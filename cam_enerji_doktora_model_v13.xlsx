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VERI_TABANI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REKLI_SENARYO_MATRISI" sheetId="3" state="visible" r:id="rId3"/>
    <sheet xmlns:r="http://schemas.openxmlformats.org/officeDocument/2006/relationships" name="ANALİZ HESABI" sheetId="4" state="visible" r:id="rId4"/>
    <sheet xmlns:r="http://schemas.openxmlformats.org/officeDocument/2006/relationships" name="1_AHP_TOPSIS_KARAR_MODELI" sheetId="5" state="visible" r:id="rId5"/>
    <sheet xmlns:r="http://schemas.openxmlformats.org/officeDocument/2006/relationships" name="2_AKADEMIK_GRAFIKLER_VE_MAC" sheetId="6" state="visible" r:id="rId6"/>
    <sheet xmlns:r="http://schemas.openxmlformats.org/officeDocument/2006/relationships" name="3_DUYARLILIK_DATA_TABLES" sheetId="7" state="visible" r:id="rId7"/>
    <sheet xmlns:r="http://schemas.openxmlformats.org/officeDocument/2006/relationships" name="4_MONTE_CARLO_RISK_SIMULASYONU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2">
    <numFmt numFmtId="164" formatCode="#,##0.000000"/>
    <numFmt numFmtId="165" formatCode="\€#,##0.0000"/>
    <numFmt numFmtId="166" formatCode="\€#,##0.00"/>
    <numFmt numFmtId="167" formatCode="0.0%"/>
    <numFmt numFmtId="168" formatCode="#,##0&quot; €&quot;"/>
    <numFmt numFmtId="169" formatCode="#,##0&quot; tCO2&quot;"/>
    <numFmt numFmtId="170" formatCode="0.0000"/>
    <numFmt numFmtId="171" formatCode="#,##0 tCO₂"/>
    <numFmt numFmtId="172" formatCode="#,##0 €"/>
    <numFmt numFmtId="173" formatCode="#,##0 kWh"/>
    <numFmt numFmtId="174" formatCode="0.00 Yıl"/>
    <numFmt numFmtId="175" formatCode="0.00 tCO₂"/>
  </numFmts>
  <fonts count="23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0"/>
      <b val="1"/>
      <color rgb="FFFFFFFF"/>
      <sz val="13"/>
    </font>
    <font>
      <name val="Calibri"/>
      <family val="0"/>
      <b val="1"/>
      <color rgb="FF000000"/>
      <sz val="11"/>
    </font>
    <font>
      <name val="Calibri"/>
      <family val="0"/>
      <color rgb="FF000000"/>
      <sz val="10"/>
    </font>
    <font>
      <name val="Calibri"/>
      <family val="0"/>
      <i val="1"/>
      <color rgb="FF444444"/>
      <sz val="10"/>
    </font>
    <font>
      <name val="Calibri"/>
      <family val="0"/>
      <b val="1"/>
      <color rgb="FFFFFFFF"/>
      <sz val="11"/>
    </font>
    <font>
      <name val="Calibri"/>
      <family val="0"/>
      <b val="1"/>
      <color rgb="FF006100"/>
      <sz val="11"/>
    </font>
    <font>
      <name val="Calibri"/>
      <family val="0"/>
      <b val="1"/>
      <color rgb="FF1B365D"/>
      <sz val="11"/>
    </font>
    <font>
      <name val="Calibri"/>
      <b val="1"/>
      <color rgb="00000000"/>
      <sz val="11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76A3C"/>
      <sz val="11"/>
    </font>
    <font>
      <name val="Calibri"/>
      <b val="1"/>
      <color rgb="001F4E79"/>
      <sz val="11"/>
    </font>
    <font>
      <name val="Calibri"/>
      <b val="1"/>
      <sz val="11"/>
    </font>
    <font>
      <name val="Calibri"/>
      <b val="1"/>
      <color rgb="009C6500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sz val="11"/>
    </font>
  </fonts>
  <fills count="33">
    <fill>
      <patternFill/>
    </fill>
    <fill>
      <patternFill patternType="gray125"/>
    </fill>
    <fill>
      <patternFill patternType="solid">
        <fgColor rgb="FF1B365D"/>
        <bgColor rgb="FF1F4E78"/>
      </patternFill>
    </fill>
    <fill>
      <patternFill patternType="solid">
        <fgColor rgb="FFDCE6F1"/>
        <bgColor rgb="FFD9E1F2"/>
      </patternFill>
    </fill>
    <fill>
      <patternFill patternType="solid">
        <fgColor rgb="FF2F5496"/>
        <bgColor rgb="FF2F5597"/>
      </patternFill>
    </fill>
    <fill>
      <patternFill patternType="solid">
        <fgColor rgb="FF4472C4"/>
        <bgColor rgb="FF2F5597"/>
      </patternFill>
    </fill>
    <fill>
      <patternFill patternType="solid">
        <fgColor rgb="FFF2F2F2"/>
        <bgColor rgb="FFEAE6E8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404040"/>
        <bgColor rgb="FF444444"/>
      </patternFill>
    </fill>
    <fill>
      <patternFill patternType="solid">
        <fgColor rgb="FFC65911"/>
        <bgColor rgb="FFED7D31"/>
      </patternFill>
    </fill>
    <fill>
      <patternFill patternType="solid">
        <fgColor rgb="FF1F4E78"/>
        <bgColor rgb="FF2F5496"/>
      </patternFill>
    </fill>
    <fill>
      <patternFill patternType="solid">
        <fgColor rgb="FF375623"/>
        <bgColor rgb="FF444444"/>
      </patternFill>
    </fill>
    <fill>
      <patternFill patternType="solid">
        <fgColor rgb="FF3B1E54"/>
        <bgColor rgb="FF1B365D"/>
      </patternFill>
    </fill>
    <fill>
      <patternFill patternType="solid">
        <fgColor rgb="FF595959"/>
        <bgColor rgb="FF444444"/>
      </patternFill>
    </fill>
    <fill>
      <patternFill patternType="solid">
        <fgColor rgb="FFED7D31"/>
        <bgColor rgb="FFFF8080"/>
      </patternFill>
    </fill>
    <fill>
      <patternFill patternType="solid">
        <fgColor rgb="FF2F5597"/>
        <bgColor rgb="FF2F5496"/>
      </patternFill>
    </fill>
    <fill>
      <patternFill patternType="solid">
        <fgColor rgb="FF548235"/>
        <bgColor rgb="FF339966"/>
      </patternFill>
    </fill>
    <fill>
      <patternFill patternType="solid">
        <fgColor rgb="FF5C2FC2"/>
        <bgColor rgb="FF2F549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CE6F1"/>
      </patternFill>
    </fill>
    <fill>
      <patternFill patternType="solid">
        <fgColor rgb="FFE2EFDA"/>
        <bgColor rgb="FFEAE6E8"/>
      </patternFill>
    </fill>
    <fill>
      <patternFill patternType="solid">
        <fgColor rgb="FFEAE6E8"/>
        <bgColor rgb="FFDCE6F1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2F5597"/>
        <bgColor rgb="002F5597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1B365D"/>
        <bgColor rgb="001B365D"/>
      </patternFill>
    </fill>
    <fill>
      <patternFill patternType="solid">
        <fgColor rgb="FF5C2FC2"/>
      </patternFill>
    </fill>
    <fill>
      <patternFill patternType="solid">
        <fgColor rgb="FFEAE6E8"/>
      </patternFill>
    </fill>
    <fill>
      <patternFill patternType="solid">
        <fgColor rgb="FF3B1E5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/>
      <bottom style="double"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76A3C"/>
      </left>
      <right style="medium">
        <color rgb="00276A3C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general" vertical="bottom"/>
    </xf>
    <xf numFmtId="3" fontId="5" fillId="6" borderId="0" applyAlignment="1" pivotButton="0" quotePrefix="0" xfId="0">
      <alignment horizontal="general" vertical="bottom"/>
    </xf>
    <xf numFmtId="4" fontId="5" fillId="6" borderId="0" applyAlignment="1" pivotButton="0" quotePrefix="0" xfId="0">
      <alignment horizontal="general" vertical="bottom"/>
    </xf>
    <xf numFmtId="166" fontId="5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67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167" fontId="9" fillId="7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168" fontId="5" fillId="8" borderId="0" applyAlignment="1" pivotButton="0" quotePrefix="0" xfId="0">
      <alignment horizontal="general" vertical="bottom"/>
    </xf>
    <xf numFmtId="169" fontId="5" fillId="8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general" vertical="bottom"/>
    </xf>
    <xf numFmtId="4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2" fontId="0" fillId="19" borderId="1" applyAlignment="1" pivotButton="0" quotePrefix="0" xfId="0">
      <alignment horizontal="general" vertical="bottom"/>
    </xf>
    <xf numFmtId="4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2" fontId="0" fillId="20" borderId="1" applyAlignment="1" pivotButton="0" quotePrefix="0" xfId="0">
      <alignment horizontal="general" vertical="bottom"/>
    </xf>
    <xf numFmtId="4" fontId="0" fillId="21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2" fontId="0" fillId="21" borderId="1" applyAlignment="1" pivotButton="0" quotePrefix="0" xfId="0">
      <alignment horizontal="general" vertical="bottom"/>
    </xf>
    <xf numFmtId="4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2" fontId="0" fillId="22" borderId="1" applyAlignment="1" pivotButton="0" quotePrefix="0" xfId="0">
      <alignment horizontal="general" vertical="bottom"/>
    </xf>
    <xf numFmtId="4" fontId="8" fillId="9" borderId="2" applyAlignment="1" pivotButton="0" quotePrefix="0" xfId="0">
      <alignment horizontal="general" vertical="bottom"/>
    </xf>
    <xf numFmtId="4" fontId="8" fillId="10" borderId="2" applyAlignment="1" pivotButton="0" quotePrefix="0" xfId="0">
      <alignment horizontal="general" vertical="bottom"/>
    </xf>
    <xf numFmtId="10" fontId="8" fillId="10" borderId="2" applyAlignment="1" pivotButton="0" quotePrefix="0" xfId="0">
      <alignment horizontal="general" vertical="bottom"/>
    </xf>
    <xf numFmtId="2" fontId="8" fillId="10" borderId="2" applyAlignment="1" pivotButton="0" quotePrefix="0" xfId="0">
      <alignment horizontal="general" vertical="bottom"/>
    </xf>
    <xf numFmtId="4" fontId="8" fillId="11" borderId="2" applyAlignment="1" pivotButton="0" quotePrefix="0" xfId="0">
      <alignment horizontal="general" vertical="bottom"/>
    </xf>
    <xf numFmtId="10" fontId="8" fillId="11" borderId="2" applyAlignment="1" pivotButton="0" quotePrefix="0" xfId="0">
      <alignment horizontal="general" vertical="bottom"/>
    </xf>
    <xf numFmtId="2" fontId="8" fillId="11" borderId="2" applyAlignment="1" pivotButton="0" quotePrefix="0" xfId="0">
      <alignment horizontal="general" vertical="bottom"/>
    </xf>
    <xf numFmtId="4" fontId="8" fillId="12" borderId="2" applyAlignment="1" pivotButton="0" quotePrefix="0" xfId="0">
      <alignment horizontal="general" vertical="bottom"/>
    </xf>
    <xf numFmtId="10" fontId="8" fillId="12" borderId="2" applyAlignment="1" pivotButton="0" quotePrefix="0" xfId="0">
      <alignment horizontal="general" vertical="bottom"/>
    </xf>
    <xf numFmtId="2" fontId="8" fillId="12" borderId="2" applyAlignment="1" pivotButton="0" quotePrefix="0" xfId="0">
      <alignment horizontal="general" vertical="bottom"/>
    </xf>
    <xf numFmtId="4" fontId="8" fillId="13" borderId="2" applyAlignment="1" pivotButton="0" quotePrefix="0" xfId="0">
      <alignment horizontal="general" vertical="bottom"/>
    </xf>
    <xf numFmtId="10" fontId="8" fillId="13" borderId="2" applyAlignment="1" pivotButton="0" quotePrefix="0" xfId="0">
      <alignment horizontal="general" vertical="bottom"/>
    </xf>
    <xf numFmtId="2" fontId="8" fillId="13" borderId="2" applyAlignment="1" pivotButton="0" quotePrefix="0" xfId="0">
      <alignment horizontal="general" vertical="bottom"/>
    </xf>
    <xf numFmtId="0" fontId="8" fillId="4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167" fontId="0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general" vertical="bottom"/>
    </xf>
    <xf numFmtId="4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2" fontId="0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17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7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2" fontId="6" fillId="7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general" vertical="bottom"/>
    </xf>
    <xf numFmtId="167" fontId="5" fillId="7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general" vertical="bottom"/>
    </xf>
    <xf numFmtId="3" fontId="5" fillId="6" borderId="0" applyAlignment="1" pivotButton="0" quotePrefix="0" xfId="0">
      <alignment horizontal="general" vertical="bottom"/>
    </xf>
    <xf numFmtId="4" fontId="5" fillId="6" borderId="0" applyAlignment="1" pivotButton="0" quotePrefix="0" xfId="0">
      <alignment horizontal="general" vertical="bottom"/>
    </xf>
    <xf numFmtId="166" fontId="5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67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167" fontId="9" fillId="7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168" fontId="11" fillId="23" borderId="3" applyAlignment="1" pivotButton="0" quotePrefix="0" xfId="0">
      <alignment horizontal="center" vertical="center"/>
    </xf>
    <xf numFmtId="169" fontId="5" fillId="8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general" vertical="bottom"/>
    </xf>
    <xf numFmtId="4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2" fontId="0" fillId="19" borderId="1" applyAlignment="1" pivotButton="0" quotePrefix="0" xfId="0">
      <alignment horizontal="general" vertical="bottom"/>
    </xf>
    <xf numFmtId="4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2" fontId="0" fillId="20" borderId="1" applyAlignment="1" pivotButton="0" quotePrefix="0" xfId="0">
      <alignment horizontal="general" vertical="bottom"/>
    </xf>
    <xf numFmtId="4" fontId="0" fillId="21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2" fontId="0" fillId="21" borderId="1" applyAlignment="1" pivotButton="0" quotePrefix="0" xfId="0">
      <alignment horizontal="general" vertical="bottom"/>
    </xf>
    <xf numFmtId="4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2" fontId="0" fillId="22" borderId="1" applyAlignment="1" pivotButton="0" quotePrefix="0" xfId="0">
      <alignment horizontal="general" vertical="bottom"/>
    </xf>
    <xf numFmtId="4" fontId="8" fillId="9" borderId="2" applyAlignment="1" pivotButton="0" quotePrefix="0" xfId="0">
      <alignment horizontal="general" vertical="bottom"/>
    </xf>
    <xf numFmtId="4" fontId="8" fillId="10" borderId="2" applyAlignment="1" pivotButton="0" quotePrefix="0" xfId="0">
      <alignment horizontal="general" vertical="bottom"/>
    </xf>
    <xf numFmtId="10" fontId="8" fillId="10" borderId="2" applyAlignment="1" pivotButton="0" quotePrefix="0" xfId="0">
      <alignment horizontal="general" vertical="bottom"/>
    </xf>
    <xf numFmtId="2" fontId="8" fillId="10" borderId="2" applyAlignment="1" pivotButton="0" quotePrefix="0" xfId="0">
      <alignment horizontal="general" vertical="bottom"/>
    </xf>
    <xf numFmtId="4" fontId="8" fillId="11" borderId="2" applyAlignment="1" pivotButton="0" quotePrefix="0" xfId="0">
      <alignment horizontal="general" vertical="bottom"/>
    </xf>
    <xf numFmtId="10" fontId="8" fillId="11" borderId="2" applyAlignment="1" pivotButton="0" quotePrefix="0" xfId="0">
      <alignment horizontal="general" vertical="bottom"/>
    </xf>
    <xf numFmtId="2" fontId="8" fillId="11" borderId="2" applyAlignment="1" pivotButton="0" quotePrefix="0" xfId="0">
      <alignment horizontal="general" vertical="bottom"/>
    </xf>
    <xf numFmtId="4" fontId="8" fillId="12" borderId="2" applyAlignment="1" pivotButton="0" quotePrefix="0" xfId="0">
      <alignment horizontal="general" vertical="bottom"/>
    </xf>
    <xf numFmtId="10" fontId="8" fillId="12" borderId="2" applyAlignment="1" pivotButton="0" quotePrefix="0" xfId="0">
      <alignment horizontal="general" vertical="bottom"/>
    </xf>
    <xf numFmtId="2" fontId="8" fillId="12" borderId="2" applyAlignment="1" pivotButton="0" quotePrefix="0" xfId="0">
      <alignment horizontal="general" vertical="bottom"/>
    </xf>
    <xf numFmtId="4" fontId="8" fillId="13" borderId="2" applyAlignment="1" pivotButton="0" quotePrefix="0" xfId="0">
      <alignment horizontal="general" vertical="bottom"/>
    </xf>
    <xf numFmtId="10" fontId="8" fillId="13" borderId="2" applyAlignment="1" pivotButton="0" quotePrefix="0" xfId="0">
      <alignment horizontal="general" vertical="bottom"/>
    </xf>
    <xf numFmtId="2" fontId="8" fillId="13" borderId="2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12" fillId="2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5" borderId="0" applyAlignment="1" pivotButton="0" quotePrefix="0" xfId="0">
      <alignment horizontal="center" vertical="center"/>
    </xf>
    <xf numFmtId="0" fontId="15" fillId="26" borderId="4" applyAlignment="1" pivotButton="0" quotePrefix="0" xfId="0">
      <alignment horizontal="center" vertical="center" wrapText="1"/>
    </xf>
    <xf numFmtId="0" fontId="16" fillId="27" borderId="4" applyAlignment="1" pivotButton="0" quotePrefix="0" xfId="0">
      <alignment horizontal="center" vertical="center" wrapText="1"/>
    </xf>
    <xf numFmtId="0" fontId="17" fillId="28" borderId="0" applyAlignment="1" pivotButton="0" quotePrefix="0" xfId="0">
      <alignment horizontal="left" vertical="center" indent="1"/>
    </xf>
    <xf numFmtId="0" fontId="18" fillId="0" borderId="4" applyAlignment="1" pivotButton="0" quotePrefix="0" xfId="0">
      <alignment horizontal="left" vertical="center" indent="1"/>
    </xf>
    <xf numFmtId="167" fontId="0" fillId="0" borderId="4" applyAlignment="1" pivotButton="0" quotePrefix="0" xfId="0">
      <alignment horizontal="center" vertical="center"/>
    </xf>
    <xf numFmtId="167" fontId="19" fillId="23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/>
    </xf>
    <xf numFmtId="49" fontId="0" fillId="0" borderId="4" applyAlignment="1" pivotButton="0" quotePrefix="0" xfId="0">
      <alignment horizontal="center" vertical="center"/>
    </xf>
    <xf numFmtId="49" fontId="19" fillId="23" borderId="5" applyAlignment="1" pivotButton="0" quotePrefix="0" xfId="0">
      <alignment horizontal="center" vertical="center"/>
    </xf>
    <xf numFmtId="171" fontId="0" fillId="0" borderId="4" applyAlignment="1" pivotButton="0" quotePrefix="0" xfId="0">
      <alignment horizontal="center" vertical="center"/>
    </xf>
    <xf numFmtId="171" fontId="19" fillId="23" borderId="5" applyAlignment="1" pivotButton="0" quotePrefix="0" xfId="0">
      <alignment horizontal="center" vertical="center"/>
    </xf>
    <xf numFmtId="172" fontId="0" fillId="0" borderId="4" applyAlignment="1" pivotButton="0" quotePrefix="0" xfId="0">
      <alignment horizontal="center" vertical="center"/>
    </xf>
    <xf numFmtId="172" fontId="19" fillId="23" borderId="5" applyAlignment="1" pivotButton="0" quotePrefix="0" xfId="0">
      <alignment horizontal="center" vertical="center"/>
    </xf>
    <xf numFmtId="10" fontId="0" fillId="0" borderId="4" applyAlignment="1" pivotButton="0" quotePrefix="0" xfId="0">
      <alignment horizontal="center" vertical="center"/>
    </xf>
    <xf numFmtId="10" fontId="19" fillId="23" borderId="5" applyAlignment="1" pivotButton="0" quotePrefix="0" xfId="0">
      <alignment horizontal="center" vertical="center"/>
    </xf>
    <xf numFmtId="173" fontId="0" fillId="0" borderId="4" applyAlignment="1" pivotButton="0" quotePrefix="0" xfId="0">
      <alignment horizontal="center" vertical="center"/>
    </xf>
    <xf numFmtId="173" fontId="19" fillId="23" borderId="5" applyAlignment="1" pivotButton="0" quotePrefix="0" xfId="0">
      <alignment horizontal="center" vertical="center"/>
    </xf>
    <xf numFmtId="174" fontId="0" fillId="0" borderId="4" applyAlignment="1" pivotButton="0" quotePrefix="0" xfId="0">
      <alignment horizontal="center" vertical="center"/>
    </xf>
    <xf numFmtId="174" fontId="19" fillId="23" borderId="5" applyAlignment="1" pivotButton="0" quotePrefix="0" xfId="0">
      <alignment horizontal="center" vertical="center"/>
    </xf>
    <xf numFmtId="175" fontId="0" fillId="0" borderId="4" applyAlignment="1" pivotButton="0" quotePrefix="0" xfId="0">
      <alignment horizontal="center" vertical="center"/>
    </xf>
    <xf numFmtId="175" fontId="19" fillId="23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17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166" fontId="0" fillId="7" borderId="1" applyAlignment="1" pivotButton="0" quotePrefix="0" xfId="0">
      <alignment horizontal="general" vertical="bottom"/>
    </xf>
    <xf numFmtId="4" fontId="0" fillId="7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2" fontId="6" fillId="7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167" fontId="5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1" fontId="11" fillId="23" borderId="3" applyAlignment="1" pivotButton="0" quotePrefix="0" xfId="0">
      <alignment horizontal="center" vertical="center"/>
    </xf>
    <xf numFmtId="169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169" fontId="18" fillId="0" borderId="0" pivotButton="0" quotePrefix="0" xfId="0"/>
    <xf numFmtId="0" fontId="22" fillId="0" borderId="0" pivotButton="0" quotePrefix="0" xfId="0"/>
    <xf numFmtId="0" fontId="15" fillId="29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20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4" fontId="21" fillId="6" borderId="1" applyAlignment="1" pivotButton="0" quotePrefix="0" xfId="0">
      <alignment horizontal="general" vertical="bottom"/>
    </xf>
    <xf numFmtId="4" fontId="21" fillId="19" borderId="1" applyAlignment="1" pivotButton="0" quotePrefix="0" xfId="0">
      <alignment horizontal="general" vertical="bottom"/>
    </xf>
    <xf numFmtId="10" fontId="21" fillId="19" borderId="1" applyAlignment="1" pivotButton="0" quotePrefix="0" xfId="0">
      <alignment horizontal="general" vertical="bottom"/>
    </xf>
    <xf numFmtId="2" fontId="21" fillId="19" borderId="1" applyAlignment="1" pivotButton="0" quotePrefix="0" xfId="0">
      <alignment horizontal="general" vertical="bottom"/>
    </xf>
    <xf numFmtId="4" fontId="21" fillId="20" borderId="1" applyAlignment="1" pivotButton="0" quotePrefix="0" xfId="0">
      <alignment horizontal="general" vertical="bottom"/>
    </xf>
    <xf numFmtId="10" fontId="21" fillId="20" borderId="1" applyAlignment="1" pivotButton="0" quotePrefix="0" xfId="0">
      <alignment horizontal="general" vertical="bottom"/>
    </xf>
    <xf numFmtId="2" fontId="21" fillId="20" borderId="1" applyAlignment="1" pivotButton="0" quotePrefix="0" xfId="0">
      <alignment horizontal="general" vertical="bottom"/>
    </xf>
    <xf numFmtId="4" fontId="21" fillId="21" borderId="1" applyAlignment="1" pivotButton="0" quotePrefix="0" xfId="0">
      <alignment horizontal="general" vertical="bottom"/>
    </xf>
    <xf numFmtId="10" fontId="21" fillId="21" borderId="1" applyAlignment="1" pivotButton="0" quotePrefix="0" xfId="0">
      <alignment horizontal="general" vertical="bottom"/>
    </xf>
    <xf numFmtId="2" fontId="21" fillId="21" borderId="1" applyAlignment="1" pivotButton="0" quotePrefix="0" xfId="0">
      <alignment horizontal="general" vertical="bottom"/>
    </xf>
    <xf numFmtId="4" fontId="21" fillId="22" borderId="1" applyAlignment="1" pivotButton="0" quotePrefix="0" xfId="0">
      <alignment horizontal="general" vertical="bottom"/>
    </xf>
    <xf numFmtId="10" fontId="21" fillId="22" borderId="1" applyAlignment="1" pivotButton="0" quotePrefix="0" xfId="0">
      <alignment horizontal="general" vertical="bottom"/>
    </xf>
    <xf numFmtId="2" fontId="21" fillId="22" borderId="1" applyAlignment="1" pivotButton="0" quotePrefix="0" xfId="0">
      <alignment horizontal="general" vertical="bottom"/>
    </xf>
    <xf numFmtId="0" fontId="21" fillId="6" borderId="2" applyAlignment="1" pivotButton="0" quotePrefix="0" xfId="0">
      <alignment horizontal="center" vertical="center"/>
    </xf>
    <xf numFmtId="4" fontId="21" fillId="6" borderId="2" applyAlignment="1" pivotButton="0" quotePrefix="0" xfId="0">
      <alignment horizontal="general" vertical="bottom"/>
    </xf>
    <xf numFmtId="4" fontId="21" fillId="19" borderId="2" applyAlignment="1" pivotButton="0" quotePrefix="0" xfId="0">
      <alignment horizontal="general" vertical="bottom"/>
    </xf>
    <xf numFmtId="10" fontId="21" fillId="19" borderId="2" applyAlignment="1" pivotButton="0" quotePrefix="0" xfId="0">
      <alignment horizontal="general" vertical="bottom"/>
    </xf>
    <xf numFmtId="2" fontId="21" fillId="19" borderId="2" applyAlignment="1" pivotButton="0" quotePrefix="0" xfId="0">
      <alignment horizontal="general" vertical="bottom"/>
    </xf>
    <xf numFmtId="4" fontId="21" fillId="20" borderId="2" applyAlignment="1" pivotButton="0" quotePrefix="0" xfId="0">
      <alignment horizontal="general" vertical="bottom"/>
    </xf>
    <xf numFmtId="10" fontId="21" fillId="20" borderId="2" applyAlignment="1" pivotButton="0" quotePrefix="0" xfId="0">
      <alignment horizontal="general" vertical="bottom"/>
    </xf>
    <xf numFmtId="2" fontId="21" fillId="20" borderId="2" applyAlignment="1" pivotButton="0" quotePrefix="0" xfId="0">
      <alignment horizontal="general" vertical="bottom"/>
    </xf>
    <xf numFmtId="4" fontId="21" fillId="21" borderId="2" applyAlignment="1" pivotButton="0" quotePrefix="0" xfId="0">
      <alignment horizontal="general" vertical="bottom"/>
    </xf>
    <xf numFmtId="10" fontId="21" fillId="21" borderId="2" applyAlignment="1" pivotButton="0" quotePrefix="0" xfId="0">
      <alignment horizontal="general" vertical="bottom"/>
    </xf>
    <xf numFmtId="2" fontId="21" fillId="21" borderId="2" applyAlignment="1" pivotButton="0" quotePrefix="0" xfId="0">
      <alignment horizontal="general" vertical="bottom"/>
    </xf>
    <xf numFmtId="4" fontId="21" fillId="22" borderId="2" applyAlignment="1" pivotButton="0" quotePrefix="0" xfId="0">
      <alignment horizontal="general" vertical="bottom"/>
    </xf>
    <xf numFmtId="10" fontId="21" fillId="22" borderId="2" applyAlignment="1" pivotButton="0" quotePrefix="0" xfId="0">
      <alignment horizontal="general" vertical="bottom"/>
    </xf>
    <xf numFmtId="2" fontId="21" fillId="22" borderId="2" applyAlignment="1" pivotButton="0" quotePrefix="0" xfId="0">
      <alignment horizontal="general" vertical="bottom"/>
    </xf>
    <xf numFmtId="4" fontId="20" fillId="9" borderId="0" applyAlignment="1" pivotButton="0" quotePrefix="0" xfId="0">
      <alignment horizontal="general" vertical="bottom"/>
    </xf>
    <xf numFmtId="4" fontId="20" fillId="10" borderId="0" applyAlignment="1" pivotButton="0" quotePrefix="0" xfId="0">
      <alignment horizontal="general" vertical="bottom"/>
    </xf>
    <xf numFmtId="10" fontId="20" fillId="10" borderId="0" applyAlignment="1" pivotButton="0" quotePrefix="0" xfId="0">
      <alignment horizontal="general" vertical="bottom"/>
    </xf>
    <xf numFmtId="2" fontId="20" fillId="10" borderId="0" applyAlignment="1" pivotButton="0" quotePrefix="0" xfId="0">
      <alignment horizontal="general" vertical="bottom"/>
    </xf>
    <xf numFmtId="4" fontId="20" fillId="11" borderId="0" applyAlignment="1" pivotButton="0" quotePrefix="0" xfId="0">
      <alignment horizontal="general" vertical="bottom"/>
    </xf>
    <xf numFmtId="10" fontId="20" fillId="11" borderId="0" applyAlignment="1" pivotButton="0" quotePrefix="0" xfId="0">
      <alignment horizontal="general" vertical="bottom"/>
    </xf>
    <xf numFmtId="2" fontId="20" fillId="11" borderId="0" applyAlignment="1" pivotButton="0" quotePrefix="0" xfId="0">
      <alignment horizontal="general" vertical="bottom"/>
    </xf>
    <xf numFmtId="4" fontId="20" fillId="12" borderId="0" applyAlignment="1" pivotButton="0" quotePrefix="0" xfId="0">
      <alignment horizontal="general" vertical="bottom"/>
    </xf>
    <xf numFmtId="10" fontId="20" fillId="12" borderId="0" applyAlignment="1" pivotButton="0" quotePrefix="0" xfId="0">
      <alignment horizontal="general" vertical="bottom"/>
    </xf>
    <xf numFmtId="2" fontId="20" fillId="12" borderId="0" applyAlignment="1" pivotButton="0" quotePrefix="0" xfId="0">
      <alignment horizontal="general" vertical="bottom"/>
    </xf>
    <xf numFmtId="4" fontId="20" fillId="13" borderId="0" applyAlignment="1" pivotButton="0" quotePrefix="0" xfId="0">
      <alignment horizontal="general" vertical="bottom"/>
    </xf>
    <xf numFmtId="10" fontId="20" fillId="13" borderId="0" applyAlignment="1" pivotButton="0" quotePrefix="0" xfId="0">
      <alignment horizontal="general" vertical="bottom"/>
    </xf>
    <xf numFmtId="2" fontId="20" fillId="13" borderId="0" applyAlignment="1" pivotButton="0" quotePrefix="0" xfId="0">
      <alignment horizontal="general" vertical="bottom"/>
    </xf>
    <xf numFmtId="0" fontId="20" fillId="30" borderId="4" applyAlignment="1" pivotButton="0" quotePrefix="0" xfId="0">
      <alignment horizontal="center" vertical="center" wrapText="1"/>
    </xf>
    <xf numFmtId="4" fontId="21" fillId="31" borderId="4" applyAlignment="1" pivotButton="0" quotePrefix="0" xfId="0">
      <alignment horizontal="right" vertical="center"/>
    </xf>
    <xf numFmtId="10" fontId="21" fillId="31" borderId="4" applyAlignment="1" pivotButton="0" quotePrefix="0" xfId="0">
      <alignment horizontal="right" vertical="center"/>
    </xf>
    <xf numFmtId="2" fontId="21" fillId="31" borderId="4" applyAlignment="1" pivotButton="0" quotePrefix="0" xfId="0">
      <alignment horizontal="right" vertical="center"/>
    </xf>
    <xf numFmtId="4" fontId="20" fillId="32" borderId="4" applyAlignment="1" pivotButton="0" quotePrefix="0" xfId="0">
      <alignment horizontal="right" vertical="center"/>
    </xf>
    <xf numFmtId="10" fontId="20" fillId="32" borderId="4" applyAlignment="1" pivotButton="0" quotePrefix="0" xfId="0">
      <alignment horizontal="right" vertical="center"/>
    </xf>
    <xf numFmtId="2" fontId="20" fillId="32" borderId="4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Calibri"/>
        <family val="0"/>
        <b val="1"/>
        <color rgb="FF006100"/>
        <sz val="11"/>
      </font>
      <fill>
        <patternFill>
          <bgColor rgb="FFC6EFCE"/>
        </patternFill>
      </fill>
    </dxf>
    <dxf>
      <font>
        <name val="Calibri"/>
        <family val="0"/>
        <b val="1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1F4E78"/>
      <rgbColor rgb="FFD9E1F2"/>
      <rgbColor rgb="FF808080"/>
      <rgbColor rgb="FF9999FF"/>
      <rgbColor rgb="FF5C2FC2"/>
      <rgbColor rgb="FFFFF2CC"/>
      <rgbColor rgb="FFE2EFDA"/>
      <rgbColor rgb="FF3B1E54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CE4D6"/>
      <rgbColor rgb="FFEAE6E8"/>
      <rgbColor rgb="FFF2F2F2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1B365D"/>
      <rgbColor rgb="FF339966"/>
      <rgbColor rgb="FF375623"/>
      <rgbColor rgb="FF444444"/>
      <rgbColor rgb="FFC65911"/>
      <rgbColor rgb="FF993366"/>
      <rgbColor rgb="FF2F5496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50" customWidth="1" style="101" min="1" max="1"/>
    <col width="22" customWidth="1" style="101" min="2" max="2"/>
    <col width="25" customWidth="1" style="101" min="3" max="3"/>
    <col width="27" customWidth="1" style="101" min="4" max="5"/>
    <col width="26" customWidth="1" style="101" min="6" max="6"/>
    <col width="31" customWidth="1" style="101" min="7" max="7"/>
  </cols>
  <sheetData>
    <row r="1" ht="15.75" customHeight="1" s="102">
      <c r="A1" s="103" t="inlineStr">
        <is>
          <t>SABİT SİSTEM PARAMETRELERİ (ARKA PLAN VERİ TABANI - DOKTORA MODELİ v24)</t>
        </is>
      </c>
    </row>
    <row r="2" ht="13.5" customHeight="1" s="102"/>
    <row r="3" ht="13.5" customHeight="1" s="102">
      <c r="A3" s="104" t="inlineStr">
        <is>
          <t>GES Üretim Faktörü (kWh/kW-yıl)</t>
        </is>
      </c>
      <c r="B3" s="105" t="n">
        <v>1675</v>
      </c>
      <c r="C3" s="106" t="inlineStr">
        <is>
          <t>kWh/kW-yıl</t>
        </is>
      </c>
    </row>
    <row r="4" ht="13.5" customHeight="1" s="102">
      <c r="A4" s="104" t="inlineStr">
        <is>
          <t>RES Üretim Faktörü (kWh/kW-yıl)</t>
        </is>
      </c>
      <c r="B4" s="105" t="n">
        <v>2628</v>
      </c>
      <c r="C4" s="106" t="inlineStr">
        <is>
          <t>kWh/kW-yıl</t>
        </is>
      </c>
    </row>
    <row r="5" ht="13.5" customHeight="1" s="102">
      <c r="A5" s="104" t="inlineStr">
        <is>
          <t>GES Kurulum Birim Maliyeti (€/kW)</t>
        </is>
      </c>
      <c r="B5" s="107" t="n">
        <v>592.87</v>
      </c>
      <c r="C5" s="106" t="inlineStr">
        <is>
          <t>€/kW</t>
        </is>
      </c>
    </row>
    <row r="6" ht="13.5" customHeight="1" s="102">
      <c r="A6" s="104" t="inlineStr">
        <is>
          <t>RES Kurulum Birim Maliyeti (€/kW)</t>
        </is>
      </c>
      <c r="B6" s="107" t="n">
        <v>1365.57</v>
      </c>
      <c r="C6" s="106" t="inlineStr">
        <is>
          <t>€/kW</t>
        </is>
      </c>
    </row>
    <row r="7" ht="13.5" customHeight="1" s="102">
      <c r="A7" s="104" t="inlineStr">
        <is>
          <t>Tüketim Mahsuplaşma Fiyatı (≤%100) (€/kWh)</t>
        </is>
      </c>
      <c r="B7" s="107" t="n">
        <v>0.0934</v>
      </c>
      <c r="C7" s="106" t="inlineStr">
        <is>
          <t>€/kWh</t>
        </is>
      </c>
    </row>
    <row r="8" ht="13.5" customHeight="1" s="102">
      <c r="A8" s="104" t="inlineStr">
        <is>
          <t>Şebekeye Satış Fiyatı (&gt;%100) (€/kWh)</t>
        </is>
      </c>
      <c r="B8" s="107" t="n">
        <v>0.0594</v>
      </c>
      <c r="C8" s="106" t="inlineStr">
        <is>
          <t>€/kWh</t>
        </is>
      </c>
    </row>
    <row r="9" ht="13.5" customHeight="1" s="102">
      <c r="A9" s="104" t="inlineStr">
        <is>
          <t>Doğalgaz Fiyatı (€/Sm3)</t>
        </is>
      </c>
      <c r="B9" s="107" t="n">
        <v>0.2746</v>
      </c>
      <c r="C9" s="106" t="inlineStr">
        <is>
          <t>€/Sm3</t>
        </is>
      </c>
    </row>
    <row r="10" ht="13.5" customHeight="1" s="102">
      <c r="A10" s="104" t="inlineStr">
        <is>
          <t>Yeşil H2 Tesis Kurulum Birim Maliyeti (€/kg H2/yıl)</t>
        </is>
      </c>
      <c r="B10" s="107" t="n">
        <v>7.42</v>
      </c>
      <c r="C10" s="106" t="inlineStr">
        <is>
          <t>€/kg H2/yıl</t>
        </is>
      </c>
    </row>
    <row r="11" ht="13.5" customHeight="1" s="102">
      <c r="A11" s="104" t="inlineStr">
        <is>
          <t>Gri H2 Tesis Kurulum Birim Maliyeti (€/kg H2/yıl)</t>
        </is>
      </c>
      <c r="B11" s="107" t="n">
        <v>3.33</v>
      </c>
      <c r="C11" s="106" t="inlineStr">
        <is>
          <t>€/kg H2/yıl</t>
        </is>
      </c>
    </row>
    <row r="12" ht="13.5" customHeight="1" s="102">
      <c r="A12" s="104" t="inlineStr">
        <is>
          <t>H2 Injection Retrofit Maliyeti (€/kg H2/yıl)</t>
        </is>
      </c>
      <c r="B12" s="107" t="n">
        <v>0.343</v>
      </c>
      <c r="C12" s="106" t="inlineStr">
        <is>
          <t>€/kg H2/yıl</t>
        </is>
      </c>
    </row>
    <row r="13" ht="13.5" customHeight="1" s="102">
      <c r="A13" s="104" t="inlineStr">
        <is>
          <t>Türkiye Şebeke Emisyon Faktörü (tCO2/kWh)</t>
        </is>
      </c>
      <c r="B13" s="105" t="n">
        <v>0.0006242</v>
      </c>
      <c r="C13" s="106" t="inlineStr">
        <is>
          <t>tCO2/kWh</t>
        </is>
      </c>
    </row>
    <row r="14" ht="13.5" customHeight="1" s="102">
      <c r="A14" s="104" t="inlineStr">
        <is>
          <t>GES LCA Footprint (tCO2/kWh)</t>
        </is>
      </c>
      <c r="B14" s="105" t="n">
        <v>6e-05</v>
      </c>
      <c r="C14" s="106" t="inlineStr">
        <is>
          <t>tCO2/kWh</t>
        </is>
      </c>
    </row>
    <row r="15" ht="13.5" customHeight="1" s="102">
      <c r="A15" s="104" t="inlineStr">
        <is>
          <t>RES LCA Footprint (tCO2/kWh)</t>
        </is>
      </c>
      <c r="B15" s="105" t="n">
        <v>1.6e-05</v>
      </c>
      <c r="C15" s="106" t="inlineStr">
        <is>
          <t>tCO2/kWh</t>
        </is>
      </c>
    </row>
    <row r="16" ht="13.5" customHeight="1" s="102">
      <c r="A16" s="104" t="inlineStr">
        <is>
          <t>Yeşil H2 LCA Footprint (tCO2/kg H2)</t>
        </is>
      </c>
      <c r="B16" s="105" t="n">
        <v>0.00087</v>
      </c>
      <c r="C16" s="106" t="inlineStr">
        <is>
          <t>tCO2/kg H2</t>
        </is>
      </c>
    </row>
    <row r="17" ht="13.5" customHeight="1" s="102">
      <c r="A17" s="104" t="inlineStr">
        <is>
          <t>Gri H2 LCA Footprint (tCO2/kg H2)</t>
        </is>
      </c>
      <c r="B17" s="105" t="n">
        <v>0.01</v>
      </c>
      <c r="C17" s="106" t="inlineStr">
        <is>
          <t>tCO2/kg H2</t>
        </is>
      </c>
    </row>
    <row r="18" ht="13.5" customHeight="1" s="102">
      <c r="A18" s="104" t="inlineStr">
        <is>
          <t>Doğalgaz Emisyon Faktörü (tCO2/Sm3)</t>
        </is>
      </c>
      <c r="B18" s="105" t="n">
        <v>0.00202</v>
      </c>
      <c r="C18" s="106" t="inlineStr">
        <is>
          <t>tCO2/Sm3</t>
        </is>
      </c>
    </row>
    <row r="19" ht="13.5" customHeight="1" s="102"/>
    <row r="20" ht="13.5" customHeight="1" s="102">
      <c r="A20" s="108" t="inlineStr">
        <is>
          <t>PERİYOT BAZLI DÖNÜŞÜM VERİ KÜMELERİ (2025 – 2053 TAHMİN PROJEKSİYONLARI)</t>
        </is>
      </c>
    </row>
    <row r="21" ht="13.5" customHeight="1" s="102"/>
    <row r="22" ht="13.5" customHeight="1" s="102">
      <c r="A22" s="109" t="inlineStr">
        <is>
          <t>Periyot</t>
        </is>
      </c>
      <c r="B22" s="109" t="inlineStr">
        <is>
          <t>Yıl Sayısı</t>
        </is>
      </c>
      <c r="C22" s="109" t="inlineStr">
        <is>
          <t>Orijinal Üretim (Ton)</t>
        </is>
      </c>
      <c r="D22" s="109" t="inlineStr">
        <is>
          <t>Elektrik Tüketimi (kWh)</t>
        </is>
      </c>
      <c r="E22" s="109" t="inlineStr">
        <is>
          <t>Doğalgaz Tüketimi (Sm3)</t>
        </is>
      </c>
      <c r="F22" s="109" t="inlineStr">
        <is>
          <t>Hidrojen Tüketimi (kg)</t>
        </is>
      </c>
      <c r="G22" s="109" t="inlineStr">
        <is>
          <t>SKDM Karbon Fiyatı (€/tCO2)</t>
        </is>
      </c>
    </row>
    <row r="23" ht="12.75" customHeight="1" s="102">
      <c r="A23" s="110" t="inlineStr">
        <is>
          <t>2025 – 2030</t>
        </is>
      </c>
      <c r="B23" s="111" t="n">
        <v>6</v>
      </c>
      <c r="C23" s="112" t="n">
        <v>4304837.37</v>
      </c>
      <c r="D23" s="112" t="n">
        <v>1362587104.71</v>
      </c>
      <c r="E23" s="112" t="n">
        <v>521086592.11</v>
      </c>
      <c r="F23" s="112" t="n">
        <v>10868198.83</v>
      </c>
      <c r="G23" s="113" t="n">
        <v>106.5</v>
      </c>
    </row>
    <row r="24" ht="12.75" customHeight="1" s="102">
      <c r="A24" s="110" t="inlineStr">
        <is>
          <t>2031 – 2035</t>
        </is>
      </c>
      <c r="B24" s="111" t="n">
        <v>5</v>
      </c>
      <c r="C24" s="112" t="n">
        <v>4136472.96</v>
      </c>
      <c r="D24" s="112" t="n">
        <v>1311160316.46</v>
      </c>
      <c r="E24" s="112" t="n">
        <v>500042773.18</v>
      </c>
      <c r="F24" s="112" t="n">
        <v>10429292.12</v>
      </c>
      <c r="G24" s="113" t="n">
        <v>151.1</v>
      </c>
    </row>
    <row r="25" ht="12.75" customHeight="1" s="102">
      <c r="A25" s="110" t="inlineStr">
        <is>
          <t>2036 – 2040</t>
        </is>
      </c>
      <c r="B25" s="111" t="n">
        <v>5</v>
      </c>
      <c r="C25" s="112" t="n">
        <v>4635662.5</v>
      </c>
      <c r="D25" s="112" t="n">
        <v>1470861282.39</v>
      </c>
      <c r="E25" s="112" t="n">
        <v>559864542.65</v>
      </c>
      <c r="F25" s="112" t="n">
        <v>11676982.79</v>
      </c>
      <c r="G25" s="113" t="n">
        <v>205.4</v>
      </c>
    </row>
    <row r="26" ht="12.75" customHeight="1" s="102">
      <c r="A26" s="110" t="inlineStr">
        <is>
          <t>2041 – 2045</t>
        </is>
      </c>
      <c r="B26" s="111" t="n">
        <v>5</v>
      </c>
      <c r="C26" s="112" t="n">
        <v>5134852.04</v>
      </c>
      <c r="D26" s="112" t="n">
        <v>1630562248.33</v>
      </c>
      <c r="E26" s="112" t="n">
        <v>619686312.11</v>
      </c>
      <c r="F26" s="112" t="n">
        <v>12924673.47</v>
      </c>
      <c r="G26" s="113" t="n">
        <v>276.6</v>
      </c>
    </row>
    <row r="27" ht="12.75" customHeight="1" s="102">
      <c r="A27" s="110" t="inlineStr">
        <is>
          <t>2046 – 2050</t>
        </is>
      </c>
      <c r="B27" s="111" t="n">
        <v>5</v>
      </c>
      <c r="C27" s="112" t="n">
        <v>5634041.57</v>
      </c>
      <c r="D27" s="112" t="n">
        <v>1790263214.26</v>
      </c>
      <c r="E27" s="112" t="n">
        <v>679508081.58</v>
      </c>
      <c r="F27" s="112" t="n">
        <v>14172364.16</v>
      </c>
      <c r="G27" s="113" t="n">
        <v>369.4</v>
      </c>
    </row>
    <row r="28" ht="12.75" customHeight="1" s="102">
      <c r="A28" s="110" t="inlineStr">
        <is>
          <t>2051 – 2053</t>
        </is>
      </c>
      <c r="B28" s="111" t="n">
        <v>3</v>
      </c>
      <c r="C28" s="112" t="n">
        <v>3620035.92</v>
      </c>
      <c r="D28" s="112" t="n">
        <v>1150814392.2</v>
      </c>
      <c r="E28" s="112" t="n">
        <v>436419298.29</v>
      </c>
      <c r="F28" s="112" t="n">
        <v>9102310.02</v>
      </c>
      <c r="G28" s="113" t="n">
        <v>390.6</v>
      </c>
    </row>
    <row r="29" ht="13.5" customHeight="1" s="102">
      <c r="A29" s="114" t="inlineStr">
        <is>
          <t>2025 – 2053 TOPLAM</t>
        </is>
      </c>
      <c r="B29" s="115">
        <f>SUM(B23:B28)</f>
        <v/>
      </c>
      <c r="C29" s="116">
        <f>SUM(C23:C28)</f>
        <v/>
      </c>
      <c r="D29" s="116">
        <f>SUM(D23:D28)</f>
        <v/>
      </c>
      <c r="E29" s="116">
        <f>SUM(E23:E28)</f>
        <v/>
      </c>
      <c r="F29" s="116">
        <f>SUM(F23:F28)</f>
        <v/>
      </c>
      <c r="G29" s="117">
        <f>AVERAGE(G23:G28)</f>
        <v/>
      </c>
    </row>
  </sheetData>
  <mergeCells count="2">
    <mergeCell ref="A20:G20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A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8" customWidth="1" style="101" min="1" max="43"/>
  </cols>
  <sheetData>
    <row r="1" ht="15.75" customHeight="1" s="102">
      <c r="A1" s="103" t="inlineStr">
        <is>
          <t>CAM ENERJİ FABRİKASI - DOKTORA TEZİ KARAR DESTEK VE KONTROL DASHBOARD'U (v24)</t>
        </is>
      </c>
    </row>
    <row r="2" ht="13.5" customHeight="1" s="102">
      <c r="A2" s="118" t="inlineStr">
        <is>
          <t>SKDM Sürecinde Hibrit Enerji ve Hidrojen Entegrasyonu Bağımsız &amp; Bütünleşik Analiz Mimarisi (v24)</t>
        </is>
      </c>
    </row>
    <row r="3" ht="13.5" customHeight="1" s="102"/>
    <row r="4" ht="13.5" customHeight="1" s="102">
      <c r="A4" s="119" t="inlineStr">
        <is>
          <t>1. KULLANICI SENARYO SEÇİMLERİ VE HEDEFLER</t>
        </is>
      </c>
    </row>
    <row r="5" ht="13.5" customHeight="1" s="102">
      <c r="A5" s="120" t="inlineStr">
        <is>
          <t>Hedef Yenilenebilir Elektrik Oranı (%)</t>
        </is>
      </c>
      <c r="B5" s="121" t="n">
        <v>1.12</v>
      </c>
      <c r="C5" s="106" t="inlineStr">
        <is>
          <t>Fabrikanın toplam elektrik tüketimine göre hedeflenen yenilenebilir enerji oranı (Örn. %112)</t>
        </is>
      </c>
    </row>
    <row r="6" ht="13.5" customHeight="1" s="102">
      <c r="A6" s="120" t="inlineStr">
        <is>
          <t>GES Katkı Oranı (% Tüketime Göre)</t>
        </is>
      </c>
      <c r="B6" s="121" t="n">
        <v>0.6</v>
      </c>
      <c r="C6" s="106" t="inlineStr">
        <is>
          <t>Toplam tüketimin Güneş Santralinden (GES) karşılanacak yüzdesi</t>
        </is>
      </c>
    </row>
    <row r="7" ht="13.5" customHeight="1" s="102">
      <c r="A7" s="120" t="inlineStr">
        <is>
          <t>RES Katkı Oranı (% Tüketime Göre)</t>
        </is>
      </c>
      <c r="B7" s="121" t="n">
        <v>0.52</v>
      </c>
      <c r="C7" s="106" t="inlineStr">
        <is>
          <t>Toplam tüketimin Rüzgar Santralinden (RES) karşılanacak yüzdesi</t>
        </is>
      </c>
    </row>
    <row r="8" ht="13.5" customHeight="1" s="102">
      <c r="A8" s="120" t="inlineStr">
        <is>
          <t>Hidrojen Kullanım Durumu / Tipi</t>
        </is>
      </c>
      <c r="B8" s="122" t="n">
        <v>1</v>
      </c>
      <c r="C8" s="106" t="inlineStr">
        <is>
          <t>1 = Yeşil Hidrojen (%20 H2), -1 = Gri Hidrojen (%20 H2), 0 = Hidrojen Yok (%0 H2)</t>
        </is>
      </c>
    </row>
    <row r="9" ht="15.75" customHeight="1" s="102">
      <c r="A9" s="120" t="inlineStr">
        <is>
          <t>Girilmiş GES + RES Toplamı (%)</t>
        </is>
      </c>
      <c r="B9" s="123">
        <f>B6+B7</f>
        <v/>
      </c>
      <c r="C9" s="124">
        <f>IF(ABS((B6+B7)-B5)&gt;0.0001, "⚠️ UYARI: GES + RES Payları Toplamı (" &amp; TEXT(B6+B7, "0.0%") &amp; ") Hedef Orana (" &amp; TEXT(B5, "0.0%") &amp; ") Eşit Değildir!", "✅ ORAN DENGESİ UYUMLU: GES + RES Payı Toplamı Hedef Oran ile Eşittir.")</f>
        <v/>
      </c>
    </row>
    <row r="10" ht="13.5" customHeight="1" s="102">
      <c r="A10" s="125" t="inlineStr">
        <is>
          <t>Master Mod Seçim Şalteri (1=Mod 1, 2=Mod 2, 3=Mod 3)</t>
        </is>
      </c>
      <c r="B10" s="218" t="n">
        <v>1</v>
      </c>
      <c r="C10" s="101" t="inlineStr">
        <is>
          <t>1 = Mod 1 (Enerji Oranı Odaklı), 2 = Mod 2 (Bütçe Odaklı), 3 = Mod 3 (Karbon Hedef Odaklı)</t>
        </is>
      </c>
    </row>
    <row r="11" ht="13.5" customHeight="1" s="102">
      <c r="A11" s="125" t="inlineStr">
        <is>
          <t>Maksimum Yatırım Bütçesi Kısıtı (€)</t>
        </is>
      </c>
      <c r="B11" s="25" t="n">
        <v>200000000</v>
      </c>
      <c r="C11" s="101" t="inlineStr">
        <is>
          <t>Mod 2 için üst yatırım bütçesi limiti (Örn. 200 M€)</t>
        </is>
      </c>
    </row>
    <row r="12" ht="13.5" customHeight="1" s="102">
      <c r="A12" s="220" t="inlineStr">
        <is>
          <t>Minimum Karbon Engelleme Hedefi (tCO₂)</t>
        </is>
      </c>
      <c r="B12" s="221" t="n">
        <v>5000000</v>
      </c>
      <c r="C12" s="222" t="inlineStr">
        <is>
          <t>Mod 3 için alt emisyon azaltım hedefi (Örn. 5 M tCO2)</t>
        </is>
      </c>
    </row>
    <row r="13" ht="13.5" customHeight="1" s="102">
      <c r="A13" s="101" t="n"/>
      <c r="B13" s="219" t="n"/>
      <c r="C13" s="101" t="n"/>
    </row>
    <row r="14" ht="27.75" customHeight="1" s="102">
      <c r="A14" s="223" t="inlineStr">
        <is>
          <t>2. PERİYOT BAZLI BAĞIMSIZ DAL (GES, RES, H2) VE BÜTÜNLEŞİK SİNERJİ ANALİZİ (v24)</t>
        </is>
      </c>
    </row>
    <row r="15" ht="31.5" customHeight="1" s="102">
      <c r="A15" s="224" t="inlineStr">
        <is>
          <t>PERİYOT VE TÜKETİM VERİLERİ</t>
        </is>
      </c>
      <c r="B15" s="224" t="n"/>
      <c r="C15" s="224" t="n"/>
      <c r="D15" s="225" t="inlineStr">
        <is>
          <t>1. DAL: GÜNEŞ ENERJİSİ SANTRALİ (GES) BAĞIMSIZ ANALİZ PANOSU</t>
        </is>
      </c>
      <c r="O15" s="226" t="inlineStr">
        <is>
          <t>2. DAL: RÜZGAR ENERJİSİ SANTRALİ (RES) BAĞIMSIZ ANALİZ PANOSU</t>
        </is>
      </c>
      <c r="Z15" s="227" t="inlineStr">
        <is>
          <t>3. DAL: HİDROJEN ENTEGRASYONU BAĞIMSIZ ANALİZ PANOSU</t>
        </is>
      </c>
      <c r="AK15" s="228" t="inlineStr">
        <is>
          <t>4. DAL: BÜTÜNLEŞİK HİBRİT SİNERJİ PANOSU</t>
        </is>
      </c>
    </row>
    <row r="16" ht="13.5" customHeight="1" s="102">
      <c r="A16" s="229" t="inlineStr">
        <is>
          <t>Periyot</t>
        </is>
      </c>
      <c r="B16" s="229" t="inlineStr">
        <is>
          <t>Toplam Üretim (Ton)</t>
        </is>
      </c>
      <c r="C16" s="229" t="inlineStr">
        <is>
          <t>Elektrik Tüketimi (kWh)</t>
        </is>
      </c>
      <c r="D16" s="230" t="inlineStr">
        <is>
          <t>GES Üretimi (kWh)</t>
        </is>
      </c>
      <c r="E16" s="230" t="inlineStr">
        <is>
          <t>Toplam GES Gücü (kW)</t>
        </is>
      </c>
      <c r="F16" s="230" t="inlineStr">
        <is>
          <t>İlave GES Gücü (kW)</t>
        </is>
      </c>
      <c r="G16" s="230" t="inlineStr">
        <is>
          <t>İlave GES Yatırımı (€)</t>
        </is>
      </c>
      <c r="H16" s="230" t="inlineStr">
        <is>
          <t>GES Mahsuplaşma Tasarrufu (€)</t>
        </is>
      </c>
      <c r="I16" s="230" t="inlineStr">
        <is>
          <t>GES Net SKDM Karbon Tasarrufu (€)</t>
        </is>
      </c>
      <c r="J16" s="230" t="inlineStr">
        <is>
          <t>GES Toplam Fayda (€)</t>
        </is>
      </c>
      <c r="K16" s="230" t="inlineStr">
        <is>
          <t>GES Tekil LCA Oranı (%)</t>
        </is>
      </c>
      <c r="L16" s="230" t="inlineStr">
        <is>
          <t>GES Mahsuplaşma Geri Ödeme (Yıl)</t>
        </is>
      </c>
      <c r="M16" s="230" t="inlineStr">
        <is>
          <t>GES Karbon Kazancı Geri Ödeme (Yıl)</t>
        </is>
      </c>
      <c r="N16" s="230" t="inlineStr">
        <is>
          <t>GES Kollektif Geri Ödeme (Yıl)</t>
        </is>
      </c>
      <c r="O16" s="231" t="inlineStr">
        <is>
          <t>RES Üretimi (kWh)</t>
        </is>
      </c>
      <c r="P16" s="231" t="inlineStr">
        <is>
          <t>Toplam RES Gücü (kW)</t>
        </is>
      </c>
      <c r="Q16" s="231" t="inlineStr">
        <is>
          <t>İlave RES Gücü (kW)</t>
        </is>
      </c>
      <c r="R16" s="231" t="inlineStr">
        <is>
          <t>İlave RES Yatırımı (€)</t>
        </is>
      </c>
      <c r="S16" s="231" t="inlineStr">
        <is>
          <t>RES Mahsuplaşma Tasarrufu (€)</t>
        </is>
      </c>
      <c r="T16" s="231" t="inlineStr">
        <is>
          <t>RES Net SKDM Karbon Tasarrufu (€)</t>
        </is>
      </c>
      <c r="U16" s="231" t="inlineStr">
        <is>
          <t>RES Toplam Fayda (€)</t>
        </is>
      </c>
      <c r="V16" s="231" t="inlineStr">
        <is>
          <t>RES Tekil LCA Oranı (%)</t>
        </is>
      </c>
      <c r="W16" s="231" t="inlineStr">
        <is>
          <t>RES Mahsuplaşma Geri Ödeme (Yıl)</t>
        </is>
      </c>
      <c r="X16" s="231" t="inlineStr">
        <is>
          <t>RES Karbon Kazancı Geri Ödeme (Yıl)</t>
        </is>
      </c>
      <c r="Y16" s="231" t="inlineStr">
        <is>
          <t>RES Kollektif Geri Ödeme (Yıl)</t>
        </is>
      </c>
      <c r="Z16" s="232" t="inlineStr">
        <is>
          <t>Kullanılmayan DG (Sm3)</t>
        </is>
      </c>
      <c r="AA16" s="232" t="inlineStr">
        <is>
          <t>H2 Tüketimi (kg)</t>
        </is>
      </c>
      <c r="AB16" s="232" t="inlineStr">
        <is>
          <t>H2 Yıllık Kapasitesi (kg/yıl)</t>
        </is>
      </c>
      <c r="AC16" s="232" t="inlineStr">
        <is>
          <t>İlave H2 Tesis/Retrofit Yatırımı (€)</t>
        </is>
      </c>
      <c r="AD16" s="232" t="inlineStr">
        <is>
          <t>H2 DG Maliyet Kazancı (€)</t>
        </is>
      </c>
      <c r="AE16" s="232" t="inlineStr">
        <is>
          <t>H2 Net SKDM Karbon Kazancı (€)</t>
        </is>
      </c>
      <c r="AF16" s="232" t="inlineStr">
        <is>
          <t>H2 Toplam Fayda (€)</t>
        </is>
      </c>
      <c r="AG16" s="232" t="inlineStr">
        <is>
          <t>H2 Tekil LCA Oranı (%)</t>
        </is>
      </c>
      <c r="AH16" s="232" t="inlineStr">
        <is>
          <t>H2 Mahsuplaşma Geri Ödeme (Yıl)</t>
        </is>
      </c>
      <c r="AI16" s="232" t="inlineStr">
        <is>
          <t>H2 Karbon Kazancı Geri Ödeme (Yıl)</t>
        </is>
      </c>
      <c r="AJ16" s="232" t="inlineStr">
        <is>
          <t>H2 Kollektif Geri Ödeme (Yıl)</t>
        </is>
      </c>
      <c r="AK16" s="275" t="inlineStr">
        <is>
          <t>GES Yatırımı (€)</t>
        </is>
      </c>
      <c r="AL16" s="275" t="inlineStr">
        <is>
          <t>RES Yatırımı (€)</t>
        </is>
      </c>
      <c r="AM16" s="275" t="inlineStr">
        <is>
          <t>H2 Tesis Yatırımı (€)</t>
        </is>
      </c>
      <c r="AN16" s="275" t="inlineStr">
        <is>
          <t>Toplam Kümülatif Yatırım (€)</t>
        </is>
      </c>
      <c r="AO16" s="275" t="inlineStr">
        <is>
          <t>GES Karbon Kazancı (tCO2)</t>
        </is>
      </c>
      <c r="AP16" s="275" t="inlineStr">
        <is>
          <t>RES Karbon Kazancı (tCO2)</t>
        </is>
      </c>
      <c r="AQ16" s="275" t="inlineStr">
        <is>
          <t>H2 Karbon Kazancı (tCO2)</t>
        </is>
      </c>
      <c r="AR16" s="275" t="inlineStr">
        <is>
          <t>Net Karbon Kazancı (tCO2)</t>
        </is>
      </c>
      <c r="AS16" s="275" t="inlineStr">
        <is>
          <t>Net Karbon Kazancı (€)</t>
        </is>
      </c>
      <c r="AT16" s="275" t="inlineStr">
        <is>
          <t>Birleşik LCA Oranı (%)</t>
        </is>
      </c>
      <c r="AU16" s="275" t="inlineStr">
        <is>
          <t>GES Toplam Faydası (€)</t>
        </is>
      </c>
      <c r="AV16" s="275" t="inlineStr">
        <is>
          <t>RES Toplam Faydası (€)</t>
        </is>
      </c>
      <c r="AW16" s="275" t="inlineStr">
        <is>
          <t>H2 Toplam Faydası (€)</t>
        </is>
      </c>
      <c r="AX16" s="275" t="inlineStr">
        <is>
          <t>Periyot Toplam Net Faydası (€)</t>
        </is>
      </c>
      <c r="AY16" s="275" t="inlineStr">
        <is>
          <t>Kollektif Mahsuplaşma Geri Ödeme (Yıl)</t>
        </is>
      </c>
      <c r="AZ16" s="275" t="inlineStr">
        <is>
          <t>Kollektif Karbon Kazancı Geri Ödeme (Yıl)</t>
        </is>
      </c>
      <c r="BA16" s="275" t="inlineStr">
        <is>
          <t>Kollektif Basit Geri Ödeme Süresi (Yıl)</t>
        </is>
      </c>
    </row>
    <row r="17" ht="13.5" customHeight="1" s="102">
      <c r="A17" s="234">
        <f>VERI_TABANI!A23</f>
        <v/>
      </c>
      <c r="B17" s="235">
        <f>VERI_TABANI!C23</f>
        <v/>
      </c>
      <c r="C17" s="235">
        <f>VERI_TABANI!D23</f>
        <v/>
      </c>
      <c r="D17" s="236">
        <f>C17*DASHBOARD!$B$6</f>
        <v/>
      </c>
      <c r="E17" s="236">
        <f>(D17/VERI_TABANI!B23)/VERI_TABANI!$B$3</f>
        <v/>
      </c>
      <c r="F17" s="236">
        <f>E17</f>
        <v/>
      </c>
      <c r="G17" s="236">
        <f>F17*VERI_TABANI!$B$5</f>
        <v/>
      </c>
      <c r="H17" s="236">
        <f>MIN(C17, D17)*VERI_TABANI!$B$7 + MAX(0, D17-C17)*VERI_TABANI!$B$8</f>
        <v/>
      </c>
      <c r="I17" s="236">
        <f>D17*(VERI_TABANI!$B$13-VERI_TABANI!$B$14)*VERI_TABANI!G23</f>
        <v/>
      </c>
      <c r="J17" s="236">
        <f>H17+I17</f>
        <v/>
      </c>
      <c r="K17" s="237">
        <f>IFERROR((D17*VERI_TABANI!$B$14)/(D17*VERI_TABANI!$B$13), 0)</f>
        <v/>
      </c>
      <c r="L17" s="238">
        <f>IFERROR(G17/(H17/VERI_TABANI!B23), 0)</f>
        <v/>
      </c>
      <c r="M17" s="238">
        <f>IFERROR(G17/(I17/VERI_TABANI!B23), 0)</f>
        <v/>
      </c>
      <c r="N17" s="238">
        <f>IFERROR(G17/(J17/VERI_TABANI!B23), 0)</f>
        <v/>
      </c>
      <c r="O17" s="239">
        <f>C17*DASHBOARD!$B$7</f>
        <v/>
      </c>
      <c r="P17" s="239">
        <f>(O17/VERI_TABANI!B23)/VERI_TABANI!$B$4</f>
        <v/>
      </c>
      <c r="Q17" s="239">
        <f>P17</f>
        <v/>
      </c>
      <c r="R17" s="239">
        <f>Q17*VERI_TABANI!$B$6</f>
        <v/>
      </c>
      <c r="S17" s="239">
        <f>MIN(MAX(0, C17-D17), O17)*VERI_TABANI!$B$7 + MAX(0, O17-MAX(0, C17-D17))*VERI_TABANI!$B$8</f>
        <v/>
      </c>
      <c r="T17" s="239">
        <f>O17*(VERI_TABANI!$B$13-VERI_TABANI!$B$15)*VERI_TABANI!G23</f>
        <v/>
      </c>
      <c r="U17" s="239">
        <f>S17+T17</f>
        <v/>
      </c>
      <c r="V17" s="240">
        <f>IFERROR((O17*VERI_TABANI!$B$15)/(O17*VERI_TABANI!$B$13), 0)</f>
        <v/>
      </c>
      <c r="W17" s="241">
        <f>IFERROR(R17/(S17/VERI_TABANI!B23), 0)</f>
        <v/>
      </c>
      <c r="X17" s="241">
        <f>IFERROR(R17/(T17/VERI_TABANI!B23), 0)</f>
        <v/>
      </c>
      <c r="Y17" s="241">
        <f>IFERROR(R17/(U17/VERI_TABANI!B23), 0)</f>
        <v/>
      </c>
      <c r="Z17" s="242">
        <f>IF(ABS(DASHBOARD!$B$8)=1, VERI_TABANI!E23*(1-0.928), 0)</f>
        <v/>
      </c>
      <c r="AA17" s="242">
        <f>IF(ABS(DASHBOARD!$B$8)=1, VERI_TABANI!F23, 0)</f>
        <v/>
      </c>
      <c r="AB17" s="242">
        <f>AA17/VERI_TABANI!B23</f>
        <v/>
      </c>
      <c r="AC17" s="242">
        <f>IF(DASHBOARD!$B$8=1, AB17*(VERI_TABANI!$B$10+VERI_TABANI!$B$12), IF(DASHBOARD!$B$8=-1, AB17*(VERI_TABANI!$B$11+VERI_TABANI!$B$12), 0))</f>
        <v/>
      </c>
      <c r="AD17" s="242">
        <f>Z17*VERI_TABANI!$B$9</f>
        <v/>
      </c>
      <c r="AE17" s="242">
        <f>Z17*0.00206091519919798*VERI_TABANI!G23</f>
        <v/>
      </c>
      <c r="AF17" s="242">
        <f>AD17+AE17</f>
        <v/>
      </c>
      <c r="AG17" s="243">
        <f>IFERROR((IF($B$8=1, AA17*VERI_TABANI!B16, IF($B$8=-1, AA17*VERI_TABANI!B17, 0))) / (Z17*VERI_TABANI!B18), 0)</f>
        <v/>
      </c>
      <c r="AH17" s="244">
        <f>IFERROR(AC17/(AD17/VERI_TABANI!B23), 0)</f>
        <v/>
      </c>
      <c r="AI17" s="244">
        <f>IFERROR(AC17/(AE17/VERI_TABANI!B23), 0)</f>
        <v/>
      </c>
      <c r="AJ17" s="244">
        <f>IFERROR(AC17/(AF17/VERI_TABANI!B23), 0)</f>
        <v/>
      </c>
      <c r="AK17" s="276">
        <f>G17</f>
        <v/>
      </c>
      <c r="AL17" s="276">
        <f>R17</f>
        <v/>
      </c>
      <c r="AM17" s="276">
        <f>AC17</f>
        <v/>
      </c>
      <c r="AN17" s="276">
        <f>AK17+AL17+AM17</f>
        <v/>
      </c>
      <c r="AO17" s="276">
        <f>D17*(VERI_TABANI!$B$13-VERI_TABANI!$B$14)</f>
        <v/>
      </c>
      <c r="AP17" s="276">
        <f>O17*(VERI_TABANI!$B$13-VERI_TABANI!$B$15)</f>
        <v/>
      </c>
      <c r="AQ17" s="276">
        <f>IF($B$8=1, AA17*(0.00202-VERI_TABANI!B16), IF($B$8=-1, AA17*(0.00202-VERI_TABANI!B17), 0))</f>
        <v/>
      </c>
      <c r="AR17" s="276">
        <f>AO17+AP17+AQ17</f>
        <v/>
      </c>
      <c r="AS17" s="276">
        <f>I17+T17+AE17</f>
        <v/>
      </c>
      <c r="AT17" s="277">
        <f>IFERROR((D17*VERI_TABANI!$B$14 + O17*VERI_TABANI!$B$15 + IF($B$8=1, AA17*VERI_TABANI!B16, IF($B$8=-1, AA17*VERI_TABANI!B17, 0))) / ((D17+O17)*VERI_TABANI!$B$13 + Z17*VERI_TABANI!B18), 0)</f>
        <v/>
      </c>
      <c r="AU17" s="276">
        <f>J17</f>
        <v/>
      </c>
      <c r="AV17" s="276">
        <f>U17</f>
        <v/>
      </c>
      <c r="AW17" s="276">
        <f>AF17</f>
        <v/>
      </c>
      <c r="AX17" s="276">
        <f>AU17+AV17+AW17</f>
        <v/>
      </c>
      <c r="AY17" s="278">
        <f>IFERROR(AN17/((H17+S17+AD17)/VERI_TABANI!B23), 0)</f>
        <v/>
      </c>
      <c r="AZ17" s="278">
        <f>IFERROR(AN17/((I17+T17+AE17)/VERI_TABANI!B23), 0)</f>
        <v/>
      </c>
      <c r="BA17" s="278">
        <f>IFERROR(AN17/(AX17/VERI_TABANI!B23), 0)</f>
        <v/>
      </c>
    </row>
    <row r="18" ht="13.5" customHeight="1" s="102">
      <c r="A18" s="234">
        <f>VERI_TABANI!A24</f>
        <v/>
      </c>
      <c r="B18" s="235">
        <f>VERI_TABANI!C24</f>
        <v/>
      </c>
      <c r="C18" s="235">
        <f>VERI_TABANI!D24</f>
        <v/>
      </c>
      <c r="D18" s="236">
        <f>C18*DASHBOARD!$B$6</f>
        <v/>
      </c>
      <c r="E18" s="236">
        <f>(D18/VERI_TABANI!B24)/VERI_TABANI!$B$3</f>
        <v/>
      </c>
      <c r="F18" s="236">
        <f>MAX(0, E18-E17)</f>
        <v/>
      </c>
      <c r="G18" s="236">
        <f>F18*VERI_TABANI!$B$5</f>
        <v/>
      </c>
      <c r="H18" s="236">
        <f>MIN(C18, D18)*VERI_TABANI!$B$7 + MAX(0, D18-C18)*VERI_TABANI!$B$8</f>
        <v/>
      </c>
      <c r="I18" s="236">
        <f>D18*(VERI_TABANI!$B$13-VERI_TABANI!$B$14)*VERI_TABANI!G24</f>
        <v/>
      </c>
      <c r="J18" s="236">
        <f>H18+I18</f>
        <v/>
      </c>
      <c r="K18" s="237">
        <f>IFERROR((D18*VERI_TABANI!$B$14)/(D18*VERI_TABANI!$B$13), 0)</f>
        <v/>
      </c>
      <c r="L18" s="238">
        <f>IFERROR(G18/(H18/VERI_TABANI!B24), 0)</f>
        <v/>
      </c>
      <c r="M18" s="238">
        <f>IFERROR(G18/(I18/VERI_TABANI!B24), 0)</f>
        <v/>
      </c>
      <c r="N18" s="238">
        <f>IFERROR(G18/(J18/VERI_TABANI!B24), 0)</f>
        <v/>
      </c>
      <c r="O18" s="239">
        <f>C18*DASHBOARD!$B$7</f>
        <v/>
      </c>
      <c r="P18" s="239">
        <f>(O18/VERI_TABANI!B24)/VERI_TABANI!$B$4</f>
        <v/>
      </c>
      <c r="Q18" s="239">
        <f>MAX(0, P18-P17)</f>
        <v/>
      </c>
      <c r="R18" s="239">
        <f>Q18*VERI_TABANI!$B$6</f>
        <v/>
      </c>
      <c r="S18" s="239">
        <f>MIN(MAX(0, C18-D18), O18)*VERI_TABANI!$B$7 + MAX(0, O18-MAX(0, C18-D18))*VERI_TABANI!$B$8</f>
        <v/>
      </c>
      <c r="T18" s="239">
        <f>O18*(VERI_TABANI!$B$13-VERI_TABANI!$B$15)*VERI_TABANI!G24</f>
        <v/>
      </c>
      <c r="U18" s="239">
        <f>S18+T18</f>
        <v/>
      </c>
      <c r="V18" s="240">
        <f>IFERROR((O18*VERI_TABANI!$B$15)/(O18*VERI_TABANI!$B$13), 0)</f>
        <v/>
      </c>
      <c r="W18" s="241">
        <f>IFERROR(R18/(S18/VERI_TABANI!B24), 0)</f>
        <v/>
      </c>
      <c r="X18" s="241">
        <f>IFERROR(R18/(T18/VERI_TABANI!B24), 0)</f>
        <v/>
      </c>
      <c r="Y18" s="241">
        <f>IFERROR(R18/(U18/VERI_TABANI!B24), 0)</f>
        <v/>
      </c>
      <c r="Z18" s="242">
        <f>IF(ABS(DASHBOARD!$B$8)=1, VERI_TABANI!E24*(1-0.928), 0)</f>
        <v/>
      </c>
      <c r="AA18" s="242">
        <f>IF(ABS(DASHBOARD!$B$8)=1, VERI_TABANI!F24, 0)</f>
        <v/>
      </c>
      <c r="AB18" s="242">
        <f>AA18/VERI_TABANI!B24</f>
        <v/>
      </c>
      <c r="AC18" s="242">
        <f>IF(DASHBOARD!$B$8=1, MAX(0, AB18-AB17)*(VERI_TABANI!$B$10+VERI_TABANI!$B$12), IF(DASHBOARD!$B$8=-1, MAX(0, AB18-AB17)*(VERI_TABANI!$B$11+VERI_TABANI!$B$12), 0))</f>
        <v/>
      </c>
      <c r="AD18" s="242">
        <f>Z18*VERI_TABANI!$B$9</f>
        <v/>
      </c>
      <c r="AE18" s="242">
        <f>Z18*0.00206091519919798*VERI_TABANI!G24</f>
        <v/>
      </c>
      <c r="AF18" s="242">
        <f>AD18+AE18</f>
        <v/>
      </c>
      <c r="AG18" s="243">
        <f>IFERROR((IF($B$8=1, AA18*VERI_TABANI!B16, IF($B$8=-1, AA18*VERI_TABANI!B17, 0))) / (Z18*VERI_TABANI!B18), 0)</f>
        <v/>
      </c>
      <c r="AH18" s="244">
        <f>IFERROR(AC18/(AD18/VERI_TABANI!B24), 0)</f>
        <v/>
      </c>
      <c r="AI18" s="244">
        <f>IFERROR(AC18/(AE18/VERI_TABANI!B24), 0)</f>
        <v/>
      </c>
      <c r="AJ18" s="244">
        <f>IFERROR(AC18/(AF18/VERI_TABANI!B24), 0)</f>
        <v/>
      </c>
      <c r="AK18" s="276">
        <f>G18</f>
        <v/>
      </c>
      <c r="AL18" s="276">
        <f>R18</f>
        <v/>
      </c>
      <c r="AM18" s="276">
        <f>AC18</f>
        <v/>
      </c>
      <c r="AN18" s="276">
        <f>AK18+AL18+AM18</f>
        <v/>
      </c>
      <c r="AO18" s="276">
        <f>D18*(VERI_TABANI!$B$13-VERI_TABANI!$B$14)</f>
        <v/>
      </c>
      <c r="AP18" s="276">
        <f>O18*(VERI_TABANI!$B$13-VERI_TABANI!$B$15)</f>
        <v/>
      </c>
      <c r="AQ18" s="276">
        <f>IF($B$8=1, AA18*(0.00202-VERI_TABANI!B16), IF($B$8=-1, AA18*(0.00202-VERI_TABANI!B17), 0))</f>
        <v/>
      </c>
      <c r="AR18" s="276">
        <f>AO18+AP18+AQ18</f>
        <v/>
      </c>
      <c r="AS18" s="276">
        <f>I18+T18+AE18</f>
        <v/>
      </c>
      <c r="AT18" s="277">
        <f>IFERROR((D18*VERI_TABANI!$B$14 + O18*VERI_TABANI!$B$15 + IF($B$8=1, AA18*VERI_TABANI!B16, IF($B$8=-1, AA18*VERI_TABANI!B17, 0))) / ((D18+O18)*VERI_TABANI!$B$13 + Z18*VERI_TABANI!B18), 0)</f>
        <v/>
      </c>
      <c r="AU18" s="276">
        <f>J18</f>
        <v/>
      </c>
      <c r="AV18" s="276">
        <f>U18</f>
        <v/>
      </c>
      <c r="AW18" s="276">
        <f>AF18</f>
        <v/>
      </c>
      <c r="AX18" s="276">
        <f>AU18+AV18+AW18</f>
        <v/>
      </c>
      <c r="AY18" s="278">
        <f>IFERROR(AN18/((H18+S18+AD18)/VERI_TABANI!B23), 0)</f>
        <v/>
      </c>
      <c r="AZ18" s="278">
        <f>IFERROR(AN18/((I18+T18+AE18)/VERI_TABANI!B23), 0)</f>
        <v/>
      </c>
      <c r="BA18" s="278">
        <f>IFERROR(AN18/(AX18/VERI_TABANI!B24), 0)</f>
        <v/>
      </c>
    </row>
    <row r="19" ht="13.5" customHeight="1" s="102">
      <c r="A19" s="234">
        <f>VERI_TABANI!A25</f>
        <v/>
      </c>
      <c r="B19" s="235">
        <f>VERI_TABANI!C25</f>
        <v/>
      </c>
      <c r="C19" s="235">
        <f>VERI_TABANI!D25</f>
        <v/>
      </c>
      <c r="D19" s="236">
        <f>C19*DASHBOARD!$B$6</f>
        <v/>
      </c>
      <c r="E19" s="236">
        <f>(D19/VERI_TABANI!B25)/VERI_TABANI!$B$3</f>
        <v/>
      </c>
      <c r="F19" s="236">
        <f>MAX(0, E19-E18)</f>
        <v/>
      </c>
      <c r="G19" s="236">
        <f>F19*VERI_TABANI!$B$5</f>
        <v/>
      </c>
      <c r="H19" s="236">
        <f>MIN(C19, D19)*VERI_TABANI!$B$7 + MAX(0, D19-C19)*VERI_TABANI!$B$8</f>
        <v/>
      </c>
      <c r="I19" s="236">
        <f>D19*(VERI_TABANI!$B$13-VERI_TABANI!$B$14)*VERI_TABANI!G25</f>
        <v/>
      </c>
      <c r="J19" s="236">
        <f>H19+I19</f>
        <v/>
      </c>
      <c r="K19" s="237">
        <f>IFERROR((D19*VERI_TABANI!$B$14)/(D19*VERI_TABANI!$B$13), 0)</f>
        <v/>
      </c>
      <c r="L19" s="238">
        <f>IFERROR(G19/(H19/VERI_TABANI!B25), 0)</f>
        <v/>
      </c>
      <c r="M19" s="238">
        <f>IFERROR(G19/(I19/VERI_TABANI!B25), 0)</f>
        <v/>
      </c>
      <c r="N19" s="238">
        <f>IFERROR(G19/(J19/VERI_TABANI!B25), 0)</f>
        <v/>
      </c>
      <c r="O19" s="239">
        <f>C19*DASHBOARD!$B$7</f>
        <v/>
      </c>
      <c r="P19" s="239">
        <f>(O19/VERI_TABANI!B25)/VERI_TABANI!$B$4</f>
        <v/>
      </c>
      <c r="Q19" s="239">
        <f>MAX(0, P19-P18)</f>
        <v/>
      </c>
      <c r="R19" s="239">
        <f>Q19*VERI_TABANI!$B$6</f>
        <v/>
      </c>
      <c r="S19" s="239">
        <f>MIN(MAX(0, C19-D19), O19)*VERI_TABANI!$B$7 + MAX(0, O19-MAX(0, C19-D19))*VERI_TABANI!$B$8</f>
        <v/>
      </c>
      <c r="T19" s="239">
        <f>O19*(VERI_TABANI!$B$13-VERI_TABANI!$B$15)*VERI_TABANI!G25</f>
        <v/>
      </c>
      <c r="U19" s="239">
        <f>S19+T19</f>
        <v/>
      </c>
      <c r="V19" s="240">
        <f>IFERROR((O19*VERI_TABANI!$B$15)/(O19*VERI_TABANI!$B$13), 0)</f>
        <v/>
      </c>
      <c r="W19" s="241">
        <f>IFERROR(R19/(S19/VERI_TABANI!B25), 0)</f>
        <v/>
      </c>
      <c r="X19" s="241">
        <f>IFERROR(R19/(T19/VERI_TABANI!B25), 0)</f>
        <v/>
      </c>
      <c r="Y19" s="241">
        <f>IFERROR(R19/(U19/VERI_TABANI!B25), 0)</f>
        <v/>
      </c>
      <c r="Z19" s="242">
        <f>IF(ABS(DASHBOARD!$B$8)=1, VERI_TABANI!E25*(1-0.928), 0)</f>
        <v/>
      </c>
      <c r="AA19" s="242">
        <f>IF(ABS(DASHBOARD!$B$8)=1, VERI_TABANI!F25, 0)</f>
        <v/>
      </c>
      <c r="AB19" s="242">
        <f>AA19/VERI_TABANI!B25</f>
        <v/>
      </c>
      <c r="AC19" s="242">
        <f>IF(DASHBOARD!$B$8=1, MAX(0, AB19-AB18)*(VERI_TABANI!$B$10+VERI_TABANI!$B$12), IF(DASHBOARD!$B$8=-1, MAX(0, AB19-AB18)*(VERI_TABANI!$B$11+VERI_TABANI!$B$12), 0))</f>
        <v/>
      </c>
      <c r="AD19" s="242">
        <f>Z19*VERI_TABANI!$B$9</f>
        <v/>
      </c>
      <c r="AE19" s="242">
        <f>Z19*0.00206091519919798*VERI_TABANI!G25</f>
        <v/>
      </c>
      <c r="AF19" s="242">
        <f>AD19+AE19</f>
        <v/>
      </c>
      <c r="AG19" s="243">
        <f>IFERROR((IF($B$8=1, AA19*VERI_TABANI!B16, IF($B$8=-1, AA19*VERI_TABANI!B17, 0))) / (Z19*VERI_TABANI!B18), 0)</f>
        <v/>
      </c>
      <c r="AH19" s="244">
        <f>IFERROR(AC19/(AD19/VERI_TABANI!B25), 0)</f>
        <v/>
      </c>
      <c r="AI19" s="244">
        <f>IFERROR(AC19/(AE19/VERI_TABANI!B25), 0)</f>
        <v/>
      </c>
      <c r="AJ19" s="244">
        <f>IFERROR(AC19/(AF19/VERI_TABANI!B25), 0)</f>
        <v/>
      </c>
      <c r="AK19" s="276">
        <f>G19</f>
        <v/>
      </c>
      <c r="AL19" s="276">
        <f>R19</f>
        <v/>
      </c>
      <c r="AM19" s="276">
        <f>AC19</f>
        <v/>
      </c>
      <c r="AN19" s="276">
        <f>AK19+AL19+AM19</f>
        <v/>
      </c>
      <c r="AO19" s="276">
        <f>D19*(VERI_TABANI!$B$13-VERI_TABANI!$B$14)</f>
        <v/>
      </c>
      <c r="AP19" s="276">
        <f>O19*(VERI_TABANI!$B$13-VERI_TABANI!$B$15)</f>
        <v/>
      </c>
      <c r="AQ19" s="276">
        <f>IF($B$8=1, AA19*(0.00202-VERI_TABANI!B16), IF($B$8=-1, AA19*(0.00202-VERI_TABANI!B17), 0))</f>
        <v/>
      </c>
      <c r="AR19" s="276">
        <f>AO19+AP19+AQ19</f>
        <v/>
      </c>
      <c r="AS19" s="276">
        <f>I19+T19+AE19</f>
        <v/>
      </c>
      <c r="AT19" s="277">
        <f>IFERROR((D19*VERI_TABANI!$B$14 + O19*VERI_TABANI!$B$15 + IF($B$8=1, AA19*VERI_TABANI!B16, IF($B$8=-1, AA19*VERI_TABANI!B17, 0))) / ((D19+O19)*VERI_TABANI!$B$13 + Z19*VERI_TABANI!B18), 0)</f>
        <v/>
      </c>
      <c r="AU19" s="276">
        <f>J19</f>
        <v/>
      </c>
      <c r="AV19" s="276">
        <f>U19</f>
        <v/>
      </c>
      <c r="AW19" s="276">
        <f>AF19</f>
        <v/>
      </c>
      <c r="AX19" s="276">
        <f>AU19+AV19+AW19</f>
        <v/>
      </c>
      <c r="AY19" s="278">
        <f>IFERROR(AN19/((H19+S19+AD19)/VERI_TABANI!B23), 0)</f>
        <v/>
      </c>
      <c r="AZ19" s="278">
        <f>IFERROR(AN19/((I19+T19+AE19)/VERI_TABANI!B23), 0)</f>
        <v/>
      </c>
      <c r="BA19" s="278">
        <f>IFERROR(AN19/(AX19/VERI_TABANI!B25), 0)</f>
        <v/>
      </c>
    </row>
    <row r="20" ht="13.5" customHeight="1" s="102">
      <c r="A20" s="234">
        <f>VERI_TABANI!A26</f>
        <v/>
      </c>
      <c r="B20" s="235">
        <f>VERI_TABANI!C26</f>
        <v/>
      </c>
      <c r="C20" s="235">
        <f>VERI_TABANI!D26</f>
        <v/>
      </c>
      <c r="D20" s="236">
        <f>C20*DASHBOARD!$B$6</f>
        <v/>
      </c>
      <c r="E20" s="236">
        <f>(D20/VERI_TABANI!B26)/VERI_TABANI!$B$3</f>
        <v/>
      </c>
      <c r="F20" s="236">
        <f>MAX(0, E20-E19)</f>
        <v/>
      </c>
      <c r="G20" s="236">
        <f>F20*VERI_TABANI!$B$5</f>
        <v/>
      </c>
      <c r="H20" s="236">
        <f>MIN(C20, D20)*VERI_TABANI!$B$7 + MAX(0, D20-C20)*VERI_TABANI!$B$8</f>
        <v/>
      </c>
      <c r="I20" s="236">
        <f>D20*(VERI_TABANI!$B$13-VERI_TABANI!$B$14)*VERI_TABANI!G26</f>
        <v/>
      </c>
      <c r="J20" s="236">
        <f>H20+I20</f>
        <v/>
      </c>
      <c r="K20" s="237">
        <f>IFERROR((D20*VERI_TABANI!$B$14)/(D20*VERI_TABANI!$B$13), 0)</f>
        <v/>
      </c>
      <c r="L20" s="238">
        <f>IFERROR(G20/(H20/VERI_TABANI!B26), 0)</f>
        <v/>
      </c>
      <c r="M20" s="238">
        <f>IFERROR(G20/(I20/VERI_TABANI!B26), 0)</f>
        <v/>
      </c>
      <c r="N20" s="238">
        <f>IFERROR(G20/(J20/VERI_TABANI!B26), 0)</f>
        <v/>
      </c>
      <c r="O20" s="239">
        <f>C20*DASHBOARD!$B$7</f>
        <v/>
      </c>
      <c r="P20" s="239">
        <f>(O20/VERI_TABANI!B26)/VERI_TABANI!$B$4</f>
        <v/>
      </c>
      <c r="Q20" s="239">
        <f>MAX(0, P20-P19)</f>
        <v/>
      </c>
      <c r="R20" s="239">
        <f>Q20*VERI_TABANI!$B$6</f>
        <v/>
      </c>
      <c r="S20" s="239">
        <f>MIN(MAX(0, C20-D20), O20)*VERI_TABANI!$B$7 + MAX(0, O20-MAX(0, C20-D20))*VERI_TABANI!$B$8</f>
        <v/>
      </c>
      <c r="T20" s="239">
        <f>O20*(VERI_TABANI!$B$13-VERI_TABANI!$B$15)*VERI_TABANI!G26</f>
        <v/>
      </c>
      <c r="U20" s="239">
        <f>S20+T20</f>
        <v/>
      </c>
      <c r="V20" s="240">
        <f>IFERROR((O20*VERI_TABANI!$B$15)/(O20*VERI_TABANI!$B$13), 0)</f>
        <v/>
      </c>
      <c r="W20" s="241">
        <f>IFERROR(R20/(S20/VERI_TABANI!B26), 0)</f>
        <v/>
      </c>
      <c r="X20" s="241">
        <f>IFERROR(R20/(T20/VERI_TABANI!B26), 0)</f>
        <v/>
      </c>
      <c r="Y20" s="241">
        <f>IFERROR(R20/(U20/VERI_TABANI!B26), 0)</f>
        <v/>
      </c>
      <c r="Z20" s="242">
        <f>IF(ABS(DASHBOARD!$B$8)=1, VERI_TABANI!E26*(1-0.928), 0)</f>
        <v/>
      </c>
      <c r="AA20" s="242">
        <f>IF(ABS(DASHBOARD!$B$8)=1, VERI_TABANI!F26, 0)</f>
        <v/>
      </c>
      <c r="AB20" s="242">
        <f>AA20/VERI_TABANI!B26</f>
        <v/>
      </c>
      <c r="AC20" s="242">
        <f>IF(DASHBOARD!$B$8=1, MAX(0, AB20-AB19)*(VERI_TABANI!$B$10+VERI_TABANI!$B$12), IF(DASHBOARD!$B$8=-1, MAX(0, AB20-AB19)*(VERI_TABANI!$B$11+VERI_TABANI!$B$12), 0))</f>
        <v/>
      </c>
      <c r="AD20" s="242">
        <f>Z20*VERI_TABANI!$B$9</f>
        <v/>
      </c>
      <c r="AE20" s="242">
        <f>Z20*0.00206091519919798*VERI_TABANI!G26</f>
        <v/>
      </c>
      <c r="AF20" s="242">
        <f>AD20+AE20</f>
        <v/>
      </c>
      <c r="AG20" s="243">
        <f>IFERROR((IF($B$8=1, AA20*VERI_TABANI!B16, IF($B$8=-1, AA20*VERI_TABANI!B17, 0))) / (Z20*VERI_TABANI!B18), 0)</f>
        <v/>
      </c>
      <c r="AH20" s="244">
        <f>IFERROR(AC20/(AD20/VERI_TABANI!B26), 0)</f>
        <v/>
      </c>
      <c r="AI20" s="244">
        <f>IFERROR(AC20/(AE20/VERI_TABANI!B26), 0)</f>
        <v/>
      </c>
      <c r="AJ20" s="244">
        <f>IFERROR(AC20/(AF20/VERI_TABANI!B26), 0)</f>
        <v/>
      </c>
      <c r="AK20" s="276">
        <f>G20</f>
        <v/>
      </c>
      <c r="AL20" s="276">
        <f>R20</f>
        <v/>
      </c>
      <c r="AM20" s="276">
        <f>AC20</f>
        <v/>
      </c>
      <c r="AN20" s="276">
        <f>AK20+AL20+AM20</f>
        <v/>
      </c>
      <c r="AO20" s="276">
        <f>D20*(VERI_TABANI!$B$13-VERI_TABANI!$B$14)</f>
        <v/>
      </c>
      <c r="AP20" s="276">
        <f>O20*(VERI_TABANI!$B$13-VERI_TABANI!$B$15)</f>
        <v/>
      </c>
      <c r="AQ20" s="276">
        <f>IF($B$8=1, AA20*(0.00202-VERI_TABANI!B16), IF($B$8=-1, AA20*(0.00202-VERI_TABANI!B17), 0))</f>
        <v/>
      </c>
      <c r="AR20" s="276">
        <f>AO20+AP20+AQ20</f>
        <v/>
      </c>
      <c r="AS20" s="276">
        <f>I20+T20+AE20</f>
        <v/>
      </c>
      <c r="AT20" s="277">
        <f>IFERROR((D20*VERI_TABANI!$B$14 + O20*VERI_TABANI!$B$15 + IF($B$8=1, AA20*VERI_TABANI!B16, IF($B$8=-1, AA20*VERI_TABANI!B17, 0))) / ((D20+O20)*VERI_TABANI!$B$13 + Z20*VERI_TABANI!B18), 0)</f>
        <v/>
      </c>
      <c r="AU20" s="276">
        <f>J20</f>
        <v/>
      </c>
      <c r="AV20" s="276">
        <f>U20</f>
        <v/>
      </c>
      <c r="AW20" s="276">
        <f>AF20</f>
        <v/>
      </c>
      <c r="AX20" s="276">
        <f>AU20+AV20+AW20</f>
        <v/>
      </c>
      <c r="AY20" s="278">
        <f>IFERROR(AN20/((H20+S20+AD20)/VERI_TABANI!B23), 0)</f>
        <v/>
      </c>
      <c r="AZ20" s="278">
        <f>IFERROR(AN20/((I20+T20+AE20)/VERI_TABANI!B23), 0)</f>
        <v/>
      </c>
      <c r="BA20" s="278">
        <f>IFERROR(AN20/(AX20/VERI_TABANI!B26), 0)</f>
        <v/>
      </c>
    </row>
    <row r="21" ht="13.5" customHeight="1" s="102">
      <c r="A21" s="234">
        <f>VERI_TABANI!A27</f>
        <v/>
      </c>
      <c r="B21" s="235">
        <f>VERI_TABANI!C27</f>
        <v/>
      </c>
      <c r="C21" s="235">
        <f>VERI_TABANI!D27</f>
        <v/>
      </c>
      <c r="D21" s="236">
        <f>C21*DASHBOARD!$B$6</f>
        <v/>
      </c>
      <c r="E21" s="236">
        <f>(D21/VERI_TABANI!B27)/VERI_TABANI!$B$3</f>
        <v/>
      </c>
      <c r="F21" s="236">
        <f>MAX(0, E21-E20)</f>
        <v/>
      </c>
      <c r="G21" s="236">
        <f>F21*VERI_TABANI!$B$5</f>
        <v/>
      </c>
      <c r="H21" s="236">
        <f>MIN(C21, D21)*VERI_TABANI!$B$7 + MAX(0, D21-C21)*VERI_TABANI!$B$8</f>
        <v/>
      </c>
      <c r="I21" s="236">
        <f>D21*(VERI_TABANI!$B$13-VERI_TABANI!$B$14)*VERI_TABANI!G27</f>
        <v/>
      </c>
      <c r="J21" s="236">
        <f>H21+I21</f>
        <v/>
      </c>
      <c r="K21" s="237">
        <f>IFERROR((D21*VERI_TABANI!$B$14)/(D21*VERI_TABANI!$B$13), 0)</f>
        <v/>
      </c>
      <c r="L21" s="238">
        <f>IFERROR(G21/(H21/VERI_TABANI!B27), 0)</f>
        <v/>
      </c>
      <c r="M21" s="238">
        <f>IFERROR(G21/(I21/VERI_TABANI!B27), 0)</f>
        <v/>
      </c>
      <c r="N21" s="238">
        <f>IFERROR(G21/(J21/VERI_TABANI!B27), 0)</f>
        <v/>
      </c>
      <c r="O21" s="239">
        <f>C21*DASHBOARD!$B$7</f>
        <v/>
      </c>
      <c r="P21" s="239">
        <f>(O21/VERI_TABANI!B27)/VERI_TABANI!$B$4</f>
        <v/>
      </c>
      <c r="Q21" s="239">
        <f>MAX(0, P21-P20)</f>
        <v/>
      </c>
      <c r="R21" s="239">
        <f>Q21*VERI_TABANI!$B$6</f>
        <v/>
      </c>
      <c r="S21" s="239">
        <f>MIN(MAX(0, C21-D21), O21)*VERI_TABANI!$B$7 + MAX(0, O21-MAX(0, C21-D21))*VERI_TABANI!$B$8</f>
        <v/>
      </c>
      <c r="T21" s="239">
        <f>O21*(VERI_TABANI!$B$13-VERI_TABANI!$B$15)*VERI_TABANI!G27</f>
        <v/>
      </c>
      <c r="U21" s="239">
        <f>S21+T21</f>
        <v/>
      </c>
      <c r="V21" s="240">
        <f>IFERROR((O21*VERI_TABANI!$B$15)/(O21*VERI_TABANI!$B$13), 0)</f>
        <v/>
      </c>
      <c r="W21" s="241">
        <f>IFERROR(R21/(S21/VERI_TABANI!B27), 0)</f>
        <v/>
      </c>
      <c r="X21" s="241">
        <f>IFERROR(R21/(T21/VERI_TABANI!B27), 0)</f>
        <v/>
      </c>
      <c r="Y21" s="241">
        <f>IFERROR(R21/(U21/VERI_TABANI!B27), 0)</f>
        <v/>
      </c>
      <c r="Z21" s="242">
        <f>IF(ABS(DASHBOARD!$B$8)=1, VERI_TABANI!E27*(1-0.928), 0)</f>
        <v/>
      </c>
      <c r="AA21" s="242">
        <f>IF(ABS(DASHBOARD!$B$8)=1, VERI_TABANI!F27, 0)</f>
        <v/>
      </c>
      <c r="AB21" s="242">
        <f>AA21/VERI_TABANI!B27</f>
        <v/>
      </c>
      <c r="AC21" s="242">
        <f>IF(DASHBOARD!$B$8=1, MAX(0, AB21-AB20)*(VERI_TABANI!$B$10+VERI_TABANI!$B$12), IF(DASHBOARD!$B$8=-1, MAX(0, AB21-AB20)*(VERI_TABANI!$B$11+VERI_TABANI!$B$12), 0))</f>
        <v/>
      </c>
      <c r="AD21" s="242">
        <f>Z21*VERI_TABANI!$B$9</f>
        <v/>
      </c>
      <c r="AE21" s="242">
        <f>Z21*0.00206091519919798*VERI_TABANI!G27</f>
        <v/>
      </c>
      <c r="AF21" s="242">
        <f>AD21+AE21</f>
        <v/>
      </c>
      <c r="AG21" s="243">
        <f>IFERROR((IF($B$8=1, AA21*VERI_TABANI!B16, IF($B$8=-1, AA21*VERI_TABANI!B17, 0))) / (Z21*VERI_TABANI!B18), 0)</f>
        <v/>
      </c>
      <c r="AH21" s="244">
        <f>IFERROR(AC21/(AD21/VERI_TABANI!B27), 0)</f>
        <v/>
      </c>
      <c r="AI21" s="244">
        <f>IFERROR(AC21/(AE21/VERI_TABANI!B27), 0)</f>
        <v/>
      </c>
      <c r="AJ21" s="244">
        <f>IFERROR(AC21/(AF21/VERI_TABANI!B27), 0)</f>
        <v/>
      </c>
      <c r="AK21" s="276">
        <f>G21</f>
        <v/>
      </c>
      <c r="AL21" s="276">
        <f>R21</f>
        <v/>
      </c>
      <c r="AM21" s="276">
        <f>AC21</f>
        <v/>
      </c>
      <c r="AN21" s="276">
        <f>AK21+AL21+AM21</f>
        <v/>
      </c>
      <c r="AO21" s="276">
        <f>D21*(VERI_TABANI!$B$13-VERI_TABANI!$B$14)</f>
        <v/>
      </c>
      <c r="AP21" s="276">
        <f>O21*(VERI_TABANI!$B$13-VERI_TABANI!$B$15)</f>
        <v/>
      </c>
      <c r="AQ21" s="276">
        <f>IF($B$8=1, AA21*(0.00202-VERI_TABANI!B16), IF($B$8=-1, AA21*(0.00202-VERI_TABANI!B17), 0))</f>
        <v/>
      </c>
      <c r="AR21" s="276">
        <f>AO21+AP21+AQ21</f>
        <v/>
      </c>
      <c r="AS21" s="276">
        <f>I21+T21+AE21</f>
        <v/>
      </c>
      <c r="AT21" s="277">
        <f>IFERROR((D21*VERI_TABANI!$B$14 + O21*VERI_TABANI!$B$15 + IF($B$8=1, AA21*VERI_TABANI!B16, IF($B$8=-1, AA21*VERI_TABANI!B17, 0))) / ((D21+O21)*VERI_TABANI!$B$13 + Z21*VERI_TABANI!B18), 0)</f>
        <v/>
      </c>
      <c r="AU21" s="276">
        <f>J21</f>
        <v/>
      </c>
      <c r="AV21" s="276">
        <f>U21</f>
        <v/>
      </c>
      <c r="AW21" s="276">
        <f>AF21</f>
        <v/>
      </c>
      <c r="AX21" s="276">
        <f>AU21+AV21+AW21</f>
        <v/>
      </c>
      <c r="AY21" s="278">
        <f>IFERROR(AN21/((H21+S21+AD21)/VERI_TABANI!B23), 0)</f>
        <v/>
      </c>
      <c r="AZ21" s="278">
        <f>IFERROR(AN21/((I21+T21+AE21)/VERI_TABANI!B23), 0)</f>
        <v/>
      </c>
      <c r="BA21" s="278">
        <f>IFERROR(AN21/(AX21/VERI_TABANI!B27), 0)</f>
        <v/>
      </c>
    </row>
    <row r="22" ht="13.5" customHeight="1" s="102">
      <c r="A22" s="248">
        <f>VERI_TABANI!A28</f>
        <v/>
      </c>
      <c r="B22" s="249">
        <f>VERI_TABANI!C28</f>
        <v/>
      </c>
      <c r="C22" s="249">
        <f>VERI_TABANI!D28</f>
        <v/>
      </c>
      <c r="D22" s="250">
        <f>C22*DASHBOARD!$B$6</f>
        <v/>
      </c>
      <c r="E22" s="250">
        <f>(D22/VERI_TABANI!B28)/VERI_TABANI!$B$3</f>
        <v/>
      </c>
      <c r="F22" s="250">
        <f>MAX(0, E22-E21)</f>
        <v/>
      </c>
      <c r="G22" s="250">
        <f>F22*VERI_TABANI!$B$5</f>
        <v/>
      </c>
      <c r="H22" s="250">
        <f>MIN(C22, D22)*VERI_TABANI!$B$7 + MAX(0, D22-C22)*VERI_TABANI!$B$8</f>
        <v/>
      </c>
      <c r="I22" s="250">
        <f>D22*(VERI_TABANI!$B$13-VERI_TABANI!$B$14)*VERI_TABANI!G28</f>
        <v/>
      </c>
      <c r="J22" s="250">
        <f>H22+I22</f>
        <v/>
      </c>
      <c r="K22" s="251">
        <f>IFERROR((D22*VERI_TABANI!$B$14)/(D22*VERI_TABANI!$B$13), 0)</f>
        <v/>
      </c>
      <c r="L22" s="252">
        <f>IFERROR(G22/(H22/VERI_TABANI!B28), 0)</f>
        <v/>
      </c>
      <c r="M22" s="252">
        <f>IFERROR(G22/(I22/VERI_TABANI!B28), 0)</f>
        <v/>
      </c>
      <c r="N22" s="252">
        <f>IFERROR(G22/(J22/VERI_TABANI!B28), 0)</f>
        <v/>
      </c>
      <c r="O22" s="253">
        <f>C22*DASHBOARD!$B$7</f>
        <v/>
      </c>
      <c r="P22" s="253">
        <f>(O22/VERI_TABANI!B28)/VERI_TABANI!$B$4</f>
        <v/>
      </c>
      <c r="Q22" s="253">
        <f>MAX(0, P22-P21)</f>
        <v/>
      </c>
      <c r="R22" s="253">
        <f>Q22*VERI_TABANI!$B$6</f>
        <v/>
      </c>
      <c r="S22" s="253">
        <f>MIN(MAX(0, C22-D22), O22)*VERI_TABANI!$B$7 + MAX(0, O22-MAX(0, C22-D22))*VERI_TABANI!$B$8</f>
        <v/>
      </c>
      <c r="T22" s="253">
        <f>O22*(VERI_TABANI!$B$13-VERI_TABANI!$B$15)*VERI_TABANI!G28</f>
        <v/>
      </c>
      <c r="U22" s="253">
        <f>S22+T22</f>
        <v/>
      </c>
      <c r="V22" s="254">
        <f>IFERROR((O22*VERI_TABANI!$B$15)/(O22*VERI_TABANI!$B$13), 0)</f>
        <v/>
      </c>
      <c r="W22" s="255">
        <f>IFERROR(R22/(S22/VERI_TABANI!B28), 0)</f>
        <v/>
      </c>
      <c r="X22" s="255">
        <f>IFERROR(R22/(T22/VERI_TABANI!B28), 0)</f>
        <v/>
      </c>
      <c r="Y22" s="255">
        <f>IFERROR(R22/(U22/VERI_TABANI!B28), 0)</f>
        <v/>
      </c>
      <c r="Z22" s="256">
        <f>IF(ABS(DASHBOARD!$B$8)=1, VERI_TABANI!E28*(1-0.928), 0)</f>
        <v/>
      </c>
      <c r="AA22" s="256">
        <f>IF(ABS(DASHBOARD!$B$8)=1, VERI_TABANI!F28, 0)</f>
        <v/>
      </c>
      <c r="AB22" s="256">
        <f>AA22/VERI_TABANI!B28</f>
        <v/>
      </c>
      <c r="AC22" s="256">
        <f>IF(DASHBOARD!$B$8=1, MAX(0, AB22-AB21)*(VERI_TABANI!$B$10+VERI_TABANI!$B$12), IF(DASHBOARD!$B$8=-1, MAX(0, AB22-AB21)*(VERI_TABANI!$B$11+VERI_TABANI!$B$12), 0))</f>
        <v/>
      </c>
      <c r="AD22" s="256">
        <f>Z22*VERI_TABANI!$B$9</f>
        <v/>
      </c>
      <c r="AE22" s="256">
        <f>Z22*0.00206091519919798*VERI_TABANI!G28</f>
        <v/>
      </c>
      <c r="AF22" s="256">
        <f>AD22+AE22</f>
        <v/>
      </c>
      <c r="AG22" s="257">
        <f>IFERROR((IF($B$8=1, AA22*VERI_TABANI!B16, IF($B$8=-1, AA22*VERI_TABANI!B17, 0))) / (Z22*VERI_TABANI!B18), 0)</f>
        <v/>
      </c>
      <c r="AH22" s="258">
        <f>IFERROR(AC22/(AD22/VERI_TABANI!B28), 0)</f>
        <v/>
      </c>
      <c r="AI22" s="258">
        <f>IFERROR(AC22/(AE22/VERI_TABANI!B28), 0)</f>
        <v/>
      </c>
      <c r="AJ22" s="258">
        <f>IFERROR(AC22/(AF22/VERI_TABANI!B28), 0)</f>
        <v/>
      </c>
      <c r="AK22" s="276">
        <f>G22</f>
        <v/>
      </c>
      <c r="AL22" s="276">
        <f>R22</f>
        <v/>
      </c>
      <c r="AM22" s="276">
        <f>AC22</f>
        <v/>
      </c>
      <c r="AN22" s="276">
        <f>AK22+AL22+AM22</f>
        <v/>
      </c>
      <c r="AO22" s="276">
        <f>D22*(VERI_TABANI!$B$13-VERI_TABANI!$B$14)</f>
        <v/>
      </c>
      <c r="AP22" s="276">
        <f>O22*(VERI_TABANI!$B$13-VERI_TABANI!$B$15)</f>
        <v/>
      </c>
      <c r="AQ22" s="276">
        <f>IF($B$8=1, AA22*(0.00202-VERI_TABANI!B16), IF($B$8=-1, AA22*(0.00202-VERI_TABANI!B17), 0))</f>
        <v/>
      </c>
      <c r="AR22" s="276">
        <f>AO22+AP22+AQ22</f>
        <v/>
      </c>
      <c r="AS22" s="276">
        <f>I22+T22+AE22</f>
        <v/>
      </c>
      <c r="AT22" s="277">
        <f>IFERROR((D22*VERI_TABANI!$B$14 + O22*VERI_TABANI!$B$15 + IF($B$8=1, AA22*VERI_TABANI!B16, IF($B$8=-1, AA22*VERI_TABANI!B17, 0))) / ((D22+O22)*VERI_TABANI!$B$13 + Z22*VERI_TABANI!B18), 0)</f>
        <v/>
      </c>
      <c r="AU22" s="276">
        <f>J22</f>
        <v/>
      </c>
      <c r="AV22" s="276">
        <f>U22</f>
        <v/>
      </c>
      <c r="AW22" s="276">
        <f>AF22</f>
        <v/>
      </c>
      <c r="AX22" s="276">
        <f>AU22+AV22+AW22</f>
        <v/>
      </c>
      <c r="AY22" s="278">
        <f>IFERROR(AN22/((H22+S22+AD22)/VERI_TABANI!B23), 0)</f>
        <v/>
      </c>
      <c r="AZ22" s="278">
        <f>IFERROR(AN22/((I22+T22+AE22)/VERI_TABANI!B23), 0)</f>
        <v/>
      </c>
      <c r="BA22" s="278">
        <f>IFERROR(AN22/(AX22/VERI_TABANI!B28), 0)</f>
        <v/>
      </c>
    </row>
    <row r="23">
      <c r="A23" s="262" t="inlineStr">
        <is>
          <t>GENEL TOPLAM</t>
        </is>
      </c>
      <c r="B23" s="262">
        <f>SUM(B17:B22)</f>
        <v/>
      </c>
      <c r="C23" s="262">
        <f>SUM(C17:C22)</f>
        <v/>
      </c>
      <c r="D23" s="263">
        <f>SUM(D17:D22)</f>
        <v/>
      </c>
      <c r="E23" s="263">
        <f>MAX(E17:E22)</f>
        <v/>
      </c>
      <c r="F23" s="263">
        <f>SUM(F17:F22)</f>
        <v/>
      </c>
      <c r="G23" s="263">
        <f>SUM(G17:G22)</f>
        <v/>
      </c>
      <c r="H23" s="263">
        <f>SUM(H17:H22)</f>
        <v/>
      </c>
      <c r="I23" s="263">
        <f>SUM(I17:I22)</f>
        <v/>
      </c>
      <c r="J23" s="263">
        <f>SUM(J17:J22)</f>
        <v/>
      </c>
      <c r="K23" s="264">
        <f>IFERROR((D23*VERI_TABANI!$B$14)/(D23*VERI_TABANI!$B$13), 0)</f>
        <v/>
      </c>
      <c r="L23" s="265">
        <f>IFERROR(G23/(H23/29), 0)</f>
        <v/>
      </c>
      <c r="M23" s="265">
        <f>IFERROR(G23/(I23/29), 0)</f>
        <v/>
      </c>
      <c r="N23" s="265">
        <f>IFERROR(G23/(J23/29), 0)</f>
        <v/>
      </c>
      <c r="O23" s="266">
        <f>SUM(O17:O22)</f>
        <v/>
      </c>
      <c r="P23" s="266">
        <f>MAX(P17:P22)</f>
        <v/>
      </c>
      <c r="Q23" s="266">
        <f>SUM(Q17:Q22)</f>
        <v/>
      </c>
      <c r="R23" s="266">
        <f>SUM(R17:R22)</f>
        <v/>
      </c>
      <c r="S23" s="266">
        <f>SUM(S17:S22)</f>
        <v/>
      </c>
      <c r="T23" s="266">
        <f>SUM(T17:T22)</f>
        <v/>
      </c>
      <c r="U23" s="266">
        <f>SUM(U17:U22)</f>
        <v/>
      </c>
      <c r="V23" s="267">
        <f>IFERROR((O23*VERI_TABANI!$B$15)/(O23*VERI_TABANI!$B$13), 0)</f>
        <v/>
      </c>
      <c r="W23" s="268">
        <f>IFERROR(R23/(S23/29), 0)</f>
        <v/>
      </c>
      <c r="X23" s="268">
        <f>IFERROR(R23/(T23/29), 0)</f>
        <v/>
      </c>
      <c r="Y23" s="268">
        <f>IFERROR(R23/(U23/29), 0)</f>
        <v/>
      </c>
      <c r="Z23" s="269">
        <f>SUM(Z17:Z22)</f>
        <v/>
      </c>
      <c r="AA23" s="269">
        <f>SUM(AA17:AA22)</f>
        <v/>
      </c>
      <c r="AB23" s="269">
        <f>MAX(AB17:AB22)</f>
        <v/>
      </c>
      <c r="AC23" s="269">
        <f>SUM(AC17:AC22)</f>
        <v/>
      </c>
      <c r="AD23" s="269">
        <f>SUM(AD17:AD22)</f>
        <v/>
      </c>
      <c r="AE23" s="269">
        <f>SUM(AE17:AE22)</f>
        <v/>
      </c>
      <c r="AF23" s="269">
        <f>SUM(AF17:AF22)</f>
        <v/>
      </c>
      <c r="AG23" s="270">
        <f>IFERROR((IF($B$8=1, AA23*VERI_TABANI!B16, IF($B$8=-1, AA23*VERI_TABANI!B17, 0))) / (Z23*VERI_TABANI!B18), 0)</f>
        <v/>
      </c>
      <c r="AH23" s="271">
        <f>IFERROR(AC23/(AD23/29), 0)</f>
        <v/>
      </c>
      <c r="AI23" s="271">
        <f>IFERROR(AC23/(AE23/29), 0)</f>
        <v/>
      </c>
      <c r="AJ23" s="271">
        <f>IFERROR(AC23/(AF23/29), 0)</f>
        <v/>
      </c>
      <c r="AK23" s="279">
        <f>SUM(AK17:AK22)</f>
        <v/>
      </c>
      <c r="AL23" s="279">
        <f>SUM(AL17:AL22)</f>
        <v/>
      </c>
      <c r="AM23" s="279">
        <f>SUM(AM17:AM22)</f>
        <v/>
      </c>
      <c r="AN23" s="279">
        <f>SUM(AN17:AN22)</f>
        <v/>
      </c>
      <c r="AO23" s="279">
        <f>SUM(AO17:AO22)</f>
        <v/>
      </c>
      <c r="AP23" s="279">
        <f>SUM(AP17:AP22)</f>
        <v/>
      </c>
      <c r="AQ23" s="279">
        <f>SUM(AQ17:AQ22)</f>
        <v/>
      </c>
      <c r="AR23" s="279">
        <f>SUM(AR17:AR22)</f>
        <v/>
      </c>
      <c r="AS23" s="279">
        <f>SUM(AS17:AS22)</f>
        <v/>
      </c>
      <c r="AT23" s="280">
        <f>IFERROR((D23*VERI_TABANI!$B$14 + O23*VERI_TABANI!$B$15 + IF($B$8=1, AA23*VERI_TABANI!B16, IF($B$8=-1, AA23*VERI_TABANI!B17, 0))) / ((D23+O23)*VERI_TABANI!$B$13 + Z23*VERI_TABANI!B18), 0)</f>
        <v/>
      </c>
      <c r="AU23" s="279">
        <f>SUM(AU17:AU22)</f>
        <v/>
      </c>
      <c r="AV23" s="279">
        <f>SUM(AV17:AV22)</f>
        <v/>
      </c>
      <c r="AW23" s="279">
        <f>SUM(AW17:AW22)</f>
        <v/>
      </c>
      <c r="AX23" s="279">
        <f>SUM(AX17:AX22)</f>
        <v/>
      </c>
      <c r="AY23" s="281">
        <f>IFERROR(AN23/((H23+S23+AD23)/29), 0)</f>
        <v/>
      </c>
      <c r="AZ23" s="281">
        <f>IFERROR(AN23/((I23+T23+AE23)/29), 0)</f>
        <v/>
      </c>
      <c r="BA23" s="281">
        <f>IFERROR(AN23/(AX23/29), 0)</f>
        <v/>
      </c>
    </row>
  </sheetData>
  <mergeCells count="8">
    <mergeCell ref="A4:H4"/>
    <mergeCell ref="A1:J1"/>
    <mergeCell ref="A14:AZ14"/>
    <mergeCell ref="O15:Y15"/>
    <mergeCell ref="D15:N15"/>
    <mergeCell ref="Z15:AJ15"/>
    <mergeCell ref="A2:J2"/>
    <mergeCell ref="AK15:BA15"/>
  </mergeCells>
  <conditionalFormatting sqref="B9:C9">
    <cfRule type="expression" rank="0" priority="2" equalAverage="0" aboveAverage="0" dxfId="0" text="" percent="0" bottom="0">
      <formula>ROUND($B$6+$B$7, 4)=ROUND($B$5, 4)</formula>
    </cfRule>
    <cfRule type="expression" rank="0" priority="3" equalAverage="0" aboveAverage="0" dxfId="1" text="" percent="0" bottom="0">
      <formula>ROUND($B$6+$B$7, 4)&lt;&gt;ROUND($B$5, 4)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B8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5" customWidth="1" style="101" min="1" max="1"/>
    <col width="17" customWidth="1" style="101" min="2" max="3"/>
    <col width="15" customWidth="1" style="101" min="4" max="4"/>
    <col width="75" customWidth="1" style="101" min="5" max="5"/>
    <col width="280" customWidth="1" style="101" min="6" max="6"/>
    <col width="27.24" customWidth="1" style="101" min="7" max="7"/>
    <col width="252.76" customWidth="1" style="101" min="8" max="8"/>
    <col width="45.12" customWidth="1" style="101" min="9" max="9"/>
    <col width="33" customWidth="1" style="101" min="10" max="10"/>
    <col width="29" customWidth="1" style="101" min="11" max="11"/>
    <col width="26" customWidth="1" style="101" min="12" max="12"/>
    <col width="25" customWidth="1" style="101" min="13" max="13"/>
    <col width="34" customWidth="1" style="101" min="14" max="14"/>
    <col width="72" customWidth="1" style="101" min="15" max="15"/>
    <col width="60" customWidth="1" style="101" min="16" max="16"/>
    <col width="89" customWidth="1" style="101" min="17" max="17"/>
    <col width="26" customWidth="1" style="101" min="18" max="18"/>
  </cols>
  <sheetData>
    <row r="1" ht="15.75" customHeight="1" s="102">
      <c r="A1" s="103" t="inlineStr">
        <is>
          <t>441 KOMBİNASYONLU TAM DUYARLILIK SİMÜLASYON MATRİSİ (GES %0-%200, RES %0-%200, H2 %0-%20)</t>
        </is>
      </c>
    </row>
    <row r="2" ht="13.5" customHeight="1" s="102"/>
    <row r="3" ht="13.5" customHeight="1" s="102"/>
    <row r="4" ht="13.5" customHeight="1" s="102">
      <c r="A4" s="108" t="inlineStr">
        <is>
          <t>Senaryo No</t>
        </is>
      </c>
      <c r="B4" s="108" t="inlineStr">
        <is>
          <t>GES Oranı (%)</t>
        </is>
      </c>
      <c r="C4" s="108" t="inlineStr">
        <is>
          <t>RES Oranı (%)</t>
        </is>
      </c>
      <c r="D4" s="108" t="inlineStr">
        <is>
          <t>H2 Durumu</t>
        </is>
      </c>
      <c r="E4" s="108" t="inlineStr">
        <is>
          <t>EPDK Rejimi</t>
        </is>
      </c>
      <c r="F4" s="108" t="inlineStr">
        <is>
          <t>Kümülatif Yatırım (€)</t>
        </is>
      </c>
      <c r="G4" s="108" t="inlineStr">
        <is>
          <t>29 Yıllık Net Fayda (€)</t>
        </is>
      </c>
      <c r="H4" s="108" t="inlineStr">
        <is>
          <t>Engellenen Net Karbon (tCO2)</t>
        </is>
      </c>
      <c r="I4" s="108" t="inlineStr">
        <is>
          <t>Birleşik LCA Oranı (%)</t>
        </is>
      </c>
      <c r="J4" s="108" t="inlineStr">
        <is>
          <t>Basit Amortisman Süresi (Yıl)</t>
        </is>
      </c>
      <c r="K4" s="108" t="inlineStr">
        <is>
          <t>Karbon/CAPEX (tCO2/€)</t>
        </is>
      </c>
      <c r="L4" s="108" t="inlineStr">
        <is>
          <t>LCA Footprint</t>
        </is>
      </c>
      <c r="M4" s="108" t="inlineStr">
        <is>
          <t>Net Metering Distance</t>
        </is>
      </c>
      <c r="N4" s="108" t="inlineStr">
        <is>
          <t>ROI Ratio</t>
        </is>
      </c>
      <c r="O4" s="108" t="inlineStr">
        <is>
          <t>Scope 1+2 Shield Helper</t>
        </is>
      </c>
      <c r="P4" s="108" t="inlineStr">
        <is>
          <t>Knee Point Distance</t>
        </is>
      </c>
      <c r="Q4" s="108" t="inlineStr">
        <is>
          <t>Wind-Solar Sinerji Match</t>
        </is>
      </c>
      <c r="R4" s="108" t="inlineStr">
        <is>
          <t>Payback Sort Helper</t>
        </is>
      </c>
      <c r="S4" s="101" t="inlineStr">
        <is>
          <t>Filtered Net Fayda</t>
        </is>
      </c>
      <c r="T4" s="101" t="inlineStr">
        <is>
          <t>Filtered Payback</t>
        </is>
      </c>
      <c r="U4" s="101" t="inlineStr">
        <is>
          <t>Filtered ROI</t>
        </is>
      </c>
      <c r="V4" s="101" t="inlineStr">
        <is>
          <t>Filtered Carbon</t>
        </is>
      </c>
      <c r="W4" s="101" t="inlineStr">
        <is>
          <t>Filtered CO2/CAPEX</t>
        </is>
      </c>
      <c r="X4" s="101" t="inlineStr">
        <is>
          <t>Filtered EPDK Match</t>
        </is>
      </c>
      <c r="Y4" s="101" t="inlineStr">
        <is>
          <t>Filtered LCA %</t>
        </is>
      </c>
      <c r="Z4" s="101" t="inlineStr">
        <is>
          <t>Filtered Scope 1+2</t>
        </is>
      </c>
      <c r="AA4" s="101" t="inlineStr">
        <is>
          <t>Filtered Knee Point</t>
        </is>
      </c>
      <c r="AB4" s="101" t="inlineStr">
        <is>
          <t>Filtered Synergy</t>
        </is>
      </c>
    </row>
    <row r="5" ht="12.75" customHeight="1" s="102">
      <c r="A5" s="166" t="n">
        <v>1</v>
      </c>
      <c r="B5" s="167" t="n">
        <v>0</v>
      </c>
      <c r="C5" s="167" t="n">
        <v>0</v>
      </c>
      <c r="D5" s="110" t="inlineStr">
        <is>
          <t>Yok (%0)</t>
        </is>
      </c>
      <c r="E5" s="110">
        <f>IF((B5+C5)&lt;=1, "Tam Mahsuplaşma (≤%100)", "Kısmi Satış (&gt;%100)")</f>
        <v/>
      </c>
      <c r="F5" s="168">
        <f>((VERI_TABANI!$D$29*B5/VERI_TABANI!$B$29)/VERI_TABANI!$B$3)*VERI_TABANI!$B$5 + ((VERI_TABANI!$D$29*C5/VERI_TABANI!$B$29)/VERI_TABANI!$B$4)*VERI_TABANI!$B$6 + IF(ISNUMBER(SEARCH("Var", D5)), (VERI_TABANI!$F$29/VERI_TABANI!$B$29)*(VERI_TABANI!$B$10+VERI_TABANI!$B$12), 0)</f>
        <v/>
      </c>
      <c r="G5" s="168">
        <f>(((MIN(VERI_TABANI!D23, VERI_TABANI!D23*B5)*VERI_TABANI!$B$7 + MAX(0, VERI_TABANI!D23*B5-VERI_TABANI!D23)*VERI_TABANI!$B$8) + (MIN(MAX(0, VERI_TABANI!D23-VERI_TABANI!D23*B5), VERI_TABANI!D23*C5)*VERI_TABANI!$B$7 + MAX(0, VERI_TABANI!D23*C5-MAX(0, VERI_TABANI!D23-VERI_TABANI!D23*B5))*VERI_TABANI!$B$8) + IF(ABS(IF(ISNUMBER(SEARCH("Var", D5)), 1, IF(ISNUMBER(SEARCH("Gri", D5)), -1, 0)))=1, VERI_TABANI!E23*(1-0.928)*VERI_TABANI!$B$9, 0) + (VERI_TABANI!D23*B5*(VERI_TABANI!$B$13-VERI_TABANI!$B$14)*VERI_TABANI!G23) + (VERI_TABANI!D23*C5*(VERI_TABANI!$B$13-VERI_TABANI!$B$15)*VERI_TABANI!G23) + IF(ABS(IF(ISNUMBER(SEARCH("Var", D5)), 1, IF(ISNUMBER(SEARCH("Gri", D5)), -1, 0)))=1, VERI_TABANI!E23*(1-0.928)*0.00206091519919798*VERI_TABANI!G23, 0)) + ((MIN(VERI_TABANI!D24, VERI_TABANI!D24*B5)*VERI_TABANI!$B$7 + MAX(0, VERI_TABANI!D24*B5-VERI_TABANI!D24)*VERI_TABANI!$B$8) + (MIN(MAX(0, VERI_TABANI!D24-VERI_TABANI!D24*B5), VERI_TABANI!D24*C5)*VERI_TABANI!$B$7 + MAX(0, VERI_TABANI!D24*C5-MAX(0, VERI_TABANI!D24-VERI_TABANI!D24*B5))*VERI_TABANI!$B$8) + IF(ABS(IF(ISNUMBER(SEARCH("Var", D5)), 1, IF(ISNUMBER(SEARCH("Gri", D5)), -1, 0)))=1, VERI_TABANI!E24*(1-0.928)*VERI_TABANI!$B$9, 0) + (VERI_TABANI!D24*B5*(VERI_TABANI!$B$13-VERI_TABANI!$B$14)*VERI_TABANI!G24) + (VERI_TABANI!D24*C5*(VERI_TABANI!$B$13-VERI_TABANI!$B$15)*VERI_TABANI!G24) + IF(ABS(IF(ISNUMBER(SEARCH("Var", D5)), 1, IF(ISNUMBER(SEARCH("Gri", D5)), -1, 0)))=1, VERI_TABANI!E24*(1-0.928)*0.00206091519919798*VERI_TABANI!G24, 0)) + ((MIN(VERI_TABANI!D25, VERI_TABANI!D25*B5)*VERI_TABANI!$B$7 + MAX(0, VERI_TABANI!D25*B5-VERI_TABANI!D25)*VERI_TABANI!$B$8) + (MIN(MAX(0, VERI_TABANI!D25-VERI_TABANI!D25*B5), VERI_TABANI!D25*C5)*VERI_TABANI!$B$7 + MAX(0, VERI_TABANI!D25*C5-MAX(0, VERI_TABANI!D25-VERI_TABANI!D25*B5))*VERI_TABANI!$B$8) + IF(ABS(IF(ISNUMBER(SEARCH("Var", D5)), 1, IF(ISNUMBER(SEARCH("Gri", D5)), -1, 0)))=1, VERI_TABANI!E25*(1-0.928)*VERI_TABANI!$B$9, 0) + (VERI_TABANI!D25*B5*(VERI_TABANI!$B$13-VERI_TABANI!$B$14)*VERI_TABANI!G25) + (VERI_TABANI!D25*C5*(VERI_TABANI!$B$13-VERI_TABANI!$B$15)*VERI_TABANI!G25) + IF(ABS(IF(ISNUMBER(SEARCH("Var", D5)), 1, IF(ISNUMBER(SEARCH("Gri", D5)), -1, 0)))=1, VERI_TABANI!E25*(1-0.928)*0.00206091519919798*VERI_TABANI!G25, 0)) + ((MIN(VERI_TABANI!D26, VERI_TABANI!D26*B5)*VERI_TABANI!$B$7 + MAX(0, VERI_TABANI!D26*B5-VERI_TABANI!D26)*VERI_TABANI!$B$8) + (MIN(MAX(0, VERI_TABANI!D26-VERI_TABANI!D26*B5), VERI_TABANI!D26*C5)*VERI_TABANI!$B$7 + MAX(0, VERI_TABANI!D26*C5-MAX(0, VERI_TABANI!D26-VERI_TABANI!D26*B5))*VERI_TABANI!$B$8) + IF(ABS(IF(ISNUMBER(SEARCH("Var", D5)), 1, IF(ISNUMBER(SEARCH("Gri", D5)), -1, 0)))=1, VERI_TABANI!E26*(1-0.928)*VERI_TABANI!$B$9, 0) + (VERI_TABANI!D26*B5*(VERI_TABANI!$B$13-VERI_TABANI!$B$14)*VERI_TABANI!G26) + (VERI_TABANI!D26*C5*(VERI_TABANI!$B$13-VERI_TABANI!$B$15)*VERI_TABANI!G26) + IF(ABS(IF(ISNUMBER(SEARCH("Var", D5)), 1, IF(ISNUMBER(SEARCH("Gri", D5)), -1, 0)))=1, VERI_TABANI!E26*(1-0.928)*0.00206091519919798*VERI_TABANI!G26, 0)) + ((MIN(VERI_TABANI!D27, VERI_TABANI!D27*B5)*VERI_TABANI!$B$7 + MAX(0, VERI_TABANI!D27*B5-VERI_TABANI!D27)*VERI_TABANI!$B$8) + (MIN(MAX(0, VERI_TABANI!D27-VERI_TABANI!D27*B5), VERI_TABANI!D27*C5)*VERI_TABANI!$B$7 + MAX(0, VERI_TABANI!D27*C5-MAX(0, VERI_TABANI!D27-VERI_TABANI!D27*B5))*VERI_TABANI!$B$8) + IF(ABS(IF(ISNUMBER(SEARCH("Var", D5)), 1, IF(ISNUMBER(SEARCH("Gri", D5)), -1, 0)))=1, VERI_TABANI!E27*(1-0.928)*VERI_TABANI!$B$9, 0) + (VERI_TABANI!D27*B5*(VERI_TABANI!$B$13-VERI_TABANI!$B$14)*VERI_TABANI!G27) + (VERI_TABANI!D27*C5*(VERI_TABANI!$B$13-VERI_TABANI!$B$15)*VERI_TABANI!G27) + IF(ABS(IF(ISNUMBER(SEARCH("Var", D5)), 1, IF(ISNUMBER(SEARCH("Gri", D5)), -1, 0)))=1, VERI_TABANI!E27*(1-0.928)*0.00206091519919798*VERI_TABANI!G27, 0)) + ((MIN(VERI_TABANI!D28, VERI_TABANI!D28*B5)*VERI_TABANI!$B$7 + MAX(0, VERI_TABANI!D28*B5-VERI_TABANI!D28)*VERI_TABANI!$B$8) + (MIN(MAX(0, VERI_TABANI!D28-VERI_TABANI!D28*B5), VERI_TABANI!D28*C5)*VERI_TABANI!$B$7 + MAX(0, VERI_TABANI!D28*C5-MAX(0, VERI_TABANI!D28-VERI_TABANI!D28*B5))*VERI_TABANI!$B$8) + IF(ABS(IF(ISNUMBER(SEARCH("Var", D5)), 1, IF(ISNUMBER(SEARCH("Gri", D5)), -1, 0)))=1, VERI_TABANI!E28*(1-0.928)*VERI_TABANI!$B$9, 0) + (VERI_TABANI!D28*B5*(VERI_TABANI!$B$13-VERI_TABANI!$B$14)*VERI_TABANI!G28) + (VERI_TABANI!D28*C5*(VERI_TABANI!$B$13-VERI_TABANI!$B$15)*VERI_TABANI!G28) + IF(ABS(IF(ISNUMBER(SEARCH("Var", D5)), 1, IF(ISNUMBER(SEARCH("Gri", D5)), -1, 0)))=1, VERI_TABANI!E28*(1-0.928)*0.00206091519919798*VERI_TABANI!G28, 0)))</f>
        <v/>
      </c>
      <c r="H5" s="169">
        <f>(((VERI_TABANI!D23*B5*(VERI_TABANI!$B$13-VERI_TABANI!$B$14)) + (VERI_TABANI!D23*C5*(VERI_TABANI!$B$13-VERI_TABANI!$B$15)) + IF(ISNUMBER(SEARCH("Var", D5)), VERI_TABANI!F23*(0.00202-VERI_TABANI!$B$16), IF(ISNUMBER(SEARCH("Gri", D5)), VERI_TABANI!F23*(0.00202-VERI_TABANI!$B$17), 0))) + ((VERI_TABANI!D24*B5*(VERI_TABANI!$B$13-VERI_TABANI!$B$14)) + (VERI_TABANI!D24*C5*(VERI_TABANI!$B$13-VERI_TABANI!$B$15)) + IF(ISNUMBER(SEARCH("Var", D5)), VERI_TABANI!F24*(0.00202-VERI_TABANI!$B$16), IF(ISNUMBER(SEARCH("Gri", D5)), VERI_TABANI!F24*(0.00202-VERI_TABANI!$B$17), 0))) + ((VERI_TABANI!D25*B5*(VERI_TABANI!$B$13-VERI_TABANI!$B$14)) + (VERI_TABANI!D25*C5*(VERI_TABANI!$B$13-VERI_TABANI!$B$15)) + IF(ISNUMBER(SEARCH("Var", D5)), VERI_TABANI!F25*(0.00202-VERI_TABANI!$B$16), IF(ISNUMBER(SEARCH("Gri", D5)), VERI_TABANI!F25*(0.00202-VERI_TABANI!$B$17), 0))) + ((VERI_TABANI!D26*B5*(VERI_TABANI!$B$13-VERI_TABANI!$B$14)) + (VERI_TABANI!D26*C5*(VERI_TABANI!$B$13-VERI_TABANI!$B$15)) + IF(ISNUMBER(SEARCH("Var", D5)), VERI_TABANI!F26*(0.00202-VERI_TABANI!$B$16), IF(ISNUMBER(SEARCH("Gri", D5)), VERI_TABANI!F26*(0.00202-VERI_TABANI!$B$17), 0))) + ((VERI_TABANI!D27*B5*(VERI_TABANI!$B$13-VERI_TABANI!$B$14)) + (VERI_TABANI!D27*C5*(VERI_TABANI!$B$13-VERI_TABANI!$B$15)) + IF(ISNUMBER(SEARCH("Var", D5)), VERI_TABANI!F27*(0.00202-VERI_TABANI!$B$16), IF(ISNUMBER(SEARCH("Gri", D5)), VERI_TABANI!F27*(0.00202-VERI_TABANI!$B$17), 0))) + ((VERI_TABANI!D28*B5*(VERI_TABANI!$B$13-VERI_TABANI!$B$14)) + (VERI_TABANI!D28*C5*(VERI_TABANI!$B$13-VERI_TABANI!$B$15)) + IF(ISNUMBER(SEARCH("Var", D5)), VERI_TABANI!F28*(0.00202-VERI_TABANI!$B$16), IF(ISNUMBER(SEARCH("Gri", D5)), VERI_TABANI!F28*(0.00202-VERI_TABANI!$B$17), 0))))</f>
        <v/>
      </c>
      <c r="I5" s="170">
        <f>IFERROR(((VERI_TABANI!$D$29*B5*VERI_TABANI!$B$14 + VERI_TABANI!$D$29*C5*VERI_TABANI!$B$15 + IF(ISNUMBER(SEARCH("Var", D5)), VERI_TABANI!$F$29*VERI_TABANI!$B$16, 0))) / (((VERI_TABANI!$D$29*B5 + VERI_TABANI!$D$29*C5)*VERI_TABANI!$B$13 + IF(ISNUMBER(SEARCH("Var", D5)), VERI_TABANI!$E$29*(1-0.928)*VERI_TABANI!$B$18, 0))), 0)</f>
        <v/>
      </c>
      <c r="J5" s="171">
        <f>IFERROR(F5/(G5/29), 0)</f>
        <v/>
      </c>
      <c r="K5" s="172">
        <f>IF(F5&gt;0, H5/F5, 0)</f>
        <v/>
      </c>
      <c r="L5" s="170">
        <f>IF(F5&gt;0, I5, 1000000000)</f>
        <v/>
      </c>
      <c r="M5" s="171">
        <f>ABS((B5+C5)-1)</f>
        <v/>
      </c>
      <c r="N5" s="170">
        <f>IF(F5&gt;0, (G5/29)/F5, 0)</f>
        <v/>
      </c>
      <c r="O5" s="168">
        <f>IF(AND((B5+C5)&gt;=1, ISNUMBER(SEARCH("Var", D5))), F5, 1000000000)</f>
        <v/>
      </c>
      <c r="P5" s="172">
        <f>IF(F5&gt;0, SQRT((F5/MAX(F$5:F$886))^2 + (1 - H5/MAX(H$5:H$886))^2 + (J5/MAX(J$5:J$886))^2), 1000000000)</f>
        <v/>
      </c>
      <c r="Q5" s="166">
        <f>IF(AND(ABS(B5-0.5)&lt;0.01, ABS(C5-0.5)&lt;0.01, ISNUMBER(SEARCH("Var", D5))), 1, 0)</f>
        <v/>
      </c>
      <c r="R5" s="171">
        <f>IF(F5&gt;0, J5, 1000000000)</f>
        <v/>
      </c>
      <c r="S5" s="101">
        <f>IF(AND(F5&lt;=DASHBOARD!$B$11, H5&gt;=DASHBOARD!$B$13), G5, -1000000000000)</f>
        <v/>
      </c>
      <c r="T5" s="101">
        <f>IF(AND(F5&lt;=DASHBOARD!$B$11, H5&gt;=DASHBOARD!$B$13), R5, 1000000000000)</f>
        <v/>
      </c>
      <c r="U5" s="101">
        <f>IF(AND(F5&lt;=DASHBOARD!$B$11, H5&gt;=DASHBOARD!$B$13), N5, -1000000000000)</f>
        <v/>
      </c>
      <c r="V5" s="101">
        <f>IF(AND(F5&lt;=DASHBOARD!$B$11, H5&gt;=DASHBOARD!$B$13), H5, -1000000000000)</f>
        <v/>
      </c>
      <c r="W5" s="101">
        <f>IF(AND(F5&lt;=DASHBOARD!$B$11, H5&gt;=DASHBOARD!$B$13), K5, -1000000000000)</f>
        <v/>
      </c>
      <c r="X5" s="101">
        <f>IF(AND(F5&lt;=DASHBOARD!$B$11, H5&gt;=DASHBOARD!$B$13), M5, 1000000000000)</f>
        <v/>
      </c>
      <c r="Y5" s="101">
        <f>IF(AND(F5&lt;=DASHBOARD!$B$10, H5&gt;=DASHBOARD!$B$11), L5, 1000000000000)</f>
        <v/>
      </c>
      <c r="Z5" s="101">
        <f>IF(AND(F5&lt;=DASHBOARD!$B$10, H5&gt;=DASHBOARD!$B$11), O5, 1000000000000)</f>
        <v/>
      </c>
      <c r="AA5" s="101">
        <f>IF(AND(F5&lt;=DASHBOARD!$B$10, H5&gt;=DASHBOARD!$B$11), P5, 1000000000000)</f>
        <v/>
      </c>
      <c r="AB5" s="101">
        <f>IF(AND(F5&lt;=DASHBOARD!$B$10, H5&gt;=DASHBOARD!$B$11), Q5, -1000000000000)</f>
        <v/>
      </c>
    </row>
    <row r="6" ht="12.75" customHeight="1" s="102">
      <c r="A6" s="166" t="n">
        <v>2</v>
      </c>
      <c r="B6" s="167" t="n">
        <v>0</v>
      </c>
      <c r="C6" s="167" t="n">
        <v>0</v>
      </c>
      <c r="D6" s="110" t="inlineStr">
        <is>
          <t>Var (%20)</t>
        </is>
      </c>
      <c r="E6" s="110">
        <f>IF((B6+C6)&lt;=1, "Tam Mahsuplaşma (≤%100)", "Kısmi Satış (&gt;%100)")</f>
        <v/>
      </c>
      <c r="F6" s="168">
        <f>((VERI_TABANI!$D$29*B6/VERI_TABANI!$B$29)/VERI_TABANI!$B$3)*VERI_TABANI!$B$5 + ((VERI_TABANI!$D$29*C6/VERI_TABANI!$B$29)/VERI_TABANI!$B$4)*VERI_TABANI!$B$6 + IF(ISNUMBER(SEARCH("Var", D6)), (VERI_TABANI!$F$29/VERI_TABANI!$B$29)*(VERI_TABANI!$B$10+VERI_TABANI!$B$12), 0)</f>
        <v/>
      </c>
      <c r="G6" s="168">
        <f>(((MIN(VERI_TABANI!D23, VERI_TABANI!D23*B6)*VERI_TABANI!$B$7 + MAX(0, VERI_TABANI!D23*B6-VERI_TABANI!D23)*VERI_TABANI!$B$8) + (MIN(MAX(0, VERI_TABANI!D23-VERI_TABANI!D23*B6), VERI_TABANI!D23*C6)*VERI_TABANI!$B$7 + MAX(0, VERI_TABANI!D23*C6-MAX(0, VERI_TABANI!D23-VERI_TABANI!D23*B6))*VERI_TABANI!$B$8) + IF(ABS(IF(ISNUMBER(SEARCH("Var", D6)), 1, IF(ISNUMBER(SEARCH("Gri", D6)), -1, 0)))=1, VERI_TABANI!E23*(1-0.928)*VERI_TABANI!$B$9, 0) + (VERI_TABANI!D23*B6*(VERI_TABANI!$B$13-VERI_TABANI!$B$14)*VERI_TABANI!G23) + (VERI_TABANI!D23*C6*(VERI_TABANI!$B$13-VERI_TABANI!$B$15)*VERI_TABANI!G23) + IF(ABS(IF(ISNUMBER(SEARCH("Var", D6)), 1, IF(ISNUMBER(SEARCH("Gri", D6)), -1, 0)))=1, VERI_TABANI!E23*(1-0.928)*0.00206091519919798*VERI_TABANI!G23, 0)) + ((MIN(VERI_TABANI!D24, VERI_TABANI!D24*B6)*VERI_TABANI!$B$7 + MAX(0, VERI_TABANI!D24*B6-VERI_TABANI!D24)*VERI_TABANI!$B$8) + (MIN(MAX(0, VERI_TABANI!D24-VERI_TABANI!D24*B6), VERI_TABANI!D24*C6)*VERI_TABANI!$B$7 + MAX(0, VERI_TABANI!D24*C6-MAX(0, VERI_TABANI!D24-VERI_TABANI!D24*B6))*VERI_TABANI!$B$8) + IF(ABS(IF(ISNUMBER(SEARCH("Var", D6)), 1, IF(ISNUMBER(SEARCH("Gri", D6)), -1, 0)))=1, VERI_TABANI!E24*(1-0.928)*VERI_TABANI!$B$9, 0) + (VERI_TABANI!D24*B6*(VERI_TABANI!$B$13-VERI_TABANI!$B$14)*VERI_TABANI!G24) + (VERI_TABANI!D24*C6*(VERI_TABANI!$B$13-VERI_TABANI!$B$15)*VERI_TABANI!G24) + IF(ABS(IF(ISNUMBER(SEARCH("Var", D6)), 1, IF(ISNUMBER(SEARCH("Gri", D6)), -1, 0)))=1, VERI_TABANI!E24*(1-0.928)*0.00206091519919798*VERI_TABANI!G24, 0)) + ((MIN(VERI_TABANI!D25, VERI_TABANI!D25*B6)*VERI_TABANI!$B$7 + MAX(0, VERI_TABANI!D25*B6-VERI_TABANI!D25)*VERI_TABANI!$B$8) + (MIN(MAX(0, VERI_TABANI!D25-VERI_TABANI!D25*B6), VERI_TABANI!D25*C6)*VERI_TABANI!$B$7 + MAX(0, VERI_TABANI!D25*C6-MAX(0, VERI_TABANI!D25-VERI_TABANI!D25*B6))*VERI_TABANI!$B$8) + IF(ABS(IF(ISNUMBER(SEARCH("Var", D6)), 1, IF(ISNUMBER(SEARCH("Gri", D6)), -1, 0)))=1, VERI_TABANI!E25*(1-0.928)*VERI_TABANI!$B$9, 0) + (VERI_TABANI!D25*B6*(VERI_TABANI!$B$13-VERI_TABANI!$B$14)*VERI_TABANI!G25) + (VERI_TABANI!D25*C6*(VERI_TABANI!$B$13-VERI_TABANI!$B$15)*VERI_TABANI!G25) + IF(ABS(IF(ISNUMBER(SEARCH("Var", D6)), 1, IF(ISNUMBER(SEARCH("Gri", D6)), -1, 0)))=1, VERI_TABANI!E25*(1-0.928)*0.00206091519919798*VERI_TABANI!G25, 0)) + ((MIN(VERI_TABANI!D26, VERI_TABANI!D26*B6)*VERI_TABANI!$B$7 + MAX(0, VERI_TABANI!D26*B6-VERI_TABANI!D26)*VERI_TABANI!$B$8) + (MIN(MAX(0, VERI_TABANI!D26-VERI_TABANI!D26*B6), VERI_TABANI!D26*C6)*VERI_TABANI!$B$7 + MAX(0, VERI_TABANI!D26*C6-MAX(0, VERI_TABANI!D26-VERI_TABANI!D26*B6))*VERI_TABANI!$B$8) + IF(ABS(IF(ISNUMBER(SEARCH("Var", D6)), 1, IF(ISNUMBER(SEARCH("Gri", D6)), -1, 0)))=1, VERI_TABANI!E26*(1-0.928)*VERI_TABANI!$B$9, 0) + (VERI_TABANI!D26*B6*(VERI_TABANI!$B$13-VERI_TABANI!$B$14)*VERI_TABANI!G26) + (VERI_TABANI!D26*C6*(VERI_TABANI!$B$13-VERI_TABANI!$B$15)*VERI_TABANI!G26) + IF(ABS(IF(ISNUMBER(SEARCH("Var", D6)), 1, IF(ISNUMBER(SEARCH("Gri", D6)), -1, 0)))=1, VERI_TABANI!E26*(1-0.928)*0.00206091519919798*VERI_TABANI!G26, 0)) + ((MIN(VERI_TABANI!D27, VERI_TABANI!D27*B6)*VERI_TABANI!$B$7 + MAX(0, VERI_TABANI!D27*B6-VERI_TABANI!D27)*VERI_TABANI!$B$8) + (MIN(MAX(0, VERI_TABANI!D27-VERI_TABANI!D27*B6), VERI_TABANI!D27*C6)*VERI_TABANI!$B$7 + MAX(0, VERI_TABANI!D27*C6-MAX(0, VERI_TABANI!D27-VERI_TABANI!D27*B6))*VERI_TABANI!$B$8) + IF(ABS(IF(ISNUMBER(SEARCH("Var", D6)), 1, IF(ISNUMBER(SEARCH("Gri", D6)), -1, 0)))=1, VERI_TABANI!E27*(1-0.928)*VERI_TABANI!$B$9, 0) + (VERI_TABANI!D27*B6*(VERI_TABANI!$B$13-VERI_TABANI!$B$14)*VERI_TABANI!G27) + (VERI_TABANI!D27*C6*(VERI_TABANI!$B$13-VERI_TABANI!$B$15)*VERI_TABANI!G27) + IF(ABS(IF(ISNUMBER(SEARCH("Var", D6)), 1, IF(ISNUMBER(SEARCH("Gri", D6)), -1, 0)))=1, VERI_TABANI!E27*(1-0.928)*0.00206091519919798*VERI_TABANI!G27, 0)) + ((MIN(VERI_TABANI!D28, VERI_TABANI!D28*B6)*VERI_TABANI!$B$7 + MAX(0, VERI_TABANI!D28*B6-VERI_TABANI!D28)*VERI_TABANI!$B$8) + (MIN(MAX(0, VERI_TABANI!D28-VERI_TABANI!D28*B6), VERI_TABANI!D28*C6)*VERI_TABANI!$B$7 + MAX(0, VERI_TABANI!D28*C6-MAX(0, VERI_TABANI!D28-VERI_TABANI!D28*B6))*VERI_TABANI!$B$8) + IF(ABS(IF(ISNUMBER(SEARCH("Var", D6)), 1, IF(ISNUMBER(SEARCH("Gri", D6)), -1, 0)))=1, VERI_TABANI!E28*(1-0.928)*VERI_TABANI!$B$9, 0) + (VERI_TABANI!D28*B6*(VERI_TABANI!$B$13-VERI_TABANI!$B$14)*VERI_TABANI!G28) + (VERI_TABANI!D28*C6*(VERI_TABANI!$B$13-VERI_TABANI!$B$15)*VERI_TABANI!G28) + IF(ABS(IF(ISNUMBER(SEARCH("Var", D6)), 1, IF(ISNUMBER(SEARCH("Gri", D6)), -1, 0)))=1, VERI_TABANI!E28*(1-0.928)*0.00206091519919798*VERI_TABANI!G28, 0)))</f>
        <v/>
      </c>
      <c r="H6" s="169">
        <f>(((VERI_TABANI!D23*B6*(VERI_TABANI!$B$13-VERI_TABANI!$B$14)) + (VERI_TABANI!D23*C6*(VERI_TABANI!$B$13-VERI_TABANI!$B$15)) + IF(ISNUMBER(SEARCH("Var", D6)), VERI_TABANI!F23*(0.00202-VERI_TABANI!$B$16), IF(ISNUMBER(SEARCH("Gri", D6)), VERI_TABANI!F23*(0.00202-VERI_TABANI!$B$17), 0))) + ((VERI_TABANI!D24*B6*(VERI_TABANI!$B$13-VERI_TABANI!$B$14)) + (VERI_TABANI!D24*C6*(VERI_TABANI!$B$13-VERI_TABANI!$B$15)) + IF(ISNUMBER(SEARCH("Var", D6)), VERI_TABANI!F24*(0.00202-VERI_TABANI!$B$16), IF(ISNUMBER(SEARCH("Gri", D6)), VERI_TABANI!F24*(0.00202-VERI_TABANI!$B$17), 0))) + ((VERI_TABANI!D25*B6*(VERI_TABANI!$B$13-VERI_TABANI!$B$14)) + (VERI_TABANI!D25*C6*(VERI_TABANI!$B$13-VERI_TABANI!$B$15)) + IF(ISNUMBER(SEARCH("Var", D6)), VERI_TABANI!F25*(0.00202-VERI_TABANI!$B$16), IF(ISNUMBER(SEARCH("Gri", D6)), VERI_TABANI!F25*(0.00202-VERI_TABANI!$B$17), 0))) + ((VERI_TABANI!D26*B6*(VERI_TABANI!$B$13-VERI_TABANI!$B$14)) + (VERI_TABANI!D26*C6*(VERI_TABANI!$B$13-VERI_TABANI!$B$15)) + IF(ISNUMBER(SEARCH("Var", D6)), VERI_TABANI!F26*(0.00202-VERI_TABANI!$B$16), IF(ISNUMBER(SEARCH("Gri", D6)), VERI_TABANI!F26*(0.00202-VERI_TABANI!$B$17), 0))) + ((VERI_TABANI!D27*B6*(VERI_TABANI!$B$13-VERI_TABANI!$B$14)) + (VERI_TABANI!D27*C6*(VERI_TABANI!$B$13-VERI_TABANI!$B$15)) + IF(ISNUMBER(SEARCH("Var", D6)), VERI_TABANI!F27*(0.00202-VERI_TABANI!$B$16), IF(ISNUMBER(SEARCH("Gri", D6)), VERI_TABANI!F27*(0.00202-VERI_TABANI!$B$17), 0))) + ((VERI_TABANI!D28*B6*(VERI_TABANI!$B$13-VERI_TABANI!$B$14)) + (VERI_TABANI!D28*C6*(VERI_TABANI!$B$13-VERI_TABANI!$B$15)) + IF(ISNUMBER(SEARCH("Var", D6)), VERI_TABANI!F28*(0.00202-VERI_TABANI!$B$16), IF(ISNUMBER(SEARCH("Gri", D6)), VERI_TABANI!F28*(0.00202-VERI_TABANI!$B$17), 0))))</f>
        <v/>
      </c>
      <c r="I6" s="170">
        <f>IFERROR(((VERI_TABANI!$D$29*B6*VERI_TABANI!$B$14 + VERI_TABANI!$D$29*C6*VERI_TABANI!$B$15 + IF(ISNUMBER(SEARCH("Var", D6)), VERI_TABANI!$F$29*VERI_TABANI!$B$16, 0))) / (((VERI_TABANI!$D$29*B6 + VERI_TABANI!$D$29*C6)*VERI_TABANI!$B$13 + IF(ISNUMBER(SEARCH("Var", D6)), VERI_TABANI!$E$29*(1-0.928)*VERI_TABANI!$B$18, 0))), 0)</f>
        <v/>
      </c>
      <c r="J6" s="171">
        <f>IFERROR(F6/(G6/29), 0)</f>
        <v/>
      </c>
      <c r="K6" s="172">
        <f>IF(F6&gt;0, H6/F6, 0)</f>
        <v/>
      </c>
      <c r="L6" s="170">
        <f>IF(F6&gt;0, I6, 1000000000)</f>
        <v/>
      </c>
      <c r="M6" s="171">
        <f>ABS((B6+C6)-1)</f>
        <v/>
      </c>
      <c r="N6" s="170">
        <f>IF(F6&gt;0, (G6/29)/F6, 0)</f>
        <v/>
      </c>
      <c r="O6" s="168">
        <f>IF(AND((B6+C6)&gt;=1, ISNUMBER(SEARCH("Var", D6))), F6, 1000000000)</f>
        <v/>
      </c>
      <c r="P6" s="172">
        <f>IF(F6&gt;0, SQRT((F6/MAX(F$5:F$886))^2 + (1 - H6/MAX(H$5:H$886))^2 + (J6/MAX(J$5:J$886))^2), 1000000000)</f>
        <v/>
      </c>
      <c r="Q6" s="166">
        <f>IF(AND(ABS(B6-0.5)&lt;0.01, ABS(C6-0.5)&lt;0.01, ISNUMBER(SEARCH("Var", D6))), 1, 0)</f>
        <v/>
      </c>
      <c r="R6" s="171">
        <f>IF(F6&gt;0, J6, 1000000000)</f>
        <v/>
      </c>
      <c r="S6" s="101">
        <f>IF(AND(F6&lt;=DASHBOARD!$B$11, H6&gt;=DASHBOARD!$B$13), G6, -1000000000000)</f>
        <v/>
      </c>
      <c r="T6" s="101">
        <f>IF(AND(F6&lt;=DASHBOARD!$B$11, H6&gt;=DASHBOARD!$B$13), R6, 1000000000000)</f>
        <v/>
      </c>
      <c r="U6" s="101">
        <f>IF(AND(F6&lt;=DASHBOARD!$B$11, H6&gt;=DASHBOARD!$B$13), N6, -1000000000000)</f>
        <v/>
      </c>
      <c r="V6" s="101">
        <f>IF(AND(F6&lt;=DASHBOARD!$B$11, H6&gt;=DASHBOARD!$B$13), H6, -1000000000000)</f>
        <v/>
      </c>
      <c r="W6" s="101">
        <f>IF(AND(F6&lt;=DASHBOARD!$B$11, H6&gt;=DASHBOARD!$B$13), K6, -1000000000000)</f>
        <v/>
      </c>
      <c r="X6" s="101">
        <f>IF(AND(F6&lt;=DASHBOARD!$B$11, H6&gt;=DASHBOARD!$B$13), M6, 1000000000000)</f>
        <v/>
      </c>
      <c r="Y6" s="101">
        <f>IF(AND(F6&lt;=DASHBOARD!$B$10, H6&gt;=DASHBOARD!$B$11), L6, 1000000000000)</f>
        <v/>
      </c>
      <c r="Z6" s="101">
        <f>IF(AND(F6&lt;=DASHBOARD!$B$10, H6&gt;=DASHBOARD!$B$11), O6, 1000000000000)</f>
        <v/>
      </c>
      <c r="AA6" s="101">
        <f>IF(AND(F6&lt;=DASHBOARD!$B$10, H6&gt;=DASHBOARD!$B$11), P6, 1000000000000)</f>
        <v/>
      </c>
      <c r="AB6" s="101">
        <f>IF(AND(F6&lt;=DASHBOARD!$B$10, H6&gt;=DASHBOARD!$B$11), Q6, -1000000000000)</f>
        <v/>
      </c>
    </row>
    <row r="7" ht="12.75" customHeight="1" s="102">
      <c r="A7" s="166" t="n">
        <v>3</v>
      </c>
      <c r="B7" s="167" t="n">
        <v>0</v>
      </c>
      <c r="C7" s="167" t="n">
        <v>0.1</v>
      </c>
      <c r="D7" s="110" t="inlineStr">
        <is>
          <t>Yok (%0)</t>
        </is>
      </c>
      <c r="E7" s="110">
        <f>IF((B7+C7)&lt;=1, "Tam Mahsuplaşma (≤%100)", "Kısmi Satış (&gt;%100)")</f>
        <v/>
      </c>
      <c r="F7" s="168">
        <f>((VERI_TABANI!$D$29*B7/VERI_TABANI!$B$29)/VERI_TABANI!$B$3)*VERI_TABANI!$B$5 + ((VERI_TABANI!$D$29*C7/VERI_TABANI!$B$29)/VERI_TABANI!$B$4)*VERI_TABANI!$B$6 + IF(ISNUMBER(SEARCH("Var", D7)), (VERI_TABANI!$F$29/VERI_TABANI!$B$29)*(VERI_TABANI!$B$10+VERI_TABANI!$B$12), 0)</f>
        <v/>
      </c>
      <c r="G7" s="168">
        <f>(((MIN(VERI_TABANI!D23, VERI_TABANI!D23*B7)*VERI_TABANI!$B$7 + MAX(0, VERI_TABANI!D23*B7-VERI_TABANI!D23)*VERI_TABANI!$B$8) + (MIN(MAX(0, VERI_TABANI!D23-VERI_TABANI!D23*B7), VERI_TABANI!D23*C7)*VERI_TABANI!$B$7 + MAX(0, VERI_TABANI!D23*C7-MAX(0, VERI_TABANI!D23-VERI_TABANI!D23*B7))*VERI_TABANI!$B$8) + IF(ABS(IF(ISNUMBER(SEARCH("Var", D7)), 1, IF(ISNUMBER(SEARCH("Gri", D7)), -1, 0)))=1, VERI_TABANI!E23*(1-0.928)*VERI_TABANI!$B$9, 0) + (VERI_TABANI!D23*B7*(VERI_TABANI!$B$13-VERI_TABANI!$B$14)*VERI_TABANI!G23) + (VERI_TABANI!D23*C7*(VERI_TABANI!$B$13-VERI_TABANI!$B$15)*VERI_TABANI!G23) + IF(ABS(IF(ISNUMBER(SEARCH("Var", D7)), 1, IF(ISNUMBER(SEARCH("Gri", D7)), -1, 0)))=1, VERI_TABANI!E23*(1-0.928)*0.00206091519919798*VERI_TABANI!G23, 0)) + ((MIN(VERI_TABANI!D24, VERI_TABANI!D24*B7)*VERI_TABANI!$B$7 + MAX(0, VERI_TABANI!D24*B7-VERI_TABANI!D24)*VERI_TABANI!$B$8) + (MIN(MAX(0, VERI_TABANI!D24-VERI_TABANI!D24*B7), VERI_TABANI!D24*C7)*VERI_TABANI!$B$7 + MAX(0, VERI_TABANI!D24*C7-MAX(0, VERI_TABANI!D24-VERI_TABANI!D24*B7))*VERI_TABANI!$B$8) + IF(ABS(IF(ISNUMBER(SEARCH("Var", D7)), 1, IF(ISNUMBER(SEARCH("Gri", D7)), -1, 0)))=1, VERI_TABANI!E24*(1-0.928)*VERI_TABANI!$B$9, 0) + (VERI_TABANI!D24*B7*(VERI_TABANI!$B$13-VERI_TABANI!$B$14)*VERI_TABANI!G24) + (VERI_TABANI!D24*C7*(VERI_TABANI!$B$13-VERI_TABANI!$B$15)*VERI_TABANI!G24) + IF(ABS(IF(ISNUMBER(SEARCH("Var", D7)), 1, IF(ISNUMBER(SEARCH("Gri", D7)), -1, 0)))=1, VERI_TABANI!E24*(1-0.928)*0.00206091519919798*VERI_TABANI!G24, 0)) + ((MIN(VERI_TABANI!D25, VERI_TABANI!D25*B7)*VERI_TABANI!$B$7 + MAX(0, VERI_TABANI!D25*B7-VERI_TABANI!D25)*VERI_TABANI!$B$8) + (MIN(MAX(0, VERI_TABANI!D25-VERI_TABANI!D25*B7), VERI_TABANI!D25*C7)*VERI_TABANI!$B$7 + MAX(0, VERI_TABANI!D25*C7-MAX(0, VERI_TABANI!D25-VERI_TABANI!D25*B7))*VERI_TABANI!$B$8) + IF(ABS(IF(ISNUMBER(SEARCH("Var", D7)), 1, IF(ISNUMBER(SEARCH("Gri", D7)), -1, 0)))=1, VERI_TABANI!E25*(1-0.928)*VERI_TABANI!$B$9, 0) + (VERI_TABANI!D25*B7*(VERI_TABANI!$B$13-VERI_TABANI!$B$14)*VERI_TABANI!G25) + (VERI_TABANI!D25*C7*(VERI_TABANI!$B$13-VERI_TABANI!$B$15)*VERI_TABANI!G25) + IF(ABS(IF(ISNUMBER(SEARCH("Var", D7)), 1, IF(ISNUMBER(SEARCH("Gri", D7)), -1, 0)))=1, VERI_TABANI!E25*(1-0.928)*0.00206091519919798*VERI_TABANI!G25, 0)) + ((MIN(VERI_TABANI!D26, VERI_TABANI!D26*B7)*VERI_TABANI!$B$7 + MAX(0, VERI_TABANI!D26*B7-VERI_TABANI!D26)*VERI_TABANI!$B$8) + (MIN(MAX(0, VERI_TABANI!D26-VERI_TABANI!D26*B7), VERI_TABANI!D26*C7)*VERI_TABANI!$B$7 + MAX(0, VERI_TABANI!D26*C7-MAX(0, VERI_TABANI!D26-VERI_TABANI!D26*B7))*VERI_TABANI!$B$8) + IF(ABS(IF(ISNUMBER(SEARCH("Var", D7)), 1, IF(ISNUMBER(SEARCH("Gri", D7)), -1, 0)))=1, VERI_TABANI!E26*(1-0.928)*VERI_TABANI!$B$9, 0) + (VERI_TABANI!D26*B7*(VERI_TABANI!$B$13-VERI_TABANI!$B$14)*VERI_TABANI!G26) + (VERI_TABANI!D26*C7*(VERI_TABANI!$B$13-VERI_TABANI!$B$15)*VERI_TABANI!G26) + IF(ABS(IF(ISNUMBER(SEARCH("Var", D7)), 1, IF(ISNUMBER(SEARCH("Gri", D7)), -1, 0)))=1, VERI_TABANI!E26*(1-0.928)*0.00206091519919798*VERI_TABANI!G26, 0)) + ((MIN(VERI_TABANI!D27, VERI_TABANI!D27*B7)*VERI_TABANI!$B$7 + MAX(0, VERI_TABANI!D27*B7-VERI_TABANI!D27)*VERI_TABANI!$B$8) + (MIN(MAX(0, VERI_TABANI!D27-VERI_TABANI!D27*B7), VERI_TABANI!D27*C7)*VERI_TABANI!$B$7 + MAX(0, VERI_TABANI!D27*C7-MAX(0, VERI_TABANI!D27-VERI_TABANI!D27*B7))*VERI_TABANI!$B$8) + IF(ABS(IF(ISNUMBER(SEARCH("Var", D7)), 1, IF(ISNUMBER(SEARCH("Gri", D7)), -1, 0)))=1, VERI_TABANI!E27*(1-0.928)*VERI_TABANI!$B$9, 0) + (VERI_TABANI!D27*B7*(VERI_TABANI!$B$13-VERI_TABANI!$B$14)*VERI_TABANI!G27) + (VERI_TABANI!D27*C7*(VERI_TABANI!$B$13-VERI_TABANI!$B$15)*VERI_TABANI!G27) + IF(ABS(IF(ISNUMBER(SEARCH("Var", D7)), 1, IF(ISNUMBER(SEARCH("Gri", D7)), -1, 0)))=1, VERI_TABANI!E27*(1-0.928)*0.00206091519919798*VERI_TABANI!G27, 0)) + ((MIN(VERI_TABANI!D28, VERI_TABANI!D28*B7)*VERI_TABANI!$B$7 + MAX(0, VERI_TABANI!D28*B7-VERI_TABANI!D28)*VERI_TABANI!$B$8) + (MIN(MAX(0, VERI_TABANI!D28-VERI_TABANI!D28*B7), VERI_TABANI!D28*C7)*VERI_TABANI!$B$7 + MAX(0, VERI_TABANI!D28*C7-MAX(0, VERI_TABANI!D28-VERI_TABANI!D28*B7))*VERI_TABANI!$B$8) + IF(ABS(IF(ISNUMBER(SEARCH("Var", D7)), 1, IF(ISNUMBER(SEARCH("Gri", D7)), -1, 0)))=1, VERI_TABANI!E28*(1-0.928)*VERI_TABANI!$B$9, 0) + (VERI_TABANI!D28*B7*(VERI_TABANI!$B$13-VERI_TABANI!$B$14)*VERI_TABANI!G28) + (VERI_TABANI!D28*C7*(VERI_TABANI!$B$13-VERI_TABANI!$B$15)*VERI_TABANI!G28) + IF(ABS(IF(ISNUMBER(SEARCH("Var", D7)), 1, IF(ISNUMBER(SEARCH("Gri", D7)), -1, 0)))=1, VERI_TABANI!E28*(1-0.928)*0.00206091519919798*VERI_TABANI!G28, 0)))</f>
        <v/>
      </c>
      <c r="H7" s="169">
        <f>(((VERI_TABANI!D23*B7*(VERI_TABANI!$B$13-VERI_TABANI!$B$14)) + (VERI_TABANI!D23*C7*(VERI_TABANI!$B$13-VERI_TABANI!$B$15)) + IF(ISNUMBER(SEARCH("Var", D7)), VERI_TABANI!F23*(0.00202-VERI_TABANI!$B$16), IF(ISNUMBER(SEARCH("Gri", D7)), VERI_TABANI!F23*(0.00202-VERI_TABANI!$B$17), 0))) + ((VERI_TABANI!D24*B7*(VERI_TABANI!$B$13-VERI_TABANI!$B$14)) + (VERI_TABANI!D24*C7*(VERI_TABANI!$B$13-VERI_TABANI!$B$15)) + IF(ISNUMBER(SEARCH("Var", D7)), VERI_TABANI!F24*(0.00202-VERI_TABANI!$B$16), IF(ISNUMBER(SEARCH("Gri", D7)), VERI_TABANI!F24*(0.00202-VERI_TABANI!$B$17), 0))) + ((VERI_TABANI!D25*B7*(VERI_TABANI!$B$13-VERI_TABANI!$B$14)) + (VERI_TABANI!D25*C7*(VERI_TABANI!$B$13-VERI_TABANI!$B$15)) + IF(ISNUMBER(SEARCH("Var", D7)), VERI_TABANI!F25*(0.00202-VERI_TABANI!$B$16), IF(ISNUMBER(SEARCH("Gri", D7)), VERI_TABANI!F25*(0.00202-VERI_TABANI!$B$17), 0))) + ((VERI_TABANI!D26*B7*(VERI_TABANI!$B$13-VERI_TABANI!$B$14)) + (VERI_TABANI!D26*C7*(VERI_TABANI!$B$13-VERI_TABANI!$B$15)) + IF(ISNUMBER(SEARCH("Var", D7)), VERI_TABANI!F26*(0.00202-VERI_TABANI!$B$16), IF(ISNUMBER(SEARCH("Gri", D7)), VERI_TABANI!F26*(0.00202-VERI_TABANI!$B$17), 0))) + ((VERI_TABANI!D27*B7*(VERI_TABANI!$B$13-VERI_TABANI!$B$14)) + (VERI_TABANI!D27*C7*(VERI_TABANI!$B$13-VERI_TABANI!$B$15)) + IF(ISNUMBER(SEARCH("Var", D7)), VERI_TABANI!F27*(0.00202-VERI_TABANI!$B$16), IF(ISNUMBER(SEARCH("Gri", D7)), VERI_TABANI!F27*(0.00202-VERI_TABANI!$B$17), 0))) + ((VERI_TABANI!D28*B7*(VERI_TABANI!$B$13-VERI_TABANI!$B$14)) + (VERI_TABANI!D28*C7*(VERI_TABANI!$B$13-VERI_TABANI!$B$15)) + IF(ISNUMBER(SEARCH("Var", D7)), VERI_TABANI!F28*(0.00202-VERI_TABANI!$B$16), IF(ISNUMBER(SEARCH("Gri", D7)), VERI_TABANI!F28*(0.00202-VERI_TABANI!$B$17), 0))))</f>
        <v/>
      </c>
      <c r="I7" s="170">
        <f>IFERROR(((VERI_TABANI!$D$29*B7*VERI_TABANI!$B$14 + VERI_TABANI!$D$29*C7*VERI_TABANI!$B$15 + IF(ISNUMBER(SEARCH("Var", D7)), VERI_TABANI!$F$29*VERI_TABANI!$B$16, 0))) / (((VERI_TABANI!$D$29*B7 + VERI_TABANI!$D$29*C7)*VERI_TABANI!$B$13 + IF(ISNUMBER(SEARCH("Var", D7)), VERI_TABANI!$E$29*(1-0.928)*VERI_TABANI!$B$18, 0))), 0)</f>
        <v/>
      </c>
      <c r="J7" s="171">
        <f>IFERROR(F7/(G7/29), 0)</f>
        <v/>
      </c>
      <c r="K7" s="172">
        <f>IF(F7&gt;0, H7/F7, 0)</f>
        <v/>
      </c>
      <c r="L7" s="170">
        <f>IF(F7&gt;0, I7, 1000000000)</f>
        <v/>
      </c>
      <c r="M7" s="171">
        <f>ABS((B7+C7)-1)</f>
        <v/>
      </c>
      <c r="N7" s="170">
        <f>IF(F7&gt;0, (G7/29)/F7, 0)</f>
        <v/>
      </c>
      <c r="O7" s="168">
        <f>IF(AND((B7+C7)&gt;=1, ISNUMBER(SEARCH("Var", D7))), F7, 1000000000)</f>
        <v/>
      </c>
      <c r="P7" s="172">
        <f>IF(F7&gt;0, SQRT((F7/MAX(F$5:F$886))^2 + (1 - H7/MAX(H$5:H$886))^2 + (J7/MAX(J$5:J$886))^2), 1000000000)</f>
        <v/>
      </c>
      <c r="Q7" s="166">
        <f>IF(AND(ABS(B7-0.5)&lt;0.01, ABS(C7-0.5)&lt;0.01, ISNUMBER(SEARCH("Var", D7))), 1, 0)</f>
        <v/>
      </c>
      <c r="R7" s="171">
        <f>IF(F7&gt;0, J7, 1000000000)</f>
        <v/>
      </c>
      <c r="S7" s="101">
        <f>IF(AND(F7&lt;=DASHBOARD!$B$11, H7&gt;=DASHBOARD!$B$13), G7, -1000000000000)</f>
        <v/>
      </c>
      <c r="T7" s="101">
        <f>IF(AND(F7&lt;=DASHBOARD!$B$11, H7&gt;=DASHBOARD!$B$13), R7, 1000000000000)</f>
        <v/>
      </c>
      <c r="U7" s="101">
        <f>IF(AND(F7&lt;=DASHBOARD!$B$11, H7&gt;=DASHBOARD!$B$13), N7, -1000000000000)</f>
        <v/>
      </c>
      <c r="V7" s="101">
        <f>IF(AND(F7&lt;=DASHBOARD!$B$11, H7&gt;=DASHBOARD!$B$13), H7, -1000000000000)</f>
        <v/>
      </c>
      <c r="W7" s="101">
        <f>IF(AND(F7&lt;=DASHBOARD!$B$11, H7&gt;=DASHBOARD!$B$13), K7, -1000000000000)</f>
        <v/>
      </c>
      <c r="X7" s="101">
        <f>IF(AND(F7&lt;=DASHBOARD!$B$11, H7&gt;=DASHBOARD!$B$13), M7, 1000000000000)</f>
        <v/>
      </c>
      <c r="Y7" s="101">
        <f>IF(AND(F7&lt;=DASHBOARD!$B$10, H7&gt;=DASHBOARD!$B$11), L7, 1000000000000)</f>
        <v/>
      </c>
      <c r="Z7" s="101">
        <f>IF(AND(F7&lt;=DASHBOARD!$B$10, H7&gt;=DASHBOARD!$B$11), O7, 1000000000000)</f>
        <v/>
      </c>
      <c r="AA7" s="101">
        <f>IF(AND(F7&lt;=DASHBOARD!$B$10, H7&gt;=DASHBOARD!$B$11), P7, 1000000000000)</f>
        <v/>
      </c>
      <c r="AB7" s="101">
        <f>IF(AND(F7&lt;=DASHBOARD!$B$10, H7&gt;=DASHBOARD!$B$11), Q7, -1000000000000)</f>
        <v/>
      </c>
    </row>
    <row r="8" ht="12.75" customHeight="1" s="102">
      <c r="A8" s="166" t="n">
        <v>4</v>
      </c>
      <c r="B8" s="167" t="n">
        <v>0</v>
      </c>
      <c r="C8" s="167" t="n">
        <v>0.1</v>
      </c>
      <c r="D8" s="110" t="inlineStr">
        <is>
          <t>Var (%20)</t>
        </is>
      </c>
      <c r="E8" s="110">
        <f>IF((B8+C8)&lt;=1, "Tam Mahsuplaşma (≤%100)", "Kısmi Satış (&gt;%100)")</f>
        <v/>
      </c>
      <c r="F8" s="168">
        <f>((VERI_TABANI!$D$29*B8/VERI_TABANI!$B$29)/VERI_TABANI!$B$3)*VERI_TABANI!$B$5 + ((VERI_TABANI!$D$29*C8/VERI_TABANI!$B$29)/VERI_TABANI!$B$4)*VERI_TABANI!$B$6 + IF(ISNUMBER(SEARCH("Var", D8)), (VERI_TABANI!$F$29/VERI_TABANI!$B$29)*(VERI_TABANI!$B$10+VERI_TABANI!$B$12), 0)</f>
        <v/>
      </c>
      <c r="G8" s="168">
        <f>(((MIN(VERI_TABANI!D23, VERI_TABANI!D23*B8)*VERI_TABANI!$B$7 + MAX(0, VERI_TABANI!D23*B8-VERI_TABANI!D23)*VERI_TABANI!$B$8) + (MIN(MAX(0, VERI_TABANI!D23-VERI_TABANI!D23*B8), VERI_TABANI!D23*C8)*VERI_TABANI!$B$7 + MAX(0, VERI_TABANI!D23*C8-MAX(0, VERI_TABANI!D23-VERI_TABANI!D23*B8))*VERI_TABANI!$B$8) + IF(ABS(IF(ISNUMBER(SEARCH("Var", D8)), 1, IF(ISNUMBER(SEARCH("Gri", D8)), -1, 0)))=1, VERI_TABANI!E23*(1-0.928)*VERI_TABANI!$B$9, 0) + (VERI_TABANI!D23*B8*(VERI_TABANI!$B$13-VERI_TABANI!$B$14)*VERI_TABANI!G23) + (VERI_TABANI!D23*C8*(VERI_TABANI!$B$13-VERI_TABANI!$B$15)*VERI_TABANI!G23) + IF(ABS(IF(ISNUMBER(SEARCH("Var", D8)), 1, IF(ISNUMBER(SEARCH("Gri", D8)), -1, 0)))=1, VERI_TABANI!E23*(1-0.928)*0.00206091519919798*VERI_TABANI!G23, 0)) + ((MIN(VERI_TABANI!D24, VERI_TABANI!D24*B8)*VERI_TABANI!$B$7 + MAX(0, VERI_TABANI!D24*B8-VERI_TABANI!D24)*VERI_TABANI!$B$8) + (MIN(MAX(0, VERI_TABANI!D24-VERI_TABANI!D24*B8), VERI_TABANI!D24*C8)*VERI_TABANI!$B$7 + MAX(0, VERI_TABANI!D24*C8-MAX(0, VERI_TABANI!D24-VERI_TABANI!D24*B8))*VERI_TABANI!$B$8) + IF(ABS(IF(ISNUMBER(SEARCH("Var", D8)), 1, IF(ISNUMBER(SEARCH("Gri", D8)), -1, 0)))=1, VERI_TABANI!E24*(1-0.928)*VERI_TABANI!$B$9, 0) + (VERI_TABANI!D24*B8*(VERI_TABANI!$B$13-VERI_TABANI!$B$14)*VERI_TABANI!G24) + (VERI_TABANI!D24*C8*(VERI_TABANI!$B$13-VERI_TABANI!$B$15)*VERI_TABANI!G24) + IF(ABS(IF(ISNUMBER(SEARCH("Var", D8)), 1, IF(ISNUMBER(SEARCH("Gri", D8)), -1, 0)))=1, VERI_TABANI!E24*(1-0.928)*0.00206091519919798*VERI_TABANI!G24, 0)) + ((MIN(VERI_TABANI!D25, VERI_TABANI!D25*B8)*VERI_TABANI!$B$7 + MAX(0, VERI_TABANI!D25*B8-VERI_TABANI!D25)*VERI_TABANI!$B$8) + (MIN(MAX(0, VERI_TABANI!D25-VERI_TABANI!D25*B8), VERI_TABANI!D25*C8)*VERI_TABANI!$B$7 + MAX(0, VERI_TABANI!D25*C8-MAX(0, VERI_TABANI!D25-VERI_TABANI!D25*B8))*VERI_TABANI!$B$8) + IF(ABS(IF(ISNUMBER(SEARCH("Var", D8)), 1, IF(ISNUMBER(SEARCH("Gri", D8)), -1, 0)))=1, VERI_TABANI!E25*(1-0.928)*VERI_TABANI!$B$9, 0) + (VERI_TABANI!D25*B8*(VERI_TABANI!$B$13-VERI_TABANI!$B$14)*VERI_TABANI!G25) + (VERI_TABANI!D25*C8*(VERI_TABANI!$B$13-VERI_TABANI!$B$15)*VERI_TABANI!G25) + IF(ABS(IF(ISNUMBER(SEARCH("Var", D8)), 1, IF(ISNUMBER(SEARCH("Gri", D8)), -1, 0)))=1, VERI_TABANI!E25*(1-0.928)*0.00206091519919798*VERI_TABANI!G25, 0)) + ((MIN(VERI_TABANI!D26, VERI_TABANI!D26*B8)*VERI_TABANI!$B$7 + MAX(0, VERI_TABANI!D26*B8-VERI_TABANI!D26)*VERI_TABANI!$B$8) + (MIN(MAX(0, VERI_TABANI!D26-VERI_TABANI!D26*B8), VERI_TABANI!D26*C8)*VERI_TABANI!$B$7 + MAX(0, VERI_TABANI!D26*C8-MAX(0, VERI_TABANI!D26-VERI_TABANI!D26*B8))*VERI_TABANI!$B$8) + IF(ABS(IF(ISNUMBER(SEARCH("Var", D8)), 1, IF(ISNUMBER(SEARCH("Gri", D8)), -1, 0)))=1, VERI_TABANI!E26*(1-0.928)*VERI_TABANI!$B$9, 0) + (VERI_TABANI!D26*B8*(VERI_TABANI!$B$13-VERI_TABANI!$B$14)*VERI_TABANI!G26) + (VERI_TABANI!D26*C8*(VERI_TABANI!$B$13-VERI_TABANI!$B$15)*VERI_TABANI!G26) + IF(ABS(IF(ISNUMBER(SEARCH("Var", D8)), 1, IF(ISNUMBER(SEARCH("Gri", D8)), -1, 0)))=1, VERI_TABANI!E26*(1-0.928)*0.00206091519919798*VERI_TABANI!G26, 0)) + ((MIN(VERI_TABANI!D27, VERI_TABANI!D27*B8)*VERI_TABANI!$B$7 + MAX(0, VERI_TABANI!D27*B8-VERI_TABANI!D27)*VERI_TABANI!$B$8) + (MIN(MAX(0, VERI_TABANI!D27-VERI_TABANI!D27*B8), VERI_TABANI!D27*C8)*VERI_TABANI!$B$7 + MAX(0, VERI_TABANI!D27*C8-MAX(0, VERI_TABANI!D27-VERI_TABANI!D27*B8))*VERI_TABANI!$B$8) + IF(ABS(IF(ISNUMBER(SEARCH("Var", D8)), 1, IF(ISNUMBER(SEARCH("Gri", D8)), -1, 0)))=1, VERI_TABANI!E27*(1-0.928)*VERI_TABANI!$B$9, 0) + (VERI_TABANI!D27*B8*(VERI_TABANI!$B$13-VERI_TABANI!$B$14)*VERI_TABANI!G27) + (VERI_TABANI!D27*C8*(VERI_TABANI!$B$13-VERI_TABANI!$B$15)*VERI_TABANI!G27) + IF(ABS(IF(ISNUMBER(SEARCH("Var", D8)), 1, IF(ISNUMBER(SEARCH("Gri", D8)), -1, 0)))=1, VERI_TABANI!E27*(1-0.928)*0.00206091519919798*VERI_TABANI!G27, 0)) + ((MIN(VERI_TABANI!D28, VERI_TABANI!D28*B8)*VERI_TABANI!$B$7 + MAX(0, VERI_TABANI!D28*B8-VERI_TABANI!D28)*VERI_TABANI!$B$8) + (MIN(MAX(0, VERI_TABANI!D28-VERI_TABANI!D28*B8), VERI_TABANI!D28*C8)*VERI_TABANI!$B$7 + MAX(0, VERI_TABANI!D28*C8-MAX(0, VERI_TABANI!D28-VERI_TABANI!D28*B8))*VERI_TABANI!$B$8) + IF(ABS(IF(ISNUMBER(SEARCH("Var", D8)), 1, IF(ISNUMBER(SEARCH("Gri", D8)), -1, 0)))=1, VERI_TABANI!E28*(1-0.928)*VERI_TABANI!$B$9, 0) + (VERI_TABANI!D28*B8*(VERI_TABANI!$B$13-VERI_TABANI!$B$14)*VERI_TABANI!G28) + (VERI_TABANI!D28*C8*(VERI_TABANI!$B$13-VERI_TABANI!$B$15)*VERI_TABANI!G28) + IF(ABS(IF(ISNUMBER(SEARCH("Var", D8)), 1, IF(ISNUMBER(SEARCH("Gri", D8)), -1, 0)))=1, VERI_TABANI!E28*(1-0.928)*0.00206091519919798*VERI_TABANI!G28, 0)))</f>
        <v/>
      </c>
      <c r="H8" s="169">
        <f>(((VERI_TABANI!D23*B8*(VERI_TABANI!$B$13-VERI_TABANI!$B$14)) + (VERI_TABANI!D23*C8*(VERI_TABANI!$B$13-VERI_TABANI!$B$15)) + IF(ISNUMBER(SEARCH("Var", D8)), VERI_TABANI!F23*(0.00202-VERI_TABANI!$B$16), IF(ISNUMBER(SEARCH("Gri", D8)), VERI_TABANI!F23*(0.00202-VERI_TABANI!$B$17), 0))) + ((VERI_TABANI!D24*B8*(VERI_TABANI!$B$13-VERI_TABANI!$B$14)) + (VERI_TABANI!D24*C8*(VERI_TABANI!$B$13-VERI_TABANI!$B$15)) + IF(ISNUMBER(SEARCH("Var", D8)), VERI_TABANI!F24*(0.00202-VERI_TABANI!$B$16), IF(ISNUMBER(SEARCH("Gri", D8)), VERI_TABANI!F24*(0.00202-VERI_TABANI!$B$17), 0))) + ((VERI_TABANI!D25*B8*(VERI_TABANI!$B$13-VERI_TABANI!$B$14)) + (VERI_TABANI!D25*C8*(VERI_TABANI!$B$13-VERI_TABANI!$B$15)) + IF(ISNUMBER(SEARCH("Var", D8)), VERI_TABANI!F25*(0.00202-VERI_TABANI!$B$16), IF(ISNUMBER(SEARCH("Gri", D8)), VERI_TABANI!F25*(0.00202-VERI_TABANI!$B$17), 0))) + ((VERI_TABANI!D26*B8*(VERI_TABANI!$B$13-VERI_TABANI!$B$14)) + (VERI_TABANI!D26*C8*(VERI_TABANI!$B$13-VERI_TABANI!$B$15)) + IF(ISNUMBER(SEARCH("Var", D8)), VERI_TABANI!F26*(0.00202-VERI_TABANI!$B$16), IF(ISNUMBER(SEARCH("Gri", D8)), VERI_TABANI!F26*(0.00202-VERI_TABANI!$B$17), 0))) + ((VERI_TABANI!D27*B8*(VERI_TABANI!$B$13-VERI_TABANI!$B$14)) + (VERI_TABANI!D27*C8*(VERI_TABANI!$B$13-VERI_TABANI!$B$15)) + IF(ISNUMBER(SEARCH("Var", D8)), VERI_TABANI!F27*(0.00202-VERI_TABANI!$B$16), IF(ISNUMBER(SEARCH("Gri", D8)), VERI_TABANI!F27*(0.00202-VERI_TABANI!$B$17), 0))) + ((VERI_TABANI!D28*B8*(VERI_TABANI!$B$13-VERI_TABANI!$B$14)) + (VERI_TABANI!D28*C8*(VERI_TABANI!$B$13-VERI_TABANI!$B$15)) + IF(ISNUMBER(SEARCH("Var", D8)), VERI_TABANI!F28*(0.00202-VERI_TABANI!$B$16), IF(ISNUMBER(SEARCH("Gri", D8)), VERI_TABANI!F28*(0.00202-VERI_TABANI!$B$17), 0))))</f>
        <v/>
      </c>
      <c r="I8" s="170">
        <f>IFERROR(((VERI_TABANI!$D$29*B8*VERI_TABANI!$B$14 + VERI_TABANI!$D$29*C8*VERI_TABANI!$B$15 + IF(ISNUMBER(SEARCH("Var", D8)), VERI_TABANI!$F$29*VERI_TABANI!$B$16, 0))) / (((VERI_TABANI!$D$29*B8 + VERI_TABANI!$D$29*C8)*VERI_TABANI!$B$13 + IF(ISNUMBER(SEARCH("Var", D8)), VERI_TABANI!$E$29*(1-0.928)*VERI_TABANI!$B$18, 0))), 0)</f>
        <v/>
      </c>
      <c r="J8" s="171">
        <f>IFERROR(F8/(G8/29), 0)</f>
        <v/>
      </c>
      <c r="K8" s="172">
        <f>IF(F8&gt;0, H8/F8, 0)</f>
        <v/>
      </c>
      <c r="L8" s="170">
        <f>IF(F8&gt;0, I8, 1000000000)</f>
        <v/>
      </c>
      <c r="M8" s="171">
        <f>ABS((B8+C8)-1)</f>
        <v/>
      </c>
      <c r="N8" s="170">
        <f>IF(F8&gt;0, (G8/29)/F8, 0)</f>
        <v/>
      </c>
      <c r="O8" s="168">
        <f>IF(AND((B8+C8)&gt;=1, ISNUMBER(SEARCH("Var", D8))), F8, 1000000000)</f>
        <v/>
      </c>
      <c r="P8" s="172">
        <f>IF(F8&gt;0, SQRT((F8/MAX(F$5:F$886))^2 + (1 - H8/MAX(H$5:H$886))^2 + (J8/MAX(J$5:J$886))^2), 1000000000)</f>
        <v/>
      </c>
      <c r="Q8" s="166">
        <f>IF(AND(ABS(B8-0.5)&lt;0.01, ABS(C8-0.5)&lt;0.01, ISNUMBER(SEARCH("Var", D8))), 1, 0)</f>
        <v/>
      </c>
      <c r="R8" s="171">
        <f>IF(F8&gt;0, J8, 1000000000)</f>
        <v/>
      </c>
      <c r="S8" s="101">
        <f>IF(AND(F8&lt;=DASHBOARD!$B$11, H8&gt;=DASHBOARD!$B$13), G8, -1000000000000)</f>
        <v/>
      </c>
      <c r="T8" s="101">
        <f>IF(AND(F8&lt;=DASHBOARD!$B$11, H8&gt;=DASHBOARD!$B$13), R8, 1000000000000)</f>
        <v/>
      </c>
      <c r="U8" s="101">
        <f>IF(AND(F8&lt;=DASHBOARD!$B$11, H8&gt;=DASHBOARD!$B$13), N8, -1000000000000)</f>
        <v/>
      </c>
      <c r="V8" s="101">
        <f>IF(AND(F8&lt;=DASHBOARD!$B$11, H8&gt;=DASHBOARD!$B$13), H8, -1000000000000)</f>
        <v/>
      </c>
      <c r="W8" s="101">
        <f>IF(AND(F8&lt;=DASHBOARD!$B$11, H8&gt;=DASHBOARD!$B$13), K8, -1000000000000)</f>
        <v/>
      </c>
      <c r="X8" s="101">
        <f>IF(AND(F8&lt;=DASHBOARD!$B$11, H8&gt;=DASHBOARD!$B$13), M8, 1000000000000)</f>
        <v/>
      </c>
      <c r="Y8" s="101">
        <f>IF(AND(F8&lt;=DASHBOARD!$B$10, H8&gt;=DASHBOARD!$B$11), L8, 1000000000000)</f>
        <v/>
      </c>
      <c r="Z8" s="101">
        <f>IF(AND(F8&lt;=DASHBOARD!$B$10, H8&gt;=DASHBOARD!$B$11), O8, 1000000000000)</f>
        <v/>
      </c>
      <c r="AA8" s="101">
        <f>IF(AND(F8&lt;=DASHBOARD!$B$10, H8&gt;=DASHBOARD!$B$11), P8, 1000000000000)</f>
        <v/>
      </c>
      <c r="AB8" s="101">
        <f>IF(AND(F8&lt;=DASHBOARD!$B$10, H8&gt;=DASHBOARD!$B$11), Q8, -1000000000000)</f>
        <v/>
      </c>
    </row>
    <row r="9" ht="12.75" customHeight="1" s="102">
      <c r="A9" s="166" t="n">
        <v>5</v>
      </c>
      <c r="B9" s="167" t="n">
        <v>0</v>
      </c>
      <c r="C9" s="167" t="n">
        <v>0.2</v>
      </c>
      <c r="D9" s="110" t="inlineStr">
        <is>
          <t>Yok (%0)</t>
        </is>
      </c>
      <c r="E9" s="110">
        <f>IF((B9+C9)&lt;=1, "Tam Mahsuplaşma (≤%100)", "Kısmi Satış (&gt;%100)")</f>
        <v/>
      </c>
      <c r="F9" s="168">
        <f>((VERI_TABANI!$D$29*B9/VERI_TABANI!$B$29)/VERI_TABANI!$B$3)*VERI_TABANI!$B$5 + ((VERI_TABANI!$D$29*C9/VERI_TABANI!$B$29)/VERI_TABANI!$B$4)*VERI_TABANI!$B$6 + IF(ISNUMBER(SEARCH("Var", D9)), (VERI_TABANI!$F$29/VERI_TABANI!$B$29)*(VERI_TABANI!$B$10+VERI_TABANI!$B$12), 0)</f>
        <v/>
      </c>
      <c r="G9" s="168">
        <f>(((MIN(VERI_TABANI!D23, VERI_TABANI!D23*B9)*VERI_TABANI!$B$7 + MAX(0, VERI_TABANI!D23*B9-VERI_TABANI!D23)*VERI_TABANI!$B$8) + (MIN(MAX(0, VERI_TABANI!D23-VERI_TABANI!D23*B9), VERI_TABANI!D23*C9)*VERI_TABANI!$B$7 + MAX(0, VERI_TABANI!D23*C9-MAX(0, VERI_TABANI!D23-VERI_TABANI!D23*B9))*VERI_TABANI!$B$8) + IF(ABS(IF(ISNUMBER(SEARCH("Var", D9)), 1, IF(ISNUMBER(SEARCH("Gri", D9)), -1, 0)))=1, VERI_TABANI!E23*(1-0.928)*VERI_TABANI!$B$9, 0) + (VERI_TABANI!D23*B9*(VERI_TABANI!$B$13-VERI_TABANI!$B$14)*VERI_TABANI!G23) + (VERI_TABANI!D23*C9*(VERI_TABANI!$B$13-VERI_TABANI!$B$15)*VERI_TABANI!G23) + IF(ABS(IF(ISNUMBER(SEARCH("Var", D9)), 1, IF(ISNUMBER(SEARCH("Gri", D9)), -1, 0)))=1, VERI_TABANI!E23*(1-0.928)*0.00206091519919798*VERI_TABANI!G23, 0)) + ((MIN(VERI_TABANI!D24, VERI_TABANI!D24*B9)*VERI_TABANI!$B$7 + MAX(0, VERI_TABANI!D24*B9-VERI_TABANI!D24)*VERI_TABANI!$B$8) + (MIN(MAX(0, VERI_TABANI!D24-VERI_TABANI!D24*B9), VERI_TABANI!D24*C9)*VERI_TABANI!$B$7 + MAX(0, VERI_TABANI!D24*C9-MAX(0, VERI_TABANI!D24-VERI_TABANI!D24*B9))*VERI_TABANI!$B$8) + IF(ABS(IF(ISNUMBER(SEARCH("Var", D9)), 1, IF(ISNUMBER(SEARCH("Gri", D9)), -1, 0)))=1, VERI_TABANI!E24*(1-0.928)*VERI_TABANI!$B$9, 0) + (VERI_TABANI!D24*B9*(VERI_TABANI!$B$13-VERI_TABANI!$B$14)*VERI_TABANI!G24) + (VERI_TABANI!D24*C9*(VERI_TABANI!$B$13-VERI_TABANI!$B$15)*VERI_TABANI!G24) + IF(ABS(IF(ISNUMBER(SEARCH("Var", D9)), 1, IF(ISNUMBER(SEARCH("Gri", D9)), -1, 0)))=1, VERI_TABANI!E24*(1-0.928)*0.00206091519919798*VERI_TABANI!G24, 0)) + ((MIN(VERI_TABANI!D25, VERI_TABANI!D25*B9)*VERI_TABANI!$B$7 + MAX(0, VERI_TABANI!D25*B9-VERI_TABANI!D25)*VERI_TABANI!$B$8) + (MIN(MAX(0, VERI_TABANI!D25-VERI_TABANI!D25*B9), VERI_TABANI!D25*C9)*VERI_TABANI!$B$7 + MAX(0, VERI_TABANI!D25*C9-MAX(0, VERI_TABANI!D25-VERI_TABANI!D25*B9))*VERI_TABANI!$B$8) + IF(ABS(IF(ISNUMBER(SEARCH("Var", D9)), 1, IF(ISNUMBER(SEARCH("Gri", D9)), -1, 0)))=1, VERI_TABANI!E25*(1-0.928)*VERI_TABANI!$B$9, 0) + (VERI_TABANI!D25*B9*(VERI_TABANI!$B$13-VERI_TABANI!$B$14)*VERI_TABANI!G25) + (VERI_TABANI!D25*C9*(VERI_TABANI!$B$13-VERI_TABANI!$B$15)*VERI_TABANI!G25) + IF(ABS(IF(ISNUMBER(SEARCH("Var", D9)), 1, IF(ISNUMBER(SEARCH("Gri", D9)), -1, 0)))=1, VERI_TABANI!E25*(1-0.928)*0.00206091519919798*VERI_TABANI!G25, 0)) + ((MIN(VERI_TABANI!D26, VERI_TABANI!D26*B9)*VERI_TABANI!$B$7 + MAX(0, VERI_TABANI!D26*B9-VERI_TABANI!D26)*VERI_TABANI!$B$8) + (MIN(MAX(0, VERI_TABANI!D26-VERI_TABANI!D26*B9), VERI_TABANI!D26*C9)*VERI_TABANI!$B$7 + MAX(0, VERI_TABANI!D26*C9-MAX(0, VERI_TABANI!D26-VERI_TABANI!D26*B9))*VERI_TABANI!$B$8) + IF(ABS(IF(ISNUMBER(SEARCH("Var", D9)), 1, IF(ISNUMBER(SEARCH("Gri", D9)), -1, 0)))=1, VERI_TABANI!E26*(1-0.928)*VERI_TABANI!$B$9, 0) + (VERI_TABANI!D26*B9*(VERI_TABANI!$B$13-VERI_TABANI!$B$14)*VERI_TABANI!G26) + (VERI_TABANI!D26*C9*(VERI_TABANI!$B$13-VERI_TABANI!$B$15)*VERI_TABANI!G26) + IF(ABS(IF(ISNUMBER(SEARCH("Var", D9)), 1, IF(ISNUMBER(SEARCH("Gri", D9)), -1, 0)))=1, VERI_TABANI!E26*(1-0.928)*0.00206091519919798*VERI_TABANI!G26, 0)) + ((MIN(VERI_TABANI!D27, VERI_TABANI!D27*B9)*VERI_TABANI!$B$7 + MAX(0, VERI_TABANI!D27*B9-VERI_TABANI!D27)*VERI_TABANI!$B$8) + (MIN(MAX(0, VERI_TABANI!D27-VERI_TABANI!D27*B9), VERI_TABANI!D27*C9)*VERI_TABANI!$B$7 + MAX(0, VERI_TABANI!D27*C9-MAX(0, VERI_TABANI!D27-VERI_TABANI!D27*B9))*VERI_TABANI!$B$8) + IF(ABS(IF(ISNUMBER(SEARCH("Var", D9)), 1, IF(ISNUMBER(SEARCH("Gri", D9)), -1, 0)))=1, VERI_TABANI!E27*(1-0.928)*VERI_TABANI!$B$9, 0) + (VERI_TABANI!D27*B9*(VERI_TABANI!$B$13-VERI_TABANI!$B$14)*VERI_TABANI!G27) + (VERI_TABANI!D27*C9*(VERI_TABANI!$B$13-VERI_TABANI!$B$15)*VERI_TABANI!G27) + IF(ABS(IF(ISNUMBER(SEARCH("Var", D9)), 1, IF(ISNUMBER(SEARCH("Gri", D9)), -1, 0)))=1, VERI_TABANI!E27*(1-0.928)*0.00206091519919798*VERI_TABANI!G27, 0)) + ((MIN(VERI_TABANI!D28, VERI_TABANI!D28*B9)*VERI_TABANI!$B$7 + MAX(0, VERI_TABANI!D28*B9-VERI_TABANI!D28)*VERI_TABANI!$B$8) + (MIN(MAX(0, VERI_TABANI!D28-VERI_TABANI!D28*B9), VERI_TABANI!D28*C9)*VERI_TABANI!$B$7 + MAX(0, VERI_TABANI!D28*C9-MAX(0, VERI_TABANI!D28-VERI_TABANI!D28*B9))*VERI_TABANI!$B$8) + IF(ABS(IF(ISNUMBER(SEARCH("Var", D9)), 1, IF(ISNUMBER(SEARCH("Gri", D9)), -1, 0)))=1, VERI_TABANI!E28*(1-0.928)*VERI_TABANI!$B$9, 0) + (VERI_TABANI!D28*B9*(VERI_TABANI!$B$13-VERI_TABANI!$B$14)*VERI_TABANI!G28) + (VERI_TABANI!D28*C9*(VERI_TABANI!$B$13-VERI_TABANI!$B$15)*VERI_TABANI!G28) + IF(ABS(IF(ISNUMBER(SEARCH("Var", D9)), 1, IF(ISNUMBER(SEARCH("Gri", D9)), -1, 0)))=1, VERI_TABANI!E28*(1-0.928)*0.00206091519919798*VERI_TABANI!G28, 0)))</f>
        <v/>
      </c>
      <c r="H9" s="169">
        <f>(((VERI_TABANI!D23*B9*(VERI_TABANI!$B$13-VERI_TABANI!$B$14)) + (VERI_TABANI!D23*C9*(VERI_TABANI!$B$13-VERI_TABANI!$B$15)) + IF(ISNUMBER(SEARCH("Var", D9)), VERI_TABANI!F23*(0.00202-VERI_TABANI!$B$16), IF(ISNUMBER(SEARCH("Gri", D9)), VERI_TABANI!F23*(0.00202-VERI_TABANI!$B$17), 0))) + ((VERI_TABANI!D24*B9*(VERI_TABANI!$B$13-VERI_TABANI!$B$14)) + (VERI_TABANI!D24*C9*(VERI_TABANI!$B$13-VERI_TABANI!$B$15)) + IF(ISNUMBER(SEARCH("Var", D9)), VERI_TABANI!F24*(0.00202-VERI_TABANI!$B$16), IF(ISNUMBER(SEARCH("Gri", D9)), VERI_TABANI!F24*(0.00202-VERI_TABANI!$B$17), 0))) + ((VERI_TABANI!D25*B9*(VERI_TABANI!$B$13-VERI_TABANI!$B$14)) + (VERI_TABANI!D25*C9*(VERI_TABANI!$B$13-VERI_TABANI!$B$15)) + IF(ISNUMBER(SEARCH("Var", D9)), VERI_TABANI!F25*(0.00202-VERI_TABANI!$B$16), IF(ISNUMBER(SEARCH("Gri", D9)), VERI_TABANI!F25*(0.00202-VERI_TABANI!$B$17), 0))) + ((VERI_TABANI!D26*B9*(VERI_TABANI!$B$13-VERI_TABANI!$B$14)) + (VERI_TABANI!D26*C9*(VERI_TABANI!$B$13-VERI_TABANI!$B$15)) + IF(ISNUMBER(SEARCH("Var", D9)), VERI_TABANI!F26*(0.00202-VERI_TABANI!$B$16), IF(ISNUMBER(SEARCH("Gri", D9)), VERI_TABANI!F26*(0.00202-VERI_TABANI!$B$17), 0))) + ((VERI_TABANI!D27*B9*(VERI_TABANI!$B$13-VERI_TABANI!$B$14)) + (VERI_TABANI!D27*C9*(VERI_TABANI!$B$13-VERI_TABANI!$B$15)) + IF(ISNUMBER(SEARCH("Var", D9)), VERI_TABANI!F27*(0.00202-VERI_TABANI!$B$16), IF(ISNUMBER(SEARCH("Gri", D9)), VERI_TABANI!F27*(0.00202-VERI_TABANI!$B$17), 0))) + ((VERI_TABANI!D28*B9*(VERI_TABANI!$B$13-VERI_TABANI!$B$14)) + (VERI_TABANI!D28*C9*(VERI_TABANI!$B$13-VERI_TABANI!$B$15)) + IF(ISNUMBER(SEARCH("Var", D9)), VERI_TABANI!F28*(0.00202-VERI_TABANI!$B$16), IF(ISNUMBER(SEARCH("Gri", D9)), VERI_TABANI!F28*(0.00202-VERI_TABANI!$B$17), 0))))</f>
        <v/>
      </c>
      <c r="I9" s="170">
        <f>IFERROR(((VERI_TABANI!$D$29*B9*VERI_TABANI!$B$14 + VERI_TABANI!$D$29*C9*VERI_TABANI!$B$15 + IF(ISNUMBER(SEARCH("Var", D9)), VERI_TABANI!$F$29*VERI_TABANI!$B$16, 0))) / (((VERI_TABANI!$D$29*B9 + VERI_TABANI!$D$29*C9)*VERI_TABANI!$B$13 + IF(ISNUMBER(SEARCH("Var", D9)), VERI_TABANI!$E$29*(1-0.928)*VERI_TABANI!$B$18, 0))), 0)</f>
        <v/>
      </c>
      <c r="J9" s="171">
        <f>IFERROR(F9/(G9/29), 0)</f>
        <v/>
      </c>
      <c r="K9" s="172">
        <f>IF(F9&gt;0, H9/F9, 0)</f>
        <v/>
      </c>
      <c r="L9" s="170">
        <f>IF(F9&gt;0, I9, 1000000000)</f>
        <v/>
      </c>
      <c r="M9" s="171">
        <f>ABS((B9+C9)-1)</f>
        <v/>
      </c>
      <c r="N9" s="170">
        <f>IF(F9&gt;0, (G9/29)/F9, 0)</f>
        <v/>
      </c>
      <c r="O9" s="168">
        <f>IF(AND((B9+C9)&gt;=1, ISNUMBER(SEARCH("Var", D9))), F9, 1000000000)</f>
        <v/>
      </c>
      <c r="P9" s="172">
        <f>IF(F9&gt;0, SQRT((F9/MAX(F$5:F$886))^2 + (1 - H9/MAX(H$5:H$886))^2 + (J9/MAX(J$5:J$886))^2), 1000000000)</f>
        <v/>
      </c>
      <c r="Q9" s="166">
        <f>IF(AND(ABS(B9-0.5)&lt;0.01, ABS(C9-0.5)&lt;0.01, ISNUMBER(SEARCH("Var", D9))), 1, 0)</f>
        <v/>
      </c>
      <c r="R9" s="171">
        <f>IF(F9&gt;0, J9, 1000000000)</f>
        <v/>
      </c>
      <c r="S9" s="101">
        <f>IF(AND(F9&lt;=DASHBOARD!$B$11, H9&gt;=DASHBOARD!$B$13), G9, -1000000000000)</f>
        <v/>
      </c>
      <c r="T9" s="101">
        <f>IF(AND(F9&lt;=DASHBOARD!$B$11, H9&gt;=DASHBOARD!$B$13), R9, 1000000000000)</f>
        <v/>
      </c>
      <c r="U9" s="101">
        <f>IF(AND(F9&lt;=DASHBOARD!$B$11, H9&gt;=DASHBOARD!$B$13), N9, -1000000000000)</f>
        <v/>
      </c>
      <c r="V9" s="101">
        <f>IF(AND(F9&lt;=DASHBOARD!$B$11, H9&gt;=DASHBOARD!$B$13), H9, -1000000000000)</f>
        <v/>
      </c>
      <c r="W9" s="101">
        <f>IF(AND(F9&lt;=DASHBOARD!$B$11, H9&gt;=DASHBOARD!$B$13), K9, -1000000000000)</f>
        <v/>
      </c>
      <c r="X9" s="101">
        <f>IF(AND(F9&lt;=DASHBOARD!$B$11, H9&gt;=DASHBOARD!$B$13), M9, 1000000000000)</f>
        <v/>
      </c>
      <c r="Y9" s="101">
        <f>IF(AND(F9&lt;=DASHBOARD!$B$10, H9&gt;=DASHBOARD!$B$11), L9, 1000000000000)</f>
        <v/>
      </c>
      <c r="Z9" s="101">
        <f>IF(AND(F9&lt;=DASHBOARD!$B$10, H9&gt;=DASHBOARD!$B$11), O9, 1000000000000)</f>
        <v/>
      </c>
      <c r="AA9" s="101">
        <f>IF(AND(F9&lt;=DASHBOARD!$B$10, H9&gt;=DASHBOARD!$B$11), P9, 1000000000000)</f>
        <v/>
      </c>
      <c r="AB9" s="101">
        <f>IF(AND(F9&lt;=DASHBOARD!$B$10, H9&gt;=DASHBOARD!$B$11), Q9, -1000000000000)</f>
        <v/>
      </c>
    </row>
    <row r="10" ht="12.75" customHeight="1" s="102">
      <c r="A10" s="166" t="n">
        <v>6</v>
      </c>
      <c r="B10" s="167" t="n">
        <v>0</v>
      </c>
      <c r="C10" s="167" t="n">
        <v>0.2</v>
      </c>
      <c r="D10" s="110" t="inlineStr">
        <is>
          <t>Var (%20)</t>
        </is>
      </c>
      <c r="E10" s="110">
        <f>IF((B10+C10)&lt;=1, "Tam Mahsuplaşma (≤%100)", "Kısmi Satış (&gt;%100)")</f>
        <v/>
      </c>
      <c r="F10" s="168">
        <f>((VERI_TABANI!$D$29*B10/VERI_TABANI!$B$29)/VERI_TABANI!$B$3)*VERI_TABANI!$B$5 + ((VERI_TABANI!$D$29*C10/VERI_TABANI!$B$29)/VERI_TABANI!$B$4)*VERI_TABANI!$B$6 + IF(ISNUMBER(SEARCH("Var", D10)), (VERI_TABANI!$F$29/VERI_TABANI!$B$29)*(VERI_TABANI!$B$10+VERI_TABANI!$B$12), 0)</f>
        <v/>
      </c>
      <c r="G10" s="168">
        <f>(((MIN(VERI_TABANI!D23, VERI_TABANI!D23*B10)*VERI_TABANI!$B$7 + MAX(0, VERI_TABANI!D23*B10-VERI_TABANI!D23)*VERI_TABANI!$B$8) + (MIN(MAX(0, VERI_TABANI!D23-VERI_TABANI!D23*B10), VERI_TABANI!D23*C10)*VERI_TABANI!$B$7 + MAX(0, VERI_TABANI!D23*C10-MAX(0, VERI_TABANI!D23-VERI_TABANI!D23*B10))*VERI_TABANI!$B$8) + IF(ABS(IF(ISNUMBER(SEARCH("Var", D10)), 1, IF(ISNUMBER(SEARCH("Gri", D10)), -1, 0)))=1, VERI_TABANI!E23*(1-0.928)*VERI_TABANI!$B$9, 0) + (VERI_TABANI!D23*B10*(VERI_TABANI!$B$13-VERI_TABANI!$B$14)*VERI_TABANI!G23) + (VERI_TABANI!D23*C10*(VERI_TABANI!$B$13-VERI_TABANI!$B$15)*VERI_TABANI!G23) + IF(ABS(IF(ISNUMBER(SEARCH("Var", D10)), 1, IF(ISNUMBER(SEARCH("Gri", D10)), -1, 0)))=1, VERI_TABANI!E23*(1-0.928)*0.00206091519919798*VERI_TABANI!G23, 0)) + ((MIN(VERI_TABANI!D24, VERI_TABANI!D24*B10)*VERI_TABANI!$B$7 + MAX(0, VERI_TABANI!D24*B10-VERI_TABANI!D24)*VERI_TABANI!$B$8) + (MIN(MAX(0, VERI_TABANI!D24-VERI_TABANI!D24*B10), VERI_TABANI!D24*C10)*VERI_TABANI!$B$7 + MAX(0, VERI_TABANI!D24*C10-MAX(0, VERI_TABANI!D24-VERI_TABANI!D24*B10))*VERI_TABANI!$B$8) + IF(ABS(IF(ISNUMBER(SEARCH("Var", D10)), 1, IF(ISNUMBER(SEARCH("Gri", D10)), -1, 0)))=1, VERI_TABANI!E24*(1-0.928)*VERI_TABANI!$B$9, 0) + (VERI_TABANI!D24*B10*(VERI_TABANI!$B$13-VERI_TABANI!$B$14)*VERI_TABANI!G24) + (VERI_TABANI!D24*C10*(VERI_TABANI!$B$13-VERI_TABANI!$B$15)*VERI_TABANI!G24) + IF(ABS(IF(ISNUMBER(SEARCH("Var", D10)), 1, IF(ISNUMBER(SEARCH("Gri", D10)), -1, 0)))=1, VERI_TABANI!E24*(1-0.928)*0.00206091519919798*VERI_TABANI!G24, 0)) + ((MIN(VERI_TABANI!D25, VERI_TABANI!D25*B10)*VERI_TABANI!$B$7 + MAX(0, VERI_TABANI!D25*B10-VERI_TABANI!D25)*VERI_TABANI!$B$8) + (MIN(MAX(0, VERI_TABANI!D25-VERI_TABANI!D25*B10), VERI_TABANI!D25*C10)*VERI_TABANI!$B$7 + MAX(0, VERI_TABANI!D25*C10-MAX(0, VERI_TABANI!D25-VERI_TABANI!D25*B10))*VERI_TABANI!$B$8) + IF(ABS(IF(ISNUMBER(SEARCH("Var", D10)), 1, IF(ISNUMBER(SEARCH("Gri", D10)), -1, 0)))=1, VERI_TABANI!E25*(1-0.928)*VERI_TABANI!$B$9, 0) + (VERI_TABANI!D25*B10*(VERI_TABANI!$B$13-VERI_TABANI!$B$14)*VERI_TABANI!G25) + (VERI_TABANI!D25*C10*(VERI_TABANI!$B$13-VERI_TABANI!$B$15)*VERI_TABANI!G25) + IF(ABS(IF(ISNUMBER(SEARCH("Var", D10)), 1, IF(ISNUMBER(SEARCH("Gri", D10)), -1, 0)))=1, VERI_TABANI!E25*(1-0.928)*0.00206091519919798*VERI_TABANI!G25, 0)) + ((MIN(VERI_TABANI!D26, VERI_TABANI!D26*B10)*VERI_TABANI!$B$7 + MAX(0, VERI_TABANI!D26*B10-VERI_TABANI!D26)*VERI_TABANI!$B$8) + (MIN(MAX(0, VERI_TABANI!D26-VERI_TABANI!D26*B10), VERI_TABANI!D26*C10)*VERI_TABANI!$B$7 + MAX(0, VERI_TABANI!D26*C10-MAX(0, VERI_TABANI!D26-VERI_TABANI!D26*B10))*VERI_TABANI!$B$8) + IF(ABS(IF(ISNUMBER(SEARCH("Var", D10)), 1, IF(ISNUMBER(SEARCH("Gri", D10)), -1, 0)))=1, VERI_TABANI!E26*(1-0.928)*VERI_TABANI!$B$9, 0) + (VERI_TABANI!D26*B10*(VERI_TABANI!$B$13-VERI_TABANI!$B$14)*VERI_TABANI!G26) + (VERI_TABANI!D26*C10*(VERI_TABANI!$B$13-VERI_TABANI!$B$15)*VERI_TABANI!G26) + IF(ABS(IF(ISNUMBER(SEARCH("Var", D10)), 1, IF(ISNUMBER(SEARCH("Gri", D10)), -1, 0)))=1, VERI_TABANI!E26*(1-0.928)*0.00206091519919798*VERI_TABANI!G26, 0)) + ((MIN(VERI_TABANI!D27, VERI_TABANI!D27*B10)*VERI_TABANI!$B$7 + MAX(0, VERI_TABANI!D27*B10-VERI_TABANI!D27)*VERI_TABANI!$B$8) + (MIN(MAX(0, VERI_TABANI!D27-VERI_TABANI!D27*B10), VERI_TABANI!D27*C10)*VERI_TABANI!$B$7 + MAX(0, VERI_TABANI!D27*C10-MAX(0, VERI_TABANI!D27-VERI_TABANI!D27*B10))*VERI_TABANI!$B$8) + IF(ABS(IF(ISNUMBER(SEARCH("Var", D10)), 1, IF(ISNUMBER(SEARCH("Gri", D10)), -1, 0)))=1, VERI_TABANI!E27*(1-0.928)*VERI_TABANI!$B$9, 0) + (VERI_TABANI!D27*B10*(VERI_TABANI!$B$13-VERI_TABANI!$B$14)*VERI_TABANI!G27) + (VERI_TABANI!D27*C10*(VERI_TABANI!$B$13-VERI_TABANI!$B$15)*VERI_TABANI!G27) + IF(ABS(IF(ISNUMBER(SEARCH("Var", D10)), 1, IF(ISNUMBER(SEARCH("Gri", D10)), -1, 0)))=1, VERI_TABANI!E27*(1-0.928)*0.00206091519919798*VERI_TABANI!G27, 0)) + ((MIN(VERI_TABANI!D28, VERI_TABANI!D28*B10)*VERI_TABANI!$B$7 + MAX(0, VERI_TABANI!D28*B10-VERI_TABANI!D28)*VERI_TABANI!$B$8) + (MIN(MAX(0, VERI_TABANI!D28-VERI_TABANI!D28*B10), VERI_TABANI!D28*C10)*VERI_TABANI!$B$7 + MAX(0, VERI_TABANI!D28*C10-MAX(0, VERI_TABANI!D28-VERI_TABANI!D28*B10))*VERI_TABANI!$B$8) + IF(ABS(IF(ISNUMBER(SEARCH("Var", D10)), 1, IF(ISNUMBER(SEARCH("Gri", D10)), -1, 0)))=1, VERI_TABANI!E28*(1-0.928)*VERI_TABANI!$B$9, 0) + (VERI_TABANI!D28*B10*(VERI_TABANI!$B$13-VERI_TABANI!$B$14)*VERI_TABANI!G28) + (VERI_TABANI!D28*C10*(VERI_TABANI!$B$13-VERI_TABANI!$B$15)*VERI_TABANI!G28) + IF(ABS(IF(ISNUMBER(SEARCH("Var", D10)), 1, IF(ISNUMBER(SEARCH("Gri", D10)), -1, 0)))=1, VERI_TABANI!E28*(1-0.928)*0.00206091519919798*VERI_TABANI!G28, 0)))</f>
        <v/>
      </c>
      <c r="H10" s="169">
        <f>(((VERI_TABANI!D23*B10*(VERI_TABANI!$B$13-VERI_TABANI!$B$14)) + (VERI_TABANI!D23*C10*(VERI_TABANI!$B$13-VERI_TABANI!$B$15)) + IF(ISNUMBER(SEARCH("Var", D10)), VERI_TABANI!F23*(0.00202-VERI_TABANI!$B$16), IF(ISNUMBER(SEARCH("Gri", D10)), VERI_TABANI!F23*(0.00202-VERI_TABANI!$B$17), 0))) + ((VERI_TABANI!D24*B10*(VERI_TABANI!$B$13-VERI_TABANI!$B$14)) + (VERI_TABANI!D24*C10*(VERI_TABANI!$B$13-VERI_TABANI!$B$15)) + IF(ISNUMBER(SEARCH("Var", D10)), VERI_TABANI!F24*(0.00202-VERI_TABANI!$B$16), IF(ISNUMBER(SEARCH("Gri", D10)), VERI_TABANI!F24*(0.00202-VERI_TABANI!$B$17), 0))) + ((VERI_TABANI!D25*B10*(VERI_TABANI!$B$13-VERI_TABANI!$B$14)) + (VERI_TABANI!D25*C10*(VERI_TABANI!$B$13-VERI_TABANI!$B$15)) + IF(ISNUMBER(SEARCH("Var", D10)), VERI_TABANI!F25*(0.00202-VERI_TABANI!$B$16), IF(ISNUMBER(SEARCH("Gri", D10)), VERI_TABANI!F25*(0.00202-VERI_TABANI!$B$17), 0))) + ((VERI_TABANI!D26*B10*(VERI_TABANI!$B$13-VERI_TABANI!$B$14)) + (VERI_TABANI!D26*C10*(VERI_TABANI!$B$13-VERI_TABANI!$B$15)) + IF(ISNUMBER(SEARCH("Var", D10)), VERI_TABANI!F26*(0.00202-VERI_TABANI!$B$16), IF(ISNUMBER(SEARCH("Gri", D10)), VERI_TABANI!F26*(0.00202-VERI_TABANI!$B$17), 0))) + ((VERI_TABANI!D27*B10*(VERI_TABANI!$B$13-VERI_TABANI!$B$14)) + (VERI_TABANI!D27*C10*(VERI_TABANI!$B$13-VERI_TABANI!$B$15)) + IF(ISNUMBER(SEARCH("Var", D10)), VERI_TABANI!F27*(0.00202-VERI_TABANI!$B$16), IF(ISNUMBER(SEARCH("Gri", D10)), VERI_TABANI!F27*(0.00202-VERI_TABANI!$B$17), 0))) + ((VERI_TABANI!D28*B10*(VERI_TABANI!$B$13-VERI_TABANI!$B$14)) + (VERI_TABANI!D28*C10*(VERI_TABANI!$B$13-VERI_TABANI!$B$15)) + IF(ISNUMBER(SEARCH("Var", D10)), VERI_TABANI!F28*(0.00202-VERI_TABANI!$B$16), IF(ISNUMBER(SEARCH("Gri", D10)), VERI_TABANI!F28*(0.00202-VERI_TABANI!$B$17), 0))))</f>
        <v/>
      </c>
      <c r="I10" s="170">
        <f>IFERROR(((VERI_TABANI!$D$29*B10*VERI_TABANI!$B$14 + VERI_TABANI!$D$29*C10*VERI_TABANI!$B$15 + IF(ISNUMBER(SEARCH("Var", D10)), VERI_TABANI!$F$29*VERI_TABANI!$B$16, 0))) / (((VERI_TABANI!$D$29*B10 + VERI_TABANI!$D$29*C10)*VERI_TABANI!$B$13 + IF(ISNUMBER(SEARCH("Var", D10)), VERI_TABANI!$E$29*(1-0.928)*VERI_TABANI!$B$18, 0))), 0)</f>
        <v/>
      </c>
      <c r="J10" s="171">
        <f>IFERROR(F10/(G10/29), 0)</f>
        <v/>
      </c>
      <c r="K10" s="172">
        <f>IF(F10&gt;0, H10/F10, 0)</f>
        <v/>
      </c>
      <c r="L10" s="170">
        <f>IF(F10&gt;0, I10, 1000000000)</f>
        <v/>
      </c>
      <c r="M10" s="171">
        <f>ABS((B10+C10)-1)</f>
        <v/>
      </c>
      <c r="N10" s="170">
        <f>IF(F10&gt;0, (G10/29)/F10, 0)</f>
        <v/>
      </c>
      <c r="O10" s="168">
        <f>IF(AND((B10+C10)&gt;=1, ISNUMBER(SEARCH("Var", D10))), F10, 1000000000)</f>
        <v/>
      </c>
      <c r="P10" s="172">
        <f>IF(F10&gt;0, SQRT((F10/MAX(F$5:F$886))^2 + (1 - H10/MAX(H$5:H$886))^2 + (J10/MAX(J$5:J$886))^2), 1000000000)</f>
        <v/>
      </c>
      <c r="Q10" s="166">
        <f>IF(AND(ABS(B10-0.5)&lt;0.01, ABS(C10-0.5)&lt;0.01, ISNUMBER(SEARCH("Var", D10))), 1, 0)</f>
        <v/>
      </c>
      <c r="R10" s="171">
        <f>IF(F10&gt;0, J10, 1000000000)</f>
        <v/>
      </c>
      <c r="S10" s="101">
        <f>IF(AND(F10&lt;=DASHBOARD!$B$11, H10&gt;=DASHBOARD!$B$13), G10, -1000000000000)</f>
        <v/>
      </c>
      <c r="T10" s="101">
        <f>IF(AND(F10&lt;=DASHBOARD!$B$11, H10&gt;=DASHBOARD!$B$13), R10, 1000000000000)</f>
        <v/>
      </c>
      <c r="U10" s="101">
        <f>IF(AND(F10&lt;=DASHBOARD!$B$11, H10&gt;=DASHBOARD!$B$13), N10, -1000000000000)</f>
        <v/>
      </c>
      <c r="V10" s="101">
        <f>IF(AND(F10&lt;=DASHBOARD!$B$11, H10&gt;=DASHBOARD!$B$13), H10, -1000000000000)</f>
        <v/>
      </c>
      <c r="W10" s="101">
        <f>IF(AND(F10&lt;=DASHBOARD!$B$11, H10&gt;=DASHBOARD!$B$13), K10, -1000000000000)</f>
        <v/>
      </c>
      <c r="X10" s="101">
        <f>IF(AND(F10&lt;=DASHBOARD!$B$11, H10&gt;=DASHBOARD!$B$13), M10, 1000000000000)</f>
        <v/>
      </c>
      <c r="Y10" s="101">
        <f>IF(AND(F10&lt;=DASHBOARD!$B$10, H10&gt;=DASHBOARD!$B$11), L10, 1000000000000)</f>
        <v/>
      </c>
      <c r="Z10" s="101">
        <f>IF(AND(F10&lt;=DASHBOARD!$B$10, H10&gt;=DASHBOARD!$B$11), O10, 1000000000000)</f>
        <v/>
      </c>
      <c r="AA10" s="101">
        <f>IF(AND(F10&lt;=DASHBOARD!$B$10, H10&gt;=DASHBOARD!$B$11), P10, 1000000000000)</f>
        <v/>
      </c>
      <c r="AB10" s="101">
        <f>IF(AND(F10&lt;=DASHBOARD!$B$10, H10&gt;=DASHBOARD!$B$11), Q10, -1000000000000)</f>
        <v/>
      </c>
    </row>
    <row r="11" ht="12.75" customHeight="1" s="102">
      <c r="A11" s="166" t="n">
        <v>7</v>
      </c>
      <c r="B11" s="167" t="n">
        <v>0</v>
      </c>
      <c r="C11" s="167" t="n">
        <v>0.3</v>
      </c>
      <c r="D11" s="110" t="inlineStr">
        <is>
          <t>Yok (%0)</t>
        </is>
      </c>
      <c r="E11" s="110">
        <f>IF((B11+C11)&lt;=1, "Tam Mahsuplaşma (≤%100)", "Kısmi Satış (&gt;%100)")</f>
        <v/>
      </c>
      <c r="F11" s="168">
        <f>((VERI_TABANI!$D$29*B11/VERI_TABANI!$B$29)/VERI_TABANI!$B$3)*VERI_TABANI!$B$5 + ((VERI_TABANI!$D$29*C11/VERI_TABANI!$B$29)/VERI_TABANI!$B$4)*VERI_TABANI!$B$6 + IF(ISNUMBER(SEARCH("Var", D11)), (VERI_TABANI!$F$29/VERI_TABANI!$B$29)*(VERI_TABANI!$B$10+VERI_TABANI!$B$12), 0)</f>
        <v/>
      </c>
      <c r="G11" s="168">
        <f>(((MIN(VERI_TABANI!D23, VERI_TABANI!D23*B11)*VERI_TABANI!$B$7 + MAX(0, VERI_TABANI!D23*B11-VERI_TABANI!D23)*VERI_TABANI!$B$8) + (MIN(MAX(0, VERI_TABANI!D23-VERI_TABANI!D23*B11), VERI_TABANI!D23*C11)*VERI_TABANI!$B$7 + MAX(0, VERI_TABANI!D23*C11-MAX(0, VERI_TABANI!D23-VERI_TABANI!D23*B11))*VERI_TABANI!$B$8) + IF(ABS(IF(ISNUMBER(SEARCH("Var", D11)), 1, IF(ISNUMBER(SEARCH("Gri", D11)), -1, 0)))=1, VERI_TABANI!E23*(1-0.928)*VERI_TABANI!$B$9, 0) + (VERI_TABANI!D23*B11*(VERI_TABANI!$B$13-VERI_TABANI!$B$14)*VERI_TABANI!G23) + (VERI_TABANI!D23*C11*(VERI_TABANI!$B$13-VERI_TABANI!$B$15)*VERI_TABANI!G23) + IF(ABS(IF(ISNUMBER(SEARCH("Var", D11)), 1, IF(ISNUMBER(SEARCH("Gri", D11)), -1, 0)))=1, VERI_TABANI!E23*(1-0.928)*0.00206091519919798*VERI_TABANI!G23, 0)) + ((MIN(VERI_TABANI!D24, VERI_TABANI!D24*B11)*VERI_TABANI!$B$7 + MAX(0, VERI_TABANI!D24*B11-VERI_TABANI!D24)*VERI_TABANI!$B$8) + (MIN(MAX(0, VERI_TABANI!D24-VERI_TABANI!D24*B11), VERI_TABANI!D24*C11)*VERI_TABANI!$B$7 + MAX(0, VERI_TABANI!D24*C11-MAX(0, VERI_TABANI!D24-VERI_TABANI!D24*B11))*VERI_TABANI!$B$8) + IF(ABS(IF(ISNUMBER(SEARCH("Var", D11)), 1, IF(ISNUMBER(SEARCH("Gri", D11)), -1, 0)))=1, VERI_TABANI!E24*(1-0.928)*VERI_TABANI!$B$9, 0) + (VERI_TABANI!D24*B11*(VERI_TABANI!$B$13-VERI_TABANI!$B$14)*VERI_TABANI!G24) + (VERI_TABANI!D24*C11*(VERI_TABANI!$B$13-VERI_TABANI!$B$15)*VERI_TABANI!G24) + IF(ABS(IF(ISNUMBER(SEARCH("Var", D11)), 1, IF(ISNUMBER(SEARCH("Gri", D11)), -1, 0)))=1, VERI_TABANI!E24*(1-0.928)*0.00206091519919798*VERI_TABANI!G24, 0)) + ((MIN(VERI_TABANI!D25, VERI_TABANI!D25*B11)*VERI_TABANI!$B$7 + MAX(0, VERI_TABANI!D25*B11-VERI_TABANI!D25)*VERI_TABANI!$B$8) + (MIN(MAX(0, VERI_TABANI!D25-VERI_TABANI!D25*B11), VERI_TABANI!D25*C11)*VERI_TABANI!$B$7 + MAX(0, VERI_TABANI!D25*C11-MAX(0, VERI_TABANI!D25-VERI_TABANI!D25*B11))*VERI_TABANI!$B$8) + IF(ABS(IF(ISNUMBER(SEARCH("Var", D11)), 1, IF(ISNUMBER(SEARCH("Gri", D11)), -1, 0)))=1, VERI_TABANI!E25*(1-0.928)*VERI_TABANI!$B$9, 0) + (VERI_TABANI!D25*B11*(VERI_TABANI!$B$13-VERI_TABANI!$B$14)*VERI_TABANI!G25) + (VERI_TABANI!D25*C11*(VERI_TABANI!$B$13-VERI_TABANI!$B$15)*VERI_TABANI!G25) + IF(ABS(IF(ISNUMBER(SEARCH("Var", D11)), 1, IF(ISNUMBER(SEARCH("Gri", D11)), -1, 0)))=1, VERI_TABANI!E25*(1-0.928)*0.00206091519919798*VERI_TABANI!G25, 0)) + ((MIN(VERI_TABANI!D26, VERI_TABANI!D26*B11)*VERI_TABANI!$B$7 + MAX(0, VERI_TABANI!D26*B11-VERI_TABANI!D26)*VERI_TABANI!$B$8) + (MIN(MAX(0, VERI_TABANI!D26-VERI_TABANI!D26*B11), VERI_TABANI!D26*C11)*VERI_TABANI!$B$7 + MAX(0, VERI_TABANI!D26*C11-MAX(0, VERI_TABANI!D26-VERI_TABANI!D26*B11))*VERI_TABANI!$B$8) + IF(ABS(IF(ISNUMBER(SEARCH("Var", D11)), 1, IF(ISNUMBER(SEARCH("Gri", D11)), -1, 0)))=1, VERI_TABANI!E26*(1-0.928)*VERI_TABANI!$B$9, 0) + (VERI_TABANI!D26*B11*(VERI_TABANI!$B$13-VERI_TABANI!$B$14)*VERI_TABANI!G26) + (VERI_TABANI!D26*C11*(VERI_TABANI!$B$13-VERI_TABANI!$B$15)*VERI_TABANI!G26) + IF(ABS(IF(ISNUMBER(SEARCH("Var", D11)), 1, IF(ISNUMBER(SEARCH("Gri", D11)), -1, 0)))=1, VERI_TABANI!E26*(1-0.928)*0.00206091519919798*VERI_TABANI!G26, 0)) + ((MIN(VERI_TABANI!D27, VERI_TABANI!D27*B11)*VERI_TABANI!$B$7 + MAX(0, VERI_TABANI!D27*B11-VERI_TABANI!D27)*VERI_TABANI!$B$8) + (MIN(MAX(0, VERI_TABANI!D27-VERI_TABANI!D27*B11), VERI_TABANI!D27*C11)*VERI_TABANI!$B$7 + MAX(0, VERI_TABANI!D27*C11-MAX(0, VERI_TABANI!D27-VERI_TABANI!D27*B11))*VERI_TABANI!$B$8) + IF(ABS(IF(ISNUMBER(SEARCH("Var", D11)), 1, IF(ISNUMBER(SEARCH("Gri", D11)), -1, 0)))=1, VERI_TABANI!E27*(1-0.928)*VERI_TABANI!$B$9, 0) + (VERI_TABANI!D27*B11*(VERI_TABANI!$B$13-VERI_TABANI!$B$14)*VERI_TABANI!G27) + (VERI_TABANI!D27*C11*(VERI_TABANI!$B$13-VERI_TABANI!$B$15)*VERI_TABANI!G27) + IF(ABS(IF(ISNUMBER(SEARCH("Var", D11)), 1, IF(ISNUMBER(SEARCH("Gri", D11)), -1, 0)))=1, VERI_TABANI!E27*(1-0.928)*0.00206091519919798*VERI_TABANI!G27, 0)) + ((MIN(VERI_TABANI!D28, VERI_TABANI!D28*B11)*VERI_TABANI!$B$7 + MAX(0, VERI_TABANI!D28*B11-VERI_TABANI!D28)*VERI_TABANI!$B$8) + (MIN(MAX(0, VERI_TABANI!D28-VERI_TABANI!D28*B11), VERI_TABANI!D28*C11)*VERI_TABANI!$B$7 + MAX(0, VERI_TABANI!D28*C11-MAX(0, VERI_TABANI!D28-VERI_TABANI!D28*B11))*VERI_TABANI!$B$8) + IF(ABS(IF(ISNUMBER(SEARCH("Var", D11)), 1, IF(ISNUMBER(SEARCH("Gri", D11)), -1, 0)))=1, VERI_TABANI!E28*(1-0.928)*VERI_TABANI!$B$9, 0) + (VERI_TABANI!D28*B11*(VERI_TABANI!$B$13-VERI_TABANI!$B$14)*VERI_TABANI!G28) + (VERI_TABANI!D28*C11*(VERI_TABANI!$B$13-VERI_TABANI!$B$15)*VERI_TABANI!G28) + IF(ABS(IF(ISNUMBER(SEARCH("Var", D11)), 1, IF(ISNUMBER(SEARCH("Gri", D11)), -1, 0)))=1, VERI_TABANI!E28*(1-0.928)*0.00206091519919798*VERI_TABANI!G28, 0)))</f>
        <v/>
      </c>
      <c r="H11" s="169">
        <f>(((VERI_TABANI!D23*B11*(VERI_TABANI!$B$13-VERI_TABANI!$B$14)) + (VERI_TABANI!D23*C11*(VERI_TABANI!$B$13-VERI_TABANI!$B$15)) + IF(ISNUMBER(SEARCH("Var", D11)), VERI_TABANI!F23*(0.00202-VERI_TABANI!$B$16), IF(ISNUMBER(SEARCH("Gri", D11)), VERI_TABANI!F23*(0.00202-VERI_TABANI!$B$17), 0))) + ((VERI_TABANI!D24*B11*(VERI_TABANI!$B$13-VERI_TABANI!$B$14)) + (VERI_TABANI!D24*C11*(VERI_TABANI!$B$13-VERI_TABANI!$B$15)) + IF(ISNUMBER(SEARCH("Var", D11)), VERI_TABANI!F24*(0.00202-VERI_TABANI!$B$16), IF(ISNUMBER(SEARCH("Gri", D11)), VERI_TABANI!F24*(0.00202-VERI_TABANI!$B$17), 0))) + ((VERI_TABANI!D25*B11*(VERI_TABANI!$B$13-VERI_TABANI!$B$14)) + (VERI_TABANI!D25*C11*(VERI_TABANI!$B$13-VERI_TABANI!$B$15)) + IF(ISNUMBER(SEARCH("Var", D11)), VERI_TABANI!F25*(0.00202-VERI_TABANI!$B$16), IF(ISNUMBER(SEARCH("Gri", D11)), VERI_TABANI!F25*(0.00202-VERI_TABANI!$B$17), 0))) + ((VERI_TABANI!D26*B11*(VERI_TABANI!$B$13-VERI_TABANI!$B$14)) + (VERI_TABANI!D26*C11*(VERI_TABANI!$B$13-VERI_TABANI!$B$15)) + IF(ISNUMBER(SEARCH("Var", D11)), VERI_TABANI!F26*(0.00202-VERI_TABANI!$B$16), IF(ISNUMBER(SEARCH("Gri", D11)), VERI_TABANI!F26*(0.00202-VERI_TABANI!$B$17), 0))) + ((VERI_TABANI!D27*B11*(VERI_TABANI!$B$13-VERI_TABANI!$B$14)) + (VERI_TABANI!D27*C11*(VERI_TABANI!$B$13-VERI_TABANI!$B$15)) + IF(ISNUMBER(SEARCH("Var", D11)), VERI_TABANI!F27*(0.00202-VERI_TABANI!$B$16), IF(ISNUMBER(SEARCH("Gri", D11)), VERI_TABANI!F27*(0.00202-VERI_TABANI!$B$17), 0))) + ((VERI_TABANI!D28*B11*(VERI_TABANI!$B$13-VERI_TABANI!$B$14)) + (VERI_TABANI!D28*C11*(VERI_TABANI!$B$13-VERI_TABANI!$B$15)) + IF(ISNUMBER(SEARCH("Var", D11)), VERI_TABANI!F28*(0.00202-VERI_TABANI!$B$16), IF(ISNUMBER(SEARCH("Gri", D11)), VERI_TABANI!F28*(0.00202-VERI_TABANI!$B$17), 0))))</f>
        <v/>
      </c>
      <c r="I11" s="170">
        <f>IFERROR(((VERI_TABANI!$D$29*B11*VERI_TABANI!$B$14 + VERI_TABANI!$D$29*C11*VERI_TABANI!$B$15 + IF(ISNUMBER(SEARCH("Var", D11)), VERI_TABANI!$F$29*VERI_TABANI!$B$16, 0))) / (((VERI_TABANI!$D$29*B11 + VERI_TABANI!$D$29*C11)*VERI_TABANI!$B$13 + IF(ISNUMBER(SEARCH("Var", D11)), VERI_TABANI!$E$29*(1-0.928)*VERI_TABANI!$B$18, 0))), 0)</f>
        <v/>
      </c>
      <c r="J11" s="171">
        <f>IFERROR(F11/(G11/29), 0)</f>
        <v/>
      </c>
      <c r="K11" s="172">
        <f>IF(F11&gt;0, H11/F11, 0)</f>
        <v/>
      </c>
      <c r="L11" s="170">
        <f>IF(F11&gt;0, I11, 1000000000)</f>
        <v/>
      </c>
      <c r="M11" s="171">
        <f>ABS((B11+C11)-1)</f>
        <v/>
      </c>
      <c r="N11" s="170">
        <f>IF(F11&gt;0, (G11/29)/F11, 0)</f>
        <v/>
      </c>
      <c r="O11" s="168">
        <f>IF(AND((B11+C11)&gt;=1, ISNUMBER(SEARCH("Var", D11))), F11, 1000000000)</f>
        <v/>
      </c>
      <c r="P11" s="172">
        <f>IF(F11&gt;0, SQRT((F11/MAX(F$5:F$886))^2 + (1 - H11/MAX(H$5:H$886))^2 + (J11/MAX(J$5:J$886))^2), 1000000000)</f>
        <v/>
      </c>
      <c r="Q11" s="166">
        <f>IF(AND(ABS(B11-0.5)&lt;0.01, ABS(C11-0.5)&lt;0.01, ISNUMBER(SEARCH("Var", D11))), 1, 0)</f>
        <v/>
      </c>
      <c r="R11" s="171">
        <f>IF(F11&gt;0, J11, 1000000000)</f>
        <v/>
      </c>
      <c r="S11" s="101">
        <f>IF(AND(F11&lt;=DASHBOARD!$B$11, H11&gt;=DASHBOARD!$B$13), G11, -1000000000000)</f>
        <v/>
      </c>
      <c r="T11" s="101">
        <f>IF(AND(F11&lt;=DASHBOARD!$B$11, H11&gt;=DASHBOARD!$B$13), R11, 1000000000000)</f>
        <v/>
      </c>
      <c r="U11" s="101">
        <f>IF(AND(F11&lt;=DASHBOARD!$B$11, H11&gt;=DASHBOARD!$B$13), N11, -1000000000000)</f>
        <v/>
      </c>
      <c r="V11" s="101">
        <f>IF(AND(F11&lt;=DASHBOARD!$B$11, H11&gt;=DASHBOARD!$B$13), H11, -1000000000000)</f>
        <v/>
      </c>
      <c r="W11" s="101">
        <f>IF(AND(F11&lt;=DASHBOARD!$B$11, H11&gt;=DASHBOARD!$B$13), K11, -1000000000000)</f>
        <v/>
      </c>
      <c r="X11" s="101">
        <f>IF(AND(F11&lt;=DASHBOARD!$B$11, H11&gt;=DASHBOARD!$B$13), M11, 1000000000000)</f>
        <v/>
      </c>
      <c r="Y11" s="101">
        <f>IF(AND(F11&lt;=DASHBOARD!$B$10, H11&gt;=DASHBOARD!$B$11), L11, 1000000000000)</f>
        <v/>
      </c>
      <c r="Z11" s="101">
        <f>IF(AND(F11&lt;=DASHBOARD!$B$10, H11&gt;=DASHBOARD!$B$11), O11, 1000000000000)</f>
        <v/>
      </c>
      <c r="AA11" s="101">
        <f>IF(AND(F11&lt;=DASHBOARD!$B$10, H11&gt;=DASHBOARD!$B$11), P11, 1000000000000)</f>
        <v/>
      </c>
      <c r="AB11" s="101">
        <f>IF(AND(F11&lt;=DASHBOARD!$B$10, H11&gt;=DASHBOARD!$B$11), Q11, -1000000000000)</f>
        <v/>
      </c>
    </row>
    <row r="12" ht="12.75" customHeight="1" s="102">
      <c r="A12" s="166" t="n">
        <v>8</v>
      </c>
      <c r="B12" s="167" t="n">
        <v>0</v>
      </c>
      <c r="C12" s="167" t="n">
        <v>0.3</v>
      </c>
      <c r="D12" s="110" t="inlineStr">
        <is>
          <t>Var (%20)</t>
        </is>
      </c>
      <c r="E12" s="110">
        <f>IF((B12+C12)&lt;=1, "Tam Mahsuplaşma (≤%100)", "Kısmi Satış (&gt;%100)")</f>
        <v/>
      </c>
      <c r="F12" s="168">
        <f>((VERI_TABANI!$D$29*B12/VERI_TABANI!$B$29)/VERI_TABANI!$B$3)*VERI_TABANI!$B$5 + ((VERI_TABANI!$D$29*C12/VERI_TABANI!$B$29)/VERI_TABANI!$B$4)*VERI_TABANI!$B$6 + IF(ISNUMBER(SEARCH("Var", D12)), (VERI_TABANI!$F$29/VERI_TABANI!$B$29)*(VERI_TABANI!$B$10+VERI_TABANI!$B$12), 0)</f>
        <v/>
      </c>
      <c r="G12" s="168">
        <f>(((MIN(VERI_TABANI!D23, VERI_TABANI!D23*B12)*VERI_TABANI!$B$7 + MAX(0, VERI_TABANI!D23*B12-VERI_TABANI!D23)*VERI_TABANI!$B$8) + (MIN(MAX(0, VERI_TABANI!D23-VERI_TABANI!D23*B12), VERI_TABANI!D23*C12)*VERI_TABANI!$B$7 + MAX(0, VERI_TABANI!D23*C12-MAX(0, VERI_TABANI!D23-VERI_TABANI!D23*B12))*VERI_TABANI!$B$8) + IF(ABS(IF(ISNUMBER(SEARCH("Var", D12)), 1, IF(ISNUMBER(SEARCH("Gri", D12)), -1, 0)))=1, VERI_TABANI!E23*(1-0.928)*VERI_TABANI!$B$9, 0) + (VERI_TABANI!D23*B12*(VERI_TABANI!$B$13-VERI_TABANI!$B$14)*VERI_TABANI!G23) + (VERI_TABANI!D23*C12*(VERI_TABANI!$B$13-VERI_TABANI!$B$15)*VERI_TABANI!G23) + IF(ABS(IF(ISNUMBER(SEARCH("Var", D12)), 1, IF(ISNUMBER(SEARCH("Gri", D12)), -1, 0)))=1, VERI_TABANI!E23*(1-0.928)*0.00206091519919798*VERI_TABANI!G23, 0)) + ((MIN(VERI_TABANI!D24, VERI_TABANI!D24*B12)*VERI_TABANI!$B$7 + MAX(0, VERI_TABANI!D24*B12-VERI_TABANI!D24)*VERI_TABANI!$B$8) + (MIN(MAX(0, VERI_TABANI!D24-VERI_TABANI!D24*B12), VERI_TABANI!D24*C12)*VERI_TABANI!$B$7 + MAX(0, VERI_TABANI!D24*C12-MAX(0, VERI_TABANI!D24-VERI_TABANI!D24*B12))*VERI_TABANI!$B$8) + IF(ABS(IF(ISNUMBER(SEARCH("Var", D12)), 1, IF(ISNUMBER(SEARCH("Gri", D12)), -1, 0)))=1, VERI_TABANI!E24*(1-0.928)*VERI_TABANI!$B$9, 0) + (VERI_TABANI!D24*B12*(VERI_TABANI!$B$13-VERI_TABANI!$B$14)*VERI_TABANI!G24) + (VERI_TABANI!D24*C12*(VERI_TABANI!$B$13-VERI_TABANI!$B$15)*VERI_TABANI!G24) + IF(ABS(IF(ISNUMBER(SEARCH("Var", D12)), 1, IF(ISNUMBER(SEARCH("Gri", D12)), -1, 0)))=1, VERI_TABANI!E24*(1-0.928)*0.00206091519919798*VERI_TABANI!G24, 0)) + ((MIN(VERI_TABANI!D25, VERI_TABANI!D25*B12)*VERI_TABANI!$B$7 + MAX(0, VERI_TABANI!D25*B12-VERI_TABANI!D25)*VERI_TABANI!$B$8) + (MIN(MAX(0, VERI_TABANI!D25-VERI_TABANI!D25*B12), VERI_TABANI!D25*C12)*VERI_TABANI!$B$7 + MAX(0, VERI_TABANI!D25*C12-MAX(0, VERI_TABANI!D25-VERI_TABANI!D25*B12))*VERI_TABANI!$B$8) + IF(ABS(IF(ISNUMBER(SEARCH("Var", D12)), 1, IF(ISNUMBER(SEARCH("Gri", D12)), -1, 0)))=1, VERI_TABANI!E25*(1-0.928)*VERI_TABANI!$B$9, 0) + (VERI_TABANI!D25*B12*(VERI_TABANI!$B$13-VERI_TABANI!$B$14)*VERI_TABANI!G25) + (VERI_TABANI!D25*C12*(VERI_TABANI!$B$13-VERI_TABANI!$B$15)*VERI_TABANI!G25) + IF(ABS(IF(ISNUMBER(SEARCH("Var", D12)), 1, IF(ISNUMBER(SEARCH("Gri", D12)), -1, 0)))=1, VERI_TABANI!E25*(1-0.928)*0.00206091519919798*VERI_TABANI!G25, 0)) + ((MIN(VERI_TABANI!D26, VERI_TABANI!D26*B12)*VERI_TABANI!$B$7 + MAX(0, VERI_TABANI!D26*B12-VERI_TABANI!D26)*VERI_TABANI!$B$8) + (MIN(MAX(0, VERI_TABANI!D26-VERI_TABANI!D26*B12), VERI_TABANI!D26*C12)*VERI_TABANI!$B$7 + MAX(0, VERI_TABANI!D26*C12-MAX(0, VERI_TABANI!D26-VERI_TABANI!D26*B12))*VERI_TABANI!$B$8) + IF(ABS(IF(ISNUMBER(SEARCH("Var", D12)), 1, IF(ISNUMBER(SEARCH("Gri", D12)), -1, 0)))=1, VERI_TABANI!E26*(1-0.928)*VERI_TABANI!$B$9, 0) + (VERI_TABANI!D26*B12*(VERI_TABANI!$B$13-VERI_TABANI!$B$14)*VERI_TABANI!G26) + (VERI_TABANI!D26*C12*(VERI_TABANI!$B$13-VERI_TABANI!$B$15)*VERI_TABANI!G26) + IF(ABS(IF(ISNUMBER(SEARCH("Var", D12)), 1, IF(ISNUMBER(SEARCH("Gri", D12)), -1, 0)))=1, VERI_TABANI!E26*(1-0.928)*0.00206091519919798*VERI_TABANI!G26, 0)) + ((MIN(VERI_TABANI!D27, VERI_TABANI!D27*B12)*VERI_TABANI!$B$7 + MAX(0, VERI_TABANI!D27*B12-VERI_TABANI!D27)*VERI_TABANI!$B$8) + (MIN(MAX(0, VERI_TABANI!D27-VERI_TABANI!D27*B12), VERI_TABANI!D27*C12)*VERI_TABANI!$B$7 + MAX(0, VERI_TABANI!D27*C12-MAX(0, VERI_TABANI!D27-VERI_TABANI!D27*B12))*VERI_TABANI!$B$8) + IF(ABS(IF(ISNUMBER(SEARCH("Var", D12)), 1, IF(ISNUMBER(SEARCH("Gri", D12)), -1, 0)))=1, VERI_TABANI!E27*(1-0.928)*VERI_TABANI!$B$9, 0) + (VERI_TABANI!D27*B12*(VERI_TABANI!$B$13-VERI_TABANI!$B$14)*VERI_TABANI!G27) + (VERI_TABANI!D27*C12*(VERI_TABANI!$B$13-VERI_TABANI!$B$15)*VERI_TABANI!G27) + IF(ABS(IF(ISNUMBER(SEARCH("Var", D12)), 1, IF(ISNUMBER(SEARCH("Gri", D12)), -1, 0)))=1, VERI_TABANI!E27*(1-0.928)*0.00206091519919798*VERI_TABANI!G27, 0)) + ((MIN(VERI_TABANI!D28, VERI_TABANI!D28*B12)*VERI_TABANI!$B$7 + MAX(0, VERI_TABANI!D28*B12-VERI_TABANI!D28)*VERI_TABANI!$B$8) + (MIN(MAX(0, VERI_TABANI!D28-VERI_TABANI!D28*B12), VERI_TABANI!D28*C12)*VERI_TABANI!$B$7 + MAX(0, VERI_TABANI!D28*C12-MAX(0, VERI_TABANI!D28-VERI_TABANI!D28*B12))*VERI_TABANI!$B$8) + IF(ABS(IF(ISNUMBER(SEARCH("Var", D12)), 1, IF(ISNUMBER(SEARCH("Gri", D12)), -1, 0)))=1, VERI_TABANI!E28*(1-0.928)*VERI_TABANI!$B$9, 0) + (VERI_TABANI!D28*B12*(VERI_TABANI!$B$13-VERI_TABANI!$B$14)*VERI_TABANI!G28) + (VERI_TABANI!D28*C12*(VERI_TABANI!$B$13-VERI_TABANI!$B$15)*VERI_TABANI!G28) + IF(ABS(IF(ISNUMBER(SEARCH("Var", D12)), 1, IF(ISNUMBER(SEARCH("Gri", D12)), -1, 0)))=1, VERI_TABANI!E28*(1-0.928)*0.00206091519919798*VERI_TABANI!G28, 0)))</f>
        <v/>
      </c>
      <c r="H12" s="169">
        <f>(((VERI_TABANI!D23*B12*(VERI_TABANI!$B$13-VERI_TABANI!$B$14)) + (VERI_TABANI!D23*C12*(VERI_TABANI!$B$13-VERI_TABANI!$B$15)) + IF(ISNUMBER(SEARCH("Var", D12)), VERI_TABANI!F23*(0.00202-VERI_TABANI!$B$16), IF(ISNUMBER(SEARCH("Gri", D12)), VERI_TABANI!F23*(0.00202-VERI_TABANI!$B$17), 0))) + ((VERI_TABANI!D24*B12*(VERI_TABANI!$B$13-VERI_TABANI!$B$14)) + (VERI_TABANI!D24*C12*(VERI_TABANI!$B$13-VERI_TABANI!$B$15)) + IF(ISNUMBER(SEARCH("Var", D12)), VERI_TABANI!F24*(0.00202-VERI_TABANI!$B$16), IF(ISNUMBER(SEARCH("Gri", D12)), VERI_TABANI!F24*(0.00202-VERI_TABANI!$B$17), 0))) + ((VERI_TABANI!D25*B12*(VERI_TABANI!$B$13-VERI_TABANI!$B$14)) + (VERI_TABANI!D25*C12*(VERI_TABANI!$B$13-VERI_TABANI!$B$15)) + IF(ISNUMBER(SEARCH("Var", D12)), VERI_TABANI!F25*(0.00202-VERI_TABANI!$B$16), IF(ISNUMBER(SEARCH("Gri", D12)), VERI_TABANI!F25*(0.00202-VERI_TABANI!$B$17), 0))) + ((VERI_TABANI!D26*B12*(VERI_TABANI!$B$13-VERI_TABANI!$B$14)) + (VERI_TABANI!D26*C12*(VERI_TABANI!$B$13-VERI_TABANI!$B$15)) + IF(ISNUMBER(SEARCH("Var", D12)), VERI_TABANI!F26*(0.00202-VERI_TABANI!$B$16), IF(ISNUMBER(SEARCH("Gri", D12)), VERI_TABANI!F26*(0.00202-VERI_TABANI!$B$17), 0))) + ((VERI_TABANI!D27*B12*(VERI_TABANI!$B$13-VERI_TABANI!$B$14)) + (VERI_TABANI!D27*C12*(VERI_TABANI!$B$13-VERI_TABANI!$B$15)) + IF(ISNUMBER(SEARCH("Var", D12)), VERI_TABANI!F27*(0.00202-VERI_TABANI!$B$16), IF(ISNUMBER(SEARCH("Gri", D12)), VERI_TABANI!F27*(0.00202-VERI_TABANI!$B$17), 0))) + ((VERI_TABANI!D28*B12*(VERI_TABANI!$B$13-VERI_TABANI!$B$14)) + (VERI_TABANI!D28*C12*(VERI_TABANI!$B$13-VERI_TABANI!$B$15)) + IF(ISNUMBER(SEARCH("Var", D12)), VERI_TABANI!F28*(0.00202-VERI_TABANI!$B$16), IF(ISNUMBER(SEARCH("Gri", D12)), VERI_TABANI!F28*(0.00202-VERI_TABANI!$B$17), 0))))</f>
        <v/>
      </c>
      <c r="I12" s="170">
        <f>IFERROR(((VERI_TABANI!$D$29*B12*VERI_TABANI!$B$14 + VERI_TABANI!$D$29*C12*VERI_TABANI!$B$15 + IF(ISNUMBER(SEARCH("Var", D12)), VERI_TABANI!$F$29*VERI_TABANI!$B$16, 0))) / (((VERI_TABANI!$D$29*B12 + VERI_TABANI!$D$29*C12)*VERI_TABANI!$B$13 + IF(ISNUMBER(SEARCH("Var", D12)), VERI_TABANI!$E$29*(1-0.928)*VERI_TABANI!$B$18, 0))), 0)</f>
        <v/>
      </c>
      <c r="J12" s="171">
        <f>IFERROR(F12/(G12/29), 0)</f>
        <v/>
      </c>
      <c r="K12" s="172">
        <f>IF(F12&gt;0, H12/F12, 0)</f>
        <v/>
      </c>
      <c r="L12" s="170">
        <f>IF(F12&gt;0, I12, 1000000000)</f>
        <v/>
      </c>
      <c r="M12" s="171">
        <f>ABS((B12+C12)-1)</f>
        <v/>
      </c>
      <c r="N12" s="170">
        <f>IF(F12&gt;0, (G12/29)/F12, 0)</f>
        <v/>
      </c>
      <c r="O12" s="168">
        <f>IF(AND((B12+C12)&gt;=1, ISNUMBER(SEARCH("Var", D12))), F12, 1000000000)</f>
        <v/>
      </c>
      <c r="P12" s="172">
        <f>IF(F12&gt;0, SQRT((F12/MAX(F$5:F$886))^2 + (1 - H12/MAX(H$5:H$886))^2 + (J12/MAX(J$5:J$886))^2), 1000000000)</f>
        <v/>
      </c>
      <c r="Q12" s="166">
        <f>IF(AND(ABS(B12-0.5)&lt;0.01, ABS(C12-0.5)&lt;0.01, ISNUMBER(SEARCH("Var", D12))), 1, 0)</f>
        <v/>
      </c>
      <c r="R12" s="171">
        <f>IF(F12&gt;0, J12, 1000000000)</f>
        <v/>
      </c>
      <c r="S12" s="101">
        <f>IF(AND(F12&lt;=DASHBOARD!$B$11, H12&gt;=DASHBOARD!$B$13), G12, -1000000000000)</f>
        <v/>
      </c>
      <c r="T12" s="101">
        <f>IF(AND(F12&lt;=DASHBOARD!$B$11, H12&gt;=DASHBOARD!$B$13), R12, 1000000000000)</f>
        <v/>
      </c>
      <c r="U12" s="101">
        <f>IF(AND(F12&lt;=DASHBOARD!$B$11, H12&gt;=DASHBOARD!$B$13), N12, -1000000000000)</f>
        <v/>
      </c>
      <c r="V12" s="101">
        <f>IF(AND(F12&lt;=DASHBOARD!$B$11, H12&gt;=DASHBOARD!$B$13), H12, -1000000000000)</f>
        <v/>
      </c>
      <c r="W12" s="101">
        <f>IF(AND(F12&lt;=DASHBOARD!$B$11, H12&gt;=DASHBOARD!$B$13), K12, -1000000000000)</f>
        <v/>
      </c>
      <c r="X12" s="101">
        <f>IF(AND(F12&lt;=DASHBOARD!$B$11, H12&gt;=DASHBOARD!$B$13), M12, 1000000000000)</f>
        <v/>
      </c>
      <c r="Y12" s="101">
        <f>IF(AND(F12&lt;=DASHBOARD!$B$10, H12&gt;=DASHBOARD!$B$11), L12, 1000000000000)</f>
        <v/>
      </c>
      <c r="Z12" s="101">
        <f>IF(AND(F12&lt;=DASHBOARD!$B$10, H12&gt;=DASHBOARD!$B$11), O12, 1000000000000)</f>
        <v/>
      </c>
      <c r="AA12" s="101">
        <f>IF(AND(F12&lt;=DASHBOARD!$B$10, H12&gt;=DASHBOARD!$B$11), P12, 1000000000000)</f>
        <v/>
      </c>
      <c r="AB12" s="101">
        <f>IF(AND(F12&lt;=DASHBOARD!$B$10, H12&gt;=DASHBOARD!$B$11), Q12, -1000000000000)</f>
        <v/>
      </c>
    </row>
    <row r="13" ht="12.75" customHeight="1" s="102">
      <c r="A13" s="166" t="n">
        <v>9</v>
      </c>
      <c r="B13" s="167" t="n">
        <v>0</v>
      </c>
      <c r="C13" s="167" t="n">
        <v>0.4</v>
      </c>
      <c r="D13" s="110" t="inlineStr">
        <is>
          <t>Yok (%0)</t>
        </is>
      </c>
      <c r="E13" s="110">
        <f>IF((B13+C13)&lt;=1, "Tam Mahsuplaşma (≤%100)", "Kısmi Satış (&gt;%100)")</f>
        <v/>
      </c>
      <c r="F13" s="168">
        <f>((VERI_TABANI!$D$29*B13/VERI_TABANI!$B$29)/VERI_TABANI!$B$3)*VERI_TABANI!$B$5 + ((VERI_TABANI!$D$29*C13/VERI_TABANI!$B$29)/VERI_TABANI!$B$4)*VERI_TABANI!$B$6 + IF(ISNUMBER(SEARCH("Var", D13)), (VERI_TABANI!$F$29/VERI_TABANI!$B$29)*(VERI_TABANI!$B$10+VERI_TABANI!$B$12), 0)</f>
        <v/>
      </c>
      <c r="G13" s="168">
        <f>(((MIN(VERI_TABANI!D23, VERI_TABANI!D23*B13)*VERI_TABANI!$B$7 + MAX(0, VERI_TABANI!D23*B13-VERI_TABANI!D23)*VERI_TABANI!$B$8) + (MIN(MAX(0, VERI_TABANI!D23-VERI_TABANI!D23*B13), VERI_TABANI!D23*C13)*VERI_TABANI!$B$7 + MAX(0, VERI_TABANI!D23*C13-MAX(0, VERI_TABANI!D23-VERI_TABANI!D23*B13))*VERI_TABANI!$B$8) + IF(ABS(IF(ISNUMBER(SEARCH("Var", D13)), 1, IF(ISNUMBER(SEARCH("Gri", D13)), -1, 0)))=1, VERI_TABANI!E23*(1-0.928)*VERI_TABANI!$B$9, 0) + (VERI_TABANI!D23*B13*(VERI_TABANI!$B$13-VERI_TABANI!$B$14)*VERI_TABANI!G23) + (VERI_TABANI!D23*C13*(VERI_TABANI!$B$13-VERI_TABANI!$B$15)*VERI_TABANI!G23) + IF(ABS(IF(ISNUMBER(SEARCH("Var", D13)), 1, IF(ISNUMBER(SEARCH("Gri", D13)), -1, 0)))=1, VERI_TABANI!E23*(1-0.928)*0.00206091519919798*VERI_TABANI!G23, 0)) + ((MIN(VERI_TABANI!D24, VERI_TABANI!D24*B13)*VERI_TABANI!$B$7 + MAX(0, VERI_TABANI!D24*B13-VERI_TABANI!D24)*VERI_TABANI!$B$8) + (MIN(MAX(0, VERI_TABANI!D24-VERI_TABANI!D24*B13), VERI_TABANI!D24*C13)*VERI_TABANI!$B$7 + MAX(0, VERI_TABANI!D24*C13-MAX(0, VERI_TABANI!D24-VERI_TABANI!D24*B13))*VERI_TABANI!$B$8) + IF(ABS(IF(ISNUMBER(SEARCH("Var", D13)), 1, IF(ISNUMBER(SEARCH("Gri", D13)), -1, 0)))=1, VERI_TABANI!E24*(1-0.928)*VERI_TABANI!$B$9, 0) + (VERI_TABANI!D24*B13*(VERI_TABANI!$B$13-VERI_TABANI!$B$14)*VERI_TABANI!G24) + (VERI_TABANI!D24*C13*(VERI_TABANI!$B$13-VERI_TABANI!$B$15)*VERI_TABANI!G24) + IF(ABS(IF(ISNUMBER(SEARCH("Var", D13)), 1, IF(ISNUMBER(SEARCH("Gri", D13)), -1, 0)))=1, VERI_TABANI!E24*(1-0.928)*0.00206091519919798*VERI_TABANI!G24, 0)) + ((MIN(VERI_TABANI!D25, VERI_TABANI!D25*B13)*VERI_TABANI!$B$7 + MAX(0, VERI_TABANI!D25*B13-VERI_TABANI!D25)*VERI_TABANI!$B$8) + (MIN(MAX(0, VERI_TABANI!D25-VERI_TABANI!D25*B13), VERI_TABANI!D25*C13)*VERI_TABANI!$B$7 + MAX(0, VERI_TABANI!D25*C13-MAX(0, VERI_TABANI!D25-VERI_TABANI!D25*B13))*VERI_TABANI!$B$8) + IF(ABS(IF(ISNUMBER(SEARCH("Var", D13)), 1, IF(ISNUMBER(SEARCH("Gri", D13)), -1, 0)))=1, VERI_TABANI!E25*(1-0.928)*VERI_TABANI!$B$9, 0) + (VERI_TABANI!D25*B13*(VERI_TABANI!$B$13-VERI_TABANI!$B$14)*VERI_TABANI!G25) + (VERI_TABANI!D25*C13*(VERI_TABANI!$B$13-VERI_TABANI!$B$15)*VERI_TABANI!G25) + IF(ABS(IF(ISNUMBER(SEARCH("Var", D13)), 1, IF(ISNUMBER(SEARCH("Gri", D13)), -1, 0)))=1, VERI_TABANI!E25*(1-0.928)*0.00206091519919798*VERI_TABANI!G25, 0)) + ((MIN(VERI_TABANI!D26, VERI_TABANI!D26*B13)*VERI_TABANI!$B$7 + MAX(0, VERI_TABANI!D26*B13-VERI_TABANI!D26)*VERI_TABANI!$B$8) + (MIN(MAX(0, VERI_TABANI!D26-VERI_TABANI!D26*B13), VERI_TABANI!D26*C13)*VERI_TABANI!$B$7 + MAX(0, VERI_TABANI!D26*C13-MAX(0, VERI_TABANI!D26-VERI_TABANI!D26*B13))*VERI_TABANI!$B$8) + IF(ABS(IF(ISNUMBER(SEARCH("Var", D13)), 1, IF(ISNUMBER(SEARCH("Gri", D13)), -1, 0)))=1, VERI_TABANI!E26*(1-0.928)*VERI_TABANI!$B$9, 0) + (VERI_TABANI!D26*B13*(VERI_TABANI!$B$13-VERI_TABANI!$B$14)*VERI_TABANI!G26) + (VERI_TABANI!D26*C13*(VERI_TABANI!$B$13-VERI_TABANI!$B$15)*VERI_TABANI!G26) + IF(ABS(IF(ISNUMBER(SEARCH("Var", D13)), 1, IF(ISNUMBER(SEARCH("Gri", D13)), -1, 0)))=1, VERI_TABANI!E26*(1-0.928)*0.00206091519919798*VERI_TABANI!G26, 0)) + ((MIN(VERI_TABANI!D27, VERI_TABANI!D27*B13)*VERI_TABANI!$B$7 + MAX(0, VERI_TABANI!D27*B13-VERI_TABANI!D27)*VERI_TABANI!$B$8) + (MIN(MAX(0, VERI_TABANI!D27-VERI_TABANI!D27*B13), VERI_TABANI!D27*C13)*VERI_TABANI!$B$7 + MAX(0, VERI_TABANI!D27*C13-MAX(0, VERI_TABANI!D27-VERI_TABANI!D27*B13))*VERI_TABANI!$B$8) + IF(ABS(IF(ISNUMBER(SEARCH("Var", D13)), 1, IF(ISNUMBER(SEARCH("Gri", D13)), -1, 0)))=1, VERI_TABANI!E27*(1-0.928)*VERI_TABANI!$B$9, 0) + (VERI_TABANI!D27*B13*(VERI_TABANI!$B$13-VERI_TABANI!$B$14)*VERI_TABANI!G27) + (VERI_TABANI!D27*C13*(VERI_TABANI!$B$13-VERI_TABANI!$B$15)*VERI_TABANI!G27) + IF(ABS(IF(ISNUMBER(SEARCH("Var", D13)), 1, IF(ISNUMBER(SEARCH("Gri", D13)), -1, 0)))=1, VERI_TABANI!E27*(1-0.928)*0.00206091519919798*VERI_TABANI!G27, 0)) + ((MIN(VERI_TABANI!D28, VERI_TABANI!D28*B13)*VERI_TABANI!$B$7 + MAX(0, VERI_TABANI!D28*B13-VERI_TABANI!D28)*VERI_TABANI!$B$8) + (MIN(MAX(0, VERI_TABANI!D28-VERI_TABANI!D28*B13), VERI_TABANI!D28*C13)*VERI_TABANI!$B$7 + MAX(0, VERI_TABANI!D28*C13-MAX(0, VERI_TABANI!D28-VERI_TABANI!D28*B13))*VERI_TABANI!$B$8) + IF(ABS(IF(ISNUMBER(SEARCH("Var", D13)), 1, IF(ISNUMBER(SEARCH("Gri", D13)), -1, 0)))=1, VERI_TABANI!E28*(1-0.928)*VERI_TABANI!$B$9, 0) + (VERI_TABANI!D28*B13*(VERI_TABANI!$B$13-VERI_TABANI!$B$14)*VERI_TABANI!G28) + (VERI_TABANI!D28*C13*(VERI_TABANI!$B$13-VERI_TABANI!$B$15)*VERI_TABANI!G28) + IF(ABS(IF(ISNUMBER(SEARCH("Var", D13)), 1, IF(ISNUMBER(SEARCH("Gri", D13)), -1, 0)))=1, VERI_TABANI!E28*(1-0.928)*0.00206091519919798*VERI_TABANI!G28, 0)))</f>
        <v/>
      </c>
      <c r="H13" s="169">
        <f>(((VERI_TABANI!D23*B13*(VERI_TABANI!$B$13-VERI_TABANI!$B$14)) + (VERI_TABANI!D23*C13*(VERI_TABANI!$B$13-VERI_TABANI!$B$15)) + IF(ISNUMBER(SEARCH("Var", D13)), VERI_TABANI!F23*(0.00202-VERI_TABANI!$B$16), IF(ISNUMBER(SEARCH("Gri", D13)), VERI_TABANI!F23*(0.00202-VERI_TABANI!$B$17), 0))) + ((VERI_TABANI!D24*B13*(VERI_TABANI!$B$13-VERI_TABANI!$B$14)) + (VERI_TABANI!D24*C13*(VERI_TABANI!$B$13-VERI_TABANI!$B$15)) + IF(ISNUMBER(SEARCH("Var", D13)), VERI_TABANI!F24*(0.00202-VERI_TABANI!$B$16), IF(ISNUMBER(SEARCH("Gri", D13)), VERI_TABANI!F24*(0.00202-VERI_TABANI!$B$17), 0))) + ((VERI_TABANI!D25*B13*(VERI_TABANI!$B$13-VERI_TABANI!$B$14)) + (VERI_TABANI!D25*C13*(VERI_TABANI!$B$13-VERI_TABANI!$B$15)) + IF(ISNUMBER(SEARCH("Var", D13)), VERI_TABANI!F25*(0.00202-VERI_TABANI!$B$16), IF(ISNUMBER(SEARCH("Gri", D13)), VERI_TABANI!F25*(0.00202-VERI_TABANI!$B$17), 0))) + ((VERI_TABANI!D26*B13*(VERI_TABANI!$B$13-VERI_TABANI!$B$14)) + (VERI_TABANI!D26*C13*(VERI_TABANI!$B$13-VERI_TABANI!$B$15)) + IF(ISNUMBER(SEARCH("Var", D13)), VERI_TABANI!F26*(0.00202-VERI_TABANI!$B$16), IF(ISNUMBER(SEARCH("Gri", D13)), VERI_TABANI!F26*(0.00202-VERI_TABANI!$B$17), 0))) + ((VERI_TABANI!D27*B13*(VERI_TABANI!$B$13-VERI_TABANI!$B$14)) + (VERI_TABANI!D27*C13*(VERI_TABANI!$B$13-VERI_TABANI!$B$15)) + IF(ISNUMBER(SEARCH("Var", D13)), VERI_TABANI!F27*(0.00202-VERI_TABANI!$B$16), IF(ISNUMBER(SEARCH("Gri", D13)), VERI_TABANI!F27*(0.00202-VERI_TABANI!$B$17), 0))) + ((VERI_TABANI!D28*B13*(VERI_TABANI!$B$13-VERI_TABANI!$B$14)) + (VERI_TABANI!D28*C13*(VERI_TABANI!$B$13-VERI_TABANI!$B$15)) + IF(ISNUMBER(SEARCH("Var", D13)), VERI_TABANI!F28*(0.00202-VERI_TABANI!$B$16), IF(ISNUMBER(SEARCH("Gri", D13)), VERI_TABANI!F28*(0.00202-VERI_TABANI!$B$17), 0))))</f>
        <v/>
      </c>
      <c r="I13" s="170">
        <f>IFERROR(((VERI_TABANI!$D$29*B13*VERI_TABANI!$B$14 + VERI_TABANI!$D$29*C13*VERI_TABANI!$B$15 + IF(ISNUMBER(SEARCH("Var", D13)), VERI_TABANI!$F$29*VERI_TABANI!$B$16, 0))) / (((VERI_TABANI!$D$29*B13 + VERI_TABANI!$D$29*C13)*VERI_TABANI!$B$13 + IF(ISNUMBER(SEARCH("Var", D13)), VERI_TABANI!$E$29*(1-0.928)*VERI_TABANI!$B$18, 0))), 0)</f>
        <v/>
      </c>
      <c r="J13" s="171">
        <f>IFERROR(F13/(G13/29), 0)</f>
        <v/>
      </c>
      <c r="K13" s="172">
        <f>IF(F13&gt;0, H13/F13, 0)</f>
        <v/>
      </c>
      <c r="L13" s="170">
        <f>IF(F13&gt;0, I13, 1000000000)</f>
        <v/>
      </c>
      <c r="M13" s="171">
        <f>ABS((B13+C13)-1)</f>
        <v/>
      </c>
      <c r="N13" s="170">
        <f>IF(F13&gt;0, (G13/29)/F13, 0)</f>
        <v/>
      </c>
      <c r="O13" s="168">
        <f>IF(AND((B13+C13)&gt;=1, ISNUMBER(SEARCH("Var", D13))), F13, 1000000000)</f>
        <v/>
      </c>
      <c r="P13" s="172">
        <f>IF(F13&gt;0, SQRT((F13/MAX(F$5:F$886))^2 + (1 - H13/MAX(H$5:H$886))^2 + (J13/MAX(J$5:J$886))^2), 1000000000)</f>
        <v/>
      </c>
      <c r="Q13" s="166">
        <f>IF(AND(ABS(B13-0.5)&lt;0.01, ABS(C13-0.5)&lt;0.01, ISNUMBER(SEARCH("Var", D13))), 1, 0)</f>
        <v/>
      </c>
      <c r="R13" s="171">
        <f>IF(F13&gt;0, J13, 1000000000)</f>
        <v/>
      </c>
      <c r="S13" s="101">
        <f>IF(AND(F13&lt;=DASHBOARD!$B$11, H13&gt;=DASHBOARD!$B$13), G13, -1000000000000)</f>
        <v/>
      </c>
      <c r="T13" s="101">
        <f>IF(AND(F13&lt;=DASHBOARD!$B$11, H13&gt;=DASHBOARD!$B$13), R13, 1000000000000)</f>
        <v/>
      </c>
      <c r="U13" s="101">
        <f>IF(AND(F13&lt;=DASHBOARD!$B$11, H13&gt;=DASHBOARD!$B$13), N13, -1000000000000)</f>
        <v/>
      </c>
      <c r="V13" s="101">
        <f>IF(AND(F13&lt;=DASHBOARD!$B$11, H13&gt;=DASHBOARD!$B$13), H13, -1000000000000)</f>
        <v/>
      </c>
      <c r="W13" s="101">
        <f>IF(AND(F13&lt;=DASHBOARD!$B$11, H13&gt;=DASHBOARD!$B$13), K13, -1000000000000)</f>
        <v/>
      </c>
      <c r="X13" s="101">
        <f>IF(AND(F13&lt;=DASHBOARD!$B$11, H13&gt;=DASHBOARD!$B$13), M13, 1000000000000)</f>
        <v/>
      </c>
      <c r="Y13" s="101">
        <f>IF(AND(F13&lt;=DASHBOARD!$B$10, H13&gt;=DASHBOARD!$B$11), L13, 1000000000000)</f>
        <v/>
      </c>
      <c r="Z13" s="101">
        <f>IF(AND(F13&lt;=DASHBOARD!$B$10, H13&gt;=DASHBOARD!$B$11), O13, 1000000000000)</f>
        <v/>
      </c>
      <c r="AA13" s="101">
        <f>IF(AND(F13&lt;=DASHBOARD!$B$10, H13&gt;=DASHBOARD!$B$11), P13, 1000000000000)</f>
        <v/>
      </c>
      <c r="AB13" s="101">
        <f>IF(AND(F13&lt;=DASHBOARD!$B$10, H13&gt;=DASHBOARD!$B$11), Q13, -1000000000000)</f>
        <v/>
      </c>
    </row>
    <row r="14" ht="12.75" customHeight="1" s="102">
      <c r="A14" s="166" t="n">
        <v>10</v>
      </c>
      <c r="B14" s="167" t="n">
        <v>0</v>
      </c>
      <c r="C14" s="167" t="n">
        <v>0.4</v>
      </c>
      <c r="D14" s="110" t="inlineStr">
        <is>
          <t>Var (%20)</t>
        </is>
      </c>
      <c r="E14" s="110">
        <f>IF((B14+C14)&lt;=1, "Tam Mahsuplaşma (≤%100)", "Kısmi Satış (&gt;%100)")</f>
        <v/>
      </c>
      <c r="F14" s="168">
        <f>((VERI_TABANI!$D$29*B14/VERI_TABANI!$B$29)/VERI_TABANI!$B$3)*VERI_TABANI!$B$5 + ((VERI_TABANI!$D$29*C14/VERI_TABANI!$B$29)/VERI_TABANI!$B$4)*VERI_TABANI!$B$6 + IF(ISNUMBER(SEARCH("Var", D14)), (VERI_TABANI!$F$29/VERI_TABANI!$B$29)*(VERI_TABANI!$B$10+VERI_TABANI!$B$12), 0)</f>
        <v/>
      </c>
      <c r="G14" s="168">
        <f>(((MIN(VERI_TABANI!D23, VERI_TABANI!D23*B14)*VERI_TABANI!$B$7 + MAX(0, VERI_TABANI!D23*B14-VERI_TABANI!D23)*VERI_TABANI!$B$8) + (MIN(MAX(0, VERI_TABANI!D23-VERI_TABANI!D23*B14), VERI_TABANI!D23*C14)*VERI_TABANI!$B$7 + MAX(0, VERI_TABANI!D23*C14-MAX(0, VERI_TABANI!D23-VERI_TABANI!D23*B14))*VERI_TABANI!$B$8) + IF(ABS(IF(ISNUMBER(SEARCH("Var", D14)), 1, IF(ISNUMBER(SEARCH("Gri", D14)), -1, 0)))=1, VERI_TABANI!E23*(1-0.928)*VERI_TABANI!$B$9, 0) + (VERI_TABANI!D23*B14*(VERI_TABANI!$B$13-VERI_TABANI!$B$14)*VERI_TABANI!G23) + (VERI_TABANI!D23*C14*(VERI_TABANI!$B$13-VERI_TABANI!$B$15)*VERI_TABANI!G23) + IF(ABS(IF(ISNUMBER(SEARCH("Var", D14)), 1, IF(ISNUMBER(SEARCH("Gri", D14)), -1, 0)))=1, VERI_TABANI!E23*(1-0.928)*0.00206091519919798*VERI_TABANI!G23, 0)) + ((MIN(VERI_TABANI!D24, VERI_TABANI!D24*B14)*VERI_TABANI!$B$7 + MAX(0, VERI_TABANI!D24*B14-VERI_TABANI!D24)*VERI_TABANI!$B$8) + (MIN(MAX(0, VERI_TABANI!D24-VERI_TABANI!D24*B14), VERI_TABANI!D24*C14)*VERI_TABANI!$B$7 + MAX(0, VERI_TABANI!D24*C14-MAX(0, VERI_TABANI!D24-VERI_TABANI!D24*B14))*VERI_TABANI!$B$8) + IF(ABS(IF(ISNUMBER(SEARCH("Var", D14)), 1, IF(ISNUMBER(SEARCH("Gri", D14)), -1, 0)))=1, VERI_TABANI!E24*(1-0.928)*VERI_TABANI!$B$9, 0) + (VERI_TABANI!D24*B14*(VERI_TABANI!$B$13-VERI_TABANI!$B$14)*VERI_TABANI!G24) + (VERI_TABANI!D24*C14*(VERI_TABANI!$B$13-VERI_TABANI!$B$15)*VERI_TABANI!G24) + IF(ABS(IF(ISNUMBER(SEARCH("Var", D14)), 1, IF(ISNUMBER(SEARCH("Gri", D14)), -1, 0)))=1, VERI_TABANI!E24*(1-0.928)*0.00206091519919798*VERI_TABANI!G24, 0)) + ((MIN(VERI_TABANI!D25, VERI_TABANI!D25*B14)*VERI_TABANI!$B$7 + MAX(0, VERI_TABANI!D25*B14-VERI_TABANI!D25)*VERI_TABANI!$B$8) + (MIN(MAX(0, VERI_TABANI!D25-VERI_TABANI!D25*B14), VERI_TABANI!D25*C14)*VERI_TABANI!$B$7 + MAX(0, VERI_TABANI!D25*C14-MAX(0, VERI_TABANI!D25-VERI_TABANI!D25*B14))*VERI_TABANI!$B$8) + IF(ABS(IF(ISNUMBER(SEARCH("Var", D14)), 1, IF(ISNUMBER(SEARCH("Gri", D14)), -1, 0)))=1, VERI_TABANI!E25*(1-0.928)*VERI_TABANI!$B$9, 0) + (VERI_TABANI!D25*B14*(VERI_TABANI!$B$13-VERI_TABANI!$B$14)*VERI_TABANI!G25) + (VERI_TABANI!D25*C14*(VERI_TABANI!$B$13-VERI_TABANI!$B$15)*VERI_TABANI!G25) + IF(ABS(IF(ISNUMBER(SEARCH("Var", D14)), 1, IF(ISNUMBER(SEARCH("Gri", D14)), -1, 0)))=1, VERI_TABANI!E25*(1-0.928)*0.00206091519919798*VERI_TABANI!G25, 0)) + ((MIN(VERI_TABANI!D26, VERI_TABANI!D26*B14)*VERI_TABANI!$B$7 + MAX(0, VERI_TABANI!D26*B14-VERI_TABANI!D26)*VERI_TABANI!$B$8) + (MIN(MAX(0, VERI_TABANI!D26-VERI_TABANI!D26*B14), VERI_TABANI!D26*C14)*VERI_TABANI!$B$7 + MAX(0, VERI_TABANI!D26*C14-MAX(0, VERI_TABANI!D26-VERI_TABANI!D26*B14))*VERI_TABANI!$B$8) + IF(ABS(IF(ISNUMBER(SEARCH("Var", D14)), 1, IF(ISNUMBER(SEARCH("Gri", D14)), -1, 0)))=1, VERI_TABANI!E26*(1-0.928)*VERI_TABANI!$B$9, 0) + (VERI_TABANI!D26*B14*(VERI_TABANI!$B$13-VERI_TABANI!$B$14)*VERI_TABANI!G26) + (VERI_TABANI!D26*C14*(VERI_TABANI!$B$13-VERI_TABANI!$B$15)*VERI_TABANI!G26) + IF(ABS(IF(ISNUMBER(SEARCH("Var", D14)), 1, IF(ISNUMBER(SEARCH("Gri", D14)), -1, 0)))=1, VERI_TABANI!E26*(1-0.928)*0.00206091519919798*VERI_TABANI!G26, 0)) + ((MIN(VERI_TABANI!D27, VERI_TABANI!D27*B14)*VERI_TABANI!$B$7 + MAX(0, VERI_TABANI!D27*B14-VERI_TABANI!D27)*VERI_TABANI!$B$8) + (MIN(MAX(0, VERI_TABANI!D27-VERI_TABANI!D27*B14), VERI_TABANI!D27*C14)*VERI_TABANI!$B$7 + MAX(0, VERI_TABANI!D27*C14-MAX(0, VERI_TABANI!D27-VERI_TABANI!D27*B14))*VERI_TABANI!$B$8) + IF(ABS(IF(ISNUMBER(SEARCH("Var", D14)), 1, IF(ISNUMBER(SEARCH("Gri", D14)), -1, 0)))=1, VERI_TABANI!E27*(1-0.928)*VERI_TABANI!$B$9, 0) + (VERI_TABANI!D27*B14*(VERI_TABANI!$B$13-VERI_TABANI!$B$14)*VERI_TABANI!G27) + (VERI_TABANI!D27*C14*(VERI_TABANI!$B$13-VERI_TABANI!$B$15)*VERI_TABANI!G27) + IF(ABS(IF(ISNUMBER(SEARCH("Var", D14)), 1, IF(ISNUMBER(SEARCH("Gri", D14)), -1, 0)))=1, VERI_TABANI!E27*(1-0.928)*0.00206091519919798*VERI_TABANI!G27, 0)) + ((MIN(VERI_TABANI!D28, VERI_TABANI!D28*B14)*VERI_TABANI!$B$7 + MAX(0, VERI_TABANI!D28*B14-VERI_TABANI!D28)*VERI_TABANI!$B$8) + (MIN(MAX(0, VERI_TABANI!D28-VERI_TABANI!D28*B14), VERI_TABANI!D28*C14)*VERI_TABANI!$B$7 + MAX(0, VERI_TABANI!D28*C14-MAX(0, VERI_TABANI!D28-VERI_TABANI!D28*B14))*VERI_TABANI!$B$8) + IF(ABS(IF(ISNUMBER(SEARCH("Var", D14)), 1, IF(ISNUMBER(SEARCH("Gri", D14)), -1, 0)))=1, VERI_TABANI!E28*(1-0.928)*VERI_TABANI!$B$9, 0) + (VERI_TABANI!D28*B14*(VERI_TABANI!$B$13-VERI_TABANI!$B$14)*VERI_TABANI!G28) + (VERI_TABANI!D28*C14*(VERI_TABANI!$B$13-VERI_TABANI!$B$15)*VERI_TABANI!G28) + IF(ABS(IF(ISNUMBER(SEARCH("Var", D14)), 1, IF(ISNUMBER(SEARCH("Gri", D14)), -1, 0)))=1, VERI_TABANI!E28*(1-0.928)*0.00206091519919798*VERI_TABANI!G28, 0)))</f>
        <v/>
      </c>
      <c r="H14" s="169">
        <f>(((VERI_TABANI!D23*B14*(VERI_TABANI!$B$13-VERI_TABANI!$B$14)) + (VERI_TABANI!D23*C14*(VERI_TABANI!$B$13-VERI_TABANI!$B$15)) + IF(ISNUMBER(SEARCH("Var", D14)), VERI_TABANI!F23*(0.00202-VERI_TABANI!$B$16), IF(ISNUMBER(SEARCH("Gri", D14)), VERI_TABANI!F23*(0.00202-VERI_TABANI!$B$17), 0))) + ((VERI_TABANI!D24*B14*(VERI_TABANI!$B$13-VERI_TABANI!$B$14)) + (VERI_TABANI!D24*C14*(VERI_TABANI!$B$13-VERI_TABANI!$B$15)) + IF(ISNUMBER(SEARCH("Var", D14)), VERI_TABANI!F24*(0.00202-VERI_TABANI!$B$16), IF(ISNUMBER(SEARCH("Gri", D14)), VERI_TABANI!F24*(0.00202-VERI_TABANI!$B$17), 0))) + ((VERI_TABANI!D25*B14*(VERI_TABANI!$B$13-VERI_TABANI!$B$14)) + (VERI_TABANI!D25*C14*(VERI_TABANI!$B$13-VERI_TABANI!$B$15)) + IF(ISNUMBER(SEARCH("Var", D14)), VERI_TABANI!F25*(0.00202-VERI_TABANI!$B$16), IF(ISNUMBER(SEARCH("Gri", D14)), VERI_TABANI!F25*(0.00202-VERI_TABANI!$B$17), 0))) + ((VERI_TABANI!D26*B14*(VERI_TABANI!$B$13-VERI_TABANI!$B$14)) + (VERI_TABANI!D26*C14*(VERI_TABANI!$B$13-VERI_TABANI!$B$15)) + IF(ISNUMBER(SEARCH("Var", D14)), VERI_TABANI!F26*(0.00202-VERI_TABANI!$B$16), IF(ISNUMBER(SEARCH("Gri", D14)), VERI_TABANI!F26*(0.00202-VERI_TABANI!$B$17), 0))) + ((VERI_TABANI!D27*B14*(VERI_TABANI!$B$13-VERI_TABANI!$B$14)) + (VERI_TABANI!D27*C14*(VERI_TABANI!$B$13-VERI_TABANI!$B$15)) + IF(ISNUMBER(SEARCH("Var", D14)), VERI_TABANI!F27*(0.00202-VERI_TABANI!$B$16), IF(ISNUMBER(SEARCH("Gri", D14)), VERI_TABANI!F27*(0.00202-VERI_TABANI!$B$17), 0))) + ((VERI_TABANI!D28*B14*(VERI_TABANI!$B$13-VERI_TABANI!$B$14)) + (VERI_TABANI!D28*C14*(VERI_TABANI!$B$13-VERI_TABANI!$B$15)) + IF(ISNUMBER(SEARCH("Var", D14)), VERI_TABANI!F28*(0.00202-VERI_TABANI!$B$16), IF(ISNUMBER(SEARCH("Gri", D14)), VERI_TABANI!F28*(0.00202-VERI_TABANI!$B$17), 0))))</f>
        <v/>
      </c>
      <c r="I14" s="170">
        <f>IFERROR(((VERI_TABANI!$D$29*B14*VERI_TABANI!$B$14 + VERI_TABANI!$D$29*C14*VERI_TABANI!$B$15 + IF(ISNUMBER(SEARCH("Var", D14)), VERI_TABANI!$F$29*VERI_TABANI!$B$16, 0))) / (((VERI_TABANI!$D$29*B14 + VERI_TABANI!$D$29*C14)*VERI_TABANI!$B$13 + IF(ISNUMBER(SEARCH("Var", D14)), VERI_TABANI!$E$29*(1-0.928)*VERI_TABANI!$B$18, 0))), 0)</f>
        <v/>
      </c>
      <c r="J14" s="171">
        <f>IFERROR(F14/(G14/29), 0)</f>
        <v/>
      </c>
      <c r="K14" s="172">
        <f>IF(F14&gt;0, H14/F14, 0)</f>
        <v/>
      </c>
      <c r="L14" s="170">
        <f>IF(F14&gt;0, I14, 1000000000)</f>
        <v/>
      </c>
      <c r="M14" s="171">
        <f>ABS((B14+C14)-1)</f>
        <v/>
      </c>
      <c r="N14" s="170">
        <f>IF(F14&gt;0, (G14/29)/F14, 0)</f>
        <v/>
      </c>
      <c r="O14" s="168">
        <f>IF(AND((B14+C14)&gt;=1, ISNUMBER(SEARCH("Var", D14))), F14, 1000000000)</f>
        <v/>
      </c>
      <c r="P14" s="172">
        <f>IF(F14&gt;0, SQRT((F14/MAX(F$5:F$886))^2 + (1 - H14/MAX(H$5:H$886))^2 + (J14/MAX(J$5:J$886))^2), 1000000000)</f>
        <v/>
      </c>
      <c r="Q14" s="166">
        <f>IF(AND(ABS(B14-0.5)&lt;0.01, ABS(C14-0.5)&lt;0.01, ISNUMBER(SEARCH("Var", D14))), 1, 0)</f>
        <v/>
      </c>
      <c r="R14" s="171">
        <f>IF(F14&gt;0, J14, 1000000000)</f>
        <v/>
      </c>
      <c r="S14" s="101">
        <f>IF(AND(F14&lt;=DASHBOARD!$B$11, H14&gt;=DASHBOARD!$B$13), G14, -1000000000000)</f>
        <v/>
      </c>
      <c r="T14" s="101">
        <f>IF(AND(F14&lt;=DASHBOARD!$B$11, H14&gt;=DASHBOARD!$B$13), R14, 1000000000000)</f>
        <v/>
      </c>
      <c r="U14" s="101">
        <f>IF(AND(F14&lt;=DASHBOARD!$B$11, H14&gt;=DASHBOARD!$B$13), N14, -1000000000000)</f>
        <v/>
      </c>
      <c r="V14" s="101">
        <f>IF(AND(F14&lt;=DASHBOARD!$B$11, H14&gt;=DASHBOARD!$B$13), H14, -1000000000000)</f>
        <v/>
      </c>
      <c r="W14" s="101">
        <f>IF(AND(F14&lt;=DASHBOARD!$B$11, H14&gt;=DASHBOARD!$B$13), K14, -1000000000000)</f>
        <v/>
      </c>
      <c r="X14" s="101">
        <f>IF(AND(F14&lt;=DASHBOARD!$B$11, H14&gt;=DASHBOARD!$B$13), M14, 1000000000000)</f>
        <v/>
      </c>
      <c r="Y14" s="101">
        <f>IF(AND(F14&lt;=DASHBOARD!$B$10, H14&gt;=DASHBOARD!$B$11), L14, 1000000000000)</f>
        <v/>
      </c>
      <c r="Z14" s="101">
        <f>IF(AND(F14&lt;=DASHBOARD!$B$10, H14&gt;=DASHBOARD!$B$11), O14, 1000000000000)</f>
        <v/>
      </c>
      <c r="AA14" s="101">
        <f>IF(AND(F14&lt;=DASHBOARD!$B$10, H14&gt;=DASHBOARD!$B$11), P14, 1000000000000)</f>
        <v/>
      </c>
      <c r="AB14" s="101">
        <f>IF(AND(F14&lt;=DASHBOARD!$B$10, H14&gt;=DASHBOARD!$B$11), Q14, -1000000000000)</f>
        <v/>
      </c>
    </row>
    <row r="15" ht="12.75" customHeight="1" s="102">
      <c r="A15" s="166" t="n">
        <v>11</v>
      </c>
      <c r="B15" s="167" t="n">
        <v>0</v>
      </c>
      <c r="C15" s="167" t="n">
        <v>0.5</v>
      </c>
      <c r="D15" s="110" t="inlineStr">
        <is>
          <t>Yok (%0)</t>
        </is>
      </c>
      <c r="E15" s="110">
        <f>IF((B15+C15)&lt;=1, "Tam Mahsuplaşma (≤%100)", "Kısmi Satış (&gt;%100)")</f>
        <v/>
      </c>
      <c r="F15" s="168">
        <f>((VERI_TABANI!$D$29*B15/VERI_TABANI!$B$29)/VERI_TABANI!$B$3)*VERI_TABANI!$B$5 + ((VERI_TABANI!$D$29*C15/VERI_TABANI!$B$29)/VERI_TABANI!$B$4)*VERI_TABANI!$B$6 + IF(ISNUMBER(SEARCH("Var", D15)), (VERI_TABANI!$F$29/VERI_TABANI!$B$29)*(VERI_TABANI!$B$10+VERI_TABANI!$B$12), 0)</f>
        <v/>
      </c>
      <c r="G15" s="168">
        <f>(((MIN(VERI_TABANI!D23, VERI_TABANI!D23*B15)*VERI_TABANI!$B$7 + MAX(0, VERI_TABANI!D23*B15-VERI_TABANI!D23)*VERI_TABANI!$B$8) + (MIN(MAX(0, VERI_TABANI!D23-VERI_TABANI!D23*B15), VERI_TABANI!D23*C15)*VERI_TABANI!$B$7 + MAX(0, VERI_TABANI!D23*C15-MAX(0, VERI_TABANI!D23-VERI_TABANI!D23*B15))*VERI_TABANI!$B$8) + IF(ABS(IF(ISNUMBER(SEARCH("Var", D15)), 1, IF(ISNUMBER(SEARCH("Gri", D15)), -1, 0)))=1, VERI_TABANI!E23*(1-0.928)*VERI_TABANI!$B$9, 0) + (VERI_TABANI!D23*B15*(VERI_TABANI!$B$13-VERI_TABANI!$B$14)*VERI_TABANI!G23) + (VERI_TABANI!D23*C15*(VERI_TABANI!$B$13-VERI_TABANI!$B$15)*VERI_TABANI!G23) + IF(ABS(IF(ISNUMBER(SEARCH("Var", D15)), 1, IF(ISNUMBER(SEARCH("Gri", D15)), -1, 0)))=1, VERI_TABANI!E23*(1-0.928)*0.00206091519919798*VERI_TABANI!G23, 0)) + ((MIN(VERI_TABANI!D24, VERI_TABANI!D24*B15)*VERI_TABANI!$B$7 + MAX(0, VERI_TABANI!D24*B15-VERI_TABANI!D24)*VERI_TABANI!$B$8) + (MIN(MAX(0, VERI_TABANI!D24-VERI_TABANI!D24*B15), VERI_TABANI!D24*C15)*VERI_TABANI!$B$7 + MAX(0, VERI_TABANI!D24*C15-MAX(0, VERI_TABANI!D24-VERI_TABANI!D24*B15))*VERI_TABANI!$B$8) + IF(ABS(IF(ISNUMBER(SEARCH("Var", D15)), 1, IF(ISNUMBER(SEARCH("Gri", D15)), -1, 0)))=1, VERI_TABANI!E24*(1-0.928)*VERI_TABANI!$B$9, 0) + (VERI_TABANI!D24*B15*(VERI_TABANI!$B$13-VERI_TABANI!$B$14)*VERI_TABANI!G24) + (VERI_TABANI!D24*C15*(VERI_TABANI!$B$13-VERI_TABANI!$B$15)*VERI_TABANI!G24) + IF(ABS(IF(ISNUMBER(SEARCH("Var", D15)), 1, IF(ISNUMBER(SEARCH("Gri", D15)), -1, 0)))=1, VERI_TABANI!E24*(1-0.928)*0.00206091519919798*VERI_TABANI!G24, 0)) + ((MIN(VERI_TABANI!D25, VERI_TABANI!D25*B15)*VERI_TABANI!$B$7 + MAX(0, VERI_TABANI!D25*B15-VERI_TABANI!D25)*VERI_TABANI!$B$8) + (MIN(MAX(0, VERI_TABANI!D25-VERI_TABANI!D25*B15), VERI_TABANI!D25*C15)*VERI_TABANI!$B$7 + MAX(0, VERI_TABANI!D25*C15-MAX(0, VERI_TABANI!D25-VERI_TABANI!D25*B15))*VERI_TABANI!$B$8) + IF(ABS(IF(ISNUMBER(SEARCH("Var", D15)), 1, IF(ISNUMBER(SEARCH("Gri", D15)), -1, 0)))=1, VERI_TABANI!E25*(1-0.928)*VERI_TABANI!$B$9, 0) + (VERI_TABANI!D25*B15*(VERI_TABANI!$B$13-VERI_TABANI!$B$14)*VERI_TABANI!G25) + (VERI_TABANI!D25*C15*(VERI_TABANI!$B$13-VERI_TABANI!$B$15)*VERI_TABANI!G25) + IF(ABS(IF(ISNUMBER(SEARCH("Var", D15)), 1, IF(ISNUMBER(SEARCH("Gri", D15)), -1, 0)))=1, VERI_TABANI!E25*(1-0.928)*0.00206091519919798*VERI_TABANI!G25, 0)) + ((MIN(VERI_TABANI!D26, VERI_TABANI!D26*B15)*VERI_TABANI!$B$7 + MAX(0, VERI_TABANI!D26*B15-VERI_TABANI!D26)*VERI_TABANI!$B$8) + (MIN(MAX(0, VERI_TABANI!D26-VERI_TABANI!D26*B15), VERI_TABANI!D26*C15)*VERI_TABANI!$B$7 + MAX(0, VERI_TABANI!D26*C15-MAX(0, VERI_TABANI!D26-VERI_TABANI!D26*B15))*VERI_TABANI!$B$8) + IF(ABS(IF(ISNUMBER(SEARCH("Var", D15)), 1, IF(ISNUMBER(SEARCH("Gri", D15)), -1, 0)))=1, VERI_TABANI!E26*(1-0.928)*VERI_TABANI!$B$9, 0) + (VERI_TABANI!D26*B15*(VERI_TABANI!$B$13-VERI_TABANI!$B$14)*VERI_TABANI!G26) + (VERI_TABANI!D26*C15*(VERI_TABANI!$B$13-VERI_TABANI!$B$15)*VERI_TABANI!G26) + IF(ABS(IF(ISNUMBER(SEARCH("Var", D15)), 1, IF(ISNUMBER(SEARCH("Gri", D15)), -1, 0)))=1, VERI_TABANI!E26*(1-0.928)*0.00206091519919798*VERI_TABANI!G26, 0)) + ((MIN(VERI_TABANI!D27, VERI_TABANI!D27*B15)*VERI_TABANI!$B$7 + MAX(0, VERI_TABANI!D27*B15-VERI_TABANI!D27)*VERI_TABANI!$B$8) + (MIN(MAX(0, VERI_TABANI!D27-VERI_TABANI!D27*B15), VERI_TABANI!D27*C15)*VERI_TABANI!$B$7 + MAX(0, VERI_TABANI!D27*C15-MAX(0, VERI_TABANI!D27-VERI_TABANI!D27*B15))*VERI_TABANI!$B$8) + IF(ABS(IF(ISNUMBER(SEARCH("Var", D15)), 1, IF(ISNUMBER(SEARCH("Gri", D15)), -1, 0)))=1, VERI_TABANI!E27*(1-0.928)*VERI_TABANI!$B$9, 0) + (VERI_TABANI!D27*B15*(VERI_TABANI!$B$13-VERI_TABANI!$B$14)*VERI_TABANI!G27) + (VERI_TABANI!D27*C15*(VERI_TABANI!$B$13-VERI_TABANI!$B$15)*VERI_TABANI!G27) + IF(ABS(IF(ISNUMBER(SEARCH("Var", D15)), 1, IF(ISNUMBER(SEARCH("Gri", D15)), -1, 0)))=1, VERI_TABANI!E27*(1-0.928)*0.00206091519919798*VERI_TABANI!G27, 0)) + ((MIN(VERI_TABANI!D28, VERI_TABANI!D28*B15)*VERI_TABANI!$B$7 + MAX(0, VERI_TABANI!D28*B15-VERI_TABANI!D28)*VERI_TABANI!$B$8) + (MIN(MAX(0, VERI_TABANI!D28-VERI_TABANI!D28*B15), VERI_TABANI!D28*C15)*VERI_TABANI!$B$7 + MAX(0, VERI_TABANI!D28*C15-MAX(0, VERI_TABANI!D28-VERI_TABANI!D28*B15))*VERI_TABANI!$B$8) + IF(ABS(IF(ISNUMBER(SEARCH("Var", D15)), 1, IF(ISNUMBER(SEARCH("Gri", D15)), -1, 0)))=1, VERI_TABANI!E28*(1-0.928)*VERI_TABANI!$B$9, 0) + (VERI_TABANI!D28*B15*(VERI_TABANI!$B$13-VERI_TABANI!$B$14)*VERI_TABANI!G28) + (VERI_TABANI!D28*C15*(VERI_TABANI!$B$13-VERI_TABANI!$B$15)*VERI_TABANI!G28) + IF(ABS(IF(ISNUMBER(SEARCH("Var", D15)), 1, IF(ISNUMBER(SEARCH("Gri", D15)), -1, 0)))=1, VERI_TABANI!E28*(1-0.928)*0.00206091519919798*VERI_TABANI!G28, 0)))</f>
        <v/>
      </c>
      <c r="H15" s="169">
        <f>(((VERI_TABANI!D23*B15*(VERI_TABANI!$B$13-VERI_TABANI!$B$14)) + (VERI_TABANI!D23*C15*(VERI_TABANI!$B$13-VERI_TABANI!$B$15)) + IF(ISNUMBER(SEARCH("Var", D15)), VERI_TABANI!F23*(0.00202-VERI_TABANI!$B$16), IF(ISNUMBER(SEARCH("Gri", D15)), VERI_TABANI!F23*(0.00202-VERI_TABANI!$B$17), 0))) + ((VERI_TABANI!D24*B15*(VERI_TABANI!$B$13-VERI_TABANI!$B$14)) + (VERI_TABANI!D24*C15*(VERI_TABANI!$B$13-VERI_TABANI!$B$15)) + IF(ISNUMBER(SEARCH("Var", D15)), VERI_TABANI!F24*(0.00202-VERI_TABANI!$B$16), IF(ISNUMBER(SEARCH("Gri", D15)), VERI_TABANI!F24*(0.00202-VERI_TABANI!$B$17), 0))) + ((VERI_TABANI!D25*B15*(VERI_TABANI!$B$13-VERI_TABANI!$B$14)) + (VERI_TABANI!D25*C15*(VERI_TABANI!$B$13-VERI_TABANI!$B$15)) + IF(ISNUMBER(SEARCH("Var", D15)), VERI_TABANI!F25*(0.00202-VERI_TABANI!$B$16), IF(ISNUMBER(SEARCH("Gri", D15)), VERI_TABANI!F25*(0.00202-VERI_TABANI!$B$17), 0))) + ((VERI_TABANI!D26*B15*(VERI_TABANI!$B$13-VERI_TABANI!$B$14)) + (VERI_TABANI!D26*C15*(VERI_TABANI!$B$13-VERI_TABANI!$B$15)) + IF(ISNUMBER(SEARCH("Var", D15)), VERI_TABANI!F26*(0.00202-VERI_TABANI!$B$16), IF(ISNUMBER(SEARCH("Gri", D15)), VERI_TABANI!F26*(0.00202-VERI_TABANI!$B$17), 0))) + ((VERI_TABANI!D27*B15*(VERI_TABANI!$B$13-VERI_TABANI!$B$14)) + (VERI_TABANI!D27*C15*(VERI_TABANI!$B$13-VERI_TABANI!$B$15)) + IF(ISNUMBER(SEARCH("Var", D15)), VERI_TABANI!F27*(0.00202-VERI_TABANI!$B$16), IF(ISNUMBER(SEARCH("Gri", D15)), VERI_TABANI!F27*(0.00202-VERI_TABANI!$B$17), 0))) + ((VERI_TABANI!D28*B15*(VERI_TABANI!$B$13-VERI_TABANI!$B$14)) + (VERI_TABANI!D28*C15*(VERI_TABANI!$B$13-VERI_TABANI!$B$15)) + IF(ISNUMBER(SEARCH("Var", D15)), VERI_TABANI!F28*(0.00202-VERI_TABANI!$B$16), IF(ISNUMBER(SEARCH("Gri", D15)), VERI_TABANI!F28*(0.00202-VERI_TABANI!$B$17), 0))))</f>
        <v/>
      </c>
      <c r="I15" s="170">
        <f>IFERROR(((VERI_TABANI!$D$29*B15*VERI_TABANI!$B$14 + VERI_TABANI!$D$29*C15*VERI_TABANI!$B$15 + IF(ISNUMBER(SEARCH("Var", D15)), VERI_TABANI!$F$29*VERI_TABANI!$B$16, 0))) / (((VERI_TABANI!$D$29*B15 + VERI_TABANI!$D$29*C15)*VERI_TABANI!$B$13 + IF(ISNUMBER(SEARCH("Var", D15)), VERI_TABANI!$E$29*(1-0.928)*VERI_TABANI!$B$18, 0))), 0)</f>
        <v/>
      </c>
      <c r="J15" s="171">
        <f>IFERROR(F15/(G15/29), 0)</f>
        <v/>
      </c>
      <c r="K15" s="172">
        <f>IF(F15&gt;0, H15/F15, 0)</f>
        <v/>
      </c>
      <c r="L15" s="170">
        <f>IF(F15&gt;0, I15, 1000000000)</f>
        <v/>
      </c>
      <c r="M15" s="171">
        <f>ABS((B15+C15)-1)</f>
        <v/>
      </c>
      <c r="N15" s="170">
        <f>IF(F15&gt;0, (G15/29)/F15, 0)</f>
        <v/>
      </c>
      <c r="O15" s="168">
        <f>IF(AND((B15+C15)&gt;=1, ISNUMBER(SEARCH("Var", D15))), F15, 1000000000)</f>
        <v/>
      </c>
      <c r="P15" s="172">
        <f>IF(F15&gt;0, SQRT((F15/MAX(F$5:F$886))^2 + (1 - H15/MAX(H$5:H$886))^2 + (J15/MAX(J$5:J$886))^2), 1000000000)</f>
        <v/>
      </c>
      <c r="Q15" s="166">
        <f>IF(AND(ABS(B15-0.5)&lt;0.01, ABS(C15-0.5)&lt;0.01, ISNUMBER(SEARCH("Var", D15))), 1, 0)</f>
        <v/>
      </c>
      <c r="R15" s="171">
        <f>IF(F15&gt;0, J15, 1000000000)</f>
        <v/>
      </c>
      <c r="S15" s="101">
        <f>IF(AND(F15&lt;=DASHBOARD!$B$11, H15&gt;=DASHBOARD!$B$13), G15, -1000000000000)</f>
        <v/>
      </c>
      <c r="T15" s="101">
        <f>IF(AND(F15&lt;=DASHBOARD!$B$11, H15&gt;=DASHBOARD!$B$13), R15, 1000000000000)</f>
        <v/>
      </c>
      <c r="U15" s="101">
        <f>IF(AND(F15&lt;=DASHBOARD!$B$11, H15&gt;=DASHBOARD!$B$13), N15, -1000000000000)</f>
        <v/>
      </c>
      <c r="V15" s="101">
        <f>IF(AND(F15&lt;=DASHBOARD!$B$11, H15&gt;=DASHBOARD!$B$13), H15, -1000000000000)</f>
        <v/>
      </c>
      <c r="W15" s="101">
        <f>IF(AND(F15&lt;=DASHBOARD!$B$11, H15&gt;=DASHBOARD!$B$13), K15, -1000000000000)</f>
        <v/>
      </c>
      <c r="X15" s="101">
        <f>IF(AND(F15&lt;=DASHBOARD!$B$11, H15&gt;=DASHBOARD!$B$13), M15, 1000000000000)</f>
        <v/>
      </c>
      <c r="Y15" s="101">
        <f>IF(AND(F15&lt;=DASHBOARD!$B$10, H15&gt;=DASHBOARD!$B$11), L15, 1000000000000)</f>
        <v/>
      </c>
      <c r="Z15" s="101">
        <f>IF(AND(F15&lt;=DASHBOARD!$B$10, H15&gt;=DASHBOARD!$B$11), O15, 1000000000000)</f>
        <v/>
      </c>
      <c r="AA15" s="101">
        <f>IF(AND(F15&lt;=DASHBOARD!$B$10, H15&gt;=DASHBOARD!$B$11), P15, 1000000000000)</f>
        <v/>
      </c>
      <c r="AB15" s="101">
        <f>IF(AND(F15&lt;=DASHBOARD!$B$10, H15&gt;=DASHBOARD!$B$11), Q15, -1000000000000)</f>
        <v/>
      </c>
    </row>
    <row r="16" ht="12.75" customHeight="1" s="102">
      <c r="A16" s="166" t="n">
        <v>12</v>
      </c>
      <c r="B16" s="167" t="n">
        <v>0</v>
      </c>
      <c r="C16" s="167" t="n">
        <v>0.5</v>
      </c>
      <c r="D16" s="110" t="inlineStr">
        <is>
          <t>Var (%20)</t>
        </is>
      </c>
      <c r="E16" s="110">
        <f>IF((B16+C16)&lt;=1, "Tam Mahsuplaşma (≤%100)", "Kısmi Satış (&gt;%100)")</f>
        <v/>
      </c>
      <c r="F16" s="168">
        <f>((VERI_TABANI!$D$29*B16/VERI_TABANI!$B$29)/VERI_TABANI!$B$3)*VERI_TABANI!$B$5 + ((VERI_TABANI!$D$29*C16/VERI_TABANI!$B$29)/VERI_TABANI!$B$4)*VERI_TABANI!$B$6 + IF(ISNUMBER(SEARCH("Var", D16)), (VERI_TABANI!$F$29/VERI_TABANI!$B$29)*(VERI_TABANI!$B$10+VERI_TABANI!$B$12), 0)</f>
        <v/>
      </c>
      <c r="G16" s="168">
        <f>(((MIN(VERI_TABANI!D23, VERI_TABANI!D23*B16)*VERI_TABANI!$B$7 + MAX(0, VERI_TABANI!D23*B16-VERI_TABANI!D23)*VERI_TABANI!$B$8) + (MIN(MAX(0, VERI_TABANI!D23-VERI_TABANI!D23*B16), VERI_TABANI!D23*C16)*VERI_TABANI!$B$7 + MAX(0, VERI_TABANI!D23*C16-MAX(0, VERI_TABANI!D23-VERI_TABANI!D23*B16))*VERI_TABANI!$B$8) + IF(ABS(IF(ISNUMBER(SEARCH("Var", D16)), 1, IF(ISNUMBER(SEARCH("Gri", D16)), -1, 0)))=1, VERI_TABANI!E23*(1-0.928)*VERI_TABANI!$B$9, 0) + (VERI_TABANI!D23*B16*(VERI_TABANI!$B$13-VERI_TABANI!$B$14)*VERI_TABANI!G23) + (VERI_TABANI!D23*C16*(VERI_TABANI!$B$13-VERI_TABANI!$B$15)*VERI_TABANI!G23) + IF(ABS(IF(ISNUMBER(SEARCH("Var", D16)), 1, IF(ISNUMBER(SEARCH("Gri", D16)), -1, 0)))=1, VERI_TABANI!E23*(1-0.928)*0.00206091519919798*VERI_TABANI!G23, 0)) + ((MIN(VERI_TABANI!D24, VERI_TABANI!D24*B16)*VERI_TABANI!$B$7 + MAX(0, VERI_TABANI!D24*B16-VERI_TABANI!D24)*VERI_TABANI!$B$8) + (MIN(MAX(0, VERI_TABANI!D24-VERI_TABANI!D24*B16), VERI_TABANI!D24*C16)*VERI_TABANI!$B$7 + MAX(0, VERI_TABANI!D24*C16-MAX(0, VERI_TABANI!D24-VERI_TABANI!D24*B16))*VERI_TABANI!$B$8) + IF(ABS(IF(ISNUMBER(SEARCH("Var", D16)), 1, IF(ISNUMBER(SEARCH("Gri", D16)), -1, 0)))=1, VERI_TABANI!E24*(1-0.928)*VERI_TABANI!$B$9, 0) + (VERI_TABANI!D24*B16*(VERI_TABANI!$B$13-VERI_TABANI!$B$14)*VERI_TABANI!G24) + (VERI_TABANI!D24*C16*(VERI_TABANI!$B$13-VERI_TABANI!$B$15)*VERI_TABANI!G24) + IF(ABS(IF(ISNUMBER(SEARCH("Var", D16)), 1, IF(ISNUMBER(SEARCH("Gri", D16)), -1, 0)))=1, VERI_TABANI!E24*(1-0.928)*0.00206091519919798*VERI_TABANI!G24, 0)) + ((MIN(VERI_TABANI!D25, VERI_TABANI!D25*B16)*VERI_TABANI!$B$7 + MAX(0, VERI_TABANI!D25*B16-VERI_TABANI!D25)*VERI_TABANI!$B$8) + (MIN(MAX(0, VERI_TABANI!D25-VERI_TABANI!D25*B16), VERI_TABANI!D25*C16)*VERI_TABANI!$B$7 + MAX(0, VERI_TABANI!D25*C16-MAX(0, VERI_TABANI!D25-VERI_TABANI!D25*B16))*VERI_TABANI!$B$8) + IF(ABS(IF(ISNUMBER(SEARCH("Var", D16)), 1, IF(ISNUMBER(SEARCH("Gri", D16)), -1, 0)))=1, VERI_TABANI!E25*(1-0.928)*VERI_TABANI!$B$9, 0) + (VERI_TABANI!D25*B16*(VERI_TABANI!$B$13-VERI_TABANI!$B$14)*VERI_TABANI!G25) + (VERI_TABANI!D25*C16*(VERI_TABANI!$B$13-VERI_TABANI!$B$15)*VERI_TABANI!G25) + IF(ABS(IF(ISNUMBER(SEARCH("Var", D16)), 1, IF(ISNUMBER(SEARCH("Gri", D16)), -1, 0)))=1, VERI_TABANI!E25*(1-0.928)*0.00206091519919798*VERI_TABANI!G25, 0)) + ((MIN(VERI_TABANI!D26, VERI_TABANI!D26*B16)*VERI_TABANI!$B$7 + MAX(0, VERI_TABANI!D26*B16-VERI_TABANI!D26)*VERI_TABANI!$B$8) + (MIN(MAX(0, VERI_TABANI!D26-VERI_TABANI!D26*B16), VERI_TABANI!D26*C16)*VERI_TABANI!$B$7 + MAX(0, VERI_TABANI!D26*C16-MAX(0, VERI_TABANI!D26-VERI_TABANI!D26*B16))*VERI_TABANI!$B$8) + IF(ABS(IF(ISNUMBER(SEARCH("Var", D16)), 1, IF(ISNUMBER(SEARCH("Gri", D16)), -1, 0)))=1, VERI_TABANI!E26*(1-0.928)*VERI_TABANI!$B$9, 0) + (VERI_TABANI!D26*B16*(VERI_TABANI!$B$13-VERI_TABANI!$B$14)*VERI_TABANI!G26) + (VERI_TABANI!D26*C16*(VERI_TABANI!$B$13-VERI_TABANI!$B$15)*VERI_TABANI!G26) + IF(ABS(IF(ISNUMBER(SEARCH("Var", D16)), 1, IF(ISNUMBER(SEARCH("Gri", D16)), -1, 0)))=1, VERI_TABANI!E26*(1-0.928)*0.00206091519919798*VERI_TABANI!G26, 0)) + ((MIN(VERI_TABANI!D27, VERI_TABANI!D27*B16)*VERI_TABANI!$B$7 + MAX(0, VERI_TABANI!D27*B16-VERI_TABANI!D27)*VERI_TABANI!$B$8) + (MIN(MAX(0, VERI_TABANI!D27-VERI_TABANI!D27*B16), VERI_TABANI!D27*C16)*VERI_TABANI!$B$7 + MAX(0, VERI_TABANI!D27*C16-MAX(0, VERI_TABANI!D27-VERI_TABANI!D27*B16))*VERI_TABANI!$B$8) + IF(ABS(IF(ISNUMBER(SEARCH("Var", D16)), 1, IF(ISNUMBER(SEARCH("Gri", D16)), -1, 0)))=1, VERI_TABANI!E27*(1-0.928)*VERI_TABANI!$B$9, 0) + (VERI_TABANI!D27*B16*(VERI_TABANI!$B$13-VERI_TABANI!$B$14)*VERI_TABANI!G27) + (VERI_TABANI!D27*C16*(VERI_TABANI!$B$13-VERI_TABANI!$B$15)*VERI_TABANI!G27) + IF(ABS(IF(ISNUMBER(SEARCH("Var", D16)), 1, IF(ISNUMBER(SEARCH("Gri", D16)), -1, 0)))=1, VERI_TABANI!E27*(1-0.928)*0.00206091519919798*VERI_TABANI!G27, 0)) + ((MIN(VERI_TABANI!D28, VERI_TABANI!D28*B16)*VERI_TABANI!$B$7 + MAX(0, VERI_TABANI!D28*B16-VERI_TABANI!D28)*VERI_TABANI!$B$8) + (MIN(MAX(0, VERI_TABANI!D28-VERI_TABANI!D28*B16), VERI_TABANI!D28*C16)*VERI_TABANI!$B$7 + MAX(0, VERI_TABANI!D28*C16-MAX(0, VERI_TABANI!D28-VERI_TABANI!D28*B16))*VERI_TABANI!$B$8) + IF(ABS(IF(ISNUMBER(SEARCH("Var", D16)), 1, IF(ISNUMBER(SEARCH("Gri", D16)), -1, 0)))=1, VERI_TABANI!E28*(1-0.928)*VERI_TABANI!$B$9, 0) + (VERI_TABANI!D28*B16*(VERI_TABANI!$B$13-VERI_TABANI!$B$14)*VERI_TABANI!G28) + (VERI_TABANI!D28*C16*(VERI_TABANI!$B$13-VERI_TABANI!$B$15)*VERI_TABANI!G28) + IF(ABS(IF(ISNUMBER(SEARCH("Var", D16)), 1, IF(ISNUMBER(SEARCH("Gri", D16)), -1, 0)))=1, VERI_TABANI!E28*(1-0.928)*0.00206091519919798*VERI_TABANI!G28, 0)))</f>
        <v/>
      </c>
      <c r="H16" s="169">
        <f>(((VERI_TABANI!D23*B16*(VERI_TABANI!$B$13-VERI_TABANI!$B$14)) + (VERI_TABANI!D23*C16*(VERI_TABANI!$B$13-VERI_TABANI!$B$15)) + IF(ISNUMBER(SEARCH("Var", D16)), VERI_TABANI!F23*(0.00202-VERI_TABANI!$B$16), IF(ISNUMBER(SEARCH("Gri", D16)), VERI_TABANI!F23*(0.00202-VERI_TABANI!$B$17), 0))) + ((VERI_TABANI!D24*B16*(VERI_TABANI!$B$13-VERI_TABANI!$B$14)) + (VERI_TABANI!D24*C16*(VERI_TABANI!$B$13-VERI_TABANI!$B$15)) + IF(ISNUMBER(SEARCH("Var", D16)), VERI_TABANI!F24*(0.00202-VERI_TABANI!$B$16), IF(ISNUMBER(SEARCH("Gri", D16)), VERI_TABANI!F24*(0.00202-VERI_TABANI!$B$17), 0))) + ((VERI_TABANI!D25*B16*(VERI_TABANI!$B$13-VERI_TABANI!$B$14)) + (VERI_TABANI!D25*C16*(VERI_TABANI!$B$13-VERI_TABANI!$B$15)) + IF(ISNUMBER(SEARCH("Var", D16)), VERI_TABANI!F25*(0.00202-VERI_TABANI!$B$16), IF(ISNUMBER(SEARCH("Gri", D16)), VERI_TABANI!F25*(0.00202-VERI_TABANI!$B$17), 0))) + ((VERI_TABANI!D26*B16*(VERI_TABANI!$B$13-VERI_TABANI!$B$14)) + (VERI_TABANI!D26*C16*(VERI_TABANI!$B$13-VERI_TABANI!$B$15)) + IF(ISNUMBER(SEARCH("Var", D16)), VERI_TABANI!F26*(0.00202-VERI_TABANI!$B$16), IF(ISNUMBER(SEARCH("Gri", D16)), VERI_TABANI!F26*(0.00202-VERI_TABANI!$B$17), 0))) + ((VERI_TABANI!D27*B16*(VERI_TABANI!$B$13-VERI_TABANI!$B$14)) + (VERI_TABANI!D27*C16*(VERI_TABANI!$B$13-VERI_TABANI!$B$15)) + IF(ISNUMBER(SEARCH("Var", D16)), VERI_TABANI!F27*(0.00202-VERI_TABANI!$B$16), IF(ISNUMBER(SEARCH("Gri", D16)), VERI_TABANI!F27*(0.00202-VERI_TABANI!$B$17), 0))) + ((VERI_TABANI!D28*B16*(VERI_TABANI!$B$13-VERI_TABANI!$B$14)) + (VERI_TABANI!D28*C16*(VERI_TABANI!$B$13-VERI_TABANI!$B$15)) + IF(ISNUMBER(SEARCH("Var", D16)), VERI_TABANI!F28*(0.00202-VERI_TABANI!$B$16), IF(ISNUMBER(SEARCH("Gri", D16)), VERI_TABANI!F28*(0.00202-VERI_TABANI!$B$17), 0))))</f>
        <v/>
      </c>
      <c r="I16" s="170">
        <f>IFERROR(((VERI_TABANI!$D$29*B16*VERI_TABANI!$B$14 + VERI_TABANI!$D$29*C16*VERI_TABANI!$B$15 + IF(ISNUMBER(SEARCH("Var", D16)), VERI_TABANI!$F$29*VERI_TABANI!$B$16, 0))) / (((VERI_TABANI!$D$29*B16 + VERI_TABANI!$D$29*C16)*VERI_TABANI!$B$13 + IF(ISNUMBER(SEARCH("Var", D16)), VERI_TABANI!$E$29*(1-0.928)*VERI_TABANI!$B$18, 0))), 0)</f>
        <v/>
      </c>
      <c r="J16" s="171">
        <f>IFERROR(F16/(G16/29), 0)</f>
        <v/>
      </c>
      <c r="K16" s="172">
        <f>IF(F16&gt;0, H16/F16, 0)</f>
        <v/>
      </c>
      <c r="L16" s="170">
        <f>IF(F16&gt;0, I16, 1000000000)</f>
        <v/>
      </c>
      <c r="M16" s="171">
        <f>ABS((B16+C16)-1)</f>
        <v/>
      </c>
      <c r="N16" s="170">
        <f>IF(F16&gt;0, (G16/29)/F16, 0)</f>
        <v/>
      </c>
      <c r="O16" s="168">
        <f>IF(AND((B16+C16)&gt;=1, ISNUMBER(SEARCH("Var", D16))), F16, 1000000000)</f>
        <v/>
      </c>
      <c r="P16" s="172">
        <f>IF(F16&gt;0, SQRT((F16/MAX(F$5:F$886))^2 + (1 - H16/MAX(H$5:H$886))^2 + (J16/MAX(J$5:J$886))^2), 1000000000)</f>
        <v/>
      </c>
      <c r="Q16" s="166">
        <f>IF(AND(ABS(B16-0.5)&lt;0.01, ABS(C16-0.5)&lt;0.01, ISNUMBER(SEARCH("Var", D16))), 1, 0)</f>
        <v/>
      </c>
      <c r="R16" s="171">
        <f>IF(F16&gt;0, J16, 1000000000)</f>
        <v/>
      </c>
      <c r="S16" s="101">
        <f>IF(AND(F16&lt;=DASHBOARD!$B$11, H16&gt;=DASHBOARD!$B$13), G16, -1000000000000)</f>
        <v/>
      </c>
      <c r="T16" s="101">
        <f>IF(AND(F16&lt;=DASHBOARD!$B$11, H16&gt;=DASHBOARD!$B$13), R16, 1000000000000)</f>
        <v/>
      </c>
      <c r="U16" s="101">
        <f>IF(AND(F16&lt;=DASHBOARD!$B$11, H16&gt;=DASHBOARD!$B$13), N16, -1000000000000)</f>
        <v/>
      </c>
      <c r="V16" s="101">
        <f>IF(AND(F16&lt;=DASHBOARD!$B$11, H16&gt;=DASHBOARD!$B$13), H16, -1000000000000)</f>
        <v/>
      </c>
      <c r="W16" s="101">
        <f>IF(AND(F16&lt;=DASHBOARD!$B$11, H16&gt;=DASHBOARD!$B$13), K16, -1000000000000)</f>
        <v/>
      </c>
      <c r="X16" s="101">
        <f>IF(AND(F16&lt;=DASHBOARD!$B$11, H16&gt;=DASHBOARD!$B$13), M16, 1000000000000)</f>
        <v/>
      </c>
      <c r="Y16" s="101">
        <f>IF(AND(F16&lt;=DASHBOARD!$B$10, H16&gt;=DASHBOARD!$B$11), L16, 1000000000000)</f>
        <v/>
      </c>
      <c r="Z16" s="101">
        <f>IF(AND(F16&lt;=DASHBOARD!$B$10, H16&gt;=DASHBOARD!$B$11), O16, 1000000000000)</f>
        <v/>
      </c>
      <c r="AA16" s="101">
        <f>IF(AND(F16&lt;=DASHBOARD!$B$10, H16&gt;=DASHBOARD!$B$11), P16, 1000000000000)</f>
        <v/>
      </c>
      <c r="AB16" s="101">
        <f>IF(AND(F16&lt;=DASHBOARD!$B$10, H16&gt;=DASHBOARD!$B$11), Q16, -1000000000000)</f>
        <v/>
      </c>
    </row>
    <row r="17" ht="12.75" customHeight="1" s="102">
      <c r="A17" s="166" t="n">
        <v>13</v>
      </c>
      <c r="B17" s="167" t="n">
        <v>0</v>
      </c>
      <c r="C17" s="167" t="n">
        <v>0.6</v>
      </c>
      <c r="D17" s="110" t="inlineStr">
        <is>
          <t>Yok (%0)</t>
        </is>
      </c>
      <c r="E17" s="110">
        <f>IF((B17+C17)&lt;=1, "Tam Mahsuplaşma (≤%100)", "Kısmi Satış (&gt;%100)")</f>
        <v/>
      </c>
      <c r="F17" s="168">
        <f>((VERI_TABANI!$D$29*B17/VERI_TABANI!$B$29)/VERI_TABANI!$B$3)*VERI_TABANI!$B$5 + ((VERI_TABANI!$D$29*C17/VERI_TABANI!$B$29)/VERI_TABANI!$B$4)*VERI_TABANI!$B$6 + IF(ISNUMBER(SEARCH("Var", D17)), (VERI_TABANI!$F$29/VERI_TABANI!$B$29)*(VERI_TABANI!$B$10+VERI_TABANI!$B$12), 0)</f>
        <v/>
      </c>
      <c r="G17" s="168">
        <f>(((MIN(VERI_TABANI!D23, VERI_TABANI!D23*B17)*VERI_TABANI!$B$7 + MAX(0, VERI_TABANI!D23*B17-VERI_TABANI!D23)*VERI_TABANI!$B$8) + (MIN(MAX(0, VERI_TABANI!D23-VERI_TABANI!D23*B17), VERI_TABANI!D23*C17)*VERI_TABANI!$B$7 + MAX(0, VERI_TABANI!D23*C17-MAX(0, VERI_TABANI!D23-VERI_TABANI!D23*B17))*VERI_TABANI!$B$8) + IF(ABS(IF(ISNUMBER(SEARCH("Var", D17)), 1, IF(ISNUMBER(SEARCH("Gri", D17)), -1, 0)))=1, VERI_TABANI!E23*(1-0.928)*VERI_TABANI!$B$9, 0) + (VERI_TABANI!D23*B17*(VERI_TABANI!$B$13-VERI_TABANI!$B$14)*VERI_TABANI!G23) + (VERI_TABANI!D23*C17*(VERI_TABANI!$B$13-VERI_TABANI!$B$15)*VERI_TABANI!G23) + IF(ABS(IF(ISNUMBER(SEARCH("Var", D17)), 1, IF(ISNUMBER(SEARCH("Gri", D17)), -1, 0)))=1, VERI_TABANI!E23*(1-0.928)*0.00206091519919798*VERI_TABANI!G23, 0)) + ((MIN(VERI_TABANI!D24, VERI_TABANI!D24*B17)*VERI_TABANI!$B$7 + MAX(0, VERI_TABANI!D24*B17-VERI_TABANI!D24)*VERI_TABANI!$B$8) + (MIN(MAX(0, VERI_TABANI!D24-VERI_TABANI!D24*B17), VERI_TABANI!D24*C17)*VERI_TABANI!$B$7 + MAX(0, VERI_TABANI!D24*C17-MAX(0, VERI_TABANI!D24-VERI_TABANI!D24*B17))*VERI_TABANI!$B$8) + IF(ABS(IF(ISNUMBER(SEARCH("Var", D17)), 1, IF(ISNUMBER(SEARCH("Gri", D17)), -1, 0)))=1, VERI_TABANI!E24*(1-0.928)*VERI_TABANI!$B$9, 0) + (VERI_TABANI!D24*B17*(VERI_TABANI!$B$13-VERI_TABANI!$B$14)*VERI_TABANI!G24) + (VERI_TABANI!D24*C17*(VERI_TABANI!$B$13-VERI_TABANI!$B$15)*VERI_TABANI!G24) + IF(ABS(IF(ISNUMBER(SEARCH("Var", D17)), 1, IF(ISNUMBER(SEARCH("Gri", D17)), -1, 0)))=1, VERI_TABANI!E24*(1-0.928)*0.00206091519919798*VERI_TABANI!G24, 0)) + ((MIN(VERI_TABANI!D25, VERI_TABANI!D25*B17)*VERI_TABANI!$B$7 + MAX(0, VERI_TABANI!D25*B17-VERI_TABANI!D25)*VERI_TABANI!$B$8) + (MIN(MAX(0, VERI_TABANI!D25-VERI_TABANI!D25*B17), VERI_TABANI!D25*C17)*VERI_TABANI!$B$7 + MAX(0, VERI_TABANI!D25*C17-MAX(0, VERI_TABANI!D25-VERI_TABANI!D25*B17))*VERI_TABANI!$B$8) + IF(ABS(IF(ISNUMBER(SEARCH("Var", D17)), 1, IF(ISNUMBER(SEARCH("Gri", D17)), -1, 0)))=1, VERI_TABANI!E25*(1-0.928)*VERI_TABANI!$B$9, 0) + (VERI_TABANI!D25*B17*(VERI_TABANI!$B$13-VERI_TABANI!$B$14)*VERI_TABANI!G25) + (VERI_TABANI!D25*C17*(VERI_TABANI!$B$13-VERI_TABANI!$B$15)*VERI_TABANI!G25) + IF(ABS(IF(ISNUMBER(SEARCH("Var", D17)), 1, IF(ISNUMBER(SEARCH("Gri", D17)), -1, 0)))=1, VERI_TABANI!E25*(1-0.928)*0.00206091519919798*VERI_TABANI!G25, 0)) + ((MIN(VERI_TABANI!D26, VERI_TABANI!D26*B17)*VERI_TABANI!$B$7 + MAX(0, VERI_TABANI!D26*B17-VERI_TABANI!D26)*VERI_TABANI!$B$8) + (MIN(MAX(0, VERI_TABANI!D26-VERI_TABANI!D26*B17), VERI_TABANI!D26*C17)*VERI_TABANI!$B$7 + MAX(0, VERI_TABANI!D26*C17-MAX(0, VERI_TABANI!D26-VERI_TABANI!D26*B17))*VERI_TABANI!$B$8) + IF(ABS(IF(ISNUMBER(SEARCH("Var", D17)), 1, IF(ISNUMBER(SEARCH("Gri", D17)), -1, 0)))=1, VERI_TABANI!E26*(1-0.928)*VERI_TABANI!$B$9, 0) + (VERI_TABANI!D26*B17*(VERI_TABANI!$B$13-VERI_TABANI!$B$14)*VERI_TABANI!G26) + (VERI_TABANI!D26*C17*(VERI_TABANI!$B$13-VERI_TABANI!$B$15)*VERI_TABANI!G26) + IF(ABS(IF(ISNUMBER(SEARCH("Var", D17)), 1, IF(ISNUMBER(SEARCH("Gri", D17)), -1, 0)))=1, VERI_TABANI!E26*(1-0.928)*0.00206091519919798*VERI_TABANI!G26, 0)) + ((MIN(VERI_TABANI!D27, VERI_TABANI!D27*B17)*VERI_TABANI!$B$7 + MAX(0, VERI_TABANI!D27*B17-VERI_TABANI!D27)*VERI_TABANI!$B$8) + (MIN(MAX(0, VERI_TABANI!D27-VERI_TABANI!D27*B17), VERI_TABANI!D27*C17)*VERI_TABANI!$B$7 + MAX(0, VERI_TABANI!D27*C17-MAX(0, VERI_TABANI!D27-VERI_TABANI!D27*B17))*VERI_TABANI!$B$8) + IF(ABS(IF(ISNUMBER(SEARCH("Var", D17)), 1, IF(ISNUMBER(SEARCH("Gri", D17)), -1, 0)))=1, VERI_TABANI!E27*(1-0.928)*VERI_TABANI!$B$9, 0) + (VERI_TABANI!D27*B17*(VERI_TABANI!$B$13-VERI_TABANI!$B$14)*VERI_TABANI!G27) + (VERI_TABANI!D27*C17*(VERI_TABANI!$B$13-VERI_TABANI!$B$15)*VERI_TABANI!G27) + IF(ABS(IF(ISNUMBER(SEARCH("Var", D17)), 1, IF(ISNUMBER(SEARCH("Gri", D17)), -1, 0)))=1, VERI_TABANI!E27*(1-0.928)*0.00206091519919798*VERI_TABANI!G27, 0)) + ((MIN(VERI_TABANI!D28, VERI_TABANI!D28*B17)*VERI_TABANI!$B$7 + MAX(0, VERI_TABANI!D28*B17-VERI_TABANI!D28)*VERI_TABANI!$B$8) + (MIN(MAX(0, VERI_TABANI!D28-VERI_TABANI!D28*B17), VERI_TABANI!D28*C17)*VERI_TABANI!$B$7 + MAX(0, VERI_TABANI!D28*C17-MAX(0, VERI_TABANI!D28-VERI_TABANI!D28*B17))*VERI_TABANI!$B$8) + IF(ABS(IF(ISNUMBER(SEARCH("Var", D17)), 1, IF(ISNUMBER(SEARCH("Gri", D17)), -1, 0)))=1, VERI_TABANI!E28*(1-0.928)*VERI_TABANI!$B$9, 0) + (VERI_TABANI!D28*B17*(VERI_TABANI!$B$13-VERI_TABANI!$B$14)*VERI_TABANI!G28) + (VERI_TABANI!D28*C17*(VERI_TABANI!$B$13-VERI_TABANI!$B$15)*VERI_TABANI!G28) + IF(ABS(IF(ISNUMBER(SEARCH("Var", D17)), 1, IF(ISNUMBER(SEARCH("Gri", D17)), -1, 0)))=1, VERI_TABANI!E28*(1-0.928)*0.00206091519919798*VERI_TABANI!G28, 0)))</f>
        <v/>
      </c>
      <c r="H17" s="169">
        <f>(((VERI_TABANI!D23*B17*(VERI_TABANI!$B$13-VERI_TABANI!$B$14)) + (VERI_TABANI!D23*C17*(VERI_TABANI!$B$13-VERI_TABANI!$B$15)) + IF(ISNUMBER(SEARCH("Var", D17)), VERI_TABANI!F23*(0.00202-VERI_TABANI!$B$16), IF(ISNUMBER(SEARCH("Gri", D17)), VERI_TABANI!F23*(0.00202-VERI_TABANI!$B$17), 0))) + ((VERI_TABANI!D24*B17*(VERI_TABANI!$B$13-VERI_TABANI!$B$14)) + (VERI_TABANI!D24*C17*(VERI_TABANI!$B$13-VERI_TABANI!$B$15)) + IF(ISNUMBER(SEARCH("Var", D17)), VERI_TABANI!F24*(0.00202-VERI_TABANI!$B$16), IF(ISNUMBER(SEARCH("Gri", D17)), VERI_TABANI!F24*(0.00202-VERI_TABANI!$B$17), 0))) + ((VERI_TABANI!D25*B17*(VERI_TABANI!$B$13-VERI_TABANI!$B$14)) + (VERI_TABANI!D25*C17*(VERI_TABANI!$B$13-VERI_TABANI!$B$15)) + IF(ISNUMBER(SEARCH("Var", D17)), VERI_TABANI!F25*(0.00202-VERI_TABANI!$B$16), IF(ISNUMBER(SEARCH("Gri", D17)), VERI_TABANI!F25*(0.00202-VERI_TABANI!$B$17), 0))) + ((VERI_TABANI!D26*B17*(VERI_TABANI!$B$13-VERI_TABANI!$B$14)) + (VERI_TABANI!D26*C17*(VERI_TABANI!$B$13-VERI_TABANI!$B$15)) + IF(ISNUMBER(SEARCH("Var", D17)), VERI_TABANI!F26*(0.00202-VERI_TABANI!$B$16), IF(ISNUMBER(SEARCH("Gri", D17)), VERI_TABANI!F26*(0.00202-VERI_TABANI!$B$17), 0))) + ((VERI_TABANI!D27*B17*(VERI_TABANI!$B$13-VERI_TABANI!$B$14)) + (VERI_TABANI!D27*C17*(VERI_TABANI!$B$13-VERI_TABANI!$B$15)) + IF(ISNUMBER(SEARCH("Var", D17)), VERI_TABANI!F27*(0.00202-VERI_TABANI!$B$16), IF(ISNUMBER(SEARCH("Gri", D17)), VERI_TABANI!F27*(0.00202-VERI_TABANI!$B$17), 0))) + ((VERI_TABANI!D28*B17*(VERI_TABANI!$B$13-VERI_TABANI!$B$14)) + (VERI_TABANI!D28*C17*(VERI_TABANI!$B$13-VERI_TABANI!$B$15)) + IF(ISNUMBER(SEARCH("Var", D17)), VERI_TABANI!F28*(0.00202-VERI_TABANI!$B$16), IF(ISNUMBER(SEARCH("Gri", D17)), VERI_TABANI!F28*(0.00202-VERI_TABANI!$B$17), 0))))</f>
        <v/>
      </c>
      <c r="I17" s="170">
        <f>IFERROR(((VERI_TABANI!$D$29*B17*VERI_TABANI!$B$14 + VERI_TABANI!$D$29*C17*VERI_TABANI!$B$15 + IF(ISNUMBER(SEARCH("Var", D17)), VERI_TABANI!$F$29*VERI_TABANI!$B$16, 0))) / (((VERI_TABANI!$D$29*B17 + VERI_TABANI!$D$29*C17)*VERI_TABANI!$B$13 + IF(ISNUMBER(SEARCH("Var", D17)), VERI_TABANI!$E$29*(1-0.928)*VERI_TABANI!$B$18, 0))), 0)</f>
        <v/>
      </c>
      <c r="J17" s="171">
        <f>IFERROR(F17/(G17/29), 0)</f>
        <v/>
      </c>
      <c r="K17" s="172">
        <f>IF(F17&gt;0, H17/F17, 0)</f>
        <v/>
      </c>
      <c r="L17" s="170">
        <f>IF(F17&gt;0, I17, 1000000000)</f>
        <v/>
      </c>
      <c r="M17" s="171">
        <f>ABS((B17+C17)-1)</f>
        <v/>
      </c>
      <c r="N17" s="170">
        <f>IF(F17&gt;0, (G17/29)/F17, 0)</f>
        <v/>
      </c>
      <c r="O17" s="168">
        <f>IF(AND((B17+C17)&gt;=1, ISNUMBER(SEARCH("Var", D17))), F17, 1000000000)</f>
        <v/>
      </c>
      <c r="P17" s="172">
        <f>IF(F17&gt;0, SQRT((F17/MAX(F$5:F$886))^2 + (1 - H17/MAX(H$5:H$886))^2 + (J17/MAX(J$5:J$886))^2), 1000000000)</f>
        <v/>
      </c>
      <c r="Q17" s="166">
        <f>IF(AND(ABS(B17-0.5)&lt;0.01, ABS(C17-0.5)&lt;0.01, ISNUMBER(SEARCH("Var", D17))), 1, 0)</f>
        <v/>
      </c>
      <c r="R17" s="171">
        <f>IF(F17&gt;0, J17, 1000000000)</f>
        <v/>
      </c>
      <c r="S17" s="101">
        <f>IF(AND(F17&lt;=DASHBOARD!$B$11, H17&gt;=DASHBOARD!$B$13), G17, -1000000000000)</f>
        <v/>
      </c>
      <c r="T17" s="101">
        <f>IF(AND(F17&lt;=DASHBOARD!$B$11, H17&gt;=DASHBOARD!$B$13), R17, 1000000000000)</f>
        <v/>
      </c>
      <c r="U17" s="101">
        <f>IF(AND(F17&lt;=DASHBOARD!$B$11, H17&gt;=DASHBOARD!$B$13), N17, -1000000000000)</f>
        <v/>
      </c>
      <c r="V17" s="101">
        <f>IF(AND(F17&lt;=DASHBOARD!$B$11, H17&gt;=DASHBOARD!$B$13), H17, -1000000000000)</f>
        <v/>
      </c>
      <c r="W17" s="101">
        <f>IF(AND(F17&lt;=DASHBOARD!$B$11, H17&gt;=DASHBOARD!$B$13), K17, -1000000000000)</f>
        <v/>
      </c>
      <c r="X17" s="101">
        <f>IF(AND(F17&lt;=DASHBOARD!$B$11, H17&gt;=DASHBOARD!$B$13), M17, 1000000000000)</f>
        <v/>
      </c>
      <c r="Y17" s="101">
        <f>IF(AND(F17&lt;=DASHBOARD!$B$10, H17&gt;=DASHBOARD!$B$11), L17, 1000000000000)</f>
        <v/>
      </c>
      <c r="Z17" s="101">
        <f>IF(AND(F17&lt;=DASHBOARD!$B$10, H17&gt;=DASHBOARD!$B$11), O17, 1000000000000)</f>
        <v/>
      </c>
      <c r="AA17" s="101">
        <f>IF(AND(F17&lt;=DASHBOARD!$B$10, H17&gt;=DASHBOARD!$B$11), P17, 1000000000000)</f>
        <v/>
      </c>
      <c r="AB17" s="101">
        <f>IF(AND(F17&lt;=DASHBOARD!$B$10, H17&gt;=DASHBOARD!$B$11), Q17, -1000000000000)</f>
        <v/>
      </c>
    </row>
    <row r="18" ht="12.75" customHeight="1" s="102">
      <c r="A18" s="166" t="n">
        <v>14</v>
      </c>
      <c r="B18" s="167" t="n">
        <v>0</v>
      </c>
      <c r="C18" s="167" t="n">
        <v>0.6</v>
      </c>
      <c r="D18" s="110" t="inlineStr">
        <is>
          <t>Var (%20)</t>
        </is>
      </c>
      <c r="E18" s="110">
        <f>IF((B18+C18)&lt;=1, "Tam Mahsuplaşma (≤%100)", "Kısmi Satış (&gt;%100)")</f>
        <v/>
      </c>
      <c r="F18" s="168">
        <f>((VERI_TABANI!$D$29*B18/VERI_TABANI!$B$29)/VERI_TABANI!$B$3)*VERI_TABANI!$B$5 + ((VERI_TABANI!$D$29*C18/VERI_TABANI!$B$29)/VERI_TABANI!$B$4)*VERI_TABANI!$B$6 + IF(ISNUMBER(SEARCH("Var", D18)), (VERI_TABANI!$F$29/VERI_TABANI!$B$29)*(VERI_TABANI!$B$10+VERI_TABANI!$B$12), 0)</f>
        <v/>
      </c>
      <c r="G18" s="168">
        <f>(((MIN(VERI_TABANI!D23, VERI_TABANI!D23*B18)*VERI_TABANI!$B$7 + MAX(0, VERI_TABANI!D23*B18-VERI_TABANI!D23)*VERI_TABANI!$B$8) + (MIN(MAX(0, VERI_TABANI!D23-VERI_TABANI!D23*B18), VERI_TABANI!D23*C18)*VERI_TABANI!$B$7 + MAX(0, VERI_TABANI!D23*C18-MAX(0, VERI_TABANI!D23-VERI_TABANI!D23*B18))*VERI_TABANI!$B$8) + IF(ABS(IF(ISNUMBER(SEARCH("Var", D18)), 1, IF(ISNUMBER(SEARCH("Gri", D18)), -1, 0)))=1, VERI_TABANI!E23*(1-0.928)*VERI_TABANI!$B$9, 0) + (VERI_TABANI!D23*B18*(VERI_TABANI!$B$13-VERI_TABANI!$B$14)*VERI_TABANI!G23) + (VERI_TABANI!D23*C18*(VERI_TABANI!$B$13-VERI_TABANI!$B$15)*VERI_TABANI!G23) + IF(ABS(IF(ISNUMBER(SEARCH("Var", D18)), 1, IF(ISNUMBER(SEARCH("Gri", D18)), -1, 0)))=1, VERI_TABANI!E23*(1-0.928)*0.00206091519919798*VERI_TABANI!G23, 0)) + ((MIN(VERI_TABANI!D24, VERI_TABANI!D24*B18)*VERI_TABANI!$B$7 + MAX(0, VERI_TABANI!D24*B18-VERI_TABANI!D24)*VERI_TABANI!$B$8) + (MIN(MAX(0, VERI_TABANI!D24-VERI_TABANI!D24*B18), VERI_TABANI!D24*C18)*VERI_TABANI!$B$7 + MAX(0, VERI_TABANI!D24*C18-MAX(0, VERI_TABANI!D24-VERI_TABANI!D24*B18))*VERI_TABANI!$B$8) + IF(ABS(IF(ISNUMBER(SEARCH("Var", D18)), 1, IF(ISNUMBER(SEARCH("Gri", D18)), -1, 0)))=1, VERI_TABANI!E24*(1-0.928)*VERI_TABANI!$B$9, 0) + (VERI_TABANI!D24*B18*(VERI_TABANI!$B$13-VERI_TABANI!$B$14)*VERI_TABANI!G24) + (VERI_TABANI!D24*C18*(VERI_TABANI!$B$13-VERI_TABANI!$B$15)*VERI_TABANI!G24) + IF(ABS(IF(ISNUMBER(SEARCH("Var", D18)), 1, IF(ISNUMBER(SEARCH("Gri", D18)), -1, 0)))=1, VERI_TABANI!E24*(1-0.928)*0.00206091519919798*VERI_TABANI!G24, 0)) + ((MIN(VERI_TABANI!D25, VERI_TABANI!D25*B18)*VERI_TABANI!$B$7 + MAX(0, VERI_TABANI!D25*B18-VERI_TABANI!D25)*VERI_TABANI!$B$8) + (MIN(MAX(0, VERI_TABANI!D25-VERI_TABANI!D25*B18), VERI_TABANI!D25*C18)*VERI_TABANI!$B$7 + MAX(0, VERI_TABANI!D25*C18-MAX(0, VERI_TABANI!D25-VERI_TABANI!D25*B18))*VERI_TABANI!$B$8) + IF(ABS(IF(ISNUMBER(SEARCH("Var", D18)), 1, IF(ISNUMBER(SEARCH("Gri", D18)), -1, 0)))=1, VERI_TABANI!E25*(1-0.928)*VERI_TABANI!$B$9, 0) + (VERI_TABANI!D25*B18*(VERI_TABANI!$B$13-VERI_TABANI!$B$14)*VERI_TABANI!G25) + (VERI_TABANI!D25*C18*(VERI_TABANI!$B$13-VERI_TABANI!$B$15)*VERI_TABANI!G25) + IF(ABS(IF(ISNUMBER(SEARCH("Var", D18)), 1, IF(ISNUMBER(SEARCH("Gri", D18)), -1, 0)))=1, VERI_TABANI!E25*(1-0.928)*0.00206091519919798*VERI_TABANI!G25, 0)) + ((MIN(VERI_TABANI!D26, VERI_TABANI!D26*B18)*VERI_TABANI!$B$7 + MAX(0, VERI_TABANI!D26*B18-VERI_TABANI!D26)*VERI_TABANI!$B$8) + (MIN(MAX(0, VERI_TABANI!D26-VERI_TABANI!D26*B18), VERI_TABANI!D26*C18)*VERI_TABANI!$B$7 + MAX(0, VERI_TABANI!D26*C18-MAX(0, VERI_TABANI!D26-VERI_TABANI!D26*B18))*VERI_TABANI!$B$8) + IF(ABS(IF(ISNUMBER(SEARCH("Var", D18)), 1, IF(ISNUMBER(SEARCH("Gri", D18)), -1, 0)))=1, VERI_TABANI!E26*(1-0.928)*VERI_TABANI!$B$9, 0) + (VERI_TABANI!D26*B18*(VERI_TABANI!$B$13-VERI_TABANI!$B$14)*VERI_TABANI!G26) + (VERI_TABANI!D26*C18*(VERI_TABANI!$B$13-VERI_TABANI!$B$15)*VERI_TABANI!G26) + IF(ABS(IF(ISNUMBER(SEARCH("Var", D18)), 1, IF(ISNUMBER(SEARCH("Gri", D18)), -1, 0)))=1, VERI_TABANI!E26*(1-0.928)*0.00206091519919798*VERI_TABANI!G26, 0)) + ((MIN(VERI_TABANI!D27, VERI_TABANI!D27*B18)*VERI_TABANI!$B$7 + MAX(0, VERI_TABANI!D27*B18-VERI_TABANI!D27)*VERI_TABANI!$B$8) + (MIN(MAX(0, VERI_TABANI!D27-VERI_TABANI!D27*B18), VERI_TABANI!D27*C18)*VERI_TABANI!$B$7 + MAX(0, VERI_TABANI!D27*C18-MAX(0, VERI_TABANI!D27-VERI_TABANI!D27*B18))*VERI_TABANI!$B$8) + IF(ABS(IF(ISNUMBER(SEARCH("Var", D18)), 1, IF(ISNUMBER(SEARCH("Gri", D18)), -1, 0)))=1, VERI_TABANI!E27*(1-0.928)*VERI_TABANI!$B$9, 0) + (VERI_TABANI!D27*B18*(VERI_TABANI!$B$13-VERI_TABANI!$B$14)*VERI_TABANI!G27) + (VERI_TABANI!D27*C18*(VERI_TABANI!$B$13-VERI_TABANI!$B$15)*VERI_TABANI!G27) + IF(ABS(IF(ISNUMBER(SEARCH("Var", D18)), 1, IF(ISNUMBER(SEARCH("Gri", D18)), -1, 0)))=1, VERI_TABANI!E27*(1-0.928)*0.00206091519919798*VERI_TABANI!G27, 0)) + ((MIN(VERI_TABANI!D28, VERI_TABANI!D28*B18)*VERI_TABANI!$B$7 + MAX(0, VERI_TABANI!D28*B18-VERI_TABANI!D28)*VERI_TABANI!$B$8) + (MIN(MAX(0, VERI_TABANI!D28-VERI_TABANI!D28*B18), VERI_TABANI!D28*C18)*VERI_TABANI!$B$7 + MAX(0, VERI_TABANI!D28*C18-MAX(0, VERI_TABANI!D28-VERI_TABANI!D28*B18))*VERI_TABANI!$B$8) + IF(ABS(IF(ISNUMBER(SEARCH("Var", D18)), 1, IF(ISNUMBER(SEARCH("Gri", D18)), -1, 0)))=1, VERI_TABANI!E28*(1-0.928)*VERI_TABANI!$B$9, 0) + (VERI_TABANI!D28*B18*(VERI_TABANI!$B$13-VERI_TABANI!$B$14)*VERI_TABANI!G28) + (VERI_TABANI!D28*C18*(VERI_TABANI!$B$13-VERI_TABANI!$B$15)*VERI_TABANI!G28) + IF(ABS(IF(ISNUMBER(SEARCH("Var", D18)), 1, IF(ISNUMBER(SEARCH("Gri", D18)), -1, 0)))=1, VERI_TABANI!E28*(1-0.928)*0.00206091519919798*VERI_TABANI!G28, 0)))</f>
        <v/>
      </c>
      <c r="H18" s="169">
        <f>(((VERI_TABANI!D23*B18*(VERI_TABANI!$B$13-VERI_TABANI!$B$14)) + (VERI_TABANI!D23*C18*(VERI_TABANI!$B$13-VERI_TABANI!$B$15)) + IF(ISNUMBER(SEARCH("Var", D18)), VERI_TABANI!F23*(0.00202-VERI_TABANI!$B$16), IF(ISNUMBER(SEARCH("Gri", D18)), VERI_TABANI!F23*(0.00202-VERI_TABANI!$B$17), 0))) + ((VERI_TABANI!D24*B18*(VERI_TABANI!$B$13-VERI_TABANI!$B$14)) + (VERI_TABANI!D24*C18*(VERI_TABANI!$B$13-VERI_TABANI!$B$15)) + IF(ISNUMBER(SEARCH("Var", D18)), VERI_TABANI!F24*(0.00202-VERI_TABANI!$B$16), IF(ISNUMBER(SEARCH("Gri", D18)), VERI_TABANI!F24*(0.00202-VERI_TABANI!$B$17), 0))) + ((VERI_TABANI!D25*B18*(VERI_TABANI!$B$13-VERI_TABANI!$B$14)) + (VERI_TABANI!D25*C18*(VERI_TABANI!$B$13-VERI_TABANI!$B$15)) + IF(ISNUMBER(SEARCH("Var", D18)), VERI_TABANI!F25*(0.00202-VERI_TABANI!$B$16), IF(ISNUMBER(SEARCH("Gri", D18)), VERI_TABANI!F25*(0.00202-VERI_TABANI!$B$17), 0))) + ((VERI_TABANI!D26*B18*(VERI_TABANI!$B$13-VERI_TABANI!$B$14)) + (VERI_TABANI!D26*C18*(VERI_TABANI!$B$13-VERI_TABANI!$B$15)) + IF(ISNUMBER(SEARCH("Var", D18)), VERI_TABANI!F26*(0.00202-VERI_TABANI!$B$16), IF(ISNUMBER(SEARCH("Gri", D18)), VERI_TABANI!F26*(0.00202-VERI_TABANI!$B$17), 0))) + ((VERI_TABANI!D27*B18*(VERI_TABANI!$B$13-VERI_TABANI!$B$14)) + (VERI_TABANI!D27*C18*(VERI_TABANI!$B$13-VERI_TABANI!$B$15)) + IF(ISNUMBER(SEARCH("Var", D18)), VERI_TABANI!F27*(0.00202-VERI_TABANI!$B$16), IF(ISNUMBER(SEARCH("Gri", D18)), VERI_TABANI!F27*(0.00202-VERI_TABANI!$B$17), 0))) + ((VERI_TABANI!D28*B18*(VERI_TABANI!$B$13-VERI_TABANI!$B$14)) + (VERI_TABANI!D28*C18*(VERI_TABANI!$B$13-VERI_TABANI!$B$15)) + IF(ISNUMBER(SEARCH("Var", D18)), VERI_TABANI!F28*(0.00202-VERI_TABANI!$B$16), IF(ISNUMBER(SEARCH("Gri", D18)), VERI_TABANI!F28*(0.00202-VERI_TABANI!$B$17), 0))))</f>
        <v/>
      </c>
      <c r="I18" s="170">
        <f>IFERROR(((VERI_TABANI!$D$29*B18*VERI_TABANI!$B$14 + VERI_TABANI!$D$29*C18*VERI_TABANI!$B$15 + IF(ISNUMBER(SEARCH("Var", D18)), VERI_TABANI!$F$29*VERI_TABANI!$B$16, 0))) / (((VERI_TABANI!$D$29*B18 + VERI_TABANI!$D$29*C18)*VERI_TABANI!$B$13 + IF(ISNUMBER(SEARCH("Var", D18)), VERI_TABANI!$E$29*(1-0.928)*VERI_TABANI!$B$18, 0))), 0)</f>
        <v/>
      </c>
      <c r="J18" s="171">
        <f>IFERROR(F18/(G18/29), 0)</f>
        <v/>
      </c>
      <c r="K18" s="172">
        <f>IF(F18&gt;0, H18/F18, 0)</f>
        <v/>
      </c>
      <c r="L18" s="170">
        <f>IF(F18&gt;0, I18, 1000000000)</f>
        <v/>
      </c>
      <c r="M18" s="171">
        <f>ABS((B18+C18)-1)</f>
        <v/>
      </c>
      <c r="N18" s="170">
        <f>IF(F18&gt;0, (G18/29)/F18, 0)</f>
        <v/>
      </c>
      <c r="O18" s="168">
        <f>IF(AND((B18+C18)&gt;=1, ISNUMBER(SEARCH("Var", D18))), F18, 1000000000)</f>
        <v/>
      </c>
      <c r="P18" s="172">
        <f>IF(F18&gt;0, SQRT((F18/MAX(F$5:F$886))^2 + (1 - H18/MAX(H$5:H$886))^2 + (J18/MAX(J$5:J$886))^2), 1000000000)</f>
        <v/>
      </c>
      <c r="Q18" s="166">
        <f>IF(AND(ABS(B18-0.5)&lt;0.01, ABS(C18-0.5)&lt;0.01, ISNUMBER(SEARCH("Var", D18))), 1, 0)</f>
        <v/>
      </c>
      <c r="R18" s="171">
        <f>IF(F18&gt;0, J18, 1000000000)</f>
        <v/>
      </c>
      <c r="S18" s="101">
        <f>IF(AND(F18&lt;=DASHBOARD!$B$11, H18&gt;=DASHBOARD!$B$13), G18, -1000000000000)</f>
        <v/>
      </c>
      <c r="T18" s="101">
        <f>IF(AND(F18&lt;=DASHBOARD!$B$11, H18&gt;=DASHBOARD!$B$13), R18, 1000000000000)</f>
        <v/>
      </c>
      <c r="U18" s="101">
        <f>IF(AND(F18&lt;=DASHBOARD!$B$11, H18&gt;=DASHBOARD!$B$13), N18, -1000000000000)</f>
        <v/>
      </c>
      <c r="V18" s="101">
        <f>IF(AND(F18&lt;=DASHBOARD!$B$11, H18&gt;=DASHBOARD!$B$13), H18, -1000000000000)</f>
        <v/>
      </c>
      <c r="W18" s="101">
        <f>IF(AND(F18&lt;=DASHBOARD!$B$11, H18&gt;=DASHBOARD!$B$13), K18, -1000000000000)</f>
        <v/>
      </c>
      <c r="X18" s="101">
        <f>IF(AND(F18&lt;=DASHBOARD!$B$11, H18&gt;=DASHBOARD!$B$13), M18, 1000000000000)</f>
        <v/>
      </c>
      <c r="Y18" s="101">
        <f>IF(AND(F18&lt;=DASHBOARD!$B$10, H18&gt;=DASHBOARD!$B$11), L18, 1000000000000)</f>
        <v/>
      </c>
      <c r="Z18" s="101">
        <f>IF(AND(F18&lt;=DASHBOARD!$B$10, H18&gt;=DASHBOARD!$B$11), O18, 1000000000000)</f>
        <v/>
      </c>
      <c r="AA18" s="101">
        <f>IF(AND(F18&lt;=DASHBOARD!$B$10, H18&gt;=DASHBOARD!$B$11), P18, 1000000000000)</f>
        <v/>
      </c>
      <c r="AB18" s="101">
        <f>IF(AND(F18&lt;=DASHBOARD!$B$10, H18&gt;=DASHBOARD!$B$11), Q18, -1000000000000)</f>
        <v/>
      </c>
    </row>
    <row r="19" ht="12.75" customHeight="1" s="102">
      <c r="A19" s="166" t="n">
        <v>15</v>
      </c>
      <c r="B19" s="167" t="n">
        <v>0</v>
      </c>
      <c r="C19" s="167" t="n">
        <v>0.7</v>
      </c>
      <c r="D19" s="110" t="inlineStr">
        <is>
          <t>Yok (%0)</t>
        </is>
      </c>
      <c r="E19" s="110">
        <f>IF((B19+C19)&lt;=1, "Tam Mahsuplaşma (≤%100)", "Kısmi Satış (&gt;%100)")</f>
        <v/>
      </c>
      <c r="F19" s="168">
        <f>((VERI_TABANI!$D$29*B19/VERI_TABANI!$B$29)/VERI_TABANI!$B$3)*VERI_TABANI!$B$5 + ((VERI_TABANI!$D$29*C19/VERI_TABANI!$B$29)/VERI_TABANI!$B$4)*VERI_TABANI!$B$6 + IF(ISNUMBER(SEARCH("Var", D19)), (VERI_TABANI!$F$29/VERI_TABANI!$B$29)*(VERI_TABANI!$B$10+VERI_TABANI!$B$12), 0)</f>
        <v/>
      </c>
      <c r="G19" s="168">
        <f>(((MIN(VERI_TABANI!D23, VERI_TABANI!D23*B19)*VERI_TABANI!$B$7 + MAX(0, VERI_TABANI!D23*B19-VERI_TABANI!D23)*VERI_TABANI!$B$8) + (MIN(MAX(0, VERI_TABANI!D23-VERI_TABANI!D23*B19), VERI_TABANI!D23*C19)*VERI_TABANI!$B$7 + MAX(0, VERI_TABANI!D23*C19-MAX(0, VERI_TABANI!D23-VERI_TABANI!D23*B19))*VERI_TABANI!$B$8) + IF(ABS(IF(ISNUMBER(SEARCH("Var", D19)), 1, IF(ISNUMBER(SEARCH("Gri", D19)), -1, 0)))=1, VERI_TABANI!E23*(1-0.928)*VERI_TABANI!$B$9, 0) + (VERI_TABANI!D23*B19*(VERI_TABANI!$B$13-VERI_TABANI!$B$14)*VERI_TABANI!G23) + (VERI_TABANI!D23*C19*(VERI_TABANI!$B$13-VERI_TABANI!$B$15)*VERI_TABANI!G23) + IF(ABS(IF(ISNUMBER(SEARCH("Var", D19)), 1, IF(ISNUMBER(SEARCH("Gri", D19)), -1, 0)))=1, VERI_TABANI!E23*(1-0.928)*0.00206091519919798*VERI_TABANI!G23, 0)) + ((MIN(VERI_TABANI!D24, VERI_TABANI!D24*B19)*VERI_TABANI!$B$7 + MAX(0, VERI_TABANI!D24*B19-VERI_TABANI!D24)*VERI_TABANI!$B$8) + (MIN(MAX(0, VERI_TABANI!D24-VERI_TABANI!D24*B19), VERI_TABANI!D24*C19)*VERI_TABANI!$B$7 + MAX(0, VERI_TABANI!D24*C19-MAX(0, VERI_TABANI!D24-VERI_TABANI!D24*B19))*VERI_TABANI!$B$8) + IF(ABS(IF(ISNUMBER(SEARCH("Var", D19)), 1, IF(ISNUMBER(SEARCH("Gri", D19)), -1, 0)))=1, VERI_TABANI!E24*(1-0.928)*VERI_TABANI!$B$9, 0) + (VERI_TABANI!D24*B19*(VERI_TABANI!$B$13-VERI_TABANI!$B$14)*VERI_TABANI!G24) + (VERI_TABANI!D24*C19*(VERI_TABANI!$B$13-VERI_TABANI!$B$15)*VERI_TABANI!G24) + IF(ABS(IF(ISNUMBER(SEARCH("Var", D19)), 1, IF(ISNUMBER(SEARCH("Gri", D19)), -1, 0)))=1, VERI_TABANI!E24*(1-0.928)*0.00206091519919798*VERI_TABANI!G24, 0)) + ((MIN(VERI_TABANI!D25, VERI_TABANI!D25*B19)*VERI_TABANI!$B$7 + MAX(0, VERI_TABANI!D25*B19-VERI_TABANI!D25)*VERI_TABANI!$B$8) + (MIN(MAX(0, VERI_TABANI!D25-VERI_TABANI!D25*B19), VERI_TABANI!D25*C19)*VERI_TABANI!$B$7 + MAX(0, VERI_TABANI!D25*C19-MAX(0, VERI_TABANI!D25-VERI_TABANI!D25*B19))*VERI_TABANI!$B$8) + IF(ABS(IF(ISNUMBER(SEARCH("Var", D19)), 1, IF(ISNUMBER(SEARCH("Gri", D19)), -1, 0)))=1, VERI_TABANI!E25*(1-0.928)*VERI_TABANI!$B$9, 0) + (VERI_TABANI!D25*B19*(VERI_TABANI!$B$13-VERI_TABANI!$B$14)*VERI_TABANI!G25) + (VERI_TABANI!D25*C19*(VERI_TABANI!$B$13-VERI_TABANI!$B$15)*VERI_TABANI!G25) + IF(ABS(IF(ISNUMBER(SEARCH("Var", D19)), 1, IF(ISNUMBER(SEARCH("Gri", D19)), -1, 0)))=1, VERI_TABANI!E25*(1-0.928)*0.00206091519919798*VERI_TABANI!G25, 0)) + ((MIN(VERI_TABANI!D26, VERI_TABANI!D26*B19)*VERI_TABANI!$B$7 + MAX(0, VERI_TABANI!D26*B19-VERI_TABANI!D26)*VERI_TABANI!$B$8) + (MIN(MAX(0, VERI_TABANI!D26-VERI_TABANI!D26*B19), VERI_TABANI!D26*C19)*VERI_TABANI!$B$7 + MAX(0, VERI_TABANI!D26*C19-MAX(0, VERI_TABANI!D26-VERI_TABANI!D26*B19))*VERI_TABANI!$B$8) + IF(ABS(IF(ISNUMBER(SEARCH("Var", D19)), 1, IF(ISNUMBER(SEARCH("Gri", D19)), -1, 0)))=1, VERI_TABANI!E26*(1-0.928)*VERI_TABANI!$B$9, 0) + (VERI_TABANI!D26*B19*(VERI_TABANI!$B$13-VERI_TABANI!$B$14)*VERI_TABANI!G26) + (VERI_TABANI!D26*C19*(VERI_TABANI!$B$13-VERI_TABANI!$B$15)*VERI_TABANI!G26) + IF(ABS(IF(ISNUMBER(SEARCH("Var", D19)), 1, IF(ISNUMBER(SEARCH("Gri", D19)), -1, 0)))=1, VERI_TABANI!E26*(1-0.928)*0.00206091519919798*VERI_TABANI!G26, 0)) + ((MIN(VERI_TABANI!D27, VERI_TABANI!D27*B19)*VERI_TABANI!$B$7 + MAX(0, VERI_TABANI!D27*B19-VERI_TABANI!D27)*VERI_TABANI!$B$8) + (MIN(MAX(0, VERI_TABANI!D27-VERI_TABANI!D27*B19), VERI_TABANI!D27*C19)*VERI_TABANI!$B$7 + MAX(0, VERI_TABANI!D27*C19-MAX(0, VERI_TABANI!D27-VERI_TABANI!D27*B19))*VERI_TABANI!$B$8) + IF(ABS(IF(ISNUMBER(SEARCH("Var", D19)), 1, IF(ISNUMBER(SEARCH("Gri", D19)), -1, 0)))=1, VERI_TABANI!E27*(1-0.928)*VERI_TABANI!$B$9, 0) + (VERI_TABANI!D27*B19*(VERI_TABANI!$B$13-VERI_TABANI!$B$14)*VERI_TABANI!G27) + (VERI_TABANI!D27*C19*(VERI_TABANI!$B$13-VERI_TABANI!$B$15)*VERI_TABANI!G27) + IF(ABS(IF(ISNUMBER(SEARCH("Var", D19)), 1, IF(ISNUMBER(SEARCH("Gri", D19)), -1, 0)))=1, VERI_TABANI!E27*(1-0.928)*0.00206091519919798*VERI_TABANI!G27, 0)) + ((MIN(VERI_TABANI!D28, VERI_TABANI!D28*B19)*VERI_TABANI!$B$7 + MAX(0, VERI_TABANI!D28*B19-VERI_TABANI!D28)*VERI_TABANI!$B$8) + (MIN(MAX(0, VERI_TABANI!D28-VERI_TABANI!D28*B19), VERI_TABANI!D28*C19)*VERI_TABANI!$B$7 + MAX(0, VERI_TABANI!D28*C19-MAX(0, VERI_TABANI!D28-VERI_TABANI!D28*B19))*VERI_TABANI!$B$8) + IF(ABS(IF(ISNUMBER(SEARCH("Var", D19)), 1, IF(ISNUMBER(SEARCH("Gri", D19)), -1, 0)))=1, VERI_TABANI!E28*(1-0.928)*VERI_TABANI!$B$9, 0) + (VERI_TABANI!D28*B19*(VERI_TABANI!$B$13-VERI_TABANI!$B$14)*VERI_TABANI!G28) + (VERI_TABANI!D28*C19*(VERI_TABANI!$B$13-VERI_TABANI!$B$15)*VERI_TABANI!G28) + IF(ABS(IF(ISNUMBER(SEARCH("Var", D19)), 1, IF(ISNUMBER(SEARCH("Gri", D19)), -1, 0)))=1, VERI_TABANI!E28*(1-0.928)*0.00206091519919798*VERI_TABANI!G28, 0)))</f>
        <v/>
      </c>
      <c r="H19" s="169">
        <f>(((VERI_TABANI!D23*B19*(VERI_TABANI!$B$13-VERI_TABANI!$B$14)) + (VERI_TABANI!D23*C19*(VERI_TABANI!$B$13-VERI_TABANI!$B$15)) + IF(ISNUMBER(SEARCH("Var", D19)), VERI_TABANI!F23*(0.00202-VERI_TABANI!$B$16), IF(ISNUMBER(SEARCH("Gri", D19)), VERI_TABANI!F23*(0.00202-VERI_TABANI!$B$17), 0))) + ((VERI_TABANI!D24*B19*(VERI_TABANI!$B$13-VERI_TABANI!$B$14)) + (VERI_TABANI!D24*C19*(VERI_TABANI!$B$13-VERI_TABANI!$B$15)) + IF(ISNUMBER(SEARCH("Var", D19)), VERI_TABANI!F24*(0.00202-VERI_TABANI!$B$16), IF(ISNUMBER(SEARCH("Gri", D19)), VERI_TABANI!F24*(0.00202-VERI_TABANI!$B$17), 0))) + ((VERI_TABANI!D25*B19*(VERI_TABANI!$B$13-VERI_TABANI!$B$14)) + (VERI_TABANI!D25*C19*(VERI_TABANI!$B$13-VERI_TABANI!$B$15)) + IF(ISNUMBER(SEARCH("Var", D19)), VERI_TABANI!F25*(0.00202-VERI_TABANI!$B$16), IF(ISNUMBER(SEARCH("Gri", D19)), VERI_TABANI!F25*(0.00202-VERI_TABANI!$B$17), 0))) + ((VERI_TABANI!D26*B19*(VERI_TABANI!$B$13-VERI_TABANI!$B$14)) + (VERI_TABANI!D26*C19*(VERI_TABANI!$B$13-VERI_TABANI!$B$15)) + IF(ISNUMBER(SEARCH("Var", D19)), VERI_TABANI!F26*(0.00202-VERI_TABANI!$B$16), IF(ISNUMBER(SEARCH("Gri", D19)), VERI_TABANI!F26*(0.00202-VERI_TABANI!$B$17), 0))) + ((VERI_TABANI!D27*B19*(VERI_TABANI!$B$13-VERI_TABANI!$B$14)) + (VERI_TABANI!D27*C19*(VERI_TABANI!$B$13-VERI_TABANI!$B$15)) + IF(ISNUMBER(SEARCH("Var", D19)), VERI_TABANI!F27*(0.00202-VERI_TABANI!$B$16), IF(ISNUMBER(SEARCH("Gri", D19)), VERI_TABANI!F27*(0.00202-VERI_TABANI!$B$17), 0))) + ((VERI_TABANI!D28*B19*(VERI_TABANI!$B$13-VERI_TABANI!$B$14)) + (VERI_TABANI!D28*C19*(VERI_TABANI!$B$13-VERI_TABANI!$B$15)) + IF(ISNUMBER(SEARCH("Var", D19)), VERI_TABANI!F28*(0.00202-VERI_TABANI!$B$16), IF(ISNUMBER(SEARCH("Gri", D19)), VERI_TABANI!F28*(0.00202-VERI_TABANI!$B$17), 0))))</f>
        <v/>
      </c>
      <c r="I19" s="170">
        <f>IFERROR(((VERI_TABANI!$D$29*B19*VERI_TABANI!$B$14 + VERI_TABANI!$D$29*C19*VERI_TABANI!$B$15 + IF(ISNUMBER(SEARCH("Var", D19)), VERI_TABANI!$F$29*VERI_TABANI!$B$16, 0))) / (((VERI_TABANI!$D$29*B19 + VERI_TABANI!$D$29*C19)*VERI_TABANI!$B$13 + IF(ISNUMBER(SEARCH("Var", D19)), VERI_TABANI!$E$29*(1-0.928)*VERI_TABANI!$B$18, 0))), 0)</f>
        <v/>
      </c>
      <c r="J19" s="171">
        <f>IFERROR(F19/(G19/29), 0)</f>
        <v/>
      </c>
      <c r="K19" s="172">
        <f>IF(F19&gt;0, H19/F19, 0)</f>
        <v/>
      </c>
      <c r="L19" s="170">
        <f>IF(F19&gt;0, I19, 1000000000)</f>
        <v/>
      </c>
      <c r="M19" s="171">
        <f>ABS((B19+C19)-1)</f>
        <v/>
      </c>
      <c r="N19" s="170">
        <f>IF(F19&gt;0, (G19/29)/F19, 0)</f>
        <v/>
      </c>
      <c r="O19" s="168">
        <f>IF(AND((B19+C19)&gt;=1, ISNUMBER(SEARCH("Var", D19))), F19, 1000000000)</f>
        <v/>
      </c>
      <c r="P19" s="172">
        <f>IF(F19&gt;0, SQRT((F19/MAX(F$5:F$886))^2 + (1 - H19/MAX(H$5:H$886))^2 + (J19/MAX(J$5:J$886))^2), 1000000000)</f>
        <v/>
      </c>
      <c r="Q19" s="166">
        <f>IF(AND(ABS(B19-0.5)&lt;0.01, ABS(C19-0.5)&lt;0.01, ISNUMBER(SEARCH("Var", D19))), 1, 0)</f>
        <v/>
      </c>
      <c r="R19" s="171">
        <f>IF(F19&gt;0, J19, 1000000000)</f>
        <v/>
      </c>
      <c r="S19" s="101">
        <f>IF(AND(F19&lt;=DASHBOARD!$B$11, H19&gt;=DASHBOARD!$B$13), G19, -1000000000000)</f>
        <v/>
      </c>
      <c r="T19" s="101">
        <f>IF(AND(F19&lt;=DASHBOARD!$B$11, H19&gt;=DASHBOARD!$B$13), R19, 1000000000000)</f>
        <v/>
      </c>
      <c r="U19" s="101">
        <f>IF(AND(F19&lt;=DASHBOARD!$B$11, H19&gt;=DASHBOARD!$B$13), N19, -1000000000000)</f>
        <v/>
      </c>
      <c r="V19" s="101">
        <f>IF(AND(F19&lt;=DASHBOARD!$B$11, H19&gt;=DASHBOARD!$B$13), H19, -1000000000000)</f>
        <v/>
      </c>
      <c r="W19" s="101">
        <f>IF(AND(F19&lt;=DASHBOARD!$B$11, H19&gt;=DASHBOARD!$B$13), K19, -1000000000000)</f>
        <v/>
      </c>
      <c r="X19" s="101">
        <f>IF(AND(F19&lt;=DASHBOARD!$B$11, H19&gt;=DASHBOARD!$B$13), M19, 1000000000000)</f>
        <v/>
      </c>
      <c r="Y19" s="101">
        <f>IF(AND(F19&lt;=DASHBOARD!$B$10, H19&gt;=DASHBOARD!$B$11), L19, 1000000000000)</f>
        <v/>
      </c>
      <c r="Z19" s="101">
        <f>IF(AND(F19&lt;=DASHBOARD!$B$10, H19&gt;=DASHBOARD!$B$11), O19, 1000000000000)</f>
        <v/>
      </c>
      <c r="AA19" s="101">
        <f>IF(AND(F19&lt;=DASHBOARD!$B$10, H19&gt;=DASHBOARD!$B$11), P19, 1000000000000)</f>
        <v/>
      </c>
      <c r="AB19" s="101">
        <f>IF(AND(F19&lt;=DASHBOARD!$B$10, H19&gt;=DASHBOARD!$B$11), Q19, -1000000000000)</f>
        <v/>
      </c>
    </row>
    <row r="20" ht="12.75" customHeight="1" s="102">
      <c r="A20" s="166" t="n">
        <v>16</v>
      </c>
      <c r="B20" s="167" t="n">
        <v>0</v>
      </c>
      <c r="C20" s="167" t="n">
        <v>0.7</v>
      </c>
      <c r="D20" s="110" t="inlineStr">
        <is>
          <t>Var (%20)</t>
        </is>
      </c>
      <c r="E20" s="110">
        <f>IF((B20+C20)&lt;=1, "Tam Mahsuplaşma (≤%100)", "Kısmi Satış (&gt;%100)")</f>
        <v/>
      </c>
      <c r="F20" s="168">
        <f>((VERI_TABANI!$D$29*B20/VERI_TABANI!$B$29)/VERI_TABANI!$B$3)*VERI_TABANI!$B$5 + ((VERI_TABANI!$D$29*C20/VERI_TABANI!$B$29)/VERI_TABANI!$B$4)*VERI_TABANI!$B$6 + IF(ISNUMBER(SEARCH("Var", D20)), (VERI_TABANI!$F$29/VERI_TABANI!$B$29)*(VERI_TABANI!$B$10+VERI_TABANI!$B$12), 0)</f>
        <v/>
      </c>
      <c r="G20" s="168">
        <f>(((MIN(VERI_TABANI!D23, VERI_TABANI!D23*B20)*VERI_TABANI!$B$7 + MAX(0, VERI_TABANI!D23*B20-VERI_TABANI!D23)*VERI_TABANI!$B$8) + (MIN(MAX(0, VERI_TABANI!D23-VERI_TABANI!D23*B20), VERI_TABANI!D23*C20)*VERI_TABANI!$B$7 + MAX(0, VERI_TABANI!D23*C20-MAX(0, VERI_TABANI!D23-VERI_TABANI!D23*B20))*VERI_TABANI!$B$8) + IF(ABS(IF(ISNUMBER(SEARCH("Var", D20)), 1, IF(ISNUMBER(SEARCH("Gri", D20)), -1, 0)))=1, VERI_TABANI!E23*(1-0.928)*VERI_TABANI!$B$9, 0) + (VERI_TABANI!D23*B20*(VERI_TABANI!$B$13-VERI_TABANI!$B$14)*VERI_TABANI!G23) + (VERI_TABANI!D23*C20*(VERI_TABANI!$B$13-VERI_TABANI!$B$15)*VERI_TABANI!G23) + IF(ABS(IF(ISNUMBER(SEARCH("Var", D20)), 1, IF(ISNUMBER(SEARCH("Gri", D20)), -1, 0)))=1, VERI_TABANI!E23*(1-0.928)*0.00206091519919798*VERI_TABANI!G23, 0)) + ((MIN(VERI_TABANI!D24, VERI_TABANI!D24*B20)*VERI_TABANI!$B$7 + MAX(0, VERI_TABANI!D24*B20-VERI_TABANI!D24)*VERI_TABANI!$B$8) + (MIN(MAX(0, VERI_TABANI!D24-VERI_TABANI!D24*B20), VERI_TABANI!D24*C20)*VERI_TABANI!$B$7 + MAX(0, VERI_TABANI!D24*C20-MAX(0, VERI_TABANI!D24-VERI_TABANI!D24*B20))*VERI_TABANI!$B$8) + IF(ABS(IF(ISNUMBER(SEARCH("Var", D20)), 1, IF(ISNUMBER(SEARCH("Gri", D20)), -1, 0)))=1, VERI_TABANI!E24*(1-0.928)*VERI_TABANI!$B$9, 0) + (VERI_TABANI!D24*B20*(VERI_TABANI!$B$13-VERI_TABANI!$B$14)*VERI_TABANI!G24) + (VERI_TABANI!D24*C20*(VERI_TABANI!$B$13-VERI_TABANI!$B$15)*VERI_TABANI!G24) + IF(ABS(IF(ISNUMBER(SEARCH("Var", D20)), 1, IF(ISNUMBER(SEARCH("Gri", D20)), -1, 0)))=1, VERI_TABANI!E24*(1-0.928)*0.00206091519919798*VERI_TABANI!G24, 0)) + ((MIN(VERI_TABANI!D25, VERI_TABANI!D25*B20)*VERI_TABANI!$B$7 + MAX(0, VERI_TABANI!D25*B20-VERI_TABANI!D25)*VERI_TABANI!$B$8) + (MIN(MAX(0, VERI_TABANI!D25-VERI_TABANI!D25*B20), VERI_TABANI!D25*C20)*VERI_TABANI!$B$7 + MAX(0, VERI_TABANI!D25*C20-MAX(0, VERI_TABANI!D25-VERI_TABANI!D25*B20))*VERI_TABANI!$B$8) + IF(ABS(IF(ISNUMBER(SEARCH("Var", D20)), 1, IF(ISNUMBER(SEARCH("Gri", D20)), -1, 0)))=1, VERI_TABANI!E25*(1-0.928)*VERI_TABANI!$B$9, 0) + (VERI_TABANI!D25*B20*(VERI_TABANI!$B$13-VERI_TABANI!$B$14)*VERI_TABANI!G25) + (VERI_TABANI!D25*C20*(VERI_TABANI!$B$13-VERI_TABANI!$B$15)*VERI_TABANI!G25) + IF(ABS(IF(ISNUMBER(SEARCH("Var", D20)), 1, IF(ISNUMBER(SEARCH("Gri", D20)), -1, 0)))=1, VERI_TABANI!E25*(1-0.928)*0.00206091519919798*VERI_TABANI!G25, 0)) + ((MIN(VERI_TABANI!D26, VERI_TABANI!D26*B20)*VERI_TABANI!$B$7 + MAX(0, VERI_TABANI!D26*B20-VERI_TABANI!D26)*VERI_TABANI!$B$8) + (MIN(MAX(0, VERI_TABANI!D26-VERI_TABANI!D26*B20), VERI_TABANI!D26*C20)*VERI_TABANI!$B$7 + MAX(0, VERI_TABANI!D26*C20-MAX(0, VERI_TABANI!D26-VERI_TABANI!D26*B20))*VERI_TABANI!$B$8) + IF(ABS(IF(ISNUMBER(SEARCH("Var", D20)), 1, IF(ISNUMBER(SEARCH("Gri", D20)), -1, 0)))=1, VERI_TABANI!E26*(1-0.928)*VERI_TABANI!$B$9, 0) + (VERI_TABANI!D26*B20*(VERI_TABANI!$B$13-VERI_TABANI!$B$14)*VERI_TABANI!G26) + (VERI_TABANI!D26*C20*(VERI_TABANI!$B$13-VERI_TABANI!$B$15)*VERI_TABANI!G26) + IF(ABS(IF(ISNUMBER(SEARCH("Var", D20)), 1, IF(ISNUMBER(SEARCH("Gri", D20)), -1, 0)))=1, VERI_TABANI!E26*(1-0.928)*0.00206091519919798*VERI_TABANI!G26, 0)) + ((MIN(VERI_TABANI!D27, VERI_TABANI!D27*B20)*VERI_TABANI!$B$7 + MAX(0, VERI_TABANI!D27*B20-VERI_TABANI!D27)*VERI_TABANI!$B$8) + (MIN(MAX(0, VERI_TABANI!D27-VERI_TABANI!D27*B20), VERI_TABANI!D27*C20)*VERI_TABANI!$B$7 + MAX(0, VERI_TABANI!D27*C20-MAX(0, VERI_TABANI!D27-VERI_TABANI!D27*B20))*VERI_TABANI!$B$8) + IF(ABS(IF(ISNUMBER(SEARCH("Var", D20)), 1, IF(ISNUMBER(SEARCH("Gri", D20)), -1, 0)))=1, VERI_TABANI!E27*(1-0.928)*VERI_TABANI!$B$9, 0) + (VERI_TABANI!D27*B20*(VERI_TABANI!$B$13-VERI_TABANI!$B$14)*VERI_TABANI!G27) + (VERI_TABANI!D27*C20*(VERI_TABANI!$B$13-VERI_TABANI!$B$15)*VERI_TABANI!G27) + IF(ABS(IF(ISNUMBER(SEARCH("Var", D20)), 1, IF(ISNUMBER(SEARCH("Gri", D20)), -1, 0)))=1, VERI_TABANI!E27*(1-0.928)*0.00206091519919798*VERI_TABANI!G27, 0)) + ((MIN(VERI_TABANI!D28, VERI_TABANI!D28*B20)*VERI_TABANI!$B$7 + MAX(0, VERI_TABANI!D28*B20-VERI_TABANI!D28)*VERI_TABANI!$B$8) + (MIN(MAX(0, VERI_TABANI!D28-VERI_TABANI!D28*B20), VERI_TABANI!D28*C20)*VERI_TABANI!$B$7 + MAX(0, VERI_TABANI!D28*C20-MAX(0, VERI_TABANI!D28-VERI_TABANI!D28*B20))*VERI_TABANI!$B$8) + IF(ABS(IF(ISNUMBER(SEARCH("Var", D20)), 1, IF(ISNUMBER(SEARCH("Gri", D20)), -1, 0)))=1, VERI_TABANI!E28*(1-0.928)*VERI_TABANI!$B$9, 0) + (VERI_TABANI!D28*B20*(VERI_TABANI!$B$13-VERI_TABANI!$B$14)*VERI_TABANI!G28) + (VERI_TABANI!D28*C20*(VERI_TABANI!$B$13-VERI_TABANI!$B$15)*VERI_TABANI!G28) + IF(ABS(IF(ISNUMBER(SEARCH("Var", D20)), 1, IF(ISNUMBER(SEARCH("Gri", D20)), -1, 0)))=1, VERI_TABANI!E28*(1-0.928)*0.00206091519919798*VERI_TABANI!G28, 0)))</f>
        <v/>
      </c>
      <c r="H20" s="169">
        <f>(((VERI_TABANI!D23*B20*(VERI_TABANI!$B$13-VERI_TABANI!$B$14)) + (VERI_TABANI!D23*C20*(VERI_TABANI!$B$13-VERI_TABANI!$B$15)) + IF(ISNUMBER(SEARCH("Var", D20)), VERI_TABANI!F23*(0.00202-VERI_TABANI!$B$16), IF(ISNUMBER(SEARCH("Gri", D20)), VERI_TABANI!F23*(0.00202-VERI_TABANI!$B$17), 0))) + ((VERI_TABANI!D24*B20*(VERI_TABANI!$B$13-VERI_TABANI!$B$14)) + (VERI_TABANI!D24*C20*(VERI_TABANI!$B$13-VERI_TABANI!$B$15)) + IF(ISNUMBER(SEARCH("Var", D20)), VERI_TABANI!F24*(0.00202-VERI_TABANI!$B$16), IF(ISNUMBER(SEARCH("Gri", D20)), VERI_TABANI!F24*(0.00202-VERI_TABANI!$B$17), 0))) + ((VERI_TABANI!D25*B20*(VERI_TABANI!$B$13-VERI_TABANI!$B$14)) + (VERI_TABANI!D25*C20*(VERI_TABANI!$B$13-VERI_TABANI!$B$15)) + IF(ISNUMBER(SEARCH("Var", D20)), VERI_TABANI!F25*(0.00202-VERI_TABANI!$B$16), IF(ISNUMBER(SEARCH("Gri", D20)), VERI_TABANI!F25*(0.00202-VERI_TABANI!$B$17), 0))) + ((VERI_TABANI!D26*B20*(VERI_TABANI!$B$13-VERI_TABANI!$B$14)) + (VERI_TABANI!D26*C20*(VERI_TABANI!$B$13-VERI_TABANI!$B$15)) + IF(ISNUMBER(SEARCH("Var", D20)), VERI_TABANI!F26*(0.00202-VERI_TABANI!$B$16), IF(ISNUMBER(SEARCH("Gri", D20)), VERI_TABANI!F26*(0.00202-VERI_TABANI!$B$17), 0))) + ((VERI_TABANI!D27*B20*(VERI_TABANI!$B$13-VERI_TABANI!$B$14)) + (VERI_TABANI!D27*C20*(VERI_TABANI!$B$13-VERI_TABANI!$B$15)) + IF(ISNUMBER(SEARCH("Var", D20)), VERI_TABANI!F27*(0.00202-VERI_TABANI!$B$16), IF(ISNUMBER(SEARCH("Gri", D20)), VERI_TABANI!F27*(0.00202-VERI_TABANI!$B$17), 0))) + ((VERI_TABANI!D28*B20*(VERI_TABANI!$B$13-VERI_TABANI!$B$14)) + (VERI_TABANI!D28*C20*(VERI_TABANI!$B$13-VERI_TABANI!$B$15)) + IF(ISNUMBER(SEARCH("Var", D20)), VERI_TABANI!F28*(0.00202-VERI_TABANI!$B$16), IF(ISNUMBER(SEARCH("Gri", D20)), VERI_TABANI!F28*(0.00202-VERI_TABANI!$B$17), 0))))</f>
        <v/>
      </c>
      <c r="I20" s="170">
        <f>IFERROR(((VERI_TABANI!$D$29*B20*VERI_TABANI!$B$14 + VERI_TABANI!$D$29*C20*VERI_TABANI!$B$15 + IF(ISNUMBER(SEARCH("Var", D20)), VERI_TABANI!$F$29*VERI_TABANI!$B$16, 0))) / (((VERI_TABANI!$D$29*B20 + VERI_TABANI!$D$29*C20)*VERI_TABANI!$B$13 + IF(ISNUMBER(SEARCH("Var", D20)), VERI_TABANI!$E$29*(1-0.928)*VERI_TABANI!$B$18, 0))), 0)</f>
        <v/>
      </c>
      <c r="J20" s="171">
        <f>IFERROR(F20/(G20/29), 0)</f>
        <v/>
      </c>
      <c r="K20" s="172">
        <f>IF(F20&gt;0, H20/F20, 0)</f>
        <v/>
      </c>
      <c r="L20" s="170">
        <f>IF(F20&gt;0, I20, 1000000000)</f>
        <v/>
      </c>
      <c r="M20" s="171">
        <f>ABS((B20+C20)-1)</f>
        <v/>
      </c>
      <c r="N20" s="170">
        <f>IF(F20&gt;0, (G20/29)/F20, 0)</f>
        <v/>
      </c>
      <c r="O20" s="168">
        <f>IF(AND((B20+C20)&gt;=1, ISNUMBER(SEARCH("Var", D20))), F20, 1000000000)</f>
        <v/>
      </c>
      <c r="P20" s="172">
        <f>IF(F20&gt;0, SQRT((F20/MAX(F$5:F$886))^2 + (1 - H20/MAX(H$5:H$886))^2 + (J20/MAX(J$5:J$886))^2), 1000000000)</f>
        <v/>
      </c>
      <c r="Q20" s="166">
        <f>IF(AND(ABS(B20-0.5)&lt;0.01, ABS(C20-0.5)&lt;0.01, ISNUMBER(SEARCH("Var", D20))), 1, 0)</f>
        <v/>
      </c>
      <c r="R20" s="171">
        <f>IF(F20&gt;0, J20, 1000000000)</f>
        <v/>
      </c>
      <c r="S20" s="101">
        <f>IF(AND(F20&lt;=DASHBOARD!$B$11, H20&gt;=DASHBOARD!$B$13), G20, -1000000000000)</f>
        <v/>
      </c>
      <c r="T20" s="101">
        <f>IF(AND(F20&lt;=DASHBOARD!$B$11, H20&gt;=DASHBOARD!$B$13), R20, 1000000000000)</f>
        <v/>
      </c>
      <c r="U20" s="101">
        <f>IF(AND(F20&lt;=DASHBOARD!$B$11, H20&gt;=DASHBOARD!$B$13), N20, -1000000000000)</f>
        <v/>
      </c>
      <c r="V20" s="101">
        <f>IF(AND(F20&lt;=DASHBOARD!$B$11, H20&gt;=DASHBOARD!$B$13), H20, -1000000000000)</f>
        <v/>
      </c>
      <c r="W20" s="101">
        <f>IF(AND(F20&lt;=DASHBOARD!$B$11, H20&gt;=DASHBOARD!$B$13), K20, -1000000000000)</f>
        <v/>
      </c>
      <c r="X20" s="101">
        <f>IF(AND(F20&lt;=DASHBOARD!$B$11, H20&gt;=DASHBOARD!$B$13), M20, 1000000000000)</f>
        <v/>
      </c>
      <c r="Y20" s="101">
        <f>IF(AND(F20&lt;=DASHBOARD!$B$10, H20&gt;=DASHBOARD!$B$11), L20, 1000000000000)</f>
        <v/>
      </c>
      <c r="Z20" s="101">
        <f>IF(AND(F20&lt;=DASHBOARD!$B$10, H20&gt;=DASHBOARD!$B$11), O20, 1000000000000)</f>
        <v/>
      </c>
      <c r="AA20" s="101">
        <f>IF(AND(F20&lt;=DASHBOARD!$B$10, H20&gt;=DASHBOARD!$B$11), P20, 1000000000000)</f>
        <v/>
      </c>
      <c r="AB20" s="101">
        <f>IF(AND(F20&lt;=DASHBOARD!$B$10, H20&gt;=DASHBOARD!$B$11), Q20, -1000000000000)</f>
        <v/>
      </c>
    </row>
    <row r="21" ht="12.75" customHeight="1" s="102">
      <c r="A21" s="166" t="n">
        <v>17</v>
      </c>
      <c r="B21" s="167" t="n">
        <v>0</v>
      </c>
      <c r="C21" s="167" t="n">
        <v>0.8</v>
      </c>
      <c r="D21" s="110" t="inlineStr">
        <is>
          <t>Yok (%0)</t>
        </is>
      </c>
      <c r="E21" s="110">
        <f>IF((B21+C21)&lt;=1, "Tam Mahsuplaşma (≤%100)", "Kısmi Satış (&gt;%100)")</f>
        <v/>
      </c>
      <c r="F21" s="168">
        <f>((VERI_TABANI!$D$29*B21/VERI_TABANI!$B$29)/VERI_TABANI!$B$3)*VERI_TABANI!$B$5 + ((VERI_TABANI!$D$29*C21/VERI_TABANI!$B$29)/VERI_TABANI!$B$4)*VERI_TABANI!$B$6 + IF(ISNUMBER(SEARCH("Var", D21)), (VERI_TABANI!$F$29/VERI_TABANI!$B$29)*(VERI_TABANI!$B$10+VERI_TABANI!$B$12), 0)</f>
        <v/>
      </c>
      <c r="G21" s="168">
        <f>(((MIN(VERI_TABANI!D23, VERI_TABANI!D23*B21)*VERI_TABANI!$B$7 + MAX(0, VERI_TABANI!D23*B21-VERI_TABANI!D23)*VERI_TABANI!$B$8) + (MIN(MAX(0, VERI_TABANI!D23-VERI_TABANI!D23*B21), VERI_TABANI!D23*C21)*VERI_TABANI!$B$7 + MAX(0, VERI_TABANI!D23*C21-MAX(0, VERI_TABANI!D23-VERI_TABANI!D23*B21))*VERI_TABANI!$B$8) + IF(ABS(IF(ISNUMBER(SEARCH("Var", D21)), 1, IF(ISNUMBER(SEARCH("Gri", D21)), -1, 0)))=1, VERI_TABANI!E23*(1-0.928)*VERI_TABANI!$B$9, 0) + (VERI_TABANI!D23*B21*(VERI_TABANI!$B$13-VERI_TABANI!$B$14)*VERI_TABANI!G23) + (VERI_TABANI!D23*C21*(VERI_TABANI!$B$13-VERI_TABANI!$B$15)*VERI_TABANI!G23) + IF(ABS(IF(ISNUMBER(SEARCH("Var", D21)), 1, IF(ISNUMBER(SEARCH("Gri", D21)), -1, 0)))=1, VERI_TABANI!E23*(1-0.928)*0.00206091519919798*VERI_TABANI!G23, 0)) + ((MIN(VERI_TABANI!D24, VERI_TABANI!D24*B21)*VERI_TABANI!$B$7 + MAX(0, VERI_TABANI!D24*B21-VERI_TABANI!D24)*VERI_TABANI!$B$8) + (MIN(MAX(0, VERI_TABANI!D24-VERI_TABANI!D24*B21), VERI_TABANI!D24*C21)*VERI_TABANI!$B$7 + MAX(0, VERI_TABANI!D24*C21-MAX(0, VERI_TABANI!D24-VERI_TABANI!D24*B21))*VERI_TABANI!$B$8) + IF(ABS(IF(ISNUMBER(SEARCH("Var", D21)), 1, IF(ISNUMBER(SEARCH("Gri", D21)), -1, 0)))=1, VERI_TABANI!E24*(1-0.928)*VERI_TABANI!$B$9, 0) + (VERI_TABANI!D24*B21*(VERI_TABANI!$B$13-VERI_TABANI!$B$14)*VERI_TABANI!G24) + (VERI_TABANI!D24*C21*(VERI_TABANI!$B$13-VERI_TABANI!$B$15)*VERI_TABANI!G24) + IF(ABS(IF(ISNUMBER(SEARCH("Var", D21)), 1, IF(ISNUMBER(SEARCH("Gri", D21)), -1, 0)))=1, VERI_TABANI!E24*(1-0.928)*0.00206091519919798*VERI_TABANI!G24, 0)) + ((MIN(VERI_TABANI!D25, VERI_TABANI!D25*B21)*VERI_TABANI!$B$7 + MAX(0, VERI_TABANI!D25*B21-VERI_TABANI!D25)*VERI_TABANI!$B$8) + (MIN(MAX(0, VERI_TABANI!D25-VERI_TABANI!D25*B21), VERI_TABANI!D25*C21)*VERI_TABANI!$B$7 + MAX(0, VERI_TABANI!D25*C21-MAX(0, VERI_TABANI!D25-VERI_TABANI!D25*B21))*VERI_TABANI!$B$8) + IF(ABS(IF(ISNUMBER(SEARCH("Var", D21)), 1, IF(ISNUMBER(SEARCH("Gri", D21)), -1, 0)))=1, VERI_TABANI!E25*(1-0.928)*VERI_TABANI!$B$9, 0) + (VERI_TABANI!D25*B21*(VERI_TABANI!$B$13-VERI_TABANI!$B$14)*VERI_TABANI!G25) + (VERI_TABANI!D25*C21*(VERI_TABANI!$B$13-VERI_TABANI!$B$15)*VERI_TABANI!G25) + IF(ABS(IF(ISNUMBER(SEARCH("Var", D21)), 1, IF(ISNUMBER(SEARCH("Gri", D21)), -1, 0)))=1, VERI_TABANI!E25*(1-0.928)*0.00206091519919798*VERI_TABANI!G25, 0)) + ((MIN(VERI_TABANI!D26, VERI_TABANI!D26*B21)*VERI_TABANI!$B$7 + MAX(0, VERI_TABANI!D26*B21-VERI_TABANI!D26)*VERI_TABANI!$B$8) + (MIN(MAX(0, VERI_TABANI!D26-VERI_TABANI!D26*B21), VERI_TABANI!D26*C21)*VERI_TABANI!$B$7 + MAX(0, VERI_TABANI!D26*C21-MAX(0, VERI_TABANI!D26-VERI_TABANI!D26*B21))*VERI_TABANI!$B$8) + IF(ABS(IF(ISNUMBER(SEARCH("Var", D21)), 1, IF(ISNUMBER(SEARCH("Gri", D21)), -1, 0)))=1, VERI_TABANI!E26*(1-0.928)*VERI_TABANI!$B$9, 0) + (VERI_TABANI!D26*B21*(VERI_TABANI!$B$13-VERI_TABANI!$B$14)*VERI_TABANI!G26) + (VERI_TABANI!D26*C21*(VERI_TABANI!$B$13-VERI_TABANI!$B$15)*VERI_TABANI!G26) + IF(ABS(IF(ISNUMBER(SEARCH("Var", D21)), 1, IF(ISNUMBER(SEARCH("Gri", D21)), -1, 0)))=1, VERI_TABANI!E26*(1-0.928)*0.00206091519919798*VERI_TABANI!G26, 0)) + ((MIN(VERI_TABANI!D27, VERI_TABANI!D27*B21)*VERI_TABANI!$B$7 + MAX(0, VERI_TABANI!D27*B21-VERI_TABANI!D27)*VERI_TABANI!$B$8) + (MIN(MAX(0, VERI_TABANI!D27-VERI_TABANI!D27*B21), VERI_TABANI!D27*C21)*VERI_TABANI!$B$7 + MAX(0, VERI_TABANI!D27*C21-MAX(0, VERI_TABANI!D27-VERI_TABANI!D27*B21))*VERI_TABANI!$B$8) + IF(ABS(IF(ISNUMBER(SEARCH("Var", D21)), 1, IF(ISNUMBER(SEARCH("Gri", D21)), -1, 0)))=1, VERI_TABANI!E27*(1-0.928)*VERI_TABANI!$B$9, 0) + (VERI_TABANI!D27*B21*(VERI_TABANI!$B$13-VERI_TABANI!$B$14)*VERI_TABANI!G27) + (VERI_TABANI!D27*C21*(VERI_TABANI!$B$13-VERI_TABANI!$B$15)*VERI_TABANI!G27) + IF(ABS(IF(ISNUMBER(SEARCH("Var", D21)), 1, IF(ISNUMBER(SEARCH("Gri", D21)), -1, 0)))=1, VERI_TABANI!E27*(1-0.928)*0.00206091519919798*VERI_TABANI!G27, 0)) + ((MIN(VERI_TABANI!D28, VERI_TABANI!D28*B21)*VERI_TABANI!$B$7 + MAX(0, VERI_TABANI!D28*B21-VERI_TABANI!D28)*VERI_TABANI!$B$8) + (MIN(MAX(0, VERI_TABANI!D28-VERI_TABANI!D28*B21), VERI_TABANI!D28*C21)*VERI_TABANI!$B$7 + MAX(0, VERI_TABANI!D28*C21-MAX(0, VERI_TABANI!D28-VERI_TABANI!D28*B21))*VERI_TABANI!$B$8) + IF(ABS(IF(ISNUMBER(SEARCH("Var", D21)), 1, IF(ISNUMBER(SEARCH("Gri", D21)), -1, 0)))=1, VERI_TABANI!E28*(1-0.928)*VERI_TABANI!$B$9, 0) + (VERI_TABANI!D28*B21*(VERI_TABANI!$B$13-VERI_TABANI!$B$14)*VERI_TABANI!G28) + (VERI_TABANI!D28*C21*(VERI_TABANI!$B$13-VERI_TABANI!$B$15)*VERI_TABANI!G28) + IF(ABS(IF(ISNUMBER(SEARCH("Var", D21)), 1, IF(ISNUMBER(SEARCH("Gri", D21)), -1, 0)))=1, VERI_TABANI!E28*(1-0.928)*0.00206091519919798*VERI_TABANI!G28, 0)))</f>
        <v/>
      </c>
      <c r="H21" s="169">
        <f>(((VERI_TABANI!D23*B21*(VERI_TABANI!$B$13-VERI_TABANI!$B$14)) + (VERI_TABANI!D23*C21*(VERI_TABANI!$B$13-VERI_TABANI!$B$15)) + IF(ISNUMBER(SEARCH("Var", D21)), VERI_TABANI!F23*(0.00202-VERI_TABANI!$B$16), IF(ISNUMBER(SEARCH("Gri", D21)), VERI_TABANI!F23*(0.00202-VERI_TABANI!$B$17), 0))) + ((VERI_TABANI!D24*B21*(VERI_TABANI!$B$13-VERI_TABANI!$B$14)) + (VERI_TABANI!D24*C21*(VERI_TABANI!$B$13-VERI_TABANI!$B$15)) + IF(ISNUMBER(SEARCH("Var", D21)), VERI_TABANI!F24*(0.00202-VERI_TABANI!$B$16), IF(ISNUMBER(SEARCH("Gri", D21)), VERI_TABANI!F24*(0.00202-VERI_TABANI!$B$17), 0))) + ((VERI_TABANI!D25*B21*(VERI_TABANI!$B$13-VERI_TABANI!$B$14)) + (VERI_TABANI!D25*C21*(VERI_TABANI!$B$13-VERI_TABANI!$B$15)) + IF(ISNUMBER(SEARCH("Var", D21)), VERI_TABANI!F25*(0.00202-VERI_TABANI!$B$16), IF(ISNUMBER(SEARCH("Gri", D21)), VERI_TABANI!F25*(0.00202-VERI_TABANI!$B$17), 0))) + ((VERI_TABANI!D26*B21*(VERI_TABANI!$B$13-VERI_TABANI!$B$14)) + (VERI_TABANI!D26*C21*(VERI_TABANI!$B$13-VERI_TABANI!$B$15)) + IF(ISNUMBER(SEARCH("Var", D21)), VERI_TABANI!F26*(0.00202-VERI_TABANI!$B$16), IF(ISNUMBER(SEARCH("Gri", D21)), VERI_TABANI!F26*(0.00202-VERI_TABANI!$B$17), 0))) + ((VERI_TABANI!D27*B21*(VERI_TABANI!$B$13-VERI_TABANI!$B$14)) + (VERI_TABANI!D27*C21*(VERI_TABANI!$B$13-VERI_TABANI!$B$15)) + IF(ISNUMBER(SEARCH("Var", D21)), VERI_TABANI!F27*(0.00202-VERI_TABANI!$B$16), IF(ISNUMBER(SEARCH("Gri", D21)), VERI_TABANI!F27*(0.00202-VERI_TABANI!$B$17), 0))) + ((VERI_TABANI!D28*B21*(VERI_TABANI!$B$13-VERI_TABANI!$B$14)) + (VERI_TABANI!D28*C21*(VERI_TABANI!$B$13-VERI_TABANI!$B$15)) + IF(ISNUMBER(SEARCH("Var", D21)), VERI_TABANI!F28*(0.00202-VERI_TABANI!$B$16), IF(ISNUMBER(SEARCH("Gri", D21)), VERI_TABANI!F28*(0.00202-VERI_TABANI!$B$17), 0))))</f>
        <v/>
      </c>
      <c r="I21" s="170">
        <f>IFERROR(((VERI_TABANI!$D$29*B21*VERI_TABANI!$B$14 + VERI_TABANI!$D$29*C21*VERI_TABANI!$B$15 + IF(ISNUMBER(SEARCH("Var", D21)), VERI_TABANI!$F$29*VERI_TABANI!$B$16, 0))) / (((VERI_TABANI!$D$29*B21 + VERI_TABANI!$D$29*C21)*VERI_TABANI!$B$13 + IF(ISNUMBER(SEARCH("Var", D21)), VERI_TABANI!$E$29*(1-0.928)*VERI_TABANI!$B$18, 0))), 0)</f>
        <v/>
      </c>
      <c r="J21" s="171">
        <f>IFERROR(F21/(G21/29), 0)</f>
        <v/>
      </c>
      <c r="K21" s="172">
        <f>IF(F21&gt;0, H21/F21, 0)</f>
        <v/>
      </c>
      <c r="L21" s="170">
        <f>IF(F21&gt;0, I21, 1000000000)</f>
        <v/>
      </c>
      <c r="M21" s="171">
        <f>ABS((B21+C21)-1)</f>
        <v/>
      </c>
      <c r="N21" s="170">
        <f>IF(F21&gt;0, (G21/29)/F21, 0)</f>
        <v/>
      </c>
      <c r="O21" s="168">
        <f>IF(AND((B21+C21)&gt;=1, ISNUMBER(SEARCH("Var", D21))), F21, 1000000000)</f>
        <v/>
      </c>
      <c r="P21" s="172">
        <f>IF(F21&gt;0, SQRT((F21/MAX(F$5:F$886))^2 + (1 - H21/MAX(H$5:H$886))^2 + (J21/MAX(J$5:J$886))^2), 1000000000)</f>
        <v/>
      </c>
      <c r="Q21" s="166">
        <f>IF(AND(ABS(B21-0.5)&lt;0.01, ABS(C21-0.5)&lt;0.01, ISNUMBER(SEARCH("Var", D21))), 1, 0)</f>
        <v/>
      </c>
      <c r="R21" s="171">
        <f>IF(F21&gt;0, J21, 1000000000)</f>
        <v/>
      </c>
      <c r="S21" s="101">
        <f>IF(AND(F21&lt;=DASHBOARD!$B$11, H21&gt;=DASHBOARD!$B$13), G21, -1000000000000)</f>
        <v/>
      </c>
      <c r="T21" s="101">
        <f>IF(AND(F21&lt;=DASHBOARD!$B$11, H21&gt;=DASHBOARD!$B$13), R21, 1000000000000)</f>
        <v/>
      </c>
      <c r="U21" s="101">
        <f>IF(AND(F21&lt;=DASHBOARD!$B$11, H21&gt;=DASHBOARD!$B$13), N21, -1000000000000)</f>
        <v/>
      </c>
      <c r="V21" s="101">
        <f>IF(AND(F21&lt;=DASHBOARD!$B$11, H21&gt;=DASHBOARD!$B$13), H21, -1000000000000)</f>
        <v/>
      </c>
      <c r="W21" s="101">
        <f>IF(AND(F21&lt;=DASHBOARD!$B$11, H21&gt;=DASHBOARD!$B$13), K21, -1000000000000)</f>
        <v/>
      </c>
      <c r="X21" s="101">
        <f>IF(AND(F21&lt;=DASHBOARD!$B$11, H21&gt;=DASHBOARD!$B$13), M21, 1000000000000)</f>
        <v/>
      </c>
      <c r="Y21" s="101">
        <f>IF(AND(F21&lt;=DASHBOARD!$B$10, H21&gt;=DASHBOARD!$B$11), L21, 1000000000000)</f>
        <v/>
      </c>
      <c r="Z21" s="101">
        <f>IF(AND(F21&lt;=DASHBOARD!$B$10, H21&gt;=DASHBOARD!$B$11), O21, 1000000000000)</f>
        <v/>
      </c>
      <c r="AA21" s="101">
        <f>IF(AND(F21&lt;=DASHBOARD!$B$10, H21&gt;=DASHBOARD!$B$11), P21, 1000000000000)</f>
        <v/>
      </c>
      <c r="AB21" s="101">
        <f>IF(AND(F21&lt;=DASHBOARD!$B$10, H21&gt;=DASHBOARD!$B$11), Q21, -1000000000000)</f>
        <v/>
      </c>
    </row>
    <row r="22" ht="12.75" customHeight="1" s="102">
      <c r="A22" s="166" t="n">
        <v>18</v>
      </c>
      <c r="B22" s="167" t="n">
        <v>0</v>
      </c>
      <c r="C22" s="167" t="n">
        <v>0.8</v>
      </c>
      <c r="D22" s="110" t="inlineStr">
        <is>
          <t>Var (%20)</t>
        </is>
      </c>
      <c r="E22" s="110">
        <f>IF((B22+C22)&lt;=1, "Tam Mahsuplaşma (≤%100)", "Kısmi Satış (&gt;%100)")</f>
        <v/>
      </c>
      <c r="F22" s="168">
        <f>((VERI_TABANI!$D$29*B22/VERI_TABANI!$B$29)/VERI_TABANI!$B$3)*VERI_TABANI!$B$5 + ((VERI_TABANI!$D$29*C22/VERI_TABANI!$B$29)/VERI_TABANI!$B$4)*VERI_TABANI!$B$6 + IF(ISNUMBER(SEARCH("Var", D22)), (VERI_TABANI!$F$29/VERI_TABANI!$B$29)*(VERI_TABANI!$B$10+VERI_TABANI!$B$12), 0)</f>
        <v/>
      </c>
      <c r="G22" s="168">
        <f>(((MIN(VERI_TABANI!D23, VERI_TABANI!D23*B22)*VERI_TABANI!$B$7 + MAX(0, VERI_TABANI!D23*B22-VERI_TABANI!D23)*VERI_TABANI!$B$8) + (MIN(MAX(0, VERI_TABANI!D23-VERI_TABANI!D23*B22), VERI_TABANI!D23*C22)*VERI_TABANI!$B$7 + MAX(0, VERI_TABANI!D23*C22-MAX(0, VERI_TABANI!D23-VERI_TABANI!D23*B22))*VERI_TABANI!$B$8) + IF(ABS(IF(ISNUMBER(SEARCH("Var", D22)), 1, IF(ISNUMBER(SEARCH("Gri", D22)), -1, 0)))=1, VERI_TABANI!E23*(1-0.928)*VERI_TABANI!$B$9, 0) + (VERI_TABANI!D23*B22*(VERI_TABANI!$B$13-VERI_TABANI!$B$14)*VERI_TABANI!G23) + (VERI_TABANI!D23*C22*(VERI_TABANI!$B$13-VERI_TABANI!$B$15)*VERI_TABANI!G23) + IF(ABS(IF(ISNUMBER(SEARCH("Var", D22)), 1, IF(ISNUMBER(SEARCH("Gri", D22)), -1, 0)))=1, VERI_TABANI!E23*(1-0.928)*0.00206091519919798*VERI_TABANI!G23, 0)) + ((MIN(VERI_TABANI!D24, VERI_TABANI!D24*B22)*VERI_TABANI!$B$7 + MAX(0, VERI_TABANI!D24*B22-VERI_TABANI!D24)*VERI_TABANI!$B$8) + (MIN(MAX(0, VERI_TABANI!D24-VERI_TABANI!D24*B22), VERI_TABANI!D24*C22)*VERI_TABANI!$B$7 + MAX(0, VERI_TABANI!D24*C22-MAX(0, VERI_TABANI!D24-VERI_TABANI!D24*B22))*VERI_TABANI!$B$8) + IF(ABS(IF(ISNUMBER(SEARCH("Var", D22)), 1, IF(ISNUMBER(SEARCH("Gri", D22)), -1, 0)))=1, VERI_TABANI!E24*(1-0.928)*VERI_TABANI!$B$9, 0) + (VERI_TABANI!D24*B22*(VERI_TABANI!$B$13-VERI_TABANI!$B$14)*VERI_TABANI!G24) + (VERI_TABANI!D24*C22*(VERI_TABANI!$B$13-VERI_TABANI!$B$15)*VERI_TABANI!G24) + IF(ABS(IF(ISNUMBER(SEARCH("Var", D22)), 1, IF(ISNUMBER(SEARCH("Gri", D22)), -1, 0)))=1, VERI_TABANI!E24*(1-0.928)*0.00206091519919798*VERI_TABANI!G24, 0)) + ((MIN(VERI_TABANI!D25, VERI_TABANI!D25*B22)*VERI_TABANI!$B$7 + MAX(0, VERI_TABANI!D25*B22-VERI_TABANI!D25)*VERI_TABANI!$B$8) + (MIN(MAX(0, VERI_TABANI!D25-VERI_TABANI!D25*B22), VERI_TABANI!D25*C22)*VERI_TABANI!$B$7 + MAX(0, VERI_TABANI!D25*C22-MAX(0, VERI_TABANI!D25-VERI_TABANI!D25*B22))*VERI_TABANI!$B$8) + IF(ABS(IF(ISNUMBER(SEARCH("Var", D22)), 1, IF(ISNUMBER(SEARCH("Gri", D22)), -1, 0)))=1, VERI_TABANI!E25*(1-0.928)*VERI_TABANI!$B$9, 0) + (VERI_TABANI!D25*B22*(VERI_TABANI!$B$13-VERI_TABANI!$B$14)*VERI_TABANI!G25) + (VERI_TABANI!D25*C22*(VERI_TABANI!$B$13-VERI_TABANI!$B$15)*VERI_TABANI!G25) + IF(ABS(IF(ISNUMBER(SEARCH("Var", D22)), 1, IF(ISNUMBER(SEARCH("Gri", D22)), -1, 0)))=1, VERI_TABANI!E25*(1-0.928)*0.00206091519919798*VERI_TABANI!G25, 0)) + ((MIN(VERI_TABANI!D26, VERI_TABANI!D26*B22)*VERI_TABANI!$B$7 + MAX(0, VERI_TABANI!D26*B22-VERI_TABANI!D26)*VERI_TABANI!$B$8) + (MIN(MAX(0, VERI_TABANI!D26-VERI_TABANI!D26*B22), VERI_TABANI!D26*C22)*VERI_TABANI!$B$7 + MAX(0, VERI_TABANI!D26*C22-MAX(0, VERI_TABANI!D26-VERI_TABANI!D26*B22))*VERI_TABANI!$B$8) + IF(ABS(IF(ISNUMBER(SEARCH("Var", D22)), 1, IF(ISNUMBER(SEARCH("Gri", D22)), -1, 0)))=1, VERI_TABANI!E26*(1-0.928)*VERI_TABANI!$B$9, 0) + (VERI_TABANI!D26*B22*(VERI_TABANI!$B$13-VERI_TABANI!$B$14)*VERI_TABANI!G26) + (VERI_TABANI!D26*C22*(VERI_TABANI!$B$13-VERI_TABANI!$B$15)*VERI_TABANI!G26) + IF(ABS(IF(ISNUMBER(SEARCH("Var", D22)), 1, IF(ISNUMBER(SEARCH("Gri", D22)), -1, 0)))=1, VERI_TABANI!E26*(1-0.928)*0.00206091519919798*VERI_TABANI!G26, 0)) + ((MIN(VERI_TABANI!D27, VERI_TABANI!D27*B22)*VERI_TABANI!$B$7 + MAX(0, VERI_TABANI!D27*B22-VERI_TABANI!D27)*VERI_TABANI!$B$8) + (MIN(MAX(0, VERI_TABANI!D27-VERI_TABANI!D27*B22), VERI_TABANI!D27*C22)*VERI_TABANI!$B$7 + MAX(0, VERI_TABANI!D27*C22-MAX(0, VERI_TABANI!D27-VERI_TABANI!D27*B22))*VERI_TABANI!$B$8) + IF(ABS(IF(ISNUMBER(SEARCH("Var", D22)), 1, IF(ISNUMBER(SEARCH("Gri", D22)), -1, 0)))=1, VERI_TABANI!E27*(1-0.928)*VERI_TABANI!$B$9, 0) + (VERI_TABANI!D27*B22*(VERI_TABANI!$B$13-VERI_TABANI!$B$14)*VERI_TABANI!G27) + (VERI_TABANI!D27*C22*(VERI_TABANI!$B$13-VERI_TABANI!$B$15)*VERI_TABANI!G27) + IF(ABS(IF(ISNUMBER(SEARCH("Var", D22)), 1, IF(ISNUMBER(SEARCH("Gri", D22)), -1, 0)))=1, VERI_TABANI!E27*(1-0.928)*0.00206091519919798*VERI_TABANI!G27, 0)) + ((MIN(VERI_TABANI!D28, VERI_TABANI!D28*B22)*VERI_TABANI!$B$7 + MAX(0, VERI_TABANI!D28*B22-VERI_TABANI!D28)*VERI_TABANI!$B$8) + (MIN(MAX(0, VERI_TABANI!D28-VERI_TABANI!D28*B22), VERI_TABANI!D28*C22)*VERI_TABANI!$B$7 + MAX(0, VERI_TABANI!D28*C22-MAX(0, VERI_TABANI!D28-VERI_TABANI!D28*B22))*VERI_TABANI!$B$8) + IF(ABS(IF(ISNUMBER(SEARCH("Var", D22)), 1, IF(ISNUMBER(SEARCH("Gri", D22)), -1, 0)))=1, VERI_TABANI!E28*(1-0.928)*VERI_TABANI!$B$9, 0) + (VERI_TABANI!D28*B22*(VERI_TABANI!$B$13-VERI_TABANI!$B$14)*VERI_TABANI!G28) + (VERI_TABANI!D28*C22*(VERI_TABANI!$B$13-VERI_TABANI!$B$15)*VERI_TABANI!G28) + IF(ABS(IF(ISNUMBER(SEARCH("Var", D22)), 1, IF(ISNUMBER(SEARCH("Gri", D22)), -1, 0)))=1, VERI_TABANI!E28*(1-0.928)*0.00206091519919798*VERI_TABANI!G28, 0)))</f>
        <v/>
      </c>
      <c r="H22" s="169">
        <f>(((VERI_TABANI!D23*B22*(VERI_TABANI!$B$13-VERI_TABANI!$B$14)) + (VERI_TABANI!D23*C22*(VERI_TABANI!$B$13-VERI_TABANI!$B$15)) + IF(ISNUMBER(SEARCH("Var", D22)), VERI_TABANI!F23*(0.00202-VERI_TABANI!$B$16), IF(ISNUMBER(SEARCH("Gri", D22)), VERI_TABANI!F23*(0.00202-VERI_TABANI!$B$17), 0))) + ((VERI_TABANI!D24*B22*(VERI_TABANI!$B$13-VERI_TABANI!$B$14)) + (VERI_TABANI!D24*C22*(VERI_TABANI!$B$13-VERI_TABANI!$B$15)) + IF(ISNUMBER(SEARCH("Var", D22)), VERI_TABANI!F24*(0.00202-VERI_TABANI!$B$16), IF(ISNUMBER(SEARCH("Gri", D22)), VERI_TABANI!F24*(0.00202-VERI_TABANI!$B$17), 0))) + ((VERI_TABANI!D25*B22*(VERI_TABANI!$B$13-VERI_TABANI!$B$14)) + (VERI_TABANI!D25*C22*(VERI_TABANI!$B$13-VERI_TABANI!$B$15)) + IF(ISNUMBER(SEARCH("Var", D22)), VERI_TABANI!F25*(0.00202-VERI_TABANI!$B$16), IF(ISNUMBER(SEARCH("Gri", D22)), VERI_TABANI!F25*(0.00202-VERI_TABANI!$B$17), 0))) + ((VERI_TABANI!D26*B22*(VERI_TABANI!$B$13-VERI_TABANI!$B$14)) + (VERI_TABANI!D26*C22*(VERI_TABANI!$B$13-VERI_TABANI!$B$15)) + IF(ISNUMBER(SEARCH("Var", D22)), VERI_TABANI!F26*(0.00202-VERI_TABANI!$B$16), IF(ISNUMBER(SEARCH("Gri", D22)), VERI_TABANI!F26*(0.00202-VERI_TABANI!$B$17), 0))) + ((VERI_TABANI!D27*B22*(VERI_TABANI!$B$13-VERI_TABANI!$B$14)) + (VERI_TABANI!D27*C22*(VERI_TABANI!$B$13-VERI_TABANI!$B$15)) + IF(ISNUMBER(SEARCH("Var", D22)), VERI_TABANI!F27*(0.00202-VERI_TABANI!$B$16), IF(ISNUMBER(SEARCH("Gri", D22)), VERI_TABANI!F27*(0.00202-VERI_TABANI!$B$17), 0))) + ((VERI_TABANI!D28*B22*(VERI_TABANI!$B$13-VERI_TABANI!$B$14)) + (VERI_TABANI!D28*C22*(VERI_TABANI!$B$13-VERI_TABANI!$B$15)) + IF(ISNUMBER(SEARCH("Var", D22)), VERI_TABANI!F28*(0.00202-VERI_TABANI!$B$16), IF(ISNUMBER(SEARCH("Gri", D22)), VERI_TABANI!F28*(0.00202-VERI_TABANI!$B$17), 0))))</f>
        <v/>
      </c>
      <c r="I22" s="170">
        <f>IFERROR(((VERI_TABANI!$D$29*B22*VERI_TABANI!$B$14 + VERI_TABANI!$D$29*C22*VERI_TABANI!$B$15 + IF(ISNUMBER(SEARCH("Var", D22)), VERI_TABANI!$F$29*VERI_TABANI!$B$16, 0))) / (((VERI_TABANI!$D$29*B22 + VERI_TABANI!$D$29*C22)*VERI_TABANI!$B$13 + IF(ISNUMBER(SEARCH("Var", D22)), VERI_TABANI!$E$29*(1-0.928)*VERI_TABANI!$B$18, 0))), 0)</f>
        <v/>
      </c>
      <c r="J22" s="171">
        <f>IFERROR(F22/(G22/29), 0)</f>
        <v/>
      </c>
      <c r="K22" s="172">
        <f>IF(F22&gt;0, H22/F22, 0)</f>
        <v/>
      </c>
      <c r="L22" s="170">
        <f>IF(F22&gt;0, I22, 1000000000)</f>
        <v/>
      </c>
      <c r="M22" s="171">
        <f>ABS((B22+C22)-1)</f>
        <v/>
      </c>
      <c r="N22" s="170">
        <f>IF(F22&gt;0, (G22/29)/F22, 0)</f>
        <v/>
      </c>
      <c r="O22" s="168">
        <f>IF(AND((B22+C22)&gt;=1, ISNUMBER(SEARCH("Var", D22))), F22, 1000000000)</f>
        <v/>
      </c>
      <c r="P22" s="172">
        <f>IF(F22&gt;0, SQRT((F22/MAX(F$5:F$886))^2 + (1 - H22/MAX(H$5:H$886))^2 + (J22/MAX(J$5:J$886))^2), 1000000000)</f>
        <v/>
      </c>
      <c r="Q22" s="166">
        <f>IF(AND(ABS(B22-0.5)&lt;0.01, ABS(C22-0.5)&lt;0.01, ISNUMBER(SEARCH("Var", D22))), 1, 0)</f>
        <v/>
      </c>
      <c r="R22" s="171">
        <f>IF(F22&gt;0, J22, 1000000000)</f>
        <v/>
      </c>
      <c r="S22" s="101">
        <f>IF(AND(F22&lt;=DASHBOARD!$B$11, H22&gt;=DASHBOARD!$B$13), G22, -1000000000000)</f>
        <v/>
      </c>
      <c r="T22" s="101">
        <f>IF(AND(F22&lt;=DASHBOARD!$B$11, H22&gt;=DASHBOARD!$B$13), R22, 1000000000000)</f>
        <v/>
      </c>
      <c r="U22" s="101">
        <f>IF(AND(F22&lt;=DASHBOARD!$B$11, H22&gt;=DASHBOARD!$B$13), N22, -1000000000000)</f>
        <v/>
      </c>
      <c r="V22" s="101">
        <f>IF(AND(F22&lt;=DASHBOARD!$B$11, H22&gt;=DASHBOARD!$B$13), H22, -1000000000000)</f>
        <v/>
      </c>
      <c r="W22" s="101">
        <f>IF(AND(F22&lt;=DASHBOARD!$B$11, H22&gt;=DASHBOARD!$B$13), K22, -1000000000000)</f>
        <v/>
      </c>
      <c r="X22" s="101">
        <f>IF(AND(F22&lt;=DASHBOARD!$B$11, H22&gt;=DASHBOARD!$B$13), M22, 1000000000000)</f>
        <v/>
      </c>
      <c r="Y22" s="101">
        <f>IF(AND(F22&lt;=DASHBOARD!$B$10, H22&gt;=DASHBOARD!$B$11), L22, 1000000000000)</f>
        <v/>
      </c>
      <c r="Z22" s="101">
        <f>IF(AND(F22&lt;=DASHBOARD!$B$10, H22&gt;=DASHBOARD!$B$11), O22, 1000000000000)</f>
        <v/>
      </c>
      <c r="AA22" s="101">
        <f>IF(AND(F22&lt;=DASHBOARD!$B$10, H22&gt;=DASHBOARD!$B$11), P22, 1000000000000)</f>
        <v/>
      </c>
      <c r="AB22" s="101">
        <f>IF(AND(F22&lt;=DASHBOARD!$B$10, H22&gt;=DASHBOARD!$B$11), Q22, -1000000000000)</f>
        <v/>
      </c>
    </row>
    <row r="23" ht="12.75" customHeight="1" s="102">
      <c r="A23" s="166" t="n">
        <v>19</v>
      </c>
      <c r="B23" s="167" t="n">
        <v>0</v>
      </c>
      <c r="C23" s="167" t="n">
        <v>0.9</v>
      </c>
      <c r="D23" s="110" t="inlineStr">
        <is>
          <t>Yok (%0)</t>
        </is>
      </c>
      <c r="E23" s="110">
        <f>IF((B23+C23)&lt;=1, "Tam Mahsuplaşma (≤%100)", "Kısmi Satış (&gt;%100)")</f>
        <v/>
      </c>
      <c r="F23" s="168">
        <f>((VERI_TABANI!$D$29*B23/VERI_TABANI!$B$29)/VERI_TABANI!$B$3)*VERI_TABANI!$B$5 + ((VERI_TABANI!$D$29*C23/VERI_TABANI!$B$29)/VERI_TABANI!$B$4)*VERI_TABANI!$B$6 + IF(ISNUMBER(SEARCH("Var", D23)), (VERI_TABANI!$F$29/VERI_TABANI!$B$29)*(VERI_TABANI!$B$10+VERI_TABANI!$B$12), 0)</f>
        <v/>
      </c>
      <c r="G23" s="168">
        <f>(((MIN(VERI_TABANI!D23, VERI_TABANI!D23*B23)*VERI_TABANI!$B$7 + MAX(0, VERI_TABANI!D23*B23-VERI_TABANI!D23)*VERI_TABANI!$B$8) + (MIN(MAX(0, VERI_TABANI!D23-VERI_TABANI!D23*B23), VERI_TABANI!D23*C23)*VERI_TABANI!$B$7 + MAX(0, VERI_TABANI!D23*C23-MAX(0, VERI_TABANI!D23-VERI_TABANI!D23*B23))*VERI_TABANI!$B$8) + IF(ABS(IF(ISNUMBER(SEARCH("Var", D23)), 1, IF(ISNUMBER(SEARCH("Gri", D23)), -1, 0)))=1, VERI_TABANI!E23*(1-0.928)*VERI_TABANI!$B$9, 0) + (VERI_TABANI!D23*B23*(VERI_TABANI!$B$13-VERI_TABANI!$B$14)*VERI_TABANI!G23) + (VERI_TABANI!D23*C23*(VERI_TABANI!$B$13-VERI_TABANI!$B$15)*VERI_TABANI!G23) + IF(ABS(IF(ISNUMBER(SEARCH("Var", D23)), 1, IF(ISNUMBER(SEARCH("Gri", D23)), -1, 0)))=1, VERI_TABANI!E23*(1-0.928)*0.00206091519919798*VERI_TABANI!G23, 0)) + ((MIN(VERI_TABANI!D24, VERI_TABANI!D24*B23)*VERI_TABANI!$B$7 + MAX(0, VERI_TABANI!D24*B23-VERI_TABANI!D24)*VERI_TABANI!$B$8) + (MIN(MAX(0, VERI_TABANI!D24-VERI_TABANI!D24*B23), VERI_TABANI!D24*C23)*VERI_TABANI!$B$7 + MAX(0, VERI_TABANI!D24*C23-MAX(0, VERI_TABANI!D24-VERI_TABANI!D24*B23))*VERI_TABANI!$B$8) + IF(ABS(IF(ISNUMBER(SEARCH("Var", D23)), 1, IF(ISNUMBER(SEARCH("Gri", D23)), -1, 0)))=1, VERI_TABANI!E24*(1-0.928)*VERI_TABANI!$B$9, 0) + (VERI_TABANI!D24*B23*(VERI_TABANI!$B$13-VERI_TABANI!$B$14)*VERI_TABANI!G24) + (VERI_TABANI!D24*C23*(VERI_TABANI!$B$13-VERI_TABANI!$B$15)*VERI_TABANI!G24) + IF(ABS(IF(ISNUMBER(SEARCH("Var", D23)), 1, IF(ISNUMBER(SEARCH("Gri", D23)), -1, 0)))=1, VERI_TABANI!E24*(1-0.928)*0.00206091519919798*VERI_TABANI!G24, 0)) + ((MIN(VERI_TABANI!D25, VERI_TABANI!D25*B23)*VERI_TABANI!$B$7 + MAX(0, VERI_TABANI!D25*B23-VERI_TABANI!D25)*VERI_TABANI!$B$8) + (MIN(MAX(0, VERI_TABANI!D25-VERI_TABANI!D25*B23), VERI_TABANI!D25*C23)*VERI_TABANI!$B$7 + MAX(0, VERI_TABANI!D25*C23-MAX(0, VERI_TABANI!D25-VERI_TABANI!D25*B23))*VERI_TABANI!$B$8) + IF(ABS(IF(ISNUMBER(SEARCH("Var", D23)), 1, IF(ISNUMBER(SEARCH("Gri", D23)), -1, 0)))=1, VERI_TABANI!E25*(1-0.928)*VERI_TABANI!$B$9, 0) + (VERI_TABANI!D25*B23*(VERI_TABANI!$B$13-VERI_TABANI!$B$14)*VERI_TABANI!G25) + (VERI_TABANI!D25*C23*(VERI_TABANI!$B$13-VERI_TABANI!$B$15)*VERI_TABANI!G25) + IF(ABS(IF(ISNUMBER(SEARCH("Var", D23)), 1, IF(ISNUMBER(SEARCH("Gri", D23)), -1, 0)))=1, VERI_TABANI!E25*(1-0.928)*0.00206091519919798*VERI_TABANI!G25, 0)) + ((MIN(VERI_TABANI!D26, VERI_TABANI!D26*B23)*VERI_TABANI!$B$7 + MAX(0, VERI_TABANI!D26*B23-VERI_TABANI!D26)*VERI_TABANI!$B$8) + (MIN(MAX(0, VERI_TABANI!D26-VERI_TABANI!D26*B23), VERI_TABANI!D26*C23)*VERI_TABANI!$B$7 + MAX(0, VERI_TABANI!D26*C23-MAX(0, VERI_TABANI!D26-VERI_TABANI!D26*B23))*VERI_TABANI!$B$8) + IF(ABS(IF(ISNUMBER(SEARCH("Var", D23)), 1, IF(ISNUMBER(SEARCH("Gri", D23)), -1, 0)))=1, VERI_TABANI!E26*(1-0.928)*VERI_TABANI!$B$9, 0) + (VERI_TABANI!D26*B23*(VERI_TABANI!$B$13-VERI_TABANI!$B$14)*VERI_TABANI!G26) + (VERI_TABANI!D26*C23*(VERI_TABANI!$B$13-VERI_TABANI!$B$15)*VERI_TABANI!G26) + IF(ABS(IF(ISNUMBER(SEARCH("Var", D23)), 1, IF(ISNUMBER(SEARCH("Gri", D23)), -1, 0)))=1, VERI_TABANI!E26*(1-0.928)*0.00206091519919798*VERI_TABANI!G26, 0)) + ((MIN(VERI_TABANI!D27, VERI_TABANI!D27*B23)*VERI_TABANI!$B$7 + MAX(0, VERI_TABANI!D27*B23-VERI_TABANI!D27)*VERI_TABANI!$B$8) + (MIN(MAX(0, VERI_TABANI!D27-VERI_TABANI!D27*B23), VERI_TABANI!D27*C23)*VERI_TABANI!$B$7 + MAX(0, VERI_TABANI!D27*C23-MAX(0, VERI_TABANI!D27-VERI_TABANI!D27*B23))*VERI_TABANI!$B$8) + IF(ABS(IF(ISNUMBER(SEARCH("Var", D23)), 1, IF(ISNUMBER(SEARCH("Gri", D23)), -1, 0)))=1, VERI_TABANI!E27*(1-0.928)*VERI_TABANI!$B$9, 0) + (VERI_TABANI!D27*B23*(VERI_TABANI!$B$13-VERI_TABANI!$B$14)*VERI_TABANI!G27) + (VERI_TABANI!D27*C23*(VERI_TABANI!$B$13-VERI_TABANI!$B$15)*VERI_TABANI!G27) + IF(ABS(IF(ISNUMBER(SEARCH("Var", D23)), 1, IF(ISNUMBER(SEARCH("Gri", D23)), -1, 0)))=1, VERI_TABANI!E27*(1-0.928)*0.00206091519919798*VERI_TABANI!G27, 0)) + ((MIN(VERI_TABANI!D28, VERI_TABANI!D28*B23)*VERI_TABANI!$B$7 + MAX(0, VERI_TABANI!D28*B23-VERI_TABANI!D28)*VERI_TABANI!$B$8) + (MIN(MAX(0, VERI_TABANI!D28-VERI_TABANI!D28*B23), VERI_TABANI!D28*C23)*VERI_TABANI!$B$7 + MAX(0, VERI_TABANI!D28*C23-MAX(0, VERI_TABANI!D28-VERI_TABANI!D28*B23))*VERI_TABANI!$B$8) + IF(ABS(IF(ISNUMBER(SEARCH("Var", D23)), 1, IF(ISNUMBER(SEARCH("Gri", D23)), -1, 0)))=1, VERI_TABANI!E28*(1-0.928)*VERI_TABANI!$B$9, 0) + (VERI_TABANI!D28*B23*(VERI_TABANI!$B$13-VERI_TABANI!$B$14)*VERI_TABANI!G28) + (VERI_TABANI!D28*C23*(VERI_TABANI!$B$13-VERI_TABANI!$B$15)*VERI_TABANI!G28) + IF(ABS(IF(ISNUMBER(SEARCH("Var", D23)), 1, IF(ISNUMBER(SEARCH("Gri", D23)), -1, 0)))=1, VERI_TABANI!E28*(1-0.928)*0.00206091519919798*VERI_TABANI!G28, 0)))</f>
        <v/>
      </c>
      <c r="H23" s="169">
        <f>(((VERI_TABANI!D23*B23*(VERI_TABANI!$B$13-VERI_TABANI!$B$14)) + (VERI_TABANI!D23*C23*(VERI_TABANI!$B$13-VERI_TABANI!$B$15)) + IF(ISNUMBER(SEARCH("Var", D23)), VERI_TABANI!F23*(0.00202-VERI_TABANI!$B$16), IF(ISNUMBER(SEARCH("Gri", D23)), VERI_TABANI!F23*(0.00202-VERI_TABANI!$B$17), 0))) + ((VERI_TABANI!D24*B23*(VERI_TABANI!$B$13-VERI_TABANI!$B$14)) + (VERI_TABANI!D24*C23*(VERI_TABANI!$B$13-VERI_TABANI!$B$15)) + IF(ISNUMBER(SEARCH("Var", D23)), VERI_TABANI!F24*(0.00202-VERI_TABANI!$B$16), IF(ISNUMBER(SEARCH("Gri", D23)), VERI_TABANI!F24*(0.00202-VERI_TABANI!$B$17), 0))) + ((VERI_TABANI!D25*B23*(VERI_TABANI!$B$13-VERI_TABANI!$B$14)) + (VERI_TABANI!D25*C23*(VERI_TABANI!$B$13-VERI_TABANI!$B$15)) + IF(ISNUMBER(SEARCH("Var", D23)), VERI_TABANI!F25*(0.00202-VERI_TABANI!$B$16), IF(ISNUMBER(SEARCH("Gri", D23)), VERI_TABANI!F25*(0.00202-VERI_TABANI!$B$17), 0))) + ((VERI_TABANI!D26*B23*(VERI_TABANI!$B$13-VERI_TABANI!$B$14)) + (VERI_TABANI!D26*C23*(VERI_TABANI!$B$13-VERI_TABANI!$B$15)) + IF(ISNUMBER(SEARCH("Var", D23)), VERI_TABANI!F26*(0.00202-VERI_TABANI!$B$16), IF(ISNUMBER(SEARCH("Gri", D23)), VERI_TABANI!F26*(0.00202-VERI_TABANI!$B$17), 0))) + ((VERI_TABANI!D27*B23*(VERI_TABANI!$B$13-VERI_TABANI!$B$14)) + (VERI_TABANI!D27*C23*(VERI_TABANI!$B$13-VERI_TABANI!$B$15)) + IF(ISNUMBER(SEARCH("Var", D23)), VERI_TABANI!F27*(0.00202-VERI_TABANI!$B$16), IF(ISNUMBER(SEARCH("Gri", D23)), VERI_TABANI!F27*(0.00202-VERI_TABANI!$B$17), 0))) + ((VERI_TABANI!D28*B23*(VERI_TABANI!$B$13-VERI_TABANI!$B$14)) + (VERI_TABANI!D28*C23*(VERI_TABANI!$B$13-VERI_TABANI!$B$15)) + IF(ISNUMBER(SEARCH("Var", D23)), VERI_TABANI!F28*(0.00202-VERI_TABANI!$B$16), IF(ISNUMBER(SEARCH("Gri", D23)), VERI_TABANI!F28*(0.00202-VERI_TABANI!$B$17), 0))))</f>
        <v/>
      </c>
      <c r="I23" s="170">
        <f>IFERROR(((VERI_TABANI!$D$29*B23*VERI_TABANI!$B$14 + VERI_TABANI!$D$29*C23*VERI_TABANI!$B$15 + IF(ISNUMBER(SEARCH("Var", D23)), VERI_TABANI!$F$29*VERI_TABANI!$B$16, 0))) / (((VERI_TABANI!$D$29*B23 + VERI_TABANI!$D$29*C23)*VERI_TABANI!$B$13 + IF(ISNUMBER(SEARCH("Var", D23)), VERI_TABANI!$E$29*(1-0.928)*VERI_TABANI!$B$18, 0))), 0)</f>
        <v/>
      </c>
      <c r="J23" s="171">
        <f>IFERROR(F23/(G23/29), 0)</f>
        <v/>
      </c>
      <c r="K23" s="172">
        <f>IF(F23&gt;0, H23/F23, 0)</f>
        <v/>
      </c>
      <c r="L23" s="170">
        <f>IF(F23&gt;0, I23, 1000000000)</f>
        <v/>
      </c>
      <c r="M23" s="171">
        <f>ABS((B23+C23)-1)</f>
        <v/>
      </c>
      <c r="N23" s="170">
        <f>IF(F23&gt;0, (G23/29)/F23, 0)</f>
        <v/>
      </c>
      <c r="O23" s="168">
        <f>IF(AND((B23+C23)&gt;=1, ISNUMBER(SEARCH("Var", D23))), F23, 1000000000)</f>
        <v/>
      </c>
      <c r="P23" s="172">
        <f>IF(F23&gt;0, SQRT((F23/MAX(F$5:F$886))^2 + (1 - H23/MAX(H$5:H$886))^2 + (J23/MAX(J$5:J$886))^2), 1000000000)</f>
        <v/>
      </c>
      <c r="Q23" s="166">
        <f>IF(AND(ABS(B23-0.5)&lt;0.01, ABS(C23-0.5)&lt;0.01, ISNUMBER(SEARCH("Var", D23))), 1, 0)</f>
        <v/>
      </c>
      <c r="R23" s="171">
        <f>IF(F23&gt;0, J23, 1000000000)</f>
        <v/>
      </c>
      <c r="S23" s="101">
        <f>IF(AND(F23&lt;=DASHBOARD!$B$11, H23&gt;=DASHBOARD!$B$13), G23, -1000000000000)</f>
        <v/>
      </c>
      <c r="T23" s="101">
        <f>IF(AND(F23&lt;=DASHBOARD!$B$11, H23&gt;=DASHBOARD!$B$13), R23, 1000000000000)</f>
        <v/>
      </c>
      <c r="U23" s="101">
        <f>IF(AND(F23&lt;=DASHBOARD!$B$11, H23&gt;=DASHBOARD!$B$13), N23, -1000000000000)</f>
        <v/>
      </c>
      <c r="V23" s="101">
        <f>IF(AND(F23&lt;=DASHBOARD!$B$11, H23&gt;=DASHBOARD!$B$13), H23, -1000000000000)</f>
        <v/>
      </c>
      <c r="W23" s="101">
        <f>IF(AND(F23&lt;=DASHBOARD!$B$11, H23&gt;=DASHBOARD!$B$13), K23, -1000000000000)</f>
        <v/>
      </c>
      <c r="X23" s="101">
        <f>IF(AND(F23&lt;=DASHBOARD!$B$11, H23&gt;=DASHBOARD!$B$13), M23, 1000000000000)</f>
        <v/>
      </c>
      <c r="Y23" s="101">
        <f>IF(AND(F23&lt;=DASHBOARD!$B$10, H23&gt;=DASHBOARD!$B$11), L23, 1000000000000)</f>
        <v/>
      </c>
      <c r="Z23" s="101">
        <f>IF(AND(F23&lt;=DASHBOARD!$B$10, H23&gt;=DASHBOARD!$B$11), O23, 1000000000000)</f>
        <v/>
      </c>
      <c r="AA23" s="101">
        <f>IF(AND(F23&lt;=DASHBOARD!$B$10, H23&gt;=DASHBOARD!$B$11), P23, 1000000000000)</f>
        <v/>
      </c>
      <c r="AB23" s="101">
        <f>IF(AND(F23&lt;=DASHBOARD!$B$10, H23&gt;=DASHBOARD!$B$11), Q23, -1000000000000)</f>
        <v/>
      </c>
    </row>
    <row r="24" ht="12.75" customHeight="1" s="102">
      <c r="A24" s="166" t="n">
        <v>20</v>
      </c>
      <c r="B24" s="167" t="n">
        <v>0</v>
      </c>
      <c r="C24" s="167" t="n">
        <v>0.9</v>
      </c>
      <c r="D24" s="110" t="inlineStr">
        <is>
          <t>Var (%20)</t>
        </is>
      </c>
      <c r="E24" s="110">
        <f>IF((B24+C24)&lt;=1, "Tam Mahsuplaşma (≤%100)", "Kısmi Satış (&gt;%100)")</f>
        <v/>
      </c>
      <c r="F24" s="168">
        <f>((VERI_TABANI!$D$29*B24/VERI_TABANI!$B$29)/VERI_TABANI!$B$3)*VERI_TABANI!$B$5 + ((VERI_TABANI!$D$29*C24/VERI_TABANI!$B$29)/VERI_TABANI!$B$4)*VERI_TABANI!$B$6 + IF(ISNUMBER(SEARCH("Var", D24)), (VERI_TABANI!$F$29/VERI_TABANI!$B$29)*(VERI_TABANI!$B$10+VERI_TABANI!$B$12), 0)</f>
        <v/>
      </c>
      <c r="G24" s="168">
        <f>(((MIN(VERI_TABANI!D23, VERI_TABANI!D23*B24)*VERI_TABANI!$B$7 + MAX(0, VERI_TABANI!D23*B24-VERI_TABANI!D23)*VERI_TABANI!$B$8) + (MIN(MAX(0, VERI_TABANI!D23-VERI_TABANI!D23*B24), VERI_TABANI!D23*C24)*VERI_TABANI!$B$7 + MAX(0, VERI_TABANI!D23*C24-MAX(0, VERI_TABANI!D23-VERI_TABANI!D23*B24))*VERI_TABANI!$B$8) + IF(ABS(IF(ISNUMBER(SEARCH("Var", D24)), 1, IF(ISNUMBER(SEARCH("Gri", D24)), -1, 0)))=1, VERI_TABANI!E23*(1-0.928)*VERI_TABANI!$B$9, 0) + (VERI_TABANI!D23*B24*(VERI_TABANI!$B$13-VERI_TABANI!$B$14)*VERI_TABANI!G23) + (VERI_TABANI!D23*C24*(VERI_TABANI!$B$13-VERI_TABANI!$B$15)*VERI_TABANI!G23) + IF(ABS(IF(ISNUMBER(SEARCH("Var", D24)), 1, IF(ISNUMBER(SEARCH("Gri", D24)), -1, 0)))=1, VERI_TABANI!E23*(1-0.928)*0.00206091519919798*VERI_TABANI!G23, 0)) + ((MIN(VERI_TABANI!D24, VERI_TABANI!D24*B24)*VERI_TABANI!$B$7 + MAX(0, VERI_TABANI!D24*B24-VERI_TABANI!D24)*VERI_TABANI!$B$8) + (MIN(MAX(0, VERI_TABANI!D24-VERI_TABANI!D24*B24), VERI_TABANI!D24*C24)*VERI_TABANI!$B$7 + MAX(0, VERI_TABANI!D24*C24-MAX(0, VERI_TABANI!D24-VERI_TABANI!D24*B24))*VERI_TABANI!$B$8) + IF(ABS(IF(ISNUMBER(SEARCH("Var", D24)), 1, IF(ISNUMBER(SEARCH("Gri", D24)), -1, 0)))=1, VERI_TABANI!E24*(1-0.928)*VERI_TABANI!$B$9, 0) + (VERI_TABANI!D24*B24*(VERI_TABANI!$B$13-VERI_TABANI!$B$14)*VERI_TABANI!G24) + (VERI_TABANI!D24*C24*(VERI_TABANI!$B$13-VERI_TABANI!$B$15)*VERI_TABANI!G24) + IF(ABS(IF(ISNUMBER(SEARCH("Var", D24)), 1, IF(ISNUMBER(SEARCH("Gri", D24)), -1, 0)))=1, VERI_TABANI!E24*(1-0.928)*0.00206091519919798*VERI_TABANI!G24, 0)) + ((MIN(VERI_TABANI!D25, VERI_TABANI!D25*B24)*VERI_TABANI!$B$7 + MAX(0, VERI_TABANI!D25*B24-VERI_TABANI!D25)*VERI_TABANI!$B$8) + (MIN(MAX(0, VERI_TABANI!D25-VERI_TABANI!D25*B24), VERI_TABANI!D25*C24)*VERI_TABANI!$B$7 + MAX(0, VERI_TABANI!D25*C24-MAX(0, VERI_TABANI!D25-VERI_TABANI!D25*B24))*VERI_TABANI!$B$8) + IF(ABS(IF(ISNUMBER(SEARCH("Var", D24)), 1, IF(ISNUMBER(SEARCH("Gri", D24)), -1, 0)))=1, VERI_TABANI!E25*(1-0.928)*VERI_TABANI!$B$9, 0) + (VERI_TABANI!D25*B24*(VERI_TABANI!$B$13-VERI_TABANI!$B$14)*VERI_TABANI!G25) + (VERI_TABANI!D25*C24*(VERI_TABANI!$B$13-VERI_TABANI!$B$15)*VERI_TABANI!G25) + IF(ABS(IF(ISNUMBER(SEARCH("Var", D24)), 1, IF(ISNUMBER(SEARCH("Gri", D24)), -1, 0)))=1, VERI_TABANI!E25*(1-0.928)*0.00206091519919798*VERI_TABANI!G25, 0)) + ((MIN(VERI_TABANI!D26, VERI_TABANI!D26*B24)*VERI_TABANI!$B$7 + MAX(0, VERI_TABANI!D26*B24-VERI_TABANI!D26)*VERI_TABANI!$B$8) + (MIN(MAX(0, VERI_TABANI!D26-VERI_TABANI!D26*B24), VERI_TABANI!D26*C24)*VERI_TABANI!$B$7 + MAX(0, VERI_TABANI!D26*C24-MAX(0, VERI_TABANI!D26-VERI_TABANI!D26*B24))*VERI_TABANI!$B$8) + IF(ABS(IF(ISNUMBER(SEARCH("Var", D24)), 1, IF(ISNUMBER(SEARCH("Gri", D24)), -1, 0)))=1, VERI_TABANI!E26*(1-0.928)*VERI_TABANI!$B$9, 0) + (VERI_TABANI!D26*B24*(VERI_TABANI!$B$13-VERI_TABANI!$B$14)*VERI_TABANI!G26) + (VERI_TABANI!D26*C24*(VERI_TABANI!$B$13-VERI_TABANI!$B$15)*VERI_TABANI!G26) + IF(ABS(IF(ISNUMBER(SEARCH("Var", D24)), 1, IF(ISNUMBER(SEARCH("Gri", D24)), -1, 0)))=1, VERI_TABANI!E26*(1-0.928)*0.00206091519919798*VERI_TABANI!G26, 0)) + ((MIN(VERI_TABANI!D27, VERI_TABANI!D27*B24)*VERI_TABANI!$B$7 + MAX(0, VERI_TABANI!D27*B24-VERI_TABANI!D27)*VERI_TABANI!$B$8) + (MIN(MAX(0, VERI_TABANI!D27-VERI_TABANI!D27*B24), VERI_TABANI!D27*C24)*VERI_TABANI!$B$7 + MAX(0, VERI_TABANI!D27*C24-MAX(0, VERI_TABANI!D27-VERI_TABANI!D27*B24))*VERI_TABANI!$B$8) + IF(ABS(IF(ISNUMBER(SEARCH("Var", D24)), 1, IF(ISNUMBER(SEARCH("Gri", D24)), -1, 0)))=1, VERI_TABANI!E27*(1-0.928)*VERI_TABANI!$B$9, 0) + (VERI_TABANI!D27*B24*(VERI_TABANI!$B$13-VERI_TABANI!$B$14)*VERI_TABANI!G27) + (VERI_TABANI!D27*C24*(VERI_TABANI!$B$13-VERI_TABANI!$B$15)*VERI_TABANI!G27) + IF(ABS(IF(ISNUMBER(SEARCH("Var", D24)), 1, IF(ISNUMBER(SEARCH("Gri", D24)), -1, 0)))=1, VERI_TABANI!E27*(1-0.928)*0.00206091519919798*VERI_TABANI!G27, 0)) + ((MIN(VERI_TABANI!D28, VERI_TABANI!D28*B24)*VERI_TABANI!$B$7 + MAX(0, VERI_TABANI!D28*B24-VERI_TABANI!D28)*VERI_TABANI!$B$8) + (MIN(MAX(0, VERI_TABANI!D28-VERI_TABANI!D28*B24), VERI_TABANI!D28*C24)*VERI_TABANI!$B$7 + MAX(0, VERI_TABANI!D28*C24-MAX(0, VERI_TABANI!D28-VERI_TABANI!D28*B24))*VERI_TABANI!$B$8) + IF(ABS(IF(ISNUMBER(SEARCH("Var", D24)), 1, IF(ISNUMBER(SEARCH("Gri", D24)), -1, 0)))=1, VERI_TABANI!E28*(1-0.928)*VERI_TABANI!$B$9, 0) + (VERI_TABANI!D28*B24*(VERI_TABANI!$B$13-VERI_TABANI!$B$14)*VERI_TABANI!G28) + (VERI_TABANI!D28*C24*(VERI_TABANI!$B$13-VERI_TABANI!$B$15)*VERI_TABANI!G28) + IF(ABS(IF(ISNUMBER(SEARCH("Var", D24)), 1, IF(ISNUMBER(SEARCH("Gri", D24)), -1, 0)))=1, VERI_TABANI!E28*(1-0.928)*0.00206091519919798*VERI_TABANI!G28, 0)))</f>
        <v/>
      </c>
      <c r="H24" s="169">
        <f>(((VERI_TABANI!D23*B24*(VERI_TABANI!$B$13-VERI_TABANI!$B$14)) + (VERI_TABANI!D23*C24*(VERI_TABANI!$B$13-VERI_TABANI!$B$15)) + IF(ISNUMBER(SEARCH("Var", D24)), VERI_TABANI!F23*(0.00202-VERI_TABANI!$B$16), IF(ISNUMBER(SEARCH("Gri", D24)), VERI_TABANI!F23*(0.00202-VERI_TABANI!$B$17), 0))) + ((VERI_TABANI!D24*B24*(VERI_TABANI!$B$13-VERI_TABANI!$B$14)) + (VERI_TABANI!D24*C24*(VERI_TABANI!$B$13-VERI_TABANI!$B$15)) + IF(ISNUMBER(SEARCH("Var", D24)), VERI_TABANI!F24*(0.00202-VERI_TABANI!$B$16), IF(ISNUMBER(SEARCH("Gri", D24)), VERI_TABANI!F24*(0.00202-VERI_TABANI!$B$17), 0))) + ((VERI_TABANI!D25*B24*(VERI_TABANI!$B$13-VERI_TABANI!$B$14)) + (VERI_TABANI!D25*C24*(VERI_TABANI!$B$13-VERI_TABANI!$B$15)) + IF(ISNUMBER(SEARCH("Var", D24)), VERI_TABANI!F25*(0.00202-VERI_TABANI!$B$16), IF(ISNUMBER(SEARCH("Gri", D24)), VERI_TABANI!F25*(0.00202-VERI_TABANI!$B$17), 0))) + ((VERI_TABANI!D26*B24*(VERI_TABANI!$B$13-VERI_TABANI!$B$14)) + (VERI_TABANI!D26*C24*(VERI_TABANI!$B$13-VERI_TABANI!$B$15)) + IF(ISNUMBER(SEARCH("Var", D24)), VERI_TABANI!F26*(0.00202-VERI_TABANI!$B$16), IF(ISNUMBER(SEARCH("Gri", D24)), VERI_TABANI!F26*(0.00202-VERI_TABANI!$B$17), 0))) + ((VERI_TABANI!D27*B24*(VERI_TABANI!$B$13-VERI_TABANI!$B$14)) + (VERI_TABANI!D27*C24*(VERI_TABANI!$B$13-VERI_TABANI!$B$15)) + IF(ISNUMBER(SEARCH("Var", D24)), VERI_TABANI!F27*(0.00202-VERI_TABANI!$B$16), IF(ISNUMBER(SEARCH("Gri", D24)), VERI_TABANI!F27*(0.00202-VERI_TABANI!$B$17), 0))) + ((VERI_TABANI!D28*B24*(VERI_TABANI!$B$13-VERI_TABANI!$B$14)) + (VERI_TABANI!D28*C24*(VERI_TABANI!$B$13-VERI_TABANI!$B$15)) + IF(ISNUMBER(SEARCH("Var", D24)), VERI_TABANI!F28*(0.00202-VERI_TABANI!$B$16), IF(ISNUMBER(SEARCH("Gri", D24)), VERI_TABANI!F28*(0.00202-VERI_TABANI!$B$17), 0))))</f>
        <v/>
      </c>
      <c r="I24" s="170">
        <f>IFERROR(((VERI_TABANI!$D$29*B24*VERI_TABANI!$B$14 + VERI_TABANI!$D$29*C24*VERI_TABANI!$B$15 + IF(ISNUMBER(SEARCH("Var", D24)), VERI_TABANI!$F$29*VERI_TABANI!$B$16, 0))) / (((VERI_TABANI!$D$29*B24 + VERI_TABANI!$D$29*C24)*VERI_TABANI!$B$13 + IF(ISNUMBER(SEARCH("Var", D24)), VERI_TABANI!$E$29*(1-0.928)*VERI_TABANI!$B$18, 0))), 0)</f>
        <v/>
      </c>
      <c r="J24" s="171">
        <f>IFERROR(F24/(G24/29), 0)</f>
        <v/>
      </c>
      <c r="K24" s="172">
        <f>IF(F24&gt;0, H24/F24, 0)</f>
        <v/>
      </c>
      <c r="L24" s="170">
        <f>IF(F24&gt;0, I24, 1000000000)</f>
        <v/>
      </c>
      <c r="M24" s="171">
        <f>ABS((B24+C24)-1)</f>
        <v/>
      </c>
      <c r="N24" s="170">
        <f>IF(F24&gt;0, (G24/29)/F24, 0)</f>
        <v/>
      </c>
      <c r="O24" s="168">
        <f>IF(AND((B24+C24)&gt;=1, ISNUMBER(SEARCH("Var", D24))), F24, 1000000000)</f>
        <v/>
      </c>
      <c r="P24" s="172">
        <f>IF(F24&gt;0, SQRT((F24/MAX(F$5:F$886))^2 + (1 - H24/MAX(H$5:H$886))^2 + (J24/MAX(J$5:J$886))^2), 1000000000)</f>
        <v/>
      </c>
      <c r="Q24" s="166">
        <f>IF(AND(ABS(B24-0.5)&lt;0.01, ABS(C24-0.5)&lt;0.01, ISNUMBER(SEARCH("Var", D24))), 1, 0)</f>
        <v/>
      </c>
      <c r="R24" s="171">
        <f>IF(F24&gt;0, J24, 1000000000)</f>
        <v/>
      </c>
      <c r="S24" s="101">
        <f>IF(AND(F24&lt;=DASHBOARD!$B$11, H24&gt;=DASHBOARD!$B$13), G24, -1000000000000)</f>
        <v/>
      </c>
      <c r="T24" s="101">
        <f>IF(AND(F24&lt;=DASHBOARD!$B$11, H24&gt;=DASHBOARD!$B$13), R24, 1000000000000)</f>
        <v/>
      </c>
      <c r="U24" s="101">
        <f>IF(AND(F24&lt;=DASHBOARD!$B$11, H24&gt;=DASHBOARD!$B$13), N24, -1000000000000)</f>
        <v/>
      </c>
      <c r="V24" s="101">
        <f>IF(AND(F24&lt;=DASHBOARD!$B$11, H24&gt;=DASHBOARD!$B$13), H24, -1000000000000)</f>
        <v/>
      </c>
      <c r="W24" s="101">
        <f>IF(AND(F24&lt;=DASHBOARD!$B$11, H24&gt;=DASHBOARD!$B$13), K24, -1000000000000)</f>
        <v/>
      </c>
      <c r="X24" s="101">
        <f>IF(AND(F24&lt;=DASHBOARD!$B$11, H24&gt;=DASHBOARD!$B$13), M24, 1000000000000)</f>
        <v/>
      </c>
      <c r="Y24" s="101">
        <f>IF(AND(F24&lt;=DASHBOARD!$B$10, H24&gt;=DASHBOARD!$B$11), L24, 1000000000000)</f>
        <v/>
      </c>
      <c r="Z24" s="101">
        <f>IF(AND(F24&lt;=DASHBOARD!$B$10, H24&gt;=DASHBOARD!$B$11), O24, 1000000000000)</f>
        <v/>
      </c>
      <c r="AA24" s="101">
        <f>IF(AND(F24&lt;=DASHBOARD!$B$10, H24&gt;=DASHBOARD!$B$11), P24, 1000000000000)</f>
        <v/>
      </c>
      <c r="AB24" s="101">
        <f>IF(AND(F24&lt;=DASHBOARD!$B$10, H24&gt;=DASHBOARD!$B$11), Q24, -1000000000000)</f>
        <v/>
      </c>
    </row>
    <row r="25" ht="12.75" customHeight="1" s="102">
      <c r="A25" s="166" t="n">
        <v>21</v>
      </c>
      <c r="B25" s="167" t="n">
        <v>0</v>
      </c>
      <c r="C25" s="167" t="n">
        <v>1</v>
      </c>
      <c r="D25" s="110" t="inlineStr">
        <is>
          <t>Yok (%0)</t>
        </is>
      </c>
      <c r="E25" s="110">
        <f>IF((B25+C25)&lt;=1, "Tam Mahsuplaşma (≤%100)", "Kısmi Satış (&gt;%100)")</f>
        <v/>
      </c>
      <c r="F25" s="168">
        <f>((VERI_TABANI!$D$29*B25/VERI_TABANI!$B$29)/VERI_TABANI!$B$3)*VERI_TABANI!$B$5 + ((VERI_TABANI!$D$29*C25/VERI_TABANI!$B$29)/VERI_TABANI!$B$4)*VERI_TABANI!$B$6 + IF(ISNUMBER(SEARCH("Var", D25)), (VERI_TABANI!$F$29/VERI_TABANI!$B$29)*(VERI_TABANI!$B$10+VERI_TABANI!$B$12), 0)</f>
        <v/>
      </c>
      <c r="G25" s="168">
        <f>(((MIN(VERI_TABANI!D23, VERI_TABANI!D23*B25)*VERI_TABANI!$B$7 + MAX(0, VERI_TABANI!D23*B25-VERI_TABANI!D23)*VERI_TABANI!$B$8) + (MIN(MAX(0, VERI_TABANI!D23-VERI_TABANI!D23*B25), VERI_TABANI!D23*C25)*VERI_TABANI!$B$7 + MAX(0, VERI_TABANI!D23*C25-MAX(0, VERI_TABANI!D23-VERI_TABANI!D23*B25))*VERI_TABANI!$B$8) + IF(ABS(IF(ISNUMBER(SEARCH("Var", D25)), 1, IF(ISNUMBER(SEARCH("Gri", D25)), -1, 0)))=1, VERI_TABANI!E23*(1-0.928)*VERI_TABANI!$B$9, 0) + (VERI_TABANI!D23*B25*(VERI_TABANI!$B$13-VERI_TABANI!$B$14)*VERI_TABANI!G23) + (VERI_TABANI!D23*C25*(VERI_TABANI!$B$13-VERI_TABANI!$B$15)*VERI_TABANI!G23) + IF(ABS(IF(ISNUMBER(SEARCH("Var", D25)), 1, IF(ISNUMBER(SEARCH("Gri", D25)), -1, 0)))=1, VERI_TABANI!E23*(1-0.928)*0.00206091519919798*VERI_TABANI!G23, 0)) + ((MIN(VERI_TABANI!D24, VERI_TABANI!D24*B25)*VERI_TABANI!$B$7 + MAX(0, VERI_TABANI!D24*B25-VERI_TABANI!D24)*VERI_TABANI!$B$8) + (MIN(MAX(0, VERI_TABANI!D24-VERI_TABANI!D24*B25), VERI_TABANI!D24*C25)*VERI_TABANI!$B$7 + MAX(0, VERI_TABANI!D24*C25-MAX(0, VERI_TABANI!D24-VERI_TABANI!D24*B25))*VERI_TABANI!$B$8) + IF(ABS(IF(ISNUMBER(SEARCH("Var", D25)), 1, IF(ISNUMBER(SEARCH("Gri", D25)), -1, 0)))=1, VERI_TABANI!E24*(1-0.928)*VERI_TABANI!$B$9, 0) + (VERI_TABANI!D24*B25*(VERI_TABANI!$B$13-VERI_TABANI!$B$14)*VERI_TABANI!G24) + (VERI_TABANI!D24*C25*(VERI_TABANI!$B$13-VERI_TABANI!$B$15)*VERI_TABANI!G24) + IF(ABS(IF(ISNUMBER(SEARCH("Var", D25)), 1, IF(ISNUMBER(SEARCH("Gri", D25)), -1, 0)))=1, VERI_TABANI!E24*(1-0.928)*0.00206091519919798*VERI_TABANI!G24, 0)) + ((MIN(VERI_TABANI!D25, VERI_TABANI!D25*B25)*VERI_TABANI!$B$7 + MAX(0, VERI_TABANI!D25*B25-VERI_TABANI!D25)*VERI_TABANI!$B$8) + (MIN(MAX(0, VERI_TABANI!D25-VERI_TABANI!D25*B25), VERI_TABANI!D25*C25)*VERI_TABANI!$B$7 + MAX(0, VERI_TABANI!D25*C25-MAX(0, VERI_TABANI!D25-VERI_TABANI!D25*B25))*VERI_TABANI!$B$8) + IF(ABS(IF(ISNUMBER(SEARCH("Var", D25)), 1, IF(ISNUMBER(SEARCH("Gri", D25)), -1, 0)))=1, VERI_TABANI!E25*(1-0.928)*VERI_TABANI!$B$9, 0) + (VERI_TABANI!D25*B25*(VERI_TABANI!$B$13-VERI_TABANI!$B$14)*VERI_TABANI!G25) + (VERI_TABANI!D25*C25*(VERI_TABANI!$B$13-VERI_TABANI!$B$15)*VERI_TABANI!G25) + IF(ABS(IF(ISNUMBER(SEARCH("Var", D25)), 1, IF(ISNUMBER(SEARCH("Gri", D25)), -1, 0)))=1, VERI_TABANI!E25*(1-0.928)*0.00206091519919798*VERI_TABANI!G25, 0)) + ((MIN(VERI_TABANI!D26, VERI_TABANI!D26*B25)*VERI_TABANI!$B$7 + MAX(0, VERI_TABANI!D26*B25-VERI_TABANI!D26)*VERI_TABANI!$B$8) + (MIN(MAX(0, VERI_TABANI!D26-VERI_TABANI!D26*B25), VERI_TABANI!D26*C25)*VERI_TABANI!$B$7 + MAX(0, VERI_TABANI!D26*C25-MAX(0, VERI_TABANI!D26-VERI_TABANI!D26*B25))*VERI_TABANI!$B$8) + IF(ABS(IF(ISNUMBER(SEARCH("Var", D25)), 1, IF(ISNUMBER(SEARCH("Gri", D25)), -1, 0)))=1, VERI_TABANI!E26*(1-0.928)*VERI_TABANI!$B$9, 0) + (VERI_TABANI!D26*B25*(VERI_TABANI!$B$13-VERI_TABANI!$B$14)*VERI_TABANI!G26) + (VERI_TABANI!D26*C25*(VERI_TABANI!$B$13-VERI_TABANI!$B$15)*VERI_TABANI!G26) + IF(ABS(IF(ISNUMBER(SEARCH("Var", D25)), 1, IF(ISNUMBER(SEARCH("Gri", D25)), -1, 0)))=1, VERI_TABANI!E26*(1-0.928)*0.00206091519919798*VERI_TABANI!G26, 0)) + ((MIN(VERI_TABANI!D27, VERI_TABANI!D27*B25)*VERI_TABANI!$B$7 + MAX(0, VERI_TABANI!D27*B25-VERI_TABANI!D27)*VERI_TABANI!$B$8) + (MIN(MAX(0, VERI_TABANI!D27-VERI_TABANI!D27*B25), VERI_TABANI!D27*C25)*VERI_TABANI!$B$7 + MAX(0, VERI_TABANI!D27*C25-MAX(0, VERI_TABANI!D27-VERI_TABANI!D27*B25))*VERI_TABANI!$B$8) + IF(ABS(IF(ISNUMBER(SEARCH("Var", D25)), 1, IF(ISNUMBER(SEARCH("Gri", D25)), -1, 0)))=1, VERI_TABANI!E27*(1-0.928)*VERI_TABANI!$B$9, 0) + (VERI_TABANI!D27*B25*(VERI_TABANI!$B$13-VERI_TABANI!$B$14)*VERI_TABANI!G27) + (VERI_TABANI!D27*C25*(VERI_TABANI!$B$13-VERI_TABANI!$B$15)*VERI_TABANI!G27) + IF(ABS(IF(ISNUMBER(SEARCH("Var", D25)), 1, IF(ISNUMBER(SEARCH("Gri", D25)), -1, 0)))=1, VERI_TABANI!E27*(1-0.928)*0.00206091519919798*VERI_TABANI!G27, 0)) + ((MIN(VERI_TABANI!D28, VERI_TABANI!D28*B25)*VERI_TABANI!$B$7 + MAX(0, VERI_TABANI!D28*B25-VERI_TABANI!D28)*VERI_TABANI!$B$8) + (MIN(MAX(0, VERI_TABANI!D28-VERI_TABANI!D28*B25), VERI_TABANI!D28*C25)*VERI_TABANI!$B$7 + MAX(0, VERI_TABANI!D28*C25-MAX(0, VERI_TABANI!D28-VERI_TABANI!D28*B25))*VERI_TABANI!$B$8) + IF(ABS(IF(ISNUMBER(SEARCH("Var", D25)), 1, IF(ISNUMBER(SEARCH("Gri", D25)), -1, 0)))=1, VERI_TABANI!E28*(1-0.928)*VERI_TABANI!$B$9, 0) + (VERI_TABANI!D28*B25*(VERI_TABANI!$B$13-VERI_TABANI!$B$14)*VERI_TABANI!G28) + (VERI_TABANI!D28*C25*(VERI_TABANI!$B$13-VERI_TABANI!$B$15)*VERI_TABANI!G28) + IF(ABS(IF(ISNUMBER(SEARCH("Var", D25)), 1, IF(ISNUMBER(SEARCH("Gri", D25)), -1, 0)))=1, VERI_TABANI!E28*(1-0.928)*0.00206091519919798*VERI_TABANI!G28, 0)))</f>
        <v/>
      </c>
      <c r="H25" s="169">
        <f>(((VERI_TABANI!D23*B25*(VERI_TABANI!$B$13-VERI_TABANI!$B$14)) + (VERI_TABANI!D23*C25*(VERI_TABANI!$B$13-VERI_TABANI!$B$15)) + IF(ISNUMBER(SEARCH("Var", D25)), VERI_TABANI!F23*(0.00202-VERI_TABANI!$B$16), IF(ISNUMBER(SEARCH("Gri", D25)), VERI_TABANI!F23*(0.00202-VERI_TABANI!$B$17), 0))) + ((VERI_TABANI!D24*B25*(VERI_TABANI!$B$13-VERI_TABANI!$B$14)) + (VERI_TABANI!D24*C25*(VERI_TABANI!$B$13-VERI_TABANI!$B$15)) + IF(ISNUMBER(SEARCH("Var", D25)), VERI_TABANI!F24*(0.00202-VERI_TABANI!$B$16), IF(ISNUMBER(SEARCH("Gri", D25)), VERI_TABANI!F24*(0.00202-VERI_TABANI!$B$17), 0))) + ((VERI_TABANI!D25*B25*(VERI_TABANI!$B$13-VERI_TABANI!$B$14)) + (VERI_TABANI!D25*C25*(VERI_TABANI!$B$13-VERI_TABANI!$B$15)) + IF(ISNUMBER(SEARCH("Var", D25)), VERI_TABANI!F25*(0.00202-VERI_TABANI!$B$16), IF(ISNUMBER(SEARCH("Gri", D25)), VERI_TABANI!F25*(0.00202-VERI_TABANI!$B$17), 0))) + ((VERI_TABANI!D26*B25*(VERI_TABANI!$B$13-VERI_TABANI!$B$14)) + (VERI_TABANI!D26*C25*(VERI_TABANI!$B$13-VERI_TABANI!$B$15)) + IF(ISNUMBER(SEARCH("Var", D25)), VERI_TABANI!F26*(0.00202-VERI_TABANI!$B$16), IF(ISNUMBER(SEARCH("Gri", D25)), VERI_TABANI!F26*(0.00202-VERI_TABANI!$B$17), 0))) + ((VERI_TABANI!D27*B25*(VERI_TABANI!$B$13-VERI_TABANI!$B$14)) + (VERI_TABANI!D27*C25*(VERI_TABANI!$B$13-VERI_TABANI!$B$15)) + IF(ISNUMBER(SEARCH("Var", D25)), VERI_TABANI!F27*(0.00202-VERI_TABANI!$B$16), IF(ISNUMBER(SEARCH("Gri", D25)), VERI_TABANI!F27*(0.00202-VERI_TABANI!$B$17), 0))) + ((VERI_TABANI!D28*B25*(VERI_TABANI!$B$13-VERI_TABANI!$B$14)) + (VERI_TABANI!D28*C25*(VERI_TABANI!$B$13-VERI_TABANI!$B$15)) + IF(ISNUMBER(SEARCH("Var", D25)), VERI_TABANI!F28*(0.00202-VERI_TABANI!$B$16), IF(ISNUMBER(SEARCH("Gri", D25)), VERI_TABANI!F28*(0.00202-VERI_TABANI!$B$17), 0))))</f>
        <v/>
      </c>
      <c r="I25" s="170">
        <f>IFERROR(((VERI_TABANI!$D$29*B25*VERI_TABANI!$B$14 + VERI_TABANI!$D$29*C25*VERI_TABANI!$B$15 + IF(ISNUMBER(SEARCH("Var", D25)), VERI_TABANI!$F$29*VERI_TABANI!$B$16, 0))) / (((VERI_TABANI!$D$29*B25 + VERI_TABANI!$D$29*C25)*VERI_TABANI!$B$13 + IF(ISNUMBER(SEARCH("Var", D25)), VERI_TABANI!$E$29*(1-0.928)*VERI_TABANI!$B$18, 0))), 0)</f>
        <v/>
      </c>
      <c r="J25" s="171">
        <f>IFERROR(F25/(G25/29), 0)</f>
        <v/>
      </c>
      <c r="K25" s="172">
        <f>IF(F25&gt;0, H25/F25, 0)</f>
        <v/>
      </c>
      <c r="L25" s="170">
        <f>IF(F25&gt;0, I25, 1000000000)</f>
        <v/>
      </c>
      <c r="M25" s="171">
        <f>ABS((B25+C25)-1)</f>
        <v/>
      </c>
      <c r="N25" s="170">
        <f>IF(F25&gt;0, (G25/29)/F25, 0)</f>
        <v/>
      </c>
      <c r="O25" s="168">
        <f>IF(AND((B25+C25)&gt;=1, ISNUMBER(SEARCH("Var", D25))), F25, 1000000000)</f>
        <v/>
      </c>
      <c r="P25" s="172">
        <f>IF(F25&gt;0, SQRT((F25/MAX(F$5:F$886))^2 + (1 - H25/MAX(H$5:H$886))^2 + (J25/MAX(J$5:J$886))^2), 1000000000)</f>
        <v/>
      </c>
      <c r="Q25" s="166">
        <f>IF(AND(ABS(B25-0.5)&lt;0.01, ABS(C25-0.5)&lt;0.01, ISNUMBER(SEARCH("Var", D25))), 1, 0)</f>
        <v/>
      </c>
      <c r="R25" s="171">
        <f>IF(F25&gt;0, J25, 1000000000)</f>
        <v/>
      </c>
      <c r="S25" s="101">
        <f>IF(AND(F25&lt;=DASHBOARD!$B$11, H25&gt;=DASHBOARD!$B$13), G25, -1000000000000)</f>
        <v/>
      </c>
      <c r="T25" s="101">
        <f>IF(AND(F25&lt;=DASHBOARD!$B$11, H25&gt;=DASHBOARD!$B$13), R25, 1000000000000)</f>
        <v/>
      </c>
      <c r="U25" s="101">
        <f>IF(AND(F25&lt;=DASHBOARD!$B$11, H25&gt;=DASHBOARD!$B$13), N25, -1000000000000)</f>
        <v/>
      </c>
      <c r="V25" s="101">
        <f>IF(AND(F25&lt;=DASHBOARD!$B$11, H25&gt;=DASHBOARD!$B$13), H25, -1000000000000)</f>
        <v/>
      </c>
      <c r="W25" s="101">
        <f>IF(AND(F25&lt;=DASHBOARD!$B$11, H25&gt;=DASHBOARD!$B$13), K25, -1000000000000)</f>
        <v/>
      </c>
      <c r="X25" s="101">
        <f>IF(AND(F25&lt;=DASHBOARD!$B$11, H25&gt;=DASHBOARD!$B$13), M25, 1000000000000)</f>
        <v/>
      </c>
      <c r="Y25" s="101">
        <f>IF(AND(F25&lt;=DASHBOARD!$B$10, H25&gt;=DASHBOARD!$B$11), L25, 1000000000000)</f>
        <v/>
      </c>
      <c r="Z25" s="101">
        <f>IF(AND(F25&lt;=DASHBOARD!$B$10, H25&gt;=DASHBOARD!$B$11), O25, 1000000000000)</f>
        <v/>
      </c>
      <c r="AA25" s="101">
        <f>IF(AND(F25&lt;=DASHBOARD!$B$10, H25&gt;=DASHBOARD!$B$11), P25, 1000000000000)</f>
        <v/>
      </c>
      <c r="AB25" s="101">
        <f>IF(AND(F25&lt;=DASHBOARD!$B$10, H25&gt;=DASHBOARD!$B$11), Q25, -1000000000000)</f>
        <v/>
      </c>
    </row>
    <row r="26" ht="12.75" customHeight="1" s="102">
      <c r="A26" s="166" t="n">
        <v>22</v>
      </c>
      <c r="B26" s="167" t="n">
        <v>0</v>
      </c>
      <c r="C26" s="167" t="n">
        <v>1</v>
      </c>
      <c r="D26" s="110" t="inlineStr">
        <is>
          <t>Var (%20)</t>
        </is>
      </c>
      <c r="E26" s="110">
        <f>IF((B26+C26)&lt;=1, "Tam Mahsuplaşma (≤%100)", "Kısmi Satış (&gt;%100)")</f>
        <v/>
      </c>
      <c r="F26" s="168">
        <f>((VERI_TABANI!$D$29*B26/VERI_TABANI!$B$29)/VERI_TABANI!$B$3)*VERI_TABANI!$B$5 + ((VERI_TABANI!$D$29*C26/VERI_TABANI!$B$29)/VERI_TABANI!$B$4)*VERI_TABANI!$B$6 + IF(ISNUMBER(SEARCH("Var", D26)), (VERI_TABANI!$F$29/VERI_TABANI!$B$29)*(VERI_TABANI!$B$10+VERI_TABANI!$B$12), 0)</f>
        <v/>
      </c>
      <c r="G26" s="168">
        <f>(((MIN(VERI_TABANI!D23, VERI_TABANI!D23*B26)*VERI_TABANI!$B$7 + MAX(0, VERI_TABANI!D23*B26-VERI_TABANI!D23)*VERI_TABANI!$B$8) + (MIN(MAX(0, VERI_TABANI!D23-VERI_TABANI!D23*B26), VERI_TABANI!D23*C26)*VERI_TABANI!$B$7 + MAX(0, VERI_TABANI!D23*C26-MAX(0, VERI_TABANI!D23-VERI_TABANI!D23*B26))*VERI_TABANI!$B$8) + IF(ABS(IF(ISNUMBER(SEARCH("Var", D26)), 1, IF(ISNUMBER(SEARCH("Gri", D26)), -1, 0)))=1, VERI_TABANI!E23*(1-0.928)*VERI_TABANI!$B$9, 0) + (VERI_TABANI!D23*B26*(VERI_TABANI!$B$13-VERI_TABANI!$B$14)*VERI_TABANI!G23) + (VERI_TABANI!D23*C26*(VERI_TABANI!$B$13-VERI_TABANI!$B$15)*VERI_TABANI!G23) + IF(ABS(IF(ISNUMBER(SEARCH("Var", D26)), 1, IF(ISNUMBER(SEARCH("Gri", D26)), -1, 0)))=1, VERI_TABANI!E23*(1-0.928)*0.00206091519919798*VERI_TABANI!G23, 0)) + ((MIN(VERI_TABANI!D24, VERI_TABANI!D24*B26)*VERI_TABANI!$B$7 + MAX(0, VERI_TABANI!D24*B26-VERI_TABANI!D24)*VERI_TABANI!$B$8) + (MIN(MAX(0, VERI_TABANI!D24-VERI_TABANI!D24*B26), VERI_TABANI!D24*C26)*VERI_TABANI!$B$7 + MAX(0, VERI_TABANI!D24*C26-MAX(0, VERI_TABANI!D24-VERI_TABANI!D24*B26))*VERI_TABANI!$B$8) + IF(ABS(IF(ISNUMBER(SEARCH("Var", D26)), 1, IF(ISNUMBER(SEARCH("Gri", D26)), -1, 0)))=1, VERI_TABANI!E24*(1-0.928)*VERI_TABANI!$B$9, 0) + (VERI_TABANI!D24*B26*(VERI_TABANI!$B$13-VERI_TABANI!$B$14)*VERI_TABANI!G24) + (VERI_TABANI!D24*C26*(VERI_TABANI!$B$13-VERI_TABANI!$B$15)*VERI_TABANI!G24) + IF(ABS(IF(ISNUMBER(SEARCH("Var", D26)), 1, IF(ISNUMBER(SEARCH("Gri", D26)), -1, 0)))=1, VERI_TABANI!E24*(1-0.928)*0.00206091519919798*VERI_TABANI!G24, 0)) + ((MIN(VERI_TABANI!D25, VERI_TABANI!D25*B26)*VERI_TABANI!$B$7 + MAX(0, VERI_TABANI!D25*B26-VERI_TABANI!D25)*VERI_TABANI!$B$8) + (MIN(MAX(0, VERI_TABANI!D25-VERI_TABANI!D25*B26), VERI_TABANI!D25*C26)*VERI_TABANI!$B$7 + MAX(0, VERI_TABANI!D25*C26-MAX(0, VERI_TABANI!D25-VERI_TABANI!D25*B26))*VERI_TABANI!$B$8) + IF(ABS(IF(ISNUMBER(SEARCH("Var", D26)), 1, IF(ISNUMBER(SEARCH("Gri", D26)), -1, 0)))=1, VERI_TABANI!E25*(1-0.928)*VERI_TABANI!$B$9, 0) + (VERI_TABANI!D25*B26*(VERI_TABANI!$B$13-VERI_TABANI!$B$14)*VERI_TABANI!G25) + (VERI_TABANI!D25*C26*(VERI_TABANI!$B$13-VERI_TABANI!$B$15)*VERI_TABANI!G25) + IF(ABS(IF(ISNUMBER(SEARCH("Var", D26)), 1, IF(ISNUMBER(SEARCH("Gri", D26)), -1, 0)))=1, VERI_TABANI!E25*(1-0.928)*0.00206091519919798*VERI_TABANI!G25, 0)) + ((MIN(VERI_TABANI!D26, VERI_TABANI!D26*B26)*VERI_TABANI!$B$7 + MAX(0, VERI_TABANI!D26*B26-VERI_TABANI!D26)*VERI_TABANI!$B$8) + (MIN(MAX(0, VERI_TABANI!D26-VERI_TABANI!D26*B26), VERI_TABANI!D26*C26)*VERI_TABANI!$B$7 + MAX(0, VERI_TABANI!D26*C26-MAX(0, VERI_TABANI!D26-VERI_TABANI!D26*B26))*VERI_TABANI!$B$8) + IF(ABS(IF(ISNUMBER(SEARCH("Var", D26)), 1, IF(ISNUMBER(SEARCH("Gri", D26)), -1, 0)))=1, VERI_TABANI!E26*(1-0.928)*VERI_TABANI!$B$9, 0) + (VERI_TABANI!D26*B26*(VERI_TABANI!$B$13-VERI_TABANI!$B$14)*VERI_TABANI!G26) + (VERI_TABANI!D26*C26*(VERI_TABANI!$B$13-VERI_TABANI!$B$15)*VERI_TABANI!G26) + IF(ABS(IF(ISNUMBER(SEARCH("Var", D26)), 1, IF(ISNUMBER(SEARCH("Gri", D26)), -1, 0)))=1, VERI_TABANI!E26*(1-0.928)*0.00206091519919798*VERI_TABANI!G26, 0)) + ((MIN(VERI_TABANI!D27, VERI_TABANI!D27*B26)*VERI_TABANI!$B$7 + MAX(0, VERI_TABANI!D27*B26-VERI_TABANI!D27)*VERI_TABANI!$B$8) + (MIN(MAX(0, VERI_TABANI!D27-VERI_TABANI!D27*B26), VERI_TABANI!D27*C26)*VERI_TABANI!$B$7 + MAX(0, VERI_TABANI!D27*C26-MAX(0, VERI_TABANI!D27-VERI_TABANI!D27*B26))*VERI_TABANI!$B$8) + IF(ABS(IF(ISNUMBER(SEARCH("Var", D26)), 1, IF(ISNUMBER(SEARCH("Gri", D26)), -1, 0)))=1, VERI_TABANI!E27*(1-0.928)*VERI_TABANI!$B$9, 0) + (VERI_TABANI!D27*B26*(VERI_TABANI!$B$13-VERI_TABANI!$B$14)*VERI_TABANI!G27) + (VERI_TABANI!D27*C26*(VERI_TABANI!$B$13-VERI_TABANI!$B$15)*VERI_TABANI!G27) + IF(ABS(IF(ISNUMBER(SEARCH("Var", D26)), 1, IF(ISNUMBER(SEARCH("Gri", D26)), -1, 0)))=1, VERI_TABANI!E27*(1-0.928)*0.00206091519919798*VERI_TABANI!G27, 0)) + ((MIN(VERI_TABANI!D28, VERI_TABANI!D28*B26)*VERI_TABANI!$B$7 + MAX(0, VERI_TABANI!D28*B26-VERI_TABANI!D28)*VERI_TABANI!$B$8) + (MIN(MAX(0, VERI_TABANI!D28-VERI_TABANI!D28*B26), VERI_TABANI!D28*C26)*VERI_TABANI!$B$7 + MAX(0, VERI_TABANI!D28*C26-MAX(0, VERI_TABANI!D28-VERI_TABANI!D28*B26))*VERI_TABANI!$B$8) + IF(ABS(IF(ISNUMBER(SEARCH("Var", D26)), 1, IF(ISNUMBER(SEARCH("Gri", D26)), -1, 0)))=1, VERI_TABANI!E28*(1-0.928)*VERI_TABANI!$B$9, 0) + (VERI_TABANI!D28*B26*(VERI_TABANI!$B$13-VERI_TABANI!$B$14)*VERI_TABANI!G28) + (VERI_TABANI!D28*C26*(VERI_TABANI!$B$13-VERI_TABANI!$B$15)*VERI_TABANI!G28) + IF(ABS(IF(ISNUMBER(SEARCH("Var", D26)), 1, IF(ISNUMBER(SEARCH("Gri", D26)), -1, 0)))=1, VERI_TABANI!E28*(1-0.928)*0.00206091519919798*VERI_TABANI!G28, 0)))</f>
        <v/>
      </c>
      <c r="H26" s="169">
        <f>(((VERI_TABANI!D23*B26*(VERI_TABANI!$B$13-VERI_TABANI!$B$14)) + (VERI_TABANI!D23*C26*(VERI_TABANI!$B$13-VERI_TABANI!$B$15)) + IF(ISNUMBER(SEARCH("Var", D26)), VERI_TABANI!F23*(0.00202-VERI_TABANI!$B$16), IF(ISNUMBER(SEARCH("Gri", D26)), VERI_TABANI!F23*(0.00202-VERI_TABANI!$B$17), 0))) + ((VERI_TABANI!D24*B26*(VERI_TABANI!$B$13-VERI_TABANI!$B$14)) + (VERI_TABANI!D24*C26*(VERI_TABANI!$B$13-VERI_TABANI!$B$15)) + IF(ISNUMBER(SEARCH("Var", D26)), VERI_TABANI!F24*(0.00202-VERI_TABANI!$B$16), IF(ISNUMBER(SEARCH("Gri", D26)), VERI_TABANI!F24*(0.00202-VERI_TABANI!$B$17), 0))) + ((VERI_TABANI!D25*B26*(VERI_TABANI!$B$13-VERI_TABANI!$B$14)) + (VERI_TABANI!D25*C26*(VERI_TABANI!$B$13-VERI_TABANI!$B$15)) + IF(ISNUMBER(SEARCH("Var", D26)), VERI_TABANI!F25*(0.00202-VERI_TABANI!$B$16), IF(ISNUMBER(SEARCH("Gri", D26)), VERI_TABANI!F25*(0.00202-VERI_TABANI!$B$17), 0))) + ((VERI_TABANI!D26*B26*(VERI_TABANI!$B$13-VERI_TABANI!$B$14)) + (VERI_TABANI!D26*C26*(VERI_TABANI!$B$13-VERI_TABANI!$B$15)) + IF(ISNUMBER(SEARCH("Var", D26)), VERI_TABANI!F26*(0.00202-VERI_TABANI!$B$16), IF(ISNUMBER(SEARCH("Gri", D26)), VERI_TABANI!F26*(0.00202-VERI_TABANI!$B$17), 0))) + ((VERI_TABANI!D27*B26*(VERI_TABANI!$B$13-VERI_TABANI!$B$14)) + (VERI_TABANI!D27*C26*(VERI_TABANI!$B$13-VERI_TABANI!$B$15)) + IF(ISNUMBER(SEARCH("Var", D26)), VERI_TABANI!F27*(0.00202-VERI_TABANI!$B$16), IF(ISNUMBER(SEARCH("Gri", D26)), VERI_TABANI!F27*(0.00202-VERI_TABANI!$B$17), 0))) + ((VERI_TABANI!D28*B26*(VERI_TABANI!$B$13-VERI_TABANI!$B$14)) + (VERI_TABANI!D28*C26*(VERI_TABANI!$B$13-VERI_TABANI!$B$15)) + IF(ISNUMBER(SEARCH("Var", D26)), VERI_TABANI!F28*(0.00202-VERI_TABANI!$B$16), IF(ISNUMBER(SEARCH("Gri", D26)), VERI_TABANI!F28*(0.00202-VERI_TABANI!$B$17), 0))))</f>
        <v/>
      </c>
      <c r="I26" s="170">
        <f>IFERROR(((VERI_TABANI!$D$29*B26*VERI_TABANI!$B$14 + VERI_TABANI!$D$29*C26*VERI_TABANI!$B$15 + IF(ISNUMBER(SEARCH("Var", D26)), VERI_TABANI!$F$29*VERI_TABANI!$B$16, 0))) / (((VERI_TABANI!$D$29*B26 + VERI_TABANI!$D$29*C26)*VERI_TABANI!$B$13 + IF(ISNUMBER(SEARCH("Var", D26)), VERI_TABANI!$E$29*(1-0.928)*VERI_TABANI!$B$18, 0))), 0)</f>
        <v/>
      </c>
      <c r="J26" s="171">
        <f>IFERROR(F26/(G26/29), 0)</f>
        <v/>
      </c>
      <c r="K26" s="172">
        <f>IF(F26&gt;0, H26/F26, 0)</f>
        <v/>
      </c>
      <c r="L26" s="170">
        <f>IF(F26&gt;0, I26, 1000000000)</f>
        <v/>
      </c>
      <c r="M26" s="171">
        <f>ABS((B26+C26)-1)</f>
        <v/>
      </c>
      <c r="N26" s="170">
        <f>IF(F26&gt;0, (G26/29)/F26, 0)</f>
        <v/>
      </c>
      <c r="O26" s="168">
        <f>IF(AND((B26+C26)&gt;=1, ISNUMBER(SEARCH("Var", D26))), F26, 1000000000)</f>
        <v/>
      </c>
      <c r="P26" s="172">
        <f>IF(F26&gt;0, SQRT((F26/MAX(F$5:F$886))^2 + (1 - H26/MAX(H$5:H$886))^2 + (J26/MAX(J$5:J$886))^2), 1000000000)</f>
        <v/>
      </c>
      <c r="Q26" s="166">
        <f>IF(AND(ABS(B26-0.5)&lt;0.01, ABS(C26-0.5)&lt;0.01, ISNUMBER(SEARCH("Var", D26))), 1, 0)</f>
        <v/>
      </c>
      <c r="R26" s="171">
        <f>IF(F26&gt;0, J26, 1000000000)</f>
        <v/>
      </c>
      <c r="S26" s="101">
        <f>IF(AND(F26&lt;=DASHBOARD!$B$11, H26&gt;=DASHBOARD!$B$13), G26, -1000000000000)</f>
        <v/>
      </c>
      <c r="T26" s="101">
        <f>IF(AND(F26&lt;=DASHBOARD!$B$11, H26&gt;=DASHBOARD!$B$13), R26, 1000000000000)</f>
        <v/>
      </c>
      <c r="U26" s="101">
        <f>IF(AND(F26&lt;=DASHBOARD!$B$11, H26&gt;=DASHBOARD!$B$13), N26, -1000000000000)</f>
        <v/>
      </c>
      <c r="V26" s="101">
        <f>IF(AND(F26&lt;=DASHBOARD!$B$11, H26&gt;=DASHBOARD!$B$13), H26, -1000000000000)</f>
        <v/>
      </c>
      <c r="W26" s="101">
        <f>IF(AND(F26&lt;=DASHBOARD!$B$11, H26&gt;=DASHBOARD!$B$13), K26, -1000000000000)</f>
        <v/>
      </c>
      <c r="X26" s="101">
        <f>IF(AND(F26&lt;=DASHBOARD!$B$11, H26&gt;=DASHBOARD!$B$13), M26, 1000000000000)</f>
        <v/>
      </c>
      <c r="Y26" s="101">
        <f>IF(AND(F26&lt;=DASHBOARD!$B$10, H26&gt;=DASHBOARD!$B$11), L26, 1000000000000)</f>
        <v/>
      </c>
      <c r="Z26" s="101">
        <f>IF(AND(F26&lt;=DASHBOARD!$B$10, H26&gt;=DASHBOARD!$B$11), O26, 1000000000000)</f>
        <v/>
      </c>
      <c r="AA26" s="101">
        <f>IF(AND(F26&lt;=DASHBOARD!$B$10, H26&gt;=DASHBOARD!$B$11), P26, 1000000000000)</f>
        <v/>
      </c>
      <c r="AB26" s="101">
        <f>IF(AND(F26&lt;=DASHBOARD!$B$10, H26&gt;=DASHBOARD!$B$11), Q26, -1000000000000)</f>
        <v/>
      </c>
    </row>
    <row r="27" ht="12.75" customHeight="1" s="102">
      <c r="A27" s="166" t="n">
        <v>23</v>
      </c>
      <c r="B27" s="167" t="n">
        <v>0</v>
      </c>
      <c r="C27" s="167" t="n">
        <v>1.1</v>
      </c>
      <c r="D27" s="110" t="inlineStr">
        <is>
          <t>Yok (%0)</t>
        </is>
      </c>
      <c r="E27" s="110">
        <f>IF((B27+C27)&lt;=1, "Tam Mahsuplaşma (≤%100)", "Kısmi Satış (&gt;%100)")</f>
        <v/>
      </c>
      <c r="F27" s="168">
        <f>((VERI_TABANI!$D$29*B27/VERI_TABANI!$B$29)/VERI_TABANI!$B$3)*VERI_TABANI!$B$5 + ((VERI_TABANI!$D$29*C27/VERI_TABANI!$B$29)/VERI_TABANI!$B$4)*VERI_TABANI!$B$6 + IF(ISNUMBER(SEARCH("Var", D27)), (VERI_TABANI!$F$29/VERI_TABANI!$B$29)*(VERI_TABANI!$B$10+VERI_TABANI!$B$12), 0)</f>
        <v/>
      </c>
      <c r="G27" s="168">
        <f>(((MIN(VERI_TABANI!D23, VERI_TABANI!D23*B27)*VERI_TABANI!$B$7 + MAX(0, VERI_TABANI!D23*B27-VERI_TABANI!D23)*VERI_TABANI!$B$8) + (MIN(MAX(0, VERI_TABANI!D23-VERI_TABANI!D23*B27), VERI_TABANI!D23*C27)*VERI_TABANI!$B$7 + MAX(0, VERI_TABANI!D23*C27-MAX(0, VERI_TABANI!D23-VERI_TABANI!D23*B27))*VERI_TABANI!$B$8) + IF(ABS(IF(ISNUMBER(SEARCH("Var", D27)), 1, IF(ISNUMBER(SEARCH("Gri", D27)), -1, 0)))=1, VERI_TABANI!E23*(1-0.928)*VERI_TABANI!$B$9, 0) + (VERI_TABANI!D23*B27*(VERI_TABANI!$B$13-VERI_TABANI!$B$14)*VERI_TABANI!G23) + (VERI_TABANI!D23*C27*(VERI_TABANI!$B$13-VERI_TABANI!$B$15)*VERI_TABANI!G23) + IF(ABS(IF(ISNUMBER(SEARCH("Var", D27)), 1, IF(ISNUMBER(SEARCH("Gri", D27)), -1, 0)))=1, VERI_TABANI!E23*(1-0.928)*0.00206091519919798*VERI_TABANI!G23, 0)) + ((MIN(VERI_TABANI!D24, VERI_TABANI!D24*B27)*VERI_TABANI!$B$7 + MAX(0, VERI_TABANI!D24*B27-VERI_TABANI!D24)*VERI_TABANI!$B$8) + (MIN(MAX(0, VERI_TABANI!D24-VERI_TABANI!D24*B27), VERI_TABANI!D24*C27)*VERI_TABANI!$B$7 + MAX(0, VERI_TABANI!D24*C27-MAX(0, VERI_TABANI!D24-VERI_TABANI!D24*B27))*VERI_TABANI!$B$8) + IF(ABS(IF(ISNUMBER(SEARCH("Var", D27)), 1, IF(ISNUMBER(SEARCH("Gri", D27)), -1, 0)))=1, VERI_TABANI!E24*(1-0.928)*VERI_TABANI!$B$9, 0) + (VERI_TABANI!D24*B27*(VERI_TABANI!$B$13-VERI_TABANI!$B$14)*VERI_TABANI!G24) + (VERI_TABANI!D24*C27*(VERI_TABANI!$B$13-VERI_TABANI!$B$15)*VERI_TABANI!G24) + IF(ABS(IF(ISNUMBER(SEARCH("Var", D27)), 1, IF(ISNUMBER(SEARCH("Gri", D27)), -1, 0)))=1, VERI_TABANI!E24*(1-0.928)*0.00206091519919798*VERI_TABANI!G24, 0)) + ((MIN(VERI_TABANI!D25, VERI_TABANI!D25*B27)*VERI_TABANI!$B$7 + MAX(0, VERI_TABANI!D25*B27-VERI_TABANI!D25)*VERI_TABANI!$B$8) + (MIN(MAX(0, VERI_TABANI!D25-VERI_TABANI!D25*B27), VERI_TABANI!D25*C27)*VERI_TABANI!$B$7 + MAX(0, VERI_TABANI!D25*C27-MAX(0, VERI_TABANI!D25-VERI_TABANI!D25*B27))*VERI_TABANI!$B$8) + IF(ABS(IF(ISNUMBER(SEARCH("Var", D27)), 1, IF(ISNUMBER(SEARCH("Gri", D27)), -1, 0)))=1, VERI_TABANI!E25*(1-0.928)*VERI_TABANI!$B$9, 0) + (VERI_TABANI!D25*B27*(VERI_TABANI!$B$13-VERI_TABANI!$B$14)*VERI_TABANI!G25) + (VERI_TABANI!D25*C27*(VERI_TABANI!$B$13-VERI_TABANI!$B$15)*VERI_TABANI!G25) + IF(ABS(IF(ISNUMBER(SEARCH("Var", D27)), 1, IF(ISNUMBER(SEARCH("Gri", D27)), -1, 0)))=1, VERI_TABANI!E25*(1-0.928)*0.00206091519919798*VERI_TABANI!G25, 0)) + ((MIN(VERI_TABANI!D26, VERI_TABANI!D26*B27)*VERI_TABANI!$B$7 + MAX(0, VERI_TABANI!D26*B27-VERI_TABANI!D26)*VERI_TABANI!$B$8) + (MIN(MAX(0, VERI_TABANI!D26-VERI_TABANI!D26*B27), VERI_TABANI!D26*C27)*VERI_TABANI!$B$7 + MAX(0, VERI_TABANI!D26*C27-MAX(0, VERI_TABANI!D26-VERI_TABANI!D26*B27))*VERI_TABANI!$B$8) + IF(ABS(IF(ISNUMBER(SEARCH("Var", D27)), 1, IF(ISNUMBER(SEARCH("Gri", D27)), -1, 0)))=1, VERI_TABANI!E26*(1-0.928)*VERI_TABANI!$B$9, 0) + (VERI_TABANI!D26*B27*(VERI_TABANI!$B$13-VERI_TABANI!$B$14)*VERI_TABANI!G26) + (VERI_TABANI!D26*C27*(VERI_TABANI!$B$13-VERI_TABANI!$B$15)*VERI_TABANI!G26) + IF(ABS(IF(ISNUMBER(SEARCH("Var", D27)), 1, IF(ISNUMBER(SEARCH("Gri", D27)), -1, 0)))=1, VERI_TABANI!E26*(1-0.928)*0.00206091519919798*VERI_TABANI!G26, 0)) + ((MIN(VERI_TABANI!D27, VERI_TABANI!D27*B27)*VERI_TABANI!$B$7 + MAX(0, VERI_TABANI!D27*B27-VERI_TABANI!D27)*VERI_TABANI!$B$8) + (MIN(MAX(0, VERI_TABANI!D27-VERI_TABANI!D27*B27), VERI_TABANI!D27*C27)*VERI_TABANI!$B$7 + MAX(0, VERI_TABANI!D27*C27-MAX(0, VERI_TABANI!D27-VERI_TABANI!D27*B27))*VERI_TABANI!$B$8) + IF(ABS(IF(ISNUMBER(SEARCH("Var", D27)), 1, IF(ISNUMBER(SEARCH("Gri", D27)), -1, 0)))=1, VERI_TABANI!E27*(1-0.928)*VERI_TABANI!$B$9, 0) + (VERI_TABANI!D27*B27*(VERI_TABANI!$B$13-VERI_TABANI!$B$14)*VERI_TABANI!G27) + (VERI_TABANI!D27*C27*(VERI_TABANI!$B$13-VERI_TABANI!$B$15)*VERI_TABANI!G27) + IF(ABS(IF(ISNUMBER(SEARCH("Var", D27)), 1, IF(ISNUMBER(SEARCH("Gri", D27)), -1, 0)))=1, VERI_TABANI!E27*(1-0.928)*0.00206091519919798*VERI_TABANI!G27, 0)) + ((MIN(VERI_TABANI!D28, VERI_TABANI!D28*B27)*VERI_TABANI!$B$7 + MAX(0, VERI_TABANI!D28*B27-VERI_TABANI!D28)*VERI_TABANI!$B$8) + (MIN(MAX(0, VERI_TABANI!D28-VERI_TABANI!D28*B27), VERI_TABANI!D28*C27)*VERI_TABANI!$B$7 + MAX(0, VERI_TABANI!D28*C27-MAX(0, VERI_TABANI!D28-VERI_TABANI!D28*B27))*VERI_TABANI!$B$8) + IF(ABS(IF(ISNUMBER(SEARCH("Var", D27)), 1, IF(ISNUMBER(SEARCH("Gri", D27)), -1, 0)))=1, VERI_TABANI!E28*(1-0.928)*VERI_TABANI!$B$9, 0) + (VERI_TABANI!D28*B27*(VERI_TABANI!$B$13-VERI_TABANI!$B$14)*VERI_TABANI!G28) + (VERI_TABANI!D28*C27*(VERI_TABANI!$B$13-VERI_TABANI!$B$15)*VERI_TABANI!G28) + IF(ABS(IF(ISNUMBER(SEARCH("Var", D27)), 1, IF(ISNUMBER(SEARCH("Gri", D27)), -1, 0)))=1, VERI_TABANI!E28*(1-0.928)*0.00206091519919798*VERI_TABANI!G28, 0)))</f>
        <v/>
      </c>
      <c r="H27" s="169">
        <f>(((VERI_TABANI!D23*B27*(VERI_TABANI!$B$13-VERI_TABANI!$B$14)) + (VERI_TABANI!D23*C27*(VERI_TABANI!$B$13-VERI_TABANI!$B$15)) + IF(ISNUMBER(SEARCH("Var", D27)), VERI_TABANI!F23*(0.00202-VERI_TABANI!$B$16), IF(ISNUMBER(SEARCH("Gri", D27)), VERI_TABANI!F23*(0.00202-VERI_TABANI!$B$17), 0))) + ((VERI_TABANI!D24*B27*(VERI_TABANI!$B$13-VERI_TABANI!$B$14)) + (VERI_TABANI!D24*C27*(VERI_TABANI!$B$13-VERI_TABANI!$B$15)) + IF(ISNUMBER(SEARCH("Var", D27)), VERI_TABANI!F24*(0.00202-VERI_TABANI!$B$16), IF(ISNUMBER(SEARCH("Gri", D27)), VERI_TABANI!F24*(0.00202-VERI_TABANI!$B$17), 0))) + ((VERI_TABANI!D25*B27*(VERI_TABANI!$B$13-VERI_TABANI!$B$14)) + (VERI_TABANI!D25*C27*(VERI_TABANI!$B$13-VERI_TABANI!$B$15)) + IF(ISNUMBER(SEARCH("Var", D27)), VERI_TABANI!F25*(0.00202-VERI_TABANI!$B$16), IF(ISNUMBER(SEARCH("Gri", D27)), VERI_TABANI!F25*(0.00202-VERI_TABANI!$B$17), 0))) + ((VERI_TABANI!D26*B27*(VERI_TABANI!$B$13-VERI_TABANI!$B$14)) + (VERI_TABANI!D26*C27*(VERI_TABANI!$B$13-VERI_TABANI!$B$15)) + IF(ISNUMBER(SEARCH("Var", D27)), VERI_TABANI!F26*(0.00202-VERI_TABANI!$B$16), IF(ISNUMBER(SEARCH("Gri", D27)), VERI_TABANI!F26*(0.00202-VERI_TABANI!$B$17), 0))) + ((VERI_TABANI!D27*B27*(VERI_TABANI!$B$13-VERI_TABANI!$B$14)) + (VERI_TABANI!D27*C27*(VERI_TABANI!$B$13-VERI_TABANI!$B$15)) + IF(ISNUMBER(SEARCH("Var", D27)), VERI_TABANI!F27*(0.00202-VERI_TABANI!$B$16), IF(ISNUMBER(SEARCH("Gri", D27)), VERI_TABANI!F27*(0.00202-VERI_TABANI!$B$17), 0))) + ((VERI_TABANI!D28*B27*(VERI_TABANI!$B$13-VERI_TABANI!$B$14)) + (VERI_TABANI!D28*C27*(VERI_TABANI!$B$13-VERI_TABANI!$B$15)) + IF(ISNUMBER(SEARCH("Var", D27)), VERI_TABANI!F28*(0.00202-VERI_TABANI!$B$16), IF(ISNUMBER(SEARCH("Gri", D27)), VERI_TABANI!F28*(0.00202-VERI_TABANI!$B$17), 0))))</f>
        <v/>
      </c>
      <c r="I27" s="170">
        <f>IFERROR(((VERI_TABANI!$D$29*B27*VERI_TABANI!$B$14 + VERI_TABANI!$D$29*C27*VERI_TABANI!$B$15 + IF(ISNUMBER(SEARCH("Var", D27)), VERI_TABANI!$F$29*VERI_TABANI!$B$16, 0))) / (((VERI_TABANI!$D$29*B27 + VERI_TABANI!$D$29*C27)*VERI_TABANI!$B$13 + IF(ISNUMBER(SEARCH("Var", D27)), VERI_TABANI!$E$29*(1-0.928)*VERI_TABANI!$B$18, 0))), 0)</f>
        <v/>
      </c>
      <c r="J27" s="171">
        <f>IFERROR(F27/(G27/29), 0)</f>
        <v/>
      </c>
      <c r="K27" s="172">
        <f>IF(F27&gt;0, H27/F27, 0)</f>
        <v/>
      </c>
      <c r="L27" s="170">
        <f>IF(F27&gt;0, I27, 1000000000)</f>
        <v/>
      </c>
      <c r="M27" s="171">
        <f>ABS((B27+C27)-1)</f>
        <v/>
      </c>
      <c r="N27" s="170">
        <f>IF(F27&gt;0, (G27/29)/F27, 0)</f>
        <v/>
      </c>
      <c r="O27" s="168">
        <f>IF(AND((B27+C27)&gt;=1, ISNUMBER(SEARCH("Var", D27))), F27, 1000000000)</f>
        <v/>
      </c>
      <c r="P27" s="172">
        <f>IF(F27&gt;0, SQRT((F27/MAX(F$5:F$886))^2 + (1 - H27/MAX(H$5:H$886))^2 + (J27/MAX(J$5:J$886))^2), 1000000000)</f>
        <v/>
      </c>
      <c r="Q27" s="166">
        <f>IF(AND(ABS(B27-0.5)&lt;0.01, ABS(C27-0.5)&lt;0.01, ISNUMBER(SEARCH("Var", D27))), 1, 0)</f>
        <v/>
      </c>
      <c r="R27" s="171">
        <f>IF(F27&gt;0, J27, 1000000000)</f>
        <v/>
      </c>
      <c r="S27" s="101">
        <f>IF(AND(F27&lt;=DASHBOARD!$B$11, H27&gt;=DASHBOARD!$B$13), G27, -1000000000000)</f>
        <v/>
      </c>
      <c r="T27" s="101">
        <f>IF(AND(F27&lt;=DASHBOARD!$B$11, H27&gt;=DASHBOARD!$B$13), R27, 1000000000000)</f>
        <v/>
      </c>
      <c r="U27" s="101">
        <f>IF(AND(F27&lt;=DASHBOARD!$B$11, H27&gt;=DASHBOARD!$B$13), N27, -1000000000000)</f>
        <v/>
      </c>
      <c r="V27" s="101">
        <f>IF(AND(F27&lt;=DASHBOARD!$B$11, H27&gt;=DASHBOARD!$B$13), H27, -1000000000000)</f>
        <v/>
      </c>
      <c r="W27" s="101">
        <f>IF(AND(F27&lt;=DASHBOARD!$B$11, H27&gt;=DASHBOARD!$B$13), K27, -1000000000000)</f>
        <v/>
      </c>
      <c r="X27" s="101">
        <f>IF(AND(F27&lt;=DASHBOARD!$B$11, H27&gt;=DASHBOARD!$B$13), M27, 1000000000000)</f>
        <v/>
      </c>
      <c r="Y27" s="101">
        <f>IF(AND(F27&lt;=DASHBOARD!$B$10, H27&gt;=DASHBOARD!$B$11), L27, 1000000000000)</f>
        <v/>
      </c>
      <c r="Z27" s="101">
        <f>IF(AND(F27&lt;=DASHBOARD!$B$10, H27&gt;=DASHBOARD!$B$11), O27, 1000000000000)</f>
        <v/>
      </c>
      <c r="AA27" s="101">
        <f>IF(AND(F27&lt;=DASHBOARD!$B$10, H27&gt;=DASHBOARD!$B$11), P27, 1000000000000)</f>
        <v/>
      </c>
      <c r="AB27" s="101">
        <f>IF(AND(F27&lt;=DASHBOARD!$B$10, H27&gt;=DASHBOARD!$B$11), Q27, -1000000000000)</f>
        <v/>
      </c>
    </row>
    <row r="28" ht="12.75" customHeight="1" s="102">
      <c r="A28" s="166" t="n">
        <v>24</v>
      </c>
      <c r="B28" s="167" t="n">
        <v>0</v>
      </c>
      <c r="C28" s="167" t="n">
        <v>1.1</v>
      </c>
      <c r="D28" s="110" t="inlineStr">
        <is>
          <t>Var (%20)</t>
        </is>
      </c>
      <c r="E28" s="110">
        <f>IF((B28+C28)&lt;=1, "Tam Mahsuplaşma (≤%100)", "Kısmi Satış (&gt;%100)")</f>
        <v/>
      </c>
      <c r="F28" s="168">
        <f>((VERI_TABANI!$D$29*B28/VERI_TABANI!$B$29)/VERI_TABANI!$B$3)*VERI_TABANI!$B$5 + ((VERI_TABANI!$D$29*C28/VERI_TABANI!$B$29)/VERI_TABANI!$B$4)*VERI_TABANI!$B$6 + IF(ISNUMBER(SEARCH("Var", D28)), (VERI_TABANI!$F$29/VERI_TABANI!$B$29)*(VERI_TABANI!$B$10+VERI_TABANI!$B$12), 0)</f>
        <v/>
      </c>
      <c r="G28" s="168">
        <f>(((MIN(VERI_TABANI!D23, VERI_TABANI!D23*B28)*VERI_TABANI!$B$7 + MAX(0, VERI_TABANI!D23*B28-VERI_TABANI!D23)*VERI_TABANI!$B$8) + (MIN(MAX(0, VERI_TABANI!D23-VERI_TABANI!D23*B28), VERI_TABANI!D23*C28)*VERI_TABANI!$B$7 + MAX(0, VERI_TABANI!D23*C28-MAX(0, VERI_TABANI!D23-VERI_TABANI!D23*B28))*VERI_TABANI!$B$8) + IF(ABS(IF(ISNUMBER(SEARCH("Var", D28)), 1, IF(ISNUMBER(SEARCH("Gri", D28)), -1, 0)))=1, VERI_TABANI!E23*(1-0.928)*VERI_TABANI!$B$9, 0) + (VERI_TABANI!D23*B28*(VERI_TABANI!$B$13-VERI_TABANI!$B$14)*VERI_TABANI!G23) + (VERI_TABANI!D23*C28*(VERI_TABANI!$B$13-VERI_TABANI!$B$15)*VERI_TABANI!G23) + IF(ABS(IF(ISNUMBER(SEARCH("Var", D28)), 1, IF(ISNUMBER(SEARCH("Gri", D28)), -1, 0)))=1, VERI_TABANI!E23*(1-0.928)*0.00206091519919798*VERI_TABANI!G23, 0)) + ((MIN(VERI_TABANI!D24, VERI_TABANI!D24*B28)*VERI_TABANI!$B$7 + MAX(0, VERI_TABANI!D24*B28-VERI_TABANI!D24)*VERI_TABANI!$B$8) + (MIN(MAX(0, VERI_TABANI!D24-VERI_TABANI!D24*B28), VERI_TABANI!D24*C28)*VERI_TABANI!$B$7 + MAX(0, VERI_TABANI!D24*C28-MAX(0, VERI_TABANI!D24-VERI_TABANI!D24*B28))*VERI_TABANI!$B$8) + IF(ABS(IF(ISNUMBER(SEARCH("Var", D28)), 1, IF(ISNUMBER(SEARCH("Gri", D28)), -1, 0)))=1, VERI_TABANI!E24*(1-0.928)*VERI_TABANI!$B$9, 0) + (VERI_TABANI!D24*B28*(VERI_TABANI!$B$13-VERI_TABANI!$B$14)*VERI_TABANI!G24) + (VERI_TABANI!D24*C28*(VERI_TABANI!$B$13-VERI_TABANI!$B$15)*VERI_TABANI!G24) + IF(ABS(IF(ISNUMBER(SEARCH("Var", D28)), 1, IF(ISNUMBER(SEARCH("Gri", D28)), -1, 0)))=1, VERI_TABANI!E24*(1-0.928)*0.00206091519919798*VERI_TABANI!G24, 0)) + ((MIN(VERI_TABANI!D25, VERI_TABANI!D25*B28)*VERI_TABANI!$B$7 + MAX(0, VERI_TABANI!D25*B28-VERI_TABANI!D25)*VERI_TABANI!$B$8) + (MIN(MAX(0, VERI_TABANI!D25-VERI_TABANI!D25*B28), VERI_TABANI!D25*C28)*VERI_TABANI!$B$7 + MAX(0, VERI_TABANI!D25*C28-MAX(0, VERI_TABANI!D25-VERI_TABANI!D25*B28))*VERI_TABANI!$B$8) + IF(ABS(IF(ISNUMBER(SEARCH("Var", D28)), 1, IF(ISNUMBER(SEARCH("Gri", D28)), -1, 0)))=1, VERI_TABANI!E25*(1-0.928)*VERI_TABANI!$B$9, 0) + (VERI_TABANI!D25*B28*(VERI_TABANI!$B$13-VERI_TABANI!$B$14)*VERI_TABANI!G25) + (VERI_TABANI!D25*C28*(VERI_TABANI!$B$13-VERI_TABANI!$B$15)*VERI_TABANI!G25) + IF(ABS(IF(ISNUMBER(SEARCH("Var", D28)), 1, IF(ISNUMBER(SEARCH("Gri", D28)), -1, 0)))=1, VERI_TABANI!E25*(1-0.928)*0.00206091519919798*VERI_TABANI!G25, 0)) + ((MIN(VERI_TABANI!D26, VERI_TABANI!D26*B28)*VERI_TABANI!$B$7 + MAX(0, VERI_TABANI!D26*B28-VERI_TABANI!D26)*VERI_TABANI!$B$8) + (MIN(MAX(0, VERI_TABANI!D26-VERI_TABANI!D26*B28), VERI_TABANI!D26*C28)*VERI_TABANI!$B$7 + MAX(0, VERI_TABANI!D26*C28-MAX(0, VERI_TABANI!D26-VERI_TABANI!D26*B28))*VERI_TABANI!$B$8) + IF(ABS(IF(ISNUMBER(SEARCH("Var", D28)), 1, IF(ISNUMBER(SEARCH("Gri", D28)), -1, 0)))=1, VERI_TABANI!E26*(1-0.928)*VERI_TABANI!$B$9, 0) + (VERI_TABANI!D26*B28*(VERI_TABANI!$B$13-VERI_TABANI!$B$14)*VERI_TABANI!G26) + (VERI_TABANI!D26*C28*(VERI_TABANI!$B$13-VERI_TABANI!$B$15)*VERI_TABANI!G26) + IF(ABS(IF(ISNUMBER(SEARCH("Var", D28)), 1, IF(ISNUMBER(SEARCH("Gri", D28)), -1, 0)))=1, VERI_TABANI!E26*(1-0.928)*0.00206091519919798*VERI_TABANI!G26, 0)) + ((MIN(VERI_TABANI!D27, VERI_TABANI!D27*B28)*VERI_TABANI!$B$7 + MAX(0, VERI_TABANI!D27*B28-VERI_TABANI!D27)*VERI_TABANI!$B$8) + (MIN(MAX(0, VERI_TABANI!D27-VERI_TABANI!D27*B28), VERI_TABANI!D27*C28)*VERI_TABANI!$B$7 + MAX(0, VERI_TABANI!D27*C28-MAX(0, VERI_TABANI!D27-VERI_TABANI!D27*B28))*VERI_TABANI!$B$8) + IF(ABS(IF(ISNUMBER(SEARCH("Var", D28)), 1, IF(ISNUMBER(SEARCH("Gri", D28)), -1, 0)))=1, VERI_TABANI!E27*(1-0.928)*VERI_TABANI!$B$9, 0) + (VERI_TABANI!D27*B28*(VERI_TABANI!$B$13-VERI_TABANI!$B$14)*VERI_TABANI!G27) + (VERI_TABANI!D27*C28*(VERI_TABANI!$B$13-VERI_TABANI!$B$15)*VERI_TABANI!G27) + IF(ABS(IF(ISNUMBER(SEARCH("Var", D28)), 1, IF(ISNUMBER(SEARCH("Gri", D28)), -1, 0)))=1, VERI_TABANI!E27*(1-0.928)*0.00206091519919798*VERI_TABANI!G27, 0)) + ((MIN(VERI_TABANI!D28, VERI_TABANI!D28*B28)*VERI_TABANI!$B$7 + MAX(0, VERI_TABANI!D28*B28-VERI_TABANI!D28)*VERI_TABANI!$B$8) + (MIN(MAX(0, VERI_TABANI!D28-VERI_TABANI!D28*B28), VERI_TABANI!D28*C28)*VERI_TABANI!$B$7 + MAX(0, VERI_TABANI!D28*C28-MAX(0, VERI_TABANI!D28-VERI_TABANI!D28*B28))*VERI_TABANI!$B$8) + IF(ABS(IF(ISNUMBER(SEARCH("Var", D28)), 1, IF(ISNUMBER(SEARCH("Gri", D28)), -1, 0)))=1, VERI_TABANI!E28*(1-0.928)*VERI_TABANI!$B$9, 0) + (VERI_TABANI!D28*B28*(VERI_TABANI!$B$13-VERI_TABANI!$B$14)*VERI_TABANI!G28) + (VERI_TABANI!D28*C28*(VERI_TABANI!$B$13-VERI_TABANI!$B$15)*VERI_TABANI!G28) + IF(ABS(IF(ISNUMBER(SEARCH("Var", D28)), 1, IF(ISNUMBER(SEARCH("Gri", D28)), -1, 0)))=1, VERI_TABANI!E28*(1-0.928)*0.00206091519919798*VERI_TABANI!G28, 0)))</f>
        <v/>
      </c>
      <c r="H28" s="169">
        <f>(((VERI_TABANI!D23*B28*(VERI_TABANI!$B$13-VERI_TABANI!$B$14)) + (VERI_TABANI!D23*C28*(VERI_TABANI!$B$13-VERI_TABANI!$B$15)) + IF(ISNUMBER(SEARCH("Var", D28)), VERI_TABANI!F23*(0.00202-VERI_TABANI!$B$16), IF(ISNUMBER(SEARCH("Gri", D28)), VERI_TABANI!F23*(0.00202-VERI_TABANI!$B$17), 0))) + ((VERI_TABANI!D24*B28*(VERI_TABANI!$B$13-VERI_TABANI!$B$14)) + (VERI_TABANI!D24*C28*(VERI_TABANI!$B$13-VERI_TABANI!$B$15)) + IF(ISNUMBER(SEARCH("Var", D28)), VERI_TABANI!F24*(0.00202-VERI_TABANI!$B$16), IF(ISNUMBER(SEARCH("Gri", D28)), VERI_TABANI!F24*(0.00202-VERI_TABANI!$B$17), 0))) + ((VERI_TABANI!D25*B28*(VERI_TABANI!$B$13-VERI_TABANI!$B$14)) + (VERI_TABANI!D25*C28*(VERI_TABANI!$B$13-VERI_TABANI!$B$15)) + IF(ISNUMBER(SEARCH("Var", D28)), VERI_TABANI!F25*(0.00202-VERI_TABANI!$B$16), IF(ISNUMBER(SEARCH("Gri", D28)), VERI_TABANI!F25*(0.00202-VERI_TABANI!$B$17), 0))) + ((VERI_TABANI!D26*B28*(VERI_TABANI!$B$13-VERI_TABANI!$B$14)) + (VERI_TABANI!D26*C28*(VERI_TABANI!$B$13-VERI_TABANI!$B$15)) + IF(ISNUMBER(SEARCH("Var", D28)), VERI_TABANI!F26*(0.00202-VERI_TABANI!$B$16), IF(ISNUMBER(SEARCH("Gri", D28)), VERI_TABANI!F26*(0.00202-VERI_TABANI!$B$17), 0))) + ((VERI_TABANI!D27*B28*(VERI_TABANI!$B$13-VERI_TABANI!$B$14)) + (VERI_TABANI!D27*C28*(VERI_TABANI!$B$13-VERI_TABANI!$B$15)) + IF(ISNUMBER(SEARCH("Var", D28)), VERI_TABANI!F27*(0.00202-VERI_TABANI!$B$16), IF(ISNUMBER(SEARCH("Gri", D28)), VERI_TABANI!F27*(0.00202-VERI_TABANI!$B$17), 0))) + ((VERI_TABANI!D28*B28*(VERI_TABANI!$B$13-VERI_TABANI!$B$14)) + (VERI_TABANI!D28*C28*(VERI_TABANI!$B$13-VERI_TABANI!$B$15)) + IF(ISNUMBER(SEARCH("Var", D28)), VERI_TABANI!F28*(0.00202-VERI_TABANI!$B$16), IF(ISNUMBER(SEARCH("Gri", D28)), VERI_TABANI!F28*(0.00202-VERI_TABANI!$B$17), 0))))</f>
        <v/>
      </c>
      <c r="I28" s="170">
        <f>IFERROR(((VERI_TABANI!$D$29*B28*VERI_TABANI!$B$14 + VERI_TABANI!$D$29*C28*VERI_TABANI!$B$15 + IF(ISNUMBER(SEARCH("Var", D28)), VERI_TABANI!$F$29*VERI_TABANI!$B$16, 0))) / (((VERI_TABANI!$D$29*B28 + VERI_TABANI!$D$29*C28)*VERI_TABANI!$B$13 + IF(ISNUMBER(SEARCH("Var", D28)), VERI_TABANI!$E$29*(1-0.928)*VERI_TABANI!$B$18, 0))), 0)</f>
        <v/>
      </c>
      <c r="J28" s="171">
        <f>IFERROR(F28/(G28/29), 0)</f>
        <v/>
      </c>
      <c r="K28" s="172">
        <f>IF(F28&gt;0, H28/F28, 0)</f>
        <v/>
      </c>
      <c r="L28" s="170">
        <f>IF(F28&gt;0, I28, 1000000000)</f>
        <v/>
      </c>
      <c r="M28" s="171">
        <f>ABS((B28+C28)-1)</f>
        <v/>
      </c>
      <c r="N28" s="170">
        <f>IF(F28&gt;0, (G28/29)/F28, 0)</f>
        <v/>
      </c>
      <c r="O28" s="168">
        <f>IF(AND((B28+C28)&gt;=1, ISNUMBER(SEARCH("Var", D28))), F28, 1000000000)</f>
        <v/>
      </c>
      <c r="P28" s="172">
        <f>IF(F28&gt;0, SQRT((F28/MAX(F$5:F$886))^2 + (1 - H28/MAX(H$5:H$886))^2 + (J28/MAX(J$5:J$886))^2), 1000000000)</f>
        <v/>
      </c>
      <c r="Q28" s="166">
        <f>IF(AND(ABS(B28-0.5)&lt;0.01, ABS(C28-0.5)&lt;0.01, ISNUMBER(SEARCH("Var", D28))), 1, 0)</f>
        <v/>
      </c>
      <c r="R28" s="171">
        <f>IF(F28&gt;0, J28, 1000000000)</f>
        <v/>
      </c>
      <c r="S28" s="101">
        <f>IF(AND(F28&lt;=DASHBOARD!$B$11, H28&gt;=DASHBOARD!$B$13), G28, -1000000000000)</f>
        <v/>
      </c>
      <c r="T28" s="101">
        <f>IF(AND(F28&lt;=DASHBOARD!$B$11, H28&gt;=DASHBOARD!$B$13), R28, 1000000000000)</f>
        <v/>
      </c>
      <c r="U28" s="101">
        <f>IF(AND(F28&lt;=DASHBOARD!$B$11, H28&gt;=DASHBOARD!$B$13), N28, -1000000000000)</f>
        <v/>
      </c>
      <c r="V28" s="101">
        <f>IF(AND(F28&lt;=DASHBOARD!$B$11, H28&gt;=DASHBOARD!$B$13), H28, -1000000000000)</f>
        <v/>
      </c>
      <c r="W28" s="101">
        <f>IF(AND(F28&lt;=DASHBOARD!$B$11, H28&gt;=DASHBOARD!$B$13), K28, -1000000000000)</f>
        <v/>
      </c>
      <c r="X28" s="101">
        <f>IF(AND(F28&lt;=DASHBOARD!$B$11, H28&gt;=DASHBOARD!$B$13), M28, 1000000000000)</f>
        <v/>
      </c>
      <c r="Y28" s="101">
        <f>IF(AND(F28&lt;=DASHBOARD!$B$10, H28&gt;=DASHBOARD!$B$11), L28, 1000000000000)</f>
        <v/>
      </c>
      <c r="Z28" s="101">
        <f>IF(AND(F28&lt;=DASHBOARD!$B$10, H28&gt;=DASHBOARD!$B$11), O28, 1000000000000)</f>
        <v/>
      </c>
      <c r="AA28" s="101">
        <f>IF(AND(F28&lt;=DASHBOARD!$B$10, H28&gt;=DASHBOARD!$B$11), P28, 1000000000000)</f>
        <v/>
      </c>
      <c r="AB28" s="101">
        <f>IF(AND(F28&lt;=DASHBOARD!$B$10, H28&gt;=DASHBOARD!$B$11), Q28, -1000000000000)</f>
        <v/>
      </c>
    </row>
    <row r="29" ht="12.75" customHeight="1" s="102">
      <c r="A29" s="166" t="n">
        <v>25</v>
      </c>
      <c r="B29" s="167" t="n">
        <v>0</v>
      </c>
      <c r="C29" s="167" t="n">
        <v>1.2</v>
      </c>
      <c r="D29" s="110" t="inlineStr">
        <is>
          <t>Yok (%0)</t>
        </is>
      </c>
      <c r="E29" s="110">
        <f>IF((B29+C29)&lt;=1, "Tam Mahsuplaşma (≤%100)", "Kısmi Satış (&gt;%100)")</f>
        <v/>
      </c>
      <c r="F29" s="168">
        <f>((VERI_TABANI!$D$29*B29/VERI_TABANI!$B$29)/VERI_TABANI!$B$3)*VERI_TABANI!$B$5 + ((VERI_TABANI!$D$29*C29/VERI_TABANI!$B$29)/VERI_TABANI!$B$4)*VERI_TABANI!$B$6 + IF(ISNUMBER(SEARCH("Var", D29)), (VERI_TABANI!$F$29/VERI_TABANI!$B$29)*(VERI_TABANI!$B$10+VERI_TABANI!$B$12), 0)</f>
        <v/>
      </c>
      <c r="G29" s="168">
        <f>(((MIN(VERI_TABANI!D23, VERI_TABANI!D23*B29)*VERI_TABANI!$B$7 + MAX(0, VERI_TABANI!D23*B29-VERI_TABANI!D23)*VERI_TABANI!$B$8) + (MIN(MAX(0, VERI_TABANI!D23-VERI_TABANI!D23*B29), VERI_TABANI!D23*C29)*VERI_TABANI!$B$7 + MAX(0, VERI_TABANI!D23*C29-MAX(0, VERI_TABANI!D23-VERI_TABANI!D23*B29))*VERI_TABANI!$B$8) + IF(ABS(IF(ISNUMBER(SEARCH("Var", D29)), 1, IF(ISNUMBER(SEARCH("Gri", D29)), -1, 0)))=1, VERI_TABANI!E23*(1-0.928)*VERI_TABANI!$B$9, 0) + (VERI_TABANI!D23*B29*(VERI_TABANI!$B$13-VERI_TABANI!$B$14)*VERI_TABANI!G23) + (VERI_TABANI!D23*C29*(VERI_TABANI!$B$13-VERI_TABANI!$B$15)*VERI_TABANI!G23) + IF(ABS(IF(ISNUMBER(SEARCH("Var", D29)), 1, IF(ISNUMBER(SEARCH("Gri", D29)), -1, 0)))=1, VERI_TABANI!E23*(1-0.928)*0.00206091519919798*VERI_TABANI!G23, 0)) + ((MIN(VERI_TABANI!D24, VERI_TABANI!D24*B29)*VERI_TABANI!$B$7 + MAX(0, VERI_TABANI!D24*B29-VERI_TABANI!D24)*VERI_TABANI!$B$8) + (MIN(MAX(0, VERI_TABANI!D24-VERI_TABANI!D24*B29), VERI_TABANI!D24*C29)*VERI_TABANI!$B$7 + MAX(0, VERI_TABANI!D24*C29-MAX(0, VERI_TABANI!D24-VERI_TABANI!D24*B29))*VERI_TABANI!$B$8) + IF(ABS(IF(ISNUMBER(SEARCH("Var", D29)), 1, IF(ISNUMBER(SEARCH("Gri", D29)), -1, 0)))=1, VERI_TABANI!E24*(1-0.928)*VERI_TABANI!$B$9, 0) + (VERI_TABANI!D24*B29*(VERI_TABANI!$B$13-VERI_TABANI!$B$14)*VERI_TABANI!G24) + (VERI_TABANI!D24*C29*(VERI_TABANI!$B$13-VERI_TABANI!$B$15)*VERI_TABANI!G24) + IF(ABS(IF(ISNUMBER(SEARCH("Var", D29)), 1, IF(ISNUMBER(SEARCH("Gri", D29)), -1, 0)))=1, VERI_TABANI!E24*(1-0.928)*0.00206091519919798*VERI_TABANI!G24, 0)) + ((MIN(VERI_TABANI!D25, VERI_TABANI!D25*B29)*VERI_TABANI!$B$7 + MAX(0, VERI_TABANI!D25*B29-VERI_TABANI!D25)*VERI_TABANI!$B$8) + (MIN(MAX(0, VERI_TABANI!D25-VERI_TABANI!D25*B29), VERI_TABANI!D25*C29)*VERI_TABANI!$B$7 + MAX(0, VERI_TABANI!D25*C29-MAX(0, VERI_TABANI!D25-VERI_TABANI!D25*B29))*VERI_TABANI!$B$8) + IF(ABS(IF(ISNUMBER(SEARCH("Var", D29)), 1, IF(ISNUMBER(SEARCH("Gri", D29)), -1, 0)))=1, VERI_TABANI!E25*(1-0.928)*VERI_TABANI!$B$9, 0) + (VERI_TABANI!D25*B29*(VERI_TABANI!$B$13-VERI_TABANI!$B$14)*VERI_TABANI!G25) + (VERI_TABANI!D25*C29*(VERI_TABANI!$B$13-VERI_TABANI!$B$15)*VERI_TABANI!G25) + IF(ABS(IF(ISNUMBER(SEARCH("Var", D29)), 1, IF(ISNUMBER(SEARCH("Gri", D29)), -1, 0)))=1, VERI_TABANI!E25*(1-0.928)*0.00206091519919798*VERI_TABANI!G25, 0)) + ((MIN(VERI_TABANI!D26, VERI_TABANI!D26*B29)*VERI_TABANI!$B$7 + MAX(0, VERI_TABANI!D26*B29-VERI_TABANI!D26)*VERI_TABANI!$B$8) + (MIN(MAX(0, VERI_TABANI!D26-VERI_TABANI!D26*B29), VERI_TABANI!D26*C29)*VERI_TABANI!$B$7 + MAX(0, VERI_TABANI!D26*C29-MAX(0, VERI_TABANI!D26-VERI_TABANI!D26*B29))*VERI_TABANI!$B$8) + IF(ABS(IF(ISNUMBER(SEARCH("Var", D29)), 1, IF(ISNUMBER(SEARCH("Gri", D29)), -1, 0)))=1, VERI_TABANI!E26*(1-0.928)*VERI_TABANI!$B$9, 0) + (VERI_TABANI!D26*B29*(VERI_TABANI!$B$13-VERI_TABANI!$B$14)*VERI_TABANI!G26) + (VERI_TABANI!D26*C29*(VERI_TABANI!$B$13-VERI_TABANI!$B$15)*VERI_TABANI!G26) + IF(ABS(IF(ISNUMBER(SEARCH("Var", D29)), 1, IF(ISNUMBER(SEARCH("Gri", D29)), -1, 0)))=1, VERI_TABANI!E26*(1-0.928)*0.00206091519919798*VERI_TABANI!G26, 0)) + ((MIN(VERI_TABANI!D27, VERI_TABANI!D27*B29)*VERI_TABANI!$B$7 + MAX(0, VERI_TABANI!D27*B29-VERI_TABANI!D27)*VERI_TABANI!$B$8) + (MIN(MAX(0, VERI_TABANI!D27-VERI_TABANI!D27*B29), VERI_TABANI!D27*C29)*VERI_TABANI!$B$7 + MAX(0, VERI_TABANI!D27*C29-MAX(0, VERI_TABANI!D27-VERI_TABANI!D27*B29))*VERI_TABANI!$B$8) + IF(ABS(IF(ISNUMBER(SEARCH("Var", D29)), 1, IF(ISNUMBER(SEARCH("Gri", D29)), -1, 0)))=1, VERI_TABANI!E27*(1-0.928)*VERI_TABANI!$B$9, 0) + (VERI_TABANI!D27*B29*(VERI_TABANI!$B$13-VERI_TABANI!$B$14)*VERI_TABANI!G27) + (VERI_TABANI!D27*C29*(VERI_TABANI!$B$13-VERI_TABANI!$B$15)*VERI_TABANI!G27) + IF(ABS(IF(ISNUMBER(SEARCH("Var", D29)), 1, IF(ISNUMBER(SEARCH("Gri", D29)), -1, 0)))=1, VERI_TABANI!E27*(1-0.928)*0.00206091519919798*VERI_TABANI!G27, 0)) + ((MIN(VERI_TABANI!D28, VERI_TABANI!D28*B29)*VERI_TABANI!$B$7 + MAX(0, VERI_TABANI!D28*B29-VERI_TABANI!D28)*VERI_TABANI!$B$8) + (MIN(MAX(0, VERI_TABANI!D28-VERI_TABANI!D28*B29), VERI_TABANI!D28*C29)*VERI_TABANI!$B$7 + MAX(0, VERI_TABANI!D28*C29-MAX(0, VERI_TABANI!D28-VERI_TABANI!D28*B29))*VERI_TABANI!$B$8) + IF(ABS(IF(ISNUMBER(SEARCH("Var", D29)), 1, IF(ISNUMBER(SEARCH("Gri", D29)), -1, 0)))=1, VERI_TABANI!E28*(1-0.928)*VERI_TABANI!$B$9, 0) + (VERI_TABANI!D28*B29*(VERI_TABANI!$B$13-VERI_TABANI!$B$14)*VERI_TABANI!G28) + (VERI_TABANI!D28*C29*(VERI_TABANI!$B$13-VERI_TABANI!$B$15)*VERI_TABANI!G28) + IF(ABS(IF(ISNUMBER(SEARCH("Var", D29)), 1, IF(ISNUMBER(SEARCH("Gri", D29)), -1, 0)))=1, VERI_TABANI!E28*(1-0.928)*0.00206091519919798*VERI_TABANI!G28, 0)))</f>
        <v/>
      </c>
      <c r="H29" s="169">
        <f>(((VERI_TABANI!D23*B29*(VERI_TABANI!$B$13-VERI_TABANI!$B$14)) + (VERI_TABANI!D23*C29*(VERI_TABANI!$B$13-VERI_TABANI!$B$15)) + IF(ISNUMBER(SEARCH("Var", D29)), VERI_TABANI!F23*(0.00202-VERI_TABANI!$B$16), IF(ISNUMBER(SEARCH("Gri", D29)), VERI_TABANI!F23*(0.00202-VERI_TABANI!$B$17), 0))) + ((VERI_TABANI!D24*B29*(VERI_TABANI!$B$13-VERI_TABANI!$B$14)) + (VERI_TABANI!D24*C29*(VERI_TABANI!$B$13-VERI_TABANI!$B$15)) + IF(ISNUMBER(SEARCH("Var", D29)), VERI_TABANI!F24*(0.00202-VERI_TABANI!$B$16), IF(ISNUMBER(SEARCH("Gri", D29)), VERI_TABANI!F24*(0.00202-VERI_TABANI!$B$17), 0))) + ((VERI_TABANI!D25*B29*(VERI_TABANI!$B$13-VERI_TABANI!$B$14)) + (VERI_TABANI!D25*C29*(VERI_TABANI!$B$13-VERI_TABANI!$B$15)) + IF(ISNUMBER(SEARCH("Var", D29)), VERI_TABANI!F25*(0.00202-VERI_TABANI!$B$16), IF(ISNUMBER(SEARCH("Gri", D29)), VERI_TABANI!F25*(0.00202-VERI_TABANI!$B$17), 0))) + ((VERI_TABANI!D26*B29*(VERI_TABANI!$B$13-VERI_TABANI!$B$14)) + (VERI_TABANI!D26*C29*(VERI_TABANI!$B$13-VERI_TABANI!$B$15)) + IF(ISNUMBER(SEARCH("Var", D29)), VERI_TABANI!F26*(0.00202-VERI_TABANI!$B$16), IF(ISNUMBER(SEARCH("Gri", D29)), VERI_TABANI!F26*(0.00202-VERI_TABANI!$B$17), 0))) + ((VERI_TABANI!D27*B29*(VERI_TABANI!$B$13-VERI_TABANI!$B$14)) + (VERI_TABANI!D27*C29*(VERI_TABANI!$B$13-VERI_TABANI!$B$15)) + IF(ISNUMBER(SEARCH("Var", D29)), VERI_TABANI!F27*(0.00202-VERI_TABANI!$B$16), IF(ISNUMBER(SEARCH("Gri", D29)), VERI_TABANI!F27*(0.00202-VERI_TABANI!$B$17), 0))) + ((VERI_TABANI!D28*B29*(VERI_TABANI!$B$13-VERI_TABANI!$B$14)) + (VERI_TABANI!D28*C29*(VERI_TABANI!$B$13-VERI_TABANI!$B$15)) + IF(ISNUMBER(SEARCH("Var", D29)), VERI_TABANI!F28*(0.00202-VERI_TABANI!$B$16), IF(ISNUMBER(SEARCH("Gri", D29)), VERI_TABANI!F28*(0.00202-VERI_TABANI!$B$17), 0))))</f>
        <v/>
      </c>
      <c r="I29" s="170">
        <f>IFERROR(((VERI_TABANI!$D$29*B29*VERI_TABANI!$B$14 + VERI_TABANI!$D$29*C29*VERI_TABANI!$B$15 + IF(ISNUMBER(SEARCH("Var", D29)), VERI_TABANI!$F$29*VERI_TABANI!$B$16, 0))) / (((VERI_TABANI!$D$29*B29 + VERI_TABANI!$D$29*C29)*VERI_TABANI!$B$13 + IF(ISNUMBER(SEARCH("Var", D29)), VERI_TABANI!$E$29*(1-0.928)*VERI_TABANI!$B$18, 0))), 0)</f>
        <v/>
      </c>
      <c r="J29" s="171">
        <f>IFERROR(F29/(G29/29), 0)</f>
        <v/>
      </c>
      <c r="K29" s="172">
        <f>IF(F29&gt;0, H29/F29, 0)</f>
        <v/>
      </c>
      <c r="L29" s="170">
        <f>IF(F29&gt;0, I29, 1000000000)</f>
        <v/>
      </c>
      <c r="M29" s="171">
        <f>ABS((B29+C29)-1)</f>
        <v/>
      </c>
      <c r="N29" s="170">
        <f>IF(F29&gt;0, (G29/29)/F29, 0)</f>
        <v/>
      </c>
      <c r="O29" s="168">
        <f>IF(AND((B29+C29)&gt;=1, ISNUMBER(SEARCH("Var", D29))), F29, 1000000000)</f>
        <v/>
      </c>
      <c r="P29" s="172">
        <f>IF(F29&gt;0, SQRT((F29/MAX(F$5:F$886))^2 + (1 - H29/MAX(H$5:H$886))^2 + (J29/MAX(J$5:J$886))^2), 1000000000)</f>
        <v/>
      </c>
      <c r="Q29" s="166">
        <f>IF(AND(ABS(B29-0.5)&lt;0.01, ABS(C29-0.5)&lt;0.01, ISNUMBER(SEARCH("Var", D29))), 1, 0)</f>
        <v/>
      </c>
      <c r="R29" s="171">
        <f>IF(F29&gt;0, J29, 1000000000)</f>
        <v/>
      </c>
      <c r="S29" s="101">
        <f>IF(AND(F29&lt;=DASHBOARD!$B$11, H29&gt;=DASHBOARD!$B$13), G29, -1000000000000)</f>
        <v/>
      </c>
      <c r="T29" s="101">
        <f>IF(AND(F29&lt;=DASHBOARD!$B$11, H29&gt;=DASHBOARD!$B$13), R29, 1000000000000)</f>
        <v/>
      </c>
      <c r="U29" s="101">
        <f>IF(AND(F29&lt;=DASHBOARD!$B$11, H29&gt;=DASHBOARD!$B$13), N29, -1000000000000)</f>
        <v/>
      </c>
      <c r="V29" s="101">
        <f>IF(AND(F29&lt;=DASHBOARD!$B$11, H29&gt;=DASHBOARD!$B$13), H29, -1000000000000)</f>
        <v/>
      </c>
      <c r="W29" s="101">
        <f>IF(AND(F29&lt;=DASHBOARD!$B$11, H29&gt;=DASHBOARD!$B$13), K29, -1000000000000)</f>
        <v/>
      </c>
      <c r="X29" s="101">
        <f>IF(AND(F29&lt;=DASHBOARD!$B$11, H29&gt;=DASHBOARD!$B$13), M29, 1000000000000)</f>
        <v/>
      </c>
      <c r="Y29" s="101">
        <f>IF(AND(F29&lt;=DASHBOARD!$B$10, H29&gt;=DASHBOARD!$B$11), L29, 1000000000000)</f>
        <v/>
      </c>
      <c r="Z29" s="101">
        <f>IF(AND(F29&lt;=DASHBOARD!$B$10, H29&gt;=DASHBOARD!$B$11), O29, 1000000000000)</f>
        <v/>
      </c>
      <c r="AA29" s="101">
        <f>IF(AND(F29&lt;=DASHBOARD!$B$10, H29&gt;=DASHBOARD!$B$11), P29, 1000000000000)</f>
        <v/>
      </c>
      <c r="AB29" s="101">
        <f>IF(AND(F29&lt;=DASHBOARD!$B$10, H29&gt;=DASHBOARD!$B$11), Q29, -1000000000000)</f>
        <v/>
      </c>
    </row>
    <row r="30" ht="12.75" customHeight="1" s="102">
      <c r="A30" s="166" t="n">
        <v>26</v>
      </c>
      <c r="B30" s="167" t="n">
        <v>0</v>
      </c>
      <c r="C30" s="167" t="n">
        <v>1.2</v>
      </c>
      <c r="D30" s="110" t="inlineStr">
        <is>
          <t>Var (%20)</t>
        </is>
      </c>
      <c r="E30" s="110">
        <f>IF((B30+C30)&lt;=1, "Tam Mahsuplaşma (≤%100)", "Kısmi Satış (&gt;%100)")</f>
        <v/>
      </c>
      <c r="F30" s="168">
        <f>((VERI_TABANI!$D$29*B30/VERI_TABANI!$B$29)/VERI_TABANI!$B$3)*VERI_TABANI!$B$5 + ((VERI_TABANI!$D$29*C30/VERI_TABANI!$B$29)/VERI_TABANI!$B$4)*VERI_TABANI!$B$6 + IF(ISNUMBER(SEARCH("Var", D30)), (VERI_TABANI!$F$29/VERI_TABANI!$B$29)*(VERI_TABANI!$B$10+VERI_TABANI!$B$12), 0)</f>
        <v/>
      </c>
      <c r="G30" s="168">
        <f>(((MIN(VERI_TABANI!D23, VERI_TABANI!D23*B30)*VERI_TABANI!$B$7 + MAX(0, VERI_TABANI!D23*B30-VERI_TABANI!D23)*VERI_TABANI!$B$8) + (MIN(MAX(0, VERI_TABANI!D23-VERI_TABANI!D23*B30), VERI_TABANI!D23*C30)*VERI_TABANI!$B$7 + MAX(0, VERI_TABANI!D23*C30-MAX(0, VERI_TABANI!D23-VERI_TABANI!D23*B30))*VERI_TABANI!$B$8) + IF(ABS(IF(ISNUMBER(SEARCH("Var", D30)), 1, IF(ISNUMBER(SEARCH("Gri", D30)), -1, 0)))=1, VERI_TABANI!E23*(1-0.928)*VERI_TABANI!$B$9, 0) + (VERI_TABANI!D23*B30*(VERI_TABANI!$B$13-VERI_TABANI!$B$14)*VERI_TABANI!G23) + (VERI_TABANI!D23*C30*(VERI_TABANI!$B$13-VERI_TABANI!$B$15)*VERI_TABANI!G23) + IF(ABS(IF(ISNUMBER(SEARCH("Var", D30)), 1, IF(ISNUMBER(SEARCH("Gri", D30)), -1, 0)))=1, VERI_TABANI!E23*(1-0.928)*0.00206091519919798*VERI_TABANI!G23, 0)) + ((MIN(VERI_TABANI!D24, VERI_TABANI!D24*B30)*VERI_TABANI!$B$7 + MAX(0, VERI_TABANI!D24*B30-VERI_TABANI!D24)*VERI_TABANI!$B$8) + (MIN(MAX(0, VERI_TABANI!D24-VERI_TABANI!D24*B30), VERI_TABANI!D24*C30)*VERI_TABANI!$B$7 + MAX(0, VERI_TABANI!D24*C30-MAX(0, VERI_TABANI!D24-VERI_TABANI!D24*B30))*VERI_TABANI!$B$8) + IF(ABS(IF(ISNUMBER(SEARCH("Var", D30)), 1, IF(ISNUMBER(SEARCH("Gri", D30)), -1, 0)))=1, VERI_TABANI!E24*(1-0.928)*VERI_TABANI!$B$9, 0) + (VERI_TABANI!D24*B30*(VERI_TABANI!$B$13-VERI_TABANI!$B$14)*VERI_TABANI!G24) + (VERI_TABANI!D24*C30*(VERI_TABANI!$B$13-VERI_TABANI!$B$15)*VERI_TABANI!G24) + IF(ABS(IF(ISNUMBER(SEARCH("Var", D30)), 1, IF(ISNUMBER(SEARCH("Gri", D30)), -1, 0)))=1, VERI_TABANI!E24*(1-0.928)*0.00206091519919798*VERI_TABANI!G24, 0)) + ((MIN(VERI_TABANI!D25, VERI_TABANI!D25*B30)*VERI_TABANI!$B$7 + MAX(0, VERI_TABANI!D25*B30-VERI_TABANI!D25)*VERI_TABANI!$B$8) + (MIN(MAX(0, VERI_TABANI!D25-VERI_TABANI!D25*B30), VERI_TABANI!D25*C30)*VERI_TABANI!$B$7 + MAX(0, VERI_TABANI!D25*C30-MAX(0, VERI_TABANI!D25-VERI_TABANI!D25*B30))*VERI_TABANI!$B$8) + IF(ABS(IF(ISNUMBER(SEARCH("Var", D30)), 1, IF(ISNUMBER(SEARCH("Gri", D30)), -1, 0)))=1, VERI_TABANI!E25*(1-0.928)*VERI_TABANI!$B$9, 0) + (VERI_TABANI!D25*B30*(VERI_TABANI!$B$13-VERI_TABANI!$B$14)*VERI_TABANI!G25) + (VERI_TABANI!D25*C30*(VERI_TABANI!$B$13-VERI_TABANI!$B$15)*VERI_TABANI!G25) + IF(ABS(IF(ISNUMBER(SEARCH("Var", D30)), 1, IF(ISNUMBER(SEARCH("Gri", D30)), -1, 0)))=1, VERI_TABANI!E25*(1-0.928)*0.00206091519919798*VERI_TABANI!G25, 0)) + ((MIN(VERI_TABANI!D26, VERI_TABANI!D26*B30)*VERI_TABANI!$B$7 + MAX(0, VERI_TABANI!D26*B30-VERI_TABANI!D26)*VERI_TABANI!$B$8) + (MIN(MAX(0, VERI_TABANI!D26-VERI_TABANI!D26*B30), VERI_TABANI!D26*C30)*VERI_TABANI!$B$7 + MAX(0, VERI_TABANI!D26*C30-MAX(0, VERI_TABANI!D26-VERI_TABANI!D26*B30))*VERI_TABANI!$B$8) + IF(ABS(IF(ISNUMBER(SEARCH("Var", D30)), 1, IF(ISNUMBER(SEARCH("Gri", D30)), -1, 0)))=1, VERI_TABANI!E26*(1-0.928)*VERI_TABANI!$B$9, 0) + (VERI_TABANI!D26*B30*(VERI_TABANI!$B$13-VERI_TABANI!$B$14)*VERI_TABANI!G26) + (VERI_TABANI!D26*C30*(VERI_TABANI!$B$13-VERI_TABANI!$B$15)*VERI_TABANI!G26) + IF(ABS(IF(ISNUMBER(SEARCH("Var", D30)), 1, IF(ISNUMBER(SEARCH("Gri", D30)), -1, 0)))=1, VERI_TABANI!E26*(1-0.928)*0.00206091519919798*VERI_TABANI!G26, 0)) + ((MIN(VERI_TABANI!D27, VERI_TABANI!D27*B30)*VERI_TABANI!$B$7 + MAX(0, VERI_TABANI!D27*B30-VERI_TABANI!D27)*VERI_TABANI!$B$8) + (MIN(MAX(0, VERI_TABANI!D27-VERI_TABANI!D27*B30), VERI_TABANI!D27*C30)*VERI_TABANI!$B$7 + MAX(0, VERI_TABANI!D27*C30-MAX(0, VERI_TABANI!D27-VERI_TABANI!D27*B30))*VERI_TABANI!$B$8) + IF(ABS(IF(ISNUMBER(SEARCH("Var", D30)), 1, IF(ISNUMBER(SEARCH("Gri", D30)), -1, 0)))=1, VERI_TABANI!E27*(1-0.928)*VERI_TABANI!$B$9, 0) + (VERI_TABANI!D27*B30*(VERI_TABANI!$B$13-VERI_TABANI!$B$14)*VERI_TABANI!G27) + (VERI_TABANI!D27*C30*(VERI_TABANI!$B$13-VERI_TABANI!$B$15)*VERI_TABANI!G27) + IF(ABS(IF(ISNUMBER(SEARCH("Var", D30)), 1, IF(ISNUMBER(SEARCH("Gri", D30)), -1, 0)))=1, VERI_TABANI!E27*(1-0.928)*0.00206091519919798*VERI_TABANI!G27, 0)) + ((MIN(VERI_TABANI!D28, VERI_TABANI!D28*B30)*VERI_TABANI!$B$7 + MAX(0, VERI_TABANI!D28*B30-VERI_TABANI!D28)*VERI_TABANI!$B$8) + (MIN(MAX(0, VERI_TABANI!D28-VERI_TABANI!D28*B30), VERI_TABANI!D28*C30)*VERI_TABANI!$B$7 + MAX(0, VERI_TABANI!D28*C30-MAX(0, VERI_TABANI!D28-VERI_TABANI!D28*B30))*VERI_TABANI!$B$8) + IF(ABS(IF(ISNUMBER(SEARCH("Var", D30)), 1, IF(ISNUMBER(SEARCH("Gri", D30)), -1, 0)))=1, VERI_TABANI!E28*(1-0.928)*VERI_TABANI!$B$9, 0) + (VERI_TABANI!D28*B30*(VERI_TABANI!$B$13-VERI_TABANI!$B$14)*VERI_TABANI!G28) + (VERI_TABANI!D28*C30*(VERI_TABANI!$B$13-VERI_TABANI!$B$15)*VERI_TABANI!G28) + IF(ABS(IF(ISNUMBER(SEARCH("Var", D30)), 1, IF(ISNUMBER(SEARCH("Gri", D30)), -1, 0)))=1, VERI_TABANI!E28*(1-0.928)*0.00206091519919798*VERI_TABANI!G28, 0)))</f>
        <v/>
      </c>
      <c r="H30" s="169">
        <f>(((VERI_TABANI!D23*B30*(VERI_TABANI!$B$13-VERI_TABANI!$B$14)) + (VERI_TABANI!D23*C30*(VERI_TABANI!$B$13-VERI_TABANI!$B$15)) + IF(ISNUMBER(SEARCH("Var", D30)), VERI_TABANI!F23*(0.00202-VERI_TABANI!$B$16), IF(ISNUMBER(SEARCH("Gri", D30)), VERI_TABANI!F23*(0.00202-VERI_TABANI!$B$17), 0))) + ((VERI_TABANI!D24*B30*(VERI_TABANI!$B$13-VERI_TABANI!$B$14)) + (VERI_TABANI!D24*C30*(VERI_TABANI!$B$13-VERI_TABANI!$B$15)) + IF(ISNUMBER(SEARCH("Var", D30)), VERI_TABANI!F24*(0.00202-VERI_TABANI!$B$16), IF(ISNUMBER(SEARCH("Gri", D30)), VERI_TABANI!F24*(0.00202-VERI_TABANI!$B$17), 0))) + ((VERI_TABANI!D25*B30*(VERI_TABANI!$B$13-VERI_TABANI!$B$14)) + (VERI_TABANI!D25*C30*(VERI_TABANI!$B$13-VERI_TABANI!$B$15)) + IF(ISNUMBER(SEARCH("Var", D30)), VERI_TABANI!F25*(0.00202-VERI_TABANI!$B$16), IF(ISNUMBER(SEARCH("Gri", D30)), VERI_TABANI!F25*(0.00202-VERI_TABANI!$B$17), 0))) + ((VERI_TABANI!D26*B30*(VERI_TABANI!$B$13-VERI_TABANI!$B$14)) + (VERI_TABANI!D26*C30*(VERI_TABANI!$B$13-VERI_TABANI!$B$15)) + IF(ISNUMBER(SEARCH("Var", D30)), VERI_TABANI!F26*(0.00202-VERI_TABANI!$B$16), IF(ISNUMBER(SEARCH("Gri", D30)), VERI_TABANI!F26*(0.00202-VERI_TABANI!$B$17), 0))) + ((VERI_TABANI!D27*B30*(VERI_TABANI!$B$13-VERI_TABANI!$B$14)) + (VERI_TABANI!D27*C30*(VERI_TABANI!$B$13-VERI_TABANI!$B$15)) + IF(ISNUMBER(SEARCH("Var", D30)), VERI_TABANI!F27*(0.00202-VERI_TABANI!$B$16), IF(ISNUMBER(SEARCH("Gri", D30)), VERI_TABANI!F27*(0.00202-VERI_TABANI!$B$17), 0))) + ((VERI_TABANI!D28*B30*(VERI_TABANI!$B$13-VERI_TABANI!$B$14)) + (VERI_TABANI!D28*C30*(VERI_TABANI!$B$13-VERI_TABANI!$B$15)) + IF(ISNUMBER(SEARCH("Var", D30)), VERI_TABANI!F28*(0.00202-VERI_TABANI!$B$16), IF(ISNUMBER(SEARCH("Gri", D30)), VERI_TABANI!F28*(0.00202-VERI_TABANI!$B$17), 0))))</f>
        <v/>
      </c>
      <c r="I30" s="170">
        <f>IFERROR(((VERI_TABANI!$D$29*B30*VERI_TABANI!$B$14 + VERI_TABANI!$D$29*C30*VERI_TABANI!$B$15 + IF(ISNUMBER(SEARCH("Var", D30)), VERI_TABANI!$F$29*VERI_TABANI!$B$16, 0))) / (((VERI_TABANI!$D$29*B30 + VERI_TABANI!$D$29*C30)*VERI_TABANI!$B$13 + IF(ISNUMBER(SEARCH("Var", D30)), VERI_TABANI!$E$29*(1-0.928)*VERI_TABANI!$B$18, 0))), 0)</f>
        <v/>
      </c>
      <c r="J30" s="171">
        <f>IFERROR(F30/(G30/29), 0)</f>
        <v/>
      </c>
      <c r="K30" s="172">
        <f>IF(F30&gt;0, H30/F30, 0)</f>
        <v/>
      </c>
      <c r="L30" s="170">
        <f>IF(F30&gt;0, I30, 1000000000)</f>
        <v/>
      </c>
      <c r="M30" s="171">
        <f>ABS((B30+C30)-1)</f>
        <v/>
      </c>
      <c r="N30" s="170">
        <f>IF(F30&gt;0, (G30/29)/F30, 0)</f>
        <v/>
      </c>
      <c r="O30" s="168">
        <f>IF(AND((B30+C30)&gt;=1, ISNUMBER(SEARCH("Var", D30))), F30, 1000000000)</f>
        <v/>
      </c>
      <c r="P30" s="172">
        <f>IF(F30&gt;0, SQRT((F30/MAX(F$5:F$886))^2 + (1 - H30/MAX(H$5:H$886))^2 + (J30/MAX(J$5:J$886))^2), 1000000000)</f>
        <v/>
      </c>
      <c r="Q30" s="166">
        <f>IF(AND(ABS(B30-0.5)&lt;0.01, ABS(C30-0.5)&lt;0.01, ISNUMBER(SEARCH("Var", D30))), 1, 0)</f>
        <v/>
      </c>
      <c r="R30" s="171">
        <f>IF(F30&gt;0, J30, 1000000000)</f>
        <v/>
      </c>
      <c r="S30" s="101">
        <f>IF(AND(F30&lt;=DASHBOARD!$B$11, H30&gt;=DASHBOARD!$B$13), G30, -1000000000000)</f>
        <v/>
      </c>
      <c r="T30" s="101">
        <f>IF(AND(F30&lt;=DASHBOARD!$B$11, H30&gt;=DASHBOARD!$B$13), R30, 1000000000000)</f>
        <v/>
      </c>
      <c r="U30" s="101">
        <f>IF(AND(F30&lt;=DASHBOARD!$B$11, H30&gt;=DASHBOARD!$B$13), N30, -1000000000000)</f>
        <v/>
      </c>
      <c r="V30" s="101">
        <f>IF(AND(F30&lt;=DASHBOARD!$B$11, H30&gt;=DASHBOARD!$B$13), H30, -1000000000000)</f>
        <v/>
      </c>
      <c r="W30" s="101">
        <f>IF(AND(F30&lt;=DASHBOARD!$B$11, H30&gt;=DASHBOARD!$B$13), K30, -1000000000000)</f>
        <v/>
      </c>
      <c r="X30" s="101">
        <f>IF(AND(F30&lt;=DASHBOARD!$B$11, H30&gt;=DASHBOARD!$B$13), M30, 1000000000000)</f>
        <v/>
      </c>
      <c r="Y30" s="101">
        <f>IF(AND(F30&lt;=DASHBOARD!$B$10, H30&gt;=DASHBOARD!$B$11), L30, 1000000000000)</f>
        <v/>
      </c>
      <c r="Z30" s="101">
        <f>IF(AND(F30&lt;=DASHBOARD!$B$10, H30&gt;=DASHBOARD!$B$11), O30, 1000000000000)</f>
        <v/>
      </c>
      <c r="AA30" s="101">
        <f>IF(AND(F30&lt;=DASHBOARD!$B$10, H30&gt;=DASHBOARD!$B$11), P30, 1000000000000)</f>
        <v/>
      </c>
      <c r="AB30" s="101">
        <f>IF(AND(F30&lt;=DASHBOARD!$B$10, H30&gt;=DASHBOARD!$B$11), Q30, -1000000000000)</f>
        <v/>
      </c>
    </row>
    <row r="31" ht="12.75" customHeight="1" s="102">
      <c r="A31" s="166" t="n">
        <v>27</v>
      </c>
      <c r="B31" s="167" t="n">
        <v>0</v>
      </c>
      <c r="C31" s="167" t="n">
        <v>1.3</v>
      </c>
      <c r="D31" s="110" t="inlineStr">
        <is>
          <t>Yok (%0)</t>
        </is>
      </c>
      <c r="E31" s="110">
        <f>IF((B31+C31)&lt;=1, "Tam Mahsuplaşma (≤%100)", "Kısmi Satış (&gt;%100)")</f>
        <v/>
      </c>
      <c r="F31" s="168">
        <f>((VERI_TABANI!$D$29*B31/VERI_TABANI!$B$29)/VERI_TABANI!$B$3)*VERI_TABANI!$B$5 + ((VERI_TABANI!$D$29*C31/VERI_TABANI!$B$29)/VERI_TABANI!$B$4)*VERI_TABANI!$B$6 + IF(ISNUMBER(SEARCH("Var", D31)), (VERI_TABANI!$F$29/VERI_TABANI!$B$29)*(VERI_TABANI!$B$10+VERI_TABANI!$B$12), 0)</f>
        <v/>
      </c>
      <c r="G31" s="168">
        <f>(((MIN(VERI_TABANI!D23, VERI_TABANI!D23*B31)*VERI_TABANI!$B$7 + MAX(0, VERI_TABANI!D23*B31-VERI_TABANI!D23)*VERI_TABANI!$B$8) + (MIN(MAX(0, VERI_TABANI!D23-VERI_TABANI!D23*B31), VERI_TABANI!D23*C31)*VERI_TABANI!$B$7 + MAX(0, VERI_TABANI!D23*C31-MAX(0, VERI_TABANI!D23-VERI_TABANI!D23*B31))*VERI_TABANI!$B$8) + IF(ABS(IF(ISNUMBER(SEARCH("Var", D31)), 1, IF(ISNUMBER(SEARCH("Gri", D31)), -1, 0)))=1, VERI_TABANI!E23*(1-0.928)*VERI_TABANI!$B$9, 0) + (VERI_TABANI!D23*B31*(VERI_TABANI!$B$13-VERI_TABANI!$B$14)*VERI_TABANI!G23) + (VERI_TABANI!D23*C31*(VERI_TABANI!$B$13-VERI_TABANI!$B$15)*VERI_TABANI!G23) + IF(ABS(IF(ISNUMBER(SEARCH("Var", D31)), 1, IF(ISNUMBER(SEARCH("Gri", D31)), -1, 0)))=1, VERI_TABANI!E23*(1-0.928)*0.00206091519919798*VERI_TABANI!G23, 0)) + ((MIN(VERI_TABANI!D24, VERI_TABANI!D24*B31)*VERI_TABANI!$B$7 + MAX(0, VERI_TABANI!D24*B31-VERI_TABANI!D24)*VERI_TABANI!$B$8) + (MIN(MAX(0, VERI_TABANI!D24-VERI_TABANI!D24*B31), VERI_TABANI!D24*C31)*VERI_TABANI!$B$7 + MAX(0, VERI_TABANI!D24*C31-MAX(0, VERI_TABANI!D24-VERI_TABANI!D24*B31))*VERI_TABANI!$B$8) + IF(ABS(IF(ISNUMBER(SEARCH("Var", D31)), 1, IF(ISNUMBER(SEARCH("Gri", D31)), -1, 0)))=1, VERI_TABANI!E24*(1-0.928)*VERI_TABANI!$B$9, 0) + (VERI_TABANI!D24*B31*(VERI_TABANI!$B$13-VERI_TABANI!$B$14)*VERI_TABANI!G24) + (VERI_TABANI!D24*C31*(VERI_TABANI!$B$13-VERI_TABANI!$B$15)*VERI_TABANI!G24) + IF(ABS(IF(ISNUMBER(SEARCH("Var", D31)), 1, IF(ISNUMBER(SEARCH("Gri", D31)), -1, 0)))=1, VERI_TABANI!E24*(1-0.928)*0.00206091519919798*VERI_TABANI!G24, 0)) + ((MIN(VERI_TABANI!D25, VERI_TABANI!D25*B31)*VERI_TABANI!$B$7 + MAX(0, VERI_TABANI!D25*B31-VERI_TABANI!D25)*VERI_TABANI!$B$8) + (MIN(MAX(0, VERI_TABANI!D25-VERI_TABANI!D25*B31), VERI_TABANI!D25*C31)*VERI_TABANI!$B$7 + MAX(0, VERI_TABANI!D25*C31-MAX(0, VERI_TABANI!D25-VERI_TABANI!D25*B31))*VERI_TABANI!$B$8) + IF(ABS(IF(ISNUMBER(SEARCH("Var", D31)), 1, IF(ISNUMBER(SEARCH("Gri", D31)), -1, 0)))=1, VERI_TABANI!E25*(1-0.928)*VERI_TABANI!$B$9, 0) + (VERI_TABANI!D25*B31*(VERI_TABANI!$B$13-VERI_TABANI!$B$14)*VERI_TABANI!G25) + (VERI_TABANI!D25*C31*(VERI_TABANI!$B$13-VERI_TABANI!$B$15)*VERI_TABANI!G25) + IF(ABS(IF(ISNUMBER(SEARCH("Var", D31)), 1, IF(ISNUMBER(SEARCH("Gri", D31)), -1, 0)))=1, VERI_TABANI!E25*(1-0.928)*0.00206091519919798*VERI_TABANI!G25, 0)) + ((MIN(VERI_TABANI!D26, VERI_TABANI!D26*B31)*VERI_TABANI!$B$7 + MAX(0, VERI_TABANI!D26*B31-VERI_TABANI!D26)*VERI_TABANI!$B$8) + (MIN(MAX(0, VERI_TABANI!D26-VERI_TABANI!D26*B31), VERI_TABANI!D26*C31)*VERI_TABANI!$B$7 + MAX(0, VERI_TABANI!D26*C31-MAX(0, VERI_TABANI!D26-VERI_TABANI!D26*B31))*VERI_TABANI!$B$8) + IF(ABS(IF(ISNUMBER(SEARCH("Var", D31)), 1, IF(ISNUMBER(SEARCH("Gri", D31)), -1, 0)))=1, VERI_TABANI!E26*(1-0.928)*VERI_TABANI!$B$9, 0) + (VERI_TABANI!D26*B31*(VERI_TABANI!$B$13-VERI_TABANI!$B$14)*VERI_TABANI!G26) + (VERI_TABANI!D26*C31*(VERI_TABANI!$B$13-VERI_TABANI!$B$15)*VERI_TABANI!G26) + IF(ABS(IF(ISNUMBER(SEARCH("Var", D31)), 1, IF(ISNUMBER(SEARCH("Gri", D31)), -1, 0)))=1, VERI_TABANI!E26*(1-0.928)*0.00206091519919798*VERI_TABANI!G26, 0)) + ((MIN(VERI_TABANI!D27, VERI_TABANI!D27*B31)*VERI_TABANI!$B$7 + MAX(0, VERI_TABANI!D27*B31-VERI_TABANI!D27)*VERI_TABANI!$B$8) + (MIN(MAX(0, VERI_TABANI!D27-VERI_TABANI!D27*B31), VERI_TABANI!D27*C31)*VERI_TABANI!$B$7 + MAX(0, VERI_TABANI!D27*C31-MAX(0, VERI_TABANI!D27-VERI_TABANI!D27*B31))*VERI_TABANI!$B$8) + IF(ABS(IF(ISNUMBER(SEARCH("Var", D31)), 1, IF(ISNUMBER(SEARCH("Gri", D31)), -1, 0)))=1, VERI_TABANI!E27*(1-0.928)*VERI_TABANI!$B$9, 0) + (VERI_TABANI!D27*B31*(VERI_TABANI!$B$13-VERI_TABANI!$B$14)*VERI_TABANI!G27) + (VERI_TABANI!D27*C31*(VERI_TABANI!$B$13-VERI_TABANI!$B$15)*VERI_TABANI!G27) + IF(ABS(IF(ISNUMBER(SEARCH("Var", D31)), 1, IF(ISNUMBER(SEARCH("Gri", D31)), -1, 0)))=1, VERI_TABANI!E27*(1-0.928)*0.00206091519919798*VERI_TABANI!G27, 0)) + ((MIN(VERI_TABANI!D28, VERI_TABANI!D28*B31)*VERI_TABANI!$B$7 + MAX(0, VERI_TABANI!D28*B31-VERI_TABANI!D28)*VERI_TABANI!$B$8) + (MIN(MAX(0, VERI_TABANI!D28-VERI_TABANI!D28*B31), VERI_TABANI!D28*C31)*VERI_TABANI!$B$7 + MAX(0, VERI_TABANI!D28*C31-MAX(0, VERI_TABANI!D28-VERI_TABANI!D28*B31))*VERI_TABANI!$B$8) + IF(ABS(IF(ISNUMBER(SEARCH("Var", D31)), 1, IF(ISNUMBER(SEARCH("Gri", D31)), -1, 0)))=1, VERI_TABANI!E28*(1-0.928)*VERI_TABANI!$B$9, 0) + (VERI_TABANI!D28*B31*(VERI_TABANI!$B$13-VERI_TABANI!$B$14)*VERI_TABANI!G28) + (VERI_TABANI!D28*C31*(VERI_TABANI!$B$13-VERI_TABANI!$B$15)*VERI_TABANI!G28) + IF(ABS(IF(ISNUMBER(SEARCH("Var", D31)), 1, IF(ISNUMBER(SEARCH("Gri", D31)), -1, 0)))=1, VERI_TABANI!E28*(1-0.928)*0.00206091519919798*VERI_TABANI!G28, 0)))</f>
        <v/>
      </c>
      <c r="H31" s="169">
        <f>(((VERI_TABANI!D23*B31*(VERI_TABANI!$B$13-VERI_TABANI!$B$14)) + (VERI_TABANI!D23*C31*(VERI_TABANI!$B$13-VERI_TABANI!$B$15)) + IF(ISNUMBER(SEARCH("Var", D31)), VERI_TABANI!F23*(0.00202-VERI_TABANI!$B$16), IF(ISNUMBER(SEARCH("Gri", D31)), VERI_TABANI!F23*(0.00202-VERI_TABANI!$B$17), 0))) + ((VERI_TABANI!D24*B31*(VERI_TABANI!$B$13-VERI_TABANI!$B$14)) + (VERI_TABANI!D24*C31*(VERI_TABANI!$B$13-VERI_TABANI!$B$15)) + IF(ISNUMBER(SEARCH("Var", D31)), VERI_TABANI!F24*(0.00202-VERI_TABANI!$B$16), IF(ISNUMBER(SEARCH("Gri", D31)), VERI_TABANI!F24*(0.00202-VERI_TABANI!$B$17), 0))) + ((VERI_TABANI!D25*B31*(VERI_TABANI!$B$13-VERI_TABANI!$B$14)) + (VERI_TABANI!D25*C31*(VERI_TABANI!$B$13-VERI_TABANI!$B$15)) + IF(ISNUMBER(SEARCH("Var", D31)), VERI_TABANI!F25*(0.00202-VERI_TABANI!$B$16), IF(ISNUMBER(SEARCH("Gri", D31)), VERI_TABANI!F25*(0.00202-VERI_TABANI!$B$17), 0))) + ((VERI_TABANI!D26*B31*(VERI_TABANI!$B$13-VERI_TABANI!$B$14)) + (VERI_TABANI!D26*C31*(VERI_TABANI!$B$13-VERI_TABANI!$B$15)) + IF(ISNUMBER(SEARCH("Var", D31)), VERI_TABANI!F26*(0.00202-VERI_TABANI!$B$16), IF(ISNUMBER(SEARCH("Gri", D31)), VERI_TABANI!F26*(0.00202-VERI_TABANI!$B$17), 0))) + ((VERI_TABANI!D27*B31*(VERI_TABANI!$B$13-VERI_TABANI!$B$14)) + (VERI_TABANI!D27*C31*(VERI_TABANI!$B$13-VERI_TABANI!$B$15)) + IF(ISNUMBER(SEARCH("Var", D31)), VERI_TABANI!F27*(0.00202-VERI_TABANI!$B$16), IF(ISNUMBER(SEARCH("Gri", D31)), VERI_TABANI!F27*(0.00202-VERI_TABANI!$B$17), 0))) + ((VERI_TABANI!D28*B31*(VERI_TABANI!$B$13-VERI_TABANI!$B$14)) + (VERI_TABANI!D28*C31*(VERI_TABANI!$B$13-VERI_TABANI!$B$15)) + IF(ISNUMBER(SEARCH("Var", D31)), VERI_TABANI!F28*(0.00202-VERI_TABANI!$B$16), IF(ISNUMBER(SEARCH("Gri", D31)), VERI_TABANI!F28*(0.00202-VERI_TABANI!$B$17), 0))))</f>
        <v/>
      </c>
      <c r="I31" s="170">
        <f>IFERROR(((VERI_TABANI!$D$29*B31*VERI_TABANI!$B$14 + VERI_TABANI!$D$29*C31*VERI_TABANI!$B$15 + IF(ISNUMBER(SEARCH("Var", D31)), VERI_TABANI!$F$29*VERI_TABANI!$B$16, 0))) / (((VERI_TABANI!$D$29*B31 + VERI_TABANI!$D$29*C31)*VERI_TABANI!$B$13 + IF(ISNUMBER(SEARCH("Var", D31)), VERI_TABANI!$E$29*(1-0.928)*VERI_TABANI!$B$18, 0))), 0)</f>
        <v/>
      </c>
      <c r="J31" s="171">
        <f>IFERROR(F31/(G31/29), 0)</f>
        <v/>
      </c>
      <c r="K31" s="172">
        <f>IF(F31&gt;0, H31/F31, 0)</f>
        <v/>
      </c>
      <c r="L31" s="170">
        <f>IF(F31&gt;0, I31, 1000000000)</f>
        <v/>
      </c>
      <c r="M31" s="171">
        <f>ABS((B31+C31)-1)</f>
        <v/>
      </c>
      <c r="N31" s="170">
        <f>IF(F31&gt;0, (G31/29)/F31, 0)</f>
        <v/>
      </c>
      <c r="O31" s="168">
        <f>IF(AND((B31+C31)&gt;=1, ISNUMBER(SEARCH("Var", D31))), F31, 1000000000)</f>
        <v/>
      </c>
      <c r="P31" s="172">
        <f>IF(F31&gt;0, SQRT((F31/MAX(F$5:F$886))^2 + (1 - H31/MAX(H$5:H$886))^2 + (J31/MAX(J$5:J$886))^2), 1000000000)</f>
        <v/>
      </c>
      <c r="Q31" s="166">
        <f>IF(AND(ABS(B31-0.5)&lt;0.01, ABS(C31-0.5)&lt;0.01, ISNUMBER(SEARCH("Var", D31))), 1, 0)</f>
        <v/>
      </c>
      <c r="R31" s="171">
        <f>IF(F31&gt;0, J31, 1000000000)</f>
        <v/>
      </c>
      <c r="S31" s="101">
        <f>IF(AND(F31&lt;=DASHBOARD!$B$11, H31&gt;=DASHBOARD!$B$13), G31, -1000000000000)</f>
        <v/>
      </c>
      <c r="T31" s="101">
        <f>IF(AND(F31&lt;=DASHBOARD!$B$11, H31&gt;=DASHBOARD!$B$13), R31, 1000000000000)</f>
        <v/>
      </c>
      <c r="U31" s="101">
        <f>IF(AND(F31&lt;=DASHBOARD!$B$11, H31&gt;=DASHBOARD!$B$13), N31, -1000000000000)</f>
        <v/>
      </c>
      <c r="V31" s="101">
        <f>IF(AND(F31&lt;=DASHBOARD!$B$11, H31&gt;=DASHBOARD!$B$13), H31, -1000000000000)</f>
        <v/>
      </c>
      <c r="W31" s="101">
        <f>IF(AND(F31&lt;=DASHBOARD!$B$11, H31&gt;=DASHBOARD!$B$13), K31, -1000000000000)</f>
        <v/>
      </c>
      <c r="X31" s="101">
        <f>IF(AND(F31&lt;=DASHBOARD!$B$11, H31&gt;=DASHBOARD!$B$13), M31, 1000000000000)</f>
        <v/>
      </c>
      <c r="Y31" s="101">
        <f>IF(AND(F31&lt;=DASHBOARD!$B$10, H31&gt;=DASHBOARD!$B$11), L31, 1000000000000)</f>
        <v/>
      </c>
      <c r="Z31" s="101">
        <f>IF(AND(F31&lt;=DASHBOARD!$B$10, H31&gt;=DASHBOARD!$B$11), O31, 1000000000000)</f>
        <v/>
      </c>
      <c r="AA31" s="101">
        <f>IF(AND(F31&lt;=DASHBOARD!$B$10, H31&gt;=DASHBOARD!$B$11), P31, 1000000000000)</f>
        <v/>
      </c>
      <c r="AB31" s="101">
        <f>IF(AND(F31&lt;=DASHBOARD!$B$10, H31&gt;=DASHBOARD!$B$11), Q31, -1000000000000)</f>
        <v/>
      </c>
    </row>
    <row r="32" ht="12.75" customHeight="1" s="102">
      <c r="A32" s="166" t="n">
        <v>28</v>
      </c>
      <c r="B32" s="167" t="n">
        <v>0</v>
      </c>
      <c r="C32" s="167" t="n">
        <v>1.3</v>
      </c>
      <c r="D32" s="110" t="inlineStr">
        <is>
          <t>Var (%20)</t>
        </is>
      </c>
      <c r="E32" s="110">
        <f>IF((B32+C32)&lt;=1, "Tam Mahsuplaşma (≤%100)", "Kısmi Satış (&gt;%100)")</f>
        <v/>
      </c>
      <c r="F32" s="168">
        <f>((VERI_TABANI!$D$29*B32/VERI_TABANI!$B$29)/VERI_TABANI!$B$3)*VERI_TABANI!$B$5 + ((VERI_TABANI!$D$29*C32/VERI_TABANI!$B$29)/VERI_TABANI!$B$4)*VERI_TABANI!$B$6 + IF(ISNUMBER(SEARCH("Var", D32)), (VERI_TABANI!$F$29/VERI_TABANI!$B$29)*(VERI_TABANI!$B$10+VERI_TABANI!$B$12), 0)</f>
        <v/>
      </c>
      <c r="G32" s="168">
        <f>(((MIN(VERI_TABANI!D23, VERI_TABANI!D23*B32)*VERI_TABANI!$B$7 + MAX(0, VERI_TABANI!D23*B32-VERI_TABANI!D23)*VERI_TABANI!$B$8) + (MIN(MAX(0, VERI_TABANI!D23-VERI_TABANI!D23*B32), VERI_TABANI!D23*C32)*VERI_TABANI!$B$7 + MAX(0, VERI_TABANI!D23*C32-MAX(0, VERI_TABANI!D23-VERI_TABANI!D23*B32))*VERI_TABANI!$B$8) + IF(ABS(IF(ISNUMBER(SEARCH("Var", D32)), 1, IF(ISNUMBER(SEARCH("Gri", D32)), -1, 0)))=1, VERI_TABANI!E23*(1-0.928)*VERI_TABANI!$B$9, 0) + (VERI_TABANI!D23*B32*(VERI_TABANI!$B$13-VERI_TABANI!$B$14)*VERI_TABANI!G23) + (VERI_TABANI!D23*C32*(VERI_TABANI!$B$13-VERI_TABANI!$B$15)*VERI_TABANI!G23) + IF(ABS(IF(ISNUMBER(SEARCH("Var", D32)), 1, IF(ISNUMBER(SEARCH("Gri", D32)), -1, 0)))=1, VERI_TABANI!E23*(1-0.928)*0.00206091519919798*VERI_TABANI!G23, 0)) + ((MIN(VERI_TABANI!D24, VERI_TABANI!D24*B32)*VERI_TABANI!$B$7 + MAX(0, VERI_TABANI!D24*B32-VERI_TABANI!D24)*VERI_TABANI!$B$8) + (MIN(MAX(0, VERI_TABANI!D24-VERI_TABANI!D24*B32), VERI_TABANI!D24*C32)*VERI_TABANI!$B$7 + MAX(0, VERI_TABANI!D24*C32-MAX(0, VERI_TABANI!D24-VERI_TABANI!D24*B32))*VERI_TABANI!$B$8) + IF(ABS(IF(ISNUMBER(SEARCH("Var", D32)), 1, IF(ISNUMBER(SEARCH("Gri", D32)), -1, 0)))=1, VERI_TABANI!E24*(1-0.928)*VERI_TABANI!$B$9, 0) + (VERI_TABANI!D24*B32*(VERI_TABANI!$B$13-VERI_TABANI!$B$14)*VERI_TABANI!G24) + (VERI_TABANI!D24*C32*(VERI_TABANI!$B$13-VERI_TABANI!$B$15)*VERI_TABANI!G24) + IF(ABS(IF(ISNUMBER(SEARCH("Var", D32)), 1, IF(ISNUMBER(SEARCH("Gri", D32)), -1, 0)))=1, VERI_TABANI!E24*(1-0.928)*0.00206091519919798*VERI_TABANI!G24, 0)) + ((MIN(VERI_TABANI!D25, VERI_TABANI!D25*B32)*VERI_TABANI!$B$7 + MAX(0, VERI_TABANI!D25*B32-VERI_TABANI!D25)*VERI_TABANI!$B$8) + (MIN(MAX(0, VERI_TABANI!D25-VERI_TABANI!D25*B32), VERI_TABANI!D25*C32)*VERI_TABANI!$B$7 + MAX(0, VERI_TABANI!D25*C32-MAX(0, VERI_TABANI!D25-VERI_TABANI!D25*B32))*VERI_TABANI!$B$8) + IF(ABS(IF(ISNUMBER(SEARCH("Var", D32)), 1, IF(ISNUMBER(SEARCH("Gri", D32)), -1, 0)))=1, VERI_TABANI!E25*(1-0.928)*VERI_TABANI!$B$9, 0) + (VERI_TABANI!D25*B32*(VERI_TABANI!$B$13-VERI_TABANI!$B$14)*VERI_TABANI!G25) + (VERI_TABANI!D25*C32*(VERI_TABANI!$B$13-VERI_TABANI!$B$15)*VERI_TABANI!G25) + IF(ABS(IF(ISNUMBER(SEARCH("Var", D32)), 1, IF(ISNUMBER(SEARCH("Gri", D32)), -1, 0)))=1, VERI_TABANI!E25*(1-0.928)*0.00206091519919798*VERI_TABANI!G25, 0)) + ((MIN(VERI_TABANI!D26, VERI_TABANI!D26*B32)*VERI_TABANI!$B$7 + MAX(0, VERI_TABANI!D26*B32-VERI_TABANI!D26)*VERI_TABANI!$B$8) + (MIN(MAX(0, VERI_TABANI!D26-VERI_TABANI!D26*B32), VERI_TABANI!D26*C32)*VERI_TABANI!$B$7 + MAX(0, VERI_TABANI!D26*C32-MAX(0, VERI_TABANI!D26-VERI_TABANI!D26*B32))*VERI_TABANI!$B$8) + IF(ABS(IF(ISNUMBER(SEARCH("Var", D32)), 1, IF(ISNUMBER(SEARCH("Gri", D32)), -1, 0)))=1, VERI_TABANI!E26*(1-0.928)*VERI_TABANI!$B$9, 0) + (VERI_TABANI!D26*B32*(VERI_TABANI!$B$13-VERI_TABANI!$B$14)*VERI_TABANI!G26) + (VERI_TABANI!D26*C32*(VERI_TABANI!$B$13-VERI_TABANI!$B$15)*VERI_TABANI!G26) + IF(ABS(IF(ISNUMBER(SEARCH("Var", D32)), 1, IF(ISNUMBER(SEARCH("Gri", D32)), -1, 0)))=1, VERI_TABANI!E26*(1-0.928)*0.00206091519919798*VERI_TABANI!G26, 0)) + ((MIN(VERI_TABANI!D27, VERI_TABANI!D27*B32)*VERI_TABANI!$B$7 + MAX(0, VERI_TABANI!D27*B32-VERI_TABANI!D27)*VERI_TABANI!$B$8) + (MIN(MAX(0, VERI_TABANI!D27-VERI_TABANI!D27*B32), VERI_TABANI!D27*C32)*VERI_TABANI!$B$7 + MAX(0, VERI_TABANI!D27*C32-MAX(0, VERI_TABANI!D27-VERI_TABANI!D27*B32))*VERI_TABANI!$B$8) + IF(ABS(IF(ISNUMBER(SEARCH("Var", D32)), 1, IF(ISNUMBER(SEARCH("Gri", D32)), -1, 0)))=1, VERI_TABANI!E27*(1-0.928)*VERI_TABANI!$B$9, 0) + (VERI_TABANI!D27*B32*(VERI_TABANI!$B$13-VERI_TABANI!$B$14)*VERI_TABANI!G27) + (VERI_TABANI!D27*C32*(VERI_TABANI!$B$13-VERI_TABANI!$B$15)*VERI_TABANI!G27) + IF(ABS(IF(ISNUMBER(SEARCH("Var", D32)), 1, IF(ISNUMBER(SEARCH("Gri", D32)), -1, 0)))=1, VERI_TABANI!E27*(1-0.928)*0.00206091519919798*VERI_TABANI!G27, 0)) + ((MIN(VERI_TABANI!D28, VERI_TABANI!D28*B32)*VERI_TABANI!$B$7 + MAX(0, VERI_TABANI!D28*B32-VERI_TABANI!D28)*VERI_TABANI!$B$8) + (MIN(MAX(0, VERI_TABANI!D28-VERI_TABANI!D28*B32), VERI_TABANI!D28*C32)*VERI_TABANI!$B$7 + MAX(0, VERI_TABANI!D28*C32-MAX(0, VERI_TABANI!D28-VERI_TABANI!D28*B32))*VERI_TABANI!$B$8) + IF(ABS(IF(ISNUMBER(SEARCH("Var", D32)), 1, IF(ISNUMBER(SEARCH("Gri", D32)), -1, 0)))=1, VERI_TABANI!E28*(1-0.928)*VERI_TABANI!$B$9, 0) + (VERI_TABANI!D28*B32*(VERI_TABANI!$B$13-VERI_TABANI!$B$14)*VERI_TABANI!G28) + (VERI_TABANI!D28*C32*(VERI_TABANI!$B$13-VERI_TABANI!$B$15)*VERI_TABANI!G28) + IF(ABS(IF(ISNUMBER(SEARCH("Var", D32)), 1, IF(ISNUMBER(SEARCH("Gri", D32)), -1, 0)))=1, VERI_TABANI!E28*(1-0.928)*0.00206091519919798*VERI_TABANI!G28, 0)))</f>
        <v/>
      </c>
      <c r="H32" s="169">
        <f>(((VERI_TABANI!D23*B32*(VERI_TABANI!$B$13-VERI_TABANI!$B$14)) + (VERI_TABANI!D23*C32*(VERI_TABANI!$B$13-VERI_TABANI!$B$15)) + IF(ISNUMBER(SEARCH("Var", D32)), VERI_TABANI!F23*(0.00202-VERI_TABANI!$B$16), IF(ISNUMBER(SEARCH("Gri", D32)), VERI_TABANI!F23*(0.00202-VERI_TABANI!$B$17), 0))) + ((VERI_TABANI!D24*B32*(VERI_TABANI!$B$13-VERI_TABANI!$B$14)) + (VERI_TABANI!D24*C32*(VERI_TABANI!$B$13-VERI_TABANI!$B$15)) + IF(ISNUMBER(SEARCH("Var", D32)), VERI_TABANI!F24*(0.00202-VERI_TABANI!$B$16), IF(ISNUMBER(SEARCH("Gri", D32)), VERI_TABANI!F24*(0.00202-VERI_TABANI!$B$17), 0))) + ((VERI_TABANI!D25*B32*(VERI_TABANI!$B$13-VERI_TABANI!$B$14)) + (VERI_TABANI!D25*C32*(VERI_TABANI!$B$13-VERI_TABANI!$B$15)) + IF(ISNUMBER(SEARCH("Var", D32)), VERI_TABANI!F25*(0.00202-VERI_TABANI!$B$16), IF(ISNUMBER(SEARCH("Gri", D32)), VERI_TABANI!F25*(0.00202-VERI_TABANI!$B$17), 0))) + ((VERI_TABANI!D26*B32*(VERI_TABANI!$B$13-VERI_TABANI!$B$14)) + (VERI_TABANI!D26*C32*(VERI_TABANI!$B$13-VERI_TABANI!$B$15)) + IF(ISNUMBER(SEARCH("Var", D32)), VERI_TABANI!F26*(0.00202-VERI_TABANI!$B$16), IF(ISNUMBER(SEARCH("Gri", D32)), VERI_TABANI!F26*(0.00202-VERI_TABANI!$B$17), 0))) + ((VERI_TABANI!D27*B32*(VERI_TABANI!$B$13-VERI_TABANI!$B$14)) + (VERI_TABANI!D27*C32*(VERI_TABANI!$B$13-VERI_TABANI!$B$15)) + IF(ISNUMBER(SEARCH("Var", D32)), VERI_TABANI!F27*(0.00202-VERI_TABANI!$B$16), IF(ISNUMBER(SEARCH("Gri", D32)), VERI_TABANI!F27*(0.00202-VERI_TABANI!$B$17), 0))) + ((VERI_TABANI!D28*B32*(VERI_TABANI!$B$13-VERI_TABANI!$B$14)) + (VERI_TABANI!D28*C32*(VERI_TABANI!$B$13-VERI_TABANI!$B$15)) + IF(ISNUMBER(SEARCH("Var", D32)), VERI_TABANI!F28*(0.00202-VERI_TABANI!$B$16), IF(ISNUMBER(SEARCH("Gri", D32)), VERI_TABANI!F28*(0.00202-VERI_TABANI!$B$17), 0))))</f>
        <v/>
      </c>
      <c r="I32" s="170">
        <f>IFERROR(((VERI_TABANI!$D$29*B32*VERI_TABANI!$B$14 + VERI_TABANI!$D$29*C32*VERI_TABANI!$B$15 + IF(ISNUMBER(SEARCH("Var", D32)), VERI_TABANI!$F$29*VERI_TABANI!$B$16, 0))) / (((VERI_TABANI!$D$29*B32 + VERI_TABANI!$D$29*C32)*VERI_TABANI!$B$13 + IF(ISNUMBER(SEARCH("Var", D32)), VERI_TABANI!$E$29*(1-0.928)*VERI_TABANI!$B$18, 0))), 0)</f>
        <v/>
      </c>
      <c r="J32" s="171">
        <f>IFERROR(F32/(G32/29), 0)</f>
        <v/>
      </c>
      <c r="K32" s="172">
        <f>IF(F32&gt;0, H32/F32, 0)</f>
        <v/>
      </c>
      <c r="L32" s="170">
        <f>IF(F32&gt;0, I32, 1000000000)</f>
        <v/>
      </c>
      <c r="M32" s="171">
        <f>ABS((B32+C32)-1)</f>
        <v/>
      </c>
      <c r="N32" s="170">
        <f>IF(F32&gt;0, (G32/29)/F32, 0)</f>
        <v/>
      </c>
      <c r="O32" s="168">
        <f>IF(AND((B32+C32)&gt;=1, ISNUMBER(SEARCH("Var", D32))), F32, 1000000000)</f>
        <v/>
      </c>
      <c r="P32" s="172">
        <f>IF(F32&gt;0, SQRT((F32/MAX(F$5:F$886))^2 + (1 - H32/MAX(H$5:H$886))^2 + (J32/MAX(J$5:J$886))^2), 1000000000)</f>
        <v/>
      </c>
      <c r="Q32" s="166">
        <f>IF(AND(ABS(B32-0.5)&lt;0.01, ABS(C32-0.5)&lt;0.01, ISNUMBER(SEARCH("Var", D32))), 1, 0)</f>
        <v/>
      </c>
      <c r="R32" s="171">
        <f>IF(F32&gt;0, J32, 1000000000)</f>
        <v/>
      </c>
      <c r="S32" s="101">
        <f>IF(AND(F32&lt;=DASHBOARD!$B$11, H32&gt;=DASHBOARD!$B$13), G32, -1000000000000)</f>
        <v/>
      </c>
      <c r="T32" s="101">
        <f>IF(AND(F32&lt;=DASHBOARD!$B$11, H32&gt;=DASHBOARD!$B$13), R32, 1000000000000)</f>
        <v/>
      </c>
      <c r="U32" s="101">
        <f>IF(AND(F32&lt;=DASHBOARD!$B$11, H32&gt;=DASHBOARD!$B$13), N32, -1000000000000)</f>
        <v/>
      </c>
      <c r="V32" s="101">
        <f>IF(AND(F32&lt;=DASHBOARD!$B$11, H32&gt;=DASHBOARD!$B$13), H32, -1000000000000)</f>
        <v/>
      </c>
      <c r="W32" s="101">
        <f>IF(AND(F32&lt;=DASHBOARD!$B$11, H32&gt;=DASHBOARD!$B$13), K32, -1000000000000)</f>
        <v/>
      </c>
      <c r="X32" s="101">
        <f>IF(AND(F32&lt;=DASHBOARD!$B$11, H32&gt;=DASHBOARD!$B$13), M32, 1000000000000)</f>
        <v/>
      </c>
      <c r="Y32" s="101">
        <f>IF(AND(F32&lt;=DASHBOARD!$B$10, H32&gt;=DASHBOARD!$B$11), L32, 1000000000000)</f>
        <v/>
      </c>
      <c r="Z32" s="101">
        <f>IF(AND(F32&lt;=DASHBOARD!$B$10, H32&gt;=DASHBOARD!$B$11), O32, 1000000000000)</f>
        <v/>
      </c>
      <c r="AA32" s="101">
        <f>IF(AND(F32&lt;=DASHBOARD!$B$10, H32&gt;=DASHBOARD!$B$11), P32, 1000000000000)</f>
        <v/>
      </c>
      <c r="AB32" s="101">
        <f>IF(AND(F32&lt;=DASHBOARD!$B$10, H32&gt;=DASHBOARD!$B$11), Q32, -1000000000000)</f>
        <v/>
      </c>
    </row>
    <row r="33" ht="12.75" customHeight="1" s="102">
      <c r="A33" s="166" t="n">
        <v>29</v>
      </c>
      <c r="B33" s="167" t="n">
        <v>0</v>
      </c>
      <c r="C33" s="167" t="n">
        <v>1.4</v>
      </c>
      <c r="D33" s="110" t="inlineStr">
        <is>
          <t>Yok (%0)</t>
        </is>
      </c>
      <c r="E33" s="110">
        <f>IF((B33+C33)&lt;=1, "Tam Mahsuplaşma (≤%100)", "Kısmi Satış (&gt;%100)")</f>
        <v/>
      </c>
      <c r="F33" s="168">
        <f>((VERI_TABANI!$D$29*B33/VERI_TABANI!$B$29)/VERI_TABANI!$B$3)*VERI_TABANI!$B$5 + ((VERI_TABANI!$D$29*C33/VERI_TABANI!$B$29)/VERI_TABANI!$B$4)*VERI_TABANI!$B$6 + IF(ISNUMBER(SEARCH("Var", D33)), (VERI_TABANI!$F$29/VERI_TABANI!$B$29)*(VERI_TABANI!$B$10+VERI_TABANI!$B$12), 0)</f>
        <v/>
      </c>
      <c r="G33" s="168">
        <f>(((MIN(VERI_TABANI!D23, VERI_TABANI!D23*B33)*VERI_TABANI!$B$7 + MAX(0, VERI_TABANI!D23*B33-VERI_TABANI!D23)*VERI_TABANI!$B$8) + (MIN(MAX(0, VERI_TABANI!D23-VERI_TABANI!D23*B33), VERI_TABANI!D23*C33)*VERI_TABANI!$B$7 + MAX(0, VERI_TABANI!D23*C33-MAX(0, VERI_TABANI!D23-VERI_TABANI!D23*B33))*VERI_TABANI!$B$8) + IF(ABS(IF(ISNUMBER(SEARCH("Var", D33)), 1, IF(ISNUMBER(SEARCH("Gri", D33)), -1, 0)))=1, VERI_TABANI!E23*(1-0.928)*VERI_TABANI!$B$9, 0) + (VERI_TABANI!D23*B33*(VERI_TABANI!$B$13-VERI_TABANI!$B$14)*VERI_TABANI!G23) + (VERI_TABANI!D23*C33*(VERI_TABANI!$B$13-VERI_TABANI!$B$15)*VERI_TABANI!G23) + IF(ABS(IF(ISNUMBER(SEARCH("Var", D33)), 1, IF(ISNUMBER(SEARCH("Gri", D33)), -1, 0)))=1, VERI_TABANI!E23*(1-0.928)*0.00206091519919798*VERI_TABANI!G23, 0)) + ((MIN(VERI_TABANI!D24, VERI_TABANI!D24*B33)*VERI_TABANI!$B$7 + MAX(0, VERI_TABANI!D24*B33-VERI_TABANI!D24)*VERI_TABANI!$B$8) + (MIN(MAX(0, VERI_TABANI!D24-VERI_TABANI!D24*B33), VERI_TABANI!D24*C33)*VERI_TABANI!$B$7 + MAX(0, VERI_TABANI!D24*C33-MAX(0, VERI_TABANI!D24-VERI_TABANI!D24*B33))*VERI_TABANI!$B$8) + IF(ABS(IF(ISNUMBER(SEARCH("Var", D33)), 1, IF(ISNUMBER(SEARCH("Gri", D33)), -1, 0)))=1, VERI_TABANI!E24*(1-0.928)*VERI_TABANI!$B$9, 0) + (VERI_TABANI!D24*B33*(VERI_TABANI!$B$13-VERI_TABANI!$B$14)*VERI_TABANI!G24) + (VERI_TABANI!D24*C33*(VERI_TABANI!$B$13-VERI_TABANI!$B$15)*VERI_TABANI!G24) + IF(ABS(IF(ISNUMBER(SEARCH("Var", D33)), 1, IF(ISNUMBER(SEARCH("Gri", D33)), -1, 0)))=1, VERI_TABANI!E24*(1-0.928)*0.00206091519919798*VERI_TABANI!G24, 0)) + ((MIN(VERI_TABANI!D25, VERI_TABANI!D25*B33)*VERI_TABANI!$B$7 + MAX(0, VERI_TABANI!D25*B33-VERI_TABANI!D25)*VERI_TABANI!$B$8) + (MIN(MAX(0, VERI_TABANI!D25-VERI_TABANI!D25*B33), VERI_TABANI!D25*C33)*VERI_TABANI!$B$7 + MAX(0, VERI_TABANI!D25*C33-MAX(0, VERI_TABANI!D25-VERI_TABANI!D25*B33))*VERI_TABANI!$B$8) + IF(ABS(IF(ISNUMBER(SEARCH("Var", D33)), 1, IF(ISNUMBER(SEARCH("Gri", D33)), -1, 0)))=1, VERI_TABANI!E25*(1-0.928)*VERI_TABANI!$B$9, 0) + (VERI_TABANI!D25*B33*(VERI_TABANI!$B$13-VERI_TABANI!$B$14)*VERI_TABANI!G25) + (VERI_TABANI!D25*C33*(VERI_TABANI!$B$13-VERI_TABANI!$B$15)*VERI_TABANI!G25) + IF(ABS(IF(ISNUMBER(SEARCH("Var", D33)), 1, IF(ISNUMBER(SEARCH("Gri", D33)), -1, 0)))=1, VERI_TABANI!E25*(1-0.928)*0.00206091519919798*VERI_TABANI!G25, 0)) + ((MIN(VERI_TABANI!D26, VERI_TABANI!D26*B33)*VERI_TABANI!$B$7 + MAX(0, VERI_TABANI!D26*B33-VERI_TABANI!D26)*VERI_TABANI!$B$8) + (MIN(MAX(0, VERI_TABANI!D26-VERI_TABANI!D26*B33), VERI_TABANI!D26*C33)*VERI_TABANI!$B$7 + MAX(0, VERI_TABANI!D26*C33-MAX(0, VERI_TABANI!D26-VERI_TABANI!D26*B33))*VERI_TABANI!$B$8) + IF(ABS(IF(ISNUMBER(SEARCH("Var", D33)), 1, IF(ISNUMBER(SEARCH("Gri", D33)), -1, 0)))=1, VERI_TABANI!E26*(1-0.928)*VERI_TABANI!$B$9, 0) + (VERI_TABANI!D26*B33*(VERI_TABANI!$B$13-VERI_TABANI!$B$14)*VERI_TABANI!G26) + (VERI_TABANI!D26*C33*(VERI_TABANI!$B$13-VERI_TABANI!$B$15)*VERI_TABANI!G26) + IF(ABS(IF(ISNUMBER(SEARCH("Var", D33)), 1, IF(ISNUMBER(SEARCH("Gri", D33)), -1, 0)))=1, VERI_TABANI!E26*(1-0.928)*0.00206091519919798*VERI_TABANI!G26, 0)) + ((MIN(VERI_TABANI!D27, VERI_TABANI!D27*B33)*VERI_TABANI!$B$7 + MAX(0, VERI_TABANI!D27*B33-VERI_TABANI!D27)*VERI_TABANI!$B$8) + (MIN(MAX(0, VERI_TABANI!D27-VERI_TABANI!D27*B33), VERI_TABANI!D27*C33)*VERI_TABANI!$B$7 + MAX(0, VERI_TABANI!D27*C33-MAX(0, VERI_TABANI!D27-VERI_TABANI!D27*B33))*VERI_TABANI!$B$8) + IF(ABS(IF(ISNUMBER(SEARCH("Var", D33)), 1, IF(ISNUMBER(SEARCH("Gri", D33)), -1, 0)))=1, VERI_TABANI!E27*(1-0.928)*VERI_TABANI!$B$9, 0) + (VERI_TABANI!D27*B33*(VERI_TABANI!$B$13-VERI_TABANI!$B$14)*VERI_TABANI!G27) + (VERI_TABANI!D27*C33*(VERI_TABANI!$B$13-VERI_TABANI!$B$15)*VERI_TABANI!G27) + IF(ABS(IF(ISNUMBER(SEARCH("Var", D33)), 1, IF(ISNUMBER(SEARCH("Gri", D33)), -1, 0)))=1, VERI_TABANI!E27*(1-0.928)*0.00206091519919798*VERI_TABANI!G27, 0)) + ((MIN(VERI_TABANI!D28, VERI_TABANI!D28*B33)*VERI_TABANI!$B$7 + MAX(0, VERI_TABANI!D28*B33-VERI_TABANI!D28)*VERI_TABANI!$B$8) + (MIN(MAX(0, VERI_TABANI!D28-VERI_TABANI!D28*B33), VERI_TABANI!D28*C33)*VERI_TABANI!$B$7 + MAX(0, VERI_TABANI!D28*C33-MAX(0, VERI_TABANI!D28-VERI_TABANI!D28*B33))*VERI_TABANI!$B$8) + IF(ABS(IF(ISNUMBER(SEARCH("Var", D33)), 1, IF(ISNUMBER(SEARCH("Gri", D33)), -1, 0)))=1, VERI_TABANI!E28*(1-0.928)*VERI_TABANI!$B$9, 0) + (VERI_TABANI!D28*B33*(VERI_TABANI!$B$13-VERI_TABANI!$B$14)*VERI_TABANI!G28) + (VERI_TABANI!D28*C33*(VERI_TABANI!$B$13-VERI_TABANI!$B$15)*VERI_TABANI!G28) + IF(ABS(IF(ISNUMBER(SEARCH("Var", D33)), 1, IF(ISNUMBER(SEARCH("Gri", D33)), -1, 0)))=1, VERI_TABANI!E28*(1-0.928)*0.00206091519919798*VERI_TABANI!G28, 0)))</f>
        <v/>
      </c>
      <c r="H33" s="169">
        <f>(((VERI_TABANI!D23*B33*(VERI_TABANI!$B$13-VERI_TABANI!$B$14)) + (VERI_TABANI!D23*C33*(VERI_TABANI!$B$13-VERI_TABANI!$B$15)) + IF(ISNUMBER(SEARCH("Var", D33)), VERI_TABANI!F23*(0.00202-VERI_TABANI!$B$16), IF(ISNUMBER(SEARCH("Gri", D33)), VERI_TABANI!F23*(0.00202-VERI_TABANI!$B$17), 0))) + ((VERI_TABANI!D24*B33*(VERI_TABANI!$B$13-VERI_TABANI!$B$14)) + (VERI_TABANI!D24*C33*(VERI_TABANI!$B$13-VERI_TABANI!$B$15)) + IF(ISNUMBER(SEARCH("Var", D33)), VERI_TABANI!F24*(0.00202-VERI_TABANI!$B$16), IF(ISNUMBER(SEARCH("Gri", D33)), VERI_TABANI!F24*(0.00202-VERI_TABANI!$B$17), 0))) + ((VERI_TABANI!D25*B33*(VERI_TABANI!$B$13-VERI_TABANI!$B$14)) + (VERI_TABANI!D25*C33*(VERI_TABANI!$B$13-VERI_TABANI!$B$15)) + IF(ISNUMBER(SEARCH("Var", D33)), VERI_TABANI!F25*(0.00202-VERI_TABANI!$B$16), IF(ISNUMBER(SEARCH("Gri", D33)), VERI_TABANI!F25*(0.00202-VERI_TABANI!$B$17), 0))) + ((VERI_TABANI!D26*B33*(VERI_TABANI!$B$13-VERI_TABANI!$B$14)) + (VERI_TABANI!D26*C33*(VERI_TABANI!$B$13-VERI_TABANI!$B$15)) + IF(ISNUMBER(SEARCH("Var", D33)), VERI_TABANI!F26*(0.00202-VERI_TABANI!$B$16), IF(ISNUMBER(SEARCH("Gri", D33)), VERI_TABANI!F26*(0.00202-VERI_TABANI!$B$17), 0))) + ((VERI_TABANI!D27*B33*(VERI_TABANI!$B$13-VERI_TABANI!$B$14)) + (VERI_TABANI!D27*C33*(VERI_TABANI!$B$13-VERI_TABANI!$B$15)) + IF(ISNUMBER(SEARCH("Var", D33)), VERI_TABANI!F27*(0.00202-VERI_TABANI!$B$16), IF(ISNUMBER(SEARCH("Gri", D33)), VERI_TABANI!F27*(0.00202-VERI_TABANI!$B$17), 0))) + ((VERI_TABANI!D28*B33*(VERI_TABANI!$B$13-VERI_TABANI!$B$14)) + (VERI_TABANI!D28*C33*(VERI_TABANI!$B$13-VERI_TABANI!$B$15)) + IF(ISNUMBER(SEARCH("Var", D33)), VERI_TABANI!F28*(0.00202-VERI_TABANI!$B$16), IF(ISNUMBER(SEARCH("Gri", D33)), VERI_TABANI!F28*(0.00202-VERI_TABANI!$B$17), 0))))</f>
        <v/>
      </c>
      <c r="I33" s="170">
        <f>IFERROR(((VERI_TABANI!$D$29*B33*VERI_TABANI!$B$14 + VERI_TABANI!$D$29*C33*VERI_TABANI!$B$15 + IF(ISNUMBER(SEARCH("Var", D33)), VERI_TABANI!$F$29*VERI_TABANI!$B$16, 0))) / (((VERI_TABANI!$D$29*B33 + VERI_TABANI!$D$29*C33)*VERI_TABANI!$B$13 + IF(ISNUMBER(SEARCH("Var", D33)), VERI_TABANI!$E$29*(1-0.928)*VERI_TABANI!$B$18, 0))), 0)</f>
        <v/>
      </c>
      <c r="J33" s="171">
        <f>IFERROR(F33/(G33/29), 0)</f>
        <v/>
      </c>
      <c r="K33" s="172">
        <f>IF(F33&gt;0, H33/F33, 0)</f>
        <v/>
      </c>
      <c r="L33" s="170">
        <f>IF(F33&gt;0, I33, 1000000000)</f>
        <v/>
      </c>
      <c r="M33" s="171">
        <f>ABS((B33+C33)-1)</f>
        <v/>
      </c>
      <c r="N33" s="170">
        <f>IF(F33&gt;0, (G33/29)/F33, 0)</f>
        <v/>
      </c>
      <c r="O33" s="168">
        <f>IF(AND((B33+C33)&gt;=1, ISNUMBER(SEARCH("Var", D33))), F33, 1000000000)</f>
        <v/>
      </c>
      <c r="P33" s="172">
        <f>IF(F33&gt;0, SQRT((F33/MAX(F$5:F$886))^2 + (1 - H33/MAX(H$5:H$886))^2 + (J33/MAX(J$5:J$886))^2), 1000000000)</f>
        <v/>
      </c>
      <c r="Q33" s="166">
        <f>IF(AND(ABS(B33-0.5)&lt;0.01, ABS(C33-0.5)&lt;0.01, ISNUMBER(SEARCH("Var", D33))), 1, 0)</f>
        <v/>
      </c>
      <c r="R33" s="171">
        <f>IF(F33&gt;0, J33, 1000000000)</f>
        <v/>
      </c>
      <c r="S33" s="101">
        <f>IF(AND(F33&lt;=DASHBOARD!$B$11, H33&gt;=DASHBOARD!$B$13), G33, -1000000000000)</f>
        <v/>
      </c>
      <c r="T33" s="101">
        <f>IF(AND(F33&lt;=DASHBOARD!$B$11, H33&gt;=DASHBOARD!$B$13), R33, 1000000000000)</f>
        <v/>
      </c>
      <c r="U33" s="101">
        <f>IF(AND(F33&lt;=DASHBOARD!$B$11, H33&gt;=DASHBOARD!$B$13), N33, -1000000000000)</f>
        <v/>
      </c>
      <c r="V33" s="101">
        <f>IF(AND(F33&lt;=DASHBOARD!$B$11, H33&gt;=DASHBOARD!$B$13), H33, -1000000000000)</f>
        <v/>
      </c>
      <c r="W33" s="101">
        <f>IF(AND(F33&lt;=DASHBOARD!$B$11, H33&gt;=DASHBOARD!$B$13), K33, -1000000000000)</f>
        <v/>
      </c>
      <c r="X33" s="101">
        <f>IF(AND(F33&lt;=DASHBOARD!$B$11, H33&gt;=DASHBOARD!$B$13), M33, 1000000000000)</f>
        <v/>
      </c>
      <c r="Y33" s="101">
        <f>IF(AND(F33&lt;=DASHBOARD!$B$10, H33&gt;=DASHBOARD!$B$11), L33, 1000000000000)</f>
        <v/>
      </c>
      <c r="Z33" s="101">
        <f>IF(AND(F33&lt;=DASHBOARD!$B$10, H33&gt;=DASHBOARD!$B$11), O33, 1000000000000)</f>
        <v/>
      </c>
      <c r="AA33" s="101">
        <f>IF(AND(F33&lt;=DASHBOARD!$B$10, H33&gt;=DASHBOARD!$B$11), P33, 1000000000000)</f>
        <v/>
      </c>
      <c r="AB33" s="101">
        <f>IF(AND(F33&lt;=DASHBOARD!$B$10, H33&gt;=DASHBOARD!$B$11), Q33, -1000000000000)</f>
        <v/>
      </c>
    </row>
    <row r="34" ht="12.75" customHeight="1" s="102">
      <c r="A34" s="166" t="n">
        <v>30</v>
      </c>
      <c r="B34" s="167" t="n">
        <v>0</v>
      </c>
      <c r="C34" s="167" t="n">
        <v>1.4</v>
      </c>
      <c r="D34" s="110" t="inlineStr">
        <is>
          <t>Var (%20)</t>
        </is>
      </c>
      <c r="E34" s="110">
        <f>IF((B34+C34)&lt;=1, "Tam Mahsuplaşma (≤%100)", "Kısmi Satış (&gt;%100)")</f>
        <v/>
      </c>
      <c r="F34" s="168">
        <f>((VERI_TABANI!$D$29*B34/VERI_TABANI!$B$29)/VERI_TABANI!$B$3)*VERI_TABANI!$B$5 + ((VERI_TABANI!$D$29*C34/VERI_TABANI!$B$29)/VERI_TABANI!$B$4)*VERI_TABANI!$B$6 + IF(ISNUMBER(SEARCH("Var", D34)), (VERI_TABANI!$F$29/VERI_TABANI!$B$29)*(VERI_TABANI!$B$10+VERI_TABANI!$B$12), 0)</f>
        <v/>
      </c>
      <c r="G34" s="168">
        <f>(((MIN(VERI_TABANI!D23, VERI_TABANI!D23*B34)*VERI_TABANI!$B$7 + MAX(0, VERI_TABANI!D23*B34-VERI_TABANI!D23)*VERI_TABANI!$B$8) + (MIN(MAX(0, VERI_TABANI!D23-VERI_TABANI!D23*B34), VERI_TABANI!D23*C34)*VERI_TABANI!$B$7 + MAX(0, VERI_TABANI!D23*C34-MAX(0, VERI_TABANI!D23-VERI_TABANI!D23*B34))*VERI_TABANI!$B$8) + IF(ABS(IF(ISNUMBER(SEARCH("Var", D34)), 1, IF(ISNUMBER(SEARCH("Gri", D34)), -1, 0)))=1, VERI_TABANI!E23*(1-0.928)*VERI_TABANI!$B$9, 0) + (VERI_TABANI!D23*B34*(VERI_TABANI!$B$13-VERI_TABANI!$B$14)*VERI_TABANI!G23) + (VERI_TABANI!D23*C34*(VERI_TABANI!$B$13-VERI_TABANI!$B$15)*VERI_TABANI!G23) + IF(ABS(IF(ISNUMBER(SEARCH("Var", D34)), 1, IF(ISNUMBER(SEARCH("Gri", D34)), -1, 0)))=1, VERI_TABANI!E23*(1-0.928)*0.00206091519919798*VERI_TABANI!G23, 0)) + ((MIN(VERI_TABANI!D24, VERI_TABANI!D24*B34)*VERI_TABANI!$B$7 + MAX(0, VERI_TABANI!D24*B34-VERI_TABANI!D24)*VERI_TABANI!$B$8) + (MIN(MAX(0, VERI_TABANI!D24-VERI_TABANI!D24*B34), VERI_TABANI!D24*C34)*VERI_TABANI!$B$7 + MAX(0, VERI_TABANI!D24*C34-MAX(0, VERI_TABANI!D24-VERI_TABANI!D24*B34))*VERI_TABANI!$B$8) + IF(ABS(IF(ISNUMBER(SEARCH("Var", D34)), 1, IF(ISNUMBER(SEARCH("Gri", D34)), -1, 0)))=1, VERI_TABANI!E24*(1-0.928)*VERI_TABANI!$B$9, 0) + (VERI_TABANI!D24*B34*(VERI_TABANI!$B$13-VERI_TABANI!$B$14)*VERI_TABANI!G24) + (VERI_TABANI!D24*C34*(VERI_TABANI!$B$13-VERI_TABANI!$B$15)*VERI_TABANI!G24) + IF(ABS(IF(ISNUMBER(SEARCH("Var", D34)), 1, IF(ISNUMBER(SEARCH("Gri", D34)), -1, 0)))=1, VERI_TABANI!E24*(1-0.928)*0.00206091519919798*VERI_TABANI!G24, 0)) + ((MIN(VERI_TABANI!D25, VERI_TABANI!D25*B34)*VERI_TABANI!$B$7 + MAX(0, VERI_TABANI!D25*B34-VERI_TABANI!D25)*VERI_TABANI!$B$8) + (MIN(MAX(0, VERI_TABANI!D25-VERI_TABANI!D25*B34), VERI_TABANI!D25*C34)*VERI_TABANI!$B$7 + MAX(0, VERI_TABANI!D25*C34-MAX(0, VERI_TABANI!D25-VERI_TABANI!D25*B34))*VERI_TABANI!$B$8) + IF(ABS(IF(ISNUMBER(SEARCH("Var", D34)), 1, IF(ISNUMBER(SEARCH("Gri", D34)), -1, 0)))=1, VERI_TABANI!E25*(1-0.928)*VERI_TABANI!$B$9, 0) + (VERI_TABANI!D25*B34*(VERI_TABANI!$B$13-VERI_TABANI!$B$14)*VERI_TABANI!G25) + (VERI_TABANI!D25*C34*(VERI_TABANI!$B$13-VERI_TABANI!$B$15)*VERI_TABANI!G25) + IF(ABS(IF(ISNUMBER(SEARCH("Var", D34)), 1, IF(ISNUMBER(SEARCH("Gri", D34)), -1, 0)))=1, VERI_TABANI!E25*(1-0.928)*0.00206091519919798*VERI_TABANI!G25, 0)) + ((MIN(VERI_TABANI!D26, VERI_TABANI!D26*B34)*VERI_TABANI!$B$7 + MAX(0, VERI_TABANI!D26*B34-VERI_TABANI!D26)*VERI_TABANI!$B$8) + (MIN(MAX(0, VERI_TABANI!D26-VERI_TABANI!D26*B34), VERI_TABANI!D26*C34)*VERI_TABANI!$B$7 + MAX(0, VERI_TABANI!D26*C34-MAX(0, VERI_TABANI!D26-VERI_TABANI!D26*B34))*VERI_TABANI!$B$8) + IF(ABS(IF(ISNUMBER(SEARCH("Var", D34)), 1, IF(ISNUMBER(SEARCH("Gri", D34)), -1, 0)))=1, VERI_TABANI!E26*(1-0.928)*VERI_TABANI!$B$9, 0) + (VERI_TABANI!D26*B34*(VERI_TABANI!$B$13-VERI_TABANI!$B$14)*VERI_TABANI!G26) + (VERI_TABANI!D26*C34*(VERI_TABANI!$B$13-VERI_TABANI!$B$15)*VERI_TABANI!G26) + IF(ABS(IF(ISNUMBER(SEARCH("Var", D34)), 1, IF(ISNUMBER(SEARCH("Gri", D34)), -1, 0)))=1, VERI_TABANI!E26*(1-0.928)*0.00206091519919798*VERI_TABANI!G26, 0)) + ((MIN(VERI_TABANI!D27, VERI_TABANI!D27*B34)*VERI_TABANI!$B$7 + MAX(0, VERI_TABANI!D27*B34-VERI_TABANI!D27)*VERI_TABANI!$B$8) + (MIN(MAX(0, VERI_TABANI!D27-VERI_TABANI!D27*B34), VERI_TABANI!D27*C34)*VERI_TABANI!$B$7 + MAX(0, VERI_TABANI!D27*C34-MAX(0, VERI_TABANI!D27-VERI_TABANI!D27*B34))*VERI_TABANI!$B$8) + IF(ABS(IF(ISNUMBER(SEARCH("Var", D34)), 1, IF(ISNUMBER(SEARCH("Gri", D34)), -1, 0)))=1, VERI_TABANI!E27*(1-0.928)*VERI_TABANI!$B$9, 0) + (VERI_TABANI!D27*B34*(VERI_TABANI!$B$13-VERI_TABANI!$B$14)*VERI_TABANI!G27) + (VERI_TABANI!D27*C34*(VERI_TABANI!$B$13-VERI_TABANI!$B$15)*VERI_TABANI!G27) + IF(ABS(IF(ISNUMBER(SEARCH("Var", D34)), 1, IF(ISNUMBER(SEARCH("Gri", D34)), -1, 0)))=1, VERI_TABANI!E27*(1-0.928)*0.00206091519919798*VERI_TABANI!G27, 0)) + ((MIN(VERI_TABANI!D28, VERI_TABANI!D28*B34)*VERI_TABANI!$B$7 + MAX(0, VERI_TABANI!D28*B34-VERI_TABANI!D28)*VERI_TABANI!$B$8) + (MIN(MAX(0, VERI_TABANI!D28-VERI_TABANI!D28*B34), VERI_TABANI!D28*C34)*VERI_TABANI!$B$7 + MAX(0, VERI_TABANI!D28*C34-MAX(0, VERI_TABANI!D28-VERI_TABANI!D28*B34))*VERI_TABANI!$B$8) + IF(ABS(IF(ISNUMBER(SEARCH("Var", D34)), 1, IF(ISNUMBER(SEARCH("Gri", D34)), -1, 0)))=1, VERI_TABANI!E28*(1-0.928)*VERI_TABANI!$B$9, 0) + (VERI_TABANI!D28*B34*(VERI_TABANI!$B$13-VERI_TABANI!$B$14)*VERI_TABANI!G28) + (VERI_TABANI!D28*C34*(VERI_TABANI!$B$13-VERI_TABANI!$B$15)*VERI_TABANI!G28) + IF(ABS(IF(ISNUMBER(SEARCH("Var", D34)), 1, IF(ISNUMBER(SEARCH("Gri", D34)), -1, 0)))=1, VERI_TABANI!E28*(1-0.928)*0.00206091519919798*VERI_TABANI!G28, 0)))</f>
        <v/>
      </c>
      <c r="H34" s="169">
        <f>(((VERI_TABANI!D23*B34*(VERI_TABANI!$B$13-VERI_TABANI!$B$14)) + (VERI_TABANI!D23*C34*(VERI_TABANI!$B$13-VERI_TABANI!$B$15)) + IF(ISNUMBER(SEARCH("Var", D34)), VERI_TABANI!F23*(0.00202-VERI_TABANI!$B$16), IF(ISNUMBER(SEARCH("Gri", D34)), VERI_TABANI!F23*(0.00202-VERI_TABANI!$B$17), 0))) + ((VERI_TABANI!D24*B34*(VERI_TABANI!$B$13-VERI_TABANI!$B$14)) + (VERI_TABANI!D24*C34*(VERI_TABANI!$B$13-VERI_TABANI!$B$15)) + IF(ISNUMBER(SEARCH("Var", D34)), VERI_TABANI!F24*(0.00202-VERI_TABANI!$B$16), IF(ISNUMBER(SEARCH("Gri", D34)), VERI_TABANI!F24*(0.00202-VERI_TABANI!$B$17), 0))) + ((VERI_TABANI!D25*B34*(VERI_TABANI!$B$13-VERI_TABANI!$B$14)) + (VERI_TABANI!D25*C34*(VERI_TABANI!$B$13-VERI_TABANI!$B$15)) + IF(ISNUMBER(SEARCH("Var", D34)), VERI_TABANI!F25*(0.00202-VERI_TABANI!$B$16), IF(ISNUMBER(SEARCH("Gri", D34)), VERI_TABANI!F25*(0.00202-VERI_TABANI!$B$17), 0))) + ((VERI_TABANI!D26*B34*(VERI_TABANI!$B$13-VERI_TABANI!$B$14)) + (VERI_TABANI!D26*C34*(VERI_TABANI!$B$13-VERI_TABANI!$B$15)) + IF(ISNUMBER(SEARCH("Var", D34)), VERI_TABANI!F26*(0.00202-VERI_TABANI!$B$16), IF(ISNUMBER(SEARCH("Gri", D34)), VERI_TABANI!F26*(0.00202-VERI_TABANI!$B$17), 0))) + ((VERI_TABANI!D27*B34*(VERI_TABANI!$B$13-VERI_TABANI!$B$14)) + (VERI_TABANI!D27*C34*(VERI_TABANI!$B$13-VERI_TABANI!$B$15)) + IF(ISNUMBER(SEARCH("Var", D34)), VERI_TABANI!F27*(0.00202-VERI_TABANI!$B$16), IF(ISNUMBER(SEARCH("Gri", D34)), VERI_TABANI!F27*(0.00202-VERI_TABANI!$B$17), 0))) + ((VERI_TABANI!D28*B34*(VERI_TABANI!$B$13-VERI_TABANI!$B$14)) + (VERI_TABANI!D28*C34*(VERI_TABANI!$B$13-VERI_TABANI!$B$15)) + IF(ISNUMBER(SEARCH("Var", D34)), VERI_TABANI!F28*(0.00202-VERI_TABANI!$B$16), IF(ISNUMBER(SEARCH("Gri", D34)), VERI_TABANI!F28*(0.00202-VERI_TABANI!$B$17), 0))))</f>
        <v/>
      </c>
      <c r="I34" s="170">
        <f>IFERROR(((VERI_TABANI!$D$29*B34*VERI_TABANI!$B$14 + VERI_TABANI!$D$29*C34*VERI_TABANI!$B$15 + IF(ISNUMBER(SEARCH("Var", D34)), VERI_TABANI!$F$29*VERI_TABANI!$B$16, 0))) / (((VERI_TABANI!$D$29*B34 + VERI_TABANI!$D$29*C34)*VERI_TABANI!$B$13 + IF(ISNUMBER(SEARCH("Var", D34)), VERI_TABANI!$E$29*(1-0.928)*VERI_TABANI!$B$18, 0))), 0)</f>
        <v/>
      </c>
      <c r="J34" s="171">
        <f>IFERROR(F34/(G34/29), 0)</f>
        <v/>
      </c>
      <c r="K34" s="172">
        <f>IF(F34&gt;0, H34/F34, 0)</f>
        <v/>
      </c>
      <c r="L34" s="170">
        <f>IF(F34&gt;0, I34, 1000000000)</f>
        <v/>
      </c>
      <c r="M34" s="171">
        <f>ABS((B34+C34)-1)</f>
        <v/>
      </c>
      <c r="N34" s="170">
        <f>IF(F34&gt;0, (G34/29)/F34, 0)</f>
        <v/>
      </c>
      <c r="O34" s="168">
        <f>IF(AND((B34+C34)&gt;=1, ISNUMBER(SEARCH("Var", D34))), F34, 1000000000)</f>
        <v/>
      </c>
      <c r="P34" s="172">
        <f>IF(F34&gt;0, SQRT((F34/MAX(F$5:F$886))^2 + (1 - H34/MAX(H$5:H$886))^2 + (J34/MAX(J$5:J$886))^2), 1000000000)</f>
        <v/>
      </c>
      <c r="Q34" s="166">
        <f>IF(AND(ABS(B34-0.5)&lt;0.01, ABS(C34-0.5)&lt;0.01, ISNUMBER(SEARCH("Var", D34))), 1, 0)</f>
        <v/>
      </c>
      <c r="R34" s="171">
        <f>IF(F34&gt;0, J34, 1000000000)</f>
        <v/>
      </c>
      <c r="S34" s="101">
        <f>IF(AND(F34&lt;=DASHBOARD!$B$11, H34&gt;=DASHBOARD!$B$13), G34, -1000000000000)</f>
        <v/>
      </c>
      <c r="T34" s="101">
        <f>IF(AND(F34&lt;=DASHBOARD!$B$11, H34&gt;=DASHBOARD!$B$13), R34, 1000000000000)</f>
        <v/>
      </c>
      <c r="U34" s="101">
        <f>IF(AND(F34&lt;=DASHBOARD!$B$11, H34&gt;=DASHBOARD!$B$13), N34, -1000000000000)</f>
        <v/>
      </c>
      <c r="V34" s="101">
        <f>IF(AND(F34&lt;=DASHBOARD!$B$11, H34&gt;=DASHBOARD!$B$13), H34, -1000000000000)</f>
        <v/>
      </c>
      <c r="W34" s="101">
        <f>IF(AND(F34&lt;=DASHBOARD!$B$11, H34&gt;=DASHBOARD!$B$13), K34, -1000000000000)</f>
        <v/>
      </c>
      <c r="X34" s="101">
        <f>IF(AND(F34&lt;=DASHBOARD!$B$11, H34&gt;=DASHBOARD!$B$13), M34, 1000000000000)</f>
        <v/>
      </c>
      <c r="Y34" s="101">
        <f>IF(AND(F34&lt;=DASHBOARD!$B$10, H34&gt;=DASHBOARD!$B$11), L34, 1000000000000)</f>
        <v/>
      </c>
      <c r="Z34" s="101">
        <f>IF(AND(F34&lt;=DASHBOARD!$B$10, H34&gt;=DASHBOARD!$B$11), O34, 1000000000000)</f>
        <v/>
      </c>
      <c r="AA34" s="101">
        <f>IF(AND(F34&lt;=DASHBOARD!$B$10, H34&gt;=DASHBOARD!$B$11), P34, 1000000000000)</f>
        <v/>
      </c>
      <c r="AB34" s="101">
        <f>IF(AND(F34&lt;=DASHBOARD!$B$10, H34&gt;=DASHBOARD!$B$11), Q34, -1000000000000)</f>
        <v/>
      </c>
    </row>
    <row r="35" ht="12.75" customHeight="1" s="102">
      <c r="A35" s="166" t="n">
        <v>31</v>
      </c>
      <c r="B35" s="167" t="n">
        <v>0</v>
      </c>
      <c r="C35" s="167" t="n">
        <v>1.5</v>
      </c>
      <c r="D35" s="110" t="inlineStr">
        <is>
          <t>Yok (%0)</t>
        </is>
      </c>
      <c r="E35" s="110">
        <f>IF((B35+C35)&lt;=1, "Tam Mahsuplaşma (≤%100)", "Kısmi Satış (&gt;%100)")</f>
        <v/>
      </c>
      <c r="F35" s="168">
        <f>((VERI_TABANI!$D$29*B35/VERI_TABANI!$B$29)/VERI_TABANI!$B$3)*VERI_TABANI!$B$5 + ((VERI_TABANI!$D$29*C35/VERI_TABANI!$B$29)/VERI_TABANI!$B$4)*VERI_TABANI!$B$6 + IF(ISNUMBER(SEARCH("Var", D35)), (VERI_TABANI!$F$29/VERI_TABANI!$B$29)*(VERI_TABANI!$B$10+VERI_TABANI!$B$12), 0)</f>
        <v/>
      </c>
      <c r="G35" s="168">
        <f>(((MIN(VERI_TABANI!D23, VERI_TABANI!D23*B35)*VERI_TABANI!$B$7 + MAX(0, VERI_TABANI!D23*B35-VERI_TABANI!D23)*VERI_TABANI!$B$8) + (MIN(MAX(0, VERI_TABANI!D23-VERI_TABANI!D23*B35), VERI_TABANI!D23*C35)*VERI_TABANI!$B$7 + MAX(0, VERI_TABANI!D23*C35-MAX(0, VERI_TABANI!D23-VERI_TABANI!D23*B35))*VERI_TABANI!$B$8) + IF(ABS(IF(ISNUMBER(SEARCH("Var", D35)), 1, IF(ISNUMBER(SEARCH("Gri", D35)), -1, 0)))=1, VERI_TABANI!E23*(1-0.928)*VERI_TABANI!$B$9, 0) + (VERI_TABANI!D23*B35*(VERI_TABANI!$B$13-VERI_TABANI!$B$14)*VERI_TABANI!G23) + (VERI_TABANI!D23*C35*(VERI_TABANI!$B$13-VERI_TABANI!$B$15)*VERI_TABANI!G23) + IF(ABS(IF(ISNUMBER(SEARCH("Var", D35)), 1, IF(ISNUMBER(SEARCH("Gri", D35)), -1, 0)))=1, VERI_TABANI!E23*(1-0.928)*0.00206091519919798*VERI_TABANI!G23, 0)) + ((MIN(VERI_TABANI!D24, VERI_TABANI!D24*B35)*VERI_TABANI!$B$7 + MAX(0, VERI_TABANI!D24*B35-VERI_TABANI!D24)*VERI_TABANI!$B$8) + (MIN(MAX(0, VERI_TABANI!D24-VERI_TABANI!D24*B35), VERI_TABANI!D24*C35)*VERI_TABANI!$B$7 + MAX(0, VERI_TABANI!D24*C35-MAX(0, VERI_TABANI!D24-VERI_TABANI!D24*B35))*VERI_TABANI!$B$8) + IF(ABS(IF(ISNUMBER(SEARCH("Var", D35)), 1, IF(ISNUMBER(SEARCH("Gri", D35)), -1, 0)))=1, VERI_TABANI!E24*(1-0.928)*VERI_TABANI!$B$9, 0) + (VERI_TABANI!D24*B35*(VERI_TABANI!$B$13-VERI_TABANI!$B$14)*VERI_TABANI!G24) + (VERI_TABANI!D24*C35*(VERI_TABANI!$B$13-VERI_TABANI!$B$15)*VERI_TABANI!G24) + IF(ABS(IF(ISNUMBER(SEARCH("Var", D35)), 1, IF(ISNUMBER(SEARCH("Gri", D35)), -1, 0)))=1, VERI_TABANI!E24*(1-0.928)*0.00206091519919798*VERI_TABANI!G24, 0)) + ((MIN(VERI_TABANI!D25, VERI_TABANI!D25*B35)*VERI_TABANI!$B$7 + MAX(0, VERI_TABANI!D25*B35-VERI_TABANI!D25)*VERI_TABANI!$B$8) + (MIN(MAX(0, VERI_TABANI!D25-VERI_TABANI!D25*B35), VERI_TABANI!D25*C35)*VERI_TABANI!$B$7 + MAX(0, VERI_TABANI!D25*C35-MAX(0, VERI_TABANI!D25-VERI_TABANI!D25*B35))*VERI_TABANI!$B$8) + IF(ABS(IF(ISNUMBER(SEARCH("Var", D35)), 1, IF(ISNUMBER(SEARCH("Gri", D35)), -1, 0)))=1, VERI_TABANI!E25*(1-0.928)*VERI_TABANI!$B$9, 0) + (VERI_TABANI!D25*B35*(VERI_TABANI!$B$13-VERI_TABANI!$B$14)*VERI_TABANI!G25) + (VERI_TABANI!D25*C35*(VERI_TABANI!$B$13-VERI_TABANI!$B$15)*VERI_TABANI!G25) + IF(ABS(IF(ISNUMBER(SEARCH("Var", D35)), 1, IF(ISNUMBER(SEARCH("Gri", D35)), -1, 0)))=1, VERI_TABANI!E25*(1-0.928)*0.00206091519919798*VERI_TABANI!G25, 0)) + ((MIN(VERI_TABANI!D26, VERI_TABANI!D26*B35)*VERI_TABANI!$B$7 + MAX(0, VERI_TABANI!D26*B35-VERI_TABANI!D26)*VERI_TABANI!$B$8) + (MIN(MAX(0, VERI_TABANI!D26-VERI_TABANI!D26*B35), VERI_TABANI!D26*C35)*VERI_TABANI!$B$7 + MAX(0, VERI_TABANI!D26*C35-MAX(0, VERI_TABANI!D26-VERI_TABANI!D26*B35))*VERI_TABANI!$B$8) + IF(ABS(IF(ISNUMBER(SEARCH("Var", D35)), 1, IF(ISNUMBER(SEARCH("Gri", D35)), -1, 0)))=1, VERI_TABANI!E26*(1-0.928)*VERI_TABANI!$B$9, 0) + (VERI_TABANI!D26*B35*(VERI_TABANI!$B$13-VERI_TABANI!$B$14)*VERI_TABANI!G26) + (VERI_TABANI!D26*C35*(VERI_TABANI!$B$13-VERI_TABANI!$B$15)*VERI_TABANI!G26) + IF(ABS(IF(ISNUMBER(SEARCH("Var", D35)), 1, IF(ISNUMBER(SEARCH("Gri", D35)), -1, 0)))=1, VERI_TABANI!E26*(1-0.928)*0.00206091519919798*VERI_TABANI!G26, 0)) + ((MIN(VERI_TABANI!D27, VERI_TABANI!D27*B35)*VERI_TABANI!$B$7 + MAX(0, VERI_TABANI!D27*B35-VERI_TABANI!D27)*VERI_TABANI!$B$8) + (MIN(MAX(0, VERI_TABANI!D27-VERI_TABANI!D27*B35), VERI_TABANI!D27*C35)*VERI_TABANI!$B$7 + MAX(0, VERI_TABANI!D27*C35-MAX(0, VERI_TABANI!D27-VERI_TABANI!D27*B35))*VERI_TABANI!$B$8) + IF(ABS(IF(ISNUMBER(SEARCH("Var", D35)), 1, IF(ISNUMBER(SEARCH("Gri", D35)), -1, 0)))=1, VERI_TABANI!E27*(1-0.928)*VERI_TABANI!$B$9, 0) + (VERI_TABANI!D27*B35*(VERI_TABANI!$B$13-VERI_TABANI!$B$14)*VERI_TABANI!G27) + (VERI_TABANI!D27*C35*(VERI_TABANI!$B$13-VERI_TABANI!$B$15)*VERI_TABANI!G27) + IF(ABS(IF(ISNUMBER(SEARCH("Var", D35)), 1, IF(ISNUMBER(SEARCH("Gri", D35)), -1, 0)))=1, VERI_TABANI!E27*(1-0.928)*0.00206091519919798*VERI_TABANI!G27, 0)) + ((MIN(VERI_TABANI!D28, VERI_TABANI!D28*B35)*VERI_TABANI!$B$7 + MAX(0, VERI_TABANI!D28*B35-VERI_TABANI!D28)*VERI_TABANI!$B$8) + (MIN(MAX(0, VERI_TABANI!D28-VERI_TABANI!D28*B35), VERI_TABANI!D28*C35)*VERI_TABANI!$B$7 + MAX(0, VERI_TABANI!D28*C35-MAX(0, VERI_TABANI!D28-VERI_TABANI!D28*B35))*VERI_TABANI!$B$8) + IF(ABS(IF(ISNUMBER(SEARCH("Var", D35)), 1, IF(ISNUMBER(SEARCH("Gri", D35)), -1, 0)))=1, VERI_TABANI!E28*(1-0.928)*VERI_TABANI!$B$9, 0) + (VERI_TABANI!D28*B35*(VERI_TABANI!$B$13-VERI_TABANI!$B$14)*VERI_TABANI!G28) + (VERI_TABANI!D28*C35*(VERI_TABANI!$B$13-VERI_TABANI!$B$15)*VERI_TABANI!G28) + IF(ABS(IF(ISNUMBER(SEARCH("Var", D35)), 1, IF(ISNUMBER(SEARCH("Gri", D35)), -1, 0)))=1, VERI_TABANI!E28*(1-0.928)*0.00206091519919798*VERI_TABANI!G28, 0)))</f>
        <v/>
      </c>
      <c r="H35" s="169">
        <f>(((VERI_TABANI!D23*B35*(VERI_TABANI!$B$13-VERI_TABANI!$B$14)) + (VERI_TABANI!D23*C35*(VERI_TABANI!$B$13-VERI_TABANI!$B$15)) + IF(ISNUMBER(SEARCH("Var", D35)), VERI_TABANI!F23*(0.00202-VERI_TABANI!$B$16), IF(ISNUMBER(SEARCH("Gri", D35)), VERI_TABANI!F23*(0.00202-VERI_TABANI!$B$17), 0))) + ((VERI_TABANI!D24*B35*(VERI_TABANI!$B$13-VERI_TABANI!$B$14)) + (VERI_TABANI!D24*C35*(VERI_TABANI!$B$13-VERI_TABANI!$B$15)) + IF(ISNUMBER(SEARCH("Var", D35)), VERI_TABANI!F24*(0.00202-VERI_TABANI!$B$16), IF(ISNUMBER(SEARCH("Gri", D35)), VERI_TABANI!F24*(0.00202-VERI_TABANI!$B$17), 0))) + ((VERI_TABANI!D25*B35*(VERI_TABANI!$B$13-VERI_TABANI!$B$14)) + (VERI_TABANI!D25*C35*(VERI_TABANI!$B$13-VERI_TABANI!$B$15)) + IF(ISNUMBER(SEARCH("Var", D35)), VERI_TABANI!F25*(0.00202-VERI_TABANI!$B$16), IF(ISNUMBER(SEARCH("Gri", D35)), VERI_TABANI!F25*(0.00202-VERI_TABANI!$B$17), 0))) + ((VERI_TABANI!D26*B35*(VERI_TABANI!$B$13-VERI_TABANI!$B$14)) + (VERI_TABANI!D26*C35*(VERI_TABANI!$B$13-VERI_TABANI!$B$15)) + IF(ISNUMBER(SEARCH("Var", D35)), VERI_TABANI!F26*(0.00202-VERI_TABANI!$B$16), IF(ISNUMBER(SEARCH("Gri", D35)), VERI_TABANI!F26*(0.00202-VERI_TABANI!$B$17), 0))) + ((VERI_TABANI!D27*B35*(VERI_TABANI!$B$13-VERI_TABANI!$B$14)) + (VERI_TABANI!D27*C35*(VERI_TABANI!$B$13-VERI_TABANI!$B$15)) + IF(ISNUMBER(SEARCH("Var", D35)), VERI_TABANI!F27*(0.00202-VERI_TABANI!$B$16), IF(ISNUMBER(SEARCH("Gri", D35)), VERI_TABANI!F27*(0.00202-VERI_TABANI!$B$17), 0))) + ((VERI_TABANI!D28*B35*(VERI_TABANI!$B$13-VERI_TABANI!$B$14)) + (VERI_TABANI!D28*C35*(VERI_TABANI!$B$13-VERI_TABANI!$B$15)) + IF(ISNUMBER(SEARCH("Var", D35)), VERI_TABANI!F28*(0.00202-VERI_TABANI!$B$16), IF(ISNUMBER(SEARCH("Gri", D35)), VERI_TABANI!F28*(0.00202-VERI_TABANI!$B$17), 0))))</f>
        <v/>
      </c>
      <c r="I35" s="170">
        <f>IFERROR(((VERI_TABANI!$D$29*B35*VERI_TABANI!$B$14 + VERI_TABANI!$D$29*C35*VERI_TABANI!$B$15 + IF(ISNUMBER(SEARCH("Var", D35)), VERI_TABANI!$F$29*VERI_TABANI!$B$16, 0))) / (((VERI_TABANI!$D$29*B35 + VERI_TABANI!$D$29*C35)*VERI_TABANI!$B$13 + IF(ISNUMBER(SEARCH("Var", D35)), VERI_TABANI!$E$29*(1-0.928)*VERI_TABANI!$B$18, 0))), 0)</f>
        <v/>
      </c>
      <c r="J35" s="171">
        <f>IFERROR(F35/(G35/29), 0)</f>
        <v/>
      </c>
      <c r="K35" s="172">
        <f>IF(F35&gt;0, H35/F35, 0)</f>
        <v/>
      </c>
      <c r="L35" s="170">
        <f>IF(F35&gt;0, I35, 1000000000)</f>
        <v/>
      </c>
      <c r="M35" s="171">
        <f>ABS((B35+C35)-1)</f>
        <v/>
      </c>
      <c r="N35" s="170">
        <f>IF(F35&gt;0, (G35/29)/F35, 0)</f>
        <v/>
      </c>
      <c r="O35" s="168">
        <f>IF(AND((B35+C35)&gt;=1, ISNUMBER(SEARCH("Var", D35))), F35, 1000000000)</f>
        <v/>
      </c>
      <c r="P35" s="172">
        <f>IF(F35&gt;0, SQRT((F35/MAX(F$5:F$886))^2 + (1 - H35/MAX(H$5:H$886))^2 + (J35/MAX(J$5:J$886))^2), 1000000000)</f>
        <v/>
      </c>
      <c r="Q35" s="166">
        <f>IF(AND(ABS(B35-0.5)&lt;0.01, ABS(C35-0.5)&lt;0.01, ISNUMBER(SEARCH("Var", D35))), 1, 0)</f>
        <v/>
      </c>
      <c r="R35" s="171">
        <f>IF(F35&gt;0, J35, 1000000000)</f>
        <v/>
      </c>
      <c r="S35" s="101">
        <f>IF(AND(F35&lt;=DASHBOARD!$B$11, H35&gt;=DASHBOARD!$B$13), G35, -1000000000000)</f>
        <v/>
      </c>
      <c r="T35" s="101">
        <f>IF(AND(F35&lt;=DASHBOARD!$B$11, H35&gt;=DASHBOARD!$B$13), R35, 1000000000000)</f>
        <v/>
      </c>
      <c r="U35" s="101">
        <f>IF(AND(F35&lt;=DASHBOARD!$B$11, H35&gt;=DASHBOARD!$B$13), N35, -1000000000000)</f>
        <v/>
      </c>
      <c r="V35" s="101">
        <f>IF(AND(F35&lt;=DASHBOARD!$B$11, H35&gt;=DASHBOARD!$B$13), H35, -1000000000000)</f>
        <v/>
      </c>
      <c r="W35" s="101">
        <f>IF(AND(F35&lt;=DASHBOARD!$B$11, H35&gt;=DASHBOARD!$B$13), K35, -1000000000000)</f>
        <v/>
      </c>
      <c r="X35" s="101">
        <f>IF(AND(F35&lt;=DASHBOARD!$B$11, H35&gt;=DASHBOARD!$B$13), M35, 1000000000000)</f>
        <v/>
      </c>
      <c r="Y35" s="101">
        <f>IF(AND(F35&lt;=DASHBOARD!$B$10, H35&gt;=DASHBOARD!$B$11), L35, 1000000000000)</f>
        <v/>
      </c>
      <c r="Z35" s="101">
        <f>IF(AND(F35&lt;=DASHBOARD!$B$10, H35&gt;=DASHBOARD!$B$11), O35, 1000000000000)</f>
        <v/>
      </c>
      <c r="AA35" s="101">
        <f>IF(AND(F35&lt;=DASHBOARD!$B$10, H35&gt;=DASHBOARD!$B$11), P35, 1000000000000)</f>
        <v/>
      </c>
      <c r="AB35" s="101">
        <f>IF(AND(F35&lt;=DASHBOARD!$B$10, H35&gt;=DASHBOARD!$B$11), Q35, -1000000000000)</f>
        <v/>
      </c>
    </row>
    <row r="36" ht="12.75" customHeight="1" s="102">
      <c r="A36" s="166" t="n">
        <v>32</v>
      </c>
      <c r="B36" s="167" t="n">
        <v>0</v>
      </c>
      <c r="C36" s="167" t="n">
        <v>1.5</v>
      </c>
      <c r="D36" s="110" t="inlineStr">
        <is>
          <t>Var (%20)</t>
        </is>
      </c>
      <c r="E36" s="110">
        <f>IF((B36+C36)&lt;=1, "Tam Mahsuplaşma (≤%100)", "Kısmi Satış (&gt;%100)")</f>
        <v/>
      </c>
      <c r="F36" s="168">
        <f>((VERI_TABANI!$D$29*B36/VERI_TABANI!$B$29)/VERI_TABANI!$B$3)*VERI_TABANI!$B$5 + ((VERI_TABANI!$D$29*C36/VERI_TABANI!$B$29)/VERI_TABANI!$B$4)*VERI_TABANI!$B$6 + IF(ISNUMBER(SEARCH("Var", D36)), (VERI_TABANI!$F$29/VERI_TABANI!$B$29)*(VERI_TABANI!$B$10+VERI_TABANI!$B$12), 0)</f>
        <v/>
      </c>
      <c r="G36" s="168">
        <f>(((MIN(VERI_TABANI!D23, VERI_TABANI!D23*B36)*VERI_TABANI!$B$7 + MAX(0, VERI_TABANI!D23*B36-VERI_TABANI!D23)*VERI_TABANI!$B$8) + (MIN(MAX(0, VERI_TABANI!D23-VERI_TABANI!D23*B36), VERI_TABANI!D23*C36)*VERI_TABANI!$B$7 + MAX(0, VERI_TABANI!D23*C36-MAX(0, VERI_TABANI!D23-VERI_TABANI!D23*B36))*VERI_TABANI!$B$8) + IF(ABS(IF(ISNUMBER(SEARCH("Var", D36)), 1, IF(ISNUMBER(SEARCH("Gri", D36)), -1, 0)))=1, VERI_TABANI!E23*(1-0.928)*VERI_TABANI!$B$9, 0) + (VERI_TABANI!D23*B36*(VERI_TABANI!$B$13-VERI_TABANI!$B$14)*VERI_TABANI!G23) + (VERI_TABANI!D23*C36*(VERI_TABANI!$B$13-VERI_TABANI!$B$15)*VERI_TABANI!G23) + IF(ABS(IF(ISNUMBER(SEARCH("Var", D36)), 1, IF(ISNUMBER(SEARCH("Gri", D36)), -1, 0)))=1, VERI_TABANI!E23*(1-0.928)*0.00206091519919798*VERI_TABANI!G23, 0)) + ((MIN(VERI_TABANI!D24, VERI_TABANI!D24*B36)*VERI_TABANI!$B$7 + MAX(0, VERI_TABANI!D24*B36-VERI_TABANI!D24)*VERI_TABANI!$B$8) + (MIN(MAX(0, VERI_TABANI!D24-VERI_TABANI!D24*B36), VERI_TABANI!D24*C36)*VERI_TABANI!$B$7 + MAX(0, VERI_TABANI!D24*C36-MAX(0, VERI_TABANI!D24-VERI_TABANI!D24*B36))*VERI_TABANI!$B$8) + IF(ABS(IF(ISNUMBER(SEARCH("Var", D36)), 1, IF(ISNUMBER(SEARCH("Gri", D36)), -1, 0)))=1, VERI_TABANI!E24*(1-0.928)*VERI_TABANI!$B$9, 0) + (VERI_TABANI!D24*B36*(VERI_TABANI!$B$13-VERI_TABANI!$B$14)*VERI_TABANI!G24) + (VERI_TABANI!D24*C36*(VERI_TABANI!$B$13-VERI_TABANI!$B$15)*VERI_TABANI!G24) + IF(ABS(IF(ISNUMBER(SEARCH("Var", D36)), 1, IF(ISNUMBER(SEARCH("Gri", D36)), -1, 0)))=1, VERI_TABANI!E24*(1-0.928)*0.00206091519919798*VERI_TABANI!G24, 0)) + ((MIN(VERI_TABANI!D25, VERI_TABANI!D25*B36)*VERI_TABANI!$B$7 + MAX(0, VERI_TABANI!D25*B36-VERI_TABANI!D25)*VERI_TABANI!$B$8) + (MIN(MAX(0, VERI_TABANI!D25-VERI_TABANI!D25*B36), VERI_TABANI!D25*C36)*VERI_TABANI!$B$7 + MAX(0, VERI_TABANI!D25*C36-MAX(0, VERI_TABANI!D25-VERI_TABANI!D25*B36))*VERI_TABANI!$B$8) + IF(ABS(IF(ISNUMBER(SEARCH("Var", D36)), 1, IF(ISNUMBER(SEARCH("Gri", D36)), -1, 0)))=1, VERI_TABANI!E25*(1-0.928)*VERI_TABANI!$B$9, 0) + (VERI_TABANI!D25*B36*(VERI_TABANI!$B$13-VERI_TABANI!$B$14)*VERI_TABANI!G25) + (VERI_TABANI!D25*C36*(VERI_TABANI!$B$13-VERI_TABANI!$B$15)*VERI_TABANI!G25) + IF(ABS(IF(ISNUMBER(SEARCH("Var", D36)), 1, IF(ISNUMBER(SEARCH("Gri", D36)), -1, 0)))=1, VERI_TABANI!E25*(1-0.928)*0.00206091519919798*VERI_TABANI!G25, 0)) + ((MIN(VERI_TABANI!D26, VERI_TABANI!D26*B36)*VERI_TABANI!$B$7 + MAX(0, VERI_TABANI!D26*B36-VERI_TABANI!D26)*VERI_TABANI!$B$8) + (MIN(MAX(0, VERI_TABANI!D26-VERI_TABANI!D26*B36), VERI_TABANI!D26*C36)*VERI_TABANI!$B$7 + MAX(0, VERI_TABANI!D26*C36-MAX(0, VERI_TABANI!D26-VERI_TABANI!D26*B36))*VERI_TABANI!$B$8) + IF(ABS(IF(ISNUMBER(SEARCH("Var", D36)), 1, IF(ISNUMBER(SEARCH("Gri", D36)), -1, 0)))=1, VERI_TABANI!E26*(1-0.928)*VERI_TABANI!$B$9, 0) + (VERI_TABANI!D26*B36*(VERI_TABANI!$B$13-VERI_TABANI!$B$14)*VERI_TABANI!G26) + (VERI_TABANI!D26*C36*(VERI_TABANI!$B$13-VERI_TABANI!$B$15)*VERI_TABANI!G26) + IF(ABS(IF(ISNUMBER(SEARCH("Var", D36)), 1, IF(ISNUMBER(SEARCH("Gri", D36)), -1, 0)))=1, VERI_TABANI!E26*(1-0.928)*0.00206091519919798*VERI_TABANI!G26, 0)) + ((MIN(VERI_TABANI!D27, VERI_TABANI!D27*B36)*VERI_TABANI!$B$7 + MAX(0, VERI_TABANI!D27*B36-VERI_TABANI!D27)*VERI_TABANI!$B$8) + (MIN(MAX(0, VERI_TABANI!D27-VERI_TABANI!D27*B36), VERI_TABANI!D27*C36)*VERI_TABANI!$B$7 + MAX(0, VERI_TABANI!D27*C36-MAX(0, VERI_TABANI!D27-VERI_TABANI!D27*B36))*VERI_TABANI!$B$8) + IF(ABS(IF(ISNUMBER(SEARCH("Var", D36)), 1, IF(ISNUMBER(SEARCH("Gri", D36)), -1, 0)))=1, VERI_TABANI!E27*(1-0.928)*VERI_TABANI!$B$9, 0) + (VERI_TABANI!D27*B36*(VERI_TABANI!$B$13-VERI_TABANI!$B$14)*VERI_TABANI!G27) + (VERI_TABANI!D27*C36*(VERI_TABANI!$B$13-VERI_TABANI!$B$15)*VERI_TABANI!G27) + IF(ABS(IF(ISNUMBER(SEARCH("Var", D36)), 1, IF(ISNUMBER(SEARCH("Gri", D36)), -1, 0)))=1, VERI_TABANI!E27*(1-0.928)*0.00206091519919798*VERI_TABANI!G27, 0)) + ((MIN(VERI_TABANI!D28, VERI_TABANI!D28*B36)*VERI_TABANI!$B$7 + MAX(0, VERI_TABANI!D28*B36-VERI_TABANI!D28)*VERI_TABANI!$B$8) + (MIN(MAX(0, VERI_TABANI!D28-VERI_TABANI!D28*B36), VERI_TABANI!D28*C36)*VERI_TABANI!$B$7 + MAX(0, VERI_TABANI!D28*C36-MAX(0, VERI_TABANI!D28-VERI_TABANI!D28*B36))*VERI_TABANI!$B$8) + IF(ABS(IF(ISNUMBER(SEARCH("Var", D36)), 1, IF(ISNUMBER(SEARCH("Gri", D36)), -1, 0)))=1, VERI_TABANI!E28*(1-0.928)*VERI_TABANI!$B$9, 0) + (VERI_TABANI!D28*B36*(VERI_TABANI!$B$13-VERI_TABANI!$B$14)*VERI_TABANI!G28) + (VERI_TABANI!D28*C36*(VERI_TABANI!$B$13-VERI_TABANI!$B$15)*VERI_TABANI!G28) + IF(ABS(IF(ISNUMBER(SEARCH("Var", D36)), 1, IF(ISNUMBER(SEARCH("Gri", D36)), -1, 0)))=1, VERI_TABANI!E28*(1-0.928)*0.00206091519919798*VERI_TABANI!G28, 0)))</f>
        <v/>
      </c>
      <c r="H36" s="169">
        <f>(((VERI_TABANI!D23*B36*(VERI_TABANI!$B$13-VERI_TABANI!$B$14)) + (VERI_TABANI!D23*C36*(VERI_TABANI!$B$13-VERI_TABANI!$B$15)) + IF(ISNUMBER(SEARCH("Var", D36)), VERI_TABANI!F23*(0.00202-VERI_TABANI!$B$16), IF(ISNUMBER(SEARCH("Gri", D36)), VERI_TABANI!F23*(0.00202-VERI_TABANI!$B$17), 0))) + ((VERI_TABANI!D24*B36*(VERI_TABANI!$B$13-VERI_TABANI!$B$14)) + (VERI_TABANI!D24*C36*(VERI_TABANI!$B$13-VERI_TABANI!$B$15)) + IF(ISNUMBER(SEARCH("Var", D36)), VERI_TABANI!F24*(0.00202-VERI_TABANI!$B$16), IF(ISNUMBER(SEARCH("Gri", D36)), VERI_TABANI!F24*(0.00202-VERI_TABANI!$B$17), 0))) + ((VERI_TABANI!D25*B36*(VERI_TABANI!$B$13-VERI_TABANI!$B$14)) + (VERI_TABANI!D25*C36*(VERI_TABANI!$B$13-VERI_TABANI!$B$15)) + IF(ISNUMBER(SEARCH("Var", D36)), VERI_TABANI!F25*(0.00202-VERI_TABANI!$B$16), IF(ISNUMBER(SEARCH("Gri", D36)), VERI_TABANI!F25*(0.00202-VERI_TABANI!$B$17), 0))) + ((VERI_TABANI!D26*B36*(VERI_TABANI!$B$13-VERI_TABANI!$B$14)) + (VERI_TABANI!D26*C36*(VERI_TABANI!$B$13-VERI_TABANI!$B$15)) + IF(ISNUMBER(SEARCH("Var", D36)), VERI_TABANI!F26*(0.00202-VERI_TABANI!$B$16), IF(ISNUMBER(SEARCH("Gri", D36)), VERI_TABANI!F26*(0.00202-VERI_TABANI!$B$17), 0))) + ((VERI_TABANI!D27*B36*(VERI_TABANI!$B$13-VERI_TABANI!$B$14)) + (VERI_TABANI!D27*C36*(VERI_TABANI!$B$13-VERI_TABANI!$B$15)) + IF(ISNUMBER(SEARCH("Var", D36)), VERI_TABANI!F27*(0.00202-VERI_TABANI!$B$16), IF(ISNUMBER(SEARCH("Gri", D36)), VERI_TABANI!F27*(0.00202-VERI_TABANI!$B$17), 0))) + ((VERI_TABANI!D28*B36*(VERI_TABANI!$B$13-VERI_TABANI!$B$14)) + (VERI_TABANI!D28*C36*(VERI_TABANI!$B$13-VERI_TABANI!$B$15)) + IF(ISNUMBER(SEARCH("Var", D36)), VERI_TABANI!F28*(0.00202-VERI_TABANI!$B$16), IF(ISNUMBER(SEARCH("Gri", D36)), VERI_TABANI!F28*(0.00202-VERI_TABANI!$B$17), 0))))</f>
        <v/>
      </c>
      <c r="I36" s="170">
        <f>IFERROR(((VERI_TABANI!$D$29*B36*VERI_TABANI!$B$14 + VERI_TABANI!$D$29*C36*VERI_TABANI!$B$15 + IF(ISNUMBER(SEARCH("Var", D36)), VERI_TABANI!$F$29*VERI_TABANI!$B$16, 0))) / (((VERI_TABANI!$D$29*B36 + VERI_TABANI!$D$29*C36)*VERI_TABANI!$B$13 + IF(ISNUMBER(SEARCH("Var", D36)), VERI_TABANI!$E$29*(1-0.928)*VERI_TABANI!$B$18, 0))), 0)</f>
        <v/>
      </c>
      <c r="J36" s="171">
        <f>IFERROR(F36/(G36/29), 0)</f>
        <v/>
      </c>
      <c r="K36" s="172">
        <f>IF(F36&gt;0, H36/F36, 0)</f>
        <v/>
      </c>
      <c r="L36" s="170">
        <f>IF(F36&gt;0, I36, 1000000000)</f>
        <v/>
      </c>
      <c r="M36" s="171">
        <f>ABS((B36+C36)-1)</f>
        <v/>
      </c>
      <c r="N36" s="170">
        <f>IF(F36&gt;0, (G36/29)/F36, 0)</f>
        <v/>
      </c>
      <c r="O36" s="168">
        <f>IF(AND((B36+C36)&gt;=1, ISNUMBER(SEARCH("Var", D36))), F36, 1000000000)</f>
        <v/>
      </c>
      <c r="P36" s="172">
        <f>IF(F36&gt;0, SQRT((F36/MAX(F$5:F$886))^2 + (1 - H36/MAX(H$5:H$886))^2 + (J36/MAX(J$5:J$886))^2), 1000000000)</f>
        <v/>
      </c>
      <c r="Q36" s="166">
        <f>IF(AND(ABS(B36-0.5)&lt;0.01, ABS(C36-0.5)&lt;0.01, ISNUMBER(SEARCH("Var", D36))), 1, 0)</f>
        <v/>
      </c>
      <c r="R36" s="171">
        <f>IF(F36&gt;0, J36, 1000000000)</f>
        <v/>
      </c>
      <c r="S36" s="101">
        <f>IF(AND(F36&lt;=DASHBOARD!$B$11, H36&gt;=DASHBOARD!$B$13), G36, -1000000000000)</f>
        <v/>
      </c>
      <c r="T36" s="101">
        <f>IF(AND(F36&lt;=DASHBOARD!$B$11, H36&gt;=DASHBOARD!$B$13), R36, 1000000000000)</f>
        <v/>
      </c>
      <c r="U36" s="101">
        <f>IF(AND(F36&lt;=DASHBOARD!$B$11, H36&gt;=DASHBOARD!$B$13), N36, -1000000000000)</f>
        <v/>
      </c>
      <c r="V36" s="101">
        <f>IF(AND(F36&lt;=DASHBOARD!$B$11, H36&gt;=DASHBOARD!$B$13), H36, -1000000000000)</f>
        <v/>
      </c>
      <c r="W36" s="101">
        <f>IF(AND(F36&lt;=DASHBOARD!$B$11, H36&gt;=DASHBOARD!$B$13), K36, -1000000000000)</f>
        <v/>
      </c>
      <c r="X36" s="101">
        <f>IF(AND(F36&lt;=DASHBOARD!$B$11, H36&gt;=DASHBOARD!$B$13), M36, 1000000000000)</f>
        <v/>
      </c>
      <c r="Y36" s="101">
        <f>IF(AND(F36&lt;=DASHBOARD!$B$10, H36&gt;=DASHBOARD!$B$11), L36, 1000000000000)</f>
        <v/>
      </c>
      <c r="Z36" s="101">
        <f>IF(AND(F36&lt;=DASHBOARD!$B$10, H36&gt;=DASHBOARD!$B$11), O36, 1000000000000)</f>
        <v/>
      </c>
      <c r="AA36" s="101">
        <f>IF(AND(F36&lt;=DASHBOARD!$B$10, H36&gt;=DASHBOARD!$B$11), P36, 1000000000000)</f>
        <v/>
      </c>
      <c r="AB36" s="101">
        <f>IF(AND(F36&lt;=DASHBOARD!$B$10, H36&gt;=DASHBOARD!$B$11), Q36, -1000000000000)</f>
        <v/>
      </c>
    </row>
    <row r="37" ht="12.75" customHeight="1" s="102">
      <c r="A37" s="166" t="n">
        <v>33</v>
      </c>
      <c r="B37" s="167" t="n">
        <v>0</v>
      </c>
      <c r="C37" s="167" t="n">
        <v>1.6</v>
      </c>
      <c r="D37" s="110" t="inlineStr">
        <is>
          <t>Yok (%0)</t>
        </is>
      </c>
      <c r="E37" s="110">
        <f>IF((B37+C37)&lt;=1, "Tam Mahsuplaşma (≤%100)", "Kısmi Satış (&gt;%100)")</f>
        <v/>
      </c>
      <c r="F37" s="168">
        <f>((VERI_TABANI!$D$29*B37/VERI_TABANI!$B$29)/VERI_TABANI!$B$3)*VERI_TABANI!$B$5 + ((VERI_TABANI!$D$29*C37/VERI_TABANI!$B$29)/VERI_TABANI!$B$4)*VERI_TABANI!$B$6 + IF(ISNUMBER(SEARCH("Var", D37)), (VERI_TABANI!$F$29/VERI_TABANI!$B$29)*(VERI_TABANI!$B$10+VERI_TABANI!$B$12), 0)</f>
        <v/>
      </c>
      <c r="G37" s="168">
        <f>(((MIN(VERI_TABANI!D23, VERI_TABANI!D23*B37)*VERI_TABANI!$B$7 + MAX(0, VERI_TABANI!D23*B37-VERI_TABANI!D23)*VERI_TABANI!$B$8) + (MIN(MAX(0, VERI_TABANI!D23-VERI_TABANI!D23*B37), VERI_TABANI!D23*C37)*VERI_TABANI!$B$7 + MAX(0, VERI_TABANI!D23*C37-MAX(0, VERI_TABANI!D23-VERI_TABANI!D23*B37))*VERI_TABANI!$B$8) + IF(ABS(IF(ISNUMBER(SEARCH("Var", D37)), 1, IF(ISNUMBER(SEARCH("Gri", D37)), -1, 0)))=1, VERI_TABANI!E23*(1-0.928)*VERI_TABANI!$B$9, 0) + (VERI_TABANI!D23*B37*(VERI_TABANI!$B$13-VERI_TABANI!$B$14)*VERI_TABANI!G23) + (VERI_TABANI!D23*C37*(VERI_TABANI!$B$13-VERI_TABANI!$B$15)*VERI_TABANI!G23) + IF(ABS(IF(ISNUMBER(SEARCH("Var", D37)), 1, IF(ISNUMBER(SEARCH("Gri", D37)), -1, 0)))=1, VERI_TABANI!E23*(1-0.928)*0.00206091519919798*VERI_TABANI!G23, 0)) + ((MIN(VERI_TABANI!D24, VERI_TABANI!D24*B37)*VERI_TABANI!$B$7 + MAX(0, VERI_TABANI!D24*B37-VERI_TABANI!D24)*VERI_TABANI!$B$8) + (MIN(MAX(0, VERI_TABANI!D24-VERI_TABANI!D24*B37), VERI_TABANI!D24*C37)*VERI_TABANI!$B$7 + MAX(0, VERI_TABANI!D24*C37-MAX(0, VERI_TABANI!D24-VERI_TABANI!D24*B37))*VERI_TABANI!$B$8) + IF(ABS(IF(ISNUMBER(SEARCH("Var", D37)), 1, IF(ISNUMBER(SEARCH("Gri", D37)), -1, 0)))=1, VERI_TABANI!E24*(1-0.928)*VERI_TABANI!$B$9, 0) + (VERI_TABANI!D24*B37*(VERI_TABANI!$B$13-VERI_TABANI!$B$14)*VERI_TABANI!G24) + (VERI_TABANI!D24*C37*(VERI_TABANI!$B$13-VERI_TABANI!$B$15)*VERI_TABANI!G24) + IF(ABS(IF(ISNUMBER(SEARCH("Var", D37)), 1, IF(ISNUMBER(SEARCH("Gri", D37)), -1, 0)))=1, VERI_TABANI!E24*(1-0.928)*0.00206091519919798*VERI_TABANI!G24, 0)) + ((MIN(VERI_TABANI!D25, VERI_TABANI!D25*B37)*VERI_TABANI!$B$7 + MAX(0, VERI_TABANI!D25*B37-VERI_TABANI!D25)*VERI_TABANI!$B$8) + (MIN(MAX(0, VERI_TABANI!D25-VERI_TABANI!D25*B37), VERI_TABANI!D25*C37)*VERI_TABANI!$B$7 + MAX(0, VERI_TABANI!D25*C37-MAX(0, VERI_TABANI!D25-VERI_TABANI!D25*B37))*VERI_TABANI!$B$8) + IF(ABS(IF(ISNUMBER(SEARCH("Var", D37)), 1, IF(ISNUMBER(SEARCH("Gri", D37)), -1, 0)))=1, VERI_TABANI!E25*(1-0.928)*VERI_TABANI!$B$9, 0) + (VERI_TABANI!D25*B37*(VERI_TABANI!$B$13-VERI_TABANI!$B$14)*VERI_TABANI!G25) + (VERI_TABANI!D25*C37*(VERI_TABANI!$B$13-VERI_TABANI!$B$15)*VERI_TABANI!G25) + IF(ABS(IF(ISNUMBER(SEARCH("Var", D37)), 1, IF(ISNUMBER(SEARCH("Gri", D37)), -1, 0)))=1, VERI_TABANI!E25*(1-0.928)*0.00206091519919798*VERI_TABANI!G25, 0)) + ((MIN(VERI_TABANI!D26, VERI_TABANI!D26*B37)*VERI_TABANI!$B$7 + MAX(0, VERI_TABANI!D26*B37-VERI_TABANI!D26)*VERI_TABANI!$B$8) + (MIN(MAX(0, VERI_TABANI!D26-VERI_TABANI!D26*B37), VERI_TABANI!D26*C37)*VERI_TABANI!$B$7 + MAX(0, VERI_TABANI!D26*C37-MAX(0, VERI_TABANI!D26-VERI_TABANI!D26*B37))*VERI_TABANI!$B$8) + IF(ABS(IF(ISNUMBER(SEARCH("Var", D37)), 1, IF(ISNUMBER(SEARCH("Gri", D37)), -1, 0)))=1, VERI_TABANI!E26*(1-0.928)*VERI_TABANI!$B$9, 0) + (VERI_TABANI!D26*B37*(VERI_TABANI!$B$13-VERI_TABANI!$B$14)*VERI_TABANI!G26) + (VERI_TABANI!D26*C37*(VERI_TABANI!$B$13-VERI_TABANI!$B$15)*VERI_TABANI!G26) + IF(ABS(IF(ISNUMBER(SEARCH("Var", D37)), 1, IF(ISNUMBER(SEARCH("Gri", D37)), -1, 0)))=1, VERI_TABANI!E26*(1-0.928)*0.00206091519919798*VERI_TABANI!G26, 0)) + ((MIN(VERI_TABANI!D27, VERI_TABANI!D27*B37)*VERI_TABANI!$B$7 + MAX(0, VERI_TABANI!D27*B37-VERI_TABANI!D27)*VERI_TABANI!$B$8) + (MIN(MAX(0, VERI_TABANI!D27-VERI_TABANI!D27*B37), VERI_TABANI!D27*C37)*VERI_TABANI!$B$7 + MAX(0, VERI_TABANI!D27*C37-MAX(0, VERI_TABANI!D27-VERI_TABANI!D27*B37))*VERI_TABANI!$B$8) + IF(ABS(IF(ISNUMBER(SEARCH("Var", D37)), 1, IF(ISNUMBER(SEARCH("Gri", D37)), -1, 0)))=1, VERI_TABANI!E27*(1-0.928)*VERI_TABANI!$B$9, 0) + (VERI_TABANI!D27*B37*(VERI_TABANI!$B$13-VERI_TABANI!$B$14)*VERI_TABANI!G27) + (VERI_TABANI!D27*C37*(VERI_TABANI!$B$13-VERI_TABANI!$B$15)*VERI_TABANI!G27) + IF(ABS(IF(ISNUMBER(SEARCH("Var", D37)), 1, IF(ISNUMBER(SEARCH("Gri", D37)), -1, 0)))=1, VERI_TABANI!E27*(1-0.928)*0.00206091519919798*VERI_TABANI!G27, 0)) + ((MIN(VERI_TABANI!D28, VERI_TABANI!D28*B37)*VERI_TABANI!$B$7 + MAX(0, VERI_TABANI!D28*B37-VERI_TABANI!D28)*VERI_TABANI!$B$8) + (MIN(MAX(0, VERI_TABANI!D28-VERI_TABANI!D28*B37), VERI_TABANI!D28*C37)*VERI_TABANI!$B$7 + MAX(0, VERI_TABANI!D28*C37-MAX(0, VERI_TABANI!D28-VERI_TABANI!D28*B37))*VERI_TABANI!$B$8) + IF(ABS(IF(ISNUMBER(SEARCH("Var", D37)), 1, IF(ISNUMBER(SEARCH("Gri", D37)), -1, 0)))=1, VERI_TABANI!E28*(1-0.928)*VERI_TABANI!$B$9, 0) + (VERI_TABANI!D28*B37*(VERI_TABANI!$B$13-VERI_TABANI!$B$14)*VERI_TABANI!G28) + (VERI_TABANI!D28*C37*(VERI_TABANI!$B$13-VERI_TABANI!$B$15)*VERI_TABANI!G28) + IF(ABS(IF(ISNUMBER(SEARCH("Var", D37)), 1, IF(ISNUMBER(SEARCH("Gri", D37)), -1, 0)))=1, VERI_TABANI!E28*(1-0.928)*0.00206091519919798*VERI_TABANI!G28, 0)))</f>
        <v/>
      </c>
      <c r="H37" s="169">
        <f>(((VERI_TABANI!D23*B37*(VERI_TABANI!$B$13-VERI_TABANI!$B$14)) + (VERI_TABANI!D23*C37*(VERI_TABANI!$B$13-VERI_TABANI!$B$15)) + IF(ISNUMBER(SEARCH("Var", D37)), VERI_TABANI!F23*(0.00202-VERI_TABANI!$B$16), IF(ISNUMBER(SEARCH("Gri", D37)), VERI_TABANI!F23*(0.00202-VERI_TABANI!$B$17), 0))) + ((VERI_TABANI!D24*B37*(VERI_TABANI!$B$13-VERI_TABANI!$B$14)) + (VERI_TABANI!D24*C37*(VERI_TABANI!$B$13-VERI_TABANI!$B$15)) + IF(ISNUMBER(SEARCH("Var", D37)), VERI_TABANI!F24*(0.00202-VERI_TABANI!$B$16), IF(ISNUMBER(SEARCH("Gri", D37)), VERI_TABANI!F24*(0.00202-VERI_TABANI!$B$17), 0))) + ((VERI_TABANI!D25*B37*(VERI_TABANI!$B$13-VERI_TABANI!$B$14)) + (VERI_TABANI!D25*C37*(VERI_TABANI!$B$13-VERI_TABANI!$B$15)) + IF(ISNUMBER(SEARCH("Var", D37)), VERI_TABANI!F25*(0.00202-VERI_TABANI!$B$16), IF(ISNUMBER(SEARCH("Gri", D37)), VERI_TABANI!F25*(0.00202-VERI_TABANI!$B$17), 0))) + ((VERI_TABANI!D26*B37*(VERI_TABANI!$B$13-VERI_TABANI!$B$14)) + (VERI_TABANI!D26*C37*(VERI_TABANI!$B$13-VERI_TABANI!$B$15)) + IF(ISNUMBER(SEARCH("Var", D37)), VERI_TABANI!F26*(0.00202-VERI_TABANI!$B$16), IF(ISNUMBER(SEARCH("Gri", D37)), VERI_TABANI!F26*(0.00202-VERI_TABANI!$B$17), 0))) + ((VERI_TABANI!D27*B37*(VERI_TABANI!$B$13-VERI_TABANI!$B$14)) + (VERI_TABANI!D27*C37*(VERI_TABANI!$B$13-VERI_TABANI!$B$15)) + IF(ISNUMBER(SEARCH("Var", D37)), VERI_TABANI!F27*(0.00202-VERI_TABANI!$B$16), IF(ISNUMBER(SEARCH("Gri", D37)), VERI_TABANI!F27*(0.00202-VERI_TABANI!$B$17), 0))) + ((VERI_TABANI!D28*B37*(VERI_TABANI!$B$13-VERI_TABANI!$B$14)) + (VERI_TABANI!D28*C37*(VERI_TABANI!$B$13-VERI_TABANI!$B$15)) + IF(ISNUMBER(SEARCH("Var", D37)), VERI_TABANI!F28*(0.00202-VERI_TABANI!$B$16), IF(ISNUMBER(SEARCH("Gri", D37)), VERI_TABANI!F28*(0.00202-VERI_TABANI!$B$17), 0))))</f>
        <v/>
      </c>
      <c r="I37" s="170">
        <f>IFERROR(((VERI_TABANI!$D$29*B37*VERI_TABANI!$B$14 + VERI_TABANI!$D$29*C37*VERI_TABANI!$B$15 + IF(ISNUMBER(SEARCH("Var", D37)), VERI_TABANI!$F$29*VERI_TABANI!$B$16, 0))) / (((VERI_TABANI!$D$29*B37 + VERI_TABANI!$D$29*C37)*VERI_TABANI!$B$13 + IF(ISNUMBER(SEARCH("Var", D37)), VERI_TABANI!$E$29*(1-0.928)*VERI_TABANI!$B$18, 0))), 0)</f>
        <v/>
      </c>
      <c r="J37" s="171">
        <f>IFERROR(F37/(G37/29), 0)</f>
        <v/>
      </c>
      <c r="K37" s="172">
        <f>IF(F37&gt;0, H37/F37, 0)</f>
        <v/>
      </c>
      <c r="L37" s="170">
        <f>IF(F37&gt;0, I37, 1000000000)</f>
        <v/>
      </c>
      <c r="M37" s="171">
        <f>ABS((B37+C37)-1)</f>
        <v/>
      </c>
      <c r="N37" s="170">
        <f>IF(F37&gt;0, (G37/29)/F37, 0)</f>
        <v/>
      </c>
      <c r="O37" s="168">
        <f>IF(AND((B37+C37)&gt;=1, ISNUMBER(SEARCH("Var", D37))), F37, 1000000000)</f>
        <v/>
      </c>
      <c r="P37" s="172">
        <f>IF(F37&gt;0, SQRT((F37/MAX(F$5:F$886))^2 + (1 - H37/MAX(H$5:H$886))^2 + (J37/MAX(J$5:J$886))^2), 1000000000)</f>
        <v/>
      </c>
      <c r="Q37" s="166">
        <f>IF(AND(ABS(B37-0.5)&lt;0.01, ABS(C37-0.5)&lt;0.01, ISNUMBER(SEARCH("Var", D37))), 1, 0)</f>
        <v/>
      </c>
      <c r="R37" s="171">
        <f>IF(F37&gt;0, J37, 1000000000)</f>
        <v/>
      </c>
      <c r="S37" s="101">
        <f>IF(AND(F37&lt;=DASHBOARD!$B$11, H37&gt;=DASHBOARD!$B$13), G37, -1000000000000)</f>
        <v/>
      </c>
      <c r="T37" s="101">
        <f>IF(AND(F37&lt;=DASHBOARD!$B$11, H37&gt;=DASHBOARD!$B$13), R37, 1000000000000)</f>
        <v/>
      </c>
      <c r="U37" s="101">
        <f>IF(AND(F37&lt;=DASHBOARD!$B$11, H37&gt;=DASHBOARD!$B$13), N37, -1000000000000)</f>
        <v/>
      </c>
      <c r="V37" s="101">
        <f>IF(AND(F37&lt;=DASHBOARD!$B$11, H37&gt;=DASHBOARD!$B$13), H37, -1000000000000)</f>
        <v/>
      </c>
      <c r="W37" s="101">
        <f>IF(AND(F37&lt;=DASHBOARD!$B$11, H37&gt;=DASHBOARD!$B$13), K37, -1000000000000)</f>
        <v/>
      </c>
      <c r="X37" s="101">
        <f>IF(AND(F37&lt;=DASHBOARD!$B$11, H37&gt;=DASHBOARD!$B$13), M37, 1000000000000)</f>
        <v/>
      </c>
      <c r="Y37" s="101">
        <f>IF(AND(F37&lt;=DASHBOARD!$B$10, H37&gt;=DASHBOARD!$B$11), L37, 1000000000000)</f>
        <v/>
      </c>
      <c r="Z37" s="101">
        <f>IF(AND(F37&lt;=DASHBOARD!$B$10, H37&gt;=DASHBOARD!$B$11), O37, 1000000000000)</f>
        <v/>
      </c>
      <c r="AA37" s="101">
        <f>IF(AND(F37&lt;=DASHBOARD!$B$10, H37&gt;=DASHBOARD!$B$11), P37, 1000000000000)</f>
        <v/>
      </c>
      <c r="AB37" s="101">
        <f>IF(AND(F37&lt;=DASHBOARD!$B$10, H37&gt;=DASHBOARD!$B$11), Q37, -1000000000000)</f>
        <v/>
      </c>
    </row>
    <row r="38" ht="12.75" customHeight="1" s="102">
      <c r="A38" s="166" t="n">
        <v>34</v>
      </c>
      <c r="B38" s="167" t="n">
        <v>0</v>
      </c>
      <c r="C38" s="167" t="n">
        <v>1.6</v>
      </c>
      <c r="D38" s="110" t="inlineStr">
        <is>
          <t>Var (%20)</t>
        </is>
      </c>
      <c r="E38" s="110">
        <f>IF((B38+C38)&lt;=1, "Tam Mahsuplaşma (≤%100)", "Kısmi Satış (&gt;%100)")</f>
        <v/>
      </c>
      <c r="F38" s="168">
        <f>((VERI_TABANI!$D$29*B38/VERI_TABANI!$B$29)/VERI_TABANI!$B$3)*VERI_TABANI!$B$5 + ((VERI_TABANI!$D$29*C38/VERI_TABANI!$B$29)/VERI_TABANI!$B$4)*VERI_TABANI!$B$6 + IF(ISNUMBER(SEARCH("Var", D38)), (VERI_TABANI!$F$29/VERI_TABANI!$B$29)*(VERI_TABANI!$B$10+VERI_TABANI!$B$12), 0)</f>
        <v/>
      </c>
      <c r="G38" s="168">
        <f>(((MIN(VERI_TABANI!D23, VERI_TABANI!D23*B38)*VERI_TABANI!$B$7 + MAX(0, VERI_TABANI!D23*B38-VERI_TABANI!D23)*VERI_TABANI!$B$8) + (MIN(MAX(0, VERI_TABANI!D23-VERI_TABANI!D23*B38), VERI_TABANI!D23*C38)*VERI_TABANI!$B$7 + MAX(0, VERI_TABANI!D23*C38-MAX(0, VERI_TABANI!D23-VERI_TABANI!D23*B38))*VERI_TABANI!$B$8) + IF(ABS(IF(ISNUMBER(SEARCH("Var", D38)), 1, IF(ISNUMBER(SEARCH("Gri", D38)), -1, 0)))=1, VERI_TABANI!E23*(1-0.928)*VERI_TABANI!$B$9, 0) + (VERI_TABANI!D23*B38*(VERI_TABANI!$B$13-VERI_TABANI!$B$14)*VERI_TABANI!G23) + (VERI_TABANI!D23*C38*(VERI_TABANI!$B$13-VERI_TABANI!$B$15)*VERI_TABANI!G23) + IF(ABS(IF(ISNUMBER(SEARCH("Var", D38)), 1, IF(ISNUMBER(SEARCH("Gri", D38)), -1, 0)))=1, VERI_TABANI!E23*(1-0.928)*0.00206091519919798*VERI_TABANI!G23, 0)) + ((MIN(VERI_TABANI!D24, VERI_TABANI!D24*B38)*VERI_TABANI!$B$7 + MAX(0, VERI_TABANI!D24*B38-VERI_TABANI!D24)*VERI_TABANI!$B$8) + (MIN(MAX(0, VERI_TABANI!D24-VERI_TABANI!D24*B38), VERI_TABANI!D24*C38)*VERI_TABANI!$B$7 + MAX(0, VERI_TABANI!D24*C38-MAX(0, VERI_TABANI!D24-VERI_TABANI!D24*B38))*VERI_TABANI!$B$8) + IF(ABS(IF(ISNUMBER(SEARCH("Var", D38)), 1, IF(ISNUMBER(SEARCH("Gri", D38)), -1, 0)))=1, VERI_TABANI!E24*(1-0.928)*VERI_TABANI!$B$9, 0) + (VERI_TABANI!D24*B38*(VERI_TABANI!$B$13-VERI_TABANI!$B$14)*VERI_TABANI!G24) + (VERI_TABANI!D24*C38*(VERI_TABANI!$B$13-VERI_TABANI!$B$15)*VERI_TABANI!G24) + IF(ABS(IF(ISNUMBER(SEARCH("Var", D38)), 1, IF(ISNUMBER(SEARCH("Gri", D38)), -1, 0)))=1, VERI_TABANI!E24*(1-0.928)*0.00206091519919798*VERI_TABANI!G24, 0)) + ((MIN(VERI_TABANI!D25, VERI_TABANI!D25*B38)*VERI_TABANI!$B$7 + MAX(0, VERI_TABANI!D25*B38-VERI_TABANI!D25)*VERI_TABANI!$B$8) + (MIN(MAX(0, VERI_TABANI!D25-VERI_TABANI!D25*B38), VERI_TABANI!D25*C38)*VERI_TABANI!$B$7 + MAX(0, VERI_TABANI!D25*C38-MAX(0, VERI_TABANI!D25-VERI_TABANI!D25*B38))*VERI_TABANI!$B$8) + IF(ABS(IF(ISNUMBER(SEARCH("Var", D38)), 1, IF(ISNUMBER(SEARCH("Gri", D38)), -1, 0)))=1, VERI_TABANI!E25*(1-0.928)*VERI_TABANI!$B$9, 0) + (VERI_TABANI!D25*B38*(VERI_TABANI!$B$13-VERI_TABANI!$B$14)*VERI_TABANI!G25) + (VERI_TABANI!D25*C38*(VERI_TABANI!$B$13-VERI_TABANI!$B$15)*VERI_TABANI!G25) + IF(ABS(IF(ISNUMBER(SEARCH("Var", D38)), 1, IF(ISNUMBER(SEARCH("Gri", D38)), -1, 0)))=1, VERI_TABANI!E25*(1-0.928)*0.00206091519919798*VERI_TABANI!G25, 0)) + ((MIN(VERI_TABANI!D26, VERI_TABANI!D26*B38)*VERI_TABANI!$B$7 + MAX(0, VERI_TABANI!D26*B38-VERI_TABANI!D26)*VERI_TABANI!$B$8) + (MIN(MAX(0, VERI_TABANI!D26-VERI_TABANI!D26*B38), VERI_TABANI!D26*C38)*VERI_TABANI!$B$7 + MAX(0, VERI_TABANI!D26*C38-MAX(0, VERI_TABANI!D26-VERI_TABANI!D26*B38))*VERI_TABANI!$B$8) + IF(ABS(IF(ISNUMBER(SEARCH("Var", D38)), 1, IF(ISNUMBER(SEARCH("Gri", D38)), -1, 0)))=1, VERI_TABANI!E26*(1-0.928)*VERI_TABANI!$B$9, 0) + (VERI_TABANI!D26*B38*(VERI_TABANI!$B$13-VERI_TABANI!$B$14)*VERI_TABANI!G26) + (VERI_TABANI!D26*C38*(VERI_TABANI!$B$13-VERI_TABANI!$B$15)*VERI_TABANI!G26) + IF(ABS(IF(ISNUMBER(SEARCH("Var", D38)), 1, IF(ISNUMBER(SEARCH("Gri", D38)), -1, 0)))=1, VERI_TABANI!E26*(1-0.928)*0.00206091519919798*VERI_TABANI!G26, 0)) + ((MIN(VERI_TABANI!D27, VERI_TABANI!D27*B38)*VERI_TABANI!$B$7 + MAX(0, VERI_TABANI!D27*B38-VERI_TABANI!D27)*VERI_TABANI!$B$8) + (MIN(MAX(0, VERI_TABANI!D27-VERI_TABANI!D27*B38), VERI_TABANI!D27*C38)*VERI_TABANI!$B$7 + MAX(0, VERI_TABANI!D27*C38-MAX(0, VERI_TABANI!D27-VERI_TABANI!D27*B38))*VERI_TABANI!$B$8) + IF(ABS(IF(ISNUMBER(SEARCH("Var", D38)), 1, IF(ISNUMBER(SEARCH("Gri", D38)), -1, 0)))=1, VERI_TABANI!E27*(1-0.928)*VERI_TABANI!$B$9, 0) + (VERI_TABANI!D27*B38*(VERI_TABANI!$B$13-VERI_TABANI!$B$14)*VERI_TABANI!G27) + (VERI_TABANI!D27*C38*(VERI_TABANI!$B$13-VERI_TABANI!$B$15)*VERI_TABANI!G27) + IF(ABS(IF(ISNUMBER(SEARCH("Var", D38)), 1, IF(ISNUMBER(SEARCH("Gri", D38)), -1, 0)))=1, VERI_TABANI!E27*(1-0.928)*0.00206091519919798*VERI_TABANI!G27, 0)) + ((MIN(VERI_TABANI!D28, VERI_TABANI!D28*B38)*VERI_TABANI!$B$7 + MAX(0, VERI_TABANI!D28*B38-VERI_TABANI!D28)*VERI_TABANI!$B$8) + (MIN(MAX(0, VERI_TABANI!D28-VERI_TABANI!D28*B38), VERI_TABANI!D28*C38)*VERI_TABANI!$B$7 + MAX(0, VERI_TABANI!D28*C38-MAX(0, VERI_TABANI!D28-VERI_TABANI!D28*B38))*VERI_TABANI!$B$8) + IF(ABS(IF(ISNUMBER(SEARCH("Var", D38)), 1, IF(ISNUMBER(SEARCH("Gri", D38)), -1, 0)))=1, VERI_TABANI!E28*(1-0.928)*VERI_TABANI!$B$9, 0) + (VERI_TABANI!D28*B38*(VERI_TABANI!$B$13-VERI_TABANI!$B$14)*VERI_TABANI!G28) + (VERI_TABANI!D28*C38*(VERI_TABANI!$B$13-VERI_TABANI!$B$15)*VERI_TABANI!G28) + IF(ABS(IF(ISNUMBER(SEARCH("Var", D38)), 1, IF(ISNUMBER(SEARCH("Gri", D38)), -1, 0)))=1, VERI_TABANI!E28*(1-0.928)*0.00206091519919798*VERI_TABANI!G28, 0)))</f>
        <v/>
      </c>
      <c r="H38" s="169">
        <f>(((VERI_TABANI!D23*B38*(VERI_TABANI!$B$13-VERI_TABANI!$B$14)) + (VERI_TABANI!D23*C38*(VERI_TABANI!$B$13-VERI_TABANI!$B$15)) + IF(ISNUMBER(SEARCH("Var", D38)), VERI_TABANI!F23*(0.00202-VERI_TABANI!$B$16), IF(ISNUMBER(SEARCH("Gri", D38)), VERI_TABANI!F23*(0.00202-VERI_TABANI!$B$17), 0))) + ((VERI_TABANI!D24*B38*(VERI_TABANI!$B$13-VERI_TABANI!$B$14)) + (VERI_TABANI!D24*C38*(VERI_TABANI!$B$13-VERI_TABANI!$B$15)) + IF(ISNUMBER(SEARCH("Var", D38)), VERI_TABANI!F24*(0.00202-VERI_TABANI!$B$16), IF(ISNUMBER(SEARCH("Gri", D38)), VERI_TABANI!F24*(0.00202-VERI_TABANI!$B$17), 0))) + ((VERI_TABANI!D25*B38*(VERI_TABANI!$B$13-VERI_TABANI!$B$14)) + (VERI_TABANI!D25*C38*(VERI_TABANI!$B$13-VERI_TABANI!$B$15)) + IF(ISNUMBER(SEARCH("Var", D38)), VERI_TABANI!F25*(0.00202-VERI_TABANI!$B$16), IF(ISNUMBER(SEARCH("Gri", D38)), VERI_TABANI!F25*(0.00202-VERI_TABANI!$B$17), 0))) + ((VERI_TABANI!D26*B38*(VERI_TABANI!$B$13-VERI_TABANI!$B$14)) + (VERI_TABANI!D26*C38*(VERI_TABANI!$B$13-VERI_TABANI!$B$15)) + IF(ISNUMBER(SEARCH("Var", D38)), VERI_TABANI!F26*(0.00202-VERI_TABANI!$B$16), IF(ISNUMBER(SEARCH("Gri", D38)), VERI_TABANI!F26*(0.00202-VERI_TABANI!$B$17), 0))) + ((VERI_TABANI!D27*B38*(VERI_TABANI!$B$13-VERI_TABANI!$B$14)) + (VERI_TABANI!D27*C38*(VERI_TABANI!$B$13-VERI_TABANI!$B$15)) + IF(ISNUMBER(SEARCH("Var", D38)), VERI_TABANI!F27*(0.00202-VERI_TABANI!$B$16), IF(ISNUMBER(SEARCH("Gri", D38)), VERI_TABANI!F27*(0.00202-VERI_TABANI!$B$17), 0))) + ((VERI_TABANI!D28*B38*(VERI_TABANI!$B$13-VERI_TABANI!$B$14)) + (VERI_TABANI!D28*C38*(VERI_TABANI!$B$13-VERI_TABANI!$B$15)) + IF(ISNUMBER(SEARCH("Var", D38)), VERI_TABANI!F28*(0.00202-VERI_TABANI!$B$16), IF(ISNUMBER(SEARCH("Gri", D38)), VERI_TABANI!F28*(0.00202-VERI_TABANI!$B$17), 0))))</f>
        <v/>
      </c>
      <c r="I38" s="170">
        <f>IFERROR(((VERI_TABANI!$D$29*B38*VERI_TABANI!$B$14 + VERI_TABANI!$D$29*C38*VERI_TABANI!$B$15 + IF(ISNUMBER(SEARCH("Var", D38)), VERI_TABANI!$F$29*VERI_TABANI!$B$16, 0))) / (((VERI_TABANI!$D$29*B38 + VERI_TABANI!$D$29*C38)*VERI_TABANI!$B$13 + IF(ISNUMBER(SEARCH("Var", D38)), VERI_TABANI!$E$29*(1-0.928)*VERI_TABANI!$B$18, 0))), 0)</f>
        <v/>
      </c>
      <c r="J38" s="171">
        <f>IFERROR(F38/(G38/29), 0)</f>
        <v/>
      </c>
      <c r="K38" s="172">
        <f>IF(F38&gt;0, H38/F38, 0)</f>
        <v/>
      </c>
      <c r="L38" s="170">
        <f>IF(F38&gt;0, I38, 1000000000)</f>
        <v/>
      </c>
      <c r="M38" s="171">
        <f>ABS((B38+C38)-1)</f>
        <v/>
      </c>
      <c r="N38" s="170">
        <f>IF(F38&gt;0, (G38/29)/F38, 0)</f>
        <v/>
      </c>
      <c r="O38" s="168">
        <f>IF(AND((B38+C38)&gt;=1, ISNUMBER(SEARCH("Var", D38))), F38, 1000000000)</f>
        <v/>
      </c>
      <c r="P38" s="172">
        <f>IF(F38&gt;0, SQRT((F38/MAX(F$5:F$886))^2 + (1 - H38/MAX(H$5:H$886))^2 + (J38/MAX(J$5:J$886))^2), 1000000000)</f>
        <v/>
      </c>
      <c r="Q38" s="166">
        <f>IF(AND(ABS(B38-0.5)&lt;0.01, ABS(C38-0.5)&lt;0.01, ISNUMBER(SEARCH("Var", D38))), 1, 0)</f>
        <v/>
      </c>
      <c r="R38" s="171">
        <f>IF(F38&gt;0, J38, 1000000000)</f>
        <v/>
      </c>
      <c r="S38" s="101">
        <f>IF(AND(F38&lt;=DASHBOARD!$B$11, H38&gt;=DASHBOARD!$B$13), G38, -1000000000000)</f>
        <v/>
      </c>
      <c r="T38" s="101">
        <f>IF(AND(F38&lt;=DASHBOARD!$B$11, H38&gt;=DASHBOARD!$B$13), R38, 1000000000000)</f>
        <v/>
      </c>
      <c r="U38" s="101">
        <f>IF(AND(F38&lt;=DASHBOARD!$B$11, H38&gt;=DASHBOARD!$B$13), N38, -1000000000000)</f>
        <v/>
      </c>
      <c r="V38" s="101">
        <f>IF(AND(F38&lt;=DASHBOARD!$B$11, H38&gt;=DASHBOARD!$B$13), H38, -1000000000000)</f>
        <v/>
      </c>
      <c r="W38" s="101">
        <f>IF(AND(F38&lt;=DASHBOARD!$B$11, H38&gt;=DASHBOARD!$B$13), K38, -1000000000000)</f>
        <v/>
      </c>
      <c r="X38" s="101">
        <f>IF(AND(F38&lt;=DASHBOARD!$B$11, H38&gt;=DASHBOARD!$B$13), M38, 1000000000000)</f>
        <v/>
      </c>
      <c r="Y38" s="101">
        <f>IF(AND(F38&lt;=DASHBOARD!$B$10, H38&gt;=DASHBOARD!$B$11), L38, 1000000000000)</f>
        <v/>
      </c>
      <c r="Z38" s="101">
        <f>IF(AND(F38&lt;=DASHBOARD!$B$10, H38&gt;=DASHBOARD!$B$11), O38, 1000000000000)</f>
        <v/>
      </c>
      <c r="AA38" s="101">
        <f>IF(AND(F38&lt;=DASHBOARD!$B$10, H38&gt;=DASHBOARD!$B$11), P38, 1000000000000)</f>
        <v/>
      </c>
      <c r="AB38" s="101">
        <f>IF(AND(F38&lt;=DASHBOARD!$B$10, H38&gt;=DASHBOARD!$B$11), Q38, -1000000000000)</f>
        <v/>
      </c>
    </row>
    <row r="39" ht="12.75" customHeight="1" s="102">
      <c r="A39" s="166" t="n">
        <v>35</v>
      </c>
      <c r="B39" s="167" t="n">
        <v>0</v>
      </c>
      <c r="C39" s="167" t="n">
        <v>1.7</v>
      </c>
      <c r="D39" s="110" t="inlineStr">
        <is>
          <t>Yok (%0)</t>
        </is>
      </c>
      <c r="E39" s="110">
        <f>IF((B39+C39)&lt;=1, "Tam Mahsuplaşma (≤%100)", "Kısmi Satış (&gt;%100)")</f>
        <v/>
      </c>
      <c r="F39" s="168">
        <f>((VERI_TABANI!$D$29*B39/VERI_TABANI!$B$29)/VERI_TABANI!$B$3)*VERI_TABANI!$B$5 + ((VERI_TABANI!$D$29*C39/VERI_TABANI!$B$29)/VERI_TABANI!$B$4)*VERI_TABANI!$B$6 + IF(ISNUMBER(SEARCH("Var", D39)), (VERI_TABANI!$F$29/VERI_TABANI!$B$29)*(VERI_TABANI!$B$10+VERI_TABANI!$B$12), 0)</f>
        <v/>
      </c>
      <c r="G39" s="168">
        <f>(((MIN(VERI_TABANI!D23, VERI_TABANI!D23*B39)*VERI_TABANI!$B$7 + MAX(0, VERI_TABANI!D23*B39-VERI_TABANI!D23)*VERI_TABANI!$B$8) + (MIN(MAX(0, VERI_TABANI!D23-VERI_TABANI!D23*B39), VERI_TABANI!D23*C39)*VERI_TABANI!$B$7 + MAX(0, VERI_TABANI!D23*C39-MAX(0, VERI_TABANI!D23-VERI_TABANI!D23*B39))*VERI_TABANI!$B$8) + IF(ABS(IF(ISNUMBER(SEARCH("Var", D39)), 1, IF(ISNUMBER(SEARCH("Gri", D39)), -1, 0)))=1, VERI_TABANI!E23*(1-0.928)*VERI_TABANI!$B$9, 0) + (VERI_TABANI!D23*B39*(VERI_TABANI!$B$13-VERI_TABANI!$B$14)*VERI_TABANI!G23) + (VERI_TABANI!D23*C39*(VERI_TABANI!$B$13-VERI_TABANI!$B$15)*VERI_TABANI!G23) + IF(ABS(IF(ISNUMBER(SEARCH("Var", D39)), 1, IF(ISNUMBER(SEARCH("Gri", D39)), -1, 0)))=1, VERI_TABANI!E23*(1-0.928)*0.00206091519919798*VERI_TABANI!G23, 0)) + ((MIN(VERI_TABANI!D24, VERI_TABANI!D24*B39)*VERI_TABANI!$B$7 + MAX(0, VERI_TABANI!D24*B39-VERI_TABANI!D24)*VERI_TABANI!$B$8) + (MIN(MAX(0, VERI_TABANI!D24-VERI_TABANI!D24*B39), VERI_TABANI!D24*C39)*VERI_TABANI!$B$7 + MAX(0, VERI_TABANI!D24*C39-MAX(0, VERI_TABANI!D24-VERI_TABANI!D24*B39))*VERI_TABANI!$B$8) + IF(ABS(IF(ISNUMBER(SEARCH("Var", D39)), 1, IF(ISNUMBER(SEARCH("Gri", D39)), -1, 0)))=1, VERI_TABANI!E24*(1-0.928)*VERI_TABANI!$B$9, 0) + (VERI_TABANI!D24*B39*(VERI_TABANI!$B$13-VERI_TABANI!$B$14)*VERI_TABANI!G24) + (VERI_TABANI!D24*C39*(VERI_TABANI!$B$13-VERI_TABANI!$B$15)*VERI_TABANI!G24) + IF(ABS(IF(ISNUMBER(SEARCH("Var", D39)), 1, IF(ISNUMBER(SEARCH("Gri", D39)), -1, 0)))=1, VERI_TABANI!E24*(1-0.928)*0.00206091519919798*VERI_TABANI!G24, 0)) + ((MIN(VERI_TABANI!D25, VERI_TABANI!D25*B39)*VERI_TABANI!$B$7 + MAX(0, VERI_TABANI!D25*B39-VERI_TABANI!D25)*VERI_TABANI!$B$8) + (MIN(MAX(0, VERI_TABANI!D25-VERI_TABANI!D25*B39), VERI_TABANI!D25*C39)*VERI_TABANI!$B$7 + MAX(0, VERI_TABANI!D25*C39-MAX(0, VERI_TABANI!D25-VERI_TABANI!D25*B39))*VERI_TABANI!$B$8) + IF(ABS(IF(ISNUMBER(SEARCH("Var", D39)), 1, IF(ISNUMBER(SEARCH("Gri", D39)), -1, 0)))=1, VERI_TABANI!E25*(1-0.928)*VERI_TABANI!$B$9, 0) + (VERI_TABANI!D25*B39*(VERI_TABANI!$B$13-VERI_TABANI!$B$14)*VERI_TABANI!G25) + (VERI_TABANI!D25*C39*(VERI_TABANI!$B$13-VERI_TABANI!$B$15)*VERI_TABANI!G25) + IF(ABS(IF(ISNUMBER(SEARCH("Var", D39)), 1, IF(ISNUMBER(SEARCH("Gri", D39)), -1, 0)))=1, VERI_TABANI!E25*(1-0.928)*0.00206091519919798*VERI_TABANI!G25, 0)) + ((MIN(VERI_TABANI!D26, VERI_TABANI!D26*B39)*VERI_TABANI!$B$7 + MAX(0, VERI_TABANI!D26*B39-VERI_TABANI!D26)*VERI_TABANI!$B$8) + (MIN(MAX(0, VERI_TABANI!D26-VERI_TABANI!D26*B39), VERI_TABANI!D26*C39)*VERI_TABANI!$B$7 + MAX(0, VERI_TABANI!D26*C39-MAX(0, VERI_TABANI!D26-VERI_TABANI!D26*B39))*VERI_TABANI!$B$8) + IF(ABS(IF(ISNUMBER(SEARCH("Var", D39)), 1, IF(ISNUMBER(SEARCH("Gri", D39)), -1, 0)))=1, VERI_TABANI!E26*(1-0.928)*VERI_TABANI!$B$9, 0) + (VERI_TABANI!D26*B39*(VERI_TABANI!$B$13-VERI_TABANI!$B$14)*VERI_TABANI!G26) + (VERI_TABANI!D26*C39*(VERI_TABANI!$B$13-VERI_TABANI!$B$15)*VERI_TABANI!G26) + IF(ABS(IF(ISNUMBER(SEARCH("Var", D39)), 1, IF(ISNUMBER(SEARCH("Gri", D39)), -1, 0)))=1, VERI_TABANI!E26*(1-0.928)*0.00206091519919798*VERI_TABANI!G26, 0)) + ((MIN(VERI_TABANI!D27, VERI_TABANI!D27*B39)*VERI_TABANI!$B$7 + MAX(0, VERI_TABANI!D27*B39-VERI_TABANI!D27)*VERI_TABANI!$B$8) + (MIN(MAX(0, VERI_TABANI!D27-VERI_TABANI!D27*B39), VERI_TABANI!D27*C39)*VERI_TABANI!$B$7 + MAX(0, VERI_TABANI!D27*C39-MAX(0, VERI_TABANI!D27-VERI_TABANI!D27*B39))*VERI_TABANI!$B$8) + IF(ABS(IF(ISNUMBER(SEARCH("Var", D39)), 1, IF(ISNUMBER(SEARCH("Gri", D39)), -1, 0)))=1, VERI_TABANI!E27*(1-0.928)*VERI_TABANI!$B$9, 0) + (VERI_TABANI!D27*B39*(VERI_TABANI!$B$13-VERI_TABANI!$B$14)*VERI_TABANI!G27) + (VERI_TABANI!D27*C39*(VERI_TABANI!$B$13-VERI_TABANI!$B$15)*VERI_TABANI!G27) + IF(ABS(IF(ISNUMBER(SEARCH("Var", D39)), 1, IF(ISNUMBER(SEARCH("Gri", D39)), -1, 0)))=1, VERI_TABANI!E27*(1-0.928)*0.00206091519919798*VERI_TABANI!G27, 0)) + ((MIN(VERI_TABANI!D28, VERI_TABANI!D28*B39)*VERI_TABANI!$B$7 + MAX(0, VERI_TABANI!D28*B39-VERI_TABANI!D28)*VERI_TABANI!$B$8) + (MIN(MAX(0, VERI_TABANI!D28-VERI_TABANI!D28*B39), VERI_TABANI!D28*C39)*VERI_TABANI!$B$7 + MAX(0, VERI_TABANI!D28*C39-MAX(0, VERI_TABANI!D28-VERI_TABANI!D28*B39))*VERI_TABANI!$B$8) + IF(ABS(IF(ISNUMBER(SEARCH("Var", D39)), 1, IF(ISNUMBER(SEARCH("Gri", D39)), -1, 0)))=1, VERI_TABANI!E28*(1-0.928)*VERI_TABANI!$B$9, 0) + (VERI_TABANI!D28*B39*(VERI_TABANI!$B$13-VERI_TABANI!$B$14)*VERI_TABANI!G28) + (VERI_TABANI!D28*C39*(VERI_TABANI!$B$13-VERI_TABANI!$B$15)*VERI_TABANI!G28) + IF(ABS(IF(ISNUMBER(SEARCH("Var", D39)), 1, IF(ISNUMBER(SEARCH("Gri", D39)), -1, 0)))=1, VERI_TABANI!E28*(1-0.928)*0.00206091519919798*VERI_TABANI!G28, 0)))</f>
        <v/>
      </c>
      <c r="H39" s="169">
        <f>(((VERI_TABANI!D23*B39*(VERI_TABANI!$B$13-VERI_TABANI!$B$14)) + (VERI_TABANI!D23*C39*(VERI_TABANI!$B$13-VERI_TABANI!$B$15)) + IF(ISNUMBER(SEARCH("Var", D39)), VERI_TABANI!F23*(0.00202-VERI_TABANI!$B$16), IF(ISNUMBER(SEARCH("Gri", D39)), VERI_TABANI!F23*(0.00202-VERI_TABANI!$B$17), 0))) + ((VERI_TABANI!D24*B39*(VERI_TABANI!$B$13-VERI_TABANI!$B$14)) + (VERI_TABANI!D24*C39*(VERI_TABANI!$B$13-VERI_TABANI!$B$15)) + IF(ISNUMBER(SEARCH("Var", D39)), VERI_TABANI!F24*(0.00202-VERI_TABANI!$B$16), IF(ISNUMBER(SEARCH("Gri", D39)), VERI_TABANI!F24*(0.00202-VERI_TABANI!$B$17), 0))) + ((VERI_TABANI!D25*B39*(VERI_TABANI!$B$13-VERI_TABANI!$B$14)) + (VERI_TABANI!D25*C39*(VERI_TABANI!$B$13-VERI_TABANI!$B$15)) + IF(ISNUMBER(SEARCH("Var", D39)), VERI_TABANI!F25*(0.00202-VERI_TABANI!$B$16), IF(ISNUMBER(SEARCH("Gri", D39)), VERI_TABANI!F25*(0.00202-VERI_TABANI!$B$17), 0))) + ((VERI_TABANI!D26*B39*(VERI_TABANI!$B$13-VERI_TABANI!$B$14)) + (VERI_TABANI!D26*C39*(VERI_TABANI!$B$13-VERI_TABANI!$B$15)) + IF(ISNUMBER(SEARCH("Var", D39)), VERI_TABANI!F26*(0.00202-VERI_TABANI!$B$16), IF(ISNUMBER(SEARCH("Gri", D39)), VERI_TABANI!F26*(0.00202-VERI_TABANI!$B$17), 0))) + ((VERI_TABANI!D27*B39*(VERI_TABANI!$B$13-VERI_TABANI!$B$14)) + (VERI_TABANI!D27*C39*(VERI_TABANI!$B$13-VERI_TABANI!$B$15)) + IF(ISNUMBER(SEARCH("Var", D39)), VERI_TABANI!F27*(0.00202-VERI_TABANI!$B$16), IF(ISNUMBER(SEARCH("Gri", D39)), VERI_TABANI!F27*(0.00202-VERI_TABANI!$B$17), 0))) + ((VERI_TABANI!D28*B39*(VERI_TABANI!$B$13-VERI_TABANI!$B$14)) + (VERI_TABANI!D28*C39*(VERI_TABANI!$B$13-VERI_TABANI!$B$15)) + IF(ISNUMBER(SEARCH("Var", D39)), VERI_TABANI!F28*(0.00202-VERI_TABANI!$B$16), IF(ISNUMBER(SEARCH("Gri", D39)), VERI_TABANI!F28*(0.00202-VERI_TABANI!$B$17), 0))))</f>
        <v/>
      </c>
      <c r="I39" s="170">
        <f>IFERROR(((VERI_TABANI!$D$29*B39*VERI_TABANI!$B$14 + VERI_TABANI!$D$29*C39*VERI_TABANI!$B$15 + IF(ISNUMBER(SEARCH("Var", D39)), VERI_TABANI!$F$29*VERI_TABANI!$B$16, 0))) / (((VERI_TABANI!$D$29*B39 + VERI_TABANI!$D$29*C39)*VERI_TABANI!$B$13 + IF(ISNUMBER(SEARCH("Var", D39)), VERI_TABANI!$E$29*(1-0.928)*VERI_TABANI!$B$18, 0))), 0)</f>
        <v/>
      </c>
      <c r="J39" s="171">
        <f>IFERROR(F39/(G39/29), 0)</f>
        <v/>
      </c>
      <c r="K39" s="172">
        <f>IF(F39&gt;0, H39/F39, 0)</f>
        <v/>
      </c>
      <c r="L39" s="170">
        <f>IF(F39&gt;0, I39, 1000000000)</f>
        <v/>
      </c>
      <c r="M39" s="171">
        <f>ABS((B39+C39)-1)</f>
        <v/>
      </c>
      <c r="N39" s="170">
        <f>IF(F39&gt;0, (G39/29)/F39, 0)</f>
        <v/>
      </c>
      <c r="O39" s="168">
        <f>IF(AND((B39+C39)&gt;=1, ISNUMBER(SEARCH("Var", D39))), F39, 1000000000)</f>
        <v/>
      </c>
      <c r="P39" s="172">
        <f>IF(F39&gt;0, SQRT((F39/MAX(F$5:F$886))^2 + (1 - H39/MAX(H$5:H$886))^2 + (J39/MAX(J$5:J$886))^2), 1000000000)</f>
        <v/>
      </c>
      <c r="Q39" s="166">
        <f>IF(AND(ABS(B39-0.5)&lt;0.01, ABS(C39-0.5)&lt;0.01, ISNUMBER(SEARCH("Var", D39))), 1, 0)</f>
        <v/>
      </c>
      <c r="R39" s="171">
        <f>IF(F39&gt;0, J39, 1000000000)</f>
        <v/>
      </c>
      <c r="S39" s="101">
        <f>IF(AND(F39&lt;=DASHBOARD!$B$11, H39&gt;=DASHBOARD!$B$13), G39, -1000000000000)</f>
        <v/>
      </c>
      <c r="T39" s="101">
        <f>IF(AND(F39&lt;=DASHBOARD!$B$11, H39&gt;=DASHBOARD!$B$13), R39, 1000000000000)</f>
        <v/>
      </c>
      <c r="U39" s="101">
        <f>IF(AND(F39&lt;=DASHBOARD!$B$11, H39&gt;=DASHBOARD!$B$13), N39, -1000000000000)</f>
        <v/>
      </c>
      <c r="V39" s="101">
        <f>IF(AND(F39&lt;=DASHBOARD!$B$11, H39&gt;=DASHBOARD!$B$13), H39, -1000000000000)</f>
        <v/>
      </c>
      <c r="W39" s="101">
        <f>IF(AND(F39&lt;=DASHBOARD!$B$11, H39&gt;=DASHBOARD!$B$13), K39, -1000000000000)</f>
        <v/>
      </c>
      <c r="X39" s="101">
        <f>IF(AND(F39&lt;=DASHBOARD!$B$11, H39&gt;=DASHBOARD!$B$13), M39, 1000000000000)</f>
        <v/>
      </c>
      <c r="Y39" s="101">
        <f>IF(AND(F39&lt;=DASHBOARD!$B$10, H39&gt;=DASHBOARD!$B$11), L39, 1000000000000)</f>
        <v/>
      </c>
      <c r="Z39" s="101">
        <f>IF(AND(F39&lt;=DASHBOARD!$B$10, H39&gt;=DASHBOARD!$B$11), O39, 1000000000000)</f>
        <v/>
      </c>
      <c r="AA39" s="101">
        <f>IF(AND(F39&lt;=DASHBOARD!$B$10, H39&gt;=DASHBOARD!$B$11), P39, 1000000000000)</f>
        <v/>
      </c>
      <c r="AB39" s="101">
        <f>IF(AND(F39&lt;=DASHBOARD!$B$10, H39&gt;=DASHBOARD!$B$11), Q39, -1000000000000)</f>
        <v/>
      </c>
    </row>
    <row r="40" ht="12.75" customHeight="1" s="102">
      <c r="A40" s="166" t="n">
        <v>36</v>
      </c>
      <c r="B40" s="167" t="n">
        <v>0</v>
      </c>
      <c r="C40" s="167" t="n">
        <v>1.7</v>
      </c>
      <c r="D40" s="110" t="inlineStr">
        <is>
          <t>Var (%20)</t>
        </is>
      </c>
      <c r="E40" s="110">
        <f>IF((B40+C40)&lt;=1, "Tam Mahsuplaşma (≤%100)", "Kısmi Satış (&gt;%100)")</f>
        <v/>
      </c>
      <c r="F40" s="168">
        <f>((VERI_TABANI!$D$29*B40/VERI_TABANI!$B$29)/VERI_TABANI!$B$3)*VERI_TABANI!$B$5 + ((VERI_TABANI!$D$29*C40/VERI_TABANI!$B$29)/VERI_TABANI!$B$4)*VERI_TABANI!$B$6 + IF(ISNUMBER(SEARCH("Var", D40)), (VERI_TABANI!$F$29/VERI_TABANI!$B$29)*(VERI_TABANI!$B$10+VERI_TABANI!$B$12), 0)</f>
        <v/>
      </c>
      <c r="G40" s="168">
        <f>(((MIN(VERI_TABANI!D23, VERI_TABANI!D23*B40)*VERI_TABANI!$B$7 + MAX(0, VERI_TABANI!D23*B40-VERI_TABANI!D23)*VERI_TABANI!$B$8) + (MIN(MAX(0, VERI_TABANI!D23-VERI_TABANI!D23*B40), VERI_TABANI!D23*C40)*VERI_TABANI!$B$7 + MAX(0, VERI_TABANI!D23*C40-MAX(0, VERI_TABANI!D23-VERI_TABANI!D23*B40))*VERI_TABANI!$B$8) + IF(ABS(IF(ISNUMBER(SEARCH("Var", D40)), 1, IF(ISNUMBER(SEARCH("Gri", D40)), -1, 0)))=1, VERI_TABANI!E23*(1-0.928)*VERI_TABANI!$B$9, 0) + (VERI_TABANI!D23*B40*(VERI_TABANI!$B$13-VERI_TABANI!$B$14)*VERI_TABANI!G23) + (VERI_TABANI!D23*C40*(VERI_TABANI!$B$13-VERI_TABANI!$B$15)*VERI_TABANI!G23) + IF(ABS(IF(ISNUMBER(SEARCH("Var", D40)), 1, IF(ISNUMBER(SEARCH("Gri", D40)), -1, 0)))=1, VERI_TABANI!E23*(1-0.928)*0.00206091519919798*VERI_TABANI!G23, 0)) + ((MIN(VERI_TABANI!D24, VERI_TABANI!D24*B40)*VERI_TABANI!$B$7 + MAX(0, VERI_TABANI!D24*B40-VERI_TABANI!D24)*VERI_TABANI!$B$8) + (MIN(MAX(0, VERI_TABANI!D24-VERI_TABANI!D24*B40), VERI_TABANI!D24*C40)*VERI_TABANI!$B$7 + MAX(0, VERI_TABANI!D24*C40-MAX(0, VERI_TABANI!D24-VERI_TABANI!D24*B40))*VERI_TABANI!$B$8) + IF(ABS(IF(ISNUMBER(SEARCH("Var", D40)), 1, IF(ISNUMBER(SEARCH("Gri", D40)), -1, 0)))=1, VERI_TABANI!E24*(1-0.928)*VERI_TABANI!$B$9, 0) + (VERI_TABANI!D24*B40*(VERI_TABANI!$B$13-VERI_TABANI!$B$14)*VERI_TABANI!G24) + (VERI_TABANI!D24*C40*(VERI_TABANI!$B$13-VERI_TABANI!$B$15)*VERI_TABANI!G24) + IF(ABS(IF(ISNUMBER(SEARCH("Var", D40)), 1, IF(ISNUMBER(SEARCH("Gri", D40)), -1, 0)))=1, VERI_TABANI!E24*(1-0.928)*0.00206091519919798*VERI_TABANI!G24, 0)) + ((MIN(VERI_TABANI!D25, VERI_TABANI!D25*B40)*VERI_TABANI!$B$7 + MAX(0, VERI_TABANI!D25*B40-VERI_TABANI!D25)*VERI_TABANI!$B$8) + (MIN(MAX(0, VERI_TABANI!D25-VERI_TABANI!D25*B40), VERI_TABANI!D25*C40)*VERI_TABANI!$B$7 + MAX(0, VERI_TABANI!D25*C40-MAX(0, VERI_TABANI!D25-VERI_TABANI!D25*B40))*VERI_TABANI!$B$8) + IF(ABS(IF(ISNUMBER(SEARCH("Var", D40)), 1, IF(ISNUMBER(SEARCH("Gri", D40)), -1, 0)))=1, VERI_TABANI!E25*(1-0.928)*VERI_TABANI!$B$9, 0) + (VERI_TABANI!D25*B40*(VERI_TABANI!$B$13-VERI_TABANI!$B$14)*VERI_TABANI!G25) + (VERI_TABANI!D25*C40*(VERI_TABANI!$B$13-VERI_TABANI!$B$15)*VERI_TABANI!G25) + IF(ABS(IF(ISNUMBER(SEARCH("Var", D40)), 1, IF(ISNUMBER(SEARCH("Gri", D40)), -1, 0)))=1, VERI_TABANI!E25*(1-0.928)*0.00206091519919798*VERI_TABANI!G25, 0)) + ((MIN(VERI_TABANI!D26, VERI_TABANI!D26*B40)*VERI_TABANI!$B$7 + MAX(0, VERI_TABANI!D26*B40-VERI_TABANI!D26)*VERI_TABANI!$B$8) + (MIN(MAX(0, VERI_TABANI!D26-VERI_TABANI!D26*B40), VERI_TABANI!D26*C40)*VERI_TABANI!$B$7 + MAX(0, VERI_TABANI!D26*C40-MAX(0, VERI_TABANI!D26-VERI_TABANI!D26*B40))*VERI_TABANI!$B$8) + IF(ABS(IF(ISNUMBER(SEARCH("Var", D40)), 1, IF(ISNUMBER(SEARCH("Gri", D40)), -1, 0)))=1, VERI_TABANI!E26*(1-0.928)*VERI_TABANI!$B$9, 0) + (VERI_TABANI!D26*B40*(VERI_TABANI!$B$13-VERI_TABANI!$B$14)*VERI_TABANI!G26) + (VERI_TABANI!D26*C40*(VERI_TABANI!$B$13-VERI_TABANI!$B$15)*VERI_TABANI!G26) + IF(ABS(IF(ISNUMBER(SEARCH("Var", D40)), 1, IF(ISNUMBER(SEARCH("Gri", D40)), -1, 0)))=1, VERI_TABANI!E26*(1-0.928)*0.00206091519919798*VERI_TABANI!G26, 0)) + ((MIN(VERI_TABANI!D27, VERI_TABANI!D27*B40)*VERI_TABANI!$B$7 + MAX(0, VERI_TABANI!D27*B40-VERI_TABANI!D27)*VERI_TABANI!$B$8) + (MIN(MAX(0, VERI_TABANI!D27-VERI_TABANI!D27*B40), VERI_TABANI!D27*C40)*VERI_TABANI!$B$7 + MAX(0, VERI_TABANI!D27*C40-MAX(0, VERI_TABANI!D27-VERI_TABANI!D27*B40))*VERI_TABANI!$B$8) + IF(ABS(IF(ISNUMBER(SEARCH("Var", D40)), 1, IF(ISNUMBER(SEARCH("Gri", D40)), -1, 0)))=1, VERI_TABANI!E27*(1-0.928)*VERI_TABANI!$B$9, 0) + (VERI_TABANI!D27*B40*(VERI_TABANI!$B$13-VERI_TABANI!$B$14)*VERI_TABANI!G27) + (VERI_TABANI!D27*C40*(VERI_TABANI!$B$13-VERI_TABANI!$B$15)*VERI_TABANI!G27) + IF(ABS(IF(ISNUMBER(SEARCH("Var", D40)), 1, IF(ISNUMBER(SEARCH("Gri", D40)), -1, 0)))=1, VERI_TABANI!E27*(1-0.928)*0.00206091519919798*VERI_TABANI!G27, 0)) + ((MIN(VERI_TABANI!D28, VERI_TABANI!D28*B40)*VERI_TABANI!$B$7 + MAX(0, VERI_TABANI!D28*B40-VERI_TABANI!D28)*VERI_TABANI!$B$8) + (MIN(MAX(0, VERI_TABANI!D28-VERI_TABANI!D28*B40), VERI_TABANI!D28*C40)*VERI_TABANI!$B$7 + MAX(0, VERI_TABANI!D28*C40-MAX(0, VERI_TABANI!D28-VERI_TABANI!D28*B40))*VERI_TABANI!$B$8) + IF(ABS(IF(ISNUMBER(SEARCH("Var", D40)), 1, IF(ISNUMBER(SEARCH("Gri", D40)), -1, 0)))=1, VERI_TABANI!E28*(1-0.928)*VERI_TABANI!$B$9, 0) + (VERI_TABANI!D28*B40*(VERI_TABANI!$B$13-VERI_TABANI!$B$14)*VERI_TABANI!G28) + (VERI_TABANI!D28*C40*(VERI_TABANI!$B$13-VERI_TABANI!$B$15)*VERI_TABANI!G28) + IF(ABS(IF(ISNUMBER(SEARCH("Var", D40)), 1, IF(ISNUMBER(SEARCH("Gri", D40)), -1, 0)))=1, VERI_TABANI!E28*(1-0.928)*0.00206091519919798*VERI_TABANI!G28, 0)))</f>
        <v/>
      </c>
      <c r="H40" s="169">
        <f>(((VERI_TABANI!D23*B40*(VERI_TABANI!$B$13-VERI_TABANI!$B$14)) + (VERI_TABANI!D23*C40*(VERI_TABANI!$B$13-VERI_TABANI!$B$15)) + IF(ISNUMBER(SEARCH("Var", D40)), VERI_TABANI!F23*(0.00202-VERI_TABANI!$B$16), IF(ISNUMBER(SEARCH("Gri", D40)), VERI_TABANI!F23*(0.00202-VERI_TABANI!$B$17), 0))) + ((VERI_TABANI!D24*B40*(VERI_TABANI!$B$13-VERI_TABANI!$B$14)) + (VERI_TABANI!D24*C40*(VERI_TABANI!$B$13-VERI_TABANI!$B$15)) + IF(ISNUMBER(SEARCH("Var", D40)), VERI_TABANI!F24*(0.00202-VERI_TABANI!$B$16), IF(ISNUMBER(SEARCH("Gri", D40)), VERI_TABANI!F24*(0.00202-VERI_TABANI!$B$17), 0))) + ((VERI_TABANI!D25*B40*(VERI_TABANI!$B$13-VERI_TABANI!$B$14)) + (VERI_TABANI!D25*C40*(VERI_TABANI!$B$13-VERI_TABANI!$B$15)) + IF(ISNUMBER(SEARCH("Var", D40)), VERI_TABANI!F25*(0.00202-VERI_TABANI!$B$16), IF(ISNUMBER(SEARCH("Gri", D40)), VERI_TABANI!F25*(0.00202-VERI_TABANI!$B$17), 0))) + ((VERI_TABANI!D26*B40*(VERI_TABANI!$B$13-VERI_TABANI!$B$14)) + (VERI_TABANI!D26*C40*(VERI_TABANI!$B$13-VERI_TABANI!$B$15)) + IF(ISNUMBER(SEARCH("Var", D40)), VERI_TABANI!F26*(0.00202-VERI_TABANI!$B$16), IF(ISNUMBER(SEARCH("Gri", D40)), VERI_TABANI!F26*(0.00202-VERI_TABANI!$B$17), 0))) + ((VERI_TABANI!D27*B40*(VERI_TABANI!$B$13-VERI_TABANI!$B$14)) + (VERI_TABANI!D27*C40*(VERI_TABANI!$B$13-VERI_TABANI!$B$15)) + IF(ISNUMBER(SEARCH("Var", D40)), VERI_TABANI!F27*(0.00202-VERI_TABANI!$B$16), IF(ISNUMBER(SEARCH("Gri", D40)), VERI_TABANI!F27*(0.00202-VERI_TABANI!$B$17), 0))) + ((VERI_TABANI!D28*B40*(VERI_TABANI!$B$13-VERI_TABANI!$B$14)) + (VERI_TABANI!D28*C40*(VERI_TABANI!$B$13-VERI_TABANI!$B$15)) + IF(ISNUMBER(SEARCH("Var", D40)), VERI_TABANI!F28*(0.00202-VERI_TABANI!$B$16), IF(ISNUMBER(SEARCH("Gri", D40)), VERI_TABANI!F28*(0.00202-VERI_TABANI!$B$17), 0))))</f>
        <v/>
      </c>
      <c r="I40" s="170">
        <f>IFERROR(((VERI_TABANI!$D$29*B40*VERI_TABANI!$B$14 + VERI_TABANI!$D$29*C40*VERI_TABANI!$B$15 + IF(ISNUMBER(SEARCH("Var", D40)), VERI_TABANI!$F$29*VERI_TABANI!$B$16, 0))) / (((VERI_TABANI!$D$29*B40 + VERI_TABANI!$D$29*C40)*VERI_TABANI!$B$13 + IF(ISNUMBER(SEARCH("Var", D40)), VERI_TABANI!$E$29*(1-0.928)*VERI_TABANI!$B$18, 0))), 0)</f>
        <v/>
      </c>
      <c r="J40" s="171">
        <f>IFERROR(F40/(G40/29), 0)</f>
        <v/>
      </c>
      <c r="K40" s="172">
        <f>IF(F40&gt;0, H40/F40, 0)</f>
        <v/>
      </c>
      <c r="L40" s="170">
        <f>IF(F40&gt;0, I40, 1000000000)</f>
        <v/>
      </c>
      <c r="M40" s="171">
        <f>ABS((B40+C40)-1)</f>
        <v/>
      </c>
      <c r="N40" s="170">
        <f>IF(F40&gt;0, (G40/29)/F40, 0)</f>
        <v/>
      </c>
      <c r="O40" s="168">
        <f>IF(AND((B40+C40)&gt;=1, ISNUMBER(SEARCH("Var", D40))), F40, 1000000000)</f>
        <v/>
      </c>
      <c r="P40" s="172">
        <f>IF(F40&gt;0, SQRT((F40/MAX(F$5:F$886))^2 + (1 - H40/MAX(H$5:H$886))^2 + (J40/MAX(J$5:J$886))^2), 1000000000)</f>
        <v/>
      </c>
      <c r="Q40" s="166">
        <f>IF(AND(ABS(B40-0.5)&lt;0.01, ABS(C40-0.5)&lt;0.01, ISNUMBER(SEARCH("Var", D40))), 1, 0)</f>
        <v/>
      </c>
      <c r="R40" s="171">
        <f>IF(F40&gt;0, J40, 1000000000)</f>
        <v/>
      </c>
      <c r="S40" s="101">
        <f>IF(AND(F40&lt;=DASHBOARD!$B$11, H40&gt;=DASHBOARD!$B$13), G40, -1000000000000)</f>
        <v/>
      </c>
      <c r="T40" s="101">
        <f>IF(AND(F40&lt;=DASHBOARD!$B$11, H40&gt;=DASHBOARD!$B$13), R40, 1000000000000)</f>
        <v/>
      </c>
      <c r="U40" s="101">
        <f>IF(AND(F40&lt;=DASHBOARD!$B$11, H40&gt;=DASHBOARD!$B$13), N40, -1000000000000)</f>
        <v/>
      </c>
      <c r="V40" s="101">
        <f>IF(AND(F40&lt;=DASHBOARD!$B$11, H40&gt;=DASHBOARD!$B$13), H40, -1000000000000)</f>
        <v/>
      </c>
      <c r="W40" s="101">
        <f>IF(AND(F40&lt;=DASHBOARD!$B$11, H40&gt;=DASHBOARD!$B$13), K40, -1000000000000)</f>
        <v/>
      </c>
      <c r="X40" s="101">
        <f>IF(AND(F40&lt;=DASHBOARD!$B$11, H40&gt;=DASHBOARD!$B$13), M40, 1000000000000)</f>
        <v/>
      </c>
      <c r="Y40" s="101">
        <f>IF(AND(F40&lt;=DASHBOARD!$B$10, H40&gt;=DASHBOARD!$B$11), L40, 1000000000000)</f>
        <v/>
      </c>
      <c r="Z40" s="101">
        <f>IF(AND(F40&lt;=DASHBOARD!$B$10, H40&gt;=DASHBOARD!$B$11), O40, 1000000000000)</f>
        <v/>
      </c>
      <c r="AA40" s="101">
        <f>IF(AND(F40&lt;=DASHBOARD!$B$10, H40&gt;=DASHBOARD!$B$11), P40, 1000000000000)</f>
        <v/>
      </c>
      <c r="AB40" s="101">
        <f>IF(AND(F40&lt;=DASHBOARD!$B$10, H40&gt;=DASHBOARD!$B$11), Q40, -1000000000000)</f>
        <v/>
      </c>
    </row>
    <row r="41" ht="12.75" customHeight="1" s="102">
      <c r="A41" s="166" t="n">
        <v>37</v>
      </c>
      <c r="B41" s="167" t="n">
        <v>0</v>
      </c>
      <c r="C41" s="167" t="n">
        <v>1.8</v>
      </c>
      <c r="D41" s="110" t="inlineStr">
        <is>
          <t>Yok (%0)</t>
        </is>
      </c>
      <c r="E41" s="110">
        <f>IF((B41+C41)&lt;=1, "Tam Mahsuplaşma (≤%100)", "Kısmi Satış (&gt;%100)")</f>
        <v/>
      </c>
      <c r="F41" s="168">
        <f>((VERI_TABANI!$D$29*B41/VERI_TABANI!$B$29)/VERI_TABANI!$B$3)*VERI_TABANI!$B$5 + ((VERI_TABANI!$D$29*C41/VERI_TABANI!$B$29)/VERI_TABANI!$B$4)*VERI_TABANI!$B$6 + IF(ISNUMBER(SEARCH("Var", D41)), (VERI_TABANI!$F$29/VERI_TABANI!$B$29)*(VERI_TABANI!$B$10+VERI_TABANI!$B$12), 0)</f>
        <v/>
      </c>
      <c r="G41" s="168">
        <f>(((MIN(VERI_TABANI!D23, VERI_TABANI!D23*B41)*VERI_TABANI!$B$7 + MAX(0, VERI_TABANI!D23*B41-VERI_TABANI!D23)*VERI_TABANI!$B$8) + (MIN(MAX(0, VERI_TABANI!D23-VERI_TABANI!D23*B41), VERI_TABANI!D23*C41)*VERI_TABANI!$B$7 + MAX(0, VERI_TABANI!D23*C41-MAX(0, VERI_TABANI!D23-VERI_TABANI!D23*B41))*VERI_TABANI!$B$8) + IF(ABS(IF(ISNUMBER(SEARCH("Var", D41)), 1, IF(ISNUMBER(SEARCH("Gri", D41)), -1, 0)))=1, VERI_TABANI!E23*(1-0.928)*VERI_TABANI!$B$9, 0) + (VERI_TABANI!D23*B41*(VERI_TABANI!$B$13-VERI_TABANI!$B$14)*VERI_TABANI!G23) + (VERI_TABANI!D23*C41*(VERI_TABANI!$B$13-VERI_TABANI!$B$15)*VERI_TABANI!G23) + IF(ABS(IF(ISNUMBER(SEARCH("Var", D41)), 1, IF(ISNUMBER(SEARCH("Gri", D41)), -1, 0)))=1, VERI_TABANI!E23*(1-0.928)*0.00206091519919798*VERI_TABANI!G23, 0)) + ((MIN(VERI_TABANI!D24, VERI_TABANI!D24*B41)*VERI_TABANI!$B$7 + MAX(0, VERI_TABANI!D24*B41-VERI_TABANI!D24)*VERI_TABANI!$B$8) + (MIN(MAX(0, VERI_TABANI!D24-VERI_TABANI!D24*B41), VERI_TABANI!D24*C41)*VERI_TABANI!$B$7 + MAX(0, VERI_TABANI!D24*C41-MAX(0, VERI_TABANI!D24-VERI_TABANI!D24*B41))*VERI_TABANI!$B$8) + IF(ABS(IF(ISNUMBER(SEARCH("Var", D41)), 1, IF(ISNUMBER(SEARCH("Gri", D41)), -1, 0)))=1, VERI_TABANI!E24*(1-0.928)*VERI_TABANI!$B$9, 0) + (VERI_TABANI!D24*B41*(VERI_TABANI!$B$13-VERI_TABANI!$B$14)*VERI_TABANI!G24) + (VERI_TABANI!D24*C41*(VERI_TABANI!$B$13-VERI_TABANI!$B$15)*VERI_TABANI!G24) + IF(ABS(IF(ISNUMBER(SEARCH("Var", D41)), 1, IF(ISNUMBER(SEARCH("Gri", D41)), -1, 0)))=1, VERI_TABANI!E24*(1-0.928)*0.00206091519919798*VERI_TABANI!G24, 0)) + ((MIN(VERI_TABANI!D25, VERI_TABANI!D25*B41)*VERI_TABANI!$B$7 + MAX(0, VERI_TABANI!D25*B41-VERI_TABANI!D25)*VERI_TABANI!$B$8) + (MIN(MAX(0, VERI_TABANI!D25-VERI_TABANI!D25*B41), VERI_TABANI!D25*C41)*VERI_TABANI!$B$7 + MAX(0, VERI_TABANI!D25*C41-MAX(0, VERI_TABANI!D25-VERI_TABANI!D25*B41))*VERI_TABANI!$B$8) + IF(ABS(IF(ISNUMBER(SEARCH("Var", D41)), 1, IF(ISNUMBER(SEARCH("Gri", D41)), -1, 0)))=1, VERI_TABANI!E25*(1-0.928)*VERI_TABANI!$B$9, 0) + (VERI_TABANI!D25*B41*(VERI_TABANI!$B$13-VERI_TABANI!$B$14)*VERI_TABANI!G25) + (VERI_TABANI!D25*C41*(VERI_TABANI!$B$13-VERI_TABANI!$B$15)*VERI_TABANI!G25) + IF(ABS(IF(ISNUMBER(SEARCH("Var", D41)), 1, IF(ISNUMBER(SEARCH("Gri", D41)), -1, 0)))=1, VERI_TABANI!E25*(1-0.928)*0.00206091519919798*VERI_TABANI!G25, 0)) + ((MIN(VERI_TABANI!D26, VERI_TABANI!D26*B41)*VERI_TABANI!$B$7 + MAX(0, VERI_TABANI!D26*B41-VERI_TABANI!D26)*VERI_TABANI!$B$8) + (MIN(MAX(0, VERI_TABANI!D26-VERI_TABANI!D26*B41), VERI_TABANI!D26*C41)*VERI_TABANI!$B$7 + MAX(0, VERI_TABANI!D26*C41-MAX(0, VERI_TABANI!D26-VERI_TABANI!D26*B41))*VERI_TABANI!$B$8) + IF(ABS(IF(ISNUMBER(SEARCH("Var", D41)), 1, IF(ISNUMBER(SEARCH("Gri", D41)), -1, 0)))=1, VERI_TABANI!E26*(1-0.928)*VERI_TABANI!$B$9, 0) + (VERI_TABANI!D26*B41*(VERI_TABANI!$B$13-VERI_TABANI!$B$14)*VERI_TABANI!G26) + (VERI_TABANI!D26*C41*(VERI_TABANI!$B$13-VERI_TABANI!$B$15)*VERI_TABANI!G26) + IF(ABS(IF(ISNUMBER(SEARCH("Var", D41)), 1, IF(ISNUMBER(SEARCH("Gri", D41)), -1, 0)))=1, VERI_TABANI!E26*(1-0.928)*0.00206091519919798*VERI_TABANI!G26, 0)) + ((MIN(VERI_TABANI!D27, VERI_TABANI!D27*B41)*VERI_TABANI!$B$7 + MAX(0, VERI_TABANI!D27*B41-VERI_TABANI!D27)*VERI_TABANI!$B$8) + (MIN(MAX(0, VERI_TABANI!D27-VERI_TABANI!D27*B41), VERI_TABANI!D27*C41)*VERI_TABANI!$B$7 + MAX(0, VERI_TABANI!D27*C41-MAX(0, VERI_TABANI!D27-VERI_TABANI!D27*B41))*VERI_TABANI!$B$8) + IF(ABS(IF(ISNUMBER(SEARCH("Var", D41)), 1, IF(ISNUMBER(SEARCH("Gri", D41)), -1, 0)))=1, VERI_TABANI!E27*(1-0.928)*VERI_TABANI!$B$9, 0) + (VERI_TABANI!D27*B41*(VERI_TABANI!$B$13-VERI_TABANI!$B$14)*VERI_TABANI!G27) + (VERI_TABANI!D27*C41*(VERI_TABANI!$B$13-VERI_TABANI!$B$15)*VERI_TABANI!G27) + IF(ABS(IF(ISNUMBER(SEARCH("Var", D41)), 1, IF(ISNUMBER(SEARCH("Gri", D41)), -1, 0)))=1, VERI_TABANI!E27*(1-0.928)*0.00206091519919798*VERI_TABANI!G27, 0)) + ((MIN(VERI_TABANI!D28, VERI_TABANI!D28*B41)*VERI_TABANI!$B$7 + MAX(0, VERI_TABANI!D28*B41-VERI_TABANI!D28)*VERI_TABANI!$B$8) + (MIN(MAX(0, VERI_TABANI!D28-VERI_TABANI!D28*B41), VERI_TABANI!D28*C41)*VERI_TABANI!$B$7 + MAX(0, VERI_TABANI!D28*C41-MAX(0, VERI_TABANI!D28-VERI_TABANI!D28*B41))*VERI_TABANI!$B$8) + IF(ABS(IF(ISNUMBER(SEARCH("Var", D41)), 1, IF(ISNUMBER(SEARCH("Gri", D41)), -1, 0)))=1, VERI_TABANI!E28*(1-0.928)*VERI_TABANI!$B$9, 0) + (VERI_TABANI!D28*B41*(VERI_TABANI!$B$13-VERI_TABANI!$B$14)*VERI_TABANI!G28) + (VERI_TABANI!D28*C41*(VERI_TABANI!$B$13-VERI_TABANI!$B$15)*VERI_TABANI!G28) + IF(ABS(IF(ISNUMBER(SEARCH("Var", D41)), 1, IF(ISNUMBER(SEARCH("Gri", D41)), -1, 0)))=1, VERI_TABANI!E28*(1-0.928)*0.00206091519919798*VERI_TABANI!G28, 0)))</f>
        <v/>
      </c>
      <c r="H41" s="169">
        <f>(((VERI_TABANI!D23*B41*(VERI_TABANI!$B$13-VERI_TABANI!$B$14)) + (VERI_TABANI!D23*C41*(VERI_TABANI!$B$13-VERI_TABANI!$B$15)) + IF(ISNUMBER(SEARCH("Var", D41)), VERI_TABANI!F23*(0.00202-VERI_TABANI!$B$16), IF(ISNUMBER(SEARCH("Gri", D41)), VERI_TABANI!F23*(0.00202-VERI_TABANI!$B$17), 0))) + ((VERI_TABANI!D24*B41*(VERI_TABANI!$B$13-VERI_TABANI!$B$14)) + (VERI_TABANI!D24*C41*(VERI_TABANI!$B$13-VERI_TABANI!$B$15)) + IF(ISNUMBER(SEARCH("Var", D41)), VERI_TABANI!F24*(0.00202-VERI_TABANI!$B$16), IF(ISNUMBER(SEARCH("Gri", D41)), VERI_TABANI!F24*(0.00202-VERI_TABANI!$B$17), 0))) + ((VERI_TABANI!D25*B41*(VERI_TABANI!$B$13-VERI_TABANI!$B$14)) + (VERI_TABANI!D25*C41*(VERI_TABANI!$B$13-VERI_TABANI!$B$15)) + IF(ISNUMBER(SEARCH("Var", D41)), VERI_TABANI!F25*(0.00202-VERI_TABANI!$B$16), IF(ISNUMBER(SEARCH("Gri", D41)), VERI_TABANI!F25*(0.00202-VERI_TABANI!$B$17), 0))) + ((VERI_TABANI!D26*B41*(VERI_TABANI!$B$13-VERI_TABANI!$B$14)) + (VERI_TABANI!D26*C41*(VERI_TABANI!$B$13-VERI_TABANI!$B$15)) + IF(ISNUMBER(SEARCH("Var", D41)), VERI_TABANI!F26*(0.00202-VERI_TABANI!$B$16), IF(ISNUMBER(SEARCH("Gri", D41)), VERI_TABANI!F26*(0.00202-VERI_TABANI!$B$17), 0))) + ((VERI_TABANI!D27*B41*(VERI_TABANI!$B$13-VERI_TABANI!$B$14)) + (VERI_TABANI!D27*C41*(VERI_TABANI!$B$13-VERI_TABANI!$B$15)) + IF(ISNUMBER(SEARCH("Var", D41)), VERI_TABANI!F27*(0.00202-VERI_TABANI!$B$16), IF(ISNUMBER(SEARCH("Gri", D41)), VERI_TABANI!F27*(0.00202-VERI_TABANI!$B$17), 0))) + ((VERI_TABANI!D28*B41*(VERI_TABANI!$B$13-VERI_TABANI!$B$14)) + (VERI_TABANI!D28*C41*(VERI_TABANI!$B$13-VERI_TABANI!$B$15)) + IF(ISNUMBER(SEARCH("Var", D41)), VERI_TABANI!F28*(0.00202-VERI_TABANI!$B$16), IF(ISNUMBER(SEARCH("Gri", D41)), VERI_TABANI!F28*(0.00202-VERI_TABANI!$B$17), 0))))</f>
        <v/>
      </c>
      <c r="I41" s="170">
        <f>IFERROR(((VERI_TABANI!$D$29*B41*VERI_TABANI!$B$14 + VERI_TABANI!$D$29*C41*VERI_TABANI!$B$15 + IF(ISNUMBER(SEARCH("Var", D41)), VERI_TABANI!$F$29*VERI_TABANI!$B$16, 0))) / (((VERI_TABANI!$D$29*B41 + VERI_TABANI!$D$29*C41)*VERI_TABANI!$B$13 + IF(ISNUMBER(SEARCH("Var", D41)), VERI_TABANI!$E$29*(1-0.928)*VERI_TABANI!$B$18, 0))), 0)</f>
        <v/>
      </c>
      <c r="J41" s="171">
        <f>IFERROR(F41/(G41/29), 0)</f>
        <v/>
      </c>
      <c r="K41" s="172">
        <f>IF(F41&gt;0, H41/F41, 0)</f>
        <v/>
      </c>
      <c r="L41" s="170">
        <f>IF(F41&gt;0, I41, 1000000000)</f>
        <v/>
      </c>
      <c r="M41" s="171">
        <f>ABS((B41+C41)-1)</f>
        <v/>
      </c>
      <c r="N41" s="170">
        <f>IF(F41&gt;0, (G41/29)/F41, 0)</f>
        <v/>
      </c>
      <c r="O41" s="168">
        <f>IF(AND((B41+C41)&gt;=1, ISNUMBER(SEARCH("Var", D41))), F41, 1000000000)</f>
        <v/>
      </c>
      <c r="P41" s="172">
        <f>IF(F41&gt;0, SQRT((F41/MAX(F$5:F$886))^2 + (1 - H41/MAX(H$5:H$886))^2 + (J41/MAX(J$5:J$886))^2), 1000000000)</f>
        <v/>
      </c>
      <c r="Q41" s="166">
        <f>IF(AND(ABS(B41-0.5)&lt;0.01, ABS(C41-0.5)&lt;0.01, ISNUMBER(SEARCH("Var", D41))), 1, 0)</f>
        <v/>
      </c>
      <c r="R41" s="171">
        <f>IF(F41&gt;0, J41, 1000000000)</f>
        <v/>
      </c>
      <c r="S41" s="101">
        <f>IF(AND(F41&lt;=DASHBOARD!$B$11, H41&gt;=DASHBOARD!$B$13), G41, -1000000000000)</f>
        <v/>
      </c>
      <c r="T41" s="101">
        <f>IF(AND(F41&lt;=DASHBOARD!$B$11, H41&gt;=DASHBOARD!$B$13), R41, 1000000000000)</f>
        <v/>
      </c>
      <c r="U41" s="101">
        <f>IF(AND(F41&lt;=DASHBOARD!$B$11, H41&gt;=DASHBOARD!$B$13), N41, -1000000000000)</f>
        <v/>
      </c>
      <c r="V41" s="101">
        <f>IF(AND(F41&lt;=DASHBOARD!$B$11, H41&gt;=DASHBOARD!$B$13), H41, -1000000000000)</f>
        <v/>
      </c>
      <c r="W41" s="101">
        <f>IF(AND(F41&lt;=DASHBOARD!$B$11, H41&gt;=DASHBOARD!$B$13), K41, -1000000000000)</f>
        <v/>
      </c>
      <c r="X41" s="101">
        <f>IF(AND(F41&lt;=DASHBOARD!$B$11, H41&gt;=DASHBOARD!$B$13), M41, 1000000000000)</f>
        <v/>
      </c>
      <c r="Y41" s="101">
        <f>IF(AND(F41&lt;=DASHBOARD!$B$10, H41&gt;=DASHBOARD!$B$11), L41, 1000000000000)</f>
        <v/>
      </c>
      <c r="Z41" s="101">
        <f>IF(AND(F41&lt;=DASHBOARD!$B$10, H41&gt;=DASHBOARD!$B$11), O41, 1000000000000)</f>
        <v/>
      </c>
      <c r="AA41" s="101">
        <f>IF(AND(F41&lt;=DASHBOARD!$B$10, H41&gt;=DASHBOARD!$B$11), P41, 1000000000000)</f>
        <v/>
      </c>
      <c r="AB41" s="101">
        <f>IF(AND(F41&lt;=DASHBOARD!$B$10, H41&gt;=DASHBOARD!$B$11), Q41, -1000000000000)</f>
        <v/>
      </c>
    </row>
    <row r="42" ht="12.75" customHeight="1" s="102">
      <c r="A42" s="166" t="n">
        <v>38</v>
      </c>
      <c r="B42" s="167" t="n">
        <v>0</v>
      </c>
      <c r="C42" s="167" t="n">
        <v>1.8</v>
      </c>
      <c r="D42" s="110" t="inlineStr">
        <is>
          <t>Var (%20)</t>
        </is>
      </c>
      <c r="E42" s="110">
        <f>IF((B42+C42)&lt;=1, "Tam Mahsuplaşma (≤%100)", "Kısmi Satış (&gt;%100)")</f>
        <v/>
      </c>
      <c r="F42" s="168">
        <f>((VERI_TABANI!$D$29*B42/VERI_TABANI!$B$29)/VERI_TABANI!$B$3)*VERI_TABANI!$B$5 + ((VERI_TABANI!$D$29*C42/VERI_TABANI!$B$29)/VERI_TABANI!$B$4)*VERI_TABANI!$B$6 + IF(ISNUMBER(SEARCH("Var", D42)), (VERI_TABANI!$F$29/VERI_TABANI!$B$29)*(VERI_TABANI!$B$10+VERI_TABANI!$B$12), 0)</f>
        <v/>
      </c>
      <c r="G42" s="168">
        <f>(((MIN(VERI_TABANI!D23, VERI_TABANI!D23*B42)*VERI_TABANI!$B$7 + MAX(0, VERI_TABANI!D23*B42-VERI_TABANI!D23)*VERI_TABANI!$B$8) + (MIN(MAX(0, VERI_TABANI!D23-VERI_TABANI!D23*B42), VERI_TABANI!D23*C42)*VERI_TABANI!$B$7 + MAX(0, VERI_TABANI!D23*C42-MAX(0, VERI_TABANI!D23-VERI_TABANI!D23*B42))*VERI_TABANI!$B$8) + IF(ABS(IF(ISNUMBER(SEARCH("Var", D42)), 1, IF(ISNUMBER(SEARCH("Gri", D42)), -1, 0)))=1, VERI_TABANI!E23*(1-0.928)*VERI_TABANI!$B$9, 0) + (VERI_TABANI!D23*B42*(VERI_TABANI!$B$13-VERI_TABANI!$B$14)*VERI_TABANI!G23) + (VERI_TABANI!D23*C42*(VERI_TABANI!$B$13-VERI_TABANI!$B$15)*VERI_TABANI!G23) + IF(ABS(IF(ISNUMBER(SEARCH("Var", D42)), 1, IF(ISNUMBER(SEARCH("Gri", D42)), -1, 0)))=1, VERI_TABANI!E23*(1-0.928)*0.00206091519919798*VERI_TABANI!G23, 0)) + ((MIN(VERI_TABANI!D24, VERI_TABANI!D24*B42)*VERI_TABANI!$B$7 + MAX(0, VERI_TABANI!D24*B42-VERI_TABANI!D24)*VERI_TABANI!$B$8) + (MIN(MAX(0, VERI_TABANI!D24-VERI_TABANI!D24*B42), VERI_TABANI!D24*C42)*VERI_TABANI!$B$7 + MAX(0, VERI_TABANI!D24*C42-MAX(0, VERI_TABANI!D24-VERI_TABANI!D24*B42))*VERI_TABANI!$B$8) + IF(ABS(IF(ISNUMBER(SEARCH("Var", D42)), 1, IF(ISNUMBER(SEARCH("Gri", D42)), -1, 0)))=1, VERI_TABANI!E24*(1-0.928)*VERI_TABANI!$B$9, 0) + (VERI_TABANI!D24*B42*(VERI_TABANI!$B$13-VERI_TABANI!$B$14)*VERI_TABANI!G24) + (VERI_TABANI!D24*C42*(VERI_TABANI!$B$13-VERI_TABANI!$B$15)*VERI_TABANI!G24) + IF(ABS(IF(ISNUMBER(SEARCH("Var", D42)), 1, IF(ISNUMBER(SEARCH("Gri", D42)), -1, 0)))=1, VERI_TABANI!E24*(1-0.928)*0.00206091519919798*VERI_TABANI!G24, 0)) + ((MIN(VERI_TABANI!D25, VERI_TABANI!D25*B42)*VERI_TABANI!$B$7 + MAX(0, VERI_TABANI!D25*B42-VERI_TABANI!D25)*VERI_TABANI!$B$8) + (MIN(MAX(0, VERI_TABANI!D25-VERI_TABANI!D25*B42), VERI_TABANI!D25*C42)*VERI_TABANI!$B$7 + MAX(0, VERI_TABANI!D25*C42-MAX(0, VERI_TABANI!D25-VERI_TABANI!D25*B42))*VERI_TABANI!$B$8) + IF(ABS(IF(ISNUMBER(SEARCH("Var", D42)), 1, IF(ISNUMBER(SEARCH("Gri", D42)), -1, 0)))=1, VERI_TABANI!E25*(1-0.928)*VERI_TABANI!$B$9, 0) + (VERI_TABANI!D25*B42*(VERI_TABANI!$B$13-VERI_TABANI!$B$14)*VERI_TABANI!G25) + (VERI_TABANI!D25*C42*(VERI_TABANI!$B$13-VERI_TABANI!$B$15)*VERI_TABANI!G25) + IF(ABS(IF(ISNUMBER(SEARCH("Var", D42)), 1, IF(ISNUMBER(SEARCH("Gri", D42)), -1, 0)))=1, VERI_TABANI!E25*(1-0.928)*0.00206091519919798*VERI_TABANI!G25, 0)) + ((MIN(VERI_TABANI!D26, VERI_TABANI!D26*B42)*VERI_TABANI!$B$7 + MAX(0, VERI_TABANI!D26*B42-VERI_TABANI!D26)*VERI_TABANI!$B$8) + (MIN(MAX(0, VERI_TABANI!D26-VERI_TABANI!D26*B42), VERI_TABANI!D26*C42)*VERI_TABANI!$B$7 + MAX(0, VERI_TABANI!D26*C42-MAX(0, VERI_TABANI!D26-VERI_TABANI!D26*B42))*VERI_TABANI!$B$8) + IF(ABS(IF(ISNUMBER(SEARCH("Var", D42)), 1, IF(ISNUMBER(SEARCH("Gri", D42)), -1, 0)))=1, VERI_TABANI!E26*(1-0.928)*VERI_TABANI!$B$9, 0) + (VERI_TABANI!D26*B42*(VERI_TABANI!$B$13-VERI_TABANI!$B$14)*VERI_TABANI!G26) + (VERI_TABANI!D26*C42*(VERI_TABANI!$B$13-VERI_TABANI!$B$15)*VERI_TABANI!G26) + IF(ABS(IF(ISNUMBER(SEARCH("Var", D42)), 1, IF(ISNUMBER(SEARCH("Gri", D42)), -1, 0)))=1, VERI_TABANI!E26*(1-0.928)*0.00206091519919798*VERI_TABANI!G26, 0)) + ((MIN(VERI_TABANI!D27, VERI_TABANI!D27*B42)*VERI_TABANI!$B$7 + MAX(0, VERI_TABANI!D27*B42-VERI_TABANI!D27)*VERI_TABANI!$B$8) + (MIN(MAX(0, VERI_TABANI!D27-VERI_TABANI!D27*B42), VERI_TABANI!D27*C42)*VERI_TABANI!$B$7 + MAX(0, VERI_TABANI!D27*C42-MAX(0, VERI_TABANI!D27-VERI_TABANI!D27*B42))*VERI_TABANI!$B$8) + IF(ABS(IF(ISNUMBER(SEARCH("Var", D42)), 1, IF(ISNUMBER(SEARCH("Gri", D42)), -1, 0)))=1, VERI_TABANI!E27*(1-0.928)*VERI_TABANI!$B$9, 0) + (VERI_TABANI!D27*B42*(VERI_TABANI!$B$13-VERI_TABANI!$B$14)*VERI_TABANI!G27) + (VERI_TABANI!D27*C42*(VERI_TABANI!$B$13-VERI_TABANI!$B$15)*VERI_TABANI!G27) + IF(ABS(IF(ISNUMBER(SEARCH("Var", D42)), 1, IF(ISNUMBER(SEARCH("Gri", D42)), -1, 0)))=1, VERI_TABANI!E27*(1-0.928)*0.00206091519919798*VERI_TABANI!G27, 0)) + ((MIN(VERI_TABANI!D28, VERI_TABANI!D28*B42)*VERI_TABANI!$B$7 + MAX(0, VERI_TABANI!D28*B42-VERI_TABANI!D28)*VERI_TABANI!$B$8) + (MIN(MAX(0, VERI_TABANI!D28-VERI_TABANI!D28*B42), VERI_TABANI!D28*C42)*VERI_TABANI!$B$7 + MAX(0, VERI_TABANI!D28*C42-MAX(0, VERI_TABANI!D28-VERI_TABANI!D28*B42))*VERI_TABANI!$B$8) + IF(ABS(IF(ISNUMBER(SEARCH("Var", D42)), 1, IF(ISNUMBER(SEARCH("Gri", D42)), -1, 0)))=1, VERI_TABANI!E28*(1-0.928)*VERI_TABANI!$B$9, 0) + (VERI_TABANI!D28*B42*(VERI_TABANI!$B$13-VERI_TABANI!$B$14)*VERI_TABANI!G28) + (VERI_TABANI!D28*C42*(VERI_TABANI!$B$13-VERI_TABANI!$B$15)*VERI_TABANI!G28) + IF(ABS(IF(ISNUMBER(SEARCH("Var", D42)), 1, IF(ISNUMBER(SEARCH("Gri", D42)), -1, 0)))=1, VERI_TABANI!E28*(1-0.928)*0.00206091519919798*VERI_TABANI!G28, 0)))</f>
        <v/>
      </c>
      <c r="H42" s="169">
        <f>(((VERI_TABANI!D23*B42*(VERI_TABANI!$B$13-VERI_TABANI!$B$14)) + (VERI_TABANI!D23*C42*(VERI_TABANI!$B$13-VERI_TABANI!$B$15)) + IF(ISNUMBER(SEARCH("Var", D42)), VERI_TABANI!F23*(0.00202-VERI_TABANI!$B$16), IF(ISNUMBER(SEARCH("Gri", D42)), VERI_TABANI!F23*(0.00202-VERI_TABANI!$B$17), 0))) + ((VERI_TABANI!D24*B42*(VERI_TABANI!$B$13-VERI_TABANI!$B$14)) + (VERI_TABANI!D24*C42*(VERI_TABANI!$B$13-VERI_TABANI!$B$15)) + IF(ISNUMBER(SEARCH("Var", D42)), VERI_TABANI!F24*(0.00202-VERI_TABANI!$B$16), IF(ISNUMBER(SEARCH("Gri", D42)), VERI_TABANI!F24*(0.00202-VERI_TABANI!$B$17), 0))) + ((VERI_TABANI!D25*B42*(VERI_TABANI!$B$13-VERI_TABANI!$B$14)) + (VERI_TABANI!D25*C42*(VERI_TABANI!$B$13-VERI_TABANI!$B$15)) + IF(ISNUMBER(SEARCH("Var", D42)), VERI_TABANI!F25*(0.00202-VERI_TABANI!$B$16), IF(ISNUMBER(SEARCH("Gri", D42)), VERI_TABANI!F25*(0.00202-VERI_TABANI!$B$17), 0))) + ((VERI_TABANI!D26*B42*(VERI_TABANI!$B$13-VERI_TABANI!$B$14)) + (VERI_TABANI!D26*C42*(VERI_TABANI!$B$13-VERI_TABANI!$B$15)) + IF(ISNUMBER(SEARCH("Var", D42)), VERI_TABANI!F26*(0.00202-VERI_TABANI!$B$16), IF(ISNUMBER(SEARCH("Gri", D42)), VERI_TABANI!F26*(0.00202-VERI_TABANI!$B$17), 0))) + ((VERI_TABANI!D27*B42*(VERI_TABANI!$B$13-VERI_TABANI!$B$14)) + (VERI_TABANI!D27*C42*(VERI_TABANI!$B$13-VERI_TABANI!$B$15)) + IF(ISNUMBER(SEARCH("Var", D42)), VERI_TABANI!F27*(0.00202-VERI_TABANI!$B$16), IF(ISNUMBER(SEARCH("Gri", D42)), VERI_TABANI!F27*(0.00202-VERI_TABANI!$B$17), 0))) + ((VERI_TABANI!D28*B42*(VERI_TABANI!$B$13-VERI_TABANI!$B$14)) + (VERI_TABANI!D28*C42*(VERI_TABANI!$B$13-VERI_TABANI!$B$15)) + IF(ISNUMBER(SEARCH("Var", D42)), VERI_TABANI!F28*(0.00202-VERI_TABANI!$B$16), IF(ISNUMBER(SEARCH("Gri", D42)), VERI_TABANI!F28*(0.00202-VERI_TABANI!$B$17), 0))))</f>
        <v/>
      </c>
      <c r="I42" s="170">
        <f>IFERROR(((VERI_TABANI!$D$29*B42*VERI_TABANI!$B$14 + VERI_TABANI!$D$29*C42*VERI_TABANI!$B$15 + IF(ISNUMBER(SEARCH("Var", D42)), VERI_TABANI!$F$29*VERI_TABANI!$B$16, 0))) / (((VERI_TABANI!$D$29*B42 + VERI_TABANI!$D$29*C42)*VERI_TABANI!$B$13 + IF(ISNUMBER(SEARCH("Var", D42)), VERI_TABANI!$E$29*(1-0.928)*VERI_TABANI!$B$18, 0))), 0)</f>
        <v/>
      </c>
      <c r="J42" s="171">
        <f>IFERROR(F42/(G42/29), 0)</f>
        <v/>
      </c>
      <c r="K42" s="172">
        <f>IF(F42&gt;0, H42/F42, 0)</f>
        <v/>
      </c>
      <c r="L42" s="170">
        <f>IF(F42&gt;0, I42, 1000000000)</f>
        <v/>
      </c>
      <c r="M42" s="171">
        <f>ABS((B42+C42)-1)</f>
        <v/>
      </c>
      <c r="N42" s="170">
        <f>IF(F42&gt;0, (G42/29)/F42, 0)</f>
        <v/>
      </c>
      <c r="O42" s="168">
        <f>IF(AND((B42+C42)&gt;=1, ISNUMBER(SEARCH("Var", D42))), F42, 1000000000)</f>
        <v/>
      </c>
      <c r="P42" s="172">
        <f>IF(F42&gt;0, SQRT((F42/MAX(F$5:F$886))^2 + (1 - H42/MAX(H$5:H$886))^2 + (J42/MAX(J$5:J$886))^2), 1000000000)</f>
        <v/>
      </c>
      <c r="Q42" s="166">
        <f>IF(AND(ABS(B42-0.5)&lt;0.01, ABS(C42-0.5)&lt;0.01, ISNUMBER(SEARCH("Var", D42))), 1, 0)</f>
        <v/>
      </c>
      <c r="R42" s="171">
        <f>IF(F42&gt;0, J42, 1000000000)</f>
        <v/>
      </c>
      <c r="S42" s="101">
        <f>IF(AND(F42&lt;=DASHBOARD!$B$11, H42&gt;=DASHBOARD!$B$13), G42, -1000000000000)</f>
        <v/>
      </c>
      <c r="T42" s="101">
        <f>IF(AND(F42&lt;=DASHBOARD!$B$11, H42&gt;=DASHBOARD!$B$13), R42, 1000000000000)</f>
        <v/>
      </c>
      <c r="U42" s="101">
        <f>IF(AND(F42&lt;=DASHBOARD!$B$11, H42&gt;=DASHBOARD!$B$13), N42, -1000000000000)</f>
        <v/>
      </c>
      <c r="V42" s="101">
        <f>IF(AND(F42&lt;=DASHBOARD!$B$11, H42&gt;=DASHBOARD!$B$13), H42, -1000000000000)</f>
        <v/>
      </c>
      <c r="W42" s="101">
        <f>IF(AND(F42&lt;=DASHBOARD!$B$11, H42&gt;=DASHBOARD!$B$13), K42, -1000000000000)</f>
        <v/>
      </c>
      <c r="X42" s="101">
        <f>IF(AND(F42&lt;=DASHBOARD!$B$11, H42&gt;=DASHBOARD!$B$13), M42, 1000000000000)</f>
        <v/>
      </c>
      <c r="Y42" s="101">
        <f>IF(AND(F42&lt;=DASHBOARD!$B$10, H42&gt;=DASHBOARD!$B$11), L42, 1000000000000)</f>
        <v/>
      </c>
      <c r="Z42" s="101">
        <f>IF(AND(F42&lt;=DASHBOARD!$B$10, H42&gt;=DASHBOARD!$B$11), O42, 1000000000000)</f>
        <v/>
      </c>
      <c r="AA42" s="101">
        <f>IF(AND(F42&lt;=DASHBOARD!$B$10, H42&gt;=DASHBOARD!$B$11), P42, 1000000000000)</f>
        <v/>
      </c>
      <c r="AB42" s="101">
        <f>IF(AND(F42&lt;=DASHBOARD!$B$10, H42&gt;=DASHBOARD!$B$11), Q42, -1000000000000)</f>
        <v/>
      </c>
    </row>
    <row r="43" ht="12.75" customHeight="1" s="102">
      <c r="A43" s="166" t="n">
        <v>39</v>
      </c>
      <c r="B43" s="167" t="n">
        <v>0</v>
      </c>
      <c r="C43" s="167" t="n">
        <v>1.9</v>
      </c>
      <c r="D43" s="110" t="inlineStr">
        <is>
          <t>Yok (%0)</t>
        </is>
      </c>
      <c r="E43" s="110">
        <f>IF((B43+C43)&lt;=1, "Tam Mahsuplaşma (≤%100)", "Kısmi Satış (&gt;%100)")</f>
        <v/>
      </c>
      <c r="F43" s="168">
        <f>((VERI_TABANI!$D$29*B43/VERI_TABANI!$B$29)/VERI_TABANI!$B$3)*VERI_TABANI!$B$5 + ((VERI_TABANI!$D$29*C43/VERI_TABANI!$B$29)/VERI_TABANI!$B$4)*VERI_TABANI!$B$6 + IF(ISNUMBER(SEARCH("Var", D43)), (VERI_TABANI!$F$29/VERI_TABANI!$B$29)*(VERI_TABANI!$B$10+VERI_TABANI!$B$12), 0)</f>
        <v/>
      </c>
      <c r="G43" s="168">
        <f>(((MIN(VERI_TABANI!D23, VERI_TABANI!D23*B43)*VERI_TABANI!$B$7 + MAX(0, VERI_TABANI!D23*B43-VERI_TABANI!D23)*VERI_TABANI!$B$8) + (MIN(MAX(0, VERI_TABANI!D23-VERI_TABANI!D23*B43), VERI_TABANI!D23*C43)*VERI_TABANI!$B$7 + MAX(0, VERI_TABANI!D23*C43-MAX(0, VERI_TABANI!D23-VERI_TABANI!D23*B43))*VERI_TABANI!$B$8) + IF(ABS(IF(ISNUMBER(SEARCH("Var", D43)), 1, IF(ISNUMBER(SEARCH("Gri", D43)), -1, 0)))=1, VERI_TABANI!E23*(1-0.928)*VERI_TABANI!$B$9, 0) + (VERI_TABANI!D23*B43*(VERI_TABANI!$B$13-VERI_TABANI!$B$14)*VERI_TABANI!G23) + (VERI_TABANI!D23*C43*(VERI_TABANI!$B$13-VERI_TABANI!$B$15)*VERI_TABANI!G23) + IF(ABS(IF(ISNUMBER(SEARCH("Var", D43)), 1, IF(ISNUMBER(SEARCH("Gri", D43)), -1, 0)))=1, VERI_TABANI!E23*(1-0.928)*0.00206091519919798*VERI_TABANI!G23, 0)) + ((MIN(VERI_TABANI!D24, VERI_TABANI!D24*B43)*VERI_TABANI!$B$7 + MAX(0, VERI_TABANI!D24*B43-VERI_TABANI!D24)*VERI_TABANI!$B$8) + (MIN(MAX(0, VERI_TABANI!D24-VERI_TABANI!D24*B43), VERI_TABANI!D24*C43)*VERI_TABANI!$B$7 + MAX(0, VERI_TABANI!D24*C43-MAX(0, VERI_TABANI!D24-VERI_TABANI!D24*B43))*VERI_TABANI!$B$8) + IF(ABS(IF(ISNUMBER(SEARCH("Var", D43)), 1, IF(ISNUMBER(SEARCH("Gri", D43)), -1, 0)))=1, VERI_TABANI!E24*(1-0.928)*VERI_TABANI!$B$9, 0) + (VERI_TABANI!D24*B43*(VERI_TABANI!$B$13-VERI_TABANI!$B$14)*VERI_TABANI!G24) + (VERI_TABANI!D24*C43*(VERI_TABANI!$B$13-VERI_TABANI!$B$15)*VERI_TABANI!G24) + IF(ABS(IF(ISNUMBER(SEARCH("Var", D43)), 1, IF(ISNUMBER(SEARCH("Gri", D43)), -1, 0)))=1, VERI_TABANI!E24*(1-0.928)*0.00206091519919798*VERI_TABANI!G24, 0)) + ((MIN(VERI_TABANI!D25, VERI_TABANI!D25*B43)*VERI_TABANI!$B$7 + MAX(0, VERI_TABANI!D25*B43-VERI_TABANI!D25)*VERI_TABANI!$B$8) + (MIN(MAX(0, VERI_TABANI!D25-VERI_TABANI!D25*B43), VERI_TABANI!D25*C43)*VERI_TABANI!$B$7 + MAX(0, VERI_TABANI!D25*C43-MAX(0, VERI_TABANI!D25-VERI_TABANI!D25*B43))*VERI_TABANI!$B$8) + IF(ABS(IF(ISNUMBER(SEARCH("Var", D43)), 1, IF(ISNUMBER(SEARCH("Gri", D43)), -1, 0)))=1, VERI_TABANI!E25*(1-0.928)*VERI_TABANI!$B$9, 0) + (VERI_TABANI!D25*B43*(VERI_TABANI!$B$13-VERI_TABANI!$B$14)*VERI_TABANI!G25) + (VERI_TABANI!D25*C43*(VERI_TABANI!$B$13-VERI_TABANI!$B$15)*VERI_TABANI!G25) + IF(ABS(IF(ISNUMBER(SEARCH("Var", D43)), 1, IF(ISNUMBER(SEARCH("Gri", D43)), -1, 0)))=1, VERI_TABANI!E25*(1-0.928)*0.00206091519919798*VERI_TABANI!G25, 0)) + ((MIN(VERI_TABANI!D26, VERI_TABANI!D26*B43)*VERI_TABANI!$B$7 + MAX(0, VERI_TABANI!D26*B43-VERI_TABANI!D26)*VERI_TABANI!$B$8) + (MIN(MAX(0, VERI_TABANI!D26-VERI_TABANI!D26*B43), VERI_TABANI!D26*C43)*VERI_TABANI!$B$7 + MAX(0, VERI_TABANI!D26*C43-MAX(0, VERI_TABANI!D26-VERI_TABANI!D26*B43))*VERI_TABANI!$B$8) + IF(ABS(IF(ISNUMBER(SEARCH("Var", D43)), 1, IF(ISNUMBER(SEARCH("Gri", D43)), -1, 0)))=1, VERI_TABANI!E26*(1-0.928)*VERI_TABANI!$B$9, 0) + (VERI_TABANI!D26*B43*(VERI_TABANI!$B$13-VERI_TABANI!$B$14)*VERI_TABANI!G26) + (VERI_TABANI!D26*C43*(VERI_TABANI!$B$13-VERI_TABANI!$B$15)*VERI_TABANI!G26) + IF(ABS(IF(ISNUMBER(SEARCH("Var", D43)), 1, IF(ISNUMBER(SEARCH("Gri", D43)), -1, 0)))=1, VERI_TABANI!E26*(1-0.928)*0.00206091519919798*VERI_TABANI!G26, 0)) + ((MIN(VERI_TABANI!D27, VERI_TABANI!D27*B43)*VERI_TABANI!$B$7 + MAX(0, VERI_TABANI!D27*B43-VERI_TABANI!D27)*VERI_TABANI!$B$8) + (MIN(MAX(0, VERI_TABANI!D27-VERI_TABANI!D27*B43), VERI_TABANI!D27*C43)*VERI_TABANI!$B$7 + MAX(0, VERI_TABANI!D27*C43-MAX(0, VERI_TABANI!D27-VERI_TABANI!D27*B43))*VERI_TABANI!$B$8) + IF(ABS(IF(ISNUMBER(SEARCH("Var", D43)), 1, IF(ISNUMBER(SEARCH("Gri", D43)), -1, 0)))=1, VERI_TABANI!E27*(1-0.928)*VERI_TABANI!$B$9, 0) + (VERI_TABANI!D27*B43*(VERI_TABANI!$B$13-VERI_TABANI!$B$14)*VERI_TABANI!G27) + (VERI_TABANI!D27*C43*(VERI_TABANI!$B$13-VERI_TABANI!$B$15)*VERI_TABANI!G27) + IF(ABS(IF(ISNUMBER(SEARCH("Var", D43)), 1, IF(ISNUMBER(SEARCH("Gri", D43)), -1, 0)))=1, VERI_TABANI!E27*(1-0.928)*0.00206091519919798*VERI_TABANI!G27, 0)) + ((MIN(VERI_TABANI!D28, VERI_TABANI!D28*B43)*VERI_TABANI!$B$7 + MAX(0, VERI_TABANI!D28*B43-VERI_TABANI!D28)*VERI_TABANI!$B$8) + (MIN(MAX(0, VERI_TABANI!D28-VERI_TABANI!D28*B43), VERI_TABANI!D28*C43)*VERI_TABANI!$B$7 + MAX(0, VERI_TABANI!D28*C43-MAX(0, VERI_TABANI!D28-VERI_TABANI!D28*B43))*VERI_TABANI!$B$8) + IF(ABS(IF(ISNUMBER(SEARCH("Var", D43)), 1, IF(ISNUMBER(SEARCH("Gri", D43)), -1, 0)))=1, VERI_TABANI!E28*(1-0.928)*VERI_TABANI!$B$9, 0) + (VERI_TABANI!D28*B43*(VERI_TABANI!$B$13-VERI_TABANI!$B$14)*VERI_TABANI!G28) + (VERI_TABANI!D28*C43*(VERI_TABANI!$B$13-VERI_TABANI!$B$15)*VERI_TABANI!G28) + IF(ABS(IF(ISNUMBER(SEARCH("Var", D43)), 1, IF(ISNUMBER(SEARCH("Gri", D43)), -1, 0)))=1, VERI_TABANI!E28*(1-0.928)*0.00206091519919798*VERI_TABANI!G28, 0)))</f>
        <v/>
      </c>
      <c r="H43" s="169">
        <f>(((VERI_TABANI!D23*B43*(VERI_TABANI!$B$13-VERI_TABANI!$B$14)) + (VERI_TABANI!D23*C43*(VERI_TABANI!$B$13-VERI_TABANI!$B$15)) + IF(ISNUMBER(SEARCH("Var", D43)), VERI_TABANI!F23*(0.00202-VERI_TABANI!$B$16), IF(ISNUMBER(SEARCH("Gri", D43)), VERI_TABANI!F23*(0.00202-VERI_TABANI!$B$17), 0))) + ((VERI_TABANI!D24*B43*(VERI_TABANI!$B$13-VERI_TABANI!$B$14)) + (VERI_TABANI!D24*C43*(VERI_TABANI!$B$13-VERI_TABANI!$B$15)) + IF(ISNUMBER(SEARCH("Var", D43)), VERI_TABANI!F24*(0.00202-VERI_TABANI!$B$16), IF(ISNUMBER(SEARCH("Gri", D43)), VERI_TABANI!F24*(0.00202-VERI_TABANI!$B$17), 0))) + ((VERI_TABANI!D25*B43*(VERI_TABANI!$B$13-VERI_TABANI!$B$14)) + (VERI_TABANI!D25*C43*(VERI_TABANI!$B$13-VERI_TABANI!$B$15)) + IF(ISNUMBER(SEARCH("Var", D43)), VERI_TABANI!F25*(0.00202-VERI_TABANI!$B$16), IF(ISNUMBER(SEARCH("Gri", D43)), VERI_TABANI!F25*(0.00202-VERI_TABANI!$B$17), 0))) + ((VERI_TABANI!D26*B43*(VERI_TABANI!$B$13-VERI_TABANI!$B$14)) + (VERI_TABANI!D26*C43*(VERI_TABANI!$B$13-VERI_TABANI!$B$15)) + IF(ISNUMBER(SEARCH("Var", D43)), VERI_TABANI!F26*(0.00202-VERI_TABANI!$B$16), IF(ISNUMBER(SEARCH("Gri", D43)), VERI_TABANI!F26*(0.00202-VERI_TABANI!$B$17), 0))) + ((VERI_TABANI!D27*B43*(VERI_TABANI!$B$13-VERI_TABANI!$B$14)) + (VERI_TABANI!D27*C43*(VERI_TABANI!$B$13-VERI_TABANI!$B$15)) + IF(ISNUMBER(SEARCH("Var", D43)), VERI_TABANI!F27*(0.00202-VERI_TABANI!$B$16), IF(ISNUMBER(SEARCH("Gri", D43)), VERI_TABANI!F27*(0.00202-VERI_TABANI!$B$17), 0))) + ((VERI_TABANI!D28*B43*(VERI_TABANI!$B$13-VERI_TABANI!$B$14)) + (VERI_TABANI!D28*C43*(VERI_TABANI!$B$13-VERI_TABANI!$B$15)) + IF(ISNUMBER(SEARCH("Var", D43)), VERI_TABANI!F28*(0.00202-VERI_TABANI!$B$16), IF(ISNUMBER(SEARCH("Gri", D43)), VERI_TABANI!F28*(0.00202-VERI_TABANI!$B$17), 0))))</f>
        <v/>
      </c>
      <c r="I43" s="170">
        <f>IFERROR(((VERI_TABANI!$D$29*B43*VERI_TABANI!$B$14 + VERI_TABANI!$D$29*C43*VERI_TABANI!$B$15 + IF(ISNUMBER(SEARCH("Var", D43)), VERI_TABANI!$F$29*VERI_TABANI!$B$16, 0))) / (((VERI_TABANI!$D$29*B43 + VERI_TABANI!$D$29*C43)*VERI_TABANI!$B$13 + IF(ISNUMBER(SEARCH("Var", D43)), VERI_TABANI!$E$29*(1-0.928)*VERI_TABANI!$B$18, 0))), 0)</f>
        <v/>
      </c>
      <c r="J43" s="171">
        <f>IFERROR(F43/(G43/29), 0)</f>
        <v/>
      </c>
      <c r="K43" s="172">
        <f>IF(F43&gt;0, H43/F43, 0)</f>
        <v/>
      </c>
      <c r="L43" s="170">
        <f>IF(F43&gt;0, I43, 1000000000)</f>
        <v/>
      </c>
      <c r="M43" s="171">
        <f>ABS((B43+C43)-1)</f>
        <v/>
      </c>
      <c r="N43" s="170">
        <f>IF(F43&gt;0, (G43/29)/F43, 0)</f>
        <v/>
      </c>
      <c r="O43" s="168">
        <f>IF(AND((B43+C43)&gt;=1, ISNUMBER(SEARCH("Var", D43))), F43, 1000000000)</f>
        <v/>
      </c>
      <c r="P43" s="172">
        <f>IF(F43&gt;0, SQRT((F43/MAX(F$5:F$886))^2 + (1 - H43/MAX(H$5:H$886))^2 + (J43/MAX(J$5:J$886))^2), 1000000000)</f>
        <v/>
      </c>
      <c r="Q43" s="166">
        <f>IF(AND(ABS(B43-0.5)&lt;0.01, ABS(C43-0.5)&lt;0.01, ISNUMBER(SEARCH("Var", D43))), 1, 0)</f>
        <v/>
      </c>
      <c r="R43" s="171">
        <f>IF(F43&gt;0, J43, 1000000000)</f>
        <v/>
      </c>
      <c r="S43" s="101">
        <f>IF(AND(F43&lt;=DASHBOARD!$B$11, H43&gt;=DASHBOARD!$B$13), G43, -1000000000000)</f>
        <v/>
      </c>
      <c r="T43" s="101">
        <f>IF(AND(F43&lt;=DASHBOARD!$B$11, H43&gt;=DASHBOARD!$B$13), R43, 1000000000000)</f>
        <v/>
      </c>
      <c r="U43" s="101">
        <f>IF(AND(F43&lt;=DASHBOARD!$B$11, H43&gt;=DASHBOARD!$B$13), N43, -1000000000000)</f>
        <v/>
      </c>
      <c r="V43" s="101">
        <f>IF(AND(F43&lt;=DASHBOARD!$B$11, H43&gt;=DASHBOARD!$B$13), H43, -1000000000000)</f>
        <v/>
      </c>
      <c r="W43" s="101">
        <f>IF(AND(F43&lt;=DASHBOARD!$B$11, H43&gt;=DASHBOARD!$B$13), K43, -1000000000000)</f>
        <v/>
      </c>
      <c r="X43" s="101">
        <f>IF(AND(F43&lt;=DASHBOARD!$B$11, H43&gt;=DASHBOARD!$B$13), M43, 1000000000000)</f>
        <v/>
      </c>
      <c r="Y43" s="101">
        <f>IF(AND(F43&lt;=DASHBOARD!$B$10, H43&gt;=DASHBOARD!$B$11), L43, 1000000000000)</f>
        <v/>
      </c>
      <c r="Z43" s="101">
        <f>IF(AND(F43&lt;=DASHBOARD!$B$10, H43&gt;=DASHBOARD!$B$11), O43, 1000000000000)</f>
        <v/>
      </c>
      <c r="AA43" s="101">
        <f>IF(AND(F43&lt;=DASHBOARD!$B$10, H43&gt;=DASHBOARD!$B$11), P43, 1000000000000)</f>
        <v/>
      </c>
      <c r="AB43" s="101">
        <f>IF(AND(F43&lt;=DASHBOARD!$B$10, H43&gt;=DASHBOARD!$B$11), Q43, -1000000000000)</f>
        <v/>
      </c>
    </row>
    <row r="44" ht="12.75" customHeight="1" s="102">
      <c r="A44" s="166" t="n">
        <v>40</v>
      </c>
      <c r="B44" s="167" t="n">
        <v>0</v>
      </c>
      <c r="C44" s="167" t="n">
        <v>1.9</v>
      </c>
      <c r="D44" s="110" t="inlineStr">
        <is>
          <t>Var (%20)</t>
        </is>
      </c>
      <c r="E44" s="110">
        <f>IF((B44+C44)&lt;=1, "Tam Mahsuplaşma (≤%100)", "Kısmi Satış (&gt;%100)")</f>
        <v/>
      </c>
      <c r="F44" s="168">
        <f>((VERI_TABANI!$D$29*B44/VERI_TABANI!$B$29)/VERI_TABANI!$B$3)*VERI_TABANI!$B$5 + ((VERI_TABANI!$D$29*C44/VERI_TABANI!$B$29)/VERI_TABANI!$B$4)*VERI_TABANI!$B$6 + IF(ISNUMBER(SEARCH("Var", D44)), (VERI_TABANI!$F$29/VERI_TABANI!$B$29)*(VERI_TABANI!$B$10+VERI_TABANI!$B$12), 0)</f>
        <v/>
      </c>
      <c r="G44" s="168">
        <f>(((MIN(VERI_TABANI!D23, VERI_TABANI!D23*B44)*VERI_TABANI!$B$7 + MAX(0, VERI_TABANI!D23*B44-VERI_TABANI!D23)*VERI_TABANI!$B$8) + (MIN(MAX(0, VERI_TABANI!D23-VERI_TABANI!D23*B44), VERI_TABANI!D23*C44)*VERI_TABANI!$B$7 + MAX(0, VERI_TABANI!D23*C44-MAX(0, VERI_TABANI!D23-VERI_TABANI!D23*B44))*VERI_TABANI!$B$8) + IF(ABS(IF(ISNUMBER(SEARCH("Var", D44)), 1, IF(ISNUMBER(SEARCH("Gri", D44)), -1, 0)))=1, VERI_TABANI!E23*(1-0.928)*VERI_TABANI!$B$9, 0) + (VERI_TABANI!D23*B44*(VERI_TABANI!$B$13-VERI_TABANI!$B$14)*VERI_TABANI!G23) + (VERI_TABANI!D23*C44*(VERI_TABANI!$B$13-VERI_TABANI!$B$15)*VERI_TABANI!G23) + IF(ABS(IF(ISNUMBER(SEARCH("Var", D44)), 1, IF(ISNUMBER(SEARCH("Gri", D44)), -1, 0)))=1, VERI_TABANI!E23*(1-0.928)*0.00206091519919798*VERI_TABANI!G23, 0)) + ((MIN(VERI_TABANI!D24, VERI_TABANI!D24*B44)*VERI_TABANI!$B$7 + MAX(0, VERI_TABANI!D24*B44-VERI_TABANI!D24)*VERI_TABANI!$B$8) + (MIN(MAX(0, VERI_TABANI!D24-VERI_TABANI!D24*B44), VERI_TABANI!D24*C44)*VERI_TABANI!$B$7 + MAX(0, VERI_TABANI!D24*C44-MAX(0, VERI_TABANI!D24-VERI_TABANI!D24*B44))*VERI_TABANI!$B$8) + IF(ABS(IF(ISNUMBER(SEARCH("Var", D44)), 1, IF(ISNUMBER(SEARCH("Gri", D44)), -1, 0)))=1, VERI_TABANI!E24*(1-0.928)*VERI_TABANI!$B$9, 0) + (VERI_TABANI!D24*B44*(VERI_TABANI!$B$13-VERI_TABANI!$B$14)*VERI_TABANI!G24) + (VERI_TABANI!D24*C44*(VERI_TABANI!$B$13-VERI_TABANI!$B$15)*VERI_TABANI!G24) + IF(ABS(IF(ISNUMBER(SEARCH("Var", D44)), 1, IF(ISNUMBER(SEARCH("Gri", D44)), -1, 0)))=1, VERI_TABANI!E24*(1-0.928)*0.00206091519919798*VERI_TABANI!G24, 0)) + ((MIN(VERI_TABANI!D25, VERI_TABANI!D25*B44)*VERI_TABANI!$B$7 + MAX(0, VERI_TABANI!D25*B44-VERI_TABANI!D25)*VERI_TABANI!$B$8) + (MIN(MAX(0, VERI_TABANI!D25-VERI_TABANI!D25*B44), VERI_TABANI!D25*C44)*VERI_TABANI!$B$7 + MAX(0, VERI_TABANI!D25*C44-MAX(0, VERI_TABANI!D25-VERI_TABANI!D25*B44))*VERI_TABANI!$B$8) + IF(ABS(IF(ISNUMBER(SEARCH("Var", D44)), 1, IF(ISNUMBER(SEARCH("Gri", D44)), -1, 0)))=1, VERI_TABANI!E25*(1-0.928)*VERI_TABANI!$B$9, 0) + (VERI_TABANI!D25*B44*(VERI_TABANI!$B$13-VERI_TABANI!$B$14)*VERI_TABANI!G25) + (VERI_TABANI!D25*C44*(VERI_TABANI!$B$13-VERI_TABANI!$B$15)*VERI_TABANI!G25) + IF(ABS(IF(ISNUMBER(SEARCH("Var", D44)), 1, IF(ISNUMBER(SEARCH("Gri", D44)), -1, 0)))=1, VERI_TABANI!E25*(1-0.928)*0.00206091519919798*VERI_TABANI!G25, 0)) + ((MIN(VERI_TABANI!D26, VERI_TABANI!D26*B44)*VERI_TABANI!$B$7 + MAX(0, VERI_TABANI!D26*B44-VERI_TABANI!D26)*VERI_TABANI!$B$8) + (MIN(MAX(0, VERI_TABANI!D26-VERI_TABANI!D26*B44), VERI_TABANI!D26*C44)*VERI_TABANI!$B$7 + MAX(0, VERI_TABANI!D26*C44-MAX(0, VERI_TABANI!D26-VERI_TABANI!D26*B44))*VERI_TABANI!$B$8) + IF(ABS(IF(ISNUMBER(SEARCH("Var", D44)), 1, IF(ISNUMBER(SEARCH("Gri", D44)), -1, 0)))=1, VERI_TABANI!E26*(1-0.928)*VERI_TABANI!$B$9, 0) + (VERI_TABANI!D26*B44*(VERI_TABANI!$B$13-VERI_TABANI!$B$14)*VERI_TABANI!G26) + (VERI_TABANI!D26*C44*(VERI_TABANI!$B$13-VERI_TABANI!$B$15)*VERI_TABANI!G26) + IF(ABS(IF(ISNUMBER(SEARCH("Var", D44)), 1, IF(ISNUMBER(SEARCH("Gri", D44)), -1, 0)))=1, VERI_TABANI!E26*(1-0.928)*0.00206091519919798*VERI_TABANI!G26, 0)) + ((MIN(VERI_TABANI!D27, VERI_TABANI!D27*B44)*VERI_TABANI!$B$7 + MAX(0, VERI_TABANI!D27*B44-VERI_TABANI!D27)*VERI_TABANI!$B$8) + (MIN(MAX(0, VERI_TABANI!D27-VERI_TABANI!D27*B44), VERI_TABANI!D27*C44)*VERI_TABANI!$B$7 + MAX(0, VERI_TABANI!D27*C44-MAX(0, VERI_TABANI!D27-VERI_TABANI!D27*B44))*VERI_TABANI!$B$8) + IF(ABS(IF(ISNUMBER(SEARCH("Var", D44)), 1, IF(ISNUMBER(SEARCH("Gri", D44)), -1, 0)))=1, VERI_TABANI!E27*(1-0.928)*VERI_TABANI!$B$9, 0) + (VERI_TABANI!D27*B44*(VERI_TABANI!$B$13-VERI_TABANI!$B$14)*VERI_TABANI!G27) + (VERI_TABANI!D27*C44*(VERI_TABANI!$B$13-VERI_TABANI!$B$15)*VERI_TABANI!G27) + IF(ABS(IF(ISNUMBER(SEARCH("Var", D44)), 1, IF(ISNUMBER(SEARCH("Gri", D44)), -1, 0)))=1, VERI_TABANI!E27*(1-0.928)*0.00206091519919798*VERI_TABANI!G27, 0)) + ((MIN(VERI_TABANI!D28, VERI_TABANI!D28*B44)*VERI_TABANI!$B$7 + MAX(0, VERI_TABANI!D28*B44-VERI_TABANI!D28)*VERI_TABANI!$B$8) + (MIN(MAX(0, VERI_TABANI!D28-VERI_TABANI!D28*B44), VERI_TABANI!D28*C44)*VERI_TABANI!$B$7 + MAX(0, VERI_TABANI!D28*C44-MAX(0, VERI_TABANI!D28-VERI_TABANI!D28*B44))*VERI_TABANI!$B$8) + IF(ABS(IF(ISNUMBER(SEARCH("Var", D44)), 1, IF(ISNUMBER(SEARCH("Gri", D44)), -1, 0)))=1, VERI_TABANI!E28*(1-0.928)*VERI_TABANI!$B$9, 0) + (VERI_TABANI!D28*B44*(VERI_TABANI!$B$13-VERI_TABANI!$B$14)*VERI_TABANI!G28) + (VERI_TABANI!D28*C44*(VERI_TABANI!$B$13-VERI_TABANI!$B$15)*VERI_TABANI!G28) + IF(ABS(IF(ISNUMBER(SEARCH("Var", D44)), 1, IF(ISNUMBER(SEARCH("Gri", D44)), -1, 0)))=1, VERI_TABANI!E28*(1-0.928)*0.00206091519919798*VERI_TABANI!G28, 0)))</f>
        <v/>
      </c>
      <c r="H44" s="169">
        <f>(((VERI_TABANI!D23*B44*(VERI_TABANI!$B$13-VERI_TABANI!$B$14)) + (VERI_TABANI!D23*C44*(VERI_TABANI!$B$13-VERI_TABANI!$B$15)) + IF(ISNUMBER(SEARCH("Var", D44)), VERI_TABANI!F23*(0.00202-VERI_TABANI!$B$16), IF(ISNUMBER(SEARCH("Gri", D44)), VERI_TABANI!F23*(0.00202-VERI_TABANI!$B$17), 0))) + ((VERI_TABANI!D24*B44*(VERI_TABANI!$B$13-VERI_TABANI!$B$14)) + (VERI_TABANI!D24*C44*(VERI_TABANI!$B$13-VERI_TABANI!$B$15)) + IF(ISNUMBER(SEARCH("Var", D44)), VERI_TABANI!F24*(0.00202-VERI_TABANI!$B$16), IF(ISNUMBER(SEARCH("Gri", D44)), VERI_TABANI!F24*(0.00202-VERI_TABANI!$B$17), 0))) + ((VERI_TABANI!D25*B44*(VERI_TABANI!$B$13-VERI_TABANI!$B$14)) + (VERI_TABANI!D25*C44*(VERI_TABANI!$B$13-VERI_TABANI!$B$15)) + IF(ISNUMBER(SEARCH("Var", D44)), VERI_TABANI!F25*(0.00202-VERI_TABANI!$B$16), IF(ISNUMBER(SEARCH("Gri", D44)), VERI_TABANI!F25*(0.00202-VERI_TABANI!$B$17), 0))) + ((VERI_TABANI!D26*B44*(VERI_TABANI!$B$13-VERI_TABANI!$B$14)) + (VERI_TABANI!D26*C44*(VERI_TABANI!$B$13-VERI_TABANI!$B$15)) + IF(ISNUMBER(SEARCH("Var", D44)), VERI_TABANI!F26*(0.00202-VERI_TABANI!$B$16), IF(ISNUMBER(SEARCH("Gri", D44)), VERI_TABANI!F26*(0.00202-VERI_TABANI!$B$17), 0))) + ((VERI_TABANI!D27*B44*(VERI_TABANI!$B$13-VERI_TABANI!$B$14)) + (VERI_TABANI!D27*C44*(VERI_TABANI!$B$13-VERI_TABANI!$B$15)) + IF(ISNUMBER(SEARCH("Var", D44)), VERI_TABANI!F27*(0.00202-VERI_TABANI!$B$16), IF(ISNUMBER(SEARCH("Gri", D44)), VERI_TABANI!F27*(0.00202-VERI_TABANI!$B$17), 0))) + ((VERI_TABANI!D28*B44*(VERI_TABANI!$B$13-VERI_TABANI!$B$14)) + (VERI_TABANI!D28*C44*(VERI_TABANI!$B$13-VERI_TABANI!$B$15)) + IF(ISNUMBER(SEARCH("Var", D44)), VERI_TABANI!F28*(0.00202-VERI_TABANI!$B$16), IF(ISNUMBER(SEARCH("Gri", D44)), VERI_TABANI!F28*(0.00202-VERI_TABANI!$B$17), 0))))</f>
        <v/>
      </c>
      <c r="I44" s="170">
        <f>IFERROR(((VERI_TABANI!$D$29*B44*VERI_TABANI!$B$14 + VERI_TABANI!$D$29*C44*VERI_TABANI!$B$15 + IF(ISNUMBER(SEARCH("Var", D44)), VERI_TABANI!$F$29*VERI_TABANI!$B$16, 0))) / (((VERI_TABANI!$D$29*B44 + VERI_TABANI!$D$29*C44)*VERI_TABANI!$B$13 + IF(ISNUMBER(SEARCH("Var", D44)), VERI_TABANI!$E$29*(1-0.928)*VERI_TABANI!$B$18, 0))), 0)</f>
        <v/>
      </c>
      <c r="J44" s="171">
        <f>IFERROR(F44/(G44/29), 0)</f>
        <v/>
      </c>
      <c r="K44" s="172">
        <f>IF(F44&gt;0, H44/F44, 0)</f>
        <v/>
      </c>
      <c r="L44" s="170">
        <f>IF(F44&gt;0, I44, 1000000000)</f>
        <v/>
      </c>
      <c r="M44" s="171">
        <f>ABS((B44+C44)-1)</f>
        <v/>
      </c>
      <c r="N44" s="170">
        <f>IF(F44&gt;0, (G44/29)/F44, 0)</f>
        <v/>
      </c>
      <c r="O44" s="168">
        <f>IF(AND((B44+C44)&gt;=1, ISNUMBER(SEARCH("Var", D44))), F44, 1000000000)</f>
        <v/>
      </c>
      <c r="P44" s="172">
        <f>IF(F44&gt;0, SQRT((F44/MAX(F$5:F$886))^2 + (1 - H44/MAX(H$5:H$886))^2 + (J44/MAX(J$5:J$886))^2), 1000000000)</f>
        <v/>
      </c>
      <c r="Q44" s="166">
        <f>IF(AND(ABS(B44-0.5)&lt;0.01, ABS(C44-0.5)&lt;0.01, ISNUMBER(SEARCH("Var", D44))), 1, 0)</f>
        <v/>
      </c>
      <c r="R44" s="171">
        <f>IF(F44&gt;0, J44, 1000000000)</f>
        <v/>
      </c>
      <c r="S44" s="101">
        <f>IF(AND(F44&lt;=DASHBOARD!$B$11, H44&gt;=DASHBOARD!$B$13), G44, -1000000000000)</f>
        <v/>
      </c>
      <c r="T44" s="101">
        <f>IF(AND(F44&lt;=DASHBOARD!$B$11, H44&gt;=DASHBOARD!$B$13), R44, 1000000000000)</f>
        <v/>
      </c>
      <c r="U44" s="101">
        <f>IF(AND(F44&lt;=DASHBOARD!$B$11, H44&gt;=DASHBOARD!$B$13), N44, -1000000000000)</f>
        <v/>
      </c>
      <c r="V44" s="101">
        <f>IF(AND(F44&lt;=DASHBOARD!$B$11, H44&gt;=DASHBOARD!$B$13), H44, -1000000000000)</f>
        <v/>
      </c>
      <c r="W44" s="101">
        <f>IF(AND(F44&lt;=DASHBOARD!$B$11, H44&gt;=DASHBOARD!$B$13), K44, -1000000000000)</f>
        <v/>
      </c>
      <c r="X44" s="101">
        <f>IF(AND(F44&lt;=DASHBOARD!$B$11, H44&gt;=DASHBOARD!$B$13), M44, 1000000000000)</f>
        <v/>
      </c>
      <c r="Y44" s="101">
        <f>IF(AND(F44&lt;=DASHBOARD!$B$10, H44&gt;=DASHBOARD!$B$11), L44, 1000000000000)</f>
        <v/>
      </c>
      <c r="Z44" s="101">
        <f>IF(AND(F44&lt;=DASHBOARD!$B$10, H44&gt;=DASHBOARD!$B$11), O44, 1000000000000)</f>
        <v/>
      </c>
      <c r="AA44" s="101">
        <f>IF(AND(F44&lt;=DASHBOARD!$B$10, H44&gt;=DASHBOARD!$B$11), P44, 1000000000000)</f>
        <v/>
      </c>
      <c r="AB44" s="101">
        <f>IF(AND(F44&lt;=DASHBOARD!$B$10, H44&gt;=DASHBOARD!$B$11), Q44, -1000000000000)</f>
        <v/>
      </c>
    </row>
    <row r="45" ht="12.75" customHeight="1" s="102">
      <c r="A45" s="166" t="n">
        <v>41</v>
      </c>
      <c r="B45" s="167" t="n">
        <v>0</v>
      </c>
      <c r="C45" s="167" t="n">
        <v>2</v>
      </c>
      <c r="D45" s="110" t="inlineStr">
        <is>
          <t>Yok (%0)</t>
        </is>
      </c>
      <c r="E45" s="110">
        <f>IF((B45+C45)&lt;=1, "Tam Mahsuplaşma (≤%100)", "Kısmi Satış (&gt;%100)")</f>
        <v/>
      </c>
      <c r="F45" s="168">
        <f>((VERI_TABANI!$D$29*B45/VERI_TABANI!$B$29)/VERI_TABANI!$B$3)*VERI_TABANI!$B$5 + ((VERI_TABANI!$D$29*C45/VERI_TABANI!$B$29)/VERI_TABANI!$B$4)*VERI_TABANI!$B$6 + IF(ISNUMBER(SEARCH("Var", D45)), (VERI_TABANI!$F$29/VERI_TABANI!$B$29)*(VERI_TABANI!$B$10+VERI_TABANI!$B$12), 0)</f>
        <v/>
      </c>
      <c r="G45" s="168">
        <f>(((MIN(VERI_TABANI!D23, VERI_TABANI!D23*B45)*VERI_TABANI!$B$7 + MAX(0, VERI_TABANI!D23*B45-VERI_TABANI!D23)*VERI_TABANI!$B$8) + (MIN(MAX(0, VERI_TABANI!D23-VERI_TABANI!D23*B45), VERI_TABANI!D23*C45)*VERI_TABANI!$B$7 + MAX(0, VERI_TABANI!D23*C45-MAX(0, VERI_TABANI!D23-VERI_TABANI!D23*B45))*VERI_TABANI!$B$8) + IF(ABS(IF(ISNUMBER(SEARCH("Var", D45)), 1, IF(ISNUMBER(SEARCH("Gri", D45)), -1, 0)))=1, VERI_TABANI!E23*(1-0.928)*VERI_TABANI!$B$9, 0) + (VERI_TABANI!D23*B45*(VERI_TABANI!$B$13-VERI_TABANI!$B$14)*VERI_TABANI!G23) + (VERI_TABANI!D23*C45*(VERI_TABANI!$B$13-VERI_TABANI!$B$15)*VERI_TABANI!G23) + IF(ABS(IF(ISNUMBER(SEARCH("Var", D45)), 1, IF(ISNUMBER(SEARCH("Gri", D45)), -1, 0)))=1, VERI_TABANI!E23*(1-0.928)*0.00206091519919798*VERI_TABANI!G23, 0)) + ((MIN(VERI_TABANI!D24, VERI_TABANI!D24*B45)*VERI_TABANI!$B$7 + MAX(0, VERI_TABANI!D24*B45-VERI_TABANI!D24)*VERI_TABANI!$B$8) + (MIN(MAX(0, VERI_TABANI!D24-VERI_TABANI!D24*B45), VERI_TABANI!D24*C45)*VERI_TABANI!$B$7 + MAX(0, VERI_TABANI!D24*C45-MAX(0, VERI_TABANI!D24-VERI_TABANI!D24*B45))*VERI_TABANI!$B$8) + IF(ABS(IF(ISNUMBER(SEARCH("Var", D45)), 1, IF(ISNUMBER(SEARCH("Gri", D45)), -1, 0)))=1, VERI_TABANI!E24*(1-0.928)*VERI_TABANI!$B$9, 0) + (VERI_TABANI!D24*B45*(VERI_TABANI!$B$13-VERI_TABANI!$B$14)*VERI_TABANI!G24) + (VERI_TABANI!D24*C45*(VERI_TABANI!$B$13-VERI_TABANI!$B$15)*VERI_TABANI!G24) + IF(ABS(IF(ISNUMBER(SEARCH("Var", D45)), 1, IF(ISNUMBER(SEARCH("Gri", D45)), -1, 0)))=1, VERI_TABANI!E24*(1-0.928)*0.00206091519919798*VERI_TABANI!G24, 0)) + ((MIN(VERI_TABANI!D25, VERI_TABANI!D25*B45)*VERI_TABANI!$B$7 + MAX(0, VERI_TABANI!D25*B45-VERI_TABANI!D25)*VERI_TABANI!$B$8) + (MIN(MAX(0, VERI_TABANI!D25-VERI_TABANI!D25*B45), VERI_TABANI!D25*C45)*VERI_TABANI!$B$7 + MAX(0, VERI_TABANI!D25*C45-MAX(0, VERI_TABANI!D25-VERI_TABANI!D25*B45))*VERI_TABANI!$B$8) + IF(ABS(IF(ISNUMBER(SEARCH("Var", D45)), 1, IF(ISNUMBER(SEARCH("Gri", D45)), -1, 0)))=1, VERI_TABANI!E25*(1-0.928)*VERI_TABANI!$B$9, 0) + (VERI_TABANI!D25*B45*(VERI_TABANI!$B$13-VERI_TABANI!$B$14)*VERI_TABANI!G25) + (VERI_TABANI!D25*C45*(VERI_TABANI!$B$13-VERI_TABANI!$B$15)*VERI_TABANI!G25) + IF(ABS(IF(ISNUMBER(SEARCH("Var", D45)), 1, IF(ISNUMBER(SEARCH("Gri", D45)), -1, 0)))=1, VERI_TABANI!E25*(1-0.928)*0.00206091519919798*VERI_TABANI!G25, 0)) + ((MIN(VERI_TABANI!D26, VERI_TABANI!D26*B45)*VERI_TABANI!$B$7 + MAX(0, VERI_TABANI!D26*B45-VERI_TABANI!D26)*VERI_TABANI!$B$8) + (MIN(MAX(0, VERI_TABANI!D26-VERI_TABANI!D26*B45), VERI_TABANI!D26*C45)*VERI_TABANI!$B$7 + MAX(0, VERI_TABANI!D26*C45-MAX(0, VERI_TABANI!D26-VERI_TABANI!D26*B45))*VERI_TABANI!$B$8) + IF(ABS(IF(ISNUMBER(SEARCH("Var", D45)), 1, IF(ISNUMBER(SEARCH("Gri", D45)), -1, 0)))=1, VERI_TABANI!E26*(1-0.928)*VERI_TABANI!$B$9, 0) + (VERI_TABANI!D26*B45*(VERI_TABANI!$B$13-VERI_TABANI!$B$14)*VERI_TABANI!G26) + (VERI_TABANI!D26*C45*(VERI_TABANI!$B$13-VERI_TABANI!$B$15)*VERI_TABANI!G26) + IF(ABS(IF(ISNUMBER(SEARCH("Var", D45)), 1, IF(ISNUMBER(SEARCH("Gri", D45)), -1, 0)))=1, VERI_TABANI!E26*(1-0.928)*0.00206091519919798*VERI_TABANI!G26, 0)) + ((MIN(VERI_TABANI!D27, VERI_TABANI!D27*B45)*VERI_TABANI!$B$7 + MAX(0, VERI_TABANI!D27*B45-VERI_TABANI!D27)*VERI_TABANI!$B$8) + (MIN(MAX(0, VERI_TABANI!D27-VERI_TABANI!D27*B45), VERI_TABANI!D27*C45)*VERI_TABANI!$B$7 + MAX(0, VERI_TABANI!D27*C45-MAX(0, VERI_TABANI!D27-VERI_TABANI!D27*B45))*VERI_TABANI!$B$8) + IF(ABS(IF(ISNUMBER(SEARCH("Var", D45)), 1, IF(ISNUMBER(SEARCH("Gri", D45)), -1, 0)))=1, VERI_TABANI!E27*(1-0.928)*VERI_TABANI!$B$9, 0) + (VERI_TABANI!D27*B45*(VERI_TABANI!$B$13-VERI_TABANI!$B$14)*VERI_TABANI!G27) + (VERI_TABANI!D27*C45*(VERI_TABANI!$B$13-VERI_TABANI!$B$15)*VERI_TABANI!G27) + IF(ABS(IF(ISNUMBER(SEARCH("Var", D45)), 1, IF(ISNUMBER(SEARCH("Gri", D45)), -1, 0)))=1, VERI_TABANI!E27*(1-0.928)*0.00206091519919798*VERI_TABANI!G27, 0)) + ((MIN(VERI_TABANI!D28, VERI_TABANI!D28*B45)*VERI_TABANI!$B$7 + MAX(0, VERI_TABANI!D28*B45-VERI_TABANI!D28)*VERI_TABANI!$B$8) + (MIN(MAX(0, VERI_TABANI!D28-VERI_TABANI!D28*B45), VERI_TABANI!D28*C45)*VERI_TABANI!$B$7 + MAX(0, VERI_TABANI!D28*C45-MAX(0, VERI_TABANI!D28-VERI_TABANI!D28*B45))*VERI_TABANI!$B$8) + IF(ABS(IF(ISNUMBER(SEARCH("Var", D45)), 1, IF(ISNUMBER(SEARCH("Gri", D45)), -1, 0)))=1, VERI_TABANI!E28*(1-0.928)*VERI_TABANI!$B$9, 0) + (VERI_TABANI!D28*B45*(VERI_TABANI!$B$13-VERI_TABANI!$B$14)*VERI_TABANI!G28) + (VERI_TABANI!D28*C45*(VERI_TABANI!$B$13-VERI_TABANI!$B$15)*VERI_TABANI!G28) + IF(ABS(IF(ISNUMBER(SEARCH("Var", D45)), 1, IF(ISNUMBER(SEARCH("Gri", D45)), -1, 0)))=1, VERI_TABANI!E28*(1-0.928)*0.00206091519919798*VERI_TABANI!G28, 0)))</f>
        <v/>
      </c>
      <c r="H45" s="169">
        <f>(((VERI_TABANI!D23*B45*(VERI_TABANI!$B$13-VERI_TABANI!$B$14)) + (VERI_TABANI!D23*C45*(VERI_TABANI!$B$13-VERI_TABANI!$B$15)) + IF(ISNUMBER(SEARCH("Var", D45)), VERI_TABANI!F23*(0.00202-VERI_TABANI!$B$16), IF(ISNUMBER(SEARCH("Gri", D45)), VERI_TABANI!F23*(0.00202-VERI_TABANI!$B$17), 0))) + ((VERI_TABANI!D24*B45*(VERI_TABANI!$B$13-VERI_TABANI!$B$14)) + (VERI_TABANI!D24*C45*(VERI_TABANI!$B$13-VERI_TABANI!$B$15)) + IF(ISNUMBER(SEARCH("Var", D45)), VERI_TABANI!F24*(0.00202-VERI_TABANI!$B$16), IF(ISNUMBER(SEARCH("Gri", D45)), VERI_TABANI!F24*(0.00202-VERI_TABANI!$B$17), 0))) + ((VERI_TABANI!D25*B45*(VERI_TABANI!$B$13-VERI_TABANI!$B$14)) + (VERI_TABANI!D25*C45*(VERI_TABANI!$B$13-VERI_TABANI!$B$15)) + IF(ISNUMBER(SEARCH("Var", D45)), VERI_TABANI!F25*(0.00202-VERI_TABANI!$B$16), IF(ISNUMBER(SEARCH("Gri", D45)), VERI_TABANI!F25*(0.00202-VERI_TABANI!$B$17), 0))) + ((VERI_TABANI!D26*B45*(VERI_TABANI!$B$13-VERI_TABANI!$B$14)) + (VERI_TABANI!D26*C45*(VERI_TABANI!$B$13-VERI_TABANI!$B$15)) + IF(ISNUMBER(SEARCH("Var", D45)), VERI_TABANI!F26*(0.00202-VERI_TABANI!$B$16), IF(ISNUMBER(SEARCH("Gri", D45)), VERI_TABANI!F26*(0.00202-VERI_TABANI!$B$17), 0))) + ((VERI_TABANI!D27*B45*(VERI_TABANI!$B$13-VERI_TABANI!$B$14)) + (VERI_TABANI!D27*C45*(VERI_TABANI!$B$13-VERI_TABANI!$B$15)) + IF(ISNUMBER(SEARCH("Var", D45)), VERI_TABANI!F27*(0.00202-VERI_TABANI!$B$16), IF(ISNUMBER(SEARCH("Gri", D45)), VERI_TABANI!F27*(0.00202-VERI_TABANI!$B$17), 0))) + ((VERI_TABANI!D28*B45*(VERI_TABANI!$B$13-VERI_TABANI!$B$14)) + (VERI_TABANI!D28*C45*(VERI_TABANI!$B$13-VERI_TABANI!$B$15)) + IF(ISNUMBER(SEARCH("Var", D45)), VERI_TABANI!F28*(0.00202-VERI_TABANI!$B$16), IF(ISNUMBER(SEARCH("Gri", D45)), VERI_TABANI!F28*(0.00202-VERI_TABANI!$B$17), 0))))</f>
        <v/>
      </c>
      <c r="I45" s="170">
        <f>IFERROR(((VERI_TABANI!$D$29*B45*VERI_TABANI!$B$14 + VERI_TABANI!$D$29*C45*VERI_TABANI!$B$15 + IF(ISNUMBER(SEARCH("Var", D45)), VERI_TABANI!$F$29*VERI_TABANI!$B$16, 0))) / (((VERI_TABANI!$D$29*B45 + VERI_TABANI!$D$29*C45)*VERI_TABANI!$B$13 + IF(ISNUMBER(SEARCH("Var", D45)), VERI_TABANI!$E$29*(1-0.928)*VERI_TABANI!$B$18, 0))), 0)</f>
        <v/>
      </c>
      <c r="J45" s="171">
        <f>IFERROR(F45/(G45/29), 0)</f>
        <v/>
      </c>
      <c r="K45" s="172">
        <f>IF(F45&gt;0, H45/F45, 0)</f>
        <v/>
      </c>
      <c r="L45" s="170">
        <f>IF(F45&gt;0, I45, 1000000000)</f>
        <v/>
      </c>
      <c r="M45" s="171">
        <f>ABS((B45+C45)-1)</f>
        <v/>
      </c>
      <c r="N45" s="170">
        <f>IF(F45&gt;0, (G45/29)/F45, 0)</f>
        <v/>
      </c>
      <c r="O45" s="168">
        <f>IF(AND((B45+C45)&gt;=1, ISNUMBER(SEARCH("Var", D45))), F45, 1000000000)</f>
        <v/>
      </c>
      <c r="P45" s="172">
        <f>IF(F45&gt;0, SQRT((F45/MAX(F$5:F$886))^2 + (1 - H45/MAX(H$5:H$886))^2 + (J45/MAX(J$5:J$886))^2), 1000000000)</f>
        <v/>
      </c>
      <c r="Q45" s="166">
        <f>IF(AND(ABS(B45-0.5)&lt;0.01, ABS(C45-0.5)&lt;0.01, ISNUMBER(SEARCH("Var", D45))), 1, 0)</f>
        <v/>
      </c>
      <c r="R45" s="171">
        <f>IF(F45&gt;0, J45, 1000000000)</f>
        <v/>
      </c>
      <c r="S45" s="101">
        <f>IF(AND(F45&lt;=DASHBOARD!$B$11, H45&gt;=DASHBOARD!$B$13), G45, -1000000000000)</f>
        <v/>
      </c>
      <c r="T45" s="101">
        <f>IF(AND(F45&lt;=DASHBOARD!$B$11, H45&gt;=DASHBOARD!$B$13), R45, 1000000000000)</f>
        <v/>
      </c>
      <c r="U45" s="101">
        <f>IF(AND(F45&lt;=DASHBOARD!$B$11, H45&gt;=DASHBOARD!$B$13), N45, -1000000000000)</f>
        <v/>
      </c>
      <c r="V45" s="101">
        <f>IF(AND(F45&lt;=DASHBOARD!$B$11, H45&gt;=DASHBOARD!$B$13), H45, -1000000000000)</f>
        <v/>
      </c>
      <c r="W45" s="101">
        <f>IF(AND(F45&lt;=DASHBOARD!$B$11, H45&gt;=DASHBOARD!$B$13), K45, -1000000000000)</f>
        <v/>
      </c>
      <c r="X45" s="101">
        <f>IF(AND(F45&lt;=DASHBOARD!$B$11, H45&gt;=DASHBOARD!$B$13), M45, 1000000000000)</f>
        <v/>
      </c>
      <c r="Y45" s="101">
        <f>IF(AND(F45&lt;=DASHBOARD!$B$10, H45&gt;=DASHBOARD!$B$11), L45, 1000000000000)</f>
        <v/>
      </c>
      <c r="Z45" s="101">
        <f>IF(AND(F45&lt;=DASHBOARD!$B$10, H45&gt;=DASHBOARD!$B$11), O45, 1000000000000)</f>
        <v/>
      </c>
      <c r="AA45" s="101">
        <f>IF(AND(F45&lt;=DASHBOARD!$B$10, H45&gt;=DASHBOARD!$B$11), P45, 1000000000000)</f>
        <v/>
      </c>
      <c r="AB45" s="101">
        <f>IF(AND(F45&lt;=DASHBOARD!$B$10, H45&gt;=DASHBOARD!$B$11), Q45, -1000000000000)</f>
        <v/>
      </c>
    </row>
    <row r="46" ht="12.75" customHeight="1" s="102">
      <c r="A46" s="166" t="n">
        <v>42</v>
      </c>
      <c r="B46" s="167" t="n">
        <v>0</v>
      </c>
      <c r="C46" s="167" t="n">
        <v>2</v>
      </c>
      <c r="D46" s="110" t="inlineStr">
        <is>
          <t>Var (%20)</t>
        </is>
      </c>
      <c r="E46" s="110">
        <f>IF((B46+C46)&lt;=1, "Tam Mahsuplaşma (≤%100)", "Kısmi Satış (&gt;%100)")</f>
        <v/>
      </c>
      <c r="F46" s="168">
        <f>((VERI_TABANI!$D$29*B46/VERI_TABANI!$B$29)/VERI_TABANI!$B$3)*VERI_TABANI!$B$5 + ((VERI_TABANI!$D$29*C46/VERI_TABANI!$B$29)/VERI_TABANI!$B$4)*VERI_TABANI!$B$6 + IF(ISNUMBER(SEARCH("Var", D46)), (VERI_TABANI!$F$29/VERI_TABANI!$B$29)*(VERI_TABANI!$B$10+VERI_TABANI!$B$12), 0)</f>
        <v/>
      </c>
      <c r="G46" s="168">
        <f>(((MIN(VERI_TABANI!D23, VERI_TABANI!D23*B46)*VERI_TABANI!$B$7 + MAX(0, VERI_TABANI!D23*B46-VERI_TABANI!D23)*VERI_TABANI!$B$8) + (MIN(MAX(0, VERI_TABANI!D23-VERI_TABANI!D23*B46), VERI_TABANI!D23*C46)*VERI_TABANI!$B$7 + MAX(0, VERI_TABANI!D23*C46-MAX(0, VERI_TABANI!D23-VERI_TABANI!D23*B46))*VERI_TABANI!$B$8) + IF(ABS(IF(ISNUMBER(SEARCH("Var", D46)), 1, IF(ISNUMBER(SEARCH("Gri", D46)), -1, 0)))=1, VERI_TABANI!E23*(1-0.928)*VERI_TABANI!$B$9, 0) + (VERI_TABANI!D23*B46*(VERI_TABANI!$B$13-VERI_TABANI!$B$14)*VERI_TABANI!G23) + (VERI_TABANI!D23*C46*(VERI_TABANI!$B$13-VERI_TABANI!$B$15)*VERI_TABANI!G23) + IF(ABS(IF(ISNUMBER(SEARCH("Var", D46)), 1, IF(ISNUMBER(SEARCH("Gri", D46)), -1, 0)))=1, VERI_TABANI!E23*(1-0.928)*0.00206091519919798*VERI_TABANI!G23, 0)) + ((MIN(VERI_TABANI!D24, VERI_TABANI!D24*B46)*VERI_TABANI!$B$7 + MAX(0, VERI_TABANI!D24*B46-VERI_TABANI!D24)*VERI_TABANI!$B$8) + (MIN(MAX(0, VERI_TABANI!D24-VERI_TABANI!D24*B46), VERI_TABANI!D24*C46)*VERI_TABANI!$B$7 + MAX(0, VERI_TABANI!D24*C46-MAX(0, VERI_TABANI!D24-VERI_TABANI!D24*B46))*VERI_TABANI!$B$8) + IF(ABS(IF(ISNUMBER(SEARCH("Var", D46)), 1, IF(ISNUMBER(SEARCH("Gri", D46)), -1, 0)))=1, VERI_TABANI!E24*(1-0.928)*VERI_TABANI!$B$9, 0) + (VERI_TABANI!D24*B46*(VERI_TABANI!$B$13-VERI_TABANI!$B$14)*VERI_TABANI!G24) + (VERI_TABANI!D24*C46*(VERI_TABANI!$B$13-VERI_TABANI!$B$15)*VERI_TABANI!G24) + IF(ABS(IF(ISNUMBER(SEARCH("Var", D46)), 1, IF(ISNUMBER(SEARCH("Gri", D46)), -1, 0)))=1, VERI_TABANI!E24*(1-0.928)*0.00206091519919798*VERI_TABANI!G24, 0)) + ((MIN(VERI_TABANI!D25, VERI_TABANI!D25*B46)*VERI_TABANI!$B$7 + MAX(0, VERI_TABANI!D25*B46-VERI_TABANI!D25)*VERI_TABANI!$B$8) + (MIN(MAX(0, VERI_TABANI!D25-VERI_TABANI!D25*B46), VERI_TABANI!D25*C46)*VERI_TABANI!$B$7 + MAX(0, VERI_TABANI!D25*C46-MAX(0, VERI_TABANI!D25-VERI_TABANI!D25*B46))*VERI_TABANI!$B$8) + IF(ABS(IF(ISNUMBER(SEARCH("Var", D46)), 1, IF(ISNUMBER(SEARCH("Gri", D46)), -1, 0)))=1, VERI_TABANI!E25*(1-0.928)*VERI_TABANI!$B$9, 0) + (VERI_TABANI!D25*B46*(VERI_TABANI!$B$13-VERI_TABANI!$B$14)*VERI_TABANI!G25) + (VERI_TABANI!D25*C46*(VERI_TABANI!$B$13-VERI_TABANI!$B$15)*VERI_TABANI!G25) + IF(ABS(IF(ISNUMBER(SEARCH("Var", D46)), 1, IF(ISNUMBER(SEARCH("Gri", D46)), -1, 0)))=1, VERI_TABANI!E25*(1-0.928)*0.00206091519919798*VERI_TABANI!G25, 0)) + ((MIN(VERI_TABANI!D26, VERI_TABANI!D26*B46)*VERI_TABANI!$B$7 + MAX(0, VERI_TABANI!D26*B46-VERI_TABANI!D26)*VERI_TABANI!$B$8) + (MIN(MAX(0, VERI_TABANI!D26-VERI_TABANI!D26*B46), VERI_TABANI!D26*C46)*VERI_TABANI!$B$7 + MAX(0, VERI_TABANI!D26*C46-MAX(0, VERI_TABANI!D26-VERI_TABANI!D26*B46))*VERI_TABANI!$B$8) + IF(ABS(IF(ISNUMBER(SEARCH("Var", D46)), 1, IF(ISNUMBER(SEARCH("Gri", D46)), -1, 0)))=1, VERI_TABANI!E26*(1-0.928)*VERI_TABANI!$B$9, 0) + (VERI_TABANI!D26*B46*(VERI_TABANI!$B$13-VERI_TABANI!$B$14)*VERI_TABANI!G26) + (VERI_TABANI!D26*C46*(VERI_TABANI!$B$13-VERI_TABANI!$B$15)*VERI_TABANI!G26) + IF(ABS(IF(ISNUMBER(SEARCH("Var", D46)), 1, IF(ISNUMBER(SEARCH("Gri", D46)), -1, 0)))=1, VERI_TABANI!E26*(1-0.928)*0.00206091519919798*VERI_TABANI!G26, 0)) + ((MIN(VERI_TABANI!D27, VERI_TABANI!D27*B46)*VERI_TABANI!$B$7 + MAX(0, VERI_TABANI!D27*B46-VERI_TABANI!D27)*VERI_TABANI!$B$8) + (MIN(MAX(0, VERI_TABANI!D27-VERI_TABANI!D27*B46), VERI_TABANI!D27*C46)*VERI_TABANI!$B$7 + MAX(0, VERI_TABANI!D27*C46-MAX(0, VERI_TABANI!D27-VERI_TABANI!D27*B46))*VERI_TABANI!$B$8) + IF(ABS(IF(ISNUMBER(SEARCH("Var", D46)), 1, IF(ISNUMBER(SEARCH("Gri", D46)), -1, 0)))=1, VERI_TABANI!E27*(1-0.928)*VERI_TABANI!$B$9, 0) + (VERI_TABANI!D27*B46*(VERI_TABANI!$B$13-VERI_TABANI!$B$14)*VERI_TABANI!G27) + (VERI_TABANI!D27*C46*(VERI_TABANI!$B$13-VERI_TABANI!$B$15)*VERI_TABANI!G27) + IF(ABS(IF(ISNUMBER(SEARCH("Var", D46)), 1, IF(ISNUMBER(SEARCH("Gri", D46)), -1, 0)))=1, VERI_TABANI!E27*(1-0.928)*0.00206091519919798*VERI_TABANI!G27, 0)) + ((MIN(VERI_TABANI!D28, VERI_TABANI!D28*B46)*VERI_TABANI!$B$7 + MAX(0, VERI_TABANI!D28*B46-VERI_TABANI!D28)*VERI_TABANI!$B$8) + (MIN(MAX(0, VERI_TABANI!D28-VERI_TABANI!D28*B46), VERI_TABANI!D28*C46)*VERI_TABANI!$B$7 + MAX(0, VERI_TABANI!D28*C46-MAX(0, VERI_TABANI!D28-VERI_TABANI!D28*B46))*VERI_TABANI!$B$8) + IF(ABS(IF(ISNUMBER(SEARCH("Var", D46)), 1, IF(ISNUMBER(SEARCH("Gri", D46)), -1, 0)))=1, VERI_TABANI!E28*(1-0.928)*VERI_TABANI!$B$9, 0) + (VERI_TABANI!D28*B46*(VERI_TABANI!$B$13-VERI_TABANI!$B$14)*VERI_TABANI!G28) + (VERI_TABANI!D28*C46*(VERI_TABANI!$B$13-VERI_TABANI!$B$15)*VERI_TABANI!G28) + IF(ABS(IF(ISNUMBER(SEARCH("Var", D46)), 1, IF(ISNUMBER(SEARCH("Gri", D46)), -1, 0)))=1, VERI_TABANI!E28*(1-0.928)*0.00206091519919798*VERI_TABANI!G28, 0)))</f>
        <v/>
      </c>
      <c r="H46" s="169">
        <f>(((VERI_TABANI!D23*B46*(VERI_TABANI!$B$13-VERI_TABANI!$B$14)) + (VERI_TABANI!D23*C46*(VERI_TABANI!$B$13-VERI_TABANI!$B$15)) + IF(ISNUMBER(SEARCH("Var", D46)), VERI_TABANI!F23*(0.00202-VERI_TABANI!$B$16), IF(ISNUMBER(SEARCH("Gri", D46)), VERI_TABANI!F23*(0.00202-VERI_TABANI!$B$17), 0))) + ((VERI_TABANI!D24*B46*(VERI_TABANI!$B$13-VERI_TABANI!$B$14)) + (VERI_TABANI!D24*C46*(VERI_TABANI!$B$13-VERI_TABANI!$B$15)) + IF(ISNUMBER(SEARCH("Var", D46)), VERI_TABANI!F24*(0.00202-VERI_TABANI!$B$16), IF(ISNUMBER(SEARCH("Gri", D46)), VERI_TABANI!F24*(0.00202-VERI_TABANI!$B$17), 0))) + ((VERI_TABANI!D25*B46*(VERI_TABANI!$B$13-VERI_TABANI!$B$14)) + (VERI_TABANI!D25*C46*(VERI_TABANI!$B$13-VERI_TABANI!$B$15)) + IF(ISNUMBER(SEARCH("Var", D46)), VERI_TABANI!F25*(0.00202-VERI_TABANI!$B$16), IF(ISNUMBER(SEARCH("Gri", D46)), VERI_TABANI!F25*(0.00202-VERI_TABANI!$B$17), 0))) + ((VERI_TABANI!D26*B46*(VERI_TABANI!$B$13-VERI_TABANI!$B$14)) + (VERI_TABANI!D26*C46*(VERI_TABANI!$B$13-VERI_TABANI!$B$15)) + IF(ISNUMBER(SEARCH("Var", D46)), VERI_TABANI!F26*(0.00202-VERI_TABANI!$B$16), IF(ISNUMBER(SEARCH("Gri", D46)), VERI_TABANI!F26*(0.00202-VERI_TABANI!$B$17), 0))) + ((VERI_TABANI!D27*B46*(VERI_TABANI!$B$13-VERI_TABANI!$B$14)) + (VERI_TABANI!D27*C46*(VERI_TABANI!$B$13-VERI_TABANI!$B$15)) + IF(ISNUMBER(SEARCH("Var", D46)), VERI_TABANI!F27*(0.00202-VERI_TABANI!$B$16), IF(ISNUMBER(SEARCH("Gri", D46)), VERI_TABANI!F27*(0.00202-VERI_TABANI!$B$17), 0))) + ((VERI_TABANI!D28*B46*(VERI_TABANI!$B$13-VERI_TABANI!$B$14)) + (VERI_TABANI!D28*C46*(VERI_TABANI!$B$13-VERI_TABANI!$B$15)) + IF(ISNUMBER(SEARCH("Var", D46)), VERI_TABANI!F28*(0.00202-VERI_TABANI!$B$16), IF(ISNUMBER(SEARCH("Gri", D46)), VERI_TABANI!F28*(0.00202-VERI_TABANI!$B$17), 0))))</f>
        <v/>
      </c>
      <c r="I46" s="170">
        <f>IFERROR(((VERI_TABANI!$D$29*B46*VERI_TABANI!$B$14 + VERI_TABANI!$D$29*C46*VERI_TABANI!$B$15 + IF(ISNUMBER(SEARCH("Var", D46)), VERI_TABANI!$F$29*VERI_TABANI!$B$16, 0))) / (((VERI_TABANI!$D$29*B46 + VERI_TABANI!$D$29*C46)*VERI_TABANI!$B$13 + IF(ISNUMBER(SEARCH("Var", D46)), VERI_TABANI!$E$29*(1-0.928)*VERI_TABANI!$B$18, 0))), 0)</f>
        <v/>
      </c>
      <c r="J46" s="171">
        <f>IFERROR(F46/(G46/29), 0)</f>
        <v/>
      </c>
      <c r="K46" s="172">
        <f>IF(F46&gt;0, H46/F46, 0)</f>
        <v/>
      </c>
      <c r="L46" s="170">
        <f>IF(F46&gt;0, I46, 1000000000)</f>
        <v/>
      </c>
      <c r="M46" s="171">
        <f>ABS((B46+C46)-1)</f>
        <v/>
      </c>
      <c r="N46" s="170">
        <f>IF(F46&gt;0, (G46/29)/F46, 0)</f>
        <v/>
      </c>
      <c r="O46" s="168">
        <f>IF(AND((B46+C46)&gt;=1, ISNUMBER(SEARCH("Var", D46))), F46, 1000000000)</f>
        <v/>
      </c>
      <c r="P46" s="172">
        <f>IF(F46&gt;0, SQRT((F46/MAX(F$5:F$886))^2 + (1 - H46/MAX(H$5:H$886))^2 + (J46/MAX(J$5:J$886))^2), 1000000000)</f>
        <v/>
      </c>
      <c r="Q46" s="166">
        <f>IF(AND(ABS(B46-0.5)&lt;0.01, ABS(C46-0.5)&lt;0.01, ISNUMBER(SEARCH("Var", D46))), 1, 0)</f>
        <v/>
      </c>
      <c r="R46" s="171">
        <f>IF(F46&gt;0, J46, 1000000000)</f>
        <v/>
      </c>
      <c r="S46" s="101">
        <f>IF(AND(F46&lt;=DASHBOARD!$B$11, H46&gt;=DASHBOARD!$B$13), G46, -1000000000000)</f>
        <v/>
      </c>
      <c r="T46" s="101">
        <f>IF(AND(F46&lt;=DASHBOARD!$B$11, H46&gt;=DASHBOARD!$B$13), R46, 1000000000000)</f>
        <v/>
      </c>
      <c r="U46" s="101">
        <f>IF(AND(F46&lt;=DASHBOARD!$B$11, H46&gt;=DASHBOARD!$B$13), N46, -1000000000000)</f>
        <v/>
      </c>
      <c r="V46" s="101">
        <f>IF(AND(F46&lt;=DASHBOARD!$B$11, H46&gt;=DASHBOARD!$B$13), H46, -1000000000000)</f>
        <v/>
      </c>
      <c r="W46" s="101">
        <f>IF(AND(F46&lt;=DASHBOARD!$B$11, H46&gt;=DASHBOARD!$B$13), K46, -1000000000000)</f>
        <v/>
      </c>
      <c r="X46" s="101">
        <f>IF(AND(F46&lt;=DASHBOARD!$B$11, H46&gt;=DASHBOARD!$B$13), M46, 1000000000000)</f>
        <v/>
      </c>
      <c r="Y46" s="101">
        <f>IF(AND(F46&lt;=DASHBOARD!$B$10, H46&gt;=DASHBOARD!$B$11), L46, 1000000000000)</f>
        <v/>
      </c>
      <c r="Z46" s="101">
        <f>IF(AND(F46&lt;=DASHBOARD!$B$10, H46&gt;=DASHBOARD!$B$11), O46, 1000000000000)</f>
        <v/>
      </c>
      <c r="AA46" s="101">
        <f>IF(AND(F46&lt;=DASHBOARD!$B$10, H46&gt;=DASHBOARD!$B$11), P46, 1000000000000)</f>
        <v/>
      </c>
      <c r="AB46" s="101">
        <f>IF(AND(F46&lt;=DASHBOARD!$B$10, H46&gt;=DASHBOARD!$B$11), Q46, -1000000000000)</f>
        <v/>
      </c>
    </row>
    <row r="47" ht="12.75" customHeight="1" s="102">
      <c r="A47" s="166" t="n">
        <v>43</v>
      </c>
      <c r="B47" s="167" t="n">
        <v>0.1</v>
      </c>
      <c r="C47" s="167" t="n">
        <v>0</v>
      </c>
      <c r="D47" s="110" t="inlineStr">
        <is>
          <t>Yok (%0)</t>
        </is>
      </c>
      <c r="E47" s="110">
        <f>IF((B47+C47)&lt;=1, "Tam Mahsuplaşma (≤%100)", "Kısmi Satış (&gt;%100)")</f>
        <v/>
      </c>
      <c r="F47" s="168">
        <f>((VERI_TABANI!$D$29*B47/VERI_TABANI!$B$29)/VERI_TABANI!$B$3)*VERI_TABANI!$B$5 + ((VERI_TABANI!$D$29*C47/VERI_TABANI!$B$29)/VERI_TABANI!$B$4)*VERI_TABANI!$B$6 + IF(ISNUMBER(SEARCH("Var", D47)), (VERI_TABANI!$F$29/VERI_TABANI!$B$29)*(VERI_TABANI!$B$10+VERI_TABANI!$B$12), 0)</f>
        <v/>
      </c>
      <c r="G47" s="168">
        <f>(((MIN(VERI_TABANI!D23, VERI_TABANI!D23*B47)*VERI_TABANI!$B$7 + MAX(0, VERI_TABANI!D23*B47-VERI_TABANI!D23)*VERI_TABANI!$B$8) + (MIN(MAX(0, VERI_TABANI!D23-VERI_TABANI!D23*B47), VERI_TABANI!D23*C47)*VERI_TABANI!$B$7 + MAX(0, VERI_TABANI!D23*C47-MAX(0, VERI_TABANI!D23-VERI_TABANI!D23*B47))*VERI_TABANI!$B$8) + IF(ABS(IF(ISNUMBER(SEARCH("Var", D47)), 1, IF(ISNUMBER(SEARCH("Gri", D47)), -1, 0)))=1, VERI_TABANI!E23*(1-0.928)*VERI_TABANI!$B$9, 0) + (VERI_TABANI!D23*B47*(VERI_TABANI!$B$13-VERI_TABANI!$B$14)*VERI_TABANI!G23) + (VERI_TABANI!D23*C47*(VERI_TABANI!$B$13-VERI_TABANI!$B$15)*VERI_TABANI!G23) + IF(ABS(IF(ISNUMBER(SEARCH("Var", D47)), 1, IF(ISNUMBER(SEARCH("Gri", D47)), -1, 0)))=1, VERI_TABANI!E23*(1-0.928)*0.00206091519919798*VERI_TABANI!G23, 0)) + ((MIN(VERI_TABANI!D24, VERI_TABANI!D24*B47)*VERI_TABANI!$B$7 + MAX(0, VERI_TABANI!D24*B47-VERI_TABANI!D24)*VERI_TABANI!$B$8) + (MIN(MAX(0, VERI_TABANI!D24-VERI_TABANI!D24*B47), VERI_TABANI!D24*C47)*VERI_TABANI!$B$7 + MAX(0, VERI_TABANI!D24*C47-MAX(0, VERI_TABANI!D24-VERI_TABANI!D24*B47))*VERI_TABANI!$B$8) + IF(ABS(IF(ISNUMBER(SEARCH("Var", D47)), 1, IF(ISNUMBER(SEARCH("Gri", D47)), -1, 0)))=1, VERI_TABANI!E24*(1-0.928)*VERI_TABANI!$B$9, 0) + (VERI_TABANI!D24*B47*(VERI_TABANI!$B$13-VERI_TABANI!$B$14)*VERI_TABANI!G24) + (VERI_TABANI!D24*C47*(VERI_TABANI!$B$13-VERI_TABANI!$B$15)*VERI_TABANI!G24) + IF(ABS(IF(ISNUMBER(SEARCH("Var", D47)), 1, IF(ISNUMBER(SEARCH("Gri", D47)), -1, 0)))=1, VERI_TABANI!E24*(1-0.928)*0.00206091519919798*VERI_TABANI!G24, 0)) + ((MIN(VERI_TABANI!D25, VERI_TABANI!D25*B47)*VERI_TABANI!$B$7 + MAX(0, VERI_TABANI!D25*B47-VERI_TABANI!D25)*VERI_TABANI!$B$8) + (MIN(MAX(0, VERI_TABANI!D25-VERI_TABANI!D25*B47), VERI_TABANI!D25*C47)*VERI_TABANI!$B$7 + MAX(0, VERI_TABANI!D25*C47-MAX(0, VERI_TABANI!D25-VERI_TABANI!D25*B47))*VERI_TABANI!$B$8) + IF(ABS(IF(ISNUMBER(SEARCH("Var", D47)), 1, IF(ISNUMBER(SEARCH("Gri", D47)), -1, 0)))=1, VERI_TABANI!E25*(1-0.928)*VERI_TABANI!$B$9, 0) + (VERI_TABANI!D25*B47*(VERI_TABANI!$B$13-VERI_TABANI!$B$14)*VERI_TABANI!G25) + (VERI_TABANI!D25*C47*(VERI_TABANI!$B$13-VERI_TABANI!$B$15)*VERI_TABANI!G25) + IF(ABS(IF(ISNUMBER(SEARCH("Var", D47)), 1, IF(ISNUMBER(SEARCH("Gri", D47)), -1, 0)))=1, VERI_TABANI!E25*(1-0.928)*0.00206091519919798*VERI_TABANI!G25, 0)) + ((MIN(VERI_TABANI!D26, VERI_TABANI!D26*B47)*VERI_TABANI!$B$7 + MAX(0, VERI_TABANI!D26*B47-VERI_TABANI!D26)*VERI_TABANI!$B$8) + (MIN(MAX(0, VERI_TABANI!D26-VERI_TABANI!D26*B47), VERI_TABANI!D26*C47)*VERI_TABANI!$B$7 + MAX(0, VERI_TABANI!D26*C47-MAX(0, VERI_TABANI!D26-VERI_TABANI!D26*B47))*VERI_TABANI!$B$8) + IF(ABS(IF(ISNUMBER(SEARCH("Var", D47)), 1, IF(ISNUMBER(SEARCH("Gri", D47)), -1, 0)))=1, VERI_TABANI!E26*(1-0.928)*VERI_TABANI!$B$9, 0) + (VERI_TABANI!D26*B47*(VERI_TABANI!$B$13-VERI_TABANI!$B$14)*VERI_TABANI!G26) + (VERI_TABANI!D26*C47*(VERI_TABANI!$B$13-VERI_TABANI!$B$15)*VERI_TABANI!G26) + IF(ABS(IF(ISNUMBER(SEARCH("Var", D47)), 1, IF(ISNUMBER(SEARCH("Gri", D47)), -1, 0)))=1, VERI_TABANI!E26*(1-0.928)*0.00206091519919798*VERI_TABANI!G26, 0)) + ((MIN(VERI_TABANI!D27, VERI_TABANI!D27*B47)*VERI_TABANI!$B$7 + MAX(0, VERI_TABANI!D27*B47-VERI_TABANI!D27)*VERI_TABANI!$B$8) + (MIN(MAX(0, VERI_TABANI!D27-VERI_TABANI!D27*B47), VERI_TABANI!D27*C47)*VERI_TABANI!$B$7 + MAX(0, VERI_TABANI!D27*C47-MAX(0, VERI_TABANI!D27-VERI_TABANI!D27*B47))*VERI_TABANI!$B$8) + IF(ABS(IF(ISNUMBER(SEARCH("Var", D47)), 1, IF(ISNUMBER(SEARCH("Gri", D47)), -1, 0)))=1, VERI_TABANI!E27*(1-0.928)*VERI_TABANI!$B$9, 0) + (VERI_TABANI!D27*B47*(VERI_TABANI!$B$13-VERI_TABANI!$B$14)*VERI_TABANI!G27) + (VERI_TABANI!D27*C47*(VERI_TABANI!$B$13-VERI_TABANI!$B$15)*VERI_TABANI!G27) + IF(ABS(IF(ISNUMBER(SEARCH("Var", D47)), 1, IF(ISNUMBER(SEARCH("Gri", D47)), -1, 0)))=1, VERI_TABANI!E27*(1-0.928)*0.00206091519919798*VERI_TABANI!G27, 0)) + ((MIN(VERI_TABANI!D28, VERI_TABANI!D28*B47)*VERI_TABANI!$B$7 + MAX(0, VERI_TABANI!D28*B47-VERI_TABANI!D28)*VERI_TABANI!$B$8) + (MIN(MAX(0, VERI_TABANI!D28-VERI_TABANI!D28*B47), VERI_TABANI!D28*C47)*VERI_TABANI!$B$7 + MAX(0, VERI_TABANI!D28*C47-MAX(0, VERI_TABANI!D28-VERI_TABANI!D28*B47))*VERI_TABANI!$B$8) + IF(ABS(IF(ISNUMBER(SEARCH("Var", D47)), 1, IF(ISNUMBER(SEARCH("Gri", D47)), -1, 0)))=1, VERI_TABANI!E28*(1-0.928)*VERI_TABANI!$B$9, 0) + (VERI_TABANI!D28*B47*(VERI_TABANI!$B$13-VERI_TABANI!$B$14)*VERI_TABANI!G28) + (VERI_TABANI!D28*C47*(VERI_TABANI!$B$13-VERI_TABANI!$B$15)*VERI_TABANI!G28) + IF(ABS(IF(ISNUMBER(SEARCH("Var", D47)), 1, IF(ISNUMBER(SEARCH("Gri", D47)), -1, 0)))=1, VERI_TABANI!E28*(1-0.928)*0.00206091519919798*VERI_TABANI!G28, 0)))</f>
        <v/>
      </c>
      <c r="H47" s="169">
        <f>(((VERI_TABANI!D23*B47*(VERI_TABANI!$B$13-VERI_TABANI!$B$14)) + (VERI_TABANI!D23*C47*(VERI_TABANI!$B$13-VERI_TABANI!$B$15)) + IF(ISNUMBER(SEARCH("Var", D47)), VERI_TABANI!F23*(0.00202-VERI_TABANI!$B$16), IF(ISNUMBER(SEARCH("Gri", D47)), VERI_TABANI!F23*(0.00202-VERI_TABANI!$B$17), 0))) + ((VERI_TABANI!D24*B47*(VERI_TABANI!$B$13-VERI_TABANI!$B$14)) + (VERI_TABANI!D24*C47*(VERI_TABANI!$B$13-VERI_TABANI!$B$15)) + IF(ISNUMBER(SEARCH("Var", D47)), VERI_TABANI!F24*(0.00202-VERI_TABANI!$B$16), IF(ISNUMBER(SEARCH("Gri", D47)), VERI_TABANI!F24*(0.00202-VERI_TABANI!$B$17), 0))) + ((VERI_TABANI!D25*B47*(VERI_TABANI!$B$13-VERI_TABANI!$B$14)) + (VERI_TABANI!D25*C47*(VERI_TABANI!$B$13-VERI_TABANI!$B$15)) + IF(ISNUMBER(SEARCH("Var", D47)), VERI_TABANI!F25*(0.00202-VERI_TABANI!$B$16), IF(ISNUMBER(SEARCH("Gri", D47)), VERI_TABANI!F25*(0.00202-VERI_TABANI!$B$17), 0))) + ((VERI_TABANI!D26*B47*(VERI_TABANI!$B$13-VERI_TABANI!$B$14)) + (VERI_TABANI!D26*C47*(VERI_TABANI!$B$13-VERI_TABANI!$B$15)) + IF(ISNUMBER(SEARCH("Var", D47)), VERI_TABANI!F26*(0.00202-VERI_TABANI!$B$16), IF(ISNUMBER(SEARCH("Gri", D47)), VERI_TABANI!F26*(0.00202-VERI_TABANI!$B$17), 0))) + ((VERI_TABANI!D27*B47*(VERI_TABANI!$B$13-VERI_TABANI!$B$14)) + (VERI_TABANI!D27*C47*(VERI_TABANI!$B$13-VERI_TABANI!$B$15)) + IF(ISNUMBER(SEARCH("Var", D47)), VERI_TABANI!F27*(0.00202-VERI_TABANI!$B$16), IF(ISNUMBER(SEARCH("Gri", D47)), VERI_TABANI!F27*(0.00202-VERI_TABANI!$B$17), 0))) + ((VERI_TABANI!D28*B47*(VERI_TABANI!$B$13-VERI_TABANI!$B$14)) + (VERI_TABANI!D28*C47*(VERI_TABANI!$B$13-VERI_TABANI!$B$15)) + IF(ISNUMBER(SEARCH("Var", D47)), VERI_TABANI!F28*(0.00202-VERI_TABANI!$B$16), IF(ISNUMBER(SEARCH("Gri", D47)), VERI_TABANI!F28*(0.00202-VERI_TABANI!$B$17), 0))))</f>
        <v/>
      </c>
      <c r="I47" s="170">
        <f>IFERROR(((VERI_TABANI!$D$29*B47*VERI_TABANI!$B$14 + VERI_TABANI!$D$29*C47*VERI_TABANI!$B$15 + IF(ISNUMBER(SEARCH("Var", D47)), VERI_TABANI!$F$29*VERI_TABANI!$B$16, 0))) / (((VERI_TABANI!$D$29*B47 + VERI_TABANI!$D$29*C47)*VERI_TABANI!$B$13 + IF(ISNUMBER(SEARCH("Var", D47)), VERI_TABANI!$E$29*(1-0.928)*VERI_TABANI!$B$18, 0))), 0)</f>
        <v/>
      </c>
      <c r="J47" s="171">
        <f>IFERROR(F47/(G47/29), 0)</f>
        <v/>
      </c>
      <c r="K47" s="172">
        <f>IF(F47&gt;0, H47/F47, 0)</f>
        <v/>
      </c>
      <c r="L47" s="170">
        <f>IF(F47&gt;0, I47, 1000000000)</f>
        <v/>
      </c>
      <c r="M47" s="171">
        <f>ABS((B47+C47)-1)</f>
        <v/>
      </c>
      <c r="N47" s="170">
        <f>IF(F47&gt;0, (G47/29)/F47, 0)</f>
        <v/>
      </c>
      <c r="O47" s="168">
        <f>IF(AND((B47+C47)&gt;=1, ISNUMBER(SEARCH("Var", D47))), F47, 1000000000)</f>
        <v/>
      </c>
      <c r="P47" s="172">
        <f>IF(F47&gt;0, SQRT((F47/MAX(F$5:F$886))^2 + (1 - H47/MAX(H$5:H$886))^2 + (J47/MAX(J$5:J$886))^2), 1000000000)</f>
        <v/>
      </c>
      <c r="Q47" s="166">
        <f>IF(AND(ABS(B47-0.5)&lt;0.01, ABS(C47-0.5)&lt;0.01, ISNUMBER(SEARCH("Var", D47))), 1, 0)</f>
        <v/>
      </c>
      <c r="R47" s="171">
        <f>IF(F47&gt;0, J47, 1000000000)</f>
        <v/>
      </c>
      <c r="S47" s="101">
        <f>IF(AND(F47&lt;=DASHBOARD!$B$11, H47&gt;=DASHBOARD!$B$13), G47, -1000000000000)</f>
        <v/>
      </c>
      <c r="T47" s="101">
        <f>IF(AND(F47&lt;=DASHBOARD!$B$11, H47&gt;=DASHBOARD!$B$13), R47, 1000000000000)</f>
        <v/>
      </c>
      <c r="U47" s="101">
        <f>IF(AND(F47&lt;=DASHBOARD!$B$11, H47&gt;=DASHBOARD!$B$13), N47, -1000000000000)</f>
        <v/>
      </c>
      <c r="V47" s="101">
        <f>IF(AND(F47&lt;=DASHBOARD!$B$11, H47&gt;=DASHBOARD!$B$13), H47, -1000000000000)</f>
        <v/>
      </c>
      <c r="W47" s="101">
        <f>IF(AND(F47&lt;=DASHBOARD!$B$11, H47&gt;=DASHBOARD!$B$13), K47, -1000000000000)</f>
        <v/>
      </c>
      <c r="X47" s="101">
        <f>IF(AND(F47&lt;=DASHBOARD!$B$11, H47&gt;=DASHBOARD!$B$13), M47, 1000000000000)</f>
        <v/>
      </c>
      <c r="Y47" s="101">
        <f>IF(AND(F47&lt;=DASHBOARD!$B$10, H47&gt;=DASHBOARD!$B$11), L47, 1000000000000)</f>
        <v/>
      </c>
      <c r="Z47" s="101">
        <f>IF(AND(F47&lt;=DASHBOARD!$B$10, H47&gt;=DASHBOARD!$B$11), O47, 1000000000000)</f>
        <v/>
      </c>
      <c r="AA47" s="101">
        <f>IF(AND(F47&lt;=DASHBOARD!$B$10, H47&gt;=DASHBOARD!$B$11), P47, 1000000000000)</f>
        <v/>
      </c>
      <c r="AB47" s="101">
        <f>IF(AND(F47&lt;=DASHBOARD!$B$10, H47&gt;=DASHBOARD!$B$11), Q47, -1000000000000)</f>
        <v/>
      </c>
    </row>
    <row r="48" ht="12.75" customHeight="1" s="102">
      <c r="A48" s="166" t="n">
        <v>44</v>
      </c>
      <c r="B48" s="167" t="n">
        <v>0.1</v>
      </c>
      <c r="C48" s="167" t="n">
        <v>0</v>
      </c>
      <c r="D48" s="110" t="inlineStr">
        <is>
          <t>Var (%20)</t>
        </is>
      </c>
      <c r="E48" s="110">
        <f>IF((B48+C48)&lt;=1, "Tam Mahsuplaşma (≤%100)", "Kısmi Satış (&gt;%100)")</f>
        <v/>
      </c>
      <c r="F48" s="168">
        <f>((VERI_TABANI!$D$29*B48/VERI_TABANI!$B$29)/VERI_TABANI!$B$3)*VERI_TABANI!$B$5 + ((VERI_TABANI!$D$29*C48/VERI_TABANI!$B$29)/VERI_TABANI!$B$4)*VERI_TABANI!$B$6 + IF(ISNUMBER(SEARCH("Var", D48)), (VERI_TABANI!$F$29/VERI_TABANI!$B$29)*(VERI_TABANI!$B$10+VERI_TABANI!$B$12), 0)</f>
        <v/>
      </c>
      <c r="G48" s="168">
        <f>(((MIN(VERI_TABANI!D23, VERI_TABANI!D23*B48)*VERI_TABANI!$B$7 + MAX(0, VERI_TABANI!D23*B48-VERI_TABANI!D23)*VERI_TABANI!$B$8) + (MIN(MAX(0, VERI_TABANI!D23-VERI_TABANI!D23*B48), VERI_TABANI!D23*C48)*VERI_TABANI!$B$7 + MAX(0, VERI_TABANI!D23*C48-MAX(0, VERI_TABANI!D23-VERI_TABANI!D23*B48))*VERI_TABANI!$B$8) + IF(ABS(IF(ISNUMBER(SEARCH("Var", D48)), 1, IF(ISNUMBER(SEARCH("Gri", D48)), -1, 0)))=1, VERI_TABANI!E23*(1-0.928)*VERI_TABANI!$B$9, 0) + (VERI_TABANI!D23*B48*(VERI_TABANI!$B$13-VERI_TABANI!$B$14)*VERI_TABANI!G23) + (VERI_TABANI!D23*C48*(VERI_TABANI!$B$13-VERI_TABANI!$B$15)*VERI_TABANI!G23) + IF(ABS(IF(ISNUMBER(SEARCH("Var", D48)), 1, IF(ISNUMBER(SEARCH("Gri", D48)), -1, 0)))=1, VERI_TABANI!E23*(1-0.928)*0.00206091519919798*VERI_TABANI!G23, 0)) + ((MIN(VERI_TABANI!D24, VERI_TABANI!D24*B48)*VERI_TABANI!$B$7 + MAX(0, VERI_TABANI!D24*B48-VERI_TABANI!D24)*VERI_TABANI!$B$8) + (MIN(MAX(0, VERI_TABANI!D24-VERI_TABANI!D24*B48), VERI_TABANI!D24*C48)*VERI_TABANI!$B$7 + MAX(0, VERI_TABANI!D24*C48-MAX(0, VERI_TABANI!D24-VERI_TABANI!D24*B48))*VERI_TABANI!$B$8) + IF(ABS(IF(ISNUMBER(SEARCH("Var", D48)), 1, IF(ISNUMBER(SEARCH("Gri", D48)), -1, 0)))=1, VERI_TABANI!E24*(1-0.928)*VERI_TABANI!$B$9, 0) + (VERI_TABANI!D24*B48*(VERI_TABANI!$B$13-VERI_TABANI!$B$14)*VERI_TABANI!G24) + (VERI_TABANI!D24*C48*(VERI_TABANI!$B$13-VERI_TABANI!$B$15)*VERI_TABANI!G24) + IF(ABS(IF(ISNUMBER(SEARCH("Var", D48)), 1, IF(ISNUMBER(SEARCH("Gri", D48)), -1, 0)))=1, VERI_TABANI!E24*(1-0.928)*0.00206091519919798*VERI_TABANI!G24, 0)) + ((MIN(VERI_TABANI!D25, VERI_TABANI!D25*B48)*VERI_TABANI!$B$7 + MAX(0, VERI_TABANI!D25*B48-VERI_TABANI!D25)*VERI_TABANI!$B$8) + (MIN(MAX(0, VERI_TABANI!D25-VERI_TABANI!D25*B48), VERI_TABANI!D25*C48)*VERI_TABANI!$B$7 + MAX(0, VERI_TABANI!D25*C48-MAX(0, VERI_TABANI!D25-VERI_TABANI!D25*B48))*VERI_TABANI!$B$8) + IF(ABS(IF(ISNUMBER(SEARCH("Var", D48)), 1, IF(ISNUMBER(SEARCH("Gri", D48)), -1, 0)))=1, VERI_TABANI!E25*(1-0.928)*VERI_TABANI!$B$9, 0) + (VERI_TABANI!D25*B48*(VERI_TABANI!$B$13-VERI_TABANI!$B$14)*VERI_TABANI!G25) + (VERI_TABANI!D25*C48*(VERI_TABANI!$B$13-VERI_TABANI!$B$15)*VERI_TABANI!G25) + IF(ABS(IF(ISNUMBER(SEARCH("Var", D48)), 1, IF(ISNUMBER(SEARCH("Gri", D48)), -1, 0)))=1, VERI_TABANI!E25*(1-0.928)*0.00206091519919798*VERI_TABANI!G25, 0)) + ((MIN(VERI_TABANI!D26, VERI_TABANI!D26*B48)*VERI_TABANI!$B$7 + MAX(0, VERI_TABANI!D26*B48-VERI_TABANI!D26)*VERI_TABANI!$B$8) + (MIN(MAX(0, VERI_TABANI!D26-VERI_TABANI!D26*B48), VERI_TABANI!D26*C48)*VERI_TABANI!$B$7 + MAX(0, VERI_TABANI!D26*C48-MAX(0, VERI_TABANI!D26-VERI_TABANI!D26*B48))*VERI_TABANI!$B$8) + IF(ABS(IF(ISNUMBER(SEARCH("Var", D48)), 1, IF(ISNUMBER(SEARCH("Gri", D48)), -1, 0)))=1, VERI_TABANI!E26*(1-0.928)*VERI_TABANI!$B$9, 0) + (VERI_TABANI!D26*B48*(VERI_TABANI!$B$13-VERI_TABANI!$B$14)*VERI_TABANI!G26) + (VERI_TABANI!D26*C48*(VERI_TABANI!$B$13-VERI_TABANI!$B$15)*VERI_TABANI!G26) + IF(ABS(IF(ISNUMBER(SEARCH("Var", D48)), 1, IF(ISNUMBER(SEARCH("Gri", D48)), -1, 0)))=1, VERI_TABANI!E26*(1-0.928)*0.00206091519919798*VERI_TABANI!G26, 0)) + ((MIN(VERI_TABANI!D27, VERI_TABANI!D27*B48)*VERI_TABANI!$B$7 + MAX(0, VERI_TABANI!D27*B48-VERI_TABANI!D27)*VERI_TABANI!$B$8) + (MIN(MAX(0, VERI_TABANI!D27-VERI_TABANI!D27*B48), VERI_TABANI!D27*C48)*VERI_TABANI!$B$7 + MAX(0, VERI_TABANI!D27*C48-MAX(0, VERI_TABANI!D27-VERI_TABANI!D27*B48))*VERI_TABANI!$B$8) + IF(ABS(IF(ISNUMBER(SEARCH("Var", D48)), 1, IF(ISNUMBER(SEARCH("Gri", D48)), -1, 0)))=1, VERI_TABANI!E27*(1-0.928)*VERI_TABANI!$B$9, 0) + (VERI_TABANI!D27*B48*(VERI_TABANI!$B$13-VERI_TABANI!$B$14)*VERI_TABANI!G27) + (VERI_TABANI!D27*C48*(VERI_TABANI!$B$13-VERI_TABANI!$B$15)*VERI_TABANI!G27) + IF(ABS(IF(ISNUMBER(SEARCH("Var", D48)), 1, IF(ISNUMBER(SEARCH("Gri", D48)), -1, 0)))=1, VERI_TABANI!E27*(1-0.928)*0.00206091519919798*VERI_TABANI!G27, 0)) + ((MIN(VERI_TABANI!D28, VERI_TABANI!D28*B48)*VERI_TABANI!$B$7 + MAX(0, VERI_TABANI!D28*B48-VERI_TABANI!D28)*VERI_TABANI!$B$8) + (MIN(MAX(0, VERI_TABANI!D28-VERI_TABANI!D28*B48), VERI_TABANI!D28*C48)*VERI_TABANI!$B$7 + MAX(0, VERI_TABANI!D28*C48-MAX(0, VERI_TABANI!D28-VERI_TABANI!D28*B48))*VERI_TABANI!$B$8) + IF(ABS(IF(ISNUMBER(SEARCH("Var", D48)), 1, IF(ISNUMBER(SEARCH("Gri", D48)), -1, 0)))=1, VERI_TABANI!E28*(1-0.928)*VERI_TABANI!$B$9, 0) + (VERI_TABANI!D28*B48*(VERI_TABANI!$B$13-VERI_TABANI!$B$14)*VERI_TABANI!G28) + (VERI_TABANI!D28*C48*(VERI_TABANI!$B$13-VERI_TABANI!$B$15)*VERI_TABANI!G28) + IF(ABS(IF(ISNUMBER(SEARCH("Var", D48)), 1, IF(ISNUMBER(SEARCH("Gri", D48)), -1, 0)))=1, VERI_TABANI!E28*(1-0.928)*0.00206091519919798*VERI_TABANI!G28, 0)))</f>
        <v/>
      </c>
      <c r="H48" s="169">
        <f>(((VERI_TABANI!D23*B48*(VERI_TABANI!$B$13-VERI_TABANI!$B$14)) + (VERI_TABANI!D23*C48*(VERI_TABANI!$B$13-VERI_TABANI!$B$15)) + IF(ISNUMBER(SEARCH("Var", D48)), VERI_TABANI!F23*(0.00202-VERI_TABANI!$B$16), IF(ISNUMBER(SEARCH("Gri", D48)), VERI_TABANI!F23*(0.00202-VERI_TABANI!$B$17), 0))) + ((VERI_TABANI!D24*B48*(VERI_TABANI!$B$13-VERI_TABANI!$B$14)) + (VERI_TABANI!D24*C48*(VERI_TABANI!$B$13-VERI_TABANI!$B$15)) + IF(ISNUMBER(SEARCH("Var", D48)), VERI_TABANI!F24*(0.00202-VERI_TABANI!$B$16), IF(ISNUMBER(SEARCH("Gri", D48)), VERI_TABANI!F24*(0.00202-VERI_TABANI!$B$17), 0))) + ((VERI_TABANI!D25*B48*(VERI_TABANI!$B$13-VERI_TABANI!$B$14)) + (VERI_TABANI!D25*C48*(VERI_TABANI!$B$13-VERI_TABANI!$B$15)) + IF(ISNUMBER(SEARCH("Var", D48)), VERI_TABANI!F25*(0.00202-VERI_TABANI!$B$16), IF(ISNUMBER(SEARCH("Gri", D48)), VERI_TABANI!F25*(0.00202-VERI_TABANI!$B$17), 0))) + ((VERI_TABANI!D26*B48*(VERI_TABANI!$B$13-VERI_TABANI!$B$14)) + (VERI_TABANI!D26*C48*(VERI_TABANI!$B$13-VERI_TABANI!$B$15)) + IF(ISNUMBER(SEARCH("Var", D48)), VERI_TABANI!F26*(0.00202-VERI_TABANI!$B$16), IF(ISNUMBER(SEARCH("Gri", D48)), VERI_TABANI!F26*(0.00202-VERI_TABANI!$B$17), 0))) + ((VERI_TABANI!D27*B48*(VERI_TABANI!$B$13-VERI_TABANI!$B$14)) + (VERI_TABANI!D27*C48*(VERI_TABANI!$B$13-VERI_TABANI!$B$15)) + IF(ISNUMBER(SEARCH("Var", D48)), VERI_TABANI!F27*(0.00202-VERI_TABANI!$B$16), IF(ISNUMBER(SEARCH("Gri", D48)), VERI_TABANI!F27*(0.00202-VERI_TABANI!$B$17), 0))) + ((VERI_TABANI!D28*B48*(VERI_TABANI!$B$13-VERI_TABANI!$B$14)) + (VERI_TABANI!D28*C48*(VERI_TABANI!$B$13-VERI_TABANI!$B$15)) + IF(ISNUMBER(SEARCH("Var", D48)), VERI_TABANI!F28*(0.00202-VERI_TABANI!$B$16), IF(ISNUMBER(SEARCH("Gri", D48)), VERI_TABANI!F28*(0.00202-VERI_TABANI!$B$17), 0))))</f>
        <v/>
      </c>
      <c r="I48" s="170">
        <f>IFERROR(((VERI_TABANI!$D$29*B48*VERI_TABANI!$B$14 + VERI_TABANI!$D$29*C48*VERI_TABANI!$B$15 + IF(ISNUMBER(SEARCH("Var", D48)), VERI_TABANI!$F$29*VERI_TABANI!$B$16, 0))) / (((VERI_TABANI!$D$29*B48 + VERI_TABANI!$D$29*C48)*VERI_TABANI!$B$13 + IF(ISNUMBER(SEARCH("Var", D48)), VERI_TABANI!$E$29*(1-0.928)*VERI_TABANI!$B$18, 0))), 0)</f>
        <v/>
      </c>
      <c r="J48" s="171">
        <f>IFERROR(F48/(G48/29), 0)</f>
        <v/>
      </c>
      <c r="K48" s="172">
        <f>IF(F48&gt;0, H48/F48, 0)</f>
        <v/>
      </c>
      <c r="L48" s="170">
        <f>IF(F48&gt;0, I48, 1000000000)</f>
        <v/>
      </c>
      <c r="M48" s="171">
        <f>ABS((B48+C48)-1)</f>
        <v/>
      </c>
      <c r="N48" s="170">
        <f>IF(F48&gt;0, (G48/29)/F48, 0)</f>
        <v/>
      </c>
      <c r="O48" s="168">
        <f>IF(AND((B48+C48)&gt;=1, ISNUMBER(SEARCH("Var", D48))), F48, 1000000000)</f>
        <v/>
      </c>
      <c r="P48" s="172">
        <f>IF(F48&gt;0, SQRT((F48/MAX(F$5:F$886))^2 + (1 - H48/MAX(H$5:H$886))^2 + (J48/MAX(J$5:J$886))^2), 1000000000)</f>
        <v/>
      </c>
      <c r="Q48" s="166">
        <f>IF(AND(ABS(B48-0.5)&lt;0.01, ABS(C48-0.5)&lt;0.01, ISNUMBER(SEARCH("Var", D48))), 1, 0)</f>
        <v/>
      </c>
      <c r="R48" s="171">
        <f>IF(F48&gt;0, J48, 1000000000)</f>
        <v/>
      </c>
      <c r="S48" s="101">
        <f>IF(AND(F48&lt;=DASHBOARD!$B$11, H48&gt;=DASHBOARD!$B$13), G48, -1000000000000)</f>
        <v/>
      </c>
      <c r="T48" s="101">
        <f>IF(AND(F48&lt;=DASHBOARD!$B$11, H48&gt;=DASHBOARD!$B$13), R48, 1000000000000)</f>
        <v/>
      </c>
      <c r="U48" s="101">
        <f>IF(AND(F48&lt;=DASHBOARD!$B$11, H48&gt;=DASHBOARD!$B$13), N48, -1000000000000)</f>
        <v/>
      </c>
      <c r="V48" s="101">
        <f>IF(AND(F48&lt;=DASHBOARD!$B$11, H48&gt;=DASHBOARD!$B$13), H48, -1000000000000)</f>
        <v/>
      </c>
      <c r="W48" s="101">
        <f>IF(AND(F48&lt;=DASHBOARD!$B$11, H48&gt;=DASHBOARD!$B$13), K48, -1000000000000)</f>
        <v/>
      </c>
      <c r="X48" s="101">
        <f>IF(AND(F48&lt;=DASHBOARD!$B$11, H48&gt;=DASHBOARD!$B$13), M48, 1000000000000)</f>
        <v/>
      </c>
      <c r="Y48" s="101">
        <f>IF(AND(F48&lt;=DASHBOARD!$B$10, H48&gt;=DASHBOARD!$B$11), L48, 1000000000000)</f>
        <v/>
      </c>
      <c r="Z48" s="101">
        <f>IF(AND(F48&lt;=DASHBOARD!$B$10, H48&gt;=DASHBOARD!$B$11), O48, 1000000000000)</f>
        <v/>
      </c>
      <c r="AA48" s="101">
        <f>IF(AND(F48&lt;=DASHBOARD!$B$10, H48&gt;=DASHBOARD!$B$11), P48, 1000000000000)</f>
        <v/>
      </c>
      <c r="AB48" s="101">
        <f>IF(AND(F48&lt;=DASHBOARD!$B$10, H48&gt;=DASHBOARD!$B$11), Q48, -1000000000000)</f>
        <v/>
      </c>
    </row>
    <row r="49" ht="12.75" customHeight="1" s="102">
      <c r="A49" s="166" t="n">
        <v>45</v>
      </c>
      <c r="B49" s="167" t="n">
        <v>0.1</v>
      </c>
      <c r="C49" s="167" t="n">
        <v>0.1</v>
      </c>
      <c r="D49" s="110" t="inlineStr">
        <is>
          <t>Yok (%0)</t>
        </is>
      </c>
      <c r="E49" s="110">
        <f>IF((B49+C49)&lt;=1, "Tam Mahsuplaşma (≤%100)", "Kısmi Satış (&gt;%100)")</f>
        <v/>
      </c>
      <c r="F49" s="168">
        <f>((VERI_TABANI!$D$29*B49/VERI_TABANI!$B$29)/VERI_TABANI!$B$3)*VERI_TABANI!$B$5 + ((VERI_TABANI!$D$29*C49/VERI_TABANI!$B$29)/VERI_TABANI!$B$4)*VERI_TABANI!$B$6 + IF(ISNUMBER(SEARCH("Var", D49)), (VERI_TABANI!$F$29/VERI_TABANI!$B$29)*(VERI_TABANI!$B$10+VERI_TABANI!$B$12), 0)</f>
        <v/>
      </c>
      <c r="G49" s="168">
        <f>(((MIN(VERI_TABANI!D23, VERI_TABANI!D23*B49)*VERI_TABANI!$B$7 + MAX(0, VERI_TABANI!D23*B49-VERI_TABANI!D23)*VERI_TABANI!$B$8) + (MIN(MAX(0, VERI_TABANI!D23-VERI_TABANI!D23*B49), VERI_TABANI!D23*C49)*VERI_TABANI!$B$7 + MAX(0, VERI_TABANI!D23*C49-MAX(0, VERI_TABANI!D23-VERI_TABANI!D23*B49))*VERI_TABANI!$B$8) + IF(ABS(IF(ISNUMBER(SEARCH("Var", D49)), 1, IF(ISNUMBER(SEARCH("Gri", D49)), -1, 0)))=1, VERI_TABANI!E23*(1-0.928)*VERI_TABANI!$B$9, 0) + (VERI_TABANI!D23*B49*(VERI_TABANI!$B$13-VERI_TABANI!$B$14)*VERI_TABANI!G23) + (VERI_TABANI!D23*C49*(VERI_TABANI!$B$13-VERI_TABANI!$B$15)*VERI_TABANI!G23) + IF(ABS(IF(ISNUMBER(SEARCH("Var", D49)), 1, IF(ISNUMBER(SEARCH("Gri", D49)), -1, 0)))=1, VERI_TABANI!E23*(1-0.928)*0.00206091519919798*VERI_TABANI!G23, 0)) + ((MIN(VERI_TABANI!D24, VERI_TABANI!D24*B49)*VERI_TABANI!$B$7 + MAX(0, VERI_TABANI!D24*B49-VERI_TABANI!D24)*VERI_TABANI!$B$8) + (MIN(MAX(0, VERI_TABANI!D24-VERI_TABANI!D24*B49), VERI_TABANI!D24*C49)*VERI_TABANI!$B$7 + MAX(0, VERI_TABANI!D24*C49-MAX(0, VERI_TABANI!D24-VERI_TABANI!D24*B49))*VERI_TABANI!$B$8) + IF(ABS(IF(ISNUMBER(SEARCH("Var", D49)), 1, IF(ISNUMBER(SEARCH("Gri", D49)), -1, 0)))=1, VERI_TABANI!E24*(1-0.928)*VERI_TABANI!$B$9, 0) + (VERI_TABANI!D24*B49*(VERI_TABANI!$B$13-VERI_TABANI!$B$14)*VERI_TABANI!G24) + (VERI_TABANI!D24*C49*(VERI_TABANI!$B$13-VERI_TABANI!$B$15)*VERI_TABANI!G24) + IF(ABS(IF(ISNUMBER(SEARCH("Var", D49)), 1, IF(ISNUMBER(SEARCH("Gri", D49)), -1, 0)))=1, VERI_TABANI!E24*(1-0.928)*0.00206091519919798*VERI_TABANI!G24, 0)) + ((MIN(VERI_TABANI!D25, VERI_TABANI!D25*B49)*VERI_TABANI!$B$7 + MAX(0, VERI_TABANI!D25*B49-VERI_TABANI!D25)*VERI_TABANI!$B$8) + (MIN(MAX(0, VERI_TABANI!D25-VERI_TABANI!D25*B49), VERI_TABANI!D25*C49)*VERI_TABANI!$B$7 + MAX(0, VERI_TABANI!D25*C49-MAX(0, VERI_TABANI!D25-VERI_TABANI!D25*B49))*VERI_TABANI!$B$8) + IF(ABS(IF(ISNUMBER(SEARCH("Var", D49)), 1, IF(ISNUMBER(SEARCH("Gri", D49)), -1, 0)))=1, VERI_TABANI!E25*(1-0.928)*VERI_TABANI!$B$9, 0) + (VERI_TABANI!D25*B49*(VERI_TABANI!$B$13-VERI_TABANI!$B$14)*VERI_TABANI!G25) + (VERI_TABANI!D25*C49*(VERI_TABANI!$B$13-VERI_TABANI!$B$15)*VERI_TABANI!G25) + IF(ABS(IF(ISNUMBER(SEARCH("Var", D49)), 1, IF(ISNUMBER(SEARCH("Gri", D49)), -1, 0)))=1, VERI_TABANI!E25*(1-0.928)*0.00206091519919798*VERI_TABANI!G25, 0)) + ((MIN(VERI_TABANI!D26, VERI_TABANI!D26*B49)*VERI_TABANI!$B$7 + MAX(0, VERI_TABANI!D26*B49-VERI_TABANI!D26)*VERI_TABANI!$B$8) + (MIN(MAX(0, VERI_TABANI!D26-VERI_TABANI!D26*B49), VERI_TABANI!D26*C49)*VERI_TABANI!$B$7 + MAX(0, VERI_TABANI!D26*C49-MAX(0, VERI_TABANI!D26-VERI_TABANI!D26*B49))*VERI_TABANI!$B$8) + IF(ABS(IF(ISNUMBER(SEARCH("Var", D49)), 1, IF(ISNUMBER(SEARCH("Gri", D49)), -1, 0)))=1, VERI_TABANI!E26*(1-0.928)*VERI_TABANI!$B$9, 0) + (VERI_TABANI!D26*B49*(VERI_TABANI!$B$13-VERI_TABANI!$B$14)*VERI_TABANI!G26) + (VERI_TABANI!D26*C49*(VERI_TABANI!$B$13-VERI_TABANI!$B$15)*VERI_TABANI!G26) + IF(ABS(IF(ISNUMBER(SEARCH("Var", D49)), 1, IF(ISNUMBER(SEARCH("Gri", D49)), -1, 0)))=1, VERI_TABANI!E26*(1-0.928)*0.00206091519919798*VERI_TABANI!G26, 0)) + ((MIN(VERI_TABANI!D27, VERI_TABANI!D27*B49)*VERI_TABANI!$B$7 + MAX(0, VERI_TABANI!D27*B49-VERI_TABANI!D27)*VERI_TABANI!$B$8) + (MIN(MAX(0, VERI_TABANI!D27-VERI_TABANI!D27*B49), VERI_TABANI!D27*C49)*VERI_TABANI!$B$7 + MAX(0, VERI_TABANI!D27*C49-MAX(0, VERI_TABANI!D27-VERI_TABANI!D27*B49))*VERI_TABANI!$B$8) + IF(ABS(IF(ISNUMBER(SEARCH("Var", D49)), 1, IF(ISNUMBER(SEARCH("Gri", D49)), -1, 0)))=1, VERI_TABANI!E27*(1-0.928)*VERI_TABANI!$B$9, 0) + (VERI_TABANI!D27*B49*(VERI_TABANI!$B$13-VERI_TABANI!$B$14)*VERI_TABANI!G27) + (VERI_TABANI!D27*C49*(VERI_TABANI!$B$13-VERI_TABANI!$B$15)*VERI_TABANI!G27) + IF(ABS(IF(ISNUMBER(SEARCH("Var", D49)), 1, IF(ISNUMBER(SEARCH("Gri", D49)), -1, 0)))=1, VERI_TABANI!E27*(1-0.928)*0.00206091519919798*VERI_TABANI!G27, 0)) + ((MIN(VERI_TABANI!D28, VERI_TABANI!D28*B49)*VERI_TABANI!$B$7 + MAX(0, VERI_TABANI!D28*B49-VERI_TABANI!D28)*VERI_TABANI!$B$8) + (MIN(MAX(0, VERI_TABANI!D28-VERI_TABANI!D28*B49), VERI_TABANI!D28*C49)*VERI_TABANI!$B$7 + MAX(0, VERI_TABANI!D28*C49-MAX(0, VERI_TABANI!D28-VERI_TABANI!D28*B49))*VERI_TABANI!$B$8) + IF(ABS(IF(ISNUMBER(SEARCH("Var", D49)), 1, IF(ISNUMBER(SEARCH("Gri", D49)), -1, 0)))=1, VERI_TABANI!E28*(1-0.928)*VERI_TABANI!$B$9, 0) + (VERI_TABANI!D28*B49*(VERI_TABANI!$B$13-VERI_TABANI!$B$14)*VERI_TABANI!G28) + (VERI_TABANI!D28*C49*(VERI_TABANI!$B$13-VERI_TABANI!$B$15)*VERI_TABANI!G28) + IF(ABS(IF(ISNUMBER(SEARCH("Var", D49)), 1, IF(ISNUMBER(SEARCH("Gri", D49)), -1, 0)))=1, VERI_TABANI!E28*(1-0.928)*0.00206091519919798*VERI_TABANI!G28, 0)))</f>
        <v/>
      </c>
      <c r="H49" s="169">
        <f>(((VERI_TABANI!D23*B49*(VERI_TABANI!$B$13-VERI_TABANI!$B$14)) + (VERI_TABANI!D23*C49*(VERI_TABANI!$B$13-VERI_TABANI!$B$15)) + IF(ISNUMBER(SEARCH("Var", D49)), VERI_TABANI!F23*(0.00202-VERI_TABANI!$B$16), IF(ISNUMBER(SEARCH("Gri", D49)), VERI_TABANI!F23*(0.00202-VERI_TABANI!$B$17), 0))) + ((VERI_TABANI!D24*B49*(VERI_TABANI!$B$13-VERI_TABANI!$B$14)) + (VERI_TABANI!D24*C49*(VERI_TABANI!$B$13-VERI_TABANI!$B$15)) + IF(ISNUMBER(SEARCH("Var", D49)), VERI_TABANI!F24*(0.00202-VERI_TABANI!$B$16), IF(ISNUMBER(SEARCH("Gri", D49)), VERI_TABANI!F24*(0.00202-VERI_TABANI!$B$17), 0))) + ((VERI_TABANI!D25*B49*(VERI_TABANI!$B$13-VERI_TABANI!$B$14)) + (VERI_TABANI!D25*C49*(VERI_TABANI!$B$13-VERI_TABANI!$B$15)) + IF(ISNUMBER(SEARCH("Var", D49)), VERI_TABANI!F25*(0.00202-VERI_TABANI!$B$16), IF(ISNUMBER(SEARCH("Gri", D49)), VERI_TABANI!F25*(0.00202-VERI_TABANI!$B$17), 0))) + ((VERI_TABANI!D26*B49*(VERI_TABANI!$B$13-VERI_TABANI!$B$14)) + (VERI_TABANI!D26*C49*(VERI_TABANI!$B$13-VERI_TABANI!$B$15)) + IF(ISNUMBER(SEARCH("Var", D49)), VERI_TABANI!F26*(0.00202-VERI_TABANI!$B$16), IF(ISNUMBER(SEARCH("Gri", D49)), VERI_TABANI!F26*(0.00202-VERI_TABANI!$B$17), 0))) + ((VERI_TABANI!D27*B49*(VERI_TABANI!$B$13-VERI_TABANI!$B$14)) + (VERI_TABANI!D27*C49*(VERI_TABANI!$B$13-VERI_TABANI!$B$15)) + IF(ISNUMBER(SEARCH("Var", D49)), VERI_TABANI!F27*(0.00202-VERI_TABANI!$B$16), IF(ISNUMBER(SEARCH("Gri", D49)), VERI_TABANI!F27*(0.00202-VERI_TABANI!$B$17), 0))) + ((VERI_TABANI!D28*B49*(VERI_TABANI!$B$13-VERI_TABANI!$B$14)) + (VERI_TABANI!D28*C49*(VERI_TABANI!$B$13-VERI_TABANI!$B$15)) + IF(ISNUMBER(SEARCH("Var", D49)), VERI_TABANI!F28*(0.00202-VERI_TABANI!$B$16), IF(ISNUMBER(SEARCH("Gri", D49)), VERI_TABANI!F28*(0.00202-VERI_TABANI!$B$17), 0))))</f>
        <v/>
      </c>
      <c r="I49" s="170">
        <f>IFERROR(((VERI_TABANI!$D$29*B49*VERI_TABANI!$B$14 + VERI_TABANI!$D$29*C49*VERI_TABANI!$B$15 + IF(ISNUMBER(SEARCH("Var", D49)), VERI_TABANI!$F$29*VERI_TABANI!$B$16, 0))) / (((VERI_TABANI!$D$29*B49 + VERI_TABANI!$D$29*C49)*VERI_TABANI!$B$13 + IF(ISNUMBER(SEARCH("Var", D49)), VERI_TABANI!$E$29*(1-0.928)*VERI_TABANI!$B$18, 0))), 0)</f>
        <v/>
      </c>
      <c r="J49" s="171">
        <f>IFERROR(F49/(G49/29), 0)</f>
        <v/>
      </c>
      <c r="K49" s="172">
        <f>IF(F49&gt;0, H49/F49, 0)</f>
        <v/>
      </c>
      <c r="L49" s="170">
        <f>IF(F49&gt;0, I49, 1000000000)</f>
        <v/>
      </c>
      <c r="M49" s="171">
        <f>ABS((B49+C49)-1)</f>
        <v/>
      </c>
      <c r="N49" s="170">
        <f>IF(F49&gt;0, (G49/29)/F49, 0)</f>
        <v/>
      </c>
      <c r="O49" s="168">
        <f>IF(AND((B49+C49)&gt;=1, ISNUMBER(SEARCH("Var", D49))), F49, 1000000000)</f>
        <v/>
      </c>
      <c r="P49" s="172">
        <f>IF(F49&gt;0, SQRT((F49/MAX(F$5:F$886))^2 + (1 - H49/MAX(H$5:H$886))^2 + (J49/MAX(J$5:J$886))^2), 1000000000)</f>
        <v/>
      </c>
      <c r="Q49" s="166">
        <f>IF(AND(ABS(B49-0.5)&lt;0.01, ABS(C49-0.5)&lt;0.01, ISNUMBER(SEARCH("Var", D49))), 1, 0)</f>
        <v/>
      </c>
      <c r="R49" s="171">
        <f>IF(F49&gt;0, J49, 1000000000)</f>
        <v/>
      </c>
      <c r="S49" s="101">
        <f>IF(AND(F49&lt;=DASHBOARD!$B$11, H49&gt;=DASHBOARD!$B$13), G49, -1000000000000)</f>
        <v/>
      </c>
      <c r="T49" s="101">
        <f>IF(AND(F49&lt;=DASHBOARD!$B$11, H49&gt;=DASHBOARD!$B$13), R49, 1000000000000)</f>
        <v/>
      </c>
      <c r="U49" s="101">
        <f>IF(AND(F49&lt;=DASHBOARD!$B$11, H49&gt;=DASHBOARD!$B$13), N49, -1000000000000)</f>
        <v/>
      </c>
      <c r="V49" s="101">
        <f>IF(AND(F49&lt;=DASHBOARD!$B$11, H49&gt;=DASHBOARD!$B$13), H49, -1000000000000)</f>
        <v/>
      </c>
      <c r="W49" s="101">
        <f>IF(AND(F49&lt;=DASHBOARD!$B$11, H49&gt;=DASHBOARD!$B$13), K49, -1000000000000)</f>
        <v/>
      </c>
      <c r="X49" s="101">
        <f>IF(AND(F49&lt;=DASHBOARD!$B$11, H49&gt;=DASHBOARD!$B$13), M49, 1000000000000)</f>
        <v/>
      </c>
      <c r="Y49" s="101">
        <f>IF(AND(F49&lt;=DASHBOARD!$B$10, H49&gt;=DASHBOARD!$B$11), L49, 1000000000000)</f>
        <v/>
      </c>
      <c r="Z49" s="101">
        <f>IF(AND(F49&lt;=DASHBOARD!$B$10, H49&gt;=DASHBOARD!$B$11), O49, 1000000000000)</f>
        <v/>
      </c>
      <c r="AA49" s="101">
        <f>IF(AND(F49&lt;=DASHBOARD!$B$10, H49&gt;=DASHBOARD!$B$11), P49, 1000000000000)</f>
        <v/>
      </c>
      <c r="AB49" s="101">
        <f>IF(AND(F49&lt;=DASHBOARD!$B$10, H49&gt;=DASHBOARD!$B$11), Q49, -1000000000000)</f>
        <v/>
      </c>
    </row>
    <row r="50" ht="12.75" customHeight="1" s="102">
      <c r="A50" s="166" t="n">
        <v>46</v>
      </c>
      <c r="B50" s="167" t="n">
        <v>0.1</v>
      </c>
      <c r="C50" s="167" t="n">
        <v>0.1</v>
      </c>
      <c r="D50" s="110" t="inlineStr">
        <is>
          <t>Var (%20)</t>
        </is>
      </c>
      <c r="E50" s="110">
        <f>IF((B50+C50)&lt;=1, "Tam Mahsuplaşma (≤%100)", "Kısmi Satış (&gt;%100)")</f>
        <v/>
      </c>
      <c r="F50" s="168">
        <f>((VERI_TABANI!$D$29*B50/VERI_TABANI!$B$29)/VERI_TABANI!$B$3)*VERI_TABANI!$B$5 + ((VERI_TABANI!$D$29*C50/VERI_TABANI!$B$29)/VERI_TABANI!$B$4)*VERI_TABANI!$B$6 + IF(ISNUMBER(SEARCH("Var", D50)), (VERI_TABANI!$F$29/VERI_TABANI!$B$29)*(VERI_TABANI!$B$10+VERI_TABANI!$B$12), 0)</f>
        <v/>
      </c>
      <c r="G50" s="168">
        <f>(((MIN(VERI_TABANI!D23, VERI_TABANI!D23*B50)*VERI_TABANI!$B$7 + MAX(0, VERI_TABANI!D23*B50-VERI_TABANI!D23)*VERI_TABANI!$B$8) + (MIN(MAX(0, VERI_TABANI!D23-VERI_TABANI!D23*B50), VERI_TABANI!D23*C50)*VERI_TABANI!$B$7 + MAX(0, VERI_TABANI!D23*C50-MAX(0, VERI_TABANI!D23-VERI_TABANI!D23*B50))*VERI_TABANI!$B$8) + IF(ABS(IF(ISNUMBER(SEARCH("Var", D50)), 1, IF(ISNUMBER(SEARCH("Gri", D50)), -1, 0)))=1, VERI_TABANI!E23*(1-0.928)*VERI_TABANI!$B$9, 0) + (VERI_TABANI!D23*B50*(VERI_TABANI!$B$13-VERI_TABANI!$B$14)*VERI_TABANI!G23) + (VERI_TABANI!D23*C50*(VERI_TABANI!$B$13-VERI_TABANI!$B$15)*VERI_TABANI!G23) + IF(ABS(IF(ISNUMBER(SEARCH("Var", D50)), 1, IF(ISNUMBER(SEARCH("Gri", D50)), -1, 0)))=1, VERI_TABANI!E23*(1-0.928)*0.00206091519919798*VERI_TABANI!G23, 0)) + ((MIN(VERI_TABANI!D24, VERI_TABANI!D24*B50)*VERI_TABANI!$B$7 + MAX(0, VERI_TABANI!D24*B50-VERI_TABANI!D24)*VERI_TABANI!$B$8) + (MIN(MAX(0, VERI_TABANI!D24-VERI_TABANI!D24*B50), VERI_TABANI!D24*C50)*VERI_TABANI!$B$7 + MAX(0, VERI_TABANI!D24*C50-MAX(0, VERI_TABANI!D24-VERI_TABANI!D24*B50))*VERI_TABANI!$B$8) + IF(ABS(IF(ISNUMBER(SEARCH("Var", D50)), 1, IF(ISNUMBER(SEARCH("Gri", D50)), -1, 0)))=1, VERI_TABANI!E24*(1-0.928)*VERI_TABANI!$B$9, 0) + (VERI_TABANI!D24*B50*(VERI_TABANI!$B$13-VERI_TABANI!$B$14)*VERI_TABANI!G24) + (VERI_TABANI!D24*C50*(VERI_TABANI!$B$13-VERI_TABANI!$B$15)*VERI_TABANI!G24) + IF(ABS(IF(ISNUMBER(SEARCH("Var", D50)), 1, IF(ISNUMBER(SEARCH("Gri", D50)), -1, 0)))=1, VERI_TABANI!E24*(1-0.928)*0.00206091519919798*VERI_TABANI!G24, 0)) + ((MIN(VERI_TABANI!D25, VERI_TABANI!D25*B50)*VERI_TABANI!$B$7 + MAX(0, VERI_TABANI!D25*B50-VERI_TABANI!D25)*VERI_TABANI!$B$8) + (MIN(MAX(0, VERI_TABANI!D25-VERI_TABANI!D25*B50), VERI_TABANI!D25*C50)*VERI_TABANI!$B$7 + MAX(0, VERI_TABANI!D25*C50-MAX(0, VERI_TABANI!D25-VERI_TABANI!D25*B50))*VERI_TABANI!$B$8) + IF(ABS(IF(ISNUMBER(SEARCH("Var", D50)), 1, IF(ISNUMBER(SEARCH("Gri", D50)), -1, 0)))=1, VERI_TABANI!E25*(1-0.928)*VERI_TABANI!$B$9, 0) + (VERI_TABANI!D25*B50*(VERI_TABANI!$B$13-VERI_TABANI!$B$14)*VERI_TABANI!G25) + (VERI_TABANI!D25*C50*(VERI_TABANI!$B$13-VERI_TABANI!$B$15)*VERI_TABANI!G25) + IF(ABS(IF(ISNUMBER(SEARCH("Var", D50)), 1, IF(ISNUMBER(SEARCH("Gri", D50)), -1, 0)))=1, VERI_TABANI!E25*(1-0.928)*0.00206091519919798*VERI_TABANI!G25, 0)) + ((MIN(VERI_TABANI!D26, VERI_TABANI!D26*B50)*VERI_TABANI!$B$7 + MAX(0, VERI_TABANI!D26*B50-VERI_TABANI!D26)*VERI_TABANI!$B$8) + (MIN(MAX(0, VERI_TABANI!D26-VERI_TABANI!D26*B50), VERI_TABANI!D26*C50)*VERI_TABANI!$B$7 + MAX(0, VERI_TABANI!D26*C50-MAX(0, VERI_TABANI!D26-VERI_TABANI!D26*B50))*VERI_TABANI!$B$8) + IF(ABS(IF(ISNUMBER(SEARCH("Var", D50)), 1, IF(ISNUMBER(SEARCH("Gri", D50)), -1, 0)))=1, VERI_TABANI!E26*(1-0.928)*VERI_TABANI!$B$9, 0) + (VERI_TABANI!D26*B50*(VERI_TABANI!$B$13-VERI_TABANI!$B$14)*VERI_TABANI!G26) + (VERI_TABANI!D26*C50*(VERI_TABANI!$B$13-VERI_TABANI!$B$15)*VERI_TABANI!G26) + IF(ABS(IF(ISNUMBER(SEARCH("Var", D50)), 1, IF(ISNUMBER(SEARCH("Gri", D50)), -1, 0)))=1, VERI_TABANI!E26*(1-0.928)*0.00206091519919798*VERI_TABANI!G26, 0)) + ((MIN(VERI_TABANI!D27, VERI_TABANI!D27*B50)*VERI_TABANI!$B$7 + MAX(0, VERI_TABANI!D27*B50-VERI_TABANI!D27)*VERI_TABANI!$B$8) + (MIN(MAX(0, VERI_TABANI!D27-VERI_TABANI!D27*B50), VERI_TABANI!D27*C50)*VERI_TABANI!$B$7 + MAX(0, VERI_TABANI!D27*C50-MAX(0, VERI_TABANI!D27-VERI_TABANI!D27*B50))*VERI_TABANI!$B$8) + IF(ABS(IF(ISNUMBER(SEARCH("Var", D50)), 1, IF(ISNUMBER(SEARCH("Gri", D50)), -1, 0)))=1, VERI_TABANI!E27*(1-0.928)*VERI_TABANI!$B$9, 0) + (VERI_TABANI!D27*B50*(VERI_TABANI!$B$13-VERI_TABANI!$B$14)*VERI_TABANI!G27) + (VERI_TABANI!D27*C50*(VERI_TABANI!$B$13-VERI_TABANI!$B$15)*VERI_TABANI!G27) + IF(ABS(IF(ISNUMBER(SEARCH("Var", D50)), 1, IF(ISNUMBER(SEARCH("Gri", D50)), -1, 0)))=1, VERI_TABANI!E27*(1-0.928)*0.00206091519919798*VERI_TABANI!G27, 0)) + ((MIN(VERI_TABANI!D28, VERI_TABANI!D28*B50)*VERI_TABANI!$B$7 + MAX(0, VERI_TABANI!D28*B50-VERI_TABANI!D28)*VERI_TABANI!$B$8) + (MIN(MAX(0, VERI_TABANI!D28-VERI_TABANI!D28*B50), VERI_TABANI!D28*C50)*VERI_TABANI!$B$7 + MAX(0, VERI_TABANI!D28*C50-MAX(0, VERI_TABANI!D28-VERI_TABANI!D28*B50))*VERI_TABANI!$B$8) + IF(ABS(IF(ISNUMBER(SEARCH("Var", D50)), 1, IF(ISNUMBER(SEARCH("Gri", D50)), -1, 0)))=1, VERI_TABANI!E28*(1-0.928)*VERI_TABANI!$B$9, 0) + (VERI_TABANI!D28*B50*(VERI_TABANI!$B$13-VERI_TABANI!$B$14)*VERI_TABANI!G28) + (VERI_TABANI!D28*C50*(VERI_TABANI!$B$13-VERI_TABANI!$B$15)*VERI_TABANI!G28) + IF(ABS(IF(ISNUMBER(SEARCH("Var", D50)), 1, IF(ISNUMBER(SEARCH("Gri", D50)), -1, 0)))=1, VERI_TABANI!E28*(1-0.928)*0.00206091519919798*VERI_TABANI!G28, 0)))</f>
        <v/>
      </c>
      <c r="H50" s="169">
        <f>(((VERI_TABANI!D23*B50*(VERI_TABANI!$B$13-VERI_TABANI!$B$14)) + (VERI_TABANI!D23*C50*(VERI_TABANI!$B$13-VERI_TABANI!$B$15)) + IF(ISNUMBER(SEARCH("Var", D50)), VERI_TABANI!F23*(0.00202-VERI_TABANI!$B$16), IF(ISNUMBER(SEARCH("Gri", D50)), VERI_TABANI!F23*(0.00202-VERI_TABANI!$B$17), 0))) + ((VERI_TABANI!D24*B50*(VERI_TABANI!$B$13-VERI_TABANI!$B$14)) + (VERI_TABANI!D24*C50*(VERI_TABANI!$B$13-VERI_TABANI!$B$15)) + IF(ISNUMBER(SEARCH("Var", D50)), VERI_TABANI!F24*(0.00202-VERI_TABANI!$B$16), IF(ISNUMBER(SEARCH("Gri", D50)), VERI_TABANI!F24*(0.00202-VERI_TABANI!$B$17), 0))) + ((VERI_TABANI!D25*B50*(VERI_TABANI!$B$13-VERI_TABANI!$B$14)) + (VERI_TABANI!D25*C50*(VERI_TABANI!$B$13-VERI_TABANI!$B$15)) + IF(ISNUMBER(SEARCH("Var", D50)), VERI_TABANI!F25*(0.00202-VERI_TABANI!$B$16), IF(ISNUMBER(SEARCH("Gri", D50)), VERI_TABANI!F25*(0.00202-VERI_TABANI!$B$17), 0))) + ((VERI_TABANI!D26*B50*(VERI_TABANI!$B$13-VERI_TABANI!$B$14)) + (VERI_TABANI!D26*C50*(VERI_TABANI!$B$13-VERI_TABANI!$B$15)) + IF(ISNUMBER(SEARCH("Var", D50)), VERI_TABANI!F26*(0.00202-VERI_TABANI!$B$16), IF(ISNUMBER(SEARCH("Gri", D50)), VERI_TABANI!F26*(0.00202-VERI_TABANI!$B$17), 0))) + ((VERI_TABANI!D27*B50*(VERI_TABANI!$B$13-VERI_TABANI!$B$14)) + (VERI_TABANI!D27*C50*(VERI_TABANI!$B$13-VERI_TABANI!$B$15)) + IF(ISNUMBER(SEARCH("Var", D50)), VERI_TABANI!F27*(0.00202-VERI_TABANI!$B$16), IF(ISNUMBER(SEARCH("Gri", D50)), VERI_TABANI!F27*(0.00202-VERI_TABANI!$B$17), 0))) + ((VERI_TABANI!D28*B50*(VERI_TABANI!$B$13-VERI_TABANI!$B$14)) + (VERI_TABANI!D28*C50*(VERI_TABANI!$B$13-VERI_TABANI!$B$15)) + IF(ISNUMBER(SEARCH("Var", D50)), VERI_TABANI!F28*(0.00202-VERI_TABANI!$B$16), IF(ISNUMBER(SEARCH("Gri", D50)), VERI_TABANI!F28*(0.00202-VERI_TABANI!$B$17), 0))))</f>
        <v/>
      </c>
      <c r="I50" s="170">
        <f>IFERROR(((VERI_TABANI!$D$29*B50*VERI_TABANI!$B$14 + VERI_TABANI!$D$29*C50*VERI_TABANI!$B$15 + IF(ISNUMBER(SEARCH("Var", D50)), VERI_TABANI!$F$29*VERI_TABANI!$B$16, 0))) / (((VERI_TABANI!$D$29*B50 + VERI_TABANI!$D$29*C50)*VERI_TABANI!$B$13 + IF(ISNUMBER(SEARCH("Var", D50)), VERI_TABANI!$E$29*(1-0.928)*VERI_TABANI!$B$18, 0))), 0)</f>
        <v/>
      </c>
      <c r="J50" s="171">
        <f>IFERROR(F50/(G50/29), 0)</f>
        <v/>
      </c>
      <c r="K50" s="172">
        <f>IF(F50&gt;0, H50/F50, 0)</f>
        <v/>
      </c>
      <c r="L50" s="170">
        <f>IF(F50&gt;0, I50, 1000000000)</f>
        <v/>
      </c>
      <c r="M50" s="171">
        <f>ABS((B50+C50)-1)</f>
        <v/>
      </c>
      <c r="N50" s="170">
        <f>IF(F50&gt;0, (G50/29)/F50, 0)</f>
        <v/>
      </c>
      <c r="O50" s="168">
        <f>IF(AND((B50+C50)&gt;=1, ISNUMBER(SEARCH("Var", D50))), F50, 1000000000)</f>
        <v/>
      </c>
      <c r="P50" s="172">
        <f>IF(F50&gt;0, SQRT((F50/MAX(F$5:F$886))^2 + (1 - H50/MAX(H$5:H$886))^2 + (J50/MAX(J$5:J$886))^2), 1000000000)</f>
        <v/>
      </c>
      <c r="Q50" s="166">
        <f>IF(AND(ABS(B50-0.5)&lt;0.01, ABS(C50-0.5)&lt;0.01, ISNUMBER(SEARCH("Var", D50))), 1, 0)</f>
        <v/>
      </c>
      <c r="R50" s="171">
        <f>IF(F50&gt;0, J50, 1000000000)</f>
        <v/>
      </c>
      <c r="S50" s="101">
        <f>IF(AND(F50&lt;=DASHBOARD!$B$11, H50&gt;=DASHBOARD!$B$13), G50, -1000000000000)</f>
        <v/>
      </c>
      <c r="T50" s="101">
        <f>IF(AND(F50&lt;=DASHBOARD!$B$11, H50&gt;=DASHBOARD!$B$13), R50, 1000000000000)</f>
        <v/>
      </c>
      <c r="U50" s="101">
        <f>IF(AND(F50&lt;=DASHBOARD!$B$11, H50&gt;=DASHBOARD!$B$13), N50, -1000000000000)</f>
        <v/>
      </c>
      <c r="V50" s="101">
        <f>IF(AND(F50&lt;=DASHBOARD!$B$11, H50&gt;=DASHBOARD!$B$13), H50, -1000000000000)</f>
        <v/>
      </c>
      <c r="W50" s="101">
        <f>IF(AND(F50&lt;=DASHBOARD!$B$11, H50&gt;=DASHBOARD!$B$13), K50, -1000000000000)</f>
        <v/>
      </c>
      <c r="X50" s="101">
        <f>IF(AND(F50&lt;=DASHBOARD!$B$11, H50&gt;=DASHBOARD!$B$13), M50, 1000000000000)</f>
        <v/>
      </c>
      <c r="Y50" s="101">
        <f>IF(AND(F50&lt;=DASHBOARD!$B$10, H50&gt;=DASHBOARD!$B$11), L50, 1000000000000)</f>
        <v/>
      </c>
      <c r="Z50" s="101">
        <f>IF(AND(F50&lt;=DASHBOARD!$B$10, H50&gt;=DASHBOARD!$B$11), O50, 1000000000000)</f>
        <v/>
      </c>
      <c r="AA50" s="101">
        <f>IF(AND(F50&lt;=DASHBOARD!$B$10, H50&gt;=DASHBOARD!$B$11), P50, 1000000000000)</f>
        <v/>
      </c>
      <c r="AB50" s="101">
        <f>IF(AND(F50&lt;=DASHBOARD!$B$10, H50&gt;=DASHBOARD!$B$11), Q50, -1000000000000)</f>
        <v/>
      </c>
    </row>
    <row r="51" ht="12.75" customHeight="1" s="102">
      <c r="A51" s="166" t="n">
        <v>47</v>
      </c>
      <c r="B51" s="167" t="n">
        <v>0.1</v>
      </c>
      <c r="C51" s="167" t="n">
        <v>0.2</v>
      </c>
      <c r="D51" s="110" t="inlineStr">
        <is>
          <t>Yok (%0)</t>
        </is>
      </c>
      <c r="E51" s="110">
        <f>IF((B51+C51)&lt;=1, "Tam Mahsuplaşma (≤%100)", "Kısmi Satış (&gt;%100)")</f>
        <v/>
      </c>
      <c r="F51" s="168">
        <f>((VERI_TABANI!$D$29*B51/VERI_TABANI!$B$29)/VERI_TABANI!$B$3)*VERI_TABANI!$B$5 + ((VERI_TABANI!$D$29*C51/VERI_TABANI!$B$29)/VERI_TABANI!$B$4)*VERI_TABANI!$B$6 + IF(ISNUMBER(SEARCH("Var", D51)), (VERI_TABANI!$F$29/VERI_TABANI!$B$29)*(VERI_TABANI!$B$10+VERI_TABANI!$B$12), 0)</f>
        <v/>
      </c>
      <c r="G51" s="168">
        <f>(((MIN(VERI_TABANI!D23, VERI_TABANI!D23*B51)*VERI_TABANI!$B$7 + MAX(0, VERI_TABANI!D23*B51-VERI_TABANI!D23)*VERI_TABANI!$B$8) + (MIN(MAX(0, VERI_TABANI!D23-VERI_TABANI!D23*B51), VERI_TABANI!D23*C51)*VERI_TABANI!$B$7 + MAX(0, VERI_TABANI!D23*C51-MAX(0, VERI_TABANI!D23-VERI_TABANI!D23*B51))*VERI_TABANI!$B$8) + IF(ABS(IF(ISNUMBER(SEARCH("Var", D51)), 1, IF(ISNUMBER(SEARCH("Gri", D51)), -1, 0)))=1, VERI_TABANI!E23*(1-0.928)*VERI_TABANI!$B$9, 0) + (VERI_TABANI!D23*B51*(VERI_TABANI!$B$13-VERI_TABANI!$B$14)*VERI_TABANI!G23) + (VERI_TABANI!D23*C51*(VERI_TABANI!$B$13-VERI_TABANI!$B$15)*VERI_TABANI!G23) + IF(ABS(IF(ISNUMBER(SEARCH("Var", D51)), 1, IF(ISNUMBER(SEARCH("Gri", D51)), -1, 0)))=1, VERI_TABANI!E23*(1-0.928)*0.00206091519919798*VERI_TABANI!G23, 0)) + ((MIN(VERI_TABANI!D24, VERI_TABANI!D24*B51)*VERI_TABANI!$B$7 + MAX(0, VERI_TABANI!D24*B51-VERI_TABANI!D24)*VERI_TABANI!$B$8) + (MIN(MAX(0, VERI_TABANI!D24-VERI_TABANI!D24*B51), VERI_TABANI!D24*C51)*VERI_TABANI!$B$7 + MAX(0, VERI_TABANI!D24*C51-MAX(0, VERI_TABANI!D24-VERI_TABANI!D24*B51))*VERI_TABANI!$B$8) + IF(ABS(IF(ISNUMBER(SEARCH("Var", D51)), 1, IF(ISNUMBER(SEARCH("Gri", D51)), -1, 0)))=1, VERI_TABANI!E24*(1-0.928)*VERI_TABANI!$B$9, 0) + (VERI_TABANI!D24*B51*(VERI_TABANI!$B$13-VERI_TABANI!$B$14)*VERI_TABANI!G24) + (VERI_TABANI!D24*C51*(VERI_TABANI!$B$13-VERI_TABANI!$B$15)*VERI_TABANI!G24) + IF(ABS(IF(ISNUMBER(SEARCH("Var", D51)), 1, IF(ISNUMBER(SEARCH("Gri", D51)), -1, 0)))=1, VERI_TABANI!E24*(1-0.928)*0.00206091519919798*VERI_TABANI!G24, 0)) + ((MIN(VERI_TABANI!D25, VERI_TABANI!D25*B51)*VERI_TABANI!$B$7 + MAX(0, VERI_TABANI!D25*B51-VERI_TABANI!D25)*VERI_TABANI!$B$8) + (MIN(MAX(0, VERI_TABANI!D25-VERI_TABANI!D25*B51), VERI_TABANI!D25*C51)*VERI_TABANI!$B$7 + MAX(0, VERI_TABANI!D25*C51-MAX(0, VERI_TABANI!D25-VERI_TABANI!D25*B51))*VERI_TABANI!$B$8) + IF(ABS(IF(ISNUMBER(SEARCH("Var", D51)), 1, IF(ISNUMBER(SEARCH("Gri", D51)), -1, 0)))=1, VERI_TABANI!E25*(1-0.928)*VERI_TABANI!$B$9, 0) + (VERI_TABANI!D25*B51*(VERI_TABANI!$B$13-VERI_TABANI!$B$14)*VERI_TABANI!G25) + (VERI_TABANI!D25*C51*(VERI_TABANI!$B$13-VERI_TABANI!$B$15)*VERI_TABANI!G25) + IF(ABS(IF(ISNUMBER(SEARCH("Var", D51)), 1, IF(ISNUMBER(SEARCH("Gri", D51)), -1, 0)))=1, VERI_TABANI!E25*(1-0.928)*0.00206091519919798*VERI_TABANI!G25, 0)) + ((MIN(VERI_TABANI!D26, VERI_TABANI!D26*B51)*VERI_TABANI!$B$7 + MAX(0, VERI_TABANI!D26*B51-VERI_TABANI!D26)*VERI_TABANI!$B$8) + (MIN(MAX(0, VERI_TABANI!D26-VERI_TABANI!D26*B51), VERI_TABANI!D26*C51)*VERI_TABANI!$B$7 + MAX(0, VERI_TABANI!D26*C51-MAX(0, VERI_TABANI!D26-VERI_TABANI!D26*B51))*VERI_TABANI!$B$8) + IF(ABS(IF(ISNUMBER(SEARCH("Var", D51)), 1, IF(ISNUMBER(SEARCH("Gri", D51)), -1, 0)))=1, VERI_TABANI!E26*(1-0.928)*VERI_TABANI!$B$9, 0) + (VERI_TABANI!D26*B51*(VERI_TABANI!$B$13-VERI_TABANI!$B$14)*VERI_TABANI!G26) + (VERI_TABANI!D26*C51*(VERI_TABANI!$B$13-VERI_TABANI!$B$15)*VERI_TABANI!G26) + IF(ABS(IF(ISNUMBER(SEARCH("Var", D51)), 1, IF(ISNUMBER(SEARCH("Gri", D51)), -1, 0)))=1, VERI_TABANI!E26*(1-0.928)*0.00206091519919798*VERI_TABANI!G26, 0)) + ((MIN(VERI_TABANI!D27, VERI_TABANI!D27*B51)*VERI_TABANI!$B$7 + MAX(0, VERI_TABANI!D27*B51-VERI_TABANI!D27)*VERI_TABANI!$B$8) + (MIN(MAX(0, VERI_TABANI!D27-VERI_TABANI!D27*B51), VERI_TABANI!D27*C51)*VERI_TABANI!$B$7 + MAX(0, VERI_TABANI!D27*C51-MAX(0, VERI_TABANI!D27-VERI_TABANI!D27*B51))*VERI_TABANI!$B$8) + IF(ABS(IF(ISNUMBER(SEARCH("Var", D51)), 1, IF(ISNUMBER(SEARCH("Gri", D51)), -1, 0)))=1, VERI_TABANI!E27*(1-0.928)*VERI_TABANI!$B$9, 0) + (VERI_TABANI!D27*B51*(VERI_TABANI!$B$13-VERI_TABANI!$B$14)*VERI_TABANI!G27) + (VERI_TABANI!D27*C51*(VERI_TABANI!$B$13-VERI_TABANI!$B$15)*VERI_TABANI!G27) + IF(ABS(IF(ISNUMBER(SEARCH("Var", D51)), 1, IF(ISNUMBER(SEARCH("Gri", D51)), -1, 0)))=1, VERI_TABANI!E27*(1-0.928)*0.00206091519919798*VERI_TABANI!G27, 0)) + ((MIN(VERI_TABANI!D28, VERI_TABANI!D28*B51)*VERI_TABANI!$B$7 + MAX(0, VERI_TABANI!D28*B51-VERI_TABANI!D28)*VERI_TABANI!$B$8) + (MIN(MAX(0, VERI_TABANI!D28-VERI_TABANI!D28*B51), VERI_TABANI!D28*C51)*VERI_TABANI!$B$7 + MAX(0, VERI_TABANI!D28*C51-MAX(0, VERI_TABANI!D28-VERI_TABANI!D28*B51))*VERI_TABANI!$B$8) + IF(ABS(IF(ISNUMBER(SEARCH("Var", D51)), 1, IF(ISNUMBER(SEARCH("Gri", D51)), -1, 0)))=1, VERI_TABANI!E28*(1-0.928)*VERI_TABANI!$B$9, 0) + (VERI_TABANI!D28*B51*(VERI_TABANI!$B$13-VERI_TABANI!$B$14)*VERI_TABANI!G28) + (VERI_TABANI!D28*C51*(VERI_TABANI!$B$13-VERI_TABANI!$B$15)*VERI_TABANI!G28) + IF(ABS(IF(ISNUMBER(SEARCH("Var", D51)), 1, IF(ISNUMBER(SEARCH("Gri", D51)), -1, 0)))=1, VERI_TABANI!E28*(1-0.928)*0.00206091519919798*VERI_TABANI!G28, 0)))</f>
        <v/>
      </c>
      <c r="H51" s="169">
        <f>(((VERI_TABANI!D23*B51*(VERI_TABANI!$B$13-VERI_TABANI!$B$14)) + (VERI_TABANI!D23*C51*(VERI_TABANI!$B$13-VERI_TABANI!$B$15)) + IF(ISNUMBER(SEARCH("Var", D51)), VERI_TABANI!F23*(0.00202-VERI_TABANI!$B$16), IF(ISNUMBER(SEARCH("Gri", D51)), VERI_TABANI!F23*(0.00202-VERI_TABANI!$B$17), 0))) + ((VERI_TABANI!D24*B51*(VERI_TABANI!$B$13-VERI_TABANI!$B$14)) + (VERI_TABANI!D24*C51*(VERI_TABANI!$B$13-VERI_TABANI!$B$15)) + IF(ISNUMBER(SEARCH("Var", D51)), VERI_TABANI!F24*(0.00202-VERI_TABANI!$B$16), IF(ISNUMBER(SEARCH("Gri", D51)), VERI_TABANI!F24*(0.00202-VERI_TABANI!$B$17), 0))) + ((VERI_TABANI!D25*B51*(VERI_TABANI!$B$13-VERI_TABANI!$B$14)) + (VERI_TABANI!D25*C51*(VERI_TABANI!$B$13-VERI_TABANI!$B$15)) + IF(ISNUMBER(SEARCH("Var", D51)), VERI_TABANI!F25*(0.00202-VERI_TABANI!$B$16), IF(ISNUMBER(SEARCH("Gri", D51)), VERI_TABANI!F25*(0.00202-VERI_TABANI!$B$17), 0))) + ((VERI_TABANI!D26*B51*(VERI_TABANI!$B$13-VERI_TABANI!$B$14)) + (VERI_TABANI!D26*C51*(VERI_TABANI!$B$13-VERI_TABANI!$B$15)) + IF(ISNUMBER(SEARCH("Var", D51)), VERI_TABANI!F26*(0.00202-VERI_TABANI!$B$16), IF(ISNUMBER(SEARCH("Gri", D51)), VERI_TABANI!F26*(0.00202-VERI_TABANI!$B$17), 0))) + ((VERI_TABANI!D27*B51*(VERI_TABANI!$B$13-VERI_TABANI!$B$14)) + (VERI_TABANI!D27*C51*(VERI_TABANI!$B$13-VERI_TABANI!$B$15)) + IF(ISNUMBER(SEARCH("Var", D51)), VERI_TABANI!F27*(0.00202-VERI_TABANI!$B$16), IF(ISNUMBER(SEARCH("Gri", D51)), VERI_TABANI!F27*(0.00202-VERI_TABANI!$B$17), 0))) + ((VERI_TABANI!D28*B51*(VERI_TABANI!$B$13-VERI_TABANI!$B$14)) + (VERI_TABANI!D28*C51*(VERI_TABANI!$B$13-VERI_TABANI!$B$15)) + IF(ISNUMBER(SEARCH("Var", D51)), VERI_TABANI!F28*(0.00202-VERI_TABANI!$B$16), IF(ISNUMBER(SEARCH("Gri", D51)), VERI_TABANI!F28*(0.00202-VERI_TABANI!$B$17), 0))))</f>
        <v/>
      </c>
      <c r="I51" s="170">
        <f>IFERROR(((VERI_TABANI!$D$29*B51*VERI_TABANI!$B$14 + VERI_TABANI!$D$29*C51*VERI_TABANI!$B$15 + IF(ISNUMBER(SEARCH("Var", D51)), VERI_TABANI!$F$29*VERI_TABANI!$B$16, 0))) / (((VERI_TABANI!$D$29*B51 + VERI_TABANI!$D$29*C51)*VERI_TABANI!$B$13 + IF(ISNUMBER(SEARCH("Var", D51)), VERI_TABANI!$E$29*(1-0.928)*VERI_TABANI!$B$18, 0))), 0)</f>
        <v/>
      </c>
      <c r="J51" s="171">
        <f>IFERROR(F51/(G51/29), 0)</f>
        <v/>
      </c>
      <c r="K51" s="172">
        <f>IF(F51&gt;0, H51/F51, 0)</f>
        <v/>
      </c>
      <c r="L51" s="170">
        <f>IF(F51&gt;0, I51, 1000000000)</f>
        <v/>
      </c>
      <c r="M51" s="171">
        <f>ABS((B51+C51)-1)</f>
        <v/>
      </c>
      <c r="N51" s="170">
        <f>IF(F51&gt;0, (G51/29)/F51, 0)</f>
        <v/>
      </c>
      <c r="O51" s="168">
        <f>IF(AND((B51+C51)&gt;=1, ISNUMBER(SEARCH("Var", D51))), F51, 1000000000)</f>
        <v/>
      </c>
      <c r="P51" s="172">
        <f>IF(F51&gt;0, SQRT((F51/MAX(F$5:F$886))^2 + (1 - H51/MAX(H$5:H$886))^2 + (J51/MAX(J$5:J$886))^2), 1000000000)</f>
        <v/>
      </c>
      <c r="Q51" s="166">
        <f>IF(AND(ABS(B51-0.5)&lt;0.01, ABS(C51-0.5)&lt;0.01, ISNUMBER(SEARCH("Var", D51))), 1, 0)</f>
        <v/>
      </c>
      <c r="R51" s="171">
        <f>IF(F51&gt;0, J51, 1000000000)</f>
        <v/>
      </c>
      <c r="S51" s="101">
        <f>IF(AND(F51&lt;=DASHBOARD!$B$11, H51&gt;=DASHBOARD!$B$13), G51, -1000000000000)</f>
        <v/>
      </c>
      <c r="T51" s="101">
        <f>IF(AND(F51&lt;=DASHBOARD!$B$11, H51&gt;=DASHBOARD!$B$13), R51, 1000000000000)</f>
        <v/>
      </c>
      <c r="U51" s="101">
        <f>IF(AND(F51&lt;=DASHBOARD!$B$11, H51&gt;=DASHBOARD!$B$13), N51, -1000000000000)</f>
        <v/>
      </c>
      <c r="V51" s="101">
        <f>IF(AND(F51&lt;=DASHBOARD!$B$11, H51&gt;=DASHBOARD!$B$13), H51, -1000000000000)</f>
        <v/>
      </c>
      <c r="W51" s="101">
        <f>IF(AND(F51&lt;=DASHBOARD!$B$11, H51&gt;=DASHBOARD!$B$13), K51, -1000000000000)</f>
        <v/>
      </c>
      <c r="X51" s="101">
        <f>IF(AND(F51&lt;=DASHBOARD!$B$11, H51&gt;=DASHBOARD!$B$13), M51, 1000000000000)</f>
        <v/>
      </c>
      <c r="Y51" s="101">
        <f>IF(AND(F51&lt;=DASHBOARD!$B$10, H51&gt;=DASHBOARD!$B$11), L51, 1000000000000)</f>
        <v/>
      </c>
      <c r="Z51" s="101">
        <f>IF(AND(F51&lt;=DASHBOARD!$B$10, H51&gt;=DASHBOARD!$B$11), O51, 1000000000000)</f>
        <v/>
      </c>
      <c r="AA51" s="101">
        <f>IF(AND(F51&lt;=DASHBOARD!$B$10, H51&gt;=DASHBOARD!$B$11), P51, 1000000000000)</f>
        <v/>
      </c>
      <c r="AB51" s="101">
        <f>IF(AND(F51&lt;=DASHBOARD!$B$10, H51&gt;=DASHBOARD!$B$11), Q51, -1000000000000)</f>
        <v/>
      </c>
    </row>
    <row r="52" ht="12.75" customHeight="1" s="102">
      <c r="A52" s="166" t="n">
        <v>48</v>
      </c>
      <c r="B52" s="167" t="n">
        <v>0.1</v>
      </c>
      <c r="C52" s="167" t="n">
        <v>0.2</v>
      </c>
      <c r="D52" s="110" t="inlineStr">
        <is>
          <t>Var (%20)</t>
        </is>
      </c>
      <c r="E52" s="110">
        <f>IF((B52+C52)&lt;=1, "Tam Mahsuplaşma (≤%100)", "Kısmi Satış (&gt;%100)")</f>
        <v/>
      </c>
      <c r="F52" s="168">
        <f>((VERI_TABANI!$D$29*B52/VERI_TABANI!$B$29)/VERI_TABANI!$B$3)*VERI_TABANI!$B$5 + ((VERI_TABANI!$D$29*C52/VERI_TABANI!$B$29)/VERI_TABANI!$B$4)*VERI_TABANI!$B$6 + IF(ISNUMBER(SEARCH("Var", D52)), (VERI_TABANI!$F$29/VERI_TABANI!$B$29)*(VERI_TABANI!$B$10+VERI_TABANI!$B$12), 0)</f>
        <v/>
      </c>
      <c r="G52" s="168">
        <f>(((MIN(VERI_TABANI!D23, VERI_TABANI!D23*B52)*VERI_TABANI!$B$7 + MAX(0, VERI_TABANI!D23*B52-VERI_TABANI!D23)*VERI_TABANI!$B$8) + (MIN(MAX(0, VERI_TABANI!D23-VERI_TABANI!D23*B52), VERI_TABANI!D23*C52)*VERI_TABANI!$B$7 + MAX(0, VERI_TABANI!D23*C52-MAX(0, VERI_TABANI!D23-VERI_TABANI!D23*B52))*VERI_TABANI!$B$8) + IF(ABS(IF(ISNUMBER(SEARCH("Var", D52)), 1, IF(ISNUMBER(SEARCH("Gri", D52)), -1, 0)))=1, VERI_TABANI!E23*(1-0.928)*VERI_TABANI!$B$9, 0) + (VERI_TABANI!D23*B52*(VERI_TABANI!$B$13-VERI_TABANI!$B$14)*VERI_TABANI!G23) + (VERI_TABANI!D23*C52*(VERI_TABANI!$B$13-VERI_TABANI!$B$15)*VERI_TABANI!G23) + IF(ABS(IF(ISNUMBER(SEARCH("Var", D52)), 1, IF(ISNUMBER(SEARCH("Gri", D52)), -1, 0)))=1, VERI_TABANI!E23*(1-0.928)*0.00206091519919798*VERI_TABANI!G23, 0)) + ((MIN(VERI_TABANI!D24, VERI_TABANI!D24*B52)*VERI_TABANI!$B$7 + MAX(0, VERI_TABANI!D24*B52-VERI_TABANI!D24)*VERI_TABANI!$B$8) + (MIN(MAX(0, VERI_TABANI!D24-VERI_TABANI!D24*B52), VERI_TABANI!D24*C52)*VERI_TABANI!$B$7 + MAX(0, VERI_TABANI!D24*C52-MAX(0, VERI_TABANI!D24-VERI_TABANI!D24*B52))*VERI_TABANI!$B$8) + IF(ABS(IF(ISNUMBER(SEARCH("Var", D52)), 1, IF(ISNUMBER(SEARCH("Gri", D52)), -1, 0)))=1, VERI_TABANI!E24*(1-0.928)*VERI_TABANI!$B$9, 0) + (VERI_TABANI!D24*B52*(VERI_TABANI!$B$13-VERI_TABANI!$B$14)*VERI_TABANI!G24) + (VERI_TABANI!D24*C52*(VERI_TABANI!$B$13-VERI_TABANI!$B$15)*VERI_TABANI!G24) + IF(ABS(IF(ISNUMBER(SEARCH("Var", D52)), 1, IF(ISNUMBER(SEARCH("Gri", D52)), -1, 0)))=1, VERI_TABANI!E24*(1-0.928)*0.00206091519919798*VERI_TABANI!G24, 0)) + ((MIN(VERI_TABANI!D25, VERI_TABANI!D25*B52)*VERI_TABANI!$B$7 + MAX(0, VERI_TABANI!D25*B52-VERI_TABANI!D25)*VERI_TABANI!$B$8) + (MIN(MAX(0, VERI_TABANI!D25-VERI_TABANI!D25*B52), VERI_TABANI!D25*C52)*VERI_TABANI!$B$7 + MAX(0, VERI_TABANI!D25*C52-MAX(0, VERI_TABANI!D25-VERI_TABANI!D25*B52))*VERI_TABANI!$B$8) + IF(ABS(IF(ISNUMBER(SEARCH("Var", D52)), 1, IF(ISNUMBER(SEARCH("Gri", D52)), -1, 0)))=1, VERI_TABANI!E25*(1-0.928)*VERI_TABANI!$B$9, 0) + (VERI_TABANI!D25*B52*(VERI_TABANI!$B$13-VERI_TABANI!$B$14)*VERI_TABANI!G25) + (VERI_TABANI!D25*C52*(VERI_TABANI!$B$13-VERI_TABANI!$B$15)*VERI_TABANI!G25) + IF(ABS(IF(ISNUMBER(SEARCH("Var", D52)), 1, IF(ISNUMBER(SEARCH("Gri", D52)), -1, 0)))=1, VERI_TABANI!E25*(1-0.928)*0.00206091519919798*VERI_TABANI!G25, 0)) + ((MIN(VERI_TABANI!D26, VERI_TABANI!D26*B52)*VERI_TABANI!$B$7 + MAX(0, VERI_TABANI!D26*B52-VERI_TABANI!D26)*VERI_TABANI!$B$8) + (MIN(MAX(0, VERI_TABANI!D26-VERI_TABANI!D26*B52), VERI_TABANI!D26*C52)*VERI_TABANI!$B$7 + MAX(0, VERI_TABANI!D26*C52-MAX(0, VERI_TABANI!D26-VERI_TABANI!D26*B52))*VERI_TABANI!$B$8) + IF(ABS(IF(ISNUMBER(SEARCH("Var", D52)), 1, IF(ISNUMBER(SEARCH("Gri", D52)), -1, 0)))=1, VERI_TABANI!E26*(1-0.928)*VERI_TABANI!$B$9, 0) + (VERI_TABANI!D26*B52*(VERI_TABANI!$B$13-VERI_TABANI!$B$14)*VERI_TABANI!G26) + (VERI_TABANI!D26*C52*(VERI_TABANI!$B$13-VERI_TABANI!$B$15)*VERI_TABANI!G26) + IF(ABS(IF(ISNUMBER(SEARCH("Var", D52)), 1, IF(ISNUMBER(SEARCH("Gri", D52)), -1, 0)))=1, VERI_TABANI!E26*(1-0.928)*0.00206091519919798*VERI_TABANI!G26, 0)) + ((MIN(VERI_TABANI!D27, VERI_TABANI!D27*B52)*VERI_TABANI!$B$7 + MAX(0, VERI_TABANI!D27*B52-VERI_TABANI!D27)*VERI_TABANI!$B$8) + (MIN(MAX(0, VERI_TABANI!D27-VERI_TABANI!D27*B52), VERI_TABANI!D27*C52)*VERI_TABANI!$B$7 + MAX(0, VERI_TABANI!D27*C52-MAX(0, VERI_TABANI!D27-VERI_TABANI!D27*B52))*VERI_TABANI!$B$8) + IF(ABS(IF(ISNUMBER(SEARCH("Var", D52)), 1, IF(ISNUMBER(SEARCH("Gri", D52)), -1, 0)))=1, VERI_TABANI!E27*(1-0.928)*VERI_TABANI!$B$9, 0) + (VERI_TABANI!D27*B52*(VERI_TABANI!$B$13-VERI_TABANI!$B$14)*VERI_TABANI!G27) + (VERI_TABANI!D27*C52*(VERI_TABANI!$B$13-VERI_TABANI!$B$15)*VERI_TABANI!G27) + IF(ABS(IF(ISNUMBER(SEARCH("Var", D52)), 1, IF(ISNUMBER(SEARCH("Gri", D52)), -1, 0)))=1, VERI_TABANI!E27*(1-0.928)*0.00206091519919798*VERI_TABANI!G27, 0)) + ((MIN(VERI_TABANI!D28, VERI_TABANI!D28*B52)*VERI_TABANI!$B$7 + MAX(0, VERI_TABANI!D28*B52-VERI_TABANI!D28)*VERI_TABANI!$B$8) + (MIN(MAX(0, VERI_TABANI!D28-VERI_TABANI!D28*B52), VERI_TABANI!D28*C52)*VERI_TABANI!$B$7 + MAX(0, VERI_TABANI!D28*C52-MAX(0, VERI_TABANI!D28-VERI_TABANI!D28*B52))*VERI_TABANI!$B$8) + IF(ABS(IF(ISNUMBER(SEARCH("Var", D52)), 1, IF(ISNUMBER(SEARCH("Gri", D52)), -1, 0)))=1, VERI_TABANI!E28*(1-0.928)*VERI_TABANI!$B$9, 0) + (VERI_TABANI!D28*B52*(VERI_TABANI!$B$13-VERI_TABANI!$B$14)*VERI_TABANI!G28) + (VERI_TABANI!D28*C52*(VERI_TABANI!$B$13-VERI_TABANI!$B$15)*VERI_TABANI!G28) + IF(ABS(IF(ISNUMBER(SEARCH("Var", D52)), 1, IF(ISNUMBER(SEARCH("Gri", D52)), -1, 0)))=1, VERI_TABANI!E28*(1-0.928)*0.00206091519919798*VERI_TABANI!G28, 0)))</f>
        <v/>
      </c>
      <c r="H52" s="169">
        <f>(((VERI_TABANI!D23*B52*(VERI_TABANI!$B$13-VERI_TABANI!$B$14)) + (VERI_TABANI!D23*C52*(VERI_TABANI!$B$13-VERI_TABANI!$B$15)) + IF(ISNUMBER(SEARCH("Var", D52)), VERI_TABANI!F23*(0.00202-VERI_TABANI!$B$16), IF(ISNUMBER(SEARCH("Gri", D52)), VERI_TABANI!F23*(0.00202-VERI_TABANI!$B$17), 0))) + ((VERI_TABANI!D24*B52*(VERI_TABANI!$B$13-VERI_TABANI!$B$14)) + (VERI_TABANI!D24*C52*(VERI_TABANI!$B$13-VERI_TABANI!$B$15)) + IF(ISNUMBER(SEARCH("Var", D52)), VERI_TABANI!F24*(0.00202-VERI_TABANI!$B$16), IF(ISNUMBER(SEARCH("Gri", D52)), VERI_TABANI!F24*(0.00202-VERI_TABANI!$B$17), 0))) + ((VERI_TABANI!D25*B52*(VERI_TABANI!$B$13-VERI_TABANI!$B$14)) + (VERI_TABANI!D25*C52*(VERI_TABANI!$B$13-VERI_TABANI!$B$15)) + IF(ISNUMBER(SEARCH("Var", D52)), VERI_TABANI!F25*(0.00202-VERI_TABANI!$B$16), IF(ISNUMBER(SEARCH("Gri", D52)), VERI_TABANI!F25*(0.00202-VERI_TABANI!$B$17), 0))) + ((VERI_TABANI!D26*B52*(VERI_TABANI!$B$13-VERI_TABANI!$B$14)) + (VERI_TABANI!D26*C52*(VERI_TABANI!$B$13-VERI_TABANI!$B$15)) + IF(ISNUMBER(SEARCH("Var", D52)), VERI_TABANI!F26*(0.00202-VERI_TABANI!$B$16), IF(ISNUMBER(SEARCH("Gri", D52)), VERI_TABANI!F26*(0.00202-VERI_TABANI!$B$17), 0))) + ((VERI_TABANI!D27*B52*(VERI_TABANI!$B$13-VERI_TABANI!$B$14)) + (VERI_TABANI!D27*C52*(VERI_TABANI!$B$13-VERI_TABANI!$B$15)) + IF(ISNUMBER(SEARCH("Var", D52)), VERI_TABANI!F27*(0.00202-VERI_TABANI!$B$16), IF(ISNUMBER(SEARCH("Gri", D52)), VERI_TABANI!F27*(0.00202-VERI_TABANI!$B$17), 0))) + ((VERI_TABANI!D28*B52*(VERI_TABANI!$B$13-VERI_TABANI!$B$14)) + (VERI_TABANI!D28*C52*(VERI_TABANI!$B$13-VERI_TABANI!$B$15)) + IF(ISNUMBER(SEARCH("Var", D52)), VERI_TABANI!F28*(0.00202-VERI_TABANI!$B$16), IF(ISNUMBER(SEARCH("Gri", D52)), VERI_TABANI!F28*(0.00202-VERI_TABANI!$B$17), 0))))</f>
        <v/>
      </c>
      <c r="I52" s="170">
        <f>IFERROR(((VERI_TABANI!$D$29*B52*VERI_TABANI!$B$14 + VERI_TABANI!$D$29*C52*VERI_TABANI!$B$15 + IF(ISNUMBER(SEARCH("Var", D52)), VERI_TABANI!$F$29*VERI_TABANI!$B$16, 0))) / (((VERI_TABANI!$D$29*B52 + VERI_TABANI!$D$29*C52)*VERI_TABANI!$B$13 + IF(ISNUMBER(SEARCH("Var", D52)), VERI_TABANI!$E$29*(1-0.928)*VERI_TABANI!$B$18, 0))), 0)</f>
        <v/>
      </c>
      <c r="J52" s="171">
        <f>IFERROR(F52/(G52/29), 0)</f>
        <v/>
      </c>
      <c r="K52" s="172">
        <f>IF(F52&gt;0, H52/F52, 0)</f>
        <v/>
      </c>
      <c r="L52" s="170">
        <f>IF(F52&gt;0, I52, 1000000000)</f>
        <v/>
      </c>
      <c r="M52" s="171">
        <f>ABS((B52+C52)-1)</f>
        <v/>
      </c>
      <c r="N52" s="170">
        <f>IF(F52&gt;0, (G52/29)/F52, 0)</f>
        <v/>
      </c>
      <c r="O52" s="168">
        <f>IF(AND((B52+C52)&gt;=1, ISNUMBER(SEARCH("Var", D52))), F52, 1000000000)</f>
        <v/>
      </c>
      <c r="P52" s="172">
        <f>IF(F52&gt;0, SQRT((F52/MAX(F$5:F$886))^2 + (1 - H52/MAX(H$5:H$886))^2 + (J52/MAX(J$5:J$886))^2), 1000000000)</f>
        <v/>
      </c>
      <c r="Q52" s="166">
        <f>IF(AND(ABS(B52-0.5)&lt;0.01, ABS(C52-0.5)&lt;0.01, ISNUMBER(SEARCH("Var", D52))), 1, 0)</f>
        <v/>
      </c>
      <c r="R52" s="171">
        <f>IF(F52&gt;0, J52, 1000000000)</f>
        <v/>
      </c>
      <c r="S52" s="101">
        <f>IF(AND(F52&lt;=DASHBOARD!$B$11, H52&gt;=DASHBOARD!$B$13), G52, -1000000000000)</f>
        <v/>
      </c>
      <c r="T52" s="101">
        <f>IF(AND(F52&lt;=DASHBOARD!$B$11, H52&gt;=DASHBOARD!$B$13), R52, 1000000000000)</f>
        <v/>
      </c>
      <c r="U52" s="101">
        <f>IF(AND(F52&lt;=DASHBOARD!$B$11, H52&gt;=DASHBOARD!$B$13), N52, -1000000000000)</f>
        <v/>
      </c>
      <c r="V52" s="101">
        <f>IF(AND(F52&lt;=DASHBOARD!$B$11, H52&gt;=DASHBOARD!$B$13), H52, -1000000000000)</f>
        <v/>
      </c>
      <c r="W52" s="101">
        <f>IF(AND(F52&lt;=DASHBOARD!$B$11, H52&gt;=DASHBOARD!$B$13), K52, -1000000000000)</f>
        <v/>
      </c>
      <c r="X52" s="101">
        <f>IF(AND(F52&lt;=DASHBOARD!$B$11, H52&gt;=DASHBOARD!$B$13), M52, 1000000000000)</f>
        <v/>
      </c>
      <c r="Y52" s="101">
        <f>IF(AND(F52&lt;=DASHBOARD!$B$10, H52&gt;=DASHBOARD!$B$11), L52, 1000000000000)</f>
        <v/>
      </c>
      <c r="Z52" s="101">
        <f>IF(AND(F52&lt;=DASHBOARD!$B$10, H52&gt;=DASHBOARD!$B$11), O52, 1000000000000)</f>
        <v/>
      </c>
      <c r="AA52" s="101">
        <f>IF(AND(F52&lt;=DASHBOARD!$B$10, H52&gt;=DASHBOARD!$B$11), P52, 1000000000000)</f>
        <v/>
      </c>
      <c r="AB52" s="101">
        <f>IF(AND(F52&lt;=DASHBOARD!$B$10, H52&gt;=DASHBOARD!$B$11), Q52, -1000000000000)</f>
        <v/>
      </c>
    </row>
    <row r="53" ht="12.75" customHeight="1" s="102">
      <c r="A53" s="166" t="n">
        <v>49</v>
      </c>
      <c r="B53" s="167" t="n">
        <v>0.1</v>
      </c>
      <c r="C53" s="167" t="n">
        <v>0.3</v>
      </c>
      <c r="D53" s="110" t="inlineStr">
        <is>
          <t>Yok (%0)</t>
        </is>
      </c>
      <c r="E53" s="110">
        <f>IF((B53+C53)&lt;=1, "Tam Mahsuplaşma (≤%100)", "Kısmi Satış (&gt;%100)")</f>
        <v/>
      </c>
      <c r="F53" s="168">
        <f>((VERI_TABANI!$D$29*B53/VERI_TABANI!$B$29)/VERI_TABANI!$B$3)*VERI_TABANI!$B$5 + ((VERI_TABANI!$D$29*C53/VERI_TABANI!$B$29)/VERI_TABANI!$B$4)*VERI_TABANI!$B$6 + IF(ISNUMBER(SEARCH("Var", D53)), (VERI_TABANI!$F$29/VERI_TABANI!$B$29)*(VERI_TABANI!$B$10+VERI_TABANI!$B$12), 0)</f>
        <v/>
      </c>
      <c r="G53" s="168">
        <f>(((MIN(VERI_TABANI!D23, VERI_TABANI!D23*B53)*VERI_TABANI!$B$7 + MAX(0, VERI_TABANI!D23*B53-VERI_TABANI!D23)*VERI_TABANI!$B$8) + (MIN(MAX(0, VERI_TABANI!D23-VERI_TABANI!D23*B53), VERI_TABANI!D23*C53)*VERI_TABANI!$B$7 + MAX(0, VERI_TABANI!D23*C53-MAX(0, VERI_TABANI!D23-VERI_TABANI!D23*B53))*VERI_TABANI!$B$8) + IF(ABS(IF(ISNUMBER(SEARCH("Var", D53)), 1, IF(ISNUMBER(SEARCH("Gri", D53)), -1, 0)))=1, VERI_TABANI!E23*(1-0.928)*VERI_TABANI!$B$9, 0) + (VERI_TABANI!D23*B53*(VERI_TABANI!$B$13-VERI_TABANI!$B$14)*VERI_TABANI!G23) + (VERI_TABANI!D23*C53*(VERI_TABANI!$B$13-VERI_TABANI!$B$15)*VERI_TABANI!G23) + IF(ABS(IF(ISNUMBER(SEARCH("Var", D53)), 1, IF(ISNUMBER(SEARCH("Gri", D53)), -1, 0)))=1, VERI_TABANI!E23*(1-0.928)*0.00206091519919798*VERI_TABANI!G23, 0)) + ((MIN(VERI_TABANI!D24, VERI_TABANI!D24*B53)*VERI_TABANI!$B$7 + MAX(0, VERI_TABANI!D24*B53-VERI_TABANI!D24)*VERI_TABANI!$B$8) + (MIN(MAX(0, VERI_TABANI!D24-VERI_TABANI!D24*B53), VERI_TABANI!D24*C53)*VERI_TABANI!$B$7 + MAX(0, VERI_TABANI!D24*C53-MAX(0, VERI_TABANI!D24-VERI_TABANI!D24*B53))*VERI_TABANI!$B$8) + IF(ABS(IF(ISNUMBER(SEARCH("Var", D53)), 1, IF(ISNUMBER(SEARCH("Gri", D53)), -1, 0)))=1, VERI_TABANI!E24*(1-0.928)*VERI_TABANI!$B$9, 0) + (VERI_TABANI!D24*B53*(VERI_TABANI!$B$13-VERI_TABANI!$B$14)*VERI_TABANI!G24) + (VERI_TABANI!D24*C53*(VERI_TABANI!$B$13-VERI_TABANI!$B$15)*VERI_TABANI!G24) + IF(ABS(IF(ISNUMBER(SEARCH("Var", D53)), 1, IF(ISNUMBER(SEARCH("Gri", D53)), -1, 0)))=1, VERI_TABANI!E24*(1-0.928)*0.00206091519919798*VERI_TABANI!G24, 0)) + ((MIN(VERI_TABANI!D25, VERI_TABANI!D25*B53)*VERI_TABANI!$B$7 + MAX(0, VERI_TABANI!D25*B53-VERI_TABANI!D25)*VERI_TABANI!$B$8) + (MIN(MAX(0, VERI_TABANI!D25-VERI_TABANI!D25*B53), VERI_TABANI!D25*C53)*VERI_TABANI!$B$7 + MAX(0, VERI_TABANI!D25*C53-MAX(0, VERI_TABANI!D25-VERI_TABANI!D25*B53))*VERI_TABANI!$B$8) + IF(ABS(IF(ISNUMBER(SEARCH("Var", D53)), 1, IF(ISNUMBER(SEARCH("Gri", D53)), -1, 0)))=1, VERI_TABANI!E25*(1-0.928)*VERI_TABANI!$B$9, 0) + (VERI_TABANI!D25*B53*(VERI_TABANI!$B$13-VERI_TABANI!$B$14)*VERI_TABANI!G25) + (VERI_TABANI!D25*C53*(VERI_TABANI!$B$13-VERI_TABANI!$B$15)*VERI_TABANI!G25) + IF(ABS(IF(ISNUMBER(SEARCH("Var", D53)), 1, IF(ISNUMBER(SEARCH("Gri", D53)), -1, 0)))=1, VERI_TABANI!E25*(1-0.928)*0.00206091519919798*VERI_TABANI!G25, 0)) + ((MIN(VERI_TABANI!D26, VERI_TABANI!D26*B53)*VERI_TABANI!$B$7 + MAX(0, VERI_TABANI!D26*B53-VERI_TABANI!D26)*VERI_TABANI!$B$8) + (MIN(MAX(0, VERI_TABANI!D26-VERI_TABANI!D26*B53), VERI_TABANI!D26*C53)*VERI_TABANI!$B$7 + MAX(0, VERI_TABANI!D26*C53-MAX(0, VERI_TABANI!D26-VERI_TABANI!D26*B53))*VERI_TABANI!$B$8) + IF(ABS(IF(ISNUMBER(SEARCH("Var", D53)), 1, IF(ISNUMBER(SEARCH("Gri", D53)), -1, 0)))=1, VERI_TABANI!E26*(1-0.928)*VERI_TABANI!$B$9, 0) + (VERI_TABANI!D26*B53*(VERI_TABANI!$B$13-VERI_TABANI!$B$14)*VERI_TABANI!G26) + (VERI_TABANI!D26*C53*(VERI_TABANI!$B$13-VERI_TABANI!$B$15)*VERI_TABANI!G26) + IF(ABS(IF(ISNUMBER(SEARCH("Var", D53)), 1, IF(ISNUMBER(SEARCH("Gri", D53)), -1, 0)))=1, VERI_TABANI!E26*(1-0.928)*0.00206091519919798*VERI_TABANI!G26, 0)) + ((MIN(VERI_TABANI!D27, VERI_TABANI!D27*B53)*VERI_TABANI!$B$7 + MAX(0, VERI_TABANI!D27*B53-VERI_TABANI!D27)*VERI_TABANI!$B$8) + (MIN(MAX(0, VERI_TABANI!D27-VERI_TABANI!D27*B53), VERI_TABANI!D27*C53)*VERI_TABANI!$B$7 + MAX(0, VERI_TABANI!D27*C53-MAX(0, VERI_TABANI!D27-VERI_TABANI!D27*B53))*VERI_TABANI!$B$8) + IF(ABS(IF(ISNUMBER(SEARCH("Var", D53)), 1, IF(ISNUMBER(SEARCH("Gri", D53)), -1, 0)))=1, VERI_TABANI!E27*(1-0.928)*VERI_TABANI!$B$9, 0) + (VERI_TABANI!D27*B53*(VERI_TABANI!$B$13-VERI_TABANI!$B$14)*VERI_TABANI!G27) + (VERI_TABANI!D27*C53*(VERI_TABANI!$B$13-VERI_TABANI!$B$15)*VERI_TABANI!G27) + IF(ABS(IF(ISNUMBER(SEARCH("Var", D53)), 1, IF(ISNUMBER(SEARCH("Gri", D53)), -1, 0)))=1, VERI_TABANI!E27*(1-0.928)*0.00206091519919798*VERI_TABANI!G27, 0)) + ((MIN(VERI_TABANI!D28, VERI_TABANI!D28*B53)*VERI_TABANI!$B$7 + MAX(0, VERI_TABANI!D28*B53-VERI_TABANI!D28)*VERI_TABANI!$B$8) + (MIN(MAX(0, VERI_TABANI!D28-VERI_TABANI!D28*B53), VERI_TABANI!D28*C53)*VERI_TABANI!$B$7 + MAX(0, VERI_TABANI!D28*C53-MAX(0, VERI_TABANI!D28-VERI_TABANI!D28*B53))*VERI_TABANI!$B$8) + IF(ABS(IF(ISNUMBER(SEARCH("Var", D53)), 1, IF(ISNUMBER(SEARCH("Gri", D53)), -1, 0)))=1, VERI_TABANI!E28*(1-0.928)*VERI_TABANI!$B$9, 0) + (VERI_TABANI!D28*B53*(VERI_TABANI!$B$13-VERI_TABANI!$B$14)*VERI_TABANI!G28) + (VERI_TABANI!D28*C53*(VERI_TABANI!$B$13-VERI_TABANI!$B$15)*VERI_TABANI!G28) + IF(ABS(IF(ISNUMBER(SEARCH("Var", D53)), 1, IF(ISNUMBER(SEARCH("Gri", D53)), -1, 0)))=1, VERI_TABANI!E28*(1-0.928)*0.00206091519919798*VERI_TABANI!G28, 0)))</f>
        <v/>
      </c>
      <c r="H53" s="169">
        <f>(((VERI_TABANI!D23*B53*(VERI_TABANI!$B$13-VERI_TABANI!$B$14)) + (VERI_TABANI!D23*C53*(VERI_TABANI!$B$13-VERI_TABANI!$B$15)) + IF(ISNUMBER(SEARCH("Var", D53)), VERI_TABANI!F23*(0.00202-VERI_TABANI!$B$16), IF(ISNUMBER(SEARCH("Gri", D53)), VERI_TABANI!F23*(0.00202-VERI_TABANI!$B$17), 0))) + ((VERI_TABANI!D24*B53*(VERI_TABANI!$B$13-VERI_TABANI!$B$14)) + (VERI_TABANI!D24*C53*(VERI_TABANI!$B$13-VERI_TABANI!$B$15)) + IF(ISNUMBER(SEARCH("Var", D53)), VERI_TABANI!F24*(0.00202-VERI_TABANI!$B$16), IF(ISNUMBER(SEARCH("Gri", D53)), VERI_TABANI!F24*(0.00202-VERI_TABANI!$B$17), 0))) + ((VERI_TABANI!D25*B53*(VERI_TABANI!$B$13-VERI_TABANI!$B$14)) + (VERI_TABANI!D25*C53*(VERI_TABANI!$B$13-VERI_TABANI!$B$15)) + IF(ISNUMBER(SEARCH("Var", D53)), VERI_TABANI!F25*(0.00202-VERI_TABANI!$B$16), IF(ISNUMBER(SEARCH("Gri", D53)), VERI_TABANI!F25*(0.00202-VERI_TABANI!$B$17), 0))) + ((VERI_TABANI!D26*B53*(VERI_TABANI!$B$13-VERI_TABANI!$B$14)) + (VERI_TABANI!D26*C53*(VERI_TABANI!$B$13-VERI_TABANI!$B$15)) + IF(ISNUMBER(SEARCH("Var", D53)), VERI_TABANI!F26*(0.00202-VERI_TABANI!$B$16), IF(ISNUMBER(SEARCH("Gri", D53)), VERI_TABANI!F26*(0.00202-VERI_TABANI!$B$17), 0))) + ((VERI_TABANI!D27*B53*(VERI_TABANI!$B$13-VERI_TABANI!$B$14)) + (VERI_TABANI!D27*C53*(VERI_TABANI!$B$13-VERI_TABANI!$B$15)) + IF(ISNUMBER(SEARCH("Var", D53)), VERI_TABANI!F27*(0.00202-VERI_TABANI!$B$16), IF(ISNUMBER(SEARCH("Gri", D53)), VERI_TABANI!F27*(0.00202-VERI_TABANI!$B$17), 0))) + ((VERI_TABANI!D28*B53*(VERI_TABANI!$B$13-VERI_TABANI!$B$14)) + (VERI_TABANI!D28*C53*(VERI_TABANI!$B$13-VERI_TABANI!$B$15)) + IF(ISNUMBER(SEARCH("Var", D53)), VERI_TABANI!F28*(0.00202-VERI_TABANI!$B$16), IF(ISNUMBER(SEARCH("Gri", D53)), VERI_TABANI!F28*(0.00202-VERI_TABANI!$B$17), 0))))</f>
        <v/>
      </c>
      <c r="I53" s="170">
        <f>IFERROR(((VERI_TABANI!$D$29*B53*VERI_TABANI!$B$14 + VERI_TABANI!$D$29*C53*VERI_TABANI!$B$15 + IF(ISNUMBER(SEARCH("Var", D53)), VERI_TABANI!$F$29*VERI_TABANI!$B$16, 0))) / (((VERI_TABANI!$D$29*B53 + VERI_TABANI!$D$29*C53)*VERI_TABANI!$B$13 + IF(ISNUMBER(SEARCH("Var", D53)), VERI_TABANI!$E$29*(1-0.928)*VERI_TABANI!$B$18, 0))), 0)</f>
        <v/>
      </c>
      <c r="J53" s="171">
        <f>IFERROR(F53/(G53/29), 0)</f>
        <v/>
      </c>
      <c r="K53" s="172">
        <f>IF(F53&gt;0, H53/F53, 0)</f>
        <v/>
      </c>
      <c r="L53" s="170">
        <f>IF(F53&gt;0, I53, 1000000000)</f>
        <v/>
      </c>
      <c r="M53" s="171">
        <f>ABS((B53+C53)-1)</f>
        <v/>
      </c>
      <c r="N53" s="170">
        <f>IF(F53&gt;0, (G53/29)/F53, 0)</f>
        <v/>
      </c>
      <c r="O53" s="168">
        <f>IF(AND((B53+C53)&gt;=1, ISNUMBER(SEARCH("Var", D53))), F53, 1000000000)</f>
        <v/>
      </c>
      <c r="P53" s="172">
        <f>IF(F53&gt;0, SQRT((F53/MAX(F$5:F$886))^2 + (1 - H53/MAX(H$5:H$886))^2 + (J53/MAX(J$5:J$886))^2), 1000000000)</f>
        <v/>
      </c>
      <c r="Q53" s="166">
        <f>IF(AND(ABS(B53-0.5)&lt;0.01, ABS(C53-0.5)&lt;0.01, ISNUMBER(SEARCH("Var", D53))), 1, 0)</f>
        <v/>
      </c>
      <c r="R53" s="171">
        <f>IF(F53&gt;0, J53, 1000000000)</f>
        <v/>
      </c>
      <c r="S53" s="101">
        <f>IF(AND(F53&lt;=DASHBOARD!$B$11, H53&gt;=DASHBOARD!$B$13), G53, -1000000000000)</f>
        <v/>
      </c>
      <c r="T53" s="101">
        <f>IF(AND(F53&lt;=DASHBOARD!$B$11, H53&gt;=DASHBOARD!$B$13), R53, 1000000000000)</f>
        <v/>
      </c>
      <c r="U53" s="101">
        <f>IF(AND(F53&lt;=DASHBOARD!$B$11, H53&gt;=DASHBOARD!$B$13), N53, -1000000000000)</f>
        <v/>
      </c>
      <c r="V53" s="101">
        <f>IF(AND(F53&lt;=DASHBOARD!$B$11, H53&gt;=DASHBOARD!$B$13), H53, -1000000000000)</f>
        <v/>
      </c>
      <c r="W53" s="101">
        <f>IF(AND(F53&lt;=DASHBOARD!$B$11, H53&gt;=DASHBOARD!$B$13), K53, -1000000000000)</f>
        <v/>
      </c>
      <c r="X53" s="101">
        <f>IF(AND(F53&lt;=DASHBOARD!$B$11, H53&gt;=DASHBOARD!$B$13), M53, 1000000000000)</f>
        <v/>
      </c>
      <c r="Y53" s="101">
        <f>IF(AND(F53&lt;=DASHBOARD!$B$10, H53&gt;=DASHBOARD!$B$11), L53, 1000000000000)</f>
        <v/>
      </c>
      <c r="Z53" s="101">
        <f>IF(AND(F53&lt;=DASHBOARD!$B$10, H53&gt;=DASHBOARD!$B$11), O53, 1000000000000)</f>
        <v/>
      </c>
      <c r="AA53" s="101">
        <f>IF(AND(F53&lt;=DASHBOARD!$B$10, H53&gt;=DASHBOARD!$B$11), P53, 1000000000000)</f>
        <v/>
      </c>
      <c r="AB53" s="101">
        <f>IF(AND(F53&lt;=DASHBOARD!$B$10, H53&gt;=DASHBOARD!$B$11), Q53, -1000000000000)</f>
        <v/>
      </c>
    </row>
    <row r="54" ht="12.75" customHeight="1" s="102">
      <c r="A54" s="166" t="n">
        <v>50</v>
      </c>
      <c r="B54" s="167" t="n">
        <v>0.1</v>
      </c>
      <c r="C54" s="167" t="n">
        <v>0.3</v>
      </c>
      <c r="D54" s="110" t="inlineStr">
        <is>
          <t>Var (%20)</t>
        </is>
      </c>
      <c r="E54" s="110">
        <f>IF((B54+C54)&lt;=1, "Tam Mahsuplaşma (≤%100)", "Kısmi Satış (&gt;%100)")</f>
        <v/>
      </c>
      <c r="F54" s="168">
        <f>((VERI_TABANI!$D$29*B54/VERI_TABANI!$B$29)/VERI_TABANI!$B$3)*VERI_TABANI!$B$5 + ((VERI_TABANI!$D$29*C54/VERI_TABANI!$B$29)/VERI_TABANI!$B$4)*VERI_TABANI!$B$6 + IF(ISNUMBER(SEARCH("Var", D54)), (VERI_TABANI!$F$29/VERI_TABANI!$B$29)*(VERI_TABANI!$B$10+VERI_TABANI!$B$12), 0)</f>
        <v/>
      </c>
      <c r="G54" s="168">
        <f>(((MIN(VERI_TABANI!D23, VERI_TABANI!D23*B54)*VERI_TABANI!$B$7 + MAX(0, VERI_TABANI!D23*B54-VERI_TABANI!D23)*VERI_TABANI!$B$8) + (MIN(MAX(0, VERI_TABANI!D23-VERI_TABANI!D23*B54), VERI_TABANI!D23*C54)*VERI_TABANI!$B$7 + MAX(0, VERI_TABANI!D23*C54-MAX(0, VERI_TABANI!D23-VERI_TABANI!D23*B54))*VERI_TABANI!$B$8) + IF(ABS(IF(ISNUMBER(SEARCH("Var", D54)), 1, IF(ISNUMBER(SEARCH("Gri", D54)), -1, 0)))=1, VERI_TABANI!E23*(1-0.928)*VERI_TABANI!$B$9, 0) + (VERI_TABANI!D23*B54*(VERI_TABANI!$B$13-VERI_TABANI!$B$14)*VERI_TABANI!G23) + (VERI_TABANI!D23*C54*(VERI_TABANI!$B$13-VERI_TABANI!$B$15)*VERI_TABANI!G23) + IF(ABS(IF(ISNUMBER(SEARCH("Var", D54)), 1, IF(ISNUMBER(SEARCH("Gri", D54)), -1, 0)))=1, VERI_TABANI!E23*(1-0.928)*0.00206091519919798*VERI_TABANI!G23, 0)) + ((MIN(VERI_TABANI!D24, VERI_TABANI!D24*B54)*VERI_TABANI!$B$7 + MAX(0, VERI_TABANI!D24*B54-VERI_TABANI!D24)*VERI_TABANI!$B$8) + (MIN(MAX(0, VERI_TABANI!D24-VERI_TABANI!D24*B54), VERI_TABANI!D24*C54)*VERI_TABANI!$B$7 + MAX(0, VERI_TABANI!D24*C54-MAX(0, VERI_TABANI!D24-VERI_TABANI!D24*B54))*VERI_TABANI!$B$8) + IF(ABS(IF(ISNUMBER(SEARCH("Var", D54)), 1, IF(ISNUMBER(SEARCH("Gri", D54)), -1, 0)))=1, VERI_TABANI!E24*(1-0.928)*VERI_TABANI!$B$9, 0) + (VERI_TABANI!D24*B54*(VERI_TABANI!$B$13-VERI_TABANI!$B$14)*VERI_TABANI!G24) + (VERI_TABANI!D24*C54*(VERI_TABANI!$B$13-VERI_TABANI!$B$15)*VERI_TABANI!G24) + IF(ABS(IF(ISNUMBER(SEARCH("Var", D54)), 1, IF(ISNUMBER(SEARCH("Gri", D54)), -1, 0)))=1, VERI_TABANI!E24*(1-0.928)*0.00206091519919798*VERI_TABANI!G24, 0)) + ((MIN(VERI_TABANI!D25, VERI_TABANI!D25*B54)*VERI_TABANI!$B$7 + MAX(0, VERI_TABANI!D25*B54-VERI_TABANI!D25)*VERI_TABANI!$B$8) + (MIN(MAX(0, VERI_TABANI!D25-VERI_TABANI!D25*B54), VERI_TABANI!D25*C54)*VERI_TABANI!$B$7 + MAX(0, VERI_TABANI!D25*C54-MAX(0, VERI_TABANI!D25-VERI_TABANI!D25*B54))*VERI_TABANI!$B$8) + IF(ABS(IF(ISNUMBER(SEARCH("Var", D54)), 1, IF(ISNUMBER(SEARCH("Gri", D54)), -1, 0)))=1, VERI_TABANI!E25*(1-0.928)*VERI_TABANI!$B$9, 0) + (VERI_TABANI!D25*B54*(VERI_TABANI!$B$13-VERI_TABANI!$B$14)*VERI_TABANI!G25) + (VERI_TABANI!D25*C54*(VERI_TABANI!$B$13-VERI_TABANI!$B$15)*VERI_TABANI!G25) + IF(ABS(IF(ISNUMBER(SEARCH("Var", D54)), 1, IF(ISNUMBER(SEARCH("Gri", D54)), -1, 0)))=1, VERI_TABANI!E25*(1-0.928)*0.00206091519919798*VERI_TABANI!G25, 0)) + ((MIN(VERI_TABANI!D26, VERI_TABANI!D26*B54)*VERI_TABANI!$B$7 + MAX(0, VERI_TABANI!D26*B54-VERI_TABANI!D26)*VERI_TABANI!$B$8) + (MIN(MAX(0, VERI_TABANI!D26-VERI_TABANI!D26*B54), VERI_TABANI!D26*C54)*VERI_TABANI!$B$7 + MAX(0, VERI_TABANI!D26*C54-MAX(0, VERI_TABANI!D26-VERI_TABANI!D26*B54))*VERI_TABANI!$B$8) + IF(ABS(IF(ISNUMBER(SEARCH("Var", D54)), 1, IF(ISNUMBER(SEARCH("Gri", D54)), -1, 0)))=1, VERI_TABANI!E26*(1-0.928)*VERI_TABANI!$B$9, 0) + (VERI_TABANI!D26*B54*(VERI_TABANI!$B$13-VERI_TABANI!$B$14)*VERI_TABANI!G26) + (VERI_TABANI!D26*C54*(VERI_TABANI!$B$13-VERI_TABANI!$B$15)*VERI_TABANI!G26) + IF(ABS(IF(ISNUMBER(SEARCH("Var", D54)), 1, IF(ISNUMBER(SEARCH("Gri", D54)), -1, 0)))=1, VERI_TABANI!E26*(1-0.928)*0.00206091519919798*VERI_TABANI!G26, 0)) + ((MIN(VERI_TABANI!D27, VERI_TABANI!D27*B54)*VERI_TABANI!$B$7 + MAX(0, VERI_TABANI!D27*B54-VERI_TABANI!D27)*VERI_TABANI!$B$8) + (MIN(MAX(0, VERI_TABANI!D27-VERI_TABANI!D27*B54), VERI_TABANI!D27*C54)*VERI_TABANI!$B$7 + MAX(0, VERI_TABANI!D27*C54-MAX(0, VERI_TABANI!D27-VERI_TABANI!D27*B54))*VERI_TABANI!$B$8) + IF(ABS(IF(ISNUMBER(SEARCH("Var", D54)), 1, IF(ISNUMBER(SEARCH("Gri", D54)), -1, 0)))=1, VERI_TABANI!E27*(1-0.928)*VERI_TABANI!$B$9, 0) + (VERI_TABANI!D27*B54*(VERI_TABANI!$B$13-VERI_TABANI!$B$14)*VERI_TABANI!G27) + (VERI_TABANI!D27*C54*(VERI_TABANI!$B$13-VERI_TABANI!$B$15)*VERI_TABANI!G27) + IF(ABS(IF(ISNUMBER(SEARCH("Var", D54)), 1, IF(ISNUMBER(SEARCH("Gri", D54)), -1, 0)))=1, VERI_TABANI!E27*(1-0.928)*0.00206091519919798*VERI_TABANI!G27, 0)) + ((MIN(VERI_TABANI!D28, VERI_TABANI!D28*B54)*VERI_TABANI!$B$7 + MAX(0, VERI_TABANI!D28*B54-VERI_TABANI!D28)*VERI_TABANI!$B$8) + (MIN(MAX(0, VERI_TABANI!D28-VERI_TABANI!D28*B54), VERI_TABANI!D28*C54)*VERI_TABANI!$B$7 + MAX(0, VERI_TABANI!D28*C54-MAX(0, VERI_TABANI!D28-VERI_TABANI!D28*B54))*VERI_TABANI!$B$8) + IF(ABS(IF(ISNUMBER(SEARCH("Var", D54)), 1, IF(ISNUMBER(SEARCH("Gri", D54)), -1, 0)))=1, VERI_TABANI!E28*(1-0.928)*VERI_TABANI!$B$9, 0) + (VERI_TABANI!D28*B54*(VERI_TABANI!$B$13-VERI_TABANI!$B$14)*VERI_TABANI!G28) + (VERI_TABANI!D28*C54*(VERI_TABANI!$B$13-VERI_TABANI!$B$15)*VERI_TABANI!G28) + IF(ABS(IF(ISNUMBER(SEARCH("Var", D54)), 1, IF(ISNUMBER(SEARCH("Gri", D54)), -1, 0)))=1, VERI_TABANI!E28*(1-0.928)*0.00206091519919798*VERI_TABANI!G28, 0)))</f>
        <v/>
      </c>
      <c r="H54" s="169">
        <f>(((VERI_TABANI!D23*B54*(VERI_TABANI!$B$13-VERI_TABANI!$B$14)) + (VERI_TABANI!D23*C54*(VERI_TABANI!$B$13-VERI_TABANI!$B$15)) + IF(ISNUMBER(SEARCH("Var", D54)), VERI_TABANI!F23*(0.00202-VERI_TABANI!$B$16), IF(ISNUMBER(SEARCH("Gri", D54)), VERI_TABANI!F23*(0.00202-VERI_TABANI!$B$17), 0))) + ((VERI_TABANI!D24*B54*(VERI_TABANI!$B$13-VERI_TABANI!$B$14)) + (VERI_TABANI!D24*C54*(VERI_TABANI!$B$13-VERI_TABANI!$B$15)) + IF(ISNUMBER(SEARCH("Var", D54)), VERI_TABANI!F24*(0.00202-VERI_TABANI!$B$16), IF(ISNUMBER(SEARCH("Gri", D54)), VERI_TABANI!F24*(0.00202-VERI_TABANI!$B$17), 0))) + ((VERI_TABANI!D25*B54*(VERI_TABANI!$B$13-VERI_TABANI!$B$14)) + (VERI_TABANI!D25*C54*(VERI_TABANI!$B$13-VERI_TABANI!$B$15)) + IF(ISNUMBER(SEARCH("Var", D54)), VERI_TABANI!F25*(0.00202-VERI_TABANI!$B$16), IF(ISNUMBER(SEARCH("Gri", D54)), VERI_TABANI!F25*(0.00202-VERI_TABANI!$B$17), 0))) + ((VERI_TABANI!D26*B54*(VERI_TABANI!$B$13-VERI_TABANI!$B$14)) + (VERI_TABANI!D26*C54*(VERI_TABANI!$B$13-VERI_TABANI!$B$15)) + IF(ISNUMBER(SEARCH("Var", D54)), VERI_TABANI!F26*(0.00202-VERI_TABANI!$B$16), IF(ISNUMBER(SEARCH("Gri", D54)), VERI_TABANI!F26*(0.00202-VERI_TABANI!$B$17), 0))) + ((VERI_TABANI!D27*B54*(VERI_TABANI!$B$13-VERI_TABANI!$B$14)) + (VERI_TABANI!D27*C54*(VERI_TABANI!$B$13-VERI_TABANI!$B$15)) + IF(ISNUMBER(SEARCH("Var", D54)), VERI_TABANI!F27*(0.00202-VERI_TABANI!$B$16), IF(ISNUMBER(SEARCH("Gri", D54)), VERI_TABANI!F27*(0.00202-VERI_TABANI!$B$17), 0))) + ((VERI_TABANI!D28*B54*(VERI_TABANI!$B$13-VERI_TABANI!$B$14)) + (VERI_TABANI!D28*C54*(VERI_TABANI!$B$13-VERI_TABANI!$B$15)) + IF(ISNUMBER(SEARCH("Var", D54)), VERI_TABANI!F28*(0.00202-VERI_TABANI!$B$16), IF(ISNUMBER(SEARCH("Gri", D54)), VERI_TABANI!F28*(0.00202-VERI_TABANI!$B$17), 0))))</f>
        <v/>
      </c>
      <c r="I54" s="170">
        <f>IFERROR(((VERI_TABANI!$D$29*B54*VERI_TABANI!$B$14 + VERI_TABANI!$D$29*C54*VERI_TABANI!$B$15 + IF(ISNUMBER(SEARCH("Var", D54)), VERI_TABANI!$F$29*VERI_TABANI!$B$16, 0))) / (((VERI_TABANI!$D$29*B54 + VERI_TABANI!$D$29*C54)*VERI_TABANI!$B$13 + IF(ISNUMBER(SEARCH("Var", D54)), VERI_TABANI!$E$29*(1-0.928)*VERI_TABANI!$B$18, 0))), 0)</f>
        <v/>
      </c>
      <c r="J54" s="171">
        <f>IFERROR(F54/(G54/29), 0)</f>
        <v/>
      </c>
      <c r="K54" s="172">
        <f>IF(F54&gt;0, H54/F54, 0)</f>
        <v/>
      </c>
      <c r="L54" s="170">
        <f>IF(F54&gt;0, I54, 1000000000)</f>
        <v/>
      </c>
      <c r="M54" s="171">
        <f>ABS((B54+C54)-1)</f>
        <v/>
      </c>
      <c r="N54" s="170">
        <f>IF(F54&gt;0, (G54/29)/F54, 0)</f>
        <v/>
      </c>
      <c r="O54" s="168">
        <f>IF(AND((B54+C54)&gt;=1, ISNUMBER(SEARCH("Var", D54))), F54, 1000000000)</f>
        <v/>
      </c>
      <c r="P54" s="172">
        <f>IF(F54&gt;0, SQRT((F54/MAX(F$5:F$886))^2 + (1 - H54/MAX(H$5:H$886))^2 + (J54/MAX(J$5:J$886))^2), 1000000000)</f>
        <v/>
      </c>
      <c r="Q54" s="166">
        <f>IF(AND(ABS(B54-0.5)&lt;0.01, ABS(C54-0.5)&lt;0.01, ISNUMBER(SEARCH("Var", D54))), 1, 0)</f>
        <v/>
      </c>
      <c r="R54" s="171">
        <f>IF(F54&gt;0, J54, 1000000000)</f>
        <v/>
      </c>
      <c r="S54" s="101">
        <f>IF(AND(F54&lt;=DASHBOARD!$B$11, H54&gt;=DASHBOARD!$B$13), G54, -1000000000000)</f>
        <v/>
      </c>
      <c r="T54" s="101">
        <f>IF(AND(F54&lt;=DASHBOARD!$B$11, H54&gt;=DASHBOARD!$B$13), R54, 1000000000000)</f>
        <v/>
      </c>
      <c r="U54" s="101">
        <f>IF(AND(F54&lt;=DASHBOARD!$B$11, H54&gt;=DASHBOARD!$B$13), N54, -1000000000000)</f>
        <v/>
      </c>
      <c r="V54" s="101">
        <f>IF(AND(F54&lt;=DASHBOARD!$B$11, H54&gt;=DASHBOARD!$B$13), H54, -1000000000000)</f>
        <v/>
      </c>
      <c r="W54" s="101">
        <f>IF(AND(F54&lt;=DASHBOARD!$B$11, H54&gt;=DASHBOARD!$B$13), K54, -1000000000000)</f>
        <v/>
      </c>
      <c r="X54" s="101">
        <f>IF(AND(F54&lt;=DASHBOARD!$B$11, H54&gt;=DASHBOARD!$B$13), M54, 1000000000000)</f>
        <v/>
      </c>
      <c r="Y54" s="101">
        <f>IF(AND(F54&lt;=DASHBOARD!$B$10, H54&gt;=DASHBOARD!$B$11), L54, 1000000000000)</f>
        <v/>
      </c>
      <c r="Z54" s="101">
        <f>IF(AND(F54&lt;=DASHBOARD!$B$10, H54&gt;=DASHBOARD!$B$11), O54, 1000000000000)</f>
        <v/>
      </c>
      <c r="AA54" s="101">
        <f>IF(AND(F54&lt;=DASHBOARD!$B$10, H54&gt;=DASHBOARD!$B$11), P54, 1000000000000)</f>
        <v/>
      </c>
      <c r="AB54" s="101">
        <f>IF(AND(F54&lt;=DASHBOARD!$B$10, H54&gt;=DASHBOARD!$B$11), Q54, -1000000000000)</f>
        <v/>
      </c>
    </row>
    <row r="55" ht="12.75" customHeight="1" s="102">
      <c r="A55" s="166" t="n">
        <v>51</v>
      </c>
      <c r="B55" s="167" t="n">
        <v>0.1</v>
      </c>
      <c r="C55" s="167" t="n">
        <v>0.4</v>
      </c>
      <c r="D55" s="110" t="inlineStr">
        <is>
          <t>Yok (%0)</t>
        </is>
      </c>
      <c r="E55" s="110">
        <f>IF((B55+C55)&lt;=1, "Tam Mahsuplaşma (≤%100)", "Kısmi Satış (&gt;%100)")</f>
        <v/>
      </c>
      <c r="F55" s="168">
        <f>((VERI_TABANI!$D$29*B55/VERI_TABANI!$B$29)/VERI_TABANI!$B$3)*VERI_TABANI!$B$5 + ((VERI_TABANI!$D$29*C55/VERI_TABANI!$B$29)/VERI_TABANI!$B$4)*VERI_TABANI!$B$6 + IF(ISNUMBER(SEARCH("Var", D55)), (VERI_TABANI!$F$29/VERI_TABANI!$B$29)*(VERI_TABANI!$B$10+VERI_TABANI!$B$12), 0)</f>
        <v/>
      </c>
      <c r="G55" s="168">
        <f>(((MIN(VERI_TABANI!D23, VERI_TABANI!D23*B55)*VERI_TABANI!$B$7 + MAX(0, VERI_TABANI!D23*B55-VERI_TABANI!D23)*VERI_TABANI!$B$8) + (MIN(MAX(0, VERI_TABANI!D23-VERI_TABANI!D23*B55), VERI_TABANI!D23*C55)*VERI_TABANI!$B$7 + MAX(0, VERI_TABANI!D23*C55-MAX(0, VERI_TABANI!D23-VERI_TABANI!D23*B55))*VERI_TABANI!$B$8) + IF(ABS(IF(ISNUMBER(SEARCH("Var", D55)), 1, IF(ISNUMBER(SEARCH("Gri", D55)), -1, 0)))=1, VERI_TABANI!E23*(1-0.928)*VERI_TABANI!$B$9, 0) + (VERI_TABANI!D23*B55*(VERI_TABANI!$B$13-VERI_TABANI!$B$14)*VERI_TABANI!G23) + (VERI_TABANI!D23*C55*(VERI_TABANI!$B$13-VERI_TABANI!$B$15)*VERI_TABANI!G23) + IF(ABS(IF(ISNUMBER(SEARCH("Var", D55)), 1, IF(ISNUMBER(SEARCH("Gri", D55)), -1, 0)))=1, VERI_TABANI!E23*(1-0.928)*0.00206091519919798*VERI_TABANI!G23, 0)) + ((MIN(VERI_TABANI!D24, VERI_TABANI!D24*B55)*VERI_TABANI!$B$7 + MAX(0, VERI_TABANI!D24*B55-VERI_TABANI!D24)*VERI_TABANI!$B$8) + (MIN(MAX(0, VERI_TABANI!D24-VERI_TABANI!D24*B55), VERI_TABANI!D24*C55)*VERI_TABANI!$B$7 + MAX(0, VERI_TABANI!D24*C55-MAX(0, VERI_TABANI!D24-VERI_TABANI!D24*B55))*VERI_TABANI!$B$8) + IF(ABS(IF(ISNUMBER(SEARCH("Var", D55)), 1, IF(ISNUMBER(SEARCH("Gri", D55)), -1, 0)))=1, VERI_TABANI!E24*(1-0.928)*VERI_TABANI!$B$9, 0) + (VERI_TABANI!D24*B55*(VERI_TABANI!$B$13-VERI_TABANI!$B$14)*VERI_TABANI!G24) + (VERI_TABANI!D24*C55*(VERI_TABANI!$B$13-VERI_TABANI!$B$15)*VERI_TABANI!G24) + IF(ABS(IF(ISNUMBER(SEARCH("Var", D55)), 1, IF(ISNUMBER(SEARCH("Gri", D55)), -1, 0)))=1, VERI_TABANI!E24*(1-0.928)*0.00206091519919798*VERI_TABANI!G24, 0)) + ((MIN(VERI_TABANI!D25, VERI_TABANI!D25*B55)*VERI_TABANI!$B$7 + MAX(0, VERI_TABANI!D25*B55-VERI_TABANI!D25)*VERI_TABANI!$B$8) + (MIN(MAX(0, VERI_TABANI!D25-VERI_TABANI!D25*B55), VERI_TABANI!D25*C55)*VERI_TABANI!$B$7 + MAX(0, VERI_TABANI!D25*C55-MAX(0, VERI_TABANI!D25-VERI_TABANI!D25*B55))*VERI_TABANI!$B$8) + IF(ABS(IF(ISNUMBER(SEARCH("Var", D55)), 1, IF(ISNUMBER(SEARCH("Gri", D55)), -1, 0)))=1, VERI_TABANI!E25*(1-0.928)*VERI_TABANI!$B$9, 0) + (VERI_TABANI!D25*B55*(VERI_TABANI!$B$13-VERI_TABANI!$B$14)*VERI_TABANI!G25) + (VERI_TABANI!D25*C55*(VERI_TABANI!$B$13-VERI_TABANI!$B$15)*VERI_TABANI!G25) + IF(ABS(IF(ISNUMBER(SEARCH("Var", D55)), 1, IF(ISNUMBER(SEARCH("Gri", D55)), -1, 0)))=1, VERI_TABANI!E25*(1-0.928)*0.00206091519919798*VERI_TABANI!G25, 0)) + ((MIN(VERI_TABANI!D26, VERI_TABANI!D26*B55)*VERI_TABANI!$B$7 + MAX(0, VERI_TABANI!D26*B55-VERI_TABANI!D26)*VERI_TABANI!$B$8) + (MIN(MAX(0, VERI_TABANI!D26-VERI_TABANI!D26*B55), VERI_TABANI!D26*C55)*VERI_TABANI!$B$7 + MAX(0, VERI_TABANI!D26*C55-MAX(0, VERI_TABANI!D26-VERI_TABANI!D26*B55))*VERI_TABANI!$B$8) + IF(ABS(IF(ISNUMBER(SEARCH("Var", D55)), 1, IF(ISNUMBER(SEARCH("Gri", D55)), -1, 0)))=1, VERI_TABANI!E26*(1-0.928)*VERI_TABANI!$B$9, 0) + (VERI_TABANI!D26*B55*(VERI_TABANI!$B$13-VERI_TABANI!$B$14)*VERI_TABANI!G26) + (VERI_TABANI!D26*C55*(VERI_TABANI!$B$13-VERI_TABANI!$B$15)*VERI_TABANI!G26) + IF(ABS(IF(ISNUMBER(SEARCH("Var", D55)), 1, IF(ISNUMBER(SEARCH("Gri", D55)), -1, 0)))=1, VERI_TABANI!E26*(1-0.928)*0.00206091519919798*VERI_TABANI!G26, 0)) + ((MIN(VERI_TABANI!D27, VERI_TABANI!D27*B55)*VERI_TABANI!$B$7 + MAX(0, VERI_TABANI!D27*B55-VERI_TABANI!D27)*VERI_TABANI!$B$8) + (MIN(MAX(0, VERI_TABANI!D27-VERI_TABANI!D27*B55), VERI_TABANI!D27*C55)*VERI_TABANI!$B$7 + MAX(0, VERI_TABANI!D27*C55-MAX(0, VERI_TABANI!D27-VERI_TABANI!D27*B55))*VERI_TABANI!$B$8) + IF(ABS(IF(ISNUMBER(SEARCH("Var", D55)), 1, IF(ISNUMBER(SEARCH("Gri", D55)), -1, 0)))=1, VERI_TABANI!E27*(1-0.928)*VERI_TABANI!$B$9, 0) + (VERI_TABANI!D27*B55*(VERI_TABANI!$B$13-VERI_TABANI!$B$14)*VERI_TABANI!G27) + (VERI_TABANI!D27*C55*(VERI_TABANI!$B$13-VERI_TABANI!$B$15)*VERI_TABANI!G27) + IF(ABS(IF(ISNUMBER(SEARCH("Var", D55)), 1, IF(ISNUMBER(SEARCH("Gri", D55)), -1, 0)))=1, VERI_TABANI!E27*(1-0.928)*0.00206091519919798*VERI_TABANI!G27, 0)) + ((MIN(VERI_TABANI!D28, VERI_TABANI!D28*B55)*VERI_TABANI!$B$7 + MAX(0, VERI_TABANI!D28*B55-VERI_TABANI!D28)*VERI_TABANI!$B$8) + (MIN(MAX(0, VERI_TABANI!D28-VERI_TABANI!D28*B55), VERI_TABANI!D28*C55)*VERI_TABANI!$B$7 + MAX(0, VERI_TABANI!D28*C55-MAX(0, VERI_TABANI!D28-VERI_TABANI!D28*B55))*VERI_TABANI!$B$8) + IF(ABS(IF(ISNUMBER(SEARCH("Var", D55)), 1, IF(ISNUMBER(SEARCH("Gri", D55)), -1, 0)))=1, VERI_TABANI!E28*(1-0.928)*VERI_TABANI!$B$9, 0) + (VERI_TABANI!D28*B55*(VERI_TABANI!$B$13-VERI_TABANI!$B$14)*VERI_TABANI!G28) + (VERI_TABANI!D28*C55*(VERI_TABANI!$B$13-VERI_TABANI!$B$15)*VERI_TABANI!G28) + IF(ABS(IF(ISNUMBER(SEARCH("Var", D55)), 1, IF(ISNUMBER(SEARCH("Gri", D55)), -1, 0)))=1, VERI_TABANI!E28*(1-0.928)*0.00206091519919798*VERI_TABANI!G28, 0)))</f>
        <v/>
      </c>
      <c r="H55" s="169">
        <f>(((VERI_TABANI!D23*B55*(VERI_TABANI!$B$13-VERI_TABANI!$B$14)) + (VERI_TABANI!D23*C55*(VERI_TABANI!$B$13-VERI_TABANI!$B$15)) + IF(ISNUMBER(SEARCH("Var", D55)), VERI_TABANI!F23*(0.00202-VERI_TABANI!$B$16), IF(ISNUMBER(SEARCH("Gri", D55)), VERI_TABANI!F23*(0.00202-VERI_TABANI!$B$17), 0))) + ((VERI_TABANI!D24*B55*(VERI_TABANI!$B$13-VERI_TABANI!$B$14)) + (VERI_TABANI!D24*C55*(VERI_TABANI!$B$13-VERI_TABANI!$B$15)) + IF(ISNUMBER(SEARCH("Var", D55)), VERI_TABANI!F24*(0.00202-VERI_TABANI!$B$16), IF(ISNUMBER(SEARCH("Gri", D55)), VERI_TABANI!F24*(0.00202-VERI_TABANI!$B$17), 0))) + ((VERI_TABANI!D25*B55*(VERI_TABANI!$B$13-VERI_TABANI!$B$14)) + (VERI_TABANI!D25*C55*(VERI_TABANI!$B$13-VERI_TABANI!$B$15)) + IF(ISNUMBER(SEARCH("Var", D55)), VERI_TABANI!F25*(0.00202-VERI_TABANI!$B$16), IF(ISNUMBER(SEARCH("Gri", D55)), VERI_TABANI!F25*(0.00202-VERI_TABANI!$B$17), 0))) + ((VERI_TABANI!D26*B55*(VERI_TABANI!$B$13-VERI_TABANI!$B$14)) + (VERI_TABANI!D26*C55*(VERI_TABANI!$B$13-VERI_TABANI!$B$15)) + IF(ISNUMBER(SEARCH("Var", D55)), VERI_TABANI!F26*(0.00202-VERI_TABANI!$B$16), IF(ISNUMBER(SEARCH("Gri", D55)), VERI_TABANI!F26*(0.00202-VERI_TABANI!$B$17), 0))) + ((VERI_TABANI!D27*B55*(VERI_TABANI!$B$13-VERI_TABANI!$B$14)) + (VERI_TABANI!D27*C55*(VERI_TABANI!$B$13-VERI_TABANI!$B$15)) + IF(ISNUMBER(SEARCH("Var", D55)), VERI_TABANI!F27*(0.00202-VERI_TABANI!$B$16), IF(ISNUMBER(SEARCH("Gri", D55)), VERI_TABANI!F27*(0.00202-VERI_TABANI!$B$17), 0))) + ((VERI_TABANI!D28*B55*(VERI_TABANI!$B$13-VERI_TABANI!$B$14)) + (VERI_TABANI!D28*C55*(VERI_TABANI!$B$13-VERI_TABANI!$B$15)) + IF(ISNUMBER(SEARCH("Var", D55)), VERI_TABANI!F28*(0.00202-VERI_TABANI!$B$16), IF(ISNUMBER(SEARCH("Gri", D55)), VERI_TABANI!F28*(0.00202-VERI_TABANI!$B$17), 0))))</f>
        <v/>
      </c>
      <c r="I55" s="170">
        <f>IFERROR(((VERI_TABANI!$D$29*B55*VERI_TABANI!$B$14 + VERI_TABANI!$D$29*C55*VERI_TABANI!$B$15 + IF(ISNUMBER(SEARCH("Var", D55)), VERI_TABANI!$F$29*VERI_TABANI!$B$16, 0))) / (((VERI_TABANI!$D$29*B55 + VERI_TABANI!$D$29*C55)*VERI_TABANI!$B$13 + IF(ISNUMBER(SEARCH("Var", D55)), VERI_TABANI!$E$29*(1-0.928)*VERI_TABANI!$B$18, 0))), 0)</f>
        <v/>
      </c>
      <c r="J55" s="171">
        <f>IFERROR(F55/(G55/29), 0)</f>
        <v/>
      </c>
      <c r="K55" s="172">
        <f>IF(F55&gt;0, H55/F55, 0)</f>
        <v/>
      </c>
      <c r="L55" s="170">
        <f>IF(F55&gt;0, I55, 1000000000)</f>
        <v/>
      </c>
      <c r="M55" s="171">
        <f>ABS((B55+C55)-1)</f>
        <v/>
      </c>
      <c r="N55" s="170">
        <f>IF(F55&gt;0, (G55/29)/F55, 0)</f>
        <v/>
      </c>
      <c r="O55" s="168">
        <f>IF(AND((B55+C55)&gt;=1, ISNUMBER(SEARCH("Var", D55))), F55, 1000000000)</f>
        <v/>
      </c>
      <c r="P55" s="172">
        <f>IF(F55&gt;0, SQRT((F55/MAX(F$5:F$886))^2 + (1 - H55/MAX(H$5:H$886))^2 + (J55/MAX(J$5:J$886))^2), 1000000000)</f>
        <v/>
      </c>
      <c r="Q55" s="166">
        <f>IF(AND(ABS(B55-0.5)&lt;0.01, ABS(C55-0.5)&lt;0.01, ISNUMBER(SEARCH("Var", D55))), 1, 0)</f>
        <v/>
      </c>
      <c r="R55" s="171">
        <f>IF(F55&gt;0, J55, 1000000000)</f>
        <v/>
      </c>
      <c r="S55" s="101">
        <f>IF(AND(F55&lt;=DASHBOARD!$B$11, H55&gt;=DASHBOARD!$B$13), G55, -1000000000000)</f>
        <v/>
      </c>
      <c r="T55" s="101">
        <f>IF(AND(F55&lt;=DASHBOARD!$B$11, H55&gt;=DASHBOARD!$B$13), R55, 1000000000000)</f>
        <v/>
      </c>
      <c r="U55" s="101">
        <f>IF(AND(F55&lt;=DASHBOARD!$B$11, H55&gt;=DASHBOARD!$B$13), N55, -1000000000000)</f>
        <v/>
      </c>
      <c r="V55" s="101">
        <f>IF(AND(F55&lt;=DASHBOARD!$B$11, H55&gt;=DASHBOARD!$B$13), H55, -1000000000000)</f>
        <v/>
      </c>
      <c r="W55" s="101">
        <f>IF(AND(F55&lt;=DASHBOARD!$B$11, H55&gt;=DASHBOARD!$B$13), K55, -1000000000000)</f>
        <v/>
      </c>
      <c r="X55" s="101">
        <f>IF(AND(F55&lt;=DASHBOARD!$B$11, H55&gt;=DASHBOARD!$B$13), M55, 1000000000000)</f>
        <v/>
      </c>
      <c r="Y55" s="101">
        <f>IF(AND(F55&lt;=DASHBOARD!$B$10, H55&gt;=DASHBOARD!$B$11), L55, 1000000000000)</f>
        <v/>
      </c>
      <c r="Z55" s="101">
        <f>IF(AND(F55&lt;=DASHBOARD!$B$10, H55&gt;=DASHBOARD!$B$11), O55, 1000000000000)</f>
        <v/>
      </c>
      <c r="AA55" s="101">
        <f>IF(AND(F55&lt;=DASHBOARD!$B$10, H55&gt;=DASHBOARD!$B$11), P55, 1000000000000)</f>
        <v/>
      </c>
      <c r="AB55" s="101">
        <f>IF(AND(F55&lt;=DASHBOARD!$B$10, H55&gt;=DASHBOARD!$B$11), Q55, -1000000000000)</f>
        <v/>
      </c>
    </row>
    <row r="56" ht="12.75" customHeight="1" s="102">
      <c r="A56" s="166" t="n">
        <v>52</v>
      </c>
      <c r="B56" s="167" t="n">
        <v>0.1</v>
      </c>
      <c r="C56" s="167" t="n">
        <v>0.4</v>
      </c>
      <c r="D56" s="110" t="inlineStr">
        <is>
          <t>Var (%20)</t>
        </is>
      </c>
      <c r="E56" s="110">
        <f>IF((B56+C56)&lt;=1, "Tam Mahsuplaşma (≤%100)", "Kısmi Satış (&gt;%100)")</f>
        <v/>
      </c>
      <c r="F56" s="168">
        <f>((VERI_TABANI!$D$29*B56/VERI_TABANI!$B$29)/VERI_TABANI!$B$3)*VERI_TABANI!$B$5 + ((VERI_TABANI!$D$29*C56/VERI_TABANI!$B$29)/VERI_TABANI!$B$4)*VERI_TABANI!$B$6 + IF(ISNUMBER(SEARCH("Var", D56)), (VERI_TABANI!$F$29/VERI_TABANI!$B$29)*(VERI_TABANI!$B$10+VERI_TABANI!$B$12), 0)</f>
        <v/>
      </c>
      <c r="G56" s="168">
        <f>(((MIN(VERI_TABANI!D23, VERI_TABANI!D23*B56)*VERI_TABANI!$B$7 + MAX(0, VERI_TABANI!D23*B56-VERI_TABANI!D23)*VERI_TABANI!$B$8) + (MIN(MAX(0, VERI_TABANI!D23-VERI_TABANI!D23*B56), VERI_TABANI!D23*C56)*VERI_TABANI!$B$7 + MAX(0, VERI_TABANI!D23*C56-MAX(0, VERI_TABANI!D23-VERI_TABANI!D23*B56))*VERI_TABANI!$B$8) + IF(ABS(IF(ISNUMBER(SEARCH("Var", D56)), 1, IF(ISNUMBER(SEARCH("Gri", D56)), -1, 0)))=1, VERI_TABANI!E23*(1-0.928)*VERI_TABANI!$B$9, 0) + (VERI_TABANI!D23*B56*(VERI_TABANI!$B$13-VERI_TABANI!$B$14)*VERI_TABANI!G23) + (VERI_TABANI!D23*C56*(VERI_TABANI!$B$13-VERI_TABANI!$B$15)*VERI_TABANI!G23) + IF(ABS(IF(ISNUMBER(SEARCH("Var", D56)), 1, IF(ISNUMBER(SEARCH("Gri", D56)), -1, 0)))=1, VERI_TABANI!E23*(1-0.928)*0.00206091519919798*VERI_TABANI!G23, 0)) + ((MIN(VERI_TABANI!D24, VERI_TABANI!D24*B56)*VERI_TABANI!$B$7 + MAX(0, VERI_TABANI!D24*B56-VERI_TABANI!D24)*VERI_TABANI!$B$8) + (MIN(MAX(0, VERI_TABANI!D24-VERI_TABANI!D24*B56), VERI_TABANI!D24*C56)*VERI_TABANI!$B$7 + MAX(0, VERI_TABANI!D24*C56-MAX(0, VERI_TABANI!D24-VERI_TABANI!D24*B56))*VERI_TABANI!$B$8) + IF(ABS(IF(ISNUMBER(SEARCH("Var", D56)), 1, IF(ISNUMBER(SEARCH("Gri", D56)), -1, 0)))=1, VERI_TABANI!E24*(1-0.928)*VERI_TABANI!$B$9, 0) + (VERI_TABANI!D24*B56*(VERI_TABANI!$B$13-VERI_TABANI!$B$14)*VERI_TABANI!G24) + (VERI_TABANI!D24*C56*(VERI_TABANI!$B$13-VERI_TABANI!$B$15)*VERI_TABANI!G24) + IF(ABS(IF(ISNUMBER(SEARCH("Var", D56)), 1, IF(ISNUMBER(SEARCH("Gri", D56)), -1, 0)))=1, VERI_TABANI!E24*(1-0.928)*0.00206091519919798*VERI_TABANI!G24, 0)) + ((MIN(VERI_TABANI!D25, VERI_TABANI!D25*B56)*VERI_TABANI!$B$7 + MAX(0, VERI_TABANI!D25*B56-VERI_TABANI!D25)*VERI_TABANI!$B$8) + (MIN(MAX(0, VERI_TABANI!D25-VERI_TABANI!D25*B56), VERI_TABANI!D25*C56)*VERI_TABANI!$B$7 + MAX(0, VERI_TABANI!D25*C56-MAX(0, VERI_TABANI!D25-VERI_TABANI!D25*B56))*VERI_TABANI!$B$8) + IF(ABS(IF(ISNUMBER(SEARCH("Var", D56)), 1, IF(ISNUMBER(SEARCH("Gri", D56)), -1, 0)))=1, VERI_TABANI!E25*(1-0.928)*VERI_TABANI!$B$9, 0) + (VERI_TABANI!D25*B56*(VERI_TABANI!$B$13-VERI_TABANI!$B$14)*VERI_TABANI!G25) + (VERI_TABANI!D25*C56*(VERI_TABANI!$B$13-VERI_TABANI!$B$15)*VERI_TABANI!G25) + IF(ABS(IF(ISNUMBER(SEARCH("Var", D56)), 1, IF(ISNUMBER(SEARCH("Gri", D56)), -1, 0)))=1, VERI_TABANI!E25*(1-0.928)*0.00206091519919798*VERI_TABANI!G25, 0)) + ((MIN(VERI_TABANI!D26, VERI_TABANI!D26*B56)*VERI_TABANI!$B$7 + MAX(0, VERI_TABANI!D26*B56-VERI_TABANI!D26)*VERI_TABANI!$B$8) + (MIN(MAX(0, VERI_TABANI!D26-VERI_TABANI!D26*B56), VERI_TABANI!D26*C56)*VERI_TABANI!$B$7 + MAX(0, VERI_TABANI!D26*C56-MAX(0, VERI_TABANI!D26-VERI_TABANI!D26*B56))*VERI_TABANI!$B$8) + IF(ABS(IF(ISNUMBER(SEARCH("Var", D56)), 1, IF(ISNUMBER(SEARCH("Gri", D56)), -1, 0)))=1, VERI_TABANI!E26*(1-0.928)*VERI_TABANI!$B$9, 0) + (VERI_TABANI!D26*B56*(VERI_TABANI!$B$13-VERI_TABANI!$B$14)*VERI_TABANI!G26) + (VERI_TABANI!D26*C56*(VERI_TABANI!$B$13-VERI_TABANI!$B$15)*VERI_TABANI!G26) + IF(ABS(IF(ISNUMBER(SEARCH("Var", D56)), 1, IF(ISNUMBER(SEARCH("Gri", D56)), -1, 0)))=1, VERI_TABANI!E26*(1-0.928)*0.00206091519919798*VERI_TABANI!G26, 0)) + ((MIN(VERI_TABANI!D27, VERI_TABANI!D27*B56)*VERI_TABANI!$B$7 + MAX(0, VERI_TABANI!D27*B56-VERI_TABANI!D27)*VERI_TABANI!$B$8) + (MIN(MAX(0, VERI_TABANI!D27-VERI_TABANI!D27*B56), VERI_TABANI!D27*C56)*VERI_TABANI!$B$7 + MAX(0, VERI_TABANI!D27*C56-MAX(0, VERI_TABANI!D27-VERI_TABANI!D27*B56))*VERI_TABANI!$B$8) + IF(ABS(IF(ISNUMBER(SEARCH("Var", D56)), 1, IF(ISNUMBER(SEARCH("Gri", D56)), -1, 0)))=1, VERI_TABANI!E27*(1-0.928)*VERI_TABANI!$B$9, 0) + (VERI_TABANI!D27*B56*(VERI_TABANI!$B$13-VERI_TABANI!$B$14)*VERI_TABANI!G27) + (VERI_TABANI!D27*C56*(VERI_TABANI!$B$13-VERI_TABANI!$B$15)*VERI_TABANI!G27) + IF(ABS(IF(ISNUMBER(SEARCH("Var", D56)), 1, IF(ISNUMBER(SEARCH("Gri", D56)), -1, 0)))=1, VERI_TABANI!E27*(1-0.928)*0.00206091519919798*VERI_TABANI!G27, 0)) + ((MIN(VERI_TABANI!D28, VERI_TABANI!D28*B56)*VERI_TABANI!$B$7 + MAX(0, VERI_TABANI!D28*B56-VERI_TABANI!D28)*VERI_TABANI!$B$8) + (MIN(MAX(0, VERI_TABANI!D28-VERI_TABANI!D28*B56), VERI_TABANI!D28*C56)*VERI_TABANI!$B$7 + MAX(0, VERI_TABANI!D28*C56-MAX(0, VERI_TABANI!D28-VERI_TABANI!D28*B56))*VERI_TABANI!$B$8) + IF(ABS(IF(ISNUMBER(SEARCH("Var", D56)), 1, IF(ISNUMBER(SEARCH("Gri", D56)), -1, 0)))=1, VERI_TABANI!E28*(1-0.928)*VERI_TABANI!$B$9, 0) + (VERI_TABANI!D28*B56*(VERI_TABANI!$B$13-VERI_TABANI!$B$14)*VERI_TABANI!G28) + (VERI_TABANI!D28*C56*(VERI_TABANI!$B$13-VERI_TABANI!$B$15)*VERI_TABANI!G28) + IF(ABS(IF(ISNUMBER(SEARCH("Var", D56)), 1, IF(ISNUMBER(SEARCH("Gri", D56)), -1, 0)))=1, VERI_TABANI!E28*(1-0.928)*0.00206091519919798*VERI_TABANI!G28, 0)))</f>
        <v/>
      </c>
      <c r="H56" s="169">
        <f>(((VERI_TABANI!D23*B56*(VERI_TABANI!$B$13-VERI_TABANI!$B$14)) + (VERI_TABANI!D23*C56*(VERI_TABANI!$B$13-VERI_TABANI!$B$15)) + IF(ISNUMBER(SEARCH("Var", D56)), VERI_TABANI!F23*(0.00202-VERI_TABANI!$B$16), IF(ISNUMBER(SEARCH("Gri", D56)), VERI_TABANI!F23*(0.00202-VERI_TABANI!$B$17), 0))) + ((VERI_TABANI!D24*B56*(VERI_TABANI!$B$13-VERI_TABANI!$B$14)) + (VERI_TABANI!D24*C56*(VERI_TABANI!$B$13-VERI_TABANI!$B$15)) + IF(ISNUMBER(SEARCH("Var", D56)), VERI_TABANI!F24*(0.00202-VERI_TABANI!$B$16), IF(ISNUMBER(SEARCH("Gri", D56)), VERI_TABANI!F24*(0.00202-VERI_TABANI!$B$17), 0))) + ((VERI_TABANI!D25*B56*(VERI_TABANI!$B$13-VERI_TABANI!$B$14)) + (VERI_TABANI!D25*C56*(VERI_TABANI!$B$13-VERI_TABANI!$B$15)) + IF(ISNUMBER(SEARCH("Var", D56)), VERI_TABANI!F25*(0.00202-VERI_TABANI!$B$16), IF(ISNUMBER(SEARCH("Gri", D56)), VERI_TABANI!F25*(0.00202-VERI_TABANI!$B$17), 0))) + ((VERI_TABANI!D26*B56*(VERI_TABANI!$B$13-VERI_TABANI!$B$14)) + (VERI_TABANI!D26*C56*(VERI_TABANI!$B$13-VERI_TABANI!$B$15)) + IF(ISNUMBER(SEARCH("Var", D56)), VERI_TABANI!F26*(0.00202-VERI_TABANI!$B$16), IF(ISNUMBER(SEARCH("Gri", D56)), VERI_TABANI!F26*(0.00202-VERI_TABANI!$B$17), 0))) + ((VERI_TABANI!D27*B56*(VERI_TABANI!$B$13-VERI_TABANI!$B$14)) + (VERI_TABANI!D27*C56*(VERI_TABANI!$B$13-VERI_TABANI!$B$15)) + IF(ISNUMBER(SEARCH("Var", D56)), VERI_TABANI!F27*(0.00202-VERI_TABANI!$B$16), IF(ISNUMBER(SEARCH("Gri", D56)), VERI_TABANI!F27*(0.00202-VERI_TABANI!$B$17), 0))) + ((VERI_TABANI!D28*B56*(VERI_TABANI!$B$13-VERI_TABANI!$B$14)) + (VERI_TABANI!D28*C56*(VERI_TABANI!$B$13-VERI_TABANI!$B$15)) + IF(ISNUMBER(SEARCH("Var", D56)), VERI_TABANI!F28*(0.00202-VERI_TABANI!$B$16), IF(ISNUMBER(SEARCH("Gri", D56)), VERI_TABANI!F28*(0.00202-VERI_TABANI!$B$17), 0))))</f>
        <v/>
      </c>
      <c r="I56" s="170">
        <f>IFERROR(((VERI_TABANI!$D$29*B56*VERI_TABANI!$B$14 + VERI_TABANI!$D$29*C56*VERI_TABANI!$B$15 + IF(ISNUMBER(SEARCH("Var", D56)), VERI_TABANI!$F$29*VERI_TABANI!$B$16, 0))) / (((VERI_TABANI!$D$29*B56 + VERI_TABANI!$D$29*C56)*VERI_TABANI!$B$13 + IF(ISNUMBER(SEARCH("Var", D56)), VERI_TABANI!$E$29*(1-0.928)*VERI_TABANI!$B$18, 0))), 0)</f>
        <v/>
      </c>
      <c r="J56" s="171">
        <f>IFERROR(F56/(G56/29), 0)</f>
        <v/>
      </c>
      <c r="K56" s="172">
        <f>IF(F56&gt;0, H56/F56, 0)</f>
        <v/>
      </c>
      <c r="L56" s="170">
        <f>IF(F56&gt;0, I56, 1000000000)</f>
        <v/>
      </c>
      <c r="M56" s="171">
        <f>ABS((B56+C56)-1)</f>
        <v/>
      </c>
      <c r="N56" s="170">
        <f>IF(F56&gt;0, (G56/29)/F56, 0)</f>
        <v/>
      </c>
      <c r="O56" s="168">
        <f>IF(AND((B56+C56)&gt;=1, ISNUMBER(SEARCH("Var", D56))), F56, 1000000000)</f>
        <v/>
      </c>
      <c r="P56" s="172">
        <f>IF(F56&gt;0, SQRT((F56/MAX(F$5:F$886))^2 + (1 - H56/MAX(H$5:H$886))^2 + (J56/MAX(J$5:J$886))^2), 1000000000)</f>
        <v/>
      </c>
      <c r="Q56" s="166">
        <f>IF(AND(ABS(B56-0.5)&lt;0.01, ABS(C56-0.5)&lt;0.01, ISNUMBER(SEARCH("Var", D56))), 1, 0)</f>
        <v/>
      </c>
      <c r="R56" s="171">
        <f>IF(F56&gt;0, J56, 1000000000)</f>
        <v/>
      </c>
      <c r="S56" s="101">
        <f>IF(AND(F56&lt;=DASHBOARD!$B$11, H56&gt;=DASHBOARD!$B$13), G56, -1000000000000)</f>
        <v/>
      </c>
      <c r="T56" s="101">
        <f>IF(AND(F56&lt;=DASHBOARD!$B$11, H56&gt;=DASHBOARD!$B$13), R56, 1000000000000)</f>
        <v/>
      </c>
      <c r="U56" s="101">
        <f>IF(AND(F56&lt;=DASHBOARD!$B$11, H56&gt;=DASHBOARD!$B$13), N56, -1000000000000)</f>
        <v/>
      </c>
      <c r="V56" s="101">
        <f>IF(AND(F56&lt;=DASHBOARD!$B$11, H56&gt;=DASHBOARD!$B$13), H56, -1000000000000)</f>
        <v/>
      </c>
      <c r="W56" s="101">
        <f>IF(AND(F56&lt;=DASHBOARD!$B$11, H56&gt;=DASHBOARD!$B$13), K56, -1000000000000)</f>
        <v/>
      </c>
      <c r="X56" s="101">
        <f>IF(AND(F56&lt;=DASHBOARD!$B$11, H56&gt;=DASHBOARD!$B$13), M56, 1000000000000)</f>
        <v/>
      </c>
      <c r="Y56" s="101">
        <f>IF(AND(F56&lt;=DASHBOARD!$B$10, H56&gt;=DASHBOARD!$B$11), L56, 1000000000000)</f>
        <v/>
      </c>
      <c r="Z56" s="101">
        <f>IF(AND(F56&lt;=DASHBOARD!$B$10, H56&gt;=DASHBOARD!$B$11), O56, 1000000000000)</f>
        <v/>
      </c>
      <c r="AA56" s="101">
        <f>IF(AND(F56&lt;=DASHBOARD!$B$10, H56&gt;=DASHBOARD!$B$11), P56, 1000000000000)</f>
        <v/>
      </c>
      <c r="AB56" s="101">
        <f>IF(AND(F56&lt;=DASHBOARD!$B$10, H56&gt;=DASHBOARD!$B$11), Q56, -1000000000000)</f>
        <v/>
      </c>
    </row>
    <row r="57" ht="12.75" customHeight="1" s="102">
      <c r="A57" s="166" t="n">
        <v>53</v>
      </c>
      <c r="B57" s="167" t="n">
        <v>0.1</v>
      </c>
      <c r="C57" s="167" t="n">
        <v>0.5</v>
      </c>
      <c r="D57" s="110" t="inlineStr">
        <is>
          <t>Yok (%0)</t>
        </is>
      </c>
      <c r="E57" s="110">
        <f>IF((B57+C57)&lt;=1, "Tam Mahsuplaşma (≤%100)", "Kısmi Satış (&gt;%100)")</f>
        <v/>
      </c>
      <c r="F57" s="168">
        <f>((VERI_TABANI!$D$29*B57/VERI_TABANI!$B$29)/VERI_TABANI!$B$3)*VERI_TABANI!$B$5 + ((VERI_TABANI!$D$29*C57/VERI_TABANI!$B$29)/VERI_TABANI!$B$4)*VERI_TABANI!$B$6 + IF(ISNUMBER(SEARCH("Var", D57)), (VERI_TABANI!$F$29/VERI_TABANI!$B$29)*(VERI_TABANI!$B$10+VERI_TABANI!$B$12), 0)</f>
        <v/>
      </c>
      <c r="G57" s="168">
        <f>(((MIN(VERI_TABANI!D23, VERI_TABANI!D23*B57)*VERI_TABANI!$B$7 + MAX(0, VERI_TABANI!D23*B57-VERI_TABANI!D23)*VERI_TABANI!$B$8) + (MIN(MAX(0, VERI_TABANI!D23-VERI_TABANI!D23*B57), VERI_TABANI!D23*C57)*VERI_TABANI!$B$7 + MAX(0, VERI_TABANI!D23*C57-MAX(0, VERI_TABANI!D23-VERI_TABANI!D23*B57))*VERI_TABANI!$B$8) + IF(ABS(IF(ISNUMBER(SEARCH("Var", D57)), 1, IF(ISNUMBER(SEARCH("Gri", D57)), -1, 0)))=1, VERI_TABANI!E23*(1-0.928)*VERI_TABANI!$B$9, 0) + (VERI_TABANI!D23*B57*(VERI_TABANI!$B$13-VERI_TABANI!$B$14)*VERI_TABANI!G23) + (VERI_TABANI!D23*C57*(VERI_TABANI!$B$13-VERI_TABANI!$B$15)*VERI_TABANI!G23) + IF(ABS(IF(ISNUMBER(SEARCH("Var", D57)), 1, IF(ISNUMBER(SEARCH("Gri", D57)), -1, 0)))=1, VERI_TABANI!E23*(1-0.928)*0.00206091519919798*VERI_TABANI!G23, 0)) + ((MIN(VERI_TABANI!D24, VERI_TABANI!D24*B57)*VERI_TABANI!$B$7 + MAX(0, VERI_TABANI!D24*B57-VERI_TABANI!D24)*VERI_TABANI!$B$8) + (MIN(MAX(0, VERI_TABANI!D24-VERI_TABANI!D24*B57), VERI_TABANI!D24*C57)*VERI_TABANI!$B$7 + MAX(0, VERI_TABANI!D24*C57-MAX(0, VERI_TABANI!D24-VERI_TABANI!D24*B57))*VERI_TABANI!$B$8) + IF(ABS(IF(ISNUMBER(SEARCH("Var", D57)), 1, IF(ISNUMBER(SEARCH("Gri", D57)), -1, 0)))=1, VERI_TABANI!E24*(1-0.928)*VERI_TABANI!$B$9, 0) + (VERI_TABANI!D24*B57*(VERI_TABANI!$B$13-VERI_TABANI!$B$14)*VERI_TABANI!G24) + (VERI_TABANI!D24*C57*(VERI_TABANI!$B$13-VERI_TABANI!$B$15)*VERI_TABANI!G24) + IF(ABS(IF(ISNUMBER(SEARCH("Var", D57)), 1, IF(ISNUMBER(SEARCH("Gri", D57)), -1, 0)))=1, VERI_TABANI!E24*(1-0.928)*0.00206091519919798*VERI_TABANI!G24, 0)) + ((MIN(VERI_TABANI!D25, VERI_TABANI!D25*B57)*VERI_TABANI!$B$7 + MAX(0, VERI_TABANI!D25*B57-VERI_TABANI!D25)*VERI_TABANI!$B$8) + (MIN(MAX(0, VERI_TABANI!D25-VERI_TABANI!D25*B57), VERI_TABANI!D25*C57)*VERI_TABANI!$B$7 + MAX(0, VERI_TABANI!D25*C57-MAX(0, VERI_TABANI!D25-VERI_TABANI!D25*B57))*VERI_TABANI!$B$8) + IF(ABS(IF(ISNUMBER(SEARCH("Var", D57)), 1, IF(ISNUMBER(SEARCH("Gri", D57)), -1, 0)))=1, VERI_TABANI!E25*(1-0.928)*VERI_TABANI!$B$9, 0) + (VERI_TABANI!D25*B57*(VERI_TABANI!$B$13-VERI_TABANI!$B$14)*VERI_TABANI!G25) + (VERI_TABANI!D25*C57*(VERI_TABANI!$B$13-VERI_TABANI!$B$15)*VERI_TABANI!G25) + IF(ABS(IF(ISNUMBER(SEARCH("Var", D57)), 1, IF(ISNUMBER(SEARCH("Gri", D57)), -1, 0)))=1, VERI_TABANI!E25*(1-0.928)*0.00206091519919798*VERI_TABANI!G25, 0)) + ((MIN(VERI_TABANI!D26, VERI_TABANI!D26*B57)*VERI_TABANI!$B$7 + MAX(0, VERI_TABANI!D26*B57-VERI_TABANI!D26)*VERI_TABANI!$B$8) + (MIN(MAX(0, VERI_TABANI!D26-VERI_TABANI!D26*B57), VERI_TABANI!D26*C57)*VERI_TABANI!$B$7 + MAX(0, VERI_TABANI!D26*C57-MAX(0, VERI_TABANI!D26-VERI_TABANI!D26*B57))*VERI_TABANI!$B$8) + IF(ABS(IF(ISNUMBER(SEARCH("Var", D57)), 1, IF(ISNUMBER(SEARCH("Gri", D57)), -1, 0)))=1, VERI_TABANI!E26*(1-0.928)*VERI_TABANI!$B$9, 0) + (VERI_TABANI!D26*B57*(VERI_TABANI!$B$13-VERI_TABANI!$B$14)*VERI_TABANI!G26) + (VERI_TABANI!D26*C57*(VERI_TABANI!$B$13-VERI_TABANI!$B$15)*VERI_TABANI!G26) + IF(ABS(IF(ISNUMBER(SEARCH("Var", D57)), 1, IF(ISNUMBER(SEARCH("Gri", D57)), -1, 0)))=1, VERI_TABANI!E26*(1-0.928)*0.00206091519919798*VERI_TABANI!G26, 0)) + ((MIN(VERI_TABANI!D27, VERI_TABANI!D27*B57)*VERI_TABANI!$B$7 + MAX(0, VERI_TABANI!D27*B57-VERI_TABANI!D27)*VERI_TABANI!$B$8) + (MIN(MAX(0, VERI_TABANI!D27-VERI_TABANI!D27*B57), VERI_TABANI!D27*C57)*VERI_TABANI!$B$7 + MAX(0, VERI_TABANI!D27*C57-MAX(0, VERI_TABANI!D27-VERI_TABANI!D27*B57))*VERI_TABANI!$B$8) + IF(ABS(IF(ISNUMBER(SEARCH("Var", D57)), 1, IF(ISNUMBER(SEARCH("Gri", D57)), -1, 0)))=1, VERI_TABANI!E27*(1-0.928)*VERI_TABANI!$B$9, 0) + (VERI_TABANI!D27*B57*(VERI_TABANI!$B$13-VERI_TABANI!$B$14)*VERI_TABANI!G27) + (VERI_TABANI!D27*C57*(VERI_TABANI!$B$13-VERI_TABANI!$B$15)*VERI_TABANI!G27) + IF(ABS(IF(ISNUMBER(SEARCH("Var", D57)), 1, IF(ISNUMBER(SEARCH("Gri", D57)), -1, 0)))=1, VERI_TABANI!E27*(1-0.928)*0.00206091519919798*VERI_TABANI!G27, 0)) + ((MIN(VERI_TABANI!D28, VERI_TABANI!D28*B57)*VERI_TABANI!$B$7 + MAX(0, VERI_TABANI!D28*B57-VERI_TABANI!D28)*VERI_TABANI!$B$8) + (MIN(MAX(0, VERI_TABANI!D28-VERI_TABANI!D28*B57), VERI_TABANI!D28*C57)*VERI_TABANI!$B$7 + MAX(0, VERI_TABANI!D28*C57-MAX(0, VERI_TABANI!D28-VERI_TABANI!D28*B57))*VERI_TABANI!$B$8) + IF(ABS(IF(ISNUMBER(SEARCH("Var", D57)), 1, IF(ISNUMBER(SEARCH("Gri", D57)), -1, 0)))=1, VERI_TABANI!E28*(1-0.928)*VERI_TABANI!$B$9, 0) + (VERI_TABANI!D28*B57*(VERI_TABANI!$B$13-VERI_TABANI!$B$14)*VERI_TABANI!G28) + (VERI_TABANI!D28*C57*(VERI_TABANI!$B$13-VERI_TABANI!$B$15)*VERI_TABANI!G28) + IF(ABS(IF(ISNUMBER(SEARCH("Var", D57)), 1, IF(ISNUMBER(SEARCH("Gri", D57)), -1, 0)))=1, VERI_TABANI!E28*(1-0.928)*0.00206091519919798*VERI_TABANI!G28, 0)))</f>
        <v/>
      </c>
      <c r="H57" s="169">
        <f>(((VERI_TABANI!D23*B57*(VERI_TABANI!$B$13-VERI_TABANI!$B$14)) + (VERI_TABANI!D23*C57*(VERI_TABANI!$B$13-VERI_TABANI!$B$15)) + IF(ISNUMBER(SEARCH("Var", D57)), VERI_TABANI!F23*(0.00202-VERI_TABANI!$B$16), IF(ISNUMBER(SEARCH("Gri", D57)), VERI_TABANI!F23*(0.00202-VERI_TABANI!$B$17), 0))) + ((VERI_TABANI!D24*B57*(VERI_TABANI!$B$13-VERI_TABANI!$B$14)) + (VERI_TABANI!D24*C57*(VERI_TABANI!$B$13-VERI_TABANI!$B$15)) + IF(ISNUMBER(SEARCH("Var", D57)), VERI_TABANI!F24*(0.00202-VERI_TABANI!$B$16), IF(ISNUMBER(SEARCH("Gri", D57)), VERI_TABANI!F24*(0.00202-VERI_TABANI!$B$17), 0))) + ((VERI_TABANI!D25*B57*(VERI_TABANI!$B$13-VERI_TABANI!$B$14)) + (VERI_TABANI!D25*C57*(VERI_TABANI!$B$13-VERI_TABANI!$B$15)) + IF(ISNUMBER(SEARCH("Var", D57)), VERI_TABANI!F25*(0.00202-VERI_TABANI!$B$16), IF(ISNUMBER(SEARCH("Gri", D57)), VERI_TABANI!F25*(0.00202-VERI_TABANI!$B$17), 0))) + ((VERI_TABANI!D26*B57*(VERI_TABANI!$B$13-VERI_TABANI!$B$14)) + (VERI_TABANI!D26*C57*(VERI_TABANI!$B$13-VERI_TABANI!$B$15)) + IF(ISNUMBER(SEARCH("Var", D57)), VERI_TABANI!F26*(0.00202-VERI_TABANI!$B$16), IF(ISNUMBER(SEARCH("Gri", D57)), VERI_TABANI!F26*(0.00202-VERI_TABANI!$B$17), 0))) + ((VERI_TABANI!D27*B57*(VERI_TABANI!$B$13-VERI_TABANI!$B$14)) + (VERI_TABANI!D27*C57*(VERI_TABANI!$B$13-VERI_TABANI!$B$15)) + IF(ISNUMBER(SEARCH("Var", D57)), VERI_TABANI!F27*(0.00202-VERI_TABANI!$B$16), IF(ISNUMBER(SEARCH("Gri", D57)), VERI_TABANI!F27*(0.00202-VERI_TABANI!$B$17), 0))) + ((VERI_TABANI!D28*B57*(VERI_TABANI!$B$13-VERI_TABANI!$B$14)) + (VERI_TABANI!D28*C57*(VERI_TABANI!$B$13-VERI_TABANI!$B$15)) + IF(ISNUMBER(SEARCH("Var", D57)), VERI_TABANI!F28*(0.00202-VERI_TABANI!$B$16), IF(ISNUMBER(SEARCH("Gri", D57)), VERI_TABANI!F28*(0.00202-VERI_TABANI!$B$17), 0))))</f>
        <v/>
      </c>
      <c r="I57" s="170">
        <f>IFERROR(((VERI_TABANI!$D$29*B57*VERI_TABANI!$B$14 + VERI_TABANI!$D$29*C57*VERI_TABANI!$B$15 + IF(ISNUMBER(SEARCH("Var", D57)), VERI_TABANI!$F$29*VERI_TABANI!$B$16, 0))) / (((VERI_TABANI!$D$29*B57 + VERI_TABANI!$D$29*C57)*VERI_TABANI!$B$13 + IF(ISNUMBER(SEARCH("Var", D57)), VERI_TABANI!$E$29*(1-0.928)*VERI_TABANI!$B$18, 0))), 0)</f>
        <v/>
      </c>
      <c r="J57" s="171">
        <f>IFERROR(F57/(G57/29), 0)</f>
        <v/>
      </c>
      <c r="K57" s="172">
        <f>IF(F57&gt;0, H57/F57, 0)</f>
        <v/>
      </c>
      <c r="L57" s="170">
        <f>IF(F57&gt;0, I57, 1000000000)</f>
        <v/>
      </c>
      <c r="M57" s="171">
        <f>ABS((B57+C57)-1)</f>
        <v/>
      </c>
      <c r="N57" s="170">
        <f>IF(F57&gt;0, (G57/29)/F57, 0)</f>
        <v/>
      </c>
      <c r="O57" s="168">
        <f>IF(AND((B57+C57)&gt;=1, ISNUMBER(SEARCH("Var", D57))), F57, 1000000000)</f>
        <v/>
      </c>
      <c r="P57" s="172">
        <f>IF(F57&gt;0, SQRT((F57/MAX(F$5:F$886))^2 + (1 - H57/MAX(H$5:H$886))^2 + (J57/MAX(J$5:J$886))^2), 1000000000)</f>
        <v/>
      </c>
      <c r="Q57" s="166">
        <f>IF(AND(ABS(B57-0.5)&lt;0.01, ABS(C57-0.5)&lt;0.01, ISNUMBER(SEARCH("Var", D57))), 1, 0)</f>
        <v/>
      </c>
      <c r="R57" s="171">
        <f>IF(F57&gt;0, J57, 1000000000)</f>
        <v/>
      </c>
      <c r="S57" s="101">
        <f>IF(AND(F57&lt;=DASHBOARD!$B$11, H57&gt;=DASHBOARD!$B$13), G57, -1000000000000)</f>
        <v/>
      </c>
      <c r="T57" s="101">
        <f>IF(AND(F57&lt;=DASHBOARD!$B$11, H57&gt;=DASHBOARD!$B$13), R57, 1000000000000)</f>
        <v/>
      </c>
      <c r="U57" s="101">
        <f>IF(AND(F57&lt;=DASHBOARD!$B$11, H57&gt;=DASHBOARD!$B$13), N57, -1000000000000)</f>
        <v/>
      </c>
      <c r="V57" s="101">
        <f>IF(AND(F57&lt;=DASHBOARD!$B$11, H57&gt;=DASHBOARD!$B$13), H57, -1000000000000)</f>
        <v/>
      </c>
      <c r="W57" s="101">
        <f>IF(AND(F57&lt;=DASHBOARD!$B$11, H57&gt;=DASHBOARD!$B$13), K57, -1000000000000)</f>
        <v/>
      </c>
      <c r="X57" s="101">
        <f>IF(AND(F57&lt;=DASHBOARD!$B$11, H57&gt;=DASHBOARD!$B$13), M57, 1000000000000)</f>
        <v/>
      </c>
      <c r="Y57" s="101">
        <f>IF(AND(F57&lt;=DASHBOARD!$B$10, H57&gt;=DASHBOARD!$B$11), L57, 1000000000000)</f>
        <v/>
      </c>
      <c r="Z57" s="101">
        <f>IF(AND(F57&lt;=DASHBOARD!$B$10, H57&gt;=DASHBOARD!$B$11), O57, 1000000000000)</f>
        <v/>
      </c>
      <c r="AA57" s="101">
        <f>IF(AND(F57&lt;=DASHBOARD!$B$10, H57&gt;=DASHBOARD!$B$11), P57, 1000000000000)</f>
        <v/>
      </c>
      <c r="AB57" s="101">
        <f>IF(AND(F57&lt;=DASHBOARD!$B$10, H57&gt;=DASHBOARD!$B$11), Q57, -1000000000000)</f>
        <v/>
      </c>
    </row>
    <row r="58" ht="12.75" customHeight="1" s="102">
      <c r="A58" s="166" t="n">
        <v>54</v>
      </c>
      <c r="B58" s="167" t="n">
        <v>0.1</v>
      </c>
      <c r="C58" s="167" t="n">
        <v>0.5</v>
      </c>
      <c r="D58" s="110" t="inlineStr">
        <is>
          <t>Var (%20)</t>
        </is>
      </c>
      <c r="E58" s="110">
        <f>IF((B58+C58)&lt;=1, "Tam Mahsuplaşma (≤%100)", "Kısmi Satış (&gt;%100)")</f>
        <v/>
      </c>
      <c r="F58" s="168">
        <f>((VERI_TABANI!$D$29*B58/VERI_TABANI!$B$29)/VERI_TABANI!$B$3)*VERI_TABANI!$B$5 + ((VERI_TABANI!$D$29*C58/VERI_TABANI!$B$29)/VERI_TABANI!$B$4)*VERI_TABANI!$B$6 + IF(ISNUMBER(SEARCH("Var", D58)), (VERI_TABANI!$F$29/VERI_TABANI!$B$29)*(VERI_TABANI!$B$10+VERI_TABANI!$B$12), 0)</f>
        <v/>
      </c>
      <c r="G58" s="168">
        <f>(((MIN(VERI_TABANI!D23, VERI_TABANI!D23*B58)*VERI_TABANI!$B$7 + MAX(0, VERI_TABANI!D23*B58-VERI_TABANI!D23)*VERI_TABANI!$B$8) + (MIN(MAX(0, VERI_TABANI!D23-VERI_TABANI!D23*B58), VERI_TABANI!D23*C58)*VERI_TABANI!$B$7 + MAX(0, VERI_TABANI!D23*C58-MAX(0, VERI_TABANI!D23-VERI_TABANI!D23*B58))*VERI_TABANI!$B$8) + IF(ABS(IF(ISNUMBER(SEARCH("Var", D58)), 1, IF(ISNUMBER(SEARCH("Gri", D58)), -1, 0)))=1, VERI_TABANI!E23*(1-0.928)*VERI_TABANI!$B$9, 0) + (VERI_TABANI!D23*B58*(VERI_TABANI!$B$13-VERI_TABANI!$B$14)*VERI_TABANI!G23) + (VERI_TABANI!D23*C58*(VERI_TABANI!$B$13-VERI_TABANI!$B$15)*VERI_TABANI!G23) + IF(ABS(IF(ISNUMBER(SEARCH("Var", D58)), 1, IF(ISNUMBER(SEARCH("Gri", D58)), -1, 0)))=1, VERI_TABANI!E23*(1-0.928)*0.00206091519919798*VERI_TABANI!G23, 0)) + ((MIN(VERI_TABANI!D24, VERI_TABANI!D24*B58)*VERI_TABANI!$B$7 + MAX(0, VERI_TABANI!D24*B58-VERI_TABANI!D24)*VERI_TABANI!$B$8) + (MIN(MAX(0, VERI_TABANI!D24-VERI_TABANI!D24*B58), VERI_TABANI!D24*C58)*VERI_TABANI!$B$7 + MAX(0, VERI_TABANI!D24*C58-MAX(0, VERI_TABANI!D24-VERI_TABANI!D24*B58))*VERI_TABANI!$B$8) + IF(ABS(IF(ISNUMBER(SEARCH("Var", D58)), 1, IF(ISNUMBER(SEARCH("Gri", D58)), -1, 0)))=1, VERI_TABANI!E24*(1-0.928)*VERI_TABANI!$B$9, 0) + (VERI_TABANI!D24*B58*(VERI_TABANI!$B$13-VERI_TABANI!$B$14)*VERI_TABANI!G24) + (VERI_TABANI!D24*C58*(VERI_TABANI!$B$13-VERI_TABANI!$B$15)*VERI_TABANI!G24) + IF(ABS(IF(ISNUMBER(SEARCH("Var", D58)), 1, IF(ISNUMBER(SEARCH("Gri", D58)), -1, 0)))=1, VERI_TABANI!E24*(1-0.928)*0.00206091519919798*VERI_TABANI!G24, 0)) + ((MIN(VERI_TABANI!D25, VERI_TABANI!D25*B58)*VERI_TABANI!$B$7 + MAX(0, VERI_TABANI!D25*B58-VERI_TABANI!D25)*VERI_TABANI!$B$8) + (MIN(MAX(0, VERI_TABANI!D25-VERI_TABANI!D25*B58), VERI_TABANI!D25*C58)*VERI_TABANI!$B$7 + MAX(0, VERI_TABANI!D25*C58-MAX(0, VERI_TABANI!D25-VERI_TABANI!D25*B58))*VERI_TABANI!$B$8) + IF(ABS(IF(ISNUMBER(SEARCH("Var", D58)), 1, IF(ISNUMBER(SEARCH("Gri", D58)), -1, 0)))=1, VERI_TABANI!E25*(1-0.928)*VERI_TABANI!$B$9, 0) + (VERI_TABANI!D25*B58*(VERI_TABANI!$B$13-VERI_TABANI!$B$14)*VERI_TABANI!G25) + (VERI_TABANI!D25*C58*(VERI_TABANI!$B$13-VERI_TABANI!$B$15)*VERI_TABANI!G25) + IF(ABS(IF(ISNUMBER(SEARCH("Var", D58)), 1, IF(ISNUMBER(SEARCH("Gri", D58)), -1, 0)))=1, VERI_TABANI!E25*(1-0.928)*0.00206091519919798*VERI_TABANI!G25, 0)) + ((MIN(VERI_TABANI!D26, VERI_TABANI!D26*B58)*VERI_TABANI!$B$7 + MAX(0, VERI_TABANI!D26*B58-VERI_TABANI!D26)*VERI_TABANI!$B$8) + (MIN(MAX(0, VERI_TABANI!D26-VERI_TABANI!D26*B58), VERI_TABANI!D26*C58)*VERI_TABANI!$B$7 + MAX(0, VERI_TABANI!D26*C58-MAX(0, VERI_TABANI!D26-VERI_TABANI!D26*B58))*VERI_TABANI!$B$8) + IF(ABS(IF(ISNUMBER(SEARCH("Var", D58)), 1, IF(ISNUMBER(SEARCH("Gri", D58)), -1, 0)))=1, VERI_TABANI!E26*(1-0.928)*VERI_TABANI!$B$9, 0) + (VERI_TABANI!D26*B58*(VERI_TABANI!$B$13-VERI_TABANI!$B$14)*VERI_TABANI!G26) + (VERI_TABANI!D26*C58*(VERI_TABANI!$B$13-VERI_TABANI!$B$15)*VERI_TABANI!G26) + IF(ABS(IF(ISNUMBER(SEARCH("Var", D58)), 1, IF(ISNUMBER(SEARCH("Gri", D58)), -1, 0)))=1, VERI_TABANI!E26*(1-0.928)*0.00206091519919798*VERI_TABANI!G26, 0)) + ((MIN(VERI_TABANI!D27, VERI_TABANI!D27*B58)*VERI_TABANI!$B$7 + MAX(0, VERI_TABANI!D27*B58-VERI_TABANI!D27)*VERI_TABANI!$B$8) + (MIN(MAX(0, VERI_TABANI!D27-VERI_TABANI!D27*B58), VERI_TABANI!D27*C58)*VERI_TABANI!$B$7 + MAX(0, VERI_TABANI!D27*C58-MAX(0, VERI_TABANI!D27-VERI_TABANI!D27*B58))*VERI_TABANI!$B$8) + IF(ABS(IF(ISNUMBER(SEARCH("Var", D58)), 1, IF(ISNUMBER(SEARCH("Gri", D58)), -1, 0)))=1, VERI_TABANI!E27*(1-0.928)*VERI_TABANI!$B$9, 0) + (VERI_TABANI!D27*B58*(VERI_TABANI!$B$13-VERI_TABANI!$B$14)*VERI_TABANI!G27) + (VERI_TABANI!D27*C58*(VERI_TABANI!$B$13-VERI_TABANI!$B$15)*VERI_TABANI!G27) + IF(ABS(IF(ISNUMBER(SEARCH("Var", D58)), 1, IF(ISNUMBER(SEARCH("Gri", D58)), -1, 0)))=1, VERI_TABANI!E27*(1-0.928)*0.00206091519919798*VERI_TABANI!G27, 0)) + ((MIN(VERI_TABANI!D28, VERI_TABANI!D28*B58)*VERI_TABANI!$B$7 + MAX(0, VERI_TABANI!D28*B58-VERI_TABANI!D28)*VERI_TABANI!$B$8) + (MIN(MAX(0, VERI_TABANI!D28-VERI_TABANI!D28*B58), VERI_TABANI!D28*C58)*VERI_TABANI!$B$7 + MAX(0, VERI_TABANI!D28*C58-MAX(0, VERI_TABANI!D28-VERI_TABANI!D28*B58))*VERI_TABANI!$B$8) + IF(ABS(IF(ISNUMBER(SEARCH("Var", D58)), 1, IF(ISNUMBER(SEARCH("Gri", D58)), -1, 0)))=1, VERI_TABANI!E28*(1-0.928)*VERI_TABANI!$B$9, 0) + (VERI_TABANI!D28*B58*(VERI_TABANI!$B$13-VERI_TABANI!$B$14)*VERI_TABANI!G28) + (VERI_TABANI!D28*C58*(VERI_TABANI!$B$13-VERI_TABANI!$B$15)*VERI_TABANI!G28) + IF(ABS(IF(ISNUMBER(SEARCH("Var", D58)), 1, IF(ISNUMBER(SEARCH("Gri", D58)), -1, 0)))=1, VERI_TABANI!E28*(1-0.928)*0.00206091519919798*VERI_TABANI!G28, 0)))</f>
        <v/>
      </c>
      <c r="H58" s="169">
        <f>(((VERI_TABANI!D23*B58*(VERI_TABANI!$B$13-VERI_TABANI!$B$14)) + (VERI_TABANI!D23*C58*(VERI_TABANI!$B$13-VERI_TABANI!$B$15)) + IF(ISNUMBER(SEARCH("Var", D58)), VERI_TABANI!F23*(0.00202-VERI_TABANI!$B$16), IF(ISNUMBER(SEARCH("Gri", D58)), VERI_TABANI!F23*(0.00202-VERI_TABANI!$B$17), 0))) + ((VERI_TABANI!D24*B58*(VERI_TABANI!$B$13-VERI_TABANI!$B$14)) + (VERI_TABANI!D24*C58*(VERI_TABANI!$B$13-VERI_TABANI!$B$15)) + IF(ISNUMBER(SEARCH("Var", D58)), VERI_TABANI!F24*(0.00202-VERI_TABANI!$B$16), IF(ISNUMBER(SEARCH("Gri", D58)), VERI_TABANI!F24*(0.00202-VERI_TABANI!$B$17), 0))) + ((VERI_TABANI!D25*B58*(VERI_TABANI!$B$13-VERI_TABANI!$B$14)) + (VERI_TABANI!D25*C58*(VERI_TABANI!$B$13-VERI_TABANI!$B$15)) + IF(ISNUMBER(SEARCH("Var", D58)), VERI_TABANI!F25*(0.00202-VERI_TABANI!$B$16), IF(ISNUMBER(SEARCH("Gri", D58)), VERI_TABANI!F25*(0.00202-VERI_TABANI!$B$17), 0))) + ((VERI_TABANI!D26*B58*(VERI_TABANI!$B$13-VERI_TABANI!$B$14)) + (VERI_TABANI!D26*C58*(VERI_TABANI!$B$13-VERI_TABANI!$B$15)) + IF(ISNUMBER(SEARCH("Var", D58)), VERI_TABANI!F26*(0.00202-VERI_TABANI!$B$16), IF(ISNUMBER(SEARCH("Gri", D58)), VERI_TABANI!F26*(0.00202-VERI_TABANI!$B$17), 0))) + ((VERI_TABANI!D27*B58*(VERI_TABANI!$B$13-VERI_TABANI!$B$14)) + (VERI_TABANI!D27*C58*(VERI_TABANI!$B$13-VERI_TABANI!$B$15)) + IF(ISNUMBER(SEARCH("Var", D58)), VERI_TABANI!F27*(0.00202-VERI_TABANI!$B$16), IF(ISNUMBER(SEARCH("Gri", D58)), VERI_TABANI!F27*(0.00202-VERI_TABANI!$B$17), 0))) + ((VERI_TABANI!D28*B58*(VERI_TABANI!$B$13-VERI_TABANI!$B$14)) + (VERI_TABANI!D28*C58*(VERI_TABANI!$B$13-VERI_TABANI!$B$15)) + IF(ISNUMBER(SEARCH("Var", D58)), VERI_TABANI!F28*(0.00202-VERI_TABANI!$B$16), IF(ISNUMBER(SEARCH("Gri", D58)), VERI_TABANI!F28*(0.00202-VERI_TABANI!$B$17), 0))))</f>
        <v/>
      </c>
      <c r="I58" s="170">
        <f>IFERROR(((VERI_TABANI!$D$29*B58*VERI_TABANI!$B$14 + VERI_TABANI!$D$29*C58*VERI_TABANI!$B$15 + IF(ISNUMBER(SEARCH("Var", D58)), VERI_TABANI!$F$29*VERI_TABANI!$B$16, 0))) / (((VERI_TABANI!$D$29*B58 + VERI_TABANI!$D$29*C58)*VERI_TABANI!$B$13 + IF(ISNUMBER(SEARCH("Var", D58)), VERI_TABANI!$E$29*(1-0.928)*VERI_TABANI!$B$18, 0))), 0)</f>
        <v/>
      </c>
      <c r="J58" s="171">
        <f>IFERROR(F58/(G58/29), 0)</f>
        <v/>
      </c>
      <c r="K58" s="172">
        <f>IF(F58&gt;0, H58/F58, 0)</f>
        <v/>
      </c>
      <c r="L58" s="170">
        <f>IF(F58&gt;0, I58, 1000000000)</f>
        <v/>
      </c>
      <c r="M58" s="171">
        <f>ABS((B58+C58)-1)</f>
        <v/>
      </c>
      <c r="N58" s="170">
        <f>IF(F58&gt;0, (G58/29)/F58, 0)</f>
        <v/>
      </c>
      <c r="O58" s="168">
        <f>IF(AND((B58+C58)&gt;=1, ISNUMBER(SEARCH("Var", D58))), F58, 1000000000)</f>
        <v/>
      </c>
      <c r="P58" s="172">
        <f>IF(F58&gt;0, SQRT((F58/MAX(F$5:F$886))^2 + (1 - H58/MAX(H$5:H$886))^2 + (J58/MAX(J$5:J$886))^2), 1000000000)</f>
        <v/>
      </c>
      <c r="Q58" s="166">
        <f>IF(AND(ABS(B58-0.5)&lt;0.01, ABS(C58-0.5)&lt;0.01, ISNUMBER(SEARCH("Var", D58))), 1, 0)</f>
        <v/>
      </c>
      <c r="R58" s="171">
        <f>IF(F58&gt;0, J58, 1000000000)</f>
        <v/>
      </c>
      <c r="S58" s="101">
        <f>IF(AND(F58&lt;=DASHBOARD!$B$11, H58&gt;=DASHBOARD!$B$13), G58, -1000000000000)</f>
        <v/>
      </c>
      <c r="T58" s="101">
        <f>IF(AND(F58&lt;=DASHBOARD!$B$11, H58&gt;=DASHBOARD!$B$13), R58, 1000000000000)</f>
        <v/>
      </c>
      <c r="U58" s="101">
        <f>IF(AND(F58&lt;=DASHBOARD!$B$11, H58&gt;=DASHBOARD!$B$13), N58, -1000000000000)</f>
        <v/>
      </c>
      <c r="V58" s="101">
        <f>IF(AND(F58&lt;=DASHBOARD!$B$11, H58&gt;=DASHBOARD!$B$13), H58, -1000000000000)</f>
        <v/>
      </c>
      <c r="W58" s="101">
        <f>IF(AND(F58&lt;=DASHBOARD!$B$11, H58&gt;=DASHBOARD!$B$13), K58, -1000000000000)</f>
        <v/>
      </c>
      <c r="X58" s="101">
        <f>IF(AND(F58&lt;=DASHBOARD!$B$11, H58&gt;=DASHBOARD!$B$13), M58, 1000000000000)</f>
        <v/>
      </c>
      <c r="Y58" s="101">
        <f>IF(AND(F58&lt;=DASHBOARD!$B$10, H58&gt;=DASHBOARD!$B$11), L58, 1000000000000)</f>
        <v/>
      </c>
      <c r="Z58" s="101">
        <f>IF(AND(F58&lt;=DASHBOARD!$B$10, H58&gt;=DASHBOARD!$B$11), O58, 1000000000000)</f>
        <v/>
      </c>
      <c r="AA58" s="101">
        <f>IF(AND(F58&lt;=DASHBOARD!$B$10, H58&gt;=DASHBOARD!$B$11), P58, 1000000000000)</f>
        <v/>
      </c>
      <c r="AB58" s="101">
        <f>IF(AND(F58&lt;=DASHBOARD!$B$10, H58&gt;=DASHBOARD!$B$11), Q58, -1000000000000)</f>
        <v/>
      </c>
    </row>
    <row r="59" ht="12.75" customHeight="1" s="102">
      <c r="A59" s="166" t="n">
        <v>55</v>
      </c>
      <c r="B59" s="167" t="n">
        <v>0.1</v>
      </c>
      <c r="C59" s="167" t="n">
        <v>0.6</v>
      </c>
      <c r="D59" s="110" t="inlineStr">
        <is>
          <t>Yok (%0)</t>
        </is>
      </c>
      <c r="E59" s="110">
        <f>IF((B59+C59)&lt;=1, "Tam Mahsuplaşma (≤%100)", "Kısmi Satış (&gt;%100)")</f>
        <v/>
      </c>
      <c r="F59" s="168">
        <f>((VERI_TABANI!$D$29*B59/VERI_TABANI!$B$29)/VERI_TABANI!$B$3)*VERI_TABANI!$B$5 + ((VERI_TABANI!$D$29*C59/VERI_TABANI!$B$29)/VERI_TABANI!$B$4)*VERI_TABANI!$B$6 + IF(ISNUMBER(SEARCH("Var", D59)), (VERI_TABANI!$F$29/VERI_TABANI!$B$29)*(VERI_TABANI!$B$10+VERI_TABANI!$B$12), 0)</f>
        <v/>
      </c>
      <c r="G59" s="168">
        <f>(((MIN(VERI_TABANI!D23, VERI_TABANI!D23*B59)*VERI_TABANI!$B$7 + MAX(0, VERI_TABANI!D23*B59-VERI_TABANI!D23)*VERI_TABANI!$B$8) + (MIN(MAX(0, VERI_TABANI!D23-VERI_TABANI!D23*B59), VERI_TABANI!D23*C59)*VERI_TABANI!$B$7 + MAX(0, VERI_TABANI!D23*C59-MAX(0, VERI_TABANI!D23-VERI_TABANI!D23*B59))*VERI_TABANI!$B$8) + IF(ABS(IF(ISNUMBER(SEARCH("Var", D59)), 1, IF(ISNUMBER(SEARCH("Gri", D59)), -1, 0)))=1, VERI_TABANI!E23*(1-0.928)*VERI_TABANI!$B$9, 0) + (VERI_TABANI!D23*B59*(VERI_TABANI!$B$13-VERI_TABANI!$B$14)*VERI_TABANI!G23) + (VERI_TABANI!D23*C59*(VERI_TABANI!$B$13-VERI_TABANI!$B$15)*VERI_TABANI!G23) + IF(ABS(IF(ISNUMBER(SEARCH("Var", D59)), 1, IF(ISNUMBER(SEARCH("Gri", D59)), -1, 0)))=1, VERI_TABANI!E23*(1-0.928)*0.00206091519919798*VERI_TABANI!G23, 0)) + ((MIN(VERI_TABANI!D24, VERI_TABANI!D24*B59)*VERI_TABANI!$B$7 + MAX(0, VERI_TABANI!D24*B59-VERI_TABANI!D24)*VERI_TABANI!$B$8) + (MIN(MAX(0, VERI_TABANI!D24-VERI_TABANI!D24*B59), VERI_TABANI!D24*C59)*VERI_TABANI!$B$7 + MAX(0, VERI_TABANI!D24*C59-MAX(0, VERI_TABANI!D24-VERI_TABANI!D24*B59))*VERI_TABANI!$B$8) + IF(ABS(IF(ISNUMBER(SEARCH("Var", D59)), 1, IF(ISNUMBER(SEARCH("Gri", D59)), -1, 0)))=1, VERI_TABANI!E24*(1-0.928)*VERI_TABANI!$B$9, 0) + (VERI_TABANI!D24*B59*(VERI_TABANI!$B$13-VERI_TABANI!$B$14)*VERI_TABANI!G24) + (VERI_TABANI!D24*C59*(VERI_TABANI!$B$13-VERI_TABANI!$B$15)*VERI_TABANI!G24) + IF(ABS(IF(ISNUMBER(SEARCH("Var", D59)), 1, IF(ISNUMBER(SEARCH("Gri", D59)), -1, 0)))=1, VERI_TABANI!E24*(1-0.928)*0.00206091519919798*VERI_TABANI!G24, 0)) + ((MIN(VERI_TABANI!D25, VERI_TABANI!D25*B59)*VERI_TABANI!$B$7 + MAX(0, VERI_TABANI!D25*B59-VERI_TABANI!D25)*VERI_TABANI!$B$8) + (MIN(MAX(0, VERI_TABANI!D25-VERI_TABANI!D25*B59), VERI_TABANI!D25*C59)*VERI_TABANI!$B$7 + MAX(0, VERI_TABANI!D25*C59-MAX(0, VERI_TABANI!D25-VERI_TABANI!D25*B59))*VERI_TABANI!$B$8) + IF(ABS(IF(ISNUMBER(SEARCH("Var", D59)), 1, IF(ISNUMBER(SEARCH("Gri", D59)), -1, 0)))=1, VERI_TABANI!E25*(1-0.928)*VERI_TABANI!$B$9, 0) + (VERI_TABANI!D25*B59*(VERI_TABANI!$B$13-VERI_TABANI!$B$14)*VERI_TABANI!G25) + (VERI_TABANI!D25*C59*(VERI_TABANI!$B$13-VERI_TABANI!$B$15)*VERI_TABANI!G25) + IF(ABS(IF(ISNUMBER(SEARCH("Var", D59)), 1, IF(ISNUMBER(SEARCH("Gri", D59)), -1, 0)))=1, VERI_TABANI!E25*(1-0.928)*0.00206091519919798*VERI_TABANI!G25, 0)) + ((MIN(VERI_TABANI!D26, VERI_TABANI!D26*B59)*VERI_TABANI!$B$7 + MAX(0, VERI_TABANI!D26*B59-VERI_TABANI!D26)*VERI_TABANI!$B$8) + (MIN(MAX(0, VERI_TABANI!D26-VERI_TABANI!D26*B59), VERI_TABANI!D26*C59)*VERI_TABANI!$B$7 + MAX(0, VERI_TABANI!D26*C59-MAX(0, VERI_TABANI!D26-VERI_TABANI!D26*B59))*VERI_TABANI!$B$8) + IF(ABS(IF(ISNUMBER(SEARCH("Var", D59)), 1, IF(ISNUMBER(SEARCH("Gri", D59)), -1, 0)))=1, VERI_TABANI!E26*(1-0.928)*VERI_TABANI!$B$9, 0) + (VERI_TABANI!D26*B59*(VERI_TABANI!$B$13-VERI_TABANI!$B$14)*VERI_TABANI!G26) + (VERI_TABANI!D26*C59*(VERI_TABANI!$B$13-VERI_TABANI!$B$15)*VERI_TABANI!G26) + IF(ABS(IF(ISNUMBER(SEARCH("Var", D59)), 1, IF(ISNUMBER(SEARCH("Gri", D59)), -1, 0)))=1, VERI_TABANI!E26*(1-0.928)*0.00206091519919798*VERI_TABANI!G26, 0)) + ((MIN(VERI_TABANI!D27, VERI_TABANI!D27*B59)*VERI_TABANI!$B$7 + MAX(0, VERI_TABANI!D27*B59-VERI_TABANI!D27)*VERI_TABANI!$B$8) + (MIN(MAX(0, VERI_TABANI!D27-VERI_TABANI!D27*B59), VERI_TABANI!D27*C59)*VERI_TABANI!$B$7 + MAX(0, VERI_TABANI!D27*C59-MAX(0, VERI_TABANI!D27-VERI_TABANI!D27*B59))*VERI_TABANI!$B$8) + IF(ABS(IF(ISNUMBER(SEARCH("Var", D59)), 1, IF(ISNUMBER(SEARCH("Gri", D59)), -1, 0)))=1, VERI_TABANI!E27*(1-0.928)*VERI_TABANI!$B$9, 0) + (VERI_TABANI!D27*B59*(VERI_TABANI!$B$13-VERI_TABANI!$B$14)*VERI_TABANI!G27) + (VERI_TABANI!D27*C59*(VERI_TABANI!$B$13-VERI_TABANI!$B$15)*VERI_TABANI!G27) + IF(ABS(IF(ISNUMBER(SEARCH("Var", D59)), 1, IF(ISNUMBER(SEARCH("Gri", D59)), -1, 0)))=1, VERI_TABANI!E27*(1-0.928)*0.00206091519919798*VERI_TABANI!G27, 0)) + ((MIN(VERI_TABANI!D28, VERI_TABANI!D28*B59)*VERI_TABANI!$B$7 + MAX(0, VERI_TABANI!D28*B59-VERI_TABANI!D28)*VERI_TABANI!$B$8) + (MIN(MAX(0, VERI_TABANI!D28-VERI_TABANI!D28*B59), VERI_TABANI!D28*C59)*VERI_TABANI!$B$7 + MAX(0, VERI_TABANI!D28*C59-MAX(0, VERI_TABANI!D28-VERI_TABANI!D28*B59))*VERI_TABANI!$B$8) + IF(ABS(IF(ISNUMBER(SEARCH("Var", D59)), 1, IF(ISNUMBER(SEARCH("Gri", D59)), -1, 0)))=1, VERI_TABANI!E28*(1-0.928)*VERI_TABANI!$B$9, 0) + (VERI_TABANI!D28*B59*(VERI_TABANI!$B$13-VERI_TABANI!$B$14)*VERI_TABANI!G28) + (VERI_TABANI!D28*C59*(VERI_TABANI!$B$13-VERI_TABANI!$B$15)*VERI_TABANI!G28) + IF(ABS(IF(ISNUMBER(SEARCH("Var", D59)), 1, IF(ISNUMBER(SEARCH("Gri", D59)), -1, 0)))=1, VERI_TABANI!E28*(1-0.928)*0.00206091519919798*VERI_TABANI!G28, 0)))</f>
        <v/>
      </c>
      <c r="H59" s="169">
        <f>(((VERI_TABANI!D23*B59*(VERI_TABANI!$B$13-VERI_TABANI!$B$14)) + (VERI_TABANI!D23*C59*(VERI_TABANI!$B$13-VERI_TABANI!$B$15)) + IF(ISNUMBER(SEARCH("Var", D59)), VERI_TABANI!F23*(0.00202-VERI_TABANI!$B$16), IF(ISNUMBER(SEARCH("Gri", D59)), VERI_TABANI!F23*(0.00202-VERI_TABANI!$B$17), 0))) + ((VERI_TABANI!D24*B59*(VERI_TABANI!$B$13-VERI_TABANI!$B$14)) + (VERI_TABANI!D24*C59*(VERI_TABANI!$B$13-VERI_TABANI!$B$15)) + IF(ISNUMBER(SEARCH("Var", D59)), VERI_TABANI!F24*(0.00202-VERI_TABANI!$B$16), IF(ISNUMBER(SEARCH("Gri", D59)), VERI_TABANI!F24*(0.00202-VERI_TABANI!$B$17), 0))) + ((VERI_TABANI!D25*B59*(VERI_TABANI!$B$13-VERI_TABANI!$B$14)) + (VERI_TABANI!D25*C59*(VERI_TABANI!$B$13-VERI_TABANI!$B$15)) + IF(ISNUMBER(SEARCH("Var", D59)), VERI_TABANI!F25*(0.00202-VERI_TABANI!$B$16), IF(ISNUMBER(SEARCH("Gri", D59)), VERI_TABANI!F25*(0.00202-VERI_TABANI!$B$17), 0))) + ((VERI_TABANI!D26*B59*(VERI_TABANI!$B$13-VERI_TABANI!$B$14)) + (VERI_TABANI!D26*C59*(VERI_TABANI!$B$13-VERI_TABANI!$B$15)) + IF(ISNUMBER(SEARCH("Var", D59)), VERI_TABANI!F26*(0.00202-VERI_TABANI!$B$16), IF(ISNUMBER(SEARCH("Gri", D59)), VERI_TABANI!F26*(0.00202-VERI_TABANI!$B$17), 0))) + ((VERI_TABANI!D27*B59*(VERI_TABANI!$B$13-VERI_TABANI!$B$14)) + (VERI_TABANI!D27*C59*(VERI_TABANI!$B$13-VERI_TABANI!$B$15)) + IF(ISNUMBER(SEARCH("Var", D59)), VERI_TABANI!F27*(0.00202-VERI_TABANI!$B$16), IF(ISNUMBER(SEARCH("Gri", D59)), VERI_TABANI!F27*(0.00202-VERI_TABANI!$B$17), 0))) + ((VERI_TABANI!D28*B59*(VERI_TABANI!$B$13-VERI_TABANI!$B$14)) + (VERI_TABANI!D28*C59*(VERI_TABANI!$B$13-VERI_TABANI!$B$15)) + IF(ISNUMBER(SEARCH("Var", D59)), VERI_TABANI!F28*(0.00202-VERI_TABANI!$B$16), IF(ISNUMBER(SEARCH("Gri", D59)), VERI_TABANI!F28*(0.00202-VERI_TABANI!$B$17), 0))))</f>
        <v/>
      </c>
      <c r="I59" s="170">
        <f>IFERROR(((VERI_TABANI!$D$29*B59*VERI_TABANI!$B$14 + VERI_TABANI!$D$29*C59*VERI_TABANI!$B$15 + IF(ISNUMBER(SEARCH("Var", D59)), VERI_TABANI!$F$29*VERI_TABANI!$B$16, 0))) / (((VERI_TABANI!$D$29*B59 + VERI_TABANI!$D$29*C59)*VERI_TABANI!$B$13 + IF(ISNUMBER(SEARCH("Var", D59)), VERI_TABANI!$E$29*(1-0.928)*VERI_TABANI!$B$18, 0))), 0)</f>
        <v/>
      </c>
      <c r="J59" s="171">
        <f>IFERROR(F59/(G59/29), 0)</f>
        <v/>
      </c>
      <c r="K59" s="172">
        <f>IF(F59&gt;0, H59/F59, 0)</f>
        <v/>
      </c>
      <c r="L59" s="170">
        <f>IF(F59&gt;0, I59, 1000000000)</f>
        <v/>
      </c>
      <c r="M59" s="171">
        <f>ABS((B59+C59)-1)</f>
        <v/>
      </c>
      <c r="N59" s="170">
        <f>IF(F59&gt;0, (G59/29)/F59, 0)</f>
        <v/>
      </c>
      <c r="O59" s="168">
        <f>IF(AND((B59+C59)&gt;=1, ISNUMBER(SEARCH("Var", D59))), F59, 1000000000)</f>
        <v/>
      </c>
      <c r="P59" s="172">
        <f>IF(F59&gt;0, SQRT((F59/MAX(F$5:F$886))^2 + (1 - H59/MAX(H$5:H$886))^2 + (J59/MAX(J$5:J$886))^2), 1000000000)</f>
        <v/>
      </c>
      <c r="Q59" s="166">
        <f>IF(AND(ABS(B59-0.5)&lt;0.01, ABS(C59-0.5)&lt;0.01, ISNUMBER(SEARCH("Var", D59))), 1, 0)</f>
        <v/>
      </c>
      <c r="R59" s="171">
        <f>IF(F59&gt;0, J59, 1000000000)</f>
        <v/>
      </c>
      <c r="S59" s="101">
        <f>IF(AND(F59&lt;=DASHBOARD!$B$11, H59&gt;=DASHBOARD!$B$13), G59, -1000000000000)</f>
        <v/>
      </c>
      <c r="T59" s="101">
        <f>IF(AND(F59&lt;=DASHBOARD!$B$11, H59&gt;=DASHBOARD!$B$13), R59, 1000000000000)</f>
        <v/>
      </c>
      <c r="U59" s="101">
        <f>IF(AND(F59&lt;=DASHBOARD!$B$11, H59&gt;=DASHBOARD!$B$13), N59, -1000000000000)</f>
        <v/>
      </c>
      <c r="V59" s="101">
        <f>IF(AND(F59&lt;=DASHBOARD!$B$11, H59&gt;=DASHBOARD!$B$13), H59, -1000000000000)</f>
        <v/>
      </c>
      <c r="W59" s="101">
        <f>IF(AND(F59&lt;=DASHBOARD!$B$11, H59&gt;=DASHBOARD!$B$13), K59, -1000000000000)</f>
        <v/>
      </c>
      <c r="X59" s="101">
        <f>IF(AND(F59&lt;=DASHBOARD!$B$11, H59&gt;=DASHBOARD!$B$13), M59, 1000000000000)</f>
        <v/>
      </c>
      <c r="Y59" s="101">
        <f>IF(AND(F59&lt;=DASHBOARD!$B$10, H59&gt;=DASHBOARD!$B$11), L59, 1000000000000)</f>
        <v/>
      </c>
      <c r="Z59" s="101">
        <f>IF(AND(F59&lt;=DASHBOARD!$B$10, H59&gt;=DASHBOARD!$B$11), O59, 1000000000000)</f>
        <v/>
      </c>
      <c r="AA59" s="101">
        <f>IF(AND(F59&lt;=DASHBOARD!$B$10, H59&gt;=DASHBOARD!$B$11), P59, 1000000000000)</f>
        <v/>
      </c>
      <c r="AB59" s="101">
        <f>IF(AND(F59&lt;=DASHBOARD!$B$10, H59&gt;=DASHBOARD!$B$11), Q59, -1000000000000)</f>
        <v/>
      </c>
    </row>
    <row r="60" ht="12.75" customHeight="1" s="102">
      <c r="A60" s="166" t="n">
        <v>56</v>
      </c>
      <c r="B60" s="167" t="n">
        <v>0.1</v>
      </c>
      <c r="C60" s="167" t="n">
        <v>0.6</v>
      </c>
      <c r="D60" s="110" t="inlineStr">
        <is>
          <t>Var (%20)</t>
        </is>
      </c>
      <c r="E60" s="110">
        <f>IF((B60+C60)&lt;=1, "Tam Mahsuplaşma (≤%100)", "Kısmi Satış (&gt;%100)")</f>
        <v/>
      </c>
      <c r="F60" s="168">
        <f>((VERI_TABANI!$D$29*B60/VERI_TABANI!$B$29)/VERI_TABANI!$B$3)*VERI_TABANI!$B$5 + ((VERI_TABANI!$D$29*C60/VERI_TABANI!$B$29)/VERI_TABANI!$B$4)*VERI_TABANI!$B$6 + IF(ISNUMBER(SEARCH("Var", D60)), (VERI_TABANI!$F$29/VERI_TABANI!$B$29)*(VERI_TABANI!$B$10+VERI_TABANI!$B$12), 0)</f>
        <v/>
      </c>
      <c r="G60" s="168">
        <f>(((MIN(VERI_TABANI!D23, VERI_TABANI!D23*B60)*VERI_TABANI!$B$7 + MAX(0, VERI_TABANI!D23*B60-VERI_TABANI!D23)*VERI_TABANI!$B$8) + (MIN(MAX(0, VERI_TABANI!D23-VERI_TABANI!D23*B60), VERI_TABANI!D23*C60)*VERI_TABANI!$B$7 + MAX(0, VERI_TABANI!D23*C60-MAX(0, VERI_TABANI!D23-VERI_TABANI!D23*B60))*VERI_TABANI!$B$8) + IF(ABS(IF(ISNUMBER(SEARCH("Var", D60)), 1, IF(ISNUMBER(SEARCH("Gri", D60)), -1, 0)))=1, VERI_TABANI!E23*(1-0.928)*VERI_TABANI!$B$9, 0) + (VERI_TABANI!D23*B60*(VERI_TABANI!$B$13-VERI_TABANI!$B$14)*VERI_TABANI!G23) + (VERI_TABANI!D23*C60*(VERI_TABANI!$B$13-VERI_TABANI!$B$15)*VERI_TABANI!G23) + IF(ABS(IF(ISNUMBER(SEARCH("Var", D60)), 1, IF(ISNUMBER(SEARCH("Gri", D60)), -1, 0)))=1, VERI_TABANI!E23*(1-0.928)*0.00206091519919798*VERI_TABANI!G23, 0)) + ((MIN(VERI_TABANI!D24, VERI_TABANI!D24*B60)*VERI_TABANI!$B$7 + MAX(0, VERI_TABANI!D24*B60-VERI_TABANI!D24)*VERI_TABANI!$B$8) + (MIN(MAX(0, VERI_TABANI!D24-VERI_TABANI!D24*B60), VERI_TABANI!D24*C60)*VERI_TABANI!$B$7 + MAX(0, VERI_TABANI!D24*C60-MAX(0, VERI_TABANI!D24-VERI_TABANI!D24*B60))*VERI_TABANI!$B$8) + IF(ABS(IF(ISNUMBER(SEARCH("Var", D60)), 1, IF(ISNUMBER(SEARCH("Gri", D60)), -1, 0)))=1, VERI_TABANI!E24*(1-0.928)*VERI_TABANI!$B$9, 0) + (VERI_TABANI!D24*B60*(VERI_TABANI!$B$13-VERI_TABANI!$B$14)*VERI_TABANI!G24) + (VERI_TABANI!D24*C60*(VERI_TABANI!$B$13-VERI_TABANI!$B$15)*VERI_TABANI!G24) + IF(ABS(IF(ISNUMBER(SEARCH("Var", D60)), 1, IF(ISNUMBER(SEARCH("Gri", D60)), -1, 0)))=1, VERI_TABANI!E24*(1-0.928)*0.00206091519919798*VERI_TABANI!G24, 0)) + ((MIN(VERI_TABANI!D25, VERI_TABANI!D25*B60)*VERI_TABANI!$B$7 + MAX(0, VERI_TABANI!D25*B60-VERI_TABANI!D25)*VERI_TABANI!$B$8) + (MIN(MAX(0, VERI_TABANI!D25-VERI_TABANI!D25*B60), VERI_TABANI!D25*C60)*VERI_TABANI!$B$7 + MAX(0, VERI_TABANI!D25*C60-MAX(0, VERI_TABANI!D25-VERI_TABANI!D25*B60))*VERI_TABANI!$B$8) + IF(ABS(IF(ISNUMBER(SEARCH("Var", D60)), 1, IF(ISNUMBER(SEARCH("Gri", D60)), -1, 0)))=1, VERI_TABANI!E25*(1-0.928)*VERI_TABANI!$B$9, 0) + (VERI_TABANI!D25*B60*(VERI_TABANI!$B$13-VERI_TABANI!$B$14)*VERI_TABANI!G25) + (VERI_TABANI!D25*C60*(VERI_TABANI!$B$13-VERI_TABANI!$B$15)*VERI_TABANI!G25) + IF(ABS(IF(ISNUMBER(SEARCH("Var", D60)), 1, IF(ISNUMBER(SEARCH("Gri", D60)), -1, 0)))=1, VERI_TABANI!E25*(1-0.928)*0.00206091519919798*VERI_TABANI!G25, 0)) + ((MIN(VERI_TABANI!D26, VERI_TABANI!D26*B60)*VERI_TABANI!$B$7 + MAX(0, VERI_TABANI!D26*B60-VERI_TABANI!D26)*VERI_TABANI!$B$8) + (MIN(MAX(0, VERI_TABANI!D26-VERI_TABANI!D26*B60), VERI_TABANI!D26*C60)*VERI_TABANI!$B$7 + MAX(0, VERI_TABANI!D26*C60-MAX(0, VERI_TABANI!D26-VERI_TABANI!D26*B60))*VERI_TABANI!$B$8) + IF(ABS(IF(ISNUMBER(SEARCH("Var", D60)), 1, IF(ISNUMBER(SEARCH("Gri", D60)), -1, 0)))=1, VERI_TABANI!E26*(1-0.928)*VERI_TABANI!$B$9, 0) + (VERI_TABANI!D26*B60*(VERI_TABANI!$B$13-VERI_TABANI!$B$14)*VERI_TABANI!G26) + (VERI_TABANI!D26*C60*(VERI_TABANI!$B$13-VERI_TABANI!$B$15)*VERI_TABANI!G26) + IF(ABS(IF(ISNUMBER(SEARCH("Var", D60)), 1, IF(ISNUMBER(SEARCH("Gri", D60)), -1, 0)))=1, VERI_TABANI!E26*(1-0.928)*0.00206091519919798*VERI_TABANI!G26, 0)) + ((MIN(VERI_TABANI!D27, VERI_TABANI!D27*B60)*VERI_TABANI!$B$7 + MAX(0, VERI_TABANI!D27*B60-VERI_TABANI!D27)*VERI_TABANI!$B$8) + (MIN(MAX(0, VERI_TABANI!D27-VERI_TABANI!D27*B60), VERI_TABANI!D27*C60)*VERI_TABANI!$B$7 + MAX(0, VERI_TABANI!D27*C60-MAX(0, VERI_TABANI!D27-VERI_TABANI!D27*B60))*VERI_TABANI!$B$8) + IF(ABS(IF(ISNUMBER(SEARCH("Var", D60)), 1, IF(ISNUMBER(SEARCH("Gri", D60)), -1, 0)))=1, VERI_TABANI!E27*(1-0.928)*VERI_TABANI!$B$9, 0) + (VERI_TABANI!D27*B60*(VERI_TABANI!$B$13-VERI_TABANI!$B$14)*VERI_TABANI!G27) + (VERI_TABANI!D27*C60*(VERI_TABANI!$B$13-VERI_TABANI!$B$15)*VERI_TABANI!G27) + IF(ABS(IF(ISNUMBER(SEARCH("Var", D60)), 1, IF(ISNUMBER(SEARCH("Gri", D60)), -1, 0)))=1, VERI_TABANI!E27*(1-0.928)*0.00206091519919798*VERI_TABANI!G27, 0)) + ((MIN(VERI_TABANI!D28, VERI_TABANI!D28*B60)*VERI_TABANI!$B$7 + MAX(0, VERI_TABANI!D28*B60-VERI_TABANI!D28)*VERI_TABANI!$B$8) + (MIN(MAX(0, VERI_TABANI!D28-VERI_TABANI!D28*B60), VERI_TABANI!D28*C60)*VERI_TABANI!$B$7 + MAX(0, VERI_TABANI!D28*C60-MAX(0, VERI_TABANI!D28-VERI_TABANI!D28*B60))*VERI_TABANI!$B$8) + IF(ABS(IF(ISNUMBER(SEARCH("Var", D60)), 1, IF(ISNUMBER(SEARCH("Gri", D60)), -1, 0)))=1, VERI_TABANI!E28*(1-0.928)*VERI_TABANI!$B$9, 0) + (VERI_TABANI!D28*B60*(VERI_TABANI!$B$13-VERI_TABANI!$B$14)*VERI_TABANI!G28) + (VERI_TABANI!D28*C60*(VERI_TABANI!$B$13-VERI_TABANI!$B$15)*VERI_TABANI!G28) + IF(ABS(IF(ISNUMBER(SEARCH("Var", D60)), 1, IF(ISNUMBER(SEARCH("Gri", D60)), -1, 0)))=1, VERI_TABANI!E28*(1-0.928)*0.00206091519919798*VERI_TABANI!G28, 0)))</f>
        <v/>
      </c>
      <c r="H60" s="169">
        <f>(((VERI_TABANI!D23*B60*(VERI_TABANI!$B$13-VERI_TABANI!$B$14)) + (VERI_TABANI!D23*C60*(VERI_TABANI!$B$13-VERI_TABANI!$B$15)) + IF(ISNUMBER(SEARCH("Var", D60)), VERI_TABANI!F23*(0.00202-VERI_TABANI!$B$16), IF(ISNUMBER(SEARCH("Gri", D60)), VERI_TABANI!F23*(0.00202-VERI_TABANI!$B$17), 0))) + ((VERI_TABANI!D24*B60*(VERI_TABANI!$B$13-VERI_TABANI!$B$14)) + (VERI_TABANI!D24*C60*(VERI_TABANI!$B$13-VERI_TABANI!$B$15)) + IF(ISNUMBER(SEARCH("Var", D60)), VERI_TABANI!F24*(0.00202-VERI_TABANI!$B$16), IF(ISNUMBER(SEARCH("Gri", D60)), VERI_TABANI!F24*(0.00202-VERI_TABANI!$B$17), 0))) + ((VERI_TABANI!D25*B60*(VERI_TABANI!$B$13-VERI_TABANI!$B$14)) + (VERI_TABANI!D25*C60*(VERI_TABANI!$B$13-VERI_TABANI!$B$15)) + IF(ISNUMBER(SEARCH("Var", D60)), VERI_TABANI!F25*(0.00202-VERI_TABANI!$B$16), IF(ISNUMBER(SEARCH("Gri", D60)), VERI_TABANI!F25*(0.00202-VERI_TABANI!$B$17), 0))) + ((VERI_TABANI!D26*B60*(VERI_TABANI!$B$13-VERI_TABANI!$B$14)) + (VERI_TABANI!D26*C60*(VERI_TABANI!$B$13-VERI_TABANI!$B$15)) + IF(ISNUMBER(SEARCH("Var", D60)), VERI_TABANI!F26*(0.00202-VERI_TABANI!$B$16), IF(ISNUMBER(SEARCH("Gri", D60)), VERI_TABANI!F26*(0.00202-VERI_TABANI!$B$17), 0))) + ((VERI_TABANI!D27*B60*(VERI_TABANI!$B$13-VERI_TABANI!$B$14)) + (VERI_TABANI!D27*C60*(VERI_TABANI!$B$13-VERI_TABANI!$B$15)) + IF(ISNUMBER(SEARCH("Var", D60)), VERI_TABANI!F27*(0.00202-VERI_TABANI!$B$16), IF(ISNUMBER(SEARCH("Gri", D60)), VERI_TABANI!F27*(0.00202-VERI_TABANI!$B$17), 0))) + ((VERI_TABANI!D28*B60*(VERI_TABANI!$B$13-VERI_TABANI!$B$14)) + (VERI_TABANI!D28*C60*(VERI_TABANI!$B$13-VERI_TABANI!$B$15)) + IF(ISNUMBER(SEARCH("Var", D60)), VERI_TABANI!F28*(0.00202-VERI_TABANI!$B$16), IF(ISNUMBER(SEARCH("Gri", D60)), VERI_TABANI!F28*(0.00202-VERI_TABANI!$B$17), 0))))</f>
        <v/>
      </c>
      <c r="I60" s="170">
        <f>IFERROR(((VERI_TABANI!$D$29*B60*VERI_TABANI!$B$14 + VERI_TABANI!$D$29*C60*VERI_TABANI!$B$15 + IF(ISNUMBER(SEARCH("Var", D60)), VERI_TABANI!$F$29*VERI_TABANI!$B$16, 0))) / (((VERI_TABANI!$D$29*B60 + VERI_TABANI!$D$29*C60)*VERI_TABANI!$B$13 + IF(ISNUMBER(SEARCH("Var", D60)), VERI_TABANI!$E$29*(1-0.928)*VERI_TABANI!$B$18, 0))), 0)</f>
        <v/>
      </c>
      <c r="J60" s="171">
        <f>IFERROR(F60/(G60/29), 0)</f>
        <v/>
      </c>
      <c r="K60" s="172">
        <f>IF(F60&gt;0, H60/F60, 0)</f>
        <v/>
      </c>
      <c r="L60" s="170">
        <f>IF(F60&gt;0, I60, 1000000000)</f>
        <v/>
      </c>
      <c r="M60" s="171">
        <f>ABS((B60+C60)-1)</f>
        <v/>
      </c>
      <c r="N60" s="170">
        <f>IF(F60&gt;0, (G60/29)/F60, 0)</f>
        <v/>
      </c>
      <c r="O60" s="168">
        <f>IF(AND((B60+C60)&gt;=1, ISNUMBER(SEARCH("Var", D60))), F60, 1000000000)</f>
        <v/>
      </c>
      <c r="P60" s="172">
        <f>IF(F60&gt;0, SQRT((F60/MAX(F$5:F$886))^2 + (1 - H60/MAX(H$5:H$886))^2 + (J60/MAX(J$5:J$886))^2), 1000000000)</f>
        <v/>
      </c>
      <c r="Q60" s="166">
        <f>IF(AND(ABS(B60-0.5)&lt;0.01, ABS(C60-0.5)&lt;0.01, ISNUMBER(SEARCH("Var", D60))), 1, 0)</f>
        <v/>
      </c>
      <c r="R60" s="171">
        <f>IF(F60&gt;0, J60, 1000000000)</f>
        <v/>
      </c>
      <c r="S60" s="101">
        <f>IF(AND(F60&lt;=DASHBOARD!$B$11, H60&gt;=DASHBOARD!$B$13), G60, -1000000000000)</f>
        <v/>
      </c>
      <c r="T60" s="101">
        <f>IF(AND(F60&lt;=DASHBOARD!$B$11, H60&gt;=DASHBOARD!$B$13), R60, 1000000000000)</f>
        <v/>
      </c>
      <c r="U60" s="101">
        <f>IF(AND(F60&lt;=DASHBOARD!$B$11, H60&gt;=DASHBOARD!$B$13), N60, -1000000000000)</f>
        <v/>
      </c>
      <c r="V60" s="101">
        <f>IF(AND(F60&lt;=DASHBOARD!$B$11, H60&gt;=DASHBOARD!$B$13), H60, -1000000000000)</f>
        <v/>
      </c>
      <c r="W60" s="101">
        <f>IF(AND(F60&lt;=DASHBOARD!$B$11, H60&gt;=DASHBOARD!$B$13), K60, -1000000000000)</f>
        <v/>
      </c>
      <c r="X60" s="101">
        <f>IF(AND(F60&lt;=DASHBOARD!$B$11, H60&gt;=DASHBOARD!$B$13), M60, 1000000000000)</f>
        <v/>
      </c>
      <c r="Y60" s="101">
        <f>IF(AND(F60&lt;=DASHBOARD!$B$10, H60&gt;=DASHBOARD!$B$11), L60, 1000000000000)</f>
        <v/>
      </c>
      <c r="Z60" s="101">
        <f>IF(AND(F60&lt;=DASHBOARD!$B$10, H60&gt;=DASHBOARD!$B$11), O60, 1000000000000)</f>
        <v/>
      </c>
      <c r="AA60" s="101">
        <f>IF(AND(F60&lt;=DASHBOARD!$B$10, H60&gt;=DASHBOARD!$B$11), P60, 1000000000000)</f>
        <v/>
      </c>
      <c r="AB60" s="101">
        <f>IF(AND(F60&lt;=DASHBOARD!$B$10, H60&gt;=DASHBOARD!$B$11), Q60, -1000000000000)</f>
        <v/>
      </c>
    </row>
    <row r="61" ht="12.75" customHeight="1" s="102">
      <c r="A61" s="166" t="n">
        <v>57</v>
      </c>
      <c r="B61" s="167" t="n">
        <v>0.1</v>
      </c>
      <c r="C61" s="167" t="n">
        <v>0.7</v>
      </c>
      <c r="D61" s="110" t="inlineStr">
        <is>
          <t>Yok (%0)</t>
        </is>
      </c>
      <c r="E61" s="110">
        <f>IF((B61+C61)&lt;=1, "Tam Mahsuplaşma (≤%100)", "Kısmi Satış (&gt;%100)")</f>
        <v/>
      </c>
      <c r="F61" s="168">
        <f>((VERI_TABANI!$D$29*B61/VERI_TABANI!$B$29)/VERI_TABANI!$B$3)*VERI_TABANI!$B$5 + ((VERI_TABANI!$D$29*C61/VERI_TABANI!$B$29)/VERI_TABANI!$B$4)*VERI_TABANI!$B$6 + IF(ISNUMBER(SEARCH("Var", D61)), (VERI_TABANI!$F$29/VERI_TABANI!$B$29)*(VERI_TABANI!$B$10+VERI_TABANI!$B$12), 0)</f>
        <v/>
      </c>
      <c r="G61" s="168">
        <f>(((MIN(VERI_TABANI!D23, VERI_TABANI!D23*B61)*VERI_TABANI!$B$7 + MAX(0, VERI_TABANI!D23*B61-VERI_TABANI!D23)*VERI_TABANI!$B$8) + (MIN(MAX(0, VERI_TABANI!D23-VERI_TABANI!D23*B61), VERI_TABANI!D23*C61)*VERI_TABANI!$B$7 + MAX(0, VERI_TABANI!D23*C61-MAX(0, VERI_TABANI!D23-VERI_TABANI!D23*B61))*VERI_TABANI!$B$8) + IF(ABS(IF(ISNUMBER(SEARCH("Var", D61)), 1, IF(ISNUMBER(SEARCH("Gri", D61)), -1, 0)))=1, VERI_TABANI!E23*(1-0.928)*VERI_TABANI!$B$9, 0) + (VERI_TABANI!D23*B61*(VERI_TABANI!$B$13-VERI_TABANI!$B$14)*VERI_TABANI!G23) + (VERI_TABANI!D23*C61*(VERI_TABANI!$B$13-VERI_TABANI!$B$15)*VERI_TABANI!G23) + IF(ABS(IF(ISNUMBER(SEARCH("Var", D61)), 1, IF(ISNUMBER(SEARCH("Gri", D61)), -1, 0)))=1, VERI_TABANI!E23*(1-0.928)*0.00206091519919798*VERI_TABANI!G23, 0)) + ((MIN(VERI_TABANI!D24, VERI_TABANI!D24*B61)*VERI_TABANI!$B$7 + MAX(0, VERI_TABANI!D24*B61-VERI_TABANI!D24)*VERI_TABANI!$B$8) + (MIN(MAX(0, VERI_TABANI!D24-VERI_TABANI!D24*B61), VERI_TABANI!D24*C61)*VERI_TABANI!$B$7 + MAX(0, VERI_TABANI!D24*C61-MAX(0, VERI_TABANI!D24-VERI_TABANI!D24*B61))*VERI_TABANI!$B$8) + IF(ABS(IF(ISNUMBER(SEARCH("Var", D61)), 1, IF(ISNUMBER(SEARCH("Gri", D61)), -1, 0)))=1, VERI_TABANI!E24*(1-0.928)*VERI_TABANI!$B$9, 0) + (VERI_TABANI!D24*B61*(VERI_TABANI!$B$13-VERI_TABANI!$B$14)*VERI_TABANI!G24) + (VERI_TABANI!D24*C61*(VERI_TABANI!$B$13-VERI_TABANI!$B$15)*VERI_TABANI!G24) + IF(ABS(IF(ISNUMBER(SEARCH("Var", D61)), 1, IF(ISNUMBER(SEARCH("Gri", D61)), -1, 0)))=1, VERI_TABANI!E24*(1-0.928)*0.00206091519919798*VERI_TABANI!G24, 0)) + ((MIN(VERI_TABANI!D25, VERI_TABANI!D25*B61)*VERI_TABANI!$B$7 + MAX(0, VERI_TABANI!D25*B61-VERI_TABANI!D25)*VERI_TABANI!$B$8) + (MIN(MAX(0, VERI_TABANI!D25-VERI_TABANI!D25*B61), VERI_TABANI!D25*C61)*VERI_TABANI!$B$7 + MAX(0, VERI_TABANI!D25*C61-MAX(0, VERI_TABANI!D25-VERI_TABANI!D25*B61))*VERI_TABANI!$B$8) + IF(ABS(IF(ISNUMBER(SEARCH("Var", D61)), 1, IF(ISNUMBER(SEARCH("Gri", D61)), -1, 0)))=1, VERI_TABANI!E25*(1-0.928)*VERI_TABANI!$B$9, 0) + (VERI_TABANI!D25*B61*(VERI_TABANI!$B$13-VERI_TABANI!$B$14)*VERI_TABANI!G25) + (VERI_TABANI!D25*C61*(VERI_TABANI!$B$13-VERI_TABANI!$B$15)*VERI_TABANI!G25) + IF(ABS(IF(ISNUMBER(SEARCH("Var", D61)), 1, IF(ISNUMBER(SEARCH("Gri", D61)), -1, 0)))=1, VERI_TABANI!E25*(1-0.928)*0.00206091519919798*VERI_TABANI!G25, 0)) + ((MIN(VERI_TABANI!D26, VERI_TABANI!D26*B61)*VERI_TABANI!$B$7 + MAX(0, VERI_TABANI!D26*B61-VERI_TABANI!D26)*VERI_TABANI!$B$8) + (MIN(MAX(0, VERI_TABANI!D26-VERI_TABANI!D26*B61), VERI_TABANI!D26*C61)*VERI_TABANI!$B$7 + MAX(0, VERI_TABANI!D26*C61-MAX(0, VERI_TABANI!D26-VERI_TABANI!D26*B61))*VERI_TABANI!$B$8) + IF(ABS(IF(ISNUMBER(SEARCH("Var", D61)), 1, IF(ISNUMBER(SEARCH("Gri", D61)), -1, 0)))=1, VERI_TABANI!E26*(1-0.928)*VERI_TABANI!$B$9, 0) + (VERI_TABANI!D26*B61*(VERI_TABANI!$B$13-VERI_TABANI!$B$14)*VERI_TABANI!G26) + (VERI_TABANI!D26*C61*(VERI_TABANI!$B$13-VERI_TABANI!$B$15)*VERI_TABANI!G26) + IF(ABS(IF(ISNUMBER(SEARCH("Var", D61)), 1, IF(ISNUMBER(SEARCH("Gri", D61)), -1, 0)))=1, VERI_TABANI!E26*(1-0.928)*0.00206091519919798*VERI_TABANI!G26, 0)) + ((MIN(VERI_TABANI!D27, VERI_TABANI!D27*B61)*VERI_TABANI!$B$7 + MAX(0, VERI_TABANI!D27*B61-VERI_TABANI!D27)*VERI_TABANI!$B$8) + (MIN(MAX(0, VERI_TABANI!D27-VERI_TABANI!D27*B61), VERI_TABANI!D27*C61)*VERI_TABANI!$B$7 + MAX(0, VERI_TABANI!D27*C61-MAX(0, VERI_TABANI!D27-VERI_TABANI!D27*B61))*VERI_TABANI!$B$8) + IF(ABS(IF(ISNUMBER(SEARCH("Var", D61)), 1, IF(ISNUMBER(SEARCH("Gri", D61)), -1, 0)))=1, VERI_TABANI!E27*(1-0.928)*VERI_TABANI!$B$9, 0) + (VERI_TABANI!D27*B61*(VERI_TABANI!$B$13-VERI_TABANI!$B$14)*VERI_TABANI!G27) + (VERI_TABANI!D27*C61*(VERI_TABANI!$B$13-VERI_TABANI!$B$15)*VERI_TABANI!G27) + IF(ABS(IF(ISNUMBER(SEARCH("Var", D61)), 1, IF(ISNUMBER(SEARCH("Gri", D61)), -1, 0)))=1, VERI_TABANI!E27*(1-0.928)*0.00206091519919798*VERI_TABANI!G27, 0)) + ((MIN(VERI_TABANI!D28, VERI_TABANI!D28*B61)*VERI_TABANI!$B$7 + MAX(0, VERI_TABANI!D28*B61-VERI_TABANI!D28)*VERI_TABANI!$B$8) + (MIN(MAX(0, VERI_TABANI!D28-VERI_TABANI!D28*B61), VERI_TABANI!D28*C61)*VERI_TABANI!$B$7 + MAX(0, VERI_TABANI!D28*C61-MAX(0, VERI_TABANI!D28-VERI_TABANI!D28*B61))*VERI_TABANI!$B$8) + IF(ABS(IF(ISNUMBER(SEARCH("Var", D61)), 1, IF(ISNUMBER(SEARCH("Gri", D61)), -1, 0)))=1, VERI_TABANI!E28*(1-0.928)*VERI_TABANI!$B$9, 0) + (VERI_TABANI!D28*B61*(VERI_TABANI!$B$13-VERI_TABANI!$B$14)*VERI_TABANI!G28) + (VERI_TABANI!D28*C61*(VERI_TABANI!$B$13-VERI_TABANI!$B$15)*VERI_TABANI!G28) + IF(ABS(IF(ISNUMBER(SEARCH("Var", D61)), 1, IF(ISNUMBER(SEARCH("Gri", D61)), -1, 0)))=1, VERI_TABANI!E28*(1-0.928)*0.00206091519919798*VERI_TABANI!G28, 0)))</f>
        <v/>
      </c>
      <c r="H61" s="169">
        <f>(((VERI_TABANI!D23*B61*(VERI_TABANI!$B$13-VERI_TABANI!$B$14)) + (VERI_TABANI!D23*C61*(VERI_TABANI!$B$13-VERI_TABANI!$B$15)) + IF(ISNUMBER(SEARCH("Var", D61)), VERI_TABANI!F23*(0.00202-VERI_TABANI!$B$16), IF(ISNUMBER(SEARCH("Gri", D61)), VERI_TABANI!F23*(0.00202-VERI_TABANI!$B$17), 0))) + ((VERI_TABANI!D24*B61*(VERI_TABANI!$B$13-VERI_TABANI!$B$14)) + (VERI_TABANI!D24*C61*(VERI_TABANI!$B$13-VERI_TABANI!$B$15)) + IF(ISNUMBER(SEARCH("Var", D61)), VERI_TABANI!F24*(0.00202-VERI_TABANI!$B$16), IF(ISNUMBER(SEARCH("Gri", D61)), VERI_TABANI!F24*(0.00202-VERI_TABANI!$B$17), 0))) + ((VERI_TABANI!D25*B61*(VERI_TABANI!$B$13-VERI_TABANI!$B$14)) + (VERI_TABANI!D25*C61*(VERI_TABANI!$B$13-VERI_TABANI!$B$15)) + IF(ISNUMBER(SEARCH("Var", D61)), VERI_TABANI!F25*(0.00202-VERI_TABANI!$B$16), IF(ISNUMBER(SEARCH("Gri", D61)), VERI_TABANI!F25*(0.00202-VERI_TABANI!$B$17), 0))) + ((VERI_TABANI!D26*B61*(VERI_TABANI!$B$13-VERI_TABANI!$B$14)) + (VERI_TABANI!D26*C61*(VERI_TABANI!$B$13-VERI_TABANI!$B$15)) + IF(ISNUMBER(SEARCH("Var", D61)), VERI_TABANI!F26*(0.00202-VERI_TABANI!$B$16), IF(ISNUMBER(SEARCH("Gri", D61)), VERI_TABANI!F26*(0.00202-VERI_TABANI!$B$17), 0))) + ((VERI_TABANI!D27*B61*(VERI_TABANI!$B$13-VERI_TABANI!$B$14)) + (VERI_TABANI!D27*C61*(VERI_TABANI!$B$13-VERI_TABANI!$B$15)) + IF(ISNUMBER(SEARCH("Var", D61)), VERI_TABANI!F27*(0.00202-VERI_TABANI!$B$16), IF(ISNUMBER(SEARCH("Gri", D61)), VERI_TABANI!F27*(0.00202-VERI_TABANI!$B$17), 0))) + ((VERI_TABANI!D28*B61*(VERI_TABANI!$B$13-VERI_TABANI!$B$14)) + (VERI_TABANI!D28*C61*(VERI_TABANI!$B$13-VERI_TABANI!$B$15)) + IF(ISNUMBER(SEARCH("Var", D61)), VERI_TABANI!F28*(0.00202-VERI_TABANI!$B$16), IF(ISNUMBER(SEARCH("Gri", D61)), VERI_TABANI!F28*(0.00202-VERI_TABANI!$B$17), 0))))</f>
        <v/>
      </c>
      <c r="I61" s="170">
        <f>IFERROR(((VERI_TABANI!$D$29*B61*VERI_TABANI!$B$14 + VERI_TABANI!$D$29*C61*VERI_TABANI!$B$15 + IF(ISNUMBER(SEARCH("Var", D61)), VERI_TABANI!$F$29*VERI_TABANI!$B$16, 0))) / (((VERI_TABANI!$D$29*B61 + VERI_TABANI!$D$29*C61)*VERI_TABANI!$B$13 + IF(ISNUMBER(SEARCH("Var", D61)), VERI_TABANI!$E$29*(1-0.928)*VERI_TABANI!$B$18, 0))), 0)</f>
        <v/>
      </c>
      <c r="J61" s="171">
        <f>IFERROR(F61/(G61/29), 0)</f>
        <v/>
      </c>
      <c r="K61" s="172">
        <f>IF(F61&gt;0, H61/F61, 0)</f>
        <v/>
      </c>
      <c r="L61" s="170">
        <f>IF(F61&gt;0, I61, 1000000000)</f>
        <v/>
      </c>
      <c r="M61" s="171">
        <f>ABS((B61+C61)-1)</f>
        <v/>
      </c>
      <c r="N61" s="170">
        <f>IF(F61&gt;0, (G61/29)/F61, 0)</f>
        <v/>
      </c>
      <c r="O61" s="168">
        <f>IF(AND((B61+C61)&gt;=1, ISNUMBER(SEARCH("Var", D61))), F61, 1000000000)</f>
        <v/>
      </c>
      <c r="P61" s="172">
        <f>IF(F61&gt;0, SQRT((F61/MAX(F$5:F$886))^2 + (1 - H61/MAX(H$5:H$886))^2 + (J61/MAX(J$5:J$886))^2), 1000000000)</f>
        <v/>
      </c>
      <c r="Q61" s="166">
        <f>IF(AND(ABS(B61-0.5)&lt;0.01, ABS(C61-0.5)&lt;0.01, ISNUMBER(SEARCH("Var", D61))), 1, 0)</f>
        <v/>
      </c>
      <c r="R61" s="171">
        <f>IF(F61&gt;0, J61, 1000000000)</f>
        <v/>
      </c>
      <c r="S61" s="101">
        <f>IF(AND(F61&lt;=DASHBOARD!$B$11, H61&gt;=DASHBOARD!$B$13), G61, -1000000000000)</f>
        <v/>
      </c>
      <c r="T61" s="101">
        <f>IF(AND(F61&lt;=DASHBOARD!$B$11, H61&gt;=DASHBOARD!$B$13), R61, 1000000000000)</f>
        <v/>
      </c>
      <c r="U61" s="101">
        <f>IF(AND(F61&lt;=DASHBOARD!$B$11, H61&gt;=DASHBOARD!$B$13), N61, -1000000000000)</f>
        <v/>
      </c>
      <c r="V61" s="101">
        <f>IF(AND(F61&lt;=DASHBOARD!$B$11, H61&gt;=DASHBOARD!$B$13), H61, -1000000000000)</f>
        <v/>
      </c>
      <c r="W61" s="101">
        <f>IF(AND(F61&lt;=DASHBOARD!$B$11, H61&gt;=DASHBOARD!$B$13), K61, -1000000000000)</f>
        <v/>
      </c>
      <c r="X61" s="101">
        <f>IF(AND(F61&lt;=DASHBOARD!$B$11, H61&gt;=DASHBOARD!$B$13), M61, 1000000000000)</f>
        <v/>
      </c>
      <c r="Y61" s="101">
        <f>IF(AND(F61&lt;=DASHBOARD!$B$10, H61&gt;=DASHBOARD!$B$11), L61, 1000000000000)</f>
        <v/>
      </c>
      <c r="Z61" s="101">
        <f>IF(AND(F61&lt;=DASHBOARD!$B$10, H61&gt;=DASHBOARD!$B$11), O61, 1000000000000)</f>
        <v/>
      </c>
      <c r="AA61" s="101">
        <f>IF(AND(F61&lt;=DASHBOARD!$B$10, H61&gt;=DASHBOARD!$B$11), P61, 1000000000000)</f>
        <v/>
      </c>
      <c r="AB61" s="101">
        <f>IF(AND(F61&lt;=DASHBOARD!$B$10, H61&gt;=DASHBOARD!$B$11), Q61, -1000000000000)</f>
        <v/>
      </c>
    </row>
    <row r="62" ht="12.75" customHeight="1" s="102">
      <c r="A62" s="166" t="n">
        <v>58</v>
      </c>
      <c r="B62" s="167" t="n">
        <v>0.1</v>
      </c>
      <c r="C62" s="167" t="n">
        <v>0.7</v>
      </c>
      <c r="D62" s="110" t="inlineStr">
        <is>
          <t>Var (%20)</t>
        </is>
      </c>
      <c r="E62" s="110">
        <f>IF((B62+C62)&lt;=1, "Tam Mahsuplaşma (≤%100)", "Kısmi Satış (&gt;%100)")</f>
        <v/>
      </c>
      <c r="F62" s="168">
        <f>((VERI_TABANI!$D$29*B62/VERI_TABANI!$B$29)/VERI_TABANI!$B$3)*VERI_TABANI!$B$5 + ((VERI_TABANI!$D$29*C62/VERI_TABANI!$B$29)/VERI_TABANI!$B$4)*VERI_TABANI!$B$6 + IF(ISNUMBER(SEARCH("Var", D62)), (VERI_TABANI!$F$29/VERI_TABANI!$B$29)*(VERI_TABANI!$B$10+VERI_TABANI!$B$12), 0)</f>
        <v/>
      </c>
      <c r="G62" s="168">
        <f>(((MIN(VERI_TABANI!D23, VERI_TABANI!D23*B62)*VERI_TABANI!$B$7 + MAX(0, VERI_TABANI!D23*B62-VERI_TABANI!D23)*VERI_TABANI!$B$8) + (MIN(MAX(0, VERI_TABANI!D23-VERI_TABANI!D23*B62), VERI_TABANI!D23*C62)*VERI_TABANI!$B$7 + MAX(0, VERI_TABANI!D23*C62-MAX(0, VERI_TABANI!D23-VERI_TABANI!D23*B62))*VERI_TABANI!$B$8) + IF(ABS(IF(ISNUMBER(SEARCH("Var", D62)), 1, IF(ISNUMBER(SEARCH("Gri", D62)), -1, 0)))=1, VERI_TABANI!E23*(1-0.928)*VERI_TABANI!$B$9, 0) + (VERI_TABANI!D23*B62*(VERI_TABANI!$B$13-VERI_TABANI!$B$14)*VERI_TABANI!G23) + (VERI_TABANI!D23*C62*(VERI_TABANI!$B$13-VERI_TABANI!$B$15)*VERI_TABANI!G23) + IF(ABS(IF(ISNUMBER(SEARCH("Var", D62)), 1, IF(ISNUMBER(SEARCH("Gri", D62)), -1, 0)))=1, VERI_TABANI!E23*(1-0.928)*0.00206091519919798*VERI_TABANI!G23, 0)) + ((MIN(VERI_TABANI!D24, VERI_TABANI!D24*B62)*VERI_TABANI!$B$7 + MAX(0, VERI_TABANI!D24*B62-VERI_TABANI!D24)*VERI_TABANI!$B$8) + (MIN(MAX(0, VERI_TABANI!D24-VERI_TABANI!D24*B62), VERI_TABANI!D24*C62)*VERI_TABANI!$B$7 + MAX(0, VERI_TABANI!D24*C62-MAX(0, VERI_TABANI!D24-VERI_TABANI!D24*B62))*VERI_TABANI!$B$8) + IF(ABS(IF(ISNUMBER(SEARCH("Var", D62)), 1, IF(ISNUMBER(SEARCH("Gri", D62)), -1, 0)))=1, VERI_TABANI!E24*(1-0.928)*VERI_TABANI!$B$9, 0) + (VERI_TABANI!D24*B62*(VERI_TABANI!$B$13-VERI_TABANI!$B$14)*VERI_TABANI!G24) + (VERI_TABANI!D24*C62*(VERI_TABANI!$B$13-VERI_TABANI!$B$15)*VERI_TABANI!G24) + IF(ABS(IF(ISNUMBER(SEARCH("Var", D62)), 1, IF(ISNUMBER(SEARCH("Gri", D62)), -1, 0)))=1, VERI_TABANI!E24*(1-0.928)*0.00206091519919798*VERI_TABANI!G24, 0)) + ((MIN(VERI_TABANI!D25, VERI_TABANI!D25*B62)*VERI_TABANI!$B$7 + MAX(0, VERI_TABANI!D25*B62-VERI_TABANI!D25)*VERI_TABANI!$B$8) + (MIN(MAX(0, VERI_TABANI!D25-VERI_TABANI!D25*B62), VERI_TABANI!D25*C62)*VERI_TABANI!$B$7 + MAX(0, VERI_TABANI!D25*C62-MAX(0, VERI_TABANI!D25-VERI_TABANI!D25*B62))*VERI_TABANI!$B$8) + IF(ABS(IF(ISNUMBER(SEARCH("Var", D62)), 1, IF(ISNUMBER(SEARCH("Gri", D62)), -1, 0)))=1, VERI_TABANI!E25*(1-0.928)*VERI_TABANI!$B$9, 0) + (VERI_TABANI!D25*B62*(VERI_TABANI!$B$13-VERI_TABANI!$B$14)*VERI_TABANI!G25) + (VERI_TABANI!D25*C62*(VERI_TABANI!$B$13-VERI_TABANI!$B$15)*VERI_TABANI!G25) + IF(ABS(IF(ISNUMBER(SEARCH("Var", D62)), 1, IF(ISNUMBER(SEARCH("Gri", D62)), -1, 0)))=1, VERI_TABANI!E25*(1-0.928)*0.00206091519919798*VERI_TABANI!G25, 0)) + ((MIN(VERI_TABANI!D26, VERI_TABANI!D26*B62)*VERI_TABANI!$B$7 + MAX(0, VERI_TABANI!D26*B62-VERI_TABANI!D26)*VERI_TABANI!$B$8) + (MIN(MAX(0, VERI_TABANI!D26-VERI_TABANI!D26*B62), VERI_TABANI!D26*C62)*VERI_TABANI!$B$7 + MAX(0, VERI_TABANI!D26*C62-MAX(0, VERI_TABANI!D26-VERI_TABANI!D26*B62))*VERI_TABANI!$B$8) + IF(ABS(IF(ISNUMBER(SEARCH("Var", D62)), 1, IF(ISNUMBER(SEARCH("Gri", D62)), -1, 0)))=1, VERI_TABANI!E26*(1-0.928)*VERI_TABANI!$B$9, 0) + (VERI_TABANI!D26*B62*(VERI_TABANI!$B$13-VERI_TABANI!$B$14)*VERI_TABANI!G26) + (VERI_TABANI!D26*C62*(VERI_TABANI!$B$13-VERI_TABANI!$B$15)*VERI_TABANI!G26) + IF(ABS(IF(ISNUMBER(SEARCH("Var", D62)), 1, IF(ISNUMBER(SEARCH("Gri", D62)), -1, 0)))=1, VERI_TABANI!E26*(1-0.928)*0.00206091519919798*VERI_TABANI!G26, 0)) + ((MIN(VERI_TABANI!D27, VERI_TABANI!D27*B62)*VERI_TABANI!$B$7 + MAX(0, VERI_TABANI!D27*B62-VERI_TABANI!D27)*VERI_TABANI!$B$8) + (MIN(MAX(0, VERI_TABANI!D27-VERI_TABANI!D27*B62), VERI_TABANI!D27*C62)*VERI_TABANI!$B$7 + MAX(0, VERI_TABANI!D27*C62-MAX(0, VERI_TABANI!D27-VERI_TABANI!D27*B62))*VERI_TABANI!$B$8) + IF(ABS(IF(ISNUMBER(SEARCH("Var", D62)), 1, IF(ISNUMBER(SEARCH("Gri", D62)), -1, 0)))=1, VERI_TABANI!E27*(1-0.928)*VERI_TABANI!$B$9, 0) + (VERI_TABANI!D27*B62*(VERI_TABANI!$B$13-VERI_TABANI!$B$14)*VERI_TABANI!G27) + (VERI_TABANI!D27*C62*(VERI_TABANI!$B$13-VERI_TABANI!$B$15)*VERI_TABANI!G27) + IF(ABS(IF(ISNUMBER(SEARCH("Var", D62)), 1, IF(ISNUMBER(SEARCH("Gri", D62)), -1, 0)))=1, VERI_TABANI!E27*(1-0.928)*0.00206091519919798*VERI_TABANI!G27, 0)) + ((MIN(VERI_TABANI!D28, VERI_TABANI!D28*B62)*VERI_TABANI!$B$7 + MAX(0, VERI_TABANI!D28*B62-VERI_TABANI!D28)*VERI_TABANI!$B$8) + (MIN(MAX(0, VERI_TABANI!D28-VERI_TABANI!D28*B62), VERI_TABANI!D28*C62)*VERI_TABANI!$B$7 + MAX(0, VERI_TABANI!D28*C62-MAX(0, VERI_TABANI!D28-VERI_TABANI!D28*B62))*VERI_TABANI!$B$8) + IF(ABS(IF(ISNUMBER(SEARCH("Var", D62)), 1, IF(ISNUMBER(SEARCH("Gri", D62)), -1, 0)))=1, VERI_TABANI!E28*(1-0.928)*VERI_TABANI!$B$9, 0) + (VERI_TABANI!D28*B62*(VERI_TABANI!$B$13-VERI_TABANI!$B$14)*VERI_TABANI!G28) + (VERI_TABANI!D28*C62*(VERI_TABANI!$B$13-VERI_TABANI!$B$15)*VERI_TABANI!G28) + IF(ABS(IF(ISNUMBER(SEARCH("Var", D62)), 1, IF(ISNUMBER(SEARCH("Gri", D62)), -1, 0)))=1, VERI_TABANI!E28*(1-0.928)*0.00206091519919798*VERI_TABANI!G28, 0)))</f>
        <v/>
      </c>
      <c r="H62" s="169">
        <f>(((VERI_TABANI!D23*B62*(VERI_TABANI!$B$13-VERI_TABANI!$B$14)) + (VERI_TABANI!D23*C62*(VERI_TABANI!$B$13-VERI_TABANI!$B$15)) + IF(ISNUMBER(SEARCH("Var", D62)), VERI_TABANI!F23*(0.00202-VERI_TABANI!$B$16), IF(ISNUMBER(SEARCH("Gri", D62)), VERI_TABANI!F23*(0.00202-VERI_TABANI!$B$17), 0))) + ((VERI_TABANI!D24*B62*(VERI_TABANI!$B$13-VERI_TABANI!$B$14)) + (VERI_TABANI!D24*C62*(VERI_TABANI!$B$13-VERI_TABANI!$B$15)) + IF(ISNUMBER(SEARCH("Var", D62)), VERI_TABANI!F24*(0.00202-VERI_TABANI!$B$16), IF(ISNUMBER(SEARCH("Gri", D62)), VERI_TABANI!F24*(0.00202-VERI_TABANI!$B$17), 0))) + ((VERI_TABANI!D25*B62*(VERI_TABANI!$B$13-VERI_TABANI!$B$14)) + (VERI_TABANI!D25*C62*(VERI_TABANI!$B$13-VERI_TABANI!$B$15)) + IF(ISNUMBER(SEARCH("Var", D62)), VERI_TABANI!F25*(0.00202-VERI_TABANI!$B$16), IF(ISNUMBER(SEARCH("Gri", D62)), VERI_TABANI!F25*(0.00202-VERI_TABANI!$B$17), 0))) + ((VERI_TABANI!D26*B62*(VERI_TABANI!$B$13-VERI_TABANI!$B$14)) + (VERI_TABANI!D26*C62*(VERI_TABANI!$B$13-VERI_TABANI!$B$15)) + IF(ISNUMBER(SEARCH("Var", D62)), VERI_TABANI!F26*(0.00202-VERI_TABANI!$B$16), IF(ISNUMBER(SEARCH("Gri", D62)), VERI_TABANI!F26*(0.00202-VERI_TABANI!$B$17), 0))) + ((VERI_TABANI!D27*B62*(VERI_TABANI!$B$13-VERI_TABANI!$B$14)) + (VERI_TABANI!D27*C62*(VERI_TABANI!$B$13-VERI_TABANI!$B$15)) + IF(ISNUMBER(SEARCH("Var", D62)), VERI_TABANI!F27*(0.00202-VERI_TABANI!$B$16), IF(ISNUMBER(SEARCH("Gri", D62)), VERI_TABANI!F27*(0.00202-VERI_TABANI!$B$17), 0))) + ((VERI_TABANI!D28*B62*(VERI_TABANI!$B$13-VERI_TABANI!$B$14)) + (VERI_TABANI!D28*C62*(VERI_TABANI!$B$13-VERI_TABANI!$B$15)) + IF(ISNUMBER(SEARCH("Var", D62)), VERI_TABANI!F28*(0.00202-VERI_TABANI!$B$16), IF(ISNUMBER(SEARCH("Gri", D62)), VERI_TABANI!F28*(0.00202-VERI_TABANI!$B$17), 0))))</f>
        <v/>
      </c>
      <c r="I62" s="170">
        <f>IFERROR(((VERI_TABANI!$D$29*B62*VERI_TABANI!$B$14 + VERI_TABANI!$D$29*C62*VERI_TABANI!$B$15 + IF(ISNUMBER(SEARCH("Var", D62)), VERI_TABANI!$F$29*VERI_TABANI!$B$16, 0))) / (((VERI_TABANI!$D$29*B62 + VERI_TABANI!$D$29*C62)*VERI_TABANI!$B$13 + IF(ISNUMBER(SEARCH("Var", D62)), VERI_TABANI!$E$29*(1-0.928)*VERI_TABANI!$B$18, 0))), 0)</f>
        <v/>
      </c>
      <c r="J62" s="171">
        <f>IFERROR(F62/(G62/29), 0)</f>
        <v/>
      </c>
      <c r="K62" s="172">
        <f>IF(F62&gt;0, H62/F62, 0)</f>
        <v/>
      </c>
      <c r="L62" s="170">
        <f>IF(F62&gt;0, I62, 1000000000)</f>
        <v/>
      </c>
      <c r="M62" s="171">
        <f>ABS((B62+C62)-1)</f>
        <v/>
      </c>
      <c r="N62" s="170">
        <f>IF(F62&gt;0, (G62/29)/F62, 0)</f>
        <v/>
      </c>
      <c r="O62" s="168">
        <f>IF(AND((B62+C62)&gt;=1, ISNUMBER(SEARCH("Var", D62))), F62, 1000000000)</f>
        <v/>
      </c>
      <c r="P62" s="172">
        <f>IF(F62&gt;0, SQRT((F62/MAX(F$5:F$886))^2 + (1 - H62/MAX(H$5:H$886))^2 + (J62/MAX(J$5:J$886))^2), 1000000000)</f>
        <v/>
      </c>
      <c r="Q62" s="166">
        <f>IF(AND(ABS(B62-0.5)&lt;0.01, ABS(C62-0.5)&lt;0.01, ISNUMBER(SEARCH("Var", D62))), 1, 0)</f>
        <v/>
      </c>
      <c r="R62" s="171">
        <f>IF(F62&gt;0, J62, 1000000000)</f>
        <v/>
      </c>
      <c r="S62" s="101">
        <f>IF(AND(F62&lt;=DASHBOARD!$B$11, H62&gt;=DASHBOARD!$B$13), G62, -1000000000000)</f>
        <v/>
      </c>
      <c r="T62" s="101">
        <f>IF(AND(F62&lt;=DASHBOARD!$B$11, H62&gt;=DASHBOARD!$B$13), R62, 1000000000000)</f>
        <v/>
      </c>
      <c r="U62" s="101">
        <f>IF(AND(F62&lt;=DASHBOARD!$B$11, H62&gt;=DASHBOARD!$B$13), N62, -1000000000000)</f>
        <v/>
      </c>
      <c r="V62" s="101">
        <f>IF(AND(F62&lt;=DASHBOARD!$B$11, H62&gt;=DASHBOARD!$B$13), H62, -1000000000000)</f>
        <v/>
      </c>
      <c r="W62" s="101">
        <f>IF(AND(F62&lt;=DASHBOARD!$B$11, H62&gt;=DASHBOARD!$B$13), K62, -1000000000000)</f>
        <v/>
      </c>
      <c r="X62" s="101">
        <f>IF(AND(F62&lt;=DASHBOARD!$B$11, H62&gt;=DASHBOARD!$B$13), M62, 1000000000000)</f>
        <v/>
      </c>
      <c r="Y62" s="101">
        <f>IF(AND(F62&lt;=DASHBOARD!$B$10, H62&gt;=DASHBOARD!$B$11), L62, 1000000000000)</f>
        <v/>
      </c>
      <c r="Z62" s="101">
        <f>IF(AND(F62&lt;=DASHBOARD!$B$10, H62&gt;=DASHBOARD!$B$11), O62, 1000000000000)</f>
        <v/>
      </c>
      <c r="AA62" s="101">
        <f>IF(AND(F62&lt;=DASHBOARD!$B$10, H62&gt;=DASHBOARD!$B$11), P62, 1000000000000)</f>
        <v/>
      </c>
      <c r="AB62" s="101">
        <f>IF(AND(F62&lt;=DASHBOARD!$B$10, H62&gt;=DASHBOARD!$B$11), Q62, -1000000000000)</f>
        <v/>
      </c>
    </row>
    <row r="63" ht="12.75" customHeight="1" s="102">
      <c r="A63" s="166" t="n">
        <v>59</v>
      </c>
      <c r="B63" s="167" t="n">
        <v>0.1</v>
      </c>
      <c r="C63" s="167" t="n">
        <v>0.8</v>
      </c>
      <c r="D63" s="110" t="inlineStr">
        <is>
          <t>Yok (%0)</t>
        </is>
      </c>
      <c r="E63" s="110">
        <f>IF((B63+C63)&lt;=1, "Tam Mahsuplaşma (≤%100)", "Kısmi Satış (&gt;%100)")</f>
        <v/>
      </c>
      <c r="F63" s="168">
        <f>((VERI_TABANI!$D$29*B63/VERI_TABANI!$B$29)/VERI_TABANI!$B$3)*VERI_TABANI!$B$5 + ((VERI_TABANI!$D$29*C63/VERI_TABANI!$B$29)/VERI_TABANI!$B$4)*VERI_TABANI!$B$6 + IF(ISNUMBER(SEARCH("Var", D63)), (VERI_TABANI!$F$29/VERI_TABANI!$B$29)*(VERI_TABANI!$B$10+VERI_TABANI!$B$12), 0)</f>
        <v/>
      </c>
      <c r="G63" s="168">
        <f>(((MIN(VERI_TABANI!D23, VERI_TABANI!D23*B63)*VERI_TABANI!$B$7 + MAX(0, VERI_TABANI!D23*B63-VERI_TABANI!D23)*VERI_TABANI!$B$8) + (MIN(MAX(0, VERI_TABANI!D23-VERI_TABANI!D23*B63), VERI_TABANI!D23*C63)*VERI_TABANI!$B$7 + MAX(0, VERI_TABANI!D23*C63-MAX(0, VERI_TABANI!D23-VERI_TABANI!D23*B63))*VERI_TABANI!$B$8) + IF(ABS(IF(ISNUMBER(SEARCH("Var", D63)), 1, IF(ISNUMBER(SEARCH("Gri", D63)), -1, 0)))=1, VERI_TABANI!E23*(1-0.928)*VERI_TABANI!$B$9, 0) + (VERI_TABANI!D23*B63*(VERI_TABANI!$B$13-VERI_TABANI!$B$14)*VERI_TABANI!G23) + (VERI_TABANI!D23*C63*(VERI_TABANI!$B$13-VERI_TABANI!$B$15)*VERI_TABANI!G23) + IF(ABS(IF(ISNUMBER(SEARCH("Var", D63)), 1, IF(ISNUMBER(SEARCH("Gri", D63)), -1, 0)))=1, VERI_TABANI!E23*(1-0.928)*0.00206091519919798*VERI_TABANI!G23, 0)) + ((MIN(VERI_TABANI!D24, VERI_TABANI!D24*B63)*VERI_TABANI!$B$7 + MAX(0, VERI_TABANI!D24*B63-VERI_TABANI!D24)*VERI_TABANI!$B$8) + (MIN(MAX(0, VERI_TABANI!D24-VERI_TABANI!D24*B63), VERI_TABANI!D24*C63)*VERI_TABANI!$B$7 + MAX(0, VERI_TABANI!D24*C63-MAX(0, VERI_TABANI!D24-VERI_TABANI!D24*B63))*VERI_TABANI!$B$8) + IF(ABS(IF(ISNUMBER(SEARCH("Var", D63)), 1, IF(ISNUMBER(SEARCH("Gri", D63)), -1, 0)))=1, VERI_TABANI!E24*(1-0.928)*VERI_TABANI!$B$9, 0) + (VERI_TABANI!D24*B63*(VERI_TABANI!$B$13-VERI_TABANI!$B$14)*VERI_TABANI!G24) + (VERI_TABANI!D24*C63*(VERI_TABANI!$B$13-VERI_TABANI!$B$15)*VERI_TABANI!G24) + IF(ABS(IF(ISNUMBER(SEARCH("Var", D63)), 1, IF(ISNUMBER(SEARCH("Gri", D63)), -1, 0)))=1, VERI_TABANI!E24*(1-0.928)*0.00206091519919798*VERI_TABANI!G24, 0)) + ((MIN(VERI_TABANI!D25, VERI_TABANI!D25*B63)*VERI_TABANI!$B$7 + MAX(0, VERI_TABANI!D25*B63-VERI_TABANI!D25)*VERI_TABANI!$B$8) + (MIN(MAX(0, VERI_TABANI!D25-VERI_TABANI!D25*B63), VERI_TABANI!D25*C63)*VERI_TABANI!$B$7 + MAX(0, VERI_TABANI!D25*C63-MAX(0, VERI_TABANI!D25-VERI_TABANI!D25*B63))*VERI_TABANI!$B$8) + IF(ABS(IF(ISNUMBER(SEARCH("Var", D63)), 1, IF(ISNUMBER(SEARCH("Gri", D63)), -1, 0)))=1, VERI_TABANI!E25*(1-0.928)*VERI_TABANI!$B$9, 0) + (VERI_TABANI!D25*B63*(VERI_TABANI!$B$13-VERI_TABANI!$B$14)*VERI_TABANI!G25) + (VERI_TABANI!D25*C63*(VERI_TABANI!$B$13-VERI_TABANI!$B$15)*VERI_TABANI!G25) + IF(ABS(IF(ISNUMBER(SEARCH("Var", D63)), 1, IF(ISNUMBER(SEARCH("Gri", D63)), -1, 0)))=1, VERI_TABANI!E25*(1-0.928)*0.00206091519919798*VERI_TABANI!G25, 0)) + ((MIN(VERI_TABANI!D26, VERI_TABANI!D26*B63)*VERI_TABANI!$B$7 + MAX(0, VERI_TABANI!D26*B63-VERI_TABANI!D26)*VERI_TABANI!$B$8) + (MIN(MAX(0, VERI_TABANI!D26-VERI_TABANI!D26*B63), VERI_TABANI!D26*C63)*VERI_TABANI!$B$7 + MAX(0, VERI_TABANI!D26*C63-MAX(0, VERI_TABANI!D26-VERI_TABANI!D26*B63))*VERI_TABANI!$B$8) + IF(ABS(IF(ISNUMBER(SEARCH("Var", D63)), 1, IF(ISNUMBER(SEARCH("Gri", D63)), -1, 0)))=1, VERI_TABANI!E26*(1-0.928)*VERI_TABANI!$B$9, 0) + (VERI_TABANI!D26*B63*(VERI_TABANI!$B$13-VERI_TABANI!$B$14)*VERI_TABANI!G26) + (VERI_TABANI!D26*C63*(VERI_TABANI!$B$13-VERI_TABANI!$B$15)*VERI_TABANI!G26) + IF(ABS(IF(ISNUMBER(SEARCH("Var", D63)), 1, IF(ISNUMBER(SEARCH("Gri", D63)), -1, 0)))=1, VERI_TABANI!E26*(1-0.928)*0.00206091519919798*VERI_TABANI!G26, 0)) + ((MIN(VERI_TABANI!D27, VERI_TABANI!D27*B63)*VERI_TABANI!$B$7 + MAX(0, VERI_TABANI!D27*B63-VERI_TABANI!D27)*VERI_TABANI!$B$8) + (MIN(MAX(0, VERI_TABANI!D27-VERI_TABANI!D27*B63), VERI_TABANI!D27*C63)*VERI_TABANI!$B$7 + MAX(0, VERI_TABANI!D27*C63-MAX(0, VERI_TABANI!D27-VERI_TABANI!D27*B63))*VERI_TABANI!$B$8) + IF(ABS(IF(ISNUMBER(SEARCH("Var", D63)), 1, IF(ISNUMBER(SEARCH("Gri", D63)), -1, 0)))=1, VERI_TABANI!E27*(1-0.928)*VERI_TABANI!$B$9, 0) + (VERI_TABANI!D27*B63*(VERI_TABANI!$B$13-VERI_TABANI!$B$14)*VERI_TABANI!G27) + (VERI_TABANI!D27*C63*(VERI_TABANI!$B$13-VERI_TABANI!$B$15)*VERI_TABANI!G27) + IF(ABS(IF(ISNUMBER(SEARCH("Var", D63)), 1, IF(ISNUMBER(SEARCH("Gri", D63)), -1, 0)))=1, VERI_TABANI!E27*(1-0.928)*0.00206091519919798*VERI_TABANI!G27, 0)) + ((MIN(VERI_TABANI!D28, VERI_TABANI!D28*B63)*VERI_TABANI!$B$7 + MAX(0, VERI_TABANI!D28*B63-VERI_TABANI!D28)*VERI_TABANI!$B$8) + (MIN(MAX(0, VERI_TABANI!D28-VERI_TABANI!D28*B63), VERI_TABANI!D28*C63)*VERI_TABANI!$B$7 + MAX(0, VERI_TABANI!D28*C63-MAX(0, VERI_TABANI!D28-VERI_TABANI!D28*B63))*VERI_TABANI!$B$8) + IF(ABS(IF(ISNUMBER(SEARCH("Var", D63)), 1, IF(ISNUMBER(SEARCH("Gri", D63)), -1, 0)))=1, VERI_TABANI!E28*(1-0.928)*VERI_TABANI!$B$9, 0) + (VERI_TABANI!D28*B63*(VERI_TABANI!$B$13-VERI_TABANI!$B$14)*VERI_TABANI!G28) + (VERI_TABANI!D28*C63*(VERI_TABANI!$B$13-VERI_TABANI!$B$15)*VERI_TABANI!G28) + IF(ABS(IF(ISNUMBER(SEARCH("Var", D63)), 1, IF(ISNUMBER(SEARCH("Gri", D63)), -1, 0)))=1, VERI_TABANI!E28*(1-0.928)*0.00206091519919798*VERI_TABANI!G28, 0)))</f>
        <v/>
      </c>
      <c r="H63" s="169">
        <f>(((VERI_TABANI!D23*B63*(VERI_TABANI!$B$13-VERI_TABANI!$B$14)) + (VERI_TABANI!D23*C63*(VERI_TABANI!$B$13-VERI_TABANI!$B$15)) + IF(ISNUMBER(SEARCH("Var", D63)), VERI_TABANI!F23*(0.00202-VERI_TABANI!$B$16), IF(ISNUMBER(SEARCH("Gri", D63)), VERI_TABANI!F23*(0.00202-VERI_TABANI!$B$17), 0))) + ((VERI_TABANI!D24*B63*(VERI_TABANI!$B$13-VERI_TABANI!$B$14)) + (VERI_TABANI!D24*C63*(VERI_TABANI!$B$13-VERI_TABANI!$B$15)) + IF(ISNUMBER(SEARCH("Var", D63)), VERI_TABANI!F24*(0.00202-VERI_TABANI!$B$16), IF(ISNUMBER(SEARCH("Gri", D63)), VERI_TABANI!F24*(0.00202-VERI_TABANI!$B$17), 0))) + ((VERI_TABANI!D25*B63*(VERI_TABANI!$B$13-VERI_TABANI!$B$14)) + (VERI_TABANI!D25*C63*(VERI_TABANI!$B$13-VERI_TABANI!$B$15)) + IF(ISNUMBER(SEARCH("Var", D63)), VERI_TABANI!F25*(0.00202-VERI_TABANI!$B$16), IF(ISNUMBER(SEARCH("Gri", D63)), VERI_TABANI!F25*(0.00202-VERI_TABANI!$B$17), 0))) + ((VERI_TABANI!D26*B63*(VERI_TABANI!$B$13-VERI_TABANI!$B$14)) + (VERI_TABANI!D26*C63*(VERI_TABANI!$B$13-VERI_TABANI!$B$15)) + IF(ISNUMBER(SEARCH("Var", D63)), VERI_TABANI!F26*(0.00202-VERI_TABANI!$B$16), IF(ISNUMBER(SEARCH("Gri", D63)), VERI_TABANI!F26*(0.00202-VERI_TABANI!$B$17), 0))) + ((VERI_TABANI!D27*B63*(VERI_TABANI!$B$13-VERI_TABANI!$B$14)) + (VERI_TABANI!D27*C63*(VERI_TABANI!$B$13-VERI_TABANI!$B$15)) + IF(ISNUMBER(SEARCH("Var", D63)), VERI_TABANI!F27*(0.00202-VERI_TABANI!$B$16), IF(ISNUMBER(SEARCH("Gri", D63)), VERI_TABANI!F27*(0.00202-VERI_TABANI!$B$17), 0))) + ((VERI_TABANI!D28*B63*(VERI_TABANI!$B$13-VERI_TABANI!$B$14)) + (VERI_TABANI!D28*C63*(VERI_TABANI!$B$13-VERI_TABANI!$B$15)) + IF(ISNUMBER(SEARCH("Var", D63)), VERI_TABANI!F28*(0.00202-VERI_TABANI!$B$16), IF(ISNUMBER(SEARCH("Gri", D63)), VERI_TABANI!F28*(0.00202-VERI_TABANI!$B$17), 0))))</f>
        <v/>
      </c>
      <c r="I63" s="170">
        <f>IFERROR(((VERI_TABANI!$D$29*B63*VERI_TABANI!$B$14 + VERI_TABANI!$D$29*C63*VERI_TABANI!$B$15 + IF(ISNUMBER(SEARCH("Var", D63)), VERI_TABANI!$F$29*VERI_TABANI!$B$16, 0))) / (((VERI_TABANI!$D$29*B63 + VERI_TABANI!$D$29*C63)*VERI_TABANI!$B$13 + IF(ISNUMBER(SEARCH("Var", D63)), VERI_TABANI!$E$29*(1-0.928)*VERI_TABANI!$B$18, 0))), 0)</f>
        <v/>
      </c>
      <c r="J63" s="171">
        <f>IFERROR(F63/(G63/29), 0)</f>
        <v/>
      </c>
      <c r="K63" s="172">
        <f>IF(F63&gt;0, H63/F63, 0)</f>
        <v/>
      </c>
      <c r="L63" s="170">
        <f>IF(F63&gt;0, I63, 1000000000)</f>
        <v/>
      </c>
      <c r="M63" s="171">
        <f>ABS((B63+C63)-1)</f>
        <v/>
      </c>
      <c r="N63" s="170">
        <f>IF(F63&gt;0, (G63/29)/F63, 0)</f>
        <v/>
      </c>
      <c r="O63" s="168">
        <f>IF(AND((B63+C63)&gt;=1, ISNUMBER(SEARCH("Var", D63))), F63, 1000000000)</f>
        <v/>
      </c>
      <c r="P63" s="172">
        <f>IF(F63&gt;0, SQRT((F63/MAX(F$5:F$886))^2 + (1 - H63/MAX(H$5:H$886))^2 + (J63/MAX(J$5:J$886))^2), 1000000000)</f>
        <v/>
      </c>
      <c r="Q63" s="166">
        <f>IF(AND(ABS(B63-0.5)&lt;0.01, ABS(C63-0.5)&lt;0.01, ISNUMBER(SEARCH("Var", D63))), 1, 0)</f>
        <v/>
      </c>
      <c r="R63" s="171">
        <f>IF(F63&gt;0, J63, 1000000000)</f>
        <v/>
      </c>
      <c r="S63" s="101">
        <f>IF(AND(F63&lt;=DASHBOARD!$B$11, H63&gt;=DASHBOARD!$B$13), G63, -1000000000000)</f>
        <v/>
      </c>
      <c r="T63" s="101">
        <f>IF(AND(F63&lt;=DASHBOARD!$B$11, H63&gt;=DASHBOARD!$B$13), R63, 1000000000000)</f>
        <v/>
      </c>
      <c r="U63" s="101">
        <f>IF(AND(F63&lt;=DASHBOARD!$B$11, H63&gt;=DASHBOARD!$B$13), N63, -1000000000000)</f>
        <v/>
      </c>
      <c r="V63" s="101">
        <f>IF(AND(F63&lt;=DASHBOARD!$B$11, H63&gt;=DASHBOARD!$B$13), H63, -1000000000000)</f>
        <v/>
      </c>
      <c r="W63" s="101">
        <f>IF(AND(F63&lt;=DASHBOARD!$B$11, H63&gt;=DASHBOARD!$B$13), K63, -1000000000000)</f>
        <v/>
      </c>
      <c r="X63" s="101">
        <f>IF(AND(F63&lt;=DASHBOARD!$B$11, H63&gt;=DASHBOARD!$B$13), M63, 1000000000000)</f>
        <v/>
      </c>
      <c r="Y63" s="101">
        <f>IF(AND(F63&lt;=DASHBOARD!$B$10, H63&gt;=DASHBOARD!$B$11), L63, 1000000000000)</f>
        <v/>
      </c>
      <c r="Z63" s="101">
        <f>IF(AND(F63&lt;=DASHBOARD!$B$10, H63&gt;=DASHBOARD!$B$11), O63, 1000000000000)</f>
        <v/>
      </c>
      <c r="AA63" s="101">
        <f>IF(AND(F63&lt;=DASHBOARD!$B$10, H63&gt;=DASHBOARD!$B$11), P63, 1000000000000)</f>
        <v/>
      </c>
      <c r="AB63" s="101">
        <f>IF(AND(F63&lt;=DASHBOARD!$B$10, H63&gt;=DASHBOARD!$B$11), Q63, -1000000000000)</f>
        <v/>
      </c>
    </row>
    <row r="64" ht="12.75" customHeight="1" s="102">
      <c r="A64" s="166" t="n">
        <v>60</v>
      </c>
      <c r="B64" s="167" t="n">
        <v>0.1</v>
      </c>
      <c r="C64" s="167" t="n">
        <v>0.8</v>
      </c>
      <c r="D64" s="110" t="inlineStr">
        <is>
          <t>Var (%20)</t>
        </is>
      </c>
      <c r="E64" s="110">
        <f>IF((B64+C64)&lt;=1, "Tam Mahsuplaşma (≤%100)", "Kısmi Satış (&gt;%100)")</f>
        <v/>
      </c>
      <c r="F64" s="168">
        <f>((VERI_TABANI!$D$29*B64/VERI_TABANI!$B$29)/VERI_TABANI!$B$3)*VERI_TABANI!$B$5 + ((VERI_TABANI!$D$29*C64/VERI_TABANI!$B$29)/VERI_TABANI!$B$4)*VERI_TABANI!$B$6 + IF(ISNUMBER(SEARCH("Var", D64)), (VERI_TABANI!$F$29/VERI_TABANI!$B$29)*(VERI_TABANI!$B$10+VERI_TABANI!$B$12), 0)</f>
        <v/>
      </c>
      <c r="G64" s="168">
        <f>(((MIN(VERI_TABANI!D23, VERI_TABANI!D23*B64)*VERI_TABANI!$B$7 + MAX(0, VERI_TABANI!D23*B64-VERI_TABANI!D23)*VERI_TABANI!$B$8) + (MIN(MAX(0, VERI_TABANI!D23-VERI_TABANI!D23*B64), VERI_TABANI!D23*C64)*VERI_TABANI!$B$7 + MAX(0, VERI_TABANI!D23*C64-MAX(0, VERI_TABANI!D23-VERI_TABANI!D23*B64))*VERI_TABANI!$B$8) + IF(ABS(IF(ISNUMBER(SEARCH("Var", D64)), 1, IF(ISNUMBER(SEARCH("Gri", D64)), -1, 0)))=1, VERI_TABANI!E23*(1-0.928)*VERI_TABANI!$B$9, 0) + (VERI_TABANI!D23*B64*(VERI_TABANI!$B$13-VERI_TABANI!$B$14)*VERI_TABANI!G23) + (VERI_TABANI!D23*C64*(VERI_TABANI!$B$13-VERI_TABANI!$B$15)*VERI_TABANI!G23) + IF(ABS(IF(ISNUMBER(SEARCH("Var", D64)), 1, IF(ISNUMBER(SEARCH("Gri", D64)), -1, 0)))=1, VERI_TABANI!E23*(1-0.928)*0.00206091519919798*VERI_TABANI!G23, 0)) + ((MIN(VERI_TABANI!D24, VERI_TABANI!D24*B64)*VERI_TABANI!$B$7 + MAX(0, VERI_TABANI!D24*B64-VERI_TABANI!D24)*VERI_TABANI!$B$8) + (MIN(MAX(0, VERI_TABANI!D24-VERI_TABANI!D24*B64), VERI_TABANI!D24*C64)*VERI_TABANI!$B$7 + MAX(0, VERI_TABANI!D24*C64-MAX(0, VERI_TABANI!D24-VERI_TABANI!D24*B64))*VERI_TABANI!$B$8) + IF(ABS(IF(ISNUMBER(SEARCH("Var", D64)), 1, IF(ISNUMBER(SEARCH("Gri", D64)), -1, 0)))=1, VERI_TABANI!E24*(1-0.928)*VERI_TABANI!$B$9, 0) + (VERI_TABANI!D24*B64*(VERI_TABANI!$B$13-VERI_TABANI!$B$14)*VERI_TABANI!G24) + (VERI_TABANI!D24*C64*(VERI_TABANI!$B$13-VERI_TABANI!$B$15)*VERI_TABANI!G24) + IF(ABS(IF(ISNUMBER(SEARCH("Var", D64)), 1, IF(ISNUMBER(SEARCH("Gri", D64)), -1, 0)))=1, VERI_TABANI!E24*(1-0.928)*0.00206091519919798*VERI_TABANI!G24, 0)) + ((MIN(VERI_TABANI!D25, VERI_TABANI!D25*B64)*VERI_TABANI!$B$7 + MAX(0, VERI_TABANI!D25*B64-VERI_TABANI!D25)*VERI_TABANI!$B$8) + (MIN(MAX(0, VERI_TABANI!D25-VERI_TABANI!D25*B64), VERI_TABANI!D25*C64)*VERI_TABANI!$B$7 + MAX(0, VERI_TABANI!D25*C64-MAX(0, VERI_TABANI!D25-VERI_TABANI!D25*B64))*VERI_TABANI!$B$8) + IF(ABS(IF(ISNUMBER(SEARCH("Var", D64)), 1, IF(ISNUMBER(SEARCH("Gri", D64)), -1, 0)))=1, VERI_TABANI!E25*(1-0.928)*VERI_TABANI!$B$9, 0) + (VERI_TABANI!D25*B64*(VERI_TABANI!$B$13-VERI_TABANI!$B$14)*VERI_TABANI!G25) + (VERI_TABANI!D25*C64*(VERI_TABANI!$B$13-VERI_TABANI!$B$15)*VERI_TABANI!G25) + IF(ABS(IF(ISNUMBER(SEARCH("Var", D64)), 1, IF(ISNUMBER(SEARCH("Gri", D64)), -1, 0)))=1, VERI_TABANI!E25*(1-0.928)*0.00206091519919798*VERI_TABANI!G25, 0)) + ((MIN(VERI_TABANI!D26, VERI_TABANI!D26*B64)*VERI_TABANI!$B$7 + MAX(0, VERI_TABANI!D26*B64-VERI_TABANI!D26)*VERI_TABANI!$B$8) + (MIN(MAX(0, VERI_TABANI!D26-VERI_TABANI!D26*B64), VERI_TABANI!D26*C64)*VERI_TABANI!$B$7 + MAX(0, VERI_TABANI!D26*C64-MAX(0, VERI_TABANI!D26-VERI_TABANI!D26*B64))*VERI_TABANI!$B$8) + IF(ABS(IF(ISNUMBER(SEARCH("Var", D64)), 1, IF(ISNUMBER(SEARCH("Gri", D64)), -1, 0)))=1, VERI_TABANI!E26*(1-0.928)*VERI_TABANI!$B$9, 0) + (VERI_TABANI!D26*B64*(VERI_TABANI!$B$13-VERI_TABANI!$B$14)*VERI_TABANI!G26) + (VERI_TABANI!D26*C64*(VERI_TABANI!$B$13-VERI_TABANI!$B$15)*VERI_TABANI!G26) + IF(ABS(IF(ISNUMBER(SEARCH("Var", D64)), 1, IF(ISNUMBER(SEARCH("Gri", D64)), -1, 0)))=1, VERI_TABANI!E26*(1-0.928)*0.00206091519919798*VERI_TABANI!G26, 0)) + ((MIN(VERI_TABANI!D27, VERI_TABANI!D27*B64)*VERI_TABANI!$B$7 + MAX(0, VERI_TABANI!D27*B64-VERI_TABANI!D27)*VERI_TABANI!$B$8) + (MIN(MAX(0, VERI_TABANI!D27-VERI_TABANI!D27*B64), VERI_TABANI!D27*C64)*VERI_TABANI!$B$7 + MAX(0, VERI_TABANI!D27*C64-MAX(0, VERI_TABANI!D27-VERI_TABANI!D27*B64))*VERI_TABANI!$B$8) + IF(ABS(IF(ISNUMBER(SEARCH("Var", D64)), 1, IF(ISNUMBER(SEARCH("Gri", D64)), -1, 0)))=1, VERI_TABANI!E27*(1-0.928)*VERI_TABANI!$B$9, 0) + (VERI_TABANI!D27*B64*(VERI_TABANI!$B$13-VERI_TABANI!$B$14)*VERI_TABANI!G27) + (VERI_TABANI!D27*C64*(VERI_TABANI!$B$13-VERI_TABANI!$B$15)*VERI_TABANI!G27) + IF(ABS(IF(ISNUMBER(SEARCH("Var", D64)), 1, IF(ISNUMBER(SEARCH("Gri", D64)), -1, 0)))=1, VERI_TABANI!E27*(1-0.928)*0.00206091519919798*VERI_TABANI!G27, 0)) + ((MIN(VERI_TABANI!D28, VERI_TABANI!D28*B64)*VERI_TABANI!$B$7 + MAX(0, VERI_TABANI!D28*B64-VERI_TABANI!D28)*VERI_TABANI!$B$8) + (MIN(MAX(0, VERI_TABANI!D28-VERI_TABANI!D28*B64), VERI_TABANI!D28*C64)*VERI_TABANI!$B$7 + MAX(0, VERI_TABANI!D28*C64-MAX(0, VERI_TABANI!D28-VERI_TABANI!D28*B64))*VERI_TABANI!$B$8) + IF(ABS(IF(ISNUMBER(SEARCH("Var", D64)), 1, IF(ISNUMBER(SEARCH("Gri", D64)), -1, 0)))=1, VERI_TABANI!E28*(1-0.928)*VERI_TABANI!$B$9, 0) + (VERI_TABANI!D28*B64*(VERI_TABANI!$B$13-VERI_TABANI!$B$14)*VERI_TABANI!G28) + (VERI_TABANI!D28*C64*(VERI_TABANI!$B$13-VERI_TABANI!$B$15)*VERI_TABANI!G28) + IF(ABS(IF(ISNUMBER(SEARCH("Var", D64)), 1, IF(ISNUMBER(SEARCH("Gri", D64)), -1, 0)))=1, VERI_TABANI!E28*(1-0.928)*0.00206091519919798*VERI_TABANI!G28, 0)))</f>
        <v/>
      </c>
      <c r="H64" s="169">
        <f>(((VERI_TABANI!D23*B64*(VERI_TABANI!$B$13-VERI_TABANI!$B$14)) + (VERI_TABANI!D23*C64*(VERI_TABANI!$B$13-VERI_TABANI!$B$15)) + IF(ISNUMBER(SEARCH("Var", D64)), VERI_TABANI!F23*(0.00202-VERI_TABANI!$B$16), IF(ISNUMBER(SEARCH("Gri", D64)), VERI_TABANI!F23*(0.00202-VERI_TABANI!$B$17), 0))) + ((VERI_TABANI!D24*B64*(VERI_TABANI!$B$13-VERI_TABANI!$B$14)) + (VERI_TABANI!D24*C64*(VERI_TABANI!$B$13-VERI_TABANI!$B$15)) + IF(ISNUMBER(SEARCH("Var", D64)), VERI_TABANI!F24*(0.00202-VERI_TABANI!$B$16), IF(ISNUMBER(SEARCH("Gri", D64)), VERI_TABANI!F24*(0.00202-VERI_TABANI!$B$17), 0))) + ((VERI_TABANI!D25*B64*(VERI_TABANI!$B$13-VERI_TABANI!$B$14)) + (VERI_TABANI!D25*C64*(VERI_TABANI!$B$13-VERI_TABANI!$B$15)) + IF(ISNUMBER(SEARCH("Var", D64)), VERI_TABANI!F25*(0.00202-VERI_TABANI!$B$16), IF(ISNUMBER(SEARCH("Gri", D64)), VERI_TABANI!F25*(0.00202-VERI_TABANI!$B$17), 0))) + ((VERI_TABANI!D26*B64*(VERI_TABANI!$B$13-VERI_TABANI!$B$14)) + (VERI_TABANI!D26*C64*(VERI_TABANI!$B$13-VERI_TABANI!$B$15)) + IF(ISNUMBER(SEARCH("Var", D64)), VERI_TABANI!F26*(0.00202-VERI_TABANI!$B$16), IF(ISNUMBER(SEARCH("Gri", D64)), VERI_TABANI!F26*(0.00202-VERI_TABANI!$B$17), 0))) + ((VERI_TABANI!D27*B64*(VERI_TABANI!$B$13-VERI_TABANI!$B$14)) + (VERI_TABANI!D27*C64*(VERI_TABANI!$B$13-VERI_TABANI!$B$15)) + IF(ISNUMBER(SEARCH("Var", D64)), VERI_TABANI!F27*(0.00202-VERI_TABANI!$B$16), IF(ISNUMBER(SEARCH("Gri", D64)), VERI_TABANI!F27*(0.00202-VERI_TABANI!$B$17), 0))) + ((VERI_TABANI!D28*B64*(VERI_TABANI!$B$13-VERI_TABANI!$B$14)) + (VERI_TABANI!D28*C64*(VERI_TABANI!$B$13-VERI_TABANI!$B$15)) + IF(ISNUMBER(SEARCH("Var", D64)), VERI_TABANI!F28*(0.00202-VERI_TABANI!$B$16), IF(ISNUMBER(SEARCH("Gri", D64)), VERI_TABANI!F28*(0.00202-VERI_TABANI!$B$17), 0))))</f>
        <v/>
      </c>
      <c r="I64" s="170">
        <f>IFERROR(((VERI_TABANI!$D$29*B64*VERI_TABANI!$B$14 + VERI_TABANI!$D$29*C64*VERI_TABANI!$B$15 + IF(ISNUMBER(SEARCH("Var", D64)), VERI_TABANI!$F$29*VERI_TABANI!$B$16, 0))) / (((VERI_TABANI!$D$29*B64 + VERI_TABANI!$D$29*C64)*VERI_TABANI!$B$13 + IF(ISNUMBER(SEARCH("Var", D64)), VERI_TABANI!$E$29*(1-0.928)*VERI_TABANI!$B$18, 0))), 0)</f>
        <v/>
      </c>
      <c r="J64" s="171">
        <f>IFERROR(F64/(G64/29), 0)</f>
        <v/>
      </c>
      <c r="K64" s="172">
        <f>IF(F64&gt;0, H64/F64, 0)</f>
        <v/>
      </c>
      <c r="L64" s="170">
        <f>IF(F64&gt;0, I64, 1000000000)</f>
        <v/>
      </c>
      <c r="M64" s="171">
        <f>ABS((B64+C64)-1)</f>
        <v/>
      </c>
      <c r="N64" s="170">
        <f>IF(F64&gt;0, (G64/29)/F64, 0)</f>
        <v/>
      </c>
      <c r="O64" s="168">
        <f>IF(AND((B64+C64)&gt;=1, ISNUMBER(SEARCH("Var", D64))), F64, 1000000000)</f>
        <v/>
      </c>
      <c r="P64" s="172">
        <f>IF(F64&gt;0, SQRT((F64/MAX(F$5:F$886))^2 + (1 - H64/MAX(H$5:H$886))^2 + (J64/MAX(J$5:J$886))^2), 1000000000)</f>
        <v/>
      </c>
      <c r="Q64" s="166">
        <f>IF(AND(ABS(B64-0.5)&lt;0.01, ABS(C64-0.5)&lt;0.01, ISNUMBER(SEARCH("Var", D64))), 1, 0)</f>
        <v/>
      </c>
      <c r="R64" s="171">
        <f>IF(F64&gt;0, J64, 1000000000)</f>
        <v/>
      </c>
      <c r="S64" s="101">
        <f>IF(AND(F64&lt;=DASHBOARD!$B$11, H64&gt;=DASHBOARD!$B$13), G64, -1000000000000)</f>
        <v/>
      </c>
      <c r="T64" s="101">
        <f>IF(AND(F64&lt;=DASHBOARD!$B$11, H64&gt;=DASHBOARD!$B$13), R64, 1000000000000)</f>
        <v/>
      </c>
      <c r="U64" s="101">
        <f>IF(AND(F64&lt;=DASHBOARD!$B$11, H64&gt;=DASHBOARD!$B$13), N64, -1000000000000)</f>
        <v/>
      </c>
      <c r="V64" s="101">
        <f>IF(AND(F64&lt;=DASHBOARD!$B$11, H64&gt;=DASHBOARD!$B$13), H64, -1000000000000)</f>
        <v/>
      </c>
      <c r="W64" s="101">
        <f>IF(AND(F64&lt;=DASHBOARD!$B$11, H64&gt;=DASHBOARD!$B$13), K64, -1000000000000)</f>
        <v/>
      </c>
      <c r="X64" s="101">
        <f>IF(AND(F64&lt;=DASHBOARD!$B$11, H64&gt;=DASHBOARD!$B$13), M64, 1000000000000)</f>
        <v/>
      </c>
      <c r="Y64" s="101">
        <f>IF(AND(F64&lt;=DASHBOARD!$B$10, H64&gt;=DASHBOARD!$B$11), L64, 1000000000000)</f>
        <v/>
      </c>
      <c r="Z64" s="101">
        <f>IF(AND(F64&lt;=DASHBOARD!$B$10, H64&gt;=DASHBOARD!$B$11), O64, 1000000000000)</f>
        <v/>
      </c>
      <c r="AA64" s="101">
        <f>IF(AND(F64&lt;=DASHBOARD!$B$10, H64&gt;=DASHBOARD!$B$11), P64, 1000000000000)</f>
        <v/>
      </c>
      <c r="AB64" s="101">
        <f>IF(AND(F64&lt;=DASHBOARD!$B$10, H64&gt;=DASHBOARD!$B$11), Q64, -1000000000000)</f>
        <v/>
      </c>
    </row>
    <row r="65" ht="12.75" customHeight="1" s="102">
      <c r="A65" s="166" t="n">
        <v>61</v>
      </c>
      <c r="B65" s="167" t="n">
        <v>0.1</v>
      </c>
      <c r="C65" s="167" t="n">
        <v>0.9</v>
      </c>
      <c r="D65" s="110" t="inlineStr">
        <is>
          <t>Yok (%0)</t>
        </is>
      </c>
      <c r="E65" s="110">
        <f>IF((B65+C65)&lt;=1, "Tam Mahsuplaşma (≤%100)", "Kısmi Satış (&gt;%100)")</f>
        <v/>
      </c>
      <c r="F65" s="168">
        <f>((VERI_TABANI!$D$29*B65/VERI_TABANI!$B$29)/VERI_TABANI!$B$3)*VERI_TABANI!$B$5 + ((VERI_TABANI!$D$29*C65/VERI_TABANI!$B$29)/VERI_TABANI!$B$4)*VERI_TABANI!$B$6 + IF(ISNUMBER(SEARCH("Var", D65)), (VERI_TABANI!$F$29/VERI_TABANI!$B$29)*(VERI_TABANI!$B$10+VERI_TABANI!$B$12), 0)</f>
        <v/>
      </c>
      <c r="G65" s="168">
        <f>(((MIN(VERI_TABANI!D23, VERI_TABANI!D23*B65)*VERI_TABANI!$B$7 + MAX(0, VERI_TABANI!D23*B65-VERI_TABANI!D23)*VERI_TABANI!$B$8) + (MIN(MAX(0, VERI_TABANI!D23-VERI_TABANI!D23*B65), VERI_TABANI!D23*C65)*VERI_TABANI!$B$7 + MAX(0, VERI_TABANI!D23*C65-MAX(0, VERI_TABANI!D23-VERI_TABANI!D23*B65))*VERI_TABANI!$B$8) + IF(ABS(IF(ISNUMBER(SEARCH("Var", D65)), 1, IF(ISNUMBER(SEARCH("Gri", D65)), -1, 0)))=1, VERI_TABANI!E23*(1-0.928)*VERI_TABANI!$B$9, 0) + (VERI_TABANI!D23*B65*(VERI_TABANI!$B$13-VERI_TABANI!$B$14)*VERI_TABANI!G23) + (VERI_TABANI!D23*C65*(VERI_TABANI!$B$13-VERI_TABANI!$B$15)*VERI_TABANI!G23) + IF(ABS(IF(ISNUMBER(SEARCH("Var", D65)), 1, IF(ISNUMBER(SEARCH("Gri", D65)), -1, 0)))=1, VERI_TABANI!E23*(1-0.928)*0.00206091519919798*VERI_TABANI!G23, 0)) + ((MIN(VERI_TABANI!D24, VERI_TABANI!D24*B65)*VERI_TABANI!$B$7 + MAX(0, VERI_TABANI!D24*B65-VERI_TABANI!D24)*VERI_TABANI!$B$8) + (MIN(MAX(0, VERI_TABANI!D24-VERI_TABANI!D24*B65), VERI_TABANI!D24*C65)*VERI_TABANI!$B$7 + MAX(0, VERI_TABANI!D24*C65-MAX(0, VERI_TABANI!D24-VERI_TABANI!D24*B65))*VERI_TABANI!$B$8) + IF(ABS(IF(ISNUMBER(SEARCH("Var", D65)), 1, IF(ISNUMBER(SEARCH("Gri", D65)), -1, 0)))=1, VERI_TABANI!E24*(1-0.928)*VERI_TABANI!$B$9, 0) + (VERI_TABANI!D24*B65*(VERI_TABANI!$B$13-VERI_TABANI!$B$14)*VERI_TABANI!G24) + (VERI_TABANI!D24*C65*(VERI_TABANI!$B$13-VERI_TABANI!$B$15)*VERI_TABANI!G24) + IF(ABS(IF(ISNUMBER(SEARCH("Var", D65)), 1, IF(ISNUMBER(SEARCH("Gri", D65)), -1, 0)))=1, VERI_TABANI!E24*(1-0.928)*0.00206091519919798*VERI_TABANI!G24, 0)) + ((MIN(VERI_TABANI!D25, VERI_TABANI!D25*B65)*VERI_TABANI!$B$7 + MAX(0, VERI_TABANI!D25*B65-VERI_TABANI!D25)*VERI_TABANI!$B$8) + (MIN(MAX(0, VERI_TABANI!D25-VERI_TABANI!D25*B65), VERI_TABANI!D25*C65)*VERI_TABANI!$B$7 + MAX(0, VERI_TABANI!D25*C65-MAX(0, VERI_TABANI!D25-VERI_TABANI!D25*B65))*VERI_TABANI!$B$8) + IF(ABS(IF(ISNUMBER(SEARCH("Var", D65)), 1, IF(ISNUMBER(SEARCH("Gri", D65)), -1, 0)))=1, VERI_TABANI!E25*(1-0.928)*VERI_TABANI!$B$9, 0) + (VERI_TABANI!D25*B65*(VERI_TABANI!$B$13-VERI_TABANI!$B$14)*VERI_TABANI!G25) + (VERI_TABANI!D25*C65*(VERI_TABANI!$B$13-VERI_TABANI!$B$15)*VERI_TABANI!G25) + IF(ABS(IF(ISNUMBER(SEARCH("Var", D65)), 1, IF(ISNUMBER(SEARCH("Gri", D65)), -1, 0)))=1, VERI_TABANI!E25*(1-0.928)*0.00206091519919798*VERI_TABANI!G25, 0)) + ((MIN(VERI_TABANI!D26, VERI_TABANI!D26*B65)*VERI_TABANI!$B$7 + MAX(0, VERI_TABANI!D26*B65-VERI_TABANI!D26)*VERI_TABANI!$B$8) + (MIN(MAX(0, VERI_TABANI!D26-VERI_TABANI!D26*B65), VERI_TABANI!D26*C65)*VERI_TABANI!$B$7 + MAX(0, VERI_TABANI!D26*C65-MAX(0, VERI_TABANI!D26-VERI_TABANI!D26*B65))*VERI_TABANI!$B$8) + IF(ABS(IF(ISNUMBER(SEARCH("Var", D65)), 1, IF(ISNUMBER(SEARCH("Gri", D65)), -1, 0)))=1, VERI_TABANI!E26*(1-0.928)*VERI_TABANI!$B$9, 0) + (VERI_TABANI!D26*B65*(VERI_TABANI!$B$13-VERI_TABANI!$B$14)*VERI_TABANI!G26) + (VERI_TABANI!D26*C65*(VERI_TABANI!$B$13-VERI_TABANI!$B$15)*VERI_TABANI!G26) + IF(ABS(IF(ISNUMBER(SEARCH("Var", D65)), 1, IF(ISNUMBER(SEARCH("Gri", D65)), -1, 0)))=1, VERI_TABANI!E26*(1-0.928)*0.00206091519919798*VERI_TABANI!G26, 0)) + ((MIN(VERI_TABANI!D27, VERI_TABANI!D27*B65)*VERI_TABANI!$B$7 + MAX(0, VERI_TABANI!D27*B65-VERI_TABANI!D27)*VERI_TABANI!$B$8) + (MIN(MAX(0, VERI_TABANI!D27-VERI_TABANI!D27*B65), VERI_TABANI!D27*C65)*VERI_TABANI!$B$7 + MAX(0, VERI_TABANI!D27*C65-MAX(0, VERI_TABANI!D27-VERI_TABANI!D27*B65))*VERI_TABANI!$B$8) + IF(ABS(IF(ISNUMBER(SEARCH("Var", D65)), 1, IF(ISNUMBER(SEARCH("Gri", D65)), -1, 0)))=1, VERI_TABANI!E27*(1-0.928)*VERI_TABANI!$B$9, 0) + (VERI_TABANI!D27*B65*(VERI_TABANI!$B$13-VERI_TABANI!$B$14)*VERI_TABANI!G27) + (VERI_TABANI!D27*C65*(VERI_TABANI!$B$13-VERI_TABANI!$B$15)*VERI_TABANI!G27) + IF(ABS(IF(ISNUMBER(SEARCH("Var", D65)), 1, IF(ISNUMBER(SEARCH("Gri", D65)), -1, 0)))=1, VERI_TABANI!E27*(1-0.928)*0.00206091519919798*VERI_TABANI!G27, 0)) + ((MIN(VERI_TABANI!D28, VERI_TABANI!D28*B65)*VERI_TABANI!$B$7 + MAX(0, VERI_TABANI!D28*B65-VERI_TABANI!D28)*VERI_TABANI!$B$8) + (MIN(MAX(0, VERI_TABANI!D28-VERI_TABANI!D28*B65), VERI_TABANI!D28*C65)*VERI_TABANI!$B$7 + MAX(0, VERI_TABANI!D28*C65-MAX(0, VERI_TABANI!D28-VERI_TABANI!D28*B65))*VERI_TABANI!$B$8) + IF(ABS(IF(ISNUMBER(SEARCH("Var", D65)), 1, IF(ISNUMBER(SEARCH("Gri", D65)), -1, 0)))=1, VERI_TABANI!E28*(1-0.928)*VERI_TABANI!$B$9, 0) + (VERI_TABANI!D28*B65*(VERI_TABANI!$B$13-VERI_TABANI!$B$14)*VERI_TABANI!G28) + (VERI_TABANI!D28*C65*(VERI_TABANI!$B$13-VERI_TABANI!$B$15)*VERI_TABANI!G28) + IF(ABS(IF(ISNUMBER(SEARCH("Var", D65)), 1, IF(ISNUMBER(SEARCH("Gri", D65)), -1, 0)))=1, VERI_TABANI!E28*(1-0.928)*0.00206091519919798*VERI_TABANI!G28, 0)))</f>
        <v/>
      </c>
      <c r="H65" s="169">
        <f>(((VERI_TABANI!D23*B65*(VERI_TABANI!$B$13-VERI_TABANI!$B$14)) + (VERI_TABANI!D23*C65*(VERI_TABANI!$B$13-VERI_TABANI!$B$15)) + IF(ISNUMBER(SEARCH("Var", D65)), VERI_TABANI!F23*(0.00202-VERI_TABANI!$B$16), IF(ISNUMBER(SEARCH("Gri", D65)), VERI_TABANI!F23*(0.00202-VERI_TABANI!$B$17), 0))) + ((VERI_TABANI!D24*B65*(VERI_TABANI!$B$13-VERI_TABANI!$B$14)) + (VERI_TABANI!D24*C65*(VERI_TABANI!$B$13-VERI_TABANI!$B$15)) + IF(ISNUMBER(SEARCH("Var", D65)), VERI_TABANI!F24*(0.00202-VERI_TABANI!$B$16), IF(ISNUMBER(SEARCH("Gri", D65)), VERI_TABANI!F24*(0.00202-VERI_TABANI!$B$17), 0))) + ((VERI_TABANI!D25*B65*(VERI_TABANI!$B$13-VERI_TABANI!$B$14)) + (VERI_TABANI!D25*C65*(VERI_TABANI!$B$13-VERI_TABANI!$B$15)) + IF(ISNUMBER(SEARCH("Var", D65)), VERI_TABANI!F25*(0.00202-VERI_TABANI!$B$16), IF(ISNUMBER(SEARCH("Gri", D65)), VERI_TABANI!F25*(0.00202-VERI_TABANI!$B$17), 0))) + ((VERI_TABANI!D26*B65*(VERI_TABANI!$B$13-VERI_TABANI!$B$14)) + (VERI_TABANI!D26*C65*(VERI_TABANI!$B$13-VERI_TABANI!$B$15)) + IF(ISNUMBER(SEARCH("Var", D65)), VERI_TABANI!F26*(0.00202-VERI_TABANI!$B$16), IF(ISNUMBER(SEARCH("Gri", D65)), VERI_TABANI!F26*(0.00202-VERI_TABANI!$B$17), 0))) + ((VERI_TABANI!D27*B65*(VERI_TABANI!$B$13-VERI_TABANI!$B$14)) + (VERI_TABANI!D27*C65*(VERI_TABANI!$B$13-VERI_TABANI!$B$15)) + IF(ISNUMBER(SEARCH("Var", D65)), VERI_TABANI!F27*(0.00202-VERI_TABANI!$B$16), IF(ISNUMBER(SEARCH("Gri", D65)), VERI_TABANI!F27*(0.00202-VERI_TABANI!$B$17), 0))) + ((VERI_TABANI!D28*B65*(VERI_TABANI!$B$13-VERI_TABANI!$B$14)) + (VERI_TABANI!D28*C65*(VERI_TABANI!$B$13-VERI_TABANI!$B$15)) + IF(ISNUMBER(SEARCH("Var", D65)), VERI_TABANI!F28*(0.00202-VERI_TABANI!$B$16), IF(ISNUMBER(SEARCH("Gri", D65)), VERI_TABANI!F28*(0.00202-VERI_TABANI!$B$17), 0))))</f>
        <v/>
      </c>
      <c r="I65" s="170">
        <f>IFERROR(((VERI_TABANI!$D$29*B65*VERI_TABANI!$B$14 + VERI_TABANI!$D$29*C65*VERI_TABANI!$B$15 + IF(ISNUMBER(SEARCH("Var", D65)), VERI_TABANI!$F$29*VERI_TABANI!$B$16, 0))) / (((VERI_TABANI!$D$29*B65 + VERI_TABANI!$D$29*C65)*VERI_TABANI!$B$13 + IF(ISNUMBER(SEARCH("Var", D65)), VERI_TABANI!$E$29*(1-0.928)*VERI_TABANI!$B$18, 0))), 0)</f>
        <v/>
      </c>
      <c r="J65" s="171">
        <f>IFERROR(F65/(G65/29), 0)</f>
        <v/>
      </c>
      <c r="K65" s="172">
        <f>IF(F65&gt;0, H65/F65, 0)</f>
        <v/>
      </c>
      <c r="L65" s="170">
        <f>IF(F65&gt;0, I65, 1000000000)</f>
        <v/>
      </c>
      <c r="M65" s="171">
        <f>ABS((B65+C65)-1)</f>
        <v/>
      </c>
      <c r="N65" s="170">
        <f>IF(F65&gt;0, (G65/29)/F65, 0)</f>
        <v/>
      </c>
      <c r="O65" s="168">
        <f>IF(AND((B65+C65)&gt;=1, ISNUMBER(SEARCH("Var", D65))), F65, 1000000000)</f>
        <v/>
      </c>
      <c r="P65" s="172">
        <f>IF(F65&gt;0, SQRT((F65/MAX(F$5:F$886))^2 + (1 - H65/MAX(H$5:H$886))^2 + (J65/MAX(J$5:J$886))^2), 1000000000)</f>
        <v/>
      </c>
      <c r="Q65" s="166">
        <f>IF(AND(ABS(B65-0.5)&lt;0.01, ABS(C65-0.5)&lt;0.01, ISNUMBER(SEARCH("Var", D65))), 1, 0)</f>
        <v/>
      </c>
      <c r="R65" s="171">
        <f>IF(F65&gt;0, J65, 1000000000)</f>
        <v/>
      </c>
      <c r="S65" s="101">
        <f>IF(AND(F65&lt;=DASHBOARD!$B$11, H65&gt;=DASHBOARD!$B$13), G65, -1000000000000)</f>
        <v/>
      </c>
      <c r="T65" s="101">
        <f>IF(AND(F65&lt;=DASHBOARD!$B$11, H65&gt;=DASHBOARD!$B$13), R65, 1000000000000)</f>
        <v/>
      </c>
      <c r="U65" s="101">
        <f>IF(AND(F65&lt;=DASHBOARD!$B$11, H65&gt;=DASHBOARD!$B$13), N65, -1000000000000)</f>
        <v/>
      </c>
      <c r="V65" s="101">
        <f>IF(AND(F65&lt;=DASHBOARD!$B$11, H65&gt;=DASHBOARD!$B$13), H65, -1000000000000)</f>
        <v/>
      </c>
      <c r="W65" s="101">
        <f>IF(AND(F65&lt;=DASHBOARD!$B$11, H65&gt;=DASHBOARD!$B$13), K65, -1000000000000)</f>
        <v/>
      </c>
      <c r="X65" s="101">
        <f>IF(AND(F65&lt;=DASHBOARD!$B$11, H65&gt;=DASHBOARD!$B$13), M65, 1000000000000)</f>
        <v/>
      </c>
      <c r="Y65" s="101">
        <f>IF(AND(F65&lt;=DASHBOARD!$B$10, H65&gt;=DASHBOARD!$B$11), L65, 1000000000000)</f>
        <v/>
      </c>
      <c r="Z65" s="101">
        <f>IF(AND(F65&lt;=DASHBOARD!$B$10, H65&gt;=DASHBOARD!$B$11), O65, 1000000000000)</f>
        <v/>
      </c>
      <c r="AA65" s="101">
        <f>IF(AND(F65&lt;=DASHBOARD!$B$10, H65&gt;=DASHBOARD!$B$11), P65, 1000000000000)</f>
        <v/>
      </c>
      <c r="AB65" s="101">
        <f>IF(AND(F65&lt;=DASHBOARD!$B$10, H65&gt;=DASHBOARD!$B$11), Q65, -1000000000000)</f>
        <v/>
      </c>
    </row>
    <row r="66" ht="12.75" customHeight="1" s="102">
      <c r="A66" s="166" t="n">
        <v>62</v>
      </c>
      <c r="B66" s="167" t="n">
        <v>0.1</v>
      </c>
      <c r="C66" s="167" t="n">
        <v>0.9</v>
      </c>
      <c r="D66" s="110" t="inlineStr">
        <is>
          <t>Var (%20)</t>
        </is>
      </c>
      <c r="E66" s="110">
        <f>IF((B66+C66)&lt;=1, "Tam Mahsuplaşma (≤%100)", "Kısmi Satış (&gt;%100)")</f>
        <v/>
      </c>
      <c r="F66" s="168">
        <f>((VERI_TABANI!$D$29*B66/VERI_TABANI!$B$29)/VERI_TABANI!$B$3)*VERI_TABANI!$B$5 + ((VERI_TABANI!$D$29*C66/VERI_TABANI!$B$29)/VERI_TABANI!$B$4)*VERI_TABANI!$B$6 + IF(ISNUMBER(SEARCH("Var", D66)), (VERI_TABANI!$F$29/VERI_TABANI!$B$29)*(VERI_TABANI!$B$10+VERI_TABANI!$B$12), 0)</f>
        <v/>
      </c>
      <c r="G66" s="168">
        <f>(((MIN(VERI_TABANI!D23, VERI_TABANI!D23*B66)*VERI_TABANI!$B$7 + MAX(0, VERI_TABANI!D23*B66-VERI_TABANI!D23)*VERI_TABANI!$B$8) + (MIN(MAX(0, VERI_TABANI!D23-VERI_TABANI!D23*B66), VERI_TABANI!D23*C66)*VERI_TABANI!$B$7 + MAX(0, VERI_TABANI!D23*C66-MAX(0, VERI_TABANI!D23-VERI_TABANI!D23*B66))*VERI_TABANI!$B$8) + IF(ABS(IF(ISNUMBER(SEARCH("Var", D66)), 1, IF(ISNUMBER(SEARCH("Gri", D66)), -1, 0)))=1, VERI_TABANI!E23*(1-0.928)*VERI_TABANI!$B$9, 0) + (VERI_TABANI!D23*B66*(VERI_TABANI!$B$13-VERI_TABANI!$B$14)*VERI_TABANI!G23) + (VERI_TABANI!D23*C66*(VERI_TABANI!$B$13-VERI_TABANI!$B$15)*VERI_TABANI!G23) + IF(ABS(IF(ISNUMBER(SEARCH("Var", D66)), 1, IF(ISNUMBER(SEARCH("Gri", D66)), -1, 0)))=1, VERI_TABANI!E23*(1-0.928)*0.00206091519919798*VERI_TABANI!G23, 0)) + ((MIN(VERI_TABANI!D24, VERI_TABANI!D24*B66)*VERI_TABANI!$B$7 + MAX(0, VERI_TABANI!D24*B66-VERI_TABANI!D24)*VERI_TABANI!$B$8) + (MIN(MAX(0, VERI_TABANI!D24-VERI_TABANI!D24*B66), VERI_TABANI!D24*C66)*VERI_TABANI!$B$7 + MAX(0, VERI_TABANI!D24*C66-MAX(0, VERI_TABANI!D24-VERI_TABANI!D24*B66))*VERI_TABANI!$B$8) + IF(ABS(IF(ISNUMBER(SEARCH("Var", D66)), 1, IF(ISNUMBER(SEARCH("Gri", D66)), -1, 0)))=1, VERI_TABANI!E24*(1-0.928)*VERI_TABANI!$B$9, 0) + (VERI_TABANI!D24*B66*(VERI_TABANI!$B$13-VERI_TABANI!$B$14)*VERI_TABANI!G24) + (VERI_TABANI!D24*C66*(VERI_TABANI!$B$13-VERI_TABANI!$B$15)*VERI_TABANI!G24) + IF(ABS(IF(ISNUMBER(SEARCH("Var", D66)), 1, IF(ISNUMBER(SEARCH("Gri", D66)), -1, 0)))=1, VERI_TABANI!E24*(1-0.928)*0.00206091519919798*VERI_TABANI!G24, 0)) + ((MIN(VERI_TABANI!D25, VERI_TABANI!D25*B66)*VERI_TABANI!$B$7 + MAX(0, VERI_TABANI!D25*B66-VERI_TABANI!D25)*VERI_TABANI!$B$8) + (MIN(MAX(0, VERI_TABANI!D25-VERI_TABANI!D25*B66), VERI_TABANI!D25*C66)*VERI_TABANI!$B$7 + MAX(0, VERI_TABANI!D25*C66-MAX(0, VERI_TABANI!D25-VERI_TABANI!D25*B66))*VERI_TABANI!$B$8) + IF(ABS(IF(ISNUMBER(SEARCH("Var", D66)), 1, IF(ISNUMBER(SEARCH("Gri", D66)), -1, 0)))=1, VERI_TABANI!E25*(1-0.928)*VERI_TABANI!$B$9, 0) + (VERI_TABANI!D25*B66*(VERI_TABANI!$B$13-VERI_TABANI!$B$14)*VERI_TABANI!G25) + (VERI_TABANI!D25*C66*(VERI_TABANI!$B$13-VERI_TABANI!$B$15)*VERI_TABANI!G25) + IF(ABS(IF(ISNUMBER(SEARCH("Var", D66)), 1, IF(ISNUMBER(SEARCH("Gri", D66)), -1, 0)))=1, VERI_TABANI!E25*(1-0.928)*0.00206091519919798*VERI_TABANI!G25, 0)) + ((MIN(VERI_TABANI!D26, VERI_TABANI!D26*B66)*VERI_TABANI!$B$7 + MAX(0, VERI_TABANI!D26*B66-VERI_TABANI!D26)*VERI_TABANI!$B$8) + (MIN(MAX(0, VERI_TABANI!D26-VERI_TABANI!D26*B66), VERI_TABANI!D26*C66)*VERI_TABANI!$B$7 + MAX(0, VERI_TABANI!D26*C66-MAX(0, VERI_TABANI!D26-VERI_TABANI!D26*B66))*VERI_TABANI!$B$8) + IF(ABS(IF(ISNUMBER(SEARCH("Var", D66)), 1, IF(ISNUMBER(SEARCH("Gri", D66)), -1, 0)))=1, VERI_TABANI!E26*(1-0.928)*VERI_TABANI!$B$9, 0) + (VERI_TABANI!D26*B66*(VERI_TABANI!$B$13-VERI_TABANI!$B$14)*VERI_TABANI!G26) + (VERI_TABANI!D26*C66*(VERI_TABANI!$B$13-VERI_TABANI!$B$15)*VERI_TABANI!G26) + IF(ABS(IF(ISNUMBER(SEARCH("Var", D66)), 1, IF(ISNUMBER(SEARCH("Gri", D66)), -1, 0)))=1, VERI_TABANI!E26*(1-0.928)*0.00206091519919798*VERI_TABANI!G26, 0)) + ((MIN(VERI_TABANI!D27, VERI_TABANI!D27*B66)*VERI_TABANI!$B$7 + MAX(0, VERI_TABANI!D27*B66-VERI_TABANI!D27)*VERI_TABANI!$B$8) + (MIN(MAX(0, VERI_TABANI!D27-VERI_TABANI!D27*B66), VERI_TABANI!D27*C66)*VERI_TABANI!$B$7 + MAX(0, VERI_TABANI!D27*C66-MAX(0, VERI_TABANI!D27-VERI_TABANI!D27*B66))*VERI_TABANI!$B$8) + IF(ABS(IF(ISNUMBER(SEARCH("Var", D66)), 1, IF(ISNUMBER(SEARCH("Gri", D66)), -1, 0)))=1, VERI_TABANI!E27*(1-0.928)*VERI_TABANI!$B$9, 0) + (VERI_TABANI!D27*B66*(VERI_TABANI!$B$13-VERI_TABANI!$B$14)*VERI_TABANI!G27) + (VERI_TABANI!D27*C66*(VERI_TABANI!$B$13-VERI_TABANI!$B$15)*VERI_TABANI!G27) + IF(ABS(IF(ISNUMBER(SEARCH("Var", D66)), 1, IF(ISNUMBER(SEARCH("Gri", D66)), -1, 0)))=1, VERI_TABANI!E27*(1-0.928)*0.00206091519919798*VERI_TABANI!G27, 0)) + ((MIN(VERI_TABANI!D28, VERI_TABANI!D28*B66)*VERI_TABANI!$B$7 + MAX(0, VERI_TABANI!D28*B66-VERI_TABANI!D28)*VERI_TABANI!$B$8) + (MIN(MAX(0, VERI_TABANI!D28-VERI_TABANI!D28*B66), VERI_TABANI!D28*C66)*VERI_TABANI!$B$7 + MAX(0, VERI_TABANI!D28*C66-MAX(0, VERI_TABANI!D28-VERI_TABANI!D28*B66))*VERI_TABANI!$B$8) + IF(ABS(IF(ISNUMBER(SEARCH("Var", D66)), 1, IF(ISNUMBER(SEARCH("Gri", D66)), -1, 0)))=1, VERI_TABANI!E28*(1-0.928)*VERI_TABANI!$B$9, 0) + (VERI_TABANI!D28*B66*(VERI_TABANI!$B$13-VERI_TABANI!$B$14)*VERI_TABANI!G28) + (VERI_TABANI!D28*C66*(VERI_TABANI!$B$13-VERI_TABANI!$B$15)*VERI_TABANI!G28) + IF(ABS(IF(ISNUMBER(SEARCH("Var", D66)), 1, IF(ISNUMBER(SEARCH("Gri", D66)), -1, 0)))=1, VERI_TABANI!E28*(1-0.928)*0.00206091519919798*VERI_TABANI!G28, 0)))</f>
        <v/>
      </c>
      <c r="H66" s="169">
        <f>(((VERI_TABANI!D23*B66*(VERI_TABANI!$B$13-VERI_TABANI!$B$14)) + (VERI_TABANI!D23*C66*(VERI_TABANI!$B$13-VERI_TABANI!$B$15)) + IF(ISNUMBER(SEARCH("Var", D66)), VERI_TABANI!F23*(0.00202-VERI_TABANI!$B$16), IF(ISNUMBER(SEARCH("Gri", D66)), VERI_TABANI!F23*(0.00202-VERI_TABANI!$B$17), 0))) + ((VERI_TABANI!D24*B66*(VERI_TABANI!$B$13-VERI_TABANI!$B$14)) + (VERI_TABANI!D24*C66*(VERI_TABANI!$B$13-VERI_TABANI!$B$15)) + IF(ISNUMBER(SEARCH("Var", D66)), VERI_TABANI!F24*(0.00202-VERI_TABANI!$B$16), IF(ISNUMBER(SEARCH("Gri", D66)), VERI_TABANI!F24*(0.00202-VERI_TABANI!$B$17), 0))) + ((VERI_TABANI!D25*B66*(VERI_TABANI!$B$13-VERI_TABANI!$B$14)) + (VERI_TABANI!D25*C66*(VERI_TABANI!$B$13-VERI_TABANI!$B$15)) + IF(ISNUMBER(SEARCH("Var", D66)), VERI_TABANI!F25*(0.00202-VERI_TABANI!$B$16), IF(ISNUMBER(SEARCH("Gri", D66)), VERI_TABANI!F25*(0.00202-VERI_TABANI!$B$17), 0))) + ((VERI_TABANI!D26*B66*(VERI_TABANI!$B$13-VERI_TABANI!$B$14)) + (VERI_TABANI!D26*C66*(VERI_TABANI!$B$13-VERI_TABANI!$B$15)) + IF(ISNUMBER(SEARCH("Var", D66)), VERI_TABANI!F26*(0.00202-VERI_TABANI!$B$16), IF(ISNUMBER(SEARCH("Gri", D66)), VERI_TABANI!F26*(0.00202-VERI_TABANI!$B$17), 0))) + ((VERI_TABANI!D27*B66*(VERI_TABANI!$B$13-VERI_TABANI!$B$14)) + (VERI_TABANI!D27*C66*(VERI_TABANI!$B$13-VERI_TABANI!$B$15)) + IF(ISNUMBER(SEARCH("Var", D66)), VERI_TABANI!F27*(0.00202-VERI_TABANI!$B$16), IF(ISNUMBER(SEARCH("Gri", D66)), VERI_TABANI!F27*(0.00202-VERI_TABANI!$B$17), 0))) + ((VERI_TABANI!D28*B66*(VERI_TABANI!$B$13-VERI_TABANI!$B$14)) + (VERI_TABANI!D28*C66*(VERI_TABANI!$B$13-VERI_TABANI!$B$15)) + IF(ISNUMBER(SEARCH("Var", D66)), VERI_TABANI!F28*(0.00202-VERI_TABANI!$B$16), IF(ISNUMBER(SEARCH("Gri", D66)), VERI_TABANI!F28*(0.00202-VERI_TABANI!$B$17), 0))))</f>
        <v/>
      </c>
      <c r="I66" s="170">
        <f>IFERROR(((VERI_TABANI!$D$29*B66*VERI_TABANI!$B$14 + VERI_TABANI!$D$29*C66*VERI_TABANI!$B$15 + IF(ISNUMBER(SEARCH("Var", D66)), VERI_TABANI!$F$29*VERI_TABANI!$B$16, 0))) / (((VERI_TABANI!$D$29*B66 + VERI_TABANI!$D$29*C66)*VERI_TABANI!$B$13 + IF(ISNUMBER(SEARCH("Var", D66)), VERI_TABANI!$E$29*(1-0.928)*VERI_TABANI!$B$18, 0))), 0)</f>
        <v/>
      </c>
      <c r="J66" s="171">
        <f>IFERROR(F66/(G66/29), 0)</f>
        <v/>
      </c>
      <c r="K66" s="172">
        <f>IF(F66&gt;0, H66/F66, 0)</f>
        <v/>
      </c>
      <c r="L66" s="170">
        <f>IF(F66&gt;0, I66, 1000000000)</f>
        <v/>
      </c>
      <c r="M66" s="171">
        <f>ABS((B66+C66)-1)</f>
        <v/>
      </c>
      <c r="N66" s="170">
        <f>IF(F66&gt;0, (G66/29)/F66, 0)</f>
        <v/>
      </c>
      <c r="O66" s="168">
        <f>IF(AND((B66+C66)&gt;=1, ISNUMBER(SEARCH("Var", D66))), F66, 1000000000)</f>
        <v/>
      </c>
      <c r="P66" s="172">
        <f>IF(F66&gt;0, SQRT((F66/MAX(F$5:F$886))^2 + (1 - H66/MAX(H$5:H$886))^2 + (J66/MAX(J$5:J$886))^2), 1000000000)</f>
        <v/>
      </c>
      <c r="Q66" s="166">
        <f>IF(AND(ABS(B66-0.5)&lt;0.01, ABS(C66-0.5)&lt;0.01, ISNUMBER(SEARCH("Var", D66))), 1, 0)</f>
        <v/>
      </c>
      <c r="R66" s="171">
        <f>IF(F66&gt;0, J66, 1000000000)</f>
        <v/>
      </c>
      <c r="S66" s="101">
        <f>IF(AND(F66&lt;=DASHBOARD!$B$11, H66&gt;=DASHBOARD!$B$13), G66, -1000000000000)</f>
        <v/>
      </c>
      <c r="T66" s="101">
        <f>IF(AND(F66&lt;=DASHBOARD!$B$11, H66&gt;=DASHBOARD!$B$13), R66, 1000000000000)</f>
        <v/>
      </c>
      <c r="U66" s="101">
        <f>IF(AND(F66&lt;=DASHBOARD!$B$11, H66&gt;=DASHBOARD!$B$13), N66, -1000000000000)</f>
        <v/>
      </c>
      <c r="V66" s="101">
        <f>IF(AND(F66&lt;=DASHBOARD!$B$11, H66&gt;=DASHBOARD!$B$13), H66, -1000000000000)</f>
        <v/>
      </c>
      <c r="W66" s="101">
        <f>IF(AND(F66&lt;=DASHBOARD!$B$11, H66&gt;=DASHBOARD!$B$13), K66, -1000000000000)</f>
        <v/>
      </c>
      <c r="X66" s="101">
        <f>IF(AND(F66&lt;=DASHBOARD!$B$11, H66&gt;=DASHBOARD!$B$13), M66, 1000000000000)</f>
        <v/>
      </c>
      <c r="Y66" s="101">
        <f>IF(AND(F66&lt;=DASHBOARD!$B$10, H66&gt;=DASHBOARD!$B$11), L66, 1000000000000)</f>
        <v/>
      </c>
      <c r="Z66" s="101">
        <f>IF(AND(F66&lt;=DASHBOARD!$B$10, H66&gt;=DASHBOARD!$B$11), O66, 1000000000000)</f>
        <v/>
      </c>
      <c r="AA66" s="101">
        <f>IF(AND(F66&lt;=DASHBOARD!$B$10, H66&gt;=DASHBOARD!$B$11), P66, 1000000000000)</f>
        <v/>
      </c>
      <c r="AB66" s="101">
        <f>IF(AND(F66&lt;=DASHBOARD!$B$10, H66&gt;=DASHBOARD!$B$11), Q66, -1000000000000)</f>
        <v/>
      </c>
    </row>
    <row r="67" ht="12.75" customHeight="1" s="102">
      <c r="A67" s="166" t="n">
        <v>63</v>
      </c>
      <c r="B67" s="167" t="n">
        <v>0.1</v>
      </c>
      <c r="C67" s="167" t="n">
        <v>1</v>
      </c>
      <c r="D67" s="110" t="inlineStr">
        <is>
          <t>Yok (%0)</t>
        </is>
      </c>
      <c r="E67" s="110">
        <f>IF((B67+C67)&lt;=1, "Tam Mahsuplaşma (≤%100)", "Kısmi Satış (&gt;%100)")</f>
        <v/>
      </c>
      <c r="F67" s="168">
        <f>((VERI_TABANI!$D$29*B67/VERI_TABANI!$B$29)/VERI_TABANI!$B$3)*VERI_TABANI!$B$5 + ((VERI_TABANI!$D$29*C67/VERI_TABANI!$B$29)/VERI_TABANI!$B$4)*VERI_TABANI!$B$6 + IF(ISNUMBER(SEARCH("Var", D67)), (VERI_TABANI!$F$29/VERI_TABANI!$B$29)*(VERI_TABANI!$B$10+VERI_TABANI!$B$12), 0)</f>
        <v/>
      </c>
      <c r="G67" s="168">
        <f>(((MIN(VERI_TABANI!D23, VERI_TABANI!D23*B67)*VERI_TABANI!$B$7 + MAX(0, VERI_TABANI!D23*B67-VERI_TABANI!D23)*VERI_TABANI!$B$8) + (MIN(MAX(0, VERI_TABANI!D23-VERI_TABANI!D23*B67), VERI_TABANI!D23*C67)*VERI_TABANI!$B$7 + MAX(0, VERI_TABANI!D23*C67-MAX(0, VERI_TABANI!D23-VERI_TABANI!D23*B67))*VERI_TABANI!$B$8) + IF(ABS(IF(ISNUMBER(SEARCH("Var", D67)), 1, IF(ISNUMBER(SEARCH("Gri", D67)), -1, 0)))=1, VERI_TABANI!E23*(1-0.928)*VERI_TABANI!$B$9, 0) + (VERI_TABANI!D23*B67*(VERI_TABANI!$B$13-VERI_TABANI!$B$14)*VERI_TABANI!G23) + (VERI_TABANI!D23*C67*(VERI_TABANI!$B$13-VERI_TABANI!$B$15)*VERI_TABANI!G23) + IF(ABS(IF(ISNUMBER(SEARCH("Var", D67)), 1, IF(ISNUMBER(SEARCH("Gri", D67)), -1, 0)))=1, VERI_TABANI!E23*(1-0.928)*0.00206091519919798*VERI_TABANI!G23, 0)) + ((MIN(VERI_TABANI!D24, VERI_TABANI!D24*B67)*VERI_TABANI!$B$7 + MAX(0, VERI_TABANI!D24*B67-VERI_TABANI!D24)*VERI_TABANI!$B$8) + (MIN(MAX(0, VERI_TABANI!D24-VERI_TABANI!D24*B67), VERI_TABANI!D24*C67)*VERI_TABANI!$B$7 + MAX(0, VERI_TABANI!D24*C67-MAX(0, VERI_TABANI!D24-VERI_TABANI!D24*B67))*VERI_TABANI!$B$8) + IF(ABS(IF(ISNUMBER(SEARCH("Var", D67)), 1, IF(ISNUMBER(SEARCH("Gri", D67)), -1, 0)))=1, VERI_TABANI!E24*(1-0.928)*VERI_TABANI!$B$9, 0) + (VERI_TABANI!D24*B67*(VERI_TABANI!$B$13-VERI_TABANI!$B$14)*VERI_TABANI!G24) + (VERI_TABANI!D24*C67*(VERI_TABANI!$B$13-VERI_TABANI!$B$15)*VERI_TABANI!G24) + IF(ABS(IF(ISNUMBER(SEARCH("Var", D67)), 1, IF(ISNUMBER(SEARCH("Gri", D67)), -1, 0)))=1, VERI_TABANI!E24*(1-0.928)*0.00206091519919798*VERI_TABANI!G24, 0)) + ((MIN(VERI_TABANI!D25, VERI_TABANI!D25*B67)*VERI_TABANI!$B$7 + MAX(0, VERI_TABANI!D25*B67-VERI_TABANI!D25)*VERI_TABANI!$B$8) + (MIN(MAX(0, VERI_TABANI!D25-VERI_TABANI!D25*B67), VERI_TABANI!D25*C67)*VERI_TABANI!$B$7 + MAX(0, VERI_TABANI!D25*C67-MAX(0, VERI_TABANI!D25-VERI_TABANI!D25*B67))*VERI_TABANI!$B$8) + IF(ABS(IF(ISNUMBER(SEARCH("Var", D67)), 1, IF(ISNUMBER(SEARCH("Gri", D67)), -1, 0)))=1, VERI_TABANI!E25*(1-0.928)*VERI_TABANI!$B$9, 0) + (VERI_TABANI!D25*B67*(VERI_TABANI!$B$13-VERI_TABANI!$B$14)*VERI_TABANI!G25) + (VERI_TABANI!D25*C67*(VERI_TABANI!$B$13-VERI_TABANI!$B$15)*VERI_TABANI!G25) + IF(ABS(IF(ISNUMBER(SEARCH("Var", D67)), 1, IF(ISNUMBER(SEARCH("Gri", D67)), -1, 0)))=1, VERI_TABANI!E25*(1-0.928)*0.00206091519919798*VERI_TABANI!G25, 0)) + ((MIN(VERI_TABANI!D26, VERI_TABANI!D26*B67)*VERI_TABANI!$B$7 + MAX(0, VERI_TABANI!D26*B67-VERI_TABANI!D26)*VERI_TABANI!$B$8) + (MIN(MAX(0, VERI_TABANI!D26-VERI_TABANI!D26*B67), VERI_TABANI!D26*C67)*VERI_TABANI!$B$7 + MAX(0, VERI_TABANI!D26*C67-MAX(0, VERI_TABANI!D26-VERI_TABANI!D26*B67))*VERI_TABANI!$B$8) + IF(ABS(IF(ISNUMBER(SEARCH("Var", D67)), 1, IF(ISNUMBER(SEARCH("Gri", D67)), -1, 0)))=1, VERI_TABANI!E26*(1-0.928)*VERI_TABANI!$B$9, 0) + (VERI_TABANI!D26*B67*(VERI_TABANI!$B$13-VERI_TABANI!$B$14)*VERI_TABANI!G26) + (VERI_TABANI!D26*C67*(VERI_TABANI!$B$13-VERI_TABANI!$B$15)*VERI_TABANI!G26) + IF(ABS(IF(ISNUMBER(SEARCH("Var", D67)), 1, IF(ISNUMBER(SEARCH("Gri", D67)), -1, 0)))=1, VERI_TABANI!E26*(1-0.928)*0.00206091519919798*VERI_TABANI!G26, 0)) + ((MIN(VERI_TABANI!D27, VERI_TABANI!D27*B67)*VERI_TABANI!$B$7 + MAX(0, VERI_TABANI!D27*B67-VERI_TABANI!D27)*VERI_TABANI!$B$8) + (MIN(MAX(0, VERI_TABANI!D27-VERI_TABANI!D27*B67), VERI_TABANI!D27*C67)*VERI_TABANI!$B$7 + MAX(0, VERI_TABANI!D27*C67-MAX(0, VERI_TABANI!D27-VERI_TABANI!D27*B67))*VERI_TABANI!$B$8) + IF(ABS(IF(ISNUMBER(SEARCH("Var", D67)), 1, IF(ISNUMBER(SEARCH("Gri", D67)), -1, 0)))=1, VERI_TABANI!E27*(1-0.928)*VERI_TABANI!$B$9, 0) + (VERI_TABANI!D27*B67*(VERI_TABANI!$B$13-VERI_TABANI!$B$14)*VERI_TABANI!G27) + (VERI_TABANI!D27*C67*(VERI_TABANI!$B$13-VERI_TABANI!$B$15)*VERI_TABANI!G27) + IF(ABS(IF(ISNUMBER(SEARCH("Var", D67)), 1, IF(ISNUMBER(SEARCH("Gri", D67)), -1, 0)))=1, VERI_TABANI!E27*(1-0.928)*0.00206091519919798*VERI_TABANI!G27, 0)) + ((MIN(VERI_TABANI!D28, VERI_TABANI!D28*B67)*VERI_TABANI!$B$7 + MAX(0, VERI_TABANI!D28*B67-VERI_TABANI!D28)*VERI_TABANI!$B$8) + (MIN(MAX(0, VERI_TABANI!D28-VERI_TABANI!D28*B67), VERI_TABANI!D28*C67)*VERI_TABANI!$B$7 + MAX(0, VERI_TABANI!D28*C67-MAX(0, VERI_TABANI!D28-VERI_TABANI!D28*B67))*VERI_TABANI!$B$8) + IF(ABS(IF(ISNUMBER(SEARCH("Var", D67)), 1, IF(ISNUMBER(SEARCH("Gri", D67)), -1, 0)))=1, VERI_TABANI!E28*(1-0.928)*VERI_TABANI!$B$9, 0) + (VERI_TABANI!D28*B67*(VERI_TABANI!$B$13-VERI_TABANI!$B$14)*VERI_TABANI!G28) + (VERI_TABANI!D28*C67*(VERI_TABANI!$B$13-VERI_TABANI!$B$15)*VERI_TABANI!G28) + IF(ABS(IF(ISNUMBER(SEARCH("Var", D67)), 1, IF(ISNUMBER(SEARCH("Gri", D67)), -1, 0)))=1, VERI_TABANI!E28*(1-0.928)*0.00206091519919798*VERI_TABANI!G28, 0)))</f>
        <v/>
      </c>
      <c r="H67" s="169">
        <f>(((VERI_TABANI!D23*B67*(VERI_TABANI!$B$13-VERI_TABANI!$B$14)) + (VERI_TABANI!D23*C67*(VERI_TABANI!$B$13-VERI_TABANI!$B$15)) + IF(ISNUMBER(SEARCH("Var", D67)), VERI_TABANI!F23*(0.00202-VERI_TABANI!$B$16), IF(ISNUMBER(SEARCH("Gri", D67)), VERI_TABANI!F23*(0.00202-VERI_TABANI!$B$17), 0))) + ((VERI_TABANI!D24*B67*(VERI_TABANI!$B$13-VERI_TABANI!$B$14)) + (VERI_TABANI!D24*C67*(VERI_TABANI!$B$13-VERI_TABANI!$B$15)) + IF(ISNUMBER(SEARCH("Var", D67)), VERI_TABANI!F24*(0.00202-VERI_TABANI!$B$16), IF(ISNUMBER(SEARCH("Gri", D67)), VERI_TABANI!F24*(0.00202-VERI_TABANI!$B$17), 0))) + ((VERI_TABANI!D25*B67*(VERI_TABANI!$B$13-VERI_TABANI!$B$14)) + (VERI_TABANI!D25*C67*(VERI_TABANI!$B$13-VERI_TABANI!$B$15)) + IF(ISNUMBER(SEARCH("Var", D67)), VERI_TABANI!F25*(0.00202-VERI_TABANI!$B$16), IF(ISNUMBER(SEARCH("Gri", D67)), VERI_TABANI!F25*(0.00202-VERI_TABANI!$B$17), 0))) + ((VERI_TABANI!D26*B67*(VERI_TABANI!$B$13-VERI_TABANI!$B$14)) + (VERI_TABANI!D26*C67*(VERI_TABANI!$B$13-VERI_TABANI!$B$15)) + IF(ISNUMBER(SEARCH("Var", D67)), VERI_TABANI!F26*(0.00202-VERI_TABANI!$B$16), IF(ISNUMBER(SEARCH("Gri", D67)), VERI_TABANI!F26*(0.00202-VERI_TABANI!$B$17), 0))) + ((VERI_TABANI!D27*B67*(VERI_TABANI!$B$13-VERI_TABANI!$B$14)) + (VERI_TABANI!D27*C67*(VERI_TABANI!$B$13-VERI_TABANI!$B$15)) + IF(ISNUMBER(SEARCH("Var", D67)), VERI_TABANI!F27*(0.00202-VERI_TABANI!$B$16), IF(ISNUMBER(SEARCH("Gri", D67)), VERI_TABANI!F27*(0.00202-VERI_TABANI!$B$17), 0))) + ((VERI_TABANI!D28*B67*(VERI_TABANI!$B$13-VERI_TABANI!$B$14)) + (VERI_TABANI!D28*C67*(VERI_TABANI!$B$13-VERI_TABANI!$B$15)) + IF(ISNUMBER(SEARCH("Var", D67)), VERI_TABANI!F28*(0.00202-VERI_TABANI!$B$16), IF(ISNUMBER(SEARCH("Gri", D67)), VERI_TABANI!F28*(0.00202-VERI_TABANI!$B$17), 0))))</f>
        <v/>
      </c>
      <c r="I67" s="170">
        <f>IFERROR(((VERI_TABANI!$D$29*B67*VERI_TABANI!$B$14 + VERI_TABANI!$D$29*C67*VERI_TABANI!$B$15 + IF(ISNUMBER(SEARCH("Var", D67)), VERI_TABANI!$F$29*VERI_TABANI!$B$16, 0))) / (((VERI_TABANI!$D$29*B67 + VERI_TABANI!$D$29*C67)*VERI_TABANI!$B$13 + IF(ISNUMBER(SEARCH("Var", D67)), VERI_TABANI!$E$29*(1-0.928)*VERI_TABANI!$B$18, 0))), 0)</f>
        <v/>
      </c>
      <c r="J67" s="171">
        <f>IFERROR(F67/(G67/29), 0)</f>
        <v/>
      </c>
      <c r="K67" s="172">
        <f>IF(F67&gt;0, H67/F67, 0)</f>
        <v/>
      </c>
      <c r="L67" s="170">
        <f>IF(F67&gt;0, I67, 1000000000)</f>
        <v/>
      </c>
      <c r="M67" s="171">
        <f>ABS((B67+C67)-1)</f>
        <v/>
      </c>
      <c r="N67" s="170">
        <f>IF(F67&gt;0, (G67/29)/F67, 0)</f>
        <v/>
      </c>
      <c r="O67" s="168">
        <f>IF(AND((B67+C67)&gt;=1, ISNUMBER(SEARCH("Var", D67))), F67, 1000000000)</f>
        <v/>
      </c>
      <c r="P67" s="172">
        <f>IF(F67&gt;0, SQRT((F67/MAX(F$5:F$886))^2 + (1 - H67/MAX(H$5:H$886))^2 + (J67/MAX(J$5:J$886))^2), 1000000000)</f>
        <v/>
      </c>
      <c r="Q67" s="166">
        <f>IF(AND(ABS(B67-0.5)&lt;0.01, ABS(C67-0.5)&lt;0.01, ISNUMBER(SEARCH("Var", D67))), 1, 0)</f>
        <v/>
      </c>
      <c r="R67" s="171">
        <f>IF(F67&gt;0, J67, 1000000000)</f>
        <v/>
      </c>
      <c r="S67" s="101">
        <f>IF(AND(F67&lt;=DASHBOARD!$B$11, H67&gt;=DASHBOARD!$B$13), G67, -1000000000000)</f>
        <v/>
      </c>
      <c r="T67" s="101">
        <f>IF(AND(F67&lt;=DASHBOARD!$B$11, H67&gt;=DASHBOARD!$B$13), R67, 1000000000000)</f>
        <v/>
      </c>
      <c r="U67" s="101">
        <f>IF(AND(F67&lt;=DASHBOARD!$B$11, H67&gt;=DASHBOARD!$B$13), N67, -1000000000000)</f>
        <v/>
      </c>
      <c r="V67" s="101">
        <f>IF(AND(F67&lt;=DASHBOARD!$B$11, H67&gt;=DASHBOARD!$B$13), H67, -1000000000000)</f>
        <v/>
      </c>
      <c r="W67" s="101">
        <f>IF(AND(F67&lt;=DASHBOARD!$B$11, H67&gt;=DASHBOARD!$B$13), K67, -1000000000000)</f>
        <v/>
      </c>
      <c r="X67" s="101">
        <f>IF(AND(F67&lt;=DASHBOARD!$B$11, H67&gt;=DASHBOARD!$B$13), M67, 1000000000000)</f>
        <v/>
      </c>
      <c r="Y67" s="101">
        <f>IF(AND(F67&lt;=DASHBOARD!$B$10, H67&gt;=DASHBOARD!$B$11), L67, 1000000000000)</f>
        <v/>
      </c>
      <c r="Z67" s="101">
        <f>IF(AND(F67&lt;=DASHBOARD!$B$10, H67&gt;=DASHBOARD!$B$11), O67, 1000000000000)</f>
        <v/>
      </c>
      <c r="AA67" s="101">
        <f>IF(AND(F67&lt;=DASHBOARD!$B$10, H67&gt;=DASHBOARD!$B$11), P67, 1000000000000)</f>
        <v/>
      </c>
      <c r="AB67" s="101">
        <f>IF(AND(F67&lt;=DASHBOARD!$B$10, H67&gt;=DASHBOARD!$B$11), Q67, -1000000000000)</f>
        <v/>
      </c>
    </row>
    <row r="68" ht="12.75" customHeight="1" s="102">
      <c r="A68" s="166" t="n">
        <v>64</v>
      </c>
      <c r="B68" s="167" t="n">
        <v>0.1</v>
      </c>
      <c r="C68" s="167" t="n">
        <v>1</v>
      </c>
      <c r="D68" s="110" t="inlineStr">
        <is>
          <t>Var (%20)</t>
        </is>
      </c>
      <c r="E68" s="110">
        <f>IF((B68+C68)&lt;=1, "Tam Mahsuplaşma (≤%100)", "Kısmi Satış (&gt;%100)")</f>
        <v/>
      </c>
      <c r="F68" s="168">
        <f>((VERI_TABANI!$D$29*B68/VERI_TABANI!$B$29)/VERI_TABANI!$B$3)*VERI_TABANI!$B$5 + ((VERI_TABANI!$D$29*C68/VERI_TABANI!$B$29)/VERI_TABANI!$B$4)*VERI_TABANI!$B$6 + IF(ISNUMBER(SEARCH("Var", D68)), (VERI_TABANI!$F$29/VERI_TABANI!$B$29)*(VERI_TABANI!$B$10+VERI_TABANI!$B$12), 0)</f>
        <v/>
      </c>
      <c r="G68" s="168">
        <f>(((MIN(VERI_TABANI!D23, VERI_TABANI!D23*B68)*VERI_TABANI!$B$7 + MAX(0, VERI_TABANI!D23*B68-VERI_TABANI!D23)*VERI_TABANI!$B$8) + (MIN(MAX(0, VERI_TABANI!D23-VERI_TABANI!D23*B68), VERI_TABANI!D23*C68)*VERI_TABANI!$B$7 + MAX(0, VERI_TABANI!D23*C68-MAX(0, VERI_TABANI!D23-VERI_TABANI!D23*B68))*VERI_TABANI!$B$8) + IF(ABS(IF(ISNUMBER(SEARCH("Var", D68)), 1, IF(ISNUMBER(SEARCH("Gri", D68)), -1, 0)))=1, VERI_TABANI!E23*(1-0.928)*VERI_TABANI!$B$9, 0) + (VERI_TABANI!D23*B68*(VERI_TABANI!$B$13-VERI_TABANI!$B$14)*VERI_TABANI!G23) + (VERI_TABANI!D23*C68*(VERI_TABANI!$B$13-VERI_TABANI!$B$15)*VERI_TABANI!G23) + IF(ABS(IF(ISNUMBER(SEARCH("Var", D68)), 1, IF(ISNUMBER(SEARCH("Gri", D68)), -1, 0)))=1, VERI_TABANI!E23*(1-0.928)*0.00206091519919798*VERI_TABANI!G23, 0)) + ((MIN(VERI_TABANI!D24, VERI_TABANI!D24*B68)*VERI_TABANI!$B$7 + MAX(0, VERI_TABANI!D24*B68-VERI_TABANI!D24)*VERI_TABANI!$B$8) + (MIN(MAX(0, VERI_TABANI!D24-VERI_TABANI!D24*B68), VERI_TABANI!D24*C68)*VERI_TABANI!$B$7 + MAX(0, VERI_TABANI!D24*C68-MAX(0, VERI_TABANI!D24-VERI_TABANI!D24*B68))*VERI_TABANI!$B$8) + IF(ABS(IF(ISNUMBER(SEARCH("Var", D68)), 1, IF(ISNUMBER(SEARCH("Gri", D68)), -1, 0)))=1, VERI_TABANI!E24*(1-0.928)*VERI_TABANI!$B$9, 0) + (VERI_TABANI!D24*B68*(VERI_TABANI!$B$13-VERI_TABANI!$B$14)*VERI_TABANI!G24) + (VERI_TABANI!D24*C68*(VERI_TABANI!$B$13-VERI_TABANI!$B$15)*VERI_TABANI!G24) + IF(ABS(IF(ISNUMBER(SEARCH("Var", D68)), 1, IF(ISNUMBER(SEARCH("Gri", D68)), -1, 0)))=1, VERI_TABANI!E24*(1-0.928)*0.00206091519919798*VERI_TABANI!G24, 0)) + ((MIN(VERI_TABANI!D25, VERI_TABANI!D25*B68)*VERI_TABANI!$B$7 + MAX(0, VERI_TABANI!D25*B68-VERI_TABANI!D25)*VERI_TABANI!$B$8) + (MIN(MAX(0, VERI_TABANI!D25-VERI_TABANI!D25*B68), VERI_TABANI!D25*C68)*VERI_TABANI!$B$7 + MAX(0, VERI_TABANI!D25*C68-MAX(0, VERI_TABANI!D25-VERI_TABANI!D25*B68))*VERI_TABANI!$B$8) + IF(ABS(IF(ISNUMBER(SEARCH("Var", D68)), 1, IF(ISNUMBER(SEARCH("Gri", D68)), -1, 0)))=1, VERI_TABANI!E25*(1-0.928)*VERI_TABANI!$B$9, 0) + (VERI_TABANI!D25*B68*(VERI_TABANI!$B$13-VERI_TABANI!$B$14)*VERI_TABANI!G25) + (VERI_TABANI!D25*C68*(VERI_TABANI!$B$13-VERI_TABANI!$B$15)*VERI_TABANI!G25) + IF(ABS(IF(ISNUMBER(SEARCH("Var", D68)), 1, IF(ISNUMBER(SEARCH("Gri", D68)), -1, 0)))=1, VERI_TABANI!E25*(1-0.928)*0.00206091519919798*VERI_TABANI!G25, 0)) + ((MIN(VERI_TABANI!D26, VERI_TABANI!D26*B68)*VERI_TABANI!$B$7 + MAX(0, VERI_TABANI!D26*B68-VERI_TABANI!D26)*VERI_TABANI!$B$8) + (MIN(MAX(0, VERI_TABANI!D26-VERI_TABANI!D26*B68), VERI_TABANI!D26*C68)*VERI_TABANI!$B$7 + MAX(0, VERI_TABANI!D26*C68-MAX(0, VERI_TABANI!D26-VERI_TABANI!D26*B68))*VERI_TABANI!$B$8) + IF(ABS(IF(ISNUMBER(SEARCH("Var", D68)), 1, IF(ISNUMBER(SEARCH("Gri", D68)), -1, 0)))=1, VERI_TABANI!E26*(1-0.928)*VERI_TABANI!$B$9, 0) + (VERI_TABANI!D26*B68*(VERI_TABANI!$B$13-VERI_TABANI!$B$14)*VERI_TABANI!G26) + (VERI_TABANI!D26*C68*(VERI_TABANI!$B$13-VERI_TABANI!$B$15)*VERI_TABANI!G26) + IF(ABS(IF(ISNUMBER(SEARCH("Var", D68)), 1, IF(ISNUMBER(SEARCH("Gri", D68)), -1, 0)))=1, VERI_TABANI!E26*(1-0.928)*0.00206091519919798*VERI_TABANI!G26, 0)) + ((MIN(VERI_TABANI!D27, VERI_TABANI!D27*B68)*VERI_TABANI!$B$7 + MAX(0, VERI_TABANI!D27*B68-VERI_TABANI!D27)*VERI_TABANI!$B$8) + (MIN(MAX(0, VERI_TABANI!D27-VERI_TABANI!D27*B68), VERI_TABANI!D27*C68)*VERI_TABANI!$B$7 + MAX(0, VERI_TABANI!D27*C68-MAX(0, VERI_TABANI!D27-VERI_TABANI!D27*B68))*VERI_TABANI!$B$8) + IF(ABS(IF(ISNUMBER(SEARCH("Var", D68)), 1, IF(ISNUMBER(SEARCH("Gri", D68)), -1, 0)))=1, VERI_TABANI!E27*(1-0.928)*VERI_TABANI!$B$9, 0) + (VERI_TABANI!D27*B68*(VERI_TABANI!$B$13-VERI_TABANI!$B$14)*VERI_TABANI!G27) + (VERI_TABANI!D27*C68*(VERI_TABANI!$B$13-VERI_TABANI!$B$15)*VERI_TABANI!G27) + IF(ABS(IF(ISNUMBER(SEARCH("Var", D68)), 1, IF(ISNUMBER(SEARCH("Gri", D68)), -1, 0)))=1, VERI_TABANI!E27*(1-0.928)*0.00206091519919798*VERI_TABANI!G27, 0)) + ((MIN(VERI_TABANI!D28, VERI_TABANI!D28*B68)*VERI_TABANI!$B$7 + MAX(0, VERI_TABANI!D28*B68-VERI_TABANI!D28)*VERI_TABANI!$B$8) + (MIN(MAX(0, VERI_TABANI!D28-VERI_TABANI!D28*B68), VERI_TABANI!D28*C68)*VERI_TABANI!$B$7 + MAX(0, VERI_TABANI!D28*C68-MAX(0, VERI_TABANI!D28-VERI_TABANI!D28*B68))*VERI_TABANI!$B$8) + IF(ABS(IF(ISNUMBER(SEARCH("Var", D68)), 1, IF(ISNUMBER(SEARCH("Gri", D68)), -1, 0)))=1, VERI_TABANI!E28*(1-0.928)*VERI_TABANI!$B$9, 0) + (VERI_TABANI!D28*B68*(VERI_TABANI!$B$13-VERI_TABANI!$B$14)*VERI_TABANI!G28) + (VERI_TABANI!D28*C68*(VERI_TABANI!$B$13-VERI_TABANI!$B$15)*VERI_TABANI!G28) + IF(ABS(IF(ISNUMBER(SEARCH("Var", D68)), 1, IF(ISNUMBER(SEARCH("Gri", D68)), -1, 0)))=1, VERI_TABANI!E28*(1-0.928)*0.00206091519919798*VERI_TABANI!G28, 0)))</f>
        <v/>
      </c>
      <c r="H68" s="169">
        <f>(((VERI_TABANI!D23*B68*(VERI_TABANI!$B$13-VERI_TABANI!$B$14)) + (VERI_TABANI!D23*C68*(VERI_TABANI!$B$13-VERI_TABANI!$B$15)) + IF(ISNUMBER(SEARCH("Var", D68)), VERI_TABANI!F23*(0.00202-VERI_TABANI!$B$16), IF(ISNUMBER(SEARCH("Gri", D68)), VERI_TABANI!F23*(0.00202-VERI_TABANI!$B$17), 0))) + ((VERI_TABANI!D24*B68*(VERI_TABANI!$B$13-VERI_TABANI!$B$14)) + (VERI_TABANI!D24*C68*(VERI_TABANI!$B$13-VERI_TABANI!$B$15)) + IF(ISNUMBER(SEARCH("Var", D68)), VERI_TABANI!F24*(0.00202-VERI_TABANI!$B$16), IF(ISNUMBER(SEARCH("Gri", D68)), VERI_TABANI!F24*(0.00202-VERI_TABANI!$B$17), 0))) + ((VERI_TABANI!D25*B68*(VERI_TABANI!$B$13-VERI_TABANI!$B$14)) + (VERI_TABANI!D25*C68*(VERI_TABANI!$B$13-VERI_TABANI!$B$15)) + IF(ISNUMBER(SEARCH("Var", D68)), VERI_TABANI!F25*(0.00202-VERI_TABANI!$B$16), IF(ISNUMBER(SEARCH("Gri", D68)), VERI_TABANI!F25*(0.00202-VERI_TABANI!$B$17), 0))) + ((VERI_TABANI!D26*B68*(VERI_TABANI!$B$13-VERI_TABANI!$B$14)) + (VERI_TABANI!D26*C68*(VERI_TABANI!$B$13-VERI_TABANI!$B$15)) + IF(ISNUMBER(SEARCH("Var", D68)), VERI_TABANI!F26*(0.00202-VERI_TABANI!$B$16), IF(ISNUMBER(SEARCH("Gri", D68)), VERI_TABANI!F26*(0.00202-VERI_TABANI!$B$17), 0))) + ((VERI_TABANI!D27*B68*(VERI_TABANI!$B$13-VERI_TABANI!$B$14)) + (VERI_TABANI!D27*C68*(VERI_TABANI!$B$13-VERI_TABANI!$B$15)) + IF(ISNUMBER(SEARCH("Var", D68)), VERI_TABANI!F27*(0.00202-VERI_TABANI!$B$16), IF(ISNUMBER(SEARCH("Gri", D68)), VERI_TABANI!F27*(0.00202-VERI_TABANI!$B$17), 0))) + ((VERI_TABANI!D28*B68*(VERI_TABANI!$B$13-VERI_TABANI!$B$14)) + (VERI_TABANI!D28*C68*(VERI_TABANI!$B$13-VERI_TABANI!$B$15)) + IF(ISNUMBER(SEARCH("Var", D68)), VERI_TABANI!F28*(0.00202-VERI_TABANI!$B$16), IF(ISNUMBER(SEARCH("Gri", D68)), VERI_TABANI!F28*(0.00202-VERI_TABANI!$B$17), 0))))</f>
        <v/>
      </c>
      <c r="I68" s="170">
        <f>IFERROR(((VERI_TABANI!$D$29*B68*VERI_TABANI!$B$14 + VERI_TABANI!$D$29*C68*VERI_TABANI!$B$15 + IF(ISNUMBER(SEARCH("Var", D68)), VERI_TABANI!$F$29*VERI_TABANI!$B$16, 0))) / (((VERI_TABANI!$D$29*B68 + VERI_TABANI!$D$29*C68)*VERI_TABANI!$B$13 + IF(ISNUMBER(SEARCH("Var", D68)), VERI_TABANI!$E$29*(1-0.928)*VERI_TABANI!$B$18, 0))), 0)</f>
        <v/>
      </c>
      <c r="J68" s="171">
        <f>IFERROR(F68/(G68/29), 0)</f>
        <v/>
      </c>
      <c r="K68" s="172">
        <f>IF(F68&gt;0, H68/F68, 0)</f>
        <v/>
      </c>
      <c r="L68" s="170">
        <f>IF(F68&gt;0, I68, 1000000000)</f>
        <v/>
      </c>
      <c r="M68" s="171">
        <f>ABS((B68+C68)-1)</f>
        <v/>
      </c>
      <c r="N68" s="170">
        <f>IF(F68&gt;0, (G68/29)/F68, 0)</f>
        <v/>
      </c>
      <c r="O68" s="168">
        <f>IF(AND((B68+C68)&gt;=1, ISNUMBER(SEARCH("Var", D68))), F68, 1000000000)</f>
        <v/>
      </c>
      <c r="P68" s="172">
        <f>IF(F68&gt;0, SQRT((F68/MAX(F$5:F$886))^2 + (1 - H68/MAX(H$5:H$886))^2 + (J68/MAX(J$5:J$886))^2), 1000000000)</f>
        <v/>
      </c>
      <c r="Q68" s="166">
        <f>IF(AND(ABS(B68-0.5)&lt;0.01, ABS(C68-0.5)&lt;0.01, ISNUMBER(SEARCH("Var", D68))), 1, 0)</f>
        <v/>
      </c>
      <c r="R68" s="171">
        <f>IF(F68&gt;0, J68, 1000000000)</f>
        <v/>
      </c>
      <c r="S68" s="101">
        <f>IF(AND(F68&lt;=DASHBOARD!$B$11, H68&gt;=DASHBOARD!$B$13), G68, -1000000000000)</f>
        <v/>
      </c>
      <c r="T68" s="101">
        <f>IF(AND(F68&lt;=DASHBOARD!$B$11, H68&gt;=DASHBOARD!$B$13), R68, 1000000000000)</f>
        <v/>
      </c>
      <c r="U68" s="101">
        <f>IF(AND(F68&lt;=DASHBOARD!$B$11, H68&gt;=DASHBOARD!$B$13), N68, -1000000000000)</f>
        <v/>
      </c>
      <c r="V68" s="101">
        <f>IF(AND(F68&lt;=DASHBOARD!$B$11, H68&gt;=DASHBOARD!$B$13), H68, -1000000000000)</f>
        <v/>
      </c>
      <c r="W68" s="101">
        <f>IF(AND(F68&lt;=DASHBOARD!$B$11, H68&gt;=DASHBOARD!$B$13), K68, -1000000000000)</f>
        <v/>
      </c>
      <c r="X68" s="101">
        <f>IF(AND(F68&lt;=DASHBOARD!$B$11, H68&gt;=DASHBOARD!$B$13), M68, 1000000000000)</f>
        <v/>
      </c>
      <c r="Y68" s="101">
        <f>IF(AND(F68&lt;=DASHBOARD!$B$10, H68&gt;=DASHBOARD!$B$11), L68, 1000000000000)</f>
        <v/>
      </c>
      <c r="Z68" s="101">
        <f>IF(AND(F68&lt;=DASHBOARD!$B$10, H68&gt;=DASHBOARD!$B$11), O68, 1000000000000)</f>
        <v/>
      </c>
      <c r="AA68" s="101">
        <f>IF(AND(F68&lt;=DASHBOARD!$B$10, H68&gt;=DASHBOARD!$B$11), P68, 1000000000000)</f>
        <v/>
      </c>
      <c r="AB68" s="101">
        <f>IF(AND(F68&lt;=DASHBOARD!$B$10, H68&gt;=DASHBOARD!$B$11), Q68, -1000000000000)</f>
        <v/>
      </c>
    </row>
    <row r="69" ht="12.75" customHeight="1" s="102">
      <c r="A69" s="166" t="n">
        <v>65</v>
      </c>
      <c r="B69" s="167" t="n">
        <v>0.1</v>
      </c>
      <c r="C69" s="167" t="n">
        <v>1.1</v>
      </c>
      <c r="D69" s="110" t="inlineStr">
        <is>
          <t>Yok (%0)</t>
        </is>
      </c>
      <c r="E69" s="110">
        <f>IF((B69+C69)&lt;=1, "Tam Mahsuplaşma (≤%100)", "Kısmi Satış (&gt;%100)")</f>
        <v/>
      </c>
      <c r="F69" s="168">
        <f>((VERI_TABANI!$D$29*B69/VERI_TABANI!$B$29)/VERI_TABANI!$B$3)*VERI_TABANI!$B$5 + ((VERI_TABANI!$D$29*C69/VERI_TABANI!$B$29)/VERI_TABANI!$B$4)*VERI_TABANI!$B$6 + IF(ISNUMBER(SEARCH("Var", D69)), (VERI_TABANI!$F$29/VERI_TABANI!$B$29)*(VERI_TABANI!$B$10+VERI_TABANI!$B$12), 0)</f>
        <v/>
      </c>
      <c r="G69" s="168">
        <f>(((MIN(VERI_TABANI!D23, VERI_TABANI!D23*B69)*VERI_TABANI!$B$7 + MAX(0, VERI_TABANI!D23*B69-VERI_TABANI!D23)*VERI_TABANI!$B$8) + (MIN(MAX(0, VERI_TABANI!D23-VERI_TABANI!D23*B69), VERI_TABANI!D23*C69)*VERI_TABANI!$B$7 + MAX(0, VERI_TABANI!D23*C69-MAX(0, VERI_TABANI!D23-VERI_TABANI!D23*B69))*VERI_TABANI!$B$8) + IF(ABS(IF(ISNUMBER(SEARCH("Var", D69)), 1, IF(ISNUMBER(SEARCH("Gri", D69)), -1, 0)))=1, VERI_TABANI!E23*(1-0.928)*VERI_TABANI!$B$9, 0) + (VERI_TABANI!D23*B69*(VERI_TABANI!$B$13-VERI_TABANI!$B$14)*VERI_TABANI!G23) + (VERI_TABANI!D23*C69*(VERI_TABANI!$B$13-VERI_TABANI!$B$15)*VERI_TABANI!G23) + IF(ABS(IF(ISNUMBER(SEARCH("Var", D69)), 1, IF(ISNUMBER(SEARCH("Gri", D69)), -1, 0)))=1, VERI_TABANI!E23*(1-0.928)*0.00206091519919798*VERI_TABANI!G23, 0)) + ((MIN(VERI_TABANI!D24, VERI_TABANI!D24*B69)*VERI_TABANI!$B$7 + MAX(0, VERI_TABANI!D24*B69-VERI_TABANI!D24)*VERI_TABANI!$B$8) + (MIN(MAX(0, VERI_TABANI!D24-VERI_TABANI!D24*B69), VERI_TABANI!D24*C69)*VERI_TABANI!$B$7 + MAX(0, VERI_TABANI!D24*C69-MAX(0, VERI_TABANI!D24-VERI_TABANI!D24*B69))*VERI_TABANI!$B$8) + IF(ABS(IF(ISNUMBER(SEARCH("Var", D69)), 1, IF(ISNUMBER(SEARCH("Gri", D69)), -1, 0)))=1, VERI_TABANI!E24*(1-0.928)*VERI_TABANI!$B$9, 0) + (VERI_TABANI!D24*B69*(VERI_TABANI!$B$13-VERI_TABANI!$B$14)*VERI_TABANI!G24) + (VERI_TABANI!D24*C69*(VERI_TABANI!$B$13-VERI_TABANI!$B$15)*VERI_TABANI!G24) + IF(ABS(IF(ISNUMBER(SEARCH("Var", D69)), 1, IF(ISNUMBER(SEARCH("Gri", D69)), -1, 0)))=1, VERI_TABANI!E24*(1-0.928)*0.00206091519919798*VERI_TABANI!G24, 0)) + ((MIN(VERI_TABANI!D25, VERI_TABANI!D25*B69)*VERI_TABANI!$B$7 + MAX(0, VERI_TABANI!D25*B69-VERI_TABANI!D25)*VERI_TABANI!$B$8) + (MIN(MAX(0, VERI_TABANI!D25-VERI_TABANI!D25*B69), VERI_TABANI!D25*C69)*VERI_TABANI!$B$7 + MAX(0, VERI_TABANI!D25*C69-MAX(0, VERI_TABANI!D25-VERI_TABANI!D25*B69))*VERI_TABANI!$B$8) + IF(ABS(IF(ISNUMBER(SEARCH("Var", D69)), 1, IF(ISNUMBER(SEARCH("Gri", D69)), -1, 0)))=1, VERI_TABANI!E25*(1-0.928)*VERI_TABANI!$B$9, 0) + (VERI_TABANI!D25*B69*(VERI_TABANI!$B$13-VERI_TABANI!$B$14)*VERI_TABANI!G25) + (VERI_TABANI!D25*C69*(VERI_TABANI!$B$13-VERI_TABANI!$B$15)*VERI_TABANI!G25) + IF(ABS(IF(ISNUMBER(SEARCH("Var", D69)), 1, IF(ISNUMBER(SEARCH("Gri", D69)), -1, 0)))=1, VERI_TABANI!E25*(1-0.928)*0.00206091519919798*VERI_TABANI!G25, 0)) + ((MIN(VERI_TABANI!D26, VERI_TABANI!D26*B69)*VERI_TABANI!$B$7 + MAX(0, VERI_TABANI!D26*B69-VERI_TABANI!D26)*VERI_TABANI!$B$8) + (MIN(MAX(0, VERI_TABANI!D26-VERI_TABANI!D26*B69), VERI_TABANI!D26*C69)*VERI_TABANI!$B$7 + MAX(0, VERI_TABANI!D26*C69-MAX(0, VERI_TABANI!D26-VERI_TABANI!D26*B69))*VERI_TABANI!$B$8) + IF(ABS(IF(ISNUMBER(SEARCH("Var", D69)), 1, IF(ISNUMBER(SEARCH("Gri", D69)), -1, 0)))=1, VERI_TABANI!E26*(1-0.928)*VERI_TABANI!$B$9, 0) + (VERI_TABANI!D26*B69*(VERI_TABANI!$B$13-VERI_TABANI!$B$14)*VERI_TABANI!G26) + (VERI_TABANI!D26*C69*(VERI_TABANI!$B$13-VERI_TABANI!$B$15)*VERI_TABANI!G26) + IF(ABS(IF(ISNUMBER(SEARCH("Var", D69)), 1, IF(ISNUMBER(SEARCH("Gri", D69)), -1, 0)))=1, VERI_TABANI!E26*(1-0.928)*0.00206091519919798*VERI_TABANI!G26, 0)) + ((MIN(VERI_TABANI!D27, VERI_TABANI!D27*B69)*VERI_TABANI!$B$7 + MAX(0, VERI_TABANI!D27*B69-VERI_TABANI!D27)*VERI_TABANI!$B$8) + (MIN(MAX(0, VERI_TABANI!D27-VERI_TABANI!D27*B69), VERI_TABANI!D27*C69)*VERI_TABANI!$B$7 + MAX(0, VERI_TABANI!D27*C69-MAX(0, VERI_TABANI!D27-VERI_TABANI!D27*B69))*VERI_TABANI!$B$8) + IF(ABS(IF(ISNUMBER(SEARCH("Var", D69)), 1, IF(ISNUMBER(SEARCH("Gri", D69)), -1, 0)))=1, VERI_TABANI!E27*(1-0.928)*VERI_TABANI!$B$9, 0) + (VERI_TABANI!D27*B69*(VERI_TABANI!$B$13-VERI_TABANI!$B$14)*VERI_TABANI!G27) + (VERI_TABANI!D27*C69*(VERI_TABANI!$B$13-VERI_TABANI!$B$15)*VERI_TABANI!G27) + IF(ABS(IF(ISNUMBER(SEARCH("Var", D69)), 1, IF(ISNUMBER(SEARCH("Gri", D69)), -1, 0)))=1, VERI_TABANI!E27*(1-0.928)*0.00206091519919798*VERI_TABANI!G27, 0)) + ((MIN(VERI_TABANI!D28, VERI_TABANI!D28*B69)*VERI_TABANI!$B$7 + MAX(0, VERI_TABANI!D28*B69-VERI_TABANI!D28)*VERI_TABANI!$B$8) + (MIN(MAX(0, VERI_TABANI!D28-VERI_TABANI!D28*B69), VERI_TABANI!D28*C69)*VERI_TABANI!$B$7 + MAX(0, VERI_TABANI!D28*C69-MAX(0, VERI_TABANI!D28-VERI_TABANI!D28*B69))*VERI_TABANI!$B$8) + IF(ABS(IF(ISNUMBER(SEARCH("Var", D69)), 1, IF(ISNUMBER(SEARCH("Gri", D69)), -1, 0)))=1, VERI_TABANI!E28*(1-0.928)*VERI_TABANI!$B$9, 0) + (VERI_TABANI!D28*B69*(VERI_TABANI!$B$13-VERI_TABANI!$B$14)*VERI_TABANI!G28) + (VERI_TABANI!D28*C69*(VERI_TABANI!$B$13-VERI_TABANI!$B$15)*VERI_TABANI!G28) + IF(ABS(IF(ISNUMBER(SEARCH("Var", D69)), 1, IF(ISNUMBER(SEARCH("Gri", D69)), -1, 0)))=1, VERI_TABANI!E28*(1-0.928)*0.00206091519919798*VERI_TABANI!G28, 0)))</f>
        <v/>
      </c>
      <c r="H69" s="169">
        <f>(((VERI_TABANI!D23*B69*(VERI_TABANI!$B$13-VERI_TABANI!$B$14)) + (VERI_TABANI!D23*C69*(VERI_TABANI!$B$13-VERI_TABANI!$B$15)) + IF(ISNUMBER(SEARCH("Var", D69)), VERI_TABANI!F23*(0.00202-VERI_TABANI!$B$16), IF(ISNUMBER(SEARCH("Gri", D69)), VERI_TABANI!F23*(0.00202-VERI_TABANI!$B$17), 0))) + ((VERI_TABANI!D24*B69*(VERI_TABANI!$B$13-VERI_TABANI!$B$14)) + (VERI_TABANI!D24*C69*(VERI_TABANI!$B$13-VERI_TABANI!$B$15)) + IF(ISNUMBER(SEARCH("Var", D69)), VERI_TABANI!F24*(0.00202-VERI_TABANI!$B$16), IF(ISNUMBER(SEARCH("Gri", D69)), VERI_TABANI!F24*(0.00202-VERI_TABANI!$B$17), 0))) + ((VERI_TABANI!D25*B69*(VERI_TABANI!$B$13-VERI_TABANI!$B$14)) + (VERI_TABANI!D25*C69*(VERI_TABANI!$B$13-VERI_TABANI!$B$15)) + IF(ISNUMBER(SEARCH("Var", D69)), VERI_TABANI!F25*(0.00202-VERI_TABANI!$B$16), IF(ISNUMBER(SEARCH("Gri", D69)), VERI_TABANI!F25*(0.00202-VERI_TABANI!$B$17), 0))) + ((VERI_TABANI!D26*B69*(VERI_TABANI!$B$13-VERI_TABANI!$B$14)) + (VERI_TABANI!D26*C69*(VERI_TABANI!$B$13-VERI_TABANI!$B$15)) + IF(ISNUMBER(SEARCH("Var", D69)), VERI_TABANI!F26*(0.00202-VERI_TABANI!$B$16), IF(ISNUMBER(SEARCH("Gri", D69)), VERI_TABANI!F26*(0.00202-VERI_TABANI!$B$17), 0))) + ((VERI_TABANI!D27*B69*(VERI_TABANI!$B$13-VERI_TABANI!$B$14)) + (VERI_TABANI!D27*C69*(VERI_TABANI!$B$13-VERI_TABANI!$B$15)) + IF(ISNUMBER(SEARCH("Var", D69)), VERI_TABANI!F27*(0.00202-VERI_TABANI!$B$16), IF(ISNUMBER(SEARCH("Gri", D69)), VERI_TABANI!F27*(0.00202-VERI_TABANI!$B$17), 0))) + ((VERI_TABANI!D28*B69*(VERI_TABANI!$B$13-VERI_TABANI!$B$14)) + (VERI_TABANI!D28*C69*(VERI_TABANI!$B$13-VERI_TABANI!$B$15)) + IF(ISNUMBER(SEARCH("Var", D69)), VERI_TABANI!F28*(0.00202-VERI_TABANI!$B$16), IF(ISNUMBER(SEARCH("Gri", D69)), VERI_TABANI!F28*(0.00202-VERI_TABANI!$B$17), 0))))</f>
        <v/>
      </c>
      <c r="I69" s="170">
        <f>IFERROR(((VERI_TABANI!$D$29*B69*VERI_TABANI!$B$14 + VERI_TABANI!$D$29*C69*VERI_TABANI!$B$15 + IF(ISNUMBER(SEARCH("Var", D69)), VERI_TABANI!$F$29*VERI_TABANI!$B$16, 0))) / (((VERI_TABANI!$D$29*B69 + VERI_TABANI!$D$29*C69)*VERI_TABANI!$B$13 + IF(ISNUMBER(SEARCH("Var", D69)), VERI_TABANI!$E$29*(1-0.928)*VERI_TABANI!$B$18, 0))), 0)</f>
        <v/>
      </c>
      <c r="J69" s="171">
        <f>IFERROR(F69/(G69/29), 0)</f>
        <v/>
      </c>
      <c r="K69" s="172">
        <f>IF(F69&gt;0, H69/F69, 0)</f>
        <v/>
      </c>
      <c r="L69" s="170">
        <f>IF(F69&gt;0, I69, 1000000000)</f>
        <v/>
      </c>
      <c r="M69" s="171">
        <f>ABS((B69+C69)-1)</f>
        <v/>
      </c>
      <c r="N69" s="170">
        <f>IF(F69&gt;0, (G69/29)/F69, 0)</f>
        <v/>
      </c>
      <c r="O69" s="168">
        <f>IF(AND((B69+C69)&gt;=1, ISNUMBER(SEARCH("Var", D69))), F69, 1000000000)</f>
        <v/>
      </c>
      <c r="P69" s="172">
        <f>IF(F69&gt;0, SQRT((F69/MAX(F$5:F$886))^2 + (1 - H69/MAX(H$5:H$886))^2 + (J69/MAX(J$5:J$886))^2), 1000000000)</f>
        <v/>
      </c>
      <c r="Q69" s="166">
        <f>IF(AND(ABS(B69-0.5)&lt;0.01, ABS(C69-0.5)&lt;0.01, ISNUMBER(SEARCH("Var", D69))), 1, 0)</f>
        <v/>
      </c>
      <c r="R69" s="171">
        <f>IF(F69&gt;0, J69, 1000000000)</f>
        <v/>
      </c>
      <c r="S69" s="101">
        <f>IF(AND(F69&lt;=DASHBOARD!$B$11, H69&gt;=DASHBOARD!$B$13), G69, -1000000000000)</f>
        <v/>
      </c>
      <c r="T69" s="101">
        <f>IF(AND(F69&lt;=DASHBOARD!$B$11, H69&gt;=DASHBOARD!$B$13), R69, 1000000000000)</f>
        <v/>
      </c>
      <c r="U69" s="101">
        <f>IF(AND(F69&lt;=DASHBOARD!$B$11, H69&gt;=DASHBOARD!$B$13), N69, -1000000000000)</f>
        <v/>
      </c>
      <c r="V69" s="101">
        <f>IF(AND(F69&lt;=DASHBOARD!$B$11, H69&gt;=DASHBOARD!$B$13), H69, -1000000000000)</f>
        <v/>
      </c>
      <c r="W69" s="101">
        <f>IF(AND(F69&lt;=DASHBOARD!$B$11, H69&gt;=DASHBOARD!$B$13), K69, -1000000000000)</f>
        <v/>
      </c>
      <c r="X69" s="101">
        <f>IF(AND(F69&lt;=DASHBOARD!$B$11, H69&gt;=DASHBOARD!$B$13), M69, 1000000000000)</f>
        <v/>
      </c>
      <c r="Y69" s="101">
        <f>IF(AND(F69&lt;=DASHBOARD!$B$10, H69&gt;=DASHBOARD!$B$11), L69, 1000000000000)</f>
        <v/>
      </c>
      <c r="Z69" s="101">
        <f>IF(AND(F69&lt;=DASHBOARD!$B$10, H69&gt;=DASHBOARD!$B$11), O69, 1000000000000)</f>
        <v/>
      </c>
      <c r="AA69" s="101">
        <f>IF(AND(F69&lt;=DASHBOARD!$B$10, H69&gt;=DASHBOARD!$B$11), P69, 1000000000000)</f>
        <v/>
      </c>
      <c r="AB69" s="101">
        <f>IF(AND(F69&lt;=DASHBOARD!$B$10, H69&gt;=DASHBOARD!$B$11), Q69, -1000000000000)</f>
        <v/>
      </c>
    </row>
    <row r="70" ht="12.75" customHeight="1" s="102">
      <c r="A70" s="166" t="n">
        <v>66</v>
      </c>
      <c r="B70" s="167" t="n">
        <v>0.1</v>
      </c>
      <c r="C70" s="167" t="n">
        <v>1.1</v>
      </c>
      <c r="D70" s="110" t="inlineStr">
        <is>
          <t>Var (%20)</t>
        </is>
      </c>
      <c r="E70" s="110">
        <f>IF((B70+C70)&lt;=1, "Tam Mahsuplaşma (≤%100)", "Kısmi Satış (&gt;%100)")</f>
        <v/>
      </c>
      <c r="F70" s="168">
        <f>((VERI_TABANI!$D$29*B70/VERI_TABANI!$B$29)/VERI_TABANI!$B$3)*VERI_TABANI!$B$5 + ((VERI_TABANI!$D$29*C70/VERI_TABANI!$B$29)/VERI_TABANI!$B$4)*VERI_TABANI!$B$6 + IF(ISNUMBER(SEARCH("Var", D70)), (VERI_TABANI!$F$29/VERI_TABANI!$B$29)*(VERI_TABANI!$B$10+VERI_TABANI!$B$12), 0)</f>
        <v/>
      </c>
      <c r="G70" s="168">
        <f>(((MIN(VERI_TABANI!D23, VERI_TABANI!D23*B70)*VERI_TABANI!$B$7 + MAX(0, VERI_TABANI!D23*B70-VERI_TABANI!D23)*VERI_TABANI!$B$8) + (MIN(MAX(0, VERI_TABANI!D23-VERI_TABANI!D23*B70), VERI_TABANI!D23*C70)*VERI_TABANI!$B$7 + MAX(0, VERI_TABANI!D23*C70-MAX(0, VERI_TABANI!D23-VERI_TABANI!D23*B70))*VERI_TABANI!$B$8) + IF(ABS(IF(ISNUMBER(SEARCH("Var", D70)), 1, IF(ISNUMBER(SEARCH("Gri", D70)), -1, 0)))=1, VERI_TABANI!E23*(1-0.928)*VERI_TABANI!$B$9, 0) + (VERI_TABANI!D23*B70*(VERI_TABANI!$B$13-VERI_TABANI!$B$14)*VERI_TABANI!G23) + (VERI_TABANI!D23*C70*(VERI_TABANI!$B$13-VERI_TABANI!$B$15)*VERI_TABANI!G23) + IF(ABS(IF(ISNUMBER(SEARCH("Var", D70)), 1, IF(ISNUMBER(SEARCH("Gri", D70)), -1, 0)))=1, VERI_TABANI!E23*(1-0.928)*0.00206091519919798*VERI_TABANI!G23, 0)) + ((MIN(VERI_TABANI!D24, VERI_TABANI!D24*B70)*VERI_TABANI!$B$7 + MAX(0, VERI_TABANI!D24*B70-VERI_TABANI!D24)*VERI_TABANI!$B$8) + (MIN(MAX(0, VERI_TABANI!D24-VERI_TABANI!D24*B70), VERI_TABANI!D24*C70)*VERI_TABANI!$B$7 + MAX(0, VERI_TABANI!D24*C70-MAX(0, VERI_TABANI!D24-VERI_TABANI!D24*B70))*VERI_TABANI!$B$8) + IF(ABS(IF(ISNUMBER(SEARCH("Var", D70)), 1, IF(ISNUMBER(SEARCH("Gri", D70)), -1, 0)))=1, VERI_TABANI!E24*(1-0.928)*VERI_TABANI!$B$9, 0) + (VERI_TABANI!D24*B70*(VERI_TABANI!$B$13-VERI_TABANI!$B$14)*VERI_TABANI!G24) + (VERI_TABANI!D24*C70*(VERI_TABANI!$B$13-VERI_TABANI!$B$15)*VERI_TABANI!G24) + IF(ABS(IF(ISNUMBER(SEARCH("Var", D70)), 1, IF(ISNUMBER(SEARCH("Gri", D70)), -1, 0)))=1, VERI_TABANI!E24*(1-0.928)*0.00206091519919798*VERI_TABANI!G24, 0)) + ((MIN(VERI_TABANI!D25, VERI_TABANI!D25*B70)*VERI_TABANI!$B$7 + MAX(0, VERI_TABANI!D25*B70-VERI_TABANI!D25)*VERI_TABANI!$B$8) + (MIN(MAX(0, VERI_TABANI!D25-VERI_TABANI!D25*B70), VERI_TABANI!D25*C70)*VERI_TABANI!$B$7 + MAX(0, VERI_TABANI!D25*C70-MAX(0, VERI_TABANI!D25-VERI_TABANI!D25*B70))*VERI_TABANI!$B$8) + IF(ABS(IF(ISNUMBER(SEARCH("Var", D70)), 1, IF(ISNUMBER(SEARCH("Gri", D70)), -1, 0)))=1, VERI_TABANI!E25*(1-0.928)*VERI_TABANI!$B$9, 0) + (VERI_TABANI!D25*B70*(VERI_TABANI!$B$13-VERI_TABANI!$B$14)*VERI_TABANI!G25) + (VERI_TABANI!D25*C70*(VERI_TABANI!$B$13-VERI_TABANI!$B$15)*VERI_TABANI!G25) + IF(ABS(IF(ISNUMBER(SEARCH("Var", D70)), 1, IF(ISNUMBER(SEARCH("Gri", D70)), -1, 0)))=1, VERI_TABANI!E25*(1-0.928)*0.00206091519919798*VERI_TABANI!G25, 0)) + ((MIN(VERI_TABANI!D26, VERI_TABANI!D26*B70)*VERI_TABANI!$B$7 + MAX(0, VERI_TABANI!D26*B70-VERI_TABANI!D26)*VERI_TABANI!$B$8) + (MIN(MAX(0, VERI_TABANI!D26-VERI_TABANI!D26*B70), VERI_TABANI!D26*C70)*VERI_TABANI!$B$7 + MAX(0, VERI_TABANI!D26*C70-MAX(0, VERI_TABANI!D26-VERI_TABANI!D26*B70))*VERI_TABANI!$B$8) + IF(ABS(IF(ISNUMBER(SEARCH("Var", D70)), 1, IF(ISNUMBER(SEARCH("Gri", D70)), -1, 0)))=1, VERI_TABANI!E26*(1-0.928)*VERI_TABANI!$B$9, 0) + (VERI_TABANI!D26*B70*(VERI_TABANI!$B$13-VERI_TABANI!$B$14)*VERI_TABANI!G26) + (VERI_TABANI!D26*C70*(VERI_TABANI!$B$13-VERI_TABANI!$B$15)*VERI_TABANI!G26) + IF(ABS(IF(ISNUMBER(SEARCH("Var", D70)), 1, IF(ISNUMBER(SEARCH("Gri", D70)), -1, 0)))=1, VERI_TABANI!E26*(1-0.928)*0.00206091519919798*VERI_TABANI!G26, 0)) + ((MIN(VERI_TABANI!D27, VERI_TABANI!D27*B70)*VERI_TABANI!$B$7 + MAX(0, VERI_TABANI!D27*B70-VERI_TABANI!D27)*VERI_TABANI!$B$8) + (MIN(MAX(0, VERI_TABANI!D27-VERI_TABANI!D27*B70), VERI_TABANI!D27*C70)*VERI_TABANI!$B$7 + MAX(0, VERI_TABANI!D27*C70-MAX(0, VERI_TABANI!D27-VERI_TABANI!D27*B70))*VERI_TABANI!$B$8) + IF(ABS(IF(ISNUMBER(SEARCH("Var", D70)), 1, IF(ISNUMBER(SEARCH("Gri", D70)), -1, 0)))=1, VERI_TABANI!E27*(1-0.928)*VERI_TABANI!$B$9, 0) + (VERI_TABANI!D27*B70*(VERI_TABANI!$B$13-VERI_TABANI!$B$14)*VERI_TABANI!G27) + (VERI_TABANI!D27*C70*(VERI_TABANI!$B$13-VERI_TABANI!$B$15)*VERI_TABANI!G27) + IF(ABS(IF(ISNUMBER(SEARCH("Var", D70)), 1, IF(ISNUMBER(SEARCH("Gri", D70)), -1, 0)))=1, VERI_TABANI!E27*(1-0.928)*0.00206091519919798*VERI_TABANI!G27, 0)) + ((MIN(VERI_TABANI!D28, VERI_TABANI!D28*B70)*VERI_TABANI!$B$7 + MAX(0, VERI_TABANI!D28*B70-VERI_TABANI!D28)*VERI_TABANI!$B$8) + (MIN(MAX(0, VERI_TABANI!D28-VERI_TABANI!D28*B70), VERI_TABANI!D28*C70)*VERI_TABANI!$B$7 + MAX(0, VERI_TABANI!D28*C70-MAX(0, VERI_TABANI!D28-VERI_TABANI!D28*B70))*VERI_TABANI!$B$8) + IF(ABS(IF(ISNUMBER(SEARCH("Var", D70)), 1, IF(ISNUMBER(SEARCH("Gri", D70)), -1, 0)))=1, VERI_TABANI!E28*(1-0.928)*VERI_TABANI!$B$9, 0) + (VERI_TABANI!D28*B70*(VERI_TABANI!$B$13-VERI_TABANI!$B$14)*VERI_TABANI!G28) + (VERI_TABANI!D28*C70*(VERI_TABANI!$B$13-VERI_TABANI!$B$15)*VERI_TABANI!G28) + IF(ABS(IF(ISNUMBER(SEARCH("Var", D70)), 1, IF(ISNUMBER(SEARCH("Gri", D70)), -1, 0)))=1, VERI_TABANI!E28*(1-0.928)*0.00206091519919798*VERI_TABANI!G28, 0)))</f>
        <v/>
      </c>
      <c r="H70" s="169">
        <f>(((VERI_TABANI!D23*B70*(VERI_TABANI!$B$13-VERI_TABANI!$B$14)) + (VERI_TABANI!D23*C70*(VERI_TABANI!$B$13-VERI_TABANI!$B$15)) + IF(ISNUMBER(SEARCH("Var", D70)), VERI_TABANI!F23*(0.00202-VERI_TABANI!$B$16), IF(ISNUMBER(SEARCH("Gri", D70)), VERI_TABANI!F23*(0.00202-VERI_TABANI!$B$17), 0))) + ((VERI_TABANI!D24*B70*(VERI_TABANI!$B$13-VERI_TABANI!$B$14)) + (VERI_TABANI!D24*C70*(VERI_TABANI!$B$13-VERI_TABANI!$B$15)) + IF(ISNUMBER(SEARCH("Var", D70)), VERI_TABANI!F24*(0.00202-VERI_TABANI!$B$16), IF(ISNUMBER(SEARCH("Gri", D70)), VERI_TABANI!F24*(0.00202-VERI_TABANI!$B$17), 0))) + ((VERI_TABANI!D25*B70*(VERI_TABANI!$B$13-VERI_TABANI!$B$14)) + (VERI_TABANI!D25*C70*(VERI_TABANI!$B$13-VERI_TABANI!$B$15)) + IF(ISNUMBER(SEARCH("Var", D70)), VERI_TABANI!F25*(0.00202-VERI_TABANI!$B$16), IF(ISNUMBER(SEARCH("Gri", D70)), VERI_TABANI!F25*(0.00202-VERI_TABANI!$B$17), 0))) + ((VERI_TABANI!D26*B70*(VERI_TABANI!$B$13-VERI_TABANI!$B$14)) + (VERI_TABANI!D26*C70*(VERI_TABANI!$B$13-VERI_TABANI!$B$15)) + IF(ISNUMBER(SEARCH("Var", D70)), VERI_TABANI!F26*(0.00202-VERI_TABANI!$B$16), IF(ISNUMBER(SEARCH("Gri", D70)), VERI_TABANI!F26*(0.00202-VERI_TABANI!$B$17), 0))) + ((VERI_TABANI!D27*B70*(VERI_TABANI!$B$13-VERI_TABANI!$B$14)) + (VERI_TABANI!D27*C70*(VERI_TABANI!$B$13-VERI_TABANI!$B$15)) + IF(ISNUMBER(SEARCH("Var", D70)), VERI_TABANI!F27*(0.00202-VERI_TABANI!$B$16), IF(ISNUMBER(SEARCH("Gri", D70)), VERI_TABANI!F27*(0.00202-VERI_TABANI!$B$17), 0))) + ((VERI_TABANI!D28*B70*(VERI_TABANI!$B$13-VERI_TABANI!$B$14)) + (VERI_TABANI!D28*C70*(VERI_TABANI!$B$13-VERI_TABANI!$B$15)) + IF(ISNUMBER(SEARCH("Var", D70)), VERI_TABANI!F28*(0.00202-VERI_TABANI!$B$16), IF(ISNUMBER(SEARCH("Gri", D70)), VERI_TABANI!F28*(0.00202-VERI_TABANI!$B$17), 0))))</f>
        <v/>
      </c>
      <c r="I70" s="170">
        <f>IFERROR(((VERI_TABANI!$D$29*B70*VERI_TABANI!$B$14 + VERI_TABANI!$D$29*C70*VERI_TABANI!$B$15 + IF(ISNUMBER(SEARCH("Var", D70)), VERI_TABANI!$F$29*VERI_TABANI!$B$16, 0))) / (((VERI_TABANI!$D$29*B70 + VERI_TABANI!$D$29*C70)*VERI_TABANI!$B$13 + IF(ISNUMBER(SEARCH("Var", D70)), VERI_TABANI!$E$29*(1-0.928)*VERI_TABANI!$B$18, 0))), 0)</f>
        <v/>
      </c>
      <c r="J70" s="171">
        <f>IFERROR(F70/(G70/29), 0)</f>
        <v/>
      </c>
      <c r="K70" s="172">
        <f>IF(F70&gt;0, H70/F70, 0)</f>
        <v/>
      </c>
      <c r="L70" s="170">
        <f>IF(F70&gt;0, I70, 1000000000)</f>
        <v/>
      </c>
      <c r="M70" s="171">
        <f>ABS((B70+C70)-1)</f>
        <v/>
      </c>
      <c r="N70" s="170">
        <f>IF(F70&gt;0, (G70/29)/F70, 0)</f>
        <v/>
      </c>
      <c r="O70" s="168">
        <f>IF(AND((B70+C70)&gt;=1, ISNUMBER(SEARCH("Var", D70))), F70, 1000000000)</f>
        <v/>
      </c>
      <c r="P70" s="172">
        <f>IF(F70&gt;0, SQRT((F70/MAX(F$5:F$886))^2 + (1 - H70/MAX(H$5:H$886))^2 + (J70/MAX(J$5:J$886))^2), 1000000000)</f>
        <v/>
      </c>
      <c r="Q70" s="166">
        <f>IF(AND(ABS(B70-0.5)&lt;0.01, ABS(C70-0.5)&lt;0.01, ISNUMBER(SEARCH("Var", D70))), 1, 0)</f>
        <v/>
      </c>
      <c r="R70" s="171">
        <f>IF(F70&gt;0, J70, 1000000000)</f>
        <v/>
      </c>
      <c r="S70" s="101">
        <f>IF(AND(F70&lt;=DASHBOARD!$B$11, H70&gt;=DASHBOARD!$B$13), G70, -1000000000000)</f>
        <v/>
      </c>
      <c r="T70" s="101">
        <f>IF(AND(F70&lt;=DASHBOARD!$B$11, H70&gt;=DASHBOARD!$B$13), R70, 1000000000000)</f>
        <v/>
      </c>
      <c r="U70" s="101">
        <f>IF(AND(F70&lt;=DASHBOARD!$B$11, H70&gt;=DASHBOARD!$B$13), N70, -1000000000000)</f>
        <v/>
      </c>
      <c r="V70" s="101">
        <f>IF(AND(F70&lt;=DASHBOARD!$B$11, H70&gt;=DASHBOARD!$B$13), H70, -1000000000000)</f>
        <v/>
      </c>
      <c r="W70" s="101">
        <f>IF(AND(F70&lt;=DASHBOARD!$B$11, H70&gt;=DASHBOARD!$B$13), K70, -1000000000000)</f>
        <v/>
      </c>
      <c r="X70" s="101">
        <f>IF(AND(F70&lt;=DASHBOARD!$B$11, H70&gt;=DASHBOARD!$B$13), M70, 1000000000000)</f>
        <v/>
      </c>
      <c r="Y70" s="101">
        <f>IF(AND(F70&lt;=DASHBOARD!$B$10, H70&gt;=DASHBOARD!$B$11), L70, 1000000000000)</f>
        <v/>
      </c>
      <c r="Z70" s="101">
        <f>IF(AND(F70&lt;=DASHBOARD!$B$10, H70&gt;=DASHBOARD!$B$11), O70, 1000000000000)</f>
        <v/>
      </c>
      <c r="AA70" s="101">
        <f>IF(AND(F70&lt;=DASHBOARD!$B$10, H70&gt;=DASHBOARD!$B$11), P70, 1000000000000)</f>
        <v/>
      </c>
      <c r="AB70" s="101">
        <f>IF(AND(F70&lt;=DASHBOARD!$B$10, H70&gt;=DASHBOARD!$B$11), Q70, -1000000000000)</f>
        <v/>
      </c>
    </row>
    <row r="71" ht="12.75" customHeight="1" s="102">
      <c r="A71" s="166" t="n">
        <v>67</v>
      </c>
      <c r="B71" s="167" t="n">
        <v>0.1</v>
      </c>
      <c r="C71" s="167" t="n">
        <v>1.2</v>
      </c>
      <c r="D71" s="110" t="inlineStr">
        <is>
          <t>Yok (%0)</t>
        </is>
      </c>
      <c r="E71" s="110">
        <f>IF((B71+C71)&lt;=1, "Tam Mahsuplaşma (≤%100)", "Kısmi Satış (&gt;%100)")</f>
        <v/>
      </c>
      <c r="F71" s="168">
        <f>((VERI_TABANI!$D$29*B71/VERI_TABANI!$B$29)/VERI_TABANI!$B$3)*VERI_TABANI!$B$5 + ((VERI_TABANI!$D$29*C71/VERI_TABANI!$B$29)/VERI_TABANI!$B$4)*VERI_TABANI!$B$6 + IF(ISNUMBER(SEARCH("Var", D71)), (VERI_TABANI!$F$29/VERI_TABANI!$B$29)*(VERI_TABANI!$B$10+VERI_TABANI!$B$12), 0)</f>
        <v/>
      </c>
      <c r="G71" s="168">
        <f>(((MIN(VERI_TABANI!D23, VERI_TABANI!D23*B71)*VERI_TABANI!$B$7 + MAX(0, VERI_TABANI!D23*B71-VERI_TABANI!D23)*VERI_TABANI!$B$8) + (MIN(MAX(0, VERI_TABANI!D23-VERI_TABANI!D23*B71), VERI_TABANI!D23*C71)*VERI_TABANI!$B$7 + MAX(0, VERI_TABANI!D23*C71-MAX(0, VERI_TABANI!D23-VERI_TABANI!D23*B71))*VERI_TABANI!$B$8) + IF(ABS(IF(ISNUMBER(SEARCH("Var", D71)), 1, IF(ISNUMBER(SEARCH("Gri", D71)), -1, 0)))=1, VERI_TABANI!E23*(1-0.928)*VERI_TABANI!$B$9, 0) + (VERI_TABANI!D23*B71*(VERI_TABANI!$B$13-VERI_TABANI!$B$14)*VERI_TABANI!G23) + (VERI_TABANI!D23*C71*(VERI_TABANI!$B$13-VERI_TABANI!$B$15)*VERI_TABANI!G23) + IF(ABS(IF(ISNUMBER(SEARCH("Var", D71)), 1, IF(ISNUMBER(SEARCH("Gri", D71)), -1, 0)))=1, VERI_TABANI!E23*(1-0.928)*0.00206091519919798*VERI_TABANI!G23, 0)) + ((MIN(VERI_TABANI!D24, VERI_TABANI!D24*B71)*VERI_TABANI!$B$7 + MAX(0, VERI_TABANI!D24*B71-VERI_TABANI!D24)*VERI_TABANI!$B$8) + (MIN(MAX(0, VERI_TABANI!D24-VERI_TABANI!D24*B71), VERI_TABANI!D24*C71)*VERI_TABANI!$B$7 + MAX(0, VERI_TABANI!D24*C71-MAX(0, VERI_TABANI!D24-VERI_TABANI!D24*B71))*VERI_TABANI!$B$8) + IF(ABS(IF(ISNUMBER(SEARCH("Var", D71)), 1, IF(ISNUMBER(SEARCH("Gri", D71)), -1, 0)))=1, VERI_TABANI!E24*(1-0.928)*VERI_TABANI!$B$9, 0) + (VERI_TABANI!D24*B71*(VERI_TABANI!$B$13-VERI_TABANI!$B$14)*VERI_TABANI!G24) + (VERI_TABANI!D24*C71*(VERI_TABANI!$B$13-VERI_TABANI!$B$15)*VERI_TABANI!G24) + IF(ABS(IF(ISNUMBER(SEARCH("Var", D71)), 1, IF(ISNUMBER(SEARCH("Gri", D71)), -1, 0)))=1, VERI_TABANI!E24*(1-0.928)*0.00206091519919798*VERI_TABANI!G24, 0)) + ((MIN(VERI_TABANI!D25, VERI_TABANI!D25*B71)*VERI_TABANI!$B$7 + MAX(0, VERI_TABANI!D25*B71-VERI_TABANI!D25)*VERI_TABANI!$B$8) + (MIN(MAX(0, VERI_TABANI!D25-VERI_TABANI!D25*B71), VERI_TABANI!D25*C71)*VERI_TABANI!$B$7 + MAX(0, VERI_TABANI!D25*C71-MAX(0, VERI_TABANI!D25-VERI_TABANI!D25*B71))*VERI_TABANI!$B$8) + IF(ABS(IF(ISNUMBER(SEARCH("Var", D71)), 1, IF(ISNUMBER(SEARCH("Gri", D71)), -1, 0)))=1, VERI_TABANI!E25*(1-0.928)*VERI_TABANI!$B$9, 0) + (VERI_TABANI!D25*B71*(VERI_TABANI!$B$13-VERI_TABANI!$B$14)*VERI_TABANI!G25) + (VERI_TABANI!D25*C71*(VERI_TABANI!$B$13-VERI_TABANI!$B$15)*VERI_TABANI!G25) + IF(ABS(IF(ISNUMBER(SEARCH("Var", D71)), 1, IF(ISNUMBER(SEARCH("Gri", D71)), -1, 0)))=1, VERI_TABANI!E25*(1-0.928)*0.00206091519919798*VERI_TABANI!G25, 0)) + ((MIN(VERI_TABANI!D26, VERI_TABANI!D26*B71)*VERI_TABANI!$B$7 + MAX(0, VERI_TABANI!D26*B71-VERI_TABANI!D26)*VERI_TABANI!$B$8) + (MIN(MAX(0, VERI_TABANI!D26-VERI_TABANI!D26*B71), VERI_TABANI!D26*C71)*VERI_TABANI!$B$7 + MAX(0, VERI_TABANI!D26*C71-MAX(0, VERI_TABANI!D26-VERI_TABANI!D26*B71))*VERI_TABANI!$B$8) + IF(ABS(IF(ISNUMBER(SEARCH("Var", D71)), 1, IF(ISNUMBER(SEARCH("Gri", D71)), -1, 0)))=1, VERI_TABANI!E26*(1-0.928)*VERI_TABANI!$B$9, 0) + (VERI_TABANI!D26*B71*(VERI_TABANI!$B$13-VERI_TABANI!$B$14)*VERI_TABANI!G26) + (VERI_TABANI!D26*C71*(VERI_TABANI!$B$13-VERI_TABANI!$B$15)*VERI_TABANI!G26) + IF(ABS(IF(ISNUMBER(SEARCH("Var", D71)), 1, IF(ISNUMBER(SEARCH("Gri", D71)), -1, 0)))=1, VERI_TABANI!E26*(1-0.928)*0.00206091519919798*VERI_TABANI!G26, 0)) + ((MIN(VERI_TABANI!D27, VERI_TABANI!D27*B71)*VERI_TABANI!$B$7 + MAX(0, VERI_TABANI!D27*B71-VERI_TABANI!D27)*VERI_TABANI!$B$8) + (MIN(MAX(0, VERI_TABANI!D27-VERI_TABANI!D27*B71), VERI_TABANI!D27*C71)*VERI_TABANI!$B$7 + MAX(0, VERI_TABANI!D27*C71-MAX(0, VERI_TABANI!D27-VERI_TABANI!D27*B71))*VERI_TABANI!$B$8) + IF(ABS(IF(ISNUMBER(SEARCH("Var", D71)), 1, IF(ISNUMBER(SEARCH("Gri", D71)), -1, 0)))=1, VERI_TABANI!E27*(1-0.928)*VERI_TABANI!$B$9, 0) + (VERI_TABANI!D27*B71*(VERI_TABANI!$B$13-VERI_TABANI!$B$14)*VERI_TABANI!G27) + (VERI_TABANI!D27*C71*(VERI_TABANI!$B$13-VERI_TABANI!$B$15)*VERI_TABANI!G27) + IF(ABS(IF(ISNUMBER(SEARCH("Var", D71)), 1, IF(ISNUMBER(SEARCH("Gri", D71)), -1, 0)))=1, VERI_TABANI!E27*(1-0.928)*0.00206091519919798*VERI_TABANI!G27, 0)) + ((MIN(VERI_TABANI!D28, VERI_TABANI!D28*B71)*VERI_TABANI!$B$7 + MAX(0, VERI_TABANI!D28*B71-VERI_TABANI!D28)*VERI_TABANI!$B$8) + (MIN(MAX(0, VERI_TABANI!D28-VERI_TABANI!D28*B71), VERI_TABANI!D28*C71)*VERI_TABANI!$B$7 + MAX(0, VERI_TABANI!D28*C71-MAX(0, VERI_TABANI!D28-VERI_TABANI!D28*B71))*VERI_TABANI!$B$8) + IF(ABS(IF(ISNUMBER(SEARCH("Var", D71)), 1, IF(ISNUMBER(SEARCH("Gri", D71)), -1, 0)))=1, VERI_TABANI!E28*(1-0.928)*VERI_TABANI!$B$9, 0) + (VERI_TABANI!D28*B71*(VERI_TABANI!$B$13-VERI_TABANI!$B$14)*VERI_TABANI!G28) + (VERI_TABANI!D28*C71*(VERI_TABANI!$B$13-VERI_TABANI!$B$15)*VERI_TABANI!G28) + IF(ABS(IF(ISNUMBER(SEARCH("Var", D71)), 1, IF(ISNUMBER(SEARCH("Gri", D71)), -1, 0)))=1, VERI_TABANI!E28*(1-0.928)*0.00206091519919798*VERI_TABANI!G28, 0)))</f>
        <v/>
      </c>
      <c r="H71" s="169">
        <f>(((VERI_TABANI!D23*B71*(VERI_TABANI!$B$13-VERI_TABANI!$B$14)) + (VERI_TABANI!D23*C71*(VERI_TABANI!$B$13-VERI_TABANI!$B$15)) + IF(ISNUMBER(SEARCH("Var", D71)), VERI_TABANI!F23*(0.00202-VERI_TABANI!$B$16), IF(ISNUMBER(SEARCH("Gri", D71)), VERI_TABANI!F23*(0.00202-VERI_TABANI!$B$17), 0))) + ((VERI_TABANI!D24*B71*(VERI_TABANI!$B$13-VERI_TABANI!$B$14)) + (VERI_TABANI!D24*C71*(VERI_TABANI!$B$13-VERI_TABANI!$B$15)) + IF(ISNUMBER(SEARCH("Var", D71)), VERI_TABANI!F24*(0.00202-VERI_TABANI!$B$16), IF(ISNUMBER(SEARCH("Gri", D71)), VERI_TABANI!F24*(0.00202-VERI_TABANI!$B$17), 0))) + ((VERI_TABANI!D25*B71*(VERI_TABANI!$B$13-VERI_TABANI!$B$14)) + (VERI_TABANI!D25*C71*(VERI_TABANI!$B$13-VERI_TABANI!$B$15)) + IF(ISNUMBER(SEARCH("Var", D71)), VERI_TABANI!F25*(0.00202-VERI_TABANI!$B$16), IF(ISNUMBER(SEARCH("Gri", D71)), VERI_TABANI!F25*(0.00202-VERI_TABANI!$B$17), 0))) + ((VERI_TABANI!D26*B71*(VERI_TABANI!$B$13-VERI_TABANI!$B$14)) + (VERI_TABANI!D26*C71*(VERI_TABANI!$B$13-VERI_TABANI!$B$15)) + IF(ISNUMBER(SEARCH("Var", D71)), VERI_TABANI!F26*(0.00202-VERI_TABANI!$B$16), IF(ISNUMBER(SEARCH("Gri", D71)), VERI_TABANI!F26*(0.00202-VERI_TABANI!$B$17), 0))) + ((VERI_TABANI!D27*B71*(VERI_TABANI!$B$13-VERI_TABANI!$B$14)) + (VERI_TABANI!D27*C71*(VERI_TABANI!$B$13-VERI_TABANI!$B$15)) + IF(ISNUMBER(SEARCH("Var", D71)), VERI_TABANI!F27*(0.00202-VERI_TABANI!$B$16), IF(ISNUMBER(SEARCH("Gri", D71)), VERI_TABANI!F27*(0.00202-VERI_TABANI!$B$17), 0))) + ((VERI_TABANI!D28*B71*(VERI_TABANI!$B$13-VERI_TABANI!$B$14)) + (VERI_TABANI!D28*C71*(VERI_TABANI!$B$13-VERI_TABANI!$B$15)) + IF(ISNUMBER(SEARCH("Var", D71)), VERI_TABANI!F28*(0.00202-VERI_TABANI!$B$16), IF(ISNUMBER(SEARCH("Gri", D71)), VERI_TABANI!F28*(0.00202-VERI_TABANI!$B$17), 0))))</f>
        <v/>
      </c>
      <c r="I71" s="170">
        <f>IFERROR(((VERI_TABANI!$D$29*B71*VERI_TABANI!$B$14 + VERI_TABANI!$D$29*C71*VERI_TABANI!$B$15 + IF(ISNUMBER(SEARCH("Var", D71)), VERI_TABANI!$F$29*VERI_TABANI!$B$16, 0))) / (((VERI_TABANI!$D$29*B71 + VERI_TABANI!$D$29*C71)*VERI_TABANI!$B$13 + IF(ISNUMBER(SEARCH("Var", D71)), VERI_TABANI!$E$29*(1-0.928)*VERI_TABANI!$B$18, 0))), 0)</f>
        <v/>
      </c>
      <c r="J71" s="171">
        <f>IFERROR(F71/(G71/29), 0)</f>
        <v/>
      </c>
      <c r="K71" s="172">
        <f>IF(F71&gt;0, H71/F71, 0)</f>
        <v/>
      </c>
      <c r="L71" s="170">
        <f>IF(F71&gt;0, I71, 1000000000)</f>
        <v/>
      </c>
      <c r="M71" s="171">
        <f>ABS((B71+C71)-1)</f>
        <v/>
      </c>
      <c r="N71" s="170">
        <f>IF(F71&gt;0, (G71/29)/F71, 0)</f>
        <v/>
      </c>
      <c r="O71" s="168">
        <f>IF(AND((B71+C71)&gt;=1, ISNUMBER(SEARCH("Var", D71))), F71, 1000000000)</f>
        <v/>
      </c>
      <c r="P71" s="172">
        <f>IF(F71&gt;0, SQRT((F71/MAX(F$5:F$886))^2 + (1 - H71/MAX(H$5:H$886))^2 + (J71/MAX(J$5:J$886))^2), 1000000000)</f>
        <v/>
      </c>
      <c r="Q71" s="166">
        <f>IF(AND(ABS(B71-0.5)&lt;0.01, ABS(C71-0.5)&lt;0.01, ISNUMBER(SEARCH("Var", D71))), 1, 0)</f>
        <v/>
      </c>
      <c r="R71" s="171">
        <f>IF(F71&gt;0, J71, 1000000000)</f>
        <v/>
      </c>
      <c r="S71" s="101">
        <f>IF(AND(F71&lt;=DASHBOARD!$B$11, H71&gt;=DASHBOARD!$B$13), G71, -1000000000000)</f>
        <v/>
      </c>
      <c r="T71" s="101">
        <f>IF(AND(F71&lt;=DASHBOARD!$B$11, H71&gt;=DASHBOARD!$B$13), R71, 1000000000000)</f>
        <v/>
      </c>
      <c r="U71" s="101">
        <f>IF(AND(F71&lt;=DASHBOARD!$B$11, H71&gt;=DASHBOARD!$B$13), N71, -1000000000000)</f>
        <v/>
      </c>
      <c r="V71" s="101">
        <f>IF(AND(F71&lt;=DASHBOARD!$B$11, H71&gt;=DASHBOARD!$B$13), H71, -1000000000000)</f>
        <v/>
      </c>
      <c r="W71" s="101">
        <f>IF(AND(F71&lt;=DASHBOARD!$B$11, H71&gt;=DASHBOARD!$B$13), K71, -1000000000000)</f>
        <v/>
      </c>
      <c r="X71" s="101">
        <f>IF(AND(F71&lt;=DASHBOARD!$B$11, H71&gt;=DASHBOARD!$B$13), M71, 1000000000000)</f>
        <v/>
      </c>
      <c r="Y71" s="101">
        <f>IF(AND(F71&lt;=DASHBOARD!$B$10, H71&gt;=DASHBOARD!$B$11), L71, 1000000000000)</f>
        <v/>
      </c>
      <c r="Z71" s="101">
        <f>IF(AND(F71&lt;=DASHBOARD!$B$10, H71&gt;=DASHBOARD!$B$11), O71, 1000000000000)</f>
        <v/>
      </c>
      <c r="AA71" s="101">
        <f>IF(AND(F71&lt;=DASHBOARD!$B$10, H71&gt;=DASHBOARD!$B$11), P71, 1000000000000)</f>
        <v/>
      </c>
      <c r="AB71" s="101">
        <f>IF(AND(F71&lt;=DASHBOARD!$B$10, H71&gt;=DASHBOARD!$B$11), Q71, -1000000000000)</f>
        <v/>
      </c>
    </row>
    <row r="72" ht="12.75" customHeight="1" s="102">
      <c r="A72" s="166" t="n">
        <v>68</v>
      </c>
      <c r="B72" s="167" t="n">
        <v>0.1</v>
      </c>
      <c r="C72" s="167" t="n">
        <v>1.2</v>
      </c>
      <c r="D72" s="110" t="inlineStr">
        <is>
          <t>Var (%20)</t>
        </is>
      </c>
      <c r="E72" s="110">
        <f>IF((B72+C72)&lt;=1, "Tam Mahsuplaşma (≤%100)", "Kısmi Satış (&gt;%100)")</f>
        <v/>
      </c>
      <c r="F72" s="168">
        <f>((VERI_TABANI!$D$29*B72/VERI_TABANI!$B$29)/VERI_TABANI!$B$3)*VERI_TABANI!$B$5 + ((VERI_TABANI!$D$29*C72/VERI_TABANI!$B$29)/VERI_TABANI!$B$4)*VERI_TABANI!$B$6 + IF(ISNUMBER(SEARCH("Var", D72)), (VERI_TABANI!$F$29/VERI_TABANI!$B$29)*(VERI_TABANI!$B$10+VERI_TABANI!$B$12), 0)</f>
        <v/>
      </c>
      <c r="G72" s="168">
        <f>(((MIN(VERI_TABANI!D23, VERI_TABANI!D23*B72)*VERI_TABANI!$B$7 + MAX(0, VERI_TABANI!D23*B72-VERI_TABANI!D23)*VERI_TABANI!$B$8) + (MIN(MAX(0, VERI_TABANI!D23-VERI_TABANI!D23*B72), VERI_TABANI!D23*C72)*VERI_TABANI!$B$7 + MAX(0, VERI_TABANI!D23*C72-MAX(0, VERI_TABANI!D23-VERI_TABANI!D23*B72))*VERI_TABANI!$B$8) + IF(ABS(IF(ISNUMBER(SEARCH("Var", D72)), 1, IF(ISNUMBER(SEARCH("Gri", D72)), -1, 0)))=1, VERI_TABANI!E23*(1-0.928)*VERI_TABANI!$B$9, 0) + (VERI_TABANI!D23*B72*(VERI_TABANI!$B$13-VERI_TABANI!$B$14)*VERI_TABANI!G23) + (VERI_TABANI!D23*C72*(VERI_TABANI!$B$13-VERI_TABANI!$B$15)*VERI_TABANI!G23) + IF(ABS(IF(ISNUMBER(SEARCH("Var", D72)), 1, IF(ISNUMBER(SEARCH("Gri", D72)), -1, 0)))=1, VERI_TABANI!E23*(1-0.928)*0.00206091519919798*VERI_TABANI!G23, 0)) + ((MIN(VERI_TABANI!D24, VERI_TABANI!D24*B72)*VERI_TABANI!$B$7 + MAX(0, VERI_TABANI!D24*B72-VERI_TABANI!D24)*VERI_TABANI!$B$8) + (MIN(MAX(0, VERI_TABANI!D24-VERI_TABANI!D24*B72), VERI_TABANI!D24*C72)*VERI_TABANI!$B$7 + MAX(0, VERI_TABANI!D24*C72-MAX(0, VERI_TABANI!D24-VERI_TABANI!D24*B72))*VERI_TABANI!$B$8) + IF(ABS(IF(ISNUMBER(SEARCH("Var", D72)), 1, IF(ISNUMBER(SEARCH("Gri", D72)), -1, 0)))=1, VERI_TABANI!E24*(1-0.928)*VERI_TABANI!$B$9, 0) + (VERI_TABANI!D24*B72*(VERI_TABANI!$B$13-VERI_TABANI!$B$14)*VERI_TABANI!G24) + (VERI_TABANI!D24*C72*(VERI_TABANI!$B$13-VERI_TABANI!$B$15)*VERI_TABANI!G24) + IF(ABS(IF(ISNUMBER(SEARCH("Var", D72)), 1, IF(ISNUMBER(SEARCH("Gri", D72)), -1, 0)))=1, VERI_TABANI!E24*(1-0.928)*0.00206091519919798*VERI_TABANI!G24, 0)) + ((MIN(VERI_TABANI!D25, VERI_TABANI!D25*B72)*VERI_TABANI!$B$7 + MAX(0, VERI_TABANI!D25*B72-VERI_TABANI!D25)*VERI_TABANI!$B$8) + (MIN(MAX(0, VERI_TABANI!D25-VERI_TABANI!D25*B72), VERI_TABANI!D25*C72)*VERI_TABANI!$B$7 + MAX(0, VERI_TABANI!D25*C72-MAX(0, VERI_TABANI!D25-VERI_TABANI!D25*B72))*VERI_TABANI!$B$8) + IF(ABS(IF(ISNUMBER(SEARCH("Var", D72)), 1, IF(ISNUMBER(SEARCH("Gri", D72)), -1, 0)))=1, VERI_TABANI!E25*(1-0.928)*VERI_TABANI!$B$9, 0) + (VERI_TABANI!D25*B72*(VERI_TABANI!$B$13-VERI_TABANI!$B$14)*VERI_TABANI!G25) + (VERI_TABANI!D25*C72*(VERI_TABANI!$B$13-VERI_TABANI!$B$15)*VERI_TABANI!G25) + IF(ABS(IF(ISNUMBER(SEARCH("Var", D72)), 1, IF(ISNUMBER(SEARCH("Gri", D72)), -1, 0)))=1, VERI_TABANI!E25*(1-0.928)*0.00206091519919798*VERI_TABANI!G25, 0)) + ((MIN(VERI_TABANI!D26, VERI_TABANI!D26*B72)*VERI_TABANI!$B$7 + MAX(0, VERI_TABANI!D26*B72-VERI_TABANI!D26)*VERI_TABANI!$B$8) + (MIN(MAX(0, VERI_TABANI!D26-VERI_TABANI!D26*B72), VERI_TABANI!D26*C72)*VERI_TABANI!$B$7 + MAX(0, VERI_TABANI!D26*C72-MAX(0, VERI_TABANI!D26-VERI_TABANI!D26*B72))*VERI_TABANI!$B$8) + IF(ABS(IF(ISNUMBER(SEARCH("Var", D72)), 1, IF(ISNUMBER(SEARCH("Gri", D72)), -1, 0)))=1, VERI_TABANI!E26*(1-0.928)*VERI_TABANI!$B$9, 0) + (VERI_TABANI!D26*B72*(VERI_TABANI!$B$13-VERI_TABANI!$B$14)*VERI_TABANI!G26) + (VERI_TABANI!D26*C72*(VERI_TABANI!$B$13-VERI_TABANI!$B$15)*VERI_TABANI!G26) + IF(ABS(IF(ISNUMBER(SEARCH("Var", D72)), 1, IF(ISNUMBER(SEARCH("Gri", D72)), -1, 0)))=1, VERI_TABANI!E26*(1-0.928)*0.00206091519919798*VERI_TABANI!G26, 0)) + ((MIN(VERI_TABANI!D27, VERI_TABANI!D27*B72)*VERI_TABANI!$B$7 + MAX(0, VERI_TABANI!D27*B72-VERI_TABANI!D27)*VERI_TABANI!$B$8) + (MIN(MAX(0, VERI_TABANI!D27-VERI_TABANI!D27*B72), VERI_TABANI!D27*C72)*VERI_TABANI!$B$7 + MAX(0, VERI_TABANI!D27*C72-MAX(0, VERI_TABANI!D27-VERI_TABANI!D27*B72))*VERI_TABANI!$B$8) + IF(ABS(IF(ISNUMBER(SEARCH("Var", D72)), 1, IF(ISNUMBER(SEARCH("Gri", D72)), -1, 0)))=1, VERI_TABANI!E27*(1-0.928)*VERI_TABANI!$B$9, 0) + (VERI_TABANI!D27*B72*(VERI_TABANI!$B$13-VERI_TABANI!$B$14)*VERI_TABANI!G27) + (VERI_TABANI!D27*C72*(VERI_TABANI!$B$13-VERI_TABANI!$B$15)*VERI_TABANI!G27) + IF(ABS(IF(ISNUMBER(SEARCH("Var", D72)), 1, IF(ISNUMBER(SEARCH("Gri", D72)), -1, 0)))=1, VERI_TABANI!E27*(1-0.928)*0.00206091519919798*VERI_TABANI!G27, 0)) + ((MIN(VERI_TABANI!D28, VERI_TABANI!D28*B72)*VERI_TABANI!$B$7 + MAX(0, VERI_TABANI!D28*B72-VERI_TABANI!D28)*VERI_TABANI!$B$8) + (MIN(MAX(0, VERI_TABANI!D28-VERI_TABANI!D28*B72), VERI_TABANI!D28*C72)*VERI_TABANI!$B$7 + MAX(0, VERI_TABANI!D28*C72-MAX(0, VERI_TABANI!D28-VERI_TABANI!D28*B72))*VERI_TABANI!$B$8) + IF(ABS(IF(ISNUMBER(SEARCH("Var", D72)), 1, IF(ISNUMBER(SEARCH("Gri", D72)), -1, 0)))=1, VERI_TABANI!E28*(1-0.928)*VERI_TABANI!$B$9, 0) + (VERI_TABANI!D28*B72*(VERI_TABANI!$B$13-VERI_TABANI!$B$14)*VERI_TABANI!G28) + (VERI_TABANI!D28*C72*(VERI_TABANI!$B$13-VERI_TABANI!$B$15)*VERI_TABANI!G28) + IF(ABS(IF(ISNUMBER(SEARCH("Var", D72)), 1, IF(ISNUMBER(SEARCH("Gri", D72)), -1, 0)))=1, VERI_TABANI!E28*(1-0.928)*0.00206091519919798*VERI_TABANI!G28, 0)))</f>
        <v/>
      </c>
      <c r="H72" s="169">
        <f>(((VERI_TABANI!D23*B72*(VERI_TABANI!$B$13-VERI_TABANI!$B$14)) + (VERI_TABANI!D23*C72*(VERI_TABANI!$B$13-VERI_TABANI!$B$15)) + IF(ISNUMBER(SEARCH("Var", D72)), VERI_TABANI!F23*(0.00202-VERI_TABANI!$B$16), IF(ISNUMBER(SEARCH("Gri", D72)), VERI_TABANI!F23*(0.00202-VERI_TABANI!$B$17), 0))) + ((VERI_TABANI!D24*B72*(VERI_TABANI!$B$13-VERI_TABANI!$B$14)) + (VERI_TABANI!D24*C72*(VERI_TABANI!$B$13-VERI_TABANI!$B$15)) + IF(ISNUMBER(SEARCH("Var", D72)), VERI_TABANI!F24*(0.00202-VERI_TABANI!$B$16), IF(ISNUMBER(SEARCH("Gri", D72)), VERI_TABANI!F24*(0.00202-VERI_TABANI!$B$17), 0))) + ((VERI_TABANI!D25*B72*(VERI_TABANI!$B$13-VERI_TABANI!$B$14)) + (VERI_TABANI!D25*C72*(VERI_TABANI!$B$13-VERI_TABANI!$B$15)) + IF(ISNUMBER(SEARCH("Var", D72)), VERI_TABANI!F25*(0.00202-VERI_TABANI!$B$16), IF(ISNUMBER(SEARCH("Gri", D72)), VERI_TABANI!F25*(0.00202-VERI_TABANI!$B$17), 0))) + ((VERI_TABANI!D26*B72*(VERI_TABANI!$B$13-VERI_TABANI!$B$14)) + (VERI_TABANI!D26*C72*(VERI_TABANI!$B$13-VERI_TABANI!$B$15)) + IF(ISNUMBER(SEARCH("Var", D72)), VERI_TABANI!F26*(0.00202-VERI_TABANI!$B$16), IF(ISNUMBER(SEARCH("Gri", D72)), VERI_TABANI!F26*(0.00202-VERI_TABANI!$B$17), 0))) + ((VERI_TABANI!D27*B72*(VERI_TABANI!$B$13-VERI_TABANI!$B$14)) + (VERI_TABANI!D27*C72*(VERI_TABANI!$B$13-VERI_TABANI!$B$15)) + IF(ISNUMBER(SEARCH("Var", D72)), VERI_TABANI!F27*(0.00202-VERI_TABANI!$B$16), IF(ISNUMBER(SEARCH("Gri", D72)), VERI_TABANI!F27*(0.00202-VERI_TABANI!$B$17), 0))) + ((VERI_TABANI!D28*B72*(VERI_TABANI!$B$13-VERI_TABANI!$B$14)) + (VERI_TABANI!D28*C72*(VERI_TABANI!$B$13-VERI_TABANI!$B$15)) + IF(ISNUMBER(SEARCH("Var", D72)), VERI_TABANI!F28*(0.00202-VERI_TABANI!$B$16), IF(ISNUMBER(SEARCH("Gri", D72)), VERI_TABANI!F28*(0.00202-VERI_TABANI!$B$17), 0))))</f>
        <v/>
      </c>
      <c r="I72" s="170">
        <f>IFERROR(((VERI_TABANI!$D$29*B72*VERI_TABANI!$B$14 + VERI_TABANI!$D$29*C72*VERI_TABANI!$B$15 + IF(ISNUMBER(SEARCH("Var", D72)), VERI_TABANI!$F$29*VERI_TABANI!$B$16, 0))) / (((VERI_TABANI!$D$29*B72 + VERI_TABANI!$D$29*C72)*VERI_TABANI!$B$13 + IF(ISNUMBER(SEARCH("Var", D72)), VERI_TABANI!$E$29*(1-0.928)*VERI_TABANI!$B$18, 0))), 0)</f>
        <v/>
      </c>
      <c r="J72" s="171">
        <f>IFERROR(F72/(G72/29), 0)</f>
        <v/>
      </c>
      <c r="K72" s="172">
        <f>IF(F72&gt;0, H72/F72, 0)</f>
        <v/>
      </c>
      <c r="L72" s="170">
        <f>IF(F72&gt;0, I72, 1000000000)</f>
        <v/>
      </c>
      <c r="M72" s="171">
        <f>ABS((B72+C72)-1)</f>
        <v/>
      </c>
      <c r="N72" s="170">
        <f>IF(F72&gt;0, (G72/29)/F72, 0)</f>
        <v/>
      </c>
      <c r="O72" s="168">
        <f>IF(AND((B72+C72)&gt;=1, ISNUMBER(SEARCH("Var", D72))), F72, 1000000000)</f>
        <v/>
      </c>
      <c r="P72" s="172">
        <f>IF(F72&gt;0, SQRT((F72/MAX(F$5:F$886))^2 + (1 - H72/MAX(H$5:H$886))^2 + (J72/MAX(J$5:J$886))^2), 1000000000)</f>
        <v/>
      </c>
      <c r="Q72" s="166">
        <f>IF(AND(ABS(B72-0.5)&lt;0.01, ABS(C72-0.5)&lt;0.01, ISNUMBER(SEARCH("Var", D72))), 1, 0)</f>
        <v/>
      </c>
      <c r="R72" s="171">
        <f>IF(F72&gt;0, J72, 1000000000)</f>
        <v/>
      </c>
      <c r="S72" s="101">
        <f>IF(AND(F72&lt;=DASHBOARD!$B$11, H72&gt;=DASHBOARD!$B$13), G72, -1000000000000)</f>
        <v/>
      </c>
      <c r="T72" s="101">
        <f>IF(AND(F72&lt;=DASHBOARD!$B$11, H72&gt;=DASHBOARD!$B$13), R72, 1000000000000)</f>
        <v/>
      </c>
      <c r="U72" s="101">
        <f>IF(AND(F72&lt;=DASHBOARD!$B$11, H72&gt;=DASHBOARD!$B$13), N72, -1000000000000)</f>
        <v/>
      </c>
      <c r="V72" s="101">
        <f>IF(AND(F72&lt;=DASHBOARD!$B$11, H72&gt;=DASHBOARD!$B$13), H72, -1000000000000)</f>
        <v/>
      </c>
      <c r="W72" s="101">
        <f>IF(AND(F72&lt;=DASHBOARD!$B$11, H72&gt;=DASHBOARD!$B$13), K72, -1000000000000)</f>
        <v/>
      </c>
      <c r="X72" s="101">
        <f>IF(AND(F72&lt;=DASHBOARD!$B$11, H72&gt;=DASHBOARD!$B$13), M72, 1000000000000)</f>
        <v/>
      </c>
      <c r="Y72" s="101">
        <f>IF(AND(F72&lt;=DASHBOARD!$B$10, H72&gt;=DASHBOARD!$B$11), L72, 1000000000000)</f>
        <v/>
      </c>
      <c r="Z72" s="101">
        <f>IF(AND(F72&lt;=DASHBOARD!$B$10, H72&gt;=DASHBOARD!$B$11), O72, 1000000000000)</f>
        <v/>
      </c>
      <c r="AA72" s="101">
        <f>IF(AND(F72&lt;=DASHBOARD!$B$10, H72&gt;=DASHBOARD!$B$11), P72, 1000000000000)</f>
        <v/>
      </c>
      <c r="AB72" s="101">
        <f>IF(AND(F72&lt;=DASHBOARD!$B$10, H72&gt;=DASHBOARD!$B$11), Q72, -1000000000000)</f>
        <v/>
      </c>
    </row>
    <row r="73" ht="12.75" customHeight="1" s="102">
      <c r="A73" s="166" t="n">
        <v>69</v>
      </c>
      <c r="B73" s="167" t="n">
        <v>0.1</v>
      </c>
      <c r="C73" s="167" t="n">
        <v>1.3</v>
      </c>
      <c r="D73" s="110" t="inlineStr">
        <is>
          <t>Yok (%0)</t>
        </is>
      </c>
      <c r="E73" s="110">
        <f>IF((B73+C73)&lt;=1, "Tam Mahsuplaşma (≤%100)", "Kısmi Satış (&gt;%100)")</f>
        <v/>
      </c>
      <c r="F73" s="168">
        <f>((VERI_TABANI!$D$29*B73/VERI_TABANI!$B$29)/VERI_TABANI!$B$3)*VERI_TABANI!$B$5 + ((VERI_TABANI!$D$29*C73/VERI_TABANI!$B$29)/VERI_TABANI!$B$4)*VERI_TABANI!$B$6 + IF(ISNUMBER(SEARCH("Var", D73)), (VERI_TABANI!$F$29/VERI_TABANI!$B$29)*(VERI_TABANI!$B$10+VERI_TABANI!$B$12), 0)</f>
        <v/>
      </c>
      <c r="G73" s="168">
        <f>(((MIN(VERI_TABANI!D23, VERI_TABANI!D23*B73)*VERI_TABANI!$B$7 + MAX(0, VERI_TABANI!D23*B73-VERI_TABANI!D23)*VERI_TABANI!$B$8) + (MIN(MAX(0, VERI_TABANI!D23-VERI_TABANI!D23*B73), VERI_TABANI!D23*C73)*VERI_TABANI!$B$7 + MAX(0, VERI_TABANI!D23*C73-MAX(0, VERI_TABANI!D23-VERI_TABANI!D23*B73))*VERI_TABANI!$B$8) + IF(ABS(IF(ISNUMBER(SEARCH("Var", D73)), 1, IF(ISNUMBER(SEARCH("Gri", D73)), -1, 0)))=1, VERI_TABANI!E23*(1-0.928)*VERI_TABANI!$B$9, 0) + (VERI_TABANI!D23*B73*(VERI_TABANI!$B$13-VERI_TABANI!$B$14)*VERI_TABANI!G23) + (VERI_TABANI!D23*C73*(VERI_TABANI!$B$13-VERI_TABANI!$B$15)*VERI_TABANI!G23) + IF(ABS(IF(ISNUMBER(SEARCH("Var", D73)), 1, IF(ISNUMBER(SEARCH("Gri", D73)), -1, 0)))=1, VERI_TABANI!E23*(1-0.928)*0.00206091519919798*VERI_TABANI!G23, 0)) + ((MIN(VERI_TABANI!D24, VERI_TABANI!D24*B73)*VERI_TABANI!$B$7 + MAX(0, VERI_TABANI!D24*B73-VERI_TABANI!D24)*VERI_TABANI!$B$8) + (MIN(MAX(0, VERI_TABANI!D24-VERI_TABANI!D24*B73), VERI_TABANI!D24*C73)*VERI_TABANI!$B$7 + MAX(0, VERI_TABANI!D24*C73-MAX(0, VERI_TABANI!D24-VERI_TABANI!D24*B73))*VERI_TABANI!$B$8) + IF(ABS(IF(ISNUMBER(SEARCH("Var", D73)), 1, IF(ISNUMBER(SEARCH("Gri", D73)), -1, 0)))=1, VERI_TABANI!E24*(1-0.928)*VERI_TABANI!$B$9, 0) + (VERI_TABANI!D24*B73*(VERI_TABANI!$B$13-VERI_TABANI!$B$14)*VERI_TABANI!G24) + (VERI_TABANI!D24*C73*(VERI_TABANI!$B$13-VERI_TABANI!$B$15)*VERI_TABANI!G24) + IF(ABS(IF(ISNUMBER(SEARCH("Var", D73)), 1, IF(ISNUMBER(SEARCH("Gri", D73)), -1, 0)))=1, VERI_TABANI!E24*(1-0.928)*0.00206091519919798*VERI_TABANI!G24, 0)) + ((MIN(VERI_TABANI!D25, VERI_TABANI!D25*B73)*VERI_TABANI!$B$7 + MAX(0, VERI_TABANI!D25*B73-VERI_TABANI!D25)*VERI_TABANI!$B$8) + (MIN(MAX(0, VERI_TABANI!D25-VERI_TABANI!D25*B73), VERI_TABANI!D25*C73)*VERI_TABANI!$B$7 + MAX(0, VERI_TABANI!D25*C73-MAX(0, VERI_TABANI!D25-VERI_TABANI!D25*B73))*VERI_TABANI!$B$8) + IF(ABS(IF(ISNUMBER(SEARCH("Var", D73)), 1, IF(ISNUMBER(SEARCH("Gri", D73)), -1, 0)))=1, VERI_TABANI!E25*(1-0.928)*VERI_TABANI!$B$9, 0) + (VERI_TABANI!D25*B73*(VERI_TABANI!$B$13-VERI_TABANI!$B$14)*VERI_TABANI!G25) + (VERI_TABANI!D25*C73*(VERI_TABANI!$B$13-VERI_TABANI!$B$15)*VERI_TABANI!G25) + IF(ABS(IF(ISNUMBER(SEARCH("Var", D73)), 1, IF(ISNUMBER(SEARCH("Gri", D73)), -1, 0)))=1, VERI_TABANI!E25*(1-0.928)*0.00206091519919798*VERI_TABANI!G25, 0)) + ((MIN(VERI_TABANI!D26, VERI_TABANI!D26*B73)*VERI_TABANI!$B$7 + MAX(0, VERI_TABANI!D26*B73-VERI_TABANI!D26)*VERI_TABANI!$B$8) + (MIN(MAX(0, VERI_TABANI!D26-VERI_TABANI!D26*B73), VERI_TABANI!D26*C73)*VERI_TABANI!$B$7 + MAX(0, VERI_TABANI!D26*C73-MAX(0, VERI_TABANI!D26-VERI_TABANI!D26*B73))*VERI_TABANI!$B$8) + IF(ABS(IF(ISNUMBER(SEARCH("Var", D73)), 1, IF(ISNUMBER(SEARCH("Gri", D73)), -1, 0)))=1, VERI_TABANI!E26*(1-0.928)*VERI_TABANI!$B$9, 0) + (VERI_TABANI!D26*B73*(VERI_TABANI!$B$13-VERI_TABANI!$B$14)*VERI_TABANI!G26) + (VERI_TABANI!D26*C73*(VERI_TABANI!$B$13-VERI_TABANI!$B$15)*VERI_TABANI!G26) + IF(ABS(IF(ISNUMBER(SEARCH("Var", D73)), 1, IF(ISNUMBER(SEARCH("Gri", D73)), -1, 0)))=1, VERI_TABANI!E26*(1-0.928)*0.00206091519919798*VERI_TABANI!G26, 0)) + ((MIN(VERI_TABANI!D27, VERI_TABANI!D27*B73)*VERI_TABANI!$B$7 + MAX(0, VERI_TABANI!D27*B73-VERI_TABANI!D27)*VERI_TABANI!$B$8) + (MIN(MAX(0, VERI_TABANI!D27-VERI_TABANI!D27*B73), VERI_TABANI!D27*C73)*VERI_TABANI!$B$7 + MAX(0, VERI_TABANI!D27*C73-MAX(0, VERI_TABANI!D27-VERI_TABANI!D27*B73))*VERI_TABANI!$B$8) + IF(ABS(IF(ISNUMBER(SEARCH("Var", D73)), 1, IF(ISNUMBER(SEARCH("Gri", D73)), -1, 0)))=1, VERI_TABANI!E27*(1-0.928)*VERI_TABANI!$B$9, 0) + (VERI_TABANI!D27*B73*(VERI_TABANI!$B$13-VERI_TABANI!$B$14)*VERI_TABANI!G27) + (VERI_TABANI!D27*C73*(VERI_TABANI!$B$13-VERI_TABANI!$B$15)*VERI_TABANI!G27) + IF(ABS(IF(ISNUMBER(SEARCH("Var", D73)), 1, IF(ISNUMBER(SEARCH("Gri", D73)), -1, 0)))=1, VERI_TABANI!E27*(1-0.928)*0.00206091519919798*VERI_TABANI!G27, 0)) + ((MIN(VERI_TABANI!D28, VERI_TABANI!D28*B73)*VERI_TABANI!$B$7 + MAX(0, VERI_TABANI!D28*B73-VERI_TABANI!D28)*VERI_TABANI!$B$8) + (MIN(MAX(0, VERI_TABANI!D28-VERI_TABANI!D28*B73), VERI_TABANI!D28*C73)*VERI_TABANI!$B$7 + MAX(0, VERI_TABANI!D28*C73-MAX(0, VERI_TABANI!D28-VERI_TABANI!D28*B73))*VERI_TABANI!$B$8) + IF(ABS(IF(ISNUMBER(SEARCH("Var", D73)), 1, IF(ISNUMBER(SEARCH("Gri", D73)), -1, 0)))=1, VERI_TABANI!E28*(1-0.928)*VERI_TABANI!$B$9, 0) + (VERI_TABANI!D28*B73*(VERI_TABANI!$B$13-VERI_TABANI!$B$14)*VERI_TABANI!G28) + (VERI_TABANI!D28*C73*(VERI_TABANI!$B$13-VERI_TABANI!$B$15)*VERI_TABANI!G28) + IF(ABS(IF(ISNUMBER(SEARCH("Var", D73)), 1, IF(ISNUMBER(SEARCH("Gri", D73)), -1, 0)))=1, VERI_TABANI!E28*(1-0.928)*0.00206091519919798*VERI_TABANI!G28, 0)))</f>
        <v/>
      </c>
      <c r="H73" s="169">
        <f>(((VERI_TABANI!D23*B73*(VERI_TABANI!$B$13-VERI_TABANI!$B$14)) + (VERI_TABANI!D23*C73*(VERI_TABANI!$B$13-VERI_TABANI!$B$15)) + IF(ISNUMBER(SEARCH("Var", D73)), VERI_TABANI!F23*(0.00202-VERI_TABANI!$B$16), IF(ISNUMBER(SEARCH("Gri", D73)), VERI_TABANI!F23*(0.00202-VERI_TABANI!$B$17), 0))) + ((VERI_TABANI!D24*B73*(VERI_TABANI!$B$13-VERI_TABANI!$B$14)) + (VERI_TABANI!D24*C73*(VERI_TABANI!$B$13-VERI_TABANI!$B$15)) + IF(ISNUMBER(SEARCH("Var", D73)), VERI_TABANI!F24*(0.00202-VERI_TABANI!$B$16), IF(ISNUMBER(SEARCH("Gri", D73)), VERI_TABANI!F24*(0.00202-VERI_TABANI!$B$17), 0))) + ((VERI_TABANI!D25*B73*(VERI_TABANI!$B$13-VERI_TABANI!$B$14)) + (VERI_TABANI!D25*C73*(VERI_TABANI!$B$13-VERI_TABANI!$B$15)) + IF(ISNUMBER(SEARCH("Var", D73)), VERI_TABANI!F25*(0.00202-VERI_TABANI!$B$16), IF(ISNUMBER(SEARCH("Gri", D73)), VERI_TABANI!F25*(0.00202-VERI_TABANI!$B$17), 0))) + ((VERI_TABANI!D26*B73*(VERI_TABANI!$B$13-VERI_TABANI!$B$14)) + (VERI_TABANI!D26*C73*(VERI_TABANI!$B$13-VERI_TABANI!$B$15)) + IF(ISNUMBER(SEARCH("Var", D73)), VERI_TABANI!F26*(0.00202-VERI_TABANI!$B$16), IF(ISNUMBER(SEARCH("Gri", D73)), VERI_TABANI!F26*(0.00202-VERI_TABANI!$B$17), 0))) + ((VERI_TABANI!D27*B73*(VERI_TABANI!$B$13-VERI_TABANI!$B$14)) + (VERI_TABANI!D27*C73*(VERI_TABANI!$B$13-VERI_TABANI!$B$15)) + IF(ISNUMBER(SEARCH("Var", D73)), VERI_TABANI!F27*(0.00202-VERI_TABANI!$B$16), IF(ISNUMBER(SEARCH("Gri", D73)), VERI_TABANI!F27*(0.00202-VERI_TABANI!$B$17), 0))) + ((VERI_TABANI!D28*B73*(VERI_TABANI!$B$13-VERI_TABANI!$B$14)) + (VERI_TABANI!D28*C73*(VERI_TABANI!$B$13-VERI_TABANI!$B$15)) + IF(ISNUMBER(SEARCH("Var", D73)), VERI_TABANI!F28*(0.00202-VERI_TABANI!$B$16), IF(ISNUMBER(SEARCH("Gri", D73)), VERI_TABANI!F28*(0.00202-VERI_TABANI!$B$17), 0))))</f>
        <v/>
      </c>
      <c r="I73" s="170">
        <f>IFERROR(((VERI_TABANI!$D$29*B73*VERI_TABANI!$B$14 + VERI_TABANI!$D$29*C73*VERI_TABANI!$B$15 + IF(ISNUMBER(SEARCH("Var", D73)), VERI_TABANI!$F$29*VERI_TABANI!$B$16, 0))) / (((VERI_TABANI!$D$29*B73 + VERI_TABANI!$D$29*C73)*VERI_TABANI!$B$13 + IF(ISNUMBER(SEARCH("Var", D73)), VERI_TABANI!$E$29*(1-0.928)*VERI_TABANI!$B$18, 0))), 0)</f>
        <v/>
      </c>
      <c r="J73" s="171">
        <f>IFERROR(F73/(G73/29), 0)</f>
        <v/>
      </c>
      <c r="K73" s="172">
        <f>IF(F73&gt;0, H73/F73, 0)</f>
        <v/>
      </c>
      <c r="L73" s="170">
        <f>IF(F73&gt;0, I73, 1000000000)</f>
        <v/>
      </c>
      <c r="M73" s="171">
        <f>ABS((B73+C73)-1)</f>
        <v/>
      </c>
      <c r="N73" s="170">
        <f>IF(F73&gt;0, (G73/29)/F73, 0)</f>
        <v/>
      </c>
      <c r="O73" s="168">
        <f>IF(AND((B73+C73)&gt;=1, ISNUMBER(SEARCH("Var", D73))), F73, 1000000000)</f>
        <v/>
      </c>
      <c r="P73" s="172">
        <f>IF(F73&gt;0, SQRT((F73/MAX(F$5:F$886))^2 + (1 - H73/MAX(H$5:H$886))^2 + (J73/MAX(J$5:J$886))^2), 1000000000)</f>
        <v/>
      </c>
      <c r="Q73" s="166">
        <f>IF(AND(ABS(B73-0.5)&lt;0.01, ABS(C73-0.5)&lt;0.01, ISNUMBER(SEARCH("Var", D73))), 1, 0)</f>
        <v/>
      </c>
      <c r="R73" s="171">
        <f>IF(F73&gt;0, J73, 1000000000)</f>
        <v/>
      </c>
      <c r="S73" s="101">
        <f>IF(AND(F73&lt;=DASHBOARD!$B$11, H73&gt;=DASHBOARD!$B$13), G73, -1000000000000)</f>
        <v/>
      </c>
      <c r="T73" s="101">
        <f>IF(AND(F73&lt;=DASHBOARD!$B$11, H73&gt;=DASHBOARD!$B$13), R73, 1000000000000)</f>
        <v/>
      </c>
      <c r="U73" s="101">
        <f>IF(AND(F73&lt;=DASHBOARD!$B$11, H73&gt;=DASHBOARD!$B$13), N73, -1000000000000)</f>
        <v/>
      </c>
      <c r="V73" s="101">
        <f>IF(AND(F73&lt;=DASHBOARD!$B$11, H73&gt;=DASHBOARD!$B$13), H73, -1000000000000)</f>
        <v/>
      </c>
      <c r="W73" s="101">
        <f>IF(AND(F73&lt;=DASHBOARD!$B$11, H73&gt;=DASHBOARD!$B$13), K73, -1000000000000)</f>
        <v/>
      </c>
      <c r="X73" s="101">
        <f>IF(AND(F73&lt;=DASHBOARD!$B$11, H73&gt;=DASHBOARD!$B$13), M73, 1000000000000)</f>
        <v/>
      </c>
      <c r="Y73" s="101">
        <f>IF(AND(F73&lt;=DASHBOARD!$B$10, H73&gt;=DASHBOARD!$B$11), L73, 1000000000000)</f>
        <v/>
      </c>
      <c r="Z73" s="101">
        <f>IF(AND(F73&lt;=DASHBOARD!$B$10, H73&gt;=DASHBOARD!$B$11), O73, 1000000000000)</f>
        <v/>
      </c>
      <c r="AA73" s="101">
        <f>IF(AND(F73&lt;=DASHBOARD!$B$10, H73&gt;=DASHBOARD!$B$11), P73, 1000000000000)</f>
        <v/>
      </c>
      <c r="AB73" s="101">
        <f>IF(AND(F73&lt;=DASHBOARD!$B$10, H73&gt;=DASHBOARD!$B$11), Q73, -1000000000000)</f>
        <v/>
      </c>
    </row>
    <row r="74" ht="12.75" customHeight="1" s="102">
      <c r="A74" s="166" t="n">
        <v>70</v>
      </c>
      <c r="B74" s="167" t="n">
        <v>0.1</v>
      </c>
      <c r="C74" s="167" t="n">
        <v>1.3</v>
      </c>
      <c r="D74" s="110" t="inlineStr">
        <is>
          <t>Var (%20)</t>
        </is>
      </c>
      <c r="E74" s="110">
        <f>IF((B74+C74)&lt;=1, "Tam Mahsuplaşma (≤%100)", "Kısmi Satış (&gt;%100)")</f>
        <v/>
      </c>
      <c r="F74" s="168">
        <f>((VERI_TABANI!$D$29*B74/VERI_TABANI!$B$29)/VERI_TABANI!$B$3)*VERI_TABANI!$B$5 + ((VERI_TABANI!$D$29*C74/VERI_TABANI!$B$29)/VERI_TABANI!$B$4)*VERI_TABANI!$B$6 + IF(ISNUMBER(SEARCH("Var", D74)), (VERI_TABANI!$F$29/VERI_TABANI!$B$29)*(VERI_TABANI!$B$10+VERI_TABANI!$B$12), 0)</f>
        <v/>
      </c>
      <c r="G74" s="168">
        <f>(((MIN(VERI_TABANI!D23, VERI_TABANI!D23*B74)*VERI_TABANI!$B$7 + MAX(0, VERI_TABANI!D23*B74-VERI_TABANI!D23)*VERI_TABANI!$B$8) + (MIN(MAX(0, VERI_TABANI!D23-VERI_TABANI!D23*B74), VERI_TABANI!D23*C74)*VERI_TABANI!$B$7 + MAX(0, VERI_TABANI!D23*C74-MAX(0, VERI_TABANI!D23-VERI_TABANI!D23*B74))*VERI_TABANI!$B$8) + IF(ABS(IF(ISNUMBER(SEARCH("Var", D74)), 1, IF(ISNUMBER(SEARCH("Gri", D74)), -1, 0)))=1, VERI_TABANI!E23*(1-0.928)*VERI_TABANI!$B$9, 0) + (VERI_TABANI!D23*B74*(VERI_TABANI!$B$13-VERI_TABANI!$B$14)*VERI_TABANI!G23) + (VERI_TABANI!D23*C74*(VERI_TABANI!$B$13-VERI_TABANI!$B$15)*VERI_TABANI!G23) + IF(ABS(IF(ISNUMBER(SEARCH("Var", D74)), 1, IF(ISNUMBER(SEARCH("Gri", D74)), -1, 0)))=1, VERI_TABANI!E23*(1-0.928)*0.00206091519919798*VERI_TABANI!G23, 0)) + ((MIN(VERI_TABANI!D24, VERI_TABANI!D24*B74)*VERI_TABANI!$B$7 + MAX(0, VERI_TABANI!D24*B74-VERI_TABANI!D24)*VERI_TABANI!$B$8) + (MIN(MAX(0, VERI_TABANI!D24-VERI_TABANI!D24*B74), VERI_TABANI!D24*C74)*VERI_TABANI!$B$7 + MAX(0, VERI_TABANI!D24*C74-MAX(0, VERI_TABANI!D24-VERI_TABANI!D24*B74))*VERI_TABANI!$B$8) + IF(ABS(IF(ISNUMBER(SEARCH("Var", D74)), 1, IF(ISNUMBER(SEARCH("Gri", D74)), -1, 0)))=1, VERI_TABANI!E24*(1-0.928)*VERI_TABANI!$B$9, 0) + (VERI_TABANI!D24*B74*(VERI_TABANI!$B$13-VERI_TABANI!$B$14)*VERI_TABANI!G24) + (VERI_TABANI!D24*C74*(VERI_TABANI!$B$13-VERI_TABANI!$B$15)*VERI_TABANI!G24) + IF(ABS(IF(ISNUMBER(SEARCH("Var", D74)), 1, IF(ISNUMBER(SEARCH("Gri", D74)), -1, 0)))=1, VERI_TABANI!E24*(1-0.928)*0.00206091519919798*VERI_TABANI!G24, 0)) + ((MIN(VERI_TABANI!D25, VERI_TABANI!D25*B74)*VERI_TABANI!$B$7 + MAX(0, VERI_TABANI!D25*B74-VERI_TABANI!D25)*VERI_TABANI!$B$8) + (MIN(MAX(0, VERI_TABANI!D25-VERI_TABANI!D25*B74), VERI_TABANI!D25*C74)*VERI_TABANI!$B$7 + MAX(0, VERI_TABANI!D25*C74-MAX(0, VERI_TABANI!D25-VERI_TABANI!D25*B74))*VERI_TABANI!$B$8) + IF(ABS(IF(ISNUMBER(SEARCH("Var", D74)), 1, IF(ISNUMBER(SEARCH("Gri", D74)), -1, 0)))=1, VERI_TABANI!E25*(1-0.928)*VERI_TABANI!$B$9, 0) + (VERI_TABANI!D25*B74*(VERI_TABANI!$B$13-VERI_TABANI!$B$14)*VERI_TABANI!G25) + (VERI_TABANI!D25*C74*(VERI_TABANI!$B$13-VERI_TABANI!$B$15)*VERI_TABANI!G25) + IF(ABS(IF(ISNUMBER(SEARCH("Var", D74)), 1, IF(ISNUMBER(SEARCH("Gri", D74)), -1, 0)))=1, VERI_TABANI!E25*(1-0.928)*0.00206091519919798*VERI_TABANI!G25, 0)) + ((MIN(VERI_TABANI!D26, VERI_TABANI!D26*B74)*VERI_TABANI!$B$7 + MAX(0, VERI_TABANI!D26*B74-VERI_TABANI!D26)*VERI_TABANI!$B$8) + (MIN(MAX(0, VERI_TABANI!D26-VERI_TABANI!D26*B74), VERI_TABANI!D26*C74)*VERI_TABANI!$B$7 + MAX(0, VERI_TABANI!D26*C74-MAX(0, VERI_TABANI!D26-VERI_TABANI!D26*B74))*VERI_TABANI!$B$8) + IF(ABS(IF(ISNUMBER(SEARCH("Var", D74)), 1, IF(ISNUMBER(SEARCH("Gri", D74)), -1, 0)))=1, VERI_TABANI!E26*(1-0.928)*VERI_TABANI!$B$9, 0) + (VERI_TABANI!D26*B74*(VERI_TABANI!$B$13-VERI_TABANI!$B$14)*VERI_TABANI!G26) + (VERI_TABANI!D26*C74*(VERI_TABANI!$B$13-VERI_TABANI!$B$15)*VERI_TABANI!G26) + IF(ABS(IF(ISNUMBER(SEARCH("Var", D74)), 1, IF(ISNUMBER(SEARCH("Gri", D74)), -1, 0)))=1, VERI_TABANI!E26*(1-0.928)*0.00206091519919798*VERI_TABANI!G26, 0)) + ((MIN(VERI_TABANI!D27, VERI_TABANI!D27*B74)*VERI_TABANI!$B$7 + MAX(0, VERI_TABANI!D27*B74-VERI_TABANI!D27)*VERI_TABANI!$B$8) + (MIN(MAX(0, VERI_TABANI!D27-VERI_TABANI!D27*B74), VERI_TABANI!D27*C74)*VERI_TABANI!$B$7 + MAX(0, VERI_TABANI!D27*C74-MAX(0, VERI_TABANI!D27-VERI_TABANI!D27*B74))*VERI_TABANI!$B$8) + IF(ABS(IF(ISNUMBER(SEARCH("Var", D74)), 1, IF(ISNUMBER(SEARCH("Gri", D74)), -1, 0)))=1, VERI_TABANI!E27*(1-0.928)*VERI_TABANI!$B$9, 0) + (VERI_TABANI!D27*B74*(VERI_TABANI!$B$13-VERI_TABANI!$B$14)*VERI_TABANI!G27) + (VERI_TABANI!D27*C74*(VERI_TABANI!$B$13-VERI_TABANI!$B$15)*VERI_TABANI!G27) + IF(ABS(IF(ISNUMBER(SEARCH("Var", D74)), 1, IF(ISNUMBER(SEARCH("Gri", D74)), -1, 0)))=1, VERI_TABANI!E27*(1-0.928)*0.00206091519919798*VERI_TABANI!G27, 0)) + ((MIN(VERI_TABANI!D28, VERI_TABANI!D28*B74)*VERI_TABANI!$B$7 + MAX(0, VERI_TABANI!D28*B74-VERI_TABANI!D28)*VERI_TABANI!$B$8) + (MIN(MAX(0, VERI_TABANI!D28-VERI_TABANI!D28*B74), VERI_TABANI!D28*C74)*VERI_TABANI!$B$7 + MAX(0, VERI_TABANI!D28*C74-MAX(0, VERI_TABANI!D28-VERI_TABANI!D28*B74))*VERI_TABANI!$B$8) + IF(ABS(IF(ISNUMBER(SEARCH("Var", D74)), 1, IF(ISNUMBER(SEARCH("Gri", D74)), -1, 0)))=1, VERI_TABANI!E28*(1-0.928)*VERI_TABANI!$B$9, 0) + (VERI_TABANI!D28*B74*(VERI_TABANI!$B$13-VERI_TABANI!$B$14)*VERI_TABANI!G28) + (VERI_TABANI!D28*C74*(VERI_TABANI!$B$13-VERI_TABANI!$B$15)*VERI_TABANI!G28) + IF(ABS(IF(ISNUMBER(SEARCH("Var", D74)), 1, IF(ISNUMBER(SEARCH("Gri", D74)), -1, 0)))=1, VERI_TABANI!E28*(1-0.928)*0.00206091519919798*VERI_TABANI!G28, 0)))</f>
        <v/>
      </c>
      <c r="H74" s="169">
        <f>(((VERI_TABANI!D23*B74*(VERI_TABANI!$B$13-VERI_TABANI!$B$14)) + (VERI_TABANI!D23*C74*(VERI_TABANI!$B$13-VERI_TABANI!$B$15)) + IF(ISNUMBER(SEARCH("Var", D74)), VERI_TABANI!F23*(0.00202-VERI_TABANI!$B$16), IF(ISNUMBER(SEARCH("Gri", D74)), VERI_TABANI!F23*(0.00202-VERI_TABANI!$B$17), 0))) + ((VERI_TABANI!D24*B74*(VERI_TABANI!$B$13-VERI_TABANI!$B$14)) + (VERI_TABANI!D24*C74*(VERI_TABANI!$B$13-VERI_TABANI!$B$15)) + IF(ISNUMBER(SEARCH("Var", D74)), VERI_TABANI!F24*(0.00202-VERI_TABANI!$B$16), IF(ISNUMBER(SEARCH("Gri", D74)), VERI_TABANI!F24*(0.00202-VERI_TABANI!$B$17), 0))) + ((VERI_TABANI!D25*B74*(VERI_TABANI!$B$13-VERI_TABANI!$B$14)) + (VERI_TABANI!D25*C74*(VERI_TABANI!$B$13-VERI_TABANI!$B$15)) + IF(ISNUMBER(SEARCH("Var", D74)), VERI_TABANI!F25*(0.00202-VERI_TABANI!$B$16), IF(ISNUMBER(SEARCH("Gri", D74)), VERI_TABANI!F25*(0.00202-VERI_TABANI!$B$17), 0))) + ((VERI_TABANI!D26*B74*(VERI_TABANI!$B$13-VERI_TABANI!$B$14)) + (VERI_TABANI!D26*C74*(VERI_TABANI!$B$13-VERI_TABANI!$B$15)) + IF(ISNUMBER(SEARCH("Var", D74)), VERI_TABANI!F26*(0.00202-VERI_TABANI!$B$16), IF(ISNUMBER(SEARCH("Gri", D74)), VERI_TABANI!F26*(0.00202-VERI_TABANI!$B$17), 0))) + ((VERI_TABANI!D27*B74*(VERI_TABANI!$B$13-VERI_TABANI!$B$14)) + (VERI_TABANI!D27*C74*(VERI_TABANI!$B$13-VERI_TABANI!$B$15)) + IF(ISNUMBER(SEARCH("Var", D74)), VERI_TABANI!F27*(0.00202-VERI_TABANI!$B$16), IF(ISNUMBER(SEARCH("Gri", D74)), VERI_TABANI!F27*(0.00202-VERI_TABANI!$B$17), 0))) + ((VERI_TABANI!D28*B74*(VERI_TABANI!$B$13-VERI_TABANI!$B$14)) + (VERI_TABANI!D28*C74*(VERI_TABANI!$B$13-VERI_TABANI!$B$15)) + IF(ISNUMBER(SEARCH("Var", D74)), VERI_TABANI!F28*(0.00202-VERI_TABANI!$B$16), IF(ISNUMBER(SEARCH("Gri", D74)), VERI_TABANI!F28*(0.00202-VERI_TABANI!$B$17), 0))))</f>
        <v/>
      </c>
      <c r="I74" s="170">
        <f>IFERROR(((VERI_TABANI!$D$29*B74*VERI_TABANI!$B$14 + VERI_TABANI!$D$29*C74*VERI_TABANI!$B$15 + IF(ISNUMBER(SEARCH("Var", D74)), VERI_TABANI!$F$29*VERI_TABANI!$B$16, 0))) / (((VERI_TABANI!$D$29*B74 + VERI_TABANI!$D$29*C74)*VERI_TABANI!$B$13 + IF(ISNUMBER(SEARCH("Var", D74)), VERI_TABANI!$E$29*(1-0.928)*VERI_TABANI!$B$18, 0))), 0)</f>
        <v/>
      </c>
      <c r="J74" s="171">
        <f>IFERROR(F74/(G74/29), 0)</f>
        <v/>
      </c>
      <c r="K74" s="172">
        <f>IF(F74&gt;0, H74/F74, 0)</f>
        <v/>
      </c>
      <c r="L74" s="170">
        <f>IF(F74&gt;0, I74, 1000000000)</f>
        <v/>
      </c>
      <c r="M74" s="171">
        <f>ABS((B74+C74)-1)</f>
        <v/>
      </c>
      <c r="N74" s="170">
        <f>IF(F74&gt;0, (G74/29)/F74, 0)</f>
        <v/>
      </c>
      <c r="O74" s="168">
        <f>IF(AND((B74+C74)&gt;=1, ISNUMBER(SEARCH("Var", D74))), F74, 1000000000)</f>
        <v/>
      </c>
      <c r="P74" s="172">
        <f>IF(F74&gt;0, SQRT((F74/MAX(F$5:F$886))^2 + (1 - H74/MAX(H$5:H$886))^2 + (J74/MAX(J$5:J$886))^2), 1000000000)</f>
        <v/>
      </c>
      <c r="Q74" s="166">
        <f>IF(AND(ABS(B74-0.5)&lt;0.01, ABS(C74-0.5)&lt;0.01, ISNUMBER(SEARCH("Var", D74))), 1, 0)</f>
        <v/>
      </c>
      <c r="R74" s="171">
        <f>IF(F74&gt;0, J74, 1000000000)</f>
        <v/>
      </c>
      <c r="S74" s="101">
        <f>IF(AND(F74&lt;=DASHBOARD!$B$11, H74&gt;=DASHBOARD!$B$13), G74, -1000000000000)</f>
        <v/>
      </c>
      <c r="T74" s="101">
        <f>IF(AND(F74&lt;=DASHBOARD!$B$11, H74&gt;=DASHBOARD!$B$13), R74, 1000000000000)</f>
        <v/>
      </c>
      <c r="U74" s="101">
        <f>IF(AND(F74&lt;=DASHBOARD!$B$11, H74&gt;=DASHBOARD!$B$13), N74, -1000000000000)</f>
        <v/>
      </c>
      <c r="V74" s="101">
        <f>IF(AND(F74&lt;=DASHBOARD!$B$11, H74&gt;=DASHBOARD!$B$13), H74, -1000000000000)</f>
        <v/>
      </c>
      <c r="W74" s="101">
        <f>IF(AND(F74&lt;=DASHBOARD!$B$11, H74&gt;=DASHBOARD!$B$13), K74, -1000000000000)</f>
        <v/>
      </c>
      <c r="X74" s="101">
        <f>IF(AND(F74&lt;=DASHBOARD!$B$11, H74&gt;=DASHBOARD!$B$13), M74, 1000000000000)</f>
        <v/>
      </c>
      <c r="Y74" s="101">
        <f>IF(AND(F74&lt;=DASHBOARD!$B$10, H74&gt;=DASHBOARD!$B$11), L74, 1000000000000)</f>
        <v/>
      </c>
      <c r="Z74" s="101">
        <f>IF(AND(F74&lt;=DASHBOARD!$B$10, H74&gt;=DASHBOARD!$B$11), O74, 1000000000000)</f>
        <v/>
      </c>
      <c r="AA74" s="101">
        <f>IF(AND(F74&lt;=DASHBOARD!$B$10, H74&gt;=DASHBOARD!$B$11), P74, 1000000000000)</f>
        <v/>
      </c>
      <c r="AB74" s="101">
        <f>IF(AND(F74&lt;=DASHBOARD!$B$10, H74&gt;=DASHBOARD!$B$11), Q74, -1000000000000)</f>
        <v/>
      </c>
    </row>
    <row r="75" ht="12.75" customHeight="1" s="102">
      <c r="A75" s="166" t="n">
        <v>71</v>
      </c>
      <c r="B75" s="167" t="n">
        <v>0.1</v>
      </c>
      <c r="C75" s="167" t="n">
        <v>1.4</v>
      </c>
      <c r="D75" s="110" t="inlineStr">
        <is>
          <t>Yok (%0)</t>
        </is>
      </c>
      <c r="E75" s="110">
        <f>IF((B75+C75)&lt;=1, "Tam Mahsuplaşma (≤%100)", "Kısmi Satış (&gt;%100)")</f>
        <v/>
      </c>
      <c r="F75" s="168">
        <f>((VERI_TABANI!$D$29*B75/VERI_TABANI!$B$29)/VERI_TABANI!$B$3)*VERI_TABANI!$B$5 + ((VERI_TABANI!$D$29*C75/VERI_TABANI!$B$29)/VERI_TABANI!$B$4)*VERI_TABANI!$B$6 + IF(ISNUMBER(SEARCH("Var", D75)), (VERI_TABANI!$F$29/VERI_TABANI!$B$29)*(VERI_TABANI!$B$10+VERI_TABANI!$B$12), 0)</f>
        <v/>
      </c>
      <c r="G75" s="168">
        <f>(((MIN(VERI_TABANI!D23, VERI_TABANI!D23*B75)*VERI_TABANI!$B$7 + MAX(0, VERI_TABANI!D23*B75-VERI_TABANI!D23)*VERI_TABANI!$B$8) + (MIN(MAX(0, VERI_TABANI!D23-VERI_TABANI!D23*B75), VERI_TABANI!D23*C75)*VERI_TABANI!$B$7 + MAX(0, VERI_TABANI!D23*C75-MAX(0, VERI_TABANI!D23-VERI_TABANI!D23*B75))*VERI_TABANI!$B$8) + IF(ABS(IF(ISNUMBER(SEARCH("Var", D75)), 1, IF(ISNUMBER(SEARCH("Gri", D75)), -1, 0)))=1, VERI_TABANI!E23*(1-0.928)*VERI_TABANI!$B$9, 0) + (VERI_TABANI!D23*B75*(VERI_TABANI!$B$13-VERI_TABANI!$B$14)*VERI_TABANI!G23) + (VERI_TABANI!D23*C75*(VERI_TABANI!$B$13-VERI_TABANI!$B$15)*VERI_TABANI!G23) + IF(ABS(IF(ISNUMBER(SEARCH("Var", D75)), 1, IF(ISNUMBER(SEARCH("Gri", D75)), -1, 0)))=1, VERI_TABANI!E23*(1-0.928)*0.00206091519919798*VERI_TABANI!G23, 0)) + ((MIN(VERI_TABANI!D24, VERI_TABANI!D24*B75)*VERI_TABANI!$B$7 + MAX(0, VERI_TABANI!D24*B75-VERI_TABANI!D24)*VERI_TABANI!$B$8) + (MIN(MAX(0, VERI_TABANI!D24-VERI_TABANI!D24*B75), VERI_TABANI!D24*C75)*VERI_TABANI!$B$7 + MAX(0, VERI_TABANI!D24*C75-MAX(0, VERI_TABANI!D24-VERI_TABANI!D24*B75))*VERI_TABANI!$B$8) + IF(ABS(IF(ISNUMBER(SEARCH("Var", D75)), 1, IF(ISNUMBER(SEARCH("Gri", D75)), -1, 0)))=1, VERI_TABANI!E24*(1-0.928)*VERI_TABANI!$B$9, 0) + (VERI_TABANI!D24*B75*(VERI_TABANI!$B$13-VERI_TABANI!$B$14)*VERI_TABANI!G24) + (VERI_TABANI!D24*C75*(VERI_TABANI!$B$13-VERI_TABANI!$B$15)*VERI_TABANI!G24) + IF(ABS(IF(ISNUMBER(SEARCH("Var", D75)), 1, IF(ISNUMBER(SEARCH("Gri", D75)), -1, 0)))=1, VERI_TABANI!E24*(1-0.928)*0.00206091519919798*VERI_TABANI!G24, 0)) + ((MIN(VERI_TABANI!D25, VERI_TABANI!D25*B75)*VERI_TABANI!$B$7 + MAX(0, VERI_TABANI!D25*B75-VERI_TABANI!D25)*VERI_TABANI!$B$8) + (MIN(MAX(0, VERI_TABANI!D25-VERI_TABANI!D25*B75), VERI_TABANI!D25*C75)*VERI_TABANI!$B$7 + MAX(0, VERI_TABANI!D25*C75-MAX(0, VERI_TABANI!D25-VERI_TABANI!D25*B75))*VERI_TABANI!$B$8) + IF(ABS(IF(ISNUMBER(SEARCH("Var", D75)), 1, IF(ISNUMBER(SEARCH("Gri", D75)), -1, 0)))=1, VERI_TABANI!E25*(1-0.928)*VERI_TABANI!$B$9, 0) + (VERI_TABANI!D25*B75*(VERI_TABANI!$B$13-VERI_TABANI!$B$14)*VERI_TABANI!G25) + (VERI_TABANI!D25*C75*(VERI_TABANI!$B$13-VERI_TABANI!$B$15)*VERI_TABANI!G25) + IF(ABS(IF(ISNUMBER(SEARCH("Var", D75)), 1, IF(ISNUMBER(SEARCH("Gri", D75)), -1, 0)))=1, VERI_TABANI!E25*(1-0.928)*0.00206091519919798*VERI_TABANI!G25, 0)) + ((MIN(VERI_TABANI!D26, VERI_TABANI!D26*B75)*VERI_TABANI!$B$7 + MAX(0, VERI_TABANI!D26*B75-VERI_TABANI!D26)*VERI_TABANI!$B$8) + (MIN(MAX(0, VERI_TABANI!D26-VERI_TABANI!D26*B75), VERI_TABANI!D26*C75)*VERI_TABANI!$B$7 + MAX(0, VERI_TABANI!D26*C75-MAX(0, VERI_TABANI!D26-VERI_TABANI!D26*B75))*VERI_TABANI!$B$8) + IF(ABS(IF(ISNUMBER(SEARCH("Var", D75)), 1, IF(ISNUMBER(SEARCH("Gri", D75)), -1, 0)))=1, VERI_TABANI!E26*(1-0.928)*VERI_TABANI!$B$9, 0) + (VERI_TABANI!D26*B75*(VERI_TABANI!$B$13-VERI_TABANI!$B$14)*VERI_TABANI!G26) + (VERI_TABANI!D26*C75*(VERI_TABANI!$B$13-VERI_TABANI!$B$15)*VERI_TABANI!G26) + IF(ABS(IF(ISNUMBER(SEARCH("Var", D75)), 1, IF(ISNUMBER(SEARCH("Gri", D75)), -1, 0)))=1, VERI_TABANI!E26*(1-0.928)*0.00206091519919798*VERI_TABANI!G26, 0)) + ((MIN(VERI_TABANI!D27, VERI_TABANI!D27*B75)*VERI_TABANI!$B$7 + MAX(0, VERI_TABANI!D27*B75-VERI_TABANI!D27)*VERI_TABANI!$B$8) + (MIN(MAX(0, VERI_TABANI!D27-VERI_TABANI!D27*B75), VERI_TABANI!D27*C75)*VERI_TABANI!$B$7 + MAX(0, VERI_TABANI!D27*C75-MAX(0, VERI_TABANI!D27-VERI_TABANI!D27*B75))*VERI_TABANI!$B$8) + IF(ABS(IF(ISNUMBER(SEARCH("Var", D75)), 1, IF(ISNUMBER(SEARCH("Gri", D75)), -1, 0)))=1, VERI_TABANI!E27*(1-0.928)*VERI_TABANI!$B$9, 0) + (VERI_TABANI!D27*B75*(VERI_TABANI!$B$13-VERI_TABANI!$B$14)*VERI_TABANI!G27) + (VERI_TABANI!D27*C75*(VERI_TABANI!$B$13-VERI_TABANI!$B$15)*VERI_TABANI!G27) + IF(ABS(IF(ISNUMBER(SEARCH("Var", D75)), 1, IF(ISNUMBER(SEARCH("Gri", D75)), -1, 0)))=1, VERI_TABANI!E27*(1-0.928)*0.00206091519919798*VERI_TABANI!G27, 0)) + ((MIN(VERI_TABANI!D28, VERI_TABANI!D28*B75)*VERI_TABANI!$B$7 + MAX(0, VERI_TABANI!D28*B75-VERI_TABANI!D28)*VERI_TABANI!$B$8) + (MIN(MAX(0, VERI_TABANI!D28-VERI_TABANI!D28*B75), VERI_TABANI!D28*C75)*VERI_TABANI!$B$7 + MAX(0, VERI_TABANI!D28*C75-MAX(0, VERI_TABANI!D28-VERI_TABANI!D28*B75))*VERI_TABANI!$B$8) + IF(ABS(IF(ISNUMBER(SEARCH("Var", D75)), 1, IF(ISNUMBER(SEARCH("Gri", D75)), -1, 0)))=1, VERI_TABANI!E28*(1-0.928)*VERI_TABANI!$B$9, 0) + (VERI_TABANI!D28*B75*(VERI_TABANI!$B$13-VERI_TABANI!$B$14)*VERI_TABANI!G28) + (VERI_TABANI!D28*C75*(VERI_TABANI!$B$13-VERI_TABANI!$B$15)*VERI_TABANI!G28) + IF(ABS(IF(ISNUMBER(SEARCH("Var", D75)), 1, IF(ISNUMBER(SEARCH("Gri", D75)), -1, 0)))=1, VERI_TABANI!E28*(1-0.928)*0.00206091519919798*VERI_TABANI!G28, 0)))</f>
        <v/>
      </c>
      <c r="H75" s="169">
        <f>(((VERI_TABANI!D23*B75*(VERI_TABANI!$B$13-VERI_TABANI!$B$14)) + (VERI_TABANI!D23*C75*(VERI_TABANI!$B$13-VERI_TABANI!$B$15)) + IF(ISNUMBER(SEARCH("Var", D75)), VERI_TABANI!F23*(0.00202-VERI_TABANI!$B$16), IF(ISNUMBER(SEARCH("Gri", D75)), VERI_TABANI!F23*(0.00202-VERI_TABANI!$B$17), 0))) + ((VERI_TABANI!D24*B75*(VERI_TABANI!$B$13-VERI_TABANI!$B$14)) + (VERI_TABANI!D24*C75*(VERI_TABANI!$B$13-VERI_TABANI!$B$15)) + IF(ISNUMBER(SEARCH("Var", D75)), VERI_TABANI!F24*(0.00202-VERI_TABANI!$B$16), IF(ISNUMBER(SEARCH("Gri", D75)), VERI_TABANI!F24*(0.00202-VERI_TABANI!$B$17), 0))) + ((VERI_TABANI!D25*B75*(VERI_TABANI!$B$13-VERI_TABANI!$B$14)) + (VERI_TABANI!D25*C75*(VERI_TABANI!$B$13-VERI_TABANI!$B$15)) + IF(ISNUMBER(SEARCH("Var", D75)), VERI_TABANI!F25*(0.00202-VERI_TABANI!$B$16), IF(ISNUMBER(SEARCH("Gri", D75)), VERI_TABANI!F25*(0.00202-VERI_TABANI!$B$17), 0))) + ((VERI_TABANI!D26*B75*(VERI_TABANI!$B$13-VERI_TABANI!$B$14)) + (VERI_TABANI!D26*C75*(VERI_TABANI!$B$13-VERI_TABANI!$B$15)) + IF(ISNUMBER(SEARCH("Var", D75)), VERI_TABANI!F26*(0.00202-VERI_TABANI!$B$16), IF(ISNUMBER(SEARCH("Gri", D75)), VERI_TABANI!F26*(0.00202-VERI_TABANI!$B$17), 0))) + ((VERI_TABANI!D27*B75*(VERI_TABANI!$B$13-VERI_TABANI!$B$14)) + (VERI_TABANI!D27*C75*(VERI_TABANI!$B$13-VERI_TABANI!$B$15)) + IF(ISNUMBER(SEARCH("Var", D75)), VERI_TABANI!F27*(0.00202-VERI_TABANI!$B$16), IF(ISNUMBER(SEARCH("Gri", D75)), VERI_TABANI!F27*(0.00202-VERI_TABANI!$B$17), 0))) + ((VERI_TABANI!D28*B75*(VERI_TABANI!$B$13-VERI_TABANI!$B$14)) + (VERI_TABANI!D28*C75*(VERI_TABANI!$B$13-VERI_TABANI!$B$15)) + IF(ISNUMBER(SEARCH("Var", D75)), VERI_TABANI!F28*(0.00202-VERI_TABANI!$B$16), IF(ISNUMBER(SEARCH("Gri", D75)), VERI_TABANI!F28*(0.00202-VERI_TABANI!$B$17), 0))))</f>
        <v/>
      </c>
      <c r="I75" s="170">
        <f>IFERROR(((VERI_TABANI!$D$29*B75*VERI_TABANI!$B$14 + VERI_TABANI!$D$29*C75*VERI_TABANI!$B$15 + IF(ISNUMBER(SEARCH("Var", D75)), VERI_TABANI!$F$29*VERI_TABANI!$B$16, 0))) / (((VERI_TABANI!$D$29*B75 + VERI_TABANI!$D$29*C75)*VERI_TABANI!$B$13 + IF(ISNUMBER(SEARCH("Var", D75)), VERI_TABANI!$E$29*(1-0.928)*VERI_TABANI!$B$18, 0))), 0)</f>
        <v/>
      </c>
      <c r="J75" s="171">
        <f>IFERROR(F75/(G75/29), 0)</f>
        <v/>
      </c>
      <c r="K75" s="172">
        <f>IF(F75&gt;0, H75/F75, 0)</f>
        <v/>
      </c>
      <c r="L75" s="170">
        <f>IF(F75&gt;0, I75, 1000000000)</f>
        <v/>
      </c>
      <c r="M75" s="171">
        <f>ABS((B75+C75)-1)</f>
        <v/>
      </c>
      <c r="N75" s="170">
        <f>IF(F75&gt;0, (G75/29)/F75, 0)</f>
        <v/>
      </c>
      <c r="O75" s="168">
        <f>IF(AND((B75+C75)&gt;=1, ISNUMBER(SEARCH("Var", D75))), F75, 1000000000)</f>
        <v/>
      </c>
      <c r="P75" s="172">
        <f>IF(F75&gt;0, SQRT((F75/MAX(F$5:F$886))^2 + (1 - H75/MAX(H$5:H$886))^2 + (J75/MAX(J$5:J$886))^2), 1000000000)</f>
        <v/>
      </c>
      <c r="Q75" s="166">
        <f>IF(AND(ABS(B75-0.5)&lt;0.01, ABS(C75-0.5)&lt;0.01, ISNUMBER(SEARCH("Var", D75))), 1, 0)</f>
        <v/>
      </c>
      <c r="R75" s="171">
        <f>IF(F75&gt;0, J75, 1000000000)</f>
        <v/>
      </c>
      <c r="S75" s="101">
        <f>IF(AND(F75&lt;=DASHBOARD!$B$11, H75&gt;=DASHBOARD!$B$13), G75, -1000000000000)</f>
        <v/>
      </c>
      <c r="T75" s="101">
        <f>IF(AND(F75&lt;=DASHBOARD!$B$11, H75&gt;=DASHBOARD!$B$13), R75, 1000000000000)</f>
        <v/>
      </c>
      <c r="U75" s="101">
        <f>IF(AND(F75&lt;=DASHBOARD!$B$11, H75&gt;=DASHBOARD!$B$13), N75, -1000000000000)</f>
        <v/>
      </c>
      <c r="V75" s="101">
        <f>IF(AND(F75&lt;=DASHBOARD!$B$11, H75&gt;=DASHBOARD!$B$13), H75, -1000000000000)</f>
        <v/>
      </c>
      <c r="W75" s="101">
        <f>IF(AND(F75&lt;=DASHBOARD!$B$11, H75&gt;=DASHBOARD!$B$13), K75, -1000000000000)</f>
        <v/>
      </c>
      <c r="X75" s="101">
        <f>IF(AND(F75&lt;=DASHBOARD!$B$11, H75&gt;=DASHBOARD!$B$13), M75, 1000000000000)</f>
        <v/>
      </c>
      <c r="Y75" s="101">
        <f>IF(AND(F75&lt;=DASHBOARD!$B$10, H75&gt;=DASHBOARD!$B$11), L75, 1000000000000)</f>
        <v/>
      </c>
      <c r="Z75" s="101">
        <f>IF(AND(F75&lt;=DASHBOARD!$B$10, H75&gt;=DASHBOARD!$B$11), O75, 1000000000000)</f>
        <v/>
      </c>
      <c r="AA75" s="101">
        <f>IF(AND(F75&lt;=DASHBOARD!$B$10, H75&gt;=DASHBOARD!$B$11), P75, 1000000000000)</f>
        <v/>
      </c>
      <c r="AB75" s="101">
        <f>IF(AND(F75&lt;=DASHBOARD!$B$10, H75&gt;=DASHBOARD!$B$11), Q75, -1000000000000)</f>
        <v/>
      </c>
    </row>
    <row r="76" ht="12.75" customHeight="1" s="102">
      <c r="A76" s="166" t="n">
        <v>72</v>
      </c>
      <c r="B76" s="167" t="n">
        <v>0.1</v>
      </c>
      <c r="C76" s="167" t="n">
        <v>1.4</v>
      </c>
      <c r="D76" s="110" t="inlineStr">
        <is>
          <t>Var (%20)</t>
        </is>
      </c>
      <c r="E76" s="110">
        <f>IF((B76+C76)&lt;=1, "Tam Mahsuplaşma (≤%100)", "Kısmi Satış (&gt;%100)")</f>
        <v/>
      </c>
      <c r="F76" s="168">
        <f>((VERI_TABANI!$D$29*B76/VERI_TABANI!$B$29)/VERI_TABANI!$B$3)*VERI_TABANI!$B$5 + ((VERI_TABANI!$D$29*C76/VERI_TABANI!$B$29)/VERI_TABANI!$B$4)*VERI_TABANI!$B$6 + IF(ISNUMBER(SEARCH("Var", D76)), (VERI_TABANI!$F$29/VERI_TABANI!$B$29)*(VERI_TABANI!$B$10+VERI_TABANI!$B$12), 0)</f>
        <v/>
      </c>
      <c r="G76" s="168">
        <f>(((MIN(VERI_TABANI!D23, VERI_TABANI!D23*B76)*VERI_TABANI!$B$7 + MAX(0, VERI_TABANI!D23*B76-VERI_TABANI!D23)*VERI_TABANI!$B$8) + (MIN(MAX(0, VERI_TABANI!D23-VERI_TABANI!D23*B76), VERI_TABANI!D23*C76)*VERI_TABANI!$B$7 + MAX(0, VERI_TABANI!D23*C76-MAX(0, VERI_TABANI!D23-VERI_TABANI!D23*B76))*VERI_TABANI!$B$8) + IF(ABS(IF(ISNUMBER(SEARCH("Var", D76)), 1, IF(ISNUMBER(SEARCH("Gri", D76)), -1, 0)))=1, VERI_TABANI!E23*(1-0.928)*VERI_TABANI!$B$9, 0) + (VERI_TABANI!D23*B76*(VERI_TABANI!$B$13-VERI_TABANI!$B$14)*VERI_TABANI!G23) + (VERI_TABANI!D23*C76*(VERI_TABANI!$B$13-VERI_TABANI!$B$15)*VERI_TABANI!G23) + IF(ABS(IF(ISNUMBER(SEARCH("Var", D76)), 1, IF(ISNUMBER(SEARCH("Gri", D76)), -1, 0)))=1, VERI_TABANI!E23*(1-0.928)*0.00206091519919798*VERI_TABANI!G23, 0)) + ((MIN(VERI_TABANI!D24, VERI_TABANI!D24*B76)*VERI_TABANI!$B$7 + MAX(0, VERI_TABANI!D24*B76-VERI_TABANI!D24)*VERI_TABANI!$B$8) + (MIN(MAX(0, VERI_TABANI!D24-VERI_TABANI!D24*B76), VERI_TABANI!D24*C76)*VERI_TABANI!$B$7 + MAX(0, VERI_TABANI!D24*C76-MAX(0, VERI_TABANI!D24-VERI_TABANI!D24*B76))*VERI_TABANI!$B$8) + IF(ABS(IF(ISNUMBER(SEARCH("Var", D76)), 1, IF(ISNUMBER(SEARCH("Gri", D76)), -1, 0)))=1, VERI_TABANI!E24*(1-0.928)*VERI_TABANI!$B$9, 0) + (VERI_TABANI!D24*B76*(VERI_TABANI!$B$13-VERI_TABANI!$B$14)*VERI_TABANI!G24) + (VERI_TABANI!D24*C76*(VERI_TABANI!$B$13-VERI_TABANI!$B$15)*VERI_TABANI!G24) + IF(ABS(IF(ISNUMBER(SEARCH("Var", D76)), 1, IF(ISNUMBER(SEARCH("Gri", D76)), -1, 0)))=1, VERI_TABANI!E24*(1-0.928)*0.00206091519919798*VERI_TABANI!G24, 0)) + ((MIN(VERI_TABANI!D25, VERI_TABANI!D25*B76)*VERI_TABANI!$B$7 + MAX(0, VERI_TABANI!D25*B76-VERI_TABANI!D25)*VERI_TABANI!$B$8) + (MIN(MAX(0, VERI_TABANI!D25-VERI_TABANI!D25*B76), VERI_TABANI!D25*C76)*VERI_TABANI!$B$7 + MAX(0, VERI_TABANI!D25*C76-MAX(0, VERI_TABANI!D25-VERI_TABANI!D25*B76))*VERI_TABANI!$B$8) + IF(ABS(IF(ISNUMBER(SEARCH("Var", D76)), 1, IF(ISNUMBER(SEARCH("Gri", D76)), -1, 0)))=1, VERI_TABANI!E25*(1-0.928)*VERI_TABANI!$B$9, 0) + (VERI_TABANI!D25*B76*(VERI_TABANI!$B$13-VERI_TABANI!$B$14)*VERI_TABANI!G25) + (VERI_TABANI!D25*C76*(VERI_TABANI!$B$13-VERI_TABANI!$B$15)*VERI_TABANI!G25) + IF(ABS(IF(ISNUMBER(SEARCH("Var", D76)), 1, IF(ISNUMBER(SEARCH("Gri", D76)), -1, 0)))=1, VERI_TABANI!E25*(1-0.928)*0.00206091519919798*VERI_TABANI!G25, 0)) + ((MIN(VERI_TABANI!D26, VERI_TABANI!D26*B76)*VERI_TABANI!$B$7 + MAX(0, VERI_TABANI!D26*B76-VERI_TABANI!D26)*VERI_TABANI!$B$8) + (MIN(MAX(0, VERI_TABANI!D26-VERI_TABANI!D26*B76), VERI_TABANI!D26*C76)*VERI_TABANI!$B$7 + MAX(0, VERI_TABANI!D26*C76-MAX(0, VERI_TABANI!D26-VERI_TABANI!D26*B76))*VERI_TABANI!$B$8) + IF(ABS(IF(ISNUMBER(SEARCH("Var", D76)), 1, IF(ISNUMBER(SEARCH("Gri", D76)), -1, 0)))=1, VERI_TABANI!E26*(1-0.928)*VERI_TABANI!$B$9, 0) + (VERI_TABANI!D26*B76*(VERI_TABANI!$B$13-VERI_TABANI!$B$14)*VERI_TABANI!G26) + (VERI_TABANI!D26*C76*(VERI_TABANI!$B$13-VERI_TABANI!$B$15)*VERI_TABANI!G26) + IF(ABS(IF(ISNUMBER(SEARCH("Var", D76)), 1, IF(ISNUMBER(SEARCH("Gri", D76)), -1, 0)))=1, VERI_TABANI!E26*(1-0.928)*0.00206091519919798*VERI_TABANI!G26, 0)) + ((MIN(VERI_TABANI!D27, VERI_TABANI!D27*B76)*VERI_TABANI!$B$7 + MAX(0, VERI_TABANI!D27*B76-VERI_TABANI!D27)*VERI_TABANI!$B$8) + (MIN(MAX(0, VERI_TABANI!D27-VERI_TABANI!D27*B76), VERI_TABANI!D27*C76)*VERI_TABANI!$B$7 + MAX(0, VERI_TABANI!D27*C76-MAX(0, VERI_TABANI!D27-VERI_TABANI!D27*B76))*VERI_TABANI!$B$8) + IF(ABS(IF(ISNUMBER(SEARCH("Var", D76)), 1, IF(ISNUMBER(SEARCH("Gri", D76)), -1, 0)))=1, VERI_TABANI!E27*(1-0.928)*VERI_TABANI!$B$9, 0) + (VERI_TABANI!D27*B76*(VERI_TABANI!$B$13-VERI_TABANI!$B$14)*VERI_TABANI!G27) + (VERI_TABANI!D27*C76*(VERI_TABANI!$B$13-VERI_TABANI!$B$15)*VERI_TABANI!G27) + IF(ABS(IF(ISNUMBER(SEARCH("Var", D76)), 1, IF(ISNUMBER(SEARCH("Gri", D76)), -1, 0)))=1, VERI_TABANI!E27*(1-0.928)*0.00206091519919798*VERI_TABANI!G27, 0)) + ((MIN(VERI_TABANI!D28, VERI_TABANI!D28*B76)*VERI_TABANI!$B$7 + MAX(0, VERI_TABANI!D28*B76-VERI_TABANI!D28)*VERI_TABANI!$B$8) + (MIN(MAX(0, VERI_TABANI!D28-VERI_TABANI!D28*B76), VERI_TABANI!D28*C76)*VERI_TABANI!$B$7 + MAX(0, VERI_TABANI!D28*C76-MAX(0, VERI_TABANI!D28-VERI_TABANI!D28*B76))*VERI_TABANI!$B$8) + IF(ABS(IF(ISNUMBER(SEARCH("Var", D76)), 1, IF(ISNUMBER(SEARCH("Gri", D76)), -1, 0)))=1, VERI_TABANI!E28*(1-0.928)*VERI_TABANI!$B$9, 0) + (VERI_TABANI!D28*B76*(VERI_TABANI!$B$13-VERI_TABANI!$B$14)*VERI_TABANI!G28) + (VERI_TABANI!D28*C76*(VERI_TABANI!$B$13-VERI_TABANI!$B$15)*VERI_TABANI!G28) + IF(ABS(IF(ISNUMBER(SEARCH("Var", D76)), 1, IF(ISNUMBER(SEARCH("Gri", D76)), -1, 0)))=1, VERI_TABANI!E28*(1-0.928)*0.00206091519919798*VERI_TABANI!G28, 0)))</f>
        <v/>
      </c>
      <c r="H76" s="169">
        <f>(((VERI_TABANI!D23*B76*(VERI_TABANI!$B$13-VERI_TABANI!$B$14)) + (VERI_TABANI!D23*C76*(VERI_TABANI!$B$13-VERI_TABANI!$B$15)) + IF(ISNUMBER(SEARCH("Var", D76)), VERI_TABANI!F23*(0.00202-VERI_TABANI!$B$16), IF(ISNUMBER(SEARCH("Gri", D76)), VERI_TABANI!F23*(0.00202-VERI_TABANI!$B$17), 0))) + ((VERI_TABANI!D24*B76*(VERI_TABANI!$B$13-VERI_TABANI!$B$14)) + (VERI_TABANI!D24*C76*(VERI_TABANI!$B$13-VERI_TABANI!$B$15)) + IF(ISNUMBER(SEARCH("Var", D76)), VERI_TABANI!F24*(0.00202-VERI_TABANI!$B$16), IF(ISNUMBER(SEARCH("Gri", D76)), VERI_TABANI!F24*(0.00202-VERI_TABANI!$B$17), 0))) + ((VERI_TABANI!D25*B76*(VERI_TABANI!$B$13-VERI_TABANI!$B$14)) + (VERI_TABANI!D25*C76*(VERI_TABANI!$B$13-VERI_TABANI!$B$15)) + IF(ISNUMBER(SEARCH("Var", D76)), VERI_TABANI!F25*(0.00202-VERI_TABANI!$B$16), IF(ISNUMBER(SEARCH("Gri", D76)), VERI_TABANI!F25*(0.00202-VERI_TABANI!$B$17), 0))) + ((VERI_TABANI!D26*B76*(VERI_TABANI!$B$13-VERI_TABANI!$B$14)) + (VERI_TABANI!D26*C76*(VERI_TABANI!$B$13-VERI_TABANI!$B$15)) + IF(ISNUMBER(SEARCH("Var", D76)), VERI_TABANI!F26*(0.00202-VERI_TABANI!$B$16), IF(ISNUMBER(SEARCH("Gri", D76)), VERI_TABANI!F26*(0.00202-VERI_TABANI!$B$17), 0))) + ((VERI_TABANI!D27*B76*(VERI_TABANI!$B$13-VERI_TABANI!$B$14)) + (VERI_TABANI!D27*C76*(VERI_TABANI!$B$13-VERI_TABANI!$B$15)) + IF(ISNUMBER(SEARCH("Var", D76)), VERI_TABANI!F27*(0.00202-VERI_TABANI!$B$16), IF(ISNUMBER(SEARCH("Gri", D76)), VERI_TABANI!F27*(0.00202-VERI_TABANI!$B$17), 0))) + ((VERI_TABANI!D28*B76*(VERI_TABANI!$B$13-VERI_TABANI!$B$14)) + (VERI_TABANI!D28*C76*(VERI_TABANI!$B$13-VERI_TABANI!$B$15)) + IF(ISNUMBER(SEARCH("Var", D76)), VERI_TABANI!F28*(0.00202-VERI_TABANI!$B$16), IF(ISNUMBER(SEARCH("Gri", D76)), VERI_TABANI!F28*(0.00202-VERI_TABANI!$B$17), 0))))</f>
        <v/>
      </c>
      <c r="I76" s="170">
        <f>IFERROR(((VERI_TABANI!$D$29*B76*VERI_TABANI!$B$14 + VERI_TABANI!$D$29*C76*VERI_TABANI!$B$15 + IF(ISNUMBER(SEARCH("Var", D76)), VERI_TABANI!$F$29*VERI_TABANI!$B$16, 0))) / (((VERI_TABANI!$D$29*B76 + VERI_TABANI!$D$29*C76)*VERI_TABANI!$B$13 + IF(ISNUMBER(SEARCH("Var", D76)), VERI_TABANI!$E$29*(1-0.928)*VERI_TABANI!$B$18, 0))), 0)</f>
        <v/>
      </c>
      <c r="J76" s="171">
        <f>IFERROR(F76/(G76/29), 0)</f>
        <v/>
      </c>
      <c r="K76" s="172">
        <f>IF(F76&gt;0, H76/F76, 0)</f>
        <v/>
      </c>
      <c r="L76" s="170">
        <f>IF(F76&gt;0, I76, 1000000000)</f>
        <v/>
      </c>
      <c r="M76" s="171">
        <f>ABS((B76+C76)-1)</f>
        <v/>
      </c>
      <c r="N76" s="170">
        <f>IF(F76&gt;0, (G76/29)/F76, 0)</f>
        <v/>
      </c>
      <c r="O76" s="168">
        <f>IF(AND((B76+C76)&gt;=1, ISNUMBER(SEARCH("Var", D76))), F76, 1000000000)</f>
        <v/>
      </c>
      <c r="P76" s="172">
        <f>IF(F76&gt;0, SQRT((F76/MAX(F$5:F$886))^2 + (1 - H76/MAX(H$5:H$886))^2 + (J76/MAX(J$5:J$886))^2), 1000000000)</f>
        <v/>
      </c>
      <c r="Q76" s="166">
        <f>IF(AND(ABS(B76-0.5)&lt;0.01, ABS(C76-0.5)&lt;0.01, ISNUMBER(SEARCH("Var", D76))), 1, 0)</f>
        <v/>
      </c>
      <c r="R76" s="171">
        <f>IF(F76&gt;0, J76, 1000000000)</f>
        <v/>
      </c>
      <c r="S76" s="101">
        <f>IF(AND(F76&lt;=DASHBOARD!$B$11, H76&gt;=DASHBOARD!$B$13), G76, -1000000000000)</f>
        <v/>
      </c>
      <c r="T76" s="101">
        <f>IF(AND(F76&lt;=DASHBOARD!$B$11, H76&gt;=DASHBOARD!$B$13), R76, 1000000000000)</f>
        <v/>
      </c>
      <c r="U76" s="101">
        <f>IF(AND(F76&lt;=DASHBOARD!$B$11, H76&gt;=DASHBOARD!$B$13), N76, -1000000000000)</f>
        <v/>
      </c>
      <c r="V76" s="101">
        <f>IF(AND(F76&lt;=DASHBOARD!$B$11, H76&gt;=DASHBOARD!$B$13), H76, -1000000000000)</f>
        <v/>
      </c>
      <c r="W76" s="101">
        <f>IF(AND(F76&lt;=DASHBOARD!$B$11, H76&gt;=DASHBOARD!$B$13), K76, -1000000000000)</f>
        <v/>
      </c>
      <c r="X76" s="101">
        <f>IF(AND(F76&lt;=DASHBOARD!$B$11, H76&gt;=DASHBOARD!$B$13), M76, 1000000000000)</f>
        <v/>
      </c>
      <c r="Y76" s="101">
        <f>IF(AND(F76&lt;=DASHBOARD!$B$10, H76&gt;=DASHBOARD!$B$11), L76, 1000000000000)</f>
        <v/>
      </c>
      <c r="Z76" s="101">
        <f>IF(AND(F76&lt;=DASHBOARD!$B$10, H76&gt;=DASHBOARD!$B$11), O76, 1000000000000)</f>
        <v/>
      </c>
      <c r="AA76" s="101">
        <f>IF(AND(F76&lt;=DASHBOARD!$B$10, H76&gt;=DASHBOARD!$B$11), P76, 1000000000000)</f>
        <v/>
      </c>
      <c r="AB76" s="101">
        <f>IF(AND(F76&lt;=DASHBOARD!$B$10, H76&gt;=DASHBOARD!$B$11), Q76, -1000000000000)</f>
        <v/>
      </c>
    </row>
    <row r="77" ht="12.75" customHeight="1" s="102">
      <c r="A77" s="166" t="n">
        <v>73</v>
      </c>
      <c r="B77" s="167" t="n">
        <v>0.1</v>
      </c>
      <c r="C77" s="167" t="n">
        <v>1.5</v>
      </c>
      <c r="D77" s="110" t="inlineStr">
        <is>
          <t>Yok (%0)</t>
        </is>
      </c>
      <c r="E77" s="110">
        <f>IF((B77+C77)&lt;=1, "Tam Mahsuplaşma (≤%100)", "Kısmi Satış (&gt;%100)")</f>
        <v/>
      </c>
      <c r="F77" s="168">
        <f>((VERI_TABANI!$D$29*B77/VERI_TABANI!$B$29)/VERI_TABANI!$B$3)*VERI_TABANI!$B$5 + ((VERI_TABANI!$D$29*C77/VERI_TABANI!$B$29)/VERI_TABANI!$B$4)*VERI_TABANI!$B$6 + IF(ISNUMBER(SEARCH("Var", D77)), (VERI_TABANI!$F$29/VERI_TABANI!$B$29)*(VERI_TABANI!$B$10+VERI_TABANI!$B$12), 0)</f>
        <v/>
      </c>
      <c r="G77" s="168">
        <f>(((MIN(VERI_TABANI!D23, VERI_TABANI!D23*B77)*VERI_TABANI!$B$7 + MAX(0, VERI_TABANI!D23*B77-VERI_TABANI!D23)*VERI_TABANI!$B$8) + (MIN(MAX(0, VERI_TABANI!D23-VERI_TABANI!D23*B77), VERI_TABANI!D23*C77)*VERI_TABANI!$B$7 + MAX(0, VERI_TABANI!D23*C77-MAX(0, VERI_TABANI!D23-VERI_TABANI!D23*B77))*VERI_TABANI!$B$8) + IF(ABS(IF(ISNUMBER(SEARCH("Var", D77)), 1, IF(ISNUMBER(SEARCH("Gri", D77)), -1, 0)))=1, VERI_TABANI!E23*(1-0.928)*VERI_TABANI!$B$9, 0) + (VERI_TABANI!D23*B77*(VERI_TABANI!$B$13-VERI_TABANI!$B$14)*VERI_TABANI!G23) + (VERI_TABANI!D23*C77*(VERI_TABANI!$B$13-VERI_TABANI!$B$15)*VERI_TABANI!G23) + IF(ABS(IF(ISNUMBER(SEARCH("Var", D77)), 1, IF(ISNUMBER(SEARCH("Gri", D77)), -1, 0)))=1, VERI_TABANI!E23*(1-0.928)*0.00206091519919798*VERI_TABANI!G23, 0)) + ((MIN(VERI_TABANI!D24, VERI_TABANI!D24*B77)*VERI_TABANI!$B$7 + MAX(0, VERI_TABANI!D24*B77-VERI_TABANI!D24)*VERI_TABANI!$B$8) + (MIN(MAX(0, VERI_TABANI!D24-VERI_TABANI!D24*B77), VERI_TABANI!D24*C77)*VERI_TABANI!$B$7 + MAX(0, VERI_TABANI!D24*C77-MAX(0, VERI_TABANI!D24-VERI_TABANI!D24*B77))*VERI_TABANI!$B$8) + IF(ABS(IF(ISNUMBER(SEARCH("Var", D77)), 1, IF(ISNUMBER(SEARCH("Gri", D77)), -1, 0)))=1, VERI_TABANI!E24*(1-0.928)*VERI_TABANI!$B$9, 0) + (VERI_TABANI!D24*B77*(VERI_TABANI!$B$13-VERI_TABANI!$B$14)*VERI_TABANI!G24) + (VERI_TABANI!D24*C77*(VERI_TABANI!$B$13-VERI_TABANI!$B$15)*VERI_TABANI!G24) + IF(ABS(IF(ISNUMBER(SEARCH("Var", D77)), 1, IF(ISNUMBER(SEARCH("Gri", D77)), -1, 0)))=1, VERI_TABANI!E24*(1-0.928)*0.00206091519919798*VERI_TABANI!G24, 0)) + ((MIN(VERI_TABANI!D25, VERI_TABANI!D25*B77)*VERI_TABANI!$B$7 + MAX(0, VERI_TABANI!D25*B77-VERI_TABANI!D25)*VERI_TABANI!$B$8) + (MIN(MAX(0, VERI_TABANI!D25-VERI_TABANI!D25*B77), VERI_TABANI!D25*C77)*VERI_TABANI!$B$7 + MAX(0, VERI_TABANI!D25*C77-MAX(0, VERI_TABANI!D25-VERI_TABANI!D25*B77))*VERI_TABANI!$B$8) + IF(ABS(IF(ISNUMBER(SEARCH("Var", D77)), 1, IF(ISNUMBER(SEARCH("Gri", D77)), -1, 0)))=1, VERI_TABANI!E25*(1-0.928)*VERI_TABANI!$B$9, 0) + (VERI_TABANI!D25*B77*(VERI_TABANI!$B$13-VERI_TABANI!$B$14)*VERI_TABANI!G25) + (VERI_TABANI!D25*C77*(VERI_TABANI!$B$13-VERI_TABANI!$B$15)*VERI_TABANI!G25) + IF(ABS(IF(ISNUMBER(SEARCH("Var", D77)), 1, IF(ISNUMBER(SEARCH("Gri", D77)), -1, 0)))=1, VERI_TABANI!E25*(1-0.928)*0.00206091519919798*VERI_TABANI!G25, 0)) + ((MIN(VERI_TABANI!D26, VERI_TABANI!D26*B77)*VERI_TABANI!$B$7 + MAX(0, VERI_TABANI!D26*B77-VERI_TABANI!D26)*VERI_TABANI!$B$8) + (MIN(MAX(0, VERI_TABANI!D26-VERI_TABANI!D26*B77), VERI_TABANI!D26*C77)*VERI_TABANI!$B$7 + MAX(0, VERI_TABANI!D26*C77-MAX(0, VERI_TABANI!D26-VERI_TABANI!D26*B77))*VERI_TABANI!$B$8) + IF(ABS(IF(ISNUMBER(SEARCH("Var", D77)), 1, IF(ISNUMBER(SEARCH("Gri", D77)), -1, 0)))=1, VERI_TABANI!E26*(1-0.928)*VERI_TABANI!$B$9, 0) + (VERI_TABANI!D26*B77*(VERI_TABANI!$B$13-VERI_TABANI!$B$14)*VERI_TABANI!G26) + (VERI_TABANI!D26*C77*(VERI_TABANI!$B$13-VERI_TABANI!$B$15)*VERI_TABANI!G26) + IF(ABS(IF(ISNUMBER(SEARCH("Var", D77)), 1, IF(ISNUMBER(SEARCH("Gri", D77)), -1, 0)))=1, VERI_TABANI!E26*(1-0.928)*0.00206091519919798*VERI_TABANI!G26, 0)) + ((MIN(VERI_TABANI!D27, VERI_TABANI!D27*B77)*VERI_TABANI!$B$7 + MAX(0, VERI_TABANI!D27*B77-VERI_TABANI!D27)*VERI_TABANI!$B$8) + (MIN(MAX(0, VERI_TABANI!D27-VERI_TABANI!D27*B77), VERI_TABANI!D27*C77)*VERI_TABANI!$B$7 + MAX(0, VERI_TABANI!D27*C77-MAX(0, VERI_TABANI!D27-VERI_TABANI!D27*B77))*VERI_TABANI!$B$8) + IF(ABS(IF(ISNUMBER(SEARCH("Var", D77)), 1, IF(ISNUMBER(SEARCH("Gri", D77)), -1, 0)))=1, VERI_TABANI!E27*(1-0.928)*VERI_TABANI!$B$9, 0) + (VERI_TABANI!D27*B77*(VERI_TABANI!$B$13-VERI_TABANI!$B$14)*VERI_TABANI!G27) + (VERI_TABANI!D27*C77*(VERI_TABANI!$B$13-VERI_TABANI!$B$15)*VERI_TABANI!G27) + IF(ABS(IF(ISNUMBER(SEARCH("Var", D77)), 1, IF(ISNUMBER(SEARCH("Gri", D77)), -1, 0)))=1, VERI_TABANI!E27*(1-0.928)*0.00206091519919798*VERI_TABANI!G27, 0)) + ((MIN(VERI_TABANI!D28, VERI_TABANI!D28*B77)*VERI_TABANI!$B$7 + MAX(0, VERI_TABANI!D28*B77-VERI_TABANI!D28)*VERI_TABANI!$B$8) + (MIN(MAX(0, VERI_TABANI!D28-VERI_TABANI!D28*B77), VERI_TABANI!D28*C77)*VERI_TABANI!$B$7 + MAX(0, VERI_TABANI!D28*C77-MAX(0, VERI_TABANI!D28-VERI_TABANI!D28*B77))*VERI_TABANI!$B$8) + IF(ABS(IF(ISNUMBER(SEARCH("Var", D77)), 1, IF(ISNUMBER(SEARCH("Gri", D77)), -1, 0)))=1, VERI_TABANI!E28*(1-0.928)*VERI_TABANI!$B$9, 0) + (VERI_TABANI!D28*B77*(VERI_TABANI!$B$13-VERI_TABANI!$B$14)*VERI_TABANI!G28) + (VERI_TABANI!D28*C77*(VERI_TABANI!$B$13-VERI_TABANI!$B$15)*VERI_TABANI!G28) + IF(ABS(IF(ISNUMBER(SEARCH("Var", D77)), 1, IF(ISNUMBER(SEARCH("Gri", D77)), -1, 0)))=1, VERI_TABANI!E28*(1-0.928)*0.00206091519919798*VERI_TABANI!G28, 0)))</f>
        <v/>
      </c>
      <c r="H77" s="169">
        <f>(((VERI_TABANI!D23*B77*(VERI_TABANI!$B$13-VERI_TABANI!$B$14)) + (VERI_TABANI!D23*C77*(VERI_TABANI!$B$13-VERI_TABANI!$B$15)) + IF(ISNUMBER(SEARCH("Var", D77)), VERI_TABANI!F23*(0.00202-VERI_TABANI!$B$16), IF(ISNUMBER(SEARCH("Gri", D77)), VERI_TABANI!F23*(0.00202-VERI_TABANI!$B$17), 0))) + ((VERI_TABANI!D24*B77*(VERI_TABANI!$B$13-VERI_TABANI!$B$14)) + (VERI_TABANI!D24*C77*(VERI_TABANI!$B$13-VERI_TABANI!$B$15)) + IF(ISNUMBER(SEARCH("Var", D77)), VERI_TABANI!F24*(0.00202-VERI_TABANI!$B$16), IF(ISNUMBER(SEARCH("Gri", D77)), VERI_TABANI!F24*(0.00202-VERI_TABANI!$B$17), 0))) + ((VERI_TABANI!D25*B77*(VERI_TABANI!$B$13-VERI_TABANI!$B$14)) + (VERI_TABANI!D25*C77*(VERI_TABANI!$B$13-VERI_TABANI!$B$15)) + IF(ISNUMBER(SEARCH("Var", D77)), VERI_TABANI!F25*(0.00202-VERI_TABANI!$B$16), IF(ISNUMBER(SEARCH("Gri", D77)), VERI_TABANI!F25*(0.00202-VERI_TABANI!$B$17), 0))) + ((VERI_TABANI!D26*B77*(VERI_TABANI!$B$13-VERI_TABANI!$B$14)) + (VERI_TABANI!D26*C77*(VERI_TABANI!$B$13-VERI_TABANI!$B$15)) + IF(ISNUMBER(SEARCH("Var", D77)), VERI_TABANI!F26*(0.00202-VERI_TABANI!$B$16), IF(ISNUMBER(SEARCH("Gri", D77)), VERI_TABANI!F26*(0.00202-VERI_TABANI!$B$17), 0))) + ((VERI_TABANI!D27*B77*(VERI_TABANI!$B$13-VERI_TABANI!$B$14)) + (VERI_TABANI!D27*C77*(VERI_TABANI!$B$13-VERI_TABANI!$B$15)) + IF(ISNUMBER(SEARCH("Var", D77)), VERI_TABANI!F27*(0.00202-VERI_TABANI!$B$16), IF(ISNUMBER(SEARCH("Gri", D77)), VERI_TABANI!F27*(0.00202-VERI_TABANI!$B$17), 0))) + ((VERI_TABANI!D28*B77*(VERI_TABANI!$B$13-VERI_TABANI!$B$14)) + (VERI_TABANI!D28*C77*(VERI_TABANI!$B$13-VERI_TABANI!$B$15)) + IF(ISNUMBER(SEARCH("Var", D77)), VERI_TABANI!F28*(0.00202-VERI_TABANI!$B$16), IF(ISNUMBER(SEARCH("Gri", D77)), VERI_TABANI!F28*(0.00202-VERI_TABANI!$B$17), 0))))</f>
        <v/>
      </c>
      <c r="I77" s="170">
        <f>IFERROR(((VERI_TABANI!$D$29*B77*VERI_TABANI!$B$14 + VERI_TABANI!$D$29*C77*VERI_TABANI!$B$15 + IF(ISNUMBER(SEARCH("Var", D77)), VERI_TABANI!$F$29*VERI_TABANI!$B$16, 0))) / (((VERI_TABANI!$D$29*B77 + VERI_TABANI!$D$29*C77)*VERI_TABANI!$B$13 + IF(ISNUMBER(SEARCH("Var", D77)), VERI_TABANI!$E$29*(1-0.928)*VERI_TABANI!$B$18, 0))), 0)</f>
        <v/>
      </c>
      <c r="J77" s="171">
        <f>IFERROR(F77/(G77/29), 0)</f>
        <v/>
      </c>
      <c r="K77" s="172">
        <f>IF(F77&gt;0, H77/F77, 0)</f>
        <v/>
      </c>
      <c r="L77" s="170">
        <f>IF(F77&gt;0, I77, 1000000000)</f>
        <v/>
      </c>
      <c r="M77" s="171">
        <f>ABS((B77+C77)-1)</f>
        <v/>
      </c>
      <c r="N77" s="170">
        <f>IF(F77&gt;0, (G77/29)/F77, 0)</f>
        <v/>
      </c>
      <c r="O77" s="168">
        <f>IF(AND((B77+C77)&gt;=1, ISNUMBER(SEARCH("Var", D77))), F77, 1000000000)</f>
        <v/>
      </c>
      <c r="P77" s="172">
        <f>IF(F77&gt;0, SQRT((F77/MAX(F$5:F$886))^2 + (1 - H77/MAX(H$5:H$886))^2 + (J77/MAX(J$5:J$886))^2), 1000000000)</f>
        <v/>
      </c>
      <c r="Q77" s="166">
        <f>IF(AND(ABS(B77-0.5)&lt;0.01, ABS(C77-0.5)&lt;0.01, ISNUMBER(SEARCH("Var", D77))), 1, 0)</f>
        <v/>
      </c>
      <c r="R77" s="171">
        <f>IF(F77&gt;0, J77, 1000000000)</f>
        <v/>
      </c>
      <c r="S77" s="101">
        <f>IF(AND(F77&lt;=DASHBOARD!$B$11, H77&gt;=DASHBOARD!$B$13), G77, -1000000000000)</f>
        <v/>
      </c>
      <c r="T77" s="101">
        <f>IF(AND(F77&lt;=DASHBOARD!$B$11, H77&gt;=DASHBOARD!$B$13), R77, 1000000000000)</f>
        <v/>
      </c>
      <c r="U77" s="101">
        <f>IF(AND(F77&lt;=DASHBOARD!$B$11, H77&gt;=DASHBOARD!$B$13), N77, -1000000000000)</f>
        <v/>
      </c>
      <c r="V77" s="101">
        <f>IF(AND(F77&lt;=DASHBOARD!$B$11, H77&gt;=DASHBOARD!$B$13), H77, -1000000000000)</f>
        <v/>
      </c>
      <c r="W77" s="101">
        <f>IF(AND(F77&lt;=DASHBOARD!$B$11, H77&gt;=DASHBOARD!$B$13), K77, -1000000000000)</f>
        <v/>
      </c>
      <c r="X77" s="101">
        <f>IF(AND(F77&lt;=DASHBOARD!$B$11, H77&gt;=DASHBOARD!$B$13), M77, 1000000000000)</f>
        <v/>
      </c>
      <c r="Y77" s="101">
        <f>IF(AND(F77&lt;=DASHBOARD!$B$10, H77&gt;=DASHBOARD!$B$11), L77, 1000000000000)</f>
        <v/>
      </c>
      <c r="Z77" s="101">
        <f>IF(AND(F77&lt;=DASHBOARD!$B$10, H77&gt;=DASHBOARD!$B$11), O77, 1000000000000)</f>
        <v/>
      </c>
      <c r="AA77" s="101">
        <f>IF(AND(F77&lt;=DASHBOARD!$B$10, H77&gt;=DASHBOARD!$B$11), P77, 1000000000000)</f>
        <v/>
      </c>
      <c r="AB77" s="101">
        <f>IF(AND(F77&lt;=DASHBOARD!$B$10, H77&gt;=DASHBOARD!$B$11), Q77, -1000000000000)</f>
        <v/>
      </c>
    </row>
    <row r="78" ht="12.75" customHeight="1" s="102">
      <c r="A78" s="166" t="n">
        <v>74</v>
      </c>
      <c r="B78" s="167" t="n">
        <v>0.1</v>
      </c>
      <c r="C78" s="167" t="n">
        <v>1.5</v>
      </c>
      <c r="D78" s="110" t="inlineStr">
        <is>
          <t>Var (%20)</t>
        </is>
      </c>
      <c r="E78" s="110">
        <f>IF((B78+C78)&lt;=1, "Tam Mahsuplaşma (≤%100)", "Kısmi Satış (&gt;%100)")</f>
        <v/>
      </c>
      <c r="F78" s="168">
        <f>((VERI_TABANI!$D$29*B78/VERI_TABANI!$B$29)/VERI_TABANI!$B$3)*VERI_TABANI!$B$5 + ((VERI_TABANI!$D$29*C78/VERI_TABANI!$B$29)/VERI_TABANI!$B$4)*VERI_TABANI!$B$6 + IF(ISNUMBER(SEARCH("Var", D78)), (VERI_TABANI!$F$29/VERI_TABANI!$B$29)*(VERI_TABANI!$B$10+VERI_TABANI!$B$12), 0)</f>
        <v/>
      </c>
      <c r="G78" s="168">
        <f>(((MIN(VERI_TABANI!D23, VERI_TABANI!D23*B78)*VERI_TABANI!$B$7 + MAX(0, VERI_TABANI!D23*B78-VERI_TABANI!D23)*VERI_TABANI!$B$8) + (MIN(MAX(0, VERI_TABANI!D23-VERI_TABANI!D23*B78), VERI_TABANI!D23*C78)*VERI_TABANI!$B$7 + MAX(0, VERI_TABANI!D23*C78-MAX(0, VERI_TABANI!D23-VERI_TABANI!D23*B78))*VERI_TABANI!$B$8) + IF(ABS(IF(ISNUMBER(SEARCH("Var", D78)), 1, IF(ISNUMBER(SEARCH("Gri", D78)), -1, 0)))=1, VERI_TABANI!E23*(1-0.928)*VERI_TABANI!$B$9, 0) + (VERI_TABANI!D23*B78*(VERI_TABANI!$B$13-VERI_TABANI!$B$14)*VERI_TABANI!G23) + (VERI_TABANI!D23*C78*(VERI_TABANI!$B$13-VERI_TABANI!$B$15)*VERI_TABANI!G23) + IF(ABS(IF(ISNUMBER(SEARCH("Var", D78)), 1, IF(ISNUMBER(SEARCH("Gri", D78)), -1, 0)))=1, VERI_TABANI!E23*(1-0.928)*0.00206091519919798*VERI_TABANI!G23, 0)) + ((MIN(VERI_TABANI!D24, VERI_TABANI!D24*B78)*VERI_TABANI!$B$7 + MAX(0, VERI_TABANI!D24*B78-VERI_TABANI!D24)*VERI_TABANI!$B$8) + (MIN(MAX(0, VERI_TABANI!D24-VERI_TABANI!D24*B78), VERI_TABANI!D24*C78)*VERI_TABANI!$B$7 + MAX(0, VERI_TABANI!D24*C78-MAX(0, VERI_TABANI!D24-VERI_TABANI!D24*B78))*VERI_TABANI!$B$8) + IF(ABS(IF(ISNUMBER(SEARCH("Var", D78)), 1, IF(ISNUMBER(SEARCH("Gri", D78)), -1, 0)))=1, VERI_TABANI!E24*(1-0.928)*VERI_TABANI!$B$9, 0) + (VERI_TABANI!D24*B78*(VERI_TABANI!$B$13-VERI_TABANI!$B$14)*VERI_TABANI!G24) + (VERI_TABANI!D24*C78*(VERI_TABANI!$B$13-VERI_TABANI!$B$15)*VERI_TABANI!G24) + IF(ABS(IF(ISNUMBER(SEARCH("Var", D78)), 1, IF(ISNUMBER(SEARCH("Gri", D78)), -1, 0)))=1, VERI_TABANI!E24*(1-0.928)*0.00206091519919798*VERI_TABANI!G24, 0)) + ((MIN(VERI_TABANI!D25, VERI_TABANI!D25*B78)*VERI_TABANI!$B$7 + MAX(0, VERI_TABANI!D25*B78-VERI_TABANI!D25)*VERI_TABANI!$B$8) + (MIN(MAX(0, VERI_TABANI!D25-VERI_TABANI!D25*B78), VERI_TABANI!D25*C78)*VERI_TABANI!$B$7 + MAX(0, VERI_TABANI!D25*C78-MAX(0, VERI_TABANI!D25-VERI_TABANI!D25*B78))*VERI_TABANI!$B$8) + IF(ABS(IF(ISNUMBER(SEARCH("Var", D78)), 1, IF(ISNUMBER(SEARCH("Gri", D78)), -1, 0)))=1, VERI_TABANI!E25*(1-0.928)*VERI_TABANI!$B$9, 0) + (VERI_TABANI!D25*B78*(VERI_TABANI!$B$13-VERI_TABANI!$B$14)*VERI_TABANI!G25) + (VERI_TABANI!D25*C78*(VERI_TABANI!$B$13-VERI_TABANI!$B$15)*VERI_TABANI!G25) + IF(ABS(IF(ISNUMBER(SEARCH("Var", D78)), 1, IF(ISNUMBER(SEARCH("Gri", D78)), -1, 0)))=1, VERI_TABANI!E25*(1-0.928)*0.00206091519919798*VERI_TABANI!G25, 0)) + ((MIN(VERI_TABANI!D26, VERI_TABANI!D26*B78)*VERI_TABANI!$B$7 + MAX(0, VERI_TABANI!D26*B78-VERI_TABANI!D26)*VERI_TABANI!$B$8) + (MIN(MAX(0, VERI_TABANI!D26-VERI_TABANI!D26*B78), VERI_TABANI!D26*C78)*VERI_TABANI!$B$7 + MAX(0, VERI_TABANI!D26*C78-MAX(0, VERI_TABANI!D26-VERI_TABANI!D26*B78))*VERI_TABANI!$B$8) + IF(ABS(IF(ISNUMBER(SEARCH("Var", D78)), 1, IF(ISNUMBER(SEARCH("Gri", D78)), -1, 0)))=1, VERI_TABANI!E26*(1-0.928)*VERI_TABANI!$B$9, 0) + (VERI_TABANI!D26*B78*(VERI_TABANI!$B$13-VERI_TABANI!$B$14)*VERI_TABANI!G26) + (VERI_TABANI!D26*C78*(VERI_TABANI!$B$13-VERI_TABANI!$B$15)*VERI_TABANI!G26) + IF(ABS(IF(ISNUMBER(SEARCH("Var", D78)), 1, IF(ISNUMBER(SEARCH("Gri", D78)), -1, 0)))=1, VERI_TABANI!E26*(1-0.928)*0.00206091519919798*VERI_TABANI!G26, 0)) + ((MIN(VERI_TABANI!D27, VERI_TABANI!D27*B78)*VERI_TABANI!$B$7 + MAX(0, VERI_TABANI!D27*B78-VERI_TABANI!D27)*VERI_TABANI!$B$8) + (MIN(MAX(0, VERI_TABANI!D27-VERI_TABANI!D27*B78), VERI_TABANI!D27*C78)*VERI_TABANI!$B$7 + MAX(0, VERI_TABANI!D27*C78-MAX(0, VERI_TABANI!D27-VERI_TABANI!D27*B78))*VERI_TABANI!$B$8) + IF(ABS(IF(ISNUMBER(SEARCH("Var", D78)), 1, IF(ISNUMBER(SEARCH("Gri", D78)), -1, 0)))=1, VERI_TABANI!E27*(1-0.928)*VERI_TABANI!$B$9, 0) + (VERI_TABANI!D27*B78*(VERI_TABANI!$B$13-VERI_TABANI!$B$14)*VERI_TABANI!G27) + (VERI_TABANI!D27*C78*(VERI_TABANI!$B$13-VERI_TABANI!$B$15)*VERI_TABANI!G27) + IF(ABS(IF(ISNUMBER(SEARCH("Var", D78)), 1, IF(ISNUMBER(SEARCH("Gri", D78)), -1, 0)))=1, VERI_TABANI!E27*(1-0.928)*0.00206091519919798*VERI_TABANI!G27, 0)) + ((MIN(VERI_TABANI!D28, VERI_TABANI!D28*B78)*VERI_TABANI!$B$7 + MAX(0, VERI_TABANI!D28*B78-VERI_TABANI!D28)*VERI_TABANI!$B$8) + (MIN(MAX(0, VERI_TABANI!D28-VERI_TABANI!D28*B78), VERI_TABANI!D28*C78)*VERI_TABANI!$B$7 + MAX(0, VERI_TABANI!D28*C78-MAX(0, VERI_TABANI!D28-VERI_TABANI!D28*B78))*VERI_TABANI!$B$8) + IF(ABS(IF(ISNUMBER(SEARCH("Var", D78)), 1, IF(ISNUMBER(SEARCH("Gri", D78)), -1, 0)))=1, VERI_TABANI!E28*(1-0.928)*VERI_TABANI!$B$9, 0) + (VERI_TABANI!D28*B78*(VERI_TABANI!$B$13-VERI_TABANI!$B$14)*VERI_TABANI!G28) + (VERI_TABANI!D28*C78*(VERI_TABANI!$B$13-VERI_TABANI!$B$15)*VERI_TABANI!G28) + IF(ABS(IF(ISNUMBER(SEARCH("Var", D78)), 1, IF(ISNUMBER(SEARCH("Gri", D78)), -1, 0)))=1, VERI_TABANI!E28*(1-0.928)*0.00206091519919798*VERI_TABANI!G28, 0)))</f>
        <v/>
      </c>
      <c r="H78" s="169">
        <f>(((VERI_TABANI!D23*B78*(VERI_TABANI!$B$13-VERI_TABANI!$B$14)) + (VERI_TABANI!D23*C78*(VERI_TABANI!$B$13-VERI_TABANI!$B$15)) + IF(ISNUMBER(SEARCH("Var", D78)), VERI_TABANI!F23*(0.00202-VERI_TABANI!$B$16), IF(ISNUMBER(SEARCH("Gri", D78)), VERI_TABANI!F23*(0.00202-VERI_TABANI!$B$17), 0))) + ((VERI_TABANI!D24*B78*(VERI_TABANI!$B$13-VERI_TABANI!$B$14)) + (VERI_TABANI!D24*C78*(VERI_TABANI!$B$13-VERI_TABANI!$B$15)) + IF(ISNUMBER(SEARCH("Var", D78)), VERI_TABANI!F24*(0.00202-VERI_TABANI!$B$16), IF(ISNUMBER(SEARCH("Gri", D78)), VERI_TABANI!F24*(0.00202-VERI_TABANI!$B$17), 0))) + ((VERI_TABANI!D25*B78*(VERI_TABANI!$B$13-VERI_TABANI!$B$14)) + (VERI_TABANI!D25*C78*(VERI_TABANI!$B$13-VERI_TABANI!$B$15)) + IF(ISNUMBER(SEARCH("Var", D78)), VERI_TABANI!F25*(0.00202-VERI_TABANI!$B$16), IF(ISNUMBER(SEARCH("Gri", D78)), VERI_TABANI!F25*(0.00202-VERI_TABANI!$B$17), 0))) + ((VERI_TABANI!D26*B78*(VERI_TABANI!$B$13-VERI_TABANI!$B$14)) + (VERI_TABANI!D26*C78*(VERI_TABANI!$B$13-VERI_TABANI!$B$15)) + IF(ISNUMBER(SEARCH("Var", D78)), VERI_TABANI!F26*(0.00202-VERI_TABANI!$B$16), IF(ISNUMBER(SEARCH("Gri", D78)), VERI_TABANI!F26*(0.00202-VERI_TABANI!$B$17), 0))) + ((VERI_TABANI!D27*B78*(VERI_TABANI!$B$13-VERI_TABANI!$B$14)) + (VERI_TABANI!D27*C78*(VERI_TABANI!$B$13-VERI_TABANI!$B$15)) + IF(ISNUMBER(SEARCH("Var", D78)), VERI_TABANI!F27*(0.00202-VERI_TABANI!$B$16), IF(ISNUMBER(SEARCH("Gri", D78)), VERI_TABANI!F27*(0.00202-VERI_TABANI!$B$17), 0))) + ((VERI_TABANI!D28*B78*(VERI_TABANI!$B$13-VERI_TABANI!$B$14)) + (VERI_TABANI!D28*C78*(VERI_TABANI!$B$13-VERI_TABANI!$B$15)) + IF(ISNUMBER(SEARCH("Var", D78)), VERI_TABANI!F28*(0.00202-VERI_TABANI!$B$16), IF(ISNUMBER(SEARCH("Gri", D78)), VERI_TABANI!F28*(0.00202-VERI_TABANI!$B$17), 0))))</f>
        <v/>
      </c>
      <c r="I78" s="170">
        <f>IFERROR(((VERI_TABANI!$D$29*B78*VERI_TABANI!$B$14 + VERI_TABANI!$D$29*C78*VERI_TABANI!$B$15 + IF(ISNUMBER(SEARCH("Var", D78)), VERI_TABANI!$F$29*VERI_TABANI!$B$16, 0))) / (((VERI_TABANI!$D$29*B78 + VERI_TABANI!$D$29*C78)*VERI_TABANI!$B$13 + IF(ISNUMBER(SEARCH("Var", D78)), VERI_TABANI!$E$29*(1-0.928)*VERI_TABANI!$B$18, 0))), 0)</f>
        <v/>
      </c>
      <c r="J78" s="171">
        <f>IFERROR(F78/(G78/29), 0)</f>
        <v/>
      </c>
      <c r="K78" s="172">
        <f>IF(F78&gt;0, H78/F78, 0)</f>
        <v/>
      </c>
      <c r="L78" s="170">
        <f>IF(F78&gt;0, I78, 1000000000)</f>
        <v/>
      </c>
      <c r="M78" s="171">
        <f>ABS((B78+C78)-1)</f>
        <v/>
      </c>
      <c r="N78" s="170">
        <f>IF(F78&gt;0, (G78/29)/F78, 0)</f>
        <v/>
      </c>
      <c r="O78" s="168">
        <f>IF(AND((B78+C78)&gt;=1, ISNUMBER(SEARCH("Var", D78))), F78, 1000000000)</f>
        <v/>
      </c>
      <c r="P78" s="172">
        <f>IF(F78&gt;0, SQRT((F78/MAX(F$5:F$886))^2 + (1 - H78/MAX(H$5:H$886))^2 + (J78/MAX(J$5:J$886))^2), 1000000000)</f>
        <v/>
      </c>
      <c r="Q78" s="166">
        <f>IF(AND(ABS(B78-0.5)&lt;0.01, ABS(C78-0.5)&lt;0.01, ISNUMBER(SEARCH("Var", D78))), 1, 0)</f>
        <v/>
      </c>
      <c r="R78" s="171">
        <f>IF(F78&gt;0, J78, 1000000000)</f>
        <v/>
      </c>
      <c r="S78" s="101">
        <f>IF(AND(F78&lt;=DASHBOARD!$B$11, H78&gt;=DASHBOARD!$B$13), G78, -1000000000000)</f>
        <v/>
      </c>
      <c r="T78" s="101">
        <f>IF(AND(F78&lt;=DASHBOARD!$B$11, H78&gt;=DASHBOARD!$B$13), R78, 1000000000000)</f>
        <v/>
      </c>
      <c r="U78" s="101">
        <f>IF(AND(F78&lt;=DASHBOARD!$B$11, H78&gt;=DASHBOARD!$B$13), N78, -1000000000000)</f>
        <v/>
      </c>
      <c r="V78" s="101">
        <f>IF(AND(F78&lt;=DASHBOARD!$B$11, H78&gt;=DASHBOARD!$B$13), H78, -1000000000000)</f>
        <v/>
      </c>
      <c r="W78" s="101">
        <f>IF(AND(F78&lt;=DASHBOARD!$B$11, H78&gt;=DASHBOARD!$B$13), K78, -1000000000000)</f>
        <v/>
      </c>
      <c r="X78" s="101">
        <f>IF(AND(F78&lt;=DASHBOARD!$B$11, H78&gt;=DASHBOARD!$B$13), M78, 1000000000000)</f>
        <v/>
      </c>
      <c r="Y78" s="101">
        <f>IF(AND(F78&lt;=DASHBOARD!$B$10, H78&gt;=DASHBOARD!$B$11), L78, 1000000000000)</f>
        <v/>
      </c>
      <c r="Z78" s="101">
        <f>IF(AND(F78&lt;=DASHBOARD!$B$10, H78&gt;=DASHBOARD!$B$11), O78, 1000000000000)</f>
        <v/>
      </c>
      <c r="AA78" s="101">
        <f>IF(AND(F78&lt;=DASHBOARD!$B$10, H78&gt;=DASHBOARD!$B$11), P78, 1000000000000)</f>
        <v/>
      </c>
      <c r="AB78" s="101">
        <f>IF(AND(F78&lt;=DASHBOARD!$B$10, H78&gt;=DASHBOARD!$B$11), Q78, -1000000000000)</f>
        <v/>
      </c>
    </row>
    <row r="79" ht="12.75" customHeight="1" s="102">
      <c r="A79" s="166" t="n">
        <v>75</v>
      </c>
      <c r="B79" s="167" t="n">
        <v>0.1</v>
      </c>
      <c r="C79" s="167" t="n">
        <v>1.6</v>
      </c>
      <c r="D79" s="110" t="inlineStr">
        <is>
          <t>Yok (%0)</t>
        </is>
      </c>
      <c r="E79" s="110">
        <f>IF((B79+C79)&lt;=1, "Tam Mahsuplaşma (≤%100)", "Kısmi Satış (&gt;%100)")</f>
        <v/>
      </c>
      <c r="F79" s="168">
        <f>((VERI_TABANI!$D$29*B79/VERI_TABANI!$B$29)/VERI_TABANI!$B$3)*VERI_TABANI!$B$5 + ((VERI_TABANI!$D$29*C79/VERI_TABANI!$B$29)/VERI_TABANI!$B$4)*VERI_TABANI!$B$6 + IF(ISNUMBER(SEARCH("Var", D79)), (VERI_TABANI!$F$29/VERI_TABANI!$B$29)*(VERI_TABANI!$B$10+VERI_TABANI!$B$12), 0)</f>
        <v/>
      </c>
      <c r="G79" s="168">
        <f>(((MIN(VERI_TABANI!D23, VERI_TABANI!D23*B79)*VERI_TABANI!$B$7 + MAX(0, VERI_TABANI!D23*B79-VERI_TABANI!D23)*VERI_TABANI!$B$8) + (MIN(MAX(0, VERI_TABANI!D23-VERI_TABANI!D23*B79), VERI_TABANI!D23*C79)*VERI_TABANI!$B$7 + MAX(0, VERI_TABANI!D23*C79-MAX(0, VERI_TABANI!D23-VERI_TABANI!D23*B79))*VERI_TABANI!$B$8) + IF(ABS(IF(ISNUMBER(SEARCH("Var", D79)), 1, IF(ISNUMBER(SEARCH("Gri", D79)), -1, 0)))=1, VERI_TABANI!E23*(1-0.928)*VERI_TABANI!$B$9, 0) + (VERI_TABANI!D23*B79*(VERI_TABANI!$B$13-VERI_TABANI!$B$14)*VERI_TABANI!G23) + (VERI_TABANI!D23*C79*(VERI_TABANI!$B$13-VERI_TABANI!$B$15)*VERI_TABANI!G23) + IF(ABS(IF(ISNUMBER(SEARCH("Var", D79)), 1, IF(ISNUMBER(SEARCH("Gri", D79)), -1, 0)))=1, VERI_TABANI!E23*(1-0.928)*0.00206091519919798*VERI_TABANI!G23, 0)) + ((MIN(VERI_TABANI!D24, VERI_TABANI!D24*B79)*VERI_TABANI!$B$7 + MAX(0, VERI_TABANI!D24*B79-VERI_TABANI!D24)*VERI_TABANI!$B$8) + (MIN(MAX(0, VERI_TABANI!D24-VERI_TABANI!D24*B79), VERI_TABANI!D24*C79)*VERI_TABANI!$B$7 + MAX(0, VERI_TABANI!D24*C79-MAX(0, VERI_TABANI!D24-VERI_TABANI!D24*B79))*VERI_TABANI!$B$8) + IF(ABS(IF(ISNUMBER(SEARCH("Var", D79)), 1, IF(ISNUMBER(SEARCH("Gri", D79)), -1, 0)))=1, VERI_TABANI!E24*(1-0.928)*VERI_TABANI!$B$9, 0) + (VERI_TABANI!D24*B79*(VERI_TABANI!$B$13-VERI_TABANI!$B$14)*VERI_TABANI!G24) + (VERI_TABANI!D24*C79*(VERI_TABANI!$B$13-VERI_TABANI!$B$15)*VERI_TABANI!G24) + IF(ABS(IF(ISNUMBER(SEARCH("Var", D79)), 1, IF(ISNUMBER(SEARCH("Gri", D79)), -1, 0)))=1, VERI_TABANI!E24*(1-0.928)*0.00206091519919798*VERI_TABANI!G24, 0)) + ((MIN(VERI_TABANI!D25, VERI_TABANI!D25*B79)*VERI_TABANI!$B$7 + MAX(0, VERI_TABANI!D25*B79-VERI_TABANI!D25)*VERI_TABANI!$B$8) + (MIN(MAX(0, VERI_TABANI!D25-VERI_TABANI!D25*B79), VERI_TABANI!D25*C79)*VERI_TABANI!$B$7 + MAX(0, VERI_TABANI!D25*C79-MAX(0, VERI_TABANI!D25-VERI_TABANI!D25*B79))*VERI_TABANI!$B$8) + IF(ABS(IF(ISNUMBER(SEARCH("Var", D79)), 1, IF(ISNUMBER(SEARCH("Gri", D79)), -1, 0)))=1, VERI_TABANI!E25*(1-0.928)*VERI_TABANI!$B$9, 0) + (VERI_TABANI!D25*B79*(VERI_TABANI!$B$13-VERI_TABANI!$B$14)*VERI_TABANI!G25) + (VERI_TABANI!D25*C79*(VERI_TABANI!$B$13-VERI_TABANI!$B$15)*VERI_TABANI!G25) + IF(ABS(IF(ISNUMBER(SEARCH("Var", D79)), 1, IF(ISNUMBER(SEARCH("Gri", D79)), -1, 0)))=1, VERI_TABANI!E25*(1-0.928)*0.00206091519919798*VERI_TABANI!G25, 0)) + ((MIN(VERI_TABANI!D26, VERI_TABANI!D26*B79)*VERI_TABANI!$B$7 + MAX(0, VERI_TABANI!D26*B79-VERI_TABANI!D26)*VERI_TABANI!$B$8) + (MIN(MAX(0, VERI_TABANI!D26-VERI_TABANI!D26*B79), VERI_TABANI!D26*C79)*VERI_TABANI!$B$7 + MAX(0, VERI_TABANI!D26*C79-MAX(0, VERI_TABANI!D26-VERI_TABANI!D26*B79))*VERI_TABANI!$B$8) + IF(ABS(IF(ISNUMBER(SEARCH("Var", D79)), 1, IF(ISNUMBER(SEARCH("Gri", D79)), -1, 0)))=1, VERI_TABANI!E26*(1-0.928)*VERI_TABANI!$B$9, 0) + (VERI_TABANI!D26*B79*(VERI_TABANI!$B$13-VERI_TABANI!$B$14)*VERI_TABANI!G26) + (VERI_TABANI!D26*C79*(VERI_TABANI!$B$13-VERI_TABANI!$B$15)*VERI_TABANI!G26) + IF(ABS(IF(ISNUMBER(SEARCH("Var", D79)), 1, IF(ISNUMBER(SEARCH("Gri", D79)), -1, 0)))=1, VERI_TABANI!E26*(1-0.928)*0.00206091519919798*VERI_TABANI!G26, 0)) + ((MIN(VERI_TABANI!D27, VERI_TABANI!D27*B79)*VERI_TABANI!$B$7 + MAX(0, VERI_TABANI!D27*B79-VERI_TABANI!D27)*VERI_TABANI!$B$8) + (MIN(MAX(0, VERI_TABANI!D27-VERI_TABANI!D27*B79), VERI_TABANI!D27*C79)*VERI_TABANI!$B$7 + MAX(0, VERI_TABANI!D27*C79-MAX(0, VERI_TABANI!D27-VERI_TABANI!D27*B79))*VERI_TABANI!$B$8) + IF(ABS(IF(ISNUMBER(SEARCH("Var", D79)), 1, IF(ISNUMBER(SEARCH("Gri", D79)), -1, 0)))=1, VERI_TABANI!E27*(1-0.928)*VERI_TABANI!$B$9, 0) + (VERI_TABANI!D27*B79*(VERI_TABANI!$B$13-VERI_TABANI!$B$14)*VERI_TABANI!G27) + (VERI_TABANI!D27*C79*(VERI_TABANI!$B$13-VERI_TABANI!$B$15)*VERI_TABANI!G27) + IF(ABS(IF(ISNUMBER(SEARCH("Var", D79)), 1, IF(ISNUMBER(SEARCH("Gri", D79)), -1, 0)))=1, VERI_TABANI!E27*(1-0.928)*0.00206091519919798*VERI_TABANI!G27, 0)) + ((MIN(VERI_TABANI!D28, VERI_TABANI!D28*B79)*VERI_TABANI!$B$7 + MAX(0, VERI_TABANI!D28*B79-VERI_TABANI!D28)*VERI_TABANI!$B$8) + (MIN(MAX(0, VERI_TABANI!D28-VERI_TABANI!D28*B79), VERI_TABANI!D28*C79)*VERI_TABANI!$B$7 + MAX(0, VERI_TABANI!D28*C79-MAX(0, VERI_TABANI!D28-VERI_TABANI!D28*B79))*VERI_TABANI!$B$8) + IF(ABS(IF(ISNUMBER(SEARCH("Var", D79)), 1, IF(ISNUMBER(SEARCH("Gri", D79)), -1, 0)))=1, VERI_TABANI!E28*(1-0.928)*VERI_TABANI!$B$9, 0) + (VERI_TABANI!D28*B79*(VERI_TABANI!$B$13-VERI_TABANI!$B$14)*VERI_TABANI!G28) + (VERI_TABANI!D28*C79*(VERI_TABANI!$B$13-VERI_TABANI!$B$15)*VERI_TABANI!G28) + IF(ABS(IF(ISNUMBER(SEARCH("Var", D79)), 1, IF(ISNUMBER(SEARCH("Gri", D79)), -1, 0)))=1, VERI_TABANI!E28*(1-0.928)*0.00206091519919798*VERI_TABANI!G28, 0)))</f>
        <v/>
      </c>
      <c r="H79" s="169">
        <f>(((VERI_TABANI!D23*B79*(VERI_TABANI!$B$13-VERI_TABANI!$B$14)) + (VERI_TABANI!D23*C79*(VERI_TABANI!$B$13-VERI_TABANI!$B$15)) + IF(ISNUMBER(SEARCH("Var", D79)), VERI_TABANI!F23*(0.00202-VERI_TABANI!$B$16), IF(ISNUMBER(SEARCH("Gri", D79)), VERI_TABANI!F23*(0.00202-VERI_TABANI!$B$17), 0))) + ((VERI_TABANI!D24*B79*(VERI_TABANI!$B$13-VERI_TABANI!$B$14)) + (VERI_TABANI!D24*C79*(VERI_TABANI!$B$13-VERI_TABANI!$B$15)) + IF(ISNUMBER(SEARCH("Var", D79)), VERI_TABANI!F24*(0.00202-VERI_TABANI!$B$16), IF(ISNUMBER(SEARCH("Gri", D79)), VERI_TABANI!F24*(0.00202-VERI_TABANI!$B$17), 0))) + ((VERI_TABANI!D25*B79*(VERI_TABANI!$B$13-VERI_TABANI!$B$14)) + (VERI_TABANI!D25*C79*(VERI_TABANI!$B$13-VERI_TABANI!$B$15)) + IF(ISNUMBER(SEARCH("Var", D79)), VERI_TABANI!F25*(0.00202-VERI_TABANI!$B$16), IF(ISNUMBER(SEARCH("Gri", D79)), VERI_TABANI!F25*(0.00202-VERI_TABANI!$B$17), 0))) + ((VERI_TABANI!D26*B79*(VERI_TABANI!$B$13-VERI_TABANI!$B$14)) + (VERI_TABANI!D26*C79*(VERI_TABANI!$B$13-VERI_TABANI!$B$15)) + IF(ISNUMBER(SEARCH("Var", D79)), VERI_TABANI!F26*(0.00202-VERI_TABANI!$B$16), IF(ISNUMBER(SEARCH("Gri", D79)), VERI_TABANI!F26*(0.00202-VERI_TABANI!$B$17), 0))) + ((VERI_TABANI!D27*B79*(VERI_TABANI!$B$13-VERI_TABANI!$B$14)) + (VERI_TABANI!D27*C79*(VERI_TABANI!$B$13-VERI_TABANI!$B$15)) + IF(ISNUMBER(SEARCH("Var", D79)), VERI_TABANI!F27*(0.00202-VERI_TABANI!$B$16), IF(ISNUMBER(SEARCH("Gri", D79)), VERI_TABANI!F27*(0.00202-VERI_TABANI!$B$17), 0))) + ((VERI_TABANI!D28*B79*(VERI_TABANI!$B$13-VERI_TABANI!$B$14)) + (VERI_TABANI!D28*C79*(VERI_TABANI!$B$13-VERI_TABANI!$B$15)) + IF(ISNUMBER(SEARCH("Var", D79)), VERI_TABANI!F28*(0.00202-VERI_TABANI!$B$16), IF(ISNUMBER(SEARCH("Gri", D79)), VERI_TABANI!F28*(0.00202-VERI_TABANI!$B$17), 0))))</f>
        <v/>
      </c>
      <c r="I79" s="170">
        <f>IFERROR(((VERI_TABANI!$D$29*B79*VERI_TABANI!$B$14 + VERI_TABANI!$D$29*C79*VERI_TABANI!$B$15 + IF(ISNUMBER(SEARCH("Var", D79)), VERI_TABANI!$F$29*VERI_TABANI!$B$16, 0))) / (((VERI_TABANI!$D$29*B79 + VERI_TABANI!$D$29*C79)*VERI_TABANI!$B$13 + IF(ISNUMBER(SEARCH("Var", D79)), VERI_TABANI!$E$29*(1-0.928)*VERI_TABANI!$B$18, 0))), 0)</f>
        <v/>
      </c>
      <c r="J79" s="171">
        <f>IFERROR(F79/(G79/29), 0)</f>
        <v/>
      </c>
      <c r="K79" s="172">
        <f>IF(F79&gt;0, H79/F79, 0)</f>
        <v/>
      </c>
      <c r="L79" s="170">
        <f>IF(F79&gt;0, I79, 1000000000)</f>
        <v/>
      </c>
      <c r="M79" s="171">
        <f>ABS((B79+C79)-1)</f>
        <v/>
      </c>
      <c r="N79" s="170">
        <f>IF(F79&gt;0, (G79/29)/F79, 0)</f>
        <v/>
      </c>
      <c r="O79" s="168">
        <f>IF(AND((B79+C79)&gt;=1, ISNUMBER(SEARCH("Var", D79))), F79, 1000000000)</f>
        <v/>
      </c>
      <c r="P79" s="172">
        <f>IF(F79&gt;0, SQRT((F79/MAX(F$5:F$886))^2 + (1 - H79/MAX(H$5:H$886))^2 + (J79/MAX(J$5:J$886))^2), 1000000000)</f>
        <v/>
      </c>
      <c r="Q79" s="166">
        <f>IF(AND(ABS(B79-0.5)&lt;0.01, ABS(C79-0.5)&lt;0.01, ISNUMBER(SEARCH("Var", D79))), 1, 0)</f>
        <v/>
      </c>
      <c r="R79" s="171">
        <f>IF(F79&gt;0, J79, 1000000000)</f>
        <v/>
      </c>
      <c r="S79" s="101">
        <f>IF(AND(F79&lt;=DASHBOARD!$B$11, H79&gt;=DASHBOARD!$B$13), G79, -1000000000000)</f>
        <v/>
      </c>
      <c r="T79" s="101">
        <f>IF(AND(F79&lt;=DASHBOARD!$B$11, H79&gt;=DASHBOARD!$B$13), R79, 1000000000000)</f>
        <v/>
      </c>
      <c r="U79" s="101">
        <f>IF(AND(F79&lt;=DASHBOARD!$B$11, H79&gt;=DASHBOARD!$B$13), N79, -1000000000000)</f>
        <v/>
      </c>
      <c r="V79" s="101">
        <f>IF(AND(F79&lt;=DASHBOARD!$B$11, H79&gt;=DASHBOARD!$B$13), H79, -1000000000000)</f>
        <v/>
      </c>
      <c r="W79" s="101">
        <f>IF(AND(F79&lt;=DASHBOARD!$B$11, H79&gt;=DASHBOARD!$B$13), K79, -1000000000000)</f>
        <v/>
      </c>
      <c r="X79" s="101">
        <f>IF(AND(F79&lt;=DASHBOARD!$B$11, H79&gt;=DASHBOARD!$B$13), M79, 1000000000000)</f>
        <v/>
      </c>
      <c r="Y79" s="101">
        <f>IF(AND(F79&lt;=DASHBOARD!$B$10, H79&gt;=DASHBOARD!$B$11), L79, 1000000000000)</f>
        <v/>
      </c>
      <c r="Z79" s="101">
        <f>IF(AND(F79&lt;=DASHBOARD!$B$10, H79&gt;=DASHBOARD!$B$11), O79, 1000000000000)</f>
        <v/>
      </c>
      <c r="AA79" s="101">
        <f>IF(AND(F79&lt;=DASHBOARD!$B$10, H79&gt;=DASHBOARD!$B$11), P79, 1000000000000)</f>
        <v/>
      </c>
      <c r="AB79" s="101">
        <f>IF(AND(F79&lt;=DASHBOARD!$B$10, H79&gt;=DASHBOARD!$B$11), Q79, -1000000000000)</f>
        <v/>
      </c>
    </row>
    <row r="80" ht="12.75" customHeight="1" s="102">
      <c r="A80" s="166" t="n">
        <v>76</v>
      </c>
      <c r="B80" s="167" t="n">
        <v>0.1</v>
      </c>
      <c r="C80" s="167" t="n">
        <v>1.6</v>
      </c>
      <c r="D80" s="110" t="inlineStr">
        <is>
          <t>Var (%20)</t>
        </is>
      </c>
      <c r="E80" s="110">
        <f>IF((B80+C80)&lt;=1, "Tam Mahsuplaşma (≤%100)", "Kısmi Satış (&gt;%100)")</f>
        <v/>
      </c>
      <c r="F80" s="168">
        <f>((VERI_TABANI!$D$29*B80/VERI_TABANI!$B$29)/VERI_TABANI!$B$3)*VERI_TABANI!$B$5 + ((VERI_TABANI!$D$29*C80/VERI_TABANI!$B$29)/VERI_TABANI!$B$4)*VERI_TABANI!$B$6 + IF(ISNUMBER(SEARCH("Var", D80)), (VERI_TABANI!$F$29/VERI_TABANI!$B$29)*(VERI_TABANI!$B$10+VERI_TABANI!$B$12), 0)</f>
        <v/>
      </c>
      <c r="G80" s="168">
        <f>(((MIN(VERI_TABANI!D23, VERI_TABANI!D23*B80)*VERI_TABANI!$B$7 + MAX(0, VERI_TABANI!D23*B80-VERI_TABANI!D23)*VERI_TABANI!$B$8) + (MIN(MAX(0, VERI_TABANI!D23-VERI_TABANI!D23*B80), VERI_TABANI!D23*C80)*VERI_TABANI!$B$7 + MAX(0, VERI_TABANI!D23*C80-MAX(0, VERI_TABANI!D23-VERI_TABANI!D23*B80))*VERI_TABANI!$B$8) + IF(ABS(IF(ISNUMBER(SEARCH("Var", D80)), 1, IF(ISNUMBER(SEARCH("Gri", D80)), -1, 0)))=1, VERI_TABANI!E23*(1-0.928)*VERI_TABANI!$B$9, 0) + (VERI_TABANI!D23*B80*(VERI_TABANI!$B$13-VERI_TABANI!$B$14)*VERI_TABANI!G23) + (VERI_TABANI!D23*C80*(VERI_TABANI!$B$13-VERI_TABANI!$B$15)*VERI_TABANI!G23) + IF(ABS(IF(ISNUMBER(SEARCH("Var", D80)), 1, IF(ISNUMBER(SEARCH("Gri", D80)), -1, 0)))=1, VERI_TABANI!E23*(1-0.928)*0.00206091519919798*VERI_TABANI!G23, 0)) + ((MIN(VERI_TABANI!D24, VERI_TABANI!D24*B80)*VERI_TABANI!$B$7 + MAX(0, VERI_TABANI!D24*B80-VERI_TABANI!D24)*VERI_TABANI!$B$8) + (MIN(MAX(0, VERI_TABANI!D24-VERI_TABANI!D24*B80), VERI_TABANI!D24*C80)*VERI_TABANI!$B$7 + MAX(0, VERI_TABANI!D24*C80-MAX(0, VERI_TABANI!D24-VERI_TABANI!D24*B80))*VERI_TABANI!$B$8) + IF(ABS(IF(ISNUMBER(SEARCH("Var", D80)), 1, IF(ISNUMBER(SEARCH("Gri", D80)), -1, 0)))=1, VERI_TABANI!E24*(1-0.928)*VERI_TABANI!$B$9, 0) + (VERI_TABANI!D24*B80*(VERI_TABANI!$B$13-VERI_TABANI!$B$14)*VERI_TABANI!G24) + (VERI_TABANI!D24*C80*(VERI_TABANI!$B$13-VERI_TABANI!$B$15)*VERI_TABANI!G24) + IF(ABS(IF(ISNUMBER(SEARCH("Var", D80)), 1, IF(ISNUMBER(SEARCH("Gri", D80)), -1, 0)))=1, VERI_TABANI!E24*(1-0.928)*0.00206091519919798*VERI_TABANI!G24, 0)) + ((MIN(VERI_TABANI!D25, VERI_TABANI!D25*B80)*VERI_TABANI!$B$7 + MAX(0, VERI_TABANI!D25*B80-VERI_TABANI!D25)*VERI_TABANI!$B$8) + (MIN(MAX(0, VERI_TABANI!D25-VERI_TABANI!D25*B80), VERI_TABANI!D25*C80)*VERI_TABANI!$B$7 + MAX(0, VERI_TABANI!D25*C80-MAX(0, VERI_TABANI!D25-VERI_TABANI!D25*B80))*VERI_TABANI!$B$8) + IF(ABS(IF(ISNUMBER(SEARCH("Var", D80)), 1, IF(ISNUMBER(SEARCH("Gri", D80)), -1, 0)))=1, VERI_TABANI!E25*(1-0.928)*VERI_TABANI!$B$9, 0) + (VERI_TABANI!D25*B80*(VERI_TABANI!$B$13-VERI_TABANI!$B$14)*VERI_TABANI!G25) + (VERI_TABANI!D25*C80*(VERI_TABANI!$B$13-VERI_TABANI!$B$15)*VERI_TABANI!G25) + IF(ABS(IF(ISNUMBER(SEARCH("Var", D80)), 1, IF(ISNUMBER(SEARCH("Gri", D80)), -1, 0)))=1, VERI_TABANI!E25*(1-0.928)*0.00206091519919798*VERI_TABANI!G25, 0)) + ((MIN(VERI_TABANI!D26, VERI_TABANI!D26*B80)*VERI_TABANI!$B$7 + MAX(0, VERI_TABANI!D26*B80-VERI_TABANI!D26)*VERI_TABANI!$B$8) + (MIN(MAX(0, VERI_TABANI!D26-VERI_TABANI!D26*B80), VERI_TABANI!D26*C80)*VERI_TABANI!$B$7 + MAX(0, VERI_TABANI!D26*C80-MAX(0, VERI_TABANI!D26-VERI_TABANI!D26*B80))*VERI_TABANI!$B$8) + IF(ABS(IF(ISNUMBER(SEARCH("Var", D80)), 1, IF(ISNUMBER(SEARCH("Gri", D80)), -1, 0)))=1, VERI_TABANI!E26*(1-0.928)*VERI_TABANI!$B$9, 0) + (VERI_TABANI!D26*B80*(VERI_TABANI!$B$13-VERI_TABANI!$B$14)*VERI_TABANI!G26) + (VERI_TABANI!D26*C80*(VERI_TABANI!$B$13-VERI_TABANI!$B$15)*VERI_TABANI!G26) + IF(ABS(IF(ISNUMBER(SEARCH("Var", D80)), 1, IF(ISNUMBER(SEARCH("Gri", D80)), -1, 0)))=1, VERI_TABANI!E26*(1-0.928)*0.00206091519919798*VERI_TABANI!G26, 0)) + ((MIN(VERI_TABANI!D27, VERI_TABANI!D27*B80)*VERI_TABANI!$B$7 + MAX(0, VERI_TABANI!D27*B80-VERI_TABANI!D27)*VERI_TABANI!$B$8) + (MIN(MAX(0, VERI_TABANI!D27-VERI_TABANI!D27*B80), VERI_TABANI!D27*C80)*VERI_TABANI!$B$7 + MAX(0, VERI_TABANI!D27*C80-MAX(0, VERI_TABANI!D27-VERI_TABANI!D27*B80))*VERI_TABANI!$B$8) + IF(ABS(IF(ISNUMBER(SEARCH("Var", D80)), 1, IF(ISNUMBER(SEARCH("Gri", D80)), -1, 0)))=1, VERI_TABANI!E27*(1-0.928)*VERI_TABANI!$B$9, 0) + (VERI_TABANI!D27*B80*(VERI_TABANI!$B$13-VERI_TABANI!$B$14)*VERI_TABANI!G27) + (VERI_TABANI!D27*C80*(VERI_TABANI!$B$13-VERI_TABANI!$B$15)*VERI_TABANI!G27) + IF(ABS(IF(ISNUMBER(SEARCH("Var", D80)), 1, IF(ISNUMBER(SEARCH("Gri", D80)), -1, 0)))=1, VERI_TABANI!E27*(1-0.928)*0.00206091519919798*VERI_TABANI!G27, 0)) + ((MIN(VERI_TABANI!D28, VERI_TABANI!D28*B80)*VERI_TABANI!$B$7 + MAX(0, VERI_TABANI!D28*B80-VERI_TABANI!D28)*VERI_TABANI!$B$8) + (MIN(MAX(0, VERI_TABANI!D28-VERI_TABANI!D28*B80), VERI_TABANI!D28*C80)*VERI_TABANI!$B$7 + MAX(0, VERI_TABANI!D28*C80-MAX(0, VERI_TABANI!D28-VERI_TABANI!D28*B80))*VERI_TABANI!$B$8) + IF(ABS(IF(ISNUMBER(SEARCH("Var", D80)), 1, IF(ISNUMBER(SEARCH("Gri", D80)), -1, 0)))=1, VERI_TABANI!E28*(1-0.928)*VERI_TABANI!$B$9, 0) + (VERI_TABANI!D28*B80*(VERI_TABANI!$B$13-VERI_TABANI!$B$14)*VERI_TABANI!G28) + (VERI_TABANI!D28*C80*(VERI_TABANI!$B$13-VERI_TABANI!$B$15)*VERI_TABANI!G28) + IF(ABS(IF(ISNUMBER(SEARCH("Var", D80)), 1, IF(ISNUMBER(SEARCH("Gri", D80)), -1, 0)))=1, VERI_TABANI!E28*(1-0.928)*0.00206091519919798*VERI_TABANI!G28, 0)))</f>
        <v/>
      </c>
      <c r="H80" s="169">
        <f>(((VERI_TABANI!D23*B80*(VERI_TABANI!$B$13-VERI_TABANI!$B$14)) + (VERI_TABANI!D23*C80*(VERI_TABANI!$B$13-VERI_TABANI!$B$15)) + IF(ISNUMBER(SEARCH("Var", D80)), VERI_TABANI!F23*(0.00202-VERI_TABANI!$B$16), IF(ISNUMBER(SEARCH("Gri", D80)), VERI_TABANI!F23*(0.00202-VERI_TABANI!$B$17), 0))) + ((VERI_TABANI!D24*B80*(VERI_TABANI!$B$13-VERI_TABANI!$B$14)) + (VERI_TABANI!D24*C80*(VERI_TABANI!$B$13-VERI_TABANI!$B$15)) + IF(ISNUMBER(SEARCH("Var", D80)), VERI_TABANI!F24*(0.00202-VERI_TABANI!$B$16), IF(ISNUMBER(SEARCH("Gri", D80)), VERI_TABANI!F24*(0.00202-VERI_TABANI!$B$17), 0))) + ((VERI_TABANI!D25*B80*(VERI_TABANI!$B$13-VERI_TABANI!$B$14)) + (VERI_TABANI!D25*C80*(VERI_TABANI!$B$13-VERI_TABANI!$B$15)) + IF(ISNUMBER(SEARCH("Var", D80)), VERI_TABANI!F25*(0.00202-VERI_TABANI!$B$16), IF(ISNUMBER(SEARCH("Gri", D80)), VERI_TABANI!F25*(0.00202-VERI_TABANI!$B$17), 0))) + ((VERI_TABANI!D26*B80*(VERI_TABANI!$B$13-VERI_TABANI!$B$14)) + (VERI_TABANI!D26*C80*(VERI_TABANI!$B$13-VERI_TABANI!$B$15)) + IF(ISNUMBER(SEARCH("Var", D80)), VERI_TABANI!F26*(0.00202-VERI_TABANI!$B$16), IF(ISNUMBER(SEARCH("Gri", D80)), VERI_TABANI!F26*(0.00202-VERI_TABANI!$B$17), 0))) + ((VERI_TABANI!D27*B80*(VERI_TABANI!$B$13-VERI_TABANI!$B$14)) + (VERI_TABANI!D27*C80*(VERI_TABANI!$B$13-VERI_TABANI!$B$15)) + IF(ISNUMBER(SEARCH("Var", D80)), VERI_TABANI!F27*(0.00202-VERI_TABANI!$B$16), IF(ISNUMBER(SEARCH("Gri", D80)), VERI_TABANI!F27*(0.00202-VERI_TABANI!$B$17), 0))) + ((VERI_TABANI!D28*B80*(VERI_TABANI!$B$13-VERI_TABANI!$B$14)) + (VERI_TABANI!D28*C80*(VERI_TABANI!$B$13-VERI_TABANI!$B$15)) + IF(ISNUMBER(SEARCH("Var", D80)), VERI_TABANI!F28*(0.00202-VERI_TABANI!$B$16), IF(ISNUMBER(SEARCH("Gri", D80)), VERI_TABANI!F28*(0.00202-VERI_TABANI!$B$17), 0))))</f>
        <v/>
      </c>
      <c r="I80" s="170">
        <f>IFERROR(((VERI_TABANI!$D$29*B80*VERI_TABANI!$B$14 + VERI_TABANI!$D$29*C80*VERI_TABANI!$B$15 + IF(ISNUMBER(SEARCH("Var", D80)), VERI_TABANI!$F$29*VERI_TABANI!$B$16, 0))) / (((VERI_TABANI!$D$29*B80 + VERI_TABANI!$D$29*C80)*VERI_TABANI!$B$13 + IF(ISNUMBER(SEARCH("Var", D80)), VERI_TABANI!$E$29*(1-0.928)*VERI_TABANI!$B$18, 0))), 0)</f>
        <v/>
      </c>
      <c r="J80" s="171">
        <f>IFERROR(F80/(G80/29), 0)</f>
        <v/>
      </c>
      <c r="K80" s="172">
        <f>IF(F80&gt;0, H80/F80, 0)</f>
        <v/>
      </c>
      <c r="L80" s="170">
        <f>IF(F80&gt;0, I80, 1000000000)</f>
        <v/>
      </c>
      <c r="M80" s="171">
        <f>ABS((B80+C80)-1)</f>
        <v/>
      </c>
      <c r="N80" s="170">
        <f>IF(F80&gt;0, (G80/29)/F80, 0)</f>
        <v/>
      </c>
      <c r="O80" s="168">
        <f>IF(AND((B80+C80)&gt;=1, ISNUMBER(SEARCH("Var", D80))), F80, 1000000000)</f>
        <v/>
      </c>
      <c r="P80" s="172">
        <f>IF(F80&gt;0, SQRT((F80/MAX(F$5:F$886))^2 + (1 - H80/MAX(H$5:H$886))^2 + (J80/MAX(J$5:J$886))^2), 1000000000)</f>
        <v/>
      </c>
      <c r="Q80" s="166">
        <f>IF(AND(ABS(B80-0.5)&lt;0.01, ABS(C80-0.5)&lt;0.01, ISNUMBER(SEARCH("Var", D80))), 1, 0)</f>
        <v/>
      </c>
      <c r="R80" s="171">
        <f>IF(F80&gt;0, J80, 1000000000)</f>
        <v/>
      </c>
      <c r="S80" s="101">
        <f>IF(AND(F80&lt;=DASHBOARD!$B$11, H80&gt;=DASHBOARD!$B$13), G80, -1000000000000)</f>
        <v/>
      </c>
      <c r="T80" s="101">
        <f>IF(AND(F80&lt;=DASHBOARD!$B$11, H80&gt;=DASHBOARD!$B$13), R80, 1000000000000)</f>
        <v/>
      </c>
      <c r="U80" s="101">
        <f>IF(AND(F80&lt;=DASHBOARD!$B$11, H80&gt;=DASHBOARD!$B$13), N80, -1000000000000)</f>
        <v/>
      </c>
      <c r="V80" s="101">
        <f>IF(AND(F80&lt;=DASHBOARD!$B$11, H80&gt;=DASHBOARD!$B$13), H80, -1000000000000)</f>
        <v/>
      </c>
      <c r="W80" s="101">
        <f>IF(AND(F80&lt;=DASHBOARD!$B$11, H80&gt;=DASHBOARD!$B$13), K80, -1000000000000)</f>
        <v/>
      </c>
      <c r="X80" s="101">
        <f>IF(AND(F80&lt;=DASHBOARD!$B$11, H80&gt;=DASHBOARD!$B$13), M80, 1000000000000)</f>
        <v/>
      </c>
      <c r="Y80" s="101">
        <f>IF(AND(F80&lt;=DASHBOARD!$B$10, H80&gt;=DASHBOARD!$B$11), L80, 1000000000000)</f>
        <v/>
      </c>
      <c r="Z80" s="101">
        <f>IF(AND(F80&lt;=DASHBOARD!$B$10, H80&gt;=DASHBOARD!$B$11), O80, 1000000000000)</f>
        <v/>
      </c>
      <c r="AA80" s="101">
        <f>IF(AND(F80&lt;=DASHBOARD!$B$10, H80&gt;=DASHBOARD!$B$11), P80, 1000000000000)</f>
        <v/>
      </c>
      <c r="AB80" s="101">
        <f>IF(AND(F80&lt;=DASHBOARD!$B$10, H80&gt;=DASHBOARD!$B$11), Q80, -1000000000000)</f>
        <v/>
      </c>
    </row>
    <row r="81" ht="12.75" customHeight="1" s="102">
      <c r="A81" s="166" t="n">
        <v>77</v>
      </c>
      <c r="B81" s="167" t="n">
        <v>0.1</v>
      </c>
      <c r="C81" s="167" t="n">
        <v>1.7</v>
      </c>
      <c r="D81" s="110" t="inlineStr">
        <is>
          <t>Yok (%0)</t>
        </is>
      </c>
      <c r="E81" s="110">
        <f>IF((B81+C81)&lt;=1, "Tam Mahsuplaşma (≤%100)", "Kısmi Satış (&gt;%100)")</f>
        <v/>
      </c>
      <c r="F81" s="168">
        <f>((VERI_TABANI!$D$29*B81/VERI_TABANI!$B$29)/VERI_TABANI!$B$3)*VERI_TABANI!$B$5 + ((VERI_TABANI!$D$29*C81/VERI_TABANI!$B$29)/VERI_TABANI!$B$4)*VERI_TABANI!$B$6 + IF(ISNUMBER(SEARCH("Var", D81)), (VERI_TABANI!$F$29/VERI_TABANI!$B$29)*(VERI_TABANI!$B$10+VERI_TABANI!$B$12), 0)</f>
        <v/>
      </c>
      <c r="G81" s="168">
        <f>(((MIN(VERI_TABANI!D23, VERI_TABANI!D23*B81)*VERI_TABANI!$B$7 + MAX(0, VERI_TABANI!D23*B81-VERI_TABANI!D23)*VERI_TABANI!$B$8) + (MIN(MAX(0, VERI_TABANI!D23-VERI_TABANI!D23*B81), VERI_TABANI!D23*C81)*VERI_TABANI!$B$7 + MAX(0, VERI_TABANI!D23*C81-MAX(0, VERI_TABANI!D23-VERI_TABANI!D23*B81))*VERI_TABANI!$B$8) + IF(ABS(IF(ISNUMBER(SEARCH("Var", D81)), 1, IF(ISNUMBER(SEARCH("Gri", D81)), -1, 0)))=1, VERI_TABANI!E23*(1-0.928)*VERI_TABANI!$B$9, 0) + (VERI_TABANI!D23*B81*(VERI_TABANI!$B$13-VERI_TABANI!$B$14)*VERI_TABANI!G23) + (VERI_TABANI!D23*C81*(VERI_TABANI!$B$13-VERI_TABANI!$B$15)*VERI_TABANI!G23) + IF(ABS(IF(ISNUMBER(SEARCH("Var", D81)), 1, IF(ISNUMBER(SEARCH("Gri", D81)), -1, 0)))=1, VERI_TABANI!E23*(1-0.928)*0.00206091519919798*VERI_TABANI!G23, 0)) + ((MIN(VERI_TABANI!D24, VERI_TABANI!D24*B81)*VERI_TABANI!$B$7 + MAX(0, VERI_TABANI!D24*B81-VERI_TABANI!D24)*VERI_TABANI!$B$8) + (MIN(MAX(0, VERI_TABANI!D24-VERI_TABANI!D24*B81), VERI_TABANI!D24*C81)*VERI_TABANI!$B$7 + MAX(0, VERI_TABANI!D24*C81-MAX(0, VERI_TABANI!D24-VERI_TABANI!D24*B81))*VERI_TABANI!$B$8) + IF(ABS(IF(ISNUMBER(SEARCH("Var", D81)), 1, IF(ISNUMBER(SEARCH("Gri", D81)), -1, 0)))=1, VERI_TABANI!E24*(1-0.928)*VERI_TABANI!$B$9, 0) + (VERI_TABANI!D24*B81*(VERI_TABANI!$B$13-VERI_TABANI!$B$14)*VERI_TABANI!G24) + (VERI_TABANI!D24*C81*(VERI_TABANI!$B$13-VERI_TABANI!$B$15)*VERI_TABANI!G24) + IF(ABS(IF(ISNUMBER(SEARCH("Var", D81)), 1, IF(ISNUMBER(SEARCH("Gri", D81)), -1, 0)))=1, VERI_TABANI!E24*(1-0.928)*0.00206091519919798*VERI_TABANI!G24, 0)) + ((MIN(VERI_TABANI!D25, VERI_TABANI!D25*B81)*VERI_TABANI!$B$7 + MAX(0, VERI_TABANI!D25*B81-VERI_TABANI!D25)*VERI_TABANI!$B$8) + (MIN(MAX(0, VERI_TABANI!D25-VERI_TABANI!D25*B81), VERI_TABANI!D25*C81)*VERI_TABANI!$B$7 + MAX(0, VERI_TABANI!D25*C81-MAX(0, VERI_TABANI!D25-VERI_TABANI!D25*B81))*VERI_TABANI!$B$8) + IF(ABS(IF(ISNUMBER(SEARCH("Var", D81)), 1, IF(ISNUMBER(SEARCH("Gri", D81)), -1, 0)))=1, VERI_TABANI!E25*(1-0.928)*VERI_TABANI!$B$9, 0) + (VERI_TABANI!D25*B81*(VERI_TABANI!$B$13-VERI_TABANI!$B$14)*VERI_TABANI!G25) + (VERI_TABANI!D25*C81*(VERI_TABANI!$B$13-VERI_TABANI!$B$15)*VERI_TABANI!G25) + IF(ABS(IF(ISNUMBER(SEARCH("Var", D81)), 1, IF(ISNUMBER(SEARCH("Gri", D81)), -1, 0)))=1, VERI_TABANI!E25*(1-0.928)*0.00206091519919798*VERI_TABANI!G25, 0)) + ((MIN(VERI_TABANI!D26, VERI_TABANI!D26*B81)*VERI_TABANI!$B$7 + MAX(0, VERI_TABANI!D26*B81-VERI_TABANI!D26)*VERI_TABANI!$B$8) + (MIN(MAX(0, VERI_TABANI!D26-VERI_TABANI!D26*B81), VERI_TABANI!D26*C81)*VERI_TABANI!$B$7 + MAX(0, VERI_TABANI!D26*C81-MAX(0, VERI_TABANI!D26-VERI_TABANI!D26*B81))*VERI_TABANI!$B$8) + IF(ABS(IF(ISNUMBER(SEARCH("Var", D81)), 1, IF(ISNUMBER(SEARCH("Gri", D81)), -1, 0)))=1, VERI_TABANI!E26*(1-0.928)*VERI_TABANI!$B$9, 0) + (VERI_TABANI!D26*B81*(VERI_TABANI!$B$13-VERI_TABANI!$B$14)*VERI_TABANI!G26) + (VERI_TABANI!D26*C81*(VERI_TABANI!$B$13-VERI_TABANI!$B$15)*VERI_TABANI!G26) + IF(ABS(IF(ISNUMBER(SEARCH("Var", D81)), 1, IF(ISNUMBER(SEARCH("Gri", D81)), -1, 0)))=1, VERI_TABANI!E26*(1-0.928)*0.00206091519919798*VERI_TABANI!G26, 0)) + ((MIN(VERI_TABANI!D27, VERI_TABANI!D27*B81)*VERI_TABANI!$B$7 + MAX(0, VERI_TABANI!D27*B81-VERI_TABANI!D27)*VERI_TABANI!$B$8) + (MIN(MAX(0, VERI_TABANI!D27-VERI_TABANI!D27*B81), VERI_TABANI!D27*C81)*VERI_TABANI!$B$7 + MAX(0, VERI_TABANI!D27*C81-MAX(0, VERI_TABANI!D27-VERI_TABANI!D27*B81))*VERI_TABANI!$B$8) + IF(ABS(IF(ISNUMBER(SEARCH("Var", D81)), 1, IF(ISNUMBER(SEARCH("Gri", D81)), -1, 0)))=1, VERI_TABANI!E27*(1-0.928)*VERI_TABANI!$B$9, 0) + (VERI_TABANI!D27*B81*(VERI_TABANI!$B$13-VERI_TABANI!$B$14)*VERI_TABANI!G27) + (VERI_TABANI!D27*C81*(VERI_TABANI!$B$13-VERI_TABANI!$B$15)*VERI_TABANI!G27) + IF(ABS(IF(ISNUMBER(SEARCH("Var", D81)), 1, IF(ISNUMBER(SEARCH("Gri", D81)), -1, 0)))=1, VERI_TABANI!E27*(1-0.928)*0.00206091519919798*VERI_TABANI!G27, 0)) + ((MIN(VERI_TABANI!D28, VERI_TABANI!D28*B81)*VERI_TABANI!$B$7 + MAX(0, VERI_TABANI!D28*B81-VERI_TABANI!D28)*VERI_TABANI!$B$8) + (MIN(MAX(0, VERI_TABANI!D28-VERI_TABANI!D28*B81), VERI_TABANI!D28*C81)*VERI_TABANI!$B$7 + MAX(0, VERI_TABANI!D28*C81-MAX(0, VERI_TABANI!D28-VERI_TABANI!D28*B81))*VERI_TABANI!$B$8) + IF(ABS(IF(ISNUMBER(SEARCH("Var", D81)), 1, IF(ISNUMBER(SEARCH("Gri", D81)), -1, 0)))=1, VERI_TABANI!E28*(1-0.928)*VERI_TABANI!$B$9, 0) + (VERI_TABANI!D28*B81*(VERI_TABANI!$B$13-VERI_TABANI!$B$14)*VERI_TABANI!G28) + (VERI_TABANI!D28*C81*(VERI_TABANI!$B$13-VERI_TABANI!$B$15)*VERI_TABANI!G28) + IF(ABS(IF(ISNUMBER(SEARCH("Var", D81)), 1, IF(ISNUMBER(SEARCH("Gri", D81)), -1, 0)))=1, VERI_TABANI!E28*(1-0.928)*0.00206091519919798*VERI_TABANI!G28, 0)))</f>
        <v/>
      </c>
      <c r="H81" s="169">
        <f>(((VERI_TABANI!D23*B81*(VERI_TABANI!$B$13-VERI_TABANI!$B$14)) + (VERI_TABANI!D23*C81*(VERI_TABANI!$B$13-VERI_TABANI!$B$15)) + IF(ISNUMBER(SEARCH("Var", D81)), VERI_TABANI!F23*(0.00202-VERI_TABANI!$B$16), IF(ISNUMBER(SEARCH("Gri", D81)), VERI_TABANI!F23*(0.00202-VERI_TABANI!$B$17), 0))) + ((VERI_TABANI!D24*B81*(VERI_TABANI!$B$13-VERI_TABANI!$B$14)) + (VERI_TABANI!D24*C81*(VERI_TABANI!$B$13-VERI_TABANI!$B$15)) + IF(ISNUMBER(SEARCH("Var", D81)), VERI_TABANI!F24*(0.00202-VERI_TABANI!$B$16), IF(ISNUMBER(SEARCH("Gri", D81)), VERI_TABANI!F24*(0.00202-VERI_TABANI!$B$17), 0))) + ((VERI_TABANI!D25*B81*(VERI_TABANI!$B$13-VERI_TABANI!$B$14)) + (VERI_TABANI!D25*C81*(VERI_TABANI!$B$13-VERI_TABANI!$B$15)) + IF(ISNUMBER(SEARCH("Var", D81)), VERI_TABANI!F25*(0.00202-VERI_TABANI!$B$16), IF(ISNUMBER(SEARCH("Gri", D81)), VERI_TABANI!F25*(0.00202-VERI_TABANI!$B$17), 0))) + ((VERI_TABANI!D26*B81*(VERI_TABANI!$B$13-VERI_TABANI!$B$14)) + (VERI_TABANI!D26*C81*(VERI_TABANI!$B$13-VERI_TABANI!$B$15)) + IF(ISNUMBER(SEARCH("Var", D81)), VERI_TABANI!F26*(0.00202-VERI_TABANI!$B$16), IF(ISNUMBER(SEARCH("Gri", D81)), VERI_TABANI!F26*(0.00202-VERI_TABANI!$B$17), 0))) + ((VERI_TABANI!D27*B81*(VERI_TABANI!$B$13-VERI_TABANI!$B$14)) + (VERI_TABANI!D27*C81*(VERI_TABANI!$B$13-VERI_TABANI!$B$15)) + IF(ISNUMBER(SEARCH("Var", D81)), VERI_TABANI!F27*(0.00202-VERI_TABANI!$B$16), IF(ISNUMBER(SEARCH("Gri", D81)), VERI_TABANI!F27*(0.00202-VERI_TABANI!$B$17), 0))) + ((VERI_TABANI!D28*B81*(VERI_TABANI!$B$13-VERI_TABANI!$B$14)) + (VERI_TABANI!D28*C81*(VERI_TABANI!$B$13-VERI_TABANI!$B$15)) + IF(ISNUMBER(SEARCH("Var", D81)), VERI_TABANI!F28*(0.00202-VERI_TABANI!$B$16), IF(ISNUMBER(SEARCH("Gri", D81)), VERI_TABANI!F28*(0.00202-VERI_TABANI!$B$17), 0))))</f>
        <v/>
      </c>
      <c r="I81" s="170">
        <f>IFERROR(((VERI_TABANI!$D$29*B81*VERI_TABANI!$B$14 + VERI_TABANI!$D$29*C81*VERI_TABANI!$B$15 + IF(ISNUMBER(SEARCH("Var", D81)), VERI_TABANI!$F$29*VERI_TABANI!$B$16, 0))) / (((VERI_TABANI!$D$29*B81 + VERI_TABANI!$D$29*C81)*VERI_TABANI!$B$13 + IF(ISNUMBER(SEARCH("Var", D81)), VERI_TABANI!$E$29*(1-0.928)*VERI_TABANI!$B$18, 0))), 0)</f>
        <v/>
      </c>
      <c r="J81" s="171">
        <f>IFERROR(F81/(G81/29), 0)</f>
        <v/>
      </c>
      <c r="K81" s="172">
        <f>IF(F81&gt;0, H81/F81, 0)</f>
        <v/>
      </c>
      <c r="L81" s="170">
        <f>IF(F81&gt;0, I81, 1000000000)</f>
        <v/>
      </c>
      <c r="M81" s="171">
        <f>ABS((B81+C81)-1)</f>
        <v/>
      </c>
      <c r="N81" s="170">
        <f>IF(F81&gt;0, (G81/29)/F81, 0)</f>
        <v/>
      </c>
      <c r="O81" s="168">
        <f>IF(AND((B81+C81)&gt;=1, ISNUMBER(SEARCH("Var", D81))), F81, 1000000000)</f>
        <v/>
      </c>
      <c r="P81" s="172">
        <f>IF(F81&gt;0, SQRT((F81/MAX(F$5:F$886))^2 + (1 - H81/MAX(H$5:H$886))^2 + (J81/MAX(J$5:J$886))^2), 1000000000)</f>
        <v/>
      </c>
      <c r="Q81" s="166">
        <f>IF(AND(ABS(B81-0.5)&lt;0.01, ABS(C81-0.5)&lt;0.01, ISNUMBER(SEARCH("Var", D81))), 1, 0)</f>
        <v/>
      </c>
      <c r="R81" s="171">
        <f>IF(F81&gt;0, J81, 1000000000)</f>
        <v/>
      </c>
      <c r="S81" s="101">
        <f>IF(AND(F81&lt;=DASHBOARD!$B$11, H81&gt;=DASHBOARD!$B$13), G81, -1000000000000)</f>
        <v/>
      </c>
      <c r="T81" s="101">
        <f>IF(AND(F81&lt;=DASHBOARD!$B$11, H81&gt;=DASHBOARD!$B$13), R81, 1000000000000)</f>
        <v/>
      </c>
      <c r="U81" s="101">
        <f>IF(AND(F81&lt;=DASHBOARD!$B$11, H81&gt;=DASHBOARD!$B$13), N81, -1000000000000)</f>
        <v/>
      </c>
      <c r="V81" s="101">
        <f>IF(AND(F81&lt;=DASHBOARD!$B$11, H81&gt;=DASHBOARD!$B$13), H81, -1000000000000)</f>
        <v/>
      </c>
      <c r="W81" s="101">
        <f>IF(AND(F81&lt;=DASHBOARD!$B$11, H81&gt;=DASHBOARD!$B$13), K81, -1000000000000)</f>
        <v/>
      </c>
      <c r="X81" s="101">
        <f>IF(AND(F81&lt;=DASHBOARD!$B$11, H81&gt;=DASHBOARD!$B$13), M81, 1000000000000)</f>
        <v/>
      </c>
      <c r="Y81" s="101">
        <f>IF(AND(F81&lt;=DASHBOARD!$B$10, H81&gt;=DASHBOARD!$B$11), L81, 1000000000000)</f>
        <v/>
      </c>
      <c r="Z81" s="101">
        <f>IF(AND(F81&lt;=DASHBOARD!$B$10, H81&gt;=DASHBOARD!$B$11), O81, 1000000000000)</f>
        <v/>
      </c>
      <c r="AA81" s="101">
        <f>IF(AND(F81&lt;=DASHBOARD!$B$10, H81&gt;=DASHBOARD!$B$11), P81, 1000000000000)</f>
        <v/>
      </c>
      <c r="AB81" s="101">
        <f>IF(AND(F81&lt;=DASHBOARD!$B$10, H81&gt;=DASHBOARD!$B$11), Q81, -1000000000000)</f>
        <v/>
      </c>
    </row>
    <row r="82" ht="12.75" customHeight="1" s="102">
      <c r="A82" s="166" t="n">
        <v>78</v>
      </c>
      <c r="B82" s="167" t="n">
        <v>0.1</v>
      </c>
      <c r="C82" s="167" t="n">
        <v>1.7</v>
      </c>
      <c r="D82" s="110" t="inlineStr">
        <is>
          <t>Var (%20)</t>
        </is>
      </c>
      <c r="E82" s="110">
        <f>IF((B82+C82)&lt;=1, "Tam Mahsuplaşma (≤%100)", "Kısmi Satış (&gt;%100)")</f>
        <v/>
      </c>
      <c r="F82" s="168">
        <f>((VERI_TABANI!$D$29*B82/VERI_TABANI!$B$29)/VERI_TABANI!$B$3)*VERI_TABANI!$B$5 + ((VERI_TABANI!$D$29*C82/VERI_TABANI!$B$29)/VERI_TABANI!$B$4)*VERI_TABANI!$B$6 + IF(ISNUMBER(SEARCH("Var", D82)), (VERI_TABANI!$F$29/VERI_TABANI!$B$29)*(VERI_TABANI!$B$10+VERI_TABANI!$B$12), 0)</f>
        <v/>
      </c>
      <c r="G82" s="168">
        <f>(((MIN(VERI_TABANI!D23, VERI_TABANI!D23*B82)*VERI_TABANI!$B$7 + MAX(0, VERI_TABANI!D23*B82-VERI_TABANI!D23)*VERI_TABANI!$B$8) + (MIN(MAX(0, VERI_TABANI!D23-VERI_TABANI!D23*B82), VERI_TABANI!D23*C82)*VERI_TABANI!$B$7 + MAX(0, VERI_TABANI!D23*C82-MAX(0, VERI_TABANI!D23-VERI_TABANI!D23*B82))*VERI_TABANI!$B$8) + IF(ABS(IF(ISNUMBER(SEARCH("Var", D82)), 1, IF(ISNUMBER(SEARCH("Gri", D82)), -1, 0)))=1, VERI_TABANI!E23*(1-0.928)*VERI_TABANI!$B$9, 0) + (VERI_TABANI!D23*B82*(VERI_TABANI!$B$13-VERI_TABANI!$B$14)*VERI_TABANI!G23) + (VERI_TABANI!D23*C82*(VERI_TABANI!$B$13-VERI_TABANI!$B$15)*VERI_TABANI!G23) + IF(ABS(IF(ISNUMBER(SEARCH("Var", D82)), 1, IF(ISNUMBER(SEARCH("Gri", D82)), -1, 0)))=1, VERI_TABANI!E23*(1-0.928)*0.00206091519919798*VERI_TABANI!G23, 0)) + ((MIN(VERI_TABANI!D24, VERI_TABANI!D24*B82)*VERI_TABANI!$B$7 + MAX(0, VERI_TABANI!D24*B82-VERI_TABANI!D24)*VERI_TABANI!$B$8) + (MIN(MAX(0, VERI_TABANI!D24-VERI_TABANI!D24*B82), VERI_TABANI!D24*C82)*VERI_TABANI!$B$7 + MAX(0, VERI_TABANI!D24*C82-MAX(0, VERI_TABANI!D24-VERI_TABANI!D24*B82))*VERI_TABANI!$B$8) + IF(ABS(IF(ISNUMBER(SEARCH("Var", D82)), 1, IF(ISNUMBER(SEARCH("Gri", D82)), -1, 0)))=1, VERI_TABANI!E24*(1-0.928)*VERI_TABANI!$B$9, 0) + (VERI_TABANI!D24*B82*(VERI_TABANI!$B$13-VERI_TABANI!$B$14)*VERI_TABANI!G24) + (VERI_TABANI!D24*C82*(VERI_TABANI!$B$13-VERI_TABANI!$B$15)*VERI_TABANI!G24) + IF(ABS(IF(ISNUMBER(SEARCH("Var", D82)), 1, IF(ISNUMBER(SEARCH("Gri", D82)), -1, 0)))=1, VERI_TABANI!E24*(1-0.928)*0.00206091519919798*VERI_TABANI!G24, 0)) + ((MIN(VERI_TABANI!D25, VERI_TABANI!D25*B82)*VERI_TABANI!$B$7 + MAX(0, VERI_TABANI!D25*B82-VERI_TABANI!D25)*VERI_TABANI!$B$8) + (MIN(MAX(0, VERI_TABANI!D25-VERI_TABANI!D25*B82), VERI_TABANI!D25*C82)*VERI_TABANI!$B$7 + MAX(0, VERI_TABANI!D25*C82-MAX(0, VERI_TABANI!D25-VERI_TABANI!D25*B82))*VERI_TABANI!$B$8) + IF(ABS(IF(ISNUMBER(SEARCH("Var", D82)), 1, IF(ISNUMBER(SEARCH("Gri", D82)), -1, 0)))=1, VERI_TABANI!E25*(1-0.928)*VERI_TABANI!$B$9, 0) + (VERI_TABANI!D25*B82*(VERI_TABANI!$B$13-VERI_TABANI!$B$14)*VERI_TABANI!G25) + (VERI_TABANI!D25*C82*(VERI_TABANI!$B$13-VERI_TABANI!$B$15)*VERI_TABANI!G25) + IF(ABS(IF(ISNUMBER(SEARCH("Var", D82)), 1, IF(ISNUMBER(SEARCH("Gri", D82)), -1, 0)))=1, VERI_TABANI!E25*(1-0.928)*0.00206091519919798*VERI_TABANI!G25, 0)) + ((MIN(VERI_TABANI!D26, VERI_TABANI!D26*B82)*VERI_TABANI!$B$7 + MAX(0, VERI_TABANI!D26*B82-VERI_TABANI!D26)*VERI_TABANI!$B$8) + (MIN(MAX(0, VERI_TABANI!D26-VERI_TABANI!D26*B82), VERI_TABANI!D26*C82)*VERI_TABANI!$B$7 + MAX(0, VERI_TABANI!D26*C82-MAX(0, VERI_TABANI!D26-VERI_TABANI!D26*B82))*VERI_TABANI!$B$8) + IF(ABS(IF(ISNUMBER(SEARCH("Var", D82)), 1, IF(ISNUMBER(SEARCH("Gri", D82)), -1, 0)))=1, VERI_TABANI!E26*(1-0.928)*VERI_TABANI!$B$9, 0) + (VERI_TABANI!D26*B82*(VERI_TABANI!$B$13-VERI_TABANI!$B$14)*VERI_TABANI!G26) + (VERI_TABANI!D26*C82*(VERI_TABANI!$B$13-VERI_TABANI!$B$15)*VERI_TABANI!G26) + IF(ABS(IF(ISNUMBER(SEARCH("Var", D82)), 1, IF(ISNUMBER(SEARCH("Gri", D82)), -1, 0)))=1, VERI_TABANI!E26*(1-0.928)*0.00206091519919798*VERI_TABANI!G26, 0)) + ((MIN(VERI_TABANI!D27, VERI_TABANI!D27*B82)*VERI_TABANI!$B$7 + MAX(0, VERI_TABANI!D27*B82-VERI_TABANI!D27)*VERI_TABANI!$B$8) + (MIN(MAX(0, VERI_TABANI!D27-VERI_TABANI!D27*B82), VERI_TABANI!D27*C82)*VERI_TABANI!$B$7 + MAX(0, VERI_TABANI!D27*C82-MAX(0, VERI_TABANI!D27-VERI_TABANI!D27*B82))*VERI_TABANI!$B$8) + IF(ABS(IF(ISNUMBER(SEARCH("Var", D82)), 1, IF(ISNUMBER(SEARCH("Gri", D82)), -1, 0)))=1, VERI_TABANI!E27*(1-0.928)*VERI_TABANI!$B$9, 0) + (VERI_TABANI!D27*B82*(VERI_TABANI!$B$13-VERI_TABANI!$B$14)*VERI_TABANI!G27) + (VERI_TABANI!D27*C82*(VERI_TABANI!$B$13-VERI_TABANI!$B$15)*VERI_TABANI!G27) + IF(ABS(IF(ISNUMBER(SEARCH("Var", D82)), 1, IF(ISNUMBER(SEARCH("Gri", D82)), -1, 0)))=1, VERI_TABANI!E27*(1-0.928)*0.00206091519919798*VERI_TABANI!G27, 0)) + ((MIN(VERI_TABANI!D28, VERI_TABANI!D28*B82)*VERI_TABANI!$B$7 + MAX(0, VERI_TABANI!D28*B82-VERI_TABANI!D28)*VERI_TABANI!$B$8) + (MIN(MAX(0, VERI_TABANI!D28-VERI_TABANI!D28*B82), VERI_TABANI!D28*C82)*VERI_TABANI!$B$7 + MAX(0, VERI_TABANI!D28*C82-MAX(0, VERI_TABANI!D28-VERI_TABANI!D28*B82))*VERI_TABANI!$B$8) + IF(ABS(IF(ISNUMBER(SEARCH("Var", D82)), 1, IF(ISNUMBER(SEARCH("Gri", D82)), -1, 0)))=1, VERI_TABANI!E28*(1-0.928)*VERI_TABANI!$B$9, 0) + (VERI_TABANI!D28*B82*(VERI_TABANI!$B$13-VERI_TABANI!$B$14)*VERI_TABANI!G28) + (VERI_TABANI!D28*C82*(VERI_TABANI!$B$13-VERI_TABANI!$B$15)*VERI_TABANI!G28) + IF(ABS(IF(ISNUMBER(SEARCH("Var", D82)), 1, IF(ISNUMBER(SEARCH("Gri", D82)), -1, 0)))=1, VERI_TABANI!E28*(1-0.928)*0.00206091519919798*VERI_TABANI!G28, 0)))</f>
        <v/>
      </c>
      <c r="H82" s="169">
        <f>(((VERI_TABANI!D23*B82*(VERI_TABANI!$B$13-VERI_TABANI!$B$14)) + (VERI_TABANI!D23*C82*(VERI_TABANI!$B$13-VERI_TABANI!$B$15)) + IF(ISNUMBER(SEARCH("Var", D82)), VERI_TABANI!F23*(0.00202-VERI_TABANI!$B$16), IF(ISNUMBER(SEARCH("Gri", D82)), VERI_TABANI!F23*(0.00202-VERI_TABANI!$B$17), 0))) + ((VERI_TABANI!D24*B82*(VERI_TABANI!$B$13-VERI_TABANI!$B$14)) + (VERI_TABANI!D24*C82*(VERI_TABANI!$B$13-VERI_TABANI!$B$15)) + IF(ISNUMBER(SEARCH("Var", D82)), VERI_TABANI!F24*(0.00202-VERI_TABANI!$B$16), IF(ISNUMBER(SEARCH("Gri", D82)), VERI_TABANI!F24*(0.00202-VERI_TABANI!$B$17), 0))) + ((VERI_TABANI!D25*B82*(VERI_TABANI!$B$13-VERI_TABANI!$B$14)) + (VERI_TABANI!D25*C82*(VERI_TABANI!$B$13-VERI_TABANI!$B$15)) + IF(ISNUMBER(SEARCH("Var", D82)), VERI_TABANI!F25*(0.00202-VERI_TABANI!$B$16), IF(ISNUMBER(SEARCH("Gri", D82)), VERI_TABANI!F25*(0.00202-VERI_TABANI!$B$17), 0))) + ((VERI_TABANI!D26*B82*(VERI_TABANI!$B$13-VERI_TABANI!$B$14)) + (VERI_TABANI!D26*C82*(VERI_TABANI!$B$13-VERI_TABANI!$B$15)) + IF(ISNUMBER(SEARCH("Var", D82)), VERI_TABANI!F26*(0.00202-VERI_TABANI!$B$16), IF(ISNUMBER(SEARCH("Gri", D82)), VERI_TABANI!F26*(0.00202-VERI_TABANI!$B$17), 0))) + ((VERI_TABANI!D27*B82*(VERI_TABANI!$B$13-VERI_TABANI!$B$14)) + (VERI_TABANI!D27*C82*(VERI_TABANI!$B$13-VERI_TABANI!$B$15)) + IF(ISNUMBER(SEARCH("Var", D82)), VERI_TABANI!F27*(0.00202-VERI_TABANI!$B$16), IF(ISNUMBER(SEARCH("Gri", D82)), VERI_TABANI!F27*(0.00202-VERI_TABANI!$B$17), 0))) + ((VERI_TABANI!D28*B82*(VERI_TABANI!$B$13-VERI_TABANI!$B$14)) + (VERI_TABANI!D28*C82*(VERI_TABANI!$B$13-VERI_TABANI!$B$15)) + IF(ISNUMBER(SEARCH("Var", D82)), VERI_TABANI!F28*(0.00202-VERI_TABANI!$B$16), IF(ISNUMBER(SEARCH("Gri", D82)), VERI_TABANI!F28*(0.00202-VERI_TABANI!$B$17), 0))))</f>
        <v/>
      </c>
      <c r="I82" s="170">
        <f>IFERROR(((VERI_TABANI!$D$29*B82*VERI_TABANI!$B$14 + VERI_TABANI!$D$29*C82*VERI_TABANI!$B$15 + IF(ISNUMBER(SEARCH("Var", D82)), VERI_TABANI!$F$29*VERI_TABANI!$B$16, 0))) / (((VERI_TABANI!$D$29*B82 + VERI_TABANI!$D$29*C82)*VERI_TABANI!$B$13 + IF(ISNUMBER(SEARCH("Var", D82)), VERI_TABANI!$E$29*(1-0.928)*VERI_TABANI!$B$18, 0))), 0)</f>
        <v/>
      </c>
      <c r="J82" s="171">
        <f>IFERROR(F82/(G82/29), 0)</f>
        <v/>
      </c>
      <c r="K82" s="172">
        <f>IF(F82&gt;0, H82/F82, 0)</f>
        <v/>
      </c>
      <c r="L82" s="170">
        <f>IF(F82&gt;0, I82, 1000000000)</f>
        <v/>
      </c>
      <c r="M82" s="171">
        <f>ABS((B82+C82)-1)</f>
        <v/>
      </c>
      <c r="N82" s="170">
        <f>IF(F82&gt;0, (G82/29)/F82, 0)</f>
        <v/>
      </c>
      <c r="O82" s="168">
        <f>IF(AND((B82+C82)&gt;=1, ISNUMBER(SEARCH("Var", D82))), F82, 1000000000)</f>
        <v/>
      </c>
      <c r="P82" s="172">
        <f>IF(F82&gt;0, SQRT((F82/MAX(F$5:F$886))^2 + (1 - H82/MAX(H$5:H$886))^2 + (J82/MAX(J$5:J$886))^2), 1000000000)</f>
        <v/>
      </c>
      <c r="Q82" s="166">
        <f>IF(AND(ABS(B82-0.5)&lt;0.01, ABS(C82-0.5)&lt;0.01, ISNUMBER(SEARCH("Var", D82))), 1, 0)</f>
        <v/>
      </c>
      <c r="R82" s="171">
        <f>IF(F82&gt;0, J82, 1000000000)</f>
        <v/>
      </c>
      <c r="S82" s="101">
        <f>IF(AND(F82&lt;=DASHBOARD!$B$11, H82&gt;=DASHBOARD!$B$13), G82, -1000000000000)</f>
        <v/>
      </c>
      <c r="T82" s="101">
        <f>IF(AND(F82&lt;=DASHBOARD!$B$11, H82&gt;=DASHBOARD!$B$13), R82, 1000000000000)</f>
        <v/>
      </c>
      <c r="U82" s="101">
        <f>IF(AND(F82&lt;=DASHBOARD!$B$11, H82&gt;=DASHBOARD!$B$13), N82, -1000000000000)</f>
        <v/>
      </c>
      <c r="V82" s="101">
        <f>IF(AND(F82&lt;=DASHBOARD!$B$11, H82&gt;=DASHBOARD!$B$13), H82, -1000000000000)</f>
        <v/>
      </c>
      <c r="W82" s="101">
        <f>IF(AND(F82&lt;=DASHBOARD!$B$11, H82&gt;=DASHBOARD!$B$13), K82, -1000000000000)</f>
        <v/>
      </c>
      <c r="X82" s="101">
        <f>IF(AND(F82&lt;=DASHBOARD!$B$11, H82&gt;=DASHBOARD!$B$13), M82, 1000000000000)</f>
        <v/>
      </c>
      <c r="Y82" s="101">
        <f>IF(AND(F82&lt;=DASHBOARD!$B$10, H82&gt;=DASHBOARD!$B$11), L82, 1000000000000)</f>
        <v/>
      </c>
      <c r="Z82" s="101">
        <f>IF(AND(F82&lt;=DASHBOARD!$B$10, H82&gt;=DASHBOARD!$B$11), O82, 1000000000000)</f>
        <v/>
      </c>
      <c r="AA82" s="101">
        <f>IF(AND(F82&lt;=DASHBOARD!$B$10, H82&gt;=DASHBOARD!$B$11), P82, 1000000000000)</f>
        <v/>
      </c>
      <c r="AB82" s="101">
        <f>IF(AND(F82&lt;=DASHBOARD!$B$10, H82&gt;=DASHBOARD!$B$11), Q82, -1000000000000)</f>
        <v/>
      </c>
    </row>
    <row r="83" ht="12.75" customHeight="1" s="102">
      <c r="A83" s="166" t="n">
        <v>79</v>
      </c>
      <c r="B83" s="167" t="n">
        <v>0.1</v>
      </c>
      <c r="C83" s="167" t="n">
        <v>1.8</v>
      </c>
      <c r="D83" s="110" t="inlineStr">
        <is>
          <t>Yok (%0)</t>
        </is>
      </c>
      <c r="E83" s="110">
        <f>IF((B83+C83)&lt;=1, "Tam Mahsuplaşma (≤%100)", "Kısmi Satış (&gt;%100)")</f>
        <v/>
      </c>
      <c r="F83" s="168">
        <f>((VERI_TABANI!$D$29*B83/VERI_TABANI!$B$29)/VERI_TABANI!$B$3)*VERI_TABANI!$B$5 + ((VERI_TABANI!$D$29*C83/VERI_TABANI!$B$29)/VERI_TABANI!$B$4)*VERI_TABANI!$B$6 + IF(ISNUMBER(SEARCH("Var", D83)), (VERI_TABANI!$F$29/VERI_TABANI!$B$29)*(VERI_TABANI!$B$10+VERI_TABANI!$B$12), 0)</f>
        <v/>
      </c>
      <c r="G83" s="168">
        <f>(((MIN(VERI_TABANI!D23, VERI_TABANI!D23*B83)*VERI_TABANI!$B$7 + MAX(0, VERI_TABANI!D23*B83-VERI_TABANI!D23)*VERI_TABANI!$B$8) + (MIN(MAX(0, VERI_TABANI!D23-VERI_TABANI!D23*B83), VERI_TABANI!D23*C83)*VERI_TABANI!$B$7 + MAX(0, VERI_TABANI!D23*C83-MAX(0, VERI_TABANI!D23-VERI_TABANI!D23*B83))*VERI_TABANI!$B$8) + IF(ABS(IF(ISNUMBER(SEARCH("Var", D83)), 1, IF(ISNUMBER(SEARCH("Gri", D83)), -1, 0)))=1, VERI_TABANI!E23*(1-0.928)*VERI_TABANI!$B$9, 0) + (VERI_TABANI!D23*B83*(VERI_TABANI!$B$13-VERI_TABANI!$B$14)*VERI_TABANI!G23) + (VERI_TABANI!D23*C83*(VERI_TABANI!$B$13-VERI_TABANI!$B$15)*VERI_TABANI!G23) + IF(ABS(IF(ISNUMBER(SEARCH("Var", D83)), 1, IF(ISNUMBER(SEARCH("Gri", D83)), -1, 0)))=1, VERI_TABANI!E23*(1-0.928)*0.00206091519919798*VERI_TABANI!G23, 0)) + ((MIN(VERI_TABANI!D24, VERI_TABANI!D24*B83)*VERI_TABANI!$B$7 + MAX(0, VERI_TABANI!D24*B83-VERI_TABANI!D24)*VERI_TABANI!$B$8) + (MIN(MAX(0, VERI_TABANI!D24-VERI_TABANI!D24*B83), VERI_TABANI!D24*C83)*VERI_TABANI!$B$7 + MAX(0, VERI_TABANI!D24*C83-MAX(0, VERI_TABANI!D24-VERI_TABANI!D24*B83))*VERI_TABANI!$B$8) + IF(ABS(IF(ISNUMBER(SEARCH("Var", D83)), 1, IF(ISNUMBER(SEARCH("Gri", D83)), -1, 0)))=1, VERI_TABANI!E24*(1-0.928)*VERI_TABANI!$B$9, 0) + (VERI_TABANI!D24*B83*(VERI_TABANI!$B$13-VERI_TABANI!$B$14)*VERI_TABANI!G24) + (VERI_TABANI!D24*C83*(VERI_TABANI!$B$13-VERI_TABANI!$B$15)*VERI_TABANI!G24) + IF(ABS(IF(ISNUMBER(SEARCH("Var", D83)), 1, IF(ISNUMBER(SEARCH("Gri", D83)), -1, 0)))=1, VERI_TABANI!E24*(1-0.928)*0.00206091519919798*VERI_TABANI!G24, 0)) + ((MIN(VERI_TABANI!D25, VERI_TABANI!D25*B83)*VERI_TABANI!$B$7 + MAX(0, VERI_TABANI!D25*B83-VERI_TABANI!D25)*VERI_TABANI!$B$8) + (MIN(MAX(0, VERI_TABANI!D25-VERI_TABANI!D25*B83), VERI_TABANI!D25*C83)*VERI_TABANI!$B$7 + MAX(0, VERI_TABANI!D25*C83-MAX(0, VERI_TABANI!D25-VERI_TABANI!D25*B83))*VERI_TABANI!$B$8) + IF(ABS(IF(ISNUMBER(SEARCH("Var", D83)), 1, IF(ISNUMBER(SEARCH("Gri", D83)), -1, 0)))=1, VERI_TABANI!E25*(1-0.928)*VERI_TABANI!$B$9, 0) + (VERI_TABANI!D25*B83*(VERI_TABANI!$B$13-VERI_TABANI!$B$14)*VERI_TABANI!G25) + (VERI_TABANI!D25*C83*(VERI_TABANI!$B$13-VERI_TABANI!$B$15)*VERI_TABANI!G25) + IF(ABS(IF(ISNUMBER(SEARCH("Var", D83)), 1, IF(ISNUMBER(SEARCH("Gri", D83)), -1, 0)))=1, VERI_TABANI!E25*(1-0.928)*0.00206091519919798*VERI_TABANI!G25, 0)) + ((MIN(VERI_TABANI!D26, VERI_TABANI!D26*B83)*VERI_TABANI!$B$7 + MAX(0, VERI_TABANI!D26*B83-VERI_TABANI!D26)*VERI_TABANI!$B$8) + (MIN(MAX(0, VERI_TABANI!D26-VERI_TABANI!D26*B83), VERI_TABANI!D26*C83)*VERI_TABANI!$B$7 + MAX(0, VERI_TABANI!D26*C83-MAX(0, VERI_TABANI!D26-VERI_TABANI!D26*B83))*VERI_TABANI!$B$8) + IF(ABS(IF(ISNUMBER(SEARCH("Var", D83)), 1, IF(ISNUMBER(SEARCH("Gri", D83)), -1, 0)))=1, VERI_TABANI!E26*(1-0.928)*VERI_TABANI!$B$9, 0) + (VERI_TABANI!D26*B83*(VERI_TABANI!$B$13-VERI_TABANI!$B$14)*VERI_TABANI!G26) + (VERI_TABANI!D26*C83*(VERI_TABANI!$B$13-VERI_TABANI!$B$15)*VERI_TABANI!G26) + IF(ABS(IF(ISNUMBER(SEARCH("Var", D83)), 1, IF(ISNUMBER(SEARCH("Gri", D83)), -1, 0)))=1, VERI_TABANI!E26*(1-0.928)*0.00206091519919798*VERI_TABANI!G26, 0)) + ((MIN(VERI_TABANI!D27, VERI_TABANI!D27*B83)*VERI_TABANI!$B$7 + MAX(0, VERI_TABANI!D27*B83-VERI_TABANI!D27)*VERI_TABANI!$B$8) + (MIN(MAX(0, VERI_TABANI!D27-VERI_TABANI!D27*B83), VERI_TABANI!D27*C83)*VERI_TABANI!$B$7 + MAX(0, VERI_TABANI!D27*C83-MAX(0, VERI_TABANI!D27-VERI_TABANI!D27*B83))*VERI_TABANI!$B$8) + IF(ABS(IF(ISNUMBER(SEARCH("Var", D83)), 1, IF(ISNUMBER(SEARCH("Gri", D83)), -1, 0)))=1, VERI_TABANI!E27*(1-0.928)*VERI_TABANI!$B$9, 0) + (VERI_TABANI!D27*B83*(VERI_TABANI!$B$13-VERI_TABANI!$B$14)*VERI_TABANI!G27) + (VERI_TABANI!D27*C83*(VERI_TABANI!$B$13-VERI_TABANI!$B$15)*VERI_TABANI!G27) + IF(ABS(IF(ISNUMBER(SEARCH("Var", D83)), 1, IF(ISNUMBER(SEARCH("Gri", D83)), -1, 0)))=1, VERI_TABANI!E27*(1-0.928)*0.00206091519919798*VERI_TABANI!G27, 0)) + ((MIN(VERI_TABANI!D28, VERI_TABANI!D28*B83)*VERI_TABANI!$B$7 + MAX(0, VERI_TABANI!D28*B83-VERI_TABANI!D28)*VERI_TABANI!$B$8) + (MIN(MAX(0, VERI_TABANI!D28-VERI_TABANI!D28*B83), VERI_TABANI!D28*C83)*VERI_TABANI!$B$7 + MAX(0, VERI_TABANI!D28*C83-MAX(0, VERI_TABANI!D28-VERI_TABANI!D28*B83))*VERI_TABANI!$B$8) + IF(ABS(IF(ISNUMBER(SEARCH("Var", D83)), 1, IF(ISNUMBER(SEARCH("Gri", D83)), -1, 0)))=1, VERI_TABANI!E28*(1-0.928)*VERI_TABANI!$B$9, 0) + (VERI_TABANI!D28*B83*(VERI_TABANI!$B$13-VERI_TABANI!$B$14)*VERI_TABANI!G28) + (VERI_TABANI!D28*C83*(VERI_TABANI!$B$13-VERI_TABANI!$B$15)*VERI_TABANI!G28) + IF(ABS(IF(ISNUMBER(SEARCH("Var", D83)), 1, IF(ISNUMBER(SEARCH("Gri", D83)), -1, 0)))=1, VERI_TABANI!E28*(1-0.928)*0.00206091519919798*VERI_TABANI!G28, 0)))</f>
        <v/>
      </c>
      <c r="H83" s="169">
        <f>(((VERI_TABANI!D23*B83*(VERI_TABANI!$B$13-VERI_TABANI!$B$14)) + (VERI_TABANI!D23*C83*(VERI_TABANI!$B$13-VERI_TABANI!$B$15)) + IF(ISNUMBER(SEARCH("Var", D83)), VERI_TABANI!F23*(0.00202-VERI_TABANI!$B$16), IF(ISNUMBER(SEARCH("Gri", D83)), VERI_TABANI!F23*(0.00202-VERI_TABANI!$B$17), 0))) + ((VERI_TABANI!D24*B83*(VERI_TABANI!$B$13-VERI_TABANI!$B$14)) + (VERI_TABANI!D24*C83*(VERI_TABANI!$B$13-VERI_TABANI!$B$15)) + IF(ISNUMBER(SEARCH("Var", D83)), VERI_TABANI!F24*(0.00202-VERI_TABANI!$B$16), IF(ISNUMBER(SEARCH("Gri", D83)), VERI_TABANI!F24*(0.00202-VERI_TABANI!$B$17), 0))) + ((VERI_TABANI!D25*B83*(VERI_TABANI!$B$13-VERI_TABANI!$B$14)) + (VERI_TABANI!D25*C83*(VERI_TABANI!$B$13-VERI_TABANI!$B$15)) + IF(ISNUMBER(SEARCH("Var", D83)), VERI_TABANI!F25*(0.00202-VERI_TABANI!$B$16), IF(ISNUMBER(SEARCH("Gri", D83)), VERI_TABANI!F25*(0.00202-VERI_TABANI!$B$17), 0))) + ((VERI_TABANI!D26*B83*(VERI_TABANI!$B$13-VERI_TABANI!$B$14)) + (VERI_TABANI!D26*C83*(VERI_TABANI!$B$13-VERI_TABANI!$B$15)) + IF(ISNUMBER(SEARCH("Var", D83)), VERI_TABANI!F26*(0.00202-VERI_TABANI!$B$16), IF(ISNUMBER(SEARCH("Gri", D83)), VERI_TABANI!F26*(0.00202-VERI_TABANI!$B$17), 0))) + ((VERI_TABANI!D27*B83*(VERI_TABANI!$B$13-VERI_TABANI!$B$14)) + (VERI_TABANI!D27*C83*(VERI_TABANI!$B$13-VERI_TABANI!$B$15)) + IF(ISNUMBER(SEARCH("Var", D83)), VERI_TABANI!F27*(0.00202-VERI_TABANI!$B$16), IF(ISNUMBER(SEARCH("Gri", D83)), VERI_TABANI!F27*(0.00202-VERI_TABANI!$B$17), 0))) + ((VERI_TABANI!D28*B83*(VERI_TABANI!$B$13-VERI_TABANI!$B$14)) + (VERI_TABANI!D28*C83*(VERI_TABANI!$B$13-VERI_TABANI!$B$15)) + IF(ISNUMBER(SEARCH("Var", D83)), VERI_TABANI!F28*(0.00202-VERI_TABANI!$B$16), IF(ISNUMBER(SEARCH("Gri", D83)), VERI_TABANI!F28*(0.00202-VERI_TABANI!$B$17), 0))))</f>
        <v/>
      </c>
      <c r="I83" s="170">
        <f>IFERROR(((VERI_TABANI!$D$29*B83*VERI_TABANI!$B$14 + VERI_TABANI!$D$29*C83*VERI_TABANI!$B$15 + IF(ISNUMBER(SEARCH("Var", D83)), VERI_TABANI!$F$29*VERI_TABANI!$B$16, 0))) / (((VERI_TABANI!$D$29*B83 + VERI_TABANI!$D$29*C83)*VERI_TABANI!$B$13 + IF(ISNUMBER(SEARCH("Var", D83)), VERI_TABANI!$E$29*(1-0.928)*VERI_TABANI!$B$18, 0))), 0)</f>
        <v/>
      </c>
      <c r="J83" s="171">
        <f>IFERROR(F83/(G83/29), 0)</f>
        <v/>
      </c>
      <c r="K83" s="172">
        <f>IF(F83&gt;0, H83/F83, 0)</f>
        <v/>
      </c>
      <c r="L83" s="170">
        <f>IF(F83&gt;0, I83, 1000000000)</f>
        <v/>
      </c>
      <c r="M83" s="171">
        <f>ABS((B83+C83)-1)</f>
        <v/>
      </c>
      <c r="N83" s="170">
        <f>IF(F83&gt;0, (G83/29)/F83, 0)</f>
        <v/>
      </c>
      <c r="O83" s="168">
        <f>IF(AND((B83+C83)&gt;=1, ISNUMBER(SEARCH("Var", D83))), F83, 1000000000)</f>
        <v/>
      </c>
      <c r="P83" s="172">
        <f>IF(F83&gt;0, SQRT((F83/MAX(F$5:F$886))^2 + (1 - H83/MAX(H$5:H$886))^2 + (J83/MAX(J$5:J$886))^2), 1000000000)</f>
        <v/>
      </c>
      <c r="Q83" s="166">
        <f>IF(AND(ABS(B83-0.5)&lt;0.01, ABS(C83-0.5)&lt;0.01, ISNUMBER(SEARCH("Var", D83))), 1, 0)</f>
        <v/>
      </c>
      <c r="R83" s="171">
        <f>IF(F83&gt;0, J83, 1000000000)</f>
        <v/>
      </c>
      <c r="S83" s="101">
        <f>IF(AND(F83&lt;=DASHBOARD!$B$11, H83&gt;=DASHBOARD!$B$13), G83, -1000000000000)</f>
        <v/>
      </c>
      <c r="T83" s="101">
        <f>IF(AND(F83&lt;=DASHBOARD!$B$11, H83&gt;=DASHBOARD!$B$13), R83, 1000000000000)</f>
        <v/>
      </c>
      <c r="U83" s="101">
        <f>IF(AND(F83&lt;=DASHBOARD!$B$11, H83&gt;=DASHBOARD!$B$13), N83, -1000000000000)</f>
        <v/>
      </c>
      <c r="V83" s="101">
        <f>IF(AND(F83&lt;=DASHBOARD!$B$11, H83&gt;=DASHBOARD!$B$13), H83, -1000000000000)</f>
        <v/>
      </c>
      <c r="W83" s="101">
        <f>IF(AND(F83&lt;=DASHBOARD!$B$11, H83&gt;=DASHBOARD!$B$13), K83, -1000000000000)</f>
        <v/>
      </c>
      <c r="X83" s="101">
        <f>IF(AND(F83&lt;=DASHBOARD!$B$11, H83&gt;=DASHBOARD!$B$13), M83, 1000000000000)</f>
        <v/>
      </c>
      <c r="Y83" s="101">
        <f>IF(AND(F83&lt;=DASHBOARD!$B$10, H83&gt;=DASHBOARD!$B$11), L83, 1000000000000)</f>
        <v/>
      </c>
      <c r="Z83" s="101">
        <f>IF(AND(F83&lt;=DASHBOARD!$B$10, H83&gt;=DASHBOARD!$B$11), O83, 1000000000000)</f>
        <v/>
      </c>
      <c r="AA83" s="101">
        <f>IF(AND(F83&lt;=DASHBOARD!$B$10, H83&gt;=DASHBOARD!$B$11), P83, 1000000000000)</f>
        <v/>
      </c>
      <c r="AB83" s="101">
        <f>IF(AND(F83&lt;=DASHBOARD!$B$10, H83&gt;=DASHBOARD!$B$11), Q83, -1000000000000)</f>
        <v/>
      </c>
    </row>
    <row r="84" ht="12.75" customHeight="1" s="102">
      <c r="A84" s="166" t="n">
        <v>80</v>
      </c>
      <c r="B84" s="167" t="n">
        <v>0.1</v>
      </c>
      <c r="C84" s="167" t="n">
        <v>1.8</v>
      </c>
      <c r="D84" s="110" t="inlineStr">
        <is>
          <t>Var (%20)</t>
        </is>
      </c>
      <c r="E84" s="110">
        <f>IF((B84+C84)&lt;=1, "Tam Mahsuplaşma (≤%100)", "Kısmi Satış (&gt;%100)")</f>
        <v/>
      </c>
      <c r="F84" s="168">
        <f>((VERI_TABANI!$D$29*B84/VERI_TABANI!$B$29)/VERI_TABANI!$B$3)*VERI_TABANI!$B$5 + ((VERI_TABANI!$D$29*C84/VERI_TABANI!$B$29)/VERI_TABANI!$B$4)*VERI_TABANI!$B$6 + IF(ISNUMBER(SEARCH("Var", D84)), (VERI_TABANI!$F$29/VERI_TABANI!$B$29)*(VERI_TABANI!$B$10+VERI_TABANI!$B$12), 0)</f>
        <v/>
      </c>
      <c r="G84" s="168">
        <f>(((MIN(VERI_TABANI!D23, VERI_TABANI!D23*B84)*VERI_TABANI!$B$7 + MAX(0, VERI_TABANI!D23*B84-VERI_TABANI!D23)*VERI_TABANI!$B$8) + (MIN(MAX(0, VERI_TABANI!D23-VERI_TABANI!D23*B84), VERI_TABANI!D23*C84)*VERI_TABANI!$B$7 + MAX(0, VERI_TABANI!D23*C84-MAX(0, VERI_TABANI!D23-VERI_TABANI!D23*B84))*VERI_TABANI!$B$8) + IF(ABS(IF(ISNUMBER(SEARCH("Var", D84)), 1, IF(ISNUMBER(SEARCH("Gri", D84)), -1, 0)))=1, VERI_TABANI!E23*(1-0.928)*VERI_TABANI!$B$9, 0) + (VERI_TABANI!D23*B84*(VERI_TABANI!$B$13-VERI_TABANI!$B$14)*VERI_TABANI!G23) + (VERI_TABANI!D23*C84*(VERI_TABANI!$B$13-VERI_TABANI!$B$15)*VERI_TABANI!G23) + IF(ABS(IF(ISNUMBER(SEARCH("Var", D84)), 1, IF(ISNUMBER(SEARCH("Gri", D84)), -1, 0)))=1, VERI_TABANI!E23*(1-0.928)*0.00206091519919798*VERI_TABANI!G23, 0)) + ((MIN(VERI_TABANI!D24, VERI_TABANI!D24*B84)*VERI_TABANI!$B$7 + MAX(0, VERI_TABANI!D24*B84-VERI_TABANI!D24)*VERI_TABANI!$B$8) + (MIN(MAX(0, VERI_TABANI!D24-VERI_TABANI!D24*B84), VERI_TABANI!D24*C84)*VERI_TABANI!$B$7 + MAX(0, VERI_TABANI!D24*C84-MAX(0, VERI_TABANI!D24-VERI_TABANI!D24*B84))*VERI_TABANI!$B$8) + IF(ABS(IF(ISNUMBER(SEARCH("Var", D84)), 1, IF(ISNUMBER(SEARCH("Gri", D84)), -1, 0)))=1, VERI_TABANI!E24*(1-0.928)*VERI_TABANI!$B$9, 0) + (VERI_TABANI!D24*B84*(VERI_TABANI!$B$13-VERI_TABANI!$B$14)*VERI_TABANI!G24) + (VERI_TABANI!D24*C84*(VERI_TABANI!$B$13-VERI_TABANI!$B$15)*VERI_TABANI!G24) + IF(ABS(IF(ISNUMBER(SEARCH("Var", D84)), 1, IF(ISNUMBER(SEARCH("Gri", D84)), -1, 0)))=1, VERI_TABANI!E24*(1-0.928)*0.00206091519919798*VERI_TABANI!G24, 0)) + ((MIN(VERI_TABANI!D25, VERI_TABANI!D25*B84)*VERI_TABANI!$B$7 + MAX(0, VERI_TABANI!D25*B84-VERI_TABANI!D25)*VERI_TABANI!$B$8) + (MIN(MAX(0, VERI_TABANI!D25-VERI_TABANI!D25*B84), VERI_TABANI!D25*C84)*VERI_TABANI!$B$7 + MAX(0, VERI_TABANI!D25*C84-MAX(0, VERI_TABANI!D25-VERI_TABANI!D25*B84))*VERI_TABANI!$B$8) + IF(ABS(IF(ISNUMBER(SEARCH("Var", D84)), 1, IF(ISNUMBER(SEARCH("Gri", D84)), -1, 0)))=1, VERI_TABANI!E25*(1-0.928)*VERI_TABANI!$B$9, 0) + (VERI_TABANI!D25*B84*(VERI_TABANI!$B$13-VERI_TABANI!$B$14)*VERI_TABANI!G25) + (VERI_TABANI!D25*C84*(VERI_TABANI!$B$13-VERI_TABANI!$B$15)*VERI_TABANI!G25) + IF(ABS(IF(ISNUMBER(SEARCH("Var", D84)), 1, IF(ISNUMBER(SEARCH("Gri", D84)), -1, 0)))=1, VERI_TABANI!E25*(1-0.928)*0.00206091519919798*VERI_TABANI!G25, 0)) + ((MIN(VERI_TABANI!D26, VERI_TABANI!D26*B84)*VERI_TABANI!$B$7 + MAX(0, VERI_TABANI!D26*B84-VERI_TABANI!D26)*VERI_TABANI!$B$8) + (MIN(MAX(0, VERI_TABANI!D26-VERI_TABANI!D26*B84), VERI_TABANI!D26*C84)*VERI_TABANI!$B$7 + MAX(0, VERI_TABANI!D26*C84-MAX(0, VERI_TABANI!D26-VERI_TABANI!D26*B84))*VERI_TABANI!$B$8) + IF(ABS(IF(ISNUMBER(SEARCH("Var", D84)), 1, IF(ISNUMBER(SEARCH("Gri", D84)), -1, 0)))=1, VERI_TABANI!E26*(1-0.928)*VERI_TABANI!$B$9, 0) + (VERI_TABANI!D26*B84*(VERI_TABANI!$B$13-VERI_TABANI!$B$14)*VERI_TABANI!G26) + (VERI_TABANI!D26*C84*(VERI_TABANI!$B$13-VERI_TABANI!$B$15)*VERI_TABANI!G26) + IF(ABS(IF(ISNUMBER(SEARCH("Var", D84)), 1, IF(ISNUMBER(SEARCH("Gri", D84)), -1, 0)))=1, VERI_TABANI!E26*(1-0.928)*0.00206091519919798*VERI_TABANI!G26, 0)) + ((MIN(VERI_TABANI!D27, VERI_TABANI!D27*B84)*VERI_TABANI!$B$7 + MAX(0, VERI_TABANI!D27*B84-VERI_TABANI!D27)*VERI_TABANI!$B$8) + (MIN(MAX(0, VERI_TABANI!D27-VERI_TABANI!D27*B84), VERI_TABANI!D27*C84)*VERI_TABANI!$B$7 + MAX(0, VERI_TABANI!D27*C84-MAX(0, VERI_TABANI!D27-VERI_TABANI!D27*B84))*VERI_TABANI!$B$8) + IF(ABS(IF(ISNUMBER(SEARCH("Var", D84)), 1, IF(ISNUMBER(SEARCH("Gri", D84)), -1, 0)))=1, VERI_TABANI!E27*(1-0.928)*VERI_TABANI!$B$9, 0) + (VERI_TABANI!D27*B84*(VERI_TABANI!$B$13-VERI_TABANI!$B$14)*VERI_TABANI!G27) + (VERI_TABANI!D27*C84*(VERI_TABANI!$B$13-VERI_TABANI!$B$15)*VERI_TABANI!G27) + IF(ABS(IF(ISNUMBER(SEARCH("Var", D84)), 1, IF(ISNUMBER(SEARCH("Gri", D84)), -1, 0)))=1, VERI_TABANI!E27*(1-0.928)*0.00206091519919798*VERI_TABANI!G27, 0)) + ((MIN(VERI_TABANI!D28, VERI_TABANI!D28*B84)*VERI_TABANI!$B$7 + MAX(0, VERI_TABANI!D28*B84-VERI_TABANI!D28)*VERI_TABANI!$B$8) + (MIN(MAX(0, VERI_TABANI!D28-VERI_TABANI!D28*B84), VERI_TABANI!D28*C84)*VERI_TABANI!$B$7 + MAX(0, VERI_TABANI!D28*C84-MAX(0, VERI_TABANI!D28-VERI_TABANI!D28*B84))*VERI_TABANI!$B$8) + IF(ABS(IF(ISNUMBER(SEARCH("Var", D84)), 1, IF(ISNUMBER(SEARCH("Gri", D84)), -1, 0)))=1, VERI_TABANI!E28*(1-0.928)*VERI_TABANI!$B$9, 0) + (VERI_TABANI!D28*B84*(VERI_TABANI!$B$13-VERI_TABANI!$B$14)*VERI_TABANI!G28) + (VERI_TABANI!D28*C84*(VERI_TABANI!$B$13-VERI_TABANI!$B$15)*VERI_TABANI!G28) + IF(ABS(IF(ISNUMBER(SEARCH("Var", D84)), 1, IF(ISNUMBER(SEARCH("Gri", D84)), -1, 0)))=1, VERI_TABANI!E28*(1-0.928)*0.00206091519919798*VERI_TABANI!G28, 0)))</f>
        <v/>
      </c>
      <c r="H84" s="169">
        <f>(((VERI_TABANI!D23*B84*(VERI_TABANI!$B$13-VERI_TABANI!$B$14)) + (VERI_TABANI!D23*C84*(VERI_TABANI!$B$13-VERI_TABANI!$B$15)) + IF(ISNUMBER(SEARCH("Var", D84)), VERI_TABANI!F23*(0.00202-VERI_TABANI!$B$16), IF(ISNUMBER(SEARCH("Gri", D84)), VERI_TABANI!F23*(0.00202-VERI_TABANI!$B$17), 0))) + ((VERI_TABANI!D24*B84*(VERI_TABANI!$B$13-VERI_TABANI!$B$14)) + (VERI_TABANI!D24*C84*(VERI_TABANI!$B$13-VERI_TABANI!$B$15)) + IF(ISNUMBER(SEARCH("Var", D84)), VERI_TABANI!F24*(0.00202-VERI_TABANI!$B$16), IF(ISNUMBER(SEARCH("Gri", D84)), VERI_TABANI!F24*(0.00202-VERI_TABANI!$B$17), 0))) + ((VERI_TABANI!D25*B84*(VERI_TABANI!$B$13-VERI_TABANI!$B$14)) + (VERI_TABANI!D25*C84*(VERI_TABANI!$B$13-VERI_TABANI!$B$15)) + IF(ISNUMBER(SEARCH("Var", D84)), VERI_TABANI!F25*(0.00202-VERI_TABANI!$B$16), IF(ISNUMBER(SEARCH("Gri", D84)), VERI_TABANI!F25*(0.00202-VERI_TABANI!$B$17), 0))) + ((VERI_TABANI!D26*B84*(VERI_TABANI!$B$13-VERI_TABANI!$B$14)) + (VERI_TABANI!D26*C84*(VERI_TABANI!$B$13-VERI_TABANI!$B$15)) + IF(ISNUMBER(SEARCH("Var", D84)), VERI_TABANI!F26*(0.00202-VERI_TABANI!$B$16), IF(ISNUMBER(SEARCH("Gri", D84)), VERI_TABANI!F26*(0.00202-VERI_TABANI!$B$17), 0))) + ((VERI_TABANI!D27*B84*(VERI_TABANI!$B$13-VERI_TABANI!$B$14)) + (VERI_TABANI!D27*C84*(VERI_TABANI!$B$13-VERI_TABANI!$B$15)) + IF(ISNUMBER(SEARCH("Var", D84)), VERI_TABANI!F27*(0.00202-VERI_TABANI!$B$16), IF(ISNUMBER(SEARCH("Gri", D84)), VERI_TABANI!F27*(0.00202-VERI_TABANI!$B$17), 0))) + ((VERI_TABANI!D28*B84*(VERI_TABANI!$B$13-VERI_TABANI!$B$14)) + (VERI_TABANI!D28*C84*(VERI_TABANI!$B$13-VERI_TABANI!$B$15)) + IF(ISNUMBER(SEARCH("Var", D84)), VERI_TABANI!F28*(0.00202-VERI_TABANI!$B$16), IF(ISNUMBER(SEARCH("Gri", D84)), VERI_TABANI!F28*(0.00202-VERI_TABANI!$B$17), 0))))</f>
        <v/>
      </c>
      <c r="I84" s="170">
        <f>IFERROR(((VERI_TABANI!$D$29*B84*VERI_TABANI!$B$14 + VERI_TABANI!$D$29*C84*VERI_TABANI!$B$15 + IF(ISNUMBER(SEARCH("Var", D84)), VERI_TABANI!$F$29*VERI_TABANI!$B$16, 0))) / (((VERI_TABANI!$D$29*B84 + VERI_TABANI!$D$29*C84)*VERI_TABANI!$B$13 + IF(ISNUMBER(SEARCH("Var", D84)), VERI_TABANI!$E$29*(1-0.928)*VERI_TABANI!$B$18, 0))), 0)</f>
        <v/>
      </c>
      <c r="J84" s="171">
        <f>IFERROR(F84/(G84/29), 0)</f>
        <v/>
      </c>
      <c r="K84" s="172">
        <f>IF(F84&gt;0, H84/F84, 0)</f>
        <v/>
      </c>
      <c r="L84" s="170">
        <f>IF(F84&gt;0, I84, 1000000000)</f>
        <v/>
      </c>
      <c r="M84" s="171">
        <f>ABS((B84+C84)-1)</f>
        <v/>
      </c>
      <c r="N84" s="170">
        <f>IF(F84&gt;0, (G84/29)/F84, 0)</f>
        <v/>
      </c>
      <c r="O84" s="168">
        <f>IF(AND((B84+C84)&gt;=1, ISNUMBER(SEARCH("Var", D84))), F84, 1000000000)</f>
        <v/>
      </c>
      <c r="P84" s="172">
        <f>IF(F84&gt;0, SQRT((F84/MAX(F$5:F$886))^2 + (1 - H84/MAX(H$5:H$886))^2 + (J84/MAX(J$5:J$886))^2), 1000000000)</f>
        <v/>
      </c>
      <c r="Q84" s="166">
        <f>IF(AND(ABS(B84-0.5)&lt;0.01, ABS(C84-0.5)&lt;0.01, ISNUMBER(SEARCH("Var", D84))), 1, 0)</f>
        <v/>
      </c>
      <c r="R84" s="171">
        <f>IF(F84&gt;0, J84, 1000000000)</f>
        <v/>
      </c>
      <c r="S84" s="101">
        <f>IF(AND(F84&lt;=DASHBOARD!$B$11, H84&gt;=DASHBOARD!$B$13), G84, -1000000000000)</f>
        <v/>
      </c>
      <c r="T84" s="101">
        <f>IF(AND(F84&lt;=DASHBOARD!$B$11, H84&gt;=DASHBOARD!$B$13), R84, 1000000000000)</f>
        <v/>
      </c>
      <c r="U84" s="101">
        <f>IF(AND(F84&lt;=DASHBOARD!$B$11, H84&gt;=DASHBOARD!$B$13), N84, -1000000000000)</f>
        <v/>
      </c>
      <c r="V84" s="101">
        <f>IF(AND(F84&lt;=DASHBOARD!$B$11, H84&gt;=DASHBOARD!$B$13), H84, -1000000000000)</f>
        <v/>
      </c>
      <c r="W84" s="101">
        <f>IF(AND(F84&lt;=DASHBOARD!$B$11, H84&gt;=DASHBOARD!$B$13), K84, -1000000000000)</f>
        <v/>
      </c>
      <c r="X84" s="101">
        <f>IF(AND(F84&lt;=DASHBOARD!$B$11, H84&gt;=DASHBOARD!$B$13), M84, 1000000000000)</f>
        <v/>
      </c>
      <c r="Y84" s="101">
        <f>IF(AND(F84&lt;=DASHBOARD!$B$10, H84&gt;=DASHBOARD!$B$11), L84, 1000000000000)</f>
        <v/>
      </c>
      <c r="Z84" s="101">
        <f>IF(AND(F84&lt;=DASHBOARD!$B$10, H84&gt;=DASHBOARD!$B$11), O84, 1000000000000)</f>
        <v/>
      </c>
      <c r="AA84" s="101">
        <f>IF(AND(F84&lt;=DASHBOARD!$B$10, H84&gt;=DASHBOARD!$B$11), P84, 1000000000000)</f>
        <v/>
      </c>
      <c r="AB84" s="101">
        <f>IF(AND(F84&lt;=DASHBOARD!$B$10, H84&gt;=DASHBOARD!$B$11), Q84, -1000000000000)</f>
        <v/>
      </c>
    </row>
    <row r="85" ht="12.75" customHeight="1" s="102">
      <c r="A85" s="166" t="n">
        <v>81</v>
      </c>
      <c r="B85" s="167" t="n">
        <v>0.1</v>
      </c>
      <c r="C85" s="167" t="n">
        <v>1.9</v>
      </c>
      <c r="D85" s="110" t="inlineStr">
        <is>
          <t>Yok (%0)</t>
        </is>
      </c>
      <c r="E85" s="110">
        <f>IF((B85+C85)&lt;=1, "Tam Mahsuplaşma (≤%100)", "Kısmi Satış (&gt;%100)")</f>
        <v/>
      </c>
      <c r="F85" s="168">
        <f>((VERI_TABANI!$D$29*B85/VERI_TABANI!$B$29)/VERI_TABANI!$B$3)*VERI_TABANI!$B$5 + ((VERI_TABANI!$D$29*C85/VERI_TABANI!$B$29)/VERI_TABANI!$B$4)*VERI_TABANI!$B$6 + IF(ISNUMBER(SEARCH("Var", D85)), (VERI_TABANI!$F$29/VERI_TABANI!$B$29)*(VERI_TABANI!$B$10+VERI_TABANI!$B$12), 0)</f>
        <v/>
      </c>
      <c r="G85" s="168">
        <f>(((MIN(VERI_TABANI!D23, VERI_TABANI!D23*B85)*VERI_TABANI!$B$7 + MAX(0, VERI_TABANI!D23*B85-VERI_TABANI!D23)*VERI_TABANI!$B$8) + (MIN(MAX(0, VERI_TABANI!D23-VERI_TABANI!D23*B85), VERI_TABANI!D23*C85)*VERI_TABANI!$B$7 + MAX(0, VERI_TABANI!D23*C85-MAX(0, VERI_TABANI!D23-VERI_TABANI!D23*B85))*VERI_TABANI!$B$8) + IF(ABS(IF(ISNUMBER(SEARCH("Var", D85)), 1, IF(ISNUMBER(SEARCH("Gri", D85)), -1, 0)))=1, VERI_TABANI!E23*(1-0.928)*VERI_TABANI!$B$9, 0) + (VERI_TABANI!D23*B85*(VERI_TABANI!$B$13-VERI_TABANI!$B$14)*VERI_TABANI!G23) + (VERI_TABANI!D23*C85*(VERI_TABANI!$B$13-VERI_TABANI!$B$15)*VERI_TABANI!G23) + IF(ABS(IF(ISNUMBER(SEARCH("Var", D85)), 1, IF(ISNUMBER(SEARCH("Gri", D85)), -1, 0)))=1, VERI_TABANI!E23*(1-0.928)*0.00206091519919798*VERI_TABANI!G23, 0)) + ((MIN(VERI_TABANI!D24, VERI_TABANI!D24*B85)*VERI_TABANI!$B$7 + MAX(0, VERI_TABANI!D24*B85-VERI_TABANI!D24)*VERI_TABANI!$B$8) + (MIN(MAX(0, VERI_TABANI!D24-VERI_TABANI!D24*B85), VERI_TABANI!D24*C85)*VERI_TABANI!$B$7 + MAX(0, VERI_TABANI!D24*C85-MAX(0, VERI_TABANI!D24-VERI_TABANI!D24*B85))*VERI_TABANI!$B$8) + IF(ABS(IF(ISNUMBER(SEARCH("Var", D85)), 1, IF(ISNUMBER(SEARCH("Gri", D85)), -1, 0)))=1, VERI_TABANI!E24*(1-0.928)*VERI_TABANI!$B$9, 0) + (VERI_TABANI!D24*B85*(VERI_TABANI!$B$13-VERI_TABANI!$B$14)*VERI_TABANI!G24) + (VERI_TABANI!D24*C85*(VERI_TABANI!$B$13-VERI_TABANI!$B$15)*VERI_TABANI!G24) + IF(ABS(IF(ISNUMBER(SEARCH("Var", D85)), 1, IF(ISNUMBER(SEARCH("Gri", D85)), -1, 0)))=1, VERI_TABANI!E24*(1-0.928)*0.00206091519919798*VERI_TABANI!G24, 0)) + ((MIN(VERI_TABANI!D25, VERI_TABANI!D25*B85)*VERI_TABANI!$B$7 + MAX(0, VERI_TABANI!D25*B85-VERI_TABANI!D25)*VERI_TABANI!$B$8) + (MIN(MAX(0, VERI_TABANI!D25-VERI_TABANI!D25*B85), VERI_TABANI!D25*C85)*VERI_TABANI!$B$7 + MAX(0, VERI_TABANI!D25*C85-MAX(0, VERI_TABANI!D25-VERI_TABANI!D25*B85))*VERI_TABANI!$B$8) + IF(ABS(IF(ISNUMBER(SEARCH("Var", D85)), 1, IF(ISNUMBER(SEARCH("Gri", D85)), -1, 0)))=1, VERI_TABANI!E25*(1-0.928)*VERI_TABANI!$B$9, 0) + (VERI_TABANI!D25*B85*(VERI_TABANI!$B$13-VERI_TABANI!$B$14)*VERI_TABANI!G25) + (VERI_TABANI!D25*C85*(VERI_TABANI!$B$13-VERI_TABANI!$B$15)*VERI_TABANI!G25) + IF(ABS(IF(ISNUMBER(SEARCH("Var", D85)), 1, IF(ISNUMBER(SEARCH("Gri", D85)), -1, 0)))=1, VERI_TABANI!E25*(1-0.928)*0.00206091519919798*VERI_TABANI!G25, 0)) + ((MIN(VERI_TABANI!D26, VERI_TABANI!D26*B85)*VERI_TABANI!$B$7 + MAX(0, VERI_TABANI!D26*B85-VERI_TABANI!D26)*VERI_TABANI!$B$8) + (MIN(MAX(0, VERI_TABANI!D26-VERI_TABANI!D26*B85), VERI_TABANI!D26*C85)*VERI_TABANI!$B$7 + MAX(0, VERI_TABANI!D26*C85-MAX(0, VERI_TABANI!D26-VERI_TABANI!D26*B85))*VERI_TABANI!$B$8) + IF(ABS(IF(ISNUMBER(SEARCH("Var", D85)), 1, IF(ISNUMBER(SEARCH("Gri", D85)), -1, 0)))=1, VERI_TABANI!E26*(1-0.928)*VERI_TABANI!$B$9, 0) + (VERI_TABANI!D26*B85*(VERI_TABANI!$B$13-VERI_TABANI!$B$14)*VERI_TABANI!G26) + (VERI_TABANI!D26*C85*(VERI_TABANI!$B$13-VERI_TABANI!$B$15)*VERI_TABANI!G26) + IF(ABS(IF(ISNUMBER(SEARCH("Var", D85)), 1, IF(ISNUMBER(SEARCH("Gri", D85)), -1, 0)))=1, VERI_TABANI!E26*(1-0.928)*0.00206091519919798*VERI_TABANI!G26, 0)) + ((MIN(VERI_TABANI!D27, VERI_TABANI!D27*B85)*VERI_TABANI!$B$7 + MAX(0, VERI_TABANI!D27*B85-VERI_TABANI!D27)*VERI_TABANI!$B$8) + (MIN(MAX(0, VERI_TABANI!D27-VERI_TABANI!D27*B85), VERI_TABANI!D27*C85)*VERI_TABANI!$B$7 + MAX(0, VERI_TABANI!D27*C85-MAX(0, VERI_TABANI!D27-VERI_TABANI!D27*B85))*VERI_TABANI!$B$8) + IF(ABS(IF(ISNUMBER(SEARCH("Var", D85)), 1, IF(ISNUMBER(SEARCH("Gri", D85)), -1, 0)))=1, VERI_TABANI!E27*(1-0.928)*VERI_TABANI!$B$9, 0) + (VERI_TABANI!D27*B85*(VERI_TABANI!$B$13-VERI_TABANI!$B$14)*VERI_TABANI!G27) + (VERI_TABANI!D27*C85*(VERI_TABANI!$B$13-VERI_TABANI!$B$15)*VERI_TABANI!G27) + IF(ABS(IF(ISNUMBER(SEARCH("Var", D85)), 1, IF(ISNUMBER(SEARCH("Gri", D85)), -1, 0)))=1, VERI_TABANI!E27*(1-0.928)*0.00206091519919798*VERI_TABANI!G27, 0)) + ((MIN(VERI_TABANI!D28, VERI_TABANI!D28*B85)*VERI_TABANI!$B$7 + MAX(0, VERI_TABANI!D28*B85-VERI_TABANI!D28)*VERI_TABANI!$B$8) + (MIN(MAX(0, VERI_TABANI!D28-VERI_TABANI!D28*B85), VERI_TABANI!D28*C85)*VERI_TABANI!$B$7 + MAX(0, VERI_TABANI!D28*C85-MAX(0, VERI_TABANI!D28-VERI_TABANI!D28*B85))*VERI_TABANI!$B$8) + IF(ABS(IF(ISNUMBER(SEARCH("Var", D85)), 1, IF(ISNUMBER(SEARCH("Gri", D85)), -1, 0)))=1, VERI_TABANI!E28*(1-0.928)*VERI_TABANI!$B$9, 0) + (VERI_TABANI!D28*B85*(VERI_TABANI!$B$13-VERI_TABANI!$B$14)*VERI_TABANI!G28) + (VERI_TABANI!D28*C85*(VERI_TABANI!$B$13-VERI_TABANI!$B$15)*VERI_TABANI!G28) + IF(ABS(IF(ISNUMBER(SEARCH("Var", D85)), 1, IF(ISNUMBER(SEARCH("Gri", D85)), -1, 0)))=1, VERI_TABANI!E28*(1-0.928)*0.00206091519919798*VERI_TABANI!G28, 0)))</f>
        <v/>
      </c>
      <c r="H85" s="169">
        <f>(((VERI_TABANI!D23*B85*(VERI_TABANI!$B$13-VERI_TABANI!$B$14)) + (VERI_TABANI!D23*C85*(VERI_TABANI!$B$13-VERI_TABANI!$B$15)) + IF(ISNUMBER(SEARCH("Var", D85)), VERI_TABANI!F23*(0.00202-VERI_TABANI!$B$16), IF(ISNUMBER(SEARCH("Gri", D85)), VERI_TABANI!F23*(0.00202-VERI_TABANI!$B$17), 0))) + ((VERI_TABANI!D24*B85*(VERI_TABANI!$B$13-VERI_TABANI!$B$14)) + (VERI_TABANI!D24*C85*(VERI_TABANI!$B$13-VERI_TABANI!$B$15)) + IF(ISNUMBER(SEARCH("Var", D85)), VERI_TABANI!F24*(0.00202-VERI_TABANI!$B$16), IF(ISNUMBER(SEARCH("Gri", D85)), VERI_TABANI!F24*(0.00202-VERI_TABANI!$B$17), 0))) + ((VERI_TABANI!D25*B85*(VERI_TABANI!$B$13-VERI_TABANI!$B$14)) + (VERI_TABANI!D25*C85*(VERI_TABANI!$B$13-VERI_TABANI!$B$15)) + IF(ISNUMBER(SEARCH("Var", D85)), VERI_TABANI!F25*(0.00202-VERI_TABANI!$B$16), IF(ISNUMBER(SEARCH("Gri", D85)), VERI_TABANI!F25*(0.00202-VERI_TABANI!$B$17), 0))) + ((VERI_TABANI!D26*B85*(VERI_TABANI!$B$13-VERI_TABANI!$B$14)) + (VERI_TABANI!D26*C85*(VERI_TABANI!$B$13-VERI_TABANI!$B$15)) + IF(ISNUMBER(SEARCH("Var", D85)), VERI_TABANI!F26*(0.00202-VERI_TABANI!$B$16), IF(ISNUMBER(SEARCH("Gri", D85)), VERI_TABANI!F26*(0.00202-VERI_TABANI!$B$17), 0))) + ((VERI_TABANI!D27*B85*(VERI_TABANI!$B$13-VERI_TABANI!$B$14)) + (VERI_TABANI!D27*C85*(VERI_TABANI!$B$13-VERI_TABANI!$B$15)) + IF(ISNUMBER(SEARCH("Var", D85)), VERI_TABANI!F27*(0.00202-VERI_TABANI!$B$16), IF(ISNUMBER(SEARCH("Gri", D85)), VERI_TABANI!F27*(0.00202-VERI_TABANI!$B$17), 0))) + ((VERI_TABANI!D28*B85*(VERI_TABANI!$B$13-VERI_TABANI!$B$14)) + (VERI_TABANI!D28*C85*(VERI_TABANI!$B$13-VERI_TABANI!$B$15)) + IF(ISNUMBER(SEARCH("Var", D85)), VERI_TABANI!F28*(0.00202-VERI_TABANI!$B$16), IF(ISNUMBER(SEARCH("Gri", D85)), VERI_TABANI!F28*(0.00202-VERI_TABANI!$B$17), 0))))</f>
        <v/>
      </c>
      <c r="I85" s="170">
        <f>IFERROR(((VERI_TABANI!$D$29*B85*VERI_TABANI!$B$14 + VERI_TABANI!$D$29*C85*VERI_TABANI!$B$15 + IF(ISNUMBER(SEARCH("Var", D85)), VERI_TABANI!$F$29*VERI_TABANI!$B$16, 0))) / (((VERI_TABANI!$D$29*B85 + VERI_TABANI!$D$29*C85)*VERI_TABANI!$B$13 + IF(ISNUMBER(SEARCH("Var", D85)), VERI_TABANI!$E$29*(1-0.928)*VERI_TABANI!$B$18, 0))), 0)</f>
        <v/>
      </c>
      <c r="J85" s="171">
        <f>IFERROR(F85/(G85/29), 0)</f>
        <v/>
      </c>
      <c r="K85" s="172">
        <f>IF(F85&gt;0, H85/F85, 0)</f>
        <v/>
      </c>
      <c r="L85" s="170">
        <f>IF(F85&gt;0, I85, 1000000000)</f>
        <v/>
      </c>
      <c r="M85" s="171">
        <f>ABS((B85+C85)-1)</f>
        <v/>
      </c>
      <c r="N85" s="170">
        <f>IF(F85&gt;0, (G85/29)/F85, 0)</f>
        <v/>
      </c>
      <c r="O85" s="168">
        <f>IF(AND((B85+C85)&gt;=1, ISNUMBER(SEARCH("Var", D85))), F85, 1000000000)</f>
        <v/>
      </c>
      <c r="P85" s="172">
        <f>IF(F85&gt;0, SQRT((F85/MAX(F$5:F$886))^2 + (1 - H85/MAX(H$5:H$886))^2 + (J85/MAX(J$5:J$886))^2), 1000000000)</f>
        <v/>
      </c>
      <c r="Q85" s="166">
        <f>IF(AND(ABS(B85-0.5)&lt;0.01, ABS(C85-0.5)&lt;0.01, ISNUMBER(SEARCH("Var", D85))), 1, 0)</f>
        <v/>
      </c>
      <c r="R85" s="171">
        <f>IF(F85&gt;0, J85, 1000000000)</f>
        <v/>
      </c>
      <c r="S85" s="101">
        <f>IF(AND(F85&lt;=DASHBOARD!$B$11, H85&gt;=DASHBOARD!$B$13), G85, -1000000000000)</f>
        <v/>
      </c>
      <c r="T85" s="101">
        <f>IF(AND(F85&lt;=DASHBOARD!$B$11, H85&gt;=DASHBOARD!$B$13), R85, 1000000000000)</f>
        <v/>
      </c>
      <c r="U85" s="101">
        <f>IF(AND(F85&lt;=DASHBOARD!$B$11, H85&gt;=DASHBOARD!$B$13), N85, -1000000000000)</f>
        <v/>
      </c>
      <c r="V85" s="101">
        <f>IF(AND(F85&lt;=DASHBOARD!$B$11, H85&gt;=DASHBOARD!$B$13), H85, -1000000000000)</f>
        <v/>
      </c>
      <c r="W85" s="101">
        <f>IF(AND(F85&lt;=DASHBOARD!$B$11, H85&gt;=DASHBOARD!$B$13), K85, -1000000000000)</f>
        <v/>
      </c>
      <c r="X85" s="101">
        <f>IF(AND(F85&lt;=DASHBOARD!$B$11, H85&gt;=DASHBOARD!$B$13), M85, 1000000000000)</f>
        <v/>
      </c>
      <c r="Y85" s="101">
        <f>IF(AND(F85&lt;=DASHBOARD!$B$10, H85&gt;=DASHBOARD!$B$11), L85, 1000000000000)</f>
        <v/>
      </c>
      <c r="Z85" s="101">
        <f>IF(AND(F85&lt;=DASHBOARD!$B$10, H85&gt;=DASHBOARD!$B$11), O85, 1000000000000)</f>
        <v/>
      </c>
      <c r="AA85" s="101">
        <f>IF(AND(F85&lt;=DASHBOARD!$B$10, H85&gt;=DASHBOARD!$B$11), P85, 1000000000000)</f>
        <v/>
      </c>
      <c r="AB85" s="101">
        <f>IF(AND(F85&lt;=DASHBOARD!$B$10, H85&gt;=DASHBOARD!$B$11), Q85, -1000000000000)</f>
        <v/>
      </c>
    </row>
    <row r="86" ht="12.75" customHeight="1" s="102">
      <c r="A86" s="166" t="n">
        <v>82</v>
      </c>
      <c r="B86" s="167" t="n">
        <v>0.1</v>
      </c>
      <c r="C86" s="167" t="n">
        <v>1.9</v>
      </c>
      <c r="D86" s="110" t="inlineStr">
        <is>
          <t>Var (%20)</t>
        </is>
      </c>
      <c r="E86" s="110">
        <f>IF((B86+C86)&lt;=1, "Tam Mahsuplaşma (≤%100)", "Kısmi Satış (&gt;%100)")</f>
        <v/>
      </c>
      <c r="F86" s="168">
        <f>((VERI_TABANI!$D$29*B86/VERI_TABANI!$B$29)/VERI_TABANI!$B$3)*VERI_TABANI!$B$5 + ((VERI_TABANI!$D$29*C86/VERI_TABANI!$B$29)/VERI_TABANI!$B$4)*VERI_TABANI!$B$6 + IF(ISNUMBER(SEARCH("Var", D86)), (VERI_TABANI!$F$29/VERI_TABANI!$B$29)*(VERI_TABANI!$B$10+VERI_TABANI!$B$12), 0)</f>
        <v/>
      </c>
      <c r="G86" s="168">
        <f>(((MIN(VERI_TABANI!D23, VERI_TABANI!D23*B86)*VERI_TABANI!$B$7 + MAX(0, VERI_TABANI!D23*B86-VERI_TABANI!D23)*VERI_TABANI!$B$8) + (MIN(MAX(0, VERI_TABANI!D23-VERI_TABANI!D23*B86), VERI_TABANI!D23*C86)*VERI_TABANI!$B$7 + MAX(0, VERI_TABANI!D23*C86-MAX(0, VERI_TABANI!D23-VERI_TABANI!D23*B86))*VERI_TABANI!$B$8) + IF(ABS(IF(ISNUMBER(SEARCH("Var", D86)), 1, IF(ISNUMBER(SEARCH("Gri", D86)), -1, 0)))=1, VERI_TABANI!E23*(1-0.928)*VERI_TABANI!$B$9, 0) + (VERI_TABANI!D23*B86*(VERI_TABANI!$B$13-VERI_TABANI!$B$14)*VERI_TABANI!G23) + (VERI_TABANI!D23*C86*(VERI_TABANI!$B$13-VERI_TABANI!$B$15)*VERI_TABANI!G23) + IF(ABS(IF(ISNUMBER(SEARCH("Var", D86)), 1, IF(ISNUMBER(SEARCH("Gri", D86)), -1, 0)))=1, VERI_TABANI!E23*(1-0.928)*0.00206091519919798*VERI_TABANI!G23, 0)) + ((MIN(VERI_TABANI!D24, VERI_TABANI!D24*B86)*VERI_TABANI!$B$7 + MAX(0, VERI_TABANI!D24*B86-VERI_TABANI!D24)*VERI_TABANI!$B$8) + (MIN(MAX(0, VERI_TABANI!D24-VERI_TABANI!D24*B86), VERI_TABANI!D24*C86)*VERI_TABANI!$B$7 + MAX(0, VERI_TABANI!D24*C86-MAX(0, VERI_TABANI!D24-VERI_TABANI!D24*B86))*VERI_TABANI!$B$8) + IF(ABS(IF(ISNUMBER(SEARCH("Var", D86)), 1, IF(ISNUMBER(SEARCH("Gri", D86)), -1, 0)))=1, VERI_TABANI!E24*(1-0.928)*VERI_TABANI!$B$9, 0) + (VERI_TABANI!D24*B86*(VERI_TABANI!$B$13-VERI_TABANI!$B$14)*VERI_TABANI!G24) + (VERI_TABANI!D24*C86*(VERI_TABANI!$B$13-VERI_TABANI!$B$15)*VERI_TABANI!G24) + IF(ABS(IF(ISNUMBER(SEARCH("Var", D86)), 1, IF(ISNUMBER(SEARCH("Gri", D86)), -1, 0)))=1, VERI_TABANI!E24*(1-0.928)*0.00206091519919798*VERI_TABANI!G24, 0)) + ((MIN(VERI_TABANI!D25, VERI_TABANI!D25*B86)*VERI_TABANI!$B$7 + MAX(0, VERI_TABANI!D25*B86-VERI_TABANI!D25)*VERI_TABANI!$B$8) + (MIN(MAX(0, VERI_TABANI!D25-VERI_TABANI!D25*B86), VERI_TABANI!D25*C86)*VERI_TABANI!$B$7 + MAX(0, VERI_TABANI!D25*C86-MAX(0, VERI_TABANI!D25-VERI_TABANI!D25*B86))*VERI_TABANI!$B$8) + IF(ABS(IF(ISNUMBER(SEARCH("Var", D86)), 1, IF(ISNUMBER(SEARCH("Gri", D86)), -1, 0)))=1, VERI_TABANI!E25*(1-0.928)*VERI_TABANI!$B$9, 0) + (VERI_TABANI!D25*B86*(VERI_TABANI!$B$13-VERI_TABANI!$B$14)*VERI_TABANI!G25) + (VERI_TABANI!D25*C86*(VERI_TABANI!$B$13-VERI_TABANI!$B$15)*VERI_TABANI!G25) + IF(ABS(IF(ISNUMBER(SEARCH("Var", D86)), 1, IF(ISNUMBER(SEARCH("Gri", D86)), -1, 0)))=1, VERI_TABANI!E25*(1-0.928)*0.00206091519919798*VERI_TABANI!G25, 0)) + ((MIN(VERI_TABANI!D26, VERI_TABANI!D26*B86)*VERI_TABANI!$B$7 + MAX(0, VERI_TABANI!D26*B86-VERI_TABANI!D26)*VERI_TABANI!$B$8) + (MIN(MAX(0, VERI_TABANI!D26-VERI_TABANI!D26*B86), VERI_TABANI!D26*C86)*VERI_TABANI!$B$7 + MAX(0, VERI_TABANI!D26*C86-MAX(0, VERI_TABANI!D26-VERI_TABANI!D26*B86))*VERI_TABANI!$B$8) + IF(ABS(IF(ISNUMBER(SEARCH("Var", D86)), 1, IF(ISNUMBER(SEARCH("Gri", D86)), -1, 0)))=1, VERI_TABANI!E26*(1-0.928)*VERI_TABANI!$B$9, 0) + (VERI_TABANI!D26*B86*(VERI_TABANI!$B$13-VERI_TABANI!$B$14)*VERI_TABANI!G26) + (VERI_TABANI!D26*C86*(VERI_TABANI!$B$13-VERI_TABANI!$B$15)*VERI_TABANI!G26) + IF(ABS(IF(ISNUMBER(SEARCH("Var", D86)), 1, IF(ISNUMBER(SEARCH("Gri", D86)), -1, 0)))=1, VERI_TABANI!E26*(1-0.928)*0.00206091519919798*VERI_TABANI!G26, 0)) + ((MIN(VERI_TABANI!D27, VERI_TABANI!D27*B86)*VERI_TABANI!$B$7 + MAX(0, VERI_TABANI!D27*B86-VERI_TABANI!D27)*VERI_TABANI!$B$8) + (MIN(MAX(0, VERI_TABANI!D27-VERI_TABANI!D27*B86), VERI_TABANI!D27*C86)*VERI_TABANI!$B$7 + MAX(0, VERI_TABANI!D27*C86-MAX(0, VERI_TABANI!D27-VERI_TABANI!D27*B86))*VERI_TABANI!$B$8) + IF(ABS(IF(ISNUMBER(SEARCH("Var", D86)), 1, IF(ISNUMBER(SEARCH("Gri", D86)), -1, 0)))=1, VERI_TABANI!E27*(1-0.928)*VERI_TABANI!$B$9, 0) + (VERI_TABANI!D27*B86*(VERI_TABANI!$B$13-VERI_TABANI!$B$14)*VERI_TABANI!G27) + (VERI_TABANI!D27*C86*(VERI_TABANI!$B$13-VERI_TABANI!$B$15)*VERI_TABANI!G27) + IF(ABS(IF(ISNUMBER(SEARCH("Var", D86)), 1, IF(ISNUMBER(SEARCH("Gri", D86)), -1, 0)))=1, VERI_TABANI!E27*(1-0.928)*0.00206091519919798*VERI_TABANI!G27, 0)) + ((MIN(VERI_TABANI!D28, VERI_TABANI!D28*B86)*VERI_TABANI!$B$7 + MAX(0, VERI_TABANI!D28*B86-VERI_TABANI!D28)*VERI_TABANI!$B$8) + (MIN(MAX(0, VERI_TABANI!D28-VERI_TABANI!D28*B86), VERI_TABANI!D28*C86)*VERI_TABANI!$B$7 + MAX(0, VERI_TABANI!D28*C86-MAX(0, VERI_TABANI!D28-VERI_TABANI!D28*B86))*VERI_TABANI!$B$8) + IF(ABS(IF(ISNUMBER(SEARCH("Var", D86)), 1, IF(ISNUMBER(SEARCH("Gri", D86)), -1, 0)))=1, VERI_TABANI!E28*(1-0.928)*VERI_TABANI!$B$9, 0) + (VERI_TABANI!D28*B86*(VERI_TABANI!$B$13-VERI_TABANI!$B$14)*VERI_TABANI!G28) + (VERI_TABANI!D28*C86*(VERI_TABANI!$B$13-VERI_TABANI!$B$15)*VERI_TABANI!G28) + IF(ABS(IF(ISNUMBER(SEARCH("Var", D86)), 1, IF(ISNUMBER(SEARCH("Gri", D86)), -1, 0)))=1, VERI_TABANI!E28*(1-0.928)*0.00206091519919798*VERI_TABANI!G28, 0)))</f>
        <v/>
      </c>
      <c r="H86" s="169">
        <f>(((VERI_TABANI!D23*B86*(VERI_TABANI!$B$13-VERI_TABANI!$B$14)) + (VERI_TABANI!D23*C86*(VERI_TABANI!$B$13-VERI_TABANI!$B$15)) + IF(ISNUMBER(SEARCH("Var", D86)), VERI_TABANI!F23*(0.00202-VERI_TABANI!$B$16), IF(ISNUMBER(SEARCH("Gri", D86)), VERI_TABANI!F23*(0.00202-VERI_TABANI!$B$17), 0))) + ((VERI_TABANI!D24*B86*(VERI_TABANI!$B$13-VERI_TABANI!$B$14)) + (VERI_TABANI!D24*C86*(VERI_TABANI!$B$13-VERI_TABANI!$B$15)) + IF(ISNUMBER(SEARCH("Var", D86)), VERI_TABANI!F24*(0.00202-VERI_TABANI!$B$16), IF(ISNUMBER(SEARCH("Gri", D86)), VERI_TABANI!F24*(0.00202-VERI_TABANI!$B$17), 0))) + ((VERI_TABANI!D25*B86*(VERI_TABANI!$B$13-VERI_TABANI!$B$14)) + (VERI_TABANI!D25*C86*(VERI_TABANI!$B$13-VERI_TABANI!$B$15)) + IF(ISNUMBER(SEARCH("Var", D86)), VERI_TABANI!F25*(0.00202-VERI_TABANI!$B$16), IF(ISNUMBER(SEARCH("Gri", D86)), VERI_TABANI!F25*(0.00202-VERI_TABANI!$B$17), 0))) + ((VERI_TABANI!D26*B86*(VERI_TABANI!$B$13-VERI_TABANI!$B$14)) + (VERI_TABANI!D26*C86*(VERI_TABANI!$B$13-VERI_TABANI!$B$15)) + IF(ISNUMBER(SEARCH("Var", D86)), VERI_TABANI!F26*(0.00202-VERI_TABANI!$B$16), IF(ISNUMBER(SEARCH("Gri", D86)), VERI_TABANI!F26*(0.00202-VERI_TABANI!$B$17), 0))) + ((VERI_TABANI!D27*B86*(VERI_TABANI!$B$13-VERI_TABANI!$B$14)) + (VERI_TABANI!D27*C86*(VERI_TABANI!$B$13-VERI_TABANI!$B$15)) + IF(ISNUMBER(SEARCH("Var", D86)), VERI_TABANI!F27*(0.00202-VERI_TABANI!$B$16), IF(ISNUMBER(SEARCH("Gri", D86)), VERI_TABANI!F27*(0.00202-VERI_TABANI!$B$17), 0))) + ((VERI_TABANI!D28*B86*(VERI_TABANI!$B$13-VERI_TABANI!$B$14)) + (VERI_TABANI!D28*C86*(VERI_TABANI!$B$13-VERI_TABANI!$B$15)) + IF(ISNUMBER(SEARCH("Var", D86)), VERI_TABANI!F28*(0.00202-VERI_TABANI!$B$16), IF(ISNUMBER(SEARCH("Gri", D86)), VERI_TABANI!F28*(0.00202-VERI_TABANI!$B$17), 0))))</f>
        <v/>
      </c>
      <c r="I86" s="170">
        <f>IFERROR(((VERI_TABANI!$D$29*B86*VERI_TABANI!$B$14 + VERI_TABANI!$D$29*C86*VERI_TABANI!$B$15 + IF(ISNUMBER(SEARCH("Var", D86)), VERI_TABANI!$F$29*VERI_TABANI!$B$16, 0))) / (((VERI_TABANI!$D$29*B86 + VERI_TABANI!$D$29*C86)*VERI_TABANI!$B$13 + IF(ISNUMBER(SEARCH("Var", D86)), VERI_TABANI!$E$29*(1-0.928)*VERI_TABANI!$B$18, 0))), 0)</f>
        <v/>
      </c>
      <c r="J86" s="171">
        <f>IFERROR(F86/(G86/29), 0)</f>
        <v/>
      </c>
      <c r="K86" s="172">
        <f>IF(F86&gt;0, H86/F86, 0)</f>
        <v/>
      </c>
      <c r="L86" s="170">
        <f>IF(F86&gt;0, I86, 1000000000)</f>
        <v/>
      </c>
      <c r="M86" s="171">
        <f>ABS((B86+C86)-1)</f>
        <v/>
      </c>
      <c r="N86" s="170">
        <f>IF(F86&gt;0, (G86/29)/F86, 0)</f>
        <v/>
      </c>
      <c r="O86" s="168">
        <f>IF(AND((B86+C86)&gt;=1, ISNUMBER(SEARCH("Var", D86))), F86, 1000000000)</f>
        <v/>
      </c>
      <c r="P86" s="172">
        <f>IF(F86&gt;0, SQRT((F86/MAX(F$5:F$886))^2 + (1 - H86/MAX(H$5:H$886))^2 + (J86/MAX(J$5:J$886))^2), 1000000000)</f>
        <v/>
      </c>
      <c r="Q86" s="166">
        <f>IF(AND(ABS(B86-0.5)&lt;0.01, ABS(C86-0.5)&lt;0.01, ISNUMBER(SEARCH("Var", D86))), 1, 0)</f>
        <v/>
      </c>
      <c r="R86" s="171">
        <f>IF(F86&gt;0, J86, 1000000000)</f>
        <v/>
      </c>
      <c r="S86" s="101">
        <f>IF(AND(F86&lt;=DASHBOARD!$B$11, H86&gt;=DASHBOARD!$B$13), G86, -1000000000000)</f>
        <v/>
      </c>
      <c r="T86" s="101">
        <f>IF(AND(F86&lt;=DASHBOARD!$B$11, H86&gt;=DASHBOARD!$B$13), R86, 1000000000000)</f>
        <v/>
      </c>
      <c r="U86" s="101">
        <f>IF(AND(F86&lt;=DASHBOARD!$B$11, H86&gt;=DASHBOARD!$B$13), N86, -1000000000000)</f>
        <v/>
      </c>
      <c r="V86" s="101">
        <f>IF(AND(F86&lt;=DASHBOARD!$B$11, H86&gt;=DASHBOARD!$B$13), H86, -1000000000000)</f>
        <v/>
      </c>
      <c r="W86" s="101">
        <f>IF(AND(F86&lt;=DASHBOARD!$B$11, H86&gt;=DASHBOARD!$B$13), K86, -1000000000000)</f>
        <v/>
      </c>
      <c r="X86" s="101">
        <f>IF(AND(F86&lt;=DASHBOARD!$B$11, H86&gt;=DASHBOARD!$B$13), M86, 1000000000000)</f>
        <v/>
      </c>
      <c r="Y86" s="101">
        <f>IF(AND(F86&lt;=DASHBOARD!$B$10, H86&gt;=DASHBOARD!$B$11), L86, 1000000000000)</f>
        <v/>
      </c>
      <c r="Z86" s="101">
        <f>IF(AND(F86&lt;=DASHBOARD!$B$10, H86&gt;=DASHBOARD!$B$11), O86, 1000000000000)</f>
        <v/>
      </c>
      <c r="AA86" s="101">
        <f>IF(AND(F86&lt;=DASHBOARD!$B$10, H86&gt;=DASHBOARD!$B$11), P86, 1000000000000)</f>
        <v/>
      </c>
      <c r="AB86" s="101">
        <f>IF(AND(F86&lt;=DASHBOARD!$B$10, H86&gt;=DASHBOARD!$B$11), Q86, -1000000000000)</f>
        <v/>
      </c>
    </row>
    <row r="87" ht="12.75" customHeight="1" s="102">
      <c r="A87" s="166" t="n">
        <v>83</v>
      </c>
      <c r="B87" s="167" t="n">
        <v>0.1</v>
      </c>
      <c r="C87" s="167" t="n">
        <v>2</v>
      </c>
      <c r="D87" s="110" t="inlineStr">
        <is>
          <t>Yok (%0)</t>
        </is>
      </c>
      <c r="E87" s="110">
        <f>IF((B87+C87)&lt;=1, "Tam Mahsuplaşma (≤%100)", "Kısmi Satış (&gt;%100)")</f>
        <v/>
      </c>
      <c r="F87" s="168">
        <f>((VERI_TABANI!$D$29*B87/VERI_TABANI!$B$29)/VERI_TABANI!$B$3)*VERI_TABANI!$B$5 + ((VERI_TABANI!$D$29*C87/VERI_TABANI!$B$29)/VERI_TABANI!$B$4)*VERI_TABANI!$B$6 + IF(ISNUMBER(SEARCH("Var", D87)), (VERI_TABANI!$F$29/VERI_TABANI!$B$29)*(VERI_TABANI!$B$10+VERI_TABANI!$B$12), 0)</f>
        <v/>
      </c>
      <c r="G87" s="168">
        <f>(((MIN(VERI_TABANI!D23, VERI_TABANI!D23*B87)*VERI_TABANI!$B$7 + MAX(0, VERI_TABANI!D23*B87-VERI_TABANI!D23)*VERI_TABANI!$B$8) + (MIN(MAX(0, VERI_TABANI!D23-VERI_TABANI!D23*B87), VERI_TABANI!D23*C87)*VERI_TABANI!$B$7 + MAX(0, VERI_TABANI!D23*C87-MAX(0, VERI_TABANI!D23-VERI_TABANI!D23*B87))*VERI_TABANI!$B$8) + IF(ABS(IF(ISNUMBER(SEARCH("Var", D87)), 1, IF(ISNUMBER(SEARCH("Gri", D87)), -1, 0)))=1, VERI_TABANI!E23*(1-0.928)*VERI_TABANI!$B$9, 0) + (VERI_TABANI!D23*B87*(VERI_TABANI!$B$13-VERI_TABANI!$B$14)*VERI_TABANI!G23) + (VERI_TABANI!D23*C87*(VERI_TABANI!$B$13-VERI_TABANI!$B$15)*VERI_TABANI!G23) + IF(ABS(IF(ISNUMBER(SEARCH("Var", D87)), 1, IF(ISNUMBER(SEARCH("Gri", D87)), -1, 0)))=1, VERI_TABANI!E23*(1-0.928)*0.00206091519919798*VERI_TABANI!G23, 0)) + ((MIN(VERI_TABANI!D24, VERI_TABANI!D24*B87)*VERI_TABANI!$B$7 + MAX(0, VERI_TABANI!D24*B87-VERI_TABANI!D24)*VERI_TABANI!$B$8) + (MIN(MAX(0, VERI_TABANI!D24-VERI_TABANI!D24*B87), VERI_TABANI!D24*C87)*VERI_TABANI!$B$7 + MAX(0, VERI_TABANI!D24*C87-MAX(0, VERI_TABANI!D24-VERI_TABANI!D24*B87))*VERI_TABANI!$B$8) + IF(ABS(IF(ISNUMBER(SEARCH("Var", D87)), 1, IF(ISNUMBER(SEARCH("Gri", D87)), -1, 0)))=1, VERI_TABANI!E24*(1-0.928)*VERI_TABANI!$B$9, 0) + (VERI_TABANI!D24*B87*(VERI_TABANI!$B$13-VERI_TABANI!$B$14)*VERI_TABANI!G24) + (VERI_TABANI!D24*C87*(VERI_TABANI!$B$13-VERI_TABANI!$B$15)*VERI_TABANI!G24) + IF(ABS(IF(ISNUMBER(SEARCH("Var", D87)), 1, IF(ISNUMBER(SEARCH("Gri", D87)), -1, 0)))=1, VERI_TABANI!E24*(1-0.928)*0.00206091519919798*VERI_TABANI!G24, 0)) + ((MIN(VERI_TABANI!D25, VERI_TABANI!D25*B87)*VERI_TABANI!$B$7 + MAX(0, VERI_TABANI!D25*B87-VERI_TABANI!D25)*VERI_TABANI!$B$8) + (MIN(MAX(0, VERI_TABANI!D25-VERI_TABANI!D25*B87), VERI_TABANI!D25*C87)*VERI_TABANI!$B$7 + MAX(0, VERI_TABANI!D25*C87-MAX(0, VERI_TABANI!D25-VERI_TABANI!D25*B87))*VERI_TABANI!$B$8) + IF(ABS(IF(ISNUMBER(SEARCH("Var", D87)), 1, IF(ISNUMBER(SEARCH("Gri", D87)), -1, 0)))=1, VERI_TABANI!E25*(1-0.928)*VERI_TABANI!$B$9, 0) + (VERI_TABANI!D25*B87*(VERI_TABANI!$B$13-VERI_TABANI!$B$14)*VERI_TABANI!G25) + (VERI_TABANI!D25*C87*(VERI_TABANI!$B$13-VERI_TABANI!$B$15)*VERI_TABANI!G25) + IF(ABS(IF(ISNUMBER(SEARCH("Var", D87)), 1, IF(ISNUMBER(SEARCH("Gri", D87)), -1, 0)))=1, VERI_TABANI!E25*(1-0.928)*0.00206091519919798*VERI_TABANI!G25, 0)) + ((MIN(VERI_TABANI!D26, VERI_TABANI!D26*B87)*VERI_TABANI!$B$7 + MAX(0, VERI_TABANI!D26*B87-VERI_TABANI!D26)*VERI_TABANI!$B$8) + (MIN(MAX(0, VERI_TABANI!D26-VERI_TABANI!D26*B87), VERI_TABANI!D26*C87)*VERI_TABANI!$B$7 + MAX(0, VERI_TABANI!D26*C87-MAX(0, VERI_TABANI!D26-VERI_TABANI!D26*B87))*VERI_TABANI!$B$8) + IF(ABS(IF(ISNUMBER(SEARCH("Var", D87)), 1, IF(ISNUMBER(SEARCH("Gri", D87)), -1, 0)))=1, VERI_TABANI!E26*(1-0.928)*VERI_TABANI!$B$9, 0) + (VERI_TABANI!D26*B87*(VERI_TABANI!$B$13-VERI_TABANI!$B$14)*VERI_TABANI!G26) + (VERI_TABANI!D26*C87*(VERI_TABANI!$B$13-VERI_TABANI!$B$15)*VERI_TABANI!G26) + IF(ABS(IF(ISNUMBER(SEARCH("Var", D87)), 1, IF(ISNUMBER(SEARCH("Gri", D87)), -1, 0)))=1, VERI_TABANI!E26*(1-0.928)*0.00206091519919798*VERI_TABANI!G26, 0)) + ((MIN(VERI_TABANI!D27, VERI_TABANI!D27*B87)*VERI_TABANI!$B$7 + MAX(0, VERI_TABANI!D27*B87-VERI_TABANI!D27)*VERI_TABANI!$B$8) + (MIN(MAX(0, VERI_TABANI!D27-VERI_TABANI!D27*B87), VERI_TABANI!D27*C87)*VERI_TABANI!$B$7 + MAX(0, VERI_TABANI!D27*C87-MAX(0, VERI_TABANI!D27-VERI_TABANI!D27*B87))*VERI_TABANI!$B$8) + IF(ABS(IF(ISNUMBER(SEARCH("Var", D87)), 1, IF(ISNUMBER(SEARCH("Gri", D87)), -1, 0)))=1, VERI_TABANI!E27*(1-0.928)*VERI_TABANI!$B$9, 0) + (VERI_TABANI!D27*B87*(VERI_TABANI!$B$13-VERI_TABANI!$B$14)*VERI_TABANI!G27) + (VERI_TABANI!D27*C87*(VERI_TABANI!$B$13-VERI_TABANI!$B$15)*VERI_TABANI!G27) + IF(ABS(IF(ISNUMBER(SEARCH("Var", D87)), 1, IF(ISNUMBER(SEARCH("Gri", D87)), -1, 0)))=1, VERI_TABANI!E27*(1-0.928)*0.00206091519919798*VERI_TABANI!G27, 0)) + ((MIN(VERI_TABANI!D28, VERI_TABANI!D28*B87)*VERI_TABANI!$B$7 + MAX(0, VERI_TABANI!D28*B87-VERI_TABANI!D28)*VERI_TABANI!$B$8) + (MIN(MAX(0, VERI_TABANI!D28-VERI_TABANI!D28*B87), VERI_TABANI!D28*C87)*VERI_TABANI!$B$7 + MAX(0, VERI_TABANI!D28*C87-MAX(0, VERI_TABANI!D28-VERI_TABANI!D28*B87))*VERI_TABANI!$B$8) + IF(ABS(IF(ISNUMBER(SEARCH("Var", D87)), 1, IF(ISNUMBER(SEARCH("Gri", D87)), -1, 0)))=1, VERI_TABANI!E28*(1-0.928)*VERI_TABANI!$B$9, 0) + (VERI_TABANI!D28*B87*(VERI_TABANI!$B$13-VERI_TABANI!$B$14)*VERI_TABANI!G28) + (VERI_TABANI!D28*C87*(VERI_TABANI!$B$13-VERI_TABANI!$B$15)*VERI_TABANI!G28) + IF(ABS(IF(ISNUMBER(SEARCH("Var", D87)), 1, IF(ISNUMBER(SEARCH("Gri", D87)), -1, 0)))=1, VERI_TABANI!E28*(1-0.928)*0.00206091519919798*VERI_TABANI!G28, 0)))</f>
        <v/>
      </c>
      <c r="H87" s="169">
        <f>(((VERI_TABANI!D23*B87*(VERI_TABANI!$B$13-VERI_TABANI!$B$14)) + (VERI_TABANI!D23*C87*(VERI_TABANI!$B$13-VERI_TABANI!$B$15)) + IF(ISNUMBER(SEARCH("Var", D87)), VERI_TABANI!F23*(0.00202-VERI_TABANI!$B$16), IF(ISNUMBER(SEARCH("Gri", D87)), VERI_TABANI!F23*(0.00202-VERI_TABANI!$B$17), 0))) + ((VERI_TABANI!D24*B87*(VERI_TABANI!$B$13-VERI_TABANI!$B$14)) + (VERI_TABANI!D24*C87*(VERI_TABANI!$B$13-VERI_TABANI!$B$15)) + IF(ISNUMBER(SEARCH("Var", D87)), VERI_TABANI!F24*(0.00202-VERI_TABANI!$B$16), IF(ISNUMBER(SEARCH("Gri", D87)), VERI_TABANI!F24*(0.00202-VERI_TABANI!$B$17), 0))) + ((VERI_TABANI!D25*B87*(VERI_TABANI!$B$13-VERI_TABANI!$B$14)) + (VERI_TABANI!D25*C87*(VERI_TABANI!$B$13-VERI_TABANI!$B$15)) + IF(ISNUMBER(SEARCH("Var", D87)), VERI_TABANI!F25*(0.00202-VERI_TABANI!$B$16), IF(ISNUMBER(SEARCH("Gri", D87)), VERI_TABANI!F25*(0.00202-VERI_TABANI!$B$17), 0))) + ((VERI_TABANI!D26*B87*(VERI_TABANI!$B$13-VERI_TABANI!$B$14)) + (VERI_TABANI!D26*C87*(VERI_TABANI!$B$13-VERI_TABANI!$B$15)) + IF(ISNUMBER(SEARCH("Var", D87)), VERI_TABANI!F26*(0.00202-VERI_TABANI!$B$16), IF(ISNUMBER(SEARCH("Gri", D87)), VERI_TABANI!F26*(0.00202-VERI_TABANI!$B$17), 0))) + ((VERI_TABANI!D27*B87*(VERI_TABANI!$B$13-VERI_TABANI!$B$14)) + (VERI_TABANI!D27*C87*(VERI_TABANI!$B$13-VERI_TABANI!$B$15)) + IF(ISNUMBER(SEARCH("Var", D87)), VERI_TABANI!F27*(0.00202-VERI_TABANI!$B$16), IF(ISNUMBER(SEARCH("Gri", D87)), VERI_TABANI!F27*(0.00202-VERI_TABANI!$B$17), 0))) + ((VERI_TABANI!D28*B87*(VERI_TABANI!$B$13-VERI_TABANI!$B$14)) + (VERI_TABANI!D28*C87*(VERI_TABANI!$B$13-VERI_TABANI!$B$15)) + IF(ISNUMBER(SEARCH("Var", D87)), VERI_TABANI!F28*(0.00202-VERI_TABANI!$B$16), IF(ISNUMBER(SEARCH("Gri", D87)), VERI_TABANI!F28*(0.00202-VERI_TABANI!$B$17), 0))))</f>
        <v/>
      </c>
      <c r="I87" s="170">
        <f>IFERROR(((VERI_TABANI!$D$29*B87*VERI_TABANI!$B$14 + VERI_TABANI!$D$29*C87*VERI_TABANI!$B$15 + IF(ISNUMBER(SEARCH("Var", D87)), VERI_TABANI!$F$29*VERI_TABANI!$B$16, 0))) / (((VERI_TABANI!$D$29*B87 + VERI_TABANI!$D$29*C87)*VERI_TABANI!$B$13 + IF(ISNUMBER(SEARCH("Var", D87)), VERI_TABANI!$E$29*(1-0.928)*VERI_TABANI!$B$18, 0))), 0)</f>
        <v/>
      </c>
      <c r="J87" s="171">
        <f>IFERROR(F87/(G87/29), 0)</f>
        <v/>
      </c>
      <c r="K87" s="172">
        <f>IF(F87&gt;0, H87/F87, 0)</f>
        <v/>
      </c>
      <c r="L87" s="170">
        <f>IF(F87&gt;0, I87, 1000000000)</f>
        <v/>
      </c>
      <c r="M87" s="171">
        <f>ABS((B87+C87)-1)</f>
        <v/>
      </c>
      <c r="N87" s="170">
        <f>IF(F87&gt;0, (G87/29)/F87, 0)</f>
        <v/>
      </c>
      <c r="O87" s="168">
        <f>IF(AND((B87+C87)&gt;=1, ISNUMBER(SEARCH("Var", D87))), F87, 1000000000)</f>
        <v/>
      </c>
      <c r="P87" s="172">
        <f>IF(F87&gt;0, SQRT((F87/MAX(F$5:F$886))^2 + (1 - H87/MAX(H$5:H$886))^2 + (J87/MAX(J$5:J$886))^2), 1000000000)</f>
        <v/>
      </c>
      <c r="Q87" s="166">
        <f>IF(AND(ABS(B87-0.5)&lt;0.01, ABS(C87-0.5)&lt;0.01, ISNUMBER(SEARCH("Var", D87))), 1, 0)</f>
        <v/>
      </c>
      <c r="R87" s="171">
        <f>IF(F87&gt;0, J87, 1000000000)</f>
        <v/>
      </c>
      <c r="S87" s="101">
        <f>IF(AND(F87&lt;=DASHBOARD!$B$11, H87&gt;=DASHBOARD!$B$13), G87, -1000000000000)</f>
        <v/>
      </c>
      <c r="T87" s="101">
        <f>IF(AND(F87&lt;=DASHBOARD!$B$11, H87&gt;=DASHBOARD!$B$13), R87, 1000000000000)</f>
        <v/>
      </c>
      <c r="U87" s="101">
        <f>IF(AND(F87&lt;=DASHBOARD!$B$11, H87&gt;=DASHBOARD!$B$13), N87, -1000000000000)</f>
        <v/>
      </c>
      <c r="V87" s="101">
        <f>IF(AND(F87&lt;=DASHBOARD!$B$11, H87&gt;=DASHBOARD!$B$13), H87, -1000000000000)</f>
        <v/>
      </c>
      <c r="W87" s="101">
        <f>IF(AND(F87&lt;=DASHBOARD!$B$11, H87&gt;=DASHBOARD!$B$13), K87, -1000000000000)</f>
        <v/>
      </c>
      <c r="X87" s="101">
        <f>IF(AND(F87&lt;=DASHBOARD!$B$11, H87&gt;=DASHBOARD!$B$13), M87, 1000000000000)</f>
        <v/>
      </c>
      <c r="Y87" s="101">
        <f>IF(AND(F87&lt;=DASHBOARD!$B$10, H87&gt;=DASHBOARD!$B$11), L87, 1000000000000)</f>
        <v/>
      </c>
      <c r="Z87" s="101">
        <f>IF(AND(F87&lt;=DASHBOARD!$B$10, H87&gt;=DASHBOARD!$B$11), O87, 1000000000000)</f>
        <v/>
      </c>
      <c r="AA87" s="101">
        <f>IF(AND(F87&lt;=DASHBOARD!$B$10, H87&gt;=DASHBOARD!$B$11), P87, 1000000000000)</f>
        <v/>
      </c>
      <c r="AB87" s="101">
        <f>IF(AND(F87&lt;=DASHBOARD!$B$10, H87&gt;=DASHBOARD!$B$11), Q87, -1000000000000)</f>
        <v/>
      </c>
    </row>
    <row r="88" ht="12.75" customHeight="1" s="102">
      <c r="A88" s="166" t="n">
        <v>84</v>
      </c>
      <c r="B88" s="167" t="n">
        <v>0.1</v>
      </c>
      <c r="C88" s="167" t="n">
        <v>2</v>
      </c>
      <c r="D88" s="110" t="inlineStr">
        <is>
          <t>Var (%20)</t>
        </is>
      </c>
      <c r="E88" s="110">
        <f>IF((B88+C88)&lt;=1, "Tam Mahsuplaşma (≤%100)", "Kısmi Satış (&gt;%100)")</f>
        <v/>
      </c>
      <c r="F88" s="168">
        <f>((VERI_TABANI!$D$29*B88/VERI_TABANI!$B$29)/VERI_TABANI!$B$3)*VERI_TABANI!$B$5 + ((VERI_TABANI!$D$29*C88/VERI_TABANI!$B$29)/VERI_TABANI!$B$4)*VERI_TABANI!$B$6 + IF(ISNUMBER(SEARCH("Var", D88)), (VERI_TABANI!$F$29/VERI_TABANI!$B$29)*(VERI_TABANI!$B$10+VERI_TABANI!$B$12), 0)</f>
        <v/>
      </c>
      <c r="G88" s="168">
        <f>(((MIN(VERI_TABANI!D23, VERI_TABANI!D23*B88)*VERI_TABANI!$B$7 + MAX(0, VERI_TABANI!D23*B88-VERI_TABANI!D23)*VERI_TABANI!$B$8) + (MIN(MAX(0, VERI_TABANI!D23-VERI_TABANI!D23*B88), VERI_TABANI!D23*C88)*VERI_TABANI!$B$7 + MAX(0, VERI_TABANI!D23*C88-MAX(0, VERI_TABANI!D23-VERI_TABANI!D23*B88))*VERI_TABANI!$B$8) + IF(ABS(IF(ISNUMBER(SEARCH("Var", D88)), 1, IF(ISNUMBER(SEARCH("Gri", D88)), -1, 0)))=1, VERI_TABANI!E23*(1-0.928)*VERI_TABANI!$B$9, 0) + (VERI_TABANI!D23*B88*(VERI_TABANI!$B$13-VERI_TABANI!$B$14)*VERI_TABANI!G23) + (VERI_TABANI!D23*C88*(VERI_TABANI!$B$13-VERI_TABANI!$B$15)*VERI_TABANI!G23) + IF(ABS(IF(ISNUMBER(SEARCH("Var", D88)), 1, IF(ISNUMBER(SEARCH("Gri", D88)), -1, 0)))=1, VERI_TABANI!E23*(1-0.928)*0.00206091519919798*VERI_TABANI!G23, 0)) + ((MIN(VERI_TABANI!D24, VERI_TABANI!D24*B88)*VERI_TABANI!$B$7 + MAX(0, VERI_TABANI!D24*B88-VERI_TABANI!D24)*VERI_TABANI!$B$8) + (MIN(MAX(0, VERI_TABANI!D24-VERI_TABANI!D24*B88), VERI_TABANI!D24*C88)*VERI_TABANI!$B$7 + MAX(0, VERI_TABANI!D24*C88-MAX(0, VERI_TABANI!D24-VERI_TABANI!D24*B88))*VERI_TABANI!$B$8) + IF(ABS(IF(ISNUMBER(SEARCH("Var", D88)), 1, IF(ISNUMBER(SEARCH("Gri", D88)), -1, 0)))=1, VERI_TABANI!E24*(1-0.928)*VERI_TABANI!$B$9, 0) + (VERI_TABANI!D24*B88*(VERI_TABANI!$B$13-VERI_TABANI!$B$14)*VERI_TABANI!G24) + (VERI_TABANI!D24*C88*(VERI_TABANI!$B$13-VERI_TABANI!$B$15)*VERI_TABANI!G24) + IF(ABS(IF(ISNUMBER(SEARCH("Var", D88)), 1, IF(ISNUMBER(SEARCH("Gri", D88)), -1, 0)))=1, VERI_TABANI!E24*(1-0.928)*0.00206091519919798*VERI_TABANI!G24, 0)) + ((MIN(VERI_TABANI!D25, VERI_TABANI!D25*B88)*VERI_TABANI!$B$7 + MAX(0, VERI_TABANI!D25*B88-VERI_TABANI!D25)*VERI_TABANI!$B$8) + (MIN(MAX(0, VERI_TABANI!D25-VERI_TABANI!D25*B88), VERI_TABANI!D25*C88)*VERI_TABANI!$B$7 + MAX(0, VERI_TABANI!D25*C88-MAX(0, VERI_TABANI!D25-VERI_TABANI!D25*B88))*VERI_TABANI!$B$8) + IF(ABS(IF(ISNUMBER(SEARCH("Var", D88)), 1, IF(ISNUMBER(SEARCH("Gri", D88)), -1, 0)))=1, VERI_TABANI!E25*(1-0.928)*VERI_TABANI!$B$9, 0) + (VERI_TABANI!D25*B88*(VERI_TABANI!$B$13-VERI_TABANI!$B$14)*VERI_TABANI!G25) + (VERI_TABANI!D25*C88*(VERI_TABANI!$B$13-VERI_TABANI!$B$15)*VERI_TABANI!G25) + IF(ABS(IF(ISNUMBER(SEARCH("Var", D88)), 1, IF(ISNUMBER(SEARCH("Gri", D88)), -1, 0)))=1, VERI_TABANI!E25*(1-0.928)*0.00206091519919798*VERI_TABANI!G25, 0)) + ((MIN(VERI_TABANI!D26, VERI_TABANI!D26*B88)*VERI_TABANI!$B$7 + MAX(0, VERI_TABANI!D26*B88-VERI_TABANI!D26)*VERI_TABANI!$B$8) + (MIN(MAX(0, VERI_TABANI!D26-VERI_TABANI!D26*B88), VERI_TABANI!D26*C88)*VERI_TABANI!$B$7 + MAX(0, VERI_TABANI!D26*C88-MAX(0, VERI_TABANI!D26-VERI_TABANI!D26*B88))*VERI_TABANI!$B$8) + IF(ABS(IF(ISNUMBER(SEARCH("Var", D88)), 1, IF(ISNUMBER(SEARCH("Gri", D88)), -1, 0)))=1, VERI_TABANI!E26*(1-0.928)*VERI_TABANI!$B$9, 0) + (VERI_TABANI!D26*B88*(VERI_TABANI!$B$13-VERI_TABANI!$B$14)*VERI_TABANI!G26) + (VERI_TABANI!D26*C88*(VERI_TABANI!$B$13-VERI_TABANI!$B$15)*VERI_TABANI!G26) + IF(ABS(IF(ISNUMBER(SEARCH("Var", D88)), 1, IF(ISNUMBER(SEARCH("Gri", D88)), -1, 0)))=1, VERI_TABANI!E26*(1-0.928)*0.00206091519919798*VERI_TABANI!G26, 0)) + ((MIN(VERI_TABANI!D27, VERI_TABANI!D27*B88)*VERI_TABANI!$B$7 + MAX(0, VERI_TABANI!D27*B88-VERI_TABANI!D27)*VERI_TABANI!$B$8) + (MIN(MAX(0, VERI_TABANI!D27-VERI_TABANI!D27*B88), VERI_TABANI!D27*C88)*VERI_TABANI!$B$7 + MAX(0, VERI_TABANI!D27*C88-MAX(0, VERI_TABANI!D27-VERI_TABANI!D27*B88))*VERI_TABANI!$B$8) + IF(ABS(IF(ISNUMBER(SEARCH("Var", D88)), 1, IF(ISNUMBER(SEARCH("Gri", D88)), -1, 0)))=1, VERI_TABANI!E27*(1-0.928)*VERI_TABANI!$B$9, 0) + (VERI_TABANI!D27*B88*(VERI_TABANI!$B$13-VERI_TABANI!$B$14)*VERI_TABANI!G27) + (VERI_TABANI!D27*C88*(VERI_TABANI!$B$13-VERI_TABANI!$B$15)*VERI_TABANI!G27) + IF(ABS(IF(ISNUMBER(SEARCH("Var", D88)), 1, IF(ISNUMBER(SEARCH("Gri", D88)), -1, 0)))=1, VERI_TABANI!E27*(1-0.928)*0.00206091519919798*VERI_TABANI!G27, 0)) + ((MIN(VERI_TABANI!D28, VERI_TABANI!D28*B88)*VERI_TABANI!$B$7 + MAX(0, VERI_TABANI!D28*B88-VERI_TABANI!D28)*VERI_TABANI!$B$8) + (MIN(MAX(0, VERI_TABANI!D28-VERI_TABANI!D28*B88), VERI_TABANI!D28*C88)*VERI_TABANI!$B$7 + MAX(0, VERI_TABANI!D28*C88-MAX(0, VERI_TABANI!D28-VERI_TABANI!D28*B88))*VERI_TABANI!$B$8) + IF(ABS(IF(ISNUMBER(SEARCH("Var", D88)), 1, IF(ISNUMBER(SEARCH("Gri", D88)), -1, 0)))=1, VERI_TABANI!E28*(1-0.928)*VERI_TABANI!$B$9, 0) + (VERI_TABANI!D28*B88*(VERI_TABANI!$B$13-VERI_TABANI!$B$14)*VERI_TABANI!G28) + (VERI_TABANI!D28*C88*(VERI_TABANI!$B$13-VERI_TABANI!$B$15)*VERI_TABANI!G28) + IF(ABS(IF(ISNUMBER(SEARCH("Var", D88)), 1, IF(ISNUMBER(SEARCH("Gri", D88)), -1, 0)))=1, VERI_TABANI!E28*(1-0.928)*0.00206091519919798*VERI_TABANI!G28, 0)))</f>
        <v/>
      </c>
      <c r="H88" s="169">
        <f>(((VERI_TABANI!D23*B88*(VERI_TABANI!$B$13-VERI_TABANI!$B$14)) + (VERI_TABANI!D23*C88*(VERI_TABANI!$B$13-VERI_TABANI!$B$15)) + IF(ISNUMBER(SEARCH("Var", D88)), VERI_TABANI!F23*(0.00202-VERI_TABANI!$B$16), IF(ISNUMBER(SEARCH("Gri", D88)), VERI_TABANI!F23*(0.00202-VERI_TABANI!$B$17), 0))) + ((VERI_TABANI!D24*B88*(VERI_TABANI!$B$13-VERI_TABANI!$B$14)) + (VERI_TABANI!D24*C88*(VERI_TABANI!$B$13-VERI_TABANI!$B$15)) + IF(ISNUMBER(SEARCH("Var", D88)), VERI_TABANI!F24*(0.00202-VERI_TABANI!$B$16), IF(ISNUMBER(SEARCH("Gri", D88)), VERI_TABANI!F24*(0.00202-VERI_TABANI!$B$17), 0))) + ((VERI_TABANI!D25*B88*(VERI_TABANI!$B$13-VERI_TABANI!$B$14)) + (VERI_TABANI!D25*C88*(VERI_TABANI!$B$13-VERI_TABANI!$B$15)) + IF(ISNUMBER(SEARCH("Var", D88)), VERI_TABANI!F25*(0.00202-VERI_TABANI!$B$16), IF(ISNUMBER(SEARCH("Gri", D88)), VERI_TABANI!F25*(0.00202-VERI_TABANI!$B$17), 0))) + ((VERI_TABANI!D26*B88*(VERI_TABANI!$B$13-VERI_TABANI!$B$14)) + (VERI_TABANI!D26*C88*(VERI_TABANI!$B$13-VERI_TABANI!$B$15)) + IF(ISNUMBER(SEARCH("Var", D88)), VERI_TABANI!F26*(0.00202-VERI_TABANI!$B$16), IF(ISNUMBER(SEARCH("Gri", D88)), VERI_TABANI!F26*(0.00202-VERI_TABANI!$B$17), 0))) + ((VERI_TABANI!D27*B88*(VERI_TABANI!$B$13-VERI_TABANI!$B$14)) + (VERI_TABANI!D27*C88*(VERI_TABANI!$B$13-VERI_TABANI!$B$15)) + IF(ISNUMBER(SEARCH("Var", D88)), VERI_TABANI!F27*(0.00202-VERI_TABANI!$B$16), IF(ISNUMBER(SEARCH("Gri", D88)), VERI_TABANI!F27*(0.00202-VERI_TABANI!$B$17), 0))) + ((VERI_TABANI!D28*B88*(VERI_TABANI!$B$13-VERI_TABANI!$B$14)) + (VERI_TABANI!D28*C88*(VERI_TABANI!$B$13-VERI_TABANI!$B$15)) + IF(ISNUMBER(SEARCH("Var", D88)), VERI_TABANI!F28*(0.00202-VERI_TABANI!$B$16), IF(ISNUMBER(SEARCH("Gri", D88)), VERI_TABANI!F28*(0.00202-VERI_TABANI!$B$17), 0))))</f>
        <v/>
      </c>
      <c r="I88" s="170">
        <f>IFERROR(((VERI_TABANI!$D$29*B88*VERI_TABANI!$B$14 + VERI_TABANI!$D$29*C88*VERI_TABANI!$B$15 + IF(ISNUMBER(SEARCH("Var", D88)), VERI_TABANI!$F$29*VERI_TABANI!$B$16, 0))) / (((VERI_TABANI!$D$29*B88 + VERI_TABANI!$D$29*C88)*VERI_TABANI!$B$13 + IF(ISNUMBER(SEARCH("Var", D88)), VERI_TABANI!$E$29*(1-0.928)*VERI_TABANI!$B$18, 0))), 0)</f>
        <v/>
      </c>
      <c r="J88" s="171">
        <f>IFERROR(F88/(G88/29), 0)</f>
        <v/>
      </c>
      <c r="K88" s="172">
        <f>IF(F88&gt;0, H88/F88, 0)</f>
        <v/>
      </c>
      <c r="L88" s="170">
        <f>IF(F88&gt;0, I88, 1000000000)</f>
        <v/>
      </c>
      <c r="M88" s="171">
        <f>ABS((B88+C88)-1)</f>
        <v/>
      </c>
      <c r="N88" s="170">
        <f>IF(F88&gt;0, (G88/29)/F88, 0)</f>
        <v/>
      </c>
      <c r="O88" s="168">
        <f>IF(AND((B88+C88)&gt;=1, ISNUMBER(SEARCH("Var", D88))), F88, 1000000000)</f>
        <v/>
      </c>
      <c r="P88" s="172">
        <f>IF(F88&gt;0, SQRT((F88/MAX(F$5:F$886))^2 + (1 - H88/MAX(H$5:H$886))^2 + (J88/MAX(J$5:J$886))^2), 1000000000)</f>
        <v/>
      </c>
      <c r="Q88" s="166">
        <f>IF(AND(ABS(B88-0.5)&lt;0.01, ABS(C88-0.5)&lt;0.01, ISNUMBER(SEARCH("Var", D88))), 1, 0)</f>
        <v/>
      </c>
      <c r="R88" s="171">
        <f>IF(F88&gt;0, J88, 1000000000)</f>
        <v/>
      </c>
      <c r="S88" s="101">
        <f>IF(AND(F88&lt;=DASHBOARD!$B$11, H88&gt;=DASHBOARD!$B$13), G88, -1000000000000)</f>
        <v/>
      </c>
      <c r="T88" s="101">
        <f>IF(AND(F88&lt;=DASHBOARD!$B$11, H88&gt;=DASHBOARD!$B$13), R88, 1000000000000)</f>
        <v/>
      </c>
      <c r="U88" s="101">
        <f>IF(AND(F88&lt;=DASHBOARD!$B$11, H88&gt;=DASHBOARD!$B$13), N88, -1000000000000)</f>
        <v/>
      </c>
      <c r="V88" s="101">
        <f>IF(AND(F88&lt;=DASHBOARD!$B$11, H88&gt;=DASHBOARD!$B$13), H88, -1000000000000)</f>
        <v/>
      </c>
      <c r="W88" s="101">
        <f>IF(AND(F88&lt;=DASHBOARD!$B$11, H88&gt;=DASHBOARD!$B$13), K88, -1000000000000)</f>
        <v/>
      </c>
      <c r="X88" s="101">
        <f>IF(AND(F88&lt;=DASHBOARD!$B$11, H88&gt;=DASHBOARD!$B$13), M88, 1000000000000)</f>
        <v/>
      </c>
      <c r="Y88" s="101">
        <f>IF(AND(F88&lt;=DASHBOARD!$B$10, H88&gt;=DASHBOARD!$B$11), L88, 1000000000000)</f>
        <v/>
      </c>
      <c r="Z88" s="101">
        <f>IF(AND(F88&lt;=DASHBOARD!$B$10, H88&gt;=DASHBOARD!$B$11), O88, 1000000000000)</f>
        <v/>
      </c>
      <c r="AA88" s="101">
        <f>IF(AND(F88&lt;=DASHBOARD!$B$10, H88&gt;=DASHBOARD!$B$11), P88, 1000000000000)</f>
        <v/>
      </c>
      <c r="AB88" s="101">
        <f>IF(AND(F88&lt;=DASHBOARD!$B$10, H88&gt;=DASHBOARD!$B$11), Q88, -1000000000000)</f>
        <v/>
      </c>
    </row>
    <row r="89" ht="12.75" customHeight="1" s="102">
      <c r="A89" s="166" t="n">
        <v>85</v>
      </c>
      <c r="B89" s="167" t="n">
        <v>0.2</v>
      </c>
      <c r="C89" s="167" t="n">
        <v>0</v>
      </c>
      <c r="D89" s="110" t="inlineStr">
        <is>
          <t>Yok (%0)</t>
        </is>
      </c>
      <c r="E89" s="110">
        <f>IF((B89+C89)&lt;=1, "Tam Mahsuplaşma (≤%100)", "Kısmi Satış (&gt;%100)")</f>
        <v/>
      </c>
      <c r="F89" s="168">
        <f>((VERI_TABANI!$D$29*B89/VERI_TABANI!$B$29)/VERI_TABANI!$B$3)*VERI_TABANI!$B$5 + ((VERI_TABANI!$D$29*C89/VERI_TABANI!$B$29)/VERI_TABANI!$B$4)*VERI_TABANI!$B$6 + IF(ISNUMBER(SEARCH("Var", D89)), (VERI_TABANI!$F$29/VERI_TABANI!$B$29)*(VERI_TABANI!$B$10+VERI_TABANI!$B$12), 0)</f>
        <v/>
      </c>
      <c r="G89" s="168">
        <f>(((MIN(VERI_TABANI!D23, VERI_TABANI!D23*B89)*VERI_TABANI!$B$7 + MAX(0, VERI_TABANI!D23*B89-VERI_TABANI!D23)*VERI_TABANI!$B$8) + (MIN(MAX(0, VERI_TABANI!D23-VERI_TABANI!D23*B89), VERI_TABANI!D23*C89)*VERI_TABANI!$B$7 + MAX(0, VERI_TABANI!D23*C89-MAX(0, VERI_TABANI!D23-VERI_TABANI!D23*B89))*VERI_TABANI!$B$8) + IF(ABS(IF(ISNUMBER(SEARCH("Var", D89)), 1, IF(ISNUMBER(SEARCH("Gri", D89)), -1, 0)))=1, VERI_TABANI!E23*(1-0.928)*VERI_TABANI!$B$9, 0) + (VERI_TABANI!D23*B89*(VERI_TABANI!$B$13-VERI_TABANI!$B$14)*VERI_TABANI!G23) + (VERI_TABANI!D23*C89*(VERI_TABANI!$B$13-VERI_TABANI!$B$15)*VERI_TABANI!G23) + IF(ABS(IF(ISNUMBER(SEARCH("Var", D89)), 1, IF(ISNUMBER(SEARCH("Gri", D89)), -1, 0)))=1, VERI_TABANI!E23*(1-0.928)*0.00206091519919798*VERI_TABANI!G23, 0)) + ((MIN(VERI_TABANI!D24, VERI_TABANI!D24*B89)*VERI_TABANI!$B$7 + MAX(0, VERI_TABANI!D24*B89-VERI_TABANI!D24)*VERI_TABANI!$B$8) + (MIN(MAX(0, VERI_TABANI!D24-VERI_TABANI!D24*B89), VERI_TABANI!D24*C89)*VERI_TABANI!$B$7 + MAX(0, VERI_TABANI!D24*C89-MAX(0, VERI_TABANI!D24-VERI_TABANI!D24*B89))*VERI_TABANI!$B$8) + IF(ABS(IF(ISNUMBER(SEARCH("Var", D89)), 1, IF(ISNUMBER(SEARCH("Gri", D89)), -1, 0)))=1, VERI_TABANI!E24*(1-0.928)*VERI_TABANI!$B$9, 0) + (VERI_TABANI!D24*B89*(VERI_TABANI!$B$13-VERI_TABANI!$B$14)*VERI_TABANI!G24) + (VERI_TABANI!D24*C89*(VERI_TABANI!$B$13-VERI_TABANI!$B$15)*VERI_TABANI!G24) + IF(ABS(IF(ISNUMBER(SEARCH("Var", D89)), 1, IF(ISNUMBER(SEARCH("Gri", D89)), -1, 0)))=1, VERI_TABANI!E24*(1-0.928)*0.00206091519919798*VERI_TABANI!G24, 0)) + ((MIN(VERI_TABANI!D25, VERI_TABANI!D25*B89)*VERI_TABANI!$B$7 + MAX(0, VERI_TABANI!D25*B89-VERI_TABANI!D25)*VERI_TABANI!$B$8) + (MIN(MAX(0, VERI_TABANI!D25-VERI_TABANI!D25*B89), VERI_TABANI!D25*C89)*VERI_TABANI!$B$7 + MAX(0, VERI_TABANI!D25*C89-MAX(0, VERI_TABANI!D25-VERI_TABANI!D25*B89))*VERI_TABANI!$B$8) + IF(ABS(IF(ISNUMBER(SEARCH("Var", D89)), 1, IF(ISNUMBER(SEARCH("Gri", D89)), -1, 0)))=1, VERI_TABANI!E25*(1-0.928)*VERI_TABANI!$B$9, 0) + (VERI_TABANI!D25*B89*(VERI_TABANI!$B$13-VERI_TABANI!$B$14)*VERI_TABANI!G25) + (VERI_TABANI!D25*C89*(VERI_TABANI!$B$13-VERI_TABANI!$B$15)*VERI_TABANI!G25) + IF(ABS(IF(ISNUMBER(SEARCH("Var", D89)), 1, IF(ISNUMBER(SEARCH("Gri", D89)), -1, 0)))=1, VERI_TABANI!E25*(1-0.928)*0.00206091519919798*VERI_TABANI!G25, 0)) + ((MIN(VERI_TABANI!D26, VERI_TABANI!D26*B89)*VERI_TABANI!$B$7 + MAX(0, VERI_TABANI!D26*B89-VERI_TABANI!D26)*VERI_TABANI!$B$8) + (MIN(MAX(0, VERI_TABANI!D26-VERI_TABANI!D26*B89), VERI_TABANI!D26*C89)*VERI_TABANI!$B$7 + MAX(0, VERI_TABANI!D26*C89-MAX(0, VERI_TABANI!D26-VERI_TABANI!D26*B89))*VERI_TABANI!$B$8) + IF(ABS(IF(ISNUMBER(SEARCH("Var", D89)), 1, IF(ISNUMBER(SEARCH("Gri", D89)), -1, 0)))=1, VERI_TABANI!E26*(1-0.928)*VERI_TABANI!$B$9, 0) + (VERI_TABANI!D26*B89*(VERI_TABANI!$B$13-VERI_TABANI!$B$14)*VERI_TABANI!G26) + (VERI_TABANI!D26*C89*(VERI_TABANI!$B$13-VERI_TABANI!$B$15)*VERI_TABANI!G26) + IF(ABS(IF(ISNUMBER(SEARCH("Var", D89)), 1, IF(ISNUMBER(SEARCH("Gri", D89)), -1, 0)))=1, VERI_TABANI!E26*(1-0.928)*0.00206091519919798*VERI_TABANI!G26, 0)) + ((MIN(VERI_TABANI!D27, VERI_TABANI!D27*B89)*VERI_TABANI!$B$7 + MAX(0, VERI_TABANI!D27*B89-VERI_TABANI!D27)*VERI_TABANI!$B$8) + (MIN(MAX(0, VERI_TABANI!D27-VERI_TABANI!D27*B89), VERI_TABANI!D27*C89)*VERI_TABANI!$B$7 + MAX(0, VERI_TABANI!D27*C89-MAX(0, VERI_TABANI!D27-VERI_TABANI!D27*B89))*VERI_TABANI!$B$8) + IF(ABS(IF(ISNUMBER(SEARCH("Var", D89)), 1, IF(ISNUMBER(SEARCH("Gri", D89)), -1, 0)))=1, VERI_TABANI!E27*(1-0.928)*VERI_TABANI!$B$9, 0) + (VERI_TABANI!D27*B89*(VERI_TABANI!$B$13-VERI_TABANI!$B$14)*VERI_TABANI!G27) + (VERI_TABANI!D27*C89*(VERI_TABANI!$B$13-VERI_TABANI!$B$15)*VERI_TABANI!G27) + IF(ABS(IF(ISNUMBER(SEARCH("Var", D89)), 1, IF(ISNUMBER(SEARCH("Gri", D89)), -1, 0)))=1, VERI_TABANI!E27*(1-0.928)*0.00206091519919798*VERI_TABANI!G27, 0)) + ((MIN(VERI_TABANI!D28, VERI_TABANI!D28*B89)*VERI_TABANI!$B$7 + MAX(0, VERI_TABANI!D28*B89-VERI_TABANI!D28)*VERI_TABANI!$B$8) + (MIN(MAX(0, VERI_TABANI!D28-VERI_TABANI!D28*B89), VERI_TABANI!D28*C89)*VERI_TABANI!$B$7 + MAX(0, VERI_TABANI!D28*C89-MAX(0, VERI_TABANI!D28-VERI_TABANI!D28*B89))*VERI_TABANI!$B$8) + IF(ABS(IF(ISNUMBER(SEARCH("Var", D89)), 1, IF(ISNUMBER(SEARCH("Gri", D89)), -1, 0)))=1, VERI_TABANI!E28*(1-0.928)*VERI_TABANI!$B$9, 0) + (VERI_TABANI!D28*B89*(VERI_TABANI!$B$13-VERI_TABANI!$B$14)*VERI_TABANI!G28) + (VERI_TABANI!D28*C89*(VERI_TABANI!$B$13-VERI_TABANI!$B$15)*VERI_TABANI!G28) + IF(ABS(IF(ISNUMBER(SEARCH("Var", D89)), 1, IF(ISNUMBER(SEARCH("Gri", D89)), -1, 0)))=1, VERI_TABANI!E28*(1-0.928)*0.00206091519919798*VERI_TABANI!G28, 0)))</f>
        <v/>
      </c>
      <c r="H89" s="169">
        <f>(((VERI_TABANI!D23*B89*(VERI_TABANI!$B$13-VERI_TABANI!$B$14)) + (VERI_TABANI!D23*C89*(VERI_TABANI!$B$13-VERI_TABANI!$B$15)) + IF(ISNUMBER(SEARCH("Var", D89)), VERI_TABANI!F23*(0.00202-VERI_TABANI!$B$16), IF(ISNUMBER(SEARCH("Gri", D89)), VERI_TABANI!F23*(0.00202-VERI_TABANI!$B$17), 0))) + ((VERI_TABANI!D24*B89*(VERI_TABANI!$B$13-VERI_TABANI!$B$14)) + (VERI_TABANI!D24*C89*(VERI_TABANI!$B$13-VERI_TABANI!$B$15)) + IF(ISNUMBER(SEARCH("Var", D89)), VERI_TABANI!F24*(0.00202-VERI_TABANI!$B$16), IF(ISNUMBER(SEARCH("Gri", D89)), VERI_TABANI!F24*(0.00202-VERI_TABANI!$B$17), 0))) + ((VERI_TABANI!D25*B89*(VERI_TABANI!$B$13-VERI_TABANI!$B$14)) + (VERI_TABANI!D25*C89*(VERI_TABANI!$B$13-VERI_TABANI!$B$15)) + IF(ISNUMBER(SEARCH("Var", D89)), VERI_TABANI!F25*(0.00202-VERI_TABANI!$B$16), IF(ISNUMBER(SEARCH("Gri", D89)), VERI_TABANI!F25*(0.00202-VERI_TABANI!$B$17), 0))) + ((VERI_TABANI!D26*B89*(VERI_TABANI!$B$13-VERI_TABANI!$B$14)) + (VERI_TABANI!D26*C89*(VERI_TABANI!$B$13-VERI_TABANI!$B$15)) + IF(ISNUMBER(SEARCH("Var", D89)), VERI_TABANI!F26*(0.00202-VERI_TABANI!$B$16), IF(ISNUMBER(SEARCH("Gri", D89)), VERI_TABANI!F26*(0.00202-VERI_TABANI!$B$17), 0))) + ((VERI_TABANI!D27*B89*(VERI_TABANI!$B$13-VERI_TABANI!$B$14)) + (VERI_TABANI!D27*C89*(VERI_TABANI!$B$13-VERI_TABANI!$B$15)) + IF(ISNUMBER(SEARCH("Var", D89)), VERI_TABANI!F27*(0.00202-VERI_TABANI!$B$16), IF(ISNUMBER(SEARCH("Gri", D89)), VERI_TABANI!F27*(0.00202-VERI_TABANI!$B$17), 0))) + ((VERI_TABANI!D28*B89*(VERI_TABANI!$B$13-VERI_TABANI!$B$14)) + (VERI_TABANI!D28*C89*(VERI_TABANI!$B$13-VERI_TABANI!$B$15)) + IF(ISNUMBER(SEARCH("Var", D89)), VERI_TABANI!F28*(0.00202-VERI_TABANI!$B$16), IF(ISNUMBER(SEARCH("Gri", D89)), VERI_TABANI!F28*(0.00202-VERI_TABANI!$B$17), 0))))</f>
        <v/>
      </c>
      <c r="I89" s="170">
        <f>IFERROR(((VERI_TABANI!$D$29*B89*VERI_TABANI!$B$14 + VERI_TABANI!$D$29*C89*VERI_TABANI!$B$15 + IF(ISNUMBER(SEARCH("Var", D89)), VERI_TABANI!$F$29*VERI_TABANI!$B$16, 0))) / (((VERI_TABANI!$D$29*B89 + VERI_TABANI!$D$29*C89)*VERI_TABANI!$B$13 + IF(ISNUMBER(SEARCH("Var", D89)), VERI_TABANI!$E$29*(1-0.928)*VERI_TABANI!$B$18, 0))), 0)</f>
        <v/>
      </c>
      <c r="J89" s="171">
        <f>IFERROR(F89/(G89/29), 0)</f>
        <v/>
      </c>
      <c r="K89" s="172">
        <f>IF(F89&gt;0, H89/F89, 0)</f>
        <v/>
      </c>
      <c r="L89" s="170">
        <f>IF(F89&gt;0, I89, 1000000000)</f>
        <v/>
      </c>
      <c r="M89" s="171">
        <f>ABS((B89+C89)-1)</f>
        <v/>
      </c>
      <c r="N89" s="170">
        <f>IF(F89&gt;0, (G89/29)/F89, 0)</f>
        <v/>
      </c>
      <c r="O89" s="168">
        <f>IF(AND((B89+C89)&gt;=1, ISNUMBER(SEARCH("Var", D89))), F89, 1000000000)</f>
        <v/>
      </c>
      <c r="P89" s="172">
        <f>IF(F89&gt;0, SQRT((F89/MAX(F$5:F$886))^2 + (1 - H89/MAX(H$5:H$886))^2 + (J89/MAX(J$5:J$886))^2), 1000000000)</f>
        <v/>
      </c>
      <c r="Q89" s="166">
        <f>IF(AND(ABS(B89-0.5)&lt;0.01, ABS(C89-0.5)&lt;0.01, ISNUMBER(SEARCH("Var", D89))), 1, 0)</f>
        <v/>
      </c>
      <c r="R89" s="171">
        <f>IF(F89&gt;0, J89, 1000000000)</f>
        <v/>
      </c>
      <c r="S89" s="101">
        <f>IF(AND(F89&lt;=DASHBOARD!$B$11, H89&gt;=DASHBOARD!$B$13), G89, -1000000000000)</f>
        <v/>
      </c>
      <c r="T89" s="101">
        <f>IF(AND(F89&lt;=DASHBOARD!$B$11, H89&gt;=DASHBOARD!$B$13), R89, 1000000000000)</f>
        <v/>
      </c>
      <c r="U89" s="101">
        <f>IF(AND(F89&lt;=DASHBOARD!$B$11, H89&gt;=DASHBOARD!$B$13), N89, -1000000000000)</f>
        <v/>
      </c>
      <c r="V89" s="101">
        <f>IF(AND(F89&lt;=DASHBOARD!$B$11, H89&gt;=DASHBOARD!$B$13), H89, -1000000000000)</f>
        <v/>
      </c>
      <c r="W89" s="101">
        <f>IF(AND(F89&lt;=DASHBOARD!$B$11, H89&gt;=DASHBOARD!$B$13), K89, -1000000000000)</f>
        <v/>
      </c>
      <c r="X89" s="101">
        <f>IF(AND(F89&lt;=DASHBOARD!$B$11, H89&gt;=DASHBOARD!$B$13), M89, 1000000000000)</f>
        <v/>
      </c>
      <c r="Y89" s="101">
        <f>IF(AND(F89&lt;=DASHBOARD!$B$10, H89&gt;=DASHBOARD!$B$11), L89, 1000000000000)</f>
        <v/>
      </c>
      <c r="Z89" s="101">
        <f>IF(AND(F89&lt;=DASHBOARD!$B$10, H89&gt;=DASHBOARD!$B$11), O89, 1000000000000)</f>
        <v/>
      </c>
      <c r="AA89" s="101">
        <f>IF(AND(F89&lt;=DASHBOARD!$B$10, H89&gt;=DASHBOARD!$B$11), P89, 1000000000000)</f>
        <v/>
      </c>
      <c r="AB89" s="101">
        <f>IF(AND(F89&lt;=DASHBOARD!$B$10, H89&gt;=DASHBOARD!$B$11), Q89, -1000000000000)</f>
        <v/>
      </c>
    </row>
    <row r="90" ht="12.75" customHeight="1" s="102">
      <c r="A90" s="166" t="n">
        <v>86</v>
      </c>
      <c r="B90" s="167" t="n">
        <v>0.2</v>
      </c>
      <c r="C90" s="167" t="n">
        <v>0</v>
      </c>
      <c r="D90" s="110" t="inlineStr">
        <is>
          <t>Var (%20)</t>
        </is>
      </c>
      <c r="E90" s="110">
        <f>IF((B90+C90)&lt;=1, "Tam Mahsuplaşma (≤%100)", "Kısmi Satış (&gt;%100)")</f>
        <v/>
      </c>
      <c r="F90" s="168">
        <f>((VERI_TABANI!$D$29*B90/VERI_TABANI!$B$29)/VERI_TABANI!$B$3)*VERI_TABANI!$B$5 + ((VERI_TABANI!$D$29*C90/VERI_TABANI!$B$29)/VERI_TABANI!$B$4)*VERI_TABANI!$B$6 + IF(ISNUMBER(SEARCH("Var", D90)), (VERI_TABANI!$F$29/VERI_TABANI!$B$29)*(VERI_TABANI!$B$10+VERI_TABANI!$B$12), 0)</f>
        <v/>
      </c>
      <c r="G90" s="168">
        <f>(((MIN(VERI_TABANI!D23, VERI_TABANI!D23*B90)*VERI_TABANI!$B$7 + MAX(0, VERI_TABANI!D23*B90-VERI_TABANI!D23)*VERI_TABANI!$B$8) + (MIN(MAX(0, VERI_TABANI!D23-VERI_TABANI!D23*B90), VERI_TABANI!D23*C90)*VERI_TABANI!$B$7 + MAX(0, VERI_TABANI!D23*C90-MAX(0, VERI_TABANI!D23-VERI_TABANI!D23*B90))*VERI_TABANI!$B$8) + IF(ABS(IF(ISNUMBER(SEARCH("Var", D90)), 1, IF(ISNUMBER(SEARCH("Gri", D90)), -1, 0)))=1, VERI_TABANI!E23*(1-0.928)*VERI_TABANI!$B$9, 0) + (VERI_TABANI!D23*B90*(VERI_TABANI!$B$13-VERI_TABANI!$B$14)*VERI_TABANI!G23) + (VERI_TABANI!D23*C90*(VERI_TABANI!$B$13-VERI_TABANI!$B$15)*VERI_TABANI!G23) + IF(ABS(IF(ISNUMBER(SEARCH("Var", D90)), 1, IF(ISNUMBER(SEARCH("Gri", D90)), -1, 0)))=1, VERI_TABANI!E23*(1-0.928)*0.00206091519919798*VERI_TABANI!G23, 0)) + ((MIN(VERI_TABANI!D24, VERI_TABANI!D24*B90)*VERI_TABANI!$B$7 + MAX(0, VERI_TABANI!D24*B90-VERI_TABANI!D24)*VERI_TABANI!$B$8) + (MIN(MAX(0, VERI_TABANI!D24-VERI_TABANI!D24*B90), VERI_TABANI!D24*C90)*VERI_TABANI!$B$7 + MAX(0, VERI_TABANI!D24*C90-MAX(0, VERI_TABANI!D24-VERI_TABANI!D24*B90))*VERI_TABANI!$B$8) + IF(ABS(IF(ISNUMBER(SEARCH("Var", D90)), 1, IF(ISNUMBER(SEARCH("Gri", D90)), -1, 0)))=1, VERI_TABANI!E24*(1-0.928)*VERI_TABANI!$B$9, 0) + (VERI_TABANI!D24*B90*(VERI_TABANI!$B$13-VERI_TABANI!$B$14)*VERI_TABANI!G24) + (VERI_TABANI!D24*C90*(VERI_TABANI!$B$13-VERI_TABANI!$B$15)*VERI_TABANI!G24) + IF(ABS(IF(ISNUMBER(SEARCH("Var", D90)), 1, IF(ISNUMBER(SEARCH("Gri", D90)), -1, 0)))=1, VERI_TABANI!E24*(1-0.928)*0.00206091519919798*VERI_TABANI!G24, 0)) + ((MIN(VERI_TABANI!D25, VERI_TABANI!D25*B90)*VERI_TABANI!$B$7 + MAX(0, VERI_TABANI!D25*B90-VERI_TABANI!D25)*VERI_TABANI!$B$8) + (MIN(MAX(0, VERI_TABANI!D25-VERI_TABANI!D25*B90), VERI_TABANI!D25*C90)*VERI_TABANI!$B$7 + MAX(0, VERI_TABANI!D25*C90-MAX(0, VERI_TABANI!D25-VERI_TABANI!D25*B90))*VERI_TABANI!$B$8) + IF(ABS(IF(ISNUMBER(SEARCH("Var", D90)), 1, IF(ISNUMBER(SEARCH("Gri", D90)), -1, 0)))=1, VERI_TABANI!E25*(1-0.928)*VERI_TABANI!$B$9, 0) + (VERI_TABANI!D25*B90*(VERI_TABANI!$B$13-VERI_TABANI!$B$14)*VERI_TABANI!G25) + (VERI_TABANI!D25*C90*(VERI_TABANI!$B$13-VERI_TABANI!$B$15)*VERI_TABANI!G25) + IF(ABS(IF(ISNUMBER(SEARCH("Var", D90)), 1, IF(ISNUMBER(SEARCH("Gri", D90)), -1, 0)))=1, VERI_TABANI!E25*(1-0.928)*0.00206091519919798*VERI_TABANI!G25, 0)) + ((MIN(VERI_TABANI!D26, VERI_TABANI!D26*B90)*VERI_TABANI!$B$7 + MAX(0, VERI_TABANI!D26*B90-VERI_TABANI!D26)*VERI_TABANI!$B$8) + (MIN(MAX(0, VERI_TABANI!D26-VERI_TABANI!D26*B90), VERI_TABANI!D26*C90)*VERI_TABANI!$B$7 + MAX(0, VERI_TABANI!D26*C90-MAX(0, VERI_TABANI!D26-VERI_TABANI!D26*B90))*VERI_TABANI!$B$8) + IF(ABS(IF(ISNUMBER(SEARCH("Var", D90)), 1, IF(ISNUMBER(SEARCH("Gri", D90)), -1, 0)))=1, VERI_TABANI!E26*(1-0.928)*VERI_TABANI!$B$9, 0) + (VERI_TABANI!D26*B90*(VERI_TABANI!$B$13-VERI_TABANI!$B$14)*VERI_TABANI!G26) + (VERI_TABANI!D26*C90*(VERI_TABANI!$B$13-VERI_TABANI!$B$15)*VERI_TABANI!G26) + IF(ABS(IF(ISNUMBER(SEARCH("Var", D90)), 1, IF(ISNUMBER(SEARCH("Gri", D90)), -1, 0)))=1, VERI_TABANI!E26*(1-0.928)*0.00206091519919798*VERI_TABANI!G26, 0)) + ((MIN(VERI_TABANI!D27, VERI_TABANI!D27*B90)*VERI_TABANI!$B$7 + MAX(0, VERI_TABANI!D27*B90-VERI_TABANI!D27)*VERI_TABANI!$B$8) + (MIN(MAX(0, VERI_TABANI!D27-VERI_TABANI!D27*B90), VERI_TABANI!D27*C90)*VERI_TABANI!$B$7 + MAX(0, VERI_TABANI!D27*C90-MAX(0, VERI_TABANI!D27-VERI_TABANI!D27*B90))*VERI_TABANI!$B$8) + IF(ABS(IF(ISNUMBER(SEARCH("Var", D90)), 1, IF(ISNUMBER(SEARCH("Gri", D90)), -1, 0)))=1, VERI_TABANI!E27*(1-0.928)*VERI_TABANI!$B$9, 0) + (VERI_TABANI!D27*B90*(VERI_TABANI!$B$13-VERI_TABANI!$B$14)*VERI_TABANI!G27) + (VERI_TABANI!D27*C90*(VERI_TABANI!$B$13-VERI_TABANI!$B$15)*VERI_TABANI!G27) + IF(ABS(IF(ISNUMBER(SEARCH("Var", D90)), 1, IF(ISNUMBER(SEARCH("Gri", D90)), -1, 0)))=1, VERI_TABANI!E27*(1-0.928)*0.00206091519919798*VERI_TABANI!G27, 0)) + ((MIN(VERI_TABANI!D28, VERI_TABANI!D28*B90)*VERI_TABANI!$B$7 + MAX(0, VERI_TABANI!D28*B90-VERI_TABANI!D28)*VERI_TABANI!$B$8) + (MIN(MAX(0, VERI_TABANI!D28-VERI_TABANI!D28*B90), VERI_TABANI!D28*C90)*VERI_TABANI!$B$7 + MAX(0, VERI_TABANI!D28*C90-MAX(0, VERI_TABANI!D28-VERI_TABANI!D28*B90))*VERI_TABANI!$B$8) + IF(ABS(IF(ISNUMBER(SEARCH("Var", D90)), 1, IF(ISNUMBER(SEARCH("Gri", D90)), -1, 0)))=1, VERI_TABANI!E28*(1-0.928)*VERI_TABANI!$B$9, 0) + (VERI_TABANI!D28*B90*(VERI_TABANI!$B$13-VERI_TABANI!$B$14)*VERI_TABANI!G28) + (VERI_TABANI!D28*C90*(VERI_TABANI!$B$13-VERI_TABANI!$B$15)*VERI_TABANI!G28) + IF(ABS(IF(ISNUMBER(SEARCH("Var", D90)), 1, IF(ISNUMBER(SEARCH("Gri", D90)), -1, 0)))=1, VERI_TABANI!E28*(1-0.928)*0.00206091519919798*VERI_TABANI!G28, 0)))</f>
        <v/>
      </c>
      <c r="H90" s="169">
        <f>(((VERI_TABANI!D23*B90*(VERI_TABANI!$B$13-VERI_TABANI!$B$14)) + (VERI_TABANI!D23*C90*(VERI_TABANI!$B$13-VERI_TABANI!$B$15)) + IF(ISNUMBER(SEARCH("Var", D90)), VERI_TABANI!F23*(0.00202-VERI_TABANI!$B$16), IF(ISNUMBER(SEARCH("Gri", D90)), VERI_TABANI!F23*(0.00202-VERI_TABANI!$B$17), 0))) + ((VERI_TABANI!D24*B90*(VERI_TABANI!$B$13-VERI_TABANI!$B$14)) + (VERI_TABANI!D24*C90*(VERI_TABANI!$B$13-VERI_TABANI!$B$15)) + IF(ISNUMBER(SEARCH("Var", D90)), VERI_TABANI!F24*(0.00202-VERI_TABANI!$B$16), IF(ISNUMBER(SEARCH("Gri", D90)), VERI_TABANI!F24*(0.00202-VERI_TABANI!$B$17), 0))) + ((VERI_TABANI!D25*B90*(VERI_TABANI!$B$13-VERI_TABANI!$B$14)) + (VERI_TABANI!D25*C90*(VERI_TABANI!$B$13-VERI_TABANI!$B$15)) + IF(ISNUMBER(SEARCH("Var", D90)), VERI_TABANI!F25*(0.00202-VERI_TABANI!$B$16), IF(ISNUMBER(SEARCH("Gri", D90)), VERI_TABANI!F25*(0.00202-VERI_TABANI!$B$17), 0))) + ((VERI_TABANI!D26*B90*(VERI_TABANI!$B$13-VERI_TABANI!$B$14)) + (VERI_TABANI!D26*C90*(VERI_TABANI!$B$13-VERI_TABANI!$B$15)) + IF(ISNUMBER(SEARCH("Var", D90)), VERI_TABANI!F26*(0.00202-VERI_TABANI!$B$16), IF(ISNUMBER(SEARCH("Gri", D90)), VERI_TABANI!F26*(0.00202-VERI_TABANI!$B$17), 0))) + ((VERI_TABANI!D27*B90*(VERI_TABANI!$B$13-VERI_TABANI!$B$14)) + (VERI_TABANI!D27*C90*(VERI_TABANI!$B$13-VERI_TABANI!$B$15)) + IF(ISNUMBER(SEARCH("Var", D90)), VERI_TABANI!F27*(0.00202-VERI_TABANI!$B$16), IF(ISNUMBER(SEARCH("Gri", D90)), VERI_TABANI!F27*(0.00202-VERI_TABANI!$B$17), 0))) + ((VERI_TABANI!D28*B90*(VERI_TABANI!$B$13-VERI_TABANI!$B$14)) + (VERI_TABANI!D28*C90*(VERI_TABANI!$B$13-VERI_TABANI!$B$15)) + IF(ISNUMBER(SEARCH("Var", D90)), VERI_TABANI!F28*(0.00202-VERI_TABANI!$B$16), IF(ISNUMBER(SEARCH("Gri", D90)), VERI_TABANI!F28*(0.00202-VERI_TABANI!$B$17), 0))))</f>
        <v/>
      </c>
      <c r="I90" s="170">
        <f>IFERROR(((VERI_TABANI!$D$29*B90*VERI_TABANI!$B$14 + VERI_TABANI!$D$29*C90*VERI_TABANI!$B$15 + IF(ISNUMBER(SEARCH("Var", D90)), VERI_TABANI!$F$29*VERI_TABANI!$B$16, 0))) / (((VERI_TABANI!$D$29*B90 + VERI_TABANI!$D$29*C90)*VERI_TABANI!$B$13 + IF(ISNUMBER(SEARCH("Var", D90)), VERI_TABANI!$E$29*(1-0.928)*VERI_TABANI!$B$18, 0))), 0)</f>
        <v/>
      </c>
      <c r="J90" s="171">
        <f>IFERROR(F90/(G90/29), 0)</f>
        <v/>
      </c>
      <c r="K90" s="172">
        <f>IF(F90&gt;0, H90/F90, 0)</f>
        <v/>
      </c>
      <c r="L90" s="170">
        <f>IF(F90&gt;0, I90, 1000000000)</f>
        <v/>
      </c>
      <c r="M90" s="171">
        <f>ABS((B90+C90)-1)</f>
        <v/>
      </c>
      <c r="N90" s="170">
        <f>IF(F90&gt;0, (G90/29)/F90, 0)</f>
        <v/>
      </c>
      <c r="O90" s="168">
        <f>IF(AND((B90+C90)&gt;=1, ISNUMBER(SEARCH("Var", D90))), F90, 1000000000)</f>
        <v/>
      </c>
      <c r="P90" s="172">
        <f>IF(F90&gt;0, SQRT((F90/MAX(F$5:F$886))^2 + (1 - H90/MAX(H$5:H$886))^2 + (J90/MAX(J$5:J$886))^2), 1000000000)</f>
        <v/>
      </c>
      <c r="Q90" s="166">
        <f>IF(AND(ABS(B90-0.5)&lt;0.01, ABS(C90-0.5)&lt;0.01, ISNUMBER(SEARCH("Var", D90))), 1, 0)</f>
        <v/>
      </c>
      <c r="R90" s="171">
        <f>IF(F90&gt;0, J90, 1000000000)</f>
        <v/>
      </c>
      <c r="S90" s="101">
        <f>IF(AND(F90&lt;=DASHBOARD!$B$11, H90&gt;=DASHBOARD!$B$13), G90, -1000000000000)</f>
        <v/>
      </c>
      <c r="T90" s="101">
        <f>IF(AND(F90&lt;=DASHBOARD!$B$11, H90&gt;=DASHBOARD!$B$13), R90, 1000000000000)</f>
        <v/>
      </c>
      <c r="U90" s="101">
        <f>IF(AND(F90&lt;=DASHBOARD!$B$11, H90&gt;=DASHBOARD!$B$13), N90, -1000000000000)</f>
        <v/>
      </c>
      <c r="V90" s="101">
        <f>IF(AND(F90&lt;=DASHBOARD!$B$11, H90&gt;=DASHBOARD!$B$13), H90, -1000000000000)</f>
        <v/>
      </c>
      <c r="W90" s="101">
        <f>IF(AND(F90&lt;=DASHBOARD!$B$11, H90&gt;=DASHBOARD!$B$13), K90, -1000000000000)</f>
        <v/>
      </c>
      <c r="X90" s="101">
        <f>IF(AND(F90&lt;=DASHBOARD!$B$11, H90&gt;=DASHBOARD!$B$13), M90, 1000000000000)</f>
        <v/>
      </c>
      <c r="Y90" s="101">
        <f>IF(AND(F90&lt;=DASHBOARD!$B$10, H90&gt;=DASHBOARD!$B$11), L90, 1000000000000)</f>
        <v/>
      </c>
      <c r="Z90" s="101">
        <f>IF(AND(F90&lt;=DASHBOARD!$B$10, H90&gt;=DASHBOARD!$B$11), O90, 1000000000000)</f>
        <v/>
      </c>
      <c r="AA90" s="101">
        <f>IF(AND(F90&lt;=DASHBOARD!$B$10, H90&gt;=DASHBOARD!$B$11), P90, 1000000000000)</f>
        <v/>
      </c>
      <c r="AB90" s="101">
        <f>IF(AND(F90&lt;=DASHBOARD!$B$10, H90&gt;=DASHBOARD!$B$11), Q90, -1000000000000)</f>
        <v/>
      </c>
    </row>
    <row r="91" ht="12.75" customHeight="1" s="102">
      <c r="A91" s="166" t="n">
        <v>87</v>
      </c>
      <c r="B91" s="167" t="n">
        <v>0.2</v>
      </c>
      <c r="C91" s="167" t="n">
        <v>0.1</v>
      </c>
      <c r="D91" s="110" t="inlineStr">
        <is>
          <t>Yok (%0)</t>
        </is>
      </c>
      <c r="E91" s="110">
        <f>IF((B91+C91)&lt;=1, "Tam Mahsuplaşma (≤%100)", "Kısmi Satış (&gt;%100)")</f>
        <v/>
      </c>
      <c r="F91" s="168">
        <f>((VERI_TABANI!$D$29*B91/VERI_TABANI!$B$29)/VERI_TABANI!$B$3)*VERI_TABANI!$B$5 + ((VERI_TABANI!$D$29*C91/VERI_TABANI!$B$29)/VERI_TABANI!$B$4)*VERI_TABANI!$B$6 + IF(ISNUMBER(SEARCH("Var", D91)), (VERI_TABANI!$F$29/VERI_TABANI!$B$29)*(VERI_TABANI!$B$10+VERI_TABANI!$B$12), 0)</f>
        <v/>
      </c>
      <c r="G91" s="168">
        <f>(((MIN(VERI_TABANI!D23, VERI_TABANI!D23*B91)*VERI_TABANI!$B$7 + MAX(0, VERI_TABANI!D23*B91-VERI_TABANI!D23)*VERI_TABANI!$B$8) + (MIN(MAX(0, VERI_TABANI!D23-VERI_TABANI!D23*B91), VERI_TABANI!D23*C91)*VERI_TABANI!$B$7 + MAX(0, VERI_TABANI!D23*C91-MAX(0, VERI_TABANI!D23-VERI_TABANI!D23*B91))*VERI_TABANI!$B$8) + IF(ABS(IF(ISNUMBER(SEARCH("Var", D91)), 1, IF(ISNUMBER(SEARCH("Gri", D91)), -1, 0)))=1, VERI_TABANI!E23*(1-0.928)*VERI_TABANI!$B$9, 0) + (VERI_TABANI!D23*B91*(VERI_TABANI!$B$13-VERI_TABANI!$B$14)*VERI_TABANI!G23) + (VERI_TABANI!D23*C91*(VERI_TABANI!$B$13-VERI_TABANI!$B$15)*VERI_TABANI!G23) + IF(ABS(IF(ISNUMBER(SEARCH("Var", D91)), 1, IF(ISNUMBER(SEARCH("Gri", D91)), -1, 0)))=1, VERI_TABANI!E23*(1-0.928)*0.00206091519919798*VERI_TABANI!G23, 0)) + ((MIN(VERI_TABANI!D24, VERI_TABANI!D24*B91)*VERI_TABANI!$B$7 + MAX(0, VERI_TABANI!D24*B91-VERI_TABANI!D24)*VERI_TABANI!$B$8) + (MIN(MAX(0, VERI_TABANI!D24-VERI_TABANI!D24*B91), VERI_TABANI!D24*C91)*VERI_TABANI!$B$7 + MAX(0, VERI_TABANI!D24*C91-MAX(0, VERI_TABANI!D24-VERI_TABANI!D24*B91))*VERI_TABANI!$B$8) + IF(ABS(IF(ISNUMBER(SEARCH("Var", D91)), 1, IF(ISNUMBER(SEARCH("Gri", D91)), -1, 0)))=1, VERI_TABANI!E24*(1-0.928)*VERI_TABANI!$B$9, 0) + (VERI_TABANI!D24*B91*(VERI_TABANI!$B$13-VERI_TABANI!$B$14)*VERI_TABANI!G24) + (VERI_TABANI!D24*C91*(VERI_TABANI!$B$13-VERI_TABANI!$B$15)*VERI_TABANI!G24) + IF(ABS(IF(ISNUMBER(SEARCH("Var", D91)), 1, IF(ISNUMBER(SEARCH("Gri", D91)), -1, 0)))=1, VERI_TABANI!E24*(1-0.928)*0.00206091519919798*VERI_TABANI!G24, 0)) + ((MIN(VERI_TABANI!D25, VERI_TABANI!D25*B91)*VERI_TABANI!$B$7 + MAX(0, VERI_TABANI!D25*B91-VERI_TABANI!D25)*VERI_TABANI!$B$8) + (MIN(MAX(0, VERI_TABANI!D25-VERI_TABANI!D25*B91), VERI_TABANI!D25*C91)*VERI_TABANI!$B$7 + MAX(0, VERI_TABANI!D25*C91-MAX(0, VERI_TABANI!D25-VERI_TABANI!D25*B91))*VERI_TABANI!$B$8) + IF(ABS(IF(ISNUMBER(SEARCH("Var", D91)), 1, IF(ISNUMBER(SEARCH("Gri", D91)), -1, 0)))=1, VERI_TABANI!E25*(1-0.928)*VERI_TABANI!$B$9, 0) + (VERI_TABANI!D25*B91*(VERI_TABANI!$B$13-VERI_TABANI!$B$14)*VERI_TABANI!G25) + (VERI_TABANI!D25*C91*(VERI_TABANI!$B$13-VERI_TABANI!$B$15)*VERI_TABANI!G25) + IF(ABS(IF(ISNUMBER(SEARCH("Var", D91)), 1, IF(ISNUMBER(SEARCH("Gri", D91)), -1, 0)))=1, VERI_TABANI!E25*(1-0.928)*0.00206091519919798*VERI_TABANI!G25, 0)) + ((MIN(VERI_TABANI!D26, VERI_TABANI!D26*B91)*VERI_TABANI!$B$7 + MAX(0, VERI_TABANI!D26*B91-VERI_TABANI!D26)*VERI_TABANI!$B$8) + (MIN(MAX(0, VERI_TABANI!D26-VERI_TABANI!D26*B91), VERI_TABANI!D26*C91)*VERI_TABANI!$B$7 + MAX(0, VERI_TABANI!D26*C91-MAX(0, VERI_TABANI!D26-VERI_TABANI!D26*B91))*VERI_TABANI!$B$8) + IF(ABS(IF(ISNUMBER(SEARCH("Var", D91)), 1, IF(ISNUMBER(SEARCH("Gri", D91)), -1, 0)))=1, VERI_TABANI!E26*(1-0.928)*VERI_TABANI!$B$9, 0) + (VERI_TABANI!D26*B91*(VERI_TABANI!$B$13-VERI_TABANI!$B$14)*VERI_TABANI!G26) + (VERI_TABANI!D26*C91*(VERI_TABANI!$B$13-VERI_TABANI!$B$15)*VERI_TABANI!G26) + IF(ABS(IF(ISNUMBER(SEARCH("Var", D91)), 1, IF(ISNUMBER(SEARCH("Gri", D91)), -1, 0)))=1, VERI_TABANI!E26*(1-0.928)*0.00206091519919798*VERI_TABANI!G26, 0)) + ((MIN(VERI_TABANI!D27, VERI_TABANI!D27*B91)*VERI_TABANI!$B$7 + MAX(0, VERI_TABANI!D27*B91-VERI_TABANI!D27)*VERI_TABANI!$B$8) + (MIN(MAX(0, VERI_TABANI!D27-VERI_TABANI!D27*B91), VERI_TABANI!D27*C91)*VERI_TABANI!$B$7 + MAX(0, VERI_TABANI!D27*C91-MAX(0, VERI_TABANI!D27-VERI_TABANI!D27*B91))*VERI_TABANI!$B$8) + IF(ABS(IF(ISNUMBER(SEARCH("Var", D91)), 1, IF(ISNUMBER(SEARCH("Gri", D91)), -1, 0)))=1, VERI_TABANI!E27*(1-0.928)*VERI_TABANI!$B$9, 0) + (VERI_TABANI!D27*B91*(VERI_TABANI!$B$13-VERI_TABANI!$B$14)*VERI_TABANI!G27) + (VERI_TABANI!D27*C91*(VERI_TABANI!$B$13-VERI_TABANI!$B$15)*VERI_TABANI!G27) + IF(ABS(IF(ISNUMBER(SEARCH("Var", D91)), 1, IF(ISNUMBER(SEARCH("Gri", D91)), -1, 0)))=1, VERI_TABANI!E27*(1-0.928)*0.00206091519919798*VERI_TABANI!G27, 0)) + ((MIN(VERI_TABANI!D28, VERI_TABANI!D28*B91)*VERI_TABANI!$B$7 + MAX(0, VERI_TABANI!D28*B91-VERI_TABANI!D28)*VERI_TABANI!$B$8) + (MIN(MAX(0, VERI_TABANI!D28-VERI_TABANI!D28*B91), VERI_TABANI!D28*C91)*VERI_TABANI!$B$7 + MAX(0, VERI_TABANI!D28*C91-MAX(0, VERI_TABANI!D28-VERI_TABANI!D28*B91))*VERI_TABANI!$B$8) + IF(ABS(IF(ISNUMBER(SEARCH("Var", D91)), 1, IF(ISNUMBER(SEARCH("Gri", D91)), -1, 0)))=1, VERI_TABANI!E28*(1-0.928)*VERI_TABANI!$B$9, 0) + (VERI_TABANI!D28*B91*(VERI_TABANI!$B$13-VERI_TABANI!$B$14)*VERI_TABANI!G28) + (VERI_TABANI!D28*C91*(VERI_TABANI!$B$13-VERI_TABANI!$B$15)*VERI_TABANI!G28) + IF(ABS(IF(ISNUMBER(SEARCH("Var", D91)), 1, IF(ISNUMBER(SEARCH("Gri", D91)), -1, 0)))=1, VERI_TABANI!E28*(1-0.928)*0.00206091519919798*VERI_TABANI!G28, 0)))</f>
        <v/>
      </c>
      <c r="H91" s="169">
        <f>(((VERI_TABANI!D23*B91*(VERI_TABANI!$B$13-VERI_TABANI!$B$14)) + (VERI_TABANI!D23*C91*(VERI_TABANI!$B$13-VERI_TABANI!$B$15)) + IF(ISNUMBER(SEARCH("Var", D91)), VERI_TABANI!F23*(0.00202-VERI_TABANI!$B$16), IF(ISNUMBER(SEARCH("Gri", D91)), VERI_TABANI!F23*(0.00202-VERI_TABANI!$B$17), 0))) + ((VERI_TABANI!D24*B91*(VERI_TABANI!$B$13-VERI_TABANI!$B$14)) + (VERI_TABANI!D24*C91*(VERI_TABANI!$B$13-VERI_TABANI!$B$15)) + IF(ISNUMBER(SEARCH("Var", D91)), VERI_TABANI!F24*(0.00202-VERI_TABANI!$B$16), IF(ISNUMBER(SEARCH("Gri", D91)), VERI_TABANI!F24*(0.00202-VERI_TABANI!$B$17), 0))) + ((VERI_TABANI!D25*B91*(VERI_TABANI!$B$13-VERI_TABANI!$B$14)) + (VERI_TABANI!D25*C91*(VERI_TABANI!$B$13-VERI_TABANI!$B$15)) + IF(ISNUMBER(SEARCH("Var", D91)), VERI_TABANI!F25*(0.00202-VERI_TABANI!$B$16), IF(ISNUMBER(SEARCH("Gri", D91)), VERI_TABANI!F25*(0.00202-VERI_TABANI!$B$17), 0))) + ((VERI_TABANI!D26*B91*(VERI_TABANI!$B$13-VERI_TABANI!$B$14)) + (VERI_TABANI!D26*C91*(VERI_TABANI!$B$13-VERI_TABANI!$B$15)) + IF(ISNUMBER(SEARCH("Var", D91)), VERI_TABANI!F26*(0.00202-VERI_TABANI!$B$16), IF(ISNUMBER(SEARCH("Gri", D91)), VERI_TABANI!F26*(0.00202-VERI_TABANI!$B$17), 0))) + ((VERI_TABANI!D27*B91*(VERI_TABANI!$B$13-VERI_TABANI!$B$14)) + (VERI_TABANI!D27*C91*(VERI_TABANI!$B$13-VERI_TABANI!$B$15)) + IF(ISNUMBER(SEARCH("Var", D91)), VERI_TABANI!F27*(0.00202-VERI_TABANI!$B$16), IF(ISNUMBER(SEARCH("Gri", D91)), VERI_TABANI!F27*(0.00202-VERI_TABANI!$B$17), 0))) + ((VERI_TABANI!D28*B91*(VERI_TABANI!$B$13-VERI_TABANI!$B$14)) + (VERI_TABANI!D28*C91*(VERI_TABANI!$B$13-VERI_TABANI!$B$15)) + IF(ISNUMBER(SEARCH("Var", D91)), VERI_TABANI!F28*(0.00202-VERI_TABANI!$B$16), IF(ISNUMBER(SEARCH("Gri", D91)), VERI_TABANI!F28*(0.00202-VERI_TABANI!$B$17), 0))))</f>
        <v/>
      </c>
      <c r="I91" s="170">
        <f>IFERROR(((VERI_TABANI!$D$29*B91*VERI_TABANI!$B$14 + VERI_TABANI!$D$29*C91*VERI_TABANI!$B$15 + IF(ISNUMBER(SEARCH("Var", D91)), VERI_TABANI!$F$29*VERI_TABANI!$B$16, 0))) / (((VERI_TABANI!$D$29*B91 + VERI_TABANI!$D$29*C91)*VERI_TABANI!$B$13 + IF(ISNUMBER(SEARCH("Var", D91)), VERI_TABANI!$E$29*(1-0.928)*VERI_TABANI!$B$18, 0))), 0)</f>
        <v/>
      </c>
      <c r="J91" s="171">
        <f>IFERROR(F91/(G91/29), 0)</f>
        <v/>
      </c>
      <c r="K91" s="172">
        <f>IF(F91&gt;0, H91/F91, 0)</f>
        <v/>
      </c>
      <c r="L91" s="170">
        <f>IF(F91&gt;0, I91, 1000000000)</f>
        <v/>
      </c>
      <c r="M91" s="171">
        <f>ABS((B91+C91)-1)</f>
        <v/>
      </c>
      <c r="N91" s="170">
        <f>IF(F91&gt;0, (G91/29)/F91, 0)</f>
        <v/>
      </c>
      <c r="O91" s="168">
        <f>IF(AND((B91+C91)&gt;=1, ISNUMBER(SEARCH("Var", D91))), F91, 1000000000)</f>
        <v/>
      </c>
      <c r="P91" s="172">
        <f>IF(F91&gt;0, SQRT((F91/MAX(F$5:F$886))^2 + (1 - H91/MAX(H$5:H$886))^2 + (J91/MAX(J$5:J$886))^2), 1000000000)</f>
        <v/>
      </c>
      <c r="Q91" s="166">
        <f>IF(AND(ABS(B91-0.5)&lt;0.01, ABS(C91-0.5)&lt;0.01, ISNUMBER(SEARCH("Var", D91))), 1, 0)</f>
        <v/>
      </c>
      <c r="R91" s="171">
        <f>IF(F91&gt;0, J91, 1000000000)</f>
        <v/>
      </c>
      <c r="S91" s="101">
        <f>IF(AND(F91&lt;=DASHBOARD!$B$11, H91&gt;=DASHBOARD!$B$13), G91, -1000000000000)</f>
        <v/>
      </c>
      <c r="T91" s="101">
        <f>IF(AND(F91&lt;=DASHBOARD!$B$11, H91&gt;=DASHBOARD!$B$13), R91, 1000000000000)</f>
        <v/>
      </c>
      <c r="U91" s="101">
        <f>IF(AND(F91&lt;=DASHBOARD!$B$11, H91&gt;=DASHBOARD!$B$13), N91, -1000000000000)</f>
        <v/>
      </c>
      <c r="V91" s="101">
        <f>IF(AND(F91&lt;=DASHBOARD!$B$11, H91&gt;=DASHBOARD!$B$13), H91, -1000000000000)</f>
        <v/>
      </c>
      <c r="W91" s="101">
        <f>IF(AND(F91&lt;=DASHBOARD!$B$11, H91&gt;=DASHBOARD!$B$13), K91, -1000000000000)</f>
        <v/>
      </c>
      <c r="X91" s="101">
        <f>IF(AND(F91&lt;=DASHBOARD!$B$11, H91&gt;=DASHBOARD!$B$13), M91, 1000000000000)</f>
        <v/>
      </c>
      <c r="Y91" s="101">
        <f>IF(AND(F91&lt;=DASHBOARD!$B$10, H91&gt;=DASHBOARD!$B$11), L91, 1000000000000)</f>
        <v/>
      </c>
      <c r="Z91" s="101">
        <f>IF(AND(F91&lt;=DASHBOARD!$B$10, H91&gt;=DASHBOARD!$B$11), O91, 1000000000000)</f>
        <v/>
      </c>
      <c r="AA91" s="101">
        <f>IF(AND(F91&lt;=DASHBOARD!$B$10, H91&gt;=DASHBOARD!$B$11), P91, 1000000000000)</f>
        <v/>
      </c>
      <c r="AB91" s="101">
        <f>IF(AND(F91&lt;=DASHBOARD!$B$10, H91&gt;=DASHBOARD!$B$11), Q91, -1000000000000)</f>
        <v/>
      </c>
    </row>
    <row r="92" ht="12.75" customHeight="1" s="102">
      <c r="A92" s="166" t="n">
        <v>88</v>
      </c>
      <c r="B92" s="167" t="n">
        <v>0.2</v>
      </c>
      <c r="C92" s="167" t="n">
        <v>0.1</v>
      </c>
      <c r="D92" s="110" t="inlineStr">
        <is>
          <t>Var (%20)</t>
        </is>
      </c>
      <c r="E92" s="110">
        <f>IF((B92+C92)&lt;=1, "Tam Mahsuplaşma (≤%100)", "Kısmi Satış (&gt;%100)")</f>
        <v/>
      </c>
      <c r="F92" s="168">
        <f>((VERI_TABANI!$D$29*B92/VERI_TABANI!$B$29)/VERI_TABANI!$B$3)*VERI_TABANI!$B$5 + ((VERI_TABANI!$D$29*C92/VERI_TABANI!$B$29)/VERI_TABANI!$B$4)*VERI_TABANI!$B$6 + IF(ISNUMBER(SEARCH("Var", D92)), (VERI_TABANI!$F$29/VERI_TABANI!$B$29)*(VERI_TABANI!$B$10+VERI_TABANI!$B$12), 0)</f>
        <v/>
      </c>
      <c r="G92" s="168">
        <f>(((MIN(VERI_TABANI!D23, VERI_TABANI!D23*B92)*VERI_TABANI!$B$7 + MAX(0, VERI_TABANI!D23*B92-VERI_TABANI!D23)*VERI_TABANI!$B$8) + (MIN(MAX(0, VERI_TABANI!D23-VERI_TABANI!D23*B92), VERI_TABANI!D23*C92)*VERI_TABANI!$B$7 + MAX(0, VERI_TABANI!D23*C92-MAX(0, VERI_TABANI!D23-VERI_TABANI!D23*B92))*VERI_TABANI!$B$8) + IF(ABS(IF(ISNUMBER(SEARCH("Var", D92)), 1, IF(ISNUMBER(SEARCH("Gri", D92)), -1, 0)))=1, VERI_TABANI!E23*(1-0.928)*VERI_TABANI!$B$9, 0) + (VERI_TABANI!D23*B92*(VERI_TABANI!$B$13-VERI_TABANI!$B$14)*VERI_TABANI!G23) + (VERI_TABANI!D23*C92*(VERI_TABANI!$B$13-VERI_TABANI!$B$15)*VERI_TABANI!G23) + IF(ABS(IF(ISNUMBER(SEARCH("Var", D92)), 1, IF(ISNUMBER(SEARCH("Gri", D92)), -1, 0)))=1, VERI_TABANI!E23*(1-0.928)*0.00206091519919798*VERI_TABANI!G23, 0)) + ((MIN(VERI_TABANI!D24, VERI_TABANI!D24*B92)*VERI_TABANI!$B$7 + MAX(0, VERI_TABANI!D24*B92-VERI_TABANI!D24)*VERI_TABANI!$B$8) + (MIN(MAX(0, VERI_TABANI!D24-VERI_TABANI!D24*B92), VERI_TABANI!D24*C92)*VERI_TABANI!$B$7 + MAX(0, VERI_TABANI!D24*C92-MAX(0, VERI_TABANI!D24-VERI_TABANI!D24*B92))*VERI_TABANI!$B$8) + IF(ABS(IF(ISNUMBER(SEARCH("Var", D92)), 1, IF(ISNUMBER(SEARCH("Gri", D92)), -1, 0)))=1, VERI_TABANI!E24*(1-0.928)*VERI_TABANI!$B$9, 0) + (VERI_TABANI!D24*B92*(VERI_TABANI!$B$13-VERI_TABANI!$B$14)*VERI_TABANI!G24) + (VERI_TABANI!D24*C92*(VERI_TABANI!$B$13-VERI_TABANI!$B$15)*VERI_TABANI!G24) + IF(ABS(IF(ISNUMBER(SEARCH("Var", D92)), 1, IF(ISNUMBER(SEARCH("Gri", D92)), -1, 0)))=1, VERI_TABANI!E24*(1-0.928)*0.00206091519919798*VERI_TABANI!G24, 0)) + ((MIN(VERI_TABANI!D25, VERI_TABANI!D25*B92)*VERI_TABANI!$B$7 + MAX(0, VERI_TABANI!D25*B92-VERI_TABANI!D25)*VERI_TABANI!$B$8) + (MIN(MAX(0, VERI_TABANI!D25-VERI_TABANI!D25*B92), VERI_TABANI!D25*C92)*VERI_TABANI!$B$7 + MAX(0, VERI_TABANI!D25*C92-MAX(0, VERI_TABANI!D25-VERI_TABANI!D25*B92))*VERI_TABANI!$B$8) + IF(ABS(IF(ISNUMBER(SEARCH("Var", D92)), 1, IF(ISNUMBER(SEARCH("Gri", D92)), -1, 0)))=1, VERI_TABANI!E25*(1-0.928)*VERI_TABANI!$B$9, 0) + (VERI_TABANI!D25*B92*(VERI_TABANI!$B$13-VERI_TABANI!$B$14)*VERI_TABANI!G25) + (VERI_TABANI!D25*C92*(VERI_TABANI!$B$13-VERI_TABANI!$B$15)*VERI_TABANI!G25) + IF(ABS(IF(ISNUMBER(SEARCH("Var", D92)), 1, IF(ISNUMBER(SEARCH("Gri", D92)), -1, 0)))=1, VERI_TABANI!E25*(1-0.928)*0.00206091519919798*VERI_TABANI!G25, 0)) + ((MIN(VERI_TABANI!D26, VERI_TABANI!D26*B92)*VERI_TABANI!$B$7 + MAX(0, VERI_TABANI!D26*B92-VERI_TABANI!D26)*VERI_TABANI!$B$8) + (MIN(MAX(0, VERI_TABANI!D26-VERI_TABANI!D26*B92), VERI_TABANI!D26*C92)*VERI_TABANI!$B$7 + MAX(0, VERI_TABANI!D26*C92-MAX(0, VERI_TABANI!D26-VERI_TABANI!D26*B92))*VERI_TABANI!$B$8) + IF(ABS(IF(ISNUMBER(SEARCH("Var", D92)), 1, IF(ISNUMBER(SEARCH("Gri", D92)), -1, 0)))=1, VERI_TABANI!E26*(1-0.928)*VERI_TABANI!$B$9, 0) + (VERI_TABANI!D26*B92*(VERI_TABANI!$B$13-VERI_TABANI!$B$14)*VERI_TABANI!G26) + (VERI_TABANI!D26*C92*(VERI_TABANI!$B$13-VERI_TABANI!$B$15)*VERI_TABANI!G26) + IF(ABS(IF(ISNUMBER(SEARCH("Var", D92)), 1, IF(ISNUMBER(SEARCH("Gri", D92)), -1, 0)))=1, VERI_TABANI!E26*(1-0.928)*0.00206091519919798*VERI_TABANI!G26, 0)) + ((MIN(VERI_TABANI!D27, VERI_TABANI!D27*B92)*VERI_TABANI!$B$7 + MAX(0, VERI_TABANI!D27*B92-VERI_TABANI!D27)*VERI_TABANI!$B$8) + (MIN(MAX(0, VERI_TABANI!D27-VERI_TABANI!D27*B92), VERI_TABANI!D27*C92)*VERI_TABANI!$B$7 + MAX(0, VERI_TABANI!D27*C92-MAX(0, VERI_TABANI!D27-VERI_TABANI!D27*B92))*VERI_TABANI!$B$8) + IF(ABS(IF(ISNUMBER(SEARCH("Var", D92)), 1, IF(ISNUMBER(SEARCH("Gri", D92)), -1, 0)))=1, VERI_TABANI!E27*(1-0.928)*VERI_TABANI!$B$9, 0) + (VERI_TABANI!D27*B92*(VERI_TABANI!$B$13-VERI_TABANI!$B$14)*VERI_TABANI!G27) + (VERI_TABANI!D27*C92*(VERI_TABANI!$B$13-VERI_TABANI!$B$15)*VERI_TABANI!G27) + IF(ABS(IF(ISNUMBER(SEARCH("Var", D92)), 1, IF(ISNUMBER(SEARCH("Gri", D92)), -1, 0)))=1, VERI_TABANI!E27*(1-0.928)*0.00206091519919798*VERI_TABANI!G27, 0)) + ((MIN(VERI_TABANI!D28, VERI_TABANI!D28*B92)*VERI_TABANI!$B$7 + MAX(0, VERI_TABANI!D28*B92-VERI_TABANI!D28)*VERI_TABANI!$B$8) + (MIN(MAX(0, VERI_TABANI!D28-VERI_TABANI!D28*B92), VERI_TABANI!D28*C92)*VERI_TABANI!$B$7 + MAX(0, VERI_TABANI!D28*C92-MAX(0, VERI_TABANI!D28-VERI_TABANI!D28*B92))*VERI_TABANI!$B$8) + IF(ABS(IF(ISNUMBER(SEARCH("Var", D92)), 1, IF(ISNUMBER(SEARCH("Gri", D92)), -1, 0)))=1, VERI_TABANI!E28*(1-0.928)*VERI_TABANI!$B$9, 0) + (VERI_TABANI!D28*B92*(VERI_TABANI!$B$13-VERI_TABANI!$B$14)*VERI_TABANI!G28) + (VERI_TABANI!D28*C92*(VERI_TABANI!$B$13-VERI_TABANI!$B$15)*VERI_TABANI!G28) + IF(ABS(IF(ISNUMBER(SEARCH("Var", D92)), 1, IF(ISNUMBER(SEARCH("Gri", D92)), -1, 0)))=1, VERI_TABANI!E28*(1-0.928)*0.00206091519919798*VERI_TABANI!G28, 0)))</f>
        <v/>
      </c>
      <c r="H92" s="169">
        <f>(((VERI_TABANI!D23*B92*(VERI_TABANI!$B$13-VERI_TABANI!$B$14)) + (VERI_TABANI!D23*C92*(VERI_TABANI!$B$13-VERI_TABANI!$B$15)) + IF(ISNUMBER(SEARCH("Var", D92)), VERI_TABANI!F23*(0.00202-VERI_TABANI!$B$16), IF(ISNUMBER(SEARCH("Gri", D92)), VERI_TABANI!F23*(0.00202-VERI_TABANI!$B$17), 0))) + ((VERI_TABANI!D24*B92*(VERI_TABANI!$B$13-VERI_TABANI!$B$14)) + (VERI_TABANI!D24*C92*(VERI_TABANI!$B$13-VERI_TABANI!$B$15)) + IF(ISNUMBER(SEARCH("Var", D92)), VERI_TABANI!F24*(0.00202-VERI_TABANI!$B$16), IF(ISNUMBER(SEARCH("Gri", D92)), VERI_TABANI!F24*(0.00202-VERI_TABANI!$B$17), 0))) + ((VERI_TABANI!D25*B92*(VERI_TABANI!$B$13-VERI_TABANI!$B$14)) + (VERI_TABANI!D25*C92*(VERI_TABANI!$B$13-VERI_TABANI!$B$15)) + IF(ISNUMBER(SEARCH("Var", D92)), VERI_TABANI!F25*(0.00202-VERI_TABANI!$B$16), IF(ISNUMBER(SEARCH("Gri", D92)), VERI_TABANI!F25*(0.00202-VERI_TABANI!$B$17), 0))) + ((VERI_TABANI!D26*B92*(VERI_TABANI!$B$13-VERI_TABANI!$B$14)) + (VERI_TABANI!D26*C92*(VERI_TABANI!$B$13-VERI_TABANI!$B$15)) + IF(ISNUMBER(SEARCH("Var", D92)), VERI_TABANI!F26*(0.00202-VERI_TABANI!$B$16), IF(ISNUMBER(SEARCH("Gri", D92)), VERI_TABANI!F26*(0.00202-VERI_TABANI!$B$17), 0))) + ((VERI_TABANI!D27*B92*(VERI_TABANI!$B$13-VERI_TABANI!$B$14)) + (VERI_TABANI!D27*C92*(VERI_TABANI!$B$13-VERI_TABANI!$B$15)) + IF(ISNUMBER(SEARCH("Var", D92)), VERI_TABANI!F27*(0.00202-VERI_TABANI!$B$16), IF(ISNUMBER(SEARCH("Gri", D92)), VERI_TABANI!F27*(0.00202-VERI_TABANI!$B$17), 0))) + ((VERI_TABANI!D28*B92*(VERI_TABANI!$B$13-VERI_TABANI!$B$14)) + (VERI_TABANI!D28*C92*(VERI_TABANI!$B$13-VERI_TABANI!$B$15)) + IF(ISNUMBER(SEARCH("Var", D92)), VERI_TABANI!F28*(0.00202-VERI_TABANI!$B$16), IF(ISNUMBER(SEARCH("Gri", D92)), VERI_TABANI!F28*(0.00202-VERI_TABANI!$B$17), 0))))</f>
        <v/>
      </c>
      <c r="I92" s="170">
        <f>IFERROR(((VERI_TABANI!$D$29*B92*VERI_TABANI!$B$14 + VERI_TABANI!$D$29*C92*VERI_TABANI!$B$15 + IF(ISNUMBER(SEARCH("Var", D92)), VERI_TABANI!$F$29*VERI_TABANI!$B$16, 0))) / (((VERI_TABANI!$D$29*B92 + VERI_TABANI!$D$29*C92)*VERI_TABANI!$B$13 + IF(ISNUMBER(SEARCH("Var", D92)), VERI_TABANI!$E$29*(1-0.928)*VERI_TABANI!$B$18, 0))), 0)</f>
        <v/>
      </c>
      <c r="J92" s="171">
        <f>IFERROR(F92/(G92/29), 0)</f>
        <v/>
      </c>
      <c r="K92" s="172">
        <f>IF(F92&gt;0, H92/F92, 0)</f>
        <v/>
      </c>
      <c r="L92" s="170">
        <f>IF(F92&gt;0, I92, 1000000000)</f>
        <v/>
      </c>
      <c r="M92" s="171">
        <f>ABS((B92+C92)-1)</f>
        <v/>
      </c>
      <c r="N92" s="170">
        <f>IF(F92&gt;0, (G92/29)/F92, 0)</f>
        <v/>
      </c>
      <c r="O92" s="168">
        <f>IF(AND((B92+C92)&gt;=1, ISNUMBER(SEARCH("Var", D92))), F92, 1000000000)</f>
        <v/>
      </c>
      <c r="P92" s="172">
        <f>IF(F92&gt;0, SQRT((F92/MAX(F$5:F$886))^2 + (1 - H92/MAX(H$5:H$886))^2 + (J92/MAX(J$5:J$886))^2), 1000000000)</f>
        <v/>
      </c>
      <c r="Q92" s="166">
        <f>IF(AND(ABS(B92-0.5)&lt;0.01, ABS(C92-0.5)&lt;0.01, ISNUMBER(SEARCH("Var", D92))), 1, 0)</f>
        <v/>
      </c>
      <c r="R92" s="171">
        <f>IF(F92&gt;0, J92, 1000000000)</f>
        <v/>
      </c>
      <c r="S92" s="101">
        <f>IF(AND(F92&lt;=DASHBOARD!$B$11, H92&gt;=DASHBOARD!$B$13), G92, -1000000000000)</f>
        <v/>
      </c>
      <c r="T92" s="101">
        <f>IF(AND(F92&lt;=DASHBOARD!$B$11, H92&gt;=DASHBOARD!$B$13), R92, 1000000000000)</f>
        <v/>
      </c>
      <c r="U92" s="101">
        <f>IF(AND(F92&lt;=DASHBOARD!$B$11, H92&gt;=DASHBOARD!$B$13), N92, -1000000000000)</f>
        <v/>
      </c>
      <c r="V92" s="101">
        <f>IF(AND(F92&lt;=DASHBOARD!$B$11, H92&gt;=DASHBOARD!$B$13), H92, -1000000000000)</f>
        <v/>
      </c>
      <c r="W92" s="101">
        <f>IF(AND(F92&lt;=DASHBOARD!$B$11, H92&gt;=DASHBOARD!$B$13), K92, -1000000000000)</f>
        <v/>
      </c>
      <c r="X92" s="101">
        <f>IF(AND(F92&lt;=DASHBOARD!$B$11, H92&gt;=DASHBOARD!$B$13), M92, 1000000000000)</f>
        <v/>
      </c>
      <c r="Y92" s="101">
        <f>IF(AND(F92&lt;=DASHBOARD!$B$10, H92&gt;=DASHBOARD!$B$11), L92, 1000000000000)</f>
        <v/>
      </c>
      <c r="Z92" s="101">
        <f>IF(AND(F92&lt;=DASHBOARD!$B$10, H92&gt;=DASHBOARD!$B$11), O92, 1000000000000)</f>
        <v/>
      </c>
      <c r="AA92" s="101">
        <f>IF(AND(F92&lt;=DASHBOARD!$B$10, H92&gt;=DASHBOARD!$B$11), P92, 1000000000000)</f>
        <v/>
      </c>
      <c r="AB92" s="101">
        <f>IF(AND(F92&lt;=DASHBOARD!$B$10, H92&gt;=DASHBOARD!$B$11), Q92, -1000000000000)</f>
        <v/>
      </c>
    </row>
    <row r="93" ht="12.75" customHeight="1" s="102">
      <c r="A93" s="166" t="n">
        <v>89</v>
      </c>
      <c r="B93" s="167" t="n">
        <v>0.2</v>
      </c>
      <c r="C93" s="167" t="n">
        <v>0.2</v>
      </c>
      <c r="D93" s="110" t="inlineStr">
        <is>
          <t>Yok (%0)</t>
        </is>
      </c>
      <c r="E93" s="110">
        <f>IF((B93+C93)&lt;=1, "Tam Mahsuplaşma (≤%100)", "Kısmi Satış (&gt;%100)")</f>
        <v/>
      </c>
      <c r="F93" s="168">
        <f>((VERI_TABANI!$D$29*B93/VERI_TABANI!$B$29)/VERI_TABANI!$B$3)*VERI_TABANI!$B$5 + ((VERI_TABANI!$D$29*C93/VERI_TABANI!$B$29)/VERI_TABANI!$B$4)*VERI_TABANI!$B$6 + IF(ISNUMBER(SEARCH("Var", D93)), (VERI_TABANI!$F$29/VERI_TABANI!$B$29)*(VERI_TABANI!$B$10+VERI_TABANI!$B$12), 0)</f>
        <v/>
      </c>
      <c r="G93" s="168">
        <f>(((MIN(VERI_TABANI!D23, VERI_TABANI!D23*B93)*VERI_TABANI!$B$7 + MAX(0, VERI_TABANI!D23*B93-VERI_TABANI!D23)*VERI_TABANI!$B$8) + (MIN(MAX(0, VERI_TABANI!D23-VERI_TABANI!D23*B93), VERI_TABANI!D23*C93)*VERI_TABANI!$B$7 + MAX(0, VERI_TABANI!D23*C93-MAX(0, VERI_TABANI!D23-VERI_TABANI!D23*B93))*VERI_TABANI!$B$8) + IF(ABS(IF(ISNUMBER(SEARCH("Var", D93)), 1, IF(ISNUMBER(SEARCH("Gri", D93)), -1, 0)))=1, VERI_TABANI!E23*(1-0.928)*VERI_TABANI!$B$9, 0) + (VERI_TABANI!D23*B93*(VERI_TABANI!$B$13-VERI_TABANI!$B$14)*VERI_TABANI!G23) + (VERI_TABANI!D23*C93*(VERI_TABANI!$B$13-VERI_TABANI!$B$15)*VERI_TABANI!G23) + IF(ABS(IF(ISNUMBER(SEARCH("Var", D93)), 1, IF(ISNUMBER(SEARCH("Gri", D93)), -1, 0)))=1, VERI_TABANI!E23*(1-0.928)*0.00206091519919798*VERI_TABANI!G23, 0)) + ((MIN(VERI_TABANI!D24, VERI_TABANI!D24*B93)*VERI_TABANI!$B$7 + MAX(0, VERI_TABANI!D24*B93-VERI_TABANI!D24)*VERI_TABANI!$B$8) + (MIN(MAX(0, VERI_TABANI!D24-VERI_TABANI!D24*B93), VERI_TABANI!D24*C93)*VERI_TABANI!$B$7 + MAX(0, VERI_TABANI!D24*C93-MAX(0, VERI_TABANI!D24-VERI_TABANI!D24*B93))*VERI_TABANI!$B$8) + IF(ABS(IF(ISNUMBER(SEARCH("Var", D93)), 1, IF(ISNUMBER(SEARCH("Gri", D93)), -1, 0)))=1, VERI_TABANI!E24*(1-0.928)*VERI_TABANI!$B$9, 0) + (VERI_TABANI!D24*B93*(VERI_TABANI!$B$13-VERI_TABANI!$B$14)*VERI_TABANI!G24) + (VERI_TABANI!D24*C93*(VERI_TABANI!$B$13-VERI_TABANI!$B$15)*VERI_TABANI!G24) + IF(ABS(IF(ISNUMBER(SEARCH("Var", D93)), 1, IF(ISNUMBER(SEARCH("Gri", D93)), -1, 0)))=1, VERI_TABANI!E24*(1-0.928)*0.00206091519919798*VERI_TABANI!G24, 0)) + ((MIN(VERI_TABANI!D25, VERI_TABANI!D25*B93)*VERI_TABANI!$B$7 + MAX(0, VERI_TABANI!D25*B93-VERI_TABANI!D25)*VERI_TABANI!$B$8) + (MIN(MAX(0, VERI_TABANI!D25-VERI_TABANI!D25*B93), VERI_TABANI!D25*C93)*VERI_TABANI!$B$7 + MAX(0, VERI_TABANI!D25*C93-MAX(0, VERI_TABANI!D25-VERI_TABANI!D25*B93))*VERI_TABANI!$B$8) + IF(ABS(IF(ISNUMBER(SEARCH("Var", D93)), 1, IF(ISNUMBER(SEARCH("Gri", D93)), -1, 0)))=1, VERI_TABANI!E25*(1-0.928)*VERI_TABANI!$B$9, 0) + (VERI_TABANI!D25*B93*(VERI_TABANI!$B$13-VERI_TABANI!$B$14)*VERI_TABANI!G25) + (VERI_TABANI!D25*C93*(VERI_TABANI!$B$13-VERI_TABANI!$B$15)*VERI_TABANI!G25) + IF(ABS(IF(ISNUMBER(SEARCH("Var", D93)), 1, IF(ISNUMBER(SEARCH("Gri", D93)), -1, 0)))=1, VERI_TABANI!E25*(1-0.928)*0.00206091519919798*VERI_TABANI!G25, 0)) + ((MIN(VERI_TABANI!D26, VERI_TABANI!D26*B93)*VERI_TABANI!$B$7 + MAX(0, VERI_TABANI!D26*B93-VERI_TABANI!D26)*VERI_TABANI!$B$8) + (MIN(MAX(0, VERI_TABANI!D26-VERI_TABANI!D26*B93), VERI_TABANI!D26*C93)*VERI_TABANI!$B$7 + MAX(0, VERI_TABANI!D26*C93-MAX(0, VERI_TABANI!D26-VERI_TABANI!D26*B93))*VERI_TABANI!$B$8) + IF(ABS(IF(ISNUMBER(SEARCH("Var", D93)), 1, IF(ISNUMBER(SEARCH("Gri", D93)), -1, 0)))=1, VERI_TABANI!E26*(1-0.928)*VERI_TABANI!$B$9, 0) + (VERI_TABANI!D26*B93*(VERI_TABANI!$B$13-VERI_TABANI!$B$14)*VERI_TABANI!G26) + (VERI_TABANI!D26*C93*(VERI_TABANI!$B$13-VERI_TABANI!$B$15)*VERI_TABANI!G26) + IF(ABS(IF(ISNUMBER(SEARCH("Var", D93)), 1, IF(ISNUMBER(SEARCH("Gri", D93)), -1, 0)))=1, VERI_TABANI!E26*(1-0.928)*0.00206091519919798*VERI_TABANI!G26, 0)) + ((MIN(VERI_TABANI!D27, VERI_TABANI!D27*B93)*VERI_TABANI!$B$7 + MAX(0, VERI_TABANI!D27*B93-VERI_TABANI!D27)*VERI_TABANI!$B$8) + (MIN(MAX(0, VERI_TABANI!D27-VERI_TABANI!D27*B93), VERI_TABANI!D27*C93)*VERI_TABANI!$B$7 + MAX(0, VERI_TABANI!D27*C93-MAX(0, VERI_TABANI!D27-VERI_TABANI!D27*B93))*VERI_TABANI!$B$8) + IF(ABS(IF(ISNUMBER(SEARCH("Var", D93)), 1, IF(ISNUMBER(SEARCH("Gri", D93)), -1, 0)))=1, VERI_TABANI!E27*(1-0.928)*VERI_TABANI!$B$9, 0) + (VERI_TABANI!D27*B93*(VERI_TABANI!$B$13-VERI_TABANI!$B$14)*VERI_TABANI!G27) + (VERI_TABANI!D27*C93*(VERI_TABANI!$B$13-VERI_TABANI!$B$15)*VERI_TABANI!G27) + IF(ABS(IF(ISNUMBER(SEARCH("Var", D93)), 1, IF(ISNUMBER(SEARCH("Gri", D93)), -1, 0)))=1, VERI_TABANI!E27*(1-0.928)*0.00206091519919798*VERI_TABANI!G27, 0)) + ((MIN(VERI_TABANI!D28, VERI_TABANI!D28*B93)*VERI_TABANI!$B$7 + MAX(0, VERI_TABANI!D28*B93-VERI_TABANI!D28)*VERI_TABANI!$B$8) + (MIN(MAX(0, VERI_TABANI!D28-VERI_TABANI!D28*B93), VERI_TABANI!D28*C93)*VERI_TABANI!$B$7 + MAX(0, VERI_TABANI!D28*C93-MAX(0, VERI_TABANI!D28-VERI_TABANI!D28*B93))*VERI_TABANI!$B$8) + IF(ABS(IF(ISNUMBER(SEARCH("Var", D93)), 1, IF(ISNUMBER(SEARCH("Gri", D93)), -1, 0)))=1, VERI_TABANI!E28*(1-0.928)*VERI_TABANI!$B$9, 0) + (VERI_TABANI!D28*B93*(VERI_TABANI!$B$13-VERI_TABANI!$B$14)*VERI_TABANI!G28) + (VERI_TABANI!D28*C93*(VERI_TABANI!$B$13-VERI_TABANI!$B$15)*VERI_TABANI!G28) + IF(ABS(IF(ISNUMBER(SEARCH("Var", D93)), 1, IF(ISNUMBER(SEARCH("Gri", D93)), -1, 0)))=1, VERI_TABANI!E28*(1-0.928)*0.00206091519919798*VERI_TABANI!G28, 0)))</f>
        <v/>
      </c>
      <c r="H93" s="169">
        <f>(((VERI_TABANI!D23*B93*(VERI_TABANI!$B$13-VERI_TABANI!$B$14)) + (VERI_TABANI!D23*C93*(VERI_TABANI!$B$13-VERI_TABANI!$B$15)) + IF(ISNUMBER(SEARCH("Var", D93)), VERI_TABANI!F23*(0.00202-VERI_TABANI!$B$16), IF(ISNUMBER(SEARCH("Gri", D93)), VERI_TABANI!F23*(0.00202-VERI_TABANI!$B$17), 0))) + ((VERI_TABANI!D24*B93*(VERI_TABANI!$B$13-VERI_TABANI!$B$14)) + (VERI_TABANI!D24*C93*(VERI_TABANI!$B$13-VERI_TABANI!$B$15)) + IF(ISNUMBER(SEARCH("Var", D93)), VERI_TABANI!F24*(0.00202-VERI_TABANI!$B$16), IF(ISNUMBER(SEARCH("Gri", D93)), VERI_TABANI!F24*(0.00202-VERI_TABANI!$B$17), 0))) + ((VERI_TABANI!D25*B93*(VERI_TABANI!$B$13-VERI_TABANI!$B$14)) + (VERI_TABANI!D25*C93*(VERI_TABANI!$B$13-VERI_TABANI!$B$15)) + IF(ISNUMBER(SEARCH("Var", D93)), VERI_TABANI!F25*(0.00202-VERI_TABANI!$B$16), IF(ISNUMBER(SEARCH("Gri", D93)), VERI_TABANI!F25*(0.00202-VERI_TABANI!$B$17), 0))) + ((VERI_TABANI!D26*B93*(VERI_TABANI!$B$13-VERI_TABANI!$B$14)) + (VERI_TABANI!D26*C93*(VERI_TABANI!$B$13-VERI_TABANI!$B$15)) + IF(ISNUMBER(SEARCH("Var", D93)), VERI_TABANI!F26*(0.00202-VERI_TABANI!$B$16), IF(ISNUMBER(SEARCH("Gri", D93)), VERI_TABANI!F26*(0.00202-VERI_TABANI!$B$17), 0))) + ((VERI_TABANI!D27*B93*(VERI_TABANI!$B$13-VERI_TABANI!$B$14)) + (VERI_TABANI!D27*C93*(VERI_TABANI!$B$13-VERI_TABANI!$B$15)) + IF(ISNUMBER(SEARCH("Var", D93)), VERI_TABANI!F27*(0.00202-VERI_TABANI!$B$16), IF(ISNUMBER(SEARCH("Gri", D93)), VERI_TABANI!F27*(0.00202-VERI_TABANI!$B$17), 0))) + ((VERI_TABANI!D28*B93*(VERI_TABANI!$B$13-VERI_TABANI!$B$14)) + (VERI_TABANI!D28*C93*(VERI_TABANI!$B$13-VERI_TABANI!$B$15)) + IF(ISNUMBER(SEARCH("Var", D93)), VERI_TABANI!F28*(0.00202-VERI_TABANI!$B$16), IF(ISNUMBER(SEARCH("Gri", D93)), VERI_TABANI!F28*(0.00202-VERI_TABANI!$B$17), 0))))</f>
        <v/>
      </c>
      <c r="I93" s="170">
        <f>IFERROR(((VERI_TABANI!$D$29*B93*VERI_TABANI!$B$14 + VERI_TABANI!$D$29*C93*VERI_TABANI!$B$15 + IF(ISNUMBER(SEARCH("Var", D93)), VERI_TABANI!$F$29*VERI_TABANI!$B$16, 0))) / (((VERI_TABANI!$D$29*B93 + VERI_TABANI!$D$29*C93)*VERI_TABANI!$B$13 + IF(ISNUMBER(SEARCH("Var", D93)), VERI_TABANI!$E$29*(1-0.928)*VERI_TABANI!$B$18, 0))), 0)</f>
        <v/>
      </c>
      <c r="J93" s="171">
        <f>IFERROR(F93/(G93/29), 0)</f>
        <v/>
      </c>
      <c r="K93" s="172">
        <f>IF(F93&gt;0, H93/F93, 0)</f>
        <v/>
      </c>
      <c r="L93" s="170">
        <f>IF(F93&gt;0, I93, 1000000000)</f>
        <v/>
      </c>
      <c r="M93" s="171">
        <f>ABS((B93+C93)-1)</f>
        <v/>
      </c>
      <c r="N93" s="170">
        <f>IF(F93&gt;0, (G93/29)/F93, 0)</f>
        <v/>
      </c>
      <c r="O93" s="168">
        <f>IF(AND((B93+C93)&gt;=1, ISNUMBER(SEARCH("Var", D93))), F93, 1000000000)</f>
        <v/>
      </c>
      <c r="P93" s="172">
        <f>IF(F93&gt;0, SQRT((F93/MAX(F$5:F$886))^2 + (1 - H93/MAX(H$5:H$886))^2 + (J93/MAX(J$5:J$886))^2), 1000000000)</f>
        <v/>
      </c>
      <c r="Q93" s="166">
        <f>IF(AND(ABS(B93-0.5)&lt;0.01, ABS(C93-0.5)&lt;0.01, ISNUMBER(SEARCH("Var", D93))), 1, 0)</f>
        <v/>
      </c>
      <c r="R93" s="171">
        <f>IF(F93&gt;0, J93, 1000000000)</f>
        <v/>
      </c>
      <c r="S93" s="101">
        <f>IF(AND(F93&lt;=DASHBOARD!$B$11, H93&gt;=DASHBOARD!$B$13), G93, -1000000000000)</f>
        <v/>
      </c>
      <c r="T93" s="101">
        <f>IF(AND(F93&lt;=DASHBOARD!$B$11, H93&gt;=DASHBOARD!$B$13), R93, 1000000000000)</f>
        <v/>
      </c>
      <c r="U93" s="101">
        <f>IF(AND(F93&lt;=DASHBOARD!$B$11, H93&gt;=DASHBOARD!$B$13), N93, -1000000000000)</f>
        <v/>
      </c>
      <c r="V93" s="101">
        <f>IF(AND(F93&lt;=DASHBOARD!$B$11, H93&gt;=DASHBOARD!$B$13), H93, -1000000000000)</f>
        <v/>
      </c>
      <c r="W93" s="101">
        <f>IF(AND(F93&lt;=DASHBOARD!$B$11, H93&gt;=DASHBOARD!$B$13), K93, -1000000000000)</f>
        <v/>
      </c>
      <c r="X93" s="101">
        <f>IF(AND(F93&lt;=DASHBOARD!$B$11, H93&gt;=DASHBOARD!$B$13), M93, 1000000000000)</f>
        <v/>
      </c>
      <c r="Y93" s="101">
        <f>IF(AND(F93&lt;=DASHBOARD!$B$10, H93&gt;=DASHBOARD!$B$11), L93, 1000000000000)</f>
        <v/>
      </c>
      <c r="Z93" s="101">
        <f>IF(AND(F93&lt;=DASHBOARD!$B$10, H93&gt;=DASHBOARD!$B$11), O93, 1000000000000)</f>
        <v/>
      </c>
      <c r="AA93" s="101">
        <f>IF(AND(F93&lt;=DASHBOARD!$B$10, H93&gt;=DASHBOARD!$B$11), P93, 1000000000000)</f>
        <v/>
      </c>
      <c r="AB93" s="101">
        <f>IF(AND(F93&lt;=DASHBOARD!$B$10, H93&gt;=DASHBOARD!$B$11), Q93, -1000000000000)</f>
        <v/>
      </c>
    </row>
    <row r="94" ht="12.75" customHeight="1" s="102">
      <c r="A94" s="166" t="n">
        <v>90</v>
      </c>
      <c r="B94" s="167" t="n">
        <v>0.2</v>
      </c>
      <c r="C94" s="167" t="n">
        <v>0.2</v>
      </c>
      <c r="D94" s="110" t="inlineStr">
        <is>
          <t>Var (%20)</t>
        </is>
      </c>
      <c r="E94" s="110">
        <f>IF((B94+C94)&lt;=1, "Tam Mahsuplaşma (≤%100)", "Kısmi Satış (&gt;%100)")</f>
        <v/>
      </c>
      <c r="F94" s="168">
        <f>((VERI_TABANI!$D$29*B94/VERI_TABANI!$B$29)/VERI_TABANI!$B$3)*VERI_TABANI!$B$5 + ((VERI_TABANI!$D$29*C94/VERI_TABANI!$B$29)/VERI_TABANI!$B$4)*VERI_TABANI!$B$6 + IF(ISNUMBER(SEARCH("Var", D94)), (VERI_TABANI!$F$29/VERI_TABANI!$B$29)*(VERI_TABANI!$B$10+VERI_TABANI!$B$12), 0)</f>
        <v/>
      </c>
      <c r="G94" s="168">
        <f>(((MIN(VERI_TABANI!D23, VERI_TABANI!D23*B94)*VERI_TABANI!$B$7 + MAX(0, VERI_TABANI!D23*B94-VERI_TABANI!D23)*VERI_TABANI!$B$8) + (MIN(MAX(0, VERI_TABANI!D23-VERI_TABANI!D23*B94), VERI_TABANI!D23*C94)*VERI_TABANI!$B$7 + MAX(0, VERI_TABANI!D23*C94-MAX(0, VERI_TABANI!D23-VERI_TABANI!D23*B94))*VERI_TABANI!$B$8) + IF(ABS(IF(ISNUMBER(SEARCH("Var", D94)), 1, IF(ISNUMBER(SEARCH("Gri", D94)), -1, 0)))=1, VERI_TABANI!E23*(1-0.928)*VERI_TABANI!$B$9, 0) + (VERI_TABANI!D23*B94*(VERI_TABANI!$B$13-VERI_TABANI!$B$14)*VERI_TABANI!G23) + (VERI_TABANI!D23*C94*(VERI_TABANI!$B$13-VERI_TABANI!$B$15)*VERI_TABANI!G23) + IF(ABS(IF(ISNUMBER(SEARCH("Var", D94)), 1, IF(ISNUMBER(SEARCH("Gri", D94)), -1, 0)))=1, VERI_TABANI!E23*(1-0.928)*0.00206091519919798*VERI_TABANI!G23, 0)) + ((MIN(VERI_TABANI!D24, VERI_TABANI!D24*B94)*VERI_TABANI!$B$7 + MAX(0, VERI_TABANI!D24*B94-VERI_TABANI!D24)*VERI_TABANI!$B$8) + (MIN(MAX(0, VERI_TABANI!D24-VERI_TABANI!D24*B94), VERI_TABANI!D24*C94)*VERI_TABANI!$B$7 + MAX(0, VERI_TABANI!D24*C94-MAX(0, VERI_TABANI!D24-VERI_TABANI!D24*B94))*VERI_TABANI!$B$8) + IF(ABS(IF(ISNUMBER(SEARCH("Var", D94)), 1, IF(ISNUMBER(SEARCH("Gri", D94)), -1, 0)))=1, VERI_TABANI!E24*(1-0.928)*VERI_TABANI!$B$9, 0) + (VERI_TABANI!D24*B94*(VERI_TABANI!$B$13-VERI_TABANI!$B$14)*VERI_TABANI!G24) + (VERI_TABANI!D24*C94*(VERI_TABANI!$B$13-VERI_TABANI!$B$15)*VERI_TABANI!G24) + IF(ABS(IF(ISNUMBER(SEARCH("Var", D94)), 1, IF(ISNUMBER(SEARCH("Gri", D94)), -1, 0)))=1, VERI_TABANI!E24*(1-0.928)*0.00206091519919798*VERI_TABANI!G24, 0)) + ((MIN(VERI_TABANI!D25, VERI_TABANI!D25*B94)*VERI_TABANI!$B$7 + MAX(0, VERI_TABANI!D25*B94-VERI_TABANI!D25)*VERI_TABANI!$B$8) + (MIN(MAX(0, VERI_TABANI!D25-VERI_TABANI!D25*B94), VERI_TABANI!D25*C94)*VERI_TABANI!$B$7 + MAX(0, VERI_TABANI!D25*C94-MAX(0, VERI_TABANI!D25-VERI_TABANI!D25*B94))*VERI_TABANI!$B$8) + IF(ABS(IF(ISNUMBER(SEARCH("Var", D94)), 1, IF(ISNUMBER(SEARCH("Gri", D94)), -1, 0)))=1, VERI_TABANI!E25*(1-0.928)*VERI_TABANI!$B$9, 0) + (VERI_TABANI!D25*B94*(VERI_TABANI!$B$13-VERI_TABANI!$B$14)*VERI_TABANI!G25) + (VERI_TABANI!D25*C94*(VERI_TABANI!$B$13-VERI_TABANI!$B$15)*VERI_TABANI!G25) + IF(ABS(IF(ISNUMBER(SEARCH("Var", D94)), 1, IF(ISNUMBER(SEARCH("Gri", D94)), -1, 0)))=1, VERI_TABANI!E25*(1-0.928)*0.00206091519919798*VERI_TABANI!G25, 0)) + ((MIN(VERI_TABANI!D26, VERI_TABANI!D26*B94)*VERI_TABANI!$B$7 + MAX(0, VERI_TABANI!D26*B94-VERI_TABANI!D26)*VERI_TABANI!$B$8) + (MIN(MAX(0, VERI_TABANI!D26-VERI_TABANI!D26*B94), VERI_TABANI!D26*C94)*VERI_TABANI!$B$7 + MAX(0, VERI_TABANI!D26*C94-MAX(0, VERI_TABANI!D26-VERI_TABANI!D26*B94))*VERI_TABANI!$B$8) + IF(ABS(IF(ISNUMBER(SEARCH("Var", D94)), 1, IF(ISNUMBER(SEARCH("Gri", D94)), -1, 0)))=1, VERI_TABANI!E26*(1-0.928)*VERI_TABANI!$B$9, 0) + (VERI_TABANI!D26*B94*(VERI_TABANI!$B$13-VERI_TABANI!$B$14)*VERI_TABANI!G26) + (VERI_TABANI!D26*C94*(VERI_TABANI!$B$13-VERI_TABANI!$B$15)*VERI_TABANI!G26) + IF(ABS(IF(ISNUMBER(SEARCH("Var", D94)), 1, IF(ISNUMBER(SEARCH("Gri", D94)), -1, 0)))=1, VERI_TABANI!E26*(1-0.928)*0.00206091519919798*VERI_TABANI!G26, 0)) + ((MIN(VERI_TABANI!D27, VERI_TABANI!D27*B94)*VERI_TABANI!$B$7 + MAX(0, VERI_TABANI!D27*B94-VERI_TABANI!D27)*VERI_TABANI!$B$8) + (MIN(MAX(0, VERI_TABANI!D27-VERI_TABANI!D27*B94), VERI_TABANI!D27*C94)*VERI_TABANI!$B$7 + MAX(0, VERI_TABANI!D27*C94-MAX(0, VERI_TABANI!D27-VERI_TABANI!D27*B94))*VERI_TABANI!$B$8) + IF(ABS(IF(ISNUMBER(SEARCH("Var", D94)), 1, IF(ISNUMBER(SEARCH("Gri", D94)), -1, 0)))=1, VERI_TABANI!E27*(1-0.928)*VERI_TABANI!$B$9, 0) + (VERI_TABANI!D27*B94*(VERI_TABANI!$B$13-VERI_TABANI!$B$14)*VERI_TABANI!G27) + (VERI_TABANI!D27*C94*(VERI_TABANI!$B$13-VERI_TABANI!$B$15)*VERI_TABANI!G27) + IF(ABS(IF(ISNUMBER(SEARCH("Var", D94)), 1, IF(ISNUMBER(SEARCH("Gri", D94)), -1, 0)))=1, VERI_TABANI!E27*(1-0.928)*0.00206091519919798*VERI_TABANI!G27, 0)) + ((MIN(VERI_TABANI!D28, VERI_TABANI!D28*B94)*VERI_TABANI!$B$7 + MAX(0, VERI_TABANI!D28*B94-VERI_TABANI!D28)*VERI_TABANI!$B$8) + (MIN(MAX(0, VERI_TABANI!D28-VERI_TABANI!D28*B94), VERI_TABANI!D28*C94)*VERI_TABANI!$B$7 + MAX(0, VERI_TABANI!D28*C94-MAX(0, VERI_TABANI!D28-VERI_TABANI!D28*B94))*VERI_TABANI!$B$8) + IF(ABS(IF(ISNUMBER(SEARCH("Var", D94)), 1, IF(ISNUMBER(SEARCH("Gri", D94)), -1, 0)))=1, VERI_TABANI!E28*(1-0.928)*VERI_TABANI!$B$9, 0) + (VERI_TABANI!D28*B94*(VERI_TABANI!$B$13-VERI_TABANI!$B$14)*VERI_TABANI!G28) + (VERI_TABANI!D28*C94*(VERI_TABANI!$B$13-VERI_TABANI!$B$15)*VERI_TABANI!G28) + IF(ABS(IF(ISNUMBER(SEARCH("Var", D94)), 1, IF(ISNUMBER(SEARCH("Gri", D94)), -1, 0)))=1, VERI_TABANI!E28*(1-0.928)*0.00206091519919798*VERI_TABANI!G28, 0)))</f>
        <v/>
      </c>
      <c r="H94" s="169">
        <f>(((VERI_TABANI!D23*B94*(VERI_TABANI!$B$13-VERI_TABANI!$B$14)) + (VERI_TABANI!D23*C94*(VERI_TABANI!$B$13-VERI_TABANI!$B$15)) + IF(ISNUMBER(SEARCH("Var", D94)), VERI_TABANI!F23*(0.00202-VERI_TABANI!$B$16), IF(ISNUMBER(SEARCH("Gri", D94)), VERI_TABANI!F23*(0.00202-VERI_TABANI!$B$17), 0))) + ((VERI_TABANI!D24*B94*(VERI_TABANI!$B$13-VERI_TABANI!$B$14)) + (VERI_TABANI!D24*C94*(VERI_TABANI!$B$13-VERI_TABANI!$B$15)) + IF(ISNUMBER(SEARCH("Var", D94)), VERI_TABANI!F24*(0.00202-VERI_TABANI!$B$16), IF(ISNUMBER(SEARCH("Gri", D94)), VERI_TABANI!F24*(0.00202-VERI_TABANI!$B$17), 0))) + ((VERI_TABANI!D25*B94*(VERI_TABANI!$B$13-VERI_TABANI!$B$14)) + (VERI_TABANI!D25*C94*(VERI_TABANI!$B$13-VERI_TABANI!$B$15)) + IF(ISNUMBER(SEARCH("Var", D94)), VERI_TABANI!F25*(0.00202-VERI_TABANI!$B$16), IF(ISNUMBER(SEARCH("Gri", D94)), VERI_TABANI!F25*(0.00202-VERI_TABANI!$B$17), 0))) + ((VERI_TABANI!D26*B94*(VERI_TABANI!$B$13-VERI_TABANI!$B$14)) + (VERI_TABANI!D26*C94*(VERI_TABANI!$B$13-VERI_TABANI!$B$15)) + IF(ISNUMBER(SEARCH("Var", D94)), VERI_TABANI!F26*(0.00202-VERI_TABANI!$B$16), IF(ISNUMBER(SEARCH("Gri", D94)), VERI_TABANI!F26*(0.00202-VERI_TABANI!$B$17), 0))) + ((VERI_TABANI!D27*B94*(VERI_TABANI!$B$13-VERI_TABANI!$B$14)) + (VERI_TABANI!D27*C94*(VERI_TABANI!$B$13-VERI_TABANI!$B$15)) + IF(ISNUMBER(SEARCH("Var", D94)), VERI_TABANI!F27*(0.00202-VERI_TABANI!$B$16), IF(ISNUMBER(SEARCH("Gri", D94)), VERI_TABANI!F27*(0.00202-VERI_TABANI!$B$17), 0))) + ((VERI_TABANI!D28*B94*(VERI_TABANI!$B$13-VERI_TABANI!$B$14)) + (VERI_TABANI!D28*C94*(VERI_TABANI!$B$13-VERI_TABANI!$B$15)) + IF(ISNUMBER(SEARCH("Var", D94)), VERI_TABANI!F28*(0.00202-VERI_TABANI!$B$16), IF(ISNUMBER(SEARCH("Gri", D94)), VERI_TABANI!F28*(0.00202-VERI_TABANI!$B$17), 0))))</f>
        <v/>
      </c>
      <c r="I94" s="170">
        <f>IFERROR(((VERI_TABANI!$D$29*B94*VERI_TABANI!$B$14 + VERI_TABANI!$D$29*C94*VERI_TABANI!$B$15 + IF(ISNUMBER(SEARCH("Var", D94)), VERI_TABANI!$F$29*VERI_TABANI!$B$16, 0))) / (((VERI_TABANI!$D$29*B94 + VERI_TABANI!$D$29*C94)*VERI_TABANI!$B$13 + IF(ISNUMBER(SEARCH("Var", D94)), VERI_TABANI!$E$29*(1-0.928)*VERI_TABANI!$B$18, 0))), 0)</f>
        <v/>
      </c>
      <c r="J94" s="171">
        <f>IFERROR(F94/(G94/29), 0)</f>
        <v/>
      </c>
      <c r="K94" s="172">
        <f>IF(F94&gt;0, H94/F94, 0)</f>
        <v/>
      </c>
      <c r="L94" s="170">
        <f>IF(F94&gt;0, I94, 1000000000)</f>
        <v/>
      </c>
      <c r="M94" s="171">
        <f>ABS((B94+C94)-1)</f>
        <v/>
      </c>
      <c r="N94" s="170">
        <f>IF(F94&gt;0, (G94/29)/F94, 0)</f>
        <v/>
      </c>
      <c r="O94" s="168">
        <f>IF(AND((B94+C94)&gt;=1, ISNUMBER(SEARCH("Var", D94))), F94, 1000000000)</f>
        <v/>
      </c>
      <c r="P94" s="172">
        <f>IF(F94&gt;0, SQRT((F94/MAX(F$5:F$886))^2 + (1 - H94/MAX(H$5:H$886))^2 + (J94/MAX(J$5:J$886))^2), 1000000000)</f>
        <v/>
      </c>
      <c r="Q94" s="166">
        <f>IF(AND(ABS(B94-0.5)&lt;0.01, ABS(C94-0.5)&lt;0.01, ISNUMBER(SEARCH("Var", D94))), 1, 0)</f>
        <v/>
      </c>
      <c r="R94" s="171">
        <f>IF(F94&gt;0, J94, 1000000000)</f>
        <v/>
      </c>
      <c r="S94" s="101">
        <f>IF(AND(F94&lt;=DASHBOARD!$B$11, H94&gt;=DASHBOARD!$B$13), G94, -1000000000000)</f>
        <v/>
      </c>
      <c r="T94" s="101">
        <f>IF(AND(F94&lt;=DASHBOARD!$B$11, H94&gt;=DASHBOARD!$B$13), R94, 1000000000000)</f>
        <v/>
      </c>
      <c r="U94" s="101">
        <f>IF(AND(F94&lt;=DASHBOARD!$B$11, H94&gt;=DASHBOARD!$B$13), N94, -1000000000000)</f>
        <v/>
      </c>
      <c r="V94" s="101">
        <f>IF(AND(F94&lt;=DASHBOARD!$B$11, H94&gt;=DASHBOARD!$B$13), H94, -1000000000000)</f>
        <v/>
      </c>
      <c r="W94" s="101">
        <f>IF(AND(F94&lt;=DASHBOARD!$B$11, H94&gt;=DASHBOARD!$B$13), K94, -1000000000000)</f>
        <v/>
      </c>
      <c r="X94" s="101">
        <f>IF(AND(F94&lt;=DASHBOARD!$B$11, H94&gt;=DASHBOARD!$B$13), M94, 1000000000000)</f>
        <v/>
      </c>
      <c r="Y94" s="101">
        <f>IF(AND(F94&lt;=DASHBOARD!$B$10, H94&gt;=DASHBOARD!$B$11), L94, 1000000000000)</f>
        <v/>
      </c>
      <c r="Z94" s="101">
        <f>IF(AND(F94&lt;=DASHBOARD!$B$10, H94&gt;=DASHBOARD!$B$11), O94, 1000000000000)</f>
        <v/>
      </c>
      <c r="AA94" s="101">
        <f>IF(AND(F94&lt;=DASHBOARD!$B$10, H94&gt;=DASHBOARD!$B$11), P94, 1000000000000)</f>
        <v/>
      </c>
      <c r="AB94" s="101">
        <f>IF(AND(F94&lt;=DASHBOARD!$B$10, H94&gt;=DASHBOARD!$B$11), Q94, -1000000000000)</f>
        <v/>
      </c>
    </row>
    <row r="95" ht="12.75" customHeight="1" s="102">
      <c r="A95" s="166" t="n">
        <v>91</v>
      </c>
      <c r="B95" s="167" t="n">
        <v>0.2</v>
      </c>
      <c r="C95" s="167" t="n">
        <v>0.3</v>
      </c>
      <c r="D95" s="110" t="inlineStr">
        <is>
          <t>Yok (%0)</t>
        </is>
      </c>
      <c r="E95" s="110">
        <f>IF((B95+C95)&lt;=1, "Tam Mahsuplaşma (≤%100)", "Kısmi Satış (&gt;%100)")</f>
        <v/>
      </c>
      <c r="F95" s="168">
        <f>((VERI_TABANI!$D$29*B95/VERI_TABANI!$B$29)/VERI_TABANI!$B$3)*VERI_TABANI!$B$5 + ((VERI_TABANI!$D$29*C95/VERI_TABANI!$B$29)/VERI_TABANI!$B$4)*VERI_TABANI!$B$6 + IF(ISNUMBER(SEARCH("Var", D95)), (VERI_TABANI!$F$29/VERI_TABANI!$B$29)*(VERI_TABANI!$B$10+VERI_TABANI!$B$12), 0)</f>
        <v/>
      </c>
      <c r="G95" s="168">
        <f>(((MIN(VERI_TABANI!D23, VERI_TABANI!D23*B95)*VERI_TABANI!$B$7 + MAX(0, VERI_TABANI!D23*B95-VERI_TABANI!D23)*VERI_TABANI!$B$8) + (MIN(MAX(0, VERI_TABANI!D23-VERI_TABANI!D23*B95), VERI_TABANI!D23*C95)*VERI_TABANI!$B$7 + MAX(0, VERI_TABANI!D23*C95-MAX(0, VERI_TABANI!D23-VERI_TABANI!D23*B95))*VERI_TABANI!$B$8) + IF(ABS(IF(ISNUMBER(SEARCH("Var", D95)), 1, IF(ISNUMBER(SEARCH("Gri", D95)), -1, 0)))=1, VERI_TABANI!E23*(1-0.928)*VERI_TABANI!$B$9, 0) + (VERI_TABANI!D23*B95*(VERI_TABANI!$B$13-VERI_TABANI!$B$14)*VERI_TABANI!G23) + (VERI_TABANI!D23*C95*(VERI_TABANI!$B$13-VERI_TABANI!$B$15)*VERI_TABANI!G23) + IF(ABS(IF(ISNUMBER(SEARCH("Var", D95)), 1, IF(ISNUMBER(SEARCH("Gri", D95)), -1, 0)))=1, VERI_TABANI!E23*(1-0.928)*0.00206091519919798*VERI_TABANI!G23, 0)) + ((MIN(VERI_TABANI!D24, VERI_TABANI!D24*B95)*VERI_TABANI!$B$7 + MAX(0, VERI_TABANI!D24*B95-VERI_TABANI!D24)*VERI_TABANI!$B$8) + (MIN(MAX(0, VERI_TABANI!D24-VERI_TABANI!D24*B95), VERI_TABANI!D24*C95)*VERI_TABANI!$B$7 + MAX(0, VERI_TABANI!D24*C95-MAX(0, VERI_TABANI!D24-VERI_TABANI!D24*B95))*VERI_TABANI!$B$8) + IF(ABS(IF(ISNUMBER(SEARCH("Var", D95)), 1, IF(ISNUMBER(SEARCH("Gri", D95)), -1, 0)))=1, VERI_TABANI!E24*(1-0.928)*VERI_TABANI!$B$9, 0) + (VERI_TABANI!D24*B95*(VERI_TABANI!$B$13-VERI_TABANI!$B$14)*VERI_TABANI!G24) + (VERI_TABANI!D24*C95*(VERI_TABANI!$B$13-VERI_TABANI!$B$15)*VERI_TABANI!G24) + IF(ABS(IF(ISNUMBER(SEARCH("Var", D95)), 1, IF(ISNUMBER(SEARCH("Gri", D95)), -1, 0)))=1, VERI_TABANI!E24*(1-0.928)*0.00206091519919798*VERI_TABANI!G24, 0)) + ((MIN(VERI_TABANI!D25, VERI_TABANI!D25*B95)*VERI_TABANI!$B$7 + MAX(0, VERI_TABANI!D25*B95-VERI_TABANI!D25)*VERI_TABANI!$B$8) + (MIN(MAX(0, VERI_TABANI!D25-VERI_TABANI!D25*B95), VERI_TABANI!D25*C95)*VERI_TABANI!$B$7 + MAX(0, VERI_TABANI!D25*C95-MAX(0, VERI_TABANI!D25-VERI_TABANI!D25*B95))*VERI_TABANI!$B$8) + IF(ABS(IF(ISNUMBER(SEARCH("Var", D95)), 1, IF(ISNUMBER(SEARCH("Gri", D95)), -1, 0)))=1, VERI_TABANI!E25*(1-0.928)*VERI_TABANI!$B$9, 0) + (VERI_TABANI!D25*B95*(VERI_TABANI!$B$13-VERI_TABANI!$B$14)*VERI_TABANI!G25) + (VERI_TABANI!D25*C95*(VERI_TABANI!$B$13-VERI_TABANI!$B$15)*VERI_TABANI!G25) + IF(ABS(IF(ISNUMBER(SEARCH("Var", D95)), 1, IF(ISNUMBER(SEARCH("Gri", D95)), -1, 0)))=1, VERI_TABANI!E25*(1-0.928)*0.00206091519919798*VERI_TABANI!G25, 0)) + ((MIN(VERI_TABANI!D26, VERI_TABANI!D26*B95)*VERI_TABANI!$B$7 + MAX(0, VERI_TABANI!D26*B95-VERI_TABANI!D26)*VERI_TABANI!$B$8) + (MIN(MAX(0, VERI_TABANI!D26-VERI_TABANI!D26*B95), VERI_TABANI!D26*C95)*VERI_TABANI!$B$7 + MAX(0, VERI_TABANI!D26*C95-MAX(0, VERI_TABANI!D26-VERI_TABANI!D26*B95))*VERI_TABANI!$B$8) + IF(ABS(IF(ISNUMBER(SEARCH("Var", D95)), 1, IF(ISNUMBER(SEARCH("Gri", D95)), -1, 0)))=1, VERI_TABANI!E26*(1-0.928)*VERI_TABANI!$B$9, 0) + (VERI_TABANI!D26*B95*(VERI_TABANI!$B$13-VERI_TABANI!$B$14)*VERI_TABANI!G26) + (VERI_TABANI!D26*C95*(VERI_TABANI!$B$13-VERI_TABANI!$B$15)*VERI_TABANI!G26) + IF(ABS(IF(ISNUMBER(SEARCH("Var", D95)), 1, IF(ISNUMBER(SEARCH("Gri", D95)), -1, 0)))=1, VERI_TABANI!E26*(1-0.928)*0.00206091519919798*VERI_TABANI!G26, 0)) + ((MIN(VERI_TABANI!D27, VERI_TABANI!D27*B95)*VERI_TABANI!$B$7 + MAX(0, VERI_TABANI!D27*B95-VERI_TABANI!D27)*VERI_TABANI!$B$8) + (MIN(MAX(0, VERI_TABANI!D27-VERI_TABANI!D27*B95), VERI_TABANI!D27*C95)*VERI_TABANI!$B$7 + MAX(0, VERI_TABANI!D27*C95-MAX(0, VERI_TABANI!D27-VERI_TABANI!D27*B95))*VERI_TABANI!$B$8) + IF(ABS(IF(ISNUMBER(SEARCH("Var", D95)), 1, IF(ISNUMBER(SEARCH("Gri", D95)), -1, 0)))=1, VERI_TABANI!E27*(1-0.928)*VERI_TABANI!$B$9, 0) + (VERI_TABANI!D27*B95*(VERI_TABANI!$B$13-VERI_TABANI!$B$14)*VERI_TABANI!G27) + (VERI_TABANI!D27*C95*(VERI_TABANI!$B$13-VERI_TABANI!$B$15)*VERI_TABANI!G27) + IF(ABS(IF(ISNUMBER(SEARCH("Var", D95)), 1, IF(ISNUMBER(SEARCH("Gri", D95)), -1, 0)))=1, VERI_TABANI!E27*(1-0.928)*0.00206091519919798*VERI_TABANI!G27, 0)) + ((MIN(VERI_TABANI!D28, VERI_TABANI!D28*B95)*VERI_TABANI!$B$7 + MAX(0, VERI_TABANI!D28*B95-VERI_TABANI!D28)*VERI_TABANI!$B$8) + (MIN(MAX(0, VERI_TABANI!D28-VERI_TABANI!D28*B95), VERI_TABANI!D28*C95)*VERI_TABANI!$B$7 + MAX(0, VERI_TABANI!D28*C95-MAX(0, VERI_TABANI!D28-VERI_TABANI!D28*B95))*VERI_TABANI!$B$8) + IF(ABS(IF(ISNUMBER(SEARCH("Var", D95)), 1, IF(ISNUMBER(SEARCH("Gri", D95)), -1, 0)))=1, VERI_TABANI!E28*(1-0.928)*VERI_TABANI!$B$9, 0) + (VERI_TABANI!D28*B95*(VERI_TABANI!$B$13-VERI_TABANI!$B$14)*VERI_TABANI!G28) + (VERI_TABANI!D28*C95*(VERI_TABANI!$B$13-VERI_TABANI!$B$15)*VERI_TABANI!G28) + IF(ABS(IF(ISNUMBER(SEARCH("Var", D95)), 1, IF(ISNUMBER(SEARCH("Gri", D95)), -1, 0)))=1, VERI_TABANI!E28*(1-0.928)*0.00206091519919798*VERI_TABANI!G28, 0)))</f>
        <v/>
      </c>
      <c r="H95" s="169">
        <f>(((VERI_TABANI!D23*B95*(VERI_TABANI!$B$13-VERI_TABANI!$B$14)) + (VERI_TABANI!D23*C95*(VERI_TABANI!$B$13-VERI_TABANI!$B$15)) + IF(ISNUMBER(SEARCH("Var", D95)), VERI_TABANI!F23*(0.00202-VERI_TABANI!$B$16), IF(ISNUMBER(SEARCH("Gri", D95)), VERI_TABANI!F23*(0.00202-VERI_TABANI!$B$17), 0))) + ((VERI_TABANI!D24*B95*(VERI_TABANI!$B$13-VERI_TABANI!$B$14)) + (VERI_TABANI!D24*C95*(VERI_TABANI!$B$13-VERI_TABANI!$B$15)) + IF(ISNUMBER(SEARCH("Var", D95)), VERI_TABANI!F24*(0.00202-VERI_TABANI!$B$16), IF(ISNUMBER(SEARCH("Gri", D95)), VERI_TABANI!F24*(0.00202-VERI_TABANI!$B$17), 0))) + ((VERI_TABANI!D25*B95*(VERI_TABANI!$B$13-VERI_TABANI!$B$14)) + (VERI_TABANI!D25*C95*(VERI_TABANI!$B$13-VERI_TABANI!$B$15)) + IF(ISNUMBER(SEARCH("Var", D95)), VERI_TABANI!F25*(0.00202-VERI_TABANI!$B$16), IF(ISNUMBER(SEARCH("Gri", D95)), VERI_TABANI!F25*(0.00202-VERI_TABANI!$B$17), 0))) + ((VERI_TABANI!D26*B95*(VERI_TABANI!$B$13-VERI_TABANI!$B$14)) + (VERI_TABANI!D26*C95*(VERI_TABANI!$B$13-VERI_TABANI!$B$15)) + IF(ISNUMBER(SEARCH("Var", D95)), VERI_TABANI!F26*(0.00202-VERI_TABANI!$B$16), IF(ISNUMBER(SEARCH("Gri", D95)), VERI_TABANI!F26*(0.00202-VERI_TABANI!$B$17), 0))) + ((VERI_TABANI!D27*B95*(VERI_TABANI!$B$13-VERI_TABANI!$B$14)) + (VERI_TABANI!D27*C95*(VERI_TABANI!$B$13-VERI_TABANI!$B$15)) + IF(ISNUMBER(SEARCH("Var", D95)), VERI_TABANI!F27*(0.00202-VERI_TABANI!$B$16), IF(ISNUMBER(SEARCH("Gri", D95)), VERI_TABANI!F27*(0.00202-VERI_TABANI!$B$17), 0))) + ((VERI_TABANI!D28*B95*(VERI_TABANI!$B$13-VERI_TABANI!$B$14)) + (VERI_TABANI!D28*C95*(VERI_TABANI!$B$13-VERI_TABANI!$B$15)) + IF(ISNUMBER(SEARCH("Var", D95)), VERI_TABANI!F28*(0.00202-VERI_TABANI!$B$16), IF(ISNUMBER(SEARCH("Gri", D95)), VERI_TABANI!F28*(0.00202-VERI_TABANI!$B$17), 0))))</f>
        <v/>
      </c>
      <c r="I95" s="170">
        <f>IFERROR(((VERI_TABANI!$D$29*B95*VERI_TABANI!$B$14 + VERI_TABANI!$D$29*C95*VERI_TABANI!$B$15 + IF(ISNUMBER(SEARCH("Var", D95)), VERI_TABANI!$F$29*VERI_TABANI!$B$16, 0))) / (((VERI_TABANI!$D$29*B95 + VERI_TABANI!$D$29*C95)*VERI_TABANI!$B$13 + IF(ISNUMBER(SEARCH("Var", D95)), VERI_TABANI!$E$29*(1-0.928)*VERI_TABANI!$B$18, 0))), 0)</f>
        <v/>
      </c>
      <c r="J95" s="171">
        <f>IFERROR(F95/(G95/29), 0)</f>
        <v/>
      </c>
      <c r="K95" s="172">
        <f>IF(F95&gt;0, H95/F95, 0)</f>
        <v/>
      </c>
      <c r="L95" s="170">
        <f>IF(F95&gt;0, I95, 1000000000)</f>
        <v/>
      </c>
      <c r="M95" s="171">
        <f>ABS((B95+C95)-1)</f>
        <v/>
      </c>
      <c r="N95" s="170">
        <f>IF(F95&gt;0, (G95/29)/F95, 0)</f>
        <v/>
      </c>
      <c r="O95" s="168">
        <f>IF(AND((B95+C95)&gt;=1, ISNUMBER(SEARCH("Var", D95))), F95, 1000000000)</f>
        <v/>
      </c>
      <c r="P95" s="172">
        <f>IF(F95&gt;0, SQRT((F95/MAX(F$5:F$886))^2 + (1 - H95/MAX(H$5:H$886))^2 + (J95/MAX(J$5:J$886))^2), 1000000000)</f>
        <v/>
      </c>
      <c r="Q95" s="166">
        <f>IF(AND(ABS(B95-0.5)&lt;0.01, ABS(C95-0.5)&lt;0.01, ISNUMBER(SEARCH("Var", D95))), 1, 0)</f>
        <v/>
      </c>
      <c r="R95" s="171">
        <f>IF(F95&gt;0, J95, 1000000000)</f>
        <v/>
      </c>
      <c r="S95" s="101">
        <f>IF(AND(F95&lt;=DASHBOARD!$B$11, H95&gt;=DASHBOARD!$B$13), G95, -1000000000000)</f>
        <v/>
      </c>
      <c r="T95" s="101">
        <f>IF(AND(F95&lt;=DASHBOARD!$B$11, H95&gt;=DASHBOARD!$B$13), R95, 1000000000000)</f>
        <v/>
      </c>
      <c r="U95" s="101">
        <f>IF(AND(F95&lt;=DASHBOARD!$B$11, H95&gt;=DASHBOARD!$B$13), N95, -1000000000000)</f>
        <v/>
      </c>
      <c r="V95" s="101">
        <f>IF(AND(F95&lt;=DASHBOARD!$B$11, H95&gt;=DASHBOARD!$B$13), H95, -1000000000000)</f>
        <v/>
      </c>
      <c r="W95" s="101">
        <f>IF(AND(F95&lt;=DASHBOARD!$B$11, H95&gt;=DASHBOARD!$B$13), K95, -1000000000000)</f>
        <v/>
      </c>
      <c r="X95" s="101">
        <f>IF(AND(F95&lt;=DASHBOARD!$B$11, H95&gt;=DASHBOARD!$B$13), M95, 1000000000000)</f>
        <v/>
      </c>
      <c r="Y95" s="101">
        <f>IF(AND(F95&lt;=DASHBOARD!$B$10, H95&gt;=DASHBOARD!$B$11), L95, 1000000000000)</f>
        <v/>
      </c>
      <c r="Z95" s="101">
        <f>IF(AND(F95&lt;=DASHBOARD!$B$10, H95&gt;=DASHBOARD!$B$11), O95, 1000000000000)</f>
        <v/>
      </c>
      <c r="AA95" s="101">
        <f>IF(AND(F95&lt;=DASHBOARD!$B$10, H95&gt;=DASHBOARD!$B$11), P95, 1000000000000)</f>
        <v/>
      </c>
      <c r="AB95" s="101">
        <f>IF(AND(F95&lt;=DASHBOARD!$B$10, H95&gt;=DASHBOARD!$B$11), Q95, -1000000000000)</f>
        <v/>
      </c>
    </row>
    <row r="96" ht="12.75" customHeight="1" s="102">
      <c r="A96" s="166" t="n">
        <v>92</v>
      </c>
      <c r="B96" s="167" t="n">
        <v>0.2</v>
      </c>
      <c r="C96" s="167" t="n">
        <v>0.3</v>
      </c>
      <c r="D96" s="110" t="inlineStr">
        <is>
          <t>Var (%20)</t>
        </is>
      </c>
      <c r="E96" s="110">
        <f>IF((B96+C96)&lt;=1, "Tam Mahsuplaşma (≤%100)", "Kısmi Satış (&gt;%100)")</f>
        <v/>
      </c>
      <c r="F96" s="168">
        <f>((VERI_TABANI!$D$29*B96/VERI_TABANI!$B$29)/VERI_TABANI!$B$3)*VERI_TABANI!$B$5 + ((VERI_TABANI!$D$29*C96/VERI_TABANI!$B$29)/VERI_TABANI!$B$4)*VERI_TABANI!$B$6 + IF(ISNUMBER(SEARCH("Var", D96)), (VERI_TABANI!$F$29/VERI_TABANI!$B$29)*(VERI_TABANI!$B$10+VERI_TABANI!$B$12), 0)</f>
        <v/>
      </c>
      <c r="G96" s="168">
        <f>(((MIN(VERI_TABANI!D23, VERI_TABANI!D23*B96)*VERI_TABANI!$B$7 + MAX(0, VERI_TABANI!D23*B96-VERI_TABANI!D23)*VERI_TABANI!$B$8) + (MIN(MAX(0, VERI_TABANI!D23-VERI_TABANI!D23*B96), VERI_TABANI!D23*C96)*VERI_TABANI!$B$7 + MAX(0, VERI_TABANI!D23*C96-MAX(0, VERI_TABANI!D23-VERI_TABANI!D23*B96))*VERI_TABANI!$B$8) + IF(ABS(IF(ISNUMBER(SEARCH("Var", D96)), 1, IF(ISNUMBER(SEARCH("Gri", D96)), -1, 0)))=1, VERI_TABANI!E23*(1-0.928)*VERI_TABANI!$B$9, 0) + (VERI_TABANI!D23*B96*(VERI_TABANI!$B$13-VERI_TABANI!$B$14)*VERI_TABANI!G23) + (VERI_TABANI!D23*C96*(VERI_TABANI!$B$13-VERI_TABANI!$B$15)*VERI_TABANI!G23) + IF(ABS(IF(ISNUMBER(SEARCH("Var", D96)), 1, IF(ISNUMBER(SEARCH("Gri", D96)), -1, 0)))=1, VERI_TABANI!E23*(1-0.928)*0.00206091519919798*VERI_TABANI!G23, 0)) + ((MIN(VERI_TABANI!D24, VERI_TABANI!D24*B96)*VERI_TABANI!$B$7 + MAX(0, VERI_TABANI!D24*B96-VERI_TABANI!D24)*VERI_TABANI!$B$8) + (MIN(MAX(0, VERI_TABANI!D24-VERI_TABANI!D24*B96), VERI_TABANI!D24*C96)*VERI_TABANI!$B$7 + MAX(0, VERI_TABANI!D24*C96-MAX(0, VERI_TABANI!D24-VERI_TABANI!D24*B96))*VERI_TABANI!$B$8) + IF(ABS(IF(ISNUMBER(SEARCH("Var", D96)), 1, IF(ISNUMBER(SEARCH("Gri", D96)), -1, 0)))=1, VERI_TABANI!E24*(1-0.928)*VERI_TABANI!$B$9, 0) + (VERI_TABANI!D24*B96*(VERI_TABANI!$B$13-VERI_TABANI!$B$14)*VERI_TABANI!G24) + (VERI_TABANI!D24*C96*(VERI_TABANI!$B$13-VERI_TABANI!$B$15)*VERI_TABANI!G24) + IF(ABS(IF(ISNUMBER(SEARCH("Var", D96)), 1, IF(ISNUMBER(SEARCH("Gri", D96)), -1, 0)))=1, VERI_TABANI!E24*(1-0.928)*0.00206091519919798*VERI_TABANI!G24, 0)) + ((MIN(VERI_TABANI!D25, VERI_TABANI!D25*B96)*VERI_TABANI!$B$7 + MAX(0, VERI_TABANI!D25*B96-VERI_TABANI!D25)*VERI_TABANI!$B$8) + (MIN(MAX(0, VERI_TABANI!D25-VERI_TABANI!D25*B96), VERI_TABANI!D25*C96)*VERI_TABANI!$B$7 + MAX(0, VERI_TABANI!D25*C96-MAX(0, VERI_TABANI!D25-VERI_TABANI!D25*B96))*VERI_TABANI!$B$8) + IF(ABS(IF(ISNUMBER(SEARCH("Var", D96)), 1, IF(ISNUMBER(SEARCH("Gri", D96)), -1, 0)))=1, VERI_TABANI!E25*(1-0.928)*VERI_TABANI!$B$9, 0) + (VERI_TABANI!D25*B96*(VERI_TABANI!$B$13-VERI_TABANI!$B$14)*VERI_TABANI!G25) + (VERI_TABANI!D25*C96*(VERI_TABANI!$B$13-VERI_TABANI!$B$15)*VERI_TABANI!G25) + IF(ABS(IF(ISNUMBER(SEARCH("Var", D96)), 1, IF(ISNUMBER(SEARCH("Gri", D96)), -1, 0)))=1, VERI_TABANI!E25*(1-0.928)*0.00206091519919798*VERI_TABANI!G25, 0)) + ((MIN(VERI_TABANI!D26, VERI_TABANI!D26*B96)*VERI_TABANI!$B$7 + MAX(0, VERI_TABANI!D26*B96-VERI_TABANI!D26)*VERI_TABANI!$B$8) + (MIN(MAX(0, VERI_TABANI!D26-VERI_TABANI!D26*B96), VERI_TABANI!D26*C96)*VERI_TABANI!$B$7 + MAX(0, VERI_TABANI!D26*C96-MAX(0, VERI_TABANI!D26-VERI_TABANI!D26*B96))*VERI_TABANI!$B$8) + IF(ABS(IF(ISNUMBER(SEARCH("Var", D96)), 1, IF(ISNUMBER(SEARCH("Gri", D96)), -1, 0)))=1, VERI_TABANI!E26*(1-0.928)*VERI_TABANI!$B$9, 0) + (VERI_TABANI!D26*B96*(VERI_TABANI!$B$13-VERI_TABANI!$B$14)*VERI_TABANI!G26) + (VERI_TABANI!D26*C96*(VERI_TABANI!$B$13-VERI_TABANI!$B$15)*VERI_TABANI!G26) + IF(ABS(IF(ISNUMBER(SEARCH("Var", D96)), 1, IF(ISNUMBER(SEARCH("Gri", D96)), -1, 0)))=1, VERI_TABANI!E26*(1-0.928)*0.00206091519919798*VERI_TABANI!G26, 0)) + ((MIN(VERI_TABANI!D27, VERI_TABANI!D27*B96)*VERI_TABANI!$B$7 + MAX(0, VERI_TABANI!D27*B96-VERI_TABANI!D27)*VERI_TABANI!$B$8) + (MIN(MAX(0, VERI_TABANI!D27-VERI_TABANI!D27*B96), VERI_TABANI!D27*C96)*VERI_TABANI!$B$7 + MAX(0, VERI_TABANI!D27*C96-MAX(0, VERI_TABANI!D27-VERI_TABANI!D27*B96))*VERI_TABANI!$B$8) + IF(ABS(IF(ISNUMBER(SEARCH("Var", D96)), 1, IF(ISNUMBER(SEARCH("Gri", D96)), -1, 0)))=1, VERI_TABANI!E27*(1-0.928)*VERI_TABANI!$B$9, 0) + (VERI_TABANI!D27*B96*(VERI_TABANI!$B$13-VERI_TABANI!$B$14)*VERI_TABANI!G27) + (VERI_TABANI!D27*C96*(VERI_TABANI!$B$13-VERI_TABANI!$B$15)*VERI_TABANI!G27) + IF(ABS(IF(ISNUMBER(SEARCH("Var", D96)), 1, IF(ISNUMBER(SEARCH("Gri", D96)), -1, 0)))=1, VERI_TABANI!E27*(1-0.928)*0.00206091519919798*VERI_TABANI!G27, 0)) + ((MIN(VERI_TABANI!D28, VERI_TABANI!D28*B96)*VERI_TABANI!$B$7 + MAX(0, VERI_TABANI!D28*B96-VERI_TABANI!D28)*VERI_TABANI!$B$8) + (MIN(MAX(0, VERI_TABANI!D28-VERI_TABANI!D28*B96), VERI_TABANI!D28*C96)*VERI_TABANI!$B$7 + MAX(0, VERI_TABANI!D28*C96-MAX(0, VERI_TABANI!D28-VERI_TABANI!D28*B96))*VERI_TABANI!$B$8) + IF(ABS(IF(ISNUMBER(SEARCH("Var", D96)), 1, IF(ISNUMBER(SEARCH("Gri", D96)), -1, 0)))=1, VERI_TABANI!E28*(1-0.928)*VERI_TABANI!$B$9, 0) + (VERI_TABANI!D28*B96*(VERI_TABANI!$B$13-VERI_TABANI!$B$14)*VERI_TABANI!G28) + (VERI_TABANI!D28*C96*(VERI_TABANI!$B$13-VERI_TABANI!$B$15)*VERI_TABANI!G28) + IF(ABS(IF(ISNUMBER(SEARCH("Var", D96)), 1, IF(ISNUMBER(SEARCH("Gri", D96)), -1, 0)))=1, VERI_TABANI!E28*(1-0.928)*0.00206091519919798*VERI_TABANI!G28, 0)))</f>
        <v/>
      </c>
      <c r="H96" s="169">
        <f>(((VERI_TABANI!D23*B96*(VERI_TABANI!$B$13-VERI_TABANI!$B$14)) + (VERI_TABANI!D23*C96*(VERI_TABANI!$B$13-VERI_TABANI!$B$15)) + IF(ISNUMBER(SEARCH("Var", D96)), VERI_TABANI!F23*(0.00202-VERI_TABANI!$B$16), IF(ISNUMBER(SEARCH("Gri", D96)), VERI_TABANI!F23*(0.00202-VERI_TABANI!$B$17), 0))) + ((VERI_TABANI!D24*B96*(VERI_TABANI!$B$13-VERI_TABANI!$B$14)) + (VERI_TABANI!D24*C96*(VERI_TABANI!$B$13-VERI_TABANI!$B$15)) + IF(ISNUMBER(SEARCH("Var", D96)), VERI_TABANI!F24*(0.00202-VERI_TABANI!$B$16), IF(ISNUMBER(SEARCH("Gri", D96)), VERI_TABANI!F24*(0.00202-VERI_TABANI!$B$17), 0))) + ((VERI_TABANI!D25*B96*(VERI_TABANI!$B$13-VERI_TABANI!$B$14)) + (VERI_TABANI!D25*C96*(VERI_TABANI!$B$13-VERI_TABANI!$B$15)) + IF(ISNUMBER(SEARCH("Var", D96)), VERI_TABANI!F25*(0.00202-VERI_TABANI!$B$16), IF(ISNUMBER(SEARCH("Gri", D96)), VERI_TABANI!F25*(0.00202-VERI_TABANI!$B$17), 0))) + ((VERI_TABANI!D26*B96*(VERI_TABANI!$B$13-VERI_TABANI!$B$14)) + (VERI_TABANI!D26*C96*(VERI_TABANI!$B$13-VERI_TABANI!$B$15)) + IF(ISNUMBER(SEARCH("Var", D96)), VERI_TABANI!F26*(0.00202-VERI_TABANI!$B$16), IF(ISNUMBER(SEARCH("Gri", D96)), VERI_TABANI!F26*(0.00202-VERI_TABANI!$B$17), 0))) + ((VERI_TABANI!D27*B96*(VERI_TABANI!$B$13-VERI_TABANI!$B$14)) + (VERI_TABANI!D27*C96*(VERI_TABANI!$B$13-VERI_TABANI!$B$15)) + IF(ISNUMBER(SEARCH("Var", D96)), VERI_TABANI!F27*(0.00202-VERI_TABANI!$B$16), IF(ISNUMBER(SEARCH("Gri", D96)), VERI_TABANI!F27*(0.00202-VERI_TABANI!$B$17), 0))) + ((VERI_TABANI!D28*B96*(VERI_TABANI!$B$13-VERI_TABANI!$B$14)) + (VERI_TABANI!D28*C96*(VERI_TABANI!$B$13-VERI_TABANI!$B$15)) + IF(ISNUMBER(SEARCH("Var", D96)), VERI_TABANI!F28*(0.00202-VERI_TABANI!$B$16), IF(ISNUMBER(SEARCH("Gri", D96)), VERI_TABANI!F28*(0.00202-VERI_TABANI!$B$17), 0))))</f>
        <v/>
      </c>
      <c r="I96" s="170">
        <f>IFERROR(((VERI_TABANI!$D$29*B96*VERI_TABANI!$B$14 + VERI_TABANI!$D$29*C96*VERI_TABANI!$B$15 + IF(ISNUMBER(SEARCH("Var", D96)), VERI_TABANI!$F$29*VERI_TABANI!$B$16, 0))) / (((VERI_TABANI!$D$29*B96 + VERI_TABANI!$D$29*C96)*VERI_TABANI!$B$13 + IF(ISNUMBER(SEARCH("Var", D96)), VERI_TABANI!$E$29*(1-0.928)*VERI_TABANI!$B$18, 0))), 0)</f>
        <v/>
      </c>
      <c r="J96" s="171">
        <f>IFERROR(F96/(G96/29), 0)</f>
        <v/>
      </c>
      <c r="K96" s="172">
        <f>IF(F96&gt;0, H96/F96, 0)</f>
        <v/>
      </c>
      <c r="L96" s="170">
        <f>IF(F96&gt;0, I96, 1000000000)</f>
        <v/>
      </c>
      <c r="M96" s="171">
        <f>ABS((B96+C96)-1)</f>
        <v/>
      </c>
      <c r="N96" s="170">
        <f>IF(F96&gt;0, (G96/29)/F96, 0)</f>
        <v/>
      </c>
      <c r="O96" s="168">
        <f>IF(AND((B96+C96)&gt;=1, ISNUMBER(SEARCH("Var", D96))), F96, 1000000000)</f>
        <v/>
      </c>
      <c r="P96" s="172">
        <f>IF(F96&gt;0, SQRT((F96/MAX(F$5:F$886))^2 + (1 - H96/MAX(H$5:H$886))^2 + (J96/MAX(J$5:J$886))^2), 1000000000)</f>
        <v/>
      </c>
      <c r="Q96" s="166">
        <f>IF(AND(ABS(B96-0.5)&lt;0.01, ABS(C96-0.5)&lt;0.01, ISNUMBER(SEARCH("Var", D96))), 1, 0)</f>
        <v/>
      </c>
      <c r="R96" s="171">
        <f>IF(F96&gt;0, J96, 1000000000)</f>
        <v/>
      </c>
      <c r="S96" s="101">
        <f>IF(AND(F96&lt;=DASHBOARD!$B$11, H96&gt;=DASHBOARD!$B$13), G96, -1000000000000)</f>
        <v/>
      </c>
      <c r="T96" s="101">
        <f>IF(AND(F96&lt;=DASHBOARD!$B$11, H96&gt;=DASHBOARD!$B$13), R96, 1000000000000)</f>
        <v/>
      </c>
      <c r="U96" s="101">
        <f>IF(AND(F96&lt;=DASHBOARD!$B$11, H96&gt;=DASHBOARD!$B$13), N96, -1000000000000)</f>
        <v/>
      </c>
      <c r="V96" s="101">
        <f>IF(AND(F96&lt;=DASHBOARD!$B$11, H96&gt;=DASHBOARD!$B$13), H96, -1000000000000)</f>
        <v/>
      </c>
      <c r="W96" s="101">
        <f>IF(AND(F96&lt;=DASHBOARD!$B$11, H96&gt;=DASHBOARD!$B$13), K96, -1000000000000)</f>
        <v/>
      </c>
      <c r="X96" s="101">
        <f>IF(AND(F96&lt;=DASHBOARD!$B$11, H96&gt;=DASHBOARD!$B$13), M96, 1000000000000)</f>
        <v/>
      </c>
      <c r="Y96" s="101">
        <f>IF(AND(F96&lt;=DASHBOARD!$B$10, H96&gt;=DASHBOARD!$B$11), L96, 1000000000000)</f>
        <v/>
      </c>
      <c r="Z96" s="101">
        <f>IF(AND(F96&lt;=DASHBOARD!$B$10, H96&gt;=DASHBOARD!$B$11), O96, 1000000000000)</f>
        <v/>
      </c>
      <c r="AA96" s="101">
        <f>IF(AND(F96&lt;=DASHBOARD!$B$10, H96&gt;=DASHBOARD!$B$11), P96, 1000000000000)</f>
        <v/>
      </c>
      <c r="AB96" s="101">
        <f>IF(AND(F96&lt;=DASHBOARD!$B$10, H96&gt;=DASHBOARD!$B$11), Q96, -1000000000000)</f>
        <v/>
      </c>
    </row>
    <row r="97" ht="12.75" customHeight="1" s="102">
      <c r="A97" s="166" t="n">
        <v>93</v>
      </c>
      <c r="B97" s="167" t="n">
        <v>0.2</v>
      </c>
      <c r="C97" s="167" t="n">
        <v>0.4</v>
      </c>
      <c r="D97" s="110" t="inlineStr">
        <is>
          <t>Yok (%0)</t>
        </is>
      </c>
      <c r="E97" s="110">
        <f>IF((B97+C97)&lt;=1, "Tam Mahsuplaşma (≤%100)", "Kısmi Satış (&gt;%100)")</f>
        <v/>
      </c>
      <c r="F97" s="168">
        <f>((VERI_TABANI!$D$29*B97/VERI_TABANI!$B$29)/VERI_TABANI!$B$3)*VERI_TABANI!$B$5 + ((VERI_TABANI!$D$29*C97/VERI_TABANI!$B$29)/VERI_TABANI!$B$4)*VERI_TABANI!$B$6 + IF(ISNUMBER(SEARCH("Var", D97)), (VERI_TABANI!$F$29/VERI_TABANI!$B$29)*(VERI_TABANI!$B$10+VERI_TABANI!$B$12), 0)</f>
        <v/>
      </c>
      <c r="G97" s="168">
        <f>(((MIN(VERI_TABANI!D23, VERI_TABANI!D23*B97)*VERI_TABANI!$B$7 + MAX(0, VERI_TABANI!D23*B97-VERI_TABANI!D23)*VERI_TABANI!$B$8) + (MIN(MAX(0, VERI_TABANI!D23-VERI_TABANI!D23*B97), VERI_TABANI!D23*C97)*VERI_TABANI!$B$7 + MAX(0, VERI_TABANI!D23*C97-MAX(0, VERI_TABANI!D23-VERI_TABANI!D23*B97))*VERI_TABANI!$B$8) + IF(ABS(IF(ISNUMBER(SEARCH("Var", D97)), 1, IF(ISNUMBER(SEARCH("Gri", D97)), -1, 0)))=1, VERI_TABANI!E23*(1-0.928)*VERI_TABANI!$B$9, 0) + (VERI_TABANI!D23*B97*(VERI_TABANI!$B$13-VERI_TABANI!$B$14)*VERI_TABANI!G23) + (VERI_TABANI!D23*C97*(VERI_TABANI!$B$13-VERI_TABANI!$B$15)*VERI_TABANI!G23) + IF(ABS(IF(ISNUMBER(SEARCH("Var", D97)), 1, IF(ISNUMBER(SEARCH("Gri", D97)), -1, 0)))=1, VERI_TABANI!E23*(1-0.928)*0.00206091519919798*VERI_TABANI!G23, 0)) + ((MIN(VERI_TABANI!D24, VERI_TABANI!D24*B97)*VERI_TABANI!$B$7 + MAX(0, VERI_TABANI!D24*B97-VERI_TABANI!D24)*VERI_TABANI!$B$8) + (MIN(MAX(0, VERI_TABANI!D24-VERI_TABANI!D24*B97), VERI_TABANI!D24*C97)*VERI_TABANI!$B$7 + MAX(0, VERI_TABANI!D24*C97-MAX(0, VERI_TABANI!D24-VERI_TABANI!D24*B97))*VERI_TABANI!$B$8) + IF(ABS(IF(ISNUMBER(SEARCH("Var", D97)), 1, IF(ISNUMBER(SEARCH("Gri", D97)), -1, 0)))=1, VERI_TABANI!E24*(1-0.928)*VERI_TABANI!$B$9, 0) + (VERI_TABANI!D24*B97*(VERI_TABANI!$B$13-VERI_TABANI!$B$14)*VERI_TABANI!G24) + (VERI_TABANI!D24*C97*(VERI_TABANI!$B$13-VERI_TABANI!$B$15)*VERI_TABANI!G24) + IF(ABS(IF(ISNUMBER(SEARCH("Var", D97)), 1, IF(ISNUMBER(SEARCH("Gri", D97)), -1, 0)))=1, VERI_TABANI!E24*(1-0.928)*0.00206091519919798*VERI_TABANI!G24, 0)) + ((MIN(VERI_TABANI!D25, VERI_TABANI!D25*B97)*VERI_TABANI!$B$7 + MAX(0, VERI_TABANI!D25*B97-VERI_TABANI!D25)*VERI_TABANI!$B$8) + (MIN(MAX(0, VERI_TABANI!D25-VERI_TABANI!D25*B97), VERI_TABANI!D25*C97)*VERI_TABANI!$B$7 + MAX(0, VERI_TABANI!D25*C97-MAX(0, VERI_TABANI!D25-VERI_TABANI!D25*B97))*VERI_TABANI!$B$8) + IF(ABS(IF(ISNUMBER(SEARCH("Var", D97)), 1, IF(ISNUMBER(SEARCH("Gri", D97)), -1, 0)))=1, VERI_TABANI!E25*(1-0.928)*VERI_TABANI!$B$9, 0) + (VERI_TABANI!D25*B97*(VERI_TABANI!$B$13-VERI_TABANI!$B$14)*VERI_TABANI!G25) + (VERI_TABANI!D25*C97*(VERI_TABANI!$B$13-VERI_TABANI!$B$15)*VERI_TABANI!G25) + IF(ABS(IF(ISNUMBER(SEARCH("Var", D97)), 1, IF(ISNUMBER(SEARCH("Gri", D97)), -1, 0)))=1, VERI_TABANI!E25*(1-0.928)*0.00206091519919798*VERI_TABANI!G25, 0)) + ((MIN(VERI_TABANI!D26, VERI_TABANI!D26*B97)*VERI_TABANI!$B$7 + MAX(0, VERI_TABANI!D26*B97-VERI_TABANI!D26)*VERI_TABANI!$B$8) + (MIN(MAX(0, VERI_TABANI!D26-VERI_TABANI!D26*B97), VERI_TABANI!D26*C97)*VERI_TABANI!$B$7 + MAX(0, VERI_TABANI!D26*C97-MAX(0, VERI_TABANI!D26-VERI_TABANI!D26*B97))*VERI_TABANI!$B$8) + IF(ABS(IF(ISNUMBER(SEARCH("Var", D97)), 1, IF(ISNUMBER(SEARCH("Gri", D97)), -1, 0)))=1, VERI_TABANI!E26*(1-0.928)*VERI_TABANI!$B$9, 0) + (VERI_TABANI!D26*B97*(VERI_TABANI!$B$13-VERI_TABANI!$B$14)*VERI_TABANI!G26) + (VERI_TABANI!D26*C97*(VERI_TABANI!$B$13-VERI_TABANI!$B$15)*VERI_TABANI!G26) + IF(ABS(IF(ISNUMBER(SEARCH("Var", D97)), 1, IF(ISNUMBER(SEARCH("Gri", D97)), -1, 0)))=1, VERI_TABANI!E26*(1-0.928)*0.00206091519919798*VERI_TABANI!G26, 0)) + ((MIN(VERI_TABANI!D27, VERI_TABANI!D27*B97)*VERI_TABANI!$B$7 + MAX(0, VERI_TABANI!D27*B97-VERI_TABANI!D27)*VERI_TABANI!$B$8) + (MIN(MAX(0, VERI_TABANI!D27-VERI_TABANI!D27*B97), VERI_TABANI!D27*C97)*VERI_TABANI!$B$7 + MAX(0, VERI_TABANI!D27*C97-MAX(0, VERI_TABANI!D27-VERI_TABANI!D27*B97))*VERI_TABANI!$B$8) + IF(ABS(IF(ISNUMBER(SEARCH("Var", D97)), 1, IF(ISNUMBER(SEARCH("Gri", D97)), -1, 0)))=1, VERI_TABANI!E27*(1-0.928)*VERI_TABANI!$B$9, 0) + (VERI_TABANI!D27*B97*(VERI_TABANI!$B$13-VERI_TABANI!$B$14)*VERI_TABANI!G27) + (VERI_TABANI!D27*C97*(VERI_TABANI!$B$13-VERI_TABANI!$B$15)*VERI_TABANI!G27) + IF(ABS(IF(ISNUMBER(SEARCH("Var", D97)), 1, IF(ISNUMBER(SEARCH("Gri", D97)), -1, 0)))=1, VERI_TABANI!E27*(1-0.928)*0.00206091519919798*VERI_TABANI!G27, 0)) + ((MIN(VERI_TABANI!D28, VERI_TABANI!D28*B97)*VERI_TABANI!$B$7 + MAX(0, VERI_TABANI!D28*B97-VERI_TABANI!D28)*VERI_TABANI!$B$8) + (MIN(MAX(0, VERI_TABANI!D28-VERI_TABANI!D28*B97), VERI_TABANI!D28*C97)*VERI_TABANI!$B$7 + MAX(0, VERI_TABANI!D28*C97-MAX(0, VERI_TABANI!D28-VERI_TABANI!D28*B97))*VERI_TABANI!$B$8) + IF(ABS(IF(ISNUMBER(SEARCH("Var", D97)), 1, IF(ISNUMBER(SEARCH("Gri", D97)), -1, 0)))=1, VERI_TABANI!E28*(1-0.928)*VERI_TABANI!$B$9, 0) + (VERI_TABANI!D28*B97*(VERI_TABANI!$B$13-VERI_TABANI!$B$14)*VERI_TABANI!G28) + (VERI_TABANI!D28*C97*(VERI_TABANI!$B$13-VERI_TABANI!$B$15)*VERI_TABANI!G28) + IF(ABS(IF(ISNUMBER(SEARCH("Var", D97)), 1, IF(ISNUMBER(SEARCH("Gri", D97)), -1, 0)))=1, VERI_TABANI!E28*(1-0.928)*0.00206091519919798*VERI_TABANI!G28, 0)))</f>
        <v/>
      </c>
      <c r="H97" s="169">
        <f>(((VERI_TABANI!D23*B97*(VERI_TABANI!$B$13-VERI_TABANI!$B$14)) + (VERI_TABANI!D23*C97*(VERI_TABANI!$B$13-VERI_TABANI!$B$15)) + IF(ISNUMBER(SEARCH("Var", D97)), VERI_TABANI!F23*(0.00202-VERI_TABANI!$B$16), IF(ISNUMBER(SEARCH("Gri", D97)), VERI_TABANI!F23*(0.00202-VERI_TABANI!$B$17), 0))) + ((VERI_TABANI!D24*B97*(VERI_TABANI!$B$13-VERI_TABANI!$B$14)) + (VERI_TABANI!D24*C97*(VERI_TABANI!$B$13-VERI_TABANI!$B$15)) + IF(ISNUMBER(SEARCH("Var", D97)), VERI_TABANI!F24*(0.00202-VERI_TABANI!$B$16), IF(ISNUMBER(SEARCH("Gri", D97)), VERI_TABANI!F24*(0.00202-VERI_TABANI!$B$17), 0))) + ((VERI_TABANI!D25*B97*(VERI_TABANI!$B$13-VERI_TABANI!$B$14)) + (VERI_TABANI!D25*C97*(VERI_TABANI!$B$13-VERI_TABANI!$B$15)) + IF(ISNUMBER(SEARCH("Var", D97)), VERI_TABANI!F25*(0.00202-VERI_TABANI!$B$16), IF(ISNUMBER(SEARCH("Gri", D97)), VERI_TABANI!F25*(0.00202-VERI_TABANI!$B$17), 0))) + ((VERI_TABANI!D26*B97*(VERI_TABANI!$B$13-VERI_TABANI!$B$14)) + (VERI_TABANI!D26*C97*(VERI_TABANI!$B$13-VERI_TABANI!$B$15)) + IF(ISNUMBER(SEARCH("Var", D97)), VERI_TABANI!F26*(0.00202-VERI_TABANI!$B$16), IF(ISNUMBER(SEARCH("Gri", D97)), VERI_TABANI!F26*(0.00202-VERI_TABANI!$B$17), 0))) + ((VERI_TABANI!D27*B97*(VERI_TABANI!$B$13-VERI_TABANI!$B$14)) + (VERI_TABANI!D27*C97*(VERI_TABANI!$B$13-VERI_TABANI!$B$15)) + IF(ISNUMBER(SEARCH("Var", D97)), VERI_TABANI!F27*(0.00202-VERI_TABANI!$B$16), IF(ISNUMBER(SEARCH("Gri", D97)), VERI_TABANI!F27*(0.00202-VERI_TABANI!$B$17), 0))) + ((VERI_TABANI!D28*B97*(VERI_TABANI!$B$13-VERI_TABANI!$B$14)) + (VERI_TABANI!D28*C97*(VERI_TABANI!$B$13-VERI_TABANI!$B$15)) + IF(ISNUMBER(SEARCH("Var", D97)), VERI_TABANI!F28*(0.00202-VERI_TABANI!$B$16), IF(ISNUMBER(SEARCH("Gri", D97)), VERI_TABANI!F28*(0.00202-VERI_TABANI!$B$17), 0))))</f>
        <v/>
      </c>
      <c r="I97" s="170">
        <f>IFERROR(((VERI_TABANI!$D$29*B97*VERI_TABANI!$B$14 + VERI_TABANI!$D$29*C97*VERI_TABANI!$B$15 + IF(ISNUMBER(SEARCH("Var", D97)), VERI_TABANI!$F$29*VERI_TABANI!$B$16, 0))) / (((VERI_TABANI!$D$29*B97 + VERI_TABANI!$D$29*C97)*VERI_TABANI!$B$13 + IF(ISNUMBER(SEARCH("Var", D97)), VERI_TABANI!$E$29*(1-0.928)*VERI_TABANI!$B$18, 0))), 0)</f>
        <v/>
      </c>
      <c r="J97" s="171">
        <f>IFERROR(F97/(G97/29), 0)</f>
        <v/>
      </c>
      <c r="K97" s="172">
        <f>IF(F97&gt;0, H97/F97, 0)</f>
        <v/>
      </c>
      <c r="L97" s="170">
        <f>IF(F97&gt;0, I97, 1000000000)</f>
        <v/>
      </c>
      <c r="M97" s="171">
        <f>ABS((B97+C97)-1)</f>
        <v/>
      </c>
      <c r="N97" s="170">
        <f>IF(F97&gt;0, (G97/29)/F97, 0)</f>
        <v/>
      </c>
      <c r="O97" s="168">
        <f>IF(AND((B97+C97)&gt;=1, ISNUMBER(SEARCH("Var", D97))), F97, 1000000000)</f>
        <v/>
      </c>
      <c r="P97" s="172">
        <f>IF(F97&gt;0, SQRT((F97/MAX(F$5:F$886))^2 + (1 - H97/MAX(H$5:H$886))^2 + (J97/MAX(J$5:J$886))^2), 1000000000)</f>
        <v/>
      </c>
      <c r="Q97" s="166">
        <f>IF(AND(ABS(B97-0.5)&lt;0.01, ABS(C97-0.5)&lt;0.01, ISNUMBER(SEARCH("Var", D97))), 1, 0)</f>
        <v/>
      </c>
      <c r="R97" s="171">
        <f>IF(F97&gt;0, J97, 1000000000)</f>
        <v/>
      </c>
      <c r="S97" s="101">
        <f>IF(AND(F97&lt;=DASHBOARD!$B$11, H97&gt;=DASHBOARD!$B$13), G97, -1000000000000)</f>
        <v/>
      </c>
      <c r="T97" s="101">
        <f>IF(AND(F97&lt;=DASHBOARD!$B$11, H97&gt;=DASHBOARD!$B$13), R97, 1000000000000)</f>
        <v/>
      </c>
      <c r="U97" s="101">
        <f>IF(AND(F97&lt;=DASHBOARD!$B$11, H97&gt;=DASHBOARD!$B$13), N97, -1000000000000)</f>
        <v/>
      </c>
      <c r="V97" s="101">
        <f>IF(AND(F97&lt;=DASHBOARD!$B$11, H97&gt;=DASHBOARD!$B$13), H97, -1000000000000)</f>
        <v/>
      </c>
      <c r="W97" s="101">
        <f>IF(AND(F97&lt;=DASHBOARD!$B$11, H97&gt;=DASHBOARD!$B$13), K97, -1000000000000)</f>
        <v/>
      </c>
      <c r="X97" s="101">
        <f>IF(AND(F97&lt;=DASHBOARD!$B$11, H97&gt;=DASHBOARD!$B$13), M97, 1000000000000)</f>
        <v/>
      </c>
      <c r="Y97" s="101">
        <f>IF(AND(F97&lt;=DASHBOARD!$B$10, H97&gt;=DASHBOARD!$B$11), L97, 1000000000000)</f>
        <v/>
      </c>
      <c r="Z97" s="101">
        <f>IF(AND(F97&lt;=DASHBOARD!$B$10, H97&gt;=DASHBOARD!$B$11), O97, 1000000000000)</f>
        <v/>
      </c>
      <c r="AA97" s="101">
        <f>IF(AND(F97&lt;=DASHBOARD!$B$10, H97&gt;=DASHBOARD!$B$11), P97, 1000000000000)</f>
        <v/>
      </c>
      <c r="AB97" s="101">
        <f>IF(AND(F97&lt;=DASHBOARD!$B$10, H97&gt;=DASHBOARD!$B$11), Q97, -1000000000000)</f>
        <v/>
      </c>
    </row>
    <row r="98" ht="12.75" customHeight="1" s="102">
      <c r="A98" s="166" t="n">
        <v>94</v>
      </c>
      <c r="B98" s="167" t="n">
        <v>0.2</v>
      </c>
      <c r="C98" s="167" t="n">
        <v>0.4</v>
      </c>
      <c r="D98" s="110" t="inlineStr">
        <is>
          <t>Var (%20)</t>
        </is>
      </c>
      <c r="E98" s="110">
        <f>IF((B98+C98)&lt;=1, "Tam Mahsuplaşma (≤%100)", "Kısmi Satış (&gt;%100)")</f>
        <v/>
      </c>
      <c r="F98" s="168">
        <f>((VERI_TABANI!$D$29*B98/VERI_TABANI!$B$29)/VERI_TABANI!$B$3)*VERI_TABANI!$B$5 + ((VERI_TABANI!$D$29*C98/VERI_TABANI!$B$29)/VERI_TABANI!$B$4)*VERI_TABANI!$B$6 + IF(ISNUMBER(SEARCH("Var", D98)), (VERI_TABANI!$F$29/VERI_TABANI!$B$29)*(VERI_TABANI!$B$10+VERI_TABANI!$B$12), 0)</f>
        <v/>
      </c>
      <c r="G98" s="168">
        <f>(((MIN(VERI_TABANI!D23, VERI_TABANI!D23*B98)*VERI_TABANI!$B$7 + MAX(0, VERI_TABANI!D23*B98-VERI_TABANI!D23)*VERI_TABANI!$B$8) + (MIN(MAX(0, VERI_TABANI!D23-VERI_TABANI!D23*B98), VERI_TABANI!D23*C98)*VERI_TABANI!$B$7 + MAX(0, VERI_TABANI!D23*C98-MAX(0, VERI_TABANI!D23-VERI_TABANI!D23*B98))*VERI_TABANI!$B$8) + IF(ABS(IF(ISNUMBER(SEARCH("Var", D98)), 1, IF(ISNUMBER(SEARCH("Gri", D98)), -1, 0)))=1, VERI_TABANI!E23*(1-0.928)*VERI_TABANI!$B$9, 0) + (VERI_TABANI!D23*B98*(VERI_TABANI!$B$13-VERI_TABANI!$B$14)*VERI_TABANI!G23) + (VERI_TABANI!D23*C98*(VERI_TABANI!$B$13-VERI_TABANI!$B$15)*VERI_TABANI!G23) + IF(ABS(IF(ISNUMBER(SEARCH("Var", D98)), 1, IF(ISNUMBER(SEARCH("Gri", D98)), -1, 0)))=1, VERI_TABANI!E23*(1-0.928)*0.00206091519919798*VERI_TABANI!G23, 0)) + ((MIN(VERI_TABANI!D24, VERI_TABANI!D24*B98)*VERI_TABANI!$B$7 + MAX(0, VERI_TABANI!D24*B98-VERI_TABANI!D24)*VERI_TABANI!$B$8) + (MIN(MAX(0, VERI_TABANI!D24-VERI_TABANI!D24*B98), VERI_TABANI!D24*C98)*VERI_TABANI!$B$7 + MAX(0, VERI_TABANI!D24*C98-MAX(0, VERI_TABANI!D24-VERI_TABANI!D24*B98))*VERI_TABANI!$B$8) + IF(ABS(IF(ISNUMBER(SEARCH("Var", D98)), 1, IF(ISNUMBER(SEARCH("Gri", D98)), -1, 0)))=1, VERI_TABANI!E24*(1-0.928)*VERI_TABANI!$B$9, 0) + (VERI_TABANI!D24*B98*(VERI_TABANI!$B$13-VERI_TABANI!$B$14)*VERI_TABANI!G24) + (VERI_TABANI!D24*C98*(VERI_TABANI!$B$13-VERI_TABANI!$B$15)*VERI_TABANI!G24) + IF(ABS(IF(ISNUMBER(SEARCH("Var", D98)), 1, IF(ISNUMBER(SEARCH("Gri", D98)), -1, 0)))=1, VERI_TABANI!E24*(1-0.928)*0.00206091519919798*VERI_TABANI!G24, 0)) + ((MIN(VERI_TABANI!D25, VERI_TABANI!D25*B98)*VERI_TABANI!$B$7 + MAX(0, VERI_TABANI!D25*B98-VERI_TABANI!D25)*VERI_TABANI!$B$8) + (MIN(MAX(0, VERI_TABANI!D25-VERI_TABANI!D25*B98), VERI_TABANI!D25*C98)*VERI_TABANI!$B$7 + MAX(0, VERI_TABANI!D25*C98-MAX(0, VERI_TABANI!D25-VERI_TABANI!D25*B98))*VERI_TABANI!$B$8) + IF(ABS(IF(ISNUMBER(SEARCH("Var", D98)), 1, IF(ISNUMBER(SEARCH("Gri", D98)), -1, 0)))=1, VERI_TABANI!E25*(1-0.928)*VERI_TABANI!$B$9, 0) + (VERI_TABANI!D25*B98*(VERI_TABANI!$B$13-VERI_TABANI!$B$14)*VERI_TABANI!G25) + (VERI_TABANI!D25*C98*(VERI_TABANI!$B$13-VERI_TABANI!$B$15)*VERI_TABANI!G25) + IF(ABS(IF(ISNUMBER(SEARCH("Var", D98)), 1, IF(ISNUMBER(SEARCH("Gri", D98)), -1, 0)))=1, VERI_TABANI!E25*(1-0.928)*0.00206091519919798*VERI_TABANI!G25, 0)) + ((MIN(VERI_TABANI!D26, VERI_TABANI!D26*B98)*VERI_TABANI!$B$7 + MAX(0, VERI_TABANI!D26*B98-VERI_TABANI!D26)*VERI_TABANI!$B$8) + (MIN(MAX(0, VERI_TABANI!D26-VERI_TABANI!D26*B98), VERI_TABANI!D26*C98)*VERI_TABANI!$B$7 + MAX(0, VERI_TABANI!D26*C98-MAX(0, VERI_TABANI!D26-VERI_TABANI!D26*B98))*VERI_TABANI!$B$8) + IF(ABS(IF(ISNUMBER(SEARCH("Var", D98)), 1, IF(ISNUMBER(SEARCH("Gri", D98)), -1, 0)))=1, VERI_TABANI!E26*(1-0.928)*VERI_TABANI!$B$9, 0) + (VERI_TABANI!D26*B98*(VERI_TABANI!$B$13-VERI_TABANI!$B$14)*VERI_TABANI!G26) + (VERI_TABANI!D26*C98*(VERI_TABANI!$B$13-VERI_TABANI!$B$15)*VERI_TABANI!G26) + IF(ABS(IF(ISNUMBER(SEARCH("Var", D98)), 1, IF(ISNUMBER(SEARCH("Gri", D98)), -1, 0)))=1, VERI_TABANI!E26*(1-0.928)*0.00206091519919798*VERI_TABANI!G26, 0)) + ((MIN(VERI_TABANI!D27, VERI_TABANI!D27*B98)*VERI_TABANI!$B$7 + MAX(0, VERI_TABANI!D27*B98-VERI_TABANI!D27)*VERI_TABANI!$B$8) + (MIN(MAX(0, VERI_TABANI!D27-VERI_TABANI!D27*B98), VERI_TABANI!D27*C98)*VERI_TABANI!$B$7 + MAX(0, VERI_TABANI!D27*C98-MAX(0, VERI_TABANI!D27-VERI_TABANI!D27*B98))*VERI_TABANI!$B$8) + IF(ABS(IF(ISNUMBER(SEARCH("Var", D98)), 1, IF(ISNUMBER(SEARCH("Gri", D98)), -1, 0)))=1, VERI_TABANI!E27*(1-0.928)*VERI_TABANI!$B$9, 0) + (VERI_TABANI!D27*B98*(VERI_TABANI!$B$13-VERI_TABANI!$B$14)*VERI_TABANI!G27) + (VERI_TABANI!D27*C98*(VERI_TABANI!$B$13-VERI_TABANI!$B$15)*VERI_TABANI!G27) + IF(ABS(IF(ISNUMBER(SEARCH("Var", D98)), 1, IF(ISNUMBER(SEARCH("Gri", D98)), -1, 0)))=1, VERI_TABANI!E27*(1-0.928)*0.00206091519919798*VERI_TABANI!G27, 0)) + ((MIN(VERI_TABANI!D28, VERI_TABANI!D28*B98)*VERI_TABANI!$B$7 + MAX(0, VERI_TABANI!D28*B98-VERI_TABANI!D28)*VERI_TABANI!$B$8) + (MIN(MAX(0, VERI_TABANI!D28-VERI_TABANI!D28*B98), VERI_TABANI!D28*C98)*VERI_TABANI!$B$7 + MAX(0, VERI_TABANI!D28*C98-MAX(0, VERI_TABANI!D28-VERI_TABANI!D28*B98))*VERI_TABANI!$B$8) + IF(ABS(IF(ISNUMBER(SEARCH("Var", D98)), 1, IF(ISNUMBER(SEARCH("Gri", D98)), -1, 0)))=1, VERI_TABANI!E28*(1-0.928)*VERI_TABANI!$B$9, 0) + (VERI_TABANI!D28*B98*(VERI_TABANI!$B$13-VERI_TABANI!$B$14)*VERI_TABANI!G28) + (VERI_TABANI!D28*C98*(VERI_TABANI!$B$13-VERI_TABANI!$B$15)*VERI_TABANI!G28) + IF(ABS(IF(ISNUMBER(SEARCH("Var", D98)), 1, IF(ISNUMBER(SEARCH("Gri", D98)), -1, 0)))=1, VERI_TABANI!E28*(1-0.928)*0.00206091519919798*VERI_TABANI!G28, 0)))</f>
        <v/>
      </c>
      <c r="H98" s="169">
        <f>(((VERI_TABANI!D23*B98*(VERI_TABANI!$B$13-VERI_TABANI!$B$14)) + (VERI_TABANI!D23*C98*(VERI_TABANI!$B$13-VERI_TABANI!$B$15)) + IF(ISNUMBER(SEARCH("Var", D98)), VERI_TABANI!F23*(0.00202-VERI_TABANI!$B$16), IF(ISNUMBER(SEARCH("Gri", D98)), VERI_TABANI!F23*(0.00202-VERI_TABANI!$B$17), 0))) + ((VERI_TABANI!D24*B98*(VERI_TABANI!$B$13-VERI_TABANI!$B$14)) + (VERI_TABANI!D24*C98*(VERI_TABANI!$B$13-VERI_TABANI!$B$15)) + IF(ISNUMBER(SEARCH("Var", D98)), VERI_TABANI!F24*(0.00202-VERI_TABANI!$B$16), IF(ISNUMBER(SEARCH("Gri", D98)), VERI_TABANI!F24*(0.00202-VERI_TABANI!$B$17), 0))) + ((VERI_TABANI!D25*B98*(VERI_TABANI!$B$13-VERI_TABANI!$B$14)) + (VERI_TABANI!D25*C98*(VERI_TABANI!$B$13-VERI_TABANI!$B$15)) + IF(ISNUMBER(SEARCH("Var", D98)), VERI_TABANI!F25*(0.00202-VERI_TABANI!$B$16), IF(ISNUMBER(SEARCH("Gri", D98)), VERI_TABANI!F25*(0.00202-VERI_TABANI!$B$17), 0))) + ((VERI_TABANI!D26*B98*(VERI_TABANI!$B$13-VERI_TABANI!$B$14)) + (VERI_TABANI!D26*C98*(VERI_TABANI!$B$13-VERI_TABANI!$B$15)) + IF(ISNUMBER(SEARCH("Var", D98)), VERI_TABANI!F26*(0.00202-VERI_TABANI!$B$16), IF(ISNUMBER(SEARCH("Gri", D98)), VERI_TABANI!F26*(0.00202-VERI_TABANI!$B$17), 0))) + ((VERI_TABANI!D27*B98*(VERI_TABANI!$B$13-VERI_TABANI!$B$14)) + (VERI_TABANI!D27*C98*(VERI_TABANI!$B$13-VERI_TABANI!$B$15)) + IF(ISNUMBER(SEARCH("Var", D98)), VERI_TABANI!F27*(0.00202-VERI_TABANI!$B$16), IF(ISNUMBER(SEARCH("Gri", D98)), VERI_TABANI!F27*(0.00202-VERI_TABANI!$B$17), 0))) + ((VERI_TABANI!D28*B98*(VERI_TABANI!$B$13-VERI_TABANI!$B$14)) + (VERI_TABANI!D28*C98*(VERI_TABANI!$B$13-VERI_TABANI!$B$15)) + IF(ISNUMBER(SEARCH("Var", D98)), VERI_TABANI!F28*(0.00202-VERI_TABANI!$B$16), IF(ISNUMBER(SEARCH("Gri", D98)), VERI_TABANI!F28*(0.00202-VERI_TABANI!$B$17), 0))))</f>
        <v/>
      </c>
      <c r="I98" s="170">
        <f>IFERROR(((VERI_TABANI!$D$29*B98*VERI_TABANI!$B$14 + VERI_TABANI!$D$29*C98*VERI_TABANI!$B$15 + IF(ISNUMBER(SEARCH("Var", D98)), VERI_TABANI!$F$29*VERI_TABANI!$B$16, 0))) / (((VERI_TABANI!$D$29*B98 + VERI_TABANI!$D$29*C98)*VERI_TABANI!$B$13 + IF(ISNUMBER(SEARCH("Var", D98)), VERI_TABANI!$E$29*(1-0.928)*VERI_TABANI!$B$18, 0))), 0)</f>
        <v/>
      </c>
      <c r="J98" s="171">
        <f>IFERROR(F98/(G98/29), 0)</f>
        <v/>
      </c>
      <c r="K98" s="172">
        <f>IF(F98&gt;0, H98/F98, 0)</f>
        <v/>
      </c>
      <c r="L98" s="170">
        <f>IF(F98&gt;0, I98, 1000000000)</f>
        <v/>
      </c>
      <c r="M98" s="171">
        <f>ABS((B98+C98)-1)</f>
        <v/>
      </c>
      <c r="N98" s="170">
        <f>IF(F98&gt;0, (G98/29)/F98, 0)</f>
        <v/>
      </c>
      <c r="O98" s="168">
        <f>IF(AND((B98+C98)&gt;=1, ISNUMBER(SEARCH("Var", D98))), F98, 1000000000)</f>
        <v/>
      </c>
      <c r="P98" s="172">
        <f>IF(F98&gt;0, SQRT((F98/MAX(F$5:F$886))^2 + (1 - H98/MAX(H$5:H$886))^2 + (J98/MAX(J$5:J$886))^2), 1000000000)</f>
        <v/>
      </c>
      <c r="Q98" s="166">
        <f>IF(AND(ABS(B98-0.5)&lt;0.01, ABS(C98-0.5)&lt;0.01, ISNUMBER(SEARCH("Var", D98))), 1, 0)</f>
        <v/>
      </c>
      <c r="R98" s="171">
        <f>IF(F98&gt;0, J98, 1000000000)</f>
        <v/>
      </c>
      <c r="S98" s="101">
        <f>IF(AND(F98&lt;=DASHBOARD!$B$11, H98&gt;=DASHBOARD!$B$13), G98, -1000000000000)</f>
        <v/>
      </c>
      <c r="T98" s="101">
        <f>IF(AND(F98&lt;=DASHBOARD!$B$11, H98&gt;=DASHBOARD!$B$13), R98, 1000000000000)</f>
        <v/>
      </c>
      <c r="U98" s="101">
        <f>IF(AND(F98&lt;=DASHBOARD!$B$11, H98&gt;=DASHBOARD!$B$13), N98, -1000000000000)</f>
        <v/>
      </c>
      <c r="V98" s="101">
        <f>IF(AND(F98&lt;=DASHBOARD!$B$11, H98&gt;=DASHBOARD!$B$13), H98, -1000000000000)</f>
        <v/>
      </c>
      <c r="W98" s="101">
        <f>IF(AND(F98&lt;=DASHBOARD!$B$11, H98&gt;=DASHBOARD!$B$13), K98, -1000000000000)</f>
        <v/>
      </c>
      <c r="X98" s="101">
        <f>IF(AND(F98&lt;=DASHBOARD!$B$11, H98&gt;=DASHBOARD!$B$13), M98, 1000000000000)</f>
        <v/>
      </c>
      <c r="Y98" s="101">
        <f>IF(AND(F98&lt;=DASHBOARD!$B$10, H98&gt;=DASHBOARD!$B$11), L98, 1000000000000)</f>
        <v/>
      </c>
      <c r="Z98" s="101">
        <f>IF(AND(F98&lt;=DASHBOARD!$B$10, H98&gt;=DASHBOARD!$B$11), O98, 1000000000000)</f>
        <v/>
      </c>
      <c r="AA98" s="101">
        <f>IF(AND(F98&lt;=DASHBOARD!$B$10, H98&gt;=DASHBOARD!$B$11), P98, 1000000000000)</f>
        <v/>
      </c>
      <c r="AB98" s="101">
        <f>IF(AND(F98&lt;=DASHBOARD!$B$10, H98&gt;=DASHBOARD!$B$11), Q98, -1000000000000)</f>
        <v/>
      </c>
    </row>
    <row r="99" ht="12.75" customHeight="1" s="102">
      <c r="A99" s="166" t="n">
        <v>95</v>
      </c>
      <c r="B99" s="167" t="n">
        <v>0.2</v>
      </c>
      <c r="C99" s="167" t="n">
        <v>0.5</v>
      </c>
      <c r="D99" s="110" t="inlineStr">
        <is>
          <t>Yok (%0)</t>
        </is>
      </c>
      <c r="E99" s="110">
        <f>IF((B99+C99)&lt;=1, "Tam Mahsuplaşma (≤%100)", "Kısmi Satış (&gt;%100)")</f>
        <v/>
      </c>
      <c r="F99" s="168">
        <f>((VERI_TABANI!$D$29*B99/VERI_TABANI!$B$29)/VERI_TABANI!$B$3)*VERI_TABANI!$B$5 + ((VERI_TABANI!$D$29*C99/VERI_TABANI!$B$29)/VERI_TABANI!$B$4)*VERI_TABANI!$B$6 + IF(ISNUMBER(SEARCH("Var", D99)), (VERI_TABANI!$F$29/VERI_TABANI!$B$29)*(VERI_TABANI!$B$10+VERI_TABANI!$B$12), 0)</f>
        <v/>
      </c>
      <c r="G99" s="168">
        <f>(((MIN(VERI_TABANI!D23, VERI_TABANI!D23*B99)*VERI_TABANI!$B$7 + MAX(0, VERI_TABANI!D23*B99-VERI_TABANI!D23)*VERI_TABANI!$B$8) + (MIN(MAX(0, VERI_TABANI!D23-VERI_TABANI!D23*B99), VERI_TABANI!D23*C99)*VERI_TABANI!$B$7 + MAX(0, VERI_TABANI!D23*C99-MAX(0, VERI_TABANI!D23-VERI_TABANI!D23*B99))*VERI_TABANI!$B$8) + IF(ABS(IF(ISNUMBER(SEARCH("Var", D99)), 1, IF(ISNUMBER(SEARCH("Gri", D99)), -1, 0)))=1, VERI_TABANI!E23*(1-0.928)*VERI_TABANI!$B$9, 0) + (VERI_TABANI!D23*B99*(VERI_TABANI!$B$13-VERI_TABANI!$B$14)*VERI_TABANI!G23) + (VERI_TABANI!D23*C99*(VERI_TABANI!$B$13-VERI_TABANI!$B$15)*VERI_TABANI!G23) + IF(ABS(IF(ISNUMBER(SEARCH("Var", D99)), 1, IF(ISNUMBER(SEARCH("Gri", D99)), -1, 0)))=1, VERI_TABANI!E23*(1-0.928)*0.00206091519919798*VERI_TABANI!G23, 0)) + ((MIN(VERI_TABANI!D24, VERI_TABANI!D24*B99)*VERI_TABANI!$B$7 + MAX(0, VERI_TABANI!D24*B99-VERI_TABANI!D24)*VERI_TABANI!$B$8) + (MIN(MAX(0, VERI_TABANI!D24-VERI_TABANI!D24*B99), VERI_TABANI!D24*C99)*VERI_TABANI!$B$7 + MAX(0, VERI_TABANI!D24*C99-MAX(0, VERI_TABANI!D24-VERI_TABANI!D24*B99))*VERI_TABANI!$B$8) + IF(ABS(IF(ISNUMBER(SEARCH("Var", D99)), 1, IF(ISNUMBER(SEARCH("Gri", D99)), -1, 0)))=1, VERI_TABANI!E24*(1-0.928)*VERI_TABANI!$B$9, 0) + (VERI_TABANI!D24*B99*(VERI_TABANI!$B$13-VERI_TABANI!$B$14)*VERI_TABANI!G24) + (VERI_TABANI!D24*C99*(VERI_TABANI!$B$13-VERI_TABANI!$B$15)*VERI_TABANI!G24) + IF(ABS(IF(ISNUMBER(SEARCH("Var", D99)), 1, IF(ISNUMBER(SEARCH("Gri", D99)), -1, 0)))=1, VERI_TABANI!E24*(1-0.928)*0.00206091519919798*VERI_TABANI!G24, 0)) + ((MIN(VERI_TABANI!D25, VERI_TABANI!D25*B99)*VERI_TABANI!$B$7 + MAX(0, VERI_TABANI!D25*B99-VERI_TABANI!D25)*VERI_TABANI!$B$8) + (MIN(MAX(0, VERI_TABANI!D25-VERI_TABANI!D25*B99), VERI_TABANI!D25*C99)*VERI_TABANI!$B$7 + MAX(0, VERI_TABANI!D25*C99-MAX(0, VERI_TABANI!D25-VERI_TABANI!D25*B99))*VERI_TABANI!$B$8) + IF(ABS(IF(ISNUMBER(SEARCH("Var", D99)), 1, IF(ISNUMBER(SEARCH("Gri", D99)), -1, 0)))=1, VERI_TABANI!E25*(1-0.928)*VERI_TABANI!$B$9, 0) + (VERI_TABANI!D25*B99*(VERI_TABANI!$B$13-VERI_TABANI!$B$14)*VERI_TABANI!G25) + (VERI_TABANI!D25*C99*(VERI_TABANI!$B$13-VERI_TABANI!$B$15)*VERI_TABANI!G25) + IF(ABS(IF(ISNUMBER(SEARCH("Var", D99)), 1, IF(ISNUMBER(SEARCH("Gri", D99)), -1, 0)))=1, VERI_TABANI!E25*(1-0.928)*0.00206091519919798*VERI_TABANI!G25, 0)) + ((MIN(VERI_TABANI!D26, VERI_TABANI!D26*B99)*VERI_TABANI!$B$7 + MAX(0, VERI_TABANI!D26*B99-VERI_TABANI!D26)*VERI_TABANI!$B$8) + (MIN(MAX(0, VERI_TABANI!D26-VERI_TABANI!D26*B99), VERI_TABANI!D26*C99)*VERI_TABANI!$B$7 + MAX(0, VERI_TABANI!D26*C99-MAX(0, VERI_TABANI!D26-VERI_TABANI!D26*B99))*VERI_TABANI!$B$8) + IF(ABS(IF(ISNUMBER(SEARCH("Var", D99)), 1, IF(ISNUMBER(SEARCH("Gri", D99)), -1, 0)))=1, VERI_TABANI!E26*(1-0.928)*VERI_TABANI!$B$9, 0) + (VERI_TABANI!D26*B99*(VERI_TABANI!$B$13-VERI_TABANI!$B$14)*VERI_TABANI!G26) + (VERI_TABANI!D26*C99*(VERI_TABANI!$B$13-VERI_TABANI!$B$15)*VERI_TABANI!G26) + IF(ABS(IF(ISNUMBER(SEARCH("Var", D99)), 1, IF(ISNUMBER(SEARCH("Gri", D99)), -1, 0)))=1, VERI_TABANI!E26*(1-0.928)*0.00206091519919798*VERI_TABANI!G26, 0)) + ((MIN(VERI_TABANI!D27, VERI_TABANI!D27*B99)*VERI_TABANI!$B$7 + MAX(0, VERI_TABANI!D27*B99-VERI_TABANI!D27)*VERI_TABANI!$B$8) + (MIN(MAX(0, VERI_TABANI!D27-VERI_TABANI!D27*B99), VERI_TABANI!D27*C99)*VERI_TABANI!$B$7 + MAX(0, VERI_TABANI!D27*C99-MAX(0, VERI_TABANI!D27-VERI_TABANI!D27*B99))*VERI_TABANI!$B$8) + IF(ABS(IF(ISNUMBER(SEARCH("Var", D99)), 1, IF(ISNUMBER(SEARCH("Gri", D99)), -1, 0)))=1, VERI_TABANI!E27*(1-0.928)*VERI_TABANI!$B$9, 0) + (VERI_TABANI!D27*B99*(VERI_TABANI!$B$13-VERI_TABANI!$B$14)*VERI_TABANI!G27) + (VERI_TABANI!D27*C99*(VERI_TABANI!$B$13-VERI_TABANI!$B$15)*VERI_TABANI!G27) + IF(ABS(IF(ISNUMBER(SEARCH("Var", D99)), 1, IF(ISNUMBER(SEARCH("Gri", D99)), -1, 0)))=1, VERI_TABANI!E27*(1-0.928)*0.00206091519919798*VERI_TABANI!G27, 0)) + ((MIN(VERI_TABANI!D28, VERI_TABANI!D28*B99)*VERI_TABANI!$B$7 + MAX(0, VERI_TABANI!D28*B99-VERI_TABANI!D28)*VERI_TABANI!$B$8) + (MIN(MAX(0, VERI_TABANI!D28-VERI_TABANI!D28*B99), VERI_TABANI!D28*C99)*VERI_TABANI!$B$7 + MAX(0, VERI_TABANI!D28*C99-MAX(0, VERI_TABANI!D28-VERI_TABANI!D28*B99))*VERI_TABANI!$B$8) + IF(ABS(IF(ISNUMBER(SEARCH("Var", D99)), 1, IF(ISNUMBER(SEARCH("Gri", D99)), -1, 0)))=1, VERI_TABANI!E28*(1-0.928)*VERI_TABANI!$B$9, 0) + (VERI_TABANI!D28*B99*(VERI_TABANI!$B$13-VERI_TABANI!$B$14)*VERI_TABANI!G28) + (VERI_TABANI!D28*C99*(VERI_TABANI!$B$13-VERI_TABANI!$B$15)*VERI_TABANI!G28) + IF(ABS(IF(ISNUMBER(SEARCH("Var", D99)), 1, IF(ISNUMBER(SEARCH("Gri", D99)), -1, 0)))=1, VERI_TABANI!E28*(1-0.928)*0.00206091519919798*VERI_TABANI!G28, 0)))</f>
        <v/>
      </c>
      <c r="H99" s="169">
        <f>(((VERI_TABANI!D23*B99*(VERI_TABANI!$B$13-VERI_TABANI!$B$14)) + (VERI_TABANI!D23*C99*(VERI_TABANI!$B$13-VERI_TABANI!$B$15)) + IF(ISNUMBER(SEARCH("Var", D99)), VERI_TABANI!F23*(0.00202-VERI_TABANI!$B$16), IF(ISNUMBER(SEARCH("Gri", D99)), VERI_TABANI!F23*(0.00202-VERI_TABANI!$B$17), 0))) + ((VERI_TABANI!D24*B99*(VERI_TABANI!$B$13-VERI_TABANI!$B$14)) + (VERI_TABANI!D24*C99*(VERI_TABANI!$B$13-VERI_TABANI!$B$15)) + IF(ISNUMBER(SEARCH("Var", D99)), VERI_TABANI!F24*(0.00202-VERI_TABANI!$B$16), IF(ISNUMBER(SEARCH("Gri", D99)), VERI_TABANI!F24*(0.00202-VERI_TABANI!$B$17), 0))) + ((VERI_TABANI!D25*B99*(VERI_TABANI!$B$13-VERI_TABANI!$B$14)) + (VERI_TABANI!D25*C99*(VERI_TABANI!$B$13-VERI_TABANI!$B$15)) + IF(ISNUMBER(SEARCH("Var", D99)), VERI_TABANI!F25*(0.00202-VERI_TABANI!$B$16), IF(ISNUMBER(SEARCH("Gri", D99)), VERI_TABANI!F25*(0.00202-VERI_TABANI!$B$17), 0))) + ((VERI_TABANI!D26*B99*(VERI_TABANI!$B$13-VERI_TABANI!$B$14)) + (VERI_TABANI!D26*C99*(VERI_TABANI!$B$13-VERI_TABANI!$B$15)) + IF(ISNUMBER(SEARCH("Var", D99)), VERI_TABANI!F26*(0.00202-VERI_TABANI!$B$16), IF(ISNUMBER(SEARCH("Gri", D99)), VERI_TABANI!F26*(0.00202-VERI_TABANI!$B$17), 0))) + ((VERI_TABANI!D27*B99*(VERI_TABANI!$B$13-VERI_TABANI!$B$14)) + (VERI_TABANI!D27*C99*(VERI_TABANI!$B$13-VERI_TABANI!$B$15)) + IF(ISNUMBER(SEARCH("Var", D99)), VERI_TABANI!F27*(0.00202-VERI_TABANI!$B$16), IF(ISNUMBER(SEARCH("Gri", D99)), VERI_TABANI!F27*(0.00202-VERI_TABANI!$B$17), 0))) + ((VERI_TABANI!D28*B99*(VERI_TABANI!$B$13-VERI_TABANI!$B$14)) + (VERI_TABANI!D28*C99*(VERI_TABANI!$B$13-VERI_TABANI!$B$15)) + IF(ISNUMBER(SEARCH("Var", D99)), VERI_TABANI!F28*(0.00202-VERI_TABANI!$B$16), IF(ISNUMBER(SEARCH("Gri", D99)), VERI_TABANI!F28*(0.00202-VERI_TABANI!$B$17), 0))))</f>
        <v/>
      </c>
      <c r="I99" s="170">
        <f>IFERROR(((VERI_TABANI!$D$29*B99*VERI_TABANI!$B$14 + VERI_TABANI!$D$29*C99*VERI_TABANI!$B$15 + IF(ISNUMBER(SEARCH("Var", D99)), VERI_TABANI!$F$29*VERI_TABANI!$B$16, 0))) / (((VERI_TABANI!$D$29*B99 + VERI_TABANI!$D$29*C99)*VERI_TABANI!$B$13 + IF(ISNUMBER(SEARCH("Var", D99)), VERI_TABANI!$E$29*(1-0.928)*VERI_TABANI!$B$18, 0))), 0)</f>
        <v/>
      </c>
      <c r="J99" s="171">
        <f>IFERROR(F99/(G99/29), 0)</f>
        <v/>
      </c>
      <c r="K99" s="172">
        <f>IF(F99&gt;0, H99/F99, 0)</f>
        <v/>
      </c>
      <c r="L99" s="170">
        <f>IF(F99&gt;0, I99, 1000000000)</f>
        <v/>
      </c>
      <c r="M99" s="171">
        <f>ABS((B99+C99)-1)</f>
        <v/>
      </c>
      <c r="N99" s="170">
        <f>IF(F99&gt;0, (G99/29)/F99, 0)</f>
        <v/>
      </c>
      <c r="O99" s="168">
        <f>IF(AND((B99+C99)&gt;=1, ISNUMBER(SEARCH("Var", D99))), F99, 1000000000)</f>
        <v/>
      </c>
      <c r="P99" s="172">
        <f>IF(F99&gt;0, SQRT((F99/MAX(F$5:F$886))^2 + (1 - H99/MAX(H$5:H$886))^2 + (J99/MAX(J$5:J$886))^2), 1000000000)</f>
        <v/>
      </c>
      <c r="Q99" s="166">
        <f>IF(AND(ABS(B99-0.5)&lt;0.01, ABS(C99-0.5)&lt;0.01, ISNUMBER(SEARCH("Var", D99))), 1, 0)</f>
        <v/>
      </c>
      <c r="R99" s="171">
        <f>IF(F99&gt;0, J99, 1000000000)</f>
        <v/>
      </c>
      <c r="S99" s="101">
        <f>IF(AND(F99&lt;=DASHBOARD!$B$11, H99&gt;=DASHBOARD!$B$13), G99, -1000000000000)</f>
        <v/>
      </c>
      <c r="T99" s="101">
        <f>IF(AND(F99&lt;=DASHBOARD!$B$11, H99&gt;=DASHBOARD!$B$13), R99, 1000000000000)</f>
        <v/>
      </c>
      <c r="U99" s="101">
        <f>IF(AND(F99&lt;=DASHBOARD!$B$11, H99&gt;=DASHBOARD!$B$13), N99, -1000000000000)</f>
        <v/>
      </c>
      <c r="V99" s="101">
        <f>IF(AND(F99&lt;=DASHBOARD!$B$11, H99&gt;=DASHBOARD!$B$13), H99, -1000000000000)</f>
        <v/>
      </c>
      <c r="W99" s="101">
        <f>IF(AND(F99&lt;=DASHBOARD!$B$11, H99&gt;=DASHBOARD!$B$13), K99, -1000000000000)</f>
        <v/>
      </c>
      <c r="X99" s="101">
        <f>IF(AND(F99&lt;=DASHBOARD!$B$11, H99&gt;=DASHBOARD!$B$13), M99, 1000000000000)</f>
        <v/>
      </c>
      <c r="Y99" s="101">
        <f>IF(AND(F99&lt;=DASHBOARD!$B$10, H99&gt;=DASHBOARD!$B$11), L99, 1000000000000)</f>
        <v/>
      </c>
      <c r="Z99" s="101">
        <f>IF(AND(F99&lt;=DASHBOARD!$B$10, H99&gt;=DASHBOARD!$B$11), O99, 1000000000000)</f>
        <v/>
      </c>
      <c r="AA99" s="101">
        <f>IF(AND(F99&lt;=DASHBOARD!$B$10, H99&gt;=DASHBOARD!$B$11), P99, 1000000000000)</f>
        <v/>
      </c>
      <c r="AB99" s="101">
        <f>IF(AND(F99&lt;=DASHBOARD!$B$10, H99&gt;=DASHBOARD!$B$11), Q99, -1000000000000)</f>
        <v/>
      </c>
    </row>
    <row r="100" ht="12.75" customHeight="1" s="102">
      <c r="A100" s="166" t="n">
        <v>96</v>
      </c>
      <c r="B100" s="167" t="n">
        <v>0.2</v>
      </c>
      <c r="C100" s="167" t="n">
        <v>0.5</v>
      </c>
      <c r="D100" s="110" t="inlineStr">
        <is>
          <t>Var (%20)</t>
        </is>
      </c>
      <c r="E100" s="110">
        <f>IF((B100+C100)&lt;=1, "Tam Mahsuplaşma (≤%100)", "Kısmi Satış (&gt;%100)")</f>
        <v/>
      </c>
      <c r="F100" s="168">
        <f>((VERI_TABANI!$D$29*B100/VERI_TABANI!$B$29)/VERI_TABANI!$B$3)*VERI_TABANI!$B$5 + ((VERI_TABANI!$D$29*C100/VERI_TABANI!$B$29)/VERI_TABANI!$B$4)*VERI_TABANI!$B$6 + IF(ISNUMBER(SEARCH("Var", D100)), (VERI_TABANI!$F$29/VERI_TABANI!$B$29)*(VERI_TABANI!$B$10+VERI_TABANI!$B$12), 0)</f>
        <v/>
      </c>
      <c r="G100" s="168">
        <f>(((MIN(VERI_TABANI!D23, VERI_TABANI!D23*B100)*VERI_TABANI!$B$7 + MAX(0, VERI_TABANI!D23*B100-VERI_TABANI!D23)*VERI_TABANI!$B$8) + (MIN(MAX(0, VERI_TABANI!D23-VERI_TABANI!D23*B100), VERI_TABANI!D23*C100)*VERI_TABANI!$B$7 + MAX(0, VERI_TABANI!D23*C100-MAX(0, VERI_TABANI!D23-VERI_TABANI!D23*B100))*VERI_TABANI!$B$8) + IF(ABS(IF(ISNUMBER(SEARCH("Var", D100)), 1, IF(ISNUMBER(SEARCH("Gri", D100)), -1, 0)))=1, VERI_TABANI!E23*(1-0.928)*VERI_TABANI!$B$9, 0) + (VERI_TABANI!D23*B100*(VERI_TABANI!$B$13-VERI_TABANI!$B$14)*VERI_TABANI!G23) + (VERI_TABANI!D23*C100*(VERI_TABANI!$B$13-VERI_TABANI!$B$15)*VERI_TABANI!G23) + IF(ABS(IF(ISNUMBER(SEARCH("Var", D100)), 1, IF(ISNUMBER(SEARCH("Gri", D100)), -1, 0)))=1, VERI_TABANI!E23*(1-0.928)*0.00206091519919798*VERI_TABANI!G23, 0)) + ((MIN(VERI_TABANI!D24, VERI_TABANI!D24*B100)*VERI_TABANI!$B$7 + MAX(0, VERI_TABANI!D24*B100-VERI_TABANI!D24)*VERI_TABANI!$B$8) + (MIN(MAX(0, VERI_TABANI!D24-VERI_TABANI!D24*B100), VERI_TABANI!D24*C100)*VERI_TABANI!$B$7 + MAX(0, VERI_TABANI!D24*C100-MAX(0, VERI_TABANI!D24-VERI_TABANI!D24*B100))*VERI_TABANI!$B$8) + IF(ABS(IF(ISNUMBER(SEARCH("Var", D100)), 1, IF(ISNUMBER(SEARCH("Gri", D100)), -1, 0)))=1, VERI_TABANI!E24*(1-0.928)*VERI_TABANI!$B$9, 0) + (VERI_TABANI!D24*B100*(VERI_TABANI!$B$13-VERI_TABANI!$B$14)*VERI_TABANI!G24) + (VERI_TABANI!D24*C100*(VERI_TABANI!$B$13-VERI_TABANI!$B$15)*VERI_TABANI!G24) + IF(ABS(IF(ISNUMBER(SEARCH("Var", D100)), 1, IF(ISNUMBER(SEARCH("Gri", D100)), -1, 0)))=1, VERI_TABANI!E24*(1-0.928)*0.00206091519919798*VERI_TABANI!G24, 0)) + ((MIN(VERI_TABANI!D25, VERI_TABANI!D25*B100)*VERI_TABANI!$B$7 + MAX(0, VERI_TABANI!D25*B100-VERI_TABANI!D25)*VERI_TABANI!$B$8) + (MIN(MAX(0, VERI_TABANI!D25-VERI_TABANI!D25*B100), VERI_TABANI!D25*C100)*VERI_TABANI!$B$7 + MAX(0, VERI_TABANI!D25*C100-MAX(0, VERI_TABANI!D25-VERI_TABANI!D25*B100))*VERI_TABANI!$B$8) + IF(ABS(IF(ISNUMBER(SEARCH("Var", D100)), 1, IF(ISNUMBER(SEARCH("Gri", D100)), -1, 0)))=1, VERI_TABANI!E25*(1-0.928)*VERI_TABANI!$B$9, 0) + (VERI_TABANI!D25*B100*(VERI_TABANI!$B$13-VERI_TABANI!$B$14)*VERI_TABANI!G25) + (VERI_TABANI!D25*C100*(VERI_TABANI!$B$13-VERI_TABANI!$B$15)*VERI_TABANI!G25) + IF(ABS(IF(ISNUMBER(SEARCH("Var", D100)), 1, IF(ISNUMBER(SEARCH("Gri", D100)), -1, 0)))=1, VERI_TABANI!E25*(1-0.928)*0.00206091519919798*VERI_TABANI!G25, 0)) + ((MIN(VERI_TABANI!D26, VERI_TABANI!D26*B100)*VERI_TABANI!$B$7 + MAX(0, VERI_TABANI!D26*B100-VERI_TABANI!D26)*VERI_TABANI!$B$8) + (MIN(MAX(0, VERI_TABANI!D26-VERI_TABANI!D26*B100), VERI_TABANI!D26*C100)*VERI_TABANI!$B$7 + MAX(0, VERI_TABANI!D26*C100-MAX(0, VERI_TABANI!D26-VERI_TABANI!D26*B100))*VERI_TABANI!$B$8) + IF(ABS(IF(ISNUMBER(SEARCH("Var", D100)), 1, IF(ISNUMBER(SEARCH("Gri", D100)), -1, 0)))=1, VERI_TABANI!E26*(1-0.928)*VERI_TABANI!$B$9, 0) + (VERI_TABANI!D26*B100*(VERI_TABANI!$B$13-VERI_TABANI!$B$14)*VERI_TABANI!G26) + (VERI_TABANI!D26*C100*(VERI_TABANI!$B$13-VERI_TABANI!$B$15)*VERI_TABANI!G26) + IF(ABS(IF(ISNUMBER(SEARCH("Var", D100)), 1, IF(ISNUMBER(SEARCH("Gri", D100)), -1, 0)))=1, VERI_TABANI!E26*(1-0.928)*0.00206091519919798*VERI_TABANI!G26, 0)) + ((MIN(VERI_TABANI!D27, VERI_TABANI!D27*B100)*VERI_TABANI!$B$7 + MAX(0, VERI_TABANI!D27*B100-VERI_TABANI!D27)*VERI_TABANI!$B$8) + (MIN(MAX(0, VERI_TABANI!D27-VERI_TABANI!D27*B100), VERI_TABANI!D27*C100)*VERI_TABANI!$B$7 + MAX(0, VERI_TABANI!D27*C100-MAX(0, VERI_TABANI!D27-VERI_TABANI!D27*B100))*VERI_TABANI!$B$8) + IF(ABS(IF(ISNUMBER(SEARCH("Var", D100)), 1, IF(ISNUMBER(SEARCH("Gri", D100)), -1, 0)))=1, VERI_TABANI!E27*(1-0.928)*VERI_TABANI!$B$9, 0) + (VERI_TABANI!D27*B100*(VERI_TABANI!$B$13-VERI_TABANI!$B$14)*VERI_TABANI!G27) + (VERI_TABANI!D27*C100*(VERI_TABANI!$B$13-VERI_TABANI!$B$15)*VERI_TABANI!G27) + IF(ABS(IF(ISNUMBER(SEARCH("Var", D100)), 1, IF(ISNUMBER(SEARCH("Gri", D100)), -1, 0)))=1, VERI_TABANI!E27*(1-0.928)*0.00206091519919798*VERI_TABANI!G27, 0)) + ((MIN(VERI_TABANI!D28, VERI_TABANI!D28*B100)*VERI_TABANI!$B$7 + MAX(0, VERI_TABANI!D28*B100-VERI_TABANI!D28)*VERI_TABANI!$B$8) + (MIN(MAX(0, VERI_TABANI!D28-VERI_TABANI!D28*B100), VERI_TABANI!D28*C100)*VERI_TABANI!$B$7 + MAX(0, VERI_TABANI!D28*C100-MAX(0, VERI_TABANI!D28-VERI_TABANI!D28*B100))*VERI_TABANI!$B$8) + IF(ABS(IF(ISNUMBER(SEARCH("Var", D100)), 1, IF(ISNUMBER(SEARCH("Gri", D100)), -1, 0)))=1, VERI_TABANI!E28*(1-0.928)*VERI_TABANI!$B$9, 0) + (VERI_TABANI!D28*B100*(VERI_TABANI!$B$13-VERI_TABANI!$B$14)*VERI_TABANI!G28) + (VERI_TABANI!D28*C100*(VERI_TABANI!$B$13-VERI_TABANI!$B$15)*VERI_TABANI!G28) + IF(ABS(IF(ISNUMBER(SEARCH("Var", D100)), 1, IF(ISNUMBER(SEARCH("Gri", D100)), -1, 0)))=1, VERI_TABANI!E28*(1-0.928)*0.00206091519919798*VERI_TABANI!G28, 0)))</f>
        <v/>
      </c>
      <c r="H100" s="169">
        <f>(((VERI_TABANI!D23*B100*(VERI_TABANI!$B$13-VERI_TABANI!$B$14)) + (VERI_TABANI!D23*C100*(VERI_TABANI!$B$13-VERI_TABANI!$B$15)) + IF(ISNUMBER(SEARCH("Var", D100)), VERI_TABANI!F23*(0.00202-VERI_TABANI!$B$16), IF(ISNUMBER(SEARCH("Gri", D100)), VERI_TABANI!F23*(0.00202-VERI_TABANI!$B$17), 0))) + ((VERI_TABANI!D24*B100*(VERI_TABANI!$B$13-VERI_TABANI!$B$14)) + (VERI_TABANI!D24*C100*(VERI_TABANI!$B$13-VERI_TABANI!$B$15)) + IF(ISNUMBER(SEARCH("Var", D100)), VERI_TABANI!F24*(0.00202-VERI_TABANI!$B$16), IF(ISNUMBER(SEARCH("Gri", D100)), VERI_TABANI!F24*(0.00202-VERI_TABANI!$B$17), 0))) + ((VERI_TABANI!D25*B100*(VERI_TABANI!$B$13-VERI_TABANI!$B$14)) + (VERI_TABANI!D25*C100*(VERI_TABANI!$B$13-VERI_TABANI!$B$15)) + IF(ISNUMBER(SEARCH("Var", D100)), VERI_TABANI!F25*(0.00202-VERI_TABANI!$B$16), IF(ISNUMBER(SEARCH("Gri", D100)), VERI_TABANI!F25*(0.00202-VERI_TABANI!$B$17), 0))) + ((VERI_TABANI!D26*B100*(VERI_TABANI!$B$13-VERI_TABANI!$B$14)) + (VERI_TABANI!D26*C100*(VERI_TABANI!$B$13-VERI_TABANI!$B$15)) + IF(ISNUMBER(SEARCH("Var", D100)), VERI_TABANI!F26*(0.00202-VERI_TABANI!$B$16), IF(ISNUMBER(SEARCH("Gri", D100)), VERI_TABANI!F26*(0.00202-VERI_TABANI!$B$17), 0))) + ((VERI_TABANI!D27*B100*(VERI_TABANI!$B$13-VERI_TABANI!$B$14)) + (VERI_TABANI!D27*C100*(VERI_TABANI!$B$13-VERI_TABANI!$B$15)) + IF(ISNUMBER(SEARCH("Var", D100)), VERI_TABANI!F27*(0.00202-VERI_TABANI!$B$16), IF(ISNUMBER(SEARCH("Gri", D100)), VERI_TABANI!F27*(0.00202-VERI_TABANI!$B$17), 0))) + ((VERI_TABANI!D28*B100*(VERI_TABANI!$B$13-VERI_TABANI!$B$14)) + (VERI_TABANI!D28*C100*(VERI_TABANI!$B$13-VERI_TABANI!$B$15)) + IF(ISNUMBER(SEARCH("Var", D100)), VERI_TABANI!F28*(0.00202-VERI_TABANI!$B$16), IF(ISNUMBER(SEARCH("Gri", D100)), VERI_TABANI!F28*(0.00202-VERI_TABANI!$B$17), 0))))</f>
        <v/>
      </c>
      <c r="I100" s="170">
        <f>IFERROR(((VERI_TABANI!$D$29*B100*VERI_TABANI!$B$14 + VERI_TABANI!$D$29*C100*VERI_TABANI!$B$15 + IF(ISNUMBER(SEARCH("Var", D100)), VERI_TABANI!$F$29*VERI_TABANI!$B$16, 0))) / (((VERI_TABANI!$D$29*B100 + VERI_TABANI!$D$29*C100)*VERI_TABANI!$B$13 + IF(ISNUMBER(SEARCH("Var", D100)), VERI_TABANI!$E$29*(1-0.928)*VERI_TABANI!$B$18, 0))), 0)</f>
        <v/>
      </c>
      <c r="J100" s="171">
        <f>IFERROR(F100/(G100/29), 0)</f>
        <v/>
      </c>
      <c r="K100" s="172">
        <f>IF(F100&gt;0, H100/F100, 0)</f>
        <v/>
      </c>
      <c r="L100" s="170">
        <f>IF(F100&gt;0, I100, 1000000000)</f>
        <v/>
      </c>
      <c r="M100" s="171">
        <f>ABS((B100+C100)-1)</f>
        <v/>
      </c>
      <c r="N100" s="170">
        <f>IF(F100&gt;0, (G100/29)/F100, 0)</f>
        <v/>
      </c>
      <c r="O100" s="168">
        <f>IF(AND((B100+C100)&gt;=1, ISNUMBER(SEARCH("Var", D100))), F100, 1000000000)</f>
        <v/>
      </c>
      <c r="P100" s="172">
        <f>IF(F100&gt;0, SQRT((F100/MAX(F$5:F$886))^2 + (1 - H100/MAX(H$5:H$886))^2 + (J100/MAX(J$5:J$886))^2), 1000000000)</f>
        <v/>
      </c>
      <c r="Q100" s="166">
        <f>IF(AND(ABS(B100-0.5)&lt;0.01, ABS(C100-0.5)&lt;0.01, ISNUMBER(SEARCH("Var", D100))), 1, 0)</f>
        <v/>
      </c>
      <c r="R100" s="171">
        <f>IF(F100&gt;0, J100, 1000000000)</f>
        <v/>
      </c>
      <c r="S100" s="101">
        <f>IF(AND(F100&lt;=DASHBOARD!$B$11, H100&gt;=DASHBOARD!$B$13), G100, -1000000000000)</f>
        <v/>
      </c>
      <c r="T100" s="101">
        <f>IF(AND(F100&lt;=DASHBOARD!$B$11, H100&gt;=DASHBOARD!$B$13), R100, 1000000000000)</f>
        <v/>
      </c>
      <c r="U100" s="101">
        <f>IF(AND(F100&lt;=DASHBOARD!$B$11, H100&gt;=DASHBOARD!$B$13), N100, -1000000000000)</f>
        <v/>
      </c>
      <c r="V100" s="101">
        <f>IF(AND(F100&lt;=DASHBOARD!$B$11, H100&gt;=DASHBOARD!$B$13), H100, -1000000000000)</f>
        <v/>
      </c>
      <c r="W100" s="101">
        <f>IF(AND(F100&lt;=DASHBOARD!$B$11, H100&gt;=DASHBOARD!$B$13), K100, -1000000000000)</f>
        <v/>
      </c>
      <c r="X100" s="101">
        <f>IF(AND(F100&lt;=DASHBOARD!$B$11, H100&gt;=DASHBOARD!$B$13), M100, 1000000000000)</f>
        <v/>
      </c>
      <c r="Y100" s="101">
        <f>IF(AND(F100&lt;=DASHBOARD!$B$10, H100&gt;=DASHBOARD!$B$11), L100, 1000000000000)</f>
        <v/>
      </c>
      <c r="Z100" s="101">
        <f>IF(AND(F100&lt;=DASHBOARD!$B$10, H100&gt;=DASHBOARD!$B$11), O100, 1000000000000)</f>
        <v/>
      </c>
      <c r="AA100" s="101">
        <f>IF(AND(F100&lt;=DASHBOARD!$B$10, H100&gt;=DASHBOARD!$B$11), P100, 1000000000000)</f>
        <v/>
      </c>
      <c r="AB100" s="101">
        <f>IF(AND(F100&lt;=DASHBOARD!$B$10, H100&gt;=DASHBOARD!$B$11), Q100, -1000000000000)</f>
        <v/>
      </c>
    </row>
    <row r="101" ht="12.75" customHeight="1" s="102">
      <c r="A101" s="166" t="n">
        <v>97</v>
      </c>
      <c r="B101" s="167" t="n">
        <v>0.2</v>
      </c>
      <c r="C101" s="167" t="n">
        <v>0.6</v>
      </c>
      <c r="D101" s="110" t="inlineStr">
        <is>
          <t>Yok (%0)</t>
        </is>
      </c>
      <c r="E101" s="110">
        <f>IF((B101+C101)&lt;=1, "Tam Mahsuplaşma (≤%100)", "Kısmi Satış (&gt;%100)")</f>
        <v/>
      </c>
      <c r="F101" s="168">
        <f>((VERI_TABANI!$D$29*B101/VERI_TABANI!$B$29)/VERI_TABANI!$B$3)*VERI_TABANI!$B$5 + ((VERI_TABANI!$D$29*C101/VERI_TABANI!$B$29)/VERI_TABANI!$B$4)*VERI_TABANI!$B$6 + IF(ISNUMBER(SEARCH("Var", D101)), (VERI_TABANI!$F$29/VERI_TABANI!$B$29)*(VERI_TABANI!$B$10+VERI_TABANI!$B$12), 0)</f>
        <v/>
      </c>
      <c r="G101" s="168">
        <f>(((MIN(VERI_TABANI!D23, VERI_TABANI!D23*B101)*VERI_TABANI!$B$7 + MAX(0, VERI_TABANI!D23*B101-VERI_TABANI!D23)*VERI_TABANI!$B$8) + (MIN(MAX(0, VERI_TABANI!D23-VERI_TABANI!D23*B101), VERI_TABANI!D23*C101)*VERI_TABANI!$B$7 + MAX(0, VERI_TABANI!D23*C101-MAX(0, VERI_TABANI!D23-VERI_TABANI!D23*B101))*VERI_TABANI!$B$8) + IF(ABS(IF(ISNUMBER(SEARCH("Var", D101)), 1, IF(ISNUMBER(SEARCH("Gri", D101)), -1, 0)))=1, VERI_TABANI!E23*(1-0.928)*VERI_TABANI!$B$9, 0) + (VERI_TABANI!D23*B101*(VERI_TABANI!$B$13-VERI_TABANI!$B$14)*VERI_TABANI!G23) + (VERI_TABANI!D23*C101*(VERI_TABANI!$B$13-VERI_TABANI!$B$15)*VERI_TABANI!G23) + IF(ABS(IF(ISNUMBER(SEARCH("Var", D101)), 1, IF(ISNUMBER(SEARCH("Gri", D101)), -1, 0)))=1, VERI_TABANI!E23*(1-0.928)*0.00206091519919798*VERI_TABANI!G23, 0)) + ((MIN(VERI_TABANI!D24, VERI_TABANI!D24*B101)*VERI_TABANI!$B$7 + MAX(0, VERI_TABANI!D24*B101-VERI_TABANI!D24)*VERI_TABANI!$B$8) + (MIN(MAX(0, VERI_TABANI!D24-VERI_TABANI!D24*B101), VERI_TABANI!D24*C101)*VERI_TABANI!$B$7 + MAX(0, VERI_TABANI!D24*C101-MAX(0, VERI_TABANI!D24-VERI_TABANI!D24*B101))*VERI_TABANI!$B$8) + IF(ABS(IF(ISNUMBER(SEARCH("Var", D101)), 1, IF(ISNUMBER(SEARCH("Gri", D101)), -1, 0)))=1, VERI_TABANI!E24*(1-0.928)*VERI_TABANI!$B$9, 0) + (VERI_TABANI!D24*B101*(VERI_TABANI!$B$13-VERI_TABANI!$B$14)*VERI_TABANI!G24) + (VERI_TABANI!D24*C101*(VERI_TABANI!$B$13-VERI_TABANI!$B$15)*VERI_TABANI!G24) + IF(ABS(IF(ISNUMBER(SEARCH("Var", D101)), 1, IF(ISNUMBER(SEARCH("Gri", D101)), -1, 0)))=1, VERI_TABANI!E24*(1-0.928)*0.00206091519919798*VERI_TABANI!G24, 0)) + ((MIN(VERI_TABANI!D25, VERI_TABANI!D25*B101)*VERI_TABANI!$B$7 + MAX(0, VERI_TABANI!D25*B101-VERI_TABANI!D25)*VERI_TABANI!$B$8) + (MIN(MAX(0, VERI_TABANI!D25-VERI_TABANI!D25*B101), VERI_TABANI!D25*C101)*VERI_TABANI!$B$7 + MAX(0, VERI_TABANI!D25*C101-MAX(0, VERI_TABANI!D25-VERI_TABANI!D25*B101))*VERI_TABANI!$B$8) + IF(ABS(IF(ISNUMBER(SEARCH("Var", D101)), 1, IF(ISNUMBER(SEARCH("Gri", D101)), -1, 0)))=1, VERI_TABANI!E25*(1-0.928)*VERI_TABANI!$B$9, 0) + (VERI_TABANI!D25*B101*(VERI_TABANI!$B$13-VERI_TABANI!$B$14)*VERI_TABANI!G25) + (VERI_TABANI!D25*C101*(VERI_TABANI!$B$13-VERI_TABANI!$B$15)*VERI_TABANI!G25) + IF(ABS(IF(ISNUMBER(SEARCH("Var", D101)), 1, IF(ISNUMBER(SEARCH("Gri", D101)), -1, 0)))=1, VERI_TABANI!E25*(1-0.928)*0.00206091519919798*VERI_TABANI!G25, 0)) + ((MIN(VERI_TABANI!D26, VERI_TABANI!D26*B101)*VERI_TABANI!$B$7 + MAX(0, VERI_TABANI!D26*B101-VERI_TABANI!D26)*VERI_TABANI!$B$8) + (MIN(MAX(0, VERI_TABANI!D26-VERI_TABANI!D26*B101), VERI_TABANI!D26*C101)*VERI_TABANI!$B$7 + MAX(0, VERI_TABANI!D26*C101-MAX(0, VERI_TABANI!D26-VERI_TABANI!D26*B101))*VERI_TABANI!$B$8) + IF(ABS(IF(ISNUMBER(SEARCH("Var", D101)), 1, IF(ISNUMBER(SEARCH("Gri", D101)), -1, 0)))=1, VERI_TABANI!E26*(1-0.928)*VERI_TABANI!$B$9, 0) + (VERI_TABANI!D26*B101*(VERI_TABANI!$B$13-VERI_TABANI!$B$14)*VERI_TABANI!G26) + (VERI_TABANI!D26*C101*(VERI_TABANI!$B$13-VERI_TABANI!$B$15)*VERI_TABANI!G26) + IF(ABS(IF(ISNUMBER(SEARCH("Var", D101)), 1, IF(ISNUMBER(SEARCH("Gri", D101)), -1, 0)))=1, VERI_TABANI!E26*(1-0.928)*0.00206091519919798*VERI_TABANI!G26, 0)) + ((MIN(VERI_TABANI!D27, VERI_TABANI!D27*B101)*VERI_TABANI!$B$7 + MAX(0, VERI_TABANI!D27*B101-VERI_TABANI!D27)*VERI_TABANI!$B$8) + (MIN(MAX(0, VERI_TABANI!D27-VERI_TABANI!D27*B101), VERI_TABANI!D27*C101)*VERI_TABANI!$B$7 + MAX(0, VERI_TABANI!D27*C101-MAX(0, VERI_TABANI!D27-VERI_TABANI!D27*B101))*VERI_TABANI!$B$8) + IF(ABS(IF(ISNUMBER(SEARCH("Var", D101)), 1, IF(ISNUMBER(SEARCH("Gri", D101)), -1, 0)))=1, VERI_TABANI!E27*(1-0.928)*VERI_TABANI!$B$9, 0) + (VERI_TABANI!D27*B101*(VERI_TABANI!$B$13-VERI_TABANI!$B$14)*VERI_TABANI!G27) + (VERI_TABANI!D27*C101*(VERI_TABANI!$B$13-VERI_TABANI!$B$15)*VERI_TABANI!G27) + IF(ABS(IF(ISNUMBER(SEARCH("Var", D101)), 1, IF(ISNUMBER(SEARCH("Gri", D101)), -1, 0)))=1, VERI_TABANI!E27*(1-0.928)*0.00206091519919798*VERI_TABANI!G27, 0)) + ((MIN(VERI_TABANI!D28, VERI_TABANI!D28*B101)*VERI_TABANI!$B$7 + MAX(0, VERI_TABANI!D28*B101-VERI_TABANI!D28)*VERI_TABANI!$B$8) + (MIN(MAX(0, VERI_TABANI!D28-VERI_TABANI!D28*B101), VERI_TABANI!D28*C101)*VERI_TABANI!$B$7 + MAX(0, VERI_TABANI!D28*C101-MAX(0, VERI_TABANI!D28-VERI_TABANI!D28*B101))*VERI_TABANI!$B$8) + IF(ABS(IF(ISNUMBER(SEARCH("Var", D101)), 1, IF(ISNUMBER(SEARCH("Gri", D101)), -1, 0)))=1, VERI_TABANI!E28*(1-0.928)*VERI_TABANI!$B$9, 0) + (VERI_TABANI!D28*B101*(VERI_TABANI!$B$13-VERI_TABANI!$B$14)*VERI_TABANI!G28) + (VERI_TABANI!D28*C101*(VERI_TABANI!$B$13-VERI_TABANI!$B$15)*VERI_TABANI!G28) + IF(ABS(IF(ISNUMBER(SEARCH("Var", D101)), 1, IF(ISNUMBER(SEARCH("Gri", D101)), -1, 0)))=1, VERI_TABANI!E28*(1-0.928)*0.00206091519919798*VERI_TABANI!G28, 0)))</f>
        <v/>
      </c>
      <c r="H101" s="169">
        <f>(((VERI_TABANI!D23*B101*(VERI_TABANI!$B$13-VERI_TABANI!$B$14)) + (VERI_TABANI!D23*C101*(VERI_TABANI!$B$13-VERI_TABANI!$B$15)) + IF(ISNUMBER(SEARCH("Var", D101)), VERI_TABANI!F23*(0.00202-VERI_TABANI!$B$16), IF(ISNUMBER(SEARCH("Gri", D101)), VERI_TABANI!F23*(0.00202-VERI_TABANI!$B$17), 0))) + ((VERI_TABANI!D24*B101*(VERI_TABANI!$B$13-VERI_TABANI!$B$14)) + (VERI_TABANI!D24*C101*(VERI_TABANI!$B$13-VERI_TABANI!$B$15)) + IF(ISNUMBER(SEARCH("Var", D101)), VERI_TABANI!F24*(0.00202-VERI_TABANI!$B$16), IF(ISNUMBER(SEARCH("Gri", D101)), VERI_TABANI!F24*(0.00202-VERI_TABANI!$B$17), 0))) + ((VERI_TABANI!D25*B101*(VERI_TABANI!$B$13-VERI_TABANI!$B$14)) + (VERI_TABANI!D25*C101*(VERI_TABANI!$B$13-VERI_TABANI!$B$15)) + IF(ISNUMBER(SEARCH("Var", D101)), VERI_TABANI!F25*(0.00202-VERI_TABANI!$B$16), IF(ISNUMBER(SEARCH("Gri", D101)), VERI_TABANI!F25*(0.00202-VERI_TABANI!$B$17), 0))) + ((VERI_TABANI!D26*B101*(VERI_TABANI!$B$13-VERI_TABANI!$B$14)) + (VERI_TABANI!D26*C101*(VERI_TABANI!$B$13-VERI_TABANI!$B$15)) + IF(ISNUMBER(SEARCH("Var", D101)), VERI_TABANI!F26*(0.00202-VERI_TABANI!$B$16), IF(ISNUMBER(SEARCH("Gri", D101)), VERI_TABANI!F26*(0.00202-VERI_TABANI!$B$17), 0))) + ((VERI_TABANI!D27*B101*(VERI_TABANI!$B$13-VERI_TABANI!$B$14)) + (VERI_TABANI!D27*C101*(VERI_TABANI!$B$13-VERI_TABANI!$B$15)) + IF(ISNUMBER(SEARCH("Var", D101)), VERI_TABANI!F27*(0.00202-VERI_TABANI!$B$16), IF(ISNUMBER(SEARCH("Gri", D101)), VERI_TABANI!F27*(0.00202-VERI_TABANI!$B$17), 0))) + ((VERI_TABANI!D28*B101*(VERI_TABANI!$B$13-VERI_TABANI!$B$14)) + (VERI_TABANI!D28*C101*(VERI_TABANI!$B$13-VERI_TABANI!$B$15)) + IF(ISNUMBER(SEARCH("Var", D101)), VERI_TABANI!F28*(0.00202-VERI_TABANI!$B$16), IF(ISNUMBER(SEARCH("Gri", D101)), VERI_TABANI!F28*(0.00202-VERI_TABANI!$B$17), 0))))</f>
        <v/>
      </c>
      <c r="I101" s="170">
        <f>IFERROR(((VERI_TABANI!$D$29*B101*VERI_TABANI!$B$14 + VERI_TABANI!$D$29*C101*VERI_TABANI!$B$15 + IF(ISNUMBER(SEARCH("Var", D101)), VERI_TABANI!$F$29*VERI_TABANI!$B$16, 0))) / (((VERI_TABANI!$D$29*B101 + VERI_TABANI!$D$29*C101)*VERI_TABANI!$B$13 + IF(ISNUMBER(SEARCH("Var", D101)), VERI_TABANI!$E$29*(1-0.928)*VERI_TABANI!$B$18, 0))), 0)</f>
        <v/>
      </c>
      <c r="J101" s="171">
        <f>IFERROR(F101/(G101/29), 0)</f>
        <v/>
      </c>
      <c r="K101" s="172">
        <f>IF(F101&gt;0, H101/F101, 0)</f>
        <v/>
      </c>
      <c r="L101" s="170">
        <f>IF(F101&gt;0, I101, 1000000000)</f>
        <v/>
      </c>
      <c r="M101" s="171">
        <f>ABS((B101+C101)-1)</f>
        <v/>
      </c>
      <c r="N101" s="170">
        <f>IF(F101&gt;0, (G101/29)/F101, 0)</f>
        <v/>
      </c>
      <c r="O101" s="168">
        <f>IF(AND((B101+C101)&gt;=1, ISNUMBER(SEARCH("Var", D101))), F101, 1000000000)</f>
        <v/>
      </c>
      <c r="P101" s="172">
        <f>IF(F101&gt;0, SQRT((F101/MAX(F$5:F$886))^2 + (1 - H101/MAX(H$5:H$886))^2 + (J101/MAX(J$5:J$886))^2), 1000000000)</f>
        <v/>
      </c>
      <c r="Q101" s="166">
        <f>IF(AND(ABS(B101-0.5)&lt;0.01, ABS(C101-0.5)&lt;0.01, ISNUMBER(SEARCH("Var", D101))), 1, 0)</f>
        <v/>
      </c>
      <c r="R101" s="171">
        <f>IF(F101&gt;0, J101, 1000000000)</f>
        <v/>
      </c>
      <c r="S101" s="101">
        <f>IF(AND(F101&lt;=DASHBOARD!$B$11, H101&gt;=DASHBOARD!$B$13), G101, -1000000000000)</f>
        <v/>
      </c>
      <c r="T101" s="101">
        <f>IF(AND(F101&lt;=DASHBOARD!$B$11, H101&gt;=DASHBOARD!$B$13), R101, 1000000000000)</f>
        <v/>
      </c>
      <c r="U101" s="101">
        <f>IF(AND(F101&lt;=DASHBOARD!$B$11, H101&gt;=DASHBOARD!$B$13), N101, -1000000000000)</f>
        <v/>
      </c>
      <c r="V101" s="101">
        <f>IF(AND(F101&lt;=DASHBOARD!$B$11, H101&gt;=DASHBOARD!$B$13), H101, -1000000000000)</f>
        <v/>
      </c>
      <c r="W101" s="101">
        <f>IF(AND(F101&lt;=DASHBOARD!$B$11, H101&gt;=DASHBOARD!$B$13), K101, -1000000000000)</f>
        <v/>
      </c>
      <c r="X101" s="101">
        <f>IF(AND(F101&lt;=DASHBOARD!$B$11, H101&gt;=DASHBOARD!$B$13), M101, 1000000000000)</f>
        <v/>
      </c>
      <c r="Y101" s="101">
        <f>IF(AND(F101&lt;=DASHBOARD!$B$10, H101&gt;=DASHBOARD!$B$11), L101, 1000000000000)</f>
        <v/>
      </c>
      <c r="Z101" s="101">
        <f>IF(AND(F101&lt;=DASHBOARD!$B$10, H101&gt;=DASHBOARD!$B$11), O101, 1000000000000)</f>
        <v/>
      </c>
      <c r="AA101" s="101">
        <f>IF(AND(F101&lt;=DASHBOARD!$B$10, H101&gt;=DASHBOARD!$B$11), P101, 1000000000000)</f>
        <v/>
      </c>
      <c r="AB101" s="101">
        <f>IF(AND(F101&lt;=DASHBOARD!$B$10, H101&gt;=DASHBOARD!$B$11), Q101, -1000000000000)</f>
        <v/>
      </c>
    </row>
    <row r="102" ht="12.75" customHeight="1" s="102">
      <c r="A102" s="166" t="n">
        <v>98</v>
      </c>
      <c r="B102" s="167" t="n">
        <v>0.2</v>
      </c>
      <c r="C102" s="167" t="n">
        <v>0.6</v>
      </c>
      <c r="D102" s="110" t="inlineStr">
        <is>
          <t>Var (%20)</t>
        </is>
      </c>
      <c r="E102" s="110">
        <f>IF((B102+C102)&lt;=1, "Tam Mahsuplaşma (≤%100)", "Kısmi Satış (&gt;%100)")</f>
        <v/>
      </c>
      <c r="F102" s="168">
        <f>((VERI_TABANI!$D$29*B102/VERI_TABANI!$B$29)/VERI_TABANI!$B$3)*VERI_TABANI!$B$5 + ((VERI_TABANI!$D$29*C102/VERI_TABANI!$B$29)/VERI_TABANI!$B$4)*VERI_TABANI!$B$6 + IF(ISNUMBER(SEARCH("Var", D102)), (VERI_TABANI!$F$29/VERI_TABANI!$B$29)*(VERI_TABANI!$B$10+VERI_TABANI!$B$12), 0)</f>
        <v/>
      </c>
      <c r="G102" s="168">
        <f>(((MIN(VERI_TABANI!D23, VERI_TABANI!D23*B102)*VERI_TABANI!$B$7 + MAX(0, VERI_TABANI!D23*B102-VERI_TABANI!D23)*VERI_TABANI!$B$8) + (MIN(MAX(0, VERI_TABANI!D23-VERI_TABANI!D23*B102), VERI_TABANI!D23*C102)*VERI_TABANI!$B$7 + MAX(0, VERI_TABANI!D23*C102-MAX(0, VERI_TABANI!D23-VERI_TABANI!D23*B102))*VERI_TABANI!$B$8) + IF(ABS(IF(ISNUMBER(SEARCH("Var", D102)), 1, IF(ISNUMBER(SEARCH("Gri", D102)), -1, 0)))=1, VERI_TABANI!E23*(1-0.928)*VERI_TABANI!$B$9, 0) + (VERI_TABANI!D23*B102*(VERI_TABANI!$B$13-VERI_TABANI!$B$14)*VERI_TABANI!G23) + (VERI_TABANI!D23*C102*(VERI_TABANI!$B$13-VERI_TABANI!$B$15)*VERI_TABANI!G23) + IF(ABS(IF(ISNUMBER(SEARCH("Var", D102)), 1, IF(ISNUMBER(SEARCH("Gri", D102)), -1, 0)))=1, VERI_TABANI!E23*(1-0.928)*0.00206091519919798*VERI_TABANI!G23, 0)) + ((MIN(VERI_TABANI!D24, VERI_TABANI!D24*B102)*VERI_TABANI!$B$7 + MAX(0, VERI_TABANI!D24*B102-VERI_TABANI!D24)*VERI_TABANI!$B$8) + (MIN(MAX(0, VERI_TABANI!D24-VERI_TABANI!D24*B102), VERI_TABANI!D24*C102)*VERI_TABANI!$B$7 + MAX(0, VERI_TABANI!D24*C102-MAX(0, VERI_TABANI!D24-VERI_TABANI!D24*B102))*VERI_TABANI!$B$8) + IF(ABS(IF(ISNUMBER(SEARCH("Var", D102)), 1, IF(ISNUMBER(SEARCH("Gri", D102)), -1, 0)))=1, VERI_TABANI!E24*(1-0.928)*VERI_TABANI!$B$9, 0) + (VERI_TABANI!D24*B102*(VERI_TABANI!$B$13-VERI_TABANI!$B$14)*VERI_TABANI!G24) + (VERI_TABANI!D24*C102*(VERI_TABANI!$B$13-VERI_TABANI!$B$15)*VERI_TABANI!G24) + IF(ABS(IF(ISNUMBER(SEARCH("Var", D102)), 1, IF(ISNUMBER(SEARCH("Gri", D102)), -1, 0)))=1, VERI_TABANI!E24*(1-0.928)*0.00206091519919798*VERI_TABANI!G24, 0)) + ((MIN(VERI_TABANI!D25, VERI_TABANI!D25*B102)*VERI_TABANI!$B$7 + MAX(0, VERI_TABANI!D25*B102-VERI_TABANI!D25)*VERI_TABANI!$B$8) + (MIN(MAX(0, VERI_TABANI!D25-VERI_TABANI!D25*B102), VERI_TABANI!D25*C102)*VERI_TABANI!$B$7 + MAX(0, VERI_TABANI!D25*C102-MAX(0, VERI_TABANI!D25-VERI_TABANI!D25*B102))*VERI_TABANI!$B$8) + IF(ABS(IF(ISNUMBER(SEARCH("Var", D102)), 1, IF(ISNUMBER(SEARCH("Gri", D102)), -1, 0)))=1, VERI_TABANI!E25*(1-0.928)*VERI_TABANI!$B$9, 0) + (VERI_TABANI!D25*B102*(VERI_TABANI!$B$13-VERI_TABANI!$B$14)*VERI_TABANI!G25) + (VERI_TABANI!D25*C102*(VERI_TABANI!$B$13-VERI_TABANI!$B$15)*VERI_TABANI!G25) + IF(ABS(IF(ISNUMBER(SEARCH("Var", D102)), 1, IF(ISNUMBER(SEARCH("Gri", D102)), -1, 0)))=1, VERI_TABANI!E25*(1-0.928)*0.00206091519919798*VERI_TABANI!G25, 0)) + ((MIN(VERI_TABANI!D26, VERI_TABANI!D26*B102)*VERI_TABANI!$B$7 + MAX(0, VERI_TABANI!D26*B102-VERI_TABANI!D26)*VERI_TABANI!$B$8) + (MIN(MAX(0, VERI_TABANI!D26-VERI_TABANI!D26*B102), VERI_TABANI!D26*C102)*VERI_TABANI!$B$7 + MAX(0, VERI_TABANI!D26*C102-MAX(0, VERI_TABANI!D26-VERI_TABANI!D26*B102))*VERI_TABANI!$B$8) + IF(ABS(IF(ISNUMBER(SEARCH("Var", D102)), 1, IF(ISNUMBER(SEARCH("Gri", D102)), -1, 0)))=1, VERI_TABANI!E26*(1-0.928)*VERI_TABANI!$B$9, 0) + (VERI_TABANI!D26*B102*(VERI_TABANI!$B$13-VERI_TABANI!$B$14)*VERI_TABANI!G26) + (VERI_TABANI!D26*C102*(VERI_TABANI!$B$13-VERI_TABANI!$B$15)*VERI_TABANI!G26) + IF(ABS(IF(ISNUMBER(SEARCH("Var", D102)), 1, IF(ISNUMBER(SEARCH("Gri", D102)), -1, 0)))=1, VERI_TABANI!E26*(1-0.928)*0.00206091519919798*VERI_TABANI!G26, 0)) + ((MIN(VERI_TABANI!D27, VERI_TABANI!D27*B102)*VERI_TABANI!$B$7 + MAX(0, VERI_TABANI!D27*B102-VERI_TABANI!D27)*VERI_TABANI!$B$8) + (MIN(MAX(0, VERI_TABANI!D27-VERI_TABANI!D27*B102), VERI_TABANI!D27*C102)*VERI_TABANI!$B$7 + MAX(0, VERI_TABANI!D27*C102-MAX(0, VERI_TABANI!D27-VERI_TABANI!D27*B102))*VERI_TABANI!$B$8) + IF(ABS(IF(ISNUMBER(SEARCH("Var", D102)), 1, IF(ISNUMBER(SEARCH("Gri", D102)), -1, 0)))=1, VERI_TABANI!E27*(1-0.928)*VERI_TABANI!$B$9, 0) + (VERI_TABANI!D27*B102*(VERI_TABANI!$B$13-VERI_TABANI!$B$14)*VERI_TABANI!G27) + (VERI_TABANI!D27*C102*(VERI_TABANI!$B$13-VERI_TABANI!$B$15)*VERI_TABANI!G27) + IF(ABS(IF(ISNUMBER(SEARCH("Var", D102)), 1, IF(ISNUMBER(SEARCH("Gri", D102)), -1, 0)))=1, VERI_TABANI!E27*(1-0.928)*0.00206091519919798*VERI_TABANI!G27, 0)) + ((MIN(VERI_TABANI!D28, VERI_TABANI!D28*B102)*VERI_TABANI!$B$7 + MAX(0, VERI_TABANI!D28*B102-VERI_TABANI!D28)*VERI_TABANI!$B$8) + (MIN(MAX(0, VERI_TABANI!D28-VERI_TABANI!D28*B102), VERI_TABANI!D28*C102)*VERI_TABANI!$B$7 + MAX(0, VERI_TABANI!D28*C102-MAX(0, VERI_TABANI!D28-VERI_TABANI!D28*B102))*VERI_TABANI!$B$8) + IF(ABS(IF(ISNUMBER(SEARCH("Var", D102)), 1, IF(ISNUMBER(SEARCH("Gri", D102)), -1, 0)))=1, VERI_TABANI!E28*(1-0.928)*VERI_TABANI!$B$9, 0) + (VERI_TABANI!D28*B102*(VERI_TABANI!$B$13-VERI_TABANI!$B$14)*VERI_TABANI!G28) + (VERI_TABANI!D28*C102*(VERI_TABANI!$B$13-VERI_TABANI!$B$15)*VERI_TABANI!G28) + IF(ABS(IF(ISNUMBER(SEARCH("Var", D102)), 1, IF(ISNUMBER(SEARCH("Gri", D102)), -1, 0)))=1, VERI_TABANI!E28*(1-0.928)*0.00206091519919798*VERI_TABANI!G28, 0)))</f>
        <v/>
      </c>
      <c r="H102" s="169">
        <f>(((VERI_TABANI!D23*B102*(VERI_TABANI!$B$13-VERI_TABANI!$B$14)) + (VERI_TABANI!D23*C102*(VERI_TABANI!$B$13-VERI_TABANI!$B$15)) + IF(ISNUMBER(SEARCH("Var", D102)), VERI_TABANI!F23*(0.00202-VERI_TABANI!$B$16), IF(ISNUMBER(SEARCH("Gri", D102)), VERI_TABANI!F23*(0.00202-VERI_TABANI!$B$17), 0))) + ((VERI_TABANI!D24*B102*(VERI_TABANI!$B$13-VERI_TABANI!$B$14)) + (VERI_TABANI!D24*C102*(VERI_TABANI!$B$13-VERI_TABANI!$B$15)) + IF(ISNUMBER(SEARCH("Var", D102)), VERI_TABANI!F24*(0.00202-VERI_TABANI!$B$16), IF(ISNUMBER(SEARCH("Gri", D102)), VERI_TABANI!F24*(0.00202-VERI_TABANI!$B$17), 0))) + ((VERI_TABANI!D25*B102*(VERI_TABANI!$B$13-VERI_TABANI!$B$14)) + (VERI_TABANI!D25*C102*(VERI_TABANI!$B$13-VERI_TABANI!$B$15)) + IF(ISNUMBER(SEARCH("Var", D102)), VERI_TABANI!F25*(0.00202-VERI_TABANI!$B$16), IF(ISNUMBER(SEARCH("Gri", D102)), VERI_TABANI!F25*(0.00202-VERI_TABANI!$B$17), 0))) + ((VERI_TABANI!D26*B102*(VERI_TABANI!$B$13-VERI_TABANI!$B$14)) + (VERI_TABANI!D26*C102*(VERI_TABANI!$B$13-VERI_TABANI!$B$15)) + IF(ISNUMBER(SEARCH("Var", D102)), VERI_TABANI!F26*(0.00202-VERI_TABANI!$B$16), IF(ISNUMBER(SEARCH("Gri", D102)), VERI_TABANI!F26*(0.00202-VERI_TABANI!$B$17), 0))) + ((VERI_TABANI!D27*B102*(VERI_TABANI!$B$13-VERI_TABANI!$B$14)) + (VERI_TABANI!D27*C102*(VERI_TABANI!$B$13-VERI_TABANI!$B$15)) + IF(ISNUMBER(SEARCH("Var", D102)), VERI_TABANI!F27*(0.00202-VERI_TABANI!$B$16), IF(ISNUMBER(SEARCH("Gri", D102)), VERI_TABANI!F27*(0.00202-VERI_TABANI!$B$17), 0))) + ((VERI_TABANI!D28*B102*(VERI_TABANI!$B$13-VERI_TABANI!$B$14)) + (VERI_TABANI!D28*C102*(VERI_TABANI!$B$13-VERI_TABANI!$B$15)) + IF(ISNUMBER(SEARCH("Var", D102)), VERI_TABANI!F28*(0.00202-VERI_TABANI!$B$16), IF(ISNUMBER(SEARCH("Gri", D102)), VERI_TABANI!F28*(0.00202-VERI_TABANI!$B$17), 0))))</f>
        <v/>
      </c>
      <c r="I102" s="170">
        <f>IFERROR(((VERI_TABANI!$D$29*B102*VERI_TABANI!$B$14 + VERI_TABANI!$D$29*C102*VERI_TABANI!$B$15 + IF(ISNUMBER(SEARCH("Var", D102)), VERI_TABANI!$F$29*VERI_TABANI!$B$16, 0))) / (((VERI_TABANI!$D$29*B102 + VERI_TABANI!$D$29*C102)*VERI_TABANI!$B$13 + IF(ISNUMBER(SEARCH("Var", D102)), VERI_TABANI!$E$29*(1-0.928)*VERI_TABANI!$B$18, 0))), 0)</f>
        <v/>
      </c>
      <c r="J102" s="171">
        <f>IFERROR(F102/(G102/29), 0)</f>
        <v/>
      </c>
      <c r="K102" s="172">
        <f>IF(F102&gt;0, H102/F102, 0)</f>
        <v/>
      </c>
      <c r="L102" s="170">
        <f>IF(F102&gt;0, I102, 1000000000)</f>
        <v/>
      </c>
      <c r="M102" s="171">
        <f>ABS((B102+C102)-1)</f>
        <v/>
      </c>
      <c r="N102" s="170">
        <f>IF(F102&gt;0, (G102/29)/F102, 0)</f>
        <v/>
      </c>
      <c r="O102" s="168">
        <f>IF(AND((B102+C102)&gt;=1, ISNUMBER(SEARCH("Var", D102))), F102, 1000000000)</f>
        <v/>
      </c>
      <c r="P102" s="172">
        <f>IF(F102&gt;0, SQRT((F102/MAX(F$5:F$886))^2 + (1 - H102/MAX(H$5:H$886))^2 + (J102/MAX(J$5:J$886))^2), 1000000000)</f>
        <v/>
      </c>
      <c r="Q102" s="166">
        <f>IF(AND(ABS(B102-0.5)&lt;0.01, ABS(C102-0.5)&lt;0.01, ISNUMBER(SEARCH("Var", D102))), 1, 0)</f>
        <v/>
      </c>
      <c r="R102" s="171">
        <f>IF(F102&gt;0, J102, 1000000000)</f>
        <v/>
      </c>
      <c r="S102" s="101">
        <f>IF(AND(F102&lt;=DASHBOARD!$B$11, H102&gt;=DASHBOARD!$B$13), G102, -1000000000000)</f>
        <v/>
      </c>
      <c r="T102" s="101">
        <f>IF(AND(F102&lt;=DASHBOARD!$B$11, H102&gt;=DASHBOARD!$B$13), R102, 1000000000000)</f>
        <v/>
      </c>
      <c r="U102" s="101">
        <f>IF(AND(F102&lt;=DASHBOARD!$B$11, H102&gt;=DASHBOARD!$B$13), N102, -1000000000000)</f>
        <v/>
      </c>
      <c r="V102" s="101">
        <f>IF(AND(F102&lt;=DASHBOARD!$B$11, H102&gt;=DASHBOARD!$B$13), H102, -1000000000000)</f>
        <v/>
      </c>
      <c r="W102" s="101">
        <f>IF(AND(F102&lt;=DASHBOARD!$B$11, H102&gt;=DASHBOARD!$B$13), K102, -1000000000000)</f>
        <v/>
      </c>
      <c r="X102" s="101">
        <f>IF(AND(F102&lt;=DASHBOARD!$B$11, H102&gt;=DASHBOARD!$B$13), M102, 1000000000000)</f>
        <v/>
      </c>
      <c r="Y102" s="101">
        <f>IF(AND(F102&lt;=DASHBOARD!$B$10, H102&gt;=DASHBOARD!$B$11), L102, 1000000000000)</f>
        <v/>
      </c>
      <c r="Z102" s="101">
        <f>IF(AND(F102&lt;=DASHBOARD!$B$10, H102&gt;=DASHBOARD!$B$11), O102, 1000000000000)</f>
        <v/>
      </c>
      <c r="AA102" s="101">
        <f>IF(AND(F102&lt;=DASHBOARD!$B$10, H102&gt;=DASHBOARD!$B$11), P102, 1000000000000)</f>
        <v/>
      </c>
      <c r="AB102" s="101">
        <f>IF(AND(F102&lt;=DASHBOARD!$B$10, H102&gt;=DASHBOARD!$B$11), Q102, -1000000000000)</f>
        <v/>
      </c>
    </row>
    <row r="103" ht="12.75" customHeight="1" s="102">
      <c r="A103" s="166" t="n">
        <v>99</v>
      </c>
      <c r="B103" s="167" t="n">
        <v>0.2</v>
      </c>
      <c r="C103" s="167" t="n">
        <v>0.7</v>
      </c>
      <c r="D103" s="110" t="inlineStr">
        <is>
          <t>Yok (%0)</t>
        </is>
      </c>
      <c r="E103" s="110">
        <f>IF((B103+C103)&lt;=1, "Tam Mahsuplaşma (≤%100)", "Kısmi Satış (&gt;%100)")</f>
        <v/>
      </c>
      <c r="F103" s="168">
        <f>((VERI_TABANI!$D$29*B103/VERI_TABANI!$B$29)/VERI_TABANI!$B$3)*VERI_TABANI!$B$5 + ((VERI_TABANI!$D$29*C103/VERI_TABANI!$B$29)/VERI_TABANI!$B$4)*VERI_TABANI!$B$6 + IF(ISNUMBER(SEARCH("Var", D103)), (VERI_TABANI!$F$29/VERI_TABANI!$B$29)*(VERI_TABANI!$B$10+VERI_TABANI!$B$12), 0)</f>
        <v/>
      </c>
      <c r="G103" s="168">
        <f>(((MIN(VERI_TABANI!D23, VERI_TABANI!D23*B103)*VERI_TABANI!$B$7 + MAX(0, VERI_TABANI!D23*B103-VERI_TABANI!D23)*VERI_TABANI!$B$8) + (MIN(MAX(0, VERI_TABANI!D23-VERI_TABANI!D23*B103), VERI_TABANI!D23*C103)*VERI_TABANI!$B$7 + MAX(0, VERI_TABANI!D23*C103-MAX(0, VERI_TABANI!D23-VERI_TABANI!D23*B103))*VERI_TABANI!$B$8) + IF(ABS(IF(ISNUMBER(SEARCH("Var", D103)), 1, IF(ISNUMBER(SEARCH("Gri", D103)), -1, 0)))=1, VERI_TABANI!E23*(1-0.928)*VERI_TABANI!$B$9, 0) + (VERI_TABANI!D23*B103*(VERI_TABANI!$B$13-VERI_TABANI!$B$14)*VERI_TABANI!G23) + (VERI_TABANI!D23*C103*(VERI_TABANI!$B$13-VERI_TABANI!$B$15)*VERI_TABANI!G23) + IF(ABS(IF(ISNUMBER(SEARCH("Var", D103)), 1, IF(ISNUMBER(SEARCH("Gri", D103)), -1, 0)))=1, VERI_TABANI!E23*(1-0.928)*0.00206091519919798*VERI_TABANI!G23, 0)) + ((MIN(VERI_TABANI!D24, VERI_TABANI!D24*B103)*VERI_TABANI!$B$7 + MAX(0, VERI_TABANI!D24*B103-VERI_TABANI!D24)*VERI_TABANI!$B$8) + (MIN(MAX(0, VERI_TABANI!D24-VERI_TABANI!D24*B103), VERI_TABANI!D24*C103)*VERI_TABANI!$B$7 + MAX(0, VERI_TABANI!D24*C103-MAX(0, VERI_TABANI!D24-VERI_TABANI!D24*B103))*VERI_TABANI!$B$8) + IF(ABS(IF(ISNUMBER(SEARCH("Var", D103)), 1, IF(ISNUMBER(SEARCH("Gri", D103)), -1, 0)))=1, VERI_TABANI!E24*(1-0.928)*VERI_TABANI!$B$9, 0) + (VERI_TABANI!D24*B103*(VERI_TABANI!$B$13-VERI_TABANI!$B$14)*VERI_TABANI!G24) + (VERI_TABANI!D24*C103*(VERI_TABANI!$B$13-VERI_TABANI!$B$15)*VERI_TABANI!G24) + IF(ABS(IF(ISNUMBER(SEARCH("Var", D103)), 1, IF(ISNUMBER(SEARCH("Gri", D103)), -1, 0)))=1, VERI_TABANI!E24*(1-0.928)*0.00206091519919798*VERI_TABANI!G24, 0)) + ((MIN(VERI_TABANI!D25, VERI_TABANI!D25*B103)*VERI_TABANI!$B$7 + MAX(0, VERI_TABANI!D25*B103-VERI_TABANI!D25)*VERI_TABANI!$B$8) + (MIN(MAX(0, VERI_TABANI!D25-VERI_TABANI!D25*B103), VERI_TABANI!D25*C103)*VERI_TABANI!$B$7 + MAX(0, VERI_TABANI!D25*C103-MAX(0, VERI_TABANI!D25-VERI_TABANI!D25*B103))*VERI_TABANI!$B$8) + IF(ABS(IF(ISNUMBER(SEARCH("Var", D103)), 1, IF(ISNUMBER(SEARCH("Gri", D103)), -1, 0)))=1, VERI_TABANI!E25*(1-0.928)*VERI_TABANI!$B$9, 0) + (VERI_TABANI!D25*B103*(VERI_TABANI!$B$13-VERI_TABANI!$B$14)*VERI_TABANI!G25) + (VERI_TABANI!D25*C103*(VERI_TABANI!$B$13-VERI_TABANI!$B$15)*VERI_TABANI!G25) + IF(ABS(IF(ISNUMBER(SEARCH("Var", D103)), 1, IF(ISNUMBER(SEARCH("Gri", D103)), -1, 0)))=1, VERI_TABANI!E25*(1-0.928)*0.00206091519919798*VERI_TABANI!G25, 0)) + ((MIN(VERI_TABANI!D26, VERI_TABANI!D26*B103)*VERI_TABANI!$B$7 + MAX(0, VERI_TABANI!D26*B103-VERI_TABANI!D26)*VERI_TABANI!$B$8) + (MIN(MAX(0, VERI_TABANI!D26-VERI_TABANI!D26*B103), VERI_TABANI!D26*C103)*VERI_TABANI!$B$7 + MAX(0, VERI_TABANI!D26*C103-MAX(0, VERI_TABANI!D26-VERI_TABANI!D26*B103))*VERI_TABANI!$B$8) + IF(ABS(IF(ISNUMBER(SEARCH("Var", D103)), 1, IF(ISNUMBER(SEARCH("Gri", D103)), -1, 0)))=1, VERI_TABANI!E26*(1-0.928)*VERI_TABANI!$B$9, 0) + (VERI_TABANI!D26*B103*(VERI_TABANI!$B$13-VERI_TABANI!$B$14)*VERI_TABANI!G26) + (VERI_TABANI!D26*C103*(VERI_TABANI!$B$13-VERI_TABANI!$B$15)*VERI_TABANI!G26) + IF(ABS(IF(ISNUMBER(SEARCH("Var", D103)), 1, IF(ISNUMBER(SEARCH("Gri", D103)), -1, 0)))=1, VERI_TABANI!E26*(1-0.928)*0.00206091519919798*VERI_TABANI!G26, 0)) + ((MIN(VERI_TABANI!D27, VERI_TABANI!D27*B103)*VERI_TABANI!$B$7 + MAX(0, VERI_TABANI!D27*B103-VERI_TABANI!D27)*VERI_TABANI!$B$8) + (MIN(MAX(0, VERI_TABANI!D27-VERI_TABANI!D27*B103), VERI_TABANI!D27*C103)*VERI_TABANI!$B$7 + MAX(0, VERI_TABANI!D27*C103-MAX(0, VERI_TABANI!D27-VERI_TABANI!D27*B103))*VERI_TABANI!$B$8) + IF(ABS(IF(ISNUMBER(SEARCH("Var", D103)), 1, IF(ISNUMBER(SEARCH("Gri", D103)), -1, 0)))=1, VERI_TABANI!E27*(1-0.928)*VERI_TABANI!$B$9, 0) + (VERI_TABANI!D27*B103*(VERI_TABANI!$B$13-VERI_TABANI!$B$14)*VERI_TABANI!G27) + (VERI_TABANI!D27*C103*(VERI_TABANI!$B$13-VERI_TABANI!$B$15)*VERI_TABANI!G27) + IF(ABS(IF(ISNUMBER(SEARCH("Var", D103)), 1, IF(ISNUMBER(SEARCH("Gri", D103)), -1, 0)))=1, VERI_TABANI!E27*(1-0.928)*0.00206091519919798*VERI_TABANI!G27, 0)) + ((MIN(VERI_TABANI!D28, VERI_TABANI!D28*B103)*VERI_TABANI!$B$7 + MAX(0, VERI_TABANI!D28*B103-VERI_TABANI!D28)*VERI_TABANI!$B$8) + (MIN(MAX(0, VERI_TABANI!D28-VERI_TABANI!D28*B103), VERI_TABANI!D28*C103)*VERI_TABANI!$B$7 + MAX(0, VERI_TABANI!D28*C103-MAX(0, VERI_TABANI!D28-VERI_TABANI!D28*B103))*VERI_TABANI!$B$8) + IF(ABS(IF(ISNUMBER(SEARCH("Var", D103)), 1, IF(ISNUMBER(SEARCH("Gri", D103)), -1, 0)))=1, VERI_TABANI!E28*(1-0.928)*VERI_TABANI!$B$9, 0) + (VERI_TABANI!D28*B103*(VERI_TABANI!$B$13-VERI_TABANI!$B$14)*VERI_TABANI!G28) + (VERI_TABANI!D28*C103*(VERI_TABANI!$B$13-VERI_TABANI!$B$15)*VERI_TABANI!G28) + IF(ABS(IF(ISNUMBER(SEARCH("Var", D103)), 1, IF(ISNUMBER(SEARCH("Gri", D103)), -1, 0)))=1, VERI_TABANI!E28*(1-0.928)*0.00206091519919798*VERI_TABANI!G28, 0)))</f>
        <v/>
      </c>
      <c r="H103" s="169">
        <f>(((VERI_TABANI!D23*B103*(VERI_TABANI!$B$13-VERI_TABANI!$B$14)) + (VERI_TABANI!D23*C103*(VERI_TABANI!$B$13-VERI_TABANI!$B$15)) + IF(ISNUMBER(SEARCH("Var", D103)), VERI_TABANI!F23*(0.00202-VERI_TABANI!$B$16), IF(ISNUMBER(SEARCH("Gri", D103)), VERI_TABANI!F23*(0.00202-VERI_TABANI!$B$17), 0))) + ((VERI_TABANI!D24*B103*(VERI_TABANI!$B$13-VERI_TABANI!$B$14)) + (VERI_TABANI!D24*C103*(VERI_TABANI!$B$13-VERI_TABANI!$B$15)) + IF(ISNUMBER(SEARCH("Var", D103)), VERI_TABANI!F24*(0.00202-VERI_TABANI!$B$16), IF(ISNUMBER(SEARCH("Gri", D103)), VERI_TABANI!F24*(0.00202-VERI_TABANI!$B$17), 0))) + ((VERI_TABANI!D25*B103*(VERI_TABANI!$B$13-VERI_TABANI!$B$14)) + (VERI_TABANI!D25*C103*(VERI_TABANI!$B$13-VERI_TABANI!$B$15)) + IF(ISNUMBER(SEARCH("Var", D103)), VERI_TABANI!F25*(0.00202-VERI_TABANI!$B$16), IF(ISNUMBER(SEARCH("Gri", D103)), VERI_TABANI!F25*(0.00202-VERI_TABANI!$B$17), 0))) + ((VERI_TABANI!D26*B103*(VERI_TABANI!$B$13-VERI_TABANI!$B$14)) + (VERI_TABANI!D26*C103*(VERI_TABANI!$B$13-VERI_TABANI!$B$15)) + IF(ISNUMBER(SEARCH("Var", D103)), VERI_TABANI!F26*(0.00202-VERI_TABANI!$B$16), IF(ISNUMBER(SEARCH("Gri", D103)), VERI_TABANI!F26*(0.00202-VERI_TABANI!$B$17), 0))) + ((VERI_TABANI!D27*B103*(VERI_TABANI!$B$13-VERI_TABANI!$B$14)) + (VERI_TABANI!D27*C103*(VERI_TABANI!$B$13-VERI_TABANI!$B$15)) + IF(ISNUMBER(SEARCH("Var", D103)), VERI_TABANI!F27*(0.00202-VERI_TABANI!$B$16), IF(ISNUMBER(SEARCH("Gri", D103)), VERI_TABANI!F27*(0.00202-VERI_TABANI!$B$17), 0))) + ((VERI_TABANI!D28*B103*(VERI_TABANI!$B$13-VERI_TABANI!$B$14)) + (VERI_TABANI!D28*C103*(VERI_TABANI!$B$13-VERI_TABANI!$B$15)) + IF(ISNUMBER(SEARCH("Var", D103)), VERI_TABANI!F28*(0.00202-VERI_TABANI!$B$16), IF(ISNUMBER(SEARCH("Gri", D103)), VERI_TABANI!F28*(0.00202-VERI_TABANI!$B$17), 0))))</f>
        <v/>
      </c>
      <c r="I103" s="170">
        <f>IFERROR(((VERI_TABANI!$D$29*B103*VERI_TABANI!$B$14 + VERI_TABANI!$D$29*C103*VERI_TABANI!$B$15 + IF(ISNUMBER(SEARCH("Var", D103)), VERI_TABANI!$F$29*VERI_TABANI!$B$16, 0))) / (((VERI_TABANI!$D$29*B103 + VERI_TABANI!$D$29*C103)*VERI_TABANI!$B$13 + IF(ISNUMBER(SEARCH("Var", D103)), VERI_TABANI!$E$29*(1-0.928)*VERI_TABANI!$B$18, 0))), 0)</f>
        <v/>
      </c>
      <c r="J103" s="171">
        <f>IFERROR(F103/(G103/29), 0)</f>
        <v/>
      </c>
      <c r="K103" s="172">
        <f>IF(F103&gt;0, H103/F103, 0)</f>
        <v/>
      </c>
      <c r="L103" s="170">
        <f>IF(F103&gt;0, I103, 1000000000)</f>
        <v/>
      </c>
      <c r="M103" s="171">
        <f>ABS((B103+C103)-1)</f>
        <v/>
      </c>
      <c r="N103" s="170">
        <f>IF(F103&gt;0, (G103/29)/F103, 0)</f>
        <v/>
      </c>
      <c r="O103" s="168">
        <f>IF(AND((B103+C103)&gt;=1, ISNUMBER(SEARCH("Var", D103))), F103, 1000000000)</f>
        <v/>
      </c>
      <c r="P103" s="172">
        <f>IF(F103&gt;0, SQRT((F103/MAX(F$5:F$886))^2 + (1 - H103/MAX(H$5:H$886))^2 + (J103/MAX(J$5:J$886))^2), 1000000000)</f>
        <v/>
      </c>
      <c r="Q103" s="166">
        <f>IF(AND(ABS(B103-0.5)&lt;0.01, ABS(C103-0.5)&lt;0.01, ISNUMBER(SEARCH("Var", D103))), 1, 0)</f>
        <v/>
      </c>
      <c r="R103" s="171">
        <f>IF(F103&gt;0, J103, 1000000000)</f>
        <v/>
      </c>
      <c r="S103" s="101">
        <f>IF(AND(F103&lt;=DASHBOARD!$B$11, H103&gt;=DASHBOARD!$B$13), G103, -1000000000000)</f>
        <v/>
      </c>
      <c r="T103" s="101">
        <f>IF(AND(F103&lt;=DASHBOARD!$B$11, H103&gt;=DASHBOARD!$B$13), R103, 1000000000000)</f>
        <v/>
      </c>
      <c r="U103" s="101">
        <f>IF(AND(F103&lt;=DASHBOARD!$B$11, H103&gt;=DASHBOARD!$B$13), N103, -1000000000000)</f>
        <v/>
      </c>
      <c r="V103" s="101">
        <f>IF(AND(F103&lt;=DASHBOARD!$B$11, H103&gt;=DASHBOARD!$B$13), H103, -1000000000000)</f>
        <v/>
      </c>
      <c r="W103" s="101">
        <f>IF(AND(F103&lt;=DASHBOARD!$B$11, H103&gt;=DASHBOARD!$B$13), K103, -1000000000000)</f>
        <v/>
      </c>
      <c r="X103" s="101">
        <f>IF(AND(F103&lt;=DASHBOARD!$B$11, H103&gt;=DASHBOARD!$B$13), M103, 1000000000000)</f>
        <v/>
      </c>
      <c r="Y103" s="101">
        <f>IF(AND(F103&lt;=DASHBOARD!$B$10, H103&gt;=DASHBOARD!$B$11), L103, 1000000000000)</f>
        <v/>
      </c>
      <c r="Z103" s="101">
        <f>IF(AND(F103&lt;=DASHBOARD!$B$10, H103&gt;=DASHBOARD!$B$11), O103, 1000000000000)</f>
        <v/>
      </c>
      <c r="AA103" s="101">
        <f>IF(AND(F103&lt;=DASHBOARD!$B$10, H103&gt;=DASHBOARD!$B$11), P103, 1000000000000)</f>
        <v/>
      </c>
      <c r="AB103" s="101">
        <f>IF(AND(F103&lt;=DASHBOARD!$B$10, H103&gt;=DASHBOARD!$B$11), Q103, -1000000000000)</f>
        <v/>
      </c>
    </row>
    <row r="104" ht="12.75" customHeight="1" s="102">
      <c r="A104" s="166" t="n">
        <v>100</v>
      </c>
      <c r="B104" s="167" t="n">
        <v>0.2</v>
      </c>
      <c r="C104" s="167" t="n">
        <v>0.7</v>
      </c>
      <c r="D104" s="110" t="inlineStr">
        <is>
          <t>Var (%20)</t>
        </is>
      </c>
      <c r="E104" s="110">
        <f>IF((B104+C104)&lt;=1, "Tam Mahsuplaşma (≤%100)", "Kısmi Satış (&gt;%100)")</f>
        <v/>
      </c>
      <c r="F104" s="168">
        <f>((VERI_TABANI!$D$29*B104/VERI_TABANI!$B$29)/VERI_TABANI!$B$3)*VERI_TABANI!$B$5 + ((VERI_TABANI!$D$29*C104/VERI_TABANI!$B$29)/VERI_TABANI!$B$4)*VERI_TABANI!$B$6 + IF(ISNUMBER(SEARCH("Var", D104)), (VERI_TABANI!$F$29/VERI_TABANI!$B$29)*(VERI_TABANI!$B$10+VERI_TABANI!$B$12), 0)</f>
        <v/>
      </c>
      <c r="G104" s="168">
        <f>(((MIN(VERI_TABANI!D23, VERI_TABANI!D23*B104)*VERI_TABANI!$B$7 + MAX(0, VERI_TABANI!D23*B104-VERI_TABANI!D23)*VERI_TABANI!$B$8) + (MIN(MAX(0, VERI_TABANI!D23-VERI_TABANI!D23*B104), VERI_TABANI!D23*C104)*VERI_TABANI!$B$7 + MAX(0, VERI_TABANI!D23*C104-MAX(0, VERI_TABANI!D23-VERI_TABANI!D23*B104))*VERI_TABANI!$B$8) + IF(ABS(IF(ISNUMBER(SEARCH("Var", D104)), 1, IF(ISNUMBER(SEARCH("Gri", D104)), -1, 0)))=1, VERI_TABANI!E23*(1-0.928)*VERI_TABANI!$B$9, 0) + (VERI_TABANI!D23*B104*(VERI_TABANI!$B$13-VERI_TABANI!$B$14)*VERI_TABANI!G23) + (VERI_TABANI!D23*C104*(VERI_TABANI!$B$13-VERI_TABANI!$B$15)*VERI_TABANI!G23) + IF(ABS(IF(ISNUMBER(SEARCH("Var", D104)), 1, IF(ISNUMBER(SEARCH("Gri", D104)), -1, 0)))=1, VERI_TABANI!E23*(1-0.928)*0.00206091519919798*VERI_TABANI!G23, 0)) + ((MIN(VERI_TABANI!D24, VERI_TABANI!D24*B104)*VERI_TABANI!$B$7 + MAX(0, VERI_TABANI!D24*B104-VERI_TABANI!D24)*VERI_TABANI!$B$8) + (MIN(MAX(0, VERI_TABANI!D24-VERI_TABANI!D24*B104), VERI_TABANI!D24*C104)*VERI_TABANI!$B$7 + MAX(0, VERI_TABANI!D24*C104-MAX(0, VERI_TABANI!D24-VERI_TABANI!D24*B104))*VERI_TABANI!$B$8) + IF(ABS(IF(ISNUMBER(SEARCH("Var", D104)), 1, IF(ISNUMBER(SEARCH("Gri", D104)), -1, 0)))=1, VERI_TABANI!E24*(1-0.928)*VERI_TABANI!$B$9, 0) + (VERI_TABANI!D24*B104*(VERI_TABANI!$B$13-VERI_TABANI!$B$14)*VERI_TABANI!G24) + (VERI_TABANI!D24*C104*(VERI_TABANI!$B$13-VERI_TABANI!$B$15)*VERI_TABANI!G24) + IF(ABS(IF(ISNUMBER(SEARCH("Var", D104)), 1, IF(ISNUMBER(SEARCH("Gri", D104)), -1, 0)))=1, VERI_TABANI!E24*(1-0.928)*0.00206091519919798*VERI_TABANI!G24, 0)) + ((MIN(VERI_TABANI!D25, VERI_TABANI!D25*B104)*VERI_TABANI!$B$7 + MAX(0, VERI_TABANI!D25*B104-VERI_TABANI!D25)*VERI_TABANI!$B$8) + (MIN(MAX(0, VERI_TABANI!D25-VERI_TABANI!D25*B104), VERI_TABANI!D25*C104)*VERI_TABANI!$B$7 + MAX(0, VERI_TABANI!D25*C104-MAX(0, VERI_TABANI!D25-VERI_TABANI!D25*B104))*VERI_TABANI!$B$8) + IF(ABS(IF(ISNUMBER(SEARCH("Var", D104)), 1, IF(ISNUMBER(SEARCH("Gri", D104)), -1, 0)))=1, VERI_TABANI!E25*(1-0.928)*VERI_TABANI!$B$9, 0) + (VERI_TABANI!D25*B104*(VERI_TABANI!$B$13-VERI_TABANI!$B$14)*VERI_TABANI!G25) + (VERI_TABANI!D25*C104*(VERI_TABANI!$B$13-VERI_TABANI!$B$15)*VERI_TABANI!G25) + IF(ABS(IF(ISNUMBER(SEARCH("Var", D104)), 1, IF(ISNUMBER(SEARCH("Gri", D104)), -1, 0)))=1, VERI_TABANI!E25*(1-0.928)*0.00206091519919798*VERI_TABANI!G25, 0)) + ((MIN(VERI_TABANI!D26, VERI_TABANI!D26*B104)*VERI_TABANI!$B$7 + MAX(0, VERI_TABANI!D26*B104-VERI_TABANI!D26)*VERI_TABANI!$B$8) + (MIN(MAX(0, VERI_TABANI!D26-VERI_TABANI!D26*B104), VERI_TABANI!D26*C104)*VERI_TABANI!$B$7 + MAX(0, VERI_TABANI!D26*C104-MAX(0, VERI_TABANI!D26-VERI_TABANI!D26*B104))*VERI_TABANI!$B$8) + IF(ABS(IF(ISNUMBER(SEARCH("Var", D104)), 1, IF(ISNUMBER(SEARCH("Gri", D104)), -1, 0)))=1, VERI_TABANI!E26*(1-0.928)*VERI_TABANI!$B$9, 0) + (VERI_TABANI!D26*B104*(VERI_TABANI!$B$13-VERI_TABANI!$B$14)*VERI_TABANI!G26) + (VERI_TABANI!D26*C104*(VERI_TABANI!$B$13-VERI_TABANI!$B$15)*VERI_TABANI!G26) + IF(ABS(IF(ISNUMBER(SEARCH("Var", D104)), 1, IF(ISNUMBER(SEARCH("Gri", D104)), -1, 0)))=1, VERI_TABANI!E26*(1-0.928)*0.00206091519919798*VERI_TABANI!G26, 0)) + ((MIN(VERI_TABANI!D27, VERI_TABANI!D27*B104)*VERI_TABANI!$B$7 + MAX(0, VERI_TABANI!D27*B104-VERI_TABANI!D27)*VERI_TABANI!$B$8) + (MIN(MAX(0, VERI_TABANI!D27-VERI_TABANI!D27*B104), VERI_TABANI!D27*C104)*VERI_TABANI!$B$7 + MAX(0, VERI_TABANI!D27*C104-MAX(0, VERI_TABANI!D27-VERI_TABANI!D27*B104))*VERI_TABANI!$B$8) + IF(ABS(IF(ISNUMBER(SEARCH("Var", D104)), 1, IF(ISNUMBER(SEARCH("Gri", D104)), -1, 0)))=1, VERI_TABANI!E27*(1-0.928)*VERI_TABANI!$B$9, 0) + (VERI_TABANI!D27*B104*(VERI_TABANI!$B$13-VERI_TABANI!$B$14)*VERI_TABANI!G27) + (VERI_TABANI!D27*C104*(VERI_TABANI!$B$13-VERI_TABANI!$B$15)*VERI_TABANI!G27) + IF(ABS(IF(ISNUMBER(SEARCH("Var", D104)), 1, IF(ISNUMBER(SEARCH("Gri", D104)), -1, 0)))=1, VERI_TABANI!E27*(1-0.928)*0.00206091519919798*VERI_TABANI!G27, 0)) + ((MIN(VERI_TABANI!D28, VERI_TABANI!D28*B104)*VERI_TABANI!$B$7 + MAX(0, VERI_TABANI!D28*B104-VERI_TABANI!D28)*VERI_TABANI!$B$8) + (MIN(MAX(0, VERI_TABANI!D28-VERI_TABANI!D28*B104), VERI_TABANI!D28*C104)*VERI_TABANI!$B$7 + MAX(0, VERI_TABANI!D28*C104-MAX(0, VERI_TABANI!D28-VERI_TABANI!D28*B104))*VERI_TABANI!$B$8) + IF(ABS(IF(ISNUMBER(SEARCH("Var", D104)), 1, IF(ISNUMBER(SEARCH("Gri", D104)), -1, 0)))=1, VERI_TABANI!E28*(1-0.928)*VERI_TABANI!$B$9, 0) + (VERI_TABANI!D28*B104*(VERI_TABANI!$B$13-VERI_TABANI!$B$14)*VERI_TABANI!G28) + (VERI_TABANI!D28*C104*(VERI_TABANI!$B$13-VERI_TABANI!$B$15)*VERI_TABANI!G28) + IF(ABS(IF(ISNUMBER(SEARCH("Var", D104)), 1, IF(ISNUMBER(SEARCH("Gri", D104)), -1, 0)))=1, VERI_TABANI!E28*(1-0.928)*0.00206091519919798*VERI_TABANI!G28, 0)))</f>
        <v/>
      </c>
      <c r="H104" s="169">
        <f>(((VERI_TABANI!D23*B104*(VERI_TABANI!$B$13-VERI_TABANI!$B$14)) + (VERI_TABANI!D23*C104*(VERI_TABANI!$B$13-VERI_TABANI!$B$15)) + IF(ISNUMBER(SEARCH("Var", D104)), VERI_TABANI!F23*(0.00202-VERI_TABANI!$B$16), IF(ISNUMBER(SEARCH("Gri", D104)), VERI_TABANI!F23*(0.00202-VERI_TABANI!$B$17), 0))) + ((VERI_TABANI!D24*B104*(VERI_TABANI!$B$13-VERI_TABANI!$B$14)) + (VERI_TABANI!D24*C104*(VERI_TABANI!$B$13-VERI_TABANI!$B$15)) + IF(ISNUMBER(SEARCH("Var", D104)), VERI_TABANI!F24*(0.00202-VERI_TABANI!$B$16), IF(ISNUMBER(SEARCH("Gri", D104)), VERI_TABANI!F24*(0.00202-VERI_TABANI!$B$17), 0))) + ((VERI_TABANI!D25*B104*(VERI_TABANI!$B$13-VERI_TABANI!$B$14)) + (VERI_TABANI!D25*C104*(VERI_TABANI!$B$13-VERI_TABANI!$B$15)) + IF(ISNUMBER(SEARCH("Var", D104)), VERI_TABANI!F25*(0.00202-VERI_TABANI!$B$16), IF(ISNUMBER(SEARCH("Gri", D104)), VERI_TABANI!F25*(0.00202-VERI_TABANI!$B$17), 0))) + ((VERI_TABANI!D26*B104*(VERI_TABANI!$B$13-VERI_TABANI!$B$14)) + (VERI_TABANI!D26*C104*(VERI_TABANI!$B$13-VERI_TABANI!$B$15)) + IF(ISNUMBER(SEARCH("Var", D104)), VERI_TABANI!F26*(0.00202-VERI_TABANI!$B$16), IF(ISNUMBER(SEARCH("Gri", D104)), VERI_TABANI!F26*(0.00202-VERI_TABANI!$B$17), 0))) + ((VERI_TABANI!D27*B104*(VERI_TABANI!$B$13-VERI_TABANI!$B$14)) + (VERI_TABANI!D27*C104*(VERI_TABANI!$B$13-VERI_TABANI!$B$15)) + IF(ISNUMBER(SEARCH("Var", D104)), VERI_TABANI!F27*(0.00202-VERI_TABANI!$B$16), IF(ISNUMBER(SEARCH("Gri", D104)), VERI_TABANI!F27*(0.00202-VERI_TABANI!$B$17), 0))) + ((VERI_TABANI!D28*B104*(VERI_TABANI!$B$13-VERI_TABANI!$B$14)) + (VERI_TABANI!D28*C104*(VERI_TABANI!$B$13-VERI_TABANI!$B$15)) + IF(ISNUMBER(SEARCH("Var", D104)), VERI_TABANI!F28*(0.00202-VERI_TABANI!$B$16), IF(ISNUMBER(SEARCH("Gri", D104)), VERI_TABANI!F28*(0.00202-VERI_TABANI!$B$17), 0))))</f>
        <v/>
      </c>
      <c r="I104" s="170">
        <f>IFERROR(((VERI_TABANI!$D$29*B104*VERI_TABANI!$B$14 + VERI_TABANI!$D$29*C104*VERI_TABANI!$B$15 + IF(ISNUMBER(SEARCH("Var", D104)), VERI_TABANI!$F$29*VERI_TABANI!$B$16, 0))) / (((VERI_TABANI!$D$29*B104 + VERI_TABANI!$D$29*C104)*VERI_TABANI!$B$13 + IF(ISNUMBER(SEARCH("Var", D104)), VERI_TABANI!$E$29*(1-0.928)*VERI_TABANI!$B$18, 0))), 0)</f>
        <v/>
      </c>
      <c r="J104" s="171">
        <f>IFERROR(F104/(G104/29), 0)</f>
        <v/>
      </c>
      <c r="K104" s="172">
        <f>IF(F104&gt;0, H104/F104, 0)</f>
        <v/>
      </c>
      <c r="L104" s="170">
        <f>IF(F104&gt;0, I104, 1000000000)</f>
        <v/>
      </c>
      <c r="M104" s="171">
        <f>ABS((B104+C104)-1)</f>
        <v/>
      </c>
      <c r="N104" s="170">
        <f>IF(F104&gt;0, (G104/29)/F104, 0)</f>
        <v/>
      </c>
      <c r="O104" s="168">
        <f>IF(AND((B104+C104)&gt;=1, ISNUMBER(SEARCH("Var", D104))), F104, 1000000000)</f>
        <v/>
      </c>
      <c r="P104" s="172">
        <f>IF(F104&gt;0, SQRT((F104/MAX(F$5:F$886))^2 + (1 - H104/MAX(H$5:H$886))^2 + (J104/MAX(J$5:J$886))^2), 1000000000)</f>
        <v/>
      </c>
      <c r="Q104" s="166">
        <f>IF(AND(ABS(B104-0.5)&lt;0.01, ABS(C104-0.5)&lt;0.01, ISNUMBER(SEARCH("Var", D104))), 1, 0)</f>
        <v/>
      </c>
      <c r="R104" s="171">
        <f>IF(F104&gt;0, J104, 1000000000)</f>
        <v/>
      </c>
      <c r="S104" s="101">
        <f>IF(AND(F104&lt;=DASHBOARD!$B$11, H104&gt;=DASHBOARD!$B$13), G104, -1000000000000)</f>
        <v/>
      </c>
      <c r="T104" s="101">
        <f>IF(AND(F104&lt;=DASHBOARD!$B$11, H104&gt;=DASHBOARD!$B$13), R104, 1000000000000)</f>
        <v/>
      </c>
      <c r="U104" s="101">
        <f>IF(AND(F104&lt;=DASHBOARD!$B$11, H104&gt;=DASHBOARD!$B$13), N104, -1000000000000)</f>
        <v/>
      </c>
      <c r="V104" s="101">
        <f>IF(AND(F104&lt;=DASHBOARD!$B$11, H104&gt;=DASHBOARD!$B$13), H104, -1000000000000)</f>
        <v/>
      </c>
      <c r="W104" s="101">
        <f>IF(AND(F104&lt;=DASHBOARD!$B$11, H104&gt;=DASHBOARD!$B$13), K104, -1000000000000)</f>
        <v/>
      </c>
      <c r="X104" s="101">
        <f>IF(AND(F104&lt;=DASHBOARD!$B$11, H104&gt;=DASHBOARD!$B$13), M104, 1000000000000)</f>
        <v/>
      </c>
      <c r="Y104" s="101">
        <f>IF(AND(F104&lt;=DASHBOARD!$B$10, H104&gt;=DASHBOARD!$B$11), L104, 1000000000000)</f>
        <v/>
      </c>
      <c r="Z104" s="101">
        <f>IF(AND(F104&lt;=DASHBOARD!$B$10, H104&gt;=DASHBOARD!$B$11), O104, 1000000000000)</f>
        <v/>
      </c>
      <c r="AA104" s="101">
        <f>IF(AND(F104&lt;=DASHBOARD!$B$10, H104&gt;=DASHBOARD!$B$11), P104, 1000000000000)</f>
        <v/>
      </c>
      <c r="AB104" s="101">
        <f>IF(AND(F104&lt;=DASHBOARD!$B$10, H104&gt;=DASHBOARD!$B$11), Q104, -1000000000000)</f>
        <v/>
      </c>
    </row>
    <row r="105" ht="12.75" customHeight="1" s="102">
      <c r="A105" s="166" t="n">
        <v>101</v>
      </c>
      <c r="B105" s="167" t="n">
        <v>0.2</v>
      </c>
      <c r="C105" s="167" t="n">
        <v>0.8</v>
      </c>
      <c r="D105" s="110" t="inlineStr">
        <is>
          <t>Yok (%0)</t>
        </is>
      </c>
      <c r="E105" s="110">
        <f>IF((B105+C105)&lt;=1, "Tam Mahsuplaşma (≤%100)", "Kısmi Satış (&gt;%100)")</f>
        <v/>
      </c>
      <c r="F105" s="168">
        <f>((VERI_TABANI!$D$29*B105/VERI_TABANI!$B$29)/VERI_TABANI!$B$3)*VERI_TABANI!$B$5 + ((VERI_TABANI!$D$29*C105/VERI_TABANI!$B$29)/VERI_TABANI!$B$4)*VERI_TABANI!$B$6 + IF(ISNUMBER(SEARCH("Var", D105)), (VERI_TABANI!$F$29/VERI_TABANI!$B$29)*(VERI_TABANI!$B$10+VERI_TABANI!$B$12), 0)</f>
        <v/>
      </c>
      <c r="G105" s="168">
        <f>(((MIN(VERI_TABANI!D23, VERI_TABANI!D23*B105)*VERI_TABANI!$B$7 + MAX(0, VERI_TABANI!D23*B105-VERI_TABANI!D23)*VERI_TABANI!$B$8) + (MIN(MAX(0, VERI_TABANI!D23-VERI_TABANI!D23*B105), VERI_TABANI!D23*C105)*VERI_TABANI!$B$7 + MAX(0, VERI_TABANI!D23*C105-MAX(0, VERI_TABANI!D23-VERI_TABANI!D23*B105))*VERI_TABANI!$B$8) + IF(ABS(IF(ISNUMBER(SEARCH("Var", D105)), 1, IF(ISNUMBER(SEARCH("Gri", D105)), -1, 0)))=1, VERI_TABANI!E23*(1-0.928)*VERI_TABANI!$B$9, 0) + (VERI_TABANI!D23*B105*(VERI_TABANI!$B$13-VERI_TABANI!$B$14)*VERI_TABANI!G23) + (VERI_TABANI!D23*C105*(VERI_TABANI!$B$13-VERI_TABANI!$B$15)*VERI_TABANI!G23) + IF(ABS(IF(ISNUMBER(SEARCH("Var", D105)), 1, IF(ISNUMBER(SEARCH("Gri", D105)), -1, 0)))=1, VERI_TABANI!E23*(1-0.928)*0.00206091519919798*VERI_TABANI!G23, 0)) + ((MIN(VERI_TABANI!D24, VERI_TABANI!D24*B105)*VERI_TABANI!$B$7 + MAX(0, VERI_TABANI!D24*B105-VERI_TABANI!D24)*VERI_TABANI!$B$8) + (MIN(MAX(0, VERI_TABANI!D24-VERI_TABANI!D24*B105), VERI_TABANI!D24*C105)*VERI_TABANI!$B$7 + MAX(0, VERI_TABANI!D24*C105-MAX(0, VERI_TABANI!D24-VERI_TABANI!D24*B105))*VERI_TABANI!$B$8) + IF(ABS(IF(ISNUMBER(SEARCH("Var", D105)), 1, IF(ISNUMBER(SEARCH("Gri", D105)), -1, 0)))=1, VERI_TABANI!E24*(1-0.928)*VERI_TABANI!$B$9, 0) + (VERI_TABANI!D24*B105*(VERI_TABANI!$B$13-VERI_TABANI!$B$14)*VERI_TABANI!G24) + (VERI_TABANI!D24*C105*(VERI_TABANI!$B$13-VERI_TABANI!$B$15)*VERI_TABANI!G24) + IF(ABS(IF(ISNUMBER(SEARCH("Var", D105)), 1, IF(ISNUMBER(SEARCH("Gri", D105)), -1, 0)))=1, VERI_TABANI!E24*(1-0.928)*0.00206091519919798*VERI_TABANI!G24, 0)) + ((MIN(VERI_TABANI!D25, VERI_TABANI!D25*B105)*VERI_TABANI!$B$7 + MAX(0, VERI_TABANI!D25*B105-VERI_TABANI!D25)*VERI_TABANI!$B$8) + (MIN(MAX(0, VERI_TABANI!D25-VERI_TABANI!D25*B105), VERI_TABANI!D25*C105)*VERI_TABANI!$B$7 + MAX(0, VERI_TABANI!D25*C105-MAX(0, VERI_TABANI!D25-VERI_TABANI!D25*B105))*VERI_TABANI!$B$8) + IF(ABS(IF(ISNUMBER(SEARCH("Var", D105)), 1, IF(ISNUMBER(SEARCH("Gri", D105)), -1, 0)))=1, VERI_TABANI!E25*(1-0.928)*VERI_TABANI!$B$9, 0) + (VERI_TABANI!D25*B105*(VERI_TABANI!$B$13-VERI_TABANI!$B$14)*VERI_TABANI!G25) + (VERI_TABANI!D25*C105*(VERI_TABANI!$B$13-VERI_TABANI!$B$15)*VERI_TABANI!G25) + IF(ABS(IF(ISNUMBER(SEARCH("Var", D105)), 1, IF(ISNUMBER(SEARCH("Gri", D105)), -1, 0)))=1, VERI_TABANI!E25*(1-0.928)*0.00206091519919798*VERI_TABANI!G25, 0)) + ((MIN(VERI_TABANI!D26, VERI_TABANI!D26*B105)*VERI_TABANI!$B$7 + MAX(0, VERI_TABANI!D26*B105-VERI_TABANI!D26)*VERI_TABANI!$B$8) + (MIN(MAX(0, VERI_TABANI!D26-VERI_TABANI!D26*B105), VERI_TABANI!D26*C105)*VERI_TABANI!$B$7 + MAX(0, VERI_TABANI!D26*C105-MAX(0, VERI_TABANI!D26-VERI_TABANI!D26*B105))*VERI_TABANI!$B$8) + IF(ABS(IF(ISNUMBER(SEARCH("Var", D105)), 1, IF(ISNUMBER(SEARCH("Gri", D105)), -1, 0)))=1, VERI_TABANI!E26*(1-0.928)*VERI_TABANI!$B$9, 0) + (VERI_TABANI!D26*B105*(VERI_TABANI!$B$13-VERI_TABANI!$B$14)*VERI_TABANI!G26) + (VERI_TABANI!D26*C105*(VERI_TABANI!$B$13-VERI_TABANI!$B$15)*VERI_TABANI!G26) + IF(ABS(IF(ISNUMBER(SEARCH("Var", D105)), 1, IF(ISNUMBER(SEARCH("Gri", D105)), -1, 0)))=1, VERI_TABANI!E26*(1-0.928)*0.00206091519919798*VERI_TABANI!G26, 0)) + ((MIN(VERI_TABANI!D27, VERI_TABANI!D27*B105)*VERI_TABANI!$B$7 + MAX(0, VERI_TABANI!D27*B105-VERI_TABANI!D27)*VERI_TABANI!$B$8) + (MIN(MAX(0, VERI_TABANI!D27-VERI_TABANI!D27*B105), VERI_TABANI!D27*C105)*VERI_TABANI!$B$7 + MAX(0, VERI_TABANI!D27*C105-MAX(0, VERI_TABANI!D27-VERI_TABANI!D27*B105))*VERI_TABANI!$B$8) + IF(ABS(IF(ISNUMBER(SEARCH("Var", D105)), 1, IF(ISNUMBER(SEARCH("Gri", D105)), -1, 0)))=1, VERI_TABANI!E27*(1-0.928)*VERI_TABANI!$B$9, 0) + (VERI_TABANI!D27*B105*(VERI_TABANI!$B$13-VERI_TABANI!$B$14)*VERI_TABANI!G27) + (VERI_TABANI!D27*C105*(VERI_TABANI!$B$13-VERI_TABANI!$B$15)*VERI_TABANI!G27) + IF(ABS(IF(ISNUMBER(SEARCH("Var", D105)), 1, IF(ISNUMBER(SEARCH("Gri", D105)), -1, 0)))=1, VERI_TABANI!E27*(1-0.928)*0.00206091519919798*VERI_TABANI!G27, 0)) + ((MIN(VERI_TABANI!D28, VERI_TABANI!D28*B105)*VERI_TABANI!$B$7 + MAX(0, VERI_TABANI!D28*B105-VERI_TABANI!D28)*VERI_TABANI!$B$8) + (MIN(MAX(0, VERI_TABANI!D28-VERI_TABANI!D28*B105), VERI_TABANI!D28*C105)*VERI_TABANI!$B$7 + MAX(0, VERI_TABANI!D28*C105-MAX(0, VERI_TABANI!D28-VERI_TABANI!D28*B105))*VERI_TABANI!$B$8) + IF(ABS(IF(ISNUMBER(SEARCH("Var", D105)), 1, IF(ISNUMBER(SEARCH("Gri", D105)), -1, 0)))=1, VERI_TABANI!E28*(1-0.928)*VERI_TABANI!$B$9, 0) + (VERI_TABANI!D28*B105*(VERI_TABANI!$B$13-VERI_TABANI!$B$14)*VERI_TABANI!G28) + (VERI_TABANI!D28*C105*(VERI_TABANI!$B$13-VERI_TABANI!$B$15)*VERI_TABANI!G28) + IF(ABS(IF(ISNUMBER(SEARCH("Var", D105)), 1, IF(ISNUMBER(SEARCH("Gri", D105)), -1, 0)))=1, VERI_TABANI!E28*(1-0.928)*0.00206091519919798*VERI_TABANI!G28, 0)))</f>
        <v/>
      </c>
      <c r="H105" s="169">
        <f>(((VERI_TABANI!D23*B105*(VERI_TABANI!$B$13-VERI_TABANI!$B$14)) + (VERI_TABANI!D23*C105*(VERI_TABANI!$B$13-VERI_TABANI!$B$15)) + IF(ISNUMBER(SEARCH("Var", D105)), VERI_TABANI!F23*(0.00202-VERI_TABANI!$B$16), IF(ISNUMBER(SEARCH("Gri", D105)), VERI_TABANI!F23*(0.00202-VERI_TABANI!$B$17), 0))) + ((VERI_TABANI!D24*B105*(VERI_TABANI!$B$13-VERI_TABANI!$B$14)) + (VERI_TABANI!D24*C105*(VERI_TABANI!$B$13-VERI_TABANI!$B$15)) + IF(ISNUMBER(SEARCH("Var", D105)), VERI_TABANI!F24*(0.00202-VERI_TABANI!$B$16), IF(ISNUMBER(SEARCH("Gri", D105)), VERI_TABANI!F24*(0.00202-VERI_TABANI!$B$17), 0))) + ((VERI_TABANI!D25*B105*(VERI_TABANI!$B$13-VERI_TABANI!$B$14)) + (VERI_TABANI!D25*C105*(VERI_TABANI!$B$13-VERI_TABANI!$B$15)) + IF(ISNUMBER(SEARCH("Var", D105)), VERI_TABANI!F25*(0.00202-VERI_TABANI!$B$16), IF(ISNUMBER(SEARCH("Gri", D105)), VERI_TABANI!F25*(0.00202-VERI_TABANI!$B$17), 0))) + ((VERI_TABANI!D26*B105*(VERI_TABANI!$B$13-VERI_TABANI!$B$14)) + (VERI_TABANI!D26*C105*(VERI_TABANI!$B$13-VERI_TABANI!$B$15)) + IF(ISNUMBER(SEARCH("Var", D105)), VERI_TABANI!F26*(0.00202-VERI_TABANI!$B$16), IF(ISNUMBER(SEARCH("Gri", D105)), VERI_TABANI!F26*(0.00202-VERI_TABANI!$B$17), 0))) + ((VERI_TABANI!D27*B105*(VERI_TABANI!$B$13-VERI_TABANI!$B$14)) + (VERI_TABANI!D27*C105*(VERI_TABANI!$B$13-VERI_TABANI!$B$15)) + IF(ISNUMBER(SEARCH("Var", D105)), VERI_TABANI!F27*(0.00202-VERI_TABANI!$B$16), IF(ISNUMBER(SEARCH("Gri", D105)), VERI_TABANI!F27*(0.00202-VERI_TABANI!$B$17), 0))) + ((VERI_TABANI!D28*B105*(VERI_TABANI!$B$13-VERI_TABANI!$B$14)) + (VERI_TABANI!D28*C105*(VERI_TABANI!$B$13-VERI_TABANI!$B$15)) + IF(ISNUMBER(SEARCH("Var", D105)), VERI_TABANI!F28*(0.00202-VERI_TABANI!$B$16), IF(ISNUMBER(SEARCH("Gri", D105)), VERI_TABANI!F28*(0.00202-VERI_TABANI!$B$17), 0))))</f>
        <v/>
      </c>
      <c r="I105" s="170">
        <f>IFERROR(((VERI_TABANI!$D$29*B105*VERI_TABANI!$B$14 + VERI_TABANI!$D$29*C105*VERI_TABANI!$B$15 + IF(ISNUMBER(SEARCH("Var", D105)), VERI_TABANI!$F$29*VERI_TABANI!$B$16, 0))) / (((VERI_TABANI!$D$29*B105 + VERI_TABANI!$D$29*C105)*VERI_TABANI!$B$13 + IF(ISNUMBER(SEARCH("Var", D105)), VERI_TABANI!$E$29*(1-0.928)*VERI_TABANI!$B$18, 0))), 0)</f>
        <v/>
      </c>
      <c r="J105" s="171">
        <f>IFERROR(F105/(G105/29), 0)</f>
        <v/>
      </c>
      <c r="K105" s="172">
        <f>IF(F105&gt;0, H105/F105, 0)</f>
        <v/>
      </c>
      <c r="L105" s="170">
        <f>IF(F105&gt;0, I105, 1000000000)</f>
        <v/>
      </c>
      <c r="M105" s="171">
        <f>ABS((B105+C105)-1)</f>
        <v/>
      </c>
      <c r="N105" s="170">
        <f>IF(F105&gt;0, (G105/29)/F105, 0)</f>
        <v/>
      </c>
      <c r="O105" s="168">
        <f>IF(AND((B105+C105)&gt;=1, ISNUMBER(SEARCH("Var", D105))), F105, 1000000000)</f>
        <v/>
      </c>
      <c r="P105" s="172">
        <f>IF(F105&gt;0, SQRT((F105/MAX(F$5:F$886))^2 + (1 - H105/MAX(H$5:H$886))^2 + (J105/MAX(J$5:J$886))^2), 1000000000)</f>
        <v/>
      </c>
      <c r="Q105" s="166">
        <f>IF(AND(ABS(B105-0.5)&lt;0.01, ABS(C105-0.5)&lt;0.01, ISNUMBER(SEARCH("Var", D105))), 1, 0)</f>
        <v/>
      </c>
      <c r="R105" s="171">
        <f>IF(F105&gt;0, J105, 1000000000)</f>
        <v/>
      </c>
      <c r="S105" s="101">
        <f>IF(AND(F105&lt;=DASHBOARD!$B$11, H105&gt;=DASHBOARD!$B$13), G105, -1000000000000)</f>
        <v/>
      </c>
      <c r="T105" s="101">
        <f>IF(AND(F105&lt;=DASHBOARD!$B$11, H105&gt;=DASHBOARD!$B$13), R105, 1000000000000)</f>
        <v/>
      </c>
      <c r="U105" s="101">
        <f>IF(AND(F105&lt;=DASHBOARD!$B$11, H105&gt;=DASHBOARD!$B$13), N105, -1000000000000)</f>
        <v/>
      </c>
      <c r="V105" s="101">
        <f>IF(AND(F105&lt;=DASHBOARD!$B$11, H105&gt;=DASHBOARD!$B$13), H105, -1000000000000)</f>
        <v/>
      </c>
      <c r="W105" s="101">
        <f>IF(AND(F105&lt;=DASHBOARD!$B$11, H105&gt;=DASHBOARD!$B$13), K105, -1000000000000)</f>
        <v/>
      </c>
      <c r="X105" s="101">
        <f>IF(AND(F105&lt;=DASHBOARD!$B$11, H105&gt;=DASHBOARD!$B$13), M105, 1000000000000)</f>
        <v/>
      </c>
      <c r="Y105" s="101">
        <f>IF(AND(F105&lt;=DASHBOARD!$B$10, H105&gt;=DASHBOARD!$B$11), L105, 1000000000000)</f>
        <v/>
      </c>
      <c r="Z105" s="101">
        <f>IF(AND(F105&lt;=DASHBOARD!$B$10, H105&gt;=DASHBOARD!$B$11), O105, 1000000000000)</f>
        <v/>
      </c>
      <c r="AA105" s="101">
        <f>IF(AND(F105&lt;=DASHBOARD!$B$10, H105&gt;=DASHBOARD!$B$11), P105, 1000000000000)</f>
        <v/>
      </c>
      <c r="AB105" s="101">
        <f>IF(AND(F105&lt;=DASHBOARD!$B$10, H105&gt;=DASHBOARD!$B$11), Q105, -1000000000000)</f>
        <v/>
      </c>
    </row>
    <row r="106" ht="12.75" customHeight="1" s="102">
      <c r="A106" s="166" t="n">
        <v>102</v>
      </c>
      <c r="B106" s="167" t="n">
        <v>0.2</v>
      </c>
      <c r="C106" s="167" t="n">
        <v>0.8</v>
      </c>
      <c r="D106" s="110" t="inlineStr">
        <is>
          <t>Var (%20)</t>
        </is>
      </c>
      <c r="E106" s="110">
        <f>IF((B106+C106)&lt;=1, "Tam Mahsuplaşma (≤%100)", "Kısmi Satış (&gt;%100)")</f>
        <v/>
      </c>
      <c r="F106" s="168">
        <f>((VERI_TABANI!$D$29*B106/VERI_TABANI!$B$29)/VERI_TABANI!$B$3)*VERI_TABANI!$B$5 + ((VERI_TABANI!$D$29*C106/VERI_TABANI!$B$29)/VERI_TABANI!$B$4)*VERI_TABANI!$B$6 + IF(ISNUMBER(SEARCH("Var", D106)), (VERI_TABANI!$F$29/VERI_TABANI!$B$29)*(VERI_TABANI!$B$10+VERI_TABANI!$B$12), 0)</f>
        <v/>
      </c>
      <c r="G106" s="168">
        <f>(((MIN(VERI_TABANI!D23, VERI_TABANI!D23*B106)*VERI_TABANI!$B$7 + MAX(0, VERI_TABANI!D23*B106-VERI_TABANI!D23)*VERI_TABANI!$B$8) + (MIN(MAX(0, VERI_TABANI!D23-VERI_TABANI!D23*B106), VERI_TABANI!D23*C106)*VERI_TABANI!$B$7 + MAX(0, VERI_TABANI!D23*C106-MAX(0, VERI_TABANI!D23-VERI_TABANI!D23*B106))*VERI_TABANI!$B$8) + IF(ABS(IF(ISNUMBER(SEARCH("Var", D106)), 1, IF(ISNUMBER(SEARCH("Gri", D106)), -1, 0)))=1, VERI_TABANI!E23*(1-0.928)*VERI_TABANI!$B$9, 0) + (VERI_TABANI!D23*B106*(VERI_TABANI!$B$13-VERI_TABANI!$B$14)*VERI_TABANI!G23) + (VERI_TABANI!D23*C106*(VERI_TABANI!$B$13-VERI_TABANI!$B$15)*VERI_TABANI!G23) + IF(ABS(IF(ISNUMBER(SEARCH("Var", D106)), 1, IF(ISNUMBER(SEARCH("Gri", D106)), -1, 0)))=1, VERI_TABANI!E23*(1-0.928)*0.00206091519919798*VERI_TABANI!G23, 0)) + ((MIN(VERI_TABANI!D24, VERI_TABANI!D24*B106)*VERI_TABANI!$B$7 + MAX(0, VERI_TABANI!D24*B106-VERI_TABANI!D24)*VERI_TABANI!$B$8) + (MIN(MAX(0, VERI_TABANI!D24-VERI_TABANI!D24*B106), VERI_TABANI!D24*C106)*VERI_TABANI!$B$7 + MAX(0, VERI_TABANI!D24*C106-MAX(0, VERI_TABANI!D24-VERI_TABANI!D24*B106))*VERI_TABANI!$B$8) + IF(ABS(IF(ISNUMBER(SEARCH("Var", D106)), 1, IF(ISNUMBER(SEARCH("Gri", D106)), -1, 0)))=1, VERI_TABANI!E24*(1-0.928)*VERI_TABANI!$B$9, 0) + (VERI_TABANI!D24*B106*(VERI_TABANI!$B$13-VERI_TABANI!$B$14)*VERI_TABANI!G24) + (VERI_TABANI!D24*C106*(VERI_TABANI!$B$13-VERI_TABANI!$B$15)*VERI_TABANI!G24) + IF(ABS(IF(ISNUMBER(SEARCH("Var", D106)), 1, IF(ISNUMBER(SEARCH("Gri", D106)), -1, 0)))=1, VERI_TABANI!E24*(1-0.928)*0.00206091519919798*VERI_TABANI!G24, 0)) + ((MIN(VERI_TABANI!D25, VERI_TABANI!D25*B106)*VERI_TABANI!$B$7 + MAX(0, VERI_TABANI!D25*B106-VERI_TABANI!D25)*VERI_TABANI!$B$8) + (MIN(MAX(0, VERI_TABANI!D25-VERI_TABANI!D25*B106), VERI_TABANI!D25*C106)*VERI_TABANI!$B$7 + MAX(0, VERI_TABANI!D25*C106-MAX(0, VERI_TABANI!D25-VERI_TABANI!D25*B106))*VERI_TABANI!$B$8) + IF(ABS(IF(ISNUMBER(SEARCH("Var", D106)), 1, IF(ISNUMBER(SEARCH("Gri", D106)), -1, 0)))=1, VERI_TABANI!E25*(1-0.928)*VERI_TABANI!$B$9, 0) + (VERI_TABANI!D25*B106*(VERI_TABANI!$B$13-VERI_TABANI!$B$14)*VERI_TABANI!G25) + (VERI_TABANI!D25*C106*(VERI_TABANI!$B$13-VERI_TABANI!$B$15)*VERI_TABANI!G25) + IF(ABS(IF(ISNUMBER(SEARCH("Var", D106)), 1, IF(ISNUMBER(SEARCH("Gri", D106)), -1, 0)))=1, VERI_TABANI!E25*(1-0.928)*0.00206091519919798*VERI_TABANI!G25, 0)) + ((MIN(VERI_TABANI!D26, VERI_TABANI!D26*B106)*VERI_TABANI!$B$7 + MAX(0, VERI_TABANI!D26*B106-VERI_TABANI!D26)*VERI_TABANI!$B$8) + (MIN(MAX(0, VERI_TABANI!D26-VERI_TABANI!D26*B106), VERI_TABANI!D26*C106)*VERI_TABANI!$B$7 + MAX(0, VERI_TABANI!D26*C106-MAX(0, VERI_TABANI!D26-VERI_TABANI!D26*B106))*VERI_TABANI!$B$8) + IF(ABS(IF(ISNUMBER(SEARCH("Var", D106)), 1, IF(ISNUMBER(SEARCH("Gri", D106)), -1, 0)))=1, VERI_TABANI!E26*(1-0.928)*VERI_TABANI!$B$9, 0) + (VERI_TABANI!D26*B106*(VERI_TABANI!$B$13-VERI_TABANI!$B$14)*VERI_TABANI!G26) + (VERI_TABANI!D26*C106*(VERI_TABANI!$B$13-VERI_TABANI!$B$15)*VERI_TABANI!G26) + IF(ABS(IF(ISNUMBER(SEARCH("Var", D106)), 1, IF(ISNUMBER(SEARCH("Gri", D106)), -1, 0)))=1, VERI_TABANI!E26*(1-0.928)*0.00206091519919798*VERI_TABANI!G26, 0)) + ((MIN(VERI_TABANI!D27, VERI_TABANI!D27*B106)*VERI_TABANI!$B$7 + MAX(0, VERI_TABANI!D27*B106-VERI_TABANI!D27)*VERI_TABANI!$B$8) + (MIN(MAX(0, VERI_TABANI!D27-VERI_TABANI!D27*B106), VERI_TABANI!D27*C106)*VERI_TABANI!$B$7 + MAX(0, VERI_TABANI!D27*C106-MAX(0, VERI_TABANI!D27-VERI_TABANI!D27*B106))*VERI_TABANI!$B$8) + IF(ABS(IF(ISNUMBER(SEARCH("Var", D106)), 1, IF(ISNUMBER(SEARCH("Gri", D106)), -1, 0)))=1, VERI_TABANI!E27*(1-0.928)*VERI_TABANI!$B$9, 0) + (VERI_TABANI!D27*B106*(VERI_TABANI!$B$13-VERI_TABANI!$B$14)*VERI_TABANI!G27) + (VERI_TABANI!D27*C106*(VERI_TABANI!$B$13-VERI_TABANI!$B$15)*VERI_TABANI!G27) + IF(ABS(IF(ISNUMBER(SEARCH("Var", D106)), 1, IF(ISNUMBER(SEARCH("Gri", D106)), -1, 0)))=1, VERI_TABANI!E27*(1-0.928)*0.00206091519919798*VERI_TABANI!G27, 0)) + ((MIN(VERI_TABANI!D28, VERI_TABANI!D28*B106)*VERI_TABANI!$B$7 + MAX(0, VERI_TABANI!D28*B106-VERI_TABANI!D28)*VERI_TABANI!$B$8) + (MIN(MAX(0, VERI_TABANI!D28-VERI_TABANI!D28*B106), VERI_TABANI!D28*C106)*VERI_TABANI!$B$7 + MAX(0, VERI_TABANI!D28*C106-MAX(0, VERI_TABANI!D28-VERI_TABANI!D28*B106))*VERI_TABANI!$B$8) + IF(ABS(IF(ISNUMBER(SEARCH("Var", D106)), 1, IF(ISNUMBER(SEARCH("Gri", D106)), -1, 0)))=1, VERI_TABANI!E28*(1-0.928)*VERI_TABANI!$B$9, 0) + (VERI_TABANI!D28*B106*(VERI_TABANI!$B$13-VERI_TABANI!$B$14)*VERI_TABANI!G28) + (VERI_TABANI!D28*C106*(VERI_TABANI!$B$13-VERI_TABANI!$B$15)*VERI_TABANI!G28) + IF(ABS(IF(ISNUMBER(SEARCH("Var", D106)), 1, IF(ISNUMBER(SEARCH("Gri", D106)), -1, 0)))=1, VERI_TABANI!E28*(1-0.928)*0.00206091519919798*VERI_TABANI!G28, 0)))</f>
        <v/>
      </c>
      <c r="H106" s="169">
        <f>(((VERI_TABANI!D23*B106*(VERI_TABANI!$B$13-VERI_TABANI!$B$14)) + (VERI_TABANI!D23*C106*(VERI_TABANI!$B$13-VERI_TABANI!$B$15)) + IF(ISNUMBER(SEARCH("Var", D106)), VERI_TABANI!F23*(0.00202-VERI_TABANI!$B$16), IF(ISNUMBER(SEARCH("Gri", D106)), VERI_TABANI!F23*(0.00202-VERI_TABANI!$B$17), 0))) + ((VERI_TABANI!D24*B106*(VERI_TABANI!$B$13-VERI_TABANI!$B$14)) + (VERI_TABANI!D24*C106*(VERI_TABANI!$B$13-VERI_TABANI!$B$15)) + IF(ISNUMBER(SEARCH("Var", D106)), VERI_TABANI!F24*(0.00202-VERI_TABANI!$B$16), IF(ISNUMBER(SEARCH("Gri", D106)), VERI_TABANI!F24*(0.00202-VERI_TABANI!$B$17), 0))) + ((VERI_TABANI!D25*B106*(VERI_TABANI!$B$13-VERI_TABANI!$B$14)) + (VERI_TABANI!D25*C106*(VERI_TABANI!$B$13-VERI_TABANI!$B$15)) + IF(ISNUMBER(SEARCH("Var", D106)), VERI_TABANI!F25*(0.00202-VERI_TABANI!$B$16), IF(ISNUMBER(SEARCH("Gri", D106)), VERI_TABANI!F25*(0.00202-VERI_TABANI!$B$17), 0))) + ((VERI_TABANI!D26*B106*(VERI_TABANI!$B$13-VERI_TABANI!$B$14)) + (VERI_TABANI!D26*C106*(VERI_TABANI!$B$13-VERI_TABANI!$B$15)) + IF(ISNUMBER(SEARCH("Var", D106)), VERI_TABANI!F26*(0.00202-VERI_TABANI!$B$16), IF(ISNUMBER(SEARCH("Gri", D106)), VERI_TABANI!F26*(0.00202-VERI_TABANI!$B$17), 0))) + ((VERI_TABANI!D27*B106*(VERI_TABANI!$B$13-VERI_TABANI!$B$14)) + (VERI_TABANI!D27*C106*(VERI_TABANI!$B$13-VERI_TABANI!$B$15)) + IF(ISNUMBER(SEARCH("Var", D106)), VERI_TABANI!F27*(0.00202-VERI_TABANI!$B$16), IF(ISNUMBER(SEARCH("Gri", D106)), VERI_TABANI!F27*(0.00202-VERI_TABANI!$B$17), 0))) + ((VERI_TABANI!D28*B106*(VERI_TABANI!$B$13-VERI_TABANI!$B$14)) + (VERI_TABANI!D28*C106*(VERI_TABANI!$B$13-VERI_TABANI!$B$15)) + IF(ISNUMBER(SEARCH("Var", D106)), VERI_TABANI!F28*(0.00202-VERI_TABANI!$B$16), IF(ISNUMBER(SEARCH("Gri", D106)), VERI_TABANI!F28*(0.00202-VERI_TABANI!$B$17), 0))))</f>
        <v/>
      </c>
      <c r="I106" s="170">
        <f>IFERROR(((VERI_TABANI!$D$29*B106*VERI_TABANI!$B$14 + VERI_TABANI!$D$29*C106*VERI_TABANI!$B$15 + IF(ISNUMBER(SEARCH("Var", D106)), VERI_TABANI!$F$29*VERI_TABANI!$B$16, 0))) / (((VERI_TABANI!$D$29*B106 + VERI_TABANI!$D$29*C106)*VERI_TABANI!$B$13 + IF(ISNUMBER(SEARCH("Var", D106)), VERI_TABANI!$E$29*(1-0.928)*VERI_TABANI!$B$18, 0))), 0)</f>
        <v/>
      </c>
      <c r="J106" s="171">
        <f>IFERROR(F106/(G106/29), 0)</f>
        <v/>
      </c>
      <c r="K106" s="172">
        <f>IF(F106&gt;0, H106/F106, 0)</f>
        <v/>
      </c>
      <c r="L106" s="170">
        <f>IF(F106&gt;0, I106, 1000000000)</f>
        <v/>
      </c>
      <c r="M106" s="171">
        <f>ABS((B106+C106)-1)</f>
        <v/>
      </c>
      <c r="N106" s="170">
        <f>IF(F106&gt;0, (G106/29)/F106, 0)</f>
        <v/>
      </c>
      <c r="O106" s="168">
        <f>IF(AND((B106+C106)&gt;=1, ISNUMBER(SEARCH("Var", D106))), F106, 1000000000)</f>
        <v/>
      </c>
      <c r="P106" s="172">
        <f>IF(F106&gt;0, SQRT((F106/MAX(F$5:F$886))^2 + (1 - H106/MAX(H$5:H$886))^2 + (J106/MAX(J$5:J$886))^2), 1000000000)</f>
        <v/>
      </c>
      <c r="Q106" s="166">
        <f>IF(AND(ABS(B106-0.5)&lt;0.01, ABS(C106-0.5)&lt;0.01, ISNUMBER(SEARCH("Var", D106))), 1, 0)</f>
        <v/>
      </c>
      <c r="R106" s="171">
        <f>IF(F106&gt;0, J106, 1000000000)</f>
        <v/>
      </c>
      <c r="S106" s="101">
        <f>IF(AND(F106&lt;=DASHBOARD!$B$11, H106&gt;=DASHBOARD!$B$13), G106, -1000000000000)</f>
        <v/>
      </c>
      <c r="T106" s="101">
        <f>IF(AND(F106&lt;=DASHBOARD!$B$11, H106&gt;=DASHBOARD!$B$13), R106, 1000000000000)</f>
        <v/>
      </c>
      <c r="U106" s="101">
        <f>IF(AND(F106&lt;=DASHBOARD!$B$11, H106&gt;=DASHBOARD!$B$13), N106, -1000000000000)</f>
        <v/>
      </c>
      <c r="V106" s="101">
        <f>IF(AND(F106&lt;=DASHBOARD!$B$11, H106&gt;=DASHBOARD!$B$13), H106, -1000000000000)</f>
        <v/>
      </c>
      <c r="W106" s="101">
        <f>IF(AND(F106&lt;=DASHBOARD!$B$11, H106&gt;=DASHBOARD!$B$13), K106, -1000000000000)</f>
        <v/>
      </c>
      <c r="X106" s="101">
        <f>IF(AND(F106&lt;=DASHBOARD!$B$11, H106&gt;=DASHBOARD!$B$13), M106, 1000000000000)</f>
        <v/>
      </c>
      <c r="Y106" s="101">
        <f>IF(AND(F106&lt;=DASHBOARD!$B$10, H106&gt;=DASHBOARD!$B$11), L106, 1000000000000)</f>
        <v/>
      </c>
      <c r="Z106" s="101">
        <f>IF(AND(F106&lt;=DASHBOARD!$B$10, H106&gt;=DASHBOARD!$B$11), O106, 1000000000000)</f>
        <v/>
      </c>
      <c r="AA106" s="101">
        <f>IF(AND(F106&lt;=DASHBOARD!$B$10, H106&gt;=DASHBOARD!$B$11), P106, 1000000000000)</f>
        <v/>
      </c>
      <c r="AB106" s="101">
        <f>IF(AND(F106&lt;=DASHBOARD!$B$10, H106&gt;=DASHBOARD!$B$11), Q106, -1000000000000)</f>
        <v/>
      </c>
    </row>
    <row r="107" ht="12.75" customHeight="1" s="102">
      <c r="A107" s="166" t="n">
        <v>103</v>
      </c>
      <c r="B107" s="167" t="n">
        <v>0.2</v>
      </c>
      <c r="C107" s="167" t="n">
        <v>0.9</v>
      </c>
      <c r="D107" s="110" t="inlineStr">
        <is>
          <t>Yok (%0)</t>
        </is>
      </c>
      <c r="E107" s="110">
        <f>IF((B107+C107)&lt;=1, "Tam Mahsuplaşma (≤%100)", "Kısmi Satış (&gt;%100)")</f>
        <v/>
      </c>
      <c r="F107" s="168">
        <f>((VERI_TABANI!$D$29*B107/VERI_TABANI!$B$29)/VERI_TABANI!$B$3)*VERI_TABANI!$B$5 + ((VERI_TABANI!$D$29*C107/VERI_TABANI!$B$29)/VERI_TABANI!$B$4)*VERI_TABANI!$B$6 + IF(ISNUMBER(SEARCH("Var", D107)), (VERI_TABANI!$F$29/VERI_TABANI!$B$29)*(VERI_TABANI!$B$10+VERI_TABANI!$B$12), 0)</f>
        <v/>
      </c>
      <c r="G107" s="168">
        <f>(((MIN(VERI_TABANI!D23, VERI_TABANI!D23*B107)*VERI_TABANI!$B$7 + MAX(0, VERI_TABANI!D23*B107-VERI_TABANI!D23)*VERI_TABANI!$B$8) + (MIN(MAX(0, VERI_TABANI!D23-VERI_TABANI!D23*B107), VERI_TABANI!D23*C107)*VERI_TABANI!$B$7 + MAX(0, VERI_TABANI!D23*C107-MAX(0, VERI_TABANI!D23-VERI_TABANI!D23*B107))*VERI_TABANI!$B$8) + IF(ABS(IF(ISNUMBER(SEARCH("Var", D107)), 1, IF(ISNUMBER(SEARCH("Gri", D107)), -1, 0)))=1, VERI_TABANI!E23*(1-0.928)*VERI_TABANI!$B$9, 0) + (VERI_TABANI!D23*B107*(VERI_TABANI!$B$13-VERI_TABANI!$B$14)*VERI_TABANI!G23) + (VERI_TABANI!D23*C107*(VERI_TABANI!$B$13-VERI_TABANI!$B$15)*VERI_TABANI!G23) + IF(ABS(IF(ISNUMBER(SEARCH("Var", D107)), 1, IF(ISNUMBER(SEARCH("Gri", D107)), -1, 0)))=1, VERI_TABANI!E23*(1-0.928)*0.00206091519919798*VERI_TABANI!G23, 0)) + ((MIN(VERI_TABANI!D24, VERI_TABANI!D24*B107)*VERI_TABANI!$B$7 + MAX(0, VERI_TABANI!D24*B107-VERI_TABANI!D24)*VERI_TABANI!$B$8) + (MIN(MAX(0, VERI_TABANI!D24-VERI_TABANI!D24*B107), VERI_TABANI!D24*C107)*VERI_TABANI!$B$7 + MAX(0, VERI_TABANI!D24*C107-MAX(0, VERI_TABANI!D24-VERI_TABANI!D24*B107))*VERI_TABANI!$B$8) + IF(ABS(IF(ISNUMBER(SEARCH("Var", D107)), 1, IF(ISNUMBER(SEARCH("Gri", D107)), -1, 0)))=1, VERI_TABANI!E24*(1-0.928)*VERI_TABANI!$B$9, 0) + (VERI_TABANI!D24*B107*(VERI_TABANI!$B$13-VERI_TABANI!$B$14)*VERI_TABANI!G24) + (VERI_TABANI!D24*C107*(VERI_TABANI!$B$13-VERI_TABANI!$B$15)*VERI_TABANI!G24) + IF(ABS(IF(ISNUMBER(SEARCH("Var", D107)), 1, IF(ISNUMBER(SEARCH("Gri", D107)), -1, 0)))=1, VERI_TABANI!E24*(1-0.928)*0.00206091519919798*VERI_TABANI!G24, 0)) + ((MIN(VERI_TABANI!D25, VERI_TABANI!D25*B107)*VERI_TABANI!$B$7 + MAX(0, VERI_TABANI!D25*B107-VERI_TABANI!D25)*VERI_TABANI!$B$8) + (MIN(MAX(0, VERI_TABANI!D25-VERI_TABANI!D25*B107), VERI_TABANI!D25*C107)*VERI_TABANI!$B$7 + MAX(0, VERI_TABANI!D25*C107-MAX(0, VERI_TABANI!D25-VERI_TABANI!D25*B107))*VERI_TABANI!$B$8) + IF(ABS(IF(ISNUMBER(SEARCH("Var", D107)), 1, IF(ISNUMBER(SEARCH("Gri", D107)), -1, 0)))=1, VERI_TABANI!E25*(1-0.928)*VERI_TABANI!$B$9, 0) + (VERI_TABANI!D25*B107*(VERI_TABANI!$B$13-VERI_TABANI!$B$14)*VERI_TABANI!G25) + (VERI_TABANI!D25*C107*(VERI_TABANI!$B$13-VERI_TABANI!$B$15)*VERI_TABANI!G25) + IF(ABS(IF(ISNUMBER(SEARCH("Var", D107)), 1, IF(ISNUMBER(SEARCH("Gri", D107)), -1, 0)))=1, VERI_TABANI!E25*(1-0.928)*0.00206091519919798*VERI_TABANI!G25, 0)) + ((MIN(VERI_TABANI!D26, VERI_TABANI!D26*B107)*VERI_TABANI!$B$7 + MAX(0, VERI_TABANI!D26*B107-VERI_TABANI!D26)*VERI_TABANI!$B$8) + (MIN(MAX(0, VERI_TABANI!D26-VERI_TABANI!D26*B107), VERI_TABANI!D26*C107)*VERI_TABANI!$B$7 + MAX(0, VERI_TABANI!D26*C107-MAX(0, VERI_TABANI!D26-VERI_TABANI!D26*B107))*VERI_TABANI!$B$8) + IF(ABS(IF(ISNUMBER(SEARCH("Var", D107)), 1, IF(ISNUMBER(SEARCH("Gri", D107)), -1, 0)))=1, VERI_TABANI!E26*(1-0.928)*VERI_TABANI!$B$9, 0) + (VERI_TABANI!D26*B107*(VERI_TABANI!$B$13-VERI_TABANI!$B$14)*VERI_TABANI!G26) + (VERI_TABANI!D26*C107*(VERI_TABANI!$B$13-VERI_TABANI!$B$15)*VERI_TABANI!G26) + IF(ABS(IF(ISNUMBER(SEARCH("Var", D107)), 1, IF(ISNUMBER(SEARCH("Gri", D107)), -1, 0)))=1, VERI_TABANI!E26*(1-0.928)*0.00206091519919798*VERI_TABANI!G26, 0)) + ((MIN(VERI_TABANI!D27, VERI_TABANI!D27*B107)*VERI_TABANI!$B$7 + MAX(0, VERI_TABANI!D27*B107-VERI_TABANI!D27)*VERI_TABANI!$B$8) + (MIN(MAX(0, VERI_TABANI!D27-VERI_TABANI!D27*B107), VERI_TABANI!D27*C107)*VERI_TABANI!$B$7 + MAX(0, VERI_TABANI!D27*C107-MAX(0, VERI_TABANI!D27-VERI_TABANI!D27*B107))*VERI_TABANI!$B$8) + IF(ABS(IF(ISNUMBER(SEARCH("Var", D107)), 1, IF(ISNUMBER(SEARCH("Gri", D107)), -1, 0)))=1, VERI_TABANI!E27*(1-0.928)*VERI_TABANI!$B$9, 0) + (VERI_TABANI!D27*B107*(VERI_TABANI!$B$13-VERI_TABANI!$B$14)*VERI_TABANI!G27) + (VERI_TABANI!D27*C107*(VERI_TABANI!$B$13-VERI_TABANI!$B$15)*VERI_TABANI!G27) + IF(ABS(IF(ISNUMBER(SEARCH("Var", D107)), 1, IF(ISNUMBER(SEARCH("Gri", D107)), -1, 0)))=1, VERI_TABANI!E27*(1-0.928)*0.00206091519919798*VERI_TABANI!G27, 0)) + ((MIN(VERI_TABANI!D28, VERI_TABANI!D28*B107)*VERI_TABANI!$B$7 + MAX(0, VERI_TABANI!D28*B107-VERI_TABANI!D28)*VERI_TABANI!$B$8) + (MIN(MAX(0, VERI_TABANI!D28-VERI_TABANI!D28*B107), VERI_TABANI!D28*C107)*VERI_TABANI!$B$7 + MAX(0, VERI_TABANI!D28*C107-MAX(0, VERI_TABANI!D28-VERI_TABANI!D28*B107))*VERI_TABANI!$B$8) + IF(ABS(IF(ISNUMBER(SEARCH("Var", D107)), 1, IF(ISNUMBER(SEARCH("Gri", D107)), -1, 0)))=1, VERI_TABANI!E28*(1-0.928)*VERI_TABANI!$B$9, 0) + (VERI_TABANI!D28*B107*(VERI_TABANI!$B$13-VERI_TABANI!$B$14)*VERI_TABANI!G28) + (VERI_TABANI!D28*C107*(VERI_TABANI!$B$13-VERI_TABANI!$B$15)*VERI_TABANI!G28) + IF(ABS(IF(ISNUMBER(SEARCH("Var", D107)), 1, IF(ISNUMBER(SEARCH("Gri", D107)), -1, 0)))=1, VERI_TABANI!E28*(1-0.928)*0.00206091519919798*VERI_TABANI!G28, 0)))</f>
        <v/>
      </c>
      <c r="H107" s="169">
        <f>(((VERI_TABANI!D23*B107*(VERI_TABANI!$B$13-VERI_TABANI!$B$14)) + (VERI_TABANI!D23*C107*(VERI_TABANI!$B$13-VERI_TABANI!$B$15)) + IF(ISNUMBER(SEARCH("Var", D107)), VERI_TABANI!F23*(0.00202-VERI_TABANI!$B$16), IF(ISNUMBER(SEARCH("Gri", D107)), VERI_TABANI!F23*(0.00202-VERI_TABANI!$B$17), 0))) + ((VERI_TABANI!D24*B107*(VERI_TABANI!$B$13-VERI_TABANI!$B$14)) + (VERI_TABANI!D24*C107*(VERI_TABANI!$B$13-VERI_TABANI!$B$15)) + IF(ISNUMBER(SEARCH("Var", D107)), VERI_TABANI!F24*(0.00202-VERI_TABANI!$B$16), IF(ISNUMBER(SEARCH("Gri", D107)), VERI_TABANI!F24*(0.00202-VERI_TABANI!$B$17), 0))) + ((VERI_TABANI!D25*B107*(VERI_TABANI!$B$13-VERI_TABANI!$B$14)) + (VERI_TABANI!D25*C107*(VERI_TABANI!$B$13-VERI_TABANI!$B$15)) + IF(ISNUMBER(SEARCH("Var", D107)), VERI_TABANI!F25*(0.00202-VERI_TABANI!$B$16), IF(ISNUMBER(SEARCH("Gri", D107)), VERI_TABANI!F25*(0.00202-VERI_TABANI!$B$17), 0))) + ((VERI_TABANI!D26*B107*(VERI_TABANI!$B$13-VERI_TABANI!$B$14)) + (VERI_TABANI!D26*C107*(VERI_TABANI!$B$13-VERI_TABANI!$B$15)) + IF(ISNUMBER(SEARCH("Var", D107)), VERI_TABANI!F26*(0.00202-VERI_TABANI!$B$16), IF(ISNUMBER(SEARCH("Gri", D107)), VERI_TABANI!F26*(0.00202-VERI_TABANI!$B$17), 0))) + ((VERI_TABANI!D27*B107*(VERI_TABANI!$B$13-VERI_TABANI!$B$14)) + (VERI_TABANI!D27*C107*(VERI_TABANI!$B$13-VERI_TABANI!$B$15)) + IF(ISNUMBER(SEARCH("Var", D107)), VERI_TABANI!F27*(0.00202-VERI_TABANI!$B$16), IF(ISNUMBER(SEARCH("Gri", D107)), VERI_TABANI!F27*(0.00202-VERI_TABANI!$B$17), 0))) + ((VERI_TABANI!D28*B107*(VERI_TABANI!$B$13-VERI_TABANI!$B$14)) + (VERI_TABANI!D28*C107*(VERI_TABANI!$B$13-VERI_TABANI!$B$15)) + IF(ISNUMBER(SEARCH("Var", D107)), VERI_TABANI!F28*(0.00202-VERI_TABANI!$B$16), IF(ISNUMBER(SEARCH("Gri", D107)), VERI_TABANI!F28*(0.00202-VERI_TABANI!$B$17), 0))))</f>
        <v/>
      </c>
      <c r="I107" s="170">
        <f>IFERROR(((VERI_TABANI!$D$29*B107*VERI_TABANI!$B$14 + VERI_TABANI!$D$29*C107*VERI_TABANI!$B$15 + IF(ISNUMBER(SEARCH("Var", D107)), VERI_TABANI!$F$29*VERI_TABANI!$B$16, 0))) / (((VERI_TABANI!$D$29*B107 + VERI_TABANI!$D$29*C107)*VERI_TABANI!$B$13 + IF(ISNUMBER(SEARCH("Var", D107)), VERI_TABANI!$E$29*(1-0.928)*VERI_TABANI!$B$18, 0))), 0)</f>
        <v/>
      </c>
      <c r="J107" s="171">
        <f>IFERROR(F107/(G107/29), 0)</f>
        <v/>
      </c>
      <c r="K107" s="172">
        <f>IF(F107&gt;0, H107/F107, 0)</f>
        <v/>
      </c>
      <c r="L107" s="170">
        <f>IF(F107&gt;0, I107, 1000000000)</f>
        <v/>
      </c>
      <c r="M107" s="171">
        <f>ABS((B107+C107)-1)</f>
        <v/>
      </c>
      <c r="N107" s="170">
        <f>IF(F107&gt;0, (G107/29)/F107, 0)</f>
        <v/>
      </c>
      <c r="O107" s="168">
        <f>IF(AND((B107+C107)&gt;=1, ISNUMBER(SEARCH("Var", D107))), F107, 1000000000)</f>
        <v/>
      </c>
      <c r="P107" s="172">
        <f>IF(F107&gt;0, SQRT((F107/MAX(F$5:F$886))^2 + (1 - H107/MAX(H$5:H$886))^2 + (J107/MAX(J$5:J$886))^2), 1000000000)</f>
        <v/>
      </c>
      <c r="Q107" s="166">
        <f>IF(AND(ABS(B107-0.5)&lt;0.01, ABS(C107-0.5)&lt;0.01, ISNUMBER(SEARCH("Var", D107))), 1, 0)</f>
        <v/>
      </c>
      <c r="R107" s="171">
        <f>IF(F107&gt;0, J107, 1000000000)</f>
        <v/>
      </c>
      <c r="S107" s="101">
        <f>IF(AND(F107&lt;=DASHBOARD!$B$11, H107&gt;=DASHBOARD!$B$13), G107, -1000000000000)</f>
        <v/>
      </c>
      <c r="T107" s="101">
        <f>IF(AND(F107&lt;=DASHBOARD!$B$11, H107&gt;=DASHBOARD!$B$13), R107, 1000000000000)</f>
        <v/>
      </c>
      <c r="U107" s="101">
        <f>IF(AND(F107&lt;=DASHBOARD!$B$11, H107&gt;=DASHBOARD!$B$13), N107, -1000000000000)</f>
        <v/>
      </c>
      <c r="V107" s="101">
        <f>IF(AND(F107&lt;=DASHBOARD!$B$11, H107&gt;=DASHBOARD!$B$13), H107, -1000000000000)</f>
        <v/>
      </c>
      <c r="W107" s="101">
        <f>IF(AND(F107&lt;=DASHBOARD!$B$11, H107&gt;=DASHBOARD!$B$13), K107, -1000000000000)</f>
        <v/>
      </c>
      <c r="X107" s="101">
        <f>IF(AND(F107&lt;=DASHBOARD!$B$11, H107&gt;=DASHBOARD!$B$13), M107, 1000000000000)</f>
        <v/>
      </c>
      <c r="Y107" s="101">
        <f>IF(AND(F107&lt;=DASHBOARD!$B$10, H107&gt;=DASHBOARD!$B$11), L107, 1000000000000)</f>
        <v/>
      </c>
      <c r="Z107" s="101">
        <f>IF(AND(F107&lt;=DASHBOARD!$B$10, H107&gt;=DASHBOARD!$B$11), O107, 1000000000000)</f>
        <v/>
      </c>
      <c r="AA107" s="101">
        <f>IF(AND(F107&lt;=DASHBOARD!$B$10, H107&gt;=DASHBOARD!$B$11), P107, 1000000000000)</f>
        <v/>
      </c>
      <c r="AB107" s="101">
        <f>IF(AND(F107&lt;=DASHBOARD!$B$10, H107&gt;=DASHBOARD!$B$11), Q107, -1000000000000)</f>
        <v/>
      </c>
    </row>
    <row r="108" ht="12.75" customHeight="1" s="102">
      <c r="A108" s="166" t="n">
        <v>104</v>
      </c>
      <c r="B108" s="167" t="n">
        <v>0.2</v>
      </c>
      <c r="C108" s="167" t="n">
        <v>0.9</v>
      </c>
      <c r="D108" s="110" t="inlineStr">
        <is>
          <t>Var (%20)</t>
        </is>
      </c>
      <c r="E108" s="110">
        <f>IF((B108+C108)&lt;=1, "Tam Mahsuplaşma (≤%100)", "Kısmi Satış (&gt;%100)")</f>
        <v/>
      </c>
      <c r="F108" s="168">
        <f>((VERI_TABANI!$D$29*B108/VERI_TABANI!$B$29)/VERI_TABANI!$B$3)*VERI_TABANI!$B$5 + ((VERI_TABANI!$D$29*C108/VERI_TABANI!$B$29)/VERI_TABANI!$B$4)*VERI_TABANI!$B$6 + IF(ISNUMBER(SEARCH("Var", D108)), (VERI_TABANI!$F$29/VERI_TABANI!$B$29)*(VERI_TABANI!$B$10+VERI_TABANI!$B$12), 0)</f>
        <v/>
      </c>
      <c r="G108" s="168">
        <f>(((MIN(VERI_TABANI!D23, VERI_TABANI!D23*B108)*VERI_TABANI!$B$7 + MAX(0, VERI_TABANI!D23*B108-VERI_TABANI!D23)*VERI_TABANI!$B$8) + (MIN(MAX(0, VERI_TABANI!D23-VERI_TABANI!D23*B108), VERI_TABANI!D23*C108)*VERI_TABANI!$B$7 + MAX(0, VERI_TABANI!D23*C108-MAX(0, VERI_TABANI!D23-VERI_TABANI!D23*B108))*VERI_TABANI!$B$8) + IF(ABS(IF(ISNUMBER(SEARCH("Var", D108)), 1, IF(ISNUMBER(SEARCH("Gri", D108)), -1, 0)))=1, VERI_TABANI!E23*(1-0.928)*VERI_TABANI!$B$9, 0) + (VERI_TABANI!D23*B108*(VERI_TABANI!$B$13-VERI_TABANI!$B$14)*VERI_TABANI!G23) + (VERI_TABANI!D23*C108*(VERI_TABANI!$B$13-VERI_TABANI!$B$15)*VERI_TABANI!G23) + IF(ABS(IF(ISNUMBER(SEARCH("Var", D108)), 1, IF(ISNUMBER(SEARCH("Gri", D108)), -1, 0)))=1, VERI_TABANI!E23*(1-0.928)*0.00206091519919798*VERI_TABANI!G23, 0)) + ((MIN(VERI_TABANI!D24, VERI_TABANI!D24*B108)*VERI_TABANI!$B$7 + MAX(0, VERI_TABANI!D24*B108-VERI_TABANI!D24)*VERI_TABANI!$B$8) + (MIN(MAX(0, VERI_TABANI!D24-VERI_TABANI!D24*B108), VERI_TABANI!D24*C108)*VERI_TABANI!$B$7 + MAX(0, VERI_TABANI!D24*C108-MAX(0, VERI_TABANI!D24-VERI_TABANI!D24*B108))*VERI_TABANI!$B$8) + IF(ABS(IF(ISNUMBER(SEARCH("Var", D108)), 1, IF(ISNUMBER(SEARCH("Gri", D108)), -1, 0)))=1, VERI_TABANI!E24*(1-0.928)*VERI_TABANI!$B$9, 0) + (VERI_TABANI!D24*B108*(VERI_TABANI!$B$13-VERI_TABANI!$B$14)*VERI_TABANI!G24) + (VERI_TABANI!D24*C108*(VERI_TABANI!$B$13-VERI_TABANI!$B$15)*VERI_TABANI!G24) + IF(ABS(IF(ISNUMBER(SEARCH("Var", D108)), 1, IF(ISNUMBER(SEARCH("Gri", D108)), -1, 0)))=1, VERI_TABANI!E24*(1-0.928)*0.00206091519919798*VERI_TABANI!G24, 0)) + ((MIN(VERI_TABANI!D25, VERI_TABANI!D25*B108)*VERI_TABANI!$B$7 + MAX(0, VERI_TABANI!D25*B108-VERI_TABANI!D25)*VERI_TABANI!$B$8) + (MIN(MAX(0, VERI_TABANI!D25-VERI_TABANI!D25*B108), VERI_TABANI!D25*C108)*VERI_TABANI!$B$7 + MAX(0, VERI_TABANI!D25*C108-MAX(0, VERI_TABANI!D25-VERI_TABANI!D25*B108))*VERI_TABANI!$B$8) + IF(ABS(IF(ISNUMBER(SEARCH("Var", D108)), 1, IF(ISNUMBER(SEARCH("Gri", D108)), -1, 0)))=1, VERI_TABANI!E25*(1-0.928)*VERI_TABANI!$B$9, 0) + (VERI_TABANI!D25*B108*(VERI_TABANI!$B$13-VERI_TABANI!$B$14)*VERI_TABANI!G25) + (VERI_TABANI!D25*C108*(VERI_TABANI!$B$13-VERI_TABANI!$B$15)*VERI_TABANI!G25) + IF(ABS(IF(ISNUMBER(SEARCH("Var", D108)), 1, IF(ISNUMBER(SEARCH("Gri", D108)), -1, 0)))=1, VERI_TABANI!E25*(1-0.928)*0.00206091519919798*VERI_TABANI!G25, 0)) + ((MIN(VERI_TABANI!D26, VERI_TABANI!D26*B108)*VERI_TABANI!$B$7 + MAX(0, VERI_TABANI!D26*B108-VERI_TABANI!D26)*VERI_TABANI!$B$8) + (MIN(MAX(0, VERI_TABANI!D26-VERI_TABANI!D26*B108), VERI_TABANI!D26*C108)*VERI_TABANI!$B$7 + MAX(0, VERI_TABANI!D26*C108-MAX(0, VERI_TABANI!D26-VERI_TABANI!D26*B108))*VERI_TABANI!$B$8) + IF(ABS(IF(ISNUMBER(SEARCH("Var", D108)), 1, IF(ISNUMBER(SEARCH("Gri", D108)), -1, 0)))=1, VERI_TABANI!E26*(1-0.928)*VERI_TABANI!$B$9, 0) + (VERI_TABANI!D26*B108*(VERI_TABANI!$B$13-VERI_TABANI!$B$14)*VERI_TABANI!G26) + (VERI_TABANI!D26*C108*(VERI_TABANI!$B$13-VERI_TABANI!$B$15)*VERI_TABANI!G26) + IF(ABS(IF(ISNUMBER(SEARCH("Var", D108)), 1, IF(ISNUMBER(SEARCH("Gri", D108)), -1, 0)))=1, VERI_TABANI!E26*(1-0.928)*0.00206091519919798*VERI_TABANI!G26, 0)) + ((MIN(VERI_TABANI!D27, VERI_TABANI!D27*B108)*VERI_TABANI!$B$7 + MAX(0, VERI_TABANI!D27*B108-VERI_TABANI!D27)*VERI_TABANI!$B$8) + (MIN(MAX(0, VERI_TABANI!D27-VERI_TABANI!D27*B108), VERI_TABANI!D27*C108)*VERI_TABANI!$B$7 + MAX(0, VERI_TABANI!D27*C108-MAX(0, VERI_TABANI!D27-VERI_TABANI!D27*B108))*VERI_TABANI!$B$8) + IF(ABS(IF(ISNUMBER(SEARCH("Var", D108)), 1, IF(ISNUMBER(SEARCH("Gri", D108)), -1, 0)))=1, VERI_TABANI!E27*(1-0.928)*VERI_TABANI!$B$9, 0) + (VERI_TABANI!D27*B108*(VERI_TABANI!$B$13-VERI_TABANI!$B$14)*VERI_TABANI!G27) + (VERI_TABANI!D27*C108*(VERI_TABANI!$B$13-VERI_TABANI!$B$15)*VERI_TABANI!G27) + IF(ABS(IF(ISNUMBER(SEARCH("Var", D108)), 1, IF(ISNUMBER(SEARCH("Gri", D108)), -1, 0)))=1, VERI_TABANI!E27*(1-0.928)*0.00206091519919798*VERI_TABANI!G27, 0)) + ((MIN(VERI_TABANI!D28, VERI_TABANI!D28*B108)*VERI_TABANI!$B$7 + MAX(0, VERI_TABANI!D28*B108-VERI_TABANI!D28)*VERI_TABANI!$B$8) + (MIN(MAX(0, VERI_TABANI!D28-VERI_TABANI!D28*B108), VERI_TABANI!D28*C108)*VERI_TABANI!$B$7 + MAX(0, VERI_TABANI!D28*C108-MAX(0, VERI_TABANI!D28-VERI_TABANI!D28*B108))*VERI_TABANI!$B$8) + IF(ABS(IF(ISNUMBER(SEARCH("Var", D108)), 1, IF(ISNUMBER(SEARCH("Gri", D108)), -1, 0)))=1, VERI_TABANI!E28*(1-0.928)*VERI_TABANI!$B$9, 0) + (VERI_TABANI!D28*B108*(VERI_TABANI!$B$13-VERI_TABANI!$B$14)*VERI_TABANI!G28) + (VERI_TABANI!D28*C108*(VERI_TABANI!$B$13-VERI_TABANI!$B$15)*VERI_TABANI!G28) + IF(ABS(IF(ISNUMBER(SEARCH("Var", D108)), 1, IF(ISNUMBER(SEARCH("Gri", D108)), -1, 0)))=1, VERI_TABANI!E28*(1-0.928)*0.00206091519919798*VERI_TABANI!G28, 0)))</f>
        <v/>
      </c>
      <c r="H108" s="169">
        <f>(((VERI_TABANI!D23*B108*(VERI_TABANI!$B$13-VERI_TABANI!$B$14)) + (VERI_TABANI!D23*C108*(VERI_TABANI!$B$13-VERI_TABANI!$B$15)) + IF(ISNUMBER(SEARCH("Var", D108)), VERI_TABANI!F23*(0.00202-VERI_TABANI!$B$16), IF(ISNUMBER(SEARCH("Gri", D108)), VERI_TABANI!F23*(0.00202-VERI_TABANI!$B$17), 0))) + ((VERI_TABANI!D24*B108*(VERI_TABANI!$B$13-VERI_TABANI!$B$14)) + (VERI_TABANI!D24*C108*(VERI_TABANI!$B$13-VERI_TABANI!$B$15)) + IF(ISNUMBER(SEARCH("Var", D108)), VERI_TABANI!F24*(0.00202-VERI_TABANI!$B$16), IF(ISNUMBER(SEARCH("Gri", D108)), VERI_TABANI!F24*(0.00202-VERI_TABANI!$B$17), 0))) + ((VERI_TABANI!D25*B108*(VERI_TABANI!$B$13-VERI_TABANI!$B$14)) + (VERI_TABANI!D25*C108*(VERI_TABANI!$B$13-VERI_TABANI!$B$15)) + IF(ISNUMBER(SEARCH("Var", D108)), VERI_TABANI!F25*(0.00202-VERI_TABANI!$B$16), IF(ISNUMBER(SEARCH("Gri", D108)), VERI_TABANI!F25*(0.00202-VERI_TABANI!$B$17), 0))) + ((VERI_TABANI!D26*B108*(VERI_TABANI!$B$13-VERI_TABANI!$B$14)) + (VERI_TABANI!D26*C108*(VERI_TABANI!$B$13-VERI_TABANI!$B$15)) + IF(ISNUMBER(SEARCH("Var", D108)), VERI_TABANI!F26*(0.00202-VERI_TABANI!$B$16), IF(ISNUMBER(SEARCH("Gri", D108)), VERI_TABANI!F26*(0.00202-VERI_TABANI!$B$17), 0))) + ((VERI_TABANI!D27*B108*(VERI_TABANI!$B$13-VERI_TABANI!$B$14)) + (VERI_TABANI!D27*C108*(VERI_TABANI!$B$13-VERI_TABANI!$B$15)) + IF(ISNUMBER(SEARCH("Var", D108)), VERI_TABANI!F27*(0.00202-VERI_TABANI!$B$16), IF(ISNUMBER(SEARCH("Gri", D108)), VERI_TABANI!F27*(0.00202-VERI_TABANI!$B$17), 0))) + ((VERI_TABANI!D28*B108*(VERI_TABANI!$B$13-VERI_TABANI!$B$14)) + (VERI_TABANI!D28*C108*(VERI_TABANI!$B$13-VERI_TABANI!$B$15)) + IF(ISNUMBER(SEARCH("Var", D108)), VERI_TABANI!F28*(0.00202-VERI_TABANI!$B$16), IF(ISNUMBER(SEARCH("Gri", D108)), VERI_TABANI!F28*(0.00202-VERI_TABANI!$B$17), 0))))</f>
        <v/>
      </c>
      <c r="I108" s="170">
        <f>IFERROR(((VERI_TABANI!$D$29*B108*VERI_TABANI!$B$14 + VERI_TABANI!$D$29*C108*VERI_TABANI!$B$15 + IF(ISNUMBER(SEARCH("Var", D108)), VERI_TABANI!$F$29*VERI_TABANI!$B$16, 0))) / (((VERI_TABANI!$D$29*B108 + VERI_TABANI!$D$29*C108)*VERI_TABANI!$B$13 + IF(ISNUMBER(SEARCH("Var", D108)), VERI_TABANI!$E$29*(1-0.928)*VERI_TABANI!$B$18, 0))), 0)</f>
        <v/>
      </c>
      <c r="J108" s="171">
        <f>IFERROR(F108/(G108/29), 0)</f>
        <v/>
      </c>
      <c r="K108" s="172">
        <f>IF(F108&gt;0, H108/F108, 0)</f>
        <v/>
      </c>
      <c r="L108" s="170">
        <f>IF(F108&gt;0, I108, 1000000000)</f>
        <v/>
      </c>
      <c r="M108" s="171">
        <f>ABS((B108+C108)-1)</f>
        <v/>
      </c>
      <c r="N108" s="170">
        <f>IF(F108&gt;0, (G108/29)/F108, 0)</f>
        <v/>
      </c>
      <c r="O108" s="168">
        <f>IF(AND((B108+C108)&gt;=1, ISNUMBER(SEARCH("Var", D108))), F108, 1000000000)</f>
        <v/>
      </c>
      <c r="P108" s="172">
        <f>IF(F108&gt;0, SQRT((F108/MAX(F$5:F$886))^2 + (1 - H108/MAX(H$5:H$886))^2 + (J108/MAX(J$5:J$886))^2), 1000000000)</f>
        <v/>
      </c>
      <c r="Q108" s="166">
        <f>IF(AND(ABS(B108-0.5)&lt;0.01, ABS(C108-0.5)&lt;0.01, ISNUMBER(SEARCH("Var", D108))), 1, 0)</f>
        <v/>
      </c>
      <c r="R108" s="171">
        <f>IF(F108&gt;0, J108, 1000000000)</f>
        <v/>
      </c>
      <c r="S108" s="101">
        <f>IF(AND(F108&lt;=DASHBOARD!$B$11, H108&gt;=DASHBOARD!$B$13), G108, -1000000000000)</f>
        <v/>
      </c>
      <c r="T108" s="101">
        <f>IF(AND(F108&lt;=DASHBOARD!$B$11, H108&gt;=DASHBOARD!$B$13), R108, 1000000000000)</f>
        <v/>
      </c>
      <c r="U108" s="101">
        <f>IF(AND(F108&lt;=DASHBOARD!$B$11, H108&gt;=DASHBOARD!$B$13), N108, -1000000000000)</f>
        <v/>
      </c>
      <c r="V108" s="101">
        <f>IF(AND(F108&lt;=DASHBOARD!$B$11, H108&gt;=DASHBOARD!$B$13), H108, -1000000000000)</f>
        <v/>
      </c>
      <c r="W108" s="101">
        <f>IF(AND(F108&lt;=DASHBOARD!$B$11, H108&gt;=DASHBOARD!$B$13), K108, -1000000000000)</f>
        <v/>
      </c>
      <c r="X108" s="101">
        <f>IF(AND(F108&lt;=DASHBOARD!$B$11, H108&gt;=DASHBOARD!$B$13), M108, 1000000000000)</f>
        <v/>
      </c>
      <c r="Y108" s="101">
        <f>IF(AND(F108&lt;=DASHBOARD!$B$10, H108&gt;=DASHBOARD!$B$11), L108, 1000000000000)</f>
        <v/>
      </c>
      <c r="Z108" s="101">
        <f>IF(AND(F108&lt;=DASHBOARD!$B$10, H108&gt;=DASHBOARD!$B$11), O108, 1000000000000)</f>
        <v/>
      </c>
      <c r="AA108" s="101">
        <f>IF(AND(F108&lt;=DASHBOARD!$B$10, H108&gt;=DASHBOARD!$B$11), P108, 1000000000000)</f>
        <v/>
      </c>
      <c r="AB108" s="101">
        <f>IF(AND(F108&lt;=DASHBOARD!$B$10, H108&gt;=DASHBOARD!$B$11), Q108, -1000000000000)</f>
        <v/>
      </c>
    </row>
    <row r="109" ht="12.75" customHeight="1" s="102">
      <c r="A109" s="166" t="n">
        <v>105</v>
      </c>
      <c r="B109" s="167" t="n">
        <v>0.2</v>
      </c>
      <c r="C109" s="167" t="n">
        <v>1</v>
      </c>
      <c r="D109" s="110" t="inlineStr">
        <is>
          <t>Yok (%0)</t>
        </is>
      </c>
      <c r="E109" s="110">
        <f>IF((B109+C109)&lt;=1, "Tam Mahsuplaşma (≤%100)", "Kısmi Satış (&gt;%100)")</f>
        <v/>
      </c>
      <c r="F109" s="168">
        <f>((VERI_TABANI!$D$29*B109/VERI_TABANI!$B$29)/VERI_TABANI!$B$3)*VERI_TABANI!$B$5 + ((VERI_TABANI!$D$29*C109/VERI_TABANI!$B$29)/VERI_TABANI!$B$4)*VERI_TABANI!$B$6 + IF(ISNUMBER(SEARCH("Var", D109)), (VERI_TABANI!$F$29/VERI_TABANI!$B$29)*(VERI_TABANI!$B$10+VERI_TABANI!$B$12), 0)</f>
        <v/>
      </c>
      <c r="G109" s="168">
        <f>(((MIN(VERI_TABANI!D23, VERI_TABANI!D23*B109)*VERI_TABANI!$B$7 + MAX(0, VERI_TABANI!D23*B109-VERI_TABANI!D23)*VERI_TABANI!$B$8) + (MIN(MAX(0, VERI_TABANI!D23-VERI_TABANI!D23*B109), VERI_TABANI!D23*C109)*VERI_TABANI!$B$7 + MAX(0, VERI_TABANI!D23*C109-MAX(0, VERI_TABANI!D23-VERI_TABANI!D23*B109))*VERI_TABANI!$B$8) + IF(ABS(IF(ISNUMBER(SEARCH("Var", D109)), 1, IF(ISNUMBER(SEARCH("Gri", D109)), -1, 0)))=1, VERI_TABANI!E23*(1-0.928)*VERI_TABANI!$B$9, 0) + (VERI_TABANI!D23*B109*(VERI_TABANI!$B$13-VERI_TABANI!$B$14)*VERI_TABANI!G23) + (VERI_TABANI!D23*C109*(VERI_TABANI!$B$13-VERI_TABANI!$B$15)*VERI_TABANI!G23) + IF(ABS(IF(ISNUMBER(SEARCH("Var", D109)), 1, IF(ISNUMBER(SEARCH("Gri", D109)), -1, 0)))=1, VERI_TABANI!E23*(1-0.928)*0.00206091519919798*VERI_TABANI!G23, 0)) + ((MIN(VERI_TABANI!D24, VERI_TABANI!D24*B109)*VERI_TABANI!$B$7 + MAX(0, VERI_TABANI!D24*B109-VERI_TABANI!D24)*VERI_TABANI!$B$8) + (MIN(MAX(0, VERI_TABANI!D24-VERI_TABANI!D24*B109), VERI_TABANI!D24*C109)*VERI_TABANI!$B$7 + MAX(0, VERI_TABANI!D24*C109-MAX(0, VERI_TABANI!D24-VERI_TABANI!D24*B109))*VERI_TABANI!$B$8) + IF(ABS(IF(ISNUMBER(SEARCH("Var", D109)), 1, IF(ISNUMBER(SEARCH("Gri", D109)), -1, 0)))=1, VERI_TABANI!E24*(1-0.928)*VERI_TABANI!$B$9, 0) + (VERI_TABANI!D24*B109*(VERI_TABANI!$B$13-VERI_TABANI!$B$14)*VERI_TABANI!G24) + (VERI_TABANI!D24*C109*(VERI_TABANI!$B$13-VERI_TABANI!$B$15)*VERI_TABANI!G24) + IF(ABS(IF(ISNUMBER(SEARCH("Var", D109)), 1, IF(ISNUMBER(SEARCH("Gri", D109)), -1, 0)))=1, VERI_TABANI!E24*(1-0.928)*0.00206091519919798*VERI_TABANI!G24, 0)) + ((MIN(VERI_TABANI!D25, VERI_TABANI!D25*B109)*VERI_TABANI!$B$7 + MAX(0, VERI_TABANI!D25*B109-VERI_TABANI!D25)*VERI_TABANI!$B$8) + (MIN(MAX(0, VERI_TABANI!D25-VERI_TABANI!D25*B109), VERI_TABANI!D25*C109)*VERI_TABANI!$B$7 + MAX(0, VERI_TABANI!D25*C109-MAX(0, VERI_TABANI!D25-VERI_TABANI!D25*B109))*VERI_TABANI!$B$8) + IF(ABS(IF(ISNUMBER(SEARCH("Var", D109)), 1, IF(ISNUMBER(SEARCH("Gri", D109)), -1, 0)))=1, VERI_TABANI!E25*(1-0.928)*VERI_TABANI!$B$9, 0) + (VERI_TABANI!D25*B109*(VERI_TABANI!$B$13-VERI_TABANI!$B$14)*VERI_TABANI!G25) + (VERI_TABANI!D25*C109*(VERI_TABANI!$B$13-VERI_TABANI!$B$15)*VERI_TABANI!G25) + IF(ABS(IF(ISNUMBER(SEARCH("Var", D109)), 1, IF(ISNUMBER(SEARCH("Gri", D109)), -1, 0)))=1, VERI_TABANI!E25*(1-0.928)*0.00206091519919798*VERI_TABANI!G25, 0)) + ((MIN(VERI_TABANI!D26, VERI_TABANI!D26*B109)*VERI_TABANI!$B$7 + MAX(0, VERI_TABANI!D26*B109-VERI_TABANI!D26)*VERI_TABANI!$B$8) + (MIN(MAX(0, VERI_TABANI!D26-VERI_TABANI!D26*B109), VERI_TABANI!D26*C109)*VERI_TABANI!$B$7 + MAX(0, VERI_TABANI!D26*C109-MAX(0, VERI_TABANI!D26-VERI_TABANI!D26*B109))*VERI_TABANI!$B$8) + IF(ABS(IF(ISNUMBER(SEARCH("Var", D109)), 1, IF(ISNUMBER(SEARCH("Gri", D109)), -1, 0)))=1, VERI_TABANI!E26*(1-0.928)*VERI_TABANI!$B$9, 0) + (VERI_TABANI!D26*B109*(VERI_TABANI!$B$13-VERI_TABANI!$B$14)*VERI_TABANI!G26) + (VERI_TABANI!D26*C109*(VERI_TABANI!$B$13-VERI_TABANI!$B$15)*VERI_TABANI!G26) + IF(ABS(IF(ISNUMBER(SEARCH("Var", D109)), 1, IF(ISNUMBER(SEARCH("Gri", D109)), -1, 0)))=1, VERI_TABANI!E26*(1-0.928)*0.00206091519919798*VERI_TABANI!G26, 0)) + ((MIN(VERI_TABANI!D27, VERI_TABANI!D27*B109)*VERI_TABANI!$B$7 + MAX(0, VERI_TABANI!D27*B109-VERI_TABANI!D27)*VERI_TABANI!$B$8) + (MIN(MAX(0, VERI_TABANI!D27-VERI_TABANI!D27*B109), VERI_TABANI!D27*C109)*VERI_TABANI!$B$7 + MAX(0, VERI_TABANI!D27*C109-MAX(0, VERI_TABANI!D27-VERI_TABANI!D27*B109))*VERI_TABANI!$B$8) + IF(ABS(IF(ISNUMBER(SEARCH("Var", D109)), 1, IF(ISNUMBER(SEARCH("Gri", D109)), -1, 0)))=1, VERI_TABANI!E27*(1-0.928)*VERI_TABANI!$B$9, 0) + (VERI_TABANI!D27*B109*(VERI_TABANI!$B$13-VERI_TABANI!$B$14)*VERI_TABANI!G27) + (VERI_TABANI!D27*C109*(VERI_TABANI!$B$13-VERI_TABANI!$B$15)*VERI_TABANI!G27) + IF(ABS(IF(ISNUMBER(SEARCH("Var", D109)), 1, IF(ISNUMBER(SEARCH("Gri", D109)), -1, 0)))=1, VERI_TABANI!E27*(1-0.928)*0.00206091519919798*VERI_TABANI!G27, 0)) + ((MIN(VERI_TABANI!D28, VERI_TABANI!D28*B109)*VERI_TABANI!$B$7 + MAX(0, VERI_TABANI!D28*B109-VERI_TABANI!D28)*VERI_TABANI!$B$8) + (MIN(MAX(0, VERI_TABANI!D28-VERI_TABANI!D28*B109), VERI_TABANI!D28*C109)*VERI_TABANI!$B$7 + MAX(0, VERI_TABANI!D28*C109-MAX(0, VERI_TABANI!D28-VERI_TABANI!D28*B109))*VERI_TABANI!$B$8) + IF(ABS(IF(ISNUMBER(SEARCH("Var", D109)), 1, IF(ISNUMBER(SEARCH("Gri", D109)), -1, 0)))=1, VERI_TABANI!E28*(1-0.928)*VERI_TABANI!$B$9, 0) + (VERI_TABANI!D28*B109*(VERI_TABANI!$B$13-VERI_TABANI!$B$14)*VERI_TABANI!G28) + (VERI_TABANI!D28*C109*(VERI_TABANI!$B$13-VERI_TABANI!$B$15)*VERI_TABANI!G28) + IF(ABS(IF(ISNUMBER(SEARCH("Var", D109)), 1, IF(ISNUMBER(SEARCH("Gri", D109)), -1, 0)))=1, VERI_TABANI!E28*(1-0.928)*0.00206091519919798*VERI_TABANI!G28, 0)))</f>
        <v/>
      </c>
      <c r="H109" s="169">
        <f>(((VERI_TABANI!D23*B109*(VERI_TABANI!$B$13-VERI_TABANI!$B$14)) + (VERI_TABANI!D23*C109*(VERI_TABANI!$B$13-VERI_TABANI!$B$15)) + IF(ISNUMBER(SEARCH("Var", D109)), VERI_TABANI!F23*(0.00202-VERI_TABANI!$B$16), IF(ISNUMBER(SEARCH("Gri", D109)), VERI_TABANI!F23*(0.00202-VERI_TABANI!$B$17), 0))) + ((VERI_TABANI!D24*B109*(VERI_TABANI!$B$13-VERI_TABANI!$B$14)) + (VERI_TABANI!D24*C109*(VERI_TABANI!$B$13-VERI_TABANI!$B$15)) + IF(ISNUMBER(SEARCH("Var", D109)), VERI_TABANI!F24*(0.00202-VERI_TABANI!$B$16), IF(ISNUMBER(SEARCH("Gri", D109)), VERI_TABANI!F24*(0.00202-VERI_TABANI!$B$17), 0))) + ((VERI_TABANI!D25*B109*(VERI_TABANI!$B$13-VERI_TABANI!$B$14)) + (VERI_TABANI!D25*C109*(VERI_TABANI!$B$13-VERI_TABANI!$B$15)) + IF(ISNUMBER(SEARCH("Var", D109)), VERI_TABANI!F25*(0.00202-VERI_TABANI!$B$16), IF(ISNUMBER(SEARCH("Gri", D109)), VERI_TABANI!F25*(0.00202-VERI_TABANI!$B$17), 0))) + ((VERI_TABANI!D26*B109*(VERI_TABANI!$B$13-VERI_TABANI!$B$14)) + (VERI_TABANI!D26*C109*(VERI_TABANI!$B$13-VERI_TABANI!$B$15)) + IF(ISNUMBER(SEARCH("Var", D109)), VERI_TABANI!F26*(0.00202-VERI_TABANI!$B$16), IF(ISNUMBER(SEARCH("Gri", D109)), VERI_TABANI!F26*(0.00202-VERI_TABANI!$B$17), 0))) + ((VERI_TABANI!D27*B109*(VERI_TABANI!$B$13-VERI_TABANI!$B$14)) + (VERI_TABANI!D27*C109*(VERI_TABANI!$B$13-VERI_TABANI!$B$15)) + IF(ISNUMBER(SEARCH("Var", D109)), VERI_TABANI!F27*(0.00202-VERI_TABANI!$B$16), IF(ISNUMBER(SEARCH("Gri", D109)), VERI_TABANI!F27*(0.00202-VERI_TABANI!$B$17), 0))) + ((VERI_TABANI!D28*B109*(VERI_TABANI!$B$13-VERI_TABANI!$B$14)) + (VERI_TABANI!D28*C109*(VERI_TABANI!$B$13-VERI_TABANI!$B$15)) + IF(ISNUMBER(SEARCH("Var", D109)), VERI_TABANI!F28*(0.00202-VERI_TABANI!$B$16), IF(ISNUMBER(SEARCH("Gri", D109)), VERI_TABANI!F28*(0.00202-VERI_TABANI!$B$17), 0))))</f>
        <v/>
      </c>
      <c r="I109" s="170">
        <f>IFERROR(((VERI_TABANI!$D$29*B109*VERI_TABANI!$B$14 + VERI_TABANI!$D$29*C109*VERI_TABANI!$B$15 + IF(ISNUMBER(SEARCH("Var", D109)), VERI_TABANI!$F$29*VERI_TABANI!$B$16, 0))) / (((VERI_TABANI!$D$29*B109 + VERI_TABANI!$D$29*C109)*VERI_TABANI!$B$13 + IF(ISNUMBER(SEARCH("Var", D109)), VERI_TABANI!$E$29*(1-0.928)*VERI_TABANI!$B$18, 0))), 0)</f>
        <v/>
      </c>
      <c r="J109" s="171">
        <f>IFERROR(F109/(G109/29), 0)</f>
        <v/>
      </c>
      <c r="K109" s="172">
        <f>IF(F109&gt;0, H109/F109, 0)</f>
        <v/>
      </c>
      <c r="L109" s="170">
        <f>IF(F109&gt;0, I109, 1000000000)</f>
        <v/>
      </c>
      <c r="M109" s="171">
        <f>ABS((B109+C109)-1)</f>
        <v/>
      </c>
      <c r="N109" s="170">
        <f>IF(F109&gt;0, (G109/29)/F109, 0)</f>
        <v/>
      </c>
      <c r="O109" s="168">
        <f>IF(AND((B109+C109)&gt;=1, ISNUMBER(SEARCH("Var", D109))), F109, 1000000000)</f>
        <v/>
      </c>
      <c r="P109" s="172">
        <f>IF(F109&gt;0, SQRT((F109/MAX(F$5:F$886))^2 + (1 - H109/MAX(H$5:H$886))^2 + (J109/MAX(J$5:J$886))^2), 1000000000)</f>
        <v/>
      </c>
      <c r="Q109" s="166">
        <f>IF(AND(ABS(B109-0.5)&lt;0.01, ABS(C109-0.5)&lt;0.01, ISNUMBER(SEARCH("Var", D109))), 1, 0)</f>
        <v/>
      </c>
      <c r="R109" s="171">
        <f>IF(F109&gt;0, J109, 1000000000)</f>
        <v/>
      </c>
      <c r="S109" s="101">
        <f>IF(AND(F109&lt;=DASHBOARD!$B$11, H109&gt;=DASHBOARD!$B$13), G109, -1000000000000)</f>
        <v/>
      </c>
      <c r="T109" s="101">
        <f>IF(AND(F109&lt;=DASHBOARD!$B$11, H109&gt;=DASHBOARD!$B$13), R109, 1000000000000)</f>
        <v/>
      </c>
      <c r="U109" s="101">
        <f>IF(AND(F109&lt;=DASHBOARD!$B$11, H109&gt;=DASHBOARD!$B$13), N109, -1000000000000)</f>
        <v/>
      </c>
      <c r="V109" s="101">
        <f>IF(AND(F109&lt;=DASHBOARD!$B$11, H109&gt;=DASHBOARD!$B$13), H109, -1000000000000)</f>
        <v/>
      </c>
      <c r="W109" s="101">
        <f>IF(AND(F109&lt;=DASHBOARD!$B$11, H109&gt;=DASHBOARD!$B$13), K109, -1000000000000)</f>
        <v/>
      </c>
      <c r="X109" s="101">
        <f>IF(AND(F109&lt;=DASHBOARD!$B$11, H109&gt;=DASHBOARD!$B$13), M109, 1000000000000)</f>
        <v/>
      </c>
      <c r="Y109" s="101">
        <f>IF(AND(F109&lt;=DASHBOARD!$B$10, H109&gt;=DASHBOARD!$B$11), L109, 1000000000000)</f>
        <v/>
      </c>
      <c r="Z109" s="101">
        <f>IF(AND(F109&lt;=DASHBOARD!$B$10, H109&gt;=DASHBOARD!$B$11), O109, 1000000000000)</f>
        <v/>
      </c>
      <c r="AA109" s="101">
        <f>IF(AND(F109&lt;=DASHBOARD!$B$10, H109&gt;=DASHBOARD!$B$11), P109, 1000000000000)</f>
        <v/>
      </c>
      <c r="AB109" s="101">
        <f>IF(AND(F109&lt;=DASHBOARD!$B$10, H109&gt;=DASHBOARD!$B$11), Q109, -1000000000000)</f>
        <v/>
      </c>
    </row>
    <row r="110" ht="12.75" customHeight="1" s="102">
      <c r="A110" s="166" t="n">
        <v>106</v>
      </c>
      <c r="B110" s="167" t="n">
        <v>0.2</v>
      </c>
      <c r="C110" s="167" t="n">
        <v>1</v>
      </c>
      <c r="D110" s="110" t="inlineStr">
        <is>
          <t>Var (%20)</t>
        </is>
      </c>
      <c r="E110" s="110">
        <f>IF((B110+C110)&lt;=1, "Tam Mahsuplaşma (≤%100)", "Kısmi Satış (&gt;%100)")</f>
        <v/>
      </c>
      <c r="F110" s="168">
        <f>((VERI_TABANI!$D$29*B110/VERI_TABANI!$B$29)/VERI_TABANI!$B$3)*VERI_TABANI!$B$5 + ((VERI_TABANI!$D$29*C110/VERI_TABANI!$B$29)/VERI_TABANI!$B$4)*VERI_TABANI!$B$6 + IF(ISNUMBER(SEARCH("Var", D110)), (VERI_TABANI!$F$29/VERI_TABANI!$B$29)*(VERI_TABANI!$B$10+VERI_TABANI!$B$12), 0)</f>
        <v/>
      </c>
      <c r="G110" s="168">
        <f>(((MIN(VERI_TABANI!D23, VERI_TABANI!D23*B110)*VERI_TABANI!$B$7 + MAX(0, VERI_TABANI!D23*B110-VERI_TABANI!D23)*VERI_TABANI!$B$8) + (MIN(MAX(0, VERI_TABANI!D23-VERI_TABANI!D23*B110), VERI_TABANI!D23*C110)*VERI_TABANI!$B$7 + MAX(0, VERI_TABANI!D23*C110-MAX(0, VERI_TABANI!D23-VERI_TABANI!D23*B110))*VERI_TABANI!$B$8) + IF(ABS(IF(ISNUMBER(SEARCH("Var", D110)), 1, IF(ISNUMBER(SEARCH("Gri", D110)), -1, 0)))=1, VERI_TABANI!E23*(1-0.928)*VERI_TABANI!$B$9, 0) + (VERI_TABANI!D23*B110*(VERI_TABANI!$B$13-VERI_TABANI!$B$14)*VERI_TABANI!G23) + (VERI_TABANI!D23*C110*(VERI_TABANI!$B$13-VERI_TABANI!$B$15)*VERI_TABANI!G23) + IF(ABS(IF(ISNUMBER(SEARCH("Var", D110)), 1, IF(ISNUMBER(SEARCH("Gri", D110)), -1, 0)))=1, VERI_TABANI!E23*(1-0.928)*0.00206091519919798*VERI_TABANI!G23, 0)) + ((MIN(VERI_TABANI!D24, VERI_TABANI!D24*B110)*VERI_TABANI!$B$7 + MAX(0, VERI_TABANI!D24*B110-VERI_TABANI!D24)*VERI_TABANI!$B$8) + (MIN(MAX(0, VERI_TABANI!D24-VERI_TABANI!D24*B110), VERI_TABANI!D24*C110)*VERI_TABANI!$B$7 + MAX(0, VERI_TABANI!D24*C110-MAX(0, VERI_TABANI!D24-VERI_TABANI!D24*B110))*VERI_TABANI!$B$8) + IF(ABS(IF(ISNUMBER(SEARCH("Var", D110)), 1, IF(ISNUMBER(SEARCH("Gri", D110)), -1, 0)))=1, VERI_TABANI!E24*(1-0.928)*VERI_TABANI!$B$9, 0) + (VERI_TABANI!D24*B110*(VERI_TABANI!$B$13-VERI_TABANI!$B$14)*VERI_TABANI!G24) + (VERI_TABANI!D24*C110*(VERI_TABANI!$B$13-VERI_TABANI!$B$15)*VERI_TABANI!G24) + IF(ABS(IF(ISNUMBER(SEARCH("Var", D110)), 1, IF(ISNUMBER(SEARCH("Gri", D110)), -1, 0)))=1, VERI_TABANI!E24*(1-0.928)*0.00206091519919798*VERI_TABANI!G24, 0)) + ((MIN(VERI_TABANI!D25, VERI_TABANI!D25*B110)*VERI_TABANI!$B$7 + MAX(0, VERI_TABANI!D25*B110-VERI_TABANI!D25)*VERI_TABANI!$B$8) + (MIN(MAX(0, VERI_TABANI!D25-VERI_TABANI!D25*B110), VERI_TABANI!D25*C110)*VERI_TABANI!$B$7 + MAX(0, VERI_TABANI!D25*C110-MAX(0, VERI_TABANI!D25-VERI_TABANI!D25*B110))*VERI_TABANI!$B$8) + IF(ABS(IF(ISNUMBER(SEARCH("Var", D110)), 1, IF(ISNUMBER(SEARCH("Gri", D110)), -1, 0)))=1, VERI_TABANI!E25*(1-0.928)*VERI_TABANI!$B$9, 0) + (VERI_TABANI!D25*B110*(VERI_TABANI!$B$13-VERI_TABANI!$B$14)*VERI_TABANI!G25) + (VERI_TABANI!D25*C110*(VERI_TABANI!$B$13-VERI_TABANI!$B$15)*VERI_TABANI!G25) + IF(ABS(IF(ISNUMBER(SEARCH("Var", D110)), 1, IF(ISNUMBER(SEARCH("Gri", D110)), -1, 0)))=1, VERI_TABANI!E25*(1-0.928)*0.00206091519919798*VERI_TABANI!G25, 0)) + ((MIN(VERI_TABANI!D26, VERI_TABANI!D26*B110)*VERI_TABANI!$B$7 + MAX(0, VERI_TABANI!D26*B110-VERI_TABANI!D26)*VERI_TABANI!$B$8) + (MIN(MAX(0, VERI_TABANI!D26-VERI_TABANI!D26*B110), VERI_TABANI!D26*C110)*VERI_TABANI!$B$7 + MAX(0, VERI_TABANI!D26*C110-MAX(0, VERI_TABANI!D26-VERI_TABANI!D26*B110))*VERI_TABANI!$B$8) + IF(ABS(IF(ISNUMBER(SEARCH("Var", D110)), 1, IF(ISNUMBER(SEARCH("Gri", D110)), -1, 0)))=1, VERI_TABANI!E26*(1-0.928)*VERI_TABANI!$B$9, 0) + (VERI_TABANI!D26*B110*(VERI_TABANI!$B$13-VERI_TABANI!$B$14)*VERI_TABANI!G26) + (VERI_TABANI!D26*C110*(VERI_TABANI!$B$13-VERI_TABANI!$B$15)*VERI_TABANI!G26) + IF(ABS(IF(ISNUMBER(SEARCH("Var", D110)), 1, IF(ISNUMBER(SEARCH("Gri", D110)), -1, 0)))=1, VERI_TABANI!E26*(1-0.928)*0.00206091519919798*VERI_TABANI!G26, 0)) + ((MIN(VERI_TABANI!D27, VERI_TABANI!D27*B110)*VERI_TABANI!$B$7 + MAX(0, VERI_TABANI!D27*B110-VERI_TABANI!D27)*VERI_TABANI!$B$8) + (MIN(MAX(0, VERI_TABANI!D27-VERI_TABANI!D27*B110), VERI_TABANI!D27*C110)*VERI_TABANI!$B$7 + MAX(0, VERI_TABANI!D27*C110-MAX(0, VERI_TABANI!D27-VERI_TABANI!D27*B110))*VERI_TABANI!$B$8) + IF(ABS(IF(ISNUMBER(SEARCH("Var", D110)), 1, IF(ISNUMBER(SEARCH("Gri", D110)), -1, 0)))=1, VERI_TABANI!E27*(1-0.928)*VERI_TABANI!$B$9, 0) + (VERI_TABANI!D27*B110*(VERI_TABANI!$B$13-VERI_TABANI!$B$14)*VERI_TABANI!G27) + (VERI_TABANI!D27*C110*(VERI_TABANI!$B$13-VERI_TABANI!$B$15)*VERI_TABANI!G27) + IF(ABS(IF(ISNUMBER(SEARCH("Var", D110)), 1, IF(ISNUMBER(SEARCH("Gri", D110)), -1, 0)))=1, VERI_TABANI!E27*(1-0.928)*0.00206091519919798*VERI_TABANI!G27, 0)) + ((MIN(VERI_TABANI!D28, VERI_TABANI!D28*B110)*VERI_TABANI!$B$7 + MAX(0, VERI_TABANI!D28*B110-VERI_TABANI!D28)*VERI_TABANI!$B$8) + (MIN(MAX(0, VERI_TABANI!D28-VERI_TABANI!D28*B110), VERI_TABANI!D28*C110)*VERI_TABANI!$B$7 + MAX(0, VERI_TABANI!D28*C110-MAX(0, VERI_TABANI!D28-VERI_TABANI!D28*B110))*VERI_TABANI!$B$8) + IF(ABS(IF(ISNUMBER(SEARCH("Var", D110)), 1, IF(ISNUMBER(SEARCH("Gri", D110)), -1, 0)))=1, VERI_TABANI!E28*(1-0.928)*VERI_TABANI!$B$9, 0) + (VERI_TABANI!D28*B110*(VERI_TABANI!$B$13-VERI_TABANI!$B$14)*VERI_TABANI!G28) + (VERI_TABANI!D28*C110*(VERI_TABANI!$B$13-VERI_TABANI!$B$15)*VERI_TABANI!G28) + IF(ABS(IF(ISNUMBER(SEARCH("Var", D110)), 1, IF(ISNUMBER(SEARCH("Gri", D110)), -1, 0)))=1, VERI_TABANI!E28*(1-0.928)*0.00206091519919798*VERI_TABANI!G28, 0)))</f>
        <v/>
      </c>
      <c r="H110" s="169">
        <f>(((VERI_TABANI!D23*B110*(VERI_TABANI!$B$13-VERI_TABANI!$B$14)) + (VERI_TABANI!D23*C110*(VERI_TABANI!$B$13-VERI_TABANI!$B$15)) + IF(ISNUMBER(SEARCH("Var", D110)), VERI_TABANI!F23*(0.00202-VERI_TABANI!$B$16), IF(ISNUMBER(SEARCH("Gri", D110)), VERI_TABANI!F23*(0.00202-VERI_TABANI!$B$17), 0))) + ((VERI_TABANI!D24*B110*(VERI_TABANI!$B$13-VERI_TABANI!$B$14)) + (VERI_TABANI!D24*C110*(VERI_TABANI!$B$13-VERI_TABANI!$B$15)) + IF(ISNUMBER(SEARCH("Var", D110)), VERI_TABANI!F24*(0.00202-VERI_TABANI!$B$16), IF(ISNUMBER(SEARCH("Gri", D110)), VERI_TABANI!F24*(0.00202-VERI_TABANI!$B$17), 0))) + ((VERI_TABANI!D25*B110*(VERI_TABANI!$B$13-VERI_TABANI!$B$14)) + (VERI_TABANI!D25*C110*(VERI_TABANI!$B$13-VERI_TABANI!$B$15)) + IF(ISNUMBER(SEARCH("Var", D110)), VERI_TABANI!F25*(0.00202-VERI_TABANI!$B$16), IF(ISNUMBER(SEARCH("Gri", D110)), VERI_TABANI!F25*(0.00202-VERI_TABANI!$B$17), 0))) + ((VERI_TABANI!D26*B110*(VERI_TABANI!$B$13-VERI_TABANI!$B$14)) + (VERI_TABANI!D26*C110*(VERI_TABANI!$B$13-VERI_TABANI!$B$15)) + IF(ISNUMBER(SEARCH("Var", D110)), VERI_TABANI!F26*(0.00202-VERI_TABANI!$B$16), IF(ISNUMBER(SEARCH("Gri", D110)), VERI_TABANI!F26*(0.00202-VERI_TABANI!$B$17), 0))) + ((VERI_TABANI!D27*B110*(VERI_TABANI!$B$13-VERI_TABANI!$B$14)) + (VERI_TABANI!D27*C110*(VERI_TABANI!$B$13-VERI_TABANI!$B$15)) + IF(ISNUMBER(SEARCH("Var", D110)), VERI_TABANI!F27*(0.00202-VERI_TABANI!$B$16), IF(ISNUMBER(SEARCH("Gri", D110)), VERI_TABANI!F27*(0.00202-VERI_TABANI!$B$17), 0))) + ((VERI_TABANI!D28*B110*(VERI_TABANI!$B$13-VERI_TABANI!$B$14)) + (VERI_TABANI!D28*C110*(VERI_TABANI!$B$13-VERI_TABANI!$B$15)) + IF(ISNUMBER(SEARCH("Var", D110)), VERI_TABANI!F28*(0.00202-VERI_TABANI!$B$16), IF(ISNUMBER(SEARCH("Gri", D110)), VERI_TABANI!F28*(0.00202-VERI_TABANI!$B$17), 0))))</f>
        <v/>
      </c>
      <c r="I110" s="170">
        <f>IFERROR(((VERI_TABANI!$D$29*B110*VERI_TABANI!$B$14 + VERI_TABANI!$D$29*C110*VERI_TABANI!$B$15 + IF(ISNUMBER(SEARCH("Var", D110)), VERI_TABANI!$F$29*VERI_TABANI!$B$16, 0))) / (((VERI_TABANI!$D$29*B110 + VERI_TABANI!$D$29*C110)*VERI_TABANI!$B$13 + IF(ISNUMBER(SEARCH("Var", D110)), VERI_TABANI!$E$29*(1-0.928)*VERI_TABANI!$B$18, 0))), 0)</f>
        <v/>
      </c>
      <c r="J110" s="171">
        <f>IFERROR(F110/(G110/29), 0)</f>
        <v/>
      </c>
      <c r="K110" s="172">
        <f>IF(F110&gt;0, H110/F110, 0)</f>
        <v/>
      </c>
      <c r="L110" s="170">
        <f>IF(F110&gt;0, I110, 1000000000)</f>
        <v/>
      </c>
      <c r="M110" s="171">
        <f>ABS((B110+C110)-1)</f>
        <v/>
      </c>
      <c r="N110" s="170">
        <f>IF(F110&gt;0, (G110/29)/F110, 0)</f>
        <v/>
      </c>
      <c r="O110" s="168">
        <f>IF(AND((B110+C110)&gt;=1, ISNUMBER(SEARCH("Var", D110))), F110, 1000000000)</f>
        <v/>
      </c>
      <c r="P110" s="172">
        <f>IF(F110&gt;0, SQRT((F110/MAX(F$5:F$886))^2 + (1 - H110/MAX(H$5:H$886))^2 + (J110/MAX(J$5:J$886))^2), 1000000000)</f>
        <v/>
      </c>
      <c r="Q110" s="166">
        <f>IF(AND(ABS(B110-0.5)&lt;0.01, ABS(C110-0.5)&lt;0.01, ISNUMBER(SEARCH("Var", D110))), 1, 0)</f>
        <v/>
      </c>
      <c r="R110" s="171">
        <f>IF(F110&gt;0, J110, 1000000000)</f>
        <v/>
      </c>
      <c r="S110" s="101">
        <f>IF(AND(F110&lt;=DASHBOARD!$B$11, H110&gt;=DASHBOARD!$B$13), G110, -1000000000000)</f>
        <v/>
      </c>
      <c r="T110" s="101">
        <f>IF(AND(F110&lt;=DASHBOARD!$B$11, H110&gt;=DASHBOARD!$B$13), R110, 1000000000000)</f>
        <v/>
      </c>
      <c r="U110" s="101">
        <f>IF(AND(F110&lt;=DASHBOARD!$B$11, H110&gt;=DASHBOARD!$B$13), N110, -1000000000000)</f>
        <v/>
      </c>
      <c r="V110" s="101">
        <f>IF(AND(F110&lt;=DASHBOARD!$B$11, H110&gt;=DASHBOARD!$B$13), H110, -1000000000000)</f>
        <v/>
      </c>
      <c r="W110" s="101">
        <f>IF(AND(F110&lt;=DASHBOARD!$B$11, H110&gt;=DASHBOARD!$B$13), K110, -1000000000000)</f>
        <v/>
      </c>
      <c r="X110" s="101">
        <f>IF(AND(F110&lt;=DASHBOARD!$B$11, H110&gt;=DASHBOARD!$B$13), M110, 1000000000000)</f>
        <v/>
      </c>
      <c r="Y110" s="101">
        <f>IF(AND(F110&lt;=DASHBOARD!$B$10, H110&gt;=DASHBOARD!$B$11), L110, 1000000000000)</f>
        <v/>
      </c>
      <c r="Z110" s="101">
        <f>IF(AND(F110&lt;=DASHBOARD!$B$10, H110&gt;=DASHBOARD!$B$11), O110, 1000000000000)</f>
        <v/>
      </c>
      <c r="AA110" s="101">
        <f>IF(AND(F110&lt;=DASHBOARD!$B$10, H110&gt;=DASHBOARD!$B$11), P110, 1000000000000)</f>
        <v/>
      </c>
      <c r="AB110" s="101">
        <f>IF(AND(F110&lt;=DASHBOARD!$B$10, H110&gt;=DASHBOARD!$B$11), Q110, -1000000000000)</f>
        <v/>
      </c>
    </row>
    <row r="111" ht="12.75" customHeight="1" s="102">
      <c r="A111" s="166" t="n">
        <v>107</v>
      </c>
      <c r="B111" s="167" t="n">
        <v>0.2</v>
      </c>
      <c r="C111" s="167" t="n">
        <v>1.1</v>
      </c>
      <c r="D111" s="110" t="inlineStr">
        <is>
          <t>Yok (%0)</t>
        </is>
      </c>
      <c r="E111" s="110">
        <f>IF((B111+C111)&lt;=1, "Tam Mahsuplaşma (≤%100)", "Kısmi Satış (&gt;%100)")</f>
        <v/>
      </c>
      <c r="F111" s="168">
        <f>((VERI_TABANI!$D$29*B111/VERI_TABANI!$B$29)/VERI_TABANI!$B$3)*VERI_TABANI!$B$5 + ((VERI_TABANI!$D$29*C111/VERI_TABANI!$B$29)/VERI_TABANI!$B$4)*VERI_TABANI!$B$6 + IF(ISNUMBER(SEARCH("Var", D111)), (VERI_TABANI!$F$29/VERI_TABANI!$B$29)*(VERI_TABANI!$B$10+VERI_TABANI!$B$12), 0)</f>
        <v/>
      </c>
      <c r="G111" s="168">
        <f>(((MIN(VERI_TABANI!D23, VERI_TABANI!D23*B111)*VERI_TABANI!$B$7 + MAX(0, VERI_TABANI!D23*B111-VERI_TABANI!D23)*VERI_TABANI!$B$8) + (MIN(MAX(0, VERI_TABANI!D23-VERI_TABANI!D23*B111), VERI_TABANI!D23*C111)*VERI_TABANI!$B$7 + MAX(0, VERI_TABANI!D23*C111-MAX(0, VERI_TABANI!D23-VERI_TABANI!D23*B111))*VERI_TABANI!$B$8) + IF(ABS(IF(ISNUMBER(SEARCH("Var", D111)), 1, IF(ISNUMBER(SEARCH("Gri", D111)), -1, 0)))=1, VERI_TABANI!E23*(1-0.928)*VERI_TABANI!$B$9, 0) + (VERI_TABANI!D23*B111*(VERI_TABANI!$B$13-VERI_TABANI!$B$14)*VERI_TABANI!G23) + (VERI_TABANI!D23*C111*(VERI_TABANI!$B$13-VERI_TABANI!$B$15)*VERI_TABANI!G23) + IF(ABS(IF(ISNUMBER(SEARCH("Var", D111)), 1, IF(ISNUMBER(SEARCH("Gri", D111)), -1, 0)))=1, VERI_TABANI!E23*(1-0.928)*0.00206091519919798*VERI_TABANI!G23, 0)) + ((MIN(VERI_TABANI!D24, VERI_TABANI!D24*B111)*VERI_TABANI!$B$7 + MAX(0, VERI_TABANI!D24*B111-VERI_TABANI!D24)*VERI_TABANI!$B$8) + (MIN(MAX(0, VERI_TABANI!D24-VERI_TABANI!D24*B111), VERI_TABANI!D24*C111)*VERI_TABANI!$B$7 + MAX(0, VERI_TABANI!D24*C111-MAX(0, VERI_TABANI!D24-VERI_TABANI!D24*B111))*VERI_TABANI!$B$8) + IF(ABS(IF(ISNUMBER(SEARCH("Var", D111)), 1, IF(ISNUMBER(SEARCH("Gri", D111)), -1, 0)))=1, VERI_TABANI!E24*(1-0.928)*VERI_TABANI!$B$9, 0) + (VERI_TABANI!D24*B111*(VERI_TABANI!$B$13-VERI_TABANI!$B$14)*VERI_TABANI!G24) + (VERI_TABANI!D24*C111*(VERI_TABANI!$B$13-VERI_TABANI!$B$15)*VERI_TABANI!G24) + IF(ABS(IF(ISNUMBER(SEARCH("Var", D111)), 1, IF(ISNUMBER(SEARCH("Gri", D111)), -1, 0)))=1, VERI_TABANI!E24*(1-0.928)*0.00206091519919798*VERI_TABANI!G24, 0)) + ((MIN(VERI_TABANI!D25, VERI_TABANI!D25*B111)*VERI_TABANI!$B$7 + MAX(0, VERI_TABANI!D25*B111-VERI_TABANI!D25)*VERI_TABANI!$B$8) + (MIN(MAX(0, VERI_TABANI!D25-VERI_TABANI!D25*B111), VERI_TABANI!D25*C111)*VERI_TABANI!$B$7 + MAX(0, VERI_TABANI!D25*C111-MAX(0, VERI_TABANI!D25-VERI_TABANI!D25*B111))*VERI_TABANI!$B$8) + IF(ABS(IF(ISNUMBER(SEARCH("Var", D111)), 1, IF(ISNUMBER(SEARCH("Gri", D111)), -1, 0)))=1, VERI_TABANI!E25*(1-0.928)*VERI_TABANI!$B$9, 0) + (VERI_TABANI!D25*B111*(VERI_TABANI!$B$13-VERI_TABANI!$B$14)*VERI_TABANI!G25) + (VERI_TABANI!D25*C111*(VERI_TABANI!$B$13-VERI_TABANI!$B$15)*VERI_TABANI!G25) + IF(ABS(IF(ISNUMBER(SEARCH("Var", D111)), 1, IF(ISNUMBER(SEARCH("Gri", D111)), -1, 0)))=1, VERI_TABANI!E25*(1-0.928)*0.00206091519919798*VERI_TABANI!G25, 0)) + ((MIN(VERI_TABANI!D26, VERI_TABANI!D26*B111)*VERI_TABANI!$B$7 + MAX(0, VERI_TABANI!D26*B111-VERI_TABANI!D26)*VERI_TABANI!$B$8) + (MIN(MAX(0, VERI_TABANI!D26-VERI_TABANI!D26*B111), VERI_TABANI!D26*C111)*VERI_TABANI!$B$7 + MAX(0, VERI_TABANI!D26*C111-MAX(0, VERI_TABANI!D26-VERI_TABANI!D26*B111))*VERI_TABANI!$B$8) + IF(ABS(IF(ISNUMBER(SEARCH("Var", D111)), 1, IF(ISNUMBER(SEARCH("Gri", D111)), -1, 0)))=1, VERI_TABANI!E26*(1-0.928)*VERI_TABANI!$B$9, 0) + (VERI_TABANI!D26*B111*(VERI_TABANI!$B$13-VERI_TABANI!$B$14)*VERI_TABANI!G26) + (VERI_TABANI!D26*C111*(VERI_TABANI!$B$13-VERI_TABANI!$B$15)*VERI_TABANI!G26) + IF(ABS(IF(ISNUMBER(SEARCH("Var", D111)), 1, IF(ISNUMBER(SEARCH("Gri", D111)), -1, 0)))=1, VERI_TABANI!E26*(1-0.928)*0.00206091519919798*VERI_TABANI!G26, 0)) + ((MIN(VERI_TABANI!D27, VERI_TABANI!D27*B111)*VERI_TABANI!$B$7 + MAX(0, VERI_TABANI!D27*B111-VERI_TABANI!D27)*VERI_TABANI!$B$8) + (MIN(MAX(0, VERI_TABANI!D27-VERI_TABANI!D27*B111), VERI_TABANI!D27*C111)*VERI_TABANI!$B$7 + MAX(0, VERI_TABANI!D27*C111-MAX(0, VERI_TABANI!D27-VERI_TABANI!D27*B111))*VERI_TABANI!$B$8) + IF(ABS(IF(ISNUMBER(SEARCH("Var", D111)), 1, IF(ISNUMBER(SEARCH("Gri", D111)), -1, 0)))=1, VERI_TABANI!E27*(1-0.928)*VERI_TABANI!$B$9, 0) + (VERI_TABANI!D27*B111*(VERI_TABANI!$B$13-VERI_TABANI!$B$14)*VERI_TABANI!G27) + (VERI_TABANI!D27*C111*(VERI_TABANI!$B$13-VERI_TABANI!$B$15)*VERI_TABANI!G27) + IF(ABS(IF(ISNUMBER(SEARCH("Var", D111)), 1, IF(ISNUMBER(SEARCH("Gri", D111)), -1, 0)))=1, VERI_TABANI!E27*(1-0.928)*0.00206091519919798*VERI_TABANI!G27, 0)) + ((MIN(VERI_TABANI!D28, VERI_TABANI!D28*B111)*VERI_TABANI!$B$7 + MAX(0, VERI_TABANI!D28*B111-VERI_TABANI!D28)*VERI_TABANI!$B$8) + (MIN(MAX(0, VERI_TABANI!D28-VERI_TABANI!D28*B111), VERI_TABANI!D28*C111)*VERI_TABANI!$B$7 + MAX(0, VERI_TABANI!D28*C111-MAX(0, VERI_TABANI!D28-VERI_TABANI!D28*B111))*VERI_TABANI!$B$8) + IF(ABS(IF(ISNUMBER(SEARCH("Var", D111)), 1, IF(ISNUMBER(SEARCH("Gri", D111)), -1, 0)))=1, VERI_TABANI!E28*(1-0.928)*VERI_TABANI!$B$9, 0) + (VERI_TABANI!D28*B111*(VERI_TABANI!$B$13-VERI_TABANI!$B$14)*VERI_TABANI!G28) + (VERI_TABANI!D28*C111*(VERI_TABANI!$B$13-VERI_TABANI!$B$15)*VERI_TABANI!G28) + IF(ABS(IF(ISNUMBER(SEARCH("Var", D111)), 1, IF(ISNUMBER(SEARCH("Gri", D111)), -1, 0)))=1, VERI_TABANI!E28*(1-0.928)*0.00206091519919798*VERI_TABANI!G28, 0)))</f>
        <v/>
      </c>
      <c r="H111" s="169">
        <f>(((VERI_TABANI!D23*B111*(VERI_TABANI!$B$13-VERI_TABANI!$B$14)) + (VERI_TABANI!D23*C111*(VERI_TABANI!$B$13-VERI_TABANI!$B$15)) + IF(ISNUMBER(SEARCH("Var", D111)), VERI_TABANI!F23*(0.00202-VERI_TABANI!$B$16), IF(ISNUMBER(SEARCH("Gri", D111)), VERI_TABANI!F23*(0.00202-VERI_TABANI!$B$17), 0))) + ((VERI_TABANI!D24*B111*(VERI_TABANI!$B$13-VERI_TABANI!$B$14)) + (VERI_TABANI!D24*C111*(VERI_TABANI!$B$13-VERI_TABANI!$B$15)) + IF(ISNUMBER(SEARCH("Var", D111)), VERI_TABANI!F24*(0.00202-VERI_TABANI!$B$16), IF(ISNUMBER(SEARCH("Gri", D111)), VERI_TABANI!F24*(0.00202-VERI_TABANI!$B$17), 0))) + ((VERI_TABANI!D25*B111*(VERI_TABANI!$B$13-VERI_TABANI!$B$14)) + (VERI_TABANI!D25*C111*(VERI_TABANI!$B$13-VERI_TABANI!$B$15)) + IF(ISNUMBER(SEARCH("Var", D111)), VERI_TABANI!F25*(0.00202-VERI_TABANI!$B$16), IF(ISNUMBER(SEARCH("Gri", D111)), VERI_TABANI!F25*(0.00202-VERI_TABANI!$B$17), 0))) + ((VERI_TABANI!D26*B111*(VERI_TABANI!$B$13-VERI_TABANI!$B$14)) + (VERI_TABANI!D26*C111*(VERI_TABANI!$B$13-VERI_TABANI!$B$15)) + IF(ISNUMBER(SEARCH("Var", D111)), VERI_TABANI!F26*(0.00202-VERI_TABANI!$B$16), IF(ISNUMBER(SEARCH("Gri", D111)), VERI_TABANI!F26*(0.00202-VERI_TABANI!$B$17), 0))) + ((VERI_TABANI!D27*B111*(VERI_TABANI!$B$13-VERI_TABANI!$B$14)) + (VERI_TABANI!D27*C111*(VERI_TABANI!$B$13-VERI_TABANI!$B$15)) + IF(ISNUMBER(SEARCH("Var", D111)), VERI_TABANI!F27*(0.00202-VERI_TABANI!$B$16), IF(ISNUMBER(SEARCH("Gri", D111)), VERI_TABANI!F27*(0.00202-VERI_TABANI!$B$17), 0))) + ((VERI_TABANI!D28*B111*(VERI_TABANI!$B$13-VERI_TABANI!$B$14)) + (VERI_TABANI!D28*C111*(VERI_TABANI!$B$13-VERI_TABANI!$B$15)) + IF(ISNUMBER(SEARCH("Var", D111)), VERI_TABANI!F28*(0.00202-VERI_TABANI!$B$16), IF(ISNUMBER(SEARCH("Gri", D111)), VERI_TABANI!F28*(0.00202-VERI_TABANI!$B$17), 0))))</f>
        <v/>
      </c>
      <c r="I111" s="170">
        <f>IFERROR(((VERI_TABANI!$D$29*B111*VERI_TABANI!$B$14 + VERI_TABANI!$D$29*C111*VERI_TABANI!$B$15 + IF(ISNUMBER(SEARCH("Var", D111)), VERI_TABANI!$F$29*VERI_TABANI!$B$16, 0))) / (((VERI_TABANI!$D$29*B111 + VERI_TABANI!$D$29*C111)*VERI_TABANI!$B$13 + IF(ISNUMBER(SEARCH("Var", D111)), VERI_TABANI!$E$29*(1-0.928)*VERI_TABANI!$B$18, 0))), 0)</f>
        <v/>
      </c>
      <c r="J111" s="171">
        <f>IFERROR(F111/(G111/29), 0)</f>
        <v/>
      </c>
      <c r="K111" s="172">
        <f>IF(F111&gt;0, H111/F111, 0)</f>
        <v/>
      </c>
      <c r="L111" s="170">
        <f>IF(F111&gt;0, I111, 1000000000)</f>
        <v/>
      </c>
      <c r="M111" s="171">
        <f>ABS((B111+C111)-1)</f>
        <v/>
      </c>
      <c r="N111" s="170">
        <f>IF(F111&gt;0, (G111/29)/F111, 0)</f>
        <v/>
      </c>
      <c r="O111" s="168">
        <f>IF(AND((B111+C111)&gt;=1, ISNUMBER(SEARCH("Var", D111))), F111, 1000000000)</f>
        <v/>
      </c>
      <c r="P111" s="172">
        <f>IF(F111&gt;0, SQRT((F111/MAX(F$5:F$886))^2 + (1 - H111/MAX(H$5:H$886))^2 + (J111/MAX(J$5:J$886))^2), 1000000000)</f>
        <v/>
      </c>
      <c r="Q111" s="166">
        <f>IF(AND(ABS(B111-0.5)&lt;0.01, ABS(C111-0.5)&lt;0.01, ISNUMBER(SEARCH("Var", D111))), 1, 0)</f>
        <v/>
      </c>
      <c r="R111" s="171">
        <f>IF(F111&gt;0, J111, 1000000000)</f>
        <v/>
      </c>
      <c r="S111" s="101">
        <f>IF(AND(F111&lt;=DASHBOARD!$B$11, H111&gt;=DASHBOARD!$B$13), G111, -1000000000000)</f>
        <v/>
      </c>
      <c r="T111" s="101">
        <f>IF(AND(F111&lt;=DASHBOARD!$B$11, H111&gt;=DASHBOARD!$B$13), R111, 1000000000000)</f>
        <v/>
      </c>
      <c r="U111" s="101">
        <f>IF(AND(F111&lt;=DASHBOARD!$B$11, H111&gt;=DASHBOARD!$B$13), N111, -1000000000000)</f>
        <v/>
      </c>
      <c r="V111" s="101">
        <f>IF(AND(F111&lt;=DASHBOARD!$B$11, H111&gt;=DASHBOARD!$B$13), H111, -1000000000000)</f>
        <v/>
      </c>
      <c r="W111" s="101">
        <f>IF(AND(F111&lt;=DASHBOARD!$B$11, H111&gt;=DASHBOARD!$B$13), K111, -1000000000000)</f>
        <v/>
      </c>
      <c r="X111" s="101">
        <f>IF(AND(F111&lt;=DASHBOARD!$B$11, H111&gt;=DASHBOARD!$B$13), M111, 1000000000000)</f>
        <v/>
      </c>
      <c r="Y111" s="101">
        <f>IF(AND(F111&lt;=DASHBOARD!$B$10, H111&gt;=DASHBOARD!$B$11), L111, 1000000000000)</f>
        <v/>
      </c>
      <c r="Z111" s="101">
        <f>IF(AND(F111&lt;=DASHBOARD!$B$10, H111&gt;=DASHBOARD!$B$11), O111, 1000000000000)</f>
        <v/>
      </c>
      <c r="AA111" s="101">
        <f>IF(AND(F111&lt;=DASHBOARD!$B$10, H111&gt;=DASHBOARD!$B$11), P111, 1000000000000)</f>
        <v/>
      </c>
      <c r="AB111" s="101">
        <f>IF(AND(F111&lt;=DASHBOARD!$B$10, H111&gt;=DASHBOARD!$B$11), Q111, -1000000000000)</f>
        <v/>
      </c>
    </row>
    <row r="112" ht="12.75" customHeight="1" s="102">
      <c r="A112" s="166" t="n">
        <v>108</v>
      </c>
      <c r="B112" s="167" t="n">
        <v>0.2</v>
      </c>
      <c r="C112" s="167" t="n">
        <v>1.1</v>
      </c>
      <c r="D112" s="110" t="inlineStr">
        <is>
          <t>Var (%20)</t>
        </is>
      </c>
      <c r="E112" s="110">
        <f>IF((B112+C112)&lt;=1, "Tam Mahsuplaşma (≤%100)", "Kısmi Satış (&gt;%100)")</f>
        <v/>
      </c>
      <c r="F112" s="168">
        <f>((VERI_TABANI!$D$29*B112/VERI_TABANI!$B$29)/VERI_TABANI!$B$3)*VERI_TABANI!$B$5 + ((VERI_TABANI!$D$29*C112/VERI_TABANI!$B$29)/VERI_TABANI!$B$4)*VERI_TABANI!$B$6 + IF(ISNUMBER(SEARCH("Var", D112)), (VERI_TABANI!$F$29/VERI_TABANI!$B$29)*(VERI_TABANI!$B$10+VERI_TABANI!$B$12), 0)</f>
        <v/>
      </c>
      <c r="G112" s="168">
        <f>(((MIN(VERI_TABANI!D23, VERI_TABANI!D23*B112)*VERI_TABANI!$B$7 + MAX(0, VERI_TABANI!D23*B112-VERI_TABANI!D23)*VERI_TABANI!$B$8) + (MIN(MAX(0, VERI_TABANI!D23-VERI_TABANI!D23*B112), VERI_TABANI!D23*C112)*VERI_TABANI!$B$7 + MAX(0, VERI_TABANI!D23*C112-MAX(0, VERI_TABANI!D23-VERI_TABANI!D23*B112))*VERI_TABANI!$B$8) + IF(ABS(IF(ISNUMBER(SEARCH("Var", D112)), 1, IF(ISNUMBER(SEARCH("Gri", D112)), -1, 0)))=1, VERI_TABANI!E23*(1-0.928)*VERI_TABANI!$B$9, 0) + (VERI_TABANI!D23*B112*(VERI_TABANI!$B$13-VERI_TABANI!$B$14)*VERI_TABANI!G23) + (VERI_TABANI!D23*C112*(VERI_TABANI!$B$13-VERI_TABANI!$B$15)*VERI_TABANI!G23) + IF(ABS(IF(ISNUMBER(SEARCH("Var", D112)), 1, IF(ISNUMBER(SEARCH("Gri", D112)), -1, 0)))=1, VERI_TABANI!E23*(1-0.928)*0.00206091519919798*VERI_TABANI!G23, 0)) + ((MIN(VERI_TABANI!D24, VERI_TABANI!D24*B112)*VERI_TABANI!$B$7 + MAX(0, VERI_TABANI!D24*B112-VERI_TABANI!D24)*VERI_TABANI!$B$8) + (MIN(MAX(0, VERI_TABANI!D24-VERI_TABANI!D24*B112), VERI_TABANI!D24*C112)*VERI_TABANI!$B$7 + MAX(0, VERI_TABANI!D24*C112-MAX(0, VERI_TABANI!D24-VERI_TABANI!D24*B112))*VERI_TABANI!$B$8) + IF(ABS(IF(ISNUMBER(SEARCH("Var", D112)), 1, IF(ISNUMBER(SEARCH("Gri", D112)), -1, 0)))=1, VERI_TABANI!E24*(1-0.928)*VERI_TABANI!$B$9, 0) + (VERI_TABANI!D24*B112*(VERI_TABANI!$B$13-VERI_TABANI!$B$14)*VERI_TABANI!G24) + (VERI_TABANI!D24*C112*(VERI_TABANI!$B$13-VERI_TABANI!$B$15)*VERI_TABANI!G24) + IF(ABS(IF(ISNUMBER(SEARCH("Var", D112)), 1, IF(ISNUMBER(SEARCH("Gri", D112)), -1, 0)))=1, VERI_TABANI!E24*(1-0.928)*0.00206091519919798*VERI_TABANI!G24, 0)) + ((MIN(VERI_TABANI!D25, VERI_TABANI!D25*B112)*VERI_TABANI!$B$7 + MAX(0, VERI_TABANI!D25*B112-VERI_TABANI!D25)*VERI_TABANI!$B$8) + (MIN(MAX(0, VERI_TABANI!D25-VERI_TABANI!D25*B112), VERI_TABANI!D25*C112)*VERI_TABANI!$B$7 + MAX(0, VERI_TABANI!D25*C112-MAX(0, VERI_TABANI!D25-VERI_TABANI!D25*B112))*VERI_TABANI!$B$8) + IF(ABS(IF(ISNUMBER(SEARCH("Var", D112)), 1, IF(ISNUMBER(SEARCH("Gri", D112)), -1, 0)))=1, VERI_TABANI!E25*(1-0.928)*VERI_TABANI!$B$9, 0) + (VERI_TABANI!D25*B112*(VERI_TABANI!$B$13-VERI_TABANI!$B$14)*VERI_TABANI!G25) + (VERI_TABANI!D25*C112*(VERI_TABANI!$B$13-VERI_TABANI!$B$15)*VERI_TABANI!G25) + IF(ABS(IF(ISNUMBER(SEARCH("Var", D112)), 1, IF(ISNUMBER(SEARCH("Gri", D112)), -1, 0)))=1, VERI_TABANI!E25*(1-0.928)*0.00206091519919798*VERI_TABANI!G25, 0)) + ((MIN(VERI_TABANI!D26, VERI_TABANI!D26*B112)*VERI_TABANI!$B$7 + MAX(0, VERI_TABANI!D26*B112-VERI_TABANI!D26)*VERI_TABANI!$B$8) + (MIN(MAX(0, VERI_TABANI!D26-VERI_TABANI!D26*B112), VERI_TABANI!D26*C112)*VERI_TABANI!$B$7 + MAX(0, VERI_TABANI!D26*C112-MAX(0, VERI_TABANI!D26-VERI_TABANI!D26*B112))*VERI_TABANI!$B$8) + IF(ABS(IF(ISNUMBER(SEARCH("Var", D112)), 1, IF(ISNUMBER(SEARCH("Gri", D112)), -1, 0)))=1, VERI_TABANI!E26*(1-0.928)*VERI_TABANI!$B$9, 0) + (VERI_TABANI!D26*B112*(VERI_TABANI!$B$13-VERI_TABANI!$B$14)*VERI_TABANI!G26) + (VERI_TABANI!D26*C112*(VERI_TABANI!$B$13-VERI_TABANI!$B$15)*VERI_TABANI!G26) + IF(ABS(IF(ISNUMBER(SEARCH("Var", D112)), 1, IF(ISNUMBER(SEARCH("Gri", D112)), -1, 0)))=1, VERI_TABANI!E26*(1-0.928)*0.00206091519919798*VERI_TABANI!G26, 0)) + ((MIN(VERI_TABANI!D27, VERI_TABANI!D27*B112)*VERI_TABANI!$B$7 + MAX(0, VERI_TABANI!D27*B112-VERI_TABANI!D27)*VERI_TABANI!$B$8) + (MIN(MAX(0, VERI_TABANI!D27-VERI_TABANI!D27*B112), VERI_TABANI!D27*C112)*VERI_TABANI!$B$7 + MAX(0, VERI_TABANI!D27*C112-MAX(0, VERI_TABANI!D27-VERI_TABANI!D27*B112))*VERI_TABANI!$B$8) + IF(ABS(IF(ISNUMBER(SEARCH("Var", D112)), 1, IF(ISNUMBER(SEARCH("Gri", D112)), -1, 0)))=1, VERI_TABANI!E27*(1-0.928)*VERI_TABANI!$B$9, 0) + (VERI_TABANI!D27*B112*(VERI_TABANI!$B$13-VERI_TABANI!$B$14)*VERI_TABANI!G27) + (VERI_TABANI!D27*C112*(VERI_TABANI!$B$13-VERI_TABANI!$B$15)*VERI_TABANI!G27) + IF(ABS(IF(ISNUMBER(SEARCH("Var", D112)), 1, IF(ISNUMBER(SEARCH("Gri", D112)), -1, 0)))=1, VERI_TABANI!E27*(1-0.928)*0.00206091519919798*VERI_TABANI!G27, 0)) + ((MIN(VERI_TABANI!D28, VERI_TABANI!D28*B112)*VERI_TABANI!$B$7 + MAX(0, VERI_TABANI!D28*B112-VERI_TABANI!D28)*VERI_TABANI!$B$8) + (MIN(MAX(0, VERI_TABANI!D28-VERI_TABANI!D28*B112), VERI_TABANI!D28*C112)*VERI_TABANI!$B$7 + MAX(0, VERI_TABANI!D28*C112-MAX(0, VERI_TABANI!D28-VERI_TABANI!D28*B112))*VERI_TABANI!$B$8) + IF(ABS(IF(ISNUMBER(SEARCH("Var", D112)), 1, IF(ISNUMBER(SEARCH("Gri", D112)), -1, 0)))=1, VERI_TABANI!E28*(1-0.928)*VERI_TABANI!$B$9, 0) + (VERI_TABANI!D28*B112*(VERI_TABANI!$B$13-VERI_TABANI!$B$14)*VERI_TABANI!G28) + (VERI_TABANI!D28*C112*(VERI_TABANI!$B$13-VERI_TABANI!$B$15)*VERI_TABANI!G28) + IF(ABS(IF(ISNUMBER(SEARCH("Var", D112)), 1, IF(ISNUMBER(SEARCH("Gri", D112)), -1, 0)))=1, VERI_TABANI!E28*(1-0.928)*0.00206091519919798*VERI_TABANI!G28, 0)))</f>
        <v/>
      </c>
      <c r="H112" s="169">
        <f>(((VERI_TABANI!D23*B112*(VERI_TABANI!$B$13-VERI_TABANI!$B$14)) + (VERI_TABANI!D23*C112*(VERI_TABANI!$B$13-VERI_TABANI!$B$15)) + IF(ISNUMBER(SEARCH("Var", D112)), VERI_TABANI!F23*(0.00202-VERI_TABANI!$B$16), IF(ISNUMBER(SEARCH("Gri", D112)), VERI_TABANI!F23*(0.00202-VERI_TABANI!$B$17), 0))) + ((VERI_TABANI!D24*B112*(VERI_TABANI!$B$13-VERI_TABANI!$B$14)) + (VERI_TABANI!D24*C112*(VERI_TABANI!$B$13-VERI_TABANI!$B$15)) + IF(ISNUMBER(SEARCH("Var", D112)), VERI_TABANI!F24*(0.00202-VERI_TABANI!$B$16), IF(ISNUMBER(SEARCH("Gri", D112)), VERI_TABANI!F24*(0.00202-VERI_TABANI!$B$17), 0))) + ((VERI_TABANI!D25*B112*(VERI_TABANI!$B$13-VERI_TABANI!$B$14)) + (VERI_TABANI!D25*C112*(VERI_TABANI!$B$13-VERI_TABANI!$B$15)) + IF(ISNUMBER(SEARCH("Var", D112)), VERI_TABANI!F25*(0.00202-VERI_TABANI!$B$16), IF(ISNUMBER(SEARCH("Gri", D112)), VERI_TABANI!F25*(0.00202-VERI_TABANI!$B$17), 0))) + ((VERI_TABANI!D26*B112*(VERI_TABANI!$B$13-VERI_TABANI!$B$14)) + (VERI_TABANI!D26*C112*(VERI_TABANI!$B$13-VERI_TABANI!$B$15)) + IF(ISNUMBER(SEARCH("Var", D112)), VERI_TABANI!F26*(0.00202-VERI_TABANI!$B$16), IF(ISNUMBER(SEARCH("Gri", D112)), VERI_TABANI!F26*(0.00202-VERI_TABANI!$B$17), 0))) + ((VERI_TABANI!D27*B112*(VERI_TABANI!$B$13-VERI_TABANI!$B$14)) + (VERI_TABANI!D27*C112*(VERI_TABANI!$B$13-VERI_TABANI!$B$15)) + IF(ISNUMBER(SEARCH("Var", D112)), VERI_TABANI!F27*(0.00202-VERI_TABANI!$B$16), IF(ISNUMBER(SEARCH("Gri", D112)), VERI_TABANI!F27*(0.00202-VERI_TABANI!$B$17), 0))) + ((VERI_TABANI!D28*B112*(VERI_TABANI!$B$13-VERI_TABANI!$B$14)) + (VERI_TABANI!D28*C112*(VERI_TABANI!$B$13-VERI_TABANI!$B$15)) + IF(ISNUMBER(SEARCH("Var", D112)), VERI_TABANI!F28*(0.00202-VERI_TABANI!$B$16), IF(ISNUMBER(SEARCH("Gri", D112)), VERI_TABANI!F28*(0.00202-VERI_TABANI!$B$17), 0))))</f>
        <v/>
      </c>
      <c r="I112" s="170">
        <f>IFERROR(((VERI_TABANI!$D$29*B112*VERI_TABANI!$B$14 + VERI_TABANI!$D$29*C112*VERI_TABANI!$B$15 + IF(ISNUMBER(SEARCH("Var", D112)), VERI_TABANI!$F$29*VERI_TABANI!$B$16, 0))) / (((VERI_TABANI!$D$29*B112 + VERI_TABANI!$D$29*C112)*VERI_TABANI!$B$13 + IF(ISNUMBER(SEARCH("Var", D112)), VERI_TABANI!$E$29*(1-0.928)*VERI_TABANI!$B$18, 0))), 0)</f>
        <v/>
      </c>
      <c r="J112" s="171">
        <f>IFERROR(F112/(G112/29), 0)</f>
        <v/>
      </c>
      <c r="K112" s="172">
        <f>IF(F112&gt;0, H112/F112, 0)</f>
        <v/>
      </c>
      <c r="L112" s="170">
        <f>IF(F112&gt;0, I112, 1000000000)</f>
        <v/>
      </c>
      <c r="M112" s="171">
        <f>ABS((B112+C112)-1)</f>
        <v/>
      </c>
      <c r="N112" s="170">
        <f>IF(F112&gt;0, (G112/29)/F112, 0)</f>
        <v/>
      </c>
      <c r="O112" s="168">
        <f>IF(AND((B112+C112)&gt;=1, ISNUMBER(SEARCH("Var", D112))), F112, 1000000000)</f>
        <v/>
      </c>
      <c r="P112" s="172">
        <f>IF(F112&gt;0, SQRT((F112/MAX(F$5:F$886))^2 + (1 - H112/MAX(H$5:H$886))^2 + (J112/MAX(J$5:J$886))^2), 1000000000)</f>
        <v/>
      </c>
      <c r="Q112" s="166">
        <f>IF(AND(ABS(B112-0.5)&lt;0.01, ABS(C112-0.5)&lt;0.01, ISNUMBER(SEARCH("Var", D112))), 1, 0)</f>
        <v/>
      </c>
      <c r="R112" s="171">
        <f>IF(F112&gt;0, J112, 1000000000)</f>
        <v/>
      </c>
      <c r="S112" s="101">
        <f>IF(AND(F112&lt;=DASHBOARD!$B$11, H112&gt;=DASHBOARD!$B$13), G112, -1000000000000)</f>
        <v/>
      </c>
      <c r="T112" s="101">
        <f>IF(AND(F112&lt;=DASHBOARD!$B$11, H112&gt;=DASHBOARD!$B$13), R112, 1000000000000)</f>
        <v/>
      </c>
      <c r="U112" s="101">
        <f>IF(AND(F112&lt;=DASHBOARD!$B$11, H112&gt;=DASHBOARD!$B$13), N112, -1000000000000)</f>
        <v/>
      </c>
      <c r="V112" s="101">
        <f>IF(AND(F112&lt;=DASHBOARD!$B$11, H112&gt;=DASHBOARD!$B$13), H112, -1000000000000)</f>
        <v/>
      </c>
      <c r="W112" s="101">
        <f>IF(AND(F112&lt;=DASHBOARD!$B$11, H112&gt;=DASHBOARD!$B$13), K112, -1000000000000)</f>
        <v/>
      </c>
      <c r="X112" s="101">
        <f>IF(AND(F112&lt;=DASHBOARD!$B$11, H112&gt;=DASHBOARD!$B$13), M112, 1000000000000)</f>
        <v/>
      </c>
      <c r="Y112" s="101">
        <f>IF(AND(F112&lt;=DASHBOARD!$B$10, H112&gt;=DASHBOARD!$B$11), L112, 1000000000000)</f>
        <v/>
      </c>
      <c r="Z112" s="101">
        <f>IF(AND(F112&lt;=DASHBOARD!$B$10, H112&gt;=DASHBOARD!$B$11), O112, 1000000000000)</f>
        <v/>
      </c>
      <c r="AA112" s="101">
        <f>IF(AND(F112&lt;=DASHBOARD!$B$10, H112&gt;=DASHBOARD!$B$11), P112, 1000000000000)</f>
        <v/>
      </c>
      <c r="AB112" s="101">
        <f>IF(AND(F112&lt;=DASHBOARD!$B$10, H112&gt;=DASHBOARD!$B$11), Q112, -1000000000000)</f>
        <v/>
      </c>
    </row>
    <row r="113" ht="12.75" customHeight="1" s="102">
      <c r="A113" s="166" t="n">
        <v>109</v>
      </c>
      <c r="B113" s="167" t="n">
        <v>0.2</v>
      </c>
      <c r="C113" s="167" t="n">
        <v>1.2</v>
      </c>
      <c r="D113" s="110" t="inlineStr">
        <is>
          <t>Yok (%0)</t>
        </is>
      </c>
      <c r="E113" s="110">
        <f>IF((B113+C113)&lt;=1, "Tam Mahsuplaşma (≤%100)", "Kısmi Satış (&gt;%100)")</f>
        <v/>
      </c>
      <c r="F113" s="168">
        <f>((VERI_TABANI!$D$29*B113/VERI_TABANI!$B$29)/VERI_TABANI!$B$3)*VERI_TABANI!$B$5 + ((VERI_TABANI!$D$29*C113/VERI_TABANI!$B$29)/VERI_TABANI!$B$4)*VERI_TABANI!$B$6 + IF(ISNUMBER(SEARCH("Var", D113)), (VERI_TABANI!$F$29/VERI_TABANI!$B$29)*(VERI_TABANI!$B$10+VERI_TABANI!$B$12), 0)</f>
        <v/>
      </c>
      <c r="G113" s="168">
        <f>(((MIN(VERI_TABANI!D23, VERI_TABANI!D23*B113)*VERI_TABANI!$B$7 + MAX(0, VERI_TABANI!D23*B113-VERI_TABANI!D23)*VERI_TABANI!$B$8) + (MIN(MAX(0, VERI_TABANI!D23-VERI_TABANI!D23*B113), VERI_TABANI!D23*C113)*VERI_TABANI!$B$7 + MAX(0, VERI_TABANI!D23*C113-MAX(0, VERI_TABANI!D23-VERI_TABANI!D23*B113))*VERI_TABANI!$B$8) + IF(ABS(IF(ISNUMBER(SEARCH("Var", D113)), 1, IF(ISNUMBER(SEARCH("Gri", D113)), -1, 0)))=1, VERI_TABANI!E23*(1-0.928)*VERI_TABANI!$B$9, 0) + (VERI_TABANI!D23*B113*(VERI_TABANI!$B$13-VERI_TABANI!$B$14)*VERI_TABANI!G23) + (VERI_TABANI!D23*C113*(VERI_TABANI!$B$13-VERI_TABANI!$B$15)*VERI_TABANI!G23) + IF(ABS(IF(ISNUMBER(SEARCH("Var", D113)), 1, IF(ISNUMBER(SEARCH("Gri", D113)), -1, 0)))=1, VERI_TABANI!E23*(1-0.928)*0.00206091519919798*VERI_TABANI!G23, 0)) + ((MIN(VERI_TABANI!D24, VERI_TABANI!D24*B113)*VERI_TABANI!$B$7 + MAX(0, VERI_TABANI!D24*B113-VERI_TABANI!D24)*VERI_TABANI!$B$8) + (MIN(MAX(0, VERI_TABANI!D24-VERI_TABANI!D24*B113), VERI_TABANI!D24*C113)*VERI_TABANI!$B$7 + MAX(0, VERI_TABANI!D24*C113-MAX(0, VERI_TABANI!D24-VERI_TABANI!D24*B113))*VERI_TABANI!$B$8) + IF(ABS(IF(ISNUMBER(SEARCH("Var", D113)), 1, IF(ISNUMBER(SEARCH("Gri", D113)), -1, 0)))=1, VERI_TABANI!E24*(1-0.928)*VERI_TABANI!$B$9, 0) + (VERI_TABANI!D24*B113*(VERI_TABANI!$B$13-VERI_TABANI!$B$14)*VERI_TABANI!G24) + (VERI_TABANI!D24*C113*(VERI_TABANI!$B$13-VERI_TABANI!$B$15)*VERI_TABANI!G24) + IF(ABS(IF(ISNUMBER(SEARCH("Var", D113)), 1, IF(ISNUMBER(SEARCH("Gri", D113)), -1, 0)))=1, VERI_TABANI!E24*(1-0.928)*0.00206091519919798*VERI_TABANI!G24, 0)) + ((MIN(VERI_TABANI!D25, VERI_TABANI!D25*B113)*VERI_TABANI!$B$7 + MAX(0, VERI_TABANI!D25*B113-VERI_TABANI!D25)*VERI_TABANI!$B$8) + (MIN(MAX(0, VERI_TABANI!D25-VERI_TABANI!D25*B113), VERI_TABANI!D25*C113)*VERI_TABANI!$B$7 + MAX(0, VERI_TABANI!D25*C113-MAX(0, VERI_TABANI!D25-VERI_TABANI!D25*B113))*VERI_TABANI!$B$8) + IF(ABS(IF(ISNUMBER(SEARCH("Var", D113)), 1, IF(ISNUMBER(SEARCH("Gri", D113)), -1, 0)))=1, VERI_TABANI!E25*(1-0.928)*VERI_TABANI!$B$9, 0) + (VERI_TABANI!D25*B113*(VERI_TABANI!$B$13-VERI_TABANI!$B$14)*VERI_TABANI!G25) + (VERI_TABANI!D25*C113*(VERI_TABANI!$B$13-VERI_TABANI!$B$15)*VERI_TABANI!G25) + IF(ABS(IF(ISNUMBER(SEARCH("Var", D113)), 1, IF(ISNUMBER(SEARCH("Gri", D113)), -1, 0)))=1, VERI_TABANI!E25*(1-0.928)*0.00206091519919798*VERI_TABANI!G25, 0)) + ((MIN(VERI_TABANI!D26, VERI_TABANI!D26*B113)*VERI_TABANI!$B$7 + MAX(0, VERI_TABANI!D26*B113-VERI_TABANI!D26)*VERI_TABANI!$B$8) + (MIN(MAX(0, VERI_TABANI!D26-VERI_TABANI!D26*B113), VERI_TABANI!D26*C113)*VERI_TABANI!$B$7 + MAX(0, VERI_TABANI!D26*C113-MAX(0, VERI_TABANI!D26-VERI_TABANI!D26*B113))*VERI_TABANI!$B$8) + IF(ABS(IF(ISNUMBER(SEARCH("Var", D113)), 1, IF(ISNUMBER(SEARCH("Gri", D113)), -1, 0)))=1, VERI_TABANI!E26*(1-0.928)*VERI_TABANI!$B$9, 0) + (VERI_TABANI!D26*B113*(VERI_TABANI!$B$13-VERI_TABANI!$B$14)*VERI_TABANI!G26) + (VERI_TABANI!D26*C113*(VERI_TABANI!$B$13-VERI_TABANI!$B$15)*VERI_TABANI!G26) + IF(ABS(IF(ISNUMBER(SEARCH("Var", D113)), 1, IF(ISNUMBER(SEARCH("Gri", D113)), -1, 0)))=1, VERI_TABANI!E26*(1-0.928)*0.00206091519919798*VERI_TABANI!G26, 0)) + ((MIN(VERI_TABANI!D27, VERI_TABANI!D27*B113)*VERI_TABANI!$B$7 + MAX(0, VERI_TABANI!D27*B113-VERI_TABANI!D27)*VERI_TABANI!$B$8) + (MIN(MAX(0, VERI_TABANI!D27-VERI_TABANI!D27*B113), VERI_TABANI!D27*C113)*VERI_TABANI!$B$7 + MAX(0, VERI_TABANI!D27*C113-MAX(0, VERI_TABANI!D27-VERI_TABANI!D27*B113))*VERI_TABANI!$B$8) + IF(ABS(IF(ISNUMBER(SEARCH("Var", D113)), 1, IF(ISNUMBER(SEARCH("Gri", D113)), -1, 0)))=1, VERI_TABANI!E27*(1-0.928)*VERI_TABANI!$B$9, 0) + (VERI_TABANI!D27*B113*(VERI_TABANI!$B$13-VERI_TABANI!$B$14)*VERI_TABANI!G27) + (VERI_TABANI!D27*C113*(VERI_TABANI!$B$13-VERI_TABANI!$B$15)*VERI_TABANI!G27) + IF(ABS(IF(ISNUMBER(SEARCH("Var", D113)), 1, IF(ISNUMBER(SEARCH("Gri", D113)), -1, 0)))=1, VERI_TABANI!E27*(1-0.928)*0.00206091519919798*VERI_TABANI!G27, 0)) + ((MIN(VERI_TABANI!D28, VERI_TABANI!D28*B113)*VERI_TABANI!$B$7 + MAX(0, VERI_TABANI!D28*B113-VERI_TABANI!D28)*VERI_TABANI!$B$8) + (MIN(MAX(0, VERI_TABANI!D28-VERI_TABANI!D28*B113), VERI_TABANI!D28*C113)*VERI_TABANI!$B$7 + MAX(0, VERI_TABANI!D28*C113-MAX(0, VERI_TABANI!D28-VERI_TABANI!D28*B113))*VERI_TABANI!$B$8) + IF(ABS(IF(ISNUMBER(SEARCH("Var", D113)), 1, IF(ISNUMBER(SEARCH("Gri", D113)), -1, 0)))=1, VERI_TABANI!E28*(1-0.928)*VERI_TABANI!$B$9, 0) + (VERI_TABANI!D28*B113*(VERI_TABANI!$B$13-VERI_TABANI!$B$14)*VERI_TABANI!G28) + (VERI_TABANI!D28*C113*(VERI_TABANI!$B$13-VERI_TABANI!$B$15)*VERI_TABANI!G28) + IF(ABS(IF(ISNUMBER(SEARCH("Var", D113)), 1, IF(ISNUMBER(SEARCH("Gri", D113)), -1, 0)))=1, VERI_TABANI!E28*(1-0.928)*0.00206091519919798*VERI_TABANI!G28, 0)))</f>
        <v/>
      </c>
      <c r="H113" s="169">
        <f>(((VERI_TABANI!D23*B113*(VERI_TABANI!$B$13-VERI_TABANI!$B$14)) + (VERI_TABANI!D23*C113*(VERI_TABANI!$B$13-VERI_TABANI!$B$15)) + IF(ISNUMBER(SEARCH("Var", D113)), VERI_TABANI!F23*(0.00202-VERI_TABANI!$B$16), IF(ISNUMBER(SEARCH("Gri", D113)), VERI_TABANI!F23*(0.00202-VERI_TABANI!$B$17), 0))) + ((VERI_TABANI!D24*B113*(VERI_TABANI!$B$13-VERI_TABANI!$B$14)) + (VERI_TABANI!D24*C113*(VERI_TABANI!$B$13-VERI_TABANI!$B$15)) + IF(ISNUMBER(SEARCH("Var", D113)), VERI_TABANI!F24*(0.00202-VERI_TABANI!$B$16), IF(ISNUMBER(SEARCH("Gri", D113)), VERI_TABANI!F24*(0.00202-VERI_TABANI!$B$17), 0))) + ((VERI_TABANI!D25*B113*(VERI_TABANI!$B$13-VERI_TABANI!$B$14)) + (VERI_TABANI!D25*C113*(VERI_TABANI!$B$13-VERI_TABANI!$B$15)) + IF(ISNUMBER(SEARCH("Var", D113)), VERI_TABANI!F25*(0.00202-VERI_TABANI!$B$16), IF(ISNUMBER(SEARCH("Gri", D113)), VERI_TABANI!F25*(0.00202-VERI_TABANI!$B$17), 0))) + ((VERI_TABANI!D26*B113*(VERI_TABANI!$B$13-VERI_TABANI!$B$14)) + (VERI_TABANI!D26*C113*(VERI_TABANI!$B$13-VERI_TABANI!$B$15)) + IF(ISNUMBER(SEARCH("Var", D113)), VERI_TABANI!F26*(0.00202-VERI_TABANI!$B$16), IF(ISNUMBER(SEARCH("Gri", D113)), VERI_TABANI!F26*(0.00202-VERI_TABANI!$B$17), 0))) + ((VERI_TABANI!D27*B113*(VERI_TABANI!$B$13-VERI_TABANI!$B$14)) + (VERI_TABANI!D27*C113*(VERI_TABANI!$B$13-VERI_TABANI!$B$15)) + IF(ISNUMBER(SEARCH("Var", D113)), VERI_TABANI!F27*(0.00202-VERI_TABANI!$B$16), IF(ISNUMBER(SEARCH("Gri", D113)), VERI_TABANI!F27*(0.00202-VERI_TABANI!$B$17), 0))) + ((VERI_TABANI!D28*B113*(VERI_TABANI!$B$13-VERI_TABANI!$B$14)) + (VERI_TABANI!D28*C113*(VERI_TABANI!$B$13-VERI_TABANI!$B$15)) + IF(ISNUMBER(SEARCH("Var", D113)), VERI_TABANI!F28*(0.00202-VERI_TABANI!$B$16), IF(ISNUMBER(SEARCH("Gri", D113)), VERI_TABANI!F28*(0.00202-VERI_TABANI!$B$17), 0))))</f>
        <v/>
      </c>
      <c r="I113" s="170">
        <f>IFERROR(((VERI_TABANI!$D$29*B113*VERI_TABANI!$B$14 + VERI_TABANI!$D$29*C113*VERI_TABANI!$B$15 + IF(ISNUMBER(SEARCH("Var", D113)), VERI_TABANI!$F$29*VERI_TABANI!$B$16, 0))) / (((VERI_TABANI!$D$29*B113 + VERI_TABANI!$D$29*C113)*VERI_TABANI!$B$13 + IF(ISNUMBER(SEARCH("Var", D113)), VERI_TABANI!$E$29*(1-0.928)*VERI_TABANI!$B$18, 0))), 0)</f>
        <v/>
      </c>
      <c r="J113" s="171">
        <f>IFERROR(F113/(G113/29), 0)</f>
        <v/>
      </c>
      <c r="K113" s="172">
        <f>IF(F113&gt;0, H113/F113, 0)</f>
        <v/>
      </c>
      <c r="L113" s="170">
        <f>IF(F113&gt;0, I113, 1000000000)</f>
        <v/>
      </c>
      <c r="M113" s="171">
        <f>ABS((B113+C113)-1)</f>
        <v/>
      </c>
      <c r="N113" s="170">
        <f>IF(F113&gt;0, (G113/29)/F113, 0)</f>
        <v/>
      </c>
      <c r="O113" s="168">
        <f>IF(AND((B113+C113)&gt;=1, ISNUMBER(SEARCH("Var", D113))), F113, 1000000000)</f>
        <v/>
      </c>
      <c r="P113" s="172">
        <f>IF(F113&gt;0, SQRT((F113/MAX(F$5:F$886))^2 + (1 - H113/MAX(H$5:H$886))^2 + (J113/MAX(J$5:J$886))^2), 1000000000)</f>
        <v/>
      </c>
      <c r="Q113" s="166">
        <f>IF(AND(ABS(B113-0.5)&lt;0.01, ABS(C113-0.5)&lt;0.01, ISNUMBER(SEARCH("Var", D113))), 1, 0)</f>
        <v/>
      </c>
      <c r="R113" s="171">
        <f>IF(F113&gt;0, J113, 1000000000)</f>
        <v/>
      </c>
      <c r="S113" s="101">
        <f>IF(AND(F113&lt;=DASHBOARD!$B$11, H113&gt;=DASHBOARD!$B$13), G113, -1000000000000)</f>
        <v/>
      </c>
      <c r="T113" s="101">
        <f>IF(AND(F113&lt;=DASHBOARD!$B$11, H113&gt;=DASHBOARD!$B$13), R113, 1000000000000)</f>
        <v/>
      </c>
      <c r="U113" s="101">
        <f>IF(AND(F113&lt;=DASHBOARD!$B$11, H113&gt;=DASHBOARD!$B$13), N113, -1000000000000)</f>
        <v/>
      </c>
      <c r="V113" s="101">
        <f>IF(AND(F113&lt;=DASHBOARD!$B$11, H113&gt;=DASHBOARD!$B$13), H113, -1000000000000)</f>
        <v/>
      </c>
      <c r="W113" s="101">
        <f>IF(AND(F113&lt;=DASHBOARD!$B$11, H113&gt;=DASHBOARD!$B$13), K113, -1000000000000)</f>
        <v/>
      </c>
      <c r="X113" s="101">
        <f>IF(AND(F113&lt;=DASHBOARD!$B$11, H113&gt;=DASHBOARD!$B$13), M113, 1000000000000)</f>
        <v/>
      </c>
      <c r="Y113" s="101">
        <f>IF(AND(F113&lt;=DASHBOARD!$B$10, H113&gt;=DASHBOARD!$B$11), L113, 1000000000000)</f>
        <v/>
      </c>
      <c r="Z113" s="101">
        <f>IF(AND(F113&lt;=DASHBOARD!$B$10, H113&gt;=DASHBOARD!$B$11), O113, 1000000000000)</f>
        <v/>
      </c>
      <c r="AA113" s="101">
        <f>IF(AND(F113&lt;=DASHBOARD!$B$10, H113&gt;=DASHBOARD!$B$11), P113, 1000000000000)</f>
        <v/>
      </c>
      <c r="AB113" s="101">
        <f>IF(AND(F113&lt;=DASHBOARD!$B$10, H113&gt;=DASHBOARD!$B$11), Q113, -1000000000000)</f>
        <v/>
      </c>
    </row>
    <row r="114" ht="12.75" customHeight="1" s="102">
      <c r="A114" s="166" t="n">
        <v>110</v>
      </c>
      <c r="B114" s="167" t="n">
        <v>0.2</v>
      </c>
      <c r="C114" s="167" t="n">
        <v>1.2</v>
      </c>
      <c r="D114" s="110" t="inlineStr">
        <is>
          <t>Var (%20)</t>
        </is>
      </c>
      <c r="E114" s="110">
        <f>IF((B114+C114)&lt;=1, "Tam Mahsuplaşma (≤%100)", "Kısmi Satış (&gt;%100)")</f>
        <v/>
      </c>
      <c r="F114" s="168">
        <f>((VERI_TABANI!$D$29*B114/VERI_TABANI!$B$29)/VERI_TABANI!$B$3)*VERI_TABANI!$B$5 + ((VERI_TABANI!$D$29*C114/VERI_TABANI!$B$29)/VERI_TABANI!$B$4)*VERI_TABANI!$B$6 + IF(ISNUMBER(SEARCH("Var", D114)), (VERI_TABANI!$F$29/VERI_TABANI!$B$29)*(VERI_TABANI!$B$10+VERI_TABANI!$B$12), 0)</f>
        <v/>
      </c>
      <c r="G114" s="168">
        <f>(((MIN(VERI_TABANI!D23, VERI_TABANI!D23*B114)*VERI_TABANI!$B$7 + MAX(0, VERI_TABANI!D23*B114-VERI_TABANI!D23)*VERI_TABANI!$B$8) + (MIN(MAX(0, VERI_TABANI!D23-VERI_TABANI!D23*B114), VERI_TABANI!D23*C114)*VERI_TABANI!$B$7 + MAX(0, VERI_TABANI!D23*C114-MAX(0, VERI_TABANI!D23-VERI_TABANI!D23*B114))*VERI_TABANI!$B$8) + IF(ABS(IF(ISNUMBER(SEARCH("Var", D114)), 1, IF(ISNUMBER(SEARCH("Gri", D114)), -1, 0)))=1, VERI_TABANI!E23*(1-0.928)*VERI_TABANI!$B$9, 0) + (VERI_TABANI!D23*B114*(VERI_TABANI!$B$13-VERI_TABANI!$B$14)*VERI_TABANI!G23) + (VERI_TABANI!D23*C114*(VERI_TABANI!$B$13-VERI_TABANI!$B$15)*VERI_TABANI!G23) + IF(ABS(IF(ISNUMBER(SEARCH("Var", D114)), 1, IF(ISNUMBER(SEARCH("Gri", D114)), -1, 0)))=1, VERI_TABANI!E23*(1-0.928)*0.00206091519919798*VERI_TABANI!G23, 0)) + ((MIN(VERI_TABANI!D24, VERI_TABANI!D24*B114)*VERI_TABANI!$B$7 + MAX(0, VERI_TABANI!D24*B114-VERI_TABANI!D24)*VERI_TABANI!$B$8) + (MIN(MAX(0, VERI_TABANI!D24-VERI_TABANI!D24*B114), VERI_TABANI!D24*C114)*VERI_TABANI!$B$7 + MAX(0, VERI_TABANI!D24*C114-MAX(0, VERI_TABANI!D24-VERI_TABANI!D24*B114))*VERI_TABANI!$B$8) + IF(ABS(IF(ISNUMBER(SEARCH("Var", D114)), 1, IF(ISNUMBER(SEARCH("Gri", D114)), -1, 0)))=1, VERI_TABANI!E24*(1-0.928)*VERI_TABANI!$B$9, 0) + (VERI_TABANI!D24*B114*(VERI_TABANI!$B$13-VERI_TABANI!$B$14)*VERI_TABANI!G24) + (VERI_TABANI!D24*C114*(VERI_TABANI!$B$13-VERI_TABANI!$B$15)*VERI_TABANI!G24) + IF(ABS(IF(ISNUMBER(SEARCH("Var", D114)), 1, IF(ISNUMBER(SEARCH("Gri", D114)), -1, 0)))=1, VERI_TABANI!E24*(1-0.928)*0.00206091519919798*VERI_TABANI!G24, 0)) + ((MIN(VERI_TABANI!D25, VERI_TABANI!D25*B114)*VERI_TABANI!$B$7 + MAX(0, VERI_TABANI!D25*B114-VERI_TABANI!D25)*VERI_TABANI!$B$8) + (MIN(MAX(0, VERI_TABANI!D25-VERI_TABANI!D25*B114), VERI_TABANI!D25*C114)*VERI_TABANI!$B$7 + MAX(0, VERI_TABANI!D25*C114-MAX(0, VERI_TABANI!D25-VERI_TABANI!D25*B114))*VERI_TABANI!$B$8) + IF(ABS(IF(ISNUMBER(SEARCH("Var", D114)), 1, IF(ISNUMBER(SEARCH("Gri", D114)), -1, 0)))=1, VERI_TABANI!E25*(1-0.928)*VERI_TABANI!$B$9, 0) + (VERI_TABANI!D25*B114*(VERI_TABANI!$B$13-VERI_TABANI!$B$14)*VERI_TABANI!G25) + (VERI_TABANI!D25*C114*(VERI_TABANI!$B$13-VERI_TABANI!$B$15)*VERI_TABANI!G25) + IF(ABS(IF(ISNUMBER(SEARCH("Var", D114)), 1, IF(ISNUMBER(SEARCH("Gri", D114)), -1, 0)))=1, VERI_TABANI!E25*(1-0.928)*0.00206091519919798*VERI_TABANI!G25, 0)) + ((MIN(VERI_TABANI!D26, VERI_TABANI!D26*B114)*VERI_TABANI!$B$7 + MAX(0, VERI_TABANI!D26*B114-VERI_TABANI!D26)*VERI_TABANI!$B$8) + (MIN(MAX(0, VERI_TABANI!D26-VERI_TABANI!D26*B114), VERI_TABANI!D26*C114)*VERI_TABANI!$B$7 + MAX(0, VERI_TABANI!D26*C114-MAX(0, VERI_TABANI!D26-VERI_TABANI!D26*B114))*VERI_TABANI!$B$8) + IF(ABS(IF(ISNUMBER(SEARCH("Var", D114)), 1, IF(ISNUMBER(SEARCH("Gri", D114)), -1, 0)))=1, VERI_TABANI!E26*(1-0.928)*VERI_TABANI!$B$9, 0) + (VERI_TABANI!D26*B114*(VERI_TABANI!$B$13-VERI_TABANI!$B$14)*VERI_TABANI!G26) + (VERI_TABANI!D26*C114*(VERI_TABANI!$B$13-VERI_TABANI!$B$15)*VERI_TABANI!G26) + IF(ABS(IF(ISNUMBER(SEARCH("Var", D114)), 1, IF(ISNUMBER(SEARCH("Gri", D114)), -1, 0)))=1, VERI_TABANI!E26*(1-0.928)*0.00206091519919798*VERI_TABANI!G26, 0)) + ((MIN(VERI_TABANI!D27, VERI_TABANI!D27*B114)*VERI_TABANI!$B$7 + MAX(0, VERI_TABANI!D27*B114-VERI_TABANI!D27)*VERI_TABANI!$B$8) + (MIN(MAX(0, VERI_TABANI!D27-VERI_TABANI!D27*B114), VERI_TABANI!D27*C114)*VERI_TABANI!$B$7 + MAX(0, VERI_TABANI!D27*C114-MAX(0, VERI_TABANI!D27-VERI_TABANI!D27*B114))*VERI_TABANI!$B$8) + IF(ABS(IF(ISNUMBER(SEARCH("Var", D114)), 1, IF(ISNUMBER(SEARCH("Gri", D114)), -1, 0)))=1, VERI_TABANI!E27*(1-0.928)*VERI_TABANI!$B$9, 0) + (VERI_TABANI!D27*B114*(VERI_TABANI!$B$13-VERI_TABANI!$B$14)*VERI_TABANI!G27) + (VERI_TABANI!D27*C114*(VERI_TABANI!$B$13-VERI_TABANI!$B$15)*VERI_TABANI!G27) + IF(ABS(IF(ISNUMBER(SEARCH("Var", D114)), 1, IF(ISNUMBER(SEARCH("Gri", D114)), -1, 0)))=1, VERI_TABANI!E27*(1-0.928)*0.00206091519919798*VERI_TABANI!G27, 0)) + ((MIN(VERI_TABANI!D28, VERI_TABANI!D28*B114)*VERI_TABANI!$B$7 + MAX(0, VERI_TABANI!D28*B114-VERI_TABANI!D28)*VERI_TABANI!$B$8) + (MIN(MAX(0, VERI_TABANI!D28-VERI_TABANI!D28*B114), VERI_TABANI!D28*C114)*VERI_TABANI!$B$7 + MAX(0, VERI_TABANI!D28*C114-MAX(0, VERI_TABANI!D28-VERI_TABANI!D28*B114))*VERI_TABANI!$B$8) + IF(ABS(IF(ISNUMBER(SEARCH("Var", D114)), 1, IF(ISNUMBER(SEARCH("Gri", D114)), -1, 0)))=1, VERI_TABANI!E28*(1-0.928)*VERI_TABANI!$B$9, 0) + (VERI_TABANI!D28*B114*(VERI_TABANI!$B$13-VERI_TABANI!$B$14)*VERI_TABANI!G28) + (VERI_TABANI!D28*C114*(VERI_TABANI!$B$13-VERI_TABANI!$B$15)*VERI_TABANI!G28) + IF(ABS(IF(ISNUMBER(SEARCH("Var", D114)), 1, IF(ISNUMBER(SEARCH("Gri", D114)), -1, 0)))=1, VERI_TABANI!E28*(1-0.928)*0.00206091519919798*VERI_TABANI!G28, 0)))</f>
        <v/>
      </c>
      <c r="H114" s="169">
        <f>(((VERI_TABANI!D23*B114*(VERI_TABANI!$B$13-VERI_TABANI!$B$14)) + (VERI_TABANI!D23*C114*(VERI_TABANI!$B$13-VERI_TABANI!$B$15)) + IF(ISNUMBER(SEARCH("Var", D114)), VERI_TABANI!F23*(0.00202-VERI_TABANI!$B$16), IF(ISNUMBER(SEARCH("Gri", D114)), VERI_TABANI!F23*(0.00202-VERI_TABANI!$B$17), 0))) + ((VERI_TABANI!D24*B114*(VERI_TABANI!$B$13-VERI_TABANI!$B$14)) + (VERI_TABANI!D24*C114*(VERI_TABANI!$B$13-VERI_TABANI!$B$15)) + IF(ISNUMBER(SEARCH("Var", D114)), VERI_TABANI!F24*(0.00202-VERI_TABANI!$B$16), IF(ISNUMBER(SEARCH("Gri", D114)), VERI_TABANI!F24*(0.00202-VERI_TABANI!$B$17), 0))) + ((VERI_TABANI!D25*B114*(VERI_TABANI!$B$13-VERI_TABANI!$B$14)) + (VERI_TABANI!D25*C114*(VERI_TABANI!$B$13-VERI_TABANI!$B$15)) + IF(ISNUMBER(SEARCH("Var", D114)), VERI_TABANI!F25*(0.00202-VERI_TABANI!$B$16), IF(ISNUMBER(SEARCH("Gri", D114)), VERI_TABANI!F25*(0.00202-VERI_TABANI!$B$17), 0))) + ((VERI_TABANI!D26*B114*(VERI_TABANI!$B$13-VERI_TABANI!$B$14)) + (VERI_TABANI!D26*C114*(VERI_TABANI!$B$13-VERI_TABANI!$B$15)) + IF(ISNUMBER(SEARCH("Var", D114)), VERI_TABANI!F26*(0.00202-VERI_TABANI!$B$16), IF(ISNUMBER(SEARCH("Gri", D114)), VERI_TABANI!F26*(0.00202-VERI_TABANI!$B$17), 0))) + ((VERI_TABANI!D27*B114*(VERI_TABANI!$B$13-VERI_TABANI!$B$14)) + (VERI_TABANI!D27*C114*(VERI_TABANI!$B$13-VERI_TABANI!$B$15)) + IF(ISNUMBER(SEARCH("Var", D114)), VERI_TABANI!F27*(0.00202-VERI_TABANI!$B$16), IF(ISNUMBER(SEARCH("Gri", D114)), VERI_TABANI!F27*(0.00202-VERI_TABANI!$B$17), 0))) + ((VERI_TABANI!D28*B114*(VERI_TABANI!$B$13-VERI_TABANI!$B$14)) + (VERI_TABANI!D28*C114*(VERI_TABANI!$B$13-VERI_TABANI!$B$15)) + IF(ISNUMBER(SEARCH("Var", D114)), VERI_TABANI!F28*(0.00202-VERI_TABANI!$B$16), IF(ISNUMBER(SEARCH("Gri", D114)), VERI_TABANI!F28*(0.00202-VERI_TABANI!$B$17), 0))))</f>
        <v/>
      </c>
      <c r="I114" s="170">
        <f>IFERROR(((VERI_TABANI!$D$29*B114*VERI_TABANI!$B$14 + VERI_TABANI!$D$29*C114*VERI_TABANI!$B$15 + IF(ISNUMBER(SEARCH("Var", D114)), VERI_TABANI!$F$29*VERI_TABANI!$B$16, 0))) / (((VERI_TABANI!$D$29*B114 + VERI_TABANI!$D$29*C114)*VERI_TABANI!$B$13 + IF(ISNUMBER(SEARCH("Var", D114)), VERI_TABANI!$E$29*(1-0.928)*VERI_TABANI!$B$18, 0))), 0)</f>
        <v/>
      </c>
      <c r="J114" s="171">
        <f>IFERROR(F114/(G114/29), 0)</f>
        <v/>
      </c>
      <c r="K114" s="172">
        <f>IF(F114&gt;0, H114/F114, 0)</f>
        <v/>
      </c>
      <c r="L114" s="170">
        <f>IF(F114&gt;0, I114, 1000000000)</f>
        <v/>
      </c>
      <c r="M114" s="171">
        <f>ABS((B114+C114)-1)</f>
        <v/>
      </c>
      <c r="N114" s="170">
        <f>IF(F114&gt;0, (G114/29)/F114, 0)</f>
        <v/>
      </c>
      <c r="O114" s="168">
        <f>IF(AND((B114+C114)&gt;=1, ISNUMBER(SEARCH("Var", D114))), F114, 1000000000)</f>
        <v/>
      </c>
      <c r="P114" s="172">
        <f>IF(F114&gt;0, SQRT((F114/MAX(F$5:F$886))^2 + (1 - H114/MAX(H$5:H$886))^2 + (J114/MAX(J$5:J$886))^2), 1000000000)</f>
        <v/>
      </c>
      <c r="Q114" s="166">
        <f>IF(AND(ABS(B114-0.5)&lt;0.01, ABS(C114-0.5)&lt;0.01, ISNUMBER(SEARCH("Var", D114))), 1, 0)</f>
        <v/>
      </c>
      <c r="R114" s="171">
        <f>IF(F114&gt;0, J114, 1000000000)</f>
        <v/>
      </c>
      <c r="S114" s="101">
        <f>IF(AND(F114&lt;=DASHBOARD!$B$11, H114&gt;=DASHBOARD!$B$13), G114, -1000000000000)</f>
        <v/>
      </c>
      <c r="T114" s="101">
        <f>IF(AND(F114&lt;=DASHBOARD!$B$11, H114&gt;=DASHBOARD!$B$13), R114, 1000000000000)</f>
        <v/>
      </c>
      <c r="U114" s="101">
        <f>IF(AND(F114&lt;=DASHBOARD!$B$11, H114&gt;=DASHBOARD!$B$13), N114, -1000000000000)</f>
        <v/>
      </c>
      <c r="V114" s="101">
        <f>IF(AND(F114&lt;=DASHBOARD!$B$11, H114&gt;=DASHBOARD!$B$13), H114, -1000000000000)</f>
        <v/>
      </c>
      <c r="W114" s="101">
        <f>IF(AND(F114&lt;=DASHBOARD!$B$11, H114&gt;=DASHBOARD!$B$13), K114, -1000000000000)</f>
        <v/>
      </c>
      <c r="X114" s="101">
        <f>IF(AND(F114&lt;=DASHBOARD!$B$11, H114&gt;=DASHBOARD!$B$13), M114, 1000000000000)</f>
        <v/>
      </c>
      <c r="Y114" s="101">
        <f>IF(AND(F114&lt;=DASHBOARD!$B$10, H114&gt;=DASHBOARD!$B$11), L114, 1000000000000)</f>
        <v/>
      </c>
      <c r="Z114" s="101">
        <f>IF(AND(F114&lt;=DASHBOARD!$B$10, H114&gt;=DASHBOARD!$B$11), O114, 1000000000000)</f>
        <v/>
      </c>
      <c r="AA114" s="101">
        <f>IF(AND(F114&lt;=DASHBOARD!$B$10, H114&gt;=DASHBOARD!$B$11), P114, 1000000000000)</f>
        <v/>
      </c>
      <c r="AB114" s="101">
        <f>IF(AND(F114&lt;=DASHBOARD!$B$10, H114&gt;=DASHBOARD!$B$11), Q114, -1000000000000)</f>
        <v/>
      </c>
    </row>
    <row r="115" ht="12.75" customHeight="1" s="102">
      <c r="A115" s="166" t="n">
        <v>111</v>
      </c>
      <c r="B115" s="167" t="n">
        <v>0.2</v>
      </c>
      <c r="C115" s="167" t="n">
        <v>1.3</v>
      </c>
      <c r="D115" s="110" t="inlineStr">
        <is>
          <t>Yok (%0)</t>
        </is>
      </c>
      <c r="E115" s="110">
        <f>IF((B115+C115)&lt;=1, "Tam Mahsuplaşma (≤%100)", "Kısmi Satış (&gt;%100)")</f>
        <v/>
      </c>
      <c r="F115" s="168">
        <f>((VERI_TABANI!$D$29*B115/VERI_TABANI!$B$29)/VERI_TABANI!$B$3)*VERI_TABANI!$B$5 + ((VERI_TABANI!$D$29*C115/VERI_TABANI!$B$29)/VERI_TABANI!$B$4)*VERI_TABANI!$B$6 + IF(ISNUMBER(SEARCH("Var", D115)), (VERI_TABANI!$F$29/VERI_TABANI!$B$29)*(VERI_TABANI!$B$10+VERI_TABANI!$B$12), 0)</f>
        <v/>
      </c>
      <c r="G115" s="168">
        <f>(((MIN(VERI_TABANI!D23, VERI_TABANI!D23*B115)*VERI_TABANI!$B$7 + MAX(0, VERI_TABANI!D23*B115-VERI_TABANI!D23)*VERI_TABANI!$B$8) + (MIN(MAX(0, VERI_TABANI!D23-VERI_TABANI!D23*B115), VERI_TABANI!D23*C115)*VERI_TABANI!$B$7 + MAX(0, VERI_TABANI!D23*C115-MAX(0, VERI_TABANI!D23-VERI_TABANI!D23*B115))*VERI_TABANI!$B$8) + IF(ABS(IF(ISNUMBER(SEARCH("Var", D115)), 1, IF(ISNUMBER(SEARCH("Gri", D115)), -1, 0)))=1, VERI_TABANI!E23*(1-0.928)*VERI_TABANI!$B$9, 0) + (VERI_TABANI!D23*B115*(VERI_TABANI!$B$13-VERI_TABANI!$B$14)*VERI_TABANI!G23) + (VERI_TABANI!D23*C115*(VERI_TABANI!$B$13-VERI_TABANI!$B$15)*VERI_TABANI!G23) + IF(ABS(IF(ISNUMBER(SEARCH("Var", D115)), 1, IF(ISNUMBER(SEARCH("Gri", D115)), -1, 0)))=1, VERI_TABANI!E23*(1-0.928)*0.00206091519919798*VERI_TABANI!G23, 0)) + ((MIN(VERI_TABANI!D24, VERI_TABANI!D24*B115)*VERI_TABANI!$B$7 + MAX(0, VERI_TABANI!D24*B115-VERI_TABANI!D24)*VERI_TABANI!$B$8) + (MIN(MAX(0, VERI_TABANI!D24-VERI_TABANI!D24*B115), VERI_TABANI!D24*C115)*VERI_TABANI!$B$7 + MAX(0, VERI_TABANI!D24*C115-MAX(0, VERI_TABANI!D24-VERI_TABANI!D24*B115))*VERI_TABANI!$B$8) + IF(ABS(IF(ISNUMBER(SEARCH("Var", D115)), 1, IF(ISNUMBER(SEARCH("Gri", D115)), -1, 0)))=1, VERI_TABANI!E24*(1-0.928)*VERI_TABANI!$B$9, 0) + (VERI_TABANI!D24*B115*(VERI_TABANI!$B$13-VERI_TABANI!$B$14)*VERI_TABANI!G24) + (VERI_TABANI!D24*C115*(VERI_TABANI!$B$13-VERI_TABANI!$B$15)*VERI_TABANI!G24) + IF(ABS(IF(ISNUMBER(SEARCH("Var", D115)), 1, IF(ISNUMBER(SEARCH("Gri", D115)), -1, 0)))=1, VERI_TABANI!E24*(1-0.928)*0.00206091519919798*VERI_TABANI!G24, 0)) + ((MIN(VERI_TABANI!D25, VERI_TABANI!D25*B115)*VERI_TABANI!$B$7 + MAX(0, VERI_TABANI!D25*B115-VERI_TABANI!D25)*VERI_TABANI!$B$8) + (MIN(MAX(0, VERI_TABANI!D25-VERI_TABANI!D25*B115), VERI_TABANI!D25*C115)*VERI_TABANI!$B$7 + MAX(0, VERI_TABANI!D25*C115-MAX(0, VERI_TABANI!D25-VERI_TABANI!D25*B115))*VERI_TABANI!$B$8) + IF(ABS(IF(ISNUMBER(SEARCH("Var", D115)), 1, IF(ISNUMBER(SEARCH("Gri", D115)), -1, 0)))=1, VERI_TABANI!E25*(1-0.928)*VERI_TABANI!$B$9, 0) + (VERI_TABANI!D25*B115*(VERI_TABANI!$B$13-VERI_TABANI!$B$14)*VERI_TABANI!G25) + (VERI_TABANI!D25*C115*(VERI_TABANI!$B$13-VERI_TABANI!$B$15)*VERI_TABANI!G25) + IF(ABS(IF(ISNUMBER(SEARCH("Var", D115)), 1, IF(ISNUMBER(SEARCH("Gri", D115)), -1, 0)))=1, VERI_TABANI!E25*(1-0.928)*0.00206091519919798*VERI_TABANI!G25, 0)) + ((MIN(VERI_TABANI!D26, VERI_TABANI!D26*B115)*VERI_TABANI!$B$7 + MAX(0, VERI_TABANI!D26*B115-VERI_TABANI!D26)*VERI_TABANI!$B$8) + (MIN(MAX(0, VERI_TABANI!D26-VERI_TABANI!D26*B115), VERI_TABANI!D26*C115)*VERI_TABANI!$B$7 + MAX(0, VERI_TABANI!D26*C115-MAX(0, VERI_TABANI!D26-VERI_TABANI!D26*B115))*VERI_TABANI!$B$8) + IF(ABS(IF(ISNUMBER(SEARCH("Var", D115)), 1, IF(ISNUMBER(SEARCH("Gri", D115)), -1, 0)))=1, VERI_TABANI!E26*(1-0.928)*VERI_TABANI!$B$9, 0) + (VERI_TABANI!D26*B115*(VERI_TABANI!$B$13-VERI_TABANI!$B$14)*VERI_TABANI!G26) + (VERI_TABANI!D26*C115*(VERI_TABANI!$B$13-VERI_TABANI!$B$15)*VERI_TABANI!G26) + IF(ABS(IF(ISNUMBER(SEARCH("Var", D115)), 1, IF(ISNUMBER(SEARCH("Gri", D115)), -1, 0)))=1, VERI_TABANI!E26*(1-0.928)*0.00206091519919798*VERI_TABANI!G26, 0)) + ((MIN(VERI_TABANI!D27, VERI_TABANI!D27*B115)*VERI_TABANI!$B$7 + MAX(0, VERI_TABANI!D27*B115-VERI_TABANI!D27)*VERI_TABANI!$B$8) + (MIN(MAX(0, VERI_TABANI!D27-VERI_TABANI!D27*B115), VERI_TABANI!D27*C115)*VERI_TABANI!$B$7 + MAX(0, VERI_TABANI!D27*C115-MAX(0, VERI_TABANI!D27-VERI_TABANI!D27*B115))*VERI_TABANI!$B$8) + IF(ABS(IF(ISNUMBER(SEARCH("Var", D115)), 1, IF(ISNUMBER(SEARCH("Gri", D115)), -1, 0)))=1, VERI_TABANI!E27*(1-0.928)*VERI_TABANI!$B$9, 0) + (VERI_TABANI!D27*B115*(VERI_TABANI!$B$13-VERI_TABANI!$B$14)*VERI_TABANI!G27) + (VERI_TABANI!D27*C115*(VERI_TABANI!$B$13-VERI_TABANI!$B$15)*VERI_TABANI!G27) + IF(ABS(IF(ISNUMBER(SEARCH("Var", D115)), 1, IF(ISNUMBER(SEARCH("Gri", D115)), -1, 0)))=1, VERI_TABANI!E27*(1-0.928)*0.00206091519919798*VERI_TABANI!G27, 0)) + ((MIN(VERI_TABANI!D28, VERI_TABANI!D28*B115)*VERI_TABANI!$B$7 + MAX(0, VERI_TABANI!D28*B115-VERI_TABANI!D28)*VERI_TABANI!$B$8) + (MIN(MAX(0, VERI_TABANI!D28-VERI_TABANI!D28*B115), VERI_TABANI!D28*C115)*VERI_TABANI!$B$7 + MAX(0, VERI_TABANI!D28*C115-MAX(0, VERI_TABANI!D28-VERI_TABANI!D28*B115))*VERI_TABANI!$B$8) + IF(ABS(IF(ISNUMBER(SEARCH("Var", D115)), 1, IF(ISNUMBER(SEARCH("Gri", D115)), -1, 0)))=1, VERI_TABANI!E28*(1-0.928)*VERI_TABANI!$B$9, 0) + (VERI_TABANI!D28*B115*(VERI_TABANI!$B$13-VERI_TABANI!$B$14)*VERI_TABANI!G28) + (VERI_TABANI!D28*C115*(VERI_TABANI!$B$13-VERI_TABANI!$B$15)*VERI_TABANI!G28) + IF(ABS(IF(ISNUMBER(SEARCH("Var", D115)), 1, IF(ISNUMBER(SEARCH("Gri", D115)), -1, 0)))=1, VERI_TABANI!E28*(1-0.928)*0.00206091519919798*VERI_TABANI!G28, 0)))</f>
        <v/>
      </c>
      <c r="H115" s="169">
        <f>(((VERI_TABANI!D23*B115*(VERI_TABANI!$B$13-VERI_TABANI!$B$14)) + (VERI_TABANI!D23*C115*(VERI_TABANI!$B$13-VERI_TABANI!$B$15)) + IF(ISNUMBER(SEARCH("Var", D115)), VERI_TABANI!F23*(0.00202-VERI_TABANI!$B$16), IF(ISNUMBER(SEARCH("Gri", D115)), VERI_TABANI!F23*(0.00202-VERI_TABANI!$B$17), 0))) + ((VERI_TABANI!D24*B115*(VERI_TABANI!$B$13-VERI_TABANI!$B$14)) + (VERI_TABANI!D24*C115*(VERI_TABANI!$B$13-VERI_TABANI!$B$15)) + IF(ISNUMBER(SEARCH("Var", D115)), VERI_TABANI!F24*(0.00202-VERI_TABANI!$B$16), IF(ISNUMBER(SEARCH("Gri", D115)), VERI_TABANI!F24*(0.00202-VERI_TABANI!$B$17), 0))) + ((VERI_TABANI!D25*B115*(VERI_TABANI!$B$13-VERI_TABANI!$B$14)) + (VERI_TABANI!D25*C115*(VERI_TABANI!$B$13-VERI_TABANI!$B$15)) + IF(ISNUMBER(SEARCH("Var", D115)), VERI_TABANI!F25*(0.00202-VERI_TABANI!$B$16), IF(ISNUMBER(SEARCH("Gri", D115)), VERI_TABANI!F25*(0.00202-VERI_TABANI!$B$17), 0))) + ((VERI_TABANI!D26*B115*(VERI_TABANI!$B$13-VERI_TABANI!$B$14)) + (VERI_TABANI!D26*C115*(VERI_TABANI!$B$13-VERI_TABANI!$B$15)) + IF(ISNUMBER(SEARCH("Var", D115)), VERI_TABANI!F26*(0.00202-VERI_TABANI!$B$16), IF(ISNUMBER(SEARCH("Gri", D115)), VERI_TABANI!F26*(0.00202-VERI_TABANI!$B$17), 0))) + ((VERI_TABANI!D27*B115*(VERI_TABANI!$B$13-VERI_TABANI!$B$14)) + (VERI_TABANI!D27*C115*(VERI_TABANI!$B$13-VERI_TABANI!$B$15)) + IF(ISNUMBER(SEARCH("Var", D115)), VERI_TABANI!F27*(0.00202-VERI_TABANI!$B$16), IF(ISNUMBER(SEARCH("Gri", D115)), VERI_TABANI!F27*(0.00202-VERI_TABANI!$B$17), 0))) + ((VERI_TABANI!D28*B115*(VERI_TABANI!$B$13-VERI_TABANI!$B$14)) + (VERI_TABANI!D28*C115*(VERI_TABANI!$B$13-VERI_TABANI!$B$15)) + IF(ISNUMBER(SEARCH("Var", D115)), VERI_TABANI!F28*(0.00202-VERI_TABANI!$B$16), IF(ISNUMBER(SEARCH("Gri", D115)), VERI_TABANI!F28*(0.00202-VERI_TABANI!$B$17), 0))))</f>
        <v/>
      </c>
      <c r="I115" s="170">
        <f>IFERROR(((VERI_TABANI!$D$29*B115*VERI_TABANI!$B$14 + VERI_TABANI!$D$29*C115*VERI_TABANI!$B$15 + IF(ISNUMBER(SEARCH("Var", D115)), VERI_TABANI!$F$29*VERI_TABANI!$B$16, 0))) / (((VERI_TABANI!$D$29*B115 + VERI_TABANI!$D$29*C115)*VERI_TABANI!$B$13 + IF(ISNUMBER(SEARCH("Var", D115)), VERI_TABANI!$E$29*(1-0.928)*VERI_TABANI!$B$18, 0))), 0)</f>
        <v/>
      </c>
      <c r="J115" s="171">
        <f>IFERROR(F115/(G115/29), 0)</f>
        <v/>
      </c>
      <c r="K115" s="172">
        <f>IF(F115&gt;0, H115/F115, 0)</f>
        <v/>
      </c>
      <c r="L115" s="170">
        <f>IF(F115&gt;0, I115, 1000000000)</f>
        <v/>
      </c>
      <c r="M115" s="171">
        <f>ABS((B115+C115)-1)</f>
        <v/>
      </c>
      <c r="N115" s="170">
        <f>IF(F115&gt;0, (G115/29)/F115, 0)</f>
        <v/>
      </c>
      <c r="O115" s="168">
        <f>IF(AND((B115+C115)&gt;=1, ISNUMBER(SEARCH("Var", D115))), F115, 1000000000)</f>
        <v/>
      </c>
      <c r="P115" s="172">
        <f>IF(F115&gt;0, SQRT((F115/MAX(F$5:F$886))^2 + (1 - H115/MAX(H$5:H$886))^2 + (J115/MAX(J$5:J$886))^2), 1000000000)</f>
        <v/>
      </c>
      <c r="Q115" s="166">
        <f>IF(AND(ABS(B115-0.5)&lt;0.01, ABS(C115-0.5)&lt;0.01, ISNUMBER(SEARCH("Var", D115))), 1, 0)</f>
        <v/>
      </c>
      <c r="R115" s="171">
        <f>IF(F115&gt;0, J115, 1000000000)</f>
        <v/>
      </c>
      <c r="S115" s="101">
        <f>IF(AND(F115&lt;=DASHBOARD!$B$11, H115&gt;=DASHBOARD!$B$13), G115, -1000000000000)</f>
        <v/>
      </c>
      <c r="T115" s="101">
        <f>IF(AND(F115&lt;=DASHBOARD!$B$11, H115&gt;=DASHBOARD!$B$13), R115, 1000000000000)</f>
        <v/>
      </c>
      <c r="U115" s="101">
        <f>IF(AND(F115&lt;=DASHBOARD!$B$11, H115&gt;=DASHBOARD!$B$13), N115, -1000000000000)</f>
        <v/>
      </c>
      <c r="V115" s="101">
        <f>IF(AND(F115&lt;=DASHBOARD!$B$11, H115&gt;=DASHBOARD!$B$13), H115, -1000000000000)</f>
        <v/>
      </c>
      <c r="W115" s="101">
        <f>IF(AND(F115&lt;=DASHBOARD!$B$11, H115&gt;=DASHBOARD!$B$13), K115, -1000000000000)</f>
        <v/>
      </c>
      <c r="X115" s="101">
        <f>IF(AND(F115&lt;=DASHBOARD!$B$11, H115&gt;=DASHBOARD!$B$13), M115, 1000000000000)</f>
        <v/>
      </c>
      <c r="Y115" s="101">
        <f>IF(AND(F115&lt;=DASHBOARD!$B$10, H115&gt;=DASHBOARD!$B$11), L115, 1000000000000)</f>
        <v/>
      </c>
      <c r="Z115" s="101">
        <f>IF(AND(F115&lt;=DASHBOARD!$B$10, H115&gt;=DASHBOARD!$B$11), O115, 1000000000000)</f>
        <v/>
      </c>
      <c r="AA115" s="101">
        <f>IF(AND(F115&lt;=DASHBOARD!$B$10, H115&gt;=DASHBOARD!$B$11), P115, 1000000000000)</f>
        <v/>
      </c>
      <c r="AB115" s="101">
        <f>IF(AND(F115&lt;=DASHBOARD!$B$10, H115&gt;=DASHBOARD!$B$11), Q115, -1000000000000)</f>
        <v/>
      </c>
    </row>
    <row r="116" ht="12.75" customHeight="1" s="102">
      <c r="A116" s="166" t="n">
        <v>112</v>
      </c>
      <c r="B116" s="167" t="n">
        <v>0.2</v>
      </c>
      <c r="C116" s="167" t="n">
        <v>1.3</v>
      </c>
      <c r="D116" s="110" t="inlineStr">
        <is>
          <t>Var (%20)</t>
        </is>
      </c>
      <c r="E116" s="110">
        <f>IF((B116+C116)&lt;=1, "Tam Mahsuplaşma (≤%100)", "Kısmi Satış (&gt;%100)")</f>
        <v/>
      </c>
      <c r="F116" s="168">
        <f>((VERI_TABANI!$D$29*B116/VERI_TABANI!$B$29)/VERI_TABANI!$B$3)*VERI_TABANI!$B$5 + ((VERI_TABANI!$D$29*C116/VERI_TABANI!$B$29)/VERI_TABANI!$B$4)*VERI_TABANI!$B$6 + IF(ISNUMBER(SEARCH("Var", D116)), (VERI_TABANI!$F$29/VERI_TABANI!$B$29)*(VERI_TABANI!$B$10+VERI_TABANI!$B$12), 0)</f>
        <v/>
      </c>
      <c r="G116" s="168">
        <f>(((MIN(VERI_TABANI!D23, VERI_TABANI!D23*B116)*VERI_TABANI!$B$7 + MAX(0, VERI_TABANI!D23*B116-VERI_TABANI!D23)*VERI_TABANI!$B$8) + (MIN(MAX(0, VERI_TABANI!D23-VERI_TABANI!D23*B116), VERI_TABANI!D23*C116)*VERI_TABANI!$B$7 + MAX(0, VERI_TABANI!D23*C116-MAX(0, VERI_TABANI!D23-VERI_TABANI!D23*B116))*VERI_TABANI!$B$8) + IF(ABS(IF(ISNUMBER(SEARCH("Var", D116)), 1, IF(ISNUMBER(SEARCH("Gri", D116)), -1, 0)))=1, VERI_TABANI!E23*(1-0.928)*VERI_TABANI!$B$9, 0) + (VERI_TABANI!D23*B116*(VERI_TABANI!$B$13-VERI_TABANI!$B$14)*VERI_TABANI!G23) + (VERI_TABANI!D23*C116*(VERI_TABANI!$B$13-VERI_TABANI!$B$15)*VERI_TABANI!G23) + IF(ABS(IF(ISNUMBER(SEARCH("Var", D116)), 1, IF(ISNUMBER(SEARCH("Gri", D116)), -1, 0)))=1, VERI_TABANI!E23*(1-0.928)*0.00206091519919798*VERI_TABANI!G23, 0)) + ((MIN(VERI_TABANI!D24, VERI_TABANI!D24*B116)*VERI_TABANI!$B$7 + MAX(0, VERI_TABANI!D24*B116-VERI_TABANI!D24)*VERI_TABANI!$B$8) + (MIN(MAX(0, VERI_TABANI!D24-VERI_TABANI!D24*B116), VERI_TABANI!D24*C116)*VERI_TABANI!$B$7 + MAX(0, VERI_TABANI!D24*C116-MAX(0, VERI_TABANI!D24-VERI_TABANI!D24*B116))*VERI_TABANI!$B$8) + IF(ABS(IF(ISNUMBER(SEARCH("Var", D116)), 1, IF(ISNUMBER(SEARCH("Gri", D116)), -1, 0)))=1, VERI_TABANI!E24*(1-0.928)*VERI_TABANI!$B$9, 0) + (VERI_TABANI!D24*B116*(VERI_TABANI!$B$13-VERI_TABANI!$B$14)*VERI_TABANI!G24) + (VERI_TABANI!D24*C116*(VERI_TABANI!$B$13-VERI_TABANI!$B$15)*VERI_TABANI!G24) + IF(ABS(IF(ISNUMBER(SEARCH("Var", D116)), 1, IF(ISNUMBER(SEARCH("Gri", D116)), -1, 0)))=1, VERI_TABANI!E24*(1-0.928)*0.00206091519919798*VERI_TABANI!G24, 0)) + ((MIN(VERI_TABANI!D25, VERI_TABANI!D25*B116)*VERI_TABANI!$B$7 + MAX(0, VERI_TABANI!D25*B116-VERI_TABANI!D25)*VERI_TABANI!$B$8) + (MIN(MAX(0, VERI_TABANI!D25-VERI_TABANI!D25*B116), VERI_TABANI!D25*C116)*VERI_TABANI!$B$7 + MAX(0, VERI_TABANI!D25*C116-MAX(0, VERI_TABANI!D25-VERI_TABANI!D25*B116))*VERI_TABANI!$B$8) + IF(ABS(IF(ISNUMBER(SEARCH("Var", D116)), 1, IF(ISNUMBER(SEARCH("Gri", D116)), -1, 0)))=1, VERI_TABANI!E25*(1-0.928)*VERI_TABANI!$B$9, 0) + (VERI_TABANI!D25*B116*(VERI_TABANI!$B$13-VERI_TABANI!$B$14)*VERI_TABANI!G25) + (VERI_TABANI!D25*C116*(VERI_TABANI!$B$13-VERI_TABANI!$B$15)*VERI_TABANI!G25) + IF(ABS(IF(ISNUMBER(SEARCH("Var", D116)), 1, IF(ISNUMBER(SEARCH("Gri", D116)), -1, 0)))=1, VERI_TABANI!E25*(1-0.928)*0.00206091519919798*VERI_TABANI!G25, 0)) + ((MIN(VERI_TABANI!D26, VERI_TABANI!D26*B116)*VERI_TABANI!$B$7 + MAX(0, VERI_TABANI!D26*B116-VERI_TABANI!D26)*VERI_TABANI!$B$8) + (MIN(MAX(0, VERI_TABANI!D26-VERI_TABANI!D26*B116), VERI_TABANI!D26*C116)*VERI_TABANI!$B$7 + MAX(0, VERI_TABANI!D26*C116-MAX(0, VERI_TABANI!D26-VERI_TABANI!D26*B116))*VERI_TABANI!$B$8) + IF(ABS(IF(ISNUMBER(SEARCH("Var", D116)), 1, IF(ISNUMBER(SEARCH("Gri", D116)), -1, 0)))=1, VERI_TABANI!E26*(1-0.928)*VERI_TABANI!$B$9, 0) + (VERI_TABANI!D26*B116*(VERI_TABANI!$B$13-VERI_TABANI!$B$14)*VERI_TABANI!G26) + (VERI_TABANI!D26*C116*(VERI_TABANI!$B$13-VERI_TABANI!$B$15)*VERI_TABANI!G26) + IF(ABS(IF(ISNUMBER(SEARCH("Var", D116)), 1, IF(ISNUMBER(SEARCH("Gri", D116)), -1, 0)))=1, VERI_TABANI!E26*(1-0.928)*0.00206091519919798*VERI_TABANI!G26, 0)) + ((MIN(VERI_TABANI!D27, VERI_TABANI!D27*B116)*VERI_TABANI!$B$7 + MAX(0, VERI_TABANI!D27*B116-VERI_TABANI!D27)*VERI_TABANI!$B$8) + (MIN(MAX(0, VERI_TABANI!D27-VERI_TABANI!D27*B116), VERI_TABANI!D27*C116)*VERI_TABANI!$B$7 + MAX(0, VERI_TABANI!D27*C116-MAX(0, VERI_TABANI!D27-VERI_TABANI!D27*B116))*VERI_TABANI!$B$8) + IF(ABS(IF(ISNUMBER(SEARCH("Var", D116)), 1, IF(ISNUMBER(SEARCH("Gri", D116)), -1, 0)))=1, VERI_TABANI!E27*(1-0.928)*VERI_TABANI!$B$9, 0) + (VERI_TABANI!D27*B116*(VERI_TABANI!$B$13-VERI_TABANI!$B$14)*VERI_TABANI!G27) + (VERI_TABANI!D27*C116*(VERI_TABANI!$B$13-VERI_TABANI!$B$15)*VERI_TABANI!G27) + IF(ABS(IF(ISNUMBER(SEARCH("Var", D116)), 1, IF(ISNUMBER(SEARCH("Gri", D116)), -1, 0)))=1, VERI_TABANI!E27*(1-0.928)*0.00206091519919798*VERI_TABANI!G27, 0)) + ((MIN(VERI_TABANI!D28, VERI_TABANI!D28*B116)*VERI_TABANI!$B$7 + MAX(0, VERI_TABANI!D28*B116-VERI_TABANI!D28)*VERI_TABANI!$B$8) + (MIN(MAX(0, VERI_TABANI!D28-VERI_TABANI!D28*B116), VERI_TABANI!D28*C116)*VERI_TABANI!$B$7 + MAX(0, VERI_TABANI!D28*C116-MAX(0, VERI_TABANI!D28-VERI_TABANI!D28*B116))*VERI_TABANI!$B$8) + IF(ABS(IF(ISNUMBER(SEARCH("Var", D116)), 1, IF(ISNUMBER(SEARCH("Gri", D116)), -1, 0)))=1, VERI_TABANI!E28*(1-0.928)*VERI_TABANI!$B$9, 0) + (VERI_TABANI!D28*B116*(VERI_TABANI!$B$13-VERI_TABANI!$B$14)*VERI_TABANI!G28) + (VERI_TABANI!D28*C116*(VERI_TABANI!$B$13-VERI_TABANI!$B$15)*VERI_TABANI!G28) + IF(ABS(IF(ISNUMBER(SEARCH("Var", D116)), 1, IF(ISNUMBER(SEARCH("Gri", D116)), -1, 0)))=1, VERI_TABANI!E28*(1-0.928)*0.00206091519919798*VERI_TABANI!G28, 0)))</f>
        <v/>
      </c>
      <c r="H116" s="169">
        <f>(((VERI_TABANI!D23*B116*(VERI_TABANI!$B$13-VERI_TABANI!$B$14)) + (VERI_TABANI!D23*C116*(VERI_TABANI!$B$13-VERI_TABANI!$B$15)) + IF(ISNUMBER(SEARCH("Var", D116)), VERI_TABANI!F23*(0.00202-VERI_TABANI!$B$16), IF(ISNUMBER(SEARCH("Gri", D116)), VERI_TABANI!F23*(0.00202-VERI_TABANI!$B$17), 0))) + ((VERI_TABANI!D24*B116*(VERI_TABANI!$B$13-VERI_TABANI!$B$14)) + (VERI_TABANI!D24*C116*(VERI_TABANI!$B$13-VERI_TABANI!$B$15)) + IF(ISNUMBER(SEARCH("Var", D116)), VERI_TABANI!F24*(0.00202-VERI_TABANI!$B$16), IF(ISNUMBER(SEARCH("Gri", D116)), VERI_TABANI!F24*(0.00202-VERI_TABANI!$B$17), 0))) + ((VERI_TABANI!D25*B116*(VERI_TABANI!$B$13-VERI_TABANI!$B$14)) + (VERI_TABANI!D25*C116*(VERI_TABANI!$B$13-VERI_TABANI!$B$15)) + IF(ISNUMBER(SEARCH("Var", D116)), VERI_TABANI!F25*(0.00202-VERI_TABANI!$B$16), IF(ISNUMBER(SEARCH("Gri", D116)), VERI_TABANI!F25*(0.00202-VERI_TABANI!$B$17), 0))) + ((VERI_TABANI!D26*B116*(VERI_TABANI!$B$13-VERI_TABANI!$B$14)) + (VERI_TABANI!D26*C116*(VERI_TABANI!$B$13-VERI_TABANI!$B$15)) + IF(ISNUMBER(SEARCH("Var", D116)), VERI_TABANI!F26*(0.00202-VERI_TABANI!$B$16), IF(ISNUMBER(SEARCH("Gri", D116)), VERI_TABANI!F26*(0.00202-VERI_TABANI!$B$17), 0))) + ((VERI_TABANI!D27*B116*(VERI_TABANI!$B$13-VERI_TABANI!$B$14)) + (VERI_TABANI!D27*C116*(VERI_TABANI!$B$13-VERI_TABANI!$B$15)) + IF(ISNUMBER(SEARCH("Var", D116)), VERI_TABANI!F27*(0.00202-VERI_TABANI!$B$16), IF(ISNUMBER(SEARCH("Gri", D116)), VERI_TABANI!F27*(0.00202-VERI_TABANI!$B$17), 0))) + ((VERI_TABANI!D28*B116*(VERI_TABANI!$B$13-VERI_TABANI!$B$14)) + (VERI_TABANI!D28*C116*(VERI_TABANI!$B$13-VERI_TABANI!$B$15)) + IF(ISNUMBER(SEARCH("Var", D116)), VERI_TABANI!F28*(0.00202-VERI_TABANI!$B$16), IF(ISNUMBER(SEARCH("Gri", D116)), VERI_TABANI!F28*(0.00202-VERI_TABANI!$B$17), 0))))</f>
        <v/>
      </c>
      <c r="I116" s="170">
        <f>IFERROR(((VERI_TABANI!$D$29*B116*VERI_TABANI!$B$14 + VERI_TABANI!$D$29*C116*VERI_TABANI!$B$15 + IF(ISNUMBER(SEARCH("Var", D116)), VERI_TABANI!$F$29*VERI_TABANI!$B$16, 0))) / (((VERI_TABANI!$D$29*B116 + VERI_TABANI!$D$29*C116)*VERI_TABANI!$B$13 + IF(ISNUMBER(SEARCH("Var", D116)), VERI_TABANI!$E$29*(1-0.928)*VERI_TABANI!$B$18, 0))), 0)</f>
        <v/>
      </c>
      <c r="J116" s="171">
        <f>IFERROR(F116/(G116/29), 0)</f>
        <v/>
      </c>
      <c r="K116" s="172">
        <f>IF(F116&gt;0, H116/F116, 0)</f>
        <v/>
      </c>
      <c r="L116" s="170">
        <f>IF(F116&gt;0, I116, 1000000000)</f>
        <v/>
      </c>
      <c r="M116" s="171">
        <f>ABS((B116+C116)-1)</f>
        <v/>
      </c>
      <c r="N116" s="170">
        <f>IF(F116&gt;0, (G116/29)/F116, 0)</f>
        <v/>
      </c>
      <c r="O116" s="168">
        <f>IF(AND((B116+C116)&gt;=1, ISNUMBER(SEARCH("Var", D116))), F116, 1000000000)</f>
        <v/>
      </c>
      <c r="P116" s="172">
        <f>IF(F116&gt;0, SQRT((F116/MAX(F$5:F$886))^2 + (1 - H116/MAX(H$5:H$886))^2 + (J116/MAX(J$5:J$886))^2), 1000000000)</f>
        <v/>
      </c>
      <c r="Q116" s="166">
        <f>IF(AND(ABS(B116-0.5)&lt;0.01, ABS(C116-0.5)&lt;0.01, ISNUMBER(SEARCH("Var", D116))), 1, 0)</f>
        <v/>
      </c>
      <c r="R116" s="171">
        <f>IF(F116&gt;0, J116, 1000000000)</f>
        <v/>
      </c>
      <c r="S116" s="101">
        <f>IF(AND(F116&lt;=DASHBOARD!$B$11, H116&gt;=DASHBOARD!$B$13), G116, -1000000000000)</f>
        <v/>
      </c>
      <c r="T116" s="101">
        <f>IF(AND(F116&lt;=DASHBOARD!$B$11, H116&gt;=DASHBOARD!$B$13), R116, 1000000000000)</f>
        <v/>
      </c>
      <c r="U116" s="101">
        <f>IF(AND(F116&lt;=DASHBOARD!$B$11, H116&gt;=DASHBOARD!$B$13), N116, -1000000000000)</f>
        <v/>
      </c>
      <c r="V116" s="101">
        <f>IF(AND(F116&lt;=DASHBOARD!$B$11, H116&gt;=DASHBOARD!$B$13), H116, -1000000000000)</f>
        <v/>
      </c>
      <c r="W116" s="101">
        <f>IF(AND(F116&lt;=DASHBOARD!$B$11, H116&gt;=DASHBOARD!$B$13), K116, -1000000000000)</f>
        <v/>
      </c>
      <c r="X116" s="101">
        <f>IF(AND(F116&lt;=DASHBOARD!$B$11, H116&gt;=DASHBOARD!$B$13), M116, 1000000000000)</f>
        <v/>
      </c>
      <c r="Y116" s="101">
        <f>IF(AND(F116&lt;=DASHBOARD!$B$10, H116&gt;=DASHBOARD!$B$11), L116, 1000000000000)</f>
        <v/>
      </c>
      <c r="Z116" s="101">
        <f>IF(AND(F116&lt;=DASHBOARD!$B$10, H116&gt;=DASHBOARD!$B$11), O116, 1000000000000)</f>
        <v/>
      </c>
      <c r="AA116" s="101">
        <f>IF(AND(F116&lt;=DASHBOARD!$B$10, H116&gt;=DASHBOARD!$B$11), P116, 1000000000000)</f>
        <v/>
      </c>
      <c r="AB116" s="101">
        <f>IF(AND(F116&lt;=DASHBOARD!$B$10, H116&gt;=DASHBOARD!$B$11), Q116, -1000000000000)</f>
        <v/>
      </c>
    </row>
    <row r="117" ht="12.75" customHeight="1" s="102">
      <c r="A117" s="166" t="n">
        <v>113</v>
      </c>
      <c r="B117" s="167" t="n">
        <v>0.2</v>
      </c>
      <c r="C117" s="167" t="n">
        <v>1.4</v>
      </c>
      <c r="D117" s="110" t="inlineStr">
        <is>
          <t>Yok (%0)</t>
        </is>
      </c>
      <c r="E117" s="110">
        <f>IF((B117+C117)&lt;=1, "Tam Mahsuplaşma (≤%100)", "Kısmi Satış (&gt;%100)")</f>
        <v/>
      </c>
      <c r="F117" s="168">
        <f>((VERI_TABANI!$D$29*B117/VERI_TABANI!$B$29)/VERI_TABANI!$B$3)*VERI_TABANI!$B$5 + ((VERI_TABANI!$D$29*C117/VERI_TABANI!$B$29)/VERI_TABANI!$B$4)*VERI_TABANI!$B$6 + IF(ISNUMBER(SEARCH("Var", D117)), (VERI_TABANI!$F$29/VERI_TABANI!$B$29)*(VERI_TABANI!$B$10+VERI_TABANI!$B$12), 0)</f>
        <v/>
      </c>
      <c r="G117" s="168">
        <f>(((MIN(VERI_TABANI!D23, VERI_TABANI!D23*B117)*VERI_TABANI!$B$7 + MAX(0, VERI_TABANI!D23*B117-VERI_TABANI!D23)*VERI_TABANI!$B$8) + (MIN(MAX(0, VERI_TABANI!D23-VERI_TABANI!D23*B117), VERI_TABANI!D23*C117)*VERI_TABANI!$B$7 + MAX(0, VERI_TABANI!D23*C117-MAX(0, VERI_TABANI!D23-VERI_TABANI!D23*B117))*VERI_TABANI!$B$8) + IF(ABS(IF(ISNUMBER(SEARCH("Var", D117)), 1, IF(ISNUMBER(SEARCH("Gri", D117)), -1, 0)))=1, VERI_TABANI!E23*(1-0.928)*VERI_TABANI!$B$9, 0) + (VERI_TABANI!D23*B117*(VERI_TABANI!$B$13-VERI_TABANI!$B$14)*VERI_TABANI!G23) + (VERI_TABANI!D23*C117*(VERI_TABANI!$B$13-VERI_TABANI!$B$15)*VERI_TABANI!G23) + IF(ABS(IF(ISNUMBER(SEARCH("Var", D117)), 1, IF(ISNUMBER(SEARCH("Gri", D117)), -1, 0)))=1, VERI_TABANI!E23*(1-0.928)*0.00206091519919798*VERI_TABANI!G23, 0)) + ((MIN(VERI_TABANI!D24, VERI_TABANI!D24*B117)*VERI_TABANI!$B$7 + MAX(0, VERI_TABANI!D24*B117-VERI_TABANI!D24)*VERI_TABANI!$B$8) + (MIN(MAX(0, VERI_TABANI!D24-VERI_TABANI!D24*B117), VERI_TABANI!D24*C117)*VERI_TABANI!$B$7 + MAX(0, VERI_TABANI!D24*C117-MAX(0, VERI_TABANI!D24-VERI_TABANI!D24*B117))*VERI_TABANI!$B$8) + IF(ABS(IF(ISNUMBER(SEARCH("Var", D117)), 1, IF(ISNUMBER(SEARCH("Gri", D117)), -1, 0)))=1, VERI_TABANI!E24*(1-0.928)*VERI_TABANI!$B$9, 0) + (VERI_TABANI!D24*B117*(VERI_TABANI!$B$13-VERI_TABANI!$B$14)*VERI_TABANI!G24) + (VERI_TABANI!D24*C117*(VERI_TABANI!$B$13-VERI_TABANI!$B$15)*VERI_TABANI!G24) + IF(ABS(IF(ISNUMBER(SEARCH("Var", D117)), 1, IF(ISNUMBER(SEARCH("Gri", D117)), -1, 0)))=1, VERI_TABANI!E24*(1-0.928)*0.00206091519919798*VERI_TABANI!G24, 0)) + ((MIN(VERI_TABANI!D25, VERI_TABANI!D25*B117)*VERI_TABANI!$B$7 + MAX(0, VERI_TABANI!D25*B117-VERI_TABANI!D25)*VERI_TABANI!$B$8) + (MIN(MAX(0, VERI_TABANI!D25-VERI_TABANI!D25*B117), VERI_TABANI!D25*C117)*VERI_TABANI!$B$7 + MAX(0, VERI_TABANI!D25*C117-MAX(0, VERI_TABANI!D25-VERI_TABANI!D25*B117))*VERI_TABANI!$B$8) + IF(ABS(IF(ISNUMBER(SEARCH("Var", D117)), 1, IF(ISNUMBER(SEARCH("Gri", D117)), -1, 0)))=1, VERI_TABANI!E25*(1-0.928)*VERI_TABANI!$B$9, 0) + (VERI_TABANI!D25*B117*(VERI_TABANI!$B$13-VERI_TABANI!$B$14)*VERI_TABANI!G25) + (VERI_TABANI!D25*C117*(VERI_TABANI!$B$13-VERI_TABANI!$B$15)*VERI_TABANI!G25) + IF(ABS(IF(ISNUMBER(SEARCH("Var", D117)), 1, IF(ISNUMBER(SEARCH("Gri", D117)), -1, 0)))=1, VERI_TABANI!E25*(1-0.928)*0.00206091519919798*VERI_TABANI!G25, 0)) + ((MIN(VERI_TABANI!D26, VERI_TABANI!D26*B117)*VERI_TABANI!$B$7 + MAX(0, VERI_TABANI!D26*B117-VERI_TABANI!D26)*VERI_TABANI!$B$8) + (MIN(MAX(0, VERI_TABANI!D26-VERI_TABANI!D26*B117), VERI_TABANI!D26*C117)*VERI_TABANI!$B$7 + MAX(0, VERI_TABANI!D26*C117-MAX(0, VERI_TABANI!D26-VERI_TABANI!D26*B117))*VERI_TABANI!$B$8) + IF(ABS(IF(ISNUMBER(SEARCH("Var", D117)), 1, IF(ISNUMBER(SEARCH("Gri", D117)), -1, 0)))=1, VERI_TABANI!E26*(1-0.928)*VERI_TABANI!$B$9, 0) + (VERI_TABANI!D26*B117*(VERI_TABANI!$B$13-VERI_TABANI!$B$14)*VERI_TABANI!G26) + (VERI_TABANI!D26*C117*(VERI_TABANI!$B$13-VERI_TABANI!$B$15)*VERI_TABANI!G26) + IF(ABS(IF(ISNUMBER(SEARCH("Var", D117)), 1, IF(ISNUMBER(SEARCH("Gri", D117)), -1, 0)))=1, VERI_TABANI!E26*(1-0.928)*0.00206091519919798*VERI_TABANI!G26, 0)) + ((MIN(VERI_TABANI!D27, VERI_TABANI!D27*B117)*VERI_TABANI!$B$7 + MAX(0, VERI_TABANI!D27*B117-VERI_TABANI!D27)*VERI_TABANI!$B$8) + (MIN(MAX(0, VERI_TABANI!D27-VERI_TABANI!D27*B117), VERI_TABANI!D27*C117)*VERI_TABANI!$B$7 + MAX(0, VERI_TABANI!D27*C117-MAX(0, VERI_TABANI!D27-VERI_TABANI!D27*B117))*VERI_TABANI!$B$8) + IF(ABS(IF(ISNUMBER(SEARCH("Var", D117)), 1, IF(ISNUMBER(SEARCH("Gri", D117)), -1, 0)))=1, VERI_TABANI!E27*(1-0.928)*VERI_TABANI!$B$9, 0) + (VERI_TABANI!D27*B117*(VERI_TABANI!$B$13-VERI_TABANI!$B$14)*VERI_TABANI!G27) + (VERI_TABANI!D27*C117*(VERI_TABANI!$B$13-VERI_TABANI!$B$15)*VERI_TABANI!G27) + IF(ABS(IF(ISNUMBER(SEARCH("Var", D117)), 1, IF(ISNUMBER(SEARCH("Gri", D117)), -1, 0)))=1, VERI_TABANI!E27*(1-0.928)*0.00206091519919798*VERI_TABANI!G27, 0)) + ((MIN(VERI_TABANI!D28, VERI_TABANI!D28*B117)*VERI_TABANI!$B$7 + MAX(0, VERI_TABANI!D28*B117-VERI_TABANI!D28)*VERI_TABANI!$B$8) + (MIN(MAX(0, VERI_TABANI!D28-VERI_TABANI!D28*B117), VERI_TABANI!D28*C117)*VERI_TABANI!$B$7 + MAX(0, VERI_TABANI!D28*C117-MAX(0, VERI_TABANI!D28-VERI_TABANI!D28*B117))*VERI_TABANI!$B$8) + IF(ABS(IF(ISNUMBER(SEARCH("Var", D117)), 1, IF(ISNUMBER(SEARCH("Gri", D117)), -1, 0)))=1, VERI_TABANI!E28*(1-0.928)*VERI_TABANI!$B$9, 0) + (VERI_TABANI!D28*B117*(VERI_TABANI!$B$13-VERI_TABANI!$B$14)*VERI_TABANI!G28) + (VERI_TABANI!D28*C117*(VERI_TABANI!$B$13-VERI_TABANI!$B$15)*VERI_TABANI!G28) + IF(ABS(IF(ISNUMBER(SEARCH("Var", D117)), 1, IF(ISNUMBER(SEARCH("Gri", D117)), -1, 0)))=1, VERI_TABANI!E28*(1-0.928)*0.00206091519919798*VERI_TABANI!G28, 0)))</f>
        <v/>
      </c>
      <c r="H117" s="169">
        <f>(((VERI_TABANI!D23*B117*(VERI_TABANI!$B$13-VERI_TABANI!$B$14)) + (VERI_TABANI!D23*C117*(VERI_TABANI!$B$13-VERI_TABANI!$B$15)) + IF(ISNUMBER(SEARCH("Var", D117)), VERI_TABANI!F23*(0.00202-VERI_TABANI!$B$16), IF(ISNUMBER(SEARCH("Gri", D117)), VERI_TABANI!F23*(0.00202-VERI_TABANI!$B$17), 0))) + ((VERI_TABANI!D24*B117*(VERI_TABANI!$B$13-VERI_TABANI!$B$14)) + (VERI_TABANI!D24*C117*(VERI_TABANI!$B$13-VERI_TABANI!$B$15)) + IF(ISNUMBER(SEARCH("Var", D117)), VERI_TABANI!F24*(0.00202-VERI_TABANI!$B$16), IF(ISNUMBER(SEARCH("Gri", D117)), VERI_TABANI!F24*(0.00202-VERI_TABANI!$B$17), 0))) + ((VERI_TABANI!D25*B117*(VERI_TABANI!$B$13-VERI_TABANI!$B$14)) + (VERI_TABANI!D25*C117*(VERI_TABANI!$B$13-VERI_TABANI!$B$15)) + IF(ISNUMBER(SEARCH("Var", D117)), VERI_TABANI!F25*(0.00202-VERI_TABANI!$B$16), IF(ISNUMBER(SEARCH("Gri", D117)), VERI_TABANI!F25*(0.00202-VERI_TABANI!$B$17), 0))) + ((VERI_TABANI!D26*B117*(VERI_TABANI!$B$13-VERI_TABANI!$B$14)) + (VERI_TABANI!D26*C117*(VERI_TABANI!$B$13-VERI_TABANI!$B$15)) + IF(ISNUMBER(SEARCH("Var", D117)), VERI_TABANI!F26*(0.00202-VERI_TABANI!$B$16), IF(ISNUMBER(SEARCH("Gri", D117)), VERI_TABANI!F26*(0.00202-VERI_TABANI!$B$17), 0))) + ((VERI_TABANI!D27*B117*(VERI_TABANI!$B$13-VERI_TABANI!$B$14)) + (VERI_TABANI!D27*C117*(VERI_TABANI!$B$13-VERI_TABANI!$B$15)) + IF(ISNUMBER(SEARCH("Var", D117)), VERI_TABANI!F27*(0.00202-VERI_TABANI!$B$16), IF(ISNUMBER(SEARCH("Gri", D117)), VERI_TABANI!F27*(0.00202-VERI_TABANI!$B$17), 0))) + ((VERI_TABANI!D28*B117*(VERI_TABANI!$B$13-VERI_TABANI!$B$14)) + (VERI_TABANI!D28*C117*(VERI_TABANI!$B$13-VERI_TABANI!$B$15)) + IF(ISNUMBER(SEARCH("Var", D117)), VERI_TABANI!F28*(0.00202-VERI_TABANI!$B$16), IF(ISNUMBER(SEARCH("Gri", D117)), VERI_TABANI!F28*(0.00202-VERI_TABANI!$B$17), 0))))</f>
        <v/>
      </c>
      <c r="I117" s="170">
        <f>IFERROR(((VERI_TABANI!$D$29*B117*VERI_TABANI!$B$14 + VERI_TABANI!$D$29*C117*VERI_TABANI!$B$15 + IF(ISNUMBER(SEARCH("Var", D117)), VERI_TABANI!$F$29*VERI_TABANI!$B$16, 0))) / (((VERI_TABANI!$D$29*B117 + VERI_TABANI!$D$29*C117)*VERI_TABANI!$B$13 + IF(ISNUMBER(SEARCH("Var", D117)), VERI_TABANI!$E$29*(1-0.928)*VERI_TABANI!$B$18, 0))), 0)</f>
        <v/>
      </c>
      <c r="J117" s="171">
        <f>IFERROR(F117/(G117/29), 0)</f>
        <v/>
      </c>
      <c r="K117" s="172">
        <f>IF(F117&gt;0, H117/F117, 0)</f>
        <v/>
      </c>
      <c r="L117" s="170">
        <f>IF(F117&gt;0, I117, 1000000000)</f>
        <v/>
      </c>
      <c r="M117" s="171">
        <f>ABS((B117+C117)-1)</f>
        <v/>
      </c>
      <c r="N117" s="170">
        <f>IF(F117&gt;0, (G117/29)/F117, 0)</f>
        <v/>
      </c>
      <c r="O117" s="168">
        <f>IF(AND((B117+C117)&gt;=1, ISNUMBER(SEARCH("Var", D117))), F117, 1000000000)</f>
        <v/>
      </c>
      <c r="P117" s="172">
        <f>IF(F117&gt;0, SQRT((F117/MAX(F$5:F$886))^2 + (1 - H117/MAX(H$5:H$886))^2 + (J117/MAX(J$5:J$886))^2), 1000000000)</f>
        <v/>
      </c>
      <c r="Q117" s="166">
        <f>IF(AND(ABS(B117-0.5)&lt;0.01, ABS(C117-0.5)&lt;0.01, ISNUMBER(SEARCH("Var", D117))), 1, 0)</f>
        <v/>
      </c>
      <c r="R117" s="171">
        <f>IF(F117&gt;0, J117, 1000000000)</f>
        <v/>
      </c>
      <c r="S117" s="101">
        <f>IF(AND(F117&lt;=DASHBOARD!$B$11, H117&gt;=DASHBOARD!$B$13), G117, -1000000000000)</f>
        <v/>
      </c>
      <c r="T117" s="101">
        <f>IF(AND(F117&lt;=DASHBOARD!$B$11, H117&gt;=DASHBOARD!$B$13), R117, 1000000000000)</f>
        <v/>
      </c>
      <c r="U117" s="101">
        <f>IF(AND(F117&lt;=DASHBOARD!$B$11, H117&gt;=DASHBOARD!$B$13), N117, -1000000000000)</f>
        <v/>
      </c>
      <c r="V117" s="101">
        <f>IF(AND(F117&lt;=DASHBOARD!$B$11, H117&gt;=DASHBOARD!$B$13), H117, -1000000000000)</f>
        <v/>
      </c>
      <c r="W117" s="101">
        <f>IF(AND(F117&lt;=DASHBOARD!$B$11, H117&gt;=DASHBOARD!$B$13), K117, -1000000000000)</f>
        <v/>
      </c>
      <c r="X117" s="101">
        <f>IF(AND(F117&lt;=DASHBOARD!$B$11, H117&gt;=DASHBOARD!$B$13), M117, 1000000000000)</f>
        <v/>
      </c>
      <c r="Y117" s="101">
        <f>IF(AND(F117&lt;=DASHBOARD!$B$10, H117&gt;=DASHBOARD!$B$11), L117, 1000000000000)</f>
        <v/>
      </c>
      <c r="Z117" s="101">
        <f>IF(AND(F117&lt;=DASHBOARD!$B$10, H117&gt;=DASHBOARD!$B$11), O117, 1000000000000)</f>
        <v/>
      </c>
      <c r="AA117" s="101">
        <f>IF(AND(F117&lt;=DASHBOARD!$B$10, H117&gt;=DASHBOARD!$B$11), P117, 1000000000000)</f>
        <v/>
      </c>
      <c r="AB117" s="101">
        <f>IF(AND(F117&lt;=DASHBOARD!$B$10, H117&gt;=DASHBOARD!$B$11), Q117, -1000000000000)</f>
        <v/>
      </c>
    </row>
    <row r="118" ht="12.75" customHeight="1" s="102">
      <c r="A118" s="166" t="n">
        <v>114</v>
      </c>
      <c r="B118" s="167" t="n">
        <v>0.2</v>
      </c>
      <c r="C118" s="167" t="n">
        <v>1.4</v>
      </c>
      <c r="D118" s="110" t="inlineStr">
        <is>
          <t>Var (%20)</t>
        </is>
      </c>
      <c r="E118" s="110">
        <f>IF((B118+C118)&lt;=1, "Tam Mahsuplaşma (≤%100)", "Kısmi Satış (&gt;%100)")</f>
        <v/>
      </c>
      <c r="F118" s="168">
        <f>((VERI_TABANI!$D$29*B118/VERI_TABANI!$B$29)/VERI_TABANI!$B$3)*VERI_TABANI!$B$5 + ((VERI_TABANI!$D$29*C118/VERI_TABANI!$B$29)/VERI_TABANI!$B$4)*VERI_TABANI!$B$6 + IF(ISNUMBER(SEARCH("Var", D118)), (VERI_TABANI!$F$29/VERI_TABANI!$B$29)*(VERI_TABANI!$B$10+VERI_TABANI!$B$12), 0)</f>
        <v/>
      </c>
      <c r="G118" s="168">
        <f>(((MIN(VERI_TABANI!D23, VERI_TABANI!D23*B118)*VERI_TABANI!$B$7 + MAX(0, VERI_TABANI!D23*B118-VERI_TABANI!D23)*VERI_TABANI!$B$8) + (MIN(MAX(0, VERI_TABANI!D23-VERI_TABANI!D23*B118), VERI_TABANI!D23*C118)*VERI_TABANI!$B$7 + MAX(0, VERI_TABANI!D23*C118-MAX(0, VERI_TABANI!D23-VERI_TABANI!D23*B118))*VERI_TABANI!$B$8) + IF(ABS(IF(ISNUMBER(SEARCH("Var", D118)), 1, IF(ISNUMBER(SEARCH("Gri", D118)), -1, 0)))=1, VERI_TABANI!E23*(1-0.928)*VERI_TABANI!$B$9, 0) + (VERI_TABANI!D23*B118*(VERI_TABANI!$B$13-VERI_TABANI!$B$14)*VERI_TABANI!G23) + (VERI_TABANI!D23*C118*(VERI_TABANI!$B$13-VERI_TABANI!$B$15)*VERI_TABANI!G23) + IF(ABS(IF(ISNUMBER(SEARCH("Var", D118)), 1, IF(ISNUMBER(SEARCH("Gri", D118)), -1, 0)))=1, VERI_TABANI!E23*(1-0.928)*0.00206091519919798*VERI_TABANI!G23, 0)) + ((MIN(VERI_TABANI!D24, VERI_TABANI!D24*B118)*VERI_TABANI!$B$7 + MAX(0, VERI_TABANI!D24*B118-VERI_TABANI!D24)*VERI_TABANI!$B$8) + (MIN(MAX(0, VERI_TABANI!D24-VERI_TABANI!D24*B118), VERI_TABANI!D24*C118)*VERI_TABANI!$B$7 + MAX(0, VERI_TABANI!D24*C118-MAX(0, VERI_TABANI!D24-VERI_TABANI!D24*B118))*VERI_TABANI!$B$8) + IF(ABS(IF(ISNUMBER(SEARCH("Var", D118)), 1, IF(ISNUMBER(SEARCH("Gri", D118)), -1, 0)))=1, VERI_TABANI!E24*(1-0.928)*VERI_TABANI!$B$9, 0) + (VERI_TABANI!D24*B118*(VERI_TABANI!$B$13-VERI_TABANI!$B$14)*VERI_TABANI!G24) + (VERI_TABANI!D24*C118*(VERI_TABANI!$B$13-VERI_TABANI!$B$15)*VERI_TABANI!G24) + IF(ABS(IF(ISNUMBER(SEARCH("Var", D118)), 1, IF(ISNUMBER(SEARCH("Gri", D118)), -1, 0)))=1, VERI_TABANI!E24*(1-0.928)*0.00206091519919798*VERI_TABANI!G24, 0)) + ((MIN(VERI_TABANI!D25, VERI_TABANI!D25*B118)*VERI_TABANI!$B$7 + MAX(0, VERI_TABANI!D25*B118-VERI_TABANI!D25)*VERI_TABANI!$B$8) + (MIN(MAX(0, VERI_TABANI!D25-VERI_TABANI!D25*B118), VERI_TABANI!D25*C118)*VERI_TABANI!$B$7 + MAX(0, VERI_TABANI!D25*C118-MAX(0, VERI_TABANI!D25-VERI_TABANI!D25*B118))*VERI_TABANI!$B$8) + IF(ABS(IF(ISNUMBER(SEARCH("Var", D118)), 1, IF(ISNUMBER(SEARCH("Gri", D118)), -1, 0)))=1, VERI_TABANI!E25*(1-0.928)*VERI_TABANI!$B$9, 0) + (VERI_TABANI!D25*B118*(VERI_TABANI!$B$13-VERI_TABANI!$B$14)*VERI_TABANI!G25) + (VERI_TABANI!D25*C118*(VERI_TABANI!$B$13-VERI_TABANI!$B$15)*VERI_TABANI!G25) + IF(ABS(IF(ISNUMBER(SEARCH("Var", D118)), 1, IF(ISNUMBER(SEARCH("Gri", D118)), -1, 0)))=1, VERI_TABANI!E25*(1-0.928)*0.00206091519919798*VERI_TABANI!G25, 0)) + ((MIN(VERI_TABANI!D26, VERI_TABANI!D26*B118)*VERI_TABANI!$B$7 + MAX(0, VERI_TABANI!D26*B118-VERI_TABANI!D26)*VERI_TABANI!$B$8) + (MIN(MAX(0, VERI_TABANI!D26-VERI_TABANI!D26*B118), VERI_TABANI!D26*C118)*VERI_TABANI!$B$7 + MAX(0, VERI_TABANI!D26*C118-MAX(0, VERI_TABANI!D26-VERI_TABANI!D26*B118))*VERI_TABANI!$B$8) + IF(ABS(IF(ISNUMBER(SEARCH("Var", D118)), 1, IF(ISNUMBER(SEARCH("Gri", D118)), -1, 0)))=1, VERI_TABANI!E26*(1-0.928)*VERI_TABANI!$B$9, 0) + (VERI_TABANI!D26*B118*(VERI_TABANI!$B$13-VERI_TABANI!$B$14)*VERI_TABANI!G26) + (VERI_TABANI!D26*C118*(VERI_TABANI!$B$13-VERI_TABANI!$B$15)*VERI_TABANI!G26) + IF(ABS(IF(ISNUMBER(SEARCH("Var", D118)), 1, IF(ISNUMBER(SEARCH("Gri", D118)), -1, 0)))=1, VERI_TABANI!E26*(1-0.928)*0.00206091519919798*VERI_TABANI!G26, 0)) + ((MIN(VERI_TABANI!D27, VERI_TABANI!D27*B118)*VERI_TABANI!$B$7 + MAX(0, VERI_TABANI!D27*B118-VERI_TABANI!D27)*VERI_TABANI!$B$8) + (MIN(MAX(0, VERI_TABANI!D27-VERI_TABANI!D27*B118), VERI_TABANI!D27*C118)*VERI_TABANI!$B$7 + MAX(0, VERI_TABANI!D27*C118-MAX(0, VERI_TABANI!D27-VERI_TABANI!D27*B118))*VERI_TABANI!$B$8) + IF(ABS(IF(ISNUMBER(SEARCH("Var", D118)), 1, IF(ISNUMBER(SEARCH("Gri", D118)), -1, 0)))=1, VERI_TABANI!E27*(1-0.928)*VERI_TABANI!$B$9, 0) + (VERI_TABANI!D27*B118*(VERI_TABANI!$B$13-VERI_TABANI!$B$14)*VERI_TABANI!G27) + (VERI_TABANI!D27*C118*(VERI_TABANI!$B$13-VERI_TABANI!$B$15)*VERI_TABANI!G27) + IF(ABS(IF(ISNUMBER(SEARCH("Var", D118)), 1, IF(ISNUMBER(SEARCH("Gri", D118)), -1, 0)))=1, VERI_TABANI!E27*(1-0.928)*0.00206091519919798*VERI_TABANI!G27, 0)) + ((MIN(VERI_TABANI!D28, VERI_TABANI!D28*B118)*VERI_TABANI!$B$7 + MAX(0, VERI_TABANI!D28*B118-VERI_TABANI!D28)*VERI_TABANI!$B$8) + (MIN(MAX(0, VERI_TABANI!D28-VERI_TABANI!D28*B118), VERI_TABANI!D28*C118)*VERI_TABANI!$B$7 + MAX(0, VERI_TABANI!D28*C118-MAX(0, VERI_TABANI!D28-VERI_TABANI!D28*B118))*VERI_TABANI!$B$8) + IF(ABS(IF(ISNUMBER(SEARCH("Var", D118)), 1, IF(ISNUMBER(SEARCH("Gri", D118)), -1, 0)))=1, VERI_TABANI!E28*(1-0.928)*VERI_TABANI!$B$9, 0) + (VERI_TABANI!D28*B118*(VERI_TABANI!$B$13-VERI_TABANI!$B$14)*VERI_TABANI!G28) + (VERI_TABANI!D28*C118*(VERI_TABANI!$B$13-VERI_TABANI!$B$15)*VERI_TABANI!G28) + IF(ABS(IF(ISNUMBER(SEARCH("Var", D118)), 1, IF(ISNUMBER(SEARCH("Gri", D118)), -1, 0)))=1, VERI_TABANI!E28*(1-0.928)*0.00206091519919798*VERI_TABANI!G28, 0)))</f>
        <v/>
      </c>
      <c r="H118" s="169">
        <f>(((VERI_TABANI!D23*B118*(VERI_TABANI!$B$13-VERI_TABANI!$B$14)) + (VERI_TABANI!D23*C118*(VERI_TABANI!$B$13-VERI_TABANI!$B$15)) + IF(ISNUMBER(SEARCH("Var", D118)), VERI_TABANI!F23*(0.00202-VERI_TABANI!$B$16), IF(ISNUMBER(SEARCH("Gri", D118)), VERI_TABANI!F23*(0.00202-VERI_TABANI!$B$17), 0))) + ((VERI_TABANI!D24*B118*(VERI_TABANI!$B$13-VERI_TABANI!$B$14)) + (VERI_TABANI!D24*C118*(VERI_TABANI!$B$13-VERI_TABANI!$B$15)) + IF(ISNUMBER(SEARCH("Var", D118)), VERI_TABANI!F24*(0.00202-VERI_TABANI!$B$16), IF(ISNUMBER(SEARCH("Gri", D118)), VERI_TABANI!F24*(0.00202-VERI_TABANI!$B$17), 0))) + ((VERI_TABANI!D25*B118*(VERI_TABANI!$B$13-VERI_TABANI!$B$14)) + (VERI_TABANI!D25*C118*(VERI_TABANI!$B$13-VERI_TABANI!$B$15)) + IF(ISNUMBER(SEARCH("Var", D118)), VERI_TABANI!F25*(0.00202-VERI_TABANI!$B$16), IF(ISNUMBER(SEARCH("Gri", D118)), VERI_TABANI!F25*(0.00202-VERI_TABANI!$B$17), 0))) + ((VERI_TABANI!D26*B118*(VERI_TABANI!$B$13-VERI_TABANI!$B$14)) + (VERI_TABANI!D26*C118*(VERI_TABANI!$B$13-VERI_TABANI!$B$15)) + IF(ISNUMBER(SEARCH("Var", D118)), VERI_TABANI!F26*(0.00202-VERI_TABANI!$B$16), IF(ISNUMBER(SEARCH("Gri", D118)), VERI_TABANI!F26*(0.00202-VERI_TABANI!$B$17), 0))) + ((VERI_TABANI!D27*B118*(VERI_TABANI!$B$13-VERI_TABANI!$B$14)) + (VERI_TABANI!D27*C118*(VERI_TABANI!$B$13-VERI_TABANI!$B$15)) + IF(ISNUMBER(SEARCH("Var", D118)), VERI_TABANI!F27*(0.00202-VERI_TABANI!$B$16), IF(ISNUMBER(SEARCH("Gri", D118)), VERI_TABANI!F27*(0.00202-VERI_TABANI!$B$17), 0))) + ((VERI_TABANI!D28*B118*(VERI_TABANI!$B$13-VERI_TABANI!$B$14)) + (VERI_TABANI!D28*C118*(VERI_TABANI!$B$13-VERI_TABANI!$B$15)) + IF(ISNUMBER(SEARCH("Var", D118)), VERI_TABANI!F28*(0.00202-VERI_TABANI!$B$16), IF(ISNUMBER(SEARCH("Gri", D118)), VERI_TABANI!F28*(0.00202-VERI_TABANI!$B$17), 0))))</f>
        <v/>
      </c>
      <c r="I118" s="170">
        <f>IFERROR(((VERI_TABANI!$D$29*B118*VERI_TABANI!$B$14 + VERI_TABANI!$D$29*C118*VERI_TABANI!$B$15 + IF(ISNUMBER(SEARCH("Var", D118)), VERI_TABANI!$F$29*VERI_TABANI!$B$16, 0))) / (((VERI_TABANI!$D$29*B118 + VERI_TABANI!$D$29*C118)*VERI_TABANI!$B$13 + IF(ISNUMBER(SEARCH("Var", D118)), VERI_TABANI!$E$29*(1-0.928)*VERI_TABANI!$B$18, 0))), 0)</f>
        <v/>
      </c>
      <c r="J118" s="171">
        <f>IFERROR(F118/(G118/29), 0)</f>
        <v/>
      </c>
      <c r="K118" s="172">
        <f>IF(F118&gt;0, H118/F118, 0)</f>
        <v/>
      </c>
      <c r="L118" s="170">
        <f>IF(F118&gt;0, I118, 1000000000)</f>
        <v/>
      </c>
      <c r="M118" s="171">
        <f>ABS((B118+C118)-1)</f>
        <v/>
      </c>
      <c r="N118" s="170">
        <f>IF(F118&gt;0, (G118/29)/F118, 0)</f>
        <v/>
      </c>
      <c r="O118" s="168">
        <f>IF(AND((B118+C118)&gt;=1, ISNUMBER(SEARCH("Var", D118))), F118, 1000000000)</f>
        <v/>
      </c>
      <c r="P118" s="172">
        <f>IF(F118&gt;0, SQRT((F118/MAX(F$5:F$886))^2 + (1 - H118/MAX(H$5:H$886))^2 + (J118/MAX(J$5:J$886))^2), 1000000000)</f>
        <v/>
      </c>
      <c r="Q118" s="166">
        <f>IF(AND(ABS(B118-0.5)&lt;0.01, ABS(C118-0.5)&lt;0.01, ISNUMBER(SEARCH("Var", D118))), 1, 0)</f>
        <v/>
      </c>
      <c r="R118" s="171">
        <f>IF(F118&gt;0, J118, 1000000000)</f>
        <v/>
      </c>
      <c r="S118" s="101">
        <f>IF(AND(F118&lt;=DASHBOARD!$B$11, H118&gt;=DASHBOARD!$B$13), G118, -1000000000000)</f>
        <v/>
      </c>
      <c r="T118" s="101">
        <f>IF(AND(F118&lt;=DASHBOARD!$B$11, H118&gt;=DASHBOARD!$B$13), R118, 1000000000000)</f>
        <v/>
      </c>
      <c r="U118" s="101">
        <f>IF(AND(F118&lt;=DASHBOARD!$B$11, H118&gt;=DASHBOARD!$B$13), N118, -1000000000000)</f>
        <v/>
      </c>
      <c r="V118" s="101">
        <f>IF(AND(F118&lt;=DASHBOARD!$B$11, H118&gt;=DASHBOARD!$B$13), H118, -1000000000000)</f>
        <v/>
      </c>
      <c r="W118" s="101">
        <f>IF(AND(F118&lt;=DASHBOARD!$B$11, H118&gt;=DASHBOARD!$B$13), K118, -1000000000000)</f>
        <v/>
      </c>
      <c r="X118" s="101">
        <f>IF(AND(F118&lt;=DASHBOARD!$B$11, H118&gt;=DASHBOARD!$B$13), M118, 1000000000000)</f>
        <v/>
      </c>
      <c r="Y118" s="101">
        <f>IF(AND(F118&lt;=DASHBOARD!$B$10, H118&gt;=DASHBOARD!$B$11), L118, 1000000000000)</f>
        <v/>
      </c>
      <c r="Z118" s="101">
        <f>IF(AND(F118&lt;=DASHBOARD!$B$10, H118&gt;=DASHBOARD!$B$11), O118, 1000000000000)</f>
        <v/>
      </c>
      <c r="AA118" s="101">
        <f>IF(AND(F118&lt;=DASHBOARD!$B$10, H118&gt;=DASHBOARD!$B$11), P118, 1000000000000)</f>
        <v/>
      </c>
      <c r="AB118" s="101">
        <f>IF(AND(F118&lt;=DASHBOARD!$B$10, H118&gt;=DASHBOARD!$B$11), Q118, -1000000000000)</f>
        <v/>
      </c>
    </row>
    <row r="119" ht="12.75" customHeight="1" s="102">
      <c r="A119" s="166" t="n">
        <v>115</v>
      </c>
      <c r="B119" s="167" t="n">
        <v>0.2</v>
      </c>
      <c r="C119" s="167" t="n">
        <v>1.5</v>
      </c>
      <c r="D119" s="110" t="inlineStr">
        <is>
          <t>Yok (%0)</t>
        </is>
      </c>
      <c r="E119" s="110">
        <f>IF((B119+C119)&lt;=1, "Tam Mahsuplaşma (≤%100)", "Kısmi Satış (&gt;%100)")</f>
        <v/>
      </c>
      <c r="F119" s="168">
        <f>((VERI_TABANI!$D$29*B119/VERI_TABANI!$B$29)/VERI_TABANI!$B$3)*VERI_TABANI!$B$5 + ((VERI_TABANI!$D$29*C119/VERI_TABANI!$B$29)/VERI_TABANI!$B$4)*VERI_TABANI!$B$6 + IF(ISNUMBER(SEARCH("Var", D119)), (VERI_TABANI!$F$29/VERI_TABANI!$B$29)*(VERI_TABANI!$B$10+VERI_TABANI!$B$12), 0)</f>
        <v/>
      </c>
      <c r="G119" s="168">
        <f>(((MIN(VERI_TABANI!D23, VERI_TABANI!D23*B119)*VERI_TABANI!$B$7 + MAX(0, VERI_TABANI!D23*B119-VERI_TABANI!D23)*VERI_TABANI!$B$8) + (MIN(MAX(0, VERI_TABANI!D23-VERI_TABANI!D23*B119), VERI_TABANI!D23*C119)*VERI_TABANI!$B$7 + MAX(0, VERI_TABANI!D23*C119-MAX(0, VERI_TABANI!D23-VERI_TABANI!D23*B119))*VERI_TABANI!$B$8) + IF(ABS(IF(ISNUMBER(SEARCH("Var", D119)), 1, IF(ISNUMBER(SEARCH("Gri", D119)), -1, 0)))=1, VERI_TABANI!E23*(1-0.928)*VERI_TABANI!$B$9, 0) + (VERI_TABANI!D23*B119*(VERI_TABANI!$B$13-VERI_TABANI!$B$14)*VERI_TABANI!G23) + (VERI_TABANI!D23*C119*(VERI_TABANI!$B$13-VERI_TABANI!$B$15)*VERI_TABANI!G23) + IF(ABS(IF(ISNUMBER(SEARCH("Var", D119)), 1, IF(ISNUMBER(SEARCH("Gri", D119)), -1, 0)))=1, VERI_TABANI!E23*(1-0.928)*0.00206091519919798*VERI_TABANI!G23, 0)) + ((MIN(VERI_TABANI!D24, VERI_TABANI!D24*B119)*VERI_TABANI!$B$7 + MAX(0, VERI_TABANI!D24*B119-VERI_TABANI!D24)*VERI_TABANI!$B$8) + (MIN(MAX(0, VERI_TABANI!D24-VERI_TABANI!D24*B119), VERI_TABANI!D24*C119)*VERI_TABANI!$B$7 + MAX(0, VERI_TABANI!D24*C119-MAX(0, VERI_TABANI!D24-VERI_TABANI!D24*B119))*VERI_TABANI!$B$8) + IF(ABS(IF(ISNUMBER(SEARCH("Var", D119)), 1, IF(ISNUMBER(SEARCH("Gri", D119)), -1, 0)))=1, VERI_TABANI!E24*(1-0.928)*VERI_TABANI!$B$9, 0) + (VERI_TABANI!D24*B119*(VERI_TABANI!$B$13-VERI_TABANI!$B$14)*VERI_TABANI!G24) + (VERI_TABANI!D24*C119*(VERI_TABANI!$B$13-VERI_TABANI!$B$15)*VERI_TABANI!G24) + IF(ABS(IF(ISNUMBER(SEARCH("Var", D119)), 1, IF(ISNUMBER(SEARCH("Gri", D119)), -1, 0)))=1, VERI_TABANI!E24*(1-0.928)*0.00206091519919798*VERI_TABANI!G24, 0)) + ((MIN(VERI_TABANI!D25, VERI_TABANI!D25*B119)*VERI_TABANI!$B$7 + MAX(0, VERI_TABANI!D25*B119-VERI_TABANI!D25)*VERI_TABANI!$B$8) + (MIN(MAX(0, VERI_TABANI!D25-VERI_TABANI!D25*B119), VERI_TABANI!D25*C119)*VERI_TABANI!$B$7 + MAX(0, VERI_TABANI!D25*C119-MAX(0, VERI_TABANI!D25-VERI_TABANI!D25*B119))*VERI_TABANI!$B$8) + IF(ABS(IF(ISNUMBER(SEARCH("Var", D119)), 1, IF(ISNUMBER(SEARCH("Gri", D119)), -1, 0)))=1, VERI_TABANI!E25*(1-0.928)*VERI_TABANI!$B$9, 0) + (VERI_TABANI!D25*B119*(VERI_TABANI!$B$13-VERI_TABANI!$B$14)*VERI_TABANI!G25) + (VERI_TABANI!D25*C119*(VERI_TABANI!$B$13-VERI_TABANI!$B$15)*VERI_TABANI!G25) + IF(ABS(IF(ISNUMBER(SEARCH("Var", D119)), 1, IF(ISNUMBER(SEARCH("Gri", D119)), -1, 0)))=1, VERI_TABANI!E25*(1-0.928)*0.00206091519919798*VERI_TABANI!G25, 0)) + ((MIN(VERI_TABANI!D26, VERI_TABANI!D26*B119)*VERI_TABANI!$B$7 + MAX(0, VERI_TABANI!D26*B119-VERI_TABANI!D26)*VERI_TABANI!$B$8) + (MIN(MAX(0, VERI_TABANI!D26-VERI_TABANI!D26*B119), VERI_TABANI!D26*C119)*VERI_TABANI!$B$7 + MAX(0, VERI_TABANI!D26*C119-MAX(0, VERI_TABANI!D26-VERI_TABANI!D26*B119))*VERI_TABANI!$B$8) + IF(ABS(IF(ISNUMBER(SEARCH("Var", D119)), 1, IF(ISNUMBER(SEARCH("Gri", D119)), -1, 0)))=1, VERI_TABANI!E26*(1-0.928)*VERI_TABANI!$B$9, 0) + (VERI_TABANI!D26*B119*(VERI_TABANI!$B$13-VERI_TABANI!$B$14)*VERI_TABANI!G26) + (VERI_TABANI!D26*C119*(VERI_TABANI!$B$13-VERI_TABANI!$B$15)*VERI_TABANI!G26) + IF(ABS(IF(ISNUMBER(SEARCH("Var", D119)), 1, IF(ISNUMBER(SEARCH("Gri", D119)), -1, 0)))=1, VERI_TABANI!E26*(1-0.928)*0.00206091519919798*VERI_TABANI!G26, 0)) + ((MIN(VERI_TABANI!D27, VERI_TABANI!D27*B119)*VERI_TABANI!$B$7 + MAX(0, VERI_TABANI!D27*B119-VERI_TABANI!D27)*VERI_TABANI!$B$8) + (MIN(MAX(0, VERI_TABANI!D27-VERI_TABANI!D27*B119), VERI_TABANI!D27*C119)*VERI_TABANI!$B$7 + MAX(0, VERI_TABANI!D27*C119-MAX(0, VERI_TABANI!D27-VERI_TABANI!D27*B119))*VERI_TABANI!$B$8) + IF(ABS(IF(ISNUMBER(SEARCH("Var", D119)), 1, IF(ISNUMBER(SEARCH("Gri", D119)), -1, 0)))=1, VERI_TABANI!E27*(1-0.928)*VERI_TABANI!$B$9, 0) + (VERI_TABANI!D27*B119*(VERI_TABANI!$B$13-VERI_TABANI!$B$14)*VERI_TABANI!G27) + (VERI_TABANI!D27*C119*(VERI_TABANI!$B$13-VERI_TABANI!$B$15)*VERI_TABANI!G27) + IF(ABS(IF(ISNUMBER(SEARCH("Var", D119)), 1, IF(ISNUMBER(SEARCH("Gri", D119)), -1, 0)))=1, VERI_TABANI!E27*(1-0.928)*0.00206091519919798*VERI_TABANI!G27, 0)) + ((MIN(VERI_TABANI!D28, VERI_TABANI!D28*B119)*VERI_TABANI!$B$7 + MAX(0, VERI_TABANI!D28*B119-VERI_TABANI!D28)*VERI_TABANI!$B$8) + (MIN(MAX(0, VERI_TABANI!D28-VERI_TABANI!D28*B119), VERI_TABANI!D28*C119)*VERI_TABANI!$B$7 + MAX(0, VERI_TABANI!D28*C119-MAX(0, VERI_TABANI!D28-VERI_TABANI!D28*B119))*VERI_TABANI!$B$8) + IF(ABS(IF(ISNUMBER(SEARCH("Var", D119)), 1, IF(ISNUMBER(SEARCH("Gri", D119)), -1, 0)))=1, VERI_TABANI!E28*(1-0.928)*VERI_TABANI!$B$9, 0) + (VERI_TABANI!D28*B119*(VERI_TABANI!$B$13-VERI_TABANI!$B$14)*VERI_TABANI!G28) + (VERI_TABANI!D28*C119*(VERI_TABANI!$B$13-VERI_TABANI!$B$15)*VERI_TABANI!G28) + IF(ABS(IF(ISNUMBER(SEARCH("Var", D119)), 1, IF(ISNUMBER(SEARCH("Gri", D119)), -1, 0)))=1, VERI_TABANI!E28*(1-0.928)*0.00206091519919798*VERI_TABANI!G28, 0)))</f>
        <v/>
      </c>
      <c r="H119" s="169">
        <f>(((VERI_TABANI!D23*B119*(VERI_TABANI!$B$13-VERI_TABANI!$B$14)) + (VERI_TABANI!D23*C119*(VERI_TABANI!$B$13-VERI_TABANI!$B$15)) + IF(ISNUMBER(SEARCH("Var", D119)), VERI_TABANI!F23*(0.00202-VERI_TABANI!$B$16), IF(ISNUMBER(SEARCH("Gri", D119)), VERI_TABANI!F23*(0.00202-VERI_TABANI!$B$17), 0))) + ((VERI_TABANI!D24*B119*(VERI_TABANI!$B$13-VERI_TABANI!$B$14)) + (VERI_TABANI!D24*C119*(VERI_TABANI!$B$13-VERI_TABANI!$B$15)) + IF(ISNUMBER(SEARCH("Var", D119)), VERI_TABANI!F24*(0.00202-VERI_TABANI!$B$16), IF(ISNUMBER(SEARCH("Gri", D119)), VERI_TABANI!F24*(0.00202-VERI_TABANI!$B$17), 0))) + ((VERI_TABANI!D25*B119*(VERI_TABANI!$B$13-VERI_TABANI!$B$14)) + (VERI_TABANI!D25*C119*(VERI_TABANI!$B$13-VERI_TABANI!$B$15)) + IF(ISNUMBER(SEARCH("Var", D119)), VERI_TABANI!F25*(0.00202-VERI_TABANI!$B$16), IF(ISNUMBER(SEARCH("Gri", D119)), VERI_TABANI!F25*(0.00202-VERI_TABANI!$B$17), 0))) + ((VERI_TABANI!D26*B119*(VERI_TABANI!$B$13-VERI_TABANI!$B$14)) + (VERI_TABANI!D26*C119*(VERI_TABANI!$B$13-VERI_TABANI!$B$15)) + IF(ISNUMBER(SEARCH("Var", D119)), VERI_TABANI!F26*(0.00202-VERI_TABANI!$B$16), IF(ISNUMBER(SEARCH("Gri", D119)), VERI_TABANI!F26*(0.00202-VERI_TABANI!$B$17), 0))) + ((VERI_TABANI!D27*B119*(VERI_TABANI!$B$13-VERI_TABANI!$B$14)) + (VERI_TABANI!D27*C119*(VERI_TABANI!$B$13-VERI_TABANI!$B$15)) + IF(ISNUMBER(SEARCH("Var", D119)), VERI_TABANI!F27*(0.00202-VERI_TABANI!$B$16), IF(ISNUMBER(SEARCH("Gri", D119)), VERI_TABANI!F27*(0.00202-VERI_TABANI!$B$17), 0))) + ((VERI_TABANI!D28*B119*(VERI_TABANI!$B$13-VERI_TABANI!$B$14)) + (VERI_TABANI!D28*C119*(VERI_TABANI!$B$13-VERI_TABANI!$B$15)) + IF(ISNUMBER(SEARCH("Var", D119)), VERI_TABANI!F28*(0.00202-VERI_TABANI!$B$16), IF(ISNUMBER(SEARCH("Gri", D119)), VERI_TABANI!F28*(0.00202-VERI_TABANI!$B$17), 0))))</f>
        <v/>
      </c>
      <c r="I119" s="170">
        <f>IFERROR(((VERI_TABANI!$D$29*B119*VERI_TABANI!$B$14 + VERI_TABANI!$D$29*C119*VERI_TABANI!$B$15 + IF(ISNUMBER(SEARCH("Var", D119)), VERI_TABANI!$F$29*VERI_TABANI!$B$16, 0))) / (((VERI_TABANI!$D$29*B119 + VERI_TABANI!$D$29*C119)*VERI_TABANI!$B$13 + IF(ISNUMBER(SEARCH("Var", D119)), VERI_TABANI!$E$29*(1-0.928)*VERI_TABANI!$B$18, 0))), 0)</f>
        <v/>
      </c>
      <c r="J119" s="171">
        <f>IFERROR(F119/(G119/29), 0)</f>
        <v/>
      </c>
      <c r="K119" s="172">
        <f>IF(F119&gt;0, H119/F119, 0)</f>
        <v/>
      </c>
      <c r="L119" s="170">
        <f>IF(F119&gt;0, I119, 1000000000)</f>
        <v/>
      </c>
      <c r="M119" s="171">
        <f>ABS((B119+C119)-1)</f>
        <v/>
      </c>
      <c r="N119" s="170">
        <f>IF(F119&gt;0, (G119/29)/F119, 0)</f>
        <v/>
      </c>
      <c r="O119" s="168">
        <f>IF(AND((B119+C119)&gt;=1, ISNUMBER(SEARCH("Var", D119))), F119, 1000000000)</f>
        <v/>
      </c>
      <c r="P119" s="172">
        <f>IF(F119&gt;0, SQRT((F119/MAX(F$5:F$886))^2 + (1 - H119/MAX(H$5:H$886))^2 + (J119/MAX(J$5:J$886))^2), 1000000000)</f>
        <v/>
      </c>
      <c r="Q119" s="166">
        <f>IF(AND(ABS(B119-0.5)&lt;0.01, ABS(C119-0.5)&lt;0.01, ISNUMBER(SEARCH("Var", D119))), 1, 0)</f>
        <v/>
      </c>
      <c r="R119" s="171">
        <f>IF(F119&gt;0, J119, 1000000000)</f>
        <v/>
      </c>
      <c r="S119" s="101">
        <f>IF(AND(F119&lt;=DASHBOARD!$B$11, H119&gt;=DASHBOARD!$B$13), G119, -1000000000000)</f>
        <v/>
      </c>
      <c r="T119" s="101">
        <f>IF(AND(F119&lt;=DASHBOARD!$B$11, H119&gt;=DASHBOARD!$B$13), R119, 1000000000000)</f>
        <v/>
      </c>
      <c r="U119" s="101">
        <f>IF(AND(F119&lt;=DASHBOARD!$B$11, H119&gt;=DASHBOARD!$B$13), N119, -1000000000000)</f>
        <v/>
      </c>
      <c r="V119" s="101">
        <f>IF(AND(F119&lt;=DASHBOARD!$B$11, H119&gt;=DASHBOARD!$B$13), H119, -1000000000000)</f>
        <v/>
      </c>
      <c r="W119" s="101">
        <f>IF(AND(F119&lt;=DASHBOARD!$B$11, H119&gt;=DASHBOARD!$B$13), K119, -1000000000000)</f>
        <v/>
      </c>
      <c r="X119" s="101">
        <f>IF(AND(F119&lt;=DASHBOARD!$B$11, H119&gt;=DASHBOARD!$B$13), M119, 1000000000000)</f>
        <v/>
      </c>
      <c r="Y119" s="101">
        <f>IF(AND(F119&lt;=DASHBOARD!$B$10, H119&gt;=DASHBOARD!$B$11), L119, 1000000000000)</f>
        <v/>
      </c>
      <c r="Z119" s="101">
        <f>IF(AND(F119&lt;=DASHBOARD!$B$10, H119&gt;=DASHBOARD!$B$11), O119, 1000000000000)</f>
        <v/>
      </c>
      <c r="AA119" s="101">
        <f>IF(AND(F119&lt;=DASHBOARD!$B$10, H119&gt;=DASHBOARD!$B$11), P119, 1000000000000)</f>
        <v/>
      </c>
      <c r="AB119" s="101">
        <f>IF(AND(F119&lt;=DASHBOARD!$B$10, H119&gt;=DASHBOARD!$B$11), Q119, -1000000000000)</f>
        <v/>
      </c>
    </row>
    <row r="120" ht="12.75" customHeight="1" s="102">
      <c r="A120" s="166" t="n">
        <v>116</v>
      </c>
      <c r="B120" s="167" t="n">
        <v>0.2</v>
      </c>
      <c r="C120" s="167" t="n">
        <v>1.5</v>
      </c>
      <c r="D120" s="110" t="inlineStr">
        <is>
          <t>Var (%20)</t>
        </is>
      </c>
      <c r="E120" s="110">
        <f>IF((B120+C120)&lt;=1, "Tam Mahsuplaşma (≤%100)", "Kısmi Satış (&gt;%100)")</f>
        <v/>
      </c>
      <c r="F120" s="168">
        <f>((VERI_TABANI!$D$29*B120/VERI_TABANI!$B$29)/VERI_TABANI!$B$3)*VERI_TABANI!$B$5 + ((VERI_TABANI!$D$29*C120/VERI_TABANI!$B$29)/VERI_TABANI!$B$4)*VERI_TABANI!$B$6 + IF(ISNUMBER(SEARCH("Var", D120)), (VERI_TABANI!$F$29/VERI_TABANI!$B$29)*(VERI_TABANI!$B$10+VERI_TABANI!$B$12), 0)</f>
        <v/>
      </c>
      <c r="G120" s="168">
        <f>(((MIN(VERI_TABANI!D23, VERI_TABANI!D23*B120)*VERI_TABANI!$B$7 + MAX(0, VERI_TABANI!D23*B120-VERI_TABANI!D23)*VERI_TABANI!$B$8) + (MIN(MAX(0, VERI_TABANI!D23-VERI_TABANI!D23*B120), VERI_TABANI!D23*C120)*VERI_TABANI!$B$7 + MAX(0, VERI_TABANI!D23*C120-MAX(0, VERI_TABANI!D23-VERI_TABANI!D23*B120))*VERI_TABANI!$B$8) + IF(ABS(IF(ISNUMBER(SEARCH("Var", D120)), 1, IF(ISNUMBER(SEARCH("Gri", D120)), -1, 0)))=1, VERI_TABANI!E23*(1-0.928)*VERI_TABANI!$B$9, 0) + (VERI_TABANI!D23*B120*(VERI_TABANI!$B$13-VERI_TABANI!$B$14)*VERI_TABANI!G23) + (VERI_TABANI!D23*C120*(VERI_TABANI!$B$13-VERI_TABANI!$B$15)*VERI_TABANI!G23) + IF(ABS(IF(ISNUMBER(SEARCH("Var", D120)), 1, IF(ISNUMBER(SEARCH("Gri", D120)), -1, 0)))=1, VERI_TABANI!E23*(1-0.928)*0.00206091519919798*VERI_TABANI!G23, 0)) + ((MIN(VERI_TABANI!D24, VERI_TABANI!D24*B120)*VERI_TABANI!$B$7 + MAX(0, VERI_TABANI!D24*B120-VERI_TABANI!D24)*VERI_TABANI!$B$8) + (MIN(MAX(0, VERI_TABANI!D24-VERI_TABANI!D24*B120), VERI_TABANI!D24*C120)*VERI_TABANI!$B$7 + MAX(0, VERI_TABANI!D24*C120-MAX(0, VERI_TABANI!D24-VERI_TABANI!D24*B120))*VERI_TABANI!$B$8) + IF(ABS(IF(ISNUMBER(SEARCH("Var", D120)), 1, IF(ISNUMBER(SEARCH("Gri", D120)), -1, 0)))=1, VERI_TABANI!E24*(1-0.928)*VERI_TABANI!$B$9, 0) + (VERI_TABANI!D24*B120*(VERI_TABANI!$B$13-VERI_TABANI!$B$14)*VERI_TABANI!G24) + (VERI_TABANI!D24*C120*(VERI_TABANI!$B$13-VERI_TABANI!$B$15)*VERI_TABANI!G24) + IF(ABS(IF(ISNUMBER(SEARCH("Var", D120)), 1, IF(ISNUMBER(SEARCH("Gri", D120)), -1, 0)))=1, VERI_TABANI!E24*(1-0.928)*0.00206091519919798*VERI_TABANI!G24, 0)) + ((MIN(VERI_TABANI!D25, VERI_TABANI!D25*B120)*VERI_TABANI!$B$7 + MAX(0, VERI_TABANI!D25*B120-VERI_TABANI!D25)*VERI_TABANI!$B$8) + (MIN(MAX(0, VERI_TABANI!D25-VERI_TABANI!D25*B120), VERI_TABANI!D25*C120)*VERI_TABANI!$B$7 + MAX(0, VERI_TABANI!D25*C120-MAX(0, VERI_TABANI!D25-VERI_TABANI!D25*B120))*VERI_TABANI!$B$8) + IF(ABS(IF(ISNUMBER(SEARCH("Var", D120)), 1, IF(ISNUMBER(SEARCH("Gri", D120)), -1, 0)))=1, VERI_TABANI!E25*(1-0.928)*VERI_TABANI!$B$9, 0) + (VERI_TABANI!D25*B120*(VERI_TABANI!$B$13-VERI_TABANI!$B$14)*VERI_TABANI!G25) + (VERI_TABANI!D25*C120*(VERI_TABANI!$B$13-VERI_TABANI!$B$15)*VERI_TABANI!G25) + IF(ABS(IF(ISNUMBER(SEARCH("Var", D120)), 1, IF(ISNUMBER(SEARCH("Gri", D120)), -1, 0)))=1, VERI_TABANI!E25*(1-0.928)*0.00206091519919798*VERI_TABANI!G25, 0)) + ((MIN(VERI_TABANI!D26, VERI_TABANI!D26*B120)*VERI_TABANI!$B$7 + MAX(0, VERI_TABANI!D26*B120-VERI_TABANI!D26)*VERI_TABANI!$B$8) + (MIN(MAX(0, VERI_TABANI!D26-VERI_TABANI!D26*B120), VERI_TABANI!D26*C120)*VERI_TABANI!$B$7 + MAX(0, VERI_TABANI!D26*C120-MAX(0, VERI_TABANI!D26-VERI_TABANI!D26*B120))*VERI_TABANI!$B$8) + IF(ABS(IF(ISNUMBER(SEARCH("Var", D120)), 1, IF(ISNUMBER(SEARCH("Gri", D120)), -1, 0)))=1, VERI_TABANI!E26*(1-0.928)*VERI_TABANI!$B$9, 0) + (VERI_TABANI!D26*B120*(VERI_TABANI!$B$13-VERI_TABANI!$B$14)*VERI_TABANI!G26) + (VERI_TABANI!D26*C120*(VERI_TABANI!$B$13-VERI_TABANI!$B$15)*VERI_TABANI!G26) + IF(ABS(IF(ISNUMBER(SEARCH("Var", D120)), 1, IF(ISNUMBER(SEARCH("Gri", D120)), -1, 0)))=1, VERI_TABANI!E26*(1-0.928)*0.00206091519919798*VERI_TABANI!G26, 0)) + ((MIN(VERI_TABANI!D27, VERI_TABANI!D27*B120)*VERI_TABANI!$B$7 + MAX(0, VERI_TABANI!D27*B120-VERI_TABANI!D27)*VERI_TABANI!$B$8) + (MIN(MAX(0, VERI_TABANI!D27-VERI_TABANI!D27*B120), VERI_TABANI!D27*C120)*VERI_TABANI!$B$7 + MAX(0, VERI_TABANI!D27*C120-MAX(0, VERI_TABANI!D27-VERI_TABANI!D27*B120))*VERI_TABANI!$B$8) + IF(ABS(IF(ISNUMBER(SEARCH("Var", D120)), 1, IF(ISNUMBER(SEARCH("Gri", D120)), -1, 0)))=1, VERI_TABANI!E27*(1-0.928)*VERI_TABANI!$B$9, 0) + (VERI_TABANI!D27*B120*(VERI_TABANI!$B$13-VERI_TABANI!$B$14)*VERI_TABANI!G27) + (VERI_TABANI!D27*C120*(VERI_TABANI!$B$13-VERI_TABANI!$B$15)*VERI_TABANI!G27) + IF(ABS(IF(ISNUMBER(SEARCH("Var", D120)), 1, IF(ISNUMBER(SEARCH("Gri", D120)), -1, 0)))=1, VERI_TABANI!E27*(1-0.928)*0.00206091519919798*VERI_TABANI!G27, 0)) + ((MIN(VERI_TABANI!D28, VERI_TABANI!D28*B120)*VERI_TABANI!$B$7 + MAX(0, VERI_TABANI!D28*B120-VERI_TABANI!D28)*VERI_TABANI!$B$8) + (MIN(MAX(0, VERI_TABANI!D28-VERI_TABANI!D28*B120), VERI_TABANI!D28*C120)*VERI_TABANI!$B$7 + MAX(0, VERI_TABANI!D28*C120-MAX(0, VERI_TABANI!D28-VERI_TABANI!D28*B120))*VERI_TABANI!$B$8) + IF(ABS(IF(ISNUMBER(SEARCH("Var", D120)), 1, IF(ISNUMBER(SEARCH("Gri", D120)), -1, 0)))=1, VERI_TABANI!E28*(1-0.928)*VERI_TABANI!$B$9, 0) + (VERI_TABANI!D28*B120*(VERI_TABANI!$B$13-VERI_TABANI!$B$14)*VERI_TABANI!G28) + (VERI_TABANI!D28*C120*(VERI_TABANI!$B$13-VERI_TABANI!$B$15)*VERI_TABANI!G28) + IF(ABS(IF(ISNUMBER(SEARCH("Var", D120)), 1, IF(ISNUMBER(SEARCH("Gri", D120)), -1, 0)))=1, VERI_TABANI!E28*(1-0.928)*0.00206091519919798*VERI_TABANI!G28, 0)))</f>
        <v/>
      </c>
      <c r="H120" s="169">
        <f>(((VERI_TABANI!D23*B120*(VERI_TABANI!$B$13-VERI_TABANI!$B$14)) + (VERI_TABANI!D23*C120*(VERI_TABANI!$B$13-VERI_TABANI!$B$15)) + IF(ISNUMBER(SEARCH("Var", D120)), VERI_TABANI!F23*(0.00202-VERI_TABANI!$B$16), IF(ISNUMBER(SEARCH("Gri", D120)), VERI_TABANI!F23*(0.00202-VERI_TABANI!$B$17), 0))) + ((VERI_TABANI!D24*B120*(VERI_TABANI!$B$13-VERI_TABANI!$B$14)) + (VERI_TABANI!D24*C120*(VERI_TABANI!$B$13-VERI_TABANI!$B$15)) + IF(ISNUMBER(SEARCH("Var", D120)), VERI_TABANI!F24*(0.00202-VERI_TABANI!$B$16), IF(ISNUMBER(SEARCH("Gri", D120)), VERI_TABANI!F24*(0.00202-VERI_TABANI!$B$17), 0))) + ((VERI_TABANI!D25*B120*(VERI_TABANI!$B$13-VERI_TABANI!$B$14)) + (VERI_TABANI!D25*C120*(VERI_TABANI!$B$13-VERI_TABANI!$B$15)) + IF(ISNUMBER(SEARCH("Var", D120)), VERI_TABANI!F25*(0.00202-VERI_TABANI!$B$16), IF(ISNUMBER(SEARCH("Gri", D120)), VERI_TABANI!F25*(0.00202-VERI_TABANI!$B$17), 0))) + ((VERI_TABANI!D26*B120*(VERI_TABANI!$B$13-VERI_TABANI!$B$14)) + (VERI_TABANI!D26*C120*(VERI_TABANI!$B$13-VERI_TABANI!$B$15)) + IF(ISNUMBER(SEARCH("Var", D120)), VERI_TABANI!F26*(0.00202-VERI_TABANI!$B$16), IF(ISNUMBER(SEARCH("Gri", D120)), VERI_TABANI!F26*(0.00202-VERI_TABANI!$B$17), 0))) + ((VERI_TABANI!D27*B120*(VERI_TABANI!$B$13-VERI_TABANI!$B$14)) + (VERI_TABANI!D27*C120*(VERI_TABANI!$B$13-VERI_TABANI!$B$15)) + IF(ISNUMBER(SEARCH("Var", D120)), VERI_TABANI!F27*(0.00202-VERI_TABANI!$B$16), IF(ISNUMBER(SEARCH("Gri", D120)), VERI_TABANI!F27*(0.00202-VERI_TABANI!$B$17), 0))) + ((VERI_TABANI!D28*B120*(VERI_TABANI!$B$13-VERI_TABANI!$B$14)) + (VERI_TABANI!D28*C120*(VERI_TABANI!$B$13-VERI_TABANI!$B$15)) + IF(ISNUMBER(SEARCH("Var", D120)), VERI_TABANI!F28*(0.00202-VERI_TABANI!$B$16), IF(ISNUMBER(SEARCH("Gri", D120)), VERI_TABANI!F28*(0.00202-VERI_TABANI!$B$17), 0))))</f>
        <v/>
      </c>
      <c r="I120" s="170">
        <f>IFERROR(((VERI_TABANI!$D$29*B120*VERI_TABANI!$B$14 + VERI_TABANI!$D$29*C120*VERI_TABANI!$B$15 + IF(ISNUMBER(SEARCH("Var", D120)), VERI_TABANI!$F$29*VERI_TABANI!$B$16, 0))) / (((VERI_TABANI!$D$29*B120 + VERI_TABANI!$D$29*C120)*VERI_TABANI!$B$13 + IF(ISNUMBER(SEARCH("Var", D120)), VERI_TABANI!$E$29*(1-0.928)*VERI_TABANI!$B$18, 0))), 0)</f>
        <v/>
      </c>
      <c r="J120" s="171">
        <f>IFERROR(F120/(G120/29), 0)</f>
        <v/>
      </c>
      <c r="K120" s="172">
        <f>IF(F120&gt;0, H120/F120, 0)</f>
        <v/>
      </c>
      <c r="L120" s="170">
        <f>IF(F120&gt;0, I120, 1000000000)</f>
        <v/>
      </c>
      <c r="M120" s="171">
        <f>ABS((B120+C120)-1)</f>
        <v/>
      </c>
      <c r="N120" s="170">
        <f>IF(F120&gt;0, (G120/29)/F120, 0)</f>
        <v/>
      </c>
      <c r="O120" s="168">
        <f>IF(AND((B120+C120)&gt;=1, ISNUMBER(SEARCH("Var", D120))), F120, 1000000000)</f>
        <v/>
      </c>
      <c r="P120" s="172">
        <f>IF(F120&gt;0, SQRT((F120/MAX(F$5:F$886))^2 + (1 - H120/MAX(H$5:H$886))^2 + (J120/MAX(J$5:J$886))^2), 1000000000)</f>
        <v/>
      </c>
      <c r="Q120" s="166">
        <f>IF(AND(ABS(B120-0.5)&lt;0.01, ABS(C120-0.5)&lt;0.01, ISNUMBER(SEARCH("Var", D120))), 1, 0)</f>
        <v/>
      </c>
      <c r="R120" s="171">
        <f>IF(F120&gt;0, J120, 1000000000)</f>
        <v/>
      </c>
      <c r="S120" s="101">
        <f>IF(AND(F120&lt;=DASHBOARD!$B$11, H120&gt;=DASHBOARD!$B$13), G120, -1000000000000)</f>
        <v/>
      </c>
      <c r="T120" s="101">
        <f>IF(AND(F120&lt;=DASHBOARD!$B$11, H120&gt;=DASHBOARD!$B$13), R120, 1000000000000)</f>
        <v/>
      </c>
      <c r="U120" s="101">
        <f>IF(AND(F120&lt;=DASHBOARD!$B$11, H120&gt;=DASHBOARD!$B$13), N120, -1000000000000)</f>
        <v/>
      </c>
      <c r="V120" s="101">
        <f>IF(AND(F120&lt;=DASHBOARD!$B$11, H120&gt;=DASHBOARD!$B$13), H120, -1000000000000)</f>
        <v/>
      </c>
      <c r="W120" s="101">
        <f>IF(AND(F120&lt;=DASHBOARD!$B$11, H120&gt;=DASHBOARD!$B$13), K120, -1000000000000)</f>
        <v/>
      </c>
      <c r="X120" s="101">
        <f>IF(AND(F120&lt;=DASHBOARD!$B$11, H120&gt;=DASHBOARD!$B$13), M120, 1000000000000)</f>
        <v/>
      </c>
      <c r="Y120" s="101">
        <f>IF(AND(F120&lt;=DASHBOARD!$B$10, H120&gt;=DASHBOARD!$B$11), L120, 1000000000000)</f>
        <v/>
      </c>
      <c r="Z120" s="101">
        <f>IF(AND(F120&lt;=DASHBOARD!$B$10, H120&gt;=DASHBOARD!$B$11), O120, 1000000000000)</f>
        <v/>
      </c>
      <c r="AA120" s="101">
        <f>IF(AND(F120&lt;=DASHBOARD!$B$10, H120&gt;=DASHBOARD!$B$11), P120, 1000000000000)</f>
        <v/>
      </c>
      <c r="AB120" s="101">
        <f>IF(AND(F120&lt;=DASHBOARD!$B$10, H120&gt;=DASHBOARD!$B$11), Q120, -1000000000000)</f>
        <v/>
      </c>
    </row>
    <row r="121" ht="12.75" customHeight="1" s="102">
      <c r="A121" s="166" t="n">
        <v>117</v>
      </c>
      <c r="B121" s="167" t="n">
        <v>0.2</v>
      </c>
      <c r="C121" s="167" t="n">
        <v>1.6</v>
      </c>
      <c r="D121" s="110" t="inlineStr">
        <is>
          <t>Yok (%0)</t>
        </is>
      </c>
      <c r="E121" s="110">
        <f>IF((B121+C121)&lt;=1, "Tam Mahsuplaşma (≤%100)", "Kısmi Satış (&gt;%100)")</f>
        <v/>
      </c>
      <c r="F121" s="168">
        <f>((VERI_TABANI!$D$29*B121/VERI_TABANI!$B$29)/VERI_TABANI!$B$3)*VERI_TABANI!$B$5 + ((VERI_TABANI!$D$29*C121/VERI_TABANI!$B$29)/VERI_TABANI!$B$4)*VERI_TABANI!$B$6 + IF(ISNUMBER(SEARCH("Var", D121)), (VERI_TABANI!$F$29/VERI_TABANI!$B$29)*(VERI_TABANI!$B$10+VERI_TABANI!$B$12), 0)</f>
        <v/>
      </c>
      <c r="G121" s="168">
        <f>(((MIN(VERI_TABANI!D23, VERI_TABANI!D23*B121)*VERI_TABANI!$B$7 + MAX(0, VERI_TABANI!D23*B121-VERI_TABANI!D23)*VERI_TABANI!$B$8) + (MIN(MAX(0, VERI_TABANI!D23-VERI_TABANI!D23*B121), VERI_TABANI!D23*C121)*VERI_TABANI!$B$7 + MAX(0, VERI_TABANI!D23*C121-MAX(0, VERI_TABANI!D23-VERI_TABANI!D23*B121))*VERI_TABANI!$B$8) + IF(ABS(IF(ISNUMBER(SEARCH("Var", D121)), 1, IF(ISNUMBER(SEARCH("Gri", D121)), -1, 0)))=1, VERI_TABANI!E23*(1-0.928)*VERI_TABANI!$B$9, 0) + (VERI_TABANI!D23*B121*(VERI_TABANI!$B$13-VERI_TABANI!$B$14)*VERI_TABANI!G23) + (VERI_TABANI!D23*C121*(VERI_TABANI!$B$13-VERI_TABANI!$B$15)*VERI_TABANI!G23) + IF(ABS(IF(ISNUMBER(SEARCH("Var", D121)), 1, IF(ISNUMBER(SEARCH("Gri", D121)), -1, 0)))=1, VERI_TABANI!E23*(1-0.928)*0.00206091519919798*VERI_TABANI!G23, 0)) + ((MIN(VERI_TABANI!D24, VERI_TABANI!D24*B121)*VERI_TABANI!$B$7 + MAX(0, VERI_TABANI!D24*B121-VERI_TABANI!D24)*VERI_TABANI!$B$8) + (MIN(MAX(0, VERI_TABANI!D24-VERI_TABANI!D24*B121), VERI_TABANI!D24*C121)*VERI_TABANI!$B$7 + MAX(0, VERI_TABANI!D24*C121-MAX(0, VERI_TABANI!D24-VERI_TABANI!D24*B121))*VERI_TABANI!$B$8) + IF(ABS(IF(ISNUMBER(SEARCH("Var", D121)), 1, IF(ISNUMBER(SEARCH("Gri", D121)), -1, 0)))=1, VERI_TABANI!E24*(1-0.928)*VERI_TABANI!$B$9, 0) + (VERI_TABANI!D24*B121*(VERI_TABANI!$B$13-VERI_TABANI!$B$14)*VERI_TABANI!G24) + (VERI_TABANI!D24*C121*(VERI_TABANI!$B$13-VERI_TABANI!$B$15)*VERI_TABANI!G24) + IF(ABS(IF(ISNUMBER(SEARCH("Var", D121)), 1, IF(ISNUMBER(SEARCH("Gri", D121)), -1, 0)))=1, VERI_TABANI!E24*(1-0.928)*0.00206091519919798*VERI_TABANI!G24, 0)) + ((MIN(VERI_TABANI!D25, VERI_TABANI!D25*B121)*VERI_TABANI!$B$7 + MAX(0, VERI_TABANI!D25*B121-VERI_TABANI!D25)*VERI_TABANI!$B$8) + (MIN(MAX(0, VERI_TABANI!D25-VERI_TABANI!D25*B121), VERI_TABANI!D25*C121)*VERI_TABANI!$B$7 + MAX(0, VERI_TABANI!D25*C121-MAX(0, VERI_TABANI!D25-VERI_TABANI!D25*B121))*VERI_TABANI!$B$8) + IF(ABS(IF(ISNUMBER(SEARCH("Var", D121)), 1, IF(ISNUMBER(SEARCH("Gri", D121)), -1, 0)))=1, VERI_TABANI!E25*(1-0.928)*VERI_TABANI!$B$9, 0) + (VERI_TABANI!D25*B121*(VERI_TABANI!$B$13-VERI_TABANI!$B$14)*VERI_TABANI!G25) + (VERI_TABANI!D25*C121*(VERI_TABANI!$B$13-VERI_TABANI!$B$15)*VERI_TABANI!G25) + IF(ABS(IF(ISNUMBER(SEARCH("Var", D121)), 1, IF(ISNUMBER(SEARCH("Gri", D121)), -1, 0)))=1, VERI_TABANI!E25*(1-0.928)*0.00206091519919798*VERI_TABANI!G25, 0)) + ((MIN(VERI_TABANI!D26, VERI_TABANI!D26*B121)*VERI_TABANI!$B$7 + MAX(0, VERI_TABANI!D26*B121-VERI_TABANI!D26)*VERI_TABANI!$B$8) + (MIN(MAX(0, VERI_TABANI!D26-VERI_TABANI!D26*B121), VERI_TABANI!D26*C121)*VERI_TABANI!$B$7 + MAX(0, VERI_TABANI!D26*C121-MAX(0, VERI_TABANI!D26-VERI_TABANI!D26*B121))*VERI_TABANI!$B$8) + IF(ABS(IF(ISNUMBER(SEARCH("Var", D121)), 1, IF(ISNUMBER(SEARCH("Gri", D121)), -1, 0)))=1, VERI_TABANI!E26*(1-0.928)*VERI_TABANI!$B$9, 0) + (VERI_TABANI!D26*B121*(VERI_TABANI!$B$13-VERI_TABANI!$B$14)*VERI_TABANI!G26) + (VERI_TABANI!D26*C121*(VERI_TABANI!$B$13-VERI_TABANI!$B$15)*VERI_TABANI!G26) + IF(ABS(IF(ISNUMBER(SEARCH("Var", D121)), 1, IF(ISNUMBER(SEARCH("Gri", D121)), -1, 0)))=1, VERI_TABANI!E26*(1-0.928)*0.00206091519919798*VERI_TABANI!G26, 0)) + ((MIN(VERI_TABANI!D27, VERI_TABANI!D27*B121)*VERI_TABANI!$B$7 + MAX(0, VERI_TABANI!D27*B121-VERI_TABANI!D27)*VERI_TABANI!$B$8) + (MIN(MAX(0, VERI_TABANI!D27-VERI_TABANI!D27*B121), VERI_TABANI!D27*C121)*VERI_TABANI!$B$7 + MAX(0, VERI_TABANI!D27*C121-MAX(0, VERI_TABANI!D27-VERI_TABANI!D27*B121))*VERI_TABANI!$B$8) + IF(ABS(IF(ISNUMBER(SEARCH("Var", D121)), 1, IF(ISNUMBER(SEARCH("Gri", D121)), -1, 0)))=1, VERI_TABANI!E27*(1-0.928)*VERI_TABANI!$B$9, 0) + (VERI_TABANI!D27*B121*(VERI_TABANI!$B$13-VERI_TABANI!$B$14)*VERI_TABANI!G27) + (VERI_TABANI!D27*C121*(VERI_TABANI!$B$13-VERI_TABANI!$B$15)*VERI_TABANI!G27) + IF(ABS(IF(ISNUMBER(SEARCH("Var", D121)), 1, IF(ISNUMBER(SEARCH("Gri", D121)), -1, 0)))=1, VERI_TABANI!E27*(1-0.928)*0.00206091519919798*VERI_TABANI!G27, 0)) + ((MIN(VERI_TABANI!D28, VERI_TABANI!D28*B121)*VERI_TABANI!$B$7 + MAX(0, VERI_TABANI!D28*B121-VERI_TABANI!D28)*VERI_TABANI!$B$8) + (MIN(MAX(0, VERI_TABANI!D28-VERI_TABANI!D28*B121), VERI_TABANI!D28*C121)*VERI_TABANI!$B$7 + MAX(0, VERI_TABANI!D28*C121-MAX(0, VERI_TABANI!D28-VERI_TABANI!D28*B121))*VERI_TABANI!$B$8) + IF(ABS(IF(ISNUMBER(SEARCH("Var", D121)), 1, IF(ISNUMBER(SEARCH("Gri", D121)), -1, 0)))=1, VERI_TABANI!E28*(1-0.928)*VERI_TABANI!$B$9, 0) + (VERI_TABANI!D28*B121*(VERI_TABANI!$B$13-VERI_TABANI!$B$14)*VERI_TABANI!G28) + (VERI_TABANI!D28*C121*(VERI_TABANI!$B$13-VERI_TABANI!$B$15)*VERI_TABANI!G28) + IF(ABS(IF(ISNUMBER(SEARCH("Var", D121)), 1, IF(ISNUMBER(SEARCH("Gri", D121)), -1, 0)))=1, VERI_TABANI!E28*(1-0.928)*0.00206091519919798*VERI_TABANI!G28, 0)))</f>
        <v/>
      </c>
      <c r="H121" s="169">
        <f>(((VERI_TABANI!D23*B121*(VERI_TABANI!$B$13-VERI_TABANI!$B$14)) + (VERI_TABANI!D23*C121*(VERI_TABANI!$B$13-VERI_TABANI!$B$15)) + IF(ISNUMBER(SEARCH("Var", D121)), VERI_TABANI!F23*(0.00202-VERI_TABANI!$B$16), IF(ISNUMBER(SEARCH("Gri", D121)), VERI_TABANI!F23*(0.00202-VERI_TABANI!$B$17), 0))) + ((VERI_TABANI!D24*B121*(VERI_TABANI!$B$13-VERI_TABANI!$B$14)) + (VERI_TABANI!D24*C121*(VERI_TABANI!$B$13-VERI_TABANI!$B$15)) + IF(ISNUMBER(SEARCH("Var", D121)), VERI_TABANI!F24*(0.00202-VERI_TABANI!$B$16), IF(ISNUMBER(SEARCH("Gri", D121)), VERI_TABANI!F24*(0.00202-VERI_TABANI!$B$17), 0))) + ((VERI_TABANI!D25*B121*(VERI_TABANI!$B$13-VERI_TABANI!$B$14)) + (VERI_TABANI!D25*C121*(VERI_TABANI!$B$13-VERI_TABANI!$B$15)) + IF(ISNUMBER(SEARCH("Var", D121)), VERI_TABANI!F25*(0.00202-VERI_TABANI!$B$16), IF(ISNUMBER(SEARCH("Gri", D121)), VERI_TABANI!F25*(0.00202-VERI_TABANI!$B$17), 0))) + ((VERI_TABANI!D26*B121*(VERI_TABANI!$B$13-VERI_TABANI!$B$14)) + (VERI_TABANI!D26*C121*(VERI_TABANI!$B$13-VERI_TABANI!$B$15)) + IF(ISNUMBER(SEARCH("Var", D121)), VERI_TABANI!F26*(0.00202-VERI_TABANI!$B$16), IF(ISNUMBER(SEARCH("Gri", D121)), VERI_TABANI!F26*(0.00202-VERI_TABANI!$B$17), 0))) + ((VERI_TABANI!D27*B121*(VERI_TABANI!$B$13-VERI_TABANI!$B$14)) + (VERI_TABANI!D27*C121*(VERI_TABANI!$B$13-VERI_TABANI!$B$15)) + IF(ISNUMBER(SEARCH("Var", D121)), VERI_TABANI!F27*(0.00202-VERI_TABANI!$B$16), IF(ISNUMBER(SEARCH("Gri", D121)), VERI_TABANI!F27*(0.00202-VERI_TABANI!$B$17), 0))) + ((VERI_TABANI!D28*B121*(VERI_TABANI!$B$13-VERI_TABANI!$B$14)) + (VERI_TABANI!D28*C121*(VERI_TABANI!$B$13-VERI_TABANI!$B$15)) + IF(ISNUMBER(SEARCH("Var", D121)), VERI_TABANI!F28*(0.00202-VERI_TABANI!$B$16), IF(ISNUMBER(SEARCH("Gri", D121)), VERI_TABANI!F28*(0.00202-VERI_TABANI!$B$17), 0))))</f>
        <v/>
      </c>
      <c r="I121" s="170">
        <f>IFERROR(((VERI_TABANI!$D$29*B121*VERI_TABANI!$B$14 + VERI_TABANI!$D$29*C121*VERI_TABANI!$B$15 + IF(ISNUMBER(SEARCH("Var", D121)), VERI_TABANI!$F$29*VERI_TABANI!$B$16, 0))) / (((VERI_TABANI!$D$29*B121 + VERI_TABANI!$D$29*C121)*VERI_TABANI!$B$13 + IF(ISNUMBER(SEARCH("Var", D121)), VERI_TABANI!$E$29*(1-0.928)*VERI_TABANI!$B$18, 0))), 0)</f>
        <v/>
      </c>
      <c r="J121" s="171">
        <f>IFERROR(F121/(G121/29), 0)</f>
        <v/>
      </c>
      <c r="K121" s="172">
        <f>IF(F121&gt;0, H121/F121, 0)</f>
        <v/>
      </c>
      <c r="L121" s="170">
        <f>IF(F121&gt;0, I121, 1000000000)</f>
        <v/>
      </c>
      <c r="M121" s="171">
        <f>ABS((B121+C121)-1)</f>
        <v/>
      </c>
      <c r="N121" s="170">
        <f>IF(F121&gt;0, (G121/29)/F121, 0)</f>
        <v/>
      </c>
      <c r="O121" s="168">
        <f>IF(AND((B121+C121)&gt;=1, ISNUMBER(SEARCH("Var", D121))), F121, 1000000000)</f>
        <v/>
      </c>
      <c r="P121" s="172">
        <f>IF(F121&gt;0, SQRT((F121/MAX(F$5:F$886))^2 + (1 - H121/MAX(H$5:H$886))^2 + (J121/MAX(J$5:J$886))^2), 1000000000)</f>
        <v/>
      </c>
      <c r="Q121" s="166">
        <f>IF(AND(ABS(B121-0.5)&lt;0.01, ABS(C121-0.5)&lt;0.01, ISNUMBER(SEARCH("Var", D121))), 1, 0)</f>
        <v/>
      </c>
      <c r="R121" s="171">
        <f>IF(F121&gt;0, J121, 1000000000)</f>
        <v/>
      </c>
      <c r="S121" s="101">
        <f>IF(AND(F121&lt;=DASHBOARD!$B$11, H121&gt;=DASHBOARD!$B$13), G121, -1000000000000)</f>
        <v/>
      </c>
      <c r="T121" s="101">
        <f>IF(AND(F121&lt;=DASHBOARD!$B$11, H121&gt;=DASHBOARD!$B$13), R121, 1000000000000)</f>
        <v/>
      </c>
      <c r="U121" s="101">
        <f>IF(AND(F121&lt;=DASHBOARD!$B$11, H121&gt;=DASHBOARD!$B$13), N121, -1000000000000)</f>
        <v/>
      </c>
      <c r="V121" s="101">
        <f>IF(AND(F121&lt;=DASHBOARD!$B$11, H121&gt;=DASHBOARD!$B$13), H121, -1000000000000)</f>
        <v/>
      </c>
      <c r="W121" s="101">
        <f>IF(AND(F121&lt;=DASHBOARD!$B$11, H121&gt;=DASHBOARD!$B$13), K121, -1000000000000)</f>
        <v/>
      </c>
      <c r="X121" s="101">
        <f>IF(AND(F121&lt;=DASHBOARD!$B$11, H121&gt;=DASHBOARD!$B$13), M121, 1000000000000)</f>
        <v/>
      </c>
      <c r="Y121" s="101">
        <f>IF(AND(F121&lt;=DASHBOARD!$B$10, H121&gt;=DASHBOARD!$B$11), L121, 1000000000000)</f>
        <v/>
      </c>
      <c r="Z121" s="101">
        <f>IF(AND(F121&lt;=DASHBOARD!$B$10, H121&gt;=DASHBOARD!$B$11), O121, 1000000000000)</f>
        <v/>
      </c>
      <c r="AA121" s="101">
        <f>IF(AND(F121&lt;=DASHBOARD!$B$10, H121&gt;=DASHBOARD!$B$11), P121, 1000000000000)</f>
        <v/>
      </c>
      <c r="AB121" s="101">
        <f>IF(AND(F121&lt;=DASHBOARD!$B$10, H121&gt;=DASHBOARD!$B$11), Q121, -1000000000000)</f>
        <v/>
      </c>
    </row>
    <row r="122" ht="12.75" customHeight="1" s="102">
      <c r="A122" s="166" t="n">
        <v>118</v>
      </c>
      <c r="B122" s="167" t="n">
        <v>0.2</v>
      </c>
      <c r="C122" s="167" t="n">
        <v>1.6</v>
      </c>
      <c r="D122" s="110" t="inlineStr">
        <is>
          <t>Var (%20)</t>
        </is>
      </c>
      <c r="E122" s="110">
        <f>IF((B122+C122)&lt;=1, "Tam Mahsuplaşma (≤%100)", "Kısmi Satış (&gt;%100)")</f>
        <v/>
      </c>
      <c r="F122" s="168">
        <f>((VERI_TABANI!$D$29*B122/VERI_TABANI!$B$29)/VERI_TABANI!$B$3)*VERI_TABANI!$B$5 + ((VERI_TABANI!$D$29*C122/VERI_TABANI!$B$29)/VERI_TABANI!$B$4)*VERI_TABANI!$B$6 + IF(ISNUMBER(SEARCH("Var", D122)), (VERI_TABANI!$F$29/VERI_TABANI!$B$29)*(VERI_TABANI!$B$10+VERI_TABANI!$B$12), 0)</f>
        <v/>
      </c>
      <c r="G122" s="168">
        <f>(((MIN(VERI_TABANI!D23, VERI_TABANI!D23*B122)*VERI_TABANI!$B$7 + MAX(0, VERI_TABANI!D23*B122-VERI_TABANI!D23)*VERI_TABANI!$B$8) + (MIN(MAX(0, VERI_TABANI!D23-VERI_TABANI!D23*B122), VERI_TABANI!D23*C122)*VERI_TABANI!$B$7 + MAX(0, VERI_TABANI!D23*C122-MAX(0, VERI_TABANI!D23-VERI_TABANI!D23*B122))*VERI_TABANI!$B$8) + IF(ABS(IF(ISNUMBER(SEARCH("Var", D122)), 1, IF(ISNUMBER(SEARCH("Gri", D122)), -1, 0)))=1, VERI_TABANI!E23*(1-0.928)*VERI_TABANI!$B$9, 0) + (VERI_TABANI!D23*B122*(VERI_TABANI!$B$13-VERI_TABANI!$B$14)*VERI_TABANI!G23) + (VERI_TABANI!D23*C122*(VERI_TABANI!$B$13-VERI_TABANI!$B$15)*VERI_TABANI!G23) + IF(ABS(IF(ISNUMBER(SEARCH("Var", D122)), 1, IF(ISNUMBER(SEARCH("Gri", D122)), -1, 0)))=1, VERI_TABANI!E23*(1-0.928)*0.00206091519919798*VERI_TABANI!G23, 0)) + ((MIN(VERI_TABANI!D24, VERI_TABANI!D24*B122)*VERI_TABANI!$B$7 + MAX(0, VERI_TABANI!D24*B122-VERI_TABANI!D24)*VERI_TABANI!$B$8) + (MIN(MAX(0, VERI_TABANI!D24-VERI_TABANI!D24*B122), VERI_TABANI!D24*C122)*VERI_TABANI!$B$7 + MAX(0, VERI_TABANI!D24*C122-MAX(0, VERI_TABANI!D24-VERI_TABANI!D24*B122))*VERI_TABANI!$B$8) + IF(ABS(IF(ISNUMBER(SEARCH("Var", D122)), 1, IF(ISNUMBER(SEARCH("Gri", D122)), -1, 0)))=1, VERI_TABANI!E24*(1-0.928)*VERI_TABANI!$B$9, 0) + (VERI_TABANI!D24*B122*(VERI_TABANI!$B$13-VERI_TABANI!$B$14)*VERI_TABANI!G24) + (VERI_TABANI!D24*C122*(VERI_TABANI!$B$13-VERI_TABANI!$B$15)*VERI_TABANI!G24) + IF(ABS(IF(ISNUMBER(SEARCH("Var", D122)), 1, IF(ISNUMBER(SEARCH("Gri", D122)), -1, 0)))=1, VERI_TABANI!E24*(1-0.928)*0.00206091519919798*VERI_TABANI!G24, 0)) + ((MIN(VERI_TABANI!D25, VERI_TABANI!D25*B122)*VERI_TABANI!$B$7 + MAX(0, VERI_TABANI!D25*B122-VERI_TABANI!D25)*VERI_TABANI!$B$8) + (MIN(MAX(0, VERI_TABANI!D25-VERI_TABANI!D25*B122), VERI_TABANI!D25*C122)*VERI_TABANI!$B$7 + MAX(0, VERI_TABANI!D25*C122-MAX(0, VERI_TABANI!D25-VERI_TABANI!D25*B122))*VERI_TABANI!$B$8) + IF(ABS(IF(ISNUMBER(SEARCH("Var", D122)), 1, IF(ISNUMBER(SEARCH("Gri", D122)), -1, 0)))=1, VERI_TABANI!E25*(1-0.928)*VERI_TABANI!$B$9, 0) + (VERI_TABANI!D25*B122*(VERI_TABANI!$B$13-VERI_TABANI!$B$14)*VERI_TABANI!G25) + (VERI_TABANI!D25*C122*(VERI_TABANI!$B$13-VERI_TABANI!$B$15)*VERI_TABANI!G25) + IF(ABS(IF(ISNUMBER(SEARCH("Var", D122)), 1, IF(ISNUMBER(SEARCH("Gri", D122)), -1, 0)))=1, VERI_TABANI!E25*(1-0.928)*0.00206091519919798*VERI_TABANI!G25, 0)) + ((MIN(VERI_TABANI!D26, VERI_TABANI!D26*B122)*VERI_TABANI!$B$7 + MAX(0, VERI_TABANI!D26*B122-VERI_TABANI!D26)*VERI_TABANI!$B$8) + (MIN(MAX(0, VERI_TABANI!D26-VERI_TABANI!D26*B122), VERI_TABANI!D26*C122)*VERI_TABANI!$B$7 + MAX(0, VERI_TABANI!D26*C122-MAX(0, VERI_TABANI!D26-VERI_TABANI!D26*B122))*VERI_TABANI!$B$8) + IF(ABS(IF(ISNUMBER(SEARCH("Var", D122)), 1, IF(ISNUMBER(SEARCH("Gri", D122)), -1, 0)))=1, VERI_TABANI!E26*(1-0.928)*VERI_TABANI!$B$9, 0) + (VERI_TABANI!D26*B122*(VERI_TABANI!$B$13-VERI_TABANI!$B$14)*VERI_TABANI!G26) + (VERI_TABANI!D26*C122*(VERI_TABANI!$B$13-VERI_TABANI!$B$15)*VERI_TABANI!G26) + IF(ABS(IF(ISNUMBER(SEARCH("Var", D122)), 1, IF(ISNUMBER(SEARCH("Gri", D122)), -1, 0)))=1, VERI_TABANI!E26*(1-0.928)*0.00206091519919798*VERI_TABANI!G26, 0)) + ((MIN(VERI_TABANI!D27, VERI_TABANI!D27*B122)*VERI_TABANI!$B$7 + MAX(0, VERI_TABANI!D27*B122-VERI_TABANI!D27)*VERI_TABANI!$B$8) + (MIN(MAX(0, VERI_TABANI!D27-VERI_TABANI!D27*B122), VERI_TABANI!D27*C122)*VERI_TABANI!$B$7 + MAX(0, VERI_TABANI!D27*C122-MAX(0, VERI_TABANI!D27-VERI_TABANI!D27*B122))*VERI_TABANI!$B$8) + IF(ABS(IF(ISNUMBER(SEARCH("Var", D122)), 1, IF(ISNUMBER(SEARCH("Gri", D122)), -1, 0)))=1, VERI_TABANI!E27*(1-0.928)*VERI_TABANI!$B$9, 0) + (VERI_TABANI!D27*B122*(VERI_TABANI!$B$13-VERI_TABANI!$B$14)*VERI_TABANI!G27) + (VERI_TABANI!D27*C122*(VERI_TABANI!$B$13-VERI_TABANI!$B$15)*VERI_TABANI!G27) + IF(ABS(IF(ISNUMBER(SEARCH("Var", D122)), 1, IF(ISNUMBER(SEARCH("Gri", D122)), -1, 0)))=1, VERI_TABANI!E27*(1-0.928)*0.00206091519919798*VERI_TABANI!G27, 0)) + ((MIN(VERI_TABANI!D28, VERI_TABANI!D28*B122)*VERI_TABANI!$B$7 + MAX(0, VERI_TABANI!D28*B122-VERI_TABANI!D28)*VERI_TABANI!$B$8) + (MIN(MAX(0, VERI_TABANI!D28-VERI_TABANI!D28*B122), VERI_TABANI!D28*C122)*VERI_TABANI!$B$7 + MAX(0, VERI_TABANI!D28*C122-MAX(0, VERI_TABANI!D28-VERI_TABANI!D28*B122))*VERI_TABANI!$B$8) + IF(ABS(IF(ISNUMBER(SEARCH("Var", D122)), 1, IF(ISNUMBER(SEARCH("Gri", D122)), -1, 0)))=1, VERI_TABANI!E28*(1-0.928)*VERI_TABANI!$B$9, 0) + (VERI_TABANI!D28*B122*(VERI_TABANI!$B$13-VERI_TABANI!$B$14)*VERI_TABANI!G28) + (VERI_TABANI!D28*C122*(VERI_TABANI!$B$13-VERI_TABANI!$B$15)*VERI_TABANI!G28) + IF(ABS(IF(ISNUMBER(SEARCH("Var", D122)), 1, IF(ISNUMBER(SEARCH("Gri", D122)), -1, 0)))=1, VERI_TABANI!E28*(1-0.928)*0.00206091519919798*VERI_TABANI!G28, 0)))</f>
        <v/>
      </c>
      <c r="H122" s="169">
        <f>(((VERI_TABANI!D23*B122*(VERI_TABANI!$B$13-VERI_TABANI!$B$14)) + (VERI_TABANI!D23*C122*(VERI_TABANI!$B$13-VERI_TABANI!$B$15)) + IF(ISNUMBER(SEARCH("Var", D122)), VERI_TABANI!F23*(0.00202-VERI_TABANI!$B$16), IF(ISNUMBER(SEARCH("Gri", D122)), VERI_TABANI!F23*(0.00202-VERI_TABANI!$B$17), 0))) + ((VERI_TABANI!D24*B122*(VERI_TABANI!$B$13-VERI_TABANI!$B$14)) + (VERI_TABANI!D24*C122*(VERI_TABANI!$B$13-VERI_TABANI!$B$15)) + IF(ISNUMBER(SEARCH("Var", D122)), VERI_TABANI!F24*(0.00202-VERI_TABANI!$B$16), IF(ISNUMBER(SEARCH("Gri", D122)), VERI_TABANI!F24*(0.00202-VERI_TABANI!$B$17), 0))) + ((VERI_TABANI!D25*B122*(VERI_TABANI!$B$13-VERI_TABANI!$B$14)) + (VERI_TABANI!D25*C122*(VERI_TABANI!$B$13-VERI_TABANI!$B$15)) + IF(ISNUMBER(SEARCH("Var", D122)), VERI_TABANI!F25*(0.00202-VERI_TABANI!$B$16), IF(ISNUMBER(SEARCH("Gri", D122)), VERI_TABANI!F25*(0.00202-VERI_TABANI!$B$17), 0))) + ((VERI_TABANI!D26*B122*(VERI_TABANI!$B$13-VERI_TABANI!$B$14)) + (VERI_TABANI!D26*C122*(VERI_TABANI!$B$13-VERI_TABANI!$B$15)) + IF(ISNUMBER(SEARCH("Var", D122)), VERI_TABANI!F26*(0.00202-VERI_TABANI!$B$16), IF(ISNUMBER(SEARCH("Gri", D122)), VERI_TABANI!F26*(0.00202-VERI_TABANI!$B$17), 0))) + ((VERI_TABANI!D27*B122*(VERI_TABANI!$B$13-VERI_TABANI!$B$14)) + (VERI_TABANI!D27*C122*(VERI_TABANI!$B$13-VERI_TABANI!$B$15)) + IF(ISNUMBER(SEARCH("Var", D122)), VERI_TABANI!F27*(0.00202-VERI_TABANI!$B$16), IF(ISNUMBER(SEARCH("Gri", D122)), VERI_TABANI!F27*(0.00202-VERI_TABANI!$B$17), 0))) + ((VERI_TABANI!D28*B122*(VERI_TABANI!$B$13-VERI_TABANI!$B$14)) + (VERI_TABANI!D28*C122*(VERI_TABANI!$B$13-VERI_TABANI!$B$15)) + IF(ISNUMBER(SEARCH("Var", D122)), VERI_TABANI!F28*(0.00202-VERI_TABANI!$B$16), IF(ISNUMBER(SEARCH("Gri", D122)), VERI_TABANI!F28*(0.00202-VERI_TABANI!$B$17), 0))))</f>
        <v/>
      </c>
      <c r="I122" s="170">
        <f>IFERROR(((VERI_TABANI!$D$29*B122*VERI_TABANI!$B$14 + VERI_TABANI!$D$29*C122*VERI_TABANI!$B$15 + IF(ISNUMBER(SEARCH("Var", D122)), VERI_TABANI!$F$29*VERI_TABANI!$B$16, 0))) / (((VERI_TABANI!$D$29*B122 + VERI_TABANI!$D$29*C122)*VERI_TABANI!$B$13 + IF(ISNUMBER(SEARCH("Var", D122)), VERI_TABANI!$E$29*(1-0.928)*VERI_TABANI!$B$18, 0))), 0)</f>
        <v/>
      </c>
      <c r="J122" s="171">
        <f>IFERROR(F122/(G122/29), 0)</f>
        <v/>
      </c>
      <c r="K122" s="172">
        <f>IF(F122&gt;0, H122/F122, 0)</f>
        <v/>
      </c>
      <c r="L122" s="170">
        <f>IF(F122&gt;0, I122, 1000000000)</f>
        <v/>
      </c>
      <c r="M122" s="171">
        <f>ABS((B122+C122)-1)</f>
        <v/>
      </c>
      <c r="N122" s="170">
        <f>IF(F122&gt;0, (G122/29)/F122, 0)</f>
        <v/>
      </c>
      <c r="O122" s="168">
        <f>IF(AND((B122+C122)&gt;=1, ISNUMBER(SEARCH("Var", D122))), F122, 1000000000)</f>
        <v/>
      </c>
      <c r="P122" s="172">
        <f>IF(F122&gt;0, SQRT((F122/MAX(F$5:F$886))^2 + (1 - H122/MAX(H$5:H$886))^2 + (J122/MAX(J$5:J$886))^2), 1000000000)</f>
        <v/>
      </c>
      <c r="Q122" s="166">
        <f>IF(AND(ABS(B122-0.5)&lt;0.01, ABS(C122-0.5)&lt;0.01, ISNUMBER(SEARCH("Var", D122))), 1, 0)</f>
        <v/>
      </c>
      <c r="R122" s="171">
        <f>IF(F122&gt;0, J122, 1000000000)</f>
        <v/>
      </c>
      <c r="S122" s="101">
        <f>IF(AND(F122&lt;=DASHBOARD!$B$11, H122&gt;=DASHBOARD!$B$13), G122, -1000000000000)</f>
        <v/>
      </c>
      <c r="T122" s="101">
        <f>IF(AND(F122&lt;=DASHBOARD!$B$11, H122&gt;=DASHBOARD!$B$13), R122, 1000000000000)</f>
        <v/>
      </c>
      <c r="U122" s="101">
        <f>IF(AND(F122&lt;=DASHBOARD!$B$11, H122&gt;=DASHBOARD!$B$13), N122, -1000000000000)</f>
        <v/>
      </c>
      <c r="V122" s="101">
        <f>IF(AND(F122&lt;=DASHBOARD!$B$11, H122&gt;=DASHBOARD!$B$13), H122, -1000000000000)</f>
        <v/>
      </c>
      <c r="W122" s="101">
        <f>IF(AND(F122&lt;=DASHBOARD!$B$11, H122&gt;=DASHBOARD!$B$13), K122, -1000000000000)</f>
        <v/>
      </c>
      <c r="X122" s="101">
        <f>IF(AND(F122&lt;=DASHBOARD!$B$11, H122&gt;=DASHBOARD!$B$13), M122, 1000000000000)</f>
        <v/>
      </c>
      <c r="Y122" s="101">
        <f>IF(AND(F122&lt;=DASHBOARD!$B$10, H122&gt;=DASHBOARD!$B$11), L122, 1000000000000)</f>
        <v/>
      </c>
      <c r="Z122" s="101">
        <f>IF(AND(F122&lt;=DASHBOARD!$B$10, H122&gt;=DASHBOARD!$B$11), O122, 1000000000000)</f>
        <v/>
      </c>
      <c r="AA122" s="101">
        <f>IF(AND(F122&lt;=DASHBOARD!$B$10, H122&gt;=DASHBOARD!$B$11), P122, 1000000000000)</f>
        <v/>
      </c>
      <c r="AB122" s="101">
        <f>IF(AND(F122&lt;=DASHBOARD!$B$10, H122&gt;=DASHBOARD!$B$11), Q122, -1000000000000)</f>
        <v/>
      </c>
    </row>
    <row r="123" ht="12.75" customHeight="1" s="102">
      <c r="A123" s="166" t="n">
        <v>119</v>
      </c>
      <c r="B123" s="167" t="n">
        <v>0.2</v>
      </c>
      <c r="C123" s="167" t="n">
        <v>1.7</v>
      </c>
      <c r="D123" s="110" t="inlineStr">
        <is>
          <t>Yok (%0)</t>
        </is>
      </c>
      <c r="E123" s="110">
        <f>IF((B123+C123)&lt;=1, "Tam Mahsuplaşma (≤%100)", "Kısmi Satış (&gt;%100)")</f>
        <v/>
      </c>
      <c r="F123" s="168">
        <f>((VERI_TABANI!$D$29*B123/VERI_TABANI!$B$29)/VERI_TABANI!$B$3)*VERI_TABANI!$B$5 + ((VERI_TABANI!$D$29*C123/VERI_TABANI!$B$29)/VERI_TABANI!$B$4)*VERI_TABANI!$B$6 + IF(ISNUMBER(SEARCH("Var", D123)), (VERI_TABANI!$F$29/VERI_TABANI!$B$29)*(VERI_TABANI!$B$10+VERI_TABANI!$B$12), 0)</f>
        <v/>
      </c>
      <c r="G123" s="168">
        <f>(((MIN(VERI_TABANI!D23, VERI_TABANI!D23*B123)*VERI_TABANI!$B$7 + MAX(0, VERI_TABANI!D23*B123-VERI_TABANI!D23)*VERI_TABANI!$B$8) + (MIN(MAX(0, VERI_TABANI!D23-VERI_TABANI!D23*B123), VERI_TABANI!D23*C123)*VERI_TABANI!$B$7 + MAX(0, VERI_TABANI!D23*C123-MAX(0, VERI_TABANI!D23-VERI_TABANI!D23*B123))*VERI_TABANI!$B$8) + IF(ABS(IF(ISNUMBER(SEARCH("Var", D123)), 1, IF(ISNUMBER(SEARCH("Gri", D123)), -1, 0)))=1, VERI_TABANI!E23*(1-0.928)*VERI_TABANI!$B$9, 0) + (VERI_TABANI!D23*B123*(VERI_TABANI!$B$13-VERI_TABANI!$B$14)*VERI_TABANI!G23) + (VERI_TABANI!D23*C123*(VERI_TABANI!$B$13-VERI_TABANI!$B$15)*VERI_TABANI!G23) + IF(ABS(IF(ISNUMBER(SEARCH("Var", D123)), 1, IF(ISNUMBER(SEARCH("Gri", D123)), -1, 0)))=1, VERI_TABANI!E23*(1-0.928)*0.00206091519919798*VERI_TABANI!G23, 0)) + ((MIN(VERI_TABANI!D24, VERI_TABANI!D24*B123)*VERI_TABANI!$B$7 + MAX(0, VERI_TABANI!D24*B123-VERI_TABANI!D24)*VERI_TABANI!$B$8) + (MIN(MAX(0, VERI_TABANI!D24-VERI_TABANI!D24*B123), VERI_TABANI!D24*C123)*VERI_TABANI!$B$7 + MAX(0, VERI_TABANI!D24*C123-MAX(0, VERI_TABANI!D24-VERI_TABANI!D24*B123))*VERI_TABANI!$B$8) + IF(ABS(IF(ISNUMBER(SEARCH("Var", D123)), 1, IF(ISNUMBER(SEARCH("Gri", D123)), -1, 0)))=1, VERI_TABANI!E24*(1-0.928)*VERI_TABANI!$B$9, 0) + (VERI_TABANI!D24*B123*(VERI_TABANI!$B$13-VERI_TABANI!$B$14)*VERI_TABANI!G24) + (VERI_TABANI!D24*C123*(VERI_TABANI!$B$13-VERI_TABANI!$B$15)*VERI_TABANI!G24) + IF(ABS(IF(ISNUMBER(SEARCH("Var", D123)), 1, IF(ISNUMBER(SEARCH("Gri", D123)), -1, 0)))=1, VERI_TABANI!E24*(1-0.928)*0.00206091519919798*VERI_TABANI!G24, 0)) + ((MIN(VERI_TABANI!D25, VERI_TABANI!D25*B123)*VERI_TABANI!$B$7 + MAX(0, VERI_TABANI!D25*B123-VERI_TABANI!D25)*VERI_TABANI!$B$8) + (MIN(MAX(0, VERI_TABANI!D25-VERI_TABANI!D25*B123), VERI_TABANI!D25*C123)*VERI_TABANI!$B$7 + MAX(0, VERI_TABANI!D25*C123-MAX(0, VERI_TABANI!D25-VERI_TABANI!D25*B123))*VERI_TABANI!$B$8) + IF(ABS(IF(ISNUMBER(SEARCH("Var", D123)), 1, IF(ISNUMBER(SEARCH("Gri", D123)), -1, 0)))=1, VERI_TABANI!E25*(1-0.928)*VERI_TABANI!$B$9, 0) + (VERI_TABANI!D25*B123*(VERI_TABANI!$B$13-VERI_TABANI!$B$14)*VERI_TABANI!G25) + (VERI_TABANI!D25*C123*(VERI_TABANI!$B$13-VERI_TABANI!$B$15)*VERI_TABANI!G25) + IF(ABS(IF(ISNUMBER(SEARCH("Var", D123)), 1, IF(ISNUMBER(SEARCH("Gri", D123)), -1, 0)))=1, VERI_TABANI!E25*(1-0.928)*0.00206091519919798*VERI_TABANI!G25, 0)) + ((MIN(VERI_TABANI!D26, VERI_TABANI!D26*B123)*VERI_TABANI!$B$7 + MAX(0, VERI_TABANI!D26*B123-VERI_TABANI!D26)*VERI_TABANI!$B$8) + (MIN(MAX(0, VERI_TABANI!D26-VERI_TABANI!D26*B123), VERI_TABANI!D26*C123)*VERI_TABANI!$B$7 + MAX(0, VERI_TABANI!D26*C123-MAX(0, VERI_TABANI!D26-VERI_TABANI!D26*B123))*VERI_TABANI!$B$8) + IF(ABS(IF(ISNUMBER(SEARCH("Var", D123)), 1, IF(ISNUMBER(SEARCH("Gri", D123)), -1, 0)))=1, VERI_TABANI!E26*(1-0.928)*VERI_TABANI!$B$9, 0) + (VERI_TABANI!D26*B123*(VERI_TABANI!$B$13-VERI_TABANI!$B$14)*VERI_TABANI!G26) + (VERI_TABANI!D26*C123*(VERI_TABANI!$B$13-VERI_TABANI!$B$15)*VERI_TABANI!G26) + IF(ABS(IF(ISNUMBER(SEARCH("Var", D123)), 1, IF(ISNUMBER(SEARCH("Gri", D123)), -1, 0)))=1, VERI_TABANI!E26*(1-0.928)*0.00206091519919798*VERI_TABANI!G26, 0)) + ((MIN(VERI_TABANI!D27, VERI_TABANI!D27*B123)*VERI_TABANI!$B$7 + MAX(0, VERI_TABANI!D27*B123-VERI_TABANI!D27)*VERI_TABANI!$B$8) + (MIN(MAX(0, VERI_TABANI!D27-VERI_TABANI!D27*B123), VERI_TABANI!D27*C123)*VERI_TABANI!$B$7 + MAX(0, VERI_TABANI!D27*C123-MAX(0, VERI_TABANI!D27-VERI_TABANI!D27*B123))*VERI_TABANI!$B$8) + IF(ABS(IF(ISNUMBER(SEARCH("Var", D123)), 1, IF(ISNUMBER(SEARCH("Gri", D123)), -1, 0)))=1, VERI_TABANI!E27*(1-0.928)*VERI_TABANI!$B$9, 0) + (VERI_TABANI!D27*B123*(VERI_TABANI!$B$13-VERI_TABANI!$B$14)*VERI_TABANI!G27) + (VERI_TABANI!D27*C123*(VERI_TABANI!$B$13-VERI_TABANI!$B$15)*VERI_TABANI!G27) + IF(ABS(IF(ISNUMBER(SEARCH("Var", D123)), 1, IF(ISNUMBER(SEARCH("Gri", D123)), -1, 0)))=1, VERI_TABANI!E27*(1-0.928)*0.00206091519919798*VERI_TABANI!G27, 0)) + ((MIN(VERI_TABANI!D28, VERI_TABANI!D28*B123)*VERI_TABANI!$B$7 + MAX(0, VERI_TABANI!D28*B123-VERI_TABANI!D28)*VERI_TABANI!$B$8) + (MIN(MAX(0, VERI_TABANI!D28-VERI_TABANI!D28*B123), VERI_TABANI!D28*C123)*VERI_TABANI!$B$7 + MAX(0, VERI_TABANI!D28*C123-MAX(0, VERI_TABANI!D28-VERI_TABANI!D28*B123))*VERI_TABANI!$B$8) + IF(ABS(IF(ISNUMBER(SEARCH("Var", D123)), 1, IF(ISNUMBER(SEARCH("Gri", D123)), -1, 0)))=1, VERI_TABANI!E28*(1-0.928)*VERI_TABANI!$B$9, 0) + (VERI_TABANI!D28*B123*(VERI_TABANI!$B$13-VERI_TABANI!$B$14)*VERI_TABANI!G28) + (VERI_TABANI!D28*C123*(VERI_TABANI!$B$13-VERI_TABANI!$B$15)*VERI_TABANI!G28) + IF(ABS(IF(ISNUMBER(SEARCH("Var", D123)), 1, IF(ISNUMBER(SEARCH("Gri", D123)), -1, 0)))=1, VERI_TABANI!E28*(1-0.928)*0.00206091519919798*VERI_TABANI!G28, 0)))</f>
        <v/>
      </c>
      <c r="H123" s="169">
        <f>(((VERI_TABANI!D23*B123*(VERI_TABANI!$B$13-VERI_TABANI!$B$14)) + (VERI_TABANI!D23*C123*(VERI_TABANI!$B$13-VERI_TABANI!$B$15)) + IF(ISNUMBER(SEARCH("Var", D123)), VERI_TABANI!F23*(0.00202-VERI_TABANI!$B$16), IF(ISNUMBER(SEARCH("Gri", D123)), VERI_TABANI!F23*(0.00202-VERI_TABANI!$B$17), 0))) + ((VERI_TABANI!D24*B123*(VERI_TABANI!$B$13-VERI_TABANI!$B$14)) + (VERI_TABANI!D24*C123*(VERI_TABANI!$B$13-VERI_TABANI!$B$15)) + IF(ISNUMBER(SEARCH("Var", D123)), VERI_TABANI!F24*(0.00202-VERI_TABANI!$B$16), IF(ISNUMBER(SEARCH("Gri", D123)), VERI_TABANI!F24*(0.00202-VERI_TABANI!$B$17), 0))) + ((VERI_TABANI!D25*B123*(VERI_TABANI!$B$13-VERI_TABANI!$B$14)) + (VERI_TABANI!D25*C123*(VERI_TABANI!$B$13-VERI_TABANI!$B$15)) + IF(ISNUMBER(SEARCH("Var", D123)), VERI_TABANI!F25*(0.00202-VERI_TABANI!$B$16), IF(ISNUMBER(SEARCH("Gri", D123)), VERI_TABANI!F25*(0.00202-VERI_TABANI!$B$17), 0))) + ((VERI_TABANI!D26*B123*(VERI_TABANI!$B$13-VERI_TABANI!$B$14)) + (VERI_TABANI!D26*C123*(VERI_TABANI!$B$13-VERI_TABANI!$B$15)) + IF(ISNUMBER(SEARCH("Var", D123)), VERI_TABANI!F26*(0.00202-VERI_TABANI!$B$16), IF(ISNUMBER(SEARCH("Gri", D123)), VERI_TABANI!F26*(0.00202-VERI_TABANI!$B$17), 0))) + ((VERI_TABANI!D27*B123*(VERI_TABANI!$B$13-VERI_TABANI!$B$14)) + (VERI_TABANI!D27*C123*(VERI_TABANI!$B$13-VERI_TABANI!$B$15)) + IF(ISNUMBER(SEARCH("Var", D123)), VERI_TABANI!F27*(0.00202-VERI_TABANI!$B$16), IF(ISNUMBER(SEARCH("Gri", D123)), VERI_TABANI!F27*(0.00202-VERI_TABANI!$B$17), 0))) + ((VERI_TABANI!D28*B123*(VERI_TABANI!$B$13-VERI_TABANI!$B$14)) + (VERI_TABANI!D28*C123*(VERI_TABANI!$B$13-VERI_TABANI!$B$15)) + IF(ISNUMBER(SEARCH("Var", D123)), VERI_TABANI!F28*(0.00202-VERI_TABANI!$B$16), IF(ISNUMBER(SEARCH("Gri", D123)), VERI_TABANI!F28*(0.00202-VERI_TABANI!$B$17), 0))))</f>
        <v/>
      </c>
      <c r="I123" s="170">
        <f>IFERROR(((VERI_TABANI!$D$29*B123*VERI_TABANI!$B$14 + VERI_TABANI!$D$29*C123*VERI_TABANI!$B$15 + IF(ISNUMBER(SEARCH("Var", D123)), VERI_TABANI!$F$29*VERI_TABANI!$B$16, 0))) / (((VERI_TABANI!$D$29*B123 + VERI_TABANI!$D$29*C123)*VERI_TABANI!$B$13 + IF(ISNUMBER(SEARCH("Var", D123)), VERI_TABANI!$E$29*(1-0.928)*VERI_TABANI!$B$18, 0))), 0)</f>
        <v/>
      </c>
      <c r="J123" s="171">
        <f>IFERROR(F123/(G123/29), 0)</f>
        <v/>
      </c>
      <c r="K123" s="172">
        <f>IF(F123&gt;0, H123/F123, 0)</f>
        <v/>
      </c>
      <c r="L123" s="170">
        <f>IF(F123&gt;0, I123, 1000000000)</f>
        <v/>
      </c>
      <c r="M123" s="171">
        <f>ABS((B123+C123)-1)</f>
        <v/>
      </c>
      <c r="N123" s="170">
        <f>IF(F123&gt;0, (G123/29)/F123, 0)</f>
        <v/>
      </c>
      <c r="O123" s="168">
        <f>IF(AND((B123+C123)&gt;=1, ISNUMBER(SEARCH("Var", D123))), F123, 1000000000)</f>
        <v/>
      </c>
      <c r="P123" s="172">
        <f>IF(F123&gt;0, SQRT((F123/MAX(F$5:F$886))^2 + (1 - H123/MAX(H$5:H$886))^2 + (J123/MAX(J$5:J$886))^2), 1000000000)</f>
        <v/>
      </c>
      <c r="Q123" s="166">
        <f>IF(AND(ABS(B123-0.5)&lt;0.01, ABS(C123-0.5)&lt;0.01, ISNUMBER(SEARCH("Var", D123))), 1, 0)</f>
        <v/>
      </c>
      <c r="R123" s="171">
        <f>IF(F123&gt;0, J123, 1000000000)</f>
        <v/>
      </c>
      <c r="S123" s="101">
        <f>IF(AND(F123&lt;=DASHBOARD!$B$11, H123&gt;=DASHBOARD!$B$13), G123, -1000000000000)</f>
        <v/>
      </c>
      <c r="T123" s="101">
        <f>IF(AND(F123&lt;=DASHBOARD!$B$11, H123&gt;=DASHBOARD!$B$13), R123, 1000000000000)</f>
        <v/>
      </c>
      <c r="U123" s="101">
        <f>IF(AND(F123&lt;=DASHBOARD!$B$11, H123&gt;=DASHBOARD!$B$13), N123, -1000000000000)</f>
        <v/>
      </c>
      <c r="V123" s="101">
        <f>IF(AND(F123&lt;=DASHBOARD!$B$11, H123&gt;=DASHBOARD!$B$13), H123, -1000000000000)</f>
        <v/>
      </c>
      <c r="W123" s="101">
        <f>IF(AND(F123&lt;=DASHBOARD!$B$11, H123&gt;=DASHBOARD!$B$13), K123, -1000000000000)</f>
        <v/>
      </c>
      <c r="X123" s="101">
        <f>IF(AND(F123&lt;=DASHBOARD!$B$11, H123&gt;=DASHBOARD!$B$13), M123, 1000000000000)</f>
        <v/>
      </c>
      <c r="Y123" s="101">
        <f>IF(AND(F123&lt;=DASHBOARD!$B$10, H123&gt;=DASHBOARD!$B$11), L123, 1000000000000)</f>
        <v/>
      </c>
      <c r="Z123" s="101">
        <f>IF(AND(F123&lt;=DASHBOARD!$B$10, H123&gt;=DASHBOARD!$B$11), O123, 1000000000000)</f>
        <v/>
      </c>
      <c r="AA123" s="101">
        <f>IF(AND(F123&lt;=DASHBOARD!$B$10, H123&gt;=DASHBOARD!$B$11), P123, 1000000000000)</f>
        <v/>
      </c>
      <c r="AB123" s="101">
        <f>IF(AND(F123&lt;=DASHBOARD!$B$10, H123&gt;=DASHBOARD!$B$11), Q123, -1000000000000)</f>
        <v/>
      </c>
    </row>
    <row r="124" ht="12.75" customHeight="1" s="102">
      <c r="A124" s="166" t="n">
        <v>120</v>
      </c>
      <c r="B124" s="167" t="n">
        <v>0.2</v>
      </c>
      <c r="C124" s="167" t="n">
        <v>1.7</v>
      </c>
      <c r="D124" s="110" t="inlineStr">
        <is>
          <t>Var (%20)</t>
        </is>
      </c>
      <c r="E124" s="110">
        <f>IF((B124+C124)&lt;=1, "Tam Mahsuplaşma (≤%100)", "Kısmi Satış (&gt;%100)")</f>
        <v/>
      </c>
      <c r="F124" s="168">
        <f>((VERI_TABANI!$D$29*B124/VERI_TABANI!$B$29)/VERI_TABANI!$B$3)*VERI_TABANI!$B$5 + ((VERI_TABANI!$D$29*C124/VERI_TABANI!$B$29)/VERI_TABANI!$B$4)*VERI_TABANI!$B$6 + IF(ISNUMBER(SEARCH("Var", D124)), (VERI_TABANI!$F$29/VERI_TABANI!$B$29)*(VERI_TABANI!$B$10+VERI_TABANI!$B$12), 0)</f>
        <v/>
      </c>
      <c r="G124" s="168">
        <f>(((MIN(VERI_TABANI!D23, VERI_TABANI!D23*B124)*VERI_TABANI!$B$7 + MAX(0, VERI_TABANI!D23*B124-VERI_TABANI!D23)*VERI_TABANI!$B$8) + (MIN(MAX(0, VERI_TABANI!D23-VERI_TABANI!D23*B124), VERI_TABANI!D23*C124)*VERI_TABANI!$B$7 + MAX(0, VERI_TABANI!D23*C124-MAX(0, VERI_TABANI!D23-VERI_TABANI!D23*B124))*VERI_TABANI!$B$8) + IF(ABS(IF(ISNUMBER(SEARCH("Var", D124)), 1, IF(ISNUMBER(SEARCH("Gri", D124)), -1, 0)))=1, VERI_TABANI!E23*(1-0.928)*VERI_TABANI!$B$9, 0) + (VERI_TABANI!D23*B124*(VERI_TABANI!$B$13-VERI_TABANI!$B$14)*VERI_TABANI!G23) + (VERI_TABANI!D23*C124*(VERI_TABANI!$B$13-VERI_TABANI!$B$15)*VERI_TABANI!G23) + IF(ABS(IF(ISNUMBER(SEARCH("Var", D124)), 1, IF(ISNUMBER(SEARCH("Gri", D124)), -1, 0)))=1, VERI_TABANI!E23*(1-0.928)*0.00206091519919798*VERI_TABANI!G23, 0)) + ((MIN(VERI_TABANI!D24, VERI_TABANI!D24*B124)*VERI_TABANI!$B$7 + MAX(0, VERI_TABANI!D24*B124-VERI_TABANI!D24)*VERI_TABANI!$B$8) + (MIN(MAX(0, VERI_TABANI!D24-VERI_TABANI!D24*B124), VERI_TABANI!D24*C124)*VERI_TABANI!$B$7 + MAX(0, VERI_TABANI!D24*C124-MAX(0, VERI_TABANI!D24-VERI_TABANI!D24*B124))*VERI_TABANI!$B$8) + IF(ABS(IF(ISNUMBER(SEARCH("Var", D124)), 1, IF(ISNUMBER(SEARCH("Gri", D124)), -1, 0)))=1, VERI_TABANI!E24*(1-0.928)*VERI_TABANI!$B$9, 0) + (VERI_TABANI!D24*B124*(VERI_TABANI!$B$13-VERI_TABANI!$B$14)*VERI_TABANI!G24) + (VERI_TABANI!D24*C124*(VERI_TABANI!$B$13-VERI_TABANI!$B$15)*VERI_TABANI!G24) + IF(ABS(IF(ISNUMBER(SEARCH("Var", D124)), 1, IF(ISNUMBER(SEARCH("Gri", D124)), -1, 0)))=1, VERI_TABANI!E24*(1-0.928)*0.00206091519919798*VERI_TABANI!G24, 0)) + ((MIN(VERI_TABANI!D25, VERI_TABANI!D25*B124)*VERI_TABANI!$B$7 + MAX(0, VERI_TABANI!D25*B124-VERI_TABANI!D25)*VERI_TABANI!$B$8) + (MIN(MAX(0, VERI_TABANI!D25-VERI_TABANI!D25*B124), VERI_TABANI!D25*C124)*VERI_TABANI!$B$7 + MAX(0, VERI_TABANI!D25*C124-MAX(0, VERI_TABANI!D25-VERI_TABANI!D25*B124))*VERI_TABANI!$B$8) + IF(ABS(IF(ISNUMBER(SEARCH("Var", D124)), 1, IF(ISNUMBER(SEARCH("Gri", D124)), -1, 0)))=1, VERI_TABANI!E25*(1-0.928)*VERI_TABANI!$B$9, 0) + (VERI_TABANI!D25*B124*(VERI_TABANI!$B$13-VERI_TABANI!$B$14)*VERI_TABANI!G25) + (VERI_TABANI!D25*C124*(VERI_TABANI!$B$13-VERI_TABANI!$B$15)*VERI_TABANI!G25) + IF(ABS(IF(ISNUMBER(SEARCH("Var", D124)), 1, IF(ISNUMBER(SEARCH("Gri", D124)), -1, 0)))=1, VERI_TABANI!E25*(1-0.928)*0.00206091519919798*VERI_TABANI!G25, 0)) + ((MIN(VERI_TABANI!D26, VERI_TABANI!D26*B124)*VERI_TABANI!$B$7 + MAX(0, VERI_TABANI!D26*B124-VERI_TABANI!D26)*VERI_TABANI!$B$8) + (MIN(MAX(0, VERI_TABANI!D26-VERI_TABANI!D26*B124), VERI_TABANI!D26*C124)*VERI_TABANI!$B$7 + MAX(0, VERI_TABANI!D26*C124-MAX(0, VERI_TABANI!D26-VERI_TABANI!D26*B124))*VERI_TABANI!$B$8) + IF(ABS(IF(ISNUMBER(SEARCH("Var", D124)), 1, IF(ISNUMBER(SEARCH("Gri", D124)), -1, 0)))=1, VERI_TABANI!E26*(1-0.928)*VERI_TABANI!$B$9, 0) + (VERI_TABANI!D26*B124*(VERI_TABANI!$B$13-VERI_TABANI!$B$14)*VERI_TABANI!G26) + (VERI_TABANI!D26*C124*(VERI_TABANI!$B$13-VERI_TABANI!$B$15)*VERI_TABANI!G26) + IF(ABS(IF(ISNUMBER(SEARCH("Var", D124)), 1, IF(ISNUMBER(SEARCH("Gri", D124)), -1, 0)))=1, VERI_TABANI!E26*(1-0.928)*0.00206091519919798*VERI_TABANI!G26, 0)) + ((MIN(VERI_TABANI!D27, VERI_TABANI!D27*B124)*VERI_TABANI!$B$7 + MAX(0, VERI_TABANI!D27*B124-VERI_TABANI!D27)*VERI_TABANI!$B$8) + (MIN(MAX(0, VERI_TABANI!D27-VERI_TABANI!D27*B124), VERI_TABANI!D27*C124)*VERI_TABANI!$B$7 + MAX(0, VERI_TABANI!D27*C124-MAX(0, VERI_TABANI!D27-VERI_TABANI!D27*B124))*VERI_TABANI!$B$8) + IF(ABS(IF(ISNUMBER(SEARCH("Var", D124)), 1, IF(ISNUMBER(SEARCH("Gri", D124)), -1, 0)))=1, VERI_TABANI!E27*(1-0.928)*VERI_TABANI!$B$9, 0) + (VERI_TABANI!D27*B124*(VERI_TABANI!$B$13-VERI_TABANI!$B$14)*VERI_TABANI!G27) + (VERI_TABANI!D27*C124*(VERI_TABANI!$B$13-VERI_TABANI!$B$15)*VERI_TABANI!G27) + IF(ABS(IF(ISNUMBER(SEARCH("Var", D124)), 1, IF(ISNUMBER(SEARCH("Gri", D124)), -1, 0)))=1, VERI_TABANI!E27*(1-0.928)*0.00206091519919798*VERI_TABANI!G27, 0)) + ((MIN(VERI_TABANI!D28, VERI_TABANI!D28*B124)*VERI_TABANI!$B$7 + MAX(0, VERI_TABANI!D28*B124-VERI_TABANI!D28)*VERI_TABANI!$B$8) + (MIN(MAX(0, VERI_TABANI!D28-VERI_TABANI!D28*B124), VERI_TABANI!D28*C124)*VERI_TABANI!$B$7 + MAX(0, VERI_TABANI!D28*C124-MAX(0, VERI_TABANI!D28-VERI_TABANI!D28*B124))*VERI_TABANI!$B$8) + IF(ABS(IF(ISNUMBER(SEARCH("Var", D124)), 1, IF(ISNUMBER(SEARCH("Gri", D124)), -1, 0)))=1, VERI_TABANI!E28*(1-0.928)*VERI_TABANI!$B$9, 0) + (VERI_TABANI!D28*B124*(VERI_TABANI!$B$13-VERI_TABANI!$B$14)*VERI_TABANI!G28) + (VERI_TABANI!D28*C124*(VERI_TABANI!$B$13-VERI_TABANI!$B$15)*VERI_TABANI!G28) + IF(ABS(IF(ISNUMBER(SEARCH("Var", D124)), 1, IF(ISNUMBER(SEARCH("Gri", D124)), -1, 0)))=1, VERI_TABANI!E28*(1-0.928)*0.00206091519919798*VERI_TABANI!G28, 0)))</f>
        <v/>
      </c>
      <c r="H124" s="169">
        <f>(((VERI_TABANI!D23*B124*(VERI_TABANI!$B$13-VERI_TABANI!$B$14)) + (VERI_TABANI!D23*C124*(VERI_TABANI!$B$13-VERI_TABANI!$B$15)) + IF(ISNUMBER(SEARCH("Var", D124)), VERI_TABANI!F23*(0.00202-VERI_TABANI!$B$16), IF(ISNUMBER(SEARCH("Gri", D124)), VERI_TABANI!F23*(0.00202-VERI_TABANI!$B$17), 0))) + ((VERI_TABANI!D24*B124*(VERI_TABANI!$B$13-VERI_TABANI!$B$14)) + (VERI_TABANI!D24*C124*(VERI_TABANI!$B$13-VERI_TABANI!$B$15)) + IF(ISNUMBER(SEARCH("Var", D124)), VERI_TABANI!F24*(0.00202-VERI_TABANI!$B$16), IF(ISNUMBER(SEARCH("Gri", D124)), VERI_TABANI!F24*(0.00202-VERI_TABANI!$B$17), 0))) + ((VERI_TABANI!D25*B124*(VERI_TABANI!$B$13-VERI_TABANI!$B$14)) + (VERI_TABANI!D25*C124*(VERI_TABANI!$B$13-VERI_TABANI!$B$15)) + IF(ISNUMBER(SEARCH("Var", D124)), VERI_TABANI!F25*(0.00202-VERI_TABANI!$B$16), IF(ISNUMBER(SEARCH("Gri", D124)), VERI_TABANI!F25*(0.00202-VERI_TABANI!$B$17), 0))) + ((VERI_TABANI!D26*B124*(VERI_TABANI!$B$13-VERI_TABANI!$B$14)) + (VERI_TABANI!D26*C124*(VERI_TABANI!$B$13-VERI_TABANI!$B$15)) + IF(ISNUMBER(SEARCH("Var", D124)), VERI_TABANI!F26*(0.00202-VERI_TABANI!$B$16), IF(ISNUMBER(SEARCH("Gri", D124)), VERI_TABANI!F26*(0.00202-VERI_TABANI!$B$17), 0))) + ((VERI_TABANI!D27*B124*(VERI_TABANI!$B$13-VERI_TABANI!$B$14)) + (VERI_TABANI!D27*C124*(VERI_TABANI!$B$13-VERI_TABANI!$B$15)) + IF(ISNUMBER(SEARCH("Var", D124)), VERI_TABANI!F27*(0.00202-VERI_TABANI!$B$16), IF(ISNUMBER(SEARCH("Gri", D124)), VERI_TABANI!F27*(0.00202-VERI_TABANI!$B$17), 0))) + ((VERI_TABANI!D28*B124*(VERI_TABANI!$B$13-VERI_TABANI!$B$14)) + (VERI_TABANI!D28*C124*(VERI_TABANI!$B$13-VERI_TABANI!$B$15)) + IF(ISNUMBER(SEARCH("Var", D124)), VERI_TABANI!F28*(0.00202-VERI_TABANI!$B$16), IF(ISNUMBER(SEARCH("Gri", D124)), VERI_TABANI!F28*(0.00202-VERI_TABANI!$B$17), 0))))</f>
        <v/>
      </c>
      <c r="I124" s="170">
        <f>IFERROR(((VERI_TABANI!$D$29*B124*VERI_TABANI!$B$14 + VERI_TABANI!$D$29*C124*VERI_TABANI!$B$15 + IF(ISNUMBER(SEARCH("Var", D124)), VERI_TABANI!$F$29*VERI_TABANI!$B$16, 0))) / (((VERI_TABANI!$D$29*B124 + VERI_TABANI!$D$29*C124)*VERI_TABANI!$B$13 + IF(ISNUMBER(SEARCH("Var", D124)), VERI_TABANI!$E$29*(1-0.928)*VERI_TABANI!$B$18, 0))), 0)</f>
        <v/>
      </c>
      <c r="J124" s="171">
        <f>IFERROR(F124/(G124/29), 0)</f>
        <v/>
      </c>
      <c r="K124" s="172">
        <f>IF(F124&gt;0, H124/F124, 0)</f>
        <v/>
      </c>
      <c r="L124" s="170">
        <f>IF(F124&gt;0, I124, 1000000000)</f>
        <v/>
      </c>
      <c r="M124" s="171">
        <f>ABS((B124+C124)-1)</f>
        <v/>
      </c>
      <c r="N124" s="170">
        <f>IF(F124&gt;0, (G124/29)/F124, 0)</f>
        <v/>
      </c>
      <c r="O124" s="168">
        <f>IF(AND((B124+C124)&gt;=1, ISNUMBER(SEARCH("Var", D124))), F124, 1000000000)</f>
        <v/>
      </c>
      <c r="P124" s="172">
        <f>IF(F124&gt;0, SQRT((F124/MAX(F$5:F$886))^2 + (1 - H124/MAX(H$5:H$886))^2 + (J124/MAX(J$5:J$886))^2), 1000000000)</f>
        <v/>
      </c>
      <c r="Q124" s="166">
        <f>IF(AND(ABS(B124-0.5)&lt;0.01, ABS(C124-0.5)&lt;0.01, ISNUMBER(SEARCH("Var", D124))), 1, 0)</f>
        <v/>
      </c>
      <c r="R124" s="171">
        <f>IF(F124&gt;0, J124, 1000000000)</f>
        <v/>
      </c>
      <c r="S124" s="101">
        <f>IF(AND(F124&lt;=DASHBOARD!$B$11, H124&gt;=DASHBOARD!$B$13), G124, -1000000000000)</f>
        <v/>
      </c>
      <c r="T124" s="101">
        <f>IF(AND(F124&lt;=DASHBOARD!$B$11, H124&gt;=DASHBOARD!$B$13), R124, 1000000000000)</f>
        <v/>
      </c>
      <c r="U124" s="101">
        <f>IF(AND(F124&lt;=DASHBOARD!$B$11, H124&gt;=DASHBOARD!$B$13), N124, -1000000000000)</f>
        <v/>
      </c>
      <c r="V124" s="101">
        <f>IF(AND(F124&lt;=DASHBOARD!$B$11, H124&gt;=DASHBOARD!$B$13), H124, -1000000000000)</f>
        <v/>
      </c>
      <c r="W124" s="101">
        <f>IF(AND(F124&lt;=DASHBOARD!$B$11, H124&gt;=DASHBOARD!$B$13), K124, -1000000000000)</f>
        <v/>
      </c>
      <c r="X124" s="101">
        <f>IF(AND(F124&lt;=DASHBOARD!$B$11, H124&gt;=DASHBOARD!$B$13), M124, 1000000000000)</f>
        <v/>
      </c>
      <c r="Y124" s="101">
        <f>IF(AND(F124&lt;=DASHBOARD!$B$10, H124&gt;=DASHBOARD!$B$11), L124, 1000000000000)</f>
        <v/>
      </c>
      <c r="Z124" s="101">
        <f>IF(AND(F124&lt;=DASHBOARD!$B$10, H124&gt;=DASHBOARD!$B$11), O124, 1000000000000)</f>
        <v/>
      </c>
      <c r="AA124" s="101">
        <f>IF(AND(F124&lt;=DASHBOARD!$B$10, H124&gt;=DASHBOARD!$B$11), P124, 1000000000000)</f>
        <v/>
      </c>
      <c r="AB124" s="101">
        <f>IF(AND(F124&lt;=DASHBOARD!$B$10, H124&gt;=DASHBOARD!$B$11), Q124, -1000000000000)</f>
        <v/>
      </c>
    </row>
    <row r="125" ht="12.75" customHeight="1" s="102">
      <c r="A125" s="166" t="n">
        <v>121</v>
      </c>
      <c r="B125" s="167" t="n">
        <v>0.2</v>
      </c>
      <c r="C125" s="167" t="n">
        <v>1.8</v>
      </c>
      <c r="D125" s="110" t="inlineStr">
        <is>
          <t>Yok (%0)</t>
        </is>
      </c>
      <c r="E125" s="110">
        <f>IF((B125+C125)&lt;=1, "Tam Mahsuplaşma (≤%100)", "Kısmi Satış (&gt;%100)")</f>
        <v/>
      </c>
      <c r="F125" s="168">
        <f>((VERI_TABANI!$D$29*B125/VERI_TABANI!$B$29)/VERI_TABANI!$B$3)*VERI_TABANI!$B$5 + ((VERI_TABANI!$D$29*C125/VERI_TABANI!$B$29)/VERI_TABANI!$B$4)*VERI_TABANI!$B$6 + IF(ISNUMBER(SEARCH("Var", D125)), (VERI_TABANI!$F$29/VERI_TABANI!$B$29)*(VERI_TABANI!$B$10+VERI_TABANI!$B$12), 0)</f>
        <v/>
      </c>
      <c r="G125" s="168">
        <f>(((MIN(VERI_TABANI!D23, VERI_TABANI!D23*B125)*VERI_TABANI!$B$7 + MAX(0, VERI_TABANI!D23*B125-VERI_TABANI!D23)*VERI_TABANI!$B$8) + (MIN(MAX(0, VERI_TABANI!D23-VERI_TABANI!D23*B125), VERI_TABANI!D23*C125)*VERI_TABANI!$B$7 + MAX(0, VERI_TABANI!D23*C125-MAX(0, VERI_TABANI!D23-VERI_TABANI!D23*B125))*VERI_TABANI!$B$8) + IF(ABS(IF(ISNUMBER(SEARCH("Var", D125)), 1, IF(ISNUMBER(SEARCH("Gri", D125)), -1, 0)))=1, VERI_TABANI!E23*(1-0.928)*VERI_TABANI!$B$9, 0) + (VERI_TABANI!D23*B125*(VERI_TABANI!$B$13-VERI_TABANI!$B$14)*VERI_TABANI!G23) + (VERI_TABANI!D23*C125*(VERI_TABANI!$B$13-VERI_TABANI!$B$15)*VERI_TABANI!G23) + IF(ABS(IF(ISNUMBER(SEARCH("Var", D125)), 1, IF(ISNUMBER(SEARCH("Gri", D125)), -1, 0)))=1, VERI_TABANI!E23*(1-0.928)*0.00206091519919798*VERI_TABANI!G23, 0)) + ((MIN(VERI_TABANI!D24, VERI_TABANI!D24*B125)*VERI_TABANI!$B$7 + MAX(0, VERI_TABANI!D24*B125-VERI_TABANI!D24)*VERI_TABANI!$B$8) + (MIN(MAX(0, VERI_TABANI!D24-VERI_TABANI!D24*B125), VERI_TABANI!D24*C125)*VERI_TABANI!$B$7 + MAX(0, VERI_TABANI!D24*C125-MAX(0, VERI_TABANI!D24-VERI_TABANI!D24*B125))*VERI_TABANI!$B$8) + IF(ABS(IF(ISNUMBER(SEARCH("Var", D125)), 1, IF(ISNUMBER(SEARCH("Gri", D125)), -1, 0)))=1, VERI_TABANI!E24*(1-0.928)*VERI_TABANI!$B$9, 0) + (VERI_TABANI!D24*B125*(VERI_TABANI!$B$13-VERI_TABANI!$B$14)*VERI_TABANI!G24) + (VERI_TABANI!D24*C125*(VERI_TABANI!$B$13-VERI_TABANI!$B$15)*VERI_TABANI!G24) + IF(ABS(IF(ISNUMBER(SEARCH("Var", D125)), 1, IF(ISNUMBER(SEARCH("Gri", D125)), -1, 0)))=1, VERI_TABANI!E24*(1-0.928)*0.00206091519919798*VERI_TABANI!G24, 0)) + ((MIN(VERI_TABANI!D25, VERI_TABANI!D25*B125)*VERI_TABANI!$B$7 + MAX(0, VERI_TABANI!D25*B125-VERI_TABANI!D25)*VERI_TABANI!$B$8) + (MIN(MAX(0, VERI_TABANI!D25-VERI_TABANI!D25*B125), VERI_TABANI!D25*C125)*VERI_TABANI!$B$7 + MAX(0, VERI_TABANI!D25*C125-MAX(0, VERI_TABANI!D25-VERI_TABANI!D25*B125))*VERI_TABANI!$B$8) + IF(ABS(IF(ISNUMBER(SEARCH("Var", D125)), 1, IF(ISNUMBER(SEARCH("Gri", D125)), -1, 0)))=1, VERI_TABANI!E25*(1-0.928)*VERI_TABANI!$B$9, 0) + (VERI_TABANI!D25*B125*(VERI_TABANI!$B$13-VERI_TABANI!$B$14)*VERI_TABANI!G25) + (VERI_TABANI!D25*C125*(VERI_TABANI!$B$13-VERI_TABANI!$B$15)*VERI_TABANI!G25) + IF(ABS(IF(ISNUMBER(SEARCH("Var", D125)), 1, IF(ISNUMBER(SEARCH("Gri", D125)), -1, 0)))=1, VERI_TABANI!E25*(1-0.928)*0.00206091519919798*VERI_TABANI!G25, 0)) + ((MIN(VERI_TABANI!D26, VERI_TABANI!D26*B125)*VERI_TABANI!$B$7 + MAX(0, VERI_TABANI!D26*B125-VERI_TABANI!D26)*VERI_TABANI!$B$8) + (MIN(MAX(0, VERI_TABANI!D26-VERI_TABANI!D26*B125), VERI_TABANI!D26*C125)*VERI_TABANI!$B$7 + MAX(0, VERI_TABANI!D26*C125-MAX(0, VERI_TABANI!D26-VERI_TABANI!D26*B125))*VERI_TABANI!$B$8) + IF(ABS(IF(ISNUMBER(SEARCH("Var", D125)), 1, IF(ISNUMBER(SEARCH("Gri", D125)), -1, 0)))=1, VERI_TABANI!E26*(1-0.928)*VERI_TABANI!$B$9, 0) + (VERI_TABANI!D26*B125*(VERI_TABANI!$B$13-VERI_TABANI!$B$14)*VERI_TABANI!G26) + (VERI_TABANI!D26*C125*(VERI_TABANI!$B$13-VERI_TABANI!$B$15)*VERI_TABANI!G26) + IF(ABS(IF(ISNUMBER(SEARCH("Var", D125)), 1, IF(ISNUMBER(SEARCH("Gri", D125)), -1, 0)))=1, VERI_TABANI!E26*(1-0.928)*0.00206091519919798*VERI_TABANI!G26, 0)) + ((MIN(VERI_TABANI!D27, VERI_TABANI!D27*B125)*VERI_TABANI!$B$7 + MAX(0, VERI_TABANI!D27*B125-VERI_TABANI!D27)*VERI_TABANI!$B$8) + (MIN(MAX(0, VERI_TABANI!D27-VERI_TABANI!D27*B125), VERI_TABANI!D27*C125)*VERI_TABANI!$B$7 + MAX(0, VERI_TABANI!D27*C125-MAX(0, VERI_TABANI!D27-VERI_TABANI!D27*B125))*VERI_TABANI!$B$8) + IF(ABS(IF(ISNUMBER(SEARCH("Var", D125)), 1, IF(ISNUMBER(SEARCH("Gri", D125)), -1, 0)))=1, VERI_TABANI!E27*(1-0.928)*VERI_TABANI!$B$9, 0) + (VERI_TABANI!D27*B125*(VERI_TABANI!$B$13-VERI_TABANI!$B$14)*VERI_TABANI!G27) + (VERI_TABANI!D27*C125*(VERI_TABANI!$B$13-VERI_TABANI!$B$15)*VERI_TABANI!G27) + IF(ABS(IF(ISNUMBER(SEARCH("Var", D125)), 1, IF(ISNUMBER(SEARCH("Gri", D125)), -1, 0)))=1, VERI_TABANI!E27*(1-0.928)*0.00206091519919798*VERI_TABANI!G27, 0)) + ((MIN(VERI_TABANI!D28, VERI_TABANI!D28*B125)*VERI_TABANI!$B$7 + MAX(0, VERI_TABANI!D28*B125-VERI_TABANI!D28)*VERI_TABANI!$B$8) + (MIN(MAX(0, VERI_TABANI!D28-VERI_TABANI!D28*B125), VERI_TABANI!D28*C125)*VERI_TABANI!$B$7 + MAX(0, VERI_TABANI!D28*C125-MAX(0, VERI_TABANI!D28-VERI_TABANI!D28*B125))*VERI_TABANI!$B$8) + IF(ABS(IF(ISNUMBER(SEARCH("Var", D125)), 1, IF(ISNUMBER(SEARCH("Gri", D125)), -1, 0)))=1, VERI_TABANI!E28*(1-0.928)*VERI_TABANI!$B$9, 0) + (VERI_TABANI!D28*B125*(VERI_TABANI!$B$13-VERI_TABANI!$B$14)*VERI_TABANI!G28) + (VERI_TABANI!D28*C125*(VERI_TABANI!$B$13-VERI_TABANI!$B$15)*VERI_TABANI!G28) + IF(ABS(IF(ISNUMBER(SEARCH("Var", D125)), 1, IF(ISNUMBER(SEARCH("Gri", D125)), -1, 0)))=1, VERI_TABANI!E28*(1-0.928)*0.00206091519919798*VERI_TABANI!G28, 0)))</f>
        <v/>
      </c>
      <c r="H125" s="169">
        <f>(((VERI_TABANI!D23*B125*(VERI_TABANI!$B$13-VERI_TABANI!$B$14)) + (VERI_TABANI!D23*C125*(VERI_TABANI!$B$13-VERI_TABANI!$B$15)) + IF(ISNUMBER(SEARCH("Var", D125)), VERI_TABANI!F23*(0.00202-VERI_TABANI!$B$16), IF(ISNUMBER(SEARCH("Gri", D125)), VERI_TABANI!F23*(0.00202-VERI_TABANI!$B$17), 0))) + ((VERI_TABANI!D24*B125*(VERI_TABANI!$B$13-VERI_TABANI!$B$14)) + (VERI_TABANI!D24*C125*(VERI_TABANI!$B$13-VERI_TABANI!$B$15)) + IF(ISNUMBER(SEARCH("Var", D125)), VERI_TABANI!F24*(0.00202-VERI_TABANI!$B$16), IF(ISNUMBER(SEARCH("Gri", D125)), VERI_TABANI!F24*(0.00202-VERI_TABANI!$B$17), 0))) + ((VERI_TABANI!D25*B125*(VERI_TABANI!$B$13-VERI_TABANI!$B$14)) + (VERI_TABANI!D25*C125*(VERI_TABANI!$B$13-VERI_TABANI!$B$15)) + IF(ISNUMBER(SEARCH("Var", D125)), VERI_TABANI!F25*(0.00202-VERI_TABANI!$B$16), IF(ISNUMBER(SEARCH("Gri", D125)), VERI_TABANI!F25*(0.00202-VERI_TABANI!$B$17), 0))) + ((VERI_TABANI!D26*B125*(VERI_TABANI!$B$13-VERI_TABANI!$B$14)) + (VERI_TABANI!D26*C125*(VERI_TABANI!$B$13-VERI_TABANI!$B$15)) + IF(ISNUMBER(SEARCH("Var", D125)), VERI_TABANI!F26*(0.00202-VERI_TABANI!$B$16), IF(ISNUMBER(SEARCH("Gri", D125)), VERI_TABANI!F26*(0.00202-VERI_TABANI!$B$17), 0))) + ((VERI_TABANI!D27*B125*(VERI_TABANI!$B$13-VERI_TABANI!$B$14)) + (VERI_TABANI!D27*C125*(VERI_TABANI!$B$13-VERI_TABANI!$B$15)) + IF(ISNUMBER(SEARCH("Var", D125)), VERI_TABANI!F27*(0.00202-VERI_TABANI!$B$16), IF(ISNUMBER(SEARCH("Gri", D125)), VERI_TABANI!F27*(0.00202-VERI_TABANI!$B$17), 0))) + ((VERI_TABANI!D28*B125*(VERI_TABANI!$B$13-VERI_TABANI!$B$14)) + (VERI_TABANI!D28*C125*(VERI_TABANI!$B$13-VERI_TABANI!$B$15)) + IF(ISNUMBER(SEARCH("Var", D125)), VERI_TABANI!F28*(0.00202-VERI_TABANI!$B$16), IF(ISNUMBER(SEARCH("Gri", D125)), VERI_TABANI!F28*(0.00202-VERI_TABANI!$B$17), 0))))</f>
        <v/>
      </c>
      <c r="I125" s="170">
        <f>IFERROR(((VERI_TABANI!$D$29*B125*VERI_TABANI!$B$14 + VERI_TABANI!$D$29*C125*VERI_TABANI!$B$15 + IF(ISNUMBER(SEARCH("Var", D125)), VERI_TABANI!$F$29*VERI_TABANI!$B$16, 0))) / (((VERI_TABANI!$D$29*B125 + VERI_TABANI!$D$29*C125)*VERI_TABANI!$B$13 + IF(ISNUMBER(SEARCH("Var", D125)), VERI_TABANI!$E$29*(1-0.928)*VERI_TABANI!$B$18, 0))), 0)</f>
        <v/>
      </c>
      <c r="J125" s="171">
        <f>IFERROR(F125/(G125/29), 0)</f>
        <v/>
      </c>
      <c r="K125" s="172">
        <f>IF(F125&gt;0, H125/F125, 0)</f>
        <v/>
      </c>
      <c r="L125" s="170">
        <f>IF(F125&gt;0, I125, 1000000000)</f>
        <v/>
      </c>
      <c r="M125" s="171">
        <f>ABS((B125+C125)-1)</f>
        <v/>
      </c>
      <c r="N125" s="170">
        <f>IF(F125&gt;0, (G125/29)/F125, 0)</f>
        <v/>
      </c>
      <c r="O125" s="168">
        <f>IF(AND((B125+C125)&gt;=1, ISNUMBER(SEARCH("Var", D125))), F125, 1000000000)</f>
        <v/>
      </c>
      <c r="P125" s="172">
        <f>IF(F125&gt;0, SQRT((F125/MAX(F$5:F$886))^2 + (1 - H125/MAX(H$5:H$886))^2 + (J125/MAX(J$5:J$886))^2), 1000000000)</f>
        <v/>
      </c>
      <c r="Q125" s="166">
        <f>IF(AND(ABS(B125-0.5)&lt;0.01, ABS(C125-0.5)&lt;0.01, ISNUMBER(SEARCH("Var", D125))), 1, 0)</f>
        <v/>
      </c>
      <c r="R125" s="171">
        <f>IF(F125&gt;0, J125, 1000000000)</f>
        <v/>
      </c>
      <c r="S125" s="101">
        <f>IF(AND(F125&lt;=DASHBOARD!$B$11, H125&gt;=DASHBOARD!$B$13), G125, -1000000000000)</f>
        <v/>
      </c>
      <c r="T125" s="101">
        <f>IF(AND(F125&lt;=DASHBOARD!$B$11, H125&gt;=DASHBOARD!$B$13), R125, 1000000000000)</f>
        <v/>
      </c>
      <c r="U125" s="101">
        <f>IF(AND(F125&lt;=DASHBOARD!$B$11, H125&gt;=DASHBOARD!$B$13), N125, -1000000000000)</f>
        <v/>
      </c>
      <c r="V125" s="101">
        <f>IF(AND(F125&lt;=DASHBOARD!$B$11, H125&gt;=DASHBOARD!$B$13), H125, -1000000000000)</f>
        <v/>
      </c>
      <c r="W125" s="101">
        <f>IF(AND(F125&lt;=DASHBOARD!$B$11, H125&gt;=DASHBOARD!$B$13), K125, -1000000000000)</f>
        <v/>
      </c>
      <c r="X125" s="101">
        <f>IF(AND(F125&lt;=DASHBOARD!$B$11, H125&gt;=DASHBOARD!$B$13), M125, 1000000000000)</f>
        <v/>
      </c>
      <c r="Y125" s="101">
        <f>IF(AND(F125&lt;=DASHBOARD!$B$10, H125&gt;=DASHBOARD!$B$11), L125, 1000000000000)</f>
        <v/>
      </c>
      <c r="Z125" s="101">
        <f>IF(AND(F125&lt;=DASHBOARD!$B$10, H125&gt;=DASHBOARD!$B$11), O125, 1000000000000)</f>
        <v/>
      </c>
      <c r="AA125" s="101">
        <f>IF(AND(F125&lt;=DASHBOARD!$B$10, H125&gt;=DASHBOARD!$B$11), P125, 1000000000000)</f>
        <v/>
      </c>
      <c r="AB125" s="101">
        <f>IF(AND(F125&lt;=DASHBOARD!$B$10, H125&gt;=DASHBOARD!$B$11), Q125, -1000000000000)</f>
        <v/>
      </c>
    </row>
    <row r="126" ht="12.75" customHeight="1" s="102">
      <c r="A126" s="166" t="n">
        <v>122</v>
      </c>
      <c r="B126" s="167" t="n">
        <v>0.2</v>
      </c>
      <c r="C126" s="167" t="n">
        <v>1.8</v>
      </c>
      <c r="D126" s="110" t="inlineStr">
        <is>
          <t>Var (%20)</t>
        </is>
      </c>
      <c r="E126" s="110">
        <f>IF((B126+C126)&lt;=1, "Tam Mahsuplaşma (≤%100)", "Kısmi Satış (&gt;%100)")</f>
        <v/>
      </c>
      <c r="F126" s="168">
        <f>((VERI_TABANI!$D$29*B126/VERI_TABANI!$B$29)/VERI_TABANI!$B$3)*VERI_TABANI!$B$5 + ((VERI_TABANI!$D$29*C126/VERI_TABANI!$B$29)/VERI_TABANI!$B$4)*VERI_TABANI!$B$6 + IF(ISNUMBER(SEARCH("Var", D126)), (VERI_TABANI!$F$29/VERI_TABANI!$B$29)*(VERI_TABANI!$B$10+VERI_TABANI!$B$12), 0)</f>
        <v/>
      </c>
      <c r="G126" s="168">
        <f>(((MIN(VERI_TABANI!D23, VERI_TABANI!D23*B126)*VERI_TABANI!$B$7 + MAX(0, VERI_TABANI!D23*B126-VERI_TABANI!D23)*VERI_TABANI!$B$8) + (MIN(MAX(0, VERI_TABANI!D23-VERI_TABANI!D23*B126), VERI_TABANI!D23*C126)*VERI_TABANI!$B$7 + MAX(0, VERI_TABANI!D23*C126-MAX(0, VERI_TABANI!D23-VERI_TABANI!D23*B126))*VERI_TABANI!$B$8) + IF(ABS(IF(ISNUMBER(SEARCH("Var", D126)), 1, IF(ISNUMBER(SEARCH("Gri", D126)), -1, 0)))=1, VERI_TABANI!E23*(1-0.928)*VERI_TABANI!$B$9, 0) + (VERI_TABANI!D23*B126*(VERI_TABANI!$B$13-VERI_TABANI!$B$14)*VERI_TABANI!G23) + (VERI_TABANI!D23*C126*(VERI_TABANI!$B$13-VERI_TABANI!$B$15)*VERI_TABANI!G23) + IF(ABS(IF(ISNUMBER(SEARCH("Var", D126)), 1, IF(ISNUMBER(SEARCH("Gri", D126)), -1, 0)))=1, VERI_TABANI!E23*(1-0.928)*0.00206091519919798*VERI_TABANI!G23, 0)) + ((MIN(VERI_TABANI!D24, VERI_TABANI!D24*B126)*VERI_TABANI!$B$7 + MAX(0, VERI_TABANI!D24*B126-VERI_TABANI!D24)*VERI_TABANI!$B$8) + (MIN(MAX(0, VERI_TABANI!D24-VERI_TABANI!D24*B126), VERI_TABANI!D24*C126)*VERI_TABANI!$B$7 + MAX(0, VERI_TABANI!D24*C126-MAX(0, VERI_TABANI!D24-VERI_TABANI!D24*B126))*VERI_TABANI!$B$8) + IF(ABS(IF(ISNUMBER(SEARCH("Var", D126)), 1, IF(ISNUMBER(SEARCH("Gri", D126)), -1, 0)))=1, VERI_TABANI!E24*(1-0.928)*VERI_TABANI!$B$9, 0) + (VERI_TABANI!D24*B126*(VERI_TABANI!$B$13-VERI_TABANI!$B$14)*VERI_TABANI!G24) + (VERI_TABANI!D24*C126*(VERI_TABANI!$B$13-VERI_TABANI!$B$15)*VERI_TABANI!G24) + IF(ABS(IF(ISNUMBER(SEARCH("Var", D126)), 1, IF(ISNUMBER(SEARCH("Gri", D126)), -1, 0)))=1, VERI_TABANI!E24*(1-0.928)*0.00206091519919798*VERI_TABANI!G24, 0)) + ((MIN(VERI_TABANI!D25, VERI_TABANI!D25*B126)*VERI_TABANI!$B$7 + MAX(0, VERI_TABANI!D25*B126-VERI_TABANI!D25)*VERI_TABANI!$B$8) + (MIN(MAX(0, VERI_TABANI!D25-VERI_TABANI!D25*B126), VERI_TABANI!D25*C126)*VERI_TABANI!$B$7 + MAX(0, VERI_TABANI!D25*C126-MAX(0, VERI_TABANI!D25-VERI_TABANI!D25*B126))*VERI_TABANI!$B$8) + IF(ABS(IF(ISNUMBER(SEARCH("Var", D126)), 1, IF(ISNUMBER(SEARCH("Gri", D126)), -1, 0)))=1, VERI_TABANI!E25*(1-0.928)*VERI_TABANI!$B$9, 0) + (VERI_TABANI!D25*B126*(VERI_TABANI!$B$13-VERI_TABANI!$B$14)*VERI_TABANI!G25) + (VERI_TABANI!D25*C126*(VERI_TABANI!$B$13-VERI_TABANI!$B$15)*VERI_TABANI!G25) + IF(ABS(IF(ISNUMBER(SEARCH("Var", D126)), 1, IF(ISNUMBER(SEARCH("Gri", D126)), -1, 0)))=1, VERI_TABANI!E25*(1-0.928)*0.00206091519919798*VERI_TABANI!G25, 0)) + ((MIN(VERI_TABANI!D26, VERI_TABANI!D26*B126)*VERI_TABANI!$B$7 + MAX(0, VERI_TABANI!D26*B126-VERI_TABANI!D26)*VERI_TABANI!$B$8) + (MIN(MAX(0, VERI_TABANI!D26-VERI_TABANI!D26*B126), VERI_TABANI!D26*C126)*VERI_TABANI!$B$7 + MAX(0, VERI_TABANI!D26*C126-MAX(0, VERI_TABANI!D26-VERI_TABANI!D26*B126))*VERI_TABANI!$B$8) + IF(ABS(IF(ISNUMBER(SEARCH("Var", D126)), 1, IF(ISNUMBER(SEARCH("Gri", D126)), -1, 0)))=1, VERI_TABANI!E26*(1-0.928)*VERI_TABANI!$B$9, 0) + (VERI_TABANI!D26*B126*(VERI_TABANI!$B$13-VERI_TABANI!$B$14)*VERI_TABANI!G26) + (VERI_TABANI!D26*C126*(VERI_TABANI!$B$13-VERI_TABANI!$B$15)*VERI_TABANI!G26) + IF(ABS(IF(ISNUMBER(SEARCH("Var", D126)), 1, IF(ISNUMBER(SEARCH("Gri", D126)), -1, 0)))=1, VERI_TABANI!E26*(1-0.928)*0.00206091519919798*VERI_TABANI!G26, 0)) + ((MIN(VERI_TABANI!D27, VERI_TABANI!D27*B126)*VERI_TABANI!$B$7 + MAX(0, VERI_TABANI!D27*B126-VERI_TABANI!D27)*VERI_TABANI!$B$8) + (MIN(MAX(0, VERI_TABANI!D27-VERI_TABANI!D27*B126), VERI_TABANI!D27*C126)*VERI_TABANI!$B$7 + MAX(0, VERI_TABANI!D27*C126-MAX(0, VERI_TABANI!D27-VERI_TABANI!D27*B126))*VERI_TABANI!$B$8) + IF(ABS(IF(ISNUMBER(SEARCH("Var", D126)), 1, IF(ISNUMBER(SEARCH("Gri", D126)), -1, 0)))=1, VERI_TABANI!E27*(1-0.928)*VERI_TABANI!$B$9, 0) + (VERI_TABANI!D27*B126*(VERI_TABANI!$B$13-VERI_TABANI!$B$14)*VERI_TABANI!G27) + (VERI_TABANI!D27*C126*(VERI_TABANI!$B$13-VERI_TABANI!$B$15)*VERI_TABANI!G27) + IF(ABS(IF(ISNUMBER(SEARCH("Var", D126)), 1, IF(ISNUMBER(SEARCH("Gri", D126)), -1, 0)))=1, VERI_TABANI!E27*(1-0.928)*0.00206091519919798*VERI_TABANI!G27, 0)) + ((MIN(VERI_TABANI!D28, VERI_TABANI!D28*B126)*VERI_TABANI!$B$7 + MAX(0, VERI_TABANI!D28*B126-VERI_TABANI!D28)*VERI_TABANI!$B$8) + (MIN(MAX(0, VERI_TABANI!D28-VERI_TABANI!D28*B126), VERI_TABANI!D28*C126)*VERI_TABANI!$B$7 + MAX(0, VERI_TABANI!D28*C126-MAX(0, VERI_TABANI!D28-VERI_TABANI!D28*B126))*VERI_TABANI!$B$8) + IF(ABS(IF(ISNUMBER(SEARCH("Var", D126)), 1, IF(ISNUMBER(SEARCH("Gri", D126)), -1, 0)))=1, VERI_TABANI!E28*(1-0.928)*VERI_TABANI!$B$9, 0) + (VERI_TABANI!D28*B126*(VERI_TABANI!$B$13-VERI_TABANI!$B$14)*VERI_TABANI!G28) + (VERI_TABANI!D28*C126*(VERI_TABANI!$B$13-VERI_TABANI!$B$15)*VERI_TABANI!G28) + IF(ABS(IF(ISNUMBER(SEARCH("Var", D126)), 1, IF(ISNUMBER(SEARCH("Gri", D126)), -1, 0)))=1, VERI_TABANI!E28*(1-0.928)*0.00206091519919798*VERI_TABANI!G28, 0)))</f>
        <v/>
      </c>
      <c r="H126" s="169">
        <f>(((VERI_TABANI!D23*B126*(VERI_TABANI!$B$13-VERI_TABANI!$B$14)) + (VERI_TABANI!D23*C126*(VERI_TABANI!$B$13-VERI_TABANI!$B$15)) + IF(ISNUMBER(SEARCH("Var", D126)), VERI_TABANI!F23*(0.00202-VERI_TABANI!$B$16), IF(ISNUMBER(SEARCH("Gri", D126)), VERI_TABANI!F23*(0.00202-VERI_TABANI!$B$17), 0))) + ((VERI_TABANI!D24*B126*(VERI_TABANI!$B$13-VERI_TABANI!$B$14)) + (VERI_TABANI!D24*C126*(VERI_TABANI!$B$13-VERI_TABANI!$B$15)) + IF(ISNUMBER(SEARCH("Var", D126)), VERI_TABANI!F24*(0.00202-VERI_TABANI!$B$16), IF(ISNUMBER(SEARCH("Gri", D126)), VERI_TABANI!F24*(0.00202-VERI_TABANI!$B$17), 0))) + ((VERI_TABANI!D25*B126*(VERI_TABANI!$B$13-VERI_TABANI!$B$14)) + (VERI_TABANI!D25*C126*(VERI_TABANI!$B$13-VERI_TABANI!$B$15)) + IF(ISNUMBER(SEARCH("Var", D126)), VERI_TABANI!F25*(0.00202-VERI_TABANI!$B$16), IF(ISNUMBER(SEARCH("Gri", D126)), VERI_TABANI!F25*(0.00202-VERI_TABANI!$B$17), 0))) + ((VERI_TABANI!D26*B126*(VERI_TABANI!$B$13-VERI_TABANI!$B$14)) + (VERI_TABANI!D26*C126*(VERI_TABANI!$B$13-VERI_TABANI!$B$15)) + IF(ISNUMBER(SEARCH("Var", D126)), VERI_TABANI!F26*(0.00202-VERI_TABANI!$B$16), IF(ISNUMBER(SEARCH("Gri", D126)), VERI_TABANI!F26*(0.00202-VERI_TABANI!$B$17), 0))) + ((VERI_TABANI!D27*B126*(VERI_TABANI!$B$13-VERI_TABANI!$B$14)) + (VERI_TABANI!D27*C126*(VERI_TABANI!$B$13-VERI_TABANI!$B$15)) + IF(ISNUMBER(SEARCH("Var", D126)), VERI_TABANI!F27*(0.00202-VERI_TABANI!$B$16), IF(ISNUMBER(SEARCH("Gri", D126)), VERI_TABANI!F27*(0.00202-VERI_TABANI!$B$17), 0))) + ((VERI_TABANI!D28*B126*(VERI_TABANI!$B$13-VERI_TABANI!$B$14)) + (VERI_TABANI!D28*C126*(VERI_TABANI!$B$13-VERI_TABANI!$B$15)) + IF(ISNUMBER(SEARCH("Var", D126)), VERI_TABANI!F28*(0.00202-VERI_TABANI!$B$16), IF(ISNUMBER(SEARCH("Gri", D126)), VERI_TABANI!F28*(0.00202-VERI_TABANI!$B$17), 0))))</f>
        <v/>
      </c>
      <c r="I126" s="170">
        <f>IFERROR(((VERI_TABANI!$D$29*B126*VERI_TABANI!$B$14 + VERI_TABANI!$D$29*C126*VERI_TABANI!$B$15 + IF(ISNUMBER(SEARCH("Var", D126)), VERI_TABANI!$F$29*VERI_TABANI!$B$16, 0))) / (((VERI_TABANI!$D$29*B126 + VERI_TABANI!$D$29*C126)*VERI_TABANI!$B$13 + IF(ISNUMBER(SEARCH("Var", D126)), VERI_TABANI!$E$29*(1-0.928)*VERI_TABANI!$B$18, 0))), 0)</f>
        <v/>
      </c>
      <c r="J126" s="171">
        <f>IFERROR(F126/(G126/29), 0)</f>
        <v/>
      </c>
      <c r="K126" s="172">
        <f>IF(F126&gt;0, H126/F126, 0)</f>
        <v/>
      </c>
      <c r="L126" s="170">
        <f>IF(F126&gt;0, I126, 1000000000)</f>
        <v/>
      </c>
      <c r="M126" s="171">
        <f>ABS((B126+C126)-1)</f>
        <v/>
      </c>
      <c r="N126" s="170">
        <f>IF(F126&gt;0, (G126/29)/F126, 0)</f>
        <v/>
      </c>
      <c r="O126" s="168">
        <f>IF(AND((B126+C126)&gt;=1, ISNUMBER(SEARCH("Var", D126))), F126, 1000000000)</f>
        <v/>
      </c>
      <c r="P126" s="172">
        <f>IF(F126&gt;0, SQRT((F126/MAX(F$5:F$886))^2 + (1 - H126/MAX(H$5:H$886))^2 + (J126/MAX(J$5:J$886))^2), 1000000000)</f>
        <v/>
      </c>
      <c r="Q126" s="166">
        <f>IF(AND(ABS(B126-0.5)&lt;0.01, ABS(C126-0.5)&lt;0.01, ISNUMBER(SEARCH("Var", D126))), 1, 0)</f>
        <v/>
      </c>
      <c r="R126" s="171">
        <f>IF(F126&gt;0, J126, 1000000000)</f>
        <v/>
      </c>
      <c r="S126" s="101">
        <f>IF(AND(F126&lt;=DASHBOARD!$B$11, H126&gt;=DASHBOARD!$B$13), G126, -1000000000000)</f>
        <v/>
      </c>
      <c r="T126" s="101">
        <f>IF(AND(F126&lt;=DASHBOARD!$B$11, H126&gt;=DASHBOARD!$B$13), R126, 1000000000000)</f>
        <v/>
      </c>
      <c r="U126" s="101">
        <f>IF(AND(F126&lt;=DASHBOARD!$B$11, H126&gt;=DASHBOARD!$B$13), N126, -1000000000000)</f>
        <v/>
      </c>
      <c r="V126" s="101">
        <f>IF(AND(F126&lt;=DASHBOARD!$B$11, H126&gt;=DASHBOARD!$B$13), H126, -1000000000000)</f>
        <v/>
      </c>
      <c r="W126" s="101">
        <f>IF(AND(F126&lt;=DASHBOARD!$B$11, H126&gt;=DASHBOARD!$B$13), K126, -1000000000000)</f>
        <v/>
      </c>
      <c r="X126" s="101">
        <f>IF(AND(F126&lt;=DASHBOARD!$B$11, H126&gt;=DASHBOARD!$B$13), M126, 1000000000000)</f>
        <v/>
      </c>
      <c r="Y126" s="101">
        <f>IF(AND(F126&lt;=DASHBOARD!$B$10, H126&gt;=DASHBOARD!$B$11), L126, 1000000000000)</f>
        <v/>
      </c>
      <c r="Z126" s="101">
        <f>IF(AND(F126&lt;=DASHBOARD!$B$10, H126&gt;=DASHBOARD!$B$11), O126, 1000000000000)</f>
        <v/>
      </c>
      <c r="AA126" s="101">
        <f>IF(AND(F126&lt;=DASHBOARD!$B$10, H126&gt;=DASHBOARD!$B$11), P126, 1000000000000)</f>
        <v/>
      </c>
      <c r="AB126" s="101">
        <f>IF(AND(F126&lt;=DASHBOARD!$B$10, H126&gt;=DASHBOARD!$B$11), Q126, -1000000000000)</f>
        <v/>
      </c>
    </row>
    <row r="127" ht="12.75" customHeight="1" s="102">
      <c r="A127" s="166" t="n">
        <v>123</v>
      </c>
      <c r="B127" s="167" t="n">
        <v>0.2</v>
      </c>
      <c r="C127" s="167" t="n">
        <v>1.9</v>
      </c>
      <c r="D127" s="110" t="inlineStr">
        <is>
          <t>Yok (%0)</t>
        </is>
      </c>
      <c r="E127" s="110">
        <f>IF((B127+C127)&lt;=1, "Tam Mahsuplaşma (≤%100)", "Kısmi Satış (&gt;%100)")</f>
        <v/>
      </c>
      <c r="F127" s="168">
        <f>((VERI_TABANI!$D$29*B127/VERI_TABANI!$B$29)/VERI_TABANI!$B$3)*VERI_TABANI!$B$5 + ((VERI_TABANI!$D$29*C127/VERI_TABANI!$B$29)/VERI_TABANI!$B$4)*VERI_TABANI!$B$6 + IF(ISNUMBER(SEARCH("Var", D127)), (VERI_TABANI!$F$29/VERI_TABANI!$B$29)*(VERI_TABANI!$B$10+VERI_TABANI!$B$12), 0)</f>
        <v/>
      </c>
      <c r="G127" s="168">
        <f>(((MIN(VERI_TABANI!D23, VERI_TABANI!D23*B127)*VERI_TABANI!$B$7 + MAX(0, VERI_TABANI!D23*B127-VERI_TABANI!D23)*VERI_TABANI!$B$8) + (MIN(MAX(0, VERI_TABANI!D23-VERI_TABANI!D23*B127), VERI_TABANI!D23*C127)*VERI_TABANI!$B$7 + MAX(0, VERI_TABANI!D23*C127-MAX(0, VERI_TABANI!D23-VERI_TABANI!D23*B127))*VERI_TABANI!$B$8) + IF(ABS(IF(ISNUMBER(SEARCH("Var", D127)), 1, IF(ISNUMBER(SEARCH("Gri", D127)), -1, 0)))=1, VERI_TABANI!E23*(1-0.928)*VERI_TABANI!$B$9, 0) + (VERI_TABANI!D23*B127*(VERI_TABANI!$B$13-VERI_TABANI!$B$14)*VERI_TABANI!G23) + (VERI_TABANI!D23*C127*(VERI_TABANI!$B$13-VERI_TABANI!$B$15)*VERI_TABANI!G23) + IF(ABS(IF(ISNUMBER(SEARCH("Var", D127)), 1, IF(ISNUMBER(SEARCH("Gri", D127)), -1, 0)))=1, VERI_TABANI!E23*(1-0.928)*0.00206091519919798*VERI_TABANI!G23, 0)) + ((MIN(VERI_TABANI!D24, VERI_TABANI!D24*B127)*VERI_TABANI!$B$7 + MAX(0, VERI_TABANI!D24*B127-VERI_TABANI!D24)*VERI_TABANI!$B$8) + (MIN(MAX(0, VERI_TABANI!D24-VERI_TABANI!D24*B127), VERI_TABANI!D24*C127)*VERI_TABANI!$B$7 + MAX(0, VERI_TABANI!D24*C127-MAX(0, VERI_TABANI!D24-VERI_TABANI!D24*B127))*VERI_TABANI!$B$8) + IF(ABS(IF(ISNUMBER(SEARCH("Var", D127)), 1, IF(ISNUMBER(SEARCH("Gri", D127)), -1, 0)))=1, VERI_TABANI!E24*(1-0.928)*VERI_TABANI!$B$9, 0) + (VERI_TABANI!D24*B127*(VERI_TABANI!$B$13-VERI_TABANI!$B$14)*VERI_TABANI!G24) + (VERI_TABANI!D24*C127*(VERI_TABANI!$B$13-VERI_TABANI!$B$15)*VERI_TABANI!G24) + IF(ABS(IF(ISNUMBER(SEARCH("Var", D127)), 1, IF(ISNUMBER(SEARCH("Gri", D127)), -1, 0)))=1, VERI_TABANI!E24*(1-0.928)*0.00206091519919798*VERI_TABANI!G24, 0)) + ((MIN(VERI_TABANI!D25, VERI_TABANI!D25*B127)*VERI_TABANI!$B$7 + MAX(0, VERI_TABANI!D25*B127-VERI_TABANI!D25)*VERI_TABANI!$B$8) + (MIN(MAX(0, VERI_TABANI!D25-VERI_TABANI!D25*B127), VERI_TABANI!D25*C127)*VERI_TABANI!$B$7 + MAX(0, VERI_TABANI!D25*C127-MAX(0, VERI_TABANI!D25-VERI_TABANI!D25*B127))*VERI_TABANI!$B$8) + IF(ABS(IF(ISNUMBER(SEARCH("Var", D127)), 1, IF(ISNUMBER(SEARCH("Gri", D127)), -1, 0)))=1, VERI_TABANI!E25*(1-0.928)*VERI_TABANI!$B$9, 0) + (VERI_TABANI!D25*B127*(VERI_TABANI!$B$13-VERI_TABANI!$B$14)*VERI_TABANI!G25) + (VERI_TABANI!D25*C127*(VERI_TABANI!$B$13-VERI_TABANI!$B$15)*VERI_TABANI!G25) + IF(ABS(IF(ISNUMBER(SEARCH("Var", D127)), 1, IF(ISNUMBER(SEARCH("Gri", D127)), -1, 0)))=1, VERI_TABANI!E25*(1-0.928)*0.00206091519919798*VERI_TABANI!G25, 0)) + ((MIN(VERI_TABANI!D26, VERI_TABANI!D26*B127)*VERI_TABANI!$B$7 + MAX(0, VERI_TABANI!D26*B127-VERI_TABANI!D26)*VERI_TABANI!$B$8) + (MIN(MAX(0, VERI_TABANI!D26-VERI_TABANI!D26*B127), VERI_TABANI!D26*C127)*VERI_TABANI!$B$7 + MAX(0, VERI_TABANI!D26*C127-MAX(0, VERI_TABANI!D26-VERI_TABANI!D26*B127))*VERI_TABANI!$B$8) + IF(ABS(IF(ISNUMBER(SEARCH("Var", D127)), 1, IF(ISNUMBER(SEARCH("Gri", D127)), -1, 0)))=1, VERI_TABANI!E26*(1-0.928)*VERI_TABANI!$B$9, 0) + (VERI_TABANI!D26*B127*(VERI_TABANI!$B$13-VERI_TABANI!$B$14)*VERI_TABANI!G26) + (VERI_TABANI!D26*C127*(VERI_TABANI!$B$13-VERI_TABANI!$B$15)*VERI_TABANI!G26) + IF(ABS(IF(ISNUMBER(SEARCH("Var", D127)), 1, IF(ISNUMBER(SEARCH("Gri", D127)), -1, 0)))=1, VERI_TABANI!E26*(1-0.928)*0.00206091519919798*VERI_TABANI!G26, 0)) + ((MIN(VERI_TABANI!D27, VERI_TABANI!D27*B127)*VERI_TABANI!$B$7 + MAX(0, VERI_TABANI!D27*B127-VERI_TABANI!D27)*VERI_TABANI!$B$8) + (MIN(MAX(0, VERI_TABANI!D27-VERI_TABANI!D27*B127), VERI_TABANI!D27*C127)*VERI_TABANI!$B$7 + MAX(0, VERI_TABANI!D27*C127-MAX(0, VERI_TABANI!D27-VERI_TABANI!D27*B127))*VERI_TABANI!$B$8) + IF(ABS(IF(ISNUMBER(SEARCH("Var", D127)), 1, IF(ISNUMBER(SEARCH("Gri", D127)), -1, 0)))=1, VERI_TABANI!E27*(1-0.928)*VERI_TABANI!$B$9, 0) + (VERI_TABANI!D27*B127*(VERI_TABANI!$B$13-VERI_TABANI!$B$14)*VERI_TABANI!G27) + (VERI_TABANI!D27*C127*(VERI_TABANI!$B$13-VERI_TABANI!$B$15)*VERI_TABANI!G27) + IF(ABS(IF(ISNUMBER(SEARCH("Var", D127)), 1, IF(ISNUMBER(SEARCH("Gri", D127)), -1, 0)))=1, VERI_TABANI!E27*(1-0.928)*0.00206091519919798*VERI_TABANI!G27, 0)) + ((MIN(VERI_TABANI!D28, VERI_TABANI!D28*B127)*VERI_TABANI!$B$7 + MAX(0, VERI_TABANI!D28*B127-VERI_TABANI!D28)*VERI_TABANI!$B$8) + (MIN(MAX(0, VERI_TABANI!D28-VERI_TABANI!D28*B127), VERI_TABANI!D28*C127)*VERI_TABANI!$B$7 + MAX(0, VERI_TABANI!D28*C127-MAX(0, VERI_TABANI!D28-VERI_TABANI!D28*B127))*VERI_TABANI!$B$8) + IF(ABS(IF(ISNUMBER(SEARCH("Var", D127)), 1, IF(ISNUMBER(SEARCH("Gri", D127)), -1, 0)))=1, VERI_TABANI!E28*(1-0.928)*VERI_TABANI!$B$9, 0) + (VERI_TABANI!D28*B127*(VERI_TABANI!$B$13-VERI_TABANI!$B$14)*VERI_TABANI!G28) + (VERI_TABANI!D28*C127*(VERI_TABANI!$B$13-VERI_TABANI!$B$15)*VERI_TABANI!G28) + IF(ABS(IF(ISNUMBER(SEARCH("Var", D127)), 1, IF(ISNUMBER(SEARCH("Gri", D127)), -1, 0)))=1, VERI_TABANI!E28*(1-0.928)*0.00206091519919798*VERI_TABANI!G28, 0)))</f>
        <v/>
      </c>
      <c r="H127" s="169">
        <f>(((VERI_TABANI!D23*B127*(VERI_TABANI!$B$13-VERI_TABANI!$B$14)) + (VERI_TABANI!D23*C127*(VERI_TABANI!$B$13-VERI_TABANI!$B$15)) + IF(ISNUMBER(SEARCH("Var", D127)), VERI_TABANI!F23*(0.00202-VERI_TABANI!$B$16), IF(ISNUMBER(SEARCH("Gri", D127)), VERI_TABANI!F23*(0.00202-VERI_TABANI!$B$17), 0))) + ((VERI_TABANI!D24*B127*(VERI_TABANI!$B$13-VERI_TABANI!$B$14)) + (VERI_TABANI!D24*C127*(VERI_TABANI!$B$13-VERI_TABANI!$B$15)) + IF(ISNUMBER(SEARCH("Var", D127)), VERI_TABANI!F24*(0.00202-VERI_TABANI!$B$16), IF(ISNUMBER(SEARCH("Gri", D127)), VERI_TABANI!F24*(0.00202-VERI_TABANI!$B$17), 0))) + ((VERI_TABANI!D25*B127*(VERI_TABANI!$B$13-VERI_TABANI!$B$14)) + (VERI_TABANI!D25*C127*(VERI_TABANI!$B$13-VERI_TABANI!$B$15)) + IF(ISNUMBER(SEARCH("Var", D127)), VERI_TABANI!F25*(0.00202-VERI_TABANI!$B$16), IF(ISNUMBER(SEARCH("Gri", D127)), VERI_TABANI!F25*(0.00202-VERI_TABANI!$B$17), 0))) + ((VERI_TABANI!D26*B127*(VERI_TABANI!$B$13-VERI_TABANI!$B$14)) + (VERI_TABANI!D26*C127*(VERI_TABANI!$B$13-VERI_TABANI!$B$15)) + IF(ISNUMBER(SEARCH("Var", D127)), VERI_TABANI!F26*(0.00202-VERI_TABANI!$B$16), IF(ISNUMBER(SEARCH("Gri", D127)), VERI_TABANI!F26*(0.00202-VERI_TABANI!$B$17), 0))) + ((VERI_TABANI!D27*B127*(VERI_TABANI!$B$13-VERI_TABANI!$B$14)) + (VERI_TABANI!D27*C127*(VERI_TABANI!$B$13-VERI_TABANI!$B$15)) + IF(ISNUMBER(SEARCH("Var", D127)), VERI_TABANI!F27*(0.00202-VERI_TABANI!$B$16), IF(ISNUMBER(SEARCH("Gri", D127)), VERI_TABANI!F27*(0.00202-VERI_TABANI!$B$17), 0))) + ((VERI_TABANI!D28*B127*(VERI_TABANI!$B$13-VERI_TABANI!$B$14)) + (VERI_TABANI!D28*C127*(VERI_TABANI!$B$13-VERI_TABANI!$B$15)) + IF(ISNUMBER(SEARCH("Var", D127)), VERI_TABANI!F28*(0.00202-VERI_TABANI!$B$16), IF(ISNUMBER(SEARCH("Gri", D127)), VERI_TABANI!F28*(0.00202-VERI_TABANI!$B$17), 0))))</f>
        <v/>
      </c>
      <c r="I127" s="170">
        <f>IFERROR(((VERI_TABANI!$D$29*B127*VERI_TABANI!$B$14 + VERI_TABANI!$D$29*C127*VERI_TABANI!$B$15 + IF(ISNUMBER(SEARCH("Var", D127)), VERI_TABANI!$F$29*VERI_TABANI!$B$16, 0))) / (((VERI_TABANI!$D$29*B127 + VERI_TABANI!$D$29*C127)*VERI_TABANI!$B$13 + IF(ISNUMBER(SEARCH("Var", D127)), VERI_TABANI!$E$29*(1-0.928)*VERI_TABANI!$B$18, 0))), 0)</f>
        <v/>
      </c>
      <c r="J127" s="171">
        <f>IFERROR(F127/(G127/29), 0)</f>
        <v/>
      </c>
      <c r="K127" s="172">
        <f>IF(F127&gt;0, H127/F127, 0)</f>
        <v/>
      </c>
      <c r="L127" s="170">
        <f>IF(F127&gt;0, I127, 1000000000)</f>
        <v/>
      </c>
      <c r="M127" s="171">
        <f>ABS((B127+C127)-1)</f>
        <v/>
      </c>
      <c r="N127" s="170">
        <f>IF(F127&gt;0, (G127/29)/F127, 0)</f>
        <v/>
      </c>
      <c r="O127" s="168">
        <f>IF(AND((B127+C127)&gt;=1, ISNUMBER(SEARCH("Var", D127))), F127, 1000000000)</f>
        <v/>
      </c>
      <c r="P127" s="172">
        <f>IF(F127&gt;0, SQRT((F127/MAX(F$5:F$886))^2 + (1 - H127/MAX(H$5:H$886))^2 + (J127/MAX(J$5:J$886))^2), 1000000000)</f>
        <v/>
      </c>
      <c r="Q127" s="166">
        <f>IF(AND(ABS(B127-0.5)&lt;0.01, ABS(C127-0.5)&lt;0.01, ISNUMBER(SEARCH("Var", D127))), 1, 0)</f>
        <v/>
      </c>
      <c r="R127" s="171">
        <f>IF(F127&gt;0, J127, 1000000000)</f>
        <v/>
      </c>
      <c r="S127" s="101">
        <f>IF(AND(F127&lt;=DASHBOARD!$B$11, H127&gt;=DASHBOARD!$B$13), G127, -1000000000000)</f>
        <v/>
      </c>
      <c r="T127" s="101">
        <f>IF(AND(F127&lt;=DASHBOARD!$B$11, H127&gt;=DASHBOARD!$B$13), R127, 1000000000000)</f>
        <v/>
      </c>
      <c r="U127" s="101">
        <f>IF(AND(F127&lt;=DASHBOARD!$B$11, H127&gt;=DASHBOARD!$B$13), N127, -1000000000000)</f>
        <v/>
      </c>
      <c r="V127" s="101">
        <f>IF(AND(F127&lt;=DASHBOARD!$B$11, H127&gt;=DASHBOARD!$B$13), H127, -1000000000000)</f>
        <v/>
      </c>
      <c r="W127" s="101">
        <f>IF(AND(F127&lt;=DASHBOARD!$B$11, H127&gt;=DASHBOARD!$B$13), K127, -1000000000000)</f>
        <v/>
      </c>
      <c r="X127" s="101">
        <f>IF(AND(F127&lt;=DASHBOARD!$B$11, H127&gt;=DASHBOARD!$B$13), M127, 1000000000000)</f>
        <v/>
      </c>
      <c r="Y127" s="101">
        <f>IF(AND(F127&lt;=DASHBOARD!$B$10, H127&gt;=DASHBOARD!$B$11), L127, 1000000000000)</f>
        <v/>
      </c>
      <c r="Z127" s="101">
        <f>IF(AND(F127&lt;=DASHBOARD!$B$10, H127&gt;=DASHBOARD!$B$11), O127, 1000000000000)</f>
        <v/>
      </c>
      <c r="AA127" s="101">
        <f>IF(AND(F127&lt;=DASHBOARD!$B$10, H127&gt;=DASHBOARD!$B$11), P127, 1000000000000)</f>
        <v/>
      </c>
      <c r="AB127" s="101">
        <f>IF(AND(F127&lt;=DASHBOARD!$B$10, H127&gt;=DASHBOARD!$B$11), Q127, -1000000000000)</f>
        <v/>
      </c>
    </row>
    <row r="128" ht="12.75" customHeight="1" s="102">
      <c r="A128" s="166" t="n">
        <v>124</v>
      </c>
      <c r="B128" s="167" t="n">
        <v>0.2</v>
      </c>
      <c r="C128" s="167" t="n">
        <v>1.9</v>
      </c>
      <c r="D128" s="110" t="inlineStr">
        <is>
          <t>Var (%20)</t>
        </is>
      </c>
      <c r="E128" s="110">
        <f>IF((B128+C128)&lt;=1, "Tam Mahsuplaşma (≤%100)", "Kısmi Satış (&gt;%100)")</f>
        <v/>
      </c>
      <c r="F128" s="168">
        <f>((VERI_TABANI!$D$29*B128/VERI_TABANI!$B$29)/VERI_TABANI!$B$3)*VERI_TABANI!$B$5 + ((VERI_TABANI!$D$29*C128/VERI_TABANI!$B$29)/VERI_TABANI!$B$4)*VERI_TABANI!$B$6 + IF(ISNUMBER(SEARCH("Var", D128)), (VERI_TABANI!$F$29/VERI_TABANI!$B$29)*(VERI_TABANI!$B$10+VERI_TABANI!$B$12), 0)</f>
        <v/>
      </c>
      <c r="G128" s="168">
        <f>(((MIN(VERI_TABANI!D23, VERI_TABANI!D23*B128)*VERI_TABANI!$B$7 + MAX(0, VERI_TABANI!D23*B128-VERI_TABANI!D23)*VERI_TABANI!$B$8) + (MIN(MAX(0, VERI_TABANI!D23-VERI_TABANI!D23*B128), VERI_TABANI!D23*C128)*VERI_TABANI!$B$7 + MAX(0, VERI_TABANI!D23*C128-MAX(0, VERI_TABANI!D23-VERI_TABANI!D23*B128))*VERI_TABANI!$B$8) + IF(ABS(IF(ISNUMBER(SEARCH("Var", D128)), 1, IF(ISNUMBER(SEARCH("Gri", D128)), -1, 0)))=1, VERI_TABANI!E23*(1-0.928)*VERI_TABANI!$B$9, 0) + (VERI_TABANI!D23*B128*(VERI_TABANI!$B$13-VERI_TABANI!$B$14)*VERI_TABANI!G23) + (VERI_TABANI!D23*C128*(VERI_TABANI!$B$13-VERI_TABANI!$B$15)*VERI_TABANI!G23) + IF(ABS(IF(ISNUMBER(SEARCH("Var", D128)), 1, IF(ISNUMBER(SEARCH("Gri", D128)), -1, 0)))=1, VERI_TABANI!E23*(1-0.928)*0.00206091519919798*VERI_TABANI!G23, 0)) + ((MIN(VERI_TABANI!D24, VERI_TABANI!D24*B128)*VERI_TABANI!$B$7 + MAX(0, VERI_TABANI!D24*B128-VERI_TABANI!D24)*VERI_TABANI!$B$8) + (MIN(MAX(0, VERI_TABANI!D24-VERI_TABANI!D24*B128), VERI_TABANI!D24*C128)*VERI_TABANI!$B$7 + MAX(0, VERI_TABANI!D24*C128-MAX(0, VERI_TABANI!D24-VERI_TABANI!D24*B128))*VERI_TABANI!$B$8) + IF(ABS(IF(ISNUMBER(SEARCH("Var", D128)), 1, IF(ISNUMBER(SEARCH("Gri", D128)), -1, 0)))=1, VERI_TABANI!E24*(1-0.928)*VERI_TABANI!$B$9, 0) + (VERI_TABANI!D24*B128*(VERI_TABANI!$B$13-VERI_TABANI!$B$14)*VERI_TABANI!G24) + (VERI_TABANI!D24*C128*(VERI_TABANI!$B$13-VERI_TABANI!$B$15)*VERI_TABANI!G24) + IF(ABS(IF(ISNUMBER(SEARCH("Var", D128)), 1, IF(ISNUMBER(SEARCH("Gri", D128)), -1, 0)))=1, VERI_TABANI!E24*(1-0.928)*0.00206091519919798*VERI_TABANI!G24, 0)) + ((MIN(VERI_TABANI!D25, VERI_TABANI!D25*B128)*VERI_TABANI!$B$7 + MAX(0, VERI_TABANI!D25*B128-VERI_TABANI!D25)*VERI_TABANI!$B$8) + (MIN(MAX(0, VERI_TABANI!D25-VERI_TABANI!D25*B128), VERI_TABANI!D25*C128)*VERI_TABANI!$B$7 + MAX(0, VERI_TABANI!D25*C128-MAX(0, VERI_TABANI!D25-VERI_TABANI!D25*B128))*VERI_TABANI!$B$8) + IF(ABS(IF(ISNUMBER(SEARCH("Var", D128)), 1, IF(ISNUMBER(SEARCH("Gri", D128)), -1, 0)))=1, VERI_TABANI!E25*(1-0.928)*VERI_TABANI!$B$9, 0) + (VERI_TABANI!D25*B128*(VERI_TABANI!$B$13-VERI_TABANI!$B$14)*VERI_TABANI!G25) + (VERI_TABANI!D25*C128*(VERI_TABANI!$B$13-VERI_TABANI!$B$15)*VERI_TABANI!G25) + IF(ABS(IF(ISNUMBER(SEARCH("Var", D128)), 1, IF(ISNUMBER(SEARCH("Gri", D128)), -1, 0)))=1, VERI_TABANI!E25*(1-0.928)*0.00206091519919798*VERI_TABANI!G25, 0)) + ((MIN(VERI_TABANI!D26, VERI_TABANI!D26*B128)*VERI_TABANI!$B$7 + MAX(0, VERI_TABANI!D26*B128-VERI_TABANI!D26)*VERI_TABANI!$B$8) + (MIN(MAX(0, VERI_TABANI!D26-VERI_TABANI!D26*B128), VERI_TABANI!D26*C128)*VERI_TABANI!$B$7 + MAX(0, VERI_TABANI!D26*C128-MAX(0, VERI_TABANI!D26-VERI_TABANI!D26*B128))*VERI_TABANI!$B$8) + IF(ABS(IF(ISNUMBER(SEARCH("Var", D128)), 1, IF(ISNUMBER(SEARCH("Gri", D128)), -1, 0)))=1, VERI_TABANI!E26*(1-0.928)*VERI_TABANI!$B$9, 0) + (VERI_TABANI!D26*B128*(VERI_TABANI!$B$13-VERI_TABANI!$B$14)*VERI_TABANI!G26) + (VERI_TABANI!D26*C128*(VERI_TABANI!$B$13-VERI_TABANI!$B$15)*VERI_TABANI!G26) + IF(ABS(IF(ISNUMBER(SEARCH("Var", D128)), 1, IF(ISNUMBER(SEARCH("Gri", D128)), -1, 0)))=1, VERI_TABANI!E26*(1-0.928)*0.00206091519919798*VERI_TABANI!G26, 0)) + ((MIN(VERI_TABANI!D27, VERI_TABANI!D27*B128)*VERI_TABANI!$B$7 + MAX(0, VERI_TABANI!D27*B128-VERI_TABANI!D27)*VERI_TABANI!$B$8) + (MIN(MAX(0, VERI_TABANI!D27-VERI_TABANI!D27*B128), VERI_TABANI!D27*C128)*VERI_TABANI!$B$7 + MAX(0, VERI_TABANI!D27*C128-MAX(0, VERI_TABANI!D27-VERI_TABANI!D27*B128))*VERI_TABANI!$B$8) + IF(ABS(IF(ISNUMBER(SEARCH("Var", D128)), 1, IF(ISNUMBER(SEARCH("Gri", D128)), -1, 0)))=1, VERI_TABANI!E27*(1-0.928)*VERI_TABANI!$B$9, 0) + (VERI_TABANI!D27*B128*(VERI_TABANI!$B$13-VERI_TABANI!$B$14)*VERI_TABANI!G27) + (VERI_TABANI!D27*C128*(VERI_TABANI!$B$13-VERI_TABANI!$B$15)*VERI_TABANI!G27) + IF(ABS(IF(ISNUMBER(SEARCH("Var", D128)), 1, IF(ISNUMBER(SEARCH("Gri", D128)), -1, 0)))=1, VERI_TABANI!E27*(1-0.928)*0.00206091519919798*VERI_TABANI!G27, 0)) + ((MIN(VERI_TABANI!D28, VERI_TABANI!D28*B128)*VERI_TABANI!$B$7 + MAX(0, VERI_TABANI!D28*B128-VERI_TABANI!D28)*VERI_TABANI!$B$8) + (MIN(MAX(0, VERI_TABANI!D28-VERI_TABANI!D28*B128), VERI_TABANI!D28*C128)*VERI_TABANI!$B$7 + MAX(0, VERI_TABANI!D28*C128-MAX(0, VERI_TABANI!D28-VERI_TABANI!D28*B128))*VERI_TABANI!$B$8) + IF(ABS(IF(ISNUMBER(SEARCH("Var", D128)), 1, IF(ISNUMBER(SEARCH("Gri", D128)), -1, 0)))=1, VERI_TABANI!E28*(1-0.928)*VERI_TABANI!$B$9, 0) + (VERI_TABANI!D28*B128*(VERI_TABANI!$B$13-VERI_TABANI!$B$14)*VERI_TABANI!G28) + (VERI_TABANI!D28*C128*(VERI_TABANI!$B$13-VERI_TABANI!$B$15)*VERI_TABANI!G28) + IF(ABS(IF(ISNUMBER(SEARCH("Var", D128)), 1, IF(ISNUMBER(SEARCH("Gri", D128)), -1, 0)))=1, VERI_TABANI!E28*(1-0.928)*0.00206091519919798*VERI_TABANI!G28, 0)))</f>
        <v/>
      </c>
      <c r="H128" s="169">
        <f>(((VERI_TABANI!D23*B128*(VERI_TABANI!$B$13-VERI_TABANI!$B$14)) + (VERI_TABANI!D23*C128*(VERI_TABANI!$B$13-VERI_TABANI!$B$15)) + IF(ISNUMBER(SEARCH("Var", D128)), VERI_TABANI!F23*(0.00202-VERI_TABANI!$B$16), IF(ISNUMBER(SEARCH("Gri", D128)), VERI_TABANI!F23*(0.00202-VERI_TABANI!$B$17), 0))) + ((VERI_TABANI!D24*B128*(VERI_TABANI!$B$13-VERI_TABANI!$B$14)) + (VERI_TABANI!D24*C128*(VERI_TABANI!$B$13-VERI_TABANI!$B$15)) + IF(ISNUMBER(SEARCH("Var", D128)), VERI_TABANI!F24*(0.00202-VERI_TABANI!$B$16), IF(ISNUMBER(SEARCH("Gri", D128)), VERI_TABANI!F24*(0.00202-VERI_TABANI!$B$17), 0))) + ((VERI_TABANI!D25*B128*(VERI_TABANI!$B$13-VERI_TABANI!$B$14)) + (VERI_TABANI!D25*C128*(VERI_TABANI!$B$13-VERI_TABANI!$B$15)) + IF(ISNUMBER(SEARCH("Var", D128)), VERI_TABANI!F25*(0.00202-VERI_TABANI!$B$16), IF(ISNUMBER(SEARCH("Gri", D128)), VERI_TABANI!F25*(0.00202-VERI_TABANI!$B$17), 0))) + ((VERI_TABANI!D26*B128*(VERI_TABANI!$B$13-VERI_TABANI!$B$14)) + (VERI_TABANI!D26*C128*(VERI_TABANI!$B$13-VERI_TABANI!$B$15)) + IF(ISNUMBER(SEARCH("Var", D128)), VERI_TABANI!F26*(0.00202-VERI_TABANI!$B$16), IF(ISNUMBER(SEARCH("Gri", D128)), VERI_TABANI!F26*(0.00202-VERI_TABANI!$B$17), 0))) + ((VERI_TABANI!D27*B128*(VERI_TABANI!$B$13-VERI_TABANI!$B$14)) + (VERI_TABANI!D27*C128*(VERI_TABANI!$B$13-VERI_TABANI!$B$15)) + IF(ISNUMBER(SEARCH("Var", D128)), VERI_TABANI!F27*(0.00202-VERI_TABANI!$B$16), IF(ISNUMBER(SEARCH("Gri", D128)), VERI_TABANI!F27*(0.00202-VERI_TABANI!$B$17), 0))) + ((VERI_TABANI!D28*B128*(VERI_TABANI!$B$13-VERI_TABANI!$B$14)) + (VERI_TABANI!D28*C128*(VERI_TABANI!$B$13-VERI_TABANI!$B$15)) + IF(ISNUMBER(SEARCH("Var", D128)), VERI_TABANI!F28*(0.00202-VERI_TABANI!$B$16), IF(ISNUMBER(SEARCH("Gri", D128)), VERI_TABANI!F28*(0.00202-VERI_TABANI!$B$17), 0))))</f>
        <v/>
      </c>
      <c r="I128" s="170">
        <f>IFERROR(((VERI_TABANI!$D$29*B128*VERI_TABANI!$B$14 + VERI_TABANI!$D$29*C128*VERI_TABANI!$B$15 + IF(ISNUMBER(SEARCH("Var", D128)), VERI_TABANI!$F$29*VERI_TABANI!$B$16, 0))) / (((VERI_TABANI!$D$29*B128 + VERI_TABANI!$D$29*C128)*VERI_TABANI!$B$13 + IF(ISNUMBER(SEARCH("Var", D128)), VERI_TABANI!$E$29*(1-0.928)*VERI_TABANI!$B$18, 0))), 0)</f>
        <v/>
      </c>
      <c r="J128" s="171">
        <f>IFERROR(F128/(G128/29), 0)</f>
        <v/>
      </c>
      <c r="K128" s="172">
        <f>IF(F128&gt;0, H128/F128, 0)</f>
        <v/>
      </c>
      <c r="L128" s="170">
        <f>IF(F128&gt;0, I128, 1000000000)</f>
        <v/>
      </c>
      <c r="M128" s="171">
        <f>ABS((B128+C128)-1)</f>
        <v/>
      </c>
      <c r="N128" s="170">
        <f>IF(F128&gt;0, (G128/29)/F128, 0)</f>
        <v/>
      </c>
      <c r="O128" s="168">
        <f>IF(AND((B128+C128)&gt;=1, ISNUMBER(SEARCH("Var", D128))), F128, 1000000000)</f>
        <v/>
      </c>
      <c r="P128" s="172">
        <f>IF(F128&gt;0, SQRT((F128/MAX(F$5:F$886))^2 + (1 - H128/MAX(H$5:H$886))^2 + (J128/MAX(J$5:J$886))^2), 1000000000)</f>
        <v/>
      </c>
      <c r="Q128" s="166">
        <f>IF(AND(ABS(B128-0.5)&lt;0.01, ABS(C128-0.5)&lt;0.01, ISNUMBER(SEARCH("Var", D128))), 1, 0)</f>
        <v/>
      </c>
      <c r="R128" s="171">
        <f>IF(F128&gt;0, J128, 1000000000)</f>
        <v/>
      </c>
      <c r="S128" s="101">
        <f>IF(AND(F128&lt;=DASHBOARD!$B$11, H128&gt;=DASHBOARD!$B$13), G128, -1000000000000)</f>
        <v/>
      </c>
      <c r="T128" s="101">
        <f>IF(AND(F128&lt;=DASHBOARD!$B$11, H128&gt;=DASHBOARD!$B$13), R128, 1000000000000)</f>
        <v/>
      </c>
      <c r="U128" s="101">
        <f>IF(AND(F128&lt;=DASHBOARD!$B$11, H128&gt;=DASHBOARD!$B$13), N128, -1000000000000)</f>
        <v/>
      </c>
      <c r="V128" s="101">
        <f>IF(AND(F128&lt;=DASHBOARD!$B$11, H128&gt;=DASHBOARD!$B$13), H128, -1000000000000)</f>
        <v/>
      </c>
      <c r="W128" s="101">
        <f>IF(AND(F128&lt;=DASHBOARD!$B$11, H128&gt;=DASHBOARD!$B$13), K128, -1000000000000)</f>
        <v/>
      </c>
      <c r="X128" s="101">
        <f>IF(AND(F128&lt;=DASHBOARD!$B$11, H128&gt;=DASHBOARD!$B$13), M128, 1000000000000)</f>
        <v/>
      </c>
      <c r="Y128" s="101">
        <f>IF(AND(F128&lt;=DASHBOARD!$B$10, H128&gt;=DASHBOARD!$B$11), L128, 1000000000000)</f>
        <v/>
      </c>
      <c r="Z128" s="101">
        <f>IF(AND(F128&lt;=DASHBOARD!$B$10, H128&gt;=DASHBOARD!$B$11), O128, 1000000000000)</f>
        <v/>
      </c>
      <c r="AA128" s="101">
        <f>IF(AND(F128&lt;=DASHBOARD!$B$10, H128&gt;=DASHBOARD!$B$11), P128, 1000000000000)</f>
        <v/>
      </c>
      <c r="AB128" s="101">
        <f>IF(AND(F128&lt;=DASHBOARD!$B$10, H128&gt;=DASHBOARD!$B$11), Q128, -1000000000000)</f>
        <v/>
      </c>
    </row>
    <row r="129" ht="12.75" customHeight="1" s="102">
      <c r="A129" s="166" t="n">
        <v>125</v>
      </c>
      <c r="B129" s="167" t="n">
        <v>0.2</v>
      </c>
      <c r="C129" s="167" t="n">
        <v>2</v>
      </c>
      <c r="D129" s="110" t="inlineStr">
        <is>
          <t>Yok (%0)</t>
        </is>
      </c>
      <c r="E129" s="110">
        <f>IF((B129+C129)&lt;=1, "Tam Mahsuplaşma (≤%100)", "Kısmi Satış (&gt;%100)")</f>
        <v/>
      </c>
      <c r="F129" s="168">
        <f>((VERI_TABANI!$D$29*B129/VERI_TABANI!$B$29)/VERI_TABANI!$B$3)*VERI_TABANI!$B$5 + ((VERI_TABANI!$D$29*C129/VERI_TABANI!$B$29)/VERI_TABANI!$B$4)*VERI_TABANI!$B$6 + IF(ISNUMBER(SEARCH("Var", D129)), (VERI_TABANI!$F$29/VERI_TABANI!$B$29)*(VERI_TABANI!$B$10+VERI_TABANI!$B$12), 0)</f>
        <v/>
      </c>
      <c r="G129" s="168">
        <f>(((MIN(VERI_TABANI!D23, VERI_TABANI!D23*B129)*VERI_TABANI!$B$7 + MAX(0, VERI_TABANI!D23*B129-VERI_TABANI!D23)*VERI_TABANI!$B$8) + (MIN(MAX(0, VERI_TABANI!D23-VERI_TABANI!D23*B129), VERI_TABANI!D23*C129)*VERI_TABANI!$B$7 + MAX(0, VERI_TABANI!D23*C129-MAX(0, VERI_TABANI!D23-VERI_TABANI!D23*B129))*VERI_TABANI!$B$8) + IF(ABS(IF(ISNUMBER(SEARCH("Var", D129)), 1, IF(ISNUMBER(SEARCH("Gri", D129)), -1, 0)))=1, VERI_TABANI!E23*(1-0.928)*VERI_TABANI!$B$9, 0) + (VERI_TABANI!D23*B129*(VERI_TABANI!$B$13-VERI_TABANI!$B$14)*VERI_TABANI!G23) + (VERI_TABANI!D23*C129*(VERI_TABANI!$B$13-VERI_TABANI!$B$15)*VERI_TABANI!G23) + IF(ABS(IF(ISNUMBER(SEARCH("Var", D129)), 1, IF(ISNUMBER(SEARCH("Gri", D129)), -1, 0)))=1, VERI_TABANI!E23*(1-0.928)*0.00206091519919798*VERI_TABANI!G23, 0)) + ((MIN(VERI_TABANI!D24, VERI_TABANI!D24*B129)*VERI_TABANI!$B$7 + MAX(0, VERI_TABANI!D24*B129-VERI_TABANI!D24)*VERI_TABANI!$B$8) + (MIN(MAX(0, VERI_TABANI!D24-VERI_TABANI!D24*B129), VERI_TABANI!D24*C129)*VERI_TABANI!$B$7 + MAX(0, VERI_TABANI!D24*C129-MAX(0, VERI_TABANI!D24-VERI_TABANI!D24*B129))*VERI_TABANI!$B$8) + IF(ABS(IF(ISNUMBER(SEARCH("Var", D129)), 1, IF(ISNUMBER(SEARCH("Gri", D129)), -1, 0)))=1, VERI_TABANI!E24*(1-0.928)*VERI_TABANI!$B$9, 0) + (VERI_TABANI!D24*B129*(VERI_TABANI!$B$13-VERI_TABANI!$B$14)*VERI_TABANI!G24) + (VERI_TABANI!D24*C129*(VERI_TABANI!$B$13-VERI_TABANI!$B$15)*VERI_TABANI!G24) + IF(ABS(IF(ISNUMBER(SEARCH("Var", D129)), 1, IF(ISNUMBER(SEARCH("Gri", D129)), -1, 0)))=1, VERI_TABANI!E24*(1-0.928)*0.00206091519919798*VERI_TABANI!G24, 0)) + ((MIN(VERI_TABANI!D25, VERI_TABANI!D25*B129)*VERI_TABANI!$B$7 + MAX(0, VERI_TABANI!D25*B129-VERI_TABANI!D25)*VERI_TABANI!$B$8) + (MIN(MAX(0, VERI_TABANI!D25-VERI_TABANI!D25*B129), VERI_TABANI!D25*C129)*VERI_TABANI!$B$7 + MAX(0, VERI_TABANI!D25*C129-MAX(0, VERI_TABANI!D25-VERI_TABANI!D25*B129))*VERI_TABANI!$B$8) + IF(ABS(IF(ISNUMBER(SEARCH("Var", D129)), 1, IF(ISNUMBER(SEARCH("Gri", D129)), -1, 0)))=1, VERI_TABANI!E25*(1-0.928)*VERI_TABANI!$B$9, 0) + (VERI_TABANI!D25*B129*(VERI_TABANI!$B$13-VERI_TABANI!$B$14)*VERI_TABANI!G25) + (VERI_TABANI!D25*C129*(VERI_TABANI!$B$13-VERI_TABANI!$B$15)*VERI_TABANI!G25) + IF(ABS(IF(ISNUMBER(SEARCH("Var", D129)), 1, IF(ISNUMBER(SEARCH("Gri", D129)), -1, 0)))=1, VERI_TABANI!E25*(1-0.928)*0.00206091519919798*VERI_TABANI!G25, 0)) + ((MIN(VERI_TABANI!D26, VERI_TABANI!D26*B129)*VERI_TABANI!$B$7 + MAX(0, VERI_TABANI!D26*B129-VERI_TABANI!D26)*VERI_TABANI!$B$8) + (MIN(MAX(0, VERI_TABANI!D26-VERI_TABANI!D26*B129), VERI_TABANI!D26*C129)*VERI_TABANI!$B$7 + MAX(0, VERI_TABANI!D26*C129-MAX(0, VERI_TABANI!D26-VERI_TABANI!D26*B129))*VERI_TABANI!$B$8) + IF(ABS(IF(ISNUMBER(SEARCH("Var", D129)), 1, IF(ISNUMBER(SEARCH("Gri", D129)), -1, 0)))=1, VERI_TABANI!E26*(1-0.928)*VERI_TABANI!$B$9, 0) + (VERI_TABANI!D26*B129*(VERI_TABANI!$B$13-VERI_TABANI!$B$14)*VERI_TABANI!G26) + (VERI_TABANI!D26*C129*(VERI_TABANI!$B$13-VERI_TABANI!$B$15)*VERI_TABANI!G26) + IF(ABS(IF(ISNUMBER(SEARCH("Var", D129)), 1, IF(ISNUMBER(SEARCH("Gri", D129)), -1, 0)))=1, VERI_TABANI!E26*(1-0.928)*0.00206091519919798*VERI_TABANI!G26, 0)) + ((MIN(VERI_TABANI!D27, VERI_TABANI!D27*B129)*VERI_TABANI!$B$7 + MAX(0, VERI_TABANI!D27*B129-VERI_TABANI!D27)*VERI_TABANI!$B$8) + (MIN(MAX(0, VERI_TABANI!D27-VERI_TABANI!D27*B129), VERI_TABANI!D27*C129)*VERI_TABANI!$B$7 + MAX(0, VERI_TABANI!D27*C129-MAX(0, VERI_TABANI!D27-VERI_TABANI!D27*B129))*VERI_TABANI!$B$8) + IF(ABS(IF(ISNUMBER(SEARCH("Var", D129)), 1, IF(ISNUMBER(SEARCH("Gri", D129)), -1, 0)))=1, VERI_TABANI!E27*(1-0.928)*VERI_TABANI!$B$9, 0) + (VERI_TABANI!D27*B129*(VERI_TABANI!$B$13-VERI_TABANI!$B$14)*VERI_TABANI!G27) + (VERI_TABANI!D27*C129*(VERI_TABANI!$B$13-VERI_TABANI!$B$15)*VERI_TABANI!G27) + IF(ABS(IF(ISNUMBER(SEARCH("Var", D129)), 1, IF(ISNUMBER(SEARCH("Gri", D129)), -1, 0)))=1, VERI_TABANI!E27*(1-0.928)*0.00206091519919798*VERI_TABANI!G27, 0)) + ((MIN(VERI_TABANI!D28, VERI_TABANI!D28*B129)*VERI_TABANI!$B$7 + MAX(0, VERI_TABANI!D28*B129-VERI_TABANI!D28)*VERI_TABANI!$B$8) + (MIN(MAX(0, VERI_TABANI!D28-VERI_TABANI!D28*B129), VERI_TABANI!D28*C129)*VERI_TABANI!$B$7 + MAX(0, VERI_TABANI!D28*C129-MAX(0, VERI_TABANI!D28-VERI_TABANI!D28*B129))*VERI_TABANI!$B$8) + IF(ABS(IF(ISNUMBER(SEARCH("Var", D129)), 1, IF(ISNUMBER(SEARCH("Gri", D129)), -1, 0)))=1, VERI_TABANI!E28*(1-0.928)*VERI_TABANI!$B$9, 0) + (VERI_TABANI!D28*B129*(VERI_TABANI!$B$13-VERI_TABANI!$B$14)*VERI_TABANI!G28) + (VERI_TABANI!D28*C129*(VERI_TABANI!$B$13-VERI_TABANI!$B$15)*VERI_TABANI!G28) + IF(ABS(IF(ISNUMBER(SEARCH("Var", D129)), 1, IF(ISNUMBER(SEARCH("Gri", D129)), -1, 0)))=1, VERI_TABANI!E28*(1-0.928)*0.00206091519919798*VERI_TABANI!G28, 0)))</f>
        <v/>
      </c>
      <c r="H129" s="169">
        <f>(((VERI_TABANI!D23*B129*(VERI_TABANI!$B$13-VERI_TABANI!$B$14)) + (VERI_TABANI!D23*C129*(VERI_TABANI!$B$13-VERI_TABANI!$B$15)) + IF(ISNUMBER(SEARCH("Var", D129)), VERI_TABANI!F23*(0.00202-VERI_TABANI!$B$16), IF(ISNUMBER(SEARCH("Gri", D129)), VERI_TABANI!F23*(0.00202-VERI_TABANI!$B$17), 0))) + ((VERI_TABANI!D24*B129*(VERI_TABANI!$B$13-VERI_TABANI!$B$14)) + (VERI_TABANI!D24*C129*(VERI_TABANI!$B$13-VERI_TABANI!$B$15)) + IF(ISNUMBER(SEARCH("Var", D129)), VERI_TABANI!F24*(0.00202-VERI_TABANI!$B$16), IF(ISNUMBER(SEARCH("Gri", D129)), VERI_TABANI!F24*(0.00202-VERI_TABANI!$B$17), 0))) + ((VERI_TABANI!D25*B129*(VERI_TABANI!$B$13-VERI_TABANI!$B$14)) + (VERI_TABANI!D25*C129*(VERI_TABANI!$B$13-VERI_TABANI!$B$15)) + IF(ISNUMBER(SEARCH("Var", D129)), VERI_TABANI!F25*(0.00202-VERI_TABANI!$B$16), IF(ISNUMBER(SEARCH("Gri", D129)), VERI_TABANI!F25*(0.00202-VERI_TABANI!$B$17), 0))) + ((VERI_TABANI!D26*B129*(VERI_TABANI!$B$13-VERI_TABANI!$B$14)) + (VERI_TABANI!D26*C129*(VERI_TABANI!$B$13-VERI_TABANI!$B$15)) + IF(ISNUMBER(SEARCH("Var", D129)), VERI_TABANI!F26*(0.00202-VERI_TABANI!$B$16), IF(ISNUMBER(SEARCH("Gri", D129)), VERI_TABANI!F26*(0.00202-VERI_TABANI!$B$17), 0))) + ((VERI_TABANI!D27*B129*(VERI_TABANI!$B$13-VERI_TABANI!$B$14)) + (VERI_TABANI!D27*C129*(VERI_TABANI!$B$13-VERI_TABANI!$B$15)) + IF(ISNUMBER(SEARCH("Var", D129)), VERI_TABANI!F27*(0.00202-VERI_TABANI!$B$16), IF(ISNUMBER(SEARCH("Gri", D129)), VERI_TABANI!F27*(0.00202-VERI_TABANI!$B$17), 0))) + ((VERI_TABANI!D28*B129*(VERI_TABANI!$B$13-VERI_TABANI!$B$14)) + (VERI_TABANI!D28*C129*(VERI_TABANI!$B$13-VERI_TABANI!$B$15)) + IF(ISNUMBER(SEARCH("Var", D129)), VERI_TABANI!F28*(0.00202-VERI_TABANI!$B$16), IF(ISNUMBER(SEARCH("Gri", D129)), VERI_TABANI!F28*(0.00202-VERI_TABANI!$B$17), 0))))</f>
        <v/>
      </c>
      <c r="I129" s="170">
        <f>IFERROR(((VERI_TABANI!$D$29*B129*VERI_TABANI!$B$14 + VERI_TABANI!$D$29*C129*VERI_TABANI!$B$15 + IF(ISNUMBER(SEARCH("Var", D129)), VERI_TABANI!$F$29*VERI_TABANI!$B$16, 0))) / (((VERI_TABANI!$D$29*B129 + VERI_TABANI!$D$29*C129)*VERI_TABANI!$B$13 + IF(ISNUMBER(SEARCH("Var", D129)), VERI_TABANI!$E$29*(1-0.928)*VERI_TABANI!$B$18, 0))), 0)</f>
        <v/>
      </c>
      <c r="J129" s="171">
        <f>IFERROR(F129/(G129/29), 0)</f>
        <v/>
      </c>
      <c r="K129" s="172">
        <f>IF(F129&gt;0, H129/F129, 0)</f>
        <v/>
      </c>
      <c r="L129" s="170">
        <f>IF(F129&gt;0, I129, 1000000000)</f>
        <v/>
      </c>
      <c r="M129" s="171">
        <f>ABS((B129+C129)-1)</f>
        <v/>
      </c>
      <c r="N129" s="170">
        <f>IF(F129&gt;0, (G129/29)/F129, 0)</f>
        <v/>
      </c>
      <c r="O129" s="168">
        <f>IF(AND((B129+C129)&gt;=1, ISNUMBER(SEARCH("Var", D129))), F129, 1000000000)</f>
        <v/>
      </c>
      <c r="P129" s="172">
        <f>IF(F129&gt;0, SQRT((F129/MAX(F$5:F$886))^2 + (1 - H129/MAX(H$5:H$886))^2 + (J129/MAX(J$5:J$886))^2), 1000000000)</f>
        <v/>
      </c>
      <c r="Q129" s="166">
        <f>IF(AND(ABS(B129-0.5)&lt;0.01, ABS(C129-0.5)&lt;0.01, ISNUMBER(SEARCH("Var", D129))), 1, 0)</f>
        <v/>
      </c>
      <c r="R129" s="171">
        <f>IF(F129&gt;0, J129, 1000000000)</f>
        <v/>
      </c>
      <c r="S129" s="101">
        <f>IF(AND(F129&lt;=DASHBOARD!$B$11, H129&gt;=DASHBOARD!$B$13), G129, -1000000000000)</f>
        <v/>
      </c>
      <c r="T129" s="101">
        <f>IF(AND(F129&lt;=DASHBOARD!$B$11, H129&gt;=DASHBOARD!$B$13), R129, 1000000000000)</f>
        <v/>
      </c>
      <c r="U129" s="101">
        <f>IF(AND(F129&lt;=DASHBOARD!$B$11, H129&gt;=DASHBOARD!$B$13), N129, -1000000000000)</f>
        <v/>
      </c>
      <c r="V129" s="101">
        <f>IF(AND(F129&lt;=DASHBOARD!$B$11, H129&gt;=DASHBOARD!$B$13), H129, -1000000000000)</f>
        <v/>
      </c>
      <c r="W129" s="101">
        <f>IF(AND(F129&lt;=DASHBOARD!$B$11, H129&gt;=DASHBOARD!$B$13), K129, -1000000000000)</f>
        <v/>
      </c>
      <c r="X129" s="101">
        <f>IF(AND(F129&lt;=DASHBOARD!$B$11, H129&gt;=DASHBOARD!$B$13), M129, 1000000000000)</f>
        <v/>
      </c>
      <c r="Y129" s="101">
        <f>IF(AND(F129&lt;=DASHBOARD!$B$10, H129&gt;=DASHBOARD!$B$11), L129, 1000000000000)</f>
        <v/>
      </c>
      <c r="Z129" s="101">
        <f>IF(AND(F129&lt;=DASHBOARD!$B$10, H129&gt;=DASHBOARD!$B$11), O129, 1000000000000)</f>
        <v/>
      </c>
      <c r="AA129" s="101">
        <f>IF(AND(F129&lt;=DASHBOARD!$B$10, H129&gt;=DASHBOARD!$B$11), P129, 1000000000000)</f>
        <v/>
      </c>
      <c r="AB129" s="101">
        <f>IF(AND(F129&lt;=DASHBOARD!$B$10, H129&gt;=DASHBOARD!$B$11), Q129, -1000000000000)</f>
        <v/>
      </c>
    </row>
    <row r="130" ht="12.75" customHeight="1" s="102">
      <c r="A130" s="166" t="n">
        <v>126</v>
      </c>
      <c r="B130" s="167" t="n">
        <v>0.2</v>
      </c>
      <c r="C130" s="167" t="n">
        <v>2</v>
      </c>
      <c r="D130" s="110" t="inlineStr">
        <is>
          <t>Var (%20)</t>
        </is>
      </c>
      <c r="E130" s="110">
        <f>IF((B130+C130)&lt;=1, "Tam Mahsuplaşma (≤%100)", "Kısmi Satış (&gt;%100)")</f>
        <v/>
      </c>
      <c r="F130" s="168">
        <f>((VERI_TABANI!$D$29*B130/VERI_TABANI!$B$29)/VERI_TABANI!$B$3)*VERI_TABANI!$B$5 + ((VERI_TABANI!$D$29*C130/VERI_TABANI!$B$29)/VERI_TABANI!$B$4)*VERI_TABANI!$B$6 + IF(ISNUMBER(SEARCH("Var", D130)), (VERI_TABANI!$F$29/VERI_TABANI!$B$29)*(VERI_TABANI!$B$10+VERI_TABANI!$B$12), 0)</f>
        <v/>
      </c>
      <c r="G130" s="168">
        <f>(((MIN(VERI_TABANI!D23, VERI_TABANI!D23*B130)*VERI_TABANI!$B$7 + MAX(0, VERI_TABANI!D23*B130-VERI_TABANI!D23)*VERI_TABANI!$B$8) + (MIN(MAX(0, VERI_TABANI!D23-VERI_TABANI!D23*B130), VERI_TABANI!D23*C130)*VERI_TABANI!$B$7 + MAX(0, VERI_TABANI!D23*C130-MAX(0, VERI_TABANI!D23-VERI_TABANI!D23*B130))*VERI_TABANI!$B$8) + IF(ABS(IF(ISNUMBER(SEARCH("Var", D130)), 1, IF(ISNUMBER(SEARCH("Gri", D130)), -1, 0)))=1, VERI_TABANI!E23*(1-0.928)*VERI_TABANI!$B$9, 0) + (VERI_TABANI!D23*B130*(VERI_TABANI!$B$13-VERI_TABANI!$B$14)*VERI_TABANI!G23) + (VERI_TABANI!D23*C130*(VERI_TABANI!$B$13-VERI_TABANI!$B$15)*VERI_TABANI!G23) + IF(ABS(IF(ISNUMBER(SEARCH("Var", D130)), 1, IF(ISNUMBER(SEARCH("Gri", D130)), -1, 0)))=1, VERI_TABANI!E23*(1-0.928)*0.00206091519919798*VERI_TABANI!G23, 0)) + ((MIN(VERI_TABANI!D24, VERI_TABANI!D24*B130)*VERI_TABANI!$B$7 + MAX(0, VERI_TABANI!D24*B130-VERI_TABANI!D24)*VERI_TABANI!$B$8) + (MIN(MAX(0, VERI_TABANI!D24-VERI_TABANI!D24*B130), VERI_TABANI!D24*C130)*VERI_TABANI!$B$7 + MAX(0, VERI_TABANI!D24*C130-MAX(0, VERI_TABANI!D24-VERI_TABANI!D24*B130))*VERI_TABANI!$B$8) + IF(ABS(IF(ISNUMBER(SEARCH("Var", D130)), 1, IF(ISNUMBER(SEARCH("Gri", D130)), -1, 0)))=1, VERI_TABANI!E24*(1-0.928)*VERI_TABANI!$B$9, 0) + (VERI_TABANI!D24*B130*(VERI_TABANI!$B$13-VERI_TABANI!$B$14)*VERI_TABANI!G24) + (VERI_TABANI!D24*C130*(VERI_TABANI!$B$13-VERI_TABANI!$B$15)*VERI_TABANI!G24) + IF(ABS(IF(ISNUMBER(SEARCH("Var", D130)), 1, IF(ISNUMBER(SEARCH("Gri", D130)), -1, 0)))=1, VERI_TABANI!E24*(1-0.928)*0.00206091519919798*VERI_TABANI!G24, 0)) + ((MIN(VERI_TABANI!D25, VERI_TABANI!D25*B130)*VERI_TABANI!$B$7 + MAX(0, VERI_TABANI!D25*B130-VERI_TABANI!D25)*VERI_TABANI!$B$8) + (MIN(MAX(0, VERI_TABANI!D25-VERI_TABANI!D25*B130), VERI_TABANI!D25*C130)*VERI_TABANI!$B$7 + MAX(0, VERI_TABANI!D25*C130-MAX(0, VERI_TABANI!D25-VERI_TABANI!D25*B130))*VERI_TABANI!$B$8) + IF(ABS(IF(ISNUMBER(SEARCH("Var", D130)), 1, IF(ISNUMBER(SEARCH("Gri", D130)), -1, 0)))=1, VERI_TABANI!E25*(1-0.928)*VERI_TABANI!$B$9, 0) + (VERI_TABANI!D25*B130*(VERI_TABANI!$B$13-VERI_TABANI!$B$14)*VERI_TABANI!G25) + (VERI_TABANI!D25*C130*(VERI_TABANI!$B$13-VERI_TABANI!$B$15)*VERI_TABANI!G25) + IF(ABS(IF(ISNUMBER(SEARCH("Var", D130)), 1, IF(ISNUMBER(SEARCH("Gri", D130)), -1, 0)))=1, VERI_TABANI!E25*(1-0.928)*0.00206091519919798*VERI_TABANI!G25, 0)) + ((MIN(VERI_TABANI!D26, VERI_TABANI!D26*B130)*VERI_TABANI!$B$7 + MAX(0, VERI_TABANI!D26*B130-VERI_TABANI!D26)*VERI_TABANI!$B$8) + (MIN(MAX(0, VERI_TABANI!D26-VERI_TABANI!D26*B130), VERI_TABANI!D26*C130)*VERI_TABANI!$B$7 + MAX(0, VERI_TABANI!D26*C130-MAX(0, VERI_TABANI!D26-VERI_TABANI!D26*B130))*VERI_TABANI!$B$8) + IF(ABS(IF(ISNUMBER(SEARCH("Var", D130)), 1, IF(ISNUMBER(SEARCH("Gri", D130)), -1, 0)))=1, VERI_TABANI!E26*(1-0.928)*VERI_TABANI!$B$9, 0) + (VERI_TABANI!D26*B130*(VERI_TABANI!$B$13-VERI_TABANI!$B$14)*VERI_TABANI!G26) + (VERI_TABANI!D26*C130*(VERI_TABANI!$B$13-VERI_TABANI!$B$15)*VERI_TABANI!G26) + IF(ABS(IF(ISNUMBER(SEARCH("Var", D130)), 1, IF(ISNUMBER(SEARCH("Gri", D130)), -1, 0)))=1, VERI_TABANI!E26*(1-0.928)*0.00206091519919798*VERI_TABANI!G26, 0)) + ((MIN(VERI_TABANI!D27, VERI_TABANI!D27*B130)*VERI_TABANI!$B$7 + MAX(0, VERI_TABANI!D27*B130-VERI_TABANI!D27)*VERI_TABANI!$B$8) + (MIN(MAX(0, VERI_TABANI!D27-VERI_TABANI!D27*B130), VERI_TABANI!D27*C130)*VERI_TABANI!$B$7 + MAX(0, VERI_TABANI!D27*C130-MAX(0, VERI_TABANI!D27-VERI_TABANI!D27*B130))*VERI_TABANI!$B$8) + IF(ABS(IF(ISNUMBER(SEARCH("Var", D130)), 1, IF(ISNUMBER(SEARCH("Gri", D130)), -1, 0)))=1, VERI_TABANI!E27*(1-0.928)*VERI_TABANI!$B$9, 0) + (VERI_TABANI!D27*B130*(VERI_TABANI!$B$13-VERI_TABANI!$B$14)*VERI_TABANI!G27) + (VERI_TABANI!D27*C130*(VERI_TABANI!$B$13-VERI_TABANI!$B$15)*VERI_TABANI!G27) + IF(ABS(IF(ISNUMBER(SEARCH("Var", D130)), 1, IF(ISNUMBER(SEARCH("Gri", D130)), -1, 0)))=1, VERI_TABANI!E27*(1-0.928)*0.00206091519919798*VERI_TABANI!G27, 0)) + ((MIN(VERI_TABANI!D28, VERI_TABANI!D28*B130)*VERI_TABANI!$B$7 + MAX(0, VERI_TABANI!D28*B130-VERI_TABANI!D28)*VERI_TABANI!$B$8) + (MIN(MAX(0, VERI_TABANI!D28-VERI_TABANI!D28*B130), VERI_TABANI!D28*C130)*VERI_TABANI!$B$7 + MAX(0, VERI_TABANI!D28*C130-MAX(0, VERI_TABANI!D28-VERI_TABANI!D28*B130))*VERI_TABANI!$B$8) + IF(ABS(IF(ISNUMBER(SEARCH("Var", D130)), 1, IF(ISNUMBER(SEARCH("Gri", D130)), -1, 0)))=1, VERI_TABANI!E28*(1-0.928)*VERI_TABANI!$B$9, 0) + (VERI_TABANI!D28*B130*(VERI_TABANI!$B$13-VERI_TABANI!$B$14)*VERI_TABANI!G28) + (VERI_TABANI!D28*C130*(VERI_TABANI!$B$13-VERI_TABANI!$B$15)*VERI_TABANI!G28) + IF(ABS(IF(ISNUMBER(SEARCH("Var", D130)), 1, IF(ISNUMBER(SEARCH("Gri", D130)), -1, 0)))=1, VERI_TABANI!E28*(1-0.928)*0.00206091519919798*VERI_TABANI!G28, 0)))</f>
        <v/>
      </c>
      <c r="H130" s="169">
        <f>(((VERI_TABANI!D23*B130*(VERI_TABANI!$B$13-VERI_TABANI!$B$14)) + (VERI_TABANI!D23*C130*(VERI_TABANI!$B$13-VERI_TABANI!$B$15)) + IF(ISNUMBER(SEARCH("Var", D130)), VERI_TABANI!F23*(0.00202-VERI_TABANI!$B$16), IF(ISNUMBER(SEARCH("Gri", D130)), VERI_TABANI!F23*(0.00202-VERI_TABANI!$B$17), 0))) + ((VERI_TABANI!D24*B130*(VERI_TABANI!$B$13-VERI_TABANI!$B$14)) + (VERI_TABANI!D24*C130*(VERI_TABANI!$B$13-VERI_TABANI!$B$15)) + IF(ISNUMBER(SEARCH("Var", D130)), VERI_TABANI!F24*(0.00202-VERI_TABANI!$B$16), IF(ISNUMBER(SEARCH("Gri", D130)), VERI_TABANI!F24*(0.00202-VERI_TABANI!$B$17), 0))) + ((VERI_TABANI!D25*B130*(VERI_TABANI!$B$13-VERI_TABANI!$B$14)) + (VERI_TABANI!D25*C130*(VERI_TABANI!$B$13-VERI_TABANI!$B$15)) + IF(ISNUMBER(SEARCH("Var", D130)), VERI_TABANI!F25*(0.00202-VERI_TABANI!$B$16), IF(ISNUMBER(SEARCH("Gri", D130)), VERI_TABANI!F25*(0.00202-VERI_TABANI!$B$17), 0))) + ((VERI_TABANI!D26*B130*(VERI_TABANI!$B$13-VERI_TABANI!$B$14)) + (VERI_TABANI!D26*C130*(VERI_TABANI!$B$13-VERI_TABANI!$B$15)) + IF(ISNUMBER(SEARCH("Var", D130)), VERI_TABANI!F26*(0.00202-VERI_TABANI!$B$16), IF(ISNUMBER(SEARCH("Gri", D130)), VERI_TABANI!F26*(0.00202-VERI_TABANI!$B$17), 0))) + ((VERI_TABANI!D27*B130*(VERI_TABANI!$B$13-VERI_TABANI!$B$14)) + (VERI_TABANI!D27*C130*(VERI_TABANI!$B$13-VERI_TABANI!$B$15)) + IF(ISNUMBER(SEARCH("Var", D130)), VERI_TABANI!F27*(0.00202-VERI_TABANI!$B$16), IF(ISNUMBER(SEARCH("Gri", D130)), VERI_TABANI!F27*(0.00202-VERI_TABANI!$B$17), 0))) + ((VERI_TABANI!D28*B130*(VERI_TABANI!$B$13-VERI_TABANI!$B$14)) + (VERI_TABANI!D28*C130*(VERI_TABANI!$B$13-VERI_TABANI!$B$15)) + IF(ISNUMBER(SEARCH("Var", D130)), VERI_TABANI!F28*(0.00202-VERI_TABANI!$B$16), IF(ISNUMBER(SEARCH("Gri", D130)), VERI_TABANI!F28*(0.00202-VERI_TABANI!$B$17), 0))))</f>
        <v/>
      </c>
      <c r="I130" s="170">
        <f>IFERROR(((VERI_TABANI!$D$29*B130*VERI_TABANI!$B$14 + VERI_TABANI!$D$29*C130*VERI_TABANI!$B$15 + IF(ISNUMBER(SEARCH("Var", D130)), VERI_TABANI!$F$29*VERI_TABANI!$B$16, 0))) / (((VERI_TABANI!$D$29*B130 + VERI_TABANI!$D$29*C130)*VERI_TABANI!$B$13 + IF(ISNUMBER(SEARCH("Var", D130)), VERI_TABANI!$E$29*(1-0.928)*VERI_TABANI!$B$18, 0))), 0)</f>
        <v/>
      </c>
      <c r="J130" s="171">
        <f>IFERROR(F130/(G130/29), 0)</f>
        <v/>
      </c>
      <c r="K130" s="172">
        <f>IF(F130&gt;0, H130/F130, 0)</f>
        <v/>
      </c>
      <c r="L130" s="170">
        <f>IF(F130&gt;0, I130, 1000000000)</f>
        <v/>
      </c>
      <c r="M130" s="171">
        <f>ABS((B130+C130)-1)</f>
        <v/>
      </c>
      <c r="N130" s="170">
        <f>IF(F130&gt;0, (G130/29)/F130, 0)</f>
        <v/>
      </c>
      <c r="O130" s="168">
        <f>IF(AND((B130+C130)&gt;=1, ISNUMBER(SEARCH("Var", D130))), F130, 1000000000)</f>
        <v/>
      </c>
      <c r="P130" s="172">
        <f>IF(F130&gt;0, SQRT((F130/MAX(F$5:F$886))^2 + (1 - H130/MAX(H$5:H$886))^2 + (J130/MAX(J$5:J$886))^2), 1000000000)</f>
        <v/>
      </c>
      <c r="Q130" s="166">
        <f>IF(AND(ABS(B130-0.5)&lt;0.01, ABS(C130-0.5)&lt;0.01, ISNUMBER(SEARCH("Var", D130))), 1, 0)</f>
        <v/>
      </c>
      <c r="R130" s="171">
        <f>IF(F130&gt;0, J130, 1000000000)</f>
        <v/>
      </c>
      <c r="S130" s="101">
        <f>IF(AND(F130&lt;=DASHBOARD!$B$11, H130&gt;=DASHBOARD!$B$13), G130, -1000000000000)</f>
        <v/>
      </c>
      <c r="T130" s="101">
        <f>IF(AND(F130&lt;=DASHBOARD!$B$11, H130&gt;=DASHBOARD!$B$13), R130, 1000000000000)</f>
        <v/>
      </c>
      <c r="U130" s="101">
        <f>IF(AND(F130&lt;=DASHBOARD!$B$11, H130&gt;=DASHBOARD!$B$13), N130, -1000000000000)</f>
        <v/>
      </c>
      <c r="V130" s="101">
        <f>IF(AND(F130&lt;=DASHBOARD!$B$11, H130&gt;=DASHBOARD!$B$13), H130, -1000000000000)</f>
        <v/>
      </c>
      <c r="W130" s="101">
        <f>IF(AND(F130&lt;=DASHBOARD!$B$11, H130&gt;=DASHBOARD!$B$13), K130, -1000000000000)</f>
        <v/>
      </c>
      <c r="X130" s="101">
        <f>IF(AND(F130&lt;=DASHBOARD!$B$11, H130&gt;=DASHBOARD!$B$13), M130, 1000000000000)</f>
        <v/>
      </c>
      <c r="Y130" s="101">
        <f>IF(AND(F130&lt;=DASHBOARD!$B$10, H130&gt;=DASHBOARD!$B$11), L130, 1000000000000)</f>
        <v/>
      </c>
      <c r="Z130" s="101">
        <f>IF(AND(F130&lt;=DASHBOARD!$B$10, H130&gt;=DASHBOARD!$B$11), O130, 1000000000000)</f>
        <v/>
      </c>
      <c r="AA130" s="101">
        <f>IF(AND(F130&lt;=DASHBOARD!$B$10, H130&gt;=DASHBOARD!$B$11), P130, 1000000000000)</f>
        <v/>
      </c>
      <c r="AB130" s="101">
        <f>IF(AND(F130&lt;=DASHBOARD!$B$10, H130&gt;=DASHBOARD!$B$11), Q130, -1000000000000)</f>
        <v/>
      </c>
    </row>
    <row r="131" ht="12.75" customHeight="1" s="102">
      <c r="A131" s="166" t="n">
        <v>127</v>
      </c>
      <c r="B131" s="167" t="n">
        <v>0.3</v>
      </c>
      <c r="C131" s="167" t="n">
        <v>0</v>
      </c>
      <c r="D131" s="110" t="inlineStr">
        <is>
          <t>Yok (%0)</t>
        </is>
      </c>
      <c r="E131" s="110">
        <f>IF((B131+C131)&lt;=1, "Tam Mahsuplaşma (≤%100)", "Kısmi Satış (&gt;%100)")</f>
        <v/>
      </c>
      <c r="F131" s="168">
        <f>((VERI_TABANI!$D$29*B131/VERI_TABANI!$B$29)/VERI_TABANI!$B$3)*VERI_TABANI!$B$5 + ((VERI_TABANI!$D$29*C131/VERI_TABANI!$B$29)/VERI_TABANI!$B$4)*VERI_TABANI!$B$6 + IF(ISNUMBER(SEARCH("Var", D131)), (VERI_TABANI!$F$29/VERI_TABANI!$B$29)*(VERI_TABANI!$B$10+VERI_TABANI!$B$12), 0)</f>
        <v/>
      </c>
      <c r="G131" s="168">
        <f>(((MIN(VERI_TABANI!D23, VERI_TABANI!D23*B131)*VERI_TABANI!$B$7 + MAX(0, VERI_TABANI!D23*B131-VERI_TABANI!D23)*VERI_TABANI!$B$8) + (MIN(MAX(0, VERI_TABANI!D23-VERI_TABANI!D23*B131), VERI_TABANI!D23*C131)*VERI_TABANI!$B$7 + MAX(0, VERI_TABANI!D23*C131-MAX(0, VERI_TABANI!D23-VERI_TABANI!D23*B131))*VERI_TABANI!$B$8) + IF(ABS(IF(ISNUMBER(SEARCH("Var", D131)), 1, IF(ISNUMBER(SEARCH("Gri", D131)), -1, 0)))=1, VERI_TABANI!E23*(1-0.928)*VERI_TABANI!$B$9, 0) + (VERI_TABANI!D23*B131*(VERI_TABANI!$B$13-VERI_TABANI!$B$14)*VERI_TABANI!G23) + (VERI_TABANI!D23*C131*(VERI_TABANI!$B$13-VERI_TABANI!$B$15)*VERI_TABANI!G23) + IF(ABS(IF(ISNUMBER(SEARCH("Var", D131)), 1, IF(ISNUMBER(SEARCH("Gri", D131)), -1, 0)))=1, VERI_TABANI!E23*(1-0.928)*0.00206091519919798*VERI_TABANI!G23, 0)) + ((MIN(VERI_TABANI!D24, VERI_TABANI!D24*B131)*VERI_TABANI!$B$7 + MAX(0, VERI_TABANI!D24*B131-VERI_TABANI!D24)*VERI_TABANI!$B$8) + (MIN(MAX(0, VERI_TABANI!D24-VERI_TABANI!D24*B131), VERI_TABANI!D24*C131)*VERI_TABANI!$B$7 + MAX(0, VERI_TABANI!D24*C131-MAX(0, VERI_TABANI!D24-VERI_TABANI!D24*B131))*VERI_TABANI!$B$8) + IF(ABS(IF(ISNUMBER(SEARCH("Var", D131)), 1, IF(ISNUMBER(SEARCH("Gri", D131)), -1, 0)))=1, VERI_TABANI!E24*(1-0.928)*VERI_TABANI!$B$9, 0) + (VERI_TABANI!D24*B131*(VERI_TABANI!$B$13-VERI_TABANI!$B$14)*VERI_TABANI!G24) + (VERI_TABANI!D24*C131*(VERI_TABANI!$B$13-VERI_TABANI!$B$15)*VERI_TABANI!G24) + IF(ABS(IF(ISNUMBER(SEARCH("Var", D131)), 1, IF(ISNUMBER(SEARCH("Gri", D131)), -1, 0)))=1, VERI_TABANI!E24*(1-0.928)*0.00206091519919798*VERI_TABANI!G24, 0)) + ((MIN(VERI_TABANI!D25, VERI_TABANI!D25*B131)*VERI_TABANI!$B$7 + MAX(0, VERI_TABANI!D25*B131-VERI_TABANI!D25)*VERI_TABANI!$B$8) + (MIN(MAX(0, VERI_TABANI!D25-VERI_TABANI!D25*B131), VERI_TABANI!D25*C131)*VERI_TABANI!$B$7 + MAX(0, VERI_TABANI!D25*C131-MAX(0, VERI_TABANI!D25-VERI_TABANI!D25*B131))*VERI_TABANI!$B$8) + IF(ABS(IF(ISNUMBER(SEARCH("Var", D131)), 1, IF(ISNUMBER(SEARCH("Gri", D131)), -1, 0)))=1, VERI_TABANI!E25*(1-0.928)*VERI_TABANI!$B$9, 0) + (VERI_TABANI!D25*B131*(VERI_TABANI!$B$13-VERI_TABANI!$B$14)*VERI_TABANI!G25) + (VERI_TABANI!D25*C131*(VERI_TABANI!$B$13-VERI_TABANI!$B$15)*VERI_TABANI!G25) + IF(ABS(IF(ISNUMBER(SEARCH("Var", D131)), 1, IF(ISNUMBER(SEARCH("Gri", D131)), -1, 0)))=1, VERI_TABANI!E25*(1-0.928)*0.00206091519919798*VERI_TABANI!G25, 0)) + ((MIN(VERI_TABANI!D26, VERI_TABANI!D26*B131)*VERI_TABANI!$B$7 + MAX(0, VERI_TABANI!D26*B131-VERI_TABANI!D26)*VERI_TABANI!$B$8) + (MIN(MAX(0, VERI_TABANI!D26-VERI_TABANI!D26*B131), VERI_TABANI!D26*C131)*VERI_TABANI!$B$7 + MAX(0, VERI_TABANI!D26*C131-MAX(0, VERI_TABANI!D26-VERI_TABANI!D26*B131))*VERI_TABANI!$B$8) + IF(ABS(IF(ISNUMBER(SEARCH("Var", D131)), 1, IF(ISNUMBER(SEARCH("Gri", D131)), -1, 0)))=1, VERI_TABANI!E26*(1-0.928)*VERI_TABANI!$B$9, 0) + (VERI_TABANI!D26*B131*(VERI_TABANI!$B$13-VERI_TABANI!$B$14)*VERI_TABANI!G26) + (VERI_TABANI!D26*C131*(VERI_TABANI!$B$13-VERI_TABANI!$B$15)*VERI_TABANI!G26) + IF(ABS(IF(ISNUMBER(SEARCH("Var", D131)), 1, IF(ISNUMBER(SEARCH("Gri", D131)), -1, 0)))=1, VERI_TABANI!E26*(1-0.928)*0.00206091519919798*VERI_TABANI!G26, 0)) + ((MIN(VERI_TABANI!D27, VERI_TABANI!D27*B131)*VERI_TABANI!$B$7 + MAX(0, VERI_TABANI!D27*B131-VERI_TABANI!D27)*VERI_TABANI!$B$8) + (MIN(MAX(0, VERI_TABANI!D27-VERI_TABANI!D27*B131), VERI_TABANI!D27*C131)*VERI_TABANI!$B$7 + MAX(0, VERI_TABANI!D27*C131-MAX(0, VERI_TABANI!D27-VERI_TABANI!D27*B131))*VERI_TABANI!$B$8) + IF(ABS(IF(ISNUMBER(SEARCH("Var", D131)), 1, IF(ISNUMBER(SEARCH("Gri", D131)), -1, 0)))=1, VERI_TABANI!E27*(1-0.928)*VERI_TABANI!$B$9, 0) + (VERI_TABANI!D27*B131*(VERI_TABANI!$B$13-VERI_TABANI!$B$14)*VERI_TABANI!G27) + (VERI_TABANI!D27*C131*(VERI_TABANI!$B$13-VERI_TABANI!$B$15)*VERI_TABANI!G27) + IF(ABS(IF(ISNUMBER(SEARCH("Var", D131)), 1, IF(ISNUMBER(SEARCH("Gri", D131)), -1, 0)))=1, VERI_TABANI!E27*(1-0.928)*0.00206091519919798*VERI_TABANI!G27, 0)) + ((MIN(VERI_TABANI!D28, VERI_TABANI!D28*B131)*VERI_TABANI!$B$7 + MAX(0, VERI_TABANI!D28*B131-VERI_TABANI!D28)*VERI_TABANI!$B$8) + (MIN(MAX(0, VERI_TABANI!D28-VERI_TABANI!D28*B131), VERI_TABANI!D28*C131)*VERI_TABANI!$B$7 + MAX(0, VERI_TABANI!D28*C131-MAX(0, VERI_TABANI!D28-VERI_TABANI!D28*B131))*VERI_TABANI!$B$8) + IF(ABS(IF(ISNUMBER(SEARCH("Var", D131)), 1, IF(ISNUMBER(SEARCH("Gri", D131)), -1, 0)))=1, VERI_TABANI!E28*(1-0.928)*VERI_TABANI!$B$9, 0) + (VERI_TABANI!D28*B131*(VERI_TABANI!$B$13-VERI_TABANI!$B$14)*VERI_TABANI!G28) + (VERI_TABANI!D28*C131*(VERI_TABANI!$B$13-VERI_TABANI!$B$15)*VERI_TABANI!G28) + IF(ABS(IF(ISNUMBER(SEARCH("Var", D131)), 1, IF(ISNUMBER(SEARCH("Gri", D131)), -1, 0)))=1, VERI_TABANI!E28*(1-0.928)*0.00206091519919798*VERI_TABANI!G28, 0)))</f>
        <v/>
      </c>
      <c r="H131" s="169">
        <f>(((VERI_TABANI!D23*B131*(VERI_TABANI!$B$13-VERI_TABANI!$B$14)) + (VERI_TABANI!D23*C131*(VERI_TABANI!$B$13-VERI_TABANI!$B$15)) + IF(ISNUMBER(SEARCH("Var", D131)), VERI_TABANI!F23*(0.00202-VERI_TABANI!$B$16), IF(ISNUMBER(SEARCH("Gri", D131)), VERI_TABANI!F23*(0.00202-VERI_TABANI!$B$17), 0))) + ((VERI_TABANI!D24*B131*(VERI_TABANI!$B$13-VERI_TABANI!$B$14)) + (VERI_TABANI!D24*C131*(VERI_TABANI!$B$13-VERI_TABANI!$B$15)) + IF(ISNUMBER(SEARCH("Var", D131)), VERI_TABANI!F24*(0.00202-VERI_TABANI!$B$16), IF(ISNUMBER(SEARCH("Gri", D131)), VERI_TABANI!F24*(0.00202-VERI_TABANI!$B$17), 0))) + ((VERI_TABANI!D25*B131*(VERI_TABANI!$B$13-VERI_TABANI!$B$14)) + (VERI_TABANI!D25*C131*(VERI_TABANI!$B$13-VERI_TABANI!$B$15)) + IF(ISNUMBER(SEARCH("Var", D131)), VERI_TABANI!F25*(0.00202-VERI_TABANI!$B$16), IF(ISNUMBER(SEARCH("Gri", D131)), VERI_TABANI!F25*(0.00202-VERI_TABANI!$B$17), 0))) + ((VERI_TABANI!D26*B131*(VERI_TABANI!$B$13-VERI_TABANI!$B$14)) + (VERI_TABANI!D26*C131*(VERI_TABANI!$B$13-VERI_TABANI!$B$15)) + IF(ISNUMBER(SEARCH("Var", D131)), VERI_TABANI!F26*(0.00202-VERI_TABANI!$B$16), IF(ISNUMBER(SEARCH("Gri", D131)), VERI_TABANI!F26*(0.00202-VERI_TABANI!$B$17), 0))) + ((VERI_TABANI!D27*B131*(VERI_TABANI!$B$13-VERI_TABANI!$B$14)) + (VERI_TABANI!D27*C131*(VERI_TABANI!$B$13-VERI_TABANI!$B$15)) + IF(ISNUMBER(SEARCH("Var", D131)), VERI_TABANI!F27*(0.00202-VERI_TABANI!$B$16), IF(ISNUMBER(SEARCH("Gri", D131)), VERI_TABANI!F27*(0.00202-VERI_TABANI!$B$17), 0))) + ((VERI_TABANI!D28*B131*(VERI_TABANI!$B$13-VERI_TABANI!$B$14)) + (VERI_TABANI!D28*C131*(VERI_TABANI!$B$13-VERI_TABANI!$B$15)) + IF(ISNUMBER(SEARCH("Var", D131)), VERI_TABANI!F28*(0.00202-VERI_TABANI!$B$16), IF(ISNUMBER(SEARCH("Gri", D131)), VERI_TABANI!F28*(0.00202-VERI_TABANI!$B$17), 0))))</f>
        <v/>
      </c>
      <c r="I131" s="170">
        <f>IFERROR(((VERI_TABANI!$D$29*B131*VERI_TABANI!$B$14 + VERI_TABANI!$D$29*C131*VERI_TABANI!$B$15 + IF(ISNUMBER(SEARCH("Var", D131)), VERI_TABANI!$F$29*VERI_TABANI!$B$16, 0))) / (((VERI_TABANI!$D$29*B131 + VERI_TABANI!$D$29*C131)*VERI_TABANI!$B$13 + IF(ISNUMBER(SEARCH("Var", D131)), VERI_TABANI!$E$29*(1-0.928)*VERI_TABANI!$B$18, 0))), 0)</f>
        <v/>
      </c>
      <c r="J131" s="171">
        <f>IFERROR(F131/(G131/29), 0)</f>
        <v/>
      </c>
      <c r="K131" s="172">
        <f>IF(F131&gt;0, H131/F131, 0)</f>
        <v/>
      </c>
      <c r="L131" s="170">
        <f>IF(F131&gt;0, I131, 1000000000)</f>
        <v/>
      </c>
      <c r="M131" s="171">
        <f>ABS((B131+C131)-1)</f>
        <v/>
      </c>
      <c r="N131" s="170">
        <f>IF(F131&gt;0, (G131/29)/F131, 0)</f>
        <v/>
      </c>
      <c r="O131" s="168">
        <f>IF(AND((B131+C131)&gt;=1, ISNUMBER(SEARCH("Var", D131))), F131, 1000000000)</f>
        <v/>
      </c>
      <c r="P131" s="172">
        <f>IF(F131&gt;0, SQRT((F131/MAX(F$5:F$886))^2 + (1 - H131/MAX(H$5:H$886))^2 + (J131/MAX(J$5:J$886))^2), 1000000000)</f>
        <v/>
      </c>
      <c r="Q131" s="166">
        <f>IF(AND(ABS(B131-0.5)&lt;0.01, ABS(C131-0.5)&lt;0.01, ISNUMBER(SEARCH("Var", D131))), 1, 0)</f>
        <v/>
      </c>
      <c r="R131" s="171">
        <f>IF(F131&gt;0, J131, 1000000000)</f>
        <v/>
      </c>
      <c r="S131" s="101">
        <f>IF(AND(F131&lt;=DASHBOARD!$B$11, H131&gt;=DASHBOARD!$B$13), G131, -1000000000000)</f>
        <v/>
      </c>
      <c r="T131" s="101">
        <f>IF(AND(F131&lt;=DASHBOARD!$B$11, H131&gt;=DASHBOARD!$B$13), R131, 1000000000000)</f>
        <v/>
      </c>
      <c r="U131" s="101">
        <f>IF(AND(F131&lt;=DASHBOARD!$B$11, H131&gt;=DASHBOARD!$B$13), N131, -1000000000000)</f>
        <v/>
      </c>
      <c r="V131" s="101">
        <f>IF(AND(F131&lt;=DASHBOARD!$B$11, H131&gt;=DASHBOARD!$B$13), H131, -1000000000000)</f>
        <v/>
      </c>
      <c r="W131" s="101">
        <f>IF(AND(F131&lt;=DASHBOARD!$B$11, H131&gt;=DASHBOARD!$B$13), K131, -1000000000000)</f>
        <v/>
      </c>
      <c r="X131" s="101">
        <f>IF(AND(F131&lt;=DASHBOARD!$B$11, H131&gt;=DASHBOARD!$B$13), M131, 1000000000000)</f>
        <v/>
      </c>
      <c r="Y131" s="101">
        <f>IF(AND(F131&lt;=DASHBOARD!$B$10, H131&gt;=DASHBOARD!$B$11), L131, 1000000000000)</f>
        <v/>
      </c>
      <c r="Z131" s="101">
        <f>IF(AND(F131&lt;=DASHBOARD!$B$10, H131&gt;=DASHBOARD!$B$11), O131, 1000000000000)</f>
        <v/>
      </c>
      <c r="AA131" s="101">
        <f>IF(AND(F131&lt;=DASHBOARD!$B$10, H131&gt;=DASHBOARD!$B$11), P131, 1000000000000)</f>
        <v/>
      </c>
      <c r="AB131" s="101">
        <f>IF(AND(F131&lt;=DASHBOARD!$B$10, H131&gt;=DASHBOARD!$B$11), Q131, -1000000000000)</f>
        <v/>
      </c>
    </row>
    <row r="132" ht="12.75" customHeight="1" s="102">
      <c r="A132" s="166" t="n">
        <v>128</v>
      </c>
      <c r="B132" s="167" t="n">
        <v>0.3</v>
      </c>
      <c r="C132" s="167" t="n">
        <v>0</v>
      </c>
      <c r="D132" s="110" t="inlineStr">
        <is>
          <t>Var (%20)</t>
        </is>
      </c>
      <c r="E132" s="110">
        <f>IF((B132+C132)&lt;=1, "Tam Mahsuplaşma (≤%100)", "Kısmi Satış (&gt;%100)")</f>
        <v/>
      </c>
      <c r="F132" s="168">
        <f>((VERI_TABANI!$D$29*B132/VERI_TABANI!$B$29)/VERI_TABANI!$B$3)*VERI_TABANI!$B$5 + ((VERI_TABANI!$D$29*C132/VERI_TABANI!$B$29)/VERI_TABANI!$B$4)*VERI_TABANI!$B$6 + IF(ISNUMBER(SEARCH("Var", D132)), (VERI_TABANI!$F$29/VERI_TABANI!$B$29)*(VERI_TABANI!$B$10+VERI_TABANI!$B$12), 0)</f>
        <v/>
      </c>
      <c r="G132" s="168">
        <f>(((MIN(VERI_TABANI!D23, VERI_TABANI!D23*B132)*VERI_TABANI!$B$7 + MAX(0, VERI_TABANI!D23*B132-VERI_TABANI!D23)*VERI_TABANI!$B$8) + (MIN(MAX(0, VERI_TABANI!D23-VERI_TABANI!D23*B132), VERI_TABANI!D23*C132)*VERI_TABANI!$B$7 + MAX(0, VERI_TABANI!D23*C132-MAX(0, VERI_TABANI!D23-VERI_TABANI!D23*B132))*VERI_TABANI!$B$8) + IF(ABS(IF(ISNUMBER(SEARCH("Var", D132)), 1, IF(ISNUMBER(SEARCH("Gri", D132)), -1, 0)))=1, VERI_TABANI!E23*(1-0.928)*VERI_TABANI!$B$9, 0) + (VERI_TABANI!D23*B132*(VERI_TABANI!$B$13-VERI_TABANI!$B$14)*VERI_TABANI!G23) + (VERI_TABANI!D23*C132*(VERI_TABANI!$B$13-VERI_TABANI!$B$15)*VERI_TABANI!G23) + IF(ABS(IF(ISNUMBER(SEARCH("Var", D132)), 1, IF(ISNUMBER(SEARCH("Gri", D132)), -1, 0)))=1, VERI_TABANI!E23*(1-0.928)*0.00206091519919798*VERI_TABANI!G23, 0)) + ((MIN(VERI_TABANI!D24, VERI_TABANI!D24*B132)*VERI_TABANI!$B$7 + MAX(0, VERI_TABANI!D24*B132-VERI_TABANI!D24)*VERI_TABANI!$B$8) + (MIN(MAX(0, VERI_TABANI!D24-VERI_TABANI!D24*B132), VERI_TABANI!D24*C132)*VERI_TABANI!$B$7 + MAX(0, VERI_TABANI!D24*C132-MAX(0, VERI_TABANI!D24-VERI_TABANI!D24*B132))*VERI_TABANI!$B$8) + IF(ABS(IF(ISNUMBER(SEARCH("Var", D132)), 1, IF(ISNUMBER(SEARCH("Gri", D132)), -1, 0)))=1, VERI_TABANI!E24*(1-0.928)*VERI_TABANI!$B$9, 0) + (VERI_TABANI!D24*B132*(VERI_TABANI!$B$13-VERI_TABANI!$B$14)*VERI_TABANI!G24) + (VERI_TABANI!D24*C132*(VERI_TABANI!$B$13-VERI_TABANI!$B$15)*VERI_TABANI!G24) + IF(ABS(IF(ISNUMBER(SEARCH("Var", D132)), 1, IF(ISNUMBER(SEARCH("Gri", D132)), -1, 0)))=1, VERI_TABANI!E24*(1-0.928)*0.00206091519919798*VERI_TABANI!G24, 0)) + ((MIN(VERI_TABANI!D25, VERI_TABANI!D25*B132)*VERI_TABANI!$B$7 + MAX(0, VERI_TABANI!D25*B132-VERI_TABANI!D25)*VERI_TABANI!$B$8) + (MIN(MAX(0, VERI_TABANI!D25-VERI_TABANI!D25*B132), VERI_TABANI!D25*C132)*VERI_TABANI!$B$7 + MAX(0, VERI_TABANI!D25*C132-MAX(0, VERI_TABANI!D25-VERI_TABANI!D25*B132))*VERI_TABANI!$B$8) + IF(ABS(IF(ISNUMBER(SEARCH("Var", D132)), 1, IF(ISNUMBER(SEARCH("Gri", D132)), -1, 0)))=1, VERI_TABANI!E25*(1-0.928)*VERI_TABANI!$B$9, 0) + (VERI_TABANI!D25*B132*(VERI_TABANI!$B$13-VERI_TABANI!$B$14)*VERI_TABANI!G25) + (VERI_TABANI!D25*C132*(VERI_TABANI!$B$13-VERI_TABANI!$B$15)*VERI_TABANI!G25) + IF(ABS(IF(ISNUMBER(SEARCH("Var", D132)), 1, IF(ISNUMBER(SEARCH("Gri", D132)), -1, 0)))=1, VERI_TABANI!E25*(1-0.928)*0.00206091519919798*VERI_TABANI!G25, 0)) + ((MIN(VERI_TABANI!D26, VERI_TABANI!D26*B132)*VERI_TABANI!$B$7 + MAX(0, VERI_TABANI!D26*B132-VERI_TABANI!D26)*VERI_TABANI!$B$8) + (MIN(MAX(0, VERI_TABANI!D26-VERI_TABANI!D26*B132), VERI_TABANI!D26*C132)*VERI_TABANI!$B$7 + MAX(0, VERI_TABANI!D26*C132-MAX(0, VERI_TABANI!D26-VERI_TABANI!D26*B132))*VERI_TABANI!$B$8) + IF(ABS(IF(ISNUMBER(SEARCH("Var", D132)), 1, IF(ISNUMBER(SEARCH("Gri", D132)), -1, 0)))=1, VERI_TABANI!E26*(1-0.928)*VERI_TABANI!$B$9, 0) + (VERI_TABANI!D26*B132*(VERI_TABANI!$B$13-VERI_TABANI!$B$14)*VERI_TABANI!G26) + (VERI_TABANI!D26*C132*(VERI_TABANI!$B$13-VERI_TABANI!$B$15)*VERI_TABANI!G26) + IF(ABS(IF(ISNUMBER(SEARCH("Var", D132)), 1, IF(ISNUMBER(SEARCH("Gri", D132)), -1, 0)))=1, VERI_TABANI!E26*(1-0.928)*0.00206091519919798*VERI_TABANI!G26, 0)) + ((MIN(VERI_TABANI!D27, VERI_TABANI!D27*B132)*VERI_TABANI!$B$7 + MAX(0, VERI_TABANI!D27*B132-VERI_TABANI!D27)*VERI_TABANI!$B$8) + (MIN(MAX(0, VERI_TABANI!D27-VERI_TABANI!D27*B132), VERI_TABANI!D27*C132)*VERI_TABANI!$B$7 + MAX(0, VERI_TABANI!D27*C132-MAX(0, VERI_TABANI!D27-VERI_TABANI!D27*B132))*VERI_TABANI!$B$8) + IF(ABS(IF(ISNUMBER(SEARCH("Var", D132)), 1, IF(ISNUMBER(SEARCH("Gri", D132)), -1, 0)))=1, VERI_TABANI!E27*(1-0.928)*VERI_TABANI!$B$9, 0) + (VERI_TABANI!D27*B132*(VERI_TABANI!$B$13-VERI_TABANI!$B$14)*VERI_TABANI!G27) + (VERI_TABANI!D27*C132*(VERI_TABANI!$B$13-VERI_TABANI!$B$15)*VERI_TABANI!G27) + IF(ABS(IF(ISNUMBER(SEARCH("Var", D132)), 1, IF(ISNUMBER(SEARCH("Gri", D132)), -1, 0)))=1, VERI_TABANI!E27*(1-0.928)*0.00206091519919798*VERI_TABANI!G27, 0)) + ((MIN(VERI_TABANI!D28, VERI_TABANI!D28*B132)*VERI_TABANI!$B$7 + MAX(0, VERI_TABANI!D28*B132-VERI_TABANI!D28)*VERI_TABANI!$B$8) + (MIN(MAX(0, VERI_TABANI!D28-VERI_TABANI!D28*B132), VERI_TABANI!D28*C132)*VERI_TABANI!$B$7 + MAX(0, VERI_TABANI!D28*C132-MAX(0, VERI_TABANI!D28-VERI_TABANI!D28*B132))*VERI_TABANI!$B$8) + IF(ABS(IF(ISNUMBER(SEARCH("Var", D132)), 1, IF(ISNUMBER(SEARCH("Gri", D132)), -1, 0)))=1, VERI_TABANI!E28*(1-0.928)*VERI_TABANI!$B$9, 0) + (VERI_TABANI!D28*B132*(VERI_TABANI!$B$13-VERI_TABANI!$B$14)*VERI_TABANI!G28) + (VERI_TABANI!D28*C132*(VERI_TABANI!$B$13-VERI_TABANI!$B$15)*VERI_TABANI!G28) + IF(ABS(IF(ISNUMBER(SEARCH("Var", D132)), 1, IF(ISNUMBER(SEARCH("Gri", D132)), -1, 0)))=1, VERI_TABANI!E28*(1-0.928)*0.00206091519919798*VERI_TABANI!G28, 0)))</f>
        <v/>
      </c>
      <c r="H132" s="169">
        <f>(((VERI_TABANI!D23*B132*(VERI_TABANI!$B$13-VERI_TABANI!$B$14)) + (VERI_TABANI!D23*C132*(VERI_TABANI!$B$13-VERI_TABANI!$B$15)) + IF(ISNUMBER(SEARCH("Var", D132)), VERI_TABANI!F23*(0.00202-VERI_TABANI!$B$16), IF(ISNUMBER(SEARCH("Gri", D132)), VERI_TABANI!F23*(0.00202-VERI_TABANI!$B$17), 0))) + ((VERI_TABANI!D24*B132*(VERI_TABANI!$B$13-VERI_TABANI!$B$14)) + (VERI_TABANI!D24*C132*(VERI_TABANI!$B$13-VERI_TABANI!$B$15)) + IF(ISNUMBER(SEARCH("Var", D132)), VERI_TABANI!F24*(0.00202-VERI_TABANI!$B$16), IF(ISNUMBER(SEARCH("Gri", D132)), VERI_TABANI!F24*(0.00202-VERI_TABANI!$B$17), 0))) + ((VERI_TABANI!D25*B132*(VERI_TABANI!$B$13-VERI_TABANI!$B$14)) + (VERI_TABANI!D25*C132*(VERI_TABANI!$B$13-VERI_TABANI!$B$15)) + IF(ISNUMBER(SEARCH("Var", D132)), VERI_TABANI!F25*(0.00202-VERI_TABANI!$B$16), IF(ISNUMBER(SEARCH("Gri", D132)), VERI_TABANI!F25*(0.00202-VERI_TABANI!$B$17), 0))) + ((VERI_TABANI!D26*B132*(VERI_TABANI!$B$13-VERI_TABANI!$B$14)) + (VERI_TABANI!D26*C132*(VERI_TABANI!$B$13-VERI_TABANI!$B$15)) + IF(ISNUMBER(SEARCH("Var", D132)), VERI_TABANI!F26*(0.00202-VERI_TABANI!$B$16), IF(ISNUMBER(SEARCH("Gri", D132)), VERI_TABANI!F26*(0.00202-VERI_TABANI!$B$17), 0))) + ((VERI_TABANI!D27*B132*(VERI_TABANI!$B$13-VERI_TABANI!$B$14)) + (VERI_TABANI!D27*C132*(VERI_TABANI!$B$13-VERI_TABANI!$B$15)) + IF(ISNUMBER(SEARCH("Var", D132)), VERI_TABANI!F27*(0.00202-VERI_TABANI!$B$16), IF(ISNUMBER(SEARCH("Gri", D132)), VERI_TABANI!F27*(0.00202-VERI_TABANI!$B$17), 0))) + ((VERI_TABANI!D28*B132*(VERI_TABANI!$B$13-VERI_TABANI!$B$14)) + (VERI_TABANI!D28*C132*(VERI_TABANI!$B$13-VERI_TABANI!$B$15)) + IF(ISNUMBER(SEARCH("Var", D132)), VERI_TABANI!F28*(0.00202-VERI_TABANI!$B$16), IF(ISNUMBER(SEARCH("Gri", D132)), VERI_TABANI!F28*(0.00202-VERI_TABANI!$B$17), 0))))</f>
        <v/>
      </c>
      <c r="I132" s="170">
        <f>IFERROR(((VERI_TABANI!$D$29*B132*VERI_TABANI!$B$14 + VERI_TABANI!$D$29*C132*VERI_TABANI!$B$15 + IF(ISNUMBER(SEARCH("Var", D132)), VERI_TABANI!$F$29*VERI_TABANI!$B$16, 0))) / (((VERI_TABANI!$D$29*B132 + VERI_TABANI!$D$29*C132)*VERI_TABANI!$B$13 + IF(ISNUMBER(SEARCH("Var", D132)), VERI_TABANI!$E$29*(1-0.928)*VERI_TABANI!$B$18, 0))), 0)</f>
        <v/>
      </c>
      <c r="J132" s="171">
        <f>IFERROR(F132/(G132/29), 0)</f>
        <v/>
      </c>
      <c r="K132" s="172">
        <f>IF(F132&gt;0, H132/F132, 0)</f>
        <v/>
      </c>
      <c r="L132" s="170">
        <f>IF(F132&gt;0, I132, 1000000000)</f>
        <v/>
      </c>
      <c r="M132" s="171">
        <f>ABS((B132+C132)-1)</f>
        <v/>
      </c>
      <c r="N132" s="170">
        <f>IF(F132&gt;0, (G132/29)/F132, 0)</f>
        <v/>
      </c>
      <c r="O132" s="168">
        <f>IF(AND((B132+C132)&gt;=1, ISNUMBER(SEARCH("Var", D132))), F132, 1000000000)</f>
        <v/>
      </c>
      <c r="P132" s="172">
        <f>IF(F132&gt;0, SQRT((F132/MAX(F$5:F$886))^2 + (1 - H132/MAX(H$5:H$886))^2 + (J132/MAX(J$5:J$886))^2), 1000000000)</f>
        <v/>
      </c>
      <c r="Q132" s="166">
        <f>IF(AND(ABS(B132-0.5)&lt;0.01, ABS(C132-0.5)&lt;0.01, ISNUMBER(SEARCH("Var", D132))), 1, 0)</f>
        <v/>
      </c>
      <c r="R132" s="171">
        <f>IF(F132&gt;0, J132, 1000000000)</f>
        <v/>
      </c>
      <c r="S132" s="101">
        <f>IF(AND(F132&lt;=DASHBOARD!$B$11, H132&gt;=DASHBOARD!$B$13), G132, -1000000000000)</f>
        <v/>
      </c>
      <c r="T132" s="101">
        <f>IF(AND(F132&lt;=DASHBOARD!$B$11, H132&gt;=DASHBOARD!$B$13), R132, 1000000000000)</f>
        <v/>
      </c>
      <c r="U132" s="101">
        <f>IF(AND(F132&lt;=DASHBOARD!$B$11, H132&gt;=DASHBOARD!$B$13), N132, -1000000000000)</f>
        <v/>
      </c>
      <c r="V132" s="101">
        <f>IF(AND(F132&lt;=DASHBOARD!$B$11, H132&gt;=DASHBOARD!$B$13), H132, -1000000000000)</f>
        <v/>
      </c>
      <c r="W132" s="101">
        <f>IF(AND(F132&lt;=DASHBOARD!$B$11, H132&gt;=DASHBOARD!$B$13), K132, -1000000000000)</f>
        <v/>
      </c>
      <c r="X132" s="101">
        <f>IF(AND(F132&lt;=DASHBOARD!$B$11, H132&gt;=DASHBOARD!$B$13), M132, 1000000000000)</f>
        <v/>
      </c>
      <c r="Y132" s="101">
        <f>IF(AND(F132&lt;=DASHBOARD!$B$10, H132&gt;=DASHBOARD!$B$11), L132, 1000000000000)</f>
        <v/>
      </c>
      <c r="Z132" s="101">
        <f>IF(AND(F132&lt;=DASHBOARD!$B$10, H132&gt;=DASHBOARD!$B$11), O132, 1000000000000)</f>
        <v/>
      </c>
      <c r="AA132" s="101">
        <f>IF(AND(F132&lt;=DASHBOARD!$B$10, H132&gt;=DASHBOARD!$B$11), P132, 1000000000000)</f>
        <v/>
      </c>
      <c r="AB132" s="101">
        <f>IF(AND(F132&lt;=DASHBOARD!$B$10, H132&gt;=DASHBOARD!$B$11), Q132, -1000000000000)</f>
        <v/>
      </c>
    </row>
    <row r="133" ht="12.75" customHeight="1" s="102">
      <c r="A133" s="166" t="n">
        <v>129</v>
      </c>
      <c r="B133" s="167" t="n">
        <v>0.3</v>
      </c>
      <c r="C133" s="167" t="n">
        <v>0.1</v>
      </c>
      <c r="D133" s="110" t="inlineStr">
        <is>
          <t>Yok (%0)</t>
        </is>
      </c>
      <c r="E133" s="110">
        <f>IF((B133+C133)&lt;=1, "Tam Mahsuplaşma (≤%100)", "Kısmi Satış (&gt;%100)")</f>
        <v/>
      </c>
      <c r="F133" s="168">
        <f>((VERI_TABANI!$D$29*B133/VERI_TABANI!$B$29)/VERI_TABANI!$B$3)*VERI_TABANI!$B$5 + ((VERI_TABANI!$D$29*C133/VERI_TABANI!$B$29)/VERI_TABANI!$B$4)*VERI_TABANI!$B$6 + IF(ISNUMBER(SEARCH("Var", D133)), (VERI_TABANI!$F$29/VERI_TABANI!$B$29)*(VERI_TABANI!$B$10+VERI_TABANI!$B$12), 0)</f>
        <v/>
      </c>
      <c r="G133" s="168">
        <f>(((MIN(VERI_TABANI!D23, VERI_TABANI!D23*B133)*VERI_TABANI!$B$7 + MAX(0, VERI_TABANI!D23*B133-VERI_TABANI!D23)*VERI_TABANI!$B$8) + (MIN(MAX(0, VERI_TABANI!D23-VERI_TABANI!D23*B133), VERI_TABANI!D23*C133)*VERI_TABANI!$B$7 + MAX(0, VERI_TABANI!D23*C133-MAX(0, VERI_TABANI!D23-VERI_TABANI!D23*B133))*VERI_TABANI!$B$8) + IF(ABS(IF(ISNUMBER(SEARCH("Var", D133)), 1, IF(ISNUMBER(SEARCH("Gri", D133)), -1, 0)))=1, VERI_TABANI!E23*(1-0.928)*VERI_TABANI!$B$9, 0) + (VERI_TABANI!D23*B133*(VERI_TABANI!$B$13-VERI_TABANI!$B$14)*VERI_TABANI!G23) + (VERI_TABANI!D23*C133*(VERI_TABANI!$B$13-VERI_TABANI!$B$15)*VERI_TABANI!G23) + IF(ABS(IF(ISNUMBER(SEARCH("Var", D133)), 1, IF(ISNUMBER(SEARCH("Gri", D133)), -1, 0)))=1, VERI_TABANI!E23*(1-0.928)*0.00206091519919798*VERI_TABANI!G23, 0)) + ((MIN(VERI_TABANI!D24, VERI_TABANI!D24*B133)*VERI_TABANI!$B$7 + MAX(0, VERI_TABANI!D24*B133-VERI_TABANI!D24)*VERI_TABANI!$B$8) + (MIN(MAX(0, VERI_TABANI!D24-VERI_TABANI!D24*B133), VERI_TABANI!D24*C133)*VERI_TABANI!$B$7 + MAX(0, VERI_TABANI!D24*C133-MAX(0, VERI_TABANI!D24-VERI_TABANI!D24*B133))*VERI_TABANI!$B$8) + IF(ABS(IF(ISNUMBER(SEARCH("Var", D133)), 1, IF(ISNUMBER(SEARCH("Gri", D133)), -1, 0)))=1, VERI_TABANI!E24*(1-0.928)*VERI_TABANI!$B$9, 0) + (VERI_TABANI!D24*B133*(VERI_TABANI!$B$13-VERI_TABANI!$B$14)*VERI_TABANI!G24) + (VERI_TABANI!D24*C133*(VERI_TABANI!$B$13-VERI_TABANI!$B$15)*VERI_TABANI!G24) + IF(ABS(IF(ISNUMBER(SEARCH("Var", D133)), 1, IF(ISNUMBER(SEARCH("Gri", D133)), -1, 0)))=1, VERI_TABANI!E24*(1-0.928)*0.00206091519919798*VERI_TABANI!G24, 0)) + ((MIN(VERI_TABANI!D25, VERI_TABANI!D25*B133)*VERI_TABANI!$B$7 + MAX(0, VERI_TABANI!D25*B133-VERI_TABANI!D25)*VERI_TABANI!$B$8) + (MIN(MAX(0, VERI_TABANI!D25-VERI_TABANI!D25*B133), VERI_TABANI!D25*C133)*VERI_TABANI!$B$7 + MAX(0, VERI_TABANI!D25*C133-MAX(0, VERI_TABANI!D25-VERI_TABANI!D25*B133))*VERI_TABANI!$B$8) + IF(ABS(IF(ISNUMBER(SEARCH("Var", D133)), 1, IF(ISNUMBER(SEARCH("Gri", D133)), -1, 0)))=1, VERI_TABANI!E25*(1-0.928)*VERI_TABANI!$B$9, 0) + (VERI_TABANI!D25*B133*(VERI_TABANI!$B$13-VERI_TABANI!$B$14)*VERI_TABANI!G25) + (VERI_TABANI!D25*C133*(VERI_TABANI!$B$13-VERI_TABANI!$B$15)*VERI_TABANI!G25) + IF(ABS(IF(ISNUMBER(SEARCH("Var", D133)), 1, IF(ISNUMBER(SEARCH("Gri", D133)), -1, 0)))=1, VERI_TABANI!E25*(1-0.928)*0.00206091519919798*VERI_TABANI!G25, 0)) + ((MIN(VERI_TABANI!D26, VERI_TABANI!D26*B133)*VERI_TABANI!$B$7 + MAX(0, VERI_TABANI!D26*B133-VERI_TABANI!D26)*VERI_TABANI!$B$8) + (MIN(MAX(0, VERI_TABANI!D26-VERI_TABANI!D26*B133), VERI_TABANI!D26*C133)*VERI_TABANI!$B$7 + MAX(0, VERI_TABANI!D26*C133-MAX(0, VERI_TABANI!D26-VERI_TABANI!D26*B133))*VERI_TABANI!$B$8) + IF(ABS(IF(ISNUMBER(SEARCH("Var", D133)), 1, IF(ISNUMBER(SEARCH("Gri", D133)), -1, 0)))=1, VERI_TABANI!E26*(1-0.928)*VERI_TABANI!$B$9, 0) + (VERI_TABANI!D26*B133*(VERI_TABANI!$B$13-VERI_TABANI!$B$14)*VERI_TABANI!G26) + (VERI_TABANI!D26*C133*(VERI_TABANI!$B$13-VERI_TABANI!$B$15)*VERI_TABANI!G26) + IF(ABS(IF(ISNUMBER(SEARCH("Var", D133)), 1, IF(ISNUMBER(SEARCH("Gri", D133)), -1, 0)))=1, VERI_TABANI!E26*(1-0.928)*0.00206091519919798*VERI_TABANI!G26, 0)) + ((MIN(VERI_TABANI!D27, VERI_TABANI!D27*B133)*VERI_TABANI!$B$7 + MAX(0, VERI_TABANI!D27*B133-VERI_TABANI!D27)*VERI_TABANI!$B$8) + (MIN(MAX(0, VERI_TABANI!D27-VERI_TABANI!D27*B133), VERI_TABANI!D27*C133)*VERI_TABANI!$B$7 + MAX(0, VERI_TABANI!D27*C133-MAX(0, VERI_TABANI!D27-VERI_TABANI!D27*B133))*VERI_TABANI!$B$8) + IF(ABS(IF(ISNUMBER(SEARCH("Var", D133)), 1, IF(ISNUMBER(SEARCH("Gri", D133)), -1, 0)))=1, VERI_TABANI!E27*(1-0.928)*VERI_TABANI!$B$9, 0) + (VERI_TABANI!D27*B133*(VERI_TABANI!$B$13-VERI_TABANI!$B$14)*VERI_TABANI!G27) + (VERI_TABANI!D27*C133*(VERI_TABANI!$B$13-VERI_TABANI!$B$15)*VERI_TABANI!G27) + IF(ABS(IF(ISNUMBER(SEARCH("Var", D133)), 1, IF(ISNUMBER(SEARCH("Gri", D133)), -1, 0)))=1, VERI_TABANI!E27*(1-0.928)*0.00206091519919798*VERI_TABANI!G27, 0)) + ((MIN(VERI_TABANI!D28, VERI_TABANI!D28*B133)*VERI_TABANI!$B$7 + MAX(0, VERI_TABANI!D28*B133-VERI_TABANI!D28)*VERI_TABANI!$B$8) + (MIN(MAX(0, VERI_TABANI!D28-VERI_TABANI!D28*B133), VERI_TABANI!D28*C133)*VERI_TABANI!$B$7 + MAX(0, VERI_TABANI!D28*C133-MAX(0, VERI_TABANI!D28-VERI_TABANI!D28*B133))*VERI_TABANI!$B$8) + IF(ABS(IF(ISNUMBER(SEARCH("Var", D133)), 1, IF(ISNUMBER(SEARCH("Gri", D133)), -1, 0)))=1, VERI_TABANI!E28*(1-0.928)*VERI_TABANI!$B$9, 0) + (VERI_TABANI!D28*B133*(VERI_TABANI!$B$13-VERI_TABANI!$B$14)*VERI_TABANI!G28) + (VERI_TABANI!D28*C133*(VERI_TABANI!$B$13-VERI_TABANI!$B$15)*VERI_TABANI!G28) + IF(ABS(IF(ISNUMBER(SEARCH("Var", D133)), 1, IF(ISNUMBER(SEARCH("Gri", D133)), -1, 0)))=1, VERI_TABANI!E28*(1-0.928)*0.00206091519919798*VERI_TABANI!G28, 0)))</f>
        <v/>
      </c>
      <c r="H133" s="169">
        <f>(((VERI_TABANI!D23*B133*(VERI_TABANI!$B$13-VERI_TABANI!$B$14)) + (VERI_TABANI!D23*C133*(VERI_TABANI!$B$13-VERI_TABANI!$B$15)) + IF(ISNUMBER(SEARCH("Var", D133)), VERI_TABANI!F23*(0.00202-VERI_TABANI!$B$16), IF(ISNUMBER(SEARCH("Gri", D133)), VERI_TABANI!F23*(0.00202-VERI_TABANI!$B$17), 0))) + ((VERI_TABANI!D24*B133*(VERI_TABANI!$B$13-VERI_TABANI!$B$14)) + (VERI_TABANI!D24*C133*(VERI_TABANI!$B$13-VERI_TABANI!$B$15)) + IF(ISNUMBER(SEARCH("Var", D133)), VERI_TABANI!F24*(0.00202-VERI_TABANI!$B$16), IF(ISNUMBER(SEARCH("Gri", D133)), VERI_TABANI!F24*(0.00202-VERI_TABANI!$B$17), 0))) + ((VERI_TABANI!D25*B133*(VERI_TABANI!$B$13-VERI_TABANI!$B$14)) + (VERI_TABANI!D25*C133*(VERI_TABANI!$B$13-VERI_TABANI!$B$15)) + IF(ISNUMBER(SEARCH("Var", D133)), VERI_TABANI!F25*(0.00202-VERI_TABANI!$B$16), IF(ISNUMBER(SEARCH("Gri", D133)), VERI_TABANI!F25*(0.00202-VERI_TABANI!$B$17), 0))) + ((VERI_TABANI!D26*B133*(VERI_TABANI!$B$13-VERI_TABANI!$B$14)) + (VERI_TABANI!D26*C133*(VERI_TABANI!$B$13-VERI_TABANI!$B$15)) + IF(ISNUMBER(SEARCH("Var", D133)), VERI_TABANI!F26*(0.00202-VERI_TABANI!$B$16), IF(ISNUMBER(SEARCH("Gri", D133)), VERI_TABANI!F26*(0.00202-VERI_TABANI!$B$17), 0))) + ((VERI_TABANI!D27*B133*(VERI_TABANI!$B$13-VERI_TABANI!$B$14)) + (VERI_TABANI!D27*C133*(VERI_TABANI!$B$13-VERI_TABANI!$B$15)) + IF(ISNUMBER(SEARCH("Var", D133)), VERI_TABANI!F27*(0.00202-VERI_TABANI!$B$16), IF(ISNUMBER(SEARCH("Gri", D133)), VERI_TABANI!F27*(0.00202-VERI_TABANI!$B$17), 0))) + ((VERI_TABANI!D28*B133*(VERI_TABANI!$B$13-VERI_TABANI!$B$14)) + (VERI_TABANI!D28*C133*(VERI_TABANI!$B$13-VERI_TABANI!$B$15)) + IF(ISNUMBER(SEARCH("Var", D133)), VERI_TABANI!F28*(0.00202-VERI_TABANI!$B$16), IF(ISNUMBER(SEARCH("Gri", D133)), VERI_TABANI!F28*(0.00202-VERI_TABANI!$B$17), 0))))</f>
        <v/>
      </c>
      <c r="I133" s="170">
        <f>IFERROR(((VERI_TABANI!$D$29*B133*VERI_TABANI!$B$14 + VERI_TABANI!$D$29*C133*VERI_TABANI!$B$15 + IF(ISNUMBER(SEARCH("Var", D133)), VERI_TABANI!$F$29*VERI_TABANI!$B$16, 0))) / (((VERI_TABANI!$D$29*B133 + VERI_TABANI!$D$29*C133)*VERI_TABANI!$B$13 + IF(ISNUMBER(SEARCH("Var", D133)), VERI_TABANI!$E$29*(1-0.928)*VERI_TABANI!$B$18, 0))), 0)</f>
        <v/>
      </c>
      <c r="J133" s="171">
        <f>IFERROR(F133/(G133/29), 0)</f>
        <v/>
      </c>
      <c r="K133" s="172">
        <f>IF(F133&gt;0, H133/F133, 0)</f>
        <v/>
      </c>
      <c r="L133" s="170">
        <f>IF(F133&gt;0, I133, 1000000000)</f>
        <v/>
      </c>
      <c r="M133" s="171">
        <f>ABS((B133+C133)-1)</f>
        <v/>
      </c>
      <c r="N133" s="170">
        <f>IF(F133&gt;0, (G133/29)/F133, 0)</f>
        <v/>
      </c>
      <c r="O133" s="168">
        <f>IF(AND((B133+C133)&gt;=1, ISNUMBER(SEARCH("Var", D133))), F133, 1000000000)</f>
        <v/>
      </c>
      <c r="P133" s="172">
        <f>IF(F133&gt;0, SQRT((F133/MAX(F$5:F$886))^2 + (1 - H133/MAX(H$5:H$886))^2 + (J133/MAX(J$5:J$886))^2), 1000000000)</f>
        <v/>
      </c>
      <c r="Q133" s="166">
        <f>IF(AND(ABS(B133-0.5)&lt;0.01, ABS(C133-0.5)&lt;0.01, ISNUMBER(SEARCH("Var", D133))), 1, 0)</f>
        <v/>
      </c>
      <c r="R133" s="171">
        <f>IF(F133&gt;0, J133, 1000000000)</f>
        <v/>
      </c>
      <c r="S133" s="101">
        <f>IF(AND(F133&lt;=DASHBOARD!$B$11, H133&gt;=DASHBOARD!$B$13), G133, -1000000000000)</f>
        <v/>
      </c>
      <c r="T133" s="101">
        <f>IF(AND(F133&lt;=DASHBOARD!$B$11, H133&gt;=DASHBOARD!$B$13), R133, 1000000000000)</f>
        <v/>
      </c>
      <c r="U133" s="101">
        <f>IF(AND(F133&lt;=DASHBOARD!$B$11, H133&gt;=DASHBOARD!$B$13), N133, -1000000000000)</f>
        <v/>
      </c>
      <c r="V133" s="101">
        <f>IF(AND(F133&lt;=DASHBOARD!$B$11, H133&gt;=DASHBOARD!$B$13), H133, -1000000000000)</f>
        <v/>
      </c>
      <c r="W133" s="101">
        <f>IF(AND(F133&lt;=DASHBOARD!$B$11, H133&gt;=DASHBOARD!$B$13), K133, -1000000000000)</f>
        <v/>
      </c>
      <c r="X133" s="101">
        <f>IF(AND(F133&lt;=DASHBOARD!$B$11, H133&gt;=DASHBOARD!$B$13), M133, 1000000000000)</f>
        <v/>
      </c>
      <c r="Y133" s="101">
        <f>IF(AND(F133&lt;=DASHBOARD!$B$10, H133&gt;=DASHBOARD!$B$11), L133, 1000000000000)</f>
        <v/>
      </c>
      <c r="Z133" s="101">
        <f>IF(AND(F133&lt;=DASHBOARD!$B$10, H133&gt;=DASHBOARD!$B$11), O133, 1000000000000)</f>
        <v/>
      </c>
      <c r="AA133" s="101">
        <f>IF(AND(F133&lt;=DASHBOARD!$B$10, H133&gt;=DASHBOARD!$B$11), P133, 1000000000000)</f>
        <v/>
      </c>
      <c r="AB133" s="101">
        <f>IF(AND(F133&lt;=DASHBOARD!$B$10, H133&gt;=DASHBOARD!$B$11), Q133, -1000000000000)</f>
        <v/>
      </c>
    </row>
    <row r="134" ht="12.75" customHeight="1" s="102">
      <c r="A134" s="166" t="n">
        <v>130</v>
      </c>
      <c r="B134" s="167" t="n">
        <v>0.3</v>
      </c>
      <c r="C134" s="167" t="n">
        <v>0.1</v>
      </c>
      <c r="D134" s="110" t="inlineStr">
        <is>
          <t>Var (%20)</t>
        </is>
      </c>
      <c r="E134" s="110">
        <f>IF((B134+C134)&lt;=1, "Tam Mahsuplaşma (≤%100)", "Kısmi Satış (&gt;%100)")</f>
        <v/>
      </c>
      <c r="F134" s="168">
        <f>((VERI_TABANI!$D$29*B134/VERI_TABANI!$B$29)/VERI_TABANI!$B$3)*VERI_TABANI!$B$5 + ((VERI_TABANI!$D$29*C134/VERI_TABANI!$B$29)/VERI_TABANI!$B$4)*VERI_TABANI!$B$6 + IF(ISNUMBER(SEARCH("Var", D134)), (VERI_TABANI!$F$29/VERI_TABANI!$B$29)*(VERI_TABANI!$B$10+VERI_TABANI!$B$12), 0)</f>
        <v/>
      </c>
      <c r="G134" s="168">
        <f>(((MIN(VERI_TABANI!D23, VERI_TABANI!D23*B134)*VERI_TABANI!$B$7 + MAX(0, VERI_TABANI!D23*B134-VERI_TABANI!D23)*VERI_TABANI!$B$8) + (MIN(MAX(0, VERI_TABANI!D23-VERI_TABANI!D23*B134), VERI_TABANI!D23*C134)*VERI_TABANI!$B$7 + MAX(0, VERI_TABANI!D23*C134-MAX(0, VERI_TABANI!D23-VERI_TABANI!D23*B134))*VERI_TABANI!$B$8) + IF(ABS(IF(ISNUMBER(SEARCH("Var", D134)), 1, IF(ISNUMBER(SEARCH("Gri", D134)), -1, 0)))=1, VERI_TABANI!E23*(1-0.928)*VERI_TABANI!$B$9, 0) + (VERI_TABANI!D23*B134*(VERI_TABANI!$B$13-VERI_TABANI!$B$14)*VERI_TABANI!G23) + (VERI_TABANI!D23*C134*(VERI_TABANI!$B$13-VERI_TABANI!$B$15)*VERI_TABANI!G23) + IF(ABS(IF(ISNUMBER(SEARCH("Var", D134)), 1, IF(ISNUMBER(SEARCH("Gri", D134)), -1, 0)))=1, VERI_TABANI!E23*(1-0.928)*0.00206091519919798*VERI_TABANI!G23, 0)) + ((MIN(VERI_TABANI!D24, VERI_TABANI!D24*B134)*VERI_TABANI!$B$7 + MAX(0, VERI_TABANI!D24*B134-VERI_TABANI!D24)*VERI_TABANI!$B$8) + (MIN(MAX(0, VERI_TABANI!D24-VERI_TABANI!D24*B134), VERI_TABANI!D24*C134)*VERI_TABANI!$B$7 + MAX(0, VERI_TABANI!D24*C134-MAX(0, VERI_TABANI!D24-VERI_TABANI!D24*B134))*VERI_TABANI!$B$8) + IF(ABS(IF(ISNUMBER(SEARCH("Var", D134)), 1, IF(ISNUMBER(SEARCH("Gri", D134)), -1, 0)))=1, VERI_TABANI!E24*(1-0.928)*VERI_TABANI!$B$9, 0) + (VERI_TABANI!D24*B134*(VERI_TABANI!$B$13-VERI_TABANI!$B$14)*VERI_TABANI!G24) + (VERI_TABANI!D24*C134*(VERI_TABANI!$B$13-VERI_TABANI!$B$15)*VERI_TABANI!G24) + IF(ABS(IF(ISNUMBER(SEARCH("Var", D134)), 1, IF(ISNUMBER(SEARCH("Gri", D134)), -1, 0)))=1, VERI_TABANI!E24*(1-0.928)*0.00206091519919798*VERI_TABANI!G24, 0)) + ((MIN(VERI_TABANI!D25, VERI_TABANI!D25*B134)*VERI_TABANI!$B$7 + MAX(0, VERI_TABANI!D25*B134-VERI_TABANI!D25)*VERI_TABANI!$B$8) + (MIN(MAX(0, VERI_TABANI!D25-VERI_TABANI!D25*B134), VERI_TABANI!D25*C134)*VERI_TABANI!$B$7 + MAX(0, VERI_TABANI!D25*C134-MAX(0, VERI_TABANI!D25-VERI_TABANI!D25*B134))*VERI_TABANI!$B$8) + IF(ABS(IF(ISNUMBER(SEARCH("Var", D134)), 1, IF(ISNUMBER(SEARCH("Gri", D134)), -1, 0)))=1, VERI_TABANI!E25*(1-0.928)*VERI_TABANI!$B$9, 0) + (VERI_TABANI!D25*B134*(VERI_TABANI!$B$13-VERI_TABANI!$B$14)*VERI_TABANI!G25) + (VERI_TABANI!D25*C134*(VERI_TABANI!$B$13-VERI_TABANI!$B$15)*VERI_TABANI!G25) + IF(ABS(IF(ISNUMBER(SEARCH("Var", D134)), 1, IF(ISNUMBER(SEARCH("Gri", D134)), -1, 0)))=1, VERI_TABANI!E25*(1-0.928)*0.00206091519919798*VERI_TABANI!G25, 0)) + ((MIN(VERI_TABANI!D26, VERI_TABANI!D26*B134)*VERI_TABANI!$B$7 + MAX(0, VERI_TABANI!D26*B134-VERI_TABANI!D26)*VERI_TABANI!$B$8) + (MIN(MAX(0, VERI_TABANI!D26-VERI_TABANI!D26*B134), VERI_TABANI!D26*C134)*VERI_TABANI!$B$7 + MAX(0, VERI_TABANI!D26*C134-MAX(0, VERI_TABANI!D26-VERI_TABANI!D26*B134))*VERI_TABANI!$B$8) + IF(ABS(IF(ISNUMBER(SEARCH("Var", D134)), 1, IF(ISNUMBER(SEARCH("Gri", D134)), -1, 0)))=1, VERI_TABANI!E26*(1-0.928)*VERI_TABANI!$B$9, 0) + (VERI_TABANI!D26*B134*(VERI_TABANI!$B$13-VERI_TABANI!$B$14)*VERI_TABANI!G26) + (VERI_TABANI!D26*C134*(VERI_TABANI!$B$13-VERI_TABANI!$B$15)*VERI_TABANI!G26) + IF(ABS(IF(ISNUMBER(SEARCH("Var", D134)), 1, IF(ISNUMBER(SEARCH("Gri", D134)), -1, 0)))=1, VERI_TABANI!E26*(1-0.928)*0.00206091519919798*VERI_TABANI!G26, 0)) + ((MIN(VERI_TABANI!D27, VERI_TABANI!D27*B134)*VERI_TABANI!$B$7 + MAX(0, VERI_TABANI!D27*B134-VERI_TABANI!D27)*VERI_TABANI!$B$8) + (MIN(MAX(0, VERI_TABANI!D27-VERI_TABANI!D27*B134), VERI_TABANI!D27*C134)*VERI_TABANI!$B$7 + MAX(0, VERI_TABANI!D27*C134-MAX(0, VERI_TABANI!D27-VERI_TABANI!D27*B134))*VERI_TABANI!$B$8) + IF(ABS(IF(ISNUMBER(SEARCH("Var", D134)), 1, IF(ISNUMBER(SEARCH("Gri", D134)), -1, 0)))=1, VERI_TABANI!E27*(1-0.928)*VERI_TABANI!$B$9, 0) + (VERI_TABANI!D27*B134*(VERI_TABANI!$B$13-VERI_TABANI!$B$14)*VERI_TABANI!G27) + (VERI_TABANI!D27*C134*(VERI_TABANI!$B$13-VERI_TABANI!$B$15)*VERI_TABANI!G27) + IF(ABS(IF(ISNUMBER(SEARCH("Var", D134)), 1, IF(ISNUMBER(SEARCH("Gri", D134)), -1, 0)))=1, VERI_TABANI!E27*(1-0.928)*0.00206091519919798*VERI_TABANI!G27, 0)) + ((MIN(VERI_TABANI!D28, VERI_TABANI!D28*B134)*VERI_TABANI!$B$7 + MAX(0, VERI_TABANI!D28*B134-VERI_TABANI!D28)*VERI_TABANI!$B$8) + (MIN(MAX(0, VERI_TABANI!D28-VERI_TABANI!D28*B134), VERI_TABANI!D28*C134)*VERI_TABANI!$B$7 + MAX(0, VERI_TABANI!D28*C134-MAX(0, VERI_TABANI!D28-VERI_TABANI!D28*B134))*VERI_TABANI!$B$8) + IF(ABS(IF(ISNUMBER(SEARCH("Var", D134)), 1, IF(ISNUMBER(SEARCH("Gri", D134)), -1, 0)))=1, VERI_TABANI!E28*(1-0.928)*VERI_TABANI!$B$9, 0) + (VERI_TABANI!D28*B134*(VERI_TABANI!$B$13-VERI_TABANI!$B$14)*VERI_TABANI!G28) + (VERI_TABANI!D28*C134*(VERI_TABANI!$B$13-VERI_TABANI!$B$15)*VERI_TABANI!G28) + IF(ABS(IF(ISNUMBER(SEARCH("Var", D134)), 1, IF(ISNUMBER(SEARCH("Gri", D134)), -1, 0)))=1, VERI_TABANI!E28*(1-0.928)*0.00206091519919798*VERI_TABANI!G28, 0)))</f>
        <v/>
      </c>
      <c r="H134" s="169">
        <f>(((VERI_TABANI!D23*B134*(VERI_TABANI!$B$13-VERI_TABANI!$B$14)) + (VERI_TABANI!D23*C134*(VERI_TABANI!$B$13-VERI_TABANI!$B$15)) + IF(ISNUMBER(SEARCH("Var", D134)), VERI_TABANI!F23*(0.00202-VERI_TABANI!$B$16), IF(ISNUMBER(SEARCH("Gri", D134)), VERI_TABANI!F23*(0.00202-VERI_TABANI!$B$17), 0))) + ((VERI_TABANI!D24*B134*(VERI_TABANI!$B$13-VERI_TABANI!$B$14)) + (VERI_TABANI!D24*C134*(VERI_TABANI!$B$13-VERI_TABANI!$B$15)) + IF(ISNUMBER(SEARCH("Var", D134)), VERI_TABANI!F24*(0.00202-VERI_TABANI!$B$16), IF(ISNUMBER(SEARCH("Gri", D134)), VERI_TABANI!F24*(0.00202-VERI_TABANI!$B$17), 0))) + ((VERI_TABANI!D25*B134*(VERI_TABANI!$B$13-VERI_TABANI!$B$14)) + (VERI_TABANI!D25*C134*(VERI_TABANI!$B$13-VERI_TABANI!$B$15)) + IF(ISNUMBER(SEARCH("Var", D134)), VERI_TABANI!F25*(0.00202-VERI_TABANI!$B$16), IF(ISNUMBER(SEARCH("Gri", D134)), VERI_TABANI!F25*(0.00202-VERI_TABANI!$B$17), 0))) + ((VERI_TABANI!D26*B134*(VERI_TABANI!$B$13-VERI_TABANI!$B$14)) + (VERI_TABANI!D26*C134*(VERI_TABANI!$B$13-VERI_TABANI!$B$15)) + IF(ISNUMBER(SEARCH("Var", D134)), VERI_TABANI!F26*(0.00202-VERI_TABANI!$B$16), IF(ISNUMBER(SEARCH("Gri", D134)), VERI_TABANI!F26*(0.00202-VERI_TABANI!$B$17), 0))) + ((VERI_TABANI!D27*B134*(VERI_TABANI!$B$13-VERI_TABANI!$B$14)) + (VERI_TABANI!D27*C134*(VERI_TABANI!$B$13-VERI_TABANI!$B$15)) + IF(ISNUMBER(SEARCH("Var", D134)), VERI_TABANI!F27*(0.00202-VERI_TABANI!$B$16), IF(ISNUMBER(SEARCH("Gri", D134)), VERI_TABANI!F27*(0.00202-VERI_TABANI!$B$17), 0))) + ((VERI_TABANI!D28*B134*(VERI_TABANI!$B$13-VERI_TABANI!$B$14)) + (VERI_TABANI!D28*C134*(VERI_TABANI!$B$13-VERI_TABANI!$B$15)) + IF(ISNUMBER(SEARCH("Var", D134)), VERI_TABANI!F28*(0.00202-VERI_TABANI!$B$16), IF(ISNUMBER(SEARCH("Gri", D134)), VERI_TABANI!F28*(0.00202-VERI_TABANI!$B$17), 0))))</f>
        <v/>
      </c>
      <c r="I134" s="170">
        <f>IFERROR(((VERI_TABANI!$D$29*B134*VERI_TABANI!$B$14 + VERI_TABANI!$D$29*C134*VERI_TABANI!$B$15 + IF(ISNUMBER(SEARCH("Var", D134)), VERI_TABANI!$F$29*VERI_TABANI!$B$16, 0))) / (((VERI_TABANI!$D$29*B134 + VERI_TABANI!$D$29*C134)*VERI_TABANI!$B$13 + IF(ISNUMBER(SEARCH("Var", D134)), VERI_TABANI!$E$29*(1-0.928)*VERI_TABANI!$B$18, 0))), 0)</f>
        <v/>
      </c>
      <c r="J134" s="171">
        <f>IFERROR(F134/(G134/29), 0)</f>
        <v/>
      </c>
      <c r="K134" s="172">
        <f>IF(F134&gt;0, H134/F134, 0)</f>
        <v/>
      </c>
      <c r="L134" s="170">
        <f>IF(F134&gt;0, I134, 1000000000)</f>
        <v/>
      </c>
      <c r="M134" s="171">
        <f>ABS((B134+C134)-1)</f>
        <v/>
      </c>
      <c r="N134" s="170">
        <f>IF(F134&gt;0, (G134/29)/F134, 0)</f>
        <v/>
      </c>
      <c r="O134" s="168">
        <f>IF(AND((B134+C134)&gt;=1, ISNUMBER(SEARCH("Var", D134))), F134, 1000000000)</f>
        <v/>
      </c>
      <c r="P134" s="172">
        <f>IF(F134&gt;0, SQRT((F134/MAX(F$5:F$886))^2 + (1 - H134/MAX(H$5:H$886))^2 + (J134/MAX(J$5:J$886))^2), 1000000000)</f>
        <v/>
      </c>
      <c r="Q134" s="166">
        <f>IF(AND(ABS(B134-0.5)&lt;0.01, ABS(C134-0.5)&lt;0.01, ISNUMBER(SEARCH("Var", D134))), 1, 0)</f>
        <v/>
      </c>
      <c r="R134" s="171">
        <f>IF(F134&gt;0, J134, 1000000000)</f>
        <v/>
      </c>
      <c r="S134" s="101">
        <f>IF(AND(F134&lt;=DASHBOARD!$B$11, H134&gt;=DASHBOARD!$B$13), G134, -1000000000000)</f>
        <v/>
      </c>
      <c r="T134" s="101">
        <f>IF(AND(F134&lt;=DASHBOARD!$B$11, H134&gt;=DASHBOARD!$B$13), R134, 1000000000000)</f>
        <v/>
      </c>
      <c r="U134" s="101">
        <f>IF(AND(F134&lt;=DASHBOARD!$B$11, H134&gt;=DASHBOARD!$B$13), N134, -1000000000000)</f>
        <v/>
      </c>
      <c r="V134" s="101">
        <f>IF(AND(F134&lt;=DASHBOARD!$B$11, H134&gt;=DASHBOARD!$B$13), H134, -1000000000000)</f>
        <v/>
      </c>
      <c r="W134" s="101">
        <f>IF(AND(F134&lt;=DASHBOARD!$B$11, H134&gt;=DASHBOARD!$B$13), K134, -1000000000000)</f>
        <v/>
      </c>
      <c r="X134" s="101">
        <f>IF(AND(F134&lt;=DASHBOARD!$B$11, H134&gt;=DASHBOARD!$B$13), M134, 1000000000000)</f>
        <v/>
      </c>
      <c r="Y134" s="101">
        <f>IF(AND(F134&lt;=DASHBOARD!$B$10, H134&gt;=DASHBOARD!$B$11), L134, 1000000000000)</f>
        <v/>
      </c>
      <c r="Z134" s="101">
        <f>IF(AND(F134&lt;=DASHBOARD!$B$10, H134&gt;=DASHBOARD!$B$11), O134, 1000000000000)</f>
        <v/>
      </c>
      <c r="AA134" s="101">
        <f>IF(AND(F134&lt;=DASHBOARD!$B$10, H134&gt;=DASHBOARD!$B$11), P134, 1000000000000)</f>
        <v/>
      </c>
      <c r="AB134" s="101">
        <f>IF(AND(F134&lt;=DASHBOARD!$B$10, H134&gt;=DASHBOARD!$B$11), Q134, -1000000000000)</f>
        <v/>
      </c>
    </row>
    <row r="135" ht="12.75" customHeight="1" s="102">
      <c r="A135" s="166" t="n">
        <v>131</v>
      </c>
      <c r="B135" s="167" t="n">
        <v>0.3</v>
      </c>
      <c r="C135" s="167" t="n">
        <v>0.2</v>
      </c>
      <c r="D135" s="110" t="inlineStr">
        <is>
          <t>Yok (%0)</t>
        </is>
      </c>
      <c r="E135" s="110">
        <f>IF((B135+C135)&lt;=1, "Tam Mahsuplaşma (≤%100)", "Kısmi Satış (&gt;%100)")</f>
        <v/>
      </c>
      <c r="F135" s="168">
        <f>((VERI_TABANI!$D$29*B135/VERI_TABANI!$B$29)/VERI_TABANI!$B$3)*VERI_TABANI!$B$5 + ((VERI_TABANI!$D$29*C135/VERI_TABANI!$B$29)/VERI_TABANI!$B$4)*VERI_TABANI!$B$6 + IF(ISNUMBER(SEARCH("Var", D135)), (VERI_TABANI!$F$29/VERI_TABANI!$B$29)*(VERI_TABANI!$B$10+VERI_TABANI!$B$12), 0)</f>
        <v/>
      </c>
      <c r="G135" s="168">
        <f>(((MIN(VERI_TABANI!D23, VERI_TABANI!D23*B135)*VERI_TABANI!$B$7 + MAX(0, VERI_TABANI!D23*B135-VERI_TABANI!D23)*VERI_TABANI!$B$8) + (MIN(MAX(0, VERI_TABANI!D23-VERI_TABANI!D23*B135), VERI_TABANI!D23*C135)*VERI_TABANI!$B$7 + MAX(0, VERI_TABANI!D23*C135-MAX(0, VERI_TABANI!D23-VERI_TABANI!D23*B135))*VERI_TABANI!$B$8) + IF(ABS(IF(ISNUMBER(SEARCH("Var", D135)), 1, IF(ISNUMBER(SEARCH("Gri", D135)), -1, 0)))=1, VERI_TABANI!E23*(1-0.928)*VERI_TABANI!$B$9, 0) + (VERI_TABANI!D23*B135*(VERI_TABANI!$B$13-VERI_TABANI!$B$14)*VERI_TABANI!G23) + (VERI_TABANI!D23*C135*(VERI_TABANI!$B$13-VERI_TABANI!$B$15)*VERI_TABANI!G23) + IF(ABS(IF(ISNUMBER(SEARCH("Var", D135)), 1, IF(ISNUMBER(SEARCH("Gri", D135)), -1, 0)))=1, VERI_TABANI!E23*(1-0.928)*0.00206091519919798*VERI_TABANI!G23, 0)) + ((MIN(VERI_TABANI!D24, VERI_TABANI!D24*B135)*VERI_TABANI!$B$7 + MAX(0, VERI_TABANI!D24*B135-VERI_TABANI!D24)*VERI_TABANI!$B$8) + (MIN(MAX(0, VERI_TABANI!D24-VERI_TABANI!D24*B135), VERI_TABANI!D24*C135)*VERI_TABANI!$B$7 + MAX(0, VERI_TABANI!D24*C135-MAX(0, VERI_TABANI!D24-VERI_TABANI!D24*B135))*VERI_TABANI!$B$8) + IF(ABS(IF(ISNUMBER(SEARCH("Var", D135)), 1, IF(ISNUMBER(SEARCH("Gri", D135)), -1, 0)))=1, VERI_TABANI!E24*(1-0.928)*VERI_TABANI!$B$9, 0) + (VERI_TABANI!D24*B135*(VERI_TABANI!$B$13-VERI_TABANI!$B$14)*VERI_TABANI!G24) + (VERI_TABANI!D24*C135*(VERI_TABANI!$B$13-VERI_TABANI!$B$15)*VERI_TABANI!G24) + IF(ABS(IF(ISNUMBER(SEARCH("Var", D135)), 1, IF(ISNUMBER(SEARCH("Gri", D135)), -1, 0)))=1, VERI_TABANI!E24*(1-0.928)*0.00206091519919798*VERI_TABANI!G24, 0)) + ((MIN(VERI_TABANI!D25, VERI_TABANI!D25*B135)*VERI_TABANI!$B$7 + MAX(0, VERI_TABANI!D25*B135-VERI_TABANI!D25)*VERI_TABANI!$B$8) + (MIN(MAX(0, VERI_TABANI!D25-VERI_TABANI!D25*B135), VERI_TABANI!D25*C135)*VERI_TABANI!$B$7 + MAX(0, VERI_TABANI!D25*C135-MAX(0, VERI_TABANI!D25-VERI_TABANI!D25*B135))*VERI_TABANI!$B$8) + IF(ABS(IF(ISNUMBER(SEARCH("Var", D135)), 1, IF(ISNUMBER(SEARCH("Gri", D135)), -1, 0)))=1, VERI_TABANI!E25*(1-0.928)*VERI_TABANI!$B$9, 0) + (VERI_TABANI!D25*B135*(VERI_TABANI!$B$13-VERI_TABANI!$B$14)*VERI_TABANI!G25) + (VERI_TABANI!D25*C135*(VERI_TABANI!$B$13-VERI_TABANI!$B$15)*VERI_TABANI!G25) + IF(ABS(IF(ISNUMBER(SEARCH("Var", D135)), 1, IF(ISNUMBER(SEARCH("Gri", D135)), -1, 0)))=1, VERI_TABANI!E25*(1-0.928)*0.00206091519919798*VERI_TABANI!G25, 0)) + ((MIN(VERI_TABANI!D26, VERI_TABANI!D26*B135)*VERI_TABANI!$B$7 + MAX(0, VERI_TABANI!D26*B135-VERI_TABANI!D26)*VERI_TABANI!$B$8) + (MIN(MAX(0, VERI_TABANI!D26-VERI_TABANI!D26*B135), VERI_TABANI!D26*C135)*VERI_TABANI!$B$7 + MAX(0, VERI_TABANI!D26*C135-MAX(0, VERI_TABANI!D26-VERI_TABANI!D26*B135))*VERI_TABANI!$B$8) + IF(ABS(IF(ISNUMBER(SEARCH("Var", D135)), 1, IF(ISNUMBER(SEARCH("Gri", D135)), -1, 0)))=1, VERI_TABANI!E26*(1-0.928)*VERI_TABANI!$B$9, 0) + (VERI_TABANI!D26*B135*(VERI_TABANI!$B$13-VERI_TABANI!$B$14)*VERI_TABANI!G26) + (VERI_TABANI!D26*C135*(VERI_TABANI!$B$13-VERI_TABANI!$B$15)*VERI_TABANI!G26) + IF(ABS(IF(ISNUMBER(SEARCH("Var", D135)), 1, IF(ISNUMBER(SEARCH("Gri", D135)), -1, 0)))=1, VERI_TABANI!E26*(1-0.928)*0.00206091519919798*VERI_TABANI!G26, 0)) + ((MIN(VERI_TABANI!D27, VERI_TABANI!D27*B135)*VERI_TABANI!$B$7 + MAX(0, VERI_TABANI!D27*B135-VERI_TABANI!D27)*VERI_TABANI!$B$8) + (MIN(MAX(0, VERI_TABANI!D27-VERI_TABANI!D27*B135), VERI_TABANI!D27*C135)*VERI_TABANI!$B$7 + MAX(0, VERI_TABANI!D27*C135-MAX(0, VERI_TABANI!D27-VERI_TABANI!D27*B135))*VERI_TABANI!$B$8) + IF(ABS(IF(ISNUMBER(SEARCH("Var", D135)), 1, IF(ISNUMBER(SEARCH("Gri", D135)), -1, 0)))=1, VERI_TABANI!E27*(1-0.928)*VERI_TABANI!$B$9, 0) + (VERI_TABANI!D27*B135*(VERI_TABANI!$B$13-VERI_TABANI!$B$14)*VERI_TABANI!G27) + (VERI_TABANI!D27*C135*(VERI_TABANI!$B$13-VERI_TABANI!$B$15)*VERI_TABANI!G27) + IF(ABS(IF(ISNUMBER(SEARCH("Var", D135)), 1, IF(ISNUMBER(SEARCH("Gri", D135)), -1, 0)))=1, VERI_TABANI!E27*(1-0.928)*0.00206091519919798*VERI_TABANI!G27, 0)) + ((MIN(VERI_TABANI!D28, VERI_TABANI!D28*B135)*VERI_TABANI!$B$7 + MAX(0, VERI_TABANI!D28*B135-VERI_TABANI!D28)*VERI_TABANI!$B$8) + (MIN(MAX(0, VERI_TABANI!D28-VERI_TABANI!D28*B135), VERI_TABANI!D28*C135)*VERI_TABANI!$B$7 + MAX(0, VERI_TABANI!D28*C135-MAX(0, VERI_TABANI!D28-VERI_TABANI!D28*B135))*VERI_TABANI!$B$8) + IF(ABS(IF(ISNUMBER(SEARCH("Var", D135)), 1, IF(ISNUMBER(SEARCH("Gri", D135)), -1, 0)))=1, VERI_TABANI!E28*(1-0.928)*VERI_TABANI!$B$9, 0) + (VERI_TABANI!D28*B135*(VERI_TABANI!$B$13-VERI_TABANI!$B$14)*VERI_TABANI!G28) + (VERI_TABANI!D28*C135*(VERI_TABANI!$B$13-VERI_TABANI!$B$15)*VERI_TABANI!G28) + IF(ABS(IF(ISNUMBER(SEARCH("Var", D135)), 1, IF(ISNUMBER(SEARCH("Gri", D135)), -1, 0)))=1, VERI_TABANI!E28*(1-0.928)*0.00206091519919798*VERI_TABANI!G28, 0)))</f>
        <v/>
      </c>
      <c r="H135" s="169">
        <f>(((VERI_TABANI!D23*B135*(VERI_TABANI!$B$13-VERI_TABANI!$B$14)) + (VERI_TABANI!D23*C135*(VERI_TABANI!$B$13-VERI_TABANI!$B$15)) + IF(ISNUMBER(SEARCH("Var", D135)), VERI_TABANI!F23*(0.00202-VERI_TABANI!$B$16), IF(ISNUMBER(SEARCH("Gri", D135)), VERI_TABANI!F23*(0.00202-VERI_TABANI!$B$17), 0))) + ((VERI_TABANI!D24*B135*(VERI_TABANI!$B$13-VERI_TABANI!$B$14)) + (VERI_TABANI!D24*C135*(VERI_TABANI!$B$13-VERI_TABANI!$B$15)) + IF(ISNUMBER(SEARCH("Var", D135)), VERI_TABANI!F24*(0.00202-VERI_TABANI!$B$16), IF(ISNUMBER(SEARCH("Gri", D135)), VERI_TABANI!F24*(0.00202-VERI_TABANI!$B$17), 0))) + ((VERI_TABANI!D25*B135*(VERI_TABANI!$B$13-VERI_TABANI!$B$14)) + (VERI_TABANI!D25*C135*(VERI_TABANI!$B$13-VERI_TABANI!$B$15)) + IF(ISNUMBER(SEARCH("Var", D135)), VERI_TABANI!F25*(0.00202-VERI_TABANI!$B$16), IF(ISNUMBER(SEARCH("Gri", D135)), VERI_TABANI!F25*(0.00202-VERI_TABANI!$B$17), 0))) + ((VERI_TABANI!D26*B135*(VERI_TABANI!$B$13-VERI_TABANI!$B$14)) + (VERI_TABANI!D26*C135*(VERI_TABANI!$B$13-VERI_TABANI!$B$15)) + IF(ISNUMBER(SEARCH("Var", D135)), VERI_TABANI!F26*(0.00202-VERI_TABANI!$B$16), IF(ISNUMBER(SEARCH("Gri", D135)), VERI_TABANI!F26*(0.00202-VERI_TABANI!$B$17), 0))) + ((VERI_TABANI!D27*B135*(VERI_TABANI!$B$13-VERI_TABANI!$B$14)) + (VERI_TABANI!D27*C135*(VERI_TABANI!$B$13-VERI_TABANI!$B$15)) + IF(ISNUMBER(SEARCH("Var", D135)), VERI_TABANI!F27*(0.00202-VERI_TABANI!$B$16), IF(ISNUMBER(SEARCH("Gri", D135)), VERI_TABANI!F27*(0.00202-VERI_TABANI!$B$17), 0))) + ((VERI_TABANI!D28*B135*(VERI_TABANI!$B$13-VERI_TABANI!$B$14)) + (VERI_TABANI!D28*C135*(VERI_TABANI!$B$13-VERI_TABANI!$B$15)) + IF(ISNUMBER(SEARCH("Var", D135)), VERI_TABANI!F28*(0.00202-VERI_TABANI!$B$16), IF(ISNUMBER(SEARCH("Gri", D135)), VERI_TABANI!F28*(0.00202-VERI_TABANI!$B$17), 0))))</f>
        <v/>
      </c>
      <c r="I135" s="170">
        <f>IFERROR(((VERI_TABANI!$D$29*B135*VERI_TABANI!$B$14 + VERI_TABANI!$D$29*C135*VERI_TABANI!$B$15 + IF(ISNUMBER(SEARCH("Var", D135)), VERI_TABANI!$F$29*VERI_TABANI!$B$16, 0))) / (((VERI_TABANI!$D$29*B135 + VERI_TABANI!$D$29*C135)*VERI_TABANI!$B$13 + IF(ISNUMBER(SEARCH("Var", D135)), VERI_TABANI!$E$29*(1-0.928)*VERI_TABANI!$B$18, 0))), 0)</f>
        <v/>
      </c>
      <c r="J135" s="171">
        <f>IFERROR(F135/(G135/29), 0)</f>
        <v/>
      </c>
      <c r="K135" s="172">
        <f>IF(F135&gt;0, H135/F135, 0)</f>
        <v/>
      </c>
      <c r="L135" s="170">
        <f>IF(F135&gt;0, I135, 1000000000)</f>
        <v/>
      </c>
      <c r="M135" s="171">
        <f>ABS((B135+C135)-1)</f>
        <v/>
      </c>
      <c r="N135" s="170">
        <f>IF(F135&gt;0, (G135/29)/F135, 0)</f>
        <v/>
      </c>
      <c r="O135" s="168">
        <f>IF(AND((B135+C135)&gt;=1, ISNUMBER(SEARCH("Var", D135))), F135, 1000000000)</f>
        <v/>
      </c>
      <c r="P135" s="172">
        <f>IF(F135&gt;0, SQRT((F135/MAX(F$5:F$886))^2 + (1 - H135/MAX(H$5:H$886))^2 + (J135/MAX(J$5:J$886))^2), 1000000000)</f>
        <v/>
      </c>
      <c r="Q135" s="166">
        <f>IF(AND(ABS(B135-0.5)&lt;0.01, ABS(C135-0.5)&lt;0.01, ISNUMBER(SEARCH("Var", D135))), 1, 0)</f>
        <v/>
      </c>
      <c r="R135" s="171">
        <f>IF(F135&gt;0, J135, 1000000000)</f>
        <v/>
      </c>
      <c r="S135" s="101">
        <f>IF(AND(F135&lt;=DASHBOARD!$B$11, H135&gt;=DASHBOARD!$B$13), G135, -1000000000000)</f>
        <v/>
      </c>
      <c r="T135" s="101">
        <f>IF(AND(F135&lt;=DASHBOARD!$B$11, H135&gt;=DASHBOARD!$B$13), R135, 1000000000000)</f>
        <v/>
      </c>
      <c r="U135" s="101">
        <f>IF(AND(F135&lt;=DASHBOARD!$B$11, H135&gt;=DASHBOARD!$B$13), N135, -1000000000000)</f>
        <v/>
      </c>
      <c r="V135" s="101">
        <f>IF(AND(F135&lt;=DASHBOARD!$B$11, H135&gt;=DASHBOARD!$B$13), H135, -1000000000000)</f>
        <v/>
      </c>
      <c r="W135" s="101">
        <f>IF(AND(F135&lt;=DASHBOARD!$B$11, H135&gt;=DASHBOARD!$B$13), K135, -1000000000000)</f>
        <v/>
      </c>
      <c r="X135" s="101">
        <f>IF(AND(F135&lt;=DASHBOARD!$B$11, H135&gt;=DASHBOARD!$B$13), M135, 1000000000000)</f>
        <v/>
      </c>
      <c r="Y135" s="101">
        <f>IF(AND(F135&lt;=DASHBOARD!$B$10, H135&gt;=DASHBOARD!$B$11), L135, 1000000000000)</f>
        <v/>
      </c>
      <c r="Z135" s="101">
        <f>IF(AND(F135&lt;=DASHBOARD!$B$10, H135&gt;=DASHBOARD!$B$11), O135, 1000000000000)</f>
        <v/>
      </c>
      <c r="AA135" s="101">
        <f>IF(AND(F135&lt;=DASHBOARD!$B$10, H135&gt;=DASHBOARD!$B$11), P135, 1000000000000)</f>
        <v/>
      </c>
      <c r="AB135" s="101">
        <f>IF(AND(F135&lt;=DASHBOARD!$B$10, H135&gt;=DASHBOARD!$B$11), Q135, -1000000000000)</f>
        <v/>
      </c>
    </row>
    <row r="136" ht="12.75" customHeight="1" s="102">
      <c r="A136" s="166" t="n">
        <v>132</v>
      </c>
      <c r="B136" s="167" t="n">
        <v>0.3</v>
      </c>
      <c r="C136" s="167" t="n">
        <v>0.2</v>
      </c>
      <c r="D136" s="110" t="inlineStr">
        <is>
          <t>Var (%20)</t>
        </is>
      </c>
      <c r="E136" s="110">
        <f>IF((B136+C136)&lt;=1, "Tam Mahsuplaşma (≤%100)", "Kısmi Satış (&gt;%100)")</f>
        <v/>
      </c>
      <c r="F136" s="168">
        <f>((VERI_TABANI!$D$29*B136/VERI_TABANI!$B$29)/VERI_TABANI!$B$3)*VERI_TABANI!$B$5 + ((VERI_TABANI!$D$29*C136/VERI_TABANI!$B$29)/VERI_TABANI!$B$4)*VERI_TABANI!$B$6 + IF(ISNUMBER(SEARCH("Var", D136)), (VERI_TABANI!$F$29/VERI_TABANI!$B$29)*(VERI_TABANI!$B$10+VERI_TABANI!$B$12), 0)</f>
        <v/>
      </c>
      <c r="G136" s="168">
        <f>(((MIN(VERI_TABANI!D23, VERI_TABANI!D23*B136)*VERI_TABANI!$B$7 + MAX(0, VERI_TABANI!D23*B136-VERI_TABANI!D23)*VERI_TABANI!$B$8) + (MIN(MAX(0, VERI_TABANI!D23-VERI_TABANI!D23*B136), VERI_TABANI!D23*C136)*VERI_TABANI!$B$7 + MAX(0, VERI_TABANI!D23*C136-MAX(0, VERI_TABANI!D23-VERI_TABANI!D23*B136))*VERI_TABANI!$B$8) + IF(ABS(IF(ISNUMBER(SEARCH("Var", D136)), 1, IF(ISNUMBER(SEARCH("Gri", D136)), -1, 0)))=1, VERI_TABANI!E23*(1-0.928)*VERI_TABANI!$B$9, 0) + (VERI_TABANI!D23*B136*(VERI_TABANI!$B$13-VERI_TABANI!$B$14)*VERI_TABANI!G23) + (VERI_TABANI!D23*C136*(VERI_TABANI!$B$13-VERI_TABANI!$B$15)*VERI_TABANI!G23) + IF(ABS(IF(ISNUMBER(SEARCH("Var", D136)), 1, IF(ISNUMBER(SEARCH("Gri", D136)), -1, 0)))=1, VERI_TABANI!E23*(1-0.928)*0.00206091519919798*VERI_TABANI!G23, 0)) + ((MIN(VERI_TABANI!D24, VERI_TABANI!D24*B136)*VERI_TABANI!$B$7 + MAX(0, VERI_TABANI!D24*B136-VERI_TABANI!D24)*VERI_TABANI!$B$8) + (MIN(MAX(0, VERI_TABANI!D24-VERI_TABANI!D24*B136), VERI_TABANI!D24*C136)*VERI_TABANI!$B$7 + MAX(0, VERI_TABANI!D24*C136-MAX(0, VERI_TABANI!D24-VERI_TABANI!D24*B136))*VERI_TABANI!$B$8) + IF(ABS(IF(ISNUMBER(SEARCH("Var", D136)), 1, IF(ISNUMBER(SEARCH("Gri", D136)), -1, 0)))=1, VERI_TABANI!E24*(1-0.928)*VERI_TABANI!$B$9, 0) + (VERI_TABANI!D24*B136*(VERI_TABANI!$B$13-VERI_TABANI!$B$14)*VERI_TABANI!G24) + (VERI_TABANI!D24*C136*(VERI_TABANI!$B$13-VERI_TABANI!$B$15)*VERI_TABANI!G24) + IF(ABS(IF(ISNUMBER(SEARCH("Var", D136)), 1, IF(ISNUMBER(SEARCH("Gri", D136)), -1, 0)))=1, VERI_TABANI!E24*(1-0.928)*0.00206091519919798*VERI_TABANI!G24, 0)) + ((MIN(VERI_TABANI!D25, VERI_TABANI!D25*B136)*VERI_TABANI!$B$7 + MAX(0, VERI_TABANI!D25*B136-VERI_TABANI!D25)*VERI_TABANI!$B$8) + (MIN(MAX(0, VERI_TABANI!D25-VERI_TABANI!D25*B136), VERI_TABANI!D25*C136)*VERI_TABANI!$B$7 + MAX(0, VERI_TABANI!D25*C136-MAX(0, VERI_TABANI!D25-VERI_TABANI!D25*B136))*VERI_TABANI!$B$8) + IF(ABS(IF(ISNUMBER(SEARCH("Var", D136)), 1, IF(ISNUMBER(SEARCH("Gri", D136)), -1, 0)))=1, VERI_TABANI!E25*(1-0.928)*VERI_TABANI!$B$9, 0) + (VERI_TABANI!D25*B136*(VERI_TABANI!$B$13-VERI_TABANI!$B$14)*VERI_TABANI!G25) + (VERI_TABANI!D25*C136*(VERI_TABANI!$B$13-VERI_TABANI!$B$15)*VERI_TABANI!G25) + IF(ABS(IF(ISNUMBER(SEARCH("Var", D136)), 1, IF(ISNUMBER(SEARCH("Gri", D136)), -1, 0)))=1, VERI_TABANI!E25*(1-0.928)*0.00206091519919798*VERI_TABANI!G25, 0)) + ((MIN(VERI_TABANI!D26, VERI_TABANI!D26*B136)*VERI_TABANI!$B$7 + MAX(0, VERI_TABANI!D26*B136-VERI_TABANI!D26)*VERI_TABANI!$B$8) + (MIN(MAX(0, VERI_TABANI!D26-VERI_TABANI!D26*B136), VERI_TABANI!D26*C136)*VERI_TABANI!$B$7 + MAX(0, VERI_TABANI!D26*C136-MAX(0, VERI_TABANI!D26-VERI_TABANI!D26*B136))*VERI_TABANI!$B$8) + IF(ABS(IF(ISNUMBER(SEARCH("Var", D136)), 1, IF(ISNUMBER(SEARCH("Gri", D136)), -1, 0)))=1, VERI_TABANI!E26*(1-0.928)*VERI_TABANI!$B$9, 0) + (VERI_TABANI!D26*B136*(VERI_TABANI!$B$13-VERI_TABANI!$B$14)*VERI_TABANI!G26) + (VERI_TABANI!D26*C136*(VERI_TABANI!$B$13-VERI_TABANI!$B$15)*VERI_TABANI!G26) + IF(ABS(IF(ISNUMBER(SEARCH("Var", D136)), 1, IF(ISNUMBER(SEARCH("Gri", D136)), -1, 0)))=1, VERI_TABANI!E26*(1-0.928)*0.00206091519919798*VERI_TABANI!G26, 0)) + ((MIN(VERI_TABANI!D27, VERI_TABANI!D27*B136)*VERI_TABANI!$B$7 + MAX(0, VERI_TABANI!D27*B136-VERI_TABANI!D27)*VERI_TABANI!$B$8) + (MIN(MAX(0, VERI_TABANI!D27-VERI_TABANI!D27*B136), VERI_TABANI!D27*C136)*VERI_TABANI!$B$7 + MAX(0, VERI_TABANI!D27*C136-MAX(0, VERI_TABANI!D27-VERI_TABANI!D27*B136))*VERI_TABANI!$B$8) + IF(ABS(IF(ISNUMBER(SEARCH("Var", D136)), 1, IF(ISNUMBER(SEARCH("Gri", D136)), -1, 0)))=1, VERI_TABANI!E27*(1-0.928)*VERI_TABANI!$B$9, 0) + (VERI_TABANI!D27*B136*(VERI_TABANI!$B$13-VERI_TABANI!$B$14)*VERI_TABANI!G27) + (VERI_TABANI!D27*C136*(VERI_TABANI!$B$13-VERI_TABANI!$B$15)*VERI_TABANI!G27) + IF(ABS(IF(ISNUMBER(SEARCH("Var", D136)), 1, IF(ISNUMBER(SEARCH("Gri", D136)), -1, 0)))=1, VERI_TABANI!E27*(1-0.928)*0.00206091519919798*VERI_TABANI!G27, 0)) + ((MIN(VERI_TABANI!D28, VERI_TABANI!D28*B136)*VERI_TABANI!$B$7 + MAX(0, VERI_TABANI!D28*B136-VERI_TABANI!D28)*VERI_TABANI!$B$8) + (MIN(MAX(0, VERI_TABANI!D28-VERI_TABANI!D28*B136), VERI_TABANI!D28*C136)*VERI_TABANI!$B$7 + MAX(0, VERI_TABANI!D28*C136-MAX(0, VERI_TABANI!D28-VERI_TABANI!D28*B136))*VERI_TABANI!$B$8) + IF(ABS(IF(ISNUMBER(SEARCH("Var", D136)), 1, IF(ISNUMBER(SEARCH("Gri", D136)), -1, 0)))=1, VERI_TABANI!E28*(1-0.928)*VERI_TABANI!$B$9, 0) + (VERI_TABANI!D28*B136*(VERI_TABANI!$B$13-VERI_TABANI!$B$14)*VERI_TABANI!G28) + (VERI_TABANI!D28*C136*(VERI_TABANI!$B$13-VERI_TABANI!$B$15)*VERI_TABANI!G28) + IF(ABS(IF(ISNUMBER(SEARCH("Var", D136)), 1, IF(ISNUMBER(SEARCH("Gri", D136)), -1, 0)))=1, VERI_TABANI!E28*(1-0.928)*0.00206091519919798*VERI_TABANI!G28, 0)))</f>
        <v/>
      </c>
      <c r="H136" s="169">
        <f>(((VERI_TABANI!D23*B136*(VERI_TABANI!$B$13-VERI_TABANI!$B$14)) + (VERI_TABANI!D23*C136*(VERI_TABANI!$B$13-VERI_TABANI!$B$15)) + IF(ISNUMBER(SEARCH("Var", D136)), VERI_TABANI!F23*(0.00202-VERI_TABANI!$B$16), IF(ISNUMBER(SEARCH("Gri", D136)), VERI_TABANI!F23*(0.00202-VERI_TABANI!$B$17), 0))) + ((VERI_TABANI!D24*B136*(VERI_TABANI!$B$13-VERI_TABANI!$B$14)) + (VERI_TABANI!D24*C136*(VERI_TABANI!$B$13-VERI_TABANI!$B$15)) + IF(ISNUMBER(SEARCH("Var", D136)), VERI_TABANI!F24*(0.00202-VERI_TABANI!$B$16), IF(ISNUMBER(SEARCH("Gri", D136)), VERI_TABANI!F24*(0.00202-VERI_TABANI!$B$17), 0))) + ((VERI_TABANI!D25*B136*(VERI_TABANI!$B$13-VERI_TABANI!$B$14)) + (VERI_TABANI!D25*C136*(VERI_TABANI!$B$13-VERI_TABANI!$B$15)) + IF(ISNUMBER(SEARCH("Var", D136)), VERI_TABANI!F25*(0.00202-VERI_TABANI!$B$16), IF(ISNUMBER(SEARCH("Gri", D136)), VERI_TABANI!F25*(0.00202-VERI_TABANI!$B$17), 0))) + ((VERI_TABANI!D26*B136*(VERI_TABANI!$B$13-VERI_TABANI!$B$14)) + (VERI_TABANI!D26*C136*(VERI_TABANI!$B$13-VERI_TABANI!$B$15)) + IF(ISNUMBER(SEARCH("Var", D136)), VERI_TABANI!F26*(0.00202-VERI_TABANI!$B$16), IF(ISNUMBER(SEARCH("Gri", D136)), VERI_TABANI!F26*(0.00202-VERI_TABANI!$B$17), 0))) + ((VERI_TABANI!D27*B136*(VERI_TABANI!$B$13-VERI_TABANI!$B$14)) + (VERI_TABANI!D27*C136*(VERI_TABANI!$B$13-VERI_TABANI!$B$15)) + IF(ISNUMBER(SEARCH("Var", D136)), VERI_TABANI!F27*(0.00202-VERI_TABANI!$B$16), IF(ISNUMBER(SEARCH("Gri", D136)), VERI_TABANI!F27*(0.00202-VERI_TABANI!$B$17), 0))) + ((VERI_TABANI!D28*B136*(VERI_TABANI!$B$13-VERI_TABANI!$B$14)) + (VERI_TABANI!D28*C136*(VERI_TABANI!$B$13-VERI_TABANI!$B$15)) + IF(ISNUMBER(SEARCH("Var", D136)), VERI_TABANI!F28*(0.00202-VERI_TABANI!$B$16), IF(ISNUMBER(SEARCH("Gri", D136)), VERI_TABANI!F28*(0.00202-VERI_TABANI!$B$17), 0))))</f>
        <v/>
      </c>
      <c r="I136" s="170">
        <f>IFERROR(((VERI_TABANI!$D$29*B136*VERI_TABANI!$B$14 + VERI_TABANI!$D$29*C136*VERI_TABANI!$B$15 + IF(ISNUMBER(SEARCH("Var", D136)), VERI_TABANI!$F$29*VERI_TABANI!$B$16, 0))) / (((VERI_TABANI!$D$29*B136 + VERI_TABANI!$D$29*C136)*VERI_TABANI!$B$13 + IF(ISNUMBER(SEARCH("Var", D136)), VERI_TABANI!$E$29*(1-0.928)*VERI_TABANI!$B$18, 0))), 0)</f>
        <v/>
      </c>
      <c r="J136" s="171">
        <f>IFERROR(F136/(G136/29), 0)</f>
        <v/>
      </c>
      <c r="K136" s="172">
        <f>IF(F136&gt;0, H136/F136, 0)</f>
        <v/>
      </c>
      <c r="L136" s="170">
        <f>IF(F136&gt;0, I136, 1000000000)</f>
        <v/>
      </c>
      <c r="M136" s="171">
        <f>ABS((B136+C136)-1)</f>
        <v/>
      </c>
      <c r="N136" s="170">
        <f>IF(F136&gt;0, (G136/29)/F136, 0)</f>
        <v/>
      </c>
      <c r="O136" s="168">
        <f>IF(AND((B136+C136)&gt;=1, ISNUMBER(SEARCH("Var", D136))), F136, 1000000000)</f>
        <v/>
      </c>
      <c r="P136" s="172">
        <f>IF(F136&gt;0, SQRT((F136/MAX(F$5:F$886))^2 + (1 - H136/MAX(H$5:H$886))^2 + (J136/MAX(J$5:J$886))^2), 1000000000)</f>
        <v/>
      </c>
      <c r="Q136" s="166">
        <f>IF(AND(ABS(B136-0.5)&lt;0.01, ABS(C136-0.5)&lt;0.01, ISNUMBER(SEARCH("Var", D136))), 1, 0)</f>
        <v/>
      </c>
      <c r="R136" s="171">
        <f>IF(F136&gt;0, J136, 1000000000)</f>
        <v/>
      </c>
      <c r="S136" s="101">
        <f>IF(AND(F136&lt;=DASHBOARD!$B$11, H136&gt;=DASHBOARD!$B$13), G136, -1000000000000)</f>
        <v/>
      </c>
      <c r="T136" s="101">
        <f>IF(AND(F136&lt;=DASHBOARD!$B$11, H136&gt;=DASHBOARD!$B$13), R136, 1000000000000)</f>
        <v/>
      </c>
      <c r="U136" s="101">
        <f>IF(AND(F136&lt;=DASHBOARD!$B$11, H136&gt;=DASHBOARD!$B$13), N136, -1000000000000)</f>
        <v/>
      </c>
      <c r="V136" s="101">
        <f>IF(AND(F136&lt;=DASHBOARD!$B$11, H136&gt;=DASHBOARD!$B$13), H136, -1000000000000)</f>
        <v/>
      </c>
      <c r="W136" s="101">
        <f>IF(AND(F136&lt;=DASHBOARD!$B$11, H136&gt;=DASHBOARD!$B$13), K136, -1000000000000)</f>
        <v/>
      </c>
      <c r="X136" s="101">
        <f>IF(AND(F136&lt;=DASHBOARD!$B$11, H136&gt;=DASHBOARD!$B$13), M136, 1000000000000)</f>
        <v/>
      </c>
      <c r="Y136" s="101">
        <f>IF(AND(F136&lt;=DASHBOARD!$B$10, H136&gt;=DASHBOARD!$B$11), L136, 1000000000000)</f>
        <v/>
      </c>
      <c r="Z136" s="101">
        <f>IF(AND(F136&lt;=DASHBOARD!$B$10, H136&gt;=DASHBOARD!$B$11), O136, 1000000000000)</f>
        <v/>
      </c>
      <c r="AA136" s="101">
        <f>IF(AND(F136&lt;=DASHBOARD!$B$10, H136&gt;=DASHBOARD!$B$11), P136, 1000000000000)</f>
        <v/>
      </c>
      <c r="AB136" s="101">
        <f>IF(AND(F136&lt;=DASHBOARD!$B$10, H136&gt;=DASHBOARD!$B$11), Q136, -1000000000000)</f>
        <v/>
      </c>
    </row>
    <row r="137" ht="12.75" customHeight="1" s="102">
      <c r="A137" s="166" t="n">
        <v>133</v>
      </c>
      <c r="B137" s="167" t="n">
        <v>0.3</v>
      </c>
      <c r="C137" s="167" t="n">
        <v>0.3</v>
      </c>
      <c r="D137" s="110" t="inlineStr">
        <is>
          <t>Yok (%0)</t>
        </is>
      </c>
      <c r="E137" s="110">
        <f>IF((B137+C137)&lt;=1, "Tam Mahsuplaşma (≤%100)", "Kısmi Satış (&gt;%100)")</f>
        <v/>
      </c>
      <c r="F137" s="168">
        <f>((VERI_TABANI!$D$29*B137/VERI_TABANI!$B$29)/VERI_TABANI!$B$3)*VERI_TABANI!$B$5 + ((VERI_TABANI!$D$29*C137/VERI_TABANI!$B$29)/VERI_TABANI!$B$4)*VERI_TABANI!$B$6 + IF(ISNUMBER(SEARCH("Var", D137)), (VERI_TABANI!$F$29/VERI_TABANI!$B$29)*(VERI_TABANI!$B$10+VERI_TABANI!$B$12), 0)</f>
        <v/>
      </c>
      <c r="G137" s="168">
        <f>(((MIN(VERI_TABANI!D23, VERI_TABANI!D23*B137)*VERI_TABANI!$B$7 + MAX(0, VERI_TABANI!D23*B137-VERI_TABANI!D23)*VERI_TABANI!$B$8) + (MIN(MAX(0, VERI_TABANI!D23-VERI_TABANI!D23*B137), VERI_TABANI!D23*C137)*VERI_TABANI!$B$7 + MAX(0, VERI_TABANI!D23*C137-MAX(0, VERI_TABANI!D23-VERI_TABANI!D23*B137))*VERI_TABANI!$B$8) + IF(ABS(IF(ISNUMBER(SEARCH("Var", D137)), 1, IF(ISNUMBER(SEARCH("Gri", D137)), -1, 0)))=1, VERI_TABANI!E23*(1-0.928)*VERI_TABANI!$B$9, 0) + (VERI_TABANI!D23*B137*(VERI_TABANI!$B$13-VERI_TABANI!$B$14)*VERI_TABANI!G23) + (VERI_TABANI!D23*C137*(VERI_TABANI!$B$13-VERI_TABANI!$B$15)*VERI_TABANI!G23) + IF(ABS(IF(ISNUMBER(SEARCH("Var", D137)), 1, IF(ISNUMBER(SEARCH("Gri", D137)), -1, 0)))=1, VERI_TABANI!E23*(1-0.928)*0.00206091519919798*VERI_TABANI!G23, 0)) + ((MIN(VERI_TABANI!D24, VERI_TABANI!D24*B137)*VERI_TABANI!$B$7 + MAX(0, VERI_TABANI!D24*B137-VERI_TABANI!D24)*VERI_TABANI!$B$8) + (MIN(MAX(0, VERI_TABANI!D24-VERI_TABANI!D24*B137), VERI_TABANI!D24*C137)*VERI_TABANI!$B$7 + MAX(0, VERI_TABANI!D24*C137-MAX(0, VERI_TABANI!D24-VERI_TABANI!D24*B137))*VERI_TABANI!$B$8) + IF(ABS(IF(ISNUMBER(SEARCH("Var", D137)), 1, IF(ISNUMBER(SEARCH("Gri", D137)), -1, 0)))=1, VERI_TABANI!E24*(1-0.928)*VERI_TABANI!$B$9, 0) + (VERI_TABANI!D24*B137*(VERI_TABANI!$B$13-VERI_TABANI!$B$14)*VERI_TABANI!G24) + (VERI_TABANI!D24*C137*(VERI_TABANI!$B$13-VERI_TABANI!$B$15)*VERI_TABANI!G24) + IF(ABS(IF(ISNUMBER(SEARCH("Var", D137)), 1, IF(ISNUMBER(SEARCH("Gri", D137)), -1, 0)))=1, VERI_TABANI!E24*(1-0.928)*0.00206091519919798*VERI_TABANI!G24, 0)) + ((MIN(VERI_TABANI!D25, VERI_TABANI!D25*B137)*VERI_TABANI!$B$7 + MAX(0, VERI_TABANI!D25*B137-VERI_TABANI!D25)*VERI_TABANI!$B$8) + (MIN(MAX(0, VERI_TABANI!D25-VERI_TABANI!D25*B137), VERI_TABANI!D25*C137)*VERI_TABANI!$B$7 + MAX(0, VERI_TABANI!D25*C137-MAX(0, VERI_TABANI!D25-VERI_TABANI!D25*B137))*VERI_TABANI!$B$8) + IF(ABS(IF(ISNUMBER(SEARCH("Var", D137)), 1, IF(ISNUMBER(SEARCH("Gri", D137)), -1, 0)))=1, VERI_TABANI!E25*(1-0.928)*VERI_TABANI!$B$9, 0) + (VERI_TABANI!D25*B137*(VERI_TABANI!$B$13-VERI_TABANI!$B$14)*VERI_TABANI!G25) + (VERI_TABANI!D25*C137*(VERI_TABANI!$B$13-VERI_TABANI!$B$15)*VERI_TABANI!G25) + IF(ABS(IF(ISNUMBER(SEARCH("Var", D137)), 1, IF(ISNUMBER(SEARCH("Gri", D137)), -1, 0)))=1, VERI_TABANI!E25*(1-0.928)*0.00206091519919798*VERI_TABANI!G25, 0)) + ((MIN(VERI_TABANI!D26, VERI_TABANI!D26*B137)*VERI_TABANI!$B$7 + MAX(0, VERI_TABANI!D26*B137-VERI_TABANI!D26)*VERI_TABANI!$B$8) + (MIN(MAX(0, VERI_TABANI!D26-VERI_TABANI!D26*B137), VERI_TABANI!D26*C137)*VERI_TABANI!$B$7 + MAX(0, VERI_TABANI!D26*C137-MAX(0, VERI_TABANI!D26-VERI_TABANI!D26*B137))*VERI_TABANI!$B$8) + IF(ABS(IF(ISNUMBER(SEARCH("Var", D137)), 1, IF(ISNUMBER(SEARCH("Gri", D137)), -1, 0)))=1, VERI_TABANI!E26*(1-0.928)*VERI_TABANI!$B$9, 0) + (VERI_TABANI!D26*B137*(VERI_TABANI!$B$13-VERI_TABANI!$B$14)*VERI_TABANI!G26) + (VERI_TABANI!D26*C137*(VERI_TABANI!$B$13-VERI_TABANI!$B$15)*VERI_TABANI!G26) + IF(ABS(IF(ISNUMBER(SEARCH("Var", D137)), 1, IF(ISNUMBER(SEARCH("Gri", D137)), -1, 0)))=1, VERI_TABANI!E26*(1-0.928)*0.00206091519919798*VERI_TABANI!G26, 0)) + ((MIN(VERI_TABANI!D27, VERI_TABANI!D27*B137)*VERI_TABANI!$B$7 + MAX(0, VERI_TABANI!D27*B137-VERI_TABANI!D27)*VERI_TABANI!$B$8) + (MIN(MAX(0, VERI_TABANI!D27-VERI_TABANI!D27*B137), VERI_TABANI!D27*C137)*VERI_TABANI!$B$7 + MAX(0, VERI_TABANI!D27*C137-MAX(0, VERI_TABANI!D27-VERI_TABANI!D27*B137))*VERI_TABANI!$B$8) + IF(ABS(IF(ISNUMBER(SEARCH("Var", D137)), 1, IF(ISNUMBER(SEARCH("Gri", D137)), -1, 0)))=1, VERI_TABANI!E27*(1-0.928)*VERI_TABANI!$B$9, 0) + (VERI_TABANI!D27*B137*(VERI_TABANI!$B$13-VERI_TABANI!$B$14)*VERI_TABANI!G27) + (VERI_TABANI!D27*C137*(VERI_TABANI!$B$13-VERI_TABANI!$B$15)*VERI_TABANI!G27) + IF(ABS(IF(ISNUMBER(SEARCH("Var", D137)), 1, IF(ISNUMBER(SEARCH("Gri", D137)), -1, 0)))=1, VERI_TABANI!E27*(1-0.928)*0.00206091519919798*VERI_TABANI!G27, 0)) + ((MIN(VERI_TABANI!D28, VERI_TABANI!D28*B137)*VERI_TABANI!$B$7 + MAX(0, VERI_TABANI!D28*B137-VERI_TABANI!D28)*VERI_TABANI!$B$8) + (MIN(MAX(0, VERI_TABANI!D28-VERI_TABANI!D28*B137), VERI_TABANI!D28*C137)*VERI_TABANI!$B$7 + MAX(0, VERI_TABANI!D28*C137-MAX(0, VERI_TABANI!D28-VERI_TABANI!D28*B137))*VERI_TABANI!$B$8) + IF(ABS(IF(ISNUMBER(SEARCH("Var", D137)), 1, IF(ISNUMBER(SEARCH("Gri", D137)), -1, 0)))=1, VERI_TABANI!E28*(1-0.928)*VERI_TABANI!$B$9, 0) + (VERI_TABANI!D28*B137*(VERI_TABANI!$B$13-VERI_TABANI!$B$14)*VERI_TABANI!G28) + (VERI_TABANI!D28*C137*(VERI_TABANI!$B$13-VERI_TABANI!$B$15)*VERI_TABANI!G28) + IF(ABS(IF(ISNUMBER(SEARCH("Var", D137)), 1, IF(ISNUMBER(SEARCH("Gri", D137)), -1, 0)))=1, VERI_TABANI!E28*(1-0.928)*0.00206091519919798*VERI_TABANI!G28, 0)))</f>
        <v/>
      </c>
      <c r="H137" s="169">
        <f>(((VERI_TABANI!D23*B137*(VERI_TABANI!$B$13-VERI_TABANI!$B$14)) + (VERI_TABANI!D23*C137*(VERI_TABANI!$B$13-VERI_TABANI!$B$15)) + IF(ISNUMBER(SEARCH("Var", D137)), VERI_TABANI!F23*(0.00202-VERI_TABANI!$B$16), IF(ISNUMBER(SEARCH("Gri", D137)), VERI_TABANI!F23*(0.00202-VERI_TABANI!$B$17), 0))) + ((VERI_TABANI!D24*B137*(VERI_TABANI!$B$13-VERI_TABANI!$B$14)) + (VERI_TABANI!D24*C137*(VERI_TABANI!$B$13-VERI_TABANI!$B$15)) + IF(ISNUMBER(SEARCH("Var", D137)), VERI_TABANI!F24*(0.00202-VERI_TABANI!$B$16), IF(ISNUMBER(SEARCH("Gri", D137)), VERI_TABANI!F24*(0.00202-VERI_TABANI!$B$17), 0))) + ((VERI_TABANI!D25*B137*(VERI_TABANI!$B$13-VERI_TABANI!$B$14)) + (VERI_TABANI!D25*C137*(VERI_TABANI!$B$13-VERI_TABANI!$B$15)) + IF(ISNUMBER(SEARCH("Var", D137)), VERI_TABANI!F25*(0.00202-VERI_TABANI!$B$16), IF(ISNUMBER(SEARCH("Gri", D137)), VERI_TABANI!F25*(0.00202-VERI_TABANI!$B$17), 0))) + ((VERI_TABANI!D26*B137*(VERI_TABANI!$B$13-VERI_TABANI!$B$14)) + (VERI_TABANI!D26*C137*(VERI_TABANI!$B$13-VERI_TABANI!$B$15)) + IF(ISNUMBER(SEARCH("Var", D137)), VERI_TABANI!F26*(0.00202-VERI_TABANI!$B$16), IF(ISNUMBER(SEARCH("Gri", D137)), VERI_TABANI!F26*(0.00202-VERI_TABANI!$B$17), 0))) + ((VERI_TABANI!D27*B137*(VERI_TABANI!$B$13-VERI_TABANI!$B$14)) + (VERI_TABANI!D27*C137*(VERI_TABANI!$B$13-VERI_TABANI!$B$15)) + IF(ISNUMBER(SEARCH("Var", D137)), VERI_TABANI!F27*(0.00202-VERI_TABANI!$B$16), IF(ISNUMBER(SEARCH("Gri", D137)), VERI_TABANI!F27*(0.00202-VERI_TABANI!$B$17), 0))) + ((VERI_TABANI!D28*B137*(VERI_TABANI!$B$13-VERI_TABANI!$B$14)) + (VERI_TABANI!D28*C137*(VERI_TABANI!$B$13-VERI_TABANI!$B$15)) + IF(ISNUMBER(SEARCH("Var", D137)), VERI_TABANI!F28*(0.00202-VERI_TABANI!$B$16), IF(ISNUMBER(SEARCH("Gri", D137)), VERI_TABANI!F28*(0.00202-VERI_TABANI!$B$17), 0))))</f>
        <v/>
      </c>
      <c r="I137" s="170">
        <f>IFERROR(((VERI_TABANI!$D$29*B137*VERI_TABANI!$B$14 + VERI_TABANI!$D$29*C137*VERI_TABANI!$B$15 + IF(ISNUMBER(SEARCH("Var", D137)), VERI_TABANI!$F$29*VERI_TABANI!$B$16, 0))) / (((VERI_TABANI!$D$29*B137 + VERI_TABANI!$D$29*C137)*VERI_TABANI!$B$13 + IF(ISNUMBER(SEARCH("Var", D137)), VERI_TABANI!$E$29*(1-0.928)*VERI_TABANI!$B$18, 0))), 0)</f>
        <v/>
      </c>
      <c r="J137" s="171">
        <f>IFERROR(F137/(G137/29), 0)</f>
        <v/>
      </c>
      <c r="K137" s="172">
        <f>IF(F137&gt;0, H137/F137, 0)</f>
        <v/>
      </c>
      <c r="L137" s="170">
        <f>IF(F137&gt;0, I137, 1000000000)</f>
        <v/>
      </c>
      <c r="M137" s="171">
        <f>ABS((B137+C137)-1)</f>
        <v/>
      </c>
      <c r="N137" s="170">
        <f>IF(F137&gt;0, (G137/29)/F137, 0)</f>
        <v/>
      </c>
      <c r="O137" s="168">
        <f>IF(AND((B137+C137)&gt;=1, ISNUMBER(SEARCH("Var", D137))), F137, 1000000000)</f>
        <v/>
      </c>
      <c r="P137" s="172">
        <f>IF(F137&gt;0, SQRT((F137/MAX(F$5:F$886))^2 + (1 - H137/MAX(H$5:H$886))^2 + (J137/MAX(J$5:J$886))^2), 1000000000)</f>
        <v/>
      </c>
      <c r="Q137" s="166">
        <f>IF(AND(ABS(B137-0.5)&lt;0.01, ABS(C137-0.5)&lt;0.01, ISNUMBER(SEARCH("Var", D137))), 1, 0)</f>
        <v/>
      </c>
      <c r="R137" s="171">
        <f>IF(F137&gt;0, J137, 1000000000)</f>
        <v/>
      </c>
      <c r="S137" s="101">
        <f>IF(AND(F137&lt;=DASHBOARD!$B$11, H137&gt;=DASHBOARD!$B$13), G137, -1000000000000)</f>
        <v/>
      </c>
      <c r="T137" s="101">
        <f>IF(AND(F137&lt;=DASHBOARD!$B$11, H137&gt;=DASHBOARD!$B$13), R137, 1000000000000)</f>
        <v/>
      </c>
      <c r="U137" s="101">
        <f>IF(AND(F137&lt;=DASHBOARD!$B$11, H137&gt;=DASHBOARD!$B$13), N137, -1000000000000)</f>
        <v/>
      </c>
      <c r="V137" s="101">
        <f>IF(AND(F137&lt;=DASHBOARD!$B$11, H137&gt;=DASHBOARD!$B$13), H137, -1000000000000)</f>
        <v/>
      </c>
      <c r="W137" s="101">
        <f>IF(AND(F137&lt;=DASHBOARD!$B$11, H137&gt;=DASHBOARD!$B$13), K137, -1000000000000)</f>
        <v/>
      </c>
      <c r="X137" s="101">
        <f>IF(AND(F137&lt;=DASHBOARD!$B$11, H137&gt;=DASHBOARD!$B$13), M137, 1000000000000)</f>
        <v/>
      </c>
      <c r="Y137" s="101">
        <f>IF(AND(F137&lt;=DASHBOARD!$B$10, H137&gt;=DASHBOARD!$B$11), L137, 1000000000000)</f>
        <v/>
      </c>
      <c r="Z137" s="101">
        <f>IF(AND(F137&lt;=DASHBOARD!$B$10, H137&gt;=DASHBOARD!$B$11), O137, 1000000000000)</f>
        <v/>
      </c>
      <c r="AA137" s="101">
        <f>IF(AND(F137&lt;=DASHBOARD!$B$10, H137&gt;=DASHBOARD!$B$11), P137, 1000000000000)</f>
        <v/>
      </c>
      <c r="AB137" s="101">
        <f>IF(AND(F137&lt;=DASHBOARD!$B$10, H137&gt;=DASHBOARD!$B$11), Q137, -1000000000000)</f>
        <v/>
      </c>
    </row>
    <row r="138" ht="12.75" customHeight="1" s="102">
      <c r="A138" s="166" t="n">
        <v>134</v>
      </c>
      <c r="B138" s="167" t="n">
        <v>0.3</v>
      </c>
      <c r="C138" s="167" t="n">
        <v>0.3</v>
      </c>
      <c r="D138" s="110" t="inlineStr">
        <is>
          <t>Var (%20)</t>
        </is>
      </c>
      <c r="E138" s="110">
        <f>IF((B138+C138)&lt;=1, "Tam Mahsuplaşma (≤%100)", "Kısmi Satış (&gt;%100)")</f>
        <v/>
      </c>
      <c r="F138" s="168">
        <f>((VERI_TABANI!$D$29*B138/VERI_TABANI!$B$29)/VERI_TABANI!$B$3)*VERI_TABANI!$B$5 + ((VERI_TABANI!$D$29*C138/VERI_TABANI!$B$29)/VERI_TABANI!$B$4)*VERI_TABANI!$B$6 + IF(ISNUMBER(SEARCH("Var", D138)), (VERI_TABANI!$F$29/VERI_TABANI!$B$29)*(VERI_TABANI!$B$10+VERI_TABANI!$B$12), 0)</f>
        <v/>
      </c>
      <c r="G138" s="168">
        <f>(((MIN(VERI_TABANI!D23, VERI_TABANI!D23*B138)*VERI_TABANI!$B$7 + MAX(0, VERI_TABANI!D23*B138-VERI_TABANI!D23)*VERI_TABANI!$B$8) + (MIN(MAX(0, VERI_TABANI!D23-VERI_TABANI!D23*B138), VERI_TABANI!D23*C138)*VERI_TABANI!$B$7 + MAX(0, VERI_TABANI!D23*C138-MAX(0, VERI_TABANI!D23-VERI_TABANI!D23*B138))*VERI_TABANI!$B$8) + IF(ABS(IF(ISNUMBER(SEARCH("Var", D138)), 1, IF(ISNUMBER(SEARCH("Gri", D138)), -1, 0)))=1, VERI_TABANI!E23*(1-0.928)*VERI_TABANI!$B$9, 0) + (VERI_TABANI!D23*B138*(VERI_TABANI!$B$13-VERI_TABANI!$B$14)*VERI_TABANI!G23) + (VERI_TABANI!D23*C138*(VERI_TABANI!$B$13-VERI_TABANI!$B$15)*VERI_TABANI!G23) + IF(ABS(IF(ISNUMBER(SEARCH("Var", D138)), 1, IF(ISNUMBER(SEARCH("Gri", D138)), -1, 0)))=1, VERI_TABANI!E23*(1-0.928)*0.00206091519919798*VERI_TABANI!G23, 0)) + ((MIN(VERI_TABANI!D24, VERI_TABANI!D24*B138)*VERI_TABANI!$B$7 + MAX(0, VERI_TABANI!D24*B138-VERI_TABANI!D24)*VERI_TABANI!$B$8) + (MIN(MAX(0, VERI_TABANI!D24-VERI_TABANI!D24*B138), VERI_TABANI!D24*C138)*VERI_TABANI!$B$7 + MAX(0, VERI_TABANI!D24*C138-MAX(0, VERI_TABANI!D24-VERI_TABANI!D24*B138))*VERI_TABANI!$B$8) + IF(ABS(IF(ISNUMBER(SEARCH("Var", D138)), 1, IF(ISNUMBER(SEARCH("Gri", D138)), -1, 0)))=1, VERI_TABANI!E24*(1-0.928)*VERI_TABANI!$B$9, 0) + (VERI_TABANI!D24*B138*(VERI_TABANI!$B$13-VERI_TABANI!$B$14)*VERI_TABANI!G24) + (VERI_TABANI!D24*C138*(VERI_TABANI!$B$13-VERI_TABANI!$B$15)*VERI_TABANI!G24) + IF(ABS(IF(ISNUMBER(SEARCH("Var", D138)), 1, IF(ISNUMBER(SEARCH("Gri", D138)), -1, 0)))=1, VERI_TABANI!E24*(1-0.928)*0.00206091519919798*VERI_TABANI!G24, 0)) + ((MIN(VERI_TABANI!D25, VERI_TABANI!D25*B138)*VERI_TABANI!$B$7 + MAX(0, VERI_TABANI!D25*B138-VERI_TABANI!D25)*VERI_TABANI!$B$8) + (MIN(MAX(0, VERI_TABANI!D25-VERI_TABANI!D25*B138), VERI_TABANI!D25*C138)*VERI_TABANI!$B$7 + MAX(0, VERI_TABANI!D25*C138-MAX(0, VERI_TABANI!D25-VERI_TABANI!D25*B138))*VERI_TABANI!$B$8) + IF(ABS(IF(ISNUMBER(SEARCH("Var", D138)), 1, IF(ISNUMBER(SEARCH("Gri", D138)), -1, 0)))=1, VERI_TABANI!E25*(1-0.928)*VERI_TABANI!$B$9, 0) + (VERI_TABANI!D25*B138*(VERI_TABANI!$B$13-VERI_TABANI!$B$14)*VERI_TABANI!G25) + (VERI_TABANI!D25*C138*(VERI_TABANI!$B$13-VERI_TABANI!$B$15)*VERI_TABANI!G25) + IF(ABS(IF(ISNUMBER(SEARCH("Var", D138)), 1, IF(ISNUMBER(SEARCH("Gri", D138)), -1, 0)))=1, VERI_TABANI!E25*(1-0.928)*0.00206091519919798*VERI_TABANI!G25, 0)) + ((MIN(VERI_TABANI!D26, VERI_TABANI!D26*B138)*VERI_TABANI!$B$7 + MAX(0, VERI_TABANI!D26*B138-VERI_TABANI!D26)*VERI_TABANI!$B$8) + (MIN(MAX(0, VERI_TABANI!D26-VERI_TABANI!D26*B138), VERI_TABANI!D26*C138)*VERI_TABANI!$B$7 + MAX(0, VERI_TABANI!D26*C138-MAX(0, VERI_TABANI!D26-VERI_TABANI!D26*B138))*VERI_TABANI!$B$8) + IF(ABS(IF(ISNUMBER(SEARCH("Var", D138)), 1, IF(ISNUMBER(SEARCH("Gri", D138)), -1, 0)))=1, VERI_TABANI!E26*(1-0.928)*VERI_TABANI!$B$9, 0) + (VERI_TABANI!D26*B138*(VERI_TABANI!$B$13-VERI_TABANI!$B$14)*VERI_TABANI!G26) + (VERI_TABANI!D26*C138*(VERI_TABANI!$B$13-VERI_TABANI!$B$15)*VERI_TABANI!G26) + IF(ABS(IF(ISNUMBER(SEARCH("Var", D138)), 1, IF(ISNUMBER(SEARCH("Gri", D138)), -1, 0)))=1, VERI_TABANI!E26*(1-0.928)*0.00206091519919798*VERI_TABANI!G26, 0)) + ((MIN(VERI_TABANI!D27, VERI_TABANI!D27*B138)*VERI_TABANI!$B$7 + MAX(0, VERI_TABANI!D27*B138-VERI_TABANI!D27)*VERI_TABANI!$B$8) + (MIN(MAX(0, VERI_TABANI!D27-VERI_TABANI!D27*B138), VERI_TABANI!D27*C138)*VERI_TABANI!$B$7 + MAX(0, VERI_TABANI!D27*C138-MAX(0, VERI_TABANI!D27-VERI_TABANI!D27*B138))*VERI_TABANI!$B$8) + IF(ABS(IF(ISNUMBER(SEARCH("Var", D138)), 1, IF(ISNUMBER(SEARCH("Gri", D138)), -1, 0)))=1, VERI_TABANI!E27*(1-0.928)*VERI_TABANI!$B$9, 0) + (VERI_TABANI!D27*B138*(VERI_TABANI!$B$13-VERI_TABANI!$B$14)*VERI_TABANI!G27) + (VERI_TABANI!D27*C138*(VERI_TABANI!$B$13-VERI_TABANI!$B$15)*VERI_TABANI!G27) + IF(ABS(IF(ISNUMBER(SEARCH("Var", D138)), 1, IF(ISNUMBER(SEARCH("Gri", D138)), -1, 0)))=1, VERI_TABANI!E27*(1-0.928)*0.00206091519919798*VERI_TABANI!G27, 0)) + ((MIN(VERI_TABANI!D28, VERI_TABANI!D28*B138)*VERI_TABANI!$B$7 + MAX(0, VERI_TABANI!D28*B138-VERI_TABANI!D28)*VERI_TABANI!$B$8) + (MIN(MAX(0, VERI_TABANI!D28-VERI_TABANI!D28*B138), VERI_TABANI!D28*C138)*VERI_TABANI!$B$7 + MAX(0, VERI_TABANI!D28*C138-MAX(0, VERI_TABANI!D28-VERI_TABANI!D28*B138))*VERI_TABANI!$B$8) + IF(ABS(IF(ISNUMBER(SEARCH("Var", D138)), 1, IF(ISNUMBER(SEARCH("Gri", D138)), -1, 0)))=1, VERI_TABANI!E28*(1-0.928)*VERI_TABANI!$B$9, 0) + (VERI_TABANI!D28*B138*(VERI_TABANI!$B$13-VERI_TABANI!$B$14)*VERI_TABANI!G28) + (VERI_TABANI!D28*C138*(VERI_TABANI!$B$13-VERI_TABANI!$B$15)*VERI_TABANI!G28) + IF(ABS(IF(ISNUMBER(SEARCH("Var", D138)), 1, IF(ISNUMBER(SEARCH("Gri", D138)), -1, 0)))=1, VERI_TABANI!E28*(1-0.928)*0.00206091519919798*VERI_TABANI!G28, 0)))</f>
        <v/>
      </c>
      <c r="H138" s="169">
        <f>(((VERI_TABANI!D23*B138*(VERI_TABANI!$B$13-VERI_TABANI!$B$14)) + (VERI_TABANI!D23*C138*(VERI_TABANI!$B$13-VERI_TABANI!$B$15)) + IF(ISNUMBER(SEARCH("Var", D138)), VERI_TABANI!F23*(0.00202-VERI_TABANI!$B$16), IF(ISNUMBER(SEARCH("Gri", D138)), VERI_TABANI!F23*(0.00202-VERI_TABANI!$B$17), 0))) + ((VERI_TABANI!D24*B138*(VERI_TABANI!$B$13-VERI_TABANI!$B$14)) + (VERI_TABANI!D24*C138*(VERI_TABANI!$B$13-VERI_TABANI!$B$15)) + IF(ISNUMBER(SEARCH("Var", D138)), VERI_TABANI!F24*(0.00202-VERI_TABANI!$B$16), IF(ISNUMBER(SEARCH("Gri", D138)), VERI_TABANI!F24*(0.00202-VERI_TABANI!$B$17), 0))) + ((VERI_TABANI!D25*B138*(VERI_TABANI!$B$13-VERI_TABANI!$B$14)) + (VERI_TABANI!D25*C138*(VERI_TABANI!$B$13-VERI_TABANI!$B$15)) + IF(ISNUMBER(SEARCH("Var", D138)), VERI_TABANI!F25*(0.00202-VERI_TABANI!$B$16), IF(ISNUMBER(SEARCH("Gri", D138)), VERI_TABANI!F25*(0.00202-VERI_TABANI!$B$17), 0))) + ((VERI_TABANI!D26*B138*(VERI_TABANI!$B$13-VERI_TABANI!$B$14)) + (VERI_TABANI!D26*C138*(VERI_TABANI!$B$13-VERI_TABANI!$B$15)) + IF(ISNUMBER(SEARCH("Var", D138)), VERI_TABANI!F26*(0.00202-VERI_TABANI!$B$16), IF(ISNUMBER(SEARCH("Gri", D138)), VERI_TABANI!F26*(0.00202-VERI_TABANI!$B$17), 0))) + ((VERI_TABANI!D27*B138*(VERI_TABANI!$B$13-VERI_TABANI!$B$14)) + (VERI_TABANI!D27*C138*(VERI_TABANI!$B$13-VERI_TABANI!$B$15)) + IF(ISNUMBER(SEARCH("Var", D138)), VERI_TABANI!F27*(0.00202-VERI_TABANI!$B$16), IF(ISNUMBER(SEARCH("Gri", D138)), VERI_TABANI!F27*(0.00202-VERI_TABANI!$B$17), 0))) + ((VERI_TABANI!D28*B138*(VERI_TABANI!$B$13-VERI_TABANI!$B$14)) + (VERI_TABANI!D28*C138*(VERI_TABANI!$B$13-VERI_TABANI!$B$15)) + IF(ISNUMBER(SEARCH("Var", D138)), VERI_TABANI!F28*(0.00202-VERI_TABANI!$B$16), IF(ISNUMBER(SEARCH("Gri", D138)), VERI_TABANI!F28*(0.00202-VERI_TABANI!$B$17), 0))))</f>
        <v/>
      </c>
      <c r="I138" s="170">
        <f>IFERROR(((VERI_TABANI!$D$29*B138*VERI_TABANI!$B$14 + VERI_TABANI!$D$29*C138*VERI_TABANI!$B$15 + IF(ISNUMBER(SEARCH("Var", D138)), VERI_TABANI!$F$29*VERI_TABANI!$B$16, 0))) / (((VERI_TABANI!$D$29*B138 + VERI_TABANI!$D$29*C138)*VERI_TABANI!$B$13 + IF(ISNUMBER(SEARCH("Var", D138)), VERI_TABANI!$E$29*(1-0.928)*VERI_TABANI!$B$18, 0))), 0)</f>
        <v/>
      </c>
      <c r="J138" s="171">
        <f>IFERROR(F138/(G138/29), 0)</f>
        <v/>
      </c>
      <c r="K138" s="172">
        <f>IF(F138&gt;0, H138/F138, 0)</f>
        <v/>
      </c>
      <c r="L138" s="170">
        <f>IF(F138&gt;0, I138, 1000000000)</f>
        <v/>
      </c>
      <c r="M138" s="171">
        <f>ABS((B138+C138)-1)</f>
        <v/>
      </c>
      <c r="N138" s="170">
        <f>IF(F138&gt;0, (G138/29)/F138, 0)</f>
        <v/>
      </c>
      <c r="O138" s="168">
        <f>IF(AND((B138+C138)&gt;=1, ISNUMBER(SEARCH("Var", D138))), F138, 1000000000)</f>
        <v/>
      </c>
      <c r="P138" s="172">
        <f>IF(F138&gt;0, SQRT((F138/MAX(F$5:F$886))^2 + (1 - H138/MAX(H$5:H$886))^2 + (J138/MAX(J$5:J$886))^2), 1000000000)</f>
        <v/>
      </c>
      <c r="Q138" s="166">
        <f>IF(AND(ABS(B138-0.5)&lt;0.01, ABS(C138-0.5)&lt;0.01, ISNUMBER(SEARCH("Var", D138))), 1, 0)</f>
        <v/>
      </c>
      <c r="R138" s="171">
        <f>IF(F138&gt;0, J138, 1000000000)</f>
        <v/>
      </c>
      <c r="S138" s="101">
        <f>IF(AND(F138&lt;=DASHBOARD!$B$11, H138&gt;=DASHBOARD!$B$13), G138, -1000000000000)</f>
        <v/>
      </c>
      <c r="T138" s="101">
        <f>IF(AND(F138&lt;=DASHBOARD!$B$11, H138&gt;=DASHBOARD!$B$13), R138, 1000000000000)</f>
        <v/>
      </c>
      <c r="U138" s="101">
        <f>IF(AND(F138&lt;=DASHBOARD!$B$11, H138&gt;=DASHBOARD!$B$13), N138, -1000000000000)</f>
        <v/>
      </c>
      <c r="V138" s="101">
        <f>IF(AND(F138&lt;=DASHBOARD!$B$11, H138&gt;=DASHBOARD!$B$13), H138, -1000000000000)</f>
        <v/>
      </c>
      <c r="W138" s="101">
        <f>IF(AND(F138&lt;=DASHBOARD!$B$11, H138&gt;=DASHBOARD!$B$13), K138, -1000000000000)</f>
        <v/>
      </c>
      <c r="X138" s="101">
        <f>IF(AND(F138&lt;=DASHBOARD!$B$11, H138&gt;=DASHBOARD!$B$13), M138, 1000000000000)</f>
        <v/>
      </c>
      <c r="Y138" s="101">
        <f>IF(AND(F138&lt;=DASHBOARD!$B$10, H138&gt;=DASHBOARD!$B$11), L138, 1000000000000)</f>
        <v/>
      </c>
      <c r="Z138" s="101">
        <f>IF(AND(F138&lt;=DASHBOARD!$B$10, H138&gt;=DASHBOARD!$B$11), O138, 1000000000000)</f>
        <v/>
      </c>
      <c r="AA138" s="101">
        <f>IF(AND(F138&lt;=DASHBOARD!$B$10, H138&gt;=DASHBOARD!$B$11), P138, 1000000000000)</f>
        <v/>
      </c>
      <c r="AB138" s="101">
        <f>IF(AND(F138&lt;=DASHBOARD!$B$10, H138&gt;=DASHBOARD!$B$11), Q138, -1000000000000)</f>
        <v/>
      </c>
    </row>
    <row r="139" ht="12.75" customHeight="1" s="102">
      <c r="A139" s="166" t="n">
        <v>135</v>
      </c>
      <c r="B139" s="167" t="n">
        <v>0.3</v>
      </c>
      <c r="C139" s="167" t="n">
        <v>0.4</v>
      </c>
      <c r="D139" s="110" t="inlineStr">
        <is>
          <t>Yok (%0)</t>
        </is>
      </c>
      <c r="E139" s="110">
        <f>IF((B139+C139)&lt;=1, "Tam Mahsuplaşma (≤%100)", "Kısmi Satış (&gt;%100)")</f>
        <v/>
      </c>
      <c r="F139" s="168">
        <f>((VERI_TABANI!$D$29*B139/VERI_TABANI!$B$29)/VERI_TABANI!$B$3)*VERI_TABANI!$B$5 + ((VERI_TABANI!$D$29*C139/VERI_TABANI!$B$29)/VERI_TABANI!$B$4)*VERI_TABANI!$B$6 + IF(ISNUMBER(SEARCH("Var", D139)), (VERI_TABANI!$F$29/VERI_TABANI!$B$29)*(VERI_TABANI!$B$10+VERI_TABANI!$B$12), 0)</f>
        <v/>
      </c>
      <c r="G139" s="168">
        <f>(((MIN(VERI_TABANI!D23, VERI_TABANI!D23*B139)*VERI_TABANI!$B$7 + MAX(0, VERI_TABANI!D23*B139-VERI_TABANI!D23)*VERI_TABANI!$B$8) + (MIN(MAX(0, VERI_TABANI!D23-VERI_TABANI!D23*B139), VERI_TABANI!D23*C139)*VERI_TABANI!$B$7 + MAX(0, VERI_TABANI!D23*C139-MAX(0, VERI_TABANI!D23-VERI_TABANI!D23*B139))*VERI_TABANI!$B$8) + IF(ABS(IF(ISNUMBER(SEARCH("Var", D139)), 1, IF(ISNUMBER(SEARCH("Gri", D139)), -1, 0)))=1, VERI_TABANI!E23*(1-0.928)*VERI_TABANI!$B$9, 0) + (VERI_TABANI!D23*B139*(VERI_TABANI!$B$13-VERI_TABANI!$B$14)*VERI_TABANI!G23) + (VERI_TABANI!D23*C139*(VERI_TABANI!$B$13-VERI_TABANI!$B$15)*VERI_TABANI!G23) + IF(ABS(IF(ISNUMBER(SEARCH("Var", D139)), 1, IF(ISNUMBER(SEARCH("Gri", D139)), -1, 0)))=1, VERI_TABANI!E23*(1-0.928)*0.00206091519919798*VERI_TABANI!G23, 0)) + ((MIN(VERI_TABANI!D24, VERI_TABANI!D24*B139)*VERI_TABANI!$B$7 + MAX(0, VERI_TABANI!D24*B139-VERI_TABANI!D24)*VERI_TABANI!$B$8) + (MIN(MAX(0, VERI_TABANI!D24-VERI_TABANI!D24*B139), VERI_TABANI!D24*C139)*VERI_TABANI!$B$7 + MAX(0, VERI_TABANI!D24*C139-MAX(0, VERI_TABANI!D24-VERI_TABANI!D24*B139))*VERI_TABANI!$B$8) + IF(ABS(IF(ISNUMBER(SEARCH("Var", D139)), 1, IF(ISNUMBER(SEARCH("Gri", D139)), -1, 0)))=1, VERI_TABANI!E24*(1-0.928)*VERI_TABANI!$B$9, 0) + (VERI_TABANI!D24*B139*(VERI_TABANI!$B$13-VERI_TABANI!$B$14)*VERI_TABANI!G24) + (VERI_TABANI!D24*C139*(VERI_TABANI!$B$13-VERI_TABANI!$B$15)*VERI_TABANI!G24) + IF(ABS(IF(ISNUMBER(SEARCH("Var", D139)), 1, IF(ISNUMBER(SEARCH("Gri", D139)), -1, 0)))=1, VERI_TABANI!E24*(1-0.928)*0.00206091519919798*VERI_TABANI!G24, 0)) + ((MIN(VERI_TABANI!D25, VERI_TABANI!D25*B139)*VERI_TABANI!$B$7 + MAX(0, VERI_TABANI!D25*B139-VERI_TABANI!D25)*VERI_TABANI!$B$8) + (MIN(MAX(0, VERI_TABANI!D25-VERI_TABANI!D25*B139), VERI_TABANI!D25*C139)*VERI_TABANI!$B$7 + MAX(0, VERI_TABANI!D25*C139-MAX(0, VERI_TABANI!D25-VERI_TABANI!D25*B139))*VERI_TABANI!$B$8) + IF(ABS(IF(ISNUMBER(SEARCH("Var", D139)), 1, IF(ISNUMBER(SEARCH("Gri", D139)), -1, 0)))=1, VERI_TABANI!E25*(1-0.928)*VERI_TABANI!$B$9, 0) + (VERI_TABANI!D25*B139*(VERI_TABANI!$B$13-VERI_TABANI!$B$14)*VERI_TABANI!G25) + (VERI_TABANI!D25*C139*(VERI_TABANI!$B$13-VERI_TABANI!$B$15)*VERI_TABANI!G25) + IF(ABS(IF(ISNUMBER(SEARCH("Var", D139)), 1, IF(ISNUMBER(SEARCH("Gri", D139)), -1, 0)))=1, VERI_TABANI!E25*(1-0.928)*0.00206091519919798*VERI_TABANI!G25, 0)) + ((MIN(VERI_TABANI!D26, VERI_TABANI!D26*B139)*VERI_TABANI!$B$7 + MAX(0, VERI_TABANI!D26*B139-VERI_TABANI!D26)*VERI_TABANI!$B$8) + (MIN(MAX(0, VERI_TABANI!D26-VERI_TABANI!D26*B139), VERI_TABANI!D26*C139)*VERI_TABANI!$B$7 + MAX(0, VERI_TABANI!D26*C139-MAX(0, VERI_TABANI!D26-VERI_TABANI!D26*B139))*VERI_TABANI!$B$8) + IF(ABS(IF(ISNUMBER(SEARCH("Var", D139)), 1, IF(ISNUMBER(SEARCH("Gri", D139)), -1, 0)))=1, VERI_TABANI!E26*(1-0.928)*VERI_TABANI!$B$9, 0) + (VERI_TABANI!D26*B139*(VERI_TABANI!$B$13-VERI_TABANI!$B$14)*VERI_TABANI!G26) + (VERI_TABANI!D26*C139*(VERI_TABANI!$B$13-VERI_TABANI!$B$15)*VERI_TABANI!G26) + IF(ABS(IF(ISNUMBER(SEARCH("Var", D139)), 1, IF(ISNUMBER(SEARCH("Gri", D139)), -1, 0)))=1, VERI_TABANI!E26*(1-0.928)*0.00206091519919798*VERI_TABANI!G26, 0)) + ((MIN(VERI_TABANI!D27, VERI_TABANI!D27*B139)*VERI_TABANI!$B$7 + MAX(0, VERI_TABANI!D27*B139-VERI_TABANI!D27)*VERI_TABANI!$B$8) + (MIN(MAX(0, VERI_TABANI!D27-VERI_TABANI!D27*B139), VERI_TABANI!D27*C139)*VERI_TABANI!$B$7 + MAX(0, VERI_TABANI!D27*C139-MAX(0, VERI_TABANI!D27-VERI_TABANI!D27*B139))*VERI_TABANI!$B$8) + IF(ABS(IF(ISNUMBER(SEARCH("Var", D139)), 1, IF(ISNUMBER(SEARCH("Gri", D139)), -1, 0)))=1, VERI_TABANI!E27*(1-0.928)*VERI_TABANI!$B$9, 0) + (VERI_TABANI!D27*B139*(VERI_TABANI!$B$13-VERI_TABANI!$B$14)*VERI_TABANI!G27) + (VERI_TABANI!D27*C139*(VERI_TABANI!$B$13-VERI_TABANI!$B$15)*VERI_TABANI!G27) + IF(ABS(IF(ISNUMBER(SEARCH("Var", D139)), 1, IF(ISNUMBER(SEARCH("Gri", D139)), -1, 0)))=1, VERI_TABANI!E27*(1-0.928)*0.00206091519919798*VERI_TABANI!G27, 0)) + ((MIN(VERI_TABANI!D28, VERI_TABANI!D28*B139)*VERI_TABANI!$B$7 + MAX(0, VERI_TABANI!D28*B139-VERI_TABANI!D28)*VERI_TABANI!$B$8) + (MIN(MAX(0, VERI_TABANI!D28-VERI_TABANI!D28*B139), VERI_TABANI!D28*C139)*VERI_TABANI!$B$7 + MAX(0, VERI_TABANI!D28*C139-MAX(0, VERI_TABANI!D28-VERI_TABANI!D28*B139))*VERI_TABANI!$B$8) + IF(ABS(IF(ISNUMBER(SEARCH("Var", D139)), 1, IF(ISNUMBER(SEARCH("Gri", D139)), -1, 0)))=1, VERI_TABANI!E28*(1-0.928)*VERI_TABANI!$B$9, 0) + (VERI_TABANI!D28*B139*(VERI_TABANI!$B$13-VERI_TABANI!$B$14)*VERI_TABANI!G28) + (VERI_TABANI!D28*C139*(VERI_TABANI!$B$13-VERI_TABANI!$B$15)*VERI_TABANI!G28) + IF(ABS(IF(ISNUMBER(SEARCH("Var", D139)), 1, IF(ISNUMBER(SEARCH("Gri", D139)), -1, 0)))=1, VERI_TABANI!E28*(1-0.928)*0.00206091519919798*VERI_TABANI!G28, 0)))</f>
        <v/>
      </c>
      <c r="H139" s="169">
        <f>(((VERI_TABANI!D23*B139*(VERI_TABANI!$B$13-VERI_TABANI!$B$14)) + (VERI_TABANI!D23*C139*(VERI_TABANI!$B$13-VERI_TABANI!$B$15)) + IF(ISNUMBER(SEARCH("Var", D139)), VERI_TABANI!F23*(0.00202-VERI_TABANI!$B$16), IF(ISNUMBER(SEARCH("Gri", D139)), VERI_TABANI!F23*(0.00202-VERI_TABANI!$B$17), 0))) + ((VERI_TABANI!D24*B139*(VERI_TABANI!$B$13-VERI_TABANI!$B$14)) + (VERI_TABANI!D24*C139*(VERI_TABANI!$B$13-VERI_TABANI!$B$15)) + IF(ISNUMBER(SEARCH("Var", D139)), VERI_TABANI!F24*(0.00202-VERI_TABANI!$B$16), IF(ISNUMBER(SEARCH("Gri", D139)), VERI_TABANI!F24*(0.00202-VERI_TABANI!$B$17), 0))) + ((VERI_TABANI!D25*B139*(VERI_TABANI!$B$13-VERI_TABANI!$B$14)) + (VERI_TABANI!D25*C139*(VERI_TABANI!$B$13-VERI_TABANI!$B$15)) + IF(ISNUMBER(SEARCH("Var", D139)), VERI_TABANI!F25*(0.00202-VERI_TABANI!$B$16), IF(ISNUMBER(SEARCH("Gri", D139)), VERI_TABANI!F25*(0.00202-VERI_TABANI!$B$17), 0))) + ((VERI_TABANI!D26*B139*(VERI_TABANI!$B$13-VERI_TABANI!$B$14)) + (VERI_TABANI!D26*C139*(VERI_TABANI!$B$13-VERI_TABANI!$B$15)) + IF(ISNUMBER(SEARCH("Var", D139)), VERI_TABANI!F26*(0.00202-VERI_TABANI!$B$16), IF(ISNUMBER(SEARCH("Gri", D139)), VERI_TABANI!F26*(0.00202-VERI_TABANI!$B$17), 0))) + ((VERI_TABANI!D27*B139*(VERI_TABANI!$B$13-VERI_TABANI!$B$14)) + (VERI_TABANI!D27*C139*(VERI_TABANI!$B$13-VERI_TABANI!$B$15)) + IF(ISNUMBER(SEARCH("Var", D139)), VERI_TABANI!F27*(0.00202-VERI_TABANI!$B$16), IF(ISNUMBER(SEARCH("Gri", D139)), VERI_TABANI!F27*(0.00202-VERI_TABANI!$B$17), 0))) + ((VERI_TABANI!D28*B139*(VERI_TABANI!$B$13-VERI_TABANI!$B$14)) + (VERI_TABANI!D28*C139*(VERI_TABANI!$B$13-VERI_TABANI!$B$15)) + IF(ISNUMBER(SEARCH("Var", D139)), VERI_TABANI!F28*(0.00202-VERI_TABANI!$B$16), IF(ISNUMBER(SEARCH("Gri", D139)), VERI_TABANI!F28*(0.00202-VERI_TABANI!$B$17), 0))))</f>
        <v/>
      </c>
      <c r="I139" s="170">
        <f>IFERROR(((VERI_TABANI!$D$29*B139*VERI_TABANI!$B$14 + VERI_TABANI!$D$29*C139*VERI_TABANI!$B$15 + IF(ISNUMBER(SEARCH("Var", D139)), VERI_TABANI!$F$29*VERI_TABANI!$B$16, 0))) / (((VERI_TABANI!$D$29*B139 + VERI_TABANI!$D$29*C139)*VERI_TABANI!$B$13 + IF(ISNUMBER(SEARCH("Var", D139)), VERI_TABANI!$E$29*(1-0.928)*VERI_TABANI!$B$18, 0))), 0)</f>
        <v/>
      </c>
      <c r="J139" s="171">
        <f>IFERROR(F139/(G139/29), 0)</f>
        <v/>
      </c>
      <c r="K139" s="172">
        <f>IF(F139&gt;0, H139/F139, 0)</f>
        <v/>
      </c>
      <c r="L139" s="170">
        <f>IF(F139&gt;0, I139, 1000000000)</f>
        <v/>
      </c>
      <c r="M139" s="171">
        <f>ABS((B139+C139)-1)</f>
        <v/>
      </c>
      <c r="N139" s="170">
        <f>IF(F139&gt;0, (G139/29)/F139, 0)</f>
        <v/>
      </c>
      <c r="O139" s="168">
        <f>IF(AND((B139+C139)&gt;=1, ISNUMBER(SEARCH("Var", D139))), F139, 1000000000)</f>
        <v/>
      </c>
      <c r="P139" s="172">
        <f>IF(F139&gt;0, SQRT((F139/MAX(F$5:F$886))^2 + (1 - H139/MAX(H$5:H$886))^2 + (J139/MAX(J$5:J$886))^2), 1000000000)</f>
        <v/>
      </c>
      <c r="Q139" s="166">
        <f>IF(AND(ABS(B139-0.5)&lt;0.01, ABS(C139-0.5)&lt;0.01, ISNUMBER(SEARCH("Var", D139))), 1, 0)</f>
        <v/>
      </c>
      <c r="R139" s="171">
        <f>IF(F139&gt;0, J139, 1000000000)</f>
        <v/>
      </c>
      <c r="S139" s="101">
        <f>IF(AND(F139&lt;=DASHBOARD!$B$11, H139&gt;=DASHBOARD!$B$13), G139, -1000000000000)</f>
        <v/>
      </c>
      <c r="T139" s="101">
        <f>IF(AND(F139&lt;=DASHBOARD!$B$11, H139&gt;=DASHBOARD!$B$13), R139, 1000000000000)</f>
        <v/>
      </c>
      <c r="U139" s="101">
        <f>IF(AND(F139&lt;=DASHBOARD!$B$11, H139&gt;=DASHBOARD!$B$13), N139, -1000000000000)</f>
        <v/>
      </c>
      <c r="V139" s="101">
        <f>IF(AND(F139&lt;=DASHBOARD!$B$11, H139&gt;=DASHBOARD!$B$13), H139, -1000000000000)</f>
        <v/>
      </c>
      <c r="W139" s="101">
        <f>IF(AND(F139&lt;=DASHBOARD!$B$11, H139&gt;=DASHBOARD!$B$13), K139, -1000000000000)</f>
        <v/>
      </c>
      <c r="X139" s="101">
        <f>IF(AND(F139&lt;=DASHBOARD!$B$11, H139&gt;=DASHBOARD!$B$13), M139, 1000000000000)</f>
        <v/>
      </c>
      <c r="Y139" s="101">
        <f>IF(AND(F139&lt;=DASHBOARD!$B$10, H139&gt;=DASHBOARD!$B$11), L139, 1000000000000)</f>
        <v/>
      </c>
      <c r="Z139" s="101">
        <f>IF(AND(F139&lt;=DASHBOARD!$B$10, H139&gt;=DASHBOARD!$B$11), O139, 1000000000000)</f>
        <v/>
      </c>
      <c r="AA139" s="101">
        <f>IF(AND(F139&lt;=DASHBOARD!$B$10, H139&gt;=DASHBOARD!$B$11), P139, 1000000000000)</f>
        <v/>
      </c>
      <c r="AB139" s="101">
        <f>IF(AND(F139&lt;=DASHBOARD!$B$10, H139&gt;=DASHBOARD!$B$11), Q139, -1000000000000)</f>
        <v/>
      </c>
    </row>
    <row r="140" ht="12.75" customHeight="1" s="102">
      <c r="A140" s="166" t="n">
        <v>136</v>
      </c>
      <c r="B140" s="167" t="n">
        <v>0.3</v>
      </c>
      <c r="C140" s="167" t="n">
        <v>0.4</v>
      </c>
      <c r="D140" s="110" t="inlineStr">
        <is>
          <t>Var (%20)</t>
        </is>
      </c>
      <c r="E140" s="110">
        <f>IF((B140+C140)&lt;=1, "Tam Mahsuplaşma (≤%100)", "Kısmi Satış (&gt;%100)")</f>
        <v/>
      </c>
      <c r="F140" s="168">
        <f>((VERI_TABANI!$D$29*B140/VERI_TABANI!$B$29)/VERI_TABANI!$B$3)*VERI_TABANI!$B$5 + ((VERI_TABANI!$D$29*C140/VERI_TABANI!$B$29)/VERI_TABANI!$B$4)*VERI_TABANI!$B$6 + IF(ISNUMBER(SEARCH("Var", D140)), (VERI_TABANI!$F$29/VERI_TABANI!$B$29)*(VERI_TABANI!$B$10+VERI_TABANI!$B$12), 0)</f>
        <v/>
      </c>
      <c r="G140" s="168">
        <f>(((MIN(VERI_TABANI!D23, VERI_TABANI!D23*B140)*VERI_TABANI!$B$7 + MAX(0, VERI_TABANI!D23*B140-VERI_TABANI!D23)*VERI_TABANI!$B$8) + (MIN(MAX(0, VERI_TABANI!D23-VERI_TABANI!D23*B140), VERI_TABANI!D23*C140)*VERI_TABANI!$B$7 + MAX(0, VERI_TABANI!D23*C140-MAX(0, VERI_TABANI!D23-VERI_TABANI!D23*B140))*VERI_TABANI!$B$8) + IF(ABS(IF(ISNUMBER(SEARCH("Var", D140)), 1, IF(ISNUMBER(SEARCH("Gri", D140)), -1, 0)))=1, VERI_TABANI!E23*(1-0.928)*VERI_TABANI!$B$9, 0) + (VERI_TABANI!D23*B140*(VERI_TABANI!$B$13-VERI_TABANI!$B$14)*VERI_TABANI!G23) + (VERI_TABANI!D23*C140*(VERI_TABANI!$B$13-VERI_TABANI!$B$15)*VERI_TABANI!G23) + IF(ABS(IF(ISNUMBER(SEARCH("Var", D140)), 1, IF(ISNUMBER(SEARCH("Gri", D140)), -1, 0)))=1, VERI_TABANI!E23*(1-0.928)*0.00206091519919798*VERI_TABANI!G23, 0)) + ((MIN(VERI_TABANI!D24, VERI_TABANI!D24*B140)*VERI_TABANI!$B$7 + MAX(0, VERI_TABANI!D24*B140-VERI_TABANI!D24)*VERI_TABANI!$B$8) + (MIN(MAX(0, VERI_TABANI!D24-VERI_TABANI!D24*B140), VERI_TABANI!D24*C140)*VERI_TABANI!$B$7 + MAX(0, VERI_TABANI!D24*C140-MAX(0, VERI_TABANI!D24-VERI_TABANI!D24*B140))*VERI_TABANI!$B$8) + IF(ABS(IF(ISNUMBER(SEARCH("Var", D140)), 1, IF(ISNUMBER(SEARCH("Gri", D140)), -1, 0)))=1, VERI_TABANI!E24*(1-0.928)*VERI_TABANI!$B$9, 0) + (VERI_TABANI!D24*B140*(VERI_TABANI!$B$13-VERI_TABANI!$B$14)*VERI_TABANI!G24) + (VERI_TABANI!D24*C140*(VERI_TABANI!$B$13-VERI_TABANI!$B$15)*VERI_TABANI!G24) + IF(ABS(IF(ISNUMBER(SEARCH("Var", D140)), 1, IF(ISNUMBER(SEARCH("Gri", D140)), -1, 0)))=1, VERI_TABANI!E24*(1-0.928)*0.00206091519919798*VERI_TABANI!G24, 0)) + ((MIN(VERI_TABANI!D25, VERI_TABANI!D25*B140)*VERI_TABANI!$B$7 + MAX(0, VERI_TABANI!D25*B140-VERI_TABANI!D25)*VERI_TABANI!$B$8) + (MIN(MAX(0, VERI_TABANI!D25-VERI_TABANI!D25*B140), VERI_TABANI!D25*C140)*VERI_TABANI!$B$7 + MAX(0, VERI_TABANI!D25*C140-MAX(0, VERI_TABANI!D25-VERI_TABANI!D25*B140))*VERI_TABANI!$B$8) + IF(ABS(IF(ISNUMBER(SEARCH("Var", D140)), 1, IF(ISNUMBER(SEARCH("Gri", D140)), -1, 0)))=1, VERI_TABANI!E25*(1-0.928)*VERI_TABANI!$B$9, 0) + (VERI_TABANI!D25*B140*(VERI_TABANI!$B$13-VERI_TABANI!$B$14)*VERI_TABANI!G25) + (VERI_TABANI!D25*C140*(VERI_TABANI!$B$13-VERI_TABANI!$B$15)*VERI_TABANI!G25) + IF(ABS(IF(ISNUMBER(SEARCH("Var", D140)), 1, IF(ISNUMBER(SEARCH("Gri", D140)), -1, 0)))=1, VERI_TABANI!E25*(1-0.928)*0.00206091519919798*VERI_TABANI!G25, 0)) + ((MIN(VERI_TABANI!D26, VERI_TABANI!D26*B140)*VERI_TABANI!$B$7 + MAX(0, VERI_TABANI!D26*B140-VERI_TABANI!D26)*VERI_TABANI!$B$8) + (MIN(MAX(0, VERI_TABANI!D26-VERI_TABANI!D26*B140), VERI_TABANI!D26*C140)*VERI_TABANI!$B$7 + MAX(0, VERI_TABANI!D26*C140-MAX(0, VERI_TABANI!D26-VERI_TABANI!D26*B140))*VERI_TABANI!$B$8) + IF(ABS(IF(ISNUMBER(SEARCH("Var", D140)), 1, IF(ISNUMBER(SEARCH("Gri", D140)), -1, 0)))=1, VERI_TABANI!E26*(1-0.928)*VERI_TABANI!$B$9, 0) + (VERI_TABANI!D26*B140*(VERI_TABANI!$B$13-VERI_TABANI!$B$14)*VERI_TABANI!G26) + (VERI_TABANI!D26*C140*(VERI_TABANI!$B$13-VERI_TABANI!$B$15)*VERI_TABANI!G26) + IF(ABS(IF(ISNUMBER(SEARCH("Var", D140)), 1, IF(ISNUMBER(SEARCH("Gri", D140)), -1, 0)))=1, VERI_TABANI!E26*(1-0.928)*0.00206091519919798*VERI_TABANI!G26, 0)) + ((MIN(VERI_TABANI!D27, VERI_TABANI!D27*B140)*VERI_TABANI!$B$7 + MAX(0, VERI_TABANI!D27*B140-VERI_TABANI!D27)*VERI_TABANI!$B$8) + (MIN(MAX(0, VERI_TABANI!D27-VERI_TABANI!D27*B140), VERI_TABANI!D27*C140)*VERI_TABANI!$B$7 + MAX(0, VERI_TABANI!D27*C140-MAX(0, VERI_TABANI!D27-VERI_TABANI!D27*B140))*VERI_TABANI!$B$8) + IF(ABS(IF(ISNUMBER(SEARCH("Var", D140)), 1, IF(ISNUMBER(SEARCH("Gri", D140)), -1, 0)))=1, VERI_TABANI!E27*(1-0.928)*VERI_TABANI!$B$9, 0) + (VERI_TABANI!D27*B140*(VERI_TABANI!$B$13-VERI_TABANI!$B$14)*VERI_TABANI!G27) + (VERI_TABANI!D27*C140*(VERI_TABANI!$B$13-VERI_TABANI!$B$15)*VERI_TABANI!G27) + IF(ABS(IF(ISNUMBER(SEARCH("Var", D140)), 1, IF(ISNUMBER(SEARCH("Gri", D140)), -1, 0)))=1, VERI_TABANI!E27*(1-0.928)*0.00206091519919798*VERI_TABANI!G27, 0)) + ((MIN(VERI_TABANI!D28, VERI_TABANI!D28*B140)*VERI_TABANI!$B$7 + MAX(0, VERI_TABANI!D28*B140-VERI_TABANI!D28)*VERI_TABANI!$B$8) + (MIN(MAX(0, VERI_TABANI!D28-VERI_TABANI!D28*B140), VERI_TABANI!D28*C140)*VERI_TABANI!$B$7 + MAX(0, VERI_TABANI!D28*C140-MAX(0, VERI_TABANI!D28-VERI_TABANI!D28*B140))*VERI_TABANI!$B$8) + IF(ABS(IF(ISNUMBER(SEARCH("Var", D140)), 1, IF(ISNUMBER(SEARCH("Gri", D140)), -1, 0)))=1, VERI_TABANI!E28*(1-0.928)*VERI_TABANI!$B$9, 0) + (VERI_TABANI!D28*B140*(VERI_TABANI!$B$13-VERI_TABANI!$B$14)*VERI_TABANI!G28) + (VERI_TABANI!D28*C140*(VERI_TABANI!$B$13-VERI_TABANI!$B$15)*VERI_TABANI!G28) + IF(ABS(IF(ISNUMBER(SEARCH("Var", D140)), 1, IF(ISNUMBER(SEARCH("Gri", D140)), -1, 0)))=1, VERI_TABANI!E28*(1-0.928)*0.00206091519919798*VERI_TABANI!G28, 0)))</f>
        <v/>
      </c>
      <c r="H140" s="169">
        <f>(((VERI_TABANI!D23*B140*(VERI_TABANI!$B$13-VERI_TABANI!$B$14)) + (VERI_TABANI!D23*C140*(VERI_TABANI!$B$13-VERI_TABANI!$B$15)) + IF(ISNUMBER(SEARCH("Var", D140)), VERI_TABANI!F23*(0.00202-VERI_TABANI!$B$16), IF(ISNUMBER(SEARCH("Gri", D140)), VERI_TABANI!F23*(0.00202-VERI_TABANI!$B$17), 0))) + ((VERI_TABANI!D24*B140*(VERI_TABANI!$B$13-VERI_TABANI!$B$14)) + (VERI_TABANI!D24*C140*(VERI_TABANI!$B$13-VERI_TABANI!$B$15)) + IF(ISNUMBER(SEARCH("Var", D140)), VERI_TABANI!F24*(0.00202-VERI_TABANI!$B$16), IF(ISNUMBER(SEARCH("Gri", D140)), VERI_TABANI!F24*(0.00202-VERI_TABANI!$B$17), 0))) + ((VERI_TABANI!D25*B140*(VERI_TABANI!$B$13-VERI_TABANI!$B$14)) + (VERI_TABANI!D25*C140*(VERI_TABANI!$B$13-VERI_TABANI!$B$15)) + IF(ISNUMBER(SEARCH("Var", D140)), VERI_TABANI!F25*(0.00202-VERI_TABANI!$B$16), IF(ISNUMBER(SEARCH("Gri", D140)), VERI_TABANI!F25*(0.00202-VERI_TABANI!$B$17), 0))) + ((VERI_TABANI!D26*B140*(VERI_TABANI!$B$13-VERI_TABANI!$B$14)) + (VERI_TABANI!D26*C140*(VERI_TABANI!$B$13-VERI_TABANI!$B$15)) + IF(ISNUMBER(SEARCH("Var", D140)), VERI_TABANI!F26*(0.00202-VERI_TABANI!$B$16), IF(ISNUMBER(SEARCH("Gri", D140)), VERI_TABANI!F26*(0.00202-VERI_TABANI!$B$17), 0))) + ((VERI_TABANI!D27*B140*(VERI_TABANI!$B$13-VERI_TABANI!$B$14)) + (VERI_TABANI!D27*C140*(VERI_TABANI!$B$13-VERI_TABANI!$B$15)) + IF(ISNUMBER(SEARCH("Var", D140)), VERI_TABANI!F27*(0.00202-VERI_TABANI!$B$16), IF(ISNUMBER(SEARCH("Gri", D140)), VERI_TABANI!F27*(0.00202-VERI_TABANI!$B$17), 0))) + ((VERI_TABANI!D28*B140*(VERI_TABANI!$B$13-VERI_TABANI!$B$14)) + (VERI_TABANI!D28*C140*(VERI_TABANI!$B$13-VERI_TABANI!$B$15)) + IF(ISNUMBER(SEARCH("Var", D140)), VERI_TABANI!F28*(0.00202-VERI_TABANI!$B$16), IF(ISNUMBER(SEARCH("Gri", D140)), VERI_TABANI!F28*(0.00202-VERI_TABANI!$B$17), 0))))</f>
        <v/>
      </c>
      <c r="I140" s="170">
        <f>IFERROR(((VERI_TABANI!$D$29*B140*VERI_TABANI!$B$14 + VERI_TABANI!$D$29*C140*VERI_TABANI!$B$15 + IF(ISNUMBER(SEARCH("Var", D140)), VERI_TABANI!$F$29*VERI_TABANI!$B$16, 0))) / (((VERI_TABANI!$D$29*B140 + VERI_TABANI!$D$29*C140)*VERI_TABANI!$B$13 + IF(ISNUMBER(SEARCH("Var", D140)), VERI_TABANI!$E$29*(1-0.928)*VERI_TABANI!$B$18, 0))), 0)</f>
        <v/>
      </c>
      <c r="J140" s="171">
        <f>IFERROR(F140/(G140/29), 0)</f>
        <v/>
      </c>
      <c r="K140" s="172">
        <f>IF(F140&gt;0, H140/F140, 0)</f>
        <v/>
      </c>
      <c r="L140" s="170">
        <f>IF(F140&gt;0, I140, 1000000000)</f>
        <v/>
      </c>
      <c r="M140" s="171">
        <f>ABS((B140+C140)-1)</f>
        <v/>
      </c>
      <c r="N140" s="170">
        <f>IF(F140&gt;0, (G140/29)/F140, 0)</f>
        <v/>
      </c>
      <c r="O140" s="168">
        <f>IF(AND((B140+C140)&gt;=1, ISNUMBER(SEARCH("Var", D140))), F140, 1000000000)</f>
        <v/>
      </c>
      <c r="P140" s="172">
        <f>IF(F140&gt;0, SQRT((F140/MAX(F$5:F$886))^2 + (1 - H140/MAX(H$5:H$886))^2 + (J140/MAX(J$5:J$886))^2), 1000000000)</f>
        <v/>
      </c>
      <c r="Q140" s="166">
        <f>IF(AND(ABS(B140-0.5)&lt;0.01, ABS(C140-0.5)&lt;0.01, ISNUMBER(SEARCH("Var", D140))), 1, 0)</f>
        <v/>
      </c>
      <c r="R140" s="171">
        <f>IF(F140&gt;0, J140, 1000000000)</f>
        <v/>
      </c>
      <c r="S140" s="101">
        <f>IF(AND(F140&lt;=DASHBOARD!$B$11, H140&gt;=DASHBOARD!$B$13), G140, -1000000000000)</f>
        <v/>
      </c>
      <c r="T140" s="101">
        <f>IF(AND(F140&lt;=DASHBOARD!$B$11, H140&gt;=DASHBOARD!$B$13), R140, 1000000000000)</f>
        <v/>
      </c>
      <c r="U140" s="101">
        <f>IF(AND(F140&lt;=DASHBOARD!$B$11, H140&gt;=DASHBOARD!$B$13), N140, -1000000000000)</f>
        <v/>
      </c>
      <c r="V140" s="101">
        <f>IF(AND(F140&lt;=DASHBOARD!$B$11, H140&gt;=DASHBOARD!$B$13), H140, -1000000000000)</f>
        <v/>
      </c>
      <c r="W140" s="101">
        <f>IF(AND(F140&lt;=DASHBOARD!$B$11, H140&gt;=DASHBOARD!$B$13), K140, -1000000000000)</f>
        <v/>
      </c>
      <c r="X140" s="101">
        <f>IF(AND(F140&lt;=DASHBOARD!$B$11, H140&gt;=DASHBOARD!$B$13), M140, 1000000000000)</f>
        <v/>
      </c>
      <c r="Y140" s="101">
        <f>IF(AND(F140&lt;=DASHBOARD!$B$10, H140&gt;=DASHBOARD!$B$11), L140, 1000000000000)</f>
        <v/>
      </c>
      <c r="Z140" s="101">
        <f>IF(AND(F140&lt;=DASHBOARD!$B$10, H140&gt;=DASHBOARD!$B$11), O140, 1000000000000)</f>
        <v/>
      </c>
      <c r="AA140" s="101">
        <f>IF(AND(F140&lt;=DASHBOARD!$B$10, H140&gt;=DASHBOARD!$B$11), P140, 1000000000000)</f>
        <v/>
      </c>
      <c r="AB140" s="101">
        <f>IF(AND(F140&lt;=DASHBOARD!$B$10, H140&gt;=DASHBOARD!$B$11), Q140, -1000000000000)</f>
        <v/>
      </c>
    </row>
    <row r="141" ht="12.75" customHeight="1" s="102">
      <c r="A141" s="166" t="n">
        <v>137</v>
      </c>
      <c r="B141" s="167" t="n">
        <v>0.3</v>
      </c>
      <c r="C141" s="167" t="n">
        <v>0.5</v>
      </c>
      <c r="D141" s="110" t="inlineStr">
        <is>
          <t>Yok (%0)</t>
        </is>
      </c>
      <c r="E141" s="110">
        <f>IF((B141+C141)&lt;=1, "Tam Mahsuplaşma (≤%100)", "Kısmi Satış (&gt;%100)")</f>
        <v/>
      </c>
      <c r="F141" s="168">
        <f>((VERI_TABANI!$D$29*B141/VERI_TABANI!$B$29)/VERI_TABANI!$B$3)*VERI_TABANI!$B$5 + ((VERI_TABANI!$D$29*C141/VERI_TABANI!$B$29)/VERI_TABANI!$B$4)*VERI_TABANI!$B$6 + IF(ISNUMBER(SEARCH("Var", D141)), (VERI_TABANI!$F$29/VERI_TABANI!$B$29)*(VERI_TABANI!$B$10+VERI_TABANI!$B$12), 0)</f>
        <v/>
      </c>
      <c r="G141" s="168">
        <f>(((MIN(VERI_TABANI!D23, VERI_TABANI!D23*B141)*VERI_TABANI!$B$7 + MAX(0, VERI_TABANI!D23*B141-VERI_TABANI!D23)*VERI_TABANI!$B$8) + (MIN(MAX(0, VERI_TABANI!D23-VERI_TABANI!D23*B141), VERI_TABANI!D23*C141)*VERI_TABANI!$B$7 + MAX(0, VERI_TABANI!D23*C141-MAX(0, VERI_TABANI!D23-VERI_TABANI!D23*B141))*VERI_TABANI!$B$8) + IF(ABS(IF(ISNUMBER(SEARCH("Var", D141)), 1, IF(ISNUMBER(SEARCH("Gri", D141)), -1, 0)))=1, VERI_TABANI!E23*(1-0.928)*VERI_TABANI!$B$9, 0) + (VERI_TABANI!D23*B141*(VERI_TABANI!$B$13-VERI_TABANI!$B$14)*VERI_TABANI!G23) + (VERI_TABANI!D23*C141*(VERI_TABANI!$B$13-VERI_TABANI!$B$15)*VERI_TABANI!G23) + IF(ABS(IF(ISNUMBER(SEARCH("Var", D141)), 1, IF(ISNUMBER(SEARCH("Gri", D141)), -1, 0)))=1, VERI_TABANI!E23*(1-0.928)*0.00206091519919798*VERI_TABANI!G23, 0)) + ((MIN(VERI_TABANI!D24, VERI_TABANI!D24*B141)*VERI_TABANI!$B$7 + MAX(0, VERI_TABANI!D24*B141-VERI_TABANI!D24)*VERI_TABANI!$B$8) + (MIN(MAX(0, VERI_TABANI!D24-VERI_TABANI!D24*B141), VERI_TABANI!D24*C141)*VERI_TABANI!$B$7 + MAX(0, VERI_TABANI!D24*C141-MAX(0, VERI_TABANI!D24-VERI_TABANI!D24*B141))*VERI_TABANI!$B$8) + IF(ABS(IF(ISNUMBER(SEARCH("Var", D141)), 1, IF(ISNUMBER(SEARCH("Gri", D141)), -1, 0)))=1, VERI_TABANI!E24*(1-0.928)*VERI_TABANI!$B$9, 0) + (VERI_TABANI!D24*B141*(VERI_TABANI!$B$13-VERI_TABANI!$B$14)*VERI_TABANI!G24) + (VERI_TABANI!D24*C141*(VERI_TABANI!$B$13-VERI_TABANI!$B$15)*VERI_TABANI!G24) + IF(ABS(IF(ISNUMBER(SEARCH("Var", D141)), 1, IF(ISNUMBER(SEARCH("Gri", D141)), -1, 0)))=1, VERI_TABANI!E24*(1-0.928)*0.00206091519919798*VERI_TABANI!G24, 0)) + ((MIN(VERI_TABANI!D25, VERI_TABANI!D25*B141)*VERI_TABANI!$B$7 + MAX(0, VERI_TABANI!D25*B141-VERI_TABANI!D25)*VERI_TABANI!$B$8) + (MIN(MAX(0, VERI_TABANI!D25-VERI_TABANI!D25*B141), VERI_TABANI!D25*C141)*VERI_TABANI!$B$7 + MAX(0, VERI_TABANI!D25*C141-MAX(0, VERI_TABANI!D25-VERI_TABANI!D25*B141))*VERI_TABANI!$B$8) + IF(ABS(IF(ISNUMBER(SEARCH("Var", D141)), 1, IF(ISNUMBER(SEARCH("Gri", D141)), -1, 0)))=1, VERI_TABANI!E25*(1-0.928)*VERI_TABANI!$B$9, 0) + (VERI_TABANI!D25*B141*(VERI_TABANI!$B$13-VERI_TABANI!$B$14)*VERI_TABANI!G25) + (VERI_TABANI!D25*C141*(VERI_TABANI!$B$13-VERI_TABANI!$B$15)*VERI_TABANI!G25) + IF(ABS(IF(ISNUMBER(SEARCH("Var", D141)), 1, IF(ISNUMBER(SEARCH("Gri", D141)), -1, 0)))=1, VERI_TABANI!E25*(1-0.928)*0.00206091519919798*VERI_TABANI!G25, 0)) + ((MIN(VERI_TABANI!D26, VERI_TABANI!D26*B141)*VERI_TABANI!$B$7 + MAX(0, VERI_TABANI!D26*B141-VERI_TABANI!D26)*VERI_TABANI!$B$8) + (MIN(MAX(0, VERI_TABANI!D26-VERI_TABANI!D26*B141), VERI_TABANI!D26*C141)*VERI_TABANI!$B$7 + MAX(0, VERI_TABANI!D26*C141-MAX(0, VERI_TABANI!D26-VERI_TABANI!D26*B141))*VERI_TABANI!$B$8) + IF(ABS(IF(ISNUMBER(SEARCH("Var", D141)), 1, IF(ISNUMBER(SEARCH("Gri", D141)), -1, 0)))=1, VERI_TABANI!E26*(1-0.928)*VERI_TABANI!$B$9, 0) + (VERI_TABANI!D26*B141*(VERI_TABANI!$B$13-VERI_TABANI!$B$14)*VERI_TABANI!G26) + (VERI_TABANI!D26*C141*(VERI_TABANI!$B$13-VERI_TABANI!$B$15)*VERI_TABANI!G26) + IF(ABS(IF(ISNUMBER(SEARCH("Var", D141)), 1, IF(ISNUMBER(SEARCH("Gri", D141)), -1, 0)))=1, VERI_TABANI!E26*(1-0.928)*0.00206091519919798*VERI_TABANI!G26, 0)) + ((MIN(VERI_TABANI!D27, VERI_TABANI!D27*B141)*VERI_TABANI!$B$7 + MAX(0, VERI_TABANI!D27*B141-VERI_TABANI!D27)*VERI_TABANI!$B$8) + (MIN(MAX(0, VERI_TABANI!D27-VERI_TABANI!D27*B141), VERI_TABANI!D27*C141)*VERI_TABANI!$B$7 + MAX(0, VERI_TABANI!D27*C141-MAX(0, VERI_TABANI!D27-VERI_TABANI!D27*B141))*VERI_TABANI!$B$8) + IF(ABS(IF(ISNUMBER(SEARCH("Var", D141)), 1, IF(ISNUMBER(SEARCH("Gri", D141)), -1, 0)))=1, VERI_TABANI!E27*(1-0.928)*VERI_TABANI!$B$9, 0) + (VERI_TABANI!D27*B141*(VERI_TABANI!$B$13-VERI_TABANI!$B$14)*VERI_TABANI!G27) + (VERI_TABANI!D27*C141*(VERI_TABANI!$B$13-VERI_TABANI!$B$15)*VERI_TABANI!G27) + IF(ABS(IF(ISNUMBER(SEARCH("Var", D141)), 1, IF(ISNUMBER(SEARCH("Gri", D141)), -1, 0)))=1, VERI_TABANI!E27*(1-0.928)*0.00206091519919798*VERI_TABANI!G27, 0)) + ((MIN(VERI_TABANI!D28, VERI_TABANI!D28*B141)*VERI_TABANI!$B$7 + MAX(0, VERI_TABANI!D28*B141-VERI_TABANI!D28)*VERI_TABANI!$B$8) + (MIN(MAX(0, VERI_TABANI!D28-VERI_TABANI!D28*B141), VERI_TABANI!D28*C141)*VERI_TABANI!$B$7 + MAX(0, VERI_TABANI!D28*C141-MAX(0, VERI_TABANI!D28-VERI_TABANI!D28*B141))*VERI_TABANI!$B$8) + IF(ABS(IF(ISNUMBER(SEARCH("Var", D141)), 1, IF(ISNUMBER(SEARCH("Gri", D141)), -1, 0)))=1, VERI_TABANI!E28*(1-0.928)*VERI_TABANI!$B$9, 0) + (VERI_TABANI!D28*B141*(VERI_TABANI!$B$13-VERI_TABANI!$B$14)*VERI_TABANI!G28) + (VERI_TABANI!D28*C141*(VERI_TABANI!$B$13-VERI_TABANI!$B$15)*VERI_TABANI!G28) + IF(ABS(IF(ISNUMBER(SEARCH("Var", D141)), 1, IF(ISNUMBER(SEARCH("Gri", D141)), -1, 0)))=1, VERI_TABANI!E28*(1-0.928)*0.00206091519919798*VERI_TABANI!G28, 0)))</f>
        <v/>
      </c>
      <c r="H141" s="169">
        <f>(((VERI_TABANI!D23*B141*(VERI_TABANI!$B$13-VERI_TABANI!$B$14)) + (VERI_TABANI!D23*C141*(VERI_TABANI!$B$13-VERI_TABANI!$B$15)) + IF(ISNUMBER(SEARCH("Var", D141)), VERI_TABANI!F23*(0.00202-VERI_TABANI!$B$16), IF(ISNUMBER(SEARCH("Gri", D141)), VERI_TABANI!F23*(0.00202-VERI_TABANI!$B$17), 0))) + ((VERI_TABANI!D24*B141*(VERI_TABANI!$B$13-VERI_TABANI!$B$14)) + (VERI_TABANI!D24*C141*(VERI_TABANI!$B$13-VERI_TABANI!$B$15)) + IF(ISNUMBER(SEARCH("Var", D141)), VERI_TABANI!F24*(0.00202-VERI_TABANI!$B$16), IF(ISNUMBER(SEARCH("Gri", D141)), VERI_TABANI!F24*(0.00202-VERI_TABANI!$B$17), 0))) + ((VERI_TABANI!D25*B141*(VERI_TABANI!$B$13-VERI_TABANI!$B$14)) + (VERI_TABANI!D25*C141*(VERI_TABANI!$B$13-VERI_TABANI!$B$15)) + IF(ISNUMBER(SEARCH("Var", D141)), VERI_TABANI!F25*(0.00202-VERI_TABANI!$B$16), IF(ISNUMBER(SEARCH("Gri", D141)), VERI_TABANI!F25*(0.00202-VERI_TABANI!$B$17), 0))) + ((VERI_TABANI!D26*B141*(VERI_TABANI!$B$13-VERI_TABANI!$B$14)) + (VERI_TABANI!D26*C141*(VERI_TABANI!$B$13-VERI_TABANI!$B$15)) + IF(ISNUMBER(SEARCH("Var", D141)), VERI_TABANI!F26*(0.00202-VERI_TABANI!$B$16), IF(ISNUMBER(SEARCH("Gri", D141)), VERI_TABANI!F26*(0.00202-VERI_TABANI!$B$17), 0))) + ((VERI_TABANI!D27*B141*(VERI_TABANI!$B$13-VERI_TABANI!$B$14)) + (VERI_TABANI!D27*C141*(VERI_TABANI!$B$13-VERI_TABANI!$B$15)) + IF(ISNUMBER(SEARCH("Var", D141)), VERI_TABANI!F27*(0.00202-VERI_TABANI!$B$16), IF(ISNUMBER(SEARCH("Gri", D141)), VERI_TABANI!F27*(0.00202-VERI_TABANI!$B$17), 0))) + ((VERI_TABANI!D28*B141*(VERI_TABANI!$B$13-VERI_TABANI!$B$14)) + (VERI_TABANI!D28*C141*(VERI_TABANI!$B$13-VERI_TABANI!$B$15)) + IF(ISNUMBER(SEARCH("Var", D141)), VERI_TABANI!F28*(0.00202-VERI_TABANI!$B$16), IF(ISNUMBER(SEARCH("Gri", D141)), VERI_TABANI!F28*(0.00202-VERI_TABANI!$B$17), 0))))</f>
        <v/>
      </c>
      <c r="I141" s="170">
        <f>IFERROR(((VERI_TABANI!$D$29*B141*VERI_TABANI!$B$14 + VERI_TABANI!$D$29*C141*VERI_TABANI!$B$15 + IF(ISNUMBER(SEARCH("Var", D141)), VERI_TABANI!$F$29*VERI_TABANI!$B$16, 0))) / (((VERI_TABANI!$D$29*B141 + VERI_TABANI!$D$29*C141)*VERI_TABANI!$B$13 + IF(ISNUMBER(SEARCH("Var", D141)), VERI_TABANI!$E$29*(1-0.928)*VERI_TABANI!$B$18, 0))), 0)</f>
        <v/>
      </c>
      <c r="J141" s="171">
        <f>IFERROR(F141/(G141/29), 0)</f>
        <v/>
      </c>
      <c r="K141" s="172">
        <f>IF(F141&gt;0, H141/F141, 0)</f>
        <v/>
      </c>
      <c r="L141" s="170">
        <f>IF(F141&gt;0, I141, 1000000000)</f>
        <v/>
      </c>
      <c r="M141" s="171">
        <f>ABS((B141+C141)-1)</f>
        <v/>
      </c>
      <c r="N141" s="170">
        <f>IF(F141&gt;0, (G141/29)/F141, 0)</f>
        <v/>
      </c>
      <c r="O141" s="168">
        <f>IF(AND((B141+C141)&gt;=1, ISNUMBER(SEARCH("Var", D141))), F141, 1000000000)</f>
        <v/>
      </c>
      <c r="P141" s="172">
        <f>IF(F141&gt;0, SQRT((F141/MAX(F$5:F$886))^2 + (1 - H141/MAX(H$5:H$886))^2 + (J141/MAX(J$5:J$886))^2), 1000000000)</f>
        <v/>
      </c>
      <c r="Q141" s="166">
        <f>IF(AND(ABS(B141-0.5)&lt;0.01, ABS(C141-0.5)&lt;0.01, ISNUMBER(SEARCH("Var", D141))), 1, 0)</f>
        <v/>
      </c>
      <c r="R141" s="171">
        <f>IF(F141&gt;0, J141, 1000000000)</f>
        <v/>
      </c>
      <c r="S141" s="101">
        <f>IF(AND(F141&lt;=DASHBOARD!$B$11, H141&gt;=DASHBOARD!$B$13), G141, -1000000000000)</f>
        <v/>
      </c>
      <c r="T141" s="101">
        <f>IF(AND(F141&lt;=DASHBOARD!$B$11, H141&gt;=DASHBOARD!$B$13), R141, 1000000000000)</f>
        <v/>
      </c>
      <c r="U141" s="101">
        <f>IF(AND(F141&lt;=DASHBOARD!$B$11, H141&gt;=DASHBOARD!$B$13), N141, -1000000000000)</f>
        <v/>
      </c>
      <c r="V141" s="101">
        <f>IF(AND(F141&lt;=DASHBOARD!$B$11, H141&gt;=DASHBOARD!$B$13), H141, -1000000000000)</f>
        <v/>
      </c>
      <c r="W141" s="101">
        <f>IF(AND(F141&lt;=DASHBOARD!$B$11, H141&gt;=DASHBOARD!$B$13), K141, -1000000000000)</f>
        <v/>
      </c>
      <c r="X141" s="101">
        <f>IF(AND(F141&lt;=DASHBOARD!$B$11, H141&gt;=DASHBOARD!$B$13), M141, 1000000000000)</f>
        <v/>
      </c>
      <c r="Y141" s="101">
        <f>IF(AND(F141&lt;=DASHBOARD!$B$10, H141&gt;=DASHBOARD!$B$11), L141, 1000000000000)</f>
        <v/>
      </c>
      <c r="Z141" s="101">
        <f>IF(AND(F141&lt;=DASHBOARD!$B$10, H141&gt;=DASHBOARD!$B$11), O141, 1000000000000)</f>
        <v/>
      </c>
      <c r="AA141" s="101">
        <f>IF(AND(F141&lt;=DASHBOARD!$B$10, H141&gt;=DASHBOARD!$B$11), P141, 1000000000000)</f>
        <v/>
      </c>
      <c r="AB141" s="101">
        <f>IF(AND(F141&lt;=DASHBOARD!$B$10, H141&gt;=DASHBOARD!$B$11), Q141, -1000000000000)</f>
        <v/>
      </c>
    </row>
    <row r="142" ht="12.75" customHeight="1" s="102">
      <c r="A142" s="166" t="n">
        <v>138</v>
      </c>
      <c r="B142" s="167" t="n">
        <v>0.3</v>
      </c>
      <c r="C142" s="167" t="n">
        <v>0.5</v>
      </c>
      <c r="D142" s="110" t="inlineStr">
        <is>
          <t>Var (%20)</t>
        </is>
      </c>
      <c r="E142" s="110">
        <f>IF((B142+C142)&lt;=1, "Tam Mahsuplaşma (≤%100)", "Kısmi Satış (&gt;%100)")</f>
        <v/>
      </c>
      <c r="F142" s="168">
        <f>((VERI_TABANI!$D$29*B142/VERI_TABANI!$B$29)/VERI_TABANI!$B$3)*VERI_TABANI!$B$5 + ((VERI_TABANI!$D$29*C142/VERI_TABANI!$B$29)/VERI_TABANI!$B$4)*VERI_TABANI!$B$6 + IF(ISNUMBER(SEARCH("Var", D142)), (VERI_TABANI!$F$29/VERI_TABANI!$B$29)*(VERI_TABANI!$B$10+VERI_TABANI!$B$12), 0)</f>
        <v/>
      </c>
      <c r="G142" s="168">
        <f>(((MIN(VERI_TABANI!D23, VERI_TABANI!D23*B142)*VERI_TABANI!$B$7 + MAX(0, VERI_TABANI!D23*B142-VERI_TABANI!D23)*VERI_TABANI!$B$8) + (MIN(MAX(0, VERI_TABANI!D23-VERI_TABANI!D23*B142), VERI_TABANI!D23*C142)*VERI_TABANI!$B$7 + MAX(0, VERI_TABANI!D23*C142-MAX(0, VERI_TABANI!D23-VERI_TABANI!D23*B142))*VERI_TABANI!$B$8) + IF(ABS(IF(ISNUMBER(SEARCH("Var", D142)), 1, IF(ISNUMBER(SEARCH("Gri", D142)), -1, 0)))=1, VERI_TABANI!E23*(1-0.928)*VERI_TABANI!$B$9, 0) + (VERI_TABANI!D23*B142*(VERI_TABANI!$B$13-VERI_TABANI!$B$14)*VERI_TABANI!G23) + (VERI_TABANI!D23*C142*(VERI_TABANI!$B$13-VERI_TABANI!$B$15)*VERI_TABANI!G23) + IF(ABS(IF(ISNUMBER(SEARCH("Var", D142)), 1, IF(ISNUMBER(SEARCH("Gri", D142)), -1, 0)))=1, VERI_TABANI!E23*(1-0.928)*0.00206091519919798*VERI_TABANI!G23, 0)) + ((MIN(VERI_TABANI!D24, VERI_TABANI!D24*B142)*VERI_TABANI!$B$7 + MAX(0, VERI_TABANI!D24*B142-VERI_TABANI!D24)*VERI_TABANI!$B$8) + (MIN(MAX(0, VERI_TABANI!D24-VERI_TABANI!D24*B142), VERI_TABANI!D24*C142)*VERI_TABANI!$B$7 + MAX(0, VERI_TABANI!D24*C142-MAX(0, VERI_TABANI!D24-VERI_TABANI!D24*B142))*VERI_TABANI!$B$8) + IF(ABS(IF(ISNUMBER(SEARCH("Var", D142)), 1, IF(ISNUMBER(SEARCH("Gri", D142)), -1, 0)))=1, VERI_TABANI!E24*(1-0.928)*VERI_TABANI!$B$9, 0) + (VERI_TABANI!D24*B142*(VERI_TABANI!$B$13-VERI_TABANI!$B$14)*VERI_TABANI!G24) + (VERI_TABANI!D24*C142*(VERI_TABANI!$B$13-VERI_TABANI!$B$15)*VERI_TABANI!G24) + IF(ABS(IF(ISNUMBER(SEARCH("Var", D142)), 1, IF(ISNUMBER(SEARCH("Gri", D142)), -1, 0)))=1, VERI_TABANI!E24*(1-0.928)*0.00206091519919798*VERI_TABANI!G24, 0)) + ((MIN(VERI_TABANI!D25, VERI_TABANI!D25*B142)*VERI_TABANI!$B$7 + MAX(0, VERI_TABANI!D25*B142-VERI_TABANI!D25)*VERI_TABANI!$B$8) + (MIN(MAX(0, VERI_TABANI!D25-VERI_TABANI!D25*B142), VERI_TABANI!D25*C142)*VERI_TABANI!$B$7 + MAX(0, VERI_TABANI!D25*C142-MAX(0, VERI_TABANI!D25-VERI_TABANI!D25*B142))*VERI_TABANI!$B$8) + IF(ABS(IF(ISNUMBER(SEARCH("Var", D142)), 1, IF(ISNUMBER(SEARCH("Gri", D142)), -1, 0)))=1, VERI_TABANI!E25*(1-0.928)*VERI_TABANI!$B$9, 0) + (VERI_TABANI!D25*B142*(VERI_TABANI!$B$13-VERI_TABANI!$B$14)*VERI_TABANI!G25) + (VERI_TABANI!D25*C142*(VERI_TABANI!$B$13-VERI_TABANI!$B$15)*VERI_TABANI!G25) + IF(ABS(IF(ISNUMBER(SEARCH("Var", D142)), 1, IF(ISNUMBER(SEARCH("Gri", D142)), -1, 0)))=1, VERI_TABANI!E25*(1-0.928)*0.00206091519919798*VERI_TABANI!G25, 0)) + ((MIN(VERI_TABANI!D26, VERI_TABANI!D26*B142)*VERI_TABANI!$B$7 + MAX(0, VERI_TABANI!D26*B142-VERI_TABANI!D26)*VERI_TABANI!$B$8) + (MIN(MAX(0, VERI_TABANI!D26-VERI_TABANI!D26*B142), VERI_TABANI!D26*C142)*VERI_TABANI!$B$7 + MAX(0, VERI_TABANI!D26*C142-MAX(0, VERI_TABANI!D26-VERI_TABANI!D26*B142))*VERI_TABANI!$B$8) + IF(ABS(IF(ISNUMBER(SEARCH("Var", D142)), 1, IF(ISNUMBER(SEARCH("Gri", D142)), -1, 0)))=1, VERI_TABANI!E26*(1-0.928)*VERI_TABANI!$B$9, 0) + (VERI_TABANI!D26*B142*(VERI_TABANI!$B$13-VERI_TABANI!$B$14)*VERI_TABANI!G26) + (VERI_TABANI!D26*C142*(VERI_TABANI!$B$13-VERI_TABANI!$B$15)*VERI_TABANI!G26) + IF(ABS(IF(ISNUMBER(SEARCH("Var", D142)), 1, IF(ISNUMBER(SEARCH("Gri", D142)), -1, 0)))=1, VERI_TABANI!E26*(1-0.928)*0.00206091519919798*VERI_TABANI!G26, 0)) + ((MIN(VERI_TABANI!D27, VERI_TABANI!D27*B142)*VERI_TABANI!$B$7 + MAX(0, VERI_TABANI!D27*B142-VERI_TABANI!D27)*VERI_TABANI!$B$8) + (MIN(MAX(0, VERI_TABANI!D27-VERI_TABANI!D27*B142), VERI_TABANI!D27*C142)*VERI_TABANI!$B$7 + MAX(0, VERI_TABANI!D27*C142-MAX(0, VERI_TABANI!D27-VERI_TABANI!D27*B142))*VERI_TABANI!$B$8) + IF(ABS(IF(ISNUMBER(SEARCH("Var", D142)), 1, IF(ISNUMBER(SEARCH("Gri", D142)), -1, 0)))=1, VERI_TABANI!E27*(1-0.928)*VERI_TABANI!$B$9, 0) + (VERI_TABANI!D27*B142*(VERI_TABANI!$B$13-VERI_TABANI!$B$14)*VERI_TABANI!G27) + (VERI_TABANI!D27*C142*(VERI_TABANI!$B$13-VERI_TABANI!$B$15)*VERI_TABANI!G27) + IF(ABS(IF(ISNUMBER(SEARCH("Var", D142)), 1, IF(ISNUMBER(SEARCH("Gri", D142)), -1, 0)))=1, VERI_TABANI!E27*(1-0.928)*0.00206091519919798*VERI_TABANI!G27, 0)) + ((MIN(VERI_TABANI!D28, VERI_TABANI!D28*B142)*VERI_TABANI!$B$7 + MAX(0, VERI_TABANI!D28*B142-VERI_TABANI!D28)*VERI_TABANI!$B$8) + (MIN(MAX(0, VERI_TABANI!D28-VERI_TABANI!D28*B142), VERI_TABANI!D28*C142)*VERI_TABANI!$B$7 + MAX(0, VERI_TABANI!D28*C142-MAX(0, VERI_TABANI!D28-VERI_TABANI!D28*B142))*VERI_TABANI!$B$8) + IF(ABS(IF(ISNUMBER(SEARCH("Var", D142)), 1, IF(ISNUMBER(SEARCH("Gri", D142)), -1, 0)))=1, VERI_TABANI!E28*(1-0.928)*VERI_TABANI!$B$9, 0) + (VERI_TABANI!D28*B142*(VERI_TABANI!$B$13-VERI_TABANI!$B$14)*VERI_TABANI!G28) + (VERI_TABANI!D28*C142*(VERI_TABANI!$B$13-VERI_TABANI!$B$15)*VERI_TABANI!G28) + IF(ABS(IF(ISNUMBER(SEARCH("Var", D142)), 1, IF(ISNUMBER(SEARCH("Gri", D142)), -1, 0)))=1, VERI_TABANI!E28*(1-0.928)*0.00206091519919798*VERI_TABANI!G28, 0)))</f>
        <v/>
      </c>
      <c r="H142" s="169">
        <f>(((VERI_TABANI!D23*B142*(VERI_TABANI!$B$13-VERI_TABANI!$B$14)) + (VERI_TABANI!D23*C142*(VERI_TABANI!$B$13-VERI_TABANI!$B$15)) + IF(ISNUMBER(SEARCH("Var", D142)), VERI_TABANI!F23*(0.00202-VERI_TABANI!$B$16), IF(ISNUMBER(SEARCH("Gri", D142)), VERI_TABANI!F23*(0.00202-VERI_TABANI!$B$17), 0))) + ((VERI_TABANI!D24*B142*(VERI_TABANI!$B$13-VERI_TABANI!$B$14)) + (VERI_TABANI!D24*C142*(VERI_TABANI!$B$13-VERI_TABANI!$B$15)) + IF(ISNUMBER(SEARCH("Var", D142)), VERI_TABANI!F24*(0.00202-VERI_TABANI!$B$16), IF(ISNUMBER(SEARCH("Gri", D142)), VERI_TABANI!F24*(0.00202-VERI_TABANI!$B$17), 0))) + ((VERI_TABANI!D25*B142*(VERI_TABANI!$B$13-VERI_TABANI!$B$14)) + (VERI_TABANI!D25*C142*(VERI_TABANI!$B$13-VERI_TABANI!$B$15)) + IF(ISNUMBER(SEARCH("Var", D142)), VERI_TABANI!F25*(0.00202-VERI_TABANI!$B$16), IF(ISNUMBER(SEARCH("Gri", D142)), VERI_TABANI!F25*(0.00202-VERI_TABANI!$B$17), 0))) + ((VERI_TABANI!D26*B142*(VERI_TABANI!$B$13-VERI_TABANI!$B$14)) + (VERI_TABANI!D26*C142*(VERI_TABANI!$B$13-VERI_TABANI!$B$15)) + IF(ISNUMBER(SEARCH("Var", D142)), VERI_TABANI!F26*(0.00202-VERI_TABANI!$B$16), IF(ISNUMBER(SEARCH("Gri", D142)), VERI_TABANI!F26*(0.00202-VERI_TABANI!$B$17), 0))) + ((VERI_TABANI!D27*B142*(VERI_TABANI!$B$13-VERI_TABANI!$B$14)) + (VERI_TABANI!D27*C142*(VERI_TABANI!$B$13-VERI_TABANI!$B$15)) + IF(ISNUMBER(SEARCH("Var", D142)), VERI_TABANI!F27*(0.00202-VERI_TABANI!$B$16), IF(ISNUMBER(SEARCH("Gri", D142)), VERI_TABANI!F27*(0.00202-VERI_TABANI!$B$17), 0))) + ((VERI_TABANI!D28*B142*(VERI_TABANI!$B$13-VERI_TABANI!$B$14)) + (VERI_TABANI!D28*C142*(VERI_TABANI!$B$13-VERI_TABANI!$B$15)) + IF(ISNUMBER(SEARCH("Var", D142)), VERI_TABANI!F28*(0.00202-VERI_TABANI!$B$16), IF(ISNUMBER(SEARCH("Gri", D142)), VERI_TABANI!F28*(0.00202-VERI_TABANI!$B$17), 0))))</f>
        <v/>
      </c>
      <c r="I142" s="170">
        <f>IFERROR(((VERI_TABANI!$D$29*B142*VERI_TABANI!$B$14 + VERI_TABANI!$D$29*C142*VERI_TABANI!$B$15 + IF(ISNUMBER(SEARCH("Var", D142)), VERI_TABANI!$F$29*VERI_TABANI!$B$16, 0))) / (((VERI_TABANI!$D$29*B142 + VERI_TABANI!$D$29*C142)*VERI_TABANI!$B$13 + IF(ISNUMBER(SEARCH("Var", D142)), VERI_TABANI!$E$29*(1-0.928)*VERI_TABANI!$B$18, 0))), 0)</f>
        <v/>
      </c>
      <c r="J142" s="171">
        <f>IFERROR(F142/(G142/29), 0)</f>
        <v/>
      </c>
      <c r="K142" s="172">
        <f>IF(F142&gt;0, H142/F142, 0)</f>
        <v/>
      </c>
      <c r="L142" s="170">
        <f>IF(F142&gt;0, I142, 1000000000)</f>
        <v/>
      </c>
      <c r="M142" s="171">
        <f>ABS((B142+C142)-1)</f>
        <v/>
      </c>
      <c r="N142" s="170">
        <f>IF(F142&gt;0, (G142/29)/F142, 0)</f>
        <v/>
      </c>
      <c r="O142" s="168">
        <f>IF(AND((B142+C142)&gt;=1, ISNUMBER(SEARCH("Var", D142))), F142, 1000000000)</f>
        <v/>
      </c>
      <c r="P142" s="172">
        <f>IF(F142&gt;0, SQRT((F142/MAX(F$5:F$886))^2 + (1 - H142/MAX(H$5:H$886))^2 + (J142/MAX(J$5:J$886))^2), 1000000000)</f>
        <v/>
      </c>
      <c r="Q142" s="166">
        <f>IF(AND(ABS(B142-0.5)&lt;0.01, ABS(C142-0.5)&lt;0.01, ISNUMBER(SEARCH("Var", D142))), 1, 0)</f>
        <v/>
      </c>
      <c r="R142" s="171">
        <f>IF(F142&gt;0, J142, 1000000000)</f>
        <v/>
      </c>
      <c r="S142" s="101">
        <f>IF(AND(F142&lt;=DASHBOARD!$B$11, H142&gt;=DASHBOARD!$B$13), G142, -1000000000000)</f>
        <v/>
      </c>
      <c r="T142" s="101">
        <f>IF(AND(F142&lt;=DASHBOARD!$B$11, H142&gt;=DASHBOARD!$B$13), R142, 1000000000000)</f>
        <v/>
      </c>
      <c r="U142" s="101">
        <f>IF(AND(F142&lt;=DASHBOARD!$B$11, H142&gt;=DASHBOARD!$B$13), N142, -1000000000000)</f>
        <v/>
      </c>
      <c r="V142" s="101">
        <f>IF(AND(F142&lt;=DASHBOARD!$B$11, H142&gt;=DASHBOARD!$B$13), H142, -1000000000000)</f>
        <v/>
      </c>
      <c r="W142" s="101">
        <f>IF(AND(F142&lt;=DASHBOARD!$B$11, H142&gt;=DASHBOARD!$B$13), K142, -1000000000000)</f>
        <v/>
      </c>
      <c r="X142" s="101">
        <f>IF(AND(F142&lt;=DASHBOARD!$B$11, H142&gt;=DASHBOARD!$B$13), M142, 1000000000000)</f>
        <v/>
      </c>
      <c r="Y142" s="101">
        <f>IF(AND(F142&lt;=DASHBOARD!$B$10, H142&gt;=DASHBOARD!$B$11), L142, 1000000000000)</f>
        <v/>
      </c>
      <c r="Z142" s="101">
        <f>IF(AND(F142&lt;=DASHBOARD!$B$10, H142&gt;=DASHBOARD!$B$11), O142, 1000000000000)</f>
        <v/>
      </c>
      <c r="AA142" s="101">
        <f>IF(AND(F142&lt;=DASHBOARD!$B$10, H142&gt;=DASHBOARD!$B$11), P142, 1000000000000)</f>
        <v/>
      </c>
      <c r="AB142" s="101">
        <f>IF(AND(F142&lt;=DASHBOARD!$B$10, H142&gt;=DASHBOARD!$B$11), Q142, -1000000000000)</f>
        <v/>
      </c>
    </row>
    <row r="143" ht="12.75" customHeight="1" s="102">
      <c r="A143" s="166" t="n">
        <v>139</v>
      </c>
      <c r="B143" s="167" t="n">
        <v>0.3</v>
      </c>
      <c r="C143" s="167" t="n">
        <v>0.6</v>
      </c>
      <c r="D143" s="110" t="inlineStr">
        <is>
          <t>Yok (%0)</t>
        </is>
      </c>
      <c r="E143" s="110">
        <f>IF((B143+C143)&lt;=1, "Tam Mahsuplaşma (≤%100)", "Kısmi Satış (&gt;%100)")</f>
        <v/>
      </c>
      <c r="F143" s="168">
        <f>((VERI_TABANI!$D$29*B143/VERI_TABANI!$B$29)/VERI_TABANI!$B$3)*VERI_TABANI!$B$5 + ((VERI_TABANI!$D$29*C143/VERI_TABANI!$B$29)/VERI_TABANI!$B$4)*VERI_TABANI!$B$6 + IF(ISNUMBER(SEARCH("Var", D143)), (VERI_TABANI!$F$29/VERI_TABANI!$B$29)*(VERI_TABANI!$B$10+VERI_TABANI!$B$12), 0)</f>
        <v/>
      </c>
      <c r="G143" s="168">
        <f>(((MIN(VERI_TABANI!D23, VERI_TABANI!D23*B143)*VERI_TABANI!$B$7 + MAX(0, VERI_TABANI!D23*B143-VERI_TABANI!D23)*VERI_TABANI!$B$8) + (MIN(MAX(0, VERI_TABANI!D23-VERI_TABANI!D23*B143), VERI_TABANI!D23*C143)*VERI_TABANI!$B$7 + MAX(0, VERI_TABANI!D23*C143-MAX(0, VERI_TABANI!D23-VERI_TABANI!D23*B143))*VERI_TABANI!$B$8) + IF(ABS(IF(ISNUMBER(SEARCH("Var", D143)), 1, IF(ISNUMBER(SEARCH("Gri", D143)), -1, 0)))=1, VERI_TABANI!E23*(1-0.928)*VERI_TABANI!$B$9, 0) + (VERI_TABANI!D23*B143*(VERI_TABANI!$B$13-VERI_TABANI!$B$14)*VERI_TABANI!G23) + (VERI_TABANI!D23*C143*(VERI_TABANI!$B$13-VERI_TABANI!$B$15)*VERI_TABANI!G23) + IF(ABS(IF(ISNUMBER(SEARCH("Var", D143)), 1, IF(ISNUMBER(SEARCH("Gri", D143)), -1, 0)))=1, VERI_TABANI!E23*(1-0.928)*0.00206091519919798*VERI_TABANI!G23, 0)) + ((MIN(VERI_TABANI!D24, VERI_TABANI!D24*B143)*VERI_TABANI!$B$7 + MAX(0, VERI_TABANI!D24*B143-VERI_TABANI!D24)*VERI_TABANI!$B$8) + (MIN(MAX(0, VERI_TABANI!D24-VERI_TABANI!D24*B143), VERI_TABANI!D24*C143)*VERI_TABANI!$B$7 + MAX(0, VERI_TABANI!D24*C143-MAX(0, VERI_TABANI!D24-VERI_TABANI!D24*B143))*VERI_TABANI!$B$8) + IF(ABS(IF(ISNUMBER(SEARCH("Var", D143)), 1, IF(ISNUMBER(SEARCH("Gri", D143)), -1, 0)))=1, VERI_TABANI!E24*(1-0.928)*VERI_TABANI!$B$9, 0) + (VERI_TABANI!D24*B143*(VERI_TABANI!$B$13-VERI_TABANI!$B$14)*VERI_TABANI!G24) + (VERI_TABANI!D24*C143*(VERI_TABANI!$B$13-VERI_TABANI!$B$15)*VERI_TABANI!G24) + IF(ABS(IF(ISNUMBER(SEARCH("Var", D143)), 1, IF(ISNUMBER(SEARCH("Gri", D143)), -1, 0)))=1, VERI_TABANI!E24*(1-0.928)*0.00206091519919798*VERI_TABANI!G24, 0)) + ((MIN(VERI_TABANI!D25, VERI_TABANI!D25*B143)*VERI_TABANI!$B$7 + MAX(0, VERI_TABANI!D25*B143-VERI_TABANI!D25)*VERI_TABANI!$B$8) + (MIN(MAX(0, VERI_TABANI!D25-VERI_TABANI!D25*B143), VERI_TABANI!D25*C143)*VERI_TABANI!$B$7 + MAX(0, VERI_TABANI!D25*C143-MAX(0, VERI_TABANI!D25-VERI_TABANI!D25*B143))*VERI_TABANI!$B$8) + IF(ABS(IF(ISNUMBER(SEARCH("Var", D143)), 1, IF(ISNUMBER(SEARCH("Gri", D143)), -1, 0)))=1, VERI_TABANI!E25*(1-0.928)*VERI_TABANI!$B$9, 0) + (VERI_TABANI!D25*B143*(VERI_TABANI!$B$13-VERI_TABANI!$B$14)*VERI_TABANI!G25) + (VERI_TABANI!D25*C143*(VERI_TABANI!$B$13-VERI_TABANI!$B$15)*VERI_TABANI!G25) + IF(ABS(IF(ISNUMBER(SEARCH("Var", D143)), 1, IF(ISNUMBER(SEARCH("Gri", D143)), -1, 0)))=1, VERI_TABANI!E25*(1-0.928)*0.00206091519919798*VERI_TABANI!G25, 0)) + ((MIN(VERI_TABANI!D26, VERI_TABANI!D26*B143)*VERI_TABANI!$B$7 + MAX(0, VERI_TABANI!D26*B143-VERI_TABANI!D26)*VERI_TABANI!$B$8) + (MIN(MAX(0, VERI_TABANI!D26-VERI_TABANI!D26*B143), VERI_TABANI!D26*C143)*VERI_TABANI!$B$7 + MAX(0, VERI_TABANI!D26*C143-MAX(0, VERI_TABANI!D26-VERI_TABANI!D26*B143))*VERI_TABANI!$B$8) + IF(ABS(IF(ISNUMBER(SEARCH("Var", D143)), 1, IF(ISNUMBER(SEARCH("Gri", D143)), -1, 0)))=1, VERI_TABANI!E26*(1-0.928)*VERI_TABANI!$B$9, 0) + (VERI_TABANI!D26*B143*(VERI_TABANI!$B$13-VERI_TABANI!$B$14)*VERI_TABANI!G26) + (VERI_TABANI!D26*C143*(VERI_TABANI!$B$13-VERI_TABANI!$B$15)*VERI_TABANI!G26) + IF(ABS(IF(ISNUMBER(SEARCH("Var", D143)), 1, IF(ISNUMBER(SEARCH("Gri", D143)), -1, 0)))=1, VERI_TABANI!E26*(1-0.928)*0.00206091519919798*VERI_TABANI!G26, 0)) + ((MIN(VERI_TABANI!D27, VERI_TABANI!D27*B143)*VERI_TABANI!$B$7 + MAX(0, VERI_TABANI!D27*B143-VERI_TABANI!D27)*VERI_TABANI!$B$8) + (MIN(MAX(0, VERI_TABANI!D27-VERI_TABANI!D27*B143), VERI_TABANI!D27*C143)*VERI_TABANI!$B$7 + MAX(0, VERI_TABANI!D27*C143-MAX(0, VERI_TABANI!D27-VERI_TABANI!D27*B143))*VERI_TABANI!$B$8) + IF(ABS(IF(ISNUMBER(SEARCH("Var", D143)), 1, IF(ISNUMBER(SEARCH("Gri", D143)), -1, 0)))=1, VERI_TABANI!E27*(1-0.928)*VERI_TABANI!$B$9, 0) + (VERI_TABANI!D27*B143*(VERI_TABANI!$B$13-VERI_TABANI!$B$14)*VERI_TABANI!G27) + (VERI_TABANI!D27*C143*(VERI_TABANI!$B$13-VERI_TABANI!$B$15)*VERI_TABANI!G27) + IF(ABS(IF(ISNUMBER(SEARCH("Var", D143)), 1, IF(ISNUMBER(SEARCH("Gri", D143)), -1, 0)))=1, VERI_TABANI!E27*(1-0.928)*0.00206091519919798*VERI_TABANI!G27, 0)) + ((MIN(VERI_TABANI!D28, VERI_TABANI!D28*B143)*VERI_TABANI!$B$7 + MAX(0, VERI_TABANI!D28*B143-VERI_TABANI!D28)*VERI_TABANI!$B$8) + (MIN(MAX(0, VERI_TABANI!D28-VERI_TABANI!D28*B143), VERI_TABANI!D28*C143)*VERI_TABANI!$B$7 + MAX(0, VERI_TABANI!D28*C143-MAX(0, VERI_TABANI!D28-VERI_TABANI!D28*B143))*VERI_TABANI!$B$8) + IF(ABS(IF(ISNUMBER(SEARCH("Var", D143)), 1, IF(ISNUMBER(SEARCH("Gri", D143)), -1, 0)))=1, VERI_TABANI!E28*(1-0.928)*VERI_TABANI!$B$9, 0) + (VERI_TABANI!D28*B143*(VERI_TABANI!$B$13-VERI_TABANI!$B$14)*VERI_TABANI!G28) + (VERI_TABANI!D28*C143*(VERI_TABANI!$B$13-VERI_TABANI!$B$15)*VERI_TABANI!G28) + IF(ABS(IF(ISNUMBER(SEARCH("Var", D143)), 1, IF(ISNUMBER(SEARCH("Gri", D143)), -1, 0)))=1, VERI_TABANI!E28*(1-0.928)*0.00206091519919798*VERI_TABANI!G28, 0)))</f>
        <v/>
      </c>
      <c r="H143" s="169">
        <f>(((VERI_TABANI!D23*B143*(VERI_TABANI!$B$13-VERI_TABANI!$B$14)) + (VERI_TABANI!D23*C143*(VERI_TABANI!$B$13-VERI_TABANI!$B$15)) + IF(ISNUMBER(SEARCH("Var", D143)), VERI_TABANI!F23*(0.00202-VERI_TABANI!$B$16), IF(ISNUMBER(SEARCH("Gri", D143)), VERI_TABANI!F23*(0.00202-VERI_TABANI!$B$17), 0))) + ((VERI_TABANI!D24*B143*(VERI_TABANI!$B$13-VERI_TABANI!$B$14)) + (VERI_TABANI!D24*C143*(VERI_TABANI!$B$13-VERI_TABANI!$B$15)) + IF(ISNUMBER(SEARCH("Var", D143)), VERI_TABANI!F24*(0.00202-VERI_TABANI!$B$16), IF(ISNUMBER(SEARCH("Gri", D143)), VERI_TABANI!F24*(0.00202-VERI_TABANI!$B$17), 0))) + ((VERI_TABANI!D25*B143*(VERI_TABANI!$B$13-VERI_TABANI!$B$14)) + (VERI_TABANI!D25*C143*(VERI_TABANI!$B$13-VERI_TABANI!$B$15)) + IF(ISNUMBER(SEARCH("Var", D143)), VERI_TABANI!F25*(0.00202-VERI_TABANI!$B$16), IF(ISNUMBER(SEARCH("Gri", D143)), VERI_TABANI!F25*(0.00202-VERI_TABANI!$B$17), 0))) + ((VERI_TABANI!D26*B143*(VERI_TABANI!$B$13-VERI_TABANI!$B$14)) + (VERI_TABANI!D26*C143*(VERI_TABANI!$B$13-VERI_TABANI!$B$15)) + IF(ISNUMBER(SEARCH("Var", D143)), VERI_TABANI!F26*(0.00202-VERI_TABANI!$B$16), IF(ISNUMBER(SEARCH("Gri", D143)), VERI_TABANI!F26*(0.00202-VERI_TABANI!$B$17), 0))) + ((VERI_TABANI!D27*B143*(VERI_TABANI!$B$13-VERI_TABANI!$B$14)) + (VERI_TABANI!D27*C143*(VERI_TABANI!$B$13-VERI_TABANI!$B$15)) + IF(ISNUMBER(SEARCH("Var", D143)), VERI_TABANI!F27*(0.00202-VERI_TABANI!$B$16), IF(ISNUMBER(SEARCH("Gri", D143)), VERI_TABANI!F27*(0.00202-VERI_TABANI!$B$17), 0))) + ((VERI_TABANI!D28*B143*(VERI_TABANI!$B$13-VERI_TABANI!$B$14)) + (VERI_TABANI!D28*C143*(VERI_TABANI!$B$13-VERI_TABANI!$B$15)) + IF(ISNUMBER(SEARCH("Var", D143)), VERI_TABANI!F28*(0.00202-VERI_TABANI!$B$16), IF(ISNUMBER(SEARCH("Gri", D143)), VERI_TABANI!F28*(0.00202-VERI_TABANI!$B$17), 0))))</f>
        <v/>
      </c>
      <c r="I143" s="170">
        <f>IFERROR(((VERI_TABANI!$D$29*B143*VERI_TABANI!$B$14 + VERI_TABANI!$D$29*C143*VERI_TABANI!$B$15 + IF(ISNUMBER(SEARCH("Var", D143)), VERI_TABANI!$F$29*VERI_TABANI!$B$16, 0))) / (((VERI_TABANI!$D$29*B143 + VERI_TABANI!$D$29*C143)*VERI_TABANI!$B$13 + IF(ISNUMBER(SEARCH("Var", D143)), VERI_TABANI!$E$29*(1-0.928)*VERI_TABANI!$B$18, 0))), 0)</f>
        <v/>
      </c>
      <c r="J143" s="171">
        <f>IFERROR(F143/(G143/29), 0)</f>
        <v/>
      </c>
      <c r="K143" s="172">
        <f>IF(F143&gt;0, H143/F143, 0)</f>
        <v/>
      </c>
      <c r="L143" s="170">
        <f>IF(F143&gt;0, I143, 1000000000)</f>
        <v/>
      </c>
      <c r="M143" s="171">
        <f>ABS((B143+C143)-1)</f>
        <v/>
      </c>
      <c r="N143" s="170">
        <f>IF(F143&gt;0, (G143/29)/F143, 0)</f>
        <v/>
      </c>
      <c r="O143" s="168">
        <f>IF(AND((B143+C143)&gt;=1, ISNUMBER(SEARCH("Var", D143))), F143, 1000000000)</f>
        <v/>
      </c>
      <c r="P143" s="172">
        <f>IF(F143&gt;0, SQRT((F143/MAX(F$5:F$886))^2 + (1 - H143/MAX(H$5:H$886))^2 + (J143/MAX(J$5:J$886))^2), 1000000000)</f>
        <v/>
      </c>
      <c r="Q143" s="166">
        <f>IF(AND(ABS(B143-0.5)&lt;0.01, ABS(C143-0.5)&lt;0.01, ISNUMBER(SEARCH("Var", D143))), 1, 0)</f>
        <v/>
      </c>
      <c r="R143" s="171">
        <f>IF(F143&gt;0, J143, 1000000000)</f>
        <v/>
      </c>
      <c r="S143" s="101">
        <f>IF(AND(F143&lt;=DASHBOARD!$B$11, H143&gt;=DASHBOARD!$B$13), G143, -1000000000000)</f>
        <v/>
      </c>
      <c r="T143" s="101">
        <f>IF(AND(F143&lt;=DASHBOARD!$B$11, H143&gt;=DASHBOARD!$B$13), R143, 1000000000000)</f>
        <v/>
      </c>
      <c r="U143" s="101">
        <f>IF(AND(F143&lt;=DASHBOARD!$B$11, H143&gt;=DASHBOARD!$B$13), N143, -1000000000000)</f>
        <v/>
      </c>
      <c r="V143" s="101">
        <f>IF(AND(F143&lt;=DASHBOARD!$B$11, H143&gt;=DASHBOARD!$B$13), H143, -1000000000000)</f>
        <v/>
      </c>
      <c r="W143" s="101">
        <f>IF(AND(F143&lt;=DASHBOARD!$B$11, H143&gt;=DASHBOARD!$B$13), K143, -1000000000000)</f>
        <v/>
      </c>
      <c r="X143" s="101">
        <f>IF(AND(F143&lt;=DASHBOARD!$B$11, H143&gt;=DASHBOARD!$B$13), M143, 1000000000000)</f>
        <v/>
      </c>
      <c r="Y143" s="101">
        <f>IF(AND(F143&lt;=DASHBOARD!$B$10, H143&gt;=DASHBOARD!$B$11), L143, 1000000000000)</f>
        <v/>
      </c>
      <c r="Z143" s="101">
        <f>IF(AND(F143&lt;=DASHBOARD!$B$10, H143&gt;=DASHBOARD!$B$11), O143, 1000000000000)</f>
        <v/>
      </c>
      <c r="AA143" s="101">
        <f>IF(AND(F143&lt;=DASHBOARD!$B$10, H143&gt;=DASHBOARD!$B$11), P143, 1000000000000)</f>
        <v/>
      </c>
      <c r="AB143" s="101">
        <f>IF(AND(F143&lt;=DASHBOARD!$B$10, H143&gt;=DASHBOARD!$B$11), Q143, -1000000000000)</f>
        <v/>
      </c>
    </row>
    <row r="144" ht="12.75" customHeight="1" s="102">
      <c r="A144" s="166" t="n">
        <v>140</v>
      </c>
      <c r="B144" s="167" t="n">
        <v>0.3</v>
      </c>
      <c r="C144" s="167" t="n">
        <v>0.6</v>
      </c>
      <c r="D144" s="110" t="inlineStr">
        <is>
          <t>Var (%20)</t>
        </is>
      </c>
      <c r="E144" s="110">
        <f>IF((B144+C144)&lt;=1, "Tam Mahsuplaşma (≤%100)", "Kısmi Satış (&gt;%100)")</f>
        <v/>
      </c>
      <c r="F144" s="168">
        <f>((VERI_TABANI!$D$29*B144/VERI_TABANI!$B$29)/VERI_TABANI!$B$3)*VERI_TABANI!$B$5 + ((VERI_TABANI!$D$29*C144/VERI_TABANI!$B$29)/VERI_TABANI!$B$4)*VERI_TABANI!$B$6 + IF(ISNUMBER(SEARCH("Var", D144)), (VERI_TABANI!$F$29/VERI_TABANI!$B$29)*(VERI_TABANI!$B$10+VERI_TABANI!$B$12), 0)</f>
        <v/>
      </c>
      <c r="G144" s="168">
        <f>(((MIN(VERI_TABANI!D23, VERI_TABANI!D23*B144)*VERI_TABANI!$B$7 + MAX(0, VERI_TABANI!D23*B144-VERI_TABANI!D23)*VERI_TABANI!$B$8) + (MIN(MAX(0, VERI_TABANI!D23-VERI_TABANI!D23*B144), VERI_TABANI!D23*C144)*VERI_TABANI!$B$7 + MAX(0, VERI_TABANI!D23*C144-MAX(0, VERI_TABANI!D23-VERI_TABANI!D23*B144))*VERI_TABANI!$B$8) + IF(ABS(IF(ISNUMBER(SEARCH("Var", D144)), 1, IF(ISNUMBER(SEARCH("Gri", D144)), -1, 0)))=1, VERI_TABANI!E23*(1-0.928)*VERI_TABANI!$B$9, 0) + (VERI_TABANI!D23*B144*(VERI_TABANI!$B$13-VERI_TABANI!$B$14)*VERI_TABANI!G23) + (VERI_TABANI!D23*C144*(VERI_TABANI!$B$13-VERI_TABANI!$B$15)*VERI_TABANI!G23) + IF(ABS(IF(ISNUMBER(SEARCH("Var", D144)), 1, IF(ISNUMBER(SEARCH("Gri", D144)), -1, 0)))=1, VERI_TABANI!E23*(1-0.928)*0.00206091519919798*VERI_TABANI!G23, 0)) + ((MIN(VERI_TABANI!D24, VERI_TABANI!D24*B144)*VERI_TABANI!$B$7 + MAX(0, VERI_TABANI!D24*B144-VERI_TABANI!D24)*VERI_TABANI!$B$8) + (MIN(MAX(0, VERI_TABANI!D24-VERI_TABANI!D24*B144), VERI_TABANI!D24*C144)*VERI_TABANI!$B$7 + MAX(0, VERI_TABANI!D24*C144-MAX(0, VERI_TABANI!D24-VERI_TABANI!D24*B144))*VERI_TABANI!$B$8) + IF(ABS(IF(ISNUMBER(SEARCH("Var", D144)), 1, IF(ISNUMBER(SEARCH("Gri", D144)), -1, 0)))=1, VERI_TABANI!E24*(1-0.928)*VERI_TABANI!$B$9, 0) + (VERI_TABANI!D24*B144*(VERI_TABANI!$B$13-VERI_TABANI!$B$14)*VERI_TABANI!G24) + (VERI_TABANI!D24*C144*(VERI_TABANI!$B$13-VERI_TABANI!$B$15)*VERI_TABANI!G24) + IF(ABS(IF(ISNUMBER(SEARCH("Var", D144)), 1, IF(ISNUMBER(SEARCH("Gri", D144)), -1, 0)))=1, VERI_TABANI!E24*(1-0.928)*0.00206091519919798*VERI_TABANI!G24, 0)) + ((MIN(VERI_TABANI!D25, VERI_TABANI!D25*B144)*VERI_TABANI!$B$7 + MAX(0, VERI_TABANI!D25*B144-VERI_TABANI!D25)*VERI_TABANI!$B$8) + (MIN(MAX(0, VERI_TABANI!D25-VERI_TABANI!D25*B144), VERI_TABANI!D25*C144)*VERI_TABANI!$B$7 + MAX(0, VERI_TABANI!D25*C144-MAX(0, VERI_TABANI!D25-VERI_TABANI!D25*B144))*VERI_TABANI!$B$8) + IF(ABS(IF(ISNUMBER(SEARCH("Var", D144)), 1, IF(ISNUMBER(SEARCH("Gri", D144)), -1, 0)))=1, VERI_TABANI!E25*(1-0.928)*VERI_TABANI!$B$9, 0) + (VERI_TABANI!D25*B144*(VERI_TABANI!$B$13-VERI_TABANI!$B$14)*VERI_TABANI!G25) + (VERI_TABANI!D25*C144*(VERI_TABANI!$B$13-VERI_TABANI!$B$15)*VERI_TABANI!G25) + IF(ABS(IF(ISNUMBER(SEARCH("Var", D144)), 1, IF(ISNUMBER(SEARCH("Gri", D144)), -1, 0)))=1, VERI_TABANI!E25*(1-0.928)*0.00206091519919798*VERI_TABANI!G25, 0)) + ((MIN(VERI_TABANI!D26, VERI_TABANI!D26*B144)*VERI_TABANI!$B$7 + MAX(0, VERI_TABANI!D26*B144-VERI_TABANI!D26)*VERI_TABANI!$B$8) + (MIN(MAX(0, VERI_TABANI!D26-VERI_TABANI!D26*B144), VERI_TABANI!D26*C144)*VERI_TABANI!$B$7 + MAX(0, VERI_TABANI!D26*C144-MAX(0, VERI_TABANI!D26-VERI_TABANI!D26*B144))*VERI_TABANI!$B$8) + IF(ABS(IF(ISNUMBER(SEARCH("Var", D144)), 1, IF(ISNUMBER(SEARCH("Gri", D144)), -1, 0)))=1, VERI_TABANI!E26*(1-0.928)*VERI_TABANI!$B$9, 0) + (VERI_TABANI!D26*B144*(VERI_TABANI!$B$13-VERI_TABANI!$B$14)*VERI_TABANI!G26) + (VERI_TABANI!D26*C144*(VERI_TABANI!$B$13-VERI_TABANI!$B$15)*VERI_TABANI!G26) + IF(ABS(IF(ISNUMBER(SEARCH("Var", D144)), 1, IF(ISNUMBER(SEARCH("Gri", D144)), -1, 0)))=1, VERI_TABANI!E26*(1-0.928)*0.00206091519919798*VERI_TABANI!G26, 0)) + ((MIN(VERI_TABANI!D27, VERI_TABANI!D27*B144)*VERI_TABANI!$B$7 + MAX(0, VERI_TABANI!D27*B144-VERI_TABANI!D27)*VERI_TABANI!$B$8) + (MIN(MAX(0, VERI_TABANI!D27-VERI_TABANI!D27*B144), VERI_TABANI!D27*C144)*VERI_TABANI!$B$7 + MAX(0, VERI_TABANI!D27*C144-MAX(0, VERI_TABANI!D27-VERI_TABANI!D27*B144))*VERI_TABANI!$B$8) + IF(ABS(IF(ISNUMBER(SEARCH("Var", D144)), 1, IF(ISNUMBER(SEARCH("Gri", D144)), -1, 0)))=1, VERI_TABANI!E27*(1-0.928)*VERI_TABANI!$B$9, 0) + (VERI_TABANI!D27*B144*(VERI_TABANI!$B$13-VERI_TABANI!$B$14)*VERI_TABANI!G27) + (VERI_TABANI!D27*C144*(VERI_TABANI!$B$13-VERI_TABANI!$B$15)*VERI_TABANI!G27) + IF(ABS(IF(ISNUMBER(SEARCH("Var", D144)), 1, IF(ISNUMBER(SEARCH("Gri", D144)), -1, 0)))=1, VERI_TABANI!E27*(1-0.928)*0.00206091519919798*VERI_TABANI!G27, 0)) + ((MIN(VERI_TABANI!D28, VERI_TABANI!D28*B144)*VERI_TABANI!$B$7 + MAX(0, VERI_TABANI!D28*B144-VERI_TABANI!D28)*VERI_TABANI!$B$8) + (MIN(MAX(0, VERI_TABANI!D28-VERI_TABANI!D28*B144), VERI_TABANI!D28*C144)*VERI_TABANI!$B$7 + MAX(0, VERI_TABANI!D28*C144-MAX(0, VERI_TABANI!D28-VERI_TABANI!D28*B144))*VERI_TABANI!$B$8) + IF(ABS(IF(ISNUMBER(SEARCH("Var", D144)), 1, IF(ISNUMBER(SEARCH("Gri", D144)), -1, 0)))=1, VERI_TABANI!E28*(1-0.928)*VERI_TABANI!$B$9, 0) + (VERI_TABANI!D28*B144*(VERI_TABANI!$B$13-VERI_TABANI!$B$14)*VERI_TABANI!G28) + (VERI_TABANI!D28*C144*(VERI_TABANI!$B$13-VERI_TABANI!$B$15)*VERI_TABANI!G28) + IF(ABS(IF(ISNUMBER(SEARCH("Var", D144)), 1, IF(ISNUMBER(SEARCH("Gri", D144)), -1, 0)))=1, VERI_TABANI!E28*(1-0.928)*0.00206091519919798*VERI_TABANI!G28, 0)))</f>
        <v/>
      </c>
      <c r="H144" s="169">
        <f>(((VERI_TABANI!D23*B144*(VERI_TABANI!$B$13-VERI_TABANI!$B$14)) + (VERI_TABANI!D23*C144*(VERI_TABANI!$B$13-VERI_TABANI!$B$15)) + IF(ISNUMBER(SEARCH("Var", D144)), VERI_TABANI!F23*(0.00202-VERI_TABANI!$B$16), IF(ISNUMBER(SEARCH("Gri", D144)), VERI_TABANI!F23*(0.00202-VERI_TABANI!$B$17), 0))) + ((VERI_TABANI!D24*B144*(VERI_TABANI!$B$13-VERI_TABANI!$B$14)) + (VERI_TABANI!D24*C144*(VERI_TABANI!$B$13-VERI_TABANI!$B$15)) + IF(ISNUMBER(SEARCH("Var", D144)), VERI_TABANI!F24*(0.00202-VERI_TABANI!$B$16), IF(ISNUMBER(SEARCH("Gri", D144)), VERI_TABANI!F24*(0.00202-VERI_TABANI!$B$17), 0))) + ((VERI_TABANI!D25*B144*(VERI_TABANI!$B$13-VERI_TABANI!$B$14)) + (VERI_TABANI!D25*C144*(VERI_TABANI!$B$13-VERI_TABANI!$B$15)) + IF(ISNUMBER(SEARCH("Var", D144)), VERI_TABANI!F25*(0.00202-VERI_TABANI!$B$16), IF(ISNUMBER(SEARCH("Gri", D144)), VERI_TABANI!F25*(0.00202-VERI_TABANI!$B$17), 0))) + ((VERI_TABANI!D26*B144*(VERI_TABANI!$B$13-VERI_TABANI!$B$14)) + (VERI_TABANI!D26*C144*(VERI_TABANI!$B$13-VERI_TABANI!$B$15)) + IF(ISNUMBER(SEARCH("Var", D144)), VERI_TABANI!F26*(0.00202-VERI_TABANI!$B$16), IF(ISNUMBER(SEARCH("Gri", D144)), VERI_TABANI!F26*(0.00202-VERI_TABANI!$B$17), 0))) + ((VERI_TABANI!D27*B144*(VERI_TABANI!$B$13-VERI_TABANI!$B$14)) + (VERI_TABANI!D27*C144*(VERI_TABANI!$B$13-VERI_TABANI!$B$15)) + IF(ISNUMBER(SEARCH("Var", D144)), VERI_TABANI!F27*(0.00202-VERI_TABANI!$B$16), IF(ISNUMBER(SEARCH("Gri", D144)), VERI_TABANI!F27*(0.00202-VERI_TABANI!$B$17), 0))) + ((VERI_TABANI!D28*B144*(VERI_TABANI!$B$13-VERI_TABANI!$B$14)) + (VERI_TABANI!D28*C144*(VERI_TABANI!$B$13-VERI_TABANI!$B$15)) + IF(ISNUMBER(SEARCH("Var", D144)), VERI_TABANI!F28*(0.00202-VERI_TABANI!$B$16), IF(ISNUMBER(SEARCH("Gri", D144)), VERI_TABANI!F28*(0.00202-VERI_TABANI!$B$17), 0))))</f>
        <v/>
      </c>
      <c r="I144" s="170">
        <f>IFERROR(((VERI_TABANI!$D$29*B144*VERI_TABANI!$B$14 + VERI_TABANI!$D$29*C144*VERI_TABANI!$B$15 + IF(ISNUMBER(SEARCH("Var", D144)), VERI_TABANI!$F$29*VERI_TABANI!$B$16, 0))) / (((VERI_TABANI!$D$29*B144 + VERI_TABANI!$D$29*C144)*VERI_TABANI!$B$13 + IF(ISNUMBER(SEARCH("Var", D144)), VERI_TABANI!$E$29*(1-0.928)*VERI_TABANI!$B$18, 0))), 0)</f>
        <v/>
      </c>
      <c r="J144" s="171">
        <f>IFERROR(F144/(G144/29), 0)</f>
        <v/>
      </c>
      <c r="K144" s="172">
        <f>IF(F144&gt;0, H144/F144, 0)</f>
        <v/>
      </c>
      <c r="L144" s="170">
        <f>IF(F144&gt;0, I144, 1000000000)</f>
        <v/>
      </c>
      <c r="M144" s="171">
        <f>ABS((B144+C144)-1)</f>
        <v/>
      </c>
      <c r="N144" s="170">
        <f>IF(F144&gt;0, (G144/29)/F144, 0)</f>
        <v/>
      </c>
      <c r="O144" s="168">
        <f>IF(AND((B144+C144)&gt;=1, ISNUMBER(SEARCH("Var", D144))), F144, 1000000000)</f>
        <v/>
      </c>
      <c r="P144" s="172">
        <f>IF(F144&gt;0, SQRT((F144/MAX(F$5:F$886))^2 + (1 - H144/MAX(H$5:H$886))^2 + (J144/MAX(J$5:J$886))^2), 1000000000)</f>
        <v/>
      </c>
      <c r="Q144" s="166">
        <f>IF(AND(ABS(B144-0.5)&lt;0.01, ABS(C144-0.5)&lt;0.01, ISNUMBER(SEARCH("Var", D144))), 1, 0)</f>
        <v/>
      </c>
      <c r="R144" s="171">
        <f>IF(F144&gt;0, J144, 1000000000)</f>
        <v/>
      </c>
      <c r="S144" s="101">
        <f>IF(AND(F144&lt;=DASHBOARD!$B$11, H144&gt;=DASHBOARD!$B$13), G144, -1000000000000)</f>
        <v/>
      </c>
      <c r="T144" s="101">
        <f>IF(AND(F144&lt;=DASHBOARD!$B$11, H144&gt;=DASHBOARD!$B$13), R144, 1000000000000)</f>
        <v/>
      </c>
      <c r="U144" s="101">
        <f>IF(AND(F144&lt;=DASHBOARD!$B$11, H144&gt;=DASHBOARD!$B$13), N144, -1000000000000)</f>
        <v/>
      </c>
      <c r="V144" s="101">
        <f>IF(AND(F144&lt;=DASHBOARD!$B$11, H144&gt;=DASHBOARD!$B$13), H144, -1000000000000)</f>
        <v/>
      </c>
      <c r="W144" s="101">
        <f>IF(AND(F144&lt;=DASHBOARD!$B$11, H144&gt;=DASHBOARD!$B$13), K144, -1000000000000)</f>
        <v/>
      </c>
      <c r="X144" s="101">
        <f>IF(AND(F144&lt;=DASHBOARD!$B$11, H144&gt;=DASHBOARD!$B$13), M144, 1000000000000)</f>
        <v/>
      </c>
      <c r="Y144" s="101">
        <f>IF(AND(F144&lt;=DASHBOARD!$B$10, H144&gt;=DASHBOARD!$B$11), L144, 1000000000000)</f>
        <v/>
      </c>
      <c r="Z144" s="101">
        <f>IF(AND(F144&lt;=DASHBOARD!$B$10, H144&gt;=DASHBOARD!$B$11), O144, 1000000000000)</f>
        <v/>
      </c>
      <c r="AA144" s="101">
        <f>IF(AND(F144&lt;=DASHBOARD!$B$10, H144&gt;=DASHBOARD!$B$11), P144, 1000000000000)</f>
        <v/>
      </c>
      <c r="AB144" s="101">
        <f>IF(AND(F144&lt;=DASHBOARD!$B$10, H144&gt;=DASHBOARD!$B$11), Q144, -1000000000000)</f>
        <v/>
      </c>
    </row>
    <row r="145" ht="12.75" customHeight="1" s="102">
      <c r="A145" s="166" t="n">
        <v>141</v>
      </c>
      <c r="B145" s="167" t="n">
        <v>0.3</v>
      </c>
      <c r="C145" s="167" t="n">
        <v>0.7</v>
      </c>
      <c r="D145" s="110" t="inlineStr">
        <is>
          <t>Yok (%0)</t>
        </is>
      </c>
      <c r="E145" s="110">
        <f>IF((B145+C145)&lt;=1, "Tam Mahsuplaşma (≤%100)", "Kısmi Satış (&gt;%100)")</f>
        <v/>
      </c>
      <c r="F145" s="168">
        <f>((VERI_TABANI!$D$29*B145/VERI_TABANI!$B$29)/VERI_TABANI!$B$3)*VERI_TABANI!$B$5 + ((VERI_TABANI!$D$29*C145/VERI_TABANI!$B$29)/VERI_TABANI!$B$4)*VERI_TABANI!$B$6 + IF(ISNUMBER(SEARCH("Var", D145)), (VERI_TABANI!$F$29/VERI_TABANI!$B$29)*(VERI_TABANI!$B$10+VERI_TABANI!$B$12), 0)</f>
        <v/>
      </c>
      <c r="G145" s="168">
        <f>(((MIN(VERI_TABANI!D23, VERI_TABANI!D23*B145)*VERI_TABANI!$B$7 + MAX(0, VERI_TABANI!D23*B145-VERI_TABANI!D23)*VERI_TABANI!$B$8) + (MIN(MAX(0, VERI_TABANI!D23-VERI_TABANI!D23*B145), VERI_TABANI!D23*C145)*VERI_TABANI!$B$7 + MAX(0, VERI_TABANI!D23*C145-MAX(0, VERI_TABANI!D23-VERI_TABANI!D23*B145))*VERI_TABANI!$B$8) + IF(ABS(IF(ISNUMBER(SEARCH("Var", D145)), 1, IF(ISNUMBER(SEARCH("Gri", D145)), -1, 0)))=1, VERI_TABANI!E23*(1-0.928)*VERI_TABANI!$B$9, 0) + (VERI_TABANI!D23*B145*(VERI_TABANI!$B$13-VERI_TABANI!$B$14)*VERI_TABANI!G23) + (VERI_TABANI!D23*C145*(VERI_TABANI!$B$13-VERI_TABANI!$B$15)*VERI_TABANI!G23) + IF(ABS(IF(ISNUMBER(SEARCH("Var", D145)), 1, IF(ISNUMBER(SEARCH("Gri", D145)), -1, 0)))=1, VERI_TABANI!E23*(1-0.928)*0.00206091519919798*VERI_TABANI!G23, 0)) + ((MIN(VERI_TABANI!D24, VERI_TABANI!D24*B145)*VERI_TABANI!$B$7 + MAX(0, VERI_TABANI!D24*B145-VERI_TABANI!D24)*VERI_TABANI!$B$8) + (MIN(MAX(0, VERI_TABANI!D24-VERI_TABANI!D24*B145), VERI_TABANI!D24*C145)*VERI_TABANI!$B$7 + MAX(0, VERI_TABANI!D24*C145-MAX(0, VERI_TABANI!D24-VERI_TABANI!D24*B145))*VERI_TABANI!$B$8) + IF(ABS(IF(ISNUMBER(SEARCH("Var", D145)), 1, IF(ISNUMBER(SEARCH("Gri", D145)), -1, 0)))=1, VERI_TABANI!E24*(1-0.928)*VERI_TABANI!$B$9, 0) + (VERI_TABANI!D24*B145*(VERI_TABANI!$B$13-VERI_TABANI!$B$14)*VERI_TABANI!G24) + (VERI_TABANI!D24*C145*(VERI_TABANI!$B$13-VERI_TABANI!$B$15)*VERI_TABANI!G24) + IF(ABS(IF(ISNUMBER(SEARCH("Var", D145)), 1, IF(ISNUMBER(SEARCH("Gri", D145)), -1, 0)))=1, VERI_TABANI!E24*(1-0.928)*0.00206091519919798*VERI_TABANI!G24, 0)) + ((MIN(VERI_TABANI!D25, VERI_TABANI!D25*B145)*VERI_TABANI!$B$7 + MAX(0, VERI_TABANI!D25*B145-VERI_TABANI!D25)*VERI_TABANI!$B$8) + (MIN(MAX(0, VERI_TABANI!D25-VERI_TABANI!D25*B145), VERI_TABANI!D25*C145)*VERI_TABANI!$B$7 + MAX(0, VERI_TABANI!D25*C145-MAX(0, VERI_TABANI!D25-VERI_TABANI!D25*B145))*VERI_TABANI!$B$8) + IF(ABS(IF(ISNUMBER(SEARCH("Var", D145)), 1, IF(ISNUMBER(SEARCH("Gri", D145)), -1, 0)))=1, VERI_TABANI!E25*(1-0.928)*VERI_TABANI!$B$9, 0) + (VERI_TABANI!D25*B145*(VERI_TABANI!$B$13-VERI_TABANI!$B$14)*VERI_TABANI!G25) + (VERI_TABANI!D25*C145*(VERI_TABANI!$B$13-VERI_TABANI!$B$15)*VERI_TABANI!G25) + IF(ABS(IF(ISNUMBER(SEARCH("Var", D145)), 1, IF(ISNUMBER(SEARCH("Gri", D145)), -1, 0)))=1, VERI_TABANI!E25*(1-0.928)*0.00206091519919798*VERI_TABANI!G25, 0)) + ((MIN(VERI_TABANI!D26, VERI_TABANI!D26*B145)*VERI_TABANI!$B$7 + MAX(0, VERI_TABANI!D26*B145-VERI_TABANI!D26)*VERI_TABANI!$B$8) + (MIN(MAX(0, VERI_TABANI!D26-VERI_TABANI!D26*B145), VERI_TABANI!D26*C145)*VERI_TABANI!$B$7 + MAX(0, VERI_TABANI!D26*C145-MAX(0, VERI_TABANI!D26-VERI_TABANI!D26*B145))*VERI_TABANI!$B$8) + IF(ABS(IF(ISNUMBER(SEARCH("Var", D145)), 1, IF(ISNUMBER(SEARCH("Gri", D145)), -1, 0)))=1, VERI_TABANI!E26*(1-0.928)*VERI_TABANI!$B$9, 0) + (VERI_TABANI!D26*B145*(VERI_TABANI!$B$13-VERI_TABANI!$B$14)*VERI_TABANI!G26) + (VERI_TABANI!D26*C145*(VERI_TABANI!$B$13-VERI_TABANI!$B$15)*VERI_TABANI!G26) + IF(ABS(IF(ISNUMBER(SEARCH("Var", D145)), 1, IF(ISNUMBER(SEARCH("Gri", D145)), -1, 0)))=1, VERI_TABANI!E26*(1-0.928)*0.00206091519919798*VERI_TABANI!G26, 0)) + ((MIN(VERI_TABANI!D27, VERI_TABANI!D27*B145)*VERI_TABANI!$B$7 + MAX(0, VERI_TABANI!D27*B145-VERI_TABANI!D27)*VERI_TABANI!$B$8) + (MIN(MAX(0, VERI_TABANI!D27-VERI_TABANI!D27*B145), VERI_TABANI!D27*C145)*VERI_TABANI!$B$7 + MAX(0, VERI_TABANI!D27*C145-MAX(0, VERI_TABANI!D27-VERI_TABANI!D27*B145))*VERI_TABANI!$B$8) + IF(ABS(IF(ISNUMBER(SEARCH("Var", D145)), 1, IF(ISNUMBER(SEARCH("Gri", D145)), -1, 0)))=1, VERI_TABANI!E27*(1-0.928)*VERI_TABANI!$B$9, 0) + (VERI_TABANI!D27*B145*(VERI_TABANI!$B$13-VERI_TABANI!$B$14)*VERI_TABANI!G27) + (VERI_TABANI!D27*C145*(VERI_TABANI!$B$13-VERI_TABANI!$B$15)*VERI_TABANI!G27) + IF(ABS(IF(ISNUMBER(SEARCH("Var", D145)), 1, IF(ISNUMBER(SEARCH("Gri", D145)), -1, 0)))=1, VERI_TABANI!E27*(1-0.928)*0.00206091519919798*VERI_TABANI!G27, 0)) + ((MIN(VERI_TABANI!D28, VERI_TABANI!D28*B145)*VERI_TABANI!$B$7 + MAX(0, VERI_TABANI!D28*B145-VERI_TABANI!D28)*VERI_TABANI!$B$8) + (MIN(MAX(0, VERI_TABANI!D28-VERI_TABANI!D28*B145), VERI_TABANI!D28*C145)*VERI_TABANI!$B$7 + MAX(0, VERI_TABANI!D28*C145-MAX(0, VERI_TABANI!D28-VERI_TABANI!D28*B145))*VERI_TABANI!$B$8) + IF(ABS(IF(ISNUMBER(SEARCH("Var", D145)), 1, IF(ISNUMBER(SEARCH("Gri", D145)), -1, 0)))=1, VERI_TABANI!E28*(1-0.928)*VERI_TABANI!$B$9, 0) + (VERI_TABANI!D28*B145*(VERI_TABANI!$B$13-VERI_TABANI!$B$14)*VERI_TABANI!G28) + (VERI_TABANI!D28*C145*(VERI_TABANI!$B$13-VERI_TABANI!$B$15)*VERI_TABANI!G28) + IF(ABS(IF(ISNUMBER(SEARCH("Var", D145)), 1, IF(ISNUMBER(SEARCH("Gri", D145)), -1, 0)))=1, VERI_TABANI!E28*(1-0.928)*0.00206091519919798*VERI_TABANI!G28, 0)))</f>
        <v/>
      </c>
      <c r="H145" s="169">
        <f>(((VERI_TABANI!D23*B145*(VERI_TABANI!$B$13-VERI_TABANI!$B$14)) + (VERI_TABANI!D23*C145*(VERI_TABANI!$B$13-VERI_TABANI!$B$15)) + IF(ISNUMBER(SEARCH("Var", D145)), VERI_TABANI!F23*(0.00202-VERI_TABANI!$B$16), IF(ISNUMBER(SEARCH("Gri", D145)), VERI_TABANI!F23*(0.00202-VERI_TABANI!$B$17), 0))) + ((VERI_TABANI!D24*B145*(VERI_TABANI!$B$13-VERI_TABANI!$B$14)) + (VERI_TABANI!D24*C145*(VERI_TABANI!$B$13-VERI_TABANI!$B$15)) + IF(ISNUMBER(SEARCH("Var", D145)), VERI_TABANI!F24*(0.00202-VERI_TABANI!$B$16), IF(ISNUMBER(SEARCH("Gri", D145)), VERI_TABANI!F24*(0.00202-VERI_TABANI!$B$17), 0))) + ((VERI_TABANI!D25*B145*(VERI_TABANI!$B$13-VERI_TABANI!$B$14)) + (VERI_TABANI!D25*C145*(VERI_TABANI!$B$13-VERI_TABANI!$B$15)) + IF(ISNUMBER(SEARCH("Var", D145)), VERI_TABANI!F25*(0.00202-VERI_TABANI!$B$16), IF(ISNUMBER(SEARCH("Gri", D145)), VERI_TABANI!F25*(0.00202-VERI_TABANI!$B$17), 0))) + ((VERI_TABANI!D26*B145*(VERI_TABANI!$B$13-VERI_TABANI!$B$14)) + (VERI_TABANI!D26*C145*(VERI_TABANI!$B$13-VERI_TABANI!$B$15)) + IF(ISNUMBER(SEARCH("Var", D145)), VERI_TABANI!F26*(0.00202-VERI_TABANI!$B$16), IF(ISNUMBER(SEARCH("Gri", D145)), VERI_TABANI!F26*(0.00202-VERI_TABANI!$B$17), 0))) + ((VERI_TABANI!D27*B145*(VERI_TABANI!$B$13-VERI_TABANI!$B$14)) + (VERI_TABANI!D27*C145*(VERI_TABANI!$B$13-VERI_TABANI!$B$15)) + IF(ISNUMBER(SEARCH("Var", D145)), VERI_TABANI!F27*(0.00202-VERI_TABANI!$B$16), IF(ISNUMBER(SEARCH("Gri", D145)), VERI_TABANI!F27*(0.00202-VERI_TABANI!$B$17), 0))) + ((VERI_TABANI!D28*B145*(VERI_TABANI!$B$13-VERI_TABANI!$B$14)) + (VERI_TABANI!D28*C145*(VERI_TABANI!$B$13-VERI_TABANI!$B$15)) + IF(ISNUMBER(SEARCH("Var", D145)), VERI_TABANI!F28*(0.00202-VERI_TABANI!$B$16), IF(ISNUMBER(SEARCH("Gri", D145)), VERI_TABANI!F28*(0.00202-VERI_TABANI!$B$17), 0))))</f>
        <v/>
      </c>
      <c r="I145" s="170">
        <f>IFERROR(((VERI_TABANI!$D$29*B145*VERI_TABANI!$B$14 + VERI_TABANI!$D$29*C145*VERI_TABANI!$B$15 + IF(ISNUMBER(SEARCH("Var", D145)), VERI_TABANI!$F$29*VERI_TABANI!$B$16, 0))) / (((VERI_TABANI!$D$29*B145 + VERI_TABANI!$D$29*C145)*VERI_TABANI!$B$13 + IF(ISNUMBER(SEARCH("Var", D145)), VERI_TABANI!$E$29*(1-0.928)*VERI_TABANI!$B$18, 0))), 0)</f>
        <v/>
      </c>
      <c r="J145" s="171">
        <f>IFERROR(F145/(G145/29), 0)</f>
        <v/>
      </c>
      <c r="K145" s="172">
        <f>IF(F145&gt;0, H145/F145, 0)</f>
        <v/>
      </c>
      <c r="L145" s="170">
        <f>IF(F145&gt;0, I145, 1000000000)</f>
        <v/>
      </c>
      <c r="M145" s="171">
        <f>ABS((B145+C145)-1)</f>
        <v/>
      </c>
      <c r="N145" s="170">
        <f>IF(F145&gt;0, (G145/29)/F145, 0)</f>
        <v/>
      </c>
      <c r="O145" s="168">
        <f>IF(AND((B145+C145)&gt;=1, ISNUMBER(SEARCH("Var", D145))), F145, 1000000000)</f>
        <v/>
      </c>
      <c r="P145" s="172">
        <f>IF(F145&gt;0, SQRT((F145/MAX(F$5:F$886))^2 + (1 - H145/MAX(H$5:H$886))^2 + (J145/MAX(J$5:J$886))^2), 1000000000)</f>
        <v/>
      </c>
      <c r="Q145" s="166">
        <f>IF(AND(ABS(B145-0.5)&lt;0.01, ABS(C145-0.5)&lt;0.01, ISNUMBER(SEARCH("Var", D145))), 1, 0)</f>
        <v/>
      </c>
      <c r="R145" s="171">
        <f>IF(F145&gt;0, J145, 1000000000)</f>
        <v/>
      </c>
      <c r="S145" s="101">
        <f>IF(AND(F145&lt;=DASHBOARD!$B$11, H145&gt;=DASHBOARD!$B$13), G145, -1000000000000)</f>
        <v/>
      </c>
      <c r="T145" s="101">
        <f>IF(AND(F145&lt;=DASHBOARD!$B$11, H145&gt;=DASHBOARD!$B$13), R145, 1000000000000)</f>
        <v/>
      </c>
      <c r="U145" s="101">
        <f>IF(AND(F145&lt;=DASHBOARD!$B$11, H145&gt;=DASHBOARD!$B$13), N145, -1000000000000)</f>
        <v/>
      </c>
      <c r="V145" s="101">
        <f>IF(AND(F145&lt;=DASHBOARD!$B$11, H145&gt;=DASHBOARD!$B$13), H145, -1000000000000)</f>
        <v/>
      </c>
      <c r="W145" s="101">
        <f>IF(AND(F145&lt;=DASHBOARD!$B$11, H145&gt;=DASHBOARD!$B$13), K145, -1000000000000)</f>
        <v/>
      </c>
      <c r="X145" s="101">
        <f>IF(AND(F145&lt;=DASHBOARD!$B$11, H145&gt;=DASHBOARD!$B$13), M145, 1000000000000)</f>
        <v/>
      </c>
      <c r="Y145" s="101">
        <f>IF(AND(F145&lt;=DASHBOARD!$B$10, H145&gt;=DASHBOARD!$B$11), L145, 1000000000000)</f>
        <v/>
      </c>
      <c r="Z145" s="101">
        <f>IF(AND(F145&lt;=DASHBOARD!$B$10, H145&gt;=DASHBOARD!$B$11), O145, 1000000000000)</f>
        <v/>
      </c>
      <c r="AA145" s="101">
        <f>IF(AND(F145&lt;=DASHBOARD!$B$10, H145&gt;=DASHBOARD!$B$11), P145, 1000000000000)</f>
        <v/>
      </c>
      <c r="AB145" s="101">
        <f>IF(AND(F145&lt;=DASHBOARD!$B$10, H145&gt;=DASHBOARD!$B$11), Q145, -1000000000000)</f>
        <v/>
      </c>
    </row>
    <row r="146" ht="12.75" customHeight="1" s="102">
      <c r="A146" s="166" t="n">
        <v>142</v>
      </c>
      <c r="B146" s="167" t="n">
        <v>0.3</v>
      </c>
      <c r="C146" s="167" t="n">
        <v>0.7</v>
      </c>
      <c r="D146" s="110" t="inlineStr">
        <is>
          <t>Var (%20)</t>
        </is>
      </c>
      <c r="E146" s="110">
        <f>IF((B146+C146)&lt;=1, "Tam Mahsuplaşma (≤%100)", "Kısmi Satış (&gt;%100)")</f>
        <v/>
      </c>
      <c r="F146" s="168">
        <f>((VERI_TABANI!$D$29*B146/VERI_TABANI!$B$29)/VERI_TABANI!$B$3)*VERI_TABANI!$B$5 + ((VERI_TABANI!$D$29*C146/VERI_TABANI!$B$29)/VERI_TABANI!$B$4)*VERI_TABANI!$B$6 + IF(ISNUMBER(SEARCH("Var", D146)), (VERI_TABANI!$F$29/VERI_TABANI!$B$29)*(VERI_TABANI!$B$10+VERI_TABANI!$B$12), 0)</f>
        <v/>
      </c>
      <c r="G146" s="168">
        <f>(((MIN(VERI_TABANI!D23, VERI_TABANI!D23*B146)*VERI_TABANI!$B$7 + MAX(0, VERI_TABANI!D23*B146-VERI_TABANI!D23)*VERI_TABANI!$B$8) + (MIN(MAX(0, VERI_TABANI!D23-VERI_TABANI!D23*B146), VERI_TABANI!D23*C146)*VERI_TABANI!$B$7 + MAX(0, VERI_TABANI!D23*C146-MAX(0, VERI_TABANI!D23-VERI_TABANI!D23*B146))*VERI_TABANI!$B$8) + IF(ABS(IF(ISNUMBER(SEARCH("Var", D146)), 1, IF(ISNUMBER(SEARCH("Gri", D146)), -1, 0)))=1, VERI_TABANI!E23*(1-0.928)*VERI_TABANI!$B$9, 0) + (VERI_TABANI!D23*B146*(VERI_TABANI!$B$13-VERI_TABANI!$B$14)*VERI_TABANI!G23) + (VERI_TABANI!D23*C146*(VERI_TABANI!$B$13-VERI_TABANI!$B$15)*VERI_TABANI!G23) + IF(ABS(IF(ISNUMBER(SEARCH("Var", D146)), 1, IF(ISNUMBER(SEARCH("Gri", D146)), -1, 0)))=1, VERI_TABANI!E23*(1-0.928)*0.00206091519919798*VERI_TABANI!G23, 0)) + ((MIN(VERI_TABANI!D24, VERI_TABANI!D24*B146)*VERI_TABANI!$B$7 + MAX(0, VERI_TABANI!D24*B146-VERI_TABANI!D24)*VERI_TABANI!$B$8) + (MIN(MAX(0, VERI_TABANI!D24-VERI_TABANI!D24*B146), VERI_TABANI!D24*C146)*VERI_TABANI!$B$7 + MAX(0, VERI_TABANI!D24*C146-MAX(0, VERI_TABANI!D24-VERI_TABANI!D24*B146))*VERI_TABANI!$B$8) + IF(ABS(IF(ISNUMBER(SEARCH("Var", D146)), 1, IF(ISNUMBER(SEARCH("Gri", D146)), -1, 0)))=1, VERI_TABANI!E24*(1-0.928)*VERI_TABANI!$B$9, 0) + (VERI_TABANI!D24*B146*(VERI_TABANI!$B$13-VERI_TABANI!$B$14)*VERI_TABANI!G24) + (VERI_TABANI!D24*C146*(VERI_TABANI!$B$13-VERI_TABANI!$B$15)*VERI_TABANI!G24) + IF(ABS(IF(ISNUMBER(SEARCH("Var", D146)), 1, IF(ISNUMBER(SEARCH("Gri", D146)), -1, 0)))=1, VERI_TABANI!E24*(1-0.928)*0.00206091519919798*VERI_TABANI!G24, 0)) + ((MIN(VERI_TABANI!D25, VERI_TABANI!D25*B146)*VERI_TABANI!$B$7 + MAX(0, VERI_TABANI!D25*B146-VERI_TABANI!D25)*VERI_TABANI!$B$8) + (MIN(MAX(0, VERI_TABANI!D25-VERI_TABANI!D25*B146), VERI_TABANI!D25*C146)*VERI_TABANI!$B$7 + MAX(0, VERI_TABANI!D25*C146-MAX(0, VERI_TABANI!D25-VERI_TABANI!D25*B146))*VERI_TABANI!$B$8) + IF(ABS(IF(ISNUMBER(SEARCH("Var", D146)), 1, IF(ISNUMBER(SEARCH("Gri", D146)), -1, 0)))=1, VERI_TABANI!E25*(1-0.928)*VERI_TABANI!$B$9, 0) + (VERI_TABANI!D25*B146*(VERI_TABANI!$B$13-VERI_TABANI!$B$14)*VERI_TABANI!G25) + (VERI_TABANI!D25*C146*(VERI_TABANI!$B$13-VERI_TABANI!$B$15)*VERI_TABANI!G25) + IF(ABS(IF(ISNUMBER(SEARCH("Var", D146)), 1, IF(ISNUMBER(SEARCH("Gri", D146)), -1, 0)))=1, VERI_TABANI!E25*(1-0.928)*0.00206091519919798*VERI_TABANI!G25, 0)) + ((MIN(VERI_TABANI!D26, VERI_TABANI!D26*B146)*VERI_TABANI!$B$7 + MAX(0, VERI_TABANI!D26*B146-VERI_TABANI!D26)*VERI_TABANI!$B$8) + (MIN(MAX(0, VERI_TABANI!D26-VERI_TABANI!D26*B146), VERI_TABANI!D26*C146)*VERI_TABANI!$B$7 + MAX(0, VERI_TABANI!D26*C146-MAX(0, VERI_TABANI!D26-VERI_TABANI!D26*B146))*VERI_TABANI!$B$8) + IF(ABS(IF(ISNUMBER(SEARCH("Var", D146)), 1, IF(ISNUMBER(SEARCH("Gri", D146)), -1, 0)))=1, VERI_TABANI!E26*(1-0.928)*VERI_TABANI!$B$9, 0) + (VERI_TABANI!D26*B146*(VERI_TABANI!$B$13-VERI_TABANI!$B$14)*VERI_TABANI!G26) + (VERI_TABANI!D26*C146*(VERI_TABANI!$B$13-VERI_TABANI!$B$15)*VERI_TABANI!G26) + IF(ABS(IF(ISNUMBER(SEARCH("Var", D146)), 1, IF(ISNUMBER(SEARCH("Gri", D146)), -1, 0)))=1, VERI_TABANI!E26*(1-0.928)*0.00206091519919798*VERI_TABANI!G26, 0)) + ((MIN(VERI_TABANI!D27, VERI_TABANI!D27*B146)*VERI_TABANI!$B$7 + MAX(0, VERI_TABANI!D27*B146-VERI_TABANI!D27)*VERI_TABANI!$B$8) + (MIN(MAX(0, VERI_TABANI!D27-VERI_TABANI!D27*B146), VERI_TABANI!D27*C146)*VERI_TABANI!$B$7 + MAX(0, VERI_TABANI!D27*C146-MAX(0, VERI_TABANI!D27-VERI_TABANI!D27*B146))*VERI_TABANI!$B$8) + IF(ABS(IF(ISNUMBER(SEARCH("Var", D146)), 1, IF(ISNUMBER(SEARCH("Gri", D146)), -1, 0)))=1, VERI_TABANI!E27*(1-0.928)*VERI_TABANI!$B$9, 0) + (VERI_TABANI!D27*B146*(VERI_TABANI!$B$13-VERI_TABANI!$B$14)*VERI_TABANI!G27) + (VERI_TABANI!D27*C146*(VERI_TABANI!$B$13-VERI_TABANI!$B$15)*VERI_TABANI!G27) + IF(ABS(IF(ISNUMBER(SEARCH("Var", D146)), 1, IF(ISNUMBER(SEARCH("Gri", D146)), -1, 0)))=1, VERI_TABANI!E27*(1-0.928)*0.00206091519919798*VERI_TABANI!G27, 0)) + ((MIN(VERI_TABANI!D28, VERI_TABANI!D28*B146)*VERI_TABANI!$B$7 + MAX(0, VERI_TABANI!D28*B146-VERI_TABANI!D28)*VERI_TABANI!$B$8) + (MIN(MAX(0, VERI_TABANI!D28-VERI_TABANI!D28*B146), VERI_TABANI!D28*C146)*VERI_TABANI!$B$7 + MAX(0, VERI_TABANI!D28*C146-MAX(0, VERI_TABANI!D28-VERI_TABANI!D28*B146))*VERI_TABANI!$B$8) + IF(ABS(IF(ISNUMBER(SEARCH("Var", D146)), 1, IF(ISNUMBER(SEARCH("Gri", D146)), -1, 0)))=1, VERI_TABANI!E28*(1-0.928)*VERI_TABANI!$B$9, 0) + (VERI_TABANI!D28*B146*(VERI_TABANI!$B$13-VERI_TABANI!$B$14)*VERI_TABANI!G28) + (VERI_TABANI!D28*C146*(VERI_TABANI!$B$13-VERI_TABANI!$B$15)*VERI_TABANI!G28) + IF(ABS(IF(ISNUMBER(SEARCH("Var", D146)), 1, IF(ISNUMBER(SEARCH("Gri", D146)), -1, 0)))=1, VERI_TABANI!E28*(1-0.928)*0.00206091519919798*VERI_TABANI!G28, 0)))</f>
        <v/>
      </c>
      <c r="H146" s="169">
        <f>(((VERI_TABANI!D23*B146*(VERI_TABANI!$B$13-VERI_TABANI!$B$14)) + (VERI_TABANI!D23*C146*(VERI_TABANI!$B$13-VERI_TABANI!$B$15)) + IF(ISNUMBER(SEARCH("Var", D146)), VERI_TABANI!F23*(0.00202-VERI_TABANI!$B$16), IF(ISNUMBER(SEARCH("Gri", D146)), VERI_TABANI!F23*(0.00202-VERI_TABANI!$B$17), 0))) + ((VERI_TABANI!D24*B146*(VERI_TABANI!$B$13-VERI_TABANI!$B$14)) + (VERI_TABANI!D24*C146*(VERI_TABANI!$B$13-VERI_TABANI!$B$15)) + IF(ISNUMBER(SEARCH("Var", D146)), VERI_TABANI!F24*(0.00202-VERI_TABANI!$B$16), IF(ISNUMBER(SEARCH("Gri", D146)), VERI_TABANI!F24*(0.00202-VERI_TABANI!$B$17), 0))) + ((VERI_TABANI!D25*B146*(VERI_TABANI!$B$13-VERI_TABANI!$B$14)) + (VERI_TABANI!D25*C146*(VERI_TABANI!$B$13-VERI_TABANI!$B$15)) + IF(ISNUMBER(SEARCH("Var", D146)), VERI_TABANI!F25*(0.00202-VERI_TABANI!$B$16), IF(ISNUMBER(SEARCH("Gri", D146)), VERI_TABANI!F25*(0.00202-VERI_TABANI!$B$17), 0))) + ((VERI_TABANI!D26*B146*(VERI_TABANI!$B$13-VERI_TABANI!$B$14)) + (VERI_TABANI!D26*C146*(VERI_TABANI!$B$13-VERI_TABANI!$B$15)) + IF(ISNUMBER(SEARCH("Var", D146)), VERI_TABANI!F26*(0.00202-VERI_TABANI!$B$16), IF(ISNUMBER(SEARCH("Gri", D146)), VERI_TABANI!F26*(0.00202-VERI_TABANI!$B$17), 0))) + ((VERI_TABANI!D27*B146*(VERI_TABANI!$B$13-VERI_TABANI!$B$14)) + (VERI_TABANI!D27*C146*(VERI_TABANI!$B$13-VERI_TABANI!$B$15)) + IF(ISNUMBER(SEARCH("Var", D146)), VERI_TABANI!F27*(0.00202-VERI_TABANI!$B$16), IF(ISNUMBER(SEARCH("Gri", D146)), VERI_TABANI!F27*(0.00202-VERI_TABANI!$B$17), 0))) + ((VERI_TABANI!D28*B146*(VERI_TABANI!$B$13-VERI_TABANI!$B$14)) + (VERI_TABANI!D28*C146*(VERI_TABANI!$B$13-VERI_TABANI!$B$15)) + IF(ISNUMBER(SEARCH("Var", D146)), VERI_TABANI!F28*(0.00202-VERI_TABANI!$B$16), IF(ISNUMBER(SEARCH("Gri", D146)), VERI_TABANI!F28*(0.00202-VERI_TABANI!$B$17), 0))))</f>
        <v/>
      </c>
      <c r="I146" s="170">
        <f>IFERROR(((VERI_TABANI!$D$29*B146*VERI_TABANI!$B$14 + VERI_TABANI!$D$29*C146*VERI_TABANI!$B$15 + IF(ISNUMBER(SEARCH("Var", D146)), VERI_TABANI!$F$29*VERI_TABANI!$B$16, 0))) / (((VERI_TABANI!$D$29*B146 + VERI_TABANI!$D$29*C146)*VERI_TABANI!$B$13 + IF(ISNUMBER(SEARCH("Var", D146)), VERI_TABANI!$E$29*(1-0.928)*VERI_TABANI!$B$18, 0))), 0)</f>
        <v/>
      </c>
      <c r="J146" s="171">
        <f>IFERROR(F146/(G146/29), 0)</f>
        <v/>
      </c>
      <c r="K146" s="172">
        <f>IF(F146&gt;0, H146/F146, 0)</f>
        <v/>
      </c>
      <c r="L146" s="170">
        <f>IF(F146&gt;0, I146, 1000000000)</f>
        <v/>
      </c>
      <c r="M146" s="171">
        <f>ABS((B146+C146)-1)</f>
        <v/>
      </c>
      <c r="N146" s="170">
        <f>IF(F146&gt;0, (G146/29)/F146, 0)</f>
        <v/>
      </c>
      <c r="O146" s="168">
        <f>IF(AND((B146+C146)&gt;=1, ISNUMBER(SEARCH("Var", D146))), F146, 1000000000)</f>
        <v/>
      </c>
      <c r="P146" s="172">
        <f>IF(F146&gt;0, SQRT((F146/MAX(F$5:F$886))^2 + (1 - H146/MAX(H$5:H$886))^2 + (J146/MAX(J$5:J$886))^2), 1000000000)</f>
        <v/>
      </c>
      <c r="Q146" s="166">
        <f>IF(AND(ABS(B146-0.5)&lt;0.01, ABS(C146-0.5)&lt;0.01, ISNUMBER(SEARCH("Var", D146))), 1, 0)</f>
        <v/>
      </c>
      <c r="R146" s="171">
        <f>IF(F146&gt;0, J146, 1000000000)</f>
        <v/>
      </c>
      <c r="S146" s="101">
        <f>IF(AND(F146&lt;=DASHBOARD!$B$11, H146&gt;=DASHBOARD!$B$13), G146, -1000000000000)</f>
        <v/>
      </c>
      <c r="T146" s="101">
        <f>IF(AND(F146&lt;=DASHBOARD!$B$11, H146&gt;=DASHBOARD!$B$13), R146, 1000000000000)</f>
        <v/>
      </c>
      <c r="U146" s="101">
        <f>IF(AND(F146&lt;=DASHBOARD!$B$11, H146&gt;=DASHBOARD!$B$13), N146, -1000000000000)</f>
        <v/>
      </c>
      <c r="V146" s="101">
        <f>IF(AND(F146&lt;=DASHBOARD!$B$11, H146&gt;=DASHBOARD!$B$13), H146, -1000000000000)</f>
        <v/>
      </c>
      <c r="W146" s="101">
        <f>IF(AND(F146&lt;=DASHBOARD!$B$11, H146&gt;=DASHBOARD!$B$13), K146, -1000000000000)</f>
        <v/>
      </c>
      <c r="X146" s="101">
        <f>IF(AND(F146&lt;=DASHBOARD!$B$11, H146&gt;=DASHBOARD!$B$13), M146, 1000000000000)</f>
        <v/>
      </c>
      <c r="Y146" s="101">
        <f>IF(AND(F146&lt;=DASHBOARD!$B$10, H146&gt;=DASHBOARD!$B$11), L146, 1000000000000)</f>
        <v/>
      </c>
      <c r="Z146" s="101">
        <f>IF(AND(F146&lt;=DASHBOARD!$B$10, H146&gt;=DASHBOARD!$B$11), O146, 1000000000000)</f>
        <v/>
      </c>
      <c r="AA146" s="101">
        <f>IF(AND(F146&lt;=DASHBOARD!$B$10, H146&gt;=DASHBOARD!$B$11), P146, 1000000000000)</f>
        <v/>
      </c>
      <c r="AB146" s="101">
        <f>IF(AND(F146&lt;=DASHBOARD!$B$10, H146&gt;=DASHBOARD!$B$11), Q146, -1000000000000)</f>
        <v/>
      </c>
    </row>
    <row r="147" ht="12.75" customHeight="1" s="102">
      <c r="A147" s="166" t="n">
        <v>143</v>
      </c>
      <c r="B147" s="167" t="n">
        <v>0.3</v>
      </c>
      <c r="C147" s="167" t="n">
        <v>0.8</v>
      </c>
      <c r="D147" s="110" t="inlineStr">
        <is>
          <t>Yok (%0)</t>
        </is>
      </c>
      <c r="E147" s="110">
        <f>IF((B147+C147)&lt;=1, "Tam Mahsuplaşma (≤%100)", "Kısmi Satış (&gt;%100)")</f>
        <v/>
      </c>
      <c r="F147" s="168">
        <f>((VERI_TABANI!$D$29*B147/VERI_TABANI!$B$29)/VERI_TABANI!$B$3)*VERI_TABANI!$B$5 + ((VERI_TABANI!$D$29*C147/VERI_TABANI!$B$29)/VERI_TABANI!$B$4)*VERI_TABANI!$B$6 + IF(ISNUMBER(SEARCH("Var", D147)), (VERI_TABANI!$F$29/VERI_TABANI!$B$29)*(VERI_TABANI!$B$10+VERI_TABANI!$B$12), 0)</f>
        <v/>
      </c>
      <c r="G147" s="168">
        <f>(((MIN(VERI_TABANI!D23, VERI_TABANI!D23*B147)*VERI_TABANI!$B$7 + MAX(0, VERI_TABANI!D23*B147-VERI_TABANI!D23)*VERI_TABANI!$B$8) + (MIN(MAX(0, VERI_TABANI!D23-VERI_TABANI!D23*B147), VERI_TABANI!D23*C147)*VERI_TABANI!$B$7 + MAX(0, VERI_TABANI!D23*C147-MAX(0, VERI_TABANI!D23-VERI_TABANI!D23*B147))*VERI_TABANI!$B$8) + IF(ABS(IF(ISNUMBER(SEARCH("Var", D147)), 1, IF(ISNUMBER(SEARCH("Gri", D147)), -1, 0)))=1, VERI_TABANI!E23*(1-0.928)*VERI_TABANI!$B$9, 0) + (VERI_TABANI!D23*B147*(VERI_TABANI!$B$13-VERI_TABANI!$B$14)*VERI_TABANI!G23) + (VERI_TABANI!D23*C147*(VERI_TABANI!$B$13-VERI_TABANI!$B$15)*VERI_TABANI!G23) + IF(ABS(IF(ISNUMBER(SEARCH("Var", D147)), 1, IF(ISNUMBER(SEARCH("Gri", D147)), -1, 0)))=1, VERI_TABANI!E23*(1-0.928)*0.00206091519919798*VERI_TABANI!G23, 0)) + ((MIN(VERI_TABANI!D24, VERI_TABANI!D24*B147)*VERI_TABANI!$B$7 + MAX(0, VERI_TABANI!D24*B147-VERI_TABANI!D24)*VERI_TABANI!$B$8) + (MIN(MAX(0, VERI_TABANI!D24-VERI_TABANI!D24*B147), VERI_TABANI!D24*C147)*VERI_TABANI!$B$7 + MAX(0, VERI_TABANI!D24*C147-MAX(0, VERI_TABANI!D24-VERI_TABANI!D24*B147))*VERI_TABANI!$B$8) + IF(ABS(IF(ISNUMBER(SEARCH("Var", D147)), 1, IF(ISNUMBER(SEARCH("Gri", D147)), -1, 0)))=1, VERI_TABANI!E24*(1-0.928)*VERI_TABANI!$B$9, 0) + (VERI_TABANI!D24*B147*(VERI_TABANI!$B$13-VERI_TABANI!$B$14)*VERI_TABANI!G24) + (VERI_TABANI!D24*C147*(VERI_TABANI!$B$13-VERI_TABANI!$B$15)*VERI_TABANI!G24) + IF(ABS(IF(ISNUMBER(SEARCH("Var", D147)), 1, IF(ISNUMBER(SEARCH("Gri", D147)), -1, 0)))=1, VERI_TABANI!E24*(1-0.928)*0.00206091519919798*VERI_TABANI!G24, 0)) + ((MIN(VERI_TABANI!D25, VERI_TABANI!D25*B147)*VERI_TABANI!$B$7 + MAX(0, VERI_TABANI!D25*B147-VERI_TABANI!D25)*VERI_TABANI!$B$8) + (MIN(MAX(0, VERI_TABANI!D25-VERI_TABANI!D25*B147), VERI_TABANI!D25*C147)*VERI_TABANI!$B$7 + MAX(0, VERI_TABANI!D25*C147-MAX(0, VERI_TABANI!D25-VERI_TABANI!D25*B147))*VERI_TABANI!$B$8) + IF(ABS(IF(ISNUMBER(SEARCH("Var", D147)), 1, IF(ISNUMBER(SEARCH("Gri", D147)), -1, 0)))=1, VERI_TABANI!E25*(1-0.928)*VERI_TABANI!$B$9, 0) + (VERI_TABANI!D25*B147*(VERI_TABANI!$B$13-VERI_TABANI!$B$14)*VERI_TABANI!G25) + (VERI_TABANI!D25*C147*(VERI_TABANI!$B$13-VERI_TABANI!$B$15)*VERI_TABANI!G25) + IF(ABS(IF(ISNUMBER(SEARCH("Var", D147)), 1, IF(ISNUMBER(SEARCH("Gri", D147)), -1, 0)))=1, VERI_TABANI!E25*(1-0.928)*0.00206091519919798*VERI_TABANI!G25, 0)) + ((MIN(VERI_TABANI!D26, VERI_TABANI!D26*B147)*VERI_TABANI!$B$7 + MAX(0, VERI_TABANI!D26*B147-VERI_TABANI!D26)*VERI_TABANI!$B$8) + (MIN(MAX(0, VERI_TABANI!D26-VERI_TABANI!D26*B147), VERI_TABANI!D26*C147)*VERI_TABANI!$B$7 + MAX(0, VERI_TABANI!D26*C147-MAX(0, VERI_TABANI!D26-VERI_TABANI!D26*B147))*VERI_TABANI!$B$8) + IF(ABS(IF(ISNUMBER(SEARCH("Var", D147)), 1, IF(ISNUMBER(SEARCH("Gri", D147)), -1, 0)))=1, VERI_TABANI!E26*(1-0.928)*VERI_TABANI!$B$9, 0) + (VERI_TABANI!D26*B147*(VERI_TABANI!$B$13-VERI_TABANI!$B$14)*VERI_TABANI!G26) + (VERI_TABANI!D26*C147*(VERI_TABANI!$B$13-VERI_TABANI!$B$15)*VERI_TABANI!G26) + IF(ABS(IF(ISNUMBER(SEARCH("Var", D147)), 1, IF(ISNUMBER(SEARCH("Gri", D147)), -1, 0)))=1, VERI_TABANI!E26*(1-0.928)*0.00206091519919798*VERI_TABANI!G26, 0)) + ((MIN(VERI_TABANI!D27, VERI_TABANI!D27*B147)*VERI_TABANI!$B$7 + MAX(0, VERI_TABANI!D27*B147-VERI_TABANI!D27)*VERI_TABANI!$B$8) + (MIN(MAX(0, VERI_TABANI!D27-VERI_TABANI!D27*B147), VERI_TABANI!D27*C147)*VERI_TABANI!$B$7 + MAX(0, VERI_TABANI!D27*C147-MAX(0, VERI_TABANI!D27-VERI_TABANI!D27*B147))*VERI_TABANI!$B$8) + IF(ABS(IF(ISNUMBER(SEARCH("Var", D147)), 1, IF(ISNUMBER(SEARCH("Gri", D147)), -1, 0)))=1, VERI_TABANI!E27*(1-0.928)*VERI_TABANI!$B$9, 0) + (VERI_TABANI!D27*B147*(VERI_TABANI!$B$13-VERI_TABANI!$B$14)*VERI_TABANI!G27) + (VERI_TABANI!D27*C147*(VERI_TABANI!$B$13-VERI_TABANI!$B$15)*VERI_TABANI!G27) + IF(ABS(IF(ISNUMBER(SEARCH("Var", D147)), 1, IF(ISNUMBER(SEARCH("Gri", D147)), -1, 0)))=1, VERI_TABANI!E27*(1-0.928)*0.00206091519919798*VERI_TABANI!G27, 0)) + ((MIN(VERI_TABANI!D28, VERI_TABANI!D28*B147)*VERI_TABANI!$B$7 + MAX(0, VERI_TABANI!D28*B147-VERI_TABANI!D28)*VERI_TABANI!$B$8) + (MIN(MAX(0, VERI_TABANI!D28-VERI_TABANI!D28*B147), VERI_TABANI!D28*C147)*VERI_TABANI!$B$7 + MAX(0, VERI_TABANI!D28*C147-MAX(0, VERI_TABANI!D28-VERI_TABANI!D28*B147))*VERI_TABANI!$B$8) + IF(ABS(IF(ISNUMBER(SEARCH("Var", D147)), 1, IF(ISNUMBER(SEARCH("Gri", D147)), -1, 0)))=1, VERI_TABANI!E28*(1-0.928)*VERI_TABANI!$B$9, 0) + (VERI_TABANI!D28*B147*(VERI_TABANI!$B$13-VERI_TABANI!$B$14)*VERI_TABANI!G28) + (VERI_TABANI!D28*C147*(VERI_TABANI!$B$13-VERI_TABANI!$B$15)*VERI_TABANI!G28) + IF(ABS(IF(ISNUMBER(SEARCH("Var", D147)), 1, IF(ISNUMBER(SEARCH("Gri", D147)), -1, 0)))=1, VERI_TABANI!E28*(1-0.928)*0.00206091519919798*VERI_TABANI!G28, 0)))</f>
        <v/>
      </c>
      <c r="H147" s="169">
        <f>(((VERI_TABANI!D23*B147*(VERI_TABANI!$B$13-VERI_TABANI!$B$14)) + (VERI_TABANI!D23*C147*(VERI_TABANI!$B$13-VERI_TABANI!$B$15)) + IF(ISNUMBER(SEARCH("Var", D147)), VERI_TABANI!F23*(0.00202-VERI_TABANI!$B$16), IF(ISNUMBER(SEARCH("Gri", D147)), VERI_TABANI!F23*(0.00202-VERI_TABANI!$B$17), 0))) + ((VERI_TABANI!D24*B147*(VERI_TABANI!$B$13-VERI_TABANI!$B$14)) + (VERI_TABANI!D24*C147*(VERI_TABANI!$B$13-VERI_TABANI!$B$15)) + IF(ISNUMBER(SEARCH("Var", D147)), VERI_TABANI!F24*(0.00202-VERI_TABANI!$B$16), IF(ISNUMBER(SEARCH("Gri", D147)), VERI_TABANI!F24*(0.00202-VERI_TABANI!$B$17), 0))) + ((VERI_TABANI!D25*B147*(VERI_TABANI!$B$13-VERI_TABANI!$B$14)) + (VERI_TABANI!D25*C147*(VERI_TABANI!$B$13-VERI_TABANI!$B$15)) + IF(ISNUMBER(SEARCH("Var", D147)), VERI_TABANI!F25*(0.00202-VERI_TABANI!$B$16), IF(ISNUMBER(SEARCH("Gri", D147)), VERI_TABANI!F25*(0.00202-VERI_TABANI!$B$17), 0))) + ((VERI_TABANI!D26*B147*(VERI_TABANI!$B$13-VERI_TABANI!$B$14)) + (VERI_TABANI!D26*C147*(VERI_TABANI!$B$13-VERI_TABANI!$B$15)) + IF(ISNUMBER(SEARCH("Var", D147)), VERI_TABANI!F26*(0.00202-VERI_TABANI!$B$16), IF(ISNUMBER(SEARCH("Gri", D147)), VERI_TABANI!F26*(0.00202-VERI_TABANI!$B$17), 0))) + ((VERI_TABANI!D27*B147*(VERI_TABANI!$B$13-VERI_TABANI!$B$14)) + (VERI_TABANI!D27*C147*(VERI_TABANI!$B$13-VERI_TABANI!$B$15)) + IF(ISNUMBER(SEARCH("Var", D147)), VERI_TABANI!F27*(0.00202-VERI_TABANI!$B$16), IF(ISNUMBER(SEARCH("Gri", D147)), VERI_TABANI!F27*(0.00202-VERI_TABANI!$B$17), 0))) + ((VERI_TABANI!D28*B147*(VERI_TABANI!$B$13-VERI_TABANI!$B$14)) + (VERI_TABANI!D28*C147*(VERI_TABANI!$B$13-VERI_TABANI!$B$15)) + IF(ISNUMBER(SEARCH("Var", D147)), VERI_TABANI!F28*(0.00202-VERI_TABANI!$B$16), IF(ISNUMBER(SEARCH("Gri", D147)), VERI_TABANI!F28*(0.00202-VERI_TABANI!$B$17), 0))))</f>
        <v/>
      </c>
      <c r="I147" s="170">
        <f>IFERROR(((VERI_TABANI!$D$29*B147*VERI_TABANI!$B$14 + VERI_TABANI!$D$29*C147*VERI_TABANI!$B$15 + IF(ISNUMBER(SEARCH("Var", D147)), VERI_TABANI!$F$29*VERI_TABANI!$B$16, 0))) / (((VERI_TABANI!$D$29*B147 + VERI_TABANI!$D$29*C147)*VERI_TABANI!$B$13 + IF(ISNUMBER(SEARCH("Var", D147)), VERI_TABANI!$E$29*(1-0.928)*VERI_TABANI!$B$18, 0))), 0)</f>
        <v/>
      </c>
      <c r="J147" s="171">
        <f>IFERROR(F147/(G147/29), 0)</f>
        <v/>
      </c>
      <c r="K147" s="172">
        <f>IF(F147&gt;0, H147/F147, 0)</f>
        <v/>
      </c>
      <c r="L147" s="170">
        <f>IF(F147&gt;0, I147, 1000000000)</f>
        <v/>
      </c>
      <c r="M147" s="171">
        <f>ABS((B147+C147)-1)</f>
        <v/>
      </c>
      <c r="N147" s="170">
        <f>IF(F147&gt;0, (G147/29)/F147, 0)</f>
        <v/>
      </c>
      <c r="O147" s="168">
        <f>IF(AND((B147+C147)&gt;=1, ISNUMBER(SEARCH("Var", D147))), F147, 1000000000)</f>
        <v/>
      </c>
      <c r="P147" s="172">
        <f>IF(F147&gt;0, SQRT((F147/MAX(F$5:F$886))^2 + (1 - H147/MAX(H$5:H$886))^2 + (J147/MAX(J$5:J$886))^2), 1000000000)</f>
        <v/>
      </c>
      <c r="Q147" s="166">
        <f>IF(AND(ABS(B147-0.5)&lt;0.01, ABS(C147-0.5)&lt;0.01, ISNUMBER(SEARCH("Var", D147))), 1, 0)</f>
        <v/>
      </c>
      <c r="R147" s="171">
        <f>IF(F147&gt;0, J147, 1000000000)</f>
        <v/>
      </c>
      <c r="S147" s="101">
        <f>IF(AND(F147&lt;=DASHBOARD!$B$11, H147&gt;=DASHBOARD!$B$13), G147, -1000000000000)</f>
        <v/>
      </c>
      <c r="T147" s="101">
        <f>IF(AND(F147&lt;=DASHBOARD!$B$11, H147&gt;=DASHBOARD!$B$13), R147, 1000000000000)</f>
        <v/>
      </c>
      <c r="U147" s="101">
        <f>IF(AND(F147&lt;=DASHBOARD!$B$11, H147&gt;=DASHBOARD!$B$13), N147, -1000000000000)</f>
        <v/>
      </c>
      <c r="V147" s="101">
        <f>IF(AND(F147&lt;=DASHBOARD!$B$11, H147&gt;=DASHBOARD!$B$13), H147, -1000000000000)</f>
        <v/>
      </c>
      <c r="W147" s="101">
        <f>IF(AND(F147&lt;=DASHBOARD!$B$11, H147&gt;=DASHBOARD!$B$13), K147, -1000000000000)</f>
        <v/>
      </c>
      <c r="X147" s="101">
        <f>IF(AND(F147&lt;=DASHBOARD!$B$11, H147&gt;=DASHBOARD!$B$13), M147, 1000000000000)</f>
        <v/>
      </c>
      <c r="Y147" s="101">
        <f>IF(AND(F147&lt;=DASHBOARD!$B$10, H147&gt;=DASHBOARD!$B$11), L147, 1000000000000)</f>
        <v/>
      </c>
      <c r="Z147" s="101">
        <f>IF(AND(F147&lt;=DASHBOARD!$B$10, H147&gt;=DASHBOARD!$B$11), O147, 1000000000000)</f>
        <v/>
      </c>
      <c r="AA147" s="101">
        <f>IF(AND(F147&lt;=DASHBOARD!$B$10, H147&gt;=DASHBOARD!$B$11), P147, 1000000000000)</f>
        <v/>
      </c>
      <c r="AB147" s="101">
        <f>IF(AND(F147&lt;=DASHBOARD!$B$10, H147&gt;=DASHBOARD!$B$11), Q147, -1000000000000)</f>
        <v/>
      </c>
    </row>
    <row r="148" ht="12.75" customHeight="1" s="102">
      <c r="A148" s="166" t="n">
        <v>144</v>
      </c>
      <c r="B148" s="167" t="n">
        <v>0.3</v>
      </c>
      <c r="C148" s="167" t="n">
        <v>0.8</v>
      </c>
      <c r="D148" s="110" t="inlineStr">
        <is>
          <t>Var (%20)</t>
        </is>
      </c>
      <c r="E148" s="110">
        <f>IF((B148+C148)&lt;=1, "Tam Mahsuplaşma (≤%100)", "Kısmi Satış (&gt;%100)")</f>
        <v/>
      </c>
      <c r="F148" s="168">
        <f>((VERI_TABANI!$D$29*B148/VERI_TABANI!$B$29)/VERI_TABANI!$B$3)*VERI_TABANI!$B$5 + ((VERI_TABANI!$D$29*C148/VERI_TABANI!$B$29)/VERI_TABANI!$B$4)*VERI_TABANI!$B$6 + IF(ISNUMBER(SEARCH("Var", D148)), (VERI_TABANI!$F$29/VERI_TABANI!$B$29)*(VERI_TABANI!$B$10+VERI_TABANI!$B$12), 0)</f>
        <v/>
      </c>
      <c r="G148" s="168">
        <f>(((MIN(VERI_TABANI!D23, VERI_TABANI!D23*B148)*VERI_TABANI!$B$7 + MAX(0, VERI_TABANI!D23*B148-VERI_TABANI!D23)*VERI_TABANI!$B$8) + (MIN(MAX(0, VERI_TABANI!D23-VERI_TABANI!D23*B148), VERI_TABANI!D23*C148)*VERI_TABANI!$B$7 + MAX(0, VERI_TABANI!D23*C148-MAX(0, VERI_TABANI!D23-VERI_TABANI!D23*B148))*VERI_TABANI!$B$8) + IF(ABS(IF(ISNUMBER(SEARCH("Var", D148)), 1, IF(ISNUMBER(SEARCH("Gri", D148)), -1, 0)))=1, VERI_TABANI!E23*(1-0.928)*VERI_TABANI!$B$9, 0) + (VERI_TABANI!D23*B148*(VERI_TABANI!$B$13-VERI_TABANI!$B$14)*VERI_TABANI!G23) + (VERI_TABANI!D23*C148*(VERI_TABANI!$B$13-VERI_TABANI!$B$15)*VERI_TABANI!G23) + IF(ABS(IF(ISNUMBER(SEARCH("Var", D148)), 1, IF(ISNUMBER(SEARCH("Gri", D148)), -1, 0)))=1, VERI_TABANI!E23*(1-0.928)*0.00206091519919798*VERI_TABANI!G23, 0)) + ((MIN(VERI_TABANI!D24, VERI_TABANI!D24*B148)*VERI_TABANI!$B$7 + MAX(0, VERI_TABANI!D24*B148-VERI_TABANI!D24)*VERI_TABANI!$B$8) + (MIN(MAX(0, VERI_TABANI!D24-VERI_TABANI!D24*B148), VERI_TABANI!D24*C148)*VERI_TABANI!$B$7 + MAX(0, VERI_TABANI!D24*C148-MAX(0, VERI_TABANI!D24-VERI_TABANI!D24*B148))*VERI_TABANI!$B$8) + IF(ABS(IF(ISNUMBER(SEARCH("Var", D148)), 1, IF(ISNUMBER(SEARCH("Gri", D148)), -1, 0)))=1, VERI_TABANI!E24*(1-0.928)*VERI_TABANI!$B$9, 0) + (VERI_TABANI!D24*B148*(VERI_TABANI!$B$13-VERI_TABANI!$B$14)*VERI_TABANI!G24) + (VERI_TABANI!D24*C148*(VERI_TABANI!$B$13-VERI_TABANI!$B$15)*VERI_TABANI!G24) + IF(ABS(IF(ISNUMBER(SEARCH("Var", D148)), 1, IF(ISNUMBER(SEARCH("Gri", D148)), -1, 0)))=1, VERI_TABANI!E24*(1-0.928)*0.00206091519919798*VERI_TABANI!G24, 0)) + ((MIN(VERI_TABANI!D25, VERI_TABANI!D25*B148)*VERI_TABANI!$B$7 + MAX(0, VERI_TABANI!D25*B148-VERI_TABANI!D25)*VERI_TABANI!$B$8) + (MIN(MAX(0, VERI_TABANI!D25-VERI_TABANI!D25*B148), VERI_TABANI!D25*C148)*VERI_TABANI!$B$7 + MAX(0, VERI_TABANI!D25*C148-MAX(0, VERI_TABANI!D25-VERI_TABANI!D25*B148))*VERI_TABANI!$B$8) + IF(ABS(IF(ISNUMBER(SEARCH("Var", D148)), 1, IF(ISNUMBER(SEARCH("Gri", D148)), -1, 0)))=1, VERI_TABANI!E25*(1-0.928)*VERI_TABANI!$B$9, 0) + (VERI_TABANI!D25*B148*(VERI_TABANI!$B$13-VERI_TABANI!$B$14)*VERI_TABANI!G25) + (VERI_TABANI!D25*C148*(VERI_TABANI!$B$13-VERI_TABANI!$B$15)*VERI_TABANI!G25) + IF(ABS(IF(ISNUMBER(SEARCH("Var", D148)), 1, IF(ISNUMBER(SEARCH("Gri", D148)), -1, 0)))=1, VERI_TABANI!E25*(1-0.928)*0.00206091519919798*VERI_TABANI!G25, 0)) + ((MIN(VERI_TABANI!D26, VERI_TABANI!D26*B148)*VERI_TABANI!$B$7 + MAX(0, VERI_TABANI!D26*B148-VERI_TABANI!D26)*VERI_TABANI!$B$8) + (MIN(MAX(0, VERI_TABANI!D26-VERI_TABANI!D26*B148), VERI_TABANI!D26*C148)*VERI_TABANI!$B$7 + MAX(0, VERI_TABANI!D26*C148-MAX(0, VERI_TABANI!D26-VERI_TABANI!D26*B148))*VERI_TABANI!$B$8) + IF(ABS(IF(ISNUMBER(SEARCH("Var", D148)), 1, IF(ISNUMBER(SEARCH("Gri", D148)), -1, 0)))=1, VERI_TABANI!E26*(1-0.928)*VERI_TABANI!$B$9, 0) + (VERI_TABANI!D26*B148*(VERI_TABANI!$B$13-VERI_TABANI!$B$14)*VERI_TABANI!G26) + (VERI_TABANI!D26*C148*(VERI_TABANI!$B$13-VERI_TABANI!$B$15)*VERI_TABANI!G26) + IF(ABS(IF(ISNUMBER(SEARCH("Var", D148)), 1, IF(ISNUMBER(SEARCH("Gri", D148)), -1, 0)))=1, VERI_TABANI!E26*(1-0.928)*0.00206091519919798*VERI_TABANI!G26, 0)) + ((MIN(VERI_TABANI!D27, VERI_TABANI!D27*B148)*VERI_TABANI!$B$7 + MAX(0, VERI_TABANI!D27*B148-VERI_TABANI!D27)*VERI_TABANI!$B$8) + (MIN(MAX(0, VERI_TABANI!D27-VERI_TABANI!D27*B148), VERI_TABANI!D27*C148)*VERI_TABANI!$B$7 + MAX(0, VERI_TABANI!D27*C148-MAX(0, VERI_TABANI!D27-VERI_TABANI!D27*B148))*VERI_TABANI!$B$8) + IF(ABS(IF(ISNUMBER(SEARCH("Var", D148)), 1, IF(ISNUMBER(SEARCH("Gri", D148)), -1, 0)))=1, VERI_TABANI!E27*(1-0.928)*VERI_TABANI!$B$9, 0) + (VERI_TABANI!D27*B148*(VERI_TABANI!$B$13-VERI_TABANI!$B$14)*VERI_TABANI!G27) + (VERI_TABANI!D27*C148*(VERI_TABANI!$B$13-VERI_TABANI!$B$15)*VERI_TABANI!G27) + IF(ABS(IF(ISNUMBER(SEARCH("Var", D148)), 1, IF(ISNUMBER(SEARCH("Gri", D148)), -1, 0)))=1, VERI_TABANI!E27*(1-0.928)*0.00206091519919798*VERI_TABANI!G27, 0)) + ((MIN(VERI_TABANI!D28, VERI_TABANI!D28*B148)*VERI_TABANI!$B$7 + MAX(0, VERI_TABANI!D28*B148-VERI_TABANI!D28)*VERI_TABANI!$B$8) + (MIN(MAX(0, VERI_TABANI!D28-VERI_TABANI!D28*B148), VERI_TABANI!D28*C148)*VERI_TABANI!$B$7 + MAX(0, VERI_TABANI!D28*C148-MAX(0, VERI_TABANI!D28-VERI_TABANI!D28*B148))*VERI_TABANI!$B$8) + IF(ABS(IF(ISNUMBER(SEARCH("Var", D148)), 1, IF(ISNUMBER(SEARCH("Gri", D148)), -1, 0)))=1, VERI_TABANI!E28*(1-0.928)*VERI_TABANI!$B$9, 0) + (VERI_TABANI!D28*B148*(VERI_TABANI!$B$13-VERI_TABANI!$B$14)*VERI_TABANI!G28) + (VERI_TABANI!D28*C148*(VERI_TABANI!$B$13-VERI_TABANI!$B$15)*VERI_TABANI!G28) + IF(ABS(IF(ISNUMBER(SEARCH("Var", D148)), 1, IF(ISNUMBER(SEARCH("Gri", D148)), -1, 0)))=1, VERI_TABANI!E28*(1-0.928)*0.00206091519919798*VERI_TABANI!G28, 0)))</f>
        <v/>
      </c>
      <c r="H148" s="169">
        <f>(((VERI_TABANI!D23*B148*(VERI_TABANI!$B$13-VERI_TABANI!$B$14)) + (VERI_TABANI!D23*C148*(VERI_TABANI!$B$13-VERI_TABANI!$B$15)) + IF(ISNUMBER(SEARCH("Var", D148)), VERI_TABANI!F23*(0.00202-VERI_TABANI!$B$16), IF(ISNUMBER(SEARCH("Gri", D148)), VERI_TABANI!F23*(0.00202-VERI_TABANI!$B$17), 0))) + ((VERI_TABANI!D24*B148*(VERI_TABANI!$B$13-VERI_TABANI!$B$14)) + (VERI_TABANI!D24*C148*(VERI_TABANI!$B$13-VERI_TABANI!$B$15)) + IF(ISNUMBER(SEARCH("Var", D148)), VERI_TABANI!F24*(0.00202-VERI_TABANI!$B$16), IF(ISNUMBER(SEARCH("Gri", D148)), VERI_TABANI!F24*(0.00202-VERI_TABANI!$B$17), 0))) + ((VERI_TABANI!D25*B148*(VERI_TABANI!$B$13-VERI_TABANI!$B$14)) + (VERI_TABANI!D25*C148*(VERI_TABANI!$B$13-VERI_TABANI!$B$15)) + IF(ISNUMBER(SEARCH("Var", D148)), VERI_TABANI!F25*(0.00202-VERI_TABANI!$B$16), IF(ISNUMBER(SEARCH("Gri", D148)), VERI_TABANI!F25*(0.00202-VERI_TABANI!$B$17), 0))) + ((VERI_TABANI!D26*B148*(VERI_TABANI!$B$13-VERI_TABANI!$B$14)) + (VERI_TABANI!D26*C148*(VERI_TABANI!$B$13-VERI_TABANI!$B$15)) + IF(ISNUMBER(SEARCH("Var", D148)), VERI_TABANI!F26*(0.00202-VERI_TABANI!$B$16), IF(ISNUMBER(SEARCH("Gri", D148)), VERI_TABANI!F26*(0.00202-VERI_TABANI!$B$17), 0))) + ((VERI_TABANI!D27*B148*(VERI_TABANI!$B$13-VERI_TABANI!$B$14)) + (VERI_TABANI!D27*C148*(VERI_TABANI!$B$13-VERI_TABANI!$B$15)) + IF(ISNUMBER(SEARCH("Var", D148)), VERI_TABANI!F27*(0.00202-VERI_TABANI!$B$16), IF(ISNUMBER(SEARCH("Gri", D148)), VERI_TABANI!F27*(0.00202-VERI_TABANI!$B$17), 0))) + ((VERI_TABANI!D28*B148*(VERI_TABANI!$B$13-VERI_TABANI!$B$14)) + (VERI_TABANI!D28*C148*(VERI_TABANI!$B$13-VERI_TABANI!$B$15)) + IF(ISNUMBER(SEARCH("Var", D148)), VERI_TABANI!F28*(0.00202-VERI_TABANI!$B$16), IF(ISNUMBER(SEARCH("Gri", D148)), VERI_TABANI!F28*(0.00202-VERI_TABANI!$B$17), 0))))</f>
        <v/>
      </c>
      <c r="I148" s="170">
        <f>IFERROR(((VERI_TABANI!$D$29*B148*VERI_TABANI!$B$14 + VERI_TABANI!$D$29*C148*VERI_TABANI!$B$15 + IF(ISNUMBER(SEARCH("Var", D148)), VERI_TABANI!$F$29*VERI_TABANI!$B$16, 0))) / (((VERI_TABANI!$D$29*B148 + VERI_TABANI!$D$29*C148)*VERI_TABANI!$B$13 + IF(ISNUMBER(SEARCH("Var", D148)), VERI_TABANI!$E$29*(1-0.928)*VERI_TABANI!$B$18, 0))), 0)</f>
        <v/>
      </c>
      <c r="J148" s="171">
        <f>IFERROR(F148/(G148/29), 0)</f>
        <v/>
      </c>
      <c r="K148" s="172">
        <f>IF(F148&gt;0, H148/F148, 0)</f>
        <v/>
      </c>
      <c r="L148" s="170">
        <f>IF(F148&gt;0, I148, 1000000000)</f>
        <v/>
      </c>
      <c r="M148" s="171">
        <f>ABS((B148+C148)-1)</f>
        <v/>
      </c>
      <c r="N148" s="170">
        <f>IF(F148&gt;0, (G148/29)/F148, 0)</f>
        <v/>
      </c>
      <c r="O148" s="168">
        <f>IF(AND((B148+C148)&gt;=1, ISNUMBER(SEARCH("Var", D148))), F148, 1000000000)</f>
        <v/>
      </c>
      <c r="P148" s="172">
        <f>IF(F148&gt;0, SQRT((F148/MAX(F$5:F$886))^2 + (1 - H148/MAX(H$5:H$886))^2 + (J148/MAX(J$5:J$886))^2), 1000000000)</f>
        <v/>
      </c>
      <c r="Q148" s="166">
        <f>IF(AND(ABS(B148-0.5)&lt;0.01, ABS(C148-0.5)&lt;0.01, ISNUMBER(SEARCH("Var", D148))), 1, 0)</f>
        <v/>
      </c>
      <c r="R148" s="171">
        <f>IF(F148&gt;0, J148, 1000000000)</f>
        <v/>
      </c>
      <c r="S148" s="101">
        <f>IF(AND(F148&lt;=DASHBOARD!$B$11, H148&gt;=DASHBOARD!$B$13), G148, -1000000000000)</f>
        <v/>
      </c>
      <c r="T148" s="101">
        <f>IF(AND(F148&lt;=DASHBOARD!$B$11, H148&gt;=DASHBOARD!$B$13), R148, 1000000000000)</f>
        <v/>
      </c>
      <c r="U148" s="101">
        <f>IF(AND(F148&lt;=DASHBOARD!$B$11, H148&gt;=DASHBOARD!$B$13), N148, -1000000000000)</f>
        <v/>
      </c>
      <c r="V148" s="101">
        <f>IF(AND(F148&lt;=DASHBOARD!$B$11, H148&gt;=DASHBOARD!$B$13), H148, -1000000000000)</f>
        <v/>
      </c>
      <c r="W148" s="101">
        <f>IF(AND(F148&lt;=DASHBOARD!$B$11, H148&gt;=DASHBOARD!$B$13), K148, -1000000000000)</f>
        <v/>
      </c>
      <c r="X148" s="101">
        <f>IF(AND(F148&lt;=DASHBOARD!$B$11, H148&gt;=DASHBOARD!$B$13), M148, 1000000000000)</f>
        <v/>
      </c>
      <c r="Y148" s="101">
        <f>IF(AND(F148&lt;=DASHBOARD!$B$10, H148&gt;=DASHBOARD!$B$11), L148, 1000000000000)</f>
        <v/>
      </c>
      <c r="Z148" s="101">
        <f>IF(AND(F148&lt;=DASHBOARD!$B$10, H148&gt;=DASHBOARD!$B$11), O148, 1000000000000)</f>
        <v/>
      </c>
      <c r="AA148" s="101">
        <f>IF(AND(F148&lt;=DASHBOARD!$B$10, H148&gt;=DASHBOARD!$B$11), P148, 1000000000000)</f>
        <v/>
      </c>
      <c r="AB148" s="101">
        <f>IF(AND(F148&lt;=DASHBOARD!$B$10, H148&gt;=DASHBOARD!$B$11), Q148, -1000000000000)</f>
        <v/>
      </c>
    </row>
    <row r="149" ht="12.75" customHeight="1" s="102">
      <c r="A149" s="166" t="n">
        <v>145</v>
      </c>
      <c r="B149" s="167" t="n">
        <v>0.3</v>
      </c>
      <c r="C149" s="167" t="n">
        <v>0.9</v>
      </c>
      <c r="D149" s="110" t="inlineStr">
        <is>
          <t>Yok (%0)</t>
        </is>
      </c>
      <c r="E149" s="110">
        <f>IF((B149+C149)&lt;=1, "Tam Mahsuplaşma (≤%100)", "Kısmi Satış (&gt;%100)")</f>
        <v/>
      </c>
      <c r="F149" s="168">
        <f>((VERI_TABANI!$D$29*B149/VERI_TABANI!$B$29)/VERI_TABANI!$B$3)*VERI_TABANI!$B$5 + ((VERI_TABANI!$D$29*C149/VERI_TABANI!$B$29)/VERI_TABANI!$B$4)*VERI_TABANI!$B$6 + IF(ISNUMBER(SEARCH("Var", D149)), (VERI_TABANI!$F$29/VERI_TABANI!$B$29)*(VERI_TABANI!$B$10+VERI_TABANI!$B$12), 0)</f>
        <v/>
      </c>
      <c r="G149" s="168">
        <f>(((MIN(VERI_TABANI!D23, VERI_TABANI!D23*B149)*VERI_TABANI!$B$7 + MAX(0, VERI_TABANI!D23*B149-VERI_TABANI!D23)*VERI_TABANI!$B$8) + (MIN(MAX(0, VERI_TABANI!D23-VERI_TABANI!D23*B149), VERI_TABANI!D23*C149)*VERI_TABANI!$B$7 + MAX(0, VERI_TABANI!D23*C149-MAX(0, VERI_TABANI!D23-VERI_TABANI!D23*B149))*VERI_TABANI!$B$8) + IF(ABS(IF(ISNUMBER(SEARCH("Var", D149)), 1, IF(ISNUMBER(SEARCH("Gri", D149)), -1, 0)))=1, VERI_TABANI!E23*(1-0.928)*VERI_TABANI!$B$9, 0) + (VERI_TABANI!D23*B149*(VERI_TABANI!$B$13-VERI_TABANI!$B$14)*VERI_TABANI!G23) + (VERI_TABANI!D23*C149*(VERI_TABANI!$B$13-VERI_TABANI!$B$15)*VERI_TABANI!G23) + IF(ABS(IF(ISNUMBER(SEARCH("Var", D149)), 1, IF(ISNUMBER(SEARCH("Gri", D149)), -1, 0)))=1, VERI_TABANI!E23*(1-0.928)*0.00206091519919798*VERI_TABANI!G23, 0)) + ((MIN(VERI_TABANI!D24, VERI_TABANI!D24*B149)*VERI_TABANI!$B$7 + MAX(0, VERI_TABANI!D24*B149-VERI_TABANI!D24)*VERI_TABANI!$B$8) + (MIN(MAX(0, VERI_TABANI!D24-VERI_TABANI!D24*B149), VERI_TABANI!D24*C149)*VERI_TABANI!$B$7 + MAX(0, VERI_TABANI!D24*C149-MAX(0, VERI_TABANI!D24-VERI_TABANI!D24*B149))*VERI_TABANI!$B$8) + IF(ABS(IF(ISNUMBER(SEARCH("Var", D149)), 1, IF(ISNUMBER(SEARCH("Gri", D149)), -1, 0)))=1, VERI_TABANI!E24*(1-0.928)*VERI_TABANI!$B$9, 0) + (VERI_TABANI!D24*B149*(VERI_TABANI!$B$13-VERI_TABANI!$B$14)*VERI_TABANI!G24) + (VERI_TABANI!D24*C149*(VERI_TABANI!$B$13-VERI_TABANI!$B$15)*VERI_TABANI!G24) + IF(ABS(IF(ISNUMBER(SEARCH("Var", D149)), 1, IF(ISNUMBER(SEARCH("Gri", D149)), -1, 0)))=1, VERI_TABANI!E24*(1-0.928)*0.00206091519919798*VERI_TABANI!G24, 0)) + ((MIN(VERI_TABANI!D25, VERI_TABANI!D25*B149)*VERI_TABANI!$B$7 + MAX(0, VERI_TABANI!D25*B149-VERI_TABANI!D25)*VERI_TABANI!$B$8) + (MIN(MAX(0, VERI_TABANI!D25-VERI_TABANI!D25*B149), VERI_TABANI!D25*C149)*VERI_TABANI!$B$7 + MAX(0, VERI_TABANI!D25*C149-MAX(0, VERI_TABANI!D25-VERI_TABANI!D25*B149))*VERI_TABANI!$B$8) + IF(ABS(IF(ISNUMBER(SEARCH("Var", D149)), 1, IF(ISNUMBER(SEARCH("Gri", D149)), -1, 0)))=1, VERI_TABANI!E25*(1-0.928)*VERI_TABANI!$B$9, 0) + (VERI_TABANI!D25*B149*(VERI_TABANI!$B$13-VERI_TABANI!$B$14)*VERI_TABANI!G25) + (VERI_TABANI!D25*C149*(VERI_TABANI!$B$13-VERI_TABANI!$B$15)*VERI_TABANI!G25) + IF(ABS(IF(ISNUMBER(SEARCH("Var", D149)), 1, IF(ISNUMBER(SEARCH("Gri", D149)), -1, 0)))=1, VERI_TABANI!E25*(1-0.928)*0.00206091519919798*VERI_TABANI!G25, 0)) + ((MIN(VERI_TABANI!D26, VERI_TABANI!D26*B149)*VERI_TABANI!$B$7 + MAX(0, VERI_TABANI!D26*B149-VERI_TABANI!D26)*VERI_TABANI!$B$8) + (MIN(MAX(0, VERI_TABANI!D26-VERI_TABANI!D26*B149), VERI_TABANI!D26*C149)*VERI_TABANI!$B$7 + MAX(0, VERI_TABANI!D26*C149-MAX(0, VERI_TABANI!D26-VERI_TABANI!D26*B149))*VERI_TABANI!$B$8) + IF(ABS(IF(ISNUMBER(SEARCH("Var", D149)), 1, IF(ISNUMBER(SEARCH("Gri", D149)), -1, 0)))=1, VERI_TABANI!E26*(1-0.928)*VERI_TABANI!$B$9, 0) + (VERI_TABANI!D26*B149*(VERI_TABANI!$B$13-VERI_TABANI!$B$14)*VERI_TABANI!G26) + (VERI_TABANI!D26*C149*(VERI_TABANI!$B$13-VERI_TABANI!$B$15)*VERI_TABANI!G26) + IF(ABS(IF(ISNUMBER(SEARCH("Var", D149)), 1, IF(ISNUMBER(SEARCH("Gri", D149)), -1, 0)))=1, VERI_TABANI!E26*(1-0.928)*0.00206091519919798*VERI_TABANI!G26, 0)) + ((MIN(VERI_TABANI!D27, VERI_TABANI!D27*B149)*VERI_TABANI!$B$7 + MAX(0, VERI_TABANI!D27*B149-VERI_TABANI!D27)*VERI_TABANI!$B$8) + (MIN(MAX(0, VERI_TABANI!D27-VERI_TABANI!D27*B149), VERI_TABANI!D27*C149)*VERI_TABANI!$B$7 + MAX(0, VERI_TABANI!D27*C149-MAX(0, VERI_TABANI!D27-VERI_TABANI!D27*B149))*VERI_TABANI!$B$8) + IF(ABS(IF(ISNUMBER(SEARCH("Var", D149)), 1, IF(ISNUMBER(SEARCH("Gri", D149)), -1, 0)))=1, VERI_TABANI!E27*(1-0.928)*VERI_TABANI!$B$9, 0) + (VERI_TABANI!D27*B149*(VERI_TABANI!$B$13-VERI_TABANI!$B$14)*VERI_TABANI!G27) + (VERI_TABANI!D27*C149*(VERI_TABANI!$B$13-VERI_TABANI!$B$15)*VERI_TABANI!G27) + IF(ABS(IF(ISNUMBER(SEARCH("Var", D149)), 1, IF(ISNUMBER(SEARCH("Gri", D149)), -1, 0)))=1, VERI_TABANI!E27*(1-0.928)*0.00206091519919798*VERI_TABANI!G27, 0)) + ((MIN(VERI_TABANI!D28, VERI_TABANI!D28*B149)*VERI_TABANI!$B$7 + MAX(0, VERI_TABANI!D28*B149-VERI_TABANI!D28)*VERI_TABANI!$B$8) + (MIN(MAX(0, VERI_TABANI!D28-VERI_TABANI!D28*B149), VERI_TABANI!D28*C149)*VERI_TABANI!$B$7 + MAX(0, VERI_TABANI!D28*C149-MAX(0, VERI_TABANI!D28-VERI_TABANI!D28*B149))*VERI_TABANI!$B$8) + IF(ABS(IF(ISNUMBER(SEARCH("Var", D149)), 1, IF(ISNUMBER(SEARCH("Gri", D149)), -1, 0)))=1, VERI_TABANI!E28*(1-0.928)*VERI_TABANI!$B$9, 0) + (VERI_TABANI!D28*B149*(VERI_TABANI!$B$13-VERI_TABANI!$B$14)*VERI_TABANI!G28) + (VERI_TABANI!D28*C149*(VERI_TABANI!$B$13-VERI_TABANI!$B$15)*VERI_TABANI!G28) + IF(ABS(IF(ISNUMBER(SEARCH("Var", D149)), 1, IF(ISNUMBER(SEARCH("Gri", D149)), -1, 0)))=1, VERI_TABANI!E28*(1-0.928)*0.00206091519919798*VERI_TABANI!G28, 0)))</f>
        <v/>
      </c>
      <c r="H149" s="169">
        <f>(((VERI_TABANI!D23*B149*(VERI_TABANI!$B$13-VERI_TABANI!$B$14)) + (VERI_TABANI!D23*C149*(VERI_TABANI!$B$13-VERI_TABANI!$B$15)) + IF(ISNUMBER(SEARCH("Var", D149)), VERI_TABANI!F23*(0.00202-VERI_TABANI!$B$16), IF(ISNUMBER(SEARCH("Gri", D149)), VERI_TABANI!F23*(0.00202-VERI_TABANI!$B$17), 0))) + ((VERI_TABANI!D24*B149*(VERI_TABANI!$B$13-VERI_TABANI!$B$14)) + (VERI_TABANI!D24*C149*(VERI_TABANI!$B$13-VERI_TABANI!$B$15)) + IF(ISNUMBER(SEARCH("Var", D149)), VERI_TABANI!F24*(0.00202-VERI_TABANI!$B$16), IF(ISNUMBER(SEARCH("Gri", D149)), VERI_TABANI!F24*(0.00202-VERI_TABANI!$B$17), 0))) + ((VERI_TABANI!D25*B149*(VERI_TABANI!$B$13-VERI_TABANI!$B$14)) + (VERI_TABANI!D25*C149*(VERI_TABANI!$B$13-VERI_TABANI!$B$15)) + IF(ISNUMBER(SEARCH("Var", D149)), VERI_TABANI!F25*(0.00202-VERI_TABANI!$B$16), IF(ISNUMBER(SEARCH("Gri", D149)), VERI_TABANI!F25*(0.00202-VERI_TABANI!$B$17), 0))) + ((VERI_TABANI!D26*B149*(VERI_TABANI!$B$13-VERI_TABANI!$B$14)) + (VERI_TABANI!D26*C149*(VERI_TABANI!$B$13-VERI_TABANI!$B$15)) + IF(ISNUMBER(SEARCH("Var", D149)), VERI_TABANI!F26*(0.00202-VERI_TABANI!$B$16), IF(ISNUMBER(SEARCH("Gri", D149)), VERI_TABANI!F26*(0.00202-VERI_TABANI!$B$17), 0))) + ((VERI_TABANI!D27*B149*(VERI_TABANI!$B$13-VERI_TABANI!$B$14)) + (VERI_TABANI!D27*C149*(VERI_TABANI!$B$13-VERI_TABANI!$B$15)) + IF(ISNUMBER(SEARCH("Var", D149)), VERI_TABANI!F27*(0.00202-VERI_TABANI!$B$16), IF(ISNUMBER(SEARCH("Gri", D149)), VERI_TABANI!F27*(0.00202-VERI_TABANI!$B$17), 0))) + ((VERI_TABANI!D28*B149*(VERI_TABANI!$B$13-VERI_TABANI!$B$14)) + (VERI_TABANI!D28*C149*(VERI_TABANI!$B$13-VERI_TABANI!$B$15)) + IF(ISNUMBER(SEARCH("Var", D149)), VERI_TABANI!F28*(0.00202-VERI_TABANI!$B$16), IF(ISNUMBER(SEARCH("Gri", D149)), VERI_TABANI!F28*(0.00202-VERI_TABANI!$B$17), 0))))</f>
        <v/>
      </c>
      <c r="I149" s="170">
        <f>IFERROR(((VERI_TABANI!$D$29*B149*VERI_TABANI!$B$14 + VERI_TABANI!$D$29*C149*VERI_TABANI!$B$15 + IF(ISNUMBER(SEARCH("Var", D149)), VERI_TABANI!$F$29*VERI_TABANI!$B$16, 0))) / (((VERI_TABANI!$D$29*B149 + VERI_TABANI!$D$29*C149)*VERI_TABANI!$B$13 + IF(ISNUMBER(SEARCH("Var", D149)), VERI_TABANI!$E$29*(1-0.928)*VERI_TABANI!$B$18, 0))), 0)</f>
        <v/>
      </c>
      <c r="J149" s="171">
        <f>IFERROR(F149/(G149/29), 0)</f>
        <v/>
      </c>
      <c r="K149" s="172">
        <f>IF(F149&gt;0, H149/F149, 0)</f>
        <v/>
      </c>
      <c r="L149" s="170">
        <f>IF(F149&gt;0, I149, 1000000000)</f>
        <v/>
      </c>
      <c r="M149" s="171">
        <f>ABS((B149+C149)-1)</f>
        <v/>
      </c>
      <c r="N149" s="170">
        <f>IF(F149&gt;0, (G149/29)/F149, 0)</f>
        <v/>
      </c>
      <c r="O149" s="168">
        <f>IF(AND((B149+C149)&gt;=1, ISNUMBER(SEARCH("Var", D149))), F149, 1000000000)</f>
        <v/>
      </c>
      <c r="P149" s="172">
        <f>IF(F149&gt;0, SQRT((F149/MAX(F$5:F$886))^2 + (1 - H149/MAX(H$5:H$886))^2 + (J149/MAX(J$5:J$886))^2), 1000000000)</f>
        <v/>
      </c>
      <c r="Q149" s="166">
        <f>IF(AND(ABS(B149-0.5)&lt;0.01, ABS(C149-0.5)&lt;0.01, ISNUMBER(SEARCH("Var", D149))), 1, 0)</f>
        <v/>
      </c>
      <c r="R149" s="171">
        <f>IF(F149&gt;0, J149, 1000000000)</f>
        <v/>
      </c>
      <c r="S149" s="101">
        <f>IF(AND(F149&lt;=DASHBOARD!$B$11, H149&gt;=DASHBOARD!$B$13), G149, -1000000000000)</f>
        <v/>
      </c>
      <c r="T149" s="101">
        <f>IF(AND(F149&lt;=DASHBOARD!$B$11, H149&gt;=DASHBOARD!$B$13), R149, 1000000000000)</f>
        <v/>
      </c>
      <c r="U149" s="101">
        <f>IF(AND(F149&lt;=DASHBOARD!$B$11, H149&gt;=DASHBOARD!$B$13), N149, -1000000000000)</f>
        <v/>
      </c>
      <c r="V149" s="101">
        <f>IF(AND(F149&lt;=DASHBOARD!$B$11, H149&gt;=DASHBOARD!$B$13), H149, -1000000000000)</f>
        <v/>
      </c>
      <c r="W149" s="101">
        <f>IF(AND(F149&lt;=DASHBOARD!$B$11, H149&gt;=DASHBOARD!$B$13), K149, -1000000000000)</f>
        <v/>
      </c>
      <c r="X149" s="101">
        <f>IF(AND(F149&lt;=DASHBOARD!$B$11, H149&gt;=DASHBOARD!$B$13), M149, 1000000000000)</f>
        <v/>
      </c>
      <c r="Y149" s="101">
        <f>IF(AND(F149&lt;=DASHBOARD!$B$10, H149&gt;=DASHBOARD!$B$11), L149, 1000000000000)</f>
        <v/>
      </c>
      <c r="Z149" s="101">
        <f>IF(AND(F149&lt;=DASHBOARD!$B$10, H149&gt;=DASHBOARD!$B$11), O149, 1000000000000)</f>
        <v/>
      </c>
      <c r="AA149" s="101">
        <f>IF(AND(F149&lt;=DASHBOARD!$B$10, H149&gt;=DASHBOARD!$B$11), P149, 1000000000000)</f>
        <v/>
      </c>
      <c r="AB149" s="101">
        <f>IF(AND(F149&lt;=DASHBOARD!$B$10, H149&gt;=DASHBOARD!$B$11), Q149, -1000000000000)</f>
        <v/>
      </c>
    </row>
    <row r="150" ht="12.75" customHeight="1" s="102">
      <c r="A150" s="166" t="n">
        <v>146</v>
      </c>
      <c r="B150" s="167" t="n">
        <v>0.3</v>
      </c>
      <c r="C150" s="167" t="n">
        <v>0.9</v>
      </c>
      <c r="D150" s="110" t="inlineStr">
        <is>
          <t>Var (%20)</t>
        </is>
      </c>
      <c r="E150" s="110">
        <f>IF((B150+C150)&lt;=1, "Tam Mahsuplaşma (≤%100)", "Kısmi Satış (&gt;%100)")</f>
        <v/>
      </c>
      <c r="F150" s="168">
        <f>((VERI_TABANI!$D$29*B150/VERI_TABANI!$B$29)/VERI_TABANI!$B$3)*VERI_TABANI!$B$5 + ((VERI_TABANI!$D$29*C150/VERI_TABANI!$B$29)/VERI_TABANI!$B$4)*VERI_TABANI!$B$6 + IF(ISNUMBER(SEARCH("Var", D150)), (VERI_TABANI!$F$29/VERI_TABANI!$B$29)*(VERI_TABANI!$B$10+VERI_TABANI!$B$12), 0)</f>
        <v/>
      </c>
      <c r="G150" s="168">
        <f>(((MIN(VERI_TABANI!D23, VERI_TABANI!D23*B150)*VERI_TABANI!$B$7 + MAX(0, VERI_TABANI!D23*B150-VERI_TABANI!D23)*VERI_TABANI!$B$8) + (MIN(MAX(0, VERI_TABANI!D23-VERI_TABANI!D23*B150), VERI_TABANI!D23*C150)*VERI_TABANI!$B$7 + MAX(0, VERI_TABANI!D23*C150-MAX(0, VERI_TABANI!D23-VERI_TABANI!D23*B150))*VERI_TABANI!$B$8) + IF(ABS(IF(ISNUMBER(SEARCH("Var", D150)), 1, IF(ISNUMBER(SEARCH("Gri", D150)), -1, 0)))=1, VERI_TABANI!E23*(1-0.928)*VERI_TABANI!$B$9, 0) + (VERI_TABANI!D23*B150*(VERI_TABANI!$B$13-VERI_TABANI!$B$14)*VERI_TABANI!G23) + (VERI_TABANI!D23*C150*(VERI_TABANI!$B$13-VERI_TABANI!$B$15)*VERI_TABANI!G23) + IF(ABS(IF(ISNUMBER(SEARCH("Var", D150)), 1, IF(ISNUMBER(SEARCH("Gri", D150)), -1, 0)))=1, VERI_TABANI!E23*(1-0.928)*0.00206091519919798*VERI_TABANI!G23, 0)) + ((MIN(VERI_TABANI!D24, VERI_TABANI!D24*B150)*VERI_TABANI!$B$7 + MAX(0, VERI_TABANI!D24*B150-VERI_TABANI!D24)*VERI_TABANI!$B$8) + (MIN(MAX(0, VERI_TABANI!D24-VERI_TABANI!D24*B150), VERI_TABANI!D24*C150)*VERI_TABANI!$B$7 + MAX(0, VERI_TABANI!D24*C150-MAX(0, VERI_TABANI!D24-VERI_TABANI!D24*B150))*VERI_TABANI!$B$8) + IF(ABS(IF(ISNUMBER(SEARCH("Var", D150)), 1, IF(ISNUMBER(SEARCH("Gri", D150)), -1, 0)))=1, VERI_TABANI!E24*(1-0.928)*VERI_TABANI!$B$9, 0) + (VERI_TABANI!D24*B150*(VERI_TABANI!$B$13-VERI_TABANI!$B$14)*VERI_TABANI!G24) + (VERI_TABANI!D24*C150*(VERI_TABANI!$B$13-VERI_TABANI!$B$15)*VERI_TABANI!G24) + IF(ABS(IF(ISNUMBER(SEARCH("Var", D150)), 1, IF(ISNUMBER(SEARCH("Gri", D150)), -1, 0)))=1, VERI_TABANI!E24*(1-0.928)*0.00206091519919798*VERI_TABANI!G24, 0)) + ((MIN(VERI_TABANI!D25, VERI_TABANI!D25*B150)*VERI_TABANI!$B$7 + MAX(0, VERI_TABANI!D25*B150-VERI_TABANI!D25)*VERI_TABANI!$B$8) + (MIN(MAX(0, VERI_TABANI!D25-VERI_TABANI!D25*B150), VERI_TABANI!D25*C150)*VERI_TABANI!$B$7 + MAX(0, VERI_TABANI!D25*C150-MAX(0, VERI_TABANI!D25-VERI_TABANI!D25*B150))*VERI_TABANI!$B$8) + IF(ABS(IF(ISNUMBER(SEARCH("Var", D150)), 1, IF(ISNUMBER(SEARCH("Gri", D150)), -1, 0)))=1, VERI_TABANI!E25*(1-0.928)*VERI_TABANI!$B$9, 0) + (VERI_TABANI!D25*B150*(VERI_TABANI!$B$13-VERI_TABANI!$B$14)*VERI_TABANI!G25) + (VERI_TABANI!D25*C150*(VERI_TABANI!$B$13-VERI_TABANI!$B$15)*VERI_TABANI!G25) + IF(ABS(IF(ISNUMBER(SEARCH("Var", D150)), 1, IF(ISNUMBER(SEARCH("Gri", D150)), -1, 0)))=1, VERI_TABANI!E25*(1-0.928)*0.00206091519919798*VERI_TABANI!G25, 0)) + ((MIN(VERI_TABANI!D26, VERI_TABANI!D26*B150)*VERI_TABANI!$B$7 + MAX(0, VERI_TABANI!D26*B150-VERI_TABANI!D26)*VERI_TABANI!$B$8) + (MIN(MAX(0, VERI_TABANI!D26-VERI_TABANI!D26*B150), VERI_TABANI!D26*C150)*VERI_TABANI!$B$7 + MAX(0, VERI_TABANI!D26*C150-MAX(0, VERI_TABANI!D26-VERI_TABANI!D26*B150))*VERI_TABANI!$B$8) + IF(ABS(IF(ISNUMBER(SEARCH("Var", D150)), 1, IF(ISNUMBER(SEARCH("Gri", D150)), -1, 0)))=1, VERI_TABANI!E26*(1-0.928)*VERI_TABANI!$B$9, 0) + (VERI_TABANI!D26*B150*(VERI_TABANI!$B$13-VERI_TABANI!$B$14)*VERI_TABANI!G26) + (VERI_TABANI!D26*C150*(VERI_TABANI!$B$13-VERI_TABANI!$B$15)*VERI_TABANI!G26) + IF(ABS(IF(ISNUMBER(SEARCH("Var", D150)), 1, IF(ISNUMBER(SEARCH("Gri", D150)), -1, 0)))=1, VERI_TABANI!E26*(1-0.928)*0.00206091519919798*VERI_TABANI!G26, 0)) + ((MIN(VERI_TABANI!D27, VERI_TABANI!D27*B150)*VERI_TABANI!$B$7 + MAX(0, VERI_TABANI!D27*B150-VERI_TABANI!D27)*VERI_TABANI!$B$8) + (MIN(MAX(0, VERI_TABANI!D27-VERI_TABANI!D27*B150), VERI_TABANI!D27*C150)*VERI_TABANI!$B$7 + MAX(0, VERI_TABANI!D27*C150-MAX(0, VERI_TABANI!D27-VERI_TABANI!D27*B150))*VERI_TABANI!$B$8) + IF(ABS(IF(ISNUMBER(SEARCH("Var", D150)), 1, IF(ISNUMBER(SEARCH("Gri", D150)), -1, 0)))=1, VERI_TABANI!E27*(1-0.928)*VERI_TABANI!$B$9, 0) + (VERI_TABANI!D27*B150*(VERI_TABANI!$B$13-VERI_TABANI!$B$14)*VERI_TABANI!G27) + (VERI_TABANI!D27*C150*(VERI_TABANI!$B$13-VERI_TABANI!$B$15)*VERI_TABANI!G27) + IF(ABS(IF(ISNUMBER(SEARCH("Var", D150)), 1, IF(ISNUMBER(SEARCH("Gri", D150)), -1, 0)))=1, VERI_TABANI!E27*(1-0.928)*0.00206091519919798*VERI_TABANI!G27, 0)) + ((MIN(VERI_TABANI!D28, VERI_TABANI!D28*B150)*VERI_TABANI!$B$7 + MAX(0, VERI_TABANI!D28*B150-VERI_TABANI!D28)*VERI_TABANI!$B$8) + (MIN(MAX(0, VERI_TABANI!D28-VERI_TABANI!D28*B150), VERI_TABANI!D28*C150)*VERI_TABANI!$B$7 + MAX(0, VERI_TABANI!D28*C150-MAX(0, VERI_TABANI!D28-VERI_TABANI!D28*B150))*VERI_TABANI!$B$8) + IF(ABS(IF(ISNUMBER(SEARCH("Var", D150)), 1, IF(ISNUMBER(SEARCH("Gri", D150)), -1, 0)))=1, VERI_TABANI!E28*(1-0.928)*VERI_TABANI!$B$9, 0) + (VERI_TABANI!D28*B150*(VERI_TABANI!$B$13-VERI_TABANI!$B$14)*VERI_TABANI!G28) + (VERI_TABANI!D28*C150*(VERI_TABANI!$B$13-VERI_TABANI!$B$15)*VERI_TABANI!G28) + IF(ABS(IF(ISNUMBER(SEARCH("Var", D150)), 1, IF(ISNUMBER(SEARCH("Gri", D150)), -1, 0)))=1, VERI_TABANI!E28*(1-0.928)*0.00206091519919798*VERI_TABANI!G28, 0)))</f>
        <v/>
      </c>
      <c r="H150" s="169">
        <f>(((VERI_TABANI!D23*B150*(VERI_TABANI!$B$13-VERI_TABANI!$B$14)) + (VERI_TABANI!D23*C150*(VERI_TABANI!$B$13-VERI_TABANI!$B$15)) + IF(ISNUMBER(SEARCH("Var", D150)), VERI_TABANI!F23*(0.00202-VERI_TABANI!$B$16), IF(ISNUMBER(SEARCH("Gri", D150)), VERI_TABANI!F23*(0.00202-VERI_TABANI!$B$17), 0))) + ((VERI_TABANI!D24*B150*(VERI_TABANI!$B$13-VERI_TABANI!$B$14)) + (VERI_TABANI!D24*C150*(VERI_TABANI!$B$13-VERI_TABANI!$B$15)) + IF(ISNUMBER(SEARCH("Var", D150)), VERI_TABANI!F24*(0.00202-VERI_TABANI!$B$16), IF(ISNUMBER(SEARCH("Gri", D150)), VERI_TABANI!F24*(0.00202-VERI_TABANI!$B$17), 0))) + ((VERI_TABANI!D25*B150*(VERI_TABANI!$B$13-VERI_TABANI!$B$14)) + (VERI_TABANI!D25*C150*(VERI_TABANI!$B$13-VERI_TABANI!$B$15)) + IF(ISNUMBER(SEARCH("Var", D150)), VERI_TABANI!F25*(0.00202-VERI_TABANI!$B$16), IF(ISNUMBER(SEARCH("Gri", D150)), VERI_TABANI!F25*(0.00202-VERI_TABANI!$B$17), 0))) + ((VERI_TABANI!D26*B150*(VERI_TABANI!$B$13-VERI_TABANI!$B$14)) + (VERI_TABANI!D26*C150*(VERI_TABANI!$B$13-VERI_TABANI!$B$15)) + IF(ISNUMBER(SEARCH("Var", D150)), VERI_TABANI!F26*(0.00202-VERI_TABANI!$B$16), IF(ISNUMBER(SEARCH("Gri", D150)), VERI_TABANI!F26*(0.00202-VERI_TABANI!$B$17), 0))) + ((VERI_TABANI!D27*B150*(VERI_TABANI!$B$13-VERI_TABANI!$B$14)) + (VERI_TABANI!D27*C150*(VERI_TABANI!$B$13-VERI_TABANI!$B$15)) + IF(ISNUMBER(SEARCH("Var", D150)), VERI_TABANI!F27*(0.00202-VERI_TABANI!$B$16), IF(ISNUMBER(SEARCH("Gri", D150)), VERI_TABANI!F27*(0.00202-VERI_TABANI!$B$17), 0))) + ((VERI_TABANI!D28*B150*(VERI_TABANI!$B$13-VERI_TABANI!$B$14)) + (VERI_TABANI!D28*C150*(VERI_TABANI!$B$13-VERI_TABANI!$B$15)) + IF(ISNUMBER(SEARCH("Var", D150)), VERI_TABANI!F28*(0.00202-VERI_TABANI!$B$16), IF(ISNUMBER(SEARCH("Gri", D150)), VERI_TABANI!F28*(0.00202-VERI_TABANI!$B$17), 0))))</f>
        <v/>
      </c>
      <c r="I150" s="170">
        <f>IFERROR(((VERI_TABANI!$D$29*B150*VERI_TABANI!$B$14 + VERI_TABANI!$D$29*C150*VERI_TABANI!$B$15 + IF(ISNUMBER(SEARCH("Var", D150)), VERI_TABANI!$F$29*VERI_TABANI!$B$16, 0))) / (((VERI_TABANI!$D$29*B150 + VERI_TABANI!$D$29*C150)*VERI_TABANI!$B$13 + IF(ISNUMBER(SEARCH("Var", D150)), VERI_TABANI!$E$29*(1-0.928)*VERI_TABANI!$B$18, 0))), 0)</f>
        <v/>
      </c>
      <c r="J150" s="171">
        <f>IFERROR(F150/(G150/29), 0)</f>
        <v/>
      </c>
      <c r="K150" s="172">
        <f>IF(F150&gt;0, H150/F150, 0)</f>
        <v/>
      </c>
      <c r="L150" s="170">
        <f>IF(F150&gt;0, I150, 1000000000)</f>
        <v/>
      </c>
      <c r="M150" s="171">
        <f>ABS((B150+C150)-1)</f>
        <v/>
      </c>
      <c r="N150" s="170">
        <f>IF(F150&gt;0, (G150/29)/F150, 0)</f>
        <v/>
      </c>
      <c r="O150" s="168">
        <f>IF(AND((B150+C150)&gt;=1, ISNUMBER(SEARCH("Var", D150))), F150, 1000000000)</f>
        <v/>
      </c>
      <c r="P150" s="172">
        <f>IF(F150&gt;0, SQRT((F150/MAX(F$5:F$886))^2 + (1 - H150/MAX(H$5:H$886))^2 + (J150/MAX(J$5:J$886))^2), 1000000000)</f>
        <v/>
      </c>
      <c r="Q150" s="166">
        <f>IF(AND(ABS(B150-0.5)&lt;0.01, ABS(C150-0.5)&lt;0.01, ISNUMBER(SEARCH("Var", D150))), 1, 0)</f>
        <v/>
      </c>
      <c r="R150" s="171">
        <f>IF(F150&gt;0, J150, 1000000000)</f>
        <v/>
      </c>
      <c r="S150" s="101">
        <f>IF(AND(F150&lt;=DASHBOARD!$B$11, H150&gt;=DASHBOARD!$B$13), G150, -1000000000000)</f>
        <v/>
      </c>
      <c r="T150" s="101">
        <f>IF(AND(F150&lt;=DASHBOARD!$B$11, H150&gt;=DASHBOARD!$B$13), R150, 1000000000000)</f>
        <v/>
      </c>
      <c r="U150" s="101">
        <f>IF(AND(F150&lt;=DASHBOARD!$B$11, H150&gt;=DASHBOARD!$B$13), N150, -1000000000000)</f>
        <v/>
      </c>
      <c r="V150" s="101">
        <f>IF(AND(F150&lt;=DASHBOARD!$B$11, H150&gt;=DASHBOARD!$B$13), H150, -1000000000000)</f>
        <v/>
      </c>
      <c r="W150" s="101">
        <f>IF(AND(F150&lt;=DASHBOARD!$B$11, H150&gt;=DASHBOARD!$B$13), K150, -1000000000000)</f>
        <v/>
      </c>
      <c r="X150" s="101">
        <f>IF(AND(F150&lt;=DASHBOARD!$B$11, H150&gt;=DASHBOARD!$B$13), M150, 1000000000000)</f>
        <v/>
      </c>
      <c r="Y150" s="101">
        <f>IF(AND(F150&lt;=DASHBOARD!$B$10, H150&gt;=DASHBOARD!$B$11), L150, 1000000000000)</f>
        <v/>
      </c>
      <c r="Z150" s="101">
        <f>IF(AND(F150&lt;=DASHBOARD!$B$10, H150&gt;=DASHBOARD!$B$11), O150, 1000000000000)</f>
        <v/>
      </c>
      <c r="AA150" s="101">
        <f>IF(AND(F150&lt;=DASHBOARD!$B$10, H150&gt;=DASHBOARD!$B$11), P150, 1000000000000)</f>
        <v/>
      </c>
      <c r="AB150" s="101">
        <f>IF(AND(F150&lt;=DASHBOARD!$B$10, H150&gt;=DASHBOARD!$B$11), Q150, -1000000000000)</f>
        <v/>
      </c>
    </row>
    <row r="151" ht="12.75" customHeight="1" s="102">
      <c r="A151" s="166" t="n">
        <v>147</v>
      </c>
      <c r="B151" s="167" t="n">
        <v>0.3</v>
      </c>
      <c r="C151" s="167" t="n">
        <v>1</v>
      </c>
      <c r="D151" s="110" t="inlineStr">
        <is>
          <t>Yok (%0)</t>
        </is>
      </c>
      <c r="E151" s="110">
        <f>IF((B151+C151)&lt;=1, "Tam Mahsuplaşma (≤%100)", "Kısmi Satış (&gt;%100)")</f>
        <v/>
      </c>
      <c r="F151" s="168">
        <f>((VERI_TABANI!$D$29*B151/VERI_TABANI!$B$29)/VERI_TABANI!$B$3)*VERI_TABANI!$B$5 + ((VERI_TABANI!$D$29*C151/VERI_TABANI!$B$29)/VERI_TABANI!$B$4)*VERI_TABANI!$B$6 + IF(ISNUMBER(SEARCH("Var", D151)), (VERI_TABANI!$F$29/VERI_TABANI!$B$29)*(VERI_TABANI!$B$10+VERI_TABANI!$B$12), 0)</f>
        <v/>
      </c>
      <c r="G151" s="168">
        <f>(((MIN(VERI_TABANI!D23, VERI_TABANI!D23*B151)*VERI_TABANI!$B$7 + MAX(0, VERI_TABANI!D23*B151-VERI_TABANI!D23)*VERI_TABANI!$B$8) + (MIN(MAX(0, VERI_TABANI!D23-VERI_TABANI!D23*B151), VERI_TABANI!D23*C151)*VERI_TABANI!$B$7 + MAX(0, VERI_TABANI!D23*C151-MAX(0, VERI_TABANI!D23-VERI_TABANI!D23*B151))*VERI_TABANI!$B$8) + IF(ABS(IF(ISNUMBER(SEARCH("Var", D151)), 1, IF(ISNUMBER(SEARCH("Gri", D151)), -1, 0)))=1, VERI_TABANI!E23*(1-0.928)*VERI_TABANI!$B$9, 0) + (VERI_TABANI!D23*B151*(VERI_TABANI!$B$13-VERI_TABANI!$B$14)*VERI_TABANI!G23) + (VERI_TABANI!D23*C151*(VERI_TABANI!$B$13-VERI_TABANI!$B$15)*VERI_TABANI!G23) + IF(ABS(IF(ISNUMBER(SEARCH("Var", D151)), 1, IF(ISNUMBER(SEARCH("Gri", D151)), -1, 0)))=1, VERI_TABANI!E23*(1-0.928)*0.00206091519919798*VERI_TABANI!G23, 0)) + ((MIN(VERI_TABANI!D24, VERI_TABANI!D24*B151)*VERI_TABANI!$B$7 + MAX(0, VERI_TABANI!D24*B151-VERI_TABANI!D24)*VERI_TABANI!$B$8) + (MIN(MAX(0, VERI_TABANI!D24-VERI_TABANI!D24*B151), VERI_TABANI!D24*C151)*VERI_TABANI!$B$7 + MAX(0, VERI_TABANI!D24*C151-MAX(0, VERI_TABANI!D24-VERI_TABANI!D24*B151))*VERI_TABANI!$B$8) + IF(ABS(IF(ISNUMBER(SEARCH("Var", D151)), 1, IF(ISNUMBER(SEARCH("Gri", D151)), -1, 0)))=1, VERI_TABANI!E24*(1-0.928)*VERI_TABANI!$B$9, 0) + (VERI_TABANI!D24*B151*(VERI_TABANI!$B$13-VERI_TABANI!$B$14)*VERI_TABANI!G24) + (VERI_TABANI!D24*C151*(VERI_TABANI!$B$13-VERI_TABANI!$B$15)*VERI_TABANI!G24) + IF(ABS(IF(ISNUMBER(SEARCH("Var", D151)), 1, IF(ISNUMBER(SEARCH("Gri", D151)), -1, 0)))=1, VERI_TABANI!E24*(1-0.928)*0.00206091519919798*VERI_TABANI!G24, 0)) + ((MIN(VERI_TABANI!D25, VERI_TABANI!D25*B151)*VERI_TABANI!$B$7 + MAX(0, VERI_TABANI!D25*B151-VERI_TABANI!D25)*VERI_TABANI!$B$8) + (MIN(MAX(0, VERI_TABANI!D25-VERI_TABANI!D25*B151), VERI_TABANI!D25*C151)*VERI_TABANI!$B$7 + MAX(0, VERI_TABANI!D25*C151-MAX(0, VERI_TABANI!D25-VERI_TABANI!D25*B151))*VERI_TABANI!$B$8) + IF(ABS(IF(ISNUMBER(SEARCH("Var", D151)), 1, IF(ISNUMBER(SEARCH("Gri", D151)), -1, 0)))=1, VERI_TABANI!E25*(1-0.928)*VERI_TABANI!$B$9, 0) + (VERI_TABANI!D25*B151*(VERI_TABANI!$B$13-VERI_TABANI!$B$14)*VERI_TABANI!G25) + (VERI_TABANI!D25*C151*(VERI_TABANI!$B$13-VERI_TABANI!$B$15)*VERI_TABANI!G25) + IF(ABS(IF(ISNUMBER(SEARCH("Var", D151)), 1, IF(ISNUMBER(SEARCH("Gri", D151)), -1, 0)))=1, VERI_TABANI!E25*(1-0.928)*0.00206091519919798*VERI_TABANI!G25, 0)) + ((MIN(VERI_TABANI!D26, VERI_TABANI!D26*B151)*VERI_TABANI!$B$7 + MAX(0, VERI_TABANI!D26*B151-VERI_TABANI!D26)*VERI_TABANI!$B$8) + (MIN(MAX(0, VERI_TABANI!D26-VERI_TABANI!D26*B151), VERI_TABANI!D26*C151)*VERI_TABANI!$B$7 + MAX(0, VERI_TABANI!D26*C151-MAX(0, VERI_TABANI!D26-VERI_TABANI!D26*B151))*VERI_TABANI!$B$8) + IF(ABS(IF(ISNUMBER(SEARCH("Var", D151)), 1, IF(ISNUMBER(SEARCH("Gri", D151)), -1, 0)))=1, VERI_TABANI!E26*(1-0.928)*VERI_TABANI!$B$9, 0) + (VERI_TABANI!D26*B151*(VERI_TABANI!$B$13-VERI_TABANI!$B$14)*VERI_TABANI!G26) + (VERI_TABANI!D26*C151*(VERI_TABANI!$B$13-VERI_TABANI!$B$15)*VERI_TABANI!G26) + IF(ABS(IF(ISNUMBER(SEARCH("Var", D151)), 1, IF(ISNUMBER(SEARCH("Gri", D151)), -1, 0)))=1, VERI_TABANI!E26*(1-0.928)*0.00206091519919798*VERI_TABANI!G26, 0)) + ((MIN(VERI_TABANI!D27, VERI_TABANI!D27*B151)*VERI_TABANI!$B$7 + MAX(0, VERI_TABANI!D27*B151-VERI_TABANI!D27)*VERI_TABANI!$B$8) + (MIN(MAX(0, VERI_TABANI!D27-VERI_TABANI!D27*B151), VERI_TABANI!D27*C151)*VERI_TABANI!$B$7 + MAX(0, VERI_TABANI!D27*C151-MAX(0, VERI_TABANI!D27-VERI_TABANI!D27*B151))*VERI_TABANI!$B$8) + IF(ABS(IF(ISNUMBER(SEARCH("Var", D151)), 1, IF(ISNUMBER(SEARCH("Gri", D151)), -1, 0)))=1, VERI_TABANI!E27*(1-0.928)*VERI_TABANI!$B$9, 0) + (VERI_TABANI!D27*B151*(VERI_TABANI!$B$13-VERI_TABANI!$B$14)*VERI_TABANI!G27) + (VERI_TABANI!D27*C151*(VERI_TABANI!$B$13-VERI_TABANI!$B$15)*VERI_TABANI!G27) + IF(ABS(IF(ISNUMBER(SEARCH("Var", D151)), 1, IF(ISNUMBER(SEARCH("Gri", D151)), -1, 0)))=1, VERI_TABANI!E27*(1-0.928)*0.00206091519919798*VERI_TABANI!G27, 0)) + ((MIN(VERI_TABANI!D28, VERI_TABANI!D28*B151)*VERI_TABANI!$B$7 + MAX(0, VERI_TABANI!D28*B151-VERI_TABANI!D28)*VERI_TABANI!$B$8) + (MIN(MAX(0, VERI_TABANI!D28-VERI_TABANI!D28*B151), VERI_TABANI!D28*C151)*VERI_TABANI!$B$7 + MAX(0, VERI_TABANI!D28*C151-MAX(0, VERI_TABANI!D28-VERI_TABANI!D28*B151))*VERI_TABANI!$B$8) + IF(ABS(IF(ISNUMBER(SEARCH("Var", D151)), 1, IF(ISNUMBER(SEARCH("Gri", D151)), -1, 0)))=1, VERI_TABANI!E28*(1-0.928)*VERI_TABANI!$B$9, 0) + (VERI_TABANI!D28*B151*(VERI_TABANI!$B$13-VERI_TABANI!$B$14)*VERI_TABANI!G28) + (VERI_TABANI!D28*C151*(VERI_TABANI!$B$13-VERI_TABANI!$B$15)*VERI_TABANI!G28) + IF(ABS(IF(ISNUMBER(SEARCH("Var", D151)), 1, IF(ISNUMBER(SEARCH("Gri", D151)), -1, 0)))=1, VERI_TABANI!E28*(1-0.928)*0.00206091519919798*VERI_TABANI!G28, 0)))</f>
        <v/>
      </c>
      <c r="H151" s="169">
        <f>(((VERI_TABANI!D23*B151*(VERI_TABANI!$B$13-VERI_TABANI!$B$14)) + (VERI_TABANI!D23*C151*(VERI_TABANI!$B$13-VERI_TABANI!$B$15)) + IF(ISNUMBER(SEARCH("Var", D151)), VERI_TABANI!F23*(0.00202-VERI_TABANI!$B$16), IF(ISNUMBER(SEARCH("Gri", D151)), VERI_TABANI!F23*(0.00202-VERI_TABANI!$B$17), 0))) + ((VERI_TABANI!D24*B151*(VERI_TABANI!$B$13-VERI_TABANI!$B$14)) + (VERI_TABANI!D24*C151*(VERI_TABANI!$B$13-VERI_TABANI!$B$15)) + IF(ISNUMBER(SEARCH("Var", D151)), VERI_TABANI!F24*(0.00202-VERI_TABANI!$B$16), IF(ISNUMBER(SEARCH("Gri", D151)), VERI_TABANI!F24*(0.00202-VERI_TABANI!$B$17), 0))) + ((VERI_TABANI!D25*B151*(VERI_TABANI!$B$13-VERI_TABANI!$B$14)) + (VERI_TABANI!D25*C151*(VERI_TABANI!$B$13-VERI_TABANI!$B$15)) + IF(ISNUMBER(SEARCH("Var", D151)), VERI_TABANI!F25*(0.00202-VERI_TABANI!$B$16), IF(ISNUMBER(SEARCH("Gri", D151)), VERI_TABANI!F25*(0.00202-VERI_TABANI!$B$17), 0))) + ((VERI_TABANI!D26*B151*(VERI_TABANI!$B$13-VERI_TABANI!$B$14)) + (VERI_TABANI!D26*C151*(VERI_TABANI!$B$13-VERI_TABANI!$B$15)) + IF(ISNUMBER(SEARCH("Var", D151)), VERI_TABANI!F26*(0.00202-VERI_TABANI!$B$16), IF(ISNUMBER(SEARCH("Gri", D151)), VERI_TABANI!F26*(0.00202-VERI_TABANI!$B$17), 0))) + ((VERI_TABANI!D27*B151*(VERI_TABANI!$B$13-VERI_TABANI!$B$14)) + (VERI_TABANI!D27*C151*(VERI_TABANI!$B$13-VERI_TABANI!$B$15)) + IF(ISNUMBER(SEARCH("Var", D151)), VERI_TABANI!F27*(0.00202-VERI_TABANI!$B$16), IF(ISNUMBER(SEARCH("Gri", D151)), VERI_TABANI!F27*(0.00202-VERI_TABANI!$B$17), 0))) + ((VERI_TABANI!D28*B151*(VERI_TABANI!$B$13-VERI_TABANI!$B$14)) + (VERI_TABANI!D28*C151*(VERI_TABANI!$B$13-VERI_TABANI!$B$15)) + IF(ISNUMBER(SEARCH("Var", D151)), VERI_TABANI!F28*(0.00202-VERI_TABANI!$B$16), IF(ISNUMBER(SEARCH("Gri", D151)), VERI_TABANI!F28*(0.00202-VERI_TABANI!$B$17), 0))))</f>
        <v/>
      </c>
      <c r="I151" s="170">
        <f>IFERROR(((VERI_TABANI!$D$29*B151*VERI_TABANI!$B$14 + VERI_TABANI!$D$29*C151*VERI_TABANI!$B$15 + IF(ISNUMBER(SEARCH("Var", D151)), VERI_TABANI!$F$29*VERI_TABANI!$B$16, 0))) / (((VERI_TABANI!$D$29*B151 + VERI_TABANI!$D$29*C151)*VERI_TABANI!$B$13 + IF(ISNUMBER(SEARCH("Var", D151)), VERI_TABANI!$E$29*(1-0.928)*VERI_TABANI!$B$18, 0))), 0)</f>
        <v/>
      </c>
      <c r="J151" s="171">
        <f>IFERROR(F151/(G151/29), 0)</f>
        <v/>
      </c>
      <c r="K151" s="172">
        <f>IF(F151&gt;0, H151/F151, 0)</f>
        <v/>
      </c>
      <c r="L151" s="170">
        <f>IF(F151&gt;0, I151, 1000000000)</f>
        <v/>
      </c>
      <c r="M151" s="171">
        <f>ABS((B151+C151)-1)</f>
        <v/>
      </c>
      <c r="N151" s="170">
        <f>IF(F151&gt;0, (G151/29)/F151, 0)</f>
        <v/>
      </c>
      <c r="O151" s="168">
        <f>IF(AND((B151+C151)&gt;=1, ISNUMBER(SEARCH("Var", D151))), F151, 1000000000)</f>
        <v/>
      </c>
      <c r="P151" s="172">
        <f>IF(F151&gt;0, SQRT((F151/MAX(F$5:F$886))^2 + (1 - H151/MAX(H$5:H$886))^2 + (J151/MAX(J$5:J$886))^2), 1000000000)</f>
        <v/>
      </c>
      <c r="Q151" s="166">
        <f>IF(AND(ABS(B151-0.5)&lt;0.01, ABS(C151-0.5)&lt;0.01, ISNUMBER(SEARCH("Var", D151))), 1, 0)</f>
        <v/>
      </c>
      <c r="R151" s="171">
        <f>IF(F151&gt;0, J151, 1000000000)</f>
        <v/>
      </c>
      <c r="S151" s="101">
        <f>IF(AND(F151&lt;=DASHBOARD!$B$11, H151&gt;=DASHBOARD!$B$13), G151, -1000000000000)</f>
        <v/>
      </c>
      <c r="T151" s="101">
        <f>IF(AND(F151&lt;=DASHBOARD!$B$11, H151&gt;=DASHBOARD!$B$13), R151, 1000000000000)</f>
        <v/>
      </c>
      <c r="U151" s="101">
        <f>IF(AND(F151&lt;=DASHBOARD!$B$11, H151&gt;=DASHBOARD!$B$13), N151, -1000000000000)</f>
        <v/>
      </c>
      <c r="V151" s="101">
        <f>IF(AND(F151&lt;=DASHBOARD!$B$11, H151&gt;=DASHBOARD!$B$13), H151, -1000000000000)</f>
        <v/>
      </c>
      <c r="W151" s="101">
        <f>IF(AND(F151&lt;=DASHBOARD!$B$11, H151&gt;=DASHBOARD!$B$13), K151, -1000000000000)</f>
        <v/>
      </c>
      <c r="X151" s="101">
        <f>IF(AND(F151&lt;=DASHBOARD!$B$11, H151&gt;=DASHBOARD!$B$13), M151, 1000000000000)</f>
        <v/>
      </c>
      <c r="Y151" s="101">
        <f>IF(AND(F151&lt;=DASHBOARD!$B$10, H151&gt;=DASHBOARD!$B$11), L151, 1000000000000)</f>
        <v/>
      </c>
      <c r="Z151" s="101">
        <f>IF(AND(F151&lt;=DASHBOARD!$B$10, H151&gt;=DASHBOARD!$B$11), O151, 1000000000000)</f>
        <v/>
      </c>
      <c r="AA151" s="101">
        <f>IF(AND(F151&lt;=DASHBOARD!$B$10, H151&gt;=DASHBOARD!$B$11), P151, 1000000000000)</f>
        <v/>
      </c>
      <c r="AB151" s="101">
        <f>IF(AND(F151&lt;=DASHBOARD!$B$10, H151&gt;=DASHBOARD!$B$11), Q151, -1000000000000)</f>
        <v/>
      </c>
    </row>
    <row r="152" ht="12.75" customHeight="1" s="102">
      <c r="A152" s="166" t="n">
        <v>148</v>
      </c>
      <c r="B152" s="167" t="n">
        <v>0.3</v>
      </c>
      <c r="C152" s="167" t="n">
        <v>1</v>
      </c>
      <c r="D152" s="110" t="inlineStr">
        <is>
          <t>Var (%20)</t>
        </is>
      </c>
      <c r="E152" s="110">
        <f>IF((B152+C152)&lt;=1, "Tam Mahsuplaşma (≤%100)", "Kısmi Satış (&gt;%100)")</f>
        <v/>
      </c>
      <c r="F152" s="168">
        <f>((VERI_TABANI!$D$29*B152/VERI_TABANI!$B$29)/VERI_TABANI!$B$3)*VERI_TABANI!$B$5 + ((VERI_TABANI!$D$29*C152/VERI_TABANI!$B$29)/VERI_TABANI!$B$4)*VERI_TABANI!$B$6 + IF(ISNUMBER(SEARCH("Var", D152)), (VERI_TABANI!$F$29/VERI_TABANI!$B$29)*(VERI_TABANI!$B$10+VERI_TABANI!$B$12), 0)</f>
        <v/>
      </c>
      <c r="G152" s="168">
        <f>(((MIN(VERI_TABANI!D23, VERI_TABANI!D23*B152)*VERI_TABANI!$B$7 + MAX(0, VERI_TABANI!D23*B152-VERI_TABANI!D23)*VERI_TABANI!$B$8) + (MIN(MAX(0, VERI_TABANI!D23-VERI_TABANI!D23*B152), VERI_TABANI!D23*C152)*VERI_TABANI!$B$7 + MAX(0, VERI_TABANI!D23*C152-MAX(0, VERI_TABANI!D23-VERI_TABANI!D23*B152))*VERI_TABANI!$B$8) + IF(ABS(IF(ISNUMBER(SEARCH("Var", D152)), 1, IF(ISNUMBER(SEARCH("Gri", D152)), -1, 0)))=1, VERI_TABANI!E23*(1-0.928)*VERI_TABANI!$B$9, 0) + (VERI_TABANI!D23*B152*(VERI_TABANI!$B$13-VERI_TABANI!$B$14)*VERI_TABANI!G23) + (VERI_TABANI!D23*C152*(VERI_TABANI!$B$13-VERI_TABANI!$B$15)*VERI_TABANI!G23) + IF(ABS(IF(ISNUMBER(SEARCH("Var", D152)), 1, IF(ISNUMBER(SEARCH("Gri", D152)), -1, 0)))=1, VERI_TABANI!E23*(1-0.928)*0.00206091519919798*VERI_TABANI!G23, 0)) + ((MIN(VERI_TABANI!D24, VERI_TABANI!D24*B152)*VERI_TABANI!$B$7 + MAX(0, VERI_TABANI!D24*B152-VERI_TABANI!D24)*VERI_TABANI!$B$8) + (MIN(MAX(0, VERI_TABANI!D24-VERI_TABANI!D24*B152), VERI_TABANI!D24*C152)*VERI_TABANI!$B$7 + MAX(0, VERI_TABANI!D24*C152-MAX(0, VERI_TABANI!D24-VERI_TABANI!D24*B152))*VERI_TABANI!$B$8) + IF(ABS(IF(ISNUMBER(SEARCH("Var", D152)), 1, IF(ISNUMBER(SEARCH("Gri", D152)), -1, 0)))=1, VERI_TABANI!E24*(1-0.928)*VERI_TABANI!$B$9, 0) + (VERI_TABANI!D24*B152*(VERI_TABANI!$B$13-VERI_TABANI!$B$14)*VERI_TABANI!G24) + (VERI_TABANI!D24*C152*(VERI_TABANI!$B$13-VERI_TABANI!$B$15)*VERI_TABANI!G24) + IF(ABS(IF(ISNUMBER(SEARCH("Var", D152)), 1, IF(ISNUMBER(SEARCH("Gri", D152)), -1, 0)))=1, VERI_TABANI!E24*(1-0.928)*0.00206091519919798*VERI_TABANI!G24, 0)) + ((MIN(VERI_TABANI!D25, VERI_TABANI!D25*B152)*VERI_TABANI!$B$7 + MAX(0, VERI_TABANI!D25*B152-VERI_TABANI!D25)*VERI_TABANI!$B$8) + (MIN(MAX(0, VERI_TABANI!D25-VERI_TABANI!D25*B152), VERI_TABANI!D25*C152)*VERI_TABANI!$B$7 + MAX(0, VERI_TABANI!D25*C152-MAX(0, VERI_TABANI!D25-VERI_TABANI!D25*B152))*VERI_TABANI!$B$8) + IF(ABS(IF(ISNUMBER(SEARCH("Var", D152)), 1, IF(ISNUMBER(SEARCH("Gri", D152)), -1, 0)))=1, VERI_TABANI!E25*(1-0.928)*VERI_TABANI!$B$9, 0) + (VERI_TABANI!D25*B152*(VERI_TABANI!$B$13-VERI_TABANI!$B$14)*VERI_TABANI!G25) + (VERI_TABANI!D25*C152*(VERI_TABANI!$B$13-VERI_TABANI!$B$15)*VERI_TABANI!G25) + IF(ABS(IF(ISNUMBER(SEARCH("Var", D152)), 1, IF(ISNUMBER(SEARCH("Gri", D152)), -1, 0)))=1, VERI_TABANI!E25*(1-0.928)*0.00206091519919798*VERI_TABANI!G25, 0)) + ((MIN(VERI_TABANI!D26, VERI_TABANI!D26*B152)*VERI_TABANI!$B$7 + MAX(0, VERI_TABANI!D26*B152-VERI_TABANI!D26)*VERI_TABANI!$B$8) + (MIN(MAX(0, VERI_TABANI!D26-VERI_TABANI!D26*B152), VERI_TABANI!D26*C152)*VERI_TABANI!$B$7 + MAX(0, VERI_TABANI!D26*C152-MAX(0, VERI_TABANI!D26-VERI_TABANI!D26*B152))*VERI_TABANI!$B$8) + IF(ABS(IF(ISNUMBER(SEARCH("Var", D152)), 1, IF(ISNUMBER(SEARCH("Gri", D152)), -1, 0)))=1, VERI_TABANI!E26*(1-0.928)*VERI_TABANI!$B$9, 0) + (VERI_TABANI!D26*B152*(VERI_TABANI!$B$13-VERI_TABANI!$B$14)*VERI_TABANI!G26) + (VERI_TABANI!D26*C152*(VERI_TABANI!$B$13-VERI_TABANI!$B$15)*VERI_TABANI!G26) + IF(ABS(IF(ISNUMBER(SEARCH("Var", D152)), 1, IF(ISNUMBER(SEARCH("Gri", D152)), -1, 0)))=1, VERI_TABANI!E26*(1-0.928)*0.00206091519919798*VERI_TABANI!G26, 0)) + ((MIN(VERI_TABANI!D27, VERI_TABANI!D27*B152)*VERI_TABANI!$B$7 + MAX(0, VERI_TABANI!D27*B152-VERI_TABANI!D27)*VERI_TABANI!$B$8) + (MIN(MAX(0, VERI_TABANI!D27-VERI_TABANI!D27*B152), VERI_TABANI!D27*C152)*VERI_TABANI!$B$7 + MAX(0, VERI_TABANI!D27*C152-MAX(0, VERI_TABANI!D27-VERI_TABANI!D27*B152))*VERI_TABANI!$B$8) + IF(ABS(IF(ISNUMBER(SEARCH("Var", D152)), 1, IF(ISNUMBER(SEARCH("Gri", D152)), -1, 0)))=1, VERI_TABANI!E27*(1-0.928)*VERI_TABANI!$B$9, 0) + (VERI_TABANI!D27*B152*(VERI_TABANI!$B$13-VERI_TABANI!$B$14)*VERI_TABANI!G27) + (VERI_TABANI!D27*C152*(VERI_TABANI!$B$13-VERI_TABANI!$B$15)*VERI_TABANI!G27) + IF(ABS(IF(ISNUMBER(SEARCH("Var", D152)), 1, IF(ISNUMBER(SEARCH("Gri", D152)), -1, 0)))=1, VERI_TABANI!E27*(1-0.928)*0.00206091519919798*VERI_TABANI!G27, 0)) + ((MIN(VERI_TABANI!D28, VERI_TABANI!D28*B152)*VERI_TABANI!$B$7 + MAX(0, VERI_TABANI!D28*B152-VERI_TABANI!D28)*VERI_TABANI!$B$8) + (MIN(MAX(0, VERI_TABANI!D28-VERI_TABANI!D28*B152), VERI_TABANI!D28*C152)*VERI_TABANI!$B$7 + MAX(0, VERI_TABANI!D28*C152-MAX(0, VERI_TABANI!D28-VERI_TABANI!D28*B152))*VERI_TABANI!$B$8) + IF(ABS(IF(ISNUMBER(SEARCH("Var", D152)), 1, IF(ISNUMBER(SEARCH("Gri", D152)), -1, 0)))=1, VERI_TABANI!E28*(1-0.928)*VERI_TABANI!$B$9, 0) + (VERI_TABANI!D28*B152*(VERI_TABANI!$B$13-VERI_TABANI!$B$14)*VERI_TABANI!G28) + (VERI_TABANI!D28*C152*(VERI_TABANI!$B$13-VERI_TABANI!$B$15)*VERI_TABANI!G28) + IF(ABS(IF(ISNUMBER(SEARCH("Var", D152)), 1, IF(ISNUMBER(SEARCH("Gri", D152)), -1, 0)))=1, VERI_TABANI!E28*(1-0.928)*0.00206091519919798*VERI_TABANI!G28, 0)))</f>
        <v/>
      </c>
      <c r="H152" s="169">
        <f>(((VERI_TABANI!D23*B152*(VERI_TABANI!$B$13-VERI_TABANI!$B$14)) + (VERI_TABANI!D23*C152*(VERI_TABANI!$B$13-VERI_TABANI!$B$15)) + IF(ISNUMBER(SEARCH("Var", D152)), VERI_TABANI!F23*(0.00202-VERI_TABANI!$B$16), IF(ISNUMBER(SEARCH("Gri", D152)), VERI_TABANI!F23*(0.00202-VERI_TABANI!$B$17), 0))) + ((VERI_TABANI!D24*B152*(VERI_TABANI!$B$13-VERI_TABANI!$B$14)) + (VERI_TABANI!D24*C152*(VERI_TABANI!$B$13-VERI_TABANI!$B$15)) + IF(ISNUMBER(SEARCH("Var", D152)), VERI_TABANI!F24*(0.00202-VERI_TABANI!$B$16), IF(ISNUMBER(SEARCH("Gri", D152)), VERI_TABANI!F24*(0.00202-VERI_TABANI!$B$17), 0))) + ((VERI_TABANI!D25*B152*(VERI_TABANI!$B$13-VERI_TABANI!$B$14)) + (VERI_TABANI!D25*C152*(VERI_TABANI!$B$13-VERI_TABANI!$B$15)) + IF(ISNUMBER(SEARCH("Var", D152)), VERI_TABANI!F25*(0.00202-VERI_TABANI!$B$16), IF(ISNUMBER(SEARCH("Gri", D152)), VERI_TABANI!F25*(0.00202-VERI_TABANI!$B$17), 0))) + ((VERI_TABANI!D26*B152*(VERI_TABANI!$B$13-VERI_TABANI!$B$14)) + (VERI_TABANI!D26*C152*(VERI_TABANI!$B$13-VERI_TABANI!$B$15)) + IF(ISNUMBER(SEARCH("Var", D152)), VERI_TABANI!F26*(0.00202-VERI_TABANI!$B$16), IF(ISNUMBER(SEARCH("Gri", D152)), VERI_TABANI!F26*(0.00202-VERI_TABANI!$B$17), 0))) + ((VERI_TABANI!D27*B152*(VERI_TABANI!$B$13-VERI_TABANI!$B$14)) + (VERI_TABANI!D27*C152*(VERI_TABANI!$B$13-VERI_TABANI!$B$15)) + IF(ISNUMBER(SEARCH("Var", D152)), VERI_TABANI!F27*(0.00202-VERI_TABANI!$B$16), IF(ISNUMBER(SEARCH("Gri", D152)), VERI_TABANI!F27*(0.00202-VERI_TABANI!$B$17), 0))) + ((VERI_TABANI!D28*B152*(VERI_TABANI!$B$13-VERI_TABANI!$B$14)) + (VERI_TABANI!D28*C152*(VERI_TABANI!$B$13-VERI_TABANI!$B$15)) + IF(ISNUMBER(SEARCH("Var", D152)), VERI_TABANI!F28*(0.00202-VERI_TABANI!$B$16), IF(ISNUMBER(SEARCH("Gri", D152)), VERI_TABANI!F28*(0.00202-VERI_TABANI!$B$17), 0))))</f>
        <v/>
      </c>
      <c r="I152" s="170">
        <f>IFERROR(((VERI_TABANI!$D$29*B152*VERI_TABANI!$B$14 + VERI_TABANI!$D$29*C152*VERI_TABANI!$B$15 + IF(ISNUMBER(SEARCH("Var", D152)), VERI_TABANI!$F$29*VERI_TABANI!$B$16, 0))) / (((VERI_TABANI!$D$29*B152 + VERI_TABANI!$D$29*C152)*VERI_TABANI!$B$13 + IF(ISNUMBER(SEARCH("Var", D152)), VERI_TABANI!$E$29*(1-0.928)*VERI_TABANI!$B$18, 0))), 0)</f>
        <v/>
      </c>
      <c r="J152" s="171">
        <f>IFERROR(F152/(G152/29), 0)</f>
        <v/>
      </c>
      <c r="K152" s="172">
        <f>IF(F152&gt;0, H152/F152, 0)</f>
        <v/>
      </c>
      <c r="L152" s="170">
        <f>IF(F152&gt;0, I152, 1000000000)</f>
        <v/>
      </c>
      <c r="M152" s="171">
        <f>ABS((B152+C152)-1)</f>
        <v/>
      </c>
      <c r="N152" s="170">
        <f>IF(F152&gt;0, (G152/29)/F152, 0)</f>
        <v/>
      </c>
      <c r="O152" s="168">
        <f>IF(AND((B152+C152)&gt;=1, ISNUMBER(SEARCH("Var", D152))), F152, 1000000000)</f>
        <v/>
      </c>
      <c r="P152" s="172">
        <f>IF(F152&gt;0, SQRT((F152/MAX(F$5:F$886))^2 + (1 - H152/MAX(H$5:H$886))^2 + (J152/MAX(J$5:J$886))^2), 1000000000)</f>
        <v/>
      </c>
      <c r="Q152" s="166">
        <f>IF(AND(ABS(B152-0.5)&lt;0.01, ABS(C152-0.5)&lt;0.01, ISNUMBER(SEARCH("Var", D152))), 1, 0)</f>
        <v/>
      </c>
      <c r="R152" s="171">
        <f>IF(F152&gt;0, J152, 1000000000)</f>
        <v/>
      </c>
      <c r="S152" s="101">
        <f>IF(AND(F152&lt;=DASHBOARD!$B$11, H152&gt;=DASHBOARD!$B$13), G152, -1000000000000)</f>
        <v/>
      </c>
      <c r="T152" s="101">
        <f>IF(AND(F152&lt;=DASHBOARD!$B$11, H152&gt;=DASHBOARD!$B$13), R152, 1000000000000)</f>
        <v/>
      </c>
      <c r="U152" s="101">
        <f>IF(AND(F152&lt;=DASHBOARD!$B$11, H152&gt;=DASHBOARD!$B$13), N152, -1000000000000)</f>
        <v/>
      </c>
      <c r="V152" s="101">
        <f>IF(AND(F152&lt;=DASHBOARD!$B$11, H152&gt;=DASHBOARD!$B$13), H152, -1000000000000)</f>
        <v/>
      </c>
      <c r="W152" s="101">
        <f>IF(AND(F152&lt;=DASHBOARD!$B$11, H152&gt;=DASHBOARD!$B$13), K152, -1000000000000)</f>
        <v/>
      </c>
      <c r="X152" s="101">
        <f>IF(AND(F152&lt;=DASHBOARD!$B$11, H152&gt;=DASHBOARD!$B$13), M152, 1000000000000)</f>
        <v/>
      </c>
      <c r="Y152" s="101">
        <f>IF(AND(F152&lt;=DASHBOARD!$B$10, H152&gt;=DASHBOARD!$B$11), L152, 1000000000000)</f>
        <v/>
      </c>
      <c r="Z152" s="101">
        <f>IF(AND(F152&lt;=DASHBOARD!$B$10, H152&gt;=DASHBOARD!$B$11), O152, 1000000000000)</f>
        <v/>
      </c>
      <c r="AA152" s="101">
        <f>IF(AND(F152&lt;=DASHBOARD!$B$10, H152&gt;=DASHBOARD!$B$11), P152, 1000000000000)</f>
        <v/>
      </c>
      <c r="AB152" s="101">
        <f>IF(AND(F152&lt;=DASHBOARD!$B$10, H152&gt;=DASHBOARD!$B$11), Q152, -1000000000000)</f>
        <v/>
      </c>
    </row>
    <row r="153" ht="12.75" customHeight="1" s="102">
      <c r="A153" s="166" t="n">
        <v>149</v>
      </c>
      <c r="B153" s="167" t="n">
        <v>0.3</v>
      </c>
      <c r="C153" s="167" t="n">
        <v>1.1</v>
      </c>
      <c r="D153" s="110" t="inlineStr">
        <is>
          <t>Yok (%0)</t>
        </is>
      </c>
      <c r="E153" s="110">
        <f>IF((B153+C153)&lt;=1, "Tam Mahsuplaşma (≤%100)", "Kısmi Satış (&gt;%100)")</f>
        <v/>
      </c>
      <c r="F153" s="168">
        <f>((VERI_TABANI!$D$29*B153/VERI_TABANI!$B$29)/VERI_TABANI!$B$3)*VERI_TABANI!$B$5 + ((VERI_TABANI!$D$29*C153/VERI_TABANI!$B$29)/VERI_TABANI!$B$4)*VERI_TABANI!$B$6 + IF(ISNUMBER(SEARCH("Var", D153)), (VERI_TABANI!$F$29/VERI_TABANI!$B$29)*(VERI_TABANI!$B$10+VERI_TABANI!$B$12), 0)</f>
        <v/>
      </c>
      <c r="G153" s="168">
        <f>(((MIN(VERI_TABANI!D23, VERI_TABANI!D23*B153)*VERI_TABANI!$B$7 + MAX(0, VERI_TABANI!D23*B153-VERI_TABANI!D23)*VERI_TABANI!$B$8) + (MIN(MAX(0, VERI_TABANI!D23-VERI_TABANI!D23*B153), VERI_TABANI!D23*C153)*VERI_TABANI!$B$7 + MAX(0, VERI_TABANI!D23*C153-MAX(0, VERI_TABANI!D23-VERI_TABANI!D23*B153))*VERI_TABANI!$B$8) + IF(ABS(IF(ISNUMBER(SEARCH("Var", D153)), 1, IF(ISNUMBER(SEARCH("Gri", D153)), -1, 0)))=1, VERI_TABANI!E23*(1-0.928)*VERI_TABANI!$B$9, 0) + (VERI_TABANI!D23*B153*(VERI_TABANI!$B$13-VERI_TABANI!$B$14)*VERI_TABANI!G23) + (VERI_TABANI!D23*C153*(VERI_TABANI!$B$13-VERI_TABANI!$B$15)*VERI_TABANI!G23) + IF(ABS(IF(ISNUMBER(SEARCH("Var", D153)), 1, IF(ISNUMBER(SEARCH("Gri", D153)), -1, 0)))=1, VERI_TABANI!E23*(1-0.928)*0.00206091519919798*VERI_TABANI!G23, 0)) + ((MIN(VERI_TABANI!D24, VERI_TABANI!D24*B153)*VERI_TABANI!$B$7 + MAX(0, VERI_TABANI!D24*B153-VERI_TABANI!D24)*VERI_TABANI!$B$8) + (MIN(MAX(0, VERI_TABANI!D24-VERI_TABANI!D24*B153), VERI_TABANI!D24*C153)*VERI_TABANI!$B$7 + MAX(0, VERI_TABANI!D24*C153-MAX(0, VERI_TABANI!D24-VERI_TABANI!D24*B153))*VERI_TABANI!$B$8) + IF(ABS(IF(ISNUMBER(SEARCH("Var", D153)), 1, IF(ISNUMBER(SEARCH("Gri", D153)), -1, 0)))=1, VERI_TABANI!E24*(1-0.928)*VERI_TABANI!$B$9, 0) + (VERI_TABANI!D24*B153*(VERI_TABANI!$B$13-VERI_TABANI!$B$14)*VERI_TABANI!G24) + (VERI_TABANI!D24*C153*(VERI_TABANI!$B$13-VERI_TABANI!$B$15)*VERI_TABANI!G24) + IF(ABS(IF(ISNUMBER(SEARCH("Var", D153)), 1, IF(ISNUMBER(SEARCH("Gri", D153)), -1, 0)))=1, VERI_TABANI!E24*(1-0.928)*0.00206091519919798*VERI_TABANI!G24, 0)) + ((MIN(VERI_TABANI!D25, VERI_TABANI!D25*B153)*VERI_TABANI!$B$7 + MAX(0, VERI_TABANI!D25*B153-VERI_TABANI!D25)*VERI_TABANI!$B$8) + (MIN(MAX(0, VERI_TABANI!D25-VERI_TABANI!D25*B153), VERI_TABANI!D25*C153)*VERI_TABANI!$B$7 + MAX(0, VERI_TABANI!D25*C153-MAX(0, VERI_TABANI!D25-VERI_TABANI!D25*B153))*VERI_TABANI!$B$8) + IF(ABS(IF(ISNUMBER(SEARCH("Var", D153)), 1, IF(ISNUMBER(SEARCH("Gri", D153)), -1, 0)))=1, VERI_TABANI!E25*(1-0.928)*VERI_TABANI!$B$9, 0) + (VERI_TABANI!D25*B153*(VERI_TABANI!$B$13-VERI_TABANI!$B$14)*VERI_TABANI!G25) + (VERI_TABANI!D25*C153*(VERI_TABANI!$B$13-VERI_TABANI!$B$15)*VERI_TABANI!G25) + IF(ABS(IF(ISNUMBER(SEARCH("Var", D153)), 1, IF(ISNUMBER(SEARCH("Gri", D153)), -1, 0)))=1, VERI_TABANI!E25*(1-0.928)*0.00206091519919798*VERI_TABANI!G25, 0)) + ((MIN(VERI_TABANI!D26, VERI_TABANI!D26*B153)*VERI_TABANI!$B$7 + MAX(0, VERI_TABANI!D26*B153-VERI_TABANI!D26)*VERI_TABANI!$B$8) + (MIN(MAX(0, VERI_TABANI!D26-VERI_TABANI!D26*B153), VERI_TABANI!D26*C153)*VERI_TABANI!$B$7 + MAX(0, VERI_TABANI!D26*C153-MAX(0, VERI_TABANI!D26-VERI_TABANI!D26*B153))*VERI_TABANI!$B$8) + IF(ABS(IF(ISNUMBER(SEARCH("Var", D153)), 1, IF(ISNUMBER(SEARCH("Gri", D153)), -1, 0)))=1, VERI_TABANI!E26*(1-0.928)*VERI_TABANI!$B$9, 0) + (VERI_TABANI!D26*B153*(VERI_TABANI!$B$13-VERI_TABANI!$B$14)*VERI_TABANI!G26) + (VERI_TABANI!D26*C153*(VERI_TABANI!$B$13-VERI_TABANI!$B$15)*VERI_TABANI!G26) + IF(ABS(IF(ISNUMBER(SEARCH("Var", D153)), 1, IF(ISNUMBER(SEARCH("Gri", D153)), -1, 0)))=1, VERI_TABANI!E26*(1-0.928)*0.00206091519919798*VERI_TABANI!G26, 0)) + ((MIN(VERI_TABANI!D27, VERI_TABANI!D27*B153)*VERI_TABANI!$B$7 + MAX(0, VERI_TABANI!D27*B153-VERI_TABANI!D27)*VERI_TABANI!$B$8) + (MIN(MAX(0, VERI_TABANI!D27-VERI_TABANI!D27*B153), VERI_TABANI!D27*C153)*VERI_TABANI!$B$7 + MAX(0, VERI_TABANI!D27*C153-MAX(0, VERI_TABANI!D27-VERI_TABANI!D27*B153))*VERI_TABANI!$B$8) + IF(ABS(IF(ISNUMBER(SEARCH("Var", D153)), 1, IF(ISNUMBER(SEARCH("Gri", D153)), -1, 0)))=1, VERI_TABANI!E27*(1-0.928)*VERI_TABANI!$B$9, 0) + (VERI_TABANI!D27*B153*(VERI_TABANI!$B$13-VERI_TABANI!$B$14)*VERI_TABANI!G27) + (VERI_TABANI!D27*C153*(VERI_TABANI!$B$13-VERI_TABANI!$B$15)*VERI_TABANI!G27) + IF(ABS(IF(ISNUMBER(SEARCH("Var", D153)), 1, IF(ISNUMBER(SEARCH("Gri", D153)), -1, 0)))=1, VERI_TABANI!E27*(1-0.928)*0.00206091519919798*VERI_TABANI!G27, 0)) + ((MIN(VERI_TABANI!D28, VERI_TABANI!D28*B153)*VERI_TABANI!$B$7 + MAX(0, VERI_TABANI!D28*B153-VERI_TABANI!D28)*VERI_TABANI!$B$8) + (MIN(MAX(0, VERI_TABANI!D28-VERI_TABANI!D28*B153), VERI_TABANI!D28*C153)*VERI_TABANI!$B$7 + MAX(0, VERI_TABANI!D28*C153-MAX(0, VERI_TABANI!D28-VERI_TABANI!D28*B153))*VERI_TABANI!$B$8) + IF(ABS(IF(ISNUMBER(SEARCH("Var", D153)), 1, IF(ISNUMBER(SEARCH("Gri", D153)), -1, 0)))=1, VERI_TABANI!E28*(1-0.928)*VERI_TABANI!$B$9, 0) + (VERI_TABANI!D28*B153*(VERI_TABANI!$B$13-VERI_TABANI!$B$14)*VERI_TABANI!G28) + (VERI_TABANI!D28*C153*(VERI_TABANI!$B$13-VERI_TABANI!$B$15)*VERI_TABANI!G28) + IF(ABS(IF(ISNUMBER(SEARCH("Var", D153)), 1, IF(ISNUMBER(SEARCH("Gri", D153)), -1, 0)))=1, VERI_TABANI!E28*(1-0.928)*0.00206091519919798*VERI_TABANI!G28, 0)))</f>
        <v/>
      </c>
      <c r="H153" s="169">
        <f>(((VERI_TABANI!D23*B153*(VERI_TABANI!$B$13-VERI_TABANI!$B$14)) + (VERI_TABANI!D23*C153*(VERI_TABANI!$B$13-VERI_TABANI!$B$15)) + IF(ISNUMBER(SEARCH("Var", D153)), VERI_TABANI!F23*(0.00202-VERI_TABANI!$B$16), IF(ISNUMBER(SEARCH("Gri", D153)), VERI_TABANI!F23*(0.00202-VERI_TABANI!$B$17), 0))) + ((VERI_TABANI!D24*B153*(VERI_TABANI!$B$13-VERI_TABANI!$B$14)) + (VERI_TABANI!D24*C153*(VERI_TABANI!$B$13-VERI_TABANI!$B$15)) + IF(ISNUMBER(SEARCH("Var", D153)), VERI_TABANI!F24*(0.00202-VERI_TABANI!$B$16), IF(ISNUMBER(SEARCH("Gri", D153)), VERI_TABANI!F24*(0.00202-VERI_TABANI!$B$17), 0))) + ((VERI_TABANI!D25*B153*(VERI_TABANI!$B$13-VERI_TABANI!$B$14)) + (VERI_TABANI!D25*C153*(VERI_TABANI!$B$13-VERI_TABANI!$B$15)) + IF(ISNUMBER(SEARCH("Var", D153)), VERI_TABANI!F25*(0.00202-VERI_TABANI!$B$16), IF(ISNUMBER(SEARCH("Gri", D153)), VERI_TABANI!F25*(0.00202-VERI_TABANI!$B$17), 0))) + ((VERI_TABANI!D26*B153*(VERI_TABANI!$B$13-VERI_TABANI!$B$14)) + (VERI_TABANI!D26*C153*(VERI_TABANI!$B$13-VERI_TABANI!$B$15)) + IF(ISNUMBER(SEARCH("Var", D153)), VERI_TABANI!F26*(0.00202-VERI_TABANI!$B$16), IF(ISNUMBER(SEARCH("Gri", D153)), VERI_TABANI!F26*(0.00202-VERI_TABANI!$B$17), 0))) + ((VERI_TABANI!D27*B153*(VERI_TABANI!$B$13-VERI_TABANI!$B$14)) + (VERI_TABANI!D27*C153*(VERI_TABANI!$B$13-VERI_TABANI!$B$15)) + IF(ISNUMBER(SEARCH("Var", D153)), VERI_TABANI!F27*(0.00202-VERI_TABANI!$B$16), IF(ISNUMBER(SEARCH("Gri", D153)), VERI_TABANI!F27*(0.00202-VERI_TABANI!$B$17), 0))) + ((VERI_TABANI!D28*B153*(VERI_TABANI!$B$13-VERI_TABANI!$B$14)) + (VERI_TABANI!D28*C153*(VERI_TABANI!$B$13-VERI_TABANI!$B$15)) + IF(ISNUMBER(SEARCH("Var", D153)), VERI_TABANI!F28*(0.00202-VERI_TABANI!$B$16), IF(ISNUMBER(SEARCH("Gri", D153)), VERI_TABANI!F28*(0.00202-VERI_TABANI!$B$17), 0))))</f>
        <v/>
      </c>
      <c r="I153" s="170">
        <f>IFERROR(((VERI_TABANI!$D$29*B153*VERI_TABANI!$B$14 + VERI_TABANI!$D$29*C153*VERI_TABANI!$B$15 + IF(ISNUMBER(SEARCH("Var", D153)), VERI_TABANI!$F$29*VERI_TABANI!$B$16, 0))) / (((VERI_TABANI!$D$29*B153 + VERI_TABANI!$D$29*C153)*VERI_TABANI!$B$13 + IF(ISNUMBER(SEARCH("Var", D153)), VERI_TABANI!$E$29*(1-0.928)*VERI_TABANI!$B$18, 0))), 0)</f>
        <v/>
      </c>
      <c r="J153" s="171">
        <f>IFERROR(F153/(G153/29), 0)</f>
        <v/>
      </c>
      <c r="K153" s="172">
        <f>IF(F153&gt;0, H153/F153, 0)</f>
        <v/>
      </c>
      <c r="L153" s="170">
        <f>IF(F153&gt;0, I153, 1000000000)</f>
        <v/>
      </c>
      <c r="M153" s="171">
        <f>ABS((B153+C153)-1)</f>
        <v/>
      </c>
      <c r="N153" s="170">
        <f>IF(F153&gt;0, (G153/29)/F153, 0)</f>
        <v/>
      </c>
      <c r="O153" s="168">
        <f>IF(AND((B153+C153)&gt;=1, ISNUMBER(SEARCH("Var", D153))), F153, 1000000000)</f>
        <v/>
      </c>
      <c r="P153" s="172">
        <f>IF(F153&gt;0, SQRT((F153/MAX(F$5:F$886))^2 + (1 - H153/MAX(H$5:H$886))^2 + (J153/MAX(J$5:J$886))^2), 1000000000)</f>
        <v/>
      </c>
      <c r="Q153" s="166">
        <f>IF(AND(ABS(B153-0.5)&lt;0.01, ABS(C153-0.5)&lt;0.01, ISNUMBER(SEARCH("Var", D153))), 1, 0)</f>
        <v/>
      </c>
      <c r="R153" s="171">
        <f>IF(F153&gt;0, J153, 1000000000)</f>
        <v/>
      </c>
      <c r="S153" s="101">
        <f>IF(AND(F153&lt;=DASHBOARD!$B$11, H153&gt;=DASHBOARD!$B$13), G153, -1000000000000)</f>
        <v/>
      </c>
      <c r="T153" s="101">
        <f>IF(AND(F153&lt;=DASHBOARD!$B$11, H153&gt;=DASHBOARD!$B$13), R153, 1000000000000)</f>
        <v/>
      </c>
      <c r="U153" s="101">
        <f>IF(AND(F153&lt;=DASHBOARD!$B$11, H153&gt;=DASHBOARD!$B$13), N153, -1000000000000)</f>
        <v/>
      </c>
      <c r="V153" s="101">
        <f>IF(AND(F153&lt;=DASHBOARD!$B$11, H153&gt;=DASHBOARD!$B$13), H153, -1000000000000)</f>
        <v/>
      </c>
      <c r="W153" s="101">
        <f>IF(AND(F153&lt;=DASHBOARD!$B$11, H153&gt;=DASHBOARD!$B$13), K153, -1000000000000)</f>
        <v/>
      </c>
      <c r="X153" s="101">
        <f>IF(AND(F153&lt;=DASHBOARD!$B$11, H153&gt;=DASHBOARD!$B$13), M153, 1000000000000)</f>
        <v/>
      </c>
      <c r="Y153" s="101">
        <f>IF(AND(F153&lt;=DASHBOARD!$B$10, H153&gt;=DASHBOARD!$B$11), L153, 1000000000000)</f>
        <v/>
      </c>
      <c r="Z153" s="101">
        <f>IF(AND(F153&lt;=DASHBOARD!$B$10, H153&gt;=DASHBOARD!$B$11), O153, 1000000000000)</f>
        <v/>
      </c>
      <c r="AA153" s="101">
        <f>IF(AND(F153&lt;=DASHBOARD!$B$10, H153&gt;=DASHBOARD!$B$11), P153, 1000000000000)</f>
        <v/>
      </c>
      <c r="AB153" s="101">
        <f>IF(AND(F153&lt;=DASHBOARD!$B$10, H153&gt;=DASHBOARD!$B$11), Q153, -1000000000000)</f>
        <v/>
      </c>
    </row>
    <row r="154" ht="12.75" customHeight="1" s="102">
      <c r="A154" s="166" t="n">
        <v>150</v>
      </c>
      <c r="B154" s="167" t="n">
        <v>0.3</v>
      </c>
      <c r="C154" s="167" t="n">
        <v>1.1</v>
      </c>
      <c r="D154" s="110" t="inlineStr">
        <is>
          <t>Var (%20)</t>
        </is>
      </c>
      <c r="E154" s="110">
        <f>IF((B154+C154)&lt;=1, "Tam Mahsuplaşma (≤%100)", "Kısmi Satış (&gt;%100)")</f>
        <v/>
      </c>
      <c r="F154" s="168">
        <f>((VERI_TABANI!$D$29*B154/VERI_TABANI!$B$29)/VERI_TABANI!$B$3)*VERI_TABANI!$B$5 + ((VERI_TABANI!$D$29*C154/VERI_TABANI!$B$29)/VERI_TABANI!$B$4)*VERI_TABANI!$B$6 + IF(ISNUMBER(SEARCH("Var", D154)), (VERI_TABANI!$F$29/VERI_TABANI!$B$29)*(VERI_TABANI!$B$10+VERI_TABANI!$B$12), 0)</f>
        <v/>
      </c>
      <c r="G154" s="168">
        <f>(((MIN(VERI_TABANI!D23, VERI_TABANI!D23*B154)*VERI_TABANI!$B$7 + MAX(0, VERI_TABANI!D23*B154-VERI_TABANI!D23)*VERI_TABANI!$B$8) + (MIN(MAX(0, VERI_TABANI!D23-VERI_TABANI!D23*B154), VERI_TABANI!D23*C154)*VERI_TABANI!$B$7 + MAX(0, VERI_TABANI!D23*C154-MAX(0, VERI_TABANI!D23-VERI_TABANI!D23*B154))*VERI_TABANI!$B$8) + IF(ABS(IF(ISNUMBER(SEARCH("Var", D154)), 1, IF(ISNUMBER(SEARCH("Gri", D154)), -1, 0)))=1, VERI_TABANI!E23*(1-0.928)*VERI_TABANI!$B$9, 0) + (VERI_TABANI!D23*B154*(VERI_TABANI!$B$13-VERI_TABANI!$B$14)*VERI_TABANI!G23) + (VERI_TABANI!D23*C154*(VERI_TABANI!$B$13-VERI_TABANI!$B$15)*VERI_TABANI!G23) + IF(ABS(IF(ISNUMBER(SEARCH("Var", D154)), 1, IF(ISNUMBER(SEARCH("Gri", D154)), -1, 0)))=1, VERI_TABANI!E23*(1-0.928)*0.00206091519919798*VERI_TABANI!G23, 0)) + ((MIN(VERI_TABANI!D24, VERI_TABANI!D24*B154)*VERI_TABANI!$B$7 + MAX(0, VERI_TABANI!D24*B154-VERI_TABANI!D24)*VERI_TABANI!$B$8) + (MIN(MAX(0, VERI_TABANI!D24-VERI_TABANI!D24*B154), VERI_TABANI!D24*C154)*VERI_TABANI!$B$7 + MAX(0, VERI_TABANI!D24*C154-MAX(0, VERI_TABANI!D24-VERI_TABANI!D24*B154))*VERI_TABANI!$B$8) + IF(ABS(IF(ISNUMBER(SEARCH("Var", D154)), 1, IF(ISNUMBER(SEARCH("Gri", D154)), -1, 0)))=1, VERI_TABANI!E24*(1-0.928)*VERI_TABANI!$B$9, 0) + (VERI_TABANI!D24*B154*(VERI_TABANI!$B$13-VERI_TABANI!$B$14)*VERI_TABANI!G24) + (VERI_TABANI!D24*C154*(VERI_TABANI!$B$13-VERI_TABANI!$B$15)*VERI_TABANI!G24) + IF(ABS(IF(ISNUMBER(SEARCH("Var", D154)), 1, IF(ISNUMBER(SEARCH("Gri", D154)), -1, 0)))=1, VERI_TABANI!E24*(1-0.928)*0.00206091519919798*VERI_TABANI!G24, 0)) + ((MIN(VERI_TABANI!D25, VERI_TABANI!D25*B154)*VERI_TABANI!$B$7 + MAX(0, VERI_TABANI!D25*B154-VERI_TABANI!D25)*VERI_TABANI!$B$8) + (MIN(MAX(0, VERI_TABANI!D25-VERI_TABANI!D25*B154), VERI_TABANI!D25*C154)*VERI_TABANI!$B$7 + MAX(0, VERI_TABANI!D25*C154-MAX(0, VERI_TABANI!D25-VERI_TABANI!D25*B154))*VERI_TABANI!$B$8) + IF(ABS(IF(ISNUMBER(SEARCH("Var", D154)), 1, IF(ISNUMBER(SEARCH("Gri", D154)), -1, 0)))=1, VERI_TABANI!E25*(1-0.928)*VERI_TABANI!$B$9, 0) + (VERI_TABANI!D25*B154*(VERI_TABANI!$B$13-VERI_TABANI!$B$14)*VERI_TABANI!G25) + (VERI_TABANI!D25*C154*(VERI_TABANI!$B$13-VERI_TABANI!$B$15)*VERI_TABANI!G25) + IF(ABS(IF(ISNUMBER(SEARCH("Var", D154)), 1, IF(ISNUMBER(SEARCH("Gri", D154)), -1, 0)))=1, VERI_TABANI!E25*(1-0.928)*0.00206091519919798*VERI_TABANI!G25, 0)) + ((MIN(VERI_TABANI!D26, VERI_TABANI!D26*B154)*VERI_TABANI!$B$7 + MAX(0, VERI_TABANI!D26*B154-VERI_TABANI!D26)*VERI_TABANI!$B$8) + (MIN(MAX(0, VERI_TABANI!D26-VERI_TABANI!D26*B154), VERI_TABANI!D26*C154)*VERI_TABANI!$B$7 + MAX(0, VERI_TABANI!D26*C154-MAX(0, VERI_TABANI!D26-VERI_TABANI!D26*B154))*VERI_TABANI!$B$8) + IF(ABS(IF(ISNUMBER(SEARCH("Var", D154)), 1, IF(ISNUMBER(SEARCH("Gri", D154)), -1, 0)))=1, VERI_TABANI!E26*(1-0.928)*VERI_TABANI!$B$9, 0) + (VERI_TABANI!D26*B154*(VERI_TABANI!$B$13-VERI_TABANI!$B$14)*VERI_TABANI!G26) + (VERI_TABANI!D26*C154*(VERI_TABANI!$B$13-VERI_TABANI!$B$15)*VERI_TABANI!G26) + IF(ABS(IF(ISNUMBER(SEARCH("Var", D154)), 1, IF(ISNUMBER(SEARCH("Gri", D154)), -1, 0)))=1, VERI_TABANI!E26*(1-0.928)*0.00206091519919798*VERI_TABANI!G26, 0)) + ((MIN(VERI_TABANI!D27, VERI_TABANI!D27*B154)*VERI_TABANI!$B$7 + MAX(0, VERI_TABANI!D27*B154-VERI_TABANI!D27)*VERI_TABANI!$B$8) + (MIN(MAX(0, VERI_TABANI!D27-VERI_TABANI!D27*B154), VERI_TABANI!D27*C154)*VERI_TABANI!$B$7 + MAX(0, VERI_TABANI!D27*C154-MAX(0, VERI_TABANI!D27-VERI_TABANI!D27*B154))*VERI_TABANI!$B$8) + IF(ABS(IF(ISNUMBER(SEARCH("Var", D154)), 1, IF(ISNUMBER(SEARCH("Gri", D154)), -1, 0)))=1, VERI_TABANI!E27*(1-0.928)*VERI_TABANI!$B$9, 0) + (VERI_TABANI!D27*B154*(VERI_TABANI!$B$13-VERI_TABANI!$B$14)*VERI_TABANI!G27) + (VERI_TABANI!D27*C154*(VERI_TABANI!$B$13-VERI_TABANI!$B$15)*VERI_TABANI!G27) + IF(ABS(IF(ISNUMBER(SEARCH("Var", D154)), 1, IF(ISNUMBER(SEARCH("Gri", D154)), -1, 0)))=1, VERI_TABANI!E27*(1-0.928)*0.00206091519919798*VERI_TABANI!G27, 0)) + ((MIN(VERI_TABANI!D28, VERI_TABANI!D28*B154)*VERI_TABANI!$B$7 + MAX(0, VERI_TABANI!D28*B154-VERI_TABANI!D28)*VERI_TABANI!$B$8) + (MIN(MAX(0, VERI_TABANI!D28-VERI_TABANI!D28*B154), VERI_TABANI!D28*C154)*VERI_TABANI!$B$7 + MAX(0, VERI_TABANI!D28*C154-MAX(0, VERI_TABANI!D28-VERI_TABANI!D28*B154))*VERI_TABANI!$B$8) + IF(ABS(IF(ISNUMBER(SEARCH("Var", D154)), 1, IF(ISNUMBER(SEARCH("Gri", D154)), -1, 0)))=1, VERI_TABANI!E28*(1-0.928)*VERI_TABANI!$B$9, 0) + (VERI_TABANI!D28*B154*(VERI_TABANI!$B$13-VERI_TABANI!$B$14)*VERI_TABANI!G28) + (VERI_TABANI!D28*C154*(VERI_TABANI!$B$13-VERI_TABANI!$B$15)*VERI_TABANI!G28) + IF(ABS(IF(ISNUMBER(SEARCH("Var", D154)), 1, IF(ISNUMBER(SEARCH("Gri", D154)), -1, 0)))=1, VERI_TABANI!E28*(1-0.928)*0.00206091519919798*VERI_TABANI!G28, 0)))</f>
        <v/>
      </c>
      <c r="H154" s="169">
        <f>(((VERI_TABANI!D23*B154*(VERI_TABANI!$B$13-VERI_TABANI!$B$14)) + (VERI_TABANI!D23*C154*(VERI_TABANI!$B$13-VERI_TABANI!$B$15)) + IF(ISNUMBER(SEARCH("Var", D154)), VERI_TABANI!F23*(0.00202-VERI_TABANI!$B$16), IF(ISNUMBER(SEARCH("Gri", D154)), VERI_TABANI!F23*(0.00202-VERI_TABANI!$B$17), 0))) + ((VERI_TABANI!D24*B154*(VERI_TABANI!$B$13-VERI_TABANI!$B$14)) + (VERI_TABANI!D24*C154*(VERI_TABANI!$B$13-VERI_TABANI!$B$15)) + IF(ISNUMBER(SEARCH("Var", D154)), VERI_TABANI!F24*(0.00202-VERI_TABANI!$B$16), IF(ISNUMBER(SEARCH("Gri", D154)), VERI_TABANI!F24*(0.00202-VERI_TABANI!$B$17), 0))) + ((VERI_TABANI!D25*B154*(VERI_TABANI!$B$13-VERI_TABANI!$B$14)) + (VERI_TABANI!D25*C154*(VERI_TABANI!$B$13-VERI_TABANI!$B$15)) + IF(ISNUMBER(SEARCH("Var", D154)), VERI_TABANI!F25*(0.00202-VERI_TABANI!$B$16), IF(ISNUMBER(SEARCH("Gri", D154)), VERI_TABANI!F25*(0.00202-VERI_TABANI!$B$17), 0))) + ((VERI_TABANI!D26*B154*(VERI_TABANI!$B$13-VERI_TABANI!$B$14)) + (VERI_TABANI!D26*C154*(VERI_TABANI!$B$13-VERI_TABANI!$B$15)) + IF(ISNUMBER(SEARCH("Var", D154)), VERI_TABANI!F26*(0.00202-VERI_TABANI!$B$16), IF(ISNUMBER(SEARCH("Gri", D154)), VERI_TABANI!F26*(0.00202-VERI_TABANI!$B$17), 0))) + ((VERI_TABANI!D27*B154*(VERI_TABANI!$B$13-VERI_TABANI!$B$14)) + (VERI_TABANI!D27*C154*(VERI_TABANI!$B$13-VERI_TABANI!$B$15)) + IF(ISNUMBER(SEARCH("Var", D154)), VERI_TABANI!F27*(0.00202-VERI_TABANI!$B$16), IF(ISNUMBER(SEARCH("Gri", D154)), VERI_TABANI!F27*(0.00202-VERI_TABANI!$B$17), 0))) + ((VERI_TABANI!D28*B154*(VERI_TABANI!$B$13-VERI_TABANI!$B$14)) + (VERI_TABANI!D28*C154*(VERI_TABANI!$B$13-VERI_TABANI!$B$15)) + IF(ISNUMBER(SEARCH("Var", D154)), VERI_TABANI!F28*(0.00202-VERI_TABANI!$B$16), IF(ISNUMBER(SEARCH("Gri", D154)), VERI_TABANI!F28*(0.00202-VERI_TABANI!$B$17), 0))))</f>
        <v/>
      </c>
      <c r="I154" s="170">
        <f>IFERROR(((VERI_TABANI!$D$29*B154*VERI_TABANI!$B$14 + VERI_TABANI!$D$29*C154*VERI_TABANI!$B$15 + IF(ISNUMBER(SEARCH("Var", D154)), VERI_TABANI!$F$29*VERI_TABANI!$B$16, 0))) / (((VERI_TABANI!$D$29*B154 + VERI_TABANI!$D$29*C154)*VERI_TABANI!$B$13 + IF(ISNUMBER(SEARCH("Var", D154)), VERI_TABANI!$E$29*(1-0.928)*VERI_TABANI!$B$18, 0))), 0)</f>
        <v/>
      </c>
      <c r="J154" s="171">
        <f>IFERROR(F154/(G154/29), 0)</f>
        <v/>
      </c>
      <c r="K154" s="172">
        <f>IF(F154&gt;0, H154/F154, 0)</f>
        <v/>
      </c>
      <c r="L154" s="170">
        <f>IF(F154&gt;0, I154, 1000000000)</f>
        <v/>
      </c>
      <c r="M154" s="171">
        <f>ABS((B154+C154)-1)</f>
        <v/>
      </c>
      <c r="N154" s="170">
        <f>IF(F154&gt;0, (G154/29)/F154, 0)</f>
        <v/>
      </c>
      <c r="O154" s="168">
        <f>IF(AND((B154+C154)&gt;=1, ISNUMBER(SEARCH("Var", D154))), F154, 1000000000)</f>
        <v/>
      </c>
      <c r="P154" s="172">
        <f>IF(F154&gt;0, SQRT((F154/MAX(F$5:F$886))^2 + (1 - H154/MAX(H$5:H$886))^2 + (J154/MAX(J$5:J$886))^2), 1000000000)</f>
        <v/>
      </c>
      <c r="Q154" s="166">
        <f>IF(AND(ABS(B154-0.5)&lt;0.01, ABS(C154-0.5)&lt;0.01, ISNUMBER(SEARCH("Var", D154))), 1, 0)</f>
        <v/>
      </c>
      <c r="R154" s="171">
        <f>IF(F154&gt;0, J154, 1000000000)</f>
        <v/>
      </c>
      <c r="S154" s="101">
        <f>IF(AND(F154&lt;=DASHBOARD!$B$11, H154&gt;=DASHBOARD!$B$13), G154, -1000000000000)</f>
        <v/>
      </c>
      <c r="T154" s="101">
        <f>IF(AND(F154&lt;=DASHBOARD!$B$11, H154&gt;=DASHBOARD!$B$13), R154, 1000000000000)</f>
        <v/>
      </c>
      <c r="U154" s="101">
        <f>IF(AND(F154&lt;=DASHBOARD!$B$11, H154&gt;=DASHBOARD!$B$13), N154, -1000000000000)</f>
        <v/>
      </c>
      <c r="V154" s="101">
        <f>IF(AND(F154&lt;=DASHBOARD!$B$11, H154&gt;=DASHBOARD!$B$13), H154, -1000000000000)</f>
        <v/>
      </c>
      <c r="W154" s="101">
        <f>IF(AND(F154&lt;=DASHBOARD!$B$11, H154&gt;=DASHBOARD!$B$13), K154, -1000000000000)</f>
        <v/>
      </c>
      <c r="X154" s="101">
        <f>IF(AND(F154&lt;=DASHBOARD!$B$11, H154&gt;=DASHBOARD!$B$13), M154, 1000000000000)</f>
        <v/>
      </c>
      <c r="Y154" s="101">
        <f>IF(AND(F154&lt;=DASHBOARD!$B$10, H154&gt;=DASHBOARD!$B$11), L154, 1000000000000)</f>
        <v/>
      </c>
      <c r="Z154" s="101">
        <f>IF(AND(F154&lt;=DASHBOARD!$B$10, H154&gt;=DASHBOARD!$B$11), O154, 1000000000000)</f>
        <v/>
      </c>
      <c r="AA154" s="101">
        <f>IF(AND(F154&lt;=DASHBOARD!$B$10, H154&gt;=DASHBOARD!$B$11), P154, 1000000000000)</f>
        <v/>
      </c>
      <c r="AB154" s="101">
        <f>IF(AND(F154&lt;=DASHBOARD!$B$10, H154&gt;=DASHBOARD!$B$11), Q154, -1000000000000)</f>
        <v/>
      </c>
    </row>
    <row r="155" ht="12.75" customHeight="1" s="102">
      <c r="A155" s="166" t="n">
        <v>151</v>
      </c>
      <c r="B155" s="167" t="n">
        <v>0.3</v>
      </c>
      <c r="C155" s="167" t="n">
        <v>1.2</v>
      </c>
      <c r="D155" s="110" t="inlineStr">
        <is>
          <t>Yok (%0)</t>
        </is>
      </c>
      <c r="E155" s="110">
        <f>IF((B155+C155)&lt;=1, "Tam Mahsuplaşma (≤%100)", "Kısmi Satış (&gt;%100)")</f>
        <v/>
      </c>
      <c r="F155" s="168">
        <f>((VERI_TABANI!$D$29*B155/VERI_TABANI!$B$29)/VERI_TABANI!$B$3)*VERI_TABANI!$B$5 + ((VERI_TABANI!$D$29*C155/VERI_TABANI!$B$29)/VERI_TABANI!$B$4)*VERI_TABANI!$B$6 + IF(ISNUMBER(SEARCH("Var", D155)), (VERI_TABANI!$F$29/VERI_TABANI!$B$29)*(VERI_TABANI!$B$10+VERI_TABANI!$B$12), 0)</f>
        <v/>
      </c>
      <c r="G155" s="168">
        <f>(((MIN(VERI_TABANI!D23, VERI_TABANI!D23*B155)*VERI_TABANI!$B$7 + MAX(0, VERI_TABANI!D23*B155-VERI_TABANI!D23)*VERI_TABANI!$B$8) + (MIN(MAX(0, VERI_TABANI!D23-VERI_TABANI!D23*B155), VERI_TABANI!D23*C155)*VERI_TABANI!$B$7 + MAX(0, VERI_TABANI!D23*C155-MAX(0, VERI_TABANI!D23-VERI_TABANI!D23*B155))*VERI_TABANI!$B$8) + IF(ABS(IF(ISNUMBER(SEARCH("Var", D155)), 1, IF(ISNUMBER(SEARCH("Gri", D155)), -1, 0)))=1, VERI_TABANI!E23*(1-0.928)*VERI_TABANI!$B$9, 0) + (VERI_TABANI!D23*B155*(VERI_TABANI!$B$13-VERI_TABANI!$B$14)*VERI_TABANI!G23) + (VERI_TABANI!D23*C155*(VERI_TABANI!$B$13-VERI_TABANI!$B$15)*VERI_TABANI!G23) + IF(ABS(IF(ISNUMBER(SEARCH("Var", D155)), 1, IF(ISNUMBER(SEARCH("Gri", D155)), -1, 0)))=1, VERI_TABANI!E23*(1-0.928)*0.00206091519919798*VERI_TABANI!G23, 0)) + ((MIN(VERI_TABANI!D24, VERI_TABANI!D24*B155)*VERI_TABANI!$B$7 + MAX(0, VERI_TABANI!D24*B155-VERI_TABANI!D24)*VERI_TABANI!$B$8) + (MIN(MAX(0, VERI_TABANI!D24-VERI_TABANI!D24*B155), VERI_TABANI!D24*C155)*VERI_TABANI!$B$7 + MAX(0, VERI_TABANI!D24*C155-MAX(0, VERI_TABANI!D24-VERI_TABANI!D24*B155))*VERI_TABANI!$B$8) + IF(ABS(IF(ISNUMBER(SEARCH("Var", D155)), 1, IF(ISNUMBER(SEARCH("Gri", D155)), -1, 0)))=1, VERI_TABANI!E24*(1-0.928)*VERI_TABANI!$B$9, 0) + (VERI_TABANI!D24*B155*(VERI_TABANI!$B$13-VERI_TABANI!$B$14)*VERI_TABANI!G24) + (VERI_TABANI!D24*C155*(VERI_TABANI!$B$13-VERI_TABANI!$B$15)*VERI_TABANI!G24) + IF(ABS(IF(ISNUMBER(SEARCH("Var", D155)), 1, IF(ISNUMBER(SEARCH("Gri", D155)), -1, 0)))=1, VERI_TABANI!E24*(1-0.928)*0.00206091519919798*VERI_TABANI!G24, 0)) + ((MIN(VERI_TABANI!D25, VERI_TABANI!D25*B155)*VERI_TABANI!$B$7 + MAX(0, VERI_TABANI!D25*B155-VERI_TABANI!D25)*VERI_TABANI!$B$8) + (MIN(MAX(0, VERI_TABANI!D25-VERI_TABANI!D25*B155), VERI_TABANI!D25*C155)*VERI_TABANI!$B$7 + MAX(0, VERI_TABANI!D25*C155-MAX(0, VERI_TABANI!D25-VERI_TABANI!D25*B155))*VERI_TABANI!$B$8) + IF(ABS(IF(ISNUMBER(SEARCH("Var", D155)), 1, IF(ISNUMBER(SEARCH("Gri", D155)), -1, 0)))=1, VERI_TABANI!E25*(1-0.928)*VERI_TABANI!$B$9, 0) + (VERI_TABANI!D25*B155*(VERI_TABANI!$B$13-VERI_TABANI!$B$14)*VERI_TABANI!G25) + (VERI_TABANI!D25*C155*(VERI_TABANI!$B$13-VERI_TABANI!$B$15)*VERI_TABANI!G25) + IF(ABS(IF(ISNUMBER(SEARCH("Var", D155)), 1, IF(ISNUMBER(SEARCH("Gri", D155)), -1, 0)))=1, VERI_TABANI!E25*(1-0.928)*0.00206091519919798*VERI_TABANI!G25, 0)) + ((MIN(VERI_TABANI!D26, VERI_TABANI!D26*B155)*VERI_TABANI!$B$7 + MAX(0, VERI_TABANI!D26*B155-VERI_TABANI!D26)*VERI_TABANI!$B$8) + (MIN(MAX(0, VERI_TABANI!D26-VERI_TABANI!D26*B155), VERI_TABANI!D26*C155)*VERI_TABANI!$B$7 + MAX(0, VERI_TABANI!D26*C155-MAX(0, VERI_TABANI!D26-VERI_TABANI!D26*B155))*VERI_TABANI!$B$8) + IF(ABS(IF(ISNUMBER(SEARCH("Var", D155)), 1, IF(ISNUMBER(SEARCH("Gri", D155)), -1, 0)))=1, VERI_TABANI!E26*(1-0.928)*VERI_TABANI!$B$9, 0) + (VERI_TABANI!D26*B155*(VERI_TABANI!$B$13-VERI_TABANI!$B$14)*VERI_TABANI!G26) + (VERI_TABANI!D26*C155*(VERI_TABANI!$B$13-VERI_TABANI!$B$15)*VERI_TABANI!G26) + IF(ABS(IF(ISNUMBER(SEARCH("Var", D155)), 1, IF(ISNUMBER(SEARCH("Gri", D155)), -1, 0)))=1, VERI_TABANI!E26*(1-0.928)*0.00206091519919798*VERI_TABANI!G26, 0)) + ((MIN(VERI_TABANI!D27, VERI_TABANI!D27*B155)*VERI_TABANI!$B$7 + MAX(0, VERI_TABANI!D27*B155-VERI_TABANI!D27)*VERI_TABANI!$B$8) + (MIN(MAX(0, VERI_TABANI!D27-VERI_TABANI!D27*B155), VERI_TABANI!D27*C155)*VERI_TABANI!$B$7 + MAX(0, VERI_TABANI!D27*C155-MAX(0, VERI_TABANI!D27-VERI_TABANI!D27*B155))*VERI_TABANI!$B$8) + IF(ABS(IF(ISNUMBER(SEARCH("Var", D155)), 1, IF(ISNUMBER(SEARCH("Gri", D155)), -1, 0)))=1, VERI_TABANI!E27*(1-0.928)*VERI_TABANI!$B$9, 0) + (VERI_TABANI!D27*B155*(VERI_TABANI!$B$13-VERI_TABANI!$B$14)*VERI_TABANI!G27) + (VERI_TABANI!D27*C155*(VERI_TABANI!$B$13-VERI_TABANI!$B$15)*VERI_TABANI!G27) + IF(ABS(IF(ISNUMBER(SEARCH("Var", D155)), 1, IF(ISNUMBER(SEARCH("Gri", D155)), -1, 0)))=1, VERI_TABANI!E27*(1-0.928)*0.00206091519919798*VERI_TABANI!G27, 0)) + ((MIN(VERI_TABANI!D28, VERI_TABANI!D28*B155)*VERI_TABANI!$B$7 + MAX(0, VERI_TABANI!D28*B155-VERI_TABANI!D28)*VERI_TABANI!$B$8) + (MIN(MAX(0, VERI_TABANI!D28-VERI_TABANI!D28*B155), VERI_TABANI!D28*C155)*VERI_TABANI!$B$7 + MAX(0, VERI_TABANI!D28*C155-MAX(0, VERI_TABANI!D28-VERI_TABANI!D28*B155))*VERI_TABANI!$B$8) + IF(ABS(IF(ISNUMBER(SEARCH("Var", D155)), 1, IF(ISNUMBER(SEARCH("Gri", D155)), -1, 0)))=1, VERI_TABANI!E28*(1-0.928)*VERI_TABANI!$B$9, 0) + (VERI_TABANI!D28*B155*(VERI_TABANI!$B$13-VERI_TABANI!$B$14)*VERI_TABANI!G28) + (VERI_TABANI!D28*C155*(VERI_TABANI!$B$13-VERI_TABANI!$B$15)*VERI_TABANI!G28) + IF(ABS(IF(ISNUMBER(SEARCH("Var", D155)), 1, IF(ISNUMBER(SEARCH("Gri", D155)), -1, 0)))=1, VERI_TABANI!E28*(1-0.928)*0.00206091519919798*VERI_TABANI!G28, 0)))</f>
        <v/>
      </c>
      <c r="H155" s="169">
        <f>(((VERI_TABANI!D23*B155*(VERI_TABANI!$B$13-VERI_TABANI!$B$14)) + (VERI_TABANI!D23*C155*(VERI_TABANI!$B$13-VERI_TABANI!$B$15)) + IF(ISNUMBER(SEARCH("Var", D155)), VERI_TABANI!F23*(0.00202-VERI_TABANI!$B$16), IF(ISNUMBER(SEARCH("Gri", D155)), VERI_TABANI!F23*(0.00202-VERI_TABANI!$B$17), 0))) + ((VERI_TABANI!D24*B155*(VERI_TABANI!$B$13-VERI_TABANI!$B$14)) + (VERI_TABANI!D24*C155*(VERI_TABANI!$B$13-VERI_TABANI!$B$15)) + IF(ISNUMBER(SEARCH("Var", D155)), VERI_TABANI!F24*(0.00202-VERI_TABANI!$B$16), IF(ISNUMBER(SEARCH("Gri", D155)), VERI_TABANI!F24*(0.00202-VERI_TABANI!$B$17), 0))) + ((VERI_TABANI!D25*B155*(VERI_TABANI!$B$13-VERI_TABANI!$B$14)) + (VERI_TABANI!D25*C155*(VERI_TABANI!$B$13-VERI_TABANI!$B$15)) + IF(ISNUMBER(SEARCH("Var", D155)), VERI_TABANI!F25*(0.00202-VERI_TABANI!$B$16), IF(ISNUMBER(SEARCH("Gri", D155)), VERI_TABANI!F25*(0.00202-VERI_TABANI!$B$17), 0))) + ((VERI_TABANI!D26*B155*(VERI_TABANI!$B$13-VERI_TABANI!$B$14)) + (VERI_TABANI!D26*C155*(VERI_TABANI!$B$13-VERI_TABANI!$B$15)) + IF(ISNUMBER(SEARCH("Var", D155)), VERI_TABANI!F26*(0.00202-VERI_TABANI!$B$16), IF(ISNUMBER(SEARCH("Gri", D155)), VERI_TABANI!F26*(0.00202-VERI_TABANI!$B$17), 0))) + ((VERI_TABANI!D27*B155*(VERI_TABANI!$B$13-VERI_TABANI!$B$14)) + (VERI_TABANI!D27*C155*(VERI_TABANI!$B$13-VERI_TABANI!$B$15)) + IF(ISNUMBER(SEARCH("Var", D155)), VERI_TABANI!F27*(0.00202-VERI_TABANI!$B$16), IF(ISNUMBER(SEARCH("Gri", D155)), VERI_TABANI!F27*(0.00202-VERI_TABANI!$B$17), 0))) + ((VERI_TABANI!D28*B155*(VERI_TABANI!$B$13-VERI_TABANI!$B$14)) + (VERI_TABANI!D28*C155*(VERI_TABANI!$B$13-VERI_TABANI!$B$15)) + IF(ISNUMBER(SEARCH("Var", D155)), VERI_TABANI!F28*(0.00202-VERI_TABANI!$B$16), IF(ISNUMBER(SEARCH("Gri", D155)), VERI_TABANI!F28*(0.00202-VERI_TABANI!$B$17), 0))))</f>
        <v/>
      </c>
      <c r="I155" s="170">
        <f>IFERROR(((VERI_TABANI!$D$29*B155*VERI_TABANI!$B$14 + VERI_TABANI!$D$29*C155*VERI_TABANI!$B$15 + IF(ISNUMBER(SEARCH("Var", D155)), VERI_TABANI!$F$29*VERI_TABANI!$B$16, 0))) / (((VERI_TABANI!$D$29*B155 + VERI_TABANI!$D$29*C155)*VERI_TABANI!$B$13 + IF(ISNUMBER(SEARCH("Var", D155)), VERI_TABANI!$E$29*(1-0.928)*VERI_TABANI!$B$18, 0))), 0)</f>
        <v/>
      </c>
      <c r="J155" s="171">
        <f>IFERROR(F155/(G155/29), 0)</f>
        <v/>
      </c>
      <c r="K155" s="172">
        <f>IF(F155&gt;0, H155/F155, 0)</f>
        <v/>
      </c>
      <c r="L155" s="170">
        <f>IF(F155&gt;0, I155, 1000000000)</f>
        <v/>
      </c>
      <c r="M155" s="171">
        <f>ABS((B155+C155)-1)</f>
        <v/>
      </c>
      <c r="N155" s="170">
        <f>IF(F155&gt;0, (G155/29)/F155, 0)</f>
        <v/>
      </c>
      <c r="O155" s="168">
        <f>IF(AND((B155+C155)&gt;=1, ISNUMBER(SEARCH("Var", D155))), F155, 1000000000)</f>
        <v/>
      </c>
      <c r="P155" s="172">
        <f>IF(F155&gt;0, SQRT((F155/MAX(F$5:F$886))^2 + (1 - H155/MAX(H$5:H$886))^2 + (J155/MAX(J$5:J$886))^2), 1000000000)</f>
        <v/>
      </c>
      <c r="Q155" s="166">
        <f>IF(AND(ABS(B155-0.5)&lt;0.01, ABS(C155-0.5)&lt;0.01, ISNUMBER(SEARCH("Var", D155))), 1, 0)</f>
        <v/>
      </c>
      <c r="R155" s="171">
        <f>IF(F155&gt;0, J155, 1000000000)</f>
        <v/>
      </c>
      <c r="S155" s="101">
        <f>IF(AND(F155&lt;=DASHBOARD!$B$11, H155&gt;=DASHBOARD!$B$13), G155, -1000000000000)</f>
        <v/>
      </c>
      <c r="T155" s="101">
        <f>IF(AND(F155&lt;=DASHBOARD!$B$11, H155&gt;=DASHBOARD!$B$13), R155, 1000000000000)</f>
        <v/>
      </c>
      <c r="U155" s="101">
        <f>IF(AND(F155&lt;=DASHBOARD!$B$11, H155&gt;=DASHBOARD!$B$13), N155, -1000000000000)</f>
        <v/>
      </c>
      <c r="V155" s="101">
        <f>IF(AND(F155&lt;=DASHBOARD!$B$11, H155&gt;=DASHBOARD!$B$13), H155, -1000000000000)</f>
        <v/>
      </c>
      <c r="W155" s="101">
        <f>IF(AND(F155&lt;=DASHBOARD!$B$11, H155&gt;=DASHBOARD!$B$13), K155, -1000000000000)</f>
        <v/>
      </c>
      <c r="X155" s="101">
        <f>IF(AND(F155&lt;=DASHBOARD!$B$11, H155&gt;=DASHBOARD!$B$13), M155, 1000000000000)</f>
        <v/>
      </c>
      <c r="Y155" s="101">
        <f>IF(AND(F155&lt;=DASHBOARD!$B$10, H155&gt;=DASHBOARD!$B$11), L155, 1000000000000)</f>
        <v/>
      </c>
      <c r="Z155" s="101">
        <f>IF(AND(F155&lt;=DASHBOARD!$B$10, H155&gt;=DASHBOARD!$B$11), O155, 1000000000000)</f>
        <v/>
      </c>
      <c r="AA155" s="101">
        <f>IF(AND(F155&lt;=DASHBOARD!$B$10, H155&gt;=DASHBOARD!$B$11), P155, 1000000000000)</f>
        <v/>
      </c>
      <c r="AB155" s="101">
        <f>IF(AND(F155&lt;=DASHBOARD!$B$10, H155&gt;=DASHBOARD!$B$11), Q155, -1000000000000)</f>
        <v/>
      </c>
    </row>
    <row r="156" ht="12.75" customHeight="1" s="102">
      <c r="A156" s="166" t="n">
        <v>152</v>
      </c>
      <c r="B156" s="167" t="n">
        <v>0.3</v>
      </c>
      <c r="C156" s="167" t="n">
        <v>1.2</v>
      </c>
      <c r="D156" s="110" t="inlineStr">
        <is>
          <t>Var (%20)</t>
        </is>
      </c>
      <c r="E156" s="110">
        <f>IF((B156+C156)&lt;=1, "Tam Mahsuplaşma (≤%100)", "Kısmi Satış (&gt;%100)")</f>
        <v/>
      </c>
      <c r="F156" s="168">
        <f>((VERI_TABANI!$D$29*B156/VERI_TABANI!$B$29)/VERI_TABANI!$B$3)*VERI_TABANI!$B$5 + ((VERI_TABANI!$D$29*C156/VERI_TABANI!$B$29)/VERI_TABANI!$B$4)*VERI_TABANI!$B$6 + IF(ISNUMBER(SEARCH("Var", D156)), (VERI_TABANI!$F$29/VERI_TABANI!$B$29)*(VERI_TABANI!$B$10+VERI_TABANI!$B$12), 0)</f>
        <v/>
      </c>
      <c r="G156" s="168">
        <f>(((MIN(VERI_TABANI!D23, VERI_TABANI!D23*B156)*VERI_TABANI!$B$7 + MAX(0, VERI_TABANI!D23*B156-VERI_TABANI!D23)*VERI_TABANI!$B$8) + (MIN(MAX(0, VERI_TABANI!D23-VERI_TABANI!D23*B156), VERI_TABANI!D23*C156)*VERI_TABANI!$B$7 + MAX(0, VERI_TABANI!D23*C156-MAX(0, VERI_TABANI!D23-VERI_TABANI!D23*B156))*VERI_TABANI!$B$8) + IF(ABS(IF(ISNUMBER(SEARCH("Var", D156)), 1, IF(ISNUMBER(SEARCH("Gri", D156)), -1, 0)))=1, VERI_TABANI!E23*(1-0.928)*VERI_TABANI!$B$9, 0) + (VERI_TABANI!D23*B156*(VERI_TABANI!$B$13-VERI_TABANI!$B$14)*VERI_TABANI!G23) + (VERI_TABANI!D23*C156*(VERI_TABANI!$B$13-VERI_TABANI!$B$15)*VERI_TABANI!G23) + IF(ABS(IF(ISNUMBER(SEARCH("Var", D156)), 1, IF(ISNUMBER(SEARCH("Gri", D156)), -1, 0)))=1, VERI_TABANI!E23*(1-0.928)*0.00206091519919798*VERI_TABANI!G23, 0)) + ((MIN(VERI_TABANI!D24, VERI_TABANI!D24*B156)*VERI_TABANI!$B$7 + MAX(0, VERI_TABANI!D24*B156-VERI_TABANI!D24)*VERI_TABANI!$B$8) + (MIN(MAX(0, VERI_TABANI!D24-VERI_TABANI!D24*B156), VERI_TABANI!D24*C156)*VERI_TABANI!$B$7 + MAX(0, VERI_TABANI!D24*C156-MAX(0, VERI_TABANI!D24-VERI_TABANI!D24*B156))*VERI_TABANI!$B$8) + IF(ABS(IF(ISNUMBER(SEARCH("Var", D156)), 1, IF(ISNUMBER(SEARCH("Gri", D156)), -1, 0)))=1, VERI_TABANI!E24*(1-0.928)*VERI_TABANI!$B$9, 0) + (VERI_TABANI!D24*B156*(VERI_TABANI!$B$13-VERI_TABANI!$B$14)*VERI_TABANI!G24) + (VERI_TABANI!D24*C156*(VERI_TABANI!$B$13-VERI_TABANI!$B$15)*VERI_TABANI!G24) + IF(ABS(IF(ISNUMBER(SEARCH("Var", D156)), 1, IF(ISNUMBER(SEARCH("Gri", D156)), -1, 0)))=1, VERI_TABANI!E24*(1-0.928)*0.00206091519919798*VERI_TABANI!G24, 0)) + ((MIN(VERI_TABANI!D25, VERI_TABANI!D25*B156)*VERI_TABANI!$B$7 + MAX(0, VERI_TABANI!D25*B156-VERI_TABANI!D25)*VERI_TABANI!$B$8) + (MIN(MAX(0, VERI_TABANI!D25-VERI_TABANI!D25*B156), VERI_TABANI!D25*C156)*VERI_TABANI!$B$7 + MAX(0, VERI_TABANI!D25*C156-MAX(0, VERI_TABANI!D25-VERI_TABANI!D25*B156))*VERI_TABANI!$B$8) + IF(ABS(IF(ISNUMBER(SEARCH("Var", D156)), 1, IF(ISNUMBER(SEARCH("Gri", D156)), -1, 0)))=1, VERI_TABANI!E25*(1-0.928)*VERI_TABANI!$B$9, 0) + (VERI_TABANI!D25*B156*(VERI_TABANI!$B$13-VERI_TABANI!$B$14)*VERI_TABANI!G25) + (VERI_TABANI!D25*C156*(VERI_TABANI!$B$13-VERI_TABANI!$B$15)*VERI_TABANI!G25) + IF(ABS(IF(ISNUMBER(SEARCH("Var", D156)), 1, IF(ISNUMBER(SEARCH("Gri", D156)), -1, 0)))=1, VERI_TABANI!E25*(1-0.928)*0.00206091519919798*VERI_TABANI!G25, 0)) + ((MIN(VERI_TABANI!D26, VERI_TABANI!D26*B156)*VERI_TABANI!$B$7 + MAX(0, VERI_TABANI!D26*B156-VERI_TABANI!D26)*VERI_TABANI!$B$8) + (MIN(MAX(0, VERI_TABANI!D26-VERI_TABANI!D26*B156), VERI_TABANI!D26*C156)*VERI_TABANI!$B$7 + MAX(0, VERI_TABANI!D26*C156-MAX(0, VERI_TABANI!D26-VERI_TABANI!D26*B156))*VERI_TABANI!$B$8) + IF(ABS(IF(ISNUMBER(SEARCH("Var", D156)), 1, IF(ISNUMBER(SEARCH("Gri", D156)), -1, 0)))=1, VERI_TABANI!E26*(1-0.928)*VERI_TABANI!$B$9, 0) + (VERI_TABANI!D26*B156*(VERI_TABANI!$B$13-VERI_TABANI!$B$14)*VERI_TABANI!G26) + (VERI_TABANI!D26*C156*(VERI_TABANI!$B$13-VERI_TABANI!$B$15)*VERI_TABANI!G26) + IF(ABS(IF(ISNUMBER(SEARCH("Var", D156)), 1, IF(ISNUMBER(SEARCH("Gri", D156)), -1, 0)))=1, VERI_TABANI!E26*(1-0.928)*0.00206091519919798*VERI_TABANI!G26, 0)) + ((MIN(VERI_TABANI!D27, VERI_TABANI!D27*B156)*VERI_TABANI!$B$7 + MAX(0, VERI_TABANI!D27*B156-VERI_TABANI!D27)*VERI_TABANI!$B$8) + (MIN(MAX(0, VERI_TABANI!D27-VERI_TABANI!D27*B156), VERI_TABANI!D27*C156)*VERI_TABANI!$B$7 + MAX(0, VERI_TABANI!D27*C156-MAX(0, VERI_TABANI!D27-VERI_TABANI!D27*B156))*VERI_TABANI!$B$8) + IF(ABS(IF(ISNUMBER(SEARCH("Var", D156)), 1, IF(ISNUMBER(SEARCH("Gri", D156)), -1, 0)))=1, VERI_TABANI!E27*(1-0.928)*VERI_TABANI!$B$9, 0) + (VERI_TABANI!D27*B156*(VERI_TABANI!$B$13-VERI_TABANI!$B$14)*VERI_TABANI!G27) + (VERI_TABANI!D27*C156*(VERI_TABANI!$B$13-VERI_TABANI!$B$15)*VERI_TABANI!G27) + IF(ABS(IF(ISNUMBER(SEARCH("Var", D156)), 1, IF(ISNUMBER(SEARCH("Gri", D156)), -1, 0)))=1, VERI_TABANI!E27*(1-0.928)*0.00206091519919798*VERI_TABANI!G27, 0)) + ((MIN(VERI_TABANI!D28, VERI_TABANI!D28*B156)*VERI_TABANI!$B$7 + MAX(0, VERI_TABANI!D28*B156-VERI_TABANI!D28)*VERI_TABANI!$B$8) + (MIN(MAX(0, VERI_TABANI!D28-VERI_TABANI!D28*B156), VERI_TABANI!D28*C156)*VERI_TABANI!$B$7 + MAX(0, VERI_TABANI!D28*C156-MAX(0, VERI_TABANI!D28-VERI_TABANI!D28*B156))*VERI_TABANI!$B$8) + IF(ABS(IF(ISNUMBER(SEARCH("Var", D156)), 1, IF(ISNUMBER(SEARCH("Gri", D156)), -1, 0)))=1, VERI_TABANI!E28*(1-0.928)*VERI_TABANI!$B$9, 0) + (VERI_TABANI!D28*B156*(VERI_TABANI!$B$13-VERI_TABANI!$B$14)*VERI_TABANI!G28) + (VERI_TABANI!D28*C156*(VERI_TABANI!$B$13-VERI_TABANI!$B$15)*VERI_TABANI!G28) + IF(ABS(IF(ISNUMBER(SEARCH("Var", D156)), 1, IF(ISNUMBER(SEARCH("Gri", D156)), -1, 0)))=1, VERI_TABANI!E28*(1-0.928)*0.00206091519919798*VERI_TABANI!G28, 0)))</f>
        <v/>
      </c>
      <c r="H156" s="169">
        <f>(((VERI_TABANI!D23*B156*(VERI_TABANI!$B$13-VERI_TABANI!$B$14)) + (VERI_TABANI!D23*C156*(VERI_TABANI!$B$13-VERI_TABANI!$B$15)) + IF(ISNUMBER(SEARCH("Var", D156)), VERI_TABANI!F23*(0.00202-VERI_TABANI!$B$16), IF(ISNUMBER(SEARCH("Gri", D156)), VERI_TABANI!F23*(0.00202-VERI_TABANI!$B$17), 0))) + ((VERI_TABANI!D24*B156*(VERI_TABANI!$B$13-VERI_TABANI!$B$14)) + (VERI_TABANI!D24*C156*(VERI_TABANI!$B$13-VERI_TABANI!$B$15)) + IF(ISNUMBER(SEARCH("Var", D156)), VERI_TABANI!F24*(0.00202-VERI_TABANI!$B$16), IF(ISNUMBER(SEARCH("Gri", D156)), VERI_TABANI!F24*(0.00202-VERI_TABANI!$B$17), 0))) + ((VERI_TABANI!D25*B156*(VERI_TABANI!$B$13-VERI_TABANI!$B$14)) + (VERI_TABANI!D25*C156*(VERI_TABANI!$B$13-VERI_TABANI!$B$15)) + IF(ISNUMBER(SEARCH("Var", D156)), VERI_TABANI!F25*(0.00202-VERI_TABANI!$B$16), IF(ISNUMBER(SEARCH("Gri", D156)), VERI_TABANI!F25*(0.00202-VERI_TABANI!$B$17), 0))) + ((VERI_TABANI!D26*B156*(VERI_TABANI!$B$13-VERI_TABANI!$B$14)) + (VERI_TABANI!D26*C156*(VERI_TABANI!$B$13-VERI_TABANI!$B$15)) + IF(ISNUMBER(SEARCH("Var", D156)), VERI_TABANI!F26*(0.00202-VERI_TABANI!$B$16), IF(ISNUMBER(SEARCH("Gri", D156)), VERI_TABANI!F26*(0.00202-VERI_TABANI!$B$17), 0))) + ((VERI_TABANI!D27*B156*(VERI_TABANI!$B$13-VERI_TABANI!$B$14)) + (VERI_TABANI!D27*C156*(VERI_TABANI!$B$13-VERI_TABANI!$B$15)) + IF(ISNUMBER(SEARCH("Var", D156)), VERI_TABANI!F27*(0.00202-VERI_TABANI!$B$16), IF(ISNUMBER(SEARCH("Gri", D156)), VERI_TABANI!F27*(0.00202-VERI_TABANI!$B$17), 0))) + ((VERI_TABANI!D28*B156*(VERI_TABANI!$B$13-VERI_TABANI!$B$14)) + (VERI_TABANI!D28*C156*(VERI_TABANI!$B$13-VERI_TABANI!$B$15)) + IF(ISNUMBER(SEARCH("Var", D156)), VERI_TABANI!F28*(0.00202-VERI_TABANI!$B$16), IF(ISNUMBER(SEARCH("Gri", D156)), VERI_TABANI!F28*(0.00202-VERI_TABANI!$B$17), 0))))</f>
        <v/>
      </c>
      <c r="I156" s="170">
        <f>IFERROR(((VERI_TABANI!$D$29*B156*VERI_TABANI!$B$14 + VERI_TABANI!$D$29*C156*VERI_TABANI!$B$15 + IF(ISNUMBER(SEARCH("Var", D156)), VERI_TABANI!$F$29*VERI_TABANI!$B$16, 0))) / (((VERI_TABANI!$D$29*B156 + VERI_TABANI!$D$29*C156)*VERI_TABANI!$B$13 + IF(ISNUMBER(SEARCH("Var", D156)), VERI_TABANI!$E$29*(1-0.928)*VERI_TABANI!$B$18, 0))), 0)</f>
        <v/>
      </c>
      <c r="J156" s="171">
        <f>IFERROR(F156/(G156/29), 0)</f>
        <v/>
      </c>
      <c r="K156" s="172">
        <f>IF(F156&gt;0, H156/F156, 0)</f>
        <v/>
      </c>
      <c r="L156" s="170">
        <f>IF(F156&gt;0, I156, 1000000000)</f>
        <v/>
      </c>
      <c r="M156" s="171">
        <f>ABS((B156+C156)-1)</f>
        <v/>
      </c>
      <c r="N156" s="170">
        <f>IF(F156&gt;0, (G156/29)/F156, 0)</f>
        <v/>
      </c>
      <c r="O156" s="168">
        <f>IF(AND((B156+C156)&gt;=1, ISNUMBER(SEARCH("Var", D156))), F156, 1000000000)</f>
        <v/>
      </c>
      <c r="P156" s="172">
        <f>IF(F156&gt;0, SQRT((F156/MAX(F$5:F$886))^2 + (1 - H156/MAX(H$5:H$886))^2 + (J156/MAX(J$5:J$886))^2), 1000000000)</f>
        <v/>
      </c>
      <c r="Q156" s="166">
        <f>IF(AND(ABS(B156-0.5)&lt;0.01, ABS(C156-0.5)&lt;0.01, ISNUMBER(SEARCH("Var", D156))), 1, 0)</f>
        <v/>
      </c>
      <c r="R156" s="171">
        <f>IF(F156&gt;0, J156, 1000000000)</f>
        <v/>
      </c>
      <c r="S156" s="101">
        <f>IF(AND(F156&lt;=DASHBOARD!$B$11, H156&gt;=DASHBOARD!$B$13), G156, -1000000000000)</f>
        <v/>
      </c>
      <c r="T156" s="101">
        <f>IF(AND(F156&lt;=DASHBOARD!$B$11, H156&gt;=DASHBOARD!$B$13), R156, 1000000000000)</f>
        <v/>
      </c>
      <c r="U156" s="101">
        <f>IF(AND(F156&lt;=DASHBOARD!$B$11, H156&gt;=DASHBOARD!$B$13), N156, -1000000000000)</f>
        <v/>
      </c>
      <c r="V156" s="101">
        <f>IF(AND(F156&lt;=DASHBOARD!$B$11, H156&gt;=DASHBOARD!$B$13), H156, -1000000000000)</f>
        <v/>
      </c>
      <c r="W156" s="101">
        <f>IF(AND(F156&lt;=DASHBOARD!$B$11, H156&gt;=DASHBOARD!$B$13), K156, -1000000000000)</f>
        <v/>
      </c>
      <c r="X156" s="101">
        <f>IF(AND(F156&lt;=DASHBOARD!$B$11, H156&gt;=DASHBOARD!$B$13), M156, 1000000000000)</f>
        <v/>
      </c>
      <c r="Y156" s="101">
        <f>IF(AND(F156&lt;=DASHBOARD!$B$10, H156&gt;=DASHBOARD!$B$11), L156, 1000000000000)</f>
        <v/>
      </c>
      <c r="Z156" s="101">
        <f>IF(AND(F156&lt;=DASHBOARD!$B$10, H156&gt;=DASHBOARD!$B$11), O156, 1000000000000)</f>
        <v/>
      </c>
      <c r="AA156" s="101">
        <f>IF(AND(F156&lt;=DASHBOARD!$B$10, H156&gt;=DASHBOARD!$B$11), P156, 1000000000000)</f>
        <v/>
      </c>
      <c r="AB156" s="101">
        <f>IF(AND(F156&lt;=DASHBOARD!$B$10, H156&gt;=DASHBOARD!$B$11), Q156, -1000000000000)</f>
        <v/>
      </c>
    </row>
    <row r="157" ht="12.75" customHeight="1" s="102">
      <c r="A157" s="166" t="n">
        <v>153</v>
      </c>
      <c r="B157" s="167" t="n">
        <v>0.3</v>
      </c>
      <c r="C157" s="167" t="n">
        <v>1.3</v>
      </c>
      <c r="D157" s="110" t="inlineStr">
        <is>
          <t>Yok (%0)</t>
        </is>
      </c>
      <c r="E157" s="110">
        <f>IF((B157+C157)&lt;=1, "Tam Mahsuplaşma (≤%100)", "Kısmi Satış (&gt;%100)")</f>
        <v/>
      </c>
      <c r="F157" s="168">
        <f>((VERI_TABANI!$D$29*B157/VERI_TABANI!$B$29)/VERI_TABANI!$B$3)*VERI_TABANI!$B$5 + ((VERI_TABANI!$D$29*C157/VERI_TABANI!$B$29)/VERI_TABANI!$B$4)*VERI_TABANI!$B$6 + IF(ISNUMBER(SEARCH("Var", D157)), (VERI_TABANI!$F$29/VERI_TABANI!$B$29)*(VERI_TABANI!$B$10+VERI_TABANI!$B$12), 0)</f>
        <v/>
      </c>
      <c r="G157" s="168">
        <f>(((MIN(VERI_TABANI!D23, VERI_TABANI!D23*B157)*VERI_TABANI!$B$7 + MAX(0, VERI_TABANI!D23*B157-VERI_TABANI!D23)*VERI_TABANI!$B$8) + (MIN(MAX(0, VERI_TABANI!D23-VERI_TABANI!D23*B157), VERI_TABANI!D23*C157)*VERI_TABANI!$B$7 + MAX(0, VERI_TABANI!D23*C157-MAX(0, VERI_TABANI!D23-VERI_TABANI!D23*B157))*VERI_TABANI!$B$8) + IF(ABS(IF(ISNUMBER(SEARCH("Var", D157)), 1, IF(ISNUMBER(SEARCH("Gri", D157)), -1, 0)))=1, VERI_TABANI!E23*(1-0.928)*VERI_TABANI!$B$9, 0) + (VERI_TABANI!D23*B157*(VERI_TABANI!$B$13-VERI_TABANI!$B$14)*VERI_TABANI!G23) + (VERI_TABANI!D23*C157*(VERI_TABANI!$B$13-VERI_TABANI!$B$15)*VERI_TABANI!G23) + IF(ABS(IF(ISNUMBER(SEARCH("Var", D157)), 1, IF(ISNUMBER(SEARCH("Gri", D157)), -1, 0)))=1, VERI_TABANI!E23*(1-0.928)*0.00206091519919798*VERI_TABANI!G23, 0)) + ((MIN(VERI_TABANI!D24, VERI_TABANI!D24*B157)*VERI_TABANI!$B$7 + MAX(0, VERI_TABANI!D24*B157-VERI_TABANI!D24)*VERI_TABANI!$B$8) + (MIN(MAX(0, VERI_TABANI!D24-VERI_TABANI!D24*B157), VERI_TABANI!D24*C157)*VERI_TABANI!$B$7 + MAX(0, VERI_TABANI!D24*C157-MAX(0, VERI_TABANI!D24-VERI_TABANI!D24*B157))*VERI_TABANI!$B$8) + IF(ABS(IF(ISNUMBER(SEARCH("Var", D157)), 1, IF(ISNUMBER(SEARCH("Gri", D157)), -1, 0)))=1, VERI_TABANI!E24*(1-0.928)*VERI_TABANI!$B$9, 0) + (VERI_TABANI!D24*B157*(VERI_TABANI!$B$13-VERI_TABANI!$B$14)*VERI_TABANI!G24) + (VERI_TABANI!D24*C157*(VERI_TABANI!$B$13-VERI_TABANI!$B$15)*VERI_TABANI!G24) + IF(ABS(IF(ISNUMBER(SEARCH("Var", D157)), 1, IF(ISNUMBER(SEARCH("Gri", D157)), -1, 0)))=1, VERI_TABANI!E24*(1-0.928)*0.00206091519919798*VERI_TABANI!G24, 0)) + ((MIN(VERI_TABANI!D25, VERI_TABANI!D25*B157)*VERI_TABANI!$B$7 + MAX(0, VERI_TABANI!D25*B157-VERI_TABANI!D25)*VERI_TABANI!$B$8) + (MIN(MAX(0, VERI_TABANI!D25-VERI_TABANI!D25*B157), VERI_TABANI!D25*C157)*VERI_TABANI!$B$7 + MAX(0, VERI_TABANI!D25*C157-MAX(0, VERI_TABANI!D25-VERI_TABANI!D25*B157))*VERI_TABANI!$B$8) + IF(ABS(IF(ISNUMBER(SEARCH("Var", D157)), 1, IF(ISNUMBER(SEARCH("Gri", D157)), -1, 0)))=1, VERI_TABANI!E25*(1-0.928)*VERI_TABANI!$B$9, 0) + (VERI_TABANI!D25*B157*(VERI_TABANI!$B$13-VERI_TABANI!$B$14)*VERI_TABANI!G25) + (VERI_TABANI!D25*C157*(VERI_TABANI!$B$13-VERI_TABANI!$B$15)*VERI_TABANI!G25) + IF(ABS(IF(ISNUMBER(SEARCH("Var", D157)), 1, IF(ISNUMBER(SEARCH("Gri", D157)), -1, 0)))=1, VERI_TABANI!E25*(1-0.928)*0.00206091519919798*VERI_TABANI!G25, 0)) + ((MIN(VERI_TABANI!D26, VERI_TABANI!D26*B157)*VERI_TABANI!$B$7 + MAX(0, VERI_TABANI!D26*B157-VERI_TABANI!D26)*VERI_TABANI!$B$8) + (MIN(MAX(0, VERI_TABANI!D26-VERI_TABANI!D26*B157), VERI_TABANI!D26*C157)*VERI_TABANI!$B$7 + MAX(0, VERI_TABANI!D26*C157-MAX(0, VERI_TABANI!D26-VERI_TABANI!D26*B157))*VERI_TABANI!$B$8) + IF(ABS(IF(ISNUMBER(SEARCH("Var", D157)), 1, IF(ISNUMBER(SEARCH("Gri", D157)), -1, 0)))=1, VERI_TABANI!E26*(1-0.928)*VERI_TABANI!$B$9, 0) + (VERI_TABANI!D26*B157*(VERI_TABANI!$B$13-VERI_TABANI!$B$14)*VERI_TABANI!G26) + (VERI_TABANI!D26*C157*(VERI_TABANI!$B$13-VERI_TABANI!$B$15)*VERI_TABANI!G26) + IF(ABS(IF(ISNUMBER(SEARCH("Var", D157)), 1, IF(ISNUMBER(SEARCH("Gri", D157)), -1, 0)))=1, VERI_TABANI!E26*(1-0.928)*0.00206091519919798*VERI_TABANI!G26, 0)) + ((MIN(VERI_TABANI!D27, VERI_TABANI!D27*B157)*VERI_TABANI!$B$7 + MAX(0, VERI_TABANI!D27*B157-VERI_TABANI!D27)*VERI_TABANI!$B$8) + (MIN(MAX(0, VERI_TABANI!D27-VERI_TABANI!D27*B157), VERI_TABANI!D27*C157)*VERI_TABANI!$B$7 + MAX(0, VERI_TABANI!D27*C157-MAX(0, VERI_TABANI!D27-VERI_TABANI!D27*B157))*VERI_TABANI!$B$8) + IF(ABS(IF(ISNUMBER(SEARCH("Var", D157)), 1, IF(ISNUMBER(SEARCH("Gri", D157)), -1, 0)))=1, VERI_TABANI!E27*(1-0.928)*VERI_TABANI!$B$9, 0) + (VERI_TABANI!D27*B157*(VERI_TABANI!$B$13-VERI_TABANI!$B$14)*VERI_TABANI!G27) + (VERI_TABANI!D27*C157*(VERI_TABANI!$B$13-VERI_TABANI!$B$15)*VERI_TABANI!G27) + IF(ABS(IF(ISNUMBER(SEARCH("Var", D157)), 1, IF(ISNUMBER(SEARCH("Gri", D157)), -1, 0)))=1, VERI_TABANI!E27*(1-0.928)*0.00206091519919798*VERI_TABANI!G27, 0)) + ((MIN(VERI_TABANI!D28, VERI_TABANI!D28*B157)*VERI_TABANI!$B$7 + MAX(0, VERI_TABANI!D28*B157-VERI_TABANI!D28)*VERI_TABANI!$B$8) + (MIN(MAX(0, VERI_TABANI!D28-VERI_TABANI!D28*B157), VERI_TABANI!D28*C157)*VERI_TABANI!$B$7 + MAX(0, VERI_TABANI!D28*C157-MAX(0, VERI_TABANI!D28-VERI_TABANI!D28*B157))*VERI_TABANI!$B$8) + IF(ABS(IF(ISNUMBER(SEARCH("Var", D157)), 1, IF(ISNUMBER(SEARCH("Gri", D157)), -1, 0)))=1, VERI_TABANI!E28*(1-0.928)*VERI_TABANI!$B$9, 0) + (VERI_TABANI!D28*B157*(VERI_TABANI!$B$13-VERI_TABANI!$B$14)*VERI_TABANI!G28) + (VERI_TABANI!D28*C157*(VERI_TABANI!$B$13-VERI_TABANI!$B$15)*VERI_TABANI!G28) + IF(ABS(IF(ISNUMBER(SEARCH("Var", D157)), 1, IF(ISNUMBER(SEARCH("Gri", D157)), -1, 0)))=1, VERI_TABANI!E28*(1-0.928)*0.00206091519919798*VERI_TABANI!G28, 0)))</f>
        <v/>
      </c>
      <c r="H157" s="169">
        <f>(((VERI_TABANI!D23*B157*(VERI_TABANI!$B$13-VERI_TABANI!$B$14)) + (VERI_TABANI!D23*C157*(VERI_TABANI!$B$13-VERI_TABANI!$B$15)) + IF(ISNUMBER(SEARCH("Var", D157)), VERI_TABANI!F23*(0.00202-VERI_TABANI!$B$16), IF(ISNUMBER(SEARCH("Gri", D157)), VERI_TABANI!F23*(0.00202-VERI_TABANI!$B$17), 0))) + ((VERI_TABANI!D24*B157*(VERI_TABANI!$B$13-VERI_TABANI!$B$14)) + (VERI_TABANI!D24*C157*(VERI_TABANI!$B$13-VERI_TABANI!$B$15)) + IF(ISNUMBER(SEARCH("Var", D157)), VERI_TABANI!F24*(0.00202-VERI_TABANI!$B$16), IF(ISNUMBER(SEARCH("Gri", D157)), VERI_TABANI!F24*(0.00202-VERI_TABANI!$B$17), 0))) + ((VERI_TABANI!D25*B157*(VERI_TABANI!$B$13-VERI_TABANI!$B$14)) + (VERI_TABANI!D25*C157*(VERI_TABANI!$B$13-VERI_TABANI!$B$15)) + IF(ISNUMBER(SEARCH("Var", D157)), VERI_TABANI!F25*(0.00202-VERI_TABANI!$B$16), IF(ISNUMBER(SEARCH("Gri", D157)), VERI_TABANI!F25*(0.00202-VERI_TABANI!$B$17), 0))) + ((VERI_TABANI!D26*B157*(VERI_TABANI!$B$13-VERI_TABANI!$B$14)) + (VERI_TABANI!D26*C157*(VERI_TABANI!$B$13-VERI_TABANI!$B$15)) + IF(ISNUMBER(SEARCH("Var", D157)), VERI_TABANI!F26*(0.00202-VERI_TABANI!$B$16), IF(ISNUMBER(SEARCH("Gri", D157)), VERI_TABANI!F26*(0.00202-VERI_TABANI!$B$17), 0))) + ((VERI_TABANI!D27*B157*(VERI_TABANI!$B$13-VERI_TABANI!$B$14)) + (VERI_TABANI!D27*C157*(VERI_TABANI!$B$13-VERI_TABANI!$B$15)) + IF(ISNUMBER(SEARCH("Var", D157)), VERI_TABANI!F27*(0.00202-VERI_TABANI!$B$16), IF(ISNUMBER(SEARCH("Gri", D157)), VERI_TABANI!F27*(0.00202-VERI_TABANI!$B$17), 0))) + ((VERI_TABANI!D28*B157*(VERI_TABANI!$B$13-VERI_TABANI!$B$14)) + (VERI_TABANI!D28*C157*(VERI_TABANI!$B$13-VERI_TABANI!$B$15)) + IF(ISNUMBER(SEARCH("Var", D157)), VERI_TABANI!F28*(0.00202-VERI_TABANI!$B$16), IF(ISNUMBER(SEARCH("Gri", D157)), VERI_TABANI!F28*(0.00202-VERI_TABANI!$B$17), 0))))</f>
        <v/>
      </c>
      <c r="I157" s="170">
        <f>IFERROR(((VERI_TABANI!$D$29*B157*VERI_TABANI!$B$14 + VERI_TABANI!$D$29*C157*VERI_TABANI!$B$15 + IF(ISNUMBER(SEARCH("Var", D157)), VERI_TABANI!$F$29*VERI_TABANI!$B$16, 0))) / (((VERI_TABANI!$D$29*B157 + VERI_TABANI!$D$29*C157)*VERI_TABANI!$B$13 + IF(ISNUMBER(SEARCH("Var", D157)), VERI_TABANI!$E$29*(1-0.928)*VERI_TABANI!$B$18, 0))), 0)</f>
        <v/>
      </c>
      <c r="J157" s="171">
        <f>IFERROR(F157/(G157/29), 0)</f>
        <v/>
      </c>
      <c r="K157" s="172">
        <f>IF(F157&gt;0, H157/F157, 0)</f>
        <v/>
      </c>
      <c r="L157" s="170">
        <f>IF(F157&gt;0, I157, 1000000000)</f>
        <v/>
      </c>
      <c r="M157" s="171">
        <f>ABS((B157+C157)-1)</f>
        <v/>
      </c>
      <c r="N157" s="170">
        <f>IF(F157&gt;0, (G157/29)/F157, 0)</f>
        <v/>
      </c>
      <c r="O157" s="168">
        <f>IF(AND((B157+C157)&gt;=1, ISNUMBER(SEARCH("Var", D157))), F157, 1000000000)</f>
        <v/>
      </c>
      <c r="P157" s="172">
        <f>IF(F157&gt;0, SQRT((F157/MAX(F$5:F$886))^2 + (1 - H157/MAX(H$5:H$886))^2 + (J157/MAX(J$5:J$886))^2), 1000000000)</f>
        <v/>
      </c>
      <c r="Q157" s="166">
        <f>IF(AND(ABS(B157-0.5)&lt;0.01, ABS(C157-0.5)&lt;0.01, ISNUMBER(SEARCH("Var", D157))), 1, 0)</f>
        <v/>
      </c>
      <c r="R157" s="171">
        <f>IF(F157&gt;0, J157, 1000000000)</f>
        <v/>
      </c>
      <c r="S157" s="101">
        <f>IF(AND(F157&lt;=DASHBOARD!$B$11, H157&gt;=DASHBOARD!$B$13), G157, -1000000000000)</f>
        <v/>
      </c>
      <c r="T157" s="101">
        <f>IF(AND(F157&lt;=DASHBOARD!$B$11, H157&gt;=DASHBOARD!$B$13), R157, 1000000000000)</f>
        <v/>
      </c>
      <c r="U157" s="101">
        <f>IF(AND(F157&lt;=DASHBOARD!$B$11, H157&gt;=DASHBOARD!$B$13), N157, -1000000000000)</f>
        <v/>
      </c>
      <c r="V157" s="101">
        <f>IF(AND(F157&lt;=DASHBOARD!$B$11, H157&gt;=DASHBOARD!$B$13), H157, -1000000000000)</f>
        <v/>
      </c>
      <c r="W157" s="101">
        <f>IF(AND(F157&lt;=DASHBOARD!$B$11, H157&gt;=DASHBOARD!$B$13), K157, -1000000000000)</f>
        <v/>
      </c>
      <c r="X157" s="101">
        <f>IF(AND(F157&lt;=DASHBOARD!$B$11, H157&gt;=DASHBOARD!$B$13), M157, 1000000000000)</f>
        <v/>
      </c>
      <c r="Y157" s="101">
        <f>IF(AND(F157&lt;=DASHBOARD!$B$10, H157&gt;=DASHBOARD!$B$11), L157, 1000000000000)</f>
        <v/>
      </c>
      <c r="Z157" s="101">
        <f>IF(AND(F157&lt;=DASHBOARD!$B$10, H157&gt;=DASHBOARD!$B$11), O157, 1000000000000)</f>
        <v/>
      </c>
      <c r="AA157" s="101">
        <f>IF(AND(F157&lt;=DASHBOARD!$B$10, H157&gt;=DASHBOARD!$B$11), P157, 1000000000000)</f>
        <v/>
      </c>
      <c r="AB157" s="101">
        <f>IF(AND(F157&lt;=DASHBOARD!$B$10, H157&gt;=DASHBOARD!$B$11), Q157, -1000000000000)</f>
        <v/>
      </c>
    </row>
    <row r="158" ht="12.75" customHeight="1" s="102">
      <c r="A158" s="166" t="n">
        <v>154</v>
      </c>
      <c r="B158" s="167" t="n">
        <v>0.3</v>
      </c>
      <c r="C158" s="167" t="n">
        <v>1.3</v>
      </c>
      <c r="D158" s="110" t="inlineStr">
        <is>
          <t>Var (%20)</t>
        </is>
      </c>
      <c r="E158" s="110">
        <f>IF((B158+C158)&lt;=1, "Tam Mahsuplaşma (≤%100)", "Kısmi Satış (&gt;%100)")</f>
        <v/>
      </c>
      <c r="F158" s="168">
        <f>((VERI_TABANI!$D$29*B158/VERI_TABANI!$B$29)/VERI_TABANI!$B$3)*VERI_TABANI!$B$5 + ((VERI_TABANI!$D$29*C158/VERI_TABANI!$B$29)/VERI_TABANI!$B$4)*VERI_TABANI!$B$6 + IF(ISNUMBER(SEARCH("Var", D158)), (VERI_TABANI!$F$29/VERI_TABANI!$B$29)*(VERI_TABANI!$B$10+VERI_TABANI!$B$12), 0)</f>
        <v/>
      </c>
      <c r="G158" s="168">
        <f>(((MIN(VERI_TABANI!D23, VERI_TABANI!D23*B158)*VERI_TABANI!$B$7 + MAX(0, VERI_TABANI!D23*B158-VERI_TABANI!D23)*VERI_TABANI!$B$8) + (MIN(MAX(0, VERI_TABANI!D23-VERI_TABANI!D23*B158), VERI_TABANI!D23*C158)*VERI_TABANI!$B$7 + MAX(0, VERI_TABANI!D23*C158-MAX(0, VERI_TABANI!D23-VERI_TABANI!D23*B158))*VERI_TABANI!$B$8) + IF(ABS(IF(ISNUMBER(SEARCH("Var", D158)), 1, IF(ISNUMBER(SEARCH("Gri", D158)), -1, 0)))=1, VERI_TABANI!E23*(1-0.928)*VERI_TABANI!$B$9, 0) + (VERI_TABANI!D23*B158*(VERI_TABANI!$B$13-VERI_TABANI!$B$14)*VERI_TABANI!G23) + (VERI_TABANI!D23*C158*(VERI_TABANI!$B$13-VERI_TABANI!$B$15)*VERI_TABANI!G23) + IF(ABS(IF(ISNUMBER(SEARCH("Var", D158)), 1, IF(ISNUMBER(SEARCH("Gri", D158)), -1, 0)))=1, VERI_TABANI!E23*(1-0.928)*0.00206091519919798*VERI_TABANI!G23, 0)) + ((MIN(VERI_TABANI!D24, VERI_TABANI!D24*B158)*VERI_TABANI!$B$7 + MAX(0, VERI_TABANI!D24*B158-VERI_TABANI!D24)*VERI_TABANI!$B$8) + (MIN(MAX(0, VERI_TABANI!D24-VERI_TABANI!D24*B158), VERI_TABANI!D24*C158)*VERI_TABANI!$B$7 + MAX(0, VERI_TABANI!D24*C158-MAX(0, VERI_TABANI!D24-VERI_TABANI!D24*B158))*VERI_TABANI!$B$8) + IF(ABS(IF(ISNUMBER(SEARCH("Var", D158)), 1, IF(ISNUMBER(SEARCH("Gri", D158)), -1, 0)))=1, VERI_TABANI!E24*(1-0.928)*VERI_TABANI!$B$9, 0) + (VERI_TABANI!D24*B158*(VERI_TABANI!$B$13-VERI_TABANI!$B$14)*VERI_TABANI!G24) + (VERI_TABANI!D24*C158*(VERI_TABANI!$B$13-VERI_TABANI!$B$15)*VERI_TABANI!G24) + IF(ABS(IF(ISNUMBER(SEARCH("Var", D158)), 1, IF(ISNUMBER(SEARCH("Gri", D158)), -1, 0)))=1, VERI_TABANI!E24*(1-0.928)*0.00206091519919798*VERI_TABANI!G24, 0)) + ((MIN(VERI_TABANI!D25, VERI_TABANI!D25*B158)*VERI_TABANI!$B$7 + MAX(0, VERI_TABANI!D25*B158-VERI_TABANI!D25)*VERI_TABANI!$B$8) + (MIN(MAX(0, VERI_TABANI!D25-VERI_TABANI!D25*B158), VERI_TABANI!D25*C158)*VERI_TABANI!$B$7 + MAX(0, VERI_TABANI!D25*C158-MAX(0, VERI_TABANI!D25-VERI_TABANI!D25*B158))*VERI_TABANI!$B$8) + IF(ABS(IF(ISNUMBER(SEARCH("Var", D158)), 1, IF(ISNUMBER(SEARCH("Gri", D158)), -1, 0)))=1, VERI_TABANI!E25*(1-0.928)*VERI_TABANI!$B$9, 0) + (VERI_TABANI!D25*B158*(VERI_TABANI!$B$13-VERI_TABANI!$B$14)*VERI_TABANI!G25) + (VERI_TABANI!D25*C158*(VERI_TABANI!$B$13-VERI_TABANI!$B$15)*VERI_TABANI!G25) + IF(ABS(IF(ISNUMBER(SEARCH("Var", D158)), 1, IF(ISNUMBER(SEARCH("Gri", D158)), -1, 0)))=1, VERI_TABANI!E25*(1-0.928)*0.00206091519919798*VERI_TABANI!G25, 0)) + ((MIN(VERI_TABANI!D26, VERI_TABANI!D26*B158)*VERI_TABANI!$B$7 + MAX(0, VERI_TABANI!D26*B158-VERI_TABANI!D26)*VERI_TABANI!$B$8) + (MIN(MAX(0, VERI_TABANI!D26-VERI_TABANI!D26*B158), VERI_TABANI!D26*C158)*VERI_TABANI!$B$7 + MAX(0, VERI_TABANI!D26*C158-MAX(0, VERI_TABANI!D26-VERI_TABANI!D26*B158))*VERI_TABANI!$B$8) + IF(ABS(IF(ISNUMBER(SEARCH("Var", D158)), 1, IF(ISNUMBER(SEARCH("Gri", D158)), -1, 0)))=1, VERI_TABANI!E26*(1-0.928)*VERI_TABANI!$B$9, 0) + (VERI_TABANI!D26*B158*(VERI_TABANI!$B$13-VERI_TABANI!$B$14)*VERI_TABANI!G26) + (VERI_TABANI!D26*C158*(VERI_TABANI!$B$13-VERI_TABANI!$B$15)*VERI_TABANI!G26) + IF(ABS(IF(ISNUMBER(SEARCH("Var", D158)), 1, IF(ISNUMBER(SEARCH("Gri", D158)), -1, 0)))=1, VERI_TABANI!E26*(1-0.928)*0.00206091519919798*VERI_TABANI!G26, 0)) + ((MIN(VERI_TABANI!D27, VERI_TABANI!D27*B158)*VERI_TABANI!$B$7 + MAX(0, VERI_TABANI!D27*B158-VERI_TABANI!D27)*VERI_TABANI!$B$8) + (MIN(MAX(0, VERI_TABANI!D27-VERI_TABANI!D27*B158), VERI_TABANI!D27*C158)*VERI_TABANI!$B$7 + MAX(0, VERI_TABANI!D27*C158-MAX(0, VERI_TABANI!D27-VERI_TABANI!D27*B158))*VERI_TABANI!$B$8) + IF(ABS(IF(ISNUMBER(SEARCH("Var", D158)), 1, IF(ISNUMBER(SEARCH("Gri", D158)), -1, 0)))=1, VERI_TABANI!E27*(1-0.928)*VERI_TABANI!$B$9, 0) + (VERI_TABANI!D27*B158*(VERI_TABANI!$B$13-VERI_TABANI!$B$14)*VERI_TABANI!G27) + (VERI_TABANI!D27*C158*(VERI_TABANI!$B$13-VERI_TABANI!$B$15)*VERI_TABANI!G27) + IF(ABS(IF(ISNUMBER(SEARCH("Var", D158)), 1, IF(ISNUMBER(SEARCH("Gri", D158)), -1, 0)))=1, VERI_TABANI!E27*(1-0.928)*0.00206091519919798*VERI_TABANI!G27, 0)) + ((MIN(VERI_TABANI!D28, VERI_TABANI!D28*B158)*VERI_TABANI!$B$7 + MAX(0, VERI_TABANI!D28*B158-VERI_TABANI!D28)*VERI_TABANI!$B$8) + (MIN(MAX(0, VERI_TABANI!D28-VERI_TABANI!D28*B158), VERI_TABANI!D28*C158)*VERI_TABANI!$B$7 + MAX(0, VERI_TABANI!D28*C158-MAX(0, VERI_TABANI!D28-VERI_TABANI!D28*B158))*VERI_TABANI!$B$8) + IF(ABS(IF(ISNUMBER(SEARCH("Var", D158)), 1, IF(ISNUMBER(SEARCH("Gri", D158)), -1, 0)))=1, VERI_TABANI!E28*(1-0.928)*VERI_TABANI!$B$9, 0) + (VERI_TABANI!D28*B158*(VERI_TABANI!$B$13-VERI_TABANI!$B$14)*VERI_TABANI!G28) + (VERI_TABANI!D28*C158*(VERI_TABANI!$B$13-VERI_TABANI!$B$15)*VERI_TABANI!G28) + IF(ABS(IF(ISNUMBER(SEARCH("Var", D158)), 1, IF(ISNUMBER(SEARCH("Gri", D158)), -1, 0)))=1, VERI_TABANI!E28*(1-0.928)*0.00206091519919798*VERI_TABANI!G28, 0)))</f>
        <v/>
      </c>
      <c r="H158" s="169">
        <f>(((VERI_TABANI!D23*B158*(VERI_TABANI!$B$13-VERI_TABANI!$B$14)) + (VERI_TABANI!D23*C158*(VERI_TABANI!$B$13-VERI_TABANI!$B$15)) + IF(ISNUMBER(SEARCH("Var", D158)), VERI_TABANI!F23*(0.00202-VERI_TABANI!$B$16), IF(ISNUMBER(SEARCH("Gri", D158)), VERI_TABANI!F23*(0.00202-VERI_TABANI!$B$17), 0))) + ((VERI_TABANI!D24*B158*(VERI_TABANI!$B$13-VERI_TABANI!$B$14)) + (VERI_TABANI!D24*C158*(VERI_TABANI!$B$13-VERI_TABANI!$B$15)) + IF(ISNUMBER(SEARCH("Var", D158)), VERI_TABANI!F24*(0.00202-VERI_TABANI!$B$16), IF(ISNUMBER(SEARCH("Gri", D158)), VERI_TABANI!F24*(0.00202-VERI_TABANI!$B$17), 0))) + ((VERI_TABANI!D25*B158*(VERI_TABANI!$B$13-VERI_TABANI!$B$14)) + (VERI_TABANI!D25*C158*(VERI_TABANI!$B$13-VERI_TABANI!$B$15)) + IF(ISNUMBER(SEARCH("Var", D158)), VERI_TABANI!F25*(0.00202-VERI_TABANI!$B$16), IF(ISNUMBER(SEARCH("Gri", D158)), VERI_TABANI!F25*(0.00202-VERI_TABANI!$B$17), 0))) + ((VERI_TABANI!D26*B158*(VERI_TABANI!$B$13-VERI_TABANI!$B$14)) + (VERI_TABANI!D26*C158*(VERI_TABANI!$B$13-VERI_TABANI!$B$15)) + IF(ISNUMBER(SEARCH("Var", D158)), VERI_TABANI!F26*(0.00202-VERI_TABANI!$B$16), IF(ISNUMBER(SEARCH("Gri", D158)), VERI_TABANI!F26*(0.00202-VERI_TABANI!$B$17), 0))) + ((VERI_TABANI!D27*B158*(VERI_TABANI!$B$13-VERI_TABANI!$B$14)) + (VERI_TABANI!D27*C158*(VERI_TABANI!$B$13-VERI_TABANI!$B$15)) + IF(ISNUMBER(SEARCH("Var", D158)), VERI_TABANI!F27*(0.00202-VERI_TABANI!$B$16), IF(ISNUMBER(SEARCH("Gri", D158)), VERI_TABANI!F27*(0.00202-VERI_TABANI!$B$17), 0))) + ((VERI_TABANI!D28*B158*(VERI_TABANI!$B$13-VERI_TABANI!$B$14)) + (VERI_TABANI!D28*C158*(VERI_TABANI!$B$13-VERI_TABANI!$B$15)) + IF(ISNUMBER(SEARCH("Var", D158)), VERI_TABANI!F28*(0.00202-VERI_TABANI!$B$16), IF(ISNUMBER(SEARCH("Gri", D158)), VERI_TABANI!F28*(0.00202-VERI_TABANI!$B$17), 0))))</f>
        <v/>
      </c>
      <c r="I158" s="170">
        <f>IFERROR(((VERI_TABANI!$D$29*B158*VERI_TABANI!$B$14 + VERI_TABANI!$D$29*C158*VERI_TABANI!$B$15 + IF(ISNUMBER(SEARCH("Var", D158)), VERI_TABANI!$F$29*VERI_TABANI!$B$16, 0))) / (((VERI_TABANI!$D$29*B158 + VERI_TABANI!$D$29*C158)*VERI_TABANI!$B$13 + IF(ISNUMBER(SEARCH("Var", D158)), VERI_TABANI!$E$29*(1-0.928)*VERI_TABANI!$B$18, 0))), 0)</f>
        <v/>
      </c>
      <c r="J158" s="171">
        <f>IFERROR(F158/(G158/29), 0)</f>
        <v/>
      </c>
      <c r="K158" s="172">
        <f>IF(F158&gt;0, H158/F158, 0)</f>
        <v/>
      </c>
      <c r="L158" s="170">
        <f>IF(F158&gt;0, I158, 1000000000)</f>
        <v/>
      </c>
      <c r="M158" s="171">
        <f>ABS((B158+C158)-1)</f>
        <v/>
      </c>
      <c r="N158" s="170">
        <f>IF(F158&gt;0, (G158/29)/F158, 0)</f>
        <v/>
      </c>
      <c r="O158" s="168">
        <f>IF(AND((B158+C158)&gt;=1, ISNUMBER(SEARCH("Var", D158))), F158, 1000000000)</f>
        <v/>
      </c>
      <c r="P158" s="172">
        <f>IF(F158&gt;0, SQRT((F158/MAX(F$5:F$886))^2 + (1 - H158/MAX(H$5:H$886))^2 + (J158/MAX(J$5:J$886))^2), 1000000000)</f>
        <v/>
      </c>
      <c r="Q158" s="166">
        <f>IF(AND(ABS(B158-0.5)&lt;0.01, ABS(C158-0.5)&lt;0.01, ISNUMBER(SEARCH("Var", D158))), 1, 0)</f>
        <v/>
      </c>
      <c r="R158" s="171">
        <f>IF(F158&gt;0, J158, 1000000000)</f>
        <v/>
      </c>
      <c r="S158" s="101">
        <f>IF(AND(F158&lt;=DASHBOARD!$B$11, H158&gt;=DASHBOARD!$B$13), G158, -1000000000000)</f>
        <v/>
      </c>
      <c r="T158" s="101">
        <f>IF(AND(F158&lt;=DASHBOARD!$B$11, H158&gt;=DASHBOARD!$B$13), R158, 1000000000000)</f>
        <v/>
      </c>
      <c r="U158" s="101">
        <f>IF(AND(F158&lt;=DASHBOARD!$B$11, H158&gt;=DASHBOARD!$B$13), N158, -1000000000000)</f>
        <v/>
      </c>
      <c r="V158" s="101">
        <f>IF(AND(F158&lt;=DASHBOARD!$B$11, H158&gt;=DASHBOARD!$B$13), H158, -1000000000000)</f>
        <v/>
      </c>
      <c r="W158" s="101">
        <f>IF(AND(F158&lt;=DASHBOARD!$B$11, H158&gt;=DASHBOARD!$B$13), K158, -1000000000000)</f>
        <v/>
      </c>
      <c r="X158" s="101">
        <f>IF(AND(F158&lt;=DASHBOARD!$B$11, H158&gt;=DASHBOARD!$B$13), M158, 1000000000000)</f>
        <v/>
      </c>
      <c r="Y158" s="101">
        <f>IF(AND(F158&lt;=DASHBOARD!$B$10, H158&gt;=DASHBOARD!$B$11), L158, 1000000000000)</f>
        <v/>
      </c>
      <c r="Z158" s="101">
        <f>IF(AND(F158&lt;=DASHBOARD!$B$10, H158&gt;=DASHBOARD!$B$11), O158, 1000000000000)</f>
        <v/>
      </c>
      <c r="AA158" s="101">
        <f>IF(AND(F158&lt;=DASHBOARD!$B$10, H158&gt;=DASHBOARD!$B$11), P158, 1000000000000)</f>
        <v/>
      </c>
      <c r="AB158" s="101">
        <f>IF(AND(F158&lt;=DASHBOARD!$B$10, H158&gt;=DASHBOARD!$B$11), Q158, -1000000000000)</f>
        <v/>
      </c>
    </row>
    <row r="159" ht="12.75" customHeight="1" s="102">
      <c r="A159" s="166" t="n">
        <v>155</v>
      </c>
      <c r="B159" s="167" t="n">
        <v>0.3</v>
      </c>
      <c r="C159" s="167" t="n">
        <v>1.4</v>
      </c>
      <c r="D159" s="110" t="inlineStr">
        <is>
          <t>Yok (%0)</t>
        </is>
      </c>
      <c r="E159" s="110">
        <f>IF((B159+C159)&lt;=1, "Tam Mahsuplaşma (≤%100)", "Kısmi Satış (&gt;%100)")</f>
        <v/>
      </c>
      <c r="F159" s="168">
        <f>((VERI_TABANI!$D$29*B159/VERI_TABANI!$B$29)/VERI_TABANI!$B$3)*VERI_TABANI!$B$5 + ((VERI_TABANI!$D$29*C159/VERI_TABANI!$B$29)/VERI_TABANI!$B$4)*VERI_TABANI!$B$6 + IF(ISNUMBER(SEARCH("Var", D159)), (VERI_TABANI!$F$29/VERI_TABANI!$B$29)*(VERI_TABANI!$B$10+VERI_TABANI!$B$12), 0)</f>
        <v/>
      </c>
      <c r="G159" s="168">
        <f>(((MIN(VERI_TABANI!D23, VERI_TABANI!D23*B159)*VERI_TABANI!$B$7 + MAX(0, VERI_TABANI!D23*B159-VERI_TABANI!D23)*VERI_TABANI!$B$8) + (MIN(MAX(0, VERI_TABANI!D23-VERI_TABANI!D23*B159), VERI_TABANI!D23*C159)*VERI_TABANI!$B$7 + MAX(0, VERI_TABANI!D23*C159-MAX(0, VERI_TABANI!D23-VERI_TABANI!D23*B159))*VERI_TABANI!$B$8) + IF(ABS(IF(ISNUMBER(SEARCH("Var", D159)), 1, IF(ISNUMBER(SEARCH("Gri", D159)), -1, 0)))=1, VERI_TABANI!E23*(1-0.928)*VERI_TABANI!$B$9, 0) + (VERI_TABANI!D23*B159*(VERI_TABANI!$B$13-VERI_TABANI!$B$14)*VERI_TABANI!G23) + (VERI_TABANI!D23*C159*(VERI_TABANI!$B$13-VERI_TABANI!$B$15)*VERI_TABANI!G23) + IF(ABS(IF(ISNUMBER(SEARCH("Var", D159)), 1, IF(ISNUMBER(SEARCH("Gri", D159)), -1, 0)))=1, VERI_TABANI!E23*(1-0.928)*0.00206091519919798*VERI_TABANI!G23, 0)) + ((MIN(VERI_TABANI!D24, VERI_TABANI!D24*B159)*VERI_TABANI!$B$7 + MAX(0, VERI_TABANI!D24*B159-VERI_TABANI!D24)*VERI_TABANI!$B$8) + (MIN(MAX(0, VERI_TABANI!D24-VERI_TABANI!D24*B159), VERI_TABANI!D24*C159)*VERI_TABANI!$B$7 + MAX(0, VERI_TABANI!D24*C159-MAX(0, VERI_TABANI!D24-VERI_TABANI!D24*B159))*VERI_TABANI!$B$8) + IF(ABS(IF(ISNUMBER(SEARCH("Var", D159)), 1, IF(ISNUMBER(SEARCH("Gri", D159)), -1, 0)))=1, VERI_TABANI!E24*(1-0.928)*VERI_TABANI!$B$9, 0) + (VERI_TABANI!D24*B159*(VERI_TABANI!$B$13-VERI_TABANI!$B$14)*VERI_TABANI!G24) + (VERI_TABANI!D24*C159*(VERI_TABANI!$B$13-VERI_TABANI!$B$15)*VERI_TABANI!G24) + IF(ABS(IF(ISNUMBER(SEARCH("Var", D159)), 1, IF(ISNUMBER(SEARCH("Gri", D159)), -1, 0)))=1, VERI_TABANI!E24*(1-0.928)*0.00206091519919798*VERI_TABANI!G24, 0)) + ((MIN(VERI_TABANI!D25, VERI_TABANI!D25*B159)*VERI_TABANI!$B$7 + MAX(0, VERI_TABANI!D25*B159-VERI_TABANI!D25)*VERI_TABANI!$B$8) + (MIN(MAX(0, VERI_TABANI!D25-VERI_TABANI!D25*B159), VERI_TABANI!D25*C159)*VERI_TABANI!$B$7 + MAX(0, VERI_TABANI!D25*C159-MAX(0, VERI_TABANI!D25-VERI_TABANI!D25*B159))*VERI_TABANI!$B$8) + IF(ABS(IF(ISNUMBER(SEARCH("Var", D159)), 1, IF(ISNUMBER(SEARCH("Gri", D159)), -1, 0)))=1, VERI_TABANI!E25*(1-0.928)*VERI_TABANI!$B$9, 0) + (VERI_TABANI!D25*B159*(VERI_TABANI!$B$13-VERI_TABANI!$B$14)*VERI_TABANI!G25) + (VERI_TABANI!D25*C159*(VERI_TABANI!$B$13-VERI_TABANI!$B$15)*VERI_TABANI!G25) + IF(ABS(IF(ISNUMBER(SEARCH("Var", D159)), 1, IF(ISNUMBER(SEARCH("Gri", D159)), -1, 0)))=1, VERI_TABANI!E25*(1-0.928)*0.00206091519919798*VERI_TABANI!G25, 0)) + ((MIN(VERI_TABANI!D26, VERI_TABANI!D26*B159)*VERI_TABANI!$B$7 + MAX(0, VERI_TABANI!D26*B159-VERI_TABANI!D26)*VERI_TABANI!$B$8) + (MIN(MAX(0, VERI_TABANI!D26-VERI_TABANI!D26*B159), VERI_TABANI!D26*C159)*VERI_TABANI!$B$7 + MAX(0, VERI_TABANI!D26*C159-MAX(0, VERI_TABANI!D26-VERI_TABANI!D26*B159))*VERI_TABANI!$B$8) + IF(ABS(IF(ISNUMBER(SEARCH("Var", D159)), 1, IF(ISNUMBER(SEARCH("Gri", D159)), -1, 0)))=1, VERI_TABANI!E26*(1-0.928)*VERI_TABANI!$B$9, 0) + (VERI_TABANI!D26*B159*(VERI_TABANI!$B$13-VERI_TABANI!$B$14)*VERI_TABANI!G26) + (VERI_TABANI!D26*C159*(VERI_TABANI!$B$13-VERI_TABANI!$B$15)*VERI_TABANI!G26) + IF(ABS(IF(ISNUMBER(SEARCH("Var", D159)), 1, IF(ISNUMBER(SEARCH("Gri", D159)), -1, 0)))=1, VERI_TABANI!E26*(1-0.928)*0.00206091519919798*VERI_TABANI!G26, 0)) + ((MIN(VERI_TABANI!D27, VERI_TABANI!D27*B159)*VERI_TABANI!$B$7 + MAX(0, VERI_TABANI!D27*B159-VERI_TABANI!D27)*VERI_TABANI!$B$8) + (MIN(MAX(0, VERI_TABANI!D27-VERI_TABANI!D27*B159), VERI_TABANI!D27*C159)*VERI_TABANI!$B$7 + MAX(0, VERI_TABANI!D27*C159-MAX(0, VERI_TABANI!D27-VERI_TABANI!D27*B159))*VERI_TABANI!$B$8) + IF(ABS(IF(ISNUMBER(SEARCH("Var", D159)), 1, IF(ISNUMBER(SEARCH("Gri", D159)), -1, 0)))=1, VERI_TABANI!E27*(1-0.928)*VERI_TABANI!$B$9, 0) + (VERI_TABANI!D27*B159*(VERI_TABANI!$B$13-VERI_TABANI!$B$14)*VERI_TABANI!G27) + (VERI_TABANI!D27*C159*(VERI_TABANI!$B$13-VERI_TABANI!$B$15)*VERI_TABANI!G27) + IF(ABS(IF(ISNUMBER(SEARCH("Var", D159)), 1, IF(ISNUMBER(SEARCH("Gri", D159)), -1, 0)))=1, VERI_TABANI!E27*(1-0.928)*0.00206091519919798*VERI_TABANI!G27, 0)) + ((MIN(VERI_TABANI!D28, VERI_TABANI!D28*B159)*VERI_TABANI!$B$7 + MAX(0, VERI_TABANI!D28*B159-VERI_TABANI!D28)*VERI_TABANI!$B$8) + (MIN(MAX(0, VERI_TABANI!D28-VERI_TABANI!D28*B159), VERI_TABANI!D28*C159)*VERI_TABANI!$B$7 + MAX(0, VERI_TABANI!D28*C159-MAX(0, VERI_TABANI!D28-VERI_TABANI!D28*B159))*VERI_TABANI!$B$8) + IF(ABS(IF(ISNUMBER(SEARCH("Var", D159)), 1, IF(ISNUMBER(SEARCH("Gri", D159)), -1, 0)))=1, VERI_TABANI!E28*(1-0.928)*VERI_TABANI!$B$9, 0) + (VERI_TABANI!D28*B159*(VERI_TABANI!$B$13-VERI_TABANI!$B$14)*VERI_TABANI!G28) + (VERI_TABANI!D28*C159*(VERI_TABANI!$B$13-VERI_TABANI!$B$15)*VERI_TABANI!G28) + IF(ABS(IF(ISNUMBER(SEARCH("Var", D159)), 1, IF(ISNUMBER(SEARCH("Gri", D159)), -1, 0)))=1, VERI_TABANI!E28*(1-0.928)*0.00206091519919798*VERI_TABANI!G28, 0)))</f>
        <v/>
      </c>
      <c r="H159" s="169">
        <f>(((VERI_TABANI!D23*B159*(VERI_TABANI!$B$13-VERI_TABANI!$B$14)) + (VERI_TABANI!D23*C159*(VERI_TABANI!$B$13-VERI_TABANI!$B$15)) + IF(ISNUMBER(SEARCH("Var", D159)), VERI_TABANI!F23*(0.00202-VERI_TABANI!$B$16), IF(ISNUMBER(SEARCH("Gri", D159)), VERI_TABANI!F23*(0.00202-VERI_TABANI!$B$17), 0))) + ((VERI_TABANI!D24*B159*(VERI_TABANI!$B$13-VERI_TABANI!$B$14)) + (VERI_TABANI!D24*C159*(VERI_TABANI!$B$13-VERI_TABANI!$B$15)) + IF(ISNUMBER(SEARCH("Var", D159)), VERI_TABANI!F24*(0.00202-VERI_TABANI!$B$16), IF(ISNUMBER(SEARCH("Gri", D159)), VERI_TABANI!F24*(0.00202-VERI_TABANI!$B$17), 0))) + ((VERI_TABANI!D25*B159*(VERI_TABANI!$B$13-VERI_TABANI!$B$14)) + (VERI_TABANI!D25*C159*(VERI_TABANI!$B$13-VERI_TABANI!$B$15)) + IF(ISNUMBER(SEARCH("Var", D159)), VERI_TABANI!F25*(0.00202-VERI_TABANI!$B$16), IF(ISNUMBER(SEARCH("Gri", D159)), VERI_TABANI!F25*(0.00202-VERI_TABANI!$B$17), 0))) + ((VERI_TABANI!D26*B159*(VERI_TABANI!$B$13-VERI_TABANI!$B$14)) + (VERI_TABANI!D26*C159*(VERI_TABANI!$B$13-VERI_TABANI!$B$15)) + IF(ISNUMBER(SEARCH("Var", D159)), VERI_TABANI!F26*(0.00202-VERI_TABANI!$B$16), IF(ISNUMBER(SEARCH("Gri", D159)), VERI_TABANI!F26*(0.00202-VERI_TABANI!$B$17), 0))) + ((VERI_TABANI!D27*B159*(VERI_TABANI!$B$13-VERI_TABANI!$B$14)) + (VERI_TABANI!D27*C159*(VERI_TABANI!$B$13-VERI_TABANI!$B$15)) + IF(ISNUMBER(SEARCH("Var", D159)), VERI_TABANI!F27*(0.00202-VERI_TABANI!$B$16), IF(ISNUMBER(SEARCH("Gri", D159)), VERI_TABANI!F27*(0.00202-VERI_TABANI!$B$17), 0))) + ((VERI_TABANI!D28*B159*(VERI_TABANI!$B$13-VERI_TABANI!$B$14)) + (VERI_TABANI!D28*C159*(VERI_TABANI!$B$13-VERI_TABANI!$B$15)) + IF(ISNUMBER(SEARCH("Var", D159)), VERI_TABANI!F28*(0.00202-VERI_TABANI!$B$16), IF(ISNUMBER(SEARCH("Gri", D159)), VERI_TABANI!F28*(0.00202-VERI_TABANI!$B$17), 0))))</f>
        <v/>
      </c>
      <c r="I159" s="170">
        <f>IFERROR(((VERI_TABANI!$D$29*B159*VERI_TABANI!$B$14 + VERI_TABANI!$D$29*C159*VERI_TABANI!$B$15 + IF(ISNUMBER(SEARCH("Var", D159)), VERI_TABANI!$F$29*VERI_TABANI!$B$16, 0))) / (((VERI_TABANI!$D$29*B159 + VERI_TABANI!$D$29*C159)*VERI_TABANI!$B$13 + IF(ISNUMBER(SEARCH("Var", D159)), VERI_TABANI!$E$29*(1-0.928)*VERI_TABANI!$B$18, 0))), 0)</f>
        <v/>
      </c>
      <c r="J159" s="171">
        <f>IFERROR(F159/(G159/29), 0)</f>
        <v/>
      </c>
      <c r="K159" s="172">
        <f>IF(F159&gt;0, H159/F159, 0)</f>
        <v/>
      </c>
      <c r="L159" s="170">
        <f>IF(F159&gt;0, I159, 1000000000)</f>
        <v/>
      </c>
      <c r="M159" s="171">
        <f>ABS((B159+C159)-1)</f>
        <v/>
      </c>
      <c r="N159" s="170">
        <f>IF(F159&gt;0, (G159/29)/F159, 0)</f>
        <v/>
      </c>
      <c r="O159" s="168">
        <f>IF(AND((B159+C159)&gt;=1, ISNUMBER(SEARCH("Var", D159))), F159, 1000000000)</f>
        <v/>
      </c>
      <c r="P159" s="172">
        <f>IF(F159&gt;0, SQRT((F159/MAX(F$5:F$886))^2 + (1 - H159/MAX(H$5:H$886))^2 + (J159/MAX(J$5:J$886))^2), 1000000000)</f>
        <v/>
      </c>
      <c r="Q159" s="166">
        <f>IF(AND(ABS(B159-0.5)&lt;0.01, ABS(C159-0.5)&lt;0.01, ISNUMBER(SEARCH("Var", D159))), 1, 0)</f>
        <v/>
      </c>
      <c r="R159" s="171">
        <f>IF(F159&gt;0, J159, 1000000000)</f>
        <v/>
      </c>
      <c r="S159" s="101">
        <f>IF(AND(F159&lt;=DASHBOARD!$B$11, H159&gt;=DASHBOARD!$B$13), G159, -1000000000000)</f>
        <v/>
      </c>
      <c r="T159" s="101">
        <f>IF(AND(F159&lt;=DASHBOARD!$B$11, H159&gt;=DASHBOARD!$B$13), R159, 1000000000000)</f>
        <v/>
      </c>
      <c r="U159" s="101">
        <f>IF(AND(F159&lt;=DASHBOARD!$B$11, H159&gt;=DASHBOARD!$B$13), N159, -1000000000000)</f>
        <v/>
      </c>
      <c r="V159" s="101">
        <f>IF(AND(F159&lt;=DASHBOARD!$B$11, H159&gt;=DASHBOARD!$B$13), H159, -1000000000000)</f>
        <v/>
      </c>
      <c r="W159" s="101">
        <f>IF(AND(F159&lt;=DASHBOARD!$B$11, H159&gt;=DASHBOARD!$B$13), K159, -1000000000000)</f>
        <v/>
      </c>
      <c r="X159" s="101">
        <f>IF(AND(F159&lt;=DASHBOARD!$B$11, H159&gt;=DASHBOARD!$B$13), M159, 1000000000000)</f>
        <v/>
      </c>
      <c r="Y159" s="101">
        <f>IF(AND(F159&lt;=DASHBOARD!$B$10, H159&gt;=DASHBOARD!$B$11), L159, 1000000000000)</f>
        <v/>
      </c>
      <c r="Z159" s="101">
        <f>IF(AND(F159&lt;=DASHBOARD!$B$10, H159&gt;=DASHBOARD!$B$11), O159, 1000000000000)</f>
        <v/>
      </c>
      <c r="AA159" s="101">
        <f>IF(AND(F159&lt;=DASHBOARD!$B$10, H159&gt;=DASHBOARD!$B$11), P159, 1000000000000)</f>
        <v/>
      </c>
      <c r="AB159" s="101">
        <f>IF(AND(F159&lt;=DASHBOARD!$B$10, H159&gt;=DASHBOARD!$B$11), Q159, -1000000000000)</f>
        <v/>
      </c>
    </row>
    <row r="160" ht="12.75" customHeight="1" s="102">
      <c r="A160" s="166" t="n">
        <v>156</v>
      </c>
      <c r="B160" s="167" t="n">
        <v>0.3</v>
      </c>
      <c r="C160" s="167" t="n">
        <v>1.4</v>
      </c>
      <c r="D160" s="110" t="inlineStr">
        <is>
          <t>Var (%20)</t>
        </is>
      </c>
      <c r="E160" s="110">
        <f>IF((B160+C160)&lt;=1, "Tam Mahsuplaşma (≤%100)", "Kısmi Satış (&gt;%100)")</f>
        <v/>
      </c>
      <c r="F160" s="168">
        <f>((VERI_TABANI!$D$29*B160/VERI_TABANI!$B$29)/VERI_TABANI!$B$3)*VERI_TABANI!$B$5 + ((VERI_TABANI!$D$29*C160/VERI_TABANI!$B$29)/VERI_TABANI!$B$4)*VERI_TABANI!$B$6 + IF(ISNUMBER(SEARCH("Var", D160)), (VERI_TABANI!$F$29/VERI_TABANI!$B$29)*(VERI_TABANI!$B$10+VERI_TABANI!$B$12), 0)</f>
        <v/>
      </c>
      <c r="G160" s="168">
        <f>(((MIN(VERI_TABANI!D23, VERI_TABANI!D23*B160)*VERI_TABANI!$B$7 + MAX(0, VERI_TABANI!D23*B160-VERI_TABANI!D23)*VERI_TABANI!$B$8) + (MIN(MAX(0, VERI_TABANI!D23-VERI_TABANI!D23*B160), VERI_TABANI!D23*C160)*VERI_TABANI!$B$7 + MAX(0, VERI_TABANI!D23*C160-MAX(0, VERI_TABANI!D23-VERI_TABANI!D23*B160))*VERI_TABANI!$B$8) + IF(ABS(IF(ISNUMBER(SEARCH("Var", D160)), 1, IF(ISNUMBER(SEARCH("Gri", D160)), -1, 0)))=1, VERI_TABANI!E23*(1-0.928)*VERI_TABANI!$B$9, 0) + (VERI_TABANI!D23*B160*(VERI_TABANI!$B$13-VERI_TABANI!$B$14)*VERI_TABANI!G23) + (VERI_TABANI!D23*C160*(VERI_TABANI!$B$13-VERI_TABANI!$B$15)*VERI_TABANI!G23) + IF(ABS(IF(ISNUMBER(SEARCH("Var", D160)), 1, IF(ISNUMBER(SEARCH("Gri", D160)), -1, 0)))=1, VERI_TABANI!E23*(1-0.928)*0.00206091519919798*VERI_TABANI!G23, 0)) + ((MIN(VERI_TABANI!D24, VERI_TABANI!D24*B160)*VERI_TABANI!$B$7 + MAX(0, VERI_TABANI!D24*B160-VERI_TABANI!D24)*VERI_TABANI!$B$8) + (MIN(MAX(0, VERI_TABANI!D24-VERI_TABANI!D24*B160), VERI_TABANI!D24*C160)*VERI_TABANI!$B$7 + MAX(0, VERI_TABANI!D24*C160-MAX(0, VERI_TABANI!D24-VERI_TABANI!D24*B160))*VERI_TABANI!$B$8) + IF(ABS(IF(ISNUMBER(SEARCH("Var", D160)), 1, IF(ISNUMBER(SEARCH("Gri", D160)), -1, 0)))=1, VERI_TABANI!E24*(1-0.928)*VERI_TABANI!$B$9, 0) + (VERI_TABANI!D24*B160*(VERI_TABANI!$B$13-VERI_TABANI!$B$14)*VERI_TABANI!G24) + (VERI_TABANI!D24*C160*(VERI_TABANI!$B$13-VERI_TABANI!$B$15)*VERI_TABANI!G24) + IF(ABS(IF(ISNUMBER(SEARCH("Var", D160)), 1, IF(ISNUMBER(SEARCH("Gri", D160)), -1, 0)))=1, VERI_TABANI!E24*(1-0.928)*0.00206091519919798*VERI_TABANI!G24, 0)) + ((MIN(VERI_TABANI!D25, VERI_TABANI!D25*B160)*VERI_TABANI!$B$7 + MAX(0, VERI_TABANI!D25*B160-VERI_TABANI!D25)*VERI_TABANI!$B$8) + (MIN(MAX(0, VERI_TABANI!D25-VERI_TABANI!D25*B160), VERI_TABANI!D25*C160)*VERI_TABANI!$B$7 + MAX(0, VERI_TABANI!D25*C160-MAX(0, VERI_TABANI!D25-VERI_TABANI!D25*B160))*VERI_TABANI!$B$8) + IF(ABS(IF(ISNUMBER(SEARCH("Var", D160)), 1, IF(ISNUMBER(SEARCH("Gri", D160)), -1, 0)))=1, VERI_TABANI!E25*(1-0.928)*VERI_TABANI!$B$9, 0) + (VERI_TABANI!D25*B160*(VERI_TABANI!$B$13-VERI_TABANI!$B$14)*VERI_TABANI!G25) + (VERI_TABANI!D25*C160*(VERI_TABANI!$B$13-VERI_TABANI!$B$15)*VERI_TABANI!G25) + IF(ABS(IF(ISNUMBER(SEARCH("Var", D160)), 1, IF(ISNUMBER(SEARCH("Gri", D160)), -1, 0)))=1, VERI_TABANI!E25*(1-0.928)*0.00206091519919798*VERI_TABANI!G25, 0)) + ((MIN(VERI_TABANI!D26, VERI_TABANI!D26*B160)*VERI_TABANI!$B$7 + MAX(0, VERI_TABANI!D26*B160-VERI_TABANI!D26)*VERI_TABANI!$B$8) + (MIN(MAX(0, VERI_TABANI!D26-VERI_TABANI!D26*B160), VERI_TABANI!D26*C160)*VERI_TABANI!$B$7 + MAX(0, VERI_TABANI!D26*C160-MAX(0, VERI_TABANI!D26-VERI_TABANI!D26*B160))*VERI_TABANI!$B$8) + IF(ABS(IF(ISNUMBER(SEARCH("Var", D160)), 1, IF(ISNUMBER(SEARCH("Gri", D160)), -1, 0)))=1, VERI_TABANI!E26*(1-0.928)*VERI_TABANI!$B$9, 0) + (VERI_TABANI!D26*B160*(VERI_TABANI!$B$13-VERI_TABANI!$B$14)*VERI_TABANI!G26) + (VERI_TABANI!D26*C160*(VERI_TABANI!$B$13-VERI_TABANI!$B$15)*VERI_TABANI!G26) + IF(ABS(IF(ISNUMBER(SEARCH("Var", D160)), 1, IF(ISNUMBER(SEARCH("Gri", D160)), -1, 0)))=1, VERI_TABANI!E26*(1-0.928)*0.00206091519919798*VERI_TABANI!G26, 0)) + ((MIN(VERI_TABANI!D27, VERI_TABANI!D27*B160)*VERI_TABANI!$B$7 + MAX(0, VERI_TABANI!D27*B160-VERI_TABANI!D27)*VERI_TABANI!$B$8) + (MIN(MAX(0, VERI_TABANI!D27-VERI_TABANI!D27*B160), VERI_TABANI!D27*C160)*VERI_TABANI!$B$7 + MAX(0, VERI_TABANI!D27*C160-MAX(0, VERI_TABANI!D27-VERI_TABANI!D27*B160))*VERI_TABANI!$B$8) + IF(ABS(IF(ISNUMBER(SEARCH("Var", D160)), 1, IF(ISNUMBER(SEARCH("Gri", D160)), -1, 0)))=1, VERI_TABANI!E27*(1-0.928)*VERI_TABANI!$B$9, 0) + (VERI_TABANI!D27*B160*(VERI_TABANI!$B$13-VERI_TABANI!$B$14)*VERI_TABANI!G27) + (VERI_TABANI!D27*C160*(VERI_TABANI!$B$13-VERI_TABANI!$B$15)*VERI_TABANI!G27) + IF(ABS(IF(ISNUMBER(SEARCH("Var", D160)), 1, IF(ISNUMBER(SEARCH("Gri", D160)), -1, 0)))=1, VERI_TABANI!E27*(1-0.928)*0.00206091519919798*VERI_TABANI!G27, 0)) + ((MIN(VERI_TABANI!D28, VERI_TABANI!D28*B160)*VERI_TABANI!$B$7 + MAX(0, VERI_TABANI!D28*B160-VERI_TABANI!D28)*VERI_TABANI!$B$8) + (MIN(MAX(0, VERI_TABANI!D28-VERI_TABANI!D28*B160), VERI_TABANI!D28*C160)*VERI_TABANI!$B$7 + MAX(0, VERI_TABANI!D28*C160-MAX(0, VERI_TABANI!D28-VERI_TABANI!D28*B160))*VERI_TABANI!$B$8) + IF(ABS(IF(ISNUMBER(SEARCH("Var", D160)), 1, IF(ISNUMBER(SEARCH("Gri", D160)), -1, 0)))=1, VERI_TABANI!E28*(1-0.928)*VERI_TABANI!$B$9, 0) + (VERI_TABANI!D28*B160*(VERI_TABANI!$B$13-VERI_TABANI!$B$14)*VERI_TABANI!G28) + (VERI_TABANI!D28*C160*(VERI_TABANI!$B$13-VERI_TABANI!$B$15)*VERI_TABANI!G28) + IF(ABS(IF(ISNUMBER(SEARCH("Var", D160)), 1, IF(ISNUMBER(SEARCH("Gri", D160)), -1, 0)))=1, VERI_TABANI!E28*(1-0.928)*0.00206091519919798*VERI_TABANI!G28, 0)))</f>
        <v/>
      </c>
      <c r="H160" s="169">
        <f>(((VERI_TABANI!D23*B160*(VERI_TABANI!$B$13-VERI_TABANI!$B$14)) + (VERI_TABANI!D23*C160*(VERI_TABANI!$B$13-VERI_TABANI!$B$15)) + IF(ISNUMBER(SEARCH("Var", D160)), VERI_TABANI!F23*(0.00202-VERI_TABANI!$B$16), IF(ISNUMBER(SEARCH("Gri", D160)), VERI_TABANI!F23*(0.00202-VERI_TABANI!$B$17), 0))) + ((VERI_TABANI!D24*B160*(VERI_TABANI!$B$13-VERI_TABANI!$B$14)) + (VERI_TABANI!D24*C160*(VERI_TABANI!$B$13-VERI_TABANI!$B$15)) + IF(ISNUMBER(SEARCH("Var", D160)), VERI_TABANI!F24*(0.00202-VERI_TABANI!$B$16), IF(ISNUMBER(SEARCH("Gri", D160)), VERI_TABANI!F24*(0.00202-VERI_TABANI!$B$17), 0))) + ((VERI_TABANI!D25*B160*(VERI_TABANI!$B$13-VERI_TABANI!$B$14)) + (VERI_TABANI!D25*C160*(VERI_TABANI!$B$13-VERI_TABANI!$B$15)) + IF(ISNUMBER(SEARCH("Var", D160)), VERI_TABANI!F25*(0.00202-VERI_TABANI!$B$16), IF(ISNUMBER(SEARCH("Gri", D160)), VERI_TABANI!F25*(0.00202-VERI_TABANI!$B$17), 0))) + ((VERI_TABANI!D26*B160*(VERI_TABANI!$B$13-VERI_TABANI!$B$14)) + (VERI_TABANI!D26*C160*(VERI_TABANI!$B$13-VERI_TABANI!$B$15)) + IF(ISNUMBER(SEARCH("Var", D160)), VERI_TABANI!F26*(0.00202-VERI_TABANI!$B$16), IF(ISNUMBER(SEARCH("Gri", D160)), VERI_TABANI!F26*(0.00202-VERI_TABANI!$B$17), 0))) + ((VERI_TABANI!D27*B160*(VERI_TABANI!$B$13-VERI_TABANI!$B$14)) + (VERI_TABANI!D27*C160*(VERI_TABANI!$B$13-VERI_TABANI!$B$15)) + IF(ISNUMBER(SEARCH("Var", D160)), VERI_TABANI!F27*(0.00202-VERI_TABANI!$B$16), IF(ISNUMBER(SEARCH("Gri", D160)), VERI_TABANI!F27*(0.00202-VERI_TABANI!$B$17), 0))) + ((VERI_TABANI!D28*B160*(VERI_TABANI!$B$13-VERI_TABANI!$B$14)) + (VERI_TABANI!D28*C160*(VERI_TABANI!$B$13-VERI_TABANI!$B$15)) + IF(ISNUMBER(SEARCH("Var", D160)), VERI_TABANI!F28*(0.00202-VERI_TABANI!$B$16), IF(ISNUMBER(SEARCH("Gri", D160)), VERI_TABANI!F28*(0.00202-VERI_TABANI!$B$17), 0))))</f>
        <v/>
      </c>
      <c r="I160" s="170">
        <f>IFERROR(((VERI_TABANI!$D$29*B160*VERI_TABANI!$B$14 + VERI_TABANI!$D$29*C160*VERI_TABANI!$B$15 + IF(ISNUMBER(SEARCH("Var", D160)), VERI_TABANI!$F$29*VERI_TABANI!$B$16, 0))) / (((VERI_TABANI!$D$29*B160 + VERI_TABANI!$D$29*C160)*VERI_TABANI!$B$13 + IF(ISNUMBER(SEARCH("Var", D160)), VERI_TABANI!$E$29*(1-0.928)*VERI_TABANI!$B$18, 0))), 0)</f>
        <v/>
      </c>
      <c r="J160" s="171">
        <f>IFERROR(F160/(G160/29), 0)</f>
        <v/>
      </c>
      <c r="K160" s="172">
        <f>IF(F160&gt;0, H160/F160, 0)</f>
        <v/>
      </c>
      <c r="L160" s="170">
        <f>IF(F160&gt;0, I160, 1000000000)</f>
        <v/>
      </c>
      <c r="M160" s="171">
        <f>ABS((B160+C160)-1)</f>
        <v/>
      </c>
      <c r="N160" s="170">
        <f>IF(F160&gt;0, (G160/29)/F160, 0)</f>
        <v/>
      </c>
      <c r="O160" s="168">
        <f>IF(AND((B160+C160)&gt;=1, ISNUMBER(SEARCH("Var", D160))), F160, 1000000000)</f>
        <v/>
      </c>
      <c r="P160" s="172">
        <f>IF(F160&gt;0, SQRT((F160/MAX(F$5:F$886))^2 + (1 - H160/MAX(H$5:H$886))^2 + (J160/MAX(J$5:J$886))^2), 1000000000)</f>
        <v/>
      </c>
      <c r="Q160" s="166">
        <f>IF(AND(ABS(B160-0.5)&lt;0.01, ABS(C160-0.5)&lt;0.01, ISNUMBER(SEARCH("Var", D160))), 1, 0)</f>
        <v/>
      </c>
      <c r="R160" s="171">
        <f>IF(F160&gt;0, J160, 1000000000)</f>
        <v/>
      </c>
      <c r="S160" s="101">
        <f>IF(AND(F160&lt;=DASHBOARD!$B$11, H160&gt;=DASHBOARD!$B$13), G160, -1000000000000)</f>
        <v/>
      </c>
      <c r="T160" s="101">
        <f>IF(AND(F160&lt;=DASHBOARD!$B$11, H160&gt;=DASHBOARD!$B$13), R160, 1000000000000)</f>
        <v/>
      </c>
      <c r="U160" s="101">
        <f>IF(AND(F160&lt;=DASHBOARD!$B$11, H160&gt;=DASHBOARD!$B$13), N160, -1000000000000)</f>
        <v/>
      </c>
      <c r="V160" s="101">
        <f>IF(AND(F160&lt;=DASHBOARD!$B$11, H160&gt;=DASHBOARD!$B$13), H160, -1000000000000)</f>
        <v/>
      </c>
      <c r="W160" s="101">
        <f>IF(AND(F160&lt;=DASHBOARD!$B$11, H160&gt;=DASHBOARD!$B$13), K160, -1000000000000)</f>
        <v/>
      </c>
      <c r="X160" s="101">
        <f>IF(AND(F160&lt;=DASHBOARD!$B$11, H160&gt;=DASHBOARD!$B$13), M160, 1000000000000)</f>
        <v/>
      </c>
      <c r="Y160" s="101">
        <f>IF(AND(F160&lt;=DASHBOARD!$B$10, H160&gt;=DASHBOARD!$B$11), L160, 1000000000000)</f>
        <v/>
      </c>
      <c r="Z160" s="101">
        <f>IF(AND(F160&lt;=DASHBOARD!$B$10, H160&gt;=DASHBOARD!$B$11), O160, 1000000000000)</f>
        <v/>
      </c>
      <c r="AA160" s="101">
        <f>IF(AND(F160&lt;=DASHBOARD!$B$10, H160&gt;=DASHBOARD!$B$11), P160, 1000000000000)</f>
        <v/>
      </c>
      <c r="AB160" s="101">
        <f>IF(AND(F160&lt;=DASHBOARD!$B$10, H160&gt;=DASHBOARD!$B$11), Q160, -1000000000000)</f>
        <v/>
      </c>
    </row>
    <row r="161" ht="12.75" customHeight="1" s="102">
      <c r="A161" s="166" t="n">
        <v>157</v>
      </c>
      <c r="B161" s="167" t="n">
        <v>0.3</v>
      </c>
      <c r="C161" s="167" t="n">
        <v>1.5</v>
      </c>
      <c r="D161" s="110" t="inlineStr">
        <is>
          <t>Yok (%0)</t>
        </is>
      </c>
      <c r="E161" s="110">
        <f>IF((B161+C161)&lt;=1, "Tam Mahsuplaşma (≤%100)", "Kısmi Satış (&gt;%100)")</f>
        <v/>
      </c>
      <c r="F161" s="168">
        <f>((VERI_TABANI!$D$29*B161/VERI_TABANI!$B$29)/VERI_TABANI!$B$3)*VERI_TABANI!$B$5 + ((VERI_TABANI!$D$29*C161/VERI_TABANI!$B$29)/VERI_TABANI!$B$4)*VERI_TABANI!$B$6 + IF(ISNUMBER(SEARCH("Var", D161)), (VERI_TABANI!$F$29/VERI_TABANI!$B$29)*(VERI_TABANI!$B$10+VERI_TABANI!$B$12), 0)</f>
        <v/>
      </c>
      <c r="G161" s="168">
        <f>(((MIN(VERI_TABANI!D23, VERI_TABANI!D23*B161)*VERI_TABANI!$B$7 + MAX(0, VERI_TABANI!D23*B161-VERI_TABANI!D23)*VERI_TABANI!$B$8) + (MIN(MAX(0, VERI_TABANI!D23-VERI_TABANI!D23*B161), VERI_TABANI!D23*C161)*VERI_TABANI!$B$7 + MAX(0, VERI_TABANI!D23*C161-MAX(0, VERI_TABANI!D23-VERI_TABANI!D23*B161))*VERI_TABANI!$B$8) + IF(ABS(IF(ISNUMBER(SEARCH("Var", D161)), 1, IF(ISNUMBER(SEARCH("Gri", D161)), -1, 0)))=1, VERI_TABANI!E23*(1-0.928)*VERI_TABANI!$B$9, 0) + (VERI_TABANI!D23*B161*(VERI_TABANI!$B$13-VERI_TABANI!$B$14)*VERI_TABANI!G23) + (VERI_TABANI!D23*C161*(VERI_TABANI!$B$13-VERI_TABANI!$B$15)*VERI_TABANI!G23) + IF(ABS(IF(ISNUMBER(SEARCH("Var", D161)), 1, IF(ISNUMBER(SEARCH("Gri", D161)), -1, 0)))=1, VERI_TABANI!E23*(1-0.928)*0.00206091519919798*VERI_TABANI!G23, 0)) + ((MIN(VERI_TABANI!D24, VERI_TABANI!D24*B161)*VERI_TABANI!$B$7 + MAX(0, VERI_TABANI!D24*B161-VERI_TABANI!D24)*VERI_TABANI!$B$8) + (MIN(MAX(0, VERI_TABANI!D24-VERI_TABANI!D24*B161), VERI_TABANI!D24*C161)*VERI_TABANI!$B$7 + MAX(0, VERI_TABANI!D24*C161-MAX(0, VERI_TABANI!D24-VERI_TABANI!D24*B161))*VERI_TABANI!$B$8) + IF(ABS(IF(ISNUMBER(SEARCH("Var", D161)), 1, IF(ISNUMBER(SEARCH("Gri", D161)), -1, 0)))=1, VERI_TABANI!E24*(1-0.928)*VERI_TABANI!$B$9, 0) + (VERI_TABANI!D24*B161*(VERI_TABANI!$B$13-VERI_TABANI!$B$14)*VERI_TABANI!G24) + (VERI_TABANI!D24*C161*(VERI_TABANI!$B$13-VERI_TABANI!$B$15)*VERI_TABANI!G24) + IF(ABS(IF(ISNUMBER(SEARCH("Var", D161)), 1, IF(ISNUMBER(SEARCH("Gri", D161)), -1, 0)))=1, VERI_TABANI!E24*(1-0.928)*0.00206091519919798*VERI_TABANI!G24, 0)) + ((MIN(VERI_TABANI!D25, VERI_TABANI!D25*B161)*VERI_TABANI!$B$7 + MAX(0, VERI_TABANI!D25*B161-VERI_TABANI!D25)*VERI_TABANI!$B$8) + (MIN(MAX(0, VERI_TABANI!D25-VERI_TABANI!D25*B161), VERI_TABANI!D25*C161)*VERI_TABANI!$B$7 + MAX(0, VERI_TABANI!D25*C161-MAX(0, VERI_TABANI!D25-VERI_TABANI!D25*B161))*VERI_TABANI!$B$8) + IF(ABS(IF(ISNUMBER(SEARCH("Var", D161)), 1, IF(ISNUMBER(SEARCH("Gri", D161)), -1, 0)))=1, VERI_TABANI!E25*(1-0.928)*VERI_TABANI!$B$9, 0) + (VERI_TABANI!D25*B161*(VERI_TABANI!$B$13-VERI_TABANI!$B$14)*VERI_TABANI!G25) + (VERI_TABANI!D25*C161*(VERI_TABANI!$B$13-VERI_TABANI!$B$15)*VERI_TABANI!G25) + IF(ABS(IF(ISNUMBER(SEARCH("Var", D161)), 1, IF(ISNUMBER(SEARCH("Gri", D161)), -1, 0)))=1, VERI_TABANI!E25*(1-0.928)*0.00206091519919798*VERI_TABANI!G25, 0)) + ((MIN(VERI_TABANI!D26, VERI_TABANI!D26*B161)*VERI_TABANI!$B$7 + MAX(0, VERI_TABANI!D26*B161-VERI_TABANI!D26)*VERI_TABANI!$B$8) + (MIN(MAX(0, VERI_TABANI!D26-VERI_TABANI!D26*B161), VERI_TABANI!D26*C161)*VERI_TABANI!$B$7 + MAX(0, VERI_TABANI!D26*C161-MAX(0, VERI_TABANI!D26-VERI_TABANI!D26*B161))*VERI_TABANI!$B$8) + IF(ABS(IF(ISNUMBER(SEARCH("Var", D161)), 1, IF(ISNUMBER(SEARCH("Gri", D161)), -1, 0)))=1, VERI_TABANI!E26*(1-0.928)*VERI_TABANI!$B$9, 0) + (VERI_TABANI!D26*B161*(VERI_TABANI!$B$13-VERI_TABANI!$B$14)*VERI_TABANI!G26) + (VERI_TABANI!D26*C161*(VERI_TABANI!$B$13-VERI_TABANI!$B$15)*VERI_TABANI!G26) + IF(ABS(IF(ISNUMBER(SEARCH("Var", D161)), 1, IF(ISNUMBER(SEARCH("Gri", D161)), -1, 0)))=1, VERI_TABANI!E26*(1-0.928)*0.00206091519919798*VERI_TABANI!G26, 0)) + ((MIN(VERI_TABANI!D27, VERI_TABANI!D27*B161)*VERI_TABANI!$B$7 + MAX(0, VERI_TABANI!D27*B161-VERI_TABANI!D27)*VERI_TABANI!$B$8) + (MIN(MAX(0, VERI_TABANI!D27-VERI_TABANI!D27*B161), VERI_TABANI!D27*C161)*VERI_TABANI!$B$7 + MAX(0, VERI_TABANI!D27*C161-MAX(0, VERI_TABANI!D27-VERI_TABANI!D27*B161))*VERI_TABANI!$B$8) + IF(ABS(IF(ISNUMBER(SEARCH("Var", D161)), 1, IF(ISNUMBER(SEARCH("Gri", D161)), -1, 0)))=1, VERI_TABANI!E27*(1-0.928)*VERI_TABANI!$B$9, 0) + (VERI_TABANI!D27*B161*(VERI_TABANI!$B$13-VERI_TABANI!$B$14)*VERI_TABANI!G27) + (VERI_TABANI!D27*C161*(VERI_TABANI!$B$13-VERI_TABANI!$B$15)*VERI_TABANI!G27) + IF(ABS(IF(ISNUMBER(SEARCH("Var", D161)), 1, IF(ISNUMBER(SEARCH("Gri", D161)), -1, 0)))=1, VERI_TABANI!E27*(1-0.928)*0.00206091519919798*VERI_TABANI!G27, 0)) + ((MIN(VERI_TABANI!D28, VERI_TABANI!D28*B161)*VERI_TABANI!$B$7 + MAX(0, VERI_TABANI!D28*B161-VERI_TABANI!D28)*VERI_TABANI!$B$8) + (MIN(MAX(0, VERI_TABANI!D28-VERI_TABANI!D28*B161), VERI_TABANI!D28*C161)*VERI_TABANI!$B$7 + MAX(0, VERI_TABANI!D28*C161-MAX(0, VERI_TABANI!D28-VERI_TABANI!D28*B161))*VERI_TABANI!$B$8) + IF(ABS(IF(ISNUMBER(SEARCH("Var", D161)), 1, IF(ISNUMBER(SEARCH("Gri", D161)), -1, 0)))=1, VERI_TABANI!E28*(1-0.928)*VERI_TABANI!$B$9, 0) + (VERI_TABANI!D28*B161*(VERI_TABANI!$B$13-VERI_TABANI!$B$14)*VERI_TABANI!G28) + (VERI_TABANI!D28*C161*(VERI_TABANI!$B$13-VERI_TABANI!$B$15)*VERI_TABANI!G28) + IF(ABS(IF(ISNUMBER(SEARCH("Var", D161)), 1, IF(ISNUMBER(SEARCH("Gri", D161)), -1, 0)))=1, VERI_TABANI!E28*(1-0.928)*0.00206091519919798*VERI_TABANI!G28, 0)))</f>
        <v/>
      </c>
      <c r="H161" s="169">
        <f>(((VERI_TABANI!D23*B161*(VERI_TABANI!$B$13-VERI_TABANI!$B$14)) + (VERI_TABANI!D23*C161*(VERI_TABANI!$B$13-VERI_TABANI!$B$15)) + IF(ISNUMBER(SEARCH("Var", D161)), VERI_TABANI!F23*(0.00202-VERI_TABANI!$B$16), IF(ISNUMBER(SEARCH("Gri", D161)), VERI_TABANI!F23*(0.00202-VERI_TABANI!$B$17), 0))) + ((VERI_TABANI!D24*B161*(VERI_TABANI!$B$13-VERI_TABANI!$B$14)) + (VERI_TABANI!D24*C161*(VERI_TABANI!$B$13-VERI_TABANI!$B$15)) + IF(ISNUMBER(SEARCH("Var", D161)), VERI_TABANI!F24*(0.00202-VERI_TABANI!$B$16), IF(ISNUMBER(SEARCH("Gri", D161)), VERI_TABANI!F24*(0.00202-VERI_TABANI!$B$17), 0))) + ((VERI_TABANI!D25*B161*(VERI_TABANI!$B$13-VERI_TABANI!$B$14)) + (VERI_TABANI!D25*C161*(VERI_TABANI!$B$13-VERI_TABANI!$B$15)) + IF(ISNUMBER(SEARCH("Var", D161)), VERI_TABANI!F25*(0.00202-VERI_TABANI!$B$16), IF(ISNUMBER(SEARCH("Gri", D161)), VERI_TABANI!F25*(0.00202-VERI_TABANI!$B$17), 0))) + ((VERI_TABANI!D26*B161*(VERI_TABANI!$B$13-VERI_TABANI!$B$14)) + (VERI_TABANI!D26*C161*(VERI_TABANI!$B$13-VERI_TABANI!$B$15)) + IF(ISNUMBER(SEARCH("Var", D161)), VERI_TABANI!F26*(0.00202-VERI_TABANI!$B$16), IF(ISNUMBER(SEARCH("Gri", D161)), VERI_TABANI!F26*(0.00202-VERI_TABANI!$B$17), 0))) + ((VERI_TABANI!D27*B161*(VERI_TABANI!$B$13-VERI_TABANI!$B$14)) + (VERI_TABANI!D27*C161*(VERI_TABANI!$B$13-VERI_TABANI!$B$15)) + IF(ISNUMBER(SEARCH("Var", D161)), VERI_TABANI!F27*(0.00202-VERI_TABANI!$B$16), IF(ISNUMBER(SEARCH("Gri", D161)), VERI_TABANI!F27*(0.00202-VERI_TABANI!$B$17), 0))) + ((VERI_TABANI!D28*B161*(VERI_TABANI!$B$13-VERI_TABANI!$B$14)) + (VERI_TABANI!D28*C161*(VERI_TABANI!$B$13-VERI_TABANI!$B$15)) + IF(ISNUMBER(SEARCH("Var", D161)), VERI_TABANI!F28*(0.00202-VERI_TABANI!$B$16), IF(ISNUMBER(SEARCH("Gri", D161)), VERI_TABANI!F28*(0.00202-VERI_TABANI!$B$17), 0))))</f>
        <v/>
      </c>
      <c r="I161" s="170">
        <f>IFERROR(((VERI_TABANI!$D$29*B161*VERI_TABANI!$B$14 + VERI_TABANI!$D$29*C161*VERI_TABANI!$B$15 + IF(ISNUMBER(SEARCH("Var", D161)), VERI_TABANI!$F$29*VERI_TABANI!$B$16, 0))) / (((VERI_TABANI!$D$29*B161 + VERI_TABANI!$D$29*C161)*VERI_TABANI!$B$13 + IF(ISNUMBER(SEARCH("Var", D161)), VERI_TABANI!$E$29*(1-0.928)*VERI_TABANI!$B$18, 0))), 0)</f>
        <v/>
      </c>
      <c r="J161" s="171">
        <f>IFERROR(F161/(G161/29), 0)</f>
        <v/>
      </c>
      <c r="K161" s="172">
        <f>IF(F161&gt;0, H161/F161, 0)</f>
        <v/>
      </c>
      <c r="L161" s="170">
        <f>IF(F161&gt;0, I161, 1000000000)</f>
        <v/>
      </c>
      <c r="M161" s="171">
        <f>ABS((B161+C161)-1)</f>
        <v/>
      </c>
      <c r="N161" s="170">
        <f>IF(F161&gt;0, (G161/29)/F161, 0)</f>
        <v/>
      </c>
      <c r="O161" s="168">
        <f>IF(AND((B161+C161)&gt;=1, ISNUMBER(SEARCH("Var", D161))), F161, 1000000000)</f>
        <v/>
      </c>
      <c r="P161" s="172">
        <f>IF(F161&gt;0, SQRT((F161/MAX(F$5:F$886))^2 + (1 - H161/MAX(H$5:H$886))^2 + (J161/MAX(J$5:J$886))^2), 1000000000)</f>
        <v/>
      </c>
      <c r="Q161" s="166">
        <f>IF(AND(ABS(B161-0.5)&lt;0.01, ABS(C161-0.5)&lt;0.01, ISNUMBER(SEARCH("Var", D161))), 1, 0)</f>
        <v/>
      </c>
      <c r="R161" s="171">
        <f>IF(F161&gt;0, J161, 1000000000)</f>
        <v/>
      </c>
      <c r="S161" s="101">
        <f>IF(AND(F161&lt;=DASHBOARD!$B$11, H161&gt;=DASHBOARD!$B$13), G161, -1000000000000)</f>
        <v/>
      </c>
      <c r="T161" s="101">
        <f>IF(AND(F161&lt;=DASHBOARD!$B$11, H161&gt;=DASHBOARD!$B$13), R161, 1000000000000)</f>
        <v/>
      </c>
      <c r="U161" s="101">
        <f>IF(AND(F161&lt;=DASHBOARD!$B$11, H161&gt;=DASHBOARD!$B$13), N161, -1000000000000)</f>
        <v/>
      </c>
      <c r="V161" s="101">
        <f>IF(AND(F161&lt;=DASHBOARD!$B$11, H161&gt;=DASHBOARD!$B$13), H161, -1000000000000)</f>
        <v/>
      </c>
      <c r="W161" s="101">
        <f>IF(AND(F161&lt;=DASHBOARD!$B$11, H161&gt;=DASHBOARD!$B$13), K161, -1000000000000)</f>
        <v/>
      </c>
      <c r="X161" s="101">
        <f>IF(AND(F161&lt;=DASHBOARD!$B$11, H161&gt;=DASHBOARD!$B$13), M161, 1000000000000)</f>
        <v/>
      </c>
      <c r="Y161" s="101">
        <f>IF(AND(F161&lt;=DASHBOARD!$B$10, H161&gt;=DASHBOARD!$B$11), L161, 1000000000000)</f>
        <v/>
      </c>
      <c r="Z161" s="101">
        <f>IF(AND(F161&lt;=DASHBOARD!$B$10, H161&gt;=DASHBOARD!$B$11), O161, 1000000000000)</f>
        <v/>
      </c>
      <c r="AA161" s="101">
        <f>IF(AND(F161&lt;=DASHBOARD!$B$10, H161&gt;=DASHBOARD!$B$11), P161, 1000000000000)</f>
        <v/>
      </c>
      <c r="AB161" s="101">
        <f>IF(AND(F161&lt;=DASHBOARD!$B$10, H161&gt;=DASHBOARD!$B$11), Q161, -1000000000000)</f>
        <v/>
      </c>
    </row>
    <row r="162" ht="12.75" customHeight="1" s="102">
      <c r="A162" s="166" t="n">
        <v>158</v>
      </c>
      <c r="B162" s="167" t="n">
        <v>0.3</v>
      </c>
      <c r="C162" s="167" t="n">
        <v>1.5</v>
      </c>
      <c r="D162" s="110" t="inlineStr">
        <is>
          <t>Var (%20)</t>
        </is>
      </c>
      <c r="E162" s="110">
        <f>IF((B162+C162)&lt;=1, "Tam Mahsuplaşma (≤%100)", "Kısmi Satış (&gt;%100)")</f>
        <v/>
      </c>
      <c r="F162" s="168">
        <f>((VERI_TABANI!$D$29*B162/VERI_TABANI!$B$29)/VERI_TABANI!$B$3)*VERI_TABANI!$B$5 + ((VERI_TABANI!$D$29*C162/VERI_TABANI!$B$29)/VERI_TABANI!$B$4)*VERI_TABANI!$B$6 + IF(ISNUMBER(SEARCH("Var", D162)), (VERI_TABANI!$F$29/VERI_TABANI!$B$29)*(VERI_TABANI!$B$10+VERI_TABANI!$B$12), 0)</f>
        <v/>
      </c>
      <c r="G162" s="168">
        <f>(((MIN(VERI_TABANI!D23, VERI_TABANI!D23*B162)*VERI_TABANI!$B$7 + MAX(0, VERI_TABANI!D23*B162-VERI_TABANI!D23)*VERI_TABANI!$B$8) + (MIN(MAX(0, VERI_TABANI!D23-VERI_TABANI!D23*B162), VERI_TABANI!D23*C162)*VERI_TABANI!$B$7 + MAX(0, VERI_TABANI!D23*C162-MAX(0, VERI_TABANI!D23-VERI_TABANI!D23*B162))*VERI_TABANI!$B$8) + IF(ABS(IF(ISNUMBER(SEARCH("Var", D162)), 1, IF(ISNUMBER(SEARCH("Gri", D162)), -1, 0)))=1, VERI_TABANI!E23*(1-0.928)*VERI_TABANI!$B$9, 0) + (VERI_TABANI!D23*B162*(VERI_TABANI!$B$13-VERI_TABANI!$B$14)*VERI_TABANI!G23) + (VERI_TABANI!D23*C162*(VERI_TABANI!$B$13-VERI_TABANI!$B$15)*VERI_TABANI!G23) + IF(ABS(IF(ISNUMBER(SEARCH("Var", D162)), 1, IF(ISNUMBER(SEARCH("Gri", D162)), -1, 0)))=1, VERI_TABANI!E23*(1-0.928)*0.00206091519919798*VERI_TABANI!G23, 0)) + ((MIN(VERI_TABANI!D24, VERI_TABANI!D24*B162)*VERI_TABANI!$B$7 + MAX(0, VERI_TABANI!D24*B162-VERI_TABANI!D24)*VERI_TABANI!$B$8) + (MIN(MAX(0, VERI_TABANI!D24-VERI_TABANI!D24*B162), VERI_TABANI!D24*C162)*VERI_TABANI!$B$7 + MAX(0, VERI_TABANI!D24*C162-MAX(0, VERI_TABANI!D24-VERI_TABANI!D24*B162))*VERI_TABANI!$B$8) + IF(ABS(IF(ISNUMBER(SEARCH("Var", D162)), 1, IF(ISNUMBER(SEARCH("Gri", D162)), -1, 0)))=1, VERI_TABANI!E24*(1-0.928)*VERI_TABANI!$B$9, 0) + (VERI_TABANI!D24*B162*(VERI_TABANI!$B$13-VERI_TABANI!$B$14)*VERI_TABANI!G24) + (VERI_TABANI!D24*C162*(VERI_TABANI!$B$13-VERI_TABANI!$B$15)*VERI_TABANI!G24) + IF(ABS(IF(ISNUMBER(SEARCH("Var", D162)), 1, IF(ISNUMBER(SEARCH("Gri", D162)), -1, 0)))=1, VERI_TABANI!E24*(1-0.928)*0.00206091519919798*VERI_TABANI!G24, 0)) + ((MIN(VERI_TABANI!D25, VERI_TABANI!D25*B162)*VERI_TABANI!$B$7 + MAX(0, VERI_TABANI!D25*B162-VERI_TABANI!D25)*VERI_TABANI!$B$8) + (MIN(MAX(0, VERI_TABANI!D25-VERI_TABANI!D25*B162), VERI_TABANI!D25*C162)*VERI_TABANI!$B$7 + MAX(0, VERI_TABANI!D25*C162-MAX(0, VERI_TABANI!D25-VERI_TABANI!D25*B162))*VERI_TABANI!$B$8) + IF(ABS(IF(ISNUMBER(SEARCH("Var", D162)), 1, IF(ISNUMBER(SEARCH("Gri", D162)), -1, 0)))=1, VERI_TABANI!E25*(1-0.928)*VERI_TABANI!$B$9, 0) + (VERI_TABANI!D25*B162*(VERI_TABANI!$B$13-VERI_TABANI!$B$14)*VERI_TABANI!G25) + (VERI_TABANI!D25*C162*(VERI_TABANI!$B$13-VERI_TABANI!$B$15)*VERI_TABANI!G25) + IF(ABS(IF(ISNUMBER(SEARCH("Var", D162)), 1, IF(ISNUMBER(SEARCH("Gri", D162)), -1, 0)))=1, VERI_TABANI!E25*(1-0.928)*0.00206091519919798*VERI_TABANI!G25, 0)) + ((MIN(VERI_TABANI!D26, VERI_TABANI!D26*B162)*VERI_TABANI!$B$7 + MAX(0, VERI_TABANI!D26*B162-VERI_TABANI!D26)*VERI_TABANI!$B$8) + (MIN(MAX(0, VERI_TABANI!D26-VERI_TABANI!D26*B162), VERI_TABANI!D26*C162)*VERI_TABANI!$B$7 + MAX(0, VERI_TABANI!D26*C162-MAX(0, VERI_TABANI!D26-VERI_TABANI!D26*B162))*VERI_TABANI!$B$8) + IF(ABS(IF(ISNUMBER(SEARCH("Var", D162)), 1, IF(ISNUMBER(SEARCH("Gri", D162)), -1, 0)))=1, VERI_TABANI!E26*(1-0.928)*VERI_TABANI!$B$9, 0) + (VERI_TABANI!D26*B162*(VERI_TABANI!$B$13-VERI_TABANI!$B$14)*VERI_TABANI!G26) + (VERI_TABANI!D26*C162*(VERI_TABANI!$B$13-VERI_TABANI!$B$15)*VERI_TABANI!G26) + IF(ABS(IF(ISNUMBER(SEARCH("Var", D162)), 1, IF(ISNUMBER(SEARCH("Gri", D162)), -1, 0)))=1, VERI_TABANI!E26*(1-0.928)*0.00206091519919798*VERI_TABANI!G26, 0)) + ((MIN(VERI_TABANI!D27, VERI_TABANI!D27*B162)*VERI_TABANI!$B$7 + MAX(0, VERI_TABANI!D27*B162-VERI_TABANI!D27)*VERI_TABANI!$B$8) + (MIN(MAX(0, VERI_TABANI!D27-VERI_TABANI!D27*B162), VERI_TABANI!D27*C162)*VERI_TABANI!$B$7 + MAX(0, VERI_TABANI!D27*C162-MAX(0, VERI_TABANI!D27-VERI_TABANI!D27*B162))*VERI_TABANI!$B$8) + IF(ABS(IF(ISNUMBER(SEARCH("Var", D162)), 1, IF(ISNUMBER(SEARCH("Gri", D162)), -1, 0)))=1, VERI_TABANI!E27*(1-0.928)*VERI_TABANI!$B$9, 0) + (VERI_TABANI!D27*B162*(VERI_TABANI!$B$13-VERI_TABANI!$B$14)*VERI_TABANI!G27) + (VERI_TABANI!D27*C162*(VERI_TABANI!$B$13-VERI_TABANI!$B$15)*VERI_TABANI!G27) + IF(ABS(IF(ISNUMBER(SEARCH("Var", D162)), 1, IF(ISNUMBER(SEARCH("Gri", D162)), -1, 0)))=1, VERI_TABANI!E27*(1-0.928)*0.00206091519919798*VERI_TABANI!G27, 0)) + ((MIN(VERI_TABANI!D28, VERI_TABANI!D28*B162)*VERI_TABANI!$B$7 + MAX(0, VERI_TABANI!D28*B162-VERI_TABANI!D28)*VERI_TABANI!$B$8) + (MIN(MAX(0, VERI_TABANI!D28-VERI_TABANI!D28*B162), VERI_TABANI!D28*C162)*VERI_TABANI!$B$7 + MAX(0, VERI_TABANI!D28*C162-MAX(0, VERI_TABANI!D28-VERI_TABANI!D28*B162))*VERI_TABANI!$B$8) + IF(ABS(IF(ISNUMBER(SEARCH("Var", D162)), 1, IF(ISNUMBER(SEARCH("Gri", D162)), -1, 0)))=1, VERI_TABANI!E28*(1-0.928)*VERI_TABANI!$B$9, 0) + (VERI_TABANI!D28*B162*(VERI_TABANI!$B$13-VERI_TABANI!$B$14)*VERI_TABANI!G28) + (VERI_TABANI!D28*C162*(VERI_TABANI!$B$13-VERI_TABANI!$B$15)*VERI_TABANI!G28) + IF(ABS(IF(ISNUMBER(SEARCH("Var", D162)), 1, IF(ISNUMBER(SEARCH("Gri", D162)), -1, 0)))=1, VERI_TABANI!E28*(1-0.928)*0.00206091519919798*VERI_TABANI!G28, 0)))</f>
        <v/>
      </c>
      <c r="H162" s="169">
        <f>(((VERI_TABANI!D23*B162*(VERI_TABANI!$B$13-VERI_TABANI!$B$14)) + (VERI_TABANI!D23*C162*(VERI_TABANI!$B$13-VERI_TABANI!$B$15)) + IF(ISNUMBER(SEARCH("Var", D162)), VERI_TABANI!F23*(0.00202-VERI_TABANI!$B$16), IF(ISNUMBER(SEARCH("Gri", D162)), VERI_TABANI!F23*(0.00202-VERI_TABANI!$B$17), 0))) + ((VERI_TABANI!D24*B162*(VERI_TABANI!$B$13-VERI_TABANI!$B$14)) + (VERI_TABANI!D24*C162*(VERI_TABANI!$B$13-VERI_TABANI!$B$15)) + IF(ISNUMBER(SEARCH("Var", D162)), VERI_TABANI!F24*(0.00202-VERI_TABANI!$B$16), IF(ISNUMBER(SEARCH("Gri", D162)), VERI_TABANI!F24*(0.00202-VERI_TABANI!$B$17), 0))) + ((VERI_TABANI!D25*B162*(VERI_TABANI!$B$13-VERI_TABANI!$B$14)) + (VERI_TABANI!D25*C162*(VERI_TABANI!$B$13-VERI_TABANI!$B$15)) + IF(ISNUMBER(SEARCH("Var", D162)), VERI_TABANI!F25*(0.00202-VERI_TABANI!$B$16), IF(ISNUMBER(SEARCH("Gri", D162)), VERI_TABANI!F25*(0.00202-VERI_TABANI!$B$17), 0))) + ((VERI_TABANI!D26*B162*(VERI_TABANI!$B$13-VERI_TABANI!$B$14)) + (VERI_TABANI!D26*C162*(VERI_TABANI!$B$13-VERI_TABANI!$B$15)) + IF(ISNUMBER(SEARCH("Var", D162)), VERI_TABANI!F26*(0.00202-VERI_TABANI!$B$16), IF(ISNUMBER(SEARCH("Gri", D162)), VERI_TABANI!F26*(0.00202-VERI_TABANI!$B$17), 0))) + ((VERI_TABANI!D27*B162*(VERI_TABANI!$B$13-VERI_TABANI!$B$14)) + (VERI_TABANI!D27*C162*(VERI_TABANI!$B$13-VERI_TABANI!$B$15)) + IF(ISNUMBER(SEARCH("Var", D162)), VERI_TABANI!F27*(0.00202-VERI_TABANI!$B$16), IF(ISNUMBER(SEARCH("Gri", D162)), VERI_TABANI!F27*(0.00202-VERI_TABANI!$B$17), 0))) + ((VERI_TABANI!D28*B162*(VERI_TABANI!$B$13-VERI_TABANI!$B$14)) + (VERI_TABANI!D28*C162*(VERI_TABANI!$B$13-VERI_TABANI!$B$15)) + IF(ISNUMBER(SEARCH("Var", D162)), VERI_TABANI!F28*(0.00202-VERI_TABANI!$B$16), IF(ISNUMBER(SEARCH("Gri", D162)), VERI_TABANI!F28*(0.00202-VERI_TABANI!$B$17), 0))))</f>
        <v/>
      </c>
      <c r="I162" s="170">
        <f>IFERROR(((VERI_TABANI!$D$29*B162*VERI_TABANI!$B$14 + VERI_TABANI!$D$29*C162*VERI_TABANI!$B$15 + IF(ISNUMBER(SEARCH("Var", D162)), VERI_TABANI!$F$29*VERI_TABANI!$B$16, 0))) / (((VERI_TABANI!$D$29*B162 + VERI_TABANI!$D$29*C162)*VERI_TABANI!$B$13 + IF(ISNUMBER(SEARCH("Var", D162)), VERI_TABANI!$E$29*(1-0.928)*VERI_TABANI!$B$18, 0))), 0)</f>
        <v/>
      </c>
      <c r="J162" s="171">
        <f>IFERROR(F162/(G162/29), 0)</f>
        <v/>
      </c>
      <c r="K162" s="172">
        <f>IF(F162&gt;0, H162/F162, 0)</f>
        <v/>
      </c>
      <c r="L162" s="170">
        <f>IF(F162&gt;0, I162, 1000000000)</f>
        <v/>
      </c>
      <c r="M162" s="171">
        <f>ABS((B162+C162)-1)</f>
        <v/>
      </c>
      <c r="N162" s="170">
        <f>IF(F162&gt;0, (G162/29)/F162, 0)</f>
        <v/>
      </c>
      <c r="O162" s="168">
        <f>IF(AND((B162+C162)&gt;=1, ISNUMBER(SEARCH("Var", D162))), F162, 1000000000)</f>
        <v/>
      </c>
      <c r="P162" s="172">
        <f>IF(F162&gt;0, SQRT((F162/MAX(F$5:F$886))^2 + (1 - H162/MAX(H$5:H$886))^2 + (J162/MAX(J$5:J$886))^2), 1000000000)</f>
        <v/>
      </c>
      <c r="Q162" s="166">
        <f>IF(AND(ABS(B162-0.5)&lt;0.01, ABS(C162-0.5)&lt;0.01, ISNUMBER(SEARCH("Var", D162))), 1, 0)</f>
        <v/>
      </c>
      <c r="R162" s="171">
        <f>IF(F162&gt;0, J162, 1000000000)</f>
        <v/>
      </c>
      <c r="S162" s="101">
        <f>IF(AND(F162&lt;=DASHBOARD!$B$11, H162&gt;=DASHBOARD!$B$13), G162, -1000000000000)</f>
        <v/>
      </c>
      <c r="T162" s="101">
        <f>IF(AND(F162&lt;=DASHBOARD!$B$11, H162&gt;=DASHBOARD!$B$13), R162, 1000000000000)</f>
        <v/>
      </c>
      <c r="U162" s="101">
        <f>IF(AND(F162&lt;=DASHBOARD!$B$11, H162&gt;=DASHBOARD!$B$13), N162, -1000000000000)</f>
        <v/>
      </c>
      <c r="V162" s="101">
        <f>IF(AND(F162&lt;=DASHBOARD!$B$11, H162&gt;=DASHBOARD!$B$13), H162, -1000000000000)</f>
        <v/>
      </c>
      <c r="W162" s="101">
        <f>IF(AND(F162&lt;=DASHBOARD!$B$11, H162&gt;=DASHBOARD!$B$13), K162, -1000000000000)</f>
        <v/>
      </c>
      <c r="X162" s="101">
        <f>IF(AND(F162&lt;=DASHBOARD!$B$11, H162&gt;=DASHBOARD!$B$13), M162, 1000000000000)</f>
        <v/>
      </c>
      <c r="Y162" s="101">
        <f>IF(AND(F162&lt;=DASHBOARD!$B$10, H162&gt;=DASHBOARD!$B$11), L162, 1000000000000)</f>
        <v/>
      </c>
      <c r="Z162" s="101">
        <f>IF(AND(F162&lt;=DASHBOARD!$B$10, H162&gt;=DASHBOARD!$B$11), O162, 1000000000000)</f>
        <v/>
      </c>
      <c r="AA162" s="101">
        <f>IF(AND(F162&lt;=DASHBOARD!$B$10, H162&gt;=DASHBOARD!$B$11), P162, 1000000000000)</f>
        <v/>
      </c>
      <c r="AB162" s="101">
        <f>IF(AND(F162&lt;=DASHBOARD!$B$10, H162&gt;=DASHBOARD!$B$11), Q162, -1000000000000)</f>
        <v/>
      </c>
    </row>
    <row r="163" ht="12.75" customHeight="1" s="102">
      <c r="A163" s="166" t="n">
        <v>159</v>
      </c>
      <c r="B163" s="167" t="n">
        <v>0.3</v>
      </c>
      <c r="C163" s="167" t="n">
        <v>1.6</v>
      </c>
      <c r="D163" s="110" t="inlineStr">
        <is>
          <t>Yok (%0)</t>
        </is>
      </c>
      <c r="E163" s="110">
        <f>IF((B163+C163)&lt;=1, "Tam Mahsuplaşma (≤%100)", "Kısmi Satış (&gt;%100)")</f>
        <v/>
      </c>
      <c r="F163" s="168">
        <f>((VERI_TABANI!$D$29*B163/VERI_TABANI!$B$29)/VERI_TABANI!$B$3)*VERI_TABANI!$B$5 + ((VERI_TABANI!$D$29*C163/VERI_TABANI!$B$29)/VERI_TABANI!$B$4)*VERI_TABANI!$B$6 + IF(ISNUMBER(SEARCH("Var", D163)), (VERI_TABANI!$F$29/VERI_TABANI!$B$29)*(VERI_TABANI!$B$10+VERI_TABANI!$B$12), 0)</f>
        <v/>
      </c>
      <c r="G163" s="168">
        <f>(((MIN(VERI_TABANI!D23, VERI_TABANI!D23*B163)*VERI_TABANI!$B$7 + MAX(0, VERI_TABANI!D23*B163-VERI_TABANI!D23)*VERI_TABANI!$B$8) + (MIN(MAX(0, VERI_TABANI!D23-VERI_TABANI!D23*B163), VERI_TABANI!D23*C163)*VERI_TABANI!$B$7 + MAX(0, VERI_TABANI!D23*C163-MAX(0, VERI_TABANI!D23-VERI_TABANI!D23*B163))*VERI_TABANI!$B$8) + IF(ABS(IF(ISNUMBER(SEARCH("Var", D163)), 1, IF(ISNUMBER(SEARCH("Gri", D163)), -1, 0)))=1, VERI_TABANI!E23*(1-0.928)*VERI_TABANI!$B$9, 0) + (VERI_TABANI!D23*B163*(VERI_TABANI!$B$13-VERI_TABANI!$B$14)*VERI_TABANI!G23) + (VERI_TABANI!D23*C163*(VERI_TABANI!$B$13-VERI_TABANI!$B$15)*VERI_TABANI!G23) + IF(ABS(IF(ISNUMBER(SEARCH("Var", D163)), 1, IF(ISNUMBER(SEARCH("Gri", D163)), -1, 0)))=1, VERI_TABANI!E23*(1-0.928)*0.00206091519919798*VERI_TABANI!G23, 0)) + ((MIN(VERI_TABANI!D24, VERI_TABANI!D24*B163)*VERI_TABANI!$B$7 + MAX(0, VERI_TABANI!D24*B163-VERI_TABANI!D24)*VERI_TABANI!$B$8) + (MIN(MAX(0, VERI_TABANI!D24-VERI_TABANI!D24*B163), VERI_TABANI!D24*C163)*VERI_TABANI!$B$7 + MAX(0, VERI_TABANI!D24*C163-MAX(0, VERI_TABANI!D24-VERI_TABANI!D24*B163))*VERI_TABANI!$B$8) + IF(ABS(IF(ISNUMBER(SEARCH("Var", D163)), 1, IF(ISNUMBER(SEARCH("Gri", D163)), -1, 0)))=1, VERI_TABANI!E24*(1-0.928)*VERI_TABANI!$B$9, 0) + (VERI_TABANI!D24*B163*(VERI_TABANI!$B$13-VERI_TABANI!$B$14)*VERI_TABANI!G24) + (VERI_TABANI!D24*C163*(VERI_TABANI!$B$13-VERI_TABANI!$B$15)*VERI_TABANI!G24) + IF(ABS(IF(ISNUMBER(SEARCH("Var", D163)), 1, IF(ISNUMBER(SEARCH("Gri", D163)), -1, 0)))=1, VERI_TABANI!E24*(1-0.928)*0.00206091519919798*VERI_TABANI!G24, 0)) + ((MIN(VERI_TABANI!D25, VERI_TABANI!D25*B163)*VERI_TABANI!$B$7 + MAX(0, VERI_TABANI!D25*B163-VERI_TABANI!D25)*VERI_TABANI!$B$8) + (MIN(MAX(0, VERI_TABANI!D25-VERI_TABANI!D25*B163), VERI_TABANI!D25*C163)*VERI_TABANI!$B$7 + MAX(0, VERI_TABANI!D25*C163-MAX(0, VERI_TABANI!D25-VERI_TABANI!D25*B163))*VERI_TABANI!$B$8) + IF(ABS(IF(ISNUMBER(SEARCH("Var", D163)), 1, IF(ISNUMBER(SEARCH("Gri", D163)), -1, 0)))=1, VERI_TABANI!E25*(1-0.928)*VERI_TABANI!$B$9, 0) + (VERI_TABANI!D25*B163*(VERI_TABANI!$B$13-VERI_TABANI!$B$14)*VERI_TABANI!G25) + (VERI_TABANI!D25*C163*(VERI_TABANI!$B$13-VERI_TABANI!$B$15)*VERI_TABANI!G25) + IF(ABS(IF(ISNUMBER(SEARCH("Var", D163)), 1, IF(ISNUMBER(SEARCH("Gri", D163)), -1, 0)))=1, VERI_TABANI!E25*(1-0.928)*0.00206091519919798*VERI_TABANI!G25, 0)) + ((MIN(VERI_TABANI!D26, VERI_TABANI!D26*B163)*VERI_TABANI!$B$7 + MAX(0, VERI_TABANI!D26*B163-VERI_TABANI!D26)*VERI_TABANI!$B$8) + (MIN(MAX(0, VERI_TABANI!D26-VERI_TABANI!D26*B163), VERI_TABANI!D26*C163)*VERI_TABANI!$B$7 + MAX(0, VERI_TABANI!D26*C163-MAX(0, VERI_TABANI!D26-VERI_TABANI!D26*B163))*VERI_TABANI!$B$8) + IF(ABS(IF(ISNUMBER(SEARCH("Var", D163)), 1, IF(ISNUMBER(SEARCH("Gri", D163)), -1, 0)))=1, VERI_TABANI!E26*(1-0.928)*VERI_TABANI!$B$9, 0) + (VERI_TABANI!D26*B163*(VERI_TABANI!$B$13-VERI_TABANI!$B$14)*VERI_TABANI!G26) + (VERI_TABANI!D26*C163*(VERI_TABANI!$B$13-VERI_TABANI!$B$15)*VERI_TABANI!G26) + IF(ABS(IF(ISNUMBER(SEARCH("Var", D163)), 1, IF(ISNUMBER(SEARCH("Gri", D163)), -1, 0)))=1, VERI_TABANI!E26*(1-0.928)*0.00206091519919798*VERI_TABANI!G26, 0)) + ((MIN(VERI_TABANI!D27, VERI_TABANI!D27*B163)*VERI_TABANI!$B$7 + MAX(0, VERI_TABANI!D27*B163-VERI_TABANI!D27)*VERI_TABANI!$B$8) + (MIN(MAX(0, VERI_TABANI!D27-VERI_TABANI!D27*B163), VERI_TABANI!D27*C163)*VERI_TABANI!$B$7 + MAX(0, VERI_TABANI!D27*C163-MAX(0, VERI_TABANI!D27-VERI_TABANI!D27*B163))*VERI_TABANI!$B$8) + IF(ABS(IF(ISNUMBER(SEARCH("Var", D163)), 1, IF(ISNUMBER(SEARCH("Gri", D163)), -1, 0)))=1, VERI_TABANI!E27*(1-0.928)*VERI_TABANI!$B$9, 0) + (VERI_TABANI!D27*B163*(VERI_TABANI!$B$13-VERI_TABANI!$B$14)*VERI_TABANI!G27) + (VERI_TABANI!D27*C163*(VERI_TABANI!$B$13-VERI_TABANI!$B$15)*VERI_TABANI!G27) + IF(ABS(IF(ISNUMBER(SEARCH("Var", D163)), 1, IF(ISNUMBER(SEARCH("Gri", D163)), -1, 0)))=1, VERI_TABANI!E27*(1-0.928)*0.00206091519919798*VERI_TABANI!G27, 0)) + ((MIN(VERI_TABANI!D28, VERI_TABANI!D28*B163)*VERI_TABANI!$B$7 + MAX(0, VERI_TABANI!D28*B163-VERI_TABANI!D28)*VERI_TABANI!$B$8) + (MIN(MAX(0, VERI_TABANI!D28-VERI_TABANI!D28*B163), VERI_TABANI!D28*C163)*VERI_TABANI!$B$7 + MAX(0, VERI_TABANI!D28*C163-MAX(0, VERI_TABANI!D28-VERI_TABANI!D28*B163))*VERI_TABANI!$B$8) + IF(ABS(IF(ISNUMBER(SEARCH("Var", D163)), 1, IF(ISNUMBER(SEARCH("Gri", D163)), -1, 0)))=1, VERI_TABANI!E28*(1-0.928)*VERI_TABANI!$B$9, 0) + (VERI_TABANI!D28*B163*(VERI_TABANI!$B$13-VERI_TABANI!$B$14)*VERI_TABANI!G28) + (VERI_TABANI!D28*C163*(VERI_TABANI!$B$13-VERI_TABANI!$B$15)*VERI_TABANI!G28) + IF(ABS(IF(ISNUMBER(SEARCH("Var", D163)), 1, IF(ISNUMBER(SEARCH("Gri", D163)), -1, 0)))=1, VERI_TABANI!E28*(1-0.928)*0.00206091519919798*VERI_TABANI!G28, 0)))</f>
        <v/>
      </c>
      <c r="H163" s="169">
        <f>(((VERI_TABANI!D23*B163*(VERI_TABANI!$B$13-VERI_TABANI!$B$14)) + (VERI_TABANI!D23*C163*(VERI_TABANI!$B$13-VERI_TABANI!$B$15)) + IF(ISNUMBER(SEARCH("Var", D163)), VERI_TABANI!F23*(0.00202-VERI_TABANI!$B$16), IF(ISNUMBER(SEARCH("Gri", D163)), VERI_TABANI!F23*(0.00202-VERI_TABANI!$B$17), 0))) + ((VERI_TABANI!D24*B163*(VERI_TABANI!$B$13-VERI_TABANI!$B$14)) + (VERI_TABANI!D24*C163*(VERI_TABANI!$B$13-VERI_TABANI!$B$15)) + IF(ISNUMBER(SEARCH("Var", D163)), VERI_TABANI!F24*(0.00202-VERI_TABANI!$B$16), IF(ISNUMBER(SEARCH("Gri", D163)), VERI_TABANI!F24*(0.00202-VERI_TABANI!$B$17), 0))) + ((VERI_TABANI!D25*B163*(VERI_TABANI!$B$13-VERI_TABANI!$B$14)) + (VERI_TABANI!D25*C163*(VERI_TABANI!$B$13-VERI_TABANI!$B$15)) + IF(ISNUMBER(SEARCH("Var", D163)), VERI_TABANI!F25*(0.00202-VERI_TABANI!$B$16), IF(ISNUMBER(SEARCH("Gri", D163)), VERI_TABANI!F25*(0.00202-VERI_TABANI!$B$17), 0))) + ((VERI_TABANI!D26*B163*(VERI_TABANI!$B$13-VERI_TABANI!$B$14)) + (VERI_TABANI!D26*C163*(VERI_TABANI!$B$13-VERI_TABANI!$B$15)) + IF(ISNUMBER(SEARCH("Var", D163)), VERI_TABANI!F26*(0.00202-VERI_TABANI!$B$16), IF(ISNUMBER(SEARCH("Gri", D163)), VERI_TABANI!F26*(0.00202-VERI_TABANI!$B$17), 0))) + ((VERI_TABANI!D27*B163*(VERI_TABANI!$B$13-VERI_TABANI!$B$14)) + (VERI_TABANI!D27*C163*(VERI_TABANI!$B$13-VERI_TABANI!$B$15)) + IF(ISNUMBER(SEARCH("Var", D163)), VERI_TABANI!F27*(0.00202-VERI_TABANI!$B$16), IF(ISNUMBER(SEARCH("Gri", D163)), VERI_TABANI!F27*(0.00202-VERI_TABANI!$B$17), 0))) + ((VERI_TABANI!D28*B163*(VERI_TABANI!$B$13-VERI_TABANI!$B$14)) + (VERI_TABANI!D28*C163*(VERI_TABANI!$B$13-VERI_TABANI!$B$15)) + IF(ISNUMBER(SEARCH("Var", D163)), VERI_TABANI!F28*(0.00202-VERI_TABANI!$B$16), IF(ISNUMBER(SEARCH("Gri", D163)), VERI_TABANI!F28*(0.00202-VERI_TABANI!$B$17), 0))))</f>
        <v/>
      </c>
      <c r="I163" s="170">
        <f>IFERROR(((VERI_TABANI!$D$29*B163*VERI_TABANI!$B$14 + VERI_TABANI!$D$29*C163*VERI_TABANI!$B$15 + IF(ISNUMBER(SEARCH("Var", D163)), VERI_TABANI!$F$29*VERI_TABANI!$B$16, 0))) / (((VERI_TABANI!$D$29*B163 + VERI_TABANI!$D$29*C163)*VERI_TABANI!$B$13 + IF(ISNUMBER(SEARCH("Var", D163)), VERI_TABANI!$E$29*(1-0.928)*VERI_TABANI!$B$18, 0))), 0)</f>
        <v/>
      </c>
      <c r="J163" s="171">
        <f>IFERROR(F163/(G163/29), 0)</f>
        <v/>
      </c>
      <c r="K163" s="172">
        <f>IF(F163&gt;0, H163/F163, 0)</f>
        <v/>
      </c>
      <c r="L163" s="170">
        <f>IF(F163&gt;0, I163, 1000000000)</f>
        <v/>
      </c>
      <c r="M163" s="171">
        <f>ABS((B163+C163)-1)</f>
        <v/>
      </c>
      <c r="N163" s="170">
        <f>IF(F163&gt;0, (G163/29)/F163, 0)</f>
        <v/>
      </c>
      <c r="O163" s="168">
        <f>IF(AND((B163+C163)&gt;=1, ISNUMBER(SEARCH("Var", D163))), F163, 1000000000)</f>
        <v/>
      </c>
      <c r="P163" s="172">
        <f>IF(F163&gt;0, SQRT((F163/MAX(F$5:F$886))^2 + (1 - H163/MAX(H$5:H$886))^2 + (J163/MAX(J$5:J$886))^2), 1000000000)</f>
        <v/>
      </c>
      <c r="Q163" s="166">
        <f>IF(AND(ABS(B163-0.5)&lt;0.01, ABS(C163-0.5)&lt;0.01, ISNUMBER(SEARCH("Var", D163))), 1, 0)</f>
        <v/>
      </c>
      <c r="R163" s="171">
        <f>IF(F163&gt;0, J163, 1000000000)</f>
        <v/>
      </c>
      <c r="S163" s="101">
        <f>IF(AND(F163&lt;=DASHBOARD!$B$11, H163&gt;=DASHBOARD!$B$13), G163, -1000000000000)</f>
        <v/>
      </c>
      <c r="T163" s="101">
        <f>IF(AND(F163&lt;=DASHBOARD!$B$11, H163&gt;=DASHBOARD!$B$13), R163, 1000000000000)</f>
        <v/>
      </c>
      <c r="U163" s="101">
        <f>IF(AND(F163&lt;=DASHBOARD!$B$11, H163&gt;=DASHBOARD!$B$13), N163, -1000000000000)</f>
        <v/>
      </c>
      <c r="V163" s="101">
        <f>IF(AND(F163&lt;=DASHBOARD!$B$11, H163&gt;=DASHBOARD!$B$13), H163, -1000000000000)</f>
        <v/>
      </c>
      <c r="W163" s="101">
        <f>IF(AND(F163&lt;=DASHBOARD!$B$11, H163&gt;=DASHBOARD!$B$13), K163, -1000000000000)</f>
        <v/>
      </c>
      <c r="X163" s="101">
        <f>IF(AND(F163&lt;=DASHBOARD!$B$11, H163&gt;=DASHBOARD!$B$13), M163, 1000000000000)</f>
        <v/>
      </c>
      <c r="Y163" s="101">
        <f>IF(AND(F163&lt;=DASHBOARD!$B$10, H163&gt;=DASHBOARD!$B$11), L163, 1000000000000)</f>
        <v/>
      </c>
      <c r="Z163" s="101">
        <f>IF(AND(F163&lt;=DASHBOARD!$B$10, H163&gt;=DASHBOARD!$B$11), O163, 1000000000000)</f>
        <v/>
      </c>
      <c r="AA163" s="101">
        <f>IF(AND(F163&lt;=DASHBOARD!$B$10, H163&gt;=DASHBOARD!$B$11), P163, 1000000000000)</f>
        <v/>
      </c>
      <c r="AB163" s="101">
        <f>IF(AND(F163&lt;=DASHBOARD!$B$10, H163&gt;=DASHBOARD!$B$11), Q163, -1000000000000)</f>
        <v/>
      </c>
    </row>
    <row r="164" ht="12.75" customHeight="1" s="102">
      <c r="A164" s="166" t="n">
        <v>160</v>
      </c>
      <c r="B164" s="167" t="n">
        <v>0.3</v>
      </c>
      <c r="C164" s="167" t="n">
        <v>1.6</v>
      </c>
      <c r="D164" s="110" t="inlineStr">
        <is>
          <t>Var (%20)</t>
        </is>
      </c>
      <c r="E164" s="110">
        <f>IF((B164+C164)&lt;=1, "Tam Mahsuplaşma (≤%100)", "Kısmi Satış (&gt;%100)")</f>
        <v/>
      </c>
      <c r="F164" s="168">
        <f>((VERI_TABANI!$D$29*B164/VERI_TABANI!$B$29)/VERI_TABANI!$B$3)*VERI_TABANI!$B$5 + ((VERI_TABANI!$D$29*C164/VERI_TABANI!$B$29)/VERI_TABANI!$B$4)*VERI_TABANI!$B$6 + IF(ISNUMBER(SEARCH("Var", D164)), (VERI_TABANI!$F$29/VERI_TABANI!$B$29)*(VERI_TABANI!$B$10+VERI_TABANI!$B$12), 0)</f>
        <v/>
      </c>
      <c r="G164" s="168">
        <f>(((MIN(VERI_TABANI!D23, VERI_TABANI!D23*B164)*VERI_TABANI!$B$7 + MAX(0, VERI_TABANI!D23*B164-VERI_TABANI!D23)*VERI_TABANI!$B$8) + (MIN(MAX(0, VERI_TABANI!D23-VERI_TABANI!D23*B164), VERI_TABANI!D23*C164)*VERI_TABANI!$B$7 + MAX(0, VERI_TABANI!D23*C164-MAX(0, VERI_TABANI!D23-VERI_TABANI!D23*B164))*VERI_TABANI!$B$8) + IF(ABS(IF(ISNUMBER(SEARCH("Var", D164)), 1, IF(ISNUMBER(SEARCH("Gri", D164)), -1, 0)))=1, VERI_TABANI!E23*(1-0.928)*VERI_TABANI!$B$9, 0) + (VERI_TABANI!D23*B164*(VERI_TABANI!$B$13-VERI_TABANI!$B$14)*VERI_TABANI!G23) + (VERI_TABANI!D23*C164*(VERI_TABANI!$B$13-VERI_TABANI!$B$15)*VERI_TABANI!G23) + IF(ABS(IF(ISNUMBER(SEARCH("Var", D164)), 1, IF(ISNUMBER(SEARCH("Gri", D164)), -1, 0)))=1, VERI_TABANI!E23*(1-0.928)*0.00206091519919798*VERI_TABANI!G23, 0)) + ((MIN(VERI_TABANI!D24, VERI_TABANI!D24*B164)*VERI_TABANI!$B$7 + MAX(0, VERI_TABANI!D24*B164-VERI_TABANI!D24)*VERI_TABANI!$B$8) + (MIN(MAX(0, VERI_TABANI!D24-VERI_TABANI!D24*B164), VERI_TABANI!D24*C164)*VERI_TABANI!$B$7 + MAX(0, VERI_TABANI!D24*C164-MAX(0, VERI_TABANI!D24-VERI_TABANI!D24*B164))*VERI_TABANI!$B$8) + IF(ABS(IF(ISNUMBER(SEARCH("Var", D164)), 1, IF(ISNUMBER(SEARCH("Gri", D164)), -1, 0)))=1, VERI_TABANI!E24*(1-0.928)*VERI_TABANI!$B$9, 0) + (VERI_TABANI!D24*B164*(VERI_TABANI!$B$13-VERI_TABANI!$B$14)*VERI_TABANI!G24) + (VERI_TABANI!D24*C164*(VERI_TABANI!$B$13-VERI_TABANI!$B$15)*VERI_TABANI!G24) + IF(ABS(IF(ISNUMBER(SEARCH("Var", D164)), 1, IF(ISNUMBER(SEARCH("Gri", D164)), -1, 0)))=1, VERI_TABANI!E24*(1-0.928)*0.00206091519919798*VERI_TABANI!G24, 0)) + ((MIN(VERI_TABANI!D25, VERI_TABANI!D25*B164)*VERI_TABANI!$B$7 + MAX(0, VERI_TABANI!D25*B164-VERI_TABANI!D25)*VERI_TABANI!$B$8) + (MIN(MAX(0, VERI_TABANI!D25-VERI_TABANI!D25*B164), VERI_TABANI!D25*C164)*VERI_TABANI!$B$7 + MAX(0, VERI_TABANI!D25*C164-MAX(0, VERI_TABANI!D25-VERI_TABANI!D25*B164))*VERI_TABANI!$B$8) + IF(ABS(IF(ISNUMBER(SEARCH("Var", D164)), 1, IF(ISNUMBER(SEARCH("Gri", D164)), -1, 0)))=1, VERI_TABANI!E25*(1-0.928)*VERI_TABANI!$B$9, 0) + (VERI_TABANI!D25*B164*(VERI_TABANI!$B$13-VERI_TABANI!$B$14)*VERI_TABANI!G25) + (VERI_TABANI!D25*C164*(VERI_TABANI!$B$13-VERI_TABANI!$B$15)*VERI_TABANI!G25) + IF(ABS(IF(ISNUMBER(SEARCH("Var", D164)), 1, IF(ISNUMBER(SEARCH("Gri", D164)), -1, 0)))=1, VERI_TABANI!E25*(1-0.928)*0.00206091519919798*VERI_TABANI!G25, 0)) + ((MIN(VERI_TABANI!D26, VERI_TABANI!D26*B164)*VERI_TABANI!$B$7 + MAX(0, VERI_TABANI!D26*B164-VERI_TABANI!D26)*VERI_TABANI!$B$8) + (MIN(MAX(0, VERI_TABANI!D26-VERI_TABANI!D26*B164), VERI_TABANI!D26*C164)*VERI_TABANI!$B$7 + MAX(0, VERI_TABANI!D26*C164-MAX(0, VERI_TABANI!D26-VERI_TABANI!D26*B164))*VERI_TABANI!$B$8) + IF(ABS(IF(ISNUMBER(SEARCH("Var", D164)), 1, IF(ISNUMBER(SEARCH("Gri", D164)), -1, 0)))=1, VERI_TABANI!E26*(1-0.928)*VERI_TABANI!$B$9, 0) + (VERI_TABANI!D26*B164*(VERI_TABANI!$B$13-VERI_TABANI!$B$14)*VERI_TABANI!G26) + (VERI_TABANI!D26*C164*(VERI_TABANI!$B$13-VERI_TABANI!$B$15)*VERI_TABANI!G26) + IF(ABS(IF(ISNUMBER(SEARCH("Var", D164)), 1, IF(ISNUMBER(SEARCH("Gri", D164)), -1, 0)))=1, VERI_TABANI!E26*(1-0.928)*0.00206091519919798*VERI_TABANI!G26, 0)) + ((MIN(VERI_TABANI!D27, VERI_TABANI!D27*B164)*VERI_TABANI!$B$7 + MAX(0, VERI_TABANI!D27*B164-VERI_TABANI!D27)*VERI_TABANI!$B$8) + (MIN(MAX(0, VERI_TABANI!D27-VERI_TABANI!D27*B164), VERI_TABANI!D27*C164)*VERI_TABANI!$B$7 + MAX(0, VERI_TABANI!D27*C164-MAX(0, VERI_TABANI!D27-VERI_TABANI!D27*B164))*VERI_TABANI!$B$8) + IF(ABS(IF(ISNUMBER(SEARCH("Var", D164)), 1, IF(ISNUMBER(SEARCH("Gri", D164)), -1, 0)))=1, VERI_TABANI!E27*(1-0.928)*VERI_TABANI!$B$9, 0) + (VERI_TABANI!D27*B164*(VERI_TABANI!$B$13-VERI_TABANI!$B$14)*VERI_TABANI!G27) + (VERI_TABANI!D27*C164*(VERI_TABANI!$B$13-VERI_TABANI!$B$15)*VERI_TABANI!G27) + IF(ABS(IF(ISNUMBER(SEARCH("Var", D164)), 1, IF(ISNUMBER(SEARCH("Gri", D164)), -1, 0)))=1, VERI_TABANI!E27*(1-0.928)*0.00206091519919798*VERI_TABANI!G27, 0)) + ((MIN(VERI_TABANI!D28, VERI_TABANI!D28*B164)*VERI_TABANI!$B$7 + MAX(0, VERI_TABANI!D28*B164-VERI_TABANI!D28)*VERI_TABANI!$B$8) + (MIN(MAX(0, VERI_TABANI!D28-VERI_TABANI!D28*B164), VERI_TABANI!D28*C164)*VERI_TABANI!$B$7 + MAX(0, VERI_TABANI!D28*C164-MAX(0, VERI_TABANI!D28-VERI_TABANI!D28*B164))*VERI_TABANI!$B$8) + IF(ABS(IF(ISNUMBER(SEARCH("Var", D164)), 1, IF(ISNUMBER(SEARCH("Gri", D164)), -1, 0)))=1, VERI_TABANI!E28*(1-0.928)*VERI_TABANI!$B$9, 0) + (VERI_TABANI!D28*B164*(VERI_TABANI!$B$13-VERI_TABANI!$B$14)*VERI_TABANI!G28) + (VERI_TABANI!D28*C164*(VERI_TABANI!$B$13-VERI_TABANI!$B$15)*VERI_TABANI!G28) + IF(ABS(IF(ISNUMBER(SEARCH("Var", D164)), 1, IF(ISNUMBER(SEARCH("Gri", D164)), -1, 0)))=1, VERI_TABANI!E28*(1-0.928)*0.00206091519919798*VERI_TABANI!G28, 0)))</f>
        <v/>
      </c>
      <c r="H164" s="169">
        <f>(((VERI_TABANI!D23*B164*(VERI_TABANI!$B$13-VERI_TABANI!$B$14)) + (VERI_TABANI!D23*C164*(VERI_TABANI!$B$13-VERI_TABANI!$B$15)) + IF(ISNUMBER(SEARCH("Var", D164)), VERI_TABANI!F23*(0.00202-VERI_TABANI!$B$16), IF(ISNUMBER(SEARCH("Gri", D164)), VERI_TABANI!F23*(0.00202-VERI_TABANI!$B$17), 0))) + ((VERI_TABANI!D24*B164*(VERI_TABANI!$B$13-VERI_TABANI!$B$14)) + (VERI_TABANI!D24*C164*(VERI_TABANI!$B$13-VERI_TABANI!$B$15)) + IF(ISNUMBER(SEARCH("Var", D164)), VERI_TABANI!F24*(0.00202-VERI_TABANI!$B$16), IF(ISNUMBER(SEARCH("Gri", D164)), VERI_TABANI!F24*(0.00202-VERI_TABANI!$B$17), 0))) + ((VERI_TABANI!D25*B164*(VERI_TABANI!$B$13-VERI_TABANI!$B$14)) + (VERI_TABANI!D25*C164*(VERI_TABANI!$B$13-VERI_TABANI!$B$15)) + IF(ISNUMBER(SEARCH("Var", D164)), VERI_TABANI!F25*(0.00202-VERI_TABANI!$B$16), IF(ISNUMBER(SEARCH("Gri", D164)), VERI_TABANI!F25*(0.00202-VERI_TABANI!$B$17), 0))) + ((VERI_TABANI!D26*B164*(VERI_TABANI!$B$13-VERI_TABANI!$B$14)) + (VERI_TABANI!D26*C164*(VERI_TABANI!$B$13-VERI_TABANI!$B$15)) + IF(ISNUMBER(SEARCH("Var", D164)), VERI_TABANI!F26*(0.00202-VERI_TABANI!$B$16), IF(ISNUMBER(SEARCH("Gri", D164)), VERI_TABANI!F26*(0.00202-VERI_TABANI!$B$17), 0))) + ((VERI_TABANI!D27*B164*(VERI_TABANI!$B$13-VERI_TABANI!$B$14)) + (VERI_TABANI!D27*C164*(VERI_TABANI!$B$13-VERI_TABANI!$B$15)) + IF(ISNUMBER(SEARCH("Var", D164)), VERI_TABANI!F27*(0.00202-VERI_TABANI!$B$16), IF(ISNUMBER(SEARCH("Gri", D164)), VERI_TABANI!F27*(0.00202-VERI_TABANI!$B$17), 0))) + ((VERI_TABANI!D28*B164*(VERI_TABANI!$B$13-VERI_TABANI!$B$14)) + (VERI_TABANI!D28*C164*(VERI_TABANI!$B$13-VERI_TABANI!$B$15)) + IF(ISNUMBER(SEARCH("Var", D164)), VERI_TABANI!F28*(0.00202-VERI_TABANI!$B$16), IF(ISNUMBER(SEARCH("Gri", D164)), VERI_TABANI!F28*(0.00202-VERI_TABANI!$B$17), 0))))</f>
        <v/>
      </c>
      <c r="I164" s="170">
        <f>IFERROR(((VERI_TABANI!$D$29*B164*VERI_TABANI!$B$14 + VERI_TABANI!$D$29*C164*VERI_TABANI!$B$15 + IF(ISNUMBER(SEARCH("Var", D164)), VERI_TABANI!$F$29*VERI_TABANI!$B$16, 0))) / (((VERI_TABANI!$D$29*B164 + VERI_TABANI!$D$29*C164)*VERI_TABANI!$B$13 + IF(ISNUMBER(SEARCH("Var", D164)), VERI_TABANI!$E$29*(1-0.928)*VERI_TABANI!$B$18, 0))), 0)</f>
        <v/>
      </c>
      <c r="J164" s="171">
        <f>IFERROR(F164/(G164/29), 0)</f>
        <v/>
      </c>
      <c r="K164" s="172">
        <f>IF(F164&gt;0, H164/F164, 0)</f>
        <v/>
      </c>
      <c r="L164" s="170">
        <f>IF(F164&gt;0, I164, 1000000000)</f>
        <v/>
      </c>
      <c r="M164" s="171">
        <f>ABS((B164+C164)-1)</f>
        <v/>
      </c>
      <c r="N164" s="170">
        <f>IF(F164&gt;0, (G164/29)/F164, 0)</f>
        <v/>
      </c>
      <c r="O164" s="168">
        <f>IF(AND((B164+C164)&gt;=1, ISNUMBER(SEARCH("Var", D164))), F164, 1000000000)</f>
        <v/>
      </c>
      <c r="P164" s="172">
        <f>IF(F164&gt;0, SQRT((F164/MAX(F$5:F$886))^2 + (1 - H164/MAX(H$5:H$886))^2 + (J164/MAX(J$5:J$886))^2), 1000000000)</f>
        <v/>
      </c>
      <c r="Q164" s="166">
        <f>IF(AND(ABS(B164-0.5)&lt;0.01, ABS(C164-0.5)&lt;0.01, ISNUMBER(SEARCH("Var", D164))), 1, 0)</f>
        <v/>
      </c>
      <c r="R164" s="171">
        <f>IF(F164&gt;0, J164, 1000000000)</f>
        <v/>
      </c>
      <c r="S164" s="101">
        <f>IF(AND(F164&lt;=DASHBOARD!$B$11, H164&gt;=DASHBOARD!$B$13), G164, -1000000000000)</f>
        <v/>
      </c>
      <c r="T164" s="101">
        <f>IF(AND(F164&lt;=DASHBOARD!$B$11, H164&gt;=DASHBOARD!$B$13), R164, 1000000000000)</f>
        <v/>
      </c>
      <c r="U164" s="101">
        <f>IF(AND(F164&lt;=DASHBOARD!$B$11, H164&gt;=DASHBOARD!$B$13), N164, -1000000000000)</f>
        <v/>
      </c>
      <c r="V164" s="101">
        <f>IF(AND(F164&lt;=DASHBOARD!$B$11, H164&gt;=DASHBOARD!$B$13), H164, -1000000000000)</f>
        <v/>
      </c>
      <c r="W164" s="101">
        <f>IF(AND(F164&lt;=DASHBOARD!$B$11, H164&gt;=DASHBOARD!$B$13), K164, -1000000000000)</f>
        <v/>
      </c>
      <c r="X164" s="101">
        <f>IF(AND(F164&lt;=DASHBOARD!$B$11, H164&gt;=DASHBOARD!$B$13), M164, 1000000000000)</f>
        <v/>
      </c>
      <c r="Y164" s="101">
        <f>IF(AND(F164&lt;=DASHBOARD!$B$10, H164&gt;=DASHBOARD!$B$11), L164, 1000000000000)</f>
        <v/>
      </c>
      <c r="Z164" s="101">
        <f>IF(AND(F164&lt;=DASHBOARD!$B$10, H164&gt;=DASHBOARD!$B$11), O164, 1000000000000)</f>
        <v/>
      </c>
      <c r="AA164" s="101">
        <f>IF(AND(F164&lt;=DASHBOARD!$B$10, H164&gt;=DASHBOARD!$B$11), P164, 1000000000000)</f>
        <v/>
      </c>
      <c r="AB164" s="101">
        <f>IF(AND(F164&lt;=DASHBOARD!$B$10, H164&gt;=DASHBOARD!$B$11), Q164, -1000000000000)</f>
        <v/>
      </c>
    </row>
    <row r="165" ht="12.75" customHeight="1" s="102">
      <c r="A165" s="166" t="n">
        <v>161</v>
      </c>
      <c r="B165" s="167" t="n">
        <v>0.3</v>
      </c>
      <c r="C165" s="167" t="n">
        <v>1.7</v>
      </c>
      <c r="D165" s="110" t="inlineStr">
        <is>
          <t>Yok (%0)</t>
        </is>
      </c>
      <c r="E165" s="110">
        <f>IF((B165+C165)&lt;=1, "Tam Mahsuplaşma (≤%100)", "Kısmi Satış (&gt;%100)")</f>
        <v/>
      </c>
      <c r="F165" s="168">
        <f>((VERI_TABANI!$D$29*B165/VERI_TABANI!$B$29)/VERI_TABANI!$B$3)*VERI_TABANI!$B$5 + ((VERI_TABANI!$D$29*C165/VERI_TABANI!$B$29)/VERI_TABANI!$B$4)*VERI_TABANI!$B$6 + IF(ISNUMBER(SEARCH("Var", D165)), (VERI_TABANI!$F$29/VERI_TABANI!$B$29)*(VERI_TABANI!$B$10+VERI_TABANI!$B$12), 0)</f>
        <v/>
      </c>
      <c r="G165" s="168">
        <f>(((MIN(VERI_TABANI!D23, VERI_TABANI!D23*B165)*VERI_TABANI!$B$7 + MAX(0, VERI_TABANI!D23*B165-VERI_TABANI!D23)*VERI_TABANI!$B$8) + (MIN(MAX(0, VERI_TABANI!D23-VERI_TABANI!D23*B165), VERI_TABANI!D23*C165)*VERI_TABANI!$B$7 + MAX(0, VERI_TABANI!D23*C165-MAX(0, VERI_TABANI!D23-VERI_TABANI!D23*B165))*VERI_TABANI!$B$8) + IF(ABS(IF(ISNUMBER(SEARCH("Var", D165)), 1, IF(ISNUMBER(SEARCH("Gri", D165)), -1, 0)))=1, VERI_TABANI!E23*(1-0.928)*VERI_TABANI!$B$9, 0) + (VERI_TABANI!D23*B165*(VERI_TABANI!$B$13-VERI_TABANI!$B$14)*VERI_TABANI!G23) + (VERI_TABANI!D23*C165*(VERI_TABANI!$B$13-VERI_TABANI!$B$15)*VERI_TABANI!G23) + IF(ABS(IF(ISNUMBER(SEARCH("Var", D165)), 1, IF(ISNUMBER(SEARCH("Gri", D165)), -1, 0)))=1, VERI_TABANI!E23*(1-0.928)*0.00206091519919798*VERI_TABANI!G23, 0)) + ((MIN(VERI_TABANI!D24, VERI_TABANI!D24*B165)*VERI_TABANI!$B$7 + MAX(0, VERI_TABANI!D24*B165-VERI_TABANI!D24)*VERI_TABANI!$B$8) + (MIN(MAX(0, VERI_TABANI!D24-VERI_TABANI!D24*B165), VERI_TABANI!D24*C165)*VERI_TABANI!$B$7 + MAX(0, VERI_TABANI!D24*C165-MAX(0, VERI_TABANI!D24-VERI_TABANI!D24*B165))*VERI_TABANI!$B$8) + IF(ABS(IF(ISNUMBER(SEARCH("Var", D165)), 1, IF(ISNUMBER(SEARCH("Gri", D165)), -1, 0)))=1, VERI_TABANI!E24*(1-0.928)*VERI_TABANI!$B$9, 0) + (VERI_TABANI!D24*B165*(VERI_TABANI!$B$13-VERI_TABANI!$B$14)*VERI_TABANI!G24) + (VERI_TABANI!D24*C165*(VERI_TABANI!$B$13-VERI_TABANI!$B$15)*VERI_TABANI!G24) + IF(ABS(IF(ISNUMBER(SEARCH("Var", D165)), 1, IF(ISNUMBER(SEARCH("Gri", D165)), -1, 0)))=1, VERI_TABANI!E24*(1-0.928)*0.00206091519919798*VERI_TABANI!G24, 0)) + ((MIN(VERI_TABANI!D25, VERI_TABANI!D25*B165)*VERI_TABANI!$B$7 + MAX(0, VERI_TABANI!D25*B165-VERI_TABANI!D25)*VERI_TABANI!$B$8) + (MIN(MAX(0, VERI_TABANI!D25-VERI_TABANI!D25*B165), VERI_TABANI!D25*C165)*VERI_TABANI!$B$7 + MAX(0, VERI_TABANI!D25*C165-MAX(0, VERI_TABANI!D25-VERI_TABANI!D25*B165))*VERI_TABANI!$B$8) + IF(ABS(IF(ISNUMBER(SEARCH("Var", D165)), 1, IF(ISNUMBER(SEARCH("Gri", D165)), -1, 0)))=1, VERI_TABANI!E25*(1-0.928)*VERI_TABANI!$B$9, 0) + (VERI_TABANI!D25*B165*(VERI_TABANI!$B$13-VERI_TABANI!$B$14)*VERI_TABANI!G25) + (VERI_TABANI!D25*C165*(VERI_TABANI!$B$13-VERI_TABANI!$B$15)*VERI_TABANI!G25) + IF(ABS(IF(ISNUMBER(SEARCH("Var", D165)), 1, IF(ISNUMBER(SEARCH("Gri", D165)), -1, 0)))=1, VERI_TABANI!E25*(1-0.928)*0.00206091519919798*VERI_TABANI!G25, 0)) + ((MIN(VERI_TABANI!D26, VERI_TABANI!D26*B165)*VERI_TABANI!$B$7 + MAX(0, VERI_TABANI!D26*B165-VERI_TABANI!D26)*VERI_TABANI!$B$8) + (MIN(MAX(0, VERI_TABANI!D26-VERI_TABANI!D26*B165), VERI_TABANI!D26*C165)*VERI_TABANI!$B$7 + MAX(0, VERI_TABANI!D26*C165-MAX(0, VERI_TABANI!D26-VERI_TABANI!D26*B165))*VERI_TABANI!$B$8) + IF(ABS(IF(ISNUMBER(SEARCH("Var", D165)), 1, IF(ISNUMBER(SEARCH("Gri", D165)), -1, 0)))=1, VERI_TABANI!E26*(1-0.928)*VERI_TABANI!$B$9, 0) + (VERI_TABANI!D26*B165*(VERI_TABANI!$B$13-VERI_TABANI!$B$14)*VERI_TABANI!G26) + (VERI_TABANI!D26*C165*(VERI_TABANI!$B$13-VERI_TABANI!$B$15)*VERI_TABANI!G26) + IF(ABS(IF(ISNUMBER(SEARCH("Var", D165)), 1, IF(ISNUMBER(SEARCH("Gri", D165)), -1, 0)))=1, VERI_TABANI!E26*(1-0.928)*0.00206091519919798*VERI_TABANI!G26, 0)) + ((MIN(VERI_TABANI!D27, VERI_TABANI!D27*B165)*VERI_TABANI!$B$7 + MAX(0, VERI_TABANI!D27*B165-VERI_TABANI!D27)*VERI_TABANI!$B$8) + (MIN(MAX(0, VERI_TABANI!D27-VERI_TABANI!D27*B165), VERI_TABANI!D27*C165)*VERI_TABANI!$B$7 + MAX(0, VERI_TABANI!D27*C165-MAX(0, VERI_TABANI!D27-VERI_TABANI!D27*B165))*VERI_TABANI!$B$8) + IF(ABS(IF(ISNUMBER(SEARCH("Var", D165)), 1, IF(ISNUMBER(SEARCH("Gri", D165)), -1, 0)))=1, VERI_TABANI!E27*(1-0.928)*VERI_TABANI!$B$9, 0) + (VERI_TABANI!D27*B165*(VERI_TABANI!$B$13-VERI_TABANI!$B$14)*VERI_TABANI!G27) + (VERI_TABANI!D27*C165*(VERI_TABANI!$B$13-VERI_TABANI!$B$15)*VERI_TABANI!G27) + IF(ABS(IF(ISNUMBER(SEARCH("Var", D165)), 1, IF(ISNUMBER(SEARCH("Gri", D165)), -1, 0)))=1, VERI_TABANI!E27*(1-0.928)*0.00206091519919798*VERI_TABANI!G27, 0)) + ((MIN(VERI_TABANI!D28, VERI_TABANI!D28*B165)*VERI_TABANI!$B$7 + MAX(0, VERI_TABANI!D28*B165-VERI_TABANI!D28)*VERI_TABANI!$B$8) + (MIN(MAX(0, VERI_TABANI!D28-VERI_TABANI!D28*B165), VERI_TABANI!D28*C165)*VERI_TABANI!$B$7 + MAX(0, VERI_TABANI!D28*C165-MAX(0, VERI_TABANI!D28-VERI_TABANI!D28*B165))*VERI_TABANI!$B$8) + IF(ABS(IF(ISNUMBER(SEARCH("Var", D165)), 1, IF(ISNUMBER(SEARCH("Gri", D165)), -1, 0)))=1, VERI_TABANI!E28*(1-0.928)*VERI_TABANI!$B$9, 0) + (VERI_TABANI!D28*B165*(VERI_TABANI!$B$13-VERI_TABANI!$B$14)*VERI_TABANI!G28) + (VERI_TABANI!D28*C165*(VERI_TABANI!$B$13-VERI_TABANI!$B$15)*VERI_TABANI!G28) + IF(ABS(IF(ISNUMBER(SEARCH("Var", D165)), 1, IF(ISNUMBER(SEARCH("Gri", D165)), -1, 0)))=1, VERI_TABANI!E28*(1-0.928)*0.00206091519919798*VERI_TABANI!G28, 0)))</f>
        <v/>
      </c>
      <c r="H165" s="169">
        <f>(((VERI_TABANI!D23*B165*(VERI_TABANI!$B$13-VERI_TABANI!$B$14)) + (VERI_TABANI!D23*C165*(VERI_TABANI!$B$13-VERI_TABANI!$B$15)) + IF(ISNUMBER(SEARCH("Var", D165)), VERI_TABANI!F23*(0.00202-VERI_TABANI!$B$16), IF(ISNUMBER(SEARCH("Gri", D165)), VERI_TABANI!F23*(0.00202-VERI_TABANI!$B$17), 0))) + ((VERI_TABANI!D24*B165*(VERI_TABANI!$B$13-VERI_TABANI!$B$14)) + (VERI_TABANI!D24*C165*(VERI_TABANI!$B$13-VERI_TABANI!$B$15)) + IF(ISNUMBER(SEARCH("Var", D165)), VERI_TABANI!F24*(0.00202-VERI_TABANI!$B$16), IF(ISNUMBER(SEARCH("Gri", D165)), VERI_TABANI!F24*(0.00202-VERI_TABANI!$B$17), 0))) + ((VERI_TABANI!D25*B165*(VERI_TABANI!$B$13-VERI_TABANI!$B$14)) + (VERI_TABANI!D25*C165*(VERI_TABANI!$B$13-VERI_TABANI!$B$15)) + IF(ISNUMBER(SEARCH("Var", D165)), VERI_TABANI!F25*(0.00202-VERI_TABANI!$B$16), IF(ISNUMBER(SEARCH("Gri", D165)), VERI_TABANI!F25*(0.00202-VERI_TABANI!$B$17), 0))) + ((VERI_TABANI!D26*B165*(VERI_TABANI!$B$13-VERI_TABANI!$B$14)) + (VERI_TABANI!D26*C165*(VERI_TABANI!$B$13-VERI_TABANI!$B$15)) + IF(ISNUMBER(SEARCH("Var", D165)), VERI_TABANI!F26*(0.00202-VERI_TABANI!$B$16), IF(ISNUMBER(SEARCH("Gri", D165)), VERI_TABANI!F26*(0.00202-VERI_TABANI!$B$17), 0))) + ((VERI_TABANI!D27*B165*(VERI_TABANI!$B$13-VERI_TABANI!$B$14)) + (VERI_TABANI!D27*C165*(VERI_TABANI!$B$13-VERI_TABANI!$B$15)) + IF(ISNUMBER(SEARCH("Var", D165)), VERI_TABANI!F27*(0.00202-VERI_TABANI!$B$16), IF(ISNUMBER(SEARCH("Gri", D165)), VERI_TABANI!F27*(0.00202-VERI_TABANI!$B$17), 0))) + ((VERI_TABANI!D28*B165*(VERI_TABANI!$B$13-VERI_TABANI!$B$14)) + (VERI_TABANI!D28*C165*(VERI_TABANI!$B$13-VERI_TABANI!$B$15)) + IF(ISNUMBER(SEARCH("Var", D165)), VERI_TABANI!F28*(0.00202-VERI_TABANI!$B$16), IF(ISNUMBER(SEARCH("Gri", D165)), VERI_TABANI!F28*(0.00202-VERI_TABANI!$B$17), 0))))</f>
        <v/>
      </c>
      <c r="I165" s="170">
        <f>IFERROR(((VERI_TABANI!$D$29*B165*VERI_TABANI!$B$14 + VERI_TABANI!$D$29*C165*VERI_TABANI!$B$15 + IF(ISNUMBER(SEARCH("Var", D165)), VERI_TABANI!$F$29*VERI_TABANI!$B$16, 0))) / (((VERI_TABANI!$D$29*B165 + VERI_TABANI!$D$29*C165)*VERI_TABANI!$B$13 + IF(ISNUMBER(SEARCH("Var", D165)), VERI_TABANI!$E$29*(1-0.928)*VERI_TABANI!$B$18, 0))), 0)</f>
        <v/>
      </c>
      <c r="J165" s="171">
        <f>IFERROR(F165/(G165/29), 0)</f>
        <v/>
      </c>
      <c r="K165" s="172">
        <f>IF(F165&gt;0, H165/F165, 0)</f>
        <v/>
      </c>
      <c r="L165" s="170">
        <f>IF(F165&gt;0, I165, 1000000000)</f>
        <v/>
      </c>
      <c r="M165" s="171">
        <f>ABS((B165+C165)-1)</f>
        <v/>
      </c>
      <c r="N165" s="170">
        <f>IF(F165&gt;0, (G165/29)/F165, 0)</f>
        <v/>
      </c>
      <c r="O165" s="168">
        <f>IF(AND((B165+C165)&gt;=1, ISNUMBER(SEARCH("Var", D165))), F165, 1000000000)</f>
        <v/>
      </c>
      <c r="P165" s="172">
        <f>IF(F165&gt;0, SQRT((F165/MAX(F$5:F$886))^2 + (1 - H165/MAX(H$5:H$886))^2 + (J165/MAX(J$5:J$886))^2), 1000000000)</f>
        <v/>
      </c>
      <c r="Q165" s="166">
        <f>IF(AND(ABS(B165-0.5)&lt;0.01, ABS(C165-0.5)&lt;0.01, ISNUMBER(SEARCH("Var", D165))), 1, 0)</f>
        <v/>
      </c>
      <c r="R165" s="171">
        <f>IF(F165&gt;0, J165, 1000000000)</f>
        <v/>
      </c>
      <c r="S165" s="101">
        <f>IF(AND(F165&lt;=DASHBOARD!$B$11, H165&gt;=DASHBOARD!$B$13), G165, -1000000000000)</f>
        <v/>
      </c>
      <c r="T165" s="101">
        <f>IF(AND(F165&lt;=DASHBOARD!$B$11, H165&gt;=DASHBOARD!$B$13), R165, 1000000000000)</f>
        <v/>
      </c>
      <c r="U165" s="101">
        <f>IF(AND(F165&lt;=DASHBOARD!$B$11, H165&gt;=DASHBOARD!$B$13), N165, -1000000000000)</f>
        <v/>
      </c>
      <c r="V165" s="101">
        <f>IF(AND(F165&lt;=DASHBOARD!$B$11, H165&gt;=DASHBOARD!$B$13), H165, -1000000000000)</f>
        <v/>
      </c>
      <c r="W165" s="101">
        <f>IF(AND(F165&lt;=DASHBOARD!$B$11, H165&gt;=DASHBOARD!$B$13), K165, -1000000000000)</f>
        <v/>
      </c>
      <c r="X165" s="101">
        <f>IF(AND(F165&lt;=DASHBOARD!$B$11, H165&gt;=DASHBOARD!$B$13), M165, 1000000000000)</f>
        <v/>
      </c>
      <c r="Y165" s="101">
        <f>IF(AND(F165&lt;=DASHBOARD!$B$10, H165&gt;=DASHBOARD!$B$11), L165, 1000000000000)</f>
        <v/>
      </c>
      <c r="Z165" s="101">
        <f>IF(AND(F165&lt;=DASHBOARD!$B$10, H165&gt;=DASHBOARD!$B$11), O165, 1000000000000)</f>
        <v/>
      </c>
      <c r="AA165" s="101">
        <f>IF(AND(F165&lt;=DASHBOARD!$B$10, H165&gt;=DASHBOARD!$B$11), P165, 1000000000000)</f>
        <v/>
      </c>
      <c r="AB165" s="101">
        <f>IF(AND(F165&lt;=DASHBOARD!$B$10, H165&gt;=DASHBOARD!$B$11), Q165, -1000000000000)</f>
        <v/>
      </c>
    </row>
    <row r="166" ht="12.75" customHeight="1" s="102">
      <c r="A166" s="166" t="n">
        <v>162</v>
      </c>
      <c r="B166" s="167" t="n">
        <v>0.3</v>
      </c>
      <c r="C166" s="167" t="n">
        <v>1.7</v>
      </c>
      <c r="D166" s="110" t="inlineStr">
        <is>
          <t>Var (%20)</t>
        </is>
      </c>
      <c r="E166" s="110">
        <f>IF((B166+C166)&lt;=1, "Tam Mahsuplaşma (≤%100)", "Kısmi Satış (&gt;%100)")</f>
        <v/>
      </c>
      <c r="F166" s="168">
        <f>((VERI_TABANI!$D$29*B166/VERI_TABANI!$B$29)/VERI_TABANI!$B$3)*VERI_TABANI!$B$5 + ((VERI_TABANI!$D$29*C166/VERI_TABANI!$B$29)/VERI_TABANI!$B$4)*VERI_TABANI!$B$6 + IF(ISNUMBER(SEARCH("Var", D166)), (VERI_TABANI!$F$29/VERI_TABANI!$B$29)*(VERI_TABANI!$B$10+VERI_TABANI!$B$12), 0)</f>
        <v/>
      </c>
      <c r="G166" s="168">
        <f>(((MIN(VERI_TABANI!D23, VERI_TABANI!D23*B166)*VERI_TABANI!$B$7 + MAX(0, VERI_TABANI!D23*B166-VERI_TABANI!D23)*VERI_TABANI!$B$8) + (MIN(MAX(0, VERI_TABANI!D23-VERI_TABANI!D23*B166), VERI_TABANI!D23*C166)*VERI_TABANI!$B$7 + MAX(0, VERI_TABANI!D23*C166-MAX(0, VERI_TABANI!D23-VERI_TABANI!D23*B166))*VERI_TABANI!$B$8) + IF(ABS(IF(ISNUMBER(SEARCH("Var", D166)), 1, IF(ISNUMBER(SEARCH("Gri", D166)), -1, 0)))=1, VERI_TABANI!E23*(1-0.928)*VERI_TABANI!$B$9, 0) + (VERI_TABANI!D23*B166*(VERI_TABANI!$B$13-VERI_TABANI!$B$14)*VERI_TABANI!G23) + (VERI_TABANI!D23*C166*(VERI_TABANI!$B$13-VERI_TABANI!$B$15)*VERI_TABANI!G23) + IF(ABS(IF(ISNUMBER(SEARCH("Var", D166)), 1, IF(ISNUMBER(SEARCH("Gri", D166)), -1, 0)))=1, VERI_TABANI!E23*(1-0.928)*0.00206091519919798*VERI_TABANI!G23, 0)) + ((MIN(VERI_TABANI!D24, VERI_TABANI!D24*B166)*VERI_TABANI!$B$7 + MAX(0, VERI_TABANI!D24*B166-VERI_TABANI!D24)*VERI_TABANI!$B$8) + (MIN(MAX(0, VERI_TABANI!D24-VERI_TABANI!D24*B166), VERI_TABANI!D24*C166)*VERI_TABANI!$B$7 + MAX(0, VERI_TABANI!D24*C166-MAX(0, VERI_TABANI!D24-VERI_TABANI!D24*B166))*VERI_TABANI!$B$8) + IF(ABS(IF(ISNUMBER(SEARCH("Var", D166)), 1, IF(ISNUMBER(SEARCH("Gri", D166)), -1, 0)))=1, VERI_TABANI!E24*(1-0.928)*VERI_TABANI!$B$9, 0) + (VERI_TABANI!D24*B166*(VERI_TABANI!$B$13-VERI_TABANI!$B$14)*VERI_TABANI!G24) + (VERI_TABANI!D24*C166*(VERI_TABANI!$B$13-VERI_TABANI!$B$15)*VERI_TABANI!G24) + IF(ABS(IF(ISNUMBER(SEARCH("Var", D166)), 1, IF(ISNUMBER(SEARCH("Gri", D166)), -1, 0)))=1, VERI_TABANI!E24*(1-0.928)*0.00206091519919798*VERI_TABANI!G24, 0)) + ((MIN(VERI_TABANI!D25, VERI_TABANI!D25*B166)*VERI_TABANI!$B$7 + MAX(0, VERI_TABANI!D25*B166-VERI_TABANI!D25)*VERI_TABANI!$B$8) + (MIN(MAX(0, VERI_TABANI!D25-VERI_TABANI!D25*B166), VERI_TABANI!D25*C166)*VERI_TABANI!$B$7 + MAX(0, VERI_TABANI!D25*C166-MAX(0, VERI_TABANI!D25-VERI_TABANI!D25*B166))*VERI_TABANI!$B$8) + IF(ABS(IF(ISNUMBER(SEARCH("Var", D166)), 1, IF(ISNUMBER(SEARCH("Gri", D166)), -1, 0)))=1, VERI_TABANI!E25*(1-0.928)*VERI_TABANI!$B$9, 0) + (VERI_TABANI!D25*B166*(VERI_TABANI!$B$13-VERI_TABANI!$B$14)*VERI_TABANI!G25) + (VERI_TABANI!D25*C166*(VERI_TABANI!$B$13-VERI_TABANI!$B$15)*VERI_TABANI!G25) + IF(ABS(IF(ISNUMBER(SEARCH("Var", D166)), 1, IF(ISNUMBER(SEARCH("Gri", D166)), -1, 0)))=1, VERI_TABANI!E25*(1-0.928)*0.00206091519919798*VERI_TABANI!G25, 0)) + ((MIN(VERI_TABANI!D26, VERI_TABANI!D26*B166)*VERI_TABANI!$B$7 + MAX(0, VERI_TABANI!D26*B166-VERI_TABANI!D26)*VERI_TABANI!$B$8) + (MIN(MAX(0, VERI_TABANI!D26-VERI_TABANI!D26*B166), VERI_TABANI!D26*C166)*VERI_TABANI!$B$7 + MAX(0, VERI_TABANI!D26*C166-MAX(0, VERI_TABANI!D26-VERI_TABANI!D26*B166))*VERI_TABANI!$B$8) + IF(ABS(IF(ISNUMBER(SEARCH("Var", D166)), 1, IF(ISNUMBER(SEARCH("Gri", D166)), -1, 0)))=1, VERI_TABANI!E26*(1-0.928)*VERI_TABANI!$B$9, 0) + (VERI_TABANI!D26*B166*(VERI_TABANI!$B$13-VERI_TABANI!$B$14)*VERI_TABANI!G26) + (VERI_TABANI!D26*C166*(VERI_TABANI!$B$13-VERI_TABANI!$B$15)*VERI_TABANI!G26) + IF(ABS(IF(ISNUMBER(SEARCH("Var", D166)), 1, IF(ISNUMBER(SEARCH("Gri", D166)), -1, 0)))=1, VERI_TABANI!E26*(1-0.928)*0.00206091519919798*VERI_TABANI!G26, 0)) + ((MIN(VERI_TABANI!D27, VERI_TABANI!D27*B166)*VERI_TABANI!$B$7 + MAX(0, VERI_TABANI!D27*B166-VERI_TABANI!D27)*VERI_TABANI!$B$8) + (MIN(MAX(0, VERI_TABANI!D27-VERI_TABANI!D27*B166), VERI_TABANI!D27*C166)*VERI_TABANI!$B$7 + MAX(0, VERI_TABANI!D27*C166-MAX(0, VERI_TABANI!D27-VERI_TABANI!D27*B166))*VERI_TABANI!$B$8) + IF(ABS(IF(ISNUMBER(SEARCH("Var", D166)), 1, IF(ISNUMBER(SEARCH("Gri", D166)), -1, 0)))=1, VERI_TABANI!E27*(1-0.928)*VERI_TABANI!$B$9, 0) + (VERI_TABANI!D27*B166*(VERI_TABANI!$B$13-VERI_TABANI!$B$14)*VERI_TABANI!G27) + (VERI_TABANI!D27*C166*(VERI_TABANI!$B$13-VERI_TABANI!$B$15)*VERI_TABANI!G27) + IF(ABS(IF(ISNUMBER(SEARCH("Var", D166)), 1, IF(ISNUMBER(SEARCH("Gri", D166)), -1, 0)))=1, VERI_TABANI!E27*(1-0.928)*0.00206091519919798*VERI_TABANI!G27, 0)) + ((MIN(VERI_TABANI!D28, VERI_TABANI!D28*B166)*VERI_TABANI!$B$7 + MAX(0, VERI_TABANI!D28*B166-VERI_TABANI!D28)*VERI_TABANI!$B$8) + (MIN(MAX(0, VERI_TABANI!D28-VERI_TABANI!D28*B166), VERI_TABANI!D28*C166)*VERI_TABANI!$B$7 + MAX(0, VERI_TABANI!D28*C166-MAX(0, VERI_TABANI!D28-VERI_TABANI!D28*B166))*VERI_TABANI!$B$8) + IF(ABS(IF(ISNUMBER(SEARCH("Var", D166)), 1, IF(ISNUMBER(SEARCH("Gri", D166)), -1, 0)))=1, VERI_TABANI!E28*(1-0.928)*VERI_TABANI!$B$9, 0) + (VERI_TABANI!D28*B166*(VERI_TABANI!$B$13-VERI_TABANI!$B$14)*VERI_TABANI!G28) + (VERI_TABANI!D28*C166*(VERI_TABANI!$B$13-VERI_TABANI!$B$15)*VERI_TABANI!G28) + IF(ABS(IF(ISNUMBER(SEARCH("Var", D166)), 1, IF(ISNUMBER(SEARCH("Gri", D166)), -1, 0)))=1, VERI_TABANI!E28*(1-0.928)*0.00206091519919798*VERI_TABANI!G28, 0)))</f>
        <v/>
      </c>
      <c r="H166" s="169">
        <f>(((VERI_TABANI!D23*B166*(VERI_TABANI!$B$13-VERI_TABANI!$B$14)) + (VERI_TABANI!D23*C166*(VERI_TABANI!$B$13-VERI_TABANI!$B$15)) + IF(ISNUMBER(SEARCH("Var", D166)), VERI_TABANI!F23*(0.00202-VERI_TABANI!$B$16), IF(ISNUMBER(SEARCH("Gri", D166)), VERI_TABANI!F23*(0.00202-VERI_TABANI!$B$17), 0))) + ((VERI_TABANI!D24*B166*(VERI_TABANI!$B$13-VERI_TABANI!$B$14)) + (VERI_TABANI!D24*C166*(VERI_TABANI!$B$13-VERI_TABANI!$B$15)) + IF(ISNUMBER(SEARCH("Var", D166)), VERI_TABANI!F24*(0.00202-VERI_TABANI!$B$16), IF(ISNUMBER(SEARCH("Gri", D166)), VERI_TABANI!F24*(0.00202-VERI_TABANI!$B$17), 0))) + ((VERI_TABANI!D25*B166*(VERI_TABANI!$B$13-VERI_TABANI!$B$14)) + (VERI_TABANI!D25*C166*(VERI_TABANI!$B$13-VERI_TABANI!$B$15)) + IF(ISNUMBER(SEARCH("Var", D166)), VERI_TABANI!F25*(0.00202-VERI_TABANI!$B$16), IF(ISNUMBER(SEARCH("Gri", D166)), VERI_TABANI!F25*(0.00202-VERI_TABANI!$B$17), 0))) + ((VERI_TABANI!D26*B166*(VERI_TABANI!$B$13-VERI_TABANI!$B$14)) + (VERI_TABANI!D26*C166*(VERI_TABANI!$B$13-VERI_TABANI!$B$15)) + IF(ISNUMBER(SEARCH("Var", D166)), VERI_TABANI!F26*(0.00202-VERI_TABANI!$B$16), IF(ISNUMBER(SEARCH("Gri", D166)), VERI_TABANI!F26*(0.00202-VERI_TABANI!$B$17), 0))) + ((VERI_TABANI!D27*B166*(VERI_TABANI!$B$13-VERI_TABANI!$B$14)) + (VERI_TABANI!D27*C166*(VERI_TABANI!$B$13-VERI_TABANI!$B$15)) + IF(ISNUMBER(SEARCH("Var", D166)), VERI_TABANI!F27*(0.00202-VERI_TABANI!$B$16), IF(ISNUMBER(SEARCH("Gri", D166)), VERI_TABANI!F27*(0.00202-VERI_TABANI!$B$17), 0))) + ((VERI_TABANI!D28*B166*(VERI_TABANI!$B$13-VERI_TABANI!$B$14)) + (VERI_TABANI!D28*C166*(VERI_TABANI!$B$13-VERI_TABANI!$B$15)) + IF(ISNUMBER(SEARCH("Var", D166)), VERI_TABANI!F28*(0.00202-VERI_TABANI!$B$16), IF(ISNUMBER(SEARCH("Gri", D166)), VERI_TABANI!F28*(0.00202-VERI_TABANI!$B$17), 0))))</f>
        <v/>
      </c>
      <c r="I166" s="170">
        <f>IFERROR(((VERI_TABANI!$D$29*B166*VERI_TABANI!$B$14 + VERI_TABANI!$D$29*C166*VERI_TABANI!$B$15 + IF(ISNUMBER(SEARCH("Var", D166)), VERI_TABANI!$F$29*VERI_TABANI!$B$16, 0))) / (((VERI_TABANI!$D$29*B166 + VERI_TABANI!$D$29*C166)*VERI_TABANI!$B$13 + IF(ISNUMBER(SEARCH("Var", D166)), VERI_TABANI!$E$29*(1-0.928)*VERI_TABANI!$B$18, 0))), 0)</f>
        <v/>
      </c>
      <c r="J166" s="171">
        <f>IFERROR(F166/(G166/29), 0)</f>
        <v/>
      </c>
      <c r="K166" s="172">
        <f>IF(F166&gt;0, H166/F166, 0)</f>
        <v/>
      </c>
      <c r="L166" s="170">
        <f>IF(F166&gt;0, I166, 1000000000)</f>
        <v/>
      </c>
      <c r="M166" s="171">
        <f>ABS((B166+C166)-1)</f>
        <v/>
      </c>
      <c r="N166" s="170">
        <f>IF(F166&gt;0, (G166/29)/F166, 0)</f>
        <v/>
      </c>
      <c r="O166" s="168">
        <f>IF(AND((B166+C166)&gt;=1, ISNUMBER(SEARCH("Var", D166))), F166, 1000000000)</f>
        <v/>
      </c>
      <c r="P166" s="172">
        <f>IF(F166&gt;0, SQRT((F166/MAX(F$5:F$886))^2 + (1 - H166/MAX(H$5:H$886))^2 + (J166/MAX(J$5:J$886))^2), 1000000000)</f>
        <v/>
      </c>
      <c r="Q166" s="166">
        <f>IF(AND(ABS(B166-0.5)&lt;0.01, ABS(C166-0.5)&lt;0.01, ISNUMBER(SEARCH("Var", D166))), 1, 0)</f>
        <v/>
      </c>
      <c r="R166" s="171">
        <f>IF(F166&gt;0, J166, 1000000000)</f>
        <v/>
      </c>
      <c r="S166" s="101">
        <f>IF(AND(F166&lt;=DASHBOARD!$B$11, H166&gt;=DASHBOARD!$B$13), G166, -1000000000000)</f>
        <v/>
      </c>
      <c r="T166" s="101">
        <f>IF(AND(F166&lt;=DASHBOARD!$B$11, H166&gt;=DASHBOARD!$B$13), R166, 1000000000000)</f>
        <v/>
      </c>
      <c r="U166" s="101">
        <f>IF(AND(F166&lt;=DASHBOARD!$B$11, H166&gt;=DASHBOARD!$B$13), N166, -1000000000000)</f>
        <v/>
      </c>
      <c r="V166" s="101">
        <f>IF(AND(F166&lt;=DASHBOARD!$B$11, H166&gt;=DASHBOARD!$B$13), H166, -1000000000000)</f>
        <v/>
      </c>
      <c r="W166" s="101">
        <f>IF(AND(F166&lt;=DASHBOARD!$B$11, H166&gt;=DASHBOARD!$B$13), K166, -1000000000000)</f>
        <v/>
      </c>
      <c r="X166" s="101">
        <f>IF(AND(F166&lt;=DASHBOARD!$B$11, H166&gt;=DASHBOARD!$B$13), M166, 1000000000000)</f>
        <v/>
      </c>
      <c r="Y166" s="101">
        <f>IF(AND(F166&lt;=DASHBOARD!$B$10, H166&gt;=DASHBOARD!$B$11), L166, 1000000000000)</f>
        <v/>
      </c>
      <c r="Z166" s="101">
        <f>IF(AND(F166&lt;=DASHBOARD!$B$10, H166&gt;=DASHBOARD!$B$11), O166, 1000000000000)</f>
        <v/>
      </c>
      <c r="AA166" s="101">
        <f>IF(AND(F166&lt;=DASHBOARD!$B$10, H166&gt;=DASHBOARD!$B$11), P166, 1000000000000)</f>
        <v/>
      </c>
      <c r="AB166" s="101">
        <f>IF(AND(F166&lt;=DASHBOARD!$B$10, H166&gt;=DASHBOARD!$B$11), Q166, -1000000000000)</f>
        <v/>
      </c>
    </row>
    <row r="167" ht="12.75" customHeight="1" s="102">
      <c r="A167" s="166" t="n">
        <v>163</v>
      </c>
      <c r="B167" s="167" t="n">
        <v>0.3</v>
      </c>
      <c r="C167" s="167" t="n">
        <v>1.8</v>
      </c>
      <c r="D167" s="110" t="inlineStr">
        <is>
          <t>Yok (%0)</t>
        </is>
      </c>
      <c r="E167" s="110">
        <f>IF((B167+C167)&lt;=1, "Tam Mahsuplaşma (≤%100)", "Kısmi Satış (&gt;%100)")</f>
        <v/>
      </c>
      <c r="F167" s="168">
        <f>((VERI_TABANI!$D$29*B167/VERI_TABANI!$B$29)/VERI_TABANI!$B$3)*VERI_TABANI!$B$5 + ((VERI_TABANI!$D$29*C167/VERI_TABANI!$B$29)/VERI_TABANI!$B$4)*VERI_TABANI!$B$6 + IF(ISNUMBER(SEARCH("Var", D167)), (VERI_TABANI!$F$29/VERI_TABANI!$B$29)*(VERI_TABANI!$B$10+VERI_TABANI!$B$12), 0)</f>
        <v/>
      </c>
      <c r="G167" s="168">
        <f>(((MIN(VERI_TABANI!D23, VERI_TABANI!D23*B167)*VERI_TABANI!$B$7 + MAX(0, VERI_TABANI!D23*B167-VERI_TABANI!D23)*VERI_TABANI!$B$8) + (MIN(MAX(0, VERI_TABANI!D23-VERI_TABANI!D23*B167), VERI_TABANI!D23*C167)*VERI_TABANI!$B$7 + MAX(0, VERI_TABANI!D23*C167-MAX(0, VERI_TABANI!D23-VERI_TABANI!D23*B167))*VERI_TABANI!$B$8) + IF(ABS(IF(ISNUMBER(SEARCH("Var", D167)), 1, IF(ISNUMBER(SEARCH("Gri", D167)), -1, 0)))=1, VERI_TABANI!E23*(1-0.928)*VERI_TABANI!$B$9, 0) + (VERI_TABANI!D23*B167*(VERI_TABANI!$B$13-VERI_TABANI!$B$14)*VERI_TABANI!G23) + (VERI_TABANI!D23*C167*(VERI_TABANI!$B$13-VERI_TABANI!$B$15)*VERI_TABANI!G23) + IF(ABS(IF(ISNUMBER(SEARCH("Var", D167)), 1, IF(ISNUMBER(SEARCH("Gri", D167)), -1, 0)))=1, VERI_TABANI!E23*(1-0.928)*0.00206091519919798*VERI_TABANI!G23, 0)) + ((MIN(VERI_TABANI!D24, VERI_TABANI!D24*B167)*VERI_TABANI!$B$7 + MAX(0, VERI_TABANI!D24*B167-VERI_TABANI!D24)*VERI_TABANI!$B$8) + (MIN(MAX(0, VERI_TABANI!D24-VERI_TABANI!D24*B167), VERI_TABANI!D24*C167)*VERI_TABANI!$B$7 + MAX(0, VERI_TABANI!D24*C167-MAX(0, VERI_TABANI!D24-VERI_TABANI!D24*B167))*VERI_TABANI!$B$8) + IF(ABS(IF(ISNUMBER(SEARCH("Var", D167)), 1, IF(ISNUMBER(SEARCH("Gri", D167)), -1, 0)))=1, VERI_TABANI!E24*(1-0.928)*VERI_TABANI!$B$9, 0) + (VERI_TABANI!D24*B167*(VERI_TABANI!$B$13-VERI_TABANI!$B$14)*VERI_TABANI!G24) + (VERI_TABANI!D24*C167*(VERI_TABANI!$B$13-VERI_TABANI!$B$15)*VERI_TABANI!G24) + IF(ABS(IF(ISNUMBER(SEARCH("Var", D167)), 1, IF(ISNUMBER(SEARCH("Gri", D167)), -1, 0)))=1, VERI_TABANI!E24*(1-0.928)*0.00206091519919798*VERI_TABANI!G24, 0)) + ((MIN(VERI_TABANI!D25, VERI_TABANI!D25*B167)*VERI_TABANI!$B$7 + MAX(0, VERI_TABANI!D25*B167-VERI_TABANI!D25)*VERI_TABANI!$B$8) + (MIN(MAX(0, VERI_TABANI!D25-VERI_TABANI!D25*B167), VERI_TABANI!D25*C167)*VERI_TABANI!$B$7 + MAX(0, VERI_TABANI!D25*C167-MAX(0, VERI_TABANI!D25-VERI_TABANI!D25*B167))*VERI_TABANI!$B$8) + IF(ABS(IF(ISNUMBER(SEARCH("Var", D167)), 1, IF(ISNUMBER(SEARCH("Gri", D167)), -1, 0)))=1, VERI_TABANI!E25*(1-0.928)*VERI_TABANI!$B$9, 0) + (VERI_TABANI!D25*B167*(VERI_TABANI!$B$13-VERI_TABANI!$B$14)*VERI_TABANI!G25) + (VERI_TABANI!D25*C167*(VERI_TABANI!$B$13-VERI_TABANI!$B$15)*VERI_TABANI!G25) + IF(ABS(IF(ISNUMBER(SEARCH("Var", D167)), 1, IF(ISNUMBER(SEARCH("Gri", D167)), -1, 0)))=1, VERI_TABANI!E25*(1-0.928)*0.00206091519919798*VERI_TABANI!G25, 0)) + ((MIN(VERI_TABANI!D26, VERI_TABANI!D26*B167)*VERI_TABANI!$B$7 + MAX(0, VERI_TABANI!D26*B167-VERI_TABANI!D26)*VERI_TABANI!$B$8) + (MIN(MAX(0, VERI_TABANI!D26-VERI_TABANI!D26*B167), VERI_TABANI!D26*C167)*VERI_TABANI!$B$7 + MAX(0, VERI_TABANI!D26*C167-MAX(0, VERI_TABANI!D26-VERI_TABANI!D26*B167))*VERI_TABANI!$B$8) + IF(ABS(IF(ISNUMBER(SEARCH("Var", D167)), 1, IF(ISNUMBER(SEARCH("Gri", D167)), -1, 0)))=1, VERI_TABANI!E26*(1-0.928)*VERI_TABANI!$B$9, 0) + (VERI_TABANI!D26*B167*(VERI_TABANI!$B$13-VERI_TABANI!$B$14)*VERI_TABANI!G26) + (VERI_TABANI!D26*C167*(VERI_TABANI!$B$13-VERI_TABANI!$B$15)*VERI_TABANI!G26) + IF(ABS(IF(ISNUMBER(SEARCH("Var", D167)), 1, IF(ISNUMBER(SEARCH("Gri", D167)), -1, 0)))=1, VERI_TABANI!E26*(1-0.928)*0.00206091519919798*VERI_TABANI!G26, 0)) + ((MIN(VERI_TABANI!D27, VERI_TABANI!D27*B167)*VERI_TABANI!$B$7 + MAX(0, VERI_TABANI!D27*B167-VERI_TABANI!D27)*VERI_TABANI!$B$8) + (MIN(MAX(0, VERI_TABANI!D27-VERI_TABANI!D27*B167), VERI_TABANI!D27*C167)*VERI_TABANI!$B$7 + MAX(0, VERI_TABANI!D27*C167-MAX(0, VERI_TABANI!D27-VERI_TABANI!D27*B167))*VERI_TABANI!$B$8) + IF(ABS(IF(ISNUMBER(SEARCH("Var", D167)), 1, IF(ISNUMBER(SEARCH("Gri", D167)), -1, 0)))=1, VERI_TABANI!E27*(1-0.928)*VERI_TABANI!$B$9, 0) + (VERI_TABANI!D27*B167*(VERI_TABANI!$B$13-VERI_TABANI!$B$14)*VERI_TABANI!G27) + (VERI_TABANI!D27*C167*(VERI_TABANI!$B$13-VERI_TABANI!$B$15)*VERI_TABANI!G27) + IF(ABS(IF(ISNUMBER(SEARCH("Var", D167)), 1, IF(ISNUMBER(SEARCH("Gri", D167)), -1, 0)))=1, VERI_TABANI!E27*(1-0.928)*0.00206091519919798*VERI_TABANI!G27, 0)) + ((MIN(VERI_TABANI!D28, VERI_TABANI!D28*B167)*VERI_TABANI!$B$7 + MAX(0, VERI_TABANI!D28*B167-VERI_TABANI!D28)*VERI_TABANI!$B$8) + (MIN(MAX(0, VERI_TABANI!D28-VERI_TABANI!D28*B167), VERI_TABANI!D28*C167)*VERI_TABANI!$B$7 + MAX(0, VERI_TABANI!D28*C167-MAX(0, VERI_TABANI!D28-VERI_TABANI!D28*B167))*VERI_TABANI!$B$8) + IF(ABS(IF(ISNUMBER(SEARCH("Var", D167)), 1, IF(ISNUMBER(SEARCH("Gri", D167)), -1, 0)))=1, VERI_TABANI!E28*(1-0.928)*VERI_TABANI!$B$9, 0) + (VERI_TABANI!D28*B167*(VERI_TABANI!$B$13-VERI_TABANI!$B$14)*VERI_TABANI!G28) + (VERI_TABANI!D28*C167*(VERI_TABANI!$B$13-VERI_TABANI!$B$15)*VERI_TABANI!G28) + IF(ABS(IF(ISNUMBER(SEARCH("Var", D167)), 1, IF(ISNUMBER(SEARCH("Gri", D167)), -1, 0)))=1, VERI_TABANI!E28*(1-0.928)*0.00206091519919798*VERI_TABANI!G28, 0)))</f>
        <v/>
      </c>
      <c r="H167" s="169">
        <f>(((VERI_TABANI!D23*B167*(VERI_TABANI!$B$13-VERI_TABANI!$B$14)) + (VERI_TABANI!D23*C167*(VERI_TABANI!$B$13-VERI_TABANI!$B$15)) + IF(ISNUMBER(SEARCH("Var", D167)), VERI_TABANI!F23*(0.00202-VERI_TABANI!$B$16), IF(ISNUMBER(SEARCH("Gri", D167)), VERI_TABANI!F23*(0.00202-VERI_TABANI!$B$17), 0))) + ((VERI_TABANI!D24*B167*(VERI_TABANI!$B$13-VERI_TABANI!$B$14)) + (VERI_TABANI!D24*C167*(VERI_TABANI!$B$13-VERI_TABANI!$B$15)) + IF(ISNUMBER(SEARCH("Var", D167)), VERI_TABANI!F24*(0.00202-VERI_TABANI!$B$16), IF(ISNUMBER(SEARCH("Gri", D167)), VERI_TABANI!F24*(0.00202-VERI_TABANI!$B$17), 0))) + ((VERI_TABANI!D25*B167*(VERI_TABANI!$B$13-VERI_TABANI!$B$14)) + (VERI_TABANI!D25*C167*(VERI_TABANI!$B$13-VERI_TABANI!$B$15)) + IF(ISNUMBER(SEARCH("Var", D167)), VERI_TABANI!F25*(0.00202-VERI_TABANI!$B$16), IF(ISNUMBER(SEARCH("Gri", D167)), VERI_TABANI!F25*(0.00202-VERI_TABANI!$B$17), 0))) + ((VERI_TABANI!D26*B167*(VERI_TABANI!$B$13-VERI_TABANI!$B$14)) + (VERI_TABANI!D26*C167*(VERI_TABANI!$B$13-VERI_TABANI!$B$15)) + IF(ISNUMBER(SEARCH("Var", D167)), VERI_TABANI!F26*(0.00202-VERI_TABANI!$B$16), IF(ISNUMBER(SEARCH("Gri", D167)), VERI_TABANI!F26*(0.00202-VERI_TABANI!$B$17), 0))) + ((VERI_TABANI!D27*B167*(VERI_TABANI!$B$13-VERI_TABANI!$B$14)) + (VERI_TABANI!D27*C167*(VERI_TABANI!$B$13-VERI_TABANI!$B$15)) + IF(ISNUMBER(SEARCH("Var", D167)), VERI_TABANI!F27*(0.00202-VERI_TABANI!$B$16), IF(ISNUMBER(SEARCH("Gri", D167)), VERI_TABANI!F27*(0.00202-VERI_TABANI!$B$17), 0))) + ((VERI_TABANI!D28*B167*(VERI_TABANI!$B$13-VERI_TABANI!$B$14)) + (VERI_TABANI!D28*C167*(VERI_TABANI!$B$13-VERI_TABANI!$B$15)) + IF(ISNUMBER(SEARCH("Var", D167)), VERI_TABANI!F28*(0.00202-VERI_TABANI!$B$16), IF(ISNUMBER(SEARCH("Gri", D167)), VERI_TABANI!F28*(0.00202-VERI_TABANI!$B$17), 0))))</f>
        <v/>
      </c>
      <c r="I167" s="170">
        <f>IFERROR(((VERI_TABANI!$D$29*B167*VERI_TABANI!$B$14 + VERI_TABANI!$D$29*C167*VERI_TABANI!$B$15 + IF(ISNUMBER(SEARCH("Var", D167)), VERI_TABANI!$F$29*VERI_TABANI!$B$16, 0))) / (((VERI_TABANI!$D$29*B167 + VERI_TABANI!$D$29*C167)*VERI_TABANI!$B$13 + IF(ISNUMBER(SEARCH("Var", D167)), VERI_TABANI!$E$29*(1-0.928)*VERI_TABANI!$B$18, 0))), 0)</f>
        <v/>
      </c>
      <c r="J167" s="171">
        <f>IFERROR(F167/(G167/29), 0)</f>
        <v/>
      </c>
      <c r="K167" s="172">
        <f>IF(F167&gt;0, H167/F167, 0)</f>
        <v/>
      </c>
      <c r="L167" s="170">
        <f>IF(F167&gt;0, I167, 1000000000)</f>
        <v/>
      </c>
      <c r="M167" s="171">
        <f>ABS((B167+C167)-1)</f>
        <v/>
      </c>
      <c r="N167" s="170">
        <f>IF(F167&gt;0, (G167/29)/F167, 0)</f>
        <v/>
      </c>
      <c r="O167" s="168">
        <f>IF(AND((B167+C167)&gt;=1, ISNUMBER(SEARCH("Var", D167))), F167, 1000000000)</f>
        <v/>
      </c>
      <c r="P167" s="172">
        <f>IF(F167&gt;0, SQRT((F167/MAX(F$5:F$886))^2 + (1 - H167/MAX(H$5:H$886))^2 + (J167/MAX(J$5:J$886))^2), 1000000000)</f>
        <v/>
      </c>
      <c r="Q167" s="166">
        <f>IF(AND(ABS(B167-0.5)&lt;0.01, ABS(C167-0.5)&lt;0.01, ISNUMBER(SEARCH("Var", D167))), 1, 0)</f>
        <v/>
      </c>
      <c r="R167" s="171">
        <f>IF(F167&gt;0, J167, 1000000000)</f>
        <v/>
      </c>
      <c r="S167" s="101">
        <f>IF(AND(F167&lt;=DASHBOARD!$B$11, H167&gt;=DASHBOARD!$B$13), G167, -1000000000000)</f>
        <v/>
      </c>
      <c r="T167" s="101">
        <f>IF(AND(F167&lt;=DASHBOARD!$B$11, H167&gt;=DASHBOARD!$B$13), R167, 1000000000000)</f>
        <v/>
      </c>
      <c r="U167" s="101">
        <f>IF(AND(F167&lt;=DASHBOARD!$B$11, H167&gt;=DASHBOARD!$B$13), N167, -1000000000000)</f>
        <v/>
      </c>
      <c r="V167" s="101">
        <f>IF(AND(F167&lt;=DASHBOARD!$B$11, H167&gt;=DASHBOARD!$B$13), H167, -1000000000000)</f>
        <v/>
      </c>
      <c r="W167" s="101">
        <f>IF(AND(F167&lt;=DASHBOARD!$B$11, H167&gt;=DASHBOARD!$B$13), K167, -1000000000000)</f>
        <v/>
      </c>
      <c r="X167" s="101">
        <f>IF(AND(F167&lt;=DASHBOARD!$B$11, H167&gt;=DASHBOARD!$B$13), M167, 1000000000000)</f>
        <v/>
      </c>
      <c r="Y167" s="101">
        <f>IF(AND(F167&lt;=DASHBOARD!$B$10, H167&gt;=DASHBOARD!$B$11), L167, 1000000000000)</f>
        <v/>
      </c>
      <c r="Z167" s="101">
        <f>IF(AND(F167&lt;=DASHBOARD!$B$10, H167&gt;=DASHBOARD!$B$11), O167, 1000000000000)</f>
        <v/>
      </c>
      <c r="AA167" s="101">
        <f>IF(AND(F167&lt;=DASHBOARD!$B$10, H167&gt;=DASHBOARD!$B$11), P167, 1000000000000)</f>
        <v/>
      </c>
      <c r="AB167" s="101">
        <f>IF(AND(F167&lt;=DASHBOARD!$B$10, H167&gt;=DASHBOARD!$B$11), Q167, -1000000000000)</f>
        <v/>
      </c>
    </row>
    <row r="168" ht="12.75" customHeight="1" s="102">
      <c r="A168" s="166" t="n">
        <v>164</v>
      </c>
      <c r="B168" s="167" t="n">
        <v>0.3</v>
      </c>
      <c r="C168" s="167" t="n">
        <v>1.8</v>
      </c>
      <c r="D168" s="110" t="inlineStr">
        <is>
          <t>Var (%20)</t>
        </is>
      </c>
      <c r="E168" s="110">
        <f>IF((B168+C168)&lt;=1, "Tam Mahsuplaşma (≤%100)", "Kısmi Satış (&gt;%100)")</f>
        <v/>
      </c>
      <c r="F168" s="168">
        <f>((VERI_TABANI!$D$29*B168/VERI_TABANI!$B$29)/VERI_TABANI!$B$3)*VERI_TABANI!$B$5 + ((VERI_TABANI!$D$29*C168/VERI_TABANI!$B$29)/VERI_TABANI!$B$4)*VERI_TABANI!$B$6 + IF(ISNUMBER(SEARCH("Var", D168)), (VERI_TABANI!$F$29/VERI_TABANI!$B$29)*(VERI_TABANI!$B$10+VERI_TABANI!$B$12), 0)</f>
        <v/>
      </c>
      <c r="G168" s="168">
        <f>(((MIN(VERI_TABANI!D23, VERI_TABANI!D23*B168)*VERI_TABANI!$B$7 + MAX(0, VERI_TABANI!D23*B168-VERI_TABANI!D23)*VERI_TABANI!$B$8) + (MIN(MAX(0, VERI_TABANI!D23-VERI_TABANI!D23*B168), VERI_TABANI!D23*C168)*VERI_TABANI!$B$7 + MAX(0, VERI_TABANI!D23*C168-MAX(0, VERI_TABANI!D23-VERI_TABANI!D23*B168))*VERI_TABANI!$B$8) + IF(ABS(IF(ISNUMBER(SEARCH("Var", D168)), 1, IF(ISNUMBER(SEARCH("Gri", D168)), -1, 0)))=1, VERI_TABANI!E23*(1-0.928)*VERI_TABANI!$B$9, 0) + (VERI_TABANI!D23*B168*(VERI_TABANI!$B$13-VERI_TABANI!$B$14)*VERI_TABANI!G23) + (VERI_TABANI!D23*C168*(VERI_TABANI!$B$13-VERI_TABANI!$B$15)*VERI_TABANI!G23) + IF(ABS(IF(ISNUMBER(SEARCH("Var", D168)), 1, IF(ISNUMBER(SEARCH("Gri", D168)), -1, 0)))=1, VERI_TABANI!E23*(1-0.928)*0.00206091519919798*VERI_TABANI!G23, 0)) + ((MIN(VERI_TABANI!D24, VERI_TABANI!D24*B168)*VERI_TABANI!$B$7 + MAX(0, VERI_TABANI!D24*B168-VERI_TABANI!D24)*VERI_TABANI!$B$8) + (MIN(MAX(0, VERI_TABANI!D24-VERI_TABANI!D24*B168), VERI_TABANI!D24*C168)*VERI_TABANI!$B$7 + MAX(0, VERI_TABANI!D24*C168-MAX(0, VERI_TABANI!D24-VERI_TABANI!D24*B168))*VERI_TABANI!$B$8) + IF(ABS(IF(ISNUMBER(SEARCH("Var", D168)), 1, IF(ISNUMBER(SEARCH("Gri", D168)), -1, 0)))=1, VERI_TABANI!E24*(1-0.928)*VERI_TABANI!$B$9, 0) + (VERI_TABANI!D24*B168*(VERI_TABANI!$B$13-VERI_TABANI!$B$14)*VERI_TABANI!G24) + (VERI_TABANI!D24*C168*(VERI_TABANI!$B$13-VERI_TABANI!$B$15)*VERI_TABANI!G24) + IF(ABS(IF(ISNUMBER(SEARCH("Var", D168)), 1, IF(ISNUMBER(SEARCH("Gri", D168)), -1, 0)))=1, VERI_TABANI!E24*(1-0.928)*0.00206091519919798*VERI_TABANI!G24, 0)) + ((MIN(VERI_TABANI!D25, VERI_TABANI!D25*B168)*VERI_TABANI!$B$7 + MAX(0, VERI_TABANI!D25*B168-VERI_TABANI!D25)*VERI_TABANI!$B$8) + (MIN(MAX(0, VERI_TABANI!D25-VERI_TABANI!D25*B168), VERI_TABANI!D25*C168)*VERI_TABANI!$B$7 + MAX(0, VERI_TABANI!D25*C168-MAX(0, VERI_TABANI!D25-VERI_TABANI!D25*B168))*VERI_TABANI!$B$8) + IF(ABS(IF(ISNUMBER(SEARCH("Var", D168)), 1, IF(ISNUMBER(SEARCH("Gri", D168)), -1, 0)))=1, VERI_TABANI!E25*(1-0.928)*VERI_TABANI!$B$9, 0) + (VERI_TABANI!D25*B168*(VERI_TABANI!$B$13-VERI_TABANI!$B$14)*VERI_TABANI!G25) + (VERI_TABANI!D25*C168*(VERI_TABANI!$B$13-VERI_TABANI!$B$15)*VERI_TABANI!G25) + IF(ABS(IF(ISNUMBER(SEARCH("Var", D168)), 1, IF(ISNUMBER(SEARCH("Gri", D168)), -1, 0)))=1, VERI_TABANI!E25*(1-0.928)*0.00206091519919798*VERI_TABANI!G25, 0)) + ((MIN(VERI_TABANI!D26, VERI_TABANI!D26*B168)*VERI_TABANI!$B$7 + MAX(0, VERI_TABANI!D26*B168-VERI_TABANI!D26)*VERI_TABANI!$B$8) + (MIN(MAX(0, VERI_TABANI!D26-VERI_TABANI!D26*B168), VERI_TABANI!D26*C168)*VERI_TABANI!$B$7 + MAX(0, VERI_TABANI!D26*C168-MAX(0, VERI_TABANI!D26-VERI_TABANI!D26*B168))*VERI_TABANI!$B$8) + IF(ABS(IF(ISNUMBER(SEARCH("Var", D168)), 1, IF(ISNUMBER(SEARCH("Gri", D168)), -1, 0)))=1, VERI_TABANI!E26*(1-0.928)*VERI_TABANI!$B$9, 0) + (VERI_TABANI!D26*B168*(VERI_TABANI!$B$13-VERI_TABANI!$B$14)*VERI_TABANI!G26) + (VERI_TABANI!D26*C168*(VERI_TABANI!$B$13-VERI_TABANI!$B$15)*VERI_TABANI!G26) + IF(ABS(IF(ISNUMBER(SEARCH("Var", D168)), 1, IF(ISNUMBER(SEARCH("Gri", D168)), -1, 0)))=1, VERI_TABANI!E26*(1-0.928)*0.00206091519919798*VERI_TABANI!G26, 0)) + ((MIN(VERI_TABANI!D27, VERI_TABANI!D27*B168)*VERI_TABANI!$B$7 + MAX(0, VERI_TABANI!D27*B168-VERI_TABANI!D27)*VERI_TABANI!$B$8) + (MIN(MAX(0, VERI_TABANI!D27-VERI_TABANI!D27*B168), VERI_TABANI!D27*C168)*VERI_TABANI!$B$7 + MAX(0, VERI_TABANI!D27*C168-MAX(0, VERI_TABANI!D27-VERI_TABANI!D27*B168))*VERI_TABANI!$B$8) + IF(ABS(IF(ISNUMBER(SEARCH("Var", D168)), 1, IF(ISNUMBER(SEARCH("Gri", D168)), -1, 0)))=1, VERI_TABANI!E27*(1-0.928)*VERI_TABANI!$B$9, 0) + (VERI_TABANI!D27*B168*(VERI_TABANI!$B$13-VERI_TABANI!$B$14)*VERI_TABANI!G27) + (VERI_TABANI!D27*C168*(VERI_TABANI!$B$13-VERI_TABANI!$B$15)*VERI_TABANI!G27) + IF(ABS(IF(ISNUMBER(SEARCH("Var", D168)), 1, IF(ISNUMBER(SEARCH("Gri", D168)), -1, 0)))=1, VERI_TABANI!E27*(1-0.928)*0.00206091519919798*VERI_TABANI!G27, 0)) + ((MIN(VERI_TABANI!D28, VERI_TABANI!D28*B168)*VERI_TABANI!$B$7 + MAX(0, VERI_TABANI!D28*B168-VERI_TABANI!D28)*VERI_TABANI!$B$8) + (MIN(MAX(0, VERI_TABANI!D28-VERI_TABANI!D28*B168), VERI_TABANI!D28*C168)*VERI_TABANI!$B$7 + MAX(0, VERI_TABANI!D28*C168-MAX(0, VERI_TABANI!D28-VERI_TABANI!D28*B168))*VERI_TABANI!$B$8) + IF(ABS(IF(ISNUMBER(SEARCH("Var", D168)), 1, IF(ISNUMBER(SEARCH("Gri", D168)), -1, 0)))=1, VERI_TABANI!E28*(1-0.928)*VERI_TABANI!$B$9, 0) + (VERI_TABANI!D28*B168*(VERI_TABANI!$B$13-VERI_TABANI!$B$14)*VERI_TABANI!G28) + (VERI_TABANI!D28*C168*(VERI_TABANI!$B$13-VERI_TABANI!$B$15)*VERI_TABANI!G28) + IF(ABS(IF(ISNUMBER(SEARCH("Var", D168)), 1, IF(ISNUMBER(SEARCH("Gri", D168)), -1, 0)))=1, VERI_TABANI!E28*(1-0.928)*0.00206091519919798*VERI_TABANI!G28, 0)))</f>
        <v/>
      </c>
      <c r="H168" s="169">
        <f>(((VERI_TABANI!D23*B168*(VERI_TABANI!$B$13-VERI_TABANI!$B$14)) + (VERI_TABANI!D23*C168*(VERI_TABANI!$B$13-VERI_TABANI!$B$15)) + IF(ISNUMBER(SEARCH("Var", D168)), VERI_TABANI!F23*(0.00202-VERI_TABANI!$B$16), IF(ISNUMBER(SEARCH("Gri", D168)), VERI_TABANI!F23*(0.00202-VERI_TABANI!$B$17), 0))) + ((VERI_TABANI!D24*B168*(VERI_TABANI!$B$13-VERI_TABANI!$B$14)) + (VERI_TABANI!D24*C168*(VERI_TABANI!$B$13-VERI_TABANI!$B$15)) + IF(ISNUMBER(SEARCH("Var", D168)), VERI_TABANI!F24*(0.00202-VERI_TABANI!$B$16), IF(ISNUMBER(SEARCH("Gri", D168)), VERI_TABANI!F24*(0.00202-VERI_TABANI!$B$17), 0))) + ((VERI_TABANI!D25*B168*(VERI_TABANI!$B$13-VERI_TABANI!$B$14)) + (VERI_TABANI!D25*C168*(VERI_TABANI!$B$13-VERI_TABANI!$B$15)) + IF(ISNUMBER(SEARCH("Var", D168)), VERI_TABANI!F25*(0.00202-VERI_TABANI!$B$16), IF(ISNUMBER(SEARCH("Gri", D168)), VERI_TABANI!F25*(0.00202-VERI_TABANI!$B$17), 0))) + ((VERI_TABANI!D26*B168*(VERI_TABANI!$B$13-VERI_TABANI!$B$14)) + (VERI_TABANI!D26*C168*(VERI_TABANI!$B$13-VERI_TABANI!$B$15)) + IF(ISNUMBER(SEARCH("Var", D168)), VERI_TABANI!F26*(0.00202-VERI_TABANI!$B$16), IF(ISNUMBER(SEARCH("Gri", D168)), VERI_TABANI!F26*(0.00202-VERI_TABANI!$B$17), 0))) + ((VERI_TABANI!D27*B168*(VERI_TABANI!$B$13-VERI_TABANI!$B$14)) + (VERI_TABANI!D27*C168*(VERI_TABANI!$B$13-VERI_TABANI!$B$15)) + IF(ISNUMBER(SEARCH("Var", D168)), VERI_TABANI!F27*(0.00202-VERI_TABANI!$B$16), IF(ISNUMBER(SEARCH("Gri", D168)), VERI_TABANI!F27*(0.00202-VERI_TABANI!$B$17), 0))) + ((VERI_TABANI!D28*B168*(VERI_TABANI!$B$13-VERI_TABANI!$B$14)) + (VERI_TABANI!D28*C168*(VERI_TABANI!$B$13-VERI_TABANI!$B$15)) + IF(ISNUMBER(SEARCH("Var", D168)), VERI_TABANI!F28*(0.00202-VERI_TABANI!$B$16), IF(ISNUMBER(SEARCH("Gri", D168)), VERI_TABANI!F28*(0.00202-VERI_TABANI!$B$17), 0))))</f>
        <v/>
      </c>
      <c r="I168" s="170">
        <f>IFERROR(((VERI_TABANI!$D$29*B168*VERI_TABANI!$B$14 + VERI_TABANI!$D$29*C168*VERI_TABANI!$B$15 + IF(ISNUMBER(SEARCH("Var", D168)), VERI_TABANI!$F$29*VERI_TABANI!$B$16, 0))) / (((VERI_TABANI!$D$29*B168 + VERI_TABANI!$D$29*C168)*VERI_TABANI!$B$13 + IF(ISNUMBER(SEARCH("Var", D168)), VERI_TABANI!$E$29*(1-0.928)*VERI_TABANI!$B$18, 0))), 0)</f>
        <v/>
      </c>
      <c r="J168" s="171">
        <f>IFERROR(F168/(G168/29), 0)</f>
        <v/>
      </c>
      <c r="K168" s="172">
        <f>IF(F168&gt;0, H168/F168, 0)</f>
        <v/>
      </c>
      <c r="L168" s="170">
        <f>IF(F168&gt;0, I168, 1000000000)</f>
        <v/>
      </c>
      <c r="M168" s="171">
        <f>ABS((B168+C168)-1)</f>
        <v/>
      </c>
      <c r="N168" s="170">
        <f>IF(F168&gt;0, (G168/29)/F168, 0)</f>
        <v/>
      </c>
      <c r="O168" s="168">
        <f>IF(AND((B168+C168)&gt;=1, ISNUMBER(SEARCH("Var", D168))), F168, 1000000000)</f>
        <v/>
      </c>
      <c r="P168" s="172">
        <f>IF(F168&gt;0, SQRT((F168/MAX(F$5:F$886))^2 + (1 - H168/MAX(H$5:H$886))^2 + (J168/MAX(J$5:J$886))^2), 1000000000)</f>
        <v/>
      </c>
      <c r="Q168" s="166">
        <f>IF(AND(ABS(B168-0.5)&lt;0.01, ABS(C168-0.5)&lt;0.01, ISNUMBER(SEARCH("Var", D168))), 1, 0)</f>
        <v/>
      </c>
      <c r="R168" s="171">
        <f>IF(F168&gt;0, J168, 1000000000)</f>
        <v/>
      </c>
      <c r="S168" s="101">
        <f>IF(AND(F168&lt;=DASHBOARD!$B$11, H168&gt;=DASHBOARD!$B$13), G168, -1000000000000)</f>
        <v/>
      </c>
      <c r="T168" s="101">
        <f>IF(AND(F168&lt;=DASHBOARD!$B$11, H168&gt;=DASHBOARD!$B$13), R168, 1000000000000)</f>
        <v/>
      </c>
      <c r="U168" s="101">
        <f>IF(AND(F168&lt;=DASHBOARD!$B$11, H168&gt;=DASHBOARD!$B$13), N168, -1000000000000)</f>
        <v/>
      </c>
      <c r="V168" s="101">
        <f>IF(AND(F168&lt;=DASHBOARD!$B$11, H168&gt;=DASHBOARD!$B$13), H168, -1000000000000)</f>
        <v/>
      </c>
      <c r="W168" s="101">
        <f>IF(AND(F168&lt;=DASHBOARD!$B$11, H168&gt;=DASHBOARD!$B$13), K168, -1000000000000)</f>
        <v/>
      </c>
      <c r="X168" s="101">
        <f>IF(AND(F168&lt;=DASHBOARD!$B$11, H168&gt;=DASHBOARD!$B$13), M168, 1000000000000)</f>
        <v/>
      </c>
      <c r="Y168" s="101">
        <f>IF(AND(F168&lt;=DASHBOARD!$B$10, H168&gt;=DASHBOARD!$B$11), L168, 1000000000000)</f>
        <v/>
      </c>
      <c r="Z168" s="101">
        <f>IF(AND(F168&lt;=DASHBOARD!$B$10, H168&gt;=DASHBOARD!$B$11), O168, 1000000000000)</f>
        <v/>
      </c>
      <c r="AA168" s="101">
        <f>IF(AND(F168&lt;=DASHBOARD!$B$10, H168&gt;=DASHBOARD!$B$11), P168, 1000000000000)</f>
        <v/>
      </c>
      <c r="AB168" s="101">
        <f>IF(AND(F168&lt;=DASHBOARD!$B$10, H168&gt;=DASHBOARD!$B$11), Q168, -1000000000000)</f>
        <v/>
      </c>
    </row>
    <row r="169" ht="12.75" customHeight="1" s="102">
      <c r="A169" s="166" t="n">
        <v>165</v>
      </c>
      <c r="B169" s="167" t="n">
        <v>0.3</v>
      </c>
      <c r="C169" s="167" t="n">
        <v>1.9</v>
      </c>
      <c r="D169" s="110" t="inlineStr">
        <is>
          <t>Yok (%0)</t>
        </is>
      </c>
      <c r="E169" s="110">
        <f>IF((B169+C169)&lt;=1, "Tam Mahsuplaşma (≤%100)", "Kısmi Satış (&gt;%100)")</f>
        <v/>
      </c>
      <c r="F169" s="168">
        <f>((VERI_TABANI!$D$29*B169/VERI_TABANI!$B$29)/VERI_TABANI!$B$3)*VERI_TABANI!$B$5 + ((VERI_TABANI!$D$29*C169/VERI_TABANI!$B$29)/VERI_TABANI!$B$4)*VERI_TABANI!$B$6 + IF(ISNUMBER(SEARCH("Var", D169)), (VERI_TABANI!$F$29/VERI_TABANI!$B$29)*(VERI_TABANI!$B$10+VERI_TABANI!$B$12), 0)</f>
        <v/>
      </c>
      <c r="G169" s="168">
        <f>(((MIN(VERI_TABANI!D23, VERI_TABANI!D23*B169)*VERI_TABANI!$B$7 + MAX(0, VERI_TABANI!D23*B169-VERI_TABANI!D23)*VERI_TABANI!$B$8) + (MIN(MAX(0, VERI_TABANI!D23-VERI_TABANI!D23*B169), VERI_TABANI!D23*C169)*VERI_TABANI!$B$7 + MAX(0, VERI_TABANI!D23*C169-MAX(0, VERI_TABANI!D23-VERI_TABANI!D23*B169))*VERI_TABANI!$B$8) + IF(ABS(IF(ISNUMBER(SEARCH("Var", D169)), 1, IF(ISNUMBER(SEARCH("Gri", D169)), -1, 0)))=1, VERI_TABANI!E23*(1-0.928)*VERI_TABANI!$B$9, 0) + (VERI_TABANI!D23*B169*(VERI_TABANI!$B$13-VERI_TABANI!$B$14)*VERI_TABANI!G23) + (VERI_TABANI!D23*C169*(VERI_TABANI!$B$13-VERI_TABANI!$B$15)*VERI_TABANI!G23) + IF(ABS(IF(ISNUMBER(SEARCH("Var", D169)), 1, IF(ISNUMBER(SEARCH("Gri", D169)), -1, 0)))=1, VERI_TABANI!E23*(1-0.928)*0.00206091519919798*VERI_TABANI!G23, 0)) + ((MIN(VERI_TABANI!D24, VERI_TABANI!D24*B169)*VERI_TABANI!$B$7 + MAX(0, VERI_TABANI!D24*B169-VERI_TABANI!D24)*VERI_TABANI!$B$8) + (MIN(MAX(0, VERI_TABANI!D24-VERI_TABANI!D24*B169), VERI_TABANI!D24*C169)*VERI_TABANI!$B$7 + MAX(0, VERI_TABANI!D24*C169-MAX(0, VERI_TABANI!D24-VERI_TABANI!D24*B169))*VERI_TABANI!$B$8) + IF(ABS(IF(ISNUMBER(SEARCH("Var", D169)), 1, IF(ISNUMBER(SEARCH("Gri", D169)), -1, 0)))=1, VERI_TABANI!E24*(1-0.928)*VERI_TABANI!$B$9, 0) + (VERI_TABANI!D24*B169*(VERI_TABANI!$B$13-VERI_TABANI!$B$14)*VERI_TABANI!G24) + (VERI_TABANI!D24*C169*(VERI_TABANI!$B$13-VERI_TABANI!$B$15)*VERI_TABANI!G24) + IF(ABS(IF(ISNUMBER(SEARCH("Var", D169)), 1, IF(ISNUMBER(SEARCH("Gri", D169)), -1, 0)))=1, VERI_TABANI!E24*(1-0.928)*0.00206091519919798*VERI_TABANI!G24, 0)) + ((MIN(VERI_TABANI!D25, VERI_TABANI!D25*B169)*VERI_TABANI!$B$7 + MAX(0, VERI_TABANI!D25*B169-VERI_TABANI!D25)*VERI_TABANI!$B$8) + (MIN(MAX(0, VERI_TABANI!D25-VERI_TABANI!D25*B169), VERI_TABANI!D25*C169)*VERI_TABANI!$B$7 + MAX(0, VERI_TABANI!D25*C169-MAX(0, VERI_TABANI!D25-VERI_TABANI!D25*B169))*VERI_TABANI!$B$8) + IF(ABS(IF(ISNUMBER(SEARCH("Var", D169)), 1, IF(ISNUMBER(SEARCH("Gri", D169)), -1, 0)))=1, VERI_TABANI!E25*(1-0.928)*VERI_TABANI!$B$9, 0) + (VERI_TABANI!D25*B169*(VERI_TABANI!$B$13-VERI_TABANI!$B$14)*VERI_TABANI!G25) + (VERI_TABANI!D25*C169*(VERI_TABANI!$B$13-VERI_TABANI!$B$15)*VERI_TABANI!G25) + IF(ABS(IF(ISNUMBER(SEARCH("Var", D169)), 1, IF(ISNUMBER(SEARCH("Gri", D169)), -1, 0)))=1, VERI_TABANI!E25*(1-0.928)*0.00206091519919798*VERI_TABANI!G25, 0)) + ((MIN(VERI_TABANI!D26, VERI_TABANI!D26*B169)*VERI_TABANI!$B$7 + MAX(0, VERI_TABANI!D26*B169-VERI_TABANI!D26)*VERI_TABANI!$B$8) + (MIN(MAX(0, VERI_TABANI!D26-VERI_TABANI!D26*B169), VERI_TABANI!D26*C169)*VERI_TABANI!$B$7 + MAX(0, VERI_TABANI!D26*C169-MAX(0, VERI_TABANI!D26-VERI_TABANI!D26*B169))*VERI_TABANI!$B$8) + IF(ABS(IF(ISNUMBER(SEARCH("Var", D169)), 1, IF(ISNUMBER(SEARCH("Gri", D169)), -1, 0)))=1, VERI_TABANI!E26*(1-0.928)*VERI_TABANI!$B$9, 0) + (VERI_TABANI!D26*B169*(VERI_TABANI!$B$13-VERI_TABANI!$B$14)*VERI_TABANI!G26) + (VERI_TABANI!D26*C169*(VERI_TABANI!$B$13-VERI_TABANI!$B$15)*VERI_TABANI!G26) + IF(ABS(IF(ISNUMBER(SEARCH("Var", D169)), 1, IF(ISNUMBER(SEARCH("Gri", D169)), -1, 0)))=1, VERI_TABANI!E26*(1-0.928)*0.00206091519919798*VERI_TABANI!G26, 0)) + ((MIN(VERI_TABANI!D27, VERI_TABANI!D27*B169)*VERI_TABANI!$B$7 + MAX(0, VERI_TABANI!D27*B169-VERI_TABANI!D27)*VERI_TABANI!$B$8) + (MIN(MAX(0, VERI_TABANI!D27-VERI_TABANI!D27*B169), VERI_TABANI!D27*C169)*VERI_TABANI!$B$7 + MAX(0, VERI_TABANI!D27*C169-MAX(0, VERI_TABANI!D27-VERI_TABANI!D27*B169))*VERI_TABANI!$B$8) + IF(ABS(IF(ISNUMBER(SEARCH("Var", D169)), 1, IF(ISNUMBER(SEARCH("Gri", D169)), -1, 0)))=1, VERI_TABANI!E27*(1-0.928)*VERI_TABANI!$B$9, 0) + (VERI_TABANI!D27*B169*(VERI_TABANI!$B$13-VERI_TABANI!$B$14)*VERI_TABANI!G27) + (VERI_TABANI!D27*C169*(VERI_TABANI!$B$13-VERI_TABANI!$B$15)*VERI_TABANI!G27) + IF(ABS(IF(ISNUMBER(SEARCH("Var", D169)), 1, IF(ISNUMBER(SEARCH("Gri", D169)), -1, 0)))=1, VERI_TABANI!E27*(1-0.928)*0.00206091519919798*VERI_TABANI!G27, 0)) + ((MIN(VERI_TABANI!D28, VERI_TABANI!D28*B169)*VERI_TABANI!$B$7 + MAX(0, VERI_TABANI!D28*B169-VERI_TABANI!D28)*VERI_TABANI!$B$8) + (MIN(MAX(0, VERI_TABANI!D28-VERI_TABANI!D28*B169), VERI_TABANI!D28*C169)*VERI_TABANI!$B$7 + MAX(0, VERI_TABANI!D28*C169-MAX(0, VERI_TABANI!D28-VERI_TABANI!D28*B169))*VERI_TABANI!$B$8) + IF(ABS(IF(ISNUMBER(SEARCH("Var", D169)), 1, IF(ISNUMBER(SEARCH("Gri", D169)), -1, 0)))=1, VERI_TABANI!E28*(1-0.928)*VERI_TABANI!$B$9, 0) + (VERI_TABANI!D28*B169*(VERI_TABANI!$B$13-VERI_TABANI!$B$14)*VERI_TABANI!G28) + (VERI_TABANI!D28*C169*(VERI_TABANI!$B$13-VERI_TABANI!$B$15)*VERI_TABANI!G28) + IF(ABS(IF(ISNUMBER(SEARCH("Var", D169)), 1, IF(ISNUMBER(SEARCH("Gri", D169)), -1, 0)))=1, VERI_TABANI!E28*(1-0.928)*0.00206091519919798*VERI_TABANI!G28, 0)))</f>
        <v/>
      </c>
      <c r="H169" s="169">
        <f>(((VERI_TABANI!D23*B169*(VERI_TABANI!$B$13-VERI_TABANI!$B$14)) + (VERI_TABANI!D23*C169*(VERI_TABANI!$B$13-VERI_TABANI!$B$15)) + IF(ISNUMBER(SEARCH("Var", D169)), VERI_TABANI!F23*(0.00202-VERI_TABANI!$B$16), IF(ISNUMBER(SEARCH("Gri", D169)), VERI_TABANI!F23*(0.00202-VERI_TABANI!$B$17), 0))) + ((VERI_TABANI!D24*B169*(VERI_TABANI!$B$13-VERI_TABANI!$B$14)) + (VERI_TABANI!D24*C169*(VERI_TABANI!$B$13-VERI_TABANI!$B$15)) + IF(ISNUMBER(SEARCH("Var", D169)), VERI_TABANI!F24*(0.00202-VERI_TABANI!$B$16), IF(ISNUMBER(SEARCH("Gri", D169)), VERI_TABANI!F24*(0.00202-VERI_TABANI!$B$17), 0))) + ((VERI_TABANI!D25*B169*(VERI_TABANI!$B$13-VERI_TABANI!$B$14)) + (VERI_TABANI!D25*C169*(VERI_TABANI!$B$13-VERI_TABANI!$B$15)) + IF(ISNUMBER(SEARCH("Var", D169)), VERI_TABANI!F25*(0.00202-VERI_TABANI!$B$16), IF(ISNUMBER(SEARCH("Gri", D169)), VERI_TABANI!F25*(0.00202-VERI_TABANI!$B$17), 0))) + ((VERI_TABANI!D26*B169*(VERI_TABANI!$B$13-VERI_TABANI!$B$14)) + (VERI_TABANI!D26*C169*(VERI_TABANI!$B$13-VERI_TABANI!$B$15)) + IF(ISNUMBER(SEARCH("Var", D169)), VERI_TABANI!F26*(0.00202-VERI_TABANI!$B$16), IF(ISNUMBER(SEARCH("Gri", D169)), VERI_TABANI!F26*(0.00202-VERI_TABANI!$B$17), 0))) + ((VERI_TABANI!D27*B169*(VERI_TABANI!$B$13-VERI_TABANI!$B$14)) + (VERI_TABANI!D27*C169*(VERI_TABANI!$B$13-VERI_TABANI!$B$15)) + IF(ISNUMBER(SEARCH("Var", D169)), VERI_TABANI!F27*(0.00202-VERI_TABANI!$B$16), IF(ISNUMBER(SEARCH("Gri", D169)), VERI_TABANI!F27*(0.00202-VERI_TABANI!$B$17), 0))) + ((VERI_TABANI!D28*B169*(VERI_TABANI!$B$13-VERI_TABANI!$B$14)) + (VERI_TABANI!D28*C169*(VERI_TABANI!$B$13-VERI_TABANI!$B$15)) + IF(ISNUMBER(SEARCH("Var", D169)), VERI_TABANI!F28*(0.00202-VERI_TABANI!$B$16), IF(ISNUMBER(SEARCH("Gri", D169)), VERI_TABANI!F28*(0.00202-VERI_TABANI!$B$17), 0))))</f>
        <v/>
      </c>
      <c r="I169" s="170">
        <f>IFERROR(((VERI_TABANI!$D$29*B169*VERI_TABANI!$B$14 + VERI_TABANI!$D$29*C169*VERI_TABANI!$B$15 + IF(ISNUMBER(SEARCH("Var", D169)), VERI_TABANI!$F$29*VERI_TABANI!$B$16, 0))) / (((VERI_TABANI!$D$29*B169 + VERI_TABANI!$D$29*C169)*VERI_TABANI!$B$13 + IF(ISNUMBER(SEARCH("Var", D169)), VERI_TABANI!$E$29*(1-0.928)*VERI_TABANI!$B$18, 0))), 0)</f>
        <v/>
      </c>
      <c r="J169" s="171">
        <f>IFERROR(F169/(G169/29), 0)</f>
        <v/>
      </c>
      <c r="K169" s="172">
        <f>IF(F169&gt;0, H169/F169, 0)</f>
        <v/>
      </c>
      <c r="L169" s="170">
        <f>IF(F169&gt;0, I169, 1000000000)</f>
        <v/>
      </c>
      <c r="M169" s="171">
        <f>ABS((B169+C169)-1)</f>
        <v/>
      </c>
      <c r="N169" s="170">
        <f>IF(F169&gt;0, (G169/29)/F169, 0)</f>
        <v/>
      </c>
      <c r="O169" s="168">
        <f>IF(AND((B169+C169)&gt;=1, ISNUMBER(SEARCH("Var", D169))), F169, 1000000000)</f>
        <v/>
      </c>
      <c r="P169" s="172">
        <f>IF(F169&gt;0, SQRT((F169/MAX(F$5:F$886))^2 + (1 - H169/MAX(H$5:H$886))^2 + (J169/MAX(J$5:J$886))^2), 1000000000)</f>
        <v/>
      </c>
      <c r="Q169" s="166">
        <f>IF(AND(ABS(B169-0.5)&lt;0.01, ABS(C169-0.5)&lt;0.01, ISNUMBER(SEARCH("Var", D169))), 1, 0)</f>
        <v/>
      </c>
      <c r="R169" s="171">
        <f>IF(F169&gt;0, J169, 1000000000)</f>
        <v/>
      </c>
      <c r="S169" s="101">
        <f>IF(AND(F169&lt;=DASHBOARD!$B$11, H169&gt;=DASHBOARD!$B$13), G169, -1000000000000)</f>
        <v/>
      </c>
      <c r="T169" s="101">
        <f>IF(AND(F169&lt;=DASHBOARD!$B$11, H169&gt;=DASHBOARD!$B$13), R169, 1000000000000)</f>
        <v/>
      </c>
      <c r="U169" s="101">
        <f>IF(AND(F169&lt;=DASHBOARD!$B$11, H169&gt;=DASHBOARD!$B$13), N169, -1000000000000)</f>
        <v/>
      </c>
      <c r="V169" s="101">
        <f>IF(AND(F169&lt;=DASHBOARD!$B$11, H169&gt;=DASHBOARD!$B$13), H169, -1000000000000)</f>
        <v/>
      </c>
      <c r="W169" s="101">
        <f>IF(AND(F169&lt;=DASHBOARD!$B$11, H169&gt;=DASHBOARD!$B$13), K169, -1000000000000)</f>
        <v/>
      </c>
      <c r="X169" s="101">
        <f>IF(AND(F169&lt;=DASHBOARD!$B$11, H169&gt;=DASHBOARD!$B$13), M169, 1000000000000)</f>
        <v/>
      </c>
      <c r="Y169" s="101">
        <f>IF(AND(F169&lt;=DASHBOARD!$B$10, H169&gt;=DASHBOARD!$B$11), L169, 1000000000000)</f>
        <v/>
      </c>
      <c r="Z169" s="101">
        <f>IF(AND(F169&lt;=DASHBOARD!$B$10, H169&gt;=DASHBOARD!$B$11), O169, 1000000000000)</f>
        <v/>
      </c>
      <c r="AA169" s="101">
        <f>IF(AND(F169&lt;=DASHBOARD!$B$10, H169&gt;=DASHBOARD!$B$11), P169, 1000000000000)</f>
        <v/>
      </c>
      <c r="AB169" s="101">
        <f>IF(AND(F169&lt;=DASHBOARD!$B$10, H169&gt;=DASHBOARD!$B$11), Q169, -1000000000000)</f>
        <v/>
      </c>
    </row>
    <row r="170" ht="12.75" customHeight="1" s="102">
      <c r="A170" s="166" t="n">
        <v>166</v>
      </c>
      <c r="B170" s="167" t="n">
        <v>0.3</v>
      </c>
      <c r="C170" s="167" t="n">
        <v>1.9</v>
      </c>
      <c r="D170" s="110" t="inlineStr">
        <is>
          <t>Var (%20)</t>
        </is>
      </c>
      <c r="E170" s="110">
        <f>IF((B170+C170)&lt;=1, "Tam Mahsuplaşma (≤%100)", "Kısmi Satış (&gt;%100)")</f>
        <v/>
      </c>
      <c r="F170" s="168">
        <f>((VERI_TABANI!$D$29*B170/VERI_TABANI!$B$29)/VERI_TABANI!$B$3)*VERI_TABANI!$B$5 + ((VERI_TABANI!$D$29*C170/VERI_TABANI!$B$29)/VERI_TABANI!$B$4)*VERI_TABANI!$B$6 + IF(ISNUMBER(SEARCH("Var", D170)), (VERI_TABANI!$F$29/VERI_TABANI!$B$29)*(VERI_TABANI!$B$10+VERI_TABANI!$B$12), 0)</f>
        <v/>
      </c>
      <c r="G170" s="168">
        <f>(((MIN(VERI_TABANI!D23, VERI_TABANI!D23*B170)*VERI_TABANI!$B$7 + MAX(0, VERI_TABANI!D23*B170-VERI_TABANI!D23)*VERI_TABANI!$B$8) + (MIN(MAX(0, VERI_TABANI!D23-VERI_TABANI!D23*B170), VERI_TABANI!D23*C170)*VERI_TABANI!$B$7 + MAX(0, VERI_TABANI!D23*C170-MAX(0, VERI_TABANI!D23-VERI_TABANI!D23*B170))*VERI_TABANI!$B$8) + IF(ABS(IF(ISNUMBER(SEARCH("Var", D170)), 1, IF(ISNUMBER(SEARCH("Gri", D170)), -1, 0)))=1, VERI_TABANI!E23*(1-0.928)*VERI_TABANI!$B$9, 0) + (VERI_TABANI!D23*B170*(VERI_TABANI!$B$13-VERI_TABANI!$B$14)*VERI_TABANI!G23) + (VERI_TABANI!D23*C170*(VERI_TABANI!$B$13-VERI_TABANI!$B$15)*VERI_TABANI!G23) + IF(ABS(IF(ISNUMBER(SEARCH("Var", D170)), 1, IF(ISNUMBER(SEARCH("Gri", D170)), -1, 0)))=1, VERI_TABANI!E23*(1-0.928)*0.00206091519919798*VERI_TABANI!G23, 0)) + ((MIN(VERI_TABANI!D24, VERI_TABANI!D24*B170)*VERI_TABANI!$B$7 + MAX(0, VERI_TABANI!D24*B170-VERI_TABANI!D24)*VERI_TABANI!$B$8) + (MIN(MAX(0, VERI_TABANI!D24-VERI_TABANI!D24*B170), VERI_TABANI!D24*C170)*VERI_TABANI!$B$7 + MAX(0, VERI_TABANI!D24*C170-MAX(0, VERI_TABANI!D24-VERI_TABANI!D24*B170))*VERI_TABANI!$B$8) + IF(ABS(IF(ISNUMBER(SEARCH("Var", D170)), 1, IF(ISNUMBER(SEARCH("Gri", D170)), -1, 0)))=1, VERI_TABANI!E24*(1-0.928)*VERI_TABANI!$B$9, 0) + (VERI_TABANI!D24*B170*(VERI_TABANI!$B$13-VERI_TABANI!$B$14)*VERI_TABANI!G24) + (VERI_TABANI!D24*C170*(VERI_TABANI!$B$13-VERI_TABANI!$B$15)*VERI_TABANI!G24) + IF(ABS(IF(ISNUMBER(SEARCH("Var", D170)), 1, IF(ISNUMBER(SEARCH("Gri", D170)), -1, 0)))=1, VERI_TABANI!E24*(1-0.928)*0.00206091519919798*VERI_TABANI!G24, 0)) + ((MIN(VERI_TABANI!D25, VERI_TABANI!D25*B170)*VERI_TABANI!$B$7 + MAX(0, VERI_TABANI!D25*B170-VERI_TABANI!D25)*VERI_TABANI!$B$8) + (MIN(MAX(0, VERI_TABANI!D25-VERI_TABANI!D25*B170), VERI_TABANI!D25*C170)*VERI_TABANI!$B$7 + MAX(0, VERI_TABANI!D25*C170-MAX(0, VERI_TABANI!D25-VERI_TABANI!D25*B170))*VERI_TABANI!$B$8) + IF(ABS(IF(ISNUMBER(SEARCH("Var", D170)), 1, IF(ISNUMBER(SEARCH("Gri", D170)), -1, 0)))=1, VERI_TABANI!E25*(1-0.928)*VERI_TABANI!$B$9, 0) + (VERI_TABANI!D25*B170*(VERI_TABANI!$B$13-VERI_TABANI!$B$14)*VERI_TABANI!G25) + (VERI_TABANI!D25*C170*(VERI_TABANI!$B$13-VERI_TABANI!$B$15)*VERI_TABANI!G25) + IF(ABS(IF(ISNUMBER(SEARCH("Var", D170)), 1, IF(ISNUMBER(SEARCH("Gri", D170)), -1, 0)))=1, VERI_TABANI!E25*(1-0.928)*0.00206091519919798*VERI_TABANI!G25, 0)) + ((MIN(VERI_TABANI!D26, VERI_TABANI!D26*B170)*VERI_TABANI!$B$7 + MAX(0, VERI_TABANI!D26*B170-VERI_TABANI!D26)*VERI_TABANI!$B$8) + (MIN(MAX(0, VERI_TABANI!D26-VERI_TABANI!D26*B170), VERI_TABANI!D26*C170)*VERI_TABANI!$B$7 + MAX(0, VERI_TABANI!D26*C170-MAX(0, VERI_TABANI!D26-VERI_TABANI!D26*B170))*VERI_TABANI!$B$8) + IF(ABS(IF(ISNUMBER(SEARCH("Var", D170)), 1, IF(ISNUMBER(SEARCH("Gri", D170)), -1, 0)))=1, VERI_TABANI!E26*(1-0.928)*VERI_TABANI!$B$9, 0) + (VERI_TABANI!D26*B170*(VERI_TABANI!$B$13-VERI_TABANI!$B$14)*VERI_TABANI!G26) + (VERI_TABANI!D26*C170*(VERI_TABANI!$B$13-VERI_TABANI!$B$15)*VERI_TABANI!G26) + IF(ABS(IF(ISNUMBER(SEARCH("Var", D170)), 1, IF(ISNUMBER(SEARCH("Gri", D170)), -1, 0)))=1, VERI_TABANI!E26*(1-0.928)*0.00206091519919798*VERI_TABANI!G26, 0)) + ((MIN(VERI_TABANI!D27, VERI_TABANI!D27*B170)*VERI_TABANI!$B$7 + MAX(0, VERI_TABANI!D27*B170-VERI_TABANI!D27)*VERI_TABANI!$B$8) + (MIN(MAX(0, VERI_TABANI!D27-VERI_TABANI!D27*B170), VERI_TABANI!D27*C170)*VERI_TABANI!$B$7 + MAX(0, VERI_TABANI!D27*C170-MAX(0, VERI_TABANI!D27-VERI_TABANI!D27*B170))*VERI_TABANI!$B$8) + IF(ABS(IF(ISNUMBER(SEARCH("Var", D170)), 1, IF(ISNUMBER(SEARCH("Gri", D170)), -1, 0)))=1, VERI_TABANI!E27*(1-0.928)*VERI_TABANI!$B$9, 0) + (VERI_TABANI!D27*B170*(VERI_TABANI!$B$13-VERI_TABANI!$B$14)*VERI_TABANI!G27) + (VERI_TABANI!D27*C170*(VERI_TABANI!$B$13-VERI_TABANI!$B$15)*VERI_TABANI!G27) + IF(ABS(IF(ISNUMBER(SEARCH("Var", D170)), 1, IF(ISNUMBER(SEARCH("Gri", D170)), -1, 0)))=1, VERI_TABANI!E27*(1-0.928)*0.00206091519919798*VERI_TABANI!G27, 0)) + ((MIN(VERI_TABANI!D28, VERI_TABANI!D28*B170)*VERI_TABANI!$B$7 + MAX(0, VERI_TABANI!D28*B170-VERI_TABANI!D28)*VERI_TABANI!$B$8) + (MIN(MAX(0, VERI_TABANI!D28-VERI_TABANI!D28*B170), VERI_TABANI!D28*C170)*VERI_TABANI!$B$7 + MAX(0, VERI_TABANI!D28*C170-MAX(0, VERI_TABANI!D28-VERI_TABANI!D28*B170))*VERI_TABANI!$B$8) + IF(ABS(IF(ISNUMBER(SEARCH("Var", D170)), 1, IF(ISNUMBER(SEARCH("Gri", D170)), -1, 0)))=1, VERI_TABANI!E28*(1-0.928)*VERI_TABANI!$B$9, 0) + (VERI_TABANI!D28*B170*(VERI_TABANI!$B$13-VERI_TABANI!$B$14)*VERI_TABANI!G28) + (VERI_TABANI!D28*C170*(VERI_TABANI!$B$13-VERI_TABANI!$B$15)*VERI_TABANI!G28) + IF(ABS(IF(ISNUMBER(SEARCH("Var", D170)), 1, IF(ISNUMBER(SEARCH("Gri", D170)), -1, 0)))=1, VERI_TABANI!E28*(1-0.928)*0.00206091519919798*VERI_TABANI!G28, 0)))</f>
        <v/>
      </c>
      <c r="H170" s="169">
        <f>(((VERI_TABANI!D23*B170*(VERI_TABANI!$B$13-VERI_TABANI!$B$14)) + (VERI_TABANI!D23*C170*(VERI_TABANI!$B$13-VERI_TABANI!$B$15)) + IF(ISNUMBER(SEARCH("Var", D170)), VERI_TABANI!F23*(0.00202-VERI_TABANI!$B$16), IF(ISNUMBER(SEARCH("Gri", D170)), VERI_TABANI!F23*(0.00202-VERI_TABANI!$B$17), 0))) + ((VERI_TABANI!D24*B170*(VERI_TABANI!$B$13-VERI_TABANI!$B$14)) + (VERI_TABANI!D24*C170*(VERI_TABANI!$B$13-VERI_TABANI!$B$15)) + IF(ISNUMBER(SEARCH("Var", D170)), VERI_TABANI!F24*(0.00202-VERI_TABANI!$B$16), IF(ISNUMBER(SEARCH("Gri", D170)), VERI_TABANI!F24*(0.00202-VERI_TABANI!$B$17), 0))) + ((VERI_TABANI!D25*B170*(VERI_TABANI!$B$13-VERI_TABANI!$B$14)) + (VERI_TABANI!D25*C170*(VERI_TABANI!$B$13-VERI_TABANI!$B$15)) + IF(ISNUMBER(SEARCH("Var", D170)), VERI_TABANI!F25*(0.00202-VERI_TABANI!$B$16), IF(ISNUMBER(SEARCH("Gri", D170)), VERI_TABANI!F25*(0.00202-VERI_TABANI!$B$17), 0))) + ((VERI_TABANI!D26*B170*(VERI_TABANI!$B$13-VERI_TABANI!$B$14)) + (VERI_TABANI!D26*C170*(VERI_TABANI!$B$13-VERI_TABANI!$B$15)) + IF(ISNUMBER(SEARCH("Var", D170)), VERI_TABANI!F26*(0.00202-VERI_TABANI!$B$16), IF(ISNUMBER(SEARCH("Gri", D170)), VERI_TABANI!F26*(0.00202-VERI_TABANI!$B$17), 0))) + ((VERI_TABANI!D27*B170*(VERI_TABANI!$B$13-VERI_TABANI!$B$14)) + (VERI_TABANI!D27*C170*(VERI_TABANI!$B$13-VERI_TABANI!$B$15)) + IF(ISNUMBER(SEARCH("Var", D170)), VERI_TABANI!F27*(0.00202-VERI_TABANI!$B$16), IF(ISNUMBER(SEARCH("Gri", D170)), VERI_TABANI!F27*(0.00202-VERI_TABANI!$B$17), 0))) + ((VERI_TABANI!D28*B170*(VERI_TABANI!$B$13-VERI_TABANI!$B$14)) + (VERI_TABANI!D28*C170*(VERI_TABANI!$B$13-VERI_TABANI!$B$15)) + IF(ISNUMBER(SEARCH("Var", D170)), VERI_TABANI!F28*(0.00202-VERI_TABANI!$B$16), IF(ISNUMBER(SEARCH("Gri", D170)), VERI_TABANI!F28*(0.00202-VERI_TABANI!$B$17), 0))))</f>
        <v/>
      </c>
      <c r="I170" s="170">
        <f>IFERROR(((VERI_TABANI!$D$29*B170*VERI_TABANI!$B$14 + VERI_TABANI!$D$29*C170*VERI_TABANI!$B$15 + IF(ISNUMBER(SEARCH("Var", D170)), VERI_TABANI!$F$29*VERI_TABANI!$B$16, 0))) / (((VERI_TABANI!$D$29*B170 + VERI_TABANI!$D$29*C170)*VERI_TABANI!$B$13 + IF(ISNUMBER(SEARCH("Var", D170)), VERI_TABANI!$E$29*(1-0.928)*VERI_TABANI!$B$18, 0))), 0)</f>
        <v/>
      </c>
      <c r="J170" s="171">
        <f>IFERROR(F170/(G170/29), 0)</f>
        <v/>
      </c>
      <c r="K170" s="172">
        <f>IF(F170&gt;0, H170/F170, 0)</f>
        <v/>
      </c>
      <c r="L170" s="170">
        <f>IF(F170&gt;0, I170, 1000000000)</f>
        <v/>
      </c>
      <c r="M170" s="171">
        <f>ABS((B170+C170)-1)</f>
        <v/>
      </c>
      <c r="N170" s="170">
        <f>IF(F170&gt;0, (G170/29)/F170, 0)</f>
        <v/>
      </c>
      <c r="O170" s="168">
        <f>IF(AND((B170+C170)&gt;=1, ISNUMBER(SEARCH("Var", D170))), F170, 1000000000)</f>
        <v/>
      </c>
      <c r="P170" s="172">
        <f>IF(F170&gt;0, SQRT((F170/MAX(F$5:F$886))^2 + (1 - H170/MAX(H$5:H$886))^2 + (J170/MAX(J$5:J$886))^2), 1000000000)</f>
        <v/>
      </c>
      <c r="Q170" s="166">
        <f>IF(AND(ABS(B170-0.5)&lt;0.01, ABS(C170-0.5)&lt;0.01, ISNUMBER(SEARCH("Var", D170))), 1, 0)</f>
        <v/>
      </c>
      <c r="R170" s="171">
        <f>IF(F170&gt;0, J170, 1000000000)</f>
        <v/>
      </c>
      <c r="S170" s="101">
        <f>IF(AND(F170&lt;=DASHBOARD!$B$11, H170&gt;=DASHBOARD!$B$13), G170, -1000000000000)</f>
        <v/>
      </c>
      <c r="T170" s="101">
        <f>IF(AND(F170&lt;=DASHBOARD!$B$11, H170&gt;=DASHBOARD!$B$13), R170, 1000000000000)</f>
        <v/>
      </c>
      <c r="U170" s="101">
        <f>IF(AND(F170&lt;=DASHBOARD!$B$11, H170&gt;=DASHBOARD!$B$13), N170, -1000000000000)</f>
        <v/>
      </c>
      <c r="V170" s="101">
        <f>IF(AND(F170&lt;=DASHBOARD!$B$11, H170&gt;=DASHBOARD!$B$13), H170, -1000000000000)</f>
        <v/>
      </c>
      <c r="W170" s="101">
        <f>IF(AND(F170&lt;=DASHBOARD!$B$11, H170&gt;=DASHBOARD!$B$13), K170, -1000000000000)</f>
        <v/>
      </c>
      <c r="X170" s="101">
        <f>IF(AND(F170&lt;=DASHBOARD!$B$11, H170&gt;=DASHBOARD!$B$13), M170, 1000000000000)</f>
        <v/>
      </c>
      <c r="Y170" s="101">
        <f>IF(AND(F170&lt;=DASHBOARD!$B$10, H170&gt;=DASHBOARD!$B$11), L170, 1000000000000)</f>
        <v/>
      </c>
      <c r="Z170" s="101">
        <f>IF(AND(F170&lt;=DASHBOARD!$B$10, H170&gt;=DASHBOARD!$B$11), O170, 1000000000000)</f>
        <v/>
      </c>
      <c r="AA170" s="101">
        <f>IF(AND(F170&lt;=DASHBOARD!$B$10, H170&gt;=DASHBOARD!$B$11), P170, 1000000000000)</f>
        <v/>
      </c>
      <c r="AB170" s="101">
        <f>IF(AND(F170&lt;=DASHBOARD!$B$10, H170&gt;=DASHBOARD!$B$11), Q170, -1000000000000)</f>
        <v/>
      </c>
    </row>
    <row r="171" ht="12.75" customHeight="1" s="102">
      <c r="A171" s="166" t="n">
        <v>167</v>
      </c>
      <c r="B171" s="167" t="n">
        <v>0.3</v>
      </c>
      <c r="C171" s="167" t="n">
        <v>2</v>
      </c>
      <c r="D171" s="110" t="inlineStr">
        <is>
          <t>Yok (%0)</t>
        </is>
      </c>
      <c r="E171" s="110">
        <f>IF((B171+C171)&lt;=1, "Tam Mahsuplaşma (≤%100)", "Kısmi Satış (&gt;%100)")</f>
        <v/>
      </c>
      <c r="F171" s="168">
        <f>((VERI_TABANI!$D$29*B171/VERI_TABANI!$B$29)/VERI_TABANI!$B$3)*VERI_TABANI!$B$5 + ((VERI_TABANI!$D$29*C171/VERI_TABANI!$B$29)/VERI_TABANI!$B$4)*VERI_TABANI!$B$6 + IF(ISNUMBER(SEARCH("Var", D171)), (VERI_TABANI!$F$29/VERI_TABANI!$B$29)*(VERI_TABANI!$B$10+VERI_TABANI!$B$12), 0)</f>
        <v/>
      </c>
      <c r="G171" s="168">
        <f>(((MIN(VERI_TABANI!D23, VERI_TABANI!D23*B171)*VERI_TABANI!$B$7 + MAX(0, VERI_TABANI!D23*B171-VERI_TABANI!D23)*VERI_TABANI!$B$8) + (MIN(MAX(0, VERI_TABANI!D23-VERI_TABANI!D23*B171), VERI_TABANI!D23*C171)*VERI_TABANI!$B$7 + MAX(0, VERI_TABANI!D23*C171-MAX(0, VERI_TABANI!D23-VERI_TABANI!D23*B171))*VERI_TABANI!$B$8) + IF(ABS(IF(ISNUMBER(SEARCH("Var", D171)), 1, IF(ISNUMBER(SEARCH("Gri", D171)), -1, 0)))=1, VERI_TABANI!E23*(1-0.928)*VERI_TABANI!$B$9, 0) + (VERI_TABANI!D23*B171*(VERI_TABANI!$B$13-VERI_TABANI!$B$14)*VERI_TABANI!G23) + (VERI_TABANI!D23*C171*(VERI_TABANI!$B$13-VERI_TABANI!$B$15)*VERI_TABANI!G23) + IF(ABS(IF(ISNUMBER(SEARCH("Var", D171)), 1, IF(ISNUMBER(SEARCH("Gri", D171)), -1, 0)))=1, VERI_TABANI!E23*(1-0.928)*0.00206091519919798*VERI_TABANI!G23, 0)) + ((MIN(VERI_TABANI!D24, VERI_TABANI!D24*B171)*VERI_TABANI!$B$7 + MAX(0, VERI_TABANI!D24*B171-VERI_TABANI!D24)*VERI_TABANI!$B$8) + (MIN(MAX(0, VERI_TABANI!D24-VERI_TABANI!D24*B171), VERI_TABANI!D24*C171)*VERI_TABANI!$B$7 + MAX(0, VERI_TABANI!D24*C171-MAX(0, VERI_TABANI!D24-VERI_TABANI!D24*B171))*VERI_TABANI!$B$8) + IF(ABS(IF(ISNUMBER(SEARCH("Var", D171)), 1, IF(ISNUMBER(SEARCH("Gri", D171)), -1, 0)))=1, VERI_TABANI!E24*(1-0.928)*VERI_TABANI!$B$9, 0) + (VERI_TABANI!D24*B171*(VERI_TABANI!$B$13-VERI_TABANI!$B$14)*VERI_TABANI!G24) + (VERI_TABANI!D24*C171*(VERI_TABANI!$B$13-VERI_TABANI!$B$15)*VERI_TABANI!G24) + IF(ABS(IF(ISNUMBER(SEARCH("Var", D171)), 1, IF(ISNUMBER(SEARCH("Gri", D171)), -1, 0)))=1, VERI_TABANI!E24*(1-0.928)*0.00206091519919798*VERI_TABANI!G24, 0)) + ((MIN(VERI_TABANI!D25, VERI_TABANI!D25*B171)*VERI_TABANI!$B$7 + MAX(0, VERI_TABANI!D25*B171-VERI_TABANI!D25)*VERI_TABANI!$B$8) + (MIN(MAX(0, VERI_TABANI!D25-VERI_TABANI!D25*B171), VERI_TABANI!D25*C171)*VERI_TABANI!$B$7 + MAX(0, VERI_TABANI!D25*C171-MAX(0, VERI_TABANI!D25-VERI_TABANI!D25*B171))*VERI_TABANI!$B$8) + IF(ABS(IF(ISNUMBER(SEARCH("Var", D171)), 1, IF(ISNUMBER(SEARCH("Gri", D171)), -1, 0)))=1, VERI_TABANI!E25*(1-0.928)*VERI_TABANI!$B$9, 0) + (VERI_TABANI!D25*B171*(VERI_TABANI!$B$13-VERI_TABANI!$B$14)*VERI_TABANI!G25) + (VERI_TABANI!D25*C171*(VERI_TABANI!$B$13-VERI_TABANI!$B$15)*VERI_TABANI!G25) + IF(ABS(IF(ISNUMBER(SEARCH("Var", D171)), 1, IF(ISNUMBER(SEARCH("Gri", D171)), -1, 0)))=1, VERI_TABANI!E25*(1-0.928)*0.00206091519919798*VERI_TABANI!G25, 0)) + ((MIN(VERI_TABANI!D26, VERI_TABANI!D26*B171)*VERI_TABANI!$B$7 + MAX(0, VERI_TABANI!D26*B171-VERI_TABANI!D26)*VERI_TABANI!$B$8) + (MIN(MAX(0, VERI_TABANI!D26-VERI_TABANI!D26*B171), VERI_TABANI!D26*C171)*VERI_TABANI!$B$7 + MAX(0, VERI_TABANI!D26*C171-MAX(0, VERI_TABANI!D26-VERI_TABANI!D26*B171))*VERI_TABANI!$B$8) + IF(ABS(IF(ISNUMBER(SEARCH("Var", D171)), 1, IF(ISNUMBER(SEARCH("Gri", D171)), -1, 0)))=1, VERI_TABANI!E26*(1-0.928)*VERI_TABANI!$B$9, 0) + (VERI_TABANI!D26*B171*(VERI_TABANI!$B$13-VERI_TABANI!$B$14)*VERI_TABANI!G26) + (VERI_TABANI!D26*C171*(VERI_TABANI!$B$13-VERI_TABANI!$B$15)*VERI_TABANI!G26) + IF(ABS(IF(ISNUMBER(SEARCH("Var", D171)), 1, IF(ISNUMBER(SEARCH("Gri", D171)), -1, 0)))=1, VERI_TABANI!E26*(1-0.928)*0.00206091519919798*VERI_TABANI!G26, 0)) + ((MIN(VERI_TABANI!D27, VERI_TABANI!D27*B171)*VERI_TABANI!$B$7 + MAX(0, VERI_TABANI!D27*B171-VERI_TABANI!D27)*VERI_TABANI!$B$8) + (MIN(MAX(0, VERI_TABANI!D27-VERI_TABANI!D27*B171), VERI_TABANI!D27*C171)*VERI_TABANI!$B$7 + MAX(0, VERI_TABANI!D27*C171-MAX(0, VERI_TABANI!D27-VERI_TABANI!D27*B171))*VERI_TABANI!$B$8) + IF(ABS(IF(ISNUMBER(SEARCH("Var", D171)), 1, IF(ISNUMBER(SEARCH("Gri", D171)), -1, 0)))=1, VERI_TABANI!E27*(1-0.928)*VERI_TABANI!$B$9, 0) + (VERI_TABANI!D27*B171*(VERI_TABANI!$B$13-VERI_TABANI!$B$14)*VERI_TABANI!G27) + (VERI_TABANI!D27*C171*(VERI_TABANI!$B$13-VERI_TABANI!$B$15)*VERI_TABANI!G27) + IF(ABS(IF(ISNUMBER(SEARCH("Var", D171)), 1, IF(ISNUMBER(SEARCH("Gri", D171)), -1, 0)))=1, VERI_TABANI!E27*(1-0.928)*0.00206091519919798*VERI_TABANI!G27, 0)) + ((MIN(VERI_TABANI!D28, VERI_TABANI!D28*B171)*VERI_TABANI!$B$7 + MAX(0, VERI_TABANI!D28*B171-VERI_TABANI!D28)*VERI_TABANI!$B$8) + (MIN(MAX(0, VERI_TABANI!D28-VERI_TABANI!D28*B171), VERI_TABANI!D28*C171)*VERI_TABANI!$B$7 + MAX(0, VERI_TABANI!D28*C171-MAX(0, VERI_TABANI!D28-VERI_TABANI!D28*B171))*VERI_TABANI!$B$8) + IF(ABS(IF(ISNUMBER(SEARCH("Var", D171)), 1, IF(ISNUMBER(SEARCH("Gri", D171)), -1, 0)))=1, VERI_TABANI!E28*(1-0.928)*VERI_TABANI!$B$9, 0) + (VERI_TABANI!D28*B171*(VERI_TABANI!$B$13-VERI_TABANI!$B$14)*VERI_TABANI!G28) + (VERI_TABANI!D28*C171*(VERI_TABANI!$B$13-VERI_TABANI!$B$15)*VERI_TABANI!G28) + IF(ABS(IF(ISNUMBER(SEARCH("Var", D171)), 1, IF(ISNUMBER(SEARCH("Gri", D171)), -1, 0)))=1, VERI_TABANI!E28*(1-0.928)*0.00206091519919798*VERI_TABANI!G28, 0)))</f>
        <v/>
      </c>
      <c r="H171" s="169">
        <f>(((VERI_TABANI!D23*B171*(VERI_TABANI!$B$13-VERI_TABANI!$B$14)) + (VERI_TABANI!D23*C171*(VERI_TABANI!$B$13-VERI_TABANI!$B$15)) + IF(ISNUMBER(SEARCH("Var", D171)), VERI_TABANI!F23*(0.00202-VERI_TABANI!$B$16), IF(ISNUMBER(SEARCH("Gri", D171)), VERI_TABANI!F23*(0.00202-VERI_TABANI!$B$17), 0))) + ((VERI_TABANI!D24*B171*(VERI_TABANI!$B$13-VERI_TABANI!$B$14)) + (VERI_TABANI!D24*C171*(VERI_TABANI!$B$13-VERI_TABANI!$B$15)) + IF(ISNUMBER(SEARCH("Var", D171)), VERI_TABANI!F24*(0.00202-VERI_TABANI!$B$16), IF(ISNUMBER(SEARCH("Gri", D171)), VERI_TABANI!F24*(0.00202-VERI_TABANI!$B$17), 0))) + ((VERI_TABANI!D25*B171*(VERI_TABANI!$B$13-VERI_TABANI!$B$14)) + (VERI_TABANI!D25*C171*(VERI_TABANI!$B$13-VERI_TABANI!$B$15)) + IF(ISNUMBER(SEARCH("Var", D171)), VERI_TABANI!F25*(0.00202-VERI_TABANI!$B$16), IF(ISNUMBER(SEARCH("Gri", D171)), VERI_TABANI!F25*(0.00202-VERI_TABANI!$B$17), 0))) + ((VERI_TABANI!D26*B171*(VERI_TABANI!$B$13-VERI_TABANI!$B$14)) + (VERI_TABANI!D26*C171*(VERI_TABANI!$B$13-VERI_TABANI!$B$15)) + IF(ISNUMBER(SEARCH("Var", D171)), VERI_TABANI!F26*(0.00202-VERI_TABANI!$B$16), IF(ISNUMBER(SEARCH("Gri", D171)), VERI_TABANI!F26*(0.00202-VERI_TABANI!$B$17), 0))) + ((VERI_TABANI!D27*B171*(VERI_TABANI!$B$13-VERI_TABANI!$B$14)) + (VERI_TABANI!D27*C171*(VERI_TABANI!$B$13-VERI_TABANI!$B$15)) + IF(ISNUMBER(SEARCH("Var", D171)), VERI_TABANI!F27*(0.00202-VERI_TABANI!$B$16), IF(ISNUMBER(SEARCH("Gri", D171)), VERI_TABANI!F27*(0.00202-VERI_TABANI!$B$17), 0))) + ((VERI_TABANI!D28*B171*(VERI_TABANI!$B$13-VERI_TABANI!$B$14)) + (VERI_TABANI!D28*C171*(VERI_TABANI!$B$13-VERI_TABANI!$B$15)) + IF(ISNUMBER(SEARCH("Var", D171)), VERI_TABANI!F28*(0.00202-VERI_TABANI!$B$16), IF(ISNUMBER(SEARCH("Gri", D171)), VERI_TABANI!F28*(0.00202-VERI_TABANI!$B$17), 0))))</f>
        <v/>
      </c>
      <c r="I171" s="170">
        <f>IFERROR(((VERI_TABANI!$D$29*B171*VERI_TABANI!$B$14 + VERI_TABANI!$D$29*C171*VERI_TABANI!$B$15 + IF(ISNUMBER(SEARCH("Var", D171)), VERI_TABANI!$F$29*VERI_TABANI!$B$16, 0))) / (((VERI_TABANI!$D$29*B171 + VERI_TABANI!$D$29*C171)*VERI_TABANI!$B$13 + IF(ISNUMBER(SEARCH("Var", D171)), VERI_TABANI!$E$29*(1-0.928)*VERI_TABANI!$B$18, 0))), 0)</f>
        <v/>
      </c>
      <c r="J171" s="171">
        <f>IFERROR(F171/(G171/29), 0)</f>
        <v/>
      </c>
      <c r="K171" s="172">
        <f>IF(F171&gt;0, H171/F171, 0)</f>
        <v/>
      </c>
      <c r="L171" s="170">
        <f>IF(F171&gt;0, I171, 1000000000)</f>
        <v/>
      </c>
      <c r="M171" s="171">
        <f>ABS((B171+C171)-1)</f>
        <v/>
      </c>
      <c r="N171" s="170">
        <f>IF(F171&gt;0, (G171/29)/F171, 0)</f>
        <v/>
      </c>
      <c r="O171" s="168">
        <f>IF(AND((B171+C171)&gt;=1, ISNUMBER(SEARCH("Var", D171))), F171, 1000000000)</f>
        <v/>
      </c>
      <c r="P171" s="172">
        <f>IF(F171&gt;0, SQRT((F171/MAX(F$5:F$886))^2 + (1 - H171/MAX(H$5:H$886))^2 + (J171/MAX(J$5:J$886))^2), 1000000000)</f>
        <v/>
      </c>
      <c r="Q171" s="166">
        <f>IF(AND(ABS(B171-0.5)&lt;0.01, ABS(C171-0.5)&lt;0.01, ISNUMBER(SEARCH("Var", D171))), 1, 0)</f>
        <v/>
      </c>
      <c r="R171" s="171">
        <f>IF(F171&gt;0, J171, 1000000000)</f>
        <v/>
      </c>
      <c r="S171" s="101">
        <f>IF(AND(F171&lt;=DASHBOARD!$B$11, H171&gt;=DASHBOARD!$B$13), G171, -1000000000000)</f>
        <v/>
      </c>
      <c r="T171" s="101">
        <f>IF(AND(F171&lt;=DASHBOARD!$B$11, H171&gt;=DASHBOARD!$B$13), R171, 1000000000000)</f>
        <v/>
      </c>
      <c r="U171" s="101">
        <f>IF(AND(F171&lt;=DASHBOARD!$B$11, H171&gt;=DASHBOARD!$B$13), N171, -1000000000000)</f>
        <v/>
      </c>
      <c r="V171" s="101">
        <f>IF(AND(F171&lt;=DASHBOARD!$B$11, H171&gt;=DASHBOARD!$B$13), H171, -1000000000000)</f>
        <v/>
      </c>
      <c r="W171" s="101">
        <f>IF(AND(F171&lt;=DASHBOARD!$B$11, H171&gt;=DASHBOARD!$B$13), K171, -1000000000000)</f>
        <v/>
      </c>
      <c r="X171" s="101">
        <f>IF(AND(F171&lt;=DASHBOARD!$B$11, H171&gt;=DASHBOARD!$B$13), M171, 1000000000000)</f>
        <v/>
      </c>
      <c r="Y171" s="101">
        <f>IF(AND(F171&lt;=DASHBOARD!$B$10, H171&gt;=DASHBOARD!$B$11), L171, 1000000000000)</f>
        <v/>
      </c>
      <c r="Z171" s="101">
        <f>IF(AND(F171&lt;=DASHBOARD!$B$10, H171&gt;=DASHBOARD!$B$11), O171, 1000000000000)</f>
        <v/>
      </c>
      <c r="AA171" s="101">
        <f>IF(AND(F171&lt;=DASHBOARD!$B$10, H171&gt;=DASHBOARD!$B$11), P171, 1000000000000)</f>
        <v/>
      </c>
      <c r="AB171" s="101">
        <f>IF(AND(F171&lt;=DASHBOARD!$B$10, H171&gt;=DASHBOARD!$B$11), Q171, -1000000000000)</f>
        <v/>
      </c>
    </row>
    <row r="172" ht="12.75" customHeight="1" s="102">
      <c r="A172" s="166" t="n">
        <v>168</v>
      </c>
      <c r="B172" s="167" t="n">
        <v>0.3</v>
      </c>
      <c r="C172" s="167" t="n">
        <v>2</v>
      </c>
      <c r="D172" s="110" t="inlineStr">
        <is>
          <t>Var (%20)</t>
        </is>
      </c>
      <c r="E172" s="110">
        <f>IF((B172+C172)&lt;=1, "Tam Mahsuplaşma (≤%100)", "Kısmi Satış (&gt;%100)")</f>
        <v/>
      </c>
      <c r="F172" s="168">
        <f>((VERI_TABANI!$D$29*B172/VERI_TABANI!$B$29)/VERI_TABANI!$B$3)*VERI_TABANI!$B$5 + ((VERI_TABANI!$D$29*C172/VERI_TABANI!$B$29)/VERI_TABANI!$B$4)*VERI_TABANI!$B$6 + IF(ISNUMBER(SEARCH("Var", D172)), (VERI_TABANI!$F$29/VERI_TABANI!$B$29)*(VERI_TABANI!$B$10+VERI_TABANI!$B$12), 0)</f>
        <v/>
      </c>
      <c r="G172" s="168">
        <f>(((MIN(VERI_TABANI!D23, VERI_TABANI!D23*B172)*VERI_TABANI!$B$7 + MAX(0, VERI_TABANI!D23*B172-VERI_TABANI!D23)*VERI_TABANI!$B$8) + (MIN(MAX(0, VERI_TABANI!D23-VERI_TABANI!D23*B172), VERI_TABANI!D23*C172)*VERI_TABANI!$B$7 + MAX(0, VERI_TABANI!D23*C172-MAX(0, VERI_TABANI!D23-VERI_TABANI!D23*B172))*VERI_TABANI!$B$8) + IF(ABS(IF(ISNUMBER(SEARCH("Var", D172)), 1, IF(ISNUMBER(SEARCH("Gri", D172)), -1, 0)))=1, VERI_TABANI!E23*(1-0.928)*VERI_TABANI!$B$9, 0) + (VERI_TABANI!D23*B172*(VERI_TABANI!$B$13-VERI_TABANI!$B$14)*VERI_TABANI!G23) + (VERI_TABANI!D23*C172*(VERI_TABANI!$B$13-VERI_TABANI!$B$15)*VERI_TABANI!G23) + IF(ABS(IF(ISNUMBER(SEARCH("Var", D172)), 1, IF(ISNUMBER(SEARCH("Gri", D172)), -1, 0)))=1, VERI_TABANI!E23*(1-0.928)*0.00206091519919798*VERI_TABANI!G23, 0)) + ((MIN(VERI_TABANI!D24, VERI_TABANI!D24*B172)*VERI_TABANI!$B$7 + MAX(0, VERI_TABANI!D24*B172-VERI_TABANI!D24)*VERI_TABANI!$B$8) + (MIN(MAX(0, VERI_TABANI!D24-VERI_TABANI!D24*B172), VERI_TABANI!D24*C172)*VERI_TABANI!$B$7 + MAX(0, VERI_TABANI!D24*C172-MAX(0, VERI_TABANI!D24-VERI_TABANI!D24*B172))*VERI_TABANI!$B$8) + IF(ABS(IF(ISNUMBER(SEARCH("Var", D172)), 1, IF(ISNUMBER(SEARCH("Gri", D172)), -1, 0)))=1, VERI_TABANI!E24*(1-0.928)*VERI_TABANI!$B$9, 0) + (VERI_TABANI!D24*B172*(VERI_TABANI!$B$13-VERI_TABANI!$B$14)*VERI_TABANI!G24) + (VERI_TABANI!D24*C172*(VERI_TABANI!$B$13-VERI_TABANI!$B$15)*VERI_TABANI!G24) + IF(ABS(IF(ISNUMBER(SEARCH("Var", D172)), 1, IF(ISNUMBER(SEARCH("Gri", D172)), -1, 0)))=1, VERI_TABANI!E24*(1-0.928)*0.00206091519919798*VERI_TABANI!G24, 0)) + ((MIN(VERI_TABANI!D25, VERI_TABANI!D25*B172)*VERI_TABANI!$B$7 + MAX(0, VERI_TABANI!D25*B172-VERI_TABANI!D25)*VERI_TABANI!$B$8) + (MIN(MAX(0, VERI_TABANI!D25-VERI_TABANI!D25*B172), VERI_TABANI!D25*C172)*VERI_TABANI!$B$7 + MAX(0, VERI_TABANI!D25*C172-MAX(0, VERI_TABANI!D25-VERI_TABANI!D25*B172))*VERI_TABANI!$B$8) + IF(ABS(IF(ISNUMBER(SEARCH("Var", D172)), 1, IF(ISNUMBER(SEARCH("Gri", D172)), -1, 0)))=1, VERI_TABANI!E25*(1-0.928)*VERI_TABANI!$B$9, 0) + (VERI_TABANI!D25*B172*(VERI_TABANI!$B$13-VERI_TABANI!$B$14)*VERI_TABANI!G25) + (VERI_TABANI!D25*C172*(VERI_TABANI!$B$13-VERI_TABANI!$B$15)*VERI_TABANI!G25) + IF(ABS(IF(ISNUMBER(SEARCH("Var", D172)), 1, IF(ISNUMBER(SEARCH("Gri", D172)), -1, 0)))=1, VERI_TABANI!E25*(1-0.928)*0.00206091519919798*VERI_TABANI!G25, 0)) + ((MIN(VERI_TABANI!D26, VERI_TABANI!D26*B172)*VERI_TABANI!$B$7 + MAX(0, VERI_TABANI!D26*B172-VERI_TABANI!D26)*VERI_TABANI!$B$8) + (MIN(MAX(0, VERI_TABANI!D26-VERI_TABANI!D26*B172), VERI_TABANI!D26*C172)*VERI_TABANI!$B$7 + MAX(0, VERI_TABANI!D26*C172-MAX(0, VERI_TABANI!D26-VERI_TABANI!D26*B172))*VERI_TABANI!$B$8) + IF(ABS(IF(ISNUMBER(SEARCH("Var", D172)), 1, IF(ISNUMBER(SEARCH("Gri", D172)), -1, 0)))=1, VERI_TABANI!E26*(1-0.928)*VERI_TABANI!$B$9, 0) + (VERI_TABANI!D26*B172*(VERI_TABANI!$B$13-VERI_TABANI!$B$14)*VERI_TABANI!G26) + (VERI_TABANI!D26*C172*(VERI_TABANI!$B$13-VERI_TABANI!$B$15)*VERI_TABANI!G26) + IF(ABS(IF(ISNUMBER(SEARCH("Var", D172)), 1, IF(ISNUMBER(SEARCH("Gri", D172)), -1, 0)))=1, VERI_TABANI!E26*(1-0.928)*0.00206091519919798*VERI_TABANI!G26, 0)) + ((MIN(VERI_TABANI!D27, VERI_TABANI!D27*B172)*VERI_TABANI!$B$7 + MAX(0, VERI_TABANI!D27*B172-VERI_TABANI!D27)*VERI_TABANI!$B$8) + (MIN(MAX(0, VERI_TABANI!D27-VERI_TABANI!D27*B172), VERI_TABANI!D27*C172)*VERI_TABANI!$B$7 + MAX(0, VERI_TABANI!D27*C172-MAX(0, VERI_TABANI!D27-VERI_TABANI!D27*B172))*VERI_TABANI!$B$8) + IF(ABS(IF(ISNUMBER(SEARCH("Var", D172)), 1, IF(ISNUMBER(SEARCH("Gri", D172)), -1, 0)))=1, VERI_TABANI!E27*(1-0.928)*VERI_TABANI!$B$9, 0) + (VERI_TABANI!D27*B172*(VERI_TABANI!$B$13-VERI_TABANI!$B$14)*VERI_TABANI!G27) + (VERI_TABANI!D27*C172*(VERI_TABANI!$B$13-VERI_TABANI!$B$15)*VERI_TABANI!G27) + IF(ABS(IF(ISNUMBER(SEARCH("Var", D172)), 1, IF(ISNUMBER(SEARCH("Gri", D172)), -1, 0)))=1, VERI_TABANI!E27*(1-0.928)*0.00206091519919798*VERI_TABANI!G27, 0)) + ((MIN(VERI_TABANI!D28, VERI_TABANI!D28*B172)*VERI_TABANI!$B$7 + MAX(0, VERI_TABANI!D28*B172-VERI_TABANI!D28)*VERI_TABANI!$B$8) + (MIN(MAX(0, VERI_TABANI!D28-VERI_TABANI!D28*B172), VERI_TABANI!D28*C172)*VERI_TABANI!$B$7 + MAX(0, VERI_TABANI!D28*C172-MAX(0, VERI_TABANI!D28-VERI_TABANI!D28*B172))*VERI_TABANI!$B$8) + IF(ABS(IF(ISNUMBER(SEARCH("Var", D172)), 1, IF(ISNUMBER(SEARCH("Gri", D172)), -1, 0)))=1, VERI_TABANI!E28*(1-0.928)*VERI_TABANI!$B$9, 0) + (VERI_TABANI!D28*B172*(VERI_TABANI!$B$13-VERI_TABANI!$B$14)*VERI_TABANI!G28) + (VERI_TABANI!D28*C172*(VERI_TABANI!$B$13-VERI_TABANI!$B$15)*VERI_TABANI!G28) + IF(ABS(IF(ISNUMBER(SEARCH("Var", D172)), 1, IF(ISNUMBER(SEARCH("Gri", D172)), -1, 0)))=1, VERI_TABANI!E28*(1-0.928)*0.00206091519919798*VERI_TABANI!G28, 0)))</f>
        <v/>
      </c>
      <c r="H172" s="169">
        <f>(((VERI_TABANI!D23*B172*(VERI_TABANI!$B$13-VERI_TABANI!$B$14)) + (VERI_TABANI!D23*C172*(VERI_TABANI!$B$13-VERI_TABANI!$B$15)) + IF(ISNUMBER(SEARCH("Var", D172)), VERI_TABANI!F23*(0.00202-VERI_TABANI!$B$16), IF(ISNUMBER(SEARCH("Gri", D172)), VERI_TABANI!F23*(0.00202-VERI_TABANI!$B$17), 0))) + ((VERI_TABANI!D24*B172*(VERI_TABANI!$B$13-VERI_TABANI!$B$14)) + (VERI_TABANI!D24*C172*(VERI_TABANI!$B$13-VERI_TABANI!$B$15)) + IF(ISNUMBER(SEARCH("Var", D172)), VERI_TABANI!F24*(0.00202-VERI_TABANI!$B$16), IF(ISNUMBER(SEARCH("Gri", D172)), VERI_TABANI!F24*(0.00202-VERI_TABANI!$B$17), 0))) + ((VERI_TABANI!D25*B172*(VERI_TABANI!$B$13-VERI_TABANI!$B$14)) + (VERI_TABANI!D25*C172*(VERI_TABANI!$B$13-VERI_TABANI!$B$15)) + IF(ISNUMBER(SEARCH("Var", D172)), VERI_TABANI!F25*(0.00202-VERI_TABANI!$B$16), IF(ISNUMBER(SEARCH("Gri", D172)), VERI_TABANI!F25*(0.00202-VERI_TABANI!$B$17), 0))) + ((VERI_TABANI!D26*B172*(VERI_TABANI!$B$13-VERI_TABANI!$B$14)) + (VERI_TABANI!D26*C172*(VERI_TABANI!$B$13-VERI_TABANI!$B$15)) + IF(ISNUMBER(SEARCH("Var", D172)), VERI_TABANI!F26*(0.00202-VERI_TABANI!$B$16), IF(ISNUMBER(SEARCH("Gri", D172)), VERI_TABANI!F26*(0.00202-VERI_TABANI!$B$17), 0))) + ((VERI_TABANI!D27*B172*(VERI_TABANI!$B$13-VERI_TABANI!$B$14)) + (VERI_TABANI!D27*C172*(VERI_TABANI!$B$13-VERI_TABANI!$B$15)) + IF(ISNUMBER(SEARCH("Var", D172)), VERI_TABANI!F27*(0.00202-VERI_TABANI!$B$16), IF(ISNUMBER(SEARCH("Gri", D172)), VERI_TABANI!F27*(0.00202-VERI_TABANI!$B$17), 0))) + ((VERI_TABANI!D28*B172*(VERI_TABANI!$B$13-VERI_TABANI!$B$14)) + (VERI_TABANI!D28*C172*(VERI_TABANI!$B$13-VERI_TABANI!$B$15)) + IF(ISNUMBER(SEARCH("Var", D172)), VERI_TABANI!F28*(0.00202-VERI_TABANI!$B$16), IF(ISNUMBER(SEARCH("Gri", D172)), VERI_TABANI!F28*(0.00202-VERI_TABANI!$B$17), 0))))</f>
        <v/>
      </c>
      <c r="I172" s="170">
        <f>IFERROR(((VERI_TABANI!$D$29*B172*VERI_TABANI!$B$14 + VERI_TABANI!$D$29*C172*VERI_TABANI!$B$15 + IF(ISNUMBER(SEARCH("Var", D172)), VERI_TABANI!$F$29*VERI_TABANI!$B$16, 0))) / (((VERI_TABANI!$D$29*B172 + VERI_TABANI!$D$29*C172)*VERI_TABANI!$B$13 + IF(ISNUMBER(SEARCH("Var", D172)), VERI_TABANI!$E$29*(1-0.928)*VERI_TABANI!$B$18, 0))), 0)</f>
        <v/>
      </c>
      <c r="J172" s="171">
        <f>IFERROR(F172/(G172/29), 0)</f>
        <v/>
      </c>
      <c r="K172" s="172">
        <f>IF(F172&gt;0, H172/F172, 0)</f>
        <v/>
      </c>
      <c r="L172" s="170">
        <f>IF(F172&gt;0, I172, 1000000000)</f>
        <v/>
      </c>
      <c r="M172" s="171">
        <f>ABS((B172+C172)-1)</f>
        <v/>
      </c>
      <c r="N172" s="170">
        <f>IF(F172&gt;0, (G172/29)/F172, 0)</f>
        <v/>
      </c>
      <c r="O172" s="168">
        <f>IF(AND((B172+C172)&gt;=1, ISNUMBER(SEARCH("Var", D172))), F172, 1000000000)</f>
        <v/>
      </c>
      <c r="P172" s="172">
        <f>IF(F172&gt;0, SQRT((F172/MAX(F$5:F$886))^2 + (1 - H172/MAX(H$5:H$886))^2 + (J172/MAX(J$5:J$886))^2), 1000000000)</f>
        <v/>
      </c>
      <c r="Q172" s="166">
        <f>IF(AND(ABS(B172-0.5)&lt;0.01, ABS(C172-0.5)&lt;0.01, ISNUMBER(SEARCH("Var", D172))), 1, 0)</f>
        <v/>
      </c>
      <c r="R172" s="171">
        <f>IF(F172&gt;0, J172, 1000000000)</f>
        <v/>
      </c>
      <c r="S172" s="101">
        <f>IF(AND(F172&lt;=DASHBOARD!$B$11, H172&gt;=DASHBOARD!$B$13), G172, -1000000000000)</f>
        <v/>
      </c>
      <c r="T172" s="101">
        <f>IF(AND(F172&lt;=DASHBOARD!$B$11, H172&gt;=DASHBOARD!$B$13), R172, 1000000000000)</f>
        <v/>
      </c>
      <c r="U172" s="101">
        <f>IF(AND(F172&lt;=DASHBOARD!$B$11, H172&gt;=DASHBOARD!$B$13), N172, -1000000000000)</f>
        <v/>
      </c>
      <c r="V172" s="101">
        <f>IF(AND(F172&lt;=DASHBOARD!$B$11, H172&gt;=DASHBOARD!$B$13), H172, -1000000000000)</f>
        <v/>
      </c>
      <c r="W172" s="101">
        <f>IF(AND(F172&lt;=DASHBOARD!$B$11, H172&gt;=DASHBOARD!$B$13), K172, -1000000000000)</f>
        <v/>
      </c>
      <c r="X172" s="101">
        <f>IF(AND(F172&lt;=DASHBOARD!$B$11, H172&gt;=DASHBOARD!$B$13), M172, 1000000000000)</f>
        <v/>
      </c>
      <c r="Y172" s="101">
        <f>IF(AND(F172&lt;=DASHBOARD!$B$10, H172&gt;=DASHBOARD!$B$11), L172, 1000000000000)</f>
        <v/>
      </c>
      <c r="Z172" s="101">
        <f>IF(AND(F172&lt;=DASHBOARD!$B$10, H172&gt;=DASHBOARD!$B$11), O172, 1000000000000)</f>
        <v/>
      </c>
      <c r="AA172" s="101">
        <f>IF(AND(F172&lt;=DASHBOARD!$B$10, H172&gt;=DASHBOARD!$B$11), P172, 1000000000000)</f>
        <v/>
      </c>
      <c r="AB172" s="101">
        <f>IF(AND(F172&lt;=DASHBOARD!$B$10, H172&gt;=DASHBOARD!$B$11), Q172, -1000000000000)</f>
        <v/>
      </c>
    </row>
    <row r="173" ht="12.75" customHeight="1" s="102">
      <c r="A173" s="166" t="n">
        <v>169</v>
      </c>
      <c r="B173" s="167" t="n">
        <v>0.4</v>
      </c>
      <c r="C173" s="167" t="n">
        <v>0</v>
      </c>
      <c r="D173" s="110" t="inlineStr">
        <is>
          <t>Yok (%0)</t>
        </is>
      </c>
      <c r="E173" s="110">
        <f>IF((B173+C173)&lt;=1, "Tam Mahsuplaşma (≤%100)", "Kısmi Satış (&gt;%100)")</f>
        <v/>
      </c>
      <c r="F173" s="168">
        <f>((VERI_TABANI!$D$29*B173/VERI_TABANI!$B$29)/VERI_TABANI!$B$3)*VERI_TABANI!$B$5 + ((VERI_TABANI!$D$29*C173/VERI_TABANI!$B$29)/VERI_TABANI!$B$4)*VERI_TABANI!$B$6 + IF(ISNUMBER(SEARCH("Var", D173)), (VERI_TABANI!$F$29/VERI_TABANI!$B$29)*(VERI_TABANI!$B$10+VERI_TABANI!$B$12), 0)</f>
        <v/>
      </c>
      <c r="G173" s="168">
        <f>(((MIN(VERI_TABANI!D23, VERI_TABANI!D23*B173)*VERI_TABANI!$B$7 + MAX(0, VERI_TABANI!D23*B173-VERI_TABANI!D23)*VERI_TABANI!$B$8) + (MIN(MAX(0, VERI_TABANI!D23-VERI_TABANI!D23*B173), VERI_TABANI!D23*C173)*VERI_TABANI!$B$7 + MAX(0, VERI_TABANI!D23*C173-MAX(0, VERI_TABANI!D23-VERI_TABANI!D23*B173))*VERI_TABANI!$B$8) + IF(ABS(IF(ISNUMBER(SEARCH("Var", D173)), 1, IF(ISNUMBER(SEARCH("Gri", D173)), -1, 0)))=1, VERI_TABANI!E23*(1-0.928)*VERI_TABANI!$B$9, 0) + (VERI_TABANI!D23*B173*(VERI_TABANI!$B$13-VERI_TABANI!$B$14)*VERI_TABANI!G23) + (VERI_TABANI!D23*C173*(VERI_TABANI!$B$13-VERI_TABANI!$B$15)*VERI_TABANI!G23) + IF(ABS(IF(ISNUMBER(SEARCH("Var", D173)), 1, IF(ISNUMBER(SEARCH("Gri", D173)), -1, 0)))=1, VERI_TABANI!E23*(1-0.928)*0.00206091519919798*VERI_TABANI!G23, 0)) + ((MIN(VERI_TABANI!D24, VERI_TABANI!D24*B173)*VERI_TABANI!$B$7 + MAX(0, VERI_TABANI!D24*B173-VERI_TABANI!D24)*VERI_TABANI!$B$8) + (MIN(MAX(0, VERI_TABANI!D24-VERI_TABANI!D24*B173), VERI_TABANI!D24*C173)*VERI_TABANI!$B$7 + MAX(0, VERI_TABANI!D24*C173-MAX(0, VERI_TABANI!D24-VERI_TABANI!D24*B173))*VERI_TABANI!$B$8) + IF(ABS(IF(ISNUMBER(SEARCH("Var", D173)), 1, IF(ISNUMBER(SEARCH("Gri", D173)), -1, 0)))=1, VERI_TABANI!E24*(1-0.928)*VERI_TABANI!$B$9, 0) + (VERI_TABANI!D24*B173*(VERI_TABANI!$B$13-VERI_TABANI!$B$14)*VERI_TABANI!G24) + (VERI_TABANI!D24*C173*(VERI_TABANI!$B$13-VERI_TABANI!$B$15)*VERI_TABANI!G24) + IF(ABS(IF(ISNUMBER(SEARCH("Var", D173)), 1, IF(ISNUMBER(SEARCH("Gri", D173)), -1, 0)))=1, VERI_TABANI!E24*(1-0.928)*0.00206091519919798*VERI_TABANI!G24, 0)) + ((MIN(VERI_TABANI!D25, VERI_TABANI!D25*B173)*VERI_TABANI!$B$7 + MAX(0, VERI_TABANI!D25*B173-VERI_TABANI!D25)*VERI_TABANI!$B$8) + (MIN(MAX(0, VERI_TABANI!D25-VERI_TABANI!D25*B173), VERI_TABANI!D25*C173)*VERI_TABANI!$B$7 + MAX(0, VERI_TABANI!D25*C173-MAX(0, VERI_TABANI!D25-VERI_TABANI!D25*B173))*VERI_TABANI!$B$8) + IF(ABS(IF(ISNUMBER(SEARCH("Var", D173)), 1, IF(ISNUMBER(SEARCH("Gri", D173)), -1, 0)))=1, VERI_TABANI!E25*(1-0.928)*VERI_TABANI!$B$9, 0) + (VERI_TABANI!D25*B173*(VERI_TABANI!$B$13-VERI_TABANI!$B$14)*VERI_TABANI!G25) + (VERI_TABANI!D25*C173*(VERI_TABANI!$B$13-VERI_TABANI!$B$15)*VERI_TABANI!G25) + IF(ABS(IF(ISNUMBER(SEARCH("Var", D173)), 1, IF(ISNUMBER(SEARCH("Gri", D173)), -1, 0)))=1, VERI_TABANI!E25*(1-0.928)*0.00206091519919798*VERI_TABANI!G25, 0)) + ((MIN(VERI_TABANI!D26, VERI_TABANI!D26*B173)*VERI_TABANI!$B$7 + MAX(0, VERI_TABANI!D26*B173-VERI_TABANI!D26)*VERI_TABANI!$B$8) + (MIN(MAX(0, VERI_TABANI!D26-VERI_TABANI!D26*B173), VERI_TABANI!D26*C173)*VERI_TABANI!$B$7 + MAX(0, VERI_TABANI!D26*C173-MAX(0, VERI_TABANI!D26-VERI_TABANI!D26*B173))*VERI_TABANI!$B$8) + IF(ABS(IF(ISNUMBER(SEARCH("Var", D173)), 1, IF(ISNUMBER(SEARCH("Gri", D173)), -1, 0)))=1, VERI_TABANI!E26*(1-0.928)*VERI_TABANI!$B$9, 0) + (VERI_TABANI!D26*B173*(VERI_TABANI!$B$13-VERI_TABANI!$B$14)*VERI_TABANI!G26) + (VERI_TABANI!D26*C173*(VERI_TABANI!$B$13-VERI_TABANI!$B$15)*VERI_TABANI!G26) + IF(ABS(IF(ISNUMBER(SEARCH("Var", D173)), 1, IF(ISNUMBER(SEARCH("Gri", D173)), -1, 0)))=1, VERI_TABANI!E26*(1-0.928)*0.00206091519919798*VERI_TABANI!G26, 0)) + ((MIN(VERI_TABANI!D27, VERI_TABANI!D27*B173)*VERI_TABANI!$B$7 + MAX(0, VERI_TABANI!D27*B173-VERI_TABANI!D27)*VERI_TABANI!$B$8) + (MIN(MAX(0, VERI_TABANI!D27-VERI_TABANI!D27*B173), VERI_TABANI!D27*C173)*VERI_TABANI!$B$7 + MAX(0, VERI_TABANI!D27*C173-MAX(0, VERI_TABANI!D27-VERI_TABANI!D27*B173))*VERI_TABANI!$B$8) + IF(ABS(IF(ISNUMBER(SEARCH("Var", D173)), 1, IF(ISNUMBER(SEARCH("Gri", D173)), -1, 0)))=1, VERI_TABANI!E27*(1-0.928)*VERI_TABANI!$B$9, 0) + (VERI_TABANI!D27*B173*(VERI_TABANI!$B$13-VERI_TABANI!$B$14)*VERI_TABANI!G27) + (VERI_TABANI!D27*C173*(VERI_TABANI!$B$13-VERI_TABANI!$B$15)*VERI_TABANI!G27) + IF(ABS(IF(ISNUMBER(SEARCH("Var", D173)), 1, IF(ISNUMBER(SEARCH("Gri", D173)), -1, 0)))=1, VERI_TABANI!E27*(1-0.928)*0.00206091519919798*VERI_TABANI!G27, 0)) + ((MIN(VERI_TABANI!D28, VERI_TABANI!D28*B173)*VERI_TABANI!$B$7 + MAX(0, VERI_TABANI!D28*B173-VERI_TABANI!D28)*VERI_TABANI!$B$8) + (MIN(MAX(0, VERI_TABANI!D28-VERI_TABANI!D28*B173), VERI_TABANI!D28*C173)*VERI_TABANI!$B$7 + MAX(0, VERI_TABANI!D28*C173-MAX(0, VERI_TABANI!D28-VERI_TABANI!D28*B173))*VERI_TABANI!$B$8) + IF(ABS(IF(ISNUMBER(SEARCH("Var", D173)), 1, IF(ISNUMBER(SEARCH("Gri", D173)), -1, 0)))=1, VERI_TABANI!E28*(1-0.928)*VERI_TABANI!$B$9, 0) + (VERI_TABANI!D28*B173*(VERI_TABANI!$B$13-VERI_TABANI!$B$14)*VERI_TABANI!G28) + (VERI_TABANI!D28*C173*(VERI_TABANI!$B$13-VERI_TABANI!$B$15)*VERI_TABANI!G28) + IF(ABS(IF(ISNUMBER(SEARCH("Var", D173)), 1, IF(ISNUMBER(SEARCH("Gri", D173)), -1, 0)))=1, VERI_TABANI!E28*(1-0.928)*0.00206091519919798*VERI_TABANI!G28, 0)))</f>
        <v/>
      </c>
      <c r="H173" s="169">
        <f>(((VERI_TABANI!D23*B173*(VERI_TABANI!$B$13-VERI_TABANI!$B$14)) + (VERI_TABANI!D23*C173*(VERI_TABANI!$B$13-VERI_TABANI!$B$15)) + IF(ISNUMBER(SEARCH("Var", D173)), VERI_TABANI!F23*(0.00202-VERI_TABANI!$B$16), IF(ISNUMBER(SEARCH("Gri", D173)), VERI_TABANI!F23*(0.00202-VERI_TABANI!$B$17), 0))) + ((VERI_TABANI!D24*B173*(VERI_TABANI!$B$13-VERI_TABANI!$B$14)) + (VERI_TABANI!D24*C173*(VERI_TABANI!$B$13-VERI_TABANI!$B$15)) + IF(ISNUMBER(SEARCH("Var", D173)), VERI_TABANI!F24*(0.00202-VERI_TABANI!$B$16), IF(ISNUMBER(SEARCH("Gri", D173)), VERI_TABANI!F24*(0.00202-VERI_TABANI!$B$17), 0))) + ((VERI_TABANI!D25*B173*(VERI_TABANI!$B$13-VERI_TABANI!$B$14)) + (VERI_TABANI!D25*C173*(VERI_TABANI!$B$13-VERI_TABANI!$B$15)) + IF(ISNUMBER(SEARCH("Var", D173)), VERI_TABANI!F25*(0.00202-VERI_TABANI!$B$16), IF(ISNUMBER(SEARCH("Gri", D173)), VERI_TABANI!F25*(0.00202-VERI_TABANI!$B$17), 0))) + ((VERI_TABANI!D26*B173*(VERI_TABANI!$B$13-VERI_TABANI!$B$14)) + (VERI_TABANI!D26*C173*(VERI_TABANI!$B$13-VERI_TABANI!$B$15)) + IF(ISNUMBER(SEARCH("Var", D173)), VERI_TABANI!F26*(0.00202-VERI_TABANI!$B$16), IF(ISNUMBER(SEARCH("Gri", D173)), VERI_TABANI!F26*(0.00202-VERI_TABANI!$B$17), 0))) + ((VERI_TABANI!D27*B173*(VERI_TABANI!$B$13-VERI_TABANI!$B$14)) + (VERI_TABANI!D27*C173*(VERI_TABANI!$B$13-VERI_TABANI!$B$15)) + IF(ISNUMBER(SEARCH("Var", D173)), VERI_TABANI!F27*(0.00202-VERI_TABANI!$B$16), IF(ISNUMBER(SEARCH("Gri", D173)), VERI_TABANI!F27*(0.00202-VERI_TABANI!$B$17), 0))) + ((VERI_TABANI!D28*B173*(VERI_TABANI!$B$13-VERI_TABANI!$B$14)) + (VERI_TABANI!D28*C173*(VERI_TABANI!$B$13-VERI_TABANI!$B$15)) + IF(ISNUMBER(SEARCH("Var", D173)), VERI_TABANI!F28*(0.00202-VERI_TABANI!$B$16), IF(ISNUMBER(SEARCH("Gri", D173)), VERI_TABANI!F28*(0.00202-VERI_TABANI!$B$17), 0))))</f>
        <v/>
      </c>
      <c r="I173" s="170">
        <f>IFERROR(((VERI_TABANI!$D$29*B173*VERI_TABANI!$B$14 + VERI_TABANI!$D$29*C173*VERI_TABANI!$B$15 + IF(ISNUMBER(SEARCH("Var", D173)), VERI_TABANI!$F$29*VERI_TABANI!$B$16, 0))) / (((VERI_TABANI!$D$29*B173 + VERI_TABANI!$D$29*C173)*VERI_TABANI!$B$13 + IF(ISNUMBER(SEARCH("Var", D173)), VERI_TABANI!$E$29*(1-0.928)*VERI_TABANI!$B$18, 0))), 0)</f>
        <v/>
      </c>
      <c r="J173" s="171">
        <f>IFERROR(F173/(G173/29), 0)</f>
        <v/>
      </c>
      <c r="K173" s="172">
        <f>IF(F173&gt;0, H173/F173, 0)</f>
        <v/>
      </c>
      <c r="L173" s="170">
        <f>IF(F173&gt;0, I173, 1000000000)</f>
        <v/>
      </c>
      <c r="M173" s="171">
        <f>ABS((B173+C173)-1)</f>
        <v/>
      </c>
      <c r="N173" s="170">
        <f>IF(F173&gt;0, (G173/29)/F173, 0)</f>
        <v/>
      </c>
      <c r="O173" s="168">
        <f>IF(AND((B173+C173)&gt;=1, ISNUMBER(SEARCH("Var", D173))), F173, 1000000000)</f>
        <v/>
      </c>
      <c r="P173" s="172">
        <f>IF(F173&gt;0, SQRT((F173/MAX(F$5:F$886))^2 + (1 - H173/MAX(H$5:H$886))^2 + (J173/MAX(J$5:J$886))^2), 1000000000)</f>
        <v/>
      </c>
      <c r="Q173" s="166">
        <f>IF(AND(ABS(B173-0.5)&lt;0.01, ABS(C173-0.5)&lt;0.01, ISNUMBER(SEARCH("Var", D173))), 1, 0)</f>
        <v/>
      </c>
      <c r="R173" s="171">
        <f>IF(F173&gt;0, J173, 1000000000)</f>
        <v/>
      </c>
      <c r="S173" s="101">
        <f>IF(AND(F173&lt;=DASHBOARD!$B$11, H173&gt;=DASHBOARD!$B$13), G173, -1000000000000)</f>
        <v/>
      </c>
      <c r="T173" s="101">
        <f>IF(AND(F173&lt;=DASHBOARD!$B$11, H173&gt;=DASHBOARD!$B$13), R173, 1000000000000)</f>
        <v/>
      </c>
      <c r="U173" s="101">
        <f>IF(AND(F173&lt;=DASHBOARD!$B$11, H173&gt;=DASHBOARD!$B$13), N173, -1000000000000)</f>
        <v/>
      </c>
      <c r="V173" s="101">
        <f>IF(AND(F173&lt;=DASHBOARD!$B$11, H173&gt;=DASHBOARD!$B$13), H173, -1000000000000)</f>
        <v/>
      </c>
      <c r="W173" s="101">
        <f>IF(AND(F173&lt;=DASHBOARD!$B$11, H173&gt;=DASHBOARD!$B$13), K173, -1000000000000)</f>
        <v/>
      </c>
      <c r="X173" s="101">
        <f>IF(AND(F173&lt;=DASHBOARD!$B$11, H173&gt;=DASHBOARD!$B$13), M173, 1000000000000)</f>
        <v/>
      </c>
      <c r="Y173" s="101">
        <f>IF(AND(F173&lt;=DASHBOARD!$B$10, H173&gt;=DASHBOARD!$B$11), L173, 1000000000000)</f>
        <v/>
      </c>
      <c r="Z173" s="101">
        <f>IF(AND(F173&lt;=DASHBOARD!$B$10, H173&gt;=DASHBOARD!$B$11), O173, 1000000000000)</f>
        <v/>
      </c>
      <c r="AA173" s="101">
        <f>IF(AND(F173&lt;=DASHBOARD!$B$10, H173&gt;=DASHBOARD!$B$11), P173, 1000000000000)</f>
        <v/>
      </c>
      <c r="AB173" s="101">
        <f>IF(AND(F173&lt;=DASHBOARD!$B$10, H173&gt;=DASHBOARD!$B$11), Q173, -1000000000000)</f>
        <v/>
      </c>
    </row>
    <row r="174" ht="12.75" customHeight="1" s="102">
      <c r="A174" s="166" t="n">
        <v>170</v>
      </c>
      <c r="B174" s="167" t="n">
        <v>0.4</v>
      </c>
      <c r="C174" s="167" t="n">
        <v>0</v>
      </c>
      <c r="D174" s="110" t="inlineStr">
        <is>
          <t>Var (%20)</t>
        </is>
      </c>
      <c r="E174" s="110">
        <f>IF((B174+C174)&lt;=1, "Tam Mahsuplaşma (≤%100)", "Kısmi Satış (&gt;%100)")</f>
        <v/>
      </c>
      <c r="F174" s="168">
        <f>((VERI_TABANI!$D$29*B174/VERI_TABANI!$B$29)/VERI_TABANI!$B$3)*VERI_TABANI!$B$5 + ((VERI_TABANI!$D$29*C174/VERI_TABANI!$B$29)/VERI_TABANI!$B$4)*VERI_TABANI!$B$6 + IF(ISNUMBER(SEARCH("Var", D174)), (VERI_TABANI!$F$29/VERI_TABANI!$B$29)*(VERI_TABANI!$B$10+VERI_TABANI!$B$12), 0)</f>
        <v/>
      </c>
      <c r="G174" s="168">
        <f>(((MIN(VERI_TABANI!D23, VERI_TABANI!D23*B174)*VERI_TABANI!$B$7 + MAX(0, VERI_TABANI!D23*B174-VERI_TABANI!D23)*VERI_TABANI!$B$8) + (MIN(MAX(0, VERI_TABANI!D23-VERI_TABANI!D23*B174), VERI_TABANI!D23*C174)*VERI_TABANI!$B$7 + MAX(0, VERI_TABANI!D23*C174-MAX(0, VERI_TABANI!D23-VERI_TABANI!D23*B174))*VERI_TABANI!$B$8) + IF(ABS(IF(ISNUMBER(SEARCH("Var", D174)), 1, IF(ISNUMBER(SEARCH("Gri", D174)), -1, 0)))=1, VERI_TABANI!E23*(1-0.928)*VERI_TABANI!$B$9, 0) + (VERI_TABANI!D23*B174*(VERI_TABANI!$B$13-VERI_TABANI!$B$14)*VERI_TABANI!G23) + (VERI_TABANI!D23*C174*(VERI_TABANI!$B$13-VERI_TABANI!$B$15)*VERI_TABANI!G23) + IF(ABS(IF(ISNUMBER(SEARCH("Var", D174)), 1, IF(ISNUMBER(SEARCH("Gri", D174)), -1, 0)))=1, VERI_TABANI!E23*(1-0.928)*0.00206091519919798*VERI_TABANI!G23, 0)) + ((MIN(VERI_TABANI!D24, VERI_TABANI!D24*B174)*VERI_TABANI!$B$7 + MAX(0, VERI_TABANI!D24*B174-VERI_TABANI!D24)*VERI_TABANI!$B$8) + (MIN(MAX(0, VERI_TABANI!D24-VERI_TABANI!D24*B174), VERI_TABANI!D24*C174)*VERI_TABANI!$B$7 + MAX(0, VERI_TABANI!D24*C174-MAX(0, VERI_TABANI!D24-VERI_TABANI!D24*B174))*VERI_TABANI!$B$8) + IF(ABS(IF(ISNUMBER(SEARCH("Var", D174)), 1, IF(ISNUMBER(SEARCH("Gri", D174)), -1, 0)))=1, VERI_TABANI!E24*(1-0.928)*VERI_TABANI!$B$9, 0) + (VERI_TABANI!D24*B174*(VERI_TABANI!$B$13-VERI_TABANI!$B$14)*VERI_TABANI!G24) + (VERI_TABANI!D24*C174*(VERI_TABANI!$B$13-VERI_TABANI!$B$15)*VERI_TABANI!G24) + IF(ABS(IF(ISNUMBER(SEARCH("Var", D174)), 1, IF(ISNUMBER(SEARCH("Gri", D174)), -1, 0)))=1, VERI_TABANI!E24*(1-0.928)*0.00206091519919798*VERI_TABANI!G24, 0)) + ((MIN(VERI_TABANI!D25, VERI_TABANI!D25*B174)*VERI_TABANI!$B$7 + MAX(0, VERI_TABANI!D25*B174-VERI_TABANI!D25)*VERI_TABANI!$B$8) + (MIN(MAX(0, VERI_TABANI!D25-VERI_TABANI!D25*B174), VERI_TABANI!D25*C174)*VERI_TABANI!$B$7 + MAX(0, VERI_TABANI!D25*C174-MAX(0, VERI_TABANI!D25-VERI_TABANI!D25*B174))*VERI_TABANI!$B$8) + IF(ABS(IF(ISNUMBER(SEARCH("Var", D174)), 1, IF(ISNUMBER(SEARCH("Gri", D174)), -1, 0)))=1, VERI_TABANI!E25*(1-0.928)*VERI_TABANI!$B$9, 0) + (VERI_TABANI!D25*B174*(VERI_TABANI!$B$13-VERI_TABANI!$B$14)*VERI_TABANI!G25) + (VERI_TABANI!D25*C174*(VERI_TABANI!$B$13-VERI_TABANI!$B$15)*VERI_TABANI!G25) + IF(ABS(IF(ISNUMBER(SEARCH("Var", D174)), 1, IF(ISNUMBER(SEARCH("Gri", D174)), -1, 0)))=1, VERI_TABANI!E25*(1-0.928)*0.00206091519919798*VERI_TABANI!G25, 0)) + ((MIN(VERI_TABANI!D26, VERI_TABANI!D26*B174)*VERI_TABANI!$B$7 + MAX(0, VERI_TABANI!D26*B174-VERI_TABANI!D26)*VERI_TABANI!$B$8) + (MIN(MAX(0, VERI_TABANI!D26-VERI_TABANI!D26*B174), VERI_TABANI!D26*C174)*VERI_TABANI!$B$7 + MAX(0, VERI_TABANI!D26*C174-MAX(0, VERI_TABANI!D26-VERI_TABANI!D26*B174))*VERI_TABANI!$B$8) + IF(ABS(IF(ISNUMBER(SEARCH("Var", D174)), 1, IF(ISNUMBER(SEARCH("Gri", D174)), -1, 0)))=1, VERI_TABANI!E26*(1-0.928)*VERI_TABANI!$B$9, 0) + (VERI_TABANI!D26*B174*(VERI_TABANI!$B$13-VERI_TABANI!$B$14)*VERI_TABANI!G26) + (VERI_TABANI!D26*C174*(VERI_TABANI!$B$13-VERI_TABANI!$B$15)*VERI_TABANI!G26) + IF(ABS(IF(ISNUMBER(SEARCH("Var", D174)), 1, IF(ISNUMBER(SEARCH("Gri", D174)), -1, 0)))=1, VERI_TABANI!E26*(1-0.928)*0.00206091519919798*VERI_TABANI!G26, 0)) + ((MIN(VERI_TABANI!D27, VERI_TABANI!D27*B174)*VERI_TABANI!$B$7 + MAX(0, VERI_TABANI!D27*B174-VERI_TABANI!D27)*VERI_TABANI!$B$8) + (MIN(MAX(0, VERI_TABANI!D27-VERI_TABANI!D27*B174), VERI_TABANI!D27*C174)*VERI_TABANI!$B$7 + MAX(0, VERI_TABANI!D27*C174-MAX(0, VERI_TABANI!D27-VERI_TABANI!D27*B174))*VERI_TABANI!$B$8) + IF(ABS(IF(ISNUMBER(SEARCH("Var", D174)), 1, IF(ISNUMBER(SEARCH("Gri", D174)), -1, 0)))=1, VERI_TABANI!E27*(1-0.928)*VERI_TABANI!$B$9, 0) + (VERI_TABANI!D27*B174*(VERI_TABANI!$B$13-VERI_TABANI!$B$14)*VERI_TABANI!G27) + (VERI_TABANI!D27*C174*(VERI_TABANI!$B$13-VERI_TABANI!$B$15)*VERI_TABANI!G27) + IF(ABS(IF(ISNUMBER(SEARCH("Var", D174)), 1, IF(ISNUMBER(SEARCH("Gri", D174)), -1, 0)))=1, VERI_TABANI!E27*(1-0.928)*0.00206091519919798*VERI_TABANI!G27, 0)) + ((MIN(VERI_TABANI!D28, VERI_TABANI!D28*B174)*VERI_TABANI!$B$7 + MAX(0, VERI_TABANI!D28*B174-VERI_TABANI!D28)*VERI_TABANI!$B$8) + (MIN(MAX(0, VERI_TABANI!D28-VERI_TABANI!D28*B174), VERI_TABANI!D28*C174)*VERI_TABANI!$B$7 + MAX(0, VERI_TABANI!D28*C174-MAX(0, VERI_TABANI!D28-VERI_TABANI!D28*B174))*VERI_TABANI!$B$8) + IF(ABS(IF(ISNUMBER(SEARCH("Var", D174)), 1, IF(ISNUMBER(SEARCH("Gri", D174)), -1, 0)))=1, VERI_TABANI!E28*(1-0.928)*VERI_TABANI!$B$9, 0) + (VERI_TABANI!D28*B174*(VERI_TABANI!$B$13-VERI_TABANI!$B$14)*VERI_TABANI!G28) + (VERI_TABANI!D28*C174*(VERI_TABANI!$B$13-VERI_TABANI!$B$15)*VERI_TABANI!G28) + IF(ABS(IF(ISNUMBER(SEARCH("Var", D174)), 1, IF(ISNUMBER(SEARCH("Gri", D174)), -1, 0)))=1, VERI_TABANI!E28*(1-0.928)*0.00206091519919798*VERI_TABANI!G28, 0)))</f>
        <v/>
      </c>
      <c r="H174" s="169">
        <f>(((VERI_TABANI!D23*B174*(VERI_TABANI!$B$13-VERI_TABANI!$B$14)) + (VERI_TABANI!D23*C174*(VERI_TABANI!$B$13-VERI_TABANI!$B$15)) + IF(ISNUMBER(SEARCH("Var", D174)), VERI_TABANI!F23*(0.00202-VERI_TABANI!$B$16), IF(ISNUMBER(SEARCH("Gri", D174)), VERI_TABANI!F23*(0.00202-VERI_TABANI!$B$17), 0))) + ((VERI_TABANI!D24*B174*(VERI_TABANI!$B$13-VERI_TABANI!$B$14)) + (VERI_TABANI!D24*C174*(VERI_TABANI!$B$13-VERI_TABANI!$B$15)) + IF(ISNUMBER(SEARCH("Var", D174)), VERI_TABANI!F24*(0.00202-VERI_TABANI!$B$16), IF(ISNUMBER(SEARCH("Gri", D174)), VERI_TABANI!F24*(0.00202-VERI_TABANI!$B$17), 0))) + ((VERI_TABANI!D25*B174*(VERI_TABANI!$B$13-VERI_TABANI!$B$14)) + (VERI_TABANI!D25*C174*(VERI_TABANI!$B$13-VERI_TABANI!$B$15)) + IF(ISNUMBER(SEARCH("Var", D174)), VERI_TABANI!F25*(0.00202-VERI_TABANI!$B$16), IF(ISNUMBER(SEARCH("Gri", D174)), VERI_TABANI!F25*(0.00202-VERI_TABANI!$B$17), 0))) + ((VERI_TABANI!D26*B174*(VERI_TABANI!$B$13-VERI_TABANI!$B$14)) + (VERI_TABANI!D26*C174*(VERI_TABANI!$B$13-VERI_TABANI!$B$15)) + IF(ISNUMBER(SEARCH("Var", D174)), VERI_TABANI!F26*(0.00202-VERI_TABANI!$B$16), IF(ISNUMBER(SEARCH("Gri", D174)), VERI_TABANI!F26*(0.00202-VERI_TABANI!$B$17), 0))) + ((VERI_TABANI!D27*B174*(VERI_TABANI!$B$13-VERI_TABANI!$B$14)) + (VERI_TABANI!D27*C174*(VERI_TABANI!$B$13-VERI_TABANI!$B$15)) + IF(ISNUMBER(SEARCH("Var", D174)), VERI_TABANI!F27*(0.00202-VERI_TABANI!$B$16), IF(ISNUMBER(SEARCH("Gri", D174)), VERI_TABANI!F27*(0.00202-VERI_TABANI!$B$17), 0))) + ((VERI_TABANI!D28*B174*(VERI_TABANI!$B$13-VERI_TABANI!$B$14)) + (VERI_TABANI!D28*C174*(VERI_TABANI!$B$13-VERI_TABANI!$B$15)) + IF(ISNUMBER(SEARCH("Var", D174)), VERI_TABANI!F28*(0.00202-VERI_TABANI!$B$16), IF(ISNUMBER(SEARCH("Gri", D174)), VERI_TABANI!F28*(0.00202-VERI_TABANI!$B$17), 0))))</f>
        <v/>
      </c>
      <c r="I174" s="170">
        <f>IFERROR(((VERI_TABANI!$D$29*B174*VERI_TABANI!$B$14 + VERI_TABANI!$D$29*C174*VERI_TABANI!$B$15 + IF(ISNUMBER(SEARCH("Var", D174)), VERI_TABANI!$F$29*VERI_TABANI!$B$16, 0))) / (((VERI_TABANI!$D$29*B174 + VERI_TABANI!$D$29*C174)*VERI_TABANI!$B$13 + IF(ISNUMBER(SEARCH("Var", D174)), VERI_TABANI!$E$29*(1-0.928)*VERI_TABANI!$B$18, 0))), 0)</f>
        <v/>
      </c>
      <c r="J174" s="171">
        <f>IFERROR(F174/(G174/29), 0)</f>
        <v/>
      </c>
      <c r="K174" s="172">
        <f>IF(F174&gt;0, H174/F174, 0)</f>
        <v/>
      </c>
      <c r="L174" s="170">
        <f>IF(F174&gt;0, I174, 1000000000)</f>
        <v/>
      </c>
      <c r="M174" s="171">
        <f>ABS((B174+C174)-1)</f>
        <v/>
      </c>
      <c r="N174" s="170">
        <f>IF(F174&gt;0, (G174/29)/F174, 0)</f>
        <v/>
      </c>
      <c r="O174" s="168">
        <f>IF(AND((B174+C174)&gt;=1, ISNUMBER(SEARCH("Var", D174))), F174, 1000000000)</f>
        <v/>
      </c>
      <c r="P174" s="172">
        <f>IF(F174&gt;0, SQRT((F174/MAX(F$5:F$886))^2 + (1 - H174/MAX(H$5:H$886))^2 + (J174/MAX(J$5:J$886))^2), 1000000000)</f>
        <v/>
      </c>
      <c r="Q174" s="166">
        <f>IF(AND(ABS(B174-0.5)&lt;0.01, ABS(C174-0.5)&lt;0.01, ISNUMBER(SEARCH("Var", D174))), 1, 0)</f>
        <v/>
      </c>
      <c r="R174" s="171">
        <f>IF(F174&gt;0, J174, 1000000000)</f>
        <v/>
      </c>
      <c r="S174" s="101">
        <f>IF(AND(F174&lt;=DASHBOARD!$B$11, H174&gt;=DASHBOARD!$B$13), G174, -1000000000000)</f>
        <v/>
      </c>
      <c r="T174" s="101">
        <f>IF(AND(F174&lt;=DASHBOARD!$B$11, H174&gt;=DASHBOARD!$B$13), R174, 1000000000000)</f>
        <v/>
      </c>
      <c r="U174" s="101">
        <f>IF(AND(F174&lt;=DASHBOARD!$B$11, H174&gt;=DASHBOARD!$B$13), N174, -1000000000000)</f>
        <v/>
      </c>
      <c r="V174" s="101">
        <f>IF(AND(F174&lt;=DASHBOARD!$B$11, H174&gt;=DASHBOARD!$B$13), H174, -1000000000000)</f>
        <v/>
      </c>
      <c r="W174" s="101">
        <f>IF(AND(F174&lt;=DASHBOARD!$B$11, H174&gt;=DASHBOARD!$B$13), K174, -1000000000000)</f>
        <v/>
      </c>
      <c r="X174" s="101">
        <f>IF(AND(F174&lt;=DASHBOARD!$B$11, H174&gt;=DASHBOARD!$B$13), M174, 1000000000000)</f>
        <v/>
      </c>
      <c r="Y174" s="101">
        <f>IF(AND(F174&lt;=DASHBOARD!$B$10, H174&gt;=DASHBOARD!$B$11), L174, 1000000000000)</f>
        <v/>
      </c>
      <c r="Z174" s="101">
        <f>IF(AND(F174&lt;=DASHBOARD!$B$10, H174&gt;=DASHBOARD!$B$11), O174, 1000000000000)</f>
        <v/>
      </c>
      <c r="AA174" s="101">
        <f>IF(AND(F174&lt;=DASHBOARD!$B$10, H174&gt;=DASHBOARD!$B$11), P174, 1000000000000)</f>
        <v/>
      </c>
      <c r="AB174" s="101">
        <f>IF(AND(F174&lt;=DASHBOARD!$B$10, H174&gt;=DASHBOARD!$B$11), Q174, -1000000000000)</f>
        <v/>
      </c>
    </row>
    <row r="175" ht="12.75" customHeight="1" s="102">
      <c r="A175" s="166" t="n">
        <v>171</v>
      </c>
      <c r="B175" s="167" t="n">
        <v>0.4</v>
      </c>
      <c r="C175" s="167" t="n">
        <v>0.1</v>
      </c>
      <c r="D175" s="110" t="inlineStr">
        <is>
          <t>Yok (%0)</t>
        </is>
      </c>
      <c r="E175" s="110">
        <f>IF((B175+C175)&lt;=1, "Tam Mahsuplaşma (≤%100)", "Kısmi Satış (&gt;%100)")</f>
        <v/>
      </c>
      <c r="F175" s="168">
        <f>((VERI_TABANI!$D$29*B175/VERI_TABANI!$B$29)/VERI_TABANI!$B$3)*VERI_TABANI!$B$5 + ((VERI_TABANI!$D$29*C175/VERI_TABANI!$B$29)/VERI_TABANI!$B$4)*VERI_TABANI!$B$6 + IF(ISNUMBER(SEARCH("Var", D175)), (VERI_TABANI!$F$29/VERI_TABANI!$B$29)*(VERI_TABANI!$B$10+VERI_TABANI!$B$12), 0)</f>
        <v/>
      </c>
      <c r="G175" s="168">
        <f>(((MIN(VERI_TABANI!D23, VERI_TABANI!D23*B175)*VERI_TABANI!$B$7 + MAX(0, VERI_TABANI!D23*B175-VERI_TABANI!D23)*VERI_TABANI!$B$8) + (MIN(MAX(0, VERI_TABANI!D23-VERI_TABANI!D23*B175), VERI_TABANI!D23*C175)*VERI_TABANI!$B$7 + MAX(0, VERI_TABANI!D23*C175-MAX(0, VERI_TABANI!D23-VERI_TABANI!D23*B175))*VERI_TABANI!$B$8) + IF(ABS(IF(ISNUMBER(SEARCH("Var", D175)), 1, IF(ISNUMBER(SEARCH("Gri", D175)), -1, 0)))=1, VERI_TABANI!E23*(1-0.928)*VERI_TABANI!$B$9, 0) + (VERI_TABANI!D23*B175*(VERI_TABANI!$B$13-VERI_TABANI!$B$14)*VERI_TABANI!G23) + (VERI_TABANI!D23*C175*(VERI_TABANI!$B$13-VERI_TABANI!$B$15)*VERI_TABANI!G23) + IF(ABS(IF(ISNUMBER(SEARCH("Var", D175)), 1, IF(ISNUMBER(SEARCH("Gri", D175)), -1, 0)))=1, VERI_TABANI!E23*(1-0.928)*0.00206091519919798*VERI_TABANI!G23, 0)) + ((MIN(VERI_TABANI!D24, VERI_TABANI!D24*B175)*VERI_TABANI!$B$7 + MAX(0, VERI_TABANI!D24*B175-VERI_TABANI!D24)*VERI_TABANI!$B$8) + (MIN(MAX(0, VERI_TABANI!D24-VERI_TABANI!D24*B175), VERI_TABANI!D24*C175)*VERI_TABANI!$B$7 + MAX(0, VERI_TABANI!D24*C175-MAX(0, VERI_TABANI!D24-VERI_TABANI!D24*B175))*VERI_TABANI!$B$8) + IF(ABS(IF(ISNUMBER(SEARCH("Var", D175)), 1, IF(ISNUMBER(SEARCH("Gri", D175)), -1, 0)))=1, VERI_TABANI!E24*(1-0.928)*VERI_TABANI!$B$9, 0) + (VERI_TABANI!D24*B175*(VERI_TABANI!$B$13-VERI_TABANI!$B$14)*VERI_TABANI!G24) + (VERI_TABANI!D24*C175*(VERI_TABANI!$B$13-VERI_TABANI!$B$15)*VERI_TABANI!G24) + IF(ABS(IF(ISNUMBER(SEARCH("Var", D175)), 1, IF(ISNUMBER(SEARCH("Gri", D175)), -1, 0)))=1, VERI_TABANI!E24*(1-0.928)*0.00206091519919798*VERI_TABANI!G24, 0)) + ((MIN(VERI_TABANI!D25, VERI_TABANI!D25*B175)*VERI_TABANI!$B$7 + MAX(0, VERI_TABANI!D25*B175-VERI_TABANI!D25)*VERI_TABANI!$B$8) + (MIN(MAX(0, VERI_TABANI!D25-VERI_TABANI!D25*B175), VERI_TABANI!D25*C175)*VERI_TABANI!$B$7 + MAX(0, VERI_TABANI!D25*C175-MAX(0, VERI_TABANI!D25-VERI_TABANI!D25*B175))*VERI_TABANI!$B$8) + IF(ABS(IF(ISNUMBER(SEARCH("Var", D175)), 1, IF(ISNUMBER(SEARCH("Gri", D175)), -1, 0)))=1, VERI_TABANI!E25*(1-0.928)*VERI_TABANI!$B$9, 0) + (VERI_TABANI!D25*B175*(VERI_TABANI!$B$13-VERI_TABANI!$B$14)*VERI_TABANI!G25) + (VERI_TABANI!D25*C175*(VERI_TABANI!$B$13-VERI_TABANI!$B$15)*VERI_TABANI!G25) + IF(ABS(IF(ISNUMBER(SEARCH("Var", D175)), 1, IF(ISNUMBER(SEARCH("Gri", D175)), -1, 0)))=1, VERI_TABANI!E25*(1-0.928)*0.00206091519919798*VERI_TABANI!G25, 0)) + ((MIN(VERI_TABANI!D26, VERI_TABANI!D26*B175)*VERI_TABANI!$B$7 + MAX(0, VERI_TABANI!D26*B175-VERI_TABANI!D26)*VERI_TABANI!$B$8) + (MIN(MAX(0, VERI_TABANI!D26-VERI_TABANI!D26*B175), VERI_TABANI!D26*C175)*VERI_TABANI!$B$7 + MAX(0, VERI_TABANI!D26*C175-MAX(0, VERI_TABANI!D26-VERI_TABANI!D26*B175))*VERI_TABANI!$B$8) + IF(ABS(IF(ISNUMBER(SEARCH("Var", D175)), 1, IF(ISNUMBER(SEARCH("Gri", D175)), -1, 0)))=1, VERI_TABANI!E26*(1-0.928)*VERI_TABANI!$B$9, 0) + (VERI_TABANI!D26*B175*(VERI_TABANI!$B$13-VERI_TABANI!$B$14)*VERI_TABANI!G26) + (VERI_TABANI!D26*C175*(VERI_TABANI!$B$13-VERI_TABANI!$B$15)*VERI_TABANI!G26) + IF(ABS(IF(ISNUMBER(SEARCH("Var", D175)), 1, IF(ISNUMBER(SEARCH("Gri", D175)), -1, 0)))=1, VERI_TABANI!E26*(1-0.928)*0.00206091519919798*VERI_TABANI!G26, 0)) + ((MIN(VERI_TABANI!D27, VERI_TABANI!D27*B175)*VERI_TABANI!$B$7 + MAX(0, VERI_TABANI!D27*B175-VERI_TABANI!D27)*VERI_TABANI!$B$8) + (MIN(MAX(0, VERI_TABANI!D27-VERI_TABANI!D27*B175), VERI_TABANI!D27*C175)*VERI_TABANI!$B$7 + MAX(0, VERI_TABANI!D27*C175-MAX(0, VERI_TABANI!D27-VERI_TABANI!D27*B175))*VERI_TABANI!$B$8) + IF(ABS(IF(ISNUMBER(SEARCH("Var", D175)), 1, IF(ISNUMBER(SEARCH("Gri", D175)), -1, 0)))=1, VERI_TABANI!E27*(1-0.928)*VERI_TABANI!$B$9, 0) + (VERI_TABANI!D27*B175*(VERI_TABANI!$B$13-VERI_TABANI!$B$14)*VERI_TABANI!G27) + (VERI_TABANI!D27*C175*(VERI_TABANI!$B$13-VERI_TABANI!$B$15)*VERI_TABANI!G27) + IF(ABS(IF(ISNUMBER(SEARCH("Var", D175)), 1, IF(ISNUMBER(SEARCH("Gri", D175)), -1, 0)))=1, VERI_TABANI!E27*(1-0.928)*0.00206091519919798*VERI_TABANI!G27, 0)) + ((MIN(VERI_TABANI!D28, VERI_TABANI!D28*B175)*VERI_TABANI!$B$7 + MAX(0, VERI_TABANI!D28*B175-VERI_TABANI!D28)*VERI_TABANI!$B$8) + (MIN(MAX(0, VERI_TABANI!D28-VERI_TABANI!D28*B175), VERI_TABANI!D28*C175)*VERI_TABANI!$B$7 + MAX(0, VERI_TABANI!D28*C175-MAX(0, VERI_TABANI!D28-VERI_TABANI!D28*B175))*VERI_TABANI!$B$8) + IF(ABS(IF(ISNUMBER(SEARCH("Var", D175)), 1, IF(ISNUMBER(SEARCH("Gri", D175)), -1, 0)))=1, VERI_TABANI!E28*(1-0.928)*VERI_TABANI!$B$9, 0) + (VERI_TABANI!D28*B175*(VERI_TABANI!$B$13-VERI_TABANI!$B$14)*VERI_TABANI!G28) + (VERI_TABANI!D28*C175*(VERI_TABANI!$B$13-VERI_TABANI!$B$15)*VERI_TABANI!G28) + IF(ABS(IF(ISNUMBER(SEARCH("Var", D175)), 1, IF(ISNUMBER(SEARCH("Gri", D175)), -1, 0)))=1, VERI_TABANI!E28*(1-0.928)*0.00206091519919798*VERI_TABANI!G28, 0)))</f>
        <v/>
      </c>
      <c r="H175" s="169">
        <f>(((VERI_TABANI!D23*B175*(VERI_TABANI!$B$13-VERI_TABANI!$B$14)) + (VERI_TABANI!D23*C175*(VERI_TABANI!$B$13-VERI_TABANI!$B$15)) + IF(ISNUMBER(SEARCH("Var", D175)), VERI_TABANI!F23*(0.00202-VERI_TABANI!$B$16), IF(ISNUMBER(SEARCH("Gri", D175)), VERI_TABANI!F23*(0.00202-VERI_TABANI!$B$17), 0))) + ((VERI_TABANI!D24*B175*(VERI_TABANI!$B$13-VERI_TABANI!$B$14)) + (VERI_TABANI!D24*C175*(VERI_TABANI!$B$13-VERI_TABANI!$B$15)) + IF(ISNUMBER(SEARCH("Var", D175)), VERI_TABANI!F24*(0.00202-VERI_TABANI!$B$16), IF(ISNUMBER(SEARCH("Gri", D175)), VERI_TABANI!F24*(0.00202-VERI_TABANI!$B$17), 0))) + ((VERI_TABANI!D25*B175*(VERI_TABANI!$B$13-VERI_TABANI!$B$14)) + (VERI_TABANI!D25*C175*(VERI_TABANI!$B$13-VERI_TABANI!$B$15)) + IF(ISNUMBER(SEARCH("Var", D175)), VERI_TABANI!F25*(0.00202-VERI_TABANI!$B$16), IF(ISNUMBER(SEARCH("Gri", D175)), VERI_TABANI!F25*(0.00202-VERI_TABANI!$B$17), 0))) + ((VERI_TABANI!D26*B175*(VERI_TABANI!$B$13-VERI_TABANI!$B$14)) + (VERI_TABANI!D26*C175*(VERI_TABANI!$B$13-VERI_TABANI!$B$15)) + IF(ISNUMBER(SEARCH("Var", D175)), VERI_TABANI!F26*(0.00202-VERI_TABANI!$B$16), IF(ISNUMBER(SEARCH("Gri", D175)), VERI_TABANI!F26*(0.00202-VERI_TABANI!$B$17), 0))) + ((VERI_TABANI!D27*B175*(VERI_TABANI!$B$13-VERI_TABANI!$B$14)) + (VERI_TABANI!D27*C175*(VERI_TABANI!$B$13-VERI_TABANI!$B$15)) + IF(ISNUMBER(SEARCH("Var", D175)), VERI_TABANI!F27*(0.00202-VERI_TABANI!$B$16), IF(ISNUMBER(SEARCH("Gri", D175)), VERI_TABANI!F27*(0.00202-VERI_TABANI!$B$17), 0))) + ((VERI_TABANI!D28*B175*(VERI_TABANI!$B$13-VERI_TABANI!$B$14)) + (VERI_TABANI!D28*C175*(VERI_TABANI!$B$13-VERI_TABANI!$B$15)) + IF(ISNUMBER(SEARCH("Var", D175)), VERI_TABANI!F28*(0.00202-VERI_TABANI!$B$16), IF(ISNUMBER(SEARCH("Gri", D175)), VERI_TABANI!F28*(0.00202-VERI_TABANI!$B$17), 0))))</f>
        <v/>
      </c>
      <c r="I175" s="170">
        <f>IFERROR(((VERI_TABANI!$D$29*B175*VERI_TABANI!$B$14 + VERI_TABANI!$D$29*C175*VERI_TABANI!$B$15 + IF(ISNUMBER(SEARCH("Var", D175)), VERI_TABANI!$F$29*VERI_TABANI!$B$16, 0))) / (((VERI_TABANI!$D$29*B175 + VERI_TABANI!$D$29*C175)*VERI_TABANI!$B$13 + IF(ISNUMBER(SEARCH("Var", D175)), VERI_TABANI!$E$29*(1-0.928)*VERI_TABANI!$B$18, 0))), 0)</f>
        <v/>
      </c>
      <c r="J175" s="171">
        <f>IFERROR(F175/(G175/29), 0)</f>
        <v/>
      </c>
      <c r="K175" s="172">
        <f>IF(F175&gt;0, H175/F175, 0)</f>
        <v/>
      </c>
      <c r="L175" s="170">
        <f>IF(F175&gt;0, I175, 1000000000)</f>
        <v/>
      </c>
      <c r="M175" s="171">
        <f>ABS((B175+C175)-1)</f>
        <v/>
      </c>
      <c r="N175" s="170">
        <f>IF(F175&gt;0, (G175/29)/F175, 0)</f>
        <v/>
      </c>
      <c r="O175" s="168">
        <f>IF(AND((B175+C175)&gt;=1, ISNUMBER(SEARCH("Var", D175))), F175, 1000000000)</f>
        <v/>
      </c>
      <c r="P175" s="172">
        <f>IF(F175&gt;0, SQRT((F175/MAX(F$5:F$886))^2 + (1 - H175/MAX(H$5:H$886))^2 + (J175/MAX(J$5:J$886))^2), 1000000000)</f>
        <v/>
      </c>
      <c r="Q175" s="166">
        <f>IF(AND(ABS(B175-0.5)&lt;0.01, ABS(C175-0.5)&lt;0.01, ISNUMBER(SEARCH("Var", D175))), 1, 0)</f>
        <v/>
      </c>
      <c r="R175" s="171">
        <f>IF(F175&gt;0, J175, 1000000000)</f>
        <v/>
      </c>
      <c r="S175" s="101">
        <f>IF(AND(F175&lt;=DASHBOARD!$B$11, H175&gt;=DASHBOARD!$B$13), G175, -1000000000000)</f>
        <v/>
      </c>
      <c r="T175" s="101">
        <f>IF(AND(F175&lt;=DASHBOARD!$B$11, H175&gt;=DASHBOARD!$B$13), R175, 1000000000000)</f>
        <v/>
      </c>
      <c r="U175" s="101">
        <f>IF(AND(F175&lt;=DASHBOARD!$B$11, H175&gt;=DASHBOARD!$B$13), N175, -1000000000000)</f>
        <v/>
      </c>
      <c r="V175" s="101">
        <f>IF(AND(F175&lt;=DASHBOARD!$B$11, H175&gt;=DASHBOARD!$B$13), H175, -1000000000000)</f>
        <v/>
      </c>
      <c r="W175" s="101">
        <f>IF(AND(F175&lt;=DASHBOARD!$B$11, H175&gt;=DASHBOARD!$B$13), K175, -1000000000000)</f>
        <v/>
      </c>
      <c r="X175" s="101">
        <f>IF(AND(F175&lt;=DASHBOARD!$B$11, H175&gt;=DASHBOARD!$B$13), M175, 1000000000000)</f>
        <v/>
      </c>
      <c r="Y175" s="101">
        <f>IF(AND(F175&lt;=DASHBOARD!$B$10, H175&gt;=DASHBOARD!$B$11), L175, 1000000000000)</f>
        <v/>
      </c>
      <c r="Z175" s="101">
        <f>IF(AND(F175&lt;=DASHBOARD!$B$10, H175&gt;=DASHBOARD!$B$11), O175, 1000000000000)</f>
        <v/>
      </c>
      <c r="AA175" s="101">
        <f>IF(AND(F175&lt;=DASHBOARD!$B$10, H175&gt;=DASHBOARD!$B$11), P175, 1000000000000)</f>
        <v/>
      </c>
      <c r="AB175" s="101">
        <f>IF(AND(F175&lt;=DASHBOARD!$B$10, H175&gt;=DASHBOARD!$B$11), Q175, -1000000000000)</f>
        <v/>
      </c>
    </row>
    <row r="176" ht="12.75" customHeight="1" s="102">
      <c r="A176" s="166" t="n">
        <v>172</v>
      </c>
      <c r="B176" s="167" t="n">
        <v>0.4</v>
      </c>
      <c r="C176" s="167" t="n">
        <v>0.1</v>
      </c>
      <c r="D176" s="110" t="inlineStr">
        <is>
          <t>Var (%20)</t>
        </is>
      </c>
      <c r="E176" s="110">
        <f>IF((B176+C176)&lt;=1, "Tam Mahsuplaşma (≤%100)", "Kısmi Satış (&gt;%100)")</f>
        <v/>
      </c>
      <c r="F176" s="168">
        <f>((VERI_TABANI!$D$29*B176/VERI_TABANI!$B$29)/VERI_TABANI!$B$3)*VERI_TABANI!$B$5 + ((VERI_TABANI!$D$29*C176/VERI_TABANI!$B$29)/VERI_TABANI!$B$4)*VERI_TABANI!$B$6 + IF(ISNUMBER(SEARCH("Var", D176)), (VERI_TABANI!$F$29/VERI_TABANI!$B$29)*(VERI_TABANI!$B$10+VERI_TABANI!$B$12), 0)</f>
        <v/>
      </c>
      <c r="G176" s="168">
        <f>(((MIN(VERI_TABANI!D23, VERI_TABANI!D23*B176)*VERI_TABANI!$B$7 + MAX(0, VERI_TABANI!D23*B176-VERI_TABANI!D23)*VERI_TABANI!$B$8) + (MIN(MAX(0, VERI_TABANI!D23-VERI_TABANI!D23*B176), VERI_TABANI!D23*C176)*VERI_TABANI!$B$7 + MAX(0, VERI_TABANI!D23*C176-MAX(0, VERI_TABANI!D23-VERI_TABANI!D23*B176))*VERI_TABANI!$B$8) + IF(ABS(IF(ISNUMBER(SEARCH("Var", D176)), 1, IF(ISNUMBER(SEARCH("Gri", D176)), -1, 0)))=1, VERI_TABANI!E23*(1-0.928)*VERI_TABANI!$B$9, 0) + (VERI_TABANI!D23*B176*(VERI_TABANI!$B$13-VERI_TABANI!$B$14)*VERI_TABANI!G23) + (VERI_TABANI!D23*C176*(VERI_TABANI!$B$13-VERI_TABANI!$B$15)*VERI_TABANI!G23) + IF(ABS(IF(ISNUMBER(SEARCH("Var", D176)), 1, IF(ISNUMBER(SEARCH("Gri", D176)), -1, 0)))=1, VERI_TABANI!E23*(1-0.928)*0.00206091519919798*VERI_TABANI!G23, 0)) + ((MIN(VERI_TABANI!D24, VERI_TABANI!D24*B176)*VERI_TABANI!$B$7 + MAX(0, VERI_TABANI!D24*B176-VERI_TABANI!D24)*VERI_TABANI!$B$8) + (MIN(MAX(0, VERI_TABANI!D24-VERI_TABANI!D24*B176), VERI_TABANI!D24*C176)*VERI_TABANI!$B$7 + MAX(0, VERI_TABANI!D24*C176-MAX(0, VERI_TABANI!D24-VERI_TABANI!D24*B176))*VERI_TABANI!$B$8) + IF(ABS(IF(ISNUMBER(SEARCH("Var", D176)), 1, IF(ISNUMBER(SEARCH("Gri", D176)), -1, 0)))=1, VERI_TABANI!E24*(1-0.928)*VERI_TABANI!$B$9, 0) + (VERI_TABANI!D24*B176*(VERI_TABANI!$B$13-VERI_TABANI!$B$14)*VERI_TABANI!G24) + (VERI_TABANI!D24*C176*(VERI_TABANI!$B$13-VERI_TABANI!$B$15)*VERI_TABANI!G24) + IF(ABS(IF(ISNUMBER(SEARCH("Var", D176)), 1, IF(ISNUMBER(SEARCH("Gri", D176)), -1, 0)))=1, VERI_TABANI!E24*(1-0.928)*0.00206091519919798*VERI_TABANI!G24, 0)) + ((MIN(VERI_TABANI!D25, VERI_TABANI!D25*B176)*VERI_TABANI!$B$7 + MAX(0, VERI_TABANI!D25*B176-VERI_TABANI!D25)*VERI_TABANI!$B$8) + (MIN(MAX(0, VERI_TABANI!D25-VERI_TABANI!D25*B176), VERI_TABANI!D25*C176)*VERI_TABANI!$B$7 + MAX(0, VERI_TABANI!D25*C176-MAX(0, VERI_TABANI!D25-VERI_TABANI!D25*B176))*VERI_TABANI!$B$8) + IF(ABS(IF(ISNUMBER(SEARCH("Var", D176)), 1, IF(ISNUMBER(SEARCH("Gri", D176)), -1, 0)))=1, VERI_TABANI!E25*(1-0.928)*VERI_TABANI!$B$9, 0) + (VERI_TABANI!D25*B176*(VERI_TABANI!$B$13-VERI_TABANI!$B$14)*VERI_TABANI!G25) + (VERI_TABANI!D25*C176*(VERI_TABANI!$B$13-VERI_TABANI!$B$15)*VERI_TABANI!G25) + IF(ABS(IF(ISNUMBER(SEARCH("Var", D176)), 1, IF(ISNUMBER(SEARCH("Gri", D176)), -1, 0)))=1, VERI_TABANI!E25*(1-0.928)*0.00206091519919798*VERI_TABANI!G25, 0)) + ((MIN(VERI_TABANI!D26, VERI_TABANI!D26*B176)*VERI_TABANI!$B$7 + MAX(0, VERI_TABANI!D26*B176-VERI_TABANI!D26)*VERI_TABANI!$B$8) + (MIN(MAX(0, VERI_TABANI!D26-VERI_TABANI!D26*B176), VERI_TABANI!D26*C176)*VERI_TABANI!$B$7 + MAX(0, VERI_TABANI!D26*C176-MAX(0, VERI_TABANI!D26-VERI_TABANI!D26*B176))*VERI_TABANI!$B$8) + IF(ABS(IF(ISNUMBER(SEARCH("Var", D176)), 1, IF(ISNUMBER(SEARCH("Gri", D176)), -1, 0)))=1, VERI_TABANI!E26*(1-0.928)*VERI_TABANI!$B$9, 0) + (VERI_TABANI!D26*B176*(VERI_TABANI!$B$13-VERI_TABANI!$B$14)*VERI_TABANI!G26) + (VERI_TABANI!D26*C176*(VERI_TABANI!$B$13-VERI_TABANI!$B$15)*VERI_TABANI!G26) + IF(ABS(IF(ISNUMBER(SEARCH("Var", D176)), 1, IF(ISNUMBER(SEARCH("Gri", D176)), -1, 0)))=1, VERI_TABANI!E26*(1-0.928)*0.00206091519919798*VERI_TABANI!G26, 0)) + ((MIN(VERI_TABANI!D27, VERI_TABANI!D27*B176)*VERI_TABANI!$B$7 + MAX(0, VERI_TABANI!D27*B176-VERI_TABANI!D27)*VERI_TABANI!$B$8) + (MIN(MAX(0, VERI_TABANI!D27-VERI_TABANI!D27*B176), VERI_TABANI!D27*C176)*VERI_TABANI!$B$7 + MAX(0, VERI_TABANI!D27*C176-MAX(0, VERI_TABANI!D27-VERI_TABANI!D27*B176))*VERI_TABANI!$B$8) + IF(ABS(IF(ISNUMBER(SEARCH("Var", D176)), 1, IF(ISNUMBER(SEARCH("Gri", D176)), -1, 0)))=1, VERI_TABANI!E27*(1-0.928)*VERI_TABANI!$B$9, 0) + (VERI_TABANI!D27*B176*(VERI_TABANI!$B$13-VERI_TABANI!$B$14)*VERI_TABANI!G27) + (VERI_TABANI!D27*C176*(VERI_TABANI!$B$13-VERI_TABANI!$B$15)*VERI_TABANI!G27) + IF(ABS(IF(ISNUMBER(SEARCH("Var", D176)), 1, IF(ISNUMBER(SEARCH("Gri", D176)), -1, 0)))=1, VERI_TABANI!E27*(1-0.928)*0.00206091519919798*VERI_TABANI!G27, 0)) + ((MIN(VERI_TABANI!D28, VERI_TABANI!D28*B176)*VERI_TABANI!$B$7 + MAX(0, VERI_TABANI!D28*B176-VERI_TABANI!D28)*VERI_TABANI!$B$8) + (MIN(MAX(0, VERI_TABANI!D28-VERI_TABANI!D28*B176), VERI_TABANI!D28*C176)*VERI_TABANI!$B$7 + MAX(0, VERI_TABANI!D28*C176-MAX(0, VERI_TABANI!D28-VERI_TABANI!D28*B176))*VERI_TABANI!$B$8) + IF(ABS(IF(ISNUMBER(SEARCH("Var", D176)), 1, IF(ISNUMBER(SEARCH("Gri", D176)), -1, 0)))=1, VERI_TABANI!E28*(1-0.928)*VERI_TABANI!$B$9, 0) + (VERI_TABANI!D28*B176*(VERI_TABANI!$B$13-VERI_TABANI!$B$14)*VERI_TABANI!G28) + (VERI_TABANI!D28*C176*(VERI_TABANI!$B$13-VERI_TABANI!$B$15)*VERI_TABANI!G28) + IF(ABS(IF(ISNUMBER(SEARCH("Var", D176)), 1, IF(ISNUMBER(SEARCH("Gri", D176)), -1, 0)))=1, VERI_TABANI!E28*(1-0.928)*0.00206091519919798*VERI_TABANI!G28, 0)))</f>
        <v/>
      </c>
      <c r="H176" s="169">
        <f>(((VERI_TABANI!D23*B176*(VERI_TABANI!$B$13-VERI_TABANI!$B$14)) + (VERI_TABANI!D23*C176*(VERI_TABANI!$B$13-VERI_TABANI!$B$15)) + IF(ISNUMBER(SEARCH("Var", D176)), VERI_TABANI!F23*(0.00202-VERI_TABANI!$B$16), IF(ISNUMBER(SEARCH("Gri", D176)), VERI_TABANI!F23*(0.00202-VERI_TABANI!$B$17), 0))) + ((VERI_TABANI!D24*B176*(VERI_TABANI!$B$13-VERI_TABANI!$B$14)) + (VERI_TABANI!D24*C176*(VERI_TABANI!$B$13-VERI_TABANI!$B$15)) + IF(ISNUMBER(SEARCH("Var", D176)), VERI_TABANI!F24*(0.00202-VERI_TABANI!$B$16), IF(ISNUMBER(SEARCH("Gri", D176)), VERI_TABANI!F24*(0.00202-VERI_TABANI!$B$17), 0))) + ((VERI_TABANI!D25*B176*(VERI_TABANI!$B$13-VERI_TABANI!$B$14)) + (VERI_TABANI!D25*C176*(VERI_TABANI!$B$13-VERI_TABANI!$B$15)) + IF(ISNUMBER(SEARCH("Var", D176)), VERI_TABANI!F25*(0.00202-VERI_TABANI!$B$16), IF(ISNUMBER(SEARCH("Gri", D176)), VERI_TABANI!F25*(0.00202-VERI_TABANI!$B$17), 0))) + ((VERI_TABANI!D26*B176*(VERI_TABANI!$B$13-VERI_TABANI!$B$14)) + (VERI_TABANI!D26*C176*(VERI_TABANI!$B$13-VERI_TABANI!$B$15)) + IF(ISNUMBER(SEARCH("Var", D176)), VERI_TABANI!F26*(0.00202-VERI_TABANI!$B$16), IF(ISNUMBER(SEARCH("Gri", D176)), VERI_TABANI!F26*(0.00202-VERI_TABANI!$B$17), 0))) + ((VERI_TABANI!D27*B176*(VERI_TABANI!$B$13-VERI_TABANI!$B$14)) + (VERI_TABANI!D27*C176*(VERI_TABANI!$B$13-VERI_TABANI!$B$15)) + IF(ISNUMBER(SEARCH("Var", D176)), VERI_TABANI!F27*(0.00202-VERI_TABANI!$B$16), IF(ISNUMBER(SEARCH("Gri", D176)), VERI_TABANI!F27*(0.00202-VERI_TABANI!$B$17), 0))) + ((VERI_TABANI!D28*B176*(VERI_TABANI!$B$13-VERI_TABANI!$B$14)) + (VERI_TABANI!D28*C176*(VERI_TABANI!$B$13-VERI_TABANI!$B$15)) + IF(ISNUMBER(SEARCH("Var", D176)), VERI_TABANI!F28*(0.00202-VERI_TABANI!$B$16), IF(ISNUMBER(SEARCH("Gri", D176)), VERI_TABANI!F28*(0.00202-VERI_TABANI!$B$17), 0))))</f>
        <v/>
      </c>
      <c r="I176" s="170">
        <f>IFERROR(((VERI_TABANI!$D$29*B176*VERI_TABANI!$B$14 + VERI_TABANI!$D$29*C176*VERI_TABANI!$B$15 + IF(ISNUMBER(SEARCH("Var", D176)), VERI_TABANI!$F$29*VERI_TABANI!$B$16, 0))) / (((VERI_TABANI!$D$29*B176 + VERI_TABANI!$D$29*C176)*VERI_TABANI!$B$13 + IF(ISNUMBER(SEARCH("Var", D176)), VERI_TABANI!$E$29*(1-0.928)*VERI_TABANI!$B$18, 0))), 0)</f>
        <v/>
      </c>
      <c r="J176" s="171">
        <f>IFERROR(F176/(G176/29), 0)</f>
        <v/>
      </c>
      <c r="K176" s="172">
        <f>IF(F176&gt;0, H176/F176, 0)</f>
        <v/>
      </c>
      <c r="L176" s="170">
        <f>IF(F176&gt;0, I176, 1000000000)</f>
        <v/>
      </c>
      <c r="M176" s="171">
        <f>ABS((B176+C176)-1)</f>
        <v/>
      </c>
      <c r="N176" s="170">
        <f>IF(F176&gt;0, (G176/29)/F176, 0)</f>
        <v/>
      </c>
      <c r="O176" s="168">
        <f>IF(AND((B176+C176)&gt;=1, ISNUMBER(SEARCH("Var", D176))), F176, 1000000000)</f>
        <v/>
      </c>
      <c r="P176" s="172">
        <f>IF(F176&gt;0, SQRT((F176/MAX(F$5:F$886))^2 + (1 - H176/MAX(H$5:H$886))^2 + (J176/MAX(J$5:J$886))^2), 1000000000)</f>
        <v/>
      </c>
      <c r="Q176" s="166">
        <f>IF(AND(ABS(B176-0.5)&lt;0.01, ABS(C176-0.5)&lt;0.01, ISNUMBER(SEARCH("Var", D176))), 1, 0)</f>
        <v/>
      </c>
      <c r="R176" s="171">
        <f>IF(F176&gt;0, J176, 1000000000)</f>
        <v/>
      </c>
      <c r="S176" s="101">
        <f>IF(AND(F176&lt;=DASHBOARD!$B$11, H176&gt;=DASHBOARD!$B$13), G176, -1000000000000)</f>
        <v/>
      </c>
      <c r="T176" s="101">
        <f>IF(AND(F176&lt;=DASHBOARD!$B$11, H176&gt;=DASHBOARD!$B$13), R176, 1000000000000)</f>
        <v/>
      </c>
      <c r="U176" s="101">
        <f>IF(AND(F176&lt;=DASHBOARD!$B$11, H176&gt;=DASHBOARD!$B$13), N176, -1000000000000)</f>
        <v/>
      </c>
      <c r="V176" s="101">
        <f>IF(AND(F176&lt;=DASHBOARD!$B$11, H176&gt;=DASHBOARD!$B$13), H176, -1000000000000)</f>
        <v/>
      </c>
      <c r="W176" s="101">
        <f>IF(AND(F176&lt;=DASHBOARD!$B$11, H176&gt;=DASHBOARD!$B$13), K176, -1000000000000)</f>
        <v/>
      </c>
      <c r="X176" s="101">
        <f>IF(AND(F176&lt;=DASHBOARD!$B$11, H176&gt;=DASHBOARD!$B$13), M176, 1000000000000)</f>
        <v/>
      </c>
      <c r="Y176" s="101">
        <f>IF(AND(F176&lt;=DASHBOARD!$B$10, H176&gt;=DASHBOARD!$B$11), L176, 1000000000000)</f>
        <v/>
      </c>
      <c r="Z176" s="101">
        <f>IF(AND(F176&lt;=DASHBOARD!$B$10, H176&gt;=DASHBOARD!$B$11), O176, 1000000000000)</f>
        <v/>
      </c>
      <c r="AA176" s="101">
        <f>IF(AND(F176&lt;=DASHBOARD!$B$10, H176&gt;=DASHBOARD!$B$11), P176, 1000000000000)</f>
        <v/>
      </c>
      <c r="AB176" s="101">
        <f>IF(AND(F176&lt;=DASHBOARD!$B$10, H176&gt;=DASHBOARD!$B$11), Q176, -1000000000000)</f>
        <v/>
      </c>
    </row>
    <row r="177" ht="12.75" customHeight="1" s="102">
      <c r="A177" s="166" t="n">
        <v>173</v>
      </c>
      <c r="B177" s="167" t="n">
        <v>0.4</v>
      </c>
      <c r="C177" s="167" t="n">
        <v>0.2</v>
      </c>
      <c r="D177" s="110" t="inlineStr">
        <is>
          <t>Yok (%0)</t>
        </is>
      </c>
      <c r="E177" s="110">
        <f>IF((B177+C177)&lt;=1, "Tam Mahsuplaşma (≤%100)", "Kısmi Satış (&gt;%100)")</f>
        <v/>
      </c>
      <c r="F177" s="168">
        <f>((VERI_TABANI!$D$29*B177/VERI_TABANI!$B$29)/VERI_TABANI!$B$3)*VERI_TABANI!$B$5 + ((VERI_TABANI!$D$29*C177/VERI_TABANI!$B$29)/VERI_TABANI!$B$4)*VERI_TABANI!$B$6 + IF(ISNUMBER(SEARCH("Var", D177)), (VERI_TABANI!$F$29/VERI_TABANI!$B$29)*(VERI_TABANI!$B$10+VERI_TABANI!$B$12), 0)</f>
        <v/>
      </c>
      <c r="G177" s="168">
        <f>(((MIN(VERI_TABANI!D23, VERI_TABANI!D23*B177)*VERI_TABANI!$B$7 + MAX(0, VERI_TABANI!D23*B177-VERI_TABANI!D23)*VERI_TABANI!$B$8) + (MIN(MAX(0, VERI_TABANI!D23-VERI_TABANI!D23*B177), VERI_TABANI!D23*C177)*VERI_TABANI!$B$7 + MAX(0, VERI_TABANI!D23*C177-MAX(0, VERI_TABANI!D23-VERI_TABANI!D23*B177))*VERI_TABANI!$B$8) + IF(ABS(IF(ISNUMBER(SEARCH("Var", D177)), 1, IF(ISNUMBER(SEARCH("Gri", D177)), -1, 0)))=1, VERI_TABANI!E23*(1-0.928)*VERI_TABANI!$B$9, 0) + (VERI_TABANI!D23*B177*(VERI_TABANI!$B$13-VERI_TABANI!$B$14)*VERI_TABANI!G23) + (VERI_TABANI!D23*C177*(VERI_TABANI!$B$13-VERI_TABANI!$B$15)*VERI_TABANI!G23) + IF(ABS(IF(ISNUMBER(SEARCH("Var", D177)), 1, IF(ISNUMBER(SEARCH("Gri", D177)), -1, 0)))=1, VERI_TABANI!E23*(1-0.928)*0.00206091519919798*VERI_TABANI!G23, 0)) + ((MIN(VERI_TABANI!D24, VERI_TABANI!D24*B177)*VERI_TABANI!$B$7 + MAX(0, VERI_TABANI!D24*B177-VERI_TABANI!D24)*VERI_TABANI!$B$8) + (MIN(MAX(0, VERI_TABANI!D24-VERI_TABANI!D24*B177), VERI_TABANI!D24*C177)*VERI_TABANI!$B$7 + MAX(0, VERI_TABANI!D24*C177-MAX(0, VERI_TABANI!D24-VERI_TABANI!D24*B177))*VERI_TABANI!$B$8) + IF(ABS(IF(ISNUMBER(SEARCH("Var", D177)), 1, IF(ISNUMBER(SEARCH("Gri", D177)), -1, 0)))=1, VERI_TABANI!E24*(1-0.928)*VERI_TABANI!$B$9, 0) + (VERI_TABANI!D24*B177*(VERI_TABANI!$B$13-VERI_TABANI!$B$14)*VERI_TABANI!G24) + (VERI_TABANI!D24*C177*(VERI_TABANI!$B$13-VERI_TABANI!$B$15)*VERI_TABANI!G24) + IF(ABS(IF(ISNUMBER(SEARCH("Var", D177)), 1, IF(ISNUMBER(SEARCH("Gri", D177)), -1, 0)))=1, VERI_TABANI!E24*(1-0.928)*0.00206091519919798*VERI_TABANI!G24, 0)) + ((MIN(VERI_TABANI!D25, VERI_TABANI!D25*B177)*VERI_TABANI!$B$7 + MAX(0, VERI_TABANI!D25*B177-VERI_TABANI!D25)*VERI_TABANI!$B$8) + (MIN(MAX(0, VERI_TABANI!D25-VERI_TABANI!D25*B177), VERI_TABANI!D25*C177)*VERI_TABANI!$B$7 + MAX(0, VERI_TABANI!D25*C177-MAX(0, VERI_TABANI!D25-VERI_TABANI!D25*B177))*VERI_TABANI!$B$8) + IF(ABS(IF(ISNUMBER(SEARCH("Var", D177)), 1, IF(ISNUMBER(SEARCH("Gri", D177)), -1, 0)))=1, VERI_TABANI!E25*(1-0.928)*VERI_TABANI!$B$9, 0) + (VERI_TABANI!D25*B177*(VERI_TABANI!$B$13-VERI_TABANI!$B$14)*VERI_TABANI!G25) + (VERI_TABANI!D25*C177*(VERI_TABANI!$B$13-VERI_TABANI!$B$15)*VERI_TABANI!G25) + IF(ABS(IF(ISNUMBER(SEARCH("Var", D177)), 1, IF(ISNUMBER(SEARCH("Gri", D177)), -1, 0)))=1, VERI_TABANI!E25*(1-0.928)*0.00206091519919798*VERI_TABANI!G25, 0)) + ((MIN(VERI_TABANI!D26, VERI_TABANI!D26*B177)*VERI_TABANI!$B$7 + MAX(0, VERI_TABANI!D26*B177-VERI_TABANI!D26)*VERI_TABANI!$B$8) + (MIN(MAX(0, VERI_TABANI!D26-VERI_TABANI!D26*B177), VERI_TABANI!D26*C177)*VERI_TABANI!$B$7 + MAX(0, VERI_TABANI!D26*C177-MAX(0, VERI_TABANI!D26-VERI_TABANI!D26*B177))*VERI_TABANI!$B$8) + IF(ABS(IF(ISNUMBER(SEARCH("Var", D177)), 1, IF(ISNUMBER(SEARCH("Gri", D177)), -1, 0)))=1, VERI_TABANI!E26*(1-0.928)*VERI_TABANI!$B$9, 0) + (VERI_TABANI!D26*B177*(VERI_TABANI!$B$13-VERI_TABANI!$B$14)*VERI_TABANI!G26) + (VERI_TABANI!D26*C177*(VERI_TABANI!$B$13-VERI_TABANI!$B$15)*VERI_TABANI!G26) + IF(ABS(IF(ISNUMBER(SEARCH("Var", D177)), 1, IF(ISNUMBER(SEARCH("Gri", D177)), -1, 0)))=1, VERI_TABANI!E26*(1-0.928)*0.00206091519919798*VERI_TABANI!G26, 0)) + ((MIN(VERI_TABANI!D27, VERI_TABANI!D27*B177)*VERI_TABANI!$B$7 + MAX(0, VERI_TABANI!D27*B177-VERI_TABANI!D27)*VERI_TABANI!$B$8) + (MIN(MAX(0, VERI_TABANI!D27-VERI_TABANI!D27*B177), VERI_TABANI!D27*C177)*VERI_TABANI!$B$7 + MAX(0, VERI_TABANI!D27*C177-MAX(0, VERI_TABANI!D27-VERI_TABANI!D27*B177))*VERI_TABANI!$B$8) + IF(ABS(IF(ISNUMBER(SEARCH("Var", D177)), 1, IF(ISNUMBER(SEARCH("Gri", D177)), -1, 0)))=1, VERI_TABANI!E27*(1-0.928)*VERI_TABANI!$B$9, 0) + (VERI_TABANI!D27*B177*(VERI_TABANI!$B$13-VERI_TABANI!$B$14)*VERI_TABANI!G27) + (VERI_TABANI!D27*C177*(VERI_TABANI!$B$13-VERI_TABANI!$B$15)*VERI_TABANI!G27) + IF(ABS(IF(ISNUMBER(SEARCH("Var", D177)), 1, IF(ISNUMBER(SEARCH("Gri", D177)), -1, 0)))=1, VERI_TABANI!E27*(1-0.928)*0.00206091519919798*VERI_TABANI!G27, 0)) + ((MIN(VERI_TABANI!D28, VERI_TABANI!D28*B177)*VERI_TABANI!$B$7 + MAX(0, VERI_TABANI!D28*B177-VERI_TABANI!D28)*VERI_TABANI!$B$8) + (MIN(MAX(0, VERI_TABANI!D28-VERI_TABANI!D28*B177), VERI_TABANI!D28*C177)*VERI_TABANI!$B$7 + MAX(0, VERI_TABANI!D28*C177-MAX(0, VERI_TABANI!D28-VERI_TABANI!D28*B177))*VERI_TABANI!$B$8) + IF(ABS(IF(ISNUMBER(SEARCH("Var", D177)), 1, IF(ISNUMBER(SEARCH("Gri", D177)), -1, 0)))=1, VERI_TABANI!E28*(1-0.928)*VERI_TABANI!$B$9, 0) + (VERI_TABANI!D28*B177*(VERI_TABANI!$B$13-VERI_TABANI!$B$14)*VERI_TABANI!G28) + (VERI_TABANI!D28*C177*(VERI_TABANI!$B$13-VERI_TABANI!$B$15)*VERI_TABANI!G28) + IF(ABS(IF(ISNUMBER(SEARCH("Var", D177)), 1, IF(ISNUMBER(SEARCH("Gri", D177)), -1, 0)))=1, VERI_TABANI!E28*(1-0.928)*0.00206091519919798*VERI_TABANI!G28, 0)))</f>
        <v/>
      </c>
      <c r="H177" s="169">
        <f>(((VERI_TABANI!D23*B177*(VERI_TABANI!$B$13-VERI_TABANI!$B$14)) + (VERI_TABANI!D23*C177*(VERI_TABANI!$B$13-VERI_TABANI!$B$15)) + IF(ISNUMBER(SEARCH("Var", D177)), VERI_TABANI!F23*(0.00202-VERI_TABANI!$B$16), IF(ISNUMBER(SEARCH("Gri", D177)), VERI_TABANI!F23*(0.00202-VERI_TABANI!$B$17), 0))) + ((VERI_TABANI!D24*B177*(VERI_TABANI!$B$13-VERI_TABANI!$B$14)) + (VERI_TABANI!D24*C177*(VERI_TABANI!$B$13-VERI_TABANI!$B$15)) + IF(ISNUMBER(SEARCH("Var", D177)), VERI_TABANI!F24*(0.00202-VERI_TABANI!$B$16), IF(ISNUMBER(SEARCH("Gri", D177)), VERI_TABANI!F24*(0.00202-VERI_TABANI!$B$17), 0))) + ((VERI_TABANI!D25*B177*(VERI_TABANI!$B$13-VERI_TABANI!$B$14)) + (VERI_TABANI!D25*C177*(VERI_TABANI!$B$13-VERI_TABANI!$B$15)) + IF(ISNUMBER(SEARCH("Var", D177)), VERI_TABANI!F25*(0.00202-VERI_TABANI!$B$16), IF(ISNUMBER(SEARCH("Gri", D177)), VERI_TABANI!F25*(0.00202-VERI_TABANI!$B$17), 0))) + ((VERI_TABANI!D26*B177*(VERI_TABANI!$B$13-VERI_TABANI!$B$14)) + (VERI_TABANI!D26*C177*(VERI_TABANI!$B$13-VERI_TABANI!$B$15)) + IF(ISNUMBER(SEARCH("Var", D177)), VERI_TABANI!F26*(0.00202-VERI_TABANI!$B$16), IF(ISNUMBER(SEARCH("Gri", D177)), VERI_TABANI!F26*(0.00202-VERI_TABANI!$B$17), 0))) + ((VERI_TABANI!D27*B177*(VERI_TABANI!$B$13-VERI_TABANI!$B$14)) + (VERI_TABANI!D27*C177*(VERI_TABANI!$B$13-VERI_TABANI!$B$15)) + IF(ISNUMBER(SEARCH("Var", D177)), VERI_TABANI!F27*(0.00202-VERI_TABANI!$B$16), IF(ISNUMBER(SEARCH("Gri", D177)), VERI_TABANI!F27*(0.00202-VERI_TABANI!$B$17), 0))) + ((VERI_TABANI!D28*B177*(VERI_TABANI!$B$13-VERI_TABANI!$B$14)) + (VERI_TABANI!D28*C177*(VERI_TABANI!$B$13-VERI_TABANI!$B$15)) + IF(ISNUMBER(SEARCH("Var", D177)), VERI_TABANI!F28*(0.00202-VERI_TABANI!$B$16), IF(ISNUMBER(SEARCH("Gri", D177)), VERI_TABANI!F28*(0.00202-VERI_TABANI!$B$17), 0))))</f>
        <v/>
      </c>
      <c r="I177" s="170">
        <f>IFERROR(((VERI_TABANI!$D$29*B177*VERI_TABANI!$B$14 + VERI_TABANI!$D$29*C177*VERI_TABANI!$B$15 + IF(ISNUMBER(SEARCH("Var", D177)), VERI_TABANI!$F$29*VERI_TABANI!$B$16, 0))) / (((VERI_TABANI!$D$29*B177 + VERI_TABANI!$D$29*C177)*VERI_TABANI!$B$13 + IF(ISNUMBER(SEARCH("Var", D177)), VERI_TABANI!$E$29*(1-0.928)*VERI_TABANI!$B$18, 0))), 0)</f>
        <v/>
      </c>
      <c r="J177" s="171">
        <f>IFERROR(F177/(G177/29), 0)</f>
        <v/>
      </c>
      <c r="K177" s="172">
        <f>IF(F177&gt;0, H177/F177, 0)</f>
        <v/>
      </c>
      <c r="L177" s="170">
        <f>IF(F177&gt;0, I177, 1000000000)</f>
        <v/>
      </c>
      <c r="M177" s="171">
        <f>ABS((B177+C177)-1)</f>
        <v/>
      </c>
      <c r="N177" s="170">
        <f>IF(F177&gt;0, (G177/29)/F177, 0)</f>
        <v/>
      </c>
      <c r="O177" s="168">
        <f>IF(AND((B177+C177)&gt;=1, ISNUMBER(SEARCH("Var", D177))), F177, 1000000000)</f>
        <v/>
      </c>
      <c r="P177" s="172">
        <f>IF(F177&gt;0, SQRT((F177/MAX(F$5:F$886))^2 + (1 - H177/MAX(H$5:H$886))^2 + (J177/MAX(J$5:J$886))^2), 1000000000)</f>
        <v/>
      </c>
      <c r="Q177" s="166">
        <f>IF(AND(ABS(B177-0.5)&lt;0.01, ABS(C177-0.5)&lt;0.01, ISNUMBER(SEARCH("Var", D177))), 1, 0)</f>
        <v/>
      </c>
      <c r="R177" s="171">
        <f>IF(F177&gt;0, J177, 1000000000)</f>
        <v/>
      </c>
      <c r="S177" s="101">
        <f>IF(AND(F177&lt;=DASHBOARD!$B$11, H177&gt;=DASHBOARD!$B$13), G177, -1000000000000)</f>
        <v/>
      </c>
      <c r="T177" s="101">
        <f>IF(AND(F177&lt;=DASHBOARD!$B$11, H177&gt;=DASHBOARD!$B$13), R177, 1000000000000)</f>
        <v/>
      </c>
      <c r="U177" s="101">
        <f>IF(AND(F177&lt;=DASHBOARD!$B$11, H177&gt;=DASHBOARD!$B$13), N177, -1000000000000)</f>
        <v/>
      </c>
      <c r="V177" s="101">
        <f>IF(AND(F177&lt;=DASHBOARD!$B$11, H177&gt;=DASHBOARD!$B$13), H177, -1000000000000)</f>
        <v/>
      </c>
      <c r="W177" s="101">
        <f>IF(AND(F177&lt;=DASHBOARD!$B$11, H177&gt;=DASHBOARD!$B$13), K177, -1000000000000)</f>
        <v/>
      </c>
      <c r="X177" s="101">
        <f>IF(AND(F177&lt;=DASHBOARD!$B$11, H177&gt;=DASHBOARD!$B$13), M177, 1000000000000)</f>
        <v/>
      </c>
      <c r="Y177" s="101">
        <f>IF(AND(F177&lt;=DASHBOARD!$B$10, H177&gt;=DASHBOARD!$B$11), L177, 1000000000000)</f>
        <v/>
      </c>
      <c r="Z177" s="101">
        <f>IF(AND(F177&lt;=DASHBOARD!$B$10, H177&gt;=DASHBOARD!$B$11), O177, 1000000000000)</f>
        <v/>
      </c>
      <c r="AA177" s="101">
        <f>IF(AND(F177&lt;=DASHBOARD!$B$10, H177&gt;=DASHBOARD!$B$11), P177, 1000000000000)</f>
        <v/>
      </c>
      <c r="AB177" s="101">
        <f>IF(AND(F177&lt;=DASHBOARD!$B$10, H177&gt;=DASHBOARD!$B$11), Q177, -1000000000000)</f>
        <v/>
      </c>
    </row>
    <row r="178" ht="12.75" customHeight="1" s="102">
      <c r="A178" s="166" t="n">
        <v>174</v>
      </c>
      <c r="B178" s="167" t="n">
        <v>0.4</v>
      </c>
      <c r="C178" s="167" t="n">
        <v>0.2</v>
      </c>
      <c r="D178" s="110" t="inlineStr">
        <is>
          <t>Var (%20)</t>
        </is>
      </c>
      <c r="E178" s="110">
        <f>IF((B178+C178)&lt;=1, "Tam Mahsuplaşma (≤%100)", "Kısmi Satış (&gt;%100)")</f>
        <v/>
      </c>
      <c r="F178" s="168">
        <f>((VERI_TABANI!$D$29*B178/VERI_TABANI!$B$29)/VERI_TABANI!$B$3)*VERI_TABANI!$B$5 + ((VERI_TABANI!$D$29*C178/VERI_TABANI!$B$29)/VERI_TABANI!$B$4)*VERI_TABANI!$B$6 + IF(ISNUMBER(SEARCH("Var", D178)), (VERI_TABANI!$F$29/VERI_TABANI!$B$29)*(VERI_TABANI!$B$10+VERI_TABANI!$B$12), 0)</f>
        <v/>
      </c>
      <c r="G178" s="168">
        <f>(((MIN(VERI_TABANI!D23, VERI_TABANI!D23*B178)*VERI_TABANI!$B$7 + MAX(0, VERI_TABANI!D23*B178-VERI_TABANI!D23)*VERI_TABANI!$B$8) + (MIN(MAX(0, VERI_TABANI!D23-VERI_TABANI!D23*B178), VERI_TABANI!D23*C178)*VERI_TABANI!$B$7 + MAX(0, VERI_TABANI!D23*C178-MAX(0, VERI_TABANI!D23-VERI_TABANI!D23*B178))*VERI_TABANI!$B$8) + IF(ABS(IF(ISNUMBER(SEARCH("Var", D178)), 1, IF(ISNUMBER(SEARCH("Gri", D178)), -1, 0)))=1, VERI_TABANI!E23*(1-0.928)*VERI_TABANI!$B$9, 0) + (VERI_TABANI!D23*B178*(VERI_TABANI!$B$13-VERI_TABANI!$B$14)*VERI_TABANI!G23) + (VERI_TABANI!D23*C178*(VERI_TABANI!$B$13-VERI_TABANI!$B$15)*VERI_TABANI!G23) + IF(ABS(IF(ISNUMBER(SEARCH("Var", D178)), 1, IF(ISNUMBER(SEARCH("Gri", D178)), -1, 0)))=1, VERI_TABANI!E23*(1-0.928)*0.00206091519919798*VERI_TABANI!G23, 0)) + ((MIN(VERI_TABANI!D24, VERI_TABANI!D24*B178)*VERI_TABANI!$B$7 + MAX(0, VERI_TABANI!D24*B178-VERI_TABANI!D24)*VERI_TABANI!$B$8) + (MIN(MAX(0, VERI_TABANI!D24-VERI_TABANI!D24*B178), VERI_TABANI!D24*C178)*VERI_TABANI!$B$7 + MAX(0, VERI_TABANI!D24*C178-MAX(0, VERI_TABANI!D24-VERI_TABANI!D24*B178))*VERI_TABANI!$B$8) + IF(ABS(IF(ISNUMBER(SEARCH("Var", D178)), 1, IF(ISNUMBER(SEARCH("Gri", D178)), -1, 0)))=1, VERI_TABANI!E24*(1-0.928)*VERI_TABANI!$B$9, 0) + (VERI_TABANI!D24*B178*(VERI_TABANI!$B$13-VERI_TABANI!$B$14)*VERI_TABANI!G24) + (VERI_TABANI!D24*C178*(VERI_TABANI!$B$13-VERI_TABANI!$B$15)*VERI_TABANI!G24) + IF(ABS(IF(ISNUMBER(SEARCH("Var", D178)), 1, IF(ISNUMBER(SEARCH("Gri", D178)), -1, 0)))=1, VERI_TABANI!E24*(1-0.928)*0.00206091519919798*VERI_TABANI!G24, 0)) + ((MIN(VERI_TABANI!D25, VERI_TABANI!D25*B178)*VERI_TABANI!$B$7 + MAX(0, VERI_TABANI!D25*B178-VERI_TABANI!D25)*VERI_TABANI!$B$8) + (MIN(MAX(0, VERI_TABANI!D25-VERI_TABANI!D25*B178), VERI_TABANI!D25*C178)*VERI_TABANI!$B$7 + MAX(0, VERI_TABANI!D25*C178-MAX(0, VERI_TABANI!D25-VERI_TABANI!D25*B178))*VERI_TABANI!$B$8) + IF(ABS(IF(ISNUMBER(SEARCH("Var", D178)), 1, IF(ISNUMBER(SEARCH("Gri", D178)), -1, 0)))=1, VERI_TABANI!E25*(1-0.928)*VERI_TABANI!$B$9, 0) + (VERI_TABANI!D25*B178*(VERI_TABANI!$B$13-VERI_TABANI!$B$14)*VERI_TABANI!G25) + (VERI_TABANI!D25*C178*(VERI_TABANI!$B$13-VERI_TABANI!$B$15)*VERI_TABANI!G25) + IF(ABS(IF(ISNUMBER(SEARCH("Var", D178)), 1, IF(ISNUMBER(SEARCH("Gri", D178)), -1, 0)))=1, VERI_TABANI!E25*(1-0.928)*0.00206091519919798*VERI_TABANI!G25, 0)) + ((MIN(VERI_TABANI!D26, VERI_TABANI!D26*B178)*VERI_TABANI!$B$7 + MAX(0, VERI_TABANI!D26*B178-VERI_TABANI!D26)*VERI_TABANI!$B$8) + (MIN(MAX(0, VERI_TABANI!D26-VERI_TABANI!D26*B178), VERI_TABANI!D26*C178)*VERI_TABANI!$B$7 + MAX(0, VERI_TABANI!D26*C178-MAX(0, VERI_TABANI!D26-VERI_TABANI!D26*B178))*VERI_TABANI!$B$8) + IF(ABS(IF(ISNUMBER(SEARCH("Var", D178)), 1, IF(ISNUMBER(SEARCH("Gri", D178)), -1, 0)))=1, VERI_TABANI!E26*(1-0.928)*VERI_TABANI!$B$9, 0) + (VERI_TABANI!D26*B178*(VERI_TABANI!$B$13-VERI_TABANI!$B$14)*VERI_TABANI!G26) + (VERI_TABANI!D26*C178*(VERI_TABANI!$B$13-VERI_TABANI!$B$15)*VERI_TABANI!G26) + IF(ABS(IF(ISNUMBER(SEARCH("Var", D178)), 1, IF(ISNUMBER(SEARCH("Gri", D178)), -1, 0)))=1, VERI_TABANI!E26*(1-0.928)*0.00206091519919798*VERI_TABANI!G26, 0)) + ((MIN(VERI_TABANI!D27, VERI_TABANI!D27*B178)*VERI_TABANI!$B$7 + MAX(0, VERI_TABANI!D27*B178-VERI_TABANI!D27)*VERI_TABANI!$B$8) + (MIN(MAX(0, VERI_TABANI!D27-VERI_TABANI!D27*B178), VERI_TABANI!D27*C178)*VERI_TABANI!$B$7 + MAX(0, VERI_TABANI!D27*C178-MAX(0, VERI_TABANI!D27-VERI_TABANI!D27*B178))*VERI_TABANI!$B$8) + IF(ABS(IF(ISNUMBER(SEARCH("Var", D178)), 1, IF(ISNUMBER(SEARCH("Gri", D178)), -1, 0)))=1, VERI_TABANI!E27*(1-0.928)*VERI_TABANI!$B$9, 0) + (VERI_TABANI!D27*B178*(VERI_TABANI!$B$13-VERI_TABANI!$B$14)*VERI_TABANI!G27) + (VERI_TABANI!D27*C178*(VERI_TABANI!$B$13-VERI_TABANI!$B$15)*VERI_TABANI!G27) + IF(ABS(IF(ISNUMBER(SEARCH("Var", D178)), 1, IF(ISNUMBER(SEARCH("Gri", D178)), -1, 0)))=1, VERI_TABANI!E27*(1-0.928)*0.00206091519919798*VERI_TABANI!G27, 0)) + ((MIN(VERI_TABANI!D28, VERI_TABANI!D28*B178)*VERI_TABANI!$B$7 + MAX(0, VERI_TABANI!D28*B178-VERI_TABANI!D28)*VERI_TABANI!$B$8) + (MIN(MAX(0, VERI_TABANI!D28-VERI_TABANI!D28*B178), VERI_TABANI!D28*C178)*VERI_TABANI!$B$7 + MAX(0, VERI_TABANI!D28*C178-MAX(0, VERI_TABANI!D28-VERI_TABANI!D28*B178))*VERI_TABANI!$B$8) + IF(ABS(IF(ISNUMBER(SEARCH("Var", D178)), 1, IF(ISNUMBER(SEARCH("Gri", D178)), -1, 0)))=1, VERI_TABANI!E28*(1-0.928)*VERI_TABANI!$B$9, 0) + (VERI_TABANI!D28*B178*(VERI_TABANI!$B$13-VERI_TABANI!$B$14)*VERI_TABANI!G28) + (VERI_TABANI!D28*C178*(VERI_TABANI!$B$13-VERI_TABANI!$B$15)*VERI_TABANI!G28) + IF(ABS(IF(ISNUMBER(SEARCH("Var", D178)), 1, IF(ISNUMBER(SEARCH("Gri", D178)), -1, 0)))=1, VERI_TABANI!E28*(1-0.928)*0.00206091519919798*VERI_TABANI!G28, 0)))</f>
        <v/>
      </c>
      <c r="H178" s="169">
        <f>(((VERI_TABANI!D23*B178*(VERI_TABANI!$B$13-VERI_TABANI!$B$14)) + (VERI_TABANI!D23*C178*(VERI_TABANI!$B$13-VERI_TABANI!$B$15)) + IF(ISNUMBER(SEARCH("Var", D178)), VERI_TABANI!F23*(0.00202-VERI_TABANI!$B$16), IF(ISNUMBER(SEARCH("Gri", D178)), VERI_TABANI!F23*(0.00202-VERI_TABANI!$B$17), 0))) + ((VERI_TABANI!D24*B178*(VERI_TABANI!$B$13-VERI_TABANI!$B$14)) + (VERI_TABANI!D24*C178*(VERI_TABANI!$B$13-VERI_TABANI!$B$15)) + IF(ISNUMBER(SEARCH("Var", D178)), VERI_TABANI!F24*(0.00202-VERI_TABANI!$B$16), IF(ISNUMBER(SEARCH("Gri", D178)), VERI_TABANI!F24*(0.00202-VERI_TABANI!$B$17), 0))) + ((VERI_TABANI!D25*B178*(VERI_TABANI!$B$13-VERI_TABANI!$B$14)) + (VERI_TABANI!D25*C178*(VERI_TABANI!$B$13-VERI_TABANI!$B$15)) + IF(ISNUMBER(SEARCH("Var", D178)), VERI_TABANI!F25*(0.00202-VERI_TABANI!$B$16), IF(ISNUMBER(SEARCH("Gri", D178)), VERI_TABANI!F25*(0.00202-VERI_TABANI!$B$17), 0))) + ((VERI_TABANI!D26*B178*(VERI_TABANI!$B$13-VERI_TABANI!$B$14)) + (VERI_TABANI!D26*C178*(VERI_TABANI!$B$13-VERI_TABANI!$B$15)) + IF(ISNUMBER(SEARCH("Var", D178)), VERI_TABANI!F26*(0.00202-VERI_TABANI!$B$16), IF(ISNUMBER(SEARCH("Gri", D178)), VERI_TABANI!F26*(0.00202-VERI_TABANI!$B$17), 0))) + ((VERI_TABANI!D27*B178*(VERI_TABANI!$B$13-VERI_TABANI!$B$14)) + (VERI_TABANI!D27*C178*(VERI_TABANI!$B$13-VERI_TABANI!$B$15)) + IF(ISNUMBER(SEARCH("Var", D178)), VERI_TABANI!F27*(0.00202-VERI_TABANI!$B$16), IF(ISNUMBER(SEARCH("Gri", D178)), VERI_TABANI!F27*(0.00202-VERI_TABANI!$B$17), 0))) + ((VERI_TABANI!D28*B178*(VERI_TABANI!$B$13-VERI_TABANI!$B$14)) + (VERI_TABANI!D28*C178*(VERI_TABANI!$B$13-VERI_TABANI!$B$15)) + IF(ISNUMBER(SEARCH("Var", D178)), VERI_TABANI!F28*(0.00202-VERI_TABANI!$B$16), IF(ISNUMBER(SEARCH("Gri", D178)), VERI_TABANI!F28*(0.00202-VERI_TABANI!$B$17), 0))))</f>
        <v/>
      </c>
      <c r="I178" s="170">
        <f>IFERROR(((VERI_TABANI!$D$29*B178*VERI_TABANI!$B$14 + VERI_TABANI!$D$29*C178*VERI_TABANI!$B$15 + IF(ISNUMBER(SEARCH("Var", D178)), VERI_TABANI!$F$29*VERI_TABANI!$B$16, 0))) / (((VERI_TABANI!$D$29*B178 + VERI_TABANI!$D$29*C178)*VERI_TABANI!$B$13 + IF(ISNUMBER(SEARCH("Var", D178)), VERI_TABANI!$E$29*(1-0.928)*VERI_TABANI!$B$18, 0))), 0)</f>
        <v/>
      </c>
      <c r="J178" s="171">
        <f>IFERROR(F178/(G178/29), 0)</f>
        <v/>
      </c>
      <c r="K178" s="172">
        <f>IF(F178&gt;0, H178/F178, 0)</f>
        <v/>
      </c>
      <c r="L178" s="170">
        <f>IF(F178&gt;0, I178, 1000000000)</f>
        <v/>
      </c>
      <c r="M178" s="171">
        <f>ABS((B178+C178)-1)</f>
        <v/>
      </c>
      <c r="N178" s="170">
        <f>IF(F178&gt;0, (G178/29)/F178, 0)</f>
        <v/>
      </c>
      <c r="O178" s="168">
        <f>IF(AND((B178+C178)&gt;=1, ISNUMBER(SEARCH("Var", D178))), F178, 1000000000)</f>
        <v/>
      </c>
      <c r="P178" s="172">
        <f>IF(F178&gt;0, SQRT((F178/MAX(F$5:F$886))^2 + (1 - H178/MAX(H$5:H$886))^2 + (J178/MAX(J$5:J$886))^2), 1000000000)</f>
        <v/>
      </c>
      <c r="Q178" s="166">
        <f>IF(AND(ABS(B178-0.5)&lt;0.01, ABS(C178-0.5)&lt;0.01, ISNUMBER(SEARCH("Var", D178))), 1, 0)</f>
        <v/>
      </c>
      <c r="R178" s="171">
        <f>IF(F178&gt;0, J178, 1000000000)</f>
        <v/>
      </c>
      <c r="S178" s="101">
        <f>IF(AND(F178&lt;=DASHBOARD!$B$11, H178&gt;=DASHBOARD!$B$13), G178, -1000000000000)</f>
        <v/>
      </c>
      <c r="T178" s="101">
        <f>IF(AND(F178&lt;=DASHBOARD!$B$11, H178&gt;=DASHBOARD!$B$13), R178, 1000000000000)</f>
        <v/>
      </c>
      <c r="U178" s="101">
        <f>IF(AND(F178&lt;=DASHBOARD!$B$11, H178&gt;=DASHBOARD!$B$13), N178, -1000000000000)</f>
        <v/>
      </c>
      <c r="V178" s="101">
        <f>IF(AND(F178&lt;=DASHBOARD!$B$11, H178&gt;=DASHBOARD!$B$13), H178, -1000000000000)</f>
        <v/>
      </c>
      <c r="W178" s="101">
        <f>IF(AND(F178&lt;=DASHBOARD!$B$11, H178&gt;=DASHBOARD!$B$13), K178, -1000000000000)</f>
        <v/>
      </c>
      <c r="X178" s="101">
        <f>IF(AND(F178&lt;=DASHBOARD!$B$11, H178&gt;=DASHBOARD!$B$13), M178, 1000000000000)</f>
        <v/>
      </c>
      <c r="Y178" s="101">
        <f>IF(AND(F178&lt;=DASHBOARD!$B$10, H178&gt;=DASHBOARD!$B$11), L178, 1000000000000)</f>
        <v/>
      </c>
      <c r="Z178" s="101">
        <f>IF(AND(F178&lt;=DASHBOARD!$B$10, H178&gt;=DASHBOARD!$B$11), O178, 1000000000000)</f>
        <v/>
      </c>
      <c r="AA178" s="101">
        <f>IF(AND(F178&lt;=DASHBOARD!$B$10, H178&gt;=DASHBOARD!$B$11), P178, 1000000000000)</f>
        <v/>
      </c>
      <c r="AB178" s="101">
        <f>IF(AND(F178&lt;=DASHBOARD!$B$10, H178&gt;=DASHBOARD!$B$11), Q178, -1000000000000)</f>
        <v/>
      </c>
    </row>
    <row r="179" ht="12.75" customHeight="1" s="102">
      <c r="A179" s="166" t="n">
        <v>175</v>
      </c>
      <c r="B179" s="167" t="n">
        <v>0.4</v>
      </c>
      <c r="C179" s="167" t="n">
        <v>0.3</v>
      </c>
      <c r="D179" s="110" t="inlineStr">
        <is>
          <t>Yok (%0)</t>
        </is>
      </c>
      <c r="E179" s="110">
        <f>IF((B179+C179)&lt;=1, "Tam Mahsuplaşma (≤%100)", "Kısmi Satış (&gt;%100)")</f>
        <v/>
      </c>
      <c r="F179" s="168">
        <f>((VERI_TABANI!$D$29*B179/VERI_TABANI!$B$29)/VERI_TABANI!$B$3)*VERI_TABANI!$B$5 + ((VERI_TABANI!$D$29*C179/VERI_TABANI!$B$29)/VERI_TABANI!$B$4)*VERI_TABANI!$B$6 + IF(ISNUMBER(SEARCH("Var", D179)), (VERI_TABANI!$F$29/VERI_TABANI!$B$29)*(VERI_TABANI!$B$10+VERI_TABANI!$B$12), 0)</f>
        <v/>
      </c>
      <c r="G179" s="168">
        <f>(((MIN(VERI_TABANI!D23, VERI_TABANI!D23*B179)*VERI_TABANI!$B$7 + MAX(0, VERI_TABANI!D23*B179-VERI_TABANI!D23)*VERI_TABANI!$B$8) + (MIN(MAX(0, VERI_TABANI!D23-VERI_TABANI!D23*B179), VERI_TABANI!D23*C179)*VERI_TABANI!$B$7 + MAX(0, VERI_TABANI!D23*C179-MAX(0, VERI_TABANI!D23-VERI_TABANI!D23*B179))*VERI_TABANI!$B$8) + IF(ABS(IF(ISNUMBER(SEARCH("Var", D179)), 1, IF(ISNUMBER(SEARCH("Gri", D179)), -1, 0)))=1, VERI_TABANI!E23*(1-0.928)*VERI_TABANI!$B$9, 0) + (VERI_TABANI!D23*B179*(VERI_TABANI!$B$13-VERI_TABANI!$B$14)*VERI_TABANI!G23) + (VERI_TABANI!D23*C179*(VERI_TABANI!$B$13-VERI_TABANI!$B$15)*VERI_TABANI!G23) + IF(ABS(IF(ISNUMBER(SEARCH("Var", D179)), 1, IF(ISNUMBER(SEARCH("Gri", D179)), -1, 0)))=1, VERI_TABANI!E23*(1-0.928)*0.00206091519919798*VERI_TABANI!G23, 0)) + ((MIN(VERI_TABANI!D24, VERI_TABANI!D24*B179)*VERI_TABANI!$B$7 + MAX(0, VERI_TABANI!D24*B179-VERI_TABANI!D24)*VERI_TABANI!$B$8) + (MIN(MAX(0, VERI_TABANI!D24-VERI_TABANI!D24*B179), VERI_TABANI!D24*C179)*VERI_TABANI!$B$7 + MAX(0, VERI_TABANI!D24*C179-MAX(0, VERI_TABANI!D24-VERI_TABANI!D24*B179))*VERI_TABANI!$B$8) + IF(ABS(IF(ISNUMBER(SEARCH("Var", D179)), 1, IF(ISNUMBER(SEARCH("Gri", D179)), -1, 0)))=1, VERI_TABANI!E24*(1-0.928)*VERI_TABANI!$B$9, 0) + (VERI_TABANI!D24*B179*(VERI_TABANI!$B$13-VERI_TABANI!$B$14)*VERI_TABANI!G24) + (VERI_TABANI!D24*C179*(VERI_TABANI!$B$13-VERI_TABANI!$B$15)*VERI_TABANI!G24) + IF(ABS(IF(ISNUMBER(SEARCH("Var", D179)), 1, IF(ISNUMBER(SEARCH("Gri", D179)), -1, 0)))=1, VERI_TABANI!E24*(1-0.928)*0.00206091519919798*VERI_TABANI!G24, 0)) + ((MIN(VERI_TABANI!D25, VERI_TABANI!D25*B179)*VERI_TABANI!$B$7 + MAX(0, VERI_TABANI!D25*B179-VERI_TABANI!D25)*VERI_TABANI!$B$8) + (MIN(MAX(0, VERI_TABANI!D25-VERI_TABANI!D25*B179), VERI_TABANI!D25*C179)*VERI_TABANI!$B$7 + MAX(0, VERI_TABANI!D25*C179-MAX(0, VERI_TABANI!D25-VERI_TABANI!D25*B179))*VERI_TABANI!$B$8) + IF(ABS(IF(ISNUMBER(SEARCH("Var", D179)), 1, IF(ISNUMBER(SEARCH("Gri", D179)), -1, 0)))=1, VERI_TABANI!E25*(1-0.928)*VERI_TABANI!$B$9, 0) + (VERI_TABANI!D25*B179*(VERI_TABANI!$B$13-VERI_TABANI!$B$14)*VERI_TABANI!G25) + (VERI_TABANI!D25*C179*(VERI_TABANI!$B$13-VERI_TABANI!$B$15)*VERI_TABANI!G25) + IF(ABS(IF(ISNUMBER(SEARCH("Var", D179)), 1, IF(ISNUMBER(SEARCH("Gri", D179)), -1, 0)))=1, VERI_TABANI!E25*(1-0.928)*0.00206091519919798*VERI_TABANI!G25, 0)) + ((MIN(VERI_TABANI!D26, VERI_TABANI!D26*B179)*VERI_TABANI!$B$7 + MAX(0, VERI_TABANI!D26*B179-VERI_TABANI!D26)*VERI_TABANI!$B$8) + (MIN(MAX(0, VERI_TABANI!D26-VERI_TABANI!D26*B179), VERI_TABANI!D26*C179)*VERI_TABANI!$B$7 + MAX(0, VERI_TABANI!D26*C179-MAX(0, VERI_TABANI!D26-VERI_TABANI!D26*B179))*VERI_TABANI!$B$8) + IF(ABS(IF(ISNUMBER(SEARCH("Var", D179)), 1, IF(ISNUMBER(SEARCH("Gri", D179)), -1, 0)))=1, VERI_TABANI!E26*(1-0.928)*VERI_TABANI!$B$9, 0) + (VERI_TABANI!D26*B179*(VERI_TABANI!$B$13-VERI_TABANI!$B$14)*VERI_TABANI!G26) + (VERI_TABANI!D26*C179*(VERI_TABANI!$B$13-VERI_TABANI!$B$15)*VERI_TABANI!G26) + IF(ABS(IF(ISNUMBER(SEARCH("Var", D179)), 1, IF(ISNUMBER(SEARCH("Gri", D179)), -1, 0)))=1, VERI_TABANI!E26*(1-0.928)*0.00206091519919798*VERI_TABANI!G26, 0)) + ((MIN(VERI_TABANI!D27, VERI_TABANI!D27*B179)*VERI_TABANI!$B$7 + MAX(0, VERI_TABANI!D27*B179-VERI_TABANI!D27)*VERI_TABANI!$B$8) + (MIN(MAX(0, VERI_TABANI!D27-VERI_TABANI!D27*B179), VERI_TABANI!D27*C179)*VERI_TABANI!$B$7 + MAX(0, VERI_TABANI!D27*C179-MAX(0, VERI_TABANI!D27-VERI_TABANI!D27*B179))*VERI_TABANI!$B$8) + IF(ABS(IF(ISNUMBER(SEARCH("Var", D179)), 1, IF(ISNUMBER(SEARCH("Gri", D179)), -1, 0)))=1, VERI_TABANI!E27*(1-0.928)*VERI_TABANI!$B$9, 0) + (VERI_TABANI!D27*B179*(VERI_TABANI!$B$13-VERI_TABANI!$B$14)*VERI_TABANI!G27) + (VERI_TABANI!D27*C179*(VERI_TABANI!$B$13-VERI_TABANI!$B$15)*VERI_TABANI!G27) + IF(ABS(IF(ISNUMBER(SEARCH("Var", D179)), 1, IF(ISNUMBER(SEARCH("Gri", D179)), -1, 0)))=1, VERI_TABANI!E27*(1-0.928)*0.00206091519919798*VERI_TABANI!G27, 0)) + ((MIN(VERI_TABANI!D28, VERI_TABANI!D28*B179)*VERI_TABANI!$B$7 + MAX(0, VERI_TABANI!D28*B179-VERI_TABANI!D28)*VERI_TABANI!$B$8) + (MIN(MAX(0, VERI_TABANI!D28-VERI_TABANI!D28*B179), VERI_TABANI!D28*C179)*VERI_TABANI!$B$7 + MAX(0, VERI_TABANI!D28*C179-MAX(0, VERI_TABANI!D28-VERI_TABANI!D28*B179))*VERI_TABANI!$B$8) + IF(ABS(IF(ISNUMBER(SEARCH("Var", D179)), 1, IF(ISNUMBER(SEARCH("Gri", D179)), -1, 0)))=1, VERI_TABANI!E28*(1-0.928)*VERI_TABANI!$B$9, 0) + (VERI_TABANI!D28*B179*(VERI_TABANI!$B$13-VERI_TABANI!$B$14)*VERI_TABANI!G28) + (VERI_TABANI!D28*C179*(VERI_TABANI!$B$13-VERI_TABANI!$B$15)*VERI_TABANI!G28) + IF(ABS(IF(ISNUMBER(SEARCH("Var", D179)), 1, IF(ISNUMBER(SEARCH("Gri", D179)), -1, 0)))=1, VERI_TABANI!E28*(1-0.928)*0.00206091519919798*VERI_TABANI!G28, 0)))</f>
        <v/>
      </c>
      <c r="H179" s="169">
        <f>(((VERI_TABANI!D23*B179*(VERI_TABANI!$B$13-VERI_TABANI!$B$14)) + (VERI_TABANI!D23*C179*(VERI_TABANI!$B$13-VERI_TABANI!$B$15)) + IF(ISNUMBER(SEARCH("Var", D179)), VERI_TABANI!F23*(0.00202-VERI_TABANI!$B$16), IF(ISNUMBER(SEARCH("Gri", D179)), VERI_TABANI!F23*(0.00202-VERI_TABANI!$B$17), 0))) + ((VERI_TABANI!D24*B179*(VERI_TABANI!$B$13-VERI_TABANI!$B$14)) + (VERI_TABANI!D24*C179*(VERI_TABANI!$B$13-VERI_TABANI!$B$15)) + IF(ISNUMBER(SEARCH("Var", D179)), VERI_TABANI!F24*(0.00202-VERI_TABANI!$B$16), IF(ISNUMBER(SEARCH("Gri", D179)), VERI_TABANI!F24*(0.00202-VERI_TABANI!$B$17), 0))) + ((VERI_TABANI!D25*B179*(VERI_TABANI!$B$13-VERI_TABANI!$B$14)) + (VERI_TABANI!D25*C179*(VERI_TABANI!$B$13-VERI_TABANI!$B$15)) + IF(ISNUMBER(SEARCH("Var", D179)), VERI_TABANI!F25*(0.00202-VERI_TABANI!$B$16), IF(ISNUMBER(SEARCH("Gri", D179)), VERI_TABANI!F25*(0.00202-VERI_TABANI!$B$17), 0))) + ((VERI_TABANI!D26*B179*(VERI_TABANI!$B$13-VERI_TABANI!$B$14)) + (VERI_TABANI!D26*C179*(VERI_TABANI!$B$13-VERI_TABANI!$B$15)) + IF(ISNUMBER(SEARCH("Var", D179)), VERI_TABANI!F26*(0.00202-VERI_TABANI!$B$16), IF(ISNUMBER(SEARCH("Gri", D179)), VERI_TABANI!F26*(0.00202-VERI_TABANI!$B$17), 0))) + ((VERI_TABANI!D27*B179*(VERI_TABANI!$B$13-VERI_TABANI!$B$14)) + (VERI_TABANI!D27*C179*(VERI_TABANI!$B$13-VERI_TABANI!$B$15)) + IF(ISNUMBER(SEARCH("Var", D179)), VERI_TABANI!F27*(0.00202-VERI_TABANI!$B$16), IF(ISNUMBER(SEARCH("Gri", D179)), VERI_TABANI!F27*(0.00202-VERI_TABANI!$B$17), 0))) + ((VERI_TABANI!D28*B179*(VERI_TABANI!$B$13-VERI_TABANI!$B$14)) + (VERI_TABANI!D28*C179*(VERI_TABANI!$B$13-VERI_TABANI!$B$15)) + IF(ISNUMBER(SEARCH("Var", D179)), VERI_TABANI!F28*(0.00202-VERI_TABANI!$B$16), IF(ISNUMBER(SEARCH("Gri", D179)), VERI_TABANI!F28*(0.00202-VERI_TABANI!$B$17), 0))))</f>
        <v/>
      </c>
      <c r="I179" s="170">
        <f>IFERROR(((VERI_TABANI!$D$29*B179*VERI_TABANI!$B$14 + VERI_TABANI!$D$29*C179*VERI_TABANI!$B$15 + IF(ISNUMBER(SEARCH("Var", D179)), VERI_TABANI!$F$29*VERI_TABANI!$B$16, 0))) / (((VERI_TABANI!$D$29*B179 + VERI_TABANI!$D$29*C179)*VERI_TABANI!$B$13 + IF(ISNUMBER(SEARCH("Var", D179)), VERI_TABANI!$E$29*(1-0.928)*VERI_TABANI!$B$18, 0))), 0)</f>
        <v/>
      </c>
      <c r="J179" s="171">
        <f>IFERROR(F179/(G179/29), 0)</f>
        <v/>
      </c>
      <c r="K179" s="172">
        <f>IF(F179&gt;0, H179/F179, 0)</f>
        <v/>
      </c>
      <c r="L179" s="170">
        <f>IF(F179&gt;0, I179, 1000000000)</f>
        <v/>
      </c>
      <c r="M179" s="171">
        <f>ABS((B179+C179)-1)</f>
        <v/>
      </c>
      <c r="N179" s="170">
        <f>IF(F179&gt;0, (G179/29)/F179, 0)</f>
        <v/>
      </c>
      <c r="O179" s="168">
        <f>IF(AND((B179+C179)&gt;=1, ISNUMBER(SEARCH("Var", D179))), F179, 1000000000)</f>
        <v/>
      </c>
      <c r="P179" s="172">
        <f>IF(F179&gt;0, SQRT((F179/MAX(F$5:F$886))^2 + (1 - H179/MAX(H$5:H$886))^2 + (J179/MAX(J$5:J$886))^2), 1000000000)</f>
        <v/>
      </c>
      <c r="Q179" s="166">
        <f>IF(AND(ABS(B179-0.5)&lt;0.01, ABS(C179-0.5)&lt;0.01, ISNUMBER(SEARCH("Var", D179))), 1, 0)</f>
        <v/>
      </c>
      <c r="R179" s="171">
        <f>IF(F179&gt;0, J179, 1000000000)</f>
        <v/>
      </c>
      <c r="S179" s="101">
        <f>IF(AND(F179&lt;=DASHBOARD!$B$11, H179&gt;=DASHBOARD!$B$13), G179, -1000000000000)</f>
        <v/>
      </c>
      <c r="T179" s="101">
        <f>IF(AND(F179&lt;=DASHBOARD!$B$11, H179&gt;=DASHBOARD!$B$13), R179, 1000000000000)</f>
        <v/>
      </c>
      <c r="U179" s="101">
        <f>IF(AND(F179&lt;=DASHBOARD!$B$11, H179&gt;=DASHBOARD!$B$13), N179, -1000000000000)</f>
        <v/>
      </c>
      <c r="V179" s="101">
        <f>IF(AND(F179&lt;=DASHBOARD!$B$11, H179&gt;=DASHBOARD!$B$13), H179, -1000000000000)</f>
        <v/>
      </c>
      <c r="W179" s="101">
        <f>IF(AND(F179&lt;=DASHBOARD!$B$11, H179&gt;=DASHBOARD!$B$13), K179, -1000000000000)</f>
        <v/>
      </c>
      <c r="X179" s="101">
        <f>IF(AND(F179&lt;=DASHBOARD!$B$11, H179&gt;=DASHBOARD!$B$13), M179, 1000000000000)</f>
        <v/>
      </c>
      <c r="Y179" s="101">
        <f>IF(AND(F179&lt;=DASHBOARD!$B$10, H179&gt;=DASHBOARD!$B$11), L179, 1000000000000)</f>
        <v/>
      </c>
      <c r="Z179" s="101">
        <f>IF(AND(F179&lt;=DASHBOARD!$B$10, H179&gt;=DASHBOARD!$B$11), O179, 1000000000000)</f>
        <v/>
      </c>
      <c r="AA179" s="101">
        <f>IF(AND(F179&lt;=DASHBOARD!$B$10, H179&gt;=DASHBOARD!$B$11), P179, 1000000000000)</f>
        <v/>
      </c>
      <c r="AB179" s="101">
        <f>IF(AND(F179&lt;=DASHBOARD!$B$10, H179&gt;=DASHBOARD!$B$11), Q179, -1000000000000)</f>
        <v/>
      </c>
    </row>
    <row r="180" ht="12.75" customHeight="1" s="102">
      <c r="A180" s="166" t="n">
        <v>176</v>
      </c>
      <c r="B180" s="167" t="n">
        <v>0.4</v>
      </c>
      <c r="C180" s="167" t="n">
        <v>0.3</v>
      </c>
      <c r="D180" s="110" t="inlineStr">
        <is>
          <t>Var (%20)</t>
        </is>
      </c>
      <c r="E180" s="110">
        <f>IF((B180+C180)&lt;=1, "Tam Mahsuplaşma (≤%100)", "Kısmi Satış (&gt;%100)")</f>
        <v/>
      </c>
      <c r="F180" s="168">
        <f>((VERI_TABANI!$D$29*B180/VERI_TABANI!$B$29)/VERI_TABANI!$B$3)*VERI_TABANI!$B$5 + ((VERI_TABANI!$D$29*C180/VERI_TABANI!$B$29)/VERI_TABANI!$B$4)*VERI_TABANI!$B$6 + IF(ISNUMBER(SEARCH("Var", D180)), (VERI_TABANI!$F$29/VERI_TABANI!$B$29)*(VERI_TABANI!$B$10+VERI_TABANI!$B$12), 0)</f>
        <v/>
      </c>
      <c r="G180" s="168">
        <f>(((MIN(VERI_TABANI!D23, VERI_TABANI!D23*B180)*VERI_TABANI!$B$7 + MAX(0, VERI_TABANI!D23*B180-VERI_TABANI!D23)*VERI_TABANI!$B$8) + (MIN(MAX(0, VERI_TABANI!D23-VERI_TABANI!D23*B180), VERI_TABANI!D23*C180)*VERI_TABANI!$B$7 + MAX(0, VERI_TABANI!D23*C180-MAX(0, VERI_TABANI!D23-VERI_TABANI!D23*B180))*VERI_TABANI!$B$8) + IF(ABS(IF(ISNUMBER(SEARCH("Var", D180)), 1, IF(ISNUMBER(SEARCH("Gri", D180)), -1, 0)))=1, VERI_TABANI!E23*(1-0.928)*VERI_TABANI!$B$9, 0) + (VERI_TABANI!D23*B180*(VERI_TABANI!$B$13-VERI_TABANI!$B$14)*VERI_TABANI!G23) + (VERI_TABANI!D23*C180*(VERI_TABANI!$B$13-VERI_TABANI!$B$15)*VERI_TABANI!G23) + IF(ABS(IF(ISNUMBER(SEARCH("Var", D180)), 1, IF(ISNUMBER(SEARCH("Gri", D180)), -1, 0)))=1, VERI_TABANI!E23*(1-0.928)*0.00206091519919798*VERI_TABANI!G23, 0)) + ((MIN(VERI_TABANI!D24, VERI_TABANI!D24*B180)*VERI_TABANI!$B$7 + MAX(0, VERI_TABANI!D24*B180-VERI_TABANI!D24)*VERI_TABANI!$B$8) + (MIN(MAX(0, VERI_TABANI!D24-VERI_TABANI!D24*B180), VERI_TABANI!D24*C180)*VERI_TABANI!$B$7 + MAX(0, VERI_TABANI!D24*C180-MAX(0, VERI_TABANI!D24-VERI_TABANI!D24*B180))*VERI_TABANI!$B$8) + IF(ABS(IF(ISNUMBER(SEARCH("Var", D180)), 1, IF(ISNUMBER(SEARCH("Gri", D180)), -1, 0)))=1, VERI_TABANI!E24*(1-0.928)*VERI_TABANI!$B$9, 0) + (VERI_TABANI!D24*B180*(VERI_TABANI!$B$13-VERI_TABANI!$B$14)*VERI_TABANI!G24) + (VERI_TABANI!D24*C180*(VERI_TABANI!$B$13-VERI_TABANI!$B$15)*VERI_TABANI!G24) + IF(ABS(IF(ISNUMBER(SEARCH("Var", D180)), 1, IF(ISNUMBER(SEARCH("Gri", D180)), -1, 0)))=1, VERI_TABANI!E24*(1-0.928)*0.00206091519919798*VERI_TABANI!G24, 0)) + ((MIN(VERI_TABANI!D25, VERI_TABANI!D25*B180)*VERI_TABANI!$B$7 + MAX(0, VERI_TABANI!D25*B180-VERI_TABANI!D25)*VERI_TABANI!$B$8) + (MIN(MAX(0, VERI_TABANI!D25-VERI_TABANI!D25*B180), VERI_TABANI!D25*C180)*VERI_TABANI!$B$7 + MAX(0, VERI_TABANI!D25*C180-MAX(0, VERI_TABANI!D25-VERI_TABANI!D25*B180))*VERI_TABANI!$B$8) + IF(ABS(IF(ISNUMBER(SEARCH("Var", D180)), 1, IF(ISNUMBER(SEARCH("Gri", D180)), -1, 0)))=1, VERI_TABANI!E25*(1-0.928)*VERI_TABANI!$B$9, 0) + (VERI_TABANI!D25*B180*(VERI_TABANI!$B$13-VERI_TABANI!$B$14)*VERI_TABANI!G25) + (VERI_TABANI!D25*C180*(VERI_TABANI!$B$13-VERI_TABANI!$B$15)*VERI_TABANI!G25) + IF(ABS(IF(ISNUMBER(SEARCH("Var", D180)), 1, IF(ISNUMBER(SEARCH("Gri", D180)), -1, 0)))=1, VERI_TABANI!E25*(1-0.928)*0.00206091519919798*VERI_TABANI!G25, 0)) + ((MIN(VERI_TABANI!D26, VERI_TABANI!D26*B180)*VERI_TABANI!$B$7 + MAX(0, VERI_TABANI!D26*B180-VERI_TABANI!D26)*VERI_TABANI!$B$8) + (MIN(MAX(0, VERI_TABANI!D26-VERI_TABANI!D26*B180), VERI_TABANI!D26*C180)*VERI_TABANI!$B$7 + MAX(0, VERI_TABANI!D26*C180-MAX(0, VERI_TABANI!D26-VERI_TABANI!D26*B180))*VERI_TABANI!$B$8) + IF(ABS(IF(ISNUMBER(SEARCH("Var", D180)), 1, IF(ISNUMBER(SEARCH("Gri", D180)), -1, 0)))=1, VERI_TABANI!E26*(1-0.928)*VERI_TABANI!$B$9, 0) + (VERI_TABANI!D26*B180*(VERI_TABANI!$B$13-VERI_TABANI!$B$14)*VERI_TABANI!G26) + (VERI_TABANI!D26*C180*(VERI_TABANI!$B$13-VERI_TABANI!$B$15)*VERI_TABANI!G26) + IF(ABS(IF(ISNUMBER(SEARCH("Var", D180)), 1, IF(ISNUMBER(SEARCH("Gri", D180)), -1, 0)))=1, VERI_TABANI!E26*(1-0.928)*0.00206091519919798*VERI_TABANI!G26, 0)) + ((MIN(VERI_TABANI!D27, VERI_TABANI!D27*B180)*VERI_TABANI!$B$7 + MAX(0, VERI_TABANI!D27*B180-VERI_TABANI!D27)*VERI_TABANI!$B$8) + (MIN(MAX(0, VERI_TABANI!D27-VERI_TABANI!D27*B180), VERI_TABANI!D27*C180)*VERI_TABANI!$B$7 + MAX(0, VERI_TABANI!D27*C180-MAX(0, VERI_TABANI!D27-VERI_TABANI!D27*B180))*VERI_TABANI!$B$8) + IF(ABS(IF(ISNUMBER(SEARCH("Var", D180)), 1, IF(ISNUMBER(SEARCH("Gri", D180)), -1, 0)))=1, VERI_TABANI!E27*(1-0.928)*VERI_TABANI!$B$9, 0) + (VERI_TABANI!D27*B180*(VERI_TABANI!$B$13-VERI_TABANI!$B$14)*VERI_TABANI!G27) + (VERI_TABANI!D27*C180*(VERI_TABANI!$B$13-VERI_TABANI!$B$15)*VERI_TABANI!G27) + IF(ABS(IF(ISNUMBER(SEARCH("Var", D180)), 1, IF(ISNUMBER(SEARCH("Gri", D180)), -1, 0)))=1, VERI_TABANI!E27*(1-0.928)*0.00206091519919798*VERI_TABANI!G27, 0)) + ((MIN(VERI_TABANI!D28, VERI_TABANI!D28*B180)*VERI_TABANI!$B$7 + MAX(0, VERI_TABANI!D28*B180-VERI_TABANI!D28)*VERI_TABANI!$B$8) + (MIN(MAX(0, VERI_TABANI!D28-VERI_TABANI!D28*B180), VERI_TABANI!D28*C180)*VERI_TABANI!$B$7 + MAX(0, VERI_TABANI!D28*C180-MAX(0, VERI_TABANI!D28-VERI_TABANI!D28*B180))*VERI_TABANI!$B$8) + IF(ABS(IF(ISNUMBER(SEARCH("Var", D180)), 1, IF(ISNUMBER(SEARCH("Gri", D180)), -1, 0)))=1, VERI_TABANI!E28*(1-0.928)*VERI_TABANI!$B$9, 0) + (VERI_TABANI!D28*B180*(VERI_TABANI!$B$13-VERI_TABANI!$B$14)*VERI_TABANI!G28) + (VERI_TABANI!D28*C180*(VERI_TABANI!$B$13-VERI_TABANI!$B$15)*VERI_TABANI!G28) + IF(ABS(IF(ISNUMBER(SEARCH("Var", D180)), 1, IF(ISNUMBER(SEARCH("Gri", D180)), -1, 0)))=1, VERI_TABANI!E28*(1-0.928)*0.00206091519919798*VERI_TABANI!G28, 0)))</f>
        <v/>
      </c>
      <c r="H180" s="169">
        <f>(((VERI_TABANI!D23*B180*(VERI_TABANI!$B$13-VERI_TABANI!$B$14)) + (VERI_TABANI!D23*C180*(VERI_TABANI!$B$13-VERI_TABANI!$B$15)) + IF(ISNUMBER(SEARCH("Var", D180)), VERI_TABANI!F23*(0.00202-VERI_TABANI!$B$16), IF(ISNUMBER(SEARCH("Gri", D180)), VERI_TABANI!F23*(0.00202-VERI_TABANI!$B$17), 0))) + ((VERI_TABANI!D24*B180*(VERI_TABANI!$B$13-VERI_TABANI!$B$14)) + (VERI_TABANI!D24*C180*(VERI_TABANI!$B$13-VERI_TABANI!$B$15)) + IF(ISNUMBER(SEARCH("Var", D180)), VERI_TABANI!F24*(0.00202-VERI_TABANI!$B$16), IF(ISNUMBER(SEARCH("Gri", D180)), VERI_TABANI!F24*(0.00202-VERI_TABANI!$B$17), 0))) + ((VERI_TABANI!D25*B180*(VERI_TABANI!$B$13-VERI_TABANI!$B$14)) + (VERI_TABANI!D25*C180*(VERI_TABANI!$B$13-VERI_TABANI!$B$15)) + IF(ISNUMBER(SEARCH("Var", D180)), VERI_TABANI!F25*(0.00202-VERI_TABANI!$B$16), IF(ISNUMBER(SEARCH("Gri", D180)), VERI_TABANI!F25*(0.00202-VERI_TABANI!$B$17), 0))) + ((VERI_TABANI!D26*B180*(VERI_TABANI!$B$13-VERI_TABANI!$B$14)) + (VERI_TABANI!D26*C180*(VERI_TABANI!$B$13-VERI_TABANI!$B$15)) + IF(ISNUMBER(SEARCH("Var", D180)), VERI_TABANI!F26*(0.00202-VERI_TABANI!$B$16), IF(ISNUMBER(SEARCH("Gri", D180)), VERI_TABANI!F26*(0.00202-VERI_TABANI!$B$17), 0))) + ((VERI_TABANI!D27*B180*(VERI_TABANI!$B$13-VERI_TABANI!$B$14)) + (VERI_TABANI!D27*C180*(VERI_TABANI!$B$13-VERI_TABANI!$B$15)) + IF(ISNUMBER(SEARCH("Var", D180)), VERI_TABANI!F27*(0.00202-VERI_TABANI!$B$16), IF(ISNUMBER(SEARCH("Gri", D180)), VERI_TABANI!F27*(0.00202-VERI_TABANI!$B$17), 0))) + ((VERI_TABANI!D28*B180*(VERI_TABANI!$B$13-VERI_TABANI!$B$14)) + (VERI_TABANI!D28*C180*(VERI_TABANI!$B$13-VERI_TABANI!$B$15)) + IF(ISNUMBER(SEARCH("Var", D180)), VERI_TABANI!F28*(0.00202-VERI_TABANI!$B$16), IF(ISNUMBER(SEARCH("Gri", D180)), VERI_TABANI!F28*(0.00202-VERI_TABANI!$B$17), 0))))</f>
        <v/>
      </c>
      <c r="I180" s="170">
        <f>IFERROR(((VERI_TABANI!$D$29*B180*VERI_TABANI!$B$14 + VERI_TABANI!$D$29*C180*VERI_TABANI!$B$15 + IF(ISNUMBER(SEARCH("Var", D180)), VERI_TABANI!$F$29*VERI_TABANI!$B$16, 0))) / (((VERI_TABANI!$D$29*B180 + VERI_TABANI!$D$29*C180)*VERI_TABANI!$B$13 + IF(ISNUMBER(SEARCH("Var", D180)), VERI_TABANI!$E$29*(1-0.928)*VERI_TABANI!$B$18, 0))), 0)</f>
        <v/>
      </c>
      <c r="J180" s="171">
        <f>IFERROR(F180/(G180/29), 0)</f>
        <v/>
      </c>
      <c r="K180" s="172">
        <f>IF(F180&gt;0, H180/F180, 0)</f>
        <v/>
      </c>
      <c r="L180" s="170">
        <f>IF(F180&gt;0, I180, 1000000000)</f>
        <v/>
      </c>
      <c r="M180" s="171">
        <f>ABS((B180+C180)-1)</f>
        <v/>
      </c>
      <c r="N180" s="170">
        <f>IF(F180&gt;0, (G180/29)/F180, 0)</f>
        <v/>
      </c>
      <c r="O180" s="168">
        <f>IF(AND((B180+C180)&gt;=1, ISNUMBER(SEARCH("Var", D180))), F180, 1000000000)</f>
        <v/>
      </c>
      <c r="P180" s="172">
        <f>IF(F180&gt;0, SQRT((F180/MAX(F$5:F$886))^2 + (1 - H180/MAX(H$5:H$886))^2 + (J180/MAX(J$5:J$886))^2), 1000000000)</f>
        <v/>
      </c>
      <c r="Q180" s="166">
        <f>IF(AND(ABS(B180-0.5)&lt;0.01, ABS(C180-0.5)&lt;0.01, ISNUMBER(SEARCH("Var", D180))), 1, 0)</f>
        <v/>
      </c>
      <c r="R180" s="171">
        <f>IF(F180&gt;0, J180, 1000000000)</f>
        <v/>
      </c>
      <c r="S180" s="101">
        <f>IF(AND(F180&lt;=DASHBOARD!$B$11, H180&gt;=DASHBOARD!$B$13), G180, -1000000000000)</f>
        <v/>
      </c>
      <c r="T180" s="101">
        <f>IF(AND(F180&lt;=DASHBOARD!$B$11, H180&gt;=DASHBOARD!$B$13), R180, 1000000000000)</f>
        <v/>
      </c>
      <c r="U180" s="101">
        <f>IF(AND(F180&lt;=DASHBOARD!$B$11, H180&gt;=DASHBOARD!$B$13), N180, -1000000000000)</f>
        <v/>
      </c>
      <c r="V180" s="101">
        <f>IF(AND(F180&lt;=DASHBOARD!$B$11, H180&gt;=DASHBOARD!$B$13), H180, -1000000000000)</f>
        <v/>
      </c>
      <c r="W180" s="101">
        <f>IF(AND(F180&lt;=DASHBOARD!$B$11, H180&gt;=DASHBOARD!$B$13), K180, -1000000000000)</f>
        <v/>
      </c>
      <c r="X180" s="101">
        <f>IF(AND(F180&lt;=DASHBOARD!$B$11, H180&gt;=DASHBOARD!$B$13), M180, 1000000000000)</f>
        <v/>
      </c>
      <c r="Y180" s="101">
        <f>IF(AND(F180&lt;=DASHBOARD!$B$10, H180&gt;=DASHBOARD!$B$11), L180, 1000000000000)</f>
        <v/>
      </c>
      <c r="Z180" s="101">
        <f>IF(AND(F180&lt;=DASHBOARD!$B$10, H180&gt;=DASHBOARD!$B$11), O180, 1000000000000)</f>
        <v/>
      </c>
      <c r="AA180" s="101">
        <f>IF(AND(F180&lt;=DASHBOARD!$B$10, H180&gt;=DASHBOARD!$B$11), P180, 1000000000000)</f>
        <v/>
      </c>
      <c r="AB180" s="101">
        <f>IF(AND(F180&lt;=DASHBOARD!$B$10, H180&gt;=DASHBOARD!$B$11), Q180, -1000000000000)</f>
        <v/>
      </c>
    </row>
    <row r="181" ht="12.75" customHeight="1" s="102">
      <c r="A181" s="166" t="n">
        <v>177</v>
      </c>
      <c r="B181" s="167" t="n">
        <v>0.4</v>
      </c>
      <c r="C181" s="167" t="n">
        <v>0.4</v>
      </c>
      <c r="D181" s="110" t="inlineStr">
        <is>
          <t>Yok (%0)</t>
        </is>
      </c>
      <c r="E181" s="110">
        <f>IF((B181+C181)&lt;=1, "Tam Mahsuplaşma (≤%100)", "Kısmi Satış (&gt;%100)")</f>
        <v/>
      </c>
      <c r="F181" s="168">
        <f>((VERI_TABANI!$D$29*B181/VERI_TABANI!$B$29)/VERI_TABANI!$B$3)*VERI_TABANI!$B$5 + ((VERI_TABANI!$D$29*C181/VERI_TABANI!$B$29)/VERI_TABANI!$B$4)*VERI_TABANI!$B$6 + IF(ISNUMBER(SEARCH("Var", D181)), (VERI_TABANI!$F$29/VERI_TABANI!$B$29)*(VERI_TABANI!$B$10+VERI_TABANI!$B$12), 0)</f>
        <v/>
      </c>
      <c r="G181" s="168">
        <f>(((MIN(VERI_TABANI!D23, VERI_TABANI!D23*B181)*VERI_TABANI!$B$7 + MAX(0, VERI_TABANI!D23*B181-VERI_TABANI!D23)*VERI_TABANI!$B$8) + (MIN(MAX(0, VERI_TABANI!D23-VERI_TABANI!D23*B181), VERI_TABANI!D23*C181)*VERI_TABANI!$B$7 + MAX(0, VERI_TABANI!D23*C181-MAX(0, VERI_TABANI!D23-VERI_TABANI!D23*B181))*VERI_TABANI!$B$8) + IF(ABS(IF(ISNUMBER(SEARCH("Var", D181)), 1, IF(ISNUMBER(SEARCH("Gri", D181)), -1, 0)))=1, VERI_TABANI!E23*(1-0.928)*VERI_TABANI!$B$9, 0) + (VERI_TABANI!D23*B181*(VERI_TABANI!$B$13-VERI_TABANI!$B$14)*VERI_TABANI!G23) + (VERI_TABANI!D23*C181*(VERI_TABANI!$B$13-VERI_TABANI!$B$15)*VERI_TABANI!G23) + IF(ABS(IF(ISNUMBER(SEARCH("Var", D181)), 1, IF(ISNUMBER(SEARCH("Gri", D181)), -1, 0)))=1, VERI_TABANI!E23*(1-0.928)*0.00206091519919798*VERI_TABANI!G23, 0)) + ((MIN(VERI_TABANI!D24, VERI_TABANI!D24*B181)*VERI_TABANI!$B$7 + MAX(0, VERI_TABANI!D24*B181-VERI_TABANI!D24)*VERI_TABANI!$B$8) + (MIN(MAX(0, VERI_TABANI!D24-VERI_TABANI!D24*B181), VERI_TABANI!D24*C181)*VERI_TABANI!$B$7 + MAX(0, VERI_TABANI!D24*C181-MAX(0, VERI_TABANI!D24-VERI_TABANI!D24*B181))*VERI_TABANI!$B$8) + IF(ABS(IF(ISNUMBER(SEARCH("Var", D181)), 1, IF(ISNUMBER(SEARCH("Gri", D181)), -1, 0)))=1, VERI_TABANI!E24*(1-0.928)*VERI_TABANI!$B$9, 0) + (VERI_TABANI!D24*B181*(VERI_TABANI!$B$13-VERI_TABANI!$B$14)*VERI_TABANI!G24) + (VERI_TABANI!D24*C181*(VERI_TABANI!$B$13-VERI_TABANI!$B$15)*VERI_TABANI!G24) + IF(ABS(IF(ISNUMBER(SEARCH("Var", D181)), 1, IF(ISNUMBER(SEARCH("Gri", D181)), -1, 0)))=1, VERI_TABANI!E24*(1-0.928)*0.00206091519919798*VERI_TABANI!G24, 0)) + ((MIN(VERI_TABANI!D25, VERI_TABANI!D25*B181)*VERI_TABANI!$B$7 + MAX(0, VERI_TABANI!D25*B181-VERI_TABANI!D25)*VERI_TABANI!$B$8) + (MIN(MAX(0, VERI_TABANI!D25-VERI_TABANI!D25*B181), VERI_TABANI!D25*C181)*VERI_TABANI!$B$7 + MAX(0, VERI_TABANI!D25*C181-MAX(0, VERI_TABANI!D25-VERI_TABANI!D25*B181))*VERI_TABANI!$B$8) + IF(ABS(IF(ISNUMBER(SEARCH("Var", D181)), 1, IF(ISNUMBER(SEARCH("Gri", D181)), -1, 0)))=1, VERI_TABANI!E25*(1-0.928)*VERI_TABANI!$B$9, 0) + (VERI_TABANI!D25*B181*(VERI_TABANI!$B$13-VERI_TABANI!$B$14)*VERI_TABANI!G25) + (VERI_TABANI!D25*C181*(VERI_TABANI!$B$13-VERI_TABANI!$B$15)*VERI_TABANI!G25) + IF(ABS(IF(ISNUMBER(SEARCH("Var", D181)), 1, IF(ISNUMBER(SEARCH("Gri", D181)), -1, 0)))=1, VERI_TABANI!E25*(1-0.928)*0.00206091519919798*VERI_TABANI!G25, 0)) + ((MIN(VERI_TABANI!D26, VERI_TABANI!D26*B181)*VERI_TABANI!$B$7 + MAX(0, VERI_TABANI!D26*B181-VERI_TABANI!D26)*VERI_TABANI!$B$8) + (MIN(MAX(0, VERI_TABANI!D26-VERI_TABANI!D26*B181), VERI_TABANI!D26*C181)*VERI_TABANI!$B$7 + MAX(0, VERI_TABANI!D26*C181-MAX(0, VERI_TABANI!D26-VERI_TABANI!D26*B181))*VERI_TABANI!$B$8) + IF(ABS(IF(ISNUMBER(SEARCH("Var", D181)), 1, IF(ISNUMBER(SEARCH("Gri", D181)), -1, 0)))=1, VERI_TABANI!E26*(1-0.928)*VERI_TABANI!$B$9, 0) + (VERI_TABANI!D26*B181*(VERI_TABANI!$B$13-VERI_TABANI!$B$14)*VERI_TABANI!G26) + (VERI_TABANI!D26*C181*(VERI_TABANI!$B$13-VERI_TABANI!$B$15)*VERI_TABANI!G26) + IF(ABS(IF(ISNUMBER(SEARCH("Var", D181)), 1, IF(ISNUMBER(SEARCH("Gri", D181)), -1, 0)))=1, VERI_TABANI!E26*(1-0.928)*0.00206091519919798*VERI_TABANI!G26, 0)) + ((MIN(VERI_TABANI!D27, VERI_TABANI!D27*B181)*VERI_TABANI!$B$7 + MAX(0, VERI_TABANI!D27*B181-VERI_TABANI!D27)*VERI_TABANI!$B$8) + (MIN(MAX(0, VERI_TABANI!D27-VERI_TABANI!D27*B181), VERI_TABANI!D27*C181)*VERI_TABANI!$B$7 + MAX(0, VERI_TABANI!D27*C181-MAX(0, VERI_TABANI!D27-VERI_TABANI!D27*B181))*VERI_TABANI!$B$8) + IF(ABS(IF(ISNUMBER(SEARCH("Var", D181)), 1, IF(ISNUMBER(SEARCH("Gri", D181)), -1, 0)))=1, VERI_TABANI!E27*(1-0.928)*VERI_TABANI!$B$9, 0) + (VERI_TABANI!D27*B181*(VERI_TABANI!$B$13-VERI_TABANI!$B$14)*VERI_TABANI!G27) + (VERI_TABANI!D27*C181*(VERI_TABANI!$B$13-VERI_TABANI!$B$15)*VERI_TABANI!G27) + IF(ABS(IF(ISNUMBER(SEARCH("Var", D181)), 1, IF(ISNUMBER(SEARCH("Gri", D181)), -1, 0)))=1, VERI_TABANI!E27*(1-0.928)*0.00206091519919798*VERI_TABANI!G27, 0)) + ((MIN(VERI_TABANI!D28, VERI_TABANI!D28*B181)*VERI_TABANI!$B$7 + MAX(0, VERI_TABANI!D28*B181-VERI_TABANI!D28)*VERI_TABANI!$B$8) + (MIN(MAX(0, VERI_TABANI!D28-VERI_TABANI!D28*B181), VERI_TABANI!D28*C181)*VERI_TABANI!$B$7 + MAX(0, VERI_TABANI!D28*C181-MAX(0, VERI_TABANI!D28-VERI_TABANI!D28*B181))*VERI_TABANI!$B$8) + IF(ABS(IF(ISNUMBER(SEARCH("Var", D181)), 1, IF(ISNUMBER(SEARCH("Gri", D181)), -1, 0)))=1, VERI_TABANI!E28*(1-0.928)*VERI_TABANI!$B$9, 0) + (VERI_TABANI!D28*B181*(VERI_TABANI!$B$13-VERI_TABANI!$B$14)*VERI_TABANI!G28) + (VERI_TABANI!D28*C181*(VERI_TABANI!$B$13-VERI_TABANI!$B$15)*VERI_TABANI!G28) + IF(ABS(IF(ISNUMBER(SEARCH("Var", D181)), 1, IF(ISNUMBER(SEARCH("Gri", D181)), -1, 0)))=1, VERI_TABANI!E28*(1-0.928)*0.00206091519919798*VERI_TABANI!G28, 0)))</f>
        <v/>
      </c>
      <c r="H181" s="169">
        <f>(((VERI_TABANI!D23*B181*(VERI_TABANI!$B$13-VERI_TABANI!$B$14)) + (VERI_TABANI!D23*C181*(VERI_TABANI!$B$13-VERI_TABANI!$B$15)) + IF(ISNUMBER(SEARCH("Var", D181)), VERI_TABANI!F23*(0.00202-VERI_TABANI!$B$16), IF(ISNUMBER(SEARCH("Gri", D181)), VERI_TABANI!F23*(0.00202-VERI_TABANI!$B$17), 0))) + ((VERI_TABANI!D24*B181*(VERI_TABANI!$B$13-VERI_TABANI!$B$14)) + (VERI_TABANI!D24*C181*(VERI_TABANI!$B$13-VERI_TABANI!$B$15)) + IF(ISNUMBER(SEARCH("Var", D181)), VERI_TABANI!F24*(0.00202-VERI_TABANI!$B$16), IF(ISNUMBER(SEARCH("Gri", D181)), VERI_TABANI!F24*(0.00202-VERI_TABANI!$B$17), 0))) + ((VERI_TABANI!D25*B181*(VERI_TABANI!$B$13-VERI_TABANI!$B$14)) + (VERI_TABANI!D25*C181*(VERI_TABANI!$B$13-VERI_TABANI!$B$15)) + IF(ISNUMBER(SEARCH("Var", D181)), VERI_TABANI!F25*(0.00202-VERI_TABANI!$B$16), IF(ISNUMBER(SEARCH("Gri", D181)), VERI_TABANI!F25*(0.00202-VERI_TABANI!$B$17), 0))) + ((VERI_TABANI!D26*B181*(VERI_TABANI!$B$13-VERI_TABANI!$B$14)) + (VERI_TABANI!D26*C181*(VERI_TABANI!$B$13-VERI_TABANI!$B$15)) + IF(ISNUMBER(SEARCH("Var", D181)), VERI_TABANI!F26*(0.00202-VERI_TABANI!$B$16), IF(ISNUMBER(SEARCH("Gri", D181)), VERI_TABANI!F26*(0.00202-VERI_TABANI!$B$17), 0))) + ((VERI_TABANI!D27*B181*(VERI_TABANI!$B$13-VERI_TABANI!$B$14)) + (VERI_TABANI!D27*C181*(VERI_TABANI!$B$13-VERI_TABANI!$B$15)) + IF(ISNUMBER(SEARCH("Var", D181)), VERI_TABANI!F27*(0.00202-VERI_TABANI!$B$16), IF(ISNUMBER(SEARCH("Gri", D181)), VERI_TABANI!F27*(0.00202-VERI_TABANI!$B$17), 0))) + ((VERI_TABANI!D28*B181*(VERI_TABANI!$B$13-VERI_TABANI!$B$14)) + (VERI_TABANI!D28*C181*(VERI_TABANI!$B$13-VERI_TABANI!$B$15)) + IF(ISNUMBER(SEARCH("Var", D181)), VERI_TABANI!F28*(0.00202-VERI_TABANI!$B$16), IF(ISNUMBER(SEARCH("Gri", D181)), VERI_TABANI!F28*(0.00202-VERI_TABANI!$B$17), 0))))</f>
        <v/>
      </c>
      <c r="I181" s="170">
        <f>IFERROR(((VERI_TABANI!$D$29*B181*VERI_TABANI!$B$14 + VERI_TABANI!$D$29*C181*VERI_TABANI!$B$15 + IF(ISNUMBER(SEARCH("Var", D181)), VERI_TABANI!$F$29*VERI_TABANI!$B$16, 0))) / (((VERI_TABANI!$D$29*B181 + VERI_TABANI!$D$29*C181)*VERI_TABANI!$B$13 + IF(ISNUMBER(SEARCH("Var", D181)), VERI_TABANI!$E$29*(1-0.928)*VERI_TABANI!$B$18, 0))), 0)</f>
        <v/>
      </c>
      <c r="J181" s="171">
        <f>IFERROR(F181/(G181/29), 0)</f>
        <v/>
      </c>
      <c r="K181" s="172">
        <f>IF(F181&gt;0, H181/F181, 0)</f>
        <v/>
      </c>
      <c r="L181" s="170">
        <f>IF(F181&gt;0, I181, 1000000000)</f>
        <v/>
      </c>
      <c r="M181" s="171">
        <f>ABS((B181+C181)-1)</f>
        <v/>
      </c>
      <c r="N181" s="170">
        <f>IF(F181&gt;0, (G181/29)/F181, 0)</f>
        <v/>
      </c>
      <c r="O181" s="168">
        <f>IF(AND((B181+C181)&gt;=1, ISNUMBER(SEARCH("Var", D181))), F181, 1000000000)</f>
        <v/>
      </c>
      <c r="P181" s="172">
        <f>IF(F181&gt;0, SQRT((F181/MAX(F$5:F$886))^2 + (1 - H181/MAX(H$5:H$886))^2 + (J181/MAX(J$5:J$886))^2), 1000000000)</f>
        <v/>
      </c>
      <c r="Q181" s="166">
        <f>IF(AND(ABS(B181-0.5)&lt;0.01, ABS(C181-0.5)&lt;0.01, ISNUMBER(SEARCH("Var", D181))), 1, 0)</f>
        <v/>
      </c>
      <c r="R181" s="171">
        <f>IF(F181&gt;0, J181, 1000000000)</f>
        <v/>
      </c>
      <c r="S181" s="101">
        <f>IF(AND(F181&lt;=DASHBOARD!$B$11, H181&gt;=DASHBOARD!$B$13), G181, -1000000000000)</f>
        <v/>
      </c>
      <c r="T181" s="101">
        <f>IF(AND(F181&lt;=DASHBOARD!$B$11, H181&gt;=DASHBOARD!$B$13), R181, 1000000000000)</f>
        <v/>
      </c>
      <c r="U181" s="101">
        <f>IF(AND(F181&lt;=DASHBOARD!$B$11, H181&gt;=DASHBOARD!$B$13), N181, -1000000000000)</f>
        <v/>
      </c>
      <c r="V181" s="101">
        <f>IF(AND(F181&lt;=DASHBOARD!$B$11, H181&gt;=DASHBOARD!$B$13), H181, -1000000000000)</f>
        <v/>
      </c>
      <c r="W181" s="101">
        <f>IF(AND(F181&lt;=DASHBOARD!$B$11, H181&gt;=DASHBOARD!$B$13), K181, -1000000000000)</f>
        <v/>
      </c>
      <c r="X181" s="101">
        <f>IF(AND(F181&lt;=DASHBOARD!$B$11, H181&gt;=DASHBOARD!$B$13), M181, 1000000000000)</f>
        <v/>
      </c>
      <c r="Y181" s="101">
        <f>IF(AND(F181&lt;=DASHBOARD!$B$10, H181&gt;=DASHBOARD!$B$11), L181, 1000000000000)</f>
        <v/>
      </c>
      <c r="Z181" s="101">
        <f>IF(AND(F181&lt;=DASHBOARD!$B$10, H181&gt;=DASHBOARD!$B$11), O181, 1000000000000)</f>
        <v/>
      </c>
      <c r="AA181" s="101">
        <f>IF(AND(F181&lt;=DASHBOARD!$B$10, H181&gt;=DASHBOARD!$B$11), P181, 1000000000000)</f>
        <v/>
      </c>
      <c r="AB181" s="101">
        <f>IF(AND(F181&lt;=DASHBOARD!$B$10, H181&gt;=DASHBOARD!$B$11), Q181, -1000000000000)</f>
        <v/>
      </c>
    </row>
    <row r="182" ht="12.75" customHeight="1" s="102">
      <c r="A182" s="166" t="n">
        <v>178</v>
      </c>
      <c r="B182" s="167" t="n">
        <v>0.4</v>
      </c>
      <c r="C182" s="167" t="n">
        <v>0.4</v>
      </c>
      <c r="D182" s="110" t="inlineStr">
        <is>
          <t>Var (%20)</t>
        </is>
      </c>
      <c r="E182" s="110">
        <f>IF((B182+C182)&lt;=1, "Tam Mahsuplaşma (≤%100)", "Kısmi Satış (&gt;%100)")</f>
        <v/>
      </c>
      <c r="F182" s="168">
        <f>((VERI_TABANI!$D$29*B182/VERI_TABANI!$B$29)/VERI_TABANI!$B$3)*VERI_TABANI!$B$5 + ((VERI_TABANI!$D$29*C182/VERI_TABANI!$B$29)/VERI_TABANI!$B$4)*VERI_TABANI!$B$6 + IF(ISNUMBER(SEARCH("Var", D182)), (VERI_TABANI!$F$29/VERI_TABANI!$B$29)*(VERI_TABANI!$B$10+VERI_TABANI!$B$12), 0)</f>
        <v/>
      </c>
      <c r="G182" s="168">
        <f>(((MIN(VERI_TABANI!D23, VERI_TABANI!D23*B182)*VERI_TABANI!$B$7 + MAX(0, VERI_TABANI!D23*B182-VERI_TABANI!D23)*VERI_TABANI!$B$8) + (MIN(MAX(0, VERI_TABANI!D23-VERI_TABANI!D23*B182), VERI_TABANI!D23*C182)*VERI_TABANI!$B$7 + MAX(0, VERI_TABANI!D23*C182-MAX(0, VERI_TABANI!D23-VERI_TABANI!D23*B182))*VERI_TABANI!$B$8) + IF(ABS(IF(ISNUMBER(SEARCH("Var", D182)), 1, IF(ISNUMBER(SEARCH("Gri", D182)), -1, 0)))=1, VERI_TABANI!E23*(1-0.928)*VERI_TABANI!$B$9, 0) + (VERI_TABANI!D23*B182*(VERI_TABANI!$B$13-VERI_TABANI!$B$14)*VERI_TABANI!G23) + (VERI_TABANI!D23*C182*(VERI_TABANI!$B$13-VERI_TABANI!$B$15)*VERI_TABANI!G23) + IF(ABS(IF(ISNUMBER(SEARCH("Var", D182)), 1, IF(ISNUMBER(SEARCH("Gri", D182)), -1, 0)))=1, VERI_TABANI!E23*(1-0.928)*0.00206091519919798*VERI_TABANI!G23, 0)) + ((MIN(VERI_TABANI!D24, VERI_TABANI!D24*B182)*VERI_TABANI!$B$7 + MAX(0, VERI_TABANI!D24*B182-VERI_TABANI!D24)*VERI_TABANI!$B$8) + (MIN(MAX(0, VERI_TABANI!D24-VERI_TABANI!D24*B182), VERI_TABANI!D24*C182)*VERI_TABANI!$B$7 + MAX(0, VERI_TABANI!D24*C182-MAX(0, VERI_TABANI!D24-VERI_TABANI!D24*B182))*VERI_TABANI!$B$8) + IF(ABS(IF(ISNUMBER(SEARCH("Var", D182)), 1, IF(ISNUMBER(SEARCH("Gri", D182)), -1, 0)))=1, VERI_TABANI!E24*(1-0.928)*VERI_TABANI!$B$9, 0) + (VERI_TABANI!D24*B182*(VERI_TABANI!$B$13-VERI_TABANI!$B$14)*VERI_TABANI!G24) + (VERI_TABANI!D24*C182*(VERI_TABANI!$B$13-VERI_TABANI!$B$15)*VERI_TABANI!G24) + IF(ABS(IF(ISNUMBER(SEARCH("Var", D182)), 1, IF(ISNUMBER(SEARCH("Gri", D182)), -1, 0)))=1, VERI_TABANI!E24*(1-0.928)*0.00206091519919798*VERI_TABANI!G24, 0)) + ((MIN(VERI_TABANI!D25, VERI_TABANI!D25*B182)*VERI_TABANI!$B$7 + MAX(0, VERI_TABANI!D25*B182-VERI_TABANI!D25)*VERI_TABANI!$B$8) + (MIN(MAX(0, VERI_TABANI!D25-VERI_TABANI!D25*B182), VERI_TABANI!D25*C182)*VERI_TABANI!$B$7 + MAX(0, VERI_TABANI!D25*C182-MAX(0, VERI_TABANI!D25-VERI_TABANI!D25*B182))*VERI_TABANI!$B$8) + IF(ABS(IF(ISNUMBER(SEARCH("Var", D182)), 1, IF(ISNUMBER(SEARCH("Gri", D182)), -1, 0)))=1, VERI_TABANI!E25*(1-0.928)*VERI_TABANI!$B$9, 0) + (VERI_TABANI!D25*B182*(VERI_TABANI!$B$13-VERI_TABANI!$B$14)*VERI_TABANI!G25) + (VERI_TABANI!D25*C182*(VERI_TABANI!$B$13-VERI_TABANI!$B$15)*VERI_TABANI!G25) + IF(ABS(IF(ISNUMBER(SEARCH("Var", D182)), 1, IF(ISNUMBER(SEARCH("Gri", D182)), -1, 0)))=1, VERI_TABANI!E25*(1-0.928)*0.00206091519919798*VERI_TABANI!G25, 0)) + ((MIN(VERI_TABANI!D26, VERI_TABANI!D26*B182)*VERI_TABANI!$B$7 + MAX(0, VERI_TABANI!D26*B182-VERI_TABANI!D26)*VERI_TABANI!$B$8) + (MIN(MAX(0, VERI_TABANI!D26-VERI_TABANI!D26*B182), VERI_TABANI!D26*C182)*VERI_TABANI!$B$7 + MAX(0, VERI_TABANI!D26*C182-MAX(0, VERI_TABANI!D26-VERI_TABANI!D26*B182))*VERI_TABANI!$B$8) + IF(ABS(IF(ISNUMBER(SEARCH("Var", D182)), 1, IF(ISNUMBER(SEARCH("Gri", D182)), -1, 0)))=1, VERI_TABANI!E26*(1-0.928)*VERI_TABANI!$B$9, 0) + (VERI_TABANI!D26*B182*(VERI_TABANI!$B$13-VERI_TABANI!$B$14)*VERI_TABANI!G26) + (VERI_TABANI!D26*C182*(VERI_TABANI!$B$13-VERI_TABANI!$B$15)*VERI_TABANI!G26) + IF(ABS(IF(ISNUMBER(SEARCH("Var", D182)), 1, IF(ISNUMBER(SEARCH("Gri", D182)), -1, 0)))=1, VERI_TABANI!E26*(1-0.928)*0.00206091519919798*VERI_TABANI!G26, 0)) + ((MIN(VERI_TABANI!D27, VERI_TABANI!D27*B182)*VERI_TABANI!$B$7 + MAX(0, VERI_TABANI!D27*B182-VERI_TABANI!D27)*VERI_TABANI!$B$8) + (MIN(MAX(0, VERI_TABANI!D27-VERI_TABANI!D27*B182), VERI_TABANI!D27*C182)*VERI_TABANI!$B$7 + MAX(0, VERI_TABANI!D27*C182-MAX(0, VERI_TABANI!D27-VERI_TABANI!D27*B182))*VERI_TABANI!$B$8) + IF(ABS(IF(ISNUMBER(SEARCH("Var", D182)), 1, IF(ISNUMBER(SEARCH("Gri", D182)), -1, 0)))=1, VERI_TABANI!E27*(1-0.928)*VERI_TABANI!$B$9, 0) + (VERI_TABANI!D27*B182*(VERI_TABANI!$B$13-VERI_TABANI!$B$14)*VERI_TABANI!G27) + (VERI_TABANI!D27*C182*(VERI_TABANI!$B$13-VERI_TABANI!$B$15)*VERI_TABANI!G27) + IF(ABS(IF(ISNUMBER(SEARCH("Var", D182)), 1, IF(ISNUMBER(SEARCH("Gri", D182)), -1, 0)))=1, VERI_TABANI!E27*(1-0.928)*0.00206091519919798*VERI_TABANI!G27, 0)) + ((MIN(VERI_TABANI!D28, VERI_TABANI!D28*B182)*VERI_TABANI!$B$7 + MAX(0, VERI_TABANI!D28*B182-VERI_TABANI!D28)*VERI_TABANI!$B$8) + (MIN(MAX(0, VERI_TABANI!D28-VERI_TABANI!D28*B182), VERI_TABANI!D28*C182)*VERI_TABANI!$B$7 + MAX(0, VERI_TABANI!D28*C182-MAX(0, VERI_TABANI!D28-VERI_TABANI!D28*B182))*VERI_TABANI!$B$8) + IF(ABS(IF(ISNUMBER(SEARCH("Var", D182)), 1, IF(ISNUMBER(SEARCH("Gri", D182)), -1, 0)))=1, VERI_TABANI!E28*(1-0.928)*VERI_TABANI!$B$9, 0) + (VERI_TABANI!D28*B182*(VERI_TABANI!$B$13-VERI_TABANI!$B$14)*VERI_TABANI!G28) + (VERI_TABANI!D28*C182*(VERI_TABANI!$B$13-VERI_TABANI!$B$15)*VERI_TABANI!G28) + IF(ABS(IF(ISNUMBER(SEARCH("Var", D182)), 1, IF(ISNUMBER(SEARCH("Gri", D182)), -1, 0)))=1, VERI_TABANI!E28*(1-0.928)*0.00206091519919798*VERI_TABANI!G28, 0)))</f>
        <v/>
      </c>
      <c r="H182" s="169">
        <f>(((VERI_TABANI!D23*B182*(VERI_TABANI!$B$13-VERI_TABANI!$B$14)) + (VERI_TABANI!D23*C182*(VERI_TABANI!$B$13-VERI_TABANI!$B$15)) + IF(ISNUMBER(SEARCH("Var", D182)), VERI_TABANI!F23*(0.00202-VERI_TABANI!$B$16), IF(ISNUMBER(SEARCH("Gri", D182)), VERI_TABANI!F23*(0.00202-VERI_TABANI!$B$17), 0))) + ((VERI_TABANI!D24*B182*(VERI_TABANI!$B$13-VERI_TABANI!$B$14)) + (VERI_TABANI!D24*C182*(VERI_TABANI!$B$13-VERI_TABANI!$B$15)) + IF(ISNUMBER(SEARCH("Var", D182)), VERI_TABANI!F24*(0.00202-VERI_TABANI!$B$16), IF(ISNUMBER(SEARCH("Gri", D182)), VERI_TABANI!F24*(0.00202-VERI_TABANI!$B$17), 0))) + ((VERI_TABANI!D25*B182*(VERI_TABANI!$B$13-VERI_TABANI!$B$14)) + (VERI_TABANI!D25*C182*(VERI_TABANI!$B$13-VERI_TABANI!$B$15)) + IF(ISNUMBER(SEARCH("Var", D182)), VERI_TABANI!F25*(0.00202-VERI_TABANI!$B$16), IF(ISNUMBER(SEARCH("Gri", D182)), VERI_TABANI!F25*(0.00202-VERI_TABANI!$B$17), 0))) + ((VERI_TABANI!D26*B182*(VERI_TABANI!$B$13-VERI_TABANI!$B$14)) + (VERI_TABANI!D26*C182*(VERI_TABANI!$B$13-VERI_TABANI!$B$15)) + IF(ISNUMBER(SEARCH("Var", D182)), VERI_TABANI!F26*(0.00202-VERI_TABANI!$B$16), IF(ISNUMBER(SEARCH("Gri", D182)), VERI_TABANI!F26*(0.00202-VERI_TABANI!$B$17), 0))) + ((VERI_TABANI!D27*B182*(VERI_TABANI!$B$13-VERI_TABANI!$B$14)) + (VERI_TABANI!D27*C182*(VERI_TABANI!$B$13-VERI_TABANI!$B$15)) + IF(ISNUMBER(SEARCH("Var", D182)), VERI_TABANI!F27*(0.00202-VERI_TABANI!$B$16), IF(ISNUMBER(SEARCH("Gri", D182)), VERI_TABANI!F27*(0.00202-VERI_TABANI!$B$17), 0))) + ((VERI_TABANI!D28*B182*(VERI_TABANI!$B$13-VERI_TABANI!$B$14)) + (VERI_TABANI!D28*C182*(VERI_TABANI!$B$13-VERI_TABANI!$B$15)) + IF(ISNUMBER(SEARCH("Var", D182)), VERI_TABANI!F28*(0.00202-VERI_TABANI!$B$16), IF(ISNUMBER(SEARCH("Gri", D182)), VERI_TABANI!F28*(0.00202-VERI_TABANI!$B$17), 0))))</f>
        <v/>
      </c>
      <c r="I182" s="170">
        <f>IFERROR(((VERI_TABANI!$D$29*B182*VERI_TABANI!$B$14 + VERI_TABANI!$D$29*C182*VERI_TABANI!$B$15 + IF(ISNUMBER(SEARCH("Var", D182)), VERI_TABANI!$F$29*VERI_TABANI!$B$16, 0))) / (((VERI_TABANI!$D$29*B182 + VERI_TABANI!$D$29*C182)*VERI_TABANI!$B$13 + IF(ISNUMBER(SEARCH("Var", D182)), VERI_TABANI!$E$29*(1-0.928)*VERI_TABANI!$B$18, 0))), 0)</f>
        <v/>
      </c>
      <c r="J182" s="171">
        <f>IFERROR(F182/(G182/29), 0)</f>
        <v/>
      </c>
      <c r="K182" s="172">
        <f>IF(F182&gt;0, H182/F182, 0)</f>
        <v/>
      </c>
      <c r="L182" s="170">
        <f>IF(F182&gt;0, I182, 1000000000)</f>
        <v/>
      </c>
      <c r="M182" s="171">
        <f>ABS((B182+C182)-1)</f>
        <v/>
      </c>
      <c r="N182" s="170">
        <f>IF(F182&gt;0, (G182/29)/F182, 0)</f>
        <v/>
      </c>
      <c r="O182" s="168">
        <f>IF(AND((B182+C182)&gt;=1, ISNUMBER(SEARCH("Var", D182))), F182, 1000000000)</f>
        <v/>
      </c>
      <c r="P182" s="172">
        <f>IF(F182&gt;0, SQRT((F182/MAX(F$5:F$886))^2 + (1 - H182/MAX(H$5:H$886))^2 + (J182/MAX(J$5:J$886))^2), 1000000000)</f>
        <v/>
      </c>
      <c r="Q182" s="166">
        <f>IF(AND(ABS(B182-0.5)&lt;0.01, ABS(C182-0.5)&lt;0.01, ISNUMBER(SEARCH("Var", D182))), 1, 0)</f>
        <v/>
      </c>
      <c r="R182" s="171">
        <f>IF(F182&gt;0, J182, 1000000000)</f>
        <v/>
      </c>
      <c r="S182" s="101">
        <f>IF(AND(F182&lt;=DASHBOARD!$B$11, H182&gt;=DASHBOARD!$B$13), G182, -1000000000000)</f>
        <v/>
      </c>
      <c r="T182" s="101">
        <f>IF(AND(F182&lt;=DASHBOARD!$B$11, H182&gt;=DASHBOARD!$B$13), R182, 1000000000000)</f>
        <v/>
      </c>
      <c r="U182" s="101">
        <f>IF(AND(F182&lt;=DASHBOARD!$B$11, H182&gt;=DASHBOARD!$B$13), N182, -1000000000000)</f>
        <v/>
      </c>
      <c r="V182" s="101">
        <f>IF(AND(F182&lt;=DASHBOARD!$B$11, H182&gt;=DASHBOARD!$B$13), H182, -1000000000000)</f>
        <v/>
      </c>
      <c r="W182" s="101">
        <f>IF(AND(F182&lt;=DASHBOARD!$B$11, H182&gt;=DASHBOARD!$B$13), K182, -1000000000000)</f>
        <v/>
      </c>
      <c r="X182" s="101">
        <f>IF(AND(F182&lt;=DASHBOARD!$B$11, H182&gt;=DASHBOARD!$B$13), M182, 1000000000000)</f>
        <v/>
      </c>
      <c r="Y182" s="101">
        <f>IF(AND(F182&lt;=DASHBOARD!$B$10, H182&gt;=DASHBOARD!$B$11), L182, 1000000000000)</f>
        <v/>
      </c>
      <c r="Z182" s="101">
        <f>IF(AND(F182&lt;=DASHBOARD!$B$10, H182&gt;=DASHBOARD!$B$11), O182, 1000000000000)</f>
        <v/>
      </c>
      <c r="AA182" s="101">
        <f>IF(AND(F182&lt;=DASHBOARD!$B$10, H182&gt;=DASHBOARD!$B$11), P182, 1000000000000)</f>
        <v/>
      </c>
      <c r="AB182" s="101">
        <f>IF(AND(F182&lt;=DASHBOARD!$B$10, H182&gt;=DASHBOARD!$B$11), Q182, -1000000000000)</f>
        <v/>
      </c>
    </row>
    <row r="183" ht="12.75" customHeight="1" s="102">
      <c r="A183" s="166" t="n">
        <v>179</v>
      </c>
      <c r="B183" s="167" t="n">
        <v>0.4</v>
      </c>
      <c r="C183" s="167" t="n">
        <v>0.5</v>
      </c>
      <c r="D183" s="110" t="inlineStr">
        <is>
          <t>Yok (%0)</t>
        </is>
      </c>
      <c r="E183" s="110">
        <f>IF((B183+C183)&lt;=1, "Tam Mahsuplaşma (≤%100)", "Kısmi Satış (&gt;%100)")</f>
        <v/>
      </c>
      <c r="F183" s="168">
        <f>((VERI_TABANI!$D$29*B183/VERI_TABANI!$B$29)/VERI_TABANI!$B$3)*VERI_TABANI!$B$5 + ((VERI_TABANI!$D$29*C183/VERI_TABANI!$B$29)/VERI_TABANI!$B$4)*VERI_TABANI!$B$6 + IF(ISNUMBER(SEARCH("Var", D183)), (VERI_TABANI!$F$29/VERI_TABANI!$B$29)*(VERI_TABANI!$B$10+VERI_TABANI!$B$12), 0)</f>
        <v/>
      </c>
      <c r="G183" s="168">
        <f>(((MIN(VERI_TABANI!D23, VERI_TABANI!D23*B183)*VERI_TABANI!$B$7 + MAX(0, VERI_TABANI!D23*B183-VERI_TABANI!D23)*VERI_TABANI!$B$8) + (MIN(MAX(0, VERI_TABANI!D23-VERI_TABANI!D23*B183), VERI_TABANI!D23*C183)*VERI_TABANI!$B$7 + MAX(0, VERI_TABANI!D23*C183-MAX(0, VERI_TABANI!D23-VERI_TABANI!D23*B183))*VERI_TABANI!$B$8) + IF(ABS(IF(ISNUMBER(SEARCH("Var", D183)), 1, IF(ISNUMBER(SEARCH("Gri", D183)), -1, 0)))=1, VERI_TABANI!E23*(1-0.928)*VERI_TABANI!$B$9, 0) + (VERI_TABANI!D23*B183*(VERI_TABANI!$B$13-VERI_TABANI!$B$14)*VERI_TABANI!G23) + (VERI_TABANI!D23*C183*(VERI_TABANI!$B$13-VERI_TABANI!$B$15)*VERI_TABANI!G23) + IF(ABS(IF(ISNUMBER(SEARCH("Var", D183)), 1, IF(ISNUMBER(SEARCH("Gri", D183)), -1, 0)))=1, VERI_TABANI!E23*(1-0.928)*0.00206091519919798*VERI_TABANI!G23, 0)) + ((MIN(VERI_TABANI!D24, VERI_TABANI!D24*B183)*VERI_TABANI!$B$7 + MAX(0, VERI_TABANI!D24*B183-VERI_TABANI!D24)*VERI_TABANI!$B$8) + (MIN(MAX(0, VERI_TABANI!D24-VERI_TABANI!D24*B183), VERI_TABANI!D24*C183)*VERI_TABANI!$B$7 + MAX(0, VERI_TABANI!D24*C183-MAX(0, VERI_TABANI!D24-VERI_TABANI!D24*B183))*VERI_TABANI!$B$8) + IF(ABS(IF(ISNUMBER(SEARCH("Var", D183)), 1, IF(ISNUMBER(SEARCH("Gri", D183)), -1, 0)))=1, VERI_TABANI!E24*(1-0.928)*VERI_TABANI!$B$9, 0) + (VERI_TABANI!D24*B183*(VERI_TABANI!$B$13-VERI_TABANI!$B$14)*VERI_TABANI!G24) + (VERI_TABANI!D24*C183*(VERI_TABANI!$B$13-VERI_TABANI!$B$15)*VERI_TABANI!G24) + IF(ABS(IF(ISNUMBER(SEARCH("Var", D183)), 1, IF(ISNUMBER(SEARCH("Gri", D183)), -1, 0)))=1, VERI_TABANI!E24*(1-0.928)*0.00206091519919798*VERI_TABANI!G24, 0)) + ((MIN(VERI_TABANI!D25, VERI_TABANI!D25*B183)*VERI_TABANI!$B$7 + MAX(0, VERI_TABANI!D25*B183-VERI_TABANI!D25)*VERI_TABANI!$B$8) + (MIN(MAX(0, VERI_TABANI!D25-VERI_TABANI!D25*B183), VERI_TABANI!D25*C183)*VERI_TABANI!$B$7 + MAX(0, VERI_TABANI!D25*C183-MAX(0, VERI_TABANI!D25-VERI_TABANI!D25*B183))*VERI_TABANI!$B$8) + IF(ABS(IF(ISNUMBER(SEARCH("Var", D183)), 1, IF(ISNUMBER(SEARCH("Gri", D183)), -1, 0)))=1, VERI_TABANI!E25*(1-0.928)*VERI_TABANI!$B$9, 0) + (VERI_TABANI!D25*B183*(VERI_TABANI!$B$13-VERI_TABANI!$B$14)*VERI_TABANI!G25) + (VERI_TABANI!D25*C183*(VERI_TABANI!$B$13-VERI_TABANI!$B$15)*VERI_TABANI!G25) + IF(ABS(IF(ISNUMBER(SEARCH("Var", D183)), 1, IF(ISNUMBER(SEARCH("Gri", D183)), -1, 0)))=1, VERI_TABANI!E25*(1-0.928)*0.00206091519919798*VERI_TABANI!G25, 0)) + ((MIN(VERI_TABANI!D26, VERI_TABANI!D26*B183)*VERI_TABANI!$B$7 + MAX(0, VERI_TABANI!D26*B183-VERI_TABANI!D26)*VERI_TABANI!$B$8) + (MIN(MAX(0, VERI_TABANI!D26-VERI_TABANI!D26*B183), VERI_TABANI!D26*C183)*VERI_TABANI!$B$7 + MAX(0, VERI_TABANI!D26*C183-MAX(0, VERI_TABANI!D26-VERI_TABANI!D26*B183))*VERI_TABANI!$B$8) + IF(ABS(IF(ISNUMBER(SEARCH("Var", D183)), 1, IF(ISNUMBER(SEARCH("Gri", D183)), -1, 0)))=1, VERI_TABANI!E26*(1-0.928)*VERI_TABANI!$B$9, 0) + (VERI_TABANI!D26*B183*(VERI_TABANI!$B$13-VERI_TABANI!$B$14)*VERI_TABANI!G26) + (VERI_TABANI!D26*C183*(VERI_TABANI!$B$13-VERI_TABANI!$B$15)*VERI_TABANI!G26) + IF(ABS(IF(ISNUMBER(SEARCH("Var", D183)), 1, IF(ISNUMBER(SEARCH("Gri", D183)), -1, 0)))=1, VERI_TABANI!E26*(1-0.928)*0.00206091519919798*VERI_TABANI!G26, 0)) + ((MIN(VERI_TABANI!D27, VERI_TABANI!D27*B183)*VERI_TABANI!$B$7 + MAX(0, VERI_TABANI!D27*B183-VERI_TABANI!D27)*VERI_TABANI!$B$8) + (MIN(MAX(0, VERI_TABANI!D27-VERI_TABANI!D27*B183), VERI_TABANI!D27*C183)*VERI_TABANI!$B$7 + MAX(0, VERI_TABANI!D27*C183-MAX(0, VERI_TABANI!D27-VERI_TABANI!D27*B183))*VERI_TABANI!$B$8) + IF(ABS(IF(ISNUMBER(SEARCH("Var", D183)), 1, IF(ISNUMBER(SEARCH("Gri", D183)), -1, 0)))=1, VERI_TABANI!E27*(1-0.928)*VERI_TABANI!$B$9, 0) + (VERI_TABANI!D27*B183*(VERI_TABANI!$B$13-VERI_TABANI!$B$14)*VERI_TABANI!G27) + (VERI_TABANI!D27*C183*(VERI_TABANI!$B$13-VERI_TABANI!$B$15)*VERI_TABANI!G27) + IF(ABS(IF(ISNUMBER(SEARCH("Var", D183)), 1, IF(ISNUMBER(SEARCH("Gri", D183)), -1, 0)))=1, VERI_TABANI!E27*(1-0.928)*0.00206091519919798*VERI_TABANI!G27, 0)) + ((MIN(VERI_TABANI!D28, VERI_TABANI!D28*B183)*VERI_TABANI!$B$7 + MAX(0, VERI_TABANI!D28*B183-VERI_TABANI!D28)*VERI_TABANI!$B$8) + (MIN(MAX(0, VERI_TABANI!D28-VERI_TABANI!D28*B183), VERI_TABANI!D28*C183)*VERI_TABANI!$B$7 + MAX(0, VERI_TABANI!D28*C183-MAX(0, VERI_TABANI!D28-VERI_TABANI!D28*B183))*VERI_TABANI!$B$8) + IF(ABS(IF(ISNUMBER(SEARCH("Var", D183)), 1, IF(ISNUMBER(SEARCH("Gri", D183)), -1, 0)))=1, VERI_TABANI!E28*(1-0.928)*VERI_TABANI!$B$9, 0) + (VERI_TABANI!D28*B183*(VERI_TABANI!$B$13-VERI_TABANI!$B$14)*VERI_TABANI!G28) + (VERI_TABANI!D28*C183*(VERI_TABANI!$B$13-VERI_TABANI!$B$15)*VERI_TABANI!G28) + IF(ABS(IF(ISNUMBER(SEARCH("Var", D183)), 1, IF(ISNUMBER(SEARCH("Gri", D183)), -1, 0)))=1, VERI_TABANI!E28*(1-0.928)*0.00206091519919798*VERI_TABANI!G28, 0)))</f>
        <v/>
      </c>
      <c r="H183" s="169">
        <f>(((VERI_TABANI!D23*B183*(VERI_TABANI!$B$13-VERI_TABANI!$B$14)) + (VERI_TABANI!D23*C183*(VERI_TABANI!$B$13-VERI_TABANI!$B$15)) + IF(ISNUMBER(SEARCH("Var", D183)), VERI_TABANI!F23*(0.00202-VERI_TABANI!$B$16), IF(ISNUMBER(SEARCH("Gri", D183)), VERI_TABANI!F23*(0.00202-VERI_TABANI!$B$17), 0))) + ((VERI_TABANI!D24*B183*(VERI_TABANI!$B$13-VERI_TABANI!$B$14)) + (VERI_TABANI!D24*C183*(VERI_TABANI!$B$13-VERI_TABANI!$B$15)) + IF(ISNUMBER(SEARCH("Var", D183)), VERI_TABANI!F24*(0.00202-VERI_TABANI!$B$16), IF(ISNUMBER(SEARCH("Gri", D183)), VERI_TABANI!F24*(0.00202-VERI_TABANI!$B$17), 0))) + ((VERI_TABANI!D25*B183*(VERI_TABANI!$B$13-VERI_TABANI!$B$14)) + (VERI_TABANI!D25*C183*(VERI_TABANI!$B$13-VERI_TABANI!$B$15)) + IF(ISNUMBER(SEARCH("Var", D183)), VERI_TABANI!F25*(0.00202-VERI_TABANI!$B$16), IF(ISNUMBER(SEARCH("Gri", D183)), VERI_TABANI!F25*(0.00202-VERI_TABANI!$B$17), 0))) + ((VERI_TABANI!D26*B183*(VERI_TABANI!$B$13-VERI_TABANI!$B$14)) + (VERI_TABANI!D26*C183*(VERI_TABANI!$B$13-VERI_TABANI!$B$15)) + IF(ISNUMBER(SEARCH("Var", D183)), VERI_TABANI!F26*(0.00202-VERI_TABANI!$B$16), IF(ISNUMBER(SEARCH("Gri", D183)), VERI_TABANI!F26*(0.00202-VERI_TABANI!$B$17), 0))) + ((VERI_TABANI!D27*B183*(VERI_TABANI!$B$13-VERI_TABANI!$B$14)) + (VERI_TABANI!D27*C183*(VERI_TABANI!$B$13-VERI_TABANI!$B$15)) + IF(ISNUMBER(SEARCH("Var", D183)), VERI_TABANI!F27*(0.00202-VERI_TABANI!$B$16), IF(ISNUMBER(SEARCH("Gri", D183)), VERI_TABANI!F27*(0.00202-VERI_TABANI!$B$17), 0))) + ((VERI_TABANI!D28*B183*(VERI_TABANI!$B$13-VERI_TABANI!$B$14)) + (VERI_TABANI!D28*C183*(VERI_TABANI!$B$13-VERI_TABANI!$B$15)) + IF(ISNUMBER(SEARCH("Var", D183)), VERI_TABANI!F28*(0.00202-VERI_TABANI!$B$16), IF(ISNUMBER(SEARCH("Gri", D183)), VERI_TABANI!F28*(0.00202-VERI_TABANI!$B$17), 0))))</f>
        <v/>
      </c>
      <c r="I183" s="170">
        <f>IFERROR(((VERI_TABANI!$D$29*B183*VERI_TABANI!$B$14 + VERI_TABANI!$D$29*C183*VERI_TABANI!$B$15 + IF(ISNUMBER(SEARCH("Var", D183)), VERI_TABANI!$F$29*VERI_TABANI!$B$16, 0))) / (((VERI_TABANI!$D$29*B183 + VERI_TABANI!$D$29*C183)*VERI_TABANI!$B$13 + IF(ISNUMBER(SEARCH("Var", D183)), VERI_TABANI!$E$29*(1-0.928)*VERI_TABANI!$B$18, 0))), 0)</f>
        <v/>
      </c>
      <c r="J183" s="171">
        <f>IFERROR(F183/(G183/29), 0)</f>
        <v/>
      </c>
      <c r="K183" s="172">
        <f>IF(F183&gt;0, H183/F183, 0)</f>
        <v/>
      </c>
      <c r="L183" s="170">
        <f>IF(F183&gt;0, I183, 1000000000)</f>
        <v/>
      </c>
      <c r="M183" s="171">
        <f>ABS((B183+C183)-1)</f>
        <v/>
      </c>
      <c r="N183" s="170">
        <f>IF(F183&gt;0, (G183/29)/F183, 0)</f>
        <v/>
      </c>
      <c r="O183" s="168">
        <f>IF(AND((B183+C183)&gt;=1, ISNUMBER(SEARCH("Var", D183))), F183, 1000000000)</f>
        <v/>
      </c>
      <c r="P183" s="172">
        <f>IF(F183&gt;0, SQRT((F183/MAX(F$5:F$886))^2 + (1 - H183/MAX(H$5:H$886))^2 + (J183/MAX(J$5:J$886))^2), 1000000000)</f>
        <v/>
      </c>
      <c r="Q183" s="166">
        <f>IF(AND(ABS(B183-0.5)&lt;0.01, ABS(C183-0.5)&lt;0.01, ISNUMBER(SEARCH("Var", D183))), 1, 0)</f>
        <v/>
      </c>
      <c r="R183" s="171">
        <f>IF(F183&gt;0, J183, 1000000000)</f>
        <v/>
      </c>
      <c r="S183" s="101">
        <f>IF(AND(F183&lt;=DASHBOARD!$B$11, H183&gt;=DASHBOARD!$B$13), G183, -1000000000000)</f>
        <v/>
      </c>
      <c r="T183" s="101">
        <f>IF(AND(F183&lt;=DASHBOARD!$B$11, H183&gt;=DASHBOARD!$B$13), R183, 1000000000000)</f>
        <v/>
      </c>
      <c r="U183" s="101">
        <f>IF(AND(F183&lt;=DASHBOARD!$B$11, H183&gt;=DASHBOARD!$B$13), N183, -1000000000000)</f>
        <v/>
      </c>
      <c r="V183" s="101">
        <f>IF(AND(F183&lt;=DASHBOARD!$B$11, H183&gt;=DASHBOARD!$B$13), H183, -1000000000000)</f>
        <v/>
      </c>
      <c r="W183" s="101">
        <f>IF(AND(F183&lt;=DASHBOARD!$B$11, H183&gt;=DASHBOARD!$B$13), K183, -1000000000000)</f>
        <v/>
      </c>
      <c r="X183" s="101">
        <f>IF(AND(F183&lt;=DASHBOARD!$B$11, H183&gt;=DASHBOARD!$B$13), M183, 1000000000000)</f>
        <v/>
      </c>
      <c r="Y183" s="101">
        <f>IF(AND(F183&lt;=DASHBOARD!$B$10, H183&gt;=DASHBOARD!$B$11), L183, 1000000000000)</f>
        <v/>
      </c>
      <c r="Z183" s="101">
        <f>IF(AND(F183&lt;=DASHBOARD!$B$10, H183&gt;=DASHBOARD!$B$11), O183, 1000000000000)</f>
        <v/>
      </c>
      <c r="AA183" s="101">
        <f>IF(AND(F183&lt;=DASHBOARD!$B$10, H183&gt;=DASHBOARD!$B$11), P183, 1000000000000)</f>
        <v/>
      </c>
      <c r="AB183" s="101">
        <f>IF(AND(F183&lt;=DASHBOARD!$B$10, H183&gt;=DASHBOARD!$B$11), Q183, -1000000000000)</f>
        <v/>
      </c>
    </row>
    <row r="184" ht="12.75" customHeight="1" s="102">
      <c r="A184" s="166" t="n">
        <v>180</v>
      </c>
      <c r="B184" s="167" t="n">
        <v>0.4</v>
      </c>
      <c r="C184" s="167" t="n">
        <v>0.5</v>
      </c>
      <c r="D184" s="110" t="inlineStr">
        <is>
          <t>Var (%20)</t>
        </is>
      </c>
      <c r="E184" s="110">
        <f>IF((B184+C184)&lt;=1, "Tam Mahsuplaşma (≤%100)", "Kısmi Satış (&gt;%100)")</f>
        <v/>
      </c>
      <c r="F184" s="168">
        <f>((VERI_TABANI!$D$29*B184/VERI_TABANI!$B$29)/VERI_TABANI!$B$3)*VERI_TABANI!$B$5 + ((VERI_TABANI!$D$29*C184/VERI_TABANI!$B$29)/VERI_TABANI!$B$4)*VERI_TABANI!$B$6 + IF(ISNUMBER(SEARCH("Var", D184)), (VERI_TABANI!$F$29/VERI_TABANI!$B$29)*(VERI_TABANI!$B$10+VERI_TABANI!$B$12), 0)</f>
        <v/>
      </c>
      <c r="G184" s="168">
        <f>(((MIN(VERI_TABANI!D23, VERI_TABANI!D23*B184)*VERI_TABANI!$B$7 + MAX(0, VERI_TABANI!D23*B184-VERI_TABANI!D23)*VERI_TABANI!$B$8) + (MIN(MAX(0, VERI_TABANI!D23-VERI_TABANI!D23*B184), VERI_TABANI!D23*C184)*VERI_TABANI!$B$7 + MAX(0, VERI_TABANI!D23*C184-MAX(0, VERI_TABANI!D23-VERI_TABANI!D23*B184))*VERI_TABANI!$B$8) + IF(ABS(IF(ISNUMBER(SEARCH("Var", D184)), 1, IF(ISNUMBER(SEARCH("Gri", D184)), -1, 0)))=1, VERI_TABANI!E23*(1-0.928)*VERI_TABANI!$B$9, 0) + (VERI_TABANI!D23*B184*(VERI_TABANI!$B$13-VERI_TABANI!$B$14)*VERI_TABANI!G23) + (VERI_TABANI!D23*C184*(VERI_TABANI!$B$13-VERI_TABANI!$B$15)*VERI_TABANI!G23) + IF(ABS(IF(ISNUMBER(SEARCH("Var", D184)), 1, IF(ISNUMBER(SEARCH("Gri", D184)), -1, 0)))=1, VERI_TABANI!E23*(1-0.928)*0.00206091519919798*VERI_TABANI!G23, 0)) + ((MIN(VERI_TABANI!D24, VERI_TABANI!D24*B184)*VERI_TABANI!$B$7 + MAX(0, VERI_TABANI!D24*B184-VERI_TABANI!D24)*VERI_TABANI!$B$8) + (MIN(MAX(0, VERI_TABANI!D24-VERI_TABANI!D24*B184), VERI_TABANI!D24*C184)*VERI_TABANI!$B$7 + MAX(0, VERI_TABANI!D24*C184-MAX(0, VERI_TABANI!D24-VERI_TABANI!D24*B184))*VERI_TABANI!$B$8) + IF(ABS(IF(ISNUMBER(SEARCH("Var", D184)), 1, IF(ISNUMBER(SEARCH("Gri", D184)), -1, 0)))=1, VERI_TABANI!E24*(1-0.928)*VERI_TABANI!$B$9, 0) + (VERI_TABANI!D24*B184*(VERI_TABANI!$B$13-VERI_TABANI!$B$14)*VERI_TABANI!G24) + (VERI_TABANI!D24*C184*(VERI_TABANI!$B$13-VERI_TABANI!$B$15)*VERI_TABANI!G24) + IF(ABS(IF(ISNUMBER(SEARCH("Var", D184)), 1, IF(ISNUMBER(SEARCH("Gri", D184)), -1, 0)))=1, VERI_TABANI!E24*(1-0.928)*0.00206091519919798*VERI_TABANI!G24, 0)) + ((MIN(VERI_TABANI!D25, VERI_TABANI!D25*B184)*VERI_TABANI!$B$7 + MAX(0, VERI_TABANI!D25*B184-VERI_TABANI!D25)*VERI_TABANI!$B$8) + (MIN(MAX(0, VERI_TABANI!D25-VERI_TABANI!D25*B184), VERI_TABANI!D25*C184)*VERI_TABANI!$B$7 + MAX(0, VERI_TABANI!D25*C184-MAX(0, VERI_TABANI!D25-VERI_TABANI!D25*B184))*VERI_TABANI!$B$8) + IF(ABS(IF(ISNUMBER(SEARCH("Var", D184)), 1, IF(ISNUMBER(SEARCH("Gri", D184)), -1, 0)))=1, VERI_TABANI!E25*(1-0.928)*VERI_TABANI!$B$9, 0) + (VERI_TABANI!D25*B184*(VERI_TABANI!$B$13-VERI_TABANI!$B$14)*VERI_TABANI!G25) + (VERI_TABANI!D25*C184*(VERI_TABANI!$B$13-VERI_TABANI!$B$15)*VERI_TABANI!G25) + IF(ABS(IF(ISNUMBER(SEARCH("Var", D184)), 1, IF(ISNUMBER(SEARCH("Gri", D184)), -1, 0)))=1, VERI_TABANI!E25*(1-0.928)*0.00206091519919798*VERI_TABANI!G25, 0)) + ((MIN(VERI_TABANI!D26, VERI_TABANI!D26*B184)*VERI_TABANI!$B$7 + MAX(0, VERI_TABANI!D26*B184-VERI_TABANI!D26)*VERI_TABANI!$B$8) + (MIN(MAX(0, VERI_TABANI!D26-VERI_TABANI!D26*B184), VERI_TABANI!D26*C184)*VERI_TABANI!$B$7 + MAX(0, VERI_TABANI!D26*C184-MAX(0, VERI_TABANI!D26-VERI_TABANI!D26*B184))*VERI_TABANI!$B$8) + IF(ABS(IF(ISNUMBER(SEARCH("Var", D184)), 1, IF(ISNUMBER(SEARCH("Gri", D184)), -1, 0)))=1, VERI_TABANI!E26*(1-0.928)*VERI_TABANI!$B$9, 0) + (VERI_TABANI!D26*B184*(VERI_TABANI!$B$13-VERI_TABANI!$B$14)*VERI_TABANI!G26) + (VERI_TABANI!D26*C184*(VERI_TABANI!$B$13-VERI_TABANI!$B$15)*VERI_TABANI!G26) + IF(ABS(IF(ISNUMBER(SEARCH("Var", D184)), 1, IF(ISNUMBER(SEARCH("Gri", D184)), -1, 0)))=1, VERI_TABANI!E26*(1-0.928)*0.00206091519919798*VERI_TABANI!G26, 0)) + ((MIN(VERI_TABANI!D27, VERI_TABANI!D27*B184)*VERI_TABANI!$B$7 + MAX(0, VERI_TABANI!D27*B184-VERI_TABANI!D27)*VERI_TABANI!$B$8) + (MIN(MAX(0, VERI_TABANI!D27-VERI_TABANI!D27*B184), VERI_TABANI!D27*C184)*VERI_TABANI!$B$7 + MAX(0, VERI_TABANI!D27*C184-MAX(0, VERI_TABANI!D27-VERI_TABANI!D27*B184))*VERI_TABANI!$B$8) + IF(ABS(IF(ISNUMBER(SEARCH("Var", D184)), 1, IF(ISNUMBER(SEARCH("Gri", D184)), -1, 0)))=1, VERI_TABANI!E27*(1-0.928)*VERI_TABANI!$B$9, 0) + (VERI_TABANI!D27*B184*(VERI_TABANI!$B$13-VERI_TABANI!$B$14)*VERI_TABANI!G27) + (VERI_TABANI!D27*C184*(VERI_TABANI!$B$13-VERI_TABANI!$B$15)*VERI_TABANI!G27) + IF(ABS(IF(ISNUMBER(SEARCH("Var", D184)), 1, IF(ISNUMBER(SEARCH("Gri", D184)), -1, 0)))=1, VERI_TABANI!E27*(1-0.928)*0.00206091519919798*VERI_TABANI!G27, 0)) + ((MIN(VERI_TABANI!D28, VERI_TABANI!D28*B184)*VERI_TABANI!$B$7 + MAX(0, VERI_TABANI!D28*B184-VERI_TABANI!D28)*VERI_TABANI!$B$8) + (MIN(MAX(0, VERI_TABANI!D28-VERI_TABANI!D28*B184), VERI_TABANI!D28*C184)*VERI_TABANI!$B$7 + MAX(0, VERI_TABANI!D28*C184-MAX(0, VERI_TABANI!D28-VERI_TABANI!D28*B184))*VERI_TABANI!$B$8) + IF(ABS(IF(ISNUMBER(SEARCH("Var", D184)), 1, IF(ISNUMBER(SEARCH("Gri", D184)), -1, 0)))=1, VERI_TABANI!E28*(1-0.928)*VERI_TABANI!$B$9, 0) + (VERI_TABANI!D28*B184*(VERI_TABANI!$B$13-VERI_TABANI!$B$14)*VERI_TABANI!G28) + (VERI_TABANI!D28*C184*(VERI_TABANI!$B$13-VERI_TABANI!$B$15)*VERI_TABANI!G28) + IF(ABS(IF(ISNUMBER(SEARCH("Var", D184)), 1, IF(ISNUMBER(SEARCH("Gri", D184)), -1, 0)))=1, VERI_TABANI!E28*(1-0.928)*0.00206091519919798*VERI_TABANI!G28, 0)))</f>
        <v/>
      </c>
      <c r="H184" s="169">
        <f>(((VERI_TABANI!D23*B184*(VERI_TABANI!$B$13-VERI_TABANI!$B$14)) + (VERI_TABANI!D23*C184*(VERI_TABANI!$B$13-VERI_TABANI!$B$15)) + IF(ISNUMBER(SEARCH("Var", D184)), VERI_TABANI!F23*(0.00202-VERI_TABANI!$B$16), IF(ISNUMBER(SEARCH("Gri", D184)), VERI_TABANI!F23*(0.00202-VERI_TABANI!$B$17), 0))) + ((VERI_TABANI!D24*B184*(VERI_TABANI!$B$13-VERI_TABANI!$B$14)) + (VERI_TABANI!D24*C184*(VERI_TABANI!$B$13-VERI_TABANI!$B$15)) + IF(ISNUMBER(SEARCH("Var", D184)), VERI_TABANI!F24*(0.00202-VERI_TABANI!$B$16), IF(ISNUMBER(SEARCH("Gri", D184)), VERI_TABANI!F24*(0.00202-VERI_TABANI!$B$17), 0))) + ((VERI_TABANI!D25*B184*(VERI_TABANI!$B$13-VERI_TABANI!$B$14)) + (VERI_TABANI!D25*C184*(VERI_TABANI!$B$13-VERI_TABANI!$B$15)) + IF(ISNUMBER(SEARCH("Var", D184)), VERI_TABANI!F25*(0.00202-VERI_TABANI!$B$16), IF(ISNUMBER(SEARCH("Gri", D184)), VERI_TABANI!F25*(0.00202-VERI_TABANI!$B$17), 0))) + ((VERI_TABANI!D26*B184*(VERI_TABANI!$B$13-VERI_TABANI!$B$14)) + (VERI_TABANI!D26*C184*(VERI_TABANI!$B$13-VERI_TABANI!$B$15)) + IF(ISNUMBER(SEARCH("Var", D184)), VERI_TABANI!F26*(0.00202-VERI_TABANI!$B$16), IF(ISNUMBER(SEARCH("Gri", D184)), VERI_TABANI!F26*(0.00202-VERI_TABANI!$B$17), 0))) + ((VERI_TABANI!D27*B184*(VERI_TABANI!$B$13-VERI_TABANI!$B$14)) + (VERI_TABANI!D27*C184*(VERI_TABANI!$B$13-VERI_TABANI!$B$15)) + IF(ISNUMBER(SEARCH("Var", D184)), VERI_TABANI!F27*(0.00202-VERI_TABANI!$B$16), IF(ISNUMBER(SEARCH("Gri", D184)), VERI_TABANI!F27*(0.00202-VERI_TABANI!$B$17), 0))) + ((VERI_TABANI!D28*B184*(VERI_TABANI!$B$13-VERI_TABANI!$B$14)) + (VERI_TABANI!D28*C184*(VERI_TABANI!$B$13-VERI_TABANI!$B$15)) + IF(ISNUMBER(SEARCH("Var", D184)), VERI_TABANI!F28*(0.00202-VERI_TABANI!$B$16), IF(ISNUMBER(SEARCH("Gri", D184)), VERI_TABANI!F28*(0.00202-VERI_TABANI!$B$17), 0))))</f>
        <v/>
      </c>
      <c r="I184" s="170">
        <f>IFERROR(((VERI_TABANI!$D$29*B184*VERI_TABANI!$B$14 + VERI_TABANI!$D$29*C184*VERI_TABANI!$B$15 + IF(ISNUMBER(SEARCH("Var", D184)), VERI_TABANI!$F$29*VERI_TABANI!$B$16, 0))) / (((VERI_TABANI!$D$29*B184 + VERI_TABANI!$D$29*C184)*VERI_TABANI!$B$13 + IF(ISNUMBER(SEARCH("Var", D184)), VERI_TABANI!$E$29*(1-0.928)*VERI_TABANI!$B$18, 0))), 0)</f>
        <v/>
      </c>
      <c r="J184" s="171">
        <f>IFERROR(F184/(G184/29), 0)</f>
        <v/>
      </c>
      <c r="K184" s="172">
        <f>IF(F184&gt;0, H184/F184, 0)</f>
        <v/>
      </c>
      <c r="L184" s="170">
        <f>IF(F184&gt;0, I184, 1000000000)</f>
        <v/>
      </c>
      <c r="M184" s="171">
        <f>ABS((B184+C184)-1)</f>
        <v/>
      </c>
      <c r="N184" s="170">
        <f>IF(F184&gt;0, (G184/29)/F184, 0)</f>
        <v/>
      </c>
      <c r="O184" s="168">
        <f>IF(AND((B184+C184)&gt;=1, ISNUMBER(SEARCH("Var", D184))), F184, 1000000000)</f>
        <v/>
      </c>
      <c r="P184" s="172">
        <f>IF(F184&gt;0, SQRT((F184/MAX(F$5:F$886))^2 + (1 - H184/MAX(H$5:H$886))^2 + (J184/MAX(J$5:J$886))^2), 1000000000)</f>
        <v/>
      </c>
      <c r="Q184" s="166">
        <f>IF(AND(ABS(B184-0.5)&lt;0.01, ABS(C184-0.5)&lt;0.01, ISNUMBER(SEARCH("Var", D184))), 1, 0)</f>
        <v/>
      </c>
      <c r="R184" s="171">
        <f>IF(F184&gt;0, J184, 1000000000)</f>
        <v/>
      </c>
      <c r="S184" s="101">
        <f>IF(AND(F184&lt;=DASHBOARD!$B$11, H184&gt;=DASHBOARD!$B$13), G184, -1000000000000)</f>
        <v/>
      </c>
      <c r="T184" s="101">
        <f>IF(AND(F184&lt;=DASHBOARD!$B$11, H184&gt;=DASHBOARD!$B$13), R184, 1000000000000)</f>
        <v/>
      </c>
      <c r="U184" s="101">
        <f>IF(AND(F184&lt;=DASHBOARD!$B$11, H184&gt;=DASHBOARD!$B$13), N184, -1000000000000)</f>
        <v/>
      </c>
      <c r="V184" s="101">
        <f>IF(AND(F184&lt;=DASHBOARD!$B$11, H184&gt;=DASHBOARD!$B$13), H184, -1000000000000)</f>
        <v/>
      </c>
      <c r="W184" s="101">
        <f>IF(AND(F184&lt;=DASHBOARD!$B$11, H184&gt;=DASHBOARD!$B$13), K184, -1000000000000)</f>
        <v/>
      </c>
      <c r="X184" s="101">
        <f>IF(AND(F184&lt;=DASHBOARD!$B$11, H184&gt;=DASHBOARD!$B$13), M184, 1000000000000)</f>
        <v/>
      </c>
      <c r="Y184" s="101">
        <f>IF(AND(F184&lt;=DASHBOARD!$B$10, H184&gt;=DASHBOARD!$B$11), L184, 1000000000000)</f>
        <v/>
      </c>
      <c r="Z184" s="101">
        <f>IF(AND(F184&lt;=DASHBOARD!$B$10, H184&gt;=DASHBOARD!$B$11), O184, 1000000000000)</f>
        <v/>
      </c>
      <c r="AA184" s="101">
        <f>IF(AND(F184&lt;=DASHBOARD!$B$10, H184&gt;=DASHBOARD!$B$11), P184, 1000000000000)</f>
        <v/>
      </c>
      <c r="AB184" s="101">
        <f>IF(AND(F184&lt;=DASHBOARD!$B$10, H184&gt;=DASHBOARD!$B$11), Q184, -1000000000000)</f>
        <v/>
      </c>
    </row>
    <row r="185" ht="12.75" customHeight="1" s="102">
      <c r="A185" s="166" t="n">
        <v>181</v>
      </c>
      <c r="B185" s="167" t="n">
        <v>0.4</v>
      </c>
      <c r="C185" s="167" t="n">
        <v>0.6</v>
      </c>
      <c r="D185" s="110" t="inlineStr">
        <is>
          <t>Yok (%0)</t>
        </is>
      </c>
      <c r="E185" s="110">
        <f>IF((B185+C185)&lt;=1, "Tam Mahsuplaşma (≤%100)", "Kısmi Satış (&gt;%100)")</f>
        <v/>
      </c>
      <c r="F185" s="168">
        <f>((VERI_TABANI!$D$29*B185/VERI_TABANI!$B$29)/VERI_TABANI!$B$3)*VERI_TABANI!$B$5 + ((VERI_TABANI!$D$29*C185/VERI_TABANI!$B$29)/VERI_TABANI!$B$4)*VERI_TABANI!$B$6 + IF(ISNUMBER(SEARCH("Var", D185)), (VERI_TABANI!$F$29/VERI_TABANI!$B$29)*(VERI_TABANI!$B$10+VERI_TABANI!$B$12), 0)</f>
        <v/>
      </c>
      <c r="G185" s="168">
        <f>(((MIN(VERI_TABANI!D23, VERI_TABANI!D23*B185)*VERI_TABANI!$B$7 + MAX(0, VERI_TABANI!D23*B185-VERI_TABANI!D23)*VERI_TABANI!$B$8) + (MIN(MAX(0, VERI_TABANI!D23-VERI_TABANI!D23*B185), VERI_TABANI!D23*C185)*VERI_TABANI!$B$7 + MAX(0, VERI_TABANI!D23*C185-MAX(0, VERI_TABANI!D23-VERI_TABANI!D23*B185))*VERI_TABANI!$B$8) + IF(ABS(IF(ISNUMBER(SEARCH("Var", D185)), 1, IF(ISNUMBER(SEARCH("Gri", D185)), -1, 0)))=1, VERI_TABANI!E23*(1-0.928)*VERI_TABANI!$B$9, 0) + (VERI_TABANI!D23*B185*(VERI_TABANI!$B$13-VERI_TABANI!$B$14)*VERI_TABANI!G23) + (VERI_TABANI!D23*C185*(VERI_TABANI!$B$13-VERI_TABANI!$B$15)*VERI_TABANI!G23) + IF(ABS(IF(ISNUMBER(SEARCH("Var", D185)), 1, IF(ISNUMBER(SEARCH("Gri", D185)), -1, 0)))=1, VERI_TABANI!E23*(1-0.928)*0.00206091519919798*VERI_TABANI!G23, 0)) + ((MIN(VERI_TABANI!D24, VERI_TABANI!D24*B185)*VERI_TABANI!$B$7 + MAX(0, VERI_TABANI!D24*B185-VERI_TABANI!D24)*VERI_TABANI!$B$8) + (MIN(MAX(0, VERI_TABANI!D24-VERI_TABANI!D24*B185), VERI_TABANI!D24*C185)*VERI_TABANI!$B$7 + MAX(0, VERI_TABANI!D24*C185-MAX(0, VERI_TABANI!D24-VERI_TABANI!D24*B185))*VERI_TABANI!$B$8) + IF(ABS(IF(ISNUMBER(SEARCH("Var", D185)), 1, IF(ISNUMBER(SEARCH("Gri", D185)), -1, 0)))=1, VERI_TABANI!E24*(1-0.928)*VERI_TABANI!$B$9, 0) + (VERI_TABANI!D24*B185*(VERI_TABANI!$B$13-VERI_TABANI!$B$14)*VERI_TABANI!G24) + (VERI_TABANI!D24*C185*(VERI_TABANI!$B$13-VERI_TABANI!$B$15)*VERI_TABANI!G24) + IF(ABS(IF(ISNUMBER(SEARCH("Var", D185)), 1, IF(ISNUMBER(SEARCH("Gri", D185)), -1, 0)))=1, VERI_TABANI!E24*(1-0.928)*0.00206091519919798*VERI_TABANI!G24, 0)) + ((MIN(VERI_TABANI!D25, VERI_TABANI!D25*B185)*VERI_TABANI!$B$7 + MAX(0, VERI_TABANI!D25*B185-VERI_TABANI!D25)*VERI_TABANI!$B$8) + (MIN(MAX(0, VERI_TABANI!D25-VERI_TABANI!D25*B185), VERI_TABANI!D25*C185)*VERI_TABANI!$B$7 + MAX(0, VERI_TABANI!D25*C185-MAX(0, VERI_TABANI!D25-VERI_TABANI!D25*B185))*VERI_TABANI!$B$8) + IF(ABS(IF(ISNUMBER(SEARCH("Var", D185)), 1, IF(ISNUMBER(SEARCH("Gri", D185)), -1, 0)))=1, VERI_TABANI!E25*(1-0.928)*VERI_TABANI!$B$9, 0) + (VERI_TABANI!D25*B185*(VERI_TABANI!$B$13-VERI_TABANI!$B$14)*VERI_TABANI!G25) + (VERI_TABANI!D25*C185*(VERI_TABANI!$B$13-VERI_TABANI!$B$15)*VERI_TABANI!G25) + IF(ABS(IF(ISNUMBER(SEARCH("Var", D185)), 1, IF(ISNUMBER(SEARCH("Gri", D185)), -1, 0)))=1, VERI_TABANI!E25*(1-0.928)*0.00206091519919798*VERI_TABANI!G25, 0)) + ((MIN(VERI_TABANI!D26, VERI_TABANI!D26*B185)*VERI_TABANI!$B$7 + MAX(0, VERI_TABANI!D26*B185-VERI_TABANI!D26)*VERI_TABANI!$B$8) + (MIN(MAX(0, VERI_TABANI!D26-VERI_TABANI!D26*B185), VERI_TABANI!D26*C185)*VERI_TABANI!$B$7 + MAX(0, VERI_TABANI!D26*C185-MAX(0, VERI_TABANI!D26-VERI_TABANI!D26*B185))*VERI_TABANI!$B$8) + IF(ABS(IF(ISNUMBER(SEARCH("Var", D185)), 1, IF(ISNUMBER(SEARCH("Gri", D185)), -1, 0)))=1, VERI_TABANI!E26*(1-0.928)*VERI_TABANI!$B$9, 0) + (VERI_TABANI!D26*B185*(VERI_TABANI!$B$13-VERI_TABANI!$B$14)*VERI_TABANI!G26) + (VERI_TABANI!D26*C185*(VERI_TABANI!$B$13-VERI_TABANI!$B$15)*VERI_TABANI!G26) + IF(ABS(IF(ISNUMBER(SEARCH("Var", D185)), 1, IF(ISNUMBER(SEARCH("Gri", D185)), -1, 0)))=1, VERI_TABANI!E26*(1-0.928)*0.00206091519919798*VERI_TABANI!G26, 0)) + ((MIN(VERI_TABANI!D27, VERI_TABANI!D27*B185)*VERI_TABANI!$B$7 + MAX(0, VERI_TABANI!D27*B185-VERI_TABANI!D27)*VERI_TABANI!$B$8) + (MIN(MAX(0, VERI_TABANI!D27-VERI_TABANI!D27*B185), VERI_TABANI!D27*C185)*VERI_TABANI!$B$7 + MAX(0, VERI_TABANI!D27*C185-MAX(0, VERI_TABANI!D27-VERI_TABANI!D27*B185))*VERI_TABANI!$B$8) + IF(ABS(IF(ISNUMBER(SEARCH("Var", D185)), 1, IF(ISNUMBER(SEARCH("Gri", D185)), -1, 0)))=1, VERI_TABANI!E27*(1-0.928)*VERI_TABANI!$B$9, 0) + (VERI_TABANI!D27*B185*(VERI_TABANI!$B$13-VERI_TABANI!$B$14)*VERI_TABANI!G27) + (VERI_TABANI!D27*C185*(VERI_TABANI!$B$13-VERI_TABANI!$B$15)*VERI_TABANI!G27) + IF(ABS(IF(ISNUMBER(SEARCH("Var", D185)), 1, IF(ISNUMBER(SEARCH("Gri", D185)), -1, 0)))=1, VERI_TABANI!E27*(1-0.928)*0.00206091519919798*VERI_TABANI!G27, 0)) + ((MIN(VERI_TABANI!D28, VERI_TABANI!D28*B185)*VERI_TABANI!$B$7 + MAX(0, VERI_TABANI!D28*B185-VERI_TABANI!D28)*VERI_TABANI!$B$8) + (MIN(MAX(0, VERI_TABANI!D28-VERI_TABANI!D28*B185), VERI_TABANI!D28*C185)*VERI_TABANI!$B$7 + MAX(0, VERI_TABANI!D28*C185-MAX(0, VERI_TABANI!D28-VERI_TABANI!D28*B185))*VERI_TABANI!$B$8) + IF(ABS(IF(ISNUMBER(SEARCH("Var", D185)), 1, IF(ISNUMBER(SEARCH("Gri", D185)), -1, 0)))=1, VERI_TABANI!E28*(1-0.928)*VERI_TABANI!$B$9, 0) + (VERI_TABANI!D28*B185*(VERI_TABANI!$B$13-VERI_TABANI!$B$14)*VERI_TABANI!G28) + (VERI_TABANI!D28*C185*(VERI_TABANI!$B$13-VERI_TABANI!$B$15)*VERI_TABANI!G28) + IF(ABS(IF(ISNUMBER(SEARCH("Var", D185)), 1, IF(ISNUMBER(SEARCH("Gri", D185)), -1, 0)))=1, VERI_TABANI!E28*(1-0.928)*0.00206091519919798*VERI_TABANI!G28, 0)))</f>
        <v/>
      </c>
      <c r="H185" s="169">
        <f>(((VERI_TABANI!D23*B185*(VERI_TABANI!$B$13-VERI_TABANI!$B$14)) + (VERI_TABANI!D23*C185*(VERI_TABANI!$B$13-VERI_TABANI!$B$15)) + IF(ISNUMBER(SEARCH("Var", D185)), VERI_TABANI!F23*(0.00202-VERI_TABANI!$B$16), IF(ISNUMBER(SEARCH("Gri", D185)), VERI_TABANI!F23*(0.00202-VERI_TABANI!$B$17), 0))) + ((VERI_TABANI!D24*B185*(VERI_TABANI!$B$13-VERI_TABANI!$B$14)) + (VERI_TABANI!D24*C185*(VERI_TABANI!$B$13-VERI_TABANI!$B$15)) + IF(ISNUMBER(SEARCH("Var", D185)), VERI_TABANI!F24*(0.00202-VERI_TABANI!$B$16), IF(ISNUMBER(SEARCH("Gri", D185)), VERI_TABANI!F24*(0.00202-VERI_TABANI!$B$17), 0))) + ((VERI_TABANI!D25*B185*(VERI_TABANI!$B$13-VERI_TABANI!$B$14)) + (VERI_TABANI!D25*C185*(VERI_TABANI!$B$13-VERI_TABANI!$B$15)) + IF(ISNUMBER(SEARCH("Var", D185)), VERI_TABANI!F25*(0.00202-VERI_TABANI!$B$16), IF(ISNUMBER(SEARCH("Gri", D185)), VERI_TABANI!F25*(0.00202-VERI_TABANI!$B$17), 0))) + ((VERI_TABANI!D26*B185*(VERI_TABANI!$B$13-VERI_TABANI!$B$14)) + (VERI_TABANI!D26*C185*(VERI_TABANI!$B$13-VERI_TABANI!$B$15)) + IF(ISNUMBER(SEARCH("Var", D185)), VERI_TABANI!F26*(0.00202-VERI_TABANI!$B$16), IF(ISNUMBER(SEARCH("Gri", D185)), VERI_TABANI!F26*(0.00202-VERI_TABANI!$B$17), 0))) + ((VERI_TABANI!D27*B185*(VERI_TABANI!$B$13-VERI_TABANI!$B$14)) + (VERI_TABANI!D27*C185*(VERI_TABANI!$B$13-VERI_TABANI!$B$15)) + IF(ISNUMBER(SEARCH("Var", D185)), VERI_TABANI!F27*(0.00202-VERI_TABANI!$B$16), IF(ISNUMBER(SEARCH("Gri", D185)), VERI_TABANI!F27*(0.00202-VERI_TABANI!$B$17), 0))) + ((VERI_TABANI!D28*B185*(VERI_TABANI!$B$13-VERI_TABANI!$B$14)) + (VERI_TABANI!D28*C185*(VERI_TABANI!$B$13-VERI_TABANI!$B$15)) + IF(ISNUMBER(SEARCH("Var", D185)), VERI_TABANI!F28*(0.00202-VERI_TABANI!$B$16), IF(ISNUMBER(SEARCH("Gri", D185)), VERI_TABANI!F28*(0.00202-VERI_TABANI!$B$17), 0))))</f>
        <v/>
      </c>
      <c r="I185" s="170">
        <f>IFERROR(((VERI_TABANI!$D$29*B185*VERI_TABANI!$B$14 + VERI_TABANI!$D$29*C185*VERI_TABANI!$B$15 + IF(ISNUMBER(SEARCH("Var", D185)), VERI_TABANI!$F$29*VERI_TABANI!$B$16, 0))) / (((VERI_TABANI!$D$29*B185 + VERI_TABANI!$D$29*C185)*VERI_TABANI!$B$13 + IF(ISNUMBER(SEARCH("Var", D185)), VERI_TABANI!$E$29*(1-0.928)*VERI_TABANI!$B$18, 0))), 0)</f>
        <v/>
      </c>
      <c r="J185" s="171">
        <f>IFERROR(F185/(G185/29), 0)</f>
        <v/>
      </c>
      <c r="K185" s="172">
        <f>IF(F185&gt;0, H185/F185, 0)</f>
        <v/>
      </c>
      <c r="L185" s="170">
        <f>IF(F185&gt;0, I185, 1000000000)</f>
        <v/>
      </c>
      <c r="M185" s="171">
        <f>ABS((B185+C185)-1)</f>
        <v/>
      </c>
      <c r="N185" s="170">
        <f>IF(F185&gt;0, (G185/29)/F185, 0)</f>
        <v/>
      </c>
      <c r="O185" s="168">
        <f>IF(AND((B185+C185)&gt;=1, ISNUMBER(SEARCH("Var", D185))), F185, 1000000000)</f>
        <v/>
      </c>
      <c r="P185" s="172">
        <f>IF(F185&gt;0, SQRT((F185/MAX(F$5:F$886))^2 + (1 - H185/MAX(H$5:H$886))^2 + (J185/MAX(J$5:J$886))^2), 1000000000)</f>
        <v/>
      </c>
      <c r="Q185" s="166">
        <f>IF(AND(ABS(B185-0.5)&lt;0.01, ABS(C185-0.5)&lt;0.01, ISNUMBER(SEARCH("Var", D185))), 1, 0)</f>
        <v/>
      </c>
      <c r="R185" s="171">
        <f>IF(F185&gt;0, J185, 1000000000)</f>
        <v/>
      </c>
      <c r="S185" s="101">
        <f>IF(AND(F185&lt;=DASHBOARD!$B$11, H185&gt;=DASHBOARD!$B$13), G185, -1000000000000)</f>
        <v/>
      </c>
      <c r="T185" s="101">
        <f>IF(AND(F185&lt;=DASHBOARD!$B$11, H185&gt;=DASHBOARD!$B$13), R185, 1000000000000)</f>
        <v/>
      </c>
      <c r="U185" s="101">
        <f>IF(AND(F185&lt;=DASHBOARD!$B$11, H185&gt;=DASHBOARD!$B$13), N185, -1000000000000)</f>
        <v/>
      </c>
      <c r="V185" s="101">
        <f>IF(AND(F185&lt;=DASHBOARD!$B$11, H185&gt;=DASHBOARD!$B$13), H185, -1000000000000)</f>
        <v/>
      </c>
      <c r="W185" s="101">
        <f>IF(AND(F185&lt;=DASHBOARD!$B$11, H185&gt;=DASHBOARD!$B$13), K185, -1000000000000)</f>
        <v/>
      </c>
      <c r="X185" s="101">
        <f>IF(AND(F185&lt;=DASHBOARD!$B$11, H185&gt;=DASHBOARD!$B$13), M185, 1000000000000)</f>
        <v/>
      </c>
      <c r="Y185" s="101">
        <f>IF(AND(F185&lt;=DASHBOARD!$B$10, H185&gt;=DASHBOARD!$B$11), L185, 1000000000000)</f>
        <v/>
      </c>
      <c r="Z185" s="101">
        <f>IF(AND(F185&lt;=DASHBOARD!$B$10, H185&gt;=DASHBOARD!$B$11), O185, 1000000000000)</f>
        <v/>
      </c>
      <c r="AA185" s="101">
        <f>IF(AND(F185&lt;=DASHBOARD!$B$10, H185&gt;=DASHBOARD!$B$11), P185, 1000000000000)</f>
        <v/>
      </c>
      <c r="AB185" s="101">
        <f>IF(AND(F185&lt;=DASHBOARD!$B$10, H185&gt;=DASHBOARD!$B$11), Q185, -1000000000000)</f>
        <v/>
      </c>
    </row>
    <row r="186" ht="12.75" customHeight="1" s="102">
      <c r="A186" s="166" t="n">
        <v>182</v>
      </c>
      <c r="B186" s="167" t="n">
        <v>0.4</v>
      </c>
      <c r="C186" s="167" t="n">
        <v>0.6</v>
      </c>
      <c r="D186" s="110" t="inlineStr">
        <is>
          <t>Var (%20)</t>
        </is>
      </c>
      <c r="E186" s="110">
        <f>IF((B186+C186)&lt;=1, "Tam Mahsuplaşma (≤%100)", "Kısmi Satış (&gt;%100)")</f>
        <v/>
      </c>
      <c r="F186" s="168">
        <f>((VERI_TABANI!$D$29*B186/VERI_TABANI!$B$29)/VERI_TABANI!$B$3)*VERI_TABANI!$B$5 + ((VERI_TABANI!$D$29*C186/VERI_TABANI!$B$29)/VERI_TABANI!$B$4)*VERI_TABANI!$B$6 + IF(ISNUMBER(SEARCH("Var", D186)), (VERI_TABANI!$F$29/VERI_TABANI!$B$29)*(VERI_TABANI!$B$10+VERI_TABANI!$B$12), 0)</f>
        <v/>
      </c>
      <c r="G186" s="168">
        <f>(((MIN(VERI_TABANI!D23, VERI_TABANI!D23*B186)*VERI_TABANI!$B$7 + MAX(0, VERI_TABANI!D23*B186-VERI_TABANI!D23)*VERI_TABANI!$B$8) + (MIN(MAX(0, VERI_TABANI!D23-VERI_TABANI!D23*B186), VERI_TABANI!D23*C186)*VERI_TABANI!$B$7 + MAX(0, VERI_TABANI!D23*C186-MAX(0, VERI_TABANI!D23-VERI_TABANI!D23*B186))*VERI_TABANI!$B$8) + IF(ABS(IF(ISNUMBER(SEARCH("Var", D186)), 1, IF(ISNUMBER(SEARCH("Gri", D186)), -1, 0)))=1, VERI_TABANI!E23*(1-0.928)*VERI_TABANI!$B$9, 0) + (VERI_TABANI!D23*B186*(VERI_TABANI!$B$13-VERI_TABANI!$B$14)*VERI_TABANI!G23) + (VERI_TABANI!D23*C186*(VERI_TABANI!$B$13-VERI_TABANI!$B$15)*VERI_TABANI!G23) + IF(ABS(IF(ISNUMBER(SEARCH("Var", D186)), 1, IF(ISNUMBER(SEARCH("Gri", D186)), -1, 0)))=1, VERI_TABANI!E23*(1-0.928)*0.00206091519919798*VERI_TABANI!G23, 0)) + ((MIN(VERI_TABANI!D24, VERI_TABANI!D24*B186)*VERI_TABANI!$B$7 + MAX(0, VERI_TABANI!D24*B186-VERI_TABANI!D24)*VERI_TABANI!$B$8) + (MIN(MAX(0, VERI_TABANI!D24-VERI_TABANI!D24*B186), VERI_TABANI!D24*C186)*VERI_TABANI!$B$7 + MAX(0, VERI_TABANI!D24*C186-MAX(0, VERI_TABANI!D24-VERI_TABANI!D24*B186))*VERI_TABANI!$B$8) + IF(ABS(IF(ISNUMBER(SEARCH("Var", D186)), 1, IF(ISNUMBER(SEARCH("Gri", D186)), -1, 0)))=1, VERI_TABANI!E24*(1-0.928)*VERI_TABANI!$B$9, 0) + (VERI_TABANI!D24*B186*(VERI_TABANI!$B$13-VERI_TABANI!$B$14)*VERI_TABANI!G24) + (VERI_TABANI!D24*C186*(VERI_TABANI!$B$13-VERI_TABANI!$B$15)*VERI_TABANI!G24) + IF(ABS(IF(ISNUMBER(SEARCH("Var", D186)), 1, IF(ISNUMBER(SEARCH("Gri", D186)), -1, 0)))=1, VERI_TABANI!E24*(1-0.928)*0.00206091519919798*VERI_TABANI!G24, 0)) + ((MIN(VERI_TABANI!D25, VERI_TABANI!D25*B186)*VERI_TABANI!$B$7 + MAX(0, VERI_TABANI!D25*B186-VERI_TABANI!D25)*VERI_TABANI!$B$8) + (MIN(MAX(0, VERI_TABANI!D25-VERI_TABANI!D25*B186), VERI_TABANI!D25*C186)*VERI_TABANI!$B$7 + MAX(0, VERI_TABANI!D25*C186-MAX(0, VERI_TABANI!D25-VERI_TABANI!D25*B186))*VERI_TABANI!$B$8) + IF(ABS(IF(ISNUMBER(SEARCH("Var", D186)), 1, IF(ISNUMBER(SEARCH("Gri", D186)), -1, 0)))=1, VERI_TABANI!E25*(1-0.928)*VERI_TABANI!$B$9, 0) + (VERI_TABANI!D25*B186*(VERI_TABANI!$B$13-VERI_TABANI!$B$14)*VERI_TABANI!G25) + (VERI_TABANI!D25*C186*(VERI_TABANI!$B$13-VERI_TABANI!$B$15)*VERI_TABANI!G25) + IF(ABS(IF(ISNUMBER(SEARCH("Var", D186)), 1, IF(ISNUMBER(SEARCH("Gri", D186)), -1, 0)))=1, VERI_TABANI!E25*(1-0.928)*0.00206091519919798*VERI_TABANI!G25, 0)) + ((MIN(VERI_TABANI!D26, VERI_TABANI!D26*B186)*VERI_TABANI!$B$7 + MAX(0, VERI_TABANI!D26*B186-VERI_TABANI!D26)*VERI_TABANI!$B$8) + (MIN(MAX(0, VERI_TABANI!D26-VERI_TABANI!D26*B186), VERI_TABANI!D26*C186)*VERI_TABANI!$B$7 + MAX(0, VERI_TABANI!D26*C186-MAX(0, VERI_TABANI!D26-VERI_TABANI!D26*B186))*VERI_TABANI!$B$8) + IF(ABS(IF(ISNUMBER(SEARCH("Var", D186)), 1, IF(ISNUMBER(SEARCH("Gri", D186)), -1, 0)))=1, VERI_TABANI!E26*(1-0.928)*VERI_TABANI!$B$9, 0) + (VERI_TABANI!D26*B186*(VERI_TABANI!$B$13-VERI_TABANI!$B$14)*VERI_TABANI!G26) + (VERI_TABANI!D26*C186*(VERI_TABANI!$B$13-VERI_TABANI!$B$15)*VERI_TABANI!G26) + IF(ABS(IF(ISNUMBER(SEARCH("Var", D186)), 1, IF(ISNUMBER(SEARCH("Gri", D186)), -1, 0)))=1, VERI_TABANI!E26*(1-0.928)*0.00206091519919798*VERI_TABANI!G26, 0)) + ((MIN(VERI_TABANI!D27, VERI_TABANI!D27*B186)*VERI_TABANI!$B$7 + MAX(0, VERI_TABANI!D27*B186-VERI_TABANI!D27)*VERI_TABANI!$B$8) + (MIN(MAX(0, VERI_TABANI!D27-VERI_TABANI!D27*B186), VERI_TABANI!D27*C186)*VERI_TABANI!$B$7 + MAX(0, VERI_TABANI!D27*C186-MAX(0, VERI_TABANI!D27-VERI_TABANI!D27*B186))*VERI_TABANI!$B$8) + IF(ABS(IF(ISNUMBER(SEARCH("Var", D186)), 1, IF(ISNUMBER(SEARCH("Gri", D186)), -1, 0)))=1, VERI_TABANI!E27*(1-0.928)*VERI_TABANI!$B$9, 0) + (VERI_TABANI!D27*B186*(VERI_TABANI!$B$13-VERI_TABANI!$B$14)*VERI_TABANI!G27) + (VERI_TABANI!D27*C186*(VERI_TABANI!$B$13-VERI_TABANI!$B$15)*VERI_TABANI!G27) + IF(ABS(IF(ISNUMBER(SEARCH("Var", D186)), 1, IF(ISNUMBER(SEARCH("Gri", D186)), -1, 0)))=1, VERI_TABANI!E27*(1-0.928)*0.00206091519919798*VERI_TABANI!G27, 0)) + ((MIN(VERI_TABANI!D28, VERI_TABANI!D28*B186)*VERI_TABANI!$B$7 + MAX(0, VERI_TABANI!D28*B186-VERI_TABANI!D28)*VERI_TABANI!$B$8) + (MIN(MAX(0, VERI_TABANI!D28-VERI_TABANI!D28*B186), VERI_TABANI!D28*C186)*VERI_TABANI!$B$7 + MAX(0, VERI_TABANI!D28*C186-MAX(0, VERI_TABANI!D28-VERI_TABANI!D28*B186))*VERI_TABANI!$B$8) + IF(ABS(IF(ISNUMBER(SEARCH("Var", D186)), 1, IF(ISNUMBER(SEARCH("Gri", D186)), -1, 0)))=1, VERI_TABANI!E28*(1-0.928)*VERI_TABANI!$B$9, 0) + (VERI_TABANI!D28*B186*(VERI_TABANI!$B$13-VERI_TABANI!$B$14)*VERI_TABANI!G28) + (VERI_TABANI!D28*C186*(VERI_TABANI!$B$13-VERI_TABANI!$B$15)*VERI_TABANI!G28) + IF(ABS(IF(ISNUMBER(SEARCH("Var", D186)), 1, IF(ISNUMBER(SEARCH("Gri", D186)), -1, 0)))=1, VERI_TABANI!E28*(1-0.928)*0.00206091519919798*VERI_TABANI!G28, 0)))</f>
        <v/>
      </c>
      <c r="H186" s="169">
        <f>(((VERI_TABANI!D23*B186*(VERI_TABANI!$B$13-VERI_TABANI!$B$14)) + (VERI_TABANI!D23*C186*(VERI_TABANI!$B$13-VERI_TABANI!$B$15)) + IF(ISNUMBER(SEARCH("Var", D186)), VERI_TABANI!F23*(0.00202-VERI_TABANI!$B$16), IF(ISNUMBER(SEARCH("Gri", D186)), VERI_TABANI!F23*(0.00202-VERI_TABANI!$B$17), 0))) + ((VERI_TABANI!D24*B186*(VERI_TABANI!$B$13-VERI_TABANI!$B$14)) + (VERI_TABANI!D24*C186*(VERI_TABANI!$B$13-VERI_TABANI!$B$15)) + IF(ISNUMBER(SEARCH("Var", D186)), VERI_TABANI!F24*(0.00202-VERI_TABANI!$B$16), IF(ISNUMBER(SEARCH("Gri", D186)), VERI_TABANI!F24*(0.00202-VERI_TABANI!$B$17), 0))) + ((VERI_TABANI!D25*B186*(VERI_TABANI!$B$13-VERI_TABANI!$B$14)) + (VERI_TABANI!D25*C186*(VERI_TABANI!$B$13-VERI_TABANI!$B$15)) + IF(ISNUMBER(SEARCH("Var", D186)), VERI_TABANI!F25*(0.00202-VERI_TABANI!$B$16), IF(ISNUMBER(SEARCH("Gri", D186)), VERI_TABANI!F25*(0.00202-VERI_TABANI!$B$17), 0))) + ((VERI_TABANI!D26*B186*(VERI_TABANI!$B$13-VERI_TABANI!$B$14)) + (VERI_TABANI!D26*C186*(VERI_TABANI!$B$13-VERI_TABANI!$B$15)) + IF(ISNUMBER(SEARCH("Var", D186)), VERI_TABANI!F26*(0.00202-VERI_TABANI!$B$16), IF(ISNUMBER(SEARCH("Gri", D186)), VERI_TABANI!F26*(0.00202-VERI_TABANI!$B$17), 0))) + ((VERI_TABANI!D27*B186*(VERI_TABANI!$B$13-VERI_TABANI!$B$14)) + (VERI_TABANI!D27*C186*(VERI_TABANI!$B$13-VERI_TABANI!$B$15)) + IF(ISNUMBER(SEARCH("Var", D186)), VERI_TABANI!F27*(0.00202-VERI_TABANI!$B$16), IF(ISNUMBER(SEARCH("Gri", D186)), VERI_TABANI!F27*(0.00202-VERI_TABANI!$B$17), 0))) + ((VERI_TABANI!D28*B186*(VERI_TABANI!$B$13-VERI_TABANI!$B$14)) + (VERI_TABANI!D28*C186*(VERI_TABANI!$B$13-VERI_TABANI!$B$15)) + IF(ISNUMBER(SEARCH("Var", D186)), VERI_TABANI!F28*(0.00202-VERI_TABANI!$B$16), IF(ISNUMBER(SEARCH("Gri", D186)), VERI_TABANI!F28*(0.00202-VERI_TABANI!$B$17), 0))))</f>
        <v/>
      </c>
      <c r="I186" s="170">
        <f>IFERROR(((VERI_TABANI!$D$29*B186*VERI_TABANI!$B$14 + VERI_TABANI!$D$29*C186*VERI_TABANI!$B$15 + IF(ISNUMBER(SEARCH("Var", D186)), VERI_TABANI!$F$29*VERI_TABANI!$B$16, 0))) / (((VERI_TABANI!$D$29*B186 + VERI_TABANI!$D$29*C186)*VERI_TABANI!$B$13 + IF(ISNUMBER(SEARCH("Var", D186)), VERI_TABANI!$E$29*(1-0.928)*VERI_TABANI!$B$18, 0))), 0)</f>
        <v/>
      </c>
      <c r="J186" s="171">
        <f>IFERROR(F186/(G186/29), 0)</f>
        <v/>
      </c>
      <c r="K186" s="172">
        <f>IF(F186&gt;0, H186/F186, 0)</f>
        <v/>
      </c>
      <c r="L186" s="170">
        <f>IF(F186&gt;0, I186, 1000000000)</f>
        <v/>
      </c>
      <c r="M186" s="171">
        <f>ABS((B186+C186)-1)</f>
        <v/>
      </c>
      <c r="N186" s="170">
        <f>IF(F186&gt;0, (G186/29)/F186, 0)</f>
        <v/>
      </c>
      <c r="O186" s="168">
        <f>IF(AND((B186+C186)&gt;=1, ISNUMBER(SEARCH("Var", D186))), F186, 1000000000)</f>
        <v/>
      </c>
      <c r="P186" s="172">
        <f>IF(F186&gt;0, SQRT((F186/MAX(F$5:F$886))^2 + (1 - H186/MAX(H$5:H$886))^2 + (J186/MAX(J$5:J$886))^2), 1000000000)</f>
        <v/>
      </c>
      <c r="Q186" s="166">
        <f>IF(AND(ABS(B186-0.5)&lt;0.01, ABS(C186-0.5)&lt;0.01, ISNUMBER(SEARCH("Var", D186))), 1, 0)</f>
        <v/>
      </c>
      <c r="R186" s="171">
        <f>IF(F186&gt;0, J186, 1000000000)</f>
        <v/>
      </c>
      <c r="S186" s="101">
        <f>IF(AND(F186&lt;=DASHBOARD!$B$11, H186&gt;=DASHBOARD!$B$13), G186, -1000000000000)</f>
        <v/>
      </c>
      <c r="T186" s="101">
        <f>IF(AND(F186&lt;=DASHBOARD!$B$11, H186&gt;=DASHBOARD!$B$13), R186, 1000000000000)</f>
        <v/>
      </c>
      <c r="U186" s="101">
        <f>IF(AND(F186&lt;=DASHBOARD!$B$11, H186&gt;=DASHBOARD!$B$13), N186, -1000000000000)</f>
        <v/>
      </c>
      <c r="V186" s="101">
        <f>IF(AND(F186&lt;=DASHBOARD!$B$11, H186&gt;=DASHBOARD!$B$13), H186, -1000000000000)</f>
        <v/>
      </c>
      <c r="W186" s="101">
        <f>IF(AND(F186&lt;=DASHBOARD!$B$11, H186&gt;=DASHBOARD!$B$13), K186, -1000000000000)</f>
        <v/>
      </c>
      <c r="X186" s="101">
        <f>IF(AND(F186&lt;=DASHBOARD!$B$11, H186&gt;=DASHBOARD!$B$13), M186, 1000000000000)</f>
        <v/>
      </c>
      <c r="Y186" s="101">
        <f>IF(AND(F186&lt;=DASHBOARD!$B$10, H186&gt;=DASHBOARD!$B$11), L186, 1000000000000)</f>
        <v/>
      </c>
      <c r="Z186" s="101">
        <f>IF(AND(F186&lt;=DASHBOARD!$B$10, H186&gt;=DASHBOARD!$B$11), O186, 1000000000000)</f>
        <v/>
      </c>
      <c r="AA186" s="101">
        <f>IF(AND(F186&lt;=DASHBOARD!$B$10, H186&gt;=DASHBOARD!$B$11), P186, 1000000000000)</f>
        <v/>
      </c>
      <c r="AB186" s="101">
        <f>IF(AND(F186&lt;=DASHBOARD!$B$10, H186&gt;=DASHBOARD!$B$11), Q186, -1000000000000)</f>
        <v/>
      </c>
    </row>
    <row r="187" ht="12.75" customHeight="1" s="102">
      <c r="A187" s="166" t="n">
        <v>183</v>
      </c>
      <c r="B187" s="167" t="n">
        <v>0.4</v>
      </c>
      <c r="C187" s="167" t="n">
        <v>0.7</v>
      </c>
      <c r="D187" s="110" t="inlineStr">
        <is>
          <t>Yok (%0)</t>
        </is>
      </c>
      <c r="E187" s="110">
        <f>IF((B187+C187)&lt;=1, "Tam Mahsuplaşma (≤%100)", "Kısmi Satış (&gt;%100)")</f>
        <v/>
      </c>
      <c r="F187" s="168">
        <f>((VERI_TABANI!$D$29*B187/VERI_TABANI!$B$29)/VERI_TABANI!$B$3)*VERI_TABANI!$B$5 + ((VERI_TABANI!$D$29*C187/VERI_TABANI!$B$29)/VERI_TABANI!$B$4)*VERI_TABANI!$B$6 + IF(ISNUMBER(SEARCH("Var", D187)), (VERI_TABANI!$F$29/VERI_TABANI!$B$29)*(VERI_TABANI!$B$10+VERI_TABANI!$B$12), 0)</f>
        <v/>
      </c>
      <c r="G187" s="168">
        <f>(((MIN(VERI_TABANI!D23, VERI_TABANI!D23*B187)*VERI_TABANI!$B$7 + MAX(0, VERI_TABANI!D23*B187-VERI_TABANI!D23)*VERI_TABANI!$B$8) + (MIN(MAX(0, VERI_TABANI!D23-VERI_TABANI!D23*B187), VERI_TABANI!D23*C187)*VERI_TABANI!$B$7 + MAX(0, VERI_TABANI!D23*C187-MAX(0, VERI_TABANI!D23-VERI_TABANI!D23*B187))*VERI_TABANI!$B$8) + IF(ABS(IF(ISNUMBER(SEARCH("Var", D187)), 1, IF(ISNUMBER(SEARCH("Gri", D187)), -1, 0)))=1, VERI_TABANI!E23*(1-0.928)*VERI_TABANI!$B$9, 0) + (VERI_TABANI!D23*B187*(VERI_TABANI!$B$13-VERI_TABANI!$B$14)*VERI_TABANI!G23) + (VERI_TABANI!D23*C187*(VERI_TABANI!$B$13-VERI_TABANI!$B$15)*VERI_TABANI!G23) + IF(ABS(IF(ISNUMBER(SEARCH("Var", D187)), 1, IF(ISNUMBER(SEARCH("Gri", D187)), -1, 0)))=1, VERI_TABANI!E23*(1-0.928)*0.00206091519919798*VERI_TABANI!G23, 0)) + ((MIN(VERI_TABANI!D24, VERI_TABANI!D24*B187)*VERI_TABANI!$B$7 + MAX(0, VERI_TABANI!D24*B187-VERI_TABANI!D24)*VERI_TABANI!$B$8) + (MIN(MAX(0, VERI_TABANI!D24-VERI_TABANI!D24*B187), VERI_TABANI!D24*C187)*VERI_TABANI!$B$7 + MAX(0, VERI_TABANI!D24*C187-MAX(0, VERI_TABANI!D24-VERI_TABANI!D24*B187))*VERI_TABANI!$B$8) + IF(ABS(IF(ISNUMBER(SEARCH("Var", D187)), 1, IF(ISNUMBER(SEARCH("Gri", D187)), -1, 0)))=1, VERI_TABANI!E24*(1-0.928)*VERI_TABANI!$B$9, 0) + (VERI_TABANI!D24*B187*(VERI_TABANI!$B$13-VERI_TABANI!$B$14)*VERI_TABANI!G24) + (VERI_TABANI!D24*C187*(VERI_TABANI!$B$13-VERI_TABANI!$B$15)*VERI_TABANI!G24) + IF(ABS(IF(ISNUMBER(SEARCH("Var", D187)), 1, IF(ISNUMBER(SEARCH("Gri", D187)), -1, 0)))=1, VERI_TABANI!E24*(1-0.928)*0.00206091519919798*VERI_TABANI!G24, 0)) + ((MIN(VERI_TABANI!D25, VERI_TABANI!D25*B187)*VERI_TABANI!$B$7 + MAX(0, VERI_TABANI!D25*B187-VERI_TABANI!D25)*VERI_TABANI!$B$8) + (MIN(MAX(0, VERI_TABANI!D25-VERI_TABANI!D25*B187), VERI_TABANI!D25*C187)*VERI_TABANI!$B$7 + MAX(0, VERI_TABANI!D25*C187-MAX(0, VERI_TABANI!D25-VERI_TABANI!D25*B187))*VERI_TABANI!$B$8) + IF(ABS(IF(ISNUMBER(SEARCH("Var", D187)), 1, IF(ISNUMBER(SEARCH("Gri", D187)), -1, 0)))=1, VERI_TABANI!E25*(1-0.928)*VERI_TABANI!$B$9, 0) + (VERI_TABANI!D25*B187*(VERI_TABANI!$B$13-VERI_TABANI!$B$14)*VERI_TABANI!G25) + (VERI_TABANI!D25*C187*(VERI_TABANI!$B$13-VERI_TABANI!$B$15)*VERI_TABANI!G25) + IF(ABS(IF(ISNUMBER(SEARCH("Var", D187)), 1, IF(ISNUMBER(SEARCH("Gri", D187)), -1, 0)))=1, VERI_TABANI!E25*(1-0.928)*0.00206091519919798*VERI_TABANI!G25, 0)) + ((MIN(VERI_TABANI!D26, VERI_TABANI!D26*B187)*VERI_TABANI!$B$7 + MAX(0, VERI_TABANI!D26*B187-VERI_TABANI!D26)*VERI_TABANI!$B$8) + (MIN(MAX(0, VERI_TABANI!D26-VERI_TABANI!D26*B187), VERI_TABANI!D26*C187)*VERI_TABANI!$B$7 + MAX(0, VERI_TABANI!D26*C187-MAX(0, VERI_TABANI!D26-VERI_TABANI!D26*B187))*VERI_TABANI!$B$8) + IF(ABS(IF(ISNUMBER(SEARCH("Var", D187)), 1, IF(ISNUMBER(SEARCH("Gri", D187)), -1, 0)))=1, VERI_TABANI!E26*(1-0.928)*VERI_TABANI!$B$9, 0) + (VERI_TABANI!D26*B187*(VERI_TABANI!$B$13-VERI_TABANI!$B$14)*VERI_TABANI!G26) + (VERI_TABANI!D26*C187*(VERI_TABANI!$B$13-VERI_TABANI!$B$15)*VERI_TABANI!G26) + IF(ABS(IF(ISNUMBER(SEARCH("Var", D187)), 1, IF(ISNUMBER(SEARCH("Gri", D187)), -1, 0)))=1, VERI_TABANI!E26*(1-0.928)*0.00206091519919798*VERI_TABANI!G26, 0)) + ((MIN(VERI_TABANI!D27, VERI_TABANI!D27*B187)*VERI_TABANI!$B$7 + MAX(0, VERI_TABANI!D27*B187-VERI_TABANI!D27)*VERI_TABANI!$B$8) + (MIN(MAX(0, VERI_TABANI!D27-VERI_TABANI!D27*B187), VERI_TABANI!D27*C187)*VERI_TABANI!$B$7 + MAX(0, VERI_TABANI!D27*C187-MAX(0, VERI_TABANI!D27-VERI_TABANI!D27*B187))*VERI_TABANI!$B$8) + IF(ABS(IF(ISNUMBER(SEARCH("Var", D187)), 1, IF(ISNUMBER(SEARCH("Gri", D187)), -1, 0)))=1, VERI_TABANI!E27*(1-0.928)*VERI_TABANI!$B$9, 0) + (VERI_TABANI!D27*B187*(VERI_TABANI!$B$13-VERI_TABANI!$B$14)*VERI_TABANI!G27) + (VERI_TABANI!D27*C187*(VERI_TABANI!$B$13-VERI_TABANI!$B$15)*VERI_TABANI!G27) + IF(ABS(IF(ISNUMBER(SEARCH("Var", D187)), 1, IF(ISNUMBER(SEARCH("Gri", D187)), -1, 0)))=1, VERI_TABANI!E27*(1-0.928)*0.00206091519919798*VERI_TABANI!G27, 0)) + ((MIN(VERI_TABANI!D28, VERI_TABANI!D28*B187)*VERI_TABANI!$B$7 + MAX(0, VERI_TABANI!D28*B187-VERI_TABANI!D28)*VERI_TABANI!$B$8) + (MIN(MAX(0, VERI_TABANI!D28-VERI_TABANI!D28*B187), VERI_TABANI!D28*C187)*VERI_TABANI!$B$7 + MAX(0, VERI_TABANI!D28*C187-MAX(0, VERI_TABANI!D28-VERI_TABANI!D28*B187))*VERI_TABANI!$B$8) + IF(ABS(IF(ISNUMBER(SEARCH("Var", D187)), 1, IF(ISNUMBER(SEARCH("Gri", D187)), -1, 0)))=1, VERI_TABANI!E28*(1-0.928)*VERI_TABANI!$B$9, 0) + (VERI_TABANI!D28*B187*(VERI_TABANI!$B$13-VERI_TABANI!$B$14)*VERI_TABANI!G28) + (VERI_TABANI!D28*C187*(VERI_TABANI!$B$13-VERI_TABANI!$B$15)*VERI_TABANI!G28) + IF(ABS(IF(ISNUMBER(SEARCH("Var", D187)), 1, IF(ISNUMBER(SEARCH("Gri", D187)), -1, 0)))=1, VERI_TABANI!E28*(1-0.928)*0.00206091519919798*VERI_TABANI!G28, 0)))</f>
        <v/>
      </c>
      <c r="H187" s="169">
        <f>(((VERI_TABANI!D23*B187*(VERI_TABANI!$B$13-VERI_TABANI!$B$14)) + (VERI_TABANI!D23*C187*(VERI_TABANI!$B$13-VERI_TABANI!$B$15)) + IF(ISNUMBER(SEARCH("Var", D187)), VERI_TABANI!F23*(0.00202-VERI_TABANI!$B$16), IF(ISNUMBER(SEARCH("Gri", D187)), VERI_TABANI!F23*(0.00202-VERI_TABANI!$B$17), 0))) + ((VERI_TABANI!D24*B187*(VERI_TABANI!$B$13-VERI_TABANI!$B$14)) + (VERI_TABANI!D24*C187*(VERI_TABANI!$B$13-VERI_TABANI!$B$15)) + IF(ISNUMBER(SEARCH("Var", D187)), VERI_TABANI!F24*(0.00202-VERI_TABANI!$B$16), IF(ISNUMBER(SEARCH("Gri", D187)), VERI_TABANI!F24*(0.00202-VERI_TABANI!$B$17), 0))) + ((VERI_TABANI!D25*B187*(VERI_TABANI!$B$13-VERI_TABANI!$B$14)) + (VERI_TABANI!D25*C187*(VERI_TABANI!$B$13-VERI_TABANI!$B$15)) + IF(ISNUMBER(SEARCH("Var", D187)), VERI_TABANI!F25*(0.00202-VERI_TABANI!$B$16), IF(ISNUMBER(SEARCH("Gri", D187)), VERI_TABANI!F25*(0.00202-VERI_TABANI!$B$17), 0))) + ((VERI_TABANI!D26*B187*(VERI_TABANI!$B$13-VERI_TABANI!$B$14)) + (VERI_TABANI!D26*C187*(VERI_TABANI!$B$13-VERI_TABANI!$B$15)) + IF(ISNUMBER(SEARCH("Var", D187)), VERI_TABANI!F26*(0.00202-VERI_TABANI!$B$16), IF(ISNUMBER(SEARCH("Gri", D187)), VERI_TABANI!F26*(0.00202-VERI_TABANI!$B$17), 0))) + ((VERI_TABANI!D27*B187*(VERI_TABANI!$B$13-VERI_TABANI!$B$14)) + (VERI_TABANI!D27*C187*(VERI_TABANI!$B$13-VERI_TABANI!$B$15)) + IF(ISNUMBER(SEARCH("Var", D187)), VERI_TABANI!F27*(0.00202-VERI_TABANI!$B$16), IF(ISNUMBER(SEARCH("Gri", D187)), VERI_TABANI!F27*(0.00202-VERI_TABANI!$B$17), 0))) + ((VERI_TABANI!D28*B187*(VERI_TABANI!$B$13-VERI_TABANI!$B$14)) + (VERI_TABANI!D28*C187*(VERI_TABANI!$B$13-VERI_TABANI!$B$15)) + IF(ISNUMBER(SEARCH("Var", D187)), VERI_TABANI!F28*(0.00202-VERI_TABANI!$B$16), IF(ISNUMBER(SEARCH("Gri", D187)), VERI_TABANI!F28*(0.00202-VERI_TABANI!$B$17), 0))))</f>
        <v/>
      </c>
      <c r="I187" s="170">
        <f>IFERROR(((VERI_TABANI!$D$29*B187*VERI_TABANI!$B$14 + VERI_TABANI!$D$29*C187*VERI_TABANI!$B$15 + IF(ISNUMBER(SEARCH("Var", D187)), VERI_TABANI!$F$29*VERI_TABANI!$B$16, 0))) / (((VERI_TABANI!$D$29*B187 + VERI_TABANI!$D$29*C187)*VERI_TABANI!$B$13 + IF(ISNUMBER(SEARCH("Var", D187)), VERI_TABANI!$E$29*(1-0.928)*VERI_TABANI!$B$18, 0))), 0)</f>
        <v/>
      </c>
      <c r="J187" s="171">
        <f>IFERROR(F187/(G187/29), 0)</f>
        <v/>
      </c>
      <c r="K187" s="172">
        <f>IF(F187&gt;0, H187/F187, 0)</f>
        <v/>
      </c>
      <c r="L187" s="170">
        <f>IF(F187&gt;0, I187, 1000000000)</f>
        <v/>
      </c>
      <c r="M187" s="171">
        <f>ABS((B187+C187)-1)</f>
        <v/>
      </c>
      <c r="N187" s="170">
        <f>IF(F187&gt;0, (G187/29)/F187, 0)</f>
        <v/>
      </c>
      <c r="O187" s="168">
        <f>IF(AND((B187+C187)&gt;=1, ISNUMBER(SEARCH("Var", D187))), F187, 1000000000)</f>
        <v/>
      </c>
      <c r="P187" s="172">
        <f>IF(F187&gt;0, SQRT((F187/MAX(F$5:F$886))^2 + (1 - H187/MAX(H$5:H$886))^2 + (J187/MAX(J$5:J$886))^2), 1000000000)</f>
        <v/>
      </c>
      <c r="Q187" s="166">
        <f>IF(AND(ABS(B187-0.5)&lt;0.01, ABS(C187-0.5)&lt;0.01, ISNUMBER(SEARCH("Var", D187))), 1, 0)</f>
        <v/>
      </c>
      <c r="R187" s="171">
        <f>IF(F187&gt;0, J187, 1000000000)</f>
        <v/>
      </c>
      <c r="S187" s="101">
        <f>IF(AND(F187&lt;=DASHBOARD!$B$11, H187&gt;=DASHBOARD!$B$13), G187, -1000000000000)</f>
        <v/>
      </c>
      <c r="T187" s="101">
        <f>IF(AND(F187&lt;=DASHBOARD!$B$11, H187&gt;=DASHBOARD!$B$13), R187, 1000000000000)</f>
        <v/>
      </c>
      <c r="U187" s="101">
        <f>IF(AND(F187&lt;=DASHBOARD!$B$11, H187&gt;=DASHBOARD!$B$13), N187, -1000000000000)</f>
        <v/>
      </c>
      <c r="V187" s="101">
        <f>IF(AND(F187&lt;=DASHBOARD!$B$11, H187&gt;=DASHBOARD!$B$13), H187, -1000000000000)</f>
        <v/>
      </c>
      <c r="W187" s="101">
        <f>IF(AND(F187&lt;=DASHBOARD!$B$11, H187&gt;=DASHBOARD!$B$13), K187, -1000000000000)</f>
        <v/>
      </c>
      <c r="X187" s="101">
        <f>IF(AND(F187&lt;=DASHBOARD!$B$11, H187&gt;=DASHBOARD!$B$13), M187, 1000000000000)</f>
        <v/>
      </c>
      <c r="Y187" s="101">
        <f>IF(AND(F187&lt;=DASHBOARD!$B$10, H187&gt;=DASHBOARD!$B$11), L187, 1000000000000)</f>
        <v/>
      </c>
      <c r="Z187" s="101">
        <f>IF(AND(F187&lt;=DASHBOARD!$B$10, H187&gt;=DASHBOARD!$B$11), O187, 1000000000000)</f>
        <v/>
      </c>
      <c r="AA187" s="101">
        <f>IF(AND(F187&lt;=DASHBOARD!$B$10, H187&gt;=DASHBOARD!$B$11), P187, 1000000000000)</f>
        <v/>
      </c>
      <c r="AB187" s="101">
        <f>IF(AND(F187&lt;=DASHBOARD!$B$10, H187&gt;=DASHBOARD!$B$11), Q187, -1000000000000)</f>
        <v/>
      </c>
    </row>
    <row r="188" ht="12.75" customHeight="1" s="102">
      <c r="A188" s="166" t="n">
        <v>184</v>
      </c>
      <c r="B188" s="167" t="n">
        <v>0.4</v>
      </c>
      <c r="C188" s="167" t="n">
        <v>0.7</v>
      </c>
      <c r="D188" s="110" t="inlineStr">
        <is>
          <t>Var (%20)</t>
        </is>
      </c>
      <c r="E188" s="110">
        <f>IF((B188+C188)&lt;=1, "Tam Mahsuplaşma (≤%100)", "Kısmi Satış (&gt;%100)")</f>
        <v/>
      </c>
      <c r="F188" s="168">
        <f>((VERI_TABANI!$D$29*B188/VERI_TABANI!$B$29)/VERI_TABANI!$B$3)*VERI_TABANI!$B$5 + ((VERI_TABANI!$D$29*C188/VERI_TABANI!$B$29)/VERI_TABANI!$B$4)*VERI_TABANI!$B$6 + IF(ISNUMBER(SEARCH("Var", D188)), (VERI_TABANI!$F$29/VERI_TABANI!$B$29)*(VERI_TABANI!$B$10+VERI_TABANI!$B$12), 0)</f>
        <v/>
      </c>
      <c r="G188" s="168">
        <f>(((MIN(VERI_TABANI!D23, VERI_TABANI!D23*B188)*VERI_TABANI!$B$7 + MAX(0, VERI_TABANI!D23*B188-VERI_TABANI!D23)*VERI_TABANI!$B$8) + (MIN(MAX(0, VERI_TABANI!D23-VERI_TABANI!D23*B188), VERI_TABANI!D23*C188)*VERI_TABANI!$B$7 + MAX(0, VERI_TABANI!D23*C188-MAX(0, VERI_TABANI!D23-VERI_TABANI!D23*B188))*VERI_TABANI!$B$8) + IF(ABS(IF(ISNUMBER(SEARCH("Var", D188)), 1, IF(ISNUMBER(SEARCH("Gri", D188)), -1, 0)))=1, VERI_TABANI!E23*(1-0.928)*VERI_TABANI!$B$9, 0) + (VERI_TABANI!D23*B188*(VERI_TABANI!$B$13-VERI_TABANI!$B$14)*VERI_TABANI!G23) + (VERI_TABANI!D23*C188*(VERI_TABANI!$B$13-VERI_TABANI!$B$15)*VERI_TABANI!G23) + IF(ABS(IF(ISNUMBER(SEARCH("Var", D188)), 1, IF(ISNUMBER(SEARCH("Gri", D188)), -1, 0)))=1, VERI_TABANI!E23*(1-0.928)*0.00206091519919798*VERI_TABANI!G23, 0)) + ((MIN(VERI_TABANI!D24, VERI_TABANI!D24*B188)*VERI_TABANI!$B$7 + MAX(0, VERI_TABANI!D24*B188-VERI_TABANI!D24)*VERI_TABANI!$B$8) + (MIN(MAX(0, VERI_TABANI!D24-VERI_TABANI!D24*B188), VERI_TABANI!D24*C188)*VERI_TABANI!$B$7 + MAX(0, VERI_TABANI!D24*C188-MAX(0, VERI_TABANI!D24-VERI_TABANI!D24*B188))*VERI_TABANI!$B$8) + IF(ABS(IF(ISNUMBER(SEARCH("Var", D188)), 1, IF(ISNUMBER(SEARCH("Gri", D188)), -1, 0)))=1, VERI_TABANI!E24*(1-0.928)*VERI_TABANI!$B$9, 0) + (VERI_TABANI!D24*B188*(VERI_TABANI!$B$13-VERI_TABANI!$B$14)*VERI_TABANI!G24) + (VERI_TABANI!D24*C188*(VERI_TABANI!$B$13-VERI_TABANI!$B$15)*VERI_TABANI!G24) + IF(ABS(IF(ISNUMBER(SEARCH("Var", D188)), 1, IF(ISNUMBER(SEARCH("Gri", D188)), -1, 0)))=1, VERI_TABANI!E24*(1-0.928)*0.00206091519919798*VERI_TABANI!G24, 0)) + ((MIN(VERI_TABANI!D25, VERI_TABANI!D25*B188)*VERI_TABANI!$B$7 + MAX(0, VERI_TABANI!D25*B188-VERI_TABANI!D25)*VERI_TABANI!$B$8) + (MIN(MAX(0, VERI_TABANI!D25-VERI_TABANI!D25*B188), VERI_TABANI!D25*C188)*VERI_TABANI!$B$7 + MAX(0, VERI_TABANI!D25*C188-MAX(0, VERI_TABANI!D25-VERI_TABANI!D25*B188))*VERI_TABANI!$B$8) + IF(ABS(IF(ISNUMBER(SEARCH("Var", D188)), 1, IF(ISNUMBER(SEARCH("Gri", D188)), -1, 0)))=1, VERI_TABANI!E25*(1-0.928)*VERI_TABANI!$B$9, 0) + (VERI_TABANI!D25*B188*(VERI_TABANI!$B$13-VERI_TABANI!$B$14)*VERI_TABANI!G25) + (VERI_TABANI!D25*C188*(VERI_TABANI!$B$13-VERI_TABANI!$B$15)*VERI_TABANI!G25) + IF(ABS(IF(ISNUMBER(SEARCH("Var", D188)), 1, IF(ISNUMBER(SEARCH("Gri", D188)), -1, 0)))=1, VERI_TABANI!E25*(1-0.928)*0.00206091519919798*VERI_TABANI!G25, 0)) + ((MIN(VERI_TABANI!D26, VERI_TABANI!D26*B188)*VERI_TABANI!$B$7 + MAX(0, VERI_TABANI!D26*B188-VERI_TABANI!D26)*VERI_TABANI!$B$8) + (MIN(MAX(0, VERI_TABANI!D26-VERI_TABANI!D26*B188), VERI_TABANI!D26*C188)*VERI_TABANI!$B$7 + MAX(0, VERI_TABANI!D26*C188-MAX(0, VERI_TABANI!D26-VERI_TABANI!D26*B188))*VERI_TABANI!$B$8) + IF(ABS(IF(ISNUMBER(SEARCH("Var", D188)), 1, IF(ISNUMBER(SEARCH("Gri", D188)), -1, 0)))=1, VERI_TABANI!E26*(1-0.928)*VERI_TABANI!$B$9, 0) + (VERI_TABANI!D26*B188*(VERI_TABANI!$B$13-VERI_TABANI!$B$14)*VERI_TABANI!G26) + (VERI_TABANI!D26*C188*(VERI_TABANI!$B$13-VERI_TABANI!$B$15)*VERI_TABANI!G26) + IF(ABS(IF(ISNUMBER(SEARCH("Var", D188)), 1, IF(ISNUMBER(SEARCH("Gri", D188)), -1, 0)))=1, VERI_TABANI!E26*(1-0.928)*0.00206091519919798*VERI_TABANI!G26, 0)) + ((MIN(VERI_TABANI!D27, VERI_TABANI!D27*B188)*VERI_TABANI!$B$7 + MAX(0, VERI_TABANI!D27*B188-VERI_TABANI!D27)*VERI_TABANI!$B$8) + (MIN(MAX(0, VERI_TABANI!D27-VERI_TABANI!D27*B188), VERI_TABANI!D27*C188)*VERI_TABANI!$B$7 + MAX(0, VERI_TABANI!D27*C188-MAX(0, VERI_TABANI!D27-VERI_TABANI!D27*B188))*VERI_TABANI!$B$8) + IF(ABS(IF(ISNUMBER(SEARCH("Var", D188)), 1, IF(ISNUMBER(SEARCH("Gri", D188)), -1, 0)))=1, VERI_TABANI!E27*(1-0.928)*VERI_TABANI!$B$9, 0) + (VERI_TABANI!D27*B188*(VERI_TABANI!$B$13-VERI_TABANI!$B$14)*VERI_TABANI!G27) + (VERI_TABANI!D27*C188*(VERI_TABANI!$B$13-VERI_TABANI!$B$15)*VERI_TABANI!G27) + IF(ABS(IF(ISNUMBER(SEARCH("Var", D188)), 1, IF(ISNUMBER(SEARCH("Gri", D188)), -1, 0)))=1, VERI_TABANI!E27*(1-0.928)*0.00206091519919798*VERI_TABANI!G27, 0)) + ((MIN(VERI_TABANI!D28, VERI_TABANI!D28*B188)*VERI_TABANI!$B$7 + MAX(0, VERI_TABANI!D28*B188-VERI_TABANI!D28)*VERI_TABANI!$B$8) + (MIN(MAX(0, VERI_TABANI!D28-VERI_TABANI!D28*B188), VERI_TABANI!D28*C188)*VERI_TABANI!$B$7 + MAX(0, VERI_TABANI!D28*C188-MAX(0, VERI_TABANI!D28-VERI_TABANI!D28*B188))*VERI_TABANI!$B$8) + IF(ABS(IF(ISNUMBER(SEARCH("Var", D188)), 1, IF(ISNUMBER(SEARCH("Gri", D188)), -1, 0)))=1, VERI_TABANI!E28*(1-0.928)*VERI_TABANI!$B$9, 0) + (VERI_TABANI!D28*B188*(VERI_TABANI!$B$13-VERI_TABANI!$B$14)*VERI_TABANI!G28) + (VERI_TABANI!D28*C188*(VERI_TABANI!$B$13-VERI_TABANI!$B$15)*VERI_TABANI!G28) + IF(ABS(IF(ISNUMBER(SEARCH("Var", D188)), 1, IF(ISNUMBER(SEARCH("Gri", D188)), -1, 0)))=1, VERI_TABANI!E28*(1-0.928)*0.00206091519919798*VERI_TABANI!G28, 0)))</f>
        <v/>
      </c>
      <c r="H188" s="169">
        <f>(((VERI_TABANI!D23*B188*(VERI_TABANI!$B$13-VERI_TABANI!$B$14)) + (VERI_TABANI!D23*C188*(VERI_TABANI!$B$13-VERI_TABANI!$B$15)) + IF(ISNUMBER(SEARCH("Var", D188)), VERI_TABANI!F23*(0.00202-VERI_TABANI!$B$16), IF(ISNUMBER(SEARCH("Gri", D188)), VERI_TABANI!F23*(0.00202-VERI_TABANI!$B$17), 0))) + ((VERI_TABANI!D24*B188*(VERI_TABANI!$B$13-VERI_TABANI!$B$14)) + (VERI_TABANI!D24*C188*(VERI_TABANI!$B$13-VERI_TABANI!$B$15)) + IF(ISNUMBER(SEARCH("Var", D188)), VERI_TABANI!F24*(0.00202-VERI_TABANI!$B$16), IF(ISNUMBER(SEARCH("Gri", D188)), VERI_TABANI!F24*(0.00202-VERI_TABANI!$B$17), 0))) + ((VERI_TABANI!D25*B188*(VERI_TABANI!$B$13-VERI_TABANI!$B$14)) + (VERI_TABANI!D25*C188*(VERI_TABANI!$B$13-VERI_TABANI!$B$15)) + IF(ISNUMBER(SEARCH("Var", D188)), VERI_TABANI!F25*(0.00202-VERI_TABANI!$B$16), IF(ISNUMBER(SEARCH("Gri", D188)), VERI_TABANI!F25*(0.00202-VERI_TABANI!$B$17), 0))) + ((VERI_TABANI!D26*B188*(VERI_TABANI!$B$13-VERI_TABANI!$B$14)) + (VERI_TABANI!D26*C188*(VERI_TABANI!$B$13-VERI_TABANI!$B$15)) + IF(ISNUMBER(SEARCH("Var", D188)), VERI_TABANI!F26*(0.00202-VERI_TABANI!$B$16), IF(ISNUMBER(SEARCH("Gri", D188)), VERI_TABANI!F26*(0.00202-VERI_TABANI!$B$17), 0))) + ((VERI_TABANI!D27*B188*(VERI_TABANI!$B$13-VERI_TABANI!$B$14)) + (VERI_TABANI!D27*C188*(VERI_TABANI!$B$13-VERI_TABANI!$B$15)) + IF(ISNUMBER(SEARCH("Var", D188)), VERI_TABANI!F27*(0.00202-VERI_TABANI!$B$16), IF(ISNUMBER(SEARCH("Gri", D188)), VERI_TABANI!F27*(0.00202-VERI_TABANI!$B$17), 0))) + ((VERI_TABANI!D28*B188*(VERI_TABANI!$B$13-VERI_TABANI!$B$14)) + (VERI_TABANI!D28*C188*(VERI_TABANI!$B$13-VERI_TABANI!$B$15)) + IF(ISNUMBER(SEARCH("Var", D188)), VERI_TABANI!F28*(0.00202-VERI_TABANI!$B$16), IF(ISNUMBER(SEARCH("Gri", D188)), VERI_TABANI!F28*(0.00202-VERI_TABANI!$B$17), 0))))</f>
        <v/>
      </c>
      <c r="I188" s="170">
        <f>IFERROR(((VERI_TABANI!$D$29*B188*VERI_TABANI!$B$14 + VERI_TABANI!$D$29*C188*VERI_TABANI!$B$15 + IF(ISNUMBER(SEARCH("Var", D188)), VERI_TABANI!$F$29*VERI_TABANI!$B$16, 0))) / (((VERI_TABANI!$D$29*B188 + VERI_TABANI!$D$29*C188)*VERI_TABANI!$B$13 + IF(ISNUMBER(SEARCH("Var", D188)), VERI_TABANI!$E$29*(1-0.928)*VERI_TABANI!$B$18, 0))), 0)</f>
        <v/>
      </c>
      <c r="J188" s="171">
        <f>IFERROR(F188/(G188/29), 0)</f>
        <v/>
      </c>
      <c r="K188" s="172">
        <f>IF(F188&gt;0, H188/F188, 0)</f>
        <v/>
      </c>
      <c r="L188" s="170">
        <f>IF(F188&gt;0, I188, 1000000000)</f>
        <v/>
      </c>
      <c r="M188" s="171">
        <f>ABS((B188+C188)-1)</f>
        <v/>
      </c>
      <c r="N188" s="170">
        <f>IF(F188&gt;0, (G188/29)/F188, 0)</f>
        <v/>
      </c>
      <c r="O188" s="168">
        <f>IF(AND((B188+C188)&gt;=1, ISNUMBER(SEARCH("Var", D188))), F188, 1000000000)</f>
        <v/>
      </c>
      <c r="P188" s="172">
        <f>IF(F188&gt;0, SQRT((F188/MAX(F$5:F$886))^2 + (1 - H188/MAX(H$5:H$886))^2 + (J188/MAX(J$5:J$886))^2), 1000000000)</f>
        <v/>
      </c>
      <c r="Q188" s="166">
        <f>IF(AND(ABS(B188-0.5)&lt;0.01, ABS(C188-0.5)&lt;0.01, ISNUMBER(SEARCH("Var", D188))), 1, 0)</f>
        <v/>
      </c>
      <c r="R188" s="171">
        <f>IF(F188&gt;0, J188, 1000000000)</f>
        <v/>
      </c>
      <c r="S188" s="101">
        <f>IF(AND(F188&lt;=DASHBOARD!$B$11, H188&gt;=DASHBOARD!$B$13), G188, -1000000000000)</f>
        <v/>
      </c>
      <c r="T188" s="101">
        <f>IF(AND(F188&lt;=DASHBOARD!$B$11, H188&gt;=DASHBOARD!$B$13), R188, 1000000000000)</f>
        <v/>
      </c>
      <c r="U188" s="101">
        <f>IF(AND(F188&lt;=DASHBOARD!$B$11, H188&gt;=DASHBOARD!$B$13), N188, -1000000000000)</f>
        <v/>
      </c>
      <c r="V188" s="101">
        <f>IF(AND(F188&lt;=DASHBOARD!$B$11, H188&gt;=DASHBOARD!$B$13), H188, -1000000000000)</f>
        <v/>
      </c>
      <c r="W188" s="101">
        <f>IF(AND(F188&lt;=DASHBOARD!$B$11, H188&gt;=DASHBOARD!$B$13), K188, -1000000000000)</f>
        <v/>
      </c>
      <c r="X188" s="101">
        <f>IF(AND(F188&lt;=DASHBOARD!$B$11, H188&gt;=DASHBOARD!$B$13), M188, 1000000000000)</f>
        <v/>
      </c>
      <c r="Y188" s="101">
        <f>IF(AND(F188&lt;=DASHBOARD!$B$10, H188&gt;=DASHBOARD!$B$11), L188, 1000000000000)</f>
        <v/>
      </c>
      <c r="Z188" s="101">
        <f>IF(AND(F188&lt;=DASHBOARD!$B$10, H188&gt;=DASHBOARD!$B$11), O188, 1000000000000)</f>
        <v/>
      </c>
      <c r="AA188" s="101">
        <f>IF(AND(F188&lt;=DASHBOARD!$B$10, H188&gt;=DASHBOARD!$B$11), P188, 1000000000000)</f>
        <v/>
      </c>
      <c r="AB188" s="101">
        <f>IF(AND(F188&lt;=DASHBOARD!$B$10, H188&gt;=DASHBOARD!$B$11), Q188, -1000000000000)</f>
        <v/>
      </c>
    </row>
    <row r="189" ht="12.75" customHeight="1" s="102">
      <c r="A189" s="166" t="n">
        <v>185</v>
      </c>
      <c r="B189" s="167" t="n">
        <v>0.4</v>
      </c>
      <c r="C189" s="167" t="n">
        <v>0.8</v>
      </c>
      <c r="D189" s="110" t="inlineStr">
        <is>
          <t>Yok (%0)</t>
        </is>
      </c>
      <c r="E189" s="110">
        <f>IF((B189+C189)&lt;=1, "Tam Mahsuplaşma (≤%100)", "Kısmi Satış (&gt;%100)")</f>
        <v/>
      </c>
      <c r="F189" s="168">
        <f>((VERI_TABANI!$D$29*B189/VERI_TABANI!$B$29)/VERI_TABANI!$B$3)*VERI_TABANI!$B$5 + ((VERI_TABANI!$D$29*C189/VERI_TABANI!$B$29)/VERI_TABANI!$B$4)*VERI_TABANI!$B$6 + IF(ISNUMBER(SEARCH("Var", D189)), (VERI_TABANI!$F$29/VERI_TABANI!$B$29)*(VERI_TABANI!$B$10+VERI_TABANI!$B$12), 0)</f>
        <v/>
      </c>
      <c r="G189" s="168">
        <f>(((MIN(VERI_TABANI!D23, VERI_TABANI!D23*B189)*VERI_TABANI!$B$7 + MAX(0, VERI_TABANI!D23*B189-VERI_TABANI!D23)*VERI_TABANI!$B$8) + (MIN(MAX(0, VERI_TABANI!D23-VERI_TABANI!D23*B189), VERI_TABANI!D23*C189)*VERI_TABANI!$B$7 + MAX(0, VERI_TABANI!D23*C189-MAX(0, VERI_TABANI!D23-VERI_TABANI!D23*B189))*VERI_TABANI!$B$8) + IF(ABS(IF(ISNUMBER(SEARCH("Var", D189)), 1, IF(ISNUMBER(SEARCH("Gri", D189)), -1, 0)))=1, VERI_TABANI!E23*(1-0.928)*VERI_TABANI!$B$9, 0) + (VERI_TABANI!D23*B189*(VERI_TABANI!$B$13-VERI_TABANI!$B$14)*VERI_TABANI!G23) + (VERI_TABANI!D23*C189*(VERI_TABANI!$B$13-VERI_TABANI!$B$15)*VERI_TABANI!G23) + IF(ABS(IF(ISNUMBER(SEARCH("Var", D189)), 1, IF(ISNUMBER(SEARCH("Gri", D189)), -1, 0)))=1, VERI_TABANI!E23*(1-0.928)*0.00206091519919798*VERI_TABANI!G23, 0)) + ((MIN(VERI_TABANI!D24, VERI_TABANI!D24*B189)*VERI_TABANI!$B$7 + MAX(0, VERI_TABANI!D24*B189-VERI_TABANI!D24)*VERI_TABANI!$B$8) + (MIN(MAX(0, VERI_TABANI!D24-VERI_TABANI!D24*B189), VERI_TABANI!D24*C189)*VERI_TABANI!$B$7 + MAX(0, VERI_TABANI!D24*C189-MAX(0, VERI_TABANI!D24-VERI_TABANI!D24*B189))*VERI_TABANI!$B$8) + IF(ABS(IF(ISNUMBER(SEARCH("Var", D189)), 1, IF(ISNUMBER(SEARCH("Gri", D189)), -1, 0)))=1, VERI_TABANI!E24*(1-0.928)*VERI_TABANI!$B$9, 0) + (VERI_TABANI!D24*B189*(VERI_TABANI!$B$13-VERI_TABANI!$B$14)*VERI_TABANI!G24) + (VERI_TABANI!D24*C189*(VERI_TABANI!$B$13-VERI_TABANI!$B$15)*VERI_TABANI!G24) + IF(ABS(IF(ISNUMBER(SEARCH("Var", D189)), 1, IF(ISNUMBER(SEARCH("Gri", D189)), -1, 0)))=1, VERI_TABANI!E24*(1-0.928)*0.00206091519919798*VERI_TABANI!G24, 0)) + ((MIN(VERI_TABANI!D25, VERI_TABANI!D25*B189)*VERI_TABANI!$B$7 + MAX(0, VERI_TABANI!D25*B189-VERI_TABANI!D25)*VERI_TABANI!$B$8) + (MIN(MAX(0, VERI_TABANI!D25-VERI_TABANI!D25*B189), VERI_TABANI!D25*C189)*VERI_TABANI!$B$7 + MAX(0, VERI_TABANI!D25*C189-MAX(0, VERI_TABANI!D25-VERI_TABANI!D25*B189))*VERI_TABANI!$B$8) + IF(ABS(IF(ISNUMBER(SEARCH("Var", D189)), 1, IF(ISNUMBER(SEARCH("Gri", D189)), -1, 0)))=1, VERI_TABANI!E25*(1-0.928)*VERI_TABANI!$B$9, 0) + (VERI_TABANI!D25*B189*(VERI_TABANI!$B$13-VERI_TABANI!$B$14)*VERI_TABANI!G25) + (VERI_TABANI!D25*C189*(VERI_TABANI!$B$13-VERI_TABANI!$B$15)*VERI_TABANI!G25) + IF(ABS(IF(ISNUMBER(SEARCH("Var", D189)), 1, IF(ISNUMBER(SEARCH("Gri", D189)), -1, 0)))=1, VERI_TABANI!E25*(1-0.928)*0.00206091519919798*VERI_TABANI!G25, 0)) + ((MIN(VERI_TABANI!D26, VERI_TABANI!D26*B189)*VERI_TABANI!$B$7 + MAX(0, VERI_TABANI!D26*B189-VERI_TABANI!D26)*VERI_TABANI!$B$8) + (MIN(MAX(0, VERI_TABANI!D26-VERI_TABANI!D26*B189), VERI_TABANI!D26*C189)*VERI_TABANI!$B$7 + MAX(0, VERI_TABANI!D26*C189-MAX(0, VERI_TABANI!D26-VERI_TABANI!D26*B189))*VERI_TABANI!$B$8) + IF(ABS(IF(ISNUMBER(SEARCH("Var", D189)), 1, IF(ISNUMBER(SEARCH("Gri", D189)), -1, 0)))=1, VERI_TABANI!E26*(1-0.928)*VERI_TABANI!$B$9, 0) + (VERI_TABANI!D26*B189*(VERI_TABANI!$B$13-VERI_TABANI!$B$14)*VERI_TABANI!G26) + (VERI_TABANI!D26*C189*(VERI_TABANI!$B$13-VERI_TABANI!$B$15)*VERI_TABANI!G26) + IF(ABS(IF(ISNUMBER(SEARCH("Var", D189)), 1, IF(ISNUMBER(SEARCH("Gri", D189)), -1, 0)))=1, VERI_TABANI!E26*(1-0.928)*0.00206091519919798*VERI_TABANI!G26, 0)) + ((MIN(VERI_TABANI!D27, VERI_TABANI!D27*B189)*VERI_TABANI!$B$7 + MAX(0, VERI_TABANI!D27*B189-VERI_TABANI!D27)*VERI_TABANI!$B$8) + (MIN(MAX(0, VERI_TABANI!D27-VERI_TABANI!D27*B189), VERI_TABANI!D27*C189)*VERI_TABANI!$B$7 + MAX(0, VERI_TABANI!D27*C189-MAX(0, VERI_TABANI!D27-VERI_TABANI!D27*B189))*VERI_TABANI!$B$8) + IF(ABS(IF(ISNUMBER(SEARCH("Var", D189)), 1, IF(ISNUMBER(SEARCH("Gri", D189)), -1, 0)))=1, VERI_TABANI!E27*(1-0.928)*VERI_TABANI!$B$9, 0) + (VERI_TABANI!D27*B189*(VERI_TABANI!$B$13-VERI_TABANI!$B$14)*VERI_TABANI!G27) + (VERI_TABANI!D27*C189*(VERI_TABANI!$B$13-VERI_TABANI!$B$15)*VERI_TABANI!G27) + IF(ABS(IF(ISNUMBER(SEARCH("Var", D189)), 1, IF(ISNUMBER(SEARCH("Gri", D189)), -1, 0)))=1, VERI_TABANI!E27*(1-0.928)*0.00206091519919798*VERI_TABANI!G27, 0)) + ((MIN(VERI_TABANI!D28, VERI_TABANI!D28*B189)*VERI_TABANI!$B$7 + MAX(0, VERI_TABANI!D28*B189-VERI_TABANI!D28)*VERI_TABANI!$B$8) + (MIN(MAX(0, VERI_TABANI!D28-VERI_TABANI!D28*B189), VERI_TABANI!D28*C189)*VERI_TABANI!$B$7 + MAX(0, VERI_TABANI!D28*C189-MAX(0, VERI_TABANI!D28-VERI_TABANI!D28*B189))*VERI_TABANI!$B$8) + IF(ABS(IF(ISNUMBER(SEARCH("Var", D189)), 1, IF(ISNUMBER(SEARCH("Gri", D189)), -1, 0)))=1, VERI_TABANI!E28*(1-0.928)*VERI_TABANI!$B$9, 0) + (VERI_TABANI!D28*B189*(VERI_TABANI!$B$13-VERI_TABANI!$B$14)*VERI_TABANI!G28) + (VERI_TABANI!D28*C189*(VERI_TABANI!$B$13-VERI_TABANI!$B$15)*VERI_TABANI!G28) + IF(ABS(IF(ISNUMBER(SEARCH("Var", D189)), 1, IF(ISNUMBER(SEARCH("Gri", D189)), -1, 0)))=1, VERI_TABANI!E28*(1-0.928)*0.00206091519919798*VERI_TABANI!G28, 0)))</f>
        <v/>
      </c>
      <c r="H189" s="169">
        <f>(((VERI_TABANI!D23*B189*(VERI_TABANI!$B$13-VERI_TABANI!$B$14)) + (VERI_TABANI!D23*C189*(VERI_TABANI!$B$13-VERI_TABANI!$B$15)) + IF(ISNUMBER(SEARCH("Var", D189)), VERI_TABANI!F23*(0.00202-VERI_TABANI!$B$16), IF(ISNUMBER(SEARCH("Gri", D189)), VERI_TABANI!F23*(0.00202-VERI_TABANI!$B$17), 0))) + ((VERI_TABANI!D24*B189*(VERI_TABANI!$B$13-VERI_TABANI!$B$14)) + (VERI_TABANI!D24*C189*(VERI_TABANI!$B$13-VERI_TABANI!$B$15)) + IF(ISNUMBER(SEARCH("Var", D189)), VERI_TABANI!F24*(0.00202-VERI_TABANI!$B$16), IF(ISNUMBER(SEARCH("Gri", D189)), VERI_TABANI!F24*(0.00202-VERI_TABANI!$B$17), 0))) + ((VERI_TABANI!D25*B189*(VERI_TABANI!$B$13-VERI_TABANI!$B$14)) + (VERI_TABANI!D25*C189*(VERI_TABANI!$B$13-VERI_TABANI!$B$15)) + IF(ISNUMBER(SEARCH("Var", D189)), VERI_TABANI!F25*(0.00202-VERI_TABANI!$B$16), IF(ISNUMBER(SEARCH("Gri", D189)), VERI_TABANI!F25*(0.00202-VERI_TABANI!$B$17), 0))) + ((VERI_TABANI!D26*B189*(VERI_TABANI!$B$13-VERI_TABANI!$B$14)) + (VERI_TABANI!D26*C189*(VERI_TABANI!$B$13-VERI_TABANI!$B$15)) + IF(ISNUMBER(SEARCH("Var", D189)), VERI_TABANI!F26*(0.00202-VERI_TABANI!$B$16), IF(ISNUMBER(SEARCH("Gri", D189)), VERI_TABANI!F26*(0.00202-VERI_TABANI!$B$17), 0))) + ((VERI_TABANI!D27*B189*(VERI_TABANI!$B$13-VERI_TABANI!$B$14)) + (VERI_TABANI!D27*C189*(VERI_TABANI!$B$13-VERI_TABANI!$B$15)) + IF(ISNUMBER(SEARCH("Var", D189)), VERI_TABANI!F27*(0.00202-VERI_TABANI!$B$16), IF(ISNUMBER(SEARCH("Gri", D189)), VERI_TABANI!F27*(0.00202-VERI_TABANI!$B$17), 0))) + ((VERI_TABANI!D28*B189*(VERI_TABANI!$B$13-VERI_TABANI!$B$14)) + (VERI_TABANI!D28*C189*(VERI_TABANI!$B$13-VERI_TABANI!$B$15)) + IF(ISNUMBER(SEARCH("Var", D189)), VERI_TABANI!F28*(0.00202-VERI_TABANI!$B$16), IF(ISNUMBER(SEARCH("Gri", D189)), VERI_TABANI!F28*(0.00202-VERI_TABANI!$B$17), 0))))</f>
        <v/>
      </c>
      <c r="I189" s="170">
        <f>IFERROR(((VERI_TABANI!$D$29*B189*VERI_TABANI!$B$14 + VERI_TABANI!$D$29*C189*VERI_TABANI!$B$15 + IF(ISNUMBER(SEARCH("Var", D189)), VERI_TABANI!$F$29*VERI_TABANI!$B$16, 0))) / (((VERI_TABANI!$D$29*B189 + VERI_TABANI!$D$29*C189)*VERI_TABANI!$B$13 + IF(ISNUMBER(SEARCH("Var", D189)), VERI_TABANI!$E$29*(1-0.928)*VERI_TABANI!$B$18, 0))), 0)</f>
        <v/>
      </c>
      <c r="J189" s="171">
        <f>IFERROR(F189/(G189/29), 0)</f>
        <v/>
      </c>
      <c r="K189" s="172">
        <f>IF(F189&gt;0, H189/F189, 0)</f>
        <v/>
      </c>
      <c r="L189" s="170">
        <f>IF(F189&gt;0, I189, 1000000000)</f>
        <v/>
      </c>
      <c r="M189" s="171">
        <f>ABS((B189+C189)-1)</f>
        <v/>
      </c>
      <c r="N189" s="170">
        <f>IF(F189&gt;0, (G189/29)/F189, 0)</f>
        <v/>
      </c>
      <c r="O189" s="168">
        <f>IF(AND((B189+C189)&gt;=1, ISNUMBER(SEARCH("Var", D189))), F189, 1000000000)</f>
        <v/>
      </c>
      <c r="P189" s="172">
        <f>IF(F189&gt;0, SQRT((F189/MAX(F$5:F$886))^2 + (1 - H189/MAX(H$5:H$886))^2 + (J189/MAX(J$5:J$886))^2), 1000000000)</f>
        <v/>
      </c>
      <c r="Q189" s="166">
        <f>IF(AND(ABS(B189-0.5)&lt;0.01, ABS(C189-0.5)&lt;0.01, ISNUMBER(SEARCH("Var", D189))), 1, 0)</f>
        <v/>
      </c>
      <c r="R189" s="171">
        <f>IF(F189&gt;0, J189, 1000000000)</f>
        <v/>
      </c>
      <c r="S189" s="101">
        <f>IF(AND(F189&lt;=DASHBOARD!$B$11, H189&gt;=DASHBOARD!$B$13), G189, -1000000000000)</f>
        <v/>
      </c>
      <c r="T189" s="101">
        <f>IF(AND(F189&lt;=DASHBOARD!$B$11, H189&gt;=DASHBOARD!$B$13), R189, 1000000000000)</f>
        <v/>
      </c>
      <c r="U189" s="101">
        <f>IF(AND(F189&lt;=DASHBOARD!$B$11, H189&gt;=DASHBOARD!$B$13), N189, -1000000000000)</f>
        <v/>
      </c>
      <c r="V189" s="101">
        <f>IF(AND(F189&lt;=DASHBOARD!$B$11, H189&gt;=DASHBOARD!$B$13), H189, -1000000000000)</f>
        <v/>
      </c>
      <c r="W189" s="101">
        <f>IF(AND(F189&lt;=DASHBOARD!$B$11, H189&gt;=DASHBOARD!$B$13), K189, -1000000000000)</f>
        <v/>
      </c>
      <c r="X189" s="101">
        <f>IF(AND(F189&lt;=DASHBOARD!$B$11, H189&gt;=DASHBOARD!$B$13), M189, 1000000000000)</f>
        <v/>
      </c>
      <c r="Y189" s="101">
        <f>IF(AND(F189&lt;=DASHBOARD!$B$10, H189&gt;=DASHBOARD!$B$11), L189, 1000000000000)</f>
        <v/>
      </c>
      <c r="Z189" s="101">
        <f>IF(AND(F189&lt;=DASHBOARD!$B$10, H189&gt;=DASHBOARD!$B$11), O189, 1000000000000)</f>
        <v/>
      </c>
      <c r="AA189" s="101">
        <f>IF(AND(F189&lt;=DASHBOARD!$B$10, H189&gt;=DASHBOARD!$B$11), P189, 1000000000000)</f>
        <v/>
      </c>
      <c r="AB189" s="101">
        <f>IF(AND(F189&lt;=DASHBOARD!$B$10, H189&gt;=DASHBOARD!$B$11), Q189, -1000000000000)</f>
        <v/>
      </c>
    </row>
    <row r="190" ht="12.75" customHeight="1" s="102">
      <c r="A190" s="166" t="n">
        <v>186</v>
      </c>
      <c r="B190" s="167" t="n">
        <v>0.4</v>
      </c>
      <c r="C190" s="167" t="n">
        <v>0.8</v>
      </c>
      <c r="D190" s="110" t="inlineStr">
        <is>
          <t>Var (%20)</t>
        </is>
      </c>
      <c r="E190" s="110">
        <f>IF((B190+C190)&lt;=1, "Tam Mahsuplaşma (≤%100)", "Kısmi Satış (&gt;%100)")</f>
        <v/>
      </c>
      <c r="F190" s="168">
        <f>((VERI_TABANI!$D$29*B190/VERI_TABANI!$B$29)/VERI_TABANI!$B$3)*VERI_TABANI!$B$5 + ((VERI_TABANI!$D$29*C190/VERI_TABANI!$B$29)/VERI_TABANI!$B$4)*VERI_TABANI!$B$6 + IF(ISNUMBER(SEARCH("Var", D190)), (VERI_TABANI!$F$29/VERI_TABANI!$B$29)*(VERI_TABANI!$B$10+VERI_TABANI!$B$12), 0)</f>
        <v/>
      </c>
      <c r="G190" s="168">
        <f>(((MIN(VERI_TABANI!D23, VERI_TABANI!D23*B190)*VERI_TABANI!$B$7 + MAX(0, VERI_TABANI!D23*B190-VERI_TABANI!D23)*VERI_TABANI!$B$8) + (MIN(MAX(0, VERI_TABANI!D23-VERI_TABANI!D23*B190), VERI_TABANI!D23*C190)*VERI_TABANI!$B$7 + MAX(0, VERI_TABANI!D23*C190-MAX(0, VERI_TABANI!D23-VERI_TABANI!D23*B190))*VERI_TABANI!$B$8) + IF(ABS(IF(ISNUMBER(SEARCH("Var", D190)), 1, IF(ISNUMBER(SEARCH("Gri", D190)), -1, 0)))=1, VERI_TABANI!E23*(1-0.928)*VERI_TABANI!$B$9, 0) + (VERI_TABANI!D23*B190*(VERI_TABANI!$B$13-VERI_TABANI!$B$14)*VERI_TABANI!G23) + (VERI_TABANI!D23*C190*(VERI_TABANI!$B$13-VERI_TABANI!$B$15)*VERI_TABANI!G23) + IF(ABS(IF(ISNUMBER(SEARCH("Var", D190)), 1, IF(ISNUMBER(SEARCH("Gri", D190)), -1, 0)))=1, VERI_TABANI!E23*(1-0.928)*0.00206091519919798*VERI_TABANI!G23, 0)) + ((MIN(VERI_TABANI!D24, VERI_TABANI!D24*B190)*VERI_TABANI!$B$7 + MAX(0, VERI_TABANI!D24*B190-VERI_TABANI!D24)*VERI_TABANI!$B$8) + (MIN(MAX(0, VERI_TABANI!D24-VERI_TABANI!D24*B190), VERI_TABANI!D24*C190)*VERI_TABANI!$B$7 + MAX(0, VERI_TABANI!D24*C190-MAX(0, VERI_TABANI!D24-VERI_TABANI!D24*B190))*VERI_TABANI!$B$8) + IF(ABS(IF(ISNUMBER(SEARCH("Var", D190)), 1, IF(ISNUMBER(SEARCH("Gri", D190)), -1, 0)))=1, VERI_TABANI!E24*(1-0.928)*VERI_TABANI!$B$9, 0) + (VERI_TABANI!D24*B190*(VERI_TABANI!$B$13-VERI_TABANI!$B$14)*VERI_TABANI!G24) + (VERI_TABANI!D24*C190*(VERI_TABANI!$B$13-VERI_TABANI!$B$15)*VERI_TABANI!G24) + IF(ABS(IF(ISNUMBER(SEARCH("Var", D190)), 1, IF(ISNUMBER(SEARCH("Gri", D190)), -1, 0)))=1, VERI_TABANI!E24*(1-0.928)*0.00206091519919798*VERI_TABANI!G24, 0)) + ((MIN(VERI_TABANI!D25, VERI_TABANI!D25*B190)*VERI_TABANI!$B$7 + MAX(0, VERI_TABANI!D25*B190-VERI_TABANI!D25)*VERI_TABANI!$B$8) + (MIN(MAX(0, VERI_TABANI!D25-VERI_TABANI!D25*B190), VERI_TABANI!D25*C190)*VERI_TABANI!$B$7 + MAX(0, VERI_TABANI!D25*C190-MAX(0, VERI_TABANI!D25-VERI_TABANI!D25*B190))*VERI_TABANI!$B$8) + IF(ABS(IF(ISNUMBER(SEARCH("Var", D190)), 1, IF(ISNUMBER(SEARCH("Gri", D190)), -1, 0)))=1, VERI_TABANI!E25*(1-0.928)*VERI_TABANI!$B$9, 0) + (VERI_TABANI!D25*B190*(VERI_TABANI!$B$13-VERI_TABANI!$B$14)*VERI_TABANI!G25) + (VERI_TABANI!D25*C190*(VERI_TABANI!$B$13-VERI_TABANI!$B$15)*VERI_TABANI!G25) + IF(ABS(IF(ISNUMBER(SEARCH("Var", D190)), 1, IF(ISNUMBER(SEARCH("Gri", D190)), -1, 0)))=1, VERI_TABANI!E25*(1-0.928)*0.00206091519919798*VERI_TABANI!G25, 0)) + ((MIN(VERI_TABANI!D26, VERI_TABANI!D26*B190)*VERI_TABANI!$B$7 + MAX(0, VERI_TABANI!D26*B190-VERI_TABANI!D26)*VERI_TABANI!$B$8) + (MIN(MAX(0, VERI_TABANI!D26-VERI_TABANI!D26*B190), VERI_TABANI!D26*C190)*VERI_TABANI!$B$7 + MAX(0, VERI_TABANI!D26*C190-MAX(0, VERI_TABANI!D26-VERI_TABANI!D26*B190))*VERI_TABANI!$B$8) + IF(ABS(IF(ISNUMBER(SEARCH("Var", D190)), 1, IF(ISNUMBER(SEARCH("Gri", D190)), -1, 0)))=1, VERI_TABANI!E26*(1-0.928)*VERI_TABANI!$B$9, 0) + (VERI_TABANI!D26*B190*(VERI_TABANI!$B$13-VERI_TABANI!$B$14)*VERI_TABANI!G26) + (VERI_TABANI!D26*C190*(VERI_TABANI!$B$13-VERI_TABANI!$B$15)*VERI_TABANI!G26) + IF(ABS(IF(ISNUMBER(SEARCH("Var", D190)), 1, IF(ISNUMBER(SEARCH("Gri", D190)), -1, 0)))=1, VERI_TABANI!E26*(1-0.928)*0.00206091519919798*VERI_TABANI!G26, 0)) + ((MIN(VERI_TABANI!D27, VERI_TABANI!D27*B190)*VERI_TABANI!$B$7 + MAX(0, VERI_TABANI!D27*B190-VERI_TABANI!D27)*VERI_TABANI!$B$8) + (MIN(MAX(0, VERI_TABANI!D27-VERI_TABANI!D27*B190), VERI_TABANI!D27*C190)*VERI_TABANI!$B$7 + MAX(0, VERI_TABANI!D27*C190-MAX(0, VERI_TABANI!D27-VERI_TABANI!D27*B190))*VERI_TABANI!$B$8) + IF(ABS(IF(ISNUMBER(SEARCH("Var", D190)), 1, IF(ISNUMBER(SEARCH("Gri", D190)), -1, 0)))=1, VERI_TABANI!E27*(1-0.928)*VERI_TABANI!$B$9, 0) + (VERI_TABANI!D27*B190*(VERI_TABANI!$B$13-VERI_TABANI!$B$14)*VERI_TABANI!G27) + (VERI_TABANI!D27*C190*(VERI_TABANI!$B$13-VERI_TABANI!$B$15)*VERI_TABANI!G27) + IF(ABS(IF(ISNUMBER(SEARCH("Var", D190)), 1, IF(ISNUMBER(SEARCH("Gri", D190)), -1, 0)))=1, VERI_TABANI!E27*(1-0.928)*0.00206091519919798*VERI_TABANI!G27, 0)) + ((MIN(VERI_TABANI!D28, VERI_TABANI!D28*B190)*VERI_TABANI!$B$7 + MAX(0, VERI_TABANI!D28*B190-VERI_TABANI!D28)*VERI_TABANI!$B$8) + (MIN(MAX(0, VERI_TABANI!D28-VERI_TABANI!D28*B190), VERI_TABANI!D28*C190)*VERI_TABANI!$B$7 + MAX(0, VERI_TABANI!D28*C190-MAX(0, VERI_TABANI!D28-VERI_TABANI!D28*B190))*VERI_TABANI!$B$8) + IF(ABS(IF(ISNUMBER(SEARCH("Var", D190)), 1, IF(ISNUMBER(SEARCH("Gri", D190)), -1, 0)))=1, VERI_TABANI!E28*(1-0.928)*VERI_TABANI!$B$9, 0) + (VERI_TABANI!D28*B190*(VERI_TABANI!$B$13-VERI_TABANI!$B$14)*VERI_TABANI!G28) + (VERI_TABANI!D28*C190*(VERI_TABANI!$B$13-VERI_TABANI!$B$15)*VERI_TABANI!G28) + IF(ABS(IF(ISNUMBER(SEARCH("Var", D190)), 1, IF(ISNUMBER(SEARCH("Gri", D190)), -1, 0)))=1, VERI_TABANI!E28*(1-0.928)*0.00206091519919798*VERI_TABANI!G28, 0)))</f>
        <v/>
      </c>
      <c r="H190" s="169">
        <f>(((VERI_TABANI!D23*B190*(VERI_TABANI!$B$13-VERI_TABANI!$B$14)) + (VERI_TABANI!D23*C190*(VERI_TABANI!$B$13-VERI_TABANI!$B$15)) + IF(ISNUMBER(SEARCH("Var", D190)), VERI_TABANI!F23*(0.00202-VERI_TABANI!$B$16), IF(ISNUMBER(SEARCH("Gri", D190)), VERI_TABANI!F23*(0.00202-VERI_TABANI!$B$17), 0))) + ((VERI_TABANI!D24*B190*(VERI_TABANI!$B$13-VERI_TABANI!$B$14)) + (VERI_TABANI!D24*C190*(VERI_TABANI!$B$13-VERI_TABANI!$B$15)) + IF(ISNUMBER(SEARCH("Var", D190)), VERI_TABANI!F24*(0.00202-VERI_TABANI!$B$16), IF(ISNUMBER(SEARCH("Gri", D190)), VERI_TABANI!F24*(0.00202-VERI_TABANI!$B$17), 0))) + ((VERI_TABANI!D25*B190*(VERI_TABANI!$B$13-VERI_TABANI!$B$14)) + (VERI_TABANI!D25*C190*(VERI_TABANI!$B$13-VERI_TABANI!$B$15)) + IF(ISNUMBER(SEARCH("Var", D190)), VERI_TABANI!F25*(0.00202-VERI_TABANI!$B$16), IF(ISNUMBER(SEARCH("Gri", D190)), VERI_TABANI!F25*(0.00202-VERI_TABANI!$B$17), 0))) + ((VERI_TABANI!D26*B190*(VERI_TABANI!$B$13-VERI_TABANI!$B$14)) + (VERI_TABANI!D26*C190*(VERI_TABANI!$B$13-VERI_TABANI!$B$15)) + IF(ISNUMBER(SEARCH("Var", D190)), VERI_TABANI!F26*(0.00202-VERI_TABANI!$B$16), IF(ISNUMBER(SEARCH("Gri", D190)), VERI_TABANI!F26*(0.00202-VERI_TABANI!$B$17), 0))) + ((VERI_TABANI!D27*B190*(VERI_TABANI!$B$13-VERI_TABANI!$B$14)) + (VERI_TABANI!D27*C190*(VERI_TABANI!$B$13-VERI_TABANI!$B$15)) + IF(ISNUMBER(SEARCH("Var", D190)), VERI_TABANI!F27*(0.00202-VERI_TABANI!$B$16), IF(ISNUMBER(SEARCH("Gri", D190)), VERI_TABANI!F27*(0.00202-VERI_TABANI!$B$17), 0))) + ((VERI_TABANI!D28*B190*(VERI_TABANI!$B$13-VERI_TABANI!$B$14)) + (VERI_TABANI!D28*C190*(VERI_TABANI!$B$13-VERI_TABANI!$B$15)) + IF(ISNUMBER(SEARCH("Var", D190)), VERI_TABANI!F28*(0.00202-VERI_TABANI!$B$16), IF(ISNUMBER(SEARCH("Gri", D190)), VERI_TABANI!F28*(0.00202-VERI_TABANI!$B$17), 0))))</f>
        <v/>
      </c>
      <c r="I190" s="170">
        <f>IFERROR(((VERI_TABANI!$D$29*B190*VERI_TABANI!$B$14 + VERI_TABANI!$D$29*C190*VERI_TABANI!$B$15 + IF(ISNUMBER(SEARCH("Var", D190)), VERI_TABANI!$F$29*VERI_TABANI!$B$16, 0))) / (((VERI_TABANI!$D$29*B190 + VERI_TABANI!$D$29*C190)*VERI_TABANI!$B$13 + IF(ISNUMBER(SEARCH("Var", D190)), VERI_TABANI!$E$29*(1-0.928)*VERI_TABANI!$B$18, 0))), 0)</f>
        <v/>
      </c>
      <c r="J190" s="171">
        <f>IFERROR(F190/(G190/29), 0)</f>
        <v/>
      </c>
      <c r="K190" s="172">
        <f>IF(F190&gt;0, H190/F190, 0)</f>
        <v/>
      </c>
      <c r="L190" s="170">
        <f>IF(F190&gt;0, I190, 1000000000)</f>
        <v/>
      </c>
      <c r="M190" s="171">
        <f>ABS((B190+C190)-1)</f>
        <v/>
      </c>
      <c r="N190" s="170">
        <f>IF(F190&gt;0, (G190/29)/F190, 0)</f>
        <v/>
      </c>
      <c r="O190" s="168">
        <f>IF(AND((B190+C190)&gt;=1, ISNUMBER(SEARCH("Var", D190))), F190, 1000000000)</f>
        <v/>
      </c>
      <c r="P190" s="172">
        <f>IF(F190&gt;0, SQRT((F190/MAX(F$5:F$886))^2 + (1 - H190/MAX(H$5:H$886))^2 + (J190/MAX(J$5:J$886))^2), 1000000000)</f>
        <v/>
      </c>
      <c r="Q190" s="166">
        <f>IF(AND(ABS(B190-0.5)&lt;0.01, ABS(C190-0.5)&lt;0.01, ISNUMBER(SEARCH("Var", D190))), 1, 0)</f>
        <v/>
      </c>
      <c r="R190" s="171">
        <f>IF(F190&gt;0, J190, 1000000000)</f>
        <v/>
      </c>
      <c r="S190" s="101">
        <f>IF(AND(F190&lt;=DASHBOARD!$B$11, H190&gt;=DASHBOARD!$B$13), G190, -1000000000000)</f>
        <v/>
      </c>
      <c r="T190" s="101">
        <f>IF(AND(F190&lt;=DASHBOARD!$B$11, H190&gt;=DASHBOARD!$B$13), R190, 1000000000000)</f>
        <v/>
      </c>
      <c r="U190" s="101">
        <f>IF(AND(F190&lt;=DASHBOARD!$B$11, H190&gt;=DASHBOARD!$B$13), N190, -1000000000000)</f>
        <v/>
      </c>
      <c r="V190" s="101">
        <f>IF(AND(F190&lt;=DASHBOARD!$B$11, H190&gt;=DASHBOARD!$B$13), H190, -1000000000000)</f>
        <v/>
      </c>
      <c r="W190" s="101">
        <f>IF(AND(F190&lt;=DASHBOARD!$B$11, H190&gt;=DASHBOARD!$B$13), K190, -1000000000000)</f>
        <v/>
      </c>
      <c r="X190" s="101">
        <f>IF(AND(F190&lt;=DASHBOARD!$B$11, H190&gt;=DASHBOARD!$B$13), M190, 1000000000000)</f>
        <v/>
      </c>
      <c r="Y190" s="101">
        <f>IF(AND(F190&lt;=DASHBOARD!$B$10, H190&gt;=DASHBOARD!$B$11), L190, 1000000000000)</f>
        <v/>
      </c>
      <c r="Z190" s="101">
        <f>IF(AND(F190&lt;=DASHBOARD!$B$10, H190&gt;=DASHBOARD!$B$11), O190, 1000000000000)</f>
        <v/>
      </c>
      <c r="AA190" s="101">
        <f>IF(AND(F190&lt;=DASHBOARD!$B$10, H190&gt;=DASHBOARD!$B$11), P190, 1000000000000)</f>
        <v/>
      </c>
      <c r="AB190" s="101">
        <f>IF(AND(F190&lt;=DASHBOARD!$B$10, H190&gt;=DASHBOARD!$B$11), Q190, -1000000000000)</f>
        <v/>
      </c>
    </row>
    <row r="191" ht="12.75" customHeight="1" s="102">
      <c r="A191" s="166" t="n">
        <v>187</v>
      </c>
      <c r="B191" s="167" t="n">
        <v>0.4</v>
      </c>
      <c r="C191" s="167" t="n">
        <v>0.9</v>
      </c>
      <c r="D191" s="110" t="inlineStr">
        <is>
          <t>Yok (%0)</t>
        </is>
      </c>
      <c r="E191" s="110">
        <f>IF((B191+C191)&lt;=1, "Tam Mahsuplaşma (≤%100)", "Kısmi Satış (&gt;%100)")</f>
        <v/>
      </c>
      <c r="F191" s="168">
        <f>((VERI_TABANI!$D$29*B191/VERI_TABANI!$B$29)/VERI_TABANI!$B$3)*VERI_TABANI!$B$5 + ((VERI_TABANI!$D$29*C191/VERI_TABANI!$B$29)/VERI_TABANI!$B$4)*VERI_TABANI!$B$6 + IF(ISNUMBER(SEARCH("Var", D191)), (VERI_TABANI!$F$29/VERI_TABANI!$B$29)*(VERI_TABANI!$B$10+VERI_TABANI!$B$12), 0)</f>
        <v/>
      </c>
      <c r="G191" s="168">
        <f>(((MIN(VERI_TABANI!D23, VERI_TABANI!D23*B191)*VERI_TABANI!$B$7 + MAX(0, VERI_TABANI!D23*B191-VERI_TABANI!D23)*VERI_TABANI!$B$8) + (MIN(MAX(0, VERI_TABANI!D23-VERI_TABANI!D23*B191), VERI_TABANI!D23*C191)*VERI_TABANI!$B$7 + MAX(0, VERI_TABANI!D23*C191-MAX(0, VERI_TABANI!D23-VERI_TABANI!D23*B191))*VERI_TABANI!$B$8) + IF(ABS(IF(ISNUMBER(SEARCH("Var", D191)), 1, IF(ISNUMBER(SEARCH("Gri", D191)), -1, 0)))=1, VERI_TABANI!E23*(1-0.928)*VERI_TABANI!$B$9, 0) + (VERI_TABANI!D23*B191*(VERI_TABANI!$B$13-VERI_TABANI!$B$14)*VERI_TABANI!G23) + (VERI_TABANI!D23*C191*(VERI_TABANI!$B$13-VERI_TABANI!$B$15)*VERI_TABANI!G23) + IF(ABS(IF(ISNUMBER(SEARCH("Var", D191)), 1, IF(ISNUMBER(SEARCH("Gri", D191)), -1, 0)))=1, VERI_TABANI!E23*(1-0.928)*0.00206091519919798*VERI_TABANI!G23, 0)) + ((MIN(VERI_TABANI!D24, VERI_TABANI!D24*B191)*VERI_TABANI!$B$7 + MAX(0, VERI_TABANI!D24*B191-VERI_TABANI!D24)*VERI_TABANI!$B$8) + (MIN(MAX(0, VERI_TABANI!D24-VERI_TABANI!D24*B191), VERI_TABANI!D24*C191)*VERI_TABANI!$B$7 + MAX(0, VERI_TABANI!D24*C191-MAX(0, VERI_TABANI!D24-VERI_TABANI!D24*B191))*VERI_TABANI!$B$8) + IF(ABS(IF(ISNUMBER(SEARCH("Var", D191)), 1, IF(ISNUMBER(SEARCH("Gri", D191)), -1, 0)))=1, VERI_TABANI!E24*(1-0.928)*VERI_TABANI!$B$9, 0) + (VERI_TABANI!D24*B191*(VERI_TABANI!$B$13-VERI_TABANI!$B$14)*VERI_TABANI!G24) + (VERI_TABANI!D24*C191*(VERI_TABANI!$B$13-VERI_TABANI!$B$15)*VERI_TABANI!G24) + IF(ABS(IF(ISNUMBER(SEARCH("Var", D191)), 1, IF(ISNUMBER(SEARCH("Gri", D191)), -1, 0)))=1, VERI_TABANI!E24*(1-0.928)*0.00206091519919798*VERI_TABANI!G24, 0)) + ((MIN(VERI_TABANI!D25, VERI_TABANI!D25*B191)*VERI_TABANI!$B$7 + MAX(0, VERI_TABANI!D25*B191-VERI_TABANI!D25)*VERI_TABANI!$B$8) + (MIN(MAX(0, VERI_TABANI!D25-VERI_TABANI!D25*B191), VERI_TABANI!D25*C191)*VERI_TABANI!$B$7 + MAX(0, VERI_TABANI!D25*C191-MAX(0, VERI_TABANI!D25-VERI_TABANI!D25*B191))*VERI_TABANI!$B$8) + IF(ABS(IF(ISNUMBER(SEARCH("Var", D191)), 1, IF(ISNUMBER(SEARCH("Gri", D191)), -1, 0)))=1, VERI_TABANI!E25*(1-0.928)*VERI_TABANI!$B$9, 0) + (VERI_TABANI!D25*B191*(VERI_TABANI!$B$13-VERI_TABANI!$B$14)*VERI_TABANI!G25) + (VERI_TABANI!D25*C191*(VERI_TABANI!$B$13-VERI_TABANI!$B$15)*VERI_TABANI!G25) + IF(ABS(IF(ISNUMBER(SEARCH("Var", D191)), 1, IF(ISNUMBER(SEARCH("Gri", D191)), -1, 0)))=1, VERI_TABANI!E25*(1-0.928)*0.00206091519919798*VERI_TABANI!G25, 0)) + ((MIN(VERI_TABANI!D26, VERI_TABANI!D26*B191)*VERI_TABANI!$B$7 + MAX(0, VERI_TABANI!D26*B191-VERI_TABANI!D26)*VERI_TABANI!$B$8) + (MIN(MAX(0, VERI_TABANI!D26-VERI_TABANI!D26*B191), VERI_TABANI!D26*C191)*VERI_TABANI!$B$7 + MAX(0, VERI_TABANI!D26*C191-MAX(0, VERI_TABANI!D26-VERI_TABANI!D26*B191))*VERI_TABANI!$B$8) + IF(ABS(IF(ISNUMBER(SEARCH("Var", D191)), 1, IF(ISNUMBER(SEARCH("Gri", D191)), -1, 0)))=1, VERI_TABANI!E26*(1-0.928)*VERI_TABANI!$B$9, 0) + (VERI_TABANI!D26*B191*(VERI_TABANI!$B$13-VERI_TABANI!$B$14)*VERI_TABANI!G26) + (VERI_TABANI!D26*C191*(VERI_TABANI!$B$13-VERI_TABANI!$B$15)*VERI_TABANI!G26) + IF(ABS(IF(ISNUMBER(SEARCH("Var", D191)), 1, IF(ISNUMBER(SEARCH("Gri", D191)), -1, 0)))=1, VERI_TABANI!E26*(1-0.928)*0.00206091519919798*VERI_TABANI!G26, 0)) + ((MIN(VERI_TABANI!D27, VERI_TABANI!D27*B191)*VERI_TABANI!$B$7 + MAX(0, VERI_TABANI!D27*B191-VERI_TABANI!D27)*VERI_TABANI!$B$8) + (MIN(MAX(0, VERI_TABANI!D27-VERI_TABANI!D27*B191), VERI_TABANI!D27*C191)*VERI_TABANI!$B$7 + MAX(0, VERI_TABANI!D27*C191-MAX(0, VERI_TABANI!D27-VERI_TABANI!D27*B191))*VERI_TABANI!$B$8) + IF(ABS(IF(ISNUMBER(SEARCH("Var", D191)), 1, IF(ISNUMBER(SEARCH("Gri", D191)), -1, 0)))=1, VERI_TABANI!E27*(1-0.928)*VERI_TABANI!$B$9, 0) + (VERI_TABANI!D27*B191*(VERI_TABANI!$B$13-VERI_TABANI!$B$14)*VERI_TABANI!G27) + (VERI_TABANI!D27*C191*(VERI_TABANI!$B$13-VERI_TABANI!$B$15)*VERI_TABANI!G27) + IF(ABS(IF(ISNUMBER(SEARCH("Var", D191)), 1, IF(ISNUMBER(SEARCH("Gri", D191)), -1, 0)))=1, VERI_TABANI!E27*(1-0.928)*0.00206091519919798*VERI_TABANI!G27, 0)) + ((MIN(VERI_TABANI!D28, VERI_TABANI!D28*B191)*VERI_TABANI!$B$7 + MAX(0, VERI_TABANI!D28*B191-VERI_TABANI!D28)*VERI_TABANI!$B$8) + (MIN(MAX(0, VERI_TABANI!D28-VERI_TABANI!D28*B191), VERI_TABANI!D28*C191)*VERI_TABANI!$B$7 + MAX(0, VERI_TABANI!D28*C191-MAX(0, VERI_TABANI!D28-VERI_TABANI!D28*B191))*VERI_TABANI!$B$8) + IF(ABS(IF(ISNUMBER(SEARCH("Var", D191)), 1, IF(ISNUMBER(SEARCH("Gri", D191)), -1, 0)))=1, VERI_TABANI!E28*(1-0.928)*VERI_TABANI!$B$9, 0) + (VERI_TABANI!D28*B191*(VERI_TABANI!$B$13-VERI_TABANI!$B$14)*VERI_TABANI!G28) + (VERI_TABANI!D28*C191*(VERI_TABANI!$B$13-VERI_TABANI!$B$15)*VERI_TABANI!G28) + IF(ABS(IF(ISNUMBER(SEARCH("Var", D191)), 1, IF(ISNUMBER(SEARCH("Gri", D191)), -1, 0)))=1, VERI_TABANI!E28*(1-0.928)*0.00206091519919798*VERI_TABANI!G28, 0)))</f>
        <v/>
      </c>
      <c r="H191" s="169">
        <f>(((VERI_TABANI!D23*B191*(VERI_TABANI!$B$13-VERI_TABANI!$B$14)) + (VERI_TABANI!D23*C191*(VERI_TABANI!$B$13-VERI_TABANI!$B$15)) + IF(ISNUMBER(SEARCH("Var", D191)), VERI_TABANI!F23*(0.00202-VERI_TABANI!$B$16), IF(ISNUMBER(SEARCH("Gri", D191)), VERI_TABANI!F23*(0.00202-VERI_TABANI!$B$17), 0))) + ((VERI_TABANI!D24*B191*(VERI_TABANI!$B$13-VERI_TABANI!$B$14)) + (VERI_TABANI!D24*C191*(VERI_TABANI!$B$13-VERI_TABANI!$B$15)) + IF(ISNUMBER(SEARCH("Var", D191)), VERI_TABANI!F24*(0.00202-VERI_TABANI!$B$16), IF(ISNUMBER(SEARCH("Gri", D191)), VERI_TABANI!F24*(0.00202-VERI_TABANI!$B$17), 0))) + ((VERI_TABANI!D25*B191*(VERI_TABANI!$B$13-VERI_TABANI!$B$14)) + (VERI_TABANI!D25*C191*(VERI_TABANI!$B$13-VERI_TABANI!$B$15)) + IF(ISNUMBER(SEARCH("Var", D191)), VERI_TABANI!F25*(0.00202-VERI_TABANI!$B$16), IF(ISNUMBER(SEARCH("Gri", D191)), VERI_TABANI!F25*(0.00202-VERI_TABANI!$B$17), 0))) + ((VERI_TABANI!D26*B191*(VERI_TABANI!$B$13-VERI_TABANI!$B$14)) + (VERI_TABANI!D26*C191*(VERI_TABANI!$B$13-VERI_TABANI!$B$15)) + IF(ISNUMBER(SEARCH("Var", D191)), VERI_TABANI!F26*(0.00202-VERI_TABANI!$B$16), IF(ISNUMBER(SEARCH("Gri", D191)), VERI_TABANI!F26*(0.00202-VERI_TABANI!$B$17), 0))) + ((VERI_TABANI!D27*B191*(VERI_TABANI!$B$13-VERI_TABANI!$B$14)) + (VERI_TABANI!D27*C191*(VERI_TABANI!$B$13-VERI_TABANI!$B$15)) + IF(ISNUMBER(SEARCH("Var", D191)), VERI_TABANI!F27*(0.00202-VERI_TABANI!$B$16), IF(ISNUMBER(SEARCH("Gri", D191)), VERI_TABANI!F27*(0.00202-VERI_TABANI!$B$17), 0))) + ((VERI_TABANI!D28*B191*(VERI_TABANI!$B$13-VERI_TABANI!$B$14)) + (VERI_TABANI!D28*C191*(VERI_TABANI!$B$13-VERI_TABANI!$B$15)) + IF(ISNUMBER(SEARCH("Var", D191)), VERI_TABANI!F28*(0.00202-VERI_TABANI!$B$16), IF(ISNUMBER(SEARCH("Gri", D191)), VERI_TABANI!F28*(0.00202-VERI_TABANI!$B$17), 0))))</f>
        <v/>
      </c>
      <c r="I191" s="170">
        <f>IFERROR(((VERI_TABANI!$D$29*B191*VERI_TABANI!$B$14 + VERI_TABANI!$D$29*C191*VERI_TABANI!$B$15 + IF(ISNUMBER(SEARCH("Var", D191)), VERI_TABANI!$F$29*VERI_TABANI!$B$16, 0))) / (((VERI_TABANI!$D$29*B191 + VERI_TABANI!$D$29*C191)*VERI_TABANI!$B$13 + IF(ISNUMBER(SEARCH("Var", D191)), VERI_TABANI!$E$29*(1-0.928)*VERI_TABANI!$B$18, 0))), 0)</f>
        <v/>
      </c>
      <c r="J191" s="171">
        <f>IFERROR(F191/(G191/29), 0)</f>
        <v/>
      </c>
      <c r="K191" s="172">
        <f>IF(F191&gt;0, H191/F191, 0)</f>
        <v/>
      </c>
      <c r="L191" s="170">
        <f>IF(F191&gt;0, I191, 1000000000)</f>
        <v/>
      </c>
      <c r="M191" s="171">
        <f>ABS((B191+C191)-1)</f>
        <v/>
      </c>
      <c r="N191" s="170">
        <f>IF(F191&gt;0, (G191/29)/F191, 0)</f>
        <v/>
      </c>
      <c r="O191" s="168">
        <f>IF(AND((B191+C191)&gt;=1, ISNUMBER(SEARCH("Var", D191))), F191, 1000000000)</f>
        <v/>
      </c>
      <c r="P191" s="172">
        <f>IF(F191&gt;0, SQRT((F191/MAX(F$5:F$886))^2 + (1 - H191/MAX(H$5:H$886))^2 + (J191/MAX(J$5:J$886))^2), 1000000000)</f>
        <v/>
      </c>
      <c r="Q191" s="166">
        <f>IF(AND(ABS(B191-0.5)&lt;0.01, ABS(C191-0.5)&lt;0.01, ISNUMBER(SEARCH("Var", D191))), 1, 0)</f>
        <v/>
      </c>
      <c r="R191" s="171">
        <f>IF(F191&gt;0, J191, 1000000000)</f>
        <v/>
      </c>
      <c r="S191" s="101">
        <f>IF(AND(F191&lt;=DASHBOARD!$B$11, H191&gt;=DASHBOARD!$B$13), G191, -1000000000000)</f>
        <v/>
      </c>
      <c r="T191" s="101">
        <f>IF(AND(F191&lt;=DASHBOARD!$B$11, H191&gt;=DASHBOARD!$B$13), R191, 1000000000000)</f>
        <v/>
      </c>
      <c r="U191" s="101">
        <f>IF(AND(F191&lt;=DASHBOARD!$B$11, H191&gt;=DASHBOARD!$B$13), N191, -1000000000000)</f>
        <v/>
      </c>
      <c r="V191" s="101">
        <f>IF(AND(F191&lt;=DASHBOARD!$B$11, H191&gt;=DASHBOARD!$B$13), H191, -1000000000000)</f>
        <v/>
      </c>
      <c r="W191" s="101">
        <f>IF(AND(F191&lt;=DASHBOARD!$B$11, H191&gt;=DASHBOARD!$B$13), K191, -1000000000000)</f>
        <v/>
      </c>
      <c r="X191" s="101">
        <f>IF(AND(F191&lt;=DASHBOARD!$B$11, H191&gt;=DASHBOARD!$B$13), M191, 1000000000000)</f>
        <v/>
      </c>
      <c r="Y191" s="101">
        <f>IF(AND(F191&lt;=DASHBOARD!$B$10, H191&gt;=DASHBOARD!$B$11), L191, 1000000000000)</f>
        <v/>
      </c>
      <c r="Z191" s="101">
        <f>IF(AND(F191&lt;=DASHBOARD!$B$10, H191&gt;=DASHBOARD!$B$11), O191, 1000000000000)</f>
        <v/>
      </c>
      <c r="AA191" s="101">
        <f>IF(AND(F191&lt;=DASHBOARD!$B$10, H191&gt;=DASHBOARD!$B$11), P191, 1000000000000)</f>
        <v/>
      </c>
      <c r="AB191" s="101">
        <f>IF(AND(F191&lt;=DASHBOARD!$B$10, H191&gt;=DASHBOARD!$B$11), Q191, -1000000000000)</f>
        <v/>
      </c>
    </row>
    <row r="192" ht="12.75" customHeight="1" s="102">
      <c r="A192" s="166" t="n">
        <v>188</v>
      </c>
      <c r="B192" s="167" t="n">
        <v>0.4</v>
      </c>
      <c r="C192" s="167" t="n">
        <v>0.9</v>
      </c>
      <c r="D192" s="110" t="inlineStr">
        <is>
          <t>Var (%20)</t>
        </is>
      </c>
      <c r="E192" s="110">
        <f>IF((B192+C192)&lt;=1, "Tam Mahsuplaşma (≤%100)", "Kısmi Satış (&gt;%100)")</f>
        <v/>
      </c>
      <c r="F192" s="168">
        <f>((VERI_TABANI!$D$29*B192/VERI_TABANI!$B$29)/VERI_TABANI!$B$3)*VERI_TABANI!$B$5 + ((VERI_TABANI!$D$29*C192/VERI_TABANI!$B$29)/VERI_TABANI!$B$4)*VERI_TABANI!$B$6 + IF(ISNUMBER(SEARCH("Var", D192)), (VERI_TABANI!$F$29/VERI_TABANI!$B$29)*(VERI_TABANI!$B$10+VERI_TABANI!$B$12), 0)</f>
        <v/>
      </c>
      <c r="G192" s="168">
        <f>(((MIN(VERI_TABANI!D23, VERI_TABANI!D23*B192)*VERI_TABANI!$B$7 + MAX(0, VERI_TABANI!D23*B192-VERI_TABANI!D23)*VERI_TABANI!$B$8) + (MIN(MAX(0, VERI_TABANI!D23-VERI_TABANI!D23*B192), VERI_TABANI!D23*C192)*VERI_TABANI!$B$7 + MAX(0, VERI_TABANI!D23*C192-MAX(0, VERI_TABANI!D23-VERI_TABANI!D23*B192))*VERI_TABANI!$B$8) + IF(ABS(IF(ISNUMBER(SEARCH("Var", D192)), 1, IF(ISNUMBER(SEARCH("Gri", D192)), -1, 0)))=1, VERI_TABANI!E23*(1-0.928)*VERI_TABANI!$B$9, 0) + (VERI_TABANI!D23*B192*(VERI_TABANI!$B$13-VERI_TABANI!$B$14)*VERI_TABANI!G23) + (VERI_TABANI!D23*C192*(VERI_TABANI!$B$13-VERI_TABANI!$B$15)*VERI_TABANI!G23) + IF(ABS(IF(ISNUMBER(SEARCH("Var", D192)), 1, IF(ISNUMBER(SEARCH("Gri", D192)), -1, 0)))=1, VERI_TABANI!E23*(1-0.928)*0.00206091519919798*VERI_TABANI!G23, 0)) + ((MIN(VERI_TABANI!D24, VERI_TABANI!D24*B192)*VERI_TABANI!$B$7 + MAX(0, VERI_TABANI!D24*B192-VERI_TABANI!D24)*VERI_TABANI!$B$8) + (MIN(MAX(0, VERI_TABANI!D24-VERI_TABANI!D24*B192), VERI_TABANI!D24*C192)*VERI_TABANI!$B$7 + MAX(0, VERI_TABANI!D24*C192-MAX(0, VERI_TABANI!D24-VERI_TABANI!D24*B192))*VERI_TABANI!$B$8) + IF(ABS(IF(ISNUMBER(SEARCH("Var", D192)), 1, IF(ISNUMBER(SEARCH("Gri", D192)), -1, 0)))=1, VERI_TABANI!E24*(1-0.928)*VERI_TABANI!$B$9, 0) + (VERI_TABANI!D24*B192*(VERI_TABANI!$B$13-VERI_TABANI!$B$14)*VERI_TABANI!G24) + (VERI_TABANI!D24*C192*(VERI_TABANI!$B$13-VERI_TABANI!$B$15)*VERI_TABANI!G24) + IF(ABS(IF(ISNUMBER(SEARCH("Var", D192)), 1, IF(ISNUMBER(SEARCH("Gri", D192)), -1, 0)))=1, VERI_TABANI!E24*(1-0.928)*0.00206091519919798*VERI_TABANI!G24, 0)) + ((MIN(VERI_TABANI!D25, VERI_TABANI!D25*B192)*VERI_TABANI!$B$7 + MAX(0, VERI_TABANI!D25*B192-VERI_TABANI!D25)*VERI_TABANI!$B$8) + (MIN(MAX(0, VERI_TABANI!D25-VERI_TABANI!D25*B192), VERI_TABANI!D25*C192)*VERI_TABANI!$B$7 + MAX(0, VERI_TABANI!D25*C192-MAX(0, VERI_TABANI!D25-VERI_TABANI!D25*B192))*VERI_TABANI!$B$8) + IF(ABS(IF(ISNUMBER(SEARCH("Var", D192)), 1, IF(ISNUMBER(SEARCH("Gri", D192)), -1, 0)))=1, VERI_TABANI!E25*(1-0.928)*VERI_TABANI!$B$9, 0) + (VERI_TABANI!D25*B192*(VERI_TABANI!$B$13-VERI_TABANI!$B$14)*VERI_TABANI!G25) + (VERI_TABANI!D25*C192*(VERI_TABANI!$B$13-VERI_TABANI!$B$15)*VERI_TABANI!G25) + IF(ABS(IF(ISNUMBER(SEARCH("Var", D192)), 1, IF(ISNUMBER(SEARCH("Gri", D192)), -1, 0)))=1, VERI_TABANI!E25*(1-0.928)*0.00206091519919798*VERI_TABANI!G25, 0)) + ((MIN(VERI_TABANI!D26, VERI_TABANI!D26*B192)*VERI_TABANI!$B$7 + MAX(0, VERI_TABANI!D26*B192-VERI_TABANI!D26)*VERI_TABANI!$B$8) + (MIN(MAX(0, VERI_TABANI!D26-VERI_TABANI!D26*B192), VERI_TABANI!D26*C192)*VERI_TABANI!$B$7 + MAX(0, VERI_TABANI!D26*C192-MAX(0, VERI_TABANI!D26-VERI_TABANI!D26*B192))*VERI_TABANI!$B$8) + IF(ABS(IF(ISNUMBER(SEARCH("Var", D192)), 1, IF(ISNUMBER(SEARCH("Gri", D192)), -1, 0)))=1, VERI_TABANI!E26*(1-0.928)*VERI_TABANI!$B$9, 0) + (VERI_TABANI!D26*B192*(VERI_TABANI!$B$13-VERI_TABANI!$B$14)*VERI_TABANI!G26) + (VERI_TABANI!D26*C192*(VERI_TABANI!$B$13-VERI_TABANI!$B$15)*VERI_TABANI!G26) + IF(ABS(IF(ISNUMBER(SEARCH("Var", D192)), 1, IF(ISNUMBER(SEARCH("Gri", D192)), -1, 0)))=1, VERI_TABANI!E26*(1-0.928)*0.00206091519919798*VERI_TABANI!G26, 0)) + ((MIN(VERI_TABANI!D27, VERI_TABANI!D27*B192)*VERI_TABANI!$B$7 + MAX(0, VERI_TABANI!D27*B192-VERI_TABANI!D27)*VERI_TABANI!$B$8) + (MIN(MAX(0, VERI_TABANI!D27-VERI_TABANI!D27*B192), VERI_TABANI!D27*C192)*VERI_TABANI!$B$7 + MAX(0, VERI_TABANI!D27*C192-MAX(0, VERI_TABANI!D27-VERI_TABANI!D27*B192))*VERI_TABANI!$B$8) + IF(ABS(IF(ISNUMBER(SEARCH("Var", D192)), 1, IF(ISNUMBER(SEARCH("Gri", D192)), -1, 0)))=1, VERI_TABANI!E27*(1-0.928)*VERI_TABANI!$B$9, 0) + (VERI_TABANI!D27*B192*(VERI_TABANI!$B$13-VERI_TABANI!$B$14)*VERI_TABANI!G27) + (VERI_TABANI!D27*C192*(VERI_TABANI!$B$13-VERI_TABANI!$B$15)*VERI_TABANI!G27) + IF(ABS(IF(ISNUMBER(SEARCH("Var", D192)), 1, IF(ISNUMBER(SEARCH("Gri", D192)), -1, 0)))=1, VERI_TABANI!E27*(1-0.928)*0.00206091519919798*VERI_TABANI!G27, 0)) + ((MIN(VERI_TABANI!D28, VERI_TABANI!D28*B192)*VERI_TABANI!$B$7 + MAX(0, VERI_TABANI!D28*B192-VERI_TABANI!D28)*VERI_TABANI!$B$8) + (MIN(MAX(0, VERI_TABANI!D28-VERI_TABANI!D28*B192), VERI_TABANI!D28*C192)*VERI_TABANI!$B$7 + MAX(0, VERI_TABANI!D28*C192-MAX(0, VERI_TABANI!D28-VERI_TABANI!D28*B192))*VERI_TABANI!$B$8) + IF(ABS(IF(ISNUMBER(SEARCH("Var", D192)), 1, IF(ISNUMBER(SEARCH("Gri", D192)), -1, 0)))=1, VERI_TABANI!E28*(1-0.928)*VERI_TABANI!$B$9, 0) + (VERI_TABANI!D28*B192*(VERI_TABANI!$B$13-VERI_TABANI!$B$14)*VERI_TABANI!G28) + (VERI_TABANI!D28*C192*(VERI_TABANI!$B$13-VERI_TABANI!$B$15)*VERI_TABANI!G28) + IF(ABS(IF(ISNUMBER(SEARCH("Var", D192)), 1, IF(ISNUMBER(SEARCH("Gri", D192)), -1, 0)))=1, VERI_TABANI!E28*(1-0.928)*0.00206091519919798*VERI_TABANI!G28, 0)))</f>
        <v/>
      </c>
      <c r="H192" s="169">
        <f>(((VERI_TABANI!D23*B192*(VERI_TABANI!$B$13-VERI_TABANI!$B$14)) + (VERI_TABANI!D23*C192*(VERI_TABANI!$B$13-VERI_TABANI!$B$15)) + IF(ISNUMBER(SEARCH("Var", D192)), VERI_TABANI!F23*(0.00202-VERI_TABANI!$B$16), IF(ISNUMBER(SEARCH("Gri", D192)), VERI_TABANI!F23*(0.00202-VERI_TABANI!$B$17), 0))) + ((VERI_TABANI!D24*B192*(VERI_TABANI!$B$13-VERI_TABANI!$B$14)) + (VERI_TABANI!D24*C192*(VERI_TABANI!$B$13-VERI_TABANI!$B$15)) + IF(ISNUMBER(SEARCH("Var", D192)), VERI_TABANI!F24*(0.00202-VERI_TABANI!$B$16), IF(ISNUMBER(SEARCH("Gri", D192)), VERI_TABANI!F24*(0.00202-VERI_TABANI!$B$17), 0))) + ((VERI_TABANI!D25*B192*(VERI_TABANI!$B$13-VERI_TABANI!$B$14)) + (VERI_TABANI!D25*C192*(VERI_TABANI!$B$13-VERI_TABANI!$B$15)) + IF(ISNUMBER(SEARCH("Var", D192)), VERI_TABANI!F25*(0.00202-VERI_TABANI!$B$16), IF(ISNUMBER(SEARCH("Gri", D192)), VERI_TABANI!F25*(0.00202-VERI_TABANI!$B$17), 0))) + ((VERI_TABANI!D26*B192*(VERI_TABANI!$B$13-VERI_TABANI!$B$14)) + (VERI_TABANI!D26*C192*(VERI_TABANI!$B$13-VERI_TABANI!$B$15)) + IF(ISNUMBER(SEARCH("Var", D192)), VERI_TABANI!F26*(0.00202-VERI_TABANI!$B$16), IF(ISNUMBER(SEARCH("Gri", D192)), VERI_TABANI!F26*(0.00202-VERI_TABANI!$B$17), 0))) + ((VERI_TABANI!D27*B192*(VERI_TABANI!$B$13-VERI_TABANI!$B$14)) + (VERI_TABANI!D27*C192*(VERI_TABANI!$B$13-VERI_TABANI!$B$15)) + IF(ISNUMBER(SEARCH("Var", D192)), VERI_TABANI!F27*(0.00202-VERI_TABANI!$B$16), IF(ISNUMBER(SEARCH("Gri", D192)), VERI_TABANI!F27*(0.00202-VERI_TABANI!$B$17), 0))) + ((VERI_TABANI!D28*B192*(VERI_TABANI!$B$13-VERI_TABANI!$B$14)) + (VERI_TABANI!D28*C192*(VERI_TABANI!$B$13-VERI_TABANI!$B$15)) + IF(ISNUMBER(SEARCH("Var", D192)), VERI_TABANI!F28*(0.00202-VERI_TABANI!$B$16), IF(ISNUMBER(SEARCH("Gri", D192)), VERI_TABANI!F28*(0.00202-VERI_TABANI!$B$17), 0))))</f>
        <v/>
      </c>
      <c r="I192" s="170">
        <f>IFERROR(((VERI_TABANI!$D$29*B192*VERI_TABANI!$B$14 + VERI_TABANI!$D$29*C192*VERI_TABANI!$B$15 + IF(ISNUMBER(SEARCH("Var", D192)), VERI_TABANI!$F$29*VERI_TABANI!$B$16, 0))) / (((VERI_TABANI!$D$29*B192 + VERI_TABANI!$D$29*C192)*VERI_TABANI!$B$13 + IF(ISNUMBER(SEARCH("Var", D192)), VERI_TABANI!$E$29*(1-0.928)*VERI_TABANI!$B$18, 0))), 0)</f>
        <v/>
      </c>
      <c r="J192" s="171">
        <f>IFERROR(F192/(G192/29), 0)</f>
        <v/>
      </c>
      <c r="K192" s="172">
        <f>IF(F192&gt;0, H192/F192, 0)</f>
        <v/>
      </c>
      <c r="L192" s="170">
        <f>IF(F192&gt;0, I192, 1000000000)</f>
        <v/>
      </c>
      <c r="M192" s="171">
        <f>ABS((B192+C192)-1)</f>
        <v/>
      </c>
      <c r="N192" s="170">
        <f>IF(F192&gt;0, (G192/29)/F192, 0)</f>
        <v/>
      </c>
      <c r="O192" s="168">
        <f>IF(AND((B192+C192)&gt;=1, ISNUMBER(SEARCH("Var", D192))), F192, 1000000000)</f>
        <v/>
      </c>
      <c r="P192" s="172">
        <f>IF(F192&gt;0, SQRT((F192/MAX(F$5:F$886))^2 + (1 - H192/MAX(H$5:H$886))^2 + (J192/MAX(J$5:J$886))^2), 1000000000)</f>
        <v/>
      </c>
      <c r="Q192" s="166">
        <f>IF(AND(ABS(B192-0.5)&lt;0.01, ABS(C192-0.5)&lt;0.01, ISNUMBER(SEARCH("Var", D192))), 1, 0)</f>
        <v/>
      </c>
      <c r="R192" s="171">
        <f>IF(F192&gt;0, J192, 1000000000)</f>
        <v/>
      </c>
      <c r="S192" s="101">
        <f>IF(AND(F192&lt;=DASHBOARD!$B$11, H192&gt;=DASHBOARD!$B$13), G192, -1000000000000)</f>
        <v/>
      </c>
      <c r="T192" s="101">
        <f>IF(AND(F192&lt;=DASHBOARD!$B$11, H192&gt;=DASHBOARD!$B$13), R192, 1000000000000)</f>
        <v/>
      </c>
      <c r="U192" s="101">
        <f>IF(AND(F192&lt;=DASHBOARD!$B$11, H192&gt;=DASHBOARD!$B$13), N192, -1000000000000)</f>
        <v/>
      </c>
      <c r="V192" s="101">
        <f>IF(AND(F192&lt;=DASHBOARD!$B$11, H192&gt;=DASHBOARD!$B$13), H192, -1000000000000)</f>
        <v/>
      </c>
      <c r="W192" s="101">
        <f>IF(AND(F192&lt;=DASHBOARD!$B$11, H192&gt;=DASHBOARD!$B$13), K192, -1000000000000)</f>
        <v/>
      </c>
      <c r="X192" s="101">
        <f>IF(AND(F192&lt;=DASHBOARD!$B$11, H192&gt;=DASHBOARD!$B$13), M192, 1000000000000)</f>
        <v/>
      </c>
      <c r="Y192" s="101">
        <f>IF(AND(F192&lt;=DASHBOARD!$B$10, H192&gt;=DASHBOARD!$B$11), L192, 1000000000000)</f>
        <v/>
      </c>
      <c r="Z192" s="101">
        <f>IF(AND(F192&lt;=DASHBOARD!$B$10, H192&gt;=DASHBOARD!$B$11), O192, 1000000000000)</f>
        <v/>
      </c>
      <c r="AA192" s="101">
        <f>IF(AND(F192&lt;=DASHBOARD!$B$10, H192&gt;=DASHBOARD!$B$11), P192, 1000000000000)</f>
        <v/>
      </c>
      <c r="AB192" s="101">
        <f>IF(AND(F192&lt;=DASHBOARD!$B$10, H192&gt;=DASHBOARD!$B$11), Q192, -1000000000000)</f>
        <v/>
      </c>
    </row>
    <row r="193" ht="12.75" customHeight="1" s="102">
      <c r="A193" s="166" t="n">
        <v>189</v>
      </c>
      <c r="B193" s="167" t="n">
        <v>0.4</v>
      </c>
      <c r="C193" s="167" t="n">
        <v>1</v>
      </c>
      <c r="D193" s="110" t="inlineStr">
        <is>
          <t>Yok (%0)</t>
        </is>
      </c>
      <c r="E193" s="110">
        <f>IF((B193+C193)&lt;=1, "Tam Mahsuplaşma (≤%100)", "Kısmi Satış (&gt;%100)")</f>
        <v/>
      </c>
      <c r="F193" s="168">
        <f>((VERI_TABANI!$D$29*B193/VERI_TABANI!$B$29)/VERI_TABANI!$B$3)*VERI_TABANI!$B$5 + ((VERI_TABANI!$D$29*C193/VERI_TABANI!$B$29)/VERI_TABANI!$B$4)*VERI_TABANI!$B$6 + IF(ISNUMBER(SEARCH("Var", D193)), (VERI_TABANI!$F$29/VERI_TABANI!$B$29)*(VERI_TABANI!$B$10+VERI_TABANI!$B$12), 0)</f>
        <v/>
      </c>
      <c r="G193" s="168">
        <f>(((MIN(VERI_TABANI!D23, VERI_TABANI!D23*B193)*VERI_TABANI!$B$7 + MAX(0, VERI_TABANI!D23*B193-VERI_TABANI!D23)*VERI_TABANI!$B$8) + (MIN(MAX(0, VERI_TABANI!D23-VERI_TABANI!D23*B193), VERI_TABANI!D23*C193)*VERI_TABANI!$B$7 + MAX(0, VERI_TABANI!D23*C193-MAX(0, VERI_TABANI!D23-VERI_TABANI!D23*B193))*VERI_TABANI!$B$8) + IF(ABS(IF(ISNUMBER(SEARCH("Var", D193)), 1, IF(ISNUMBER(SEARCH("Gri", D193)), -1, 0)))=1, VERI_TABANI!E23*(1-0.928)*VERI_TABANI!$B$9, 0) + (VERI_TABANI!D23*B193*(VERI_TABANI!$B$13-VERI_TABANI!$B$14)*VERI_TABANI!G23) + (VERI_TABANI!D23*C193*(VERI_TABANI!$B$13-VERI_TABANI!$B$15)*VERI_TABANI!G23) + IF(ABS(IF(ISNUMBER(SEARCH("Var", D193)), 1, IF(ISNUMBER(SEARCH("Gri", D193)), -1, 0)))=1, VERI_TABANI!E23*(1-0.928)*0.00206091519919798*VERI_TABANI!G23, 0)) + ((MIN(VERI_TABANI!D24, VERI_TABANI!D24*B193)*VERI_TABANI!$B$7 + MAX(0, VERI_TABANI!D24*B193-VERI_TABANI!D24)*VERI_TABANI!$B$8) + (MIN(MAX(0, VERI_TABANI!D24-VERI_TABANI!D24*B193), VERI_TABANI!D24*C193)*VERI_TABANI!$B$7 + MAX(0, VERI_TABANI!D24*C193-MAX(0, VERI_TABANI!D24-VERI_TABANI!D24*B193))*VERI_TABANI!$B$8) + IF(ABS(IF(ISNUMBER(SEARCH("Var", D193)), 1, IF(ISNUMBER(SEARCH("Gri", D193)), -1, 0)))=1, VERI_TABANI!E24*(1-0.928)*VERI_TABANI!$B$9, 0) + (VERI_TABANI!D24*B193*(VERI_TABANI!$B$13-VERI_TABANI!$B$14)*VERI_TABANI!G24) + (VERI_TABANI!D24*C193*(VERI_TABANI!$B$13-VERI_TABANI!$B$15)*VERI_TABANI!G24) + IF(ABS(IF(ISNUMBER(SEARCH("Var", D193)), 1, IF(ISNUMBER(SEARCH("Gri", D193)), -1, 0)))=1, VERI_TABANI!E24*(1-0.928)*0.00206091519919798*VERI_TABANI!G24, 0)) + ((MIN(VERI_TABANI!D25, VERI_TABANI!D25*B193)*VERI_TABANI!$B$7 + MAX(0, VERI_TABANI!D25*B193-VERI_TABANI!D25)*VERI_TABANI!$B$8) + (MIN(MAX(0, VERI_TABANI!D25-VERI_TABANI!D25*B193), VERI_TABANI!D25*C193)*VERI_TABANI!$B$7 + MAX(0, VERI_TABANI!D25*C193-MAX(0, VERI_TABANI!D25-VERI_TABANI!D25*B193))*VERI_TABANI!$B$8) + IF(ABS(IF(ISNUMBER(SEARCH("Var", D193)), 1, IF(ISNUMBER(SEARCH("Gri", D193)), -1, 0)))=1, VERI_TABANI!E25*(1-0.928)*VERI_TABANI!$B$9, 0) + (VERI_TABANI!D25*B193*(VERI_TABANI!$B$13-VERI_TABANI!$B$14)*VERI_TABANI!G25) + (VERI_TABANI!D25*C193*(VERI_TABANI!$B$13-VERI_TABANI!$B$15)*VERI_TABANI!G25) + IF(ABS(IF(ISNUMBER(SEARCH("Var", D193)), 1, IF(ISNUMBER(SEARCH("Gri", D193)), -1, 0)))=1, VERI_TABANI!E25*(1-0.928)*0.00206091519919798*VERI_TABANI!G25, 0)) + ((MIN(VERI_TABANI!D26, VERI_TABANI!D26*B193)*VERI_TABANI!$B$7 + MAX(0, VERI_TABANI!D26*B193-VERI_TABANI!D26)*VERI_TABANI!$B$8) + (MIN(MAX(0, VERI_TABANI!D26-VERI_TABANI!D26*B193), VERI_TABANI!D26*C193)*VERI_TABANI!$B$7 + MAX(0, VERI_TABANI!D26*C193-MAX(0, VERI_TABANI!D26-VERI_TABANI!D26*B193))*VERI_TABANI!$B$8) + IF(ABS(IF(ISNUMBER(SEARCH("Var", D193)), 1, IF(ISNUMBER(SEARCH("Gri", D193)), -1, 0)))=1, VERI_TABANI!E26*(1-0.928)*VERI_TABANI!$B$9, 0) + (VERI_TABANI!D26*B193*(VERI_TABANI!$B$13-VERI_TABANI!$B$14)*VERI_TABANI!G26) + (VERI_TABANI!D26*C193*(VERI_TABANI!$B$13-VERI_TABANI!$B$15)*VERI_TABANI!G26) + IF(ABS(IF(ISNUMBER(SEARCH("Var", D193)), 1, IF(ISNUMBER(SEARCH("Gri", D193)), -1, 0)))=1, VERI_TABANI!E26*(1-0.928)*0.00206091519919798*VERI_TABANI!G26, 0)) + ((MIN(VERI_TABANI!D27, VERI_TABANI!D27*B193)*VERI_TABANI!$B$7 + MAX(0, VERI_TABANI!D27*B193-VERI_TABANI!D27)*VERI_TABANI!$B$8) + (MIN(MAX(0, VERI_TABANI!D27-VERI_TABANI!D27*B193), VERI_TABANI!D27*C193)*VERI_TABANI!$B$7 + MAX(0, VERI_TABANI!D27*C193-MAX(0, VERI_TABANI!D27-VERI_TABANI!D27*B193))*VERI_TABANI!$B$8) + IF(ABS(IF(ISNUMBER(SEARCH("Var", D193)), 1, IF(ISNUMBER(SEARCH("Gri", D193)), -1, 0)))=1, VERI_TABANI!E27*(1-0.928)*VERI_TABANI!$B$9, 0) + (VERI_TABANI!D27*B193*(VERI_TABANI!$B$13-VERI_TABANI!$B$14)*VERI_TABANI!G27) + (VERI_TABANI!D27*C193*(VERI_TABANI!$B$13-VERI_TABANI!$B$15)*VERI_TABANI!G27) + IF(ABS(IF(ISNUMBER(SEARCH("Var", D193)), 1, IF(ISNUMBER(SEARCH("Gri", D193)), -1, 0)))=1, VERI_TABANI!E27*(1-0.928)*0.00206091519919798*VERI_TABANI!G27, 0)) + ((MIN(VERI_TABANI!D28, VERI_TABANI!D28*B193)*VERI_TABANI!$B$7 + MAX(0, VERI_TABANI!D28*B193-VERI_TABANI!D28)*VERI_TABANI!$B$8) + (MIN(MAX(0, VERI_TABANI!D28-VERI_TABANI!D28*B193), VERI_TABANI!D28*C193)*VERI_TABANI!$B$7 + MAX(0, VERI_TABANI!D28*C193-MAX(0, VERI_TABANI!D28-VERI_TABANI!D28*B193))*VERI_TABANI!$B$8) + IF(ABS(IF(ISNUMBER(SEARCH("Var", D193)), 1, IF(ISNUMBER(SEARCH("Gri", D193)), -1, 0)))=1, VERI_TABANI!E28*(1-0.928)*VERI_TABANI!$B$9, 0) + (VERI_TABANI!D28*B193*(VERI_TABANI!$B$13-VERI_TABANI!$B$14)*VERI_TABANI!G28) + (VERI_TABANI!D28*C193*(VERI_TABANI!$B$13-VERI_TABANI!$B$15)*VERI_TABANI!G28) + IF(ABS(IF(ISNUMBER(SEARCH("Var", D193)), 1, IF(ISNUMBER(SEARCH("Gri", D193)), -1, 0)))=1, VERI_TABANI!E28*(1-0.928)*0.00206091519919798*VERI_TABANI!G28, 0)))</f>
        <v/>
      </c>
      <c r="H193" s="169">
        <f>(((VERI_TABANI!D23*B193*(VERI_TABANI!$B$13-VERI_TABANI!$B$14)) + (VERI_TABANI!D23*C193*(VERI_TABANI!$B$13-VERI_TABANI!$B$15)) + IF(ISNUMBER(SEARCH("Var", D193)), VERI_TABANI!F23*(0.00202-VERI_TABANI!$B$16), IF(ISNUMBER(SEARCH("Gri", D193)), VERI_TABANI!F23*(0.00202-VERI_TABANI!$B$17), 0))) + ((VERI_TABANI!D24*B193*(VERI_TABANI!$B$13-VERI_TABANI!$B$14)) + (VERI_TABANI!D24*C193*(VERI_TABANI!$B$13-VERI_TABANI!$B$15)) + IF(ISNUMBER(SEARCH("Var", D193)), VERI_TABANI!F24*(0.00202-VERI_TABANI!$B$16), IF(ISNUMBER(SEARCH("Gri", D193)), VERI_TABANI!F24*(0.00202-VERI_TABANI!$B$17), 0))) + ((VERI_TABANI!D25*B193*(VERI_TABANI!$B$13-VERI_TABANI!$B$14)) + (VERI_TABANI!D25*C193*(VERI_TABANI!$B$13-VERI_TABANI!$B$15)) + IF(ISNUMBER(SEARCH("Var", D193)), VERI_TABANI!F25*(0.00202-VERI_TABANI!$B$16), IF(ISNUMBER(SEARCH("Gri", D193)), VERI_TABANI!F25*(0.00202-VERI_TABANI!$B$17), 0))) + ((VERI_TABANI!D26*B193*(VERI_TABANI!$B$13-VERI_TABANI!$B$14)) + (VERI_TABANI!D26*C193*(VERI_TABANI!$B$13-VERI_TABANI!$B$15)) + IF(ISNUMBER(SEARCH("Var", D193)), VERI_TABANI!F26*(0.00202-VERI_TABANI!$B$16), IF(ISNUMBER(SEARCH("Gri", D193)), VERI_TABANI!F26*(0.00202-VERI_TABANI!$B$17), 0))) + ((VERI_TABANI!D27*B193*(VERI_TABANI!$B$13-VERI_TABANI!$B$14)) + (VERI_TABANI!D27*C193*(VERI_TABANI!$B$13-VERI_TABANI!$B$15)) + IF(ISNUMBER(SEARCH("Var", D193)), VERI_TABANI!F27*(0.00202-VERI_TABANI!$B$16), IF(ISNUMBER(SEARCH("Gri", D193)), VERI_TABANI!F27*(0.00202-VERI_TABANI!$B$17), 0))) + ((VERI_TABANI!D28*B193*(VERI_TABANI!$B$13-VERI_TABANI!$B$14)) + (VERI_TABANI!D28*C193*(VERI_TABANI!$B$13-VERI_TABANI!$B$15)) + IF(ISNUMBER(SEARCH("Var", D193)), VERI_TABANI!F28*(0.00202-VERI_TABANI!$B$16), IF(ISNUMBER(SEARCH("Gri", D193)), VERI_TABANI!F28*(0.00202-VERI_TABANI!$B$17), 0))))</f>
        <v/>
      </c>
      <c r="I193" s="170">
        <f>IFERROR(((VERI_TABANI!$D$29*B193*VERI_TABANI!$B$14 + VERI_TABANI!$D$29*C193*VERI_TABANI!$B$15 + IF(ISNUMBER(SEARCH("Var", D193)), VERI_TABANI!$F$29*VERI_TABANI!$B$16, 0))) / (((VERI_TABANI!$D$29*B193 + VERI_TABANI!$D$29*C193)*VERI_TABANI!$B$13 + IF(ISNUMBER(SEARCH("Var", D193)), VERI_TABANI!$E$29*(1-0.928)*VERI_TABANI!$B$18, 0))), 0)</f>
        <v/>
      </c>
      <c r="J193" s="171">
        <f>IFERROR(F193/(G193/29), 0)</f>
        <v/>
      </c>
      <c r="K193" s="172">
        <f>IF(F193&gt;0, H193/F193, 0)</f>
        <v/>
      </c>
      <c r="L193" s="170">
        <f>IF(F193&gt;0, I193, 1000000000)</f>
        <v/>
      </c>
      <c r="M193" s="171">
        <f>ABS((B193+C193)-1)</f>
        <v/>
      </c>
      <c r="N193" s="170">
        <f>IF(F193&gt;0, (G193/29)/F193, 0)</f>
        <v/>
      </c>
      <c r="O193" s="168">
        <f>IF(AND((B193+C193)&gt;=1, ISNUMBER(SEARCH("Var", D193))), F193, 1000000000)</f>
        <v/>
      </c>
      <c r="P193" s="172">
        <f>IF(F193&gt;0, SQRT((F193/MAX(F$5:F$886))^2 + (1 - H193/MAX(H$5:H$886))^2 + (J193/MAX(J$5:J$886))^2), 1000000000)</f>
        <v/>
      </c>
      <c r="Q193" s="166">
        <f>IF(AND(ABS(B193-0.5)&lt;0.01, ABS(C193-0.5)&lt;0.01, ISNUMBER(SEARCH("Var", D193))), 1, 0)</f>
        <v/>
      </c>
      <c r="R193" s="171">
        <f>IF(F193&gt;0, J193, 1000000000)</f>
        <v/>
      </c>
      <c r="S193" s="101">
        <f>IF(AND(F193&lt;=DASHBOARD!$B$11, H193&gt;=DASHBOARD!$B$13), G193, -1000000000000)</f>
        <v/>
      </c>
      <c r="T193" s="101">
        <f>IF(AND(F193&lt;=DASHBOARD!$B$11, H193&gt;=DASHBOARD!$B$13), R193, 1000000000000)</f>
        <v/>
      </c>
      <c r="U193" s="101">
        <f>IF(AND(F193&lt;=DASHBOARD!$B$11, H193&gt;=DASHBOARD!$B$13), N193, -1000000000000)</f>
        <v/>
      </c>
      <c r="V193" s="101">
        <f>IF(AND(F193&lt;=DASHBOARD!$B$11, H193&gt;=DASHBOARD!$B$13), H193, -1000000000000)</f>
        <v/>
      </c>
      <c r="W193" s="101">
        <f>IF(AND(F193&lt;=DASHBOARD!$B$11, H193&gt;=DASHBOARD!$B$13), K193, -1000000000000)</f>
        <v/>
      </c>
      <c r="X193" s="101">
        <f>IF(AND(F193&lt;=DASHBOARD!$B$11, H193&gt;=DASHBOARD!$B$13), M193, 1000000000000)</f>
        <v/>
      </c>
      <c r="Y193" s="101">
        <f>IF(AND(F193&lt;=DASHBOARD!$B$10, H193&gt;=DASHBOARD!$B$11), L193, 1000000000000)</f>
        <v/>
      </c>
      <c r="Z193" s="101">
        <f>IF(AND(F193&lt;=DASHBOARD!$B$10, H193&gt;=DASHBOARD!$B$11), O193, 1000000000000)</f>
        <v/>
      </c>
      <c r="AA193" s="101">
        <f>IF(AND(F193&lt;=DASHBOARD!$B$10, H193&gt;=DASHBOARD!$B$11), P193, 1000000000000)</f>
        <v/>
      </c>
      <c r="AB193" s="101">
        <f>IF(AND(F193&lt;=DASHBOARD!$B$10, H193&gt;=DASHBOARD!$B$11), Q193, -1000000000000)</f>
        <v/>
      </c>
    </row>
    <row r="194" ht="12.75" customHeight="1" s="102">
      <c r="A194" s="166" t="n">
        <v>190</v>
      </c>
      <c r="B194" s="167" t="n">
        <v>0.4</v>
      </c>
      <c r="C194" s="167" t="n">
        <v>1</v>
      </c>
      <c r="D194" s="110" t="inlineStr">
        <is>
          <t>Var (%20)</t>
        </is>
      </c>
      <c r="E194" s="110">
        <f>IF((B194+C194)&lt;=1, "Tam Mahsuplaşma (≤%100)", "Kısmi Satış (&gt;%100)")</f>
        <v/>
      </c>
      <c r="F194" s="168">
        <f>((VERI_TABANI!$D$29*B194/VERI_TABANI!$B$29)/VERI_TABANI!$B$3)*VERI_TABANI!$B$5 + ((VERI_TABANI!$D$29*C194/VERI_TABANI!$B$29)/VERI_TABANI!$B$4)*VERI_TABANI!$B$6 + IF(ISNUMBER(SEARCH("Var", D194)), (VERI_TABANI!$F$29/VERI_TABANI!$B$29)*(VERI_TABANI!$B$10+VERI_TABANI!$B$12), 0)</f>
        <v/>
      </c>
      <c r="G194" s="168">
        <f>(((MIN(VERI_TABANI!D23, VERI_TABANI!D23*B194)*VERI_TABANI!$B$7 + MAX(0, VERI_TABANI!D23*B194-VERI_TABANI!D23)*VERI_TABANI!$B$8) + (MIN(MAX(0, VERI_TABANI!D23-VERI_TABANI!D23*B194), VERI_TABANI!D23*C194)*VERI_TABANI!$B$7 + MAX(0, VERI_TABANI!D23*C194-MAX(0, VERI_TABANI!D23-VERI_TABANI!D23*B194))*VERI_TABANI!$B$8) + IF(ABS(IF(ISNUMBER(SEARCH("Var", D194)), 1, IF(ISNUMBER(SEARCH("Gri", D194)), -1, 0)))=1, VERI_TABANI!E23*(1-0.928)*VERI_TABANI!$B$9, 0) + (VERI_TABANI!D23*B194*(VERI_TABANI!$B$13-VERI_TABANI!$B$14)*VERI_TABANI!G23) + (VERI_TABANI!D23*C194*(VERI_TABANI!$B$13-VERI_TABANI!$B$15)*VERI_TABANI!G23) + IF(ABS(IF(ISNUMBER(SEARCH("Var", D194)), 1, IF(ISNUMBER(SEARCH("Gri", D194)), -1, 0)))=1, VERI_TABANI!E23*(1-0.928)*0.00206091519919798*VERI_TABANI!G23, 0)) + ((MIN(VERI_TABANI!D24, VERI_TABANI!D24*B194)*VERI_TABANI!$B$7 + MAX(0, VERI_TABANI!D24*B194-VERI_TABANI!D24)*VERI_TABANI!$B$8) + (MIN(MAX(0, VERI_TABANI!D24-VERI_TABANI!D24*B194), VERI_TABANI!D24*C194)*VERI_TABANI!$B$7 + MAX(0, VERI_TABANI!D24*C194-MAX(0, VERI_TABANI!D24-VERI_TABANI!D24*B194))*VERI_TABANI!$B$8) + IF(ABS(IF(ISNUMBER(SEARCH("Var", D194)), 1, IF(ISNUMBER(SEARCH("Gri", D194)), -1, 0)))=1, VERI_TABANI!E24*(1-0.928)*VERI_TABANI!$B$9, 0) + (VERI_TABANI!D24*B194*(VERI_TABANI!$B$13-VERI_TABANI!$B$14)*VERI_TABANI!G24) + (VERI_TABANI!D24*C194*(VERI_TABANI!$B$13-VERI_TABANI!$B$15)*VERI_TABANI!G24) + IF(ABS(IF(ISNUMBER(SEARCH("Var", D194)), 1, IF(ISNUMBER(SEARCH("Gri", D194)), -1, 0)))=1, VERI_TABANI!E24*(1-0.928)*0.00206091519919798*VERI_TABANI!G24, 0)) + ((MIN(VERI_TABANI!D25, VERI_TABANI!D25*B194)*VERI_TABANI!$B$7 + MAX(0, VERI_TABANI!D25*B194-VERI_TABANI!D25)*VERI_TABANI!$B$8) + (MIN(MAX(0, VERI_TABANI!D25-VERI_TABANI!D25*B194), VERI_TABANI!D25*C194)*VERI_TABANI!$B$7 + MAX(0, VERI_TABANI!D25*C194-MAX(0, VERI_TABANI!D25-VERI_TABANI!D25*B194))*VERI_TABANI!$B$8) + IF(ABS(IF(ISNUMBER(SEARCH("Var", D194)), 1, IF(ISNUMBER(SEARCH("Gri", D194)), -1, 0)))=1, VERI_TABANI!E25*(1-0.928)*VERI_TABANI!$B$9, 0) + (VERI_TABANI!D25*B194*(VERI_TABANI!$B$13-VERI_TABANI!$B$14)*VERI_TABANI!G25) + (VERI_TABANI!D25*C194*(VERI_TABANI!$B$13-VERI_TABANI!$B$15)*VERI_TABANI!G25) + IF(ABS(IF(ISNUMBER(SEARCH("Var", D194)), 1, IF(ISNUMBER(SEARCH("Gri", D194)), -1, 0)))=1, VERI_TABANI!E25*(1-0.928)*0.00206091519919798*VERI_TABANI!G25, 0)) + ((MIN(VERI_TABANI!D26, VERI_TABANI!D26*B194)*VERI_TABANI!$B$7 + MAX(0, VERI_TABANI!D26*B194-VERI_TABANI!D26)*VERI_TABANI!$B$8) + (MIN(MAX(0, VERI_TABANI!D26-VERI_TABANI!D26*B194), VERI_TABANI!D26*C194)*VERI_TABANI!$B$7 + MAX(0, VERI_TABANI!D26*C194-MAX(0, VERI_TABANI!D26-VERI_TABANI!D26*B194))*VERI_TABANI!$B$8) + IF(ABS(IF(ISNUMBER(SEARCH("Var", D194)), 1, IF(ISNUMBER(SEARCH("Gri", D194)), -1, 0)))=1, VERI_TABANI!E26*(1-0.928)*VERI_TABANI!$B$9, 0) + (VERI_TABANI!D26*B194*(VERI_TABANI!$B$13-VERI_TABANI!$B$14)*VERI_TABANI!G26) + (VERI_TABANI!D26*C194*(VERI_TABANI!$B$13-VERI_TABANI!$B$15)*VERI_TABANI!G26) + IF(ABS(IF(ISNUMBER(SEARCH("Var", D194)), 1, IF(ISNUMBER(SEARCH("Gri", D194)), -1, 0)))=1, VERI_TABANI!E26*(1-0.928)*0.00206091519919798*VERI_TABANI!G26, 0)) + ((MIN(VERI_TABANI!D27, VERI_TABANI!D27*B194)*VERI_TABANI!$B$7 + MAX(0, VERI_TABANI!D27*B194-VERI_TABANI!D27)*VERI_TABANI!$B$8) + (MIN(MAX(0, VERI_TABANI!D27-VERI_TABANI!D27*B194), VERI_TABANI!D27*C194)*VERI_TABANI!$B$7 + MAX(0, VERI_TABANI!D27*C194-MAX(0, VERI_TABANI!D27-VERI_TABANI!D27*B194))*VERI_TABANI!$B$8) + IF(ABS(IF(ISNUMBER(SEARCH("Var", D194)), 1, IF(ISNUMBER(SEARCH("Gri", D194)), -1, 0)))=1, VERI_TABANI!E27*(1-0.928)*VERI_TABANI!$B$9, 0) + (VERI_TABANI!D27*B194*(VERI_TABANI!$B$13-VERI_TABANI!$B$14)*VERI_TABANI!G27) + (VERI_TABANI!D27*C194*(VERI_TABANI!$B$13-VERI_TABANI!$B$15)*VERI_TABANI!G27) + IF(ABS(IF(ISNUMBER(SEARCH("Var", D194)), 1, IF(ISNUMBER(SEARCH("Gri", D194)), -1, 0)))=1, VERI_TABANI!E27*(1-0.928)*0.00206091519919798*VERI_TABANI!G27, 0)) + ((MIN(VERI_TABANI!D28, VERI_TABANI!D28*B194)*VERI_TABANI!$B$7 + MAX(0, VERI_TABANI!D28*B194-VERI_TABANI!D28)*VERI_TABANI!$B$8) + (MIN(MAX(0, VERI_TABANI!D28-VERI_TABANI!D28*B194), VERI_TABANI!D28*C194)*VERI_TABANI!$B$7 + MAX(0, VERI_TABANI!D28*C194-MAX(0, VERI_TABANI!D28-VERI_TABANI!D28*B194))*VERI_TABANI!$B$8) + IF(ABS(IF(ISNUMBER(SEARCH("Var", D194)), 1, IF(ISNUMBER(SEARCH("Gri", D194)), -1, 0)))=1, VERI_TABANI!E28*(1-0.928)*VERI_TABANI!$B$9, 0) + (VERI_TABANI!D28*B194*(VERI_TABANI!$B$13-VERI_TABANI!$B$14)*VERI_TABANI!G28) + (VERI_TABANI!D28*C194*(VERI_TABANI!$B$13-VERI_TABANI!$B$15)*VERI_TABANI!G28) + IF(ABS(IF(ISNUMBER(SEARCH("Var", D194)), 1, IF(ISNUMBER(SEARCH("Gri", D194)), -1, 0)))=1, VERI_TABANI!E28*(1-0.928)*0.00206091519919798*VERI_TABANI!G28, 0)))</f>
        <v/>
      </c>
      <c r="H194" s="169">
        <f>(((VERI_TABANI!D23*B194*(VERI_TABANI!$B$13-VERI_TABANI!$B$14)) + (VERI_TABANI!D23*C194*(VERI_TABANI!$B$13-VERI_TABANI!$B$15)) + IF(ISNUMBER(SEARCH("Var", D194)), VERI_TABANI!F23*(0.00202-VERI_TABANI!$B$16), IF(ISNUMBER(SEARCH("Gri", D194)), VERI_TABANI!F23*(0.00202-VERI_TABANI!$B$17), 0))) + ((VERI_TABANI!D24*B194*(VERI_TABANI!$B$13-VERI_TABANI!$B$14)) + (VERI_TABANI!D24*C194*(VERI_TABANI!$B$13-VERI_TABANI!$B$15)) + IF(ISNUMBER(SEARCH("Var", D194)), VERI_TABANI!F24*(0.00202-VERI_TABANI!$B$16), IF(ISNUMBER(SEARCH("Gri", D194)), VERI_TABANI!F24*(0.00202-VERI_TABANI!$B$17), 0))) + ((VERI_TABANI!D25*B194*(VERI_TABANI!$B$13-VERI_TABANI!$B$14)) + (VERI_TABANI!D25*C194*(VERI_TABANI!$B$13-VERI_TABANI!$B$15)) + IF(ISNUMBER(SEARCH("Var", D194)), VERI_TABANI!F25*(0.00202-VERI_TABANI!$B$16), IF(ISNUMBER(SEARCH("Gri", D194)), VERI_TABANI!F25*(0.00202-VERI_TABANI!$B$17), 0))) + ((VERI_TABANI!D26*B194*(VERI_TABANI!$B$13-VERI_TABANI!$B$14)) + (VERI_TABANI!D26*C194*(VERI_TABANI!$B$13-VERI_TABANI!$B$15)) + IF(ISNUMBER(SEARCH("Var", D194)), VERI_TABANI!F26*(0.00202-VERI_TABANI!$B$16), IF(ISNUMBER(SEARCH("Gri", D194)), VERI_TABANI!F26*(0.00202-VERI_TABANI!$B$17), 0))) + ((VERI_TABANI!D27*B194*(VERI_TABANI!$B$13-VERI_TABANI!$B$14)) + (VERI_TABANI!D27*C194*(VERI_TABANI!$B$13-VERI_TABANI!$B$15)) + IF(ISNUMBER(SEARCH("Var", D194)), VERI_TABANI!F27*(0.00202-VERI_TABANI!$B$16), IF(ISNUMBER(SEARCH("Gri", D194)), VERI_TABANI!F27*(0.00202-VERI_TABANI!$B$17), 0))) + ((VERI_TABANI!D28*B194*(VERI_TABANI!$B$13-VERI_TABANI!$B$14)) + (VERI_TABANI!D28*C194*(VERI_TABANI!$B$13-VERI_TABANI!$B$15)) + IF(ISNUMBER(SEARCH("Var", D194)), VERI_TABANI!F28*(0.00202-VERI_TABANI!$B$16), IF(ISNUMBER(SEARCH("Gri", D194)), VERI_TABANI!F28*(0.00202-VERI_TABANI!$B$17), 0))))</f>
        <v/>
      </c>
      <c r="I194" s="170">
        <f>IFERROR(((VERI_TABANI!$D$29*B194*VERI_TABANI!$B$14 + VERI_TABANI!$D$29*C194*VERI_TABANI!$B$15 + IF(ISNUMBER(SEARCH("Var", D194)), VERI_TABANI!$F$29*VERI_TABANI!$B$16, 0))) / (((VERI_TABANI!$D$29*B194 + VERI_TABANI!$D$29*C194)*VERI_TABANI!$B$13 + IF(ISNUMBER(SEARCH("Var", D194)), VERI_TABANI!$E$29*(1-0.928)*VERI_TABANI!$B$18, 0))), 0)</f>
        <v/>
      </c>
      <c r="J194" s="171">
        <f>IFERROR(F194/(G194/29), 0)</f>
        <v/>
      </c>
      <c r="K194" s="172">
        <f>IF(F194&gt;0, H194/F194, 0)</f>
        <v/>
      </c>
      <c r="L194" s="170">
        <f>IF(F194&gt;0, I194, 1000000000)</f>
        <v/>
      </c>
      <c r="M194" s="171">
        <f>ABS((B194+C194)-1)</f>
        <v/>
      </c>
      <c r="N194" s="170">
        <f>IF(F194&gt;0, (G194/29)/F194, 0)</f>
        <v/>
      </c>
      <c r="O194" s="168">
        <f>IF(AND((B194+C194)&gt;=1, ISNUMBER(SEARCH("Var", D194))), F194, 1000000000)</f>
        <v/>
      </c>
      <c r="P194" s="172">
        <f>IF(F194&gt;0, SQRT((F194/MAX(F$5:F$886))^2 + (1 - H194/MAX(H$5:H$886))^2 + (J194/MAX(J$5:J$886))^2), 1000000000)</f>
        <v/>
      </c>
      <c r="Q194" s="166">
        <f>IF(AND(ABS(B194-0.5)&lt;0.01, ABS(C194-0.5)&lt;0.01, ISNUMBER(SEARCH("Var", D194))), 1, 0)</f>
        <v/>
      </c>
      <c r="R194" s="171">
        <f>IF(F194&gt;0, J194, 1000000000)</f>
        <v/>
      </c>
      <c r="S194" s="101">
        <f>IF(AND(F194&lt;=DASHBOARD!$B$11, H194&gt;=DASHBOARD!$B$13), G194, -1000000000000)</f>
        <v/>
      </c>
      <c r="T194" s="101">
        <f>IF(AND(F194&lt;=DASHBOARD!$B$11, H194&gt;=DASHBOARD!$B$13), R194, 1000000000000)</f>
        <v/>
      </c>
      <c r="U194" s="101">
        <f>IF(AND(F194&lt;=DASHBOARD!$B$11, H194&gt;=DASHBOARD!$B$13), N194, -1000000000000)</f>
        <v/>
      </c>
      <c r="V194" s="101">
        <f>IF(AND(F194&lt;=DASHBOARD!$B$11, H194&gt;=DASHBOARD!$B$13), H194, -1000000000000)</f>
        <v/>
      </c>
      <c r="W194" s="101">
        <f>IF(AND(F194&lt;=DASHBOARD!$B$11, H194&gt;=DASHBOARD!$B$13), K194, -1000000000000)</f>
        <v/>
      </c>
      <c r="X194" s="101">
        <f>IF(AND(F194&lt;=DASHBOARD!$B$11, H194&gt;=DASHBOARD!$B$13), M194, 1000000000000)</f>
        <v/>
      </c>
      <c r="Y194" s="101">
        <f>IF(AND(F194&lt;=DASHBOARD!$B$10, H194&gt;=DASHBOARD!$B$11), L194, 1000000000000)</f>
        <v/>
      </c>
      <c r="Z194" s="101">
        <f>IF(AND(F194&lt;=DASHBOARD!$B$10, H194&gt;=DASHBOARD!$B$11), O194, 1000000000000)</f>
        <v/>
      </c>
      <c r="AA194" s="101">
        <f>IF(AND(F194&lt;=DASHBOARD!$B$10, H194&gt;=DASHBOARD!$B$11), P194, 1000000000000)</f>
        <v/>
      </c>
      <c r="AB194" s="101">
        <f>IF(AND(F194&lt;=DASHBOARD!$B$10, H194&gt;=DASHBOARD!$B$11), Q194, -1000000000000)</f>
        <v/>
      </c>
    </row>
    <row r="195" ht="12.75" customHeight="1" s="102">
      <c r="A195" s="166" t="n">
        <v>191</v>
      </c>
      <c r="B195" s="167" t="n">
        <v>0.4</v>
      </c>
      <c r="C195" s="167" t="n">
        <v>1.1</v>
      </c>
      <c r="D195" s="110" t="inlineStr">
        <is>
          <t>Yok (%0)</t>
        </is>
      </c>
      <c r="E195" s="110">
        <f>IF((B195+C195)&lt;=1, "Tam Mahsuplaşma (≤%100)", "Kısmi Satış (&gt;%100)")</f>
        <v/>
      </c>
      <c r="F195" s="168">
        <f>((VERI_TABANI!$D$29*B195/VERI_TABANI!$B$29)/VERI_TABANI!$B$3)*VERI_TABANI!$B$5 + ((VERI_TABANI!$D$29*C195/VERI_TABANI!$B$29)/VERI_TABANI!$B$4)*VERI_TABANI!$B$6 + IF(ISNUMBER(SEARCH("Var", D195)), (VERI_TABANI!$F$29/VERI_TABANI!$B$29)*(VERI_TABANI!$B$10+VERI_TABANI!$B$12), 0)</f>
        <v/>
      </c>
      <c r="G195" s="168">
        <f>(((MIN(VERI_TABANI!D23, VERI_TABANI!D23*B195)*VERI_TABANI!$B$7 + MAX(0, VERI_TABANI!D23*B195-VERI_TABANI!D23)*VERI_TABANI!$B$8) + (MIN(MAX(0, VERI_TABANI!D23-VERI_TABANI!D23*B195), VERI_TABANI!D23*C195)*VERI_TABANI!$B$7 + MAX(0, VERI_TABANI!D23*C195-MAX(0, VERI_TABANI!D23-VERI_TABANI!D23*B195))*VERI_TABANI!$B$8) + IF(ABS(IF(ISNUMBER(SEARCH("Var", D195)), 1, IF(ISNUMBER(SEARCH("Gri", D195)), -1, 0)))=1, VERI_TABANI!E23*(1-0.928)*VERI_TABANI!$B$9, 0) + (VERI_TABANI!D23*B195*(VERI_TABANI!$B$13-VERI_TABANI!$B$14)*VERI_TABANI!G23) + (VERI_TABANI!D23*C195*(VERI_TABANI!$B$13-VERI_TABANI!$B$15)*VERI_TABANI!G23) + IF(ABS(IF(ISNUMBER(SEARCH("Var", D195)), 1, IF(ISNUMBER(SEARCH("Gri", D195)), -1, 0)))=1, VERI_TABANI!E23*(1-0.928)*0.00206091519919798*VERI_TABANI!G23, 0)) + ((MIN(VERI_TABANI!D24, VERI_TABANI!D24*B195)*VERI_TABANI!$B$7 + MAX(0, VERI_TABANI!D24*B195-VERI_TABANI!D24)*VERI_TABANI!$B$8) + (MIN(MAX(0, VERI_TABANI!D24-VERI_TABANI!D24*B195), VERI_TABANI!D24*C195)*VERI_TABANI!$B$7 + MAX(0, VERI_TABANI!D24*C195-MAX(0, VERI_TABANI!D24-VERI_TABANI!D24*B195))*VERI_TABANI!$B$8) + IF(ABS(IF(ISNUMBER(SEARCH("Var", D195)), 1, IF(ISNUMBER(SEARCH("Gri", D195)), -1, 0)))=1, VERI_TABANI!E24*(1-0.928)*VERI_TABANI!$B$9, 0) + (VERI_TABANI!D24*B195*(VERI_TABANI!$B$13-VERI_TABANI!$B$14)*VERI_TABANI!G24) + (VERI_TABANI!D24*C195*(VERI_TABANI!$B$13-VERI_TABANI!$B$15)*VERI_TABANI!G24) + IF(ABS(IF(ISNUMBER(SEARCH("Var", D195)), 1, IF(ISNUMBER(SEARCH("Gri", D195)), -1, 0)))=1, VERI_TABANI!E24*(1-0.928)*0.00206091519919798*VERI_TABANI!G24, 0)) + ((MIN(VERI_TABANI!D25, VERI_TABANI!D25*B195)*VERI_TABANI!$B$7 + MAX(0, VERI_TABANI!D25*B195-VERI_TABANI!D25)*VERI_TABANI!$B$8) + (MIN(MAX(0, VERI_TABANI!D25-VERI_TABANI!D25*B195), VERI_TABANI!D25*C195)*VERI_TABANI!$B$7 + MAX(0, VERI_TABANI!D25*C195-MAX(0, VERI_TABANI!D25-VERI_TABANI!D25*B195))*VERI_TABANI!$B$8) + IF(ABS(IF(ISNUMBER(SEARCH("Var", D195)), 1, IF(ISNUMBER(SEARCH("Gri", D195)), -1, 0)))=1, VERI_TABANI!E25*(1-0.928)*VERI_TABANI!$B$9, 0) + (VERI_TABANI!D25*B195*(VERI_TABANI!$B$13-VERI_TABANI!$B$14)*VERI_TABANI!G25) + (VERI_TABANI!D25*C195*(VERI_TABANI!$B$13-VERI_TABANI!$B$15)*VERI_TABANI!G25) + IF(ABS(IF(ISNUMBER(SEARCH("Var", D195)), 1, IF(ISNUMBER(SEARCH("Gri", D195)), -1, 0)))=1, VERI_TABANI!E25*(1-0.928)*0.00206091519919798*VERI_TABANI!G25, 0)) + ((MIN(VERI_TABANI!D26, VERI_TABANI!D26*B195)*VERI_TABANI!$B$7 + MAX(0, VERI_TABANI!D26*B195-VERI_TABANI!D26)*VERI_TABANI!$B$8) + (MIN(MAX(0, VERI_TABANI!D26-VERI_TABANI!D26*B195), VERI_TABANI!D26*C195)*VERI_TABANI!$B$7 + MAX(0, VERI_TABANI!D26*C195-MAX(0, VERI_TABANI!D26-VERI_TABANI!D26*B195))*VERI_TABANI!$B$8) + IF(ABS(IF(ISNUMBER(SEARCH("Var", D195)), 1, IF(ISNUMBER(SEARCH("Gri", D195)), -1, 0)))=1, VERI_TABANI!E26*(1-0.928)*VERI_TABANI!$B$9, 0) + (VERI_TABANI!D26*B195*(VERI_TABANI!$B$13-VERI_TABANI!$B$14)*VERI_TABANI!G26) + (VERI_TABANI!D26*C195*(VERI_TABANI!$B$13-VERI_TABANI!$B$15)*VERI_TABANI!G26) + IF(ABS(IF(ISNUMBER(SEARCH("Var", D195)), 1, IF(ISNUMBER(SEARCH("Gri", D195)), -1, 0)))=1, VERI_TABANI!E26*(1-0.928)*0.00206091519919798*VERI_TABANI!G26, 0)) + ((MIN(VERI_TABANI!D27, VERI_TABANI!D27*B195)*VERI_TABANI!$B$7 + MAX(0, VERI_TABANI!D27*B195-VERI_TABANI!D27)*VERI_TABANI!$B$8) + (MIN(MAX(0, VERI_TABANI!D27-VERI_TABANI!D27*B195), VERI_TABANI!D27*C195)*VERI_TABANI!$B$7 + MAX(0, VERI_TABANI!D27*C195-MAX(0, VERI_TABANI!D27-VERI_TABANI!D27*B195))*VERI_TABANI!$B$8) + IF(ABS(IF(ISNUMBER(SEARCH("Var", D195)), 1, IF(ISNUMBER(SEARCH("Gri", D195)), -1, 0)))=1, VERI_TABANI!E27*(1-0.928)*VERI_TABANI!$B$9, 0) + (VERI_TABANI!D27*B195*(VERI_TABANI!$B$13-VERI_TABANI!$B$14)*VERI_TABANI!G27) + (VERI_TABANI!D27*C195*(VERI_TABANI!$B$13-VERI_TABANI!$B$15)*VERI_TABANI!G27) + IF(ABS(IF(ISNUMBER(SEARCH("Var", D195)), 1, IF(ISNUMBER(SEARCH("Gri", D195)), -1, 0)))=1, VERI_TABANI!E27*(1-0.928)*0.00206091519919798*VERI_TABANI!G27, 0)) + ((MIN(VERI_TABANI!D28, VERI_TABANI!D28*B195)*VERI_TABANI!$B$7 + MAX(0, VERI_TABANI!D28*B195-VERI_TABANI!D28)*VERI_TABANI!$B$8) + (MIN(MAX(0, VERI_TABANI!D28-VERI_TABANI!D28*B195), VERI_TABANI!D28*C195)*VERI_TABANI!$B$7 + MAX(0, VERI_TABANI!D28*C195-MAX(0, VERI_TABANI!D28-VERI_TABANI!D28*B195))*VERI_TABANI!$B$8) + IF(ABS(IF(ISNUMBER(SEARCH("Var", D195)), 1, IF(ISNUMBER(SEARCH("Gri", D195)), -1, 0)))=1, VERI_TABANI!E28*(1-0.928)*VERI_TABANI!$B$9, 0) + (VERI_TABANI!D28*B195*(VERI_TABANI!$B$13-VERI_TABANI!$B$14)*VERI_TABANI!G28) + (VERI_TABANI!D28*C195*(VERI_TABANI!$B$13-VERI_TABANI!$B$15)*VERI_TABANI!G28) + IF(ABS(IF(ISNUMBER(SEARCH("Var", D195)), 1, IF(ISNUMBER(SEARCH("Gri", D195)), -1, 0)))=1, VERI_TABANI!E28*(1-0.928)*0.00206091519919798*VERI_TABANI!G28, 0)))</f>
        <v/>
      </c>
      <c r="H195" s="169">
        <f>(((VERI_TABANI!D23*B195*(VERI_TABANI!$B$13-VERI_TABANI!$B$14)) + (VERI_TABANI!D23*C195*(VERI_TABANI!$B$13-VERI_TABANI!$B$15)) + IF(ISNUMBER(SEARCH("Var", D195)), VERI_TABANI!F23*(0.00202-VERI_TABANI!$B$16), IF(ISNUMBER(SEARCH("Gri", D195)), VERI_TABANI!F23*(0.00202-VERI_TABANI!$B$17), 0))) + ((VERI_TABANI!D24*B195*(VERI_TABANI!$B$13-VERI_TABANI!$B$14)) + (VERI_TABANI!D24*C195*(VERI_TABANI!$B$13-VERI_TABANI!$B$15)) + IF(ISNUMBER(SEARCH("Var", D195)), VERI_TABANI!F24*(0.00202-VERI_TABANI!$B$16), IF(ISNUMBER(SEARCH("Gri", D195)), VERI_TABANI!F24*(0.00202-VERI_TABANI!$B$17), 0))) + ((VERI_TABANI!D25*B195*(VERI_TABANI!$B$13-VERI_TABANI!$B$14)) + (VERI_TABANI!D25*C195*(VERI_TABANI!$B$13-VERI_TABANI!$B$15)) + IF(ISNUMBER(SEARCH("Var", D195)), VERI_TABANI!F25*(0.00202-VERI_TABANI!$B$16), IF(ISNUMBER(SEARCH("Gri", D195)), VERI_TABANI!F25*(0.00202-VERI_TABANI!$B$17), 0))) + ((VERI_TABANI!D26*B195*(VERI_TABANI!$B$13-VERI_TABANI!$B$14)) + (VERI_TABANI!D26*C195*(VERI_TABANI!$B$13-VERI_TABANI!$B$15)) + IF(ISNUMBER(SEARCH("Var", D195)), VERI_TABANI!F26*(0.00202-VERI_TABANI!$B$16), IF(ISNUMBER(SEARCH("Gri", D195)), VERI_TABANI!F26*(0.00202-VERI_TABANI!$B$17), 0))) + ((VERI_TABANI!D27*B195*(VERI_TABANI!$B$13-VERI_TABANI!$B$14)) + (VERI_TABANI!D27*C195*(VERI_TABANI!$B$13-VERI_TABANI!$B$15)) + IF(ISNUMBER(SEARCH("Var", D195)), VERI_TABANI!F27*(0.00202-VERI_TABANI!$B$16), IF(ISNUMBER(SEARCH("Gri", D195)), VERI_TABANI!F27*(0.00202-VERI_TABANI!$B$17), 0))) + ((VERI_TABANI!D28*B195*(VERI_TABANI!$B$13-VERI_TABANI!$B$14)) + (VERI_TABANI!D28*C195*(VERI_TABANI!$B$13-VERI_TABANI!$B$15)) + IF(ISNUMBER(SEARCH("Var", D195)), VERI_TABANI!F28*(0.00202-VERI_TABANI!$B$16), IF(ISNUMBER(SEARCH("Gri", D195)), VERI_TABANI!F28*(0.00202-VERI_TABANI!$B$17), 0))))</f>
        <v/>
      </c>
      <c r="I195" s="170">
        <f>IFERROR(((VERI_TABANI!$D$29*B195*VERI_TABANI!$B$14 + VERI_TABANI!$D$29*C195*VERI_TABANI!$B$15 + IF(ISNUMBER(SEARCH("Var", D195)), VERI_TABANI!$F$29*VERI_TABANI!$B$16, 0))) / (((VERI_TABANI!$D$29*B195 + VERI_TABANI!$D$29*C195)*VERI_TABANI!$B$13 + IF(ISNUMBER(SEARCH("Var", D195)), VERI_TABANI!$E$29*(1-0.928)*VERI_TABANI!$B$18, 0))), 0)</f>
        <v/>
      </c>
      <c r="J195" s="171">
        <f>IFERROR(F195/(G195/29), 0)</f>
        <v/>
      </c>
      <c r="K195" s="172">
        <f>IF(F195&gt;0, H195/F195, 0)</f>
        <v/>
      </c>
      <c r="L195" s="170">
        <f>IF(F195&gt;0, I195, 1000000000)</f>
        <v/>
      </c>
      <c r="M195" s="171">
        <f>ABS((B195+C195)-1)</f>
        <v/>
      </c>
      <c r="N195" s="170">
        <f>IF(F195&gt;0, (G195/29)/F195, 0)</f>
        <v/>
      </c>
      <c r="O195" s="168">
        <f>IF(AND((B195+C195)&gt;=1, ISNUMBER(SEARCH("Var", D195))), F195, 1000000000)</f>
        <v/>
      </c>
      <c r="P195" s="172">
        <f>IF(F195&gt;0, SQRT((F195/MAX(F$5:F$886))^2 + (1 - H195/MAX(H$5:H$886))^2 + (J195/MAX(J$5:J$886))^2), 1000000000)</f>
        <v/>
      </c>
      <c r="Q195" s="166">
        <f>IF(AND(ABS(B195-0.5)&lt;0.01, ABS(C195-0.5)&lt;0.01, ISNUMBER(SEARCH("Var", D195))), 1, 0)</f>
        <v/>
      </c>
      <c r="R195" s="171">
        <f>IF(F195&gt;0, J195, 1000000000)</f>
        <v/>
      </c>
      <c r="S195" s="101">
        <f>IF(AND(F195&lt;=DASHBOARD!$B$11, H195&gt;=DASHBOARD!$B$13), G195, -1000000000000)</f>
        <v/>
      </c>
      <c r="T195" s="101">
        <f>IF(AND(F195&lt;=DASHBOARD!$B$11, H195&gt;=DASHBOARD!$B$13), R195, 1000000000000)</f>
        <v/>
      </c>
      <c r="U195" s="101">
        <f>IF(AND(F195&lt;=DASHBOARD!$B$11, H195&gt;=DASHBOARD!$B$13), N195, -1000000000000)</f>
        <v/>
      </c>
      <c r="V195" s="101">
        <f>IF(AND(F195&lt;=DASHBOARD!$B$11, H195&gt;=DASHBOARD!$B$13), H195, -1000000000000)</f>
        <v/>
      </c>
      <c r="W195" s="101">
        <f>IF(AND(F195&lt;=DASHBOARD!$B$11, H195&gt;=DASHBOARD!$B$13), K195, -1000000000000)</f>
        <v/>
      </c>
      <c r="X195" s="101">
        <f>IF(AND(F195&lt;=DASHBOARD!$B$11, H195&gt;=DASHBOARD!$B$13), M195, 1000000000000)</f>
        <v/>
      </c>
      <c r="Y195" s="101">
        <f>IF(AND(F195&lt;=DASHBOARD!$B$10, H195&gt;=DASHBOARD!$B$11), L195, 1000000000000)</f>
        <v/>
      </c>
      <c r="Z195" s="101">
        <f>IF(AND(F195&lt;=DASHBOARD!$B$10, H195&gt;=DASHBOARD!$B$11), O195, 1000000000000)</f>
        <v/>
      </c>
      <c r="AA195" s="101">
        <f>IF(AND(F195&lt;=DASHBOARD!$B$10, H195&gt;=DASHBOARD!$B$11), P195, 1000000000000)</f>
        <v/>
      </c>
      <c r="AB195" s="101">
        <f>IF(AND(F195&lt;=DASHBOARD!$B$10, H195&gt;=DASHBOARD!$B$11), Q195, -1000000000000)</f>
        <v/>
      </c>
    </row>
    <row r="196" ht="12.75" customHeight="1" s="102">
      <c r="A196" s="166" t="n">
        <v>192</v>
      </c>
      <c r="B196" s="167" t="n">
        <v>0.4</v>
      </c>
      <c r="C196" s="167" t="n">
        <v>1.1</v>
      </c>
      <c r="D196" s="110" t="inlineStr">
        <is>
          <t>Var (%20)</t>
        </is>
      </c>
      <c r="E196" s="110">
        <f>IF((B196+C196)&lt;=1, "Tam Mahsuplaşma (≤%100)", "Kısmi Satış (&gt;%100)")</f>
        <v/>
      </c>
      <c r="F196" s="168">
        <f>((VERI_TABANI!$D$29*B196/VERI_TABANI!$B$29)/VERI_TABANI!$B$3)*VERI_TABANI!$B$5 + ((VERI_TABANI!$D$29*C196/VERI_TABANI!$B$29)/VERI_TABANI!$B$4)*VERI_TABANI!$B$6 + IF(ISNUMBER(SEARCH("Var", D196)), (VERI_TABANI!$F$29/VERI_TABANI!$B$29)*(VERI_TABANI!$B$10+VERI_TABANI!$B$12), 0)</f>
        <v/>
      </c>
      <c r="G196" s="168">
        <f>(((MIN(VERI_TABANI!D23, VERI_TABANI!D23*B196)*VERI_TABANI!$B$7 + MAX(0, VERI_TABANI!D23*B196-VERI_TABANI!D23)*VERI_TABANI!$B$8) + (MIN(MAX(0, VERI_TABANI!D23-VERI_TABANI!D23*B196), VERI_TABANI!D23*C196)*VERI_TABANI!$B$7 + MAX(0, VERI_TABANI!D23*C196-MAX(0, VERI_TABANI!D23-VERI_TABANI!D23*B196))*VERI_TABANI!$B$8) + IF(ABS(IF(ISNUMBER(SEARCH("Var", D196)), 1, IF(ISNUMBER(SEARCH("Gri", D196)), -1, 0)))=1, VERI_TABANI!E23*(1-0.928)*VERI_TABANI!$B$9, 0) + (VERI_TABANI!D23*B196*(VERI_TABANI!$B$13-VERI_TABANI!$B$14)*VERI_TABANI!G23) + (VERI_TABANI!D23*C196*(VERI_TABANI!$B$13-VERI_TABANI!$B$15)*VERI_TABANI!G23) + IF(ABS(IF(ISNUMBER(SEARCH("Var", D196)), 1, IF(ISNUMBER(SEARCH("Gri", D196)), -1, 0)))=1, VERI_TABANI!E23*(1-0.928)*0.00206091519919798*VERI_TABANI!G23, 0)) + ((MIN(VERI_TABANI!D24, VERI_TABANI!D24*B196)*VERI_TABANI!$B$7 + MAX(0, VERI_TABANI!D24*B196-VERI_TABANI!D24)*VERI_TABANI!$B$8) + (MIN(MAX(0, VERI_TABANI!D24-VERI_TABANI!D24*B196), VERI_TABANI!D24*C196)*VERI_TABANI!$B$7 + MAX(0, VERI_TABANI!D24*C196-MAX(0, VERI_TABANI!D24-VERI_TABANI!D24*B196))*VERI_TABANI!$B$8) + IF(ABS(IF(ISNUMBER(SEARCH("Var", D196)), 1, IF(ISNUMBER(SEARCH("Gri", D196)), -1, 0)))=1, VERI_TABANI!E24*(1-0.928)*VERI_TABANI!$B$9, 0) + (VERI_TABANI!D24*B196*(VERI_TABANI!$B$13-VERI_TABANI!$B$14)*VERI_TABANI!G24) + (VERI_TABANI!D24*C196*(VERI_TABANI!$B$13-VERI_TABANI!$B$15)*VERI_TABANI!G24) + IF(ABS(IF(ISNUMBER(SEARCH("Var", D196)), 1, IF(ISNUMBER(SEARCH("Gri", D196)), -1, 0)))=1, VERI_TABANI!E24*(1-0.928)*0.00206091519919798*VERI_TABANI!G24, 0)) + ((MIN(VERI_TABANI!D25, VERI_TABANI!D25*B196)*VERI_TABANI!$B$7 + MAX(0, VERI_TABANI!D25*B196-VERI_TABANI!D25)*VERI_TABANI!$B$8) + (MIN(MAX(0, VERI_TABANI!D25-VERI_TABANI!D25*B196), VERI_TABANI!D25*C196)*VERI_TABANI!$B$7 + MAX(0, VERI_TABANI!D25*C196-MAX(0, VERI_TABANI!D25-VERI_TABANI!D25*B196))*VERI_TABANI!$B$8) + IF(ABS(IF(ISNUMBER(SEARCH("Var", D196)), 1, IF(ISNUMBER(SEARCH("Gri", D196)), -1, 0)))=1, VERI_TABANI!E25*(1-0.928)*VERI_TABANI!$B$9, 0) + (VERI_TABANI!D25*B196*(VERI_TABANI!$B$13-VERI_TABANI!$B$14)*VERI_TABANI!G25) + (VERI_TABANI!D25*C196*(VERI_TABANI!$B$13-VERI_TABANI!$B$15)*VERI_TABANI!G25) + IF(ABS(IF(ISNUMBER(SEARCH("Var", D196)), 1, IF(ISNUMBER(SEARCH("Gri", D196)), -1, 0)))=1, VERI_TABANI!E25*(1-0.928)*0.00206091519919798*VERI_TABANI!G25, 0)) + ((MIN(VERI_TABANI!D26, VERI_TABANI!D26*B196)*VERI_TABANI!$B$7 + MAX(0, VERI_TABANI!D26*B196-VERI_TABANI!D26)*VERI_TABANI!$B$8) + (MIN(MAX(0, VERI_TABANI!D26-VERI_TABANI!D26*B196), VERI_TABANI!D26*C196)*VERI_TABANI!$B$7 + MAX(0, VERI_TABANI!D26*C196-MAX(0, VERI_TABANI!D26-VERI_TABANI!D26*B196))*VERI_TABANI!$B$8) + IF(ABS(IF(ISNUMBER(SEARCH("Var", D196)), 1, IF(ISNUMBER(SEARCH("Gri", D196)), -1, 0)))=1, VERI_TABANI!E26*(1-0.928)*VERI_TABANI!$B$9, 0) + (VERI_TABANI!D26*B196*(VERI_TABANI!$B$13-VERI_TABANI!$B$14)*VERI_TABANI!G26) + (VERI_TABANI!D26*C196*(VERI_TABANI!$B$13-VERI_TABANI!$B$15)*VERI_TABANI!G26) + IF(ABS(IF(ISNUMBER(SEARCH("Var", D196)), 1, IF(ISNUMBER(SEARCH("Gri", D196)), -1, 0)))=1, VERI_TABANI!E26*(1-0.928)*0.00206091519919798*VERI_TABANI!G26, 0)) + ((MIN(VERI_TABANI!D27, VERI_TABANI!D27*B196)*VERI_TABANI!$B$7 + MAX(0, VERI_TABANI!D27*B196-VERI_TABANI!D27)*VERI_TABANI!$B$8) + (MIN(MAX(0, VERI_TABANI!D27-VERI_TABANI!D27*B196), VERI_TABANI!D27*C196)*VERI_TABANI!$B$7 + MAX(0, VERI_TABANI!D27*C196-MAX(0, VERI_TABANI!D27-VERI_TABANI!D27*B196))*VERI_TABANI!$B$8) + IF(ABS(IF(ISNUMBER(SEARCH("Var", D196)), 1, IF(ISNUMBER(SEARCH("Gri", D196)), -1, 0)))=1, VERI_TABANI!E27*(1-0.928)*VERI_TABANI!$B$9, 0) + (VERI_TABANI!D27*B196*(VERI_TABANI!$B$13-VERI_TABANI!$B$14)*VERI_TABANI!G27) + (VERI_TABANI!D27*C196*(VERI_TABANI!$B$13-VERI_TABANI!$B$15)*VERI_TABANI!G27) + IF(ABS(IF(ISNUMBER(SEARCH("Var", D196)), 1, IF(ISNUMBER(SEARCH("Gri", D196)), -1, 0)))=1, VERI_TABANI!E27*(1-0.928)*0.00206091519919798*VERI_TABANI!G27, 0)) + ((MIN(VERI_TABANI!D28, VERI_TABANI!D28*B196)*VERI_TABANI!$B$7 + MAX(0, VERI_TABANI!D28*B196-VERI_TABANI!D28)*VERI_TABANI!$B$8) + (MIN(MAX(0, VERI_TABANI!D28-VERI_TABANI!D28*B196), VERI_TABANI!D28*C196)*VERI_TABANI!$B$7 + MAX(0, VERI_TABANI!D28*C196-MAX(0, VERI_TABANI!D28-VERI_TABANI!D28*B196))*VERI_TABANI!$B$8) + IF(ABS(IF(ISNUMBER(SEARCH("Var", D196)), 1, IF(ISNUMBER(SEARCH("Gri", D196)), -1, 0)))=1, VERI_TABANI!E28*(1-0.928)*VERI_TABANI!$B$9, 0) + (VERI_TABANI!D28*B196*(VERI_TABANI!$B$13-VERI_TABANI!$B$14)*VERI_TABANI!G28) + (VERI_TABANI!D28*C196*(VERI_TABANI!$B$13-VERI_TABANI!$B$15)*VERI_TABANI!G28) + IF(ABS(IF(ISNUMBER(SEARCH("Var", D196)), 1, IF(ISNUMBER(SEARCH("Gri", D196)), -1, 0)))=1, VERI_TABANI!E28*(1-0.928)*0.00206091519919798*VERI_TABANI!G28, 0)))</f>
        <v/>
      </c>
      <c r="H196" s="169">
        <f>(((VERI_TABANI!D23*B196*(VERI_TABANI!$B$13-VERI_TABANI!$B$14)) + (VERI_TABANI!D23*C196*(VERI_TABANI!$B$13-VERI_TABANI!$B$15)) + IF(ISNUMBER(SEARCH("Var", D196)), VERI_TABANI!F23*(0.00202-VERI_TABANI!$B$16), IF(ISNUMBER(SEARCH("Gri", D196)), VERI_TABANI!F23*(0.00202-VERI_TABANI!$B$17), 0))) + ((VERI_TABANI!D24*B196*(VERI_TABANI!$B$13-VERI_TABANI!$B$14)) + (VERI_TABANI!D24*C196*(VERI_TABANI!$B$13-VERI_TABANI!$B$15)) + IF(ISNUMBER(SEARCH("Var", D196)), VERI_TABANI!F24*(0.00202-VERI_TABANI!$B$16), IF(ISNUMBER(SEARCH("Gri", D196)), VERI_TABANI!F24*(0.00202-VERI_TABANI!$B$17), 0))) + ((VERI_TABANI!D25*B196*(VERI_TABANI!$B$13-VERI_TABANI!$B$14)) + (VERI_TABANI!D25*C196*(VERI_TABANI!$B$13-VERI_TABANI!$B$15)) + IF(ISNUMBER(SEARCH("Var", D196)), VERI_TABANI!F25*(0.00202-VERI_TABANI!$B$16), IF(ISNUMBER(SEARCH("Gri", D196)), VERI_TABANI!F25*(0.00202-VERI_TABANI!$B$17), 0))) + ((VERI_TABANI!D26*B196*(VERI_TABANI!$B$13-VERI_TABANI!$B$14)) + (VERI_TABANI!D26*C196*(VERI_TABANI!$B$13-VERI_TABANI!$B$15)) + IF(ISNUMBER(SEARCH("Var", D196)), VERI_TABANI!F26*(0.00202-VERI_TABANI!$B$16), IF(ISNUMBER(SEARCH("Gri", D196)), VERI_TABANI!F26*(0.00202-VERI_TABANI!$B$17), 0))) + ((VERI_TABANI!D27*B196*(VERI_TABANI!$B$13-VERI_TABANI!$B$14)) + (VERI_TABANI!D27*C196*(VERI_TABANI!$B$13-VERI_TABANI!$B$15)) + IF(ISNUMBER(SEARCH("Var", D196)), VERI_TABANI!F27*(0.00202-VERI_TABANI!$B$16), IF(ISNUMBER(SEARCH("Gri", D196)), VERI_TABANI!F27*(0.00202-VERI_TABANI!$B$17), 0))) + ((VERI_TABANI!D28*B196*(VERI_TABANI!$B$13-VERI_TABANI!$B$14)) + (VERI_TABANI!D28*C196*(VERI_TABANI!$B$13-VERI_TABANI!$B$15)) + IF(ISNUMBER(SEARCH("Var", D196)), VERI_TABANI!F28*(0.00202-VERI_TABANI!$B$16), IF(ISNUMBER(SEARCH("Gri", D196)), VERI_TABANI!F28*(0.00202-VERI_TABANI!$B$17), 0))))</f>
        <v/>
      </c>
      <c r="I196" s="170">
        <f>IFERROR(((VERI_TABANI!$D$29*B196*VERI_TABANI!$B$14 + VERI_TABANI!$D$29*C196*VERI_TABANI!$B$15 + IF(ISNUMBER(SEARCH("Var", D196)), VERI_TABANI!$F$29*VERI_TABANI!$B$16, 0))) / (((VERI_TABANI!$D$29*B196 + VERI_TABANI!$D$29*C196)*VERI_TABANI!$B$13 + IF(ISNUMBER(SEARCH("Var", D196)), VERI_TABANI!$E$29*(1-0.928)*VERI_TABANI!$B$18, 0))), 0)</f>
        <v/>
      </c>
      <c r="J196" s="171">
        <f>IFERROR(F196/(G196/29), 0)</f>
        <v/>
      </c>
      <c r="K196" s="172">
        <f>IF(F196&gt;0, H196/F196, 0)</f>
        <v/>
      </c>
      <c r="L196" s="170">
        <f>IF(F196&gt;0, I196, 1000000000)</f>
        <v/>
      </c>
      <c r="M196" s="171">
        <f>ABS((B196+C196)-1)</f>
        <v/>
      </c>
      <c r="N196" s="170">
        <f>IF(F196&gt;0, (G196/29)/F196, 0)</f>
        <v/>
      </c>
      <c r="O196" s="168">
        <f>IF(AND((B196+C196)&gt;=1, ISNUMBER(SEARCH("Var", D196))), F196, 1000000000)</f>
        <v/>
      </c>
      <c r="P196" s="172">
        <f>IF(F196&gt;0, SQRT((F196/MAX(F$5:F$886))^2 + (1 - H196/MAX(H$5:H$886))^2 + (J196/MAX(J$5:J$886))^2), 1000000000)</f>
        <v/>
      </c>
      <c r="Q196" s="166">
        <f>IF(AND(ABS(B196-0.5)&lt;0.01, ABS(C196-0.5)&lt;0.01, ISNUMBER(SEARCH("Var", D196))), 1, 0)</f>
        <v/>
      </c>
      <c r="R196" s="171">
        <f>IF(F196&gt;0, J196, 1000000000)</f>
        <v/>
      </c>
      <c r="S196" s="101">
        <f>IF(AND(F196&lt;=DASHBOARD!$B$11, H196&gt;=DASHBOARD!$B$13), G196, -1000000000000)</f>
        <v/>
      </c>
      <c r="T196" s="101">
        <f>IF(AND(F196&lt;=DASHBOARD!$B$11, H196&gt;=DASHBOARD!$B$13), R196, 1000000000000)</f>
        <v/>
      </c>
      <c r="U196" s="101">
        <f>IF(AND(F196&lt;=DASHBOARD!$B$11, H196&gt;=DASHBOARD!$B$13), N196, -1000000000000)</f>
        <v/>
      </c>
      <c r="V196" s="101">
        <f>IF(AND(F196&lt;=DASHBOARD!$B$11, H196&gt;=DASHBOARD!$B$13), H196, -1000000000000)</f>
        <v/>
      </c>
      <c r="W196" s="101">
        <f>IF(AND(F196&lt;=DASHBOARD!$B$11, H196&gt;=DASHBOARD!$B$13), K196, -1000000000000)</f>
        <v/>
      </c>
      <c r="X196" s="101">
        <f>IF(AND(F196&lt;=DASHBOARD!$B$11, H196&gt;=DASHBOARD!$B$13), M196, 1000000000000)</f>
        <v/>
      </c>
      <c r="Y196" s="101">
        <f>IF(AND(F196&lt;=DASHBOARD!$B$10, H196&gt;=DASHBOARD!$B$11), L196, 1000000000000)</f>
        <v/>
      </c>
      <c r="Z196" s="101">
        <f>IF(AND(F196&lt;=DASHBOARD!$B$10, H196&gt;=DASHBOARD!$B$11), O196, 1000000000000)</f>
        <v/>
      </c>
      <c r="AA196" s="101">
        <f>IF(AND(F196&lt;=DASHBOARD!$B$10, H196&gt;=DASHBOARD!$B$11), P196, 1000000000000)</f>
        <v/>
      </c>
      <c r="AB196" s="101">
        <f>IF(AND(F196&lt;=DASHBOARD!$B$10, H196&gt;=DASHBOARD!$B$11), Q196, -1000000000000)</f>
        <v/>
      </c>
    </row>
    <row r="197" ht="12.75" customHeight="1" s="102">
      <c r="A197" s="166" t="n">
        <v>193</v>
      </c>
      <c r="B197" s="167" t="n">
        <v>0.4</v>
      </c>
      <c r="C197" s="167" t="n">
        <v>1.2</v>
      </c>
      <c r="D197" s="110" t="inlineStr">
        <is>
          <t>Yok (%0)</t>
        </is>
      </c>
      <c r="E197" s="110">
        <f>IF((B197+C197)&lt;=1, "Tam Mahsuplaşma (≤%100)", "Kısmi Satış (&gt;%100)")</f>
        <v/>
      </c>
      <c r="F197" s="168">
        <f>((VERI_TABANI!$D$29*B197/VERI_TABANI!$B$29)/VERI_TABANI!$B$3)*VERI_TABANI!$B$5 + ((VERI_TABANI!$D$29*C197/VERI_TABANI!$B$29)/VERI_TABANI!$B$4)*VERI_TABANI!$B$6 + IF(ISNUMBER(SEARCH("Var", D197)), (VERI_TABANI!$F$29/VERI_TABANI!$B$29)*(VERI_TABANI!$B$10+VERI_TABANI!$B$12), 0)</f>
        <v/>
      </c>
      <c r="G197" s="168">
        <f>(((MIN(VERI_TABANI!D23, VERI_TABANI!D23*B197)*VERI_TABANI!$B$7 + MAX(0, VERI_TABANI!D23*B197-VERI_TABANI!D23)*VERI_TABANI!$B$8) + (MIN(MAX(0, VERI_TABANI!D23-VERI_TABANI!D23*B197), VERI_TABANI!D23*C197)*VERI_TABANI!$B$7 + MAX(0, VERI_TABANI!D23*C197-MAX(0, VERI_TABANI!D23-VERI_TABANI!D23*B197))*VERI_TABANI!$B$8) + IF(ABS(IF(ISNUMBER(SEARCH("Var", D197)), 1, IF(ISNUMBER(SEARCH("Gri", D197)), -1, 0)))=1, VERI_TABANI!E23*(1-0.928)*VERI_TABANI!$B$9, 0) + (VERI_TABANI!D23*B197*(VERI_TABANI!$B$13-VERI_TABANI!$B$14)*VERI_TABANI!G23) + (VERI_TABANI!D23*C197*(VERI_TABANI!$B$13-VERI_TABANI!$B$15)*VERI_TABANI!G23) + IF(ABS(IF(ISNUMBER(SEARCH("Var", D197)), 1, IF(ISNUMBER(SEARCH("Gri", D197)), -1, 0)))=1, VERI_TABANI!E23*(1-0.928)*0.00206091519919798*VERI_TABANI!G23, 0)) + ((MIN(VERI_TABANI!D24, VERI_TABANI!D24*B197)*VERI_TABANI!$B$7 + MAX(0, VERI_TABANI!D24*B197-VERI_TABANI!D24)*VERI_TABANI!$B$8) + (MIN(MAX(0, VERI_TABANI!D24-VERI_TABANI!D24*B197), VERI_TABANI!D24*C197)*VERI_TABANI!$B$7 + MAX(0, VERI_TABANI!D24*C197-MAX(0, VERI_TABANI!D24-VERI_TABANI!D24*B197))*VERI_TABANI!$B$8) + IF(ABS(IF(ISNUMBER(SEARCH("Var", D197)), 1, IF(ISNUMBER(SEARCH("Gri", D197)), -1, 0)))=1, VERI_TABANI!E24*(1-0.928)*VERI_TABANI!$B$9, 0) + (VERI_TABANI!D24*B197*(VERI_TABANI!$B$13-VERI_TABANI!$B$14)*VERI_TABANI!G24) + (VERI_TABANI!D24*C197*(VERI_TABANI!$B$13-VERI_TABANI!$B$15)*VERI_TABANI!G24) + IF(ABS(IF(ISNUMBER(SEARCH("Var", D197)), 1, IF(ISNUMBER(SEARCH("Gri", D197)), -1, 0)))=1, VERI_TABANI!E24*(1-0.928)*0.00206091519919798*VERI_TABANI!G24, 0)) + ((MIN(VERI_TABANI!D25, VERI_TABANI!D25*B197)*VERI_TABANI!$B$7 + MAX(0, VERI_TABANI!D25*B197-VERI_TABANI!D25)*VERI_TABANI!$B$8) + (MIN(MAX(0, VERI_TABANI!D25-VERI_TABANI!D25*B197), VERI_TABANI!D25*C197)*VERI_TABANI!$B$7 + MAX(0, VERI_TABANI!D25*C197-MAX(0, VERI_TABANI!D25-VERI_TABANI!D25*B197))*VERI_TABANI!$B$8) + IF(ABS(IF(ISNUMBER(SEARCH("Var", D197)), 1, IF(ISNUMBER(SEARCH("Gri", D197)), -1, 0)))=1, VERI_TABANI!E25*(1-0.928)*VERI_TABANI!$B$9, 0) + (VERI_TABANI!D25*B197*(VERI_TABANI!$B$13-VERI_TABANI!$B$14)*VERI_TABANI!G25) + (VERI_TABANI!D25*C197*(VERI_TABANI!$B$13-VERI_TABANI!$B$15)*VERI_TABANI!G25) + IF(ABS(IF(ISNUMBER(SEARCH("Var", D197)), 1, IF(ISNUMBER(SEARCH("Gri", D197)), -1, 0)))=1, VERI_TABANI!E25*(1-0.928)*0.00206091519919798*VERI_TABANI!G25, 0)) + ((MIN(VERI_TABANI!D26, VERI_TABANI!D26*B197)*VERI_TABANI!$B$7 + MAX(0, VERI_TABANI!D26*B197-VERI_TABANI!D26)*VERI_TABANI!$B$8) + (MIN(MAX(0, VERI_TABANI!D26-VERI_TABANI!D26*B197), VERI_TABANI!D26*C197)*VERI_TABANI!$B$7 + MAX(0, VERI_TABANI!D26*C197-MAX(0, VERI_TABANI!D26-VERI_TABANI!D26*B197))*VERI_TABANI!$B$8) + IF(ABS(IF(ISNUMBER(SEARCH("Var", D197)), 1, IF(ISNUMBER(SEARCH("Gri", D197)), -1, 0)))=1, VERI_TABANI!E26*(1-0.928)*VERI_TABANI!$B$9, 0) + (VERI_TABANI!D26*B197*(VERI_TABANI!$B$13-VERI_TABANI!$B$14)*VERI_TABANI!G26) + (VERI_TABANI!D26*C197*(VERI_TABANI!$B$13-VERI_TABANI!$B$15)*VERI_TABANI!G26) + IF(ABS(IF(ISNUMBER(SEARCH("Var", D197)), 1, IF(ISNUMBER(SEARCH("Gri", D197)), -1, 0)))=1, VERI_TABANI!E26*(1-0.928)*0.00206091519919798*VERI_TABANI!G26, 0)) + ((MIN(VERI_TABANI!D27, VERI_TABANI!D27*B197)*VERI_TABANI!$B$7 + MAX(0, VERI_TABANI!D27*B197-VERI_TABANI!D27)*VERI_TABANI!$B$8) + (MIN(MAX(0, VERI_TABANI!D27-VERI_TABANI!D27*B197), VERI_TABANI!D27*C197)*VERI_TABANI!$B$7 + MAX(0, VERI_TABANI!D27*C197-MAX(0, VERI_TABANI!D27-VERI_TABANI!D27*B197))*VERI_TABANI!$B$8) + IF(ABS(IF(ISNUMBER(SEARCH("Var", D197)), 1, IF(ISNUMBER(SEARCH("Gri", D197)), -1, 0)))=1, VERI_TABANI!E27*(1-0.928)*VERI_TABANI!$B$9, 0) + (VERI_TABANI!D27*B197*(VERI_TABANI!$B$13-VERI_TABANI!$B$14)*VERI_TABANI!G27) + (VERI_TABANI!D27*C197*(VERI_TABANI!$B$13-VERI_TABANI!$B$15)*VERI_TABANI!G27) + IF(ABS(IF(ISNUMBER(SEARCH("Var", D197)), 1, IF(ISNUMBER(SEARCH("Gri", D197)), -1, 0)))=1, VERI_TABANI!E27*(1-0.928)*0.00206091519919798*VERI_TABANI!G27, 0)) + ((MIN(VERI_TABANI!D28, VERI_TABANI!D28*B197)*VERI_TABANI!$B$7 + MAX(0, VERI_TABANI!D28*B197-VERI_TABANI!D28)*VERI_TABANI!$B$8) + (MIN(MAX(0, VERI_TABANI!D28-VERI_TABANI!D28*B197), VERI_TABANI!D28*C197)*VERI_TABANI!$B$7 + MAX(0, VERI_TABANI!D28*C197-MAX(0, VERI_TABANI!D28-VERI_TABANI!D28*B197))*VERI_TABANI!$B$8) + IF(ABS(IF(ISNUMBER(SEARCH("Var", D197)), 1, IF(ISNUMBER(SEARCH("Gri", D197)), -1, 0)))=1, VERI_TABANI!E28*(1-0.928)*VERI_TABANI!$B$9, 0) + (VERI_TABANI!D28*B197*(VERI_TABANI!$B$13-VERI_TABANI!$B$14)*VERI_TABANI!G28) + (VERI_TABANI!D28*C197*(VERI_TABANI!$B$13-VERI_TABANI!$B$15)*VERI_TABANI!G28) + IF(ABS(IF(ISNUMBER(SEARCH("Var", D197)), 1, IF(ISNUMBER(SEARCH("Gri", D197)), -1, 0)))=1, VERI_TABANI!E28*(1-0.928)*0.00206091519919798*VERI_TABANI!G28, 0)))</f>
        <v/>
      </c>
      <c r="H197" s="169">
        <f>(((VERI_TABANI!D23*B197*(VERI_TABANI!$B$13-VERI_TABANI!$B$14)) + (VERI_TABANI!D23*C197*(VERI_TABANI!$B$13-VERI_TABANI!$B$15)) + IF(ISNUMBER(SEARCH("Var", D197)), VERI_TABANI!F23*(0.00202-VERI_TABANI!$B$16), IF(ISNUMBER(SEARCH("Gri", D197)), VERI_TABANI!F23*(0.00202-VERI_TABANI!$B$17), 0))) + ((VERI_TABANI!D24*B197*(VERI_TABANI!$B$13-VERI_TABANI!$B$14)) + (VERI_TABANI!D24*C197*(VERI_TABANI!$B$13-VERI_TABANI!$B$15)) + IF(ISNUMBER(SEARCH("Var", D197)), VERI_TABANI!F24*(0.00202-VERI_TABANI!$B$16), IF(ISNUMBER(SEARCH("Gri", D197)), VERI_TABANI!F24*(0.00202-VERI_TABANI!$B$17), 0))) + ((VERI_TABANI!D25*B197*(VERI_TABANI!$B$13-VERI_TABANI!$B$14)) + (VERI_TABANI!D25*C197*(VERI_TABANI!$B$13-VERI_TABANI!$B$15)) + IF(ISNUMBER(SEARCH("Var", D197)), VERI_TABANI!F25*(0.00202-VERI_TABANI!$B$16), IF(ISNUMBER(SEARCH("Gri", D197)), VERI_TABANI!F25*(0.00202-VERI_TABANI!$B$17), 0))) + ((VERI_TABANI!D26*B197*(VERI_TABANI!$B$13-VERI_TABANI!$B$14)) + (VERI_TABANI!D26*C197*(VERI_TABANI!$B$13-VERI_TABANI!$B$15)) + IF(ISNUMBER(SEARCH("Var", D197)), VERI_TABANI!F26*(0.00202-VERI_TABANI!$B$16), IF(ISNUMBER(SEARCH("Gri", D197)), VERI_TABANI!F26*(0.00202-VERI_TABANI!$B$17), 0))) + ((VERI_TABANI!D27*B197*(VERI_TABANI!$B$13-VERI_TABANI!$B$14)) + (VERI_TABANI!D27*C197*(VERI_TABANI!$B$13-VERI_TABANI!$B$15)) + IF(ISNUMBER(SEARCH("Var", D197)), VERI_TABANI!F27*(0.00202-VERI_TABANI!$B$16), IF(ISNUMBER(SEARCH("Gri", D197)), VERI_TABANI!F27*(0.00202-VERI_TABANI!$B$17), 0))) + ((VERI_TABANI!D28*B197*(VERI_TABANI!$B$13-VERI_TABANI!$B$14)) + (VERI_TABANI!D28*C197*(VERI_TABANI!$B$13-VERI_TABANI!$B$15)) + IF(ISNUMBER(SEARCH("Var", D197)), VERI_TABANI!F28*(0.00202-VERI_TABANI!$B$16), IF(ISNUMBER(SEARCH("Gri", D197)), VERI_TABANI!F28*(0.00202-VERI_TABANI!$B$17), 0))))</f>
        <v/>
      </c>
      <c r="I197" s="170">
        <f>IFERROR(((VERI_TABANI!$D$29*B197*VERI_TABANI!$B$14 + VERI_TABANI!$D$29*C197*VERI_TABANI!$B$15 + IF(ISNUMBER(SEARCH("Var", D197)), VERI_TABANI!$F$29*VERI_TABANI!$B$16, 0))) / (((VERI_TABANI!$D$29*B197 + VERI_TABANI!$D$29*C197)*VERI_TABANI!$B$13 + IF(ISNUMBER(SEARCH("Var", D197)), VERI_TABANI!$E$29*(1-0.928)*VERI_TABANI!$B$18, 0))), 0)</f>
        <v/>
      </c>
      <c r="J197" s="171">
        <f>IFERROR(F197/(G197/29), 0)</f>
        <v/>
      </c>
      <c r="K197" s="172">
        <f>IF(F197&gt;0, H197/F197, 0)</f>
        <v/>
      </c>
      <c r="L197" s="170">
        <f>IF(F197&gt;0, I197, 1000000000)</f>
        <v/>
      </c>
      <c r="M197" s="171">
        <f>ABS((B197+C197)-1)</f>
        <v/>
      </c>
      <c r="N197" s="170">
        <f>IF(F197&gt;0, (G197/29)/F197, 0)</f>
        <v/>
      </c>
      <c r="O197" s="168">
        <f>IF(AND((B197+C197)&gt;=1, ISNUMBER(SEARCH("Var", D197))), F197, 1000000000)</f>
        <v/>
      </c>
      <c r="P197" s="172">
        <f>IF(F197&gt;0, SQRT((F197/MAX(F$5:F$886))^2 + (1 - H197/MAX(H$5:H$886))^2 + (J197/MAX(J$5:J$886))^2), 1000000000)</f>
        <v/>
      </c>
      <c r="Q197" s="166">
        <f>IF(AND(ABS(B197-0.5)&lt;0.01, ABS(C197-0.5)&lt;0.01, ISNUMBER(SEARCH("Var", D197))), 1, 0)</f>
        <v/>
      </c>
      <c r="R197" s="171">
        <f>IF(F197&gt;0, J197, 1000000000)</f>
        <v/>
      </c>
      <c r="S197" s="101">
        <f>IF(AND(F197&lt;=DASHBOARD!$B$11, H197&gt;=DASHBOARD!$B$13), G197, -1000000000000)</f>
        <v/>
      </c>
      <c r="T197" s="101">
        <f>IF(AND(F197&lt;=DASHBOARD!$B$11, H197&gt;=DASHBOARD!$B$13), R197, 1000000000000)</f>
        <v/>
      </c>
      <c r="U197" s="101">
        <f>IF(AND(F197&lt;=DASHBOARD!$B$11, H197&gt;=DASHBOARD!$B$13), N197, -1000000000000)</f>
        <v/>
      </c>
      <c r="V197" s="101">
        <f>IF(AND(F197&lt;=DASHBOARD!$B$11, H197&gt;=DASHBOARD!$B$13), H197, -1000000000000)</f>
        <v/>
      </c>
      <c r="W197" s="101">
        <f>IF(AND(F197&lt;=DASHBOARD!$B$11, H197&gt;=DASHBOARD!$B$13), K197, -1000000000000)</f>
        <v/>
      </c>
      <c r="X197" s="101">
        <f>IF(AND(F197&lt;=DASHBOARD!$B$11, H197&gt;=DASHBOARD!$B$13), M197, 1000000000000)</f>
        <v/>
      </c>
      <c r="Y197" s="101">
        <f>IF(AND(F197&lt;=DASHBOARD!$B$10, H197&gt;=DASHBOARD!$B$11), L197, 1000000000000)</f>
        <v/>
      </c>
      <c r="Z197" s="101">
        <f>IF(AND(F197&lt;=DASHBOARD!$B$10, H197&gt;=DASHBOARD!$B$11), O197, 1000000000000)</f>
        <v/>
      </c>
      <c r="AA197" s="101">
        <f>IF(AND(F197&lt;=DASHBOARD!$B$10, H197&gt;=DASHBOARD!$B$11), P197, 1000000000000)</f>
        <v/>
      </c>
      <c r="AB197" s="101">
        <f>IF(AND(F197&lt;=DASHBOARD!$B$10, H197&gt;=DASHBOARD!$B$11), Q197, -1000000000000)</f>
        <v/>
      </c>
    </row>
    <row r="198" ht="12.75" customHeight="1" s="102">
      <c r="A198" s="166" t="n">
        <v>194</v>
      </c>
      <c r="B198" s="167" t="n">
        <v>0.4</v>
      </c>
      <c r="C198" s="167" t="n">
        <v>1.2</v>
      </c>
      <c r="D198" s="110" t="inlineStr">
        <is>
          <t>Var (%20)</t>
        </is>
      </c>
      <c r="E198" s="110">
        <f>IF((B198+C198)&lt;=1, "Tam Mahsuplaşma (≤%100)", "Kısmi Satış (&gt;%100)")</f>
        <v/>
      </c>
      <c r="F198" s="168">
        <f>((VERI_TABANI!$D$29*B198/VERI_TABANI!$B$29)/VERI_TABANI!$B$3)*VERI_TABANI!$B$5 + ((VERI_TABANI!$D$29*C198/VERI_TABANI!$B$29)/VERI_TABANI!$B$4)*VERI_TABANI!$B$6 + IF(ISNUMBER(SEARCH("Var", D198)), (VERI_TABANI!$F$29/VERI_TABANI!$B$29)*(VERI_TABANI!$B$10+VERI_TABANI!$B$12), 0)</f>
        <v/>
      </c>
      <c r="G198" s="168">
        <f>(((MIN(VERI_TABANI!D23, VERI_TABANI!D23*B198)*VERI_TABANI!$B$7 + MAX(0, VERI_TABANI!D23*B198-VERI_TABANI!D23)*VERI_TABANI!$B$8) + (MIN(MAX(0, VERI_TABANI!D23-VERI_TABANI!D23*B198), VERI_TABANI!D23*C198)*VERI_TABANI!$B$7 + MAX(0, VERI_TABANI!D23*C198-MAX(0, VERI_TABANI!D23-VERI_TABANI!D23*B198))*VERI_TABANI!$B$8) + IF(ABS(IF(ISNUMBER(SEARCH("Var", D198)), 1, IF(ISNUMBER(SEARCH("Gri", D198)), -1, 0)))=1, VERI_TABANI!E23*(1-0.928)*VERI_TABANI!$B$9, 0) + (VERI_TABANI!D23*B198*(VERI_TABANI!$B$13-VERI_TABANI!$B$14)*VERI_TABANI!G23) + (VERI_TABANI!D23*C198*(VERI_TABANI!$B$13-VERI_TABANI!$B$15)*VERI_TABANI!G23) + IF(ABS(IF(ISNUMBER(SEARCH("Var", D198)), 1, IF(ISNUMBER(SEARCH("Gri", D198)), -1, 0)))=1, VERI_TABANI!E23*(1-0.928)*0.00206091519919798*VERI_TABANI!G23, 0)) + ((MIN(VERI_TABANI!D24, VERI_TABANI!D24*B198)*VERI_TABANI!$B$7 + MAX(0, VERI_TABANI!D24*B198-VERI_TABANI!D24)*VERI_TABANI!$B$8) + (MIN(MAX(0, VERI_TABANI!D24-VERI_TABANI!D24*B198), VERI_TABANI!D24*C198)*VERI_TABANI!$B$7 + MAX(0, VERI_TABANI!D24*C198-MAX(0, VERI_TABANI!D24-VERI_TABANI!D24*B198))*VERI_TABANI!$B$8) + IF(ABS(IF(ISNUMBER(SEARCH("Var", D198)), 1, IF(ISNUMBER(SEARCH("Gri", D198)), -1, 0)))=1, VERI_TABANI!E24*(1-0.928)*VERI_TABANI!$B$9, 0) + (VERI_TABANI!D24*B198*(VERI_TABANI!$B$13-VERI_TABANI!$B$14)*VERI_TABANI!G24) + (VERI_TABANI!D24*C198*(VERI_TABANI!$B$13-VERI_TABANI!$B$15)*VERI_TABANI!G24) + IF(ABS(IF(ISNUMBER(SEARCH("Var", D198)), 1, IF(ISNUMBER(SEARCH("Gri", D198)), -1, 0)))=1, VERI_TABANI!E24*(1-0.928)*0.00206091519919798*VERI_TABANI!G24, 0)) + ((MIN(VERI_TABANI!D25, VERI_TABANI!D25*B198)*VERI_TABANI!$B$7 + MAX(0, VERI_TABANI!D25*B198-VERI_TABANI!D25)*VERI_TABANI!$B$8) + (MIN(MAX(0, VERI_TABANI!D25-VERI_TABANI!D25*B198), VERI_TABANI!D25*C198)*VERI_TABANI!$B$7 + MAX(0, VERI_TABANI!D25*C198-MAX(0, VERI_TABANI!D25-VERI_TABANI!D25*B198))*VERI_TABANI!$B$8) + IF(ABS(IF(ISNUMBER(SEARCH("Var", D198)), 1, IF(ISNUMBER(SEARCH("Gri", D198)), -1, 0)))=1, VERI_TABANI!E25*(1-0.928)*VERI_TABANI!$B$9, 0) + (VERI_TABANI!D25*B198*(VERI_TABANI!$B$13-VERI_TABANI!$B$14)*VERI_TABANI!G25) + (VERI_TABANI!D25*C198*(VERI_TABANI!$B$13-VERI_TABANI!$B$15)*VERI_TABANI!G25) + IF(ABS(IF(ISNUMBER(SEARCH("Var", D198)), 1, IF(ISNUMBER(SEARCH("Gri", D198)), -1, 0)))=1, VERI_TABANI!E25*(1-0.928)*0.00206091519919798*VERI_TABANI!G25, 0)) + ((MIN(VERI_TABANI!D26, VERI_TABANI!D26*B198)*VERI_TABANI!$B$7 + MAX(0, VERI_TABANI!D26*B198-VERI_TABANI!D26)*VERI_TABANI!$B$8) + (MIN(MAX(0, VERI_TABANI!D26-VERI_TABANI!D26*B198), VERI_TABANI!D26*C198)*VERI_TABANI!$B$7 + MAX(0, VERI_TABANI!D26*C198-MAX(0, VERI_TABANI!D26-VERI_TABANI!D26*B198))*VERI_TABANI!$B$8) + IF(ABS(IF(ISNUMBER(SEARCH("Var", D198)), 1, IF(ISNUMBER(SEARCH("Gri", D198)), -1, 0)))=1, VERI_TABANI!E26*(1-0.928)*VERI_TABANI!$B$9, 0) + (VERI_TABANI!D26*B198*(VERI_TABANI!$B$13-VERI_TABANI!$B$14)*VERI_TABANI!G26) + (VERI_TABANI!D26*C198*(VERI_TABANI!$B$13-VERI_TABANI!$B$15)*VERI_TABANI!G26) + IF(ABS(IF(ISNUMBER(SEARCH("Var", D198)), 1, IF(ISNUMBER(SEARCH("Gri", D198)), -1, 0)))=1, VERI_TABANI!E26*(1-0.928)*0.00206091519919798*VERI_TABANI!G26, 0)) + ((MIN(VERI_TABANI!D27, VERI_TABANI!D27*B198)*VERI_TABANI!$B$7 + MAX(0, VERI_TABANI!D27*B198-VERI_TABANI!D27)*VERI_TABANI!$B$8) + (MIN(MAX(0, VERI_TABANI!D27-VERI_TABANI!D27*B198), VERI_TABANI!D27*C198)*VERI_TABANI!$B$7 + MAX(0, VERI_TABANI!D27*C198-MAX(0, VERI_TABANI!D27-VERI_TABANI!D27*B198))*VERI_TABANI!$B$8) + IF(ABS(IF(ISNUMBER(SEARCH("Var", D198)), 1, IF(ISNUMBER(SEARCH("Gri", D198)), -1, 0)))=1, VERI_TABANI!E27*(1-0.928)*VERI_TABANI!$B$9, 0) + (VERI_TABANI!D27*B198*(VERI_TABANI!$B$13-VERI_TABANI!$B$14)*VERI_TABANI!G27) + (VERI_TABANI!D27*C198*(VERI_TABANI!$B$13-VERI_TABANI!$B$15)*VERI_TABANI!G27) + IF(ABS(IF(ISNUMBER(SEARCH("Var", D198)), 1, IF(ISNUMBER(SEARCH("Gri", D198)), -1, 0)))=1, VERI_TABANI!E27*(1-0.928)*0.00206091519919798*VERI_TABANI!G27, 0)) + ((MIN(VERI_TABANI!D28, VERI_TABANI!D28*B198)*VERI_TABANI!$B$7 + MAX(0, VERI_TABANI!D28*B198-VERI_TABANI!D28)*VERI_TABANI!$B$8) + (MIN(MAX(0, VERI_TABANI!D28-VERI_TABANI!D28*B198), VERI_TABANI!D28*C198)*VERI_TABANI!$B$7 + MAX(0, VERI_TABANI!D28*C198-MAX(0, VERI_TABANI!D28-VERI_TABANI!D28*B198))*VERI_TABANI!$B$8) + IF(ABS(IF(ISNUMBER(SEARCH("Var", D198)), 1, IF(ISNUMBER(SEARCH("Gri", D198)), -1, 0)))=1, VERI_TABANI!E28*(1-0.928)*VERI_TABANI!$B$9, 0) + (VERI_TABANI!D28*B198*(VERI_TABANI!$B$13-VERI_TABANI!$B$14)*VERI_TABANI!G28) + (VERI_TABANI!D28*C198*(VERI_TABANI!$B$13-VERI_TABANI!$B$15)*VERI_TABANI!G28) + IF(ABS(IF(ISNUMBER(SEARCH("Var", D198)), 1, IF(ISNUMBER(SEARCH("Gri", D198)), -1, 0)))=1, VERI_TABANI!E28*(1-0.928)*0.00206091519919798*VERI_TABANI!G28, 0)))</f>
        <v/>
      </c>
      <c r="H198" s="169">
        <f>(((VERI_TABANI!D23*B198*(VERI_TABANI!$B$13-VERI_TABANI!$B$14)) + (VERI_TABANI!D23*C198*(VERI_TABANI!$B$13-VERI_TABANI!$B$15)) + IF(ISNUMBER(SEARCH("Var", D198)), VERI_TABANI!F23*(0.00202-VERI_TABANI!$B$16), IF(ISNUMBER(SEARCH("Gri", D198)), VERI_TABANI!F23*(0.00202-VERI_TABANI!$B$17), 0))) + ((VERI_TABANI!D24*B198*(VERI_TABANI!$B$13-VERI_TABANI!$B$14)) + (VERI_TABANI!D24*C198*(VERI_TABANI!$B$13-VERI_TABANI!$B$15)) + IF(ISNUMBER(SEARCH("Var", D198)), VERI_TABANI!F24*(0.00202-VERI_TABANI!$B$16), IF(ISNUMBER(SEARCH("Gri", D198)), VERI_TABANI!F24*(0.00202-VERI_TABANI!$B$17), 0))) + ((VERI_TABANI!D25*B198*(VERI_TABANI!$B$13-VERI_TABANI!$B$14)) + (VERI_TABANI!D25*C198*(VERI_TABANI!$B$13-VERI_TABANI!$B$15)) + IF(ISNUMBER(SEARCH("Var", D198)), VERI_TABANI!F25*(0.00202-VERI_TABANI!$B$16), IF(ISNUMBER(SEARCH("Gri", D198)), VERI_TABANI!F25*(0.00202-VERI_TABANI!$B$17), 0))) + ((VERI_TABANI!D26*B198*(VERI_TABANI!$B$13-VERI_TABANI!$B$14)) + (VERI_TABANI!D26*C198*(VERI_TABANI!$B$13-VERI_TABANI!$B$15)) + IF(ISNUMBER(SEARCH("Var", D198)), VERI_TABANI!F26*(0.00202-VERI_TABANI!$B$16), IF(ISNUMBER(SEARCH("Gri", D198)), VERI_TABANI!F26*(0.00202-VERI_TABANI!$B$17), 0))) + ((VERI_TABANI!D27*B198*(VERI_TABANI!$B$13-VERI_TABANI!$B$14)) + (VERI_TABANI!D27*C198*(VERI_TABANI!$B$13-VERI_TABANI!$B$15)) + IF(ISNUMBER(SEARCH("Var", D198)), VERI_TABANI!F27*(0.00202-VERI_TABANI!$B$16), IF(ISNUMBER(SEARCH("Gri", D198)), VERI_TABANI!F27*(0.00202-VERI_TABANI!$B$17), 0))) + ((VERI_TABANI!D28*B198*(VERI_TABANI!$B$13-VERI_TABANI!$B$14)) + (VERI_TABANI!D28*C198*(VERI_TABANI!$B$13-VERI_TABANI!$B$15)) + IF(ISNUMBER(SEARCH("Var", D198)), VERI_TABANI!F28*(0.00202-VERI_TABANI!$B$16), IF(ISNUMBER(SEARCH("Gri", D198)), VERI_TABANI!F28*(0.00202-VERI_TABANI!$B$17), 0))))</f>
        <v/>
      </c>
      <c r="I198" s="170">
        <f>IFERROR(((VERI_TABANI!$D$29*B198*VERI_TABANI!$B$14 + VERI_TABANI!$D$29*C198*VERI_TABANI!$B$15 + IF(ISNUMBER(SEARCH("Var", D198)), VERI_TABANI!$F$29*VERI_TABANI!$B$16, 0))) / (((VERI_TABANI!$D$29*B198 + VERI_TABANI!$D$29*C198)*VERI_TABANI!$B$13 + IF(ISNUMBER(SEARCH("Var", D198)), VERI_TABANI!$E$29*(1-0.928)*VERI_TABANI!$B$18, 0))), 0)</f>
        <v/>
      </c>
      <c r="J198" s="171">
        <f>IFERROR(F198/(G198/29), 0)</f>
        <v/>
      </c>
      <c r="K198" s="172">
        <f>IF(F198&gt;0, H198/F198, 0)</f>
        <v/>
      </c>
      <c r="L198" s="170">
        <f>IF(F198&gt;0, I198, 1000000000)</f>
        <v/>
      </c>
      <c r="M198" s="171">
        <f>ABS((B198+C198)-1)</f>
        <v/>
      </c>
      <c r="N198" s="170">
        <f>IF(F198&gt;0, (G198/29)/F198, 0)</f>
        <v/>
      </c>
      <c r="O198" s="168">
        <f>IF(AND((B198+C198)&gt;=1, ISNUMBER(SEARCH("Var", D198))), F198, 1000000000)</f>
        <v/>
      </c>
      <c r="P198" s="172">
        <f>IF(F198&gt;0, SQRT((F198/MAX(F$5:F$886))^2 + (1 - H198/MAX(H$5:H$886))^2 + (J198/MAX(J$5:J$886))^2), 1000000000)</f>
        <v/>
      </c>
      <c r="Q198" s="166">
        <f>IF(AND(ABS(B198-0.5)&lt;0.01, ABS(C198-0.5)&lt;0.01, ISNUMBER(SEARCH("Var", D198))), 1, 0)</f>
        <v/>
      </c>
      <c r="R198" s="171">
        <f>IF(F198&gt;0, J198, 1000000000)</f>
        <v/>
      </c>
      <c r="S198" s="101">
        <f>IF(AND(F198&lt;=DASHBOARD!$B$11, H198&gt;=DASHBOARD!$B$13), G198, -1000000000000)</f>
        <v/>
      </c>
      <c r="T198" s="101">
        <f>IF(AND(F198&lt;=DASHBOARD!$B$11, H198&gt;=DASHBOARD!$B$13), R198, 1000000000000)</f>
        <v/>
      </c>
      <c r="U198" s="101">
        <f>IF(AND(F198&lt;=DASHBOARD!$B$11, H198&gt;=DASHBOARD!$B$13), N198, -1000000000000)</f>
        <v/>
      </c>
      <c r="V198" s="101">
        <f>IF(AND(F198&lt;=DASHBOARD!$B$11, H198&gt;=DASHBOARD!$B$13), H198, -1000000000000)</f>
        <v/>
      </c>
      <c r="W198" s="101">
        <f>IF(AND(F198&lt;=DASHBOARD!$B$11, H198&gt;=DASHBOARD!$B$13), K198, -1000000000000)</f>
        <v/>
      </c>
      <c r="X198" s="101">
        <f>IF(AND(F198&lt;=DASHBOARD!$B$11, H198&gt;=DASHBOARD!$B$13), M198, 1000000000000)</f>
        <v/>
      </c>
      <c r="Y198" s="101">
        <f>IF(AND(F198&lt;=DASHBOARD!$B$10, H198&gt;=DASHBOARD!$B$11), L198, 1000000000000)</f>
        <v/>
      </c>
      <c r="Z198" s="101">
        <f>IF(AND(F198&lt;=DASHBOARD!$B$10, H198&gt;=DASHBOARD!$B$11), O198, 1000000000000)</f>
        <v/>
      </c>
      <c r="AA198" s="101">
        <f>IF(AND(F198&lt;=DASHBOARD!$B$10, H198&gt;=DASHBOARD!$B$11), P198, 1000000000000)</f>
        <v/>
      </c>
      <c r="AB198" s="101">
        <f>IF(AND(F198&lt;=DASHBOARD!$B$10, H198&gt;=DASHBOARD!$B$11), Q198, -1000000000000)</f>
        <v/>
      </c>
    </row>
    <row r="199" ht="12.75" customHeight="1" s="102">
      <c r="A199" s="166" t="n">
        <v>195</v>
      </c>
      <c r="B199" s="167" t="n">
        <v>0.4</v>
      </c>
      <c r="C199" s="167" t="n">
        <v>1.3</v>
      </c>
      <c r="D199" s="110" t="inlineStr">
        <is>
          <t>Yok (%0)</t>
        </is>
      </c>
      <c r="E199" s="110">
        <f>IF((B199+C199)&lt;=1, "Tam Mahsuplaşma (≤%100)", "Kısmi Satış (&gt;%100)")</f>
        <v/>
      </c>
      <c r="F199" s="168">
        <f>((VERI_TABANI!$D$29*B199/VERI_TABANI!$B$29)/VERI_TABANI!$B$3)*VERI_TABANI!$B$5 + ((VERI_TABANI!$D$29*C199/VERI_TABANI!$B$29)/VERI_TABANI!$B$4)*VERI_TABANI!$B$6 + IF(ISNUMBER(SEARCH("Var", D199)), (VERI_TABANI!$F$29/VERI_TABANI!$B$29)*(VERI_TABANI!$B$10+VERI_TABANI!$B$12), 0)</f>
        <v/>
      </c>
      <c r="G199" s="168">
        <f>(((MIN(VERI_TABANI!D23, VERI_TABANI!D23*B199)*VERI_TABANI!$B$7 + MAX(0, VERI_TABANI!D23*B199-VERI_TABANI!D23)*VERI_TABANI!$B$8) + (MIN(MAX(0, VERI_TABANI!D23-VERI_TABANI!D23*B199), VERI_TABANI!D23*C199)*VERI_TABANI!$B$7 + MAX(0, VERI_TABANI!D23*C199-MAX(0, VERI_TABANI!D23-VERI_TABANI!D23*B199))*VERI_TABANI!$B$8) + IF(ABS(IF(ISNUMBER(SEARCH("Var", D199)), 1, IF(ISNUMBER(SEARCH("Gri", D199)), -1, 0)))=1, VERI_TABANI!E23*(1-0.928)*VERI_TABANI!$B$9, 0) + (VERI_TABANI!D23*B199*(VERI_TABANI!$B$13-VERI_TABANI!$B$14)*VERI_TABANI!G23) + (VERI_TABANI!D23*C199*(VERI_TABANI!$B$13-VERI_TABANI!$B$15)*VERI_TABANI!G23) + IF(ABS(IF(ISNUMBER(SEARCH("Var", D199)), 1, IF(ISNUMBER(SEARCH("Gri", D199)), -1, 0)))=1, VERI_TABANI!E23*(1-0.928)*0.00206091519919798*VERI_TABANI!G23, 0)) + ((MIN(VERI_TABANI!D24, VERI_TABANI!D24*B199)*VERI_TABANI!$B$7 + MAX(0, VERI_TABANI!D24*B199-VERI_TABANI!D24)*VERI_TABANI!$B$8) + (MIN(MAX(0, VERI_TABANI!D24-VERI_TABANI!D24*B199), VERI_TABANI!D24*C199)*VERI_TABANI!$B$7 + MAX(0, VERI_TABANI!D24*C199-MAX(0, VERI_TABANI!D24-VERI_TABANI!D24*B199))*VERI_TABANI!$B$8) + IF(ABS(IF(ISNUMBER(SEARCH("Var", D199)), 1, IF(ISNUMBER(SEARCH("Gri", D199)), -1, 0)))=1, VERI_TABANI!E24*(1-0.928)*VERI_TABANI!$B$9, 0) + (VERI_TABANI!D24*B199*(VERI_TABANI!$B$13-VERI_TABANI!$B$14)*VERI_TABANI!G24) + (VERI_TABANI!D24*C199*(VERI_TABANI!$B$13-VERI_TABANI!$B$15)*VERI_TABANI!G24) + IF(ABS(IF(ISNUMBER(SEARCH("Var", D199)), 1, IF(ISNUMBER(SEARCH("Gri", D199)), -1, 0)))=1, VERI_TABANI!E24*(1-0.928)*0.00206091519919798*VERI_TABANI!G24, 0)) + ((MIN(VERI_TABANI!D25, VERI_TABANI!D25*B199)*VERI_TABANI!$B$7 + MAX(0, VERI_TABANI!D25*B199-VERI_TABANI!D25)*VERI_TABANI!$B$8) + (MIN(MAX(0, VERI_TABANI!D25-VERI_TABANI!D25*B199), VERI_TABANI!D25*C199)*VERI_TABANI!$B$7 + MAX(0, VERI_TABANI!D25*C199-MAX(0, VERI_TABANI!D25-VERI_TABANI!D25*B199))*VERI_TABANI!$B$8) + IF(ABS(IF(ISNUMBER(SEARCH("Var", D199)), 1, IF(ISNUMBER(SEARCH("Gri", D199)), -1, 0)))=1, VERI_TABANI!E25*(1-0.928)*VERI_TABANI!$B$9, 0) + (VERI_TABANI!D25*B199*(VERI_TABANI!$B$13-VERI_TABANI!$B$14)*VERI_TABANI!G25) + (VERI_TABANI!D25*C199*(VERI_TABANI!$B$13-VERI_TABANI!$B$15)*VERI_TABANI!G25) + IF(ABS(IF(ISNUMBER(SEARCH("Var", D199)), 1, IF(ISNUMBER(SEARCH("Gri", D199)), -1, 0)))=1, VERI_TABANI!E25*(1-0.928)*0.00206091519919798*VERI_TABANI!G25, 0)) + ((MIN(VERI_TABANI!D26, VERI_TABANI!D26*B199)*VERI_TABANI!$B$7 + MAX(0, VERI_TABANI!D26*B199-VERI_TABANI!D26)*VERI_TABANI!$B$8) + (MIN(MAX(0, VERI_TABANI!D26-VERI_TABANI!D26*B199), VERI_TABANI!D26*C199)*VERI_TABANI!$B$7 + MAX(0, VERI_TABANI!D26*C199-MAX(0, VERI_TABANI!D26-VERI_TABANI!D26*B199))*VERI_TABANI!$B$8) + IF(ABS(IF(ISNUMBER(SEARCH("Var", D199)), 1, IF(ISNUMBER(SEARCH("Gri", D199)), -1, 0)))=1, VERI_TABANI!E26*(1-0.928)*VERI_TABANI!$B$9, 0) + (VERI_TABANI!D26*B199*(VERI_TABANI!$B$13-VERI_TABANI!$B$14)*VERI_TABANI!G26) + (VERI_TABANI!D26*C199*(VERI_TABANI!$B$13-VERI_TABANI!$B$15)*VERI_TABANI!G26) + IF(ABS(IF(ISNUMBER(SEARCH("Var", D199)), 1, IF(ISNUMBER(SEARCH("Gri", D199)), -1, 0)))=1, VERI_TABANI!E26*(1-0.928)*0.00206091519919798*VERI_TABANI!G26, 0)) + ((MIN(VERI_TABANI!D27, VERI_TABANI!D27*B199)*VERI_TABANI!$B$7 + MAX(0, VERI_TABANI!D27*B199-VERI_TABANI!D27)*VERI_TABANI!$B$8) + (MIN(MAX(0, VERI_TABANI!D27-VERI_TABANI!D27*B199), VERI_TABANI!D27*C199)*VERI_TABANI!$B$7 + MAX(0, VERI_TABANI!D27*C199-MAX(0, VERI_TABANI!D27-VERI_TABANI!D27*B199))*VERI_TABANI!$B$8) + IF(ABS(IF(ISNUMBER(SEARCH("Var", D199)), 1, IF(ISNUMBER(SEARCH("Gri", D199)), -1, 0)))=1, VERI_TABANI!E27*(1-0.928)*VERI_TABANI!$B$9, 0) + (VERI_TABANI!D27*B199*(VERI_TABANI!$B$13-VERI_TABANI!$B$14)*VERI_TABANI!G27) + (VERI_TABANI!D27*C199*(VERI_TABANI!$B$13-VERI_TABANI!$B$15)*VERI_TABANI!G27) + IF(ABS(IF(ISNUMBER(SEARCH("Var", D199)), 1, IF(ISNUMBER(SEARCH("Gri", D199)), -1, 0)))=1, VERI_TABANI!E27*(1-0.928)*0.00206091519919798*VERI_TABANI!G27, 0)) + ((MIN(VERI_TABANI!D28, VERI_TABANI!D28*B199)*VERI_TABANI!$B$7 + MAX(0, VERI_TABANI!D28*B199-VERI_TABANI!D28)*VERI_TABANI!$B$8) + (MIN(MAX(0, VERI_TABANI!D28-VERI_TABANI!D28*B199), VERI_TABANI!D28*C199)*VERI_TABANI!$B$7 + MAX(0, VERI_TABANI!D28*C199-MAX(0, VERI_TABANI!D28-VERI_TABANI!D28*B199))*VERI_TABANI!$B$8) + IF(ABS(IF(ISNUMBER(SEARCH("Var", D199)), 1, IF(ISNUMBER(SEARCH("Gri", D199)), -1, 0)))=1, VERI_TABANI!E28*(1-0.928)*VERI_TABANI!$B$9, 0) + (VERI_TABANI!D28*B199*(VERI_TABANI!$B$13-VERI_TABANI!$B$14)*VERI_TABANI!G28) + (VERI_TABANI!D28*C199*(VERI_TABANI!$B$13-VERI_TABANI!$B$15)*VERI_TABANI!G28) + IF(ABS(IF(ISNUMBER(SEARCH("Var", D199)), 1, IF(ISNUMBER(SEARCH("Gri", D199)), -1, 0)))=1, VERI_TABANI!E28*(1-0.928)*0.00206091519919798*VERI_TABANI!G28, 0)))</f>
        <v/>
      </c>
      <c r="H199" s="169">
        <f>(((VERI_TABANI!D23*B199*(VERI_TABANI!$B$13-VERI_TABANI!$B$14)) + (VERI_TABANI!D23*C199*(VERI_TABANI!$B$13-VERI_TABANI!$B$15)) + IF(ISNUMBER(SEARCH("Var", D199)), VERI_TABANI!F23*(0.00202-VERI_TABANI!$B$16), IF(ISNUMBER(SEARCH("Gri", D199)), VERI_TABANI!F23*(0.00202-VERI_TABANI!$B$17), 0))) + ((VERI_TABANI!D24*B199*(VERI_TABANI!$B$13-VERI_TABANI!$B$14)) + (VERI_TABANI!D24*C199*(VERI_TABANI!$B$13-VERI_TABANI!$B$15)) + IF(ISNUMBER(SEARCH("Var", D199)), VERI_TABANI!F24*(0.00202-VERI_TABANI!$B$16), IF(ISNUMBER(SEARCH("Gri", D199)), VERI_TABANI!F24*(0.00202-VERI_TABANI!$B$17), 0))) + ((VERI_TABANI!D25*B199*(VERI_TABANI!$B$13-VERI_TABANI!$B$14)) + (VERI_TABANI!D25*C199*(VERI_TABANI!$B$13-VERI_TABANI!$B$15)) + IF(ISNUMBER(SEARCH("Var", D199)), VERI_TABANI!F25*(0.00202-VERI_TABANI!$B$16), IF(ISNUMBER(SEARCH("Gri", D199)), VERI_TABANI!F25*(0.00202-VERI_TABANI!$B$17), 0))) + ((VERI_TABANI!D26*B199*(VERI_TABANI!$B$13-VERI_TABANI!$B$14)) + (VERI_TABANI!D26*C199*(VERI_TABANI!$B$13-VERI_TABANI!$B$15)) + IF(ISNUMBER(SEARCH("Var", D199)), VERI_TABANI!F26*(0.00202-VERI_TABANI!$B$16), IF(ISNUMBER(SEARCH("Gri", D199)), VERI_TABANI!F26*(0.00202-VERI_TABANI!$B$17), 0))) + ((VERI_TABANI!D27*B199*(VERI_TABANI!$B$13-VERI_TABANI!$B$14)) + (VERI_TABANI!D27*C199*(VERI_TABANI!$B$13-VERI_TABANI!$B$15)) + IF(ISNUMBER(SEARCH("Var", D199)), VERI_TABANI!F27*(0.00202-VERI_TABANI!$B$16), IF(ISNUMBER(SEARCH("Gri", D199)), VERI_TABANI!F27*(0.00202-VERI_TABANI!$B$17), 0))) + ((VERI_TABANI!D28*B199*(VERI_TABANI!$B$13-VERI_TABANI!$B$14)) + (VERI_TABANI!D28*C199*(VERI_TABANI!$B$13-VERI_TABANI!$B$15)) + IF(ISNUMBER(SEARCH("Var", D199)), VERI_TABANI!F28*(0.00202-VERI_TABANI!$B$16), IF(ISNUMBER(SEARCH("Gri", D199)), VERI_TABANI!F28*(0.00202-VERI_TABANI!$B$17), 0))))</f>
        <v/>
      </c>
      <c r="I199" s="170">
        <f>IFERROR(((VERI_TABANI!$D$29*B199*VERI_TABANI!$B$14 + VERI_TABANI!$D$29*C199*VERI_TABANI!$B$15 + IF(ISNUMBER(SEARCH("Var", D199)), VERI_TABANI!$F$29*VERI_TABANI!$B$16, 0))) / (((VERI_TABANI!$D$29*B199 + VERI_TABANI!$D$29*C199)*VERI_TABANI!$B$13 + IF(ISNUMBER(SEARCH("Var", D199)), VERI_TABANI!$E$29*(1-0.928)*VERI_TABANI!$B$18, 0))), 0)</f>
        <v/>
      </c>
      <c r="J199" s="171">
        <f>IFERROR(F199/(G199/29), 0)</f>
        <v/>
      </c>
      <c r="K199" s="172">
        <f>IF(F199&gt;0, H199/F199, 0)</f>
        <v/>
      </c>
      <c r="L199" s="170">
        <f>IF(F199&gt;0, I199, 1000000000)</f>
        <v/>
      </c>
      <c r="M199" s="171">
        <f>ABS((B199+C199)-1)</f>
        <v/>
      </c>
      <c r="N199" s="170">
        <f>IF(F199&gt;0, (G199/29)/F199, 0)</f>
        <v/>
      </c>
      <c r="O199" s="168">
        <f>IF(AND((B199+C199)&gt;=1, ISNUMBER(SEARCH("Var", D199))), F199, 1000000000)</f>
        <v/>
      </c>
      <c r="P199" s="172">
        <f>IF(F199&gt;0, SQRT((F199/MAX(F$5:F$886))^2 + (1 - H199/MAX(H$5:H$886))^2 + (J199/MAX(J$5:J$886))^2), 1000000000)</f>
        <v/>
      </c>
      <c r="Q199" s="166">
        <f>IF(AND(ABS(B199-0.5)&lt;0.01, ABS(C199-0.5)&lt;0.01, ISNUMBER(SEARCH("Var", D199))), 1, 0)</f>
        <v/>
      </c>
      <c r="R199" s="171">
        <f>IF(F199&gt;0, J199, 1000000000)</f>
        <v/>
      </c>
      <c r="S199" s="101">
        <f>IF(AND(F199&lt;=DASHBOARD!$B$11, H199&gt;=DASHBOARD!$B$13), G199, -1000000000000)</f>
        <v/>
      </c>
      <c r="T199" s="101">
        <f>IF(AND(F199&lt;=DASHBOARD!$B$11, H199&gt;=DASHBOARD!$B$13), R199, 1000000000000)</f>
        <v/>
      </c>
      <c r="U199" s="101">
        <f>IF(AND(F199&lt;=DASHBOARD!$B$11, H199&gt;=DASHBOARD!$B$13), N199, -1000000000000)</f>
        <v/>
      </c>
      <c r="V199" s="101">
        <f>IF(AND(F199&lt;=DASHBOARD!$B$11, H199&gt;=DASHBOARD!$B$13), H199, -1000000000000)</f>
        <v/>
      </c>
      <c r="W199" s="101">
        <f>IF(AND(F199&lt;=DASHBOARD!$B$11, H199&gt;=DASHBOARD!$B$13), K199, -1000000000000)</f>
        <v/>
      </c>
      <c r="X199" s="101">
        <f>IF(AND(F199&lt;=DASHBOARD!$B$11, H199&gt;=DASHBOARD!$B$13), M199, 1000000000000)</f>
        <v/>
      </c>
      <c r="Y199" s="101">
        <f>IF(AND(F199&lt;=DASHBOARD!$B$10, H199&gt;=DASHBOARD!$B$11), L199, 1000000000000)</f>
        <v/>
      </c>
      <c r="Z199" s="101">
        <f>IF(AND(F199&lt;=DASHBOARD!$B$10, H199&gt;=DASHBOARD!$B$11), O199, 1000000000000)</f>
        <v/>
      </c>
      <c r="AA199" s="101">
        <f>IF(AND(F199&lt;=DASHBOARD!$B$10, H199&gt;=DASHBOARD!$B$11), P199, 1000000000000)</f>
        <v/>
      </c>
      <c r="AB199" s="101">
        <f>IF(AND(F199&lt;=DASHBOARD!$B$10, H199&gt;=DASHBOARD!$B$11), Q199, -1000000000000)</f>
        <v/>
      </c>
    </row>
    <row r="200" ht="12.75" customHeight="1" s="102">
      <c r="A200" s="166" t="n">
        <v>196</v>
      </c>
      <c r="B200" s="167" t="n">
        <v>0.4</v>
      </c>
      <c r="C200" s="167" t="n">
        <v>1.3</v>
      </c>
      <c r="D200" s="110" t="inlineStr">
        <is>
          <t>Var (%20)</t>
        </is>
      </c>
      <c r="E200" s="110">
        <f>IF((B200+C200)&lt;=1, "Tam Mahsuplaşma (≤%100)", "Kısmi Satış (&gt;%100)")</f>
        <v/>
      </c>
      <c r="F200" s="168">
        <f>((VERI_TABANI!$D$29*B200/VERI_TABANI!$B$29)/VERI_TABANI!$B$3)*VERI_TABANI!$B$5 + ((VERI_TABANI!$D$29*C200/VERI_TABANI!$B$29)/VERI_TABANI!$B$4)*VERI_TABANI!$B$6 + IF(ISNUMBER(SEARCH("Var", D200)), (VERI_TABANI!$F$29/VERI_TABANI!$B$29)*(VERI_TABANI!$B$10+VERI_TABANI!$B$12), 0)</f>
        <v/>
      </c>
      <c r="G200" s="168">
        <f>(((MIN(VERI_TABANI!D23, VERI_TABANI!D23*B200)*VERI_TABANI!$B$7 + MAX(0, VERI_TABANI!D23*B200-VERI_TABANI!D23)*VERI_TABANI!$B$8) + (MIN(MAX(0, VERI_TABANI!D23-VERI_TABANI!D23*B200), VERI_TABANI!D23*C200)*VERI_TABANI!$B$7 + MAX(0, VERI_TABANI!D23*C200-MAX(0, VERI_TABANI!D23-VERI_TABANI!D23*B200))*VERI_TABANI!$B$8) + IF(ABS(IF(ISNUMBER(SEARCH("Var", D200)), 1, IF(ISNUMBER(SEARCH("Gri", D200)), -1, 0)))=1, VERI_TABANI!E23*(1-0.928)*VERI_TABANI!$B$9, 0) + (VERI_TABANI!D23*B200*(VERI_TABANI!$B$13-VERI_TABANI!$B$14)*VERI_TABANI!G23) + (VERI_TABANI!D23*C200*(VERI_TABANI!$B$13-VERI_TABANI!$B$15)*VERI_TABANI!G23) + IF(ABS(IF(ISNUMBER(SEARCH("Var", D200)), 1, IF(ISNUMBER(SEARCH("Gri", D200)), -1, 0)))=1, VERI_TABANI!E23*(1-0.928)*0.00206091519919798*VERI_TABANI!G23, 0)) + ((MIN(VERI_TABANI!D24, VERI_TABANI!D24*B200)*VERI_TABANI!$B$7 + MAX(0, VERI_TABANI!D24*B200-VERI_TABANI!D24)*VERI_TABANI!$B$8) + (MIN(MAX(0, VERI_TABANI!D24-VERI_TABANI!D24*B200), VERI_TABANI!D24*C200)*VERI_TABANI!$B$7 + MAX(0, VERI_TABANI!D24*C200-MAX(0, VERI_TABANI!D24-VERI_TABANI!D24*B200))*VERI_TABANI!$B$8) + IF(ABS(IF(ISNUMBER(SEARCH("Var", D200)), 1, IF(ISNUMBER(SEARCH("Gri", D200)), -1, 0)))=1, VERI_TABANI!E24*(1-0.928)*VERI_TABANI!$B$9, 0) + (VERI_TABANI!D24*B200*(VERI_TABANI!$B$13-VERI_TABANI!$B$14)*VERI_TABANI!G24) + (VERI_TABANI!D24*C200*(VERI_TABANI!$B$13-VERI_TABANI!$B$15)*VERI_TABANI!G24) + IF(ABS(IF(ISNUMBER(SEARCH("Var", D200)), 1, IF(ISNUMBER(SEARCH("Gri", D200)), -1, 0)))=1, VERI_TABANI!E24*(1-0.928)*0.00206091519919798*VERI_TABANI!G24, 0)) + ((MIN(VERI_TABANI!D25, VERI_TABANI!D25*B200)*VERI_TABANI!$B$7 + MAX(0, VERI_TABANI!D25*B200-VERI_TABANI!D25)*VERI_TABANI!$B$8) + (MIN(MAX(0, VERI_TABANI!D25-VERI_TABANI!D25*B200), VERI_TABANI!D25*C200)*VERI_TABANI!$B$7 + MAX(0, VERI_TABANI!D25*C200-MAX(0, VERI_TABANI!D25-VERI_TABANI!D25*B200))*VERI_TABANI!$B$8) + IF(ABS(IF(ISNUMBER(SEARCH("Var", D200)), 1, IF(ISNUMBER(SEARCH("Gri", D200)), -1, 0)))=1, VERI_TABANI!E25*(1-0.928)*VERI_TABANI!$B$9, 0) + (VERI_TABANI!D25*B200*(VERI_TABANI!$B$13-VERI_TABANI!$B$14)*VERI_TABANI!G25) + (VERI_TABANI!D25*C200*(VERI_TABANI!$B$13-VERI_TABANI!$B$15)*VERI_TABANI!G25) + IF(ABS(IF(ISNUMBER(SEARCH("Var", D200)), 1, IF(ISNUMBER(SEARCH("Gri", D200)), -1, 0)))=1, VERI_TABANI!E25*(1-0.928)*0.00206091519919798*VERI_TABANI!G25, 0)) + ((MIN(VERI_TABANI!D26, VERI_TABANI!D26*B200)*VERI_TABANI!$B$7 + MAX(0, VERI_TABANI!D26*B200-VERI_TABANI!D26)*VERI_TABANI!$B$8) + (MIN(MAX(0, VERI_TABANI!D26-VERI_TABANI!D26*B200), VERI_TABANI!D26*C200)*VERI_TABANI!$B$7 + MAX(0, VERI_TABANI!D26*C200-MAX(0, VERI_TABANI!D26-VERI_TABANI!D26*B200))*VERI_TABANI!$B$8) + IF(ABS(IF(ISNUMBER(SEARCH("Var", D200)), 1, IF(ISNUMBER(SEARCH("Gri", D200)), -1, 0)))=1, VERI_TABANI!E26*(1-0.928)*VERI_TABANI!$B$9, 0) + (VERI_TABANI!D26*B200*(VERI_TABANI!$B$13-VERI_TABANI!$B$14)*VERI_TABANI!G26) + (VERI_TABANI!D26*C200*(VERI_TABANI!$B$13-VERI_TABANI!$B$15)*VERI_TABANI!G26) + IF(ABS(IF(ISNUMBER(SEARCH("Var", D200)), 1, IF(ISNUMBER(SEARCH("Gri", D200)), -1, 0)))=1, VERI_TABANI!E26*(1-0.928)*0.00206091519919798*VERI_TABANI!G26, 0)) + ((MIN(VERI_TABANI!D27, VERI_TABANI!D27*B200)*VERI_TABANI!$B$7 + MAX(0, VERI_TABANI!D27*B200-VERI_TABANI!D27)*VERI_TABANI!$B$8) + (MIN(MAX(0, VERI_TABANI!D27-VERI_TABANI!D27*B200), VERI_TABANI!D27*C200)*VERI_TABANI!$B$7 + MAX(0, VERI_TABANI!D27*C200-MAX(0, VERI_TABANI!D27-VERI_TABANI!D27*B200))*VERI_TABANI!$B$8) + IF(ABS(IF(ISNUMBER(SEARCH("Var", D200)), 1, IF(ISNUMBER(SEARCH("Gri", D200)), -1, 0)))=1, VERI_TABANI!E27*(1-0.928)*VERI_TABANI!$B$9, 0) + (VERI_TABANI!D27*B200*(VERI_TABANI!$B$13-VERI_TABANI!$B$14)*VERI_TABANI!G27) + (VERI_TABANI!D27*C200*(VERI_TABANI!$B$13-VERI_TABANI!$B$15)*VERI_TABANI!G27) + IF(ABS(IF(ISNUMBER(SEARCH("Var", D200)), 1, IF(ISNUMBER(SEARCH("Gri", D200)), -1, 0)))=1, VERI_TABANI!E27*(1-0.928)*0.00206091519919798*VERI_TABANI!G27, 0)) + ((MIN(VERI_TABANI!D28, VERI_TABANI!D28*B200)*VERI_TABANI!$B$7 + MAX(0, VERI_TABANI!D28*B200-VERI_TABANI!D28)*VERI_TABANI!$B$8) + (MIN(MAX(0, VERI_TABANI!D28-VERI_TABANI!D28*B200), VERI_TABANI!D28*C200)*VERI_TABANI!$B$7 + MAX(0, VERI_TABANI!D28*C200-MAX(0, VERI_TABANI!D28-VERI_TABANI!D28*B200))*VERI_TABANI!$B$8) + IF(ABS(IF(ISNUMBER(SEARCH("Var", D200)), 1, IF(ISNUMBER(SEARCH("Gri", D200)), -1, 0)))=1, VERI_TABANI!E28*(1-0.928)*VERI_TABANI!$B$9, 0) + (VERI_TABANI!D28*B200*(VERI_TABANI!$B$13-VERI_TABANI!$B$14)*VERI_TABANI!G28) + (VERI_TABANI!D28*C200*(VERI_TABANI!$B$13-VERI_TABANI!$B$15)*VERI_TABANI!G28) + IF(ABS(IF(ISNUMBER(SEARCH("Var", D200)), 1, IF(ISNUMBER(SEARCH("Gri", D200)), -1, 0)))=1, VERI_TABANI!E28*(1-0.928)*0.00206091519919798*VERI_TABANI!G28, 0)))</f>
        <v/>
      </c>
      <c r="H200" s="169">
        <f>(((VERI_TABANI!D23*B200*(VERI_TABANI!$B$13-VERI_TABANI!$B$14)) + (VERI_TABANI!D23*C200*(VERI_TABANI!$B$13-VERI_TABANI!$B$15)) + IF(ISNUMBER(SEARCH("Var", D200)), VERI_TABANI!F23*(0.00202-VERI_TABANI!$B$16), IF(ISNUMBER(SEARCH("Gri", D200)), VERI_TABANI!F23*(0.00202-VERI_TABANI!$B$17), 0))) + ((VERI_TABANI!D24*B200*(VERI_TABANI!$B$13-VERI_TABANI!$B$14)) + (VERI_TABANI!D24*C200*(VERI_TABANI!$B$13-VERI_TABANI!$B$15)) + IF(ISNUMBER(SEARCH("Var", D200)), VERI_TABANI!F24*(0.00202-VERI_TABANI!$B$16), IF(ISNUMBER(SEARCH("Gri", D200)), VERI_TABANI!F24*(0.00202-VERI_TABANI!$B$17), 0))) + ((VERI_TABANI!D25*B200*(VERI_TABANI!$B$13-VERI_TABANI!$B$14)) + (VERI_TABANI!D25*C200*(VERI_TABANI!$B$13-VERI_TABANI!$B$15)) + IF(ISNUMBER(SEARCH("Var", D200)), VERI_TABANI!F25*(0.00202-VERI_TABANI!$B$16), IF(ISNUMBER(SEARCH("Gri", D200)), VERI_TABANI!F25*(0.00202-VERI_TABANI!$B$17), 0))) + ((VERI_TABANI!D26*B200*(VERI_TABANI!$B$13-VERI_TABANI!$B$14)) + (VERI_TABANI!D26*C200*(VERI_TABANI!$B$13-VERI_TABANI!$B$15)) + IF(ISNUMBER(SEARCH("Var", D200)), VERI_TABANI!F26*(0.00202-VERI_TABANI!$B$16), IF(ISNUMBER(SEARCH("Gri", D200)), VERI_TABANI!F26*(0.00202-VERI_TABANI!$B$17), 0))) + ((VERI_TABANI!D27*B200*(VERI_TABANI!$B$13-VERI_TABANI!$B$14)) + (VERI_TABANI!D27*C200*(VERI_TABANI!$B$13-VERI_TABANI!$B$15)) + IF(ISNUMBER(SEARCH("Var", D200)), VERI_TABANI!F27*(0.00202-VERI_TABANI!$B$16), IF(ISNUMBER(SEARCH("Gri", D200)), VERI_TABANI!F27*(0.00202-VERI_TABANI!$B$17), 0))) + ((VERI_TABANI!D28*B200*(VERI_TABANI!$B$13-VERI_TABANI!$B$14)) + (VERI_TABANI!D28*C200*(VERI_TABANI!$B$13-VERI_TABANI!$B$15)) + IF(ISNUMBER(SEARCH("Var", D200)), VERI_TABANI!F28*(0.00202-VERI_TABANI!$B$16), IF(ISNUMBER(SEARCH("Gri", D200)), VERI_TABANI!F28*(0.00202-VERI_TABANI!$B$17), 0))))</f>
        <v/>
      </c>
      <c r="I200" s="170">
        <f>IFERROR(((VERI_TABANI!$D$29*B200*VERI_TABANI!$B$14 + VERI_TABANI!$D$29*C200*VERI_TABANI!$B$15 + IF(ISNUMBER(SEARCH("Var", D200)), VERI_TABANI!$F$29*VERI_TABANI!$B$16, 0))) / (((VERI_TABANI!$D$29*B200 + VERI_TABANI!$D$29*C200)*VERI_TABANI!$B$13 + IF(ISNUMBER(SEARCH("Var", D200)), VERI_TABANI!$E$29*(1-0.928)*VERI_TABANI!$B$18, 0))), 0)</f>
        <v/>
      </c>
      <c r="J200" s="171">
        <f>IFERROR(F200/(G200/29), 0)</f>
        <v/>
      </c>
      <c r="K200" s="172">
        <f>IF(F200&gt;0, H200/F200, 0)</f>
        <v/>
      </c>
      <c r="L200" s="170">
        <f>IF(F200&gt;0, I200, 1000000000)</f>
        <v/>
      </c>
      <c r="M200" s="171">
        <f>ABS((B200+C200)-1)</f>
        <v/>
      </c>
      <c r="N200" s="170">
        <f>IF(F200&gt;0, (G200/29)/F200, 0)</f>
        <v/>
      </c>
      <c r="O200" s="168">
        <f>IF(AND((B200+C200)&gt;=1, ISNUMBER(SEARCH("Var", D200))), F200, 1000000000)</f>
        <v/>
      </c>
      <c r="P200" s="172">
        <f>IF(F200&gt;0, SQRT((F200/MAX(F$5:F$886))^2 + (1 - H200/MAX(H$5:H$886))^2 + (J200/MAX(J$5:J$886))^2), 1000000000)</f>
        <v/>
      </c>
      <c r="Q200" s="166">
        <f>IF(AND(ABS(B200-0.5)&lt;0.01, ABS(C200-0.5)&lt;0.01, ISNUMBER(SEARCH("Var", D200))), 1, 0)</f>
        <v/>
      </c>
      <c r="R200" s="171">
        <f>IF(F200&gt;0, J200, 1000000000)</f>
        <v/>
      </c>
      <c r="S200" s="101">
        <f>IF(AND(F200&lt;=DASHBOARD!$B$11, H200&gt;=DASHBOARD!$B$13), G200, -1000000000000)</f>
        <v/>
      </c>
      <c r="T200" s="101">
        <f>IF(AND(F200&lt;=DASHBOARD!$B$11, H200&gt;=DASHBOARD!$B$13), R200, 1000000000000)</f>
        <v/>
      </c>
      <c r="U200" s="101">
        <f>IF(AND(F200&lt;=DASHBOARD!$B$11, H200&gt;=DASHBOARD!$B$13), N200, -1000000000000)</f>
        <v/>
      </c>
      <c r="V200" s="101">
        <f>IF(AND(F200&lt;=DASHBOARD!$B$11, H200&gt;=DASHBOARD!$B$13), H200, -1000000000000)</f>
        <v/>
      </c>
      <c r="W200" s="101">
        <f>IF(AND(F200&lt;=DASHBOARD!$B$11, H200&gt;=DASHBOARD!$B$13), K200, -1000000000000)</f>
        <v/>
      </c>
      <c r="X200" s="101">
        <f>IF(AND(F200&lt;=DASHBOARD!$B$11, H200&gt;=DASHBOARD!$B$13), M200, 1000000000000)</f>
        <v/>
      </c>
      <c r="Y200" s="101">
        <f>IF(AND(F200&lt;=DASHBOARD!$B$10, H200&gt;=DASHBOARD!$B$11), L200, 1000000000000)</f>
        <v/>
      </c>
      <c r="Z200" s="101">
        <f>IF(AND(F200&lt;=DASHBOARD!$B$10, H200&gt;=DASHBOARD!$B$11), O200, 1000000000000)</f>
        <v/>
      </c>
      <c r="AA200" s="101">
        <f>IF(AND(F200&lt;=DASHBOARD!$B$10, H200&gt;=DASHBOARD!$B$11), P200, 1000000000000)</f>
        <v/>
      </c>
      <c r="AB200" s="101">
        <f>IF(AND(F200&lt;=DASHBOARD!$B$10, H200&gt;=DASHBOARD!$B$11), Q200, -1000000000000)</f>
        <v/>
      </c>
    </row>
    <row r="201" ht="12.75" customHeight="1" s="102">
      <c r="A201" s="166" t="n">
        <v>197</v>
      </c>
      <c r="B201" s="167" t="n">
        <v>0.4</v>
      </c>
      <c r="C201" s="167" t="n">
        <v>1.4</v>
      </c>
      <c r="D201" s="110" t="inlineStr">
        <is>
          <t>Yok (%0)</t>
        </is>
      </c>
      <c r="E201" s="110">
        <f>IF((B201+C201)&lt;=1, "Tam Mahsuplaşma (≤%100)", "Kısmi Satış (&gt;%100)")</f>
        <v/>
      </c>
      <c r="F201" s="168">
        <f>((VERI_TABANI!$D$29*B201/VERI_TABANI!$B$29)/VERI_TABANI!$B$3)*VERI_TABANI!$B$5 + ((VERI_TABANI!$D$29*C201/VERI_TABANI!$B$29)/VERI_TABANI!$B$4)*VERI_TABANI!$B$6 + IF(ISNUMBER(SEARCH("Var", D201)), (VERI_TABANI!$F$29/VERI_TABANI!$B$29)*(VERI_TABANI!$B$10+VERI_TABANI!$B$12), 0)</f>
        <v/>
      </c>
      <c r="G201" s="168">
        <f>(((MIN(VERI_TABANI!D23, VERI_TABANI!D23*B201)*VERI_TABANI!$B$7 + MAX(0, VERI_TABANI!D23*B201-VERI_TABANI!D23)*VERI_TABANI!$B$8) + (MIN(MAX(0, VERI_TABANI!D23-VERI_TABANI!D23*B201), VERI_TABANI!D23*C201)*VERI_TABANI!$B$7 + MAX(0, VERI_TABANI!D23*C201-MAX(0, VERI_TABANI!D23-VERI_TABANI!D23*B201))*VERI_TABANI!$B$8) + IF(ABS(IF(ISNUMBER(SEARCH("Var", D201)), 1, IF(ISNUMBER(SEARCH("Gri", D201)), -1, 0)))=1, VERI_TABANI!E23*(1-0.928)*VERI_TABANI!$B$9, 0) + (VERI_TABANI!D23*B201*(VERI_TABANI!$B$13-VERI_TABANI!$B$14)*VERI_TABANI!G23) + (VERI_TABANI!D23*C201*(VERI_TABANI!$B$13-VERI_TABANI!$B$15)*VERI_TABANI!G23) + IF(ABS(IF(ISNUMBER(SEARCH("Var", D201)), 1, IF(ISNUMBER(SEARCH("Gri", D201)), -1, 0)))=1, VERI_TABANI!E23*(1-0.928)*0.00206091519919798*VERI_TABANI!G23, 0)) + ((MIN(VERI_TABANI!D24, VERI_TABANI!D24*B201)*VERI_TABANI!$B$7 + MAX(0, VERI_TABANI!D24*B201-VERI_TABANI!D24)*VERI_TABANI!$B$8) + (MIN(MAX(0, VERI_TABANI!D24-VERI_TABANI!D24*B201), VERI_TABANI!D24*C201)*VERI_TABANI!$B$7 + MAX(0, VERI_TABANI!D24*C201-MAX(0, VERI_TABANI!D24-VERI_TABANI!D24*B201))*VERI_TABANI!$B$8) + IF(ABS(IF(ISNUMBER(SEARCH("Var", D201)), 1, IF(ISNUMBER(SEARCH("Gri", D201)), -1, 0)))=1, VERI_TABANI!E24*(1-0.928)*VERI_TABANI!$B$9, 0) + (VERI_TABANI!D24*B201*(VERI_TABANI!$B$13-VERI_TABANI!$B$14)*VERI_TABANI!G24) + (VERI_TABANI!D24*C201*(VERI_TABANI!$B$13-VERI_TABANI!$B$15)*VERI_TABANI!G24) + IF(ABS(IF(ISNUMBER(SEARCH("Var", D201)), 1, IF(ISNUMBER(SEARCH("Gri", D201)), -1, 0)))=1, VERI_TABANI!E24*(1-0.928)*0.00206091519919798*VERI_TABANI!G24, 0)) + ((MIN(VERI_TABANI!D25, VERI_TABANI!D25*B201)*VERI_TABANI!$B$7 + MAX(0, VERI_TABANI!D25*B201-VERI_TABANI!D25)*VERI_TABANI!$B$8) + (MIN(MAX(0, VERI_TABANI!D25-VERI_TABANI!D25*B201), VERI_TABANI!D25*C201)*VERI_TABANI!$B$7 + MAX(0, VERI_TABANI!D25*C201-MAX(0, VERI_TABANI!D25-VERI_TABANI!D25*B201))*VERI_TABANI!$B$8) + IF(ABS(IF(ISNUMBER(SEARCH("Var", D201)), 1, IF(ISNUMBER(SEARCH("Gri", D201)), -1, 0)))=1, VERI_TABANI!E25*(1-0.928)*VERI_TABANI!$B$9, 0) + (VERI_TABANI!D25*B201*(VERI_TABANI!$B$13-VERI_TABANI!$B$14)*VERI_TABANI!G25) + (VERI_TABANI!D25*C201*(VERI_TABANI!$B$13-VERI_TABANI!$B$15)*VERI_TABANI!G25) + IF(ABS(IF(ISNUMBER(SEARCH("Var", D201)), 1, IF(ISNUMBER(SEARCH("Gri", D201)), -1, 0)))=1, VERI_TABANI!E25*(1-0.928)*0.00206091519919798*VERI_TABANI!G25, 0)) + ((MIN(VERI_TABANI!D26, VERI_TABANI!D26*B201)*VERI_TABANI!$B$7 + MAX(0, VERI_TABANI!D26*B201-VERI_TABANI!D26)*VERI_TABANI!$B$8) + (MIN(MAX(0, VERI_TABANI!D26-VERI_TABANI!D26*B201), VERI_TABANI!D26*C201)*VERI_TABANI!$B$7 + MAX(0, VERI_TABANI!D26*C201-MAX(0, VERI_TABANI!D26-VERI_TABANI!D26*B201))*VERI_TABANI!$B$8) + IF(ABS(IF(ISNUMBER(SEARCH("Var", D201)), 1, IF(ISNUMBER(SEARCH("Gri", D201)), -1, 0)))=1, VERI_TABANI!E26*(1-0.928)*VERI_TABANI!$B$9, 0) + (VERI_TABANI!D26*B201*(VERI_TABANI!$B$13-VERI_TABANI!$B$14)*VERI_TABANI!G26) + (VERI_TABANI!D26*C201*(VERI_TABANI!$B$13-VERI_TABANI!$B$15)*VERI_TABANI!G26) + IF(ABS(IF(ISNUMBER(SEARCH("Var", D201)), 1, IF(ISNUMBER(SEARCH("Gri", D201)), -1, 0)))=1, VERI_TABANI!E26*(1-0.928)*0.00206091519919798*VERI_TABANI!G26, 0)) + ((MIN(VERI_TABANI!D27, VERI_TABANI!D27*B201)*VERI_TABANI!$B$7 + MAX(0, VERI_TABANI!D27*B201-VERI_TABANI!D27)*VERI_TABANI!$B$8) + (MIN(MAX(0, VERI_TABANI!D27-VERI_TABANI!D27*B201), VERI_TABANI!D27*C201)*VERI_TABANI!$B$7 + MAX(0, VERI_TABANI!D27*C201-MAX(0, VERI_TABANI!D27-VERI_TABANI!D27*B201))*VERI_TABANI!$B$8) + IF(ABS(IF(ISNUMBER(SEARCH("Var", D201)), 1, IF(ISNUMBER(SEARCH("Gri", D201)), -1, 0)))=1, VERI_TABANI!E27*(1-0.928)*VERI_TABANI!$B$9, 0) + (VERI_TABANI!D27*B201*(VERI_TABANI!$B$13-VERI_TABANI!$B$14)*VERI_TABANI!G27) + (VERI_TABANI!D27*C201*(VERI_TABANI!$B$13-VERI_TABANI!$B$15)*VERI_TABANI!G27) + IF(ABS(IF(ISNUMBER(SEARCH("Var", D201)), 1, IF(ISNUMBER(SEARCH("Gri", D201)), -1, 0)))=1, VERI_TABANI!E27*(1-0.928)*0.00206091519919798*VERI_TABANI!G27, 0)) + ((MIN(VERI_TABANI!D28, VERI_TABANI!D28*B201)*VERI_TABANI!$B$7 + MAX(0, VERI_TABANI!D28*B201-VERI_TABANI!D28)*VERI_TABANI!$B$8) + (MIN(MAX(0, VERI_TABANI!D28-VERI_TABANI!D28*B201), VERI_TABANI!D28*C201)*VERI_TABANI!$B$7 + MAX(0, VERI_TABANI!D28*C201-MAX(0, VERI_TABANI!D28-VERI_TABANI!D28*B201))*VERI_TABANI!$B$8) + IF(ABS(IF(ISNUMBER(SEARCH("Var", D201)), 1, IF(ISNUMBER(SEARCH("Gri", D201)), -1, 0)))=1, VERI_TABANI!E28*(1-0.928)*VERI_TABANI!$B$9, 0) + (VERI_TABANI!D28*B201*(VERI_TABANI!$B$13-VERI_TABANI!$B$14)*VERI_TABANI!G28) + (VERI_TABANI!D28*C201*(VERI_TABANI!$B$13-VERI_TABANI!$B$15)*VERI_TABANI!G28) + IF(ABS(IF(ISNUMBER(SEARCH("Var", D201)), 1, IF(ISNUMBER(SEARCH("Gri", D201)), -1, 0)))=1, VERI_TABANI!E28*(1-0.928)*0.00206091519919798*VERI_TABANI!G28, 0)))</f>
        <v/>
      </c>
      <c r="H201" s="169">
        <f>(((VERI_TABANI!D23*B201*(VERI_TABANI!$B$13-VERI_TABANI!$B$14)) + (VERI_TABANI!D23*C201*(VERI_TABANI!$B$13-VERI_TABANI!$B$15)) + IF(ISNUMBER(SEARCH("Var", D201)), VERI_TABANI!F23*(0.00202-VERI_TABANI!$B$16), IF(ISNUMBER(SEARCH("Gri", D201)), VERI_TABANI!F23*(0.00202-VERI_TABANI!$B$17), 0))) + ((VERI_TABANI!D24*B201*(VERI_TABANI!$B$13-VERI_TABANI!$B$14)) + (VERI_TABANI!D24*C201*(VERI_TABANI!$B$13-VERI_TABANI!$B$15)) + IF(ISNUMBER(SEARCH("Var", D201)), VERI_TABANI!F24*(0.00202-VERI_TABANI!$B$16), IF(ISNUMBER(SEARCH("Gri", D201)), VERI_TABANI!F24*(0.00202-VERI_TABANI!$B$17), 0))) + ((VERI_TABANI!D25*B201*(VERI_TABANI!$B$13-VERI_TABANI!$B$14)) + (VERI_TABANI!D25*C201*(VERI_TABANI!$B$13-VERI_TABANI!$B$15)) + IF(ISNUMBER(SEARCH("Var", D201)), VERI_TABANI!F25*(0.00202-VERI_TABANI!$B$16), IF(ISNUMBER(SEARCH("Gri", D201)), VERI_TABANI!F25*(0.00202-VERI_TABANI!$B$17), 0))) + ((VERI_TABANI!D26*B201*(VERI_TABANI!$B$13-VERI_TABANI!$B$14)) + (VERI_TABANI!D26*C201*(VERI_TABANI!$B$13-VERI_TABANI!$B$15)) + IF(ISNUMBER(SEARCH("Var", D201)), VERI_TABANI!F26*(0.00202-VERI_TABANI!$B$16), IF(ISNUMBER(SEARCH("Gri", D201)), VERI_TABANI!F26*(0.00202-VERI_TABANI!$B$17), 0))) + ((VERI_TABANI!D27*B201*(VERI_TABANI!$B$13-VERI_TABANI!$B$14)) + (VERI_TABANI!D27*C201*(VERI_TABANI!$B$13-VERI_TABANI!$B$15)) + IF(ISNUMBER(SEARCH("Var", D201)), VERI_TABANI!F27*(0.00202-VERI_TABANI!$B$16), IF(ISNUMBER(SEARCH("Gri", D201)), VERI_TABANI!F27*(0.00202-VERI_TABANI!$B$17), 0))) + ((VERI_TABANI!D28*B201*(VERI_TABANI!$B$13-VERI_TABANI!$B$14)) + (VERI_TABANI!D28*C201*(VERI_TABANI!$B$13-VERI_TABANI!$B$15)) + IF(ISNUMBER(SEARCH("Var", D201)), VERI_TABANI!F28*(0.00202-VERI_TABANI!$B$16), IF(ISNUMBER(SEARCH("Gri", D201)), VERI_TABANI!F28*(0.00202-VERI_TABANI!$B$17), 0))))</f>
        <v/>
      </c>
      <c r="I201" s="170">
        <f>IFERROR(((VERI_TABANI!$D$29*B201*VERI_TABANI!$B$14 + VERI_TABANI!$D$29*C201*VERI_TABANI!$B$15 + IF(ISNUMBER(SEARCH("Var", D201)), VERI_TABANI!$F$29*VERI_TABANI!$B$16, 0))) / (((VERI_TABANI!$D$29*B201 + VERI_TABANI!$D$29*C201)*VERI_TABANI!$B$13 + IF(ISNUMBER(SEARCH("Var", D201)), VERI_TABANI!$E$29*(1-0.928)*VERI_TABANI!$B$18, 0))), 0)</f>
        <v/>
      </c>
      <c r="J201" s="171">
        <f>IFERROR(F201/(G201/29), 0)</f>
        <v/>
      </c>
      <c r="K201" s="172">
        <f>IF(F201&gt;0, H201/F201, 0)</f>
        <v/>
      </c>
      <c r="L201" s="170">
        <f>IF(F201&gt;0, I201, 1000000000)</f>
        <v/>
      </c>
      <c r="M201" s="171">
        <f>ABS((B201+C201)-1)</f>
        <v/>
      </c>
      <c r="N201" s="170">
        <f>IF(F201&gt;0, (G201/29)/F201, 0)</f>
        <v/>
      </c>
      <c r="O201" s="168">
        <f>IF(AND((B201+C201)&gt;=1, ISNUMBER(SEARCH("Var", D201))), F201, 1000000000)</f>
        <v/>
      </c>
      <c r="P201" s="172">
        <f>IF(F201&gt;0, SQRT((F201/MAX(F$5:F$886))^2 + (1 - H201/MAX(H$5:H$886))^2 + (J201/MAX(J$5:J$886))^2), 1000000000)</f>
        <v/>
      </c>
      <c r="Q201" s="166">
        <f>IF(AND(ABS(B201-0.5)&lt;0.01, ABS(C201-0.5)&lt;0.01, ISNUMBER(SEARCH("Var", D201))), 1, 0)</f>
        <v/>
      </c>
      <c r="R201" s="171">
        <f>IF(F201&gt;0, J201, 1000000000)</f>
        <v/>
      </c>
      <c r="S201" s="101">
        <f>IF(AND(F201&lt;=DASHBOARD!$B$11, H201&gt;=DASHBOARD!$B$13), G201, -1000000000000)</f>
        <v/>
      </c>
      <c r="T201" s="101">
        <f>IF(AND(F201&lt;=DASHBOARD!$B$11, H201&gt;=DASHBOARD!$B$13), R201, 1000000000000)</f>
        <v/>
      </c>
      <c r="U201" s="101">
        <f>IF(AND(F201&lt;=DASHBOARD!$B$11, H201&gt;=DASHBOARD!$B$13), N201, -1000000000000)</f>
        <v/>
      </c>
      <c r="V201" s="101">
        <f>IF(AND(F201&lt;=DASHBOARD!$B$11, H201&gt;=DASHBOARD!$B$13), H201, -1000000000000)</f>
        <v/>
      </c>
      <c r="W201" s="101">
        <f>IF(AND(F201&lt;=DASHBOARD!$B$11, H201&gt;=DASHBOARD!$B$13), K201, -1000000000000)</f>
        <v/>
      </c>
      <c r="X201" s="101">
        <f>IF(AND(F201&lt;=DASHBOARD!$B$11, H201&gt;=DASHBOARD!$B$13), M201, 1000000000000)</f>
        <v/>
      </c>
      <c r="Y201" s="101">
        <f>IF(AND(F201&lt;=DASHBOARD!$B$10, H201&gt;=DASHBOARD!$B$11), L201, 1000000000000)</f>
        <v/>
      </c>
      <c r="Z201" s="101">
        <f>IF(AND(F201&lt;=DASHBOARD!$B$10, H201&gt;=DASHBOARD!$B$11), O201, 1000000000000)</f>
        <v/>
      </c>
      <c r="AA201" s="101">
        <f>IF(AND(F201&lt;=DASHBOARD!$B$10, H201&gt;=DASHBOARD!$B$11), P201, 1000000000000)</f>
        <v/>
      </c>
      <c r="AB201" s="101">
        <f>IF(AND(F201&lt;=DASHBOARD!$B$10, H201&gt;=DASHBOARD!$B$11), Q201, -1000000000000)</f>
        <v/>
      </c>
    </row>
    <row r="202" ht="15" customHeight="1" s="102">
      <c r="A202" s="166" t="n">
        <v>198</v>
      </c>
      <c r="B202" s="167" t="n">
        <v>0.4</v>
      </c>
      <c r="C202" s="167" t="n">
        <v>1.4</v>
      </c>
      <c r="D202" s="110" t="inlineStr">
        <is>
          <t>Var (%20)</t>
        </is>
      </c>
      <c r="E202" s="110">
        <f>IF((B202+C202)&lt;=1, "Tam Mahsuplaşma (≤%100)", "Kısmi Satış (&gt;%100)")</f>
        <v/>
      </c>
      <c r="F202" s="168">
        <f>((VERI_TABANI!$D$29*B202/VERI_TABANI!$B$29)/VERI_TABANI!$B$3)*VERI_TABANI!$B$5 + ((VERI_TABANI!$D$29*C202/VERI_TABANI!$B$29)/VERI_TABANI!$B$4)*VERI_TABANI!$B$6 + IF(ISNUMBER(SEARCH("Var", D202)), (VERI_TABANI!$F$29/VERI_TABANI!$B$29)*(VERI_TABANI!$B$10+VERI_TABANI!$B$12), 0)</f>
        <v/>
      </c>
      <c r="G202" s="168">
        <f>(((MIN(VERI_TABANI!D23, VERI_TABANI!D23*B202)*VERI_TABANI!$B$7 + MAX(0, VERI_TABANI!D23*B202-VERI_TABANI!D23)*VERI_TABANI!$B$8) + (MIN(MAX(0, VERI_TABANI!D23-VERI_TABANI!D23*B202), VERI_TABANI!D23*C202)*VERI_TABANI!$B$7 + MAX(0, VERI_TABANI!D23*C202-MAX(0, VERI_TABANI!D23-VERI_TABANI!D23*B202))*VERI_TABANI!$B$8) + IF(ABS(IF(ISNUMBER(SEARCH("Var", D202)), 1, IF(ISNUMBER(SEARCH("Gri", D202)), -1, 0)))=1, VERI_TABANI!E23*(1-0.928)*VERI_TABANI!$B$9, 0) + (VERI_TABANI!D23*B202*(VERI_TABANI!$B$13-VERI_TABANI!$B$14)*VERI_TABANI!G23) + (VERI_TABANI!D23*C202*(VERI_TABANI!$B$13-VERI_TABANI!$B$15)*VERI_TABANI!G23) + IF(ABS(IF(ISNUMBER(SEARCH("Var", D202)), 1, IF(ISNUMBER(SEARCH("Gri", D202)), -1, 0)))=1, VERI_TABANI!E23*(1-0.928)*0.00206091519919798*VERI_TABANI!G23, 0)) + ((MIN(VERI_TABANI!D24, VERI_TABANI!D24*B202)*VERI_TABANI!$B$7 + MAX(0, VERI_TABANI!D24*B202-VERI_TABANI!D24)*VERI_TABANI!$B$8) + (MIN(MAX(0, VERI_TABANI!D24-VERI_TABANI!D24*B202), VERI_TABANI!D24*C202)*VERI_TABANI!$B$7 + MAX(0, VERI_TABANI!D24*C202-MAX(0, VERI_TABANI!D24-VERI_TABANI!D24*B202))*VERI_TABANI!$B$8) + IF(ABS(IF(ISNUMBER(SEARCH("Var", D202)), 1, IF(ISNUMBER(SEARCH("Gri", D202)), -1, 0)))=1, VERI_TABANI!E24*(1-0.928)*VERI_TABANI!$B$9, 0) + (VERI_TABANI!D24*B202*(VERI_TABANI!$B$13-VERI_TABANI!$B$14)*VERI_TABANI!G24) + (VERI_TABANI!D24*C202*(VERI_TABANI!$B$13-VERI_TABANI!$B$15)*VERI_TABANI!G24) + IF(ABS(IF(ISNUMBER(SEARCH("Var", D202)), 1, IF(ISNUMBER(SEARCH("Gri", D202)), -1, 0)))=1, VERI_TABANI!E24*(1-0.928)*0.00206091519919798*VERI_TABANI!G24, 0)) + ((MIN(VERI_TABANI!D25, VERI_TABANI!D25*B202)*VERI_TABANI!$B$7 + MAX(0, VERI_TABANI!D25*B202-VERI_TABANI!D25)*VERI_TABANI!$B$8) + (MIN(MAX(0, VERI_TABANI!D25-VERI_TABANI!D25*B202), VERI_TABANI!D25*C202)*VERI_TABANI!$B$7 + MAX(0, VERI_TABANI!D25*C202-MAX(0, VERI_TABANI!D25-VERI_TABANI!D25*B202))*VERI_TABANI!$B$8) + IF(ABS(IF(ISNUMBER(SEARCH("Var", D202)), 1, IF(ISNUMBER(SEARCH("Gri", D202)), -1, 0)))=1, VERI_TABANI!E25*(1-0.928)*VERI_TABANI!$B$9, 0) + (VERI_TABANI!D25*B202*(VERI_TABANI!$B$13-VERI_TABANI!$B$14)*VERI_TABANI!G25) + (VERI_TABANI!D25*C202*(VERI_TABANI!$B$13-VERI_TABANI!$B$15)*VERI_TABANI!G25) + IF(ABS(IF(ISNUMBER(SEARCH("Var", D202)), 1, IF(ISNUMBER(SEARCH("Gri", D202)), -1, 0)))=1, VERI_TABANI!E25*(1-0.928)*0.00206091519919798*VERI_TABANI!G25, 0)) + ((MIN(VERI_TABANI!D26, VERI_TABANI!D26*B202)*VERI_TABANI!$B$7 + MAX(0, VERI_TABANI!D26*B202-VERI_TABANI!D26)*VERI_TABANI!$B$8) + (MIN(MAX(0, VERI_TABANI!D26-VERI_TABANI!D26*B202), VERI_TABANI!D26*C202)*VERI_TABANI!$B$7 + MAX(0, VERI_TABANI!D26*C202-MAX(0, VERI_TABANI!D26-VERI_TABANI!D26*B202))*VERI_TABANI!$B$8) + IF(ABS(IF(ISNUMBER(SEARCH("Var", D202)), 1, IF(ISNUMBER(SEARCH("Gri", D202)), -1, 0)))=1, VERI_TABANI!E26*(1-0.928)*VERI_TABANI!$B$9, 0) + (VERI_TABANI!D26*B202*(VERI_TABANI!$B$13-VERI_TABANI!$B$14)*VERI_TABANI!G26) + (VERI_TABANI!D26*C202*(VERI_TABANI!$B$13-VERI_TABANI!$B$15)*VERI_TABANI!G26) + IF(ABS(IF(ISNUMBER(SEARCH("Var", D202)), 1, IF(ISNUMBER(SEARCH("Gri", D202)), -1, 0)))=1, VERI_TABANI!E26*(1-0.928)*0.00206091519919798*VERI_TABANI!G26, 0)) + ((MIN(VERI_TABANI!D27, VERI_TABANI!D27*B202)*VERI_TABANI!$B$7 + MAX(0, VERI_TABANI!D27*B202-VERI_TABANI!D27)*VERI_TABANI!$B$8) + (MIN(MAX(0, VERI_TABANI!D27-VERI_TABANI!D27*B202), VERI_TABANI!D27*C202)*VERI_TABANI!$B$7 + MAX(0, VERI_TABANI!D27*C202-MAX(0, VERI_TABANI!D27-VERI_TABANI!D27*B202))*VERI_TABANI!$B$8) + IF(ABS(IF(ISNUMBER(SEARCH("Var", D202)), 1, IF(ISNUMBER(SEARCH("Gri", D202)), -1, 0)))=1, VERI_TABANI!E27*(1-0.928)*VERI_TABANI!$B$9, 0) + (VERI_TABANI!D27*B202*(VERI_TABANI!$B$13-VERI_TABANI!$B$14)*VERI_TABANI!G27) + (VERI_TABANI!D27*C202*(VERI_TABANI!$B$13-VERI_TABANI!$B$15)*VERI_TABANI!G27) + IF(ABS(IF(ISNUMBER(SEARCH("Var", D202)), 1, IF(ISNUMBER(SEARCH("Gri", D202)), -1, 0)))=1, VERI_TABANI!E27*(1-0.928)*0.00206091519919798*VERI_TABANI!G27, 0)) + ((MIN(VERI_TABANI!D28, VERI_TABANI!D28*B202)*VERI_TABANI!$B$7 + MAX(0, VERI_TABANI!D28*B202-VERI_TABANI!D28)*VERI_TABANI!$B$8) + (MIN(MAX(0, VERI_TABANI!D28-VERI_TABANI!D28*B202), VERI_TABANI!D28*C202)*VERI_TABANI!$B$7 + MAX(0, VERI_TABANI!D28*C202-MAX(0, VERI_TABANI!D28-VERI_TABANI!D28*B202))*VERI_TABANI!$B$8) + IF(ABS(IF(ISNUMBER(SEARCH("Var", D202)), 1, IF(ISNUMBER(SEARCH("Gri", D202)), -1, 0)))=1, VERI_TABANI!E28*(1-0.928)*VERI_TABANI!$B$9, 0) + (VERI_TABANI!D28*B202*(VERI_TABANI!$B$13-VERI_TABANI!$B$14)*VERI_TABANI!G28) + (VERI_TABANI!D28*C202*(VERI_TABANI!$B$13-VERI_TABANI!$B$15)*VERI_TABANI!G28) + IF(ABS(IF(ISNUMBER(SEARCH("Var", D202)), 1, IF(ISNUMBER(SEARCH("Gri", D202)), -1, 0)))=1, VERI_TABANI!E28*(1-0.928)*0.00206091519919798*VERI_TABANI!G28, 0)))</f>
        <v/>
      </c>
      <c r="H202" s="169">
        <f>(((VERI_TABANI!D23*B202*(VERI_TABANI!$B$13-VERI_TABANI!$B$14)) + (VERI_TABANI!D23*C202*(VERI_TABANI!$B$13-VERI_TABANI!$B$15)) + IF(ISNUMBER(SEARCH("Var", D202)), VERI_TABANI!F23*(0.00202-VERI_TABANI!$B$16), IF(ISNUMBER(SEARCH("Gri", D202)), VERI_TABANI!F23*(0.00202-VERI_TABANI!$B$17), 0))) + ((VERI_TABANI!D24*B202*(VERI_TABANI!$B$13-VERI_TABANI!$B$14)) + (VERI_TABANI!D24*C202*(VERI_TABANI!$B$13-VERI_TABANI!$B$15)) + IF(ISNUMBER(SEARCH("Var", D202)), VERI_TABANI!F24*(0.00202-VERI_TABANI!$B$16), IF(ISNUMBER(SEARCH("Gri", D202)), VERI_TABANI!F24*(0.00202-VERI_TABANI!$B$17), 0))) + ((VERI_TABANI!D25*B202*(VERI_TABANI!$B$13-VERI_TABANI!$B$14)) + (VERI_TABANI!D25*C202*(VERI_TABANI!$B$13-VERI_TABANI!$B$15)) + IF(ISNUMBER(SEARCH("Var", D202)), VERI_TABANI!F25*(0.00202-VERI_TABANI!$B$16), IF(ISNUMBER(SEARCH("Gri", D202)), VERI_TABANI!F25*(0.00202-VERI_TABANI!$B$17), 0))) + ((VERI_TABANI!D26*B202*(VERI_TABANI!$B$13-VERI_TABANI!$B$14)) + (VERI_TABANI!D26*C202*(VERI_TABANI!$B$13-VERI_TABANI!$B$15)) + IF(ISNUMBER(SEARCH("Var", D202)), VERI_TABANI!F26*(0.00202-VERI_TABANI!$B$16), IF(ISNUMBER(SEARCH("Gri", D202)), VERI_TABANI!F26*(0.00202-VERI_TABANI!$B$17), 0))) + ((VERI_TABANI!D27*B202*(VERI_TABANI!$B$13-VERI_TABANI!$B$14)) + (VERI_TABANI!D27*C202*(VERI_TABANI!$B$13-VERI_TABANI!$B$15)) + IF(ISNUMBER(SEARCH("Var", D202)), VERI_TABANI!F27*(0.00202-VERI_TABANI!$B$16), IF(ISNUMBER(SEARCH("Gri", D202)), VERI_TABANI!F27*(0.00202-VERI_TABANI!$B$17), 0))) + ((VERI_TABANI!D28*B202*(VERI_TABANI!$B$13-VERI_TABANI!$B$14)) + (VERI_TABANI!D28*C202*(VERI_TABANI!$B$13-VERI_TABANI!$B$15)) + IF(ISNUMBER(SEARCH("Var", D202)), VERI_TABANI!F28*(0.00202-VERI_TABANI!$B$16), IF(ISNUMBER(SEARCH("Gri", D202)), VERI_TABANI!F28*(0.00202-VERI_TABANI!$B$17), 0))))</f>
        <v/>
      </c>
      <c r="I202" s="170">
        <f>IFERROR(((VERI_TABANI!$D$29*B202*VERI_TABANI!$B$14 + VERI_TABANI!$D$29*C202*VERI_TABANI!$B$15 + IF(ISNUMBER(SEARCH("Var", D202)), VERI_TABANI!$F$29*VERI_TABANI!$B$16, 0))) / (((VERI_TABANI!$D$29*B202 + VERI_TABANI!$D$29*C202)*VERI_TABANI!$B$13 + IF(ISNUMBER(SEARCH("Var", D202)), VERI_TABANI!$E$29*(1-0.928)*VERI_TABANI!$B$18, 0))), 0)</f>
        <v/>
      </c>
      <c r="J202" s="171">
        <f>IFERROR(F202/(G202/29), 0)</f>
        <v/>
      </c>
      <c r="K202" s="172">
        <f>IF(F202&gt;0, H202/F202, 0)</f>
        <v/>
      </c>
      <c r="L202" s="170">
        <f>IF(F202&gt;0, I202, 1000000000)</f>
        <v/>
      </c>
      <c r="M202" s="171">
        <f>ABS((B202+C202)-1)</f>
        <v/>
      </c>
      <c r="N202" s="170">
        <f>IF(F202&gt;0, (G202/29)/F202, 0)</f>
        <v/>
      </c>
      <c r="O202" s="168">
        <f>IF(AND((B202+C202)&gt;=1, ISNUMBER(SEARCH("Var", D202))), F202, 1000000000)</f>
        <v/>
      </c>
      <c r="P202" s="172">
        <f>IF(F202&gt;0, SQRT((F202/MAX(F$5:F$886))^2 + (1 - H202/MAX(H$5:H$886))^2 + (J202/MAX(J$5:J$886))^2), 1000000000)</f>
        <v/>
      </c>
      <c r="Q202" s="166">
        <f>IF(AND(ABS(B202-0.5)&lt;0.01, ABS(C202-0.5)&lt;0.01, ISNUMBER(SEARCH("Var", D202))), 1, 0)</f>
        <v/>
      </c>
      <c r="R202" s="171">
        <f>IF(F202&gt;0, J202, 1000000000)</f>
        <v/>
      </c>
      <c r="S202" s="101">
        <f>IF(AND(F202&lt;=DASHBOARD!$B$11, H202&gt;=DASHBOARD!$B$13), G202, -1000000000000)</f>
        <v/>
      </c>
      <c r="T202" s="101">
        <f>IF(AND(F202&lt;=DASHBOARD!$B$11, H202&gt;=DASHBOARD!$B$13), R202, 1000000000000)</f>
        <v/>
      </c>
      <c r="U202" s="101">
        <f>IF(AND(F202&lt;=DASHBOARD!$B$11, H202&gt;=DASHBOARD!$B$13), N202, -1000000000000)</f>
        <v/>
      </c>
      <c r="V202" s="101">
        <f>IF(AND(F202&lt;=DASHBOARD!$B$11, H202&gt;=DASHBOARD!$B$13), H202, -1000000000000)</f>
        <v/>
      </c>
      <c r="W202" s="101">
        <f>IF(AND(F202&lt;=DASHBOARD!$B$11, H202&gt;=DASHBOARD!$B$13), K202, -1000000000000)</f>
        <v/>
      </c>
      <c r="X202" s="101">
        <f>IF(AND(F202&lt;=DASHBOARD!$B$11, H202&gt;=DASHBOARD!$B$13), M202, 1000000000000)</f>
        <v/>
      </c>
      <c r="Y202" s="101">
        <f>IF(AND(F202&lt;=DASHBOARD!$B$10, H202&gt;=DASHBOARD!$B$11), L202, 1000000000000)</f>
        <v/>
      </c>
      <c r="Z202" s="101">
        <f>IF(AND(F202&lt;=DASHBOARD!$B$10, H202&gt;=DASHBOARD!$B$11), O202, 1000000000000)</f>
        <v/>
      </c>
      <c r="AA202" s="101">
        <f>IF(AND(F202&lt;=DASHBOARD!$B$10, H202&gt;=DASHBOARD!$B$11), P202, 1000000000000)</f>
        <v/>
      </c>
      <c r="AB202" s="101">
        <f>IF(AND(F202&lt;=DASHBOARD!$B$10, H202&gt;=DASHBOARD!$B$11), Q202, -1000000000000)</f>
        <v/>
      </c>
    </row>
    <row r="203" ht="15" customHeight="1" s="102">
      <c r="A203" s="166" t="n">
        <v>199</v>
      </c>
      <c r="B203" s="167" t="n">
        <v>0.4</v>
      </c>
      <c r="C203" s="167" t="n">
        <v>1.5</v>
      </c>
      <c r="D203" s="110" t="inlineStr">
        <is>
          <t>Yok (%0)</t>
        </is>
      </c>
      <c r="E203" s="110">
        <f>IF((B203+C203)&lt;=1, "Tam Mahsuplaşma (≤%100)", "Kısmi Satış (&gt;%100)")</f>
        <v/>
      </c>
      <c r="F203" s="168">
        <f>((VERI_TABANI!$D$29*B203/VERI_TABANI!$B$29)/VERI_TABANI!$B$3)*VERI_TABANI!$B$5 + ((VERI_TABANI!$D$29*C203/VERI_TABANI!$B$29)/VERI_TABANI!$B$4)*VERI_TABANI!$B$6 + IF(ISNUMBER(SEARCH("Var", D203)), (VERI_TABANI!$F$29/VERI_TABANI!$B$29)*(VERI_TABANI!$B$10+VERI_TABANI!$B$12), 0)</f>
        <v/>
      </c>
      <c r="G203" s="168">
        <f>(((MIN(VERI_TABANI!D23, VERI_TABANI!D23*B203)*VERI_TABANI!$B$7 + MAX(0, VERI_TABANI!D23*B203-VERI_TABANI!D23)*VERI_TABANI!$B$8) + (MIN(MAX(0, VERI_TABANI!D23-VERI_TABANI!D23*B203), VERI_TABANI!D23*C203)*VERI_TABANI!$B$7 + MAX(0, VERI_TABANI!D23*C203-MAX(0, VERI_TABANI!D23-VERI_TABANI!D23*B203))*VERI_TABANI!$B$8) + IF(ABS(IF(ISNUMBER(SEARCH("Var", D203)), 1, IF(ISNUMBER(SEARCH("Gri", D203)), -1, 0)))=1, VERI_TABANI!E23*(1-0.928)*VERI_TABANI!$B$9, 0) + (VERI_TABANI!D23*B203*(VERI_TABANI!$B$13-VERI_TABANI!$B$14)*VERI_TABANI!G23) + (VERI_TABANI!D23*C203*(VERI_TABANI!$B$13-VERI_TABANI!$B$15)*VERI_TABANI!G23) + IF(ABS(IF(ISNUMBER(SEARCH("Var", D203)), 1, IF(ISNUMBER(SEARCH("Gri", D203)), -1, 0)))=1, VERI_TABANI!E23*(1-0.928)*0.00206091519919798*VERI_TABANI!G23, 0)) + ((MIN(VERI_TABANI!D24, VERI_TABANI!D24*B203)*VERI_TABANI!$B$7 + MAX(0, VERI_TABANI!D24*B203-VERI_TABANI!D24)*VERI_TABANI!$B$8) + (MIN(MAX(0, VERI_TABANI!D24-VERI_TABANI!D24*B203), VERI_TABANI!D24*C203)*VERI_TABANI!$B$7 + MAX(0, VERI_TABANI!D24*C203-MAX(0, VERI_TABANI!D24-VERI_TABANI!D24*B203))*VERI_TABANI!$B$8) + IF(ABS(IF(ISNUMBER(SEARCH("Var", D203)), 1, IF(ISNUMBER(SEARCH("Gri", D203)), -1, 0)))=1, VERI_TABANI!E24*(1-0.928)*VERI_TABANI!$B$9, 0) + (VERI_TABANI!D24*B203*(VERI_TABANI!$B$13-VERI_TABANI!$B$14)*VERI_TABANI!G24) + (VERI_TABANI!D24*C203*(VERI_TABANI!$B$13-VERI_TABANI!$B$15)*VERI_TABANI!G24) + IF(ABS(IF(ISNUMBER(SEARCH("Var", D203)), 1, IF(ISNUMBER(SEARCH("Gri", D203)), -1, 0)))=1, VERI_TABANI!E24*(1-0.928)*0.00206091519919798*VERI_TABANI!G24, 0)) + ((MIN(VERI_TABANI!D25, VERI_TABANI!D25*B203)*VERI_TABANI!$B$7 + MAX(0, VERI_TABANI!D25*B203-VERI_TABANI!D25)*VERI_TABANI!$B$8) + (MIN(MAX(0, VERI_TABANI!D25-VERI_TABANI!D25*B203), VERI_TABANI!D25*C203)*VERI_TABANI!$B$7 + MAX(0, VERI_TABANI!D25*C203-MAX(0, VERI_TABANI!D25-VERI_TABANI!D25*B203))*VERI_TABANI!$B$8) + IF(ABS(IF(ISNUMBER(SEARCH("Var", D203)), 1, IF(ISNUMBER(SEARCH("Gri", D203)), -1, 0)))=1, VERI_TABANI!E25*(1-0.928)*VERI_TABANI!$B$9, 0) + (VERI_TABANI!D25*B203*(VERI_TABANI!$B$13-VERI_TABANI!$B$14)*VERI_TABANI!G25) + (VERI_TABANI!D25*C203*(VERI_TABANI!$B$13-VERI_TABANI!$B$15)*VERI_TABANI!G25) + IF(ABS(IF(ISNUMBER(SEARCH("Var", D203)), 1, IF(ISNUMBER(SEARCH("Gri", D203)), -1, 0)))=1, VERI_TABANI!E25*(1-0.928)*0.00206091519919798*VERI_TABANI!G25, 0)) + ((MIN(VERI_TABANI!D26, VERI_TABANI!D26*B203)*VERI_TABANI!$B$7 + MAX(0, VERI_TABANI!D26*B203-VERI_TABANI!D26)*VERI_TABANI!$B$8) + (MIN(MAX(0, VERI_TABANI!D26-VERI_TABANI!D26*B203), VERI_TABANI!D26*C203)*VERI_TABANI!$B$7 + MAX(0, VERI_TABANI!D26*C203-MAX(0, VERI_TABANI!D26-VERI_TABANI!D26*B203))*VERI_TABANI!$B$8) + IF(ABS(IF(ISNUMBER(SEARCH("Var", D203)), 1, IF(ISNUMBER(SEARCH("Gri", D203)), -1, 0)))=1, VERI_TABANI!E26*(1-0.928)*VERI_TABANI!$B$9, 0) + (VERI_TABANI!D26*B203*(VERI_TABANI!$B$13-VERI_TABANI!$B$14)*VERI_TABANI!G26) + (VERI_TABANI!D26*C203*(VERI_TABANI!$B$13-VERI_TABANI!$B$15)*VERI_TABANI!G26) + IF(ABS(IF(ISNUMBER(SEARCH("Var", D203)), 1, IF(ISNUMBER(SEARCH("Gri", D203)), -1, 0)))=1, VERI_TABANI!E26*(1-0.928)*0.00206091519919798*VERI_TABANI!G26, 0)) + ((MIN(VERI_TABANI!D27, VERI_TABANI!D27*B203)*VERI_TABANI!$B$7 + MAX(0, VERI_TABANI!D27*B203-VERI_TABANI!D27)*VERI_TABANI!$B$8) + (MIN(MAX(0, VERI_TABANI!D27-VERI_TABANI!D27*B203), VERI_TABANI!D27*C203)*VERI_TABANI!$B$7 + MAX(0, VERI_TABANI!D27*C203-MAX(0, VERI_TABANI!D27-VERI_TABANI!D27*B203))*VERI_TABANI!$B$8) + IF(ABS(IF(ISNUMBER(SEARCH("Var", D203)), 1, IF(ISNUMBER(SEARCH("Gri", D203)), -1, 0)))=1, VERI_TABANI!E27*(1-0.928)*VERI_TABANI!$B$9, 0) + (VERI_TABANI!D27*B203*(VERI_TABANI!$B$13-VERI_TABANI!$B$14)*VERI_TABANI!G27) + (VERI_TABANI!D27*C203*(VERI_TABANI!$B$13-VERI_TABANI!$B$15)*VERI_TABANI!G27) + IF(ABS(IF(ISNUMBER(SEARCH("Var", D203)), 1, IF(ISNUMBER(SEARCH("Gri", D203)), -1, 0)))=1, VERI_TABANI!E27*(1-0.928)*0.00206091519919798*VERI_TABANI!G27, 0)) + ((MIN(VERI_TABANI!D28, VERI_TABANI!D28*B203)*VERI_TABANI!$B$7 + MAX(0, VERI_TABANI!D28*B203-VERI_TABANI!D28)*VERI_TABANI!$B$8) + (MIN(MAX(0, VERI_TABANI!D28-VERI_TABANI!D28*B203), VERI_TABANI!D28*C203)*VERI_TABANI!$B$7 + MAX(0, VERI_TABANI!D28*C203-MAX(0, VERI_TABANI!D28-VERI_TABANI!D28*B203))*VERI_TABANI!$B$8) + IF(ABS(IF(ISNUMBER(SEARCH("Var", D203)), 1, IF(ISNUMBER(SEARCH("Gri", D203)), -1, 0)))=1, VERI_TABANI!E28*(1-0.928)*VERI_TABANI!$B$9, 0) + (VERI_TABANI!D28*B203*(VERI_TABANI!$B$13-VERI_TABANI!$B$14)*VERI_TABANI!G28) + (VERI_TABANI!D28*C203*(VERI_TABANI!$B$13-VERI_TABANI!$B$15)*VERI_TABANI!G28) + IF(ABS(IF(ISNUMBER(SEARCH("Var", D203)), 1, IF(ISNUMBER(SEARCH("Gri", D203)), -1, 0)))=1, VERI_TABANI!E28*(1-0.928)*0.00206091519919798*VERI_TABANI!G28, 0)))</f>
        <v/>
      </c>
      <c r="H203" s="169">
        <f>(((VERI_TABANI!D23*B203*(VERI_TABANI!$B$13-VERI_TABANI!$B$14)) + (VERI_TABANI!D23*C203*(VERI_TABANI!$B$13-VERI_TABANI!$B$15)) + IF(ISNUMBER(SEARCH("Var", D203)), VERI_TABANI!F23*(0.00202-VERI_TABANI!$B$16), IF(ISNUMBER(SEARCH("Gri", D203)), VERI_TABANI!F23*(0.00202-VERI_TABANI!$B$17), 0))) + ((VERI_TABANI!D24*B203*(VERI_TABANI!$B$13-VERI_TABANI!$B$14)) + (VERI_TABANI!D24*C203*(VERI_TABANI!$B$13-VERI_TABANI!$B$15)) + IF(ISNUMBER(SEARCH("Var", D203)), VERI_TABANI!F24*(0.00202-VERI_TABANI!$B$16), IF(ISNUMBER(SEARCH("Gri", D203)), VERI_TABANI!F24*(0.00202-VERI_TABANI!$B$17), 0))) + ((VERI_TABANI!D25*B203*(VERI_TABANI!$B$13-VERI_TABANI!$B$14)) + (VERI_TABANI!D25*C203*(VERI_TABANI!$B$13-VERI_TABANI!$B$15)) + IF(ISNUMBER(SEARCH("Var", D203)), VERI_TABANI!F25*(0.00202-VERI_TABANI!$B$16), IF(ISNUMBER(SEARCH("Gri", D203)), VERI_TABANI!F25*(0.00202-VERI_TABANI!$B$17), 0))) + ((VERI_TABANI!D26*B203*(VERI_TABANI!$B$13-VERI_TABANI!$B$14)) + (VERI_TABANI!D26*C203*(VERI_TABANI!$B$13-VERI_TABANI!$B$15)) + IF(ISNUMBER(SEARCH("Var", D203)), VERI_TABANI!F26*(0.00202-VERI_TABANI!$B$16), IF(ISNUMBER(SEARCH("Gri", D203)), VERI_TABANI!F26*(0.00202-VERI_TABANI!$B$17), 0))) + ((VERI_TABANI!D27*B203*(VERI_TABANI!$B$13-VERI_TABANI!$B$14)) + (VERI_TABANI!D27*C203*(VERI_TABANI!$B$13-VERI_TABANI!$B$15)) + IF(ISNUMBER(SEARCH("Var", D203)), VERI_TABANI!F27*(0.00202-VERI_TABANI!$B$16), IF(ISNUMBER(SEARCH("Gri", D203)), VERI_TABANI!F27*(0.00202-VERI_TABANI!$B$17), 0))) + ((VERI_TABANI!D28*B203*(VERI_TABANI!$B$13-VERI_TABANI!$B$14)) + (VERI_TABANI!D28*C203*(VERI_TABANI!$B$13-VERI_TABANI!$B$15)) + IF(ISNUMBER(SEARCH("Var", D203)), VERI_TABANI!F28*(0.00202-VERI_TABANI!$B$16), IF(ISNUMBER(SEARCH("Gri", D203)), VERI_TABANI!F28*(0.00202-VERI_TABANI!$B$17), 0))))</f>
        <v/>
      </c>
      <c r="I203" s="170">
        <f>IFERROR(((VERI_TABANI!$D$29*B203*VERI_TABANI!$B$14 + VERI_TABANI!$D$29*C203*VERI_TABANI!$B$15 + IF(ISNUMBER(SEARCH("Var", D203)), VERI_TABANI!$F$29*VERI_TABANI!$B$16, 0))) / (((VERI_TABANI!$D$29*B203 + VERI_TABANI!$D$29*C203)*VERI_TABANI!$B$13 + IF(ISNUMBER(SEARCH("Var", D203)), VERI_TABANI!$E$29*(1-0.928)*VERI_TABANI!$B$18, 0))), 0)</f>
        <v/>
      </c>
      <c r="J203" s="171">
        <f>IFERROR(F203/(G203/29), 0)</f>
        <v/>
      </c>
      <c r="K203" s="172">
        <f>IF(F203&gt;0, H203/F203, 0)</f>
        <v/>
      </c>
      <c r="L203" s="170">
        <f>IF(F203&gt;0, I203, 1000000000)</f>
        <v/>
      </c>
      <c r="M203" s="171">
        <f>ABS((B203+C203)-1)</f>
        <v/>
      </c>
      <c r="N203" s="170">
        <f>IF(F203&gt;0, (G203/29)/F203, 0)</f>
        <v/>
      </c>
      <c r="O203" s="168">
        <f>IF(AND((B203+C203)&gt;=1, ISNUMBER(SEARCH("Var", D203))), F203, 1000000000)</f>
        <v/>
      </c>
      <c r="P203" s="172">
        <f>IF(F203&gt;0, SQRT((F203/MAX(F$5:F$886))^2 + (1 - H203/MAX(H$5:H$886))^2 + (J203/MAX(J$5:J$886))^2), 1000000000)</f>
        <v/>
      </c>
      <c r="Q203" s="166">
        <f>IF(AND(ABS(B203-0.5)&lt;0.01, ABS(C203-0.5)&lt;0.01, ISNUMBER(SEARCH("Var", D203))), 1, 0)</f>
        <v/>
      </c>
      <c r="R203" s="171">
        <f>IF(F203&gt;0, J203, 1000000000)</f>
        <v/>
      </c>
      <c r="S203" s="101">
        <f>IF(AND(F203&lt;=DASHBOARD!$B$11, H203&gt;=DASHBOARD!$B$13), G203, -1000000000000)</f>
        <v/>
      </c>
      <c r="T203" s="101">
        <f>IF(AND(F203&lt;=DASHBOARD!$B$11, H203&gt;=DASHBOARD!$B$13), R203, 1000000000000)</f>
        <v/>
      </c>
      <c r="U203" s="101">
        <f>IF(AND(F203&lt;=DASHBOARD!$B$11, H203&gt;=DASHBOARD!$B$13), N203, -1000000000000)</f>
        <v/>
      </c>
      <c r="V203" s="101">
        <f>IF(AND(F203&lt;=DASHBOARD!$B$11, H203&gt;=DASHBOARD!$B$13), H203, -1000000000000)</f>
        <v/>
      </c>
      <c r="W203" s="101">
        <f>IF(AND(F203&lt;=DASHBOARD!$B$11, H203&gt;=DASHBOARD!$B$13), K203, -1000000000000)</f>
        <v/>
      </c>
      <c r="X203" s="101">
        <f>IF(AND(F203&lt;=DASHBOARD!$B$11, H203&gt;=DASHBOARD!$B$13), M203, 1000000000000)</f>
        <v/>
      </c>
      <c r="Y203" s="101">
        <f>IF(AND(F203&lt;=DASHBOARD!$B$10, H203&gt;=DASHBOARD!$B$11), L203, 1000000000000)</f>
        <v/>
      </c>
      <c r="Z203" s="101">
        <f>IF(AND(F203&lt;=DASHBOARD!$B$10, H203&gt;=DASHBOARD!$B$11), O203, 1000000000000)</f>
        <v/>
      </c>
      <c r="AA203" s="101">
        <f>IF(AND(F203&lt;=DASHBOARD!$B$10, H203&gt;=DASHBOARD!$B$11), P203, 1000000000000)</f>
        <v/>
      </c>
      <c r="AB203" s="101">
        <f>IF(AND(F203&lt;=DASHBOARD!$B$10, H203&gt;=DASHBOARD!$B$11), Q203, -1000000000000)</f>
        <v/>
      </c>
    </row>
    <row r="204" ht="15" customHeight="1" s="102">
      <c r="A204" s="166" t="n">
        <v>200</v>
      </c>
      <c r="B204" s="167" t="n">
        <v>0.4</v>
      </c>
      <c r="C204" s="167" t="n">
        <v>1.5</v>
      </c>
      <c r="D204" s="110" t="inlineStr">
        <is>
          <t>Var (%20)</t>
        </is>
      </c>
      <c r="E204" s="110">
        <f>IF((B204+C204)&lt;=1, "Tam Mahsuplaşma (≤%100)", "Kısmi Satış (&gt;%100)")</f>
        <v/>
      </c>
      <c r="F204" s="168">
        <f>((VERI_TABANI!$D$29*B204/VERI_TABANI!$B$29)/VERI_TABANI!$B$3)*VERI_TABANI!$B$5 + ((VERI_TABANI!$D$29*C204/VERI_TABANI!$B$29)/VERI_TABANI!$B$4)*VERI_TABANI!$B$6 + IF(ISNUMBER(SEARCH("Var", D204)), (VERI_TABANI!$F$29/VERI_TABANI!$B$29)*(VERI_TABANI!$B$10+VERI_TABANI!$B$12), 0)</f>
        <v/>
      </c>
      <c r="G204" s="168">
        <f>(((MIN(VERI_TABANI!D23, VERI_TABANI!D23*B204)*VERI_TABANI!$B$7 + MAX(0, VERI_TABANI!D23*B204-VERI_TABANI!D23)*VERI_TABANI!$B$8) + (MIN(MAX(0, VERI_TABANI!D23-VERI_TABANI!D23*B204), VERI_TABANI!D23*C204)*VERI_TABANI!$B$7 + MAX(0, VERI_TABANI!D23*C204-MAX(0, VERI_TABANI!D23-VERI_TABANI!D23*B204))*VERI_TABANI!$B$8) + IF(ABS(IF(ISNUMBER(SEARCH("Var", D204)), 1, IF(ISNUMBER(SEARCH("Gri", D204)), -1, 0)))=1, VERI_TABANI!E23*(1-0.928)*VERI_TABANI!$B$9, 0) + (VERI_TABANI!D23*B204*(VERI_TABANI!$B$13-VERI_TABANI!$B$14)*VERI_TABANI!G23) + (VERI_TABANI!D23*C204*(VERI_TABANI!$B$13-VERI_TABANI!$B$15)*VERI_TABANI!G23) + IF(ABS(IF(ISNUMBER(SEARCH("Var", D204)), 1, IF(ISNUMBER(SEARCH("Gri", D204)), -1, 0)))=1, VERI_TABANI!E23*(1-0.928)*0.00206091519919798*VERI_TABANI!G23, 0)) + ((MIN(VERI_TABANI!D24, VERI_TABANI!D24*B204)*VERI_TABANI!$B$7 + MAX(0, VERI_TABANI!D24*B204-VERI_TABANI!D24)*VERI_TABANI!$B$8) + (MIN(MAX(0, VERI_TABANI!D24-VERI_TABANI!D24*B204), VERI_TABANI!D24*C204)*VERI_TABANI!$B$7 + MAX(0, VERI_TABANI!D24*C204-MAX(0, VERI_TABANI!D24-VERI_TABANI!D24*B204))*VERI_TABANI!$B$8) + IF(ABS(IF(ISNUMBER(SEARCH("Var", D204)), 1, IF(ISNUMBER(SEARCH("Gri", D204)), -1, 0)))=1, VERI_TABANI!E24*(1-0.928)*VERI_TABANI!$B$9, 0) + (VERI_TABANI!D24*B204*(VERI_TABANI!$B$13-VERI_TABANI!$B$14)*VERI_TABANI!G24) + (VERI_TABANI!D24*C204*(VERI_TABANI!$B$13-VERI_TABANI!$B$15)*VERI_TABANI!G24) + IF(ABS(IF(ISNUMBER(SEARCH("Var", D204)), 1, IF(ISNUMBER(SEARCH("Gri", D204)), -1, 0)))=1, VERI_TABANI!E24*(1-0.928)*0.00206091519919798*VERI_TABANI!G24, 0)) + ((MIN(VERI_TABANI!D25, VERI_TABANI!D25*B204)*VERI_TABANI!$B$7 + MAX(0, VERI_TABANI!D25*B204-VERI_TABANI!D25)*VERI_TABANI!$B$8) + (MIN(MAX(0, VERI_TABANI!D25-VERI_TABANI!D25*B204), VERI_TABANI!D25*C204)*VERI_TABANI!$B$7 + MAX(0, VERI_TABANI!D25*C204-MAX(0, VERI_TABANI!D25-VERI_TABANI!D25*B204))*VERI_TABANI!$B$8) + IF(ABS(IF(ISNUMBER(SEARCH("Var", D204)), 1, IF(ISNUMBER(SEARCH("Gri", D204)), -1, 0)))=1, VERI_TABANI!E25*(1-0.928)*VERI_TABANI!$B$9, 0) + (VERI_TABANI!D25*B204*(VERI_TABANI!$B$13-VERI_TABANI!$B$14)*VERI_TABANI!G25) + (VERI_TABANI!D25*C204*(VERI_TABANI!$B$13-VERI_TABANI!$B$15)*VERI_TABANI!G25) + IF(ABS(IF(ISNUMBER(SEARCH("Var", D204)), 1, IF(ISNUMBER(SEARCH("Gri", D204)), -1, 0)))=1, VERI_TABANI!E25*(1-0.928)*0.00206091519919798*VERI_TABANI!G25, 0)) + ((MIN(VERI_TABANI!D26, VERI_TABANI!D26*B204)*VERI_TABANI!$B$7 + MAX(0, VERI_TABANI!D26*B204-VERI_TABANI!D26)*VERI_TABANI!$B$8) + (MIN(MAX(0, VERI_TABANI!D26-VERI_TABANI!D26*B204), VERI_TABANI!D26*C204)*VERI_TABANI!$B$7 + MAX(0, VERI_TABANI!D26*C204-MAX(0, VERI_TABANI!D26-VERI_TABANI!D26*B204))*VERI_TABANI!$B$8) + IF(ABS(IF(ISNUMBER(SEARCH("Var", D204)), 1, IF(ISNUMBER(SEARCH("Gri", D204)), -1, 0)))=1, VERI_TABANI!E26*(1-0.928)*VERI_TABANI!$B$9, 0) + (VERI_TABANI!D26*B204*(VERI_TABANI!$B$13-VERI_TABANI!$B$14)*VERI_TABANI!G26) + (VERI_TABANI!D26*C204*(VERI_TABANI!$B$13-VERI_TABANI!$B$15)*VERI_TABANI!G26) + IF(ABS(IF(ISNUMBER(SEARCH("Var", D204)), 1, IF(ISNUMBER(SEARCH("Gri", D204)), -1, 0)))=1, VERI_TABANI!E26*(1-0.928)*0.00206091519919798*VERI_TABANI!G26, 0)) + ((MIN(VERI_TABANI!D27, VERI_TABANI!D27*B204)*VERI_TABANI!$B$7 + MAX(0, VERI_TABANI!D27*B204-VERI_TABANI!D27)*VERI_TABANI!$B$8) + (MIN(MAX(0, VERI_TABANI!D27-VERI_TABANI!D27*B204), VERI_TABANI!D27*C204)*VERI_TABANI!$B$7 + MAX(0, VERI_TABANI!D27*C204-MAX(0, VERI_TABANI!D27-VERI_TABANI!D27*B204))*VERI_TABANI!$B$8) + IF(ABS(IF(ISNUMBER(SEARCH("Var", D204)), 1, IF(ISNUMBER(SEARCH("Gri", D204)), -1, 0)))=1, VERI_TABANI!E27*(1-0.928)*VERI_TABANI!$B$9, 0) + (VERI_TABANI!D27*B204*(VERI_TABANI!$B$13-VERI_TABANI!$B$14)*VERI_TABANI!G27) + (VERI_TABANI!D27*C204*(VERI_TABANI!$B$13-VERI_TABANI!$B$15)*VERI_TABANI!G27) + IF(ABS(IF(ISNUMBER(SEARCH("Var", D204)), 1, IF(ISNUMBER(SEARCH("Gri", D204)), -1, 0)))=1, VERI_TABANI!E27*(1-0.928)*0.00206091519919798*VERI_TABANI!G27, 0)) + ((MIN(VERI_TABANI!D28, VERI_TABANI!D28*B204)*VERI_TABANI!$B$7 + MAX(0, VERI_TABANI!D28*B204-VERI_TABANI!D28)*VERI_TABANI!$B$8) + (MIN(MAX(0, VERI_TABANI!D28-VERI_TABANI!D28*B204), VERI_TABANI!D28*C204)*VERI_TABANI!$B$7 + MAX(0, VERI_TABANI!D28*C204-MAX(0, VERI_TABANI!D28-VERI_TABANI!D28*B204))*VERI_TABANI!$B$8) + IF(ABS(IF(ISNUMBER(SEARCH("Var", D204)), 1, IF(ISNUMBER(SEARCH("Gri", D204)), -1, 0)))=1, VERI_TABANI!E28*(1-0.928)*VERI_TABANI!$B$9, 0) + (VERI_TABANI!D28*B204*(VERI_TABANI!$B$13-VERI_TABANI!$B$14)*VERI_TABANI!G28) + (VERI_TABANI!D28*C204*(VERI_TABANI!$B$13-VERI_TABANI!$B$15)*VERI_TABANI!G28) + IF(ABS(IF(ISNUMBER(SEARCH("Var", D204)), 1, IF(ISNUMBER(SEARCH("Gri", D204)), -1, 0)))=1, VERI_TABANI!E28*(1-0.928)*0.00206091519919798*VERI_TABANI!G28, 0)))</f>
        <v/>
      </c>
      <c r="H204" s="169">
        <f>(((VERI_TABANI!D23*B204*(VERI_TABANI!$B$13-VERI_TABANI!$B$14)) + (VERI_TABANI!D23*C204*(VERI_TABANI!$B$13-VERI_TABANI!$B$15)) + IF(ISNUMBER(SEARCH("Var", D204)), VERI_TABANI!F23*(0.00202-VERI_TABANI!$B$16), IF(ISNUMBER(SEARCH("Gri", D204)), VERI_TABANI!F23*(0.00202-VERI_TABANI!$B$17), 0))) + ((VERI_TABANI!D24*B204*(VERI_TABANI!$B$13-VERI_TABANI!$B$14)) + (VERI_TABANI!D24*C204*(VERI_TABANI!$B$13-VERI_TABANI!$B$15)) + IF(ISNUMBER(SEARCH("Var", D204)), VERI_TABANI!F24*(0.00202-VERI_TABANI!$B$16), IF(ISNUMBER(SEARCH("Gri", D204)), VERI_TABANI!F24*(0.00202-VERI_TABANI!$B$17), 0))) + ((VERI_TABANI!D25*B204*(VERI_TABANI!$B$13-VERI_TABANI!$B$14)) + (VERI_TABANI!D25*C204*(VERI_TABANI!$B$13-VERI_TABANI!$B$15)) + IF(ISNUMBER(SEARCH("Var", D204)), VERI_TABANI!F25*(0.00202-VERI_TABANI!$B$16), IF(ISNUMBER(SEARCH("Gri", D204)), VERI_TABANI!F25*(0.00202-VERI_TABANI!$B$17), 0))) + ((VERI_TABANI!D26*B204*(VERI_TABANI!$B$13-VERI_TABANI!$B$14)) + (VERI_TABANI!D26*C204*(VERI_TABANI!$B$13-VERI_TABANI!$B$15)) + IF(ISNUMBER(SEARCH("Var", D204)), VERI_TABANI!F26*(0.00202-VERI_TABANI!$B$16), IF(ISNUMBER(SEARCH("Gri", D204)), VERI_TABANI!F26*(0.00202-VERI_TABANI!$B$17), 0))) + ((VERI_TABANI!D27*B204*(VERI_TABANI!$B$13-VERI_TABANI!$B$14)) + (VERI_TABANI!D27*C204*(VERI_TABANI!$B$13-VERI_TABANI!$B$15)) + IF(ISNUMBER(SEARCH("Var", D204)), VERI_TABANI!F27*(0.00202-VERI_TABANI!$B$16), IF(ISNUMBER(SEARCH("Gri", D204)), VERI_TABANI!F27*(0.00202-VERI_TABANI!$B$17), 0))) + ((VERI_TABANI!D28*B204*(VERI_TABANI!$B$13-VERI_TABANI!$B$14)) + (VERI_TABANI!D28*C204*(VERI_TABANI!$B$13-VERI_TABANI!$B$15)) + IF(ISNUMBER(SEARCH("Var", D204)), VERI_TABANI!F28*(0.00202-VERI_TABANI!$B$16), IF(ISNUMBER(SEARCH("Gri", D204)), VERI_TABANI!F28*(0.00202-VERI_TABANI!$B$17), 0))))</f>
        <v/>
      </c>
      <c r="I204" s="170">
        <f>IFERROR(((VERI_TABANI!$D$29*B204*VERI_TABANI!$B$14 + VERI_TABANI!$D$29*C204*VERI_TABANI!$B$15 + IF(ISNUMBER(SEARCH("Var", D204)), VERI_TABANI!$F$29*VERI_TABANI!$B$16, 0))) / (((VERI_TABANI!$D$29*B204 + VERI_TABANI!$D$29*C204)*VERI_TABANI!$B$13 + IF(ISNUMBER(SEARCH("Var", D204)), VERI_TABANI!$E$29*(1-0.928)*VERI_TABANI!$B$18, 0))), 0)</f>
        <v/>
      </c>
      <c r="J204" s="171">
        <f>IFERROR(F204/(G204/29), 0)</f>
        <v/>
      </c>
      <c r="K204" s="172">
        <f>IF(F204&gt;0, H204/F204, 0)</f>
        <v/>
      </c>
      <c r="L204" s="170">
        <f>IF(F204&gt;0, I204, 1000000000)</f>
        <v/>
      </c>
      <c r="M204" s="171">
        <f>ABS((B204+C204)-1)</f>
        <v/>
      </c>
      <c r="N204" s="170">
        <f>IF(F204&gt;0, (G204/29)/F204, 0)</f>
        <v/>
      </c>
      <c r="O204" s="168">
        <f>IF(AND((B204+C204)&gt;=1, ISNUMBER(SEARCH("Var", D204))), F204, 1000000000)</f>
        <v/>
      </c>
      <c r="P204" s="172">
        <f>IF(F204&gt;0, SQRT((F204/MAX(F$5:F$886))^2 + (1 - H204/MAX(H$5:H$886))^2 + (J204/MAX(J$5:J$886))^2), 1000000000)</f>
        <v/>
      </c>
      <c r="Q204" s="166">
        <f>IF(AND(ABS(B204-0.5)&lt;0.01, ABS(C204-0.5)&lt;0.01, ISNUMBER(SEARCH("Var", D204))), 1, 0)</f>
        <v/>
      </c>
      <c r="R204" s="171">
        <f>IF(F204&gt;0, J204, 1000000000)</f>
        <v/>
      </c>
      <c r="S204" s="101">
        <f>IF(AND(F204&lt;=DASHBOARD!$B$11, H204&gt;=DASHBOARD!$B$13), G204, -1000000000000)</f>
        <v/>
      </c>
      <c r="T204" s="101">
        <f>IF(AND(F204&lt;=DASHBOARD!$B$11, H204&gt;=DASHBOARD!$B$13), R204, 1000000000000)</f>
        <v/>
      </c>
      <c r="U204" s="101">
        <f>IF(AND(F204&lt;=DASHBOARD!$B$11, H204&gt;=DASHBOARD!$B$13), N204, -1000000000000)</f>
        <v/>
      </c>
      <c r="V204" s="101">
        <f>IF(AND(F204&lt;=DASHBOARD!$B$11, H204&gt;=DASHBOARD!$B$13), H204, -1000000000000)</f>
        <v/>
      </c>
      <c r="W204" s="101">
        <f>IF(AND(F204&lt;=DASHBOARD!$B$11, H204&gt;=DASHBOARD!$B$13), K204, -1000000000000)</f>
        <v/>
      </c>
      <c r="X204" s="101">
        <f>IF(AND(F204&lt;=DASHBOARD!$B$11, H204&gt;=DASHBOARD!$B$13), M204, 1000000000000)</f>
        <v/>
      </c>
      <c r="Y204" s="101">
        <f>IF(AND(F204&lt;=DASHBOARD!$B$10, H204&gt;=DASHBOARD!$B$11), L204, 1000000000000)</f>
        <v/>
      </c>
      <c r="Z204" s="101">
        <f>IF(AND(F204&lt;=DASHBOARD!$B$10, H204&gt;=DASHBOARD!$B$11), O204, 1000000000000)</f>
        <v/>
      </c>
      <c r="AA204" s="101">
        <f>IF(AND(F204&lt;=DASHBOARD!$B$10, H204&gt;=DASHBOARD!$B$11), P204, 1000000000000)</f>
        <v/>
      </c>
      <c r="AB204" s="101">
        <f>IF(AND(F204&lt;=DASHBOARD!$B$10, H204&gt;=DASHBOARD!$B$11), Q204, -1000000000000)</f>
        <v/>
      </c>
    </row>
    <row r="205" ht="15" customHeight="1" s="102">
      <c r="A205" s="166" t="n">
        <v>201</v>
      </c>
      <c r="B205" s="167" t="n">
        <v>0.4</v>
      </c>
      <c r="C205" s="167" t="n">
        <v>1.6</v>
      </c>
      <c r="D205" s="110" t="inlineStr">
        <is>
          <t>Yok (%0)</t>
        </is>
      </c>
      <c r="E205" s="110">
        <f>IF((B205+C205)&lt;=1, "Tam Mahsuplaşma (≤%100)", "Kısmi Satış (&gt;%100)")</f>
        <v/>
      </c>
      <c r="F205" s="168">
        <f>((VERI_TABANI!$D$29*B205/VERI_TABANI!$B$29)/VERI_TABANI!$B$3)*VERI_TABANI!$B$5 + ((VERI_TABANI!$D$29*C205/VERI_TABANI!$B$29)/VERI_TABANI!$B$4)*VERI_TABANI!$B$6 + IF(ISNUMBER(SEARCH("Var", D205)), (VERI_TABANI!$F$29/VERI_TABANI!$B$29)*(VERI_TABANI!$B$10+VERI_TABANI!$B$12), 0)</f>
        <v/>
      </c>
      <c r="G205" s="168">
        <f>(((MIN(VERI_TABANI!D23, VERI_TABANI!D23*B205)*VERI_TABANI!$B$7 + MAX(0, VERI_TABANI!D23*B205-VERI_TABANI!D23)*VERI_TABANI!$B$8) + (MIN(MAX(0, VERI_TABANI!D23-VERI_TABANI!D23*B205), VERI_TABANI!D23*C205)*VERI_TABANI!$B$7 + MAX(0, VERI_TABANI!D23*C205-MAX(0, VERI_TABANI!D23-VERI_TABANI!D23*B205))*VERI_TABANI!$B$8) + IF(ABS(IF(ISNUMBER(SEARCH("Var", D205)), 1, IF(ISNUMBER(SEARCH("Gri", D205)), -1, 0)))=1, VERI_TABANI!E23*(1-0.928)*VERI_TABANI!$B$9, 0) + (VERI_TABANI!D23*B205*(VERI_TABANI!$B$13-VERI_TABANI!$B$14)*VERI_TABANI!G23) + (VERI_TABANI!D23*C205*(VERI_TABANI!$B$13-VERI_TABANI!$B$15)*VERI_TABANI!G23) + IF(ABS(IF(ISNUMBER(SEARCH("Var", D205)), 1, IF(ISNUMBER(SEARCH("Gri", D205)), -1, 0)))=1, VERI_TABANI!E23*(1-0.928)*0.00206091519919798*VERI_TABANI!G23, 0)) + ((MIN(VERI_TABANI!D24, VERI_TABANI!D24*B205)*VERI_TABANI!$B$7 + MAX(0, VERI_TABANI!D24*B205-VERI_TABANI!D24)*VERI_TABANI!$B$8) + (MIN(MAX(0, VERI_TABANI!D24-VERI_TABANI!D24*B205), VERI_TABANI!D24*C205)*VERI_TABANI!$B$7 + MAX(0, VERI_TABANI!D24*C205-MAX(0, VERI_TABANI!D24-VERI_TABANI!D24*B205))*VERI_TABANI!$B$8) + IF(ABS(IF(ISNUMBER(SEARCH("Var", D205)), 1, IF(ISNUMBER(SEARCH("Gri", D205)), -1, 0)))=1, VERI_TABANI!E24*(1-0.928)*VERI_TABANI!$B$9, 0) + (VERI_TABANI!D24*B205*(VERI_TABANI!$B$13-VERI_TABANI!$B$14)*VERI_TABANI!G24) + (VERI_TABANI!D24*C205*(VERI_TABANI!$B$13-VERI_TABANI!$B$15)*VERI_TABANI!G24) + IF(ABS(IF(ISNUMBER(SEARCH("Var", D205)), 1, IF(ISNUMBER(SEARCH("Gri", D205)), -1, 0)))=1, VERI_TABANI!E24*(1-0.928)*0.00206091519919798*VERI_TABANI!G24, 0)) + ((MIN(VERI_TABANI!D25, VERI_TABANI!D25*B205)*VERI_TABANI!$B$7 + MAX(0, VERI_TABANI!D25*B205-VERI_TABANI!D25)*VERI_TABANI!$B$8) + (MIN(MAX(0, VERI_TABANI!D25-VERI_TABANI!D25*B205), VERI_TABANI!D25*C205)*VERI_TABANI!$B$7 + MAX(0, VERI_TABANI!D25*C205-MAX(0, VERI_TABANI!D25-VERI_TABANI!D25*B205))*VERI_TABANI!$B$8) + IF(ABS(IF(ISNUMBER(SEARCH("Var", D205)), 1, IF(ISNUMBER(SEARCH("Gri", D205)), -1, 0)))=1, VERI_TABANI!E25*(1-0.928)*VERI_TABANI!$B$9, 0) + (VERI_TABANI!D25*B205*(VERI_TABANI!$B$13-VERI_TABANI!$B$14)*VERI_TABANI!G25) + (VERI_TABANI!D25*C205*(VERI_TABANI!$B$13-VERI_TABANI!$B$15)*VERI_TABANI!G25) + IF(ABS(IF(ISNUMBER(SEARCH("Var", D205)), 1, IF(ISNUMBER(SEARCH("Gri", D205)), -1, 0)))=1, VERI_TABANI!E25*(1-0.928)*0.00206091519919798*VERI_TABANI!G25, 0)) + ((MIN(VERI_TABANI!D26, VERI_TABANI!D26*B205)*VERI_TABANI!$B$7 + MAX(0, VERI_TABANI!D26*B205-VERI_TABANI!D26)*VERI_TABANI!$B$8) + (MIN(MAX(0, VERI_TABANI!D26-VERI_TABANI!D26*B205), VERI_TABANI!D26*C205)*VERI_TABANI!$B$7 + MAX(0, VERI_TABANI!D26*C205-MAX(0, VERI_TABANI!D26-VERI_TABANI!D26*B205))*VERI_TABANI!$B$8) + IF(ABS(IF(ISNUMBER(SEARCH("Var", D205)), 1, IF(ISNUMBER(SEARCH("Gri", D205)), -1, 0)))=1, VERI_TABANI!E26*(1-0.928)*VERI_TABANI!$B$9, 0) + (VERI_TABANI!D26*B205*(VERI_TABANI!$B$13-VERI_TABANI!$B$14)*VERI_TABANI!G26) + (VERI_TABANI!D26*C205*(VERI_TABANI!$B$13-VERI_TABANI!$B$15)*VERI_TABANI!G26) + IF(ABS(IF(ISNUMBER(SEARCH("Var", D205)), 1, IF(ISNUMBER(SEARCH("Gri", D205)), -1, 0)))=1, VERI_TABANI!E26*(1-0.928)*0.00206091519919798*VERI_TABANI!G26, 0)) + ((MIN(VERI_TABANI!D27, VERI_TABANI!D27*B205)*VERI_TABANI!$B$7 + MAX(0, VERI_TABANI!D27*B205-VERI_TABANI!D27)*VERI_TABANI!$B$8) + (MIN(MAX(0, VERI_TABANI!D27-VERI_TABANI!D27*B205), VERI_TABANI!D27*C205)*VERI_TABANI!$B$7 + MAX(0, VERI_TABANI!D27*C205-MAX(0, VERI_TABANI!D27-VERI_TABANI!D27*B205))*VERI_TABANI!$B$8) + IF(ABS(IF(ISNUMBER(SEARCH("Var", D205)), 1, IF(ISNUMBER(SEARCH("Gri", D205)), -1, 0)))=1, VERI_TABANI!E27*(1-0.928)*VERI_TABANI!$B$9, 0) + (VERI_TABANI!D27*B205*(VERI_TABANI!$B$13-VERI_TABANI!$B$14)*VERI_TABANI!G27) + (VERI_TABANI!D27*C205*(VERI_TABANI!$B$13-VERI_TABANI!$B$15)*VERI_TABANI!G27) + IF(ABS(IF(ISNUMBER(SEARCH("Var", D205)), 1, IF(ISNUMBER(SEARCH("Gri", D205)), -1, 0)))=1, VERI_TABANI!E27*(1-0.928)*0.00206091519919798*VERI_TABANI!G27, 0)) + ((MIN(VERI_TABANI!D28, VERI_TABANI!D28*B205)*VERI_TABANI!$B$7 + MAX(0, VERI_TABANI!D28*B205-VERI_TABANI!D28)*VERI_TABANI!$B$8) + (MIN(MAX(0, VERI_TABANI!D28-VERI_TABANI!D28*B205), VERI_TABANI!D28*C205)*VERI_TABANI!$B$7 + MAX(0, VERI_TABANI!D28*C205-MAX(0, VERI_TABANI!D28-VERI_TABANI!D28*B205))*VERI_TABANI!$B$8) + IF(ABS(IF(ISNUMBER(SEARCH("Var", D205)), 1, IF(ISNUMBER(SEARCH("Gri", D205)), -1, 0)))=1, VERI_TABANI!E28*(1-0.928)*VERI_TABANI!$B$9, 0) + (VERI_TABANI!D28*B205*(VERI_TABANI!$B$13-VERI_TABANI!$B$14)*VERI_TABANI!G28) + (VERI_TABANI!D28*C205*(VERI_TABANI!$B$13-VERI_TABANI!$B$15)*VERI_TABANI!G28) + IF(ABS(IF(ISNUMBER(SEARCH("Var", D205)), 1, IF(ISNUMBER(SEARCH("Gri", D205)), -1, 0)))=1, VERI_TABANI!E28*(1-0.928)*0.00206091519919798*VERI_TABANI!G28, 0)))</f>
        <v/>
      </c>
      <c r="H205" s="169">
        <f>(((VERI_TABANI!D23*B205*(VERI_TABANI!$B$13-VERI_TABANI!$B$14)) + (VERI_TABANI!D23*C205*(VERI_TABANI!$B$13-VERI_TABANI!$B$15)) + IF(ISNUMBER(SEARCH("Var", D205)), VERI_TABANI!F23*(0.00202-VERI_TABANI!$B$16), IF(ISNUMBER(SEARCH("Gri", D205)), VERI_TABANI!F23*(0.00202-VERI_TABANI!$B$17), 0))) + ((VERI_TABANI!D24*B205*(VERI_TABANI!$B$13-VERI_TABANI!$B$14)) + (VERI_TABANI!D24*C205*(VERI_TABANI!$B$13-VERI_TABANI!$B$15)) + IF(ISNUMBER(SEARCH("Var", D205)), VERI_TABANI!F24*(0.00202-VERI_TABANI!$B$16), IF(ISNUMBER(SEARCH("Gri", D205)), VERI_TABANI!F24*(0.00202-VERI_TABANI!$B$17), 0))) + ((VERI_TABANI!D25*B205*(VERI_TABANI!$B$13-VERI_TABANI!$B$14)) + (VERI_TABANI!D25*C205*(VERI_TABANI!$B$13-VERI_TABANI!$B$15)) + IF(ISNUMBER(SEARCH("Var", D205)), VERI_TABANI!F25*(0.00202-VERI_TABANI!$B$16), IF(ISNUMBER(SEARCH("Gri", D205)), VERI_TABANI!F25*(0.00202-VERI_TABANI!$B$17), 0))) + ((VERI_TABANI!D26*B205*(VERI_TABANI!$B$13-VERI_TABANI!$B$14)) + (VERI_TABANI!D26*C205*(VERI_TABANI!$B$13-VERI_TABANI!$B$15)) + IF(ISNUMBER(SEARCH("Var", D205)), VERI_TABANI!F26*(0.00202-VERI_TABANI!$B$16), IF(ISNUMBER(SEARCH("Gri", D205)), VERI_TABANI!F26*(0.00202-VERI_TABANI!$B$17), 0))) + ((VERI_TABANI!D27*B205*(VERI_TABANI!$B$13-VERI_TABANI!$B$14)) + (VERI_TABANI!D27*C205*(VERI_TABANI!$B$13-VERI_TABANI!$B$15)) + IF(ISNUMBER(SEARCH("Var", D205)), VERI_TABANI!F27*(0.00202-VERI_TABANI!$B$16), IF(ISNUMBER(SEARCH("Gri", D205)), VERI_TABANI!F27*(0.00202-VERI_TABANI!$B$17), 0))) + ((VERI_TABANI!D28*B205*(VERI_TABANI!$B$13-VERI_TABANI!$B$14)) + (VERI_TABANI!D28*C205*(VERI_TABANI!$B$13-VERI_TABANI!$B$15)) + IF(ISNUMBER(SEARCH("Var", D205)), VERI_TABANI!F28*(0.00202-VERI_TABANI!$B$16), IF(ISNUMBER(SEARCH("Gri", D205)), VERI_TABANI!F28*(0.00202-VERI_TABANI!$B$17), 0))))</f>
        <v/>
      </c>
      <c r="I205" s="170">
        <f>IFERROR(((VERI_TABANI!$D$29*B205*VERI_TABANI!$B$14 + VERI_TABANI!$D$29*C205*VERI_TABANI!$B$15 + IF(ISNUMBER(SEARCH("Var", D205)), VERI_TABANI!$F$29*VERI_TABANI!$B$16, 0))) / (((VERI_TABANI!$D$29*B205 + VERI_TABANI!$D$29*C205)*VERI_TABANI!$B$13 + IF(ISNUMBER(SEARCH("Var", D205)), VERI_TABANI!$E$29*(1-0.928)*VERI_TABANI!$B$18, 0))), 0)</f>
        <v/>
      </c>
      <c r="J205" s="171">
        <f>IFERROR(F205/(G205/29), 0)</f>
        <v/>
      </c>
      <c r="K205" s="172">
        <f>IF(F205&gt;0, H205/F205, 0)</f>
        <v/>
      </c>
      <c r="L205" s="170">
        <f>IF(F205&gt;0, I205, 1000000000)</f>
        <v/>
      </c>
      <c r="M205" s="171">
        <f>ABS((B205+C205)-1)</f>
        <v/>
      </c>
      <c r="N205" s="170">
        <f>IF(F205&gt;0, (G205/29)/F205, 0)</f>
        <v/>
      </c>
      <c r="O205" s="168">
        <f>IF(AND((B205+C205)&gt;=1, ISNUMBER(SEARCH("Var", D205))), F205, 1000000000)</f>
        <v/>
      </c>
      <c r="P205" s="172">
        <f>IF(F205&gt;0, SQRT((F205/MAX(F$5:F$886))^2 + (1 - H205/MAX(H$5:H$886))^2 + (J205/MAX(J$5:J$886))^2), 1000000000)</f>
        <v/>
      </c>
      <c r="Q205" s="166">
        <f>IF(AND(ABS(B205-0.5)&lt;0.01, ABS(C205-0.5)&lt;0.01, ISNUMBER(SEARCH("Var", D205))), 1, 0)</f>
        <v/>
      </c>
      <c r="R205" s="171">
        <f>IF(F205&gt;0, J205, 1000000000)</f>
        <v/>
      </c>
      <c r="S205" s="101">
        <f>IF(AND(F205&lt;=DASHBOARD!$B$11, H205&gt;=DASHBOARD!$B$13), G205, -1000000000000)</f>
        <v/>
      </c>
      <c r="T205" s="101">
        <f>IF(AND(F205&lt;=DASHBOARD!$B$11, H205&gt;=DASHBOARD!$B$13), R205, 1000000000000)</f>
        <v/>
      </c>
      <c r="U205" s="101">
        <f>IF(AND(F205&lt;=DASHBOARD!$B$11, H205&gt;=DASHBOARD!$B$13), N205, -1000000000000)</f>
        <v/>
      </c>
      <c r="V205" s="101">
        <f>IF(AND(F205&lt;=DASHBOARD!$B$11, H205&gt;=DASHBOARD!$B$13), H205, -1000000000000)</f>
        <v/>
      </c>
      <c r="W205" s="101">
        <f>IF(AND(F205&lt;=DASHBOARD!$B$11, H205&gt;=DASHBOARD!$B$13), K205, -1000000000000)</f>
        <v/>
      </c>
      <c r="X205" s="101">
        <f>IF(AND(F205&lt;=DASHBOARD!$B$11, H205&gt;=DASHBOARD!$B$13), M205, 1000000000000)</f>
        <v/>
      </c>
      <c r="Y205" s="101">
        <f>IF(AND(F205&lt;=DASHBOARD!$B$10, H205&gt;=DASHBOARD!$B$11), L205, 1000000000000)</f>
        <v/>
      </c>
      <c r="Z205" s="101">
        <f>IF(AND(F205&lt;=DASHBOARD!$B$10, H205&gt;=DASHBOARD!$B$11), O205, 1000000000000)</f>
        <v/>
      </c>
      <c r="AA205" s="101">
        <f>IF(AND(F205&lt;=DASHBOARD!$B$10, H205&gt;=DASHBOARD!$B$11), P205, 1000000000000)</f>
        <v/>
      </c>
      <c r="AB205" s="101">
        <f>IF(AND(F205&lt;=DASHBOARD!$B$10, H205&gt;=DASHBOARD!$B$11), Q205, -1000000000000)</f>
        <v/>
      </c>
    </row>
    <row r="206" ht="15" customHeight="1" s="102">
      <c r="A206" s="166" t="n">
        <v>202</v>
      </c>
      <c r="B206" s="167" t="n">
        <v>0.4</v>
      </c>
      <c r="C206" s="167" t="n">
        <v>1.6</v>
      </c>
      <c r="D206" s="110" t="inlineStr">
        <is>
          <t>Var (%20)</t>
        </is>
      </c>
      <c r="E206" s="110">
        <f>IF((B206+C206)&lt;=1, "Tam Mahsuplaşma (≤%100)", "Kısmi Satış (&gt;%100)")</f>
        <v/>
      </c>
      <c r="F206" s="168">
        <f>((VERI_TABANI!$D$29*B206/VERI_TABANI!$B$29)/VERI_TABANI!$B$3)*VERI_TABANI!$B$5 + ((VERI_TABANI!$D$29*C206/VERI_TABANI!$B$29)/VERI_TABANI!$B$4)*VERI_TABANI!$B$6 + IF(ISNUMBER(SEARCH("Var", D206)), (VERI_TABANI!$F$29/VERI_TABANI!$B$29)*(VERI_TABANI!$B$10+VERI_TABANI!$B$12), 0)</f>
        <v/>
      </c>
      <c r="G206" s="168">
        <f>(((MIN(VERI_TABANI!D23, VERI_TABANI!D23*B206)*VERI_TABANI!$B$7 + MAX(0, VERI_TABANI!D23*B206-VERI_TABANI!D23)*VERI_TABANI!$B$8) + (MIN(MAX(0, VERI_TABANI!D23-VERI_TABANI!D23*B206), VERI_TABANI!D23*C206)*VERI_TABANI!$B$7 + MAX(0, VERI_TABANI!D23*C206-MAX(0, VERI_TABANI!D23-VERI_TABANI!D23*B206))*VERI_TABANI!$B$8) + IF(ABS(IF(ISNUMBER(SEARCH("Var", D206)), 1, IF(ISNUMBER(SEARCH("Gri", D206)), -1, 0)))=1, VERI_TABANI!E23*(1-0.928)*VERI_TABANI!$B$9, 0) + (VERI_TABANI!D23*B206*(VERI_TABANI!$B$13-VERI_TABANI!$B$14)*VERI_TABANI!G23) + (VERI_TABANI!D23*C206*(VERI_TABANI!$B$13-VERI_TABANI!$B$15)*VERI_TABANI!G23) + IF(ABS(IF(ISNUMBER(SEARCH("Var", D206)), 1, IF(ISNUMBER(SEARCH("Gri", D206)), -1, 0)))=1, VERI_TABANI!E23*(1-0.928)*0.00206091519919798*VERI_TABANI!G23, 0)) + ((MIN(VERI_TABANI!D24, VERI_TABANI!D24*B206)*VERI_TABANI!$B$7 + MAX(0, VERI_TABANI!D24*B206-VERI_TABANI!D24)*VERI_TABANI!$B$8) + (MIN(MAX(0, VERI_TABANI!D24-VERI_TABANI!D24*B206), VERI_TABANI!D24*C206)*VERI_TABANI!$B$7 + MAX(0, VERI_TABANI!D24*C206-MAX(0, VERI_TABANI!D24-VERI_TABANI!D24*B206))*VERI_TABANI!$B$8) + IF(ABS(IF(ISNUMBER(SEARCH("Var", D206)), 1, IF(ISNUMBER(SEARCH("Gri", D206)), -1, 0)))=1, VERI_TABANI!E24*(1-0.928)*VERI_TABANI!$B$9, 0) + (VERI_TABANI!D24*B206*(VERI_TABANI!$B$13-VERI_TABANI!$B$14)*VERI_TABANI!G24) + (VERI_TABANI!D24*C206*(VERI_TABANI!$B$13-VERI_TABANI!$B$15)*VERI_TABANI!G24) + IF(ABS(IF(ISNUMBER(SEARCH("Var", D206)), 1, IF(ISNUMBER(SEARCH("Gri", D206)), -1, 0)))=1, VERI_TABANI!E24*(1-0.928)*0.00206091519919798*VERI_TABANI!G24, 0)) + ((MIN(VERI_TABANI!D25, VERI_TABANI!D25*B206)*VERI_TABANI!$B$7 + MAX(0, VERI_TABANI!D25*B206-VERI_TABANI!D25)*VERI_TABANI!$B$8) + (MIN(MAX(0, VERI_TABANI!D25-VERI_TABANI!D25*B206), VERI_TABANI!D25*C206)*VERI_TABANI!$B$7 + MAX(0, VERI_TABANI!D25*C206-MAX(0, VERI_TABANI!D25-VERI_TABANI!D25*B206))*VERI_TABANI!$B$8) + IF(ABS(IF(ISNUMBER(SEARCH("Var", D206)), 1, IF(ISNUMBER(SEARCH("Gri", D206)), -1, 0)))=1, VERI_TABANI!E25*(1-0.928)*VERI_TABANI!$B$9, 0) + (VERI_TABANI!D25*B206*(VERI_TABANI!$B$13-VERI_TABANI!$B$14)*VERI_TABANI!G25) + (VERI_TABANI!D25*C206*(VERI_TABANI!$B$13-VERI_TABANI!$B$15)*VERI_TABANI!G25) + IF(ABS(IF(ISNUMBER(SEARCH("Var", D206)), 1, IF(ISNUMBER(SEARCH("Gri", D206)), -1, 0)))=1, VERI_TABANI!E25*(1-0.928)*0.00206091519919798*VERI_TABANI!G25, 0)) + ((MIN(VERI_TABANI!D26, VERI_TABANI!D26*B206)*VERI_TABANI!$B$7 + MAX(0, VERI_TABANI!D26*B206-VERI_TABANI!D26)*VERI_TABANI!$B$8) + (MIN(MAX(0, VERI_TABANI!D26-VERI_TABANI!D26*B206), VERI_TABANI!D26*C206)*VERI_TABANI!$B$7 + MAX(0, VERI_TABANI!D26*C206-MAX(0, VERI_TABANI!D26-VERI_TABANI!D26*B206))*VERI_TABANI!$B$8) + IF(ABS(IF(ISNUMBER(SEARCH("Var", D206)), 1, IF(ISNUMBER(SEARCH("Gri", D206)), -1, 0)))=1, VERI_TABANI!E26*(1-0.928)*VERI_TABANI!$B$9, 0) + (VERI_TABANI!D26*B206*(VERI_TABANI!$B$13-VERI_TABANI!$B$14)*VERI_TABANI!G26) + (VERI_TABANI!D26*C206*(VERI_TABANI!$B$13-VERI_TABANI!$B$15)*VERI_TABANI!G26) + IF(ABS(IF(ISNUMBER(SEARCH("Var", D206)), 1, IF(ISNUMBER(SEARCH("Gri", D206)), -1, 0)))=1, VERI_TABANI!E26*(1-0.928)*0.00206091519919798*VERI_TABANI!G26, 0)) + ((MIN(VERI_TABANI!D27, VERI_TABANI!D27*B206)*VERI_TABANI!$B$7 + MAX(0, VERI_TABANI!D27*B206-VERI_TABANI!D27)*VERI_TABANI!$B$8) + (MIN(MAX(0, VERI_TABANI!D27-VERI_TABANI!D27*B206), VERI_TABANI!D27*C206)*VERI_TABANI!$B$7 + MAX(0, VERI_TABANI!D27*C206-MAX(0, VERI_TABANI!D27-VERI_TABANI!D27*B206))*VERI_TABANI!$B$8) + IF(ABS(IF(ISNUMBER(SEARCH("Var", D206)), 1, IF(ISNUMBER(SEARCH("Gri", D206)), -1, 0)))=1, VERI_TABANI!E27*(1-0.928)*VERI_TABANI!$B$9, 0) + (VERI_TABANI!D27*B206*(VERI_TABANI!$B$13-VERI_TABANI!$B$14)*VERI_TABANI!G27) + (VERI_TABANI!D27*C206*(VERI_TABANI!$B$13-VERI_TABANI!$B$15)*VERI_TABANI!G27) + IF(ABS(IF(ISNUMBER(SEARCH("Var", D206)), 1, IF(ISNUMBER(SEARCH("Gri", D206)), -1, 0)))=1, VERI_TABANI!E27*(1-0.928)*0.00206091519919798*VERI_TABANI!G27, 0)) + ((MIN(VERI_TABANI!D28, VERI_TABANI!D28*B206)*VERI_TABANI!$B$7 + MAX(0, VERI_TABANI!D28*B206-VERI_TABANI!D28)*VERI_TABANI!$B$8) + (MIN(MAX(0, VERI_TABANI!D28-VERI_TABANI!D28*B206), VERI_TABANI!D28*C206)*VERI_TABANI!$B$7 + MAX(0, VERI_TABANI!D28*C206-MAX(0, VERI_TABANI!D28-VERI_TABANI!D28*B206))*VERI_TABANI!$B$8) + IF(ABS(IF(ISNUMBER(SEARCH("Var", D206)), 1, IF(ISNUMBER(SEARCH("Gri", D206)), -1, 0)))=1, VERI_TABANI!E28*(1-0.928)*VERI_TABANI!$B$9, 0) + (VERI_TABANI!D28*B206*(VERI_TABANI!$B$13-VERI_TABANI!$B$14)*VERI_TABANI!G28) + (VERI_TABANI!D28*C206*(VERI_TABANI!$B$13-VERI_TABANI!$B$15)*VERI_TABANI!G28) + IF(ABS(IF(ISNUMBER(SEARCH("Var", D206)), 1, IF(ISNUMBER(SEARCH("Gri", D206)), -1, 0)))=1, VERI_TABANI!E28*(1-0.928)*0.00206091519919798*VERI_TABANI!G28, 0)))</f>
        <v/>
      </c>
      <c r="H206" s="169">
        <f>(((VERI_TABANI!D23*B206*(VERI_TABANI!$B$13-VERI_TABANI!$B$14)) + (VERI_TABANI!D23*C206*(VERI_TABANI!$B$13-VERI_TABANI!$B$15)) + IF(ISNUMBER(SEARCH("Var", D206)), VERI_TABANI!F23*(0.00202-VERI_TABANI!$B$16), IF(ISNUMBER(SEARCH("Gri", D206)), VERI_TABANI!F23*(0.00202-VERI_TABANI!$B$17), 0))) + ((VERI_TABANI!D24*B206*(VERI_TABANI!$B$13-VERI_TABANI!$B$14)) + (VERI_TABANI!D24*C206*(VERI_TABANI!$B$13-VERI_TABANI!$B$15)) + IF(ISNUMBER(SEARCH("Var", D206)), VERI_TABANI!F24*(0.00202-VERI_TABANI!$B$16), IF(ISNUMBER(SEARCH("Gri", D206)), VERI_TABANI!F24*(0.00202-VERI_TABANI!$B$17), 0))) + ((VERI_TABANI!D25*B206*(VERI_TABANI!$B$13-VERI_TABANI!$B$14)) + (VERI_TABANI!D25*C206*(VERI_TABANI!$B$13-VERI_TABANI!$B$15)) + IF(ISNUMBER(SEARCH("Var", D206)), VERI_TABANI!F25*(0.00202-VERI_TABANI!$B$16), IF(ISNUMBER(SEARCH("Gri", D206)), VERI_TABANI!F25*(0.00202-VERI_TABANI!$B$17), 0))) + ((VERI_TABANI!D26*B206*(VERI_TABANI!$B$13-VERI_TABANI!$B$14)) + (VERI_TABANI!D26*C206*(VERI_TABANI!$B$13-VERI_TABANI!$B$15)) + IF(ISNUMBER(SEARCH("Var", D206)), VERI_TABANI!F26*(0.00202-VERI_TABANI!$B$16), IF(ISNUMBER(SEARCH("Gri", D206)), VERI_TABANI!F26*(0.00202-VERI_TABANI!$B$17), 0))) + ((VERI_TABANI!D27*B206*(VERI_TABANI!$B$13-VERI_TABANI!$B$14)) + (VERI_TABANI!D27*C206*(VERI_TABANI!$B$13-VERI_TABANI!$B$15)) + IF(ISNUMBER(SEARCH("Var", D206)), VERI_TABANI!F27*(0.00202-VERI_TABANI!$B$16), IF(ISNUMBER(SEARCH("Gri", D206)), VERI_TABANI!F27*(0.00202-VERI_TABANI!$B$17), 0))) + ((VERI_TABANI!D28*B206*(VERI_TABANI!$B$13-VERI_TABANI!$B$14)) + (VERI_TABANI!D28*C206*(VERI_TABANI!$B$13-VERI_TABANI!$B$15)) + IF(ISNUMBER(SEARCH("Var", D206)), VERI_TABANI!F28*(0.00202-VERI_TABANI!$B$16), IF(ISNUMBER(SEARCH("Gri", D206)), VERI_TABANI!F28*(0.00202-VERI_TABANI!$B$17), 0))))</f>
        <v/>
      </c>
      <c r="I206" s="170">
        <f>IFERROR(((VERI_TABANI!$D$29*B206*VERI_TABANI!$B$14 + VERI_TABANI!$D$29*C206*VERI_TABANI!$B$15 + IF(ISNUMBER(SEARCH("Var", D206)), VERI_TABANI!$F$29*VERI_TABANI!$B$16, 0))) / (((VERI_TABANI!$D$29*B206 + VERI_TABANI!$D$29*C206)*VERI_TABANI!$B$13 + IF(ISNUMBER(SEARCH("Var", D206)), VERI_TABANI!$E$29*(1-0.928)*VERI_TABANI!$B$18, 0))), 0)</f>
        <v/>
      </c>
      <c r="J206" s="171">
        <f>IFERROR(F206/(G206/29), 0)</f>
        <v/>
      </c>
      <c r="K206" s="172">
        <f>IF(F206&gt;0, H206/F206, 0)</f>
        <v/>
      </c>
      <c r="L206" s="170">
        <f>IF(F206&gt;0, I206, 1000000000)</f>
        <v/>
      </c>
      <c r="M206" s="171">
        <f>ABS((B206+C206)-1)</f>
        <v/>
      </c>
      <c r="N206" s="170">
        <f>IF(F206&gt;0, (G206/29)/F206, 0)</f>
        <v/>
      </c>
      <c r="O206" s="168">
        <f>IF(AND((B206+C206)&gt;=1, ISNUMBER(SEARCH("Var", D206))), F206, 1000000000)</f>
        <v/>
      </c>
      <c r="P206" s="172">
        <f>IF(F206&gt;0, SQRT((F206/MAX(F$5:F$886))^2 + (1 - H206/MAX(H$5:H$886))^2 + (J206/MAX(J$5:J$886))^2), 1000000000)</f>
        <v/>
      </c>
      <c r="Q206" s="166">
        <f>IF(AND(ABS(B206-0.5)&lt;0.01, ABS(C206-0.5)&lt;0.01, ISNUMBER(SEARCH("Var", D206))), 1, 0)</f>
        <v/>
      </c>
      <c r="R206" s="171">
        <f>IF(F206&gt;0, J206, 1000000000)</f>
        <v/>
      </c>
      <c r="S206" s="101">
        <f>IF(AND(F206&lt;=DASHBOARD!$B$11, H206&gt;=DASHBOARD!$B$13), G206, -1000000000000)</f>
        <v/>
      </c>
      <c r="T206" s="101">
        <f>IF(AND(F206&lt;=DASHBOARD!$B$11, H206&gt;=DASHBOARD!$B$13), R206, 1000000000000)</f>
        <v/>
      </c>
      <c r="U206" s="101">
        <f>IF(AND(F206&lt;=DASHBOARD!$B$11, H206&gt;=DASHBOARD!$B$13), N206, -1000000000000)</f>
        <v/>
      </c>
      <c r="V206" s="101">
        <f>IF(AND(F206&lt;=DASHBOARD!$B$11, H206&gt;=DASHBOARD!$B$13), H206, -1000000000000)</f>
        <v/>
      </c>
      <c r="W206" s="101">
        <f>IF(AND(F206&lt;=DASHBOARD!$B$11, H206&gt;=DASHBOARD!$B$13), K206, -1000000000000)</f>
        <v/>
      </c>
      <c r="X206" s="101">
        <f>IF(AND(F206&lt;=DASHBOARD!$B$11, H206&gt;=DASHBOARD!$B$13), M206, 1000000000000)</f>
        <v/>
      </c>
      <c r="Y206" s="101">
        <f>IF(AND(F206&lt;=DASHBOARD!$B$10, H206&gt;=DASHBOARD!$B$11), L206, 1000000000000)</f>
        <v/>
      </c>
      <c r="Z206" s="101">
        <f>IF(AND(F206&lt;=DASHBOARD!$B$10, H206&gt;=DASHBOARD!$B$11), O206, 1000000000000)</f>
        <v/>
      </c>
      <c r="AA206" s="101">
        <f>IF(AND(F206&lt;=DASHBOARD!$B$10, H206&gt;=DASHBOARD!$B$11), P206, 1000000000000)</f>
        <v/>
      </c>
      <c r="AB206" s="101">
        <f>IF(AND(F206&lt;=DASHBOARD!$B$10, H206&gt;=DASHBOARD!$B$11), Q206, -1000000000000)</f>
        <v/>
      </c>
    </row>
    <row r="207" ht="15" customHeight="1" s="102">
      <c r="A207" s="166" t="n">
        <v>203</v>
      </c>
      <c r="B207" s="167" t="n">
        <v>0.4</v>
      </c>
      <c r="C207" s="167" t="n">
        <v>1.7</v>
      </c>
      <c r="D207" s="110" t="inlineStr">
        <is>
          <t>Yok (%0)</t>
        </is>
      </c>
      <c r="E207" s="110">
        <f>IF((B207+C207)&lt;=1, "Tam Mahsuplaşma (≤%100)", "Kısmi Satış (&gt;%100)")</f>
        <v/>
      </c>
      <c r="F207" s="168">
        <f>((VERI_TABANI!$D$29*B207/VERI_TABANI!$B$29)/VERI_TABANI!$B$3)*VERI_TABANI!$B$5 + ((VERI_TABANI!$D$29*C207/VERI_TABANI!$B$29)/VERI_TABANI!$B$4)*VERI_TABANI!$B$6 + IF(ISNUMBER(SEARCH("Var", D207)), (VERI_TABANI!$F$29/VERI_TABANI!$B$29)*(VERI_TABANI!$B$10+VERI_TABANI!$B$12), 0)</f>
        <v/>
      </c>
      <c r="G207" s="168">
        <f>(((MIN(VERI_TABANI!D23, VERI_TABANI!D23*B207)*VERI_TABANI!$B$7 + MAX(0, VERI_TABANI!D23*B207-VERI_TABANI!D23)*VERI_TABANI!$B$8) + (MIN(MAX(0, VERI_TABANI!D23-VERI_TABANI!D23*B207), VERI_TABANI!D23*C207)*VERI_TABANI!$B$7 + MAX(0, VERI_TABANI!D23*C207-MAX(0, VERI_TABANI!D23-VERI_TABANI!D23*B207))*VERI_TABANI!$B$8) + IF(ABS(IF(ISNUMBER(SEARCH("Var", D207)), 1, IF(ISNUMBER(SEARCH("Gri", D207)), -1, 0)))=1, VERI_TABANI!E23*(1-0.928)*VERI_TABANI!$B$9, 0) + (VERI_TABANI!D23*B207*(VERI_TABANI!$B$13-VERI_TABANI!$B$14)*VERI_TABANI!G23) + (VERI_TABANI!D23*C207*(VERI_TABANI!$B$13-VERI_TABANI!$B$15)*VERI_TABANI!G23) + IF(ABS(IF(ISNUMBER(SEARCH("Var", D207)), 1, IF(ISNUMBER(SEARCH("Gri", D207)), -1, 0)))=1, VERI_TABANI!E23*(1-0.928)*0.00206091519919798*VERI_TABANI!G23, 0)) + ((MIN(VERI_TABANI!D24, VERI_TABANI!D24*B207)*VERI_TABANI!$B$7 + MAX(0, VERI_TABANI!D24*B207-VERI_TABANI!D24)*VERI_TABANI!$B$8) + (MIN(MAX(0, VERI_TABANI!D24-VERI_TABANI!D24*B207), VERI_TABANI!D24*C207)*VERI_TABANI!$B$7 + MAX(0, VERI_TABANI!D24*C207-MAX(0, VERI_TABANI!D24-VERI_TABANI!D24*B207))*VERI_TABANI!$B$8) + IF(ABS(IF(ISNUMBER(SEARCH("Var", D207)), 1, IF(ISNUMBER(SEARCH("Gri", D207)), -1, 0)))=1, VERI_TABANI!E24*(1-0.928)*VERI_TABANI!$B$9, 0) + (VERI_TABANI!D24*B207*(VERI_TABANI!$B$13-VERI_TABANI!$B$14)*VERI_TABANI!G24) + (VERI_TABANI!D24*C207*(VERI_TABANI!$B$13-VERI_TABANI!$B$15)*VERI_TABANI!G24) + IF(ABS(IF(ISNUMBER(SEARCH("Var", D207)), 1, IF(ISNUMBER(SEARCH("Gri", D207)), -1, 0)))=1, VERI_TABANI!E24*(1-0.928)*0.00206091519919798*VERI_TABANI!G24, 0)) + ((MIN(VERI_TABANI!D25, VERI_TABANI!D25*B207)*VERI_TABANI!$B$7 + MAX(0, VERI_TABANI!D25*B207-VERI_TABANI!D25)*VERI_TABANI!$B$8) + (MIN(MAX(0, VERI_TABANI!D25-VERI_TABANI!D25*B207), VERI_TABANI!D25*C207)*VERI_TABANI!$B$7 + MAX(0, VERI_TABANI!D25*C207-MAX(0, VERI_TABANI!D25-VERI_TABANI!D25*B207))*VERI_TABANI!$B$8) + IF(ABS(IF(ISNUMBER(SEARCH("Var", D207)), 1, IF(ISNUMBER(SEARCH("Gri", D207)), -1, 0)))=1, VERI_TABANI!E25*(1-0.928)*VERI_TABANI!$B$9, 0) + (VERI_TABANI!D25*B207*(VERI_TABANI!$B$13-VERI_TABANI!$B$14)*VERI_TABANI!G25) + (VERI_TABANI!D25*C207*(VERI_TABANI!$B$13-VERI_TABANI!$B$15)*VERI_TABANI!G25) + IF(ABS(IF(ISNUMBER(SEARCH("Var", D207)), 1, IF(ISNUMBER(SEARCH("Gri", D207)), -1, 0)))=1, VERI_TABANI!E25*(1-0.928)*0.00206091519919798*VERI_TABANI!G25, 0)) + ((MIN(VERI_TABANI!D26, VERI_TABANI!D26*B207)*VERI_TABANI!$B$7 + MAX(0, VERI_TABANI!D26*B207-VERI_TABANI!D26)*VERI_TABANI!$B$8) + (MIN(MAX(0, VERI_TABANI!D26-VERI_TABANI!D26*B207), VERI_TABANI!D26*C207)*VERI_TABANI!$B$7 + MAX(0, VERI_TABANI!D26*C207-MAX(0, VERI_TABANI!D26-VERI_TABANI!D26*B207))*VERI_TABANI!$B$8) + IF(ABS(IF(ISNUMBER(SEARCH("Var", D207)), 1, IF(ISNUMBER(SEARCH("Gri", D207)), -1, 0)))=1, VERI_TABANI!E26*(1-0.928)*VERI_TABANI!$B$9, 0) + (VERI_TABANI!D26*B207*(VERI_TABANI!$B$13-VERI_TABANI!$B$14)*VERI_TABANI!G26) + (VERI_TABANI!D26*C207*(VERI_TABANI!$B$13-VERI_TABANI!$B$15)*VERI_TABANI!G26) + IF(ABS(IF(ISNUMBER(SEARCH("Var", D207)), 1, IF(ISNUMBER(SEARCH("Gri", D207)), -1, 0)))=1, VERI_TABANI!E26*(1-0.928)*0.00206091519919798*VERI_TABANI!G26, 0)) + ((MIN(VERI_TABANI!D27, VERI_TABANI!D27*B207)*VERI_TABANI!$B$7 + MAX(0, VERI_TABANI!D27*B207-VERI_TABANI!D27)*VERI_TABANI!$B$8) + (MIN(MAX(0, VERI_TABANI!D27-VERI_TABANI!D27*B207), VERI_TABANI!D27*C207)*VERI_TABANI!$B$7 + MAX(0, VERI_TABANI!D27*C207-MAX(0, VERI_TABANI!D27-VERI_TABANI!D27*B207))*VERI_TABANI!$B$8) + IF(ABS(IF(ISNUMBER(SEARCH("Var", D207)), 1, IF(ISNUMBER(SEARCH("Gri", D207)), -1, 0)))=1, VERI_TABANI!E27*(1-0.928)*VERI_TABANI!$B$9, 0) + (VERI_TABANI!D27*B207*(VERI_TABANI!$B$13-VERI_TABANI!$B$14)*VERI_TABANI!G27) + (VERI_TABANI!D27*C207*(VERI_TABANI!$B$13-VERI_TABANI!$B$15)*VERI_TABANI!G27) + IF(ABS(IF(ISNUMBER(SEARCH("Var", D207)), 1, IF(ISNUMBER(SEARCH("Gri", D207)), -1, 0)))=1, VERI_TABANI!E27*(1-0.928)*0.00206091519919798*VERI_TABANI!G27, 0)) + ((MIN(VERI_TABANI!D28, VERI_TABANI!D28*B207)*VERI_TABANI!$B$7 + MAX(0, VERI_TABANI!D28*B207-VERI_TABANI!D28)*VERI_TABANI!$B$8) + (MIN(MAX(0, VERI_TABANI!D28-VERI_TABANI!D28*B207), VERI_TABANI!D28*C207)*VERI_TABANI!$B$7 + MAX(0, VERI_TABANI!D28*C207-MAX(0, VERI_TABANI!D28-VERI_TABANI!D28*B207))*VERI_TABANI!$B$8) + IF(ABS(IF(ISNUMBER(SEARCH("Var", D207)), 1, IF(ISNUMBER(SEARCH("Gri", D207)), -1, 0)))=1, VERI_TABANI!E28*(1-0.928)*VERI_TABANI!$B$9, 0) + (VERI_TABANI!D28*B207*(VERI_TABANI!$B$13-VERI_TABANI!$B$14)*VERI_TABANI!G28) + (VERI_TABANI!D28*C207*(VERI_TABANI!$B$13-VERI_TABANI!$B$15)*VERI_TABANI!G28) + IF(ABS(IF(ISNUMBER(SEARCH("Var", D207)), 1, IF(ISNUMBER(SEARCH("Gri", D207)), -1, 0)))=1, VERI_TABANI!E28*(1-0.928)*0.00206091519919798*VERI_TABANI!G28, 0)))</f>
        <v/>
      </c>
      <c r="H207" s="169">
        <f>(((VERI_TABANI!D23*B207*(VERI_TABANI!$B$13-VERI_TABANI!$B$14)) + (VERI_TABANI!D23*C207*(VERI_TABANI!$B$13-VERI_TABANI!$B$15)) + IF(ISNUMBER(SEARCH("Var", D207)), VERI_TABANI!F23*(0.00202-VERI_TABANI!$B$16), IF(ISNUMBER(SEARCH("Gri", D207)), VERI_TABANI!F23*(0.00202-VERI_TABANI!$B$17), 0))) + ((VERI_TABANI!D24*B207*(VERI_TABANI!$B$13-VERI_TABANI!$B$14)) + (VERI_TABANI!D24*C207*(VERI_TABANI!$B$13-VERI_TABANI!$B$15)) + IF(ISNUMBER(SEARCH("Var", D207)), VERI_TABANI!F24*(0.00202-VERI_TABANI!$B$16), IF(ISNUMBER(SEARCH("Gri", D207)), VERI_TABANI!F24*(0.00202-VERI_TABANI!$B$17), 0))) + ((VERI_TABANI!D25*B207*(VERI_TABANI!$B$13-VERI_TABANI!$B$14)) + (VERI_TABANI!D25*C207*(VERI_TABANI!$B$13-VERI_TABANI!$B$15)) + IF(ISNUMBER(SEARCH("Var", D207)), VERI_TABANI!F25*(0.00202-VERI_TABANI!$B$16), IF(ISNUMBER(SEARCH("Gri", D207)), VERI_TABANI!F25*(0.00202-VERI_TABANI!$B$17), 0))) + ((VERI_TABANI!D26*B207*(VERI_TABANI!$B$13-VERI_TABANI!$B$14)) + (VERI_TABANI!D26*C207*(VERI_TABANI!$B$13-VERI_TABANI!$B$15)) + IF(ISNUMBER(SEARCH("Var", D207)), VERI_TABANI!F26*(0.00202-VERI_TABANI!$B$16), IF(ISNUMBER(SEARCH("Gri", D207)), VERI_TABANI!F26*(0.00202-VERI_TABANI!$B$17), 0))) + ((VERI_TABANI!D27*B207*(VERI_TABANI!$B$13-VERI_TABANI!$B$14)) + (VERI_TABANI!D27*C207*(VERI_TABANI!$B$13-VERI_TABANI!$B$15)) + IF(ISNUMBER(SEARCH("Var", D207)), VERI_TABANI!F27*(0.00202-VERI_TABANI!$B$16), IF(ISNUMBER(SEARCH("Gri", D207)), VERI_TABANI!F27*(0.00202-VERI_TABANI!$B$17), 0))) + ((VERI_TABANI!D28*B207*(VERI_TABANI!$B$13-VERI_TABANI!$B$14)) + (VERI_TABANI!D28*C207*(VERI_TABANI!$B$13-VERI_TABANI!$B$15)) + IF(ISNUMBER(SEARCH("Var", D207)), VERI_TABANI!F28*(0.00202-VERI_TABANI!$B$16), IF(ISNUMBER(SEARCH("Gri", D207)), VERI_TABANI!F28*(0.00202-VERI_TABANI!$B$17), 0))))</f>
        <v/>
      </c>
      <c r="I207" s="170">
        <f>IFERROR(((VERI_TABANI!$D$29*B207*VERI_TABANI!$B$14 + VERI_TABANI!$D$29*C207*VERI_TABANI!$B$15 + IF(ISNUMBER(SEARCH("Var", D207)), VERI_TABANI!$F$29*VERI_TABANI!$B$16, 0))) / (((VERI_TABANI!$D$29*B207 + VERI_TABANI!$D$29*C207)*VERI_TABANI!$B$13 + IF(ISNUMBER(SEARCH("Var", D207)), VERI_TABANI!$E$29*(1-0.928)*VERI_TABANI!$B$18, 0))), 0)</f>
        <v/>
      </c>
      <c r="J207" s="171">
        <f>IFERROR(F207/(G207/29), 0)</f>
        <v/>
      </c>
      <c r="K207" s="172">
        <f>IF(F207&gt;0, H207/F207, 0)</f>
        <v/>
      </c>
      <c r="L207" s="170">
        <f>IF(F207&gt;0, I207, 1000000000)</f>
        <v/>
      </c>
      <c r="M207" s="171">
        <f>ABS((B207+C207)-1)</f>
        <v/>
      </c>
      <c r="N207" s="170">
        <f>IF(F207&gt;0, (G207/29)/F207, 0)</f>
        <v/>
      </c>
      <c r="O207" s="168">
        <f>IF(AND((B207+C207)&gt;=1, ISNUMBER(SEARCH("Var", D207))), F207, 1000000000)</f>
        <v/>
      </c>
      <c r="P207" s="172">
        <f>IF(F207&gt;0, SQRT((F207/MAX(F$5:F$886))^2 + (1 - H207/MAX(H$5:H$886))^2 + (J207/MAX(J$5:J$886))^2), 1000000000)</f>
        <v/>
      </c>
      <c r="Q207" s="166">
        <f>IF(AND(ABS(B207-0.5)&lt;0.01, ABS(C207-0.5)&lt;0.01, ISNUMBER(SEARCH("Var", D207))), 1, 0)</f>
        <v/>
      </c>
      <c r="R207" s="171">
        <f>IF(F207&gt;0, J207, 1000000000)</f>
        <v/>
      </c>
      <c r="S207" s="101">
        <f>IF(AND(F207&lt;=DASHBOARD!$B$11, H207&gt;=DASHBOARD!$B$13), G207, -1000000000000)</f>
        <v/>
      </c>
      <c r="T207" s="101">
        <f>IF(AND(F207&lt;=DASHBOARD!$B$11, H207&gt;=DASHBOARD!$B$13), R207, 1000000000000)</f>
        <v/>
      </c>
      <c r="U207" s="101">
        <f>IF(AND(F207&lt;=DASHBOARD!$B$11, H207&gt;=DASHBOARD!$B$13), N207, -1000000000000)</f>
        <v/>
      </c>
      <c r="V207" s="101">
        <f>IF(AND(F207&lt;=DASHBOARD!$B$11, H207&gt;=DASHBOARD!$B$13), H207, -1000000000000)</f>
        <v/>
      </c>
      <c r="W207" s="101">
        <f>IF(AND(F207&lt;=DASHBOARD!$B$11, H207&gt;=DASHBOARD!$B$13), K207, -1000000000000)</f>
        <v/>
      </c>
      <c r="X207" s="101">
        <f>IF(AND(F207&lt;=DASHBOARD!$B$11, H207&gt;=DASHBOARD!$B$13), M207, 1000000000000)</f>
        <v/>
      </c>
      <c r="Y207" s="101">
        <f>IF(AND(F207&lt;=DASHBOARD!$B$10, H207&gt;=DASHBOARD!$B$11), L207, 1000000000000)</f>
        <v/>
      </c>
      <c r="Z207" s="101">
        <f>IF(AND(F207&lt;=DASHBOARD!$B$10, H207&gt;=DASHBOARD!$B$11), O207, 1000000000000)</f>
        <v/>
      </c>
      <c r="AA207" s="101">
        <f>IF(AND(F207&lt;=DASHBOARD!$B$10, H207&gt;=DASHBOARD!$B$11), P207, 1000000000000)</f>
        <v/>
      </c>
      <c r="AB207" s="101">
        <f>IF(AND(F207&lt;=DASHBOARD!$B$10, H207&gt;=DASHBOARD!$B$11), Q207, -1000000000000)</f>
        <v/>
      </c>
    </row>
    <row r="208" ht="15" customHeight="1" s="102">
      <c r="A208" s="166" t="n">
        <v>204</v>
      </c>
      <c r="B208" s="167" t="n">
        <v>0.4</v>
      </c>
      <c r="C208" s="167" t="n">
        <v>1.7</v>
      </c>
      <c r="D208" s="110" t="inlineStr">
        <is>
          <t>Var (%20)</t>
        </is>
      </c>
      <c r="E208" s="110">
        <f>IF((B208+C208)&lt;=1, "Tam Mahsuplaşma (≤%100)", "Kısmi Satış (&gt;%100)")</f>
        <v/>
      </c>
      <c r="F208" s="168">
        <f>((VERI_TABANI!$D$29*B208/VERI_TABANI!$B$29)/VERI_TABANI!$B$3)*VERI_TABANI!$B$5 + ((VERI_TABANI!$D$29*C208/VERI_TABANI!$B$29)/VERI_TABANI!$B$4)*VERI_TABANI!$B$6 + IF(ISNUMBER(SEARCH("Var", D208)), (VERI_TABANI!$F$29/VERI_TABANI!$B$29)*(VERI_TABANI!$B$10+VERI_TABANI!$B$12), 0)</f>
        <v/>
      </c>
      <c r="G208" s="168">
        <f>(((MIN(VERI_TABANI!D23, VERI_TABANI!D23*B208)*VERI_TABANI!$B$7 + MAX(0, VERI_TABANI!D23*B208-VERI_TABANI!D23)*VERI_TABANI!$B$8) + (MIN(MAX(0, VERI_TABANI!D23-VERI_TABANI!D23*B208), VERI_TABANI!D23*C208)*VERI_TABANI!$B$7 + MAX(0, VERI_TABANI!D23*C208-MAX(0, VERI_TABANI!D23-VERI_TABANI!D23*B208))*VERI_TABANI!$B$8) + IF(ABS(IF(ISNUMBER(SEARCH("Var", D208)), 1, IF(ISNUMBER(SEARCH("Gri", D208)), -1, 0)))=1, VERI_TABANI!E23*(1-0.928)*VERI_TABANI!$B$9, 0) + (VERI_TABANI!D23*B208*(VERI_TABANI!$B$13-VERI_TABANI!$B$14)*VERI_TABANI!G23) + (VERI_TABANI!D23*C208*(VERI_TABANI!$B$13-VERI_TABANI!$B$15)*VERI_TABANI!G23) + IF(ABS(IF(ISNUMBER(SEARCH("Var", D208)), 1, IF(ISNUMBER(SEARCH("Gri", D208)), -1, 0)))=1, VERI_TABANI!E23*(1-0.928)*0.00206091519919798*VERI_TABANI!G23, 0)) + ((MIN(VERI_TABANI!D24, VERI_TABANI!D24*B208)*VERI_TABANI!$B$7 + MAX(0, VERI_TABANI!D24*B208-VERI_TABANI!D24)*VERI_TABANI!$B$8) + (MIN(MAX(0, VERI_TABANI!D24-VERI_TABANI!D24*B208), VERI_TABANI!D24*C208)*VERI_TABANI!$B$7 + MAX(0, VERI_TABANI!D24*C208-MAX(0, VERI_TABANI!D24-VERI_TABANI!D24*B208))*VERI_TABANI!$B$8) + IF(ABS(IF(ISNUMBER(SEARCH("Var", D208)), 1, IF(ISNUMBER(SEARCH("Gri", D208)), -1, 0)))=1, VERI_TABANI!E24*(1-0.928)*VERI_TABANI!$B$9, 0) + (VERI_TABANI!D24*B208*(VERI_TABANI!$B$13-VERI_TABANI!$B$14)*VERI_TABANI!G24) + (VERI_TABANI!D24*C208*(VERI_TABANI!$B$13-VERI_TABANI!$B$15)*VERI_TABANI!G24) + IF(ABS(IF(ISNUMBER(SEARCH("Var", D208)), 1, IF(ISNUMBER(SEARCH("Gri", D208)), -1, 0)))=1, VERI_TABANI!E24*(1-0.928)*0.00206091519919798*VERI_TABANI!G24, 0)) + ((MIN(VERI_TABANI!D25, VERI_TABANI!D25*B208)*VERI_TABANI!$B$7 + MAX(0, VERI_TABANI!D25*B208-VERI_TABANI!D25)*VERI_TABANI!$B$8) + (MIN(MAX(0, VERI_TABANI!D25-VERI_TABANI!D25*B208), VERI_TABANI!D25*C208)*VERI_TABANI!$B$7 + MAX(0, VERI_TABANI!D25*C208-MAX(0, VERI_TABANI!D25-VERI_TABANI!D25*B208))*VERI_TABANI!$B$8) + IF(ABS(IF(ISNUMBER(SEARCH("Var", D208)), 1, IF(ISNUMBER(SEARCH("Gri", D208)), -1, 0)))=1, VERI_TABANI!E25*(1-0.928)*VERI_TABANI!$B$9, 0) + (VERI_TABANI!D25*B208*(VERI_TABANI!$B$13-VERI_TABANI!$B$14)*VERI_TABANI!G25) + (VERI_TABANI!D25*C208*(VERI_TABANI!$B$13-VERI_TABANI!$B$15)*VERI_TABANI!G25) + IF(ABS(IF(ISNUMBER(SEARCH("Var", D208)), 1, IF(ISNUMBER(SEARCH("Gri", D208)), -1, 0)))=1, VERI_TABANI!E25*(1-0.928)*0.00206091519919798*VERI_TABANI!G25, 0)) + ((MIN(VERI_TABANI!D26, VERI_TABANI!D26*B208)*VERI_TABANI!$B$7 + MAX(0, VERI_TABANI!D26*B208-VERI_TABANI!D26)*VERI_TABANI!$B$8) + (MIN(MAX(0, VERI_TABANI!D26-VERI_TABANI!D26*B208), VERI_TABANI!D26*C208)*VERI_TABANI!$B$7 + MAX(0, VERI_TABANI!D26*C208-MAX(0, VERI_TABANI!D26-VERI_TABANI!D26*B208))*VERI_TABANI!$B$8) + IF(ABS(IF(ISNUMBER(SEARCH("Var", D208)), 1, IF(ISNUMBER(SEARCH("Gri", D208)), -1, 0)))=1, VERI_TABANI!E26*(1-0.928)*VERI_TABANI!$B$9, 0) + (VERI_TABANI!D26*B208*(VERI_TABANI!$B$13-VERI_TABANI!$B$14)*VERI_TABANI!G26) + (VERI_TABANI!D26*C208*(VERI_TABANI!$B$13-VERI_TABANI!$B$15)*VERI_TABANI!G26) + IF(ABS(IF(ISNUMBER(SEARCH("Var", D208)), 1, IF(ISNUMBER(SEARCH("Gri", D208)), -1, 0)))=1, VERI_TABANI!E26*(1-0.928)*0.00206091519919798*VERI_TABANI!G26, 0)) + ((MIN(VERI_TABANI!D27, VERI_TABANI!D27*B208)*VERI_TABANI!$B$7 + MAX(0, VERI_TABANI!D27*B208-VERI_TABANI!D27)*VERI_TABANI!$B$8) + (MIN(MAX(0, VERI_TABANI!D27-VERI_TABANI!D27*B208), VERI_TABANI!D27*C208)*VERI_TABANI!$B$7 + MAX(0, VERI_TABANI!D27*C208-MAX(0, VERI_TABANI!D27-VERI_TABANI!D27*B208))*VERI_TABANI!$B$8) + IF(ABS(IF(ISNUMBER(SEARCH("Var", D208)), 1, IF(ISNUMBER(SEARCH("Gri", D208)), -1, 0)))=1, VERI_TABANI!E27*(1-0.928)*VERI_TABANI!$B$9, 0) + (VERI_TABANI!D27*B208*(VERI_TABANI!$B$13-VERI_TABANI!$B$14)*VERI_TABANI!G27) + (VERI_TABANI!D27*C208*(VERI_TABANI!$B$13-VERI_TABANI!$B$15)*VERI_TABANI!G27) + IF(ABS(IF(ISNUMBER(SEARCH("Var", D208)), 1, IF(ISNUMBER(SEARCH("Gri", D208)), -1, 0)))=1, VERI_TABANI!E27*(1-0.928)*0.00206091519919798*VERI_TABANI!G27, 0)) + ((MIN(VERI_TABANI!D28, VERI_TABANI!D28*B208)*VERI_TABANI!$B$7 + MAX(0, VERI_TABANI!D28*B208-VERI_TABANI!D28)*VERI_TABANI!$B$8) + (MIN(MAX(0, VERI_TABANI!D28-VERI_TABANI!D28*B208), VERI_TABANI!D28*C208)*VERI_TABANI!$B$7 + MAX(0, VERI_TABANI!D28*C208-MAX(0, VERI_TABANI!D28-VERI_TABANI!D28*B208))*VERI_TABANI!$B$8) + IF(ABS(IF(ISNUMBER(SEARCH("Var", D208)), 1, IF(ISNUMBER(SEARCH("Gri", D208)), -1, 0)))=1, VERI_TABANI!E28*(1-0.928)*VERI_TABANI!$B$9, 0) + (VERI_TABANI!D28*B208*(VERI_TABANI!$B$13-VERI_TABANI!$B$14)*VERI_TABANI!G28) + (VERI_TABANI!D28*C208*(VERI_TABANI!$B$13-VERI_TABANI!$B$15)*VERI_TABANI!G28) + IF(ABS(IF(ISNUMBER(SEARCH("Var", D208)), 1, IF(ISNUMBER(SEARCH("Gri", D208)), -1, 0)))=1, VERI_TABANI!E28*(1-0.928)*0.00206091519919798*VERI_TABANI!G28, 0)))</f>
        <v/>
      </c>
      <c r="H208" s="169">
        <f>(((VERI_TABANI!D23*B208*(VERI_TABANI!$B$13-VERI_TABANI!$B$14)) + (VERI_TABANI!D23*C208*(VERI_TABANI!$B$13-VERI_TABANI!$B$15)) + IF(ISNUMBER(SEARCH("Var", D208)), VERI_TABANI!F23*(0.00202-VERI_TABANI!$B$16), IF(ISNUMBER(SEARCH("Gri", D208)), VERI_TABANI!F23*(0.00202-VERI_TABANI!$B$17), 0))) + ((VERI_TABANI!D24*B208*(VERI_TABANI!$B$13-VERI_TABANI!$B$14)) + (VERI_TABANI!D24*C208*(VERI_TABANI!$B$13-VERI_TABANI!$B$15)) + IF(ISNUMBER(SEARCH("Var", D208)), VERI_TABANI!F24*(0.00202-VERI_TABANI!$B$16), IF(ISNUMBER(SEARCH("Gri", D208)), VERI_TABANI!F24*(0.00202-VERI_TABANI!$B$17), 0))) + ((VERI_TABANI!D25*B208*(VERI_TABANI!$B$13-VERI_TABANI!$B$14)) + (VERI_TABANI!D25*C208*(VERI_TABANI!$B$13-VERI_TABANI!$B$15)) + IF(ISNUMBER(SEARCH("Var", D208)), VERI_TABANI!F25*(0.00202-VERI_TABANI!$B$16), IF(ISNUMBER(SEARCH("Gri", D208)), VERI_TABANI!F25*(0.00202-VERI_TABANI!$B$17), 0))) + ((VERI_TABANI!D26*B208*(VERI_TABANI!$B$13-VERI_TABANI!$B$14)) + (VERI_TABANI!D26*C208*(VERI_TABANI!$B$13-VERI_TABANI!$B$15)) + IF(ISNUMBER(SEARCH("Var", D208)), VERI_TABANI!F26*(0.00202-VERI_TABANI!$B$16), IF(ISNUMBER(SEARCH("Gri", D208)), VERI_TABANI!F26*(0.00202-VERI_TABANI!$B$17), 0))) + ((VERI_TABANI!D27*B208*(VERI_TABANI!$B$13-VERI_TABANI!$B$14)) + (VERI_TABANI!D27*C208*(VERI_TABANI!$B$13-VERI_TABANI!$B$15)) + IF(ISNUMBER(SEARCH("Var", D208)), VERI_TABANI!F27*(0.00202-VERI_TABANI!$B$16), IF(ISNUMBER(SEARCH("Gri", D208)), VERI_TABANI!F27*(0.00202-VERI_TABANI!$B$17), 0))) + ((VERI_TABANI!D28*B208*(VERI_TABANI!$B$13-VERI_TABANI!$B$14)) + (VERI_TABANI!D28*C208*(VERI_TABANI!$B$13-VERI_TABANI!$B$15)) + IF(ISNUMBER(SEARCH("Var", D208)), VERI_TABANI!F28*(0.00202-VERI_TABANI!$B$16), IF(ISNUMBER(SEARCH("Gri", D208)), VERI_TABANI!F28*(0.00202-VERI_TABANI!$B$17), 0))))</f>
        <v/>
      </c>
      <c r="I208" s="170">
        <f>IFERROR(((VERI_TABANI!$D$29*B208*VERI_TABANI!$B$14 + VERI_TABANI!$D$29*C208*VERI_TABANI!$B$15 + IF(ISNUMBER(SEARCH("Var", D208)), VERI_TABANI!$F$29*VERI_TABANI!$B$16, 0))) / (((VERI_TABANI!$D$29*B208 + VERI_TABANI!$D$29*C208)*VERI_TABANI!$B$13 + IF(ISNUMBER(SEARCH("Var", D208)), VERI_TABANI!$E$29*(1-0.928)*VERI_TABANI!$B$18, 0))), 0)</f>
        <v/>
      </c>
      <c r="J208" s="171">
        <f>IFERROR(F208/(G208/29), 0)</f>
        <v/>
      </c>
      <c r="K208" s="172">
        <f>IF(F208&gt;0, H208/F208, 0)</f>
        <v/>
      </c>
      <c r="L208" s="170">
        <f>IF(F208&gt;0, I208, 1000000000)</f>
        <v/>
      </c>
      <c r="M208" s="171">
        <f>ABS((B208+C208)-1)</f>
        <v/>
      </c>
      <c r="N208" s="170">
        <f>IF(F208&gt;0, (G208/29)/F208, 0)</f>
        <v/>
      </c>
      <c r="O208" s="168">
        <f>IF(AND((B208+C208)&gt;=1, ISNUMBER(SEARCH("Var", D208))), F208, 1000000000)</f>
        <v/>
      </c>
      <c r="P208" s="172">
        <f>IF(F208&gt;0, SQRT((F208/MAX(F$5:F$886))^2 + (1 - H208/MAX(H$5:H$886))^2 + (J208/MAX(J$5:J$886))^2), 1000000000)</f>
        <v/>
      </c>
      <c r="Q208" s="166">
        <f>IF(AND(ABS(B208-0.5)&lt;0.01, ABS(C208-0.5)&lt;0.01, ISNUMBER(SEARCH("Var", D208))), 1, 0)</f>
        <v/>
      </c>
      <c r="R208" s="171">
        <f>IF(F208&gt;0, J208, 1000000000)</f>
        <v/>
      </c>
      <c r="S208" s="101">
        <f>IF(AND(F208&lt;=DASHBOARD!$B$11, H208&gt;=DASHBOARD!$B$13), G208, -1000000000000)</f>
        <v/>
      </c>
      <c r="T208" s="101">
        <f>IF(AND(F208&lt;=DASHBOARD!$B$11, H208&gt;=DASHBOARD!$B$13), R208, 1000000000000)</f>
        <v/>
      </c>
      <c r="U208" s="101">
        <f>IF(AND(F208&lt;=DASHBOARD!$B$11, H208&gt;=DASHBOARD!$B$13), N208, -1000000000000)</f>
        <v/>
      </c>
      <c r="V208" s="101">
        <f>IF(AND(F208&lt;=DASHBOARD!$B$11, H208&gt;=DASHBOARD!$B$13), H208, -1000000000000)</f>
        <v/>
      </c>
      <c r="W208" s="101">
        <f>IF(AND(F208&lt;=DASHBOARD!$B$11, H208&gt;=DASHBOARD!$B$13), K208, -1000000000000)</f>
        <v/>
      </c>
      <c r="X208" s="101">
        <f>IF(AND(F208&lt;=DASHBOARD!$B$11, H208&gt;=DASHBOARD!$B$13), M208, 1000000000000)</f>
        <v/>
      </c>
      <c r="Y208" s="101">
        <f>IF(AND(F208&lt;=DASHBOARD!$B$10, H208&gt;=DASHBOARD!$B$11), L208, 1000000000000)</f>
        <v/>
      </c>
      <c r="Z208" s="101">
        <f>IF(AND(F208&lt;=DASHBOARD!$B$10, H208&gt;=DASHBOARD!$B$11), O208, 1000000000000)</f>
        <v/>
      </c>
      <c r="AA208" s="101">
        <f>IF(AND(F208&lt;=DASHBOARD!$B$10, H208&gt;=DASHBOARD!$B$11), P208, 1000000000000)</f>
        <v/>
      </c>
      <c r="AB208" s="101">
        <f>IF(AND(F208&lt;=DASHBOARD!$B$10, H208&gt;=DASHBOARD!$B$11), Q208, -1000000000000)</f>
        <v/>
      </c>
    </row>
    <row r="209" ht="15" customHeight="1" s="102">
      <c r="A209" s="166" t="n">
        <v>205</v>
      </c>
      <c r="B209" s="167" t="n">
        <v>0.4</v>
      </c>
      <c r="C209" s="167" t="n">
        <v>1.8</v>
      </c>
      <c r="D209" s="110" t="inlineStr">
        <is>
          <t>Yok (%0)</t>
        </is>
      </c>
      <c r="E209" s="110">
        <f>IF((B209+C209)&lt;=1, "Tam Mahsuplaşma (≤%100)", "Kısmi Satış (&gt;%100)")</f>
        <v/>
      </c>
      <c r="F209" s="168">
        <f>((VERI_TABANI!$D$29*B209/VERI_TABANI!$B$29)/VERI_TABANI!$B$3)*VERI_TABANI!$B$5 + ((VERI_TABANI!$D$29*C209/VERI_TABANI!$B$29)/VERI_TABANI!$B$4)*VERI_TABANI!$B$6 + IF(ISNUMBER(SEARCH("Var", D209)), (VERI_TABANI!$F$29/VERI_TABANI!$B$29)*(VERI_TABANI!$B$10+VERI_TABANI!$B$12), 0)</f>
        <v/>
      </c>
      <c r="G209" s="168">
        <f>(((MIN(VERI_TABANI!D23, VERI_TABANI!D23*B209)*VERI_TABANI!$B$7 + MAX(0, VERI_TABANI!D23*B209-VERI_TABANI!D23)*VERI_TABANI!$B$8) + (MIN(MAX(0, VERI_TABANI!D23-VERI_TABANI!D23*B209), VERI_TABANI!D23*C209)*VERI_TABANI!$B$7 + MAX(0, VERI_TABANI!D23*C209-MAX(0, VERI_TABANI!D23-VERI_TABANI!D23*B209))*VERI_TABANI!$B$8) + IF(ABS(IF(ISNUMBER(SEARCH("Var", D209)), 1, IF(ISNUMBER(SEARCH("Gri", D209)), -1, 0)))=1, VERI_TABANI!E23*(1-0.928)*VERI_TABANI!$B$9, 0) + (VERI_TABANI!D23*B209*(VERI_TABANI!$B$13-VERI_TABANI!$B$14)*VERI_TABANI!G23) + (VERI_TABANI!D23*C209*(VERI_TABANI!$B$13-VERI_TABANI!$B$15)*VERI_TABANI!G23) + IF(ABS(IF(ISNUMBER(SEARCH("Var", D209)), 1, IF(ISNUMBER(SEARCH("Gri", D209)), -1, 0)))=1, VERI_TABANI!E23*(1-0.928)*0.00206091519919798*VERI_TABANI!G23, 0)) + ((MIN(VERI_TABANI!D24, VERI_TABANI!D24*B209)*VERI_TABANI!$B$7 + MAX(0, VERI_TABANI!D24*B209-VERI_TABANI!D24)*VERI_TABANI!$B$8) + (MIN(MAX(0, VERI_TABANI!D24-VERI_TABANI!D24*B209), VERI_TABANI!D24*C209)*VERI_TABANI!$B$7 + MAX(0, VERI_TABANI!D24*C209-MAX(0, VERI_TABANI!D24-VERI_TABANI!D24*B209))*VERI_TABANI!$B$8) + IF(ABS(IF(ISNUMBER(SEARCH("Var", D209)), 1, IF(ISNUMBER(SEARCH("Gri", D209)), -1, 0)))=1, VERI_TABANI!E24*(1-0.928)*VERI_TABANI!$B$9, 0) + (VERI_TABANI!D24*B209*(VERI_TABANI!$B$13-VERI_TABANI!$B$14)*VERI_TABANI!G24) + (VERI_TABANI!D24*C209*(VERI_TABANI!$B$13-VERI_TABANI!$B$15)*VERI_TABANI!G24) + IF(ABS(IF(ISNUMBER(SEARCH("Var", D209)), 1, IF(ISNUMBER(SEARCH("Gri", D209)), -1, 0)))=1, VERI_TABANI!E24*(1-0.928)*0.00206091519919798*VERI_TABANI!G24, 0)) + ((MIN(VERI_TABANI!D25, VERI_TABANI!D25*B209)*VERI_TABANI!$B$7 + MAX(0, VERI_TABANI!D25*B209-VERI_TABANI!D25)*VERI_TABANI!$B$8) + (MIN(MAX(0, VERI_TABANI!D25-VERI_TABANI!D25*B209), VERI_TABANI!D25*C209)*VERI_TABANI!$B$7 + MAX(0, VERI_TABANI!D25*C209-MAX(0, VERI_TABANI!D25-VERI_TABANI!D25*B209))*VERI_TABANI!$B$8) + IF(ABS(IF(ISNUMBER(SEARCH("Var", D209)), 1, IF(ISNUMBER(SEARCH("Gri", D209)), -1, 0)))=1, VERI_TABANI!E25*(1-0.928)*VERI_TABANI!$B$9, 0) + (VERI_TABANI!D25*B209*(VERI_TABANI!$B$13-VERI_TABANI!$B$14)*VERI_TABANI!G25) + (VERI_TABANI!D25*C209*(VERI_TABANI!$B$13-VERI_TABANI!$B$15)*VERI_TABANI!G25) + IF(ABS(IF(ISNUMBER(SEARCH("Var", D209)), 1, IF(ISNUMBER(SEARCH("Gri", D209)), -1, 0)))=1, VERI_TABANI!E25*(1-0.928)*0.00206091519919798*VERI_TABANI!G25, 0)) + ((MIN(VERI_TABANI!D26, VERI_TABANI!D26*B209)*VERI_TABANI!$B$7 + MAX(0, VERI_TABANI!D26*B209-VERI_TABANI!D26)*VERI_TABANI!$B$8) + (MIN(MAX(0, VERI_TABANI!D26-VERI_TABANI!D26*B209), VERI_TABANI!D26*C209)*VERI_TABANI!$B$7 + MAX(0, VERI_TABANI!D26*C209-MAX(0, VERI_TABANI!D26-VERI_TABANI!D26*B209))*VERI_TABANI!$B$8) + IF(ABS(IF(ISNUMBER(SEARCH("Var", D209)), 1, IF(ISNUMBER(SEARCH("Gri", D209)), -1, 0)))=1, VERI_TABANI!E26*(1-0.928)*VERI_TABANI!$B$9, 0) + (VERI_TABANI!D26*B209*(VERI_TABANI!$B$13-VERI_TABANI!$B$14)*VERI_TABANI!G26) + (VERI_TABANI!D26*C209*(VERI_TABANI!$B$13-VERI_TABANI!$B$15)*VERI_TABANI!G26) + IF(ABS(IF(ISNUMBER(SEARCH("Var", D209)), 1, IF(ISNUMBER(SEARCH("Gri", D209)), -1, 0)))=1, VERI_TABANI!E26*(1-0.928)*0.00206091519919798*VERI_TABANI!G26, 0)) + ((MIN(VERI_TABANI!D27, VERI_TABANI!D27*B209)*VERI_TABANI!$B$7 + MAX(0, VERI_TABANI!D27*B209-VERI_TABANI!D27)*VERI_TABANI!$B$8) + (MIN(MAX(0, VERI_TABANI!D27-VERI_TABANI!D27*B209), VERI_TABANI!D27*C209)*VERI_TABANI!$B$7 + MAX(0, VERI_TABANI!D27*C209-MAX(0, VERI_TABANI!D27-VERI_TABANI!D27*B209))*VERI_TABANI!$B$8) + IF(ABS(IF(ISNUMBER(SEARCH("Var", D209)), 1, IF(ISNUMBER(SEARCH("Gri", D209)), -1, 0)))=1, VERI_TABANI!E27*(1-0.928)*VERI_TABANI!$B$9, 0) + (VERI_TABANI!D27*B209*(VERI_TABANI!$B$13-VERI_TABANI!$B$14)*VERI_TABANI!G27) + (VERI_TABANI!D27*C209*(VERI_TABANI!$B$13-VERI_TABANI!$B$15)*VERI_TABANI!G27) + IF(ABS(IF(ISNUMBER(SEARCH("Var", D209)), 1, IF(ISNUMBER(SEARCH("Gri", D209)), -1, 0)))=1, VERI_TABANI!E27*(1-0.928)*0.00206091519919798*VERI_TABANI!G27, 0)) + ((MIN(VERI_TABANI!D28, VERI_TABANI!D28*B209)*VERI_TABANI!$B$7 + MAX(0, VERI_TABANI!D28*B209-VERI_TABANI!D28)*VERI_TABANI!$B$8) + (MIN(MAX(0, VERI_TABANI!D28-VERI_TABANI!D28*B209), VERI_TABANI!D28*C209)*VERI_TABANI!$B$7 + MAX(0, VERI_TABANI!D28*C209-MAX(0, VERI_TABANI!D28-VERI_TABANI!D28*B209))*VERI_TABANI!$B$8) + IF(ABS(IF(ISNUMBER(SEARCH("Var", D209)), 1, IF(ISNUMBER(SEARCH("Gri", D209)), -1, 0)))=1, VERI_TABANI!E28*(1-0.928)*VERI_TABANI!$B$9, 0) + (VERI_TABANI!D28*B209*(VERI_TABANI!$B$13-VERI_TABANI!$B$14)*VERI_TABANI!G28) + (VERI_TABANI!D28*C209*(VERI_TABANI!$B$13-VERI_TABANI!$B$15)*VERI_TABANI!G28) + IF(ABS(IF(ISNUMBER(SEARCH("Var", D209)), 1, IF(ISNUMBER(SEARCH("Gri", D209)), -1, 0)))=1, VERI_TABANI!E28*(1-0.928)*0.00206091519919798*VERI_TABANI!G28, 0)))</f>
        <v/>
      </c>
      <c r="H209" s="169">
        <f>(((VERI_TABANI!D23*B209*(VERI_TABANI!$B$13-VERI_TABANI!$B$14)) + (VERI_TABANI!D23*C209*(VERI_TABANI!$B$13-VERI_TABANI!$B$15)) + IF(ISNUMBER(SEARCH("Var", D209)), VERI_TABANI!F23*(0.00202-VERI_TABANI!$B$16), IF(ISNUMBER(SEARCH("Gri", D209)), VERI_TABANI!F23*(0.00202-VERI_TABANI!$B$17), 0))) + ((VERI_TABANI!D24*B209*(VERI_TABANI!$B$13-VERI_TABANI!$B$14)) + (VERI_TABANI!D24*C209*(VERI_TABANI!$B$13-VERI_TABANI!$B$15)) + IF(ISNUMBER(SEARCH("Var", D209)), VERI_TABANI!F24*(0.00202-VERI_TABANI!$B$16), IF(ISNUMBER(SEARCH("Gri", D209)), VERI_TABANI!F24*(0.00202-VERI_TABANI!$B$17), 0))) + ((VERI_TABANI!D25*B209*(VERI_TABANI!$B$13-VERI_TABANI!$B$14)) + (VERI_TABANI!D25*C209*(VERI_TABANI!$B$13-VERI_TABANI!$B$15)) + IF(ISNUMBER(SEARCH("Var", D209)), VERI_TABANI!F25*(0.00202-VERI_TABANI!$B$16), IF(ISNUMBER(SEARCH("Gri", D209)), VERI_TABANI!F25*(0.00202-VERI_TABANI!$B$17), 0))) + ((VERI_TABANI!D26*B209*(VERI_TABANI!$B$13-VERI_TABANI!$B$14)) + (VERI_TABANI!D26*C209*(VERI_TABANI!$B$13-VERI_TABANI!$B$15)) + IF(ISNUMBER(SEARCH("Var", D209)), VERI_TABANI!F26*(0.00202-VERI_TABANI!$B$16), IF(ISNUMBER(SEARCH("Gri", D209)), VERI_TABANI!F26*(0.00202-VERI_TABANI!$B$17), 0))) + ((VERI_TABANI!D27*B209*(VERI_TABANI!$B$13-VERI_TABANI!$B$14)) + (VERI_TABANI!D27*C209*(VERI_TABANI!$B$13-VERI_TABANI!$B$15)) + IF(ISNUMBER(SEARCH("Var", D209)), VERI_TABANI!F27*(0.00202-VERI_TABANI!$B$16), IF(ISNUMBER(SEARCH("Gri", D209)), VERI_TABANI!F27*(0.00202-VERI_TABANI!$B$17), 0))) + ((VERI_TABANI!D28*B209*(VERI_TABANI!$B$13-VERI_TABANI!$B$14)) + (VERI_TABANI!D28*C209*(VERI_TABANI!$B$13-VERI_TABANI!$B$15)) + IF(ISNUMBER(SEARCH("Var", D209)), VERI_TABANI!F28*(0.00202-VERI_TABANI!$B$16), IF(ISNUMBER(SEARCH("Gri", D209)), VERI_TABANI!F28*(0.00202-VERI_TABANI!$B$17), 0))))</f>
        <v/>
      </c>
      <c r="I209" s="170">
        <f>IFERROR(((VERI_TABANI!$D$29*B209*VERI_TABANI!$B$14 + VERI_TABANI!$D$29*C209*VERI_TABANI!$B$15 + IF(ISNUMBER(SEARCH("Var", D209)), VERI_TABANI!$F$29*VERI_TABANI!$B$16, 0))) / (((VERI_TABANI!$D$29*B209 + VERI_TABANI!$D$29*C209)*VERI_TABANI!$B$13 + IF(ISNUMBER(SEARCH("Var", D209)), VERI_TABANI!$E$29*(1-0.928)*VERI_TABANI!$B$18, 0))), 0)</f>
        <v/>
      </c>
      <c r="J209" s="171">
        <f>IFERROR(F209/(G209/29), 0)</f>
        <v/>
      </c>
      <c r="K209" s="172">
        <f>IF(F209&gt;0, H209/F209, 0)</f>
        <v/>
      </c>
      <c r="L209" s="170">
        <f>IF(F209&gt;0, I209, 1000000000)</f>
        <v/>
      </c>
      <c r="M209" s="171">
        <f>ABS((B209+C209)-1)</f>
        <v/>
      </c>
      <c r="N209" s="170">
        <f>IF(F209&gt;0, (G209/29)/F209, 0)</f>
        <v/>
      </c>
      <c r="O209" s="168">
        <f>IF(AND((B209+C209)&gt;=1, ISNUMBER(SEARCH("Var", D209))), F209, 1000000000)</f>
        <v/>
      </c>
      <c r="P209" s="172">
        <f>IF(F209&gt;0, SQRT((F209/MAX(F$5:F$886))^2 + (1 - H209/MAX(H$5:H$886))^2 + (J209/MAX(J$5:J$886))^2), 1000000000)</f>
        <v/>
      </c>
      <c r="Q209" s="166">
        <f>IF(AND(ABS(B209-0.5)&lt;0.01, ABS(C209-0.5)&lt;0.01, ISNUMBER(SEARCH("Var", D209))), 1, 0)</f>
        <v/>
      </c>
      <c r="R209" s="171">
        <f>IF(F209&gt;0, J209, 1000000000)</f>
        <v/>
      </c>
      <c r="S209" s="101">
        <f>IF(AND(F209&lt;=DASHBOARD!$B$11, H209&gt;=DASHBOARD!$B$13), G209, -1000000000000)</f>
        <v/>
      </c>
      <c r="T209" s="101">
        <f>IF(AND(F209&lt;=DASHBOARD!$B$11, H209&gt;=DASHBOARD!$B$13), R209, 1000000000000)</f>
        <v/>
      </c>
      <c r="U209" s="101">
        <f>IF(AND(F209&lt;=DASHBOARD!$B$11, H209&gt;=DASHBOARD!$B$13), N209, -1000000000000)</f>
        <v/>
      </c>
      <c r="V209" s="101">
        <f>IF(AND(F209&lt;=DASHBOARD!$B$11, H209&gt;=DASHBOARD!$B$13), H209, -1000000000000)</f>
        <v/>
      </c>
      <c r="W209" s="101">
        <f>IF(AND(F209&lt;=DASHBOARD!$B$11, H209&gt;=DASHBOARD!$B$13), K209, -1000000000000)</f>
        <v/>
      </c>
      <c r="X209" s="101">
        <f>IF(AND(F209&lt;=DASHBOARD!$B$11, H209&gt;=DASHBOARD!$B$13), M209, 1000000000000)</f>
        <v/>
      </c>
      <c r="Y209" s="101">
        <f>IF(AND(F209&lt;=DASHBOARD!$B$10, H209&gt;=DASHBOARD!$B$11), L209, 1000000000000)</f>
        <v/>
      </c>
      <c r="Z209" s="101">
        <f>IF(AND(F209&lt;=DASHBOARD!$B$10, H209&gt;=DASHBOARD!$B$11), O209, 1000000000000)</f>
        <v/>
      </c>
      <c r="AA209" s="101">
        <f>IF(AND(F209&lt;=DASHBOARD!$B$10, H209&gt;=DASHBOARD!$B$11), P209, 1000000000000)</f>
        <v/>
      </c>
      <c r="AB209" s="101">
        <f>IF(AND(F209&lt;=DASHBOARD!$B$10, H209&gt;=DASHBOARD!$B$11), Q209, -1000000000000)</f>
        <v/>
      </c>
    </row>
    <row r="210" ht="15" customHeight="1" s="102">
      <c r="A210" s="166" t="n">
        <v>206</v>
      </c>
      <c r="B210" s="167" t="n">
        <v>0.4</v>
      </c>
      <c r="C210" s="167" t="n">
        <v>1.8</v>
      </c>
      <c r="D210" s="110" t="inlineStr">
        <is>
          <t>Var (%20)</t>
        </is>
      </c>
      <c r="E210" s="110">
        <f>IF((B210+C210)&lt;=1, "Tam Mahsuplaşma (≤%100)", "Kısmi Satış (&gt;%100)")</f>
        <v/>
      </c>
      <c r="F210" s="168">
        <f>((VERI_TABANI!$D$29*B210/VERI_TABANI!$B$29)/VERI_TABANI!$B$3)*VERI_TABANI!$B$5 + ((VERI_TABANI!$D$29*C210/VERI_TABANI!$B$29)/VERI_TABANI!$B$4)*VERI_TABANI!$B$6 + IF(ISNUMBER(SEARCH("Var", D210)), (VERI_TABANI!$F$29/VERI_TABANI!$B$29)*(VERI_TABANI!$B$10+VERI_TABANI!$B$12), 0)</f>
        <v/>
      </c>
      <c r="G210" s="168">
        <f>(((MIN(VERI_TABANI!D23, VERI_TABANI!D23*B210)*VERI_TABANI!$B$7 + MAX(0, VERI_TABANI!D23*B210-VERI_TABANI!D23)*VERI_TABANI!$B$8) + (MIN(MAX(0, VERI_TABANI!D23-VERI_TABANI!D23*B210), VERI_TABANI!D23*C210)*VERI_TABANI!$B$7 + MAX(0, VERI_TABANI!D23*C210-MAX(0, VERI_TABANI!D23-VERI_TABANI!D23*B210))*VERI_TABANI!$B$8) + IF(ABS(IF(ISNUMBER(SEARCH("Var", D210)), 1, IF(ISNUMBER(SEARCH("Gri", D210)), -1, 0)))=1, VERI_TABANI!E23*(1-0.928)*VERI_TABANI!$B$9, 0) + (VERI_TABANI!D23*B210*(VERI_TABANI!$B$13-VERI_TABANI!$B$14)*VERI_TABANI!G23) + (VERI_TABANI!D23*C210*(VERI_TABANI!$B$13-VERI_TABANI!$B$15)*VERI_TABANI!G23) + IF(ABS(IF(ISNUMBER(SEARCH("Var", D210)), 1, IF(ISNUMBER(SEARCH("Gri", D210)), -1, 0)))=1, VERI_TABANI!E23*(1-0.928)*0.00206091519919798*VERI_TABANI!G23, 0)) + ((MIN(VERI_TABANI!D24, VERI_TABANI!D24*B210)*VERI_TABANI!$B$7 + MAX(0, VERI_TABANI!D24*B210-VERI_TABANI!D24)*VERI_TABANI!$B$8) + (MIN(MAX(0, VERI_TABANI!D24-VERI_TABANI!D24*B210), VERI_TABANI!D24*C210)*VERI_TABANI!$B$7 + MAX(0, VERI_TABANI!D24*C210-MAX(0, VERI_TABANI!D24-VERI_TABANI!D24*B210))*VERI_TABANI!$B$8) + IF(ABS(IF(ISNUMBER(SEARCH("Var", D210)), 1, IF(ISNUMBER(SEARCH("Gri", D210)), -1, 0)))=1, VERI_TABANI!E24*(1-0.928)*VERI_TABANI!$B$9, 0) + (VERI_TABANI!D24*B210*(VERI_TABANI!$B$13-VERI_TABANI!$B$14)*VERI_TABANI!G24) + (VERI_TABANI!D24*C210*(VERI_TABANI!$B$13-VERI_TABANI!$B$15)*VERI_TABANI!G24) + IF(ABS(IF(ISNUMBER(SEARCH("Var", D210)), 1, IF(ISNUMBER(SEARCH("Gri", D210)), -1, 0)))=1, VERI_TABANI!E24*(1-0.928)*0.00206091519919798*VERI_TABANI!G24, 0)) + ((MIN(VERI_TABANI!D25, VERI_TABANI!D25*B210)*VERI_TABANI!$B$7 + MAX(0, VERI_TABANI!D25*B210-VERI_TABANI!D25)*VERI_TABANI!$B$8) + (MIN(MAX(0, VERI_TABANI!D25-VERI_TABANI!D25*B210), VERI_TABANI!D25*C210)*VERI_TABANI!$B$7 + MAX(0, VERI_TABANI!D25*C210-MAX(0, VERI_TABANI!D25-VERI_TABANI!D25*B210))*VERI_TABANI!$B$8) + IF(ABS(IF(ISNUMBER(SEARCH("Var", D210)), 1, IF(ISNUMBER(SEARCH("Gri", D210)), -1, 0)))=1, VERI_TABANI!E25*(1-0.928)*VERI_TABANI!$B$9, 0) + (VERI_TABANI!D25*B210*(VERI_TABANI!$B$13-VERI_TABANI!$B$14)*VERI_TABANI!G25) + (VERI_TABANI!D25*C210*(VERI_TABANI!$B$13-VERI_TABANI!$B$15)*VERI_TABANI!G25) + IF(ABS(IF(ISNUMBER(SEARCH("Var", D210)), 1, IF(ISNUMBER(SEARCH("Gri", D210)), -1, 0)))=1, VERI_TABANI!E25*(1-0.928)*0.00206091519919798*VERI_TABANI!G25, 0)) + ((MIN(VERI_TABANI!D26, VERI_TABANI!D26*B210)*VERI_TABANI!$B$7 + MAX(0, VERI_TABANI!D26*B210-VERI_TABANI!D26)*VERI_TABANI!$B$8) + (MIN(MAX(0, VERI_TABANI!D26-VERI_TABANI!D26*B210), VERI_TABANI!D26*C210)*VERI_TABANI!$B$7 + MAX(0, VERI_TABANI!D26*C210-MAX(0, VERI_TABANI!D26-VERI_TABANI!D26*B210))*VERI_TABANI!$B$8) + IF(ABS(IF(ISNUMBER(SEARCH("Var", D210)), 1, IF(ISNUMBER(SEARCH("Gri", D210)), -1, 0)))=1, VERI_TABANI!E26*(1-0.928)*VERI_TABANI!$B$9, 0) + (VERI_TABANI!D26*B210*(VERI_TABANI!$B$13-VERI_TABANI!$B$14)*VERI_TABANI!G26) + (VERI_TABANI!D26*C210*(VERI_TABANI!$B$13-VERI_TABANI!$B$15)*VERI_TABANI!G26) + IF(ABS(IF(ISNUMBER(SEARCH("Var", D210)), 1, IF(ISNUMBER(SEARCH("Gri", D210)), -1, 0)))=1, VERI_TABANI!E26*(1-0.928)*0.00206091519919798*VERI_TABANI!G26, 0)) + ((MIN(VERI_TABANI!D27, VERI_TABANI!D27*B210)*VERI_TABANI!$B$7 + MAX(0, VERI_TABANI!D27*B210-VERI_TABANI!D27)*VERI_TABANI!$B$8) + (MIN(MAX(0, VERI_TABANI!D27-VERI_TABANI!D27*B210), VERI_TABANI!D27*C210)*VERI_TABANI!$B$7 + MAX(0, VERI_TABANI!D27*C210-MAX(0, VERI_TABANI!D27-VERI_TABANI!D27*B210))*VERI_TABANI!$B$8) + IF(ABS(IF(ISNUMBER(SEARCH("Var", D210)), 1, IF(ISNUMBER(SEARCH("Gri", D210)), -1, 0)))=1, VERI_TABANI!E27*(1-0.928)*VERI_TABANI!$B$9, 0) + (VERI_TABANI!D27*B210*(VERI_TABANI!$B$13-VERI_TABANI!$B$14)*VERI_TABANI!G27) + (VERI_TABANI!D27*C210*(VERI_TABANI!$B$13-VERI_TABANI!$B$15)*VERI_TABANI!G27) + IF(ABS(IF(ISNUMBER(SEARCH("Var", D210)), 1, IF(ISNUMBER(SEARCH("Gri", D210)), -1, 0)))=1, VERI_TABANI!E27*(1-0.928)*0.00206091519919798*VERI_TABANI!G27, 0)) + ((MIN(VERI_TABANI!D28, VERI_TABANI!D28*B210)*VERI_TABANI!$B$7 + MAX(0, VERI_TABANI!D28*B210-VERI_TABANI!D28)*VERI_TABANI!$B$8) + (MIN(MAX(0, VERI_TABANI!D28-VERI_TABANI!D28*B210), VERI_TABANI!D28*C210)*VERI_TABANI!$B$7 + MAX(0, VERI_TABANI!D28*C210-MAX(0, VERI_TABANI!D28-VERI_TABANI!D28*B210))*VERI_TABANI!$B$8) + IF(ABS(IF(ISNUMBER(SEARCH("Var", D210)), 1, IF(ISNUMBER(SEARCH("Gri", D210)), -1, 0)))=1, VERI_TABANI!E28*(1-0.928)*VERI_TABANI!$B$9, 0) + (VERI_TABANI!D28*B210*(VERI_TABANI!$B$13-VERI_TABANI!$B$14)*VERI_TABANI!G28) + (VERI_TABANI!D28*C210*(VERI_TABANI!$B$13-VERI_TABANI!$B$15)*VERI_TABANI!G28) + IF(ABS(IF(ISNUMBER(SEARCH("Var", D210)), 1, IF(ISNUMBER(SEARCH("Gri", D210)), -1, 0)))=1, VERI_TABANI!E28*(1-0.928)*0.00206091519919798*VERI_TABANI!G28, 0)))</f>
        <v/>
      </c>
      <c r="H210" s="169">
        <f>(((VERI_TABANI!D23*B210*(VERI_TABANI!$B$13-VERI_TABANI!$B$14)) + (VERI_TABANI!D23*C210*(VERI_TABANI!$B$13-VERI_TABANI!$B$15)) + IF(ISNUMBER(SEARCH("Var", D210)), VERI_TABANI!F23*(0.00202-VERI_TABANI!$B$16), IF(ISNUMBER(SEARCH("Gri", D210)), VERI_TABANI!F23*(0.00202-VERI_TABANI!$B$17), 0))) + ((VERI_TABANI!D24*B210*(VERI_TABANI!$B$13-VERI_TABANI!$B$14)) + (VERI_TABANI!D24*C210*(VERI_TABANI!$B$13-VERI_TABANI!$B$15)) + IF(ISNUMBER(SEARCH("Var", D210)), VERI_TABANI!F24*(0.00202-VERI_TABANI!$B$16), IF(ISNUMBER(SEARCH("Gri", D210)), VERI_TABANI!F24*(0.00202-VERI_TABANI!$B$17), 0))) + ((VERI_TABANI!D25*B210*(VERI_TABANI!$B$13-VERI_TABANI!$B$14)) + (VERI_TABANI!D25*C210*(VERI_TABANI!$B$13-VERI_TABANI!$B$15)) + IF(ISNUMBER(SEARCH("Var", D210)), VERI_TABANI!F25*(0.00202-VERI_TABANI!$B$16), IF(ISNUMBER(SEARCH("Gri", D210)), VERI_TABANI!F25*(0.00202-VERI_TABANI!$B$17), 0))) + ((VERI_TABANI!D26*B210*(VERI_TABANI!$B$13-VERI_TABANI!$B$14)) + (VERI_TABANI!D26*C210*(VERI_TABANI!$B$13-VERI_TABANI!$B$15)) + IF(ISNUMBER(SEARCH("Var", D210)), VERI_TABANI!F26*(0.00202-VERI_TABANI!$B$16), IF(ISNUMBER(SEARCH("Gri", D210)), VERI_TABANI!F26*(0.00202-VERI_TABANI!$B$17), 0))) + ((VERI_TABANI!D27*B210*(VERI_TABANI!$B$13-VERI_TABANI!$B$14)) + (VERI_TABANI!D27*C210*(VERI_TABANI!$B$13-VERI_TABANI!$B$15)) + IF(ISNUMBER(SEARCH("Var", D210)), VERI_TABANI!F27*(0.00202-VERI_TABANI!$B$16), IF(ISNUMBER(SEARCH("Gri", D210)), VERI_TABANI!F27*(0.00202-VERI_TABANI!$B$17), 0))) + ((VERI_TABANI!D28*B210*(VERI_TABANI!$B$13-VERI_TABANI!$B$14)) + (VERI_TABANI!D28*C210*(VERI_TABANI!$B$13-VERI_TABANI!$B$15)) + IF(ISNUMBER(SEARCH("Var", D210)), VERI_TABANI!F28*(0.00202-VERI_TABANI!$B$16), IF(ISNUMBER(SEARCH("Gri", D210)), VERI_TABANI!F28*(0.00202-VERI_TABANI!$B$17), 0))))</f>
        <v/>
      </c>
      <c r="I210" s="170">
        <f>IFERROR(((VERI_TABANI!$D$29*B210*VERI_TABANI!$B$14 + VERI_TABANI!$D$29*C210*VERI_TABANI!$B$15 + IF(ISNUMBER(SEARCH("Var", D210)), VERI_TABANI!$F$29*VERI_TABANI!$B$16, 0))) / (((VERI_TABANI!$D$29*B210 + VERI_TABANI!$D$29*C210)*VERI_TABANI!$B$13 + IF(ISNUMBER(SEARCH("Var", D210)), VERI_TABANI!$E$29*(1-0.928)*VERI_TABANI!$B$18, 0))), 0)</f>
        <v/>
      </c>
      <c r="J210" s="171">
        <f>IFERROR(F210/(G210/29), 0)</f>
        <v/>
      </c>
      <c r="K210" s="172">
        <f>IF(F210&gt;0, H210/F210, 0)</f>
        <v/>
      </c>
      <c r="L210" s="170">
        <f>IF(F210&gt;0, I210, 1000000000)</f>
        <v/>
      </c>
      <c r="M210" s="171">
        <f>ABS((B210+C210)-1)</f>
        <v/>
      </c>
      <c r="N210" s="170">
        <f>IF(F210&gt;0, (G210/29)/F210, 0)</f>
        <v/>
      </c>
      <c r="O210" s="168">
        <f>IF(AND((B210+C210)&gt;=1, ISNUMBER(SEARCH("Var", D210))), F210, 1000000000)</f>
        <v/>
      </c>
      <c r="P210" s="172">
        <f>IF(F210&gt;0, SQRT((F210/MAX(F$5:F$886))^2 + (1 - H210/MAX(H$5:H$886))^2 + (J210/MAX(J$5:J$886))^2), 1000000000)</f>
        <v/>
      </c>
      <c r="Q210" s="166">
        <f>IF(AND(ABS(B210-0.5)&lt;0.01, ABS(C210-0.5)&lt;0.01, ISNUMBER(SEARCH("Var", D210))), 1, 0)</f>
        <v/>
      </c>
      <c r="R210" s="171">
        <f>IF(F210&gt;0, J210, 1000000000)</f>
        <v/>
      </c>
      <c r="S210" s="101">
        <f>IF(AND(F210&lt;=DASHBOARD!$B$11, H210&gt;=DASHBOARD!$B$13), G210, -1000000000000)</f>
        <v/>
      </c>
      <c r="T210" s="101">
        <f>IF(AND(F210&lt;=DASHBOARD!$B$11, H210&gt;=DASHBOARD!$B$13), R210, 1000000000000)</f>
        <v/>
      </c>
      <c r="U210" s="101">
        <f>IF(AND(F210&lt;=DASHBOARD!$B$11, H210&gt;=DASHBOARD!$B$13), N210, -1000000000000)</f>
        <v/>
      </c>
      <c r="V210" s="101">
        <f>IF(AND(F210&lt;=DASHBOARD!$B$11, H210&gt;=DASHBOARD!$B$13), H210, -1000000000000)</f>
        <v/>
      </c>
      <c r="W210" s="101">
        <f>IF(AND(F210&lt;=DASHBOARD!$B$11, H210&gt;=DASHBOARD!$B$13), K210, -1000000000000)</f>
        <v/>
      </c>
      <c r="X210" s="101">
        <f>IF(AND(F210&lt;=DASHBOARD!$B$11, H210&gt;=DASHBOARD!$B$13), M210, 1000000000000)</f>
        <v/>
      </c>
      <c r="Y210" s="101">
        <f>IF(AND(F210&lt;=DASHBOARD!$B$10, H210&gt;=DASHBOARD!$B$11), L210, 1000000000000)</f>
        <v/>
      </c>
      <c r="Z210" s="101">
        <f>IF(AND(F210&lt;=DASHBOARD!$B$10, H210&gt;=DASHBOARD!$B$11), O210, 1000000000000)</f>
        <v/>
      </c>
      <c r="AA210" s="101">
        <f>IF(AND(F210&lt;=DASHBOARD!$B$10, H210&gt;=DASHBOARD!$B$11), P210, 1000000000000)</f>
        <v/>
      </c>
      <c r="AB210" s="101">
        <f>IF(AND(F210&lt;=DASHBOARD!$B$10, H210&gt;=DASHBOARD!$B$11), Q210, -1000000000000)</f>
        <v/>
      </c>
    </row>
    <row r="211" ht="15" customHeight="1" s="102">
      <c r="A211" s="166" t="n">
        <v>207</v>
      </c>
      <c r="B211" s="167" t="n">
        <v>0.4</v>
      </c>
      <c r="C211" s="167" t="n">
        <v>1.9</v>
      </c>
      <c r="D211" s="110" t="inlineStr">
        <is>
          <t>Yok (%0)</t>
        </is>
      </c>
      <c r="E211" s="110">
        <f>IF((B211+C211)&lt;=1, "Tam Mahsuplaşma (≤%100)", "Kısmi Satış (&gt;%100)")</f>
        <v/>
      </c>
      <c r="F211" s="168">
        <f>((VERI_TABANI!$D$29*B211/VERI_TABANI!$B$29)/VERI_TABANI!$B$3)*VERI_TABANI!$B$5 + ((VERI_TABANI!$D$29*C211/VERI_TABANI!$B$29)/VERI_TABANI!$B$4)*VERI_TABANI!$B$6 + IF(ISNUMBER(SEARCH("Var", D211)), (VERI_TABANI!$F$29/VERI_TABANI!$B$29)*(VERI_TABANI!$B$10+VERI_TABANI!$B$12), 0)</f>
        <v/>
      </c>
      <c r="G211" s="168">
        <f>(((MIN(VERI_TABANI!D23, VERI_TABANI!D23*B211)*VERI_TABANI!$B$7 + MAX(0, VERI_TABANI!D23*B211-VERI_TABANI!D23)*VERI_TABANI!$B$8) + (MIN(MAX(0, VERI_TABANI!D23-VERI_TABANI!D23*B211), VERI_TABANI!D23*C211)*VERI_TABANI!$B$7 + MAX(0, VERI_TABANI!D23*C211-MAX(0, VERI_TABANI!D23-VERI_TABANI!D23*B211))*VERI_TABANI!$B$8) + IF(ABS(IF(ISNUMBER(SEARCH("Var", D211)), 1, IF(ISNUMBER(SEARCH("Gri", D211)), -1, 0)))=1, VERI_TABANI!E23*(1-0.928)*VERI_TABANI!$B$9, 0) + (VERI_TABANI!D23*B211*(VERI_TABANI!$B$13-VERI_TABANI!$B$14)*VERI_TABANI!G23) + (VERI_TABANI!D23*C211*(VERI_TABANI!$B$13-VERI_TABANI!$B$15)*VERI_TABANI!G23) + IF(ABS(IF(ISNUMBER(SEARCH("Var", D211)), 1, IF(ISNUMBER(SEARCH("Gri", D211)), -1, 0)))=1, VERI_TABANI!E23*(1-0.928)*0.00206091519919798*VERI_TABANI!G23, 0)) + ((MIN(VERI_TABANI!D24, VERI_TABANI!D24*B211)*VERI_TABANI!$B$7 + MAX(0, VERI_TABANI!D24*B211-VERI_TABANI!D24)*VERI_TABANI!$B$8) + (MIN(MAX(0, VERI_TABANI!D24-VERI_TABANI!D24*B211), VERI_TABANI!D24*C211)*VERI_TABANI!$B$7 + MAX(0, VERI_TABANI!D24*C211-MAX(0, VERI_TABANI!D24-VERI_TABANI!D24*B211))*VERI_TABANI!$B$8) + IF(ABS(IF(ISNUMBER(SEARCH("Var", D211)), 1, IF(ISNUMBER(SEARCH("Gri", D211)), -1, 0)))=1, VERI_TABANI!E24*(1-0.928)*VERI_TABANI!$B$9, 0) + (VERI_TABANI!D24*B211*(VERI_TABANI!$B$13-VERI_TABANI!$B$14)*VERI_TABANI!G24) + (VERI_TABANI!D24*C211*(VERI_TABANI!$B$13-VERI_TABANI!$B$15)*VERI_TABANI!G24) + IF(ABS(IF(ISNUMBER(SEARCH("Var", D211)), 1, IF(ISNUMBER(SEARCH("Gri", D211)), -1, 0)))=1, VERI_TABANI!E24*(1-0.928)*0.00206091519919798*VERI_TABANI!G24, 0)) + ((MIN(VERI_TABANI!D25, VERI_TABANI!D25*B211)*VERI_TABANI!$B$7 + MAX(0, VERI_TABANI!D25*B211-VERI_TABANI!D25)*VERI_TABANI!$B$8) + (MIN(MAX(0, VERI_TABANI!D25-VERI_TABANI!D25*B211), VERI_TABANI!D25*C211)*VERI_TABANI!$B$7 + MAX(0, VERI_TABANI!D25*C211-MAX(0, VERI_TABANI!D25-VERI_TABANI!D25*B211))*VERI_TABANI!$B$8) + IF(ABS(IF(ISNUMBER(SEARCH("Var", D211)), 1, IF(ISNUMBER(SEARCH("Gri", D211)), -1, 0)))=1, VERI_TABANI!E25*(1-0.928)*VERI_TABANI!$B$9, 0) + (VERI_TABANI!D25*B211*(VERI_TABANI!$B$13-VERI_TABANI!$B$14)*VERI_TABANI!G25) + (VERI_TABANI!D25*C211*(VERI_TABANI!$B$13-VERI_TABANI!$B$15)*VERI_TABANI!G25) + IF(ABS(IF(ISNUMBER(SEARCH("Var", D211)), 1, IF(ISNUMBER(SEARCH("Gri", D211)), -1, 0)))=1, VERI_TABANI!E25*(1-0.928)*0.00206091519919798*VERI_TABANI!G25, 0)) + ((MIN(VERI_TABANI!D26, VERI_TABANI!D26*B211)*VERI_TABANI!$B$7 + MAX(0, VERI_TABANI!D26*B211-VERI_TABANI!D26)*VERI_TABANI!$B$8) + (MIN(MAX(0, VERI_TABANI!D26-VERI_TABANI!D26*B211), VERI_TABANI!D26*C211)*VERI_TABANI!$B$7 + MAX(0, VERI_TABANI!D26*C211-MAX(0, VERI_TABANI!D26-VERI_TABANI!D26*B211))*VERI_TABANI!$B$8) + IF(ABS(IF(ISNUMBER(SEARCH("Var", D211)), 1, IF(ISNUMBER(SEARCH("Gri", D211)), -1, 0)))=1, VERI_TABANI!E26*(1-0.928)*VERI_TABANI!$B$9, 0) + (VERI_TABANI!D26*B211*(VERI_TABANI!$B$13-VERI_TABANI!$B$14)*VERI_TABANI!G26) + (VERI_TABANI!D26*C211*(VERI_TABANI!$B$13-VERI_TABANI!$B$15)*VERI_TABANI!G26) + IF(ABS(IF(ISNUMBER(SEARCH("Var", D211)), 1, IF(ISNUMBER(SEARCH("Gri", D211)), -1, 0)))=1, VERI_TABANI!E26*(1-0.928)*0.00206091519919798*VERI_TABANI!G26, 0)) + ((MIN(VERI_TABANI!D27, VERI_TABANI!D27*B211)*VERI_TABANI!$B$7 + MAX(0, VERI_TABANI!D27*B211-VERI_TABANI!D27)*VERI_TABANI!$B$8) + (MIN(MAX(0, VERI_TABANI!D27-VERI_TABANI!D27*B211), VERI_TABANI!D27*C211)*VERI_TABANI!$B$7 + MAX(0, VERI_TABANI!D27*C211-MAX(0, VERI_TABANI!D27-VERI_TABANI!D27*B211))*VERI_TABANI!$B$8) + IF(ABS(IF(ISNUMBER(SEARCH("Var", D211)), 1, IF(ISNUMBER(SEARCH("Gri", D211)), -1, 0)))=1, VERI_TABANI!E27*(1-0.928)*VERI_TABANI!$B$9, 0) + (VERI_TABANI!D27*B211*(VERI_TABANI!$B$13-VERI_TABANI!$B$14)*VERI_TABANI!G27) + (VERI_TABANI!D27*C211*(VERI_TABANI!$B$13-VERI_TABANI!$B$15)*VERI_TABANI!G27) + IF(ABS(IF(ISNUMBER(SEARCH("Var", D211)), 1, IF(ISNUMBER(SEARCH("Gri", D211)), -1, 0)))=1, VERI_TABANI!E27*(1-0.928)*0.00206091519919798*VERI_TABANI!G27, 0)) + ((MIN(VERI_TABANI!D28, VERI_TABANI!D28*B211)*VERI_TABANI!$B$7 + MAX(0, VERI_TABANI!D28*B211-VERI_TABANI!D28)*VERI_TABANI!$B$8) + (MIN(MAX(0, VERI_TABANI!D28-VERI_TABANI!D28*B211), VERI_TABANI!D28*C211)*VERI_TABANI!$B$7 + MAX(0, VERI_TABANI!D28*C211-MAX(0, VERI_TABANI!D28-VERI_TABANI!D28*B211))*VERI_TABANI!$B$8) + IF(ABS(IF(ISNUMBER(SEARCH("Var", D211)), 1, IF(ISNUMBER(SEARCH("Gri", D211)), -1, 0)))=1, VERI_TABANI!E28*(1-0.928)*VERI_TABANI!$B$9, 0) + (VERI_TABANI!D28*B211*(VERI_TABANI!$B$13-VERI_TABANI!$B$14)*VERI_TABANI!G28) + (VERI_TABANI!D28*C211*(VERI_TABANI!$B$13-VERI_TABANI!$B$15)*VERI_TABANI!G28) + IF(ABS(IF(ISNUMBER(SEARCH("Var", D211)), 1, IF(ISNUMBER(SEARCH("Gri", D211)), -1, 0)))=1, VERI_TABANI!E28*(1-0.928)*0.00206091519919798*VERI_TABANI!G28, 0)))</f>
        <v/>
      </c>
      <c r="H211" s="169">
        <f>(((VERI_TABANI!D23*B211*(VERI_TABANI!$B$13-VERI_TABANI!$B$14)) + (VERI_TABANI!D23*C211*(VERI_TABANI!$B$13-VERI_TABANI!$B$15)) + IF(ISNUMBER(SEARCH("Var", D211)), VERI_TABANI!F23*(0.00202-VERI_TABANI!$B$16), IF(ISNUMBER(SEARCH("Gri", D211)), VERI_TABANI!F23*(0.00202-VERI_TABANI!$B$17), 0))) + ((VERI_TABANI!D24*B211*(VERI_TABANI!$B$13-VERI_TABANI!$B$14)) + (VERI_TABANI!D24*C211*(VERI_TABANI!$B$13-VERI_TABANI!$B$15)) + IF(ISNUMBER(SEARCH("Var", D211)), VERI_TABANI!F24*(0.00202-VERI_TABANI!$B$16), IF(ISNUMBER(SEARCH("Gri", D211)), VERI_TABANI!F24*(0.00202-VERI_TABANI!$B$17), 0))) + ((VERI_TABANI!D25*B211*(VERI_TABANI!$B$13-VERI_TABANI!$B$14)) + (VERI_TABANI!D25*C211*(VERI_TABANI!$B$13-VERI_TABANI!$B$15)) + IF(ISNUMBER(SEARCH("Var", D211)), VERI_TABANI!F25*(0.00202-VERI_TABANI!$B$16), IF(ISNUMBER(SEARCH("Gri", D211)), VERI_TABANI!F25*(0.00202-VERI_TABANI!$B$17), 0))) + ((VERI_TABANI!D26*B211*(VERI_TABANI!$B$13-VERI_TABANI!$B$14)) + (VERI_TABANI!D26*C211*(VERI_TABANI!$B$13-VERI_TABANI!$B$15)) + IF(ISNUMBER(SEARCH("Var", D211)), VERI_TABANI!F26*(0.00202-VERI_TABANI!$B$16), IF(ISNUMBER(SEARCH("Gri", D211)), VERI_TABANI!F26*(0.00202-VERI_TABANI!$B$17), 0))) + ((VERI_TABANI!D27*B211*(VERI_TABANI!$B$13-VERI_TABANI!$B$14)) + (VERI_TABANI!D27*C211*(VERI_TABANI!$B$13-VERI_TABANI!$B$15)) + IF(ISNUMBER(SEARCH("Var", D211)), VERI_TABANI!F27*(0.00202-VERI_TABANI!$B$16), IF(ISNUMBER(SEARCH("Gri", D211)), VERI_TABANI!F27*(0.00202-VERI_TABANI!$B$17), 0))) + ((VERI_TABANI!D28*B211*(VERI_TABANI!$B$13-VERI_TABANI!$B$14)) + (VERI_TABANI!D28*C211*(VERI_TABANI!$B$13-VERI_TABANI!$B$15)) + IF(ISNUMBER(SEARCH("Var", D211)), VERI_TABANI!F28*(0.00202-VERI_TABANI!$B$16), IF(ISNUMBER(SEARCH("Gri", D211)), VERI_TABANI!F28*(0.00202-VERI_TABANI!$B$17), 0))))</f>
        <v/>
      </c>
      <c r="I211" s="170">
        <f>IFERROR(((VERI_TABANI!$D$29*B211*VERI_TABANI!$B$14 + VERI_TABANI!$D$29*C211*VERI_TABANI!$B$15 + IF(ISNUMBER(SEARCH("Var", D211)), VERI_TABANI!$F$29*VERI_TABANI!$B$16, 0))) / (((VERI_TABANI!$D$29*B211 + VERI_TABANI!$D$29*C211)*VERI_TABANI!$B$13 + IF(ISNUMBER(SEARCH("Var", D211)), VERI_TABANI!$E$29*(1-0.928)*VERI_TABANI!$B$18, 0))), 0)</f>
        <v/>
      </c>
      <c r="J211" s="171">
        <f>IFERROR(F211/(G211/29), 0)</f>
        <v/>
      </c>
      <c r="K211" s="172">
        <f>IF(F211&gt;0, H211/F211, 0)</f>
        <v/>
      </c>
      <c r="L211" s="170">
        <f>IF(F211&gt;0, I211, 1000000000)</f>
        <v/>
      </c>
      <c r="M211" s="171">
        <f>ABS((B211+C211)-1)</f>
        <v/>
      </c>
      <c r="N211" s="170">
        <f>IF(F211&gt;0, (G211/29)/F211, 0)</f>
        <v/>
      </c>
      <c r="O211" s="168">
        <f>IF(AND((B211+C211)&gt;=1, ISNUMBER(SEARCH("Var", D211))), F211, 1000000000)</f>
        <v/>
      </c>
      <c r="P211" s="172">
        <f>IF(F211&gt;0, SQRT((F211/MAX(F$5:F$886))^2 + (1 - H211/MAX(H$5:H$886))^2 + (J211/MAX(J$5:J$886))^2), 1000000000)</f>
        <v/>
      </c>
      <c r="Q211" s="166">
        <f>IF(AND(ABS(B211-0.5)&lt;0.01, ABS(C211-0.5)&lt;0.01, ISNUMBER(SEARCH("Var", D211))), 1, 0)</f>
        <v/>
      </c>
      <c r="R211" s="171">
        <f>IF(F211&gt;0, J211, 1000000000)</f>
        <v/>
      </c>
      <c r="S211" s="101">
        <f>IF(AND(F211&lt;=DASHBOARD!$B$11, H211&gt;=DASHBOARD!$B$13), G211, -1000000000000)</f>
        <v/>
      </c>
      <c r="T211" s="101">
        <f>IF(AND(F211&lt;=DASHBOARD!$B$11, H211&gt;=DASHBOARD!$B$13), R211, 1000000000000)</f>
        <v/>
      </c>
      <c r="U211" s="101">
        <f>IF(AND(F211&lt;=DASHBOARD!$B$11, H211&gt;=DASHBOARD!$B$13), N211, -1000000000000)</f>
        <v/>
      </c>
      <c r="V211" s="101">
        <f>IF(AND(F211&lt;=DASHBOARD!$B$11, H211&gt;=DASHBOARD!$B$13), H211, -1000000000000)</f>
        <v/>
      </c>
      <c r="W211" s="101">
        <f>IF(AND(F211&lt;=DASHBOARD!$B$11, H211&gt;=DASHBOARD!$B$13), K211, -1000000000000)</f>
        <v/>
      </c>
      <c r="X211" s="101">
        <f>IF(AND(F211&lt;=DASHBOARD!$B$11, H211&gt;=DASHBOARD!$B$13), M211, 1000000000000)</f>
        <v/>
      </c>
      <c r="Y211" s="101">
        <f>IF(AND(F211&lt;=DASHBOARD!$B$10, H211&gt;=DASHBOARD!$B$11), L211, 1000000000000)</f>
        <v/>
      </c>
      <c r="Z211" s="101">
        <f>IF(AND(F211&lt;=DASHBOARD!$B$10, H211&gt;=DASHBOARD!$B$11), O211, 1000000000000)</f>
        <v/>
      </c>
      <c r="AA211" s="101">
        <f>IF(AND(F211&lt;=DASHBOARD!$B$10, H211&gt;=DASHBOARD!$B$11), P211, 1000000000000)</f>
        <v/>
      </c>
      <c r="AB211" s="101">
        <f>IF(AND(F211&lt;=DASHBOARD!$B$10, H211&gt;=DASHBOARD!$B$11), Q211, -1000000000000)</f>
        <v/>
      </c>
    </row>
    <row r="212" ht="15" customHeight="1" s="102">
      <c r="A212" s="166" t="n">
        <v>208</v>
      </c>
      <c r="B212" s="167" t="n">
        <v>0.4</v>
      </c>
      <c r="C212" s="167" t="n">
        <v>1.9</v>
      </c>
      <c r="D212" s="110" t="inlineStr">
        <is>
          <t>Var (%20)</t>
        </is>
      </c>
      <c r="E212" s="110">
        <f>IF((B212+C212)&lt;=1, "Tam Mahsuplaşma (≤%100)", "Kısmi Satış (&gt;%100)")</f>
        <v/>
      </c>
      <c r="F212" s="168">
        <f>((VERI_TABANI!$D$29*B212/VERI_TABANI!$B$29)/VERI_TABANI!$B$3)*VERI_TABANI!$B$5 + ((VERI_TABANI!$D$29*C212/VERI_TABANI!$B$29)/VERI_TABANI!$B$4)*VERI_TABANI!$B$6 + IF(ISNUMBER(SEARCH("Var", D212)), (VERI_TABANI!$F$29/VERI_TABANI!$B$29)*(VERI_TABANI!$B$10+VERI_TABANI!$B$12), 0)</f>
        <v/>
      </c>
      <c r="G212" s="168">
        <f>(((MIN(VERI_TABANI!D23, VERI_TABANI!D23*B212)*VERI_TABANI!$B$7 + MAX(0, VERI_TABANI!D23*B212-VERI_TABANI!D23)*VERI_TABANI!$B$8) + (MIN(MAX(0, VERI_TABANI!D23-VERI_TABANI!D23*B212), VERI_TABANI!D23*C212)*VERI_TABANI!$B$7 + MAX(0, VERI_TABANI!D23*C212-MAX(0, VERI_TABANI!D23-VERI_TABANI!D23*B212))*VERI_TABANI!$B$8) + IF(ABS(IF(ISNUMBER(SEARCH("Var", D212)), 1, IF(ISNUMBER(SEARCH("Gri", D212)), -1, 0)))=1, VERI_TABANI!E23*(1-0.928)*VERI_TABANI!$B$9, 0) + (VERI_TABANI!D23*B212*(VERI_TABANI!$B$13-VERI_TABANI!$B$14)*VERI_TABANI!G23) + (VERI_TABANI!D23*C212*(VERI_TABANI!$B$13-VERI_TABANI!$B$15)*VERI_TABANI!G23) + IF(ABS(IF(ISNUMBER(SEARCH("Var", D212)), 1, IF(ISNUMBER(SEARCH("Gri", D212)), -1, 0)))=1, VERI_TABANI!E23*(1-0.928)*0.00206091519919798*VERI_TABANI!G23, 0)) + ((MIN(VERI_TABANI!D24, VERI_TABANI!D24*B212)*VERI_TABANI!$B$7 + MAX(0, VERI_TABANI!D24*B212-VERI_TABANI!D24)*VERI_TABANI!$B$8) + (MIN(MAX(0, VERI_TABANI!D24-VERI_TABANI!D24*B212), VERI_TABANI!D24*C212)*VERI_TABANI!$B$7 + MAX(0, VERI_TABANI!D24*C212-MAX(0, VERI_TABANI!D24-VERI_TABANI!D24*B212))*VERI_TABANI!$B$8) + IF(ABS(IF(ISNUMBER(SEARCH("Var", D212)), 1, IF(ISNUMBER(SEARCH("Gri", D212)), -1, 0)))=1, VERI_TABANI!E24*(1-0.928)*VERI_TABANI!$B$9, 0) + (VERI_TABANI!D24*B212*(VERI_TABANI!$B$13-VERI_TABANI!$B$14)*VERI_TABANI!G24) + (VERI_TABANI!D24*C212*(VERI_TABANI!$B$13-VERI_TABANI!$B$15)*VERI_TABANI!G24) + IF(ABS(IF(ISNUMBER(SEARCH("Var", D212)), 1, IF(ISNUMBER(SEARCH("Gri", D212)), -1, 0)))=1, VERI_TABANI!E24*(1-0.928)*0.00206091519919798*VERI_TABANI!G24, 0)) + ((MIN(VERI_TABANI!D25, VERI_TABANI!D25*B212)*VERI_TABANI!$B$7 + MAX(0, VERI_TABANI!D25*B212-VERI_TABANI!D25)*VERI_TABANI!$B$8) + (MIN(MAX(0, VERI_TABANI!D25-VERI_TABANI!D25*B212), VERI_TABANI!D25*C212)*VERI_TABANI!$B$7 + MAX(0, VERI_TABANI!D25*C212-MAX(0, VERI_TABANI!D25-VERI_TABANI!D25*B212))*VERI_TABANI!$B$8) + IF(ABS(IF(ISNUMBER(SEARCH("Var", D212)), 1, IF(ISNUMBER(SEARCH("Gri", D212)), -1, 0)))=1, VERI_TABANI!E25*(1-0.928)*VERI_TABANI!$B$9, 0) + (VERI_TABANI!D25*B212*(VERI_TABANI!$B$13-VERI_TABANI!$B$14)*VERI_TABANI!G25) + (VERI_TABANI!D25*C212*(VERI_TABANI!$B$13-VERI_TABANI!$B$15)*VERI_TABANI!G25) + IF(ABS(IF(ISNUMBER(SEARCH("Var", D212)), 1, IF(ISNUMBER(SEARCH("Gri", D212)), -1, 0)))=1, VERI_TABANI!E25*(1-0.928)*0.00206091519919798*VERI_TABANI!G25, 0)) + ((MIN(VERI_TABANI!D26, VERI_TABANI!D26*B212)*VERI_TABANI!$B$7 + MAX(0, VERI_TABANI!D26*B212-VERI_TABANI!D26)*VERI_TABANI!$B$8) + (MIN(MAX(0, VERI_TABANI!D26-VERI_TABANI!D26*B212), VERI_TABANI!D26*C212)*VERI_TABANI!$B$7 + MAX(0, VERI_TABANI!D26*C212-MAX(0, VERI_TABANI!D26-VERI_TABANI!D26*B212))*VERI_TABANI!$B$8) + IF(ABS(IF(ISNUMBER(SEARCH("Var", D212)), 1, IF(ISNUMBER(SEARCH("Gri", D212)), -1, 0)))=1, VERI_TABANI!E26*(1-0.928)*VERI_TABANI!$B$9, 0) + (VERI_TABANI!D26*B212*(VERI_TABANI!$B$13-VERI_TABANI!$B$14)*VERI_TABANI!G26) + (VERI_TABANI!D26*C212*(VERI_TABANI!$B$13-VERI_TABANI!$B$15)*VERI_TABANI!G26) + IF(ABS(IF(ISNUMBER(SEARCH("Var", D212)), 1, IF(ISNUMBER(SEARCH("Gri", D212)), -1, 0)))=1, VERI_TABANI!E26*(1-0.928)*0.00206091519919798*VERI_TABANI!G26, 0)) + ((MIN(VERI_TABANI!D27, VERI_TABANI!D27*B212)*VERI_TABANI!$B$7 + MAX(0, VERI_TABANI!D27*B212-VERI_TABANI!D27)*VERI_TABANI!$B$8) + (MIN(MAX(0, VERI_TABANI!D27-VERI_TABANI!D27*B212), VERI_TABANI!D27*C212)*VERI_TABANI!$B$7 + MAX(0, VERI_TABANI!D27*C212-MAX(0, VERI_TABANI!D27-VERI_TABANI!D27*B212))*VERI_TABANI!$B$8) + IF(ABS(IF(ISNUMBER(SEARCH("Var", D212)), 1, IF(ISNUMBER(SEARCH("Gri", D212)), -1, 0)))=1, VERI_TABANI!E27*(1-0.928)*VERI_TABANI!$B$9, 0) + (VERI_TABANI!D27*B212*(VERI_TABANI!$B$13-VERI_TABANI!$B$14)*VERI_TABANI!G27) + (VERI_TABANI!D27*C212*(VERI_TABANI!$B$13-VERI_TABANI!$B$15)*VERI_TABANI!G27) + IF(ABS(IF(ISNUMBER(SEARCH("Var", D212)), 1, IF(ISNUMBER(SEARCH("Gri", D212)), -1, 0)))=1, VERI_TABANI!E27*(1-0.928)*0.00206091519919798*VERI_TABANI!G27, 0)) + ((MIN(VERI_TABANI!D28, VERI_TABANI!D28*B212)*VERI_TABANI!$B$7 + MAX(0, VERI_TABANI!D28*B212-VERI_TABANI!D28)*VERI_TABANI!$B$8) + (MIN(MAX(0, VERI_TABANI!D28-VERI_TABANI!D28*B212), VERI_TABANI!D28*C212)*VERI_TABANI!$B$7 + MAX(0, VERI_TABANI!D28*C212-MAX(0, VERI_TABANI!D28-VERI_TABANI!D28*B212))*VERI_TABANI!$B$8) + IF(ABS(IF(ISNUMBER(SEARCH("Var", D212)), 1, IF(ISNUMBER(SEARCH("Gri", D212)), -1, 0)))=1, VERI_TABANI!E28*(1-0.928)*VERI_TABANI!$B$9, 0) + (VERI_TABANI!D28*B212*(VERI_TABANI!$B$13-VERI_TABANI!$B$14)*VERI_TABANI!G28) + (VERI_TABANI!D28*C212*(VERI_TABANI!$B$13-VERI_TABANI!$B$15)*VERI_TABANI!G28) + IF(ABS(IF(ISNUMBER(SEARCH("Var", D212)), 1, IF(ISNUMBER(SEARCH("Gri", D212)), -1, 0)))=1, VERI_TABANI!E28*(1-0.928)*0.00206091519919798*VERI_TABANI!G28, 0)))</f>
        <v/>
      </c>
      <c r="H212" s="169">
        <f>(((VERI_TABANI!D23*B212*(VERI_TABANI!$B$13-VERI_TABANI!$B$14)) + (VERI_TABANI!D23*C212*(VERI_TABANI!$B$13-VERI_TABANI!$B$15)) + IF(ISNUMBER(SEARCH("Var", D212)), VERI_TABANI!F23*(0.00202-VERI_TABANI!$B$16), IF(ISNUMBER(SEARCH("Gri", D212)), VERI_TABANI!F23*(0.00202-VERI_TABANI!$B$17), 0))) + ((VERI_TABANI!D24*B212*(VERI_TABANI!$B$13-VERI_TABANI!$B$14)) + (VERI_TABANI!D24*C212*(VERI_TABANI!$B$13-VERI_TABANI!$B$15)) + IF(ISNUMBER(SEARCH("Var", D212)), VERI_TABANI!F24*(0.00202-VERI_TABANI!$B$16), IF(ISNUMBER(SEARCH("Gri", D212)), VERI_TABANI!F24*(0.00202-VERI_TABANI!$B$17), 0))) + ((VERI_TABANI!D25*B212*(VERI_TABANI!$B$13-VERI_TABANI!$B$14)) + (VERI_TABANI!D25*C212*(VERI_TABANI!$B$13-VERI_TABANI!$B$15)) + IF(ISNUMBER(SEARCH("Var", D212)), VERI_TABANI!F25*(0.00202-VERI_TABANI!$B$16), IF(ISNUMBER(SEARCH("Gri", D212)), VERI_TABANI!F25*(0.00202-VERI_TABANI!$B$17), 0))) + ((VERI_TABANI!D26*B212*(VERI_TABANI!$B$13-VERI_TABANI!$B$14)) + (VERI_TABANI!D26*C212*(VERI_TABANI!$B$13-VERI_TABANI!$B$15)) + IF(ISNUMBER(SEARCH("Var", D212)), VERI_TABANI!F26*(0.00202-VERI_TABANI!$B$16), IF(ISNUMBER(SEARCH("Gri", D212)), VERI_TABANI!F26*(0.00202-VERI_TABANI!$B$17), 0))) + ((VERI_TABANI!D27*B212*(VERI_TABANI!$B$13-VERI_TABANI!$B$14)) + (VERI_TABANI!D27*C212*(VERI_TABANI!$B$13-VERI_TABANI!$B$15)) + IF(ISNUMBER(SEARCH("Var", D212)), VERI_TABANI!F27*(0.00202-VERI_TABANI!$B$16), IF(ISNUMBER(SEARCH("Gri", D212)), VERI_TABANI!F27*(0.00202-VERI_TABANI!$B$17), 0))) + ((VERI_TABANI!D28*B212*(VERI_TABANI!$B$13-VERI_TABANI!$B$14)) + (VERI_TABANI!D28*C212*(VERI_TABANI!$B$13-VERI_TABANI!$B$15)) + IF(ISNUMBER(SEARCH("Var", D212)), VERI_TABANI!F28*(0.00202-VERI_TABANI!$B$16), IF(ISNUMBER(SEARCH("Gri", D212)), VERI_TABANI!F28*(0.00202-VERI_TABANI!$B$17), 0))))</f>
        <v/>
      </c>
      <c r="I212" s="170">
        <f>IFERROR(((VERI_TABANI!$D$29*B212*VERI_TABANI!$B$14 + VERI_TABANI!$D$29*C212*VERI_TABANI!$B$15 + IF(ISNUMBER(SEARCH("Var", D212)), VERI_TABANI!$F$29*VERI_TABANI!$B$16, 0))) / (((VERI_TABANI!$D$29*B212 + VERI_TABANI!$D$29*C212)*VERI_TABANI!$B$13 + IF(ISNUMBER(SEARCH("Var", D212)), VERI_TABANI!$E$29*(1-0.928)*VERI_TABANI!$B$18, 0))), 0)</f>
        <v/>
      </c>
      <c r="J212" s="171">
        <f>IFERROR(F212/(G212/29), 0)</f>
        <v/>
      </c>
      <c r="K212" s="172">
        <f>IF(F212&gt;0, H212/F212, 0)</f>
        <v/>
      </c>
      <c r="L212" s="170">
        <f>IF(F212&gt;0, I212, 1000000000)</f>
        <v/>
      </c>
      <c r="M212" s="171">
        <f>ABS((B212+C212)-1)</f>
        <v/>
      </c>
      <c r="N212" s="170">
        <f>IF(F212&gt;0, (G212/29)/F212, 0)</f>
        <v/>
      </c>
      <c r="O212" s="168">
        <f>IF(AND((B212+C212)&gt;=1, ISNUMBER(SEARCH("Var", D212))), F212, 1000000000)</f>
        <v/>
      </c>
      <c r="P212" s="172">
        <f>IF(F212&gt;0, SQRT((F212/MAX(F$5:F$886))^2 + (1 - H212/MAX(H$5:H$886))^2 + (J212/MAX(J$5:J$886))^2), 1000000000)</f>
        <v/>
      </c>
      <c r="Q212" s="166">
        <f>IF(AND(ABS(B212-0.5)&lt;0.01, ABS(C212-0.5)&lt;0.01, ISNUMBER(SEARCH("Var", D212))), 1, 0)</f>
        <v/>
      </c>
      <c r="R212" s="171">
        <f>IF(F212&gt;0, J212, 1000000000)</f>
        <v/>
      </c>
      <c r="S212" s="101">
        <f>IF(AND(F212&lt;=DASHBOARD!$B$11, H212&gt;=DASHBOARD!$B$13), G212, -1000000000000)</f>
        <v/>
      </c>
      <c r="T212" s="101">
        <f>IF(AND(F212&lt;=DASHBOARD!$B$11, H212&gt;=DASHBOARD!$B$13), R212, 1000000000000)</f>
        <v/>
      </c>
      <c r="U212" s="101">
        <f>IF(AND(F212&lt;=DASHBOARD!$B$11, H212&gt;=DASHBOARD!$B$13), N212, -1000000000000)</f>
        <v/>
      </c>
      <c r="V212" s="101">
        <f>IF(AND(F212&lt;=DASHBOARD!$B$11, H212&gt;=DASHBOARD!$B$13), H212, -1000000000000)</f>
        <v/>
      </c>
      <c r="W212" s="101">
        <f>IF(AND(F212&lt;=DASHBOARD!$B$11, H212&gt;=DASHBOARD!$B$13), K212, -1000000000000)</f>
        <v/>
      </c>
      <c r="X212" s="101">
        <f>IF(AND(F212&lt;=DASHBOARD!$B$11, H212&gt;=DASHBOARD!$B$13), M212, 1000000000000)</f>
        <v/>
      </c>
      <c r="Y212" s="101">
        <f>IF(AND(F212&lt;=DASHBOARD!$B$10, H212&gt;=DASHBOARD!$B$11), L212, 1000000000000)</f>
        <v/>
      </c>
      <c r="Z212" s="101">
        <f>IF(AND(F212&lt;=DASHBOARD!$B$10, H212&gt;=DASHBOARD!$B$11), O212, 1000000000000)</f>
        <v/>
      </c>
      <c r="AA212" s="101">
        <f>IF(AND(F212&lt;=DASHBOARD!$B$10, H212&gt;=DASHBOARD!$B$11), P212, 1000000000000)</f>
        <v/>
      </c>
      <c r="AB212" s="101">
        <f>IF(AND(F212&lt;=DASHBOARD!$B$10, H212&gt;=DASHBOARD!$B$11), Q212, -1000000000000)</f>
        <v/>
      </c>
    </row>
    <row r="213" ht="15" customHeight="1" s="102">
      <c r="A213" s="166" t="n">
        <v>209</v>
      </c>
      <c r="B213" s="167" t="n">
        <v>0.4</v>
      </c>
      <c r="C213" s="167" t="n">
        <v>2</v>
      </c>
      <c r="D213" s="110" t="inlineStr">
        <is>
          <t>Yok (%0)</t>
        </is>
      </c>
      <c r="E213" s="110">
        <f>IF((B213+C213)&lt;=1, "Tam Mahsuplaşma (≤%100)", "Kısmi Satış (&gt;%100)")</f>
        <v/>
      </c>
      <c r="F213" s="168">
        <f>((VERI_TABANI!$D$29*B213/VERI_TABANI!$B$29)/VERI_TABANI!$B$3)*VERI_TABANI!$B$5 + ((VERI_TABANI!$D$29*C213/VERI_TABANI!$B$29)/VERI_TABANI!$B$4)*VERI_TABANI!$B$6 + IF(ISNUMBER(SEARCH("Var", D213)), (VERI_TABANI!$F$29/VERI_TABANI!$B$29)*(VERI_TABANI!$B$10+VERI_TABANI!$B$12), 0)</f>
        <v/>
      </c>
      <c r="G213" s="168">
        <f>(((MIN(VERI_TABANI!D23, VERI_TABANI!D23*B213)*VERI_TABANI!$B$7 + MAX(0, VERI_TABANI!D23*B213-VERI_TABANI!D23)*VERI_TABANI!$B$8) + (MIN(MAX(0, VERI_TABANI!D23-VERI_TABANI!D23*B213), VERI_TABANI!D23*C213)*VERI_TABANI!$B$7 + MAX(0, VERI_TABANI!D23*C213-MAX(0, VERI_TABANI!D23-VERI_TABANI!D23*B213))*VERI_TABANI!$B$8) + IF(ABS(IF(ISNUMBER(SEARCH("Var", D213)), 1, IF(ISNUMBER(SEARCH("Gri", D213)), -1, 0)))=1, VERI_TABANI!E23*(1-0.928)*VERI_TABANI!$B$9, 0) + (VERI_TABANI!D23*B213*(VERI_TABANI!$B$13-VERI_TABANI!$B$14)*VERI_TABANI!G23) + (VERI_TABANI!D23*C213*(VERI_TABANI!$B$13-VERI_TABANI!$B$15)*VERI_TABANI!G23) + IF(ABS(IF(ISNUMBER(SEARCH("Var", D213)), 1, IF(ISNUMBER(SEARCH("Gri", D213)), -1, 0)))=1, VERI_TABANI!E23*(1-0.928)*0.00206091519919798*VERI_TABANI!G23, 0)) + ((MIN(VERI_TABANI!D24, VERI_TABANI!D24*B213)*VERI_TABANI!$B$7 + MAX(0, VERI_TABANI!D24*B213-VERI_TABANI!D24)*VERI_TABANI!$B$8) + (MIN(MAX(0, VERI_TABANI!D24-VERI_TABANI!D24*B213), VERI_TABANI!D24*C213)*VERI_TABANI!$B$7 + MAX(0, VERI_TABANI!D24*C213-MAX(0, VERI_TABANI!D24-VERI_TABANI!D24*B213))*VERI_TABANI!$B$8) + IF(ABS(IF(ISNUMBER(SEARCH("Var", D213)), 1, IF(ISNUMBER(SEARCH("Gri", D213)), -1, 0)))=1, VERI_TABANI!E24*(1-0.928)*VERI_TABANI!$B$9, 0) + (VERI_TABANI!D24*B213*(VERI_TABANI!$B$13-VERI_TABANI!$B$14)*VERI_TABANI!G24) + (VERI_TABANI!D24*C213*(VERI_TABANI!$B$13-VERI_TABANI!$B$15)*VERI_TABANI!G24) + IF(ABS(IF(ISNUMBER(SEARCH("Var", D213)), 1, IF(ISNUMBER(SEARCH("Gri", D213)), -1, 0)))=1, VERI_TABANI!E24*(1-0.928)*0.00206091519919798*VERI_TABANI!G24, 0)) + ((MIN(VERI_TABANI!D25, VERI_TABANI!D25*B213)*VERI_TABANI!$B$7 + MAX(0, VERI_TABANI!D25*B213-VERI_TABANI!D25)*VERI_TABANI!$B$8) + (MIN(MAX(0, VERI_TABANI!D25-VERI_TABANI!D25*B213), VERI_TABANI!D25*C213)*VERI_TABANI!$B$7 + MAX(0, VERI_TABANI!D25*C213-MAX(0, VERI_TABANI!D25-VERI_TABANI!D25*B213))*VERI_TABANI!$B$8) + IF(ABS(IF(ISNUMBER(SEARCH("Var", D213)), 1, IF(ISNUMBER(SEARCH("Gri", D213)), -1, 0)))=1, VERI_TABANI!E25*(1-0.928)*VERI_TABANI!$B$9, 0) + (VERI_TABANI!D25*B213*(VERI_TABANI!$B$13-VERI_TABANI!$B$14)*VERI_TABANI!G25) + (VERI_TABANI!D25*C213*(VERI_TABANI!$B$13-VERI_TABANI!$B$15)*VERI_TABANI!G25) + IF(ABS(IF(ISNUMBER(SEARCH("Var", D213)), 1, IF(ISNUMBER(SEARCH("Gri", D213)), -1, 0)))=1, VERI_TABANI!E25*(1-0.928)*0.00206091519919798*VERI_TABANI!G25, 0)) + ((MIN(VERI_TABANI!D26, VERI_TABANI!D26*B213)*VERI_TABANI!$B$7 + MAX(0, VERI_TABANI!D26*B213-VERI_TABANI!D26)*VERI_TABANI!$B$8) + (MIN(MAX(0, VERI_TABANI!D26-VERI_TABANI!D26*B213), VERI_TABANI!D26*C213)*VERI_TABANI!$B$7 + MAX(0, VERI_TABANI!D26*C213-MAX(0, VERI_TABANI!D26-VERI_TABANI!D26*B213))*VERI_TABANI!$B$8) + IF(ABS(IF(ISNUMBER(SEARCH("Var", D213)), 1, IF(ISNUMBER(SEARCH("Gri", D213)), -1, 0)))=1, VERI_TABANI!E26*(1-0.928)*VERI_TABANI!$B$9, 0) + (VERI_TABANI!D26*B213*(VERI_TABANI!$B$13-VERI_TABANI!$B$14)*VERI_TABANI!G26) + (VERI_TABANI!D26*C213*(VERI_TABANI!$B$13-VERI_TABANI!$B$15)*VERI_TABANI!G26) + IF(ABS(IF(ISNUMBER(SEARCH("Var", D213)), 1, IF(ISNUMBER(SEARCH("Gri", D213)), -1, 0)))=1, VERI_TABANI!E26*(1-0.928)*0.00206091519919798*VERI_TABANI!G26, 0)) + ((MIN(VERI_TABANI!D27, VERI_TABANI!D27*B213)*VERI_TABANI!$B$7 + MAX(0, VERI_TABANI!D27*B213-VERI_TABANI!D27)*VERI_TABANI!$B$8) + (MIN(MAX(0, VERI_TABANI!D27-VERI_TABANI!D27*B213), VERI_TABANI!D27*C213)*VERI_TABANI!$B$7 + MAX(0, VERI_TABANI!D27*C213-MAX(0, VERI_TABANI!D27-VERI_TABANI!D27*B213))*VERI_TABANI!$B$8) + IF(ABS(IF(ISNUMBER(SEARCH("Var", D213)), 1, IF(ISNUMBER(SEARCH("Gri", D213)), -1, 0)))=1, VERI_TABANI!E27*(1-0.928)*VERI_TABANI!$B$9, 0) + (VERI_TABANI!D27*B213*(VERI_TABANI!$B$13-VERI_TABANI!$B$14)*VERI_TABANI!G27) + (VERI_TABANI!D27*C213*(VERI_TABANI!$B$13-VERI_TABANI!$B$15)*VERI_TABANI!G27) + IF(ABS(IF(ISNUMBER(SEARCH("Var", D213)), 1, IF(ISNUMBER(SEARCH("Gri", D213)), -1, 0)))=1, VERI_TABANI!E27*(1-0.928)*0.00206091519919798*VERI_TABANI!G27, 0)) + ((MIN(VERI_TABANI!D28, VERI_TABANI!D28*B213)*VERI_TABANI!$B$7 + MAX(0, VERI_TABANI!D28*B213-VERI_TABANI!D28)*VERI_TABANI!$B$8) + (MIN(MAX(0, VERI_TABANI!D28-VERI_TABANI!D28*B213), VERI_TABANI!D28*C213)*VERI_TABANI!$B$7 + MAX(0, VERI_TABANI!D28*C213-MAX(0, VERI_TABANI!D28-VERI_TABANI!D28*B213))*VERI_TABANI!$B$8) + IF(ABS(IF(ISNUMBER(SEARCH("Var", D213)), 1, IF(ISNUMBER(SEARCH("Gri", D213)), -1, 0)))=1, VERI_TABANI!E28*(1-0.928)*VERI_TABANI!$B$9, 0) + (VERI_TABANI!D28*B213*(VERI_TABANI!$B$13-VERI_TABANI!$B$14)*VERI_TABANI!G28) + (VERI_TABANI!D28*C213*(VERI_TABANI!$B$13-VERI_TABANI!$B$15)*VERI_TABANI!G28) + IF(ABS(IF(ISNUMBER(SEARCH("Var", D213)), 1, IF(ISNUMBER(SEARCH("Gri", D213)), -1, 0)))=1, VERI_TABANI!E28*(1-0.928)*0.00206091519919798*VERI_TABANI!G28, 0)))</f>
        <v/>
      </c>
      <c r="H213" s="169">
        <f>(((VERI_TABANI!D23*B213*(VERI_TABANI!$B$13-VERI_TABANI!$B$14)) + (VERI_TABANI!D23*C213*(VERI_TABANI!$B$13-VERI_TABANI!$B$15)) + IF(ISNUMBER(SEARCH("Var", D213)), VERI_TABANI!F23*(0.00202-VERI_TABANI!$B$16), IF(ISNUMBER(SEARCH("Gri", D213)), VERI_TABANI!F23*(0.00202-VERI_TABANI!$B$17), 0))) + ((VERI_TABANI!D24*B213*(VERI_TABANI!$B$13-VERI_TABANI!$B$14)) + (VERI_TABANI!D24*C213*(VERI_TABANI!$B$13-VERI_TABANI!$B$15)) + IF(ISNUMBER(SEARCH("Var", D213)), VERI_TABANI!F24*(0.00202-VERI_TABANI!$B$16), IF(ISNUMBER(SEARCH("Gri", D213)), VERI_TABANI!F24*(0.00202-VERI_TABANI!$B$17), 0))) + ((VERI_TABANI!D25*B213*(VERI_TABANI!$B$13-VERI_TABANI!$B$14)) + (VERI_TABANI!D25*C213*(VERI_TABANI!$B$13-VERI_TABANI!$B$15)) + IF(ISNUMBER(SEARCH("Var", D213)), VERI_TABANI!F25*(0.00202-VERI_TABANI!$B$16), IF(ISNUMBER(SEARCH("Gri", D213)), VERI_TABANI!F25*(0.00202-VERI_TABANI!$B$17), 0))) + ((VERI_TABANI!D26*B213*(VERI_TABANI!$B$13-VERI_TABANI!$B$14)) + (VERI_TABANI!D26*C213*(VERI_TABANI!$B$13-VERI_TABANI!$B$15)) + IF(ISNUMBER(SEARCH("Var", D213)), VERI_TABANI!F26*(0.00202-VERI_TABANI!$B$16), IF(ISNUMBER(SEARCH("Gri", D213)), VERI_TABANI!F26*(0.00202-VERI_TABANI!$B$17), 0))) + ((VERI_TABANI!D27*B213*(VERI_TABANI!$B$13-VERI_TABANI!$B$14)) + (VERI_TABANI!D27*C213*(VERI_TABANI!$B$13-VERI_TABANI!$B$15)) + IF(ISNUMBER(SEARCH("Var", D213)), VERI_TABANI!F27*(0.00202-VERI_TABANI!$B$16), IF(ISNUMBER(SEARCH("Gri", D213)), VERI_TABANI!F27*(0.00202-VERI_TABANI!$B$17), 0))) + ((VERI_TABANI!D28*B213*(VERI_TABANI!$B$13-VERI_TABANI!$B$14)) + (VERI_TABANI!D28*C213*(VERI_TABANI!$B$13-VERI_TABANI!$B$15)) + IF(ISNUMBER(SEARCH("Var", D213)), VERI_TABANI!F28*(0.00202-VERI_TABANI!$B$16), IF(ISNUMBER(SEARCH("Gri", D213)), VERI_TABANI!F28*(0.00202-VERI_TABANI!$B$17), 0))))</f>
        <v/>
      </c>
      <c r="I213" s="170">
        <f>IFERROR(((VERI_TABANI!$D$29*B213*VERI_TABANI!$B$14 + VERI_TABANI!$D$29*C213*VERI_TABANI!$B$15 + IF(ISNUMBER(SEARCH("Var", D213)), VERI_TABANI!$F$29*VERI_TABANI!$B$16, 0))) / (((VERI_TABANI!$D$29*B213 + VERI_TABANI!$D$29*C213)*VERI_TABANI!$B$13 + IF(ISNUMBER(SEARCH("Var", D213)), VERI_TABANI!$E$29*(1-0.928)*VERI_TABANI!$B$18, 0))), 0)</f>
        <v/>
      </c>
      <c r="J213" s="171">
        <f>IFERROR(F213/(G213/29), 0)</f>
        <v/>
      </c>
      <c r="K213" s="172">
        <f>IF(F213&gt;0, H213/F213, 0)</f>
        <v/>
      </c>
      <c r="L213" s="170">
        <f>IF(F213&gt;0, I213, 1000000000)</f>
        <v/>
      </c>
      <c r="M213" s="171">
        <f>ABS((B213+C213)-1)</f>
        <v/>
      </c>
      <c r="N213" s="170">
        <f>IF(F213&gt;0, (G213/29)/F213, 0)</f>
        <v/>
      </c>
      <c r="O213" s="168">
        <f>IF(AND((B213+C213)&gt;=1, ISNUMBER(SEARCH("Var", D213))), F213, 1000000000)</f>
        <v/>
      </c>
      <c r="P213" s="172">
        <f>IF(F213&gt;0, SQRT((F213/MAX(F$5:F$886))^2 + (1 - H213/MAX(H$5:H$886))^2 + (J213/MAX(J$5:J$886))^2), 1000000000)</f>
        <v/>
      </c>
      <c r="Q213" s="166">
        <f>IF(AND(ABS(B213-0.5)&lt;0.01, ABS(C213-0.5)&lt;0.01, ISNUMBER(SEARCH("Var", D213))), 1, 0)</f>
        <v/>
      </c>
      <c r="R213" s="171">
        <f>IF(F213&gt;0, J213, 1000000000)</f>
        <v/>
      </c>
      <c r="S213" s="101">
        <f>IF(AND(F213&lt;=DASHBOARD!$B$11, H213&gt;=DASHBOARD!$B$13), G213, -1000000000000)</f>
        <v/>
      </c>
      <c r="T213" s="101">
        <f>IF(AND(F213&lt;=DASHBOARD!$B$11, H213&gt;=DASHBOARD!$B$13), R213, 1000000000000)</f>
        <v/>
      </c>
      <c r="U213" s="101">
        <f>IF(AND(F213&lt;=DASHBOARD!$B$11, H213&gt;=DASHBOARD!$B$13), N213, -1000000000000)</f>
        <v/>
      </c>
      <c r="V213" s="101">
        <f>IF(AND(F213&lt;=DASHBOARD!$B$11, H213&gt;=DASHBOARD!$B$13), H213, -1000000000000)</f>
        <v/>
      </c>
      <c r="W213" s="101">
        <f>IF(AND(F213&lt;=DASHBOARD!$B$11, H213&gt;=DASHBOARD!$B$13), K213, -1000000000000)</f>
        <v/>
      </c>
      <c r="X213" s="101">
        <f>IF(AND(F213&lt;=DASHBOARD!$B$11, H213&gt;=DASHBOARD!$B$13), M213, 1000000000000)</f>
        <v/>
      </c>
      <c r="Y213" s="101">
        <f>IF(AND(F213&lt;=DASHBOARD!$B$10, H213&gt;=DASHBOARD!$B$11), L213, 1000000000000)</f>
        <v/>
      </c>
      <c r="Z213" s="101">
        <f>IF(AND(F213&lt;=DASHBOARD!$B$10, H213&gt;=DASHBOARD!$B$11), O213, 1000000000000)</f>
        <v/>
      </c>
      <c r="AA213" s="101">
        <f>IF(AND(F213&lt;=DASHBOARD!$B$10, H213&gt;=DASHBOARD!$B$11), P213, 1000000000000)</f>
        <v/>
      </c>
      <c r="AB213" s="101">
        <f>IF(AND(F213&lt;=DASHBOARD!$B$10, H213&gt;=DASHBOARD!$B$11), Q213, -1000000000000)</f>
        <v/>
      </c>
    </row>
    <row r="214" ht="15" customHeight="1" s="102">
      <c r="A214" s="166" t="n">
        <v>210</v>
      </c>
      <c r="B214" s="167" t="n">
        <v>0.4</v>
      </c>
      <c r="C214" s="167" t="n">
        <v>2</v>
      </c>
      <c r="D214" s="110" t="inlineStr">
        <is>
          <t>Var (%20)</t>
        </is>
      </c>
      <c r="E214" s="110">
        <f>IF((B214+C214)&lt;=1, "Tam Mahsuplaşma (≤%100)", "Kısmi Satış (&gt;%100)")</f>
        <v/>
      </c>
      <c r="F214" s="168">
        <f>((VERI_TABANI!$D$29*B214/VERI_TABANI!$B$29)/VERI_TABANI!$B$3)*VERI_TABANI!$B$5 + ((VERI_TABANI!$D$29*C214/VERI_TABANI!$B$29)/VERI_TABANI!$B$4)*VERI_TABANI!$B$6 + IF(ISNUMBER(SEARCH("Var", D214)), (VERI_TABANI!$F$29/VERI_TABANI!$B$29)*(VERI_TABANI!$B$10+VERI_TABANI!$B$12), 0)</f>
        <v/>
      </c>
      <c r="G214" s="168">
        <f>(((MIN(VERI_TABANI!D23, VERI_TABANI!D23*B214)*VERI_TABANI!$B$7 + MAX(0, VERI_TABANI!D23*B214-VERI_TABANI!D23)*VERI_TABANI!$B$8) + (MIN(MAX(0, VERI_TABANI!D23-VERI_TABANI!D23*B214), VERI_TABANI!D23*C214)*VERI_TABANI!$B$7 + MAX(0, VERI_TABANI!D23*C214-MAX(0, VERI_TABANI!D23-VERI_TABANI!D23*B214))*VERI_TABANI!$B$8) + IF(ABS(IF(ISNUMBER(SEARCH("Var", D214)), 1, IF(ISNUMBER(SEARCH("Gri", D214)), -1, 0)))=1, VERI_TABANI!E23*(1-0.928)*VERI_TABANI!$B$9, 0) + (VERI_TABANI!D23*B214*(VERI_TABANI!$B$13-VERI_TABANI!$B$14)*VERI_TABANI!G23) + (VERI_TABANI!D23*C214*(VERI_TABANI!$B$13-VERI_TABANI!$B$15)*VERI_TABANI!G23) + IF(ABS(IF(ISNUMBER(SEARCH("Var", D214)), 1, IF(ISNUMBER(SEARCH("Gri", D214)), -1, 0)))=1, VERI_TABANI!E23*(1-0.928)*0.00206091519919798*VERI_TABANI!G23, 0)) + ((MIN(VERI_TABANI!D24, VERI_TABANI!D24*B214)*VERI_TABANI!$B$7 + MAX(0, VERI_TABANI!D24*B214-VERI_TABANI!D24)*VERI_TABANI!$B$8) + (MIN(MAX(0, VERI_TABANI!D24-VERI_TABANI!D24*B214), VERI_TABANI!D24*C214)*VERI_TABANI!$B$7 + MAX(0, VERI_TABANI!D24*C214-MAX(0, VERI_TABANI!D24-VERI_TABANI!D24*B214))*VERI_TABANI!$B$8) + IF(ABS(IF(ISNUMBER(SEARCH("Var", D214)), 1, IF(ISNUMBER(SEARCH("Gri", D214)), -1, 0)))=1, VERI_TABANI!E24*(1-0.928)*VERI_TABANI!$B$9, 0) + (VERI_TABANI!D24*B214*(VERI_TABANI!$B$13-VERI_TABANI!$B$14)*VERI_TABANI!G24) + (VERI_TABANI!D24*C214*(VERI_TABANI!$B$13-VERI_TABANI!$B$15)*VERI_TABANI!G24) + IF(ABS(IF(ISNUMBER(SEARCH("Var", D214)), 1, IF(ISNUMBER(SEARCH("Gri", D214)), -1, 0)))=1, VERI_TABANI!E24*(1-0.928)*0.00206091519919798*VERI_TABANI!G24, 0)) + ((MIN(VERI_TABANI!D25, VERI_TABANI!D25*B214)*VERI_TABANI!$B$7 + MAX(0, VERI_TABANI!D25*B214-VERI_TABANI!D25)*VERI_TABANI!$B$8) + (MIN(MAX(0, VERI_TABANI!D25-VERI_TABANI!D25*B214), VERI_TABANI!D25*C214)*VERI_TABANI!$B$7 + MAX(0, VERI_TABANI!D25*C214-MAX(0, VERI_TABANI!D25-VERI_TABANI!D25*B214))*VERI_TABANI!$B$8) + IF(ABS(IF(ISNUMBER(SEARCH("Var", D214)), 1, IF(ISNUMBER(SEARCH("Gri", D214)), -1, 0)))=1, VERI_TABANI!E25*(1-0.928)*VERI_TABANI!$B$9, 0) + (VERI_TABANI!D25*B214*(VERI_TABANI!$B$13-VERI_TABANI!$B$14)*VERI_TABANI!G25) + (VERI_TABANI!D25*C214*(VERI_TABANI!$B$13-VERI_TABANI!$B$15)*VERI_TABANI!G25) + IF(ABS(IF(ISNUMBER(SEARCH("Var", D214)), 1, IF(ISNUMBER(SEARCH("Gri", D214)), -1, 0)))=1, VERI_TABANI!E25*(1-0.928)*0.00206091519919798*VERI_TABANI!G25, 0)) + ((MIN(VERI_TABANI!D26, VERI_TABANI!D26*B214)*VERI_TABANI!$B$7 + MAX(0, VERI_TABANI!D26*B214-VERI_TABANI!D26)*VERI_TABANI!$B$8) + (MIN(MAX(0, VERI_TABANI!D26-VERI_TABANI!D26*B214), VERI_TABANI!D26*C214)*VERI_TABANI!$B$7 + MAX(0, VERI_TABANI!D26*C214-MAX(0, VERI_TABANI!D26-VERI_TABANI!D26*B214))*VERI_TABANI!$B$8) + IF(ABS(IF(ISNUMBER(SEARCH("Var", D214)), 1, IF(ISNUMBER(SEARCH("Gri", D214)), -1, 0)))=1, VERI_TABANI!E26*(1-0.928)*VERI_TABANI!$B$9, 0) + (VERI_TABANI!D26*B214*(VERI_TABANI!$B$13-VERI_TABANI!$B$14)*VERI_TABANI!G26) + (VERI_TABANI!D26*C214*(VERI_TABANI!$B$13-VERI_TABANI!$B$15)*VERI_TABANI!G26) + IF(ABS(IF(ISNUMBER(SEARCH("Var", D214)), 1, IF(ISNUMBER(SEARCH("Gri", D214)), -1, 0)))=1, VERI_TABANI!E26*(1-0.928)*0.00206091519919798*VERI_TABANI!G26, 0)) + ((MIN(VERI_TABANI!D27, VERI_TABANI!D27*B214)*VERI_TABANI!$B$7 + MAX(0, VERI_TABANI!D27*B214-VERI_TABANI!D27)*VERI_TABANI!$B$8) + (MIN(MAX(0, VERI_TABANI!D27-VERI_TABANI!D27*B214), VERI_TABANI!D27*C214)*VERI_TABANI!$B$7 + MAX(0, VERI_TABANI!D27*C214-MAX(0, VERI_TABANI!D27-VERI_TABANI!D27*B214))*VERI_TABANI!$B$8) + IF(ABS(IF(ISNUMBER(SEARCH("Var", D214)), 1, IF(ISNUMBER(SEARCH("Gri", D214)), -1, 0)))=1, VERI_TABANI!E27*(1-0.928)*VERI_TABANI!$B$9, 0) + (VERI_TABANI!D27*B214*(VERI_TABANI!$B$13-VERI_TABANI!$B$14)*VERI_TABANI!G27) + (VERI_TABANI!D27*C214*(VERI_TABANI!$B$13-VERI_TABANI!$B$15)*VERI_TABANI!G27) + IF(ABS(IF(ISNUMBER(SEARCH("Var", D214)), 1, IF(ISNUMBER(SEARCH("Gri", D214)), -1, 0)))=1, VERI_TABANI!E27*(1-0.928)*0.00206091519919798*VERI_TABANI!G27, 0)) + ((MIN(VERI_TABANI!D28, VERI_TABANI!D28*B214)*VERI_TABANI!$B$7 + MAX(0, VERI_TABANI!D28*B214-VERI_TABANI!D28)*VERI_TABANI!$B$8) + (MIN(MAX(0, VERI_TABANI!D28-VERI_TABANI!D28*B214), VERI_TABANI!D28*C214)*VERI_TABANI!$B$7 + MAX(0, VERI_TABANI!D28*C214-MAX(0, VERI_TABANI!D28-VERI_TABANI!D28*B214))*VERI_TABANI!$B$8) + IF(ABS(IF(ISNUMBER(SEARCH("Var", D214)), 1, IF(ISNUMBER(SEARCH("Gri", D214)), -1, 0)))=1, VERI_TABANI!E28*(1-0.928)*VERI_TABANI!$B$9, 0) + (VERI_TABANI!D28*B214*(VERI_TABANI!$B$13-VERI_TABANI!$B$14)*VERI_TABANI!G28) + (VERI_TABANI!D28*C214*(VERI_TABANI!$B$13-VERI_TABANI!$B$15)*VERI_TABANI!G28) + IF(ABS(IF(ISNUMBER(SEARCH("Var", D214)), 1, IF(ISNUMBER(SEARCH("Gri", D214)), -1, 0)))=1, VERI_TABANI!E28*(1-0.928)*0.00206091519919798*VERI_TABANI!G28, 0)))</f>
        <v/>
      </c>
      <c r="H214" s="169">
        <f>(((VERI_TABANI!D23*B214*(VERI_TABANI!$B$13-VERI_TABANI!$B$14)) + (VERI_TABANI!D23*C214*(VERI_TABANI!$B$13-VERI_TABANI!$B$15)) + IF(ISNUMBER(SEARCH("Var", D214)), VERI_TABANI!F23*(0.00202-VERI_TABANI!$B$16), IF(ISNUMBER(SEARCH("Gri", D214)), VERI_TABANI!F23*(0.00202-VERI_TABANI!$B$17), 0))) + ((VERI_TABANI!D24*B214*(VERI_TABANI!$B$13-VERI_TABANI!$B$14)) + (VERI_TABANI!D24*C214*(VERI_TABANI!$B$13-VERI_TABANI!$B$15)) + IF(ISNUMBER(SEARCH("Var", D214)), VERI_TABANI!F24*(0.00202-VERI_TABANI!$B$16), IF(ISNUMBER(SEARCH("Gri", D214)), VERI_TABANI!F24*(0.00202-VERI_TABANI!$B$17), 0))) + ((VERI_TABANI!D25*B214*(VERI_TABANI!$B$13-VERI_TABANI!$B$14)) + (VERI_TABANI!D25*C214*(VERI_TABANI!$B$13-VERI_TABANI!$B$15)) + IF(ISNUMBER(SEARCH("Var", D214)), VERI_TABANI!F25*(0.00202-VERI_TABANI!$B$16), IF(ISNUMBER(SEARCH("Gri", D214)), VERI_TABANI!F25*(0.00202-VERI_TABANI!$B$17), 0))) + ((VERI_TABANI!D26*B214*(VERI_TABANI!$B$13-VERI_TABANI!$B$14)) + (VERI_TABANI!D26*C214*(VERI_TABANI!$B$13-VERI_TABANI!$B$15)) + IF(ISNUMBER(SEARCH("Var", D214)), VERI_TABANI!F26*(0.00202-VERI_TABANI!$B$16), IF(ISNUMBER(SEARCH("Gri", D214)), VERI_TABANI!F26*(0.00202-VERI_TABANI!$B$17), 0))) + ((VERI_TABANI!D27*B214*(VERI_TABANI!$B$13-VERI_TABANI!$B$14)) + (VERI_TABANI!D27*C214*(VERI_TABANI!$B$13-VERI_TABANI!$B$15)) + IF(ISNUMBER(SEARCH("Var", D214)), VERI_TABANI!F27*(0.00202-VERI_TABANI!$B$16), IF(ISNUMBER(SEARCH("Gri", D214)), VERI_TABANI!F27*(0.00202-VERI_TABANI!$B$17), 0))) + ((VERI_TABANI!D28*B214*(VERI_TABANI!$B$13-VERI_TABANI!$B$14)) + (VERI_TABANI!D28*C214*(VERI_TABANI!$B$13-VERI_TABANI!$B$15)) + IF(ISNUMBER(SEARCH("Var", D214)), VERI_TABANI!F28*(0.00202-VERI_TABANI!$B$16), IF(ISNUMBER(SEARCH("Gri", D214)), VERI_TABANI!F28*(0.00202-VERI_TABANI!$B$17), 0))))</f>
        <v/>
      </c>
      <c r="I214" s="170">
        <f>IFERROR(((VERI_TABANI!$D$29*B214*VERI_TABANI!$B$14 + VERI_TABANI!$D$29*C214*VERI_TABANI!$B$15 + IF(ISNUMBER(SEARCH("Var", D214)), VERI_TABANI!$F$29*VERI_TABANI!$B$16, 0))) / (((VERI_TABANI!$D$29*B214 + VERI_TABANI!$D$29*C214)*VERI_TABANI!$B$13 + IF(ISNUMBER(SEARCH("Var", D214)), VERI_TABANI!$E$29*(1-0.928)*VERI_TABANI!$B$18, 0))), 0)</f>
        <v/>
      </c>
      <c r="J214" s="171">
        <f>IFERROR(F214/(G214/29), 0)</f>
        <v/>
      </c>
      <c r="K214" s="172">
        <f>IF(F214&gt;0, H214/F214, 0)</f>
        <v/>
      </c>
      <c r="L214" s="170">
        <f>IF(F214&gt;0, I214, 1000000000)</f>
        <v/>
      </c>
      <c r="M214" s="171">
        <f>ABS((B214+C214)-1)</f>
        <v/>
      </c>
      <c r="N214" s="170">
        <f>IF(F214&gt;0, (G214/29)/F214, 0)</f>
        <v/>
      </c>
      <c r="O214" s="168">
        <f>IF(AND((B214+C214)&gt;=1, ISNUMBER(SEARCH("Var", D214))), F214, 1000000000)</f>
        <v/>
      </c>
      <c r="P214" s="172">
        <f>IF(F214&gt;0, SQRT((F214/MAX(F$5:F$886))^2 + (1 - H214/MAX(H$5:H$886))^2 + (J214/MAX(J$5:J$886))^2), 1000000000)</f>
        <v/>
      </c>
      <c r="Q214" s="166">
        <f>IF(AND(ABS(B214-0.5)&lt;0.01, ABS(C214-0.5)&lt;0.01, ISNUMBER(SEARCH("Var", D214))), 1, 0)</f>
        <v/>
      </c>
      <c r="R214" s="171">
        <f>IF(F214&gt;0, J214, 1000000000)</f>
        <v/>
      </c>
      <c r="S214" s="101">
        <f>IF(AND(F214&lt;=DASHBOARD!$B$11, H214&gt;=DASHBOARD!$B$13), G214, -1000000000000)</f>
        <v/>
      </c>
      <c r="T214" s="101">
        <f>IF(AND(F214&lt;=DASHBOARD!$B$11, H214&gt;=DASHBOARD!$B$13), R214, 1000000000000)</f>
        <v/>
      </c>
      <c r="U214" s="101">
        <f>IF(AND(F214&lt;=DASHBOARD!$B$11, H214&gt;=DASHBOARD!$B$13), N214, -1000000000000)</f>
        <v/>
      </c>
      <c r="V214" s="101">
        <f>IF(AND(F214&lt;=DASHBOARD!$B$11, H214&gt;=DASHBOARD!$B$13), H214, -1000000000000)</f>
        <v/>
      </c>
      <c r="W214" s="101">
        <f>IF(AND(F214&lt;=DASHBOARD!$B$11, H214&gt;=DASHBOARD!$B$13), K214, -1000000000000)</f>
        <v/>
      </c>
      <c r="X214" s="101">
        <f>IF(AND(F214&lt;=DASHBOARD!$B$11, H214&gt;=DASHBOARD!$B$13), M214, 1000000000000)</f>
        <v/>
      </c>
      <c r="Y214" s="101">
        <f>IF(AND(F214&lt;=DASHBOARD!$B$10, H214&gt;=DASHBOARD!$B$11), L214, 1000000000000)</f>
        <v/>
      </c>
      <c r="Z214" s="101">
        <f>IF(AND(F214&lt;=DASHBOARD!$B$10, H214&gt;=DASHBOARD!$B$11), O214, 1000000000000)</f>
        <v/>
      </c>
      <c r="AA214" s="101">
        <f>IF(AND(F214&lt;=DASHBOARD!$B$10, H214&gt;=DASHBOARD!$B$11), P214, 1000000000000)</f>
        <v/>
      </c>
      <c r="AB214" s="101">
        <f>IF(AND(F214&lt;=DASHBOARD!$B$10, H214&gt;=DASHBOARD!$B$11), Q214, -1000000000000)</f>
        <v/>
      </c>
    </row>
    <row r="215" ht="15" customHeight="1" s="102">
      <c r="A215" s="166" t="n">
        <v>211</v>
      </c>
      <c r="B215" s="167" t="n">
        <v>0.5</v>
      </c>
      <c r="C215" s="167" t="n">
        <v>0</v>
      </c>
      <c r="D215" s="110" t="inlineStr">
        <is>
          <t>Yok (%0)</t>
        </is>
      </c>
      <c r="E215" s="110">
        <f>IF((B215+C215)&lt;=1, "Tam Mahsuplaşma (≤%100)", "Kısmi Satış (&gt;%100)")</f>
        <v/>
      </c>
      <c r="F215" s="168">
        <f>((VERI_TABANI!$D$29*B215/VERI_TABANI!$B$29)/VERI_TABANI!$B$3)*VERI_TABANI!$B$5 + ((VERI_TABANI!$D$29*C215/VERI_TABANI!$B$29)/VERI_TABANI!$B$4)*VERI_TABANI!$B$6 + IF(ISNUMBER(SEARCH("Var", D215)), (VERI_TABANI!$F$29/VERI_TABANI!$B$29)*(VERI_TABANI!$B$10+VERI_TABANI!$B$12), 0)</f>
        <v/>
      </c>
      <c r="G215" s="168">
        <f>(((MIN(VERI_TABANI!D23, VERI_TABANI!D23*B215)*VERI_TABANI!$B$7 + MAX(0, VERI_TABANI!D23*B215-VERI_TABANI!D23)*VERI_TABANI!$B$8) + (MIN(MAX(0, VERI_TABANI!D23-VERI_TABANI!D23*B215), VERI_TABANI!D23*C215)*VERI_TABANI!$B$7 + MAX(0, VERI_TABANI!D23*C215-MAX(0, VERI_TABANI!D23-VERI_TABANI!D23*B215))*VERI_TABANI!$B$8) + IF(ABS(IF(ISNUMBER(SEARCH("Var", D215)), 1, IF(ISNUMBER(SEARCH("Gri", D215)), -1, 0)))=1, VERI_TABANI!E23*(1-0.928)*VERI_TABANI!$B$9, 0) + (VERI_TABANI!D23*B215*(VERI_TABANI!$B$13-VERI_TABANI!$B$14)*VERI_TABANI!G23) + (VERI_TABANI!D23*C215*(VERI_TABANI!$B$13-VERI_TABANI!$B$15)*VERI_TABANI!G23) + IF(ABS(IF(ISNUMBER(SEARCH("Var", D215)), 1, IF(ISNUMBER(SEARCH("Gri", D215)), -1, 0)))=1, VERI_TABANI!E23*(1-0.928)*0.00206091519919798*VERI_TABANI!G23, 0)) + ((MIN(VERI_TABANI!D24, VERI_TABANI!D24*B215)*VERI_TABANI!$B$7 + MAX(0, VERI_TABANI!D24*B215-VERI_TABANI!D24)*VERI_TABANI!$B$8) + (MIN(MAX(0, VERI_TABANI!D24-VERI_TABANI!D24*B215), VERI_TABANI!D24*C215)*VERI_TABANI!$B$7 + MAX(0, VERI_TABANI!D24*C215-MAX(0, VERI_TABANI!D24-VERI_TABANI!D24*B215))*VERI_TABANI!$B$8) + IF(ABS(IF(ISNUMBER(SEARCH("Var", D215)), 1, IF(ISNUMBER(SEARCH("Gri", D215)), -1, 0)))=1, VERI_TABANI!E24*(1-0.928)*VERI_TABANI!$B$9, 0) + (VERI_TABANI!D24*B215*(VERI_TABANI!$B$13-VERI_TABANI!$B$14)*VERI_TABANI!G24) + (VERI_TABANI!D24*C215*(VERI_TABANI!$B$13-VERI_TABANI!$B$15)*VERI_TABANI!G24) + IF(ABS(IF(ISNUMBER(SEARCH("Var", D215)), 1, IF(ISNUMBER(SEARCH("Gri", D215)), -1, 0)))=1, VERI_TABANI!E24*(1-0.928)*0.00206091519919798*VERI_TABANI!G24, 0)) + ((MIN(VERI_TABANI!D25, VERI_TABANI!D25*B215)*VERI_TABANI!$B$7 + MAX(0, VERI_TABANI!D25*B215-VERI_TABANI!D25)*VERI_TABANI!$B$8) + (MIN(MAX(0, VERI_TABANI!D25-VERI_TABANI!D25*B215), VERI_TABANI!D25*C215)*VERI_TABANI!$B$7 + MAX(0, VERI_TABANI!D25*C215-MAX(0, VERI_TABANI!D25-VERI_TABANI!D25*B215))*VERI_TABANI!$B$8) + IF(ABS(IF(ISNUMBER(SEARCH("Var", D215)), 1, IF(ISNUMBER(SEARCH("Gri", D215)), -1, 0)))=1, VERI_TABANI!E25*(1-0.928)*VERI_TABANI!$B$9, 0) + (VERI_TABANI!D25*B215*(VERI_TABANI!$B$13-VERI_TABANI!$B$14)*VERI_TABANI!G25) + (VERI_TABANI!D25*C215*(VERI_TABANI!$B$13-VERI_TABANI!$B$15)*VERI_TABANI!G25) + IF(ABS(IF(ISNUMBER(SEARCH("Var", D215)), 1, IF(ISNUMBER(SEARCH("Gri", D215)), -1, 0)))=1, VERI_TABANI!E25*(1-0.928)*0.00206091519919798*VERI_TABANI!G25, 0)) + ((MIN(VERI_TABANI!D26, VERI_TABANI!D26*B215)*VERI_TABANI!$B$7 + MAX(0, VERI_TABANI!D26*B215-VERI_TABANI!D26)*VERI_TABANI!$B$8) + (MIN(MAX(0, VERI_TABANI!D26-VERI_TABANI!D26*B215), VERI_TABANI!D26*C215)*VERI_TABANI!$B$7 + MAX(0, VERI_TABANI!D26*C215-MAX(0, VERI_TABANI!D26-VERI_TABANI!D26*B215))*VERI_TABANI!$B$8) + IF(ABS(IF(ISNUMBER(SEARCH("Var", D215)), 1, IF(ISNUMBER(SEARCH("Gri", D215)), -1, 0)))=1, VERI_TABANI!E26*(1-0.928)*VERI_TABANI!$B$9, 0) + (VERI_TABANI!D26*B215*(VERI_TABANI!$B$13-VERI_TABANI!$B$14)*VERI_TABANI!G26) + (VERI_TABANI!D26*C215*(VERI_TABANI!$B$13-VERI_TABANI!$B$15)*VERI_TABANI!G26) + IF(ABS(IF(ISNUMBER(SEARCH("Var", D215)), 1, IF(ISNUMBER(SEARCH("Gri", D215)), -1, 0)))=1, VERI_TABANI!E26*(1-0.928)*0.00206091519919798*VERI_TABANI!G26, 0)) + ((MIN(VERI_TABANI!D27, VERI_TABANI!D27*B215)*VERI_TABANI!$B$7 + MAX(0, VERI_TABANI!D27*B215-VERI_TABANI!D27)*VERI_TABANI!$B$8) + (MIN(MAX(0, VERI_TABANI!D27-VERI_TABANI!D27*B215), VERI_TABANI!D27*C215)*VERI_TABANI!$B$7 + MAX(0, VERI_TABANI!D27*C215-MAX(0, VERI_TABANI!D27-VERI_TABANI!D27*B215))*VERI_TABANI!$B$8) + IF(ABS(IF(ISNUMBER(SEARCH("Var", D215)), 1, IF(ISNUMBER(SEARCH("Gri", D215)), -1, 0)))=1, VERI_TABANI!E27*(1-0.928)*VERI_TABANI!$B$9, 0) + (VERI_TABANI!D27*B215*(VERI_TABANI!$B$13-VERI_TABANI!$B$14)*VERI_TABANI!G27) + (VERI_TABANI!D27*C215*(VERI_TABANI!$B$13-VERI_TABANI!$B$15)*VERI_TABANI!G27) + IF(ABS(IF(ISNUMBER(SEARCH("Var", D215)), 1, IF(ISNUMBER(SEARCH("Gri", D215)), -1, 0)))=1, VERI_TABANI!E27*(1-0.928)*0.00206091519919798*VERI_TABANI!G27, 0)) + ((MIN(VERI_TABANI!D28, VERI_TABANI!D28*B215)*VERI_TABANI!$B$7 + MAX(0, VERI_TABANI!D28*B215-VERI_TABANI!D28)*VERI_TABANI!$B$8) + (MIN(MAX(0, VERI_TABANI!D28-VERI_TABANI!D28*B215), VERI_TABANI!D28*C215)*VERI_TABANI!$B$7 + MAX(0, VERI_TABANI!D28*C215-MAX(0, VERI_TABANI!D28-VERI_TABANI!D28*B215))*VERI_TABANI!$B$8) + IF(ABS(IF(ISNUMBER(SEARCH("Var", D215)), 1, IF(ISNUMBER(SEARCH("Gri", D215)), -1, 0)))=1, VERI_TABANI!E28*(1-0.928)*VERI_TABANI!$B$9, 0) + (VERI_TABANI!D28*B215*(VERI_TABANI!$B$13-VERI_TABANI!$B$14)*VERI_TABANI!G28) + (VERI_TABANI!D28*C215*(VERI_TABANI!$B$13-VERI_TABANI!$B$15)*VERI_TABANI!G28) + IF(ABS(IF(ISNUMBER(SEARCH("Var", D215)), 1, IF(ISNUMBER(SEARCH("Gri", D215)), -1, 0)))=1, VERI_TABANI!E28*(1-0.928)*0.00206091519919798*VERI_TABANI!G28, 0)))</f>
        <v/>
      </c>
      <c r="H215" s="169">
        <f>(((VERI_TABANI!D23*B215*(VERI_TABANI!$B$13-VERI_TABANI!$B$14)) + (VERI_TABANI!D23*C215*(VERI_TABANI!$B$13-VERI_TABANI!$B$15)) + IF(ISNUMBER(SEARCH("Var", D215)), VERI_TABANI!F23*(0.00202-VERI_TABANI!$B$16), IF(ISNUMBER(SEARCH("Gri", D215)), VERI_TABANI!F23*(0.00202-VERI_TABANI!$B$17), 0))) + ((VERI_TABANI!D24*B215*(VERI_TABANI!$B$13-VERI_TABANI!$B$14)) + (VERI_TABANI!D24*C215*(VERI_TABANI!$B$13-VERI_TABANI!$B$15)) + IF(ISNUMBER(SEARCH("Var", D215)), VERI_TABANI!F24*(0.00202-VERI_TABANI!$B$16), IF(ISNUMBER(SEARCH("Gri", D215)), VERI_TABANI!F24*(0.00202-VERI_TABANI!$B$17), 0))) + ((VERI_TABANI!D25*B215*(VERI_TABANI!$B$13-VERI_TABANI!$B$14)) + (VERI_TABANI!D25*C215*(VERI_TABANI!$B$13-VERI_TABANI!$B$15)) + IF(ISNUMBER(SEARCH("Var", D215)), VERI_TABANI!F25*(0.00202-VERI_TABANI!$B$16), IF(ISNUMBER(SEARCH("Gri", D215)), VERI_TABANI!F25*(0.00202-VERI_TABANI!$B$17), 0))) + ((VERI_TABANI!D26*B215*(VERI_TABANI!$B$13-VERI_TABANI!$B$14)) + (VERI_TABANI!D26*C215*(VERI_TABANI!$B$13-VERI_TABANI!$B$15)) + IF(ISNUMBER(SEARCH("Var", D215)), VERI_TABANI!F26*(0.00202-VERI_TABANI!$B$16), IF(ISNUMBER(SEARCH("Gri", D215)), VERI_TABANI!F26*(0.00202-VERI_TABANI!$B$17), 0))) + ((VERI_TABANI!D27*B215*(VERI_TABANI!$B$13-VERI_TABANI!$B$14)) + (VERI_TABANI!D27*C215*(VERI_TABANI!$B$13-VERI_TABANI!$B$15)) + IF(ISNUMBER(SEARCH("Var", D215)), VERI_TABANI!F27*(0.00202-VERI_TABANI!$B$16), IF(ISNUMBER(SEARCH("Gri", D215)), VERI_TABANI!F27*(0.00202-VERI_TABANI!$B$17), 0))) + ((VERI_TABANI!D28*B215*(VERI_TABANI!$B$13-VERI_TABANI!$B$14)) + (VERI_TABANI!D28*C215*(VERI_TABANI!$B$13-VERI_TABANI!$B$15)) + IF(ISNUMBER(SEARCH("Var", D215)), VERI_TABANI!F28*(0.00202-VERI_TABANI!$B$16), IF(ISNUMBER(SEARCH("Gri", D215)), VERI_TABANI!F28*(0.00202-VERI_TABANI!$B$17), 0))))</f>
        <v/>
      </c>
      <c r="I215" s="170">
        <f>IFERROR(((VERI_TABANI!$D$29*B215*VERI_TABANI!$B$14 + VERI_TABANI!$D$29*C215*VERI_TABANI!$B$15 + IF(ISNUMBER(SEARCH("Var", D215)), VERI_TABANI!$F$29*VERI_TABANI!$B$16, 0))) / (((VERI_TABANI!$D$29*B215 + VERI_TABANI!$D$29*C215)*VERI_TABANI!$B$13 + IF(ISNUMBER(SEARCH("Var", D215)), VERI_TABANI!$E$29*(1-0.928)*VERI_TABANI!$B$18, 0))), 0)</f>
        <v/>
      </c>
      <c r="J215" s="171">
        <f>IFERROR(F215/(G215/29), 0)</f>
        <v/>
      </c>
      <c r="K215" s="172">
        <f>IF(F215&gt;0, H215/F215, 0)</f>
        <v/>
      </c>
      <c r="L215" s="170">
        <f>IF(F215&gt;0, I215, 1000000000)</f>
        <v/>
      </c>
      <c r="M215" s="171">
        <f>ABS((B215+C215)-1)</f>
        <v/>
      </c>
      <c r="N215" s="170">
        <f>IF(F215&gt;0, (G215/29)/F215, 0)</f>
        <v/>
      </c>
      <c r="O215" s="168">
        <f>IF(AND((B215+C215)&gt;=1, ISNUMBER(SEARCH("Var", D215))), F215, 1000000000)</f>
        <v/>
      </c>
      <c r="P215" s="172">
        <f>IF(F215&gt;0, SQRT((F215/MAX(F$5:F$886))^2 + (1 - H215/MAX(H$5:H$886))^2 + (J215/MAX(J$5:J$886))^2), 1000000000)</f>
        <v/>
      </c>
      <c r="Q215" s="166">
        <f>IF(AND(ABS(B215-0.5)&lt;0.01, ABS(C215-0.5)&lt;0.01, ISNUMBER(SEARCH("Var", D215))), 1, 0)</f>
        <v/>
      </c>
      <c r="R215" s="171">
        <f>IF(F215&gt;0, J215, 1000000000)</f>
        <v/>
      </c>
      <c r="S215" s="101">
        <f>IF(AND(F215&lt;=DASHBOARD!$B$11, H215&gt;=DASHBOARD!$B$13), G215, -1000000000000)</f>
        <v/>
      </c>
      <c r="T215" s="101">
        <f>IF(AND(F215&lt;=DASHBOARD!$B$11, H215&gt;=DASHBOARD!$B$13), R215, 1000000000000)</f>
        <v/>
      </c>
      <c r="U215" s="101">
        <f>IF(AND(F215&lt;=DASHBOARD!$B$11, H215&gt;=DASHBOARD!$B$13), N215, -1000000000000)</f>
        <v/>
      </c>
      <c r="V215" s="101">
        <f>IF(AND(F215&lt;=DASHBOARD!$B$11, H215&gt;=DASHBOARD!$B$13), H215, -1000000000000)</f>
        <v/>
      </c>
      <c r="W215" s="101">
        <f>IF(AND(F215&lt;=DASHBOARD!$B$11, H215&gt;=DASHBOARD!$B$13), K215, -1000000000000)</f>
        <v/>
      </c>
      <c r="X215" s="101">
        <f>IF(AND(F215&lt;=DASHBOARD!$B$11, H215&gt;=DASHBOARD!$B$13), M215, 1000000000000)</f>
        <v/>
      </c>
      <c r="Y215" s="101">
        <f>IF(AND(F215&lt;=DASHBOARD!$B$10, H215&gt;=DASHBOARD!$B$11), L215, 1000000000000)</f>
        <v/>
      </c>
      <c r="Z215" s="101">
        <f>IF(AND(F215&lt;=DASHBOARD!$B$10, H215&gt;=DASHBOARD!$B$11), O215, 1000000000000)</f>
        <v/>
      </c>
      <c r="AA215" s="101">
        <f>IF(AND(F215&lt;=DASHBOARD!$B$10, H215&gt;=DASHBOARD!$B$11), P215, 1000000000000)</f>
        <v/>
      </c>
      <c r="AB215" s="101">
        <f>IF(AND(F215&lt;=DASHBOARD!$B$10, H215&gt;=DASHBOARD!$B$11), Q215, -1000000000000)</f>
        <v/>
      </c>
    </row>
    <row r="216" ht="15" customHeight="1" s="102">
      <c r="A216" s="166" t="n">
        <v>212</v>
      </c>
      <c r="B216" s="167" t="n">
        <v>0.5</v>
      </c>
      <c r="C216" s="167" t="n">
        <v>0</v>
      </c>
      <c r="D216" s="110" t="inlineStr">
        <is>
          <t>Var (%20)</t>
        </is>
      </c>
      <c r="E216" s="110">
        <f>IF((B216+C216)&lt;=1, "Tam Mahsuplaşma (≤%100)", "Kısmi Satış (&gt;%100)")</f>
        <v/>
      </c>
      <c r="F216" s="168">
        <f>((VERI_TABANI!$D$29*B216/VERI_TABANI!$B$29)/VERI_TABANI!$B$3)*VERI_TABANI!$B$5 + ((VERI_TABANI!$D$29*C216/VERI_TABANI!$B$29)/VERI_TABANI!$B$4)*VERI_TABANI!$B$6 + IF(ISNUMBER(SEARCH("Var", D216)), (VERI_TABANI!$F$29/VERI_TABANI!$B$29)*(VERI_TABANI!$B$10+VERI_TABANI!$B$12), 0)</f>
        <v/>
      </c>
      <c r="G216" s="168">
        <f>(((MIN(VERI_TABANI!D23, VERI_TABANI!D23*B216)*VERI_TABANI!$B$7 + MAX(0, VERI_TABANI!D23*B216-VERI_TABANI!D23)*VERI_TABANI!$B$8) + (MIN(MAX(0, VERI_TABANI!D23-VERI_TABANI!D23*B216), VERI_TABANI!D23*C216)*VERI_TABANI!$B$7 + MAX(0, VERI_TABANI!D23*C216-MAX(0, VERI_TABANI!D23-VERI_TABANI!D23*B216))*VERI_TABANI!$B$8) + IF(ABS(IF(ISNUMBER(SEARCH("Var", D216)), 1, IF(ISNUMBER(SEARCH("Gri", D216)), -1, 0)))=1, VERI_TABANI!E23*(1-0.928)*VERI_TABANI!$B$9, 0) + (VERI_TABANI!D23*B216*(VERI_TABANI!$B$13-VERI_TABANI!$B$14)*VERI_TABANI!G23) + (VERI_TABANI!D23*C216*(VERI_TABANI!$B$13-VERI_TABANI!$B$15)*VERI_TABANI!G23) + IF(ABS(IF(ISNUMBER(SEARCH("Var", D216)), 1, IF(ISNUMBER(SEARCH("Gri", D216)), -1, 0)))=1, VERI_TABANI!E23*(1-0.928)*0.00206091519919798*VERI_TABANI!G23, 0)) + ((MIN(VERI_TABANI!D24, VERI_TABANI!D24*B216)*VERI_TABANI!$B$7 + MAX(0, VERI_TABANI!D24*B216-VERI_TABANI!D24)*VERI_TABANI!$B$8) + (MIN(MAX(0, VERI_TABANI!D24-VERI_TABANI!D24*B216), VERI_TABANI!D24*C216)*VERI_TABANI!$B$7 + MAX(0, VERI_TABANI!D24*C216-MAX(0, VERI_TABANI!D24-VERI_TABANI!D24*B216))*VERI_TABANI!$B$8) + IF(ABS(IF(ISNUMBER(SEARCH("Var", D216)), 1, IF(ISNUMBER(SEARCH("Gri", D216)), -1, 0)))=1, VERI_TABANI!E24*(1-0.928)*VERI_TABANI!$B$9, 0) + (VERI_TABANI!D24*B216*(VERI_TABANI!$B$13-VERI_TABANI!$B$14)*VERI_TABANI!G24) + (VERI_TABANI!D24*C216*(VERI_TABANI!$B$13-VERI_TABANI!$B$15)*VERI_TABANI!G24) + IF(ABS(IF(ISNUMBER(SEARCH("Var", D216)), 1, IF(ISNUMBER(SEARCH("Gri", D216)), -1, 0)))=1, VERI_TABANI!E24*(1-0.928)*0.00206091519919798*VERI_TABANI!G24, 0)) + ((MIN(VERI_TABANI!D25, VERI_TABANI!D25*B216)*VERI_TABANI!$B$7 + MAX(0, VERI_TABANI!D25*B216-VERI_TABANI!D25)*VERI_TABANI!$B$8) + (MIN(MAX(0, VERI_TABANI!D25-VERI_TABANI!D25*B216), VERI_TABANI!D25*C216)*VERI_TABANI!$B$7 + MAX(0, VERI_TABANI!D25*C216-MAX(0, VERI_TABANI!D25-VERI_TABANI!D25*B216))*VERI_TABANI!$B$8) + IF(ABS(IF(ISNUMBER(SEARCH("Var", D216)), 1, IF(ISNUMBER(SEARCH("Gri", D216)), -1, 0)))=1, VERI_TABANI!E25*(1-0.928)*VERI_TABANI!$B$9, 0) + (VERI_TABANI!D25*B216*(VERI_TABANI!$B$13-VERI_TABANI!$B$14)*VERI_TABANI!G25) + (VERI_TABANI!D25*C216*(VERI_TABANI!$B$13-VERI_TABANI!$B$15)*VERI_TABANI!G25) + IF(ABS(IF(ISNUMBER(SEARCH("Var", D216)), 1, IF(ISNUMBER(SEARCH("Gri", D216)), -1, 0)))=1, VERI_TABANI!E25*(1-0.928)*0.00206091519919798*VERI_TABANI!G25, 0)) + ((MIN(VERI_TABANI!D26, VERI_TABANI!D26*B216)*VERI_TABANI!$B$7 + MAX(0, VERI_TABANI!D26*B216-VERI_TABANI!D26)*VERI_TABANI!$B$8) + (MIN(MAX(0, VERI_TABANI!D26-VERI_TABANI!D26*B216), VERI_TABANI!D26*C216)*VERI_TABANI!$B$7 + MAX(0, VERI_TABANI!D26*C216-MAX(0, VERI_TABANI!D26-VERI_TABANI!D26*B216))*VERI_TABANI!$B$8) + IF(ABS(IF(ISNUMBER(SEARCH("Var", D216)), 1, IF(ISNUMBER(SEARCH("Gri", D216)), -1, 0)))=1, VERI_TABANI!E26*(1-0.928)*VERI_TABANI!$B$9, 0) + (VERI_TABANI!D26*B216*(VERI_TABANI!$B$13-VERI_TABANI!$B$14)*VERI_TABANI!G26) + (VERI_TABANI!D26*C216*(VERI_TABANI!$B$13-VERI_TABANI!$B$15)*VERI_TABANI!G26) + IF(ABS(IF(ISNUMBER(SEARCH("Var", D216)), 1, IF(ISNUMBER(SEARCH("Gri", D216)), -1, 0)))=1, VERI_TABANI!E26*(1-0.928)*0.00206091519919798*VERI_TABANI!G26, 0)) + ((MIN(VERI_TABANI!D27, VERI_TABANI!D27*B216)*VERI_TABANI!$B$7 + MAX(0, VERI_TABANI!D27*B216-VERI_TABANI!D27)*VERI_TABANI!$B$8) + (MIN(MAX(0, VERI_TABANI!D27-VERI_TABANI!D27*B216), VERI_TABANI!D27*C216)*VERI_TABANI!$B$7 + MAX(0, VERI_TABANI!D27*C216-MAX(0, VERI_TABANI!D27-VERI_TABANI!D27*B216))*VERI_TABANI!$B$8) + IF(ABS(IF(ISNUMBER(SEARCH("Var", D216)), 1, IF(ISNUMBER(SEARCH("Gri", D216)), -1, 0)))=1, VERI_TABANI!E27*(1-0.928)*VERI_TABANI!$B$9, 0) + (VERI_TABANI!D27*B216*(VERI_TABANI!$B$13-VERI_TABANI!$B$14)*VERI_TABANI!G27) + (VERI_TABANI!D27*C216*(VERI_TABANI!$B$13-VERI_TABANI!$B$15)*VERI_TABANI!G27) + IF(ABS(IF(ISNUMBER(SEARCH("Var", D216)), 1, IF(ISNUMBER(SEARCH("Gri", D216)), -1, 0)))=1, VERI_TABANI!E27*(1-0.928)*0.00206091519919798*VERI_TABANI!G27, 0)) + ((MIN(VERI_TABANI!D28, VERI_TABANI!D28*B216)*VERI_TABANI!$B$7 + MAX(0, VERI_TABANI!D28*B216-VERI_TABANI!D28)*VERI_TABANI!$B$8) + (MIN(MAX(0, VERI_TABANI!D28-VERI_TABANI!D28*B216), VERI_TABANI!D28*C216)*VERI_TABANI!$B$7 + MAX(0, VERI_TABANI!D28*C216-MAX(0, VERI_TABANI!D28-VERI_TABANI!D28*B216))*VERI_TABANI!$B$8) + IF(ABS(IF(ISNUMBER(SEARCH("Var", D216)), 1, IF(ISNUMBER(SEARCH("Gri", D216)), -1, 0)))=1, VERI_TABANI!E28*(1-0.928)*VERI_TABANI!$B$9, 0) + (VERI_TABANI!D28*B216*(VERI_TABANI!$B$13-VERI_TABANI!$B$14)*VERI_TABANI!G28) + (VERI_TABANI!D28*C216*(VERI_TABANI!$B$13-VERI_TABANI!$B$15)*VERI_TABANI!G28) + IF(ABS(IF(ISNUMBER(SEARCH("Var", D216)), 1, IF(ISNUMBER(SEARCH("Gri", D216)), -1, 0)))=1, VERI_TABANI!E28*(1-0.928)*0.00206091519919798*VERI_TABANI!G28, 0)))</f>
        <v/>
      </c>
      <c r="H216" s="169">
        <f>(((VERI_TABANI!D23*B216*(VERI_TABANI!$B$13-VERI_TABANI!$B$14)) + (VERI_TABANI!D23*C216*(VERI_TABANI!$B$13-VERI_TABANI!$B$15)) + IF(ISNUMBER(SEARCH("Var", D216)), VERI_TABANI!F23*(0.00202-VERI_TABANI!$B$16), IF(ISNUMBER(SEARCH("Gri", D216)), VERI_TABANI!F23*(0.00202-VERI_TABANI!$B$17), 0))) + ((VERI_TABANI!D24*B216*(VERI_TABANI!$B$13-VERI_TABANI!$B$14)) + (VERI_TABANI!D24*C216*(VERI_TABANI!$B$13-VERI_TABANI!$B$15)) + IF(ISNUMBER(SEARCH("Var", D216)), VERI_TABANI!F24*(0.00202-VERI_TABANI!$B$16), IF(ISNUMBER(SEARCH("Gri", D216)), VERI_TABANI!F24*(0.00202-VERI_TABANI!$B$17), 0))) + ((VERI_TABANI!D25*B216*(VERI_TABANI!$B$13-VERI_TABANI!$B$14)) + (VERI_TABANI!D25*C216*(VERI_TABANI!$B$13-VERI_TABANI!$B$15)) + IF(ISNUMBER(SEARCH("Var", D216)), VERI_TABANI!F25*(0.00202-VERI_TABANI!$B$16), IF(ISNUMBER(SEARCH("Gri", D216)), VERI_TABANI!F25*(0.00202-VERI_TABANI!$B$17), 0))) + ((VERI_TABANI!D26*B216*(VERI_TABANI!$B$13-VERI_TABANI!$B$14)) + (VERI_TABANI!D26*C216*(VERI_TABANI!$B$13-VERI_TABANI!$B$15)) + IF(ISNUMBER(SEARCH("Var", D216)), VERI_TABANI!F26*(0.00202-VERI_TABANI!$B$16), IF(ISNUMBER(SEARCH("Gri", D216)), VERI_TABANI!F26*(0.00202-VERI_TABANI!$B$17), 0))) + ((VERI_TABANI!D27*B216*(VERI_TABANI!$B$13-VERI_TABANI!$B$14)) + (VERI_TABANI!D27*C216*(VERI_TABANI!$B$13-VERI_TABANI!$B$15)) + IF(ISNUMBER(SEARCH("Var", D216)), VERI_TABANI!F27*(0.00202-VERI_TABANI!$B$16), IF(ISNUMBER(SEARCH("Gri", D216)), VERI_TABANI!F27*(0.00202-VERI_TABANI!$B$17), 0))) + ((VERI_TABANI!D28*B216*(VERI_TABANI!$B$13-VERI_TABANI!$B$14)) + (VERI_TABANI!D28*C216*(VERI_TABANI!$B$13-VERI_TABANI!$B$15)) + IF(ISNUMBER(SEARCH("Var", D216)), VERI_TABANI!F28*(0.00202-VERI_TABANI!$B$16), IF(ISNUMBER(SEARCH("Gri", D216)), VERI_TABANI!F28*(0.00202-VERI_TABANI!$B$17), 0))))</f>
        <v/>
      </c>
      <c r="I216" s="170">
        <f>IFERROR(((VERI_TABANI!$D$29*B216*VERI_TABANI!$B$14 + VERI_TABANI!$D$29*C216*VERI_TABANI!$B$15 + IF(ISNUMBER(SEARCH("Var", D216)), VERI_TABANI!$F$29*VERI_TABANI!$B$16, 0))) / (((VERI_TABANI!$D$29*B216 + VERI_TABANI!$D$29*C216)*VERI_TABANI!$B$13 + IF(ISNUMBER(SEARCH("Var", D216)), VERI_TABANI!$E$29*(1-0.928)*VERI_TABANI!$B$18, 0))), 0)</f>
        <v/>
      </c>
      <c r="J216" s="171">
        <f>IFERROR(F216/(G216/29), 0)</f>
        <v/>
      </c>
      <c r="K216" s="172">
        <f>IF(F216&gt;0, H216/F216, 0)</f>
        <v/>
      </c>
      <c r="L216" s="170">
        <f>IF(F216&gt;0, I216, 1000000000)</f>
        <v/>
      </c>
      <c r="M216" s="171">
        <f>ABS((B216+C216)-1)</f>
        <v/>
      </c>
      <c r="N216" s="170">
        <f>IF(F216&gt;0, (G216/29)/F216, 0)</f>
        <v/>
      </c>
      <c r="O216" s="168">
        <f>IF(AND((B216+C216)&gt;=1, ISNUMBER(SEARCH("Var", D216))), F216, 1000000000)</f>
        <v/>
      </c>
      <c r="P216" s="172">
        <f>IF(F216&gt;0, SQRT((F216/MAX(F$5:F$886))^2 + (1 - H216/MAX(H$5:H$886))^2 + (J216/MAX(J$5:J$886))^2), 1000000000)</f>
        <v/>
      </c>
      <c r="Q216" s="166">
        <f>IF(AND(ABS(B216-0.5)&lt;0.01, ABS(C216-0.5)&lt;0.01, ISNUMBER(SEARCH("Var", D216))), 1, 0)</f>
        <v/>
      </c>
      <c r="R216" s="171">
        <f>IF(F216&gt;0, J216, 1000000000)</f>
        <v/>
      </c>
      <c r="S216" s="101">
        <f>IF(AND(F216&lt;=DASHBOARD!$B$11, H216&gt;=DASHBOARD!$B$13), G216, -1000000000000)</f>
        <v/>
      </c>
      <c r="T216" s="101">
        <f>IF(AND(F216&lt;=DASHBOARD!$B$11, H216&gt;=DASHBOARD!$B$13), R216, 1000000000000)</f>
        <v/>
      </c>
      <c r="U216" s="101">
        <f>IF(AND(F216&lt;=DASHBOARD!$B$11, H216&gt;=DASHBOARD!$B$13), N216, -1000000000000)</f>
        <v/>
      </c>
      <c r="V216" s="101">
        <f>IF(AND(F216&lt;=DASHBOARD!$B$11, H216&gt;=DASHBOARD!$B$13), H216, -1000000000000)</f>
        <v/>
      </c>
      <c r="W216" s="101">
        <f>IF(AND(F216&lt;=DASHBOARD!$B$11, H216&gt;=DASHBOARD!$B$13), K216, -1000000000000)</f>
        <v/>
      </c>
      <c r="X216" s="101">
        <f>IF(AND(F216&lt;=DASHBOARD!$B$11, H216&gt;=DASHBOARD!$B$13), M216, 1000000000000)</f>
        <v/>
      </c>
      <c r="Y216" s="101">
        <f>IF(AND(F216&lt;=DASHBOARD!$B$10, H216&gt;=DASHBOARD!$B$11), L216, 1000000000000)</f>
        <v/>
      </c>
      <c r="Z216" s="101">
        <f>IF(AND(F216&lt;=DASHBOARD!$B$10, H216&gt;=DASHBOARD!$B$11), O216, 1000000000000)</f>
        <v/>
      </c>
      <c r="AA216" s="101">
        <f>IF(AND(F216&lt;=DASHBOARD!$B$10, H216&gt;=DASHBOARD!$B$11), P216, 1000000000000)</f>
        <v/>
      </c>
      <c r="AB216" s="101">
        <f>IF(AND(F216&lt;=DASHBOARD!$B$10, H216&gt;=DASHBOARD!$B$11), Q216, -1000000000000)</f>
        <v/>
      </c>
    </row>
    <row r="217" ht="15" customHeight="1" s="102">
      <c r="A217" s="166" t="n">
        <v>213</v>
      </c>
      <c r="B217" s="167" t="n">
        <v>0.5</v>
      </c>
      <c r="C217" s="167" t="n">
        <v>0.1</v>
      </c>
      <c r="D217" s="110" t="inlineStr">
        <is>
          <t>Yok (%0)</t>
        </is>
      </c>
      <c r="E217" s="110">
        <f>IF((B217+C217)&lt;=1, "Tam Mahsuplaşma (≤%100)", "Kısmi Satış (&gt;%100)")</f>
        <v/>
      </c>
      <c r="F217" s="168">
        <f>((VERI_TABANI!$D$29*B217/VERI_TABANI!$B$29)/VERI_TABANI!$B$3)*VERI_TABANI!$B$5 + ((VERI_TABANI!$D$29*C217/VERI_TABANI!$B$29)/VERI_TABANI!$B$4)*VERI_TABANI!$B$6 + IF(ISNUMBER(SEARCH("Var", D217)), (VERI_TABANI!$F$29/VERI_TABANI!$B$29)*(VERI_TABANI!$B$10+VERI_TABANI!$B$12), 0)</f>
        <v/>
      </c>
      <c r="G217" s="168">
        <f>(((MIN(VERI_TABANI!D23, VERI_TABANI!D23*B217)*VERI_TABANI!$B$7 + MAX(0, VERI_TABANI!D23*B217-VERI_TABANI!D23)*VERI_TABANI!$B$8) + (MIN(MAX(0, VERI_TABANI!D23-VERI_TABANI!D23*B217), VERI_TABANI!D23*C217)*VERI_TABANI!$B$7 + MAX(0, VERI_TABANI!D23*C217-MAX(0, VERI_TABANI!D23-VERI_TABANI!D23*B217))*VERI_TABANI!$B$8) + IF(ABS(IF(ISNUMBER(SEARCH("Var", D217)), 1, IF(ISNUMBER(SEARCH("Gri", D217)), -1, 0)))=1, VERI_TABANI!E23*(1-0.928)*VERI_TABANI!$B$9, 0) + (VERI_TABANI!D23*B217*(VERI_TABANI!$B$13-VERI_TABANI!$B$14)*VERI_TABANI!G23) + (VERI_TABANI!D23*C217*(VERI_TABANI!$B$13-VERI_TABANI!$B$15)*VERI_TABANI!G23) + IF(ABS(IF(ISNUMBER(SEARCH("Var", D217)), 1, IF(ISNUMBER(SEARCH("Gri", D217)), -1, 0)))=1, VERI_TABANI!E23*(1-0.928)*0.00206091519919798*VERI_TABANI!G23, 0)) + ((MIN(VERI_TABANI!D24, VERI_TABANI!D24*B217)*VERI_TABANI!$B$7 + MAX(0, VERI_TABANI!D24*B217-VERI_TABANI!D24)*VERI_TABANI!$B$8) + (MIN(MAX(0, VERI_TABANI!D24-VERI_TABANI!D24*B217), VERI_TABANI!D24*C217)*VERI_TABANI!$B$7 + MAX(0, VERI_TABANI!D24*C217-MAX(0, VERI_TABANI!D24-VERI_TABANI!D24*B217))*VERI_TABANI!$B$8) + IF(ABS(IF(ISNUMBER(SEARCH("Var", D217)), 1, IF(ISNUMBER(SEARCH("Gri", D217)), -1, 0)))=1, VERI_TABANI!E24*(1-0.928)*VERI_TABANI!$B$9, 0) + (VERI_TABANI!D24*B217*(VERI_TABANI!$B$13-VERI_TABANI!$B$14)*VERI_TABANI!G24) + (VERI_TABANI!D24*C217*(VERI_TABANI!$B$13-VERI_TABANI!$B$15)*VERI_TABANI!G24) + IF(ABS(IF(ISNUMBER(SEARCH("Var", D217)), 1, IF(ISNUMBER(SEARCH("Gri", D217)), -1, 0)))=1, VERI_TABANI!E24*(1-0.928)*0.00206091519919798*VERI_TABANI!G24, 0)) + ((MIN(VERI_TABANI!D25, VERI_TABANI!D25*B217)*VERI_TABANI!$B$7 + MAX(0, VERI_TABANI!D25*B217-VERI_TABANI!D25)*VERI_TABANI!$B$8) + (MIN(MAX(0, VERI_TABANI!D25-VERI_TABANI!D25*B217), VERI_TABANI!D25*C217)*VERI_TABANI!$B$7 + MAX(0, VERI_TABANI!D25*C217-MAX(0, VERI_TABANI!D25-VERI_TABANI!D25*B217))*VERI_TABANI!$B$8) + IF(ABS(IF(ISNUMBER(SEARCH("Var", D217)), 1, IF(ISNUMBER(SEARCH("Gri", D217)), -1, 0)))=1, VERI_TABANI!E25*(1-0.928)*VERI_TABANI!$B$9, 0) + (VERI_TABANI!D25*B217*(VERI_TABANI!$B$13-VERI_TABANI!$B$14)*VERI_TABANI!G25) + (VERI_TABANI!D25*C217*(VERI_TABANI!$B$13-VERI_TABANI!$B$15)*VERI_TABANI!G25) + IF(ABS(IF(ISNUMBER(SEARCH("Var", D217)), 1, IF(ISNUMBER(SEARCH("Gri", D217)), -1, 0)))=1, VERI_TABANI!E25*(1-0.928)*0.00206091519919798*VERI_TABANI!G25, 0)) + ((MIN(VERI_TABANI!D26, VERI_TABANI!D26*B217)*VERI_TABANI!$B$7 + MAX(0, VERI_TABANI!D26*B217-VERI_TABANI!D26)*VERI_TABANI!$B$8) + (MIN(MAX(0, VERI_TABANI!D26-VERI_TABANI!D26*B217), VERI_TABANI!D26*C217)*VERI_TABANI!$B$7 + MAX(0, VERI_TABANI!D26*C217-MAX(0, VERI_TABANI!D26-VERI_TABANI!D26*B217))*VERI_TABANI!$B$8) + IF(ABS(IF(ISNUMBER(SEARCH("Var", D217)), 1, IF(ISNUMBER(SEARCH("Gri", D217)), -1, 0)))=1, VERI_TABANI!E26*(1-0.928)*VERI_TABANI!$B$9, 0) + (VERI_TABANI!D26*B217*(VERI_TABANI!$B$13-VERI_TABANI!$B$14)*VERI_TABANI!G26) + (VERI_TABANI!D26*C217*(VERI_TABANI!$B$13-VERI_TABANI!$B$15)*VERI_TABANI!G26) + IF(ABS(IF(ISNUMBER(SEARCH("Var", D217)), 1, IF(ISNUMBER(SEARCH("Gri", D217)), -1, 0)))=1, VERI_TABANI!E26*(1-0.928)*0.00206091519919798*VERI_TABANI!G26, 0)) + ((MIN(VERI_TABANI!D27, VERI_TABANI!D27*B217)*VERI_TABANI!$B$7 + MAX(0, VERI_TABANI!D27*B217-VERI_TABANI!D27)*VERI_TABANI!$B$8) + (MIN(MAX(0, VERI_TABANI!D27-VERI_TABANI!D27*B217), VERI_TABANI!D27*C217)*VERI_TABANI!$B$7 + MAX(0, VERI_TABANI!D27*C217-MAX(0, VERI_TABANI!D27-VERI_TABANI!D27*B217))*VERI_TABANI!$B$8) + IF(ABS(IF(ISNUMBER(SEARCH("Var", D217)), 1, IF(ISNUMBER(SEARCH("Gri", D217)), -1, 0)))=1, VERI_TABANI!E27*(1-0.928)*VERI_TABANI!$B$9, 0) + (VERI_TABANI!D27*B217*(VERI_TABANI!$B$13-VERI_TABANI!$B$14)*VERI_TABANI!G27) + (VERI_TABANI!D27*C217*(VERI_TABANI!$B$13-VERI_TABANI!$B$15)*VERI_TABANI!G27) + IF(ABS(IF(ISNUMBER(SEARCH("Var", D217)), 1, IF(ISNUMBER(SEARCH("Gri", D217)), -1, 0)))=1, VERI_TABANI!E27*(1-0.928)*0.00206091519919798*VERI_TABANI!G27, 0)) + ((MIN(VERI_TABANI!D28, VERI_TABANI!D28*B217)*VERI_TABANI!$B$7 + MAX(0, VERI_TABANI!D28*B217-VERI_TABANI!D28)*VERI_TABANI!$B$8) + (MIN(MAX(0, VERI_TABANI!D28-VERI_TABANI!D28*B217), VERI_TABANI!D28*C217)*VERI_TABANI!$B$7 + MAX(0, VERI_TABANI!D28*C217-MAX(0, VERI_TABANI!D28-VERI_TABANI!D28*B217))*VERI_TABANI!$B$8) + IF(ABS(IF(ISNUMBER(SEARCH("Var", D217)), 1, IF(ISNUMBER(SEARCH("Gri", D217)), -1, 0)))=1, VERI_TABANI!E28*(1-0.928)*VERI_TABANI!$B$9, 0) + (VERI_TABANI!D28*B217*(VERI_TABANI!$B$13-VERI_TABANI!$B$14)*VERI_TABANI!G28) + (VERI_TABANI!D28*C217*(VERI_TABANI!$B$13-VERI_TABANI!$B$15)*VERI_TABANI!G28) + IF(ABS(IF(ISNUMBER(SEARCH("Var", D217)), 1, IF(ISNUMBER(SEARCH("Gri", D217)), -1, 0)))=1, VERI_TABANI!E28*(1-0.928)*0.00206091519919798*VERI_TABANI!G28, 0)))</f>
        <v/>
      </c>
      <c r="H217" s="169">
        <f>(((VERI_TABANI!D23*B217*(VERI_TABANI!$B$13-VERI_TABANI!$B$14)) + (VERI_TABANI!D23*C217*(VERI_TABANI!$B$13-VERI_TABANI!$B$15)) + IF(ISNUMBER(SEARCH("Var", D217)), VERI_TABANI!F23*(0.00202-VERI_TABANI!$B$16), IF(ISNUMBER(SEARCH("Gri", D217)), VERI_TABANI!F23*(0.00202-VERI_TABANI!$B$17), 0))) + ((VERI_TABANI!D24*B217*(VERI_TABANI!$B$13-VERI_TABANI!$B$14)) + (VERI_TABANI!D24*C217*(VERI_TABANI!$B$13-VERI_TABANI!$B$15)) + IF(ISNUMBER(SEARCH("Var", D217)), VERI_TABANI!F24*(0.00202-VERI_TABANI!$B$16), IF(ISNUMBER(SEARCH("Gri", D217)), VERI_TABANI!F24*(0.00202-VERI_TABANI!$B$17), 0))) + ((VERI_TABANI!D25*B217*(VERI_TABANI!$B$13-VERI_TABANI!$B$14)) + (VERI_TABANI!D25*C217*(VERI_TABANI!$B$13-VERI_TABANI!$B$15)) + IF(ISNUMBER(SEARCH("Var", D217)), VERI_TABANI!F25*(0.00202-VERI_TABANI!$B$16), IF(ISNUMBER(SEARCH("Gri", D217)), VERI_TABANI!F25*(0.00202-VERI_TABANI!$B$17), 0))) + ((VERI_TABANI!D26*B217*(VERI_TABANI!$B$13-VERI_TABANI!$B$14)) + (VERI_TABANI!D26*C217*(VERI_TABANI!$B$13-VERI_TABANI!$B$15)) + IF(ISNUMBER(SEARCH("Var", D217)), VERI_TABANI!F26*(0.00202-VERI_TABANI!$B$16), IF(ISNUMBER(SEARCH("Gri", D217)), VERI_TABANI!F26*(0.00202-VERI_TABANI!$B$17), 0))) + ((VERI_TABANI!D27*B217*(VERI_TABANI!$B$13-VERI_TABANI!$B$14)) + (VERI_TABANI!D27*C217*(VERI_TABANI!$B$13-VERI_TABANI!$B$15)) + IF(ISNUMBER(SEARCH("Var", D217)), VERI_TABANI!F27*(0.00202-VERI_TABANI!$B$16), IF(ISNUMBER(SEARCH("Gri", D217)), VERI_TABANI!F27*(0.00202-VERI_TABANI!$B$17), 0))) + ((VERI_TABANI!D28*B217*(VERI_TABANI!$B$13-VERI_TABANI!$B$14)) + (VERI_TABANI!D28*C217*(VERI_TABANI!$B$13-VERI_TABANI!$B$15)) + IF(ISNUMBER(SEARCH("Var", D217)), VERI_TABANI!F28*(0.00202-VERI_TABANI!$B$16), IF(ISNUMBER(SEARCH("Gri", D217)), VERI_TABANI!F28*(0.00202-VERI_TABANI!$B$17), 0))))</f>
        <v/>
      </c>
      <c r="I217" s="170">
        <f>IFERROR(((VERI_TABANI!$D$29*B217*VERI_TABANI!$B$14 + VERI_TABANI!$D$29*C217*VERI_TABANI!$B$15 + IF(ISNUMBER(SEARCH("Var", D217)), VERI_TABANI!$F$29*VERI_TABANI!$B$16, 0))) / (((VERI_TABANI!$D$29*B217 + VERI_TABANI!$D$29*C217)*VERI_TABANI!$B$13 + IF(ISNUMBER(SEARCH("Var", D217)), VERI_TABANI!$E$29*(1-0.928)*VERI_TABANI!$B$18, 0))), 0)</f>
        <v/>
      </c>
      <c r="J217" s="171">
        <f>IFERROR(F217/(G217/29), 0)</f>
        <v/>
      </c>
      <c r="K217" s="172">
        <f>IF(F217&gt;0, H217/F217, 0)</f>
        <v/>
      </c>
      <c r="L217" s="170">
        <f>IF(F217&gt;0, I217, 1000000000)</f>
        <v/>
      </c>
      <c r="M217" s="171">
        <f>ABS((B217+C217)-1)</f>
        <v/>
      </c>
      <c r="N217" s="170">
        <f>IF(F217&gt;0, (G217/29)/F217, 0)</f>
        <v/>
      </c>
      <c r="O217" s="168">
        <f>IF(AND((B217+C217)&gt;=1, ISNUMBER(SEARCH("Var", D217))), F217, 1000000000)</f>
        <v/>
      </c>
      <c r="P217" s="172">
        <f>IF(F217&gt;0, SQRT((F217/MAX(F$5:F$886))^2 + (1 - H217/MAX(H$5:H$886))^2 + (J217/MAX(J$5:J$886))^2), 1000000000)</f>
        <v/>
      </c>
      <c r="Q217" s="166">
        <f>IF(AND(ABS(B217-0.5)&lt;0.01, ABS(C217-0.5)&lt;0.01, ISNUMBER(SEARCH("Var", D217))), 1, 0)</f>
        <v/>
      </c>
      <c r="R217" s="171">
        <f>IF(F217&gt;0, J217, 1000000000)</f>
        <v/>
      </c>
      <c r="S217" s="101">
        <f>IF(AND(F217&lt;=DASHBOARD!$B$11, H217&gt;=DASHBOARD!$B$13), G217, -1000000000000)</f>
        <v/>
      </c>
      <c r="T217" s="101">
        <f>IF(AND(F217&lt;=DASHBOARD!$B$11, H217&gt;=DASHBOARD!$B$13), R217, 1000000000000)</f>
        <v/>
      </c>
      <c r="U217" s="101">
        <f>IF(AND(F217&lt;=DASHBOARD!$B$11, H217&gt;=DASHBOARD!$B$13), N217, -1000000000000)</f>
        <v/>
      </c>
      <c r="V217" s="101">
        <f>IF(AND(F217&lt;=DASHBOARD!$B$11, H217&gt;=DASHBOARD!$B$13), H217, -1000000000000)</f>
        <v/>
      </c>
      <c r="W217" s="101">
        <f>IF(AND(F217&lt;=DASHBOARD!$B$11, H217&gt;=DASHBOARD!$B$13), K217, -1000000000000)</f>
        <v/>
      </c>
      <c r="X217" s="101">
        <f>IF(AND(F217&lt;=DASHBOARD!$B$11, H217&gt;=DASHBOARD!$B$13), M217, 1000000000000)</f>
        <v/>
      </c>
      <c r="Y217" s="101">
        <f>IF(AND(F217&lt;=DASHBOARD!$B$10, H217&gt;=DASHBOARD!$B$11), L217, 1000000000000)</f>
        <v/>
      </c>
      <c r="Z217" s="101">
        <f>IF(AND(F217&lt;=DASHBOARD!$B$10, H217&gt;=DASHBOARD!$B$11), O217, 1000000000000)</f>
        <v/>
      </c>
      <c r="AA217" s="101">
        <f>IF(AND(F217&lt;=DASHBOARD!$B$10, H217&gt;=DASHBOARD!$B$11), P217, 1000000000000)</f>
        <v/>
      </c>
      <c r="AB217" s="101">
        <f>IF(AND(F217&lt;=DASHBOARD!$B$10, H217&gt;=DASHBOARD!$B$11), Q217, -1000000000000)</f>
        <v/>
      </c>
    </row>
    <row r="218" ht="15" customHeight="1" s="102">
      <c r="A218" s="166" t="n">
        <v>214</v>
      </c>
      <c r="B218" s="167" t="n">
        <v>0.5</v>
      </c>
      <c r="C218" s="167" t="n">
        <v>0.1</v>
      </c>
      <c r="D218" s="110" t="inlineStr">
        <is>
          <t>Var (%20)</t>
        </is>
      </c>
      <c r="E218" s="110">
        <f>IF((B218+C218)&lt;=1, "Tam Mahsuplaşma (≤%100)", "Kısmi Satış (&gt;%100)")</f>
        <v/>
      </c>
      <c r="F218" s="168">
        <f>((VERI_TABANI!$D$29*B218/VERI_TABANI!$B$29)/VERI_TABANI!$B$3)*VERI_TABANI!$B$5 + ((VERI_TABANI!$D$29*C218/VERI_TABANI!$B$29)/VERI_TABANI!$B$4)*VERI_TABANI!$B$6 + IF(ISNUMBER(SEARCH("Var", D218)), (VERI_TABANI!$F$29/VERI_TABANI!$B$29)*(VERI_TABANI!$B$10+VERI_TABANI!$B$12), 0)</f>
        <v/>
      </c>
      <c r="G218" s="168">
        <f>(((MIN(VERI_TABANI!D23, VERI_TABANI!D23*B218)*VERI_TABANI!$B$7 + MAX(0, VERI_TABANI!D23*B218-VERI_TABANI!D23)*VERI_TABANI!$B$8) + (MIN(MAX(0, VERI_TABANI!D23-VERI_TABANI!D23*B218), VERI_TABANI!D23*C218)*VERI_TABANI!$B$7 + MAX(0, VERI_TABANI!D23*C218-MAX(0, VERI_TABANI!D23-VERI_TABANI!D23*B218))*VERI_TABANI!$B$8) + IF(ABS(IF(ISNUMBER(SEARCH("Var", D218)), 1, IF(ISNUMBER(SEARCH("Gri", D218)), -1, 0)))=1, VERI_TABANI!E23*(1-0.928)*VERI_TABANI!$B$9, 0) + (VERI_TABANI!D23*B218*(VERI_TABANI!$B$13-VERI_TABANI!$B$14)*VERI_TABANI!G23) + (VERI_TABANI!D23*C218*(VERI_TABANI!$B$13-VERI_TABANI!$B$15)*VERI_TABANI!G23) + IF(ABS(IF(ISNUMBER(SEARCH("Var", D218)), 1, IF(ISNUMBER(SEARCH("Gri", D218)), -1, 0)))=1, VERI_TABANI!E23*(1-0.928)*0.00206091519919798*VERI_TABANI!G23, 0)) + ((MIN(VERI_TABANI!D24, VERI_TABANI!D24*B218)*VERI_TABANI!$B$7 + MAX(0, VERI_TABANI!D24*B218-VERI_TABANI!D24)*VERI_TABANI!$B$8) + (MIN(MAX(0, VERI_TABANI!D24-VERI_TABANI!D24*B218), VERI_TABANI!D24*C218)*VERI_TABANI!$B$7 + MAX(0, VERI_TABANI!D24*C218-MAX(0, VERI_TABANI!D24-VERI_TABANI!D24*B218))*VERI_TABANI!$B$8) + IF(ABS(IF(ISNUMBER(SEARCH("Var", D218)), 1, IF(ISNUMBER(SEARCH("Gri", D218)), -1, 0)))=1, VERI_TABANI!E24*(1-0.928)*VERI_TABANI!$B$9, 0) + (VERI_TABANI!D24*B218*(VERI_TABANI!$B$13-VERI_TABANI!$B$14)*VERI_TABANI!G24) + (VERI_TABANI!D24*C218*(VERI_TABANI!$B$13-VERI_TABANI!$B$15)*VERI_TABANI!G24) + IF(ABS(IF(ISNUMBER(SEARCH("Var", D218)), 1, IF(ISNUMBER(SEARCH("Gri", D218)), -1, 0)))=1, VERI_TABANI!E24*(1-0.928)*0.00206091519919798*VERI_TABANI!G24, 0)) + ((MIN(VERI_TABANI!D25, VERI_TABANI!D25*B218)*VERI_TABANI!$B$7 + MAX(0, VERI_TABANI!D25*B218-VERI_TABANI!D25)*VERI_TABANI!$B$8) + (MIN(MAX(0, VERI_TABANI!D25-VERI_TABANI!D25*B218), VERI_TABANI!D25*C218)*VERI_TABANI!$B$7 + MAX(0, VERI_TABANI!D25*C218-MAX(0, VERI_TABANI!D25-VERI_TABANI!D25*B218))*VERI_TABANI!$B$8) + IF(ABS(IF(ISNUMBER(SEARCH("Var", D218)), 1, IF(ISNUMBER(SEARCH("Gri", D218)), -1, 0)))=1, VERI_TABANI!E25*(1-0.928)*VERI_TABANI!$B$9, 0) + (VERI_TABANI!D25*B218*(VERI_TABANI!$B$13-VERI_TABANI!$B$14)*VERI_TABANI!G25) + (VERI_TABANI!D25*C218*(VERI_TABANI!$B$13-VERI_TABANI!$B$15)*VERI_TABANI!G25) + IF(ABS(IF(ISNUMBER(SEARCH("Var", D218)), 1, IF(ISNUMBER(SEARCH("Gri", D218)), -1, 0)))=1, VERI_TABANI!E25*(1-0.928)*0.00206091519919798*VERI_TABANI!G25, 0)) + ((MIN(VERI_TABANI!D26, VERI_TABANI!D26*B218)*VERI_TABANI!$B$7 + MAX(0, VERI_TABANI!D26*B218-VERI_TABANI!D26)*VERI_TABANI!$B$8) + (MIN(MAX(0, VERI_TABANI!D26-VERI_TABANI!D26*B218), VERI_TABANI!D26*C218)*VERI_TABANI!$B$7 + MAX(0, VERI_TABANI!D26*C218-MAX(0, VERI_TABANI!D26-VERI_TABANI!D26*B218))*VERI_TABANI!$B$8) + IF(ABS(IF(ISNUMBER(SEARCH("Var", D218)), 1, IF(ISNUMBER(SEARCH("Gri", D218)), -1, 0)))=1, VERI_TABANI!E26*(1-0.928)*VERI_TABANI!$B$9, 0) + (VERI_TABANI!D26*B218*(VERI_TABANI!$B$13-VERI_TABANI!$B$14)*VERI_TABANI!G26) + (VERI_TABANI!D26*C218*(VERI_TABANI!$B$13-VERI_TABANI!$B$15)*VERI_TABANI!G26) + IF(ABS(IF(ISNUMBER(SEARCH("Var", D218)), 1, IF(ISNUMBER(SEARCH("Gri", D218)), -1, 0)))=1, VERI_TABANI!E26*(1-0.928)*0.00206091519919798*VERI_TABANI!G26, 0)) + ((MIN(VERI_TABANI!D27, VERI_TABANI!D27*B218)*VERI_TABANI!$B$7 + MAX(0, VERI_TABANI!D27*B218-VERI_TABANI!D27)*VERI_TABANI!$B$8) + (MIN(MAX(0, VERI_TABANI!D27-VERI_TABANI!D27*B218), VERI_TABANI!D27*C218)*VERI_TABANI!$B$7 + MAX(0, VERI_TABANI!D27*C218-MAX(0, VERI_TABANI!D27-VERI_TABANI!D27*B218))*VERI_TABANI!$B$8) + IF(ABS(IF(ISNUMBER(SEARCH("Var", D218)), 1, IF(ISNUMBER(SEARCH("Gri", D218)), -1, 0)))=1, VERI_TABANI!E27*(1-0.928)*VERI_TABANI!$B$9, 0) + (VERI_TABANI!D27*B218*(VERI_TABANI!$B$13-VERI_TABANI!$B$14)*VERI_TABANI!G27) + (VERI_TABANI!D27*C218*(VERI_TABANI!$B$13-VERI_TABANI!$B$15)*VERI_TABANI!G27) + IF(ABS(IF(ISNUMBER(SEARCH("Var", D218)), 1, IF(ISNUMBER(SEARCH("Gri", D218)), -1, 0)))=1, VERI_TABANI!E27*(1-0.928)*0.00206091519919798*VERI_TABANI!G27, 0)) + ((MIN(VERI_TABANI!D28, VERI_TABANI!D28*B218)*VERI_TABANI!$B$7 + MAX(0, VERI_TABANI!D28*B218-VERI_TABANI!D28)*VERI_TABANI!$B$8) + (MIN(MAX(0, VERI_TABANI!D28-VERI_TABANI!D28*B218), VERI_TABANI!D28*C218)*VERI_TABANI!$B$7 + MAX(0, VERI_TABANI!D28*C218-MAX(0, VERI_TABANI!D28-VERI_TABANI!D28*B218))*VERI_TABANI!$B$8) + IF(ABS(IF(ISNUMBER(SEARCH("Var", D218)), 1, IF(ISNUMBER(SEARCH("Gri", D218)), -1, 0)))=1, VERI_TABANI!E28*(1-0.928)*VERI_TABANI!$B$9, 0) + (VERI_TABANI!D28*B218*(VERI_TABANI!$B$13-VERI_TABANI!$B$14)*VERI_TABANI!G28) + (VERI_TABANI!D28*C218*(VERI_TABANI!$B$13-VERI_TABANI!$B$15)*VERI_TABANI!G28) + IF(ABS(IF(ISNUMBER(SEARCH("Var", D218)), 1, IF(ISNUMBER(SEARCH("Gri", D218)), -1, 0)))=1, VERI_TABANI!E28*(1-0.928)*0.00206091519919798*VERI_TABANI!G28, 0)))</f>
        <v/>
      </c>
      <c r="H218" s="169">
        <f>(((VERI_TABANI!D23*B218*(VERI_TABANI!$B$13-VERI_TABANI!$B$14)) + (VERI_TABANI!D23*C218*(VERI_TABANI!$B$13-VERI_TABANI!$B$15)) + IF(ISNUMBER(SEARCH("Var", D218)), VERI_TABANI!F23*(0.00202-VERI_TABANI!$B$16), IF(ISNUMBER(SEARCH("Gri", D218)), VERI_TABANI!F23*(0.00202-VERI_TABANI!$B$17), 0))) + ((VERI_TABANI!D24*B218*(VERI_TABANI!$B$13-VERI_TABANI!$B$14)) + (VERI_TABANI!D24*C218*(VERI_TABANI!$B$13-VERI_TABANI!$B$15)) + IF(ISNUMBER(SEARCH("Var", D218)), VERI_TABANI!F24*(0.00202-VERI_TABANI!$B$16), IF(ISNUMBER(SEARCH("Gri", D218)), VERI_TABANI!F24*(0.00202-VERI_TABANI!$B$17), 0))) + ((VERI_TABANI!D25*B218*(VERI_TABANI!$B$13-VERI_TABANI!$B$14)) + (VERI_TABANI!D25*C218*(VERI_TABANI!$B$13-VERI_TABANI!$B$15)) + IF(ISNUMBER(SEARCH("Var", D218)), VERI_TABANI!F25*(0.00202-VERI_TABANI!$B$16), IF(ISNUMBER(SEARCH("Gri", D218)), VERI_TABANI!F25*(0.00202-VERI_TABANI!$B$17), 0))) + ((VERI_TABANI!D26*B218*(VERI_TABANI!$B$13-VERI_TABANI!$B$14)) + (VERI_TABANI!D26*C218*(VERI_TABANI!$B$13-VERI_TABANI!$B$15)) + IF(ISNUMBER(SEARCH("Var", D218)), VERI_TABANI!F26*(0.00202-VERI_TABANI!$B$16), IF(ISNUMBER(SEARCH("Gri", D218)), VERI_TABANI!F26*(0.00202-VERI_TABANI!$B$17), 0))) + ((VERI_TABANI!D27*B218*(VERI_TABANI!$B$13-VERI_TABANI!$B$14)) + (VERI_TABANI!D27*C218*(VERI_TABANI!$B$13-VERI_TABANI!$B$15)) + IF(ISNUMBER(SEARCH("Var", D218)), VERI_TABANI!F27*(0.00202-VERI_TABANI!$B$16), IF(ISNUMBER(SEARCH("Gri", D218)), VERI_TABANI!F27*(0.00202-VERI_TABANI!$B$17), 0))) + ((VERI_TABANI!D28*B218*(VERI_TABANI!$B$13-VERI_TABANI!$B$14)) + (VERI_TABANI!D28*C218*(VERI_TABANI!$B$13-VERI_TABANI!$B$15)) + IF(ISNUMBER(SEARCH("Var", D218)), VERI_TABANI!F28*(0.00202-VERI_TABANI!$B$16), IF(ISNUMBER(SEARCH("Gri", D218)), VERI_TABANI!F28*(0.00202-VERI_TABANI!$B$17), 0))))</f>
        <v/>
      </c>
      <c r="I218" s="170">
        <f>IFERROR(((VERI_TABANI!$D$29*B218*VERI_TABANI!$B$14 + VERI_TABANI!$D$29*C218*VERI_TABANI!$B$15 + IF(ISNUMBER(SEARCH("Var", D218)), VERI_TABANI!$F$29*VERI_TABANI!$B$16, 0))) / (((VERI_TABANI!$D$29*B218 + VERI_TABANI!$D$29*C218)*VERI_TABANI!$B$13 + IF(ISNUMBER(SEARCH("Var", D218)), VERI_TABANI!$E$29*(1-0.928)*VERI_TABANI!$B$18, 0))), 0)</f>
        <v/>
      </c>
      <c r="J218" s="171">
        <f>IFERROR(F218/(G218/29), 0)</f>
        <v/>
      </c>
      <c r="K218" s="172">
        <f>IF(F218&gt;0, H218/F218, 0)</f>
        <v/>
      </c>
      <c r="L218" s="170">
        <f>IF(F218&gt;0, I218, 1000000000)</f>
        <v/>
      </c>
      <c r="M218" s="171">
        <f>ABS((B218+C218)-1)</f>
        <v/>
      </c>
      <c r="N218" s="170">
        <f>IF(F218&gt;0, (G218/29)/F218, 0)</f>
        <v/>
      </c>
      <c r="O218" s="168">
        <f>IF(AND((B218+C218)&gt;=1, ISNUMBER(SEARCH("Var", D218))), F218, 1000000000)</f>
        <v/>
      </c>
      <c r="P218" s="172">
        <f>IF(F218&gt;0, SQRT((F218/MAX(F$5:F$886))^2 + (1 - H218/MAX(H$5:H$886))^2 + (J218/MAX(J$5:J$886))^2), 1000000000)</f>
        <v/>
      </c>
      <c r="Q218" s="166">
        <f>IF(AND(ABS(B218-0.5)&lt;0.01, ABS(C218-0.5)&lt;0.01, ISNUMBER(SEARCH("Var", D218))), 1, 0)</f>
        <v/>
      </c>
      <c r="R218" s="171">
        <f>IF(F218&gt;0, J218, 1000000000)</f>
        <v/>
      </c>
      <c r="S218" s="101">
        <f>IF(AND(F218&lt;=DASHBOARD!$B$11, H218&gt;=DASHBOARD!$B$13), G218, -1000000000000)</f>
        <v/>
      </c>
      <c r="T218" s="101">
        <f>IF(AND(F218&lt;=DASHBOARD!$B$11, H218&gt;=DASHBOARD!$B$13), R218, 1000000000000)</f>
        <v/>
      </c>
      <c r="U218" s="101">
        <f>IF(AND(F218&lt;=DASHBOARD!$B$11, H218&gt;=DASHBOARD!$B$13), N218, -1000000000000)</f>
        <v/>
      </c>
      <c r="V218" s="101">
        <f>IF(AND(F218&lt;=DASHBOARD!$B$11, H218&gt;=DASHBOARD!$B$13), H218, -1000000000000)</f>
        <v/>
      </c>
      <c r="W218" s="101">
        <f>IF(AND(F218&lt;=DASHBOARD!$B$11, H218&gt;=DASHBOARD!$B$13), K218, -1000000000000)</f>
        <v/>
      </c>
      <c r="X218" s="101">
        <f>IF(AND(F218&lt;=DASHBOARD!$B$11, H218&gt;=DASHBOARD!$B$13), M218, 1000000000000)</f>
        <v/>
      </c>
      <c r="Y218" s="101">
        <f>IF(AND(F218&lt;=DASHBOARD!$B$10, H218&gt;=DASHBOARD!$B$11), L218, 1000000000000)</f>
        <v/>
      </c>
      <c r="Z218" s="101">
        <f>IF(AND(F218&lt;=DASHBOARD!$B$10, H218&gt;=DASHBOARD!$B$11), O218, 1000000000000)</f>
        <v/>
      </c>
      <c r="AA218" s="101">
        <f>IF(AND(F218&lt;=DASHBOARD!$B$10, H218&gt;=DASHBOARD!$B$11), P218, 1000000000000)</f>
        <v/>
      </c>
      <c r="AB218" s="101">
        <f>IF(AND(F218&lt;=DASHBOARD!$B$10, H218&gt;=DASHBOARD!$B$11), Q218, -1000000000000)</f>
        <v/>
      </c>
    </row>
    <row r="219" ht="15" customHeight="1" s="102">
      <c r="A219" s="166" t="n">
        <v>215</v>
      </c>
      <c r="B219" s="167" t="n">
        <v>0.5</v>
      </c>
      <c r="C219" s="167" t="n">
        <v>0.2</v>
      </c>
      <c r="D219" s="110" t="inlineStr">
        <is>
          <t>Yok (%0)</t>
        </is>
      </c>
      <c r="E219" s="110">
        <f>IF((B219+C219)&lt;=1, "Tam Mahsuplaşma (≤%100)", "Kısmi Satış (&gt;%100)")</f>
        <v/>
      </c>
      <c r="F219" s="168">
        <f>((VERI_TABANI!$D$29*B219/VERI_TABANI!$B$29)/VERI_TABANI!$B$3)*VERI_TABANI!$B$5 + ((VERI_TABANI!$D$29*C219/VERI_TABANI!$B$29)/VERI_TABANI!$B$4)*VERI_TABANI!$B$6 + IF(ISNUMBER(SEARCH("Var", D219)), (VERI_TABANI!$F$29/VERI_TABANI!$B$29)*(VERI_TABANI!$B$10+VERI_TABANI!$B$12), 0)</f>
        <v/>
      </c>
      <c r="G219" s="168">
        <f>(((MIN(VERI_TABANI!D23, VERI_TABANI!D23*B219)*VERI_TABANI!$B$7 + MAX(0, VERI_TABANI!D23*B219-VERI_TABANI!D23)*VERI_TABANI!$B$8) + (MIN(MAX(0, VERI_TABANI!D23-VERI_TABANI!D23*B219), VERI_TABANI!D23*C219)*VERI_TABANI!$B$7 + MAX(0, VERI_TABANI!D23*C219-MAX(0, VERI_TABANI!D23-VERI_TABANI!D23*B219))*VERI_TABANI!$B$8) + IF(ABS(IF(ISNUMBER(SEARCH("Var", D219)), 1, IF(ISNUMBER(SEARCH("Gri", D219)), -1, 0)))=1, VERI_TABANI!E23*(1-0.928)*VERI_TABANI!$B$9, 0) + (VERI_TABANI!D23*B219*(VERI_TABANI!$B$13-VERI_TABANI!$B$14)*VERI_TABANI!G23) + (VERI_TABANI!D23*C219*(VERI_TABANI!$B$13-VERI_TABANI!$B$15)*VERI_TABANI!G23) + IF(ABS(IF(ISNUMBER(SEARCH("Var", D219)), 1, IF(ISNUMBER(SEARCH("Gri", D219)), -1, 0)))=1, VERI_TABANI!E23*(1-0.928)*0.00206091519919798*VERI_TABANI!G23, 0)) + ((MIN(VERI_TABANI!D24, VERI_TABANI!D24*B219)*VERI_TABANI!$B$7 + MAX(0, VERI_TABANI!D24*B219-VERI_TABANI!D24)*VERI_TABANI!$B$8) + (MIN(MAX(0, VERI_TABANI!D24-VERI_TABANI!D24*B219), VERI_TABANI!D24*C219)*VERI_TABANI!$B$7 + MAX(0, VERI_TABANI!D24*C219-MAX(0, VERI_TABANI!D24-VERI_TABANI!D24*B219))*VERI_TABANI!$B$8) + IF(ABS(IF(ISNUMBER(SEARCH("Var", D219)), 1, IF(ISNUMBER(SEARCH("Gri", D219)), -1, 0)))=1, VERI_TABANI!E24*(1-0.928)*VERI_TABANI!$B$9, 0) + (VERI_TABANI!D24*B219*(VERI_TABANI!$B$13-VERI_TABANI!$B$14)*VERI_TABANI!G24) + (VERI_TABANI!D24*C219*(VERI_TABANI!$B$13-VERI_TABANI!$B$15)*VERI_TABANI!G24) + IF(ABS(IF(ISNUMBER(SEARCH("Var", D219)), 1, IF(ISNUMBER(SEARCH("Gri", D219)), -1, 0)))=1, VERI_TABANI!E24*(1-0.928)*0.00206091519919798*VERI_TABANI!G24, 0)) + ((MIN(VERI_TABANI!D25, VERI_TABANI!D25*B219)*VERI_TABANI!$B$7 + MAX(0, VERI_TABANI!D25*B219-VERI_TABANI!D25)*VERI_TABANI!$B$8) + (MIN(MAX(0, VERI_TABANI!D25-VERI_TABANI!D25*B219), VERI_TABANI!D25*C219)*VERI_TABANI!$B$7 + MAX(0, VERI_TABANI!D25*C219-MAX(0, VERI_TABANI!D25-VERI_TABANI!D25*B219))*VERI_TABANI!$B$8) + IF(ABS(IF(ISNUMBER(SEARCH("Var", D219)), 1, IF(ISNUMBER(SEARCH("Gri", D219)), -1, 0)))=1, VERI_TABANI!E25*(1-0.928)*VERI_TABANI!$B$9, 0) + (VERI_TABANI!D25*B219*(VERI_TABANI!$B$13-VERI_TABANI!$B$14)*VERI_TABANI!G25) + (VERI_TABANI!D25*C219*(VERI_TABANI!$B$13-VERI_TABANI!$B$15)*VERI_TABANI!G25) + IF(ABS(IF(ISNUMBER(SEARCH("Var", D219)), 1, IF(ISNUMBER(SEARCH("Gri", D219)), -1, 0)))=1, VERI_TABANI!E25*(1-0.928)*0.00206091519919798*VERI_TABANI!G25, 0)) + ((MIN(VERI_TABANI!D26, VERI_TABANI!D26*B219)*VERI_TABANI!$B$7 + MAX(0, VERI_TABANI!D26*B219-VERI_TABANI!D26)*VERI_TABANI!$B$8) + (MIN(MAX(0, VERI_TABANI!D26-VERI_TABANI!D26*B219), VERI_TABANI!D26*C219)*VERI_TABANI!$B$7 + MAX(0, VERI_TABANI!D26*C219-MAX(0, VERI_TABANI!D26-VERI_TABANI!D26*B219))*VERI_TABANI!$B$8) + IF(ABS(IF(ISNUMBER(SEARCH("Var", D219)), 1, IF(ISNUMBER(SEARCH("Gri", D219)), -1, 0)))=1, VERI_TABANI!E26*(1-0.928)*VERI_TABANI!$B$9, 0) + (VERI_TABANI!D26*B219*(VERI_TABANI!$B$13-VERI_TABANI!$B$14)*VERI_TABANI!G26) + (VERI_TABANI!D26*C219*(VERI_TABANI!$B$13-VERI_TABANI!$B$15)*VERI_TABANI!G26) + IF(ABS(IF(ISNUMBER(SEARCH("Var", D219)), 1, IF(ISNUMBER(SEARCH("Gri", D219)), -1, 0)))=1, VERI_TABANI!E26*(1-0.928)*0.00206091519919798*VERI_TABANI!G26, 0)) + ((MIN(VERI_TABANI!D27, VERI_TABANI!D27*B219)*VERI_TABANI!$B$7 + MAX(0, VERI_TABANI!D27*B219-VERI_TABANI!D27)*VERI_TABANI!$B$8) + (MIN(MAX(0, VERI_TABANI!D27-VERI_TABANI!D27*B219), VERI_TABANI!D27*C219)*VERI_TABANI!$B$7 + MAX(0, VERI_TABANI!D27*C219-MAX(0, VERI_TABANI!D27-VERI_TABANI!D27*B219))*VERI_TABANI!$B$8) + IF(ABS(IF(ISNUMBER(SEARCH("Var", D219)), 1, IF(ISNUMBER(SEARCH("Gri", D219)), -1, 0)))=1, VERI_TABANI!E27*(1-0.928)*VERI_TABANI!$B$9, 0) + (VERI_TABANI!D27*B219*(VERI_TABANI!$B$13-VERI_TABANI!$B$14)*VERI_TABANI!G27) + (VERI_TABANI!D27*C219*(VERI_TABANI!$B$13-VERI_TABANI!$B$15)*VERI_TABANI!G27) + IF(ABS(IF(ISNUMBER(SEARCH("Var", D219)), 1, IF(ISNUMBER(SEARCH("Gri", D219)), -1, 0)))=1, VERI_TABANI!E27*(1-0.928)*0.00206091519919798*VERI_TABANI!G27, 0)) + ((MIN(VERI_TABANI!D28, VERI_TABANI!D28*B219)*VERI_TABANI!$B$7 + MAX(0, VERI_TABANI!D28*B219-VERI_TABANI!D28)*VERI_TABANI!$B$8) + (MIN(MAX(0, VERI_TABANI!D28-VERI_TABANI!D28*B219), VERI_TABANI!D28*C219)*VERI_TABANI!$B$7 + MAX(0, VERI_TABANI!D28*C219-MAX(0, VERI_TABANI!D28-VERI_TABANI!D28*B219))*VERI_TABANI!$B$8) + IF(ABS(IF(ISNUMBER(SEARCH("Var", D219)), 1, IF(ISNUMBER(SEARCH("Gri", D219)), -1, 0)))=1, VERI_TABANI!E28*(1-0.928)*VERI_TABANI!$B$9, 0) + (VERI_TABANI!D28*B219*(VERI_TABANI!$B$13-VERI_TABANI!$B$14)*VERI_TABANI!G28) + (VERI_TABANI!D28*C219*(VERI_TABANI!$B$13-VERI_TABANI!$B$15)*VERI_TABANI!G28) + IF(ABS(IF(ISNUMBER(SEARCH("Var", D219)), 1, IF(ISNUMBER(SEARCH("Gri", D219)), -1, 0)))=1, VERI_TABANI!E28*(1-0.928)*0.00206091519919798*VERI_TABANI!G28, 0)))</f>
        <v/>
      </c>
      <c r="H219" s="169">
        <f>(((VERI_TABANI!D23*B219*(VERI_TABANI!$B$13-VERI_TABANI!$B$14)) + (VERI_TABANI!D23*C219*(VERI_TABANI!$B$13-VERI_TABANI!$B$15)) + IF(ISNUMBER(SEARCH("Var", D219)), VERI_TABANI!F23*(0.00202-VERI_TABANI!$B$16), IF(ISNUMBER(SEARCH("Gri", D219)), VERI_TABANI!F23*(0.00202-VERI_TABANI!$B$17), 0))) + ((VERI_TABANI!D24*B219*(VERI_TABANI!$B$13-VERI_TABANI!$B$14)) + (VERI_TABANI!D24*C219*(VERI_TABANI!$B$13-VERI_TABANI!$B$15)) + IF(ISNUMBER(SEARCH("Var", D219)), VERI_TABANI!F24*(0.00202-VERI_TABANI!$B$16), IF(ISNUMBER(SEARCH("Gri", D219)), VERI_TABANI!F24*(0.00202-VERI_TABANI!$B$17), 0))) + ((VERI_TABANI!D25*B219*(VERI_TABANI!$B$13-VERI_TABANI!$B$14)) + (VERI_TABANI!D25*C219*(VERI_TABANI!$B$13-VERI_TABANI!$B$15)) + IF(ISNUMBER(SEARCH("Var", D219)), VERI_TABANI!F25*(0.00202-VERI_TABANI!$B$16), IF(ISNUMBER(SEARCH("Gri", D219)), VERI_TABANI!F25*(0.00202-VERI_TABANI!$B$17), 0))) + ((VERI_TABANI!D26*B219*(VERI_TABANI!$B$13-VERI_TABANI!$B$14)) + (VERI_TABANI!D26*C219*(VERI_TABANI!$B$13-VERI_TABANI!$B$15)) + IF(ISNUMBER(SEARCH("Var", D219)), VERI_TABANI!F26*(0.00202-VERI_TABANI!$B$16), IF(ISNUMBER(SEARCH("Gri", D219)), VERI_TABANI!F26*(0.00202-VERI_TABANI!$B$17), 0))) + ((VERI_TABANI!D27*B219*(VERI_TABANI!$B$13-VERI_TABANI!$B$14)) + (VERI_TABANI!D27*C219*(VERI_TABANI!$B$13-VERI_TABANI!$B$15)) + IF(ISNUMBER(SEARCH("Var", D219)), VERI_TABANI!F27*(0.00202-VERI_TABANI!$B$16), IF(ISNUMBER(SEARCH("Gri", D219)), VERI_TABANI!F27*(0.00202-VERI_TABANI!$B$17), 0))) + ((VERI_TABANI!D28*B219*(VERI_TABANI!$B$13-VERI_TABANI!$B$14)) + (VERI_TABANI!D28*C219*(VERI_TABANI!$B$13-VERI_TABANI!$B$15)) + IF(ISNUMBER(SEARCH("Var", D219)), VERI_TABANI!F28*(0.00202-VERI_TABANI!$B$16), IF(ISNUMBER(SEARCH("Gri", D219)), VERI_TABANI!F28*(0.00202-VERI_TABANI!$B$17), 0))))</f>
        <v/>
      </c>
      <c r="I219" s="170">
        <f>IFERROR(((VERI_TABANI!$D$29*B219*VERI_TABANI!$B$14 + VERI_TABANI!$D$29*C219*VERI_TABANI!$B$15 + IF(ISNUMBER(SEARCH("Var", D219)), VERI_TABANI!$F$29*VERI_TABANI!$B$16, 0))) / (((VERI_TABANI!$D$29*B219 + VERI_TABANI!$D$29*C219)*VERI_TABANI!$B$13 + IF(ISNUMBER(SEARCH("Var", D219)), VERI_TABANI!$E$29*(1-0.928)*VERI_TABANI!$B$18, 0))), 0)</f>
        <v/>
      </c>
      <c r="J219" s="171">
        <f>IFERROR(F219/(G219/29), 0)</f>
        <v/>
      </c>
      <c r="K219" s="172">
        <f>IF(F219&gt;0, H219/F219, 0)</f>
        <v/>
      </c>
      <c r="L219" s="170">
        <f>IF(F219&gt;0, I219, 1000000000)</f>
        <v/>
      </c>
      <c r="M219" s="171">
        <f>ABS((B219+C219)-1)</f>
        <v/>
      </c>
      <c r="N219" s="170">
        <f>IF(F219&gt;0, (G219/29)/F219, 0)</f>
        <v/>
      </c>
      <c r="O219" s="168">
        <f>IF(AND((B219+C219)&gt;=1, ISNUMBER(SEARCH("Var", D219))), F219, 1000000000)</f>
        <v/>
      </c>
      <c r="P219" s="172">
        <f>IF(F219&gt;0, SQRT((F219/MAX(F$5:F$886))^2 + (1 - H219/MAX(H$5:H$886))^2 + (J219/MAX(J$5:J$886))^2), 1000000000)</f>
        <v/>
      </c>
      <c r="Q219" s="166">
        <f>IF(AND(ABS(B219-0.5)&lt;0.01, ABS(C219-0.5)&lt;0.01, ISNUMBER(SEARCH("Var", D219))), 1, 0)</f>
        <v/>
      </c>
      <c r="R219" s="171">
        <f>IF(F219&gt;0, J219, 1000000000)</f>
        <v/>
      </c>
      <c r="S219" s="101">
        <f>IF(AND(F219&lt;=DASHBOARD!$B$11, H219&gt;=DASHBOARD!$B$13), G219, -1000000000000)</f>
        <v/>
      </c>
      <c r="T219" s="101">
        <f>IF(AND(F219&lt;=DASHBOARD!$B$11, H219&gt;=DASHBOARD!$B$13), R219, 1000000000000)</f>
        <v/>
      </c>
      <c r="U219" s="101">
        <f>IF(AND(F219&lt;=DASHBOARD!$B$11, H219&gt;=DASHBOARD!$B$13), N219, -1000000000000)</f>
        <v/>
      </c>
      <c r="V219" s="101">
        <f>IF(AND(F219&lt;=DASHBOARD!$B$11, H219&gt;=DASHBOARD!$B$13), H219, -1000000000000)</f>
        <v/>
      </c>
      <c r="W219" s="101">
        <f>IF(AND(F219&lt;=DASHBOARD!$B$11, H219&gt;=DASHBOARD!$B$13), K219, -1000000000000)</f>
        <v/>
      </c>
      <c r="X219" s="101">
        <f>IF(AND(F219&lt;=DASHBOARD!$B$11, H219&gt;=DASHBOARD!$B$13), M219, 1000000000000)</f>
        <v/>
      </c>
      <c r="Y219" s="101">
        <f>IF(AND(F219&lt;=DASHBOARD!$B$10, H219&gt;=DASHBOARD!$B$11), L219, 1000000000000)</f>
        <v/>
      </c>
      <c r="Z219" s="101">
        <f>IF(AND(F219&lt;=DASHBOARD!$B$10, H219&gt;=DASHBOARD!$B$11), O219, 1000000000000)</f>
        <v/>
      </c>
      <c r="AA219" s="101">
        <f>IF(AND(F219&lt;=DASHBOARD!$B$10, H219&gt;=DASHBOARD!$B$11), P219, 1000000000000)</f>
        <v/>
      </c>
      <c r="AB219" s="101">
        <f>IF(AND(F219&lt;=DASHBOARD!$B$10, H219&gt;=DASHBOARD!$B$11), Q219, -1000000000000)</f>
        <v/>
      </c>
    </row>
    <row r="220" ht="15" customHeight="1" s="102">
      <c r="A220" s="166" t="n">
        <v>216</v>
      </c>
      <c r="B220" s="167" t="n">
        <v>0.5</v>
      </c>
      <c r="C220" s="167" t="n">
        <v>0.2</v>
      </c>
      <c r="D220" s="110" t="inlineStr">
        <is>
          <t>Var (%20)</t>
        </is>
      </c>
      <c r="E220" s="110">
        <f>IF((B220+C220)&lt;=1, "Tam Mahsuplaşma (≤%100)", "Kısmi Satış (&gt;%100)")</f>
        <v/>
      </c>
      <c r="F220" s="168">
        <f>((VERI_TABANI!$D$29*B220/VERI_TABANI!$B$29)/VERI_TABANI!$B$3)*VERI_TABANI!$B$5 + ((VERI_TABANI!$D$29*C220/VERI_TABANI!$B$29)/VERI_TABANI!$B$4)*VERI_TABANI!$B$6 + IF(ISNUMBER(SEARCH("Var", D220)), (VERI_TABANI!$F$29/VERI_TABANI!$B$29)*(VERI_TABANI!$B$10+VERI_TABANI!$B$12), 0)</f>
        <v/>
      </c>
      <c r="G220" s="168">
        <f>(((MIN(VERI_TABANI!D23, VERI_TABANI!D23*B220)*VERI_TABANI!$B$7 + MAX(0, VERI_TABANI!D23*B220-VERI_TABANI!D23)*VERI_TABANI!$B$8) + (MIN(MAX(0, VERI_TABANI!D23-VERI_TABANI!D23*B220), VERI_TABANI!D23*C220)*VERI_TABANI!$B$7 + MAX(0, VERI_TABANI!D23*C220-MAX(0, VERI_TABANI!D23-VERI_TABANI!D23*B220))*VERI_TABANI!$B$8) + IF(ABS(IF(ISNUMBER(SEARCH("Var", D220)), 1, IF(ISNUMBER(SEARCH("Gri", D220)), -1, 0)))=1, VERI_TABANI!E23*(1-0.928)*VERI_TABANI!$B$9, 0) + (VERI_TABANI!D23*B220*(VERI_TABANI!$B$13-VERI_TABANI!$B$14)*VERI_TABANI!G23) + (VERI_TABANI!D23*C220*(VERI_TABANI!$B$13-VERI_TABANI!$B$15)*VERI_TABANI!G23) + IF(ABS(IF(ISNUMBER(SEARCH("Var", D220)), 1, IF(ISNUMBER(SEARCH("Gri", D220)), -1, 0)))=1, VERI_TABANI!E23*(1-0.928)*0.00206091519919798*VERI_TABANI!G23, 0)) + ((MIN(VERI_TABANI!D24, VERI_TABANI!D24*B220)*VERI_TABANI!$B$7 + MAX(0, VERI_TABANI!D24*B220-VERI_TABANI!D24)*VERI_TABANI!$B$8) + (MIN(MAX(0, VERI_TABANI!D24-VERI_TABANI!D24*B220), VERI_TABANI!D24*C220)*VERI_TABANI!$B$7 + MAX(0, VERI_TABANI!D24*C220-MAX(0, VERI_TABANI!D24-VERI_TABANI!D24*B220))*VERI_TABANI!$B$8) + IF(ABS(IF(ISNUMBER(SEARCH("Var", D220)), 1, IF(ISNUMBER(SEARCH("Gri", D220)), -1, 0)))=1, VERI_TABANI!E24*(1-0.928)*VERI_TABANI!$B$9, 0) + (VERI_TABANI!D24*B220*(VERI_TABANI!$B$13-VERI_TABANI!$B$14)*VERI_TABANI!G24) + (VERI_TABANI!D24*C220*(VERI_TABANI!$B$13-VERI_TABANI!$B$15)*VERI_TABANI!G24) + IF(ABS(IF(ISNUMBER(SEARCH("Var", D220)), 1, IF(ISNUMBER(SEARCH("Gri", D220)), -1, 0)))=1, VERI_TABANI!E24*(1-0.928)*0.00206091519919798*VERI_TABANI!G24, 0)) + ((MIN(VERI_TABANI!D25, VERI_TABANI!D25*B220)*VERI_TABANI!$B$7 + MAX(0, VERI_TABANI!D25*B220-VERI_TABANI!D25)*VERI_TABANI!$B$8) + (MIN(MAX(0, VERI_TABANI!D25-VERI_TABANI!D25*B220), VERI_TABANI!D25*C220)*VERI_TABANI!$B$7 + MAX(0, VERI_TABANI!D25*C220-MAX(0, VERI_TABANI!D25-VERI_TABANI!D25*B220))*VERI_TABANI!$B$8) + IF(ABS(IF(ISNUMBER(SEARCH("Var", D220)), 1, IF(ISNUMBER(SEARCH("Gri", D220)), -1, 0)))=1, VERI_TABANI!E25*(1-0.928)*VERI_TABANI!$B$9, 0) + (VERI_TABANI!D25*B220*(VERI_TABANI!$B$13-VERI_TABANI!$B$14)*VERI_TABANI!G25) + (VERI_TABANI!D25*C220*(VERI_TABANI!$B$13-VERI_TABANI!$B$15)*VERI_TABANI!G25) + IF(ABS(IF(ISNUMBER(SEARCH("Var", D220)), 1, IF(ISNUMBER(SEARCH("Gri", D220)), -1, 0)))=1, VERI_TABANI!E25*(1-0.928)*0.00206091519919798*VERI_TABANI!G25, 0)) + ((MIN(VERI_TABANI!D26, VERI_TABANI!D26*B220)*VERI_TABANI!$B$7 + MAX(0, VERI_TABANI!D26*B220-VERI_TABANI!D26)*VERI_TABANI!$B$8) + (MIN(MAX(0, VERI_TABANI!D26-VERI_TABANI!D26*B220), VERI_TABANI!D26*C220)*VERI_TABANI!$B$7 + MAX(0, VERI_TABANI!D26*C220-MAX(0, VERI_TABANI!D26-VERI_TABANI!D26*B220))*VERI_TABANI!$B$8) + IF(ABS(IF(ISNUMBER(SEARCH("Var", D220)), 1, IF(ISNUMBER(SEARCH("Gri", D220)), -1, 0)))=1, VERI_TABANI!E26*(1-0.928)*VERI_TABANI!$B$9, 0) + (VERI_TABANI!D26*B220*(VERI_TABANI!$B$13-VERI_TABANI!$B$14)*VERI_TABANI!G26) + (VERI_TABANI!D26*C220*(VERI_TABANI!$B$13-VERI_TABANI!$B$15)*VERI_TABANI!G26) + IF(ABS(IF(ISNUMBER(SEARCH("Var", D220)), 1, IF(ISNUMBER(SEARCH("Gri", D220)), -1, 0)))=1, VERI_TABANI!E26*(1-0.928)*0.00206091519919798*VERI_TABANI!G26, 0)) + ((MIN(VERI_TABANI!D27, VERI_TABANI!D27*B220)*VERI_TABANI!$B$7 + MAX(0, VERI_TABANI!D27*B220-VERI_TABANI!D27)*VERI_TABANI!$B$8) + (MIN(MAX(0, VERI_TABANI!D27-VERI_TABANI!D27*B220), VERI_TABANI!D27*C220)*VERI_TABANI!$B$7 + MAX(0, VERI_TABANI!D27*C220-MAX(0, VERI_TABANI!D27-VERI_TABANI!D27*B220))*VERI_TABANI!$B$8) + IF(ABS(IF(ISNUMBER(SEARCH("Var", D220)), 1, IF(ISNUMBER(SEARCH("Gri", D220)), -1, 0)))=1, VERI_TABANI!E27*(1-0.928)*VERI_TABANI!$B$9, 0) + (VERI_TABANI!D27*B220*(VERI_TABANI!$B$13-VERI_TABANI!$B$14)*VERI_TABANI!G27) + (VERI_TABANI!D27*C220*(VERI_TABANI!$B$13-VERI_TABANI!$B$15)*VERI_TABANI!G27) + IF(ABS(IF(ISNUMBER(SEARCH("Var", D220)), 1, IF(ISNUMBER(SEARCH("Gri", D220)), -1, 0)))=1, VERI_TABANI!E27*(1-0.928)*0.00206091519919798*VERI_TABANI!G27, 0)) + ((MIN(VERI_TABANI!D28, VERI_TABANI!D28*B220)*VERI_TABANI!$B$7 + MAX(0, VERI_TABANI!D28*B220-VERI_TABANI!D28)*VERI_TABANI!$B$8) + (MIN(MAX(0, VERI_TABANI!D28-VERI_TABANI!D28*B220), VERI_TABANI!D28*C220)*VERI_TABANI!$B$7 + MAX(0, VERI_TABANI!D28*C220-MAX(0, VERI_TABANI!D28-VERI_TABANI!D28*B220))*VERI_TABANI!$B$8) + IF(ABS(IF(ISNUMBER(SEARCH("Var", D220)), 1, IF(ISNUMBER(SEARCH("Gri", D220)), -1, 0)))=1, VERI_TABANI!E28*(1-0.928)*VERI_TABANI!$B$9, 0) + (VERI_TABANI!D28*B220*(VERI_TABANI!$B$13-VERI_TABANI!$B$14)*VERI_TABANI!G28) + (VERI_TABANI!D28*C220*(VERI_TABANI!$B$13-VERI_TABANI!$B$15)*VERI_TABANI!G28) + IF(ABS(IF(ISNUMBER(SEARCH("Var", D220)), 1, IF(ISNUMBER(SEARCH("Gri", D220)), -1, 0)))=1, VERI_TABANI!E28*(1-0.928)*0.00206091519919798*VERI_TABANI!G28, 0)))</f>
        <v/>
      </c>
      <c r="H220" s="169">
        <f>(((VERI_TABANI!D23*B220*(VERI_TABANI!$B$13-VERI_TABANI!$B$14)) + (VERI_TABANI!D23*C220*(VERI_TABANI!$B$13-VERI_TABANI!$B$15)) + IF(ISNUMBER(SEARCH("Var", D220)), VERI_TABANI!F23*(0.00202-VERI_TABANI!$B$16), IF(ISNUMBER(SEARCH("Gri", D220)), VERI_TABANI!F23*(0.00202-VERI_TABANI!$B$17), 0))) + ((VERI_TABANI!D24*B220*(VERI_TABANI!$B$13-VERI_TABANI!$B$14)) + (VERI_TABANI!D24*C220*(VERI_TABANI!$B$13-VERI_TABANI!$B$15)) + IF(ISNUMBER(SEARCH("Var", D220)), VERI_TABANI!F24*(0.00202-VERI_TABANI!$B$16), IF(ISNUMBER(SEARCH("Gri", D220)), VERI_TABANI!F24*(0.00202-VERI_TABANI!$B$17), 0))) + ((VERI_TABANI!D25*B220*(VERI_TABANI!$B$13-VERI_TABANI!$B$14)) + (VERI_TABANI!D25*C220*(VERI_TABANI!$B$13-VERI_TABANI!$B$15)) + IF(ISNUMBER(SEARCH("Var", D220)), VERI_TABANI!F25*(0.00202-VERI_TABANI!$B$16), IF(ISNUMBER(SEARCH("Gri", D220)), VERI_TABANI!F25*(0.00202-VERI_TABANI!$B$17), 0))) + ((VERI_TABANI!D26*B220*(VERI_TABANI!$B$13-VERI_TABANI!$B$14)) + (VERI_TABANI!D26*C220*(VERI_TABANI!$B$13-VERI_TABANI!$B$15)) + IF(ISNUMBER(SEARCH("Var", D220)), VERI_TABANI!F26*(0.00202-VERI_TABANI!$B$16), IF(ISNUMBER(SEARCH("Gri", D220)), VERI_TABANI!F26*(0.00202-VERI_TABANI!$B$17), 0))) + ((VERI_TABANI!D27*B220*(VERI_TABANI!$B$13-VERI_TABANI!$B$14)) + (VERI_TABANI!D27*C220*(VERI_TABANI!$B$13-VERI_TABANI!$B$15)) + IF(ISNUMBER(SEARCH("Var", D220)), VERI_TABANI!F27*(0.00202-VERI_TABANI!$B$16), IF(ISNUMBER(SEARCH("Gri", D220)), VERI_TABANI!F27*(0.00202-VERI_TABANI!$B$17), 0))) + ((VERI_TABANI!D28*B220*(VERI_TABANI!$B$13-VERI_TABANI!$B$14)) + (VERI_TABANI!D28*C220*(VERI_TABANI!$B$13-VERI_TABANI!$B$15)) + IF(ISNUMBER(SEARCH("Var", D220)), VERI_TABANI!F28*(0.00202-VERI_TABANI!$B$16), IF(ISNUMBER(SEARCH("Gri", D220)), VERI_TABANI!F28*(0.00202-VERI_TABANI!$B$17), 0))))</f>
        <v/>
      </c>
      <c r="I220" s="170">
        <f>IFERROR(((VERI_TABANI!$D$29*B220*VERI_TABANI!$B$14 + VERI_TABANI!$D$29*C220*VERI_TABANI!$B$15 + IF(ISNUMBER(SEARCH("Var", D220)), VERI_TABANI!$F$29*VERI_TABANI!$B$16, 0))) / (((VERI_TABANI!$D$29*B220 + VERI_TABANI!$D$29*C220)*VERI_TABANI!$B$13 + IF(ISNUMBER(SEARCH("Var", D220)), VERI_TABANI!$E$29*(1-0.928)*VERI_TABANI!$B$18, 0))), 0)</f>
        <v/>
      </c>
      <c r="J220" s="171">
        <f>IFERROR(F220/(G220/29), 0)</f>
        <v/>
      </c>
      <c r="K220" s="172">
        <f>IF(F220&gt;0, H220/F220, 0)</f>
        <v/>
      </c>
      <c r="L220" s="170">
        <f>IF(F220&gt;0, I220, 1000000000)</f>
        <v/>
      </c>
      <c r="M220" s="171">
        <f>ABS((B220+C220)-1)</f>
        <v/>
      </c>
      <c r="N220" s="170">
        <f>IF(F220&gt;0, (G220/29)/F220, 0)</f>
        <v/>
      </c>
      <c r="O220" s="168">
        <f>IF(AND((B220+C220)&gt;=1, ISNUMBER(SEARCH("Var", D220))), F220, 1000000000)</f>
        <v/>
      </c>
      <c r="P220" s="172">
        <f>IF(F220&gt;0, SQRT((F220/MAX(F$5:F$886))^2 + (1 - H220/MAX(H$5:H$886))^2 + (J220/MAX(J$5:J$886))^2), 1000000000)</f>
        <v/>
      </c>
      <c r="Q220" s="166">
        <f>IF(AND(ABS(B220-0.5)&lt;0.01, ABS(C220-0.5)&lt;0.01, ISNUMBER(SEARCH("Var", D220))), 1, 0)</f>
        <v/>
      </c>
      <c r="R220" s="171">
        <f>IF(F220&gt;0, J220, 1000000000)</f>
        <v/>
      </c>
      <c r="S220" s="101">
        <f>IF(AND(F220&lt;=DASHBOARD!$B$11, H220&gt;=DASHBOARD!$B$13), G220, -1000000000000)</f>
        <v/>
      </c>
      <c r="T220" s="101">
        <f>IF(AND(F220&lt;=DASHBOARD!$B$11, H220&gt;=DASHBOARD!$B$13), R220, 1000000000000)</f>
        <v/>
      </c>
      <c r="U220" s="101">
        <f>IF(AND(F220&lt;=DASHBOARD!$B$11, H220&gt;=DASHBOARD!$B$13), N220, -1000000000000)</f>
        <v/>
      </c>
      <c r="V220" s="101">
        <f>IF(AND(F220&lt;=DASHBOARD!$B$11, H220&gt;=DASHBOARD!$B$13), H220, -1000000000000)</f>
        <v/>
      </c>
      <c r="W220" s="101">
        <f>IF(AND(F220&lt;=DASHBOARD!$B$11, H220&gt;=DASHBOARD!$B$13), K220, -1000000000000)</f>
        <v/>
      </c>
      <c r="X220" s="101">
        <f>IF(AND(F220&lt;=DASHBOARD!$B$11, H220&gt;=DASHBOARD!$B$13), M220, 1000000000000)</f>
        <v/>
      </c>
      <c r="Y220" s="101">
        <f>IF(AND(F220&lt;=DASHBOARD!$B$10, H220&gt;=DASHBOARD!$B$11), L220, 1000000000000)</f>
        <v/>
      </c>
      <c r="Z220" s="101">
        <f>IF(AND(F220&lt;=DASHBOARD!$B$10, H220&gt;=DASHBOARD!$B$11), O220, 1000000000000)</f>
        <v/>
      </c>
      <c r="AA220" s="101">
        <f>IF(AND(F220&lt;=DASHBOARD!$B$10, H220&gt;=DASHBOARD!$B$11), P220, 1000000000000)</f>
        <v/>
      </c>
      <c r="AB220" s="101">
        <f>IF(AND(F220&lt;=DASHBOARD!$B$10, H220&gt;=DASHBOARD!$B$11), Q220, -1000000000000)</f>
        <v/>
      </c>
    </row>
    <row r="221" ht="15" customHeight="1" s="102">
      <c r="A221" s="166" t="n">
        <v>217</v>
      </c>
      <c r="B221" s="167" t="n">
        <v>0.5</v>
      </c>
      <c r="C221" s="167" t="n">
        <v>0.3</v>
      </c>
      <c r="D221" s="110" t="inlineStr">
        <is>
          <t>Yok (%0)</t>
        </is>
      </c>
      <c r="E221" s="110">
        <f>IF((B221+C221)&lt;=1, "Tam Mahsuplaşma (≤%100)", "Kısmi Satış (&gt;%100)")</f>
        <v/>
      </c>
      <c r="F221" s="168">
        <f>((VERI_TABANI!$D$29*B221/VERI_TABANI!$B$29)/VERI_TABANI!$B$3)*VERI_TABANI!$B$5 + ((VERI_TABANI!$D$29*C221/VERI_TABANI!$B$29)/VERI_TABANI!$B$4)*VERI_TABANI!$B$6 + IF(ISNUMBER(SEARCH("Var", D221)), (VERI_TABANI!$F$29/VERI_TABANI!$B$29)*(VERI_TABANI!$B$10+VERI_TABANI!$B$12), 0)</f>
        <v/>
      </c>
      <c r="G221" s="168">
        <f>(((MIN(VERI_TABANI!D23, VERI_TABANI!D23*B221)*VERI_TABANI!$B$7 + MAX(0, VERI_TABANI!D23*B221-VERI_TABANI!D23)*VERI_TABANI!$B$8) + (MIN(MAX(0, VERI_TABANI!D23-VERI_TABANI!D23*B221), VERI_TABANI!D23*C221)*VERI_TABANI!$B$7 + MAX(0, VERI_TABANI!D23*C221-MAX(0, VERI_TABANI!D23-VERI_TABANI!D23*B221))*VERI_TABANI!$B$8) + IF(ABS(IF(ISNUMBER(SEARCH("Var", D221)), 1, IF(ISNUMBER(SEARCH("Gri", D221)), -1, 0)))=1, VERI_TABANI!E23*(1-0.928)*VERI_TABANI!$B$9, 0) + (VERI_TABANI!D23*B221*(VERI_TABANI!$B$13-VERI_TABANI!$B$14)*VERI_TABANI!G23) + (VERI_TABANI!D23*C221*(VERI_TABANI!$B$13-VERI_TABANI!$B$15)*VERI_TABANI!G23) + IF(ABS(IF(ISNUMBER(SEARCH("Var", D221)), 1, IF(ISNUMBER(SEARCH("Gri", D221)), -1, 0)))=1, VERI_TABANI!E23*(1-0.928)*0.00206091519919798*VERI_TABANI!G23, 0)) + ((MIN(VERI_TABANI!D24, VERI_TABANI!D24*B221)*VERI_TABANI!$B$7 + MAX(0, VERI_TABANI!D24*B221-VERI_TABANI!D24)*VERI_TABANI!$B$8) + (MIN(MAX(0, VERI_TABANI!D24-VERI_TABANI!D24*B221), VERI_TABANI!D24*C221)*VERI_TABANI!$B$7 + MAX(0, VERI_TABANI!D24*C221-MAX(0, VERI_TABANI!D24-VERI_TABANI!D24*B221))*VERI_TABANI!$B$8) + IF(ABS(IF(ISNUMBER(SEARCH("Var", D221)), 1, IF(ISNUMBER(SEARCH("Gri", D221)), -1, 0)))=1, VERI_TABANI!E24*(1-0.928)*VERI_TABANI!$B$9, 0) + (VERI_TABANI!D24*B221*(VERI_TABANI!$B$13-VERI_TABANI!$B$14)*VERI_TABANI!G24) + (VERI_TABANI!D24*C221*(VERI_TABANI!$B$13-VERI_TABANI!$B$15)*VERI_TABANI!G24) + IF(ABS(IF(ISNUMBER(SEARCH("Var", D221)), 1, IF(ISNUMBER(SEARCH("Gri", D221)), -1, 0)))=1, VERI_TABANI!E24*(1-0.928)*0.00206091519919798*VERI_TABANI!G24, 0)) + ((MIN(VERI_TABANI!D25, VERI_TABANI!D25*B221)*VERI_TABANI!$B$7 + MAX(0, VERI_TABANI!D25*B221-VERI_TABANI!D25)*VERI_TABANI!$B$8) + (MIN(MAX(0, VERI_TABANI!D25-VERI_TABANI!D25*B221), VERI_TABANI!D25*C221)*VERI_TABANI!$B$7 + MAX(0, VERI_TABANI!D25*C221-MAX(0, VERI_TABANI!D25-VERI_TABANI!D25*B221))*VERI_TABANI!$B$8) + IF(ABS(IF(ISNUMBER(SEARCH("Var", D221)), 1, IF(ISNUMBER(SEARCH("Gri", D221)), -1, 0)))=1, VERI_TABANI!E25*(1-0.928)*VERI_TABANI!$B$9, 0) + (VERI_TABANI!D25*B221*(VERI_TABANI!$B$13-VERI_TABANI!$B$14)*VERI_TABANI!G25) + (VERI_TABANI!D25*C221*(VERI_TABANI!$B$13-VERI_TABANI!$B$15)*VERI_TABANI!G25) + IF(ABS(IF(ISNUMBER(SEARCH("Var", D221)), 1, IF(ISNUMBER(SEARCH("Gri", D221)), -1, 0)))=1, VERI_TABANI!E25*(1-0.928)*0.00206091519919798*VERI_TABANI!G25, 0)) + ((MIN(VERI_TABANI!D26, VERI_TABANI!D26*B221)*VERI_TABANI!$B$7 + MAX(0, VERI_TABANI!D26*B221-VERI_TABANI!D26)*VERI_TABANI!$B$8) + (MIN(MAX(0, VERI_TABANI!D26-VERI_TABANI!D26*B221), VERI_TABANI!D26*C221)*VERI_TABANI!$B$7 + MAX(0, VERI_TABANI!D26*C221-MAX(0, VERI_TABANI!D26-VERI_TABANI!D26*B221))*VERI_TABANI!$B$8) + IF(ABS(IF(ISNUMBER(SEARCH("Var", D221)), 1, IF(ISNUMBER(SEARCH("Gri", D221)), -1, 0)))=1, VERI_TABANI!E26*(1-0.928)*VERI_TABANI!$B$9, 0) + (VERI_TABANI!D26*B221*(VERI_TABANI!$B$13-VERI_TABANI!$B$14)*VERI_TABANI!G26) + (VERI_TABANI!D26*C221*(VERI_TABANI!$B$13-VERI_TABANI!$B$15)*VERI_TABANI!G26) + IF(ABS(IF(ISNUMBER(SEARCH("Var", D221)), 1, IF(ISNUMBER(SEARCH("Gri", D221)), -1, 0)))=1, VERI_TABANI!E26*(1-0.928)*0.00206091519919798*VERI_TABANI!G26, 0)) + ((MIN(VERI_TABANI!D27, VERI_TABANI!D27*B221)*VERI_TABANI!$B$7 + MAX(0, VERI_TABANI!D27*B221-VERI_TABANI!D27)*VERI_TABANI!$B$8) + (MIN(MAX(0, VERI_TABANI!D27-VERI_TABANI!D27*B221), VERI_TABANI!D27*C221)*VERI_TABANI!$B$7 + MAX(0, VERI_TABANI!D27*C221-MAX(0, VERI_TABANI!D27-VERI_TABANI!D27*B221))*VERI_TABANI!$B$8) + IF(ABS(IF(ISNUMBER(SEARCH("Var", D221)), 1, IF(ISNUMBER(SEARCH("Gri", D221)), -1, 0)))=1, VERI_TABANI!E27*(1-0.928)*VERI_TABANI!$B$9, 0) + (VERI_TABANI!D27*B221*(VERI_TABANI!$B$13-VERI_TABANI!$B$14)*VERI_TABANI!G27) + (VERI_TABANI!D27*C221*(VERI_TABANI!$B$13-VERI_TABANI!$B$15)*VERI_TABANI!G27) + IF(ABS(IF(ISNUMBER(SEARCH("Var", D221)), 1, IF(ISNUMBER(SEARCH("Gri", D221)), -1, 0)))=1, VERI_TABANI!E27*(1-0.928)*0.00206091519919798*VERI_TABANI!G27, 0)) + ((MIN(VERI_TABANI!D28, VERI_TABANI!D28*B221)*VERI_TABANI!$B$7 + MAX(0, VERI_TABANI!D28*B221-VERI_TABANI!D28)*VERI_TABANI!$B$8) + (MIN(MAX(0, VERI_TABANI!D28-VERI_TABANI!D28*B221), VERI_TABANI!D28*C221)*VERI_TABANI!$B$7 + MAX(0, VERI_TABANI!D28*C221-MAX(0, VERI_TABANI!D28-VERI_TABANI!D28*B221))*VERI_TABANI!$B$8) + IF(ABS(IF(ISNUMBER(SEARCH("Var", D221)), 1, IF(ISNUMBER(SEARCH("Gri", D221)), -1, 0)))=1, VERI_TABANI!E28*(1-0.928)*VERI_TABANI!$B$9, 0) + (VERI_TABANI!D28*B221*(VERI_TABANI!$B$13-VERI_TABANI!$B$14)*VERI_TABANI!G28) + (VERI_TABANI!D28*C221*(VERI_TABANI!$B$13-VERI_TABANI!$B$15)*VERI_TABANI!G28) + IF(ABS(IF(ISNUMBER(SEARCH("Var", D221)), 1, IF(ISNUMBER(SEARCH("Gri", D221)), -1, 0)))=1, VERI_TABANI!E28*(1-0.928)*0.00206091519919798*VERI_TABANI!G28, 0)))</f>
        <v/>
      </c>
      <c r="H221" s="169">
        <f>(((VERI_TABANI!D23*B221*(VERI_TABANI!$B$13-VERI_TABANI!$B$14)) + (VERI_TABANI!D23*C221*(VERI_TABANI!$B$13-VERI_TABANI!$B$15)) + IF(ISNUMBER(SEARCH("Var", D221)), VERI_TABANI!F23*(0.00202-VERI_TABANI!$B$16), IF(ISNUMBER(SEARCH("Gri", D221)), VERI_TABANI!F23*(0.00202-VERI_TABANI!$B$17), 0))) + ((VERI_TABANI!D24*B221*(VERI_TABANI!$B$13-VERI_TABANI!$B$14)) + (VERI_TABANI!D24*C221*(VERI_TABANI!$B$13-VERI_TABANI!$B$15)) + IF(ISNUMBER(SEARCH("Var", D221)), VERI_TABANI!F24*(0.00202-VERI_TABANI!$B$16), IF(ISNUMBER(SEARCH("Gri", D221)), VERI_TABANI!F24*(0.00202-VERI_TABANI!$B$17), 0))) + ((VERI_TABANI!D25*B221*(VERI_TABANI!$B$13-VERI_TABANI!$B$14)) + (VERI_TABANI!D25*C221*(VERI_TABANI!$B$13-VERI_TABANI!$B$15)) + IF(ISNUMBER(SEARCH("Var", D221)), VERI_TABANI!F25*(0.00202-VERI_TABANI!$B$16), IF(ISNUMBER(SEARCH("Gri", D221)), VERI_TABANI!F25*(0.00202-VERI_TABANI!$B$17), 0))) + ((VERI_TABANI!D26*B221*(VERI_TABANI!$B$13-VERI_TABANI!$B$14)) + (VERI_TABANI!D26*C221*(VERI_TABANI!$B$13-VERI_TABANI!$B$15)) + IF(ISNUMBER(SEARCH("Var", D221)), VERI_TABANI!F26*(0.00202-VERI_TABANI!$B$16), IF(ISNUMBER(SEARCH("Gri", D221)), VERI_TABANI!F26*(0.00202-VERI_TABANI!$B$17), 0))) + ((VERI_TABANI!D27*B221*(VERI_TABANI!$B$13-VERI_TABANI!$B$14)) + (VERI_TABANI!D27*C221*(VERI_TABANI!$B$13-VERI_TABANI!$B$15)) + IF(ISNUMBER(SEARCH("Var", D221)), VERI_TABANI!F27*(0.00202-VERI_TABANI!$B$16), IF(ISNUMBER(SEARCH("Gri", D221)), VERI_TABANI!F27*(0.00202-VERI_TABANI!$B$17), 0))) + ((VERI_TABANI!D28*B221*(VERI_TABANI!$B$13-VERI_TABANI!$B$14)) + (VERI_TABANI!D28*C221*(VERI_TABANI!$B$13-VERI_TABANI!$B$15)) + IF(ISNUMBER(SEARCH("Var", D221)), VERI_TABANI!F28*(0.00202-VERI_TABANI!$B$16), IF(ISNUMBER(SEARCH("Gri", D221)), VERI_TABANI!F28*(0.00202-VERI_TABANI!$B$17), 0))))</f>
        <v/>
      </c>
      <c r="I221" s="170">
        <f>IFERROR(((VERI_TABANI!$D$29*B221*VERI_TABANI!$B$14 + VERI_TABANI!$D$29*C221*VERI_TABANI!$B$15 + IF(ISNUMBER(SEARCH("Var", D221)), VERI_TABANI!$F$29*VERI_TABANI!$B$16, 0))) / (((VERI_TABANI!$D$29*B221 + VERI_TABANI!$D$29*C221)*VERI_TABANI!$B$13 + IF(ISNUMBER(SEARCH("Var", D221)), VERI_TABANI!$E$29*(1-0.928)*VERI_TABANI!$B$18, 0))), 0)</f>
        <v/>
      </c>
      <c r="J221" s="171">
        <f>IFERROR(F221/(G221/29), 0)</f>
        <v/>
      </c>
      <c r="K221" s="172">
        <f>IF(F221&gt;0, H221/F221, 0)</f>
        <v/>
      </c>
      <c r="L221" s="170">
        <f>IF(F221&gt;0, I221, 1000000000)</f>
        <v/>
      </c>
      <c r="M221" s="171">
        <f>ABS((B221+C221)-1)</f>
        <v/>
      </c>
      <c r="N221" s="170">
        <f>IF(F221&gt;0, (G221/29)/F221, 0)</f>
        <v/>
      </c>
      <c r="O221" s="168">
        <f>IF(AND((B221+C221)&gt;=1, ISNUMBER(SEARCH("Var", D221))), F221, 1000000000)</f>
        <v/>
      </c>
      <c r="P221" s="172">
        <f>IF(F221&gt;0, SQRT((F221/MAX(F$5:F$886))^2 + (1 - H221/MAX(H$5:H$886))^2 + (J221/MAX(J$5:J$886))^2), 1000000000)</f>
        <v/>
      </c>
      <c r="Q221" s="166">
        <f>IF(AND(ABS(B221-0.5)&lt;0.01, ABS(C221-0.5)&lt;0.01, ISNUMBER(SEARCH("Var", D221))), 1, 0)</f>
        <v/>
      </c>
      <c r="R221" s="171">
        <f>IF(F221&gt;0, J221, 1000000000)</f>
        <v/>
      </c>
      <c r="S221" s="101">
        <f>IF(AND(F221&lt;=DASHBOARD!$B$11, H221&gt;=DASHBOARD!$B$13), G221, -1000000000000)</f>
        <v/>
      </c>
      <c r="T221" s="101">
        <f>IF(AND(F221&lt;=DASHBOARD!$B$11, H221&gt;=DASHBOARD!$B$13), R221, 1000000000000)</f>
        <v/>
      </c>
      <c r="U221" s="101">
        <f>IF(AND(F221&lt;=DASHBOARD!$B$11, H221&gt;=DASHBOARD!$B$13), N221, -1000000000000)</f>
        <v/>
      </c>
      <c r="V221" s="101">
        <f>IF(AND(F221&lt;=DASHBOARD!$B$11, H221&gt;=DASHBOARD!$B$13), H221, -1000000000000)</f>
        <v/>
      </c>
      <c r="W221" s="101">
        <f>IF(AND(F221&lt;=DASHBOARD!$B$11, H221&gt;=DASHBOARD!$B$13), K221, -1000000000000)</f>
        <v/>
      </c>
      <c r="X221" s="101">
        <f>IF(AND(F221&lt;=DASHBOARD!$B$11, H221&gt;=DASHBOARD!$B$13), M221, 1000000000000)</f>
        <v/>
      </c>
      <c r="Y221" s="101">
        <f>IF(AND(F221&lt;=DASHBOARD!$B$10, H221&gt;=DASHBOARD!$B$11), L221, 1000000000000)</f>
        <v/>
      </c>
      <c r="Z221" s="101">
        <f>IF(AND(F221&lt;=DASHBOARD!$B$10, H221&gt;=DASHBOARD!$B$11), O221, 1000000000000)</f>
        <v/>
      </c>
      <c r="AA221" s="101">
        <f>IF(AND(F221&lt;=DASHBOARD!$B$10, H221&gt;=DASHBOARD!$B$11), P221, 1000000000000)</f>
        <v/>
      </c>
      <c r="AB221" s="101">
        <f>IF(AND(F221&lt;=DASHBOARD!$B$10, H221&gt;=DASHBOARD!$B$11), Q221, -1000000000000)</f>
        <v/>
      </c>
    </row>
    <row r="222" ht="15" customHeight="1" s="102">
      <c r="A222" s="166" t="n">
        <v>218</v>
      </c>
      <c r="B222" s="167" t="n">
        <v>0.5</v>
      </c>
      <c r="C222" s="167" t="n">
        <v>0.3</v>
      </c>
      <c r="D222" s="110" t="inlineStr">
        <is>
          <t>Var (%20)</t>
        </is>
      </c>
      <c r="E222" s="110">
        <f>IF((B222+C222)&lt;=1, "Tam Mahsuplaşma (≤%100)", "Kısmi Satış (&gt;%100)")</f>
        <v/>
      </c>
      <c r="F222" s="168">
        <f>((VERI_TABANI!$D$29*B222/VERI_TABANI!$B$29)/VERI_TABANI!$B$3)*VERI_TABANI!$B$5 + ((VERI_TABANI!$D$29*C222/VERI_TABANI!$B$29)/VERI_TABANI!$B$4)*VERI_TABANI!$B$6 + IF(ISNUMBER(SEARCH("Var", D222)), (VERI_TABANI!$F$29/VERI_TABANI!$B$29)*(VERI_TABANI!$B$10+VERI_TABANI!$B$12), 0)</f>
        <v/>
      </c>
      <c r="G222" s="168">
        <f>(((MIN(VERI_TABANI!D23, VERI_TABANI!D23*B222)*VERI_TABANI!$B$7 + MAX(0, VERI_TABANI!D23*B222-VERI_TABANI!D23)*VERI_TABANI!$B$8) + (MIN(MAX(0, VERI_TABANI!D23-VERI_TABANI!D23*B222), VERI_TABANI!D23*C222)*VERI_TABANI!$B$7 + MAX(0, VERI_TABANI!D23*C222-MAX(0, VERI_TABANI!D23-VERI_TABANI!D23*B222))*VERI_TABANI!$B$8) + IF(ABS(IF(ISNUMBER(SEARCH("Var", D222)), 1, IF(ISNUMBER(SEARCH("Gri", D222)), -1, 0)))=1, VERI_TABANI!E23*(1-0.928)*VERI_TABANI!$B$9, 0) + (VERI_TABANI!D23*B222*(VERI_TABANI!$B$13-VERI_TABANI!$B$14)*VERI_TABANI!G23) + (VERI_TABANI!D23*C222*(VERI_TABANI!$B$13-VERI_TABANI!$B$15)*VERI_TABANI!G23) + IF(ABS(IF(ISNUMBER(SEARCH("Var", D222)), 1, IF(ISNUMBER(SEARCH("Gri", D222)), -1, 0)))=1, VERI_TABANI!E23*(1-0.928)*0.00206091519919798*VERI_TABANI!G23, 0)) + ((MIN(VERI_TABANI!D24, VERI_TABANI!D24*B222)*VERI_TABANI!$B$7 + MAX(0, VERI_TABANI!D24*B222-VERI_TABANI!D24)*VERI_TABANI!$B$8) + (MIN(MAX(0, VERI_TABANI!D24-VERI_TABANI!D24*B222), VERI_TABANI!D24*C222)*VERI_TABANI!$B$7 + MAX(0, VERI_TABANI!D24*C222-MAX(0, VERI_TABANI!D24-VERI_TABANI!D24*B222))*VERI_TABANI!$B$8) + IF(ABS(IF(ISNUMBER(SEARCH("Var", D222)), 1, IF(ISNUMBER(SEARCH("Gri", D222)), -1, 0)))=1, VERI_TABANI!E24*(1-0.928)*VERI_TABANI!$B$9, 0) + (VERI_TABANI!D24*B222*(VERI_TABANI!$B$13-VERI_TABANI!$B$14)*VERI_TABANI!G24) + (VERI_TABANI!D24*C222*(VERI_TABANI!$B$13-VERI_TABANI!$B$15)*VERI_TABANI!G24) + IF(ABS(IF(ISNUMBER(SEARCH("Var", D222)), 1, IF(ISNUMBER(SEARCH("Gri", D222)), -1, 0)))=1, VERI_TABANI!E24*(1-0.928)*0.00206091519919798*VERI_TABANI!G24, 0)) + ((MIN(VERI_TABANI!D25, VERI_TABANI!D25*B222)*VERI_TABANI!$B$7 + MAX(0, VERI_TABANI!D25*B222-VERI_TABANI!D25)*VERI_TABANI!$B$8) + (MIN(MAX(0, VERI_TABANI!D25-VERI_TABANI!D25*B222), VERI_TABANI!D25*C222)*VERI_TABANI!$B$7 + MAX(0, VERI_TABANI!D25*C222-MAX(0, VERI_TABANI!D25-VERI_TABANI!D25*B222))*VERI_TABANI!$B$8) + IF(ABS(IF(ISNUMBER(SEARCH("Var", D222)), 1, IF(ISNUMBER(SEARCH("Gri", D222)), -1, 0)))=1, VERI_TABANI!E25*(1-0.928)*VERI_TABANI!$B$9, 0) + (VERI_TABANI!D25*B222*(VERI_TABANI!$B$13-VERI_TABANI!$B$14)*VERI_TABANI!G25) + (VERI_TABANI!D25*C222*(VERI_TABANI!$B$13-VERI_TABANI!$B$15)*VERI_TABANI!G25) + IF(ABS(IF(ISNUMBER(SEARCH("Var", D222)), 1, IF(ISNUMBER(SEARCH("Gri", D222)), -1, 0)))=1, VERI_TABANI!E25*(1-0.928)*0.00206091519919798*VERI_TABANI!G25, 0)) + ((MIN(VERI_TABANI!D26, VERI_TABANI!D26*B222)*VERI_TABANI!$B$7 + MAX(0, VERI_TABANI!D26*B222-VERI_TABANI!D26)*VERI_TABANI!$B$8) + (MIN(MAX(0, VERI_TABANI!D26-VERI_TABANI!D26*B222), VERI_TABANI!D26*C222)*VERI_TABANI!$B$7 + MAX(0, VERI_TABANI!D26*C222-MAX(0, VERI_TABANI!D26-VERI_TABANI!D26*B222))*VERI_TABANI!$B$8) + IF(ABS(IF(ISNUMBER(SEARCH("Var", D222)), 1, IF(ISNUMBER(SEARCH("Gri", D222)), -1, 0)))=1, VERI_TABANI!E26*(1-0.928)*VERI_TABANI!$B$9, 0) + (VERI_TABANI!D26*B222*(VERI_TABANI!$B$13-VERI_TABANI!$B$14)*VERI_TABANI!G26) + (VERI_TABANI!D26*C222*(VERI_TABANI!$B$13-VERI_TABANI!$B$15)*VERI_TABANI!G26) + IF(ABS(IF(ISNUMBER(SEARCH("Var", D222)), 1, IF(ISNUMBER(SEARCH("Gri", D222)), -1, 0)))=1, VERI_TABANI!E26*(1-0.928)*0.00206091519919798*VERI_TABANI!G26, 0)) + ((MIN(VERI_TABANI!D27, VERI_TABANI!D27*B222)*VERI_TABANI!$B$7 + MAX(0, VERI_TABANI!D27*B222-VERI_TABANI!D27)*VERI_TABANI!$B$8) + (MIN(MAX(0, VERI_TABANI!D27-VERI_TABANI!D27*B222), VERI_TABANI!D27*C222)*VERI_TABANI!$B$7 + MAX(0, VERI_TABANI!D27*C222-MAX(0, VERI_TABANI!D27-VERI_TABANI!D27*B222))*VERI_TABANI!$B$8) + IF(ABS(IF(ISNUMBER(SEARCH("Var", D222)), 1, IF(ISNUMBER(SEARCH("Gri", D222)), -1, 0)))=1, VERI_TABANI!E27*(1-0.928)*VERI_TABANI!$B$9, 0) + (VERI_TABANI!D27*B222*(VERI_TABANI!$B$13-VERI_TABANI!$B$14)*VERI_TABANI!G27) + (VERI_TABANI!D27*C222*(VERI_TABANI!$B$13-VERI_TABANI!$B$15)*VERI_TABANI!G27) + IF(ABS(IF(ISNUMBER(SEARCH("Var", D222)), 1, IF(ISNUMBER(SEARCH("Gri", D222)), -1, 0)))=1, VERI_TABANI!E27*(1-0.928)*0.00206091519919798*VERI_TABANI!G27, 0)) + ((MIN(VERI_TABANI!D28, VERI_TABANI!D28*B222)*VERI_TABANI!$B$7 + MAX(0, VERI_TABANI!D28*B222-VERI_TABANI!D28)*VERI_TABANI!$B$8) + (MIN(MAX(0, VERI_TABANI!D28-VERI_TABANI!D28*B222), VERI_TABANI!D28*C222)*VERI_TABANI!$B$7 + MAX(0, VERI_TABANI!D28*C222-MAX(0, VERI_TABANI!D28-VERI_TABANI!D28*B222))*VERI_TABANI!$B$8) + IF(ABS(IF(ISNUMBER(SEARCH("Var", D222)), 1, IF(ISNUMBER(SEARCH("Gri", D222)), -1, 0)))=1, VERI_TABANI!E28*(1-0.928)*VERI_TABANI!$B$9, 0) + (VERI_TABANI!D28*B222*(VERI_TABANI!$B$13-VERI_TABANI!$B$14)*VERI_TABANI!G28) + (VERI_TABANI!D28*C222*(VERI_TABANI!$B$13-VERI_TABANI!$B$15)*VERI_TABANI!G28) + IF(ABS(IF(ISNUMBER(SEARCH("Var", D222)), 1, IF(ISNUMBER(SEARCH("Gri", D222)), -1, 0)))=1, VERI_TABANI!E28*(1-0.928)*0.00206091519919798*VERI_TABANI!G28, 0)))</f>
        <v/>
      </c>
      <c r="H222" s="169">
        <f>(((VERI_TABANI!D23*B222*(VERI_TABANI!$B$13-VERI_TABANI!$B$14)) + (VERI_TABANI!D23*C222*(VERI_TABANI!$B$13-VERI_TABANI!$B$15)) + IF(ISNUMBER(SEARCH("Var", D222)), VERI_TABANI!F23*(0.00202-VERI_TABANI!$B$16), IF(ISNUMBER(SEARCH("Gri", D222)), VERI_TABANI!F23*(0.00202-VERI_TABANI!$B$17), 0))) + ((VERI_TABANI!D24*B222*(VERI_TABANI!$B$13-VERI_TABANI!$B$14)) + (VERI_TABANI!D24*C222*(VERI_TABANI!$B$13-VERI_TABANI!$B$15)) + IF(ISNUMBER(SEARCH("Var", D222)), VERI_TABANI!F24*(0.00202-VERI_TABANI!$B$16), IF(ISNUMBER(SEARCH("Gri", D222)), VERI_TABANI!F24*(0.00202-VERI_TABANI!$B$17), 0))) + ((VERI_TABANI!D25*B222*(VERI_TABANI!$B$13-VERI_TABANI!$B$14)) + (VERI_TABANI!D25*C222*(VERI_TABANI!$B$13-VERI_TABANI!$B$15)) + IF(ISNUMBER(SEARCH("Var", D222)), VERI_TABANI!F25*(0.00202-VERI_TABANI!$B$16), IF(ISNUMBER(SEARCH("Gri", D222)), VERI_TABANI!F25*(0.00202-VERI_TABANI!$B$17), 0))) + ((VERI_TABANI!D26*B222*(VERI_TABANI!$B$13-VERI_TABANI!$B$14)) + (VERI_TABANI!D26*C222*(VERI_TABANI!$B$13-VERI_TABANI!$B$15)) + IF(ISNUMBER(SEARCH("Var", D222)), VERI_TABANI!F26*(0.00202-VERI_TABANI!$B$16), IF(ISNUMBER(SEARCH("Gri", D222)), VERI_TABANI!F26*(0.00202-VERI_TABANI!$B$17), 0))) + ((VERI_TABANI!D27*B222*(VERI_TABANI!$B$13-VERI_TABANI!$B$14)) + (VERI_TABANI!D27*C222*(VERI_TABANI!$B$13-VERI_TABANI!$B$15)) + IF(ISNUMBER(SEARCH("Var", D222)), VERI_TABANI!F27*(0.00202-VERI_TABANI!$B$16), IF(ISNUMBER(SEARCH("Gri", D222)), VERI_TABANI!F27*(0.00202-VERI_TABANI!$B$17), 0))) + ((VERI_TABANI!D28*B222*(VERI_TABANI!$B$13-VERI_TABANI!$B$14)) + (VERI_TABANI!D28*C222*(VERI_TABANI!$B$13-VERI_TABANI!$B$15)) + IF(ISNUMBER(SEARCH("Var", D222)), VERI_TABANI!F28*(0.00202-VERI_TABANI!$B$16), IF(ISNUMBER(SEARCH("Gri", D222)), VERI_TABANI!F28*(0.00202-VERI_TABANI!$B$17), 0))))</f>
        <v/>
      </c>
      <c r="I222" s="170">
        <f>IFERROR(((VERI_TABANI!$D$29*B222*VERI_TABANI!$B$14 + VERI_TABANI!$D$29*C222*VERI_TABANI!$B$15 + IF(ISNUMBER(SEARCH("Var", D222)), VERI_TABANI!$F$29*VERI_TABANI!$B$16, 0))) / (((VERI_TABANI!$D$29*B222 + VERI_TABANI!$D$29*C222)*VERI_TABANI!$B$13 + IF(ISNUMBER(SEARCH("Var", D222)), VERI_TABANI!$E$29*(1-0.928)*VERI_TABANI!$B$18, 0))), 0)</f>
        <v/>
      </c>
      <c r="J222" s="171">
        <f>IFERROR(F222/(G222/29), 0)</f>
        <v/>
      </c>
      <c r="K222" s="172">
        <f>IF(F222&gt;0, H222/F222, 0)</f>
        <v/>
      </c>
      <c r="L222" s="170">
        <f>IF(F222&gt;0, I222, 1000000000)</f>
        <v/>
      </c>
      <c r="M222" s="171">
        <f>ABS((B222+C222)-1)</f>
        <v/>
      </c>
      <c r="N222" s="170">
        <f>IF(F222&gt;0, (G222/29)/F222, 0)</f>
        <v/>
      </c>
      <c r="O222" s="168">
        <f>IF(AND((B222+C222)&gt;=1, ISNUMBER(SEARCH("Var", D222))), F222, 1000000000)</f>
        <v/>
      </c>
      <c r="P222" s="172">
        <f>IF(F222&gt;0, SQRT((F222/MAX(F$5:F$886))^2 + (1 - H222/MAX(H$5:H$886))^2 + (J222/MAX(J$5:J$886))^2), 1000000000)</f>
        <v/>
      </c>
      <c r="Q222" s="166">
        <f>IF(AND(ABS(B222-0.5)&lt;0.01, ABS(C222-0.5)&lt;0.01, ISNUMBER(SEARCH("Var", D222))), 1, 0)</f>
        <v/>
      </c>
      <c r="R222" s="171">
        <f>IF(F222&gt;0, J222, 1000000000)</f>
        <v/>
      </c>
      <c r="S222" s="101">
        <f>IF(AND(F222&lt;=DASHBOARD!$B$11, H222&gt;=DASHBOARD!$B$13), G222, -1000000000000)</f>
        <v/>
      </c>
      <c r="T222" s="101">
        <f>IF(AND(F222&lt;=DASHBOARD!$B$11, H222&gt;=DASHBOARD!$B$13), R222, 1000000000000)</f>
        <v/>
      </c>
      <c r="U222" s="101">
        <f>IF(AND(F222&lt;=DASHBOARD!$B$11, H222&gt;=DASHBOARD!$B$13), N222, -1000000000000)</f>
        <v/>
      </c>
      <c r="V222" s="101">
        <f>IF(AND(F222&lt;=DASHBOARD!$B$11, H222&gt;=DASHBOARD!$B$13), H222, -1000000000000)</f>
        <v/>
      </c>
      <c r="W222" s="101">
        <f>IF(AND(F222&lt;=DASHBOARD!$B$11, H222&gt;=DASHBOARD!$B$13), K222, -1000000000000)</f>
        <v/>
      </c>
      <c r="X222" s="101">
        <f>IF(AND(F222&lt;=DASHBOARD!$B$11, H222&gt;=DASHBOARD!$B$13), M222, 1000000000000)</f>
        <v/>
      </c>
      <c r="Y222" s="101">
        <f>IF(AND(F222&lt;=DASHBOARD!$B$10, H222&gt;=DASHBOARD!$B$11), L222, 1000000000000)</f>
        <v/>
      </c>
      <c r="Z222" s="101">
        <f>IF(AND(F222&lt;=DASHBOARD!$B$10, H222&gt;=DASHBOARD!$B$11), O222, 1000000000000)</f>
        <v/>
      </c>
      <c r="AA222" s="101">
        <f>IF(AND(F222&lt;=DASHBOARD!$B$10, H222&gt;=DASHBOARD!$B$11), P222, 1000000000000)</f>
        <v/>
      </c>
      <c r="AB222" s="101">
        <f>IF(AND(F222&lt;=DASHBOARD!$B$10, H222&gt;=DASHBOARD!$B$11), Q222, -1000000000000)</f>
        <v/>
      </c>
    </row>
    <row r="223" ht="15" customHeight="1" s="102">
      <c r="A223" s="166" t="n">
        <v>219</v>
      </c>
      <c r="B223" s="167" t="n">
        <v>0.5</v>
      </c>
      <c r="C223" s="167" t="n">
        <v>0.4</v>
      </c>
      <c r="D223" s="110" t="inlineStr">
        <is>
          <t>Yok (%0)</t>
        </is>
      </c>
      <c r="E223" s="110">
        <f>IF((B223+C223)&lt;=1, "Tam Mahsuplaşma (≤%100)", "Kısmi Satış (&gt;%100)")</f>
        <v/>
      </c>
      <c r="F223" s="168">
        <f>((VERI_TABANI!$D$29*B223/VERI_TABANI!$B$29)/VERI_TABANI!$B$3)*VERI_TABANI!$B$5 + ((VERI_TABANI!$D$29*C223/VERI_TABANI!$B$29)/VERI_TABANI!$B$4)*VERI_TABANI!$B$6 + IF(ISNUMBER(SEARCH("Var", D223)), (VERI_TABANI!$F$29/VERI_TABANI!$B$29)*(VERI_TABANI!$B$10+VERI_TABANI!$B$12), 0)</f>
        <v/>
      </c>
      <c r="G223" s="168">
        <f>(((MIN(VERI_TABANI!D23, VERI_TABANI!D23*B223)*VERI_TABANI!$B$7 + MAX(0, VERI_TABANI!D23*B223-VERI_TABANI!D23)*VERI_TABANI!$B$8) + (MIN(MAX(0, VERI_TABANI!D23-VERI_TABANI!D23*B223), VERI_TABANI!D23*C223)*VERI_TABANI!$B$7 + MAX(0, VERI_TABANI!D23*C223-MAX(0, VERI_TABANI!D23-VERI_TABANI!D23*B223))*VERI_TABANI!$B$8) + IF(ABS(IF(ISNUMBER(SEARCH("Var", D223)), 1, IF(ISNUMBER(SEARCH("Gri", D223)), -1, 0)))=1, VERI_TABANI!E23*(1-0.928)*VERI_TABANI!$B$9, 0) + (VERI_TABANI!D23*B223*(VERI_TABANI!$B$13-VERI_TABANI!$B$14)*VERI_TABANI!G23) + (VERI_TABANI!D23*C223*(VERI_TABANI!$B$13-VERI_TABANI!$B$15)*VERI_TABANI!G23) + IF(ABS(IF(ISNUMBER(SEARCH("Var", D223)), 1, IF(ISNUMBER(SEARCH("Gri", D223)), -1, 0)))=1, VERI_TABANI!E23*(1-0.928)*0.00206091519919798*VERI_TABANI!G23, 0)) + ((MIN(VERI_TABANI!D24, VERI_TABANI!D24*B223)*VERI_TABANI!$B$7 + MAX(0, VERI_TABANI!D24*B223-VERI_TABANI!D24)*VERI_TABANI!$B$8) + (MIN(MAX(0, VERI_TABANI!D24-VERI_TABANI!D24*B223), VERI_TABANI!D24*C223)*VERI_TABANI!$B$7 + MAX(0, VERI_TABANI!D24*C223-MAX(0, VERI_TABANI!D24-VERI_TABANI!D24*B223))*VERI_TABANI!$B$8) + IF(ABS(IF(ISNUMBER(SEARCH("Var", D223)), 1, IF(ISNUMBER(SEARCH("Gri", D223)), -1, 0)))=1, VERI_TABANI!E24*(1-0.928)*VERI_TABANI!$B$9, 0) + (VERI_TABANI!D24*B223*(VERI_TABANI!$B$13-VERI_TABANI!$B$14)*VERI_TABANI!G24) + (VERI_TABANI!D24*C223*(VERI_TABANI!$B$13-VERI_TABANI!$B$15)*VERI_TABANI!G24) + IF(ABS(IF(ISNUMBER(SEARCH("Var", D223)), 1, IF(ISNUMBER(SEARCH("Gri", D223)), -1, 0)))=1, VERI_TABANI!E24*(1-0.928)*0.00206091519919798*VERI_TABANI!G24, 0)) + ((MIN(VERI_TABANI!D25, VERI_TABANI!D25*B223)*VERI_TABANI!$B$7 + MAX(0, VERI_TABANI!D25*B223-VERI_TABANI!D25)*VERI_TABANI!$B$8) + (MIN(MAX(0, VERI_TABANI!D25-VERI_TABANI!D25*B223), VERI_TABANI!D25*C223)*VERI_TABANI!$B$7 + MAX(0, VERI_TABANI!D25*C223-MAX(0, VERI_TABANI!D25-VERI_TABANI!D25*B223))*VERI_TABANI!$B$8) + IF(ABS(IF(ISNUMBER(SEARCH("Var", D223)), 1, IF(ISNUMBER(SEARCH("Gri", D223)), -1, 0)))=1, VERI_TABANI!E25*(1-0.928)*VERI_TABANI!$B$9, 0) + (VERI_TABANI!D25*B223*(VERI_TABANI!$B$13-VERI_TABANI!$B$14)*VERI_TABANI!G25) + (VERI_TABANI!D25*C223*(VERI_TABANI!$B$13-VERI_TABANI!$B$15)*VERI_TABANI!G25) + IF(ABS(IF(ISNUMBER(SEARCH("Var", D223)), 1, IF(ISNUMBER(SEARCH("Gri", D223)), -1, 0)))=1, VERI_TABANI!E25*(1-0.928)*0.00206091519919798*VERI_TABANI!G25, 0)) + ((MIN(VERI_TABANI!D26, VERI_TABANI!D26*B223)*VERI_TABANI!$B$7 + MAX(0, VERI_TABANI!D26*B223-VERI_TABANI!D26)*VERI_TABANI!$B$8) + (MIN(MAX(0, VERI_TABANI!D26-VERI_TABANI!D26*B223), VERI_TABANI!D26*C223)*VERI_TABANI!$B$7 + MAX(0, VERI_TABANI!D26*C223-MAX(0, VERI_TABANI!D26-VERI_TABANI!D26*B223))*VERI_TABANI!$B$8) + IF(ABS(IF(ISNUMBER(SEARCH("Var", D223)), 1, IF(ISNUMBER(SEARCH("Gri", D223)), -1, 0)))=1, VERI_TABANI!E26*(1-0.928)*VERI_TABANI!$B$9, 0) + (VERI_TABANI!D26*B223*(VERI_TABANI!$B$13-VERI_TABANI!$B$14)*VERI_TABANI!G26) + (VERI_TABANI!D26*C223*(VERI_TABANI!$B$13-VERI_TABANI!$B$15)*VERI_TABANI!G26) + IF(ABS(IF(ISNUMBER(SEARCH("Var", D223)), 1, IF(ISNUMBER(SEARCH("Gri", D223)), -1, 0)))=1, VERI_TABANI!E26*(1-0.928)*0.00206091519919798*VERI_TABANI!G26, 0)) + ((MIN(VERI_TABANI!D27, VERI_TABANI!D27*B223)*VERI_TABANI!$B$7 + MAX(0, VERI_TABANI!D27*B223-VERI_TABANI!D27)*VERI_TABANI!$B$8) + (MIN(MAX(0, VERI_TABANI!D27-VERI_TABANI!D27*B223), VERI_TABANI!D27*C223)*VERI_TABANI!$B$7 + MAX(0, VERI_TABANI!D27*C223-MAX(0, VERI_TABANI!D27-VERI_TABANI!D27*B223))*VERI_TABANI!$B$8) + IF(ABS(IF(ISNUMBER(SEARCH("Var", D223)), 1, IF(ISNUMBER(SEARCH("Gri", D223)), -1, 0)))=1, VERI_TABANI!E27*(1-0.928)*VERI_TABANI!$B$9, 0) + (VERI_TABANI!D27*B223*(VERI_TABANI!$B$13-VERI_TABANI!$B$14)*VERI_TABANI!G27) + (VERI_TABANI!D27*C223*(VERI_TABANI!$B$13-VERI_TABANI!$B$15)*VERI_TABANI!G27) + IF(ABS(IF(ISNUMBER(SEARCH("Var", D223)), 1, IF(ISNUMBER(SEARCH("Gri", D223)), -1, 0)))=1, VERI_TABANI!E27*(1-0.928)*0.00206091519919798*VERI_TABANI!G27, 0)) + ((MIN(VERI_TABANI!D28, VERI_TABANI!D28*B223)*VERI_TABANI!$B$7 + MAX(0, VERI_TABANI!D28*B223-VERI_TABANI!D28)*VERI_TABANI!$B$8) + (MIN(MAX(0, VERI_TABANI!D28-VERI_TABANI!D28*B223), VERI_TABANI!D28*C223)*VERI_TABANI!$B$7 + MAX(0, VERI_TABANI!D28*C223-MAX(0, VERI_TABANI!D28-VERI_TABANI!D28*B223))*VERI_TABANI!$B$8) + IF(ABS(IF(ISNUMBER(SEARCH("Var", D223)), 1, IF(ISNUMBER(SEARCH("Gri", D223)), -1, 0)))=1, VERI_TABANI!E28*(1-0.928)*VERI_TABANI!$B$9, 0) + (VERI_TABANI!D28*B223*(VERI_TABANI!$B$13-VERI_TABANI!$B$14)*VERI_TABANI!G28) + (VERI_TABANI!D28*C223*(VERI_TABANI!$B$13-VERI_TABANI!$B$15)*VERI_TABANI!G28) + IF(ABS(IF(ISNUMBER(SEARCH("Var", D223)), 1, IF(ISNUMBER(SEARCH("Gri", D223)), -1, 0)))=1, VERI_TABANI!E28*(1-0.928)*0.00206091519919798*VERI_TABANI!G28, 0)))</f>
        <v/>
      </c>
      <c r="H223" s="169">
        <f>(((VERI_TABANI!D23*B223*(VERI_TABANI!$B$13-VERI_TABANI!$B$14)) + (VERI_TABANI!D23*C223*(VERI_TABANI!$B$13-VERI_TABANI!$B$15)) + IF(ISNUMBER(SEARCH("Var", D223)), VERI_TABANI!F23*(0.00202-VERI_TABANI!$B$16), IF(ISNUMBER(SEARCH("Gri", D223)), VERI_TABANI!F23*(0.00202-VERI_TABANI!$B$17), 0))) + ((VERI_TABANI!D24*B223*(VERI_TABANI!$B$13-VERI_TABANI!$B$14)) + (VERI_TABANI!D24*C223*(VERI_TABANI!$B$13-VERI_TABANI!$B$15)) + IF(ISNUMBER(SEARCH("Var", D223)), VERI_TABANI!F24*(0.00202-VERI_TABANI!$B$16), IF(ISNUMBER(SEARCH("Gri", D223)), VERI_TABANI!F24*(0.00202-VERI_TABANI!$B$17), 0))) + ((VERI_TABANI!D25*B223*(VERI_TABANI!$B$13-VERI_TABANI!$B$14)) + (VERI_TABANI!D25*C223*(VERI_TABANI!$B$13-VERI_TABANI!$B$15)) + IF(ISNUMBER(SEARCH("Var", D223)), VERI_TABANI!F25*(0.00202-VERI_TABANI!$B$16), IF(ISNUMBER(SEARCH("Gri", D223)), VERI_TABANI!F25*(0.00202-VERI_TABANI!$B$17), 0))) + ((VERI_TABANI!D26*B223*(VERI_TABANI!$B$13-VERI_TABANI!$B$14)) + (VERI_TABANI!D26*C223*(VERI_TABANI!$B$13-VERI_TABANI!$B$15)) + IF(ISNUMBER(SEARCH("Var", D223)), VERI_TABANI!F26*(0.00202-VERI_TABANI!$B$16), IF(ISNUMBER(SEARCH("Gri", D223)), VERI_TABANI!F26*(0.00202-VERI_TABANI!$B$17), 0))) + ((VERI_TABANI!D27*B223*(VERI_TABANI!$B$13-VERI_TABANI!$B$14)) + (VERI_TABANI!D27*C223*(VERI_TABANI!$B$13-VERI_TABANI!$B$15)) + IF(ISNUMBER(SEARCH("Var", D223)), VERI_TABANI!F27*(0.00202-VERI_TABANI!$B$16), IF(ISNUMBER(SEARCH("Gri", D223)), VERI_TABANI!F27*(0.00202-VERI_TABANI!$B$17), 0))) + ((VERI_TABANI!D28*B223*(VERI_TABANI!$B$13-VERI_TABANI!$B$14)) + (VERI_TABANI!D28*C223*(VERI_TABANI!$B$13-VERI_TABANI!$B$15)) + IF(ISNUMBER(SEARCH("Var", D223)), VERI_TABANI!F28*(0.00202-VERI_TABANI!$B$16), IF(ISNUMBER(SEARCH("Gri", D223)), VERI_TABANI!F28*(0.00202-VERI_TABANI!$B$17), 0))))</f>
        <v/>
      </c>
      <c r="I223" s="170">
        <f>IFERROR(((VERI_TABANI!$D$29*B223*VERI_TABANI!$B$14 + VERI_TABANI!$D$29*C223*VERI_TABANI!$B$15 + IF(ISNUMBER(SEARCH("Var", D223)), VERI_TABANI!$F$29*VERI_TABANI!$B$16, 0))) / (((VERI_TABANI!$D$29*B223 + VERI_TABANI!$D$29*C223)*VERI_TABANI!$B$13 + IF(ISNUMBER(SEARCH("Var", D223)), VERI_TABANI!$E$29*(1-0.928)*VERI_TABANI!$B$18, 0))), 0)</f>
        <v/>
      </c>
      <c r="J223" s="171">
        <f>IFERROR(F223/(G223/29), 0)</f>
        <v/>
      </c>
      <c r="K223" s="172">
        <f>IF(F223&gt;0, H223/F223, 0)</f>
        <v/>
      </c>
      <c r="L223" s="170">
        <f>IF(F223&gt;0, I223, 1000000000)</f>
        <v/>
      </c>
      <c r="M223" s="171">
        <f>ABS((B223+C223)-1)</f>
        <v/>
      </c>
      <c r="N223" s="170">
        <f>IF(F223&gt;0, (G223/29)/F223, 0)</f>
        <v/>
      </c>
      <c r="O223" s="168">
        <f>IF(AND((B223+C223)&gt;=1, ISNUMBER(SEARCH("Var", D223))), F223, 1000000000)</f>
        <v/>
      </c>
      <c r="P223" s="172">
        <f>IF(F223&gt;0, SQRT((F223/MAX(F$5:F$886))^2 + (1 - H223/MAX(H$5:H$886))^2 + (J223/MAX(J$5:J$886))^2), 1000000000)</f>
        <v/>
      </c>
      <c r="Q223" s="166">
        <f>IF(AND(ABS(B223-0.5)&lt;0.01, ABS(C223-0.5)&lt;0.01, ISNUMBER(SEARCH("Var", D223))), 1, 0)</f>
        <v/>
      </c>
      <c r="R223" s="171">
        <f>IF(F223&gt;0, J223, 1000000000)</f>
        <v/>
      </c>
      <c r="S223" s="101">
        <f>IF(AND(F223&lt;=DASHBOARD!$B$11, H223&gt;=DASHBOARD!$B$13), G223, -1000000000000)</f>
        <v/>
      </c>
      <c r="T223" s="101">
        <f>IF(AND(F223&lt;=DASHBOARD!$B$11, H223&gt;=DASHBOARD!$B$13), R223, 1000000000000)</f>
        <v/>
      </c>
      <c r="U223" s="101">
        <f>IF(AND(F223&lt;=DASHBOARD!$B$11, H223&gt;=DASHBOARD!$B$13), N223, -1000000000000)</f>
        <v/>
      </c>
      <c r="V223" s="101">
        <f>IF(AND(F223&lt;=DASHBOARD!$B$11, H223&gt;=DASHBOARD!$B$13), H223, -1000000000000)</f>
        <v/>
      </c>
      <c r="W223" s="101">
        <f>IF(AND(F223&lt;=DASHBOARD!$B$11, H223&gt;=DASHBOARD!$B$13), K223, -1000000000000)</f>
        <v/>
      </c>
      <c r="X223" s="101">
        <f>IF(AND(F223&lt;=DASHBOARD!$B$11, H223&gt;=DASHBOARD!$B$13), M223, 1000000000000)</f>
        <v/>
      </c>
      <c r="Y223" s="101">
        <f>IF(AND(F223&lt;=DASHBOARD!$B$10, H223&gt;=DASHBOARD!$B$11), L223, 1000000000000)</f>
        <v/>
      </c>
      <c r="Z223" s="101">
        <f>IF(AND(F223&lt;=DASHBOARD!$B$10, H223&gt;=DASHBOARD!$B$11), O223, 1000000000000)</f>
        <v/>
      </c>
      <c r="AA223" s="101">
        <f>IF(AND(F223&lt;=DASHBOARD!$B$10, H223&gt;=DASHBOARD!$B$11), P223, 1000000000000)</f>
        <v/>
      </c>
      <c r="AB223" s="101">
        <f>IF(AND(F223&lt;=DASHBOARD!$B$10, H223&gt;=DASHBOARD!$B$11), Q223, -1000000000000)</f>
        <v/>
      </c>
    </row>
    <row r="224" ht="15" customHeight="1" s="102">
      <c r="A224" s="166" t="n">
        <v>220</v>
      </c>
      <c r="B224" s="167" t="n">
        <v>0.5</v>
      </c>
      <c r="C224" s="167" t="n">
        <v>0.4</v>
      </c>
      <c r="D224" s="110" t="inlineStr">
        <is>
          <t>Var (%20)</t>
        </is>
      </c>
      <c r="E224" s="110">
        <f>IF((B224+C224)&lt;=1, "Tam Mahsuplaşma (≤%100)", "Kısmi Satış (&gt;%100)")</f>
        <v/>
      </c>
      <c r="F224" s="168">
        <f>((VERI_TABANI!$D$29*B224/VERI_TABANI!$B$29)/VERI_TABANI!$B$3)*VERI_TABANI!$B$5 + ((VERI_TABANI!$D$29*C224/VERI_TABANI!$B$29)/VERI_TABANI!$B$4)*VERI_TABANI!$B$6 + IF(ISNUMBER(SEARCH("Var", D224)), (VERI_TABANI!$F$29/VERI_TABANI!$B$29)*(VERI_TABANI!$B$10+VERI_TABANI!$B$12), 0)</f>
        <v/>
      </c>
      <c r="G224" s="168">
        <f>(((MIN(VERI_TABANI!D23, VERI_TABANI!D23*B224)*VERI_TABANI!$B$7 + MAX(0, VERI_TABANI!D23*B224-VERI_TABANI!D23)*VERI_TABANI!$B$8) + (MIN(MAX(0, VERI_TABANI!D23-VERI_TABANI!D23*B224), VERI_TABANI!D23*C224)*VERI_TABANI!$B$7 + MAX(0, VERI_TABANI!D23*C224-MAX(0, VERI_TABANI!D23-VERI_TABANI!D23*B224))*VERI_TABANI!$B$8) + IF(ABS(IF(ISNUMBER(SEARCH("Var", D224)), 1, IF(ISNUMBER(SEARCH("Gri", D224)), -1, 0)))=1, VERI_TABANI!E23*(1-0.928)*VERI_TABANI!$B$9, 0) + (VERI_TABANI!D23*B224*(VERI_TABANI!$B$13-VERI_TABANI!$B$14)*VERI_TABANI!G23) + (VERI_TABANI!D23*C224*(VERI_TABANI!$B$13-VERI_TABANI!$B$15)*VERI_TABANI!G23) + IF(ABS(IF(ISNUMBER(SEARCH("Var", D224)), 1, IF(ISNUMBER(SEARCH("Gri", D224)), -1, 0)))=1, VERI_TABANI!E23*(1-0.928)*0.00206091519919798*VERI_TABANI!G23, 0)) + ((MIN(VERI_TABANI!D24, VERI_TABANI!D24*B224)*VERI_TABANI!$B$7 + MAX(0, VERI_TABANI!D24*B224-VERI_TABANI!D24)*VERI_TABANI!$B$8) + (MIN(MAX(0, VERI_TABANI!D24-VERI_TABANI!D24*B224), VERI_TABANI!D24*C224)*VERI_TABANI!$B$7 + MAX(0, VERI_TABANI!D24*C224-MAX(0, VERI_TABANI!D24-VERI_TABANI!D24*B224))*VERI_TABANI!$B$8) + IF(ABS(IF(ISNUMBER(SEARCH("Var", D224)), 1, IF(ISNUMBER(SEARCH("Gri", D224)), -1, 0)))=1, VERI_TABANI!E24*(1-0.928)*VERI_TABANI!$B$9, 0) + (VERI_TABANI!D24*B224*(VERI_TABANI!$B$13-VERI_TABANI!$B$14)*VERI_TABANI!G24) + (VERI_TABANI!D24*C224*(VERI_TABANI!$B$13-VERI_TABANI!$B$15)*VERI_TABANI!G24) + IF(ABS(IF(ISNUMBER(SEARCH("Var", D224)), 1, IF(ISNUMBER(SEARCH("Gri", D224)), -1, 0)))=1, VERI_TABANI!E24*(1-0.928)*0.00206091519919798*VERI_TABANI!G24, 0)) + ((MIN(VERI_TABANI!D25, VERI_TABANI!D25*B224)*VERI_TABANI!$B$7 + MAX(0, VERI_TABANI!D25*B224-VERI_TABANI!D25)*VERI_TABANI!$B$8) + (MIN(MAX(0, VERI_TABANI!D25-VERI_TABANI!D25*B224), VERI_TABANI!D25*C224)*VERI_TABANI!$B$7 + MAX(0, VERI_TABANI!D25*C224-MAX(0, VERI_TABANI!D25-VERI_TABANI!D25*B224))*VERI_TABANI!$B$8) + IF(ABS(IF(ISNUMBER(SEARCH("Var", D224)), 1, IF(ISNUMBER(SEARCH("Gri", D224)), -1, 0)))=1, VERI_TABANI!E25*(1-0.928)*VERI_TABANI!$B$9, 0) + (VERI_TABANI!D25*B224*(VERI_TABANI!$B$13-VERI_TABANI!$B$14)*VERI_TABANI!G25) + (VERI_TABANI!D25*C224*(VERI_TABANI!$B$13-VERI_TABANI!$B$15)*VERI_TABANI!G25) + IF(ABS(IF(ISNUMBER(SEARCH("Var", D224)), 1, IF(ISNUMBER(SEARCH("Gri", D224)), -1, 0)))=1, VERI_TABANI!E25*(1-0.928)*0.00206091519919798*VERI_TABANI!G25, 0)) + ((MIN(VERI_TABANI!D26, VERI_TABANI!D26*B224)*VERI_TABANI!$B$7 + MAX(0, VERI_TABANI!D26*B224-VERI_TABANI!D26)*VERI_TABANI!$B$8) + (MIN(MAX(0, VERI_TABANI!D26-VERI_TABANI!D26*B224), VERI_TABANI!D26*C224)*VERI_TABANI!$B$7 + MAX(0, VERI_TABANI!D26*C224-MAX(0, VERI_TABANI!D26-VERI_TABANI!D26*B224))*VERI_TABANI!$B$8) + IF(ABS(IF(ISNUMBER(SEARCH("Var", D224)), 1, IF(ISNUMBER(SEARCH("Gri", D224)), -1, 0)))=1, VERI_TABANI!E26*(1-0.928)*VERI_TABANI!$B$9, 0) + (VERI_TABANI!D26*B224*(VERI_TABANI!$B$13-VERI_TABANI!$B$14)*VERI_TABANI!G26) + (VERI_TABANI!D26*C224*(VERI_TABANI!$B$13-VERI_TABANI!$B$15)*VERI_TABANI!G26) + IF(ABS(IF(ISNUMBER(SEARCH("Var", D224)), 1, IF(ISNUMBER(SEARCH("Gri", D224)), -1, 0)))=1, VERI_TABANI!E26*(1-0.928)*0.00206091519919798*VERI_TABANI!G26, 0)) + ((MIN(VERI_TABANI!D27, VERI_TABANI!D27*B224)*VERI_TABANI!$B$7 + MAX(0, VERI_TABANI!D27*B224-VERI_TABANI!D27)*VERI_TABANI!$B$8) + (MIN(MAX(0, VERI_TABANI!D27-VERI_TABANI!D27*B224), VERI_TABANI!D27*C224)*VERI_TABANI!$B$7 + MAX(0, VERI_TABANI!D27*C224-MAX(0, VERI_TABANI!D27-VERI_TABANI!D27*B224))*VERI_TABANI!$B$8) + IF(ABS(IF(ISNUMBER(SEARCH("Var", D224)), 1, IF(ISNUMBER(SEARCH("Gri", D224)), -1, 0)))=1, VERI_TABANI!E27*(1-0.928)*VERI_TABANI!$B$9, 0) + (VERI_TABANI!D27*B224*(VERI_TABANI!$B$13-VERI_TABANI!$B$14)*VERI_TABANI!G27) + (VERI_TABANI!D27*C224*(VERI_TABANI!$B$13-VERI_TABANI!$B$15)*VERI_TABANI!G27) + IF(ABS(IF(ISNUMBER(SEARCH("Var", D224)), 1, IF(ISNUMBER(SEARCH("Gri", D224)), -1, 0)))=1, VERI_TABANI!E27*(1-0.928)*0.00206091519919798*VERI_TABANI!G27, 0)) + ((MIN(VERI_TABANI!D28, VERI_TABANI!D28*B224)*VERI_TABANI!$B$7 + MAX(0, VERI_TABANI!D28*B224-VERI_TABANI!D28)*VERI_TABANI!$B$8) + (MIN(MAX(0, VERI_TABANI!D28-VERI_TABANI!D28*B224), VERI_TABANI!D28*C224)*VERI_TABANI!$B$7 + MAX(0, VERI_TABANI!D28*C224-MAX(0, VERI_TABANI!D28-VERI_TABANI!D28*B224))*VERI_TABANI!$B$8) + IF(ABS(IF(ISNUMBER(SEARCH("Var", D224)), 1, IF(ISNUMBER(SEARCH("Gri", D224)), -1, 0)))=1, VERI_TABANI!E28*(1-0.928)*VERI_TABANI!$B$9, 0) + (VERI_TABANI!D28*B224*(VERI_TABANI!$B$13-VERI_TABANI!$B$14)*VERI_TABANI!G28) + (VERI_TABANI!D28*C224*(VERI_TABANI!$B$13-VERI_TABANI!$B$15)*VERI_TABANI!G28) + IF(ABS(IF(ISNUMBER(SEARCH("Var", D224)), 1, IF(ISNUMBER(SEARCH("Gri", D224)), -1, 0)))=1, VERI_TABANI!E28*(1-0.928)*0.00206091519919798*VERI_TABANI!G28, 0)))</f>
        <v/>
      </c>
      <c r="H224" s="169">
        <f>(((VERI_TABANI!D23*B224*(VERI_TABANI!$B$13-VERI_TABANI!$B$14)) + (VERI_TABANI!D23*C224*(VERI_TABANI!$B$13-VERI_TABANI!$B$15)) + IF(ISNUMBER(SEARCH("Var", D224)), VERI_TABANI!F23*(0.00202-VERI_TABANI!$B$16), IF(ISNUMBER(SEARCH("Gri", D224)), VERI_TABANI!F23*(0.00202-VERI_TABANI!$B$17), 0))) + ((VERI_TABANI!D24*B224*(VERI_TABANI!$B$13-VERI_TABANI!$B$14)) + (VERI_TABANI!D24*C224*(VERI_TABANI!$B$13-VERI_TABANI!$B$15)) + IF(ISNUMBER(SEARCH("Var", D224)), VERI_TABANI!F24*(0.00202-VERI_TABANI!$B$16), IF(ISNUMBER(SEARCH("Gri", D224)), VERI_TABANI!F24*(0.00202-VERI_TABANI!$B$17), 0))) + ((VERI_TABANI!D25*B224*(VERI_TABANI!$B$13-VERI_TABANI!$B$14)) + (VERI_TABANI!D25*C224*(VERI_TABANI!$B$13-VERI_TABANI!$B$15)) + IF(ISNUMBER(SEARCH("Var", D224)), VERI_TABANI!F25*(0.00202-VERI_TABANI!$B$16), IF(ISNUMBER(SEARCH("Gri", D224)), VERI_TABANI!F25*(0.00202-VERI_TABANI!$B$17), 0))) + ((VERI_TABANI!D26*B224*(VERI_TABANI!$B$13-VERI_TABANI!$B$14)) + (VERI_TABANI!D26*C224*(VERI_TABANI!$B$13-VERI_TABANI!$B$15)) + IF(ISNUMBER(SEARCH("Var", D224)), VERI_TABANI!F26*(0.00202-VERI_TABANI!$B$16), IF(ISNUMBER(SEARCH("Gri", D224)), VERI_TABANI!F26*(0.00202-VERI_TABANI!$B$17), 0))) + ((VERI_TABANI!D27*B224*(VERI_TABANI!$B$13-VERI_TABANI!$B$14)) + (VERI_TABANI!D27*C224*(VERI_TABANI!$B$13-VERI_TABANI!$B$15)) + IF(ISNUMBER(SEARCH("Var", D224)), VERI_TABANI!F27*(0.00202-VERI_TABANI!$B$16), IF(ISNUMBER(SEARCH("Gri", D224)), VERI_TABANI!F27*(0.00202-VERI_TABANI!$B$17), 0))) + ((VERI_TABANI!D28*B224*(VERI_TABANI!$B$13-VERI_TABANI!$B$14)) + (VERI_TABANI!D28*C224*(VERI_TABANI!$B$13-VERI_TABANI!$B$15)) + IF(ISNUMBER(SEARCH("Var", D224)), VERI_TABANI!F28*(0.00202-VERI_TABANI!$B$16), IF(ISNUMBER(SEARCH("Gri", D224)), VERI_TABANI!F28*(0.00202-VERI_TABANI!$B$17), 0))))</f>
        <v/>
      </c>
      <c r="I224" s="170">
        <f>IFERROR(((VERI_TABANI!$D$29*B224*VERI_TABANI!$B$14 + VERI_TABANI!$D$29*C224*VERI_TABANI!$B$15 + IF(ISNUMBER(SEARCH("Var", D224)), VERI_TABANI!$F$29*VERI_TABANI!$B$16, 0))) / (((VERI_TABANI!$D$29*B224 + VERI_TABANI!$D$29*C224)*VERI_TABANI!$B$13 + IF(ISNUMBER(SEARCH("Var", D224)), VERI_TABANI!$E$29*(1-0.928)*VERI_TABANI!$B$18, 0))), 0)</f>
        <v/>
      </c>
      <c r="J224" s="171">
        <f>IFERROR(F224/(G224/29), 0)</f>
        <v/>
      </c>
      <c r="K224" s="172">
        <f>IF(F224&gt;0, H224/F224, 0)</f>
        <v/>
      </c>
      <c r="L224" s="170">
        <f>IF(F224&gt;0, I224, 1000000000)</f>
        <v/>
      </c>
      <c r="M224" s="171">
        <f>ABS((B224+C224)-1)</f>
        <v/>
      </c>
      <c r="N224" s="170">
        <f>IF(F224&gt;0, (G224/29)/F224, 0)</f>
        <v/>
      </c>
      <c r="O224" s="168">
        <f>IF(AND((B224+C224)&gt;=1, ISNUMBER(SEARCH("Var", D224))), F224, 1000000000)</f>
        <v/>
      </c>
      <c r="P224" s="172">
        <f>IF(F224&gt;0, SQRT((F224/MAX(F$5:F$886))^2 + (1 - H224/MAX(H$5:H$886))^2 + (J224/MAX(J$5:J$886))^2), 1000000000)</f>
        <v/>
      </c>
      <c r="Q224" s="166">
        <f>IF(AND(ABS(B224-0.5)&lt;0.01, ABS(C224-0.5)&lt;0.01, ISNUMBER(SEARCH("Var", D224))), 1, 0)</f>
        <v/>
      </c>
      <c r="R224" s="171">
        <f>IF(F224&gt;0, J224, 1000000000)</f>
        <v/>
      </c>
      <c r="S224" s="101">
        <f>IF(AND(F224&lt;=DASHBOARD!$B$11, H224&gt;=DASHBOARD!$B$13), G224, -1000000000000)</f>
        <v/>
      </c>
      <c r="T224" s="101">
        <f>IF(AND(F224&lt;=DASHBOARD!$B$11, H224&gt;=DASHBOARD!$B$13), R224, 1000000000000)</f>
        <v/>
      </c>
      <c r="U224" s="101">
        <f>IF(AND(F224&lt;=DASHBOARD!$B$11, H224&gt;=DASHBOARD!$B$13), N224, -1000000000000)</f>
        <v/>
      </c>
      <c r="V224" s="101">
        <f>IF(AND(F224&lt;=DASHBOARD!$B$11, H224&gt;=DASHBOARD!$B$13), H224, -1000000000000)</f>
        <v/>
      </c>
      <c r="W224" s="101">
        <f>IF(AND(F224&lt;=DASHBOARD!$B$11, H224&gt;=DASHBOARD!$B$13), K224, -1000000000000)</f>
        <v/>
      </c>
      <c r="X224" s="101">
        <f>IF(AND(F224&lt;=DASHBOARD!$B$11, H224&gt;=DASHBOARD!$B$13), M224, 1000000000000)</f>
        <v/>
      </c>
      <c r="Y224" s="101">
        <f>IF(AND(F224&lt;=DASHBOARD!$B$10, H224&gt;=DASHBOARD!$B$11), L224, 1000000000000)</f>
        <v/>
      </c>
      <c r="Z224" s="101">
        <f>IF(AND(F224&lt;=DASHBOARD!$B$10, H224&gt;=DASHBOARD!$B$11), O224, 1000000000000)</f>
        <v/>
      </c>
      <c r="AA224" s="101">
        <f>IF(AND(F224&lt;=DASHBOARD!$B$10, H224&gt;=DASHBOARD!$B$11), P224, 1000000000000)</f>
        <v/>
      </c>
      <c r="AB224" s="101">
        <f>IF(AND(F224&lt;=DASHBOARD!$B$10, H224&gt;=DASHBOARD!$B$11), Q224, -1000000000000)</f>
        <v/>
      </c>
    </row>
    <row r="225" ht="15" customHeight="1" s="102">
      <c r="A225" s="166" t="n">
        <v>221</v>
      </c>
      <c r="B225" s="167" t="n">
        <v>0.5</v>
      </c>
      <c r="C225" s="167" t="n">
        <v>0.5</v>
      </c>
      <c r="D225" s="110" t="inlineStr">
        <is>
          <t>Yok (%0)</t>
        </is>
      </c>
      <c r="E225" s="110">
        <f>IF((B225+C225)&lt;=1, "Tam Mahsuplaşma (≤%100)", "Kısmi Satış (&gt;%100)")</f>
        <v/>
      </c>
      <c r="F225" s="168">
        <f>((VERI_TABANI!$D$29*B225/VERI_TABANI!$B$29)/VERI_TABANI!$B$3)*VERI_TABANI!$B$5 + ((VERI_TABANI!$D$29*C225/VERI_TABANI!$B$29)/VERI_TABANI!$B$4)*VERI_TABANI!$B$6 + IF(ISNUMBER(SEARCH("Var", D225)), (VERI_TABANI!$F$29/VERI_TABANI!$B$29)*(VERI_TABANI!$B$10+VERI_TABANI!$B$12), 0)</f>
        <v/>
      </c>
      <c r="G225" s="168">
        <f>(((MIN(VERI_TABANI!D23, VERI_TABANI!D23*B225)*VERI_TABANI!$B$7 + MAX(0, VERI_TABANI!D23*B225-VERI_TABANI!D23)*VERI_TABANI!$B$8) + (MIN(MAX(0, VERI_TABANI!D23-VERI_TABANI!D23*B225), VERI_TABANI!D23*C225)*VERI_TABANI!$B$7 + MAX(0, VERI_TABANI!D23*C225-MAX(0, VERI_TABANI!D23-VERI_TABANI!D23*B225))*VERI_TABANI!$B$8) + IF(ABS(IF(ISNUMBER(SEARCH("Var", D225)), 1, IF(ISNUMBER(SEARCH("Gri", D225)), -1, 0)))=1, VERI_TABANI!E23*(1-0.928)*VERI_TABANI!$B$9, 0) + (VERI_TABANI!D23*B225*(VERI_TABANI!$B$13-VERI_TABANI!$B$14)*VERI_TABANI!G23) + (VERI_TABANI!D23*C225*(VERI_TABANI!$B$13-VERI_TABANI!$B$15)*VERI_TABANI!G23) + IF(ABS(IF(ISNUMBER(SEARCH("Var", D225)), 1, IF(ISNUMBER(SEARCH("Gri", D225)), -1, 0)))=1, VERI_TABANI!E23*(1-0.928)*0.00206091519919798*VERI_TABANI!G23, 0)) + ((MIN(VERI_TABANI!D24, VERI_TABANI!D24*B225)*VERI_TABANI!$B$7 + MAX(0, VERI_TABANI!D24*B225-VERI_TABANI!D24)*VERI_TABANI!$B$8) + (MIN(MAX(0, VERI_TABANI!D24-VERI_TABANI!D24*B225), VERI_TABANI!D24*C225)*VERI_TABANI!$B$7 + MAX(0, VERI_TABANI!D24*C225-MAX(0, VERI_TABANI!D24-VERI_TABANI!D24*B225))*VERI_TABANI!$B$8) + IF(ABS(IF(ISNUMBER(SEARCH("Var", D225)), 1, IF(ISNUMBER(SEARCH("Gri", D225)), -1, 0)))=1, VERI_TABANI!E24*(1-0.928)*VERI_TABANI!$B$9, 0) + (VERI_TABANI!D24*B225*(VERI_TABANI!$B$13-VERI_TABANI!$B$14)*VERI_TABANI!G24) + (VERI_TABANI!D24*C225*(VERI_TABANI!$B$13-VERI_TABANI!$B$15)*VERI_TABANI!G24) + IF(ABS(IF(ISNUMBER(SEARCH("Var", D225)), 1, IF(ISNUMBER(SEARCH("Gri", D225)), -1, 0)))=1, VERI_TABANI!E24*(1-0.928)*0.00206091519919798*VERI_TABANI!G24, 0)) + ((MIN(VERI_TABANI!D25, VERI_TABANI!D25*B225)*VERI_TABANI!$B$7 + MAX(0, VERI_TABANI!D25*B225-VERI_TABANI!D25)*VERI_TABANI!$B$8) + (MIN(MAX(0, VERI_TABANI!D25-VERI_TABANI!D25*B225), VERI_TABANI!D25*C225)*VERI_TABANI!$B$7 + MAX(0, VERI_TABANI!D25*C225-MAX(0, VERI_TABANI!D25-VERI_TABANI!D25*B225))*VERI_TABANI!$B$8) + IF(ABS(IF(ISNUMBER(SEARCH("Var", D225)), 1, IF(ISNUMBER(SEARCH("Gri", D225)), -1, 0)))=1, VERI_TABANI!E25*(1-0.928)*VERI_TABANI!$B$9, 0) + (VERI_TABANI!D25*B225*(VERI_TABANI!$B$13-VERI_TABANI!$B$14)*VERI_TABANI!G25) + (VERI_TABANI!D25*C225*(VERI_TABANI!$B$13-VERI_TABANI!$B$15)*VERI_TABANI!G25) + IF(ABS(IF(ISNUMBER(SEARCH("Var", D225)), 1, IF(ISNUMBER(SEARCH("Gri", D225)), -1, 0)))=1, VERI_TABANI!E25*(1-0.928)*0.00206091519919798*VERI_TABANI!G25, 0)) + ((MIN(VERI_TABANI!D26, VERI_TABANI!D26*B225)*VERI_TABANI!$B$7 + MAX(0, VERI_TABANI!D26*B225-VERI_TABANI!D26)*VERI_TABANI!$B$8) + (MIN(MAX(0, VERI_TABANI!D26-VERI_TABANI!D26*B225), VERI_TABANI!D26*C225)*VERI_TABANI!$B$7 + MAX(0, VERI_TABANI!D26*C225-MAX(0, VERI_TABANI!D26-VERI_TABANI!D26*B225))*VERI_TABANI!$B$8) + IF(ABS(IF(ISNUMBER(SEARCH("Var", D225)), 1, IF(ISNUMBER(SEARCH("Gri", D225)), -1, 0)))=1, VERI_TABANI!E26*(1-0.928)*VERI_TABANI!$B$9, 0) + (VERI_TABANI!D26*B225*(VERI_TABANI!$B$13-VERI_TABANI!$B$14)*VERI_TABANI!G26) + (VERI_TABANI!D26*C225*(VERI_TABANI!$B$13-VERI_TABANI!$B$15)*VERI_TABANI!G26) + IF(ABS(IF(ISNUMBER(SEARCH("Var", D225)), 1, IF(ISNUMBER(SEARCH("Gri", D225)), -1, 0)))=1, VERI_TABANI!E26*(1-0.928)*0.00206091519919798*VERI_TABANI!G26, 0)) + ((MIN(VERI_TABANI!D27, VERI_TABANI!D27*B225)*VERI_TABANI!$B$7 + MAX(0, VERI_TABANI!D27*B225-VERI_TABANI!D27)*VERI_TABANI!$B$8) + (MIN(MAX(0, VERI_TABANI!D27-VERI_TABANI!D27*B225), VERI_TABANI!D27*C225)*VERI_TABANI!$B$7 + MAX(0, VERI_TABANI!D27*C225-MAX(0, VERI_TABANI!D27-VERI_TABANI!D27*B225))*VERI_TABANI!$B$8) + IF(ABS(IF(ISNUMBER(SEARCH("Var", D225)), 1, IF(ISNUMBER(SEARCH("Gri", D225)), -1, 0)))=1, VERI_TABANI!E27*(1-0.928)*VERI_TABANI!$B$9, 0) + (VERI_TABANI!D27*B225*(VERI_TABANI!$B$13-VERI_TABANI!$B$14)*VERI_TABANI!G27) + (VERI_TABANI!D27*C225*(VERI_TABANI!$B$13-VERI_TABANI!$B$15)*VERI_TABANI!G27) + IF(ABS(IF(ISNUMBER(SEARCH("Var", D225)), 1, IF(ISNUMBER(SEARCH("Gri", D225)), -1, 0)))=1, VERI_TABANI!E27*(1-0.928)*0.00206091519919798*VERI_TABANI!G27, 0)) + ((MIN(VERI_TABANI!D28, VERI_TABANI!D28*B225)*VERI_TABANI!$B$7 + MAX(0, VERI_TABANI!D28*B225-VERI_TABANI!D28)*VERI_TABANI!$B$8) + (MIN(MAX(0, VERI_TABANI!D28-VERI_TABANI!D28*B225), VERI_TABANI!D28*C225)*VERI_TABANI!$B$7 + MAX(0, VERI_TABANI!D28*C225-MAX(0, VERI_TABANI!D28-VERI_TABANI!D28*B225))*VERI_TABANI!$B$8) + IF(ABS(IF(ISNUMBER(SEARCH("Var", D225)), 1, IF(ISNUMBER(SEARCH("Gri", D225)), -1, 0)))=1, VERI_TABANI!E28*(1-0.928)*VERI_TABANI!$B$9, 0) + (VERI_TABANI!D28*B225*(VERI_TABANI!$B$13-VERI_TABANI!$B$14)*VERI_TABANI!G28) + (VERI_TABANI!D28*C225*(VERI_TABANI!$B$13-VERI_TABANI!$B$15)*VERI_TABANI!G28) + IF(ABS(IF(ISNUMBER(SEARCH("Var", D225)), 1, IF(ISNUMBER(SEARCH("Gri", D225)), -1, 0)))=1, VERI_TABANI!E28*(1-0.928)*0.00206091519919798*VERI_TABANI!G28, 0)))</f>
        <v/>
      </c>
      <c r="H225" s="169">
        <f>(((VERI_TABANI!D23*B225*(VERI_TABANI!$B$13-VERI_TABANI!$B$14)) + (VERI_TABANI!D23*C225*(VERI_TABANI!$B$13-VERI_TABANI!$B$15)) + IF(ISNUMBER(SEARCH("Var", D225)), VERI_TABANI!F23*(0.00202-VERI_TABANI!$B$16), IF(ISNUMBER(SEARCH("Gri", D225)), VERI_TABANI!F23*(0.00202-VERI_TABANI!$B$17), 0))) + ((VERI_TABANI!D24*B225*(VERI_TABANI!$B$13-VERI_TABANI!$B$14)) + (VERI_TABANI!D24*C225*(VERI_TABANI!$B$13-VERI_TABANI!$B$15)) + IF(ISNUMBER(SEARCH("Var", D225)), VERI_TABANI!F24*(0.00202-VERI_TABANI!$B$16), IF(ISNUMBER(SEARCH("Gri", D225)), VERI_TABANI!F24*(0.00202-VERI_TABANI!$B$17), 0))) + ((VERI_TABANI!D25*B225*(VERI_TABANI!$B$13-VERI_TABANI!$B$14)) + (VERI_TABANI!D25*C225*(VERI_TABANI!$B$13-VERI_TABANI!$B$15)) + IF(ISNUMBER(SEARCH("Var", D225)), VERI_TABANI!F25*(0.00202-VERI_TABANI!$B$16), IF(ISNUMBER(SEARCH("Gri", D225)), VERI_TABANI!F25*(0.00202-VERI_TABANI!$B$17), 0))) + ((VERI_TABANI!D26*B225*(VERI_TABANI!$B$13-VERI_TABANI!$B$14)) + (VERI_TABANI!D26*C225*(VERI_TABANI!$B$13-VERI_TABANI!$B$15)) + IF(ISNUMBER(SEARCH("Var", D225)), VERI_TABANI!F26*(0.00202-VERI_TABANI!$B$16), IF(ISNUMBER(SEARCH("Gri", D225)), VERI_TABANI!F26*(0.00202-VERI_TABANI!$B$17), 0))) + ((VERI_TABANI!D27*B225*(VERI_TABANI!$B$13-VERI_TABANI!$B$14)) + (VERI_TABANI!D27*C225*(VERI_TABANI!$B$13-VERI_TABANI!$B$15)) + IF(ISNUMBER(SEARCH("Var", D225)), VERI_TABANI!F27*(0.00202-VERI_TABANI!$B$16), IF(ISNUMBER(SEARCH("Gri", D225)), VERI_TABANI!F27*(0.00202-VERI_TABANI!$B$17), 0))) + ((VERI_TABANI!D28*B225*(VERI_TABANI!$B$13-VERI_TABANI!$B$14)) + (VERI_TABANI!D28*C225*(VERI_TABANI!$B$13-VERI_TABANI!$B$15)) + IF(ISNUMBER(SEARCH("Var", D225)), VERI_TABANI!F28*(0.00202-VERI_TABANI!$B$16), IF(ISNUMBER(SEARCH("Gri", D225)), VERI_TABANI!F28*(0.00202-VERI_TABANI!$B$17), 0))))</f>
        <v/>
      </c>
      <c r="I225" s="170">
        <f>IFERROR(((VERI_TABANI!$D$29*B225*VERI_TABANI!$B$14 + VERI_TABANI!$D$29*C225*VERI_TABANI!$B$15 + IF(ISNUMBER(SEARCH("Var", D225)), VERI_TABANI!$F$29*VERI_TABANI!$B$16, 0))) / (((VERI_TABANI!$D$29*B225 + VERI_TABANI!$D$29*C225)*VERI_TABANI!$B$13 + IF(ISNUMBER(SEARCH("Var", D225)), VERI_TABANI!$E$29*(1-0.928)*VERI_TABANI!$B$18, 0))), 0)</f>
        <v/>
      </c>
      <c r="J225" s="171">
        <f>IFERROR(F225/(G225/29), 0)</f>
        <v/>
      </c>
      <c r="K225" s="172">
        <f>IF(F225&gt;0, H225/F225, 0)</f>
        <v/>
      </c>
      <c r="L225" s="170">
        <f>IF(F225&gt;0, I225, 1000000000)</f>
        <v/>
      </c>
      <c r="M225" s="171">
        <f>ABS((B225+C225)-1)</f>
        <v/>
      </c>
      <c r="N225" s="170">
        <f>IF(F225&gt;0, (G225/29)/F225, 0)</f>
        <v/>
      </c>
      <c r="O225" s="168">
        <f>IF(AND((B225+C225)&gt;=1, ISNUMBER(SEARCH("Var", D225))), F225, 1000000000)</f>
        <v/>
      </c>
      <c r="P225" s="172">
        <f>IF(F225&gt;0, SQRT((F225/MAX(F$5:F$886))^2 + (1 - H225/MAX(H$5:H$886))^2 + (J225/MAX(J$5:J$886))^2), 1000000000)</f>
        <v/>
      </c>
      <c r="Q225" s="166">
        <f>IF(AND(ABS(B225-0.5)&lt;0.01, ABS(C225-0.5)&lt;0.01, ISNUMBER(SEARCH("Var", D225))), 1, 0)</f>
        <v/>
      </c>
      <c r="R225" s="171">
        <f>IF(F225&gt;0, J225, 1000000000)</f>
        <v/>
      </c>
      <c r="S225" s="101">
        <f>IF(AND(F225&lt;=DASHBOARD!$B$11, H225&gt;=DASHBOARD!$B$13), G225, -1000000000000)</f>
        <v/>
      </c>
      <c r="T225" s="101">
        <f>IF(AND(F225&lt;=DASHBOARD!$B$11, H225&gt;=DASHBOARD!$B$13), R225, 1000000000000)</f>
        <v/>
      </c>
      <c r="U225" s="101">
        <f>IF(AND(F225&lt;=DASHBOARD!$B$11, H225&gt;=DASHBOARD!$B$13), N225, -1000000000000)</f>
        <v/>
      </c>
      <c r="V225" s="101">
        <f>IF(AND(F225&lt;=DASHBOARD!$B$11, H225&gt;=DASHBOARD!$B$13), H225, -1000000000000)</f>
        <v/>
      </c>
      <c r="W225" s="101">
        <f>IF(AND(F225&lt;=DASHBOARD!$B$11, H225&gt;=DASHBOARD!$B$13), K225, -1000000000000)</f>
        <v/>
      </c>
      <c r="X225" s="101">
        <f>IF(AND(F225&lt;=DASHBOARD!$B$11, H225&gt;=DASHBOARD!$B$13), M225, 1000000000000)</f>
        <v/>
      </c>
      <c r="Y225" s="101">
        <f>IF(AND(F225&lt;=DASHBOARD!$B$10, H225&gt;=DASHBOARD!$B$11), L225, 1000000000000)</f>
        <v/>
      </c>
      <c r="Z225" s="101">
        <f>IF(AND(F225&lt;=DASHBOARD!$B$10, H225&gt;=DASHBOARD!$B$11), O225, 1000000000000)</f>
        <v/>
      </c>
      <c r="AA225" s="101">
        <f>IF(AND(F225&lt;=DASHBOARD!$B$10, H225&gt;=DASHBOARD!$B$11), P225, 1000000000000)</f>
        <v/>
      </c>
      <c r="AB225" s="101">
        <f>IF(AND(F225&lt;=DASHBOARD!$B$10, H225&gt;=DASHBOARD!$B$11), Q225, -1000000000000)</f>
        <v/>
      </c>
    </row>
    <row r="226" ht="15" customHeight="1" s="102">
      <c r="A226" s="166" t="n">
        <v>222</v>
      </c>
      <c r="B226" s="167" t="n">
        <v>0.5</v>
      </c>
      <c r="C226" s="167" t="n">
        <v>0.5</v>
      </c>
      <c r="D226" s="110" t="inlineStr">
        <is>
          <t>Var (%20)</t>
        </is>
      </c>
      <c r="E226" s="110">
        <f>IF((B226+C226)&lt;=1, "Tam Mahsuplaşma (≤%100)", "Kısmi Satış (&gt;%100)")</f>
        <v/>
      </c>
      <c r="F226" s="168">
        <f>((VERI_TABANI!$D$29*B226/VERI_TABANI!$B$29)/VERI_TABANI!$B$3)*VERI_TABANI!$B$5 + ((VERI_TABANI!$D$29*C226/VERI_TABANI!$B$29)/VERI_TABANI!$B$4)*VERI_TABANI!$B$6 + IF(ISNUMBER(SEARCH("Var", D226)), (VERI_TABANI!$F$29/VERI_TABANI!$B$29)*(VERI_TABANI!$B$10+VERI_TABANI!$B$12), 0)</f>
        <v/>
      </c>
      <c r="G226" s="168">
        <f>(((MIN(VERI_TABANI!D23, VERI_TABANI!D23*B226)*VERI_TABANI!$B$7 + MAX(0, VERI_TABANI!D23*B226-VERI_TABANI!D23)*VERI_TABANI!$B$8) + (MIN(MAX(0, VERI_TABANI!D23-VERI_TABANI!D23*B226), VERI_TABANI!D23*C226)*VERI_TABANI!$B$7 + MAX(0, VERI_TABANI!D23*C226-MAX(0, VERI_TABANI!D23-VERI_TABANI!D23*B226))*VERI_TABANI!$B$8) + IF(ABS(IF(ISNUMBER(SEARCH("Var", D226)), 1, IF(ISNUMBER(SEARCH("Gri", D226)), -1, 0)))=1, VERI_TABANI!E23*(1-0.928)*VERI_TABANI!$B$9, 0) + (VERI_TABANI!D23*B226*(VERI_TABANI!$B$13-VERI_TABANI!$B$14)*VERI_TABANI!G23) + (VERI_TABANI!D23*C226*(VERI_TABANI!$B$13-VERI_TABANI!$B$15)*VERI_TABANI!G23) + IF(ABS(IF(ISNUMBER(SEARCH("Var", D226)), 1, IF(ISNUMBER(SEARCH("Gri", D226)), -1, 0)))=1, VERI_TABANI!E23*(1-0.928)*0.00206091519919798*VERI_TABANI!G23, 0)) + ((MIN(VERI_TABANI!D24, VERI_TABANI!D24*B226)*VERI_TABANI!$B$7 + MAX(0, VERI_TABANI!D24*B226-VERI_TABANI!D24)*VERI_TABANI!$B$8) + (MIN(MAX(0, VERI_TABANI!D24-VERI_TABANI!D24*B226), VERI_TABANI!D24*C226)*VERI_TABANI!$B$7 + MAX(0, VERI_TABANI!D24*C226-MAX(0, VERI_TABANI!D24-VERI_TABANI!D24*B226))*VERI_TABANI!$B$8) + IF(ABS(IF(ISNUMBER(SEARCH("Var", D226)), 1, IF(ISNUMBER(SEARCH("Gri", D226)), -1, 0)))=1, VERI_TABANI!E24*(1-0.928)*VERI_TABANI!$B$9, 0) + (VERI_TABANI!D24*B226*(VERI_TABANI!$B$13-VERI_TABANI!$B$14)*VERI_TABANI!G24) + (VERI_TABANI!D24*C226*(VERI_TABANI!$B$13-VERI_TABANI!$B$15)*VERI_TABANI!G24) + IF(ABS(IF(ISNUMBER(SEARCH("Var", D226)), 1, IF(ISNUMBER(SEARCH("Gri", D226)), -1, 0)))=1, VERI_TABANI!E24*(1-0.928)*0.00206091519919798*VERI_TABANI!G24, 0)) + ((MIN(VERI_TABANI!D25, VERI_TABANI!D25*B226)*VERI_TABANI!$B$7 + MAX(0, VERI_TABANI!D25*B226-VERI_TABANI!D25)*VERI_TABANI!$B$8) + (MIN(MAX(0, VERI_TABANI!D25-VERI_TABANI!D25*B226), VERI_TABANI!D25*C226)*VERI_TABANI!$B$7 + MAX(0, VERI_TABANI!D25*C226-MAX(0, VERI_TABANI!D25-VERI_TABANI!D25*B226))*VERI_TABANI!$B$8) + IF(ABS(IF(ISNUMBER(SEARCH("Var", D226)), 1, IF(ISNUMBER(SEARCH("Gri", D226)), -1, 0)))=1, VERI_TABANI!E25*(1-0.928)*VERI_TABANI!$B$9, 0) + (VERI_TABANI!D25*B226*(VERI_TABANI!$B$13-VERI_TABANI!$B$14)*VERI_TABANI!G25) + (VERI_TABANI!D25*C226*(VERI_TABANI!$B$13-VERI_TABANI!$B$15)*VERI_TABANI!G25) + IF(ABS(IF(ISNUMBER(SEARCH("Var", D226)), 1, IF(ISNUMBER(SEARCH("Gri", D226)), -1, 0)))=1, VERI_TABANI!E25*(1-0.928)*0.00206091519919798*VERI_TABANI!G25, 0)) + ((MIN(VERI_TABANI!D26, VERI_TABANI!D26*B226)*VERI_TABANI!$B$7 + MAX(0, VERI_TABANI!D26*B226-VERI_TABANI!D26)*VERI_TABANI!$B$8) + (MIN(MAX(0, VERI_TABANI!D26-VERI_TABANI!D26*B226), VERI_TABANI!D26*C226)*VERI_TABANI!$B$7 + MAX(0, VERI_TABANI!D26*C226-MAX(0, VERI_TABANI!D26-VERI_TABANI!D26*B226))*VERI_TABANI!$B$8) + IF(ABS(IF(ISNUMBER(SEARCH("Var", D226)), 1, IF(ISNUMBER(SEARCH("Gri", D226)), -1, 0)))=1, VERI_TABANI!E26*(1-0.928)*VERI_TABANI!$B$9, 0) + (VERI_TABANI!D26*B226*(VERI_TABANI!$B$13-VERI_TABANI!$B$14)*VERI_TABANI!G26) + (VERI_TABANI!D26*C226*(VERI_TABANI!$B$13-VERI_TABANI!$B$15)*VERI_TABANI!G26) + IF(ABS(IF(ISNUMBER(SEARCH("Var", D226)), 1, IF(ISNUMBER(SEARCH("Gri", D226)), -1, 0)))=1, VERI_TABANI!E26*(1-0.928)*0.00206091519919798*VERI_TABANI!G26, 0)) + ((MIN(VERI_TABANI!D27, VERI_TABANI!D27*B226)*VERI_TABANI!$B$7 + MAX(0, VERI_TABANI!D27*B226-VERI_TABANI!D27)*VERI_TABANI!$B$8) + (MIN(MAX(0, VERI_TABANI!D27-VERI_TABANI!D27*B226), VERI_TABANI!D27*C226)*VERI_TABANI!$B$7 + MAX(0, VERI_TABANI!D27*C226-MAX(0, VERI_TABANI!D27-VERI_TABANI!D27*B226))*VERI_TABANI!$B$8) + IF(ABS(IF(ISNUMBER(SEARCH("Var", D226)), 1, IF(ISNUMBER(SEARCH("Gri", D226)), -1, 0)))=1, VERI_TABANI!E27*(1-0.928)*VERI_TABANI!$B$9, 0) + (VERI_TABANI!D27*B226*(VERI_TABANI!$B$13-VERI_TABANI!$B$14)*VERI_TABANI!G27) + (VERI_TABANI!D27*C226*(VERI_TABANI!$B$13-VERI_TABANI!$B$15)*VERI_TABANI!G27) + IF(ABS(IF(ISNUMBER(SEARCH("Var", D226)), 1, IF(ISNUMBER(SEARCH("Gri", D226)), -1, 0)))=1, VERI_TABANI!E27*(1-0.928)*0.00206091519919798*VERI_TABANI!G27, 0)) + ((MIN(VERI_TABANI!D28, VERI_TABANI!D28*B226)*VERI_TABANI!$B$7 + MAX(0, VERI_TABANI!D28*B226-VERI_TABANI!D28)*VERI_TABANI!$B$8) + (MIN(MAX(0, VERI_TABANI!D28-VERI_TABANI!D28*B226), VERI_TABANI!D28*C226)*VERI_TABANI!$B$7 + MAX(0, VERI_TABANI!D28*C226-MAX(0, VERI_TABANI!D28-VERI_TABANI!D28*B226))*VERI_TABANI!$B$8) + IF(ABS(IF(ISNUMBER(SEARCH("Var", D226)), 1, IF(ISNUMBER(SEARCH("Gri", D226)), -1, 0)))=1, VERI_TABANI!E28*(1-0.928)*VERI_TABANI!$B$9, 0) + (VERI_TABANI!D28*B226*(VERI_TABANI!$B$13-VERI_TABANI!$B$14)*VERI_TABANI!G28) + (VERI_TABANI!D28*C226*(VERI_TABANI!$B$13-VERI_TABANI!$B$15)*VERI_TABANI!G28) + IF(ABS(IF(ISNUMBER(SEARCH("Var", D226)), 1, IF(ISNUMBER(SEARCH("Gri", D226)), -1, 0)))=1, VERI_TABANI!E28*(1-0.928)*0.00206091519919798*VERI_TABANI!G28, 0)))</f>
        <v/>
      </c>
      <c r="H226" s="169">
        <f>(((VERI_TABANI!D23*B226*(VERI_TABANI!$B$13-VERI_TABANI!$B$14)) + (VERI_TABANI!D23*C226*(VERI_TABANI!$B$13-VERI_TABANI!$B$15)) + IF(ISNUMBER(SEARCH("Var", D226)), VERI_TABANI!F23*(0.00202-VERI_TABANI!$B$16), IF(ISNUMBER(SEARCH("Gri", D226)), VERI_TABANI!F23*(0.00202-VERI_TABANI!$B$17), 0))) + ((VERI_TABANI!D24*B226*(VERI_TABANI!$B$13-VERI_TABANI!$B$14)) + (VERI_TABANI!D24*C226*(VERI_TABANI!$B$13-VERI_TABANI!$B$15)) + IF(ISNUMBER(SEARCH("Var", D226)), VERI_TABANI!F24*(0.00202-VERI_TABANI!$B$16), IF(ISNUMBER(SEARCH("Gri", D226)), VERI_TABANI!F24*(0.00202-VERI_TABANI!$B$17), 0))) + ((VERI_TABANI!D25*B226*(VERI_TABANI!$B$13-VERI_TABANI!$B$14)) + (VERI_TABANI!D25*C226*(VERI_TABANI!$B$13-VERI_TABANI!$B$15)) + IF(ISNUMBER(SEARCH("Var", D226)), VERI_TABANI!F25*(0.00202-VERI_TABANI!$B$16), IF(ISNUMBER(SEARCH("Gri", D226)), VERI_TABANI!F25*(0.00202-VERI_TABANI!$B$17), 0))) + ((VERI_TABANI!D26*B226*(VERI_TABANI!$B$13-VERI_TABANI!$B$14)) + (VERI_TABANI!D26*C226*(VERI_TABANI!$B$13-VERI_TABANI!$B$15)) + IF(ISNUMBER(SEARCH("Var", D226)), VERI_TABANI!F26*(0.00202-VERI_TABANI!$B$16), IF(ISNUMBER(SEARCH("Gri", D226)), VERI_TABANI!F26*(0.00202-VERI_TABANI!$B$17), 0))) + ((VERI_TABANI!D27*B226*(VERI_TABANI!$B$13-VERI_TABANI!$B$14)) + (VERI_TABANI!D27*C226*(VERI_TABANI!$B$13-VERI_TABANI!$B$15)) + IF(ISNUMBER(SEARCH("Var", D226)), VERI_TABANI!F27*(0.00202-VERI_TABANI!$B$16), IF(ISNUMBER(SEARCH("Gri", D226)), VERI_TABANI!F27*(0.00202-VERI_TABANI!$B$17), 0))) + ((VERI_TABANI!D28*B226*(VERI_TABANI!$B$13-VERI_TABANI!$B$14)) + (VERI_TABANI!D28*C226*(VERI_TABANI!$B$13-VERI_TABANI!$B$15)) + IF(ISNUMBER(SEARCH("Var", D226)), VERI_TABANI!F28*(0.00202-VERI_TABANI!$B$16), IF(ISNUMBER(SEARCH("Gri", D226)), VERI_TABANI!F28*(0.00202-VERI_TABANI!$B$17), 0))))</f>
        <v/>
      </c>
      <c r="I226" s="170">
        <f>IFERROR(((VERI_TABANI!$D$29*B226*VERI_TABANI!$B$14 + VERI_TABANI!$D$29*C226*VERI_TABANI!$B$15 + IF(ISNUMBER(SEARCH("Var", D226)), VERI_TABANI!$F$29*VERI_TABANI!$B$16, 0))) / (((VERI_TABANI!$D$29*B226 + VERI_TABANI!$D$29*C226)*VERI_TABANI!$B$13 + IF(ISNUMBER(SEARCH("Var", D226)), VERI_TABANI!$E$29*(1-0.928)*VERI_TABANI!$B$18, 0))), 0)</f>
        <v/>
      </c>
      <c r="J226" s="171">
        <f>IFERROR(F226/(G226/29), 0)</f>
        <v/>
      </c>
      <c r="K226" s="172">
        <f>IF(F226&gt;0, H226/F226, 0)</f>
        <v/>
      </c>
      <c r="L226" s="170">
        <f>IF(F226&gt;0, I226, 1000000000)</f>
        <v/>
      </c>
      <c r="M226" s="171">
        <f>ABS((B226+C226)-1)</f>
        <v/>
      </c>
      <c r="N226" s="170">
        <f>IF(F226&gt;0, (G226/29)/F226, 0)</f>
        <v/>
      </c>
      <c r="O226" s="168">
        <f>IF(AND((B226+C226)&gt;=1, ISNUMBER(SEARCH("Var", D226))), F226, 1000000000)</f>
        <v/>
      </c>
      <c r="P226" s="172">
        <f>IF(F226&gt;0, SQRT((F226/MAX(F$5:F$886))^2 + (1 - H226/MAX(H$5:H$886))^2 + (J226/MAX(J$5:J$886))^2), 1000000000)</f>
        <v/>
      </c>
      <c r="Q226" s="166">
        <f>IF(AND(ABS(B226-0.5)&lt;0.01, ABS(C226-0.5)&lt;0.01, ISNUMBER(SEARCH("Var", D226))), 1, 0)</f>
        <v/>
      </c>
      <c r="R226" s="171">
        <f>IF(F226&gt;0, J226, 1000000000)</f>
        <v/>
      </c>
      <c r="S226" s="101">
        <f>IF(AND(F226&lt;=DASHBOARD!$B$11, H226&gt;=DASHBOARD!$B$13), G226, -1000000000000)</f>
        <v/>
      </c>
      <c r="T226" s="101">
        <f>IF(AND(F226&lt;=DASHBOARD!$B$11, H226&gt;=DASHBOARD!$B$13), R226, 1000000000000)</f>
        <v/>
      </c>
      <c r="U226" s="101">
        <f>IF(AND(F226&lt;=DASHBOARD!$B$11, H226&gt;=DASHBOARD!$B$13), N226, -1000000000000)</f>
        <v/>
      </c>
      <c r="V226" s="101">
        <f>IF(AND(F226&lt;=DASHBOARD!$B$11, H226&gt;=DASHBOARD!$B$13), H226, -1000000000000)</f>
        <v/>
      </c>
      <c r="W226" s="101">
        <f>IF(AND(F226&lt;=DASHBOARD!$B$11, H226&gt;=DASHBOARD!$B$13), K226, -1000000000000)</f>
        <v/>
      </c>
      <c r="X226" s="101">
        <f>IF(AND(F226&lt;=DASHBOARD!$B$11, H226&gt;=DASHBOARD!$B$13), M226, 1000000000000)</f>
        <v/>
      </c>
      <c r="Y226" s="101">
        <f>IF(AND(F226&lt;=DASHBOARD!$B$10, H226&gt;=DASHBOARD!$B$11), L226, 1000000000000)</f>
        <v/>
      </c>
      <c r="Z226" s="101">
        <f>IF(AND(F226&lt;=DASHBOARD!$B$10, H226&gt;=DASHBOARD!$B$11), O226, 1000000000000)</f>
        <v/>
      </c>
      <c r="AA226" s="101">
        <f>IF(AND(F226&lt;=DASHBOARD!$B$10, H226&gt;=DASHBOARD!$B$11), P226, 1000000000000)</f>
        <v/>
      </c>
      <c r="AB226" s="101">
        <f>IF(AND(F226&lt;=DASHBOARD!$B$10, H226&gt;=DASHBOARD!$B$11), Q226, -1000000000000)</f>
        <v/>
      </c>
    </row>
    <row r="227" ht="15" customHeight="1" s="102">
      <c r="A227" s="166" t="n">
        <v>223</v>
      </c>
      <c r="B227" s="167" t="n">
        <v>0.5</v>
      </c>
      <c r="C227" s="167" t="n">
        <v>0.6</v>
      </c>
      <c r="D227" s="110" t="inlineStr">
        <is>
          <t>Yok (%0)</t>
        </is>
      </c>
      <c r="E227" s="110">
        <f>IF((B227+C227)&lt;=1, "Tam Mahsuplaşma (≤%100)", "Kısmi Satış (&gt;%100)")</f>
        <v/>
      </c>
      <c r="F227" s="168">
        <f>((VERI_TABANI!$D$29*B227/VERI_TABANI!$B$29)/VERI_TABANI!$B$3)*VERI_TABANI!$B$5 + ((VERI_TABANI!$D$29*C227/VERI_TABANI!$B$29)/VERI_TABANI!$B$4)*VERI_TABANI!$B$6 + IF(ISNUMBER(SEARCH("Var", D227)), (VERI_TABANI!$F$29/VERI_TABANI!$B$29)*(VERI_TABANI!$B$10+VERI_TABANI!$B$12), 0)</f>
        <v/>
      </c>
      <c r="G227" s="168">
        <f>(((MIN(VERI_TABANI!D23, VERI_TABANI!D23*B227)*VERI_TABANI!$B$7 + MAX(0, VERI_TABANI!D23*B227-VERI_TABANI!D23)*VERI_TABANI!$B$8) + (MIN(MAX(0, VERI_TABANI!D23-VERI_TABANI!D23*B227), VERI_TABANI!D23*C227)*VERI_TABANI!$B$7 + MAX(0, VERI_TABANI!D23*C227-MAX(0, VERI_TABANI!D23-VERI_TABANI!D23*B227))*VERI_TABANI!$B$8) + IF(ABS(IF(ISNUMBER(SEARCH("Var", D227)), 1, IF(ISNUMBER(SEARCH("Gri", D227)), -1, 0)))=1, VERI_TABANI!E23*(1-0.928)*VERI_TABANI!$B$9, 0) + (VERI_TABANI!D23*B227*(VERI_TABANI!$B$13-VERI_TABANI!$B$14)*VERI_TABANI!G23) + (VERI_TABANI!D23*C227*(VERI_TABANI!$B$13-VERI_TABANI!$B$15)*VERI_TABANI!G23) + IF(ABS(IF(ISNUMBER(SEARCH("Var", D227)), 1, IF(ISNUMBER(SEARCH("Gri", D227)), -1, 0)))=1, VERI_TABANI!E23*(1-0.928)*0.00206091519919798*VERI_TABANI!G23, 0)) + ((MIN(VERI_TABANI!D24, VERI_TABANI!D24*B227)*VERI_TABANI!$B$7 + MAX(0, VERI_TABANI!D24*B227-VERI_TABANI!D24)*VERI_TABANI!$B$8) + (MIN(MAX(0, VERI_TABANI!D24-VERI_TABANI!D24*B227), VERI_TABANI!D24*C227)*VERI_TABANI!$B$7 + MAX(0, VERI_TABANI!D24*C227-MAX(0, VERI_TABANI!D24-VERI_TABANI!D24*B227))*VERI_TABANI!$B$8) + IF(ABS(IF(ISNUMBER(SEARCH("Var", D227)), 1, IF(ISNUMBER(SEARCH("Gri", D227)), -1, 0)))=1, VERI_TABANI!E24*(1-0.928)*VERI_TABANI!$B$9, 0) + (VERI_TABANI!D24*B227*(VERI_TABANI!$B$13-VERI_TABANI!$B$14)*VERI_TABANI!G24) + (VERI_TABANI!D24*C227*(VERI_TABANI!$B$13-VERI_TABANI!$B$15)*VERI_TABANI!G24) + IF(ABS(IF(ISNUMBER(SEARCH("Var", D227)), 1, IF(ISNUMBER(SEARCH("Gri", D227)), -1, 0)))=1, VERI_TABANI!E24*(1-0.928)*0.00206091519919798*VERI_TABANI!G24, 0)) + ((MIN(VERI_TABANI!D25, VERI_TABANI!D25*B227)*VERI_TABANI!$B$7 + MAX(0, VERI_TABANI!D25*B227-VERI_TABANI!D25)*VERI_TABANI!$B$8) + (MIN(MAX(0, VERI_TABANI!D25-VERI_TABANI!D25*B227), VERI_TABANI!D25*C227)*VERI_TABANI!$B$7 + MAX(0, VERI_TABANI!D25*C227-MAX(0, VERI_TABANI!D25-VERI_TABANI!D25*B227))*VERI_TABANI!$B$8) + IF(ABS(IF(ISNUMBER(SEARCH("Var", D227)), 1, IF(ISNUMBER(SEARCH("Gri", D227)), -1, 0)))=1, VERI_TABANI!E25*(1-0.928)*VERI_TABANI!$B$9, 0) + (VERI_TABANI!D25*B227*(VERI_TABANI!$B$13-VERI_TABANI!$B$14)*VERI_TABANI!G25) + (VERI_TABANI!D25*C227*(VERI_TABANI!$B$13-VERI_TABANI!$B$15)*VERI_TABANI!G25) + IF(ABS(IF(ISNUMBER(SEARCH("Var", D227)), 1, IF(ISNUMBER(SEARCH("Gri", D227)), -1, 0)))=1, VERI_TABANI!E25*(1-0.928)*0.00206091519919798*VERI_TABANI!G25, 0)) + ((MIN(VERI_TABANI!D26, VERI_TABANI!D26*B227)*VERI_TABANI!$B$7 + MAX(0, VERI_TABANI!D26*B227-VERI_TABANI!D26)*VERI_TABANI!$B$8) + (MIN(MAX(0, VERI_TABANI!D26-VERI_TABANI!D26*B227), VERI_TABANI!D26*C227)*VERI_TABANI!$B$7 + MAX(0, VERI_TABANI!D26*C227-MAX(0, VERI_TABANI!D26-VERI_TABANI!D26*B227))*VERI_TABANI!$B$8) + IF(ABS(IF(ISNUMBER(SEARCH("Var", D227)), 1, IF(ISNUMBER(SEARCH("Gri", D227)), -1, 0)))=1, VERI_TABANI!E26*(1-0.928)*VERI_TABANI!$B$9, 0) + (VERI_TABANI!D26*B227*(VERI_TABANI!$B$13-VERI_TABANI!$B$14)*VERI_TABANI!G26) + (VERI_TABANI!D26*C227*(VERI_TABANI!$B$13-VERI_TABANI!$B$15)*VERI_TABANI!G26) + IF(ABS(IF(ISNUMBER(SEARCH("Var", D227)), 1, IF(ISNUMBER(SEARCH("Gri", D227)), -1, 0)))=1, VERI_TABANI!E26*(1-0.928)*0.00206091519919798*VERI_TABANI!G26, 0)) + ((MIN(VERI_TABANI!D27, VERI_TABANI!D27*B227)*VERI_TABANI!$B$7 + MAX(0, VERI_TABANI!D27*B227-VERI_TABANI!D27)*VERI_TABANI!$B$8) + (MIN(MAX(0, VERI_TABANI!D27-VERI_TABANI!D27*B227), VERI_TABANI!D27*C227)*VERI_TABANI!$B$7 + MAX(0, VERI_TABANI!D27*C227-MAX(0, VERI_TABANI!D27-VERI_TABANI!D27*B227))*VERI_TABANI!$B$8) + IF(ABS(IF(ISNUMBER(SEARCH("Var", D227)), 1, IF(ISNUMBER(SEARCH("Gri", D227)), -1, 0)))=1, VERI_TABANI!E27*(1-0.928)*VERI_TABANI!$B$9, 0) + (VERI_TABANI!D27*B227*(VERI_TABANI!$B$13-VERI_TABANI!$B$14)*VERI_TABANI!G27) + (VERI_TABANI!D27*C227*(VERI_TABANI!$B$13-VERI_TABANI!$B$15)*VERI_TABANI!G27) + IF(ABS(IF(ISNUMBER(SEARCH("Var", D227)), 1, IF(ISNUMBER(SEARCH("Gri", D227)), -1, 0)))=1, VERI_TABANI!E27*(1-0.928)*0.00206091519919798*VERI_TABANI!G27, 0)) + ((MIN(VERI_TABANI!D28, VERI_TABANI!D28*B227)*VERI_TABANI!$B$7 + MAX(0, VERI_TABANI!D28*B227-VERI_TABANI!D28)*VERI_TABANI!$B$8) + (MIN(MAX(0, VERI_TABANI!D28-VERI_TABANI!D28*B227), VERI_TABANI!D28*C227)*VERI_TABANI!$B$7 + MAX(0, VERI_TABANI!D28*C227-MAX(0, VERI_TABANI!D28-VERI_TABANI!D28*B227))*VERI_TABANI!$B$8) + IF(ABS(IF(ISNUMBER(SEARCH("Var", D227)), 1, IF(ISNUMBER(SEARCH("Gri", D227)), -1, 0)))=1, VERI_TABANI!E28*(1-0.928)*VERI_TABANI!$B$9, 0) + (VERI_TABANI!D28*B227*(VERI_TABANI!$B$13-VERI_TABANI!$B$14)*VERI_TABANI!G28) + (VERI_TABANI!D28*C227*(VERI_TABANI!$B$13-VERI_TABANI!$B$15)*VERI_TABANI!G28) + IF(ABS(IF(ISNUMBER(SEARCH("Var", D227)), 1, IF(ISNUMBER(SEARCH("Gri", D227)), -1, 0)))=1, VERI_TABANI!E28*(1-0.928)*0.00206091519919798*VERI_TABANI!G28, 0)))</f>
        <v/>
      </c>
      <c r="H227" s="169">
        <f>(((VERI_TABANI!D23*B227*(VERI_TABANI!$B$13-VERI_TABANI!$B$14)) + (VERI_TABANI!D23*C227*(VERI_TABANI!$B$13-VERI_TABANI!$B$15)) + IF(ISNUMBER(SEARCH("Var", D227)), VERI_TABANI!F23*(0.00202-VERI_TABANI!$B$16), IF(ISNUMBER(SEARCH("Gri", D227)), VERI_TABANI!F23*(0.00202-VERI_TABANI!$B$17), 0))) + ((VERI_TABANI!D24*B227*(VERI_TABANI!$B$13-VERI_TABANI!$B$14)) + (VERI_TABANI!D24*C227*(VERI_TABANI!$B$13-VERI_TABANI!$B$15)) + IF(ISNUMBER(SEARCH("Var", D227)), VERI_TABANI!F24*(0.00202-VERI_TABANI!$B$16), IF(ISNUMBER(SEARCH("Gri", D227)), VERI_TABANI!F24*(0.00202-VERI_TABANI!$B$17), 0))) + ((VERI_TABANI!D25*B227*(VERI_TABANI!$B$13-VERI_TABANI!$B$14)) + (VERI_TABANI!D25*C227*(VERI_TABANI!$B$13-VERI_TABANI!$B$15)) + IF(ISNUMBER(SEARCH("Var", D227)), VERI_TABANI!F25*(0.00202-VERI_TABANI!$B$16), IF(ISNUMBER(SEARCH("Gri", D227)), VERI_TABANI!F25*(0.00202-VERI_TABANI!$B$17), 0))) + ((VERI_TABANI!D26*B227*(VERI_TABANI!$B$13-VERI_TABANI!$B$14)) + (VERI_TABANI!D26*C227*(VERI_TABANI!$B$13-VERI_TABANI!$B$15)) + IF(ISNUMBER(SEARCH("Var", D227)), VERI_TABANI!F26*(0.00202-VERI_TABANI!$B$16), IF(ISNUMBER(SEARCH("Gri", D227)), VERI_TABANI!F26*(0.00202-VERI_TABANI!$B$17), 0))) + ((VERI_TABANI!D27*B227*(VERI_TABANI!$B$13-VERI_TABANI!$B$14)) + (VERI_TABANI!D27*C227*(VERI_TABANI!$B$13-VERI_TABANI!$B$15)) + IF(ISNUMBER(SEARCH("Var", D227)), VERI_TABANI!F27*(0.00202-VERI_TABANI!$B$16), IF(ISNUMBER(SEARCH("Gri", D227)), VERI_TABANI!F27*(0.00202-VERI_TABANI!$B$17), 0))) + ((VERI_TABANI!D28*B227*(VERI_TABANI!$B$13-VERI_TABANI!$B$14)) + (VERI_TABANI!D28*C227*(VERI_TABANI!$B$13-VERI_TABANI!$B$15)) + IF(ISNUMBER(SEARCH("Var", D227)), VERI_TABANI!F28*(0.00202-VERI_TABANI!$B$16), IF(ISNUMBER(SEARCH("Gri", D227)), VERI_TABANI!F28*(0.00202-VERI_TABANI!$B$17), 0))))</f>
        <v/>
      </c>
      <c r="I227" s="170">
        <f>IFERROR(((VERI_TABANI!$D$29*B227*VERI_TABANI!$B$14 + VERI_TABANI!$D$29*C227*VERI_TABANI!$B$15 + IF(ISNUMBER(SEARCH("Var", D227)), VERI_TABANI!$F$29*VERI_TABANI!$B$16, 0))) / (((VERI_TABANI!$D$29*B227 + VERI_TABANI!$D$29*C227)*VERI_TABANI!$B$13 + IF(ISNUMBER(SEARCH("Var", D227)), VERI_TABANI!$E$29*(1-0.928)*VERI_TABANI!$B$18, 0))), 0)</f>
        <v/>
      </c>
      <c r="J227" s="171">
        <f>IFERROR(F227/(G227/29), 0)</f>
        <v/>
      </c>
      <c r="K227" s="172">
        <f>IF(F227&gt;0, H227/F227, 0)</f>
        <v/>
      </c>
      <c r="L227" s="170">
        <f>IF(F227&gt;0, I227, 1000000000)</f>
        <v/>
      </c>
      <c r="M227" s="171">
        <f>ABS((B227+C227)-1)</f>
        <v/>
      </c>
      <c r="N227" s="170">
        <f>IF(F227&gt;0, (G227/29)/F227, 0)</f>
        <v/>
      </c>
      <c r="O227" s="168">
        <f>IF(AND((B227+C227)&gt;=1, ISNUMBER(SEARCH("Var", D227))), F227, 1000000000)</f>
        <v/>
      </c>
      <c r="P227" s="172">
        <f>IF(F227&gt;0, SQRT((F227/MAX(F$5:F$886))^2 + (1 - H227/MAX(H$5:H$886))^2 + (J227/MAX(J$5:J$886))^2), 1000000000)</f>
        <v/>
      </c>
      <c r="Q227" s="166">
        <f>IF(AND(ABS(B227-0.5)&lt;0.01, ABS(C227-0.5)&lt;0.01, ISNUMBER(SEARCH("Var", D227))), 1, 0)</f>
        <v/>
      </c>
      <c r="R227" s="171">
        <f>IF(F227&gt;0, J227, 1000000000)</f>
        <v/>
      </c>
      <c r="S227" s="101">
        <f>IF(AND(F227&lt;=DASHBOARD!$B$11, H227&gt;=DASHBOARD!$B$13), G227, -1000000000000)</f>
        <v/>
      </c>
      <c r="T227" s="101">
        <f>IF(AND(F227&lt;=DASHBOARD!$B$11, H227&gt;=DASHBOARD!$B$13), R227, 1000000000000)</f>
        <v/>
      </c>
      <c r="U227" s="101">
        <f>IF(AND(F227&lt;=DASHBOARD!$B$11, H227&gt;=DASHBOARD!$B$13), N227, -1000000000000)</f>
        <v/>
      </c>
      <c r="V227" s="101">
        <f>IF(AND(F227&lt;=DASHBOARD!$B$11, H227&gt;=DASHBOARD!$B$13), H227, -1000000000000)</f>
        <v/>
      </c>
      <c r="W227" s="101">
        <f>IF(AND(F227&lt;=DASHBOARD!$B$11, H227&gt;=DASHBOARD!$B$13), K227, -1000000000000)</f>
        <v/>
      </c>
      <c r="X227" s="101">
        <f>IF(AND(F227&lt;=DASHBOARD!$B$11, H227&gt;=DASHBOARD!$B$13), M227, 1000000000000)</f>
        <v/>
      </c>
      <c r="Y227" s="101">
        <f>IF(AND(F227&lt;=DASHBOARD!$B$10, H227&gt;=DASHBOARD!$B$11), L227, 1000000000000)</f>
        <v/>
      </c>
      <c r="Z227" s="101">
        <f>IF(AND(F227&lt;=DASHBOARD!$B$10, H227&gt;=DASHBOARD!$B$11), O227, 1000000000000)</f>
        <v/>
      </c>
      <c r="AA227" s="101">
        <f>IF(AND(F227&lt;=DASHBOARD!$B$10, H227&gt;=DASHBOARD!$B$11), P227, 1000000000000)</f>
        <v/>
      </c>
      <c r="AB227" s="101">
        <f>IF(AND(F227&lt;=DASHBOARD!$B$10, H227&gt;=DASHBOARD!$B$11), Q227, -1000000000000)</f>
        <v/>
      </c>
    </row>
    <row r="228" ht="15" customHeight="1" s="102">
      <c r="A228" s="166" t="n">
        <v>224</v>
      </c>
      <c r="B228" s="167" t="n">
        <v>0.5</v>
      </c>
      <c r="C228" s="167" t="n">
        <v>0.6</v>
      </c>
      <c r="D228" s="110" t="inlineStr">
        <is>
          <t>Var (%20)</t>
        </is>
      </c>
      <c r="E228" s="110">
        <f>IF((B228+C228)&lt;=1, "Tam Mahsuplaşma (≤%100)", "Kısmi Satış (&gt;%100)")</f>
        <v/>
      </c>
      <c r="F228" s="168">
        <f>((VERI_TABANI!$D$29*B228/VERI_TABANI!$B$29)/VERI_TABANI!$B$3)*VERI_TABANI!$B$5 + ((VERI_TABANI!$D$29*C228/VERI_TABANI!$B$29)/VERI_TABANI!$B$4)*VERI_TABANI!$B$6 + IF(ISNUMBER(SEARCH("Var", D228)), (VERI_TABANI!$F$29/VERI_TABANI!$B$29)*(VERI_TABANI!$B$10+VERI_TABANI!$B$12), 0)</f>
        <v/>
      </c>
      <c r="G228" s="168">
        <f>(((MIN(VERI_TABANI!D23, VERI_TABANI!D23*B228)*VERI_TABANI!$B$7 + MAX(0, VERI_TABANI!D23*B228-VERI_TABANI!D23)*VERI_TABANI!$B$8) + (MIN(MAX(0, VERI_TABANI!D23-VERI_TABANI!D23*B228), VERI_TABANI!D23*C228)*VERI_TABANI!$B$7 + MAX(0, VERI_TABANI!D23*C228-MAX(0, VERI_TABANI!D23-VERI_TABANI!D23*B228))*VERI_TABANI!$B$8) + IF(ABS(IF(ISNUMBER(SEARCH("Var", D228)), 1, IF(ISNUMBER(SEARCH("Gri", D228)), -1, 0)))=1, VERI_TABANI!E23*(1-0.928)*VERI_TABANI!$B$9, 0) + (VERI_TABANI!D23*B228*(VERI_TABANI!$B$13-VERI_TABANI!$B$14)*VERI_TABANI!G23) + (VERI_TABANI!D23*C228*(VERI_TABANI!$B$13-VERI_TABANI!$B$15)*VERI_TABANI!G23) + IF(ABS(IF(ISNUMBER(SEARCH("Var", D228)), 1, IF(ISNUMBER(SEARCH("Gri", D228)), -1, 0)))=1, VERI_TABANI!E23*(1-0.928)*0.00206091519919798*VERI_TABANI!G23, 0)) + ((MIN(VERI_TABANI!D24, VERI_TABANI!D24*B228)*VERI_TABANI!$B$7 + MAX(0, VERI_TABANI!D24*B228-VERI_TABANI!D24)*VERI_TABANI!$B$8) + (MIN(MAX(0, VERI_TABANI!D24-VERI_TABANI!D24*B228), VERI_TABANI!D24*C228)*VERI_TABANI!$B$7 + MAX(0, VERI_TABANI!D24*C228-MAX(0, VERI_TABANI!D24-VERI_TABANI!D24*B228))*VERI_TABANI!$B$8) + IF(ABS(IF(ISNUMBER(SEARCH("Var", D228)), 1, IF(ISNUMBER(SEARCH("Gri", D228)), -1, 0)))=1, VERI_TABANI!E24*(1-0.928)*VERI_TABANI!$B$9, 0) + (VERI_TABANI!D24*B228*(VERI_TABANI!$B$13-VERI_TABANI!$B$14)*VERI_TABANI!G24) + (VERI_TABANI!D24*C228*(VERI_TABANI!$B$13-VERI_TABANI!$B$15)*VERI_TABANI!G24) + IF(ABS(IF(ISNUMBER(SEARCH("Var", D228)), 1, IF(ISNUMBER(SEARCH("Gri", D228)), -1, 0)))=1, VERI_TABANI!E24*(1-0.928)*0.00206091519919798*VERI_TABANI!G24, 0)) + ((MIN(VERI_TABANI!D25, VERI_TABANI!D25*B228)*VERI_TABANI!$B$7 + MAX(0, VERI_TABANI!D25*B228-VERI_TABANI!D25)*VERI_TABANI!$B$8) + (MIN(MAX(0, VERI_TABANI!D25-VERI_TABANI!D25*B228), VERI_TABANI!D25*C228)*VERI_TABANI!$B$7 + MAX(0, VERI_TABANI!D25*C228-MAX(0, VERI_TABANI!D25-VERI_TABANI!D25*B228))*VERI_TABANI!$B$8) + IF(ABS(IF(ISNUMBER(SEARCH("Var", D228)), 1, IF(ISNUMBER(SEARCH("Gri", D228)), -1, 0)))=1, VERI_TABANI!E25*(1-0.928)*VERI_TABANI!$B$9, 0) + (VERI_TABANI!D25*B228*(VERI_TABANI!$B$13-VERI_TABANI!$B$14)*VERI_TABANI!G25) + (VERI_TABANI!D25*C228*(VERI_TABANI!$B$13-VERI_TABANI!$B$15)*VERI_TABANI!G25) + IF(ABS(IF(ISNUMBER(SEARCH("Var", D228)), 1, IF(ISNUMBER(SEARCH("Gri", D228)), -1, 0)))=1, VERI_TABANI!E25*(1-0.928)*0.00206091519919798*VERI_TABANI!G25, 0)) + ((MIN(VERI_TABANI!D26, VERI_TABANI!D26*B228)*VERI_TABANI!$B$7 + MAX(0, VERI_TABANI!D26*B228-VERI_TABANI!D26)*VERI_TABANI!$B$8) + (MIN(MAX(0, VERI_TABANI!D26-VERI_TABANI!D26*B228), VERI_TABANI!D26*C228)*VERI_TABANI!$B$7 + MAX(0, VERI_TABANI!D26*C228-MAX(0, VERI_TABANI!D26-VERI_TABANI!D26*B228))*VERI_TABANI!$B$8) + IF(ABS(IF(ISNUMBER(SEARCH("Var", D228)), 1, IF(ISNUMBER(SEARCH("Gri", D228)), -1, 0)))=1, VERI_TABANI!E26*(1-0.928)*VERI_TABANI!$B$9, 0) + (VERI_TABANI!D26*B228*(VERI_TABANI!$B$13-VERI_TABANI!$B$14)*VERI_TABANI!G26) + (VERI_TABANI!D26*C228*(VERI_TABANI!$B$13-VERI_TABANI!$B$15)*VERI_TABANI!G26) + IF(ABS(IF(ISNUMBER(SEARCH("Var", D228)), 1, IF(ISNUMBER(SEARCH("Gri", D228)), -1, 0)))=1, VERI_TABANI!E26*(1-0.928)*0.00206091519919798*VERI_TABANI!G26, 0)) + ((MIN(VERI_TABANI!D27, VERI_TABANI!D27*B228)*VERI_TABANI!$B$7 + MAX(0, VERI_TABANI!D27*B228-VERI_TABANI!D27)*VERI_TABANI!$B$8) + (MIN(MAX(0, VERI_TABANI!D27-VERI_TABANI!D27*B228), VERI_TABANI!D27*C228)*VERI_TABANI!$B$7 + MAX(0, VERI_TABANI!D27*C228-MAX(0, VERI_TABANI!D27-VERI_TABANI!D27*B228))*VERI_TABANI!$B$8) + IF(ABS(IF(ISNUMBER(SEARCH("Var", D228)), 1, IF(ISNUMBER(SEARCH("Gri", D228)), -1, 0)))=1, VERI_TABANI!E27*(1-0.928)*VERI_TABANI!$B$9, 0) + (VERI_TABANI!D27*B228*(VERI_TABANI!$B$13-VERI_TABANI!$B$14)*VERI_TABANI!G27) + (VERI_TABANI!D27*C228*(VERI_TABANI!$B$13-VERI_TABANI!$B$15)*VERI_TABANI!G27) + IF(ABS(IF(ISNUMBER(SEARCH("Var", D228)), 1, IF(ISNUMBER(SEARCH("Gri", D228)), -1, 0)))=1, VERI_TABANI!E27*(1-0.928)*0.00206091519919798*VERI_TABANI!G27, 0)) + ((MIN(VERI_TABANI!D28, VERI_TABANI!D28*B228)*VERI_TABANI!$B$7 + MAX(0, VERI_TABANI!D28*B228-VERI_TABANI!D28)*VERI_TABANI!$B$8) + (MIN(MAX(0, VERI_TABANI!D28-VERI_TABANI!D28*B228), VERI_TABANI!D28*C228)*VERI_TABANI!$B$7 + MAX(0, VERI_TABANI!D28*C228-MAX(0, VERI_TABANI!D28-VERI_TABANI!D28*B228))*VERI_TABANI!$B$8) + IF(ABS(IF(ISNUMBER(SEARCH("Var", D228)), 1, IF(ISNUMBER(SEARCH("Gri", D228)), -1, 0)))=1, VERI_TABANI!E28*(1-0.928)*VERI_TABANI!$B$9, 0) + (VERI_TABANI!D28*B228*(VERI_TABANI!$B$13-VERI_TABANI!$B$14)*VERI_TABANI!G28) + (VERI_TABANI!D28*C228*(VERI_TABANI!$B$13-VERI_TABANI!$B$15)*VERI_TABANI!G28) + IF(ABS(IF(ISNUMBER(SEARCH("Var", D228)), 1, IF(ISNUMBER(SEARCH("Gri", D228)), -1, 0)))=1, VERI_TABANI!E28*(1-0.928)*0.00206091519919798*VERI_TABANI!G28, 0)))</f>
        <v/>
      </c>
      <c r="H228" s="169">
        <f>(((VERI_TABANI!D23*B228*(VERI_TABANI!$B$13-VERI_TABANI!$B$14)) + (VERI_TABANI!D23*C228*(VERI_TABANI!$B$13-VERI_TABANI!$B$15)) + IF(ISNUMBER(SEARCH("Var", D228)), VERI_TABANI!F23*(0.00202-VERI_TABANI!$B$16), IF(ISNUMBER(SEARCH("Gri", D228)), VERI_TABANI!F23*(0.00202-VERI_TABANI!$B$17), 0))) + ((VERI_TABANI!D24*B228*(VERI_TABANI!$B$13-VERI_TABANI!$B$14)) + (VERI_TABANI!D24*C228*(VERI_TABANI!$B$13-VERI_TABANI!$B$15)) + IF(ISNUMBER(SEARCH("Var", D228)), VERI_TABANI!F24*(0.00202-VERI_TABANI!$B$16), IF(ISNUMBER(SEARCH("Gri", D228)), VERI_TABANI!F24*(0.00202-VERI_TABANI!$B$17), 0))) + ((VERI_TABANI!D25*B228*(VERI_TABANI!$B$13-VERI_TABANI!$B$14)) + (VERI_TABANI!D25*C228*(VERI_TABANI!$B$13-VERI_TABANI!$B$15)) + IF(ISNUMBER(SEARCH("Var", D228)), VERI_TABANI!F25*(0.00202-VERI_TABANI!$B$16), IF(ISNUMBER(SEARCH("Gri", D228)), VERI_TABANI!F25*(0.00202-VERI_TABANI!$B$17), 0))) + ((VERI_TABANI!D26*B228*(VERI_TABANI!$B$13-VERI_TABANI!$B$14)) + (VERI_TABANI!D26*C228*(VERI_TABANI!$B$13-VERI_TABANI!$B$15)) + IF(ISNUMBER(SEARCH("Var", D228)), VERI_TABANI!F26*(0.00202-VERI_TABANI!$B$16), IF(ISNUMBER(SEARCH("Gri", D228)), VERI_TABANI!F26*(0.00202-VERI_TABANI!$B$17), 0))) + ((VERI_TABANI!D27*B228*(VERI_TABANI!$B$13-VERI_TABANI!$B$14)) + (VERI_TABANI!D27*C228*(VERI_TABANI!$B$13-VERI_TABANI!$B$15)) + IF(ISNUMBER(SEARCH("Var", D228)), VERI_TABANI!F27*(0.00202-VERI_TABANI!$B$16), IF(ISNUMBER(SEARCH("Gri", D228)), VERI_TABANI!F27*(0.00202-VERI_TABANI!$B$17), 0))) + ((VERI_TABANI!D28*B228*(VERI_TABANI!$B$13-VERI_TABANI!$B$14)) + (VERI_TABANI!D28*C228*(VERI_TABANI!$B$13-VERI_TABANI!$B$15)) + IF(ISNUMBER(SEARCH("Var", D228)), VERI_TABANI!F28*(0.00202-VERI_TABANI!$B$16), IF(ISNUMBER(SEARCH("Gri", D228)), VERI_TABANI!F28*(0.00202-VERI_TABANI!$B$17), 0))))</f>
        <v/>
      </c>
      <c r="I228" s="170">
        <f>IFERROR(((VERI_TABANI!$D$29*B228*VERI_TABANI!$B$14 + VERI_TABANI!$D$29*C228*VERI_TABANI!$B$15 + IF(ISNUMBER(SEARCH("Var", D228)), VERI_TABANI!$F$29*VERI_TABANI!$B$16, 0))) / (((VERI_TABANI!$D$29*B228 + VERI_TABANI!$D$29*C228)*VERI_TABANI!$B$13 + IF(ISNUMBER(SEARCH("Var", D228)), VERI_TABANI!$E$29*(1-0.928)*VERI_TABANI!$B$18, 0))), 0)</f>
        <v/>
      </c>
      <c r="J228" s="171">
        <f>IFERROR(F228/(G228/29), 0)</f>
        <v/>
      </c>
      <c r="K228" s="172">
        <f>IF(F228&gt;0, H228/F228, 0)</f>
        <v/>
      </c>
      <c r="L228" s="170">
        <f>IF(F228&gt;0, I228, 1000000000)</f>
        <v/>
      </c>
      <c r="M228" s="171">
        <f>ABS((B228+C228)-1)</f>
        <v/>
      </c>
      <c r="N228" s="170">
        <f>IF(F228&gt;0, (G228/29)/F228, 0)</f>
        <v/>
      </c>
      <c r="O228" s="168">
        <f>IF(AND((B228+C228)&gt;=1, ISNUMBER(SEARCH("Var", D228))), F228, 1000000000)</f>
        <v/>
      </c>
      <c r="P228" s="172">
        <f>IF(F228&gt;0, SQRT((F228/MAX(F$5:F$886))^2 + (1 - H228/MAX(H$5:H$886))^2 + (J228/MAX(J$5:J$886))^2), 1000000000)</f>
        <v/>
      </c>
      <c r="Q228" s="166">
        <f>IF(AND(ABS(B228-0.5)&lt;0.01, ABS(C228-0.5)&lt;0.01, ISNUMBER(SEARCH("Var", D228))), 1, 0)</f>
        <v/>
      </c>
      <c r="R228" s="171">
        <f>IF(F228&gt;0, J228, 1000000000)</f>
        <v/>
      </c>
      <c r="S228" s="101">
        <f>IF(AND(F228&lt;=DASHBOARD!$B$11, H228&gt;=DASHBOARD!$B$13), G228, -1000000000000)</f>
        <v/>
      </c>
      <c r="T228" s="101">
        <f>IF(AND(F228&lt;=DASHBOARD!$B$11, H228&gt;=DASHBOARD!$B$13), R228, 1000000000000)</f>
        <v/>
      </c>
      <c r="U228" s="101">
        <f>IF(AND(F228&lt;=DASHBOARD!$B$11, H228&gt;=DASHBOARD!$B$13), N228, -1000000000000)</f>
        <v/>
      </c>
      <c r="V228" s="101">
        <f>IF(AND(F228&lt;=DASHBOARD!$B$11, H228&gt;=DASHBOARD!$B$13), H228, -1000000000000)</f>
        <v/>
      </c>
      <c r="W228" s="101">
        <f>IF(AND(F228&lt;=DASHBOARD!$B$11, H228&gt;=DASHBOARD!$B$13), K228, -1000000000000)</f>
        <v/>
      </c>
      <c r="X228" s="101">
        <f>IF(AND(F228&lt;=DASHBOARD!$B$11, H228&gt;=DASHBOARD!$B$13), M228, 1000000000000)</f>
        <v/>
      </c>
      <c r="Y228" s="101">
        <f>IF(AND(F228&lt;=DASHBOARD!$B$10, H228&gt;=DASHBOARD!$B$11), L228, 1000000000000)</f>
        <v/>
      </c>
      <c r="Z228" s="101">
        <f>IF(AND(F228&lt;=DASHBOARD!$B$10, H228&gt;=DASHBOARD!$B$11), O228, 1000000000000)</f>
        <v/>
      </c>
      <c r="AA228" s="101">
        <f>IF(AND(F228&lt;=DASHBOARD!$B$10, H228&gt;=DASHBOARD!$B$11), P228, 1000000000000)</f>
        <v/>
      </c>
      <c r="AB228" s="101">
        <f>IF(AND(F228&lt;=DASHBOARD!$B$10, H228&gt;=DASHBOARD!$B$11), Q228, -1000000000000)</f>
        <v/>
      </c>
    </row>
    <row r="229" ht="15" customHeight="1" s="102">
      <c r="A229" s="166" t="n">
        <v>225</v>
      </c>
      <c r="B229" s="167" t="n">
        <v>0.5</v>
      </c>
      <c r="C229" s="167" t="n">
        <v>0.7</v>
      </c>
      <c r="D229" s="110" t="inlineStr">
        <is>
          <t>Yok (%0)</t>
        </is>
      </c>
      <c r="E229" s="110">
        <f>IF((B229+C229)&lt;=1, "Tam Mahsuplaşma (≤%100)", "Kısmi Satış (&gt;%100)")</f>
        <v/>
      </c>
      <c r="F229" s="168">
        <f>((VERI_TABANI!$D$29*B229/VERI_TABANI!$B$29)/VERI_TABANI!$B$3)*VERI_TABANI!$B$5 + ((VERI_TABANI!$D$29*C229/VERI_TABANI!$B$29)/VERI_TABANI!$B$4)*VERI_TABANI!$B$6 + IF(ISNUMBER(SEARCH("Var", D229)), (VERI_TABANI!$F$29/VERI_TABANI!$B$29)*(VERI_TABANI!$B$10+VERI_TABANI!$B$12), 0)</f>
        <v/>
      </c>
      <c r="G229" s="168">
        <f>(((MIN(VERI_TABANI!D23, VERI_TABANI!D23*B229)*VERI_TABANI!$B$7 + MAX(0, VERI_TABANI!D23*B229-VERI_TABANI!D23)*VERI_TABANI!$B$8) + (MIN(MAX(0, VERI_TABANI!D23-VERI_TABANI!D23*B229), VERI_TABANI!D23*C229)*VERI_TABANI!$B$7 + MAX(0, VERI_TABANI!D23*C229-MAX(0, VERI_TABANI!D23-VERI_TABANI!D23*B229))*VERI_TABANI!$B$8) + IF(ABS(IF(ISNUMBER(SEARCH("Var", D229)), 1, IF(ISNUMBER(SEARCH("Gri", D229)), -1, 0)))=1, VERI_TABANI!E23*(1-0.928)*VERI_TABANI!$B$9, 0) + (VERI_TABANI!D23*B229*(VERI_TABANI!$B$13-VERI_TABANI!$B$14)*VERI_TABANI!G23) + (VERI_TABANI!D23*C229*(VERI_TABANI!$B$13-VERI_TABANI!$B$15)*VERI_TABANI!G23) + IF(ABS(IF(ISNUMBER(SEARCH("Var", D229)), 1, IF(ISNUMBER(SEARCH("Gri", D229)), -1, 0)))=1, VERI_TABANI!E23*(1-0.928)*0.00206091519919798*VERI_TABANI!G23, 0)) + ((MIN(VERI_TABANI!D24, VERI_TABANI!D24*B229)*VERI_TABANI!$B$7 + MAX(0, VERI_TABANI!D24*B229-VERI_TABANI!D24)*VERI_TABANI!$B$8) + (MIN(MAX(0, VERI_TABANI!D24-VERI_TABANI!D24*B229), VERI_TABANI!D24*C229)*VERI_TABANI!$B$7 + MAX(0, VERI_TABANI!D24*C229-MAX(0, VERI_TABANI!D24-VERI_TABANI!D24*B229))*VERI_TABANI!$B$8) + IF(ABS(IF(ISNUMBER(SEARCH("Var", D229)), 1, IF(ISNUMBER(SEARCH("Gri", D229)), -1, 0)))=1, VERI_TABANI!E24*(1-0.928)*VERI_TABANI!$B$9, 0) + (VERI_TABANI!D24*B229*(VERI_TABANI!$B$13-VERI_TABANI!$B$14)*VERI_TABANI!G24) + (VERI_TABANI!D24*C229*(VERI_TABANI!$B$13-VERI_TABANI!$B$15)*VERI_TABANI!G24) + IF(ABS(IF(ISNUMBER(SEARCH("Var", D229)), 1, IF(ISNUMBER(SEARCH("Gri", D229)), -1, 0)))=1, VERI_TABANI!E24*(1-0.928)*0.00206091519919798*VERI_TABANI!G24, 0)) + ((MIN(VERI_TABANI!D25, VERI_TABANI!D25*B229)*VERI_TABANI!$B$7 + MAX(0, VERI_TABANI!D25*B229-VERI_TABANI!D25)*VERI_TABANI!$B$8) + (MIN(MAX(0, VERI_TABANI!D25-VERI_TABANI!D25*B229), VERI_TABANI!D25*C229)*VERI_TABANI!$B$7 + MAX(0, VERI_TABANI!D25*C229-MAX(0, VERI_TABANI!D25-VERI_TABANI!D25*B229))*VERI_TABANI!$B$8) + IF(ABS(IF(ISNUMBER(SEARCH("Var", D229)), 1, IF(ISNUMBER(SEARCH("Gri", D229)), -1, 0)))=1, VERI_TABANI!E25*(1-0.928)*VERI_TABANI!$B$9, 0) + (VERI_TABANI!D25*B229*(VERI_TABANI!$B$13-VERI_TABANI!$B$14)*VERI_TABANI!G25) + (VERI_TABANI!D25*C229*(VERI_TABANI!$B$13-VERI_TABANI!$B$15)*VERI_TABANI!G25) + IF(ABS(IF(ISNUMBER(SEARCH("Var", D229)), 1, IF(ISNUMBER(SEARCH("Gri", D229)), -1, 0)))=1, VERI_TABANI!E25*(1-0.928)*0.00206091519919798*VERI_TABANI!G25, 0)) + ((MIN(VERI_TABANI!D26, VERI_TABANI!D26*B229)*VERI_TABANI!$B$7 + MAX(0, VERI_TABANI!D26*B229-VERI_TABANI!D26)*VERI_TABANI!$B$8) + (MIN(MAX(0, VERI_TABANI!D26-VERI_TABANI!D26*B229), VERI_TABANI!D26*C229)*VERI_TABANI!$B$7 + MAX(0, VERI_TABANI!D26*C229-MAX(0, VERI_TABANI!D26-VERI_TABANI!D26*B229))*VERI_TABANI!$B$8) + IF(ABS(IF(ISNUMBER(SEARCH("Var", D229)), 1, IF(ISNUMBER(SEARCH("Gri", D229)), -1, 0)))=1, VERI_TABANI!E26*(1-0.928)*VERI_TABANI!$B$9, 0) + (VERI_TABANI!D26*B229*(VERI_TABANI!$B$13-VERI_TABANI!$B$14)*VERI_TABANI!G26) + (VERI_TABANI!D26*C229*(VERI_TABANI!$B$13-VERI_TABANI!$B$15)*VERI_TABANI!G26) + IF(ABS(IF(ISNUMBER(SEARCH("Var", D229)), 1, IF(ISNUMBER(SEARCH("Gri", D229)), -1, 0)))=1, VERI_TABANI!E26*(1-0.928)*0.00206091519919798*VERI_TABANI!G26, 0)) + ((MIN(VERI_TABANI!D27, VERI_TABANI!D27*B229)*VERI_TABANI!$B$7 + MAX(0, VERI_TABANI!D27*B229-VERI_TABANI!D27)*VERI_TABANI!$B$8) + (MIN(MAX(0, VERI_TABANI!D27-VERI_TABANI!D27*B229), VERI_TABANI!D27*C229)*VERI_TABANI!$B$7 + MAX(0, VERI_TABANI!D27*C229-MAX(0, VERI_TABANI!D27-VERI_TABANI!D27*B229))*VERI_TABANI!$B$8) + IF(ABS(IF(ISNUMBER(SEARCH("Var", D229)), 1, IF(ISNUMBER(SEARCH("Gri", D229)), -1, 0)))=1, VERI_TABANI!E27*(1-0.928)*VERI_TABANI!$B$9, 0) + (VERI_TABANI!D27*B229*(VERI_TABANI!$B$13-VERI_TABANI!$B$14)*VERI_TABANI!G27) + (VERI_TABANI!D27*C229*(VERI_TABANI!$B$13-VERI_TABANI!$B$15)*VERI_TABANI!G27) + IF(ABS(IF(ISNUMBER(SEARCH("Var", D229)), 1, IF(ISNUMBER(SEARCH("Gri", D229)), -1, 0)))=1, VERI_TABANI!E27*(1-0.928)*0.00206091519919798*VERI_TABANI!G27, 0)) + ((MIN(VERI_TABANI!D28, VERI_TABANI!D28*B229)*VERI_TABANI!$B$7 + MAX(0, VERI_TABANI!D28*B229-VERI_TABANI!D28)*VERI_TABANI!$B$8) + (MIN(MAX(0, VERI_TABANI!D28-VERI_TABANI!D28*B229), VERI_TABANI!D28*C229)*VERI_TABANI!$B$7 + MAX(0, VERI_TABANI!D28*C229-MAX(0, VERI_TABANI!D28-VERI_TABANI!D28*B229))*VERI_TABANI!$B$8) + IF(ABS(IF(ISNUMBER(SEARCH("Var", D229)), 1, IF(ISNUMBER(SEARCH("Gri", D229)), -1, 0)))=1, VERI_TABANI!E28*(1-0.928)*VERI_TABANI!$B$9, 0) + (VERI_TABANI!D28*B229*(VERI_TABANI!$B$13-VERI_TABANI!$B$14)*VERI_TABANI!G28) + (VERI_TABANI!D28*C229*(VERI_TABANI!$B$13-VERI_TABANI!$B$15)*VERI_TABANI!G28) + IF(ABS(IF(ISNUMBER(SEARCH("Var", D229)), 1, IF(ISNUMBER(SEARCH("Gri", D229)), -1, 0)))=1, VERI_TABANI!E28*(1-0.928)*0.00206091519919798*VERI_TABANI!G28, 0)))</f>
        <v/>
      </c>
      <c r="H229" s="169">
        <f>(((VERI_TABANI!D23*B229*(VERI_TABANI!$B$13-VERI_TABANI!$B$14)) + (VERI_TABANI!D23*C229*(VERI_TABANI!$B$13-VERI_TABANI!$B$15)) + IF(ISNUMBER(SEARCH("Var", D229)), VERI_TABANI!F23*(0.00202-VERI_TABANI!$B$16), IF(ISNUMBER(SEARCH("Gri", D229)), VERI_TABANI!F23*(0.00202-VERI_TABANI!$B$17), 0))) + ((VERI_TABANI!D24*B229*(VERI_TABANI!$B$13-VERI_TABANI!$B$14)) + (VERI_TABANI!D24*C229*(VERI_TABANI!$B$13-VERI_TABANI!$B$15)) + IF(ISNUMBER(SEARCH("Var", D229)), VERI_TABANI!F24*(0.00202-VERI_TABANI!$B$16), IF(ISNUMBER(SEARCH("Gri", D229)), VERI_TABANI!F24*(0.00202-VERI_TABANI!$B$17), 0))) + ((VERI_TABANI!D25*B229*(VERI_TABANI!$B$13-VERI_TABANI!$B$14)) + (VERI_TABANI!D25*C229*(VERI_TABANI!$B$13-VERI_TABANI!$B$15)) + IF(ISNUMBER(SEARCH("Var", D229)), VERI_TABANI!F25*(0.00202-VERI_TABANI!$B$16), IF(ISNUMBER(SEARCH("Gri", D229)), VERI_TABANI!F25*(0.00202-VERI_TABANI!$B$17), 0))) + ((VERI_TABANI!D26*B229*(VERI_TABANI!$B$13-VERI_TABANI!$B$14)) + (VERI_TABANI!D26*C229*(VERI_TABANI!$B$13-VERI_TABANI!$B$15)) + IF(ISNUMBER(SEARCH("Var", D229)), VERI_TABANI!F26*(0.00202-VERI_TABANI!$B$16), IF(ISNUMBER(SEARCH("Gri", D229)), VERI_TABANI!F26*(0.00202-VERI_TABANI!$B$17), 0))) + ((VERI_TABANI!D27*B229*(VERI_TABANI!$B$13-VERI_TABANI!$B$14)) + (VERI_TABANI!D27*C229*(VERI_TABANI!$B$13-VERI_TABANI!$B$15)) + IF(ISNUMBER(SEARCH("Var", D229)), VERI_TABANI!F27*(0.00202-VERI_TABANI!$B$16), IF(ISNUMBER(SEARCH("Gri", D229)), VERI_TABANI!F27*(0.00202-VERI_TABANI!$B$17), 0))) + ((VERI_TABANI!D28*B229*(VERI_TABANI!$B$13-VERI_TABANI!$B$14)) + (VERI_TABANI!D28*C229*(VERI_TABANI!$B$13-VERI_TABANI!$B$15)) + IF(ISNUMBER(SEARCH("Var", D229)), VERI_TABANI!F28*(0.00202-VERI_TABANI!$B$16), IF(ISNUMBER(SEARCH("Gri", D229)), VERI_TABANI!F28*(0.00202-VERI_TABANI!$B$17), 0))))</f>
        <v/>
      </c>
      <c r="I229" s="170">
        <f>IFERROR(((VERI_TABANI!$D$29*B229*VERI_TABANI!$B$14 + VERI_TABANI!$D$29*C229*VERI_TABANI!$B$15 + IF(ISNUMBER(SEARCH("Var", D229)), VERI_TABANI!$F$29*VERI_TABANI!$B$16, 0))) / (((VERI_TABANI!$D$29*B229 + VERI_TABANI!$D$29*C229)*VERI_TABANI!$B$13 + IF(ISNUMBER(SEARCH("Var", D229)), VERI_TABANI!$E$29*(1-0.928)*VERI_TABANI!$B$18, 0))), 0)</f>
        <v/>
      </c>
      <c r="J229" s="171">
        <f>IFERROR(F229/(G229/29), 0)</f>
        <v/>
      </c>
      <c r="K229" s="172">
        <f>IF(F229&gt;0, H229/F229, 0)</f>
        <v/>
      </c>
      <c r="L229" s="170">
        <f>IF(F229&gt;0, I229, 1000000000)</f>
        <v/>
      </c>
      <c r="M229" s="171">
        <f>ABS((B229+C229)-1)</f>
        <v/>
      </c>
      <c r="N229" s="170">
        <f>IF(F229&gt;0, (G229/29)/F229, 0)</f>
        <v/>
      </c>
      <c r="O229" s="168">
        <f>IF(AND((B229+C229)&gt;=1, ISNUMBER(SEARCH("Var", D229))), F229, 1000000000)</f>
        <v/>
      </c>
      <c r="P229" s="172">
        <f>IF(F229&gt;0, SQRT((F229/MAX(F$5:F$886))^2 + (1 - H229/MAX(H$5:H$886))^2 + (J229/MAX(J$5:J$886))^2), 1000000000)</f>
        <v/>
      </c>
      <c r="Q229" s="166">
        <f>IF(AND(ABS(B229-0.5)&lt;0.01, ABS(C229-0.5)&lt;0.01, ISNUMBER(SEARCH("Var", D229))), 1, 0)</f>
        <v/>
      </c>
      <c r="R229" s="171">
        <f>IF(F229&gt;0, J229, 1000000000)</f>
        <v/>
      </c>
      <c r="S229" s="101">
        <f>IF(AND(F229&lt;=DASHBOARD!$B$11, H229&gt;=DASHBOARD!$B$13), G229, -1000000000000)</f>
        <v/>
      </c>
      <c r="T229" s="101">
        <f>IF(AND(F229&lt;=DASHBOARD!$B$11, H229&gt;=DASHBOARD!$B$13), R229, 1000000000000)</f>
        <v/>
      </c>
      <c r="U229" s="101">
        <f>IF(AND(F229&lt;=DASHBOARD!$B$11, H229&gt;=DASHBOARD!$B$13), N229, -1000000000000)</f>
        <v/>
      </c>
      <c r="V229" s="101">
        <f>IF(AND(F229&lt;=DASHBOARD!$B$11, H229&gt;=DASHBOARD!$B$13), H229, -1000000000000)</f>
        <v/>
      </c>
      <c r="W229" s="101">
        <f>IF(AND(F229&lt;=DASHBOARD!$B$11, H229&gt;=DASHBOARD!$B$13), K229, -1000000000000)</f>
        <v/>
      </c>
      <c r="X229" s="101">
        <f>IF(AND(F229&lt;=DASHBOARD!$B$11, H229&gt;=DASHBOARD!$B$13), M229, 1000000000000)</f>
        <v/>
      </c>
      <c r="Y229" s="101">
        <f>IF(AND(F229&lt;=DASHBOARD!$B$10, H229&gt;=DASHBOARD!$B$11), L229, 1000000000000)</f>
        <v/>
      </c>
      <c r="Z229" s="101">
        <f>IF(AND(F229&lt;=DASHBOARD!$B$10, H229&gt;=DASHBOARD!$B$11), O229, 1000000000000)</f>
        <v/>
      </c>
      <c r="AA229" s="101">
        <f>IF(AND(F229&lt;=DASHBOARD!$B$10, H229&gt;=DASHBOARD!$B$11), P229, 1000000000000)</f>
        <v/>
      </c>
      <c r="AB229" s="101">
        <f>IF(AND(F229&lt;=DASHBOARD!$B$10, H229&gt;=DASHBOARD!$B$11), Q229, -1000000000000)</f>
        <v/>
      </c>
    </row>
    <row r="230" ht="15" customHeight="1" s="102">
      <c r="A230" s="166" t="n">
        <v>226</v>
      </c>
      <c r="B230" s="167" t="n">
        <v>0.5</v>
      </c>
      <c r="C230" s="167" t="n">
        <v>0.7</v>
      </c>
      <c r="D230" s="110" t="inlineStr">
        <is>
          <t>Var (%20)</t>
        </is>
      </c>
      <c r="E230" s="110">
        <f>IF((B230+C230)&lt;=1, "Tam Mahsuplaşma (≤%100)", "Kısmi Satış (&gt;%100)")</f>
        <v/>
      </c>
      <c r="F230" s="168">
        <f>((VERI_TABANI!$D$29*B230/VERI_TABANI!$B$29)/VERI_TABANI!$B$3)*VERI_TABANI!$B$5 + ((VERI_TABANI!$D$29*C230/VERI_TABANI!$B$29)/VERI_TABANI!$B$4)*VERI_TABANI!$B$6 + IF(ISNUMBER(SEARCH("Var", D230)), (VERI_TABANI!$F$29/VERI_TABANI!$B$29)*(VERI_TABANI!$B$10+VERI_TABANI!$B$12), 0)</f>
        <v/>
      </c>
      <c r="G230" s="168">
        <f>(((MIN(VERI_TABANI!D23, VERI_TABANI!D23*B230)*VERI_TABANI!$B$7 + MAX(0, VERI_TABANI!D23*B230-VERI_TABANI!D23)*VERI_TABANI!$B$8) + (MIN(MAX(0, VERI_TABANI!D23-VERI_TABANI!D23*B230), VERI_TABANI!D23*C230)*VERI_TABANI!$B$7 + MAX(0, VERI_TABANI!D23*C230-MAX(0, VERI_TABANI!D23-VERI_TABANI!D23*B230))*VERI_TABANI!$B$8) + IF(ABS(IF(ISNUMBER(SEARCH("Var", D230)), 1, IF(ISNUMBER(SEARCH("Gri", D230)), -1, 0)))=1, VERI_TABANI!E23*(1-0.928)*VERI_TABANI!$B$9, 0) + (VERI_TABANI!D23*B230*(VERI_TABANI!$B$13-VERI_TABANI!$B$14)*VERI_TABANI!G23) + (VERI_TABANI!D23*C230*(VERI_TABANI!$B$13-VERI_TABANI!$B$15)*VERI_TABANI!G23) + IF(ABS(IF(ISNUMBER(SEARCH("Var", D230)), 1, IF(ISNUMBER(SEARCH("Gri", D230)), -1, 0)))=1, VERI_TABANI!E23*(1-0.928)*0.00206091519919798*VERI_TABANI!G23, 0)) + ((MIN(VERI_TABANI!D24, VERI_TABANI!D24*B230)*VERI_TABANI!$B$7 + MAX(0, VERI_TABANI!D24*B230-VERI_TABANI!D24)*VERI_TABANI!$B$8) + (MIN(MAX(0, VERI_TABANI!D24-VERI_TABANI!D24*B230), VERI_TABANI!D24*C230)*VERI_TABANI!$B$7 + MAX(0, VERI_TABANI!D24*C230-MAX(0, VERI_TABANI!D24-VERI_TABANI!D24*B230))*VERI_TABANI!$B$8) + IF(ABS(IF(ISNUMBER(SEARCH("Var", D230)), 1, IF(ISNUMBER(SEARCH("Gri", D230)), -1, 0)))=1, VERI_TABANI!E24*(1-0.928)*VERI_TABANI!$B$9, 0) + (VERI_TABANI!D24*B230*(VERI_TABANI!$B$13-VERI_TABANI!$B$14)*VERI_TABANI!G24) + (VERI_TABANI!D24*C230*(VERI_TABANI!$B$13-VERI_TABANI!$B$15)*VERI_TABANI!G24) + IF(ABS(IF(ISNUMBER(SEARCH("Var", D230)), 1, IF(ISNUMBER(SEARCH("Gri", D230)), -1, 0)))=1, VERI_TABANI!E24*(1-0.928)*0.00206091519919798*VERI_TABANI!G24, 0)) + ((MIN(VERI_TABANI!D25, VERI_TABANI!D25*B230)*VERI_TABANI!$B$7 + MAX(0, VERI_TABANI!D25*B230-VERI_TABANI!D25)*VERI_TABANI!$B$8) + (MIN(MAX(0, VERI_TABANI!D25-VERI_TABANI!D25*B230), VERI_TABANI!D25*C230)*VERI_TABANI!$B$7 + MAX(0, VERI_TABANI!D25*C230-MAX(0, VERI_TABANI!D25-VERI_TABANI!D25*B230))*VERI_TABANI!$B$8) + IF(ABS(IF(ISNUMBER(SEARCH("Var", D230)), 1, IF(ISNUMBER(SEARCH("Gri", D230)), -1, 0)))=1, VERI_TABANI!E25*(1-0.928)*VERI_TABANI!$B$9, 0) + (VERI_TABANI!D25*B230*(VERI_TABANI!$B$13-VERI_TABANI!$B$14)*VERI_TABANI!G25) + (VERI_TABANI!D25*C230*(VERI_TABANI!$B$13-VERI_TABANI!$B$15)*VERI_TABANI!G25) + IF(ABS(IF(ISNUMBER(SEARCH("Var", D230)), 1, IF(ISNUMBER(SEARCH("Gri", D230)), -1, 0)))=1, VERI_TABANI!E25*(1-0.928)*0.00206091519919798*VERI_TABANI!G25, 0)) + ((MIN(VERI_TABANI!D26, VERI_TABANI!D26*B230)*VERI_TABANI!$B$7 + MAX(0, VERI_TABANI!D26*B230-VERI_TABANI!D26)*VERI_TABANI!$B$8) + (MIN(MAX(0, VERI_TABANI!D26-VERI_TABANI!D26*B230), VERI_TABANI!D26*C230)*VERI_TABANI!$B$7 + MAX(0, VERI_TABANI!D26*C230-MAX(0, VERI_TABANI!D26-VERI_TABANI!D26*B230))*VERI_TABANI!$B$8) + IF(ABS(IF(ISNUMBER(SEARCH("Var", D230)), 1, IF(ISNUMBER(SEARCH("Gri", D230)), -1, 0)))=1, VERI_TABANI!E26*(1-0.928)*VERI_TABANI!$B$9, 0) + (VERI_TABANI!D26*B230*(VERI_TABANI!$B$13-VERI_TABANI!$B$14)*VERI_TABANI!G26) + (VERI_TABANI!D26*C230*(VERI_TABANI!$B$13-VERI_TABANI!$B$15)*VERI_TABANI!G26) + IF(ABS(IF(ISNUMBER(SEARCH("Var", D230)), 1, IF(ISNUMBER(SEARCH("Gri", D230)), -1, 0)))=1, VERI_TABANI!E26*(1-0.928)*0.00206091519919798*VERI_TABANI!G26, 0)) + ((MIN(VERI_TABANI!D27, VERI_TABANI!D27*B230)*VERI_TABANI!$B$7 + MAX(0, VERI_TABANI!D27*B230-VERI_TABANI!D27)*VERI_TABANI!$B$8) + (MIN(MAX(0, VERI_TABANI!D27-VERI_TABANI!D27*B230), VERI_TABANI!D27*C230)*VERI_TABANI!$B$7 + MAX(0, VERI_TABANI!D27*C230-MAX(0, VERI_TABANI!D27-VERI_TABANI!D27*B230))*VERI_TABANI!$B$8) + IF(ABS(IF(ISNUMBER(SEARCH("Var", D230)), 1, IF(ISNUMBER(SEARCH("Gri", D230)), -1, 0)))=1, VERI_TABANI!E27*(1-0.928)*VERI_TABANI!$B$9, 0) + (VERI_TABANI!D27*B230*(VERI_TABANI!$B$13-VERI_TABANI!$B$14)*VERI_TABANI!G27) + (VERI_TABANI!D27*C230*(VERI_TABANI!$B$13-VERI_TABANI!$B$15)*VERI_TABANI!G27) + IF(ABS(IF(ISNUMBER(SEARCH("Var", D230)), 1, IF(ISNUMBER(SEARCH("Gri", D230)), -1, 0)))=1, VERI_TABANI!E27*(1-0.928)*0.00206091519919798*VERI_TABANI!G27, 0)) + ((MIN(VERI_TABANI!D28, VERI_TABANI!D28*B230)*VERI_TABANI!$B$7 + MAX(0, VERI_TABANI!D28*B230-VERI_TABANI!D28)*VERI_TABANI!$B$8) + (MIN(MAX(0, VERI_TABANI!D28-VERI_TABANI!D28*B230), VERI_TABANI!D28*C230)*VERI_TABANI!$B$7 + MAX(0, VERI_TABANI!D28*C230-MAX(0, VERI_TABANI!D28-VERI_TABANI!D28*B230))*VERI_TABANI!$B$8) + IF(ABS(IF(ISNUMBER(SEARCH("Var", D230)), 1, IF(ISNUMBER(SEARCH("Gri", D230)), -1, 0)))=1, VERI_TABANI!E28*(1-0.928)*VERI_TABANI!$B$9, 0) + (VERI_TABANI!D28*B230*(VERI_TABANI!$B$13-VERI_TABANI!$B$14)*VERI_TABANI!G28) + (VERI_TABANI!D28*C230*(VERI_TABANI!$B$13-VERI_TABANI!$B$15)*VERI_TABANI!G28) + IF(ABS(IF(ISNUMBER(SEARCH("Var", D230)), 1, IF(ISNUMBER(SEARCH("Gri", D230)), -1, 0)))=1, VERI_TABANI!E28*(1-0.928)*0.00206091519919798*VERI_TABANI!G28, 0)))</f>
        <v/>
      </c>
      <c r="H230" s="169">
        <f>(((VERI_TABANI!D23*B230*(VERI_TABANI!$B$13-VERI_TABANI!$B$14)) + (VERI_TABANI!D23*C230*(VERI_TABANI!$B$13-VERI_TABANI!$B$15)) + IF(ISNUMBER(SEARCH("Var", D230)), VERI_TABANI!F23*(0.00202-VERI_TABANI!$B$16), IF(ISNUMBER(SEARCH("Gri", D230)), VERI_TABANI!F23*(0.00202-VERI_TABANI!$B$17), 0))) + ((VERI_TABANI!D24*B230*(VERI_TABANI!$B$13-VERI_TABANI!$B$14)) + (VERI_TABANI!D24*C230*(VERI_TABANI!$B$13-VERI_TABANI!$B$15)) + IF(ISNUMBER(SEARCH("Var", D230)), VERI_TABANI!F24*(0.00202-VERI_TABANI!$B$16), IF(ISNUMBER(SEARCH("Gri", D230)), VERI_TABANI!F24*(0.00202-VERI_TABANI!$B$17), 0))) + ((VERI_TABANI!D25*B230*(VERI_TABANI!$B$13-VERI_TABANI!$B$14)) + (VERI_TABANI!D25*C230*(VERI_TABANI!$B$13-VERI_TABANI!$B$15)) + IF(ISNUMBER(SEARCH("Var", D230)), VERI_TABANI!F25*(0.00202-VERI_TABANI!$B$16), IF(ISNUMBER(SEARCH("Gri", D230)), VERI_TABANI!F25*(0.00202-VERI_TABANI!$B$17), 0))) + ((VERI_TABANI!D26*B230*(VERI_TABANI!$B$13-VERI_TABANI!$B$14)) + (VERI_TABANI!D26*C230*(VERI_TABANI!$B$13-VERI_TABANI!$B$15)) + IF(ISNUMBER(SEARCH("Var", D230)), VERI_TABANI!F26*(0.00202-VERI_TABANI!$B$16), IF(ISNUMBER(SEARCH("Gri", D230)), VERI_TABANI!F26*(0.00202-VERI_TABANI!$B$17), 0))) + ((VERI_TABANI!D27*B230*(VERI_TABANI!$B$13-VERI_TABANI!$B$14)) + (VERI_TABANI!D27*C230*(VERI_TABANI!$B$13-VERI_TABANI!$B$15)) + IF(ISNUMBER(SEARCH("Var", D230)), VERI_TABANI!F27*(0.00202-VERI_TABANI!$B$16), IF(ISNUMBER(SEARCH("Gri", D230)), VERI_TABANI!F27*(0.00202-VERI_TABANI!$B$17), 0))) + ((VERI_TABANI!D28*B230*(VERI_TABANI!$B$13-VERI_TABANI!$B$14)) + (VERI_TABANI!D28*C230*(VERI_TABANI!$B$13-VERI_TABANI!$B$15)) + IF(ISNUMBER(SEARCH("Var", D230)), VERI_TABANI!F28*(0.00202-VERI_TABANI!$B$16), IF(ISNUMBER(SEARCH("Gri", D230)), VERI_TABANI!F28*(0.00202-VERI_TABANI!$B$17), 0))))</f>
        <v/>
      </c>
      <c r="I230" s="170">
        <f>IFERROR(((VERI_TABANI!$D$29*B230*VERI_TABANI!$B$14 + VERI_TABANI!$D$29*C230*VERI_TABANI!$B$15 + IF(ISNUMBER(SEARCH("Var", D230)), VERI_TABANI!$F$29*VERI_TABANI!$B$16, 0))) / (((VERI_TABANI!$D$29*B230 + VERI_TABANI!$D$29*C230)*VERI_TABANI!$B$13 + IF(ISNUMBER(SEARCH("Var", D230)), VERI_TABANI!$E$29*(1-0.928)*VERI_TABANI!$B$18, 0))), 0)</f>
        <v/>
      </c>
      <c r="J230" s="171">
        <f>IFERROR(F230/(G230/29), 0)</f>
        <v/>
      </c>
      <c r="K230" s="172">
        <f>IF(F230&gt;0, H230/F230, 0)</f>
        <v/>
      </c>
      <c r="L230" s="170">
        <f>IF(F230&gt;0, I230, 1000000000)</f>
        <v/>
      </c>
      <c r="M230" s="171">
        <f>ABS((B230+C230)-1)</f>
        <v/>
      </c>
      <c r="N230" s="170">
        <f>IF(F230&gt;0, (G230/29)/F230, 0)</f>
        <v/>
      </c>
      <c r="O230" s="168">
        <f>IF(AND((B230+C230)&gt;=1, ISNUMBER(SEARCH("Var", D230))), F230, 1000000000)</f>
        <v/>
      </c>
      <c r="P230" s="172">
        <f>IF(F230&gt;0, SQRT((F230/MAX(F$5:F$886))^2 + (1 - H230/MAX(H$5:H$886))^2 + (J230/MAX(J$5:J$886))^2), 1000000000)</f>
        <v/>
      </c>
      <c r="Q230" s="166">
        <f>IF(AND(ABS(B230-0.5)&lt;0.01, ABS(C230-0.5)&lt;0.01, ISNUMBER(SEARCH("Var", D230))), 1, 0)</f>
        <v/>
      </c>
      <c r="R230" s="171">
        <f>IF(F230&gt;0, J230, 1000000000)</f>
        <v/>
      </c>
      <c r="S230" s="101">
        <f>IF(AND(F230&lt;=DASHBOARD!$B$11, H230&gt;=DASHBOARD!$B$13), G230, -1000000000000)</f>
        <v/>
      </c>
      <c r="T230" s="101">
        <f>IF(AND(F230&lt;=DASHBOARD!$B$11, H230&gt;=DASHBOARD!$B$13), R230, 1000000000000)</f>
        <v/>
      </c>
      <c r="U230" s="101">
        <f>IF(AND(F230&lt;=DASHBOARD!$B$11, H230&gt;=DASHBOARD!$B$13), N230, -1000000000000)</f>
        <v/>
      </c>
      <c r="V230" s="101">
        <f>IF(AND(F230&lt;=DASHBOARD!$B$11, H230&gt;=DASHBOARD!$B$13), H230, -1000000000000)</f>
        <v/>
      </c>
      <c r="W230" s="101">
        <f>IF(AND(F230&lt;=DASHBOARD!$B$11, H230&gt;=DASHBOARD!$B$13), K230, -1000000000000)</f>
        <v/>
      </c>
      <c r="X230" s="101">
        <f>IF(AND(F230&lt;=DASHBOARD!$B$11, H230&gt;=DASHBOARD!$B$13), M230, 1000000000000)</f>
        <v/>
      </c>
      <c r="Y230" s="101">
        <f>IF(AND(F230&lt;=DASHBOARD!$B$10, H230&gt;=DASHBOARD!$B$11), L230, 1000000000000)</f>
        <v/>
      </c>
      <c r="Z230" s="101">
        <f>IF(AND(F230&lt;=DASHBOARD!$B$10, H230&gt;=DASHBOARD!$B$11), O230, 1000000000000)</f>
        <v/>
      </c>
      <c r="AA230" s="101">
        <f>IF(AND(F230&lt;=DASHBOARD!$B$10, H230&gt;=DASHBOARD!$B$11), P230, 1000000000000)</f>
        <v/>
      </c>
      <c r="AB230" s="101">
        <f>IF(AND(F230&lt;=DASHBOARD!$B$10, H230&gt;=DASHBOARD!$B$11), Q230, -1000000000000)</f>
        <v/>
      </c>
    </row>
    <row r="231" ht="15" customHeight="1" s="102">
      <c r="A231" s="166" t="n">
        <v>227</v>
      </c>
      <c r="B231" s="167" t="n">
        <v>0.5</v>
      </c>
      <c r="C231" s="167" t="n">
        <v>0.8</v>
      </c>
      <c r="D231" s="110" t="inlineStr">
        <is>
          <t>Yok (%0)</t>
        </is>
      </c>
      <c r="E231" s="110">
        <f>IF((B231+C231)&lt;=1, "Tam Mahsuplaşma (≤%100)", "Kısmi Satış (&gt;%100)")</f>
        <v/>
      </c>
      <c r="F231" s="168">
        <f>((VERI_TABANI!$D$29*B231/VERI_TABANI!$B$29)/VERI_TABANI!$B$3)*VERI_TABANI!$B$5 + ((VERI_TABANI!$D$29*C231/VERI_TABANI!$B$29)/VERI_TABANI!$B$4)*VERI_TABANI!$B$6 + IF(ISNUMBER(SEARCH("Var", D231)), (VERI_TABANI!$F$29/VERI_TABANI!$B$29)*(VERI_TABANI!$B$10+VERI_TABANI!$B$12), 0)</f>
        <v/>
      </c>
      <c r="G231" s="168">
        <f>(((MIN(VERI_TABANI!D23, VERI_TABANI!D23*B231)*VERI_TABANI!$B$7 + MAX(0, VERI_TABANI!D23*B231-VERI_TABANI!D23)*VERI_TABANI!$B$8) + (MIN(MAX(0, VERI_TABANI!D23-VERI_TABANI!D23*B231), VERI_TABANI!D23*C231)*VERI_TABANI!$B$7 + MAX(0, VERI_TABANI!D23*C231-MAX(0, VERI_TABANI!D23-VERI_TABANI!D23*B231))*VERI_TABANI!$B$8) + IF(ABS(IF(ISNUMBER(SEARCH("Var", D231)), 1, IF(ISNUMBER(SEARCH("Gri", D231)), -1, 0)))=1, VERI_TABANI!E23*(1-0.928)*VERI_TABANI!$B$9, 0) + (VERI_TABANI!D23*B231*(VERI_TABANI!$B$13-VERI_TABANI!$B$14)*VERI_TABANI!G23) + (VERI_TABANI!D23*C231*(VERI_TABANI!$B$13-VERI_TABANI!$B$15)*VERI_TABANI!G23) + IF(ABS(IF(ISNUMBER(SEARCH("Var", D231)), 1, IF(ISNUMBER(SEARCH("Gri", D231)), -1, 0)))=1, VERI_TABANI!E23*(1-0.928)*0.00206091519919798*VERI_TABANI!G23, 0)) + ((MIN(VERI_TABANI!D24, VERI_TABANI!D24*B231)*VERI_TABANI!$B$7 + MAX(0, VERI_TABANI!D24*B231-VERI_TABANI!D24)*VERI_TABANI!$B$8) + (MIN(MAX(0, VERI_TABANI!D24-VERI_TABANI!D24*B231), VERI_TABANI!D24*C231)*VERI_TABANI!$B$7 + MAX(0, VERI_TABANI!D24*C231-MAX(0, VERI_TABANI!D24-VERI_TABANI!D24*B231))*VERI_TABANI!$B$8) + IF(ABS(IF(ISNUMBER(SEARCH("Var", D231)), 1, IF(ISNUMBER(SEARCH("Gri", D231)), -1, 0)))=1, VERI_TABANI!E24*(1-0.928)*VERI_TABANI!$B$9, 0) + (VERI_TABANI!D24*B231*(VERI_TABANI!$B$13-VERI_TABANI!$B$14)*VERI_TABANI!G24) + (VERI_TABANI!D24*C231*(VERI_TABANI!$B$13-VERI_TABANI!$B$15)*VERI_TABANI!G24) + IF(ABS(IF(ISNUMBER(SEARCH("Var", D231)), 1, IF(ISNUMBER(SEARCH("Gri", D231)), -1, 0)))=1, VERI_TABANI!E24*(1-0.928)*0.00206091519919798*VERI_TABANI!G24, 0)) + ((MIN(VERI_TABANI!D25, VERI_TABANI!D25*B231)*VERI_TABANI!$B$7 + MAX(0, VERI_TABANI!D25*B231-VERI_TABANI!D25)*VERI_TABANI!$B$8) + (MIN(MAX(0, VERI_TABANI!D25-VERI_TABANI!D25*B231), VERI_TABANI!D25*C231)*VERI_TABANI!$B$7 + MAX(0, VERI_TABANI!D25*C231-MAX(0, VERI_TABANI!D25-VERI_TABANI!D25*B231))*VERI_TABANI!$B$8) + IF(ABS(IF(ISNUMBER(SEARCH("Var", D231)), 1, IF(ISNUMBER(SEARCH("Gri", D231)), -1, 0)))=1, VERI_TABANI!E25*(1-0.928)*VERI_TABANI!$B$9, 0) + (VERI_TABANI!D25*B231*(VERI_TABANI!$B$13-VERI_TABANI!$B$14)*VERI_TABANI!G25) + (VERI_TABANI!D25*C231*(VERI_TABANI!$B$13-VERI_TABANI!$B$15)*VERI_TABANI!G25) + IF(ABS(IF(ISNUMBER(SEARCH("Var", D231)), 1, IF(ISNUMBER(SEARCH("Gri", D231)), -1, 0)))=1, VERI_TABANI!E25*(1-0.928)*0.00206091519919798*VERI_TABANI!G25, 0)) + ((MIN(VERI_TABANI!D26, VERI_TABANI!D26*B231)*VERI_TABANI!$B$7 + MAX(0, VERI_TABANI!D26*B231-VERI_TABANI!D26)*VERI_TABANI!$B$8) + (MIN(MAX(0, VERI_TABANI!D26-VERI_TABANI!D26*B231), VERI_TABANI!D26*C231)*VERI_TABANI!$B$7 + MAX(0, VERI_TABANI!D26*C231-MAX(0, VERI_TABANI!D26-VERI_TABANI!D26*B231))*VERI_TABANI!$B$8) + IF(ABS(IF(ISNUMBER(SEARCH("Var", D231)), 1, IF(ISNUMBER(SEARCH("Gri", D231)), -1, 0)))=1, VERI_TABANI!E26*(1-0.928)*VERI_TABANI!$B$9, 0) + (VERI_TABANI!D26*B231*(VERI_TABANI!$B$13-VERI_TABANI!$B$14)*VERI_TABANI!G26) + (VERI_TABANI!D26*C231*(VERI_TABANI!$B$13-VERI_TABANI!$B$15)*VERI_TABANI!G26) + IF(ABS(IF(ISNUMBER(SEARCH("Var", D231)), 1, IF(ISNUMBER(SEARCH("Gri", D231)), -1, 0)))=1, VERI_TABANI!E26*(1-0.928)*0.00206091519919798*VERI_TABANI!G26, 0)) + ((MIN(VERI_TABANI!D27, VERI_TABANI!D27*B231)*VERI_TABANI!$B$7 + MAX(0, VERI_TABANI!D27*B231-VERI_TABANI!D27)*VERI_TABANI!$B$8) + (MIN(MAX(0, VERI_TABANI!D27-VERI_TABANI!D27*B231), VERI_TABANI!D27*C231)*VERI_TABANI!$B$7 + MAX(0, VERI_TABANI!D27*C231-MAX(0, VERI_TABANI!D27-VERI_TABANI!D27*B231))*VERI_TABANI!$B$8) + IF(ABS(IF(ISNUMBER(SEARCH("Var", D231)), 1, IF(ISNUMBER(SEARCH("Gri", D231)), -1, 0)))=1, VERI_TABANI!E27*(1-0.928)*VERI_TABANI!$B$9, 0) + (VERI_TABANI!D27*B231*(VERI_TABANI!$B$13-VERI_TABANI!$B$14)*VERI_TABANI!G27) + (VERI_TABANI!D27*C231*(VERI_TABANI!$B$13-VERI_TABANI!$B$15)*VERI_TABANI!G27) + IF(ABS(IF(ISNUMBER(SEARCH("Var", D231)), 1, IF(ISNUMBER(SEARCH("Gri", D231)), -1, 0)))=1, VERI_TABANI!E27*(1-0.928)*0.00206091519919798*VERI_TABANI!G27, 0)) + ((MIN(VERI_TABANI!D28, VERI_TABANI!D28*B231)*VERI_TABANI!$B$7 + MAX(0, VERI_TABANI!D28*B231-VERI_TABANI!D28)*VERI_TABANI!$B$8) + (MIN(MAX(0, VERI_TABANI!D28-VERI_TABANI!D28*B231), VERI_TABANI!D28*C231)*VERI_TABANI!$B$7 + MAX(0, VERI_TABANI!D28*C231-MAX(0, VERI_TABANI!D28-VERI_TABANI!D28*B231))*VERI_TABANI!$B$8) + IF(ABS(IF(ISNUMBER(SEARCH("Var", D231)), 1, IF(ISNUMBER(SEARCH("Gri", D231)), -1, 0)))=1, VERI_TABANI!E28*(1-0.928)*VERI_TABANI!$B$9, 0) + (VERI_TABANI!D28*B231*(VERI_TABANI!$B$13-VERI_TABANI!$B$14)*VERI_TABANI!G28) + (VERI_TABANI!D28*C231*(VERI_TABANI!$B$13-VERI_TABANI!$B$15)*VERI_TABANI!G28) + IF(ABS(IF(ISNUMBER(SEARCH("Var", D231)), 1, IF(ISNUMBER(SEARCH("Gri", D231)), -1, 0)))=1, VERI_TABANI!E28*(1-0.928)*0.00206091519919798*VERI_TABANI!G28, 0)))</f>
        <v/>
      </c>
      <c r="H231" s="169">
        <f>(((VERI_TABANI!D23*B231*(VERI_TABANI!$B$13-VERI_TABANI!$B$14)) + (VERI_TABANI!D23*C231*(VERI_TABANI!$B$13-VERI_TABANI!$B$15)) + IF(ISNUMBER(SEARCH("Var", D231)), VERI_TABANI!F23*(0.00202-VERI_TABANI!$B$16), IF(ISNUMBER(SEARCH("Gri", D231)), VERI_TABANI!F23*(0.00202-VERI_TABANI!$B$17), 0))) + ((VERI_TABANI!D24*B231*(VERI_TABANI!$B$13-VERI_TABANI!$B$14)) + (VERI_TABANI!D24*C231*(VERI_TABANI!$B$13-VERI_TABANI!$B$15)) + IF(ISNUMBER(SEARCH("Var", D231)), VERI_TABANI!F24*(0.00202-VERI_TABANI!$B$16), IF(ISNUMBER(SEARCH("Gri", D231)), VERI_TABANI!F24*(0.00202-VERI_TABANI!$B$17), 0))) + ((VERI_TABANI!D25*B231*(VERI_TABANI!$B$13-VERI_TABANI!$B$14)) + (VERI_TABANI!D25*C231*(VERI_TABANI!$B$13-VERI_TABANI!$B$15)) + IF(ISNUMBER(SEARCH("Var", D231)), VERI_TABANI!F25*(0.00202-VERI_TABANI!$B$16), IF(ISNUMBER(SEARCH("Gri", D231)), VERI_TABANI!F25*(0.00202-VERI_TABANI!$B$17), 0))) + ((VERI_TABANI!D26*B231*(VERI_TABANI!$B$13-VERI_TABANI!$B$14)) + (VERI_TABANI!D26*C231*(VERI_TABANI!$B$13-VERI_TABANI!$B$15)) + IF(ISNUMBER(SEARCH("Var", D231)), VERI_TABANI!F26*(0.00202-VERI_TABANI!$B$16), IF(ISNUMBER(SEARCH("Gri", D231)), VERI_TABANI!F26*(0.00202-VERI_TABANI!$B$17), 0))) + ((VERI_TABANI!D27*B231*(VERI_TABANI!$B$13-VERI_TABANI!$B$14)) + (VERI_TABANI!D27*C231*(VERI_TABANI!$B$13-VERI_TABANI!$B$15)) + IF(ISNUMBER(SEARCH("Var", D231)), VERI_TABANI!F27*(0.00202-VERI_TABANI!$B$16), IF(ISNUMBER(SEARCH("Gri", D231)), VERI_TABANI!F27*(0.00202-VERI_TABANI!$B$17), 0))) + ((VERI_TABANI!D28*B231*(VERI_TABANI!$B$13-VERI_TABANI!$B$14)) + (VERI_TABANI!D28*C231*(VERI_TABANI!$B$13-VERI_TABANI!$B$15)) + IF(ISNUMBER(SEARCH("Var", D231)), VERI_TABANI!F28*(0.00202-VERI_TABANI!$B$16), IF(ISNUMBER(SEARCH("Gri", D231)), VERI_TABANI!F28*(0.00202-VERI_TABANI!$B$17), 0))))</f>
        <v/>
      </c>
      <c r="I231" s="170">
        <f>IFERROR(((VERI_TABANI!$D$29*B231*VERI_TABANI!$B$14 + VERI_TABANI!$D$29*C231*VERI_TABANI!$B$15 + IF(ISNUMBER(SEARCH("Var", D231)), VERI_TABANI!$F$29*VERI_TABANI!$B$16, 0))) / (((VERI_TABANI!$D$29*B231 + VERI_TABANI!$D$29*C231)*VERI_TABANI!$B$13 + IF(ISNUMBER(SEARCH("Var", D231)), VERI_TABANI!$E$29*(1-0.928)*VERI_TABANI!$B$18, 0))), 0)</f>
        <v/>
      </c>
      <c r="J231" s="171">
        <f>IFERROR(F231/(G231/29), 0)</f>
        <v/>
      </c>
      <c r="K231" s="172">
        <f>IF(F231&gt;0, H231/F231, 0)</f>
        <v/>
      </c>
      <c r="L231" s="170">
        <f>IF(F231&gt;0, I231, 1000000000)</f>
        <v/>
      </c>
      <c r="M231" s="171">
        <f>ABS((B231+C231)-1)</f>
        <v/>
      </c>
      <c r="N231" s="170">
        <f>IF(F231&gt;0, (G231/29)/F231, 0)</f>
        <v/>
      </c>
      <c r="O231" s="168">
        <f>IF(AND((B231+C231)&gt;=1, ISNUMBER(SEARCH("Var", D231))), F231, 1000000000)</f>
        <v/>
      </c>
      <c r="P231" s="172">
        <f>IF(F231&gt;0, SQRT((F231/MAX(F$5:F$886))^2 + (1 - H231/MAX(H$5:H$886))^2 + (J231/MAX(J$5:J$886))^2), 1000000000)</f>
        <v/>
      </c>
      <c r="Q231" s="166">
        <f>IF(AND(ABS(B231-0.5)&lt;0.01, ABS(C231-0.5)&lt;0.01, ISNUMBER(SEARCH("Var", D231))), 1, 0)</f>
        <v/>
      </c>
      <c r="R231" s="171">
        <f>IF(F231&gt;0, J231, 1000000000)</f>
        <v/>
      </c>
      <c r="S231" s="101">
        <f>IF(AND(F231&lt;=DASHBOARD!$B$11, H231&gt;=DASHBOARD!$B$13), G231, -1000000000000)</f>
        <v/>
      </c>
      <c r="T231" s="101">
        <f>IF(AND(F231&lt;=DASHBOARD!$B$11, H231&gt;=DASHBOARD!$B$13), R231, 1000000000000)</f>
        <v/>
      </c>
      <c r="U231" s="101">
        <f>IF(AND(F231&lt;=DASHBOARD!$B$11, H231&gt;=DASHBOARD!$B$13), N231, -1000000000000)</f>
        <v/>
      </c>
      <c r="V231" s="101">
        <f>IF(AND(F231&lt;=DASHBOARD!$B$11, H231&gt;=DASHBOARD!$B$13), H231, -1000000000000)</f>
        <v/>
      </c>
      <c r="W231" s="101">
        <f>IF(AND(F231&lt;=DASHBOARD!$B$11, H231&gt;=DASHBOARD!$B$13), K231, -1000000000000)</f>
        <v/>
      </c>
      <c r="X231" s="101">
        <f>IF(AND(F231&lt;=DASHBOARD!$B$11, H231&gt;=DASHBOARD!$B$13), M231, 1000000000000)</f>
        <v/>
      </c>
      <c r="Y231" s="101">
        <f>IF(AND(F231&lt;=DASHBOARD!$B$10, H231&gt;=DASHBOARD!$B$11), L231, 1000000000000)</f>
        <v/>
      </c>
      <c r="Z231" s="101">
        <f>IF(AND(F231&lt;=DASHBOARD!$B$10, H231&gt;=DASHBOARD!$B$11), O231, 1000000000000)</f>
        <v/>
      </c>
      <c r="AA231" s="101">
        <f>IF(AND(F231&lt;=DASHBOARD!$B$10, H231&gt;=DASHBOARD!$B$11), P231, 1000000000000)</f>
        <v/>
      </c>
      <c r="AB231" s="101">
        <f>IF(AND(F231&lt;=DASHBOARD!$B$10, H231&gt;=DASHBOARD!$B$11), Q231, -1000000000000)</f>
        <v/>
      </c>
    </row>
    <row r="232" ht="15" customHeight="1" s="102">
      <c r="A232" s="166" t="n">
        <v>228</v>
      </c>
      <c r="B232" s="167" t="n">
        <v>0.5</v>
      </c>
      <c r="C232" s="167" t="n">
        <v>0.8</v>
      </c>
      <c r="D232" s="110" t="inlineStr">
        <is>
          <t>Var (%20)</t>
        </is>
      </c>
      <c r="E232" s="110">
        <f>IF((B232+C232)&lt;=1, "Tam Mahsuplaşma (≤%100)", "Kısmi Satış (&gt;%100)")</f>
        <v/>
      </c>
      <c r="F232" s="168">
        <f>((VERI_TABANI!$D$29*B232/VERI_TABANI!$B$29)/VERI_TABANI!$B$3)*VERI_TABANI!$B$5 + ((VERI_TABANI!$D$29*C232/VERI_TABANI!$B$29)/VERI_TABANI!$B$4)*VERI_TABANI!$B$6 + IF(ISNUMBER(SEARCH("Var", D232)), (VERI_TABANI!$F$29/VERI_TABANI!$B$29)*(VERI_TABANI!$B$10+VERI_TABANI!$B$12), 0)</f>
        <v/>
      </c>
      <c r="G232" s="168">
        <f>(((MIN(VERI_TABANI!D23, VERI_TABANI!D23*B232)*VERI_TABANI!$B$7 + MAX(0, VERI_TABANI!D23*B232-VERI_TABANI!D23)*VERI_TABANI!$B$8) + (MIN(MAX(0, VERI_TABANI!D23-VERI_TABANI!D23*B232), VERI_TABANI!D23*C232)*VERI_TABANI!$B$7 + MAX(0, VERI_TABANI!D23*C232-MAX(0, VERI_TABANI!D23-VERI_TABANI!D23*B232))*VERI_TABANI!$B$8) + IF(ABS(IF(ISNUMBER(SEARCH("Var", D232)), 1, IF(ISNUMBER(SEARCH("Gri", D232)), -1, 0)))=1, VERI_TABANI!E23*(1-0.928)*VERI_TABANI!$B$9, 0) + (VERI_TABANI!D23*B232*(VERI_TABANI!$B$13-VERI_TABANI!$B$14)*VERI_TABANI!G23) + (VERI_TABANI!D23*C232*(VERI_TABANI!$B$13-VERI_TABANI!$B$15)*VERI_TABANI!G23) + IF(ABS(IF(ISNUMBER(SEARCH("Var", D232)), 1, IF(ISNUMBER(SEARCH("Gri", D232)), -1, 0)))=1, VERI_TABANI!E23*(1-0.928)*0.00206091519919798*VERI_TABANI!G23, 0)) + ((MIN(VERI_TABANI!D24, VERI_TABANI!D24*B232)*VERI_TABANI!$B$7 + MAX(0, VERI_TABANI!D24*B232-VERI_TABANI!D24)*VERI_TABANI!$B$8) + (MIN(MAX(0, VERI_TABANI!D24-VERI_TABANI!D24*B232), VERI_TABANI!D24*C232)*VERI_TABANI!$B$7 + MAX(0, VERI_TABANI!D24*C232-MAX(0, VERI_TABANI!D24-VERI_TABANI!D24*B232))*VERI_TABANI!$B$8) + IF(ABS(IF(ISNUMBER(SEARCH("Var", D232)), 1, IF(ISNUMBER(SEARCH("Gri", D232)), -1, 0)))=1, VERI_TABANI!E24*(1-0.928)*VERI_TABANI!$B$9, 0) + (VERI_TABANI!D24*B232*(VERI_TABANI!$B$13-VERI_TABANI!$B$14)*VERI_TABANI!G24) + (VERI_TABANI!D24*C232*(VERI_TABANI!$B$13-VERI_TABANI!$B$15)*VERI_TABANI!G24) + IF(ABS(IF(ISNUMBER(SEARCH("Var", D232)), 1, IF(ISNUMBER(SEARCH("Gri", D232)), -1, 0)))=1, VERI_TABANI!E24*(1-0.928)*0.00206091519919798*VERI_TABANI!G24, 0)) + ((MIN(VERI_TABANI!D25, VERI_TABANI!D25*B232)*VERI_TABANI!$B$7 + MAX(0, VERI_TABANI!D25*B232-VERI_TABANI!D25)*VERI_TABANI!$B$8) + (MIN(MAX(0, VERI_TABANI!D25-VERI_TABANI!D25*B232), VERI_TABANI!D25*C232)*VERI_TABANI!$B$7 + MAX(0, VERI_TABANI!D25*C232-MAX(0, VERI_TABANI!D25-VERI_TABANI!D25*B232))*VERI_TABANI!$B$8) + IF(ABS(IF(ISNUMBER(SEARCH("Var", D232)), 1, IF(ISNUMBER(SEARCH("Gri", D232)), -1, 0)))=1, VERI_TABANI!E25*(1-0.928)*VERI_TABANI!$B$9, 0) + (VERI_TABANI!D25*B232*(VERI_TABANI!$B$13-VERI_TABANI!$B$14)*VERI_TABANI!G25) + (VERI_TABANI!D25*C232*(VERI_TABANI!$B$13-VERI_TABANI!$B$15)*VERI_TABANI!G25) + IF(ABS(IF(ISNUMBER(SEARCH("Var", D232)), 1, IF(ISNUMBER(SEARCH("Gri", D232)), -1, 0)))=1, VERI_TABANI!E25*(1-0.928)*0.00206091519919798*VERI_TABANI!G25, 0)) + ((MIN(VERI_TABANI!D26, VERI_TABANI!D26*B232)*VERI_TABANI!$B$7 + MAX(0, VERI_TABANI!D26*B232-VERI_TABANI!D26)*VERI_TABANI!$B$8) + (MIN(MAX(0, VERI_TABANI!D26-VERI_TABANI!D26*B232), VERI_TABANI!D26*C232)*VERI_TABANI!$B$7 + MAX(0, VERI_TABANI!D26*C232-MAX(0, VERI_TABANI!D26-VERI_TABANI!D26*B232))*VERI_TABANI!$B$8) + IF(ABS(IF(ISNUMBER(SEARCH("Var", D232)), 1, IF(ISNUMBER(SEARCH("Gri", D232)), -1, 0)))=1, VERI_TABANI!E26*(1-0.928)*VERI_TABANI!$B$9, 0) + (VERI_TABANI!D26*B232*(VERI_TABANI!$B$13-VERI_TABANI!$B$14)*VERI_TABANI!G26) + (VERI_TABANI!D26*C232*(VERI_TABANI!$B$13-VERI_TABANI!$B$15)*VERI_TABANI!G26) + IF(ABS(IF(ISNUMBER(SEARCH("Var", D232)), 1, IF(ISNUMBER(SEARCH("Gri", D232)), -1, 0)))=1, VERI_TABANI!E26*(1-0.928)*0.00206091519919798*VERI_TABANI!G26, 0)) + ((MIN(VERI_TABANI!D27, VERI_TABANI!D27*B232)*VERI_TABANI!$B$7 + MAX(0, VERI_TABANI!D27*B232-VERI_TABANI!D27)*VERI_TABANI!$B$8) + (MIN(MAX(0, VERI_TABANI!D27-VERI_TABANI!D27*B232), VERI_TABANI!D27*C232)*VERI_TABANI!$B$7 + MAX(0, VERI_TABANI!D27*C232-MAX(0, VERI_TABANI!D27-VERI_TABANI!D27*B232))*VERI_TABANI!$B$8) + IF(ABS(IF(ISNUMBER(SEARCH("Var", D232)), 1, IF(ISNUMBER(SEARCH("Gri", D232)), -1, 0)))=1, VERI_TABANI!E27*(1-0.928)*VERI_TABANI!$B$9, 0) + (VERI_TABANI!D27*B232*(VERI_TABANI!$B$13-VERI_TABANI!$B$14)*VERI_TABANI!G27) + (VERI_TABANI!D27*C232*(VERI_TABANI!$B$13-VERI_TABANI!$B$15)*VERI_TABANI!G27) + IF(ABS(IF(ISNUMBER(SEARCH("Var", D232)), 1, IF(ISNUMBER(SEARCH("Gri", D232)), -1, 0)))=1, VERI_TABANI!E27*(1-0.928)*0.00206091519919798*VERI_TABANI!G27, 0)) + ((MIN(VERI_TABANI!D28, VERI_TABANI!D28*B232)*VERI_TABANI!$B$7 + MAX(0, VERI_TABANI!D28*B232-VERI_TABANI!D28)*VERI_TABANI!$B$8) + (MIN(MAX(0, VERI_TABANI!D28-VERI_TABANI!D28*B232), VERI_TABANI!D28*C232)*VERI_TABANI!$B$7 + MAX(0, VERI_TABANI!D28*C232-MAX(0, VERI_TABANI!D28-VERI_TABANI!D28*B232))*VERI_TABANI!$B$8) + IF(ABS(IF(ISNUMBER(SEARCH("Var", D232)), 1, IF(ISNUMBER(SEARCH("Gri", D232)), -1, 0)))=1, VERI_TABANI!E28*(1-0.928)*VERI_TABANI!$B$9, 0) + (VERI_TABANI!D28*B232*(VERI_TABANI!$B$13-VERI_TABANI!$B$14)*VERI_TABANI!G28) + (VERI_TABANI!D28*C232*(VERI_TABANI!$B$13-VERI_TABANI!$B$15)*VERI_TABANI!G28) + IF(ABS(IF(ISNUMBER(SEARCH("Var", D232)), 1, IF(ISNUMBER(SEARCH("Gri", D232)), -1, 0)))=1, VERI_TABANI!E28*(1-0.928)*0.00206091519919798*VERI_TABANI!G28, 0)))</f>
        <v/>
      </c>
      <c r="H232" s="169">
        <f>(((VERI_TABANI!D23*B232*(VERI_TABANI!$B$13-VERI_TABANI!$B$14)) + (VERI_TABANI!D23*C232*(VERI_TABANI!$B$13-VERI_TABANI!$B$15)) + IF(ISNUMBER(SEARCH("Var", D232)), VERI_TABANI!F23*(0.00202-VERI_TABANI!$B$16), IF(ISNUMBER(SEARCH("Gri", D232)), VERI_TABANI!F23*(0.00202-VERI_TABANI!$B$17), 0))) + ((VERI_TABANI!D24*B232*(VERI_TABANI!$B$13-VERI_TABANI!$B$14)) + (VERI_TABANI!D24*C232*(VERI_TABANI!$B$13-VERI_TABANI!$B$15)) + IF(ISNUMBER(SEARCH("Var", D232)), VERI_TABANI!F24*(0.00202-VERI_TABANI!$B$16), IF(ISNUMBER(SEARCH("Gri", D232)), VERI_TABANI!F24*(0.00202-VERI_TABANI!$B$17), 0))) + ((VERI_TABANI!D25*B232*(VERI_TABANI!$B$13-VERI_TABANI!$B$14)) + (VERI_TABANI!D25*C232*(VERI_TABANI!$B$13-VERI_TABANI!$B$15)) + IF(ISNUMBER(SEARCH("Var", D232)), VERI_TABANI!F25*(0.00202-VERI_TABANI!$B$16), IF(ISNUMBER(SEARCH("Gri", D232)), VERI_TABANI!F25*(0.00202-VERI_TABANI!$B$17), 0))) + ((VERI_TABANI!D26*B232*(VERI_TABANI!$B$13-VERI_TABANI!$B$14)) + (VERI_TABANI!D26*C232*(VERI_TABANI!$B$13-VERI_TABANI!$B$15)) + IF(ISNUMBER(SEARCH("Var", D232)), VERI_TABANI!F26*(0.00202-VERI_TABANI!$B$16), IF(ISNUMBER(SEARCH("Gri", D232)), VERI_TABANI!F26*(0.00202-VERI_TABANI!$B$17), 0))) + ((VERI_TABANI!D27*B232*(VERI_TABANI!$B$13-VERI_TABANI!$B$14)) + (VERI_TABANI!D27*C232*(VERI_TABANI!$B$13-VERI_TABANI!$B$15)) + IF(ISNUMBER(SEARCH("Var", D232)), VERI_TABANI!F27*(0.00202-VERI_TABANI!$B$16), IF(ISNUMBER(SEARCH("Gri", D232)), VERI_TABANI!F27*(0.00202-VERI_TABANI!$B$17), 0))) + ((VERI_TABANI!D28*B232*(VERI_TABANI!$B$13-VERI_TABANI!$B$14)) + (VERI_TABANI!D28*C232*(VERI_TABANI!$B$13-VERI_TABANI!$B$15)) + IF(ISNUMBER(SEARCH("Var", D232)), VERI_TABANI!F28*(0.00202-VERI_TABANI!$B$16), IF(ISNUMBER(SEARCH("Gri", D232)), VERI_TABANI!F28*(0.00202-VERI_TABANI!$B$17), 0))))</f>
        <v/>
      </c>
      <c r="I232" s="170">
        <f>IFERROR(((VERI_TABANI!$D$29*B232*VERI_TABANI!$B$14 + VERI_TABANI!$D$29*C232*VERI_TABANI!$B$15 + IF(ISNUMBER(SEARCH("Var", D232)), VERI_TABANI!$F$29*VERI_TABANI!$B$16, 0))) / (((VERI_TABANI!$D$29*B232 + VERI_TABANI!$D$29*C232)*VERI_TABANI!$B$13 + IF(ISNUMBER(SEARCH("Var", D232)), VERI_TABANI!$E$29*(1-0.928)*VERI_TABANI!$B$18, 0))), 0)</f>
        <v/>
      </c>
      <c r="J232" s="171">
        <f>IFERROR(F232/(G232/29), 0)</f>
        <v/>
      </c>
      <c r="K232" s="172">
        <f>IF(F232&gt;0, H232/F232, 0)</f>
        <v/>
      </c>
      <c r="L232" s="170">
        <f>IF(F232&gt;0, I232, 1000000000)</f>
        <v/>
      </c>
      <c r="M232" s="171">
        <f>ABS((B232+C232)-1)</f>
        <v/>
      </c>
      <c r="N232" s="170">
        <f>IF(F232&gt;0, (G232/29)/F232, 0)</f>
        <v/>
      </c>
      <c r="O232" s="168">
        <f>IF(AND((B232+C232)&gt;=1, ISNUMBER(SEARCH("Var", D232))), F232, 1000000000)</f>
        <v/>
      </c>
      <c r="P232" s="172">
        <f>IF(F232&gt;0, SQRT((F232/MAX(F$5:F$886))^2 + (1 - H232/MAX(H$5:H$886))^2 + (J232/MAX(J$5:J$886))^2), 1000000000)</f>
        <v/>
      </c>
      <c r="Q232" s="166">
        <f>IF(AND(ABS(B232-0.5)&lt;0.01, ABS(C232-0.5)&lt;0.01, ISNUMBER(SEARCH("Var", D232))), 1, 0)</f>
        <v/>
      </c>
      <c r="R232" s="171">
        <f>IF(F232&gt;0, J232, 1000000000)</f>
        <v/>
      </c>
      <c r="S232" s="101">
        <f>IF(AND(F232&lt;=DASHBOARD!$B$11, H232&gt;=DASHBOARD!$B$13), G232, -1000000000000)</f>
        <v/>
      </c>
      <c r="T232" s="101">
        <f>IF(AND(F232&lt;=DASHBOARD!$B$11, H232&gt;=DASHBOARD!$B$13), R232, 1000000000000)</f>
        <v/>
      </c>
      <c r="U232" s="101">
        <f>IF(AND(F232&lt;=DASHBOARD!$B$11, H232&gt;=DASHBOARD!$B$13), N232, -1000000000000)</f>
        <v/>
      </c>
      <c r="V232" s="101">
        <f>IF(AND(F232&lt;=DASHBOARD!$B$11, H232&gt;=DASHBOARD!$B$13), H232, -1000000000000)</f>
        <v/>
      </c>
      <c r="W232" s="101">
        <f>IF(AND(F232&lt;=DASHBOARD!$B$11, H232&gt;=DASHBOARD!$B$13), K232, -1000000000000)</f>
        <v/>
      </c>
      <c r="X232" s="101">
        <f>IF(AND(F232&lt;=DASHBOARD!$B$11, H232&gt;=DASHBOARD!$B$13), M232, 1000000000000)</f>
        <v/>
      </c>
      <c r="Y232" s="101">
        <f>IF(AND(F232&lt;=DASHBOARD!$B$10, H232&gt;=DASHBOARD!$B$11), L232, 1000000000000)</f>
        <v/>
      </c>
      <c r="Z232" s="101">
        <f>IF(AND(F232&lt;=DASHBOARD!$B$10, H232&gt;=DASHBOARD!$B$11), O232, 1000000000000)</f>
        <v/>
      </c>
      <c r="AA232" s="101">
        <f>IF(AND(F232&lt;=DASHBOARD!$B$10, H232&gt;=DASHBOARD!$B$11), P232, 1000000000000)</f>
        <v/>
      </c>
      <c r="AB232" s="101">
        <f>IF(AND(F232&lt;=DASHBOARD!$B$10, H232&gt;=DASHBOARD!$B$11), Q232, -1000000000000)</f>
        <v/>
      </c>
    </row>
    <row r="233" ht="15" customHeight="1" s="102">
      <c r="A233" s="166" t="n">
        <v>229</v>
      </c>
      <c r="B233" s="167" t="n">
        <v>0.5</v>
      </c>
      <c r="C233" s="167" t="n">
        <v>0.9</v>
      </c>
      <c r="D233" s="110" t="inlineStr">
        <is>
          <t>Yok (%0)</t>
        </is>
      </c>
      <c r="E233" s="110">
        <f>IF((B233+C233)&lt;=1, "Tam Mahsuplaşma (≤%100)", "Kısmi Satış (&gt;%100)")</f>
        <v/>
      </c>
      <c r="F233" s="168">
        <f>((VERI_TABANI!$D$29*B233/VERI_TABANI!$B$29)/VERI_TABANI!$B$3)*VERI_TABANI!$B$5 + ((VERI_TABANI!$D$29*C233/VERI_TABANI!$B$29)/VERI_TABANI!$B$4)*VERI_TABANI!$B$6 + IF(ISNUMBER(SEARCH("Var", D233)), (VERI_TABANI!$F$29/VERI_TABANI!$B$29)*(VERI_TABANI!$B$10+VERI_TABANI!$B$12), 0)</f>
        <v/>
      </c>
      <c r="G233" s="168">
        <f>(((MIN(VERI_TABANI!D23, VERI_TABANI!D23*B233)*VERI_TABANI!$B$7 + MAX(0, VERI_TABANI!D23*B233-VERI_TABANI!D23)*VERI_TABANI!$B$8) + (MIN(MAX(0, VERI_TABANI!D23-VERI_TABANI!D23*B233), VERI_TABANI!D23*C233)*VERI_TABANI!$B$7 + MAX(0, VERI_TABANI!D23*C233-MAX(0, VERI_TABANI!D23-VERI_TABANI!D23*B233))*VERI_TABANI!$B$8) + IF(ABS(IF(ISNUMBER(SEARCH("Var", D233)), 1, IF(ISNUMBER(SEARCH("Gri", D233)), -1, 0)))=1, VERI_TABANI!E23*(1-0.928)*VERI_TABANI!$B$9, 0) + (VERI_TABANI!D23*B233*(VERI_TABANI!$B$13-VERI_TABANI!$B$14)*VERI_TABANI!G23) + (VERI_TABANI!D23*C233*(VERI_TABANI!$B$13-VERI_TABANI!$B$15)*VERI_TABANI!G23) + IF(ABS(IF(ISNUMBER(SEARCH("Var", D233)), 1, IF(ISNUMBER(SEARCH("Gri", D233)), -1, 0)))=1, VERI_TABANI!E23*(1-0.928)*0.00206091519919798*VERI_TABANI!G23, 0)) + ((MIN(VERI_TABANI!D24, VERI_TABANI!D24*B233)*VERI_TABANI!$B$7 + MAX(0, VERI_TABANI!D24*B233-VERI_TABANI!D24)*VERI_TABANI!$B$8) + (MIN(MAX(0, VERI_TABANI!D24-VERI_TABANI!D24*B233), VERI_TABANI!D24*C233)*VERI_TABANI!$B$7 + MAX(0, VERI_TABANI!D24*C233-MAX(0, VERI_TABANI!D24-VERI_TABANI!D24*B233))*VERI_TABANI!$B$8) + IF(ABS(IF(ISNUMBER(SEARCH("Var", D233)), 1, IF(ISNUMBER(SEARCH("Gri", D233)), -1, 0)))=1, VERI_TABANI!E24*(1-0.928)*VERI_TABANI!$B$9, 0) + (VERI_TABANI!D24*B233*(VERI_TABANI!$B$13-VERI_TABANI!$B$14)*VERI_TABANI!G24) + (VERI_TABANI!D24*C233*(VERI_TABANI!$B$13-VERI_TABANI!$B$15)*VERI_TABANI!G24) + IF(ABS(IF(ISNUMBER(SEARCH("Var", D233)), 1, IF(ISNUMBER(SEARCH("Gri", D233)), -1, 0)))=1, VERI_TABANI!E24*(1-0.928)*0.00206091519919798*VERI_TABANI!G24, 0)) + ((MIN(VERI_TABANI!D25, VERI_TABANI!D25*B233)*VERI_TABANI!$B$7 + MAX(0, VERI_TABANI!D25*B233-VERI_TABANI!D25)*VERI_TABANI!$B$8) + (MIN(MAX(0, VERI_TABANI!D25-VERI_TABANI!D25*B233), VERI_TABANI!D25*C233)*VERI_TABANI!$B$7 + MAX(0, VERI_TABANI!D25*C233-MAX(0, VERI_TABANI!D25-VERI_TABANI!D25*B233))*VERI_TABANI!$B$8) + IF(ABS(IF(ISNUMBER(SEARCH("Var", D233)), 1, IF(ISNUMBER(SEARCH("Gri", D233)), -1, 0)))=1, VERI_TABANI!E25*(1-0.928)*VERI_TABANI!$B$9, 0) + (VERI_TABANI!D25*B233*(VERI_TABANI!$B$13-VERI_TABANI!$B$14)*VERI_TABANI!G25) + (VERI_TABANI!D25*C233*(VERI_TABANI!$B$13-VERI_TABANI!$B$15)*VERI_TABANI!G25) + IF(ABS(IF(ISNUMBER(SEARCH("Var", D233)), 1, IF(ISNUMBER(SEARCH("Gri", D233)), -1, 0)))=1, VERI_TABANI!E25*(1-0.928)*0.00206091519919798*VERI_TABANI!G25, 0)) + ((MIN(VERI_TABANI!D26, VERI_TABANI!D26*B233)*VERI_TABANI!$B$7 + MAX(0, VERI_TABANI!D26*B233-VERI_TABANI!D26)*VERI_TABANI!$B$8) + (MIN(MAX(0, VERI_TABANI!D26-VERI_TABANI!D26*B233), VERI_TABANI!D26*C233)*VERI_TABANI!$B$7 + MAX(0, VERI_TABANI!D26*C233-MAX(0, VERI_TABANI!D26-VERI_TABANI!D26*B233))*VERI_TABANI!$B$8) + IF(ABS(IF(ISNUMBER(SEARCH("Var", D233)), 1, IF(ISNUMBER(SEARCH("Gri", D233)), -1, 0)))=1, VERI_TABANI!E26*(1-0.928)*VERI_TABANI!$B$9, 0) + (VERI_TABANI!D26*B233*(VERI_TABANI!$B$13-VERI_TABANI!$B$14)*VERI_TABANI!G26) + (VERI_TABANI!D26*C233*(VERI_TABANI!$B$13-VERI_TABANI!$B$15)*VERI_TABANI!G26) + IF(ABS(IF(ISNUMBER(SEARCH("Var", D233)), 1, IF(ISNUMBER(SEARCH("Gri", D233)), -1, 0)))=1, VERI_TABANI!E26*(1-0.928)*0.00206091519919798*VERI_TABANI!G26, 0)) + ((MIN(VERI_TABANI!D27, VERI_TABANI!D27*B233)*VERI_TABANI!$B$7 + MAX(0, VERI_TABANI!D27*B233-VERI_TABANI!D27)*VERI_TABANI!$B$8) + (MIN(MAX(0, VERI_TABANI!D27-VERI_TABANI!D27*B233), VERI_TABANI!D27*C233)*VERI_TABANI!$B$7 + MAX(0, VERI_TABANI!D27*C233-MAX(0, VERI_TABANI!D27-VERI_TABANI!D27*B233))*VERI_TABANI!$B$8) + IF(ABS(IF(ISNUMBER(SEARCH("Var", D233)), 1, IF(ISNUMBER(SEARCH("Gri", D233)), -1, 0)))=1, VERI_TABANI!E27*(1-0.928)*VERI_TABANI!$B$9, 0) + (VERI_TABANI!D27*B233*(VERI_TABANI!$B$13-VERI_TABANI!$B$14)*VERI_TABANI!G27) + (VERI_TABANI!D27*C233*(VERI_TABANI!$B$13-VERI_TABANI!$B$15)*VERI_TABANI!G27) + IF(ABS(IF(ISNUMBER(SEARCH("Var", D233)), 1, IF(ISNUMBER(SEARCH("Gri", D233)), -1, 0)))=1, VERI_TABANI!E27*(1-0.928)*0.00206091519919798*VERI_TABANI!G27, 0)) + ((MIN(VERI_TABANI!D28, VERI_TABANI!D28*B233)*VERI_TABANI!$B$7 + MAX(0, VERI_TABANI!D28*B233-VERI_TABANI!D28)*VERI_TABANI!$B$8) + (MIN(MAX(0, VERI_TABANI!D28-VERI_TABANI!D28*B233), VERI_TABANI!D28*C233)*VERI_TABANI!$B$7 + MAX(0, VERI_TABANI!D28*C233-MAX(0, VERI_TABANI!D28-VERI_TABANI!D28*B233))*VERI_TABANI!$B$8) + IF(ABS(IF(ISNUMBER(SEARCH("Var", D233)), 1, IF(ISNUMBER(SEARCH("Gri", D233)), -1, 0)))=1, VERI_TABANI!E28*(1-0.928)*VERI_TABANI!$B$9, 0) + (VERI_TABANI!D28*B233*(VERI_TABANI!$B$13-VERI_TABANI!$B$14)*VERI_TABANI!G28) + (VERI_TABANI!D28*C233*(VERI_TABANI!$B$13-VERI_TABANI!$B$15)*VERI_TABANI!G28) + IF(ABS(IF(ISNUMBER(SEARCH("Var", D233)), 1, IF(ISNUMBER(SEARCH("Gri", D233)), -1, 0)))=1, VERI_TABANI!E28*(1-0.928)*0.00206091519919798*VERI_TABANI!G28, 0)))</f>
        <v/>
      </c>
      <c r="H233" s="169">
        <f>(((VERI_TABANI!D23*B233*(VERI_TABANI!$B$13-VERI_TABANI!$B$14)) + (VERI_TABANI!D23*C233*(VERI_TABANI!$B$13-VERI_TABANI!$B$15)) + IF(ISNUMBER(SEARCH("Var", D233)), VERI_TABANI!F23*(0.00202-VERI_TABANI!$B$16), IF(ISNUMBER(SEARCH("Gri", D233)), VERI_TABANI!F23*(0.00202-VERI_TABANI!$B$17), 0))) + ((VERI_TABANI!D24*B233*(VERI_TABANI!$B$13-VERI_TABANI!$B$14)) + (VERI_TABANI!D24*C233*(VERI_TABANI!$B$13-VERI_TABANI!$B$15)) + IF(ISNUMBER(SEARCH("Var", D233)), VERI_TABANI!F24*(0.00202-VERI_TABANI!$B$16), IF(ISNUMBER(SEARCH("Gri", D233)), VERI_TABANI!F24*(0.00202-VERI_TABANI!$B$17), 0))) + ((VERI_TABANI!D25*B233*(VERI_TABANI!$B$13-VERI_TABANI!$B$14)) + (VERI_TABANI!D25*C233*(VERI_TABANI!$B$13-VERI_TABANI!$B$15)) + IF(ISNUMBER(SEARCH("Var", D233)), VERI_TABANI!F25*(0.00202-VERI_TABANI!$B$16), IF(ISNUMBER(SEARCH("Gri", D233)), VERI_TABANI!F25*(0.00202-VERI_TABANI!$B$17), 0))) + ((VERI_TABANI!D26*B233*(VERI_TABANI!$B$13-VERI_TABANI!$B$14)) + (VERI_TABANI!D26*C233*(VERI_TABANI!$B$13-VERI_TABANI!$B$15)) + IF(ISNUMBER(SEARCH("Var", D233)), VERI_TABANI!F26*(0.00202-VERI_TABANI!$B$16), IF(ISNUMBER(SEARCH("Gri", D233)), VERI_TABANI!F26*(0.00202-VERI_TABANI!$B$17), 0))) + ((VERI_TABANI!D27*B233*(VERI_TABANI!$B$13-VERI_TABANI!$B$14)) + (VERI_TABANI!D27*C233*(VERI_TABANI!$B$13-VERI_TABANI!$B$15)) + IF(ISNUMBER(SEARCH("Var", D233)), VERI_TABANI!F27*(0.00202-VERI_TABANI!$B$16), IF(ISNUMBER(SEARCH("Gri", D233)), VERI_TABANI!F27*(0.00202-VERI_TABANI!$B$17), 0))) + ((VERI_TABANI!D28*B233*(VERI_TABANI!$B$13-VERI_TABANI!$B$14)) + (VERI_TABANI!D28*C233*(VERI_TABANI!$B$13-VERI_TABANI!$B$15)) + IF(ISNUMBER(SEARCH("Var", D233)), VERI_TABANI!F28*(0.00202-VERI_TABANI!$B$16), IF(ISNUMBER(SEARCH("Gri", D233)), VERI_TABANI!F28*(0.00202-VERI_TABANI!$B$17), 0))))</f>
        <v/>
      </c>
      <c r="I233" s="170">
        <f>IFERROR(((VERI_TABANI!$D$29*B233*VERI_TABANI!$B$14 + VERI_TABANI!$D$29*C233*VERI_TABANI!$B$15 + IF(ISNUMBER(SEARCH("Var", D233)), VERI_TABANI!$F$29*VERI_TABANI!$B$16, 0))) / (((VERI_TABANI!$D$29*B233 + VERI_TABANI!$D$29*C233)*VERI_TABANI!$B$13 + IF(ISNUMBER(SEARCH("Var", D233)), VERI_TABANI!$E$29*(1-0.928)*VERI_TABANI!$B$18, 0))), 0)</f>
        <v/>
      </c>
      <c r="J233" s="171">
        <f>IFERROR(F233/(G233/29), 0)</f>
        <v/>
      </c>
      <c r="K233" s="172">
        <f>IF(F233&gt;0, H233/F233, 0)</f>
        <v/>
      </c>
      <c r="L233" s="170">
        <f>IF(F233&gt;0, I233, 1000000000)</f>
        <v/>
      </c>
      <c r="M233" s="171">
        <f>ABS((B233+C233)-1)</f>
        <v/>
      </c>
      <c r="N233" s="170">
        <f>IF(F233&gt;0, (G233/29)/F233, 0)</f>
        <v/>
      </c>
      <c r="O233" s="168">
        <f>IF(AND((B233+C233)&gt;=1, ISNUMBER(SEARCH("Var", D233))), F233, 1000000000)</f>
        <v/>
      </c>
      <c r="P233" s="172">
        <f>IF(F233&gt;0, SQRT((F233/MAX(F$5:F$886))^2 + (1 - H233/MAX(H$5:H$886))^2 + (J233/MAX(J$5:J$886))^2), 1000000000)</f>
        <v/>
      </c>
      <c r="Q233" s="166">
        <f>IF(AND(ABS(B233-0.5)&lt;0.01, ABS(C233-0.5)&lt;0.01, ISNUMBER(SEARCH("Var", D233))), 1, 0)</f>
        <v/>
      </c>
      <c r="R233" s="171">
        <f>IF(F233&gt;0, J233, 1000000000)</f>
        <v/>
      </c>
      <c r="S233" s="101">
        <f>IF(AND(F233&lt;=DASHBOARD!$B$11, H233&gt;=DASHBOARD!$B$13), G233, -1000000000000)</f>
        <v/>
      </c>
      <c r="T233" s="101">
        <f>IF(AND(F233&lt;=DASHBOARD!$B$11, H233&gt;=DASHBOARD!$B$13), R233, 1000000000000)</f>
        <v/>
      </c>
      <c r="U233" s="101">
        <f>IF(AND(F233&lt;=DASHBOARD!$B$11, H233&gt;=DASHBOARD!$B$13), N233, -1000000000000)</f>
        <v/>
      </c>
      <c r="V233" s="101">
        <f>IF(AND(F233&lt;=DASHBOARD!$B$11, H233&gt;=DASHBOARD!$B$13), H233, -1000000000000)</f>
        <v/>
      </c>
      <c r="W233" s="101">
        <f>IF(AND(F233&lt;=DASHBOARD!$B$11, H233&gt;=DASHBOARD!$B$13), K233, -1000000000000)</f>
        <v/>
      </c>
      <c r="X233" s="101">
        <f>IF(AND(F233&lt;=DASHBOARD!$B$11, H233&gt;=DASHBOARD!$B$13), M233, 1000000000000)</f>
        <v/>
      </c>
      <c r="Y233" s="101">
        <f>IF(AND(F233&lt;=DASHBOARD!$B$10, H233&gt;=DASHBOARD!$B$11), L233, 1000000000000)</f>
        <v/>
      </c>
      <c r="Z233" s="101">
        <f>IF(AND(F233&lt;=DASHBOARD!$B$10, H233&gt;=DASHBOARD!$B$11), O233, 1000000000000)</f>
        <v/>
      </c>
      <c r="AA233" s="101">
        <f>IF(AND(F233&lt;=DASHBOARD!$B$10, H233&gt;=DASHBOARD!$B$11), P233, 1000000000000)</f>
        <v/>
      </c>
      <c r="AB233" s="101">
        <f>IF(AND(F233&lt;=DASHBOARD!$B$10, H233&gt;=DASHBOARD!$B$11), Q233, -1000000000000)</f>
        <v/>
      </c>
    </row>
    <row r="234" ht="15" customHeight="1" s="102">
      <c r="A234" s="166" t="n">
        <v>230</v>
      </c>
      <c r="B234" s="167" t="n">
        <v>0.5</v>
      </c>
      <c r="C234" s="167" t="n">
        <v>0.9</v>
      </c>
      <c r="D234" s="110" t="inlineStr">
        <is>
          <t>Var (%20)</t>
        </is>
      </c>
      <c r="E234" s="110">
        <f>IF((B234+C234)&lt;=1, "Tam Mahsuplaşma (≤%100)", "Kısmi Satış (&gt;%100)")</f>
        <v/>
      </c>
      <c r="F234" s="168">
        <f>((VERI_TABANI!$D$29*B234/VERI_TABANI!$B$29)/VERI_TABANI!$B$3)*VERI_TABANI!$B$5 + ((VERI_TABANI!$D$29*C234/VERI_TABANI!$B$29)/VERI_TABANI!$B$4)*VERI_TABANI!$B$6 + IF(ISNUMBER(SEARCH("Var", D234)), (VERI_TABANI!$F$29/VERI_TABANI!$B$29)*(VERI_TABANI!$B$10+VERI_TABANI!$B$12), 0)</f>
        <v/>
      </c>
      <c r="G234" s="168">
        <f>(((MIN(VERI_TABANI!D23, VERI_TABANI!D23*B234)*VERI_TABANI!$B$7 + MAX(0, VERI_TABANI!D23*B234-VERI_TABANI!D23)*VERI_TABANI!$B$8) + (MIN(MAX(0, VERI_TABANI!D23-VERI_TABANI!D23*B234), VERI_TABANI!D23*C234)*VERI_TABANI!$B$7 + MAX(0, VERI_TABANI!D23*C234-MAX(0, VERI_TABANI!D23-VERI_TABANI!D23*B234))*VERI_TABANI!$B$8) + IF(ABS(IF(ISNUMBER(SEARCH("Var", D234)), 1, IF(ISNUMBER(SEARCH("Gri", D234)), -1, 0)))=1, VERI_TABANI!E23*(1-0.928)*VERI_TABANI!$B$9, 0) + (VERI_TABANI!D23*B234*(VERI_TABANI!$B$13-VERI_TABANI!$B$14)*VERI_TABANI!G23) + (VERI_TABANI!D23*C234*(VERI_TABANI!$B$13-VERI_TABANI!$B$15)*VERI_TABANI!G23) + IF(ABS(IF(ISNUMBER(SEARCH("Var", D234)), 1, IF(ISNUMBER(SEARCH("Gri", D234)), -1, 0)))=1, VERI_TABANI!E23*(1-0.928)*0.00206091519919798*VERI_TABANI!G23, 0)) + ((MIN(VERI_TABANI!D24, VERI_TABANI!D24*B234)*VERI_TABANI!$B$7 + MAX(0, VERI_TABANI!D24*B234-VERI_TABANI!D24)*VERI_TABANI!$B$8) + (MIN(MAX(0, VERI_TABANI!D24-VERI_TABANI!D24*B234), VERI_TABANI!D24*C234)*VERI_TABANI!$B$7 + MAX(0, VERI_TABANI!D24*C234-MAX(0, VERI_TABANI!D24-VERI_TABANI!D24*B234))*VERI_TABANI!$B$8) + IF(ABS(IF(ISNUMBER(SEARCH("Var", D234)), 1, IF(ISNUMBER(SEARCH("Gri", D234)), -1, 0)))=1, VERI_TABANI!E24*(1-0.928)*VERI_TABANI!$B$9, 0) + (VERI_TABANI!D24*B234*(VERI_TABANI!$B$13-VERI_TABANI!$B$14)*VERI_TABANI!G24) + (VERI_TABANI!D24*C234*(VERI_TABANI!$B$13-VERI_TABANI!$B$15)*VERI_TABANI!G24) + IF(ABS(IF(ISNUMBER(SEARCH("Var", D234)), 1, IF(ISNUMBER(SEARCH("Gri", D234)), -1, 0)))=1, VERI_TABANI!E24*(1-0.928)*0.00206091519919798*VERI_TABANI!G24, 0)) + ((MIN(VERI_TABANI!D25, VERI_TABANI!D25*B234)*VERI_TABANI!$B$7 + MAX(0, VERI_TABANI!D25*B234-VERI_TABANI!D25)*VERI_TABANI!$B$8) + (MIN(MAX(0, VERI_TABANI!D25-VERI_TABANI!D25*B234), VERI_TABANI!D25*C234)*VERI_TABANI!$B$7 + MAX(0, VERI_TABANI!D25*C234-MAX(0, VERI_TABANI!D25-VERI_TABANI!D25*B234))*VERI_TABANI!$B$8) + IF(ABS(IF(ISNUMBER(SEARCH("Var", D234)), 1, IF(ISNUMBER(SEARCH("Gri", D234)), -1, 0)))=1, VERI_TABANI!E25*(1-0.928)*VERI_TABANI!$B$9, 0) + (VERI_TABANI!D25*B234*(VERI_TABANI!$B$13-VERI_TABANI!$B$14)*VERI_TABANI!G25) + (VERI_TABANI!D25*C234*(VERI_TABANI!$B$13-VERI_TABANI!$B$15)*VERI_TABANI!G25) + IF(ABS(IF(ISNUMBER(SEARCH("Var", D234)), 1, IF(ISNUMBER(SEARCH("Gri", D234)), -1, 0)))=1, VERI_TABANI!E25*(1-0.928)*0.00206091519919798*VERI_TABANI!G25, 0)) + ((MIN(VERI_TABANI!D26, VERI_TABANI!D26*B234)*VERI_TABANI!$B$7 + MAX(0, VERI_TABANI!D26*B234-VERI_TABANI!D26)*VERI_TABANI!$B$8) + (MIN(MAX(0, VERI_TABANI!D26-VERI_TABANI!D26*B234), VERI_TABANI!D26*C234)*VERI_TABANI!$B$7 + MAX(0, VERI_TABANI!D26*C234-MAX(0, VERI_TABANI!D26-VERI_TABANI!D26*B234))*VERI_TABANI!$B$8) + IF(ABS(IF(ISNUMBER(SEARCH("Var", D234)), 1, IF(ISNUMBER(SEARCH("Gri", D234)), -1, 0)))=1, VERI_TABANI!E26*(1-0.928)*VERI_TABANI!$B$9, 0) + (VERI_TABANI!D26*B234*(VERI_TABANI!$B$13-VERI_TABANI!$B$14)*VERI_TABANI!G26) + (VERI_TABANI!D26*C234*(VERI_TABANI!$B$13-VERI_TABANI!$B$15)*VERI_TABANI!G26) + IF(ABS(IF(ISNUMBER(SEARCH("Var", D234)), 1, IF(ISNUMBER(SEARCH("Gri", D234)), -1, 0)))=1, VERI_TABANI!E26*(1-0.928)*0.00206091519919798*VERI_TABANI!G26, 0)) + ((MIN(VERI_TABANI!D27, VERI_TABANI!D27*B234)*VERI_TABANI!$B$7 + MAX(0, VERI_TABANI!D27*B234-VERI_TABANI!D27)*VERI_TABANI!$B$8) + (MIN(MAX(0, VERI_TABANI!D27-VERI_TABANI!D27*B234), VERI_TABANI!D27*C234)*VERI_TABANI!$B$7 + MAX(0, VERI_TABANI!D27*C234-MAX(0, VERI_TABANI!D27-VERI_TABANI!D27*B234))*VERI_TABANI!$B$8) + IF(ABS(IF(ISNUMBER(SEARCH("Var", D234)), 1, IF(ISNUMBER(SEARCH("Gri", D234)), -1, 0)))=1, VERI_TABANI!E27*(1-0.928)*VERI_TABANI!$B$9, 0) + (VERI_TABANI!D27*B234*(VERI_TABANI!$B$13-VERI_TABANI!$B$14)*VERI_TABANI!G27) + (VERI_TABANI!D27*C234*(VERI_TABANI!$B$13-VERI_TABANI!$B$15)*VERI_TABANI!G27) + IF(ABS(IF(ISNUMBER(SEARCH("Var", D234)), 1, IF(ISNUMBER(SEARCH("Gri", D234)), -1, 0)))=1, VERI_TABANI!E27*(1-0.928)*0.00206091519919798*VERI_TABANI!G27, 0)) + ((MIN(VERI_TABANI!D28, VERI_TABANI!D28*B234)*VERI_TABANI!$B$7 + MAX(0, VERI_TABANI!D28*B234-VERI_TABANI!D28)*VERI_TABANI!$B$8) + (MIN(MAX(0, VERI_TABANI!D28-VERI_TABANI!D28*B234), VERI_TABANI!D28*C234)*VERI_TABANI!$B$7 + MAX(0, VERI_TABANI!D28*C234-MAX(0, VERI_TABANI!D28-VERI_TABANI!D28*B234))*VERI_TABANI!$B$8) + IF(ABS(IF(ISNUMBER(SEARCH("Var", D234)), 1, IF(ISNUMBER(SEARCH("Gri", D234)), -1, 0)))=1, VERI_TABANI!E28*(1-0.928)*VERI_TABANI!$B$9, 0) + (VERI_TABANI!D28*B234*(VERI_TABANI!$B$13-VERI_TABANI!$B$14)*VERI_TABANI!G28) + (VERI_TABANI!D28*C234*(VERI_TABANI!$B$13-VERI_TABANI!$B$15)*VERI_TABANI!G28) + IF(ABS(IF(ISNUMBER(SEARCH("Var", D234)), 1, IF(ISNUMBER(SEARCH("Gri", D234)), -1, 0)))=1, VERI_TABANI!E28*(1-0.928)*0.00206091519919798*VERI_TABANI!G28, 0)))</f>
        <v/>
      </c>
      <c r="H234" s="169">
        <f>(((VERI_TABANI!D23*B234*(VERI_TABANI!$B$13-VERI_TABANI!$B$14)) + (VERI_TABANI!D23*C234*(VERI_TABANI!$B$13-VERI_TABANI!$B$15)) + IF(ISNUMBER(SEARCH("Var", D234)), VERI_TABANI!F23*(0.00202-VERI_TABANI!$B$16), IF(ISNUMBER(SEARCH("Gri", D234)), VERI_TABANI!F23*(0.00202-VERI_TABANI!$B$17), 0))) + ((VERI_TABANI!D24*B234*(VERI_TABANI!$B$13-VERI_TABANI!$B$14)) + (VERI_TABANI!D24*C234*(VERI_TABANI!$B$13-VERI_TABANI!$B$15)) + IF(ISNUMBER(SEARCH("Var", D234)), VERI_TABANI!F24*(0.00202-VERI_TABANI!$B$16), IF(ISNUMBER(SEARCH("Gri", D234)), VERI_TABANI!F24*(0.00202-VERI_TABANI!$B$17), 0))) + ((VERI_TABANI!D25*B234*(VERI_TABANI!$B$13-VERI_TABANI!$B$14)) + (VERI_TABANI!D25*C234*(VERI_TABANI!$B$13-VERI_TABANI!$B$15)) + IF(ISNUMBER(SEARCH("Var", D234)), VERI_TABANI!F25*(0.00202-VERI_TABANI!$B$16), IF(ISNUMBER(SEARCH("Gri", D234)), VERI_TABANI!F25*(0.00202-VERI_TABANI!$B$17), 0))) + ((VERI_TABANI!D26*B234*(VERI_TABANI!$B$13-VERI_TABANI!$B$14)) + (VERI_TABANI!D26*C234*(VERI_TABANI!$B$13-VERI_TABANI!$B$15)) + IF(ISNUMBER(SEARCH("Var", D234)), VERI_TABANI!F26*(0.00202-VERI_TABANI!$B$16), IF(ISNUMBER(SEARCH("Gri", D234)), VERI_TABANI!F26*(0.00202-VERI_TABANI!$B$17), 0))) + ((VERI_TABANI!D27*B234*(VERI_TABANI!$B$13-VERI_TABANI!$B$14)) + (VERI_TABANI!D27*C234*(VERI_TABANI!$B$13-VERI_TABANI!$B$15)) + IF(ISNUMBER(SEARCH("Var", D234)), VERI_TABANI!F27*(0.00202-VERI_TABANI!$B$16), IF(ISNUMBER(SEARCH("Gri", D234)), VERI_TABANI!F27*(0.00202-VERI_TABANI!$B$17), 0))) + ((VERI_TABANI!D28*B234*(VERI_TABANI!$B$13-VERI_TABANI!$B$14)) + (VERI_TABANI!D28*C234*(VERI_TABANI!$B$13-VERI_TABANI!$B$15)) + IF(ISNUMBER(SEARCH("Var", D234)), VERI_TABANI!F28*(0.00202-VERI_TABANI!$B$16), IF(ISNUMBER(SEARCH("Gri", D234)), VERI_TABANI!F28*(0.00202-VERI_TABANI!$B$17), 0))))</f>
        <v/>
      </c>
      <c r="I234" s="170">
        <f>IFERROR(((VERI_TABANI!$D$29*B234*VERI_TABANI!$B$14 + VERI_TABANI!$D$29*C234*VERI_TABANI!$B$15 + IF(ISNUMBER(SEARCH("Var", D234)), VERI_TABANI!$F$29*VERI_TABANI!$B$16, 0))) / (((VERI_TABANI!$D$29*B234 + VERI_TABANI!$D$29*C234)*VERI_TABANI!$B$13 + IF(ISNUMBER(SEARCH("Var", D234)), VERI_TABANI!$E$29*(1-0.928)*VERI_TABANI!$B$18, 0))), 0)</f>
        <v/>
      </c>
      <c r="J234" s="171">
        <f>IFERROR(F234/(G234/29), 0)</f>
        <v/>
      </c>
      <c r="K234" s="172">
        <f>IF(F234&gt;0, H234/F234, 0)</f>
        <v/>
      </c>
      <c r="L234" s="170">
        <f>IF(F234&gt;0, I234, 1000000000)</f>
        <v/>
      </c>
      <c r="M234" s="171">
        <f>ABS((B234+C234)-1)</f>
        <v/>
      </c>
      <c r="N234" s="170">
        <f>IF(F234&gt;0, (G234/29)/F234, 0)</f>
        <v/>
      </c>
      <c r="O234" s="168">
        <f>IF(AND((B234+C234)&gt;=1, ISNUMBER(SEARCH("Var", D234))), F234, 1000000000)</f>
        <v/>
      </c>
      <c r="P234" s="172">
        <f>IF(F234&gt;0, SQRT((F234/MAX(F$5:F$886))^2 + (1 - H234/MAX(H$5:H$886))^2 + (J234/MAX(J$5:J$886))^2), 1000000000)</f>
        <v/>
      </c>
      <c r="Q234" s="166">
        <f>IF(AND(ABS(B234-0.5)&lt;0.01, ABS(C234-0.5)&lt;0.01, ISNUMBER(SEARCH("Var", D234))), 1, 0)</f>
        <v/>
      </c>
      <c r="R234" s="171">
        <f>IF(F234&gt;0, J234, 1000000000)</f>
        <v/>
      </c>
      <c r="S234" s="101">
        <f>IF(AND(F234&lt;=DASHBOARD!$B$11, H234&gt;=DASHBOARD!$B$13), G234, -1000000000000)</f>
        <v/>
      </c>
      <c r="T234" s="101">
        <f>IF(AND(F234&lt;=DASHBOARD!$B$11, H234&gt;=DASHBOARD!$B$13), R234, 1000000000000)</f>
        <v/>
      </c>
      <c r="U234" s="101">
        <f>IF(AND(F234&lt;=DASHBOARD!$B$11, H234&gt;=DASHBOARD!$B$13), N234, -1000000000000)</f>
        <v/>
      </c>
      <c r="V234" s="101">
        <f>IF(AND(F234&lt;=DASHBOARD!$B$11, H234&gt;=DASHBOARD!$B$13), H234, -1000000000000)</f>
        <v/>
      </c>
      <c r="W234" s="101">
        <f>IF(AND(F234&lt;=DASHBOARD!$B$11, H234&gt;=DASHBOARD!$B$13), K234, -1000000000000)</f>
        <v/>
      </c>
      <c r="X234" s="101">
        <f>IF(AND(F234&lt;=DASHBOARD!$B$11, H234&gt;=DASHBOARD!$B$13), M234, 1000000000000)</f>
        <v/>
      </c>
      <c r="Y234" s="101">
        <f>IF(AND(F234&lt;=DASHBOARD!$B$10, H234&gt;=DASHBOARD!$B$11), L234, 1000000000000)</f>
        <v/>
      </c>
      <c r="Z234" s="101">
        <f>IF(AND(F234&lt;=DASHBOARD!$B$10, H234&gt;=DASHBOARD!$B$11), O234, 1000000000000)</f>
        <v/>
      </c>
      <c r="AA234" s="101">
        <f>IF(AND(F234&lt;=DASHBOARD!$B$10, H234&gt;=DASHBOARD!$B$11), P234, 1000000000000)</f>
        <v/>
      </c>
      <c r="AB234" s="101">
        <f>IF(AND(F234&lt;=DASHBOARD!$B$10, H234&gt;=DASHBOARD!$B$11), Q234, -1000000000000)</f>
        <v/>
      </c>
    </row>
    <row r="235" ht="15" customHeight="1" s="102">
      <c r="A235" s="166" t="n">
        <v>231</v>
      </c>
      <c r="B235" s="167" t="n">
        <v>0.5</v>
      </c>
      <c r="C235" s="167" t="n">
        <v>1</v>
      </c>
      <c r="D235" s="110" t="inlineStr">
        <is>
          <t>Yok (%0)</t>
        </is>
      </c>
      <c r="E235" s="110">
        <f>IF((B235+C235)&lt;=1, "Tam Mahsuplaşma (≤%100)", "Kısmi Satış (&gt;%100)")</f>
        <v/>
      </c>
      <c r="F235" s="168">
        <f>((VERI_TABANI!$D$29*B235/VERI_TABANI!$B$29)/VERI_TABANI!$B$3)*VERI_TABANI!$B$5 + ((VERI_TABANI!$D$29*C235/VERI_TABANI!$B$29)/VERI_TABANI!$B$4)*VERI_TABANI!$B$6 + IF(ISNUMBER(SEARCH("Var", D235)), (VERI_TABANI!$F$29/VERI_TABANI!$B$29)*(VERI_TABANI!$B$10+VERI_TABANI!$B$12), 0)</f>
        <v/>
      </c>
      <c r="G235" s="168">
        <f>(((MIN(VERI_TABANI!D23, VERI_TABANI!D23*B235)*VERI_TABANI!$B$7 + MAX(0, VERI_TABANI!D23*B235-VERI_TABANI!D23)*VERI_TABANI!$B$8) + (MIN(MAX(0, VERI_TABANI!D23-VERI_TABANI!D23*B235), VERI_TABANI!D23*C235)*VERI_TABANI!$B$7 + MAX(0, VERI_TABANI!D23*C235-MAX(0, VERI_TABANI!D23-VERI_TABANI!D23*B235))*VERI_TABANI!$B$8) + IF(ABS(IF(ISNUMBER(SEARCH("Var", D235)), 1, IF(ISNUMBER(SEARCH("Gri", D235)), -1, 0)))=1, VERI_TABANI!E23*(1-0.928)*VERI_TABANI!$B$9, 0) + (VERI_TABANI!D23*B235*(VERI_TABANI!$B$13-VERI_TABANI!$B$14)*VERI_TABANI!G23) + (VERI_TABANI!D23*C235*(VERI_TABANI!$B$13-VERI_TABANI!$B$15)*VERI_TABANI!G23) + IF(ABS(IF(ISNUMBER(SEARCH("Var", D235)), 1, IF(ISNUMBER(SEARCH("Gri", D235)), -1, 0)))=1, VERI_TABANI!E23*(1-0.928)*0.00206091519919798*VERI_TABANI!G23, 0)) + ((MIN(VERI_TABANI!D24, VERI_TABANI!D24*B235)*VERI_TABANI!$B$7 + MAX(0, VERI_TABANI!D24*B235-VERI_TABANI!D24)*VERI_TABANI!$B$8) + (MIN(MAX(0, VERI_TABANI!D24-VERI_TABANI!D24*B235), VERI_TABANI!D24*C235)*VERI_TABANI!$B$7 + MAX(0, VERI_TABANI!D24*C235-MAX(0, VERI_TABANI!D24-VERI_TABANI!D24*B235))*VERI_TABANI!$B$8) + IF(ABS(IF(ISNUMBER(SEARCH("Var", D235)), 1, IF(ISNUMBER(SEARCH("Gri", D235)), -1, 0)))=1, VERI_TABANI!E24*(1-0.928)*VERI_TABANI!$B$9, 0) + (VERI_TABANI!D24*B235*(VERI_TABANI!$B$13-VERI_TABANI!$B$14)*VERI_TABANI!G24) + (VERI_TABANI!D24*C235*(VERI_TABANI!$B$13-VERI_TABANI!$B$15)*VERI_TABANI!G24) + IF(ABS(IF(ISNUMBER(SEARCH("Var", D235)), 1, IF(ISNUMBER(SEARCH("Gri", D235)), -1, 0)))=1, VERI_TABANI!E24*(1-0.928)*0.00206091519919798*VERI_TABANI!G24, 0)) + ((MIN(VERI_TABANI!D25, VERI_TABANI!D25*B235)*VERI_TABANI!$B$7 + MAX(0, VERI_TABANI!D25*B235-VERI_TABANI!D25)*VERI_TABANI!$B$8) + (MIN(MAX(0, VERI_TABANI!D25-VERI_TABANI!D25*B235), VERI_TABANI!D25*C235)*VERI_TABANI!$B$7 + MAX(0, VERI_TABANI!D25*C235-MAX(0, VERI_TABANI!D25-VERI_TABANI!D25*B235))*VERI_TABANI!$B$8) + IF(ABS(IF(ISNUMBER(SEARCH("Var", D235)), 1, IF(ISNUMBER(SEARCH("Gri", D235)), -1, 0)))=1, VERI_TABANI!E25*(1-0.928)*VERI_TABANI!$B$9, 0) + (VERI_TABANI!D25*B235*(VERI_TABANI!$B$13-VERI_TABANI!$B$14)*VERI_TABANI!G25) + (VERI_TABANI!D25*C235*(VERI_TABANI!$B$13-VERI_TABANI!$B$15)*VERI_TABANI!G25) + IF(ABS(IF(ISNUMBER(SEARCH("Var", D235)), 1, IF(ISNUMBER(SEARCH("Gri", D235)), -1, 0)))=1, VERI_TABANI!E25*(1-0.928)*0.00206091519919798*VERI_TABANI!G25, 0)) + ((MIN(VERI_TABANI!D26, VERI_TABANI!D26*B235)*VERI_TABANI!$B$7 + MAX(0, VERI_TABANI!D26*B235-VERI_TABANI!D26)*VERI_TABANI!$B$8) + (MIN(MAX(0, VERI_TABANI!D26-VERI_TABANI!D26*B235), VERI_TABANI!D26*C235)*VERI_TABANI!$B$7 + MAX(0, VERI_TABANI!D26*C235-MAX(0, VERI_TABANI!D26-VERI_TABANI!D26*B235))*VERI_TABANI!$B$8) + IF(ABS(IF(ISNUMBER(SEARCH("Var", D235)), 1, IF(ISNUMBER(SEARCH("Gri", D235)), -1, 0)))=1, VERI_TABANI!E26*(1-0.928)*VERI_TABANI!$B$9, 0) + (VERI_TABANI!D26*B235*(VERI_TABANI!$B$13-VERI_TABANI!$B$14)*VERI_TABANI!G26) + (VERI_TABANI!D26*C235*(VERI_TABANI!$B$13-VERI_TABANI!$B$15)*VERI_TABANI!G26) + IF(ABS(IF(ISNUMBER(SEARCH("Var", D235)), 1, IF(ISNUMBER(SEARCH("Gri", D235)), -1, 0)))=1, VERI_TABANI!E26*(1-0.928)*0.00206091519919798*VERI_TABANI!G26, 0)) + ((MIN(VERI_TABANI!D27, VERI_TABANI!D27*B235)*VERI_TABANI!$B$7 + MAX(0, VERI_TABANI!D27*B235-VERI_TABANI!D27)*VERI_TABANI!$B$8) + (MIN(MAX(0, VERI_TABANI!D27-VERI_TABANI!D27*B235), VERI_TABANI!D27*C235)*VERI_TABANI!$B$7 + MAX(0, VERI_TABANI!D27*C235-MAX(0, VERI_TABANI!D27-VERI_TABANI!D27*B235))*VERI_TABANI!$B$8) + IF(ABS(IF(ISNUMBER(SEARCH("Var", D235)), 1, IF(ISNUMBER(SEARCH("Gri", D235)), -1, 0)))=1, VERI_TABANI!E27*(1-0.928)*VERI_TABANI!$B$9, 0) + (VERI_TABANI!D27*B235*(VERI_TABANI!$B$13-VERI_TABANI!$B$14)*VERI_TABANI!G27) + (VERI_TABANI!D27*C235*(VERI_TABANI!$B$13-VERI_TABANI!$B$15)*VERI_TABANI!G27) + IF(ABS(IF(ISNUMBER(SEARCH("Var", D235)), 1, IF(ISNUMBER(SEARCH("Gri", D235)), -1, 0)))=1, VERI_TABANI!E27*(1-0.928)*0.00206091519919798*VERI_TABANI!G27, 0)) + ((MIN(VERI_TABANI!D28, VERI_TABANI!D28*B235)*VERI_TABANI!$B$7 + MAX(0, VERI_TABANI!D28*B235-VERI_TABANI!D28)*VERI_TABANI!$B$8) + (MIN(MAX(0, VERI_TABANI!D28-VERI_TABANI!D28*B235), VERI_TABANI!D28*C235)*VERI_TABANI!$B$7 + MAX(0, VERI_TABANI!D28*C235-MAX(0, VERI_TABANI!D28-VERI_TABANI!D28*B235))*VERI_TABANI!$B$8) + IF(ABS(IF(ISNUMBER(SEARCH("Var", D235)), 1, IF(ISNUMBER(SEARCH("Gri", D235)), -1, 0)))=1, VERI_TABANI!E28*(1-0.928)*VERI_TABANI!$B$9, 0) + (VERI_TABANI!D28*B235*(VERI_TABANI!$B$13-VERI_TABANI!$B$14)*VERI_TABANI!G28) + (VERI_TABANI!D28*C235*(VERI_TABANI!$B$13-VERI_TABANI!$B$15)*VERI_TABANI!G28) + IF(ABS(IF(ISNUMBER(SEARCH("Var", D235)), 1, IF(ISNUMBER(SEARCH("Gri", D235)), -1, 0)))=1, VERI_TABANI!E28*(1-0.928)*0.00206091519919798*VERI_TABANI!G28, 0)))</f>
        <v/>
      </c>
      <c r="H235" s="169">
        <f>(((VERI_TABANI!D23*B235*(VERI_TABANI!$B$13-VERI_TABANI!$B$14)) + (VERI_TABANI!D23*C235*(VERI_TABANI!$B$13-VERI_TABANI!$B$15)) + IF(ISNUMBER(SEARCH("Var", D235)), VERI_TABANI!F23*(0.00202-VERI_TABANI!$B$16), IF(ISNUMBER(SEARCH("Gri", D235)), VERI_TABANI!F23*(0.00202-VERI_TABANI!$B$17), 0))) + ((VERI_TABANI!D24*B235*(VERI_TABANI!$B$13-VERI_TABANI!$B$14)) + (VERI_TABANI!D24*C235*(VERI_TABANI!$B$13-VERI_TABANI!$B$15)) + IF(ISNUMBER(SEARCH("Var", D235)), VERI_TABANI!F24*(0.00202-VERI_TABANI!$B$16), IF(ISNUMBER(SEARCH("Gri", D235)), VERI_TABANI!F24*(0.00202-VERI_TABANI!$B$17), 0))) + ((VERI_TABANI!D25*B235*(VERI_TABANI!$B$13-VERI_TABANI!$B$14)) + (VERI_TABANI!D25*C235*(VERI_TABANI!$B$13-VERI_TABANI!$B$15)) + IF(ISNUMBER(SEARCH("Var", D235)), VERI_TABANI!F25*(0.00202-VERI_TABANI!$B$16), IF(ISNUMBER(SEARCH("Gri", D235)), VERI_TABANI!F25*(0.00202-VERI_TABANI!$B$17), 0))) + ((VERI_TABANI!D26*B235*(VERI_TABANI!$B$13-VERI_TABANI!$B$14)) + (VERI_TABANI!D26*C235*(VERI_TABANI!$B$13-VERI_TABANI!$B$15)) + IF(ISNUMBER(SEARCH("Var", D235)), VERI_TABANI!F26*(0.00202-VERI_TABANI!$B$16), IF(ISNUMBER(SEARCH("Gri", D235)), VERI_TABANI!F26*(0.00202-VERI_TABANI!$B$17), 0))) + ((VERI_TABANI!D27*B235*(VERI_TABANI!$B$13-VERI_TABANI!$B$14)) + (VERI_TABANI!D27*C235*(VERI_TABANI!$B$13-VERI_TABANI!$B$15)) + IF(ISNUMBER(SEARCH("Var", D235)), VERI_TABANI!F27*(0.00202-VERI_TABANI!$B$16), IF(ISNUMBER(SEARCH("Gri", D235)), VERI_TABANI!F27*(0.00202-VERI_TABANI!$B$17), 0))) + ((VERI_TABANI!D28*B235*(VERI_TABANI!$B$13-VERI_TABANI!$B$14)) + (VERI_TABANI!D28*C235*(VERI_TABANI!$B$13-VERI_TABANI!$B$15)) + IF(ISNUMBER(SEARCH("Var", D235)), VERI_TABANI!F28*(0.00202-VERI_TABANI!$B$16), IF(ISNUMBER(SEARCH("Gri", D235)), VERI_TABANI!F28*(0.00202-VERI_TABANI!$B$17), 0))))</f>
        <v/>
      </c>
      <c r="I235" s="170">
        <f>IFERROR(((VERI_TABANI!$D$29*B235*VERI_TABANI!$B$14 + VERI_TABANI!$D$29*C235*VERI_TABANI!$B$15 + IF(ISNUMBER(SEARCH("Var", D235)), VERI_TABANI!$F$29*VERI_TABANI!$B$16, 0))) / (((VERI_TABANI!$D$29*B235 + VERI_TABANI!$D$29*C235)*VERI_TABANI!$B$13 + IF(ISNUMBER(SEARCH("Var", D235)), VERI_TABANI!$E$29*(1-0.928)*VERI_TABANI!$B$18, 0))), 0)</f>
        <v/>
      </c>
      <c r="J235" s="171">
        <f>IFERROR(F235/(G235/29), 0)</f>
        <v/>
      </c>
      <c r="K235" s="172">
        <f>IF(F235&gt;0, H235/F235, 0)</f>
        <v/>
      </c>
      <c r="L235" s="170">
        <f>IF(F235&gt;0, I235, 1000000000)</f>
        <v/>
      </c>
      <c r="M235" s="171">
        <f>ABS((B235+C235)-1)</f>
        <v/>
      </c>
      <c r="N235" s="170">
        <f>IF(F235&gt;0, (G235/29)/F235, 0)</f>
        <v/>
      </c>
      <c r="O235" s="168">
        <f>IF(AND((B235+C235)&gt;=1, ISNUMBER(SEARCH("Var", D235))), F235, 1000000000)</f>
        <v/>
      </c>
      <c r="P235" s="172">
        <f>IF(F235&gt;0, SQRT((F235/MAX(F$5:F$886))^2 + (1 - H235/MAX(H$5:H$886))^2 + (J235/MAX(J$5:J$886))^2), 1000000000)</f>
        <v/>
      </c>
      <c r="Q235" s="166">
        <f>IF(AND(ABS(B235-0.5)&lt;0.01, ABS(C235-0.5)&lt;0.01, ISNUMBER(SEARCH("Var", D235))), 1, 0)</f>
        <v/>
      </c>
      <c r="R235" s="171">
        <f>IF(F235&gt;0, J235, 1000000000)</f>
        <v/>
      </c>
      <c r="S235" s="101">
        <f>IF(AND(F235&lt;=DASHBOARD!$B$11, H235&gt;=DASHBOARD!$B$13), G235, -1000000000000)</f>
        <v/>
      </c>
      <c r="T235" s="101">
        <f>IF(AND(F235&lt;=DASHBOARD!$B$11, H235&gt;=DASHBOARD!$B$13), R235, 1000000000000)</f>
        <v/>
      </c>
      <c r="U235" s="101">
        <f>IF(AND(F235&lt;=DASHBOARD!$B$11, H235&gt;=DASHBOARD!$B$13), N235, -1000000000000)</f>
        <v/>
      </c>
      <c r="V235" s="101">
        <f>IF(AND(F235&lt;=DASHBOARD!$B$11, H235&gt;=DASHBOARD!$B$13), H235, -1000000000000)</f>
        <v/>
      </c>
      <c r="W235" s="101">
        <f>IF(AND(F235&lt;=DASHBOARD!$B$11, H235&gt;=DASHBOARD!$B$13), K235, -1000000000000)</f>
        <v/>
      </c>
      <c r="X235" s="101">
        <f>IF(AND(F235&lt;=DASHBOARD!$B$11, H235&gt;=DASHBOARD!$B$13), M235, 1000000000000)</f>
        <v/>
      </c>
      <c r="Y235" s="101">
        <f>IF(AND(F235&lt;=DASHBOARD!$B$10, H235&gt;=DASHBOARD!$B$11), L235, 1000000000000)</f>
        <v/>
      </c>
      <c r="Z235" s="101">
        <f>IF(AND(F235&lt;=DASHBOARD!$B$10, H235&gt;=DASHBOARD!$B$11), O235, 1000000000000)</f>
        <v/>
      </c>
      <c r="AA235" s="101">
        <f>IF(AND(F235&lt;=DASHBOARD!$B$10, H235&gt;=DASHBOARD!$B$11), P235, 1000000000000)</f>
        <v/>
      </c>
      <c r="AB235" s="101">
        <f>IF(AND(F235&lt;=DASHBOARD!$B$10, H235&gt;=DASHBOARD!$B$11), Q235, -1000000000000)</f>
        <v/>
      </c>
    </row>
    <row r="236" ht="15" customHeight="1" s="102">
      <c r="A236" s="166" t="n">
        <v>232</v>
      </c>
      <c r="B236" s="167" t="n">
        <v>0.5</v>
      </c>
      <c r="C236" s="167" t="n">
        <v>1</v>
      </c>
      <c r="D236" s="110" t="inlineStr">
        <is>
          <t>Var (%20)</t>
        </is>
      </c>
      <c r="E236" s="110">
        <f>IF((B236+C236)&lt;=1, "Tam Mahsuplaşma (≤%100)", "Kısmi Satış (&gt;%100)")</f>
        <v/>
      </c>
      <c r="F236" s="168">
        <f>((VERI_TABANI!$D$29*B236/VERI_TABANI!$B$29)/VERI_TABANI!$B$3)*VERI_TABANI!$B$5 + ((VERI_TABANI!$D$29*C236/VERI_TABANI!$B$29)/VERI_TABANI!$B$4)*VERI_TABANI!$B$6 + IF(ISNUMBER(SEARCH("Var", D236)), (VERI_TABANI!$F$29/VERI_TABANI!$B$29)*(VERI_TABANI!$B$10+VERI_TABANI!$B$12), 0)</f>
        <v/>
      </c>
      <c r="G236" s="168">
        <f>(((MIN(VERI_TABANI!D23, VERI_TABANI!D23*B236)*VERI_TABANI!$B$7 + MAX(0, VERI_TABANI!D23*B236-VERI_TABANI!D23)*VERI_TABANI!$B$8) + (MIN(MAX(0, VERI_TABANI!D23-VERI_TABANI!D23*B236), VERI_TABANI!D23*C236)*VERI_TABANI!$B$7 + MAX(0, VERI_TABANI!D23*C236-MAX(0, VERI_TABANI!D23-VERI_TABANI!D23*B236))*VERI_TABANI!$B$8) + IF(ABS(IF(ISNUMBER(SEARCH("Var", D236)), 1, IF(ISNUMBER(SEARCH("Gri", D236)), -1, 0)))=1, VERI_TABANI!E23*(1-0.928)*VERI_TABANI!$B$9, 0) + (VERI_TABANI!D23*B236*(VERI_TABANI!$B$13-VERI_TABANI!$B$14)*VERI_TABANI!G23) + (VERI_TABANI!D23*C236*(VERI_TABANI!$B$13-VERI_TABANI!$B$15)*VERI_TABANI!G23) + IF(ABS(IF(ISNUMBER(SEARCH("Var", D236)), 1, IF(ISNUMBER(SEARCH("Gri", D236)), -1, 0)))=1, VERI_TABANI!E23*(1-0.928)*0.00206091519919798*VERI_TABANI!G23, 0)) + ((MIN(VERI_TABANI!D24, VERI_TABANI!D24*B236)*VERI_TABANI!$B$7 + MAX(0, VERI_TABANI!D24*B236-VERI_TABANI!D24)*VERI_TABANI!$B$8) + (MIN(MAX(0, VERI_TABANI!D24-VERI_TABANI!D24*B236), VERI_TABANI!D24*C236)*VERI_TABANI!$B$7 + MAX(0, VERI_TABANI!D24*C236-MAX(0, VERI_TABANI!D24-VERI_TABANI!D24*B236))*VERI_TABANI!$B$8) + IF(ABS(IF(ISNUMBER(SEARCH("Var", D236)), 1, IF(ISNUMBER(SEARCH("Gri", D236)), -1, 0)))=1, VERI_TABANI!E24*(1-0.928)*VERI_TABANI!$B$9, 0) + (VERI_TABANI!D24*B236*(VERI_TABANI!$B$13-VERI_TABANI!$B$14)*VERI_TABANI!G24) + (VERI_TABANI!D24*C236*(VERI_TABANI!$B$13-VERI_TABANI!$B$15)*VERI_TABANI!G24) + IF(ABS(IF(ISNUMBER(SEARCH("Var", D236)), 1, IF(ISNUMBER(SEARCH("Gri", D236)), -1, 0)))=1, VERI_TABANI!E24*(1-0.928)*0.00206091519919798*VERI_TABANI!G24, 0)) + ((MIN(VERI_TABANI!D25, VERI_TABANI!D25*B236)*VERI_TABANI!$B$7 + MAX(0, VERI_TABANI!D25*B236-VERI_TABANI!D25)*VERI_TABANI!$B$8) + (MIN(MAX(0, VERI_TABANI!D25-VERI_TABANI!D25*B236), VERI_TABANI!D25*C236)*VERI_TABANI!$B$7 + MAX(0, VERI_TABANI!D25*C236-MAX(0, VERI_TABANI!D25-VERI_TABANI!D25*B236))*VERI_TABANI!$B$8) + IF(ABS(IF(ISNUMBER(SEARCH("Var", D236)), 1, IF(ISNUMBER(SEARCH("Gri", D236)), -1, 0)))=1, VERI_TABANI!E25*(1-0.928)*VERI_TABANI!$B$9, 0) + (VERI_TABANI!D25*B236*(VERI_TABANI!$B$13-VERI_TABANI!$B$14)*VERI_TABANI!G25) + (VERI_TABANI!D25*C236*(VERI_TABANI!$B$13-VERI_TABANI!$B$15)*VERI_TABANI!G25) + IF(ABS(IF(ISNUMBER(SEARCH("Var", D236)), 1, IF(ISNUMBER(SEARCH("Gri", D236)), -1, 0)))=1, VERI_TABANI!E25*(1-0.928)*0.00206091519919798*VERI_TABANI!G25, 0)) + ((MIN(VERI_TABANI!D26, VERI_TABANI!D26*B236)*VERI_TABANI!$B$7 + MAX(0, VERI_TABANI!D26*B236-VERI_TABANI!D26)*VERI_TABANI!$B$8) + (MIN(MAX(0, VERI_TABANI!D26-VERI_TABANI!D26*B236), VERI_TABANI!D26*C236)*VERI_TABANI!$B$7 + MAX(0, VERI_TABANI!D26*C236-MAX(0, VERI_TABANI!D26-VERI_TABANI!D26*B236))*VERI_TABANI!$B$8) + IF(ABS(IF(ISNUMBER(SEARCH("Var", D236)), 1, IF(ISNUMBER(SEARCH("Gri", D236)), -1, 0)))=1, VERI_TABANI!E26*(1-0.928)*VERI_TABANI!$B$9, 0) + (VERI_TABANI!D26*B236*(VERI_TABANI!$B$13-VERI_TABANI!$B$14)*VERI_TABANI!G26) + (VERI_TABANI!D26*C236*(VERI_TABANI!$B$13-VERI_TABANI!$B$15)*VERI_TABANI!G26) + IF(ABS(IF(ISNUMBER(SEARCH("Var", D236)), 1, IF(ISNUMBER(SEARCH("Gri", D236)), -1, 0)))=1, VERI_TABANI!E26*(1-0.928)*0.00206091519919798*VERI_TABANI!G26, 0)) + ((MIN(VERI_TABANI!D27, VERI_TABANI!D27*B236)*VERI_TABANI!$B$7 + MAX(0, VERI_TABANI!D27*B236-VERI_TABANI!D27)*VERI_TABANI!$B$8) + (MIN(MAX(0, VERI_TABANI!D27-VERI_TABANI!D27*B236), VERI_TABANI!D27*C236)*VERI_TABANI!$B$7 + MAX(0, VERI_TABANI!D27*C236-MAX(0, VERI_TABANI!D27-VERI_TABANI!D27*B236))*VERI_TABANI!$B$8) + IF(ABS(IF(ISNUMBER(SEARCH("Var", D236)), 1, IF(ISNUMBER(SEARCH("Gri", D236)), -1, 0)))=1, VERI_TABANI!E27*(1-0.928)*VERI_TABANI!$B$9, 0) + (VERI_TABANI!D27*B236*(VERI_TABANI!$B$13-VERI_TABANI!$B$14)*VERI_TABANI!G27) + (VERI_TABANI!D27*C236*(VERI_TABANI!$B$13-VERI_TABANI!$B$15)*VERI_TABANI!G27) + IF(ABS(IF(ISNUMBER(SEARCH("Var", D236)), 1, IF(ISNUMBER(SEARCH("Gri", D236)), -1, 0)))=1, VERI_TABANI!E27*(1-0.928)*0.00206091519919798*VERI_TABANI!G27, 0)) + ((MIN(VERI_TABANI!D28, VERI_TABANI!D28*B236)*VERI_TABANI!$B$7 + MAX(0, VERI_TABANI!D28*B236-VERI_TABANI!D28)*VERI_TABANI!$B$8) + (MIN(MAX(0, VERI_TABANI!D28-VERI_TABANI!D28*B236), VERI_TABANI!D28*C236)*VERI_TABANI!$B$7 + MAX(0, VERI_TABANI!D28*C236-MAX(0, VERI_TABANI!D28-VERI_TABANI!D28*B236))*VERI_TABANI!$B$8) + IF(ABS(IF(ISNUMBER(SEARCH("Var", D236)), 1, IF(ISNUMBER(SEARCH("Gri", D236)), -1, 0)))=1, VERI_TABANI!E28*(1-0.928)*VERI_TABANI!$B$9, 0) + (VERI_TABANI!D28*B236*(VERI_TABANI!$B$13-VERI_TABANI!$B$14)*VERI_TABANI!G28) + (VERI_TABANI!D28*C236*(VERI_TABANI!$B$13-VERI_TABANI!$B$15)*VERI_TABANI!G28) + IF(ABS(IF(ISNUMBER(SEARCH("Var", D236)), 1, IF(ISNUMBER(SEARCH("Gri", D236)), -1, 0)))=1, VERI_TABANI!E28*(1-0.928)*0.00206091519919798*VERI_TABANI!G28, 0)))</f>
        <v/>
      </c>
      <c r="H236" s="169">
        <f>(((VERI_TABANI!D23*B236*(VERI_TABANI!$B$13-VERI_TABANI!$B$14)) + (VERI_TABANI!D23*C236*(VERI_TABANI!$B$13-VERI_TABANI!$B$15)) + IF(ISNUMBER(SEARCH("Var", D236)), VERI_TABANI!F23*(0.00202-VERI_TABANI!$B$16), IF(ISNUMBER(SEARCH("Gri", D236)), VERI_TABANI!F23*(0.00202-VERI_TABANI!$B$17), 0))) + ((VERI_TABANI!D24*B236*(VERI_TABANI!$B$13-VERI_TABANI!$B$14)) + (VERI_TABANI!D24*C236*(VERI_TABANI!$B$13-VERI_TABANI!$B$15)) + IF(ISNUMBER(SEARCH("Var", D236)), VERI_TABANI!F24*(0.00202-VERI_TABANI!$B$16), IF(ISNUMBER(SEARCH("Gri", D236)), VERI_TABANI!F24*(0.00202-VERI_TABANI!$B$17), 0))) + ((VERI_TABANI!D25*B236*(VERI_TABANI!$B$13-VERI_TABANI!$B$14)) + (VERI_TABANI!D25*C236*(VERI_TABANI!$B$13-VERI_TABANI!$B$15)) + IF(ISNUMBER(SEARCH("Var", D236)), VERI_TABANI!F25*(0.00202-VERI_TABANI!$B$16), IF(ISNUMBER(SEARCH("Gri", D236)), VERI_TABANI!F25*(0.00202-VERI_TABANI!$B$17), 0))) + ((VERI_TABANI!D26*B236*(VERI_TABANI!$B$13-VERI_TABANI!$B$14)) + (VERI_TABANI!D26*C236*(VERI_TABANI!$B$13-VERI_TABANI!$B$15)) + IF(ISNUMBER(SEARCH("Var", D236)), VERI_TABANI!F26*(0.00202-VERI_TABANI!$B$16), IF(ISNUMBER(SEARCH("Gri", D236)), VERI_TABANI!F26*(0.00202-VERI_TABANI!$B$17), 0))) + ((VERI_TABANI!D27*B236*(VERI_TABANI!$B$13-VERI_TABANI!$B$14)) + (VERI_TABANI!D27*C236*(VERI_TABANI!$B$13-VERI_TABANI!$B$15)) + IF(ISNUMBER(SEARCH("Var", D236)), VERI_TABANI!F27*(0.00202-VERI_TABANI!$B$16), IF(ISNUMBER(SEARCH("Gri", D236)), VERI_TABANI!F27*(0.00202-VERI_TABANI!$B$17), 0))) + ((VERI_TABANI!D28*B236*(VERI_TABANI!$B$13-VERI_TABANI!$B$14)) + (VERI_TABANI!D28*C236*(VERI_TABANI!$B$13-VERI_TABANI!$B$15)) + IF(ISNUMBER(SEARCH("Var", D236)), VERI_TABANI!F28*(0.00202-VERI_TABANI!$B$16), IF(ISNUMBER(SEARCH("Gri", D236)), VERI_TABANI!F28*(0.00202-VERI_TABANI!$B$17), 0))))</f>
        <v/>
      </c>
      <c r="I236" s="170">
        <f>IFERROR(((VERI_TABANI!$D$29*B236*VERI_TABANI!$B$14 + VERI_TABANI!$D$29*C236*VERI_TABANI!$B$15 + IF(ISNUMBER(SEARCH("Var", D236)), VERI_TABANI!$F$29*VERI_TABANI!$B$16, 0))) / (((VERI_TABANI!$D$29*B236 + VERI_TABANI!$D$29*C236)*VERI_TABANI!$B$13 + IF(ISNUMBER(SEARCH("Var", D236)), VERI_TABANI!$E$29*(1-0.928)*VERI_TABANI!$B$18, 0))), 0)</f>
        <v/>
      </c>
      <c r="J236" s="171">
        <f>IFERROR(F236/(G236/29), 0)</f>
        <v/>
      </c>
      <c r="K236" s="172">
        <f>IF(F236&gt;0, H236/F236, 0)</f>
        <v/>
      </c>
      <c r="L236" s="170">
        <f>IF(F236&gt;0, I236, 1000000000)</f>
        <v/>
      </c>
      <c r="M236" s="171">
        <f>ABS((B236+C236)-1)</f>
        <v/>
      </c>
      <c r="N236" s="170">
        <f>IF(F236&gt;0, (G236/29)/F236, 0)</f>
        <v/>
      </c>
      <c r="O236" s="168">
        <f>IF(AND((B236+C236)&gt;=1, ISNUMBER(SEARCH("Var", D236))), F236, 1000000000)</f>
        <v/>
      </c>
      <c r="P236" s="172">
        <f>IF(F236&gt;0, SQRT((F236/MAX(F$5:F$886))^2 + (1 - H236/MAX(H$5:H$886))^2 + (J236/MAX(J$5:J$886))^2), 1000000000)</f>
        <v/>
      </c>
      <c r="Q236" s="166">
        <f>IF(AND(ABS(B236-0.5)&lt;0.01, ABS(C236-0.5)&lt;0.01, ISNUMBER(SEARCH("Var", D236))), 1, 0)</f>
        <v/>
      </c>
      <c r="R236" s="171">
        <f>IF(F236&gt;0, J236, 1000000000)</f>
        <v/>
      </c>
      <c r="S236" s="101">
        <f>IF(AND(F236&lt;=DASHBOARD!$B$11, H236&gt;=DASHBOARD!$B$13), G236, -1000000000000)</f>
        <v/>
      </c>
      <c r="T236" s="101">
        <f>IF(AND(F236&lt;=DASHBOARD!$B$11, H236&gt;=DASHBOARD!$B$13), R236, 1000000000000)</f>
        <v/>
      </c>
      <c r="U236" s="101">
        <f>IF(AND(F236&lt;=DASHBOARD!$B$11, H236&gt;=DASHBOARD!$B$13), N236, -1000000000000)</f>
        <v/>
      </c>
      <c r="V236" s="101">
        <f>IF(AND(F236&lt;=DASHBOARD!$B$11, H236&gt;=DASHBOARD!$B$13), H236, -1000000000000)</f>
        <v/>
      </c>
      <c r="W236" s="101">
        <f>IF(AND(F236&lt;=DASHBOARD!$B$11, H236&gt;=DASHBOARD!$B$13), K236, -1000000000000)</f>
        <v/>
      </c>
      <c r="X236" s="101">
        <f>IF(AND(F236&lt;=DASHBOARD!$B$11, H236&gt;=DASHBOARD!$B$13), M236, 1000000000000)</f>
        <v/>
      </c>
      <c r="Y236" s="101">
        <f>IF(AND(F236&lt;=DASHBOARD!$B$10, H236&gt;=DASHBOARD!$B$11), L236, 1000000000000)</f>
        <v/>
      </c>
      <c r="Z236" s="101">
        <f>IF(AND(F236&lt;=DASHBOARD!$B$10, H236&gt;=DASHBOARD!$B$11), O236, 1000000000000)</f>
        <v/>
      </c>
      <c r="AA236" s="101">
        <f>IF(AND(F236&lt;=DASHBOARD!$B$10, H236&gt;=DASHBOARD!$B$11), P236, 1000000000000)</f>
        <v/>
      </c>
      <c r="AB236" s="101">
        <f>IF(AND(F236&lt;=DASHBOARD!$B$10, H236&gt;=DASHBOARD!$B$11), Q236, -1000000000000)</f>
        <v/>
      </c>
    </row>
    <row r="237" ht="15" customHeight="1" s="102">
      <c r="A237" s="166" t="n">
        <v>233</v>
      </c>
      <c r="B237" s="167" t="n">
        <v>0.5</v>
      </c>
      <c r="C237" s="167" t="n">
        <v>1.1</v>
      </c>
      <c r="D237" s="110" t="inlineStr">
        <is>
          <t>Yok (%0)</t>
        </is>
      </c>
      <c r="E237" s="110">
        <f>IF((B237+C237)&lt;=1, "Tam Mahsuplaşma (≤%100)", "Kısmi Satış (&gt;%100)")</f>
        <v/>
      </c>
      <c r="F237" s="168">
        <f>((VERI_TABANI!$D$29*B237/VERI_TABANI!$B$29)/VERI_TABANI!$B$3)*VERI_TABANI!$B$5 + ((VERI_TABANI!$D$29*C237/VERI_TABANI!$B$29)/VERI_TABANI!$B$4)*VERI_TABANI!$B$6 + IF(ISNUMBER(SEARCH("Var", D237)), (VERI_TABANI!$F$29/VERI_TABANI!$B$29)*(VERI_TABANI!$B$10+VERI_TABANI!$B$12), 0)</f>
        <v/>
      </c>
      <c r="G237" s="168">
        <f>(((MIN(VERI_TABANI!D23, VERI_TABANI!D23*B237)*VERI_TABANI!$B$7 + MAX(0, VERI_TABANI!D23*B237-VERI_TABANI!D23)*VERI_TABANI!$B$8) + (MIN(MAX(0, VERI_TABANI!D23-VERI_TABANI!D23*B237), VERI_TABANI!D23*C237)*VERI_TABANI!$B$7 + MAX(0, VERI_TABANI!D23*C237-MAX(0, VERI_TABANI!D23-VERI_TABANI!D23*B237))*VERI_TABANI!$B$8) + IF(ABS(IF(ISNUMBER(SEARCH("Var", D237)), 1, IF(ISNUMBER(SEARCH("Gri", D237)), -1, 0)))=1, VERI_TABANI!E23*(1-0.928)*VERI_TABANI!$B$9, 0) + (VERI_TABANI!D23*B237*(VERI_TABANI!$B$13-VERI_TABANI!$B$14)*VERI_TABANI!G23) + (VERI_TABANI!D23*C237*(VERI_TABANI!$B$13-VERI_TABANI!$B$15)*VERI_TABANI!G23) + IF(ABS(IF(ISNUMBER(SEARCH("Var", D237)), 1, IF(ISNUMBER(SEARCH("Gri", D237)), -1, 0)))=1, VERI_TABANI!E23*(1-0.928)*0.00206091519919798*VERI_TABANI!G23, 0)) + ((MIN(VERI_TABANI!D24, VERI_TABANI!D24*B237)*VERI_TABANI!$B$7 + MAX(0, VERI_TABANI!D24*B237-VERI_TABANI!D24)*VERI_TABANI!$B$8) + (MIN(MAX(0, VERI_TABANI!D24-VERI_TABANI!D24*B237), VERI_TABANI!D24*C237)*VERI_TABANI!$B$7 + MAX(0, VERI_TABANI!D24*C237-MAX(0, VERI_TABANI!D24-VERI_TABANI!D24*B237))*VERI_TABANI!$B$8) + IF(ABS(IF(ISNUMBER(SEARCH("Var", D237)), 1, IF(ISNUMBER(SEARCH("Gri", D237)), -1, 0)))=1, VERI_TABANI!E24*(1-0.928)*VERI_TABANI!$B$9, 0) + (VERI_TABANI!D24*B237*(VERI_TABANI!$B$13-VERI_TABANI!$B$14)*VERI_TABANI!G24) + (VERI_TABANI!D24*C237*(VERI_TABANI!$B$13-VERI_TABANI!$B$15)*VERI_TABANI!G24) + IF(ABS(IF(ISNUMBER(SEARCH("Var", D237)), 1, IF(ISNUMBER(SEARCH("Gri", D237)), -1, 0)))=1, VERI_TABANI!E24*(1-0.928)*0.00206091519919798*VERI_TABANI!G24, 0)) + ((MIN(VERI_TABANI!D25, VERI_TABANI!D25*B237)*VERI_TABANI!$B$7 + MAX(0, VERI_TABANI!D25*B237-VERI_TABANI!D25)*VERI_TABANI!$B$8) + (MIN(MAX(0, VERI_TABANI!D25-VERI_TABANI!D25*B237), VERI_TABANI!D25*C237)*VERI_TABANI!$B$7 + MAX(0, VERI_TABANI!D25*C237-MAX(0, VERI_TABANI!D25-VERI_TABANI!D25*B237))*VERI_TABANI!$B$8) + IF(ABS(IF(ISNUMBER(SEARCH("Var", D237)), 1, IF(ISNUMBER(SEARCH("Gri", D237)), -1, 0)))=1, VERI_TABANI!E25*(1-0.928)*VERI_TABANI!$B$9, 0) + (VERI_TABANI!D25*B237*(VERI_TABANI!$B$13-VERI_TABANI!$B$14)*VERI_TABANI!G25) + (VERI_TABANI!D25*C237*(VERI_TABANI!$B$13-VERI_TABANI!$B$15)*VERI_TABANI!G25) + IF(ABS(IF(ISNUMBER(SEARCH("Var", D237)), 1, IF(ISNUMBER(SEARCH("Gri", D237)), -1, 0)))=1, VERI_TABANI!E25*(1-0.928)*0.00206091519919798*VERI_TABANI!G25, 0)) + ((MIN(VERI_TABANI!D26, VERI_TABANI!D26*B237)*VERI_TABANI!$B$7 + MAX(0, VERI_TABANI!D26*B237-VERI_TABANI!D26)*VERI_TABANI!$B$8) + (MIN(MAX(0, VERI_TABANI!D26-VERI_TABANI!D26*B237), VERI_TABANI!D26*C237)*VERI_TABANI!$B$7 + MAX(0, VERI_TABANI!D26*C237-MAX(0, VERI_TABANI!D26-VERI_TABANI!D26*B237))*VERI_TABANI!$B$8) + IF(ABS(IF(ISNUMBER(SEARCH("Var", D237)), 1, IF(ISNUMBER(SEARCH("Gri", D237)), -1, 0)))=1, VERI_TABANI!E26*(1-0.928)*VERI_TABANI!$B$9, 0) + (VERI_TABANI!D26*B237*(VERI_TABANI!$B$13-VERI_TABANI!$B$14)*VERI_TABANI!G26) + (VERI_TABANI!D26*C237*(VERI_TABANI!$B$13-VERI_TABANI!$B$15)*VERI_TABANI!G26) + IF(ABS(IF(ISNUMBER(SEARCH("Var", D237)), 1, IF(ISNUMBER(SEARCH("Gri", D237)), -1, 0)))=1, VERI_TABANI!E26*(1-0.928)*0.00206091519919798*VERI_TABANI!G26, 0)) + ((MIN(VERI_TABANI!D27, VERI_TABANI!D27*B237)*VERI_TABANI!$B$7 + MAX(0, VERI_TABANI!D27*B237-VERI_TABANI!D27)*VERI_TABANI!$B$8) + (MIN(MAX(0, VERI_TABANI!D27-VERI_TABANI!D27*B237), VERI_TABANI!D27*C237)*VERI_TABANI!$B$7 + MAX(0, VERI_TABANI!D27*C237-MAX(0, VERI_TABANI!D27-VERI_TABANI!D27*B237))*VERI_TABANI!$B$8) + IF(ABS(IF(ISNUMBER(SEARCH("Var", D237)), 1, IF(ISNUMBER(SEARCH("Gri", D237)), -1, 0)))=1, VERI_TABANI!E27*(1-0.928)*VERI_TABANI!$B$9, 0) + (VERI_TABANI!D27*B237*(VERI_TABANI!$B$13-VERI_TABANI!$B$14)*VERI_TABANI!G27) + (VERI_TABANI!D27*C237*(VERI_TABANI!$B$13-VERI_TABANI!$B$15)*VERI_TABANI!G27) + IF(ABS(IF(ISNUMBER(SEARCH("Var", D237)), 1, IF(ISNUMBER(SEARCH("Gri", D237)), -1, 0)))=1, VERI_TABANI!E27*(1-0.928)*0.00206091519919798*VERI_TABANI!G27, 0)) + ((MIN(VERI_TABANI!D28, VERI_TABANI!D28*B237)*VERI_TABANI!$B$7 + MAX(0, VERI_TABANI!D28*B237-VERI_TABANI!D28)*VERI_TABANI!$B$8) + (MIN(MAX(0, VERI_TABANI!D28-VERI_TABANI!D28*B237), VERI_TABANI!D28*C237)*VERI_TABANI!$B$7 + MAX(0, VERI_TABANI!D28*C237-MAX(0, VERI_TABANI!D28-VERI_TABANI!D28*B237))*VERI_TABANI!$B$8) + IF(ABS(IF(ISNUMBER(SEARCH("Var", D237)), 1, IF(ISNUMBER(SEARCH("Gri", D237)), -1, 0)))=1, VERI_TABANI!E28*(1-0.928)*VERI_TABANI!$B$9, 0) + (VERI_TABANI!D28*B237*(VERI_TABANI!$B$13-VERI_TABANI!$B$14)*VERI_TABANI!G28) + (VERI_TABANI!D28*C237*(VERI_TABANI!$B$13-VERI_TABANI!$B$15)*VERI_TABANI!G28) + IF(ABS(IF(ISNUMBER(SEARCH("Var", D237)), 1, IF(ISNUMBER(SEARCH("Gri", D237)), -1, 0)))=1, VERI_TABANI!E28*(1-0.928)*0.00206091519919798*VERI_TABANI!G28, 0)))</f>
        <v/>
      </c>
      <c r="H237" s="169">
        <f>(((VERI_TABANI!D23*B237*(VERI_TABANI!$B$13-VERI_TABANI!$B$14)) + (VERI_TABANI!D23*C237*(VERI_TABANI!$B$13-VERI_TABANI!$B$15)) + IF(ISNUMBER(SEARCH("Var", D237)), VERI_TABANI!F23*(0.00202-VERI_TABANI!$B$16), IF(ISNUMBER(SEARCH("Gri", D237)), VERI_TABANI!F23*(0.00202-VERI_TABANI!$B$17), 0))) + ((VERI_TABANI!D24*B237*(VERI_TABANI!$B$13-VERI_TABANI!$B$14)) + (VERI_TABANI!D24*C237*(VERI_TABANI!$B$13-VERI_TABANI!$B$15)) + IF(ISNUMBER(SEARCH("Var", D237)), VERI_TABANI!F24*(0.00202-VERI_TABANI!$B$16), IF(ISNUMBER(SEARCH("Gri", D237)), VERI_TABANI!F24*(0.00202-VERI_TABANI!$B$17), 0))) + ((VERI_TABANI!D25*B237*(VERI_TABANI!$B$13-VERI_TABANI!$B$14)) + (VERI_TABANI!D25*C237*(VERI_TABANI!$B$13-VERI_TABANI!$B$15)) + IF(ISNUMBER(SEARCH("Var", D237)), VERI_TABANI!F25*(0.00202-VERI_TABANI!$B$16), IF(ISNUMBER(SEARCH("Gri", D237)), VERI_TABANI!F25*(0.00202-VERI_TABANI!$B$17), 0))) + ((VERI_TABANI!D26*B237*(VERI_TABANI!$B$13-VERI_TABANI!$B$14)) + (VERI_TABANI!D26*C237*(VERI_TABANI!$B$13-VERI_TABANI!$B$15)) + IF(ISNUMBER(SEARCH("Var", D237)), VERI_TABANI!F26*(0.00202-VERI_TABANI!$B$16), IF(ISNUMBER(SEARCH("Gri", D237)), VERI_TABANI!F26*(0.00202-VERI_TABANI!$B$17), 0))) + ((VERI_TABANI!D27*B237*(VERI_TABANI!$B$13-VERI_TABANI!$B$14)) + (VERI_TABANI!D27*C237*(VERI_TABANI!$B$13-VERI_TABANI!$B$15)) + IF(ISNUMBER(SEARCH("Var", D237)), VERI_TABANI!F27*(0.00202-VERI_TABANI!$B$16), IF(ISNUMBER(SEARCH("Gri", D237)), VERI_TABANI!F27*(0.00202-VERI_TABANI!$B$17), 0))) + ((VERI_TABANI!D28*B237*(VERI_TABANI!$B$13-VERI_TABANI!$B$14)) + (VERI_TABANI!D28*C237*(VERI_TABANI!$B$13-VERI_TABANI!$B$15)) + IF(ISNUMBER(SEARCH("Var", D237)), VERI_TABANI!F28*(0.00202-VERI_TABANI!$B$16), IF(ISNUMBER(SEARCH("Gri", D237)), VERI_TABANI!F28*(0.00202-VERI_TABANI!$B$17), 0))))</f>
        <v/>
      </c>
      <c r="I237" s="170">
        <f>IFERROR(((VERI_TABANI!$D$29*B237*VERI_TABANI!$B$14 + VERI_TABANI!$D$29*C237*VERI_TABANI!$B$15 + IF(ISNUMBER(SEARCH("Var", D237)), VERI_TABANI!$F$29*VERI_TABANI!$B$16, 0))) / (((VERI_TABANI!$D$29*B237 + VERI_TABANI!$D$29*C237)*VERI_TABANI!$B$13 + IF(ISNUMBER(SEARCH("Var", D237)), VERI_TABANI!$E$29*(1-0.928)*VERI_TABANI!$B$18, 0))), 0)</f>
        <v/>
      </c>
      <c r="J237" s="171">
        <f>IFERROR(F237/(G237/29), 0)</f>
        <v/>
      </c>
      <c r="K237" s="172">
        <f>IF(F237&gt;0, H237/F237, 0)</f>
        <v/>
      </c>
      <c r="L237" s="170">
        <f>IF(F237&gt;0, I237, 1000000000)</f>
        <v/>
      </c>
      <c r="M237" s="171">
        <f>ABS((B237+C237)-1)</f>
        <v/>
      </c>
      <c r="N237" s="170">
        <f>IF(F237&gt;0, (G237/29)/F237, 0)</f>
        <v/>
      </c>
      <c r="O237" s="168">
        <f>IF(AND((B237+C237)&gt;=1, ISNUMBER(SEARCH("Var", D237))), F237, 1000000000)</f>
        <v/>
      </c>
      <c r="P237" s="172">
        <f>IF(F237&gt;0, SQRT((F237/MAX(F$5:F$886))^2 + (1 - H237/MAX(H$5:H$886))^2 + (J237/MAX(J$5:J$886))^2), 1000000000)</f>
        <v/>
      </c>
      <c r="Q237" s="166">
        <f>IF(AND(ABS(B237-0.5)&lt;0.01, ABS(C237-0.5)&lt;0.01, ISNUMBER(SEARCH("Var", D237))), 1, 0)</f>
        <v/>
      </c>
      <c r="R237" s="171">
        <f>IF(F237&gt;0, J237, 1000000000)</f>
        <v/>
      </c>
      <c r="S237" s="101">
        <f>IF(AND(F237&lt;=DASHBOARD!$B$11, H237&gt;=DASHBOARD!$B$13), G237, -1000000000000)</f>
        <v/>
      </c>
      <c r="T237" s="101">
        <f>IF(AND(F237&lt;=DASHBOARD!$B$11, H237&gt;=DASHBOARD!$B$13), R237, 1000000000000)</f>
        <v/>
      </c>
      <c r="U237" s="101">
        <f>IF(AND(F237&lt;=DASHBOARD!$B$11, H237&gt;=DASHBOARD!$B$13), N237, -1000000000000)</f>
        <v/>
      </c>
      <c r="V237" s="101">
        <f>IF(AND(F237&lt;=DASHBOARD!$B$11, H237&gt;=DASHBOARD!$B$13), H237, -1000000000000)</f>
        <v/>
      </c>
      <c r="W237" s="101">
        <f>IF(AND(F237&lt;=DASHBOARD!$B$11, H237&gt;=DASHBOARD!$B$13), K237, -1000000000000)</f>
        <v/>
      </c>
      <c r="X237" s="101">
        <f>IF(AND(F237&lt;=DASHBOARD!$B$11, H237&gt;=DASHBOARD!$B$13), M237, 1000000000000)</f>
        <v/>
      </c>
      <c r="Y237" s="101">
        <f>IF(AND(F237&lt;=DASHBOARD!$B$10, H237&gt;=DASHBOARD!$B$11), L237, 1000000000000)</f>
        <v/>
      </c>
      <c r="Z237" s="101">
        <f>IF(AND(F237&lt;=DASHBOARD!$B$10, H237&gt;=DASHBOARD!$B$11), O237, 1000000000000)</f>
        <v/>
      </c>
      <c r="AA237" s="101">
        <f>IF(AND(F237&lt;=DASHBOARD!$B$10, H237&gt;=DASHBOARD!$B$11), P237, 1000000000000)</f>
        <v/>
      </c>
      <c r="AB237" s="101">
        <f>IF(AND(F237&lt;=DASHBOARD!$B$10, H237&gt;=DASHBOARD!$B$11), Q237, -1000000000000)</f>
        <v/>
      </c>
    </row>
    <row r="238" ht="15" customHeight="1" s="102">
      <c r="A238" s="166" t="n">
        <v>234</v>
      </c>
      <c r="B238" s="167" t="n">
        <v>0.5</v>
      </c>
      <c r="C238" s="167" t="n">
        <v>1.1</v>
      </c>
      <c r="D238" s="110" t="inlineStr">
        <is>
          <t>Var (%20)</t>
        </is>
      </c>
      <c r="E238" s="110">
        <f>IF((B238+C238)&lt;=1, "Tam Mahsuplaşma (≤%100)", "Kısmi Satış (&gt;%100)")</f>
        <v/>
      </c>
      <c r="F238" s="168">
        <f>((VERI_TABANI!$D$29*B238/VERI_TABANI!$B$29)/VERI_TABANI!$B$3)*VERI_TABANI!$B$5 + ((VERI_TABANI!$D$29*C238/VERI_TABANI!$B$29)/VERI_TABANI!$B$4)*VERI_TABANI!$B$6 + IF(ISNUMBER(SEARCH("Var", D238)), (VERI_TABANI!$F$29/VERI_TABANI!$B$29)*(VERI_TABANI!$B$10+VERI_TABANI!$B$12), 0)</f>
        <v/>
      </c>
      <c r="G238" s="168">
        <f>(((MIN(VERI_TABANI!D23, VERI_TABANI!D23*B238)*VERI_TABANI!$B$7 + MAX(0, VERI_TABANI!D23*B238-VERI_TABANI!D23)*VERI_TABANI!$B$8) + (MIN(MAX(0, VERI_TABANI!D23-VERI_TABANI!D23*B238), VERI_TABANI!D23*C238)*VERI_TABANI!$B$7 + MAX(0, VERI_TABANI!D23*C238-MAX(0, VERI_TABANI!D23-VERI_TABANI!D23*B238))*VERI_TABANI!$B$8) + IF(ABS(IF(ISNUMBER(SEARCH("Var", D238)), 1, IF(ISNUMBER(SEARCH("Gri", D238)), -1, 0)))=1, VERI_TABANI!E23*(1-0.928)*VERI_TABANI!$B$9, 0) + (VERI_TABANI!D23*B238*(VERI_TABANI!$B$13-VERI_TABANI!$B$14)*VERI_TABANI!G23) + (VERI_TABANI!D23*C238*(VERI_TABANI!$B$13-VERI_TABANI!$B$15)*VERI_TABANI!G23) + IF(ABS(IF(ISNUMBER(SEARCH("Var", D238)), 1, IF(ISNUMBER(SEARCH("Gri", D238)), -1, 0)))=1, VERI_TABANI!E23*(1-0.928)*0.00206091519919798*VERI_TABANI!G23, 0)) + ((MIN(VERI_TABANI!D24, VERI_TABANI!D24*B238)*VERI_TABANI!$B$7 + MAX(0, VERI_TABANI!D24*B238-VERI_TABANI!D24)*VERI_TABANI!$B$8) + (MIN(MAX(0, VERI_TABANI!D24-VERI_TABANI!D24*B238), VERI_TABANI!D24*C238)*VERI_TABANI!$B$7 + MAX(0, VERI_TABANI!D24*C238-MAX(0, VERI_TABANI!D24-VERI_TABANI!D24*B238))*VERI_TABANI!$B$8) + IF(ABS(IF(ISNUMBER(SEARCH("Var", D238)), 1, IF(ISNUMBER(SEARCH("Gri", D238)), -1, 0)))=1, VERI_TABANI!E24*(1-0.928)*VERI_TABANI!$B$9, 0) + (VERI_TABANI!D24*B238*(VERI_TABANI!$B$13-VERI_TABANI!$B$14)*VERI_TABANI!G24) + (VERI_TABANI!D24*C238*(VERI_TABANI!$B$13-VERI_TABANI!$B$15)*VERI_TABANI!G24) + IF(ABS(IF(ISNUMBER(SEARCH("Var", D238)), 1, IF(ISNUMBER(SEARCH("Gri", D238)), -1, 0)))=1, VERI_TABANI!E24*(1-0.928)*0.00206091519919798*VERI_TABANI!G24, 0)) + ((MIN(VERI_TABANI!D25, VERI_TABANI!D25*B238)*VERI_TABANI!$B$7 + MAX(0, VERI_TABANI!D25*B238-VERI_TABANI!D25)*VERI_TABANI!$B$8) + (MIN(MAX(0, VERI_TABANI!D25-VERI_TABANI!D25*B238), VERI_TABANI!D25*C238)*VERI_TABANI!$B$7 + MAX(0, VERI_TABANI!D25*C238-MAX(0, VERI_TABANI!D25-VERI_TABANI!D25*B238))*VERI_TABANI!$B$8) + IF(ABS(IF(ISNUMBER(SEARCH("Var", D238)), 1, IF(ISNUMBER(SEARCH("Gri", D238)), -1, 0)))=1, VERI_TABANI!E25*(1-0.928)*VERI_TABANI!$B$9, 0) + (VERI_TABANI!D25*B238*(VERI_TABANI!$B$13-VERI_TABANI!$B$14)*VERI_TABANI!G25) + (VERI_TABANI!D25*C238*(VERI_TABANI!$B$13-VERI_TABANI!$B$15)*VERI_TABANI!G25) + IF(ABS(IF(ISNUMBER(SEARCH("Var", D238)), 1, IF(ISNUMBER(SEARCH("Gri", D238)), -1, 0)))=1, VERI_TABANI!E25*(1-0.928)*0.00206091519919798*VERI_TABANI!G25, 0)) + ((MIN(VERI_TABANI!D26, VERI_TABANI!D26*B238)*VERI_TABANI!$B$7 + MAX(0, VERI_TABANI!D26*B238-VERI_TABANI!D26)*VERI_TABANI!$B$8) + (MIN(MAX(0, VERI_TABANI!D26-VERI_TABANI!D26*B238), VERI_TABANI!D26*C238)*VERI_TABANI!$B$7 + MAX(0, VERI_TABANI!D26*C238-MAX(0, VERI_TABANI!D26-VERI_TABANI!D26*B238))*VERI_TABANI!$B$8) + IF(ABS(IF(ISNUMBER(SEARCH("Var", D238)), 1, IF(ISNUMBER(SEARCH("Gri", D238)), -1, 0)))=1, VERI_TABANI!E26*(1-0.928)*VERI_TABANI!$B$9, 0) + (VERI_TABANI!D26*B238*(VERI_TABANI!$B$13-VERI_TABANI!$B$14)*VERI_TABANI!G26) + (VERI_TABANI!D26*C238*(VERI_TABANI!$B$13-VERI_TABANI!$B$15)*VERI_TABANI!G26) + IF(ABS(IF(ISNUMBER(SEARCH("Var", D238)), 1, IF(ISNUMBER(SEARCH("Gri", D238)), -1, 0)))=1, VERI_TABANI!E26*(1-0.928)*0.00206091519919798*VERI_TABANI!G26, 0)) + ((MIN(VERI_TABANI!D27, VERI_TABANI!D27*B238)*VERI_TABANI!$B$7 + MAX(0, VERI_TABANI!D27*B238-VERI_TABANI!D27)*VERI_TABANI!$B$8) + (MIN(MAX(0, VERI_TABANI!D27-VERI_TABANI!D27*B238), VERI_TABANI!D27*C238)*VERI_TABANI!$B$7 + MAX(0, VERI_TABANI!D27*C238-MAX(0, VERI_TABANI!D27-VERI_TABANI!D27*B238))*VERI_TABANI!$B$8) + IF(ABS(IF(ISNUMBER(SEARCH("Var", D238)), 1, IF(ISNUMBER(SEARCH("Gri", D238)), -1, 0)))=1, VERI_TABANI!E27*(1-0.928)*VERI_TABANI!$B$9, 0) + (VERI_TABANI!D27*B238*(VERI_TABANI!$B$13-VERI_TABANI!$B$14)*VERI_TABANI!G27) + (VERI_TABANI!D27*C238*(VERI_TABANI!$B$13-VERI_TABANI!$B$15)*VERI_TABANI!G27) + IF(ABS(IF(ISNUMBER(SEARCH("Var", D238)), 1, IF(ISNUMBER(SEARCH("Gri", D238)), -1, 0)))=1, VERI_TABANI!E27*(1-0.928)*0.00206091519919798*VERI_TABANI!G27, 0)) + ((MIN(VERI_TABANI!D28, VERI_TABANI!D28*B238)*VERI_TABANI!$B$7 + MAX(0, VERI_TABANI!D28*B238-VERI_TABANI!D28)*VERI_TABANI!$B$8) + (MIN(MAX(0, VERI_TABANI!D28-VERI_TABANI!D28*B238), VERI_TABANI!D28*C238)*VERI_TABANI!$B$7 + MAX(0, VERI_TABANI!D28*C238-MAX(0, VERI_TABANI!D28-VERI_TABANI!D28*B238))*VERI_TABANI!$B$8) + IF(ABS(IF(ISNUMBER(SEARCH("Var", D238)), 1, IF(ISNUMBER(SEARCH("Gri", D238)), -1, 0)))=1, VERI_TABANI!E28*(1-0.928)*VERI_TABANI!$B$9, 0) + (VERI_TABANI!D28*B238*(VERI_TABANI!$B$13-VERI_TABANI!$B$14)*VERI_TABANI!G28) + (VERI_TABANI!D28*C238*(VERI_TABANI!$B$13-VERI_TABANI!$B$15)*VERI_TABANI!G28) + IF(ABS(IF(ISNUMBER(SEARCH("Var", D238)), 1, IF(ISNUMBER(SEARCH("Gri", D238)), -1, 0)))=1, VERI_TABANI!E28*(1-0.928)*0.00206091519919798*VERI_TABANI!G28, 0)))</f>
        <v/>
      </c>
      <c r="H238" s="169">
        <f>(((VERI_TABANI!D23*B238*(VERI_TABANI!$B$13-VERI_TABANI!$B$14)) + (VERI_TABANI!D23*C238*(VERI_TABANI!$B$13-VERI_TABANI!$B$15)) + IF(ISNUMBER(SEARCH("Var", D238)), VERI_TABANI!F23*(0.00202-VERI_TABANI!$B$16), IF(ISNUMBER(SEARCH("Gri", D238)), VERI_TABANI!F23*(0.00202-VERI_TABANI!$B$17), 0))) + ((VERI_TABANI!D24*B238*(VERI_TABANI!$B$13-VERI_TABANI!$B$14)) + (VERI_TABANI!D24*C238*(VERI_TABANI!$B$13-VERI_TABANI!$B$15)) + IF(ISNUMBER(SEARCH("Var", D238)), VERI_TABANI!F24*(0.00202-VERI_TABANI!$B$16), IF(ISNUMBER(SEARCH("Gri", D238)), VERI_TABANI!F24*(0.00202-VERI_TABANI!$B$17), 0))) + ((VERI_TABANI!D25*B238*(VERI_TABANI!$B$13-VERI_TABANI!$B$14)) + (VERI_TABANI!D25*C238*(VERI_TABANI!$B$13-VERI_TABANI!$B$15)) + IF(ISNUMBER(SEARCH("Var", D238)), VERI_TABANI!F25*(0.00202-VERI_TABANI!$B$16), IF(ISNUMBER(SEARCH("Gri", D238)), VERI_TABANI!F25*(0.00202-VERI_TABANI!$B$17), 0))) + ((VERI_TABANI!D26*B238*(VERI_TABANI!$B$13-VERI_TABANI!$B$14)) + (VERI_TABANI!D26*C238*(VERI_TABANI!$B$13-VERI_TABANI!$B$15)) + IF(ISNUMBER(SEARCH("Var", D238)), VERI_TABANI!F26*(0.00202-VERI_TABANI!$B$16), IF(ISNUMBER(SEARCH("Gri", D238)), VERI_TABANI!F26*(0.00202-VERI_TABANI!$B$17), 0))) + ((VERI_TABANI!D27*B238*(VERI_TABANI!$B$13-VERI_TABANI!$B$14)) + (VERI_TABANI!D27*C238*(VERI_TABANI!$B$13-VERI_TABANI!$B$15)) + IF(ISNUMBER(SEARCH("Var", D238)), VERI_TABANI!F27*(0.00202-VERI_TABANI!$B$16), IF(ISNUMBER(SEARCH("Gri", D238)), VERI_TABANI!F27*(0.00202-VERI_TABANI!$B$17), 0))) + ((VERI_TABANI!D28*B238*(VERI_TABANI!$B$13-VERI_TABANI!$B$14)) + (VERI_TABANI!D28*C238*(VERI_TABANI!$B$13-VERI_TABANI!$B$15)) + IF(ISNUMBER(SEARCH("Var", D238)), VERI_TABANI!F28*(0.00202-VERI_TABANI!$B$16), IF(ISNUMBER(SEARCH("Gri", D238)), VERI_TABANI!F28*(0.00202-VERI_TABANI!$B$17), 0))))</f>
        <v/>
      </c>
      <c r="I238" s="170">
        <f>IFERROR(((VERI_TABANI!$D$29*B238*VERI_TABANI!$B$14 + VERI_TABANI!$D$29*C238*VERI_TABANI!$B$15 + IF(ISNUMBER(SEARCH("Var", D238)), VERI_TABANI!$F$29*VERI_TABANI!$B$16, 0))) / (((VERI_TABANI!$D$29*B238 + VERI_TABANI!$D$29*C238)*VERI_TABANI!$B$13 + IF(ISNUMBER(SEARCH("Var", D238)), VERI_TABANI!$E$29*(1-0.928)*VERI_TABANI!$B$18, 0))), 0)</f>
        <v/>
      </c>
      <c r="J238" s="171">
        <f>IFERROR(F238/(G238/29), 0)</f>
        <v/>
      </c>
      <c r="K238" s="172">
        <f>IF(F238&gt;0, H238/F238, 0)</f>
        <v/>
      </c>
      <c r="L238" s="170">
        <f>IF(F238&gt;0, I238, 1000000000)</f>
        <v/>
      </c>
      <c r="M238" s="171">
        <f>ABS((B238+C238)-1)</f>
        <v/>
      </c>
      <c r="N238" s="170">
        <f>IF(F238&gt;0, (G238/29)/F238, 0)</f>
        <v/>
      </c>
      <c r="O238" s="168">
        <f>IF(AND((B238+C238)&gt;=1, ISNUMBER(SEARCH("Var", D238))), F238, 1000000000)</f>
        <v/>
      </c>
      <c r="P238" s="172">
        <f>IF(F238&gt;0, SQRT((F238/MAX(F$5:F$886))^2 + (1 - H238/MAX(H$5:H$886))^2 + (J238/MAX(J$5:J$886))^2), 1000000000)</f>
        <v/>
      </c>
      <c r="Q238" s="166">
        <f>IF(AND(ABS(B238-0.5)&lt;0.01, ABS(C238-0.5)&lt;0.01, ISNUMBER(SEARCH("Var", D238))), 1, 0)</f>
        <v/>
      </c>
      <c r="R238" s="171">
        <f>IF(F238&gt;0, J238, 1000000000)</f>
        <v/>
      </c>
      <c r="S238" s="101">
        <f>IF(AND(F238&lt;=DASHBOARD!$B$11, H238&gt;=DASHBOARD!$B$13), G238, -1000000000000)</f>
        <v/>
      </c>
      <c r="T238" s="101">
        <f>IF(AND(F238&lt;=DASHBOARD!$B$11, H238&gt;=DASHBOARD!$B$13), R238, 1000000000000)</f>
        <v/>
      </c>
      <c r="U238" s="101">
        <f>IF(AND(F238&lt;=DASHBOARD!$B$11, H238&gt;=DASHBOARD!$B$13), N238, -1000000000000)</f>
        <v/>
      </c>
      <c r="V238" s="101">
        <f>IF(AND(F238&lt;=DASHBOARD!$B$11, H238&gt;=DASHBOARD!$B$13), H238, -1000000000000)</f>
        <v/>
      </c>
      <c r="W238" s="101">
        <f>IF(AND(F238&lt;=DASHBOARD!$B$11, H238&gt;=DASHBOARD!$B$13), K238, -1000000000000)</f>
        <v/>
      </c>
      <c r="X238" s="101">
        <f>IF(AND(F238&lt;=DASHBOARD!$B$11, H238&gt;=DASHBOARD!$B$13), M238, 1000000000000)</f>
        <v/>
      </c>
      <c r="Y238" s="101">
        <f>IF(AND(F238&lt;=DASHBOARD!$B$10, H238&gt;=DASHBOARD!$B$11), L238, 1000000000000)</f>
        <v/>
      </c>
      <c r="Z238" s="101">
        <f>IF(AND(F238&lt;=DASHBOARD!$B$10, H238&gt;=DASHBOARD!$B$11), O238, 1000000000000)</f>
        <v/>
      </c>
      <c r="AA238" s="101">
        <f>IF(AND(F238&lt;=DASHBOARD!$B$10, H238&gt;=DASHBOARD!$B$11), P238, 1000000000000)</f>
        <v/>
      </c>
      <c r="AB238" s="101">
        <f>IF(AND(F238&lt;=DASHBOARD!$B$10, H238&gt;=DASHBOARD!$B$11), Q238, -1000000000000)</f>
        <v/>
      </c>
    </row>
    <row r="239" ht="15" customHeight="1" s="102">
      <c r="A239" s="166" t="n">
        <v>235</v>
      </c>
      <c r="B239" s="167" t="n">
        <v>0.5</v>
      </c>
      <c r="C239" s="167" t="n">
        <v>1.2</v>
      </c>
      <c r="D239" s="110" t="inlineStr">
        <is>
          <t>Yok (%0)</t>
        </is>
      </c>
      <c r="E239" s="110">
        <f>IF((B239+C239)&lt;=1, "Tam Mahsuplaşma (≤%100)", "Kısmi Satış (&gt;%100)")</f>
        <v/>
      </c>
      <c r="F239" s="168">
        <f>((VERI_TABANI!$D$29*B239/VERI_TABANI!$B$29)/VERI_TABANI!$B$3)*VERI_TABANI!$B$5 + ((VERI_TABANI!$D$29*C239/VERI_TABANI!$B$29)/VERI_TABANI!$B$4)*VERI_TABANI!$B$6 + IF(ISNUMBER(SEARCH("Var", D239)), (VERI_TABANI!$F$29/VERI_TABANI!$B$29)*(VERI_TABANI!$B$10+VERI_TABANI!$B$12), 0)</f>
        <v/>
      </c>
      <c r="G239" s="168">
        <f>(((MIN(VERI_TABANI!D23, VERI_TABANI!D23*B239)*VERI_TABANI!$B$7 + MAX(0, VERI_TABANI!D23*B239-VERI_TABANI!D23)*VERI_TABANI!$B$8) + (MIN(MAX(0, VERI_TABANI!D23-VERI_TABANI!D23*B239), VERI_TABANI!D23*C239)*VERI_TABANI!$B$7 + MAX(0, VERI_TABANI!D23*C239-MAX(0, VERI_TABANI!D23-VERI_TABANI!D23*B239))*VERI_TABANI!$B$8) + IF(ABS(IF(ISNUMBER(SEARCH("Var", D239)), 1, IF(ISNUMBER(SEARCH("Gri", D239)), -1, 0)))=1, VERI_TABANI!E23*(1-0.928)*VERI_TABANI!$B$9, 0) + (VERI_TABANI!D23*B239*(VERI_TABANI!$B$13-VERI_TABANI!$B$14)*VERI_TABANI!G23) + (VERI_TABANI!D23*C239*(VERI_TABANI!$B$13-VERI_TABANI!$B$15)*VERI_TABANI!G23) + IF(ABS(IF(ISNUMBER(SEARCH("Var", D239)), 1, IF(ISNUMBER(SEARCH("Gri", D239)), -1, 0)))=1, VERI_TABANI!E23*(1-0.928)*0.00206091519919798*VERI_TABANI!G23, 0)) + ((MIN(VERI_TABANI!D24, VERI_TABANI!D24*B239)*VERI_TABANI!$B$7 + MAX(0, VERI_TABANI!D24*B239-VERI_TABANI!D24)*VERI_TABANI!$B$8) + (MIN(MAX(0, VERI_TABANI!D24-VERI_TABANI!D24*B239), VERI_TABANI!D24*C239)*VERI_TABANI!$B$7 + MAX(0, VERI_TABANI!D24*C239-MAX(0, VERI_TABANI!D24-VERI_TABANI!D24*B239))*VERI_TABANI!$B$8) + IF(ABS(IF(ISNUMBER(SEARCH("Var", D239)), 1, IF(ISNUMBER(SEARCH("Gri", D239)), -1, 0)))=1, VERI_TABANI!E24*(1-0.928)*VERI_TABANI!$B$9, 0) + (VERI_TABANI!D24*B239*(VERI_TABANI!$B$13-VERI_TABANI!$B$14)*VERI_TABANI!G24) + (VERI_TABANI!D24*C239*(VERI_TABANI!$B$13-VERI_TABANI!$B$15)*VERI_TABANI!G24) + IF(ABS(IF(ISNUMBER(SEARCH("Var", D239)), 1, IF(ISNUMBER(SEARCH("Gri", D239)), -1, 0)))=1, VERI_TABANI!E24*(1-0.928)*0.00206091519919798*VERI_TABANI!G24, 0)) + ((MIN(VERI_TABANI!D25, VERI_TABANI!D25*B239)*VERI_TABANI!$B$7 + MAX(0, VERI_TABANI!D25*B239-VERI_TABANI!D25)*VERI_TABANI!$B$8) + (MIN(MAX(0, VERI_TABANI!D25-VERI_TABANI!D25*B239), VERI_TABANI!D25*C239)*VERI_TABANI!$B$7 + MAX(0, VERI_TABANI!D25*C239-MAX(0, VERI_TABANI!D25-VERI_TABANI!D25*B239))*VERI_TABANI!$B$8) + IF(ABS(IF(ISNUMBER(SEARCH("Var", D239)), 1, IF(ISNUMBER(SEARCH("Gri", D239)), -1, 0)))=1, VERI_TABANI!E25*(1-0.928)*VERI_TABANI!$B$9, 0) + (VERI_TABANI!D25*B239*(VERI_TABANI!$B$13-VERI_TABANI!$B$14)*VERI_TABANI!G25) + (VERI_TABANI!D25*C239*(VERI_TABANI!$B$13-VERI_TABANI!$B$15)*VERI_TABANI!G25) + IF(ABS(IF(ISNUMBER(SEARCH("Var", D239)), 1, IF(ISNUMBER(SEARCH("Gri", D239)), -1, 0)))=1, VERI_TABANI!E25*(1-0.928)*0.00206091519919798*VERI_TABANI!G25, 0)) + ((MIN(VERI_TABANI!D26, VERI_TABANI!D26*B239)*VERI_TABANI!$B$7 + MAX(0, VERI_TABANI!D26*B239-VERI_TABANI!D26)*VERI_TABANI!$B$8) + (MIN(MAX(0, VERI_TABANI!D26-VERI_TABANI!D26*B239), VERI_TABANI!D26*C239)*VERI_TABANI!$B$7 + MAX(0, VERI_TABANI!D26*C239-MAX(0, VERI_TABANI!D26-VERI_TABANI!D26*B239))*VERI_TABANI!$B$8) + IF(ABS(IF(ISNUMBER(SEARCH("Var", D239)), 1, IF(ISNUMBER(SEARCH("Gri", D239)), -1, 0)))=1, VERI_TABANI!E26*(1-0.928)*VERI_TABANI!$B$9, 0) + (VERI_TABANI!D26*B239*(VERI_TABANI!$B$13-VERI_TABANI!$B$14)*VERI_TABANI!G26) + (VERI_TABANI!D26*C239*(VERI_TABANI!$B$13-VERI_TABANI!$B$15)*VERI_TABANI!G26) + IF(ABS(IF(ISNUMBER(SEARCH("Var", D239)), 1, IF(ISNUMBER(SEARCH("Gri", D239)), -1, 0)))=1, VERI_TABANI!E26*(1-0.928)*0.00206091519919798*VERI_TABANI!G26, 0)) + ((MIN(VERI_TABANI!D27, VERI_TABANI!D27*B239)*VERI_TABANI!$B$7 + MAX(0, VERI_TABANI!D27*B239-VERI_TABANI!D27)*VERI_TABANI!$B$8) + (MIN(MAX(0, VERI_TABANI!D27-VERI_TABANI!D27*B239), VERI_TABANI!D27*C239)*VERI_TABANI!$B$7 + MAX(0, VERI_TABANI!D27*C239-MAX(0, VERI_TABANI!D27-VERI_TABANI!D27*B239))*VERI_TABANI!$B$8) + IF(ABS(IF(ISNUMBER(SEARCH("Var", D239)), 1, IF(ISNUMBER(SEARCH("Gri", D239)), -1, 0)))=1, VERI_TABANI!E27*(1-0.928)*VERI_TABANI!$B$9, 0) + (VERI_TABANI!D27*B239*(VERI_TABANI!$B$13-VERI_TABANI!$B$14)*VERI_TABANI!G27) + (VERI_TABANI!D27*C239*(VERI_TABANI!$B$13-VERI_TABANI!$B$15)*VERI_TABANI!G27) + IF(ABS(IF(ISNUMBER(SEARCH("Var", D239)), 1, IF(ISNUMBER(SEARCH("Gri", D239)), -1, 0)))=1, VERI_TABANI!E27*(1-0.928)*0.00206091519919798*VERI_TABANI!G27, 0)) + ((MIN(VERI_TABANI!D28, VERI_TABANI!D28*B239)*VERI_TABANI!$B$7 + MAX(0, VERI_TABANI!D28*B239-VERI_TABANI!D28)*VERI_TABANI!$B$8) + (MIN(MAX(0, VERI_TABANI!D28-VERI_TABANI!D28*B239), VERI_TABANI!D28*C239)*VERI_TABANI!$B$7 + MAX(0, VERI_TABANI!D28*C239-MAX(0, VERI_TABANI!D28-VERI_TABANI!D28*B239))*VERI_TABANI!$B$8) + IF(ABS(IF(ISNUMBER(SEARCH("Var", D239)), 1, IF(ISNUMBER(SEARCH("Gri", D239)), -1, 0)))=1, VERI_TABANI!E28*(1-0.928)*VERI_TABANI!$B$9, 0) + (VERI_TABANI!D28*B239*(VERI_TABANI!$B$13-VERI_TABANI!$B$14)*VERI_TABANI!G28) + (VERI_TABANI!D28*C239*(VERI_TABANI!$B$13-VERI_TABANI!$B$15)*VERI_TABANI!G28) + IF(ABS(IF(ISNUMBER(SEARCH("Var", D239)), 1, IF(ISNUMBER(SEARCH("Gri", D239)), -1, 0)))=1, VERI_TABANI!E28*(1-0.928)*0.00206091519919798*VERI_TABANI!G28, 0)))</f>
        <v/>
      </c>
      <c r="H239" s="169">
        <f>(((VERI_TABANI!D23*B239*(VERI_TABANI!$B$13-VERI_TABANI!$B$14)) + (VERI_TABANI!D23*C239*(VERI_TABANI!$B$13-VERI_TABANI!$B$15)) + IF(ISNUMBER(SEARCH("Var", D239)), VERI_TABANI!F23*(0.00202-VERI_TABANI!$B$16), IF(ISNUMBER(SEARCH("Gri", D239)), VERI_TABANI!F23*(0.00202-VERI_TABANI!$B$17), 0))) + ((VERI_TABANI!D24*B239*(VERI_TABANI!$B$13-VERI_TABANI!$B$14)) + (VERI_TABANI!D24*C239*(VERI_TABANI!$B$13-VERI_TABANI!$B$15)) + IF(ISNUMBER(SEARCH("Var", D239)), VERI_TABANI!F24*(0.00202-VERI_TABANI!$B$16), IF(ISNUMBER(SEARCH("Gri", D239)), VERI_TABANI!F24*(0.00202-VERI_TABANI!$B$17), 0))) + ((VERI_TABANI!D25*B239*(VERI_TABANI!$B$13-VERI_TABANI!$B$14)) + (VERI_TABANI!D25*C239*(VERI_TABANI!$B$13-VERI_TABANI!$B$15)) + IF(ISNUMBER(SEARCH("Var", D239)), VERI_TABANI!F25*(0.00202-VERI_TABANI!$B$16), IF(ISNUMBER(SEARCH("Gri", D239)), VERI_TABANI!F25*(0.00202-VERI_TABANI!$B$17), 0))) + ((VERI_TABANI!D26*B239*(VERI_TABANI!$B$13-VERI_TABANI!$B$14)) + (VERI_TABANI!D26*C239*(VERI_TABANI!$B$13-VERI_TABANI!$B$15)) + IF(ISNUMBER(SEARCH("Var", D239)), VERI_TABANI!F26*(0.00202-VERI_TABANI!$B$16), IF(ISNUMBER(SEARCH("Gri", D239)), VERI_TABANI!F26*(0.00202-VERI_TABANI!$B$17), 0))) + ((VERI_TABANI!D27*B239*(VERI_TABANI!$B$13-VERI_TABANI!$B$14)) + (VERI_TABANI!D27*C239*(VERI_TABANI!$B$13-VERI_TABANI!$B$15)) + IF(ISNUMBER(SEARCH("Var", D239)), VERI_TABANI!F27*(0.00202-VERI_TABANI!$B$16), IF(ISNUMBER(SEARCH("Gri", D239)), VERI_TABANI!F27*(0.00202-VERI_TABANI!$B$17), 0))) + ((VERI_TABANI!D28*B239*(VERI_TABANI!$B$13-VERI_TABANI!$B$14)) + (VERI_TABANI!D28*C239*(VERI_TABANI!$B$13-VERI_TABANI!$B$15)) + IF(ISNUMBER(SEARCH("Var", D239)), VERI_TABANI!F28*(0.00202-VERI_TABANI!$B$16), IF(ISNUMBER(SEARCH("Gri", D239)), VERI_TABANI!F28*(0.00202-VERI_TABANI!$B$17), 0))))</f>
        <v/>
      </c>
      <c r="I239" s="170">
        <f>IFERROR(((VERI_TABANI!$D$29*B239*VERI_TABANI!$B$14 + VERI_TABANI!$D$29*C239*VERI_TABANI!$B$15 + IF(ISNUMBER(SEARCH("Var", D239)), VERI_TABANI!$F$29*VERI_TABANI!$B$16, 0))) / (((VERI_TABANI!$D$29*B239 + VERI_TABANI!$D$29*C239)*VERI_TABANI!$B$13 + IF(ISNUMBER(SEARCH("Var", D239)), VERI_TABANI!$E$29*(1-0.928)*VERI_TABANI!$B$18, 0))), 0)</f>
        <v/>
      </c>
      <c r="J239" s="171">
        <f>IFERROR(F239/(G239/29), 0)</f>
        <v/>
      </c>
      <c r="K239" s="172">
        <f>IF(F239&gt;0, H239/F239, 0)</f>
        <v/>
      </c>
      <c r="L239" s="170">
        <f>IF(F239&gt;0, I239, 1000000000)</f>
        <v/>
      </c>
      <c r="M239" s="171">
        <f>ABS((B239+C239)-1)</f>
        <v/>
      </c>
      <c r="N239" s="170">
        <f>IF(F239&gt;0, (G239/29)/F239, 0)</f>
        <v/>
      </c>
      <c r="O239" s="168">
        <f>IF(AND((B239+C239)&gt;=1, ISNUMBER(SEARCH("Var", D239))), F239, 1000000000)</f>
        <v/>
      </c>
      <c r="P239" s="172">
        <f>IF(F239&gt;0, SQRT((F239/MAX(F$5:F$886))^2 + (1 - H239/MAX(H$5:H$886))^2 + (J239/MAX(J$5:J$886))^2), 1000000000)</f>
        <v/>
      </c>
      <c r="Q239" s="166">
        <f>IF(AND(ABS(B239-0.5)&lt;0.01, ABS(C239-0.5)&lt;0.01, ISNUMBER(SEARCH("Var", D239))), 1, 0)</f>
        <v/>
      </c>
      <c r="R239" s="171">
        <f>IF(F239&gt;0, J239, 1000000000)</f>
        <v/>
      </c>
      <c r="S239" s="101">
        <f>IF(AND(F239&lt;=DASHBOARD!$B$11, H239&gt;=DASHBOARD!$B$13), G239, -1000000000000)</f>
        <v/>
      </c>
      <c r="T239" s="101">
        <f>IF(AND(F239&lt;=DASHBOARD!$B$11, H239&gt;=DASHBOARD!$B$13), R239, 1000000000000)</f>
        <v/>
      </c>
      <c r="U239" s="101">
        <f>IF(AND(F239&lt;=DASHBOARD!$B$11, H239&gt;=DASHBOARD!$B$13), N239, -1000000000000)</f>
        <v/>
      </c>
      <c r="V239" s="101">
        <f>IF(AND(F239&lt;=DASHBOARD!$B$11, H239&gt;=DASHBOARD!$B$13), H239, -1000000000000)</f>
        <v/>
      </c>
      <c r="W239" s="101">
        <f>IF(AND(F239&lt;=DASHBOARD!$B$11, H239&gt;=DASHBOARD!$B$13), K239, -1000000000000)</f>
        <v/>
      </c>
      <c r="X239" s="101">
        <f>IF(AND(F239&lt;=DASHBOARD!$B$11, H239&gt;=DASHBOARD!$B$13), M239, 1000000000000)</f>
        <v/>
      </c>
      <c r="Y239" s="101">
        <f>IF(AND(F239&lt;=DASHBOARD!$B$10, H239&gt;=DASHBOARD!$B$11), L239, 1000000000000)</f>
        <v/>
      </c>
      <c r="Z239" s="101">
        <f>IF(AND(F239&lt;=DASHBOARD!$B$10, H239&gt;=DASHBOARD!$B$11), O239, 1000000000000)</f>
        <v/>
      </c>
      <c r="AA239" s="101">
        <f>IF(AND(F239&lt;=DASHBOARD!$B$10, H239&gt;=DASHBOARD!$B$11), P239, 1000000000000)</f>
        <v/>
      </c>
      <c r="AB239" s="101">
        <f>IF(AND(F239&lt;=DASHBOARD!$B$10, H239&gt;=DASHBOARD!$B$11), Q239, -1000000000000)</f>
        <v/>
      </c>
    </row>
    <row r="240" ht="15" customHeight="1" s="102">
      <c r="A240" s="166" t="n">
        <v>236</v>
      </c>
      <c r="B240" s="167" t="n">
        <v>0.5</v>
      </c>
      <c r="C240" s="167" t="n">
        <v>1.2</v>
      </c>
      <c r="D240" s="110" t="inlineStr">
        <is>
          <t>Var (%20)</t>
        </is>
      </c>
      <c r="E240" s="110">
        <f>IF((B240+C240)&lt;=1, "Tam Mahsuplaşma (≤%100)", "Kısmi Satış (&gt;%100)")</f>
        <v/>
      </c>
      <c r="F240" s="168">
        <f>((VERI_TABANI!$D$29*B240/VERI_TABANI!$B$29)/VERI_TABANI!$B$3)*VERI_TABANI!$B$5 + ((VERI_TABANI!$D$29*C240/VERI_TABANI!$B$29)/VERI_TABANI!$B$4)*VERI_TABANI!$B$6 + IF(ISNUMBER(SEARCH("Var", D240)), (VERI_TABANI!$F$29/VERI_TABANI!$B$29)*(VERI_TABANI!$B$10+VERI_TABANI!$B$12), 0)</f>
        <v/>
      </c>
      <c r="G240" s="168">
        <f>(((MIN(VERI_TABANI!D23, VERI_TABANI!D23*B240)*VERI_TABANI!$B$7 + MAX(0, VERI_TABANI!D23*B240-VERI_TABANI!D23)*VERI_TABANI!$B$8) + (MIN(MAX(0, VERI_TABANI!D23-VERI_TABANI!D23*B240), VERI_TABANI!D23*C240)*VERI_TABANI!$B$7 + MAX(0, VERI_TABANI!D23*C240-MAX(0, VERI_TABANI!D23-VERI_TABANI!D23*B240))*VERI_TABANI!$B$8) + IF(ABS(IF(ISNUMBER(SEARCH("Var", D240)), 1, IF(ISNUMBER(SEARCH("Gri", D240)), -1, 0)))=1, VERI_TABANI!E23*(1-0.928)*VERI_TABANI!$B$9, 0) + (VERI_TABANI!D23*B240*(VERI_TABANI!$B$13-VERI_TABANI!$B$14)*VERI_TABANI!G23) + (VERI_TABANI!D23*C240*(VERI_TABANI!$B$13-VERI_TABANI!$B$15)*VERI_TABANI!G23) + IF(ABS(IF(ISNUMBER(SEARCH("Var", D240)), 1, IF(ISNUMBER(SEARCH("Gri", D240)), -1, 0)))=1, VERI_TABANI!E23*(1-0.928)*0.00206091519919798*VERI_TABANI!G23, 0)) + ((MIN(VERI_TABANI!D24, VERI_TABANI!D24*B240)*VERI_TABANI!$B$7 + MAX(0, VERI_TABANI!D24*B240-VERI_TABANI!D24)*VERI_TABANI!$B$8) + (MIN(MAX(0, VERI_TABANI!D24-VERI_TABANI!D24*B240), VERI_TABANI!D24*C240)*VERI_TABANI!$B$7 + MAX(0, VERI_TABANI!D24*C240-MAX(0, VERI_TABANI!D24-VERI_TABANI!D24*B240))*VERI_TABANI!$B$8) + IF(ABS(IF(ISNUMBER(SEARCH("Var", D240)), 1, IF(ISNUMBER(SEARCH("Gri", D240)), -1, 0)))=1, VERI_TABANI!E24*(1-0.928)*VERI_TABANI!$B$9, 0) + (VERI_TABANI!D24*B240*(VERI_TABANI!$B$13-VERI_TABANI!$B$14)*VERI_TABANI!G24) + (VERI_TABANI!D24*C240*(VERI_TABANI!$B$13-VERI_TABANI!$B$15)*VERI_TABANI!G24) + IF(ABS(IF(ISNUMBER(SEARCH("Var", D240)), 1, IF(ISNUMBER(SEARCH("Gri", D240)), -1, 0)))=1, VERI_TABANI!E24*(1-0.928)*0.00206091519919798*VERI_TABANI!G24, 0)) + ((MIN(VERI_TABANI!D25, VERI_TABANI!D25*B240)*VERI_TABANI!$B$7 + MAX(0, VERI_TABANI!D25*B240-VERI_TABANI!D25)*VERI_TABANI!$B$8) + (MIN(MAX(0, VERI_TABANI!D25-VERI_TABANI!D25*B240), VERI_TABANI!D25*C240)*VERI_TABANI!$B$7 + MAX(0, VERI_TABANI!D25*C240-MAX(0, VERI_TABANI!D25-VERI_TABANI!D25*B240))*VERI_TABANI!$B$8) + IF(ABS(IF(ISNUMBER(SEARCH("Var", D240)), 1, IF(ISNUMBER(SEARCH("Gri", D240)), -1, 0)))=1, VERI_TABANI!E25*(1-0.928)*VERI_TABANI!$B$9, 0) + (VERI_TABANI!D25*B240*(VERI_TABANI!$B$13-VERI_TABANI!$B$14)*VERI_TABANI!G25) + (VERI_TABANI!D25*C240*(VERI_TABANI!$B$13-VERI_TABANI!$B$15)*VERI_TABANI!G25) + IF(ABS(IF(ISNUMBER(SEARCH("Var", D240)), 1, IF(ISNUMBER(SEARCH("Gri", D240)), -1, 0)))=1, VERI_TABANI!E25*(1-0.928)*0.00206091519919798*VERI_TABANI!G25, 0)) + ((MIN(VERI_TABANI!D26, VERI_TABANI!D26*B240)*VERI_TABANI!$B$7 + MAX(0, VERI_TABANI!D26*B240-VERI_TABANI!D26)*VERI_TABANI!$B$8) + (MIN(MAX(0, VERI_TABANI!D26-VERI_TABANI!D26*B240), VERI_TABANI!D26*C240)*VERI_TABANI!$B$7 + MAX(0, VERI_TABANI!D26*C240-MAX(0, VERI_TABANI!D26-VERI_TABANI!D26*B240))*VERI_TABANI!$B$8) + IF(ABS(IF(ISNUMBER(SEARCH("Var", D240)), 1, IF(ISNUMBER(SEARCH("Gri", D240)), -1, 0)))=1, VERI_TABANI!E26*(1-0.928)*VERI_TABANI!$B$9, 0) + (VERI_TABANI!D26*B240*(VERI_TABANI!$B$13-VERI_TABANI!$B$14)*VERI_TABANI!G26) + (VERI_TABANI!D26*C240*(VERI_TABANI!$B$13-VERI_TABANI!$B$15)*VERI_TABANI!G26) + IF(ABS(IF(ISNUMBER(SEARCH("Var", D240)), 1, IF(ISNUMBER(SEARCH("Gri", D240)), -1, 0)))=1, VERI_TABANI!E26*(1-0.928)*0.00206091519919798*VERI_TABANI!G26, 0)) + ((MIN(VERI_TABANI!D27, VERI_TABANI!D27*B240)*VERI_TABANI!$B$7 + MAX(0, VERI_TABANI!D27*B240-VERI_TABANI!D27)*VERI_TABANI!$B$8) + (MIN(MAX(0, VERI_TABANI!D27-VERI_TABANI!D27*B240), VERI_TABANI!D27*C240)*VERI_TABANI!$B$7 + MAX(0, VERI_TABANI!D27*C240-MAX(0, VERI_TABANI!D27-VERI_TABANI!D27*B240))*VERI_TABANI!$B$8) + IF(ABS(IF(ISNUMBER(SEARCH("Var", D240)), 1, IF(ISNUMBER(SEARCH("Gri", D240)), -1, 0)))=1, VERI_TABANI!E27*(1-0.928)*VERI_TABANI!$B$9, 0) + (VERI_TABANI!D27*B240*(VERI_TABANI!$B$13-VERI_TABANI!$B$14)*VERI_TABANI!G27) + (VERI_TABANI!D27*C240*(VERI_TABANI!$B$13-VERI_TABANI!$B$15)*VERI_TABANI!G27) + IF(ABS(IF(ISNUMBER(SEARCH("Var", D240)), 1, IF(ISNUMBER(SEARCH("Gri", D240)), -1, 0)))=1, VERI_TABANI!E27*(1-0.928)*0.00206091519919798*VERI_TABANI!G27, 0)) + ((MIN(VERI_TABANI!D28, VERI_TABANI!D28*B240)*VERI_TABANI!$B$7 + MAX(0, VERI_TABANI!D28*B240-VERI_TABANI!D28)*VERI_TABANI!$B$8) + (MIN(MAX(0, VERI_TABANI!D28-VERI_TABANI!D28*B240), VERI_TABANI!D28*C240)*VERI_TABANI!$B$7 + MAX(0, VERI_TABANI!D28*C240-MAX(0, VERI_TABANI!D28-VERI_TABANI!D28*B240))*VERI_TABANI!$B$8) + IF(ABS(IF(ISNUMBER(SEARCH("Var", D240)), 1, IF(ISNUMBER(SEARCH("Gri", D240)), -1, 0)))=1, VERI_TABANI!E28*(1-0.928)*VERI_TABANI!$B$9, 0) + (VERI_TABANI!D28*B240*(VERI_TABANI!$B$13-VERI_TABANI!$B$14)*VERI_TABANI!G28) + (VERI_TABANI!D28*C240*(VERI_TABANI!$B$13-VERI_TABANI!$B$15)*VERI_TABANI!G28) + IF(ABS(IF(ISNUMBER(SEARCH("Var", D240)), 1, IF(ISNUMBER(SEARCH("Gri", D240)), -1, 0)))=1, VERI_TABANI!E28*(1-0.928)*0.00206091519919798*VERI_TABANI!G28, 0)))</f>
        <v/>
      </c>
      <c r="H240" s="169">
        <f>(((VERI_TABANI!D23*B240*(VERI_TABANI!$B$13-VERI_TABANI!$B$14)) + (VERI_TABANI!D23*C240*(VERI_TABANI!$B$13-VERI_TABANI!$B$15)) + IF(ISNUMBER(SEARCH("Var", D240)), VERI_TABANI!F23*(0.00202-VERI_TABANI!$B$16), IF(ISNUMBER(SEARCH("Gri", D240)), VERI_TABANI!F23*(0.00202-VERI_TABANI!$B$17), 0))) + ((VERI_TABANI!D24*B240*(VERI_TABANI!$B$13-VERI_TABANI!$B$14)) + (VERI_TABANI!D24*C240*(VERI_TABANI!$B$13-VERI_TABANI!$B$15)) + IF(ISNUMBER(SEARCH("Var", D240)), VERI_TABANI!F24*(0.00202-VERI_TABANI!$B$16), IF(ISNUMBER(SEARCH("Gri", D240)), VERI_TABANI!F24*(0.00202-VERI_TABANI!$B$17), 0))) + ((VERI_TABANI!D25*B240*(VERI_TABANI!$B$13-VERI_TABANI!$B$14)) + (VERI_TABANI!D25*C240*(VERI_TABANI!$B$13-VERI_TABANI!$B$15)) + IF(ISNUMBER(SEARCH("Var", D240)), VERI_TABANI!F25*(0.00202-VERI_TABANI!$B$16), IF(ISNUMBER(SEARCH("Gri", D240)), VERI_TABANI!F25*(0.00202-VERI_TABANI!$B$17), 0))) + ((VERI_TABANI!D26*B240*(VERI_TABANI!$B$13-VERI_TABANI!$B$14)) + (VERI_TABANI!D26*C240*(VERI_TABANI!$B$13-VERI_TABANI!$B$15)) + IF(ISNUMBER(SEARCH("Var", D240)), VERI_TABANI!F26*(0.00202-VERI_TABANI!$B$16), IF(ISNUMBER(SEARCH("Gri", D240)), VERI_TABANI!F26*(0.00202-VERI_TABANI!$B$17), 0))) + ((VERI_TABANI!D27*B240*(VERI_TABANI!$B$13-VERI_TABANI!$B$14)) + (VERI_TABANI!D27*C240*(VERI_TABANI!$B$13-VERI_TABANI!$B$15)) + IF(ISNUMBER(SEARCH("Var", D240)), VERI_TABANI!F27*(0.00202-VERI_TABANI!$B$16), IF(ISNUMBER(SEARCH("Gri", D240)), VERI_TABANI!F27*(0.00202-VERI_TABANI!$B$17), 0))) + ((VERI_TABANI!D28*B240*(VERI_TABANI!$B$13-VERI_TABANI!$B$14)) + (VERI_TABANI!D28*C240*(VERI_TABANI!$B$13-VERI_TABANI!$B$15)) + IF(ISNUMBER(SEARCH("Var", D240)), VERI_TABANI!F28*(0.00202-VERI_TABANI!$B$16), IF(ISNUMBER(SEARCH("Gri", D240)), VERI_TABANI!F28*(0.00202-VERI_TABANI!$B$17), 0))))</f>
        <v/>
      </c>
      <c r="I240" s="170">
        <f>IFERROR(((VERI_TABANI!$D$29*B240*VERI_TABANI!$B$14 + VERI_TABANI!$D$29*C240*VERI_TABANI!$B$15 + IF(ISNUMBER(SEARCH("Var", D240)), VERI_TABANI!$F$29*VERI_TABANI!$B$16, 0))) / (((VERI_TABANI!$D$29*B240 + VERI_TABANI!$D$29*C240)*VERI_TABANI!$B$13 + IF(ISNUMBER(SEARCH("Var", D240)), VERI_TABANI!$E$29*(1-0.928)*VERI_TABANI!$B$18, 0))), 0)</f>
        <v/>
      </c>
      <c r="J240" s="171">
        <f>IFERROR(F240/(G240/29), 0)</f>
        <v/>
      </c>
      <c r="K240" s="172">
        <f>IF(F240&gt;0, H240/F240, 0)</f>
        <v/>
      </c>
      <c r="L240" s="170">
        <f>IF(F240&gt;0, I240, 1000000000)</f>
        <v/>
      </c>
      <c r="M240" s="171">
        <f>ABS((B240+C240)-1)</f>
        <v/>
      </c>
      <c r="N240" s="170">
        <f>IF(F240&gt;0, (G240/29)/F240, 0)</f>
        <v/>
      </c>
      <c r="O240" s="168">
        <f>IF(AND((B240+C240)&gt;=1, ISNUMBER(SEARCH("Var", D240))), F240, 1000000000)</f>
        <v/>
      </c>
      <c r="P240" s="172">
        <f>IF(F240&gt;0, SQRT((F240/MAX(F$5:F$886))^2 + (1 - H240/MAX(H$5:H$886))^2 + (J240/MAX(J$5:J$886))^2), 1000000000)</f>
        <v/>
      </c>
      <c r="Q240" s="166">
        <f>IF(AND(ABS(B240-0.5)&lt;0.01, ABS(C240-0.5)&lt;0.01, ISNUMBER(SEARCH("Var", D240))), 1, 0)</f>
        <v/>
      </c>
      <c r="R240" s="171">
        <f>IF(F240&gt;0, J240, 1000000000)</f>
        <v/>
      </c>
      <c r="S240" s="101">
        <f>IF(AND(F240&lt;=DASHBOARD!$B$11, H240&gt;=DASHBOARD!$B$13), G240, -1000000000000)</f>
        <v/>
      </c>
      <c r="T240" s="101">
        <f>IF(AND(F240&lt;=DASHBOARD!$B$11, H240&gt;=DASHBOARD!$B$13), R240, 1000000000000)</f>
        <v/>
      </c>
      <c r="U240" s="101">
        <f>IF(AND(F240&lt;=DASHBOARD!$B$11, H240&gt;=DASHBOARD!$B$13), N240, -1000000000000)</f>
        <v/>
      </c>
      <c r="V240" s="101">
        <f>IF(AND(F240&lt;=DASHBOARD!$B$11, H240&gt;=DASHBOARD!$B$13), H240, -1000000000000)</f>
        <v/>
      </c>
      <c r="W240" s="101">
        <f>IF(AND(F240&lt;=DASHBOARD!$B$11, H240&gt;=DASHBOARD!$B$13), K240, -1000000000000)</f>
        <v/>
      </c>
      <c r="X240" s="101">
        <f>IF(AND(F240&lt;=DASHBOARD!$B$11, H240&gt;=DASHBOARD!$B$13), M240, 1000000000000)</f>
        <v/>
      </c>
      <c r="Y240" s="101">
        <f>IF(AND(F240&lt;=DASHBOARD!$B$10, H240&gt;=DASHBOARD!$B$11), L240, 1000000000000)</f>
        <v/>
      </c>
      <c r="Z240" s="101">
        <f>IF(AND(F240&lt;=DASHBOARD!$B$10, H240&gt;=DASHBOARD!$B$11), O240, 1000000000000)</f>
        <v/>
      </c>
      <c r="AA240" s="101">
        <f>IF(AND(F240&lt;=DASHBOARD!$B$10, H240&gt;=DASHBOARD!$B$11), P240, 1000000000000)</f>
        <v/>
      </c>
      <c r="AB240" s="101">
        <f>IF(AND(F240&lt;=DASHBOARD!$B$10, H240&gt;=DASHBOARD!$B$11), Q240, -1000000000000)</f>
        <v/>
      </c>
    </row>
    <row r="241" ht="15" customHeight="1" s="102">
      <c r="A241" s="166" t="n">
        <v>237</v>
      </c>
      <c r="B241" s="167" t="n">
        <v>0.5</v>
      </c>
      <c r="C241" s="167" t="n">
        <v>1.3</v>
      </c>
      <c r="D241" s="110" t="inlineStr">
        <is>
          <t>Yok (%0)</t>
        </is>
      </c>
      <c r="E241" s="110">
        <f>IF((B241+C241)&lt;=1, "Tam Mahsuplaşma (≤%100)", "Kısmi Satış (&gt;%100)")</f>
        <v/>
      </c>
      <c r="F241" s="168">
        <f>((VERI_TABANI!$D$29*B241/VERI_TABANI!$B$29)/VERI_TABANI!$B$3)*VERI_TABANI!$B$5 + ((VERI_TABANI!$D$29*C241/VERI_TABANI!$B$29)/VERI_TABANI!$B$4)*VERI_TABANI!$B$6 + IF(ISNUMBER(SEARCH("Var", D241)), (VERI_TABANI!$F$29/VERI_TABANI!$B$29)*(VERI_TABANI!$B$10+VERI_TABANI!$B$12), 0)</f>
        <v/>
      </c>
      <c r="G241" s="168">
        <f>(((MIN(VERI_TABANI!D23, VERI_TABANI!D23*B241)*VERI_TABANI!$B$7 + MAX(0, VERI_TABANI!D23*B241-VERI_TABANI!D23)*VERI_TABANI!$B$8) + (MIN(MAX(0, VERI_TABANI!D23-VERI_TABANI!D23*B241), VERI_TABANI!D23*C241)*VERI_TABANI!$B$7 + MAX(0, VERI_TABANI!D23*C241-MAX(0, VERI_TABANI!D23-VERI_TABANI!D23*B241))*VERI_TABANI!$B$8) + IF(ABS(IF(ISNUMBER(SEARCH("Var", D241)), 1, IF(ISNUMBER(SEARCH("Gri", D241)), -1, 0)))=1, VERI_TABANI!E23*(1-0.928)*VERI_TABANI!$B$9, 0) + (VERI_TABANI!D23*B241*(VERI_TABANI!$B$13-VERI_TABANI!$B$14)*VERI_TABANI!G23) + (VERI_TABANI!D23*C241*(VERI_TABANI!$B$13-VERI_TABANI!$B$15)*VERI_TABANI!G23) + IF(ABS(IF(ISNUMBER(SEARCH("Var", D241)), 1, IF(ISNUMBER(SEARCH("Gri", D241)), -1, 0)))=1, VERI_TABANI!E23*(1-0.928)*0.00206091519919798*VERI_TABANI!G23, 0)) + ((MIN(VERI_TABANI!D24, VERI_TABANI!D24*B241)*VERI_TABANI!$B$7 + MAX(0, VERI_TABANI!D24*B241-VERI_TABANI!D24)*VERI_TABANI!$B$8) + (MIN(MAX(0, VERI_TABANI!D24-VERI_TABANI!D24*B241), VERI_TABANI!D24*C241)*VERI_TABANI!$B$7 + MAX(0, VERI_TABANI!D24*C241-MAX(0, VERI_TABANI!D24-VERI_TABANI!D24*B241))*VERI_TABANI!$B$8) + IF(ABS(IF(ISNUMBER(SEARCH("Var", D241)), 1, IF(ISNUMBER(SEARCH("Gri", D241)), -1, 0)))=1, VERI_TABANI!E24*(1-0.928)*VERI_TABANI!$B$9, 0) + (VERI_TABANI!D24*B241*(VERI_TABANI!$B$13-VERI_TABANI!$B$14)*VERI_TABANI!G24) + (VERI_TABANI!D24*C241*(VERI_TABANI!$B$13-VERI_TABANI!$B$15)*VERI_TABANI!G24) + IF(ABS(IF(ISNUMBER(SEARCH("Var", D241)), 1, IF(ISNUMBER(SEARCH("Gri", D241)), -1, 0)))=1, VERI_TABANI!E24*(1-0.928)*0.00206091519919798*VERI_TABANI!G24, 0)) + ((MIN(VERI_TABANI!D25, VERI_TABANI!D25*B241)*VERI_TABANI!$B$7 + MAX(0, VERI_TABANI!D25*B241-VERI_TABANI!D25)*VERI_TABANI!$B$8) + (MIN(MAX(0, VERI_TABANI!D25-VERI_TABANI!D25*B241), VERI_TABANI!D25*C241)*VERI_TABANI!$B$7 + MAX(0, VERI_TABANI!D25*C241-MAX(0, VERI_TABANI!D25-VERI_TABANI!D25*B241))*VERI_TABANI!$B$8) + IF(ABS(IF(ISNUMBER(SEARCH("Var", D241)), 1, IF(ISNUMBER(SEARCH("Gri", D241)), -1, 0)))=1, VERI_TABANI!E25*(1-0.928)*VERI_TABANI!$B$9, 0) + (VERI_TABANI!D25*B241*(VERI_TABANI!$B$13-VERI_TABANI!$B$14)*VERI_TABANI!G25) + (VERI_TABANI!D25*C241*(VERI_TABANI!$B$13-VERI_TABANI!$B$15)*VERI_TABANI!G25) + IF(ABS(IF(ISNUMBER(SEARCH("Var", D241)), 1, IF(ISNUMBER(SEARCH("Gri", D241)), -1, 0)))=1, VERI_TABANI!E25*(1-0.928)*0.00206091519919798*VERI_TABANI!G25, 0)) + ((MIN(VERI_TABANI!D26, VERI_TABANI!D26*B241)*VERI_TABANI!$B$7 + MAX(0, VERI_TABANI!D26*B241-VERI_TABANI!D26)*VERI_TABANI!$B$8) + (MIN(MAX(0, VERI_TABANI!D26-VERI_TABANI!D26*B241), VERI_TABANI!D26*C241)*VERI_TABANI!$B$7 + MAX(0, VERI_TABANI!D26*C241-MAX(0, VERI_TABANI!D26-VERI_TABANI!D26*B241))*VERI_TABANI!$B$8) + IF(ABS(IF(ISNUMBER(SEARCH("Var", D241)), 1, IF(ISNUMBER(SEARCH("Gri", D241)), -1, 0)))=1, VERI_TABANI!E26*(1-0.928)*VERI_TABANI!$B$9, 0) + (VERI_TABANI!D26*B241*(VERI_TABANI!$B$13-VERI_TABANI!$B$14)*VERI_TABANI!G26) + (VERI_TABANI!D26*C241*(VERI_TABANI!$B$13-VERI_TABANI!$B$15)*VERI_TABANI!G26) + IF(ABS(IF(ISNUMBER(SEARCH("Var", D241)), 1, IF(ISNUMBER(SEARCH("Gri", D241)), -1, 0)))=1, VERI_TABANI!E26*(1-0.928)*0.00206091519919798*VERI_TABANI!G26, 0)) + ((MIN(VERI_TABANI!D27, VERI_TABANI!D27*B241)*VERI_TABANI!$B$7 + MAX(0, VERI_TABANI!D27*B241-VERI_TABANI!D27)*VERI_TABANI!$B$8) + (MIN(MAX(0, VERI_TABANI!D27-VERI_TABANI!D27*B241), VERI_TABANI!D27*C241)*VERI_TABANI!$B$7 + MAX(0, VERI_TABANI!D27*C241-MAX(0, VERI_TABANI!D27-VERI_TABANI!D27*B241))*VERI_TABANI!$B$8) + IF(ABS(IF(ISNUMBER(SEARCH("Var", D241)), 1, IF(ISNUMBER(SEARCH("Gri", D241)), -1, 0)))=1, VERI_TABANI!E27*(1-0.928)*VERI_TABANI!$B$9, 0) + (VERI_TABANI!D27*B241*(VERI_TABANI!$B$13-VERI_TABANI!$B$14)*VERI_TABANI!G27) + (VERI_TABANI!D27*C241*(VERI_TABANI!$B$13-VERI_TABANI!$B$15)*VERI_TABANI!G27) + IF(ABS(IF(ISNUMBER(SEARCH("Var", D241)), 1, IF(ISNUMBER(SEARCH("Gri", D241)), -1, 0)))=1, VERI_TABANI!E27*(1-0.928)*0.00206091519919798*VERI_TABANI!G27, 0)) + ((MIN(VERI_TABANI!D28, VERI_TABANI!D28*B241)*VERI_TABANI!$B$7 + MAX(0, VERI_TABANI!D28*B241-VERI_TABANI!D28)*VERI_TABANI!$B$8) + (MIN(MAX(0, VERI_TABANI!D28-VERI_TABANI!D28*B241), VERI_TABANI!D28*C241)*VERI_TABANI!$B$7 + MAX(0, VERI_TABANI!D28*C241-MAX(0, VERI_TABANI!D28-VERI_TABANI!D28*B241))*VERI_TABANI!$B$8) + IF(ABS(IF(ISNUMBER(SEARCH("Var", D241)), 1, IF(ISNUMBER(SEARCH("Gri", D241)), -1, 0)))=1, VERI_TABANI!E28*(1-0.928)*VERI_TABANI!$B$9, 0) + (VERI_TABANI!D28*B241*(VERI_TABANI!$B$13-VERI_TABANI!$B$14)*VERI_TABANI!G28) + (VERI_TABANI!D28*C241*(VERI_TABANI!$B$13-VERI_TABANI!$B$15)*VERI_TABANI!G28) + IF(ABS(IF(ISNUMBER(SEARCH("Var", D241)), 1, IF(ISNUMBER(SEARCH("Gri", D241)), -1, 0)))=1, VERI_TABANI!E28*(1-0.928)*0.00206091519919798*VERI_TABANI!G28, 0)))</f>
        <v/>
      </c>
      <c r="H241" s="169">
        <f>(((VERI_TABANI!D23*B241*(VERI_TABANI!$B$13-VERI_TABANI!$B$14)) + (VERI_TABANI!D23*C241*(VERI_TABANI!$B$13-VERI_TABANI!$B$15)) + IF(ISNUMBER(SEARCH("Var", D241)), VERI_TABANI!F23*(0.00202-VERI_TABANI!$B$16), IF(ISNUMBER(SEARCH("Gri", D241)), VERI_TABANI!F23*(0.00202-VERI_TABANI!$B$17), 0))) + ((VERI_TABANI!D24*B241*(VERI_TABANI!$B$13-VERI_TABANI!$B$14)) + (VERI_TABANI!D24*C241*(VERI_TABANI!$B$13-VERI_TABANI!$B$15)) + IF(ISNUMBER(SEARCH("Var", D241)), VERI_TABANI!F24*(0.00202-VERI_TABANI!$B$16), IF(ISNUMBER(SEARCH("Gri", D241)), VERI_TABANI!F24*(0.00202-VERI_TABANI!$B$17), 0))) + ((VERI_TABANI!D25*B241*(VERI_TABANI!$B$13-VERI_TABANI!$B$14)) + (VERI_TABANI!D25*C241*(VERI_TABANI!$B$13-VERI_TABANI!$B$15)) + IF(ISNUMBER(SEARCH("Var", D241)), VERI_TABANI!F25*(0.00202-VERI_TABANI!$B$16), IF(ISNUMBER(SEARCH("Gri", D241)), VERI_TABANI!F25*(0.00202-VERI_TABANI!$B$17), 0))) + ((VERI_TABANI!D26*B241*(VERI_TABANI!$B$13-VERI_TABANI!$B$14)) + (VERI_TABANI!D26*C241*(VERI_TABANI!$B$13-VERI_TABANI!$B$15)) + IF(ISNUMBER(SEARCH("Var", D241)), VERI_TABANI!F26*(0.00202-VERI_TABANI!$B$16), IF(ISNUMBER(SEARCH("Gri", D241)), VERI_TABANI!F26*(0.00202-VERI_TABANI!$B$17), 0))) + ((VERI_TABANI!D27*B241*(VERI_TABANI!$B$13-VERI_TABANI!$B$14)) + (VERI_TABANI!D27*C241*(VERI_TABANI!$B$13-VERI_TABANI!$B$15)) + IF(ISNUMBER(SEARCH("Var", D241)), VERI_TABANI!F27*(0.00202-VERI_TABANI!$B$16), IF(ISNUMBER(SEARCH("Gri", D241)), VERI_TABANI!F27*(0.00202-VERI_TABANI!$B$17), 0))) + ((VERI_TABANI!D28*B241*(VERI_TABANI!$B$13-VERI_TABANI!$B$14)) + (VERI_TABANI!D28*C241*(VERI_TABANI!$B$13-VERI_TABANI!$B$15)) + IF(ISNUMBER(SEARCH("Var", D241)), VERI_TABANI!F28*(0.00202-VERI_TABANI!$B$16), IF(ISNUMBER(SEARCH("Gri", D241)), VERI_TABANI!F28*(0.00202-VERI_TABANI!$B$17), 0))))</f>
        <v/>
      </c>
      <c r="I241" s="170">
        <f>IFERROR(((VERI_TABANI!$D$29*B241*VERI_TABANI!$B$14 + VERI_TABANI!$D$29*C241*VERI_TABANI!$B$15 + IF(ISNUMBER(SEARCH("Var", D241)), VERI_TABANI!$F$29*VERI_TABANI!$B$16, 0))) / (((VERI_TABANI!$D$29*B241 + VERI_TABANI!$D$29*C241)*VERI_TABANI!$B$13 + IF(ISNUMBER(SEARCH("Var", D241)), VERI_TABANI!$E$29*(1-0.928)*VERI_TABANI!$B$18, 0))), 0)</f>
        <v/>
      </c>
      <c r="J241" s="171">
        <f>IFERROR(F241/(G241/29), 0)</f>
        <v/>
      </c>
      <c r="K241" s="172">
        <f>IF(F241&gt;0, H241/F241, 0)</f>
        <v/>
      </c>
      <c r="L241" s="170">
        <f>IF(F241&gt;0, I241, 1000000000)</f>
        <v/>
      </c>
      <c r="M241" s="171">
        <f>ABS((B241+C241)-1)</f>
        <v/>
      </c>
      <c r="N241" s="170">
        <f>IF(F241&gt;0, (G241/29)/F241, 0)</f>
        <v/>
      </c>
      <c r="O241" s="168">
        <f>IF(AND((B241+C241)&gt;=1, ISNUMBER(SEARCH("Var", D241))), F241, 1000000000)</f>
        <v/>
      </c>
      <c r="P241" s="172">
        <f>IF(F241&gt;0, SQRT((F241/MAX(F$5:F$886))^2 + (1 - H241/MAX(H$5:H$886))^2 + (J241/MAX(J$5:J$886))^2), 1000000000)</f>
        <v/>
      </c>
      <c r="Q241" s="166">
        <f>IF(AND(ABS(B241-0.5)&lt;0.01, ABS(C241-0.5)&lt;0.01, ISNUMBER(SEARCH("Var", D241))), 1, 0)</f>
        <v/>
      </c>
      <c r="R241" s="171">
        <f>IF(F241&gt;0, J241, 1000000000)</f>
        <v/>
      </c>
      <c r="S241" s="101">
        <f>IF(AND(F241&lt;=DASHBOARD!$B$11, H241&gt;=DASHBOARD!$B$13), G241, -1000000000000)</f>
        <v/>
      </c>
      <c r="T241" s="101">
        <f>IF(AND(F241&lt;=DASHBOARD!$B$11, H241&gt;=DASHBOARD!$B$13), R241, 1000000000000)</f>
        <v/>
      </c>
      <c r="U241" s="101">
        <f>IF(AND(F241&lt;=DASHBOARD!$B$11, H241&gt;=DASHBOARD!$B$13), N241, -1000000000000)</f>
        <v/>
      </c>
      <c r="V241" s="101">
        <f>IF(AND(F241&lt;=DASHBOARD!$B$11, H241&gt;=DASHBOARD!$B$13), H241, -1000000000000)</f>
        <v/>
      </c>
      <c r="W241" s="101">
        <f>IF(AND(F241&lt;=DASHBOARD!$B$11, H241&gt;=DASHBOARD!$B$13), K241, -1000000000000)</f>
        <v/>
      </c>
      <c r="X241" s="101">
        <f>IF(AND(F241&lt;=DASHBOARD!$B$11, H241&gt;=DASHBOARD!$B$13), M241, 1000000000000)</f>
        <v/>
      </c>
      <c r="Y241" s="101">
        <f>IF(AND(F241&lt;=DASHBOARD!$B$10, H241&gt;=DASHBOARD!$B$11), L241, 1000000000000)</f>
        <v/>
      </c>
      <c r="Z241" s="101">
        <f>IF(AND(F241&lt;=DASHBOARD!$B$10, H241&gt;=DASHBOARD!$B$11), O241, 1000000000000)</f>
        <v/>
      </c>
      <c r="AA241" s="101">
        <f>IF(AND(F241&lt;=DASHBOARD!$B$10, H241&gt;=DASHBOARD!$B$11), P241, 1000000000000)</f>
        <v/>
      </c>
      <c r="AB241" s="101">
        <f>IF(AND(F241&lt;=DASHBOARD!$B$10, H241&gt;=DASHBOARD!$B$11), Q241, -1000000000000)</f>
        <v/>
      </c>
    </row>
    <row r="242" ht="15" customHeight="1" s="102">
      <c r="A242" s="166" t="n">
        <v>238</v>
      </c>
      <c r="B242" s="167" t="n">
        <v>0.5</v>
      </c>
      <c r="C242" s="167" t="n">
        <v>1.3</v>
      </c>
      <c r="D242" s="110" t="inlineStr">
        <is>
          <t>Var (%20)</t>
        </is>
      </c>
      <c r="E242" s="110">
        <f>IF((B242+C242)&lt;=1, "Tam Mahsuplaşma (≤%100)", "Kısmi Satış (&gt;%100)")</f>
        <v/>
      </c>
      <c r="F242" s="168">
        <f>((VERI_TABANI!$D$29*B242/VERI_TABANI!$B$29)/VERI_TABANI!$B$3)*VERI_TABANI!$B$5 + ((VERI_TABANI!$D$29*C242/VERI_TABANI!$B$29)/VERI_TABANI!$B$4)*VERI_TABANI!$B$6 + IF(ISNUMBER(SEARCH("Var", D242)), (VERI_TABANI!$F$29/VERI_TABANI!$B$29)*(VERI_TABANI!$B$10+VERI_TABANI!$B$12), 0)</f>
        <v/>
      </c>
      <c r="G242" s="168">
        <f>(((MIN(VERI_TABANI!D23, VERI_TABANI!D23*B242)*VERI_TABANI!$B$7 + MAX(0, VERI_TABANI!D23*B242-VERI_TABANI!D23)*VERI_TABANI!$B$8) + (MIN(MAX(0, VERI_TABANI!D23-VERI_TABANI!D23*B242), VERI_TABANI!D23*C242)*VERI_TABANI!$B$7 + MAX(0, VERI_TABANI!D23*C242-MAX(0, VERI_TABANI!D23-VERI_TABANI!D23*B242))*VERI_TABANI!$B$8) + IF(ABS(IF(ISNUMBER(SEARCH("Var", D242)), 1, IF(ISNUMBER(SEARCH("Gri", D242)), -1, 0)))=1, VERI_TABANI!E23*(1-0.928)*VERI_TABANI!$B$9, 0) + (VERI_TABANI!D23*B242*(VERI_TABANI!$B$13-VERI_TABANI!$B$14)*VERI_TABANI!G23) + (VERI_TABANI!D23*C242*(VERI_TABANI!$B$13-VERI_TABANI!$B$15)*VERI_TABANI!G23) + IF(ABS(IF(ISNUMBER(SEARCH("Var", D242)), 1, IF(ISNUMBER(SEARCH("Gri", D242)), -1, 0)))=1, VERI_TABANI!E23*(1-0.928)*0.00206091519919798*VERI_TABANI!G23, 0)) + ((MIN(VERI_TABANI!D24, VERI_TABANI!D24*B242)*VERI_TABANI!$B$7 + MAX(0, VERI_TABANI!D24*B242-VERI_TABANI!D24)*VERI_TABANI!$B$8) + (MIN(MAX(0, VERI_TABANI!D24-VERI_TABANI!D24*B242), VERI_TABANI!D24*C242)*VERI_TABANI!$B$7 + MAX(0, VERI_TABANI!D24*C242-MAX(0, VERI_TABANI!D24-VERI_TABANI!D24*B242))*VERI_TABANI!$B$8) + IF(ABS(IF(ISNUMBER(SEARCH("Var", D242)), 1, IF(ISNUMBER(SEARCH("Gri", D242)), -1, 0)))=1, VERI_TABANI!E24*(1-0.928)*VERI_TABANI!$B$9, 0) + (VERI_TABANI!D24*B242*(VERI_TABANI!$B$13-VERI_TABANI!$B$14)*VERI_TABANI!G24) + (VERI_TABANI!D24*C242*(VERI_TABANI!$B$13-VERI_TABANI!$B$15)*VERI_TABANI!G24) + IF(ABS(IF(ISNUMBER(SEARCH("Var", D242)), 1, IF(ISNUMBER(SEARCH("Gri", D242)), -1, 0)))=1, VERI_TABANI!E24*(1-0.928)*0.00206091519919798*VERI_TABANI!G24, 0)) + ((MIN(VERI_TABANI!D25, VERI_TABANI!D25*B242)*VERI_TABANI!$B$7 + MAX(0, VERI_TABANI!D25*B242-VERI_TABANI!D25)*VERI_TABANI!$B$8) + (MIN(MAX(0, VERI_TABANI!D25-VERI_TABANI!D25*B242), VERI_TABANI!D25*C242)*VERI_TABANI!$B$7 + MAX(0, VERI_TABANI!D25*C242-MAX(0, VERI_TABANI!D25-VERI_TABANI!D25*B242))*VERI_TABANI!$B$8) + IF(ABS(IF(ISNUMBER(SEARCH("Var", D242)), 1, IF(ISNUMBER(SEARCH("Gri", D242)), -1, 0)))=1, VERI_TABANI!E25*(1-0.928)*VERI_TABANI!$B$9, 0) + (VERI_TABANI!D25*B242*(VERI_TABANI!$B$13-VERI_TABANI!$B$14)*VERI_TABANI!G25) + (VERI_TABANI!D25*C242*(VERI_TABANI!$B$13-VERI_TABANI!$B$15)*VERI_TABANI!G25) + IF(ABS(IF(ISNUMBER(SEARCH("Var", D242)), 1, IF(ISNUMBER(SEARCH("Gri", D242)), -1, 0)))=1, VERI_TABANI!E25*(1-0.928)*0.00206091519919798*VERI_TABANI!G25, 0)) + ((MIN(VERI_TABANI!D26, VERI_TABANI!D26*B242)*VERI_TABANI!$B$7 + MAX(0, VERI_TABANI!D26*B242-VERI_TABANI!D26)*VERI_TABANI!$B$8) + (MIN(MAX(0, VERI_TABANI!D26-VERI_TABANI!D26*B242), VERI_TABANI!D26*C242)*VERI_TABANI!$B$7 + MAX(0, VERI_TABANI!D26*C242-MAX(0, VERI_TABANI!D26-VERI_TABANI!D26*B242))*VERI_TABANI!$B$8) + IF(ABS(IF(ISNUMBER(SEARCH("Var", D242)), 1, IF(ISNUMBER(SEARCH("Gri", D242)), -1, 0)))=1, VERI_TABANI!E26*(1-0.928)*VERI_TABANI!$B$9, 0) + (VERI_TABANI!D26*B242*(VERI_TABANI!$B$13-VERI_TABANI!$B$14)*VERI_TABANI!G26) + (VERI_TABANI!D26*C242*(VERI_TABANI!$B$13-VERI_TABANI!$B$15)*VERI_TABANI!G26) + IF(ABS(IF(ISNUMBER(SEARCH("Var", D242)), 1, IF(ISNUMBER(SEARCH("Gri", D242)), -1, 0)))=1, VERI_TABANI!E26*(1-0.928)*0.00206091519919798*VERI_TABANI!G26, 0)) + ((MIN(VERI_TABANI!D27, VERI_TABANI!D27*B242)*VERI_TABANI!$B$7 + MAX(0, VERI_TABANI!D27*B242-VERI_TABANI!D27)*VERI_TABANI!$B$8) + (MIN(MAX(0, VERI_TABANI!D27-VERI_TABANI!D27*B242), VERI_TABANI!D27*C242)*VERI_TABANI!$B$7 + MAX(0, VERI_TABANI!D27*C242-MAX(0, VERI_TABANI!D27-VERI_TABANI!D27*B242))*VERI_TABANI!$B$8) + IF(ABS(IF(ISNUMBER(SEARCH("Var", D242)), 1, IF(ISNUMBER(SEARCH("Gri", D242)), -1, 0)))=1, VERI_TABANI!E27*(1-0.928)*VERI_TABANI!$B$9, 0) + (VERI_TABANI!D27*B242*(VERI_TABANI!$B$13-VERI_TABANI!$B$14)*VERI_TABANI!G27) + (VERI_TABANI!D27*C242*(VERI_TABANI!$B$13-VERI_TABANI!$B$15)*VERI_TABANI!G27) + IF(ABS(IF(ISNUMBER(SEARCH("Var", D242)), 1, IF(ISNUMBER(SEARCH("Gri", D242)), -1, 0)))=1, VERI_TABANI!E27*(1-0.928)*0.00206091519919798*VERI_TABANI!G27, 0)) + ((MIN(VERI_TABANI!D28, VERI_TABANI!D28*B242)*VERI_TABANI!$B$7 + MAX(0, VERI_TABANI!D28*B242-VERI_TABANI!D28)*VERI_TABANI!$B$8) + (MIN(MAX(0, VERI_TABANI!D28-VERI_TABANI!D28*B242), VERI_TABANI!D28*C242)*VERI_TABANI!$B$7 + MAX(0, VERI_TABANI!D28*C242-MAX(0, VERI_TABANI!D28-VERI_TABANI!D28*B242))*VERI_TABANI!$B$8) + IF(ABS(IF(ISNUMBER(SEARCH("Var", D242)), 1, IF(ISNUMBER(SEARCH("Gri", D242)), -1, 0)))=1, VERI_TABANI!E28*(1-0.928)*VERI_TABANI!$B$9, 0) + (VERI_TABANI!D28*B242*(VERI_TABANI!$B$13-VERI_TABANI!$B$14)*VERI_TABANI!G28) + (VERI_TABANI!D28*C242*(VERI_TABANI!$B$13-VERI_TABANI!$B$15)*VERI_TABANI!G28) + IF(ABS(IF(ISNUMBER(SEARCH("Var", D242)), 1, IF(ISNUMBER(SEARCH("Gri", D242)), -1, 0)))=1, VERI_TABANI!E28*(1-0.928)*0.00206091519919798*VERI_TABANI!G28, 0)))</f>
        <v/>
      </c>
      <c r="H242" s="169">
        <f>(((VERI_TABANI!D23*B242*(VERI_TABANI!$B$13-VERI_TABANI!$B$14)) + (VERI_TABANI!D23*C242*(VERI_TABANI!$B$13-VERI_TABANI!$B$15)) + IF(ISNUMBER(SEARCH("Var", D242)), VERI_TABANI!F23*(0.00202-VERI_TABANI!$B$16), IF(ISNUMBER(SEARCH("Gri", D242)), VERI_TABANI!F23*(0.00202-VERI_TABANI!$B$17), 0))) + ((VERI_TABANI!D24*B242*(VERI_TABANI!$B$13-VERI_TABANI!$B$14)) + (VERI_TABANI!D24*C242*(VERI_TABANI!$B$13-VERI_TABANI!$B$15)) + IF(ISNUMBER(SEARCH("Var", D242)), VERI_TABANI!F24*(0.00202-VERI_TABANI!$B$16), IF(ISNUMBER(SEARCH("Gri", D242)), VERI_TABANI!F24*(0.00202-VERI_TABANI!$B$17), 0))) + ((VERI_TABANI!D25*B242*(VERI_TABANI!$B$13-VERI_TABANI!$B$14)) + (VERI_TABANI!D25*C242*(VERI_TABANI!$B$13-VERI_TABANI!$B$15)) + IF(ISNUMBER(SEARCH("Var", D242)), VERI_TABANI!F25*(0.00202-VERI_TABANI!$B$16), IF(ISNUMBER(SEARCH("Gri", D242)), VERI_TABANI!F25*(0.00202-VERI_TABANI!$B$17), 0))) + ((VERI_TABANI!D26*B242*(VERI_TABANI!$B$13-VERI_TABANI!$B$14)) + (VERI_TABANI!D26*C242*(VERI_TABANI!$B$13-VERI_TABANI!$B$15)) + IF(ISNUMBER(SEARCH("Var", D242)), VERI_TABANI!F26*(0.00202-VERI_TABANI!$B$16), IF(ISNUMBER(SEARCH("Gri", D242)), VERI_TABANI!F26*(0.00202-VERI_TABANI!$B$17), 0))) + ((VERI_TABANI!D27*B242*(VERI_TABANI!$B$13-VERI_TABANI!$B$14)) + (VERI_TABANI!D27*C242*(VERI_TABANI!$B$13-VERI_TABANI!$B$15)) + IF(ISNUMBER(SEARCH("Var", D242)), VERI_TABANI!F27*(0.00202-VERI_TABANI!$B$16), IF(ISNUMBER(SEARCH("Gri", D242)), VERI_TABANI!F27*(0.00202-VERI_TABANI!$B$17), 0))) + ((VERI_TABANI!D28*B242*(VERI_TABANI!$B$13-VERI_TABANI!$B$14)) + (VERI_TABANI!D28*C242*(VERI_TABANI!$B$13-VERI_TABANI!$B$15)) + IF(ISNUMBER(SEARCH("Var", D242)), VERI_TABANI!F28*(0.00202-VERI_TABANI!$B$16), IF(ISNUMBER(SEARCH("Gri", D242)), VERI_TABANI!F28*(0.00202-VERI_TABANI!$B$17), 0))))</f>
        <v/>
      </c>
      <c r="I242" s="170">
        <f>IFERROR(((VERI_TABANI!$D$29*B242*VERI_TABANI!$B$14 + VERI_TABANI!$D$29*C242*VERI_TABANI!$B$15 + IF(ISNUMBER(SEARCH("Var", D242)), VERI_TABANI!$F$29*VERI_TABANI!$B$16, 0))) / (((VERI_TABANI!$D$29*B242 + VERI_TABANI!$D$29*C242)*VERI_TABANI!$B$13 + IF(ISNUMBER(SEARCH("Var", D242)), VERI_TABANI!$E$29*(1-0.928)*VERI_TABANI!$B$18, 0))), 0)</f>
        <v/>
      </c>
      <c r="J242" s="171">
        <f>IFERROR(F242/(G242/29), 0)</f>
        <v/>
      </c>
      <c r="K242" s="172">
        <f>IF(F242&gt;0, H242/F242, 0)</f>
        <v/>
      </c>
      <c r="L242" s="170">
        <f>IF(F242&gt;0, I242, 1000000000)</f>
        <v/>
      </c>
      <c r="M242" s="171">
        <f>ABS((B242+C242)-1)</f>
        <v/>
      </c>
      <c r="N242" s="170">
        <f>IF(F242&gt;0, (G242/29)/F242, 0)</f>
        <v/>
      </c>
      <c r="O242" s="168">
        <f>IF(AND((B242+C242)&gt;=1, ISNUMBER(SEARCH("Var", D242))), F242, 1000000000)</f>
        <v/>
      </c>
      <c r="P242" s="172">
        <f>IF(F242&gt;0, SQRT((F242/MAX(F$5:F$886))^2 + (1 - H242/MAX(H$5:H$886))^2 + (J242/MAX(J$5:J$886))^2), 1000000000)</f>
        <v/>
      </c>
      <c r="Q242" s="166">
        <f>IF(AND(ABS(B242-0.5)&lt;0.01, ABS(C242-0.5)&lt;0.01, ISNUMBER(SEARCH("Var", D242))), 1, 0)</f>
        <v/>
      </c>
      <c r="R242" s="171">
        <f>IF(F242&gt;0, J242, 1000000000)</f>
        <v/>
      </c>
      <c r="S242" s="101">
        <f>IF(AND(F242&lt;=DASHBOARD!$B$11, H242&gt;=DASHBOARD!$B$13), G242, -1000000000000)</f>
        <v/>
      </c>
      <c r="T242" s="101">
        <f>IF(AND(F242&lt;=DASHBOARD!$B$11, H242&gt;=DASHBOARD!$B$13), R242, 1000000000000)</f>
        <v/>
      </c>
      <c r="U242" s="101">
        <f>IF(AND(F242&lt;=DASHBOARD!$B$11, H242&gt;=DASHBOARD!$B$13), N242, -1000000000000)</f>
        <v/>
      </c>
      <c r="V242" s="101">
        <f>IF(AND(F242&lt;=DASHBOARD!$B$11, H242&gt;=DASHBOARD!$B$13), H242, -1000000000000)</f>
        <v/>
      </c>
      <c r="W242" s="101">
        <f>IF(AND(F242&lt;=DASHBOARD!$B$11, H242&gt;=DASHBOARD!$B$13), K242, -1000000000000)</f>
        <v/>
      </c>
      <c r="X242" s="101">
        <f>IF(AND(F242&lt;=DASHBOARD!$B$11, H242&gt;=DASHBOARD!$B$13), M242, 1000000000000)</f>
        <v/>
      </c>
      <c r="Y242" s="101">
        <f>IF(AND(F242&lt;=DASHBOARD!$B$10, H242&gt;=DASHBOARD!$B$11), L242, 1000000000000)</f>
        <v/>
      </c>
      <c r="Z242" s="101">
        <f>IF(AND(F242&lt;=DASHBOARD!$B$10, H242&gt;=DASHBOARD!$B$11), O242, 1000000000000)</f>
        <v/>
      </c>
      <c r="AA242" s="101">
        <f>IF(AND(F242&lt;=DASHBOARD!$B$10, H242&gt;=DASHBOARD!$B$11), P242, 1000000000000)</f>
        <v/>
      </c>
      <c r="AB242" s="101">
        <f>IF(AND(F242&lt;=DASHBOARD!$B$10, H242&gt;=DASHBOARD!$B$11), Q242, -1000000000000)</f>
        <v/>
      </c>
    </row>
    <row r="243" ht="15" customHeight="1" s="102">
      <c r="A243" s="166" t="n">
        <v>239</v>
      </c>
      <c r="B243" s="167" t="n">
        <v>0.5</v>
      </c>
      <c r="C243" s="167" t="n">
        <v>1.4</v>
      </c>
      <c r="D243" s="110" t="inlineStr">
        <is>
          <t>Yok (%0)</t>
        </is>
      </c>
      <c r="E243" s="110">
        <f>IF((B243+C243)&lt;=1, "Tam Mahsuplaşma (≤%100)", "Kısmi Satış (&gt;%100)")</f>
        <v/>
      </c>
      <c r="F243" s="168">
        <f>((VERI_TABANI!$D$29*B243/VERI_TABANI!$B$29)/VERI_TABANI!$B$3)*VERI_TABANI!$B$5 + ((VERI_TABANI!$D$29*C243/VERI_TABANI!$B$29)/VERI_TABANI!$B$4)*VERI_TABANI!$B$6 + IF(ISNUMBER(SEARCH("Var", D243)), (VERI_TABANI!$F$29/VERI_TABANI!$B$29)*(VERI_TABANI!$B$10+VERI_TABANI!$B$12), 0)</f>
        <v/>
      </c>
      <c r="G243" s="168">
        <f>(((MIN(VERI_TABANI!D23, VERI_TABANI!D23*B243)*VERI_TABANI!$B$7 + MAX(0, VERI_TABANI!D23*B243-VERI_TABANI!D23)*VERI_TABANI!$B$8) + (MIN(MAX(0, VERI_TABANI!D23-VERI_TABANI!D23*B243), VERI_TABANI!D23*C243)*VERI_TABANI!$B$7 + MAX(0, VERI_TABANI!D23*C243-MAX(0, VERI_TABANI!D23-VERI_TABANI!D23*B243))*VERI_TABANI!$B$8) + IF(ABS(IF(ISNUMBER(SEARCH("Var", D243)), 1, IF(ISNUMBER(SEARCH("Gri", D243)), -1, 0)))=1, VERI_TABANI!E23*(1-0.928)*VERI_TABANI!$B$9, 0) + (VERI_TABANI!D23*B243*(VERI_TABANI!$B$13-VERI_TABANI!$B$14)*VERI_TABANI!G23) + (VERI_TABANI!D23*C243*(VERI_TABANI!$B$13-VERI_TABANI!$B$15)*VERI_TABANI!G23) + IF(ABS(IF(ISNUMBER(SEARCH("Var", D243)), 1, IF(ISNUMBER(SEARCH("Gri", D243)), -1, 0)))=1, VERI_TABANI!E23*(1-0.928)*0.00206091519919798*VERI_TABANI!G23, 0)) + ((MIN(VERI_TABANI!D24, VERI_TABANI!D24*B243)*VERI_TABANI!$B$7 + MAX(0, VERI_TABANI!D24*B243-VERI_TABANI!D24)*VERI_TABANI!$B$8) + (MIN(MAX(0, VERI_TABANI!D24-VERI_TABANI!D24*B243), VERI_TABANI!D24*C243)*VERI_TABANI!$B$7 + MAX(0, VERI_TABANI!D24*C243-MAX(0, VERI_TABANI!D24-VERI_TABANI!D24*B243))*VERI_TABANI!$B$8) + IF(ABS(IF(ISNUMBER(SEARCH("Var", D243)), 1, IF(ISNUMBER(SEARCH("Gri", D243)), -1, 0)))=1, VERI_TABANI!E24*(1-0.928)*VERI_TABANI!$B$9, 0) + (VERI_TABANI!D24*B243*(VERI_TABANI!$B$13-VERI_TABANI!$B$14)*VERI_TABANI!G24) + (VERI_TABANI!D24*C243*(VERI_TABANI!$B$13-VERI_TABANI!$B$15)*VERI_TABANI!G24) + IF(ABS(IF(ISNUMBER(SEARCH("Var", D243)), 1, IF(ISNUMBER(SEARCH("Gri", D243)), -1, 0)))=1, VERI_TABANI!E24*(1-0.928)*0.00206091519919798*VERI_TABANI!G24, 0)) + ((MIN(VERI_TABANI!D25, VERI_TABANI!D25*B243)*VERI_TABANI!$B$7 + MAX(0, VERI_TABANI!D25*B243-VERI_TABANI!D25)*VERI_TABANI!$B$8) + (MIN(MAX(0, VERI_TABANI!D25-VERI_TABANI!D25*B243), VERI_TABANI!D25*C243)*VERI_TABANI!$B$7 + MAX(0, VERI_TABANI!D25*C243-MAX(0, VERI_TABANI!D25-VERI_TABANI!D25*B243))*VERI_TABANI!$B$8) + IF(ABS(IF(ISNUMBER(SEARCH("Var", D243)), 1, IF(ISNUMBER(SEARCH("Gri", D243)), -1, 0)))=1, VERI_TABANI!E25*(1-0.928)*VERI_TABANI!$B$9, 0) + (VERI_TABANI!D25*B243*(VERI_TABANI!$B$13-VERI_TABANI!$B$14)*VERI_TABANI!G25) + (VERI_TABANI!D25*C243*(VERI_TABANI!$B$13-VERI_TABANI!$B$15)*VERI_TABANI!G25) + IF(ABS(IF(ISNUMBER(SEARCH("Var", D243)), 1, IF(ISNUMBER(SEARCH("Gri", D243)), -1, 0)))=1, VERI_TABANI!E25*(1-0.928)*0.00206091519919798*VERI_TABANI!G25, 0)) + ((MIN(VERI_TABANI!D26, VERI_TABANI!D26*B243)*VERI_TABANI!$B$7 + MAX(0, VERI_TABANI!D26*B243-VERI_TABANI!D26)*VERI_TABANI!$B$8) + (MIN(MAX(0, VERI_TABANI!D26-VERI_TABANI!D26*B243), VERI_TABANI!D26*C243)*VERI_TABANI!$B$7 + MAX(0, VERI_TABANI!D26*C243-MAX(0, VERI_TABANI!D26-VERI_TABANI!D26*B243))*VERI_TABANI!$B$8) + IF(ABS(IF(ISNUMBER(SEARCH("Var", D243)), 1, IF(ISNUMBER(SEARCH("Gri", D243)), -1, 0)))=1, VERI_TABANI!E26*(1-0.928)*VERI_TABANI!$B$9, 0) + (VERI_TABANI!D26*B243*(VERI_TABANI!$B$13-VERI_TABANI!$B$14)*VERI_TABANI!G26) + (VERI_TABANI!D26*C243*(VERI_TABANI!$B$13-VERI_TABANI!$B$15)*VERI_TABANI!G26) + IF(ABS(IF(ISNUMBER(SEARCH("Var", D243)), 1, IF(ISNUMBER(SEARCH("Gri", D243)), -1, 0)))=1, VERI_TABANI!E26*(1-0.928)*0.00206091519919798*VERI_TABANI!G26, 0)) + ((MIN(VERI_TABANI!D27, VERI_TABANI!D27*B243)*VERI_TABANI!$B$7 + MAX(0, VERI_TABANI!D27*B243-VERI_TABANI!D27)*VERI_TABANI!$B$8) + (MIN(MAX(0, VERI_TABANI!D27-VERI_TABANI!D27*B243), VERI_TABANI!D27*C243)*VERI_TABANI!$B$7 + MAX(0, VERI_TABANI!D27*C243-MAX(0, VERI_TABANI!D27-VERI_TABANI!D27*B243))*VERI_TABANI!$B$8) + IF(ABS(IF(ISNUMBER(SEARCH("Var", D243)), 1, IF(ISNUMBER(SEARCH("Gri", D243)), -1, 0)))=1, VERI_TABANI!E27*(1-0.928)*VERI_TABANI!$B$9, 0) + (VERI_TABANI!D27*B243*(VERI_TABANI!$B$13-VERI_TABANI!$B$14)*VERI_TABANI!G27) + (VERI_TABANI!D27*C243*(VERI_TABANI!$B$13-VERI_TABANI!$B$15)*VERI_TABANI!G27) + IF(ABS(IF(ISNUMBER(SEARCH("Var", D243)), 1, IF(ISNUMBER(SEARCH("Gri", D243)), -1, 0)))=1, VERI_TABANI!E27*(1-0.928)*0.00206091519919798*VERI_TABANI!G27, 0)) + ((MIN(VERI_TABANI!D28, VERI_TABANI!D28*B243)*VERI_TABANI!$B$7 + MAX(0, VERI_TABANI!D28*B243-VERI_TABANI!D28)*VERI_TABANI!$B$8) + (MIN(MAX(0, VERI_TABANI!D28-VERI_TABANI!D28*B243), VERI_TABANI!D28*C243)*VERI_TABANI!$B$7 + MAX(0, VERI_TABANI!D28*C243-MAX(0, VERI_TABANI!D28-VERI_TABANI!D28*B243))*VERI_TABANI!$B$8) + IF(ABS(IF(ISNUMBER(SEARCH("Var", D243)), 1, IF(ISNUMBER(SEARCH("Gri", D243)), -1, 0)))=1, VERI_TABANI!E28*(1-0.928)*VERI_TABANI!$B$9, 0) + (VERI_TABANI!D28*B243*(VERI_TABANI!$B$13-VERI_TABANI!$B$14)*VERI_TABANI!G28) + (VERI_TABANI!D28*C243*(VERI_TABANI!$B$13-VERI_TABANI!$B$15)*VERI_TABANI!G28) + IF(ABS(IF(ISNUMBER(SEARCH("Var", D243)), 1, IF(ISNUMBER(SEARCH("Gri", D243)), -1, 0)))=1, VERI_TABANI!E28*(1-0.928)*0.00206091519919798*VERI_TABANI!G28, 0)))</f>
        <v/>
      </c>
      <c r="H243" s="169">
        <f>(((VERI_TABANI!D23*B243*(VERI_TABANI!$B$13-VERI_TABANI!$B$14)) + (VERI_TABANI!D23*C243*(VERI_TABANI!$B$13-VERI_TABANI!$B$15)) + IF(ISNUMBER(SEARCH("Var", D243)), VERI_TABANI!F23*(0.00202-VERI_TABANI!$B$16), IF(ISNUMBER(SEARCH("Gri", D243)), VERI_TABANI!F23*(0.00202-VERI_TABANI!$B$17), 0))) + ((VERI_TABANI!D24*B243*(VERI_TABANI!$B$13-VERI_TABANI!$B$14)) + (VERI_TABANI!D24*C243*(VERI_TABANI!$B$13-VERI_TABANI!$B$15)) + IF(ISNUMBER(SEARCH("Var", D243)), VERI_TABANI!F24*(0.00202-VERI_TABANI!$B$16), IF(ISNUMBER(SEARCH("Gri", D243)), VERI_TABANI!F24*(0.00202-VERI_TABANI!$B$17), 0))) + ((VERI_TABANI!D25*B243*(VERI_TABANI!$B$13-VERI_TABANI!$B$14)) + (VERI_TABANI!D25*C243*(VERI_TABANI!$B$13-VERI_TABANI!$B$15)) + IF(ISNUMBER(SEARCH("Var", D243)), VERI_TABANI!F25*(0.00202-VERI_TABANI!$B$16), IF(ISNUMBER(SEARCH("Gri", D243)), VERI_TABANI!F25*(0.00202-VERI_TABANI!$B$17), 0))) + ((VERI_TABANI!D26*B243*(VERI_TABANI!$B$13-VERI_TABANI!$B$14)) + (VERI_TABANI!D26*C243*(VERI_TABANI!$B$13-VERI_TABANI!$B$15)) + IF(ISNUMBER(SEARCH("Var", D243)), VERI_TABANI!F26*(0.00202-VERI_TABANI!$B$16), IF(ISNUMBER(SEARCH("Gri", D243)), VERI_TABANI!F26*(0.00202-VERI_TABANI!$B$17), 0))) + ((VERI_TABANI!D27*B243*(VERI_TABANI!$B$13-VERI_TABANI!$B$14)) + (VERI_TABANI!D27*C243*(VERI_TABANI!$B$13-VERI_TABANI!$B$15)) + IF(ISNUMBER(SEARCH("Var", D243)), VERI_TABANI!F27*(0.00202-VERI_TABANI!$B$16), IF(ISNUMBER(SEARCH("Gri", D243)), VERI_TABANI!F27*(0.00202-VERI_TABANI!$B$17), 0))) + ((VERI_TABANI!D28*B243*(VERI_TABANI!$B$13-VERI_TABANI!$B$14)) + (VERI_TABANI!D28*C243*(VERI_TABANI!$B$13-VERI_TABANI!$B$15)) + IF(ISNUMBER(SEARCH("Var", D243)), VERI_TABANI!F28*(0.00202-VERI_TABANI!$B$16), IF(ISNUMBER(SEARCH("Gri", D243)), VERI_TABANI!F28*(0.00202-VERI_TABANI!$B$17), 0))))</f>
        <v/>
      </c>
      <c r="I243" s="170">
        <f>IFERROR(((VERI_TABANI!$D$29*B243*VERI_TABANI!$B$14 + VERI_TABANI!$D$29*C243*VERI_TABANI!$B$15 + IF(ISNUMBER(SEARCH("Var", D243)), VERI_TABANI!$F$29*VERI_TABANI!$B$16, 0))) / (((VERI_TABANI!$D$29*B243 + VERI_TABANI!$D$29*C243)*VERI_TABANI!$B$13 + IF(ISNUMBER(SEARCH("Var", D243)), VERI_TABANI!$E$29*(1-0.928)*VERI_TABANI!$B$18, 0))), 0)</f>
        <v/>
      </c>
      <c r="J243" s="171">
        <f>IFERROR(F243/(G243/29), 0)</f>
        <v/>
      </c>
      <c r="K243" s="172">
        <f>IF(F243&gt;0, H243/F243, 0)</f>
        <v/>
      </c>
      <c r="L243" s="170">
        <f>IF(F243&gt;0, I243, 1000000000)</f>
        <v/>
      </c>
      <c r="M243" s="171">
        <f>ABS((B243+C243)-1)</f>
        <v/>
      </c>
      <c r="N243" s="170">
        <f>IF(F243&gt;0, (G243/29)/F243, 0)</f>
        <v/>
      </c>
      <c r="O243" s="168">
        <f>IF(AND((B243+C243)&gt;=1, ISNUMBER(SEARCH("Var", D243))), F243, 1000000000)</f>
        <v/>
      </c>
      <c r="P243" s="172">
        <f>IF(F243&gt;0, SQRT((F243/MAX(F$5:F$886))^2 + (1 - H243/MAX(H$5:H$886))^2 + (J243/MAX(J$5:J$886))^2), 1000000000)</f>
        <v/>
      </c>
      <c r="Q243" s="166">
        <f>IF(AND(ABS(B243-0.5)&lt;0.01, ABS(C243-0.5)&lt;0.01, ISNUMBER(SEARCH("Var", D243))), 1, 0)</f>
        <v/>
      </c>
      <c r="R243" s="171">
        <f>IF(F243&gt;0, J243, 1000000000)</f>
        <v/>
      </c>
      <c r="S243" s="101">
        <f>IF(AND(F243&lt;=DASHBOARD!$B$11, H243&gt;=DASHBOARD!$B$13), G243, -1000000000000)</f>
        <v/>
      </c>
      <c r="T243" s="101">
        <f>IF(AND(F243&lt;=DASHBOARD!$B$11, H243&gt;=DASHBOARD!$B$13), R243, 1000000000000)</f>
        <v/>
      </c>
      <c r="U243" s="101">
        <f>IF(AND(F243&lt;=DASHBOARD!$B$11, H243&gt;=DASHBOARD!$B$13), N243, -1000000000000)</f>
        <v/>
      </c>
      <c r="V243" s="101">
        <f>IF(AND(F243&lt;=DASHBOARD!$B$11, H243&gt;=DASHBOARD!$B$13), H243, -1000000000000)</f>
        <v/>
      </c>
      <c r="W243" s="101">
        <f>IF(AND(F243&lt;=DASHBOARD!$B$11, H243&gt;=DASHBOARD!$B$13), K243, -1000000000000)</f>
        <v/>
      </c>
      <c r="X243" s="101">
        <f>IF(AND(F243&lt;=DASHBOARD!$B$11, H243&gt;=DASHBOARD!$B$13), M243, 1000000000000)</f>
        <v/>
      </c>
      <c r="Y243" s="101">
        <f>IF(AND(F243&lt;=DASHBOARD!$B$10, H243&gt;=DASHBOARD!$B$11), L243, 1000000000000)</f>
        <v/>
      </c>
      <c r="Z243" s="101">
        <f>IF(AND(F243&lt;=DASHBOARD!$B$10, H243&gt;=DASHBOARD!$B$11), O243, 1000000000000)</f>
        <v/>
      </c>
      <c r="AA243" s="101">
        <f>IF(AND(F243&lt;=DASHBOARD!$B$10, H243&gt;=DASHBOARD!$B$11), P243, 1000000000000)</f>
        <v/>
      </c>
      <c r="AB243" s="101">
        <f>IF(AND(F243&lt;=DASHBOARD!$B$10, H243&gt;=DASHBOARD!$B$11), Q243, -1000000000000)</f>
        <v/>
      </c>
    </row>
    <row r="244" ht="15" customHeight="1" s="102">
      <c r="A244" s="166" t="n">
        <v>240</v>
      </c>
      <c r="B244" s="167" t="n">
        <v>0.5</v>
      </c>
      <c r="C244" s="167" t="n">
        <v>1.4</v>
      </c>
      <c r="D244" s="110" t="inlineStr">
        <is>
          <t>Var (%20)</t>
        </is>
      </c>
      <c r="E244" s="110">
        <f>IF((B244+C244)&lt;=1, "Tam Mahsuplaşma (≤%100)", "Kısmi Satış (&gt;%100)")</f>
        <v/>
      </c>
      <c r="F244" s="168">
        <f>((VERI_TABANI!$D$29*B244/VERI_TABANI!$B$29)/VERI_TABANI!$B$3)*VERI_TABANI!$B$5 + ((VERI_TABANI!$D$29*C244/VERI_TABANI!$B$29)/VERI_TABANI!$B$4)*VERI_TABANI!$B$6 + IF(ISNUMBER(SEARCH("Var", D244)), (VERI_TABANI!$F$29/VERI_TABANI!$B$29)*(VERI_TABANI!$B$10+VERI_TABANI!$B$12), 0)</f>
        <v/>
      </c>
      <c r="G244" s="168">
        <f>(((MIN(VERI_TABANI!D23, VERI_TABANI!D23*B244)*VERI_TABANI!$B$7 + MAX(0, VERI_TABANI!D23*B244-VERI_TABANI!D23)*VERI_TABANI!$B$8) + (MIN(MAX(0, VERI_TABANI!D23-VERI_TABANI!D23*B244), VERI_TABANI!D23*C244)*VERI_TABANI!$B$7 + MAX(0, VERI_TABANI!D23*C244-MAX(0, VERI_TABANI!D23-VERI_TABANI!D23*B244))*VERI_TABANI!$B$8) + IF(ABS(IF(ISNUMBER(SEARCH("Var", D244)), 1, IF(ISNUMBER(SEARCH("Gri", D244)), -1, 0)))=1, VERI_TABANI!E23*(1-0.928)*VERI_TABANI!$B$9, 0) + (VERI_TABANI!D23*B244*(VERI_TABANI!$B$13-VERI_TABANI!$B$14)*VERI_TABANI!G23) + (VERI_TABANI!D23*C244*(VERI_TABANI!$B$13-VERI_TABANI!$B$15)*VERI_TABANI!G23) + IF(ABS(IF(ISNUMBER(SEARCH("Var", D244)), 1, IF(ISNUMBER(SEARCH("Gri", D244)), -1, 0)))=1, VERI_TABANI!E23*(1-0.928)*0.00206091519919798*VERI_TABANI!G23, 0)) + ((MIN(VERI_TABANI!D24, VERI_TABANI!D24*B244)*VERI_TABANI!$B$7 + MAX(0, VERI_TABANI!D24*B244-VERI_TABANI!D24)*VERI_TABANI!$B$8) + (MIN(MAX(0, VERI_TABANI!D24-VERI_TABANI!D24*B244), VERI_TABANI!D24*C244)*VERI_TABANI!$B$7 + MAX(0, VERI_TABANI!D24*C244-MAX(0, VERI_TABANI!D24-VERI_TABANI!D24*B244))*VERI_TABANI!$B$8) + IF(ABS(IF(ISNUMBER(SEARCH("Var", D244)), 1, IF(ISNUMBER(SEARCH("Gri", D244)), -1, 0)))=1, VERI_TABANI!E24*(1-0.928)*VERI_TABANI!$B$9, 0) + (VERI_TABANI!D24*B244*(VERI_TABANI!$B$13-VERI_TABANI!$B$14)*VERI_TABANI!G24) + (VERI_TABANI!D24*C244*(VERI_TABANI!$B$13-VERI_TABANI!$B$15)*VERI_TABANI!G24) + IF(ABS(IF(ISNUMBER(SEARCH("Var", D244)), 1, IF(ISNUMBER(SEARCH("Gri", D244)), -1, 0)))=1, VERI_TABANI!E24*(1-0.928)*0.00206091519919798*VERI_TABANI!G24, 0)) + ((MIN(VERI_TABANI!D25, VERI_TABANI!D25*B244)*VERI_TABANI!$B$7 + MAX(0, VERI_TABANI!D25*B244-VERI_TABANI!D25)*VERI_TABANI!$B$8) + (MIN(MAX(0, VERI_TABANI!D25-VERI_TABANI!D25*B244), VERI_TABANI!D25*C244)*VERI_TABANI!$B$7 + MAX(0, VERI_TABANI!D25*C244-MAX(0, VERI_TABANI!D25-VERI_TABANI!D25*B244))*VERI_TABANI!$B$8) + IF(ABS(IF(ISNUMBER(SEARCH("Var", D244)), 1, IF(ISNUMBER(SEARCH("Gri", D244)), -1, 0)))=1, VERI_TABANI!E25*(1-0.928)*VERI_TABANI!$B$9, 0) + (VERI_TABANI!D25*B244*(VERI_TABANI!$B$13-VERI_TABANI!$B$14)*VERI_TABANI!G25) + (VERI_TABANI!D25*C244*(VERI_TABANI!$B$13-VERI_TABANI!$B$15)*VERI_TABANI!G25) + IF(ABS(IF(ISNUMBER(SEARCH("Var", D244)), 1, IF(ISNUMBER(SEARCH("Gri", D244)), -1, 0)))=1, VERI_TABANI!E25*(1-0.928)*0.00206091519919798*VERI_TABANI!G25, 0)) + ((MIN(VERI_TABANI!D26, VERI_TABANI!D26*B244)*VERI_TABANI!$B$7 + MAX(0, VERI_TABANI!D26*B244-VERI_TABANI!D26)*VERI_TABANI!$B$8) + (MIN(MAX(0, VERI_TABANI!D26-VERI_TABANI!D26*B244), VERI_TABANI!D26*C244)*VERI_TABANI!$B$7 + MAX(0, VERI_TABANI!D26*C244-MAX(0, VERI_TABANI!D26-VERI_TABANI!D26*B244))*VERI_TABANI!$B$8) + IF(ABS(IF(ISNUMBER(SEARCH("Var", D244)), 1, IF(ISNUMBER(SEARCH("Gri", D244)), -1, 0)))=1, VERI_TABANI!E26*(1-0.928)*VERI_TABANI!$B$9, 0) + (VERI_TABANI!D26*B244*(VERI_TABANI!$B$13-VERI_TABANI!$B$14)*VERI_TABANI!G26) + (VERI_TABANI!D26*C244*(VERI_TABANI!$B$13-VERI_TABANI!$B$15)*VERI_TABANI!G26) + IF(ABS(IF(ISNUMBER(SEARCH("Var", D244)), 1, IF(ISNUMBER(SEARCH("Gri", D244)), -1, 0)))=1, VERI_TABANI!E26*(1-0.928)*0.00206091519919798*VERI_TABANI!G26, 0)) + ((MIN(VERI_TABANI!D27, VERI_TABANI!D27*B244)*VERI_TABANI!$B$7 + MAX(0, VERI_TABANI!D27*B244-VERI_TABANI!D27)*VERI_TABANI!$B$8) + (MIN(MAX(0, VERI_TABANI!D27-VERI_TABANI!D27*B244), VERI_TABANI!D27*C244)*VERI_TABANI!$B$7 + MAX(0, VERI_TABANI!D27*C244-MAX(0, VERI_TABANI!D27-VERI_TABANI!D27*B244))*VERI_TABANI!$B$8) + IF(ABS(IF(ISNUMBER(SEARCH("Var", D244)), 1, IF(ISNUMBER(SEARCH("Gri", D244)), -1, 0)))=1, VERI_TABANI!E27*(1-0.928)*VERI_TABANI!$B$9, 0) + (VERI_TABANI!D27*B244*(VERI_TABANI!$B$13-VERI_TABANI!$B$14)*VERI_TABANI!G27) + (VERI_TABANI!D27*C244*(VERI_TABANI!$B$13-VERI_TABANI!$B$15)*VERI_TABANI!G27) + IF(ABS(IF(ISNUMBER(SEARCH("Var", D244)), 1, IF(ISNUMBER(SEARCH("Gri", D244)), -1, 0)))=1, VERI_TABANI!E27*(1-0.928)*0.00206091519919798*VERI_TABANI!G27, 0)) + ((MIN(VERI_TABANI!D28, VERI_TABANI!D28*B244)*VERI_TABANI!$B$7 + MAX(0, VERI_TABANI!D28*B244-VERI_TABANI!D28)*VERI_TABANI!$B$8) + (MIN(MAX(0, VERI_TABANI!D28-VERI_TABANI!D28*B244), VERI_TABANI!D28*C244)*VERI_TABANI!$B$7 + MAX(0, VERI_TABANI!D28*C244-MAX(0, VERI_TABANI!D28-VERI_TABANI!D28*B244))*VERI_TABANI!$B$8) + IF(ABS(IF(ISNUMBER(SEARCH("Var", D244)), 1, IF(ISNUMBER(SEARCH("Gri", D244)), -1, 0)))=1, VERI_TABANI!E28*(1-0.928)*VERI_TABANI!$B$9, 0) + (VERI_TABANI!D28*B244*(VERI_TABANI!$B$13-VERI_TABANI!$B$14)*VERI_TABANI!G28) + (VERI_TABANI!D28*C244*(VERI_TABANI!$B$13-VERI_TABANI!$B$15)*VERI_TABANI!G28) + IF(ABS(IF(ISNUMBER(SEARCH("Var", D244)), 1, IF(ISNUMBER(SEARCH("Gri", D244)), -1, 0)))=1, VERI_TABANI!E28*(1-0.928)*0.00206091519919798*VERI_TABANI!G28, 0)))</f>
        <v/>
      </c>
      <c r="H244" s="169">
        <f>(((VERI_TABANI!D23*B244*(VERI_TABANI!$B$13-VERI_TABANI!$B$14)) + (VERI_TABANI!D23*C244*(VERI_TABANI!$B$13-VERI_TABANI!$B$15)) + IF(ISNUMBER(SEARCH("Var", D244)), VERI_TABANI!F23*(0.00202-VERI_TABANI!$B$16), IF(ISNUMBER(SEARCH("Gri", D244)), VERI_TABANI!F23*(0.00202-VERI_TABANI!$B$17), 0))) + ((VERI_TABANI!D24*B244*(VERI_TABANI!$B$13-VERI_TABANI!$B$14)) + (VERI_TABANI!D24*C244*(VERI_TABANI!$B$13-VERI_TABANI!$B$15)) + IF(ISNUMBER(SEARCH("Var", D244)), VERI_TABANI!F24*(0.00202-VERI_TABANI!$B$16), IF(ISNUMBER(SEARCH("Gri", D244)), VERI_TABANI!F24*(0.00202-VERI_TABANI!$B$17), 0))) + ((VERI_TABANI!D25*B244*(VERI_TABANI!$B$13-VERI_TABANI!$B$14)) + (VERI_TABANI!D25*C244*(VERI_TABANI!$B$13-VERI_TABANI!$B$15)) + IF(ISNUMBER(SEARCH("Var", D244)), VERI_TABANI!F25*(0.00202-VERI_TABANI!$B$16), IF(ISNUMBER(SEARCH("Gri", D244)), VERI_TABANI!F25*(0.00202-VERI_TABANI!$B$17), 0))) + ((VERI_TABANI!D26*B244*(VERI_TABANI!$B$13-VERI_TABANI!$B$14)) + (VERI_TABANI!D26*C244*(VERI_TABANI!$B$13-VERI_TABANI!$B$15)) + IF(ISNUMBER(SEARCH("Var", D244)), VERI_TABANI!F26*(0.00202-VERI_TABANI!$B$16), IF(ISNUMBER(SEARCH("Gri", D244)), VERI_TABANI!F26*(0.00202-VERI_TABANI!$B$17), 0))) + ((VERI_TABANI!D27*B244*(VERI_TABANI!$B$13-VERI_TABANI!$B$14)) + (VERI_TABANI!D27*C244*(VERI_TABANI!$B$13-VERI_TABANI!$B$15)) + IF(ISNUMBER(SEARCH("Var", D244)), VERI_TABANI!F27*(0.00202-VERI_TABANI!$B$16), IF(ISNUMBER(SEARCH("Gri", D244)), VERI_TABANI!F27*(0.00202-VERI_TABANI!$B$17), 0))) + ((VERI_TABANI!D28*B244*(VERI_TABANI!$B$13-VERI_TABANI!$B$14)) + (VERI_TABANI!D28*C244*(VERI_TABANI!$B$13-VERI_TABANI!$B$15)) + IF(ISNUMBER(SEARCH("Var", D244)), VERI_TABANI!F28*(0.00202-VERI_TABANI!$B$16), IF(ISNUMBER(SEARCH("Gri", D244)), VERI_TABANI!F28*(0.00202-VERI_TABANI!$B$17), 0))))</f>
        <v/>
      </c>
      <c r="I244" s="170">
        <f>IFERROR(((VERI_TABANI!$D$29*B244*VERI_TABANI!$B$14 + VERI_TABANI!$D$29*C244*VERI_TABANI!$B$15 + IF(ISNUMBER(SEARCH("Var", D244)), VERI_TABANI!$F$29*VERI_TABANI!$B$16, 0))) / (((VERI_TABANI!$D$29*B244 + VERI_TABANI!$D$29*C244)*VERI_TABANI!$B$13 + IF(ISNUMBER(SEARCH("Var", D244)), VERI_TABANI!$E$29*(1-0.928)*VERI_TABANI!$B$18, 0))), 0)</f>
        <v/>
      </c>
      <c r="J244" s="171">
        <f>IFERROR(F244/(G244/29), 0)</f>
        <v/>
      </c>
      <c r="K244" s="172">
        <f>IF(F244&gt;0, H244/F244, 0)</f>
        <v/>
      </c>
      <c r="L244" s="170">
        <f>IF(F244&gt;0, I244, 1000000000)</f>
        <v/>
      </c>
      <c r="M244" s="171">
        <f>ABS((B244+C244)-1)</f>
        <v/>
      </c>
      <c r="N244" s="170">
        <f>IF(F244&gt;0, (G244/29)/F244, 0)</f>
        <v/>
      </c>
      <c r="O244" s="168">
        <f>IF(AND((B244+C244)&gt;=1, ISNUMBER(SEARCH("Var", D244))), F244, 1000000000)</f>
        <v/>
      </c>
      <c r="P244" s="172">
        <f>IF(F244&gt;0, SQRT((F244/MAX(F$5:F$886))^2 + (1 - H244/MAX(H$5:H$886))^2 + (J244/MAX(J$5:J$886))^2), 1000000000)</f>
        <v/>
      </c>
      <c r="Q244" s="166">
        <f>IF(AND(ABS(B244-0.5)&lt;0.01, ABS(C244-0.5)&lt;0.01, ISNUMBER(SEARCH("Var", D244))), 1, 0)</f>
        <v/>
      </c>
      <c r="R244" s="171">
        <f>IF(F244&gt;0, J244, 1000000000)</f>
        <v/>
      </c>
      <c r="S244" s="101">
        <f>IF(AND(F244&lt;=DASHBOARD!$B$11, H244&gt;=DASHBOARD!$B$13), G244, -1000000000000)</f>
        <v/>
      </c>
      <c r="T244" s="101">
        <f>IF(AND(F244&lt;=DASHBOARD!$B$11, H244&gt;=DASHBOARD!$B$13), R244, 1000000000000)</f>
        <v/>
      </c>
      <c r="U244" s="101">
        <f>IF(AND(F244&lt;=DASHBOARD!$B$11, H244&gt;=DASHBOARD!$B$13), N244, -1000000000000)</f>
        <v/>
      </c>
      <c r="V244" s="101">
        <f>IF(AND(F244&lt;=DASHBOARD!$B$11, H244&gt;=DASHBOARD!$B$13), H244, -1000000000000)</f>
        <v/>
      </c>
      <c r="W244" s="101">
        <f>IF(AND(F244&lt;=DASHBOARD!$B$11, H244&gt;=DASHBOARD!$B$13), K244, -1000000000000)</f>
        <v/>
      </c>
      <c r="X244" s="101">
        <f>IF(AND(F244&lt;=DASHBOARD!$B$11, H244&gt;=DASHBOARD!$B$13), M244, 1000000000000)</f>
        <v/>
      </c>
      <c r="Y244" s="101">
        <f>IF(AND(F244&lt;=DASHBOARD!$B$10, H244&gt;=DASHBOARD!$B$11), L244, 1000000000000)</f>
        <v/>
      </c>
      <c r="Z244" s="101">
        <f>IF(AND(F244&lt;=DASHBOARD!$B$10, H244&gt;=DASHBOARD!$B$11), O244, 1000000000000)</f>
        <v/>
      </c>
      <c r="AA244" s="101">
        <f>IF(AND(F244&lt;=DASHBOARD!$B$10, H244&gt;=DASHBOARD!$B$11), P244, 1000000000000)</f>
        <v/>
      </c>
      <c r="AB244" s="101">
        <f>IF(AND(F244&lt;=DASHBOARD!$B$10, H244&gt;=DASHBOARD!$B$11), Q244, -1000000000000)</f>
        <v/>
      </c>
    </row>
    <row r="245" ht="15" customHeight="1" s="102">
      <c r="A245" s="166" t="n">
        <v>241</v>
      </c>
      <c r="B245" s="167" t="n">
        <v>0.5</v>
      </c>
      <c r="C245" s="167" t="n">
        <v>1.5</v>
      </c>
      <c r="D245" s="110" t="inlineStr">
        <is>
          <t>Yok (%0)</t>
        </is>
      </c>
      <c r="E245" s="110">
        <f>IF((B245+C245)&lt;=1, "Tam Mahsuplaşma (≤%100)", "Kısmi Satış (&gt;%100)")</f>
        <v/>
      </c>
      <c r="F245" s="168">
        <f>((VERI_TABANI!$D$29*B245/VERI_TABANI!$B$29)/VERI_TABANI!$B$3)*VERI_TABANI!$B$5 + ((VERI_TABANI!$D$29*C245/VERI_TABANI!$B$29)/VERI_TABANI!$B$4)*VERI_TABANI!$B$6 + IF(ISNUMBER(SEARCH("Var", D245)), (VERI_TABANI!$F$29/VERI_TABANI!$B$29)*(VERI_TABANI!$B$10+VERI_TABANI!$B$12), 0)</f>
        <v/>
      </c>
      <c r="G245" s="168">
        <f>(((MIN(VERI_TABANI!D23, VERI_TABANI!D23*B245)*VERI_TABANI!$B$7 + MAX(0, VERI_TABANI!D23*B245-VERI_TABANI!D23)*VERI_TABANI!$B$8) + (MIN(MAX(0, VERI_TABANI!D23-VERI_TABANI!D23*B245), VERI_TABANI!D23*C245)*VERI_TABANI!$B$7 + MAX(0, VERI_TABANI!D23*C245-MAX(0, VERI_TABANI!D23-VERI_TABANI!D23*B245))*VERI_TABANI!$B$8) + IF(ABS(IF(ISNUMBER(SEARCH("Var", D245)), 1, IF(ISNUMBER(SEARCH("Gri", D245)), -1, 0)))=1, VERI_TABANI!E23*(1-0.928)*VERI_TABANI!$B$9, 0) + (VERI_TABANI!D23*B245*(VERI_TABANI!$B$13-VERI_TABANI!$B$14)*VERI_TABANI!G23) + (VERI_TABANI!D23*C245*(VERI_TABANI!$B$13-VERI_TABANI!$B$15)*VERI_TABANI!G23) + IF(ABS(IF(ISNUMBER(SEARCH("Var", D245)), 1, IF(ISNUMBER(SEARCH("Gri", D245)), -1, 0)))=1, VERI_TABANI!E23*(1-0.928)*0.00206091519919798*VERI_TABANI!G23, 0)) + ((MIN(VERI_TABANI!D24, VERI_TABANI!D24*B245)*VERI_TABANI!$B$7 + MAX(0, VERI_TABANI!D24*B245-VERI_TABANI!D24)*VERI_TABANI!$B$8) + (MIN(MAX(0, VERI_TABANI!D24-VERI_TABANI!D24*B245), VERI_TABANI!D24*C245)*VERI_TABANI!$B$7 + MAX(0, VERI_TABANI!D24*C245-MAX(0, VERI_TABANI!D24-VERI_TABANI!D24*B245))*VERI_TABANI!$B$8) + IF(ABS(IF(ISNUMBER(SEARCH("Var", D245)), 1, IF(ISNUMBER(SEARCH("Gri", D245)), -1, 0)))=1, VERI_TABANI!E24*(1-0.928)*VERI_TABANI!$B$9, 0) + (VERI_TABANI!D24*B245*(VERI_TABANI!$B$13-VERI_TABANI!$B$14)*VERI_TABANI!G24) + (VERI_TABANI!D24*C245*(VERI_TABANI!$B$13-VERI_TABANI!$B$15)*VERI_TABANI!G24) + IF(ABS(IF(ISNUMBER(SEARCH("Var", D245)), 1, IF(ISNUMBER(SEARCH("Gri", D245)), -1, 0)))=1, VERI_TABANI!E24*(1-0.928)*0.00206091519919798*VERI_TABANI!G24, 0)) + ((MIN(VERI_TABANI!D25, VERI_TABANI!D25*B245)*VERI_TABANI!$B$7 + MAX(0, VERI_TABANI!D25*B245-VERI_TABANI!D25)*VERI_TABANI!$B$8) + (MIN(MAX(0, VERI_TABANI!D25-VERI_TABANI!D25*B245), VERI_TABANI!D25*C245)*VERI_TABANI!$B$7 + MAX(0, VERI_TABANI!D25*C245-MAX(0, VERI_TABANI!D25-VERI_TABANI!D25*B245))*VERI_TABANI!$B$8) + IF(ABS(IF(ISNUMBER(SEARCH("Var", D245)), 1, IF(ISNUMBER(SEARCH("Gri", D245)), -1, 0)))=1, VERI_TABANI!E25*(1-0.928)*VERI_TABANI!$B$9, 0) + (VERI_TABANI!D25*B245*(VERI_TABANI!$B$13-VERI_TABANI!$B$14)*VERI_TABANI!G25) + (VERI_TABANI!D25*C245*(VERI_TABANI!$B$13-VERI_TABANI!$B$15)*VERI_TABANI!G25) + IF(ABS(IF(ISNUMBER(SEARCH("Var", D245)), 1, IF(ISNUMBER(SEARCH("Gri", D245)), -1, 0)))=1, VERI_TABANI!E25*(1-0.928)*0.00206091519919798*VERI_TABANI!G25, 0)) + ((MIN(VERI_TABANI!D26, VERI_TABANI!D26*B245)*VERI_TABANI!$B$7 + MAX(0, VERI_TABANI!D26*B245-VERI_TABANI!D26)*VERI_TABANI!$B$8) + (MIN(MAX(0, VERI_TABANI!D26-VERI_TABANI!D26*B245), VERI_TABANI!D26*C245)*VERI_TABANI!$B$7 + MAX(0, VERI_TABANI!D26*C245-MAX(0, VERI_TABANI!D26-VERI_TABANI!D26*B245))*VERI_TABANI!$B$8) + IF(ABS(IF(ISNUMBER(SEARCH("Var", D245)), 1, IF(ISNUMBER(SEARCH("Gri", D245)), -1, 0)))=1, VERI_TABANI!E26*(1-0.928)*VERI_TABANI!$B$9, 0) + (VERI_TABANI!D26*B245*(VERI_TABANI!$B$13-VERI_TABANI!$B$14)*VERI_TABANI!G26) + (VERI_TABANI!D26*C245*(VERI_TABANI!$B$13-VERI_TABANI!$B$15)*VERI_TABANI!G26) + IF(ABS(IF(ISNUMBER(SEARCH("Var", D245)), 1, IF(ISNUMBER(SEARCH("Gri", D245)), -1, 0)))=1, VERI_TABANI!E26*(1-0.928)*0.00206091519919798*VERI_TABANI!G26, 0)) + ((MIN(VERI_TABANI!D27, VERI_TABANI!D27*B245)*VERI_TABANI!$B$7 + MAX(0, VERI_TABANI!D27*B245-VERI_TABANI!D27)*VERI_TABANI!$B$8) + (MIN(MAX(0, VERI_TABANI!D27-VERI_TABANI!D27*B245), VERI_TABANI!D27*C245)*VERI_TABANI!$B$7 + MAX(0, VERI_TABANI!D27*C245-MAX(0, VERI_TABANI!D27-VERI_TABANI!D27*B245))*VERI_TABANI!$B$8) + IF(ABS(IF(ISNUMBER(SEARCH("Var", D245)), 1, IF(ISNUMBER(SEARCH("Gri", D245)), -1, 0)))=1, VERI_TABANI!E27*(1-0.928)*VERI_TABANI!$B$9, 0) + (VERI_TABANI!D27*B245*(VERI_TABANI!$B$13-VERI_TABANI!$B$14)*VERI_TABANI!G27) + (VERI_TABANI!D27*C245*(VERI_TABANI!$B$13-VERI_TABANI!$B$15)*VERI_TABANI!G27) + IF(ABS(IF(ISNUMBER(SEARCH("Var", D245)), 1, IF(ISNUMBER(SEARCH("Gri", D245)), -1, 0)))=1, VERI_TABANI!E27*(1-0.928)*0.00206091519919798*VERI_TABANI!G27, 0)) + ((MIN(VERI_TABANI!D28, VERI_TABANI!D28*B245)*VERI_TABANI!$B$7 + MAX(0, VERI_TABANI!D28*B245-VERI_TABANI!D28)*VERI_TABANI!$B$8) + (MIN(MAX(0, VERI_TABANI!D28-VERI_TABANI!D28*B245), VERI_TABANI!D28*C245)*VERI_TABANI!$B$7 + MAX(0, VERI_TABANI!D28*C245-MAX(0, VERI_TABANI!D28-VERI_TABANI!D28*B245))*VERI_TABANI!$B$8) + IF(ABS(IF(ISNUMBER(SEARCH("Var", D245)), 1, IF(ISNUMBER(SEARCH("Gri", D245)), -1, 0)))=1, VERI_TABANI!E28*(1-0.928)*VERI_TABANI!$B$9, 0) + (VERI_TABANI!D28*B245*(VERI_TABANI!$B$13-VERI_TABANI!$B$14)*VERI_TABANI!G28) + (VERI_TABANI!D28*C245*(VERI_TABANI!$B$13-VERI_TABANI!$B$15)*VERI_TABANI!G28) + IF(ABS(IF(ISNUMBER(SEARCH("Var", D245)), 1, IF(ISNUMBER(SEARCH("Gri", D245)), -1, 0)))=1, VERI_TABANI!E28*(1-0.928)*0.00206091519919798*VERI_TABANI!G28, 0)))</f>
        <v/>
      </c>
      <c r="H245" s="169">
        <f>(((VERI_TABANI!D23*B245*(VERI_TABANI!$B$13-VERI_TABANI!$B$14)) + (VERI_TABANI!D23*C245*(VERI_TABANI!$B$13-VERI_TABANI!$B$15)) + IF(ISNUMBER(SEARCH("Var", D245)), VERI_TABANI!F23*(0.00202-VERI_TABANI!$B$16), IF(ISNUMBER(SEARCH("Gri", D245)), VERI_TABANI!F23*(0.00202-VERI_TABANI!$B$17), 0))) + ((VERI_TABANI!D24*B245*(VERI_TABANI!$B$13-VERI_TABANI!$B$14)) + (VERI_TABANI!D24*C245*(VERI_TABANI!$B$13-VERI_TABANI!$B$15)) + IF(ISNUMBER(SEARCH("Var", D245)), VERI_TABANI!F24*(0.00202-VERI_TABANI!$B$16), IF(ISNUMBER(SEARCH("Gri", D245)), VERI_TABANI!F24*(0.00202-VERI_TABANI!$B$17), 0))) + ((VERI_TABANI!D25*B245*(VERI_TABANI!$B$13-VERI_TABANI!$B$14)) + (VERI_TABANI!D25*C245*(VERI_TABANI!$B$13-VERI_TABANI!$B$15)) + IF(ISNUMBER(SEARCH("Var", D245)), VERI_TABANI!F25*(0.00202-VERI_TABANI!$B$16), IF(ISNUMBER(SEARCH("Gri", D245)), VERI_TABANI!F25*(0.00202-VERI_TABANI!$B$17), 0))) + ((VERI_TABANI!D26*B245*(VERI_TABANI!$B$13-VERI_TABANI!$B$14)) + (VERI_TABANI!D26*C245*(VERI_TABANI!$B$13-VERI_TABANI!$B$15)) + IF(ISNUMBER(SEARCH("Var", D245)), VERI_TABANI!F26*(0.00202-VERI_TABANI!$B$16), IF(ISNUMBER(SEARCH("Gri", D245)), VERI_TABANI!F26*(0.00202-VERI_TABANI!$B$17), 0))) + ((VERI_TABANI!D27*B245*(VERI_TABANI!$B$13-VERI_TABANI!$B$14)) + (VERI_TABANI!D27*C245*(VERI_TABANI!$B$13-VERI_TABANI!$B$15)) + IF(ISNUMBER(SEARCH("Var", D245)), VERI_TABANI!F27*(0.00202-VERI_TABANI!$B$16), IF(ISNUMBER(SEARCH("Gri", D245)), VERI_TABANI!F27*(0.00202-VERI_TABANI!$B$17), 0))) + ((VERI_TABANI!D28*B245*(VERI_TABANI!$B$13-VERI_TABANI!$B$14)) + (VERI_TABANI!D28*C245*(VERI_TABANI!$B$13-VERI_TABANI!$B$15)) + IF(ISNUMBER(SEARCH("Var", D245)), VERI_TABANI!F28*(0.00202-VERI_TABANI!$B$16), IF(ISNUMBER(SEARCH("Gri", D245)), VERI_TABANI!F28*(0.00202-VERI_TABANI!$B$17), 0))))</f>
        <v/>
      </c>
      <c r="I245" s="170">
        <f>IFERROR(((VERI_TABANI!$D$29*B245*VERI_TABANI!$B$14 + VERI_TABANI!$D$29*C245*VERI_TABANI!$B$15 + IF(ISNUMBER(SEARCH("Var", D245)), VERI_TABANI!$F$29*VERI_TABANI!$B$16, 0))) / (((VERI_TABANI!$D$29*B245 + VERI_TABANI!$D$29*C245)*VERI_TABANI!$B$13 + IF(ISNUMBER(SEARCH("Var", D245)), VERI_TABANI!$E$29*(1-0.928)*VERI_TABANI!$B$18, 0))), 0)</f>
        <v/>
      </c>
      <c r="J245" s="171">
        <f>IFERROR(F245/(G245/29), 0)</f>
        <v/>
      </c>
      <c r="K245" s="172">
        <f>IF(F245&gt;0, H245/F245, 0)</f>
        <v/>
      </c>
      <c r="L245" s="170">
        <f>IF(F245&gt;0, I245, 1000000000)</f>
        <v/>
      </c>
      <c r="M245" s="171">
        <f>ABS((B245+C245)-1)</f>
        <v/>
      </c>
      <c r="N245" s="170">
        <f>IF(F245&gt;0, (G245/29)/F245, 0)</f>
        <v/>
      </c>
      <c r="O245" s="168">
        <f>IF(AND((B245+C245)&gt;=1, ISNUMBER(SEARCH("Var", D245))), F245, 1000000000)</f>
        <v/>
      </c>
      <c r="P245" s="172">
        <f>IF(F245&gt;0, SQRT((F245/MAX(F$5:F$886))^2 + (1 - H245/MAX(H$5:H$886))^2 + (J245/MAX(J$5:J$886))^2), 1000000000)</f>
        <v/>
      </c>
      <c r="Q245" s="166">
        <f>IF(AND(ABS(B245-0.5)&lt;0.01, ABS(C245-0.5)&lt;0.01, ISNUMBER(SEARCH("Var", D245))), 1, 0)</f>
        <v/>
      </c>
      <c r="R245" s="171">
        <f>IF(F245&gt;0, J245, 1000000000)</f>
        <v/>
      </c>
      <c r="S245" s="101">
        <f>IF(AND(F245&lt;=DASHBOARD!$B$11, H245&gt;=DASHBOARD!$B$13), G245, -1000000000000)</f>
        <v/>
      </c>
      <c r="T245" s="101">
        <f>IF(AND(F245&lt;=DASHBOARD!$B$11, H245&gt;=DASHBOARD!$B$13), R245, 1000000000000)</f>
        <v/>
      </c>
      <c r="U245" s="101">
        <f>IF(AND(F245&lt;=DASHBOARD!$B$11, H245&gt;=DASHBOARD!$B$13), N245, -1000000000000)</f>
        <v/>
      </c>
      <c r="V245" s="101">
        <f>IF(AND(F245&lt;=DASHBOARD!$B$11, H245&gt;=DASHBOARD!$B$13), H245, -1000000000000)</f>
        <v/>
      </c>
      <c r="W245" s="101">
        <f>IF(AND(F245&lt;=DASHBOARD!$B$11, H245&gt;=DASHBOARD!$B$13), K245, -1000000000000)</f>
        <v/>
      </c>
      <c r="X245" s="101">
        <f>IF(AND(F245&lt;=DASHBOARD!$B$11, H245&gt;=DASHBOARD!$B$13), M245, 1000000000000)</f>
        <v/>
      </c>
      <c r="Y245" s="101">
        <f>IF(AND(F245&lt;=DASHBOARD!$B$10, H245&gt;=DASHBOARD!$B$11), L245, 1000000000000)</f>
        <v/>
      </c>
      <c r="Z245" s="101">
        <f>IF(AND(F245&lt;=DASHBOARD!$B$10, H245&gt;=DASHBOARD!$B$11), O245, 1000000000000)</f>
        <v/>
      </c>
      <c r="AA245" s="101">
        <f>IF(AND(F245&lt;=DASHBOARD!$B$10, H245&gt;=DASHBOARD!$B$11), P245, 1000000000000)</f>
        <v/>
      </c>
      <c r="AB245" s="101">
        <f>IF(AND(F245&lt;=DASHBOARD!$B$10, H245&gt;=DASHBOARD!$B$11), Q245, -1000000000000)</f>
        <v/>
      </c>
    </row>
    <row r="246" ht="15" customHeight="1" s="102">
      <c r="A246" s="166" t="n">
        <v>242</v>
      </c>
      <c r="B246" s="167" t="n">
        <v>0.5</v>
      </c>
      <c r="C246" s="167" t="n">
        <v>1.5</v>
      </c>
      <c r="D246" s="110" t="inlineStr">
        <is>
          <t>Var (%20)</t>
        </is>
      </c>
      <c r="E246" s="110">
        <f>IF((B246+C246)&lt;=1, "Tam Mahsuplaşma (≤%100)", "Kısmi Satış (&gt;%100)")</f>
        <v/>
      </c>
      <c r="F246" s="168">
        <f>((VERI_TABANI!$D$29*B246/VERI_TABANI!$B$29)/VERI_TABANI!$B$3)*VERI_TABANI!$B$5 + ((VERI_TABANI!$D$29*C246/VERI_TABANI!$B$29)/VERI_TABANI!$B$4)*VERI_TABANI!$B$6 + IF(ISNUMBER(SEARCH("Var", D246)), (VERI_TABANI!$F$29/VERI_TABANI!$B$29)*(VERI_TABANI!$B$10+VERI_TABANI!$B$12), 0)</f>
        <v/>
      </c>
      <c r="G246" s="168">
        <f>(((MIN(VERI_TABANI!D23, VERI_TABANI!D23*B246)*VERI_TABANI!$B$7 + MAX(0, VERI_TABANI!D23*B246-VERI_TABANI!D23)*VERI_TABANI!$B$8) + (MIN(MAX(0, VERI_TABANI!D23-VERI_TABANI!D23*B246), VERI_TABANI!D23*C246)*VERI_TABANI!$B$7 + MAX(0, VERI_TABANI!D23*C246-MAX(0, VERI_TABANI!D23-VERI_TABANI!D23*B246))*VERI_TABANI!$B$8) + IF(ABS(IF(ISNUMBER(SEARCH("Var", D246)), 1, IF(ISNUMBER(SEARCH("Gri", D246)), -1, 0)))=1, VERI_TABANI!E23*(1-0.928)*VERI_TABANI!$B$9, 0) + (VERI_TABANI!D23*B246*(VERI_TABANI!$B$13-VERI_TABANI!$B$14)*VERI_TABANI!G23) + (VERI_TABANI!D23*C246*(VERI_TABANI!$B$13-VERI_TABANI!$B$15)*VERI_TABANI!G23) + IF(ABS(IF(ISNUMBER(SEARCH("Var", D246)), 1, IF(ISNUMBER(SEARCH("Gri", D246)), -1, 0)))=1, VERI_TABANI!E23*(1-0.928)*0.00206091519919798*VERI_TABANI!G23, 0)) + ((MIN(VERI_TABANI!D24, VERI_TABANI!D24*B246)*VERI_TABANI!$B$7 + MAX(0, VERI_TABANI!D24*B246-VERI_TABANI!D24)*VERI_TABANI!$B$8) + (MIN(MAX(0, VERI_TABANI!D24-VERI_TABANI!D24*B246), VERI_TABANI!D24*C246)*VERI_TABANI!$B$7 + MAX(0, VERI_TABANI!D24*C246-MAX(0, VERI_TABANI!D24-VERI_TABANI!D24*B246))*VERI_TABANI!$B$8) + IF(ABS(IF(ISNUMBER(SEARCH("Var", D246)), 1, IF(ISNUMBER(SEARCH("Gri", D246)), -1, 0)))=1, VERI_TABANI!E24*(1-0.928)*VERI_TABANI!$B$9, 0) + (VERI_TABANI!D24*B246*(VERI_TABANI!$B$13-VERI_TABANI!$B$14)*VERI_TABANI!G24) + (VERI_TABANI!D24*C246*(VERI_TABANI!$B$13-VERI_TABANI!$B$15)*VERI_TABANI!G24) + IF(ABS(IF(ISNUMBER(SEARCH("Var", D246)), 1, IF(ISNUMBER(SEARCH("Gri", D246)), -1, 0)))=1, VERI_TABANI!E24*(1-0.928)*0.00206091519919798*VERI_TABANI!G24, 0)) + ((MIN(VERI_TABANI!D25, VERI_TABANI!D25*B246)*VERI_TABANI!$B$7 + MAX(0, VERI_TABANI!D25*B246-VERI_TABANI!D25)*VERI_TABANI!$B$8) + (MIN(MAX(0, VERI_TABANI!D25-VERI_TABANI!D25*B246), VERI_TABANI!D25*C246)*VERI_TABANI!$B$7 + MAX(0, VERI_TABANI!D25*C246-MAX(0, VERI_TABANI!D25-VERI_TABANI!D25*B246))*VERI_TABANI!$B$8) + IF(ABS(IF(ISNUMBER(SEARCH("Var", D246)), 1, IF(ISNUMBER(SEARCH("Gri", D246)), -1, 0)))=1, VERI_TABANI!E25*(1-0.928)*VERI_TABANI!$B$9, 0) + (VERI_TABANI!D25*B246*(VERI_TABANI!$B$13-VERI_TABANI!$B$14)*VERI_TABANI!G25) + (VERI_TABANI!D25*C246*(VERI_TABANI!$B$13-VERI_TABANI!$B$15)*VERI_TABANI!G25) + IF(ABS(IF(ISNUMBER(SEARCH("Var", D246)), 1, IF(ISNUMBER(SEARCH("Gri", D246)), -1, 0)))=1, VERI_TABANI!E25*(1-0.928)*0.00206091519919798*VERI_TABANI!G25, 0)) + ((MIN(VERI_TABANI!D26, VERI_TABANI!D26*B246)*VERI_TABANI!$B$7 + MAX(0, VERI_TABANI!D26*B246-VERI_TABANI!D26)*VERI_TABANI!$B$8) + (MIN(MAX(0, VERI_TABANI!D26-VERI_TABANI!D26*B246), VERI_TABANI!D26*C246)*VERI_TABANI!$B$7 + MAX(0, VERI_TABANI!D26*C246-MAX(0, VERI_TABANI!D26-VERI_TABANI!D26*B246))*VERI_TABANI!$B$8) + IF(ABS(IF(ISNUMBER(SEARCH("Var", D246)), 1, IF(ISNUMBER(SEARCH("Gri", D246)), -1, 0)))=1, VERI_TABANI!E26*(1-0.928)*VERI_TABANI!$B$9, 0) + (VERI_TABANI!D26*B246*(VERI_TABANI!$B$13-VERI_TABANI!$B$14)*VERI_TABANI!G26) + (VERI_TABANI!D26*C246*(VERI_TABANI!$B$13-VERI_TABANI!$B$15)*VERI_TABANI!G26) + IF(ABS(IF(ISNUMBER(SEARCH("Var", D246)), 1, IF(ISNUMBER(SEARCH("Gri", D246)), -1, 0)))=1, VERI_TABANI!E26*(1-0.928)*0.00206091519919798*VERI_TABANI!G26, 0)) + ((MIN(VERI_TABANI!D27, VERI_TABANI!D27*B246)*VERI_TABANI!$B$7 + MAX(0, VERI_TABANI!D27*B246-VERI_TABANI!D27)*VERI_TABANI!$B$8) + (MIN(MAX(0, VERI_TABANI!D27-VERI_TABANI!D27*B246), VERI_TABANI!D27*C246)*VERI_TABANI!$B$7 + MAX(0, VERI_TABANI!D27*C246-MAX(0, VERI_TABANI!D27-VERI_TABANI!D27*B246))*VERI_TABANI!$B$8) + IF(ABS(IF(ISNUMBER(SEARCH("Var", D246)), 1, IF(ISNUMBER(SEARCH("Gri", D246)), -1, 0)))=1, VERI_TABANI!E27*(1-0.928)*VERI_TABANI!$B$9, 0) + (VERI_TABANI!D27*B246*(VERI_TABANI!$B$13-VERI_TABANI!$B$14)*VERI_TABANI!G27) + (VERI_TABANI!D27*C246*(VERI_TABANI!$B$13-VERI_TABANI!$B$15)*VERI_TABANI!G27) + IF(ABS(IF(ISNUMBER(SEARCH("Var", D246)), 1, IF(ISNUMBER(SEARCH("Gri", D246)), -1, 0)))=1, VERI_TABANI!E27*(1-0.928)*0.00206091519919798*VERI_TABANI!G27, 0)) + ((MIN(VERI_TABANI!D28, VERI_TABANI!D28*B246)*VERI_TABANI!$B$7 + MAX(0, VERI_TABANI!D28*B246-VERI_TABANI!D28)*VERI_TABANI!$B$8) + (MIN(MAX(0, VERI_TABANI!D28-VERI_TABANI!D28*B246), VERI_TABANI!D28*C246)*VERI_TABANI!$B$7 + MAX(0, VERI_TABANI!D28*C246-MAX(0, VERI_TABANI!D28-VERI_TABANI!D28*B246))*VERI_TABANI!$B$8) + IF(ABS(IF(ISNUMBER(SEARCH("Var", D246)), 1, IF(ISNUMBER(SEARCH("Gri", D246)), -1, 0)))=1, VERI_TABANI!E28*(1-0.928)*VERI_TABANI!$B$9, 0) + (VERI_TABANI!D28*B246*(VERI_TABANI!$B$13-VERI_TABANI!$B$14)*VERI_TABANI!G28) + (VERI_TABANI!D28*C246*(VERI_TABANI!$B$13-VERI_TABANI!$B$15)*VERI_TABANI!G28) + IF(ABS(IF(ISNUMBER(SEARCH("Var", D246)), 1, IF(ISNUMBER(SEARCH("Gri", D246)), -1, 0)))=1, VERI_TABANI!E28*(1-0.928)*0.00206091519919798*VERI_TABANI!G28, 0)))</f>
        <v/>
      </c>
      <c r="H246" s="169">
        <f>(((VERI_TABANI!D23*B246*(VERI_TABANI!$B$13-VERI_TABANI!$B$14)) + (VERI_TABANI!D23*C246*(VERI_TABANI!$B$13-VERI_TABANI!$B$15)) + IF(ISNUMBER(SEARCH("Var", D246)), VERI_TABANI!F23*(0.00202-VERI_TABANI!$B$16), IF(ISNUMBER(SEARCH("Gri", D246)), VERI_TABANI!F23*(0.00202-VERI_TABANI!$B$17), 0))) + ((VERI_TABANI!D24*B246*(VERI_TABANI!$B$13-VERI_TABANI!$B$14)) + (VERI_TABANI!D24*C246*(VERI_TABANI!$B$13-VERI_TABANI!$B$15)) + IF(ISNUMBER(SEARCH("Var", D246)), VERI_TABANI!F24*(0.00202-VERI_TABANI!$B$16), IF(ISNUMBER(SEARCH("Gri", D246)), VERI_TABANI!F24*(0.00202-VERI_TABANI!$B$17), 0))) + ((VERI_TABANI!D25*B246*(VERI_TABANI!$B$13-VERI_TABANI!$B$14)) + (VERI_TABANI!D25*C246*(VERI_TABANI!$B$13-VERI_TABANI!$B$15)) + IF(ISNUMBER(SEARCH("Var", D246)), VERI_TABANI!F25*(0.00202-VERI_TABANI!$B$16), IF(ISNUMBER(SEARCH("Gri", D246)), VERI_TABANI!F25*(0.00202-VERI_TABANI!$B$17), 0))) + ((VERI_TABANI!D26*B246*(VERI_TABANI!$B$13-VERI_TABANI!$B$14)) + (VERI_TABANI!D26*C246*(VERI_TABANI!$B$13-VERI_TABANI!$B$15)) + IF(ISNUMBER(SEARCH("Var", D246)), VERI_TABANI!F26*(0.00202-VERI_TABANI!$B$16), IF(ISNUMBER(SEARCH("Gri", D246)), VERI_TABANI!F26*(0.00202-VERI_TABANI!$B$17), 0))) + ((VERI_TABANI!D27*B246*(VERI_TABANI!$B$13-VERI_TABANI!$B$14)) + (VERI_TABANI!D27*C246*(VERI_TABANI!$B$13-VERI_TABANI!$B$15)) + IF(ISNUMBER(SEARCH("Var", D246)), VERI_TABANI!F27*(0.00202-VERI_TABANI!$B$16), IF(ISNUMBER(SEARCH("Gri", D246)), VERI_TABANI!F27*(0.00202-VERI_TABANI!$B$17), 0))) + ((VERI_TABANI!D28*B246*(VERI_TABANI!$B$13-VERI_TABANI!$B$14)) + (VERI_TABANI!D28*C246*(VERI_TABANI!$B$13-VERI_TABANI!$B$15)) + IF(ISNUMBER(SEARCH("Var", D246)), VERI_TABANI!F28*(0.00202-VERI_TABANI!$B$16), IF(ISNUMBER(SEARCH("Gri", D246)), VERI_TABANI!F28*(0.00202-VERI_TABANI!$B$17), 0))))</f>
        <v/>
      </c>
      <c r="I246" s="170">
        <f>IFERROR(((VERI_TABANI!$D$29*B246*VERI_TABANI!$B$14 + VERI_TABANI!$D$29*C246*VERI_TABANI!$B$15 + IF(ISNUMBER(SEARCH("Var", D246)), VERI_TABANI!$F$29*VERI_TABANI!$B$16, 0))) / (((VERI_TABANI!$D$29*B246 + VERI_TABANI!$D$29*C246)*VERI_TABANI!$B$13 + IF(ISNUMBER(SEARCH("Var", D246)), VERI_TABANI!$E$29*(1-0.928)*VERI_TABANI!$B$18, 0))), 0)</f>
        <v/>
      </c>
      <c r="J246" s="171">
        <f>IFERROR(F246/(G246/29), 0)</f>
        <v/>
      </c>
      <c r="K246" s="172">
        <f>IF(F246&gt;0, H246/F246, 0)</f>
        <v/>
      </c>
      <c r="L246" s="170">
        <f>IF(F246&gt;0, I246, 1000000000)</f>
        <v/>
      </c>
      <c r="M246" s="171">
        <f>ABS((B246+C246)-1)</f>
        <v/>
      </c>
      <c r="N246" s="170">
        <f>IF(F246&gt;0, (G246/29)/F246, 0)</f>
        <v/>
      </c>
      <c r="O246" s="168">
        <f>IF(AND((B246+C246)&gt;=1, ISNUMBER(SEARCH("Var", D246))), F246, 1000000000)</f>
        <v/>
      </c>
      <c r="P246" s="172">
        <f>IF(F246&gt;0, SQRT((F246/MAX(F$5:F$886))^2 + (1 - H246/MAX(H$5:H$886))^2 + (J246/MAX(J$5:J$886))^2), 1000000000)</f>
        <v/>
      </c>
      <c r="Q246" s="166">
        <f>IF(AND(ABS(B246-0.5)&lt;0.01, ABS(C246-0.5)&lt;0.01, ISNUMBER(SEARCH("Var", D246))), 1, 0)</f>
        <v/>
      </c>
      <c r="R246" s="171">
        <f>IF(F246&gt;0, J246, 1000000000)</f>
        <v/>
      </c>
      <c r="S246" s="101">
        <f>IF(AND(F246&lt;=DASHBOARD!$B$11, H246&gt;=DASHBOARD!$B$13), G246, -1000000000000)</f>
        <v/>
      </c>
      <c r="T246" s="101">
        <f>IF(AND(F246&lt;=DASHBOARD!$B$11, H246&gt;=DASHBOARD!$B$13), R246, 1000000000000)</f>
        <v/>
      </c>
      <c r="U246" s="101">
        <f>IF(AND(F246&lt;=DASHBOARD!$B$11, H246&gt;=DASHBOARD!$B$13), N246, -1000000000000)</f>
        <v/>
      </c>
      <c r="V246" s="101">
        <f>IF(AND(F246&lt;=DASHBOARD!$B$11, H246&gt;=DASHBOARD!$B$13), H246, -1000000000000)</f>
        <v/>
      </c>
      <c r="W246" s="101">
        <f>IF(AND(F246&lt;=DASHBOARD!$B$11, H246&gt;=DASHBOARD!$B$13), K246, -1000000000000)</f>
        <v/>
      </c>
      <c r="X246" s="101">
        <f>IF(AND(F246&lt;=DASHBOARD!$B$11, H246&gt;=DASHBOARD!$B$13), M246, 1000000000000)</f>
        <v/>
      </c>
      <c r="Y246" s="101">
        <f>IF(AND(F246&lt;=DASHBOARD!$B$10, H246&gt;=DASHBOARD!$B$11), L246, 1000000000000)</f>
        <v/>
      </c>
      <c r="Z246" s="101">
        <f>IF(AND(F246&lt;=DASHBOARD!$B$10, H246&gt;=DASHBOARD!$B$11), O246, 1000000000000)</f>
        <v/>
      </c>
      <c r="AA246" s="101">
        <f>IF(AND(F246&lt;=DASHBOARD!$B$10, H246&gt;=DASHBOARD!$B$11), P246, 1000000000000)</f>
        <v/>
      </c>
      <c r="AB246" s="101">
        <f>IF(AND(F246&lt;=DASHBOARD!$B$10, H246&gt;=DASHBOARD!$B$11), Q246, -1000000000000)</f>
        <v/>
      </c>
    </row>
    <row r="247" ht="15" customHeight="1" s="102">
      <c r="A247" s="166" t="n">
        <v>243</v>
      </c>
      <c r="B247" s="167" t="n">
        <v>0.5</v>
      </c>
      <c r="C247" s="167" t="n">
        <v>1.6</v>
      </c>
      <c r="D247" s="110" t="inlineStr">
        <is>
          <t>Yok (%0)</t>
        </is>
      </c>
      <c r="E247" s="110">
        <f>IF((B247+C247)&lt;=1, "Tam Mahsuplaşma (≤%100)", "Kısmi Satış (&gt;%100)")</f>
        <v/>
      </c>
      <c r="F247" s="168">
        <f>((VERI_TABANI!$D$29*B247/VERI_TABANI!$B$29)/VERI_TABANI!$B$3)*VERI_TABANI!$B$5 + ((VERI_TABANI!$D$29*C247/VERI_TABANI!$B$29)/VERI_TABANI!$B$4)*VERI_TABANI!$B$6 + IF(ISNUMBER(SEARCH("Var", D247)), (VERI_TABANI!$F$29/VERI_TABANI!$B$29)*(VERI_TABANI!$B$10+VERI_TABANI!$B$12), 0)</f>
        <v/>
      </c>
      <c r="G247" s="168">
        <f>(((MIN(VERI_TABANI!D23, VERI_TABANI!D23*B247)*VERI_TABANI!$B$7 + MAX(0, VERI_TABANI!D23*B247-VERI_TABANI!D23)*VERI_TABANI!$B$8) + (MIN(MAX(0, VERI_TABANI!D23-VERI_TABANI!D23*B247), VERI_TABANI!D23*C247)*VERI_TABANI!$B$7 + MAX(0, VERI_TABANI!D23*C247-MAX(0, VERI_TABANI!D23-VERI_TABANI!D23*B247))*VERI_TABANI!$B$8) + IF(ABS(IF(ISNUMBER(SEARCH("Var", D247)), 1, IF(ISNUMBER(SEARCH("Gri", D247)), -1, 0)))=1, VERI_TABANI!E23*(1-0.928)*VERI_TABANI!$B$9, 0) + (VERI_TABANI!D23*B247*(VERI_TABANI!$B$13-VERI_TABANI!$B$14)*VERI_TABANI!G23) + (VERI_TABANI!D23*C247*(VERI_TABANI!$B$13-VERI_TABANI!$B$15)*VERI_TABANI!G23) + IF(ABS(IF(ISNUMBER(SEARCH("Var", D247)), 1, IF(ISNUMBER(SEARCH("Gri", D247)), -1, 0)))=1, VERI_TABANI!E23*(1-0.928)*0.00206091519919798*VERI_TABANI!G23, 0)) + ((MIN(VERI_TABANI!D24, VERI_TABANI!D24*B247)*VERI_TABANI!$B$7 + MAX(0, VERI_TABANI!D24*B247-VERI_TABANI!D24)*VERI_TABANI!$B$8) + (MIN(MAX(0, VERI_TABANI!D24-VERI_TABANI!D24*B247), VERI_TABANI!D24*C247)*VERI_TABANI!$B$7 + MAX(0, VERI_TABANI!D24*C247-MAX(0, VERI_TABANI!D24-VERI_TABANI!D24*B247))*VERI_TABANI!$B$8) + IF(ABS(IF(ISNUMBER(SEARCH("Var", D247)), 1, IF(ISNUMBER(SEARCH("Gri", D247)), -1, 0)))=1, VERI_TABANI!E24*(1-0.928)*VERI_TABANI!$B$9, 0) + (VERI_TABANI!D24*B247*(VERI_TABANI!$B$13-VERI_TABANI!$B$14)*VERI_TABANI!G24) + (VERI_TABANI!D24*C247*(VERI_TABANI!$B$13-VERI_TABANI!$B$15)*VERI_TABANI!G24) + IF(ABS(IF(ISNUMBER(SEARCH("Var", D247)), 1, IF(ISNUMBER(SEARCH("Gri", D247)), -1, 0)))=1, VERI_TABANI!E24*(1-0.928)*0.00206091519919798*VERI_TABANI!G24, 0)) + ((MIN(VERI_TABANI!D25, VERI_TABANI!D25*B247)*VERI_TABANI!$B$7 + MAX(0, VERI_TABANI!D25*B247-VERI_TABANI!D25)*VERI_TABANI!$B$8) + (MIN(MAX(0, VERI_TABANI!D25-VERI_TABANI!D25*B247), VERI_TABANI!D25*C247)*VERI_TABANI!$B$7 + MAX(0, VERI_TABANI!D25*C247-MAX(0, VERI_TABANI!D25-VERI_TABANI!D25*B247))*VERI_TABANI!$B$8) + IF(ABS(IF(ISNUMBER(SEARCH("Var", D247)), 1, IF(ISNUMBER(SEARCH("Gri", D247)), -1, 0)))=1, VERI_TABANI!E25*(1-0.928)*VERI_TABANI!$B$9, 0) + (VERI_TABANI!D25*B247*(VERI_TABANI!$B$13-VERI_TABANI!$B$14)*VERI_TABANI!G25) + (VERI_TABANI!D25*C247*(VERI_TABANI!$B$13-VERI_TABANI!$B$15)*VERI_TABANI!G25) + IF(ABS(IF(ISNUMBER(SEARCH("Var", D247)), 1, IF(ISNUMBER(SEARCH("Gri", D247)), -1, 0)))=1, VERI_TABANI!E25*(1-0.928)*0.00206091519919798*VERI_TABANI!G25, 0)) + ((MIN(VERI_TABANI!D26, VERI_TABANI!D26*B247)*VERI_TABANI!$B$7 + MAX(0, VERI_TABANI!D26*B247-VERI_TABANI!D26)*VERI_TABANI!$B$8) + (MIN(MAX(0, VERI_TABANI!D26-VERI_TABANI!D26*B247), VERI_TABANI!D26*C247)*VERI_TABANI!$B$7 + MAX(0, VERI_TABANI!D26*C247-MAX(0, VERI_TABANI!D26-VERI_TABANI!D26*B247))*VERI_TABANI!$B$8) + IF(ABS(IF(ISNUMBER(SEARCH("Var", D247)), 1, IF(ISNUMBER(SEARCH("Gri", D247)), -1, 0)))=1, VERI_TABANI!E26*(1-0.928)*VERI_TABANI!$B$9, 0) + (VERI_TABANI!D26*B247*(VERI_TABANI!$B$13-VERI_TABANI!$B$14)*VERI_TABANI!G26) + (VERI_TABANI!D26*C247*(VERI_TABANI!$B$13-VERI_TABANI!$B$15)*VERI_TABANI!G26) + IF(ABS(IF(ISNUMBER(SEARCH("Var", D247)), 1, IF(ISNUMBER(SEARCH("Gri", D247)), -1, 0)))=1, VERI_TABANI!E26*(1-0.928)*0.00206091519919798*VERI_TABANI!G26, 0)) + ((MIN(VERI_TABANI!D27, VERI_TABANI!D27*B247)*VERI_TABANI!$B$7 + MAX(0, VERI_TABANI!D27*B247-VERI_TABANI!D27)*VERI_TABANI!$B$8) + (MIN(MAX(0, VERI_TABANI!D27-VERI_TABANI!D27*B247), VERI_TABANI!D27*C247)*VERI_TABANI!$B$7 + MAX(0, VERI_TABANI!D27*C247-MAX(0, VERI_TABANI!D27-VERI_TABANI!D27*B247))*VERI_TABANI!$B$8) + IF(ABS(IF(ISNUMBER(SEARCH("Var", D247)), 1, IF(ISNUMBER(SEARCH("Gri", D247)), -1, 0)))=1, VERI_TABANI!E27*(1-0.928)*VERI_TABANI!$B$9, 0) + (VERI_TABANI!D27*B247*(VERI_TABANI!$B$13-VERI_TABANI!$B$14)*VERI_TABANI!G27) + (VERI_TABANI!D27*C247*(VERI_TABANI!$B$13-VERI_TABANI!$B$15)*VERI_TABANI!G27) + IF(ABS(IF(ISNUMBER(SEARCH("Var", D247)), 1, IF(ISNUMBER(SEARCH("Gri", D247)), -1, 0)))=1, VERI_TABANI!E27*(1-0.928)*0.00206091519919798*VERI_TABANI!G27, 0)) + ((MIN(VERI_TABANI!D28, VERI_TABANI!D28*B247)*VERI_TABANI!$B$7 + MAX(0, VERI_TABANI!D28*B247-VERI_TABANI!D28)*VERI_TABANI!$B$8) + (MIN(MAX(0, VERI_TABANI!D28-VERI_TABANI!D28*B247), VERI_TABANI!D28*C247)*VERI_TABANI!$B$7 + MAX(0, VERI_TABANI!D28*C247-MAX(0, VERI_TABANI!D28-VERI_TABANI!D28*B247))*VERI_TABANI!$B$8) + IF(ABS(IF(ISNUMBER(SEARCH("Var", D247)), 1, IF(ISNUMBER(SEARCH("Gri", D247)), -1, 0)))=1, VERI_TABANI!E28*(1-0.928)*VERI_TABANI!$B$9, 0) + (VERI_TABANI!D28*B247*(VERI_TABANI!$B$13-VERI_TABANI!$B$14)*VERI_TABANI!G28) + (VERI_TABANI!D28*C247*(VERI_TABANI!$B$13-VERI_TABANI!$B$15)*VERI_TABANI!G28) + IF(ABS(IF(ISNUMBER(SEARCH("Var", D247)), 1, IF(ISNUMBER(SEARCH("Gri", D247)), -1, 0)))=1, VERI_TABANI!E28*(1-0.928)*0.00206091519919798*VERI_TABANI!G28, 0)))</f>
        <v/>
      </c>
      <c r="H247" s="169">
        <f>(((VERI_TABANI!D23*B247*(VERI_TABANI!$B$13-VERI_TABANI!$B$14)) + (VERI_TABANI!D23*C247*(VERI_TABANI!$B$13-VERI_TABANI!$B$15)) + IF(ISNUMBER(SEARCH("Var", D247)), VERI_TABANI!F23*(0.00202-VERI_TABANI!$B$16), IF(ISNUMBER(SEARCH("Gri", D247)), VERI_TABANI!F23*(0.00202-VERI_TABANI!$B$17), 0))) + ((VERI_TABANI!D24*B247*(VERI_TABANI!$B$13-VERI_TABANI!$B$14)) + (VERI_TABANI!D24*C247*(VERI_TABANI!$B$13-VERI_TABANI!$B$15)) + IF(ISNUMBER(SEARCH("Var", D247)), VERI_TABANI!F24*(0.00202-VERI_TABANI!$B$16), IF(ISNUMBER(SEARCH("Gri", D247)), VERI_TABANI!F24*(0.00202-VERI_TABANI!$B$17), 0))) + ((VERI_TABANI!D25*B247*(VERI_TABANI!$B$13-VERI_TABANI!$B$14)) + (VERI_TABANI!D25*C247*(VERI_TABANI!$B$13-VERI_TABANI!$B$15)) + IF(ISNUMBER(SEARCH("Var", D247)), VERI_TABANI!F25*(0.00202-VERI_TABANI!$B$16), IF(ISNUMBER(SEARCH("Gri", D247)), VERI_TABANI!F25*(0.00202-VERI_TABANI!$B$17), 0))) + ((VERI_TABANI!D26*B247*(VERI_TABANI!$B$13-VERI_TABANI!$B$14)) + (VERI_TABANI!D26*C247*(VERI_TABANI!$B$13-VERI_TABANI!$B$15)) + IF(ISNUMBER(SEARCH("Var", D247)), VERI_TABANI!F26*(0.00202-VERI_TABANI!$B$16), IF(ISNUMBER(SEARCH("Gri", D247)), VERI_TABANI!F26*(0.00202-VERI_TABANI!$B$17), 0))) + ((VERI_TABANI!D27*B247*(VERI_TABANI!$B$13-VERI_TABANI!$B$14)) + (VERI_TABANI!D27*C247*(VERI_TABANI!$B$13-VERI_TABANI!$B$15)) + IF(ISNUMBER(SEARCH("Var", D247)), VERI_TABANI!F27*(0.00202-VERI_TABANI!$B$16), IF(ISNUMBER(SEARCH("Gri", D247)), VERI_TABANI!F27*(0.00202-VERI_TABANI!$B$17), 0))) + ((VERI_TABANI!D28*B247*(VERI_TABANI!$B$13-VERI_TABANI!$B$14)) + (VERI_TABANI!D28*C247*(VERI_TABANI!$B$13-VERI_TABANI!$B$15)) + IF(ISNUMBER(SEARCH("Var", D247)), VERI_TABANI!F28*(0.00202-VERI_TABANI!$B$16), IF(ISNUMBER(SEARCH("Gri", D247)), VERI_TABANI!F28*(0.00202-VERI_TABANI!$B$17), 0))))</f>
        <v/>
      </c>
      <c r="I247" s="170">
        <f>IFERROR(((VERI_TABANI!$D$29*B247*VERI_TABANI!$B$14 + VERI_TABANI!$D$29*C247*VERI_TABANI!$B$15 + IF(ISNUMBER(SEARCH("Var", D247)), VERI_TABANI!$F$29*VERI_TABANI!$B$16, 0))) / (((VERI_TABANI!$D$29*B247 + VERI_TABANI!$D$29*C247)*VERI_TABANI!$B$13 + IF(ISNUMBER(SEARCH("Var", D247)), VERI_TABANI!$E$29*(1-0.928)*VERI_TABANI!$B$18, 0))), 0)</f>
        <v/>
      </c>
      <c r="J247" s="171">
        <f>IFERROR(F247/(G247/29), 0)</f>
        <v/>
      </c>
      <c r="K247" s="172">
        <f>IF(F247&gt;0, H247/F247, 0)</f>
        <v/>
      </c>
      <c r="L247" s="170">
        <f>IF(F247&gt;0, I247, 1000000000)</f>
        <v/>
      </c>
      <c r="M247" s="171">
        <f>ABS((B247+C247)-1)</f>
        <v/>
      </c>
      <c r="N247" s="170">
        <f>IF(F247&gt;0, (G247/29)/F247, 0)</f>
        <v/>
      </c>
      <c r="O247" s="168">
        <f>IF(AND((B247+C247)&gt;=1, ISNUMBER(SEARCH("Var", D247))), F247, 1000000000)</f>
        <v/>
      </c>
      <c r="P247" s="172">
        <f>IF(F247&gt;0, SQRT((F247/MAX(F$5:F$886))^2 + (1 - H247/MAX(H$5:H$886))^2 + (J247/MAX(J$5:J$886))^2), 1000000000)</f>
        <v/>
      </c>
      <c r="Q247" s="166">
        <f>IF(AND(ABS(B247-0.5)&lt;0.01, ABS(C247-0.5)&lt;0.01, ISNUMBER(SEARCH("Var", D247))), 1, 0)</f>
        <v/>
      </c>
      <c r="R247" s="171">
        <f>IF(F247&gt;0, J247, 1000000000)</f>
        <v/>
      </c>
      <c r="S247" s="101">
        <f>IF(AND(F247&lt;=DASHBOARD!$B$11, H247&gt;=DASHBOARD!$B$13), G247, -1000000000000)</f>
        <v/>
      </c>
      <c r="T247" s="101">
        <f>IF(AND(F247&lt;=DASHBOARD!$B$11, H247&gt;=DASHBOARD!$B$13), R247, 1000000000000)</f>
        <v/>
      </c>
      <c r="U247" s="101">
        <f>IF(AND(F247&lt;=DASHBOARD!$B$11, H247&gt;=DASHBOARD!$B$13), N247, -1000000000000)</f>
        <v/>
      </c>
      <c r="V247" s="101">
        <f>IF(AND(F247&lt;=DASHBOARD!$B$11, H247&gt;=DASHBOARD!$B$13), H247, -1000000000000)</f>
        <v/>
      </c>
      <c r="W247" s="101">
        <f>IF(AND(F247&lt;=DASHBOARD!$B$11, H247&gt;=DASHBOARD!$B$13), K247, -1000000000000)</f>
        <v/>
      </c>
      <c r="X247" s="101">
        <f>IF(AND(F247&lt;=DASHBOARD!$B$11, H247&gt;=DASHBOARD!$B$13), M247, 1000000000000)</f>
        <v/>
      </c>
      <c r="Y247" s="101">
        <f>IF(AND(F247&lt;=DASHBOARD!$B$10, H247&gt;=DASHBOARD!$B$11), L247, 1000000000000)</f>
        <v/>
      </c>
      <c r="Z247" s="101">
        <f>IF(AND(F247&lt;=DASHBOARD!$B$10, H247&gt;=DASHBOARD!$B$11), O247, 1000000000000)</f>
        <v/>
      </c>
      <c r="AA247" s="101">
        <f>IF(AND(F247&lt;=DASHBOARD!$B$10, H247&gt;=DASHBOARD!$B$11), P247, 1000000000000)</f>
        <v/>
      </c>
      <c r="AB247" s="101">
        <f>IF(AND(F247&lt;=DASHBOARD!$B$10, H247&gt;=DASHBOARD!$B$11), Q247, -1000000000000)</f>
        <v/>
      </c>
    </row>
    <row r="248" ht="15" customHeight="1" s="102">
      <c r="A248" s="166" t="n">
        <v>244</v>
      </c>
      <c r="B248" s="167" t="n">
        <v>0.5</v>
      </c>
      <c r="C248" s="167" t="n">
        <v>1.6</v>
      </c>
      <c r="D248" s="110" t="inlineStr">
        <is>
          <t>Var (%20)</t>
        </is>
      </c>
      <c r="E248" s="110">
        <f>IF((B248+C248)&lt;=1, "Tam Mahsuplaşma (≤%100)", "Kısmi Satış (&gt;%100)")</f>
        <v/>
      </c>
      <c r="F248" s="168">
        <f>((VERI_TABANI!$D$29*B248/VERI_TABANI!$B$29)/VERI_TABANI!$B$3)*VERI_TABANI!$B$5 + ((VERI_TABANI!$D$29*C248/VERI_TABANI!$B$29)/VERI_TABANI!$B$4)*VERI_TABANI!$B$6 + IF(ISNUMBER(SEARCH("Var", D248)), (VERI_TABANI!$F$29/VERI_TABANI!$B$29)*(VERI_TABANI!$B$10+VERI_TABANI!$B$12), 0)</f>
        <v/>
      </c>
      <c r="G248" s="168">
        <f>(((MIN(VERI_TABANI!D23, VERI_TABANI!D23*B248)*VERI_TABANI!$B$7 + MAX(0, VERI_TABANI!D23*B248-VERI_TABANI!D23)*VERI_TABANI!$B$8) + (MIN(MAX(0, VERI_TABANI!D23-VERI_TABANI!D23*B248), VERI_TABANI!D23*C248)*VERI_TABANI!$B$7 + MAX(0, VERI_TABANI!D23*C248-MAX(0, VERI_TABANI!D23-VERI_TABANI!D23*B248))*VERI_TABANI!$B$8) + IF(ABS(IF(ISNUMBER(SEARCH("Var", D248)), 1, IF(ISNUMBER(SEARCH("Gri", D248)), -1, 0)))=1, VERI_TABANI!E23*(1-0.928)*VERI_TABANI!$B$9, 0) + (VERI_TABANI!D23*B248*(VERI_TABANI!$B$13-VERI_TABANI!$B$14)*VERI_TABANI!G23) + (VERI_TABANI!D23*C248*(VERI_TABANI!$B$13-VERI_TABANI!$B$15)*VERI_TABANI!G23) + IF(ABS(IF(ISNUMBER(SEARCH("Var", D248)), 1, IF(ISNUMBER(SEARCH("Gri", D248)), -1, 0)))=1, VERI_TABANI!E23*(1-0.928)*0.00206091519919798*VERI_TABANI!G23, 0)) + ((MIN(VERI_TABANI!D24, VERI_TABANI!D24*B248)*VERI_TABANI!$B$7 + MAX(0, VERI_TABANI!D24*B248-VERI_TABANI!D24)*VERI_TABANI!$B$8) + (MIN(MAX(0, VERI_TABANI!D24-VERI_TABANI!D24*B248), VERI_TABANI!D24*C248)*VERI_TABANI!$B$7 + MAX(0, VERI_TABANI!D24*C248-MAX(0, VERI_TABANI!D24-VERI_TABANI!D24*B248))*VERI_TABANI!$B$8) + IF(ABS(IF(ISNUMBER(SEARCH("Var", D248)), 1, IF(ISNUMBER(SEARCH("Gri", D248)), -1, 0)))=1, VERI_TABANI!E24*(1-0.928)*VERI_TABANI!$B$9, 0) + (VERI_TABANI!D24*B248*(VERI_TABANI!$B$13-VERI_TABANI!$B$14)*VERI_TABANI!G24) + (VERI_TABANI!D24*C248*(VERI_TABANI!$B$13-VERI_TABANI!$B$15)*VERI_TABANI!G24) + IF(ABS(IF(ISNUMBER(SEARCH("Var", D248)), 1, IF(ISNUMBER(SEARCH("Gri", D248)), -1, 0)))=1, VERI_TABANI!E24*(1-0.928)*0.00206091519919798*VERI_TABANI!G24, 0)) + ((MIN(VERI_TABANI!D25, VERI_TABANI!D25*B248)*VERI_TABANI!$B$7 + MAX(0, VERI_TABANI!D25*B248-VERI_TABANI!D25)*VERI_TABANI!$B$8) + (MIN(MAX(0, VERI_TABANI!D25-VERI_TABANI!D25*B248), VERI_TABANI!D25*C248)*VERI_TABANI!$B$7 + MAX(0, VERI_TABANI!D25*C248-MAX(0, VERI_TABANI!D25-VERI_TABANI!D25*B248))*VERI_TABANI!$B$8) + IF(ABS(IF(ISNUMBER(SEARCH("Var", D248)), 1, IF(ISNUMBER(SEARCH("Gri", D248)), -1, 0)))=1, VERI_TABANI!E25*(1-0.928)*VERI_TABANI!$B$9, 0) + (VERI_TABANI!D25*B248*(VERI_TABANI!$B$13-VERI_TABANI!$B$14)*VERI_TABANI!G25) + (VERI_TABANI!D25*C248*(VERI_TABANI!$B$13-VERI_TABANI!$B$15)*VERI_TABANI!G25) + IF(ABS(IF(ISNUMBER(SEARCH("Var", D248)), 1, IF(ISNUMBER(SEARCH("Gri", D248)), -1, 0)))=1, VERI_TABANI!E25*(1-0.928)*0.00206091519919798*VERI_TABANI!G25, 0)) + ((MIN(VERI_TABANI!D26, VERI_TABANI!D26*B248)*VERI_TABANI!$B$7 + MAX(0, VERI_TABANI!D26*B248-VERI_TABANI!D26)*VERI_TABANI!$B$8) + (MIN(MAX(0, VERI_TABANI!D26-VERI_TABANI!D26*B248), VERI_TABANI!D26*C248)*VERI_TABANI!$B$7 + MAX(0, VERI_TABANI!D26*C248-MAX(0, VERI_TABANI!D26-VERI_TABANI!D26*B248))*VERI_TABANI!$B$8) + IF(ABS(IF(ISNUMBER(SEARCH("Var", D248)), 1, IF(ISNUMBER(SEARCH("Gri", D248)), -1, 0)))=1, VERI_TABANI!E26*(1-0.928)*VERI_TABANI!$B$9, 0) + (VERI_TABANI!D26*B248*(VERI_TABANI!$B$13-VERI_TABANI!$B$14)*VERI_TABANI!G26) + (VERI_TABANI!D26*C248*(VERI_TABANI!$B$13-VERI_TABANI!$B$15)*VERI_TABANI!G26) + IF(ABS(IF(ISNUMBER(SEARCH("Var", D248)), 1, IF(ISNUMBER(SEARCH("Gri", D248)), -1, 0)))=1, VERI_TABANI!E26*(1-0.928)*0.00206091519919798*VERI_TABANI!G26, 0)) + ((MIN(VERI_TABANI!D27, VERI_TABANI!D27*B248)*VERI_TABANI!$B$7 + MAX(0, VERI_TABANI!D27*B248-VERI_TABANI!D27)*VERI_TABANI!$B$8) + (MIN(MAX(0, VERI_TABANI!D27-VERI_TABANI!D27*B248), VERI_TABANI!D27*C248)*VERI_TABANI!$B$7 + MAX(0, VERI_TABANI!D27*C248-MAX(0, VERI_TABANI!D27-VERI_TABANI!D27*B248))*VERI_TABANI!$B$8) + IF(ABS(IF(ISNUMBER(SEARCH("Var", D248)), 1, IF(ISNUMBER(SEARCH("Gri", D248)), -1, 0)))=1, VERI_TABANI!E27*(1-0.928)*VERI_TABANI!$B$9, 0) + (VERI_TABANI!D27*B248*(VERI_TABANI!$B$13-VERI_TABANI!$B$14)*VERI_TABANI!G27) + (VERI_TABANI!D27*C248*(VERI_TABANI!$B$13-VERI_TABANI!$B$15)*VERI_TABANI!G27) + IF(ABS(IF(ISNUMBER(SEARCH("Var", D248)), 1, IF(ISNUMBER(SEARCH("Gri", D248)), -1, 0)))=1, VERI_TABANI!E27*(1-0.928)*0.00206091519919798*VERI_TABANI!G27, 0)) + ((MIN(VERI_TABANI!D28, VERI_TABANI!D28*B248)*VERI_TABANI!$B$7 + MAX(0, VERI_TABANI!D28*B248-VERI_TABANI!D28)*VERI_TABANI!$B$8) + (MIN(MAX(0, VERI_TABANI!D28-VERI_TABANI!D28*B248), VERI_TABANI!D28*C248)*VERI_TABANI!$B$7 + MAX(0, VERI_TABANI!D28*C248-MAX(0, VERI_TABANI!D28-VERI_TABANI!D28*B248))*VERI_TABANI!$B$8) + IF(ABS(IF(ISNUMBER(SEARCH("Var", D248)), 1, IF(ISNUMBER(SEARCH("Gri", D248)), -1, 0)))=1, VERI_TABANI!E28*(1-0.928)*VERI_TABANI!$B$9, 0) + (VERI_TABANI!D28*B248*(VERI_TABANI!$B$13-VERI_TABANI!$B$14)*VERI_TABANI!G28) + (VERI_TABANI!D28*C248*(VERI_TABANI!$B$13-VERI_TABANI!$B$15)*VERI_TABANI!G28) + IF(ABS(IF(ISNUMBER(SEARCH("Var", D248)), 1, IF(ISNUMBER(SEARCH("Gri", D248)), -1, 0)))=1, VERI_TABANI!E28*(1-0.928)*0.00206091519919798*VERI_TABANI!G28, 0)))</f>
        <v/>
      </c>
      <c r="H248" s="169">
        <f>(((VERI_TABANI!D23*B248*(VERI_TABANI!$B$13-VERI_TABANI!$B$14)) + (VERI_TABANI!D23*C248*(VERI_TABANI!$B$13-VERI_TABANI!$B$15)) + IF(ISNUMBER(SEARCH("Var", D248)), VERI_TABANI!F23*(0.00202-VERI_TABANI!$B$16), IF(ISNUMBER(SEARCH("Gri", D248)), VERI_TABANI!F23*(0.00202-VERI_TABANI!$B$17), 0))) + ((VERI_TABANI!D24*B248*(VERI_TABANI!$B$13-VERI_TABANI!$B$14)) + (VERI_TABANI!D24*C248*(VERI_TABANI!$B$13-VERI_TABANI!$B$15)) + IF(ISNUMBER(SEARCH("Var", D248)), VERI_TABANI!F24*(0.00202-VERI_TABANI!$B$16), IF(ISNUMBER(SEARCH("Gri", D248)), VERI_TABANI!F24*(0.00202-VERI_TABANI!$B$17), 0))) + ((VERI_TABANI!D25*B248*(VERI_TABANI!$B$13-VERI_TABANI!$B$14)) + (VERI_TABANI!D25*C248*(VERI_TABANI!$B$13-VERI_TABANI!$B$15)) + IF(ISNUMBER(SEARCH("Var", D248)), VERI_TABANI!F25*(0.00202-VERI_TABANI!$B$16), IF(ISNUMBER(SEARCH("Gri", D248)), VERI_TABANI!F25*(0.00202-VERI_TABANI!$B$17), 0))) + ((VERI_TABANI!D26*B248*(VERI_TABANI!$B$13-VERI_TABANI!$B$14)) + (VERI_TABANI!D26*C248*(VERI_TABANI!$B$13-VERI_TABANI!$B$15)) + IF(ISNUMBER(SEARCH("Var", D248)), VERI_TABANI!F26*(0.00202-VERI_TABANI!$B$16), IF(ISNUMBER(SEARCH("Gri", D248)), VERI_TABANI!F26*(0.00202-VERI_TABANI!$B$17), 0))) + ((VERI_TABANI!D27*B248*(VERI_TABANI!$B$13-VERI_TABANI!$B$14)) + (VERI_TABANI!D27*C248*(VERI_TABANI!$B$13-VERI_TABANI!$B$15)) + IF(ISNUMBER(SEARCH("Var", D248)), VERI_TABANI!F27*(0.00202-VERI_TABANI!$B$16), IF(ISNUMBER(SEARCH("Gri", D248)), VERI_TABANI!F27*(0.00202-VERI_TABANI!$B$17), 0))) + ((VERI_TABANI!D28*B248*(VERI_TABANI!$B$13-VERI_TABANI!$B$14)) + (VERI_TABANI!D28*C248*(VERI_TABANI!$B$13-VERI_TABANI!$B$15)) + IF(ISNUMBER(SEARCH("Var", D248)), VERI_TABANI!F28*(0.00202-VERI_TABANI!$B$16), IF(ISNUMBER(SEARCH("Gri", D248)), VERI_TABANI!F28*(0.00202-VERI_TABANI!$B$17), 0))))</f>
        <v/>
      </c>
      <c r="I248" s="170">
        <f>IFERROR(((VERI_TABANI!$D$29*B248*VERI_TABANI!$B$14 + VERI_TABANI!$D$29*C248*VERI_TABANI!$B$15 + IF(ISNUMBER(SEARCH("Var", D248)), VERI_TABANI!$F$29*VERI_TABANI!$B$16, 0))) / (((VERI_TABANI!$D$29*B248 + VERI_TABANI!$D$29*C248)*VERI_TABANI!$B$13 + IF(ISNUMBER(SEARCH("Var", D248)), VERI_TABANI!$E$29*(1-0.928)*VERI_TABANI!$B$18, 0))), 0)</f>
        <v/>
      </c>
      <c r="J248" s="171">
        <f>IFERROR(F248/(G248/29), 0)</f>
        <v/>
      </c>
      <c r="K248" s="172">
        <f>IF(F248&gt;0, H248/F248, 0)</f>
        <v/>
      </c>
      <c r="L248" s="170">
        <f>IF(F248&gt;0, I248, 1000000000)</f>
        <v/>
      </c>
      <c r="M248" s="171">
        <f>ABS((B248+C248)-1)</f>
        <v/>
      </c>
      <c r="N248" s="170">
        <f>IF(F248&gt;0, (G248/29)/F248, 0)</f>
        <v/>
      </c>
      <c r="O248" s="168">
        <f>IF(AND((B248+C248)&gt;=1, ISNUMBER(SEARCH("Var", D248))), F248, 1000000000)</f>
        <v/>
      </c>
      <c r="P248" s="172">
        <f>IF(F248&gt;0, SQRT((F248/MAX(F$5:F$886))^2 + (1 - H248/MAX(H$5:H$886))^2 + (J248/MAX(J$5:J$886))^2), 1000000000)</f>
        <v/>
      </c>
      <c r="Q248" s="166">
        <f>IF(AND(ABS(B248-0.5)&lt;0.01, ABS(C248-0.5)&lt;0.01, ISNUMBER(SEARCH("Var", D248))), 1, 0)</f>
        <v/>
      </c>
      <c r="R248" s="171">
        <f>IF(F248&gt;0, J248, 1000000000)</f>
        <v/>
      </c>
      <c r="S248" s="101">
        <f>IF(AND(F248&lt;=DASHBOARD!$B$11, H248&gt;=DASHBOARD!$B$13), G248, -1000000000000)</f>
        <v/>
      </c>
      <c r="T248" s="101">
        <f>IF(AND(F248&lt;=DASHBOARD!$B$11, H248&gt;=DASHBOARD!$B$13), R248, 1000000000000)</f>
        <v/>
      </c>
      <c r="U248" s="101">
        <f>IF(AND(F248&lt;=DASHBOARD!$B$11, H248&gt;=DASHBOARD!$B$13), N248, -1000000000000)</f>
        <v/>
      </c>
      <c r="V248" s="101">
        <f>IF(AND(F248&lt;=DASHBOARD!$B$11, H248&gt;=DASHBOARD!$B$13), H248, -1000000000000)</f>
        <v/>
      </c>
      <c r="W248" s="101">
        <f>IF(AND(F248&lt;=DASHBOARD!$B$11, H248&gt;=DASHBOARD!$B$13), K248, -1000000000000)</f>
        <v/>
      </c>
      <c r="X248" s="101">
        <f>IF(AND(F248&lt;=DASHBOARD!$B$11, H248&gt;=DASHBOARD!$B$13), M248, 1000000000000)</f>
        <v/>
      </c>
      <c r="Y248" s="101">
        <f>IF(AND(F248&lt;=DASHBOARD!$B$10, H248&gt;=DASHBOARD!$B$11), L248, 1000000000000)</f>
        <v/>
      </c>
      <c r="Z248" s="101">
        <f>IF(AND(F248&lt;=DASHBOARD!$B$10, H248&gt;=DASHBOARD!$B$11), O248, 1000000000000)</f>
        <v/>
      </c>
      <c r="AA248" s="101">
        <f>IF(AND(F248&lt;=DASHBOARD!$B$10, H248&gt;=DASHBOARD!$B$11), P248, 1000000000000)</f>
        <v/>
      </c>
      <c r="AB248" s="101">
        <f>IF(AND(F248&lt;=DASHBOARD!$B$10, H248&gt;=DASHBOARD!$B$11), Q248, -1000000000000)</f>
        <v/>
      </c>
    </row>
    <row r="249" ht="15" customHeight="1" s="102">
      <c r="A249" s="166" t="n">
        <v>245</v>
      </c>
      <c r="B249" s="167" t="n">
        <v>0.5</v>
      </c>
      <c r="C249" s="167" t="n">
        <v>1.7</v>
      </c>
      <c r="D249" s="110" t="inlineStr">
        <is>
          <t>Yok (%0)</t>
        </is>
      </c>
      <c r="E249" s="110">
        <f>IF((B249+C249)&lt;=1, "Tam Mahsuplaşma (≤%100)", "Kısmi Satış (&gt;%100)")</f>
        <v/>
      </c>
      <c r="F249" s="168">
        <f>((VERI_TABANI!$D$29*B249/VERI_TABANI!$B$29)/VERI_TABANI!$B$3)*VERI_TABANI!$B$5 + ((VERI_TABANI!$D$29*C249/VERI_TABANI!$B$29)/VERI_TABANI!$B$4)*VERI_TABANI!$B$6 + IF(ISNUMBER(SEARCH("Var", D249)), (VERI_TABANI!$F$29/VERI_TABANI!$B$29)*(VERI_TABANI!$B$10+VERI_TABANI!$B$12), 0)</f>
        <v/>
      </c>
      <c r="G249" s="168">
        <f>(((MIN(VERI_TABANI!D23, VERI_TABANI!D23*B249)*VERI_TABANI!$B$7 + MAX(0, VERI_TABANI!D23*B249-VERI_TABANI!D23)*VERI_TABANI!$B$8) + (MIN(MAX(0, VERI_TABANI!D23-VERI_TABANI!D23*B249), VERI_TABANI!D23*C249)*VERI_TABANI!$B$7 + MAX(0, VERI_TABANI!D23*C249-MAX(0, VERI_TABANI!D23-VERI_TABANI!D23*B249))*VERI_TABANI!$B$8) + IF(ABS(IF(ISNUMBER(SEARCH("Var", D249)), 1, IF(ISNUMBER(SEARCH("Gri", D249)), -1, 0)))=1, VERI_TABANI!E23*(1-0.928)*VERI_TABANI!$B$9, 0) + (VERI_TABANI!D23*B249*(VERI_TABANI!$B$13-VERI_TABANI!$B$14)*VERI_TABANI!G23) + (VERI_TABANI!D23*C249*(VERI_TABANI!$B$13-VERI_TABANI!$B$15)*VERI_TABANI!G23) + IF(ABS(IF(ISNUMBER(SEARCH("Var", D249)), 1, IF(ISNUMBER(SEARCH("Gri", D249)), -1, 0)))=1, VERI_TABANI!E23*(1-0.928)*0.00206091519919798*VERI_TABANI!G23, 0)) + ((MIN(VERI_TABANI!D24, VERI_TABANI!D24*B249)*VERI_TABANI!$B$7 + MAX(0, VERI_TABANI!D24*B249-VERI_TABANI!D24)*VERI_TABANI!$B$8) + (MIN(MAX(0, VERI_TABANI!D24-VERI_TABANI!D24*B249), VERI_TABANI!D24*C249)*VERI_TABANI!$B$7 + MAX(0, VERI_TABANI!D24*C249-MAX(0, VERI_TABANI!D24-VERI_TABANI!D24*B249))*VERI_TABANI!$B$8) + IF(ABS(IF(ISNUMBER(SEARCH("Var", D249)), 1, IF(ISNUMBER(SEARCH("Gri", D249)), -1, 0)))=1, VERI_TABANI!E24*(1-0.928)*VERI_TABANI!$B$9, 0) + (VERI_TABANI!D24*B249*(VERI_TABANI!$B$13-VERI_TABANI!$B$14)*VERI_TABANI!G24) + (VERI_TABANI!D24*C249*(VERI_TABANI!$B$13-VERI_TABANI!$B$15)*VERI_TABANI!G24) + IF(ABS(IF(ISNUMBER(SEARCH("Var", D249)), 1, IF(ISNUMBER(SEARCH("Gri", D249)), -1, 0)))=1, VERI_TABANI!E24*(1-0.928)*0.00206091519919798*VERI_TABANI!G24, 0)) + ((MIN(VERI_TABANI!D25, VERI_TABANI!D25*B249)*VERI_TABANI!$B$7 + MAX(0, VERI_TABANI!D25*B249-VERI_TABANI!D25)*VERI_TABANI!$B$8) + (MIN(MAX(0, VERI_TABANI!D25-VERI_TABANI!D25*B249), VERI_TABANI!D25*C249)*VERI_TABANI!$B$7 + MAX(0, VERI_TABANI!D25*C249-MAX(0, VERI_TABANI!D25-VERI_TABANI!D25*B249))*VERI_TABANI!$B$8) + IF(ABS(IF(ISNUMBER(SEARCH("Var", D249)), 1, IF(ISNUMBER(SEARCH("Gri", D249)), -1, 0)))=1, VERI_TABANI!E25*(1-0.928)*VERI_TABANI!$B$9, 0) + (VERI_TABANI!D25*B249*(VERI_TABANI!$B$13-VERI_TABANI!$B$14)*VERI_TABANI!G25) + (VERI_TABANI!D25*C249*(VERI_TABANI!$B$13-VERI_TABANI!$B$15)*VERI_TABANI!G25) + IF(ABS(IF(ISNUMBER(SEARCH("Var", D249)), 1, IF(ISNUMBER(SEARCH("Gri", D249)), -1, 0)))=1, VERI_TABANI!E25*(1-0.928)*0.00206091519919798*VERI_TABANI!G25, 0)) + ((MIN(VERI_TABANI!D26, VERI_TABANI!D26*B249)*VERI_TABANI!$B$7 + MAX(0, VERI_TABANI!D26*B249-VERI_TABANI!D26)*VERI_TABANI!$B$8) + (MIN(MAX(0, VERI_TABANI!D26-VERI_TABANI!D26*B249), VERI_TABANI!D26*C249)*VERI_TABANI!$B$7 + MAX(0, VERI_TABANI!D26*C249-MAX(0, VERI_TABANI!D26-VERI_TABANI!D26*B249))*VERI_TABANI!$B$8) + IF(ABS(IF(ISNUMBER(SEARCH("Var", D249)), 1, IF(ISNUMBER(SEARCH("Gri", D249)), -1, 0)))=1, VERI_TABANI!E26*(1-0.928)*VERI_TABANI!$B$9, 0) + (VERI_TABANI!D26*B249*(VERI_TABANI!$B$13-VERI_TABANI!$B$14)*VERI_TABANI!G26) + (VERI_TABANI!D26*C249*(VERI_TABANI!$B$13-VERI_TABANI!$B$15)*VERI_TABANI!G26) + IF(ABS(IF(ISNUMBER(SEARCH("Var", D249)), 1, IF(ISNUMBER(SEARCH("Gri", D249)), -1, 0)))=1, VERI_TABANI!E26*(1-0.928)*0.00206091519919798*VERI_TABANI!G26, 0)) + ((MIN(VERI_TABANI!D27, VERI_TABANI!D27*B249)*VERI_TABANI!$B$7 + MAX(0, VERI_TABANI!D27*B249-VERI_TABANI!D27)*VERI_TABANI!$B$8) + (MIN(MAX(0, VERI_TABANI!D27-VERI_TABANI!D27*B249), VERI_TABANI!D27*C249)*VERI_TABANI!$B$7 + MAX(0, VERI_TABANI!D27*C249-MAX(0, VERI_TABANI!D27-VERI_TABANI!D27*B249))*VERI_TABANI!$B$8) + IF(ABS(IF(ISNUMBER(SEARCH("Var", D249)), 1, IF(ISNUMBER(SEARCH("Gri", D249)), -1, 0)))=1, VERI_TABANI!E27*(1-0.928)*VERI_TABANI!$B$9, 0) + (VERI_TABANI!D27*B249*(VERI_TABANI!$B$13-VERI_TABANI!$B$14)*VERI_TABANI!G27) + (VERI_TABANI!D27*C249*(VERI_TABANI!$B$13-VERI_TABANI!$B$15)*VERI_TABANI!G27) + IF(ABS(IF(ISNUMBER(SEARCH("Var", D249)), 1, IF(ISNUMBER(SEARCH("Gri", D249)), -1, 0)))=1, VERI_TABANI!E27*(1-0.928)*0.00206091519919798*VERI_TABANI!G27, 0)) + ((MIN(VERI_TABANI!D28, VERI_TABANI!D28*B249)*VERI_TABANI!$B$7 + MAX(0, VERI_TABANI!D28*B249-VERI_TABANI!D28)*VERI_TABANI!$B$8) + (MIN(MAX(0, VERI_TABANI!D28-VERI_TABANI!D28*B249), VERI_TABANI!D28*C249)*VERI_TABANI!$B$7 + MAX(0, VERI_TABANI!D28*C249-MAX(0, VERI_TABANI!D28-VERI_TABANI!D28*B249))*VERI_TABANI!$B$8) + IF(ABS(IF(ISNUMBER(SEARCH("Var", D249)), 1, IF(ISNUMBER(SEARCH("Gri", D249)), -1, 0)))=1, VERI_TABANI!E28*(1-0.928)*VERI_TABANI!$B$9, 0) + (VERI_TABANI!D28*B249*(VERI_TABANI!$B$13-VERI_TABANI!$B$14)*VERI_TABANI!G28) + (VERI_TABANI!D28*C249*(VERI_TABANI!$B$13-VERI_TABANI!$B$15)*VERI_TABANI!G28) + IF(ABS(IF(ISNUMBER(SEARCH("Var", D249)), 1, IF(ISNUMBER(SEARCH("Gri", D249)), -1, 0)))=1, VERI_TABANI!E28*(1-0.928)*0.00206091519919798*VERI_TABANI!G28, 0)))</f>
        <v/>
      </c>
      <c r="H249" s="169">
        <f>(((VERI_TABANI!D23*B249*(VERI_TABANI!$B$13-VERI_TABANI!$B$14)) + (VERI_TABANI!D23*C249*(VERI_TABANI!$B$13-VERI_TABANI!$B$15)) + IF(ISNUMBER(SEARCH("Var", D249)), VERI_TABANI!F23*(0.00202-VERI_TABANI!$B$16), IF(ISNUMBER(SEARCH("Gri", D249)), VERI_TABANI!F23*(0.00202-VERI_TABANI!$B$17), 0))) + ((VERI_TABANI!D24*B249*(VERI_TABANI!$B$13-VERI_TABANI!$B$14)) + (VERI_TABANI!D24*C249*(VERI_TABANI!$B$13-VERI_TABANI!$B$15)) + IF(ISNUMBER(SEARCH("Var", D249)), VERI_TABANI!F24*(0.00202-VERI_TABANI!$B$16), IF(ISNUMBER(SEARCH("Gri", D249)), VERI_TABANI!F24*(0.00202-VERI_TABANI!$B$17), 0))) + ((VERI_TABANI!D25*B249*(VERI_TABANI!$B$13-VERI_TABANI!$B$14)) + (VERI_TABANI!D25*C249*(VERI_TABANI!$B$13-VERI_TABANI!$B$15)) + IF(ISNUMBER(SEARCH("Var", D249)), VERI_TABANI!F25*(0.00202-VERI_TABANI!$B$16), IF(ISNUMBER(SEARCH("Gri", D249)), VERI_TABANI!F25*(0.00202-VERI_TABANI!$B$17), 0))) + ((VERI_TABANI!D26*B249*(VERI_TABANI!$B$13-VERI_TABANI!$B$14)) + (VERI_TABANI!D26*C249*(VERI_TABANI!$B$13-VERI_TABANI!$B$15)) + IF(ISNUMBER(SEARCH("Var", D249)), VERI_TABANI!F26*(0.00202-VERI_TABANI!$B$16), IF(ISNUMBER(SEARCH("Gri", D249)), VERI_TABANI!F26*(0.00202-VERI_TABANI!$B$17), 0))) + ((VERI_TABANI!D27*B249*(VERI_TABANI!$B$13-VERI_TABANI!$B$14)) + (VERI_TABANI!D27*C249*(VERI_TABANI!$B$13-VERI_TABANI!$B$15)) + IF(ISNUMBER(SEARCH("Var", D249)), VERI_TABANI!F27*(0.00202-VERI_TABANI!$B$16), IF(ISNUMBER(SEARCH("Gri", D249)), VERI_TABANI!F27*(0.00202-VERI_TABANI!$B$17), 0))) + ((VERI_TABANI!D28*B249*(VERI_TABANI!$B$13-VERI_TABANI!$B$14)) + (VERI_TABANI!D28*C249*(VERI_TABANI!$B$13-VERI_TABANI!$B$15)) + IF(ISNUMBER(SEARCH("Var", D249)), VERI_TABANI!F28*(0.00202-VERI_TABANI!$B$16), IF(ISNUMBER(SEARCH("Gri", D249)), VERI_TABANI!F28*(0.00202-VERI_TABANI!$B$17), 0))))</f>
        <v/>
      </c>
      <c r="I249" s="170">
        <f>IFERROR(((VERI_TABANI!$D$29*B249*VERI_TABANI!$B$14 + VERI_TABANI!$D$29*C249*VERI_TABANI!$B$15 + IF(ISNUMBER(SEARCH("Var", D249)), VERI_TABANI!$F$29*VERI_TABANI!$B$16, 0))) / (((VERI_TABANI!$D$29*B249 + VERI_TABANI!$D$29*C249)*VERI_TABANI!$B$13 + IF(ISNUMBER(SEARCH("Var", D249)), VERI_TABANI!$E$29*(1-0.928)*VERI_TABANI!$B$18, 0))), 0)</f>
        <v/>
      </c>
      <c r="J249" s="171">
        <f>IFERROR(F249/(G249/29), 0)</f>
        <v/>
      </c>
      <c r="K249" s="172">
        <f>IF(F249&gt;0, H249/F249, 0)</f>
        <v/>
      </c>
      <c r="L249" s="170">
        <f>IF(F249&gt;0, I249, 1000000000)</f>
        <v/>
      </c>
      <c r="M249" s="171">
        <f>ABS((B249+C249)-1)</f>
        <v/>
      </c>
      <c r="N249" s="170">
        <f>IF(F249&gt;0, (G249/29)/F249, 0)</f>
        <v/>
      </c>
      <c r="O249" s="168">
        <f>IF(AND((B249+C249)&gt;=1, ISNUMBER(SEARCH("Var", D249))), F249, 1000000000)</f>
        <v/>
      </c>
      <c r="P249" s="172">
        <f>IF(F249&gt;0, SQRT((F249/MAX(F$5:F$886))^2 + (1 - H249/MAX(H$5:H$886))^2 + (J249/MAX(J$5:J$886))^2), 1000000000)</f>
        <v/>
      </c>
      <c r="Q249" s="166">
        <f>IF(AND(ABS(B249-0.5)&lt;0.01, ABS(C249-0.5)&lt;0.01, ISNUMBER(SEARCH("Var", D249))), 1, 0)</f>
        <v/>
      </c>
      <c r="R249" s="171">
        <f>IF(F249&gt;0, J249, 1000000000)</f>
        <v/>
      </c>
      <c r="S249" s="101">
        <f>IF(AND(F249&lt;=DASHBOARD!$B$11, H249&gt;=DASHBOARD!$B$13), G249, -1000000000000)</f>
        <v/>
      </c>
      <c r="T249" s="101">
        <f>IF(AND(F249&lt;=DASHBOARD!$B$11, H249&gt;=DASHBOARD!$B$13), R249, 1000000000000)</f>
        <v/>
      </c>
      <c r="U249" s="101">
        <f>IF(AND(F249&lt;=DASHBOARD!$B$11, H249&gt;=DASHBOARD!$B$13), N249, -1000000000000)</f>
        <v/>
      </c>
      <c r="V249" s="101">
        <f>IF(AND(F249&lt;=DASHBOARD!$B$11, H249&gt;=DASHBOARD!$B$13), H249, -1000000000000)</f>
        <v/>
      </c>
      <c r="W249" s="101">
        <f>IF(AND(F249&lt;=DASHBOARD!$B$11, H249&gt;=DASHBOARD!$B$13), K249, -1000000000000)</f>
        <v/>
      </c>
      <c r="X249" s="101">
        <f>IF(AND(F249&lt;=DASHBOARD!$B$11, H249&gt;=DASHBOARD!$B$13), M249, 1000000000000)</f>
        <v/>
      </c>
      <c r="Y249" s="101">
        <f>IF(AND(F249&lt;=DASHBOARD!$B$10, H249&gt;=DASHBOARD!$B$11), L249, 1000000000000)</f>
        <v/>
      </c>
      <c r="Z249" s="101">
        <f>IF(AND(F249&lt;=DASHBOARD!$B$10, H249&gt;=DASHBOARD!$B$11), O249, 1000000000000)</f>
        <v/>
      </c>
      <c r="AA249" s="101">
        <f>IF(AND(F249&lt;=DASHBOARD!$B$10, H249&gt;=DASHBOARD!$B$11), P249, 1000000000000)</f>
        <v/>
      </c>
      <c r="AB249" s="101">
        <f>IF(AND(F249&lt;=DASHBOARD!$B$10, H249&gt;=DASHBOARD!$B$11), Q249, -1000000000000)</f>
        <v/>
      </c>
    </row>
    <row r="250" ht="15" customHeight="1" s="102">
      <c r="A250" s="166" t="n">
        <v>246</v>
      </c>
      <c r="B250" s="167" t="n">
        <v>0.5</v>
      </c>
      <c r="C250" s="167" t="n">
        <v>1.7</v>
      </c>
      <c r="D250" s="110" t="inlineStr">
        <is>
          <t>Var (%20)</t>
        </is>
      </c>
      <c r="E250" s="110">
        <f>IF((B250+C250)&lt;=1, "Tam Mahsuplaşma (≤%100)", "Kısmi Satış (&gt;%100)")</f>
        <v/>
      </c>
      <c r="F250" s="168">
        <f>((VERI_TABANI!$D$29*B250/VERI_TABANI!$B$29)/VERI_TABANI!$B$3)*VERI_TABANI!$B$5 + ((VERI_TABANI!$D$29*C250/VERI_TABANI!$B$29)/VERI_TABANI!$B$4)*VERI_TABANI!$B$6 + IF(ISNUMBER(SEARCH("Var", D250)), (VERI_TABANI!$F$29/VERI_TABANI!$B$29)*(VERI_TABANI!$B$10+VERI_TABANI!$B$12), 0)</f>
        <v/>
      </c>
      <c r="G250" s="168">
        <f>(((MIN(VERI_TABANI!D23, VERI_TABANI!D23*B250)*VERI_TABANI!$B$7 + MAX(0, VERI_TABANI!D23*B250-VERI_TABANI!D23)*VERI_TABANI!$B$8) + (MIN(MAX(0, VERI_TABANI!D23-VERI_TABANI!D23*B250), VERI_TABANI!D23*C250)*VERI_TABANI!$B$7 + MAX(0, VERI_TABANI!D23*C250-MAX(0, VERI_TABANI!D23-VERI_TABANI!D23*B250))*VERI_TABANI!$B$8) + IF(ABS(IF(ISNUMBER(SEARCH("Var", D250)), 1, IF(ISNUMBER(SEARCH("Gri", D250)), -1, 0)))=1, VERI_TABANI!E23*(1-0.928)*VERI_TABANI!$B$9, 0) + (VERI_TABANI!D23*B250*(VERI_TABANI!$B$13-VERI_TABANI!$B$14)*VERI_TABANI!G23) + (VERI_TABANI!D23*C250*(VERI_TABANI!$B$13-VERI_TABANI!$B$15)*VERI_TABANI!G23) + IF(ABS(IF(ISNUMBER(SEARCH("Var", D250)), 1, IF(ISNUMBER(SEARCH("Gri", D250)), -1, 0)))=1, VERI_TABANI!E23*(1-0.928)*0.00206091519919798*VERI_TABANI!G23, 0)) + ((MIN(VERI_TABANI!D24, VERI_TABANI!D24*B250)*VERI_TABANI!$B$7 + MAX(0, VERI_TABANI!D24*B250-VERI_TABANI!D24)*VERI_TABANI!$B$8) + (MIN(MAX(0, VERI_TABANI!D24-VERI_TABANI!D24*B250), VERI_TABANI!D24*C250)*VERI_TABANI!$B$7 + MAX(0, VERI_TABANI!D24*C250-MAX(0, VERI_TABANI!D24-VERI_TABANI!D24*B250))*VERI_TABANI!$B$8) + IF(ABS(IF(ISNUMBER(SEARCH("Var", D250)), 1, IF(ISNUMBER(SEARCH("Gri", D250)), -1, 0)))=1, VERI_TABANI!E24*(1-0.928)*VERI_TABANI!$B$9, 0) + (VERI_TABANI!D24*B250*(VERI_TABANI!$B$13-VERI_TABANI!$B$14)*VERI_TABANI!G24) + (VERI_TABANI!D24*C250*(VERI_TABANI!$B$13-VERI_TABANI!$B$15)*VERI_TABANI!G24) + IF(ABS(IF(ISNUMBER(SEARCH("Var", D250)), 1, IF(ISNUMBER(SEARCH("Gri", D250)), -1, 0)))=1, VERI_TABANI!E24*(1-0.928)*0.00206091519919798*VERI_TABANI!G24, 0)) + ((MIN(VERI_TABANI!D25, VERI_TABANI!D25*B250)*VERI_TABANI!$B$7 + MAX(0, VERI_TABANI!D25*B250-VERI_TABANI!D25)*VERI_TABANI!$B$8) + (MIN(MAX(0, VERI_TABANI!D25-VERI_TABANI!D25*B250), VERI_TABANI!D25*C250)*VERI_TABANI!$B$7 + MAX(0, VERI_TABANI!D25*C250-MAX(0, VERI_TABANI!D25-VERI_TABANI!D25*B250))*VERI_TABANI!$B$8) + IF(ABS(IF(ISNUMBER(SEARCH("Var", D250)), 1, IF(ISNUMBER(SEARCH("Gri", D250)), -1, 0)))=1, VERI_TABANI!E25*(1-0.928)*VERI_TABANI!$B$9, 0) + (VERI_TABANI!D25*B250*(VERI_TABANI!$B$13-VERI_TABANI!$B$14)*VERI_TABANI!G25) + (VERI_TABANI!D25*C250*(VERI_TABANI!$B$13-VERI_TABANI!$B$15)*VERI_TABANI!G25) + IF(ABS(IF(ISNUMBER(SEARCH("Var", D250)), 1, IF(ISNUMBER(SEARCH("Gri", D250)), -1, 0)))=1, VERI_TABANI!E25*(1-0.928)*0.00206091519919798*VERI_TABANI!G25, 0)) + ((MIN(VERI_TABANI!D26, VERI_TABANI!D26*B250)*VERI_TABANI!$B$7 + MAX(0, VERI_TABANI!D26*B250-VERI_TABANI!D26)*VERI_TABANI!$B$8) + (MIN(MAX(0, VERI_TABANI!D26-VERI_TABANI!D26*B250), VERI_TABANI!D26*C250)*VERI_TABANI!$B$7 + MAX(0, VERI_TABANI!D26*C250-MAX(0, VERI_TABANI!D26-VERI_TABANI!D26*B250))*VERI_TABANI!$B$8) + IF(ABS(IF(ISNUMBER(SEARCH("Var", D250)), 1, IF(ISNUMBER(SEARCH("Gri", D250)), -1, 0)))=1, VERI_TABANI!E26*(1-0.928)*VERI_TABANI!$B$9, 0) + (VERI_TABANI!D26*B250*(VERI_TABANI!$B$13-VERI_TABANI!$B$14)*VERI_TABANI!G26) + (VERI_TABANI!D26*C250*(VERI_TABANI!$B$13-VERI_TABANI!$B$15)*VERI_TABANI!G26) + IF(ABS(IF(ISNUMBER(SEARCH("Var", D250)), 1, IF(ISNUMBER(SEARCH("Gri", D250)), -1, 0)))=1, VERI_TABANI!E26*(1-0.928)*0.00206091519919798*VERI_TABANI!G26, 0)) + ((MIN(VERI_TABANI!D27, VERI_TABANI!D27*B250)*VERI_TABANI!$B$7 + MAX(0, VERI_TABANI!D27*B250-VERI_TABANI!D27)*VERI_TABANI!$B$8) + (MIN(MAX(0, VERI_TABANI!D27-VERI_TABANI!D27*B250), VERI_TABANI!D27*C250)*VERI_TABANI!$B$7 + MAX(0, VERI_TABANI!D27*C250-MAX(0, VERI_TABANI!D27-VERI_TABANI!D27*B250))*VERI_TABANI!$B$8) + IF(ABS(IF(ISNUMBER(SEARCH("Var", D250)), 1, IF(ISNUMBER(SEARCH("Gri", D250)), -1, 0)))=1, VERI_TABANI!E27*(1-0.928)*VERI_TABANI!$B$9, 0) + (VERI_TABANI!D27*B250*(VERI_TABANI!$B$13-VERI_TABANI!$B$14)*VERI_TABANI!G27) + (VERI_TABANI!D27*C250*(VERI_TABANI!$B$13-VERI_TABANI!$B$15)*VERI_TABANI!G27) + IF(ABS(IF(ISNUMBER(SEARCH("Var", D250)), 1, IF(ISNUMBER(SEARCH("Gri", D250)), -1, 0)))=1, VERI_TABANI!E27*(1-0.928)*0.00206091519919798*VERI_TABANI!G27, 0)) + ((MIN(VERI_TABANI!D28, VERI_TABANI!D28*B250)*VERI_TABANI!$B$7 + MAX(0, VERI_TABANI!D28*B250-VERI_TABANI!D28)*VERI_TABANI!$B$8) + (MIN(MAX(0, VERI_TABANI!D28-VERI_TABANI!D28*B250), VERI_TABANI!D28*C250)*VERI_TABANI!$B$7 + MAX(0, VERI_TABANI!D28*C250-MAX(0, VERI_TABANI!D28-VERI_TABANI!D28*B250))*VERI_TABANI!$B$8) + IF(ABS(IF(ISNUMBER(SEARCH("Var", D250)), 1, IF(ISNUMBER(SEARCH("Gri", D250)), -1, 0)))=1, VERI_TABANI!E28*(1-0.928)*VERI_TABANI!$B$9, 0) + (VERI_TABANI!D28*B250*(VERI_TABANI!$B$13-VERI_TABANI!$B$14)*VERI_TABANI!G28) + (VERI_TABANI!D28*C250*(VERI_TABANI!$B$13-VERI_TABANI!$B$15)*VERI_TABANI!G28) + IF(ABS(IF(ISNUMBER(SEARCH("Var", D250)), 1, IF(ISNUMBER(SEARCH("Gri", D250)), -1, 0)))=1, VERI_TABANI!E28*(1-0.928)*0.00206091519919798*VERI_TABANI!G28, 0)))</f>
        <v/>
      </c>
      <c r="H250" s="169">
        <f>(((VERI_TABANI!D23*B250*(VERI_TABANI!$B$13-VERI_TABANI!$B$14)) + (VERI_TABANI!D23*C250*(VERI_TABANI!$B$13-VERI_TABANI!$B$15)) + IF(ISNUMBER(SEARCH("Var", D250)), VERI_TABANI!F23*(0.00202-VERI_TABANI!$B$16), IF(ISNUMBER(SEARCH("Gri", D250)), VERI_TABANI!F23*(0.00202-VERI_TABANI!$B$17), 0))) + ((VERI_TABANI!D24*B250*(VERI_TABANI!$B$13-VERI_TABANI!$B$14)) + (VERI_TABANI!D24*C250*(VERI_TABANI!$B$13-VERI_TABANI!$B$15)) + IF(ISNUMBER(SEARCH("Var", D250)), VERI_TABANI!F24*(0.00202-VERI_TABANI!$B$16), IF(ISNUMBER(SEARCH("Gri", D250)), VERI_TABANI!F24*(0.00202-VERI_TABANI!$B$17), 0))) + ((VERI_TABANI!D25*B250*(VERI_TABANI!$B$13-VERI_TABANI!$B$14)) + (VERI_TABANI!D25*C250*(VERI_TABANI!$B$13-VERI_TABANI!$B$15)) + IF(ISNUMBER(SEARCH("Var", D250)), VERI_TABANI!F25*(0.00202-VERI_TABANI!$B$16), IF(ISNUMBER(SEARCH("Gri", D250)), VERI_TABANI!F25*(0.00202-VERI_TABANI!$B$17), 0))) + ((VERI_TABANI!D26*B250*(VERI_TABANI!$B$13-VERI_TABANI!$B$14)) + (VERI_TABANI!D26*C250*(VERI_TABANI!$B$13-VERI_TABANI!$B$15)) + IF(ISNUMBER(SEARCH("Var", D250)), VERI_TABANI!F26*(0.00202-VERI_TABANI!$B$16), IF(ISNUMBER(SEARCH("Gri", D250)), VERI_TABANI!F26*(0.00202-VERI_TABANI!$B$17), 0))) + ((VERI_TABANI!D27*B250*(VERI_TABANI!$B$13-VERI_TABANI!$B$14)) + (VERI_TABANI!D27*C250*(VERI_TABANI!$B$13-VERI_TABANI!$B$15)) + IF(ISNUMBER(SEARCH("Var", D250)), VERI_TABANI!F27*(0.00202-VERI_TABANI!$B$16), IF(ISNUMBER(SEARCH("Gri", D250)), VERI_TABANI!F27*(0.00202-VERI_TABANI!$B$17), 0))) + ((VERI_TABANI!D28*B250*(VERI_TABANI!$B$13-VERI_TABANI!$B$14)) + (VERI_TABANI!D28*C250*(VERI_TABANI!$B$13-VERI_TABANI!$B$15)) + IF(ISNUMBER(SEARCH("Var", D250)), VERI_TABANI!F28*(0.00202-VERI_TABANI!$B$16), IF(ISNUMBER(SEARCH("Gri", D250)), VERI_TABANI!F28*(0.00202-VERI_TABANI!$B$17), 0))))</f>
        <v/>
      </c>
      <c r="I250" s="170">
        <f>IFERROR(((VERI_TABANI!$D$29*B250*VERI_TABANI!$B$14 + VERI_TABANI!$D$29*C250*VERI_TABANI!$B$15 + IF(ISNUMBER(SEARCH("Var", D250)), VERI_TABANI!$F$29*VERI_TABANI!$B$16, 0))) / (((VERI_TABANI!$D$29*B250 + VERI_TABANI!$D$29*C250)*VERI_TABANI!$B$13 + IF(ISNUMBER(SEARCH("Var", D250)), VERI_TABANI!$E$29*(1-0.928)*VERI_TABANI!$B$18, 0))), 0)</f>
        <v/>
      </c>
      <c r="J250" s="171">
        <f>IFERROR(F250/(G250/29), 0)</f>
        <v/>
      </c>
      <c r="K250" s="172">
        <f>IF(F250&gt;0, H250/F250, 0)</f>
        <v/>
      </c>
      <c r="L250" s="170">
        <f>IF(F250&gt;0, I250, 1000000000)</f>
        <v/>
      </c>
      <c r="M250" s="171">
        <f>ABS((B250+C250)-1)</f>
        <v/>
      </c>
      <c r="N250" s="170">
        <f>IF(F250&gt;0, (G250/29)/F250, 0)</f>
        <v/>
      </c>
      <c r="O250" s="168">
        <f>IF(AND((B250+C250)&gt;=1, ISNUMBER(SEARCH("Var", D250))), F250, 1000000000)</f>
        <v/>
      </c>
      <c r="P250" s="172">
        <f>IF(F250&gt;0, SQRT((F250/MAX(F$5:F$886))^2 + (1 - H250/MAX(H$5:H$886))^2 + (J250/MAX(J$5:J$886))^2), 1000000000)</f>
        <v/>
      </c>
      <c r="Q250" s="166">
        <f>IF(AND(ABS(B250-0.5)&lt;0.01, ABS(C250-0.5)&lt;0.01, ISNUMBER(SEARCH("Var", D250))), 1, 0)</f>
        <v/>
      </c>
      <c r="R250" s="171">
        <f>IF(F250&gt;0, J250, 1000000000)</f>
        <v/>
      </c>
      <c r="S250" s="101">
        <f>IF(AND(F250&lt;=DASHBOARD!$B$11, H250&gt;=DASHBOARD!$B$13), G250, -1000000000000)</f>
        <v/>
      </c>
      <c r="T250" s="101">
        <f>IF(AND(F250&lt;=DASHBOARD!$B$11, H250&gt;=DASHBOARD!$B$13), R250, 1000000000000)</f>
        <v/>
      </c>
      <c r="U250" s="101">
        <f>IF(AND(F250&lt;=DASHBOARD!$B$11, H250&gt;=DASHBOARD!$B$13), N250, -1000000000000)</f>
        <v/>
      </c>
      <c r="V250" s="101">
        <f>IF(AND(F250&lt;=DASHBOARD!$B$11, H250&gt;=DASHBOARD!$B$13), H250, -1000000000000)</f>
        <v/>
      </c>
      <c r="W250" s="101">
        <f>IF(AND(F250&lt;=DASHBOARD!$B$11, H250&gt;=DASHBOARD!$B$13), K250, -1000000000000)</f>
        <v/>
      </c>
      <c r="X250" s="101">
        <f>IF(AND(F250&lt;=DASHBOARD!$B$11, H250&gt;=DASHBOARD!$B$13), M250, 1000000000000)</f>
        <v/>
      </c>
      <c r="Y250" s="101">
        <f>IF(AND(F250&lt;=DASHBOARD!$B$10, H250&gt;=DASHBOARD!$B$11), L250, 1000000000000)</f>
        <v/>
      </c>
      <c r="Z250" s="101">
        <f>IF(AND(F250&lt;=DASHBOARD!$B$10, H250&gt;=DASHBOARD!$B$11), O250, 1000000000000)</f>
        <v/>
      </c>
      <c r="AA250" s="101">
        <f>IF(AND(F250&lt;=DASHBOARD!$B$10, H250&gt;=DASHBOARD!$B$11), P250, 1000000000000)</f>
        <v/>
      </c>
      <c r="AB250" s="101">
        <f>IF(AND(F250&lt;=DASHBOARD!$B$10, H250&gt;=DASHBOARD!$B$11), Q250, -1000000000000)</f>
        <v/>
      </c>
    </row>
    <row r="251" ht="15" customHeight="1" s="102">
      <c r="A251" s="166" t="n">
        <v>247</v>
      </c>
      <c r="B251" s="167" t="n">
        <v>0.5</v>
      </c>
      <c r="C251" s="167" t="n">
        <v>1.8</v>
      </c>
      <c r="D251" s="110" t="inlineStr">
        <is>
          <t>Yok (%0)</t>
        </is>
      </c>
      <c r="E251" s="110">
        <f>IF((B251+C251)&lt;=1, "Tam Mahsuplaşma (≤%100)", "Kısmi Satış (&gt;%100)")</f>
        <v/>
      </c>
      <c r="F251" s="168">
        <f>((VERI_TABANI!$D$29*B251/VERI_TABANI!$B$29)/VERI_TABANI!$B$3)*VERI_TABANI!$B$5 + ((VERI_TABANI!$D$29*C251/VERI_TABANI!$B$29)/VERI_TABANI!$B$4)*VERI_TABANI!$B$6 + IF(ISNUMBER(SEARCH("Var", D251)), (VERI_TABANI!$F$29/VERI_TABANI!$B$29)*(VERI_TABANI!$B$10+VERI_TABANI!$B$12), 0)</f>
        <v/>
      </c>
      <c r="G251" s="168">
        <f>(((MIN(VERI_TABANI!D23, VERI_TABANI!D23*B251)*VERI_TABANI!$B$7 + MAX(0, VERI_TABANI!D23*B251-VERI_TABANI!D23)*VERI_TABANI!$B$8) + (MIN(MAX(0, VERI_TABANI!D23-VERI_TABANI!D23*B251), VERI_TABANI!D23*C251)*VERI_TABANI!$B$7 + MAX(0, VERI_TABANI!D23*C251-MAX(0, VERI_TABANI!D23-VERI_TABANI!D23*B251))*VERI_TABANI!$B$8) + IF(ABS(IF(ISNUMBER(SEARCH("Var", D251)), 1, IF(ISNUMBER(SEARCH("Gri", D251)), -1, 0)))=1, VERI_TABANI!E23*(1-0.928)*VERI_TABANI!$B$9, 0) + (VERI_TABANI!D23*B251*(VERI_TABANI!$B$13-VERI_TABANI!$B$14)*VERI_TABANI!G23) + (VERI_TABANI!D23*C251*(VERI_TABANI!$B$13-VERI_TABANI!$B$15)*VERI_TABANI!G23) + IF(ABS(IF(ISNUMBER(SEARCH("Var", D251)), 1, IF(ISNUMBER(SEARCH("Gri", D251)), -1, 0)))=1, VERI_TABANI!E23*(1-0.928)*0.00206091519919798*VERI_TABANI!G23, 0)) + ((MIN(VERI_TABANI!D24, VERI_TABANI!D24*B251)*VERI_TABANI!$B$7 + MAX(0, VERI_TABANI!D24*B251-VERI_TABANI!D24)*VERI_TABANI!$B$8) + (MIN(MAX(0, VERI_TABANI!D24-VERI_TABANI!D24*B251), VERI_TABANI!D24*C251)*VERI_TABANI!$B$7 + MAX(0, VERI_TABANI!D24*C251-MAX(0, VERI_TABANI!D24-VERI_TABANI!D24*B251))*VERI_TABANI!$B$8) + IF(ABS(IF(ISNUMBER(SEARCH("Var", D251)), 1, IF(ISNUMBER(SEARCH("Gri", D251)), -1, 0)))=1, VERI_TABANI!E24*(1-0.928)*VERI_TABANI!$B$9, 0) + (VERI_TABANI!D24*B251*(VERI_TABANI!$B$13-VERI_TABANI!$B$14)*VERI_TABANI!G24) + (VERI_TABANI!D24*C251*(VERI_TABANI!$B$13-VERI_TABANI!$B$15)*VERI_TABANI!G24) + IF(ABS(IF(ISNUMBER(SEARCH("Var", D251)), 1, IF(ISNUMBER(SEARCH("Gri", D251)), -1, 0)))=1, VERI_TABANI!E24*(1-0.928)*0.00206091519919798*VERI_TABANI!G24, 0)) + ((MIN(VERI_TABANI!D25, VERI_TABANI!D25*B251)*VERI_TABANI!$B$7 + MAX(0, VERI_TABANI!D25*B251-VERI_TABANI!D25)*VERI_TABANI!$B$8) + (MIN(MAX(0, VERI_TABANI!D25-VERI_TABANI!D25*B251), VERI_TABANI!D25*C251)*VERI_TABANI!$B$7 + MAX(0, VERI_TABANI!D25*C251-MAX(0, VERI_TABANI!D25-VERI_TABANI!D25*B251))*VERI_TABANI!$B$8) + IF(ABS(IF(ISNUMBER(SEARCH("Var", D251)), 1, IF(ISNUMBER(SEARCH("Gri", D251)), -1, 0)))=1, VERI_TABANI!E25*(1-0.928)*VERI_TABANI!$B$9, 0) + (VERI_TABANI!D25*B251*(VERI_TABANI!$B$13-VERI_TABANI!$B$14)*VERI_TABANI!G25) + (VERI_TABANI!D25*C251*(VERI_TABANI!$B$13-VERI_TABANI!$B$15)*VERI_TABANI!G25) + IF(ABS(IF(ISNUMBER(SEARCH("Var", D251)), 1, IF(ISNUMBER(SEARCH("Gri", D251)), -1, 0)))=1, VERI_TABANI!E25*(1-0.928)*0.00206091519919798*VERI_TABANI!G25, 0)) + ((MIN(VERI_TABANI!D26, VERI_TABANI!D26*B251)*VERI_TABANI!$B$7 + MAX(0, VERI_TABANI!D26*B251-VERI_TABANI!D26)*VERI_TABANI!$B$8) + (MIN(MAX(0, VERI_TABANI!D26-VERI_TABANI!D26*B251), VERI_TABANI!D26*C251)*VERI_TABANI!$B$7 + MAX(0, VERI_TABANI!D26*C251-MAX(0, VERI_TABANI!D26-VERI_TABANI!D26*B251))*VERI_TABANI!$B$8) + IF(ABS(IF(ISNUMBER(SEARCH("Var", D251)), 1, IF(ISNUMBER(SEARCH("Gri", D251)), -1, 0)))=1, VERI_TABANI!E26*(1-0.928)*VERI_TABANI!$B$9, 0) + (VERI_TABANI!D26*B251*(VERI_TABANI!$B$13-VERI_TABANI!$B$14)*VERI_TABANI!G26) + (VERI_TABANI!D26*C251*(VERI_TABANI!$B$13-VERI_TABANI!$B$15)*VERI_TABANI!G26) + IF(ABS(IF(ISNUMBER(SEARCH("Var", D251)), 1, IF(ISNUMBER(SEARCH("Gri", D251)), -1, 0)))=1, VERI_TABANI!E26*(1-0.928)*0.00206091519919798*VERI_TABANI!G26, 0)) + ((MIN(VERI_TABANI!D27, VERI_TABANI!D27*B251)*VERI_TABANI!$B$7 + MAX(0, VERI_TABANI!D27*B251-VERI_TABANI!D27)*VERI_TABANI!$B$8) + (MIN(MAX(0, VERI_TABANI!D27-VERI_TABANI!D27*B251), VERI_TABANI!D27*C251)*VERI_TABANI!$B$7 + MAX(0, VERI_TABANI!D27*C251-MAX(0, VERI_TABANI!D27-VERI_TABANI!D27*B251))*VERI_TABANI!$B$8) + IF(ABS(IF(ISNUMBER(SEARCH("Var", D251)), 1, IF(ISNUMBER(SEARCH("Gri", D251)), -1, 0)))=1, VERI_TABANI!E27*(1-0.928)*VERI_TABANI!$B$9, 0) + (VERI_TABANI!D27*B251*(VERI_TABANI!$B$13-VERI_TABANI!$B$14)*VERI_TABANI!G27) + (VERI_TABANI!D27*C251*(VERI_TABANI!$B$13-VERI_TABANI!$B$15)*VERI_TABANI!G27) + IF(ABS(IF(ISNUMBER(SEARCH("Var", D251)), 1, IF(ISNUMBER(SEARCH("Gri", D251)), -1, 0)))=1, VERI_TABANI!E27*(1-0.928)*0.00206091519919798*VERI_TABANI!G27, 0)) + ((MIN(VERI_TABANI!D28, VERI_TABANI!D28*B251)*VERI_TABANI!$B$7 + MAX(0, VERI_TABANI!D28*B251-VERI_TABANI!D28)*VERI_TABANI!$B$8) + (MIN(MAX(0, VERI_TABANI!D28-VERI_TABANI!D28*B251), VERI_TABANI!D28*C251)*VERI_TABANI!$B$7 + MAX(0, VERI_TABANI!D28*C251-MAX(0, VERI_TABANI!D28-VERI_TABANI!D28*B251))*VERI_TABANI!$B$8) + IF(ABS(IF(ISNUMBER(SEARCH("Var", D251)), 1, IF(ISNUMBER(SEARCH("Gri", D251)), -1, 0)))=1, VERI_TABANI!E28*(1-0.928)*VERI_TABANI!$B$9, 0) + (VERI_TABANI!D28*B251*(VERI_TABANI!$B$13-VERI_TABANI!$B$14)*VERI_TABANI!G28) + (VERI_TABANI!D28*C251*(VERI_TABANI!$B$13-VERI_TABANI!$B$15)*VERI_TABANI!G28) + IF(ABS(IF(ISNUMBER(SEARCH("Var", D251)), 1, IF(ISNUMBER(SEARCH("Gri", D251)), -1, 0)))=1, VERI_TABANI!E28*(1-0.928)*0.00206091519919798*VERI_TABANI!G28, 0)))</f>
        <v/>
      </c>
      <c r="H251" s="169">
        <f>(((VERI_TABANI!D23*B251*(VERI_TABANI!$B$13-VERI_TABANI!$B$14)) + (VERI_TABANI!D23*C251*(VERI_TABANI!$B$13-VERI_TABANI!$B$15)) + IF(ISNUMBER(SEARCH("Var", D251)), VERI_TABANI!F23*(0.00202-VERI_TABANI!$B$16), IF(ISNUMBER(SEARCH("Gri", D251)), VERI_TABANI!F23*(0.00202-VERI_TABANI!$B$17), 0))) + ((VERI_TABANI!D24*B251*(VERI_TABANI!$B$13-VERI_TABANI!$B$14)) + (VERI_TABANI!D24*C251*(VERI_TABANI!$B$13-VERI_TABANI!$B$15)) + IF(ISNUMBER(SEARCH("Var", D251)), VERI_TABANI!F24*(0.00202-VERI_TABANI!$B$16), IF(ISNUMBER(SEARCH("Gri", D251)), VERI_TABANI!F24*(0.00202-VERI_TABANI!$B$17), 0))) + ((VERI_TABANI!D25*B251*(VERI_TABANI!$B$13-VERI_TABANI!$B$14)) + (VERI_TABANI!D25*C251*(VERI_TABANI!$B$13-VERI_TABANI!$B$15)) + IF(ISNUMBER(SEARCH("Var", D251)), VERI_TABANI!F25*(0.00202-VERI_TABANI!$B$16), IF(ISNUMBER(SEARCH("Gri", D251)), VERI_TABANI!F25*(0.00202-VERI_TABANI!$B$17), 0))) + ((VERI_TABANI!D26*B251*(VERI_TABANI!$B$13-VERI_TABANI!$B$14)) + (VERI_TABANI!D26*C251*(VERI_TABANI!$B$13-VERI_TABANI!$B$15)) + IF(ISNUMBER(SEARCH("Var", D251)), VERI_TABANI!F26*(0.00202-VERI_TABANI!$B$16), IF(ISNUMBER(SEARCH("Gri", D251)), VERI_TABANI!F26*(0.00202-VERI_TABANI!$B$17), 0))) + ((VERI_TABANI!D27*B251*(VERI_TABANI!$B$13-VERI_TABANI!$B$14)) + (VERI_TABANI!D27*C251*(VERI_TABANI!$B$13-VERI_TABANI!$B$15)) + IF(ISNUMBER(SEARCH("Var", D251)), VERI_TABANI!F27*(0.00202-VERI_TABANI!$B$16), IF(ISNUMBER(SEARCH("Gri", D251)), VERI_TABANI!F27*(0.00202-VERI_TABANI!$B$17), 0))) + ((VERI_TABANI!D28*B251*(VERI_TABANI!$B$13-VERI_TABANI!$B$14)) + (VERI_TABANI!D28*C251*(VERI_TABANI!$B$13-VERI_TABANI!$B$15)) + IF(ISNUMBER(SEARCH("Var", D251)), VERI_TABANI!F28*(0.00202-VERI_TABANI!$B$16), IF(ISNUMBER(SEARCH("Gri", D251)), VERI_TABANI!F28*(0.00202-VERI_TABANI!$B$17), 0))))</f>
        <v/>
      </c>
      <c r="I251" s="170">
        <f>IFERROR(((VERI_TABANI!$D$29*B251*VERI_TABANI!$B$14 + VERI_TABANI!$D$29*C251*VERI_TABANI!$B$15 + IF(ISNUMBER(SEARCH("Var", D251)), VERI_TABANI!$F$29*VERI_TABANI!$B$16, 0))) / (((VERI_TABANI!$D$29*B251 + VERI_TABANI!$D$29*C251)*VERI_TABANI!$B$13 + IF(ISNUMBER(SEARCH("Var", D251)), VERI_TABANI!$E$29*(1-0.928)*VERI_TABANI!$B$18, 0))), 0)</f>
        <v/>
      </c>
      <c r="J251" s="171">
        <f>IFERROR(F251/(G251/29), 0)</f>
        <v/>
      </c>
      <c r="K251" s="172">
        <f>IF(F251&gt;0, H251/F251, 0)</f>
        <v/>
      </c>
      <c r="L251" s="170">
        <f>IF(F251&gt;0, I251, 1000000000)</f>
        <v/>
      </c>
      <c r="M251" s="171">
        <f>ABS((B251+C251)-1)</f>
        <v/>
      </c>
      <c r="N251" s="170">
        <f>IF(F251&gt;0, (G251/29)/F251, 0)</f>
        <v/>
      </c>
      <c r="O251" s="168">
        <f>IF(AND((B251+C251)&gt;=1, ISNUMBER(SEARCH("Var", D251))), F251, 1000000000)</f>
        <v/>
      </c>
      <c r="P251" s="172">
        <f>IF(F251&gt;0, SQRT((F251/MAX(F$5:F$886))^2 + (1 - H251/MAX(H$5:H$886))^2 + (J251/MAX(J$5:J$886))^2), 1000000000)</f>
        <v/>
      </c>
      <c r="Q251" s="166">
        <f>IF(AND(ABS(B251-0.5)&lt;0.01, ABS(C251-0.5)&lt;0.01, ISNUMBER(SEARCH("Var", D251))), 1, 0)</f>
        <v/>
      </c>
      <c r="R251" s="171">
        <f>IF(F251&gt;0, J251, 1000000000)</f>
        <v/>
      </c>
      <c r="S251" s="101">
        <f>IF(AND(F251&lt;=DASHBOARD!$B$11, H251&gt;=DASHBOARD!$B$13), G251, -1000000000000)</f>
        <v/>
      </c>
      <c r="T251" s="101">
        <f>IF(AND(F251&lt;=DASHBOARD!$B$11, H251&gt;=DASHBOARD!$B$13), R251, 1000000000000)</f>
        <v/>
      </c>
      <c r="U251" s="101">
        <f>IF(AND(F251&lt;=DASHBOARD!$B$11, H251&gt;=DASHBOARD!$B$13), N251, -1000000000000)</f>
        <v/>
      </c>
      <c r="V251" s="101">
        <f>IF(AND(F251&lt;=DASHBOARD!$B$11, H251&gt;=DASHBOARD!$B$13), H251, -1000000000000)</f>
        <v/>
      </c>
      <c r="W251" s="101">
        <f>IF(AND(F251&lt;=DASHBOARD!$B$11, H251&gt;=DASHBOARD!$B$13), K251, -1000000000000)</f>
        <v/>
      </c>
      <c r="X251" s="101">
        <f>IF(AND(F251&lt;=DASHBOARD!$B$11, H251&gt;=DASHBOARD!$B$13), M251, 1000000000000)</f>
        <v/>
      </c>
      <c r="Y251" s="101">
        <f>IF(AND(F251&lt;=DASHBOARD!$B$10, H251&gt;=DASHBOARD!$B$11), L251, 1000000000000)</f>
        <v/>
      </c>
      <c r="Z251" s="101">
        <f>IF(AND(F251&lt;=DASHBOARD!$B$10, H251&gt;=DASHBOARD!$B$11), O251, 1000000000000)</f>
        <v/>
      </c>
      <c r="AA251" s="101">
        <f>IF(AND(F251&lt;=DASHBOARD!$B$10, H251&gt;=DASHBOARD!$B$11), P251, 1000000000000)</f>
        <v/>
      </c>
      <c r="AB251" s="101">
        <f>IF(AND(F251&lt;=DASHBOARD!$B$10, H251&gt;=DASHBOARD!$B$11), Q251, -1000000000000)</f>
        <v/>
      </c>
    </row>
    <row r="252" ht="15" customHeight="1" s="102">
      <c r="A252" s="166" t="n">
        <v>248</v>
      </c>
      <c r="B252" s="167" t="n">
        <v>0.5</v>
      </c>
      <c r="C252" s="167" t="n">
        <v>1.8</v>
      </c>
      <c r="D252" s="110" t="inlineStr">
        <is>
          <t>Var (%20)</t>
        </is>
      </c>
      <c r="E252" s="110">
        <f>IF((B252+C252)&lt;=1, "Tam Mahsuplaşma (≤%100)", "Kısmi Satış (&gt;%100)")</f>
        <v/>
      </c>
      <c r="F252" s="168">
        <f>((VERI_TABANI!$D$29*B252/VERI_TABANI!$B$29)/VERI_TABANI!$B$3)*VERI_TABANI!$B$5 + ((VERI_TABANI!$D$29*C252/VERI_TABANI!$B$29)/VERI_TABANI!$B$4)*VERI_TABANI!$B$6 + IF(ISNUMBER(SEARCH("Var", D252)), (VERI_TABANI!$F$29/VERI_TABANI!$B$29)*(VERI_TABANI!$B$10+VERI_TABANI!$B$12), 0)</f>
        <v/>
      </c>
      <c r="G252" s="168">
        <f>(((MIN(VERI_TABANI!D23, VERI_TABANI!D23*B252)*VERI_TABANI!$B$7 + MAX(0, VERI_TABANI!D23*B252-VERI_TABANI!D23)*VERI_TABANI!$B$8) + (MIN(MAX(0, VERI_TABANI!D23-VERI_TABANI!D23*B252), VERI_TABANI!D23*C252)*VERI_TABANI!$B$7 + MAX(0, VERI_TABANI!D23*C252-MAX(0, VERI_TABANI!D23-VERI_TABANI!D23*B252))*VERI_TABANI!$B$8) + IF(ABS(IF(ISNUMBER(SEARCH("Var", D252)), 1, IF(ISNUMBER(SEARCH("Gri", D252)), -1, 0)))=1, VERI_TABANI!E23*(1-0.928)*VERI_TABANI!$B$9, 0) + (VERI_TABANI!D23*B252*(VERI_TABANI!$B$13-VERI_TABANI!$B$14)*VERI_TABANI!G23) + (VERI_TABANI!D23*C252*(VERI_TABANI!$B$13-VERI_TABANI!$B$15)*VERI_TABANI!G23) + IF(ABS(IF(ISNUMBER(SEARCH("Var", D252)), 1, IF(ISNUMBER(SEARCH("Gri", D252)), -1, 0)))=1, VERI_TABANI!E23*(1-0.928)*0.00206091519919798*VERI_TABANI!G23, 0)) + ((MIN(VERI_TABANI!D24, VERI_TABANI!D24*B252)*VERI_TABANI!$B$7 + MAX(0, VERI_TABANI!D24*B252-VERI_TABANI!D24)*VERI_TABANI!$B$8) + (MIN(MAX(0, VERI_TABANI!D24-VERI_TABANI!D24*B252), VERI_TABANI!D24*C252)*VERI_TABANI!$B$7 + MAX(0, VERI_TABANI!D24*C252-MAX(0, VERI_TABANI!D24-VERI_TABANI!D24*B252))*VERI_TABANI!$B$8) + IF(ABS(IF(ISNUMBER(SEARCH("Var", D252)), 1, IF(ISNUMBER(SEARCH("Gri", D252)), -1, 0)))=1, VERI_TABANI!E24*(1-0.928)*VERI_TABANI!$B$9, 0) + (VERI_TABANI!D24*B252*(VERI_TABANI!$B$13-VERI_TABANI!$B$14)*VERI_TABANI!G24) + (VERI_TABANI!D24*C252*(VERI_TABANI!$B$13-VERI_TABANI!$B$15)*VERI_TABANI!G24) + IF(ABS(IF(ISNUMBER(SEARCH("Var", D252)), 1, IF(ISNUMBER(SEARCH("Gri", D252)), -1, 0)))=1, VERI_TABANI!E24*(1-0.928)*0.00206091519919798*VERI_TABANI!G24, 0)) + ((MIN(VERI_TABANI!D25, VERI_TABANI!D25*B252)*VERI_TABANI!$B$7 + MAX(0, VERI_TABANI!D25*B252-VERI_TABANI!D25)*VERI_TABANI!$B$8) + (MIN(MAX(0, VERI_TABANI!D25-VERI_TABANI!D25*B252), VERI_TABANI!D25*C252)*VERI_TABANI!$B$7 + MAX(0, VERI_TABANI!D25*C252-MAX(0, VERI_TABANI!D25-VERI_TABANI!D25*B252))*VERI_TABANI!$B$8) + IF(ABS(IF(ISNUMBER(SEARCH("Var", D252)), 1, IF(ISNUMBER(SEARCH("Gri", D252)), -1, 0)))=1, VERI_TABANI!E25*(1-0.928)*VERI_TABANI!$B$9, 0) + (VERI_TABANI!D25*B252*(VERI_TABANI!$B$13-VERI_TABANI!$B$14)*VERI_TABANI!G25) + (VERI_TABANI!D25*C252*(VERI_TABANI!$B$13-VERI_TABANI!$B$15)*VERI_TABANI!G25) + IF(ABS(IF(ISNUMBER(SEARCH("Var", D252)), 1, IF(ISNUMBER(SEARCH("Gri", D252)), -1, 0)))=1, VERI_TABANI!E25*(1-0.928)*0.00206091519919798*VERI_TABANI!G25, 0)) + ((MIN(VERI_TABANI!D26, VERI_TABANI!D26*B252)*VERI_TABANI!$B$7 + MAX(0, VERI_TABANI!D26*B252-VERI_TABANI!D26)*VERI_TABANI!$B$8) + (MIN(MAX(0, VERI_TABANI!D26-VERI_TABANI!D26*B252), VERI_TABANI!D26*C252)*VERI_TABANI!$B$7 + MAX(0, VERI_TABANI!D26*C252-MAX(0, VERI_TABANI!D26-VERI_TABANI!D26*B252))*VERI_TABANI!$B$8) + IF(ABS(IF(ISNUMBER(SEARCH("Var", D252)), 1, IF(ISNUMBER(SEARCH("Gri", D252)), -1, 0)))=1, VERI_TABANI!E26*(1-0.928)*VERI_TABANI!$B$9, 0) + (VERI_TABANI!D26*B252*(VERI_TABANI!$B$13-VERI_TABANI!$B$14)*VERI_TABANI!G26) + (VERI_TABANI!D26*C252*(VERI_TABANI!$B$13-VERI_TABANI!$B$15)*VERI_TABANI!G26) + IF(ABS(IF(ISNUMBER(SEARCH("Var", D252)), 1, IF(ISNUMBER(SEARCH("Gri", D252)), -1, 0)))=1, VERI_TABANI!E26*(1-0.928)*0.00206091519919798*VERI_TABANI!G26, 0)) + ((MIN(VERI_TABANI!D27, VERI_TABANI!D27*B252)*VERI_TABANI!$B$7 + MAX(0, VERI_TABANI!D27*B252-VERI_TABANI!D27)*VERI_TABANI!$B$8) + (MIN(MAX(0, VERI_TABANI!D27-VERI_TABANI!D27*B252), VERI_TABANI!D27*C252)*VERI_TABANI!$B$7 + MAX(0, VERI_TABANI!D27*C252-MAX(0, VERI_TABANI!D27-VERI_TABANI!D27*B252))*VERI_TABANI!$B$8) + IF(ABS(IF(ISNUMBER(SEARCH("Var", D252)), 1, IF(ISNUMBER(SEARCH("Gri", D252)), -1, 0)))=1, VERI_TABANI!E27*(1-0.928)*VERI_TABANI!$B$9, 0) + (VERI_TABANI!D27*B252*(VERI_TABANI!$B$13-VERI_TABANI!$B$14)*VERI_TABANI!G27) + (VERI_TABANI!D27*C252*(VERI_TABANI!$B$13-VERI_TABANI!$B$15)*VERI_TABANI!G27) + IF(ABS(IF(ISNUMBER(SEARCH("Var", D252)), 1, IF(ISNUMBER(SEARCH("Gri", D252)), -1, 0)))=1, VERI_TABANI!E27*(1-0.928)*0.00206091519919798*VERI_TABANI!G27, 0)) + ((MIN(VERI_TABANI!D28, VERI_TABANI!D28*B252)*VERI_TABANI!$B$7 + MAX(0, VERI_TABANI!D28*B252-VERI_TABANI!D28)*VERI_TABANI!$B$8) + (MIN(MAX(0, VERI_TABANI!D28-VERI_TABANI!D28*B252), VERI_TABANI!D28*C252)*VERI_TABANI!$B$7 + MAX(0, VERI_TABANI!D28*C252-MAX(0, VERI_TABANI!D28-VERI_TABANI!D28*B252))*VERI_TABANI!$B$8) + IF(ABS(IF(ISNUMBER(SEARCH("Var", D252)), 1, IF(ISNUMBER(SEARCH("Gri", D252)), -1, 0)))=1, VERI_TABANI!E28*(1-0.928)*VERI_TABANI!$B$9, 0) + (VERI_TABANI!D28*B252*(VERI_TABANI!$B$13-VERI_TABANI!$B$14)*VERI_TABANI!G28) + (VERI_TABANI!D28*C252*(VERI_TABANI!$B$13-VERI_TABANI!$B$15)*VERI_TABANI!G28) + IF(ABS(IF(ISNUMBER(SEARCH("Var", D252)), 1, IF(ISNUMBER(SEARCH("Gri", D252)), -1, 0)))=1, VERI_TABANI!E28*(1-0.928)*0.00206091519919798*VERI_TABANI!G28, 0)))</f>
        <v/>
      </c>
      <c r="H252" s="169">
        <f>(((VERI_TABANI!D23*B252*(VERI_TABANI!$B$13-VERI_TABANI!$B$14)) + (VERI_TABANI!D23*C252*(VERI_TABANI!$B$13-VERI_TABANI!$B$15)) + IF(ISNUMBER(SEARCH("Var", D252)), VERI_TABANI!F23*(0.00202-VERI_TABANI!$B$16), IF(ISNUMBER(SEARCH("Gri", D252)), VERI_TABANI!F23*(0.00202-VERI_TABANI!$B$17), 0))) + ((VERI_TABANI!D24*B252*(VERI_TABANI!$B$13-VERI_TABANI!$B$14)) + (VERI_TABANI!D24*C252*(VERI_TABANI!$B$13-VERI_TABANI!$B$15)) + IF(ISNUMBER(SEARCH("Var", D252)), VERI_TABANI!F24*(0.00202-VERI_TABANI!$B$16), IF(ISNUMBER(SEARCH("Gri", D252)), VERI_TABANI!F24*(0.00202-VERI_TABANI!$B$17), 0))) + ((VERI_TABANI!D25*B252*(VERI_TABANI!$B$13-VERI_TABANI!$B$14)) + (VERI_TABANI!D25*C252*(VERI_TABANI!$B$13-VERI_TABANI!$B$15)) + IF(ISNUMBER(SEARCH("Var", D252)), VERI_TABANI!F25*(0.00202-VERI_TABANI!$B$16), IF(ISNUMBER(SEARCH("Gri", D252)), VERI_TABANI!F25*(0.00202-VERI_TABANI!$B$17), 0))) + ((VERI_TABANI!D26*B252*(VERI_TABANI!$B$13-VERI_TABANI!$B$14)) + (VERI_TABANI!D26*C252*(VERI_TABANI!$B$13-VERI_TABANI!$B$15)) + IF(ISNUMBER(SEARCH("Var", D252)), VERI_TABANI!F26*(0.00202-VERI_TABANI!$B$16), IF(ISNUMBER(SEARCH("Gri", D252)), VERI_TABANI!F26*(0.00202-VERI_TABANI!$B$17), 0))) + ((VERI_TABANI!D27*B252*(VERI_TABANI!$B$13-VERI_TABANI!$B$14)) + (VERI_TABANI!D27*C252*(VERI_TABANI!$B$13-VERI_TABANI!$B$15)) + IF(ISNUMBER(SEARCH("Var", D252)), VERI_TABANI!F27*(0.00202-VERI_TABANI!$B$16), IF(ISNUMBER(SEARCH("Gri", D252)), VERI_TABANI!F27*(0.00202-VERI_TABANI!$B$17), 0))) + ((VERI_TABANI!D28*B252*(VERI_TABANI!$B$13-VERI_TABANI!$B$14)) + (VERI_TABANI!D28*C252*(VERI_TABANI!$B$13-VERI_TABANI!$B$15)) + IF(ISNUMBER(SEARCH("Var", D252)), VERI_TABANI!F28*(0.00202-VERI_TABANI!$B$16), IF(ISNUMBER(SEARCH("Gri", D252)), VERI_TABANI!F28*(0.00202-VERI_TABANI!$B$17), 0))))</f>
        <v/>
      </c>
      <c r="I252" s="170">
        <f>IFERROR(((VERI_TABANI!$D$29*B252*VERI_TABANI!$B$14 + VERI_TABANI!$D$29*C252*VERI_TABANI!$B$15 + IF(ISNUMBER(SEARCH("Var", D252)), VERI_TABANI!$F$29*VERI_TABANI!$B$16, 0))) / (((VERI_TABANI!$D$29*B252 + VERI_TABANI!$D$29*C252)*VERI_TABANI!$B$13 + IF(ISNUMBER(SEARCH("Var", D252)), VERI_TABANI!$E$29*(1-0.928)*VERI_TABANI!$B$18, 0))), 0)</f>
        <v/>
      </c>
      <c r="J252" s="171">
        <f>IFERROR(F252/(G252/29), 0)</f>
        <v/>
      </c>
      <c r="K252" s="172">
        <f>IF(F252&gt;0, H252/F252, 0)</f>
        <v/>
      </c>
      <c r="L252" s="170">
        <f>IF(F252&gt;0, I252, 1000000000)</f>
        <v/>
      </c>
      <c r="M252" s="171">
        <f>ABS((B252+C252)-1)</f>
        <v/>
      </c>
      <c r="N252" s="170">
        <f>IF(F252&gt;0, (G252/29)/F252, 0)</f>
        <v/>
      </c>
      <c r="O252" s="168">
        <f>IF(AND((B252+C252)&gt;=1, ISNUMBER(SEARCH("Var", D252))), F252, 1000000000)</f>
        <v/>
      </c>
      <c r="P252" s="172">
        <f>IF(F252&gt;0, SQRT((F252/MAX(F$5:F$886))^2 + (1 - H252/MAX(H$5:H$886))^2 + (J252/MAX(J$5:J$886))^2), 1000000000)</f>
        <v/>
      </c>
      <c r="Q252" s="166">
        <f>IF(AND(ABS(B252-0.5)&lt;0.01, ABS(C252-0.5)&lt;0.01, ISNUMBER(SEARCH("Var", D252))), 1, 0)</f>
        <v/>
      </c>
      <c r="R252" s="171">
        <f>IF(F252&gt;0, J252, 1000000000)</f>
        <v/>
      </c>
      <c r="S252" s="101">
        <f>IF(AND(F252&lt;=DASHBOARD!$B$11, H252&gt;=DASHBOARD!$B$13), G252, -1000000000000)</f>
        <v/>
      </c>
      <c r="T252" s="101">
        <f>IF(AND(F252&lt;=DASHBOARD!$B$11, H252&gt;=DASHBOARD!$B$13), R252, 1000000000000)</f>
        <v/>
      </c>
      <c r="U252" s="101">
        <f>IF(AND(F252&lt;=DASHBOARD!$B$11, H252&gt;=DASHBOARD!$B$13), N252, -1000000000000)</f>
        <v/>
      </c>
      <c r="V252" s="101">
        <f>IF(AND(F252&lt;=DASHBOARD!$B$11, H252&gt;=DASHBOARD!$B$13), H252, -1000000000000)</f>
        <v/>
      </c>
      <c r="W252" s="101">
        <f>IF(AND(F252&lt;=DASHBOARD!$B$11, H252&gt;=DASHBOARD!$B$13), K252, -1000000000000)</f>
        <v/>
      </c>
      <c r="X252" s="101">
        <f>IF(AND(F252&lt;=DASHBOARD!$B$11, H252&gt;=DASHBOARD!$B$13), M252, 1000000000000)</f>
        <v/>
      </c>
      <c r="Y252" s="101">
        <f>IF(AND(F252&lt;=DASHBOARD!$B$10, H252&gt;=DASHBOARD!$B$11), L252, 1000000000000)</f>
        <v/>
      </c>
      <c r="Z252" s="101">
        <f>IF(AND(F252&lt;=DASHBOARD!$B$10, H252&gt;=DASHBOARD!$B$11), O252, 1000000000000)</f>
        <v/>
      </c>
      <c r="AA252" s="101">
        <f>IF(AND(F252&lt;=DASHBOARD!$B$10, H252&gt;=DASHBOARD!$B$11), P252, 1000000000000)</f>
        <v/>
      </c>
      <c r="AB252" s="101">
        <f>IF(AND(F252&lt;=DASHBOARD!$B$10, H252&gt;=DASHBOARD!$B$11), Q252, -1000000000000)</f>
        <v/>
      </c>
    </row>
    <row r="253" ht="15" customHeight="1" s="102">
      <c r="A253" s="166" t="n">
        <v>249</v>
      </c>
      <c r="B253" s="167" t="n">
        <v>0.5</v>
      </c>
      <c r="C253" s="167" t="n">
        <v>1.9</v>
      </c>
      <c r="D253" s="110" t="inlineStr">
        <is>
          <t>Yok (%0)</t>
        </is>
      </c>
      <c r="E253" s="110">
        <f>IF((B253+C253)&lt;=1, "Tam Mahsuplaşma (≤%100)", "Kısmi Satış (&gt;%100)")</f>
        <v/>
      </c>
      <c r="F253" s="168">
        <f>((VERI_TABANI!$D$29*B253/VERI_TABANI!$B$29)/VERI_TABANI!$B$3)*VERI_TABANI!$B$5 + ((VERI_TABANI!$D$29*C253/VERI_TABANI!$B$29)/VERI_TABANI!$B$4)*VERI_TABANI!$B$6 + IF(ISNUMBER(SEARCH("Var", D253)), (VERI_TABANI!$F$29/VERI_TABANI!$B$29)*(VERI_TABANI!$B$10+VERI_TABANI!$B$12), 0)</f>
        <v/>
      </c>
      <c r="G253" s="168">
        <f>(((MIN(VERI_TABANI!D23, VERI_TABANI!D23*B253)*VERI_TABANI!$B$7 + MAX(0, VERI_TABANI!D23*B253-VERI_TABANI!D23)*VERI_TABANI!$B$8) + (MIN(MAX(0, VERI_TABANI!D23-VERI_TABANI!D23*B253), VERI_TABANI!D23*C253)*VERI_TABANI!$B$7 + MAX(0, VERI_TABANI!D23*C253-MAX(0, VERI_TABANI!D23-VERI_TABANI!D23*B253))*VERI_TABANI!$B$8) + IF(ABS(IF(ISNUMBER(SEARCH("Var", D253)), 1, IF(ISNUMBER(SEARCH("Gri", D253)), -1, 0)))=1, VERI_TABANI!E23*(1-0.928)*VERI_TABANI!$B$9, 0) + (VERI_TABANI!D23*B253*(VERI_TABANI!$B$13-VERI_TABANI!$B$14)*VERI_TABANI!G23) + (VERI_TABANI!D23*C253*(VERI_TABANI!$B$13-VERI_TABANI!$B$15)*VERI_TABANI!G23) + IF(ABS(IF(ISNUMBER(SEARCH("Var", D253)), 1, IF(ISNUMBER(SEARCH("Gri", D253)), -1, 0)))=1, VERI_TABANI!E23*(1-0.928)*0.00206091519919798*VERI_TABANI!G23, 0)) + ((MIN(VERI_TABANI!D24, VERI_TABANI!D24*B253)*VERI_TABANI!$B$7 + MAX(0, VERI_TABANI!D24*B253-VERI_TABANI!D24)*VERI_TABANI!$B$8) + (MIN(MAX(0, VERI_TABANI!D24-VERI_TABANI!D24*B253), VERI_TABANI!D24*C253)*VERI_TABANI!$B$7 + MAX(0, VERI_TABANI!D24*C253-MAX(0, VERI_TABANI!D24-VERI_TABANI!D24*B253))*VERI_TABANI!$B$8) + IF(ABS(IF(ISNUMBER(SEARCH("Var", D253)), 1, IF(ISNUMBER(SEARCH("Gri", D253)), -1, 0)))=1, VERI_TABANI!E24*(1-0.928)*VERI_TABANI!$B$9, 0) + (VERI_TABANI!D24*B253*(VERI_TABANI!$B$13-VERI_TABANI!$B$14)*VERI_TABANI!G24) + (VERI_TABANI!D24*C253*(VERI_TABANI!$B$13-VERI_TABANI!$B$15)*VERI_TABANI!G24) + IF(ABS(IF(ISNUMBER(SEARCH("Var", D253)), 1, IF(ISNUMBER(SEARCH("Gri", D253)), -1, 0)))=1, VERI_TABANI!E24*(1-0.928)*0.00206091519919798*VERI_TABANI!G24, 0)) + ((MIN(VERI_TABANI!D25, VERI_TABANI!D25*B253)*VERI_TABANI!$B$7 + MAX(0, VERI_TABANI!D25*B253-VERI_TABANI!D25)*VERI_TABANI!$B$8) + (MIN(MAX(0, VERI_TABANI!D25-VERI_TABANI!D25*B253), VERI_TABANI!D25*C253)*VERI_TABANI!$B$7 + MAX(0, VERI_TABANI!D25*C253-MAX(0, VERI_TABANI!D25-VERI_TABANI!D25*B253))*VERI_TABANI!$B$8) + IF(ABS(IF(ISNUMBER(SEARCH("Var", D253)), 1, IF(ISNUMBER(SEARCH("Gri", D253)), -1, 0)))=1, VERI_TABANI!E25*(1-0.928)*VERI_TABANI!$B$9, 0) + (VERI_TABANI!D25*B253*(VERI_TABANI!$B$13-VERI_TABANI!$B$14)*VERI_TABANI!G25) + (VERI_TABANI!D25*C253*(VERI_TABANI!$B$13-VERI_TABANI!$B$15)*VERI_TABANI!G25) + IF(ABS(IF(ISNUMBER(SEARCH("Var", D253)), 1, IF(ISNUMBER(SEARCH("Gri", D253)), -1, 0)))=1, VERI_TABANI!E25*(1-0.928)*0.00206091519919798*VERI_TABANI!G25, 0)) + ((MIN(VERI_TABANI!D26, VERI_TABANI!D26*B253)*VERI_TABANI!$B$7 + MAX(0, VERI_TABANI!D26*B253-VERI_TABANI!D26)*VERI_TABANI!$B$8) + (MIN(MAX(0, VERI_TABANI!D26-VERI_TABANI!D26*B253), VERI_TABANI!D26*C253)*VERI_TABANI!$B$7 + MAX(0, VERI_TABANI!D26*C253-MAX(0, VERI_TABANI!D26-VERI_TABANI!D26*B253))*VERI_TABANI!$B$8) + IF(ABS(IF(ISNUMBER(SEARCH("Var", D253)), 1, IF(ISNUMBER(SEARCH("Gri", D253)), -1, 0)))=1, VERI_TABANI!E26*(1-0.928)*VERI_TABANI!$B$9, 0) + (VERI_TABANI!D26*B253*(VERI_TABANI!$B$13-VERI_TABANI!$B$14)*VERI_TABANI!G26) + (VERI_TABANI!D26*C253*(VERI_TABANI!$B$13-VERI_TABANI!$B$15)*VERI_TABANI!G26) + IF(ABS(IF(ISNUMBER(SEARCH("Var", D253)), 1, IF(ISNUMBER(SEARCH("Gri", D253)), -1, 0)))=1, VERI_TABANI!E26*(1-0.928)*0.00206091519919798*VERI_TABANI!G26, 0)) + ((MIN(VERI_TABANI!D27, VERI_TABANI!D27*B253)*VERI_TABANI!$B$7 + MAX(0, VERI_TABANI!D27*B253-VERI_TABANI!D27)*VERI_TABANI!$B$8) + (MIN(MAX(0, VERI_TABANI!D27-VERI_TABANI!D27*B253), VERI_TABANI!D27*C253)*VERI_TABANI!$B$7 + MAX(0, VERI_TABANI!D27*C253-MAX(0, VERI_TABANI!D27-VERI_TABANI!D27*B253))*VERI_TABANI!$B$8) + IF(ABS(IF(ISNUMBER(SEARCH("Var", D253)), 1, IF(ISNUMBER(SEARCH("Gri", D253)), -1, 0)))=1, VERI_TABANI!E27*(1-0.928)*VERI_TABANI!$B$9, 0) + (VERI_TABANI!D27*B253*(VERI_TABANI!$B$13-VERI_TABANI!$B$14)*VERI_TABANI!G27) + (VERI_TABANI!D27*C253*(VERI_TABANI!$B$13-VERI_TABANI!$B$15)*VERI_TABANI!G27) + IF(ABS(IF(ISNUMBER(SEARCH("Var", D253)), 1, IF(ISNUMBER(SEARCH("Gri", D253)), -1, 0)))=1, VERI_TABANI!E27*(1-0.928)*0.00206091519919798*VERI_TABANI!G27, 0)) + ((MIN(VERI_TABANI!D28, VERI_TABANI!D28*B253)*VERI_TABANI!$B$7 + MAX(0, VERI_TABANI!D28*B253-VERI_TABANI!D28)*VERI_TABANI!$B$8) + (MIN(MAX(0, VERI_TABANI!D28-VERI_TABANI!D28*B253), VERI_TABANI!D28*C253)*VERI_TABANI!$B$7 + MAX(0, VERI_TABANI!D28*C253-MAX(0, VERI_TABANI!D28-VERI_TABANI!D28*B253))*VERI_TABANI!$B$8) + IF(ABS(IF(ISNUMBER(SEARCH("Var", D253)), 1, IF(ISNUMBER(SEARCH("Gri", D253)), -1, 0)))=1, VERI_TABANI!E28*(1-0.928)*VERI_TABANI!$B$9, 0) + (VERI_TABANI!D28*B253*(VERI_TABANI!$B$13-VERI_TABANI!$B$14)*VERI_TABANI!G28) + (VERI_TABANI!D28*C253*(VERI_TABANI!$B$13-VERI_TABANI!$B$15)*VERI_TABANI!G28) + IF(ABS(IF(ISNUMBER(SEARCH("Var", D253)), 1, IF(ISNUMBER(SEARCH("Gri", D253)), -1, 0)))=1, VERI_TABANI!E28*(1-0.928)*0.00206091519919798*VERI_TABANI!G28, 0)))</f>
        <v/>
      </c>
      <c r="H253" s="169">
        <f>(((VERI_TABANI!D23*B253*(VERI_TABANI!$B$13-VERI_TABANI!$B$14)) + (VERI_TABANI!D23*C253*(VERI_TABANI!$B$13-VERI_TABANI!$B$15)) + IF(ISNUMBER(SEARCH("Var", D253)), VERI_TABANI!F23*(0.00202-VERI_TABANI!$B$16), IF(ISNUMBER(SEARCH("Gri", D253)), VERI_TABANI!F23*(0.00202-VERI_TABANI!$B$17), 0))) + ((VERI_TABANI!D24*B253*(VERI_TABANI!$B$13-VERI_TABANI!$B$14)) + (VERI_TABANI!D24*C253*(VERI_TABANI!$B$13-VERI_TABANI!$B$15)) + IF(ISNUMBER(SEARCH("Var", D253)), VERI_TABANI!F24*(0.00202-VERI_TABANI!$B$16), IF(ISNUMBER(SEARCH("Gri", D253)), VERI_TABANI!F24*(0.00202-VERI_TABANI!$B$17), 0))) + ((VERI_TABANI!D25*B253*(VERI_TABANI!$B$13-VERI_TABANI!$B$14)) + (VERI_TABANI!D25*C253*(VERI_TABANI!$B$13-VERI_TABANI!$B$15)) + IF(ISNUMBER(SEARCH("Var", D253)), VERI_TABANI!F25*(0.00202-VERI_TABANI!$B$16), IF(ISNUMBER(SEARCH("Gri", D253)), VERI_TABANI!F25*(0.00202-VERI_TABANI!$B$17), 0))) + ((VERI_TABANI!D26*B253*(VERI_TABANI!$B$13-VERI_TABANI!$B$14)) + (VERI_TABANI!D26*C253*(VERI_TABANI!$B$13-VERI_TABANI!$B$15)) + IF(ISNUMBER(SEARCH("Var", D253)), VERI_TABANI!F26*(0.00202-VERI_TABANI!$B$16), IF(ISNUMBER(SEARCH("Gri", D253)), VERI_TABANI!F26*(0.00202-VERI_TABANI!$B$17), 0))) + ((VERI_TABANI!D27*B253*(VERI_TABANI!$B$13-VERI_TABANI!$B$14)) + (VERI_TABANI!D27*C253*(VERI_TABANI!$B$13-VERI_TABANI!$B$15)) + IF(ISNUMBER(SEARCH("Var", D253)), VERI_TABANI!F27*(0.00202-VERI_TABANI!$B$16), IF(ISNUMBER(SEARCH("Gri", D253)), VERI_TABANI!F27*(0.00202-VERI_TABANI!$B$17), 0))) + ((VERI_TABANI!D28*B253*(VERI_TABANI!$B$13-VERI_TABANI!$B$14)) + (VERI_TABANI!D28*C253*(VERI_TABANI!$B$13-VERI_TABANI!$B$15)) + IF(ISNUMBER(SEARCH("Var", D253)), VERI_TABANI!F28*(0.00202-VERI_TABANI!$B$16), IF(ISNUMBER(SEARCH("Gri", D253)), VERI_TABANI!F28*(0.00202-VERI_TABANI!$B$17), 0))))</f>
        <v/>
      </c>
      <c r="I253" s="170">
        <f>IFERROR(((VERI_TABANI!$D$29*B253*VERI_TABANI!$B$14 + VERI_TABANI!$D$29*C253*VERI_TABANI!$B$15 + IF(ISNUMBER(SEARCH("Var", D253)), VERI_TABANI!$F$29*VERI_TABANI!$B$16, 0))) / (((VERI_TABANI!$D$29*B253 + VERI_TABANI!$D$29*C253)*VERI_TABANI!$B$13 + IF(ISNUMBER(SEARCH("Var", D253)), VERI_TABANI!$E$29*(1-0.928)*VERI_TABANI!$B$18, 0))), 0)</f>
        <v/>
      </c>
      <c r="J253" s="171">
        <f>IFERROR(F253/(G253/29), 0)</f>
        <v/>
      </c>
      <c r="K253" s="172">
        <f>IF(F253&gt;0, H253/F253, 0)</f>
        <v/>
      </c>
      <c r="L253" s="170">
        <f>IF(F253&gt;0, I253, 1000000000)</f>
        <v/>
      </c>
      <c r="M253" s="171">
        <f>ABS((B253+C253)-1)</f>
        <v/>
      </c>
      <c r="N253" s="170">
        <f>IF(F253&gt;0, (G253/29)/F253, 0)</f>
        <v/>
      </c>
      <c r="O253" s="168">
        <f>IF(AND((B253+C253)&gt;=1, ISNUMBER(SEARCH("Var", D253))), F253, 1000000000)</f>
        <v/>
      </c>
      <c r="P253" s="172">
        <f>IF(F253&gt;0, SQRT((F253/MAX(F$5:F$886))^2 + (1 - H253/MAX(H$5:H$886))^2 + (J253/MAX(J$5:J$886))^2), 1000000000)</f>
        <v/>
      </c>
      <c r="Q253" s="166">
        <f>IF(AND(ABS(B253-0.5)&lt;0.01, ABS(C253-0.5)&lt;0.01, ISNUMBER(SEARCH("Var", D253))), 1, 0)</f>
        <v/>
      </c>
      <c r="R253" s="171">
        <f>IF(F253&gt;0, J253, 1000000000)</f>
        <v/>
      </c>
      <c r="S253" s="101">
        <f>IF(AND(F253&lt;=DASHBOARD!$B$11, H253&gt;=DASHBOARD!$B$13), G253, -1000000000000)</f>
        <v/>
      </c>
      <c r="T253" s="101">
        <f>IF(AND(F253&lt;=DASHBOARD!$B$11, H253&gt;=DASHBOARD!$B$13), R253, 1000000000000)</f>
        <v/>
      </c>
      <c r="U253" s="101">
        <f>IF(AND(F253&lt;=DASHBOARD!$B$11, H253&gt;=DASHBOARD!$B$13), N253, -1000000000000)</f>
        <v/>
      </c>
      <c r="V253" s="101">
        <f>IF(AND(F253&lt;=DASHBOARD!$B$11, H253&gt;=DASHBOARD!$B$13), H253, -1000000000000)</f>
        <v/>
      </c>
      <c r="W253" s="101">
        <f>IF(AND(F253&lt;=DASHBOARD!$B$11, H253&gt;=DASHBOARD!$B$13), K253, -1000000000000)</f>
        <v/>
      </c>
      <c r="X253" s="101">
        <f>IF(AND(F253&lt;=DASHBOARD!$B$11, H253&gt;=DASHBOARD!$B$13), M253, 1000000000000)</f>
        <v/>
      </c>
      <c r="Y253" s="101">
        <f>IF(AND(F253&lt;=DASHBOARD!$B$10, H253&gt;=DASHBOARD!$B$11), L253, 1000000000000)</f>
        <v/>
      </c>
      <c r="Z253" s="101">
        <f>IF(AND(F253&lt;=DASHBOARD!$B$10, H253&gt;=DASHBOARD!$B$11), O253, 1000000000000)</f>
        <v/>
      </c>
      <c r="AA253" s="101">
        <f>IF(AND(F253&lt;=DASHBOARD!$B$10, H253&gt;=DASHBOARD!$B$11), P253, 1000000000000)</f>
        <v/>
      </c>
      <c r="AB253" s="101">
        <f>IF(AND(F253&lt;=DASHBOARD!$B$10, H253&gt;=DASHBOARD!$B$11), Q253, -1000000000000)</f>
        <v/>
      </c>
    </row>
    <row r="254" ht="15" customHeight="1" s="102">
      <c r="A254" s="166" t="n">
        <v>250</v>
      </c>
      <c r="B254" s="167" t="n">
        <v>0.5</v>
      </c>
      <c r="C254" s="167" t="n">
        <v>1.9</v>
      </c>
      <c r="D254" s="110" t="inlineStr">
        <is>
          <t>Var (%20)</t>
        </is>
      </c>
      <c r="E254" s="110">
        <f>IF((B254+C254)&lt;=1, "Tam Mahsuplaşma (≤%100)", "Kısmi Satış (&gt;%100)")</f>
        <v/>
      </c>
      <c r="F254" s="168">
        <f>((VERI_TABANI!$D$29*B254/VERI_TABANI!$B$29)/VERI_TABANI!$B$3)*VERI_TABANI!$B$5 + ((VERI_TABANI!$D$29*C254/VERI_TABANI!$B$29)/VERI_TABANI!$B$4)*VERI_TABANI!$B$6 + IF(ISNUMBER(SEARCH("Var", D254)), (VERI_TABANI!$F$29/VERI_TABANI!$B$29)*(VERI_TABANI!$B$10+VERI_TABANI!$B$12), 0)</f>
        <v/>
      </c>
      <c r="G254" s="168">
        <f>(((MIN(VERI_TABANI!D23, VERI_TABANI!D23*B254)*VERI_TABANI!$B$7 + MAX(0, VERI_TABANI!D23*B254-VERI_TABANI!D23)*VERI_TABANI!$B$8) + (MIN(MAX(0, VERI_TABANI!D23-VERI_TABANI!D23*B254), VERI_TABANI!D23*C254)*VERI_TABANI!$B$7 + MAX(0, VERI_TABANI!D23*C254-MAX(0, VERI_TABANI!D23-VERI_TABANI!D23*B254))*VERI_TABANI!$B$8) + IF(ABS(IF(ISNUMBER(SEARCH("Var", D254)), 1, IF(ISNUMBER(SEARCH("Gri", D254)), -1, 0)))=1, VERI_TABANI!E23*(1-0.928)*VERI_TABANI!$B$9, 0) + (VERI_TABANI!D23*B254*(VERI_TABANI!$B$13-VERI_TABANI!$B$14)*VERI_TABANI!G23) + (VERI_TABANI!D23*C254*(VERI_TABANI!$B$13-VERI_TABANI!$B$15)*VERI_TABANI!G23) + IF(ABS(IF(ISNUMBER(SEARCH("Var", D254)), 1, IF(ISNUMBER(SEARCH("Gri", D254)), -1, 0)))=1, VERI_TABANI!E23*(1-0.928)*0.00206091519919798*VERI_TABANI!G23, 0)) + ((MIN(VERI_TABANI!D24, VERI_TABANI!D24*B254)*VERI_TABANI!$B$7 + MAX(0, VERI_TABANI!D24*B254-VERI_TABANI!D24)*VERI_TABANI!$B$8) + (MIN(MAX(0, VERI_TABANI!D24-VERI_TABANI!D24*B254), VERI_TABANI!D24*C254)*VERI_TABANI!$B$7 + MAX(0, VERI_TABANI!D24*C254-MAX(0, VERI_TABANI!D24-VERI_TABANI!D24*B254))*VERI_TABANI!$B$8) + IF(ABS(IF(ISNUMBER(SEARCH("Var", D254)), 1, IF(ISNUMBER(SEARCH("Gri", D254)), -1, 0)))=1, VERI_TABANI!E24*(1-0.928)*VERI_TABANI!$B$9, 0) + (VERI_TABANI!D24*B254*(VERI_TABANI!$B$13-VERI_TABANI!$B$14)*VERI_TABANI!G24) + (VERI_TABANI!D24*C254*(VERI_TABANI!$B$13-VERI_TABANI!$B$15)*VERI_TABANI!G24) + IF(ABS(IF(ISNUMBER(SEARCH("Var", D254)), 1, IF(ISNUMBER(SEARCH("Gri", D254)), -1, 0)))=1, VERI_TABANI!E24*(1-0.928)*0.00206091519919798*VERI_TABANI!G24, 0)) + ((MIN(VERI_TABANI!D25, VERI_TABANI!D25*B254)*VERI_TABANI!$B$7 + MAX(0, VERI_TABANI!D25*B254-VERI_TABANI!D25)*VERI_TABANI!$B$8) + (MIN(MAX(0, VERI_TABANI!D25-VERI_TABANI!D25*B254), VERI_TABANI!D25*C254)*VERI_TABANI!$B$7 + MAX(0, VERI_TABANI!D25*C254-MAX(0, VERI_TABANI!D25-VERI_TABANI!D25*B254))*VERI_TABANI!$B$8) + IF(ABS(IF(ISNUMBER(SEARCH("Var", D254)), 1, IF(ISNUMBER(SEARCH("Gri", D254)), -1, 0)))=1, VERI_TABANI!E25*(1-0.928)*VERI_TABANI!$B$9, 0) + (VERI_TABANI!D25*B254*(VERI_TABANI!$B$13-VERI_TABANI!$B$14)*VERI_TABANI!G25) + (VERI_TABANI!D25*C254*(VERI_TABANI!$B$13-VERI_TABANI!$B$15)*VERI_TABANI!G25) + IF(ABS(IF(ISNUMBER(SEARCH("Var", D254)), 1, IF(ISNUMBER(SEARCH("Gri", D254)), -1, 0)))=1, VERI_TABANI!E25*(1-0.928)*0.00206091519919798*VERI_TABANI!G25, 0)) + ((MIN(VERI_TABANI!D26, VERI_TABANI!D26*B254)*VERI_TABANI!$B$7 + MAX(0, VERI_TABANI!D26*B254-VERI_TABANI!D26)*VERI_TABANI!$B$8) + (MIN(MAX(0, VERI_TABANI!D26-VERI_TABANI!D26*B254), VERI_TABANI!D26*C254)*VERI_TABANI!$B$7 + MAX(0, VERI_TABANI!D26*C254-MAX(0, VERI_TABANI!D26-VERI_TABANI!D26*B254))*VERI_TABANI!$B$8) + IF(ABS(IF(ISNUMBER(SEARCH("Var", D254)), 1, IF(ISNUMBER(SEARCH("Gri", D254)), -1, 0)))=1, VERI_TABANI!E26*(1-0.928)*VERI_TABANI!$B$9, 0) + (VERI_TABANI!D26*B254*(VERI_TABANI!$B$13-VERI_TABANI!$B$14)*VERI_TABANI!G26) + (VERI_TABANI!D26*C254*(VERI_TABANI!$B$13-VERI_TABANI!$B$15)*VERI_TABANI!G26) + IF(ABS(IF(ISNUMBER(SEARCH("Var", D254)), 1, IF(ISNUMBER(SEARCH("Gri", D254)), -1, 0)))=1, VERI_TABANI!E26*(1-0.928)*0.00206091519919798*VERI_TABANI!G26, 0)) + ((MIN(VERI_TABANI!D27, VERI_TABANI!D27*B254)*VERI_TABANI!$B$7 + MAX(0, VERI_TABANI!D27*B254-VERI_TABANI!D27)*VERI_TABANI!$B$8) + (MIN(MAX(0, VERI_TABANI!D27-VERI_TABANI!D27*B254), VERI_TABANI!D27*C254)*VERI_TABANI!$B$7 + MAX(0, VERI_TABANI!D27*C254-MAX(0, VERI_TABANI!D27-VERI_TABANI!D27*B254))*VERI_TABANI!$B$8) + IF(ABS(IF(ISNUMBER(SEARCH("Var", D254)), 1, IF(ISNUMBER(SEARCH("Gri", D254)), -1, 0)))=1, VERI_TABANI!E27*(1-0.928)*VERI_TABANI!$B$9, 0) + (VERI_TABANI!D27*B254*(VERI_TABANI!$B$13-VERI_TABANI!$B$14)*VERI_TABANI!G27) + (VERI_TABANI!D27*C254*(VERI_TABANI!$B$13-VERI_TABANI!$B$15)*VERI_TABANI!G27) + IF(ABS(IF(ISNUMBER(SEARCH("Var", D254)), 1, IF(ISNUMBER(SEARCH("Gri", D254)), -1, 0)))=1, VERI_TABANI!E27*(1-0.928)*0.00206091519919798*VERI_TABANI!G27, 0)) + ((MIN(VERI_TABANI!D28, VERI_TABANI!D28*B254)*VERI_TABANI!$B$7 + MAX(0, VERI_TABANI!D28*B254-VERI_TABANI!D28)*VERI_TABANI!$B$8) + (MIN(MAX(0, VERI_TABANI!D28-VERI_TABANI!D28*B254), VERI_TABANI!D28*C254)*VERI_TABANI!$B$7 + MAX(0, VERI_TABANI!D28*C254-MAX(0, VERI_TABANI!D28-VERI_TABANI!D28*B254))*VERI_TABANI!$B$8) + IF(ABS(IF(ISNUMBER(SEARCH("Var", D254)), 1, IF(ISNUMBER(SEARCH("Gri", D254)), -1, 0)))=1, VERI_TABANI!E28*(1-0.928)*VERI_TABANI!$B$9, 0) + (VERI_TABANI!D28*B254*(VERI_TABANI!$B$13-VERI_TABANI!$B$14)*VERI_TABANI!G28) + (VERI_TABANI!D28*C254*(VERI_TABANI!$B$13-VERI_TABANI!$B$15)*VERI_TABANI!G28) + IF(ABS(IF(ISNUMBER(SEARCH("Var", D254)), 1, IF(ISNUMBER(SEARCH("Gri", D254)), -1, 0)))=1, VERI_TABANI!E28*(1-0.928)*0.00206091519919798*VERI_TABANI!G28, 0)))</f>
        <v/>
      </c>
      <c r="H254" s="169">
        <f>(((VERI_TABANI!D23*B254*(VERI_TABANI!$B$13-VERI_TABANI!$B$14)) + (VERI_TABANI!D23*C254*(VERI_TABANI!$B$13-VERI_TABANI!$B$15)) + IF(ISNUMBER(SEARCH("Var", D254)), VERI_TABANI!F23*(0.00202-VERI_TABANI!$B$16), IF(ISNUMBER(SEARCH("Gri", D254)), VERI_TABANI!F23*(0.00202-VERI_TABANI!$B$17), 0))) + ((VERI_TABANI!D24*B254*(VERI_TABANI!$B$13-VERI_TABANI!$B$14)) + (VERI_TABANI!D24*C254*(VERI_TABANI!$B$13-VERI_TABANI!$B$15)) + IF(ISNUMBER(SEARCH("Var", D254)), VERI_TABANI!F24*(0.00202-VERI_TABANI!$B$16), IF(ISNUMBER(SEARCH("Gri", D254)), VERI_TABANI!F24*(0.00202-VERI_TABANI!$B$17), 0))) + ((VERI_TABANI!D25*B254*(VERI_TABANI!$B$13-VERI_TABANI!$B$14)) + (VERI_TABANI!D25*C254*(VERI_TABANI!$B$13-VERI_TABANI!$B$15)) + IF(ISNUMBER(SEARCH("Var", D254)), VERI_TABANI!F25*(0.00202-VERI_TABANI!$B$16), IF(ISNUMBER(SEARCH("Gri", D254)), VERI_TABANI!F25*(0.00202-VERI_TABANI!$B$17), 0))) + ((VERI_TABANI!D26*B254*(VERI_TABANI!$B$13-VERI_TABANI!$B$14)) + (VERI_TABANI!D26*C254*(VERI_TABANI!$B$13-VERI_TABANI!$B$15)) + IF(ISNUMBER(SEARCH("Var", D254)), VERI_TABANI!F26*(0.00202-VERI_TABANI!$B$16), IF(ISNUMBER(SEARCH("Gri", D254)), VERI_TABANI!F26*(0.00202-VERI_TABANI!$B$17), 0))) + ((VERI_TABANI!D27*B254*(VERI_TABANI!$B$13-VERI_TABANI!$B$14)) + (VERI_TABANI!D27*C254*(VERI_TABANI!$B$13-VERI_TABANI!$B$15)) + IF(ISNUMBER(SEARCH("Var", D254)), VERI_TABANI!F27*(0.00202-VERI_TABANI!$B$16), IF(ISNUMBER(SEARCH("Gri", D254)), VERI_TABANI!F27*(0.00202-VERI_TABANI!$B$17), 0))) + ((VERI_TABANI!D28*B254*(VERI_TABANI!$B$13-VERI_TABANI!$B$14)) + (VERI_TABANI!D28*C254*(VERI_TABANI!$B$13-VERI_TABANI!$B$15)) + IF(ISNUMBER(SEARCH("Var", D254)), VERI_TABANI!F28*(0.00202-VERI_TABANI!$B$16), IF(ISNUMBER(SEARCH("Gri", D254)), VERI_TABANI!F28*(0.00202-VERI_TABANI!$B$17), 0))))</f>
        <v/>
      </c>
      <c r="I254" s="170">
        <f>IFERROR(((VERI_TABANI!$D$29*B254*VERI_TABANI!$B$14 + VERI_TABANI!$D$29*C254*VERI_TABANI!$B$15 + IF(ISNUMBER(SEARCH("Var", D254)), VERI_TABANI!$F$29*VERI_TABANI!$B$16, 0))) / (((VERI_TABANI!$D$29*B254 + VERI_TABANI!$D$29*C254)*VERI_TABANI!$B$13 + IF(ISNUMBER(SEARCH("Var", D254)), VERI_TABANI!$E$29*(1-0.928)*VERI_TABANI!$B$18, 0))), 0)</f>
        <v/>
      </c>
      <c r="J254" s="171">
        <f>IFERROR(F254/(G254/29), 0)</f>
        <v/>
      </c>
      <c r="K254" s="172">
        <f>IF(F254&gt;0, H254/F254, 0)</f>
        <v/>
      </c>
      <c r="L254" s="170">
        <f>IF(F254&gt;0, I254, 1000000000)</f>
        <v/>
      </c>
      <c r="M254" s="171">
        <f>ABS((B254+C254)-1)</f>
        <v/>
      </c>
      <c r="N254" s="170">
        <f>IF(F254&gt;0, (G254/29)/F254, 0)</f>
        <v/>
      </c>
      <c r="O254" s="168">
        <f>IF(AND((B254+C254)&gt;=1, ISNUMBER(SEARCH("Var", D254))), F254, 1000000000)</f>
        <v/>
      </c>
      <c r="P254" s="172">
        <f>IF(F254&gt;0, SQRT((F254/MAX(F$5:F$886))^2 + (1 - H254/MAX(H$5:H$886))^2 + (J254/MAX(J$5:J$886))^2), 1000000000)</f>
        <v/>
      </c>
      <c r="Q254" s="166">
        <f>IF(AND(ABS(B254-0.5)&lt;0.01, ABS(C254-0.5)&lt;0.01, ISNUMBER(SEARCH("Var", D254))), 1, 0)</f>
        <v/>
      </c>
      <c r="R254" s="171">
        <f>IF(F254&gt;0, J254, 1000000000)</f>
        <v/>
      </c>
      <c r="S254" s="101">
        <f>IF(AND(F254&lt;=DASHBOARD!$B$11, H254&gt;=DASHBOARD!$B$13), G254, -1000000000000)</f>
        <v/>
      </c>
      <c r="T254" s="101">
        <f>IF(AND(F254&lt;=DASHBOARD!$B$11, H254&gt;=DASHBOARD!$B$13), R254, 1000000000000)</f>
        <v/>
      </c>
      <c r="U254" s="101">
        <f>IF(AND(F254&lt;=DASHBOARD!$B$11, H254&gt;=DASHBOARD!$B$13), N254, -1000000000000)</f>
        <v/>
      </c>
      <c r="V254" s="101">
        <f>IF(AND(F254&lt;=DASHBOARD!$B$11, H254&gt;=DASHBOARD!$B$13), H254, -1000000000000)</f>
        <v/>
      </c>
      <c r="W254" s="101">
        <f>IF(AND(F254&lt;=DASHBOARD!$B$11, H254&gt;=DASHBOARD!$B$13), K254, -1000000000000)</f>
        <v/>
      </c>
      <c r="X254" s="101">
        <f>IF(AND(F254&lt;=DASHBOARD!$B$11, H254&gt;=DASHBOARD!$B$13), M254, 1000000000000)</f>
        <v/>
      </c>
      <c r="Y254" s="101">
        <f>IF(AND(F254&lt;=DASHBOARD!$B$10, H254&gt;=DASHBOARD!$B$11), L254, 1000000000000)</f>
        <v/>
      </c>
      <c r="Z254" s="101">
        <f>IF(AND(F254&lt;=DASHBOARD!$B$10, H254&gt;=DASHBOARD!$B$11), O254, 1000000000000)</f>
        <v/>
      </c>
      <c r="AA254" s="101">
        <f>IF(AND(F254&lt;=DASHBOARD!$B$10, H254&gt;=DASHBOARD!$B$11), P254, 1000000000000)</f>
        <v/>
      </c>
      <c r="AB254" s="101">
        <f>IF(AND(F254&lt;=DASHBOARD!$B$10, H254&gt;=DASHBOARD!$B$11), Q254, -1000000000000)</f>
        <v/>
      </c>
    </row>
    <row r="255" ht="15" customHeight="1" s="102">
      <c r="A255" s="166" t="n">
        <v>251</v>
      </c>
      <c r="B255" s="167" t="n">
        <v>0.5</v>
      </c>
      <c r="C255" s="167" t="n">
        <v>2</v>
      </c>
      <c r="D255" s="110" t="inlineStr">
        <is>
          <t>Yok (%0)</t>
        </is>
      </c>
      <c r="E255" s="110">
        <f>IF((B255+C255)&lt;=1, "Tam Mahsuplaşma (≤%100)", "Kısmi Satış (&gt;%100)")</f>
        <v/>
      </c>
      <c r="F255" s="168">
        <f>((VERI_TABANI!$D$29*B255/VERI_TABANI!$B$29)/VERI_TABANI!$B$3)*VERI_TABANI!$B$5 + ((VERI_TABANI!$D$29*C255/VERI_TABANI!$B$29)/VERI_TABANI!$B$4)*VERI_TABANI!$B$6 + IF(ISNUMBER(SEARCH("Var", D255)), (VERI_TABANI!$F$29/VERI_TABANI!$B$29)*(VERI_TABANI!$B$10+VERI_TABANI!$B$12), 0)</f>
        <v/>
      </c>
      <c r="G255" s="168">
        <f>(((MIN(VERI_TABANI!D23, VERI_TABANI!D23*B255)*VERI_TABANI!$B$7 + MAX(0, VERI_TABANI!D23*B255-VERI_TABANI!D23)*VERI_TABANI!$B$8) + (MIN(MAX(0, VERI_TABANI!D23-VERI_TABANI!D23*B255), VERI_TABANI!D23*C255)*VERI_TABANI!$B$7 + MAX(0, VERI_TABANI!D23*C255-MAX(0, VERI_TABANI!D23-VERI_TABANI!D23*B255))*VERI_TABANI!$B$8) + IF(ABS(IF(ISNUMBER(SEARCH("Var", D255)), 1, IF(ISNUMBER(SEARCH("Gri", D255)), -1, 0)))=1, VERI_TABANI!E23*(1-0.928)*VERI_TABANI!$B$9, 0) + (VERI_TABANI!D23*B255*(VERI_TABANI!$B$13-VERI_TABANI!$B$14)*VERI_TABANI!G23) + (VERI_TABANI!D23*C255*(VERI_TABANI!$B$13-VERI_TABANI!$B$15)*VERI_TABANI!G23) + IF(ABS(IF(ISNUMBER(SEARCH("Var", D255)), 1, IF(ISNUMBER(SEARCH("Gri", D255)), -1, 0)))=1, VERI_TABANI!E23*(1-0.928)*0.00206091519919798*VERI_TABANI!G23, 0)) + ((MIN(VERI_TABANI!D24, VERI_TABANI!D24*B255)*VERI_TABANI!$B$7 + MAX(0, VERI_TABANI!D24*B255-VERI_TABANI!D24)*VERI_TABANI!$B$8) + (MIN(MAX(0, VERI_TABANI!D24-VERI_TABANI!D24*B255), VERI_TABANI!D24*C255)*VERI_TABANI!$B$7 + MAX(0, VERI_TABANI!D24*C255-MAX(0, VERI_TABANI!D24-VERI_TABANI!D24*B255))*VERI_TABANI!$B$8) + IF(ABS(IF(ISNUMBER(SEARCH("Var", D255)), 1, IF(ISNUMBER(SEARCH("Gri", D255)), -1, 0)))=1, VERI_TABANI!E24*(1-0.928)*VERI_TABANI!$B$9, 0) + (VERI_TABANI!D24*B255*(VERI_TABANI!$B$13-VERI_TABANI!$B$14)*VERI_TABANI!G24) + (VERI_TABANI!D24*C255*(VERI_TABANI!$B$13-VERI_TABANI!$B$15)*VERI_TABANI!G24) + IF(ABS(IF(ISNUMBER(SEARCH("Var", D255)), 1, IF(ISNUMBER(SEARCH("Gri", D255)), -1, 0)))=1, VERI_TABANI!E24*(1-0.928)*0.00206091519919798*VERI_TABANI!G24, 0)) + ((MIN(VERI_TABANI!D25, VERI_TABANI!D25*B255)*VERI_TABANI!$B$7 + MAX(0, VERI_TABANI!D25*B255-VERI_TABANI!D25)*VERI_TABANI!$B$8) + (MIN(MAX(0, VERI_TABANI!D25-VERI_TABANI!D25*B255), VERI_TABANI!D25*C255)*VERI_TABANI!$B$7 + MAX(0, VERI_TABANI!D25*C255-MAX(0, VERI_TABANI!D25-VERI_TABANI!D25*B255))*VERI_TABANI!$B$8) + IF(ABS(IF(ISNUMBER(SEARCH("Var", D255)), 1, IF(ISNUMBER(SEARCH("Gri", D255)), -1, 0)))=1, VERI_TABANI!E25*(1-0.928)*VERI_TABANI!$B$9, 0) + (VERI_TABANI!D25*B255*(VERI_TABANI!$B$13-VERI_TABANI!$B$14)*VERI_TABANI!G25) + (VERI_TABANI!D25*C255*(VERI_TABANI!$B$13-VERI_TABANI!$B$15)*VERI_TABANI!G25) + IF(ABS(IF(ISNUMBER(SEARCH("Var", D255)), 1, IF(ISNUMBER(SEARCH("Gri", D255)), -1, 0)))=1, VERI_TABANI!E25*(1-0.928)*0.00206091519919798*VERI_TABANI!G25, 0)) + ((MIN(VERI_TABANI!D26, VERI_TABANI!D26*B255)*VERI_TABANI!$B$7 + MAX(0, VERI_TABANI!D26*B255-VERI_TABANI!D26)*VERI_TABANI!$B$8) + (MIN(MAX(0, VERI_TABANI!D26-VERI_TABANI!D26*B255), VERI_TABANI!D26*C255)*VERI_TABANI!$B$7 + MAX(0, VERI_TABANI!D26*C255-MAX(0, VERI_TABANI!D26-VERI_TABANI!D26*B255))*VERI_TABANI!$B$8) + IF(ABS(IF(ISNUMBER(SEARCH("Var", D255)), 1, IF(ISNUMBER(SEARCH("Gri", D255)), -1, 0)))=1, VERI_TABANI!E26*(1-0.928)*VERI_TABANI!$B$9, 0) + (VERI_TABANI!D26*B255*(VERI_TABANI!$B$13-VERI_TABANI!$B$14)*VERI_TABANI!G26) + (VERI_TABANI!D26*C255*(VERI_TABANI!$B$13-VERI_TABANI!$B$15)*VERI_TABANI!G26) + IF(ABS(IF(ISNUMBER(SEARCH("Var", D255)), 1, IF(ISNUMBER(SEARCH("Gri", D255)), -1, 0)))=1, VERI_TABANI!E26*(1-0.928)*0.00206091519919798*VERI_TABANI!G26, 0)) + ((MIN(VERI_TABANI!D27, VERI_TABANI!D27*B255)*VERI_TABANI!$B$7 + MAX(0, VERI_TABANI!D27*B255-VERI_TABANI!D27)*VERI_TABANI!$B$8) + (MIN(MAX(0, VERI_TABANI!D27-VERI_TABANI!D27*B255), VERI_TABANI!D27*C255)*VERI_TABANI!$B$7 + MAX(0, VERI_TABANI!D27*C255-MAX(0, VERI_TABANI!D27-VERI_TABANI!D27*B255))*VERI_TABANI!$B$8) + IF(ABS(IF(ISNUMBER(SEARCH("Var", D255)), 1, IF(ISNUMBER(SEARCH("Gri", D255)), -1, 0)))=1, VERI_TABANI!E27*(1-0.928)*VERI_TABANI!$B$9, 0) + (VERI_TABANI!D27*B255*(VERI_TABANI!$B$13-VERI_TABANI!$B$14)*VERI_TABANI!G27) + (VERI_TABANI!D27*C255*(VERI_TABANI!$B$13-VERI_TABANI!$B$15)*VERI_TABANI!G27) + IF(ABS(IF(ISNUMBER(SEARCH("Var", D255)), 1, IF(ISNUMBER(SEARCH("Gri", D255)), -1, 0)))=1, VERI_TABANI!E27*(1-0.928)*0.00206091519919798*VERI_TABANI!G27, 0)) + ((MIN(VERI_TABANI!D28, VERI_TABANI!D28*B255)*VERI_TABANI!$B$7 + MAX(0, VERI_TABANI!D28*B255-VERI_TABANI!D28)*VERI_TABANI!$B$8) + (MIN(MAX(0, VERI_TABANI!D28-VERI_TABANI!D28*B255), VERI_TABANI!D28*C255)*VERI_TABANI!$B$7 + MAX(0, VERI_TABANI!D28*C255-MAX(0, VERI_TABANI!D28-VERI_TABANI!D28*B255))*VERI_TABANI!$B$8) + IF(ABS(IF(ISNUMBER(SEARCH("Var", D255)), 1, IF(ISNUMBER(SEARCH("Gri", D255)), -1, 0)))=1, VERI_TABANI!E28*(1-0.928)*VERI_TABANI!$B$9, 0) + (VERI_TABANI!D28*B255*(VERI_TABANI!$B$13-VERI_TABANI!$B$14)*VERI_TABANI!G28) + (VERI_TABANI!D28*C255*(VERI_TABANI!$B$13-VERI_TABANI!$B$15)*VERI_TABANI!G28) + IF(ABS(IF(ISNUMBER(SEARCH("Var", D255)), 1, IF(ISNUMBER(SEARCH("Gri", D255)), -1, 0)))=1, VERI_TABANI!E28*(1-0.928)*0.00206091519919798*VERI_TABANI!G28, 0)))</f>
        <v/>
      </c>
      <c r="H255" s="169">
        <f>(((VERI_TABANI!D23*B255*(VERI_TABANI!$B$13-VERI_TABANI!$B$14)) + (VERI_TABANI!D23*C255*(VERI_TABANI!$B$13-VERI_TABANI!$B$15)) + IF(ISNUMBER(SEARCH("Var", D255)), VERI_TABANI!F23*(0.00202-VERI_TABANI!$B$16), IF(ISNUMBER(SEARCH("Gri", D255)), VERI_TABANI!F23*(0.00202-VERI_TABANI!$B$17), 0))) + ((VERI_TABANI!D24*B255*(VERI_TABANI!$B$13-VERI_TABANI!$B$14)) + (VERI_TABANI!D24*C255*(VERI_TABANI!$B$13-VERI_TABANI!$B$15)) + IF(ISNUMBER(SEARCH("Var", D255)), VERI_TABANI!F24*(0.00202-VERI_TABANI!$B$16), IF(ISNUMBER(SEARCH("Gri", D255)), VERI_TABANI!F24*(0.00202-VERI_TABANI!$B$17), 0))) + ((VERI_TABANI!D25*B255*(VERI_TABANI!$B$13-VERI_TABANI!$B$14)) + (VERI_TABANI!D25*C255*(VERI_TABANI!$B$13-VERI_TABANI!$B$15)) + IF(ISNUMBER(SEARCH("Var", D255)), VERI_TABANI!F25*(0.00202-VERI_TABANI!$B$16), IF(ISNUMBER(SEARCH("Gri", D255)), VERI_TABANI!F25*(0.00202-VERI_TABANI!$B$17), 0))) + ((VERI_TABANI!D26*B255*(VERI_TABANI!$B$13-VERI_TABANI!$B$14)) + (VERI_TABANI!D26*C255*(VERI_TABANI!$B$13-VERI_TABANI!$B$15)) + IF(ISNUMBER(SEARCH("Var", D255)), VERI_TABANI!F26*(0.00202-VERI_TABANI!$B$16), IF(ISNUMBER(SEARCH("Gri", D255)), VERI_TABANI!F26*(0.00202-VERI_TABANI!$B$17), 0))) + ((VERI_TABANI!D27*B255*(VERI_TABANI!$B$13-VERI_TABANI!$B$14)) + (VERI_TABANI!D27*C255*(VERI_TABANI!$B$13-VERI_TABANI!$B$15)) + IF(ISNUMBER(SEARCH("Var", D255)), VERI_TABANI!F27*(0.00202-VERI_TABANI!$B$16), IF(ISNUMBER(SEARCH("Gri", D255)), VERI_TABANI!F27*(0.00202-VERI_TABANI!$B$17), 0))) + ((VERI_TABANI!D28*B255*(VERI_TABANI!$B$13-VERI_TABANI!$B$14)) + (VERI_TABANI!D28*C255*(VERI_TABANI!$B$13-VERI_TABANI!$B$15)) + IF(ISNUMBER(SEARCH("Var", D255)), VERI_TABANI!F28*(0.00202-VERI_TABANI!$B$16), IF(ISNUMBER(SEARCH("Gri", D255)), VERI_TABANI!F28*(0.00202-VERI_TABANI!$B$17), 0))))</f>
        <v/>
      </c>
      <c r="I255" s="170">
        <f>IFERROR(((VERI_TABANI!$D$29*B255*VERI_TABANI!$B$14 + VERI_TABANI!$D$29*C255*VERI_TABANI!$B$15 + IF(ISNUMBER(SEARCH("Var", D255)), VERI_TABANI!$F$29*VERI_TABANI!$B$16, 0))) / (((VERI_TABANI!$D$29*B255 + VERI_TABANI!$D$29*C255)*VERI_TABANI!$B$13 + IF(ISNUMBER(SEARCH("Var", D255)), VERI_TABANI!$E$29*(1-0.928)*VERI_TABANI!$B$18, 0))), 0)</f>
        <v/>
      </c>
      <c r="J255" s="171">
        <f>IFERROR(F255/(G255/29), 0)</f>
        <v/>
      </c>
      <c r="K255" s="172">
        <f>IF(F255&gt;0, H255/F255, 0)</f>
        <v/>
      </c>
      <c r="L255" s="170">
        <f>IF(F255&gt;0, I255, 1000000000)</f>
        <v/>
      </c>
      <c r="M255" s="171">
        <f>ABS((B255+C255)-1)</f>
        <v/>
      </c>
      <c r="N255" s="170">
        <f>IF(F255&gt;0, (G255/29)/F255, 0)</f>
        <v/>
      </c>
      <c r="O255" s="168">
        <f>IF(AND((B255+C255)&gt;=1, ISNUMBER(SEARCH("Var", D255))), F255, 1000000000)</f>
        <v/>
      </c>
      <c r="P255" s="172">
        <f>IF(F255&gt;0, SQRT((F255/MAX(F$5:F$886))^2 + (1 - H255/MAX(H$5:H$886))^2 + (J255/MAX(J$5:J$886))^2), 1000000000)</f>
        <v/>
      </c>
      <c r="Q255" s="166">
        <f>IF(AND(ABS(B255-0.5)&lt;0.01, ABS(C255-0.5)&lt;0.01, ISNUMBER(SEARCH("Var", D255))), 1, 0)</f>
        <v/>
      </c>
      <c r="R255" s="171">
        <f>IF(F255&gt;0, J255, 1000000000)</f>
        <v/>
      </c>
      <c r="S255" s="101">
        <f>IF(AND(F255&lt;=DASHBOARD!$B$11, H255&gt;=DASHBOARD!$B$13), G255, -1000000000000)</f>
        <v/>
      </c>
      <c r="T255" s="101">
        <f>IF(AND(F255&lt;=DASHBOARD!$B$11, H255&gt;=DASHBOARD!$B$13), R255, 1000000000000)</f>
        <v/>
      </c>
      <c r="U255" s="101">
        <f>IF(AND(F255&lt;=DASHBOARD!$B$11, H255&gt;=DASHBOARD!$B$13), N255, -1000000000000)</f>
        <v/>
      </c>
      <c r="V255" s="101">
        <f>IF(AND(F255&lt;=DASHBOARD!$B$11, H255&gt;=DASHBOARD!$B$13), H255, -1000000000000)</f>
        <v/>
      </c>
      <c r="W255" s="101">
        <f>IF(AND(F255&lt;=DASHBOARD!$B$11, H255&gt;=DASHBOARD!$B$13), K255, -1000000000000)</f>
        <v/>
      </c>
      <c r="X255" s="101">
        <f>IF(AND(F255&lt;=DASHBOARD!$B$11, H255&gt;=DASHBOARD!$B$13), M255, 1000000000000)</f>
        <v/>
      </c>
      <c r="Y255" s="101">
        <f>IF(AND(F255&lt;=DASHBOARD!$B$10, H255&gt;=DASHBOARD!$B$11), L255, 1000000000000)</f>
        <v/>
      </c>
      <c r="Z255" s="101">
        <f>IF(AND(F255&lt;=DASHBOARD!$B$10, H255&gt;=DASHBOARD!$B$11), O255, 1000000000000)</f>
        <v/>
      </c>
      <c r="AA255" s="101">
        <f>IF(AND(F255&lt;=DASHBOARD!$B$10, H255&gt;=DASHBOARD!$B$11), P255, 1000000000000)</f>
        <v/>
      </c>
      <c r="AB255" s="101">
        <f>IF(AND(F255&lt;=DASHBOARD!$B$10, H255&gt;=DASHBOARD!$B$11), Q255, -1000000000000)</f>
        <v/>
      </c>
    </row>
    <row r="256" ht="15" customHeight="1" s="102">
      <c r="A256" s="166" t="n">
        <v>252</v>
      </c>
      <c r="B256" s="167" t="n">
        <v>0.5</v>
      </c>
      <c r="C256" s="167" t="n">
        <v>2</v>
      </c>
      <c r="D256" s="110" t="inlineStr">
        <is>
          <t>Var (%20)</t>
        </is>
      </c>
      <c r="E256" s="110">
        <f>IF((B256+C256)&lt;=1, "Tam Mahsuplaşma (≤%100)", "Kısmi Satış (&gt;%100)")</f>
        <v/>
      </c>
      <c r="F256" s="168">
        <f>((VERI_TABANI!$D$29*B256/VERI_TABANI!$B$29)/VERI_TABANI!$B$3)*VERI_TABANI!$B$5 + ((VERI_TABANI!$D$29*C256/VERI_TABANI!$B$29)/VERI_TABANI!$B$4)*VERI_TABANI!$B$6 + IF(ISNUMBER(SEARCH("Var", D256)), (VERI_TABANI!$F$29/VERI_TABANI!$B$29)*(VERI_TABANI!$B$10+VERI_TABANI!$B$12), 0)</f>
        <v/>
      </c>
      <c r="G256" s="168">
        <f>(((MIN(VERI_TABANI!D23, VERI_TABANI!D23*B256)*VERI_TABANI!$B$7 + MAX(0, VERI_TABANI!D23*B256-VERI_TABANI!D23)*VERI_TABANI!$B$8) + (MIN(MAX(0, VERI_TABANI!D23-VERI_TABANI!D23*B256), VERI_TABANI!D23*C256)*VERI_TABANI!$B$7 + MAX(0, VERI_TABANI!D23*C256-MAX(0, VERI_TABANI!D23-VERI_TABANI!D23*B256))*VERI_TABANI!$B$8) + IF(ABS(IF(ISNUMBER(SEARCH("Var", D256)), 1, IF(ISNUMBER(SEARCH("Gri", D256)), -1, 0)))=1, VERI_TABANI!E23*(1-0.928)*VERI_TABANI!$B$9, 0) + (VERI_TABANI!D23*B256*(VERI_TABANI!$B$13-VERI_TABANI!$B$14)*VERI_TABANI!G23) + (VERI_TABANI!D23*C256*(VERI_TABANI!$B$13-VERI_TABANI!$B$15)*VERI_TABANI!G23) + IF(ABS(IF(ISNUMBER(SEARCH("Var", D256)), 1, IF(ISNUMBER(SEARCH("Gri", D256)), -1, 0)))=1, VERI_TABANI!E23*(1-0.928)*0.00206091519919798*VERI_TABANI!G23, 0)) + ((MIN(VERI_TABANI!D24, VERI_TABANI!D24*B256)*VERI_TABANI!$B$7 + MAX(0, VERI_TABANI!D24*B256-VERI_TABANI!D24)*VERI_TABANI!$B$8) + (MIN(MAX(0, VERI_TABANI!D24-VERI_TABANI!D24*B256), VERI_TABANI!D24*C256)*VERI_TABANI!$B$7 + MAX(0, VERI_TABANI!D24*C256-MAX(0, VERI_TABANI!D24-VERI_TABANI!D24*B256))*VERI_TABANI!$B$8) + IF(ABS(IF(ISNUMBER(SEARCH("Var", D256)), 1, IF(ISNUMBER(SEARCH("Gri", D256)), -1, 0)))=1, VERI_TABANI!E24*(1-0.928)*VERI_TABANI!$B$9, 0) + (VERI_TABANI!D24*B256*(VERI_TABANI!$B$13-VERI_TABANI!$B$14)*VERI_TABANI!G24) + (VERI_TABANI!D24*C256*(VERI_TABANI!$B$13-VERI_TABANI!$B$15)*VERI_TABANI!G24) + IF(ABS(IF(ISNUMBER(SEARCH("Var", D256)), 1, IF(ISNUMBER(SEARCH("Gri", D256)), -1, 0)))=1, VERI_TABANI!E24*(1-0.928)*0.00206091519919798*VERI_TABANI!G24, 0)) + ((MIN(VERI_TABANI!D25, VERI_TABANI!D25*B256)*VERI_TABANI!$B$7 + MAX(0, VERI_TABANI!D25*B256-VERI_TABANI!D25)*VERI_TABANI!$B$8) + (MIN(MAX(0, VERI_TABANI!D25-VERI_TABANI!D25*B256), VERI_TABANI!D25*C256)*VERI_TABANI!$B$7 + MAX(0, VERI_TABANI!D25*C256-MAX(0, VERI_TABANI!D25-VERI_TABANI!D25*B256))*VERI_TABANI!$B$8) + IF(ABS(IF(ISNUMBER(SEARCH("Var", D256)), 1, IF(ISNUMBER(SEARCH("Gri", D256)), -1, 0)))=1, VERI_TABANI!E25*(1-0.928)*VERI_TABANI!$B$9, 0) + (VERI_TABANI!D25*B256*(VERI_TABANI!$B$13-VERI_TABANI!$B$14)*VERI_TABANI!G25) + (VERI_TABANI!D25*C256*(VERI_TABANI!$B$13-VERI_TABANI!$B$15)*VERI_TABANI!G25) + IF(ABS(IF(ISNUMBER(SEARCH("Var", D256)), 1, IF(ISNUMBER(SEARCH("Gri", D256)), -1, 0)))=1, VERI_TABANI!E25*(1-0.928)*0.00206091519919798*VERI_TABANI!G25, 0)) + ((MIN(VERI_TABANI!D26, VERI_TABANI!D26*B256)*VERI_TABANI!$B$7 + MAX(0, VERI_TABANI!D26*B256-VERI_TABANI!D26)*VERI_TABANI!$B$8) + (MIN(MAX(0, VERI_TABANI!D26-VERI_TABANI!D26*B256), VERI_TABANI!D26*C256)*VERI_TABANI!$B$7 + MAX(0, VERI_TABANI!D26*C256-MAX(0, VERI_TABANI!D26-VERI_TABANI!D26*B256))*VERI_TABANI!$B$8) + IF(ABS(IF(ISNUMBER(SEARCH("Var", D256)), 1, IF(ISNUMBER(SEARCH("Gri", D256)), -1, 0)))=1, VERI_TABANI!E26*(1-0.928)*VERI_TABANI!$B$9, 0) + (VERI_TABANI!D26*B256*(VERI_TABANI!$B$13-VERI_TABANI!$B$14)*VERI_TABANI!G26) + (VERI_TABANI!D26*C256*(VERI_TABANI!$B$13-VERI_TABANI!$B$15)*VERI_TABANI!G26) + IF(ABS(IF(ISNUMBER(SEARCH("Var", D256)), 1, IF(ISNUMBER(SEARCH("Gri", D256)), -1, 0)))=1, VERI_TABANI!E26*(1-0.928)*0.00206091519919798*VERI_TABANI!G26, 0)) + ((MIN(VERI_TABANI!D27, VERI_TABANI!D27*B256)*VERI_TABANI!$B$7 + MAX(0, VERI_TABANI!D27*B256-VERI_TABANI!D27)*VERI_TABANI!$B$8) + (MIN(MAX(0, VERI_TABANI!D27-VERI_TABANI!D27*B256), VERI_TABANI!D27*C256)*VERI_TABANI!$B$7 + MAX(0, VERI_TABANI!D27*C256-MAX(0, VERI_TABANI!D27-VERI_TABANI!D27*B256))*VERI_TABANI!$B$8) + IF(ABS(IF(ISNUMBER(SEARCH("Var", D256)), 1, IF(ISNUMBER(SEARCH("Gri", D256)), -1, 0)))=1, VERI_TABANI!E27*(1-0.928)*VERI_TABANI!$B$9, 0) + (VERI_TABANI!D27*B256*(VERI_TABANI!$B$13-VERI_TABANI!$B$14)*VERI_TABANI!G27) + (VERI_TABANI!D27*C256*(VERI_TABANI!$B$13-VERI_TABANI!$B$15)*VERI_TABANI!G27) + IF(ABS(IF(ISNUMBER(SEARCH("Var", D256)), 1, IF(ISNUMBER(SEARCH("Gri", D256)), -1, 0)))=1, VERI_TABANI!E27*(1-0.928)*0.00206091519919798*VERI_TABANI!G27, 0)) + ((MIN(VERI_TABANI!D28, VERI_TABANI!D28*B256)*VERI_TABANI!$B$7 + MAX(0, VERI_TABANI!D28*B256-VERI_TABANI!D28)*VERI_TABANI!$B$8) + (MIN(MAX(0, VERI_TABANI!D28-VERI_TABANI!D28*B256), VERI_TABANI!D28*C256)*VERI_TABANI!$B$7 + MAX(0, VERI_TABANI!D28*C256-MAX(0, VERI_TABANI!D28-VERI_TABANI!D28*B256))*VERI_TABANI!$B$8) + IF(ABS(IF(ISNUMBER(SEARCH("Var", D256)), 1, IF(ISNUMBER(SEARCH("Gri", D256)), -1, 0)))=1, VERI_TABANI!E28*(1-0.928)*VERI_TABANI!$B$9, 0) + (VERI_TABANI!D28*B256*(VERI_TABANI!$B$13-VERI_TABANI!$B$14)*VERI_TABANI!G28) + (VERI_TABANI!D28*C256*(VERI_TABANI!$B$13-VERI_TABANI!$B$15)*VERI_TABANI!G28) + IF(ABS(IF(ISNUMBER(SEARCH("Var", D256)), 1, IF(ISNUMBER(SEARCH("Gri", D256)), -1, 0)))=1, VERI_TABANI!E28*(1-0.928)*0.00206091519919798*VERI_TABANI!G28, 0)))</f>
        <v/>
      </c>
      <c r="H256" s="169">
        <f>(((VERI_TABANI!D23*B256*(VERI_TABANI!$B$13-VERI_TABANI!$B$14)) + (VERI_TABANI!D23*C256*(VERI_TABANI!$B$13-VERI_TABANI!$B$15)) + IF(ISNUMBER(SEARCH("Var", D256)), VERI_TABANI!F23*(0.00202-VERI_TABANI!$B$16), IF(ISNUMBER(SEARCH("Gri", D256)), VERI_TABANI!F23*(0.00202-VERI_TABANI!$B$17), 0))) + ((VERI_TABANI!D24*B256*(VERI_TABANI!$B$13-VERI_TABANI!$B$14)) + (VERI_TABANI!D24*C256*(VERI_TABANI!$B$13-VERI_TABANI!$B$15)) + IF(ISNUMBER(SEARCH("Var", D256)), VERI_TABANI!F24*(0.00202-VERI_TABANI!$B$16), IF(ISNUMBER(SEARCH("Gri", D256)), VERI_TABANI!F24*(0.00202-VERI_TABANI!$B$17), 0))) + ((VERI_TABANI!D25*B256*(VERI_TABANI!$B$13-VERI_TABANI!$B$14)) + (VERI_TABANI!D25*C256*(VERI_TABANI!$B$13-VERI_TABANI!$B$15)) + IF(ISNUMBER(SEARCH("Var", D256)), VERI_TABANI!F25*(0.00202-VERI_TABANI!$B$16), IF(ISNUMBER(SEARCH("Gri", D256)), VERI_TABANI!F25*(0.00202-VERI_TABANI!$B$17), 0))) + ((VERI_TABANI!D26*B256*(VERI_TABANI!$B$13-VERI_TABANI!$B$14)) + (VERI_TABANI!D26*C256*(VERI_TABANI!$B$13-VERI_TABANI!$B$15)) + IF(ISNUMBER(SEARCH("Var", D256)), VERI_TABANI!F26*(0.00202-VERI_TABANI!$B$16), IF(ISNUMBER(SEARCH("Gri", D256)), VERI_TABANI!F26*(0.00202-VERI_TABANI!$B$17), 0))) + ((VERI_TABANI!D27*B256*(VERI_TABANI!$B$13-VERI_TABANI!$B$14)) + (VERI_TABANI!D27*C256*(VERI_TABANI!$B$13-VERI_TABANI!$B$15)) + IF(ISNUMBER(SEARCH("Var", D256)), VERI_TABANI!F27*(0.00202-VERI_TABANI!$B$16), IF(ISNUMBER(SEARCH("Gri", D256)), VERI_TABANI!F27*(0.00202-VERI_TABANI!$B$17), 0))) + ((VERI_TABANI!D28*B256*(VERI_TABANI!$B$13-VERI_TABANI!$B$14)) + (VERI_TABANI!D28*C256*(VERI_TABANI!$B$13-VERI_TABANI!$B$15)) + IF(ISNUMBER(SEARCH("Var", D256)), VERI_TABANI!F28*(0.00202-VERI_TABANI!$B$16), IF(ISNUMBER(SEARCH("Gri", D256)), VERI_TABANI!F28*(0.00202-VERI_TABANI!$B$17), 0))))</f>
        <v/>
      </c>
      <c r="I256" s="170">
        <f>IFERROR(((VERI_TABANI!$D$29*B256*VERI_TABANI!$B$14 + VERI_TABANI!$D$29*C256*VERI_TABANI!$B$15 + IF(ISNUMBER(SEARCH("Var", D256)), VERI_TABANI!$F$29*VERI_TABANI!$B$16, 0))) / (((VERI_TABANI!$D$29*B256 + VERI_TABANI!$D$29*C256)*VERI_TABANI!$B$13 + IF(ISNUMBER(SEARCH("Var", D256)), VERI_TABANI!$E$29*(1-0.928)*VERI_TABANI!$B$18, 0))), 0)</f>
        <v/>
      </c>
      <c r="J256" s="171">
        <f>IFERROR(F256/(G256/29), 0)</f>
        <v/>
      </c>
      <c r="K256" s="172">
        <f>IF(F256&gt;0, H256/F256, 0)</f>
        <v/>
      </c>
      <c r="L256" s="170">
        <f>IF(F256&gt;0, I256, 1000000000)</f>
        <v/>
      </c>
      <c r="M256" s="171">
        <f>ABS((B256+C256)-1)</f>
        <v/>
      </c>
      <c r="N256" s="170">
        <f>IF(F256&gt;0, (G256/29)/F256, 0)</f>
        <v/>
      </c>
      <c r="O256" s="168">
        <f>IF(AND((B256+C256)&gt;=1, ISNUMBER(SEARCH("Var", D256))), F256, 1000000000)</f>
        <v/>
      </c>
      <c r="P256" s="172">
        <f>IF(F256&gt;0, SQRT((F256/MAX(F$5:F$886))^2 + (1 - H256/MAX(H$5:H$886))^2 + (J256/MAX(J$5:J$886))^2), 1000000000)</f>
        <v/>
      </c>
      <c r="Q256" s="166">
        <f>IF(AND(ABS(B256-0.5)&lt;0.01, ABS(C256-0.5)&lt;0.01, ISNUMBER(SEARCH("Var", D256))), 1, 0)</f>
        <v/>
      </c>
      <c r="R256" s="171">
        <f>IF(F256&gt;0, J256, 1000000000)</f>
        <v/>
      </c>
      <c r="S256" s="101">
        <f>IF(AND(F256&lt;=DASHBOARD!$B$11, H256&gt;=DASHBOARD!$B$13), G256, -1000000000000)</f>
        <v/>
      </c>
      <c r="T256" s="101">
        <f>IF(AND(F256&lt;=DASHBOARD!$B$11, H256&gt;=DASHBOARD!$B$13), R256, 1000000000000)</f>
        <v/>
      </c>
      <c r="U256" s="101">
        <f>IF(AND(F256&lt;=DASHBOARD!$B$11, H256&gt;=DASHBOARD!$B$13), N256, -1000000000000)</f>
        <v/>
      </c>
      <c r="V256" s="101">
        <f>IF(AND(F256&lt;=DASHBOARD!$B$11, H256&gt;=DASHBOARD!$B$13), H256, -1000000000000)</f>
        <v/>
      </c>
      <c r="W256" s="101">
        <f>IF(AND(F256&lt;=DASHBOARD!$B$11, H256&gt;=DASHBOARD!$B$13), K256, -1000000000000)</f>
        <v/>
      </c>
      <c r="X256" s="101">
        <f>IF(AND(F256&lt;=DASHBOARD!$B$11, H256&gt;=DASHBOARD!$B$13), M256, 1000000000000)</f>
        <v/>
      </c>
      <c r="Y256" s="101">
        <f>IF(AND(F256&lt;=DASHBOARD!$B$10, H256&gt;=DASHBOARD!$B$11), L256, 1000000000000)</f>
        <v/>
      </c>
      <c r="Z256" s="101">
        <f>IF(AND(F256&lt;=DASHBOARD!$B$10, H256&gt;=DASHBOARD!$B$11), O256, 1000000000000)</f>
        <v/>
      </c>
      <c r="AA256" s="101">
        <f>IF(AND(F256&lt;=DASHBOARD!$B$10, H256&gt;=DASHBOARD!$B$11), P256, 1000000000000)</f>
        <v/>
      </c>
      <c r="AB256" s="101">
        <f>IF(AND(F256&lt;=DASHBOARD!$B$10, H256&gt;=DASHBOARD!$B$11), Q256, -1000000000000)</f>
        <v/>
      </c>
    </row>
    <row r="257" ht="15" customHeight="1" s="102">
      <c r="A257" s="166" t="n">
        <v>253</v>
      </c>
      <c r="B257" s="167" t="n">
        <v>0.6</v>
      </c>
      <c r="C257" s="167" t="n">
        <v>0</v>
      </c>
      <c r="D257" s="110" t="inlineStr">
        <is>
          <t>Yok (%0)</t>
        </is>
      </c>
      <c r="E257" s="110">
        <f>IF((B257+C257)&lt;=1, "Tam Mahsuplaşma (≤%100)", "Kısmi Satış (&gt;%100)")</f>
        <v/>
      </c>
      <c r="F257" s="168">
        <f>((VERI_TABANI!$D$29*B257/VERI_TABANI!$B$29)/VERI_TABANI!$B$3)*VERI_TABANI!$B$5 + ((VERI_TABANI!$D$29*C257/VERI_TABANI!$B$29)/VERI_TABANI!$B$4)*VERI_TABANI!$B$6 + IF(ISNUMBER(SEARCH("Var", D257)), (VERI_TABANI!$F$29/VERI_TABANI!$B$29)*(VERI_TABANI!$B$10+VERI_TABANI!$B$12), 0)</f>
        <v/>
      </c>
      <c r="G257" s="168">
        <f>(((MIN(VERI_TABANI!D23, VERI_TABANI!D23*B257)*VERI_TABANI!$B$7 + MAX(0, VERI_TABANI!D23*B257-VERI_TABANI!D23)*VERI_TABANI!$B$8) + (MIN(MAX(0, VERI_TABANI!D23-VERI_TABANI!D23*B257), VERI_TABANI!D23*C257)*VERI_TABANI!$B$7 + MAX(0, VERI_TABANI!D23*C257-MAX(0, VERI_TABANI!D23-VERI_TABANI!D23*B257))*VERI_TABANI!$B$8) + IF(ABS(IF(ISNUMBER(SEARCH("Var", D257)), 1, IF(ISNUMBER(SEARCH("Gri", D257)), -1, 0)))=1, VERI_TABANI!E23*(1-0.928)*VERI_TABANI!$B$9, 0) + (VERI_TABANI!D23*B257*(VERI_TABANI!$B$13-VERI_TABANI!$B$14)*VERI_TABANI!G23) + (VERI_TABANI!D23*C257*(VERI_TABANI!$B$13-VERI_TABANI!$B$15)*VERI_TABANI!G23) + IF(ABS(IF(ISNUMBER(SEARCH("Var", D257)), 1, IF(ISNUMBER(SEARCH("Gri", D257)), -1, 0)))=1, VERI_TABANI!E23*(1-0.928)*0.00206091519919798*VERI_TABANI!G23, 0)) + ((MIN(VERI_TABANI!D24, VERI_TABANI!D24*B257)*VERI_TABANI!$B$7 + MAX(0, VERI_TABANI!D24*B257-VERI_TABANI!D24)*VERI_TABANI!$B$8) + (MIN(MAX(0, VERI_TABANI!D24-VERI_TABANI!D24*B257), VERI_TABANI!D24*C257)*VERI_TABANI!$B$7 + MAX(0, VERI_TABANI!D24*C257-MAX(0, VERI_TABANI!D24-VERI_TABANI!D24*B257))*VERI_TABANI!$B$8) + IF(ABS(IF(ISNUMBER(SEARCH("Var", D257)), 1, IF(ISNUMBER(SEARCH("Gri", D257)), -1, 0)))=1, VERI_TABANI!E24*(1-0.928)*VERI_TABANI!$B$9, 0) + (VERI_TABANI!D24*B257*(VERI_TABANI!$B$13-VERI_TABANI!$B$14)*VERI_TABANI!G24) + (VERI_TABANI!D24*C257*(VERI_TABANI!$B$13-VERI_TABANI!$B$15)*VERI_TABANI!G24) + IF(ABS(IF(ISNUMBER(SEARCH("Var", D257)), 1, IF(ISNUMBER(SEARCH("Gri", D257)), -1, 0)))=1, VERI_TABANI!E24*(1-0.928)*0.00206091519919798*VERI_TABANI!G24, 0)) + ((MIN(VERI_TABANI!D25, VERI_TABANI!D25*B257)*VERI_TABANI!$B$7 + MAX(0, VERI_TABANI!D25*B257-VERI_TABANI!D25)*VERI_TABANI!$B$8) + (MIN(MAX(0, VERI_TABANI!D25-VERI_TABANI!D25*B257), VERI_TABANI!D25*C257)*VERI_TABANI!$B$7 + MAX(0, VERI_TABANI!D25*C257-MAX(0, VERI_TABANI!D25-VERI_TABANI!D25*B257))*VERI_TABANI!$B$8) + IF(ABS(IF(ISNUMBER(SEARCH("Var", D257)), 1, IF(ISNUMBER(SEARCH("Gri", D257)), -1, 0)))=1, VERI_TABANI!E25*(1-0.928)*VERI_TABANI!$B$9, 0) + (VERI_TABANI!D25*B257*(VERI_TABANI!$B$13-VERI_TABANI!$B$14)*VERI_TABANI!G25) + (VERI_TABANI!D25*C257*(VERI_TABANI!$B$13-VERI_TABANI!$B$15)*VERI_TABANI!G25) + IF(ABS(IF(ISNUMBER(SEARCH("Var", D257)), 1, IF(ISNUMBER(SEARCH("Gri", D257)), -1, 0)))=1, VERI_TABANI!E25*(1-0.928)*0.00206091519919798*VERI_TABANI!G25, 0)) + ((MIN(VERI_TABANI!D26, VERI_TABANI!D26*B257)*VERI_TABANI!$B$7 + MAX(0, VERI_TABANI!D26*B257-VERI_TABANI!D26)*VERI_TABANI!$B$8) + (MIN(MAX(0, VERI_TABANI!D26-VERI_TABANI!D26*B257), VERI_TABANI!D26*C257)*VERI_TABANI!$B$7 + MAX(0, VERI_TABANI!D26*C257-MAX(0, VERI_TABANI!D26-VERI_TABANI!D26*B257))*VERI_TABANI!$B$8) + IF(ABS(IF(ISNUMBER(SEARCH("Var", D257)), 1, IF(ISNUMBER(SEARCH("Gri", D257)), -1, 0)))=1, VERI_TABANI!E26*(1-0.928)*VERI_TABANI!$B$9, 0) + (VERI_TABANI!D26*B257*(VERI_TABANI!$B$13-VERI_TABANI!$B$14)*VERI_TABANI!G26) + (VERI_TABANI!D26*C257*(VERI_TABANI!$B$13-VERI_TABANI!$B$15)*VERI_TABANI!G26) + IF(ABS(IF(ISNUMBER(SEARCH("Var", D257)), 1, IF(ISNUMBER(SEARCH("Gri", D257)), -1, 0)))=1, VERI_TABANI!E26*(1-0.928)*0.00206091519919798*VERI_TABANI!G26, 0)) + ((MIN(VERI_TABANI!D27, VERI_TABANI!D27*B257)*VERI_TABANI!$B$7 + MAX(0, VERI_TABANI!D27*B257-VERI_TABANI!D27)*VERI_TABANI!$B$8) + (MIN(MAX(0, VERI_TABANI!D27-VERI_TABANI!D27*B257), VERI_TABANI!D27*C257)*VERI_TABANI!$B$7 + MAX(0, VERI_TABANI!D27*C257-MAX(0, VERI_TABANI!D27-VERI_TABANI!D27*B257))*VERI_TABANI!$B$8) + IF(ABS(IF(ISNUMBER(SEARCH("Var", D257)), 1, IF(ISNUMBER(SEARCH("Gri", D257)), -1, 0)))=1, VERI_TABANI!E27*(1-0.928)*VERI_TABANI!$B$9, 0) + (VERI_TABANI!D27*B257*(VERI_TABANI!$B$13-VERI_TABANI!$B$14)*VERI_TABANI!G27) + (VERI_TABANI!D27*C257*(VERI_TABANI!$B$13-VERI_TABANI!$B$15)*VERI_TABANI!G27) + IF(ABS(IF(ISNUMBER(SEARCH("Var", D257)), 1, IF(ISNUMBER(SEARCH("Gri", D257)), -1, 0)))=1, VERI_TABANI!E27*(1-0.928)*0.00206091519919798*VERI_TABANI!G27, 0)) + ((MIN(VERI_TABANI!D28, VERI_TABANI!D28*B257)*VERI_TABANI!$B$7 + MAX(0, VERI_TABANI!D28*B257-VERI_TABANI!D28)*VERI_TABANI!$B$8) + (MIN(MAX(0, VERI_TABANI!D28-VERI_TABANI!D28*B257), VERI_TABANI!D28*C257)*VERI_TABANI!$B$7 + MAX(0, VERI_TABANI!D28*C257-MAX(0, VERI_TABANI!D28-VERI_TABANI!D28*B257))*VERI_TABANI!$B$8) + IF(ABS(IF(ISNUMBER(SEARCH("Var", D257)), 1, IF(ISNUMBER(SEARCH("Gri", D257)), -1, 0)))=1, VERI_TABANI!E28*(1-0.928)*VERI_TABANI!$B$9, 0) + (VERI_TABANI!D28*B257*(VERI_TABANI!$B$13-VERI_TABANI!$B$14)*VERI_TABANI!G28) + (VERI_TABANI!D28*C257*(VERI_TABANI!$B$13-VERI_TABANI!$B$15)*VERI_TABANI!G28) + IF(ABS(IF(ISNUMBER(SEARCH("Var", D257)), 1, IF(ISNUMBER(SEARCH("Gri", D257)), -1, 0)))=1, VERI_TABANI!E28*(1-0.928)*0.00206091519919798*VERI_TABANI!G28, 0)))</f>
        <v/>
      </c>
      <c r="H257" s="169">
        <f>(((VERI_TABANI!D23*B257*(VERI_TABANI!$B$13-VERI_TABANI!$B$14)) + (VERI_TABANI!D23*C257*(VERI_TABANI!$B$13-VERI_TABANI!$B$15)) + IF(ISNUMBER(SEARCH("Var", D257)), VERI_TABANI!F23*(0.00202-VERI_TABANI!$B$16), IF(ISNUMBER(SEARCH("Gri", D257)), VERI_TABANI!F23*(0.00202-VERI_TABANI!$B$17), 0))) + ((VERI_TABANI!D24*B257*(VERI_TABANI!$B$13-VERI_TABANI!$B$14)) + (VERI_TABANI!D24*C257*(VERI_TABANI!$B$13-VERI_TABANI!$B$15)) + IF(ISNUMBER(SEARCH("Var", D257)), VERI_TABANI!F24*(0.00202-VERI_TABANI!$B$16), IF(ISNUMBER(SEARCH("Gri", D257)), VERI_TABANI!F24*(0.00202-VERI_TABANI!$B$17), 0))) + ((VERI_TABANI!D25*B257*(VERI_TABANI!$B$13-VERI_TABANI!$B$14)) + (VERI_TABANI!D25*C257*(VERI_TABANI!$B$13-VERI_TABANI!$B$15)) + IF(ISNUMBER(SEARCH("Var", D257)), VERI_TABANI!F25*(0.00202-VERI_TABANI!$B$16), IF(ISNUMBER(SEARCH("Gri", D257)), VERI_TABANI!F25*(0.00202-VERI_TABANI!$B$17), 0))) + ((VERI_TABANI!D26*B257*(VERI_TABANI!$B$13-VERI_TABANI!$B$14)) + (VERI_TABANI!D26*C257*(VERI_TABANI!$B$13-VERI_TABANI!$B$15)) + IF(ISNUMBER(SEARCH("Var", D257)), VERI_TABANI!F26*(0.00202-VERI_TABANI!$B$16), IF(ISNUMBER(SEARCH("Gri", D257)), VERI_TABANI!F26*(0.00202-VERI_TABANI!$B$17), 0))) + ((VERI_TABANI!D27*B257*(VERI_TABANI!$B$13-VERI_TABANI!$B$14)) + (VERI_TABANI!D27*C257*(VERI_TABANI!$B$13-VERI_TABANI!$B$15)) + IF(ISNUMBER(SEARCH("Var", D257)), VERI_TABANI!F27*(0.00202-VERI_TABANI!$B$16), IF(ISNUMBER(SEARCH("Gri", D257)), VERI_TABANI!F27*(0.00202-VERI_TABANI!$B$17), 0))) + ((VERI_TABANI!D28*B257*(VERI_TABANI!$B$13-VERI_TABANI!$B$14)) + (VERI_TABANI!D28*C257*(VERI_TABANI!$B$13-VERI_TABANI!$B$15)) + IF(ISNUMBER(SEARCH("Var", D257)), VERI_TABANI!F28*(0.00202-VERI_TABANI!$B$16), IF(ISNUMBER(SEARCH("Gri", D257)), VERI_TABANI!F28*(0.00202-VERI_TABANI!$B$17), 0))))</f>
        <v/>
      </c>
      <c r="I257" s="170">
        <f>IFERROR(((VERI_TABANI!$D$29*B257*VERI_TABANI!$B$14 + VERI_TABANI!$D$29*C257*VERI_TABANI!$B$15 + IF(ISNUMBER(SEARCH("Var", D257)), VERI_TABANI!$F$29*VERI_TABANI!$B$16, 0))) / (((VERI_TABANI!$D$29*B257 + VERI_TABANI!$D$29*C257)*VERI_TABANI!$B$13 + IF(ISNUMBER(SEARCH("Var", D257)), VERI_TABANI!$E$29*(1-0.928)*VERI_TABANI!$B$18, 0))), 0)</f>
        <v/>
      </c>
      <c r="J257" s="171">
        <f>IFERROR(F257/(G257/29), 0)</f>
        <v/>
      </c>
      <c r="K257" s="172">
        <f>IF(F257&gt;0, H257/F257, 0)</f>
        <v/>
      </c>
      <c r="L257" s="170">
        <f>IF(F257&gt;0, I257, 1000000000)</f>
        <v/>
      </c>
      <c r="M257" s="171">
        <f>ABS((B257+C257)-1)</f>
        <v/>
      </c>
      <c r="N257" s="170">
        <f>IF(F257&gt;0, (G257/29)/F257, 0)</f>
        <v/>
      </c>
      <c r="O257" s="168">
        <f>IF(AND((B257+C257)&gt;=1, ISNUMBER(SEARCH("Var", D257))), F257, 1000000000)</f>
        <v/>
      </c>
      <c r="P257" s="172">
        <f>IF(F257&gt;0, SQRT((F257/MAX(F$5:F$886))^2 + (1 - H257/MAX(H$5:H$886))^2 + (J257/MAX(J$5:J$886))^2), 1000000000)</f>
        <v/>
      </c>
      <c r="Q257" s="166">
        <f>IF(AND(ABS(B257-0.5)&lt;0.01, ABS(C257-0.5)&lt;0.01, ISNUMBER(SEARCH("Var", D257))), 1, 0)</f>
        <v/>
      </c>
      <c r="R257" s="171">
        <f>IF(F257&gt;0, J257, 1000000000)</f>
        <v/>
      </c>
      <c r="S257" s="101">
        <f>IF(AND(F257&lt;=DASHBOARD!$B$11, H257&gt;=DASHBOARD!$B$13), G257, -1000000000000)</f>
        <v/>
      </c>
      <c r="T257" s="101">
        <f>IF(AND(F257&lt;=DASHBOARD!$B$11, H257&gt;=DASHBOARD!$B$13), R257, 1000000000000)</f>
        <v/>
      </c>
      <c r="U257" s="101">
        <f>IF(AND(F257&lt;=DASHBOARD!$B$11, H257&gt;=DASHBOARD!$B$13), N257, -1000000000000)</f>
        <v/>
      </c>
      <c r="V257" s="101">
        <f>IF(AND(F257&lt;=DASHBOARD!$B$11, H257&gt;=DASHBOARD!$B$13), H257, -1000000000000)</f>
        <v/>
      </c>
      <c r="W257" s="101">
        <f>IF(AND(F257&lt;=DASHBOARD!$B$11, H257&gt;=DASHBOARD!$B$13), K257, -1000000000000)</f>
        <v/>
      </c>
      <c r="X257" s="101">
        <f>IF(AND(F257&lt;=DASHBOARD!$B$11, H257&gt;=DASHBOARD!$B$13), M257, 1000000000000)</f>
        <v/>
      </c>
      <c r="Y257" s="101">
        <f>IF(AND(F257&lt;=DASHBOARD!$B$10, H257&gt;=DASHBOARD!$B$11), L257, 1000000000000)</f>
        <v/>
      </c>
      <c r="Z257" s="101">
        <f>IF(AND(F257&lt;=DASHBOARD!$B$10, H257&gt;=DASHBOARD!$B$11), O257, 1000000000000)</f>
        <v/>
      </c>
      <c r="AA257" s="101">
        <f>IF(AND(F257&lt;=DASHBOARD!$B$10, H257&gt;=DASHBOARD!$B$11), P257, 1000000000000)</f>
        <v/>
      </c>
      <c r="AB257" s="101">
        <f>IF(AND(F257&lt;=DASHBOARD!$B$10, H257&gt;=DASHBOARD!$B$11), Q257, -1000000000000)</f>
        <v/>
      </c>
    </row>
    <row r="258" ht="15" customHeight="1" s="102">
      <c r="A258" s="166" t="n">
        <v>254</v>
      </c>
      <c r="B258" s="167" t="n">
        <v>0.6</v>
      </c>
      <c r="C258" s="167" t="n">
        <v>0</v>
      </c>
      <c r="D258" s="110" t="inlineStr">
        <is>
          <t>Var (%20)</t>
        </is>
      </c>
      <c r="E258" s="110">
        <f>IF((B258+C258)&lt;=1, "Tam Mahsuplaşma (≤%100)", "Kısmi Satış (&gt;%100)")</f>
        <v/>
      </c>
      <c r="F258" s="168">
        <f>((VERI_TABANI!$D$29*B258/VERI_TABANI!$B$29)/VERI_TABANI!$B$3)*VERI_TABANI!$B$5 + ((VERI_TABANI!$D$29*C258/VERI_TABANI!$B$29)/VERI_TABANI!$B$4)*VERI_TABANI!$B$6 + IF(ISNUMBER(SEARCH("Var", D258)), (VERI_TABANI!$F$29/VERI_TABANI!$B$29)*(VERI_TABANI!$B$10+VERI_TABANI!$B$12), 0)</f>
        <v/>
      </c>
      <c r="G258" s="168">
        <f>(((MIN(VERI_TABANI!D23, VERI_TABANI!D23*B258)*VERI_TABANI!$B$7 + MAX(0, VERI_TABANI!D23*B258-VERI_TABANI!D23)*VERI_TABANI!$B$8) + (MIN(MAX(0, VERI_TABANI!D23-VERI_TABANI!D23*B258), VERI_TABANI!D23*C258)*VERI_TABANI!$B$7 + MAX(0, VERI_TABANI!D23*C258-MAX(0, VERI_TABANI!D23-VERI_TABANI!D23*B258))*VERI_TABANI!$B$8) + IF(ABS(IF(ISNUMBER(SEARCH("Var", D258)), 1, IF(ISNUMBER(SEARCH("Gri", D258)), -1, 0)))=1, VERI_TABANI!E23*(1-0.928)*VERI_TABANI!$B$9, 0) + (VERI_TABANI!D23*B258*(VERI_TABANI!$B$13-VERI_TABANI!$B$14)*VERI_TABANI!G23) + (VERI_TABANI!D23*C258*(VERI_TABANI!$B$13-VERI_TABANI!$B$15)*VERI_TABANI!G23) + IF(ABS(IF(ISNUMBER(SEARCH("Var", D258)), 1, IF(ISNUMBER(SEARCH("Gri", D258)), -1, 0)))=1, VERI_TABANI!E23*(1-0.928)*0.00206091519919798*VERI_TABANI!G23, 0)) + ((MIN(VERI_TABANI!D24, VERI_TABANI!D24*B258)*VERI_TABANI!$B$7 + MAX(0, VERI_TABANI!D24*B258-VERI_TABANI!D24)*VERI_TABANI!$B$8) + (MIN(MAX(0, VERI_TABANI!D24-VERI_TABANI!D24*B258), VERI_TABANI!D24*C258)*VERI_TABANI!$B$7 + MAX(0, VERI_TABANI!D24*C258-MAX(0, VERI_TABANI!D24-VERI_TABANI!D24*B258))*VERI_TABANI!$B$8) + IF(ABS(IF(ISNUMBER(SEARCH("Var", D258)), 1, IF(ISNUMBER(SEARCH("Gri", D258)), -1, 0)))=1, VERI_TABANI!E24*(1-0.928)*VERI_TABANI!$B$9, 0) + (VERI_TABANI!D24*B258*(VERI_TABANI!$B$13-VERI_TABANI!$B$14)*VERI_TABANI!G24) + (VERI_TABANI!D24*C258*(VERI_TABANI!$B$13-VERI_TABANI!$B$15)*VERI_TABANI!G24) + IF(ABS(IF(ISNUMBER(SEARCH("Var", D258)), 1, IF(ISNUMBER(SEARCH("Gri", D258)), -1, 0)))=1, VERI_TABANI!E24*(1-0.928)*0.00206091519919798*VERI_TABANI!G24, 0)) + ((MIN(VERI_TABANI!D25, VERI_TABANI!D25*B258)*VERI_TABANI!$B$7 + MAX(0, VERI_TABANI!D25*B258-VERI_TABANI!D25)*VERI_TABANI!$B$8) + (MIN(MAX(0, VERI_TABANI!D25-VERI_TABANI!D25*B258), VERI_TABANI!D25*C258)*VERI_TABANI!$B$7 + MAX(0, VERI_TABANI!D25*C258-MAX(0, VERI_TABANI!D25-VERI_TABANI!D25*B258))*VERI_TABANI!$B$8) + IF(ABS(IF(ISNUMBER(SEARCH("Var", D258)), 1, IF(ISNUMBER(SEARCH("Gri", D258)), -1, 0)))=1, VERI_TABANI!E25*(1-0.928)*VERI_TABANI!$B$9, 0) + (VERI_TABANI!D25*B258*(VERI_TABANI!$B$13-VERI_TABANI!$B$14)*VERI_TABANI!G25) + (VERI_TABANI!D25*C258*(VERI_TABANI!$B$13-VERI_TABANI!$B$15)*VERI_TABANI!G25) + IF(ABS(IF(ISNUMBER(SEARCH("Var", D258)), 1, IF(ISNUMBER(SEARCH("Gri", D258)), -1, 0)))=1, VERI_TABANI!E25*(1-0.928)*0.00206091519919798*VERI_TABANI!G25, 0)) + ((MIN(VERI_TABANI!D26, VERI_TABANI!D26*B258)*VERI_TABANI!$B$7 + MAX(0, VERI_TABANI!D26*B258-VERI_TABANI!D26)*VERI_TABANI!$B$8) + (MIN(MAX(0, VERI_TABANI!D26-VERI_TABANI!D26*B258), VERI_TABANI!D26*C258)*VERI_TABANI!$B$7 + MAX(0, VERI_TABANI!D26*C258-MAX(0, VERI_TABANI!D26-VERI_TABANI!D26*B258))*VERI_TABANI!$B$8) + IF(ABS(IF(ISNUMBER(SEARCH("Var", D258)), 1, IF(ISNUMBER(SEARCH("Gri", D258)), -1, 0)))=1, VERI_TABANI!E26*(1-0.928)*VERI_TABANI!$B$9, 0) + (VERI_TABANI!D26*B258*(VERI_TABANI!$B$13-VERI_TABANI!$B$14)*VERI_TABANI!G26) + (VERI_TABANI!D26*C258*(VERI_TABANI!$B$13-VERI_TABANI!$B$15)*VERI_TABANI!G26) + IF(ABS(IF(ISNUMBER(SEARCH("Var", D258)), 1, IF(ISNUMBER(SEARCH("Gri", D258)), -1, 0)))=1, VERI_TABANI!E26*(1-0.928)*0.00206091519919798*VERI_TABANI!G26, 0)) + ((MIN(VERI_TABANI!D27, VERI_TABANI!D27*B258)*VERI_TABANI!$B$7 + MAX(0, VERI_TABANI!D27*B258-VERI_TABANI!D27)*VERI_TABANI!$B$8) + (MIN(MAX(0, VERI_TABANI!D27-VERI_TABANI!D27*B258), VERI_TABANI!D27*C258)*VERI_TABANI!$B$7 + MAX(0, VERI_TABANI!D27*C258-MAX(0, VERI_TABANI!D27-VERI_TABANI!D27*B258))*VERI_TABANI!$B$8) + IF(ABS(IF(ISNUMBER(SEARCH("Var", D258)), 1, IF(ISNUMBER(SEARCH("Gri", D258)), -1, 0)))=1, VERI_TABANI!E27*(1-0.928)*VERI_TABANI!$B$9, 0) + (VERI_TABANI!D27*B258*(VERI_TABANI!$B$13-VERI_TABANI!$B$14)*VERI_TABANI!G27) + (VERI_TABANI!D27*C258*(VERI_TABANI!$B$13-VERI_TABANI!$B$15)*VERI_TABANI!G27) + IF(ABS(IF(ISNUMBER(SEARCH("Var", D258)), 1, IF(ISNUMBER(SEARCH("Gri", D258)), -1, 0)))=1, VERI_TABANI!E27*(1-0.928)*0.00206091519919798*VERI_TABANI!G27, 0)) + ((MIN(VERI_TABANI!D28, VERI_TABANI!D28*B258)*VERI_TABANI!$B$7 + MAX(0, VERI_TABANI!D28*B258-VERI_TABANI!D28)*VERI_TABANI!$B$8) + (MIN(MAX(0, VERI_TABANI!D28-VERI_TABANI!D28*B258), VERI_TABANI!D28*C258)*VERI_TABANI!$B$7 + MAX(0, VERI_TABANI!D28*C258-MAX(0, VERI_TABANI!D28-VERI_TABANI!D28*B258))*VERI_TABANI!$B$8) + IF(ABS(IF(ISNUMBER(SEARCH("Var", D258)), 1, IF(ISNUMBER(SEARCH("Gri", D258)), -1, 0)))=1, VERI_TABANI!E28*(1-0.928)*VERI_TABANI!$B$9, 0) + (VERI_TABANI!D28*B258*(VERI_TABANI!$B$13-VERI_TABANI!$B$14)*VERI_TABANI!G28) + (VERI_TABANI!D28*C258*(VERI_TABANI!$B$13-VERI_TABANI!$B$15)*VERI_TABANI!G28) + IF(ABS(IF(ISNUMBER(SEARCH("Var", D258)), 1, IF(ISNUMBER(SEARCH("Gri", D258)), -1, 0)))=1, VERI_TABANI!E28*(1-0.928)*0.00206091519919798*VERI_TABANI!G28, 0)))</f>
        <v/>
      </c>
      <c r="H258" s="169">
        <f>(((VERI_TABANI!D23*B258*(VERI_TABANI!$B$13-VERI_TABANI!$B$14)) + (VERI_TABANI!D23*C258*(VERI_TABANI!$B$13-VERI_TABANI!$B$15)) + IF(ISNUMBER(SEARCH("Var", D258)), VERI_TABANI!F23*(0.00202-VERI_TABANI!$B$16), IF(ISNUMBER(SEARCH("Gri", D258)), VERI_TABANI!F23*(0.00202-VERI_TABANI!$B$17), 0))) + ((VERI_TABANI!D24*B258*(VERI_TABANI!$B$13-VERI_TABANI!$B$14)) + (VERI_TABANI!D24*C258*(VERI_TABANI!$B$13-VERI_TABANI!$B$15)) + IF(ISNUMBER(SEARCH("Var", D258)), VERI_TABANI!F24*(0.00202-VERI_TABANI!$B$16), IF(ISNUMBER(SEARCH("Gri", D258)), VERI_TABANI!F24*(0.00202-VERI_TABANI!$B$17), 0))) + ((VERI_TABANI!D25*B258*(VERI_TABANI!$B$13-VERI_TABANI!$B$14)) + (VERI_TABANI!D25*C258*(VERI_TABANI!$B$13-VERI_TABANI!$B$15)) + IF(ISNUMBER(SEARCH("Var", D258)), VERI_TABANI!F25*(0.00202-VERI_TABANI!$B$16), IF(ISNUMBER(SEARCH("Gri", D258)), VERI_TABANI!F25*(0.00202-VERI_TABANI!$B$17), 0))) + ((VERI_TABANI!D26*B258*(VERI_TABANI!$B$13-VERI_TABANI!$B$14)) + (VERI_TABANI!D26*C258*(VERI_TABANI!$B$13-VERI_TABANI!$B$15)) + IF(ISNUMBER(SEARCH("Var", D258)), VERI_TABANI!F26*(0.00202-VERI_TABANI!$B$16), IF(ISNUMBER(SEARCH("Gri", D258)), VERI_TABANI!F26*(0.00202-VERI_TABANI!$B$17), 0))) + ((VERI_TABANI!D27*B258*(VERI_TABANI!$B$13-VERI_TABANI!$B$14)) + (VERI_TABANI!D27*C258*(VERI_TABANI!$B$13-VERI_TABANI!$B$15)) + IF(ISNUMBER(SEARCH("Var", D258)), VERI_TABANI!F27*(0.00202-VERI_TABANI!$B$16), IF(ISNUMBER(SEARCH("Gri", D258)), VERI_TABANI!F27*(0.00202-VERI_TABANI!$B$17), 0))) + ((VERI_TABANI!D28*B258*(VERI_TABANI!$B$13-VERI_TABANI!$B$14)) + (VERI_TABANI!D28*C258*(VERI_TABANI!$B$13-VERI_TABANI!$B$15)) + IF(ISNUMBER(SEARCH("Var", D258)), VERI_TABANI!F28*(0.00202-VERI_TABANI!$B$16), IF(ISNUMBER(SEARCH("Gri", D258)), VERI_TABANI!F28*(0.00202-VERI_TABANI!$B$17), 0))))</f>
        <v/>
      </c>
      <c r="I258" s="170">
        <f>IFERROR(((VERI_TABANI!$D$29*B258*VERI_TABANI!$B$14 + VERI_TABANI!$D$29*C258*VERI_TABANI!$B$15 + IF(ISNUMBER(SEARCH("Var", D258)), VERI_TABANI!$F$29*VERI_TABANI!$B$16, 0))) / (((VERI_TABANI!$D$29*B258 + VERI_TABANI!$D$29*C258)*VERI_TABANI!$B$13 + IF(ISNUMBER(SEARCH("Var", D258)), VERI_TABANI!$E$29*(1-0.928)*VERI_TABANI!$B$18, 0))), 0)</f>
        <v/>
      </c>
      <c r="J258" s="171">
        <f>IFERROR(F258/(G258/29), 0)</f>
        <v/>
      </c>
      <c r="K258" s="172">
        <f>IF(F258&gt;0, H258/F258, 0)</f>
        <v/>
      </c>
      <c r="L258" s="170">
        <f>IF(F258&gt;0, I258, 1000000000)</f>
        <v/>
      </c>
      <c r="M258" s="171">
        <f>ABS((B258+C258)-1)</f>
        <v/>
      </c>
      <c r="N258" s="170">
        <f>IF(F258&gt;0, (G258/29)/F258, 0)</f>
        <v/>
      </c>
      <c r="O258" s="168">
        <f>IF(AND((B258+C258)&gt;=1, ISNUMBER(SEARCH("Var", D258))), F258, 1000000000)</f>
        <v/>
      </c>
      <c r="P258" s="172">
        <f>IF(F258&gt;0, SQRT((F258/MAX(F$5:F$886))^2 + (1 - H258/MAX(H$5:H$886))^2 + (J258/MAX(J$5:J$886))^2), 1000000000)</f>
        <v/>
      </c>
      <c r="Q258" s="166">
        <f>IF(AND(ABS(B258-0.5)&lt;0.01, ABS(C258-0.5)&lt;0.01, ISNUMBER(SEARCH("Var", D258))), 1, 0)</f>
        <v/>
      </c>
      <c r="R258" s="171">
        <f>IF(F258&gt;0, J258, 1000000000)</f>
        <v/>
      </c>
      <c r="S258" s="101">
        <f>IF(AND(F258&lt;=DASHBOARD!$B$11, H258&gt;=DASHBOARD!$B$13), G258, -1000000000000)</f>
        <v/>
      </c>
      <c r="T258" s="101">
        <f>IF(AND(F258&lt;=DASHBOARD!$B$11, H258&gt;=DASHBOARD!$B$13), R258, 1000000000000)</f>
        <v/>
      </c>
      <c r="U258" s="101">
        <f>IF(AND(F258&lt;=DASHBOARD!$B$11, H258&gt;=DASHBOARD!$B$13), N258, -1000000000000)</f>
        <v/>
      </c>
      <c r="V258" s="101">
        <f>IF(AND(F258&lt;=DASHBOARD!$B$11, H258&gt;=DASHBOARD!$B$13), H258, -1000000000000)</f>
        <v/>
      </c>
      <c r="W258" s="101">
        <f>IF(AND(F258&lt;=DASHBOARD!$B$11, H258&gt;=DASHBOARD!$B$13), K258, -1000000000000)</f>
        <v/>
      </c>
      <c r="X258" s="101">
        <f>IF(AND(F258&lt;=DASHBOARD!$B$11, H258&gt;=DASHBOARD!$B$13), M258, 1000000000000)</f>
        <v/>
      </c>
      <c r="Y258" s="101">
        <f>IF(AND(F258&lt;=DASHBOARD!$B$10, H258&gt;=DASHBOARD!$B$11), L258, 1000000000000)</f>
        <v/>
      </c>
      <c r="Z258" s="101">
        <f>IF(AND(F258&lt;=DASHBOARD!$B$10, H258&gt;=DASHBOARD!$B$11), O258, 1000000000000)</f>
        <v/>
      </c>
      <c r="AA258" s="101">
        <f>IF(AND(F258&lt;=DASHBOARD!$B$10, H258&gt;=DASHBOARD!$B$11), P258, 1000000000000)</f>
        <v/>
      </c>
      <c r="AB258" s="101">
        <f>IF(AND(F258&lt;=DASHBOARD!$B$10, H258&gt;=DASHBOARD!$B$11), Q258, -1000000000000)</f>
        <v/>
      </c>
    </row>
    <row r="259" ht="15" customHeight="1" s="102">
      <c r="A259" s="166" t="n">
        <v>255</v>
      </c>
      <c r="B259" s="167" t="n">
        <v>0.6</v>
      </c>
      <c r="C259" s="167" t="n">
        <v>0.1</v>
      </c>
      <c r="D259" s="110" t="inlineStr">
        <is>
          <t>Yok (%0)</t>
        </is>
      </c>
      <c r="E259" s="110">
        <f>IF((B259+C259)&lt;=1, "Tam Mahsuplaşma (≤%100)", "Kısmi Satış (&gt;%100)")</f>
        <v/>
      </c>
      <c r="F259" s="168">
        <f>((VERI_TABANI!$D$29*B259/VERI_TABANI!$B$29)/VERI_TABANI!$B$3)*VERI_TABANI!$B$5 + ((VERI_TABANI!$D$29*C259/VERI_TABANI!$B$29)/VERI_TABANI!$B$4)*VERI_TABANI!$B$6 + IF(ISNUMBER(SEARCH("Var", D259)), (VERI_TABANI!$F$29/VERI_TABANI!$B$29)*(VERI_TABANI!$B$10+VERI_TABANI!$B$12), 0)</f>
        <v/>
      </c>
      <c r="G259" s="168">
        <f>(((MIN(VERI_TABANI!D23, VERI_TABANI!D23*B259)*VERI_TABANI!$B$7 + MAX(0, VERI_TABANI!D23*B259-VERI_TABANI!D23)*VERI_TABANI!$B$8) + (MIN(MAX(0, VERI_TABANI!D23-VERI_TABANI!D23*B259), VERI_TABANI!D23*C259)*VERI_TABANI!$B$7 + MAX(0, VERI_TABANI!D23*C259-MAX(0, VERI_TABANI!D23-VERI_TABANI!D23*B259))*VERI_TABANI!$B$8) + IF(ABS(IF(ISNUMBER(SEARCH("Var", D259)), 1, IF(ISNUMBER(SEARCH("Gri", D259)), -1, 0)))=1, VERI_TABANI!E23*(1-0.928)*VERI_TABANI!$B$9, 0) + (VERI_TABANI!D23*B259*(VERI_TABANI!$B$13-VERI_TABANI!$B$14)*VERI_TABANI!G23) + (VERI_TABANI!D23*C259*(VERI_TABANI!$B$13-VERI_TABANI!$B$15)*VERI_TABANI!G23) + IF(ABS(IF(ISNUMBER(SEARCH("Var", D259)), 1, IF(ISNUMBER(SEARCH("Gri", D259)), -1, 0)))=1, VERI_TABANI!E23*(1-0.928)*0.00206091519919798*VERI_TABANI!G23, 0)) + ((MIN(VERI_TABANI!D24, VERI_TABANI!D24*B259)*VERI_TABANI!$B$7 + MAX(0, VERI_TABANI!D24*B259-VERI_TABANI!D24)*VERI_TABANI!$B$8) + (MIN(MAX(0, VERI_TABANI!D24-VERI_TABANI!D24*B259), VERI_TABANI!D24*C259)*VERI_TABANI!$B$7 + MAX(0, VERI_TABANI!D24*C259-MAX(0, VERI_TABANI!D24-VERI_TABANI!D24*B259))*VERI_TABANI!$B$8) + IF(ABS(IF(ISNUMBER(SEARCH("Var", D259)), 1, IF(ISNUMBER(SEARCH("Gri", D259)), -1, 0)))=1, VERI_TABANI!E24*(1-0.928)*VERI_TABANI!$B$9, 0) + (VERI_TABANI!D24*B259*(VERI_TABANI!$B$13-VERI_TABANI!$B$14)*VERI_TABANI!G24) + (VERI_TABANI!D24*C259*(VERI_TABANI!$B$13-VERI_TABANI!$B$15)*VERI_TABANI!G24) + IF(ABS(IF(ISNUMBER(SEARCH("Var", D259)), 1, IF(ISNUMBER(SEARCH("Gri", D259)), -1, 0)))=1, VERI_TABANI!E24*(1-0.928)*0.00206091519919798*VERI_TABANI!G24, 0)) + ((MIN(VERI_TABANI!D25, VERI_TABANI!D25*B259)*VERI_TABANI!$B$7 + MAX(0, VERI_TABANI!D25*B259-VERI_TABANI!D25)*VERI_TABANI!$B$8) + (MIN(MAX(0, VERI_TABANI!D25-VERI_TABANI!D25*B259), VERI_TABANI!D25*C259)*VERI_TABANI!$B$7 + MAX(0, VERI_TABANI!D25*C259-MAX(0, VERI_TABANI!D25-VERI_TABANI!D25*B259))*VERI_TABANI!$B$8) + IF(ABS(IF(ISNUMBER(SEARCH("Var", D259)), 1, IF(ISNUMBER(SEARCH("Gri", D259)), -1, 0)))=1, VERI_TABANI!E25*(1-0.928)*VERI_TABANI!$B$9, 0) + (VERI_TABANI!D25*B259*(VERI_TABANI!$B$13-VERI_TABANI!$B$14)*VERI_TABANI!G25) + (VERI_TABANI!D25*C259*(VERI_TABANI!$B$13-VERI_TABANI!$B$15)*VERI_TABANI!G25) + IF(ABS(IF(ISNUMBER(SEARCH("Var", D259)), 1, IF(ISNUMBER(SEARCH("Gri", D259)), -1, 0)))=1, VERI_TABANI!E25*(1-0.928)*0.00206091519919798*VERI_TABANI!G25, 0)) + ((MIN(VERI_TABANI!D26, VERI_TABANI!D26*B259)*VERI_TABANI!$B$7 + MAX(0, VERI_TABANI!D26*B259-VERI_TABANI!D26)*VERI_TABANI!$B$8) + (MIN(MAX(0, VERI_TABANI!D26-VERI_TABANI!D26*B259), VERI_TABANI!D26*C259)*VERI_TABANI!$B$7 + MAX(0, VERI_TABANI!D26*C259-MAX(0, VERI_TABANI!D26-VERI_TABANI!D26*B259))*VERI_TABANI!$B$8) + IF(ABS(IF(ISNUMBER(SEARCH("Var", D259)), 1, IF(ISNUMBER(SEARCH("Gri", D259)), -1, 0)))=1, VERI_TABANI!E26*(1-0.928)*VERI_TABANI!$B$9, 0) + (VERI_TABANI!D26*B259*(VERI_TABANI!$B$13-VERI_TABANI!$B$14)*VERI_TABANI!G26) + (VERI_TABANI!D26*C259*(VERI_TABANI!$B$13-VERI_TABANI!$B$15)*VERI_TABANI!G26) + IF(ABS(IF(ISNUMBER(SEARCH("Var", D259)), 1, IF(ISNUMBER(SEARCH("Gri", D259)), -1, 0)))=1, VERI_TABANI!E26*(1-0.928)*0.00206091519919798*VERI_TABANI!G26, 0)) + ((MIN(VERI_TABANI!D27, VERI_TABANI!D27*B259)*VERI_TABANI!$B$7 + MAX(0, VERI_TABANI!D27*B259-VERI_TABANI!D27)*VERI_TABANI!$B$8) + (MIN(MAX(0, VERI_TABANI!D27-VERI_TABANI!D27*B259), VERI_TABANI!D27*C259)*VERI_TABANI!$B$7 + MAX(0, VERI_TABANI!D27*C259-MAX(0, VERI_TABANI!D27-VERI_TABANI!D27*B259))*VERI_TABANI!$B$8) + IF(ABS(IF(ISNUMBER(SEARCH("Var", D259)), 1, IF(ISNUMBER(SEARCH("Gri", D259)), -1, 0)))=1, VERI_TABANI!E27*(1-0.928)*VERI_TABANI!$B$9, 0) + (VERI_TABANI!D27*B259*(VERI_TABANI!$B$13-VERI_TABANI!$B$14)*VERI_TABANI!G27) + (VERI_TABANI!D27*C259*(VERI_TABANI!$B$13-VERI_TABANI!$B$15)*VERI_TABANI!G27) + IF(ABS(IF(ISNUMBER(SEARCH("Var", D259)), 1, IF(ISNUMBER(SEARCH("Gri", D259)), -1, 0)))=1, VERI_TABANI!E27*(1-0.928)*0.00206091519919798*VERI_TABANI!G27, 0)) + ((MIN(VERI_TABANI!D28, VERI_TABANI!D28*B259)*VERI_TABANI!$B$7 + MAX(0, VERI_TABANI!D28*B259-VERI_TABANI!D28)*VERI_TABANI!$B$8) + (MIN(MAX(0, VERI_TABANI!D28-VERI_TABANI!D28*B259), VERI_TABANI!D28*C259)*VERI_TABANI!$B$7 + MAX(0, VERI_TABANI!D28*C259-MAX(0, VERI_TABANI!D28-VERI_TABANI!D28*B259))*VERI_TABANI!$B$8) + IF(ABS(IF(ISNUMBER(SEARCH("Var", D259)), 1, IF(ISNUMBER(SEARCH("Gri", D259)), -1, 0)))=1, VERI_TABANI!E28*(1-0.928)*VERI_TABANI!$B$9, 0) + (VERI_TABANI!D28*B259*(VERI_TABANI!$B$13-VERI_TABANI!$B$14)*VERI_TABANI!G28) + (VERI_TABANI!D28*C259*(VERI_TABANI!$B$13-VERI_TABANI!$B$15)*VERI_TABANI!G28) + IF(ABS(IF(ISNUMBER(SEARCH("Var", D259)), 1, IF(ISNUMBER(SEARCH("Gri", D259)), -1, 0)))=1, VERI_TABANI!E28*(1-0.928)*0.00206091519919798*VERI_TABANI!G28, 0)))</f>
        <v/>
      </c>
      <c r="H259" s="169">
        <f>(((VERI_TABANI!D23*B259*(VERI_TABANI!$B$13-VERI_TABANI!$B$14)) + (VERI_TABANI!D23*C259*(VERI_TABANI!$B$13-VERI_TABANI!$B$15)) + IF(ISNUMBER(SEARCH("Var", D259)), VERI_TABANI!F23*(0.00202-VERI_TABANI!$B$16), IF(ISNUMBER(SEARCH("Gri", D259)), VERI_TABANI!F23*(0.00202-VERI_TABANI!$B$17), 0))) + ((VERI_TABANI!D24*B259*(VERI_TABANI!$B$13-VERI_TABANI!$B$14)) + (VERI_TABANI!D24*C259*(VERI_TABANI!$B$13-VERI_TABANI!$B$15)) + IF(ISNUMBER(SEARCH("Var", D259)), VERI_TABANI!F24*(0.00202-VERI_TABANI!$B$16), IF(ISNUMBER(SEARCH("Gri", D259)), VERI_TABANI!F24*(0.00202-VERI_TABANI!$B$17), 0))) + ((VERI_TABANI!D25*B259*(VERI_TABANI!$B$13-VERI_TABANI!$B$14)) + (VERI_TABANI!D25*C259*(VERI_TABANI!$B$13-VERI_TABANI!$B$15)) + IF(ISNUMBER(SEARCH("Var", D259)), VERI_TABANI!F25*(0.00202-VERI_TABANI!$B$16), IF(ISNUMBER(SEARCH("Gri", D259)), VERI_TABANI!F25*(0.00202-VERI_TABANI!$B$17), 0))) + ((VERI_TABANI!D26*B259*(VERI_TABANI!$B$13-VERI_TABANI!$B$14)) + (VERI_TABANI!D26*C259*(VERI_TABANI!$B$13-VERI_TABANI!$B$15)) + IF(ISNUMBER(SEARCH("Var", D259)), VERI_TABANI!F26*(0.00202-VERI_TABANI!$B$16), IF(ISNUMBER(SEARCH("Gri", D259)), VERI_TABANI!F26*(0.00202-VERI_TABANI!$B$17), 0))) + ((VERI_TABANI!D27*B259*(VERI_TABANI!$B$13-VERI_TABANI!$B$14)) + (VERI_TABANI!D27*C259*(VERI_TABANI!$B$13-VERI_TABANI!$B$15)) + IF(ISNUMBER(SEARCH("Var", D259)), VERI_TABANI!F27*(0.00202-VERI_TABANI!$B$16), IF(ISNUMBER(SEARCH("Gri", D259)), VERI_TABANI!F27*(0.00202-VERI_TABANI!$B$17), 0))) + ((VERI_TABANI!D28*B259*(VERI_TABANI!$B$13-VERI_TABANI!$B$14)) + (VERI_TABANI!D28*C259*(VERI_TABANI!$B$13-VERI_TABANI!$B$15)) + IF(ISNUMBER(SEARCH("Var", D259)), VERI_TABANI!F28*(0.00202-VERI_TABANI!$B$16), IF(ISNUMBER(SEARCH("Gri", D259)), VERI_TABANI!F28*(0.00202-VERI_TABANI!$B$17), 0))))</f>
        <v/>
      </c>
      <c r="I259" s="170">
        <f>IFERROR(((VERI_TABANI!$D$29*B259*VERI_TABANI!$B$14 + VERI_TABANI!$D$29*C259*VERI_TABANI!$B$15 + IF(ISNUMBER(SEARCH("Var", D259)), VERI_TABANI!$F$29*VERI_TABANI!$B$16, 0))) / (((VERI_TABANI!$D$29*B259 + VERI_TABANI!$D$29*C259)*VERI_TABANI!$B$13 + IF(ISNUMBER(SEARCH("Var", D259)), VERI_TABANI!$E$29*(1-0.928)*VERI_TABANI!$B$18, 0))), 0)</f>
        <v/>
      </c>
      <c r="J259" s="171">
        <f>IFERROR(F259/(G259/29), 0)</f>
        <v/>
      </c>
      <c r="K259" s="172">
        <f>IF(F259&gt;0, H259/F259, 0)</f>
        <v/>
      </c>
      <c r="L259" s="170">
        <f>IF(F259&gt;0, I259, 1000000000)</f>
        <v/>
      </c>
      <c r="M259" s="171">
        <f>ABS((B259+C259)-1)</f>
        <v/>
      </c>
      <c r="N259" s="170">
        <f>IF(F259&gt;0, (G259/29)/F259, 0)</f>
        <v/>
      </c>
      <c r="O259" s="168">
        <f>IF(AND((B259+C259)&gt;=1, ISNUMBER(SEARCH("Var", D259))), F259, 1000000000)</f>
        <v/>
      </c>
      <c r="P259" s="172">
        <f>IF(F259&gt;0, SQRT((F259/MAX(F$5:F$886))^2 + (1 - H259/MAX(H$5:H$886))^2 + (J259/MAX(J$5:J$886))^2), 1000000000)</f>
        <v/>
      </c>
      <c r="Q259" s="166">
        <f>IF(AND(ABS(B259-0.5)&lt;0.01, ABS(C259-0.5)&lt;0.01, ISNUMBER(SEARCH("Var", D259))), 1, 0)</f>
        <v/>
      </c>
      <c r="R259" s="171">
        <f>IF(F259&gt;0, J259, 1000000000)</f>
        <v/>
      </c>
      <c r="S259" s="101">
        <f>IF(AND(F259&lt;=DASHBOARD!$B$11, H259&gt;=DASHBOARD!$B$13), G259, -1000000000000)</f>
        <v/>
      </c>
      <c r="T259" s="101">
        <f>IF(AND(F259&lt;=DASHBOARD!$B$11, H259&gt;=DASHBOARD!$B$13), R259, 1000000000000)</f>
        <v/>
      </c>
      <c r="U259" s="101">
        <f>IF(AND(F259&lt;=DASHBOARD!$B$11, H259&gt;=DASHBOARD!$B$13), N259, -1000000000000)</f>
        <v/>
      </c>
      <c r="V259" s="101">
        <f>IF(AND(F259&lt;=DASHBOARD!$B$11, H259&gt;=DASHBOARD!$B$13), H259, -1000000000000)</f>
        <v/>
      </c>
      <c r="W259" s="101">
        <f>IF(AND(F259&lt;=DASHBOARD!$B$11, H259&gt;=DASHBOARD!$B$13), K259, -1000000000000)</f>
        <v/>
      </c>
      <c r="X259" s="101">
        <f>IF(AND(F259&lt;=DASHBOARD!$B$11, H259&gt;=DASHBOARD!$B$13), M259, 1000000000000)</f>
        <v/>
      </c>
      <c r="Y259" s="101">
        <f>IF(AND(F259&lt;=DASHBOARD!$B$10, H259&gt;=DASHBOARD!$B$11), L259, 1000000000000)</f>
        <v/>
      </c>
      <c r="Z259" s="101">
        <f>IF(AND(F259&lt;=DASHBOARD!$B$10, H259&gt;=DASHBOARD!$B$11), O259, 1000000000000)</f>
        <v/>
      </c>
      <c r="AA259" s="101">
        <f>IF(AND(F259&lt;=DASHBOARD!$B$10, H259&gt;=DASHBOARD!$B$11), P259, 1000000000000)</f>
        <v/>
      </c>
      <c r="AB259" s="101">
        <f>IF(AND(F259&lt;=DASHBOARD!$B$10, H259&gt;=DASHBOARD!$B$11), Q259, -1000000000000)</f>
        <v/>
      </c>
    </row>
    <row r="260" ht="15" customHeight="1" s="102">
      <c r="A260" s="166" t="n">
        <v>256</v>
      </c>
      <c r="B260" s="167" t="n">
        <v>0.6</v>
      </c>
      <c r="C260" s="167" t="n">
        <v>0.1</v>
      </c>
      <c r="D260" s="110" t="inlineStr">
        <is>
          <t>Var (%20)</t>
        </is>
      </c>
      <c r="E260" s="110">
        <f>IF((B260+C260)&lt;=1, "Tam Mahsuplaşma (≤%100)", "Kısmi Satış (&gt;%100)")</f>
        <v/>
      </c>
      <c r="F260" s="168">
        <f>((VERI_TABANI!$D$29*B260/VERI_TABANI!$B$29)/VERI_TABANI!$B$3)*VERI_TABANI!$B$5 + ((VERI_TABANI!$D$29*C260/VERI_TABANI!$B$29)/VERI_TABANI!$B$4)*VERI_TABANI!$B$6 + IF(ISNUMBER(SEARCH("Var", D260)), (VERI_TABANI!$F$29/VERI_TABANI!$B$29)*(VERI_TABANI!$B$10+VERI_TABANI!$B$12), 0)</f>
        <v/>
      </c>
      <c r="G260" s="168">
        <f>(((MIN(VERI_TABANI!D23, VERI_TABANI!D23*B260)*VERI_TABANI!$B$7 + MAX(0, VERI_TABANI!D23*B260-VERI_TABANI!D23)*VERI_TABANI!$B$8) + (MIN(MAX(0, VERI_TABANI!D23-VERI_TABANI!D23*B260), VERI_TABANI!D23*C260)*VERI_TABANI!$B$7 + MAX(0, VERI_TABANI!D23*C260-MAX(0, VERI_TABANI!D23-VERI_TABANI!D23*B260))*VERI_TABANI!$B$8) + IF(ABS(IF(ISNUMBER(SEARCH("Var", D260)), 1, IF(ISNUMBER(SEARCH("Gri", D260)), -1, 0)))=1, VERI_TABANI!E23*(1-0.928)*VERI_TABANI!$B$9, 0) + (VERI_TABANI!D23*B260*(VERI_TABANI!$B$13-VERI_TABANI!$B$14)*VERI_TABANI!G23) + (VERI_TABANI!D23*C260*(VERI_TABANI!$B$13-VERI_TABANI!$B$15)*VERI_TABANI!G23) + IF(ABS(IF(ISNUMBER(SEARCH("Var", D260)), 1, IF(ISNUMBER(SEARCH("Gri", D260)), -1, 0)))=1, VERI_TABANI!E23*(1-0.928)*0.00206091519919798*VERI_TABANI!G23, 0)) + ((MIN(VERI_TABANI!D24, VERI_TABANI!D24*B260)*VERI_TABANI!$B$7 + MAX(0, VERI_TABANI!D24*B260-VERI_TABANI!D24)*VERI_TABANI!$B$8) + (MIN(MAX(0, VERI_TABANI!D24-VERI_TABANI!D24*B260), VERI_TABANI!D24*C260)*VERI_TABANI!$B$7 + MAX(0, VERI_TABANI!D24*C260-MAX(0, VERI_TABANI!D24-VERI_TABANI!D24*B260))*VERI_TABANI!$B$8) + IF(ABS(IF(ISNUMBER(SEARCH("Var", D260)), 1, IF(ISNUMBER(SEARCH("Gri", D260)), -1, 0)))=1, VERI_TABANI!E24*(1-0.928)*VERI_TABANI!$B$9, 0) + (VERI_TABANI!D24*B260*(VERI_TABANI!$B$13-VERI_TABANI!$B$14)*VERI_TABANI!G24) + (VERI_TABANI!D24*C260*(VERI_TABANI!$B$13-VERI_TABANI!$B$15)*VERI_TABANI!G24) + IF(ABS(IF(ISNUMBER(SEARCH("Var", D260)), 1, IF(ISNUMBER(SEARCH("Gri", D260)), -1, 0)))=1, VERI_TABANI!E24*(1-0.928)*0.00206091519919798*VERI_TABANI!G24, 0)) + ((MIN(VERI_TABANI!D25, VERI_TABANI!D25*B260)*VERI_TABANI!$B$7 + MAX(0, VERI_TABANI!D25*B260-VERI_TABANI!D25)*VERI_TABANI!$B$8) + (MIN(MAX(0, VERI_TABANI!D25-VERI_TABANI!D25*B260), VERI_TABANI!D25*C260)*VERI_TABANI!$B$7 + MAX(0, VERI_TABANI!D25*C260-MAX(0, VERI_TABANI!D25-VERI_TABANI!D25*B260))*VERI_TABANI!$B$8) + IF(ABS(IF(ISNUMBER(SEARCH("Var", D260)), 1, IF(ISNUMBER(SEARCH("Gri", D260)), -1, 0)))=1, VERI_TABANI!E25*(1-0.928)*VERI_TABANI!$B$9, 0) + (VERI_TABANI!D25*B260*(VERI_TABANI!$B$13-VERI_TABANI!$B$14)*VERI_TABANI!G25) + (VERI_TABANI!D25*C260*(VERI_TABANI!$B$13-VERI_TABANI!$B$15)*VERI_TABANI!G25) + IF(ABS(IF(ISNUMBER(SEARCH("Var", D260)), 1, IF(ISNUMBER(SEARCH("Gri", D260)), -1, 0)))=1, VERI_TABANI!E25*(1-0.928)*0.00206091519919798*VERI_TABANI!G25, 0)) + ((MIN(VERI_TABANI!D26, VERI_TABANI!D26*B260)*VERI_TABANI!$B$7 + MAX(0, VERI_TABANI!D26*B260-VERI_TABANI!D26)*VERI_TABANI!$B$8) + (MIN(MAX(0, VERI_TABANI!D26-VERI_TABANI!D26*B260), VERI_TABANI!D26*C260)*VERI_TABANI!$B$7 + MAX(0, VERI_TABANI!D26*C260-MAX(0, VERI_TABANI!D26-VERI_TABANI!D26*B260))*VERI_TABANI!$B$8) + IF(ABS(IF(ISNUMBER(SEARCH("Var", D260)), 1, IF(ISNUMBER(SEARCH("Gri", D260)), -1, 0)))=1, VERI_TABANI!E26*(1-0.928)*VERI_TABANI!$B$9, 0) + (VERI_TABANI!D26*B260*(VERI_TABANI!$B$13-VERI_TABANI!$B$14)*VERI_TABANI!G26) + (VERI_TABANI!D26*C260*(VERI_TABANI!$B$13-VERI_TABANI!$B$15)*VERI_TABANI!G26) + IF(ABS(IF(ISNUMBER(SEARCH("Var", D260)), 1, IF(ISNUMBER(SEARCH("Gri", D260)), -1, 0)))=1, VERI_TABANI!E26*(1-0.928)*0.00206091519919798*VERI_TABANI!G26, 0)) + ((MIN(VERI_TABANI!D27, VERI_TABANI!D27*B260)*VERI_TABANI!$B$7 + MAX(0, VERI_TABANI!D27*B260-VERI_TABANI!D27)*VERI_TABANI!$B$8) + (MIN(MAX(0, VERI_TABANI!D27-VERI_TABANI!D27*B260), VERI_TABANI!D27*C260)*VERI_TABANI!$B$7 + MAX(0, VERI_TABANI!D27*C260-MAX(0, VERI_TABANI!D27-VERI_TABANI!D27*B260))*VERI_TABANI!$B$8) + IF(ABS(IF(ISNUMBER(SEARCH("Var", D260)), 1, IF(ISNUMBER(SEARCH("Gri", D260)), -1, 0)))=1, VERI_TABANI!E27*(1-0.928)*VERI_TABANI!$B$9, 0) + (VERI_TABANI!D27*B260*(VERI_TABANI!$B$13-VERI_TABANI!$B$14)*VERI_TABANI!G27) + (VERI_TABANI!D27*C260*(VERI_TABANI!$B$13-VERI_TABANI!$B$15)*VERI_TABANI!G27) + IF(ABS(IF(ISNUMBER(SEARCH("Var", D260)), 1, IF(ISNUMBER(SEARCH("Gri", D260)), -1, 0)))=1, VERI_TABANI!E27*(1-0.928)*0.00206091519919798*VERI_TABANI!G27, 0)) + ((MIN(VERI_TABANI!D28, VERI_TABANI!D28*B260)*VERI_TABANI!$B$7 + MAX(0, VERI_TABANI!D28*B260-VERI_TABANI!D28)*VERI_TABANI!$B$8) + (MIN(MAX(0, VERI_TABANI!D28-VERI_TABANI!D28*B260), VERI_TABANI!D28*C260)*VERI_TABANI!$B$7 + MAX(0, VERI_TABANI!D28*C260-MAX(0, VERI_TABANI!D28-VERI_TABANI!D28*B260))*VERI_TABANI!$B$8) + IF(ABS(IF(ISNUMBER(SEARCH("Var", D260)), 1, IF(ISNUMBER(SEARCH("Gri", D260)), -1, 0)))=1, VERI_TABANI!E28*(1-0.928)*VERI_TABANI!$B$9, 0) + (VERI_TABANI!D28*B260*(VERI_TABANI!$B$13-VERI_TABANI!$B$14)*VERI_TABANI!G28) + (VERI_TABANI!D28*C260*(VERI_TABANI!$B$13-VERI_TABANI!$B$15)*VERI_TABANI!G28) + IF(ABS(IF(ISNUMBER(SEARCH("Var", D260)), 1, IF(ISNUMBER(SEARCH("Gri", D260)), -1, 0)))=1, VERI_TABANI!E28*(1-0.928)*0.00206091519919798*VERI_TABANI!G28, 0)))</f>
        <v/>
      </c>
      <c r="H260" s="169">
        <f>(((VERI_TABANI!D23*B260*(VERI_TABANI!$B$13-VERI_TABANI!$B$14)) + (VERI_TABANI!D23*C260*(VERI_TABANI!$B$13-VERI_TABANI!$B$15)) + IF(ISNUMBER(SEARCH("Var", D260)), VERI_TABANI!F23*(0.00202-VERI_TABANI!$B$16), IF(ISNUMBER(SEARCH("Gri", D260)), VERI_TABANI!F23*(0.00202-VERI_TABANI!$B$17), 0))) + ((VERI_TABANI!D24*B260*(VERI_TABANI!$B$13-VERI_TABANI!$B$14)) + (VERI_TABANI!D24*C260*(VERI_TABANI!$B$13-VERI_TABANI!$B$15)) + IF(ISNUMBER(SEARCH("Var", D260)), VERI_TABANI!F24*(0.00202-VERI_TABANI!$B$16), IF(ISNUMBER(SEARCH("Gri", D260)), VERI_TABANI!F24*(0.00202-VERI_TABANI!$B$17), 0))) + ((VERI_TABANI!D25*B260*(VERI_TABANI!$B$13-VERI_TABANI!$B$14)) + (VERI_TABANI!D25*C260*(VERI_TABANI!$B$13-VERI_TABANI!$B$15)) + IF(ISNUMBER(SEARCH("Var", D260)), VERI_TABANI!F25*(0.00202-VERI_TABANI!$B$16), IF(ISNUMBER(SEARCH("Gri", D260)), VERI_TABANI!F25*(0.00202-VERI_TABANI!$B$17), 0))) + ((VERI_TABANI!D26*B260*(VERI_TABANI!$B$13-VERI_TABANI!$B$14)) + (VERI_TABANI!D26*C260*(VERI_TABANI!$B$13-VERI_TABANI!$B$15)) + IF(ISNUMBER(SEARCH("Var", D260)), VERI_TABANI!F26*(0.00202-VERI_TABANI!$B$16), IF(ISNUMBER(SEARCH("Gri", D260)), VERI_TABANI!F26*(0.00202-VERI_TABANI!$B$17), 0))) + ((VERI_TABANI!D27*B260*(VERI_TABANI!$B$13-VERI_TABANI!$B$14)) + (VERI_TABANI!D27*C260*(VERI_TABANI!$B$13-VERI_TABANI!$B$15)) + IF(ISNUMBER(SEARCH("Var", D260)), VERI_TABANI!F27*(0.00202-VERI_TABANI!$B$16), IF(ISNUMBER(SEARCH("Gri", D260)), VERI_TABANI!F27*(0.00202-VERI_TABANI!$B$17), 0))) + ((VERI_TABANI!D28*B260*(VERI_TABANI!$B$13-VERI_TABANI!$B$14)) + (VERI_TABANI!D28*C260*(VERI_TABANI!$B$13-VERI_TABANI!$B$15)) + IF(ISNUMBER(SEARCH("Var", D260)), VERI_TABANI!F28*(0.00202-VERI_TABANI!$B$16), IF(ISNUMBER(SEARCH("Gri", D260)), VERI_TABANI!F28*(0.00202-VERI_TABANI!$B$17), 0))))</f>
        <v/>
      </c>
      <c r="I260" s="170">
        <f>IFERROR(((VERI_TABANI!$D$29*B260*VERI_TABANI!$B$14 + VERI_TABANI!$D$29*C260*VERI_TABANI!$B$15 + IF(ISNUMBER(SEARCH("Var", D260)), VERI_TABANI!$F$29*VERI_TABANI!$B$16, 0))) / (((VERI_TABANI!$D$29*B260 + VERI_TABANI!$D$29*C260)*VERI_TABANI!$B$13 + IF(ISNUMBER(SEARCH("Var", D260)), VERI_TABANI!$E$29*(1-0.928)*VERI_TABANI!$B$18, 0))), 0)</f>
        <v/>
      </c>
      <c r="J260" s="171">
        <f>IFERROR(F260/(G260/29), 0)</f>
        <v/>
      </c>
      <c r="K260" s="172">
        <f>IF(F260&gt;0, H260/F260, 0)</f>
        <v/>
      </c>
      <c r="L260" s="170">
        <f>IF(F260&gt;0, I260, 1000000000)</f>
        <v/>
      </c>
      <c r="M260" s="171">
        <f>ABS((B260+C260)-1)</f>
        <v/>
      </c>
      <c r="N260" s="170">
        <f>IF(F260&gt;0, (G260/29)/F260, 0)</f>
        <v/>
      </c>
      <c r="O260" s="168">
        <f>IF(AND((B260+C260)&gt;=1, ISNUMBER(SEARCH("Var", D260))), F260, 1000000000)</f>
        <v/>
      </c>
      <c r="P260" s="172">
        <f>IF(F260&gt;0, SQRT((F260/MAX(F$5:F$886))^2 + (1 - H260/MAX(H$5:H$886))^2 + (J260/MAX(J$5:J$886))^2), 1000000000)</f>
        <v/>
      </c>
      <c r="Q260" s="166">
        <f>IF(AND(ABS(B260-0.5)&lt;0.01, ABS(C260-0.5)&lt;0.01, ISNUMBER(SEARCH("Var", D260))), 1, 0)</f>
        <v/>
      </c>
      <c r="R260" s="171">
        <f>IF(F260&gt;0, J260, 1000000000)</f>
        <v/>
      </c>
      <c r="S260" s="101">
        <f>IF(AND(F260&lt;=DASHBOARD!$B$11, H260&gt;=DASHBOARD!$B$13), G260, -1000000000000)</f>
        <v/>
      </c>
      <c r="T260" s="101">
        <f>IF(AND(F260&lt;=DASHBOARD!$B$11, H260&gt;=DASHBOARD!$B$13), R260, 1000000000000)</f>
        <v/>
      </c>
      <c r="U260" s="101">
        <f>IF(AND(F260&lt;=DASHBOARD!$B$11, H260&gt;=DASHBOARD!$B$13), N260, -1000000000000)</f>
        <v/>
      </c>
      <c r="V260" s="101">
        <f>IF(AND(F260&lt;=DASHBOARD!$B$11, H260&gt;=DASHBOARD!$B$13), H260, -1000000000000)</f>
        <v/>
      </c>
      <c r="W260" s="101">
        <f>IF(AND(F260&lt;=DASHBOARD!$B$11, H260&gt;=DASHBOARD!$B$13), K260, -1000000000000)</f>
        <v/>
      </c>
      <c r="X260" s="101">
        <f>IF(AND(F260&lt;=DASHBOARD!$B$11, H260&gt;=DASHBOARD!$B$13), M260, 1000000000000)</f>
        <v/>
      </c>
      <c r="Y260" s="101">
        <f>IF(AND(F260&lt;=DASHBOARD!$B$10, H260&gt;=DASHBOARD!$B$11), L260, 1000000000000)</f>
        <v/>
      </c>
      <c r="Z260" s="101">
        <f>IF(AND(F260&lt;=DASHBOARD!$B$10, H260&gt;=DASHBOARD!$B$11), O260, 1000000000000)</f>
        <v/>
      </c>
      <c r="AA260" s="101">
        <f>IF(AND(F260&lt;=DASHBOARD!$B$10, H260&gt;=DASHBOARD!$B$11), P260, 1000000000000)</f>
        <v/>
      </c>
      <c r="AB260" s="101">
        <f>IF(AND(F260&lt;=DASHBOARD!$B$10, H260&gt;=DASHBOARD!$B$11), Q260, -1000000000000)</f>
        <v/>
      </c>
    </row>
    <row r="261" ht="15" customHeight="1" s="102">
      <c r="A261" s="166" t="n">
        <v>257</v>
      </c>
      <c r="B261" s="167" t="n">
        <v>0.6</v>
      </c>
      <c r="C261" s="167" t="n">
        <v>0.2</v>
      </c>
      <c r="D261" s="110" t="inlineStr">
        <is>
          <t>Yok (%0)</t>
        </is>
      </c>
      <c r="E261" s="110">
        <f>IF((B261+C261)&lt;=1, "Tam Mahsuplaşma (≤%100)", "Kısmi Satış (&gt;%100)")</f>
        <v/>
      </c>
      <c r="F261" s="168">
        <f>((VERI_TABANI!$D$29*B261/VERI_TABANI!$B$29)/VERI_TABANI!$B$3)*VERI_TABANI!$B$5 + ((VERI_TABANI!$D$29*C261/VERI_TABANI!$B$29)/VERI_TABANI!$B$4)*VERI_TABANI!$B$6 + IF(ISNUMBER(SEARCH("Var", D261)), (VERI_TABANI!$F$29/VERI_TABANI!$B$29)*(VERI_TABANI!$B$10+VERI_TABANI!$B$12), 0)</f>
        <v/>
      </c>
      <c r="G261" s="168">
        <f>(((MIN(VERI_TABANI!D23, VERI_TABANI!D23*B261)*VERI_TABANI!$B$7 + MAX(0, VERI_TABANI!D23*B261-VERI_TABANI!D23)*VERI_TABANI!$B$8) + (MIN(MAX(0, VERI_TABANI!D23-VERI_TABANI!D23*B261), VERI_TABANI!D23*C261)*VERI_TABANI!$B$7 + MAX(0, VERI_TABANI!D23*C261-MAX(0, VERI_TABANI!D23-VERI_TABANI!D23*B261))*VERI_TABANI!$B$8) + IF(ABS(IF(ISNUMBER(SEARCH("Var", D261)), 1, IF(ISNUMBER(SEARCH("Gri", D261)), -1, 0)))=1, VERI_TABANI!E23*(1-0.928)*VERI_TABANI!$B$9, 0) + (VERI_TABANI!D23*B261*(VERI_TABANI!$B$13-VERI_TABANI!$B$14)*VERI_TABANI!G23) + (VERI_TABANI!D23*C261*(VERI_TABANI!$B$13-VERI_TABANI!$B$15)*VERI_TABANI!G23) + IF(ABS(IF(ISNUMBER(SEARCH("Var", D261)), 1, IF(ISNUMBER(SEARCH("Gri", D261)), -1, 0)))=1, VERI_TABANI!E23*(1-0.928)*0.00206091519919798*VERI_TABANI!G23, 0)) + ((MIN(VERI_TABANI!D24, VERI_TABANI!D24*B261)*VERI_TABANI!$B$7 + MAX(0, VERI_TABANI!D24*B261-VERI_TABANI!D24)*VERI_TABANI!$B$8) + (MIN(MAX(0, VERI_TABANI!D24-VERI_TABANI!D24*B261), VERI_TABANI!D24*C261)*VERI_TABANI!$B$7 + MAX(0, VERI_TABANI!D24*C261-MAX(0, VERI_TABANI!D24-VERI_TABANI!D24*B261))*VERI_TABANI!$B$8) + IF(ABS(IF(ISNUMBER(SEARCH("Var", D261)), 1, IF(ISNUMBER(SEARCH("Gri", D261)), -1, 0)))=1, VERI_TABANI!E24*(1-0.928)*VERI_TABANI!$B$9, 0) + (VERI_TABANI!D24*B261*(VERI_TABANI!$B$13-VERI_TABANI!$B$14)*VERI_TABANI!G24) + (VERI_TABANI!D24*C261*(VERI_TABANI!$B$13-VERI_TABANI!$B$15)*VERI_TABANI!G24) + IF(ABS(IF(ISNUMBER(SEARCH("Var", D261)), 1, IF(ISNUMBER(SEARCH("Gri", D261)), -1, 0)))=1, VERI_TABANI!E24*(1-0.928)*0.00206091519919798*VERI_TABANI!G24, 0)) + ((MIN(VERI_TABANI!D25, VERI_TABANI!D25*B261)*VERI_TABANI!$B$7 + MAX(0, VERI_TABANI!D25*B261-VERI_TABANI!D25)*VERI_TABANI!$B$8) + (MIN(MAX(0, VERI_TABANI!D25-VERI_TABANI!D25*B261), VERI_TABANI!D25*C261)*VERI_TABANI!$B$7 + MAX(0, VERI_TABANI!D25*C261-MAX(0, VERI_TABANI!D25-VERI_TABANI!D25*B261))*VERI_TABANI!$B$8) + IF(ABS(IF(ISNUMBER(SEARCH("Var", D261)), 1, IF(ISNUMBER(SEARCH("Gri", D261)), -1, 0)))=1, VERI_TABANI!E25*(1-0.928)*VERI_TABANI!$B$9, 0) + (VERI_TABANI!D25*B261*(VERI_TABANI!$B$13-VERI_TABANI!$B$14)*VERI_TABANI!G25) + (VERI_TABANI!D25*C261*(VERI_TABANI!$B$13-VERI_TABANI!$B$15)*VERI_TABANI!G25) + IF(ABS(IF(ISNUMBER(SEARCH("Var", D261)), 1, IF(ISNUMBER(SEARCH("Gri", D261)), -1, 0)))=1, VERI_TABANI!E25*(1-0.928)*0.00206091519919798*VERI_TABANI!G25, 0)) + ((MIN(VERI_TABANI!D26, VERI_TABANI!D26*B261)*VERI_TABANI!$B$7 + MAX(0, VERI_TABANI!D26*B261-VERI_TABANI!D26)*VERI_TABANI!$B$8) + (MIN(MAX(0, VERI_TABANI!D26-VERI_TABANI!D26*B261), VERI_TABANI!D26*C261)*VERI_TABANI!$B$7 + MAX(0, VERI_TABANI!D26*C261-MAX(0, VERI_TABANI!D26-VERI_TABANI!D26*B261))*VERI_TABANI!$B$8) + IF(ABS(IF(ISNUMBER(SEARCH("Var", D261)), 1, IF(ISNUMBER(SEARCH("Gri", D261)), -1, 0)))=1, VERI_TABANI!E26*(1-0.928)*VERI_TABANI!$B$9, 0) + (VERI_TABANI!D26*B261*(VERI_TABANI!$B$13-VERI_TABANI!$B$14)*VERI_TABANI!G26) + (VERI_TABANI!D26*C261*(VERI_TABANI!$B$13-VERI_TABANI!$B$15)*VERI_TABANI!G26) + IF(ABS(IF(ISNUMBER(SEARCH("Var", D261)), 1, IF(ISNUMBER(SEARCH("Gri", D261)), -1, 0)))=1, VERI_TABANI!E26*(1-0.928)*0.00206091519919798*VERI_TABANI!G26, 0)) + ((MIN(VERI_TABANI!D27, VERI_TABANI!D27*B261)*VERI_TABANI!$B$7 + MAX(0, VERI_TABANI!D27*B261-VERI_TABANI!D27)*VERI_TABANI!$B$8) + (MIN(MAX(0, VERI_TABANI!D27-VERI_TABANI!D27*B261), VERI_TABANI!D27*C261)*VERI_TABANI!$B$7 + MAX(0, VERI_TABANI!D27*C261-MAX(0, VERI_TABANI!D27-VERI_TABANI!D27*B261))*VERI_TABANI!$B$8) + IF(ABS(IF(ISNUMBER(SEARCH("Var", D261)), 1, IF(ISNUMBER(SEARCH("Gri", D261)), -1, 0)))=1, VERI_TABANI!E27*(1-0.928)*VERI_TABANI!$B$9, 0) + (VERI_TABANI!D27*B261*(VERI_TABANI!$B$13-VERI_TABANI!$B$14)*VERI_TABANI!G27) + (VERI_TABANI!D27*C261*(VERI_TABANI!$B$13-VERI_TABANI!$B$15)*VERI_TABANI!G27) + IF(ABS(IF(ISNUMBER(SEARCH("Var", D261)), 1, IF(ISNUMBER(SEARCH("Gri", D261)), -1, 0)))=1, VERI_TABANI!E27*(1-0.928)*0.00206091519919798*VERI_TABANI!G27, 0)) + ((MIN(VERI_TABANI!D28, VERI_TABANI!D28*B261)*VERI_TABANI!$B$7 + MAX(0, VERI_TABANI!D28*B261-VERI_TABANI!D28)*VERI_TABANI!$B$8) + (MIN(MAX(0, VERI_TABANI!D28-VERI_TABANI!D28*B261), VERI_TABANI!D28*C261)*VERI_TABANI!$B$7 + MAX(0, VERI_TABANI!D28*C261-MAX(0, VERI_TABANI!D28-VERI_TABANI!D28*B261))*VERI_TABANI!$B$8) + IF(ABS(IF(ISNUMBER(SEARCH("Var", D261)), 1, IF(ISNUMBER(SEARCH("Gri", D261)), -1, 0)))=1, VERI_TABANI!E28*(1-0.928)*VERI_TABANI!$B$9, 0) + (VERI_TABANI!D28*B261*(VERI_TABANI!$B$13-VERI_TABANI!$B$14)*VERI_TABANI!G28) + (VERI_TABANI!D28*C261*(VERI_TABANI!$B$13-VERI_TABANI!$B$15)*VERI_TABANI!G28) + IF(ABS(IF(ISNUMBER(SEARCH("Var", D261)), 1, IF(ISNUMBER(SEARCH("Gri", D261)), -1, 0)))=1, VERI_TABANI!E28*(1-0.928)*0.00206091519919798*VERI_TABANI!G28, 0)))</f>
        <v/>
      </c>
      <c r="H261" s="169">
        <f>(((VERI_TABANI!D23*B261*(VERI_TABANI!$B$13-VERI_TABANI!$B$14)) + (VERI_TABANI!D23*C261*(VERI_TABANI!$B$13-VERI_TABANI!$B$15)) + IF(ISNUMBER(SEARCH("Var", D261)), VERI_TABANI!F23*(0.00202-VERI_TABANI!$B$16), IF(ISNUMBER(SEARCH("Gri", D261)), VERI_TABANI!F23*(0.00202-VERI_TABANI!$B$17), 0))) + ((VERI_TABANI!D24*B261*(VERI_TABANI!$B$13-VERI_TABANI!$B$14)) + (VERI_TABANI!D24*C261*(VERI_TABANI!$B$13-VERI_TABANI!$B$15)) + IF(ISNUMBER(SEARCH("Var", D261)), VERI_TABANI!F24*(0.00202-VERI_TABANI!$B$16), IF(ISNUMBER(SEARCH("Gri", D261)), VERI_TABANI!F24*(0.00202-VERI_TABANI!$B$17), 0))) + ((VERI_TABANI!D25*B261*(VERI_TABANI!$B$13-VERI_TABANI!$B$14)) + (VERI_TABANI!D25*C261*(VERI_TABANI!$B$13-VERI_TABANI!$B$15)) + IF(ISNUMBER(SEARCH("Var", D261)), VERI_TABANI!F25*(0.00202-VERI_TABANI!$B$16), IF(ISNUMBER(SEARCH("Gri", D261)), VERI_TABANI!F25*(0.00202-VERI_TABANI!$B$17), 0))) + ((VERI_TABANI!D26*B261*(VERI_TABANI!$B$13-VERI_TABANI!$B$14)) + (VERI_TABANI!D26*C261*(VERI_TABANI!$B$13-VERI_TABANI!$B$15)) + IF(ISNUMBER(SEARCH("Var", D261)), VERI_TABANI!F26*(0.00202-VERI_TABANI!$B$16), IF(ISNUMBER(SEARCH("Gri", D261)), VERI_TABANI!F26*(0.00202-VERI_TABANI!$B$17), 0))) + ((VERI_TABANI!D27*B261*(VERI_TABANI!$B$13-VERI_TABANI!$B$14)) + (VERI_TABANI!D27*C261*(VERI_TABANI!$B$13-VERI_TABANI!$B$15)) + IF(ISNUMBER(SEARCH("Var", D261)), VERI_TABANI!F27*(0.00202-VERI_TABANI!$B$16), IF(ISNUMBER(SEARCH("Gri", D261)), VERI_TABANI!F27*(0.00202-VERI_TABANI!$B$17), 0))) + ((VERI_TABANI!D28*B261*(VERI_TABANI!$B$13-VERI_TABANI!$B$14)) + (VERI_TABANI!D28*C261*(VERI_TABANI!$B$13-VERI_TABANI!$B$15)) + IF(ISNUMBER(SEARCH("Var", D261)), VERI_TABANI!F28*(0.00202-VERI_TABANI!$B$16), IF(ISNUMBER(SEARCH("Gri", D261)), VERI_TABANI!F28*(0.00202-VERI_TABANI!$B$17), 0))))</f>
        <v/>
      </c>
      <c r="I261" s="170">
        <f>IFERROR(((VERI_TABANI!$D$29*B261*VERI_TABANI!$B$14 + VERI_TABANI!$D$29*C261*VERI_TABANI!$B$15 + IF(ISNUMBER(SEARCH("Var", D261)), VERI_TABANI!$F$29*VERI_TABANI!$B$16, 0))) / (((VERI_TABANI!$D$29*B261 + VERI_TABANI!$D$29*C261)*VERI_TABANI!$B$13 + IF(ISNUMBER(SEARCH("Var", D261)), VERI_TABANI!$E$29*(1-0.928)*VERI_TABANI!$B$18, 0))), 0)</f>
        <v/>
      </c>
      <c r="J261" s="171">
        <f>IFERROR(F261/(G261/29), 0)</f>
        <v/>
      </c>
      <c r="K261" s="172">
        <f>IF(F261&gt;0, H261/F261, 0)</f>
        <v/>
      </c>
      <c r="L261" s="170">
        <f>IF(F261&gt;0, I261, 1000000000)</f>
        <v/>
      </c>
      <c r="M261" s="171">
        <f>ABS((B261+C261)-1)</f>
        <v/>
      </c>
      <c r="N261" s="170">
        <f>IF(F261&gt;0, (G261/29)/F261, 0)</f>
        <v/>
      </c>
      <c r="O261" s="168">
        <f>IF(AND((B261+C261)&gt;=1, ISNUMBER(SEARCH("Var", D261))), F261, 1000000000)</f>
        <v/>
      </c>
      <c r="P261" s="172">
        <f>IF(F261&gt;0, SQRT((F261/MAX(F$5:F$886))^2 + (1 - H261/MAX(H$5:H$886))^2 + (J261/MAX(J$5:J$886))^2), 1000000000)</f>
        <v/>
      </c>
      <c r="Q261" s="166">
        <f>IF(AND(ABS(B261-0.5)&lt;0.01, ABS(C261-0.5)&lt;0.01, ISNUMBER(SEARCH("Var", D261))), 1, 0)</f>
        <v/>
      </c>
      <c r="R261" s="171">
        <f>IF(F261&gt;0, J261, 1000000000)</f>
        <v/>
      </c>
      <c r="S261" s="101">
        <f>IF(AND(F261&lt;=DASHBOARD!$B$11, H261&gt;=DASHBOARD!$B$13), G261, -1000000000000)</f>
        <v/>
      </c>
      <c r="T261" s="101">
        <f>IF(AND(F261&lt;=DASHBOARD!$B$11, H261&gt;=DASHBOARD!$B$13), R261, 1000000000000)</f>
        <v/>
      </c>
      <c r="U261" s="101">
        <f>IF(AND(F261&lt;=DASHBOARD!$B$11, H261&gt;=DASHBOARD!$B$13), N261, -1000000000000)</f>
        <v/>
      </c>
      <c r="V261" s="101">
        <f>IF(AND(F261&lt;=DASHBOARD!$B$11, H261&gt;=DASHBOARD!$B$13), H261, -1000000000000)</f>
        <v/>
      </c>
      <c r="W261" s="101">
        <f>IF(AND(F261&lt;=DASHBOARD!$B$11, H261&gt;=DASHBOARD!$B$13), K261, -1000000000000)</f>
        <v/>
      </c>
      <c r="X261" s="101">
        <f>IF(AND(F261&lt;=DASHBOARD!$B$11, H261&gt;=DASHBOARD!$B$13), M261, 1000000000000)</f>
        <v/>
      </c>
      <c r="Y261" s="101">
        <f>IF(AND(F261&lt;=DASHBOARD!$B$10, H261&gt;=DASHBOARD!$B$11), L261, 1000000000000)</f>
        <v/>
      </c>
      <c r="Z261" s="101">
        <f>IF(AND(F261&lt;=DASHBOARD!$B$10, H261&gt;=DASHBOARD!$B$11), O261, 1000000000000)</f>
        <v/>
      </c>
      <c r="AA261" s="101">
        <f>IF(AND(F261&lt;=DASHBOARD!$B$10, H261&gt;=DASHBOARD!$B$11), P261, 1000000000000)</f>
        <v/>
      </c>
      <c r="AB261" s="101">
        <f>IF(AND(F261&lt;=DASHBOARD!$B$10, H261&gt;=DASHBOARD!$B$11), Q261, -1000000000000)</f>
        <v/>
      </c>
    </row>
    <row r="262" ht="15" customHeight="1" s="102">
      <c r="A262" s="166" t="n">
        <v>258</v>
      </c>
      <c r="B262" s="167" t="n">
        <v>0.6</v>
      </c>
      <c r="C262" s="167" t="n">
        <v>0.2</v>
      </c>
      <c r="D262" s="110" t="inlineStr">
        <is>
          <t>Var (%20)</t>
        </is>
      </c>
      <c r="E262" s="110">
        <f>IF((B262+C262)&lt;=1, "Tam Mahsuplaşma (≤%100)", "Kısmi Satış (&gt;%100)")</f>
        <v/>
      </c>
      <c r="F262" s="168">
        <f>((VERI_TABANI!$D$29*B262/VERI_TABANI!$B$29)/VERI_TABANI!$B$3)*VERI_TABANI!$B$5 + ((VERI_TABANI!$D$29*C262/VERI_TABANI!$B$29)/VERI_TABANI!$B$4)*VERI_TABANI!$B$6 + IF(ISNUMBER(SEARCH("Var", D262)), (VERI_TABANI!$F$29/VERI_TABANI!$B$29)*(VERI_TABANI!$B$10+VERI_TABANI!$B$12), 0)</f>
        <v/>
      </c>
      <c r="G262" s="168">
        <f>(((MIN(VERI_TABANI!D23, VERI_TABANI!D23*B262)*VERI_TABANI!$B$7 + MAX(0, VERI_TABANI!D23*B262-VERI_TABANI!D23)*VERI_TABANI!$B$8) + (MIN(MAX(0, VERI_TABANI!D23-VERI_TABANI!D23*B262), VERI_TABANI!D23*C262)*VERI_TABANI!$B$7 + MAX(0, VERI_TABANI!D23*C262-MAX(0, VERI_TABANI!D23-VERI_TABANI!D23*B262))*VERI_TABANI!$B$8) + IF(ABS(IF(ISNUMBER(SEARCH("Var", D262)), 1, IF(ISNUMBER(SEARCH("Gri", D262)), -1, 0)))=1, VERI_TABANI!E23*(1-0.928)*VERI_TABANI!$B$9, 0) + (VERI_TABANI!D23*B262*(VERI_TABANI!$B$13-VERI_TABANI!$B$14)*VERI_TABANI!G23) + (VERI_TABANI!D23*C262*(VERI_TABANI!$B$13-VERI_TABANI!$B$15)*VERI_TABANI!G23) + IF(ABS(IF(ISNUMBER(SEARCH("Var", D262)), 1, IF(ISNUMBER(SEARCH("Gri", D262)), -1, 0)))=1, VERI_TABANI!E23*(1-0.928)*0.00206091519919798*VERI_TABANI!G23, 0)) + ((MIN(VERI_TABANI!D24, VERI_TABANI!D24*B262)*VERI_TABANI!$B$7 + MAX(0, VERI_TABANI!D24*B262-VERI_TABANI!D24)*VERI_TABANI!$B$8) + (MIN(MAX(0, VERI_TABANI!D24-VERI_TABANI!D24*B262), VERI_TABANI!D24*C262)*VERI_TABANI!$B$7 + MAX(0, VERI_TABANI!D24*C262-MAX(0, VERI_TABANI!D24-VERI_TABANI!D24*B262))*VERI_TABANI!$B$8) + IF(ABS(IF(ISNUMBER(SEARCH("Var", D262)), 1, IF(ISNUMBER(SEARCH("Gri", D262)), -1, 0)))=1, VERI_TABANI!E24*(1-0.928)*VERI_TABANI!$B$9, 0) + (VERI_TABANI!D24*B262*(VERI_TABANI!$B$13-VERI_TABANI!$B$14)*VERI_TABANI!G24) + (VERI_TABANI!D24*C262*(VERI_TABANI!$B$13-VERI_TABANI!$B$15)*VERI_TABANI!G24) + IF(ABS(IF(ISNUMBER(SEARCH("Var", D262)), 1, IF(ISNUMBER(SEARCH("Gri", D262)), -1, 0)))=1, VERI_TABANI!E24*(1-0.928)*0.00206091519919798*VERI_TABANI!G24, 0)) + ((MIN(VERI_TABANI!D25, VERI_TABANI!D25*B262)*VERI_TABANI!$B$7 + MAX(0, VERI_TABANI!D25*B262-VERI_TABANI!D25)*VERI_TABANI!$B$8) + (MIN(MAX(0, VERI_TABANI!D25-VERI_TABANI!D25*B262), VERI_TABANI!D25*C262)*VERI_TABANI!$B$7 + MAX(0, VERI_TABANI!D25*C262-MAX(0, VERI_TABANI!D25-VERI_TABANI!D25*B262))*VERI_TABANI!$B$8) + IF(ABS(IF(ISNUMBER(SEARCH("Var", D262)), 1, IF(ISNUMBER(SEARCH("Gri", D262)), -1, 0)))=1, VERI_TABANI!E25*(1-0.928)*VERI_TABANI!$B$9, 0) + (VERI_TABANI!D25*B262*(VERI_TABANI!$B$13-VERI_TABANI!$B$14)*VERI_TABANI!G25) + (VERI_TABANI!D25*C262*(VERI_TABANI!$B$13-VERI_TABANI!$B$15)*VERI_TABANI!G25) + IF(ABS(IF(ISNUMBER(SEARCH("Var", D262)), 1, IF(ISNUMBER(SEARCH("Gri", D262)), -1, 0)))=1, VERI_TABANI!E25*(1-0.928)*0.00206091519919798*VERI_TABANI!G25, 0)) + ((MIN(VERI_TABANI!D26, VERI_TABANI!D26*B262)*VERI_TABANI!$B$7 + MAX(0, VERI_TABANI!D26*B262-VERI_TABANI!D26)*VERI_TABANI!$B$8) + (MIN(MAX(0, VERI_TABANI!D26-VERI_TABANI!D26*B262), VERI_TABANI!D26*C262)*VERI_TABANI!$B$7 + MAX(0, VERI_TABANI!D26*C262-MAX(0, VERI_TABANI!D26-VERI_TABANI!D26*B262))*VERI_TABANI!$B$8) + IF(ABS(IF(ISNUMBER(SEARCH("Var", D262)), 1, IF(ISNUMBER(SEARCH("Gri", D262)), -1, 0)))=1, VERI_TABANI!E26*(1-0.928)*VERI_TABANI!$B$9, 0) + (VERI_TABANI!D26*B262*(VERI_TABANI!$B$13-VERI_TABANI!$B$14)*VERI_TABANI!G26) + (VERI_TABANI!D26*C262*(VERI_TABANI!$B$13-VERI_TABANI!$B$15)*VERI_TABANI!G26) + IF(ABS(IF(ISNUMBER(SEARCH("Var", D262)), 1, IF(ISNUMBER(SEARCH("Gri", D262)), -1, 0)))=1, VERI_TABANI!E26*(1-0.928)*0.00206091519919798*VERI_TABANI!G26, 0)) + ((MIN(VERI_TABANI!D27, VERI_TABANI!D27*B262)*VERI_TABANI!$B$7 + MAX(0, VERI_TABANI!D27*B262-VERI_TABANI!D27)*VERI_TABANI!$B$8) + (MIN(MAX(0, VERI_TABANI!D27-VERI_TABANI!D27*B262), VERI_TABANI!D27*C262)*VERI_TABANI!$B$7 + MAX(0, VERI_TABANI!D27*C262-MAX(0, VERI_TABANI!D27-VERI_TABANI!D27*B262))*VERI_TABANI!$B$8) + IF(ABS(IF(ISNUMBER(SEARCH("Var", D262)), 1, IF(ISNUMBER(SEARCH("Gri", D262)), -1, 0)))=1, VERI_TABANI!E27*(1-0.928)*VERI_TABANI!$B$9, 0) + (VERI_TABANI!D27*B262*(VERI_TABANI!$B$13-VERI_TABANI!$B$14)*VERI_TABANI!G27) + (VERI_TABANI!D27*C262*(VERI_TABANI!$B$13-VERI_TABANI!$B$15)*VERI_TABANI!G27) + IF(ABS(IF(ISNUMBER(SEARCH("Var", D262)), 1, IF(ISNUMBER(SEARCH("Gri", D262)), -1, 0)))=1, VERI_TABANI!E27*(1-0.928)*0.00206091519919798*VERI_TABANI!G27, 0)) + ((MIN(VERI_TABANI!D28, VERI_TABANI!D28*B262)*VERI_TABANI!$B$7 + MAX(0, VERI_TABANI!D28*B262-VERI_TABANI!D28)*VERI_TABANI!$B$8) + (MIN(MAX(0, VERI_TABANI!D28-VERI_TABANI!D28*B262), VERI_TABANI!D28*C262)*VERI_TABANI!$B$7 + MAX(0, VERI_TABANI!D28*C262-MAX(0, VERI_TABANI!D28-VERI_TABANI!D28*B262))*VERI_TABANI!$B$8) + IF(ABS(IF(ISNUMBER(SEARCH("Var", D262)), 1, IF(ISNUMBER(SEARCH("Gri", D262)), -1, 0)))=1, VERI_TABANI!E28*(1-0.928)*VERI_TABANI!$B$9, 0) + (VERI_TABANI!D28*B262*(VERI_TABANI!$B$13-VERI_TABANI!$B$14)*VERI_TABANI!G28) + (VERI_TABANI!D28*C262*(VERI_TABANI!$B$13-VERI_TABANI!$B$15)*VERI_TABANI!G28) + IF(ABS(IF(ISNUMBER(SEARCH("Var", D262)), 1, IF(ISNUMBER(SEARCH("Gri", D262)), -1, 0)))=1, VERI_TABANI!E28*(1-0.928)*0.00206091519919798*VERI_TABANI!G28, 0)))</f>
        <v/>
      </c>
      <c r="H262" s="169">
        <f>(((VERI_TABANI!D23*B262*(VERI_TABANI!$B$13-VERI_TABANI!$B$14)) + (VERI_TABANI!D23*C262*(VERI_TABANI!$B$13-VERI_TABANI!$B$15)) + IF(ISNUMBER(SEARCH("Var", D262)), VERI_TABANI!F23*(0.00202-VERI_TABANI!$B$16), IF(ISNUMBER(SEARCH("Gri", D262)), VERI_TABANI!F23*(0.00202-VERI_TABANI!$B$17), 0))) + ((VERI_TABANI!D24*B262*(VERI_TABANI!$B$13-VERI_TABANI!$B$14)) + (VERI_TABANI!D24*C262*(VERI_TABANI!$B$13-VERI_TABANI!$B$15)) + IF(ISNUMBER(SEARCH("Var", D262)), VERI_TABANI!F24*(0.00202-VERI_TABANI!$B$16), IF(ISNUMBER(SEARCH("Gri", D262)), VERI_TABANI!F24*(0.00202-VERI_TABANI!$B$17), 0))) + ((VERI_TABANI!D25*B262*(VERI_TABANI!$B$13-VERI_TABANI!$B$14)) + (VERI_TABANI!D25*C262*(VERI_TABANI!$B$13-VERI_TABANI!$B$15)) + IF(ISNUMBER(SEARCH("Var", D262)), VERI_TABANI!F25*(0.00202-VERI_TABANI!$B$16), IF(ISNUMBER(SEARCH("Gri", D262)), VERI_TABANI!F25*(0.00202-VERI_TABANI!$B$17), 0))) + ((VERI_TABANI!D26*B262*(VERI_TABANI!$B$13-VERI_TABANI!$B$14)) + (VERI_TABANI!D26*C262*(VERI_TABANI!$B$13-VERI_TABANI!$B$15)) + IF(ISNUMBER(SEARCH("Var", D262)), VERI_TABANI!F26*(0.00202-VERI_TABANI!$B$16), IF(ISNUMBER(SEARCH("Gri", D262)), VERI_TABANI!F26*(0.00202-VERI_TABANI!$B$17), 0))) + ((VERI_TABANI!D27*B262*(VERI_TABANI!$B$13-VERI_TABANI!$B$14)) + (VERI_TABANI!D27*C262*(VERI_TABANI!$B$13-VERI_TABANI!$B$15)) + IF(ISNUMBER(SEARCH("Var", D262)), VERI_TABANI!F27*(0.00202-VERI_TABANI!$B$16), IF(ISNUMBER(SEARCH("Gri", D262)), VERI_TABANI!F27*(0.00202-VERI_TABANI!$B$17), 0))) + ((VERI_TABANI!D28*B262*(VERI_TABANI!$B$13-VERI_TABANI!$B$14)) + (VERI_TABANI!D28*C262*(VERI_TABANI!$B$13-VERI_TABANI!$B$15)) + IF(ISNUMBER(SEARCH("Var", D262)), VERI_TABANI!F28*(0.00202-VERI_TABANI!$B$16), IF(ISNUMBER(SEARCH("Gri", D262)), VERI_TABANI!F28*(0.00202-VERI_TABANI!$B$17), 0))))</f>
        <v/>
      </c>
      <c r="I262" s="170">
        <f>IFERROR(((VERI_TABANI!$D$29*B262*VERI_TABANI!$B$14 + VERI_TABANI!$D$29*C262*VERI_TABANI!$B$15 + IF(ISNUMBER(SEARCH("Var", D262)), VERI_TABANI!$F$29*VERI_TABANI!$B$16, 0))) / (((VERI_TABANI!$D$29*B262 + VERI_TABANI!$D$29*C262)*VERI_TABANI!$B$13 + IF(ISNUMBER(SEARCH("Var", D262)), VERI_TABANI!$E$29*(1-0.928)*VERI_TABANI!$B$18, 0))), 0)</f>
        <v/>
      </c>
      <c r="J262" s="171">
        <f>IFERROR(F262/(G262/29), 0)</f>
        <v/>
      </c>
      <c r="K262" s="172">
        <f>IF(F262&gt;0, H262/F262, 0)</f>
        <v/>
      </c>
      <c r="L262" s="170">
        <f>IF(F262&gt;0, I262, 1000000000)</f>
        <v/>
      </c>
      <c r="M262" s="171">
        <f>ABS((B262+C262)-1)</f>
        <v/>
      </c>
      <c r="N262" s="170">
        <f>IF(F262&gt;0, (G262/29)/F262, 0)</f>
        <v/>
      </c>
      <c r="O262" s="168">
        <f>IF(AND((B262+C262)&gt;=1, ISNUMBER(SEARCH("Var", D262))), F262, 1000000000)</f>
        <v/>
      </c>
      <c r="P262" s="172">
        <f>IF(F262&gt;0, SQRT((F262/MAX(F$5:F$886))^2 + (1 - H262/MAX(H$5:H$886))^2 + (J262/MAX(J$5:J$886))^2), 1000000000)</f>
        <v/>
      </c>
      <c r="Q262" s="166">
        <f>IF(AND(ABS(B262-0.5)&lt;0.01, ABS(C262-0.5)&lt;0.01, ISNUMBER(SEARCH("Var", D262))), 1, 0)</f>
        <v/>
      </c>
      <c r="R262" s="171">
        <f>IF(F262&gt;0, J262, 1000000000)</f>
        <v/>
      </c>
      <c r="S262" s="101">
        <f>IF(AND(F262&lt;=DASHBOARD!$B$11, H262&gt;=DASHBOARD!$B$13), G262, -1000000000000)</f>
        <v/>
      </c>
      <c r="T262" s="101">
        <f>IF(AND(F262&lt;=DASHBOARD!$B$11, H262&gt;=DASHBOARD!$B$13), R262, 1000000000000)</f>
        <v/>
      </c>
      <c r="U262" s="101">
        <f>IF(AND(F262&lt;=DASHBOARD!$B$11, H262&gt;=DASHBOARD!$B$13), N262, -1000000000000)</f>
        <v/>
      </c>
      <c r="V262" s="101">
        <f>IF(AND(F262&lt;=DASHBOARD!$B$11, H262&gt;=DASHBOARD!$B$13), H262, -1000000000000)</f>
        <v/>
      </c>
      <c r="W262" s="101">
        <f>IF(AND(F262&lt;=DASHBOARD!$B$11, H262&gt;=DASHBOARD!$B$13), K262, -1000000000000)</f>
        <v/>
      </c>
      <c r="X262" s="101">
        <f>IF(AND(F262&lt;=DASHBOARD!$B$11, H262&gt;=DASHBOARD!$B$13), M262, 1000000000000)</f>
        <v/>
      </c>
      <c r="Y262" s="101">
        <f>IF(AND(F262&lt;=DASHBOARD!$B$10, H262&gt;=DASHBOARD!$B$11), L262, 1000000000000)</f>
        <v/>
      </c>
      <c r="Z262" s="101">
        <f>IF(AND(F262&lt;=DASHBOARD!$B$10, H262&gt;=DASHBOARD!$B$11), O262, 1000000000000)</f>
        <v/>
      </c>
      <c r="AA262" s="101">
        <f>IF(AND(F262&lt;=DASHBOARD!$B$10, H262&gt;=DASHBOARD!$B$11), P262, 1000000000000)</f>
        <v/>
      </c>
      <c r="AB262" s="101">
        <f>IF(AND(F262&lt;=DASHBOARD!$B$10, H262&gt;=DASHBOARD!$B$11), Q262, -1000000000000)</f>
        <v/>
      </c>
    </row>
    <row r="263" ht="15" customHeight="1" s="102">
      <c r="A263" s="166" t="n">
        <v>259</v>
      </c>
      <c r="B263" s="167" t="n">
        <v>0.6</v>
      </c>
      <c r="C263" s="167" t="n">
        <v>0.3</v>
      </c>
      <c r="D263" s="110" t="inlineStr">
        <is>
          <t>Yok (%0)</t>
        </is>
      </c>
      <c r="E263" s="110">
        <f>IF((B263+C263)&lt;=1, "Tam Mahsuplaşma (≤%100)", "Kısmi Satış (&gt;%100)")</f>
        <v/>
      </c>
      <c r="F263" s="168">
        <f>((VERI_TABANI!$D$29*B263/VERI_TABANI!$B$29)/VERI_TABANI!$B$3)*VERI_TABANI!$B$5 + ((VERI_TABANI!$D$29*C263/VERI_TABANI!$B$29)/VERI_TABANI!$B$4)*VERI_TABANI!$B$6 + IF(ISNUMBER(SEARCH("Var", D263)), (VERI_TABANI!$F$29/VERI_TABANI!$B$29)*(VERI_TABANI!$B$10+VERI_TABANI!$B$12), 0)</f>
        <v/>
      </c>
      <c r="G263" s="168">
        <f>(((MIN(VERI_TABANI!D23, VERI_TABANI!D23*B263)*VERI_TABANI!$B$7 + MAX(0, VERI_TABANI!D23*B263-VERI_TABANI!D23)*VERI_TABANI!$B$8) + (MIN(MAX(0, VERI_TABANI!D23-VERI_TABANI!D23*B263), VERI_TABANI!D23*C263)*VERI_TABANI!$B$7 + MAX(0, VERI_TABANI!D23*C263-MAX(0, VERI_TABANI!D23-VERI_TABANI!D23*B263))*VERI_TABANI!$B$8) + IF(ABS(IF(ISNUMBER(SEARCH("Var", D263)), 1, IF(ISNUMBER(SEARCH("Gri", D263)), -1, 0)))=1, VERI_TABANI!E23*(1-0.928)*VERI_TABANI!$B$9, 0) + (VERI_TABANI!D23*B263*(VERI_TABANI!$B$13-VERI_TABANI!$B$14)*VERI_TABANI!G23) + (VERI_TABANI!D23*C263*(VERI_TABANI!$B$13-VERI_TABANI!$B$15)*VERI_TABANI!G23) + IF(ABS(IF(ISNUMBER(SEARCH("Var", D263)), 1, IF(ISNUMBER(SEARCH("Gri", D263)), -1, 0)))=1, VERI_TABANI!E23*(1-0.928)*0.00206091519919798*VERI_TABANI!G23, 0)) + ((MIN(VERI_TABANI!D24, VERI_TABANI!D24*B263)*VERI_TABANI!$B$7 + MAX(0, VERI_TABANI!D24*B263-VERI_TABANI!D24)*VERI_TABANI!$B$8) + (MIN(MAX(0, VERI_TABANI!D24-VERI_TABANI!D24*B263), VERI_TABANI!D24*C263)*VERI_TABANI!$B$7 + MAX(0, VERI_TABANI!D24*C263-MAX(0, VERI_TABANI!D24-VERI_TABANI!D24*B263))*VERI_TABANI!$B$8) + IF(ABS(IF(ISNUMBER(SEARCH("Var", D263)), 1, IF(ISNUMBER(SEARCH("Gri", D263)), -1, 0)))=1, VERI_TABANI!E24*(1-0.928)*VERI_TABANI!$B$9, 0) + (VERI_TABANI!D24*B263*(VERI_TABANI!$B$13-VERI_TABANI!$B$14)*VERI_TABANI!G24) + (VERI_TABANI!D24*C263*(VERI_TABANI!$B$13-VERI_TABANI!$B$15)*VERI_TABANI!G24) + IF(ABS(IF(ISNUMBER(SEARCH("Var", D263)), 1, IF(ISNUMBER(SEARCH("Gri", D263)), -1, 0)))=1, VERI_TABANI!E24*(1-0.928)*0.00206091519919798*VERI_TABANI!G24, 0)) + ((MIN(VERI_TABANI!D25, VERI_TABANI!D25*B263)*VERI_TABANI!$B$7 + MAX(0, VERI_TABANI!D25*B263-VERI_TABANI!D25)*VERI_TABANI!$B$8) + (MIN(MAX(0, VERI_TABANI!D25-VERI_TABANI!D25*B263), VERI_TABANI!D25*C263)*VERI_TABANI!$B$7 + MAX(0, VERI_TABANI!D25*C263-MAX(0, VERI_TABANI!D25-VERI_TABANI!D25*B263))*VERI_TABANI!$B$8) + IF(ABS(IF(ISNUMBER(SEARCH("Var", D263)), 1, IF(ISNUMBER(SEARCH("Gri", D263)), -1, 0)))=1, VERI_TABANI!E25*(1-0.928)*VERI_TABANI!$B$9, 0) + (VERI_TABANI!D25*B263*(VERI_TABANI!$B$13-VERI_TABANI!$B$14)*VERI_TABANI!G25) + (VERI_TABANI!D25*C263*(VERI_TABANI!$B$13-VERI_TABANI!$B$15)*VERI_TABANI!G25) + IF(ABS(IF(ISNUMBER(SEARCH("Var", D263)), 1, IF(ISNUMBER(SEARCH("Gri", D263)), -1, 0)))=1, VERI_TABANI!E25*(1-0.928)*0.00206091519919798*VERI_TABANI!G25, 0)) + ((MIN(VERI_TABANI!D26, VERI_TABANI!D26*B263)*VERI_TABANI!$B$7 + MAX(0, VERI_TABANI!D26*B263-VERI_TABANI!D26)*VERI_TABANI!$B$8) + (MIN(MAX(0, VERI_TABANI!D26-VERI_TABANI!D26*B263), VERI_TABANI!D26*C263)*VERI_TABANI!$B$7 + MAX(0, VERI_TABANI!D26*C263-MAX(0, VERI_TABANI!D26-VERI_TABANI!D26*B263))*VERI_TABANI!$B$8) + IF(ABS(IF(ISNUMBER(SEARCH("Var", D263)), 1, IF(ISNUMBER(SEARCH("Gri", D263)), -1, 0)))=1, VERI_TABANI!E26*(1-0.928)*VERI_TABANI!$B$9, 0) + (VERI_TABANI!D26*B263*(VERI_TABANI!$B$13-VERI_TABANI!$B$14)*VERI_TABANI!G26) + (VERI_TABANI!D26*C263*(VERI_TABANI!$B$13-VERI_TABANI!$B$15)*VERI_TABANI!G26) + IF(ABS(IF(ISNUMBER(SEARCH("Var", D263)), 1, IF(ISNUMBER(SEARCH("Gri", D263)), -1, 0)))=1, VERI_TABANI!E26*(1-0.928)*0.00206091519919798*VERI_TABANI!G26, 0)) + ((MIN(VERI_TABANI!D27, VERI_TABANI!D27*B263)*VERI_TABANI!$B$7 + MAX(0, VERI_TABANI!D27*B263-VERI_TABANI!D27)*VERI_TABANI!$B$8) + (MIN(MAX(0, VERI_TABANI!D27-VERI_TABANI!D27*B263), VERI_TABANI!D27*C263)*VERI_TABANI!$B$7 + MAX(0, VERI_TABANI!D27*C263-MAX(0, VERI_TABANI!D27-VERI_TABANI!D27*B263))*VERI_TABANI!$B$8) + IF(ABS(IF(ISNUMBER(SEARCH("Var", D263)), 1, IF(ISNUMBER(SEARCH("Gri", D263)), -1, 0)))=1, VERI_TABANI!E27*(1-0.928)*VERI_TABANI!$B$9, 0) + (VERI_TABANI!D27*B263*(VERI_TABANI!$B$13-VERI_TABANI!$B$14)*VERI_TABANI!G27) + (VERI_TABANI!D27*C263*(VERI_TABANI!$B$13-VERI_TABANI!$B$15)*VERI_TABANI!G27) + IF(ABS(IF(ISNUMBER(SEARCH("Var", D263)), 1, IF(ISNUMBER(SEARCH("Gri", D263)), -1, 0)))=1, VERI_TABANI!E27*(1-0.928)*0.00206091519919798*VERI_TABANI!G27, 0)) + ((MIN(VERI_TABANI!D28, VERI_TABANI!D28*B263)*VERI_TABANI!$B$7 + MAX(0, VERI_TABANI!D28*B263-VERI_TABANI!D28)*VERI_TABANI!$B$8) + (MIN(MAX(0, VERI_TABANI!D28-VERI_TABANI!D28*B263), VERI_TABANI!D28*C263)*VERI_TABANI!$B$7 + MAX(0, VERI_TABANI!D28*C263-MAX(0, VERI_TABANI!D28-VERI_TABANI!D28*B263))*VERI_TABANI!$B$8) + IF(ABS(IF(ISNUMBER(SEARCH("Var", D263)), 1, IF(ISNUMBER(SEARCH("Gri", D263)), -1, 0)))=1, VERI_TABANI!E28*(1-0.928)*VERI_TABANI!$B$9, 0) + (VERI_TABANI!D28*B263*(VERI_TABANI!$B$13-VERI_TABANI!$B$14)*VERI_TABANI!G28) + (VERI_TABANI!D28*C263*(VERI_TABANI!$B$13-VERI_TABANI!$B$15)*VERI_TABANI!G28) + IF(ABS(IF(ISNUMBER(SEARCH("Var", D263)), 1, IF(ISNUMBER(SEARCH("Gri", D263)), -1, 0)))=1, VERI_TABANI!E28*(1-0.928)*0.00206091519919798*VERI_TABANI!G28, 0)))</f>
        <v/>
      </c>
      <c r="H263" s="169">
        <f>(((VERI_TABANI!D23*B263*(VERI_TABANI!$B$13-VERI_TABANI!$B$14)) + (VERI_TABANI!D23*C263*(VERI_TABANI!$B$13-VERI_TABANI!$B$15)) + IF(ISNUMBER(SEARCH("Var", D263)), VERI_TABANI!F23*(0.00202-VERI_TABANI!$B$16), IF(ISNUMBER(SEARCH("Gri", D263)), VERI_TABANI!F23*(0.00202-VERI_TABANI!$B$17), 0))) + ((VERI_TABANI!D24*B263*(VERI_TABANI!$B$13-VERI_TABANI!$B$14)) + (VERI_TABANI!D24*C263*(VERI_TABANI!$B$13-VERI_TABANI!$B$15)) + IF(ISNUMBER(SEARCH("Var", D263)), VERI_TABANI!F24*(0.00202-VERI_TABANI!$B$16), IF(ISNUMBER(SEARCH("Gri", D263)), VERI_TABANI!F24*(0.00202-VERI_TABANI!$B$17), 0))) + ((VERI_TABANI!D25*B263*(VERI_TABANI!$B$13-VERI_TABANI!$B$14)) + (VERI_TABANI!D25*C263*(VERI_TABANI!$B$13-VERI_TABANI!$B$15)) + IF(ISNUMBER(SEARCH("Var", D263)), VERI_TABANI!F25*(0.00202-VERI_TABANI!$B$16), IF(ISNUMBER(SEARCH("Gri", D263)), VERI_TABANI!F25*(0.00202-VERI_TABANI!$B$17), 0))) + ((VERI_TABANI!D26*B263*(VERI_TABANI!$B$13-VERI_TABANI!$B$14)) + (VERI_TABANI!D26*C263*(VERI_TABANI!$B$13-VERI_TABANI!$B$15)) + IF(ISNUMBER(SEARCH("Var", D263)), VERI_TABANI!F26*(0.00202-VERI_TABANI!$B$16), IF(ISNUMBER(SEARCH("Gri", D263)), VERI_TABANI!F26*(0.00202-VERI_TABANI!$B$17), 0))) + ((VERI_TABANI!D27*B263*(VERI_TABANI!$B$13-VERI_TABANI!$B$14)) + (VERI_TABANI!D27*C263*(VERI_TABANI!$B$13-VERI_TABANI!$B$15)) + IF(ISNUMBER(SEARCH("Var", D263)), VERI_TABANI!F27*(0.00202-VERI_TABANI!$B$16), IF(ISNUMBER(SEARCH("Gri", D263)), VERI_TABANI!F27*(0.00202-VERI_TABANI!$B$17), 0))) + ((VERI_TABANI!D28*B263*(VERI_TABANI!$B$13-VERI_TABANI!$B$14)) + (VERI_TABANI!D28*C263*(VERI_TABANI!$B$13-VERI_TABANI!$B$15)) + IF(ISNUMBER(SEARCH("Var", D263)), VERI_TABANI!F28*(0.00202-VERI_TABANI!$B$16), IF(ISNUMBER(SEARCH("Gri", D263)), VERI_TABANI!F28*(0.00202-VERI_TABANI!$B$17), 0))))</f>
        <v/>
      </c>
      <c r="I263" s="170">
        <f>IFERROR(((VERI_TABANI!$D$29*B263*VERI_TABANI!$B$14 + VERI_TABANI!$D$29*C263*VERI_TABANI!$B$15 + IF(ISNUMBER(SEARCH("Var", D263)), VERI_TABANI!$F$29*VERI_TABANI!$B$16, 0))) / (((VERI_TABANI!$D$29*B263 + VERI_TABANI!$D$29*C263)*VERI_TABANI!$B$13 + IF(ISNUMBER(SEARCH("Var", D263)), VERI_TABANI!$E$29*(1-0.928)*VERI_TABANI!$B$18, 0))), 0)</f>
        <v/>
      </c>
      <c r="J263" s="171">
        <f>IFERROR(F263/(G263/29), 0)</f>
        <v/>
      </c>
      <c r="K263" s="172">
        <f>IF(F263&gt;0, H263/F263, 0)</f>
        <v/>
      </c>
      <c r="L263" s="170">
        <f>IF(F263&gt;0, I263, 1000000000)</f>
        <v/>
      </c>
      <c r="M263" s="171">
        <f>ABS((B263+C263)-1)</f>
        <v/>
      </c>
      <c r="N263" s="170">
        <f>IF(F263&gt;0, (G263/29)/F263, 0)</f>
        <v/>
      </c>
      <c r="O263" s="168">
        <f>IF(AND((B263+C263)&gt;=1, ISNUMBER(SEARCH("Var", D263))), F263, 1000000000)</f>
        <v/>
      </c>
      <c r="P263" s="172">
        <f>IF(F263&gt;0, SQRT((F263/MAX(F$5:F$886))^2 + (1 - H263/MAX(H$5:H$886))^2 + (J263/MAX(J$5:J$886))^2), 1000000000)</f>
        <v/>
      </c>
      <c r="Q263" s="166">
        <f>IF(AND(ABS(B263-0.5)&lt;0.01, ABS(C263-0.5)&lt;0.01, ISNUMBER(SEARCH("Var", D263))), 1, 0)</f>
        <v/>
      </c>
      <c r="R263" s="171">
        <f>IF(F263&gt;0, J263, 1000000000)</f>
        <v/>
      </c>
      <c r="S263" s="101">
        <f>IF(AND(F263&lt;=DASHBOARD!$B$11, H263&gt;=DASHBOARD!$B$13), G263, -1000000000000)</f>
        <v/>
      </c>
      <c r="T263" s="101">
        <f>IF(AND(F263&lt;=DASHBOARD!$B$11, H263&gt;=DASHBOARD!$B$13), R263, 1000000000000)</f>
        <v/>
      </c>
      <c r="U263" s="101">
        <f>IF(AND(F263&lt;=DASHBOARD!$B$11, H263&gt;=DASHBOARD!$B$13), N263, -1000000000000)</f>
        <v/>
      </c>
      <c r="V263" s="101">
        <f>IF(AND(F263&lt;=DASHBOARD!$B$11, H263&gt;=DASHBOARD!$B$13), H263, -1000000000000)</f>
        <v/>
      </c>
      <c r="W263" s="101">
        <f>IF(AND(F263&lt;=DASHBOARD!$B$11, H263&gt;=DASHBOARD!$B$13), K263, -1000000000000)</f>
        <v/>
      </c>
      <c r="X263" s="101">
        <f>IF(AND(F263&lt;=DASHBOARD!$B$11, H263&gt;=DASHBOARD!$B$13), M263, 1000000000000)</f>
        <v/>
      </c>
      <c r="Y263" s="101">
        <f>IF(AND(F263&lt;=DASHBOARD!$B$10, H263&gt;=DASHBOARD!$B$11), L263, 1000000000000)</f>
        <v/>
      </c>
      <c r="Z263" s="101">
        <f>IF(AND(F263&lt;=DASHBOARD!$B$10, H263&gt;=DASHBOARD!$B$11), O263, 1000000000000)</f>
        <v/>
      </c>
      <c r="AA263" s="101">
        <f>IF(AND(F263&lt;=DASHBOARD!$B$10, H263&gt;=DASHBOARD!$B$11), P263, 1000000000000)</f>
        <v/>
      </c>
      <c r="AB263" s="101">
        <f>IF(AND(F263&lt;=DASHBOARD!$B$10, H263&gt;=DASHBOARD!$B$11), Q263, -1000000000000)</f>
        <v/>
      </c>
    </row>
    <row r="264" ht="15" customHeight="1" s="102">
      <c r="A264" s="166" t="n">
        <v>260</v>
      </c>
      <c r="B264" s="167" t="n">
        <v>0.6</v>
      </c>
      <c r="C264" s="167" t="n">
        <v>0.3</v>
      </c>
      <c r="D264" s="110" t="inlineStr">
        <is>
          <t>Var (%20)</t>
        </is>
      </c>
      <c r="E264" s="110">
        <f>IF((B264+C264)&lt;=1, "Tam Mahsuplaşma (≤%100)", "Kısmi Satış (&gt;%100)")</f>
        <v/>
      </c>
      <c r="F264" s="168">
        <f>((VERI_TABANI!$D$29*B264/VERI_TABANI!$B$29)/VERI_TABANI!$B$3)*VERI_TABANI!$B$5 + ((VERI_TABANI!$D$29*C264/VERI_TABANI!$B$29)/VERI_TABANI!$B$4)*VERI_TABANI!$B$6 + IF(ISNUMBER(SEARCH("Var", D264)), (VERI_TABANI!$F$29/VERI_TABANI!$B$29)*(VERI_TABANI!$B$10+VERI_TABANI!$B$12), 0)</f>
        <v/>
      </c>
      <c r="G264" s="168">
        <f>(((MIN(VERI_TABANI!D23, VERI_TABANI!D23*B264)*VERI_TABANI!$B$7 + MAX(0, VERI_TABANI!D23*B264-VERI_TABANI!D23)*VERI_TABANI!$B$8) + (MIN(MAX(0, VERI_TABANI!D23-VERI_TABANI!D23*B264), VERI_TABANI!D23*C264)*VERI_TABANI!$B$7 + MAX(0, VERI_TABANI!D23*C264-MAX(0, VERI_TABANI!D23-VERI_TABANI!D23*B264))*VERI_TABANI!$B$8) + IF(ABS(IF(ISNUMBER(SEARCH("Var", D264)), 1, IF(ISNUMBER(SEARCH("Gri", D264)), -1, 0)))=1, VERI_TABANI!E23*(1-0.928)*VERI_TABANI!$B$9, 0) + (VERI_TABANI!D23*B264*(VERI_TABANI!$B$13-VERI_TABANI!$B$14)*VERI_TABANI!G23) + (VERI_TABANI!D23*C264*(VERI_TABANI!$B$13-VERI_TABANI!$B$15)*VERI_TABANI!G23) + IF(ABS(IF(ISNUMBER(SEARCH("Var", D264)), 1, IF(ISNUMBER(SEARCH("Gri", D264)), -1, 0)))=1, VERI_TABANI!E23*(1-0.928)*0.00206091519919798*VERI_TABANI!G23, 0)) + ((MIN(VERI_TABANI!D24, VERI_TABANI!D24*B264)*VERI_TABANI!$B$7 + MAX(0, VERI_TABANI!D24*B264-VERI_TABANI!D24)*VERI_TABANI!$B$8) + (MIN(MAX(0, VERI_TABANI!D24-VERI_TABANI!D24*B264), VERI_TABANI!D24*C264)*VERI_TABANI!$B$7 + MAX(0, VERI_TABANI!D24*C264-MAX(0, VERI_TABANI!D24-VERI_TABANI!D24*B264))*VERI_TABANI!$B$8) + IF(ABS(IF(ISNUMBER(SEARCH("Var", D264)), 1, IF(ISNUMBER(SEARCH("Gri", D264)), -1, 0)))=1, VERI_TABANI!E24*(1-0.928)*VERI_TABANI!$B$9, 0) + (VERI_TABANI!D24*B264*(VERI_TABANI!$B$13-VERI_TABANI!$B$14)*VERI_TABANI!G24) + (VERI_TABANI!D24*C264*(VERI_TABANI!$B$13-VERI_TABANI!$B$15)*VERI_TABANI!G24) + IF(ABS(IF(ISNUMBER(SEARCH("Var", D264)), 1, IF(ISNUMBER(SEARCH("Gri", D264)), -1, 0)))=1, VERI_TABANI!E24*(1-0.928)*0.00206091519919798*VERI_TABANI!G24, 0)) + ((MIN(VERI_TABANI!D25, VERI_TABANI!D25*B264)*VERI_TABANI!$B$7 + MAX(0, VERI_TABANI!D25*B264-VERI_TABANI!D25)*VERI_TABANI!$B$8) + (MIN(MAX(0, VERI_TABANI!D25-VERI_TABANI!D25*B264), VERI_TABANI!D25*C264)*VERI_TABANI!$B$7 + MAX(0, VERI_TABANI!D25*C264-MAX(0, VERI_TABANI!D25-VERI_TABANI!D25*B264))*VERI_TABANI!$B$8) + IF(ABS(IF(ISNUMBER(SEARCH("Var", D264)), 1, IF(ISNUMBER(SEARCH("Gri", D264)), -1, 0)))=1, VERI_TABANI!E25*(1-0.928)*VERI_TABANI!$B$9, 0) + (VERI_TABANI!D25*B264*(VERI_TABANI!$B$13-VERI_TABANI!$B$14)*VERI_TABANI!G25) + (VERI_TABANI!D25*C264*(VERI_TABANI!$B$13-VERI_TABANI!$B$15)*VERI_TABANI!G25) + IF(ABS(IF(ISNUMBER(SEARCH("Var", D264)), 1, IF(ISNUMBER(SEARCH("Gri", D264)), -1, 0)))=1, VERI_TABANI!E25*(1-0.928)*0.00206091519919798*VERI_TABANI!G25, 0)) + ((MIN(VERI_TABANI!D26, VERI_TABANI!D26*B264)*VERI_TABANI!$B$7 + MAX(0, VERI_TABANI!D26*B264-VERI_TABANI!D26)*VERI_TABANI!$B$8) + (MIN(MAX(0, VERI_TABANI!D26-VERI_TABANI!D26*B264), VERI_TABANI!D26*C264)*VERI_TABANI!$B$7 + MAX(0, VERI_TABANI!D26*C264-MAX(0, VERI_TABANI!D26-VERI_TABANI!D26*B264))*VERI_TABANI!$B$8) + IF(ABS(IF(ISNUMBER(SEARCH("Var", D264)), 1, IF(ISNUMBER(SEARCH("Gri", D264)), -1, 0)))=1, VERI_TABANI!E26*(1-0.928)*VERI_TABANI!$B$9, 0) + (VERI_TABANI!D26*B264*(VERI_TABANI!$B$13-VERI_TABANI!$B$14)*VERI_TABANI!G26) + (VERI_TABANI!D26*C264*(VERI_TABANI!$B$13-VERI_TABANI!$B$15)*VERI_TABANI!G26) + IF(ABS(IF(ISNUMBER(SEARCH("Var", D264)), 1, IF(ISNUMBER(SEARCH("Gri", D264)), -1, 0)))=1, VERI_TABANI!E26*(1-0.928)*0.00206091519919798*VERI_TABANI!G26, 0)) + ((MIN(VERI_TABANI!D27, VERI_TABANI!D27*B264)*VERI_TABANI!$B$7 + MAX(0, VERI_TABANI!D27*B264-VERI_TABANI!D27)*VERI_TABANI!$B$8) + (MIN(MAX(0, VERI_TABANI!D27-VERI_TABANI!D27*B264), VERI_TABANI!D27*C264)*VERI_TABANI!$B$7 + MAX(0, VERI_TABANI!D27*C264-MAX(0, VERI_TABANI!D27-VERI_TABANI!D27*B264))*VERI_TABANI!$B$8) + IF(ABS(IF(ISNUMBER(SEARCH("Var", D264)), 1, IF(ISNUMBER(SEARCH("Gri", D264)), -1, 0)))=1, VERI_TABANI!E27*(1-0.928)*VERI_TABANI!$B$9, 0) + (VERI_TABANI!D27*B264*(VERI_TABANI!$B$13-VERI_TABANI!$B$14)*VERI_TABANI!G27) + (VERI_TABANI!D27*C264*(VERI_TABANI!$B$13-VERI_TABANI!$B$15)*VERI_TABANI!G27) + IF(ABS(IF(ISNUMBER(SEARCH("Var", D264)), 1, IF(ISNUMBER(SEARCH("Gri", D264)), -1, 0)))=1, VERI_TABANI!E27*(1-0.928)*0.00206091519919798*VERI_TABANI!G27, 0)) + ((MIN(VERI_TABANI!D28, VERI_TABANI!D28*B264)*VERI_TABANI!$B$7 + MAX(0, VERI_TABANI!D28*B264-VERI_TABANI!D28)*VERI_TABANI!$B$8) + (MIN(MAX(0, VERI_TABANI!D28-VERI_TABANI!D28*B264), VERI_TABANI!D28*C264)*VERI_TABANI!$B$7 + MAX(0, VERI_TABANI!D28*C264-MAX(0, VERI_TABANI!D28-VERI_TABANI!D28*B264))*VERI_TABANI!$B$8) + IF(ABS(IF(ISNUMBER(SEARCH("Var", D264)), 1, IF(ISNUMBER(SEARCH("Gri", D264)), -1, 0)))=1, VERI_TABANI!E28*(1-0.928)*VERI_TABANI!$B$9, 0) + (VERI_TABANI!D28*B264*(VERI_TABANI!$B$13-VERI_TABANI!$B$14)*VERI_TABANI!G28) + (VERI_TABANI!D28*C264*(VERI_TABANI!$B$13-VERI_TABANI!$B$15)*VERI_TABANI!G28) + IF(ABS(IF(ISNUMBER(SEARCH("Var", D264)), 1, IF(ISNUMBER(SEARCH("Gri", D264)), -1, 0)))=1, VERI_TABANI!E28*(1-0.928)*0.00206091519919798*VERI_TABANI!G28, 0)))</f>
        <v/>
      </c>
      <c r="H264" s="169">
        <f>(((VERI_TABANI!D23*B264*(VERI_TABANI!$B$13-VERI_TABANI!$B$14)) + (VERI_TABANI!D23*C264*(VERI_TABANI!$B$13-VERI_TABANI!$B$15)) + IF(ISNUMBER(SEARCH("Var", D264)), VERI_TABANI!F23*(0.00202-VERI_TABANI!$B$16), IF(ISNUMBER(SEARCH("Gri", D264)), VERI_TABANI!F23*(0.00202-VERI_TABANI!$B$17), 0))) + ((VERI_TABANI!D24*B264*(VERI_TABANI!$B$13-VERI_TABANI!$B$14)) + (VERI_TABANI!D24*C264*(VERI_TABANI!$B$13-VERI_TABANI!$B$15)) + IF(ISNUMBER(SEARCH("Var", D264)), VERI_TABANI!F24*(0.00202-VERI_TABANI!$B$16), IF(ISNUMBER(SEARCH("Gri", D264)), VERI_TABANI!F24*(0.00202-VERI_TABANI!$B$17), 0))) + ((VERI_TABANI!D25*B264*(VERI_TABANI!$B$13-VERI_TABANI!$B$14)) + (VERI_TABANI!D25*C264*(VERI_TABANI!$B$13-VERI_TABANI!$B$15)) + IF(ISNUMBER(SEARCH("Var", D264)), VERI_TABANI!F25*(0.00202-VERI_TABANI!$B$16), IF(ISNUMBER(SEARCH("Gri", D264)), VERI_TABANI!F25*(0.00202-VERI_TABANI!$B$17), 0))) + ((VERI_TABANI!D26*B264*(VERI_TABANI!$B$13-VERI_TABANI!$B$14)) + (VERI_TABANI!D26*C264*(VERI_TABANI!$B$13-VERI_TABANI!$B$15)) + IF(ISNUMBER(SEARCH("Var", D264)), VERI_TABANI!F26*(0.00202-VERI_TABANI!$B$16), IF(ISNUMBER(SEARCH("Gri", D264)), VERI_TABANI!F26*(0.00202-VERI_TABANI!$B$17), 0))) + ((VERI_TABANI!D27*B264*(VERI_TABANI!$B$13-VERI_TABANI!$B$14)) + (VERI_TABANI!D27*C264*(VERI_TABANI!$B$13-VERI_TABANI!$B$15)) + IF(ISNUMBER(SEARCH("Var", D264)), VERI_TABANI!F27*(0.00202-VERI_TABANI!$B$16), IF(ISNUMBER(SEARCH("Gri", D264)), VERI_TABANI!F27*(0.00202-VERI_TABANI!$B$17), 0))) + ((VERI_TABANI!D28*B264*(VERI_TABANI!$B$13-VERI_TABANI!$B$14)) + (VERI_TABANI!D28*C264*(VERI_TABANI!$B$13-VERI_TABANI!$B$15)) + IF(ISNUMBER(SEARCH("Var", D264)), VERI_TABANI!F28*(0.00202-VERI_TABANI!$B$16), IF(ISNUMBER(SEARCH("Gri", D264)), VERI_TABANI!F28*(0.00202-VERI_TABANI!$B$17), 0))))</f>
        <v/>
      </c>
      <c r="I264" s="170">
        <f>IFERROR(((VERI_TABANI!$D$29*B264*VERI_TABANI!$B$14 + VERI_TABANI!$D$29*C264*VERI_TABANI!$B$15 + IF(ISNUMBER(SEARCH("Var", D264)), VERI_TABANI!$F$29*VERI_TABANI!$B$16, 0))) / (((VERI_TABANI!$D$29*B264 + VERI_TABANI!$D$29*C264)*VERI_TABANI!$B$13 + IF(ISNUMBER(SEARCH("Var", D264)), VERI_TABANI!$E$29*(1-0.928)*VERI_TABANI!$B$18, 0))), 0)</f>
        <v/>
      </c>
      <c r="J264" s="171">
        <f>IFERROR(F264/(G264/29), 0)</f>
        <v/>
      </c>
      <c r="K264" s="172">
        <f>IF(F264&gt;0, H264/F264, 0)</f>
        <v/>
      </c>
      <c r="L264" s="170">
        <f>IF(F264&gt;0, I264, 1000000000)</f>
        <v/>
      </c>
      <c r="M264" s="171">
        <f>ABS((B264+C264)-1)</f>
        <v/>
      </c>
      <c r="N264" s="170">
        <f>IF(F264&gt;0, (G264/29)/F264, 0)</f>
        <v/>
      </c>
      <c r="O264" s="168">
        <f>IF(AND((B264+C264)&gt;=1, ISNUMBER(SEARCH("Var", D264))), F264, 1000000000)</f>
        <v/>
      </c>
      <c r="P264" s="172">
        <f>IF(F264&gt;0, SQRT((F264/MAX(F$5:F$886))^2 + (1 - H264/MAX(H$5:H$886))^2 + (J264/MAX(J$5:J$886))^2), 1000000000)</f>
        <v/>
      </c>
      <c r="Q264" s="166">
        <f>IF(AND(ABS(B264-0.5)&lt;0.01, ABS(C264-0.5)&lt;0.01, ISNUMBER(SEARCH("Var", D264))), 1, 0)</f>
        <v/>
      </c>
      <c r="R264" s="171">
        <f>IF(F264&gt;0, J264, 1000000000)</f>
        <v/>
      </c>
      <c r="S264" s="101">
        <f>IF(AND(F264&lt;=DASHBOARD!$B$11, H264&gt;=DASHBOARD!$B$13), G264, -1000000000000)</f>
        <v/>
      </c>
      <c r="T264" s="101">
        <f>IF(AND(F264&lt;=DASHBOARD!$B$11, H264&gt;=DASHBOARD!$B$13), R264, 1000000000000)</f>
        <v/>
      </c>
      <c r="U264" s="101">
        <f>IF(AND(F264&lt;=DASHBOARD!$B$11, H264&gt;=DASHBOARD!$B$13), N264, -1000000000000)</f>
        <v/>
      </c>
      <c r="V264" s="101">
        <f>IF(AND(F264&lt;=DASHBOARD!$B$11, H264&gt;=DASHBOARD!$B$13), H264, -1000000000000)</f>
        <v/>
      </c>
      <c r="W264" s="101">
        <f>IF(AND(F264&lt;=DASHBOARD!$B$11, H264&gt;=DASHBOARD!$B$13), K264, -1000000000000)</f>
        <v/>
      </c>
      <c r="X264" s="101">
        <f>IF(AND(F264&lt;=DASHBOARD!$B$11, H264&gt;=DASHBOARD!$B$13), M264, 1000000000000)</f>
        <v/>
      </c>
      <c r="Y264" s="101">
        <f>IF(AND(F264&lt;=DASHBOARD!$B$10, H264&gt;=DASHBOARD!$B$11), L264, 1000000000000)</f>
        <v/>
      </c>
      <c r="Z264" s="101">
        <f>IF(AND(F264&lt;=DASHBOARD!$B$10, H264&gt;=DASHBOARD!$B$11), O264, 1000000000000)</f>
        <v/>
      </c>
      <c r="AA264" s="101">
        <f>IF(AND(F264&lt;=DASHBOARD!$B$10, H264&gt;=DASHBOARD!$B$11), P264, 1000000000000)</f>
        <v/>
      </c>
      <c r="AB264" s="101">
        <f>IF(AND(F264&lt;=DASHBOARD!$B$10, H264&gt;=DASHBOARD!$B$11), Q264, -1000000000000)</f>
        <v/>
      </c>
    </row>
    <row r="265" ht="15" customHeight="1" s="102">
      <c r="A265" s="166" t="n">
        <v>261</v>
      </c>
      <c r="B265" s="167" t="n">
        <v>0.6</v>
      </c>
      <c r="C265" s="167" t="n">
        <v>0.4</v>
      </c>
      <c r="D265" s="110" t="inlineStr">
        <is>
          <t>Yok (%0)</t>
        </is>
      </c>
      <c r="E265" s="110">
        <f>IF((B265+C265)&lt;=1, "Tam Mahsuplaşma (≤%100)", "Kısmi Satış (&gt;%100)")</f>
        <v/>
      </c>
      <c r="F265" s="168">
        <f>((VERI_TABANI!$D$29*B265/VERI_TABANI!$B$29)/VERI_TABANI!$B$3)*VERI_TABANI!$B$5 + ((VERI_TABANI!$D$29*C265/VERI_TABANI!$B$29)/VERI_TABANI!$B$4)*VERI_TABANI!$B$6 + IF(ISNUMBER(SEARCH("Var", D265)), (VERI_TABANI!$F$29/VERI_TABANI!$B$29)*(VERI_TABANI!$B$10+VERI_TABANI!$B$12), 0)</f>
        <v/>
      </c>
      <c r="G265" s="168">
        <f>(((MIN(VERI_TABANI!D23, VERI_TABANI!D23*B265)*VERI_TABANI!$B$7 + MAX(0, VERI_TABANI!D23*B265-VERI_TABANI!D23)*VERI_TABANI!$B$8) + (MIN(MAX(0, VERI_TABANI!D23-VERI_TABANI!D23*B265), VERI_TABANI!D23*C265)*VERI_TABANI!$B$7 + MAX(0, VERI_TABANI!D23*C265-MAX(0, VERI_TABANI!D23-VERI_TABANI!D23*B265))*VERI_TABANI!$B$8) + IF(ABS(IF(ISNUMBER(SEARCH("Var", D265)), 1, IF(ISNUMBER(SEARCH("Gri", D265)), -1, 0)))=1, VERI_TABANI!E23*(1-0.928)*VERI_TABANI!$B$9, 0) + (VERI_TABANI!D23*B265*(VERI_TABANI!$B$13-VERI_TABANI!$B$14)*VERI_TABANI!G23) + (VERI_TABANI!D23*C265*(VERI_TABANI!$B$13-VERI_TABANI!$B$15)*VERI_TABANI!G23) + IF(ABS(IF(ISNUMBER(SEARCH("Var", D265)), 1, IF(ISNUMBER(SEARCH("Gri", D265)), -1, 0)))=1, VERI_TABANI!E23*(1-0.928)*0.00206091519919798*VERI_TABANI!G23, 0)) + ((MIN(VERI_TABANI!D24, VERI_TABANI!D24*B265)*VERI_TABANI!$B$7 + MAX(0, VERI_TABANI!D24*B265-VERI_TABANI!D24)*VERI_TABANI!$B$8) + (MIN(MAX(0, VERI_TABANI!D24-VERI_TABANI!D24*B265), VERI_TABANI!D24*C265)*VERI_TABANI!$B$7 + MAX(0, VERI_TABANI!D24*C265-MAX(0, VERI_TABANI!D24-VERI_TABANI!D24*B265))*VERI_TABANI!$B$8) + IF(ABS(IF(ISNUMBER(SEARCH("Var", D265)), 1, IF(ISNUMBER(SEARCH("Gri", D265)), -1, 0)))=1, VERI_TABANI!E24*(1-0.928)*VERI_TABANI!$B$9, 0) + (VERI_TABANI!D24*B265*(VERI_TABANI!$B$13-VERI_TABANI!$B$14)*VERI_TABANI!G24) + (VERI_TABANI!D24*C265*(VERI_TABANI!$B$13-VERI_TABANI!$B$15)*VERI_TABANI!G24) + IF(ABS(IF(ISNUMBER(SEARCH("Var", D265)), 1, IF(ISNUMBER(SEARCH("Gri", D265)), -1, 0)))=1, VERI_TABANI!E24*(1-0.928)*0.00206091519919798*VERI_TABANI!G24, 0)) + ((MIN(VERI_TABANI!D25, VERI_TABANI!D25*B265)*VERI_TABANI!$B$7 + MAX(0, VERI_TABANI!D25*B265-VERI_TABANI!D25)*VERI_TABANI!$B$8) + (MIN(MAX(0, VERI_TABANI!D25-VERI_TABANI!D25*B265), VERI_TABANI!D25*C265)*VERI_TABANI!$B$7 + MAX(0, VERI_TABANI!D25*C265-MAX(0, VERI_TABANI!D25-VERI_TABANI!D25*B265))*VERI_TABANI!$B$8) + IF(ABS(IF(ISNUMBER(SEARCH("Var", D265)), 1, IF(ISNUMBER(SEARCH("Gri", D265)), -1, 0)))=1, VERI_TABANI!E25*(1-0.928)*VERI_TABANI!$B$9, 0) + (VERI_TABANI!D25*B265*(VERI_TABANI!$B$13-VERI_TABANI!$B$14)*VERI_TABANI!G25) + (VERI_TABANI!D25*C265*(VERI_TABANI!$B$13-VERI_TABANI!$B$15)*VERI_TABANI!G25) + IF(ABS(IF(ISNUMBER(SEARCH("Var", D265)), 1, IF(ISNUMBER(SEARCH("Gri", D265)), -1, 0)))=1, VERI_TABANI!E25*(1-0.928)*0.00206091519919798*VERI_TABANI!G25, 0)) + ((MIN(VERI_TABANI!D26, VERI_TABANI!D26*B265)*VERI_TABANI!$B$7 + MAX(0, VERI_TABANI!D26*B265-VERI_TABANI!D26)*VERI_TABANI!$B$8) + (MIN(MAX(0, VERI_TABANI!D26-VERI_TABANI!D26*B265), VERI_TABANI!D26*C265)*VERI_TABANI!$B$7 + MAX(0, VERI_TABANI!D26*C265-MAX(0, VERI_TABANI!D26-VERI_TABANI!D26*B265))*VERI_TABANI!$B$8) + IF(ABS(IF(ISNUMBER(SEARCH("Var", D265)), 1, IF(ISNUMBER(SEARCH("Gri", D265)), -1, 0)))=1, VERI_TABANI!E26*(1-0.928)*VERI_TABANI!$B$9, 0) + (VERI_TABANI!D26*B265*(VERI_TABANI!$B$13-VERI_TABANI!$B$14)*VERI_TABANI!G26) + (VERI_TABANI!D26*C265*(VERI_TABANI!$B$13-VERI_TABANI!$B$15)*VERI_TABANI!G26) + IF(ABS(IF(ISNUMBER(SEARCH("Var", D265)), 1, IF(ISNUMBER(SEARCH("Gri", D265)), -1, 0)))=1, VERI_TABANI!E26*(1-0.928)*0.00206091519919798*VERI_TABANI!G26, 0)) + ((MIN(VERI_TABANI!D27, VERI_TABANI!D27*B265)*VERI_TABANI!$B$7 + MAX(0, VERI_TABANI!D27*B265-VERI_TABANI!D27)*VERI_TABANI!$B$8) + (MIN(MAX(0, VERI_TABANI!D27-VERI_TABANI!D27*B265), VERI_TABANI!D27*C265)*VERI_TABANI!$B$7 + MAX(0, VERI_TABANI!D27*C265-MAX(0, VERI_TABANI!D27-VERI_TABANI!D27*B265))*VERI_TABANI!$B$8) + IF(ABS(IF(ISNUMBER(SEARCH("Var", D265)), 1, IF(ISNUMBER(SEARCH("Gri", D265)), -1, 0)))=1, VERI_TABANI!E27*(1-0.928)*VERI_TABANI!$B$9, 0) + (VERI_TABANI!D27*B265*(VERI_TABANI!$B$13-VERI_TABANI!$B$14)*VERI_TABANI!G27) + (VERI_TABANI!D27*C265*(VERI_TABANI!$B$13-VERI_TABANI!$B$15)*VERI_TABANI!G27) + IF(ABS(IF(ISNUMBER(SEARCH("Var", D265)), 1, IF(ISNUMBER(SEARCH("Gri", D265)), -1, 0)))=1, VERI_TABANI!E27*(1-0.928)*0.00206091519919798*VERI_TABANI!G27, 0)) + ((MIN(VERI_TABANI!D28, VERI_TABANI!D28*B265)*VERI_TABANI!$B$7 + MAX(0, VERI_TABANI!D28*B265-VERI_TABANI!D28)*VERI_TABANI!$B$8) + (MIN(MAX(0, VERI_TABANI!D28-VERI_TABANI!D28*B265), VERI_TABANI!D28*C265)*VERI_TABANI!$B$7 + MAX(0, VERI_TABANI!D28*C265-MAX(0, VERI_TABANI!D28-VERI_TABANI!D28*B265))*VERI_TABANI!$B$8) + IF(ABS(IF(ISNUMBER(SEARCH("Var", D265)), 1, IF(ISNUMBER(SEARCH("Gri", D265)), -1, 0)))=1, VERI_TABANI!E28*(1-0.928)*VERI_TABANI!$B$9, 0) + (VERI_TABANI!D28*B265*(VERI_TABANI!$B$13-VERI_TABANI!$B$14)*VERI_TABANI!G28) + (VERI_TABANI!D28*C265*(VERI_TABANI!$B$13-VERI_TABANI!$B$15)*VERI_TABANI!G28) + IF(ABS(IF(ISNUMBER(SEARCH("Var", D265)), 1, IF(ISNUMBER(SEARCH("Gri", D265)), -1, 0)))=1, VERI_TABANI!E28*(1-0.928)*0.00206091519919798*VERI_TABANI!G28, 0)))</f>
        <v/>
      </c>
      <c r="H265" s="169">
        <f>(((VERI_TABANI!D23*B265*(VERI_TABANI!$B$13-VERI_TABANI!$B$14)) + (VERI_TABANI!D23*C265*(VERI_TABANI!$B$13-VERI_TABANI!$B$15)) + IF(ISNUMBER(SEARCH("Var", D265)), VERI_TABANI!F23*(0.00202-VERI_TABANI!$B$16), IF(ISNUMBER(SEARCH("Gri", D265)), VERI_TABANI!F23*(0.00202-VERI_TABANI!$B$17), 0))) + ((VERI_TABANI!D24*B265*(VERI_TABANI!$B$13-VERI_TABANI!$B$14)) + (VERI_TABANI!D24*C265*(VERI_TABANI!$B$13-VERI_TABANI!$B$15)) + IF(ISNUMBER(SEARCH("Var", D265)), VERI_TABANI!F24*(0.00202-VERI_TABANI!$B$16), IF(ISNUMBER(SEARCH("Gri", D265)), VERI_TABANI!F24*(0.00202-VERI_TABANI!$B$17), 0))) + ((VERI_TABANI!D25*B265*(VERI_TABANI!$B$13-VERI_TABANI!$B$14)) + (VERI_TABANI!D25*C265*(VERI_TABANI!$B$13-VERI_TABANI!$B$15)) + IF(ISNUMBER(SEARCH("Var", D265)), VERI_TABANI!F25*(0.00202-VERI_TABANI!$B$16), IF(ISNUMBER(SEARCH("Gri", D265)), VERI_TABANI!F25*(0.00202-VERI_TABANI!$B$17), 0))) + ((VERI_TABANI!D26*B265*(VERI_TABANI!$B$13-VERI_TABANI!$B$14)) + (VERI_TABANI!D26*C265*(VERI_TABANI!$B$13-VERI_TABANI!$B$15)) + IF(ISNUMBER(SEARCH("Var", D265)), VERI_TABANI!F26*(0.00202-VERI_TABANI!$B$16), IF(ISNUMBER(SEARCH("Gri", D265)), VERI_TABANI!F26*(0.00202-VERI_TABANI!$B$17), 0))) + ((VERI_TABANI!D27*B265*(VERI_TABANI!$B$13-VERI_TABANI!$B$14)) + (VERI_TABANI!D27*C265*(VERI_TABANI!$B$13-VERI_TABANI!$B$15)) + IF(ISNUMBER(SEARCH("Var", D265)), VERI_TABANI!F27*(0.00202-VERI_TABANI!$B$16), IF(ISNUMBER(SEARCH("Gri", D265)), VERI_TABANI!F27*(0.00202-VERI_TABANI!$B$17), 0))) + ((VERI_TABANI!D28*B265*(VERI_TABANI!$B$13-VERI_TABANI!$B$14)) + (VERI_TABANI!D28*C265*(VERI_TABANI!$B$13-VERI_TABANI!$B$15)) + IF(ISNUMBER(SEARCH("Var", D265)), VERI_TABANI!F28*(0.00202-VERI_TABANI!$B$16), IF(ISNUMBER(SEARCH("Gri", D265)), VERI_TABANI!F28*(0.00202-VERI_TABANI!$B$17), 0))))</f>
        <v/>
      </c>
      <c r="I265" s="170">
        <f>IFERROR(((VERI_TABANI!$D$29*B265*VERI_TABANI!$B$14 + VERI_TABANI!$D$29*C265*VERI_TABANI!$B$15 + IF(ISNUMBER(SEARCH("Var", D265)), VERI_TABANI!$F$29*VERI_TABANI!$B$16, 0))) / (((VERI_TABANI!$D$29*B265 + VERI_TABANI!$D$29*C265)*VERI_TABANI!$B$13 + IF(ISNUMBER(SEARCH("Var", D265)), VERI_TABANI!$E$29*(1-0.928)*VERI_TABANI!$B$18, 0))), 0)</f>
        <v/>
      </c>
      <c r="J265" s="171">
        <f>IFERROR(F265/(G265/29), 0)</f>
        <v/>
      </c>
      <c r="K265" s="172">
        <f>IF(F265&gt;0, H265/F265, 0)</f>
        <v/>
      </c>
      <c r="L265" s="170">
        <f>IF(F265&gt;0, I265, 1000000000)</f>
        <v/>
      </c>
      <c r="M265" s="171">
        <f>ABS((B265+C265)-1)</f>
        <v/>
      </c>
      <c r="N265" s="170">
        <f>IF(F265&gt;0, (G265/29)/F265, 0)</f>
        <v/>
      </c>
      <c r="O265" s="168">
        <f>IF(AND((B265+C265)&gt;=1, ISNUMBER(SEARCH("Var", D265))), F265, 1000000000)</f>
        <v/>
      </c>
      <c r="P265" s="172">
        <f>IF(F265&gt;0, SQRT((F265/MAX(F$5:F$886))^2 + (1 - H265/MAX(H$5:H$886))^2 + (J265/MAX(J$5:J$886))^2), 1000000000)</f>
        <v/>
      </c>
      <c r="Q265" s="166">
        <f>IF(AND(ABS(B265-0.5)&lt;0.01, ABS(C265-0.5)&lt;0.01, ISNUMBER(SEARCH("Var", D265))), 1, 0)</f>
        <v/>
      </c>
      <c r="R265" s="171">
        <f>IF(F265&gt;0, J265, 1000000000)</f>
        <v/>
      </c>
      <c r="S265" s="101">
        <f>IF(AND(F265&lt;=DASHBOARD!$B$11, H265&gt;=DASHBOARD!$B$13), G265, -1000000000000)</f>
        <v/>
      </c>
      <c r="T265" s="101">
        <f>IF(AND(F265&lt;=DASHBOARD!$B$11, H265&gt;=DASHBOARD!$B$13), R265, 1000000000000)</f>
        <v/>
      </c>
      <c r="U265" s="101">
        <f>IF(AND(F265&lt;=DASHBOARD!$B$11, H265&gt;=DASHBOARD!$B$13), N265, -1000000000000)</f>
        <v/>
      </c>
      <c r="V265" s="101">
        <f>IF(AND(F265&lt;=DASHBOARD!$B$11, H265&gt;=DASHBOARD!$B$13), H265, -1000000000000)</f>
        <v/>
      </c>
      <c r="W265" s="101">
        <f>IF(AND(F265&lt;=DASHBOARD!$B$11, H265&gt;=DASHBOARD!$B$13), K265, -1000000000000)</f>
        <v/>
      </c>
      <c r="X265" s="101">
        <f>IF(AND(F265&lt;=DASHBOARD!$B$11, H265&gt;=DASHBOARD!$B$13), M265, 1000000000000)</f>
        <v/>
      </c>
      <c r="Y265" s="101">
        <f>IF(AND(F265&lt;=DASHBOARD!$B$10, H265&gt;=DASHBOARD!$B$11), L265, 1000000000000)</f>
        <v/>
      </c>
      <c r="Z265" s="101">
        <f>IF(AND(F265&lt;=DASHBOARD!$B$10, H265&gt;=DASHBOARD!$B$11), O265, 1000000000000)</f>
        <v/>
      </c>
      <c r="AA265" s="101">
        <f>IF(AND(F265&lt;=DASHBOARD!$B$10, H265&gt;=DASHBOARD!$B$11), P265, 1000000000000)</f>
        <v/>
      </c>
      <c r="AB265" s="101">
        <f>IF(AND(F265&lt;=DASHBOARD!$B$10, H265&gt;=DASHBOARD!$B$11), Q265, -1000000000000)</f>
        <v/>
      </c>
    </row>
    <row r="266" ht="15" customHeight="1" s="102">
      <c r="A266" s="166" t="n">
        <v>262</v>
      </c>
      <c r="B266" s="167" t="n">
        <v>0.6</v>
      </c>
      <c r="C266" s="167" t="n">
        <v>0.4</v>
      </c>
      <c r="D266" s="110" t="inlineStr">
        <is>
          <t>Var (%20)</t>
        </is>
      </c>
      <c r="E266" s="110">
        <f>IF((B266+C266)&lt;=1, "Tam Mahsuplaşma (≤%100)", "Kısmi Satış (&gt;%100)")</f>
        <v/>
      </c>
      <c r="F266" s="168">
        <f>((VERI_TABANI!$D$29*B266/VERI_TABANI!$B$29)/VERI_TABANI!$B$3)*VERI_TABANI!$B$5 + ((VERI_TABANI!$D$29*C266/VERI_TABANI!$B$29)/VERI_TABANI!$B$4)*VERI_TABANI!$B$6 + IF(ISNUMBER(SEARCH("Var", D266)), (VERI_TABANI!$F$29/VERI_TABANI!$B$29)*(VERI_TABANI!$B$10+VERI_TABANI!$B$12), 0)</f>
        <v/>
      </c>
      <c r="G266" s="168">
        <f>(((MIN(VERI_TABANI!D23, VERI_TABANI!D23*B266)*VERI_TABANI!$B$7 + MAX(0, VERI_TABANI!D23*B266-VERI_TABANI!D23)*VERI_TABANI!$B$8) + (MIN(MAX(0, VERI_TABANI!D23-VERI_TABANI!D23*B266), VERI_TABANI!D23*C266)*VERI_TABANI!$B$7 + MAX(0, VERI_TABANI!D23*C266-MAX(0, VERI_TABANI!D23-VERI_TABANI!D23*B266))*VERI_TABANI!$B$8) + IF(ABS(IF(ISNUMBER(SEARCH("Var", D266)), 1, IF(ISNUMBER(SEARCH("Gri", D266)), -1, 0)))=1, VERI_TABANI!E23*(1-0.928)*VERI_TABANI!$B$9, 0) + (VERI_TABANI!D23*B266*(VERI_TABANI!$B$13-VERI_TABANI!$B$14)*VERI_TABANI!G23) + (VERI_TABANI!D23*C266*(VERI_TABANI!$B$13-VERI_TABANI!$B$15)*VERI_TABANI!G23) + IF(ABS(IF(ISNUMBER(SEARCH("Var", D266)), 1, IF(ISNUMBER(SEARCH("Gri", D266)), -1, 0)))=1, VERI_TABANI!E23*(1-0.928)*0.00206091519919798*VERI_TABANI!G23, 0)) + ((MIN(VERI_TABANI!D24, VERI_TABANI!D24*B266)*VERI_TABANI!$B$7 + MAX(0, VERI_TABANI!D24*B266-VERI_TABANI!D24)*VERI_TABANI!$B$8) + (MIN(MAX(0, VERI_TABANI!D24-VERI_TABANI!D24*B266), VERI_TABANI!D24*C266)*VERI_TABANI!$B$7 + MAX(0, VERI_TABANI!D24*C266-MAX(0, VERI_TABANI!D24-VERI_TABANI!D24*B266))*VERI_TABANI!$B$8) + IF(ABS(IF(ISNUMBER(SEARCH("Var", D266)), 1, IF(ISNUMBER(SEARCH("Gri", D266)), -1, 0)))=1, VERI_TABANI!E24*(1-0.928)*VERI_TABANI!$B$9, 0) + (VERI_TABANI!D24*B266*(VERI_TABANI!$B$13-VERI_TABANI!$B$14)*VERI_TABANI!G24) + (VERI_TABANI!D24*C266*(VERI_TABANI!$B$13-VERI_TABANI!$B$15)*VERI_TABANI!G24) + IF(ABS(IF(ISNUMBER(SEARCH("Var", D266)), 1, IF(ISNUMBER(SEARCH("Gri", D266)), -1, 0)))=1, VERI_TABANI!E24*(1-0.928)*0.00206091519919798*VERI_TABANI!G24, 0)) + ((MIN(VERI_TABANI!D25, VERI_TABANI!D25*B266)*VERI_TABANI!$B$7 + MAX(0, VERI_TABANI!D25*B266-VERI_TABANI!D25)*VERI_TABANI!$B$8) + (MIN(MAX(0, VERI_TABANI!D25-VERI_TABANI!D25*B266), VERI_TABANI!D25*C266)*VERI_TABANI!$B$7 + MAX(0, VERI_TABANI!D25*C266-MAX(0, VERI_TABANI!D25-VERI_TABANI!D25*B266))*VERI_TABANI!$B$8) + IF(ABS(IF(ISNUMBER(SEARCH("Var", D266)), 1, IF(ISNUMBER(SEARCH("Gri", D266)), -1, 0)))=1, VERI_TABANI!E25*(1-0.928)*VERI_TABANI!$B$9, 0) + (VERI_TABANI!D25*B266*(VERI_TABANI!$B$13-VERI_TABANI!$B$14)*VERI_TABANI!G25) + (VERI_TABANI!D25*C266*(VERI_TABANI!$B$13-VERI_TABANI!$B$15)*VERI_TABANI!G25) + IF(ABS(IF(ISNUMBER(SEARCH("Var", D266)), 1, IF(ISNUMBER(SEARCH("Gri", D266)), -1, 0)))=1, VERI_TABANI!E25*(1-0.928)*0.00206091519919798*VERI_TABANI!G25, 0)) + ((MIN(VERI_TABANI!D26, VERI_TABANI!D26*B266)*VERI_TABANI!$B$7 + MAX(0, VERI_TABANI!D26*B266-VERI_TABANI!D26)*VERI_TABANI!$B$8) + (MIN(MAX(0, VERI_TABANI!D26-VERI_TABANI!D26*B266), VERI_TABANI!D26*C266)*VERI_TABANI!$B$7 + MAX(0, VERI_TABANI!D26*C266-MAX(0, VERI_TABANI!D26-VERI_TABANI!D26*B266))*VERI_TABANI!$B$8) + IF(ABS(IF(ISNUMBER(SEARCH("Var", D266)), 1, IF(ISNUMBER(SEARCH("Gri", D266)), -1, 0)))=1, VERI_TABANI!E26*(1-0.928)*VERI_TABANI!$B$9, 0) + (VERI_TABANI!D26*B266*(VERI_TABANI!$B$13-VERI_TABANI!$B$14)*VERI_TABANI!G26) + (VERI_TABANI!D26*C266*(VERI_TABANI!$B$13-VERI_TABANI!$B$15)*VERI_TABANI!G26) + IF(ABS(IF(ISNUMBER(SEARCH("Var", D266)), 1, IF(ISNUMBER(SEARCH("Gri", D266)), -1, 0)))=1, VERI_TABANI!E26*(1-0.928)*0.00206091519919798*VERI_TABANI!G26, 0)) + ((MIN(VERI_TABANI!D27, VERI_TABANI!D27*B266)*VERI_TABANI!$B$7 + MAX(0, VERI_TABANI!D27*B266-VERI_TABANI!D27)*VERI_TABANI!$B$8) + (MIN(MAX(0, VERI_TABANI!D27-VERI_TABANI!D27*B266), VERI_TABANI!D27*C266)*VERI_TABANI!$B$7 + MAX(0, VERI_TABANI!D27*C266-MAX(0, VERI_TABANI!D27-VERI_TABANI!D27*B266))*VERI_TABANI!$B$8) + IF(ABS(IF(ISNUMBER(SEARCH("Var", D266)), 1, IF(ISNUMBER(SEARCH("Gri", D266)), -1, 0)))=1, VERI_TABANI!E27*(1-0.928)*VERI_TABANI!$B$9, 0) + (VERI_TABANI!D27*B266*(VERI_TABANI!$B$13-VERI_TABANI!$B$14)*VERI_TABANI!G27) + (VERI_TABANI!D27*C266*(VERI_TABANI!$B$13-VERI_TABANI!$B$15)*VERI_TABANI!G27) + IF(ABS(IF(ISNUMBER(SEARCH("Var", D266)), 1, IF(ISNUMBER(SEARCH("Gri", D266)), -1, 0)))=1, VERI_TABANI!E27*(1-0.928)*0.00206091519919798*VERI_TABANI!G27, 0)) + ((MIN(VERI_TABANI!D28, VERI_TABANI!D28*B266)*VERI_TABANI!$B$7 + MAX(0, VERI_TABANI!D28*B266-VERI_TABANI!D28)*VERI_TABANI!$B$8) + (MIN(MAX(0, VERI_TABANI!D28-VERI_TABANI!D28*B266), VERI_TABANI!D28*C266)*VERI_TABANI!$B$7 + MAX(0, VERI_TABANI!D28*C266-MAX(0, VERI_TABANI!D28-VERI_TABANI!D28*B266))*VERI_TABANI!$B$8) + IF(ABS(IF(ISNUMBER(SEARCH("Var", D266)), 1, IF(ISNUMBER(SEARCH("Gri", D266)), -1, 0)))=1, VERI_TABANI!E28*(1-0.928)*VERI_TABANI!$B$9, 0) + (VERI_TABANI!D28*B266*(VERI_TABANI!$B$13-VERI_TABANI!$B$14)*VERI_TABANI!G28) + (VERI_TABANI!D28*C266*(VERI_TABANI!$B$13-VERI_TABANI!$B$15)*VERI_TABANI!G28) + IF(ABS(IF(ISNUMBER(SEARCH("Var", D266)), 1, IF(ISNUMBER(SEARCH("Gri", D266)), -1, 0)))=1, VERI_TABANI!E28*(1-0.928)*0.00206091519919798*VERI_TABANI!G28, 0)))</f>
        <v/>
      </c>
      <c r="H266" s="169">
        <f>(((VERI_TABANI!D23*B266*(VERI_TABANI!$B$13-VERI_TABANI!$B$14)) + (VERI_TABANI!D23*C266*(VERI_TABANI!$B$13-VERI_TABANI!$B$15)) + IF(ISNUMBER(SEARCH("Var", D266)), VERI_TABANI!F23*(0.00202-VERI_TABANI!$B$16), IF(ISNUMBER(SEARCH("Gri", D266)), VERI_TABANI!F23*(0.00202-VERI_TABANI!$B$17), 0))) + ((VERI_TABANI!D24*B266*(VERI_TABANI!$B$13-VERI_TABANI!$B$14)) + (VERI_TABANI!D24*C266*(VERI_TABANI!$B$13-VERI_TABANI!$B$15)) + IF(ISNUMBER(SEARCH("Var", D266)), VERI_TABANI!F24*(0.00202-VERI_TABANI!$B$16), IF(ISNUMBER(SEARCH("Gri", D266)), VERI_TABANI!F24*(0.00202-VERI_TABANI!$B$17), 0))) + ((VERI_TABANI!D25*B266*(VERI_TABANI!$B$13-VERI_TABANI!$B$14)) + (VERI_TABANI!D25*C266*(VERI_TABANI!$B$13-VERI_TABANI!$B$15)) + IF(ISNUMBER(SEARCH("Var", D266)), VERI_TABANI!F25*(0.00202-VERI_TABANI!$B$16), IF(ISNUMBER(SEARCH("Gri", D266)), VERI_TABANI!F25*(0.00202-VERI_TABANI!$B$17), 0))) + ((VERI_TABANI!D26*B266*(VERI_TABANI!$B$13-VERI_TABANI!$B$14)) + (VERI_TABANI!D26*C266*(VERI_TABANI!$B$13-VERI_TABANI!$B$15)) + IF(ISNUMBER(SEARCH("Var", D266)), VERI_TABANI!F26*(0.00202-VERI_TABANI!$B$16), IF(ISNUMBER(SEARCH("Gri", D266)), VERI_TABANI!F26*(0.00202-VERI_TABANI!$B$17), 0))) + ((VERI_TABANI!D27*B266*(VERI_TABANI!$B$13-VERI_TABANI!$B$14)) + (VERI_TABANI!D27*C266*(VERI_TABANI!$B$13-VERI_TABANI!$B$15)) + IF(ISNUMBER(SEARCH("Var", D266)), VERI_TABANI!F27*(0.00202-VERI_TABANI!$B$16), IF(ISNUMBER(SEARCH("Gri", D266)), VERI_TABANI!F27*(0.00202-VERI_TABANI!$B$17), 0))) + ((VERI_TABANI!D28*B266*(VERI_TABANI!$B$13-VERI_TABANI!$B$14)) + (VERI_TABANI!D28*C266*(VERI_TABANI!$B$13-VERI_TABANI!$B$15)) + IF(ISNUMBER(SEARCH("Var", D266)), VERI_TABANI!F28*(0.00202-VERI_TABANI!$B$16), IF(ISNUMBER(SEARCH("Gri", D266)), VERI_TABANI!F28*(0.00202-VERI_TABANI!$B$17), 0))))</f>
        <v/>
      </c>
      <c r="I266" s="170">
        <f>IFERROR(((VERI_TABANI!$D$29*B266*VERI_TABANI!$B$14 + VERI_TABANI!$D$29*C266*VERI_TABANI!$B$15 + IF(ISNUMBER(SEARCH("Var", D266)), VERI_TABANI!$F$29*VERI_TABANI!$B$16, 0))) / (((VERI_TABANI!$D$29*B266 + VERI_TABANI!$D$29*C266)*VERI_TABANI!$B$13 + IF(ISNUMBER(SEARCH("Var", D266)), VERI_TABANI!$E$29*(1-0.928)*VERI_TABANI!$B$18, 0))), 0)</f>
        <v/>
      </c>
      <c r="J266" s="171">
        <f>IFERROR(F266/(G266/29), 0)</f>
        <v/>
      </c>
      <c r="K266" s="172">
        <f>IF(F266&gt;0, H266/F266, 0)</f>
        <v/>
      </c>
      <c r="L266" s="170">
        <f>IF(F266&gt;0, I266, 1000000000)</f>
        <v/>
      </c>
      <c r="M266" s="171">
        <f>ABS((B266+C266)-1)</f>
        <v/>
      </c>
      <c r="N266" s="170">
        <f>IF(F266&gt;0, (G266/29)/F266, 0)</f>
        <v/>
      </c>
      <c r="O266" s="168">
        <f>IF(AND((B266+C266)&gt;=1, ISNUMBER(SEARCH("Var", D266))), F266, 1000000000)</f>
        <v/>
      </c>
      <c r="P266" s="172">
        <f>IF(F266&gt;0, SQRT((F266/MAX(F$5:F$886))^2 + (1 - H266/MAX(H$5:H$886))^2 + (J266/MAX(J$5:J$886))^2), 1000000000)</f>
        <v/>
      </c>
      <c r="Q266" s="166">
        <f>IF(AND(ABS(B266-0.5)&lt;0.01, ABS(C266-0.5)&lt;0.01, ISNUMBER(SEARCH("Var", D266))), 1, 0)</f>
        <v/>
      </c>
      <c r="R266" s="171">
        <f>IF(F266&gt;0, J266, 1000000000)</f>
        <v/>
      </c>
      <c r="S266" s="101">
        <f>IF(AND(F266&lt;=DASHBOARD!$B$11, H266&gt;=DASHBOARD!$B$13), G266, -1000000000000)</f>
        <v/>
      </c>
      <c r="T266" s="101">
        <f>IF(AND(F266&lt;=DASHBOARD!$B$11, H266&gt;=DASHBOARD!$B$13), R266, 1000000000000)</f>
        <v/>
      </c>
      <c r="U266" s="101">
        <f>IF(AND(F266&lt;=DASHBOARD!$B$11, H266&gt;=DASHBOARD!$B$13), N266, -1000000000000)</f>
        <v/>
      </c>
      <c r="V266" s="101">
        <f>IF(AND(F266&lt;=DASHBOARD!$B$11, H266&gt;=DASHBOARD!$B$13), H266, -1000000000000)</f>
        <v/>
      </c>
      <c r="W266" s="101">
        <f>IF(AND(F266&lt;=DASHBOARD!$B$11, H266&gt;=DASHBOARD!$B$13), K266, -1000000000000)</f>
        <v/>
      </c>
      <c r="X266" s="101">
        <f>IF(AND(F266&lt;=DASHBOARD!$B$11, H266&gt;=DASHBOARD!$B$13), M266, 1000000000000)</f>
        <v/>
      </c>
      <c r="Y266" s="101">
        <f>IF(AND(F266&lt;=DASHBOARD!$B$10, H266&gt;=DASHBOARD!$B$11), L266, 1000000000000)</f>
        <v/>
      </c>
      <c r="Z266" s="101">
        <f>IF(AND(F266&lt;=DASHBOARD!$B$10, H266&gt;=DASHBOARD!$B$11), O266, 1000000000000)</f>
        <v/>
      </c>
      <c r="AA266" s="101">
        <f>IF(AND(F266&lt;=DASHBOARD!$B$10, H266&gt;=DASHBOARD!$B$11), P266, 1000000000000)</f>
        <v/>
      </c>
      <c r="AB266" s="101">
        <f>IF(AND(F266&lt;=DASHBOARD!$B$10, H266&gt;=DASHBOARD!$B$11), Q266, -1000000000000)</f>
        <v/>
      </c>
    </row>
    <row r="267" ht="15" customHeight="1" s="102">
      <c r="A267" s="166" t="n">
        <v>263</v>
      </c>
      <c r="B267" s="167" t="n">
        <v>0.6</v>
      </c>
      <c r="C267" s="167" t="n">
        <v>0.5</v>
      </c>
      <c r="D267" s="110" t="inlineStr">
        <is>
          <t>Yok (%0)</t>
        </is>
      </c>
      <c r="E267" s="110">
        <f>IF((B267+C267)&lt;=1, "Tam Mahsuplaşma (≤%100)", "Kısmi Satış (&gt;%100)")</f>
        <v/>
      </c>
      <c r="F267" s="168">
        <f>((VERI_TABANI!$D$29*B267/VERI_TABANI!$B$29)/VERI_TABANI!$B$3)*VERI_TABANI!$B$5 + ((VERI_TABANI!$D$29*C267/VERI_TABANI!$B$29)/VERI_TABANI!$B$4)*VERI_TABANI!$B$6 + IF(ISNUMBER(SEARCH("Var", D267)), (VERI_TABANI!$F$29/VERI_TABANI!$B$29)*(VERI_TABANI!$B$10+VERI_TABANI!$B$12), 0)</f>
        <v/>
      </c>
      <c r="G267" s="168">
        <f>(((MIN(VERI_TABANI!D23, VERI_TABANI!D23*B267)*VERI_TABANI!$B$7 + MAX(0, VERI_TABANI!D23*B267-VERI_TABANI!D23)*VERI_TABANI!$B$8) + (MIN(MAX(0, VERI_TABANI!D23-VERI_TABANI!D23*B267), VERI_TABANI!D23*C267)*VERI_TABANI!$B$7 + MAX(0, VERI_TABANI!D23*C267-MAX(0, VERI_TABANI!D23-VERI_TABANI!D23*B267))*VERI_TABANI!$B$8) + IF(ABS(IF(ISNUMBER(SEARCH("Var", D267)), 1, IF(ISNUMBER(SEARCH("Gri", D267)), -1, 0)))=1, VERI_TABANI!E23*(1-0.928)*VERI_TABANI!$B$9, 0) + (VERI_TABANI!D23*B267*(VERI_TABANI!$B$13-VERI_TABANI!$B$14)*VERI_TABANI!G23) + (VERI_TABANI!D23*C267*(VERI_TABANI!$B$13-VERI_TABANI!$B$15)*VERI_TABANI!G23) + IF(ABS(IF(ISNUMBER(SEARCH("Var", D267)), 1, IF(ISNUMBER(SEARCH("Gri", D267)), -1, 0)))=1, VERI_TABANI!E23*(1-0.928)*0.00206091519919798*VERI_TABANI!G23, 0)) + ((MIN(VERI_TABANI!D24, VERI_TABANI!D24*B267)*VERI_TABANI!$B$7 + MAX(0, VERI_TABANI!D24*B267-VERI_TABANI!D24)*VERI_TABANI!$B$8) + (MIN(MAX(0, VERI_TABANI!D24-VERI_TABANI!D24*B267), VERI_TABANI!D24*C267)*VERI_TABANI!$B$7 + MAX(0, VERI_TABANI!D24*C267-MAX(0, VERI_TABANI!D24-VERI_TABANI!D24*B267))*VERI_TABANI!$B$8) + IF(ABS(IF(ISNUMBER(SEARCH("Var", D267)), 1, IF(ISNUMBER(SEARCH("Gri", D267)), -1, 0)))=1, VERI_TABANI!E24*(1-0.928)*VERI_TABANI!$B$9, 0) + (VERI_TABANI!D24*B267*(VERI_TABANI!$B$13-VERI_TABANI!$B$14)*VERI_TABANI!G24) + (VERI_TABANI!D24*C267*(VERI_TABANI!$B$13-VERI_TABANI!$B$15)*VERI_TABANI!G24) + IF(ABS(IF(ISNUMBER(SEARCH("Var", D267)), 1, IF(ISNUMBER(SEARCH("Gri", D267)), -1, 0)))=1, VERI_TABANI!E24*(1-0.928)*0.00206091519919798*VERI_TABANI!G24, 0)) + ((MIN(VERI_TABANI!D25, VERI_TABANI!D25*B267)*VERI_TABANI!$B$7 + MAX(0, VERI_TABANI!D25*B267-VERI_TABANI!D25)*VERI_TABANI!$B$8) + (MIN(MAX(0, VERI_TABANI!D25-VERI_TABANI!D25*B267), VERI_TABANI!D25*C267)*VERI_TABANI!$B$7 + MAX(0, VERI_TABANI!D25*C267-MAX(0, VERI_TABANI!D25-VERI_TABANI!D25*B267))*VERI_TABANI!$B$8) + IF(ABS(IF(ISNUMBER(SEARCH("Var", D267)), 1, IF(ISNUMBER(SEARCH("Gri", D267)), -1, 0)))=1, VERI_TABANI!E25*(1-0.928)*VERI_TABANI!$B$9, 0) + (VERI_TABANI!D25*B267*(VERI_TABANI!$B$13-VERI_TABANI!$B$14)*VERI_TABANI!G25) + (VERI_TABANI!D25*C267*(VERI_TABANI!$B$13-VERI_TABANI!$B$15)*VERI_TABANI!G25) + IF(ABS(IF(ISNUMBER(SEARCH("Var", D267)), 1, IF(ISNUMBER(SEARCH("Gri", D267)), -1, 0)))=1, VERI_TABANI!E25*(1-0.928)*0.00206091519919798*VERI_TABANI!G25, 0)) + ((MIN(VERI_TABANI!D26, VERI_TABANI!D26*B267)*VERI_TABANI!$B$7 + MAX(0, VERI_TABANI!D26*B267-VERI_TABANI!D26)*VERI_TABANI!$B$8) + (MIN(MAX(0, VERI_TABANI!D26-VERI_TABANI!D26*B267), VERI_TABANI!D26*C267)*VERI_TABANI!$B$7 + MAX(0, VERI_TABANI!D26*C267-MAX(0, VERI_TABANI!D26-VERI_TABANI!D26*B267))*VERI_TABANI!$B$8) + IF(ABS(IF(ISNUMBER(SEARCH("Var", D267)), 1, IF(ISNUMBER(SEARCH("Gri", D267)), -1, 0)))=1, VERI_TABANI!E26*(1-0.928)*VERI_TABANI!$B$9, 0) + (VERI_TABANI!D26*B267*(VERI_TABANI!$B$13-VERI_TABANI!$B$14)*VERI_TABANI!G26) + (VERI_TABANI!D26*C267*(VERI_TABANI!$B$13-VERI_TABANI!$B$15)*VERI_TABANI!G26) + IF(ABS(IF(ISNUMBER(SEARCH("Var", D267)), 1, IF(ISNUMBER(SEARCH("Gri", D267)), -1, 0)))=1, VERI_TABANI!E26*(1-0.928)*0.00206091519919798*VERI_TABANI!G26, 0)) + ((MIN(VERI_TABANI!D27, VERI_TABANI!D27*B267)*VERI_TABANI!$B$7 + MAX(0, VERI_TABANI!D27*B267-VERI_TABANI!D27)*VERI_TABANI!$B$8) + (MIN(MAX(0, VERI_TABANI!D27-VERI_TABANI!D27*B267), VERI_TABANI!D27*C267)*VERI_TABANI!$B$7 + MAX(0, VERI_TABANI!D27*C267-MAX(0, VERI_TABANI!D27-VERI_TABANI!D27*B267))*VERI_TABANI!$B$8) + IF(ABS(IF(ISNUMBER(SEARCH("Var", D267)), 1, IF(ISNUMBER(SEARCH("Gri", D267)), -1, 0)))=1, VERI_TABANI!E27*(1-0.928)*VERI_TABANI!$B$9, 0) + (VERI_TABANI!D27*B267*(VERI_TABANI!$B$13-VERI_TABANI!$B$14)*VERI_TABANI!G27) + (VERI_TABANI!D27*C267*(VERI_TABANI!$B$13-VERI_TABANI!$B$15)*VERI_TABANI!G27) + IF(ABS(IF(ISNUMBER(SEARCH("Var", D267)), 1, IF(ISNUMBER(SEARCH("Gri", D267)), -1, 0)))=1, VERI_TABANI!E27*(1-0.928)*0.00206091519919798*VERI_TABANI!G27, 0)) + ((MIN(VERI_TABANI!D28, VERI_TABANI!D28*B267)*VERI_TABANI!$B$7 + MAX(0, VERI_TABANI!D28*B267-VERI_TABANI!D28)*VERI_TABANI!$B$8) + (MIN(MAX(0, VERI_TABANI!D28-VERI_TABANI!D28*B267), VERI_TABANI!D28*C267)*VERI_TABANI!$B$7 + MAX(0, VERI_TABANI!D28*C267-MAX(0, VERI_TABANI!D28-VERI_TABANI!D28*B267))*VERI_TABANI!$B$8) + IF(ABS(IF(ISNUMBER(SEARCH("Var", D267)), 1, IF(ISNUMBER(SEARCH("Gri", D267)), -1, 0)))=1, VERI_TABANI!E28*(1-0.928)*VERI_TABANI!$B$9, 0) + (VERI_TABANI!D28*B267*(VERI_TABANI!$B$13-VERI_TABANI!$B$14)*VERI_TABANI!G28) + (VERI_TABANI!D28*C267*(VERI_TABANI!$B$13-VERI_TABANI!$B$15)*VERI_TABANI!G28) + IF(ABS(IF(ISNUMBER(SEARCH("Var", D267)), 1, IF(ISNUMBER(SEARCH("Gri", D267)), -1, 0)))=1, VERI_TABANI!E28*(1-0.928)*0.00206091519919798*VERI_TABANI!G28, 0)))</f>
        <v/>
      </c>
      <c r="H267" s="169">
        <f>(((VERI_TABANI!D23*B267*(VERI_TABANI!$B$13-VERI_TABANI!$B$14)) + (VERI_TABANI!D23*C267*(VERI_TABANI!$B$13-VERI_TABANI!$B$15)) + IF(ISNUMBER(SEARCH("Var", D267)), VERI_TABANI!F23*(0.00202-VERI_TABANI!$B$16), IF(ISNUMBER(SEARCH("Gri", D267)), VERI_TABANI!F23*(0.00202-VERI_TABANI!$B$17), 0))) + ((VERI_TABANI!D24*B267*(VERI_TABANI!$B$13-VERI_TABANI!$B$14)) + (VERI_TABANI!D24*C267*(VERI_TABANI!$B$13-VERI_TABANI!$B$15)) + IF(ISNUMBER(SEARCH("Var", D267)), VERI_TABANI!F24*(0.00202-VERI_TABANI!$B$16), IF(ISNUMBER(SEARCH("Gri", D267)), VERI_TABANI!F24*(0.00202-VERI_TABANI!$B$17), 0))) + ((VERI_TABANI!D25*B267*(VERI_TABANI!$B$13-VERI_TABANI!$B$14)) + (VERI_TABANI!D25*C267*(VERI_TABANI!$B$13-VERI_TABANI!$B$15)) + IF(ISNUMBER(SEARCH("Var", D267)), VERI_TABANI!F25*(0.00202-VERI_TABANI!$B$16), IF(ISNUMBER(SEARCH("Gri", D267)), VERI_TABANI!F25*(0.00202-VERI_TABANI!$B$17), 0))) + ((VERI_TABANI!D26*B267*(VERI_TABANI!$B$13-VERI_TABANI!$B$14)) + (VERI_TABANI!D26*C267*(VERI_TABANI!$B$13-VERI_TABANI!$B$15)) + IF(ISNUMBER(SEARCH("Var", D267)), VERI_TABANI!F26*(0.00202-VERI_TABANI!$B$16), IF(ISNUMBER(SEARCH("Gri", D267)), VERI_TABANI!F26*(0.00202-VERI_TABANI!$B$17), 0))) + ((VERI_TABANI!D27*B267*(VERI_TABANI!$B$13-VERI_TABANI!$B$14)) + (VERI_TABANI!D27*C267*(VERI_TABANI!$B$13-VERI_TABANI!$B$15)) + IF(ISNUMBER(SEARCH("Var", D267)), VERI_TABANI!F27*(0.00202-VERI_TABANI!$B$16), IF(ISNUMBER(SEARCH("Gri", D267)), VERI_TABANI!F27*(0.00202-VERI_TABANI!$B$17), 0))) + ((VERI_TABANI!D28*B267*(VERI_TABANI!$B$13-VERI_TABANI!$B$14)) + (VERI_TABANI!D28*C267*(VERI_TABANI!$B$13-VERI_TABANI!$B$15)) + IF(ISNUMBER(SEARCH("Var", D267)), VERI_TABANI!F28*(0.00202-VERI_TABANI!$B$16), IF(ISNUMBER(SEARCH("Gri", D267)), VERI_TABANI!F28*(0.00202-VERI_TABANI!$B$17), 0))))</f>
        <v/>
      </c>
      <c r="I267" s="170">
        <f>IFERROR(((VERI_TABANI!$D$29*B267*VERI_TABANI!$B$14 + VERI_TABANI!$D$29*C267*VERI_TABANI!$B$15 + IF(ISNUMBER(SEARCH("Var", D267)), VERI_TABANI!$F$29*VERI_TABANI!$B$16, 0))) / (((VERI_TABANI!$D$29*B267 + VERI_TABANI!$D$29*C267)*VERI_TABANI!$B$13 + IF(ISNUMBER(SEARCH("Var", D267)), VERI_TABANI!$E$29*(1-0.928)*VERI_TABANI!$B$18, 0))), 0)</f>
        <v/>
      </c>
      <c r="J267" s="171">
        <f>IFERROR(F267/(G267/29), 0)</f>
        <v/>
      </c>
      <c r="K267" s="172">
        <f>IF(F267&gt;0, H267/F267, 0)</f>
        <v/>
      </c>
      <c r="L267" s="170">
        <f>IF(F267&gt;0, I267, 1000000000)</f>
        <v/>
      </c>
      <c r="M267" s="171">
        <f>ABS((B267+C267)-1)</f>
        <v/>
      </c>
      <c r="N267" s="170">
        <f>IF(F267&gt;0, (G267/29)/F267, 0)</f>
        <v/>
      </c>
      <c r="O267" s="168">
        <f>IF(AND((B267+C267)&gt;=1, ISNUMBER(SEARCH("Var", D267))), F267, 1000000000)</f>
        <v/>
      </c>
      <c r="P267" s="172">
        <f>IF(F267&gt;0, SQRT((F267/MAX(F$5:F$886))^2 + (1 - H267/MAX(H$5:H$886))^2 + (J267/MAX(J$5:J$886))^2), 1000000000)</f>
        <v/>
      </c>
      <c r="Q267" s="166">
        <f>IF(AND(ABS(B267-0.5)&lt;0.01, ABS(C267-0.5)&lt;0.01, ISNUMBER(SEARCH("Var", D267))), 1, 0)</f>
        <v/>
      </c>
      <c r="R267" s="171">
        <f>IF(F267&gt;0, J267, 1000000000)</f>
        <v/>
      </c>
      <c r="S267" s="101">
        <f>IF(AND(F267&lt;=DASHBOARD!$B$11, H267&gt;=DASHBOARD!$B$13), G267, -1000000000000)</f>
        <v/>
      </c>
      <c r="T267" s="101">
        <f>IF(AND(F267&lt;=DASHBOARD!$B$11, H267&gt;=DASHBOARD!$B$13), R267, 1000000000000)</f>
        <v/>
      </c>
      <c r="U267" s="101">
        <f>IF(AND(F267&lt;=DASHBOARD!$B$11, H267&gt;=DASHBOARD!$B$13), N267, -1000000000000)</f>
        <v/>
      </c>
      <c r="V267" s="101">
        <f>IF(AND(F267&lt;=DASHBOARD!$B$11, H267&gt;=DASHBOARD!$B$13), H267, -1000000000000)</f>
        <v/>
      </c>
      <c r="W267" s="101">
        <f>IF(AND(F267&lt;=DASHBOARD!$B$11, H267&gt;=DASHBOARD!$B$13), K267, -1000000000000)</f>
        <v/>
      </c>
      <c r="X267" s="101">
        <f>IF(AND(F267&lt;=DASHBOARD!$B$11, H267&gt;=DASHBOARD!$B$13), M267, 1000000000000)</f>
        <v/>
      </c>
      <c r="Y267" s="101">
        <f>IF(AND(F267&lt;=DASHBOARD!$B$10, H267&gt;=DASHBOARD!$B$11), L267, 1000000000000)</f>
        <v/>
      </c>
      <c r="Z267" s="101">
        <f>IF(AND(F267&lt;=DASHBOARD!$B$10, H267&gt;=DASHBOARD!$B$11), O267, 1000000000000)</f>
        <v/>
      </c>
      <c r="AA267" s="101">
        <f>IF(AND(F267&lt;=DASHBOARD!$B$10, H267&gt;=DASHBOARD!$B$11), P267, 1000000000000)</f>
        <v/>
      </c>
      <c r="AB267" s="101">
        <f>IF(AND(F267&lt;=DASHBOARD!$B$10, H267&gt;=DASHBOARD!$B$11), Q267, -1000000000000)</f>
        <v/>
      </c>
    </row>
    <row r="268" ht="15" customHeight="1" s="102">
      <c r="A268" s="166" t="n">
        <v>264</v>
      </c>
      <c r="B268" s="167" t="n">
        <v>0.6</v>
      </c>
      <c r="C268" s="167" t="n">
        <v>0.5</v>
      </c>
      <c r="D268" s="110" t="inlineStr">
        <is>
          <t>Var (%20)</t>
        </is>
      </c>
      <c r="E268" s="110">
        <f>IF((B268+C268)&lt;=1, "Tam Mahsuplaşma (≤%100)", "Kısmi Satış (&gt;%100)")</f>
        <v/>
      </c>
      <c r="F268" s="168">
        <f>((VERI_TABANI!$D$29*B268/VERI_TABANI!$B$29)/VERI_TABANI!$B$3)*VERI_TABANI!$B$5 + ((VERI_TABANI!$D$29*C268/VERI_TABANI!$B$29)/VERI_TABANI!$B$4)*VERI_TABANI!$B$6 + IF(ISNUMBER(SEARCH("Var", D268)), (VERI_TABANI!$F$29/VERI_TABANI!$B$29)*(VERI_TABANI!$B$10+VERI_TABANI!$B$12), 0)</f>
        <v/>
      </c>
      <c r="G268" s="168">
        <f>(((MIN(VERI_TABANI!D23, VERI_TABANI!D23*B268)*VERI_TABANI!$B$7 + MAX(0, VERI_TABANI!D23*B268-VERI_TABANI!D23)*VERI_TABANI!$B$8) + (MIN(MAX(0, VERI_TABANI!D23-VERI_TABANI!D23*B268), VERI_TABANI!D23*C268)*VERI_TABANI!$B$7 + MAX(0, VERI_TABANI!D23*C268-MAX(0, VERI_TABANI!D23-VERI_TABANI!D23*B268))*VERI_TABANI!$B$8) + IF(ABS(IF(ISNUMBER(SEARCH("Var", D268)), 1, IF(ISNUMBER(SEARCH("Gri", D268)), -1, 0)))=1, VERI_TABANI!E23*(1-0.928)*VERI_TABANI!$B$9, 0) + (VERI_TABANI!D23*B268*(VERI_TABANI!$B$13-VERI_TABANI!$B$14)*VERI_TABANI!G23) + (VERI_TABANI!D23*C268*(VERI_TABANI!$B$13-VERI_TABANI!$B$15)*VERI_TABANI!G23) + IF(ABS(IF(ISNUMBER(SEARCH("Var", D268)), 1, IF(ISNUMBER(SEARCH("Gri", D268)), -1, 0)))=1, VERI_TABANI!E23*(1-0.928)*0.00206091519919798*VERI_TABANI!G23, 0)) + ((MIN(VERI_TABANI!D24, VERI_TABANI!D24*B268)*VERI_TABANI!$B$7 + MAX(0, VERI_TABANI!D24*B268-VERI_TABANI!D24)*VERI_TABANI!$B$8) + (MIN(MAX(0, VERI_TABANI!D24-VERI_TABANI!D24*B268), VERI_TABANI!D24*C268)*VERI_TABANI!$B$7 + MAX(0, VERI_TABANI!D24*C268-MAX(0, VERI_TABANI!D24-VERI_TABANI!D24*B268))*VERI_TABANI!$B$8) + IF(ABS(IF(ISNUMBER(SEARCH("Var", D268)), 1, IF(ISNUMBER(SEARCH("Gri", D268)), -1, 0)))=1, VERI_TABANI!E24*(1-0.928)*VERI_TABANI!$B$9, 0) + (VERI_TABANI!D24*B268*(VERI_TABANI!$B$13-VERI_TABANI!$B$14)*VERI_TABANI!G24) + (VERI_TABANI!D24*C268*(VERI_TABANI!$B$13-VERI_TABANI!$B$15)*VERI_TABANI!G24) + IF(ABS(IF(ISNUMBER(SEARCH("Var", D268)), 1, IF(ISNUMBER(SEARCH("Gri", D268)), -1, 0)))=1, VERI_TABANI!E24*(1-0.928)*0.00206091519919798*VERI_TABANI!G24, 0)) + ((MIN(VERI_TABANI!D25, VERI_TABANI!D25*B268)*VERI_TABANI!$B$7 + MAX(0, VERI_TABANI!D25*B268-VERI_TABANI!D25)*VERI_TABANI!$B$8) + (MIN(MAX(0, VERI_TABANI!D25-VERI_TABANI!D25*B268), VERI_TABANI!D25*C268)*VERI_TABANI!$B$7 + MAX(0, VERI_TABANI!D25*C268-MAX(0, VERI_TABANI!D25-VERI_TABANI!D25*B268))*VERI_TABANI!$B$8) + IF(ABS(IF(ISNUMBER(SEARCH("Var", D268)), 1, IF(ISNUMBER(SEARCH("Gri", D268)), -1, 0)))=1, VERI_TABANI!E25*(1-0.928)*VERI_TABANI!$B$9, 0) + (VERI_TABANI!D25*B268*(VERI_TABANI!$B$13-VERI_TABANI!$B$14)*VERI_TABANI!G25) + (VERI_TABANI!D25*C268*(VERI_TABANI!$B$13-VERI_TABANI!$B$15)*VERI_TABANI!G25) + IF(ABS(IF(ISNUMBER(SEARCH("Var", D268)), 1, IF(ISNUMBER(SEARCH("Gri", D268)), -1, 0)))=1, VERI_TABANI!E25*(1-0.928)*0.00206091519919798*VERI_TABANI!G25, 0)) + ((MIN(VERI_TABANI!D26, VERI_TABANI!D26*B268)*VERI_TABANI!$B$7 + MAX(0, VERI_TABANI!D26*B268-VERI_TABANI!D26)*VERI_TABANI!$B$8) + (MIN(MAX(0, VERI_TABANI!D26-VERI_TABANI!D26*B268), VERI_TABANI!D26*C268)*VERI_TABANI!$B$7 + MAX(0, VERI_TABANI!D26*C268-MAX(0, VERI_TABANI!D26-VERI_TABANI!D26*B268))*VERI_TABANI!$B$8) + IF(ABS(IF(ISNUMBER(SEARCH("Var", D268)), 1, IF(ISNUMBER(SEARCH("Gri", D268)), -1, 0)))=1, VERI_TABANI!E26*(1-0.928)*VERI_TABANI!$B$9, 0) + (VERI_TABANI!D26*B268*(VERI_TABANI!$B$13-VERI_TABANI!$B$14)*VERI_TABANI!G26) + (VERI_TABANI!D26*C268*(VERI_TABANI!$B$13-VERI_TABANI!$B$15)*VERI_TABANI!G26) + IF(ABS(IF(ISNUMBER(SEARCH("Var", D268)), 1, IF(ISNUMBER(SEARCH("Gri", D268)), -1, 0)))=1, VERI_TABANI!E26*(1-0.928)*0.00206091519919798*VERI_TABANI!G26, 0)) + ((MIN(VERI_TABANI!D27, VERI_TABANI!D27*B268)*VERI_TABANI!$B$7 + MAX(0, VERI_TABANI!D27*B268-VERI_TABANI!D27)*VERI_TABANI!$B$8) + (MIN(MAX(0, VERI_TABANI!D27-VERI_TABANI!D27*B268), VERI_TABANI!D27*C268)*VERI_TABANI!$B$7 + MAX(0, VERI_TABANI!D27*C268-MAX(0, VERI_TABANI!D27-VERI_TABANI!D27*B268))*VERI_TABANI!$B$8) + IF(ABS(IF(ISNUMBER(SEARCH("Var", D268)), 1, IF(ISNUMBER(SEARCH("Gri", D268)), -1, 0)))=1, VERI_TABANI!E27*(1-0.928)*VERI_TABANI!$B$9, 0) + (VERI_TABANI!D27*B268*(VERI_TABANI!$B$13-VERI_TABANI!$B$14)*VERI_TABANI!G27) + (VERI_TABANI!D27*C268*(VERI_TABANI!$B$13-VERI_TABANI!$B$15)*VERI_TABANI!G27) + IF(ABS(IF(ISNUMBER(SEARCH("Var", D268)), 1, IF(ISNUMBER(SEARCH("Gri", D268)), -1, 0)))=1, VERI_TABANI!E27*(1-0.928)*0.00206091519919798*VERI_TABANI!G27, 0)) + ((MIN(VERI_TABANI!D28, VERI_TABANI!D28*B268)*VERI_TABANI!$B$7 + MAX(0, VERI_TABANI!D28*B268-VERI_TABANI!D28)*VERI_TABANI!$B$8) + (MIN(MAX(0, VERI_TABANI!D28-VERI_TABANI!D28*B268), VERI_TABANI!D28*C268)*VERI_TABANI!$B$7 + MAX(0, VERI_TABANI!D28*C268-MAX(0, VERI_TABANI!D28-VERI_TABANI!D28*B268))*VERI_TABANI!$B$8) + IF(ABS(IF(ISNUMBER(SEARCH("Var", D268)), 1, IF(ISNUMBER(SEARCH("Gri", D268)), -1, 0)))=1, VERI_TABANI!E28*(1-0.928)*VERI_TABANI!$B$9, 0) + (VERI_TABANI!D28*B268*(VERI_TABANI!$B$13-VERI_TABANI!$B$14)*VERI_TABANI!G28) + (VERI_TABANI!D28*C268*(VERI_TABANI!$B$13-VERI_TABANI!$B$15)*VERI_TABANI!G28) + IF(ABS(IF(ISNUMBER(SEARCH("Var", D268)), 1, IF(ISNUMBER(SEARCH("Gri", D268)), -1, 0)))=1, VERI_TABANI!E28*(1-0.928)*0.00206091519919798*VERI_TABANI!G28, 0)))</f>
        <v/>
      </c>
      <c r="H268" s="169">
        <f>(((VERI_TABANI!D23*B268*(VERI_TABANI!$B$13-VERI_TABANI!$B$14)) + (VERI_TABANI!D23*C268*(VERI_TABANI!$B$13-VERI_TABANI!$B$15)) + IF(ISNUMBER(SEARCH("Var", D268)), VERI_TABANI!F23*(0.00202-VERI_TABANI!$B$16), IF(ISNUMBER(SEARCH("Gri", D268)), VERI_TABANI!F23*(0.00202-VERI_TABANI!$B$17), 0))) + ((VERI_TABANI!D24*B268*(VERI_TABANI!$B$13-VERI_TABANI!$B$14)) + (VERI_TABANI!D24*C268*(VERI_TABANI!$B$13-VERI_TABANI!$B$15)) + IF(ISNUMBER(SEARCH("Var", D268)), VERI_TABANI!F24*(0.00202-VERI_TABANI!$B$16), IF(ISNUMBER(SEARCH("Gri", D268)), VERI_TABANI!F24*(0.00202-VERI_TABANI!$B$17), 0))) + ((VERI_TABANI!D25*B268*(VERI_TABANI!$B$13-VERI_TABANI!$B$14)) + (VERI_TABANI!D25*C268*(VERI_TABANI!$B$13-VERI_TABANI!$B$15)) + IF(ISNUMBER(SEARCH("Var", D268)), VERI_TABANI!F25*(0.00202-VERI_TABANI!$B$16), IF(ISNUMBER(SEARCH("Gri", D268)), VERI_TABANI!F25*(0.00202-VERI_TABANI!$B$17), 0))) + ((VERI_TABANI!D26*B268*(VERI_TABANI!$B$13-VERI_TABANI!$B$14)) + (VERI_TABANI!D26*C268*(VERI_TABANI!$B$13-VERI_TABANI!$B$15)) + IF(ISNUMBER(SEARCH("Var", D268)), VERI_TABANI!F26*(0.00202-VERI_TABANI!$B$16), IF(ISNUMBER(SEARCH("Gri", D268)), VERI_TABANI!F26*(0.00202-VERI_TABANI!$B$17), 0))) + ((VERI_TABANI!D27*B268*(VERI_TABANI!$B$13-VERI_TABANI!$B$14)) + (VERI_TABANI!D27*C268*(VERI_TABANI!$B$13-VERI_TABANI!$B$15)) + IF(ISNUMBER(SEARCH("Var", D268)), VERI_TABANI!F27*(0.00202-VERI_TABANI!$B$16), IF(ISNUMBER(SEARCH("Gri", D268)), VERI_TABANI!F27*(0.00202-VERI_TABANI!$B$17), 0))) + ((VERI_TABANI!D28*B268*(VERI_TABANI!$B$13-VERI_TABANI!$B$14)) + (VERI_TABANI!D28*C268*(VERI_TABANI!$B$13-VERI_TABANI!$B$15)) + IF(ISNUMBER(SEARCH("Var", D268)), VERI_TABANI!F28*(0.00202-VERI_TABANI!$B$16), IF(ISNUMBER(SEARCH("Gri", D268)), VERI_TABANI!F28*(0.00202-VERI_TABANI!$B$17), 0))))</f>
        <v/>
      </c>
      <c r="I268" s="170">
        <f>IFERROR(((VERI_TABANI!$D$29*B268*VERI_TABANI!$B$14 + VERI_TABANI!$D$29*C268*VERI_TABANI!$B$15 + IF(ISNUMBER(SEARCH("Var", D268)), VERI_TABANI!$F$29*VERI_TABANI!$B$16, 0))) / (((VERI_TABANI!$D$29*B268 + VERI_TABANI!$D$29*C268)*VERI_TABANI!$B$13 + IF(ISNUMBER(SEARCH("Var", D268)), VERI_TABANI!$E$29*(1-0.928)*VERI_TABANI!$B$18, 0))), 0)</f>
        <v/>
      </c>
      <c r="J268" s="171">
        <f>IFERROR(F268/(G268/29), 0)</f>
        <v/>
      </c>
      <c r="K268" s="172">
        <f>IF(F268&gt;0, H268/F268, 0)</f>
        <v/>
      </c>
      <c r="L268" s="170">
        <f>IF(F268&gt;0, I268, 1000000000)</f>
        <v/>
      </c>
      <c r="M268" s="171">
        <f>ABS((B268+C268)-1)</f>
        <v/>
      </c>
      <c r="N268" s="170">
        <f>IF(F268&gt;0, (G268/29)/F268, 0)</f>
        <v/>
      </c>
      <c r="O268" s="168">
        <f>IF(AND((B268+C268)&gt;=1, ISNUMBER(SEARCH("Var", D268))), F268, 1000000000)</f>
        <v/>
      </c>
      <c r="P268" s="172">
        <f>IF(F268&gt;0, SQRT((F268/MAX(F$5:F$886))^2 + (1 - H268/MAX(H$5:H$886))^2 + (J268/MAX(J$5:J$886))^2), 1000000000)</f>
        <v/>
      </c>
      <c r="Q268" s="166">
        <f>IF(AND(ABS(B268-0.5)&lt;0.01, ABS(C268-0.5)&lt;0.01, ISNUMBER(SEARCH("Var", D268))), 1, 0)</f>
        <v/>
      </c>
      <c r="R268" s="171">
        <f>IF(F268&gt;0, J268, 1000000000)</f>
        <v/>
      </c>
      <c r="S268" s="101">
        <f>IF(AND(F268&lt;=DASHBOARD!$B$11, H268&gt;=DASHBOARD!$B$13), G268, -1000000000000)</f>
        <v/>
      </c>
      <c r="T268" s="101">
        <f>IF(AND(F268&lt;=DASHBOARD!$B$11, H268&gt;=DASHBOARD!$B$13), R268, 1000000000000)</f>
        <v/>
      </c>
      <c r="U268" s="101">
        <f>IF(AND(F268&lt;=DASHBOARD!$B$11, H268&gt;=DASHBOARD!$B$13), N268, -1000000000000)</f>
        <v/>
      </c>
      <c r="V268" s="101">
        <f>IF(AND(F268&lt;=DASHBOARD!$B$11, H268&gt;=DASHBOARD!$B$13), H268, -1000000000000)</f>
        <v/>
      </c>
      <c r="W268" s="101">
        <f>IF(AND(F268&lt;=DASHBOARD!$B$11, H268&gt;=DASHBOARD!$B$13), K268, -1000000000000)</f>
        <v/>
      </c>
      <c r="X268" s="101">
        <f>IF(AND(F268&lt;=DASHBOARD!$B$11, H268&gt;=DASHBOARD!$B$13), M268, 1000000000000)</f>
        <v/>
      </c>
      <c r="Y268" s="101">
        <f>IF(AND(F268&lt;=DASHBOARD!$B$10, H268&gt;=DASHBOARD!$B$11), L268, 1000000000000)</f>
        <v/>
      </c>
      <c r="Z268" s="101">
        <f>IF(AND(F268&lt;=DASHBOARD!$B$10, H268&gt;=DASHBOARD!$B$11), O268, 1000000000000)</f>
        <v/>
      </c>
      <c r="AA268" s="101">
        <f>IF(AND(F268&lt;=DASHBOARD!$B$10, H268&gt;=DASHBOARD!$B$11), P268, 1000000000000)</f>
        <v/>
      </c>
      <c r="AB268" s="101">
        <f>IF(AND(F268&lt;=DASHBOARD!$B$10, H268&gt;=DASHBOARD!$B$11), Q268, -1000000000000)</f>
        <v/>
      </c>
    </row>
    <row r="269" ht="15" customHeight="1" s="102">
      <c r="A269" s="166" t="n">
        <v>265</v>
      </c>
      <c r="B269" s="167" t="n">
        <v>0.6</v>
      </c>
      <c r="C269" s="167" t="n">
        <v>0.6</v>
      </c>
      <c r="D269" s="110" t="inlineStr">
        <is>
          <t>Yok (%0)</t>
        </is>
      </c>
      <c r="E269" s="110">
        <f>IF((B269+C269)&lt;=1, "Tam Mahsuplaşma (≤%100)", "Kısmi Satış (&gt;%100)")</f>
        <v/>
      </c>
      <c r="F269" s="168">
        <f>((VERI_TABANI!$D$29*B269/VERI_TABANI!$B$29)/VERI_TABANI!$B$3)*VERI_TABANI!$B$5 + ((VERI_TABANI!$D$29*C269/VERI_TABANI!$B$29)/VERI_TABANI!$B$4)*VERI_TABANI!$B$6 + IF(ISNUMBER(SEARCH("Var", D269)), (VERI_TABANI!$F$29/VERI_TABANI!$B$29)*(VERI_TABANI!$B$10+VERI_TABANI!$B$12), 0)</f>
        <v/>
      </c>
      <c r="G269" s="168">
        <f>(((MIN(VERI_TABANI!D23, VERI_TABANI!D23*B269)*VERI_TABANI!$B$7 + MAX(0, VERI_TABANI!D23*B269-VERI_TABANI!D23)*VERI_TABANI!$B$8) + (MIN(MAX(0, VERI_TABANI!D23-VERI_TABANI!D23*B269), VERI_TABANI!D23*C269)*VERI_TABANI!$B$7 + MAX(0, VERI_TABANI!D23*C269-MAX(0, VERI_TABANI!D23-VERI_TABANI!D23*B269))*VERI_TABANI!$B$8) + IF(ABS(IF(ISNUMBER(SEARCH("Var", D269)), 1, IF(ISNUMBER(SEARCH("Gri", D269)), -1, 0)))=1, VERI_TABANI!E23*(1-0.928)*VERI_TABANI!$B$9, 0) + (VERI_TABANI!D23*B269*(VERI_TABANI!$B$13-VERI_TABANI!$B$14)*VERI_TABANI!G23) + (VERI_TABANI!D23*C269*(VERI_TABANI!$B$13-VERI_TABANI!$B$15)*VERI_TABANI!G23) + IF(ABS(IF(ISNUMBER(SEARCH("Var", D269)), 1, IF(ISNUMBER(SEARCH("Gri", D269)), -1, 0)))=1, VERI_TABANI!E23*(1-0.928)*0.00206091519919798*VERI_TABANI!G23, 0)) + ((MIN(VERI_TABANI!D24, VERI_TABANI!D24*B269)*VERI_TABANI!$B$7 + MAX(0, VERI_TABANI!D24*B269-VERI_TABANI!D24)*VERI_TABANI!$B$8) + (MIN(MAX(0, VERI_TABANI!D24-VERI_TABANI!D24*B269), VERI_TABANI!D24*C269)*VERI_TABANI!$B$7 + MAX(0, VERI_TABANI!D24*C269-MAX(0, VERI_TABANI!D24-VERI_TABANI!D24*B269))*VERI_TABANI!$B$8) + IF(ABS(IF(ISNUMBER(SEARCH("Var", D269)), 1, IF(ISNUMBER(SEARCH("Gri", D269)), -1, 0)))=1, VERI_TABANI!E24*(1-0.928)*VERI_TABANI!$B$9, 0) + (VERI_TABANI!D24*B269*(VERI_TABANI!$B$13-VERI_TABANI!$B$14)*VERI_TABANI!G24) + (VERI_TABANI!D24*C269*(VERI_TABANI!$B$13-VERI_TABANI!$B$15)*VERI_TABANI!G24) + IF(ABS(IF(ISNUMBER(SEARCH("Var", D269)), 1, IF(ISNUMBER(SEARCH("Gri", D269)), -1, 0)))=1, VERI_TABANI!E24*(1-0.928)*0.00206091519919798*VERI_TABANI!G24, 0)) + ((MIN(VERI_TABANI!D25, VERI_TABANI!D25*B269)*VERI_TABANI!$B$7 + MAX(0, VERI_TABANI!D25*B269-VERI_TABANI!D25)*VERI_TABANI!$B$8) + (MIN(MAX(0, VERI_TABANI!D25-VERI_TABANI!D25*B269), VERI_TABANI!D25*C269)*VERI_TABANI!$B$7 + MAX(0, VERI_TABANI!D25*C269-MAX(0, VERI_TABANI!D25-VERI_TABANI!D25*B269))*VERI_TABANI!$B$8) + IF(ABS(IF(ISNUMBER(SEARCH("Var", D269)), 1, IF(ISNUMBER(SEARCH("Gri", D269)), -1, 0)))=1, VERI_TABANI!E25*(1-0.928)*VERI_TABANI!$B$9, 0) + (VERI_TABANI!D25*B269*(VERI_TABANI!$B$13-VERI_TABANI!$B$14)*VERI_TABANI!G25) + (VERI_TABANI!D25*C269*(VERI_TABANI!$B$13-VERI_TABANI!$B$15)*VERI_TABANI!G25) + IF(ABS(IF(ISNUMBER(SEARCH("Var", D269)), 1, IF(ISNUMBER(SEARCH("Gri", D269)), -1, 0)))=1, VERI_TABANI!E25*(1-0.928)*0.00206091519919798*VERI_TABANI!G25, 0)) + ((MIN(VERI_TABANI!D26, VERI_TABANI!D26*B269)*VERI_TABANI!$B$7 + MAX(0, VERI_TABANI!D26*B269-VERI_TABANI!D26)*VERI_TABANI!$B$8) + (MIN(MAX(0, VERI_TABANI!D26-VERI_TABANI!D26*B269), VERI_TABANI!D26*C269)*VERI_TABANI!$B$7 + MAX(0, VERI_TABANI!D26*C269-MAX(0, VERI_TABANI!D26-VERI_TABANI!D26*B269))*VERI_TABANI!$B$8) + IF(ABS(IF(ISNUMBER(SEARCH("Var", D269)), 1, IF(ISNUMBER(SEARCH("Gri", D269)), -1, 0)))=1, VERI_TABANI!E26*(1-0.928)*VERI_TABANI!$B$9, 0) + (VERI_TABANI!D26*B269*(VERI_TABANI!$B$13-VERI_TABANI!$B$14)*VERI_TABANI!G26) + (VERI_TABANI!D26*C269*(VERI_TABANI!$B$13-VERI_TABANI!$B$15)*VERI_TABANI!G26) + IF(ABS(IF(ISNUMBER(SEARCH("Var", D269)), 1, IF(ISNUMBER(SEARCH("Gri", D269)), -1, 0)))=1, VERI_TABANI!E26*(1-0.928)*0.00206091519919798*VERI_TABANI!G26, 0)) + ((MIN(VERI_TABANI!D27, VERI_TABANI!D27*B269)*VERI_TABANI!$B$7 + MAX(0, VERI_TABANI!D27*B269-VERI_TABANI!D27)*VERI_TABANI!$B$8) + (MIN(MAX(0, VERI_TABANI!D27-VERI_TABANI!D27*B269), VERI_TABANI!D27*C269)*VERI_TABANI!$B$7 + MAX(0, VERI_TABANI!D27*C269-MAX(0, VERI_TABANI!D27-VERI_TABANI!D27*B269))*VERI_TABANI!$B$8) + IF(ABS(IF(ISNUMBER(SEARCH("Var", D269)), 1, IF(ISNUMBER(SEARCH("Gri", D269)), -1, 0)))=1, VERI_TABANI!E27*(1-0.928)*VERI_TABANI!$B$9, 0) + (VERI_TABANI!D27*B269*(VERI_TABANI!$B$13-VERI_TABANI!$B$14)*VERI_TABANI!G27) + (VERI_TABANI!D27*C269*(VERI_TABANI!$B$13-VERI_TABANI!$B$15)*VERI_TABANI!G27) + IF(ABS(IF(ISNUMBER(SEARCH("Var", D269)), 1, IF(ISNUMBER(SEARCH("Gri", D269)), -1, 0)))=1, VERI_TABANI!E27*(1-0.928)*0.00206091519919798*VERI_TABANI!G27, 0)) + ((MIN(VERI_TABANI!D28, VERI_TABANI!D28*B269)*VERI_TABANI!$B$7 + MAX(0, VERI_TABANI!D28*B269-VERI_TABANI!D28)*VERI_TABANI!$B$8) + (MIN(MAX(0, VERI_TABANI!D28-VERI_TABANI!D28*B269), VERI_TABANI!D28*C269)*VERI_TABANI!$B$7 + MAX(0, VERI_TABANI!D28*C269-MAX(0, VERI_TABANI!D28-VERI_TABANI!D28*B269))*VERI_TABANI!$B$8) + IF(ABS(IF(ISNUMBER(SEARCH("Var", D269)), 1, IF(ISNUMBER(SEARCH("Gri", D269)), -1, 0)))=1, VERI_TABANI!E28*(1-0.928)*VERI_TABANI!$B$9, 0) + (VERI_TABANI!D28*B269*(VERI_TABANI!$B$13-VERI_TABANI!$B$14)*VERI_TABANI!G28) + (VERI_TABANI!D28*C269*(VERI_TABANI!$B$13-VERI_TABANI!$B$15)*VERI_TABANI!G28) + IF(ABS(IF(ISNUMBER(SEARCH("Var", D269)), 1, IF(ISNUMBER(SEARCH("Gri", D269)), -1, 0)))=1, VERI_TABANI!E28*(1-0.928)*0.00206091519919798*VERI_TABANI!G28, 0)))</f>
        <v/>
      </c>
      <c r="H269" s="169">
        <f>(((VERI_TABANI!D23*B269*(VERI_TABANI!$B$13-VERI_TABANI!$B$14)) + (VERI_TABANI!D23*C269*(VERI_TABANI!$B$13-VERI_TABANI!$B$15)) + IF(ISNUMBER(SEARCH("Var", D269)), VERI_TABANI!F23*(0.00202-VERI_TABANI!$B$16), IF(ISNUMBER(SEARCH("Gri", D269)), VERI_TABANI!F23*(0.00202-VERI_TABANI!$B$17), 0))) + ((VERI_TABANI!D24*B269*(VERI_TABANI!$B$13-VERI_TABANI!$B$14)) + (VERI_TABANI!D24*C269*(VERI_TABANI!$B$13-VERI_TABANI!$B$15)) + IF(ISNUMBER(SEARCH("Var", D269)), VERI_TABANI!F24*(0.00202-VERI_TABANI!$B$16), IF(ISNUMBER(SEARCH("Gri", D269)), VERI_TABANI!F24*(0.00202-VERI_TABANI!$B$17), 0))) + ((VERI_TABANI!D25*B269*(VERI_TABANI!$B$13-VERI_TABANI!$B$14)) + (VERI_TABANI!D25*C269*(VERI_TABANI!$B$13-VERI_TABANI!$B$15)) + IF(ISNUMBER(SEARCH("Var", D269)), VERI_TABANI!F25*(0.00202-VERI_TABANI!$B$16), IF(ISNUMBER(SEARCH("Gri", D269)), VERI_TABANI!F25*(0.00202-VERI_TABANI!$B$17), 0))) + ((VERI_TABANI!D26*B269*(VERI_TABANI!$B$13-VERI_TABANI!$B$14)) + (VERI_TABANI!D26*C269*(VERI_TABANI!$B$13-VERI_TABANI!$B$15)) + IF(ISNUMBER(SEARCH("Var", D269)), VERI_TABANI!F26*(0.00202-VERI_TABANI!$B$16), IF(ISNUMBER(SEARCH("Gri", D269)), VERI_TABANI!F26*(0.00202-VERI_TABANI!$B$17), 0))) + ((VERI_TABANI!D27*B269*(VERI_TABANI!$B$13-VERI_TABANI!$B$14)) + (VERI_TABANI!D27*C269*(VERI_TABANI!$B$13-VERI_TABANI!$B$15)) + IF(ISNUMBER(SEARCH("Var", D269)), VERI_TABANI!F27*(0.00202-VERI_TABANI!$B$16), IF(ISNUMBER(SEARCH("Gri", D269)), VERI_TABANI!F27*(0.00202-VERI_TABANI!$B$17), 0))) + ((VERI_TABANI!D28*B269*(VERI_TABANI!$B$13-VERI_TABANI!$B$14)) + (VERI_TABANI!D28*C269*(VERI_TABANI!$B$13-VERI_TABANI!$B$15)) + IF(ISNUMBER(SEARCH("Var", D269)), VERI_TABANI!F28*(0.00202-VERI_TABANI!$B$16), IF(ISNUMBER(SEARCH("Gri", D269)), VERI_TABANI!F28*(0.00202-VERI_TABANI!$B$17), 0))))</f>
        <v/>
      </c>
      <c r="I269" s="170">
        <f>IFERROR(((VERI_TABANI!$D$29*B269*VERI_TABANI!$B$14 + VERI_TABANI!$D$29*C269*VERI_TABANI!$B$15 + IF(ISNUMBER(SEARCH("Var", D269)), VERI_TABANI!$F$29*VERI_TABANI!$B$16, 0))) / (((VERI_TABANI!$D$29*B269 + VERI_TABANI!$D$29*C269)*VERI_TABANI!$B$13 + IF(ISNUMBER(SEARCH("Var", D269)), VERI_TABANI!$E$29*(1-0.928)*VERI_TABANI!$B$18, 0))), 0)</f>
        <v/>
      </c>
      <c r="J269" s="171">
        <f>IFERROR(F269/(G269/29), 0)</f>
        <v/>
      </c>
      <c r="K269" s="172">
        <f>IF(F269&gt;0, H269/F269, 0)</f>
        <v/>
      </c>
      <c r="L269" s="170">
        <f>IF(F269&gt;0, I269, 1000000000)</f>
        <v/>
      </c>
      <c r="M269" s="171">
        <f>ABS((B269+C269)-1)</f>
        <v/>
      </c>
      <c r="N269" s="170">
        <f>IF(F269&gt;0, (G269/29)/F269, 0)</f>
        <v/>
      </c>
      <c r="O269" s="168">
        <f>IF(AND((B269+C269)&gt;=1, ISNUMBER(SEARCH("Var", D269))), F269, 1000000000)</f>
        <v/>
      </c>
      <c r="P269" s="172">
        <f>IF(F269&gt;0, SQRT((F269/MAX(F$5:F$886))^2 + (1 - H269/MAX(H$5:H$886))^2 + (J269/MAX(J$5:J$886))^2), 1000000000)</f>
        <v/>
      </c>
      <c r="Q269" s="166">
        <f>IF(AND(ABS(B269-0.5)&lt;0.01, ABS(C269-0.5)&lt;0.01, ISNUMBER(SEARCH("Var", D269))), 1, 0)</f>
        <v/>
      </c>
      <c r="R269" s="171">
        <f>IF(F269&gt;0, J269, 1000000000)</f>
        <v/>
      </c>
      <c r="S269" s="101">
        <f>IF(AND(F269&lt;=DASHBOARD!$B$11, H269&gt;=DASHBOARD!$B$13), G269, -1000000000000)</f>
        <v/>
      </c>
      <c r="T269" s="101">
        <f>IF(AND(F269&lt;=DASHBOARD!$B$11, H269&gt;=DASHBOARD!$B$13), R269, 1000000000000)</f>
        <v/>
      </c>
      <c r="U269" s="101">
        <f>IF(AND(F269&lt;=DASHBOARD!$B$11, H269&gt;=DASHBOARD!$B$13), N269, -1000000000000)</f>
        <v/>
      </c>
      <c r="V269" s="101">
        <f>IF(AND(F269&lt;=DASHBOARD!$B$11, H269&gt;=DASHBOARD!$B$13), H269, -1000000000000)</f>
        <v/>
      </c>
      <c r="W269" s="101">
        <f>IF(AND(F269&lt;=DASHBOARD!$B$11, H269&gt;=DASHBOARD!$B$13), K269, -1000000000000)</f>
        <v/>
      </c>
      <c r="X269" s="101">
        <f>IF(AND(F269&lt;=DASHBOARD!$B$11, H269&gt;=DASHBOARD!$B$13), M269, 1000000000000)</f>
        <v/>
      </c>
      <c r="Y269" s="101">
        <f>IF(AND(F269&lt;=DASHBOARD!$B$10, H269&gt;=DASHBOARD!$B$11), L269, 1000000000000)</f>
        <v/>
      </c>
      <c r="Z269" s="101">
        <f>IF(AND(F269&lt;=DASHBOARD!$B$10, H269&gt;=DASHBOARD!$B$11), O269, 1000000000000)</f>
        <v/>
      </c>
      <c r="AA269" s="101">
        <f>IF(AND(F269&lt;=DASHBOARD!$B$10, H269&gt;=DASHBOARD!$B$11), P269, 1000000000000)</f>
        <v/>
      </c>
      <c r="AB269" s="101">
        <f>IF(AND(F269&lt;=DASHBOARD!$B$10, H269&gt;=DASHBOARD!$B$11), Q269, -1000000000000)</f>
        <v/>
      </c>
    </row>
    <row r="270" ht="15" customHeight="1" s="102">
      <c r="A270" s="166" t="n">
        <v>266</v>
      </c>
      <c r="B270" s="167" t="n">
        <v>0.6</v>
      </c>
      <c r="C270" s="167" t="n">
        <v>0.6</v>
      </c>
      <c r="D270" s="110" t="inlineStr">
        <is>
          <t>Var (%20)</t>
        </is>
      </c>
      <c r="E270" s="110">
        <f>IF((B270+C270)&lt;=1, "Tam Mahsuplaşma (≤%100)", "Kısmi Satış (&gt;%100)")</f>
        <v/>
      </c>
      <c r="F270" s="168">
        <f>((VERI_TABANI!$D$29*B270/VERI_TABANI!$B$29)/VERI_TABANI!$B$3)*VERI_TABANI!$B$5 + ((VERI_TABANI!$D$29*C270/VERI_TABANI!$B$29)/VERI_TABANI!$B$4)*VERI_TABANI!$B$6 + IF(ISNUMBER(SEARCH("Var", D270)), (VERI_TABANI!$F$29/VERI_TABANI!$B$29)*(VERI_TABANI!$B$10+VERI_TABANI!$B$12), 0)</f>
        <v/>
      </c>
      <c r="G270" s="168">
        <f>(((MIN(VERI_TABANI!D23, VERI_TABANI!D23*B270)*VERI_TABANI!$B$7 + MAX(0, VERI_TABANI!D23*B270-VERI_TABANI!D23)*VERI_TABANI!$B$8) + (MIN(MAX(0, VERI_TABANI!D23-VERI_TABANI!D23*B270), VERI_TABANI!D23*C270)*VERI_TABANI!$B$7 + MAX(0, VERI_TABANI!D23*C270-MAX(0, VERI_TABANI!D23-VERI_TABANI!D23*B270))*VERI_TABANI!$B$8) + IF(ABS(IF(ISNUMBER(SEARCH("Var", D270)), 1, IF(ISNUMBER(SEARCH("Gri", D270)), -1, 0)))=1, VERI_TABANI!E23*(1-0.928)*VERI_TABANI!$B$9, 0) + (VERI_TABANI!D23*B270*(VERI_TABANI!$B$13-VERI_TABANI!$B$14)*VERI_TABANI!G23) + (VERI_TABANI!D23*C270*(VERI_TABANI!$B$13-VERI_TABANI!$B$15)*VERI_TABANI!G23) + IF(ABS(IF(ISNUMBER(SEARCH("Var", D270)), 1, IF(ISNUMBER(SEARCH("Gri", D270)), -1, 0)))=1, VERI_TABANI!E23*(1-0.928)*0.00206091519919798*VERI_TABANI!G23, 0)) + ((MIN(VERI_TABANI!D24, VERI_TABANI!D24*B270)*VERI_TABANI!$B$7 + MAX(0, VERI_TABANI!D24*B270-VERI_TABANI!D24)*VERI_TABANI!$B$8) + (MIN(MAX(0, VERI_TABANI!D24-VERI_TABANI!D24*B270), VERI_TABANI!D24*C270)*VERI_TABANI!$B$7 + MAX(0, VERI_TABANI!D24*C270-MAX(0, VERI_TABANI!D24-VERI_TABANI!D24*B270))*VERI_TABANI!$B$8) + IF(ABS(IF(ISNUMBER(SEARCH("Var", D270)), 1, IF(ISNUMBER(SEARCH("Gri", D270)), -1, 0)))=1, VERI_TABANI!E24*(1-0.928)*VERI_TABANI!$B$9, 0) + (VERI_TABANI!D24*B270*(VERI_TABANI!$B$13-VERI_TABANI!$B$14)*VERI_TABANI!G24) + (VERI_TABANI!D24*C270*(VERI_TABANI!$B$13-VERI_TABANI!$B$15)*VERI_TABANI!G24) + IF(ABS(IF(ISNUMBER(SEARCH("Var", D270)), 1, IF(ISNUMBER(SEARCH("Gri", D270)), -1, 0)))=1, VERI_TABANI!E24*(1-0.928)*0.00206091519919798*VERI_TABANI!G24, 0)) + ((MIN(VERI_TABANI!D25, VERI_TABANI!D25*B270)*VERI_TABANI!$B$7 + MAX(0, VERI_TABANI!D25*B270-VERI_TABANI!D25)*VERI_TABANI!$B$8) + (MIN(MAX(0, VERI_TABANI!D25-VERI_TABANI!D25*B270), VERI_TABANI!D25*C270)*VERI_TABANI!$B$7 + MAX(0, VERI_TABANI!D25*C270-MAX(0, VERI_TABANI!D25-VERI_TABANI!D25*B270))*VERI_TABANI!$B$8) + IF(ABS(IF(ISNUMBER(SEARCH("Var", D270)), 1, IF(ISNUMBER(SEARCH("Gri", D270)), -1, 0)))=1, VERI_TABANI!E25*(1-0.928)*VERI_TABANI!$B$9, 0) + (VERI_TABANI!D25*B270*(VERI_TABANI!$B$13-VERI_TABANI!$B$14)*VERI_TABANI!G25) + (VERI_TABANI!D25*C270*(VERI_TABANI!$B$13-VERI_TABANI!$B$15)*VERI_TABANI!G25) + IF(ABS(IF(ISNUMBER(SEARCH("Var", D270)), 1, IF(ISNUMBER(SEARCH("Gri", D270)), -1, 0)))=1, VERI_TABANI!E25*(1-0.928)*0.00206091519919798*VERI_TABANI!G25, 0)) + ((MIN(VERI_TABANI!D26, VERI_TABANI!D26*B270)*VERI_TABANI!$B$7 + MAX(0, VERI_TABANI!D26*B270-VERI_TABANI!D26)*VERI_TABANI!$B$8) + (MIN(MAX(0, VERI_TABANI!D26-VERI_TABANI!D26*B270), VERI_TABANI!D26*C270)*VERI_TABANI!$B$7 + MAX(0, VERI_TABANI!D26*C270-MAX(0, VERI_TABANI!D26-VERI_TABANI!D26*B270))*VERI_TABANI!$B$8) + IF(ABS(IF(ISNUMBER(SEARCH("Var", D270)), 1, IF(ISNUMBER(SEARCH("Gri", D270)), -1, 0)))=1, VERI_TABANI!E26*(1-0.928)*VERI_TABANI!$B$9, 0) + (VERI_TABANI!D26*B270*(VERI_TABANI!$B$13-VERI_TABANI!$B$14)*VERI_TABANI!G26) + (VERI_TABANI!D26*C270*(VERI_TABANI!$B$13-VERI_TABANI!$B$15)*VERI_TABANI!G26) + IF(ABS(IF(ISNUMBER(SEARCH("Var", D270)), 1, IF(ISNUMBER(SEARCH("Gri", D270)), -1, 0)))=1, VERI_TABANI!E26*(1-0.928)*0.00206091519919798*VERI_TABANI!G26, 0)) + ((MIN(VERI_TABANI!D27, VERI_TABANI!D27*B270)*VERI_TABANI!$B$7 + MAX(0, VERI_TABANI!D27*B270-VERI_TABANI!D27)*VERI_TABANI!$B$8) + (MIN(MAX(0, VERI_TABANI!D27-VERI_TABANI!D27*B270), VERI_TABANI!D27*C270)*VERI_TABANI!$B$7 + MAX(0, VERI_TABANI!D27*C270-MAX(0, VERI_TABANI!D27-VERI_TABANI!D27*B270))*VERI_TABANI!$B$8) + IF(ABS(IF(ISNUMBER(SEARCH("Var", D270)), 1, IF(ISNUMBER(SEARCH("Gri", D270)), -1, 0)))=1, VERI_TABANI!E27*(1-0.928)*VERI_TABANI!$B$9, 0) + (VERI_TABANI!D27*B270*(VERI_TABANI!$B$13-VERI_TABANI!$B$14)*VERI_TABANI!G27) + (VERI_TABANI!D27*C270*(VERI_TABANI!$B$13-VERI_TABANI!$B$15)*VERI_TABANI!G27) + IF(ABS(IF(ISNUMBER(SEARCH("Var", D270)), 1, IF(ISNUMBER(SEARCH("Gri", D270)), -1, 0)))=1, VERI_TABANI!E27*(1-0.928)*0.00206091519919798*VERI_TABANI!G27, 0)) + ((MIN(VERI_TABANI!D28, VERI_TABANI!D28*B270)*VERI_TABANI!$B$7 + MAX(0, VERI_TABANI!D28*B270-VERI_TABANI!D28)*VERI_TABANI!$B$8) + (MIN(MAX(0, VERI_TABANI!D28-VERI_TABANI!D28*B270), VERI_TABANI!D28*C270)*VERI_TABANI!$B$7 + MAX(0, VERI_TABANI!D28*C270-MAX(0, VERI_TABANI!D28-VERI_TABANI!D28*B270))*VERI_TABANI!$B$8) + IF(ABS(IF(ISNUMBER(SEARCH("Var", D270)), 1, IF(ISNUMBER(SEARCH("Gri", D270)), -1, 0)))=1, VERI_TABANI!E28*(1-0.928)*VERI_TABANI!$B$9, 0) + (VERI_TABANI!D28*B270*(VERI_TABANI!$B$13-VERI_TABANI!$B$14)*VERI_TABANI!G28) + (VERI_TABANI!D28*C270*(VERI_TABANI!$B$13-VERI_TABANI!$B$15)*VERI_TABANI!G28) + IF(ABS(IF(ISNUMBER(SEARCH("Var", D270)), 1, IF(ISNUMBER(SEARCH("Gri", D270)), -1, 0)))=1, VERI_TABANI!E28*(1-0.928)*0.00206091519919798*VERI_TABANI!G28, 0)))</f>
        <v/>
      </c>
      <c r="H270" s="169">
        <f>(((VERI_TABANI!D23*B270*(VERI_TABANI!$B$13-VERI_TABANI!$B$14)) + (VERI_TABANI!D23*C270*(VERI_TABANI!$B$13-VERI_TABANI!$B$15)) + IF(ISNUMBER(SEARCH("Var", D270)), VERI_TABANI!F23*(0.00202-VERI_TABANI!$B$16), IF(ISNUMBER(SEARCH("Gri", D270)), VERI_TABANI!F23*(0.00202-VERI_TABANI!$B$17), 0))) + ((VERI_TABANI!D24*B270*(VERI_TABANI!$B$13-VERI_TABANI!$B$14)) + (VERI_TABANI!D24*C270*(VERI_TABANI!$B$13-VERI_TABANI!$B$15)) + IF(ISNUMBER(SEARCH("Var", D270)), VERI_TABANI!F24*(0.00202-VERI_TABANI!$B$16), IF(ISNUMBER(SEARCH("Gri", D270)), VERI_TABANI!F24*(0.00202-VERI_TABANI!$B$17), 0))) + ((VERI_TABANI!D25*B270*(VERI_TABANI!$B$13-VERI_TABANI!$B$14)) + (VERI_TABANI!D25*C270*(VERI_TABANI!$B$13-VERI_TABANI!$B$15)) + IF(ISNUMBER(SEARCH("Var", D270)), VERI_TABANI!F25*(0.00202-VERI_TABANI!$B$16), IF(ISNUMBER(SEARCH("Gri", D270)), VERI_TABANI!F25*(0.00202-VERI_TABANI!$B$17), 0))) + ((VERI_TABANI!D26*B270*(VERI_TABANI!$B$13-VERI_TABANI!$B$14)) + (VERI_TABANI!D26*C270*(VERI_TABANI!$B$13-VERI_TABANI!$B$15)) + IF(ISNUMBER(SEARCH("Var", D270)), VERI_TABANI!F26*(0.00202-VERI_TABANI!$B$16), IF(ISNUMBER(SEARCH("Gri", D270)), VERI_TABANI!F26*(0.00202-VERI_TABANI!$B$17), 0))) + ((VERI_TABANI!D27*B270*(VERI_TABANI!$B$13-VERI_TABANI!$B$14)) + (VERI_TABANI!D27*C270*(VERI_TABANI!$B$13-VERI_TABANI!$B$15)) + IF(ISNUMBER(SEARCH("Var", D270)), VERI_TABANI!F27*(0.00202-VERI_TABANI!$B$16), IF(ISNUMBER(SEARCH("Gri", D270)), VERI_TABANI!F27*(0.00202-VERI_TABANI!$B$17), 0))) + ((VERI_TABANI!D28*B270*(VERI_TABANI!$B$13-VERI_TABANI!$B$14)) + (VERI_TABANI!D28*C270*(VERI_TABANI!$B$13-VERI_TABANI!$B$15)) + IF(ISNUMBER(SEARCH("Var", D270)), VERI_TABANI!F28*(0.00202-VERI_TABANI!$B$16), IF(ISNUMBER(SEARCH("Gri", D270)), VERI_TABANI!F28*(0.00202-VERI_TABANI!$B$17), 0))))</f>
        <v/>
      </c>
      <c r="I270" s="170">
        <f>IFERROR(((VERI_TABANI!$D$29*B270*VERI_TABANI!$B$14 + VERI_TABANI!$D$29*C270*VERI_TABANI!$B$15 + IF(ISNUMBER(SEARCH("Var", D270)), VERI_TABANI!$F$29*VERI_TABANI!$B$16, 0))) / (((VERI_TABANI!$D$29*B270 + VERI_TABANI!$D$29*C270)*VERI_TABANI!$B$13 + IF(ISNUMBER(SEARCH("Var", D270)), VERI_TABANI!$E$29*(1-0.928)*VERI_TABANI!$B$18, 0))), 0)</f>
        <v/>
      </c>
      <c r="J270" s="171">
        <f>IFERROR(F270/(G270/29), 0)</f>
        <v/>
      </c>
      <c r="K270" s="172">
        <f>IF(F270&gt;0, H270/F270, 0)</f>
        <v/>
      </c>
      <c r="L270" s="170">
        <f>IF(F270&gt;0, I270, 1000000000)</f>
        <v/>
      </c>
      <c r="M270" s="171">
        <f>ABS((B270+C270)-1)</f>
        <v/>
      </c>
      <c r="N270" s="170">
        <f>IF(F270&gt;0, (G270/29)/F270, 0)</f>
        <v/>
      </c>
      <c r="O270" s="168">
        <f>IF(AND((B270+C270)&gt;=1, ISNUMBER(SEARCH("Var", D270))), F270, 1000000000)</f>
        <v/>
      </c>
      <c r="P270" s="172">
        <f>IF(F270&gt;0, SQRT((F270/MAX(F$5:F$886))^2 + (1 - H270/MAX(H$5:H$886))^2 + (J270/MAX(J$5:J$886))^2), 1000000000)</f>
        <v/>
      </c>
      <c r="Q270" s="166">
        <f>IF(AND(ABS(B270-0.5)&lt;0.01, ABS(C270-0.5)&lt;0.01, ISNUMBER(SEARCH("Var", D270))), 1, 0)</f>
        <v/>
      </c>
      <c r="R270" s="171">
        <f>IF(F270&gt;0, J270, 1000000000)</f>
        <v/>
      </c>
      <c r="S270" s="101">
        <f>IF(AND(F270&lt;=DASHBOARD!$B$11, H270&gt;=DASHBOARD!$B$13), G270, -1000000000000)</f>
        <v/>
      </c>
      <c r="T270" s="101">
        <f>IF(AND(F270&lt;=DASHBOARD!$B$11, H270&gt;=DASHBOARD!$B$13), R270, 1000000000000)</f>
        <v/>
      </c>
      <c r="U270" s="101">
        <f>IF(AND(F270&lt;=DASHBOARD!$B$11, H270&gt;=DASHBOARD!$B$13), N270, -1000000000000)</f>
        <v/>
      </c>
      <c r="V270" s="101">
        <f>IF(AND(F270&lt;=DASHBOARD!$B$11, H270&gt;=DASHBOARD!$B$13), H270, -1000000000000)</f>
        <v/>
      </c>
      <c r="W270" s="101">
        <f>IF(AND(F270&lt;=DASHBOARD!$B$11, H270&gt;=DASHBOARD!$B$13), K270, -1000000000000)</f>
        <v/>
      </c>
      <c r="X270" s="101">
        <f>IF(AND(F270&lt;=DASHBOARD!$B$11, H270&gt;=DASHBOARD!$B$13), M270, 1000000000000)</f>
        <v/>
      </c>
      <c r="Y270" s="101">
        <f>IF(AND(F270&lt;=DASHBOARD!$B$10, H270&gt;=DASHBOARD!$B$11), L270, 1000000000000)</f>
        <v/>
      </c>
      <c r="Z270" s="101">
        <f>IF(AND(F270&lt;=DASHBOARD!$B$10, H270&gt;=DASHBOARD!$B$11), O270, 1000000000000)</f>
        <v/>
      </c>
      <c r="AA270" s="101">
        <f>IF(AND(F270&lt;=DASHBOARD!$B$10, H270&gt;=DASHBOARD!$B$11), P270, 1000000000000)</f>
        <v/>
      </c>
      <c r="AB270" s="101">
        <f>IF(AND(F270&lt;=DASHBOARD!$B$10, H270&gt;=DASHBOARD!$B$11), Q270, -1000000000000)</f>
        <v/>
      </c>
    </row>
    <row r="271" ht="15" customHeight="1" s="102">
      <c r="A271" s="166" t="n">
        <v>267</v>
      </c>
      <c r="B271" s="167" t="n">
        <v>0.6</v>
      </c>
      <c r="C271" s="167" t="n">
        <v>0.7</v>
      </c>
      <c r="D271" s="110" t="inlineStr">
        <is>
          <t>Yok (%0)</t>
        </is>
      </c>
      <c r="E271" s="110">
        <f>IF((B271+C271)&lt;=1, "Tam Mahsuplaşma (≤%100)", "Kısmi Satış (&gt;%100)")</f>
        <v/>
      </c>
      <c r="F271" s="168">
        <f>((VERI_TABANI!$D$29*B271/VERI_TABANI!$B$29)/VERI_TABANI!$B$3)*VERI_TABANI!$B$5 + ((VERI_TABANI!$D$29*C271/VERI_TABANI!$B$29)/VERI_TABANI!$B$4)*VERI_TABANI!$B$6 + IF(ISNUMBER(SEARCH("Var", D271)), (VERI_TABANI!$F$29/VERI_TABANI!$B$29)*(VERI_TABANI!$B$10+VERI_TABANI!$B$12), 0)</f>
        <v/>
      </c>
      <c r="G271" s="168">
        <f>(((MIN(VERI_TABANI!D23, VERI_TABANI!D23*B271)*VERI_TABANI!$B$7 + MAX(0, VERI_TABANI!D23*B271-VERI_TABANI!D23)*VERI_TABANI!$B$8) + (MIN(MAX(0, VERI_TABANI!D23-VERI_TABANI!D23*B271), VERI_TABANI!D23*C271)*VERI_TABANI!$B$7 + MAX(0, VERI_TABANI!D23*C271-MAX(0, VERI_TABANI!D23-VERI_TABANI!D23*B271))*VERI_TABANI!$B$8) + IF(ABS(IF(ISNUMBER(SEARCH("Var", D271)), 1, IF(ISNUMBER(SEARCH("Gri", D271)), -1, 0)))=1, VERI_TABANI!E23*(1-0.928)*VERI_TABANI!$B$9, 0) + (VERI_TABANI!D23*B271*(VERI_TABANI!$B$13-VERI_TABANI!$B$14)*VERI_TABANI!G23) + (VERI_TABANI!D23*C271*(VERI_TABANI!$B$13-VERI_TABANI!$B$15)*VERI_TABANI!G23) + IF(ABS(IF(ISNUMBER(SEARCH("Var", D271)), 1, IF(ISNUMBER(SEARCH("Gri", D271)), -1, 0)))=1, VERI_TABANI!E23*(1-0.928)*0.00206091519919798*VERI_TABANI!G23, 0)) + ((MIN(VERI_TABANI!D24, VERI_TABANI!D24*B271)*VERI_TABANI!$B$7 + MAX(0, VERI_TABANI!D24*B271-VERI_TABANI!D24)*VERI_TABANI!$B$8) + (MIN(MAX(0, VERI_TABANI!D24-VERI_TABANI!D24*B271), VERI_TABANI!D24*C271)*VERI_TABANI!$B$7 + MAX(0, VERI_TABANI!D24*C271-MAX(0, VERI_TABANI!D24-VERI_TABANI!D24*B271))*VERI_TABANI!$B$8) + IF(ABS(IF(ISNUMBER(SEARCH("Var", D271)), 1, IF(ISNUMBER(SEARCH("Gri", D271)), -1, 0)))=1, VERI_TABANI!E24*(1-0.928)*VERI_TABANI!$B$9, 0) + (VERI_TABANI!D24*B271*(VERI_TABANI!$B$13-VERI_TABANI!$B$14)*VERI_TABANI!G24) + (VERI_TABANI!D24*C271*(VERI_TABANI!$B$13-VERI_TABANI!$B$15)*VERI_TABANI!G24) + IF(ABS(IF(ISNUMBER(SEARCH("Var", D271)), 1, IF(ISNUMBER(SEARCH("Gri", D271)), -1, 0)))=1, VERI_TABANI!E24*(1-0.928)*0.00206091519919798*VERI_TABANI!G24, 0)) + ((MIN(VERI_TABANI!D25, VERI_TABANI!D25*B271)*VERI_TABANI!$B$7 + MAX(0, VERI_TABANI!D25*B271-VERI_TABANI!D25)*VERI_TABANI!$B$8) + (MIN(MAX(0, VERI_TABANI!D25-VERI_TABANI!D25*B271), VERI_TABANI!D25*C271)*VERI_TABANI!$B$7 + MAX(0, VERI_TABANI!D25*C271-MAX(0, VERI_TABANI!D25-VERI_TABANI!D25*B271))*VERI_TABANI!$B$8) + IF(ABS(IF(ISNUMBER(SEARCH("Var", D271)), 1, IF(ISNUMBER(SEARCH("Gri", D271)), -1, 0)))=1, VERI_TABANI!E25*(1-0.928)*VERI_TABANI!$B$9, 0) + (VERI_TABANI!D25*B271*(VERI_TABANI!$B$13-VERI_TABANI!$B$14)*VERI_TABANI!G25) + (VERI_TABANI!D25*C271*(VERI_TABANI!$B$13-VERI_TABANI!$B$15)*VERI_TABANI!G25) + IF(ABS(IF(ISNUMBER(SEARCH("Var", D271)), 1, IF(ISNUMBER(SEARCH("Gri", D271)), -1, 0)))=1, VERI_TABANI!E25*(1-0.928)*0.00206091519919798*VERI_TABANI!G25, 0)) + ((MIN(VERI_TABANI!D26, VERI_TABANI!D26*B271)*VERI_TABANI!$B$7 + MAX(0, VERI_TABANI!D26*B271-VERI_TABANI!D26)*VERI_TABANI!$B$8) + (MIN(MAX(0, VERI_TABANI!D26-VERI_TABANI!D26*B271), VERI_TABANI!D26*C271)*VERI_TABANI!$B$7 + MAX(0, VERI_TABANI!D26*C271-MAX(0, VERI_TABANI!D26-VERI_TABANI!D26*B271))*VERI_TABANI!$B$8) + IF(ABS(IF(ISNUMBER(SEARCH("Var", D271)), 1, IF(ISNUMBER(SEARCH("Gri", D271)), -1, 0)))=1, VERI_TABANI!E26*(1-0.928)*VERI_TABANI!$B$9, 0) + (VERI_TABANI!D26*B271*(VERI_TABANI!$B$13-VERI_TABANI!$B$14)*VERI_TABANI!G26) + (VERI_TABANI!D26*C271*(VERI_TABANI!$B$13-VERI_TABANI!$B$15)*VERI_TABANI!G26) + IF(ABS(IF(ISNUMBER(SEARCH("Var", D271)), 1, IF(ISNUMBER(SEARCH("Gri", D271)), -1, 0)))=1, VERI_TABANI!E26*(1-0.928)*0.00206091519919798*VERI_TABANI!G26, 0)) + ((MIN(VERI_TABANI!D27, VERI_TABANI!D27*B271)*VERI_TABANI!$B$7 + MAX(0, VERI_TABANI!D27*B271-VERI_TABANI!D27)*VERI_TABANI!$B$8) + (MIN(MAX(0, VERI_TABANI!D27-VERI_TABANI!D27*B271), VERI_TABANI!D27*C271)*VERI_TABANI!$B$7 + MAX(0, VERI_TABANI!D27*C271-MAX(0, VERI_TABANI!D27-VERI_TABANI!D27*B271))*VERI_TABANI!$B$8) + IF(ABS(IF(ISNUMBER(SEARCH("Var", D271)), 1, IF(ISNUMBER(SEARCH("Gri", D271)), -1, 0)))=1, VERI_TABANI!E27*(1-0.928)*VERI_TABANI!$B$9, 0) + (VERI_TABANI!D27*B271*(VERI_TABANI!$B$13-VERI_TABANI!$B$14)*VERI_TABANI!G27) + (VERI_TABANI!D27*C271*(VERI_TABANI!$B$13-VERI_TABANI!$B$15)*VERI_TABANI!G27) + IF(ABS(IF(ISNUMBER(SEARCH("Var", D271)), 1, IF(ISNUMBER(SEARCH("Gri", D271)), -1, 0)))=1, VERI_TABANI!E27*(1-0.928)*0.00206091519919798*VERI_TABANI!G27, 0)) + ((MIN(VERI_TABANI!D28, VERI_TABANI!D28*B271)*VERI_TABANI!$B$7 + MAX(0, VERI_TABANI!D28*B271-VERI_TABANI!D28)*VERI_TABANI!$B$8) + (MIN(MAX(0, VERI_TABANI!D28-VERI_TABANI!D28*B271), VERI_TABANI!D28*C271)*VERI_TABANI!$B$7 + MAX(0, VERI_TABANI!D28*C271-MAX(0, VERI_TABANI!D28-VERI_TABANI!D28*B271))*VERI_TABANI!$B$8) + IF(ABS(IF(ISNUMBER(SEARCH("Var", D271)), 1, IF(ISNUMBER(SEARCH("Gri", D271)), -1, 0)))=1, VERI_TABANI!E28*(1-0.928)*VERI_TABANI!$B$9, 0) + (VERI_TABANI!D28*B271*(VERI_TABANI!$B$13-VERI_TABANI!$B$14)*VERI_TABANI!G28) + (VERI_TABANI!D28*C271*(VERI_TABANI!$B$13-VERI_TABANI!$B$15)*VERI_TABANI!G28) + IF(ABS(IF(ISNUMBER(SEARCH("Var", D271)), 1, IF(ISNUMBER(SEARCH("Gri", D271)), -1, 0)))=1, VERI_TABANI!E28*(1-0.928)*0.00206091519919798*VERI_TABANI!G28, 0)))</f>
        <v/>
      </c>
      <c r="H271" s="169">
        <f>(((VERI_TABANI!D23*B271*(VERI_TABANI!$B$13-VERI_TABANI!$B$14)) + (VERI_TABANI!D23*C271*(VERI_TABANI!$B$13-VERI_TABANI!$B$15)) + IF(ISNUMBER(SEARCH("Var", D271)), VERI_TABANI!F23*(0.00202-VERI_TABANI!$B$16), IF(ISNUMBER(SEARCH("Gri", D271)), VERI_TABANI!F23*(0.00202-VERI_TABANI!$B$17), 0))) + ((VERI_TABANI!D24*B271*(VERI_TABANI!$B$13-VERI_TABANI!$B$14)) + (VERI_TABANI!D24*C271*(VERI_TABANI!$B$13-VERI_TABANI!$B$15)) + IF(ISNUMBER(SEARCH("Var", D271)), VERI_TABANI!F24*(0.00202-VERI_TABANI!$B$16), IF(ISNUMBER(SEARCH("Gri", D271)), VERI_TABANI!F24*(0.00202-VERI_TABANI!$B$17), 0))) + ((VERI_TABANI!D25*B271*(VERI_TABANI!$B$13-VERI_TABANI!$B$14)) + (VERI_TABANI!D25*C271*(VERI_TABANI!$B$13-VERI_TABANI!$B$15)) + IF(ISNUMBER(SEARCH("Var", D271)), VERI_TABANI!F25*(0.00202-VERI_TABANI!$B$16), IF(ISNUMBER(SEARCH("Gri", D271)), VERI_TABANI!F25*(0.00202-VERI_TABANI!$B$17), 0))) + ((VERI_TABANI!D26*B271*(VERI_TABANI!$B$13-VERI_TABANI!$B$14)) + (VERI_TABANI!D26*C271*(VERI_TABANI!$B$13-VERI_TABANI!$B$15)) + IF(ISNUMBER(SEARCH("Var", D271)), VERI_TABANI!F26*(0.00202-VERI_TABANI!$B$16), IF(ISNUMBER(SEARCH("Gri", D271)), VERI_TABANI!F26*(0.00202-VERI_TABANI!$B$17), 0))) + ((VERI_TABANI!D27*B271*(VERI_TABANI!$B$13-VERI_TABANI!$B$14)) + (VERI_TABANI!D27*C271*(VERI_TABANI!$B$13-VERI_TABANI!$B$15)) + IF(ISNUMBER(SEARCH("Var", D271)), VERI_TABANI!F27*(0.00202-VERI_TABANI!$B$16), IF(ISNUMBER(SEARCH("Gri", D271)), VERI_TABANI!F27*(0.00202-VERI_TABANI!$B$17), 0))) + ((VERI_TABANI!D28*B271*(VERI_TABANI!$B$13-VERI_TABANI!$B$14)) + (VERI_TABANI!D28*C271*(VERI_TABANI!$B$13-VERI_TABANI!$B$15)) + IF(ISNUMBER(SEARCH("Var", D271)), VERI_TABANI!F28*(0.00202-VERI_TABANI!$B$16), IF(ISNUMBER(SEARCH("Gri", D271)), VERI_TABANI!F28*(0.00202-VERI_TABANI!$B$17), 0))))</f>
        <v/>
      </c>
      <c r="I271" s="170">
        <f>IFERROR(((VERI_TABANI!$D$29*B271*VERI_TABANI!$B$14 + VERI_TABANI!$D$29*C271*VERI_TABANI!$B$15 + IF(ISNUMBER(SEARCH("Var", D271)), VERI_TABANI!$F$29*VERI_TABANI!$B$16, 0))) / (((VERI_TABANI!$D$29*B271 + VERI_TABANI!$D$29*C271)*VERI_TABANI!$B$13 + IF(ISNUMBER(SEARCH("Var", D271)), VERI_TABANI!$E$29*(1-0.928)*VERI_TABANI!$B$18, 0))), 0)</f>
        <v/>
      </c>
      <c r="J271" s="171">
        <f>IFERROR(F271/(G271/29), 0)</f>
        <v/>
      </c>
      <c r="K271" s="172">
        <f>IF(F271&gt;0, H271/F271, 0)</f>
        <v/>
      </c>
      <c r="L271" s="170">
        <f>IF(F271&gt;0, I271, 1000000000)</f>
        <v/>
      </c>
      <c r="M271" s="171">
        <f>ABS((B271+C271)-1)</f>
        <v/>
      </c>
      <c r="N271" s="170">
        <f>IF(F271&gt;0, (G271/29)/F271, 0)</f>
        <v/>
      </c>
      <c r="O271" s="168">
        <f>IF(AND((B271+C271)&gt;=1, ISNUMBER(SEARCH("Var", D271))), F271, 1000000000)</f>
        <v/>
      </c>
      <c r="P271" s="172">
        <f>IF(F271&gt;0, SQRT((F271/MAX(F$5:F$886))^2 + (1 - H271/MAX(H$5:H$886))^2 + (J271/MAX(J$5:J$886))^2), 1000000000)</f>
        <v/>
      </c>
      <c r="Q271" s="166">
        <f>IF(AND(ABS(B271-0.5)&lt;0.01, ABS(C271-0.5)&lt;0.01, ISNUMBER(SEARCH("Var", D271))), 1, 0)</f>
        <v/>
      </c>
      <c r="R271" s="171">
        <f>IF(F271&gt;0, J271, 1000000000)</f>
        <v/>
      </c>
      <c r="S271" s="101">
        <f>IF(AND(F271&lt;=DASHBOARD!$B$11, H271&gt;=DASHBOARD!$B$13), G271, -1000000000000)</f>
        <v/>
      </c>
      <c r="T271" s="101">
        <f>IF(AND(F271&lt;=DASHBOARD!$B$11, H271&gt;=DASHBOARD!$B$13), R271, 1000000000000)</f>
        <v/>
      </c>
      <c r="U271" s="101">
        <f>IF(AND(F271&lt;=DASHBOARD!$B$11, H271&gt;=DASHBOARD!$B$13), N271, -1000000000000)</f>
        <v/>
      </c>
      <c r="V271" s="101">
        <f>IF(AND(F271&lt;=DASHBOARD!$B$11, H271&gt;=DASHBOARD!$B$13), H271, -1000000000000)</f>
        <v/>
      </c>
      <c r="W271" s="101">
        <f>IF(AND(F271&lt;=DASHBOARD!$B$11, H271&gt;=DASHBOARD!$B$13), K271, -1000000000000)</f>
        <v/>
      </c>
      <c r="X271" s="101">
        <f>IF(AND(F271&lt;=DASHBOARD!$B$11, H271&gt;=DASHBOARD!$B$13), M271, 1000000000000)</f>
        <v/>
      </c>
      <c r="Y271" s="101">
        <f>IF(AND(F271&lt;=DASHBOARD!$B$10, H271&gt;=DASHBOARD!$B$11), L271, 1000000000000)</f>
        <v/>
      </c>
      <c r="Z271" s="101">
        <f>IF(AND(F271&lt;=DASHBOARD!$B$10, H271&gt;=DASHBOARD!$B$11), O271, 1000000000000)</f>
        <v/>
      </c>
      <c r="AA271" s="101">
        <f>IF(AND(F271&lt;=DASHBOARD!$B$10, H271&gt;=DASHBOARD!$B$11), P271, 1000000000000)</f>
        <v/>
      </c>
      <c r="AB271" s="101">
        <f>IF(AND(F271&lt;=DASHBOARD!$B$10, H271&gt;=DASHBOARD!$B$11), Q271, -1000000000000)</f>
        <v/>
      </c>
    </row>
    <row r="272" ht="15" customHeight="1" s="102">
      <c r="A272" s="166" t="n">
        <v>268</v>
      </c>
      <c r="B272" s="167" t="n">
        <v>0.6</v>
      </c>
      <c r="C272" s="167" t="n">
        <v>0.7</v>
      </c>
      <c r="D272" s="110" t="inlineStr">
        <is>
          <t>Var (%20)</t>
        </is>
      </c>
      <c r="E272" s="110">
        <f>IF((B272+C272)&lt;=1, "Tam Mahsuplaşma (≤%100)", "Kısmi Satış (&gt;%100)")</f>
        <v/>
      </c>
      <c r="F272" s="168">
        <f>((VERI_TABANI!$D$29*B272/VERI_TABANI!$B$29)/VERI_TABANI!$B$3)*VERI_TABANI!$B$5 + ((VERI_TABANI!$D$29*C272/VERI_TABANI!$B$29)/VERI_TABANI!$B$4)*VERI_TABANI!$B$6 + IF(ISNUMBER(SEARCH("Var", D272)), (VERI_TABANI!$F$29/VERI_TABANI!$B$29)*(VERI_TABANI!$B$10+VERI_TABANI!$B$12), 0)</f>
        <v/>
      </c>
      <c r="G272" s="168">
        <f>(((MIN(VERI_TABANI!D23, VERI_TABANI!D23*B272)*VERI_TABANI!$B$7 + MAX(0, VERI_TABANI!D23*B272-VERI_TABANI!D23)*VERI_TABANI!$B$8) + (MIN(MAX(0, VERI_TABANI!D23-VERI_TABANI!D23*B272), VERI_TABANI!D23*C272)*VERI_TABANI!$B$7 + MAX(0, VERI_TABANI!D23*C272-MAX(0, VERI_TABANI!D23-VERI_TABANI!D23*B272))*VERI_TABANI!$B$8) + IF(ABS(IF(ISNUMBER(SEARCH("Var", D272)), 1, IF(ISNUMBER(SEARCH("Gri", D272)), -1, 0)))=1, VERI_TABANI!E23*(1-0.928)*VERI_TABANI!$B$9, 0) + (VERI_TABANI!D23*B272*(VERI_TABANI!$B$13-VERI_TABANI!$B$14)*VERI_TABANI!G23) + (VERI_TABANI!D23*C272*(VERI_TABANI!$B$13-VERI_TABANI!$B$15)*VERI_TABANI!G23) + IF(ABS(IF(ISNUMBER(SEARCH("Var", D272)), 1, IF(ISNUMBER(SEARCH("Gri", D272)), -1, 0)))=1, VERI_TABANI!E23*(1-0.928)*0.00206091519919798*VERI_TABANI!G23, 0)) + ((MIN(VERI_TABANI!D24, VERI_TABANI!D24*B272)*VERI_TABANI!$B$7 + MAX(0, VERI_TABANI!D24*B272-VERI_TABANI!D24)*VERI_TABANI!$B$8) + (MIN(MAX(0, VERI_TABANI!D24-VERI_TABANI!D24*B272), VERI_TABANI!D24*C272)*VERI_TABANI!$B$7 + MAX(0, VERI_TABANI!D24*C272-MAX(0, VERI_TABANI!D24-VERI_TABANI!D24*B272))*VERI_TABANI!$B$8) + IF(ABS(IF(ISNUMBER(SEARCH("Var", D272)), 1, IF(ISNUMBER(SEARCH("Gri", D272)), -1, 0)))=1, VERI_TABANI!E24*(1-0.928)*VERI_TABANI!$B$9, 0) + (VERI_TABANI!D24*B272*(VERI_TABANI!$B$13-VERI_TABANI!$B$14)*VERI_TABANI!G24) + (VERI_TABANI!D24*C272*(VERI_TABANI!$B$13-VERI_TABANI!$B$15)*VERI_TABANI!G24) + IF(ABS(IF(ISNUMBER(SEARCH("Var", D272)), 1, IF(ISNUMBER(SEARCH("Gri", D272)), -1, 0)))=1, VERI_TABANI!E24*(1-0.928)*0.00206091519919798*VERI_TABANI!G24, 0)) + ((MIN(VERI_TABANI!D25, VERI_TABANI!D25*B272)*VERI_TABANI!$B$7 + MAX(0, VERI_TABANI!D25*B272-VERI_TABANI!D25)*VERI_TABANI!$B$8) + (MIN(MAX(0, VERI_TABANI!D25-VERI_TABANI!D25*B272), VERI_TABANI!D25*C272)*VERI_TABANI!$B$7 + MAX(0, VERI_TABANI!D25*C272-MAX(0, VERI_TABANI!D25-VERI_TABANI!D25*B272))*VERI_TABANI!$B$8) + IF(ABS(IF(ISNUMBER(SEARCH("Var", D272)), 1, IF(ISNUMBER(SEARCH("Gri", D272)), -1, 0)))=1, VERI_TABANI!E25*(1-0.928)*VERI_TABANI!$B$9, 0) + (VERI_TABANI!D25*B272*(VERI_TABANI!$B$13-VERI_TABANI!$B$14)*VERI_TABANI!G25) + (VERI_TABANI!D25*C272*(VERI_TABANI!$B$13-VERI_TABANI!$B$15)*VERI_TABANI!G25) + IF(ABS(IF(ISNUMBER(SEARCH("Var", D272)), 1, IF(ISNUMBER(SEARCH("Gri", D272)), -1, 0)))=1, VERI_TABANI!E25*(1-0.928)*0.00206091519919798*VERI_TABANI!G25, 0)) + ((MIN(VERI_TABANI!D26, VERI_TABANI!D26*B272)*VERI_TABANI!$B$7 + MAX(0, VERI_TABANI!D26*B272-VERI_TABANI!D26)*VERI_TABANI!$B$8) + (MIN(MAX(0, VERI_TABANI!D26-VERI_TABANI!D26*B272), VERI_TABANI!D26*C272)*VERI_TABANI!$B$7 + MAX(0, VERI_TABANI!D26*C272-MAX(0, VERI_TABANI!D26-VERI_TABANI!D26*B272))*VERI_TABANI!$B$8) + IF(ABS(IF(ISNUMBER(SEARCH("Var", D272)), 1, IF(ISNUMBER(SEARCH("Gri", D272)), -1, 0)))=1, VERI_TABANI!E26*(1-0.928)*VERI_TABANI!$B$9, 0) + (VERI_TABANI!D26*B272*(VERI_TABANI!$B$13-VERI_TABANI!$B$14)*VERI_TABANI!G26) + (VERI_TABANI!D26*C272*(VERI_TABANI!$B$13-VERI_TABANI!$B$15)*VERI_TABANI!G26) + IF(ABS(IF(ISNUMBER(SEARCH("Var", D272)), 1, IF(ISNUMBER(SEARCH("Gri", D272)), -1, 0)))=1, VERI_TABANI!E26*(1-0.928)*0.00206091519919798*VERI_TABANI!G26, 0)) + ((MIN(VERI_TABANI!D27, VERI_TABANI!D27*B272)*VERI_TABANI!$B$7 + MAX(0, VERI_TABANI!D27*B272-VERI_TABANI!D27)*VERI_TABANI!$B$8) + (MIN(MAX(0, VERI_TABANI!D27-VERI_TABANI!D27*B272), VERI_TABANI!D27*C272)*VERI_TABANI!$B$7 + MAX(0, VERI_TABANI!D27*C272-MAX(0, VERI_TABANI!D27-VERI_TABANI!D27*B272))*VERI_TABANI!$B$8) + IF(ABS(IF(ISNUMBER(SEARCH("Var", D272)), 1, IF(ISNUMBER(SEARCH("Gri", D272)), -1, 0)))=1, VERI_TABANI!E27*(1-0.928)*VERI_TABANI!$B$9, 0) + (VERI_TABANI!D27*B272*(VERI_TABANI!$B$13-VERI_TABANI!$B$14)*VERI_TABANI!G27) + (VERI_TABANI!D27*C272*(VERI_TABANI!$B$13-VERI_TABANI!$B$15)*VERI_TABANI!G27) + IF(ABS(IF(ISNUMBER(SEARCH("Var", D272)), 1, IF(ISNUMBER(SEARCH("Gri", D272)), -1, 0)))=1, VERI_TABANI!E27*(1-0.928)*0.00206091519919798*VERI_TABANI!G27, 0)) + ((MIN(VERI_TABANI!D28, VERI_TABANI!D28*B272)*VERI_TABANI!$B$7 + MAX(0, VERI_TABANI!D28*B272-VERI_TABANI!D28)*VERI_TABANI!$B$8) + (MIN(MAX(0, VERI_TABANI!D28-VERI_TABANI!D28*B272), VERI_TABANI!D28*C272)*VERI_TABANI!$B$7 + MAX(0, VERI_TABANI!D28*C272-MAX(0, VERI_TABANI!D28-VERI_TABANI!D28*B272))*VERI_TABANI!$B$8) + IF(ABS(IF(ISNUMBER(SEARCH("Var", D272)), 1, IF(ISNUMBER(SEARCH("Gri", D272)), -1, 0)))=1, VERI_TABANI!E28*(1-0.928)*VERI_TABANI!$B$9, 0) + (VERI_TABANI!D28*B272*(VERI_TABANI!$B$13-VERI_TABANI!$B$14)*VERI_TABANI!G28) + (VERI_TABANI!D28*C272*(VERI_TABANI!$B$13-VERI_TABANI!$B$15)*VERI_TABANI!G28) + IF(ABS(IF(ISNUMBER(SEARCH("Var", D272)), 1, IF(ISNUMBER(SEARCH("Gri", D272)), -1, 0)))=1, VERI_TABANI!E28*(1-0.928)*0.00206091519919798*VERI_TABANI!G28, 0)))</f>
        <v/>
      </c>
      <c r="H272" s="169">
        <f>(((VERI_TABANI!D23*B272*(VERI_TABANI!$B$13-VERI_TABANI!$B$14)) + (VERI_TABANI!D23*C272*(VERI_TABANI!$B$13-VERI_TABANI!$B$15)) + IF(ISNUMBER(SEARCH("Var", D272)), VERI_TABANI!F23*(0.00202-VERI_TABANI!$B$16), IF(ISNUMBER(SEARCH("Gri", D272)), VERI_TABANI!F23*(0.00202-VERI_TABANI!$B$17), 0))) + ((VERI_TABANI!D24*B272*(VERI_TABANI!$B$13-VERI_TABANI!$B$14)) + (VERI_TABANI!D24*C272*(VERI_TABANI!$B$13-VERI_TABANI!$B$15)) + IF(ISNUMBER(SEARCH("Var", D272)), VERI_TABANI!F24*(0.00202-VERI_TABANI!$B$16), IF(ISNUMBER(SEARCH("Gri", D272)), VERI_TABANI!F24*(0.00202-VERI_TABANI!$B$17), 0))) + ((VERI_TABANI!D25*B272*(VERI_TABANI!$B$13-VERI_TABANI!$B$14)) + (VERI_TABANI!D25*C272*(VERI_TABANI!$B$13-VERI_TABANI!$B$15)) + IF(ISNUMBER(SEARCH("Var", D272)), VERI_TABANI!F25*(0.00202-VERI_TABANI!$B$16), IF(ISNUMBER(SEARCH("Gri", D272)), VERI_TABANI!F25*(0.00202-VERI_TABANI!$B$17), 0))) + ((VERI_TABANI!D26*B272*(VERI_TABANI!$B$13-VERI_TABANI!$B$14)) + (VERI_TABANI!D26*C272*(VERI_TABANI!$B$13-VERI_TABANI!$B$15)) + IF(ISNUMBER(SEARCH("Var", D272)), VERI_TABANI!F26*(0.00202-VERI_TABANI!$B$16), IF(ISNUMBER(SEARCH("Gri", D272)), VERI_TABANI!F26*(0.00202-VERI_TABANI!$B$17), 0))) + ((VERI_TABANI!D27*B272*(VERI_TABANI!$B$13-VERI_TABANI!$B$14)) + (VERI_TABANI!D27*C272*(VERI_TABANI!$B$13-VERI_TABANI!$B$15)) + IF(ISNUMBER(SEARCH("Var", D272)), VERI_TABANI!F27*(0.00202-VERI_TABANI!$B$16), IF(ISNUMBER(SEARCH("Gri", D272)), VERI_TABANI!F27*(0.00202-VERI_TABANI!$B$17), 0))) + ((VERI_TABANI!D28*B272*(VERI_TABANI!$B$13-VERI_TABANI!$B$14)) + (VERI_TABANI!D28*C272*(VERI_TABANI!$B$13-VERI_TABANI!$B$15)) + IF(ISNUMBER(SEARCH("Var", D272)), VERI_TABANI!F28*(0.00202-VERI_TABANI!$B$16), IF(ISNUMBER(SEARCH("Gri", D272)), VERI_TABANI!F28*(0.00202-VERI_TABANI!$B$17), 0))))</f>
        <v/>
      </c>
      <c r="I272" s="170">
        <f>IFERROR(((VERI_TABANI!$D$29*B272*VERI_TABANI!$B$14 + VERI_TABANI!$D$29*C272*VERI_TABANI!$B$15 + IF(ISNUMBER(SEARCH("Var", D272)), VERI_TABANI!$F$29*VERI_TABANI!$B$16, 0))) / (((VERI_TABANI!$D$29*B272 + VERI_TABANI!$D$29*C272)*VERI_TABANI!$B$13 + IF(ISNUMBER(SEARCH("Var", D272)), VERI_TABANI!$E$29*(1-0.928)*VERI_TABANI!$B$18, 0))), 0)</f>
        <v/>
      </c>
      <c r="J272" s="171">
        <f>IFERROR(F272/(G272/29), 0)</f>
        <v/>
      </c>
      <c r="K272" s="172">
        <f>IF(F272&gt;0, H272/F272, 0)</f>
        <v/>
      </c>
      <c r="L272" s="170">
        <f>IF(F272&gt;0, I272, 1000000000)</f>
        <v/>
      </c>
      <c r="M272" s="171">
        <f>ABS((B272+C272)-1)</f>
        <v/>
      </c>
      <c r="N272" s="170">
        <f>IF(F272&gt;0, (G272/29)/F272, 0)</f>
        <v/>
      </c>
      <c r="O272" s="168">
        <f>IF(AND((B272+C272)&gt;=1, ISNUMBER(SEARCH("Var", D272))), F272, 1000000000)</f>
        <v/>
      </c>
      <c r="P272" s="172">
        <f>IF(F272&gt;0, SQRT((F272/MAX(F$5:F$886))^2 + (1 - H272/MAX(H$5:H$886))^2 + (J272/MAX(J$5:J$886))^2), 1000000000)</f>
        <v/>
      </c>
      <c r="Q272" s="166">
        <f>IF(AND(ABS(B272-0.5)&lt;0.01, ABS(C272-0.5)&lt;0.01, ISNUMBER(SEARCH("Var", D272))), 1, 0)</f>
        <v/>
      </c>
      <c r="R272" s="171">
        <f>IF(F272&gt;0, J272, 1000000000)</f>
        <v/>
      </c>
      <c r="S272" s="101">
        <f>IF(AND(F272&lt;=DASHBOARD!$B$11, H272&gt;=DASHBOARD!$B$13), G272, -1000000000000)</f>
        <v/>
      </c>
      <c r="T272" s="101">
        <f>IF(AND(F272&lt;=DASHBOARD!$B$11, H272&gt;=DASHBOARD!$B$13), R272, 1000000000000)</f>
        <v/>
      </c>
      <c r="U272" s="101">
        <f>IF(AND(F272&lt;=DASHBOARD!$B$11, H272&gt;=DASHBOARD!$B$13), N272, -1000000000000)</f>
        <v/>
      </c>
      <c r="V272" s="101">
        <f>IF(AND(F272&lt;=DASHBOARD!$B$11, H272&gt;=DASHBOARD!$B$13), H272, -1000000000000)</f>
        <v/>
      </c>
      <c r="W272" s="101">
        <f>IF(AND(F272&lt;=DASHBOARD!$B$11, H272&gt;=DASHBOARD!$B$13), K272, -1000000000000)</f>
        <v/>
      </c>
      <c r="X272" s="101">
        <f>IF(AND(F272&lt;=DASHBOARD!$B$11, H272&gt;=DASHBOARD!$B$13), M272, 1000000000000)</f>
        <v/>
      </c>
      <c r="Y272" s="101">
        <f>IF(AND(F272&lt;=DASHBOARD!$B$10, H272&gt;=DASHBOARD!$B$11), L272, 1000000000000)</f>
        <v/>
      </c>
      <c r="Z272" s="101">
        <f>IF(AND(F272&lt;=DASHBOARD!$B$10, H272&gt;=DASHBOARD!$B$11), O272, 1000000000000)</f>
        <v/>
      </c>
      <c r="AA272" s="101">
        <f>IF(AND(F272&lt;=DASHBOARD!$B$10, H272&gt;=DASHBOARD!$B$11), P272, 1000000000000)</f>
        <v/>
      </c>
      <c r="AB272" s="101">
        <f>IF(AND(F272&lt;=DASHBOARD!$B$10, H272&gt;=DASHBOARD!$B$11), Q272, -1000000000000)</f>
        <v/>
      </c>
    </row>
    <row r="273" ht="15" customHeight="1" s="102">
      <c r="A273" s="166" t="n">
        <v>269</v>
      </c>
      <c r="B273" s="167" t="n">
        <v>0.6</v>
      </c>
      <c r="C273" s="167" t="n">
        <v>0.8</v>
      </c>
      <c r="D273" s="110" t="inlineStr">
        <is>
          <t>Yok (%0)</t>
        </is>
      </c>
      <c r="E273" s="110">
        <f>IF((B273+C273)&lt;=1, "Tam Mahsuplaşma (≤%100)", "Kısmi Satış (&gt;%100)")</f>
        <v/>
      </c>
      <c r="F273" s="168">
        <f>((VERI_TABANI!$D$29*B273/VERI_TABANI!$B$29)/VERI_TABANI!$B$3)*VERI_TABANI!$B$5 + ((VERI_TABANI!$D$29*C273/VERI_TABANI!$B$29)/VERI_TABANI!$B$4)*VERI_TABANI!$B$6 + IF(ISNUMBER(SEARCH("Var", D273)), (VERI_TABANI!$F$29/VERI_TABANI!$B$29)*(VERI_TABANI!$B$10+VERI_TABANI!$B$12), 0)</f>
        <v/>
      </c>
      <c r="G273" s="168">
        <f>(((MIN(VERI_TABANI!D23, VERI_TABANI!D23*B273)*VERI_TABANI!$B$7 + MAX(0, VERI_TABANI!D23*B273-VERI_TABANI!D23)*VERI_TABANI!$B$8) + (MIN(MAX(0, VERI_TABANI!D23-VERI_TABANI!D23*B273), VERI_TABANI!D23*C273)*VERI_TABANI!$B$7 + MAX(0, VERI_TABANI!D23*C273-MAX(0, VERI_TABANI!D23-VERI_TABANI!D23*B273))*VERI_TABANI!$B$8) + IF(ABS(IF(ISNUMBER(SEARCH("Var", D273)), 1, IF(ISNUMBER(SEARCH("Gri", D273)), -1, 0)))=1, VERI_TABANI!E23*(1-0.928)*VERI_TABANI!$B$9, 0) + (VERI_TABANI!D23*B273*(VERI_TABANI!$B$13-VERI_TABANI!$B$14)*VERI_TABANI!G23) + (VERI_TABANI!D23*C273*(VERI_TABANI!$B$13-VERI_TABANI!$B$15)*VERI_TABANI!G23) + IF(ABS(IF(ISNUMBER(SEARCH("Var", D273)), 1, IF(ISNUMBER(SEARCH("Gri", D273)), -1, 0)))=1, VERI_TABANI!E23*(1-0.928)*0.00206091519919798*VERI_TABANI!G23, 0)) + ((MIN(VERI_TABANI!D24, VERI_TABANI!D24*B273)*VERI_TABANI!$B$7 + MAX(0, VERI_TABANI!D24*B273-VERI_TABANI!D24)*VERI_TABANI!$B$8) + (MIN(MAX(0, VERI_TABANI!D24-VERI_TABANI!D24*B273), VERI_TABANI!D24*C273)*VERI_TABANI!$B$7 + MAX(0, VERI_TABANI!D24*C273-MAX(0, VERI_TABANI!D24-VERI_TABANI!D24*B273))*VERI_TABANI!$B$8) + IF(ABS(IF(ISNUMBER(SEARCH("Var", D273)), 1, IF(ISNUMBER(SEARCH("Gri", D273)), -1, 0)))=1, VERI_TABANI!E24*(1-0.928)*VERI_TABANI!$B$9, 0) + (VERI_TABANI!D24*B273*(VERI_TABANI!$B$13-VERI_TABANI!$B$14)*VERI_TABANI!G24) + (VERI_TABANI!D24*C273*(VERI_TABANI!$B$13-VERI_TABANI!$B$15)*VERI_TABANI!G24) + IF(ABS(IF(ISNUMBER(SEARCH("Var", D273)), 1, IF(ISNUMBER(SEARCH("Gri", D273)), -1, 0)))=1, VERI_TABANI!E24*(1-0.928)*0.00206091519919798*VERI_TABANI!G24, 0)) + ((MIN(VERI_TABANI!D25, VERI_TABANI!D25*B273)*VERI_TABANI!$B$7 + MAX(0, VERI_TABANI!D25*B273-VERI_TABANI!D25)*VERI_TABANI!$B$8) + (MIN(MAX(0, VERI_TABANI!D25-VERI_TABANI!D25*B273), VERI_TABANI!D25*C273)*VERI_TABANI!$B$7 + MAX(0, VERI_TABANI!D25*C273-MAX(0, VERI_TABANI!D25-VERI_TABANI!D25*B273))*VERI_TABANI!$B$8) + IF(ABS(IF(ISNUMBER(SEARCH("Var", D273)), 1, IF(ISNUMBER(SEARCH("Gri", D273)), -1, 0)))=1, VERI_TABANI!E25*(1-0.928)*VERI_TABANI!$B$9, 0) + (VERI_TABANI!D25*B273*(VERI_TABANI!$B$13-VERI_TABANI!$B$14)*VERI_TABANI!G25) + (VERI_TABANI!D25*C273*(VERI_TABANI!$B$13-VERI_TABANI!$B$15)*VERI_TABANI!G25) + IF(ABS(IF(ISNUMBER(SEARCH("Var", D273)), 1, IF(ISNUMBER(SEARCH("Gri", D273)), -1, 0)))=1, VERI_TABANI!E25*(1-0.928)*0.00206091519919798*VERI_TABANI!G25, 0)) + ((MIN(VERI_TABANI!D26, VERI_TABANI!D26*B273)*VERI_TABANI!$B$7 + MAX(0, VERI_TABANI!D26*B273-VERI_TABANI!D26)*VERI_TABANI!$B$8) + (MIN(MAX(0, VERI_TABANI!D26-VERI_TABANI!D26*B273), VERI_TABANI!D26*C273)*VERI_TABANI!$B$7 + MAX(0, VERI_TABANI!D26*C273-MAX(0, VERI_TABANI!D26-VERI_TABANI!D26*B273))*VERI_TABANI!$B$8) + IF(ABS(IF(ISNUMBER(SEARCH("Var", D273)), 1, IF(ISNUMBER(SEARCH("Gri", D273)), -1, 0)))=1, VERI_TABANI!E26*(1-0.928)*VERI_TABANI!$B$9, 0) + (VERI_TABANI!D26*B273*(VERI_TABANI!$B$13-VERI_TABANI!$B$14)*VERI_TABANI!G26) + (VERI_TABANI!D26*C273*(VERI_TABANI!$B$13-VERI_TABANI!$B$15)*VERI_TABANI!G26) + IF(ABS(IF(ISNUMBER(SEARCH("Var", D273)), 1, IF(ISNUMBER(SEARCH("Gri", D273)), -1, 0)))=1, VERI_TABANI!E26*(1-0.928)*0.00206091519919798*VERI_TABANI!G26, 0)) + ((MIN(VERI_TABANI!D27, VERI_TABANI!D27*B273)*VERI_TABANI!$B$7 + MAX(0, VERI_TABANI!D27*B273-VERI_TABANI!D27)*VERI_TABANI!$B$8) + (MIN(MAX(0, VERI_TABANI!D27-VERI_TABANI!D27*B273), VERI_TABANI!D27*C273)*VERI_TABANI!$B$7 + MAX(0, VERI_TABANI!D27*C273-MAX(0, VERI_TABANI!D27-VERI_TABANI!D27*B273))*VERI_TABANI!$B$8) + IF(ABS(IF(ISNUMBER(SEARCH("Var", D273)), 1, IF(ISNUMBER(SEARCH("Gri", D273)), -1, 0)))=1, VERI_TABANI!E27*(1-0.928)*VERI_TABANI!$B$9, 0) + (VERI_TABANI!D27*B273*(VERI_TABANI!$B$13-VERI_TABANI!$B$14)*VERI_TABANI!G27) + (VERI_TABANI!D27*C273*(VERI_TABANI!$B$13-VERI_TABANI!$B$15)*VERI_TABANI!G27) + IF(ABS(IF(ISNUMBER(SEARCH("Var", D273)), 1, IF(ISNUMBER(SEARCH("Gri", D273)), -1, 0)))=1, VERI_TABANI!E27*(1-0.928)*0.00206091519919798*VERI_TABANI!G27, 0)) + ((MIN(VERI_TABANI!D28, VERI_TABANI!D28*B273)*VERI_TABANI!$B$7 + MAX(0, VERI_TABANI!D28*B273-VERI_TABANI!D28)*VERI_TABANI!$B$8) + (MIN(MAX(0, VERI_TABANI!D28-VERI_TABANI!D28*B273), VERI_TABANI!D28*C273)*VERI_TABANI!$B$7 + MAX(0, VERI_TABANI!D28*C273-MAX(0, VERI_TABANI!D28-VERI_TABANI!D28*B273))*VERI_TABANI!$B$8) + IF(ABS(IF(ISNUMBER(SEARCH("Var", D273)), 1, IF(ISNUMBER(SEARCH("Gri", D273)), -1, 0)))=1, VERI_TABANI!E28*(1-0.928)*VERI_TABANI!$B$9, 0) + (VERI_TABANI!D28*B273*(VERI_TABANI!$B$13-VERI_TABANI!$B$14)*VERI_TABANI!G28) + (VERI_TABANI!D28*C273*(VERI_TABANI!$B$13-VERI_TABANI!$B$15)*VERI_TABANI!G28) + IF(ABS(IF(ISNUMBER(SEARCH("Var", D273)), 1, IF(ISNUMBER(SEARCH("Gri", D273)), -1, 0)))=1, VERI_TABANI!E28*(1-0.928)*0.00206091519919798*VERI_TABANI!G28, 0)))</f>
        <v/>
      </c>
      <c r="H273" s="169">
        <f>(((VERI_TABANI!D23*B273*(VERI_TABANI!$B$13-VERI_TABANI!$B$14)) + (VERI_TABANI!D23*C273*(VERI_TABANI!$B$13-VERI_TABANI!$B$15)) + IF(ISNUMBER(SEARCH("Var", D273)), VERI_TABANI!F23*(0.00202-VERI_TABANI!$B$16), IF(ISNUMBER(SEARCH("Gri", D273)), VERI_TABANI!F23*(0.00202-VERI_TABANI!$B$17), 0))) + ((VERI_TABANI!D24*B273*(VERI_TABANI!$B$13-VERI_TABANI!$B$14)) + (VERI_TABANI!D24*C273*(VERI_TABANI!$B$13-VERI_TABANI!$B$15)) + IF(ISNUMBER(SEARCH("Var", D273)), VERI_TABANI!F24*(0.00202-VERI_TABANI!$B$16), IF(ISNUMBER(SEARCH("Gri", D273)), VERI_TABANI!F24*(0.00202-VERI_TABANI!$B$17), 0))) + ((VERI_TABANI!D25*B273*(VERI_TABANI!$B$13-VERI_TABANI!$B$14)) + (VERI_TABANI!D25*C273*(VERI_TABANI!$B$13-VERI_TABANI!$B$15)) + IF(ISNUMBER(SEARCH("Var", D273)), VERI_TABANI!F25*(0.00202-VERI_TABANI!$B$16), IF(ISNUMBER(SEARCH("Gri", D273)), VERI_TABANI!F25*(0.00202-VERI_TABANI!$B$17), 0))) + ((VERI_TABANI!D26*B273*(VERI_TABANI!$B$13-VERI_TABANI!$B$14)) + (VERI_TABANI!D26*C273*(VERI_TABANI!$B$13-VERI_TABANI!$B$15)) + IF(ISNUMBER(SEARCH("Var", D273)), VERI_TABANI!F26*(0.00202-VERI_TABANI!$B$16), IF(ISNUMBER(SEARCH("Gri", D273)), VERI_TABANI!F26*(0.00202-VERI_TABANI!$B$17), 0))) + ((VERI_TABANI!D27*B273*(VERI_TABANI!$B$13-VERI_TABANI!$B$14)) + (VERI_TABANI!D27*C273*(VERI_TABANI!$B$13-VERI_TABANI!$B$15)) + IF(ISNUMBER(SEARCH("Var", D273)), VERI_TABANI!F27*(0.00202-VERI_TABANI!$B$16), IF(ISNUMBER(SEARCH("Gri", D273)), VERI_TABANI!F27*(0.00202-VERI_TABANI!$B$17), 0))) + ((VERI_TABANI!D28*B273*(VERI_TABANI!$B$13-VERI_TABANI!$B$14)) + (VERI_TABANI!D28*C273*(VERI_TABANI!$B$13-VERI_TABANI!$B$15)) + IF(ISNUMBER(SEARCH("Var", D273)), VERI_TABANI!F28*(0.00202-VERI_TABANI!$B$16), IF(ISNUMBER(SEARCH("Gri", D273)), VERI_TABANI!F28*(0.00202-VERI_TABANI!$B$17), 0))))</f>
        <v/>
      </c>
      <c r="I273" s="170">
        <f>IFERROR(((VERI_TABANI!$D$29*B273*VERI_TABANI!$B$14 + VERI_TABANI!$D$29*C273*VERI_TABANI!$B$15 + IF(ISNUMBER(SEARCH("Var", D273)), VERI_TABANI!$F$29*VERI_TABANI!$B$16, 0))) / (((VERI_TABANI!$D$29*B273 + VERI_TABANI!$D$29*C273)*VERI_TABANI!$B$13 + IF(ISNUMBER(SEARCH("Var", D273)), VERI_TABANI!$E$29*(1-0.928)*VERI_TABANI!$B$18, 0))), 0)</f>
        <v/>
      </c>
      <c r="J273" s="171">
        <f>IFERROR(F273/(G273/29), 0)</f>
        <v/>
      </c>
      <c r="K273" s="172">
        <f>IF(F273&gt;0, H273/F273, 0)</f>
        <v/>
      </c>
      <c r="L273" s="170">
        <f>IF(F273&gt;0, I273, 1000000000)</f>
        <v/>
      </c>
      <c r="M273" s="171">
        <f>ABS((B273+C273)-1)</f>
        <v/>
      </c>
      <c r="N273" s="170">
        <f>IF(F273&gt;0, (G273/29)/F273, 0)</f>
        <v/>
      </c>
      <c r="O273" s="168">
        <f>IF(AND((B273+C273)&gt;=1, ISNUMBER(SEARCH("Var", D273))), F273, 1000000000)</f>
        <v/>
      </c>
      <c r="P273" s="172">
        <f>IF(F273&gt;0, SQRT((F273/MAX(F$5:F$886))^2 + (1 - H273/MAX(H$5:H$886))^2 + (J273/MAX(J$5:J$886))^2), 1000000000)</f>
        <v/>
      </c>
      <c r="Q273" s="166">
        <f>IF(AND(ABS(B273-0.5)&lt;0.01, ABS(C273-0.5)&lt;0.01, ISNUMBER(SEARCH("Var", D273))), 1, 0)</f>
        <v/>
      </c>
      <c r="R273" s="171">
        <f>IF(F273&gt;0, J273, 1000000000)</f>
        <v/>
      </c>
      <c r="S273" s="101">
        <f>IF(AND(F273&lt;=DASHBOARD!$B$11, H273&gt;=DASHBOARD!$B$13), G273, -1000000000000)</f>
        <v/>
      </c>
      <c r="T273" s="101">
        <f>IF(AND(F273&lt;=DASHBOARD!$B$11, H273&gt;=DASHBOARD!$B$13), R273, 1000000000000)</f>
        <v/>
      </c>
      <c r="U273" s="101">
        <f>IF(AND(F273&lt;=DASHBOARD!$B$11, H273&gt;=DASHBOARD!$B$13), N273, -1000000000000)</f>
        <v/>
      </c>
      <c r="V273" s="101">
        <f>IF(AND(F273&lt;=DASHBOARD!$B$11, H273&gt;=DASHBOARD!$B$13), H273, -1000000000000)</f>
        <v/>
      </c>
      <c r="W273" s="101">
        <f>IF(AND(F273&lt;=DASHBOARD!$B$11, H273&gt;=DASHBOARD!$B$13), K273, -1000000000000)</f>
        <v/>
      </c>
      <c r="X273" s="101">
        <f>IF(AND(F273&lt;=DASHBOARD!$B$11, H273&gt;=DASHBOARD!$B$13), M273, 1000000000000)</f>
        <v/>
      </c>
      <c r="Y273" s="101">
        <f>IF(AND(F273&lt;=DASHBOARD!$B$10, H273&gt;=DASHBOARD!$B$11), L273, 1000000000000)</f>
        <v/>
      </c>
      <c r="Z273" s="101">
        <f>IF(AND(F273&lt;=DASHBOARD!$B$10, H273&gt;=DASHBOARD!$B$11), O273, 1000000000000)</f>
        <v/>
      </c>
      <c r="AA273" s="101">
        <f>IF(AND(F273&lt;=DASHBOARD!$B$10, H273&gt;=DASHBOARD!$B$11), P273, 1000000000000)</f>
        <v/>
      </c>
      <c r="AB273" s="101">
        <f>IF(AND(F273&lt;=DASHBOARD!$B$10, H273&gt;=DASHBOARD!$B$11), Q273, -1000000000000)</f>
        <v/>
      </c>
    </row>
    <row r="274" ht="15" customHeight="1" s="102">
      <c r="A274" s="166" t="n">
        <v>270</v>
      </c>
      <c r="B274" s="167" t="n">
        <v>0.6</v>
      </c>
      <c r="C274" s="167" t="n">
        <v>0.8</v>
      </c>
      <c r="D274" s="110" t="inlineStr">
        <is>
          <t>Var (%20)</t>
        </is>
      </c>
      <c r="E274" s="110">
        <f>IF((B274+C274)&lt;=1, "Tam Mahsuplaşma (≤%100)", "Kısmi Satış (&gt;%100)")</f>
        <v/>
      </c>
      <c r="F274" s="168">
        <f>((VERI_TABANI!$D$29*B274/VERI_TABANI!$B$29)/VERI_TABANI!$B$3)*VERI_TABANI!$B$5 + ((VERI_TABANI!$D$29*C274/VERI_TABANI!$B$29)/VERI_TABANI!$B$4)*VERI_TABANI!$B$6 + IF(ISNUMBER(SEARCH("Var", D274)), (VERI_TABANI!$F$29/VERI_TABANI!$B$29)*(VERI_TABANI!$B$10+VERI_TABANI!$B$12), 0)</f>
        <v/>
      </c>
      <c r="G274" s="168">
        <f>(((MIN(VERI_TABANI!D23, VERI_TABANI!D23*B274)*VERI_TABANI!$B$7 + MAX(0, VERI_TABANI!D23*B274-VERI_TABANI!D23)*VERI_TABANI!$B$8) + (MIN(MAX(0, VERI_TABANI!D23-VERI_TABANI!D23*B274), VERI_TABANI!D23*C274)*VERI_TABANI!$B$7 + MAX(0, VERI_TABANI!D23*C274-MAX(0, VERI_TABANI!D23-VERI_TABANI!D23*B274))*VERI_TABANI!$B$8) + IF(ABS(IF(ISNUMBER(SEARCH("Var", D274)), 1, IF(ISNUMBER(SEARCH("Gri", D274)), -1, 0)))=1, VERI_TABANI!E23*(1-0.928)*VERI_TABANI!$B$9, 0) + (VERI_TABANI!D23*B274*(VERI_TABANI!$B$13-VERI_TABANI!$B$14)*VERI_TABANI!G23) + (VERI_TABANI!D23*C274*(VERI_TABANI!$B$13-VERI_TABANI!$B$15)*VERI_TABANI!G23) + IF(ABS(IF(ISNUMBER(SEARCH("Var", D274)), 1, IF(ISNUMBER(SEARCH("Gri", D274)), -1, 0)))=1, VERI_TABANI!E23*(1-0.928)*0.00206091519919798*VERI_TABANI!G23, 0)) + ((MIN(VERI_TABANI!D24, VERI_TABANI!D24*B274)*VERI_TABANI!$B$7 + MAX(0, VERI_TABANI!D24*B274-VERI_TABANI!D24)*VERI_TABANI!$B$8) + (MIN(MAX(0, VERI_TABANI!D24-VERI_TABANI!D24*B274), VERI_TABANI!D24*C274)*VERI_TABANI!$B$7 + MAX(0, VERI_TABANI!D24*C274-MAX(0, VERI_TABANI!D24-VERI_TABANI!D24*B274))*VERI_TABANI!$B$8) + IF(ABS(IF(ISNUMBER(SEARCH("Var", D274)), 1, IF(ISNUMBER(SEARCH("Gri", D274)), -1, 0)))=1, VERI_TABANI!E24*(1-0.928)*VERI_TABANI!$B$9, 0) + (VERI_TABANI!D24*B274*(VERI_TABANI!$B$13-VERI_TABANI!$B$14)*VERI_TABANI!G24) + (VERI_TABANI!D24*C274*(VERI_TABANI!$B$13-VERI_TABANI!$B$15)*VERI_TABANI!G24) + IF(ABS(IF(ISNUMBER(SEARCH("Var", D274)), 1, IF(ISNUMBER(SEARCH("Gri", D274)), -1, 0)))=1, VERI_TABANI!E24*(1-0.928)*0.00206091519919798*VERI_TABANI!G24, 0)) + ((MIN(VERI_TABANI!D25, VERI_TABANI!D25*B274)*VERI_TABANI!$B$7 + MAX(0, VERI_TABANI!D25*B274-VERI_TABANI!D25)*VERI_TABANI!$B$8) + (MIN(MAX(0, VERI_TABANI!D25-VERI_TABANI!D25*B274), VERI_TABANI!D25*C274)*VERI_TABANI!$B$7 + MAX(0, VERI_TABANI!D25*C274-MAX(0, VERI_TABANI!D25-VERI_TABANI!D25*B274))*VERI_TABANI!$B$8) + IF(ABS(IF(ISNUMBER(SEARCH("Var", D274)), 1, IF(ISNUMBER(SEARCH("Gri", D274)), -1, 0)))=1, VERI_TABANI!E25*(1-0.928)*VERI_TABANI!$B$9, 0) + (VERI_TABANI!D25*B274*(VERI_TABANI!$B$13-VERI_TABANI!$B$14)*VERI_TABANI!G25) + (VERI_TABANI!D25*C274*(VERI_TABANI!$B$13-VERI_TABANI!$B$15)*VERI_TABANI!G25) + IF(ABS(IF(ISNUMBER(SEARCH("Var", D274)), 1, IF(ISNUMBER(SEARCH("Gri", D274)), -1, 0)))=1, VERI_TABANI!E25*(1-0.928)*0.00206091519919798*VERI_TABANI!G25, 0)) + ((MIN(VERI_TABANI!D26, VERI_TABANI!D26*B274)*VERI_TABANI!$B$7 + MAX(0, VERI_TABANI!D26*B274-VERI_TABANI!D26)*VERI_TABANI!$B$8) + (MIN(MAX(0, VERI_TABANI!D26-VERI_TABANI!D26*B274), VERI_TABANI!D26*C274)*VERI_TABANI!$B$7 + MAX(0, VERI_TABANI!D26*C274-MAX(0, VERI_TABANI!D26-VERI_TABANI!D26*B274))*VERI_TABANI!$B$8) + IF(ABS(IF(ISNUMBER(SEARCH("Var", D274)), 1, IF(ISNUMBER(SEARCH("Gri", D274)), -1, 0)))=1, VERI_TABANI!E26*(1-0.928)*VERI_TABANI!$B$9, 0) + (VERI_TABANI!D26*B274*(VERI_TABANI!$B$13-VERI_TABANI!$B$14)*VERI_TABANI!G26) + (VERI_TABANI!D26*C274*(VERI_TABANI!$B$13-VERI_TABANI!$B$15)*VERI_TABANI!G26) + IF(ABS(IF(ISNUMBER(SEARCH("Var", D274)), 1, IF(ISNUMBER(SEARCH("Gri", D274)), -1, 0)))=1, VERI_TABANI!E26*(1-0.928)*0.00206091519919798*VERI_TABANI!G26, 0)) + ((MIN(VERI_TABANI!D27, VERI_TABANI!D27*B274)*VERI_TABANI!$B$7 + MAX(0, VERI_TABANI!D27*B274-VERI_TABANI!D27)*VERI_TABANI!$B$8) + (MIN(MAX(0, VERI_TABANI!D27-VERI_TABANI!D27*B274), VERI_TABANI!D27*C274)*VERI_TABANI!$B$7 + MAX(0, VERI_TABANI!D27*C274-MAX(0, VERI_TABANI!D27-VERI_TABANI!D27*B274))*VERI_TABANI!$B$8) + IF(ABS(IF(ISNUMBER(SEARCH("Var", D274)), 1, IF(ISNUMBER(SEARCH("Gri", D274)), -1, 0)))=1, VERI_TABANI!E27*(1-0.928)*VERI_TABANI!$B$9, 0) + (VERI_TABANI!D27*B274*(VERI_TABANI!$B$13-VERI_TABANI!$B$14)*VERI_TABANI!G27) + (VERI_TABANI!D27*C274*(VERI_TABANI!$B$13-VERI_TABANI!$B$15)*VERI_TABANI!G27) + IF(ABS(IF(ISNUMBER(SEARCH("Var", D274)), 1, IF(ISNUMBER(SEARCH("Gri", D274)), -1, 0)))=1, VERI_TABANI!E27*(1-0.928)*0.00206091519919798*VERI_TABANI!G27, 0)) + ((MIN(VERI_TABANI!D28, VERI_TABANI!D28*B274)*VERI_TABANI!$B$7 + MAX(0, VERI_TABANI!D28*B274-VERI_TABANI!D28)*VERI_TABANI!$B$8) + (MIN(MAX(0, VERI_TABANI!D28-VERI_TABANI!D28*B274), VERI_TABANI!D28*C274)*VERI_TABANI!$B$7 + MAX(0, VERI_TABANI!D28*C274-MAX(0, VERI_TABANI!D28-VERI_TABANI!D28*B274))*VERI_TABANI!$B$8) + IF(ABS(IF(ISNUMBER(SEARCH("Var", D274)), 1, IF(ISNUMBER(SEARCH("Gri", D274)), -1, 0)))=1, VERI_TABANI!E28*(1-0.928)*VERI_TABANI!$B$9, 0) + (VERI_TABANI!D28*B274*(VERI_TABANI!$B$13-VERI_TABANI!$B$14)*VERI_TABANI!G28) + (VERI_TABANI!D28*C274*(VERI_TABANI!$B$13-VERI_TABANI!$B$15)*VERI_TABANI!G28) + IF(ABS(IF(ISNUMBER(SEARCH("Var", D274)), 1, IF(ISNUMBER(SEARCH("Gri", D274)), -1, 0)))=1, VERI_TABANI!E28*(1-0.928)*0.00206091519919798*VERI_TABANI!G28, 0)))</f>
        <v/>
      </c>
      <c r="H274" s="169">
        <f>(((VERI_TABANI!D23*B274*(VERI_TABANI!$B$13-VERI_TABANI!$B$14)) + (VERI_TABANI!D23*C274*(VERI_TABANI!$B$13-VERI_TABANI!$B$15)) + IF(ISNUMBER(SEARCH("Var", D274)), VERI_TABANI!F23*(0.00202-VERI_TABANI!$B$16), IF(ISNUMBER(SEARCH("Gri", D274)), VERI_TABANI!F23*(0.00202-VERI_TABANI!$B$17), 0))) + ((VERI_TABANI!D24*B274*(VERI_TABANI!$B$13-VERI_TABANI!$B$14)) + (VERI_TABANI!D24*C274*(VERI_TABANI!$B$13-VERI_TABANI!$B$15)) + IF(ISNUMBER(SEARCH("Var", D274)), VERI_TABANI!F24*(0.00202-VERI_TABANI!$B$16), IF(ISNUMBER(SEARCH("Gri", D274)), VERI_TABANI!F24*(0.00202-VERI_TABANI!$B$17), 0))) + ((VERI_TABANI!D25*B274*(VERI_TABANI!$B$13-VERI_TABANI!$B$14)) + (VERI_TABANI!D25*C274*(VERI_TABANI!$B$13-VERI_TABANI!$B$15)) + IF(ISNUMBER(SEARCH("Var", D274)), VERI_TABANI!F25*(0.00202-VERI_TABANI!$B$16), IF(ISNUMBER(SEARCH("Gri", D274)), VERI_TABANI!F25*(0.00202-VERI_TABANI!$B$17), 0))) + ((VERI_TABANI!D26*B274*(VERI_TABANI!$B$13-VERI_TABANI!$B$14)) + (VERI_TABANI!D26*C274*(VERI_TABANI!$B$13-VERI_TABANI!$B$15)) + IF(ISNUMBER(SEARCH("Var", D274)), VERI_TABANI!F26*(0.00202-VERI_TABANI!$B$16), IF(ISNUMBER(SEARCH("Gri", D274)), VERI_TABANI!F26*(0.00202-VERI_TABANI!$B$17), 0))) + ((VERI_TABANI!D27*B274*(VERI_TABANI!$B$13-VERI_TABANI!$B$14)) + (VERI_TABANI!D27*C274*(VERI_TABANI!$B$13-VERI_TABANI!$B$15)) + IF(ISNUMBER(SEARCH("Var", D274)), VERI_TABANI!F27*(0.00202-VERI_TABANI!$B$16), IF(ISNUMBER(SEARCH("Gri", D274)), VERI_TABANI!F27*(0.00202-VERI_TABANI!$B$17), 0))) + ((VERI_TABANI!D28*B274*(VERI_TABANI!$B$13-VERI_TABANI!$B$14)) + (VERI_TABANI!D28*C274*(VERI_TABANI!$B$13-VERI_TABANI!$B$15)) + IF(ISNUMBER(SEARCH("Var", D274)), VERI_TABANI!F28*(0.00202-VERI_TABANI!$B$16), IF(ISNUMBER(SEARCH("Gri", D274)), VERI_TABANI!F28*(0.00202-VERI_TABANI!$B$17), 0))))</f>
        <v/>
      </c>
      <c r="I274" s="170">
        <f>IFERROR(((VERI_TABANI!$D$29*B274*VERI_TABANI!$B$14 + VERI_TABANI!$D$29*C274*VERI_TABANI!$B$15 + IF(ISNUMBER(SEARCH("Var", D274)), VERI_TABANI!$F$29*VERI_TABANI!$B$16, 0))) / (((VERI_TABANI!$D$29*B274 + VERI_TABANI!$D$29*C274)*VERI_TABANI!$B$13 + IF(ISNUMBER(SEARCH("Var", D274)), VERI_TABANI!$E$29*(1-0.928)*VERI_TABANI!$B$18, 0))), 0)</f>
        <v/>
      </c>
      <c r="J274" s="171">
        <f>IFERROR(F274/(G274/29), 0)</f>
        <v/>
      </c>
      <c r="K274" s="172">
        <f>IF(F274&gt;0, H274/F274, 0)</f>
        <v/>
      </c>
      <c r="L274" s="170">
        <f>IF(F274&gt;0, I274, 1000000000)</f>
        <v/>
      </c>
      <c r="M274" s="171">
        <f>ABS((B274+C274)-1)</f>
        <v/>
      </c>
      <c r="N274" s="170">
        <f>IF(F274&gt;0, (G274/29)/F274, 0)</f>
        <v/>
      </c>
      <c r="O274" s="168">
        <f>IF(AND((B274+C274)&gt;=1, ISNUMBER(SEARCH("Var", D274))), F274, 1000000000)</f>
        <v/>
      </c>
      <c r="P274" s="172">
        <f>IF(F274&gt;0, SQRT((F274/MAX(F$5:F$886))^2 + (1 - H274/MAX(H$5:H$886))^2 + (J274/MAX(J$5:J$886))^2), 1000000000)</f>
        <v/>
      </c>
      <c r="Q274" s="166">
        <f>IF(AND(ABS(B274-0.5)&lt;0.01, ABS(C274-0.5)&lt;0.01, ISNUMBER(SEARCH("Var", D274))), 1, 0)</f>
        <v/>
      </c>
      <c r="R274" s="171">
        <f>IF(F274&gt;0, J274, 1000000000)</f>
        <v/>
      </c>
      <c r="S274" s="101">
        <f>IF(AND(F274&lt;=DASHBOARD!$B$11, H274&gt;=DASHBOARD!$B$13), G274, -1000000000000)</f>
        <v/>
      </c>
      <c r="T274" s="101">
        <f>IF(AND(F274&lt;=DASHBOARD!$B$11, H274&gt;=DASHBOARD!$B$13), R274, 1000000000000)</f>
        <v/>
      </c>
      <c r="U274" s="101">
        <f>IF(AND(F274&lt;=DASHBOARD!$B$11, H274&gt;=DASHBOARD!$B$13), N274, -1000000000000)</f>
        <v/>
      </c>
      <c r="V274" s="101">
        <f>IF(AND(F274&lt;=DASHBOARD!$B$11, H274&gt;=DASHBOARD!$B$13), H274, -1000000000000)</f>
        <v/>
      </c>
      <c r="W274" s="101">
        <f>IF(AND(F274&lt;=DASHBOARD!$B$11, H274&gt;=DASHBOARD!$B$13), K274, -1000000000000)</f>
        <v/>
      </c>
      <c r="X274" s="101">
        <f>IF(AND(F274&lt;=DASHBOARD!$B$11, H274&gt;=DASHBOARD!$B$13), M274, 1000000000000)</f>
        <v/>
      </c>
      <c r="Y274" s="101">
        <f>IF(AND(F274&lt;=DASHBOARD!$B$10, H274&gt;=DASHBOARD!$B$11), L274, 1000000000000)</f>
        <v/>
      </c>
      <c r="Z274" s="101">
        <f>IF(AND(F274&lt;=DASHBOARD!$B$10, H274&gt;=DASHBOARD!$B$11), O274, 1000000000000)</f>
        <v/>
      </c>
      <c r="AA274" s="101">
        <f>IF(AND(F274&lt;=DASHBOARD!$B$10, H274&gt;=DASHBOARD!$B$11), P274, 1000000000000)</f>
        <v/>
      </c>
      <c r="AB274" s="101">
        <f>IF(AND(F274&lt;=DASHBOARD!$B$10, H274&gt;=DASHBOARD!$B$11), Q274, -1000000000000)</f>
        <v/>
      </c>
    </row>
    <row r="275" ht="15" customHeight="1" s="102">
      <c r="A275" s="166" t="n">
        <v>271</v>
      </c>
      <c r="B275" s="167" t="n">
        <v>0.6</v>
      </c>
      <c r="C275" s="167" t="n">
        <v>0.9</v>
      </c>
      <c r="D275" s="110" t="inlineStr">
        <is>
          <t>Yok (%0)</t>
        </is>
      </c>
      <c r="E275" s="110">
        <f>IF((B275+C275)&lt;=1, "Tam Mahsuplaşma (≤%100)", "Kısmi Satış (&gt;%100)")</f>
        <v/>
      </c>
      <c r="F275" s="168">
        <f>((VERI_TABANI!$D$29*B275/VERI_TABANI!$B$29)/VERI_TABANI!$B$3)*VERI_TABANI!$B$5 + ((VERI_TABANI!$D$29*C275/VERI_TABANI!$B$29)/VERI_TABANI!$B$4)*VERI_TABANI!$B$6 + IF(ISNUMBER(SEARCH("Var", D275)), (VERI_TABANI!$F$29/VERI_TABANI!$B$29)*(VERI_TABANI!$B$10+VERI_TABANI!$B$12), 0)</f>
        <v/>
      </c>
      <c r="G275" s="168">
        <f>(((MIN(VERI_TABANI!D23, VERI_TABANI!D23*B275)*VERI_TABANI!$B$7 + MAX(0, VERI_TABANI!D23*B275-VERI_TABANI!D23)*VERI_TABANI!$B$8) + (MIN(MAX(0, VERI_TABANI!D23-VERI_TABANI!D23*B275), VERI_TABANI!D23*C275)*VERI_TABANI!$B$7 + MAX(0, VERI_TABANI!D23*C275-MAX(0, VERI_TABANI!D23-VERI_TABANI!D23*B275))*VERI_TABANI!$B$8) + IF(ABS(IF(ISNUMBER(SEARCH("Var", D275)), 1, IF(ISNUMBER(SEARCH("Gri", D275)), -1, 0)))=1, VERI_TABANI!E23*(1-0.928)*VERI_TABANI!$B$9, 0) + (VERI_TABANI!D23*B275*(VERI_TABANI!$B$13-VERI_TABANI!$B$14)*VERI_TABANI!G23) + (VERI_TABANI!D23*C275*(VERI_TABANI!$B$13-VERI_TABANI!$B$15)*VERI_TABANI!G23) + IF(ABS(IF(ISNUMBER(SEARCH("Var", D275)), 1, IF(ISNUMBER(SEARCH("Gri", D275)), -1, 0)))=1, VERI_TABANI!E23*(1-0.928)*0.00206091519919798*VERI_TABANI!G23, 0)) + ((MIN(VERI_TABANI!D24, VERI_TABANI!D24*B275)*VERI_TABANI!$B$7 + MAX(0, VERI_TABANI!D24*B275-VERI_TABANI!D24)*VERI_TABANI!$B$8) + (MIN(MAX(0, VERI_TABANI!D24-VERI_TABANI!D24*B275), VERI_TABANI!D24*C275)*VERI_TABANI!$B$7 + MAX(0, VERI_TABANI!D24*C275-MAX(0, VERI_TABANI!D24-VERI_TABANI!D24*B275))*VERI_TABANI!$B$8) + IF(ABS(IF(ISNUMBER(SEARCH("Var", D275)), 1, IF(ISNUMBER(SEARCH("Gri", D275)), -1, 0)))=1, VERI_TABANI!E24*(1-0.928)*VERI_TABANI!$B$9, 0) + (VERI_TABANI!D24*B275*(VERI_TABANI!$B$13-VERI_TABANI!$B$14)*VERI_TABANI!G24) + (VERI_TABANI!D24*C275*(VERI_TABANI!$B$13-VERI_TABANI!$B$15)*VERI_TABANI!G24) + IF(ABS(IF(ISNUMBER(SEARCH("Var", D275)), 1, IF(ISNUMBER(SEARCH("Gri", D275)), -1, 0)))=1, VERI_TABANI!E24*(1-0.928)*0.00206091519919798*VERI_TABANI!G24, 0)) + ((MIN(VERI_TABANI!D25, VERI_TABANI!D25*B275)*VERI_TABANI!$B$7 + MAX(0, VERI_TABANI!D25*B275-VERI_TABANI!D25)*VERI_TABANI!$B$8) + (MIN(MAX(0, VERI_TABANI!D25-VERI_TABANI!D25*B275), VERI_TABANI!D25*C275)*VERI_TABANI!$B$7 + MAX(0, VERI_TABANI!D25*C275-MAX(0, VERI_TABANI!D25-VERI_TABANI!D25*B275))*VERI_TABANI!$B$8) + IF(ABS(IF(ISNUMBER(SEARCH("Var", D275)), 1, IF(ISNUMBER(SEARCH("Gri", D275)), -1, 0)))=1, VERI_TABANI!E25*(1-0.928)*VERI_TABANI!$B$9, 0) + (VERI_TABANI!D25*B275*(VERI_TABANI!$B$13-VERI_TABANI!$B$14)*VERI_TABANI!G25) + (VERI_TABANI!D25*C275*(VERI_TABANI!$B$13-VERI_TABANI!$B$15)*VERI_TABANI!G25) + IF(ABS(IF(ISNUMBER(SEARCH("Var", D275)), 1, IF(ISNUMBER(SEARCH("Gri", D275)), -1, 0)))=1, VERI_TABANI!E25*(1-0.928)*0.00206091519919798*VERI_TABANI!G25, 0)) + ((MIN(VERI_TABANI!D26, VERI_TABANI!D26*B275)*VERI_TABANI!$B$7 + MAX(0, VERI_TABANI!D26*B275-VERI_TABANI!D26)*VERI_TABANI!$B$8) + (MIN(MAX(0, VERI_TABANI!D26-VERI_TABANI!D26*B275), VERI_TABANI!D26*C275)*VERI_TABANI!$B$7 + MAX(0, VERI_TABANI!D26*C275-MAX(0, VERI_TABANI!D26-VERI_TABANI!D26*B275))*VERI_TABANI!$B$8) + IF(ABS(IF(ISNUMBER(SEARCH("Var", D275)), 1, IF(ISNUMBER(SEARCH("Gri", D275)), -1, 0)))=1, VERI_TABANI!E26*(1-0.928)*VERI_TABANI!$B$9, 0) + (VERI_TABANI!D26*B275*(VERI_TABANI!$B$13-VERI_TABANI!$B$14)*VERI_TABANI!G26) + (VERI_TABANI!D26*C275*(VERI_TABANI!$B$13-VERI_TABANI!$B$15)*VERI_TABANI!G26) + IF(ABS(IF(ISNUMBER(SEARCH("Var", D275)), 1, IF(ISNUMBER(SEARCH("Gri", D275)), -1, 0)))=1, VERI_TABANI!E26*(1-0.928)*0.00206091519919798*VERI_TABANI!G26, 0)) + ((MIN(VERI_TABANI!D27, VERI_TABANI!D27*B275)*VERI_TABANI!$B$7 + MAX(0, VERI_TABANI!D27*B275-VERI_TABANI!D27)*VERI_TABANI!$B$8) + (MIN(MAX(0, VERI_TABANI!D27-VERI_TABANI!D27*B275), VERI_TABANI!D27*C275)*VERI_TABANI!$B$7 + MAX(0, VERI_TABANI!D27*C275-MAX(0, VERI_TABANI!D27-VERI_TABANI!D27*B275))*VERI_TABANI!$B$8) + IF(ABS(IF(ISNUMBER(SEARCH("Var", D275)), 1, IF(ISNUMBER(SEARCH("Gri", D275)), -1, 0)))=1, VERI_TABANI!E27*(1-0.928)*VERI_TABANI!$B$9, 0) + (VERI_TABANI!D27*B275*(VERI_TABANI!$B$13-VERI_TABANI!$B$14)*VERI_TABANI!G27) + (VERI_TABANI!D27*C275*(VERI_TABANI!$B$13-VERI_TABANI!$B$15)*VERI_TABANI!G27) + IF(ABS(IF(ISNUMBER(SEARCH("Var", D275)), 1, IF(ISNUMBER(SEARCH("Gri", D275)), -1, 0)))=1, VERI_TABANI!E27*(1-0.928)*0.00206091519919798*VERI_TABANI!G27, 0)) + ((MIN(VERI_TABANI!D28, VERI_TABANI!D28*B275)*VERI_TABANI!$B$7 + MAX(0, VERI_TABANI!D28*B275-VERI_TABANI!D28)*VERI_TABANI!$B$8) + (MIN(MAX(0, VERI_TABANI!D28-VERI_TABANI!D28*B275), VERI_TABANI!D28*C275)*VERI_TABANI!$B$7 + MAX(0, VERI_TABANI!D28*C275-MAX(0, VERI_TABANI!D28-VERI_TABANI!D28*B275))*VERI_TABANI!$B$8) + IF(ABS(IF(ISNUMBER(SEARCH("Var", D275)), 1, IF(ISNUMBER(SEARCH("Gri", D275)), -1, 0)))=1, VERI_TABANI!E28*(1-0.928)*VERI_TABANI!$B$9, 0) + (VERI_TABANI!D28*B275*(VERI_TABANI!$B$13-VERI_TABANI!$B$14)*VERI_TABANI!G28) + (VERI_TABANI!D28*C275*(VERI_TABANI!$B$13-VERI_TABANI!$B$15)*VERI_TABANI!G28) + IF(ABS(IF(ISNUMBER(SEARCH("Var", D275)), 1, IF(ISNUMBER(SEARCH("Gri", D275)), -1, 0)))=1, VERI_TABANI!E28*(1-0.928)*0.00206091519919798*VERI_TABANI!G28, 0)))</f>
        <v/>
      </c>
      <c r="H275" s="169">
        <f>(((VERI_TABANI!D23*B275*(VERI_TABANI!$B$13-VERI_TABANI!$B$14)) + (VERI_TABANI!D23*C275*(VERI_TABANI!$B$13-VERI_TABANI!$B$15)) + IF(ISNUMBER(SEARCH("Var", D275)), VERI_TABANI!F23*(0.00202-VERI_TABANI!$B$16), IF(ISNUMBER(SEARCH("Gri", D275)), VERI_TABANI!F23*(0.00202-VERI_TABANI!$B$17), 0))) + ((VERI_TABANI!D24*B275*(VERI_TABANI!$B$13-VERI_TABANI!$B$14)) + (VERI_TABANI!D24*C275*(VERI_TABANI!$B$13-VERI_TABANI!$B$15)) + IF(ISNUMBER(SEARCH("Var", D275)), VERI_TABANI!F24*(0.00202-VERI_TABANI!$B$16), IF(ISNUMBER(SEARCH("Gri", D275)), VERI_TABANI!F24*(0.00202-VERI_TABANI!$B$17), 0))) + ((VERI_TABANI!D25*B275*(VERI_TABANI!$B$13-VERI_TABANI!$B$14)) + (VERI_TABANI!D25*C275*(VERI_TABANI!$B$13-VERI_TABANI!$B$15)) + IF(ISNUMBER(SEARCH("Var", D275)), VERI_TABANI!F25*(0.00202-VERI_TABANI!$B$16), IF(ISNUMBER(SEARCH("Gri", D275)), VERI_TABANI!F25*(0.00202-VERI_TABANI!$B$17), 0))) + ((VERI_TABANI!D26*B275*(VERI_TABANI!$B$13-VERI_TABANI!$B$14)) + (VERI_TABANI!D26*C275*(VERI_TABANI!$B$13-VERI_TABANI!$B$15)) + IF(ISNUMBER(SEARCH("Var", D275)), VERI_TABANI!F26*(0.00202-VERI_TABANI!$B$16), IF(ISNUMBER(SEARCH("Gri", D275)), VERI_TABANI!F26*(0.00202-VERI_TABANI!$B$17), 0))) + ((VERI_TABANI!D27*B275*(VERI_TABANI!$B$13-VERI_TABANI!$B$14)) + (VERI_TABANI!D27*C275*(VERI_TABANI!$B$13-VERI_TABANI!$B$15)) + IF(ISNUMBER(SEARCH("Var", D275)), VERI_TABANI!F27*(0.00202-VERI_TABANI!$B$16), IF(ISNUMBER(SEARCH("Gri", D275)), VERI_TABANI!F27*(0.00202-VERI_TABANI!$B$17), 0))) + ((VERI_TABANI!D28*B275*(VERI_TABANI!$B$13-VERI_TABANI!$B$14)) + (VERI_TABANI!D28*C275*(VERI_TABANI!$B$13-VERI_TABANI!$B$15)) + IF(ISNUMBER(SEARCH("Var", D275)), VERI_TABANI!F28*(0.00202-VERI_TABANI!$B$16), IF(ISNUMBER(SEARCH("Gri", D275)), VERI_TABANI!F28*(0.00202-VERI_TABANI!$B$17), 0))))</f>
        <v/>
      </c>
      <c r="I275" s="170">
        <f>IFERROR(((VERI_TABANI!$D$29*B275*VERI_TABANI!$B$14 + VERI_TABANI!$D$29*C275*VERI_TABANI!$B$15 + IF(ISNUMBER(SEARCH("Var", D275)), VERI_TABANI!$F$29*VERI_TABANI!$B$16, 0))) / (((VERI_TABANI!$D$29*B275 + VERI_TABANI!$D$29*C275)*VERI_TABANI!$B$13 + IF(ISNUMBER(SEARCH("Var", D275)), VERI_TABANI!$E$29*(1-0.928)*VERI_TABANI!$B$18, 0))), 0)</f>
        <v/>
      </c>
      <c r="J275" s="171">
        <f>IFERROR(F275/(G275/29), 0)</f>
        <v/>
      </c>
      <c r="K275" s="172">
        <f>IF(F275&gt;0, H275/F275, 0)</f>
        <v/>
      </c>
      <c r="L275" s="170">
        <f>IF(F275&gt;0, I275, 1000000000)</f>
        <v/>
      </c>
      <c r="M275" s="171">
        <f>ABS((B275+C275)-1)</f>
        <v/>
      </c>
      <c r="N275" s="170">
        <f>IF(F275&gt;0, (G275/29)/F275, 0)</f>
        <v/>
      </c>
      <c r="O275" s="168">
        <f>IF(AND((B275+C275)&gt;=1, ISNUMBER(SEARCH("Var", D275))), F275, 1000000000)</f>
        <v/>
      </c>
      <c r="P275" s="172">
        <f>IF(F275&gt;0, SQRT((F275/MAX(F$5:F$886))^2 + (1 - H275/MAX(H$5:H$886))^2 + (J275/MAX(J$5:J$886))^2), 1000000000)</f>
        <v/>
      </c>
      <c r="Q275" s="166">
        <f>IF(AND(ABS(B275-0.5)&lt;0.01, ABS(C275-0.5)&lt;0.01, ISNUMBER(SEARCH("Var", D275))), 1, 0)</f>
        <v/>
      </c>
      <c r="R275" s="171">
        <f>IF(F275&gt;0, J275, 1000000000)</f>
        <v/>
      </c>
      <c r="S275" s="101">
        <f>IF(AND(F275&lt;=DASHBOARD!$B$11, H275&gt;=DASHBOARD!$B$13), G275, -1000000000000)</f>
        <v/>
      </c>
      <c r="T275" s="101">
        <f>IF(AND(F275&lt;=DASHBOARD!$B$11, H275&gt;=DASHBOARD!$B$13), R275, 1000000000000)</f>
        <v/>
      </c>
      <c r="U275" s="101">
        <f>IF(AND(F275&lt;=DASHBOARD!$B$11, H275&gt;=DASHBOARD!$B$13), N275, -1000000000000)</f>
        <v/>
      </c>
      <c r="V275" s="101">
        <f>IF(AND(F275&lt;=DASHBOARD!$B$11, H275&gt;=DASHBOARD!$B$13), H275, -1000000000000)</f>
        <v/>
      </c>
      <c r="W275" s="101">
        <f>IF(AND(F275&lt;=DASHBOARD!$B$11, H275&gt;=DASHBOARD!$B$13), K275, -1000000000000)</f>
        <v/>
      </c>
      <c r="X275" s="101">
        <f>IF(AND(F275&lt;=DASHBOARD!$B$11, H275&gt;=DASHBOARD!$B$13), M275, 1000000000000)</f>
        <v/>
      </c>
      <c r="Y275" s="101">
        <f>IF(AND(F275&lt;=DASHBOARD!$B$10, H275&gt;=DASHBOARD!$B$11), L275, 1000000000000)</f>
        <v/>
      </c>
      <c r="Z275" s="101">
        <f>IF(AND(F275&lt;=DASHBOARD!$B$10, H275&gt;=DASHBOARD!$B$11), O275, 1000000000000)</f>
        <v/>
      </c>
      <c r="AA275" s="101">
        <f>IF(AND(F275&lt;=DASHBOARD!$B$10, H275&gt;=DASHBOARD!$B$11), P275, 1000000000000)</f>
        <v/>
      </c>
      <c r="AB275" s="101">
        <f>IF(AND(F275&lt;=DASHBOARD!$B$10, H275&gt;=DASHBOARD!$B$11), Q275, -1000000000000)</f>
        <v/>
      </c>
    </row>
    <row r="276" ht="15" customHeight="1" s="102">
      <c r="A276" s="166" t="n">
        <v>272</v>
      </c>
      <c r="B276" s="167" t="n">
        <v>0.6</v>
      </c>
      <c r="C276" s="167" t="n">
        <v>0.9</v>
      </c>
      <c r="D276" s="110" t="inlineStr">
        <is>
          <t>Var (%20)</t>
        </is>
      </c>
      <c r="E276" s="110">
        <f>IF((B276+C276)&lt;=1, "Tam Mahsuplaşma (≤%100)", "Kısmi Satış (&gt;%100)")</f>
        <v/>
      </c>
      <c r="F276" s="168">
        <f>((VERI_TABANI!$D$29*B276/VERI_TABANI!$B$29)/VERI_TABANI!$B$3)*VERI_TABANI!$B$5 + ((VERI_TABANI!$D$29*C276/VERI_TABANI!$B$29)/VERI_TABANI!$B$4)*VERI_TABANI!$B$6 + IF(ISNUMBER(SEARCH("Var", D276)), (VERI_TABANI!$F$29/VERI_TABANI!$B$29)*(VERI_TABANI!$B$10+VERI_TABANI!$B$12), 0)</f>
        <v/>
      </c>
      <c r="G276" s="168">
        <f>(((MIN(VERI_TABANI!D23, VERI_TABANI!D23*B276)*VERI_TABANI!$B$7 + MAX(0, VERI_TABANI!D23*B276-VERI_TABANI!D23)*VERI_TABANI!$B$8) + (MIN(MAX(0, VERI_TABANI!D23-VERI_TABANI!D23*B276), VERI_TABANI!D23*C276)*VERI_TABANI!$B$7 + MAX(0, VERI_TABANI!D23*C276-MAX(0, VERI_TABANI!D23-VERI_TABANI!D23*B276))*VERI_TABANI!$B$8) + IF(ABS(IF(ISNUMBER(SEARCH("Var", D276)), 1, IF(ISNUMBER(SEARCH("Gri", D276)), -1, 0)))=1, VERI_TABANI!E23*(1-0.928)*VERI_TABANI!$B$9, 0) + (VERI_TABANI!D23*B276*(VERI_TABANI!$B$13-VERI_TABANI!$B$14)*VERI_TABANI!G23) + (VERI_TABANI!D23*C276*(VERI_TABANI!$B$13-VERI_TABANI!$B$15)*VERI_TABANI!G23) + IF(ABS(IF(ISNUMBER(SEARCH("Var", D276)), 1, IF(ISNUMBER(SEARCH("Gri", D276)), -1, 0)))=1, VERI_TABANI!E23*(1-0.928)*0.00206091519919798*VERI_TABANI!G23, 0)) + ((MIN(VERI_TABANI!D24, VERI_TABANI!D24*B276)*VERI_TABANI!$B$7 + MAX(0, VERI_TABANI!D24*B276-VERI_TABANI!D24)*VERI_TABANI!$B$8) + (MIN(MAX(0, VERI_TABANI!D24-VERI_TABANI!D24*B276), VERI_TABANI!D24*C276)*VERI_TABANI!$B$7 + MAX(0, VERI_TABANI!D24*C276-MAX(0, VERI_TABANI!D24-VERI_TABANI!D24*B276))*VERI_TABANI!$B$8) + IF(ABS(IF(ISNUMBER(SEARCH("Var", D276)), 1, IF(ISNUMBER(SEARCH("Gri", D276)), -1, 0)))=1, VERI_TABANI!E24*(1-0.928)*VERI_TABANI!$B$9, 0) + (VERI_TABANI!D24*B276*(VERI_TABANI!$B$13-VERI_TABANI!$B$14)*VERI_TABANI!G24) + (VERI_TABANI!D24*C276*(VERI_TABANI!$B$13-VERI_TABANI!$B$15)*VERI_TABANI!G24) + IF(ABS(IF(ISNUMBER(SEARCH("Var", D276)), 1, IF(ISNUMBER(SEARCH("Gri", D276)), -1, 0)))=1, VERI_TABANI!E24*(1-0.928)*0.00206091519919798*VERI_TABANI!G24, 0)) + ((MIN(VERI_TABANI!D25, VERI_TABANI!D25*B276)*VERI_TABANI!$B$7 + MAX(0, VERI_TABANI!D25*B276-VERI_TABANI!D25)*VERI_TABANI!$B$8) + (MIN(MAX(0, VERI_TABANI!D25-VERI_TABANI!D25*B276), VERI_TABANI!D25*C276)*VERI_TABANI!$B$7 + MAX(0, VERI_TABANI!D25*C276-MAX(0, VERI_TABANI!D25-VERI_TABANI!D25*B276))*VERI_TABANI!$B$8) + IF(ABS(IF(ISNUMBER(SEARCH("Var", D276)), 1, IF(ISNUMBER(SEARCH("Gri", D276)), -1, 0)))=1, VERI_TABANI!E25*(1-0.928)*VERI_TABANI!$B$9, 0) + (VERI_TABANI!D25*B276*(VERI_TABANI!$B$13-VERI_TABANI!$B$14)*VERI_TABANI!G25) + (VERI_TABANI!D25*C276*(VERI_TABANI!$B$13-VERI_TABANI!$B$15)*VERI_TABANI!G25) + IF(ABS(IF(ISNUMBER(SEARCH("Var", D276)), 1, IF(ISNUMBER(SEARCH("Gri", D276)), -1, 0)))=1, VERI_TABANI!E25*(1-0.928)*0.00206091519919798*VERI_TABANI!G25, 0)) + ((MIN(VERI_TABANI!D26, VERI_TABANI!D26*B276)*VERI_TABANI!$B$7 + MAX(0, VERI_TABANI!D26*B276-VERI_TABANI!D26)*VERI_TABANI!$B$8) + (MIN(MAX(0, VERI_TABANI!D26-VERI_TABANI!D26*B276), VERI_TABANI!D26*C276)*VERI_TABANI!$B$7 + MAX(0, VERI_TABANI!D26*C276-MAX(0, VERI_TABANI!D26-VERI_TABANI!D26*B276))*VERI_TABANI!$B$8) + IF(ABS(IF(ISNUMBER(SEARCH("Var", D276)), 1, IF(ISNUMBER(SEARCH("Gri", D276)), -1, 0)))=1, VERI_TABANI!E26*(1-0.928)*VERI_TABANI!$B$9, 0) + (VERI_TABANI!D26*B276*(VERI_TABANI!$B$13-VERI_TABANI!$B$14)*VERI_TABANI!G26) + (VERI_TABANI!D26*C276*(VERI_TABANI!$B$13-VERI_TABANI!$B$15)*VERI_TABANI!G26) + IF(ABS(IF(ISNUMBER(SEARCH("Var", D276)), 1, IF(ISNUMBER(SEARCH("Gri", D276)), -1, 0)))=1, VERI_TABANI!E26*(1-0.928)*0.00206091519919798*VERI_TABANI!G26, 0)) + ((MIN(VERI_TABANI!D27, VERI_TABANI!D27*B276)*VERI_TABANI!$B$7 + MAX(0, VERI_TABANI!D27*B276-VERI_TABANI!D27)*VERI_TABANI!$B$8) + (MIN(MAX(0, VERI_TABANI!D27-VERI_TABANI!D27*B276), VERI_TABANI!D27*C276)*VERI_TABANI!$B$7 + MAX(0, VERI_TABANI!D27*C276-MAX(0, VERI_TABANI!D27-VERI_TABANI!D27*B276))*VERI_TABANI!$B$8) + IF(ABS(IF(ISNUMBER(SEARCH("Var", D276)), 1, IF(ISNUMBER(SEARCH("Gri", D276)), -1, 0)))=1, VERI_TABANI!E27*(1-0.928)*VERI_TABANI!$B$9, 0) + (VERI_TABANI!D27*B276*(VERI_TABANI!$B$13-VERI_TABANI!$B$14)*VERI_TABANI!G27) + (VERI_TABANI!D27*C276*(VERI_TABANI!$B$13-VERI_TABANI!$B$15)*VERI_TABANI!G27) + IF(ABS(IF(ISNUMBER(SEARCH("Var", D276)), 1, IF(ISNUMBER(SEARCH("Gri", D276)), -1, 0)))=1, VERI_TABANI!E27*(1-0.928)*0.00206091519919798*VERI_TABANI!G27, 0)) + ((MIN(VERI_TABANI!D28, VERI_TABANI!D28*B276)*VERI_TABANI!$B$7 + MAX(0, VERI_TABANI!D28*B276-VERI_TABANI!D28)*VERI_TABANI!$B$8) + (MIN(MAX(0, VERI_TABANI!D28-VERI_TABANI!D28*B276), VERI_TABANI!D28*C276)*VERI_TABANI!$B$7 + MAX(0, VERI_TABANI!D28*C276-MAX(0, VERI_TABANI!D28-VERI_TABANI!D28*B276))*VERI_TABANI!$B$8) + IF(ABS(IF(ISNUMBER(SEARCH("Var", D276)), 1, IF(ISNUMBER(SEARCH("Gri", D276)), -1, 0)))=1, VERI_TABANI!E28*(1-0.928)*VERI_TABANI!$B$9, 0) + (VERI_TABANI!D28*B276*(VERI_TABANI!$B$13-VERI_TABANI!$B$14)*VERI_TABANI!G28) + (VERI_TABANI!D28*C276*(VERI_TABANI!$B$13-VERI_TABANI!$B$15)*VERI_TABANI!G28) + IF(ABS(IF(ISNUMBER(SEARCH("Var", D276)), 1, IF(ISNUMBER(SEARCH("Gri", D276)), -1, 0)))=1, VERI_TABANI!E28*(1-0.928)*0.00206091519919798*VERI_TABANI!G28, 0)))</f>
        <v/>
      </c>
      <c r="H276" s="169">
        <f>(((VERI_TABANI!D23*B276*(VERI_TABANI!$B$13-VERI_TABANI!$B$14)) + (VERI_TABANI!D23*C276*(VERI_TABANI!$B$13-VERI_TABANI!$B$15)) + IF(ISNUMBER(SEARCH("Var", D276)), VERI_TABANI!F23*(0.00202-VERI_TABANI!$B$16), IF(ISNUMBER(SEARCH("Gri", D276)), VERI_TABANI!F23*(0.00202-VERI_TABANI!$B$17), 0))) + ((VERI_TABANI!D24*B276*(VERI_TABANI!$B$13-VERI_TABANI!$B$14)) + (VERI_TABANI!D24*C276*(VERI_TABANI!$B$13-VERI_TABANI!$B$15)) + IF(ISNUMBER(SEARCH("Var", D276)), VERI_TABANI!F24*(0.00202-VERI_TABANI!$B$16), IF(ISNUMBER(SEARCH("Gri", D276)), VERI_TABANI!F24*(0.00202-VERI_TABANI!$B$17), 0))) + ((VERI_TABANI!D25*B276*(VERI_TABANI!$B$13-VERI_TABANI!$B$14)) + (VERI_TABANI!D25*C276*(VERI_TABANI!$B$13-VERI_TABANI!$B$15)) + IF(ISNUMBER(SEARCH("Var", D276)), VERI_TABANI!F25*(0.00202-VERI_TABANI!$B$16), IF(ISNUMBER(SEARCH("Gri", D276)), VERI_TABANI!F25*(0.00202-VERI_TABANI!$B$17), 0))) + ((VERI_TABANI!D26*B276*(VERI_TABANI!$B$13-VERI_TABANI!$B$14)) + (VERI_TABANI!D26*C276*(VERI_TABANI!$B$13-VERI_TABANI!$B$15)) + IF(ISNUMBER(SEARCH("Var", D276)), VERI_TABANI!F26*(0.00202-VERI_TABANI!$B$16), IF(ISNUMBER(SEARCH("Gri", D276)), VERI_TABANI!F26*(0.00202-VERI_TABANI!$B$17), 0))) + ((VERI_TABANI!D27*B276*(VERI_TABANI!$B$13-VERI_TABANI!$B$14)) + (VERI_TABANI!D27*C276*(VERI_TABANI!$B$13-VERI_TABANI!$B$15)) + IF(ISNUMBER(SEARCH("Var", D276)), VERI_TABANI!F27*(0.00202-VERI_TABANI!$B$16), IF(ISNUMBER(SEARCH("Gri", D276)), VERI_TABANI!F27*(0.00202-VERI_TABANI!$B$17), 0))) + ((VERI_TABANI!D28*B276*(VERI_TABANI!$B$13-VERI_TABANI!$B$14)) + (VERI_TABANI!D28*C276*(VERI_TABANI!$B$13-VERI_TABANI!$B$15)) + IF(ISNUMBER(SEARCH("Var", D276)), VERI_TABANI!F28*(0.00202-VERI_TABANI!$B$16), IF(ISNUMBER(SEARCH("Gri", D276)), VERI_TABANI!F28*(0.00202-VERI_TABANI!$B$17), 0))))</f>
        <v/>
      </c>
      <c r="I276" s="170">
        <f>IFERROR(((VERI_TABANI!$D$29*B276*VERI_TABANI!$B$14 + VERI_TABANI!$D$29*C276*VERI_TABANI!$B$15 + IF(ISNUMBER(SEARCH("Var", D276)), VERI_TABANI!$F$29*VERI_TABANI!$B$16, 0))) / (((VERI_TABANI!$D$29*B276 + VERI_TABANI!$D$29*C276)*VERI_TABANI!$B$13 + IF(ISNUMBER(SEARCH("Var", D276)), VERI_TABANI!$E$29*(1-0.928)*VERI_TABANI!$B$18, 0))), 0)</f>
        <v/>
      </c>
      <c r="J276" s="171">
        <f>IFERROR(F276/(G276/29), 0)</f>
        <v/>
      </c>
      <c r="K276" s="172">
        <f>IF(F276&gt;0, H276/F276, 0)</f>
        <v/>
      </c>
      <c r="L276" s="170">
        <f>IF(F276&gt;0, I276, 1000000000)</f>
        <v/>
      </c>
      <c r="M276" s="171">
        <f>ABS((B276+C276)-1)</f>
        <v/>
      </c>
      <c r="N276" s="170">
        <f>IF(F276&gt;0, (G276/29)/F276, 0)</f>
        <v/>
      </c>
      <c r="O276" s="168">
        <f>IF(AND((B276+C276)&gt;=1, ISNUMBER(SEARCH("Var", D276))), F276, 1000000000)</f>
        <v/>
      </c>
      <c r="P276" s="172">
        <f>IF(F276&gt;0, SQRT((F276/MAX(F$5:F$886))^2 + (1 - H276/MAX(H$5:H$886))^2 + (J276/MAX(J$5:J$886))^2), 1000000000)</f>
        <v/>
      </c>
      <c r="Q276" s="166">
        <f>IF(AND(ABS(B276-0.5)&lt;0.01, ABS(C276-0.5)&lt;0.01, ISNUMBER(SEARCH("Var", D276))), 1, 0)</f>
        <v/>
      </c>
      <c r="R276" s="171">
        <f>IF(F276&gt;0, J276, 1000000000)</f>
        <v/>
      </c>
      <c r="S276" s="101">
        <f>IF(AND(F276&lt;=DASHBOARD!$B$11, H276&gt;=DASHBOARD!$B$13), G276, -1000000000000)</f>
        <v/>
      </c>
      <c r="T276" s="101">
        <f>IF(AND(F276&lt;=DASHBOARD!$B$11, H276&gt;=DASHBOARD!$B$13), R276, 1000000000000)</f>
        <v/>
      </c>
      <c r="U276" s="101">
        <f>IF(AND(F276&lt;=DASHBOARD!$B$11, H276&gt;=DASHBOARD!$B$13), N276, -1000000000000)</f>
        <v/>
      </c>
      <c r="V276" s="101">
        <f>IF(AND(F276&lt;=DASHBOARD!$B$11, H276&gt;=DASHBOARD!$B$13), H276, -1000000000000)</f>
        <v/>
      </c>
      <c r="W276" s="101">
        <f>IF(AND(F276&lt;=DASHBOARD!$B$11, H276&gt;=DASHBOARD!$B$13), K276, -1000000000000)</f>
        <v/>
      </c>
      <c r="X276" s="101">
        <f>IF(AND(F276&lt;=DASHBOARD!$B$11, H276&gt;=DASHBOARD!$B$13), M276, 1000000000000)</f>
        <v/>
      </c>
      <c r="Y276" s="101">
        <f>IF(AND(F276&lt;=DASHBOARD!$B$10, H276&gt;=DASHBOARD!$B$11), L276, 1000000000000)</f>
        <v/>
      </c>
      <c r="Z276" s="101">
        <f>IF(AND(F276&lt;=DASHBOARD!$B$10, H276&gt;=DASHBOARD!$B$11), O276, 1000000000000)</f>
        <v/>
      </c>
      <c r="AA276" s="101">
        <f>IF(AND(F276&lt;=DASHBOARD!$B$10, H276&gt;=DASHBOARD!$B$11), P276, 1000000000000)</f>
        <v/>
      </c>
      <c r="AB276" s="101">
        <f>IF(AND(F276&lt;=DASHBOARD!$B$10, H276&gt;=DASHBOARD!$B$11), Q276, -1000000000000)</f>
        <v/>
      </c>
    </row>
    <row r="277" ht="15" customHeight="1" s="102">
      <c r="A277" s="166" t="n">
        <v>273</v>
      </c>
      <c r="B277" s="167" t="n">
        <v>0.6</v>
      </c>
      <c r="C277" s="167" t="n">
        <v>1</v>
      </c>
      <c r="D277" s="110" t="inlineStr">
        <is>
          <t>Yok (%0)</t>
        </is>
      </c>
      <c r="E277" s="110">
        <f>IF((B277+C277)&lt;=1, "Tam Mahsuplaşma (≤%100)", "Kısmi Satış (&gt;%100)")</f>
        <v/>
      </c>
      <c r="F277" s="168">
        <f>((VERI_TABANI!$D$29*B277/VERI_TABANI!$B$29)/VERI_TABANI!$B$3)*VERI_TABANI!$B$5 + ((VERI_TABANI!$D$29*C277/VERI_TABANI!$B$29)/VERI_TABANI!$B$4)*VERI_TABANI!$B$6 + IF(ISNUMBER(SEARCH("Var", D277)), (VERI_TABANI!$F$29/VERI_TABANI!$B$29)*(VERI_TABANI!$B$10+VERI_TABANI!$B$12), 0)</f>
        <v/>
      </c>
      <c r="G277" s="168">
        <f>(((MIN(VERI_TABANI!D23, VERI_TABANI!D23*B277)*VERI_TABANI!$B$7 + MAX(0, VERI_TABANI!D23*B277-VERI_TABANI!D23)*VERI_TABANI!$B$8) + (MIN(MAX(0, VERI_TABANI!D23-VERI_TABANI!D23*B277), VERI_TABANI!D23*C277)*VERI_TABANI!$B$7 + MAX(0, VERI_TABANI!D23*C277-MAX(0, VERI_TABANI!D23-VERI_TABANI!D23*B277))*VERI_TABANI!$B$8) + IF(ABS(IF(ISNUMBER(SEARCH("Var", D277)), 1, IF(ISNUMBER(SEARCH("Gri", D277)), -1, 0)))=1, VERI_TABANI!E23*(1-0.928)*VERI_TABANI!$B$9, 0) + (VERI_TABANI!D23*B277*(VERI_TABANI!$B$13-VERI_TABANI!$B$14)*VERI_TABANI!G23) + (VERI_TABANI!D23*C277*(VERI_TABANI!$B$13-VERI_TABANI!$B$15)*VERI_TABANI!G23) + IF(ABS(IF(ISNUMBER(SEARCH("Var", D277)), 1, IF(ISNUMBER(SEARCH("Gri", D277)), -1, 0)))=1, VERI_TABANI!E23*(1-0.928)*0.00206091519919798*VERI_TABANI!G23, 0)) + ((MIN(VERI_TABANI!D24, VERI_TABANI!D24*B277)*VERI_TABANI!$B$7 + MAX(0, VERI_TABANI!D24*B277-VERI_TABANI!D24)*VERI_TABANI!$B$8) + (MIN(MAX(0, VERI_TABANI!D24-VERI_TABANI!D24*B277), VERI_TABANI!D24*C277)*VERI_TABANI!$B$7 + MAX(0, VERI_TABANI!D24*C277-MAX(0, VERI_TABANI!D24-VERI_TABANI!D24*B277))*VERI_TABANI!$B$8) + IF(ABS(IF(ISNUMBER(SEARCH("Var", D277)), 1, IF(ISNUMBER(SEARCH("Gri", D277)), -1, 0)))=1, VERI_TABANI!E24*(1-0.928)*VERI_TABANI!$B$9, 0) + (VERI_TABANI!D24*B277*(VERI_TABANI!$B$13-VERI_TABANI!$B$14)*VERI_TABANI!G24) + (VERI_TABANI!D24*C277*(VERI_TABANI!$B$13-VERI_TABANI!$B$15)*VERI_TABANI!G24) + IF(ABS(IF(ISNUMBER(SEARCH("Var", D277)), 1, IF(ISNUMBER(SEARCH("Gri", D277)), -1, 0)))=1, VERI_TABANI!E24*(1-0.928)*0.00206091519919798*VERI_TABANI!G24, 0)) + ((MIN(VERI_TABANI!D25, VERI_TABANI!D25*B277)*VERI_TABANI!$B$7 + MAX(0, VERI_TABANI!D25*B277-VERI_TABANI!D25)*VERI_TABANI!$B$8) + (MIN(MAX(0, VERI_TABANI!D25-VERI_TABANI!D25*B277), VERI_TABANI!D25*C277)*VERI_TABANI!$B$7 + MAX(0, VERI_TABANI!D25*C277-MAX(0, VERI_TABANI!D25-VERI_TABANI!D25*B277))*VERI_TABANI!$B$8) + IF(ABS(IF(ISNUMBER(SEARCH("Var", D277)), 1, IF(ISNUMBER(SEARCH("Gri", D277)), -1, 0)))=1, VERI_TABANI!E25*(1-0.928)*VERI_TABANI!$B$9, 0) + (VERI_TABANI!D25*B277*(VERI_TABANI!$B$13-VERI_TABANI!$B$14)*VERI_TABANI!G25) + (VERI_TABANI!D25*C277*(VERI_TABANI!$B$13-VERI_TABANI!$B$15)*VERI_TABANI!G25) + IF(ABS(IF(ISNUMBER(SEARCH("Var", D277)), 1, IF(ISNUMBER(SEARCH("Gri", D277)), -1, 0)))=1, VERI_TABANI!E25*(1-0.928)*0.00206091519919798*VERI_TABANI!G25, 0)) + ((MIN(VERI_TABANI!D26, VERI_TABANI!D26*B277)*VERI_TABANI!$B$7 + MAX(0, VERI_TABANI!D26*B277-VERI_TABANI!D26)*VERI_TABANI!$B$8) + (MIN(MAX(0, VERI_TABANI!D26-VERI_TABANI!D26*B277), VERI_TABANI!D26*C277)*VERI_TABANI!$B$7 + MAX(0, VERI_TABANI!D26*C277-MAX(0, VERI_TABANI!D26-VERI_TABANI!D26*B277))*VERI_TABANI!$B$8) + IF(ABS(IF(ISNUMBER(SEARCH("Var", D277)), 1, IF(ISNUMBER(SEARCH("Gri", D277)), -1, 0)))=1, VERI_TABANI!E26*(1-0.928)*VERI_TABANI!$B$9, 0) + (VERI_TABANI!D26*B277*(VERI_TABANI!$B$13-VERI_TABANI!$B$14)*VERI_TABANI!G26) + (VERI_TABANI!D26*C277*(VERI_TABANI!$B$13-VERI_TABANI!$B$15)*VERI_TABANI!G26) + IF(ABS(IF(ISNUMBER(SEARCH("Var", D277)), 1, IF(ISNUMBER(SEARCH("Gri", D277)), -1, 0)))=1, VERI_TABANI!E26*(1-0.928)*0.00206091519919798*VERI_TABANI!G26, 0)) + ((MIN(VERI_TABANI!D27, VERI_TABANI!D27*B277)*VERI_TABANI!$B$7 + MAX(0, VERI_TABANI!D27*B277-VERI_TABANI!D27)*VERI_TABANI!$B$8) + (MIN(MAX(0, VERI_TABANI!D27-VERI_TABANI!D27*B277), VERI_TABANI!D27*C277)*VERI_TABANI!$B$7 + MAX(0, VERI_TABANI!D27*C277-MAX(0, VERI_TABANI!D27-VERI_TABANI!D27*B277))*VERI_TABANI!$B$8) + IF(ABS(IF(ISNUMBER(SEARCH("Var", D277)), 1, IF(ISNUMBER(SEARCH("Gri", D277)), -1, 0)))=1, VERI_TABANI!E27*(1-0.928)*VERI_TABANI!$B$9, 0) + (VERI_TABANI!D27*B277*(VERI_TABANI!$B$13-VERI_TABANI!$B$14)*VERI_TABANI!G27) + (VERI_TABANI!D27*C277*(VERI_TABANI!$B$13-VERI_TABANI!$B$15)*VERI_TABANI!G27) + IF(ABS(IF(ISNUMBER(SEARCH("Var", D277)), 1, IF(ISNUMBER(SEARCH("Gri", D277)), -1, 0)))=1, VERI_TABANI!E27*(1-0.928)*0.00206091519919798*VERI_TABANI!G27, 0)) + ((MIN(VERI_TABANI!D28, VERI_TABANI!D28*B277)*VERI_TABANI!$B$7 + MAX(0, VERI_TABANI!D28*B277-VERI_TABANI!D28)*VERI_TABANI!$B$8) + (MIN(MAX(0, VERI_TABANI!D28-VERI_TABANI!D28*B277), VERI_TABANI!D28*C277)*VERI_TABANI!$B$7 + MAX(0, VERI_TABANI!D28*C277-MAX(0, VERI_TABANI!D28-VERI_TABANI!D28*B277))*VERI_TABANI!$B$8) + IF(ABS(IF(ISNUMBER(SEARCH("Var", D277)), 1, IF(ISNUMBER(SEARCH("Gri", D277)), -1, 0)))=1, VERI_TABANI!E28*(1-0.928)*VERI_TABANI!$B$9, 0) + (VERI_TABANI!D28*B277*(VERI_TABANI!$B$13-VERI_TABANI!$B$14)*VERI_TABANI!G28) + (VERI_TABANI!D28*C277*(VERI_TABANI!$B$13-VERI_TABANI!$B$15)*VERI_TABANI!G28) + IF(ABS(IF(ISNUMBER(SEARCH("Var", D277)), 1, IF(ISNUMBER(SEARCH("Gri", D277)), -1, 0)))=1, VERI_TABANI!E28*(1-0.928)*0.00206091519919798*VERI_TABANI!G28, 0)))</f>
        <v/>
      </c>
      <c r="H277" s="169">
        <f>(((VERI_TABANI!D23*B277*(VERI_TABANI!$B$13-VERI_TABANI!$B$14)) + (VERI_TABANI!D23*C277*(VERI_TABANI!$B$13-VERI_TABANI!$B$15)) + IF(ISNUMBER(SEARCH("Var", D277)), VERI_TABANI!F23*(0.00202-VERI_TABANI!$B$16), IF(ISNUMBER(SEARCH("Gri", D277)), VERI_TABANI!F23*(0.00202-VERI_TABANI!$B$17), 0))) + ((VERI_TABANI!D24*B277*(VERI_TABANI!$B$13-VERI_TABANI!$B$14)) + (VERI_TABANI!D24*C277*(VERI_TABANI!$B$13-VERI_TABANI!$B$15)) + IF(ISNUMBER(SEARCH("Var", D277)), VERI_TABANI!F24*(0.00202-VERI_TABANI!$B$16), IF(ISNUMBER(SEARCH("Gri", D277)), VERI_TABANI!F24*(0.00202-VERI_TABANI!$B$17), 0))) + ((VERI_TABANI!D25*B277*(VERI_TABANI!$B$13-VERI_TABANI!$B$14)) + (VERI_TABANI!D25*C277*(VERI_TABANI!$B$13-VERI_TABANI!$B$15)) + IF(ISNUMBER(SEARCH("Var", D277)), VERI_TABANI!F25*(0.00202-VERI_TABANI!$B$16), IF(ISNUMBER(SEARCH("Gri", D277)), VERI_TABANI!F25*(0.00202-VERI_TABANI!$B$17), 0))) + ((VERI_TABANI!D26*B277*(VERI_TABANI!$B$13-VERI_TABANI!$B$14)) + (VERI_TABANI!D26*C277*(VERI_TABANI!$B$13-VERI_TABANI!$B$15)) + IF(ISNUMBER(SEARCH("Var", D277)), VERI_TABANI!F26*(0.00202-VERI_TABANI!$B$16), IF(ISNUMBER(SEARCH("Gri", D277)), VERI_TABANI!F26*(0.00202-VERI_TABANI!$B$17), 0))) + ((VERI_TABANI!D27*B277*(VERI_TABANI!$B$13-VERI_TABANI!$B$14)) + (VERI_TABANI!D27*C277*(VERI_TABANI!$B$13-VERI_TABANI!$B$15)) + IF(ISNUMBER(SEARCH("Var", D277)), VERI_TABANI!F27*(0.00202-VERI_TABANI!$B$16), IF(ISNUMBER(SEARCH("Gri", D277)), VERI_TABANI!F27*(0.00202-VERI_TABANI!$B$17), 0))) + ((VERI_TABANI!D28*B277*(VERI_TABANI!$B$13-VERI_TABANI!$B$14)) + (VERI_TABANI!D28*C277*(VERI_TABANI!$B$13-VERI_TABANI!$B$15)) + IF(ISNUMBER(SEARCH("Var", D277)), VERI_TABANI!F28*(0.00202-VERI_TABANI!$B$16), IF(ISNUMBER(SEARCH("Gri", D277)), VERI_TABANI!F28*(0.00202-VERI_TABANI!$B$17), 0))))</f>
        <v/>
      </c>
      <c r="I277" s="170">
        <f>IFERROR(((VERI_TABANI!$D$29*B277*VERI_TABANI!$B$14 + VERI_TABANI!$D$29*C277*VERI_TABANI!$B$15 + IF(ISNUMBER(SEARCH("Var", D277)), VERI_TABANI!$F$29*VERI_TABANI!$B$16, 0))) / (((VERI_TABANI!$D$29*B277 + VERI_TABANI!$D$29*C277)*VERI_TABANI!$B$13 + IF(ISNUMBER(SEARCH("Var", D277)), VERI_TABANI!$E$29*(1-0.928)*VERI_TABANI!$B$18, 0))), 0)</f>
        <v/>
      </c>
      <c r="J277" s="171">
        <f>IFERROR(F277/(G277/29), 0)</f>
        <v/>
      </c>
      <c r="K277" s="172">
        <f>IF(F277&gt;0, H277/F277, 0)</f>
        <v/>
      </c>
      <c r="L277" s="170">
        <f>IF(F277&gt;0, I277, 1000000000)</f>
        <v/>
      </c>
      <c r="M277" s="171">
        <f>ABS((B277+C277)-1)</f>
        <v/>
      </c>
      <c r="N277" s="170">
        <f>IF(F277&gt;0, (G277/29)/F277, 0)</f>
        <v/>
      </c>
      <c r="O277" s="168">
        <f>IF(AND((B277+C277)&gt;=1, ISNUMBER(SEARCH("Var", D277))), F277, 1000000000)</f>
        <v/>
      </c>
      <c r="P277" s="172">
        <f>IF(F277&gt;0, SQRT((F277/MAX(F$5:F$886))^2 + (1 - H277/MAX(H$5:H$886))^2 + (J277/MAX(J$5:J$886))^2), 1000000000)</f>
        <v/>
      </c>
      <c r="Q277" s="166">
        <f>IF(AND(ABS(B277-0.5)&lt;0.01, ABS(C277-0.5)&lt;0.01, ISNUMBER(SEARCH("Var", D277))), 1, 0)</f>
        <v/>
      </c>
      <c r="R277" s="171">
        <f>IF(F277&gt;0, J277, 1000000000)</f>
        <v/>
      </c>
      <c r="S277" s="101">
        <f>IF(AND(F277&lt;=DASHBOARD!$B$11, H277&gt;=DASHBOARD!$B$13), G277, -1000000000000)</f>
        <v/>
      </c>
      <c r="T277" s="101">
        <f>IF(AND(F277&lt;=DASHBOARD!$B$11, H277&gt;=DASHBOARD!$B$13), R277, 1000000000000)</f>
        <v/>
      </c>
      <c r="U277" s="101">
        <f>IF(AND(F277&lt;=DASHBOARD!$B$11, H277&gt;=DASHBOARD!$B$13), N277, -1000000000000)</f>
        <v/>
      </c>
      <c r="V277" s="101">
        <f>IF(AND(F277&lt;=DASHBOARD!$B$11, H277&gt;=DASHBOARD!$B$13), H277, -1000000000000)</f>
        <v/>
      </c>
      <c r="W277" s="101">
        <f>IF(AND(F277&lt;=DASHBOARD!$B$11, H277&gt;=DASHBOARD!$B$13), K277, -1000000000000)</f>
        <v/>
      </c>
      <c r="X277" s="101">
        <f>IF(AND(F277&lt;=DASHBOARD!$B$11, H277&gt;=DASHBOARD!$B$13), M277, 1000000000000)</f>
        <v/>
      </c>
      <c r="Y277" s="101">
        <f>IF(AND(F277&lt;=DASHBOARD!$B$10, H277&gt;=DASHBOARD!$B$11), L277, 1000000000000)</f>
        <v/>
      </c>
      <c r="Z277" s="101">
        <f>IF(AND(F277&lt;=DASHBOARD!$B$10, H277&gt;=DASHBOARD!$B$11), O277, 1000000000000)</f>
        <v/>
      </c>
      <c r="AA277" s="101">
        <f>IF(AND(F277&lt;=DASHBOARD!$B$10, H277&gt;=DASHBOARD!$B$11), P277, 1000000000000)</f>
        <v/>
      </c>
      <c r="AB277" s="101">
        <f>IF(AND(F277&lt;=DASHBOARD!$B$10, H277&gt;=DASHBOARD!$B$11), Q277, -1000000000000)</f>
        <v/>
      </c>
    </row>
    <row r="278" ht="15" customHeight="1" s="102">
      <c r="A278" s="166" t="n">
        <v>274</v>
      </c>
      <c r="B278" s="167" t="n">
        <v>0.6</v>
      </c>
      <c r="C278" s="167" t="n">
        <v>1</v>
      </c>
      <c r="D278" s="110" t="inlineStr">
        <is>
          <t>Var (%20)</t>
        </is>
      </c>
      <c r="E278" s="110">
        <f>IF((B278+C278)&lt;=1, "Tam Mahsuplaşma (≤%100)", "Kısmi Satış (&gt;%100)")</f>
        <v/>
      </c>
      <c r="F278" s="168">
        <f>((VERI_TABANI!$D$29*B278/VERI_TABANI!$B$29)/VERI_TABANI!$B$3)*VERI_TABANI!$B$5 + ((VERI_TABANI!$D$29*C278/VERI_TABANI!$B$29)/VERI_TABANI!$B$4)*VERI_TABANI!$B$6 + IF(ISNUMBER(SEARCH("Var", D278)), (VERI_TABANI!$F$29/VERI_TABANI!$B$29)*(VERI_TABANI!$B$10+VERI_TABANI!$B$12), 0)</f>
        <v/>
      </c>
      <c r="G278" s="168">
        <f>(((MIN(VERI_TABANI!D23, VERI_TABANI!D23*B278)*VERI_TABANI!$B$7 + MAX(0, VERI_TABANI!D23*B278-VERI_TABANI!D23)*VERI_TABANI!$B$8) + (MIN(MAX(0, VERI_TABANI!D23-VERI_TABANI!D23*B278), VERI_TABANI!D23*C278)*VERI_TABANI!$B$7 + MAX(0, VERI_TABANI!D23*C278-MAX(0, VERI_TABANI!D23-VERI_TABANI!D23*B278))*VERI_TABANI!$B$8) + IF(ABS(IF(ISNUMBER(SEARCH("Var", D278)), 1, IF(ISNUMBER(SEARCH("Gri", D278)), -1, 0)))=1, VERI_TABANI!E23*(1-0.928)*VERI_TABANI!$B$9, 0) + (VERI_TABANI!D23*B278*(VERI_TABANI!$B$13-VERI_TABANI!$B$14)*VERI_TABANI!G23) + (VERI_TABANI!D23*C278*(VERI_TABANI!$B$13-VERI_TABANI!$B$15)*VERI_TABANI!G23) + IF(ABS(IF(ISNUMBER(SEARCH("Var", D278)), 1, IF(ISNUMBER(SEARCH("Gri", D278)), -1, 0)))=1, VERI_TABANI!E23*(1-0.928)*0.00206091519919798*VERI_TABANI!G23, 0)) + ((MIN(VERI_TABANI!D24, VERI_TABANI!D24*B278)*VERI_TABANI!$B$7 + MAX(0, VERI_TABANI!D24*B278-VERI_TABANI!D24)*VERI_TABANI!$B$8) + (MIN(MAX(0, VERI_TABANI!D24-VERI_TABANI!D24*B278), VERI_TABANI!D24*C278)*VERI_TABANI!$B$7 + MAX(0, VERI_TABANI!D24*C278-MAX(0, VERI_TABANI!D24-VERI_TABANI!D24*B278))*VERI_TABANI!$B$8) + IF(ABS(IF(ISNUMBER(SEARCH("Var", D278)), 1, IF(ISNUMBER(SEARCH("Gri", D278)), -1, 0)))=1, VERI_TABANI!E24*(1-0.928)*VERI_TABANI!$B$9, 0) + (VERI_TABANI!D24*B278*(VERI_TABANI!$B$13-VERI_TABANI!$B$14)*VERI_TABANI!G24) + (VERI_TABANI!D24*C278*(VERI_TABANI!$B$13-VERI_TABANI!$B$15)*VERI_TABANI!G24) + IF(ABS(IF(ISNUMBER(SEARCH("Var", D278)), 1, IF(ISNUMBER(SEARCH("Gri", D278)), -1, 0)))=1, VERI_TABANI!E24*(1-0.928)*0.00206091519919798*VERI_TABANI!G24, 0)) + ((MIN(VERI_TABANI!D25, VERI_TABANI!D25*B278)*VERI_TABANI!$B$7 + MAX(0, VERI_TABANI!D25*B278-VERI_TABANI!D25)*VERI_TABANI!$B$8) + (MIN(MAX(0, VERI_TABANI!D25-VERI_TABANI!D25*B278), VERI_TABANI!D25*C278)*VERI_TABANI!$B$7 + MAX(0, VERI_TABANI!D25*C278-MAX(0, VERI_TABANI!D25-VERI_TABANI!D25*B278))*VERI_TABANI!$B$8) + IF(ABS(IF(ISNUMBER(SEARCH("Var", D278)), 1, IF(ISNUMBER(SEARCH("Gri", D278)), -1, 0)))=1, VERI_TABANI!E25*(1-0.928)*VERI_TABANI!$B$9, 0) + (VERI_TABANI!D25*B278*(VERI_TABANI!$B$13-VERI_TABANI!$B$14)*VERI_TABANI!G25) + (VERI_TABANI!D25*C278*(VERI_TABANI!$B$13-VERI_TABANI!$B$15)*VERI_TABANI!G25) + IF(ABS(IF(ISNUMBER(SEARCH("Var", D278)), 1, IF(ISNUMBER(SEARCH("Gri", D278)), -1, 0)))=1, VERI_TABANI!E25*(1-0.928)*0.00206091519919798*VERI_TABANI!G25, 0)) + ((MIN(VERI_TABANI!D26, VERI_TABANI!D26*B278)*VERI_TABANI!$B$7 + MAX(0, VERI_TABANI!D26*B278-VERI_TABANI!D26)*VERI_TABANI!$B$8) + (MIN(MAX(0, VERI_TABANI!D26-VERI_TABANI!D26*B278), VERI_TABANI!D26*C278)*VERI_TABANI!$B$7 + MAX(0, VERI_TABANI!D26*C278-MAX(0, VERI_TABANI!D26-VERI_TABANI!D26*B278))*VERI_TABANI!$B$8) + IF(ABS(IF(ISNUMBER(SEARCH("Var", D278)), 1, IF(ISNUMBER(SEARCH("Gri", D278)), -1, 0)))=1, VERI_TABANI!E26*(1-0.928)*VERI_TABANI!$B$9, 0) + (VERI_TABANI!D26*B278*(VERI_TABANI!$B$13-VERI_TABANI!$B$14)*VERI_TABANI!G26) + (VERI_TABANI!D26*C278*(VERI_TABANI!$B$13-VERI_TABANI!$B$15)*VERI_TABANI!G26) + IF(ABS(IF(ISNUMBER(SEARCH("Var", D278)), 1, IF(ISNUMBER(SEARCH("Gri", D278)), -1, 0)))=1, VERI_TABANI!E26*(1-0.928)*0.00206091519919798*VERI_TABANI!G26, 0)) + ((MIN(VERI_TABANI!D27, VERI_TABANI!D27*B278)*VERI_TABANI!$B$7 + MAX(0, VERI_TABANI!D27*B278-VERI_TABANI!D27)*VERI_TABANI!$B$8) + (MIN(MAX(0, VERI_TABANI!D27-VERI_TABANI!D27*B278), VERI_TABANI!D27*C278)*VERI_TABANI!$B$7 + MAX(0, VERI_TABANI!D27*C278-MAX(0, VERI_TABANI!D27-VERI_TABANI!D27*B278))*VERI_TABANI!$B$8) + IF(ABS(IF(ISNUMBER(SEARCH("Var", D278)), 1, IF(ISNUMBER(SEARCH("Gri", D278)), -1, 0)))=1, VERI_TABANI!E27*(1-0.928)*VERI_TABANI!$B$9, 0) + (VERI_TABANI!D27*B278*(VERI_TABANI!$B$13-VERI_TABANI!$B$14)*VERI_TABANI!G27) + (VERI_TABANI!D27*C278*(VERI_TABANI!$B$13-VERI_TABANI!$B$15)*VERI_TABANI!G27) + IF(ABS(IF(ISNUMBER(SEARCH("Var", D278)), 1, IF(ISNUMBER(SEARCH("Gri", D278)), -1, 0)))=1, VERI_TABANI!E27*(1-0.928)*0.00206091519919798*VERI_TABANI!G27, 0)) + ((MIN(VERI_TABANI!D28, VERI_TABANI!D28*B278)*VERI_TABANI!$B$7 + MAX(0, VERI_TABANI!D28*B278-VERI_TABANI!D28)*VERI_TABANI!$B$8) + (MIN(MAX(0, VERI_TABANI!D28-VERI_TABANI!D28*B278), VERI_TABANI!D28*C278)*VERI_TABANI!$B$7 + MAX(0, VERI_TABANI!D28*C278-MAX(0, VERI_TABANI!D28-VERI_TABANI!D28*B278))*VERI_TABANI!$B$8) + IF(ABS(IF(ISNUMBER(SEARCH("Var", D278)), 1, IF(ISNUMBER(SEARCH("Gri", D278)), -1, 0)))=1, VERI_TABANI!E28*(1-0.928)*VERI_TABANI!$B$9, 0) + (VERI_TABANI!D28*B278*(VERI_TABANI!$B$13-VERI_TABANI!$B$14)*VERI_TABANI!G28) + (VERI_TABANI!D28*C278*(VERI_TABANI!$B$13-VERI_TABANI!$B$15)*VERI_TABANI!G28) + IF(ABS(IF(ISNUMBER(SEARCH("Var", D278)), 1, IF(ISNUMBER(SEARCH("Gri", D278)), -1, 0)))=1, VERI_TABANI!E28*(1-0.928)*0.00206091519919798*VERI_TABANI!G28, 0)))</f>
        <v/>
      </c>
      <c r="H278" s="169">
        <f>(((VERI_TABANI!D23*B278*(VERI_TABANI!$B$13-VERI_TABANI!$B$14)) + (VERI_TABANI!D23*C278*(VERI_TABANI!$B$13-VERI_TABANI!$B$15)) + IF(ISNUMBER(SEARCH("Var", D278)), VERI_TABANI!F23*(0.00202-VERI_TABANI!$B$16), IF(ISNUMBER(SEARCH("Gri", D278)), VERI_TABANI!F23*(0.00202-VERI_TABANI!$B$17), 0))) + ((VERI_TABANI!D24*B278*(VERI_TABANI!$B$13-VERI_TABANI!$B$14)) + (VERI_TABANI!D24*C278*(VERI_TABANI!$B$13-VERI_TABANI!$B$15)) + IF(ISNUMBER(SEARCH("Var", D278)), VERI_TABANI!F24*(0.00202-VERI_TABANI!$B$16), IF(ISNUMBER(SEARCH("Gri", D278)), VERI_TABANI!F24*(0.00202-VERI_TABANI!$B$17), 0))) + ((VERI_TABANI!D25*B278*(VERI_TABANI!$B$13-VERI_TABANI!$B$14)) + (VERI_TABANI!D25*C278*(VERI_TABANI!$B$13-VERI_TABANI!$B$15)) + IF(ISNUMBER(SEARCH("Var", D278)), VERI_TABANI!F25*(0.00202-VERI_TABANI!$B$16), IF(ISNUMBER(SEARCH("Gri", D278)), VERI_TABANI!F25*(0.00202-VERI_TABANI!$B$17), 0))) + ((VERI_TABANI!D26*B278*(VERI_TABANI!$B$13-VERI_TABANI!$B$14)) + (VERI_TABANI!D26*C278*(VERI_TABANI!$B$13-VERI_TABANI!$B$15)) + IF(ISNUMBER(SEARCH("Var", D278)), VERI_TABANI!F26*(0.00202-VERI_TABANI!$B$16), IF(ISNUMBER(SEARCH("Gri", D278)), VERI_TABANI!F26*(0.00202-VERI_TABANI!$B$17), 0))) + ((VERI_TABANI!D27*B278*(VERI_TABANI!$B$13-VERI_TABANI!$B$14)) + (VERI_TABANI!D27*C278*(VERI_TABANI!$B$13-VERI_TABANI!$B$15)) + IF(ISNUMBER(SEARCH("Var", D278)), VERI_TABANI!F27*(0.00202-VERI_TABANI!$B$16), IF(ISNUMBER(SEARCH("Gri", D278)), VERI_TABANI!F27*(0.00202-VERI_TABANI!$B$17), 0))) + ((VERI_TABANI!D28*B278*(VERI_TABANI!$B$13-VERI_TABANI!$B$14)) + (VERI_TABANI!D28*C278*(VERI_TABANI!$B$13-VERI_TABANI!$B$15)) + IF(ISNUMBER(SEARCH("Var", D278)), VERI_TABANI!F28*(0.00202-VERI_TABANI!$B$16), IF(ISNUMBER(SEARCH("Gri", D278)), VERI_TABANI!F28*(0.00202-VERI_TABANI!$B$17), 0))))</f>
        <v/>
      </c>
      <c r="I278" s="170">
        <f>IFERROR(((VERI_TABANI!$D$29*B278*VERI_TABANI!$B$14 + VERI_TABANI!$D$29*C278*VERI_TABANI!$B$15 + IF(ISNUMBER(SEARCH("Var", D278)), VERI_TABANI!$F$29*VERI_TABANI!$B$16, 0))) / (((VERI_TABANI!$D$29*B278 + VERI_TABANI!$D$29*C278)*VERI_TABANI!$B$13 + IF(ISNUMBER(SEARCH("Var", D278)), VERI_TABANI!$E$29*(1-0.928)*VERI_TABANI!$B$18, 0))), 0)</f>
        <v/>
      </c>
      <c r="J278" s="171">
        <f>IFERROR(F278/(G278/29), 0)</f>
        <v/>
      </c>
      <c r="K278" s="172">
        <f>IF(F278&gt;0, H278/F278, 0)</f>
        <v/>
      </c>
      <c r="L278" s="170">
        <f>IF(F278&gt;0, I278, 1000000000)</f>
        <v/>
      </c>
      <c r="M278" s="171">
        <f>ABS((B278+C278)-1)</f>
        <v/>
      </c>
      <c r="N278" s="170">
        <f>IF(F278&gt;0, (G278/29)/F278, 0)</f>
        <v/>
      </c>
      <c r="O278" s="168">
        <f>IF(AND((B278+C278)&gt;=1, ISNUMBER(SEARCH("Var", D278))), F278, 1000000000)</f>
        <v/>
      </c>
      <c r="P278" s="172">
        <f>IF(F278&gt;0, SQRT((F278/MAX(F$5:F$886))^2 + (1 - H278/MAX(H$5:H$886))^2 + (J278/MAX(J$5:J$886))^2), 1000000000)</f>
        <v/>
      </c>
      <c r="Q278" s="166">
        <f>IF(AND(ABS(B278-0.5)&lt;0.01, ABS(C278-0.5)&lt;0.01, ISNUMBER(SEARCH("Var", D278))), 1, 0)</f>
        <v/>
      </c>
      <c r="R278" s="171">
        <f>IF(F278&gt;0, J278, 1000000000)</f>
        <v/>
      </c>
      <c r="S278" s="101">
        <f>IF(AND(F278&lt;=DASHBOARD!$B$11, H278&gt;=DASHBOARD!$B$13), G278, -1000000000000)</f>
        <v/>
      </c>
      <c r="T278" s="101">
        <f>IF(AND(F278&lt;=DASHBOARD!$B$11, H278&gt;=DASHBOARD!$B$13), R278, 1000000000000)</f>
        <v/>
      </c>
      <c r="U278" s="101">
        <f>IF(AND(F278&lt;=DASHBOARD!$B$11, H278&gt;=DASHBOARD!$B$13), N278, -1000000000000)</f>
        <v/>
      </c>
      <c r="V278" s="101">
        <f>IF(AND(F278&lt;=DASHBOARD!$B$11, H278&gt;=DASHBOARD!$B$13), H278, -1000000000000)</f>
        <v/>
      </c>
      <c r="W278" s="101">
        <f>IF(AND(F278&lt;=DASHBOARD!$B$11, H278&gt;=DASHBOARD!$B$13), K278, -1000000000000)</f>
        <v/>
      </c>
      <c r="X278" s="101">
        <f>IF(AND(F278&lt;=DASHBOARD!$B$11, H278&gt;=DASHBOARD!$B$13), M278, 1000000000000)</f>
        <v/>
      </c>
      <c r="Y278" s="101">
        <f>IF(AND(F278&lt;=DASHBOARD!$B$10, H278&gt;=DASHBOARD!$B$11), L278, 1000000000000)</f>
        <v/>
      </c>
      <c r="Z278" s="101">
        <f>IF(AND(F278&lt;=DASHBOARD!$B$10, H278&gt;=DASHBOARD!$B$11), O278, 1000000000000)</f>
        <v/>
      </c>
      <c r="AA278" s="101">
        <f>IF(AND(F278&lt;=DASHBOARD!$B$10, H278&gt;=DASHBOARD!$B$11), P278, 1000000000000)</f>
        <v/>
      </c>
      <c r="AB278" s="101">
        <f>IF(AND(F278&lt;=DASHBOARD!$B$10, H278&gt;=DASHBOARD!$B$11), Q278, -1000000000000)</f>
        <v/>
      </c>
    </row>
    <row r="279" ht="15" customHeight="1" s="102">
      <c r="A279" s="166" t="n">
        <v>275</v>
      </c>
      <c r="B279" s="167" t="n">
        <v>0.6</v>
      </c>
      <c r="C279" s="167" t="n">
        <v>1.1</v>
      </c>
      <c r="D279" s="110" t="inlineStr">
        <is>
          <t>Yok (%0)</t>
        </is>
      </c>
      <c r="E279" s="110">
        <f>IF((B279+C279)&lt;=1, "Tam Mahsuplaşma (≤%100)", "Kısmi Satış (&gt;%100)")</f>
        <v/>
      </c>
      <c r="F279" s="168">
        <f>((VERI_TABANI!$D$29*B279/VERI_TABANI!$B$29)/VERI_TABANI!$B$3)*VERI_TABANI!$B$5 + ((VERI_TABANI!$D$29*C279/VERI_TABANI!$B$29)/VERI_TABANI!$B$4)*VERI_TABANI!$B$6 + IF(ISNUMBER(SEARCH("Var", D279)), (VERI_TABANI!$F$29/VERI_TABANI!$B$29)*(VERI_TABANI!$B$10+VERI_TABANI!$B$12), 0)</f>
        <v/>
      </c>
      <c r="G279" s="168">
        <f>(((MIN(VERI_TABANI!D23, VERI_TABANI!D23*B279)*VERI_TABANI!$B$7 + MAX(0, VERI_TABANI!D23*B279-VERI_TABANI!D23)*VERI_TABANI!$B$8) + (MIN(MAX(0, VERI_TABANI!D23-VERI_TABANI!D23*B279), VERI_TABANI!D23*C279)*VERI_TABANI!$B$7 + MAX(0, VERI_TABANI!D23*C279-MAX(0, VERI_TABANI!D23-VERI_TABANI!D23*B279))*VERI_TABANI!$B$8) + IF(ABS(IF(ISNUMBER(SEARCH("Var", D279)), 1, IF(ISNUMBER(SEARCH("Gri", D279)), -1, 0)))=1, VERI_TABANI!E23*(1-0.928)*VERI_TABANI!$B$9, 0) + (VERI_TABANI!D23*B279*(VERI_TABANI!$B$13-VERI_TABANI!$B$14)*VERI_TABANI!G23) + (VERI_TABANI!D23*C279*(VERI_TABANI!$B$13-VERI_TABANI!$B$15)*VERI_TABANI!G23) + IF(ABS(IF(ISNUMBER(SEARCH("Var", D279)), 1, IF(ISNUMBER(SEARCH("Gri", D279)), -1, 0)))=1, VERI_TABANI!E23*(1-0.928)*0.00206091519919798*VERI_TABANI!G23, 0)) + ((MIN(VERI_TABANI!D24, VERI_TABANI!D24*B279)*VERI_TABANI!$B$7 + MAX(0, VERI_TABANI!D24*B279-VERI_TABANI!D24)*VERI_TABANI!$B$8) + (MIN(MAX(0, VERI_TABANI!D24-VERI_TABANI!D24*B279), VERI_TABANI!D24*C279)*VERI_TABANI!$B$7 + MAX(0, VERI_TABANI!D24*C279-MAX(0, VERI_TABANI!D24-VERI_TABANI!D24*B279))*VERI_TABANI!$B$8) + IF(ABS(IF(ISNUMBER(SEARCH("Var", D279)), 1, IF(ISNUMBER(SEARCH("Gri", D279)), -1, 0)))=1, VERI_TABANI!E24*(1-0.928)*VERI_TABANI!$B$9, 0) + (VERI_TABANI!D24*B279*(VERI_TABANI!$B$13-VERI_TABANI!$B$14)*VERI_TABANI!G24) + (VERI_TABANI!D24*C279*(VERI_TABANI!$B$13-VERI_TABANI!$B$15)*VERI_TABANI!G24) + IF(ABS(IF(ISNUMBER(SEARCH("Var", D279)), 1, IF(ISNUMBER(SEARCH("Gri", D279)), -1, 0)))=1, VERI_TABANI!E24*(1-0.928)*0.00206091519919798*VERI_TABANI!G24, 0)) + ((MIN(VERI_TABANI!D25, VERI_TABANI!D25*B279)*VERI_TABANI!$B$7 + MAX(0, VERI_TABANI!D25*B279-VERI_TABANI!D25)*VERI_TABANI!$B$8) + (MIN(MAX(0, VERI_TABANI!D25-VERI_TABANI!D25*B279), VERI_TABANI!D25*C279)*VERI_TABANI!$B$7 + MAX(0, VERI_TABANI!D25*C279-MAX(0, VERI_TABANI!D25-VERI_TABANI!D25*B279))*VERI_TABANI!$B$8) + IF(ABS(IF(ISNUMBER(SEARCH("Var", D279)), 1, IF(ISNUMBER(SEARCH("Gri", D279)), -1, 0)))=1, VERI_TABANI!E25*(1-0.928)*VERI_TABANI!$B$9, 0) + (VERI_TABANI!D25*B279*(VERI_TABANI!$B$13-VERI_TABANI!$B$14)*VERI_TABANI!G25) + (VERI_TABANI!D25*C279*(VERI_TABANI!$B$13-VERI_TABANI!$B$15)*VERI_TABANI!G25) + IF(ABS(IF(ISNUMBER(SEARCH("Var", D279)), 1, IF(ISNUMBER(SEARCH("Gri", D279)), -1, 0)))=1, VERI_TABANI!E25*(1-0.928)*0.00206091519919798*VERI_TABANI!G25, 0)) + ((MIN(VERI_TABANI!D26, VERI_TABANI!D26*B279)*VERI_TABANI!$B$7 + MAX(0, VERI_TABANI!D26*B279-VERI_TABANI!D26)*VERI_TABANI!$B$8) + (MIN(MAX(0, VERI_TABANI!D26-VERI_TABANI!D26*B279), VERI_TABANI!D26*C279)*VERI_TABANI!$B$7 + MAX(0, VERI_TABANI!D26*C279-MAX(0, VERI_TABANI!D26-VERI_TABANI!D26*B279))*VERI_TABANI!$B$8) + IF(ABS(IF(ISNUMBER(SEARCH("Var", D279)), 1, IF(ISNUMBER(SEARCH("Gri", D279)), -1, 0)))=1, VERI_TABANI!E26*(1-0.928)*VERI_TABANI!$B$9, 0) + (VERI_TABANI!D26*B279*(VERI_TABANI!$B$13-VERI_TABANI!$B$14)*VERI_TABANI!G26) + (VERI_TABANI!D26*C279*(VERI_TABANI!$B$13-VERI_TABANI!$B$15)*VERI_TABANI!G26) + IF(ABS(IF(ISNUMBER(SEARCH("Var", D279)), 1, IF(ISNUMBER(SEARCH("Gri", D279)), -1, 0)))=1, VERI_TABANI!E26*(1-0.928)*0.00206091519919798*VERI_TABANI!G26, 0)) + ((MIN(VERI_TABANI!D27, VERI_TABANI!D27*B279)*VERI_TABANI!$B$7 + MAX(0, VERI_TABANI!D27*B279-VERI_TABANI!D27)*VERI_TABANI!$B$8) + (MIN(MAX(0, VERI_TABANI!D27-VERI_TABANI!D27*B279), VERI_TABANI!D27*C279)*VERI_TABANI!$B$7 + MAX(0, VERI_TABANI!D27*C279-MAX(0, VERI_TABANI!D27-VERI_TABANI!D27*B279))*VERI_TABANI!$B$8) + IF(ABS(IF(ISNUMBER(SEARCH("Var", D279)), 1, IF(ISNUMBER(SEARCH("Gri", D279)), -1, 0)))=1, VERI_TABANI!E27*(1-0.928)*VERI_TABANI!$B$9, 0) + (VERI_TABANI!D27*B279*(VERI_TABANI!$B$13-VERI_TABANI!$B$14)*VERI_TABANI!G27) + (VERI_TABANI!D27*C279*(VERI_TABANI!$B$13-VERI_TABANI!$B$15)*VERI_TABANI!G27) + IF(ABS(IF(ISNUMBER(SEARCH("Var", D279)), 1, IF(ISNUMBER(SEARCH("Gri", D279)), -1, 0)))=1, VERI_TABANI!E27*(1-0.928)*0.00206091519919798*VERI_TABANI!G27, 0)) + ((MIN(VERI_TABANI!D28, VERI_TABANI!D28*B279)*VERI_TABANI!$B$7 + MAX(0, VERI_TABANI!D28*B279-VERI_TABANI!D28)*VERI_TABANI!$B$8) + (MIN(MAX(0, VERI_TABANI!D28-VERI_TABANI!D28*B279), VERI_TABANI!D28*C279)*VERI_TABANI!$B$7 + MAX(0, VERI_TABANI!D28*C279-MAX(0, VERI_TABANI!D28-VERI_TABANI!D28*B279))*VERI_TABANI!$B$8) + IF(ABS(IF(ISNUMBER(SEARCH("Var", D279)), 1, IF(ISNUMBER(SEARCH("Gri", D279)), -1, 0)))=1, VERI_TABANI!E28*(1-0.928)*VERI_TABANI!$B$9, 0) + (VERI_TABANI!D28*B279*(VERI_TABANI!$B$13-VERI_TABANI!$B$14)*VERI_TABANI!G28) + (VERI_TABANI!D28*C279*(VERI_TABANI!$B$13-VERI_TABANI!$B$15)*VERI_TABANI!G28) + IF(ABS(IF(ISNUMBER(SEARCH("Var", D279)), 1, IF(ISNUMBER(SEARCH("Gri", D279)), -1, 0)))=1, VERI_TABANI!E28*(1-0.928)*0.00206091519919798*VERI_TABANI!G28, 0)))</f>
        <v/>
      </c>
      <c r="H279" s="169">
        <f>(((VERI_TABANI!D23*B279*(VERI_TABANI!$B$13-VERI_TABANI!$B$14)) + (VERI_TABANI!D23*C279*(VERI_TABANI!$B$13-VERI_TABANI!$B$15)) + IF(ISNUMBER(SEARCH("Var", D279)), VERI_TABANI!F23*(0.00202-VERI_TABANI!$B$16), IF(ISNUMBER(SEARCH("Gri", D279)), VERI_TABANI!F23*(0.00202-VERI_TABANI!$B$17), 0))) + ((VERI_TABANI!D24*B279*(VERI_TABANI!$B$13-VERI_TABANI!$B$14)) + (VERI_TABANI!D24*C279*(VERI_TABANI!$B$13-VERI_TABANI!$B$15)) + IF(ISNUMBER(SEARCH("Var", D279)), VERI_TABANI!F24*(0.00202-VERI_TABANI!$B$16), IF(ISNUMBER(SEARCH("Gri", D279)), VERI_TABANI!F24*(0.00202-VERI_TABANI!$B$17), 0))) + ((VERI_TABANI!D25*B279*(VERI_TABANI!$B$13-VERI_TABANI!$B$14)) + (VERI_TABANI!D25*C279*(VERI_TABANI!$B$13-VERI_TABANI!$B$15)) + IF(ISNUMBER(SEARCH("Var", D279)), VERI_TABANI!F25*(0.00202-VERI_TABANI!$B$16), IF(ISNUMBER(SEARCH("Gri", D279)), VERI_TABANI!F25*(0.00202-VERI_TABANI!$B$17), 0))) + ((VERI_TABANI!D26*B279*(VERI_TABANI!$B$13-VERI_TABANI!$B$14)) + (VERI_TABANI!D26*C279*(VERI_TABANI!$B$13-VERI_TABANI!$B$15)) + IF(ISNUMBER(SEARCH("Var", D279)), VERI_TABANI!F26*(0.00202-VERI_TABANI!$B$16), IF(ISNUMBER(SEARCH("Gri", D279)), VERI_TABANI!F26*(0.00202-VERI_TABANI!$B$17), 0))) + ((VERI_TABANI!D27*B279*(VERI_TABANI!$B$13-VERI_TABANI!$B$14)) + (VERI_TABANI!D27*C279*(VERI_TABANI!$B$13-VERI_TABANI!$B$15)) + IF(ISNUMBER(SEARCH("Var", D279)), VERI_TABANI!F27*(0.00202-VERI_TABANI!$B$16), IF(ISNUMBER(SEARCH("Gri", D279)), VERI_TABANI!F27*(0.00202-VERI_TABANI!$B$17), 0))) + ((VERI_TABANI!D28*B279*(VERI_TABANI!$B$13-VERI_TABANI!$B$14)) + (VERI_TABANI!D28*C279*(VERI_TABANI!$B$13-VERI_TABANI!$B$15)) + IF(ISNUMBER(SEARCH("Var", D279)), VERI_TABANI!F28*(0.00202-VERI_TABANI!$B$16), IF(ISNUMBER(SEARCH("Gri", D279)), VERI_TABANI!F28*(0.00202-VERI_TABANI!$B$17), 0))))</f>
        <v/>
      </c>
      <c r="I279" s="170">
        <f>IFERROR(((VERI_TABANI!$D$29*B279*VERI_TABANI!$B$14 + VERI_TABANI!$D$29*C279*VERI_TABANI!$B$15 + IF(ISNUMBER(SEARCH("Var", D279)), VERI_TABANI!$F$29*VERI_TABANI!$B$16, 0))) / (((VERI_TABANI!$D$29*B279 + VERI_TABANI!$D$29*C279)*VERI_TABANI!$B$13 + IF(ISNUMBER(SEARCH("Var", D279)), VERI_TABANI!$E$29*(1-0.928)*VERI_TABANI!$B$18, 0))), 0)</f>
        <v/>
      </c>
      <c r="J279" s="171">
        <f>IFERROR(F279/(G279/29), 0)</f>
        <v/>
      </c>
      <c r="K279" s="172">
        <f>IF(F279&gt;0, H279/F279, 0)</f>
        <v/>
      </c>
      <c r="L279" s="170">
        <f>IF(F279&gt;0, I279, 1000000000)</f>
        <v/>
      </c>
      <c r="M279" s="171">
        <f>ABS((B279+C279)-1)</f>
        <v/>
      </c>
      <c r="N279" s="170">
        <f>IF(F279&gt;0, (G279/29)/F279, 0)</f>
        <v/>
      </c>
      <c r="O279" s="168">
        <f>IF(AND((B279+C279)&gt;=1, ISNUMBER(SEARCH("Var", D279))), F279, 1000000000)</f>
        <v/>
      </c>
      <c r="P279" s="172">
        <f>IF(F279&gt;0, SQRT((F279/MAX(F$5:F$886))^2 + (1 - H279/MAX(H$5:H$886))^2 + (J279/MAX(J$5:J$886))^2), 1000000000)</f>
        <v/>
      </c>
      <c r="Q279" s="166">
        <f>IF(AND(ABS(B279-0.5)&lt;0.01, ABS(C279-0.5)&lt;0.01, ISNUMBER(SEARCH("Var", D279))), 1, 0)</f>
        <v/>
      </c>
      <c r="R279" s="171">
        <f>IF(F279&gt;0, J279, 1000000000)</f>
        <v/>
      </c>
      <c r="S279" s="101">
        <f>IF(AND(F279&lt;=DASHBOARD!$B$11, H279&gt;=DASHBOARD!$B$13), G279, -1000000000000)</f>
        <v/>
      </c>
      <c r="T279" s="101">
        <f>IF(AND(F279&lt;=DASHBOARD!$B$11, H279&gt;=DASHBOARD!$B$13), R279, 1000000000000)</f>
        <v/>
      </c>
      <c r="U279" s="101">
        <f>IF(AND(F279&lt;=DASHBOARD!$B$11, H279&gt;=DASHBOARD!$B$13), N279, -1000000000000)</f>
        <v/>
      </c>
      <c r="V279" s="101">
        <f>IF(AND(F279&lt;=DASHBOARD!$B$11, H279&gt;=DASHBOARD!$B$13), H279, -1000000000000)</f>
        <v/>
      </c>
      <c r="W279" s="101">
        <f>IF(AND(F279&lt;=DASHBOARD!$B$11, H279&gt;=DASHBOARD!$B$13), K279, -1000000000000)</f>
        <v/>
      </c>
      <c r="X279" s="101">
        <f>IF(AND(F279&lt;=DASHBOARD!$B$11, H279&gt;=DASHBOARD!$B$13), M279, 1000000000000)</f>
        <v/>
      </c>
      <c r="Y279" s="101">
        <f>IF(AND(F279&lt;=DASHBOARD!$B$10, H279&gt;=DASHBOARD!$B$11), L279, 1000000000000)</f>
        <v/>
      </c>
      <c r="Z279" s="101">
        <f>IF(AND(F279&lt;=DASHBOARD!$B$10, H279&gt;=DASHBOARD!$B$11), O279, 1000000000000)</f>
        <v/>
      </c>
      <c r="AA279" s="101">
        <f>IF(AND(F279&lt;=DASHBOARD!$B$10, H279&gt;=DASHBOARD!$B$11), P279, 1000000000000)</f>
        <v/>
      </c>
      <c r="AB279" s="101">
        <f>IF(AND(F279&lt;=DASHBOARD!$B$10, H279&gt;=DASHBOARD!$B$11), Q279, -1000000000000)</f>
        <v/>
      </c>
    </row>
    <row r="280" ht="15" customHeight="1" s="102">
      <c r="A280" s="166" t="n">
        <v>276</v>
      </c>
      <c r="B280" s="167" t="n">
        <v>0.6</v>
      </c>
      <c r="C280" s="167" t="n">
        <v>1.1</v>
      </c>
      <c r="D280" s="110" t="inlineStr">
        <is>
          <t>Var (%20)</t>
        </is>
      </c>
      <c r="E280" s="110">
        <f>IF((B280+C280)&lt;=1, "Tam Mahsuplaşma (≤%100)", "Kısmi Satış (&gt;%100)")</f>
        <v/>
      </c>
      <c r="F280" s="168">
        <f>((VERI_TABANI!$D$29*B280/VERI_TABANI!$B$29)/VERI_TABANI!$B$3)*VERI_TABANI!$B$5 + ((VERI_TABANI!$D$29*C280/VERI_TABANI!$B$29)/VERI_TABANI!$B$4)*VERI_TABANI!$B$6 + IF(ISNUMBER(SEARCH("Var", D280)), (VERI_TABANI!$F$29/VERI_TABANI!$B$29)*(VERI_TABANI!$B$10+VERI_TABANI!$B$12), 0)</f>
        <v/>
      </c>
      <c r="G280" s="168">
        <f>(((MIN(VERI_TABANI!D23, VERI_TABANI!D23*B280)*VERI_TABANI!$B$7 + MAX(0, VERI_TABANI!D23*B280-VERI_TABANI!D23)*VERI_TABANI!$B$8) + (MIN(MAX(0, VERI_TABANI!D23-VERI_TABANI!D23*B280), VERI_TABANI!D23*C280)*VERI_TABANI!$B$7 + MAX(0, VERI_TABANI!D23*C280-MAX(0, VERI_TABANI!D23-VERI_TABANI!D23*B280))*VERI_TABANI!$B$8) + IF(ABS(IF(ISNUMBER(SEARCH("Var", D280)), 1, IF(ISNUMBER(SEARCH("Gri", D280)), -1, 0)))=1, VERI_TABANI!E23*(1-0.928)*VERI_TABANI!$B$9, 0) + (VERI_TABANI!D23*B280*(VERI_TABANI!$B$13-VERI_TABANI!$B$14)*VERI_TABANI!G23) + (VERI_TABANI!D23*C280*(VERI_TABANI!$B$13-VERI_TABANI!$B$15)*VERI_TABANI!G23) + IF(ABS(IF(ISNUMBER(SEARCH("Var", D280)), 1, IF(ISNUMBER(SEARCH("Gri", D280)), -1, 0)))=1, VERI_TABANI!E23*(1-0.928)*0.00206091519919798*VERI_TABANI!G23, 0)) + ((MIN(VERI_TABANI!D24, VERI_TABANI!D24*B280)*VERI_TABANI!$B$7 + MAX(0, VERI_TABANI!D24*B280-VERI_TABANI!D24)*VERI_TABANI!$B$8) + (MIN(MAX(0, VERI_TABANI!D24-VERI_TABANI!D24*B280), VERI_TABANI!D24*C280)*VERI_TABANI!$B$7 + MAX(0, VERI_TABANI!D24*C280-MAX(0, VERI_TABANI!D24-VERI_TABANI!D24*B280))*VERI_TABANI!$B$8) + IF(ABS(IF(ISNUMBER(SEARCH("Var", D280)), 1, IF(ISNUMBER(SEARCH("Gri", D280)), -1, 0)))=1, VERI_TABANI!E24*(1-0.928)*VERI_TABANI!$B$9, 0) + (VERI_TABANI!D24*B280*(VERI_TABANI!$B$13-VERI_TABANI!$B$14)*VERI_TABANI!G24) + (VERI_TABANI!D24*C280*(VERI_TABANI!$B$13-VERI_TABANI!$B$15)*VERI_TABANI!G24) + IF(ABS(IF(ISNUMBER(SEARCH("Var", D280)), 1, IF(ISNUMBER(SEARCH("Gri", D280)), -1, 0)))=1, VERI_TABANI!E24*(1-0.928)*0.00206091519919798*VERI_TABANI!G24, 0)) + ((MIN(VERI_TABANI!D25, VERI_TABANI!D25*B280)*VERI_TABANI!$B$7 + MAX(0, VERI_TABANI!D25*B280-VERI_TABANI!D25)*VERI_TABANI!$B$8) + (MIN(MAX(0, VERI_TABANI!D25-VERI_TABANI!D25*B280), VERI_TABANI!D25*C280)*VERI_TABANI!$B$7 + MAX(0, VERI_TABANI!D25*C280-MAX(0, VERI_TABANI!D25-VERI_TABANI!D25*B280))*VERI_TABANI!$B$8) + IF(ABS(IF(ISNUMBER(SEARCH("Var", D280)), 1, IF(ISNUMBER(SEARCH("Gri", D280)), -1, 0)))=1, VERI_TABANI!E25*(1-0.928)*VERI_TABANI!$B$9, 0) + (VERI_TABANI!D25*B280*(VERI_TABANI!$B$13-VERI_TABANI!$B$14)*VERI_TABANI!G25) + (VERI_TABANI!D25*C280*(VERI_TABANI!$B$13-VERI_TABANI!$B$15)*VERI_TABANI!G25) + IF(ABS(IF(ISNUMBER(SEARCH("Var", D280)), 1, IF(ISNUMBER(SEARCH("Gri", D280)), -1, 0)))=1, VERI_TABANI!E25*(1-0.928)*0.00206091519919798*VERI_TABANI!G25, 0)) + ((MIN(VERI_TABANI!D26, VERI_TABANI!D26*B280)*VERI_TABANI!$B$7 + MAX(0, VERI_TABANI!D26*B280-VERI_TABANI!D26)*VERI_TABANI!$B$8) + (MIN(MAX(0, VERI_TABANI!D26-VERI_TABANI!D26*B280), VERI_TABANI!D26*C280)*VERI_TABANI!$B$7 + MAX(0, VERI_TABANI!D26*C280-MAX(0, VERI_TABANI!D26-VERI_TABANI!D26*B280))*VERI_TABANI!$B$8) + IF(ABS(IF(ISNUMBER(SEARCH("Var", D280)), 1, IF(ISNUMBER(SEARCH("Gri", D280)), -1, 0)))=1, VERI_TABANI!E26*(1-0.928)*VERI_TABANI!$B$9, 0) + (VERI_TABANI!D26*B280*(VERI_TABANI!$B$13-VERI_TABANI!$B$14)*VERI_TABANI!G26) + (VERI_TABANI!D26*C280*(VERI_TABANI!$B$13-VERI_TABANI!$B$15)*VERI_TABANI!G26) + IF(ABS(IF(ISNUMBER(SEARCH("Var", D280)), 1, IF(ISNUMBER(SEARCH("Gri", D280)), -1, 0)))=1, VERI_TABANI!E26*(1-0.928)*0.00206091519919798*VERI_TABANI!G26, 0)) + ((MIN(VERI_TABANI!D27, VERI_TABANI!D27*B280)*VERI_TABANI!$B$7 + MAX(0, VERI_TABANI!D27*B280-VERI_TABANI!D27)*VERI_TABANI!$B$8) + (MIN(MAX(0, VERI_TABANI!D27-VERI_TABANI!D27*B280), VERI_TABANI!D27*C280)*VERI_TABANI!$B$7 + MAX(0, VERI_TABANI!D27*C280-MAX(0, VERI_TABANI!D27-VERI_TABANI!D27*B280))*VERI_TABANI!$B$8) + IF(ABS(IF(ISNUMBER(SEARCH("Var", D280)), 1, IF(ISNUMBER(SEARCH("Gri", D280)), -1, 0)))=1, VERI_TABANI!E27*(1-0.928)*VERI_TABANI!$B$9, 0) + (VERI_TABANI!D27*B280*(VERI_TABANI!$B$13-VERI_TABANI!$B$14)*VERI_TABANI!G27) + (VERI_TABANI!D27*C280*(VERI_TABANI!$B$13-VERI_TABANI!$B$15)*VERI_TABANI!G27) + IF(ABS(IF(ISNUMBER(SEARCH("Var", D280)), 1, IF(ISNUMBER(SEARCH("Gri", D280)), -1, 0)))=1, VERI_TABANI!E27*(1-0.928)*0.00206091519919798*VERI_TABANI!G27, 0)) + ((MIN(VERI_TABANI!D28, VERI_TABANI!D28*B280)*VERI_TABANI!$B$7 + MAX(0, VERI_TABANI!D28*B280-VERI_TABANI!D28)*VERI_TABANI!$B$8) + (MIN(MAX(0, VERI_TABANI!D28-VERI_TABANI!D28*B280), VERI_TABANI!D28*C280)*VERI_TABANI!$B$7 + MAX(0, VERI_TABANI!D28*C280-MAX(0, VERI_TABANI!D28-VERI_TABANI!D28*B280))*VERI_TABANI!$B$8) + IF(ABS(IF(ISNUMBER(SEARCH("Var", D280)), 1, IF(ISNUMBER(SEARCH("Gri", D280)), -1, 0)))=1, VERI_TABANI!E28*(1-0.928)*VERI_TABANI!$B$9, 0) + (VERI_TABANI!D28*B280*(VERI_TABANI!$B$13-VERI_TABANI!$B$14)*VERI_TABANI!G28) + (VERI_TABANI!D28*C280*(VERI_TABANI!$B$13-VERI_TABANI!$B$15)*VERI_TABANI!G28) + IF(ABS(IF(ISNUMBER(SEARCH("Var", D280)), 1, IF(ISNUMBER(SEARCH("Gri", D280)), -1, 0)))=1, VERI_TABANI!E28*(1-0.928)*0.00206091519919798*VERI_TABANI!G28, 0)))</f>
        <v/>
      </c>
      <c r="H280" s="169">
        <f>(((VERI_TABANI!D23*B280*(VERI_TABANI!$B$13-VERI_TABANI!$B$14)) + (VERI_TABANI!D23*C280*(VERI_TABANI!$B$13-VERI_TABANI!$B$15)) + IF(ISNUMBER(SEARCH("Var", D280)), VERI_TABANI!F23*(0.00202-VERI_TABANI!$B$16), IF(ISNUMBER(SEARCH("Gri", D280)), VERI_TABANI!F23*(0.00202-VERI_TABANI!$B$17), 0))) + ((VERI_TABANI!D24*B280*(VERI_TABANI!$B$13-VERI_TABANI!$B$14)) + (VERI_TABANI!D24*C280*(VERI_TABANI!$B$13-VERI_TABANI!$B$15)) + IF(ISNUMBER(SEARCH("Var", D280)), VERI_TABANI!F24*(0.00202-VERI_TABANI!$B$16), IF(ISNUMBER(SEARCH("Gri", D280)), VERI_TABANI!F24*(0.00202-VERI_TABANI!$B$17), 0))) + ((VERI_TABANI!D25*B280*(VERI_TABANI!$B$13-VERI_TABANI!$B$14)) + (VERI_TABANI!D25*C280*(VERI_TABANI!$B$13-VERI_TABANI!$B$15)) + IF(ISNUMBER(SEARCH("Var", D280)), VERI_TABANI!F25*(0.00202-VERI_TABANI!$B$16), IF(ISNUMBER(SEARCH("Gri", D280)), VERI_TABANI!F25*(0.00202-VERI_TABANI!$B$17), 0))) + ((VERI_TABANI!D26*B280*(VERI_TABANI!$B$13-VERI_TABANI!$B$14)) + (VERI_TABANI!D26*C280*(VERI_TABANI!$B$13-VERI_TABANI!$B$15)) + IF(ISNUMBER(SEARCH("Var", D280)), VERI_TABANI!F26*(0.00202-VERI_TABANI!$B$16), IF(ISNUMBER(SEARCH("Gri", D280)), VERI_TABANI!F26*(0.00202-VERI_TABANI!$B$17), 0))) + ((VERI_TABANI!D27*B280*(VERI_TABANI!$B$13-VERI_TABANI!$B$14)) + (VERI_TABANI!D27*C280*(VERI_TABANI!$B$13-VERI_TABANI!$B$15)) + IF(ISNUMBER(SEARCH("Var", D280)), VERI_TABANI!F27*(0.00202-VERI_TABANI!$B$16), IF(ISNUMBER(SEARCH("Gri", D280)), VERI_TABANI!F27*(0.00202-VERI_TABANI!$B$17), 0))) + ((VERI_TABANI!D28*B280*(VERI_TABANI!$B$13-VERI_TABANI!$B$14)) + (VERI_TABANI!D28*C280*(VERI_TABANI!$B$13-VERI_TABANI!$B$15)) + IF(ISNUMBER(SEARCH("Var", D280)), VERI_TABANI!F28*(0.00202-VERI_TABANI!$B$16), IF(ISNUMBER(SEARCH("Gri", D280)), VERI_TABANI!F28*(0.00202-VERI_TABANI!$B$17), 0))))</f>
        <v/>
      </c>
      <c r="I280" s="170">
        <f>IFERROR(((VERI_TABANI!$D$29*B280*VERI_TABANI!$B$14 + VERI_TABANI!$D$29*C280*VERI_TABANI!$B$15 + IF(ISNUMBER(SEARCH("Var", D280)), VERI_TABANI!$F$29*VERI_TABANI!$B$16, 0))) / (((VERI_TABANI!$D$29*B280 + VERI_TABANI!$D$29*C280)*VERI_TABANI!$B$13 + IF(ISNUMBER(SEARCH("Var", D280)), VERI_TABANI!$E$29*(1-0.928)*VERI_TABANI!$B$18, 0))), 0)</f>
        <v/>
      </c>
      <c r="J280" s="171">
        <f>IFERROR(F280/(G280/29), 0)</f>
        <v/>
      </c>
      <c r="K280" s="172">
        <f>IF(F280&gt;0, H280/F280, 0)</f>
        <v/>
      </c>
      <c r="L280" s="170">
        <f>IF(F280&gt;0, I280, 1000000000)</f>
        <v/>
      </c>
      <c r="M280" s="171">
        <f>ABS((B280+C280)-1)</f>
        <v/>
      </c>
      <c r="N280" s="170">
        <f>IF(F280&gt;0, (G280/29)/F280, 0)</f>
        <v/>
      </c>
      <c r="O280" s="168">
        <f>IF(AND((B280+C280)&gt;=1, ISNUMBER(SEARCH("Var", D280))), F280, 1000000000)</f>
        <v/>
      </c>
      <c r="P280" s="172">
        <f>IF(F280&gt;0, SQRT((F280/MAX(F$5:F$886))^2 + (1 - H280/MAX(H$5:H$886))^2 + (J280/MAX(J$5:J$886))^2), 1000000000)</f>
        <v/>
      </c>
      <c r="Q280" s="166">
        <f>IF(AND(ABS(B280-0.5)&lt;0.01, ABS(C280-0.5)&lt;0.01, ISNUMBER(SEARCH("Var", D280))), 1, 0)</f>
        <v/>
      </c>
      <c r="R280" s="171">
        <f>IF(F280&gt;0, J280, 1000000000)</f>
        <v/>
      </c>
      <c r="S280" s="101">
        <f>IF(AND(F280&lt;=DASHBOARD!$B$11, H280&gt;=DASHBOARD!$B$13), G280, -1000000000000)</f>
        <v/>
      </c>
      <c r="T280" s="101">
        <f>IF(AND(F280&lt;=DASHBOARD!$B$11, H280&gt;=DASHBOARD!$B$13), R280, 1000000000000)</f>
        <v/>
      </c>
      <c r="U280" s="101">
        <f>IF(AND(F280&lt;=DASHBOARD!$B$11, H280&gt;=DASHBOARD!$B$13), N280, -1000000000000)</f>
        <v/>
      </c>
      <c r="V280" s="101">
        <f>IF(AND(F280&lt;=DASHBOARD!$B$11, H280&gt;=DASHBOARD!$B$13), H280, -1000000000000)</f>
        <v/>
      </c>
      <c r="W280" s="101">
        <f>IF(AND(F280&lt;=DASHBOARD!$B$11, H280&gt;=DASHBOARD!$B$13), K280, -1000000000000)</f>
        <v/>
      </c>
      <c r="X280" s="101">
        <f>IF(AND(F280&lt;=DASHBOARD!$B$11, H280&gt;=DASHBOARD!$B$13), M280, 1000000000000)</f>
        <v/>
      </c>
      <c r="Y280" s="101">
        <f>IF(AND(F280&lt;=DASHBOARD!$B$10, H280&gt;=DASHBOARD!$B$11), L280, 1000000000000)</f>
        <v/>
      </c>
      <c r="Z280" s="101">
        <f>IF(AND(F280&lt;=DASHBOARD!$B$10, H280&gt;=DASHBOARD!$B$11), O280, 1000000000000)</f>
        <v/>
      </c>
      <c r="AA280" s="101">
        <f>IF(AND(F280&lt;=DASHBOARD!$B$10, H280&gt;=DASHBOARD!$B$11), P280, 1000000000000)</f>
        <v/>
      </c>
      <c r="AB280" s="101">
        <f>IF(AND(F280&lt;=DASHBOARD!$B$10, H280&gt;=DASHBOARD!$B$11), Q280, -1000000000000)</f>
        <v/>
      </c>
    </row>
    <row r="281" ht="15" customHeight="1" s="102">
      <c r="A281" s="166" t="n">
        <v>277</v>
      </c>
      <c r="B281" s="167" t="n">
        <v>0.6</v>
      </c>
      <c r="C281" s="167" t="n">
        <v>1.2</v>
      </c>
      <c r="D281" s="110" t="inlineStr">
        <is>
          <t>Yok (%0)</t>
        </is>
      </c>
      <c r="E281" s="110">
        <f>IF((B281+C281)&lt;=1, "Tam Mahsuplaşma (≤%100)", "Kısmi Satış (&gt;%100)")</f>
        <v/>
      </c>
      <c r="F281" s="168">
        <f>((VERI_TABANI!$D$29*B281/VERI_TABANI!$B$29)/VERI_TABANI!$B$3)*VERI_TABANI!$B$5 + ((VERI_TABANI!$D$29*C281/VERI_TABANI!$B$29)/VERI_TABANI!$B$4)*VERI_TABANI!$B$6 + IF(ISNUMBER(SEARCH("Var", D281)), (VERI_TABANI!$F$29/VERI_TABANI!$B$29)*(VERI_TABANI!$B$10+VERI_TABANI!$B$12), 0)</f>
        <v/>
      </c>
      <c r="G281" s="168">
        <f>(((MIN(VERI_TABANI!D23, VERI_TABANI!D23*B281)*VERI_TABANI!$B$7 + MAX(0, VERI_TABANI!D23*B281-VERI_TABANI!D23)*VERI_TABANI!$B$8) + (MIN(MAX(0, VERI_TABANI!D23-VERI_TABANI!D23*B281), VERI_TABANI!D23*C281)*VERI_TABANI!$B$7 + MAX(0, VERI_TABANI!D23*C281-MAX(0, VERI_TABANI!D23-VERI_TABANI!D23*B281))*VERI_TABANI!$B$8) + IF(ABS(IF(ISNUMBER(SEARCH("Var", D281)), 1, IF(ISNUMBER(SEARCH("Gri", D281)), -1, 0)))=1, VERI_TABANI!E23*(1-0.928)*VERI_TABANI!$B$9, 0) + (VERI_TABANI!D23*B281*(VERI_TABANI!$B$13-VERI_TABANI!$B$14)*VERI_TABANI!G23) + (VERI_TABANI!D23*C281*(VERI_TABANI!$B$13-VERI_TABANI!$B$15)*VERI_TABANI!G23) + IF(ABS(IF(ISNUMBER(SEARCH("Var", D281)), 1, IF(ISNUMBER(SEARCH("Gri", D281)), -1, 0)))=1, VERI_TABANI!E23*(1-0.928)*0.00206091519919798*VERI_TABANI!G23, 0)) + ((MIN(VERI_TABANI!D24, VERI_TABANI!D24*B281)*VERI_TABANI!$B$7 + MAX(0, VERI_TABANI!D24*B281-VERI_TABANI!D24)*VERI_TABANI!$B$8) + (MIN(MAX(0, VERI_TABANI!D24-VERI_TABANI!D24*B281), VERI_TABANI!D24*C281)*VERI_TABANI!$B$7 + MAX(0, VERI_TABANI!D24*C281-MAX(0, VERI_TABANI!D24-VERI_TABANI!D24*B281))*VERI_TABANI!$B$8) + IF(ABS(IF(ISNUMBER(SEARCH("Var", D281)), 1, IF(ISNUMBER(SEARCH("Gri", D281)), -1, 0)))=1, VERI_TABANI!E24*(1-0.928)*VERI_TABANI!$B$9, 0) + (VERI_TABANI!D24*B281*(VERI_TABANI!$B$13-VERI_TABANI!$B$14)*VERI_TABANI!G24) + (VERI_TABANI!D24*C281*(VERI_TABANI!$B$13-VERI_TABANI!$B$15)*VERI_TABANI!G24) + IF(ABS(IF(ISNUMBER(SEARCH("Var", D281)), 1, IF(ISNUMBER(SEARCH("Gri", D281)), -1, 0)))=1, VERI_TABANI!E24*(1-0.928)*0.00206091519919798*VERI_TABANI!G24, 0)) + ((MIN(VERI_TABANI!D25, VERI_TABANI!D25*B281)*VERI_TABANI!$B$7 + MAX(0, VERI_TABANI!D25*B281-VERI_TABANI!D25)*VERI_TABANI!$B$8) + (MIN(MAX(0, VERI_TABANI!D25-VERI_TABANI!D25*B281), VERI_TABANI!D25*C281)*VERI_TABANI!$B$7 + MAX(0, VERI_TABANI!D25*C281-MAX(0, VERI_TABANI!D25-VERI_TABANI!D25*B281))*VERI_TABANI!$B$8) + IF(ABS(IF(ISNUMBER(SEARCH("Var", D281)), 1, IF(ISNUMBER(SEARCH("Gri", D281)), -1, 0)))=1, VERI_TABANI!E25*(1-0.928)*VERI_TABANI!$B$9, 0) + (VERI_TABANI!D25*B281*(VERI_TABANI!$B$13-VERI_TABANI!$B$14)*VERI_TABANI!G25) + (VERI_TABANI!D25*C281*(VERI_TABANI!$B$13-VERI_TABANI!$B$15)*VERI_TABANI!G25) + IF(ABS(IF(ISNUMBER(SEARCH("Var", D281)), 1, IF(ISNUMBER(SEARCH("Gri", D281)), -1, 0)))=1, VERI_TABANI!E25*(1-0.928)*0.00206091519919798*VERI_TABANI!G25, 0)) + ((MIN(VERI_TABANI!D26, VERI_TABANI!D26*B281)*VERI_TABANI!$B$7 + MAX(0, VERI_TABANI!D26*B281-VERI_TABANI!D26)*VERI_TABANI!$B$8) + (MIN(MAX(0, VERI_TABANI!D26-VERI_TABANI!D26*B281), VERI_TABANI!D26*C281)*VERI_TABANI!$B$7 + MAX(0, VERI_TABANI!D26*C281-MAX(0, VERI_TABANI!D26-VERI_TABANI!D26*B281))*VERI_TABANI!$B$8) + IF(ABS(IF(ISNUMBER(SEARCH("Var", D281)), 1, IF(ISNUMBER(SEARCH("Gri", D281)), -1, 0)))=1, VERI_TABANI!E26*(1-0.928)*VERI_TABANI!$B$9, 0) + (VERI_TABANI!D26*B281*(VERI_TABANI!$B$13-VERI_TABANI!$B$14)*VERI_TABANI!G26) + (VERI_TABANI!D26*C281*(VERI_TABANI!$B$13-VERI_TABANI!$B$15)*VERI_TABANI!G26) + IF(ABS(IF(ISNUMBER(SEARCH("Var", D281)), 1, IF(ISNUMBER(SEARCH("Gri", D281)), -1, 0)))=1, VERI_TABANI!E26*(1-0.928)*0.00206091519919798*VERI_TABANI!G26, 0)) + ((MIN(VERI_TABANI!D27, VERI_TABANI!D27*B281)*VERI_TABANI!$B$7 + MAX(0, VERI_TABANI!D27*B281-VERI_TABANI!D27)*VERI_TABANI!$B$8) + (MIN(MAX(0, VERI_TABANI!D27-VERI_TABANI!D27*B281), VERI_TABANI!D27*C281)*VERI_TABANI!$B$7 + MAX(0, VERI_TABANI!D27*C281-MAX(0, VERI_TABANI!D27-VERI_TABANI!D27*B281))*VERI_TABANI!$B$8) + IF(ABS(IF(ISNUMBER(SEARCH("Var", D281)), 1, IF(ISNUMBER(SEARCH("Gri", D281)), -1, 0)))=1, VERI_TABANI!E27*(1-0.928)*VERI_TABANI!$B$9, 0) + (VERI_TABANI!D27*B281*(VERI_TABANI!$B$13-VERI_TABANI!$B$14)*VERI_TABANI!G27) + (VERI_TABANI!D27*C281*(VERI_TABANI!$B$13-VERI_TABANI!$B$15)*VERI_TABANI!G27) + IF(ABS(IF(ISNUMBER(SEARCH("Var", D281)), 1, IF(ISNUMBER(SEARCH("Gri", D281)), -1, 0)))=1, VERI_TABANI!E27*(1-0.928)*0.00206091519919798*VERI_TABANI!G27, 0)) + ((MIN(VERI_TABANI!D28, VERI_TABANI!D28*B281)*VERI_TABANI!$B$7 + MAX(0, VERI_TABANI!D28*B281-VERI_TABANI!D28)*VERI_TABANI!$B$8) + (MIN(MAX(0, VERI_TABANI!D28-VERI_TABANI!D28*B281), VERI_TABANI!D28*C281)*VERI_TABANI!$B$7 + MAX(0, VERI_TABANI!D28*C281-MAX(0, VERI_TABANI!D28-VERI_TABANI!D28*B281))*VERI_TABANI!$B$8) + IF(ABS(IF(ISNUMBER(SEARCH("Var", D281)), 1, IF(ISNUMBER(SEARCH("Gri", D281)), -1, 0)))=1, VERI_TABANI!E28*(1-0.928)*VERI_TABANI!$B$9, 0) + (VERI_TABANI!D28*B281*(VERI_TABANI!$B$13-VERI_TABANI!$B$14)*VERI_TABANI!G28) + (VERI_TABANI!D28*C281*(VERI_TABANI!$B$13-VERI_TABANI!$B$15)*VERI_TABANI!G28) + IF(ABS(IF(ISNUMBER(SEARCH("Var", D281)), 1, IF(ISNUMBER(SEARCH("Gri", D281)), -1, 0)))=1, VERI_TABANI!E28*(1-0.928)*0.00206091519919798*VERI_TABANI!G28, 0)))</f>
        <v/>
      </c>
      <c r="H281" s="169">
        <f>(((VERI_TABANI!D23*B281*(VERI_TABANI!$B$13-VERI_TABANI!$B$14)) + (VERI_TABANI!D23*C281*(VERI_TABANI!$B$13-VERI_TABANI!$B$15)) + IF(ISNUMBER(SEARCH("Var", D281)), VERI_TABANI!F23*(0.00202-VERI_TABANI!$B$16), IF(ISNUMBER(SEARCH("Gri", D281)), VERI_TABANI!F23*(0.00202-VERI_TABANI!$B$17), 0))) + ((VERI_TABANI!D24*B281*(VERI_TABANI!$B$13-VERI_TABANI!$B$14)) + (VERI_TABANI!D24*C281*(VERI_TABANI!$B$13-VERI_TABANI!$B$15)) + IF(ISNUMBER(SEARCH("Var", D281)), VERI_TABANI!F24*(0.00202-VERI_TABANI!$B$16), IF(ISNUMBER(SEARCH("Gri", D281)), VERI_TABANI!F24*(0.00202-VERI_TABANI!$B$17), 0))) + ((VERI_TABANI!D25*B281*(VERI_TABANI!$B$13-VERI_TABANI!$B$14)) + (VERI_TABANI!D25*C281*(VERI_TABANI!$B$13-VERI_TABANI!$B$15)) + IF(ISNUMBER(SEARCH("Var", D281)), VERI_TABANI!F25*(0.00202-VERI_TABANI!$B$16), IF(ISNUMBER(SEARCH("Gri", D281)), VERI_TABANI!F25*(0.00202-VERI_TABANI!$B$17), 0))) + ((VERI_TABANI!D26*B281*(VERI_TABANI!$B$13-VERI_TABANI!$B$14)) + (VERI_TABANI!D26*C281*(VERI_TABANI!$B$13-VERI_TABANI!$B$15)) + IF(ISNUMBER(SEARCH("Var", D281)), VERI_TABANI!F26*(0.00202-VERI_TABANI!$B$16), IF(ISNUMBER(SEARCH("Gri", D281)), VERI_TABANI!F26*(0.00202-VERI_TABANI!$B$17), 0))) + ((VERI_TABANI!D27*B281*(VERI_TABANI!$B$13-VERI_TABANI!$B$14)) + (VERI_TABANI!D27*C281*(VERI_TABANI!$B$13-VERI_TABANI!$B$15)) + IF(ISNUMBER(SEARCH("Var", D281)), VERI_TABANI!F27*(0.00202-VERI_TABANI!$B$16), IF(ISNUMBER(SEARCH("Gri", D281)), VERI_TABANI!F27*(0.00202-VERI_TABANI!$B$17), 0))) + ((VERI_TABANI!D28*B281*(VERI_TABANI!$B$13-VERI_TABANI!$B$14)) + (VERI_TABANI!D28*C281*(VERI_TABANI!$B$13-VERI_TABANI!$B$15)) + IF(ISNUMBER(SEARCH("Var", D281)), VERI_TABANI!F28*(0.00202-VERI_TABANI!$B$16), IF(ISNUMBER(SEARCH("Gri", D281)), VERI_TABANI!F28*(0.00202-VERI_TABANI!$B$17), 0))))</f>
        <v/>
      </c>
      <c r="I281" s="170">
        <f>IFERROR(((VERI_TABANI!$D$29*B281*VERI_TABANI!$B$14 + VERI_TABANI!$D$29*C281*VERI_TABANI!$B$15 + IF(ISNUMBER(SEARCH("Var", D281)), VERI_TABANI!$F$29*VERI_TABANI!$B$16, 0))) / (((VERI_TABANI!$D$29*B281 + VERI_TABANI!$D$29*C281)*VERI_TABANI!$B$13 + IF(ISNUMBER(SEARCH("Var", D281)), VERI_TABANI!$E$29*(1-0.928)*VERI_TABANI!$B$18, 0))), 0)</f>
        <v/>
      </c>
      <c r="J281" s="171">
        <f>IFERROR(F281/(G281/29), 0)</f>
        <v/>
      </c>
      <c r="K281" s="172">
        <f>IF(F281&gt;0, H281/F281, 0)</f>
        <v/>
      </c>
      <c r="L281" s="170">
        <f>IF(F281&gt;0, I281, 1000000000)</f>
        <v/>
      </c>
      <c r="M281" s="171">
        <f>ABS((B281+C281)-1)</f>
        <v/>
      </c>
      <c r="N281" s="170">
        <f>IF(F281&gt;0, (G281/29)/F281, 0)</f>
        <v/>
      </c>
      <c r="O281" s="168">
        <f>IF(AND((B281+C281)&gt;=1, ISNUMBER(SEARCH("Var", D281))), F281, 1000000000)</f>
        <v/>
      </c>
      <c r="P281" s="172">
        <f>IF(F281&gt;0, SQRT((F281/MAX(F$5:F$886))^2 + (1 - H281/MAX(H$5:H$886))^2 + (J281/MAX(J$5:J$886))^2), 1000000000)</f>
        <v/>
      </c>
      <c r="Q281" s="166">
        <f>IF(AND(ABS(B281-0.5)&lt;0.01, ABS(C281-0.5)&lt;0.01, ISNUMBER(SEARCH("Var", D281))), 1, 0)</f>
        <v/>
      </c>
      <c r="R281" s="171">
        <f>IF(F281&gt;0, J281, 1000000000)</f>
        <v/>
      </c>
      <c r="S281" s="101">
        <f>IF(AND(F281&lt;=DASHBOARD!$B$11, H281&gt;=DASHBOARD!$B$13), G281, -1000000000000)</f>
        <v/>
      </c>
      <c r="T281" s="101">
        <f>IF(AND(F281&lt;=DASHBOARD!$B$11, H281&gt;=DASHBOARD!$B$13), R281, 1000000000000)</f>
        <v/>
      </c>
      <c r="U281" s="101">
        <f>IF(AND(F281&lt;=DASHBOARD!$B$11, H281&gt;=DASHBOARD!$B$13), N281, -1000000000000)</f>
        <v/>
      </c>
      <c r="V281" s="101">
        <f>IF(AND(F281&lt;=DASHBOARD!$B$11, H281&gt;=DASHBOARD!$B$13), H281, -1000000000000)</f>
        <v/>
      </c>
      <c r="W281" s="101">
        <f>IF(AND(F281&lt;=DASHBOARD!$B$11, H281&gt;=DASHBOARD!$B$13), K281, -1000000000000)</f>
        <v/>
      </c>
      <c r="X281" s="101">
        <f>IF(AND(F281&lt;=DASHBOARD!$B$11, H281&gt;=DASHBOARD!$B$13), M281, 1000000000000)</f>
        <v/>
      </c>
      <c r="Y281" s="101">
        <f>IF(AND(F281&lt;=DASHBOARD!$B$10, H281&gt;=DASHBOARD!$B$11), L281, 1000000000000)</f>
        <v/>
      </c>
      <c r="Z281" s="101">
        <f>IF(AND(F281&lt;=DASHBOARD!$B$10, H281&gt;=DASHBOARD!$B$11), O281, 1000000000000)</f>
        <v/>
      </c>
      <c r="AA281" s="101">
        <f>IF(AND(F281&lt;=DASHBOARD!$B$10, H281&gt;=DASHBOARD!$B$11), P281, 1000000000000)</f>
        <v/>
      </c>
      <c r="AB281" s="101">
        <f>IF(AND(F281&lt;=DASHBOARD!$B$10, H281&gt;=DASHBOARD!$B$11), Q281, -1000000000000)</f>
        <v/>
      </c>
    </row>
    <row r="282" ht="15" customHeight="1" s="102">
      <c r="A282" s="166" t="n">
        <v>278</v>
      </c>
      <c r="B282" s="167" t="n">
        <v>0.6</v>
      </c>
      <c r="C282" s="167" t="n">
        <v>1.2</v>
      </c>
      <c r="D282" s="110" t="inlineStr">
        <is>
          <t>Var (%20)</t>
        </is>
      </c>
      <c r="E282" s="110">
        <f>IF((B282+C282)&lt;=1, "Tam Mahsuplaşma (≤%100)", "Kısmi Satış (&gt;%100)")</f>
        <v/>
      </c>
      <c r="F282" s="168">
        <f>((VERI_TABANI!$D$29*B282/VERI_TABANI!$B$29)/VERI_TABANI!$B$3)*VERI_TABANI!$B$5 + ((VERI_TABANI!$D$29*C282/VERI_TABANI!$B$29)/VERI_TABANI!$B$4)*VERI_TABANI!$B$6 + IF(ISNUMBER(SEARCH("Var", D282)), (VERI_TABANI!$F$29/VERI_TABANI!$B$29)*(VERI_TABANI!$B$10+VERI_TABANI!$B$12), 0)</f>
        <v/>
      </c>
      <c r="G282" s="168">
        <f>(((MIN(VERI_TABANI!D23, VERI_TABANI!D23*B282)*VERI_TABANI!$B$7 + MAX(0, VERI_TABANI!D23*B282-VERI_TABANI!D23)*VERI_TABANI!$B$8) + (MIN(MAX(0, VERI_TABANI!D23-VERI_TABANI!D23*B282), VERI_TABANI!D23*C282)*VERI_TABANI!$B$7 + MAX(0, VERI_TABANI!D23*C282-MAX(0, VERI_TABANI!D23-VERI_TABANI!D23*B282))*VERI_TABANI!$B$8) + IF(ABS(IF(ISNUMBER(SEARCH("Var", D282)), 1, IF(ISNUMBER(SEARCH("Gri", D282)), -1, 0)))=1, VERI_TABANI!E23*(1-0.928)*VERI_TABANI!$B$9, 0) + (VERI_TABANI!D23*B282*(VERI_TABANI!$B$13-VERI_TABANI!$B$14)*VERI_TABANI!G23) + (VERI_TABANI!D23*C282*(VERI_TABANI!$B$13-VERI_TABANI!$B$15)*VERI_TABANI!G23) + IF(ABS(IF(ISNUMBER(SEARCH("Var", D282)), 1, IF(ISNUMBER(SEARCH("Gri", D282)), -1, 0)))=1, VERI_TABANI!E23*(1-0.928)*0.00206091519919798*VERI_TABANI!G23, 0)) + ((MIN(VERI_TABANI!D24, VERI_TABANI!D24*B282)*VERI_TABANI!$B$7 + MAX(0, VERI_TABANI!D24*B282-VERI_TABANI!D24)*VERI_TABANI!$B$8) + (MIN(MAX(0, VERI_TABANI!D24-VERI_TABANI!D24*B282), VERI_TABANI!D24*C282)*VERI_TABANI!$B$7 + MAX(0, VERI_TABANI!D24*C282-MAX(0, VERI_TABANI!D24-VERI_TABANI!D24*B282))*VERI_TABANI!$B$8) + IF(ABS(IF(ISNUMBER(SEARCH("Var", D282)), 1, IF(ISNUMBER(SEARCH("Gri", D282)), -1, 0)))=1, VERI_TABANI!E24*(1-0.928)*VERI_TABANI!$B$9, 0) + (VERI_TABANI!D24*B282*(VERI_TABANI!$B$13-VERI_TABANI!$B$14)*VERI_TABANI!G24) + (VERI_TABANI!D24*C282*(VERI_TABANI!$B$13-VERI_TABANI!$B$15)*VERI_TABANI!G24) + IF(ABS(IF(ISNUMBER(SEARCH("Var", D282)), 1, IF(ISNUMBER(SEARCH("Gri", D282)), -1, 0)))=1, VERI_TABANI!E24*(1-0.928)*0.00206091519919798*VERI_TABANI!G24, 0)) + ((MIN(VERI_TABANI!D25, VERI_TABANI!D25*B282)*VERI_TABANI!$B$7 + MAX(0, VERI_TABANI!D25*B282-VERI_TABANI!D25)*VERI_TABANI!$B$8) + (MIN(MAX(0, VERI_TABANI!D25-VERI_TABANI!D25*B282), VERI_TABANI!D25*C282)*VERI_TABANI!$B$7 + MAX(0, VERI_TABANI!D25*C282-MAX(0, VERI_TABANI!D25-VERI_TABANI!D25*B282))*VERI_TABANI!$B$8) + IF(ABS(IF(ISNUMBER(SEARCH("Var", D282)), 1, IF(ISNUMBER(SEARCH("Gri", D282)), -1, 0)))=1, VERI_TABANI!E25*(1-0.928)*VERI_TABANI!$B$9, 0) + (VERI_TABANI!D25*B282*(VERI_TABANI!$B$13-VERI_TABANI!$B$14)*VERI_TABANI!G25) + (VERI_TABANI!D25*C282*(VERI_TABANI!$B$13-VERI_TABANI!$B$15)*VERI_TABANI!G25) + IF(ABS(IF(ISNUMBER(SEARCH("Var", D282)), 1, IF(ISNUMBER(SEARCH("Gri", D282)), -1, 0)))=1, VERI_TABANI!E25*(1-0.928)*0.00206091519919798*VERI_TABANI!G25, 0)) + ((MIN(VERI_TABANI!D26, VERI_TABANI!D26*B282)*VERI_TABANI!$B$7 + MAX(0, VERI_TABANI!D26*B282-VERI_TABANI!D26)*VERI_TABANI!$B$8) + (MIN(MAX(0, VERI_TABANI!D26-VERI_TABANI!D26*B282), VERI_TABANI!D26*C282)*VERI_TABANI!$B$7 + MAX(0, VERI_TABANI!D26*C282-MAX(0, VERI_TABANI!D26-VERI_TABANI!D26*B282))*VERI_TABANI!$B$8) + IF(ABS(IF(ISNUMBER(SEARCH("Var", D282)), 1, IF(ISNUMBER(SEARCH("Gri", D282)), -1, 0)))=1, VERI_TABANI!E26*(1-0.928)*VERI_TABANI!$B$9, 0) + (VERI_TABANI!D26*B282*(VERI_TABANI!$B$13-VERI_TABANI!$B$14)*VERI_TABANI!G26) + (VERI_TABANI!D26*C282*(VERI_TABANI!$B$13-VERI_TABANI!$B$15)*VERI_TABANI!G26) + IF(ABS(IF(ISNUMBER(SEARCH("Var", D282)), 1, IF(ISNUMBER(SEARCH("Gri", D282)), -1, 0)))=1, VERI_TABANI!E26*(1-0.928)*0.00206091519919798*VERI_TABANI!G26, 0)) + ((MIN(VERI_TABANI!D27, VERI_TABANI!D27*B282)*VERI_TABANI!$B$7 + MAX(0, VERI_TABANI!D27*B282-VERI_TABANI!D27)*VERI_TABANI!$B$8) + (MIN(MAX(0, VERI_TABANI!D27-VERI_TABANI!D27*B282), VERI_TABANI!D27*C282)*VERI_TABANI!$B$7 + MAX(0, VERI_TABANI!D27*C282-MAX(0, VERI_TABANI!D27-VERI_TABANI!D27*B282))*VERI_TABANI!$B$8) + IF(ABS(IF(ISNUMBER(SEARCH("Var", D282)), 1, IF(ISNUMBER(SEARCH("Gri", D282)), -1, 0)))=1, VERI_TABANI!E27*(1-0.928)*VERI_TABANI!$B$9, 0) + (VERI_TABANI!D27*B282*(VERI_TABANI!$B$13-VERI_TABANI!$B$14)*VERI_TABANI!G27) + (VERI_TABANI!D27*C282*(VERI_TABANI!$B$13-VERI_TABANI!$B$15)*VERI_TABANI!G27) + IF(ABS(IF(ISNUMBER(SEARCH("Var", D282)), 1, IF(ISNUMBER(SEARCH("Gri", D282)), -1, 0)))=1, VERI_TABANI!E27*(1-0.928)*0.00206091519919798*VERI_TABANI!G27, 0)) + ((MIN(VERI_TABANI!D28, VERI_TABANI!D28*B282)*VERI_TABANI!$B$7 + MAX(0, VERI_TABANI!D28*B282-VERI_TABANI!D28)*VERI_TABANI!$B$8) + (MIN(MAX(0, VERI_TABANI!D28-VERI_TABANI!D28*B282), VERI_TABANI!D28*C282)*VERI_TABANI!$B$7 + MAX(0, VERI_TABANI!D28*C282-MAX(0, VERI_TABANI!D28-VERI_TABANI!D28*B282))*VERI_TABANI!$B$8) + IF(ABS(IF(ISNUMBER(SEARCH("Var", D282)), 1, IF(ISNUMBER(SEARCH("Gri", D282)), -1, 0)))=1, VERI_TABANI!E28*(1-0.928)*VERI_TABANI!$B$9, 0) + (VERI_TABANI!D28*B282*(VERI_TABANI!$B$13-VERI_TABANI!$B$14)*VERI_TABANI!G28) + (VERI_TABANI!D28*C282*(VERI_TABANI!$B$13-VERI_TABANI!$B$15)*VERI_TABANI!G28) + IF(ABS(IF(ISNUMBER(SEARCH("Var", D282)), 1, IF(ISNUMBER(SEARCH("Gri", D282)), -1, 0)))=1, VERI_TABANI!E28*(1-0.928)*0.00206091519919798*VERI_TABANI!G28, 0)))</f>
        <v/>
      </c>
      <c r="H282" s="169">
        <f>(((VERI_TABANI!D23*B282*(VERI_TABANI!$B$13-VERI_TABANI!$B$14)) + (VERI_TABANI!D23*C282*(VERI_TABANI!$B$13-VERI_TABANI!$B$15)) + IF(ISNUMBER(SEARCH("Var", D282)), VERI_TABANI!F23*(0.00202-VERI_TABANI!$B$16), IF(ISNUMBER(SEARCH("Gri", D282)), VERI_TABANI!F23*(0.00202-VERI_TABANI!$B$17), 0))) + ((VERI_TABANI!D24*B282*(VERI_TABANI!$B$13-VERI_TABANI!$B$14)) + (VERI_TABANI!D24*C282*(VERI_TABANI!$B$13-VERI_TABANI!$B$15)) + IF(ISNUMBER(SEARCH("Var", D282)), VERI_TABANI!F24*(0.00202-VERI_TABANI!$B$16), IF(ISNUMBER(SEARCH("Gri", D282)), VERI_TABANI!F24*(0.00202-VERI_TABANI!$B$17), 0))) + ((VERI_TABANI!D25*B282*(VERI_TABANI!$B$13-VERI_TABANI!$B$14)) + (VERI_TABANI!D25*C282*(VERI_TABANI!$B$13-VERI_TABANI!$B$15)) + IF(ISNUMBER(SEARCH("Var", D282)), VERI_TABANI!F25*(0.00202-VERI_TABANI!$B$16), IF(ISNUMBER(SEARCH("Gri", D282)), VERI_TABANI!F25*(0.00202-VERI_TABANI!$B$17), 0))) + ((VERI_TABANI!D26*B282*(VERI_TABANI!$B$13-VERI_TABANI!$B$14)) + (VERI_TABANI!D26*C282*(VERI_TABANI!$B$13-VERI_TABANI!$B$15)) + IF(ISNUMBER(SEARCH("Var", D282)), VERI_TABANI!F26*(0.00202-VERI_TABANI!$B$16), IF(ISNUMBER(SEARCH("Gri", D282)), VERI_TABANI!F26*(0.00202-VERI_TABANI!$B$17), 0))) + ((VERI_TABANI!D27*B282*(VERI_TABANI!$B$13-VERI_TABANI!$B$14)) + (VERI_TABANI!D27*C282*(VERI_TABANI!$B$13-VERI_TABANI!$B$15)) + IF(ISNUMBER(SEARCH("Var", D282)), VERI_TABANI!F27*(0.00202-VERI_TABANI!$B$16), IF(ISNUMBER(SEARCH("Gri", D282)), VERI_TABANI!F27*(0.00202-VERI_TABANI!$B$17), 0))) + ((VERI_TABANI!D28*B282*(VERI_TABANI!$B$13-VERI_TABANI!$B$14)) + (VERI_TABANI!D28*C282*(VERI_TABANI!$B$13-VERI_TABANI!$B$15)) + IF(ISNUMBER(SEARCH("Var", D282)), VERI_TABANI!F28*(0.00202-VERI_TABANI!$B$16), IF(ISNUMBER(SEARCH("Gri", D282)), VERI_TABANI!F28*(0.00202-VERI_TABANI!$B$17), 0))))</f>
        <v/>
      </c>
      <c r="I282" s="170">
        <f>IFERROR(((VERI_TABANI!$D$29*B282*VERI_TABANI!$B$14 + VERI_TABANI!$D$29*C282*VERI_TABANI!$B$15 + IF(ISNUMBER(SEARCH("Var", D282)), VERI_TABANI!$F$29*VERI_TABANI!$B$16, 0))) / (((VERI_TABANI!$D$29*B282 + VERI_TABANI!$D$29*C282)*VERI_TABANI!$B$13 + IF(ISNUMBER(SEARCH("Var", D282)), VERI_TABANI!$E$29*(1-0.928)*VERI_TABANI!$B$18, 0))), 0)</f>
        <v/>
      </c>
      <c r="J282" s="171">
        <f>IFERROR(F282/(G282/29), 0)</f>
        <v/>
      </c>
      <c r="K282" s="172">
        <f>IF(F282&gt;0, H282/F282, 0)</f>
        <v/>
      </c>
      <c r="L282" s="170">
        <f>IF(F282&gt;0, I282, 1000000000)</f>
        <v/>
      </c>
      <c r="M282" s="171">
        <f>ABS((B282+C282)-1)</f>
        <v/>
      </c>
      <c r="N282" s="170">
        <f>IF(F282&gt;0, (G282/29)/F282, 0)</f>
        <v/>
      </c>
      <c r="O282" s="168">
        <f>IF(AND((B282+C282)&gt;=1, ISNUMBER(SEARCH("Var", D282))), F282, 1000000000)</f>
        <v/>
      </c>
      <c r="P282" s="172">
        <f>IF(F282&gt;0, SQRT((F282/MAX(F$5:F$886))^2 + (1 - H282/MAX(H$5:H$886))^2 + (J282/MAX(J$5:J$886))^2), 1000000000)</f>
        <v/>
      </c>
      <c r="Q282" s="166">
        <f>IF(AND(ABS(B282-0.5)&lt;0.01, ABS(C282-0.5)&lt;0.01, ISNUMBER(SEARCH("Var", D282))), 1, 0)</f>
        <v/>
      </c>
      <c r="R282" s="171">
        <f>IF(F282&gt;0, J282, 1000000000)</f>
        <v/>
      </c>
      <c r="S282" s="101">
        <f>IF(AND(F282&lt;=DASHBOARD!$B$11, H282&gt;=DASHBOARD!$B$13), G282, -1000000000000)</f>
        <v/>
      </c>
      <c r="T282" s="101">
        <f>IF(AND(F282&lt;=DASHBOARD!$B$11, H282&gt;=DASHBOARD!$B$13), R282, 1000000000000)</f>
        <v/>
      </c>
      <c r="U282" s="101">
        <f>IF(AND(F282&lt;=DASHBOARD!$B$11, H282&gt;=DASHBOARD!$B$13), N282, -1000000000000)</f>
        <v/>
      </c>
      <c r="V282" s="101">
        <f>IF(AND(F282&lt;=DASHBOARD!$B$11, H282&gt;=DASHBOARD!$B$13), H282, -1000000000000)</f>
        <v/>
      </c>
      <c r="W282" s="101">
        <f>IF(AND(F282&lt;=DASHBOARD!$B$11, H282&gt;=DASHBOARD!$B$13), K282, -1000000000000)</f>
        <v/>
      </c>
      <c r="X282" s="101">
        <f>IF(AND(F282&lt;=DASHBOARD!$B$11, H282&gt;=DASHBOARD!$B$13), M282, 1000000000000)</f>
        <v/>
      </c>
      <c r="Y282" s="101">
        <f>IF(AND(F282&lt;=DASHBOARD!$B$10, H282&gt;=DASHBOARD!$B$11), L282, 1000000000000)</f>
        <v/>
      </c>
      <c r="Z282" s="101">
        <f>IF(AND(F282&lt;=DASHBOARD!$B$10, H282&gt;=DASHBOARD!$B$11), O282, 1000000000000)</f>
        <v/>
      </c>
      <c r="AA282" s="101">
        <f>IF(AND(F282&lt;=DASHBOARD!$B$10, H282&gt;=DASHBOARD!$B$11), P282, 1000000000000)</f>
        <v/>
      </c>
      <c r="AB282" s="101">
        <f>IF(AND(F282&lt;=DASHBOARD!$B$10, H282&gt;=DASHBOARD!$B$11), Q282, -1000000000000)</f>
        <v/>
      </c>
    </row>
    <row r="283" ht="15" customHeight="1" s="102">
      <c r="A283" s="166" t="n">
        <v>279</v>
      </c>
      <c r="B283" s="167" t="n">
        <v>0.6</v>
      </c>
      <c r="C283" s="167" t="n">
        <v>1.3</v>
      </c>
      <c r="D283" s="110" t="inlineStr">
        <is>
          <t>Yok (%0)</t>
        </is>
      </c>
      <c r="E283" s="110">
        <f>IF((B283+C283)&lt;=1, "Tam Mahsuplaşma (≤%100)", "Kısmi Satış (&gt;%100)")</f>
        <v/>
      </c>
      <c r="F283" s="168">
        <f>((VERI_TABANI!$D$29*B283/VERI_TABANI!$B$29)/VERI_TABANI!$B$3)*VERI_TABANI!$B$5 + ((VERI_TABANI!$D$29*C283/VERI_TABANI!$B$29)/VERI_TABANI!$B$4)*VERI_TABANI!$B$6 + IF(ISNUMBER(SEARCH("Var", D283)), (VERI_TABANI!$F$29/VERI_TABANI!$B$29)*(VERI_TABANI!$B$10+VERI_TABANI!$B$12), 0)</f>
        <v/>
      </c>
      <c r="G283" s="168">
        <f>(((MIN(VERI_TABANI!D23, VERI_TABANI!D23*B283)*VERI_TABANI!$B$7 + MAX(0, VERI_TABANI!D23*B283-VERI_TABANI!D23)*VERI_TABANI!$B$8) + (MIN(MAX(0, VERI_TABANI!D23-VERI_TABANI!D23*B283), VERI_TABANI!D23*C283)*VERI_TABANI!$B$7 + MAX(0, VERI_TABANI!D23*C283-MAX(0, VERI_TABANI!D23-VERI_TABANI!D23*B283))*VERI_TABANI!$B$8) + IF(ABS(IF(ISNUMBER(SEARCH("Var", D283)), 1, IF(ISNUMBER(SEARCH("Gri", D283)), -1, 0)))=1, VERI_TABANI!E23*(1-0.928)*VERI_TABANI!$B$9, 0) + (VERI_TABANI!D23*B283*(VERI_TABANI!$B$13-VERI_TABANI!$B$14)*VERI_TABANI!G23) + (VERI_TABANI!D23*C283*(VERI_TABANI!$B$13-VERI_TABANI!$B$15)*VERI_TABANI!G23) + IF(ABS(IF(ISNUMBER(SEARCH("Var", D283)), 1, IF(ISNUMBER(SEARCH("Gri", D283)), -1, 0)))=1, VERI_TABANI!E23*(1-0.928)*0.00206091519919798*VERI_TABANI!G23, 0)) + ((MIN(VERI_TABANI!D24, VERI_TABANI!D24*B283)*VERI_TABANI!$B$7 + MAX(0, VERI_TABANI!D24*B283-VERI_TABANI!D24)*VERI_TABANI!$B$8) + (MIN(MAX(0, VERI_TABANI!D24-VERI_TABANI!D24*B283), VERI_TABANI!D24*C283)*VERI_TABANI!$B$7 + MAX(0, VERI_TABANI!D24*C283-MAX(0, VERI_TABANI!D24-VERI_TABANI!D24*B283))*VERI_TABANI!$B$8) + IF(ABS(IF(ISNUMBER(SEARCH("Var", D283)), 1, IF(ISNUMBER(SEARCH("Gri", D283)), -1, 0)))=1, VERI_TABANI!E24*(1-0.928)*VERI_TABANI!$B$9, 0) + (VERI_TABANI!D24*B283*(VERI_TABANI!$B$13-VERI_TABANI!$B$14)*VERI_TABANI!G24) + (VERI_TABANI!D24*C283*(VERI_TABANI!$B$13-VERI_TABANI!$B$15)*VERI_TABANI!G24) + IF(ABS(IF(ISNUMBER(SEARCH("Var", D283)), 1, IF(ISNUMBER(SEARCH("Gri", D283)), -1, 0)))=1, VERI_TABANI!E24*(1-0.928)*0.00206091519919798*VERI_TABANI!G24, 0)) + ((MIN(VERI_TABANI!D25, VERI_TABANI!D25*B283)*VERI_TABANI!$B$7 + MAX(0, VERI_TABANI!D25*B283-VERI_TABANI!D25)*VERI_TABANI!$B$8) + (MIN(MAX(0, VERI_TABANI!D25-VERI_TABANI!D25*B283), VERI_TABANI!D25*C283)*VERI_TABANI!$B$7 + MAX(0, VERI_TABANI!D25*C283-MAX(0, VERI_TABANI!D25-VERI_TABANI!D25*B283))*VERI_TABANI!$B$8) + IF(ABS(IF(ISNUMBER(SEARCH("Var", D283)), 1, IF(ISNUMBER(SEARCH("Gri", D283)), -1, 0)))=1, VERI_TABANI!E25*(1-0.928)*VERI_TABANI!$B$9, 0) + (VERI_TABANI!D25*B283*(VERI_TABANI!$B$13-VERI_TABANI!$B$14)*VERI_TABANI!G25) + (VERI_TABANI!D25*C283*(VERI_TABANI!$B$13-VERI_TABANI!$B$15)*VERI_TABANI!G25) + IF(ABS(IF(ISNUMBER(SEARCH("Var", D283)), 1, IF(ISNUMBER(SEARCH("Gri", D283)), -1, 0)))=1, VERI_TABANI!E25*(1-0.928)*0.00206091519919798*VERI_TABANI!G25, 0)) + ((MIN(VERI_TABANI!D26, VERI_TABANI!D26*B283)*VERI_TABANI!$B$7 + MAX(0, VERI_TABANI!D26*B283-VERI_TABANI!D26)*VERI_TABANI!$B$8) + (MIN(MAX(0, VERI_TABANI!D26-VERI_TABANI!D26*B283), VERI_TABANI!D26*C283)*VERI_TABANI!$B$7 + MAX(0, VERI_TABANI!D26*C283-MAX(0, VERI_TABANI!D26-VERI_TABANI!D26*B283))*VERI_TABANI!$B$8) + IF(ABS(IF(ISNUMBER(SEARCH("Var", D283)), 1, IF(ISNUMBER(SEARCH("Gri", D283)), -1, 0)))=1, VERI_TABANI!E26*(1-0.928)*VERI_TABANI!$B$9, 0) + (VERI_TABANI!D26*B283*(VERI_TABANI!$B$13-VERI_TABANI!$B$14)*VERI_TABANI!G26) + (VERI_TABANI!D26*C283*(VERI_TABANI!$B$13-VERI_TABANI!$B$15)*VERI_TABANI!G26) + IF(ABS(IF(ISNUMBER(SEARCH("Var", D283)), 1, IF(ISNUMBER(SEARCH("Gri", D283)), -1, 0)))=1, VERI_TABANI!E26*(1-0.928)*0.00206091519919798*VERI_TABANI!G26, 0)) + ((MIN(VERI_TABANI!D27, VERI_TABANI!D27*B283)*VERI_TABANI!$B$7 + MAX(0, VERI_TABANI!D27*B283-VERI_TABANI!D27)*VERI_TABANI!$B$8) + (MIN(MAX(0, VERI_TABANI!D27-VERI_TABANI!D27*B283), VERI_TABANI!D27*C283)*VERI_TABANI!$B$7 + MAX(0, VERI_TABANI!D27*C283-MAX(0, VERI_TABANI!D27-VERI_TABANI!D27*B283))*VERI_TABANI!$B$8) + IF(ABS(IF(ISNUMBER(SEARCH("Var", D283)), 1, IF(ISNUMBER(SEARCH("Gri", D283)), -1, 0)))=1, VERI_TABANI!E27*(1-0.928)*VERI_TABANI!$B$9, 0) + (VERI_TABANI!D27*B283*(VERI_TABANI!$B$13-VERI_TABANI!$B$14)*VERI_TABANI!G27) + (VERI_TABANI!D27*C283*(VERI_TABANI!$B$13-VERI_TABANI!$B$15)*VERI_TABANI!G27) + IF(ABS(IF(ISNUMBER(SEARCH("Var", D283)), 1, IF(ISNUMBER(SEARCH("Gri", D283)), -1, 0)))=1, VERI_TABANI!E27*(1-0.928)*0.00206091519919798*VERI_TABANI!G27, 0)) + ((MIN(VERI_TABANI!D28, VERI_TABANI!D28*B283)*VERI_TABANI!$B$7 + MAX(0, VERI_TABANI!D28*B283-VERI_TABANI!D28)*VERI_TABANI!$B$8) + (MIN(MAX(0, VERI_TABANI!D28-VERI_TABANI!D28*B283), VERI_TABANI!D28*C283)*VERI_TABANI!$B$7 + MAX(0, VERI_TABANI!D28*C283-MAX(0, VERI_TABANI!D28-VERI_TABANI!D28*B283))*VERI_TABANI!$B$8) + IF(ABS(IF(ISNUMBER(SEARCH("Var", D283)), 1, IF(ISNUMBER(SEARCH("Gri", D283)), -1, 0)))=1, VERI_TABANI!E28*(1-0.928)*VERI_TABANI!$B$9, 0) + (VERI_TABANI!D28*B283*(VERI_TABANI!$B$13-VERI_TABANI!$B$14)*VERI_TABANI!G28) + (VERI_TABANI!D28*C283*(VERI_TABANI!$B$13-VERI_TABANI!$B$15)*VERI_TABANI!G28) + IF(ABS(IF(ISNUMBER(SEARCH("Var", D283)), 1, IF(ISNUMBER(SEARCH("Gri", D283)), -1, 0)))=1, VERI_TABANI!E28*(1-0.928)*0.00206091519919798*VERI_TABANI!G28, 0)))</f>
        <v/>
      </c>
      <c r="H283" s="169">
        <f>(((VERI_TABANI!D23*B283*(VERI_TABANI!$B$13-VERI_TABANI!$B$14)) + (VERI_TABANI!D23*C283*(VERI_TABANI!$B$13-VERI_TABANI!$B$15)) + IF(ISNUMBER(SEARCH("Var", D283)), VERI_TABANI!F23*(0.00202-VERI_TABANI!$B$16), IF(ISNUMBER(SEARCH("Gri", D283)), VERI_TABANI!F23*(0.00202-VERI_TABANI!$B$17), 0))) + ((VERI_TABANI!D24*B283*(VERI_TABANI!$B$13-VERI_TABANI!$B$14)) + (VERI_TABANI!D24*C283*(VERI_TABANI!$B$13-VERI_TABANI!$B$15)) + IF(ISNUMBER(SEARCH("Var", D283)), VERI_TABANI!F24*(0.00202-VERI_TABANI!$B$16), IF(ISNUMBER(SEARCH("Gri", D283)), VERI_TABANI!F24*(0.00202-VERI_TABANI!$B$17), 0))) + ((VERI_TABANI!D25*B283*(VERI_TABANI!$B$13-VERI_TABANI!$B$14)) + (VERI_TABANI!D25*C283*(VERI_TABANI!$B$13-VERI_TABANI!$B$15)) + IF(ISNUMBER(SEARCH("Var", D283)), VERI_TABANI!F25*(0.00202-VERI_TABANI!$B$16), IF(ISNUMBER(SEARCH("Gri", D283)), VERI_TABANI!F25*(0.00202-VERI_TABANI!$B$17), 0))) + ((VERI_TABANI!D26*B283*(VERI_TABANI!$B$13-VERI_TABANI!$B$14)) + (VERI_TABANI!D26*C283*(VERI_TABANI!$B$13-VERI_TABANI!$B$15)) + IF(ISNUMBER(SEARCH("Var", D283)), VERI_TABANI!F26*(0.00202-VERI_TABANI!$B$16), IF(ISNUMBER(SEARCH("Gri", D283)), VERI_TABANI!F26*(0.00202-VERI_TABANI!$B$17), 0))) + ((VERI_TABANI!D27*B283*(VERI_TABANI!$B$13-VERI_TABANI!$B$14)) + (VERI_TABANI!D27*C283*(VERI_TABANI!$B$13-VERI_TABANI!$B$15)) + IF(ISNUMBER(SEARCH("Var", D283)), VERI_TABANI!F27*(0.00202-VERI_TABANI!$B$16), IF(ISNUMBER(SEARCH("Gri", D283)), VERI_TABANI!F27*(0.00202-VERI_TABANI!$B$17), 0))) + ((VERI_TABANI!D28*B283*(VERI_TABANI!$B$13-VERI_TABANI!$B$14)) + (VERI_TABANI!D28*C283*(VERI_TABANI!$B$13-VERI_TABANI!$B$15)) + IF(ISNUMBER(SEARCH("Var", D283)), VERI_TABANI!F28*(0.00202-VERI_TABANI!$B$16), IF(ISNUMBER(SEARCH("Gri", D283)), VERI_TABANI!F28*(0.00202-VERI_TABANI!$B$17), 0))))</f>
        <v/>
      </c>
      <c r="I283" s="170">
        <f>IFERROR(((VERI_TABANI!$D$29*B283*VERI_TABANI!$B$14 + VERI_TABANI!$D$29*C283*VERI_TABANI!$B$15 + IF(ISNUMBER(SEARCH("Var", D283)), VERI_TABANI!$F$29*VERI_TABANI!$B$16, 0))) / (((VERI_TABANI!$D$29*B283 + VERI_TABANI!$D$29*C283)*VERI_TABANI!$B$13 + IF(ISNUMBER(SEARCH("Var", D283)), VERI_TABANI!$E$29*(1-0.928)*VERI_TABANI!$B$18, 0))), 0)</f>
        <v/>
      </c>
      <c r="J283" s="171">
        <f>IFERROR(F283/(G283/29), 0)</f>
        <v/>
      </c>
      <c r="K283" s="172">
        <f>IF(F283&gt;0, H283/F283, 0)</f>
        <v/>
      </c>
      <c r="L283" s="170">
        <f>IF(F283&gt;0, I283, 1000000000)</f>
        <v/>
      </c>
      <c r="M283" s="171">
        <f>ABS((B283+C283)-1)</f>
        <v/>
      </c>
      <c r="N283" s="170">
        <f>IF(F283&gt;0, (G283/29)/F283, 0)</f>
        <v/>
      </c>
      <c r="O283" s="168">
        <f>IF(AND((B283+C283)&gt;=1, ISNUMBER(SEARCH("Var", D283))), F283, 1000000000)</f>
        <v/>
      </c>
      <c r="P283" s="172">
        <f>IF(F283&gt;0, SQRT((F283/MAX(F$5:F$886))^2 + (1 - H283/MAX(H$5:H$886))^2 + (J283/MAX(J$5:J$886))^2), 1000000000)</f>
        <v/>
      </c>
      <c r="Q283" s="166">
        <f>IF(AND(ABS(B283-0.5)&lt;0.01, ABS(C283-0.5)&lt;0.01, ISNUMBER(SEARCH("Var", D283))), 1, 0)</f>
        <v/>
      </c>
      <c r="R283" s="171">
        <f>IF(F283&gt;0, J283, 1000000000)</f>
        <v/>
      </c>
      <c r="S283" s="101">
        <f>IF(AND(F283&lt;=DASHBOARD!$B$11, H283&gt;=DASHBOARD!$B$13), G283, -1000000000000)</f>
        <v/>
      </c>
      <c r="T283" s="101">
        <f>IF(AND(F283&lt;=DASHBOARD!$B$11, H283&gt;=DASHBOARD!$B$13), R283, 1000000000000)</f>
        <v/>
      </c>
      <c r="U283" s="101">
        <f>IF(AND(F283&lt;=DASHBOARD!$B$11, H283&gt;=DASHBOARD!$B$13), N283, -1000000000000)</f>
        <v/>
      </c>
      <c r="V283" s="101">
        <f>IF(AND(F283&lt;=DASHBOARD!$B$11, H283&gt;=DASHBOARD!$B$13), H283, -1000000000000)</f>
        <v/>
      </c>
      <c r="W283" s="101">
        <f>IF(AND(F283&lt;=DASHBOARD!$B$11, H283&gt;=DASHBOARD!$B$13), K283, -1000000000000)</f>
        <v/>
      </c>
      <c r="X283" s="101">
        <f>IF(AND(F283&lt;=DASHBOARD!$B$11, H283&gt;=DASHBOARD!$B$13), M283, 1000000000000)</f>
        <v/>
      </c>
      <c r="Y283" s="101">
        <f>IF(AND(F283&lt;=DASHBOARD!$B$10, H283&gt;=DASHBOARD!$B$11), L283, 1000000000000)</f>
        <v/>
      </c>
      <c r="Z283" s="101">
        <f>IF(AND(F283&lt;=DASHBOARD!$B$10, H283&gt;=DASHBOARD!$B$11), O283, 1000000000000)</f>
        <v/>
      </c>
      <c r="AA283" s="101">
        <f>IF(AND(F283&lt;=DASHBOARD!$B$10, H283&gt;=DASHBOARD!$B$11), P283, 1000000000000)</f>
        <v/>
      </c>
      <c r="AB283" s="101">
        <f>IF(AND(F283&lt;=DASHBOARD!$B$10, H283&gt;=DASHBOARD!$B$11), Q283, -1000000000000)</f>
        <v/>
      </c>
    </row>
    <row r="284" ht="15" customHeight="1" s="102">
      <c r="A284" s="166" t="n">
        <v>280</v>
      </c>
      <c r="B284" s="167" t="n">
        <v>0.6</v>
      </c>
      <c r="C284" s="167" t="n">
        <v>1.3</v>
      </c>
      <c r="D284" s="110" t="inlineStr">
        <is>
          <t>Var (%20)</t>
        </is>
      </c>
      <c r="E284" s="110">
        <f>IF((B284+C284)&lt;=1, "Tam Mahsuplaşma (≤%100)", "Kısmi Satış (&gt;%100)")</f>
        <v/>
      </c>
      <c r="F284" s="168">
        <f>((VERI_TABANI!$D$29*B284/VERI_TABANI!$B$29)/VERI_TABANI!$B$3)*VERI_TABANI!$B$5 + ((VERI_TABANI!$D$29*C284/VERI_TABANI!$B$29)/VERI_TABANI!$B$4)*VERI_TABANI!$B$6 + IF(ISNUMBER(SEARCH("Var", D284)), (VERI_TABANI!$F$29/VERI_TABANI!$B$29)*(VERI_TABANI!$B$10+VERI_TABANI!$B$12), 0)</f>
        <v/>
      </c>
      <c r="G284" s="168">
        <f>(((MIN(VERI_TABANI!D23, VERI_TABANI!D23*B284)*VERI_TABANI!$B$7 + MAX(0, VERI_TABANI!D23*B284-VERI_TABANI!D23)*VERI_TABANI!$B$8) + (MIN(MAX(0, VERI_TABANI!D23-VERI_TABANI!D23*B284), VERI_TABANI!D23*C284)*VERI_TABANI!$B$7 + MAX(0, VERI_TABANI!D23*C284-MAX(0, VERI_TABANI!D23-VERI_TABANI!D23*B284))*VERI_TABANI!$B$8) + IF(ABS(IF(ISNUMBER(SEARCH("Var", D284)), 1, IF(ISNUMBER(SEARCH("Gri", D284)), -1, 0)))=1, VERI_TABANI!E23*(1-0.928)*VERI_TABANI!$B$9, 0) + (VERI_TABANI!D23*B284*(VERI_TABANI!$B$13-VERI_TABANI!$B$14)*VERI_TABANI!G23) + (VERI_TABANI!D23*C284*(VERI_TABANI!$B$13-VERI_TABANI!$B$15)*VERI_TABANI!G23) + IF(ABS(IF(ISNUMBER(SEARCH("Var", D284)), 1, IF(ISNUMBER(SEARCH("Gri", D284)), -1, 0)))=1, VERI_TABANI!E23*(1-0.928)*0.00206091519919798*VERI_TABANI!G23, 0)) + ((MIN(VERI_TABANI!D24, VERI_TABANI!D24*B284)*VERI_TABANI!$B$7 + MAX(0, VERI_TABANI!D24*B284-VERI_TABANI!D24)*VERI_TABANI!$B$8) + (MIN(MAX(0, VERI_TABANI!D24-VERI_TABANI!D24*B284), VERI_TABANI!D24*C284)*VERI_TABANI!$B$7 + MAX(0, VERI_TABANI!D24*C284-MAX(0, VERI_TABANI!D24-VERI_TABANI!D24*B284))*VERI_TABANI!$B$8) + IF(ABS(IF(ISNUMBER(SEARCH("Var", D284)), 1, IF(ISNUMBER(SEARCH("Gri", D284)), -1, 0)))=1, VERI_TABANI!E24*(1-0.928)*VERI_TABANI!$B$9, 0) + (VERI_TABANI!D24*B284*(VERI_TABANI!$B$13-VERI_TABANI!$B$14)*VERI_TABANI!G24) + (VERI_TABANI!D24*C284*(VERI_TABANI!$B$13-VERI_TABANI!$B$15)*VERI_TABANI!G24) + IF(ABS(IF(ISNUMBER(SEARCH("Var", D284)), 1, IF(ISNUMBER(SEARCH("Gri", D284)), -1, 0)))=1, VERI_TABANI!E24*(1-0.928)*0.00206091519919798*VERI_TABANI!G24, 0)) + ((MIN(VERI_TABANI!D25, VERI_TABANI!D25*B284)*VERI_TABANI!$B$7 + MAX(0, VERI_TABANI!D25*B284-VERI_TABANI!D25)*VERI_TABANI!$B$8) + (MIN(MAX(0, VERI_TABANI!D25-VERI_TABANI!D25*B284), VERI_TABANI!D25*C284)*VERI_TABANI!$B$7 + MAX(0, VERI_TABANI!D25*C284-MAX(0, VERI_TABANI!D25-VERI_TABANI!D25*B284))*VERI_TABANI!$B$8) + IF(ABS(IF(ISNUMBER(SEARCH("Var", D284)), 1, IF(ISNUMBER(SEARCH("Gri", D284)), -1, 0)))=1, VERI_TABANI!E25*(1-0.928)*VERI_TABANI!$B$9, 0) + (VERI_TABANI!D25*B284*(VERI_TABANI!$B$13-VERI_TABANI!$B$14)*VERI_TABANI!G25) + (VERI_TABANI!D25*C284*(VERI_TABANI!$B$13-VERI_TABANI!$B$15)*VERI_TABANI!G25) + IF(ABS(IF(ISNUMBER(SEARCH("Var", D284)), 1, IF(ISNUMBER(SEARCH("Gri", D284)), -1, 0)))=1, VERI_TABANI!E25*(1-0.928)*0.00206091519919798*VERI_TABANI!G25, 0)) + ((MIN(VERI_TABANI!D26, VERI_TABANI!D26*B284)*VERI_TABANI!$B$7 + MAX(0, VERI_TABANI!D26*B284-VERI_TABANI!D26)*VERI_TABANI!$B$8) + (MIN(MAX(0, VERI_TABANI!D26-VERI_TABANI!D26*B284), VERI_TABANI!D26*C284)*VERI_TABANI!$B$7 + MAX(0, VERI_TABANI!D26*C284-MAX(0, VERI_TABANI!D26-VERI_TABANI!D26*B284))*VERI_TABANI!$B$8) + IF(ABS(IF(ISNUMBER(SEARCH("Var", D284)), 1, IF(ISNUMBER(SEARCH("Gri", D284)), -1, 0)))=1, VERI_TABANI!E26*(1-0.928)*VERI_TABANI!$B$9, 0) + (VERI_TABANI!D26*B284*(VERI_TABANI!$B$13-VERI_TABANI!$B$14)*VERI_TABANI!G26) + (VERI_TABANI!D26*C284*(VERI_TABANI!$B$13-VERI_TABANI!$B$15)*VERI_TABANI!G26) + IF(ABS(IF(ISNUMBER(SEARCH("Var", D284)), 1, IF(ISNUMBER(SEARCH("Gri", D284)), -1, 0)))=1, VERI_TABANI!E26*(1-0.928)*0.00206091519919798*VERI_TABANI!G26, 0)) + ((MIN(VERI_TABANI!D27, VERI_TABANI!D27*B284)*VERI_TABANI!$B$7 + MAX(0, VERI_TABANI!D27*B284-VERI_TABANI!D27)*VERI_TABANI!$B$8) + (MIN(MAX(0, VERI_TABANI!D27-VERI_TABANI!D27*B284), VERI_TABANI!D27*C284)*VERI_TABANI!$B$7 + MAX(0, VERI_TABANI!D27*C284-MAX(0, VERI_TABANI!D27-VERI_TABANI!D27*B284))*VERI_TABANI!$B$8) + IF(ABS(IF(ISNUMBER(SEARCH("Var", D284)), 1, IF(ISNUMBER(SEARCH("Gri", D284)), -1, 0)))=1, VERI_TABANI!E27*(1-0.928)*VERI_TABANI!$B$9, 0) + (VERI_TABANI!D27*B284*(VERI_TABANI!$B$13-VERI_TABANI!$B$14)*VERI_TABANI!G27) + (VERI_TABANI!D27*C284*(VERI_TABANI!$B$13-VERI_TABANI!$B$15)*VERI_TABANI!G27) + IF(ABS(IF(ISNUMBER(SEARCH("Var", D284)), 1, IF(ISNUMBER(SEARCH("Gri", D284)), -1, 0)))=1, VERI_TABANI!E27*(1-0.928)*0.00206091519919798*VERI_TABANI!G27, 0)) + ((MIN(VERI_TABANI!D28, VERI_TABANI!D28*B284)*VERI_TABANI!$B$7 + MAX(0, VERI_TABANI!D28*B284-VERI_TABANI!D28)*VERI_TABANI!$B$8) + (MIN(MAX(0, VERI_TABANI!D28-VERI_TABANI!D28*B284), VERI_TABANI!D28*C284)*VERI_TABANI!$B$7 + MAX(0, VERI_TABANI!D28*C284-MAX(0, VERI_TABANI!D28-VERI_TABANI!D28*B284))*VERI_TABANI!$B$8) + IF(ABS(IF(ISNUMBER(SEARCH("Var", D284)), 1, IF(ISNUMBER(SEARCH("Gri", D284)), -1, 0)))=1, VERI_TABANI!E28*(1-0.928)*VERI_TABANI!$B$9, 0) + (VERI_TABANI!D28*B284*(VERI_TABANI!$B$13-VERI_TABANI!$B$14)*VERI_TABANI!G28) + (VERI_TABANI!D28*C284*(VERI_TABANI!$B$13-VERI_TABANI!$B$15)*VERI_TABANI!G28) + IF(ABS(IF(ISNUMBER(SEARCH("Var", D284)), 1, IF(ISNUMBER(SEARCH("Gri", D284)), -1, 0)))=1, VERI_TABANI!E28*(1-0.928)*0.00206091519919798*VERI_TABANI!G28, 0)))</f>
        <v/>
      </c>
      <c r="H284" s="169">
        <f>(((VERI_TABANI!D23*B284*(VERI_TABANI!$B$13-VERI_TABANI!$B$14)) + (VERI_TABANI!D23*C284*(VERI_TABANI!$B$13-VERI_TABANI!$B$15)) + IF(ISNUMBER(SEARCH("Var", D284)), VERI_TABANI!F23*(0.00202-VERI_TABANI!$B$16), IF(ISNUMBER(SEARCH("Gri", D284)), VERI_TABANI!F23*(0.00202-VERI_TABANI!$B$17), 0))) + ((VERI_TABANI!D24*B284*(VERI_TABANI!$B$13-VERI_TABANI!$B$14)) + (VERI_TABANI!D24*C284*(VERI_TABANI!$B$13-VERI_TABANI!$B$15)) + IF(ISNUMBER(SEARCH("Var", D284)), VERI_TABANI!F24*(0.00202-VERI_TABANI!$B$16), IF(ISNUMBER(SEARCH("Gri", D284)), VERI_TABANI!F24*(0.00202-VERI_TABANI!$B$17), 0))) + ((VERI_TABANI!D25*B284*(VERI_TABANI!$B$13-VERI_TABANI!$B$14)) + (VERI_TABANI!D25*C284*(VERI_TABANI!$B$13-VERI_TABANI!$B$15)) + IF(ISNUMBER(SEARCH("Var", D284)), VERI_TABANI!F25*(0.00202-VERI_TABANI!$B$16), IF(ISNUMBER(SEARCH("Gri", D284)), VERI_TABANI!F25*(0.00202-VERI_TABANI!$B$17), 0))) + ((VERI_TABANI!D26*B284*(VERI_TABANI!$B$13-VERI_TABANI!$B$14)) + (VERI_TABANI!D26*C284*(VERI_TABANI!$B$13-VERI_TABANI!$B$15)) + IF(ISNUMBER(SEARCH("Var", D284)), VERI_TABANI!F26*(0.00202-VERI_TABANI!$B$16), IF(ISNUMBER(SEARCH("Gri", D284)), VERI_TABANI!F26*(0.00202-VERI_TABANI!$B$17), 0))) + ((VERI_TABANI!D27*B284*(VERI_TABANI!$B$13-VERI_TABANI!$B$14)) + (VERI_TABANI!D27*C284*(VERI_TABANI!$B$13-VERI_TABANI!$B$15)) + IF(ISNUMBER(SEARCH("Var", D284)), VERI_TABANI!F27*(0.00202-VERI_TABANI!$B$16), IF(ISNUMBER(SEARCH("Gri", D284)), VERI_TABANI!F27*(0.00202-VERI_TABANI!$B$17), 0))) + ((VERI_TABANI!D28*B284*(VERI_TABANI!$B$13-VERI_TABANI!$B$14)) + (VERI_TABANI!D28*C284*(VERI_TABANI!$B$13-VERI_TABANI!$B$15)) + IF(ISNUMBER(SEARCH("Var", D284)), VERI_TABANI!F28*(0.00202-VERI_TABANI!$B$16), IF(ISNUMBER(SEARCH("Gri", D284)), VERI_TABANI!F28*(0.00202-VERI_TABANI!$B$17), 0))))</f>
        <v/>
      </c>
      <c r="I284" s="170">
        <f>IFERROR(((VERI_TABANI!$D$29*B284*VERI_TABANI!$B$14 + VERI_TABANI!$D$29*C284*VERI_TABANI!$B$15 + IF(ISNUMBER(SEARCH("Var", D284)), VERI_TABANI!$F$29*VERI_TABANI!$B$16, 0))) / (((VERI_TABANI!$D$29*B284 + VERI_TABANI!$D$29*C284)*VERI_TABANI!$B$13 + IF(ISNUMBER(SEARCH("Var", D284)), VERI_TABANI!$E$29*(1-0.928)*VERI_TABANI!$B$18, 0))), 0)</f>
        <v/>
      </c>
      <c r="J284" s="171">
        <f>IFERROR(F284/(G284/29), 0)</f>
        <v/>
      </c>
      <c r="K284" s="172">
        <f>IF(F284&gt;0, H284/F284, 0)</f>
        <v/>
      </c>
      <c r="L284" s="170">
        <f>IF(F284&gt;0, I284, 1000000000)</f>
        <v/>
      </c>
      <c r="M284" s="171">
        <f>ABS((B284+C284)-1)</f>
        <v/>
      </c>
      <c r="N284" s="170">
        <f>IF(F284&gt;0, (G284/29)/F284, 0)</f>
        <v/>
      </c>
      <c r="O284" s="168">
        <f>IF(AND((B284+C284)&gt;=1, ISNUMBER(SEARCH("Var", D284))), F284, 1000000000)</f>
        <v/>
      </c>
      <c r="P284" s="172">
        <f>IF(F284&gt;0, SQRT((F284/MAX(F$5:F$886))^2 + (1 - H284/MAX(H$5:H$886))^2 + (J284/MAX(J$5:J$886))^2), 1000000000)</f>
        <v/>
      </c>
      <c r="Q284" s="166">
        <f>IF(AND(ABS(B284-0.5)&lt;0.01, ABS(C284-0.5)&lt;0.01, ISNUMBER(SEARCH("Var", D284))), 1, 0)</f>
        <v/>
      </c>
      <c r="R284" s="171">
        <f>IF(F284&gt;0, J284, 1000000000)</f>
        <v/>
      </c>
      <c r="S284" s="101">
        <f>IF(AND(F284&lt;=DASHBOARD!$B$11, H284&gt;=DASHBOARD!$B$13), G284, -1000000000000)</f>
        <v/>
      </c>
      <c r="T284" s="101">
        <f>IF(AND(F284&lt;=DASHBOARD!$B$11, H284&gt;=DASHBOARD!$B$13), R284, 1000000000000)</f>
        <v/>
      </c>
      <c r="U284" s="101">
        <f>IF(AND(F284&lt;=DASHBOARD!$B$11, H284&gt;=DASHBOARD!$B$13), N284, -1000000000000)</f>
        <v/>
      </c>
      <c r="V284" s="101">
        <f>IF(AND(F284&lt;=DASHBOARD!$B$11, H284&gt;=DASHBOARD!$B$13), H284, -1000000000000)</f>
        <v/>
      </c>
      <c r="W284" s="101">
        <f>IF(AND(F284&lt;=DASHBOARD!$B$11, H284&gt;=DASHBOARD!$B$13), K284, -1000000000000)</f>
        <v/>
      </c>
      <c r="X284" s="101">
        <f>IF(AND(F284&lt;=DASHBOARD!$B$11, H284&gt;=DASHBOARD!$B$13), M284, 1000000000000)</f>
        <v/>
      </c>
      <c r="Y284" s="101">
        <f>IF(AND(F284&lt;=DASHBOARD!$B$10, H284&gt;=DASHBOARD!$B$11), L284, 1000000000000)</f>
        <v/>
      </c>
      <c r="Z284" s="101">
        <f>IF(AND(F284&lt;=DASHBOARD!$B$10, H284&gt;=DASHBOARD!$B$11), O284, 1000000000000)</f>
        <v/>
      </c>
      <c r="AA284" s="101">
        <f>IF(AND(F284&lt;=DASHBOARD!$B$10, H284&gt;=DASHBOARD!$B$11), P284, 1000000000000)</f>
        <v/>
      </c>
      <c r="AB284" s="101">
        <f>IF(AND(F284&lt;=DASHBOARD!$B$10, H284&gt;=DASHBOARD!$B$11), Q284, -1000000000000)</f>
        <v/>
      </c>
    </row>
    <row r="285" ht="15" customHeight="1" s="102">
      <c r="A285" s="166" t="n">
        <v>281</v>
      </c>
      <c r="B285" s="167" t="n">
        <v>0.6</v>
      </c>
      <c r="C285" s="167" t="n">
        <v>1.4</v>
      </c>
      <c r="D285" s="110" t="inlineStr">
        <is>
          <t>Yok (%0)</t>
        </is>
      </c>
      <c r="E285" s="110">
        <f>IF((B285+C285)&lt;=1, "Tam Mahsuplaşma (≤%100)", "Kısmi Satış (&gt;%100)")</f>
        <v/>
      </c>
      <c r="F285" s="168">
        <f>((VERI_TABANI!$D$29*B285/VERI_TABANI!$B$29)/VERI_TABANI!$B$3)*VERI_TABANI!$B$5 + ((VERI_TABANI!$D$29*C285/VERI_TABANI!$B$29)/VERI_TABANI!$B$4)*VERI_TABANI!$B$6 + IF(ISNUMBER(SEARCH("Var", D285)), (VERI_TABANI!$F$29/VERI_TABANI!$B$29)*(VERI_TABANI!$B$10+VERI_TABANI!$B$12), 0)</f>
        <v/>
      </c>
      <c r="G285" s="168">
        <f>(((MIN(VERI_TABANI!D23, VERI_TABANI!D23*B285)*VERI_TABANI!$B$7 + MAX(0, VERI_TABANI!D23*B285-VERI_TABANI!D23)*VERI_TABANI!$B$8) + (MIN(MAX(0, VERI_TABANI!D23-VERI_TABANI!D23*B285), VERI_TABANI!D23*C285)*VERI_TABANI!$B$7 + MAX(0, VERI_TABANI!D23*C285-MAX(0, VERI_TABANI!D23-VERI_TABANI!D23*B285))*VERI_TABANI!$B$8) + IF(ABS(IF(ISNUMBER(SEARCH("Var", D285)), 1, IF(ISNUMBER(SEARCH("Gri", D285)), -1, 0)))=1, VERI_TABANI!E23*(1-0.928)*VERI_TABANI!$B$9, 0) + (VERI_TABANI!D23*B285*(VERI_TABANI!$B$13-VERI_TABANI!$B$14)*VERI_TABANI!G23) + (VERI_TABANI!D23*C285*(VERI_TABANI!$B$13-VERI_TABANI!$B$15)*VERI_TABANI!G23) + IF(ABS(IF(ISNUMBER(SEARCH("Var", D285)), 1, IF(ISNUMBER(SEARCH("Gri", D285)), -1, 0)))=1, VERI_TABANI!E23*(1-0.928)*0.00206091519919798*VERI_TABANI!G23, 0)) + ((MIN(VERI_TABANI!D24, VERI_TABANI!D24*B285)*VERI_TABANI!$B$7 + MAX(0, VERI_TABANI!D24*B285-VERI_TABANI!D24)*VERI_TABANI!$B$8) + (MIN(MAX(0, VERI_TABANI!D24-VERI_TABANI!D24*B285), VERI_TABANI!D24*C285)*VERI_TABANI!$B$7 + MAX(0, VERI_TABANI!D24*C285-MAX(0, VERI_TABANI!D24-VERI_TABANI!D24*B285))*VERI_TABANI!$B$8) + IF(ABS(IF(ISNUMBER(SEARCH("Var", D285)), 1, IF(ISNUMBER(SEARCH("Gri", D285)), -1, 0)))=1, VERI_TABANI!E24*(1-0.928)*VERI_TABANI!$B$9, 0) + (VERI_TABANI!D24*B285*(VERI_TABANI!$B$13-VERI_TABANI!$B$14)*VERI_TABANI!G24) + (VERI_TABANI!D24*C285*(VERI_TABANI!$B$13-VERI_TABANI!$B$15)*VERI_TABANI!G24) + IF(ABS(IF(ISNUMBER(SEARCH("Var", D285)), 1, IF(ISNUMBER(SEARCH("Gri", D285)), -1, 0)))=1, VERI_TABANI!E24*(1-0.928)*0.00206091519919798*VERI_TABANI!G24, 0)) + ((MIN(VERI_TABANI!D25, VERI_TABANI!D25*B285)*VERI_TABANI!$B$7 + MAX(0, VERI_TABANI!D25*B285-VERI_TABANI!D25)*VERI_TABANI!$B$8) + (MIN(MAX(0, VERI_TABANI!D25-VERI_TABANI!D25*B285), VERI_TABANI!D25*C285)*VERI_TABANI!$B$7 + MAX(0, VERI_TABANI!D25*C285-MAX(0, VERI_TABANI!D25-VERI_TABANI!D25*B285))*VERI_TABANI!$B$8) + IF(ABS(IF(ISNUMBER(SEARCH("Var", D285)), 1, IF(ISNUMBER(SEARCH("Gri", D285)), -1, 0)))=1, VERI_TABANI!E25*(1-0.928)*VERI_TABANI!$B$9, 0) + (VERI_TABANI!D25*B285*(VERI_TABANI!$B$13-VERI_TABANI!$B$14)*VERI_TABANI!G25) + (VERI_TABANI!D25*C285*(VERI_TABANI!$B$13-VERI_TABANI!$B$15)*VERI_TABANI!G25) + IF(ABS(IF(ISNUMBER(SEARCH("Var", D285)), 1, IF(ISNUMBER(SEARCH("Gri", D285)), -1, 0)))=1, VERI_TABANI!E25*(1-0.928)*0.00206091519919798*VERI_TABANI!G25, 0)) + ((MIN(VERI_TABANI!D26, VERI_TABANI!D26*B285)*VERI_TABANI!$B$7 + MAX(0, VERI_TABANI!D26*B285-VERI_TABANI!D26)*VERI_TABANI!$B$8) + (MIN(MAX(0, VERI_TABANI!D26-VERI_TABANI!D26*B285), VERI_TABANI!D26*C285)*VERI_TABANI!$B$7 + MAX(0, VERI_TABANI!D26*C285-MAX(0, VERI_TABANI!D26-VERI_TABANI!D26*B285))*VERI_TABANI!$B$8) + IF(ABS(IF(ISNUMBER(SEARCH("Var", D285)), 1, IF(ISNUMBER(SEARCH("Gri", D285)), -1, 0)))=1, VERI_TABANI!E26*(1-0.928)*VERI_TABANI!$B$9, 0) + (VERI_TABANI!D26*B285*(VERI_TABANI!$B$13-VERI_TABANI!$B$14)*VERI_TABANI!G26) + (VERI_TABANI!D26*C285*(VERI_TABANI!$B$13-VERI_TABANI!$B$15)*VERI_TABANI!G26) + IF(ABS(IF(ISNUMBER(SEARCH("Var", D285)), 1, IF(ISNUMBER(SEARCH("Gri", D285)), -1, 0)))=1, VERI_TABANI!E26*(1-0.928)*0.00206091519919798*VERI_TABANI!G26, 0)) + ((MIN(VERI_TABANI!D27, VERI_TABANI!D27*B285)*VERI_TABANI!$B$7 + MAX(0, VERI_TABANI!D27*B285-VERI_TABANI!D27)*VERI_TABANI!$B$8) + (MIN(MAX(0, VERI_TABANI!D27-VERI_TABANI!D27*B285), VERI_TABANI!D27*C285)*VERI_TABANI!$B$7 + MAX(0, VERI_TABANI!D27*C285-MAX(0, VERI_TABANI!D27-VERI_TABANI!D27*B285))*VERI_TABANI!$B$8) + IF(ABS(IF(ISNUMBER(SEARCH("Var", D285)), 1, IF(ISNUMBER(SEARCH("Gri", D285)), -1, 0)))=1, VERI_TABANI!E27*(1-0.928)*VERI_TABANI!$B$9, 0) + (VERI_TABANI!D27*B285*(VERI_TABANI!$B$13-VERI_TABANI!$B$14)*VERI_TABANI!G27) + (VERI_TABANI!D27*C285*(VERI_TABANI!$B$13-VERI_TABANI!$B$15)*VERI_TABANI!G27) + IF(ABS(IF(ISNUMBER(SEARCH("Var", D285)), 1, IF(ISNUMBER(SEARCH("Gri", D285)), -1, 0)))=1, VERI_TABANI!E27*(1-0.928)*0.00206091519919798*VERI_TABANI!G27, 0)) + ((MIN(VERI_TABANI!D28, VERI_TABANI!D28*B285)*VERI_TABANI!$B$7 + MAX(0, VERI_TABANI!D28*B285-VERI_TABANI!D28)*VERI_TABANI!$B$8) + (MIN(MAX(0, VERI_TABANI!D28-VERI_TABANI!D28*B285), VERI_TABANI!D28*C285)*VERI_TABANI!$B$7 + MAX(0, VERI_TABANI!D28*C285-MAX(0, VERI_TABANI!D28-VERI_TABANI!D28*B285))*VERI_TABANI!$B$8) + IF(ABS(IF(ISNUMBER(SEARCH("Var", D285)), 1, IF(ISNUMBER(SEARCH("Gri", D285)), -1, 0)))=1, VERI_TABANI!E28*(1-0.928)*VERI_TABANI!$B$9, 0) + (VERI_TABANI!D28*B285*(VERI_TABANI!$B$13-VERI_TABANI!$B$14)*VERI_TABANI!G28) + (VERI_TABANI!D28*C285*(VERI_TABANI!$B$13-VERI_TABANI!$B$15)*VERI_TABANI!G28) + IF(ABS(IF(ISNUMBER(SEARCH("Var", D285)), 1, IF(ISNUMBER(SEARCH("Gri", D285)), -1, 0)))=1, VERI_TABANI!E28*(1-0.928)*0.00206091519919798*VERI_TABANI!G28, 0)))</f>
        <v/>
      </c>
      <c r="H285" s="169">
        <f>(((VERI_TABANI!D23*B285*(VERI_TABANI!$B$13-VERI_TABANI!$B$14)) + (VERI_TABANI!D23*C285*(VERI_TABANI!$B$13-VERI_TABANI!$B$15)) + IF(ISNUMBER(SEARCH("Var", D285)), VERI_TABANI!F23*(0.00202-VERI_TABANI!$B$16), IF(ISNUMBER(SEARCH("Gri", D285)), VERI_TABANI!F23*(0.00202-VERI_TABANI!$B$17), 0))) + ((VERI_TABANI!D24*B285*(VERI_TABANI!$B$13-VERI_TABANI!$B$14)) + (VERI_TABANI!D24*C285*(VERI_TABANI!$B$13-VERI_TABANI!$B$15)) + IF(ISNUMBER(SEARCH("Var", D285)), VERI_TABANI!F24*(0.00202-VERI_TABANI!$B$16), IF(ISNUMBER(SEARCH("Gri", D285)), VERI_TABANI!F24*(0.00202-VERI_TABANI!$B$17), 0))) + ((VERI_TABANI!D25*B285*(VERI_TABANI!$B$13-VERI_TABANI!$B$14)) + (VERI_TABANI!D25*C285*(VERI_TABANI!$B$13-VERI_TABANI!$B$15)) + IF(ISNUMBER(SEARCH("Var", D285)), VERI_TABANI!F25*(0.00202-VERI_TABANI!$B$16), IF(ISNUMBER(SEARCH("Gri", D285)), VERI_TABANI!F25*(0.00202-VERI_TABANI!$B$17), 0))) + ((VERI_TABANI!D26*B285*(VERI_TABANI!$B$13-VERI_TABANI!$B$14)) + (VERI_TABANI!D26*C285*(VERI_TABANI!$B$13-VERI_TABANI!$B$15)) + IF(ISNUMBER(SEARCH("Var", D285)), VERI_TABANI!F26*(0.00202-VERI_TABANI!$B$16), IF(ISNUMBER(SEARCH("Gri", D285)), VERI_TABANI!F26*(0.00202-VERI_TABANI!$B$17), 0))) + ((VERI_TABANI!D27*B285*(VERI_TABANI!$B$13-VERI_TABANI!$B$14)) + (VERI_TABANI!D27*C285*(VERI_TABANI!$B$13-VERI_TABANI!$B$15)) + IF(ISNUMBER(SEARCH("Var", D285)), VERI_TABANI!F27*(0.00202-VERI_TABANI!$B$16), IF(ISNUMBER(SEARCH("Gri", D285)), VERI_TABANI!F27*(0.00202-VERI_TABANI!$B$17), 0))) + ((VERI_TABANI!D28*B285*(VERI_TABANI!$B$13-VERI_TABANI!$B$14)) + (VERI_TABANI!D28*C285*(VERI_TABANI!$B$13-VERI_TABANI!$B$15)) + IF(ISNUMBER(SEARCH("Var", D285)), VERI_TABANI!F28*(0.00202-VERI_TABANI!$B$16), IF(ISNUMBER(SEARCH("Gri", D285)), VERI_TABANI!F28*(0.00202-VERI_TABANI!$B$17), 0))))</f>
        <v/>
      </c>
      <c r="I285" s="170">
        <f>IFERROR(((VERI_TABANI!$D$29*B285*VERI_TABANI!$B$14 + VERI_TABANI!$D$29*C285*VERI_TABANI!$B$15 + IF(ISNUMBER(SEARCH("Var", D285)), VERI_TABANI!$F$29*VERI_TABANI!$B$16, 0))) / (((VERI_TABANI!$D$29*B285 + VERI_TABANI!$D$29*C285)*VERI_TABANI!$B$13 + IF(ISNUMBER(SEARCH("Var", D285)), VERI_TABANI!$E$29*(1-0.928)*VERI_TABANI!$B$18, 0))), 0)</f>
        <v/>
      </c>
      <c r="J285" s="171">
        <f>IFERROR(F285/(G285/29), 0)</f>
        <v/>
      </c>
      <c r="K285" s="172">
        <f>IF(F285&gt;0, H285/F285, 0)</f>
        <v/>
      </c>
      <c r="L285" s="170">
        <f>IF(F285&gt;0, I285, 1000000000)</f>
        <v/>
      </c>
      <c r="M285" s="171">
        <f>ABS((B285+C285)-1)</f>
        <v/>
      </c>
      <c r="N285" s="170">
        <f>IF(F285&gt;0, (G285/29)/F285, 0)</f>
        <v/>
      </c>
      <c r="O285" s="168">
        <f>IF(AND((B285+C285)&gt;=1, ISNUMBER(SEARCH("Var", D285))), F285, 1000000000)</f>
        <v/>
      </c>
      <c r="P285" s="172">
        <f>IF(F285&gt;0, SQRT((F285/MAX(F$5:F$886))^2 + (1 - H285/MAX(H$5:H$886))^2 + (J285/MAX(J$5:J$886))^2), 1000000000)</f>
        <v/>
      </c>
      <c r="Q285" s="166">
        <f>IF(AND(ABS(B285-0.5)&lt;0.01, ABS(C285-0.5)&lt;0.01, ISNUMBER(SEARCH("Var", D285))), 1, 0)</f>
        <v/>
      </c>
      <c r="R285" s="171">
        <f>IF(F285&gt;0, J285, 1000000000)</f>
        <v/>
      </c>
      <c r="S285" s="101">
        <f>IF(AND(F285&lt;=DASHBOARD!$B$11, H285&gt;=DASHBOARD!$B$13), G285, -1000000000000)</f>
        <v/>
      </c>
      <c r="T285" s="101">
        <f>IF(AND(F285&lt;=DASHBOARD!$B$11, H285&gt;=DASHBOARD!$B$13), R285, 1000000000000)</f>
        <v/>
      </c>
      <c r="U285" s="101">
        <f>IF(AND(F285&lt;=DASHBOARD!$B$11, H285&gt;=DASHBOARD!$B$13), N285, -1000000000000)</f>
        <v/>
      </c>
      <c r="V285" s="101">
        <f>IF(AND(F285&lt;=DASHBOARD!$B$11, H285&gt;=DASHBOARD!$B$13), H285, -1000000000000)</f>
        <v/>
      </c>
      <c r="W285" s="101">
        <f>IF(AND(F285&lt;=DASHBOARD!$B$11, H285&gt;=DASHBOARD!$B$13), K285, -1000000000000)</f>
        <v/>
      </c>
      <c r="X285" s="101">
        <f>IF(AND(F285&lt;=DASHBOARD!$B$11, H285&gt;=DASHBOARD!$B$13), M285, 1000000000000)</f>
        <v/>
      </c>
      <c r="Y285" s="101">
        <f>IF(AND(F285&lt;=DASHBOARD!$B$10, H285&gt;=DASHBOARD!$B$11), L285, 1000000000000)</f>
        <v/>
      </c>
      <c r="Z285" s="101">
        <f>IF(AND(F285&lt;=DASHBOARD!$B$10, H285&gt;=DASHBOARD!$B$11), O285, 1000000000000)</f>
        <v/>
      </c>
      <c r="AA285" s="101">
        <f>IF(AND(F285&lt;=DASHBOARD!$B$10, H285&gt;=DASHBOARD!$B$11), P285, 1000000000000)</f>
        <v/>
      </c>
      <c r="AB285" s="101">
        <f>IF(AND(F285&lt;=DASHBOARD!$B$10, H285&gt;=DASHBOARD!$B$11), Q285, -1000000000000)</f>
        <v/>
      </c>
    </row>
    <row r="286" ht="15" customHeight="1" s="102">
      <c r="A286" s="166" t="n">
        <v>282</v>
      </c>
      <c r="B286" s="167" t="n">
        <v>0.6</v>
      </c>
      <c r="C286" s="167" t="n">
        <v>1.4</v>
      </c>
      <c r="D286" s="110" t="inlineStr">
        <is>
          <t>Var (%20)</t>
        </is>
      </c>
      <c r="E286" s="110">
        <f>IF((B286+C286)&lt;=1, "Tam Mahsuplaşma (≤%100)", "Kısmi Satış (&gt;%100)")</f>
        <v/>
      </c>
      <c r="F286" s="168">
        <f>((VERI_TABANI!$D$29*B286/VERI_TABANI!$B$29)/VERI_TABANI!$B$3)*VERI_TABANI!$B$5 + ((VERI_TABANI!$D$29*C286/VERI_TABANI!$B$29)/VERI_TABANI!$B$4)*VERI_TABANI!$B$6 + IF(ISNUMBER(SEARCH("Var", D286)), (VERI_TABANI!$F$29/VERI_TABANI!$B$29)*(VERI_TABANI!$B$10+VERI_TABANI!$B$12), 0)</f>
        <v/>
      </c>
      <c r="G286" s="168">
        <f>(((MIN(VERI_TABANI!D23, VERI_TABANI!D23*B286)*VERI_TABANI!$B$7 + MAX(0, VERI_TABANI!D23*B286-VERI_TABANI!D23)*VERI_TABANI!$B$8) + (MIN(MAX(0, VERI_TABANI!D23-VERI_TABANI!D23*B286), VERI_TABANI!D23*C286)*VERI_TABANI!$B$7 + MAX(0, VERI_TABANI!D23*C286-MAX(0, VERI_TABANI!D23-VERI_TABANI!D23*B286))*VERI_TABANI!$B$8) + IF(ABS(IF(ISNUMBER(SEARCH("Var", D286)), 1, IF(ISNUMBER(SEARCH("Gri", D286)), -1, 0)))=1, VERI_TABANI!E23*(1-0.928)*VERI_TABANI!$B$9, 0) + (VERI_TABANI!D23*B286*(VERI_TABANI!$B$13-VERI_TABANI!$B$14)*VERI_TABANI!G23) + (VERI_TABANI!D23*C286*(VERI_TABANI!$B$13-VERI_TABANI!$B$15)*VERI_TABANI!G23) + IF(ABS(IF(ISNUMBER(SEARCH("Var", D286)), 1, IF(ISNUMBER(SEARCH("Gri", D286)), -1, 0)))=1, VERI_TABANI!E23*(1-0.928)*0.00206091519919798*VERI_TABANI!G23, 0)) + ((MIN(VERI_TABANI!D24, VERI_TABANI!D24*B286)*VERI_TABANI!$B$7 + MAX(0, VERI_TABANI!D24*B286-VERI_TABANI!D24)*VERI_TABANI!$B$8) + (MIN(MAX(0, VERI_TABANI!D24-VERI_TABANI!D24*B286), VERI_TABANI!D24*C286)*VERI_TABANI!$B$7 + MAX(0, VERI_TABANI!D24*C286-MAX(0, VERI_TABANI!D24-VERI_TABANI!D24*B286))*VERI_TABANI!$B$8) + IF(ABS(IF(ISNUMBER(SEARCH("Var", D286)), 1, IF(ISNUMBER(SEARCH("Gri", D286)), -1, 0)))=1, VERI_TABANI!E24*(1-0.928)*VERI_TABANI!$B$9, 0) + (VERI_TABANI!D24*B286*(VERI_TABANI!$B$13-VERI_TABANI!$B$14)*VERI_TABANI!G24) + (VERI_TABANI!D24*C286*(VERI_TABANI!$B$13-VERI_TABANI!$B$15)*VERI_TABANI!G24) + IF(ABS(IF(ISNUMBER(SEARCH("Var", D286)), 1, IF(ISNUMBER(SEARCH("Gri", D286)), -1, 0)))=1, VERI_TABANI!E24*(1-0.928)*0.00206091519919798*VERI_TABANI!G24, 0)) + ((MIN(VERI_TABANI!D25, VERI_TABANI!D25*B286)*VERI_TABANI!$B$7 + MAX(0, VERI_TABANI!D25*B286-VERI_TABANI!D25)*VERI_TABANI!$B$8) + (MIN(MAX(0, VERI_TABANI!D25-VERI_TABANI!D25*B286), VERI_TABANI!D25*C286)*VERI_TABANI!$B$7 + MAX(0, VERI_TABANI!D25*C286-MAX(0, VERI_TABANI!D25-VERI_TABANI!D25*B286))*VERI_TABANI!$B$8) + IF(ABS(IF(ISNUMBER(SEARCH("Var", D286)), 1, IF(ISNUMBER(SEARCH("Gri", D286)), -1, 0)))=1, VERI_TABANI!E25*(1-0.928)*VERI_TABANI!$B$9, 0) + (VERI_TABANI!D25*B286*(VERI_TABANI!$B$13-VERI_TABANI!$B$14)*VERI_TABANI!G25) + (VERI_TABANI!D25*C286*(VERI_TABANI!$B$13-VERI_TABANI!$B$15)*VERI_TABANI!G25) + IF(ABS(IF(ISNUMBER(SEARCH("Var", D286)), 1, IF(ISNUMBER(SEARCH("Gri", D286)), -1, 0)))=1, VERI_TABANI!E25*(1-0.928)*0.00206091519919798*VERI_TABANI!G25, 0)) + ((MIN(VERI_TABANI!D26, VERI_TABANI!D26*B286)*VERI_TABANI!$B$7 + MAX(0, VERI_TABANI!D26*B286-VERI_TABANI!D26)*VERI_TABANI!$B$8) + (MIN(MAX(0, VERI_TABANI!D26-VERI_TABANI!D26*B286), VERI_TABANI!D26*C286)*VERI_TABANI!$B$7 + MAX(0, VERI_TABANI!D26*C286-MAX(0, VERI_TABANI!D26-VERI_TABANI!D26*B286))*VERI_TABANI!$B$8) + IF(ABS(IF(ISNUMBER(SEARCH("Var", D286)), 1, IF(ISNUMBER(SEARCH("Gri", D286)), -1, 0)))=1, VERI_TABANI!E26*(1-0.928)*VERI_TABANI!$B$9, 0) + (VERI_TABANI!D26*B286*(VERI_TABANI!$B$13-VERI_TABANI!$B$14)*VERI_TABANI!G26) + (VERI_TABANI!D26*C286*(VERI_TABANI!$B$13-VERI_TABANI!$B$15)*VERI_TABANI!G26) + IF(ABS(IF(ISNUMBER(SEARCH("Var", D286)), 1, IF(ISNUMBER(SEARCH("Gri", D286)), -1, 0)))=1, VERI_TABANI!E26*(1-0.928)*0.00206091519919798*VERI_TABANI!G26, 0)) + ((MIN(VERI_TABANI!D27, VERI_TABANI!D27*B286)*VERI_TABANI!$B$7 + MAX(0, VERI_TABANI!D27*B286-VERI_TABANI!D27)*VERI_TABANI!$B$8) + (MIN(MAX(0, VERI_TABANI!D27-VERI_TABANI!D27*B286), VERI_TABANI!D27*C286)*VERI_TABANI!$B$7 + MAX(0, VERI_TABANI!D27*C286-MAX(0, VERI_TABANI!D27-VERI_TABANI!D27*B286))*VERI_TABANI!$B$8) + IF(ABS(IF(ISNUMBER(SEARCH("Var", D286)), 1, IF(ISNUMBER(SEARCH("Gri", D286)), -1, 0)))=1, VERI_TABANI!E27*(1-0.928)*VERI_TABANI!$B$9, 0) + (VERI_TABANI!D27*B286*(VERI_TABANI!$B$13-VERI_TABANI!$B$14)*VERI_TABANI!G27) + (VERI_TABANI!D27*C286*(VERI_TABANI!$B$13-VERI_TABANI!$B$15)*VERI_TABANI!G27) + IF(ABS(IF(ISNUMBER(SEARCH("Var", D286)), 1, IF(ISNUMBER(SEARCH("Gri", D286)), -1, 0)))=1, VERI_TABANI!E27*(1-0.928)*0.00206091519919798*VERI_TABANI!G27, 0)) + ((MIN(VERI_TABANI!D28, VERI_TABANI!D28*B286)*VERI_TABANI!$B$7 + MAX(0, VERI_TABANI!D28*B286-VERI_TABANI!D28)*VERI_TABANI!$B$8) + (MIN(MAX(0, VERI_TABANI!D28-VERI_TABANI!D28*B286), VERI_TABANI!D28*C286)*VERI_TABANI!$B$7 + MAX(0, VERI_TABANI!D28*C286-MAX(0, VERI_TABANI!D28-VERI_TABANI!D28*B286))*VERI_TABANI!$B$8) + IF(ABS(IF(ISNUMBER(SEARCH("Var", D286)), 1, IF(ISNUMBER(SEARCH("Gri", D286)), -1, 0)))=1, VERI_TABANI!E28*(1-0.928)*VERI_TABANI!$B$9, 0) + (VERI_TABANI!D28*B286*(VERI_TABANI!$B$13-VERI_TABANI!$B$14)*VERI_TABANI!G28) + (VERI_TABANI!D28*C286*(VERI_TABANI!$B$13-VERI_TABANI!$B$15)*VERI_TABANI!G28) + IF(ABS(IF(ISNUMBER(SEARCH("Var", D286)), 1, IF(ISNUMBER(SEARCH("Gri", D286)), -1, 0)))=1, VERI_TABANI!E28*(1-0.928)*0.00206091519919798*VERI_TABANI!G28, 0)))</f>
        <v/>
      </c>
      <c r="H286" s="169">
        <f>(((VERI_TABANI!D23*B286*(VERI_TABANI!$B$13-VERI_TABANI!$B$14)) + (VERI_TABANI!D23*C286*(VERI_TABANI!$B$13-VERI_TABANI!$B$15)) + IF(ISNUMBER(SEARCH("Var", D286)), VERI_TABANI!F23*(0.00202-VERI_TABANI!$B$16), IF(ISNUMBER(SEARCH("Gri", D286)), VERI_TABANI!F23*(0.00202-VERI_TABANI!$B$17), 0))) + ((VERI_TABANI!D24*B286*(VERI_TABANI!$B$13-VERI_TABANI!$B$14)) + (VERI_TABANI!D24*C286*(VERI_TABANI!$B$13-VERI_TABANI!$B$15)) + IF(ISNUMBER(SEARCH("Var", D286)), VERI_TABANI!F24*(0.00202-VERI_TABANI!$B$16), IF(ISNUMBER(SEARCH("Gri", D286)), VERI_TABANI!F24*(0.00202-VERI_TABANI!$B$17), 0))) + ((VERI_TABANI!D25*B286*(VERI_TABANI!$B$13-VERI_TABANI!$B$14)) + (VERI_TABANI!D25*C286*(VERI_TABANI!$B$13-VERI_TABANI!$B$15)) + IF(ISNUMBER(SEARCH("Var", D286)), VERI_TABANI!F25*(0.00202-VERI_TABANI!$B$16), IF(ISNUMBER(SEARCH("Gri", D286)), VERI_TABANI!F25*(0.00202-VERI_TABANI!$B$17), 0))) + ((VERI_TABANI!D26*B286*(VERI_TABANI!$B$13-VERI_TABANI!$B$14)) + (VERI_TABANI!D26*C286*(VERI_TABANI!$B$13-VERI_TABANI!$B$15)) + IF(ISNUMBER(SEARCH("Var", D286)), VERI_TABANI!F26*(0.00202-VERI_TABANI!$B$16), IF(ISNUMBER(SEARCH("Gri", D286)), VERI_TABANI!F26*(0.00202-VERI_TABANI!$B$17), 0))) + ((VERI_TABANI!D27*B286*(VERI_TABANI!$B$13-VERI_TABANI!$B$14)) + (VERI_TABANI!D27*C286*(VERI_TABANI!$B$13-VERI_TABANI!$B$15)) + IF(ISNUMBER(SEARCH("Var", D286)), VERI_TABANI!F27*(0.00202-VERI_TABANI!$B$16), IF(ISNUMBER(SEARCH("Gri", D286)), VERI_TABANI!F27*(0.00202-VERI_TABANI!$B$17), 0))) + ((VERI_TABANI!D28*B286*(VERI_TABANI!$B$13-VERI_TABANI!$B$14)) + (VERI_TABANI!D28*C286*(VERI_TABANI!$B$13-VERI_TABANI!$B$15)) + IF(ISNUMBER(SEARCH("Var", D286)), VERI_TABANI!F28*(0.00202-VERI_TABANI!$B$16), IF(ISNUMBER(SEARCH("Gri", D286)), VERI_TABANI!F28*(0.00202-VERI_TABANI!$B$17), 0))))</f>
        <v/>
      </c>
      <c r="I286" s="170">
        <f>IFERROR(((VERI_TABANI!$D$29*B286*VERI_TABANI!$B$14 + VERI_TABANI!$D$29*C286*VERI_TABANI!$B$15 + IF(ISNUMBER(SEARCH("Var", D286)), VERI_TABANI!$F$29*VERI_TABANI!$B$16, 0))) / (((VERI_TABANI!$D$29*B286 + VERI_TABANI!$D$29*C286)*VERI_TABANI!$B$13 + IF(ISNUMBER(SEARCH("Var", D286)), VERI_TABANI!$E$29*(1-0.928)*VERI_TABANI!$B$18, 0))), 0)</f>
        <v/>
      </c>
      <c r="J286" s="171">
        <f>IFERROR(F286/(G286/29), 0)</f>
        <v/>
      </c>
      <c r="K286" s="172">
        <f>IF(F286&gt;0, H286/F286, 0)</f>
        <v/>
      </c>
      <c r="L286" s="170">
        <f>IF(F286&gt;0, I286, 1000000000)</f>
        <v/>
      </c>
      <c r="M286" s="171">
        <f>ABS((B286+C286)-1)</f>
        <v/>
      </c>
      <c r="N286" s="170">
        <f>IF(F286&gt;0, (G286/29)/F286, 0)</f>
        <v/>
      </c>
      <c r="O286" s="168">
        <f>IF(AND((B286+C286)&gt;=1, ISNUMBER(SEARCH("Var", D286))), F286, 1000000000)</f>
        <v/>
      </c>
      <c r="P286" s="172">
        <f>IF(F286&gt;0, SQRT((F286/MAX(F$5:F$886))^2 + (1 - H286/MAX(H$5:H$886))^2 + (J286/MAX(J$5:J$886))^2), 1000000000)</f>
        <v/>
      </c>
      <c r="Q286" s="166">
        <f>IF(AND(ABS(B286-0.5)&lt;0.01, ABS(C286-0.5)&lt;0.01, ISNUMBER(SEARCH("Var", D286))), 1, 0)</f>
        <v/>
      </c>
      <c r="R286" s="171">
        <f>IF(F286&gt;0, J286, 1000000000)</f>
        <v/>
      </c>
      <c r="S286" s="101">
        <f>IF(AND(F286&lt;=DASHBOARD!$B$11, H286&gt;=DASHBOARD!$B$13), G286, -1000000000000)</f>
        <v/>
      </c>
      <c r="T286" s="101">
        <f>IF(AND(F286&lt;=DASHBOARD!$B$11, H286&gt;=DASHBOARD!$B$13), R286, 1000000000000)</f>
        <v/>
      </c>
      <c r="U286" s="101">
        <f>IF(AND(F286&lt;=DASHBOARD!$B$11, H286&gt;=DASHBOARD!$B$13), N286, -1000000000000)</f>
        <v/>
      </c>
      <c r="V286" s="101">
        <f>IF(AND(F286&lt;=DASHBOARD!$B$11, H286&gt;=DASHBOARD!$B$13), H286, -1000000000000)</f>
        <v/>
      </c>
      <c r="W286" s="101">
        <f>IF(AND(F286&lt;=DASHBOARD!$B$11, H286&gt;=DASHBOARD!$B$13), K286, -1000000000000)</f>
        <v/>
      </c>
      <c r="X286" s="101">
        <f>IF(AND(F286&lt;=DASHBOARD!$B$11, H286&gt;=DASHBOARD!$B$13), M286, 1000000000000)</f>
        <v/>
      </c>
      <c r="Y286" s="101">
        <f>IF(AND(F286&lt;=DASHBOARD!$B$10, H286&gt;=DASHBOARD!$B$11), L286, 1000000000000)</f>
        <v/>
      </c>
      <c r="Z286" s="101">
        <f>IF(AND(F286&lt;=DASHBOARD!$B$10, H286&gt;=DASHBOARD!$B$11), O286, 1000000000000)</f>
        <v/>
      </c>
      <c r="AA286" s="101">
        <f>IF(AND(F286&lt;=DASHBOARD!$B$10, H286&gt;=DASHBOARD!$B$11), P286, 1000000000000)</f>
        <v/>
      </c>
      <c r="AB286" s="101">
        <f>IF(AND(F286&lt;=DASHBOARD!$B$10, H286&gt;=DASHBOARD!$B$11), Q286, -1000000000000)</f>
        <v/>
      </c>
    </row>
    <row r="287" ht="15" customHeight="1" s="102">
      <c r="A287" s="166" t="n">
        <v>283</v>
      </c>
      <c r="B287" s="167" t="n">
        <v>0.6</v>
      </c>
      <c r="C287" s="167" t="n">
        <v>1.5</v>
      </c>
      <c r="D287" s="110" t="inlineStr">
        <is>
          <t>Yok (%0)</t>
        </is>
      </c>
      <c r="E287" s="110">
        <f>IF((B287+C287)&lt;=1, "Tam Mahsuplaşma (≤%100)", "Kısmi Satış (&gt;%100)")</f>
        <v/>
      </c>
      <c r="F287" s="168">
        <f>((VERI_TABANI!$D$29*B287/VERI_TABANI!$B$29)/VERI_TABANI!$B$3)*VERI_TABANI!$B$5 + ((VERI_TABANI!$D$29*C287/VERI_TABANI!$B$29)/VERI_TABANI!$B$4)*VERI_TABANI!$B$6 + IF(ISNUMBER(SEARCH("Var", D287)), (VERI_TABANI!$F$29/VERI_TABANI!$B$29)*(VERI_TABANI!$B$10+VERI_TABANI!$B$12), 0)</f>
        <v/>
      </c>
      <c r="G287" s="168">
        <f>(((MIN(VERI_TABANI!D23, VERI_TABANI!D23*B287)*VERI_TABANI!$B$7 + MAX(0, VERI_TABANI!D23*B287-VERI_TABANI!D23)*VERI_TABANI!$B$8) + (MIN(MAX(0, VERI_TABANI!D23-VERI_TABANI!D23*B287), VERI_TABANI!D23*C287)*VERI_TABANI!$B$7 + MAX(0, VERI_TABANI!D23*C287-MAX(0, VERI_TABANI!D23-VERI_TABANI!D23*B287))*VERI_TABANI!$B$8) + IF(ABS(IF(ISNUMBER(SEARCH("Var", D287)), 1, IF(ISNUMBER(SEARCH("Gri", D287)), -1, 0)))=1, VERI_TABANI!E23*(1-0.928)*VERI_TABANI!$B$9, 0) + (VERI_TABANI!D23*B287*(VERI_TABANI!$B$13-VERI_TABANI!$B$14)*VERI_TABANI!G23) + (VERI_TABANI!D23*C287*(VERI_TABANI!$B$13-VERI_TABANI!$B$15)*VERI_TABANI!G23) + IF(ABS(IF(ISNUMBER(SEARCH("Var", D287)), 1, IF(ISNUMBER(SEARCH("Gri", D287)), -1, 0)))=1, VERI_TABANI!E23*(1-0.928)*0.00206091519919798*VERI_TABANI!G23, 0)) + ((MIN(VERI_TABANI!D24, VERI_TABANI!D24*B287)*VERI_TABANI!$B$7 + MAX(0, VERI_TABANI!D24*B287-VERI_TABANI!D24)*VERI_TABANI!$B$8) + (MIN(MAX(0, VERI_TABANI!D24-VERI_TABANI!D24*B287), VERI_TABANI!D24*C287)*VERI_TABANI!$B$7 + MAX(0, VERI_TABANI!D24*C287-MAX(0, VERI_TABANI!D24-VERI_TABANI!D24*B287))*VERI_TABANI!$B$8) + IF(ABS(IF(ISNUMBER(SEARCH("Var", D287)), 1, IF(ISNUMBER(SEARCH("Gri", D287)), -1, 0)))=1, VERI_TABANI!E24*(1-0.928)*VERI_TABANI!$B$9, 0) + (VERI_TABANI!D24*B287*(VERI_TABANI!$B$13-VERI_TABANI!$B$14)*VERI_TABANI!G24) + (VERI_TABANI!D24*C287*(VERI_TABANI!$B$13-VERI_TABANI!$B$15)*VERI_TABANI!G24) + IF(ABS(IF(ISNUMBER(SEARCH("Var", D287)), 1, IF(ISNUMBER(SEARCH("Gri", D287)), -1, 0)))=1, VERI_TABANI!E24*(1-0.928)*0.00206091519919798*VERI_TABANI!G24, 0)) + ((MIN(VERI_TABANI!D25, VERI_TABANI!D25*B287)*VERI_TABANI!$B$7 + MAX(0, VERI_TABANI!D25*B287-VERI_TABANI!D25)*VERI_TABANI!$B$8) + (MIN(MAX(0, VERI_TABANI!D25-VERI_TABANI!D25*B287), VERI_TABANI!D25*C287)*VERI_TABANI!$B$7 + MAX(0, VERI_TABANI!D25*C287-MAX(0, VERI_TABANI!D25-VERI_TABANI!D25*B287))*VERI_TABANI!$B$8) + IF(ABS(IF(ISNUMBER(SEARCH("Var", D287)), 1, IF(ISNUMBER(SEARCH("Gri", D287)), -1, 0)))=1, VERI_TABANI!E25*(1-0.928)*VERI_TABANI!$B$9, 0) + (VERI_TABANI!D25*B287*(VERI_TABANI!$B$13-VERI_TABANI!$B$14)*VERI_TABANI!G25) + (VERI_TABANI!D25*C287*(VERI_TABANI!$B$13-VERI_TABANI!$B$15)*VERI_TABANI!G25) + IF(ABS(IF(ISNUMBER(SEARCH("Var", D287)), 1, IF(ISNUMBER(SEARCH("Gri", D287)), -1, 0)))=1, VERI_TABANI!E25*(1-0.928)*0.00206091519919798*VERI_TABANI!G25, 0)) + ((MIN(VERI_TABANI!D26, VERI_TABANI!D26*B287)*VERI_TABANI!$B$7 + MAX(0, VERI_TABANI!D26*B287-VERI_TABANI!D26)*VERI_TABANI!$B$8) + (MIN(MAX(0, VERI_TABANI!D26-VERI_TABANI!D26*B287), VERI_TABANI!D26*C287)*VERI_TABANI!$B$7 + MAX(0, VERI_TABANI!D26*C287-MAX(0, VERI_TABANI!D26-VERI_TABANI!D26*B287))*VERI_TABANI!$B$8) + IF(ABS(IF(ISNUMBER(SEARCH("Var", D287)), 1, IF(ISNUMBER(SEARCH("Gri", D287)), -1, 0)))=1, VERI_TABANI!E26*(1-0.928)*VERI_TABANI!$B$9, 0) + (VERI_TABANI!D26*B287*(VERI_TABANI!$B$13-VERI_TABANI!$B$14)*VERI_TABANI!G26) + (VERI_TABANI!D26*C287*(VERI_TABANI!$B$13-VERI_TABANI!$B$15)*VERI_TABANI!G26) + IF(ABS(IF(ISNUMBER(SEARCH("Var", D287)), 1, IF(ISNUMBER(SEARCH("Gri", D287)), -1, 0)))=1, VERI_TABANI!E26*(1-0.928)*0.00206091519919798*VERI_TABANI!G26, 0)) + ((MIN(VERI_TABANI!D27, VERI_TABANI!D27*B287)*VERI_TABANI!$B$7 + MAX(0, VERI_TABANI!D27*B287-VERI_TABANI!D27)*VERI_TABANI!$B$8) + (MIN(MAX(0, VERI_TABANI!D27-VERI_TABANI!D27*B287), VERI_TABANI!D27*C287)*VERI_TABANI!$B$7 + MAX(0, VERI_TABANI!D27*C287-MAX(0, VERI_TABANI!D27-VERI_TABANI!D27*B287))*VERI_TABANI!$B$8) + IF(ABS(IF(ISNUMBER(SEARCH("Var", D287)), 1, IF(ISNUMBER(SEARCH("Gri", D287)), -1, 0)))=1, VERI_TABANI!E27*(1-0.928)*VERI_TABANI!$B$9, 0) + (VERI_TABANI!D27*B287*(VERI_TABANI!$B$13-VERI_TABANI!$B$14)*VERI_TABANI!G27) + (VERI_TABANI!D27*C287*(VERI_TABANI!$B$13-VERI_TABANI!$B$15)*VERI_TABANI!G27) + IF(ABS(IF(ISNUMBER(SEARCH("Var", D287)), 1, IF(ISNUMBER(SEARCH("Gri", D287)), -1, 0)))=1, VERI_TABANI!E27*(1-0.928)*0.00206091519919798*VERI_TABANI!G27, 0)) + ((MIN(VERI_TABANI!D28, VERI_TABANI!D28*B287)*VERI_TABANI!$B$7 + MAX(0, VERI_TABANI!D28*B287-VERI_TABANI!D28)*VERI_TABANI!$B$8) + (MIN(MAX(0, VERI_TABANI!D28-VERI_TABANI!D28*B287), VERI_TABANI!D28*C287)*VERI_TABANI!$B$7 + MAX(0, VERI_TABANI!D28*C287-MAX(0, VERI_TABANI!D28-VERI_TABANI!D28*B287))*VERI_TABANI!$B$8) + IF(ABS(IF(ISNUMBER(SEARCH("Var", D287)), 1, IF(ISNUMBER(SEARCH("Gri", D287)), -1, 0)))=1, VERI_TABANI!E28*(1-0.928)*VERI_TABANI!$B$9, 0) + (VERI_TABANI!D28*B287*(VERI_TABANI!$B$13-VERI_TABANI!$B$14)*VERI_TABANI!G28) + (VERI_TABANI!D28*C287*(VERI_TABANI!$B$13-VERI_TABANI!$B$15)*VERI_TABANI!G28) + IF(ABS(IF(ISNUMBER(SEARCH("Var", D287)), 1, IF(ISNUMBER(SEARCH("Gri", D287)), -1, 0)))=1, VERI_TABANI!E28*(1-0.928)*0.00206091519919798*VERI_TABANI!G28, 0)))</f>
        <v/>
      </c>
      <c r="H287" s="169">
        <f>(((VERI_TABANI!D23*B287*(VERI_TABANI!$B$13-VERI_TABANI!$B$14)) + (VERI_TABANI!D23*C287*(VERI_TABANI!$B$13-VERI_TABANI!$B$15)) + IF(ISNUMBER(SEARCH("Var", D287)), VERI_TABANI!F23*(0.00202-VERI_TABANI!$B$16), IF(ISNUMBER(SEARCH("Gri", D287)), VERI_TABANI!F23*(0.00202-VERI_TABANI!$B$17), 0))) + ((VERI_TABANI!D24*B287*(VERI_TABANI!$B$13-VERI_TABANI!$B$14)) + (VERI_TABANI!D24*C287*(VERI_TABANI!$B$13-VERI_TABANI!$B$15)) + IF(ISNUMBER(SEARCH("Var", D287)), VERI_TABANI!F24*(0.00202-VERI_TABANI!$B$16), IF(ISNUMBER(SEARCH("Gri", D287)), VERI_TABANI!F24*(0.00202-VERI_TABANI!$B$17), 0))) + ((VERI_TABANI!D25*B287*(VERI_TABANI!$B$13-VERI_TABANI!$B$14)) + (VERI_TABANI!D25*C287*(VERI_TABANI!$B$13-VERI_TABANI!$B$15)) + IF(ISNUMBER(SEARCH("Var", D287)), VERI_TABANI!F25*(0.00202-VERI_TABANI!$B$16), IF(ISNUMBER(SEARCH("Gri", D287)), VERI_TABANI!F25*(0.00202-VERI_TABANI!$B$17), 0))) + ((VERI_TABANI!D26*B287*(VERI_TABANI!$B$13-VERI_TABANI!$B$14)) + (VERI_TABANI!D26*C287*(VERI_TABANI!$B$13-VERI_TABANI!$B$15)) + IF(ISNUMBER(SEARCH("Var", D287)), VERI_TABANI!F26*(0.00202-VERI_TABANI!$B$16), IF(ISNUMBER(SEARCH("Gri", D287)), VERI_TABANI!F26*(0.00202-VERI_TABANI!$B$17), 0))) + ((VERI_TABANI!D27*B287*(VERI_TABANI!$B$13-VERI_TABANI!$B$14)) + (VERI_TABANI!D27*C287*(VERI_TABANI!$B$13-VERI_TABANI!$B$15)) + IF(ISNUMBER(SEARCH("Var", D287)), VERI_TABANI!F27*(0.00202-VERI_TABANI!$B$16), IF(ISNUMBER(SEARCH("Gri", D287)), VERI_TABANI!F27*(0.00202-VERI_TABANI!$B$17), 0))) + ((VERI_TABANI!D28*B287*(VERI_TABANI!$B$13-VERI_TABANI!$B$14)) + (VERI_TABANI!D28*C287*(VERI_TABANI!$B$13-VERI_TABANI!$B$15)) + IF(ISNUMBER(SEARCH("Var", D287)), VERI_TABANI!F28*(0.00202-VERI_TABANI!$B$16), IF(ISNUMBER(SEARCH("Gri", D287)), VERI_TABANI!F28*(0.00202-VERI_TABANI!$B$17), 0))))</f>
        <v/>
      </c>
      <c r="I287" s="170">
        <f>IFERROR(((VERI_TABANI!$D$29*B287*VERI_TABANI!$B$14 + VERI_TABANI!$D$29*C287*VERI_TABANI!$B$15 + IF(ISNUMBER(SEARCH("Var", D287)), VERI_TABANI!$F$29*VERI_TABANI!$B$16, 0))) / (((VERI_TABANI!$D$29*B287 + VERI_TABANI!$D$29*C287)*VERI_TABANI!$B$13 + IF(ISNUMBER(SEARCH("Var", D287)), VERI_TABANI!$E$29*(1-0.928)*VERI_TABANI!$B$18, 0))), 0)</f>
        <v/>
      </c>
      <c r="J287" s="171">
        <f>IFERROR(F287/(G287/29), 0)</f>
        <v/>
      </c>
      <c r="K287" s="172">
        <f>IF(F287&gt;0, H287/F287, 0)</f>
        <v/>
      </c>
      <c r="L287" s="170">
        <f>IF(F287&gt;0, I287, 1000000000)</f>
        <v/>
      </c>
      <c r="M287" s="171">
        <f>ABS((B287+C287)-1)</f>
        <v/>
      </c>
      <c r="N287" s="170">
        <f>IF(F287&gt;0, (G287/29)/F287, 0)</f>
        <v/>
      </c>
      <c r="O287" s="168">
        <f>IF(AND((B287+C287)&gt;=1, ISNUMBER(SEARCH("Var", D287))), F287, 1000000000)</f>
        <v/>
      </c>
      <c r="P287" s="172">
        <f>IF(F287&gt;0, SQRT((F287/MAX(F$5:F$886))^2 + (1 - H287/MAX(H$5:H$886))^2 + (J287/MAX(J$5:J$886))^2), 1000000000)</f>
        <v/>
      </c>
      <c r="Q287" s="166">
        <f>IF(AND(ABS(B287-0.5)&lt;0.01, ABS(C287-0.5)&lt;0.01, ISNUMBER(SEARCH("Var", D287))), 1, 0)</f>
        <v/>
      </c>
      <c r="R287" s="171">
        <f>IF(F287&gt;0, J287, 1000000000)</f>
        <v/>
      </c>
      <c r="S287" s="101">
        <f>IF(AND(F287&lt;=DASHBOARD!$B$11, H287&gt;=DASHBOARD!$B$13), G287, -1000000000000)</f>
        <v/>
      </c>
      <c r="T287" s="101">
        <f>IF(AND(F287&lt;=DASHBOARD!$B$11, H287&gt;=DASHBOARD!$B$13), R287, 1000000000000)</f>
        <v/>
      </c>
      <c r="U287" s="101">
        <f>IF(AND(F287&lt;=DASHBOARD!$B$11, H287&gt;=DASHBOARD!$B$13), N287, -1000000000000)</f>
        <v/>
      </c>
      <c r="V287" s="101">
        <f>IF(AND(F287&lt;=DASHBOARD!$B$11, H287&gt;=DASHBOARD!$B$13), H287, -1000000000000)</f>
        <v/>
      </c>
      <c r="W287" s="101">
        <f>IF(AND(F287&lt;=DASHBOARD!$B$11, H287&gt;=DASHBOARD!$B$13), K287, -1000000000000)</f>
        <v/>
      </c>
      <c r="X287" s="101">
        <f>IF(AND(F287&lt;=DASHBOARD!$B$11, H287&gt;=DASHBOARD!$B$13), M287, 1000000000000)</f>
        <v/>
      </c>
      <c r="Y287" s="101">
        <f>IF(AND(F287&lt;=DASHBOARD!$B$10, H287&gt;=DASHBOARD!$B$11), L287, 1000000000000)</f>
        <v/>
      </c>
      <c r="Z287" s="101">
        <f>IF(AND(F287&lt;=DASHBOARD!$B$10, H287&gt;=DASHBOARD!$B$11), O287, 1000000000000)</f>
        <v/>
      </c>
      <c r="AA287" s="101">
        <f>IF(AND(F287&lt;=DASHBOARD!$B$10, H287&gt;=DASHBOARD!$B$11), P287, 1000000000000)</f>
        <v/>
      </c>
      <c r="AB287" s="101">
        <f>IF(AND(F287&lt;=DASHBOARD!$B$10, H287&gt;=DASHBOARD!$B$11), Q287, -1000000000000)</f>
        <v/>
      </c>
    </row>
    <row r="288" ht="15" customHeight="1" s="102">
      <c r="A288" s="166" t="n">
        <v>284</v>
      </c>
      <c r="B288" s="167" t="n">
        <v>0.6</v>
      </c>
      <c r="C288" s="167" t="n">
        <v>1.5</v>
      </c>
      <c r="D288" s="110" t="inlineStr">
        <is>
          <t>Var (%20)</t>
        </is>
      </c>
      <c r="E288" s="110">
        <f>IF((B288+C288)&lt;=1, "Tam Mahsuplaşma (≤%100)", "Kısmi Satış (&gt;%100)")</f>
        <v/>
      </c>
      <c r="F288" s="168">
        <f>((VERI_TABANI!$D$29*B288/VERI_TABANI!$B$29)/VERI_TABANI!$B$3)*VERI_TABANI!$B$5 + ((VERI_TABANI!$D$29*C288/VERI_TABANI!$B$29)/VERI_TABANI!$B$4)*VERI_TABANI!$B$6 + IF(ISNUMBER(SEARCH("Var", D288)), (VERI_TABANI!$F$29/VERI_TABANI!$B$29)*(VERI_TABANI!$B$10+VERI_TABANI!$B$12), 0)</f>
        <v/>
      </c>
      <c r="G288" s="168">
        <f>(((MIN(VERI_TABANI!D23, VERI_TABANI!D23*B288)*VERI_TABANI!$B$7 + MAX(0, VERI_TABANI!D23*B288-VERI_TABANI!D23)*VERI_TABANI!$B$8) + (MIN(MAX(0, VERI_TABANI!D23-VERI_TABANI!D23*B288), VERI_TABANI!D23*C288)*VERI_TABANI!$B$7 + MAX(0, VERI_TABANI!D23*C288-MAX(0, VERI_TABANI!D23-VERI_TABANI!D23*B288))*VERI_TABANI!$B$8) + IF(ABS(IF(ISNUMBER(SEARCH("Var", D288)), 1, IF(ISNUMBER(SEARCH("Gri", D288)), -1, 0)))=1, VERI_TABANI!E23*(1-0.928)*VERI_TABANI!$B$9, 0) + (VERI_TABANI!D23*B288*(VERI_TABANI!$B$13-VERI_TABANI!$B$14)*VERI_TABANI!G23) + (VERI_TABANI!D23*C288*(VERI_TABANI!$B$13-VERI_TABANI!$B$15)*VERI_TABANI!G23) + IF(ABS(IF(ISNUMBER(SEARCH("Var", D288)), 1, IF(ISNUMBER(SEARCH("Gri", D288)), -1, 0)))=1, VERI_TABANI!E23*(1-0.928)*0.00206091519919798*VERI_TABANI!G23, 0)) + ((MIN(VERI_TABANI!D24, VERI_TABANI!D24*B288)*VERI_TABANI!$B$7 + MAX(0, VERI_TABANI!D24*B288-VERI_TABANI!D24)*VERI_TABANI!$B$8) + (MIN(MAX(0, VERI_TABANI!D24-VERI_TABANI!D24*B288), VERI_TABANI!D24*C288)*VERI_TABANI!$B$7 + MAX(0, VERI_TABANI!D24*C288-MAX(0, VERI_TABANI!D24-VERI_TABANI!D24*B288))*VERI_TABANI!$B$8) + IF(ABS(IF(ISNUMBER(SEARCH("Var", D288)), 1, IF(ISNUMBER(SEARCH("Gri", D288)), -1, 0)))=1, VERI_TABANI!E24*(1-0.928)*VERI_TABANI!$B$9, 0) + (VERI_TABANI!D24*B288*(VERI_TABANI!$B$13-VERI_TABANI!$B$14)*VERI_TABANI!G24) + (VERI_TABANI!D24*C288*(VERI_TABANI!$B$13-VERI_TABANI!$B$15)*VERI_TABANI!G24) + IF(ABS(IF(ISNUMBER(SEARCH("Var", D288)), 1, IF(ISNUMBER(SEARCH("Gri", D288)), -1, 0)))=1, VERI_TABANI!E24*(1-0.928)*0.00206091519919798*VERI_TABANI!G24, 0)) + ((MIN(VERI_TABANI!D25, VERI_TABANI!D25*B288)*VERI_TABANI!$B$7 + MAX(0, VERI_TABANI!D25*B288-VERI_TABANI!D25)*VERI_TABANI!$B$8) + (MIN(MAX(0, VERI_TABANI!D25-VERI_TABANI!D25*B288), VERI_TABANI!D25*C288)*VERI_TABANI!$B$7 + MAX(0, VERI_TABANI!D25*C288-MAX(0, VERI_TABANI!D25-VERI_TABANI!D25*B288))*VERI_TABANI!$B$8) + IF(ABS(IF(ISNUMBER(SEARCH("Var", D288)), 1, IF(ISNUMBER(SEARCH("Gri", D288)), -1, 0)))=1, VERI_TABANI!E25*(1-0.928)*VERI_TABANI!$B$9, 0) + (VERI_TABANI!D25*B288*(VERI_TABANI!$B$13-VERI_TABANI!$B$14)*VERI_TABANI!G25) + (VERI_TABANI!D25*C288*(VERI_TABANI!$B$13-VERI_TABANI!$B$15)*VERI_TABANI!G25) + IF(ABS(IF(ISNUMBER(SEARCH("Var", D288)), 1, IF(ISNUMBER(SEARCH("Gri", D288)), -1, 0)))=1, VERI_TABANI!E25*(1-0.928)*0.00206091519919798*VERI_TABANI!G25, 0)) + ((MIN(VERI_TABANI!D26, VERI_TABANI!D26*B288)*VERI_TABANI!$B$7 + MAX(0, VERI_TABANI!D26*B288-VERI_TABANI!D26)*VERI_TABANI!$B$8) + (MIN(MAX(0, VERI_TABANI!D26-VERI_TABANI!D26*B288), VERI_TABANI!D26*C288)*VERI_TABANI!$B$7 + MAX(0, VERI_TABANI!D26*C288-MAX(0, VERI_TABANI!D26-VERI_TABANI!D26*B288))*VERI_TABANI!$B$8) + IF(ABS(IF(ISNUMBER(SEARCH("Var", D288)), 1, IF(ISNUMBER(SEARCH("Gri", D288)), -1, 0)))=1, VERI_TABANI!E26*(1-0.928)*VERI_TABANI!$B$9, 0) + (VERI_TABANI!D26*B288*(VERI_TABANI!$B$13-VERI_TABANI!$B$14)*VERI_TABANI!G26) + (VERI_TABANI!D26*C288*(VERI_TABANI!$B$13-VERI_TABANI!$B$15)*VERI_TABANI!G26) + IF(ABS(IF(ISNUMBER(SEARCH("Var", D288)), 1, IF(ISNUMBER(SEARCH("Gri", D288)), -1, 0)))=1, VERI_TABANI!E26*(1-0.928)*0.00206091519919798*VERI_TABANI!G26, 0)) + ((MIN(VERI_TABANI!D27, VERI_TABANI!D27*B288)*VERI_TABANI!$B$7 + MAX(0, VERI_TABANI!D27*B288-VERI_TABANI!D27)*VERI_TABANI!$B$8) + (MIN(MAX(0, VERI_TABANI!D27-VERI_TABANI!D27*B288), VERI_TABANI!D27*C288)*VERI_TABANI!$B$7 + MAX(0, VERI_TABANI!D27*C288-MAX(0, VERI_TABANI!D27-VERI_TABANI!D27*B288))*VERI_TABANI!$B$8) + IF(ABS(IF(ISNUMBER(SEARCH("Var", D288)), 1, IF(ISNUMBER(SEARCH("Gri", D288)), -1, 0)))=1, VERI_TABANI!E27*(1-0.928)*VERI_TABANI!$B$9, 0) + (VERI_TABANI!D27*B288*(VERI_TABANI!$B$13-VERI_TABANI!$B$14)*VERI_TABANI!G27) + (VERI_TABANI!D27*C288*(VERI_TABANI!$B$13-VERI_TABANI!$B$15)*VERI_TABANI!G27) + IF(ABS(IF(ISNUMBER(SEARCH("Var", D288)), 1, IF(ISNUMBER(SEARCH("Gri", D288)), -1, 0)))=1, VERI_TABANI!E27*(1-0.928)*0.00206091519919798*VERI_TABANI!G27, 0)) + ((MIN(VERI_TABANI!D28, VERI_TABANI!D28*B288)*VERI_TABANI!$B$7 + MAX(0, VERI_TABANI!D28*B288-VERI_TABANI!D28)*VERI_TABANI!$B$8) + (MIN(MAX(0, VERI_TABANI!D28-VERI_TABANI!D28*B288), VERI_TABANI!D28*C288)*VERI_TABANI!$B$7 + MAX(0, VERI_TABANI!D28*C288-MAX(0, VERI_TABANI!D28-VERI_TABANI!D28*B288))*VERI_TABANI!$B$8) + IF(ABS(IF(ISNUMBER(SEARCH("Var", D288)), 1, IF(ISNUMBER(SEARCH("Gri", D288)), -1, 0)))=1, VERI_TABANI!E28*(1-0.928)*VERI_TABANI!$B$9, 0) + (VERI_TABANI!D28*B288*(VERI_TABANI!$B$13-VERI_TABANI!$B$14)*VERI_TABANI!G28) + (VERI_TABANI!D28*C288*(VERI_TABANI!$B$13-VERI_TABANI!$B$15)*VERI_TABANI!G28) + IF(ABS(IF(ISNUMBER(SEARCH("Var", D288)), 1, IF(ISNUMBER(SEARCH("Gri", D288)), -1, 0)))=1, VERI_TABANI!E28*(1-0.928)*0.00206091519919798*VERI_TABANI!G28, 0)))</f>
        <v/>
      </c>
      <c r="H288" s="169">
        <f>(((VERI_TABANI!D23*B288*(VERI_TABANI!$B$13-VERI_TABANI!$B$14)) + (VERI_TABANI!D23*C288*(VERI_TABANI!$B$13-VERI_TABANI!$B$15)) + IF(ISNUMBER(SEARCH("Var", D288)), VERI_TABANI!F23*(0.00202-VERI_TABANI!$B$16), IF(ISNUMBER(SEARCH("Gri", D288)), VERI_TABANI!F23*(0.00202-VERI_TABANI!$B$17), 0))) + ((VERI_TABANI!D24*B288*(VERI_TABANI!$B$13-VERI_TABANI!$B$14)) + (VERI_TABANI!D24*C288*(VERI_TABANI!$B$13-VERI_TABANI!$B$15)) + IF(ISNUMBER(SEARCH("Var", D288)), VERI_TABANI!F24*(0.00202-VERI_TABANI!$B$16), IF(ISNUMBER(SEARCH("Gri", D288)), VERI_TABANI!F24*(0.00202-VERI_TABANI!$B$17), 0))) + ((VERI_TABANI!D25*B288*(VERI_TABANI!$B$13-VERI_TABANI!$B$14)) + (VERI_TABANI!D25*C288*(VERI_TABANI!$B$13-VERI_TABANI!$B$15)) + IF(ISNUMBER(SEARCH("Var", D288)), VERI_TABANI!F25*(0.00202-VERI_TABANI!$B$16), IF(ISNUMBER(SEARCH("Gri", D288)), VERI_TABANI!F25*(0.00202-VERI_TABANI!$B$17), 0))) + ((VERI_TABANI!D26*B288*(VERI_TABANI!$B$13-VERI_TABANI!$B$14)) + (VERI_TABANI!D26*C288*(VERI_TABANI!$B$13-VERI_TABANI!$B$15)) + IF(ISNUMBER(SEARCH("Var", D288)), VERI_TABANI!F26*(0.00202-VERI_TABANI!$B$16), IF(ISNUMBER(SEARCH("Gri", D288)), VERI_TABANI!F26*(0.00202-VERI_TABANI!$B$17), 0))) + ((VERI_TABANI!D27*B288*(VERI_TABANI!$B$13-VERI_TABANI!$B$14)) + (VERI_TABANI!D27*C288*(VERI_TABANI!$B$13-VERI_TABANI!$B$15)) + IF(ISNUMBER(SEARCH("Var", D288)), VERI_TABANI!F27*(0.00202-VERI_TABANI!$B$16), IF(ISNUMBER(SEARCH("Gri", D288)), VERI_TABANI!F27*(0.00202-VERI_TABANI!$B$17), 0))) + ((VERI_TABANI!D28*B288*(VERI_TABANI!$B$13-VERI_TABANI!$B$14)) + (VERI_TABANI!D28*C288*(VERI_TABANI!$B$13-VERI_TABANI!$B$15)) + IF(ISNUMBER(SEARCH("Var", D288)), VERI_TABANI!F28*(0.00202-VERI_TABANI!$B$16), IF(ISNUMBER(SEARCH("Gri", D288)), VERI_TABANI!F28*(0.00202-VERI_TABANI!$B$17), 0))))</f>
        <v/>
      </c>
      <c r="I288" s="170">
        <f>IFERROR(((VERI_TABANI!$D$29*B288*VERI_TABANI!$B$14 + VERI_TABANI!$D$29*C288*VERI_TABANI!$B$15 + IF(ISNUMBER(SEARCH("Var", D288)), VERI_TABANI!$F$29*VERI_TABANI!$B$16, 0))) / (((VERI_TABANI!$D$29*B288 + VERI_TABANI!$D$29*C288)*VERI_TABANI!$B$13 + IF(ISNUMBER(SEARCH("Var", D288)), VERI_TABANI!$E$29*(1-0.928)*VERI_TABANI!$B$18, 0))), 0)</f>
        <v/>
      </c>
      <c r="J288" s="171">
        <f>IFERROR(F288/(G288/29), 0)</f>
        <v/>
      </c>
      <c r="K288" s="172">
        <f>IF(F288&gt;0, H288/F288, 0)</f>
        <v/>
      </c>
      <c r="L288" s="170">
        <f>IF(F288&gt;0, I288, 1000000000)</f>
        <v/>
      </c>
      <c r="M288" s="171">
        <f>ABS((B288+C288)-1)</f>
        <v/>
      </c>
      <c r="N288" s="170">
        <f>IF(F288&gt;0, (G288/29)/F288, 0)</f>
        <v/>
      </c>
      <c r="O288" s="168">
        <f>IF(AND((B288+C288)&gt;=1, ISNUMBER(SEARCH("Var", D288))), F288, 1000000000)</f>
        <v/>
      </c>
      <c r="P288" s="172">
        <f>IF(F288&gt;0, SQRT((F288/MAX(F$5:F$886))^2 + (1 - H288/MAX(H$5:H$886))^2 + (J288/MAX(J$5:J$886))^2), 1000000000)</f>
        <v/>
      </c>
      <c r="Q288" s="166">
        <f>IF(AND(ABS(B288-0.5)&lt;0.01, ABS(C288-0.5)&lt;0.01, ISNUMBER(SEARCH("Var", D288))), 1, 0)</f>
        <v/>
      </c>
      <c r="R288" s="171">
        <f>IF(F288&gt;0, J288, 1000000000)</f>
        <v/>
      </c>
      <c r="S288" s="101">
        <f>IF(AND(F288&lt;=DASHBOARD!$B$11, H288&gt;=DASHBOARD!$B$13), G288, -1000000000000)</f>
        <v/>
      </c>
      <c r="T288" s="101">
        <f>IF(AND(F288&lt;=DASHBOARD!$B$11, H288&gt;=DASHBOARD!$B$13), R288, 1000000000000)</f>
        <v/>
      </c>
      <c r="U288" s="101">
        <f>IF(AND(F288&lt;=DASHBOARD!$B$11, H288&gt;=DASHBOARD!$B$13), N288, -1000000000000)</f>
        <v/>
      </c>
      <c r="V288" s="101">
        <f>IF(AND(F288&lt;=DASHBOARD!$B$11, H288&gt;=DASHBOARD!$B$13), H288, -1000000000000)</f>
        <v/>
      </c>
      <c r="W288" s="101">
        <f>IF(AND(F288&lt;=DASHBOARD!$B$11, H288&gt;=DASHBOARD!$B$13), K288, -1000000000000)</f>
        <v/>
      </c>
      <c r="X288" s="101">
        <f>IF(AND(F288&lt;=DASHBOARD!$B$11, H288&gt;=DASHBOARD!$B$13), M288, 1000000000000)</f>
        <v/>
      </c>
      <c r="Y288" s="101">
        <f>IF(AND(F288&lt;=DASHBOARD!$B$10, H288&gt;=DASHBOARD!$B$11), L288, 1000000000000)</f>
        <v/>
      </c>
      <c r="Z288" s="101">
        <f>IF(AND(F288&lt;=DASHBOARD!$B$10, H288&gt;=DASHBOARD!$B$11), O288, 1000000000000)</f>
        <v/>
      </c>
      <c r="AA288" s="101">
        <f>IF(AND(F288&lt;=DASHBOARD!$B$10, H288&gt;=DASHBOARD!$B$11), P288, 1000000000000)</f>
        <v/>
      </c>
      <c r="AB288" s="101">
        <f>IF(AND(F288&lt;=DASHBOARD!$B$10, H288&gt;=DASHBOARD!$B$11), Q288, -1000000000000)</f>
        <v/>
      </c>
    </row>
    <row r="289" ht="15" customHeight="1" s="102">
      <c r="A289" s="166" t="n">
        <v>285</v>
      </c>
      <c r="B289" s="167" t="n">
        <v>0.6</v>
      </c>
      <c r="C289" s="167" t="n">
        <v>1.6</v>
      </c>
      <c r="D289" s="110" t="inlineStr">
        <is>
          <t>Yok (%0)</t>
        </is>
      </c>
      <c r="E289" s="110">
        <f>IF((B289+C289)&lt;=1, "Tam Mahsuplaşma (≤%100)", "Kısmi Satış (&gt;%100)")</f>
        <v/>
      </c>
      <c r="F289" s="168">
        <f>((VERI_TABANI!$D$29*B289/VERI_TABANI!$B$29)/VERI_TABANI!$B$3)*VERI_TABANI!$B$5 + ((VERI_TABANI!$D$29*C289/VERI_TABANI!$B$29)/VERI_TABANI!$B$4)*VERI_TABANI!$B$6 + IF(ISNUMBER(SEARCH("Var", D289)), (VERI_TABANI!$F$29/VERI_TABANI!$B$29)*(VERI_TABANI!$B$10+VERI_TABANI!$B$12), 0)</f>
        <v/>
      </c>
      <c r="G289" s="168">
        <f>(((MIN(VERI_TABANI!D23, VERI_TABANI!D23*B289)*VERI_TABANI!$B$7 + MAX(0, VERI_TABANI!D23*B289-VERI_TABANI!D23)*VERI_TABANI!$B$8) + (MIN(MAX(0, VERI_TABANI!D23-VERI_TABANI!D23*B289), VERI_TABANI!D23*C289)*VERI_TABANI!$B$7 + MAX(0, VERI_TABANI!D23*C289-MAX(0, VERI_TABANI!D23-VERI_TABANI!D23*B289))*VERI_TABANI!$B$8) + IF(ABS(IF(ISNUMBER(SEARCH("Var", D289)), 1, IF(ISNUMBER(SEARCH("Gri", D289)), -1, 0)))=1, VERI_TABANI!E23*(1-0.928)*VERI_TABANI!$B$9, 0) + (VERI_TABANI!D23*B289*(VERI_TABANI!$B$13-VERI_TABANI!$B$14)*VERI_TABANI!G23) + (VERI_TABANI!D23*C289*(VERI_TABANI!$B$13-VERI_TABANI!$B$15)*VERI_TABANI!G23) + IF(ABS(IF(ISNUMBER(SEARCH("Var", D289)), 1, IF(ISNUMBER(SEARCH("Gri", D289)), -1, 0)))=1, VERI_TABANI!E23*(1-0.928)*0.00206091519919798*VERI_TABANI!G23, 0)) + ((MIN(VERI_TABANI!D24, VERI_TABANI!D24*B289)*VERI_TABANI!$B$7 + MAX(0, VERI_TABANI!D24*B289-VERI_TABANI!D24)*VERI_TABANI!$B$8) + (MIN(MAX(0, VERI_TABANI!D24-VERI_TABANI!D24*B289), VERI_TABANI!D24*C289)*VERI_TABANI!$B$7 + MAX(0, VERI_TABANI!D24*C289-MAX(0, VERI_TABANI!D24-VERI_TABANI!D24*B289))*VERI_TABANI!$B$8) + IF(ABS(IF(ISNUMBER(SEARCH("Var", D289)), 1, IF(ISNUMBER(SEARCH("Gri", D289)), -1, 0)))=1, VERI_TABANI!E24*(1-0.928)*VERI_TABANI!$B$9, 0) + (VERI_TABANI!D24*B289*(VERI_TABANI!$B$13-VERI_TABANI!$B$14)*VERI_TABANI!G24) + (VERI_TABANI!D24*C289*(VERI_TABANI!$B$13-VERI_TABANI!$B$15)*VERI_TABANI!G24) + IF(ABS(IF(ISNUMBER(SEARCH("Var", D289)), 1, IF(ISNUMBER(SEARCH("Gri", D289)), -1, 0)))=1, VERI_TABANI!E24*(1-0.928)*0.00206091519919798*VERI_TABANI!G24, 0)) + ((MIN(VERI_TABANI!D25, VERI_TABANI!D25*B289)*VERI_TABANI!$B$7 + MAX(0, VERI_TABANI!D25*B289-VERI_TABANI!D25)*VERI_TABANI!$B$8) + (MIN(MAX(0, VERI_TABANI!D25-VERI_TABANI!D25*B289), VERI_TABANI!D25*C289)*VERI_TABANI!$B$7 + MAX(0, VERI_TABANI!D25*C289-MAX(0, VERI_TABANI!D25-VERI_TABANI!D25*B289))*VERI_TABANI!$B$8) + IF(ABS(IF(ISNUMBER(SEARCH("Var", D289)), 1, IF(ISNUMBER(SEARCH("Gri", D289)), -1, 0)))=1, VERI_TABANI!E25*(1-0.928)*VERI_TABANI!$B$9, 0) + (VERI_TABANI!D25*B289*(VERI_TABANI!$B$13-VERI_TABANI!$B$14)*VERI_TABANI!G25) + (VERI_TABANI!D25*C289*(VERI_TABANI!$B$13-VERI_TABANI!$B$15)*VERI_TABANI!G25) + IF(ABS(IF(ISNUMBER(SEARCH("Var", D289)), 1, IF(ISNUMBER(SEARCH("Gri", D289)), -1, 0)))=1, VERI_TABANI!E25*(1-0.928)*0.00206091519919798*VERI_TABANI!G25, 0)) + ((MIN(VERI_TABANI!D26, VERI_TABANI!D26*B289)*VERI_TABANI!$B$7 + MAX(0, VERI_TABANI!D26*B289-VERI_TABANI!D26)*VERI_TABANI!$B$8) + (MIN(MAX(0, VERI_TABANI!D26-VERI_TABANI!D26*B289), VERI_TABANI!D26*C289)*VERI_TABANI!$B$7 + MAX(0, VERI_TABANI!D26*C289-MAX(0, VERI_TABANI!D26-VERI_TABANI!D26*B289))*VERI_TABANI!$B$8) + IF(ABS(IF(ISNUMBER(SEARCH("Var", D289)), 1, IF(ISNUMBER(SEARCH("Gri", D289)), -1, 0)))=1, VERI_TABANI!E26*(1-0.928)*VERI_TABANI!$B$9, 0) + (VERI_TABANI!D26*B289*(VERI_TABANI!$B$13-VERI_TABANI!$B$14)*VERI_TABANI!G26) + (VERI_TABANI!D26*C289*(VERI_TABANI!$B$13-VERI_TABANI!$B$15)*VERI_TABANI!G26) + IF(ABS(IF(ISNUMBER(SEARCH("Var", D289)), 1, IF(ISNUMBER(SEARCH("Gri", D289)), -1, 0)))=1, VERI_TABANI!E26*(1-0.928)*0.00206091519919798*VERI_TABANI!G26, 0)) + ((MIN(VERI_TABANI!D27, VERI_TABANI!D27*B289)*VERI_TABANI!$B$7 + MAX(0, VERI_TABANI!D27*B289-VERI_TABANI!D27)*VERI_TABANI!$B$8) + (MIN(MAX(0, VERI_TABANI!D27-VERI_TABANI!D27*B289), VERI_TABANI!D27*C289)*VERI_TABANI!$B$7 + MAX(0, VERI_TABANI!D27*C289-MAX(0, VERI_TABANI!D27-VERI_TABANI!D27*B289))*VERI_TABANI!$B$8) + IF(ABS(IF(ISNUMBER(SEARCH("Var", D289)), 1, IF(ISNUMBER(SEARCH("Gri", D289)), -1, 0)))=1, VERI_TABANI!E27*(1-0.928)*VERI_TABANI!$B$9, 0) + (VERI_TABANI!D27*B289*(VERI_TABANI!$B$13-VERI_TABANI!$B$14)*VERI_TABANI!G27) + (VERI_TABANI!D27*C289*(VERI_TABANI!$B$13-VERI_TABANI!$B$15)*VERI_TABANI!G27) + IF(ABS(IF(ISNUMBER(SEARCH("Var", D289)), 1, IF(ISNUMBER(SEARCH("Gri", D289)), -1, 0)))=1, VERI_TABANI!E27*(1-0.928)*0.00206091519919798*VERI_TABANI!G27, 0)) + ((MIN(VERI_TABANI!D28, VERI_TABANI!D28*B289)*VERI_TABANI!$B$7 + MAX(0, VERI_TABANI!D28*B289-VERI_TABANI!D28)*VERI_TABANI!$B$8) + (MIN(MAX(0, VERI_TABANI!D28-VERI_TABANI!D28*B289), VERI_TABANI!D28*C289)*VERI_TABANI!$B$7 + MAX(0, VERI_TABANI!D28*C289-MAX(0, VERI_TABANI!D28-VERI_TABANI!D28*B289))*VERI_TABANI!$B$8) + IF(ABS(IF(ISNUMBER(SEARCH("Var", D289)), 1, IF(ISNUMBER(SEARCH("Gri", D289)), -1, 0)))=1, VERI_TABANI!E28*(1-0.928)*VERI_TABANI!$B$9, 0) + (VERI_TABANI!D28*B289*(VERI_TABANI!$B$13-VERI_TABANI!$B$14)*VERI_TABANI!G28) + (VERI_TABANI!D28*C289*(VERI_TABANI!$B$13-VERI_TABANI!$B$15)*VERI_TABANI!G28) + IF(ABS(IF(ISNUMBER(SEARCH("Var", D289)), 1, IF(ISNUMBER(SEARCH("Gri", D289)), -1, 0)))=1, VERI_TABANI!E28*(1-0.928)*0.00206091519919798*VERI_TABANI!G28, 0)))</f>
        <v/>
      </c>
      <c r="H289" s="169">
        <f>(((VERI_TABANI!D23*B289*(VERI_TABANI!$B$13-VERI_TABANI!$B$14)) + (VERI_TABANI!D23*C289*(VERI_TABANI!$B$13-VERI_TABANI!$B$15)) + IF(ISNUMBER(SEARCH("Var", D289)), VERI_TABANI!F23*(0.00202-VERI_TABANI!$B$16), IF(ISNUMBER(SEARCH("Gri", D289)), VERI_TABANI!F23*(0.00202-VERI_TABANI!$B$17), 0))) + ((VERI_TABANI!D24*B289*(VERI_TABANI!$B$13-VERI_TABANI!$B$14)) + (VERI_TABANI!D24*C289*(VERI_TABANI!$B$13-VERI_TABANI!$B$15)) + IF(ISNUMBER(SEARCH("Var", D289)), VERI_TABANI!F24*(0.00202-VERI_TABANI!$B$16), IF(ISNUMBER(SEARCH("Gri", D289)), VERI_TABANI!F24*(0.00202-VERI_TABANI!$B$17), 0))) + ((VERI_TABANI!D25*B289*(VERI_TABANI!$B$13-VERI_TABANI!$B$14)) + (VERI_TABANI!D25*C289*(VERI_TABANI!$B$13-VERI_TABANI!$B$15)) + IF(ISNUMBER(SEARCH("Var", D289)), VERI_TABANI!F25*(0.00202-VERI_TABANI!$B$16), IF(ISNUMBER(SEARCH("Gri", D289)), VERI_TABANI!F25*(0.00202-VERI_TABANI!$B$17), 0))) + ((VERI_TABANI!D26*B289*(VERI_TABANI!$B$13-VERI_TABANI!$B$14)) + (VERI_TABANI!D26*C289*(VERI_TABANI!$B$13-VERI_TABANI!$B$15)) + IF(ISNUMBER(SEARCH("Var", D289)), VERI_TABANI!F26*(0.00202-VERI_TABANI!$B$16), IF(ISNUMBER(SEARCH("Gri", D289)), VERI_TABANI!F26*(0.00202-VERI_TABANI!$B$17), 0))) + ((VERI_TABANI!D27*B289*(VERI_TABANI!$B$13-VERI_TABANI!$B$14)) + (VERI_TABANI!D27*C289*(VERI_TABANI!$B$13-VERI_TABANI!$B$15)) + IF(ISNUMBER(SEARCH("Var", D289)), VERI_TABANI!F27*(0.00202-VERI_TABANI!$B$16), IF(ISNUMBER(SEARCH("Gri", D289)), VERI_TABANI!F27*(0.00202-VERI_TABANI!$B$17), 0))) + ((VERI_TABANI!D28*B289*(VERI_TABANI!$B$13-VERI_TABANI!$B$14)) + (VERI_TABANI!D28*C289*(VERI_TABANI!$B$13-VERI_TABANI!$B$15)) + IF(ISNUMBER(SEARCH("Var", D289)), VERI_TABANI!F28*(0.00202-VERI_TABANI!$B$16), IF(ISNUMBER(SEARCH("Gri", D289)), VERI_TABANI!F28*(0.00202-VERI_TABANI!$B$17), 0))))</f>
        <v/>
      </c>
      <c r="I289" s="170">
        <f>IFERROR(((VERI_TABANI!$D$29*B289*VERI_TABANI!$B$14 + VERI_TABANI!$D$29*C289*VERI_TABANI!$B$15 + IF(ISNUMBER(SEARCH("Var", D289)), VERI_TABANI!$F$29*VERI_TABANI!$B$16, 0))) / (((VERI_TABANI!$D$29*B289 + VERI_TABANI!$D$29*C289)*VERI_TABANI!$B$13 + IF(ISNUMBER(SEARCH("Var", D289)), VERI_TABANI!$E$29*(1-0.928)*VERI_TABANI!$B$18, 0))), 0)</f>
        <v/>
      </c>
      <c r="J289" s="171">
        <f>IFERROR(F289/(G289/29), 0)</f>
        <v/>
      </c>
      <c r="K289" s="172">
        <f>IF(F289&gt;0, H289/F289, 0)</f>
        <v/>
      </c>
      <c r="L289" s="170">
        <f>IF(F289&gt;0, I289, 1000000000)</f>
        <v/>
      </c>
      <c r="M289" s="171">
        <f>ABS((B289+C289)-1)</f>
        <v/>
      </c>
      <c r="N289" s="170">
        <f>IF(F289&gt;0, (G289/29)/F289, 0)</f>
        <v/>
      </c>
      <c r="O289" s="168">
        <f>IF(AND((B289+C289)&gt;=1, ISNUMBER(SEARCH("Var", D289))), F289, 1000000000)</f>
        <v/>
      </c>
      <c r="P289" s="172">
        <f>IF(F289&gt;0, SQRT((F289/MAX(F$5:F$886))^2 + (1 - H289/MAX(H$5:H$886))^2 + (J289/MAX(J$5:J$886))^2), 1000000000)</f>
        <v/>
      </c>
      <c r="Q289" s="166">
        <f>IF(AND(ABS(B289-0.5)&lt;0.01, ABS(C289-0.5)&lt;0.01, ISNUMBER(SEARCH("Var", D289))), 1, 0)</f>
        <v/>
      </c>
      <c r="R289" s="171">
        <f>IF(F289&gt;0, J289, 1000000000)</f>
        <v/>
      </c>
      <c r="S289" s="101">
        <f>IF(AND(F289&lt;=DASHBOARD!$B$11, H289&gt;=DASHBOARD!$B$13), G289, -1000000000000)</f>
        <v/>
      </c>
      <c r="T289" s="101">
        <f>IF(AND(F289&lt;=DASHBOARD!$B$11, H289&gt;=DASHBOARD!$B$13), R289, 1000000000000)</f>
        <v/>
      </c>
      <c r="U289" s="101">
        <f>IF(AND(F289&lt;=DASHBOARD!$B$11, H289&gt;=DASHBOARD!$B$13), N289, -1000000000000)</f>
        <v/>
      </c>
      <c r="V289" s="101">
        <f>IF(AND(F289&lt;=DASHBOARD!$B$11, H289&gt;=DASHBOARD!$B$13), H289, -1000000000000)</f>
        <v/>
      </c>
      <c r="W289" s="101">
        <f>IF(AND(F289&lt;=DASHBOARD!$B$11, H289&gt;=DASHBOARD!$B$13), K289, -1000000000000)</f>
        <v/>
      </c>
      <c r="X289" s="101">
        <f>IF(AND(F289&lt;=DASHBOARD!$B$11, H289&gt;=DASHBOARD!$B$13), M289, 1000000000000)</f>
        <v/>
      </c>
      <c r="Y289" s="101">
        <f>IF(AND(F289&lt;=DASHBOARD!$B$10, H289&gt;=DASHBOARD!$B$11), L289, 1000000000000)</f>
        <v/>
      </c>
      <c r="Z289" s="101">
        <f>IF(AND(F289&lt;=DASHBOARD!$B$10, H289&gt;=DASHBOARD!$B$11), O289, 1000000000000)</f>
        <v/>
      </c>
      <c r="AA289" s="101">
        <f>IF(AND(F289&lt;=DASHBOARD!$B$10, H289&gt;=DASHBOARD!$B$11), P289, 1000000000000)</f>
        <v/>
      </c>
      <c r="AB289" s="101">
        <f>IF(AND(F289&lt;=DASHBOARD!$B$10, H289&gt;=DASHBOARD!$B$11), Q289, -1000000000000)</f>
        <v/>
      </c>
    </row>
    <row r="290" ht="15" customHeight="1" s="102">
      <c r="A290" s="166" t="n">
        <v>286</v>
      </c>
      <c r="B290" s="167" t="n">
        <v>0.6</v>
      </c>
      <c r="C290" s="167" t="n">
        <v>1.6</v>
      </c>
      <c r="D290" s="110" t="inlineStr">
        <is>
          <t>Var (%20)</t>
        </is>
      </c>
      <c r="E290" s="110">
        <f>IF((B290+C290)&lt;=1, "Tam Mahsuplaşma (≤%100)", "Kısmi Satış (&gt;%100)")</f>
        <v/>
      </c>
      <c r="F290" s="168">
        <f>((VERI_TABANI!$D$29*B290/VERI_TABANI!$B$29)/VERI_TABANI!$B$3)*VERI_TABANI!$B$5 + ((VERI_TABANI!$D$29*C290/VERI_TABANI!$B$29)/VERI_TABANI!$B$4)*VERI_TABANI!$B$6 + IF(ISNUMBER(SEARCH("Var", D290)), (VERI_TABANI!$F$29/VERI_TABANI!$B$29)*(VERI_TABANI!$B$10+VERI_TABANI!$B$12), 0)</f>
        <v/>
      </c>
      <c r="G290" s="168">
        <f>(((MIN(VERI_TABANI!D23, VERI_TABANI!D23*B290)*VERI_TABANI!$B$7 + MAX(0, VERI_TABANI!D23*B290-VERI_TABANI!D23)*VERI_TABANI!$B$8) + (MIN(MAX(0, VERI_TABANI!D23-VERI_TABANI!D23*B290), VERI_TABANI!D23*C290)*VERI_TABANI!$B$7 + MAX(0, VERI_TABANI!D23*C290-MAX(0, VERI_TABANI!D23-VERI_TABANI!D23*B290))*VERI_TABANI!$B$8) + IF(ABS(IF(ISNUMBER(SEARCH("Var", D290)), 1, IF(ISNUMBER(SEARCH("Gri", D290)), -1, 0)))=1, VERI_TABANI!E23*(1-0.928)*VERI_TABANI!$B$9, 0) + (VERI_TABANI!D23*B290*(VERI_TABANI!$B$13-VERI_TABANI!$B$14)*VERI_TABANI!G23) + (VERI_TABANI!D23*C290*(VERI_TABANI!$B$13-VERI_TABANI!$B$15)*VERI_TABANI!G23) + IF(ABS(IF(ISNUMBER(SEARCH("Var", D290)), 1, IF(ISNUMBER(SEARCH("Gri", D290)), -1, 0)))=1, VERI_TABANI!E23*(1-0.928)*0.00206091519919798*VERI_TABANI!G23, 0)) + ((MIN(VERI_TABANI!D24, VERI_TABANI!D24*B290)*VERI_TABANI!$B$7 + MAX(0, VERI_TABANI!D24*B290-VERI_TABANI!D24)*VERI_TABANI!$B$8) + (MIN(MAX(0, VERI_TABANI!D24-VERI_TABANI!D24*B290), VERI_TABANI!D24*C290)*VERI_TABANI!$B$7 + MAX(0, VERI_TABANI!D24*C290-MAX(0, VERI_TABANI!D24-VERI_TABANI!D24*B290))*VERI_TABANI!$B$8) + IF(ABS(IF(ISNUMBER(SEARCH("Var", D290)), 1, IF(ISNUMBER(SEARCH("Gri", D290)), -1, 0)))=1, VERI_TABANI!E24*(1-0.928)*VERI_TABANI!$B$9, 0) + (VERI_TABANI!D24*B290*(VERI_TABANI!$B$13-VERI_TABANI!$B$14)*VERI_TABANI!G24) + (VERI_TABANI!D24*C290*(VERI_TABANI!$B$13-VERI_TABANI!$B$15)*VERI_TABANI!G24) + IF(ABS(IF(ISNUMBER(SEARCH("Var", D290)), 1, IF(ISNUMBER(SEARCH("Gri", D290)), -1, 0)))=1, VERI_TABANI!E24*(1-0.928)*0.00206091519919798*VERI_TABANI!G24, 0)) + ((MIN(VERI_TABANI!D25, VERI_TABANI!D25*B290)*VERI_TABANI!$B$7 + MAX(0, VERI_TABANI!D25*B290-VERI_TABANI!D25)*VERI_TABANI!$B$8) + (MIN(MAX(0, VERI_TABANI!D25-VERI_TABANI!D25*B290), VERI_TABANI!D25*C290)*VERI_TABANI!$B$7 + MAX(0, VERI_TABANI!D25*C290-MAX(0, VERI_TABANI!D25-VERI_TABANI!D25*B290))*VERI_TABANI!$B$8) + IF(ABS(IF(ISNUMBER(SEARCH("Var", D290)), 1, IF(ISNUMBER(SEARCH("Gri", D290)), -1, 0)))=1, VERI_TABANI!E25*(1-0.928)*VERI_TABANI!$B$9, 0) + (VERI_TABANI!D25*B290*(VERI_TABANI!$B$13-VERI_TABANI!$B$14)*VERI_TABANI!G25) + (VERI_TABANI!D25*C290*(VERI_TABANI!$B$13-VERI_TABANI!$B$15)*VERI_TABANI!G25) + IF(ABS(IF(ISNUMBER(SEARCH("Var", D290)), 1, IF(ISNUMBER(SEARCH("Gri", D290)), -1, 0)))=1, VERI_TABANI!E25*(1-0.928)*0.00206091519919798*VERI_TABANI!G25, 0)) + ((MIN(VERI_TABANI!D26, VERI_TABANI!D26*B290)*VERI_TABANI!$B$7 + MAX(0, VERI_TABANI!D26*B290-VERI_TABANI!D26)*VERI_TABANI!$B$8) + (MIN(MAX(0, VERI_TABANI!D26-VERI_TABANI!D26*B290), VERI_TABANI!D26*C290)*VERI_TABANI!$B$7 + MAX(0, VERI_TABANI!D26*C290-MAX(0, VERI_TABANI!D26-VERI_TABANI!D26*B290))*VERI_TABANI!$B$8) + IF(ABS(IF(ISNUMBER(SEARCH("Var", D290)), 1, IF(ISNUMBER(SEARCH("Gri", D290)), -1, 0)))=1, VERI_TABANI!E26*(1-0.928)*VERI_TABANI!$B$9, 0) + (VERI_TABANI!D26*B290*(VERI_TABANI!$B$13-VERI_TABANI!$B$14)*VERI_TABANI!G26) + (VERI_TABANI!D26*C290*(VERI_TABANI!$B$13-VERI_TABANI!$B$15)*VERI_TABANI!G26) + IF(ABS(IF(ISNUMBER(SEARCH("Var", D290)), 1, IF(ISNUMBER(SEARCH("Gri", D290)), -1, 0)))=1, VERI_TABANI!E26*(1-0.928)*0.00206091519919798*VERI_TABANI!G26, 0)) + ((MIN(VERI_TABANI!D27, VERI_TABANI!D27*B290)*VERI_TABANI!$B$7 + MAX(0, VERI_TABANI!D27*B290-VERI_TABANI!D27)*VERI_TABANI!$B$8) + (MIN(MAX(0, VERI_TABANI!D27-VERI_TABANI!D27*B290), VERI_TABANI!D27*C290)*VERI_TABANI!$B$7 + MAX(0, VERI_TABANI!D27*C290-MAX(0, VERI_TABANI!D27-VERI_TABANI!D27*B290))*VERI_TABANI!$B$8) + IF(ABS(IF(ISNUMBER(SEARCH("Var", D290)), 1, IF(ISNUMBER(SEARCH("Gri", D290)), -1, 0)))=1, VERI_TABANI!E27*(1-0.928)*VERI_TABANI!$B$9, 0) + (VERI_TABANI!D27*B290*(VERI_TABANI!$B$13-VERI_TABANI!$B$14)*VERI_TABANI!G27) + (VERI_TABANI!D27*C290*(VERI_TABANI!$B$13-VERI_TABANI!$B$15)*VERI_TABANI!G27) + IF(ABS(IF(ISNUMBER(SEARCH("Var", D290)), 1, IF(ISNUMBER(SEARCH("Gri", D290)), -1, 0)))=1, VERI_TABANI!E27*(1-0.928)*0.00206091519919798*VERI_TABANI!G27, 0)) + ((MIN(VERI_TABANI!D28, VERI_TABANI!D28*B290)*VERI_TABANI!$B$7 + MAX(0, VERI_TABANI!D28*B290-VERI_TABANI!D28)*VERI_TABANI!$B$8) + (MIN(MAX(0, VERI_TABANI!D28-VERI_TABANI!D28*B290), VERI_TABANI!D28*C290)*VERI_TABANI!$B$7 + MAX(0, VERI_TABANI!D28*C290-MAX(0, VERI_TABANI!D28-VERI_TABANI!D28*B290))*VERI_TABANI!$B$8) + IF(ABS(IF(ISNUMBER(SEARCH("Var", D290)), 1, IF(ISNUMBER(SEARCH("Gri", D290)), -1, 0)))=1, VERI_TABANI!E28*(1-0.928)*VERI_TABANI!$B$9, 0) + (VERI_TABANI!D28*B290*(VERI_TABANI!$B$13-VERI_TABANI!$B$14)*VERI_TABANI!G28) + (VERI_TABANI!D28*C290*(VERI_TABANI!$B$13-VERI_TABANI!$B$15)*VERI_TABANI!G28) + IF(ABS(IF(ISNUMBER(SEARCH("Var", D290)), 1, IF(ISNUMBER(SEARCH("Gri", D290)), -1, 0)))=1, VERI_TABANI!E28*(1-0.928)*0.00206091519919798*VERI_TABANI!G28, 0)))</f>
        <v/>
      </c>
      <c r="H290" s="169">
        <f>(((VERI_TABANI!D23*B290*(VERI_TABANI!$B$13-VERI_TABANI!$B$14)) + (VERI_TABANI!D23*C290*(VERI_TABANI!$B$13-VERI_TABANI!$B$15)) + IF(ISNUMBER(SEARCH("Var", D290)), VERI_TABANI!F23*(0.00202-VERI_TABANI!$B$16), IF(ISNUMBER(SEARCH("Gri", D290)), VERI_TABANI!F23*(0.00202-VERI_TABANI!$B$17), 0))) + ((VERI_TABANI!D24*B290*(VERI_TABANI!$B$13-VERI_TABANI!$B$14)) + (VERI_TABANI!D24*C290*(VERI_TABANI!$B$13-VERI_TABANI!$B$15)) + IF(ISNUMBER(SEARCH("Var", D290)), VERI_TABANI!F24*(0.00202-VERI_TABANI!$B$16), IF(ISNUMBER(SEARCH("Gri", D290)), VERI_TABANI!F24*(0.00202-VERI_TABANI!$B$17), 0))) + ((VERI_TABANI!D25*B290*(VERI_TABANI!$B$13-VERI_TABANI!$B$14)) + (VERI_TABANI!D25*C290*(VERI_TABANI!$B$13-VERI_TABANI!$B$15)) + IF(ISNUMBER(SEARCH("Var", D290)), VERI_TABANI!F25*(0.00202-VERI_TABANI!$B$16), IF(ISNUMBER(SEARCH("Gri", D290)), VERI_TABANI!F25*(0.00202-VERI_TABANI!$B$17), 0))) + ((VERI_TABANI!D26*B290*(VERI_TABANI!$B$13-VERI_TABANI!$B$14)) + (VERI_TABANI!D26*C290*(VERI_TABANI!$B$13-VERI_TABANI!$B$15)) + IF(ISNUMBER(SEARCH("Var", D290)), VERI_TABANI!F26*(0.00202-VERI_TABANI!$B$16), IF(ISNUMBER(SEARCH("Gri", D290)), VERI_TABANI!F26*(0.00202-VERI_TABANI!$B$17), 0))) + ((VERI_TABANI!D27*B290*(VERI_TABANI!$B$13-VERI_TABANI!$B$14)) + (VERI_TABANI!D27*C290*(VERI_TABANI!$B$13-VERI_TABANI!$B$15)) + IF(ISNUMBER(SEARCH("Var", D290)), VERI_TABANI!F27*(0.00202-VERI_TABANI!$B$16), IF(ISNUMBER(SEARCH("Gri", D290)), VERI_TABANI!F27*(0.00202-VERI_TABANI!$B$17), 0))) + ((VERI_TABANI!D28*B290*(VERI_TABANI!$B$13-VERI_TABANI!$B$14)) + (VERI_TABANI!D28*C290*(VERI_TABANI!$B$13-VERI_TABANI!$B$15)) + IF(ISNUMBER(SEARCH("Var", D290)), VERI_TABANI!F28*(0.00202-VERI_TABANI!$B$16), IF(ISNUMBER(SEARCH("Gri", D290)), VERI_TABANI!F28*(0.00202-VERI_TABANI!$B$17), 0))))</f>
        <v/>
      </c>
      <c r="I290" s="170">
        <f>IFERROR(((VERI_TABANI!$D$29*B290*VERI_TABANI!$B$14 + VERI_TABANI!$D$29*C290*VERI_TABANI!$B$15 + IF(ISNUMBER(SEARCH("Var", D290)), VERI_TABANI!$F$29*VERI_TABANI!$B$16, 0))) / (((VERI_TABANI!$D$29*B290 + VERI_TABANI!$D$29*C290)*VERI_TABANI!$B$13 + IF(ISNUMBER(SEARCH("Var", D290)), VERI_TABANI!$E$29*(1-0.928)*VERI_TABANI!$B$18, 0))), 0)</f>
        <v/>
      </c>
      <c r="J290" s="171">
        <f>IFERROR(F290/(G290/29), 0)</f>
        <v/>
      </c>
      <c r="K290" s="172">
        <f>IF(F290&gt;0, H290/F290, 0)</f>
        <v/>
      </c>
      <c r="L290" s="170">
        <f>IF(F290&gt;0, I290, 1000000000)</f>
        <v/>
      </c>
      <c r="M290" s="171">
        <f>ABS((B290+C290)-1)</f>
        <v/>
      </c>
      <c r="N290" s="170">
        <f>IF(F290&gt;0, (G290/29)/F290, 0)</f>
        <v/>
      </c>
      <c r="O290" s="168">
        <f>IF(AND((B290+C290)&gt;=1, ISNUMBER(SEARCH("Var", D290))), F290, 1000000000)</f>
        <v/>
      </c>
      <c r="P290" s="172">
        <f>IF(F290&gt;0, SQRT((F290/MAX(F$5:F$886))^2 + (1 - H290/MAX(H$5:H$886))^2 + (J290/MAX(J$5:J$886))^2), 1000000000)</f>
        <v/>
      </c>
      <c r="Q290" s="166">
        <f>IF(AND(ABS(B290-0.5)&lt;0.01, ABS(C290-0.5)&lt;0.01, ISNUMBER(SEARCH("Var", D290))), 1, 0)</f>
        <v/>
      </c>
      <c r="R290" s="171">
        <f>IF(F290&gt;0, J290, 1000000000)</f>
        <v/>
      </c>
      <c r="S290" s="101">
        <f>IF(AND(F290&lt;=DASHBOARD!$B$11, H290&gt;=DASHBOARD!$B$13), G290, -1000000000000)</f>
        <v/>
      </c>
      <c r="T290" s="101">
        <f>IF(AND(F290&lt;=DASHBOARD!$B$11, H290&gt;=DASHBOARD!$B$13), R290, 1000000000000)</f>
        <v/>
      </c>
      <c r="U290" s="101">
        <f>IF(AND(F290&lt;=DASHBOARD!$B$11, H290&gt;=DASHBOARD!$B$13), N290, -1000000000000)</f>
        <v/>
      </c>
      <c r="V290" s="101">
        <f>IF(AND(F290&lt;=DASHBOARD!$B$11, H290&gt;=DASHBOARD!$B$13), H290, -1000000000000)</f>
        <v/>
      </c>
      <c r="W290" s="101">
        <f>IF(AND(F290&lt;=DASHBOARD!$B$11, H290&gt;=DASHBOARD!$B$13), K290, -1000000000000)</f>
        <v/>
      </c>
      <c r="X290" s="101">
        <f>IF(AND(F290&lt;=DASHBOARD!$B$11, H290&gt;=DASHBOARD!$B$13), M290, 1000000000000)</f>
        <v/>
      </c>
      <c r="Y290" s="101">
        <f>IF(AND(F290&lt;=DASHBOARD!$B$10, H290&gt;=DASHBOARD!$B$11), L290, 1000000000000)</f>
        <v/>
      </c>
      <c r="Z290" s="101">
        <f>IF(AND(F290&lt;=DASHBOARD!$B$10, H290&gt;=DASHBOARD!$B$11), O290, 1000000000000)</f>
        <v/>
      </c>
      <c r="AA290" s="101">
        <f>IF(AND(F290&lt;=DASHBOARD!$B$10, H290&gt;=DASHBOARD!$B$11), P290, 1000000000000)</f>
        <v/>
      </c>
      <c r="AB290" s="101">
        <f>IF(AND(F290&lt;=DASHBOARD!$B$10, H290&gt;=DASHBOARD!$B$11), Q290, -1000000000000)</f>
        <v/>
      </c>
    </row>
    <row r="291" ht="15" customHeight="1" s="102">
      <c r="A291" s="166" t="n">
        <v>287</v>
      </c>
      <c r="B291" s="167" t="n">
        <v>0.6</v>
      </c>
      <c r="C291" s="167" t="n">
        <v>1.7</v>
      </c>
      <c r="D291" s="110" t="inlineStr">
        <is>
          <t>Yok (%0)</t>
        </is>
      </c>
      <c r="E291" s="110">
        <f>IF((B291+C291)&lt;=1, "Tam Mahsuplaşma (≤%100)", "Kısmi Satış (&gt;%100)")</f>
        <v/>
      </c>
      <c r="F291" s="168">
        <f>((VERI_TABANI!$D$29*B291/VERI_TABANI!$B$29)/VERI_TABANI!$B$3)*VERI_TABANI!$B$5 + ((VERI_TABANI!$D$29*C291/VERI_TABANI!$B$29)/VERI_TABANI!$B$4)*VERI_TABANI!$B$6 + IF(ISNUMBER(SEARCH("Var", D291)), (VERI_TABANI!$F$29/VERI_TABANI!$B$29)*(VERI_TABANI!$B$10+VERI_TABANI!$B$12), 0)</f>
        <v/>
      </c>
      <c r="G291" s="168">
        <f>(((MIN(VERI_TABANI!D23, VERI_TABANI!D23*B291)*VERI_TABANI!$B$7 + MAX(0, VERI_TABANI!D23*B291-VERI_TABANI!D23)*VERI_TABANI!$B$8) + (MIN(MAX(0, VERI_TABANI!D23-VERI_TABANI!D23*B291), VERI_TABANI!D23*C291)*VERI_TABANI!$B$7 + MAX(0, VERI_TABANI!D23*C291-MAX(0, VERI_TABANI!D23-VERI_TABANI!D23*B291))*VERI_TABANI!$B$8) + IF(ABS(IF(ISNUMBER(SEARCH("Var", D291)), 1, IF(ISNUMBER(SEARCH("Gri", D291)), -1, 0)))=1, VERI_TABANI!E23*(1-0.928)*VERI_TABANI!$B$9, 0) + (VERI_TABANI!D23*B291*(VERI_TABANI!$B$13-VERI_TABANI!$B$14)*VERI_TABANI!G23) + (VERI_TABANI!D23*C291*(VERI_TABANI!$B$13-VERI_TABANI!$B$15)*VERI_TABANI!G23) + IF(ABS(IF(ISNUMBER(SEARCH("Var", D291)), 1, IF(ISNUMBER(SEARCH("Gri", D291)), -1, 0)))=1, VERI_TABANI!E23*(1-0.928)*0.00206091519919798*VERI_TABANI!G23, 0)) + ((MIN(VERI_TABANI!D24, VERI_TABANI!D24*B291)*VERI_TABANI!$B$7 + MAX(0, VERI_TABANI!D24*B291-VERI_TABANI!D24)*VERI_TABANI!$B$8) + (MIN(MAX(0, VERI_TABANI!D24-VERI_TABANI!D24*B291), VERI_TABANI!D24*C291)*VERI_TABANI!$B$7 + MAX(0, VERI_TABANI!D24*C291-MAX(0, VERI_TABANI!D24-VERI_TABANI!D24*B291))*VERI_TABANI!$B$8) + IF(ABS(IF(ISNUMBER(SEARCH("Var", D291)), 1, IF(ISNUMBER(SEARCH("Gri", D291)), -1, 0)))=1, VERI_TABANI!E24*(1-0.928)*VERI_TABANI!$B$9, 0) + (VERI_TABANI!D24*B291*(VERI_TABANI!$B$13-VERI_TABANI!$B$14)*VERI_TABANI!G24) + (VERI_TABANI!D24*C291*(VERI_TABANI!$B$13-VERI_TABANI!$B$15)*VERI_TABANI!G24) + IF(ABS(IF(ISNUMBER(SEARCH("Var", D291)), 1, IF(ISNUMBER(SEARCH("Gri", D291)), -1, 0)))=1, VERI_TABANI!E24*(1-0.928)*0.00206091519919798*VERI_TABANI!G24, 0)) + ((MIN(VERI_TABANI!D25, VERI_TABANI!D25*B291)*VERI_TABANI!$B$7 + MAX(0, VERI_TABANI!D25*B291-VERI_TABANI!D25)*VERI_TABANI!$B$8) + (MIN(MAX(0, VERI_TABANI!D25-VERI_TABANI!D25*B291), VERI_TABANI!D25*C291)*VERI_TABANI!$B$7 + MAX(0, VERI_TABANI!D25*C291-MAX(0, VERI_TABANI!D25-VERI_TABANI!D25*B291))*VERI_TABANI!$B$8) + IF(ABS(IF(ISNUMBER(SEARCH("Var", D291)), 1, IF(ISNUMBER(SEARCH("Gri", D291)), -1, 0)))=1, VERI_TABANI!E25*(1-0.928)*VERI_TABANI!$B$9, 0) + (VERI_TABANI!D25*B291*(VERI_TABANI!$B$13-VERI_TABANI!$B$14)*VERI_TABANI!G25) + (VERI_TABANI!D25*C291*(VERI_TABANI!$B$13-VERI_TABANI!$B$15)*VERI_TABANI!G25) + IF(ABS(IF(ISNUMBER(SEARCH("Var", D291)), 1, IF(ISNUMBER(SEARCH("Gri", D291)), -1, 0)))=1, VERI_TABANI!E25*(1-0.928)*0.00206091519919798*VERI_TABANI!G25, 0)) + ((MIN(VERI_TABANI!D26, VERI_TABANI!D26*B291)*VERI_TABANI!$B$7 + MAX(0, VERI_TABANI!D26*B291-VERI_TABANI!D26)*VERI_TABANI!$B$8) + (MIN(MAX(0, VERI_TABANI!D26-VERI_TABANI!D26*B291), VERI_TABANI!D26*C291)*VERI_TABANI!$B$7 + MAX(0, VERI_TABANI!D26*C291-MAX(0, VERI_TABANI!D26-VERI_TABANI!D26*B291))*VERI_TABANI!$B$8) + IF(ABS(IF(ISNUMBER(SEARCH("Var", D291)), 1, IF(ISNUMBER(SEARCH("Gri", D291)), -1, 0)))=1, VERI_TABANI!E26*(1-0.928)*VERI_TABANI!$B$9, 0) + (VERI_TABANI!D26*B291*(VERI_TABANI!$B$13-VERI_TABANI!$B$14)*VERI_TABANI!G26) + (VERI_TABANI!D26*C291*(VERI_TABANI!$B$13-VERI_TABANI!$B$15)*VERI_TABANI!G26) + IF(ABS(IF(ISNUMBER(SEARCH("Var", D291)), 1, IF(ISNUMBER(SEARCH("Gri", D291)), -1, 0)))=1, VERI_TABANI!E26*(1-0.928)*0.00206091519919798*VERI_TABANI!G26, 0)) + ((MIN(VERI_TABANI!D27, VERI_TABANI!D27*B291)*VERI_TABANI!$B$7 + MAX(0, VERI_TABANI!D27*B291-VERI_TABANI!D27)*VERI_TABANI!$B$8) + (MIN(MAX(0, VERI_TABANI!D27-VERI_TABANI!D27*B291), VERI_TABANI!D27*C291)*VERI_TABANI!$B$7 + MAX(0, VERI_TABANI!D27*C291-MAX(0, VERI_TABANI!D27-VERI_TABANI!D27*B291))*VERI_TABANI!$B$8) + IF(ABS(IF(ISNUMBER(SEARCH("Var", D291)), 1, IF(ISNUMBER(SEARCH("Gri", D291)), -1, 0)))=1, VERI_TABANI!E27*(1-0.928)*VERI_TABANI!$B$9, 0) + (VERI_TABANI!D27*B291*(VERI_TABANI!$B$13-VERI_TABANI!$B$14)*VERI_TABANI!G27) + (VERI_TABANI!D27*C291*(VERI_TABANI!$B$13-VERI_TABANI!$B$15)*VERI_TABANI!G27) + IF(ABS(IF(ISNUMBER(SEARCH("Var", D291)), 1, IF(ISNUMBER(SEARCH("Gri", D291)), -1, 0)))=1, VERI_TABANI!E27*(1-0.928)*0.00206091519919798*VERI_TABANI!G27, 0)) + ((MIN(VERI_TABANI!D28, VERI_TABANI!D28*B291)*VERI_TABANI!$B$7 + MAX(0, VERI_TABANI!D28*B291-VERI_TABANI!D28)*VERI_TABANI!$B$8) + (MIN(MAX(0, VERI_TABANI!D28-VERI_TABANI!D28*B291), VERI_TABANI!D28*C291)*VERI_TABANI!$B$7 + MAX(0, VERI_TABANI!D28*C291-MAX(0, VERI_TABANI!D28-VERI_TABANI!D28*B291))*VERI_TABANI!$B$8) + IF(ABS(IF(ISNUMBER(SEARCH("Var", D291)), 1, IF(ISNUMBER(SEARCH("Gri", D291)), -1, 0)))=1, VERI_TABANI!E28*(1-0.928)*VERI_TABANI!$B$9, 0) + (VERI_TABANI!D28*B291*(VERI_TABANI!$B$13-VERI_TABANI!$B$14)*VERI_TABANI!G28) + (VERI_TABANI!D28*C291*(VERI_TABANI!$B$13-VERI_TABANI!$B$15)*VERI_TABANI!G28) + IF(ABS(IF(ISNUMBER(SEARCH("Var", D291)), 1, IF(ISNUMBER(SEARCH("Gri", D291)), -1, 0)))=1, VERI_TABANI!E28*(1-0.928)*0.00206091519919798*VERI_TABANI!G28, 0)))</f>
        <v/>
      </c>
      <c r="H291" s="169">
        <f>(((VERI_TABANI!D23*B291*(VERI_TABANI!$B$13-VERI_TABANI!$B$14)) + (VERI_TABANI!D23*C291*(VERI_TABANI!$B$13-VERI_TABANI!$B$15)) + IF(ISNUMBER(SEARCH("Var", D291)), VERI_TABANI!F23*(0.00202-VERI_TABANI!$B$16), IF(ISNUMBER(SEARCH("Gri", D291)), VERI_TABANI!F23*(0.00202-VERI_TABANI!$B$17), 0))) + ((VERI_TABANI!D24*B291*(VERI_TABANI!$B$13-VERI_TABANI!$B$14)) + (VERI_TABANI!D24*C291*(VERI_TABANI!$B$13-VERI_TABANI!$B$15)) + IF(ISNUMBER(SEARCH("Var", D291)), VERI_TABANI!F24*(0.00202-VERI_TABANI!$B$16), IF(ISNUMBER(SEARCH("Gri", D291)), VERI_TABANI!F24*(0.00202-VERI_TABANI!$B$17), 0))) + ((VERI_TABANI!D25*B291*(VERI_TABANI!$B$13-VERI_TABANI!$B$14)) + (VERI_TABANI!D25*C291*(VERI_TABANI!$B$13-VERI_TABANI!$B$15)) + IF(ISNUMBER(SEARCH("Var", D291)), VERI_TABANI!F25*(0.00202-VERI_TABANI!$B$16), IF(ISNUMBER(SEARCH("Gri", D291)), VERI_TABANI!F25*(0.00202-VERI_TABANI!$B$17), 0))) + ((VERI_TABANI!D26*B291*(VERI_TABANI!$B$13-VERI_TABANI!$B$14)) + (VERI_TABANI!D26*C291*(VERI_TABANI!$B$13-VERI_TABANI!$B$15)) + IF(ISNUMBER(SEARCH("Var", D291)), VERI_TABANI!F26*(0.00202-VERI_TABANI!$B$16), IF(ISNUMBER(SEARCH("Gri", D291)), VERI_TABANI!F26*(0.00202-VERI_TABANI!$B$17), 0))) + ((VERI_TABANI!D27*B291*(VERI_TABANI!$B$13-VERI_TABANI!$B$14)) + (VERI_TABANI!D27*C291*(VERI_TABANI!$B$13-VERI_TABANI!$B$15)) + IF(ISNUMBER(SEARCH("Var", D291)), VERI_TABANI!F27*(0.00202-VERI_TABANI!$B$16), IF(ISNUMBER(SEARCH("Gri", D291)), VERI_TABANI!F27*(0.00202-VERI_TABANI!$B$17), 0))) + ((VERI_TABANI!D28*B291*(VERI_TABANI!$B$13-VERI_TABANI!$B$14)) + (VERI_TABANI!D28*C291*(VERI_TABANI!$B$13-VERI_TABANI!$B$15)) + IF(ISNUMBER(SEARCH("Var", D291)), VERI_TABANI!F28*(0.00202-VERI_TABANI!$B$16), IF(ISNUMBER(SEARCH("Gri", D291)), VERI_TABANI!F28*(0.00202-VERI_TABANI!$B$17), 0))))</f>
        <v/>
      </c>
      <c r="I291" s="170">
        <f>IFERROR(((VERI_TABANI!$D$29*B291*VERI_TABANI!$B$14 + VERI_TABANI!$D$29*C291*VERI_TABANI!$B$15 + IF(ISNUMBER(SEARCH("Var", D291)), VERI_TABANI!$F$29*VERI_TABANI!$B$16, 0))) / (((VERI_TABANI!$D$29*B291 + VERI_TABANI!$D$29*C291)*VERI_TABANI!$B$13 + IF(ISNUMBER(SEARCH("Var", D291)), VERI_TABANI!$E$29*(1-0.928)*VERI_TABANI!$B$18, 0))), 0)</f>
        <v/>
      </c>
      <c r="J291" s="171">
        <f>IFERROR(F291/(G291/29), 0)</f>
        <v/>
      </c>
      <c r="K291" s="172">
        <f>IF(F291&gt;0, H291/F291, 0)</f>
        <v/>
      </c>
      <c r="L291" s="170">
        <f>IF(F291&gt;0, I291, 1000000000)</f>
        <v/>
      </c>
      <c r="M291" s="171">
        <f>ABS((B291+C291)-1)</f>
        <v/>
      </c>
      <c r="N291" s="170">
        <f>IF(F291&gt;0, (G291/29)/F291, 0)</f>
        <v/>
      </c>
      <c r="O291" s="168">
        <f>IF(AND((B291+C291)&gt;=1, ISNUMBER(SEARCH("Var", D291))), F291, 1000000000)</f>
        <v/>
      </c>
      <c r="P291" s="172">
        <f>IF(F291&gt;0, SQRT((F291/MAX(F$5:F$886))^2 + (1 - H291/MAX(H$5:H$886))^2 + (J291/MAX(J$5:J$886))^2), 1000000000)</f>
        <v/>
      </c>
      <c r="Q291" s="166">
        <f>IF(AND(ABS(B291-0.5)&lt;0.01, ABS(C291-0.5)&lt;0.01, ISNUMBER(SEARCH("Var", D291))), 1, 0)</f>
        <v/>
      </c>
      <c r="R291" s="171">
        <f>IF(F291&gt;0, J291, 1000000000)</f>
        <v/>
      </c>
      <c r="S291" s="101">
        <f>IF(AND(F291&lt;=DASHBOARD!$B$11, H291&gt;=DASHBOARD!$B$13), G291, -1000000000000)</f>
        <v/>
      </c>
      <c r="T291" s="101">
        <f>IF(AND(F291&lt;=DASHBOARD!$B$11, H291&gt;=DASHBOARD!$B$13), R291, 1000000000000)</f>
        <v/>
      </c>
      <c r="U291" s="101">
        <f>IF(AND(F291&lt;=DASHBOARD!$B$11, H291&gt;=DASHBOARD!$B$13), N291, -1000000000000)</f>
        <v/>
      </c>
      <c r="V291" s="101">
        <f>IF(AND(F291&lt;=DASHBOARD!$B$11, H291&gt;=DASHBOARD!$B$13), H291, -1000000000000)</f>
        <v/>
      </c>
      <c r="W291" s="101">
        <f>IF(AND(F291&lt;=DASHBOARD!$B$11, H291&gt;=DASHBOARD!$B$13), K291, -1000000000000)</f>
        <v/>
      </c>
      <c r="X291" s="101">
        <f>IF(AND(F291&lt;=DASHBOARD!$B$11, H291&gt;=DASHBOARD!$B$13), M291, 1000000000000)</f>
        <v/>
      </c>
      <c r="Y291" s="101">
        <f>IF(AND(F291&lt;=DASHBOARD!$B$10, H291&gt;=DASHBOARD!$B$11), L291, 1000000000000)</f>
        <v/>
      </c>
      <c r="Z291" s="101">
        <f>IF(AND(F291&lt;=DASHBOARD!$B$10, H291&gt;=DASHBOARD!$B$11), O291, 1000000000000)</f>
        <v/>
      </c>
      <c r="AA291" s="101">
        <f>IF(AND(F291&lt;=DASHBOARD!$B$10, H291&gt;=DASHBOARD!$B$11), P291, 1000000000000)</f>
        <v/>
      </c>
      <c r="AB291" s="101">
        <f>IF(AND(F291&lt;=DASHBOARD!$B$10, H291&gt;=DASHBOARD!$B$11), Q291, -1000000000000)</f>
        <v/>
      </c>
    </row>
    <row r="292" ht="15" customHeight="1" s="102">
      <c r="A292" s="166" t="n">
        <v>288</v>
      </c>
      <c r="B292" s="167" t="n">
        <v>0.6</v>
      </c>
      <c r="C292" s="167" t="n">
        <v>1.7</v>
      </c>
      <c r="D292" s="110" t="inlineStr">
        <is>
          <t>Var (%20)</t>
        </is>
      </c>
      <c r="E292" s="110">
        <f>IF((B292+C292)&lt;=1, "Tam Mahsuplaşma (≤%100)", "Kısmi Satış (&gt;%100)")</f>
        <v/>
      </c>
      <c r="F292" s="168">
        <f>((VERI_TABANI!$D$29*B292/VERI_TABANI!$B$29)/VERI_TABANI!$B$3)*VERI_TABANI!$B$5 + ((VERI_TABANI!$D$29*C292/VERI_TABANI!$B$29)/VERI_TABANI!$B$4)*VERI_TABANI!$B$6 + IF(ISNUMBER(SEARCH("Var", D292)), (VERI_TABANI!$F$29/VERI_TABANI!$B$29)*(VERI_TABANI!$B$10+VERI_TABANI!$B$12), 0)</f>
        <v/>
      </c>
      <c r="G292" s="168">
        <f>(((MIN(VERI_TABANI!D23, VERI_TABANI!D23*B292)*VERI_TABANI!$B$7 + MAX(0, VERI_TABANI!D23*B292-VERI_TABANI!D23)*VERI_TABANI!$B$8) + (MIN(MAX(0, VERI_TABANI!D23-VERI_TABANI!D23*B292), VERI_TABANI!D23*C292)*VERI_TABANI!$B$7 + MAX(0, VERI_TABANI!D23*C292-MAX(0, VERI_TABANI!D23-VERI_TABANI!D23*B292))*VERI_TABANI!$B$8) + IF(ABS(IF(ISNUMBER(SEARCH("Var", D292)), 1, IF(ISNUMBER(SEARCH("Gri", D292)), -1, 0)))=1, VERI_TABANI!E23*(1-0.928)*VERI_TABANI!$B$9, 0) + (VERI_TABANI!D23*B292*(VERI_TABANI!$B$13-VERI_TABANI!$B$14)*VERI_TABANI!G23) + (VERI_TABANI!D23*C292*(VERI_TABANI!$B$13-VERI_TABANI!$B$15)*VERI_TABANI!G23) + IF(ABS(IF(ISNUMBER(SEARCH("Var", D292)), 1, IF(ISNUMBER(SEARCH("Gri", D292)), -1, 0)))=1, VERI_TABANI!E23*(1-0.928)*0.00206091519919798*VERI_TABANI!G23, 0)) + ((MIN(VERI_TABANI!D24, VERI_TABANI!D24*B292)*VERI_TABANI!$B$7 + MAX(0, VERI_TABANI!D24*B292-VERI_TABANI!D24)*VERI_TABANI!$B$8) + (MIN(MAX(0, VERI_TABANI!D24-VERI_TABANI!D24*B292), VERI_TABANI!D24*C292)*VERI_TABANI!$B$7 + MAX(0, VERI_TABANI!D24*C292-MAX(0, VERI_TABANI!D24-VERI_TABANI!D24*B292))*VERI_TABANI!$B$8) + IF(ABS(IF(ISNUMBER(SEARCH("Var", D292)), 1, IF(ISNUMBER(SEARCH("Gri", D292)), -1, 0)))=1, VERI_TABANI!E24*(1-0.928)*VERI_TABANI!$B$9, 0) + (VERI_TABANI!D24*B292*(VERI_TABANI!$B$13-VERI_TABANI!$B$14)*VERI_TABANI!G24) + (VERI_TABANI!D24*C292*(VERI_TABANI!$B$13-VERI_TABANI!$B$15)*VERI_TABANI!G24) + IF(ABS(IF(ISNUMBER(SEARCH("Var", D292)), 1, IF(ISNUMBER(SEARCH("Gri", D292)), -1, 0)))=1, VERI_TABANI!E24*(1-0.928)*0.00206091519919798*VERI_TABANI!G24, 0)) + ((MIN(VERI_TABANI!D25, VERI_TABANI!D25*B292)*VERI_TABANI!$B$7 + MAX(0, VERI_TABANI!D25*B292-VERI_TABANI!D25)*VERI_TABANI!$B$8) + (MIN(MAX(0, VERI_TABANI!D25-VERI_TABANI!D25*B292), VERI_TABANI!D25*C292)*VERI_TABANI!$B$7 + MAX(0, VERI_TABANI!D25*C292-MAX(0, VERI_TABANI!D25-VERI_TABANI!D25*B292))*VERI_TABANI!$B$8) + IF(ABS(IF(ISNUMBER(SEARCH("Var", D292)), 1, IF(ISNUMBER(SEARCH("Gri", D292)), -1, 0)))=1, VERI_TABANI!E25*(1-0.928)*VERI_TABANI!$B$9, 0) + (VERI_TABANI!D25*B292*(VERI_TABANI!$B$13-VERI_TABANI!$B$14)*VERI_TABANI!G25) + (VERI_TABANI!D25*C292*(VERI_TABANI!$B$13-VERI_TABANI!$B$15)*VERI_TABANI!G25) + IF(ABS(IF(ISNUMBER(SEARCH("Var", D292)), 1, IF(ISNUMBER(SEARCH("Gri", D292)), -1, 0)))=1, VERI_TABANI!E25*(1-0.928)*0.00206091519919798*VERI_TABANI!G25, 0)) + ((MIN(VERI_TABANI!D26, VERI_TABANI!D26*B292)*VERI_TABANI!$B$7 + MAX(0, VERI_TABANI!D26*B292-VERI_TABANI!D26)*VERI_TABANI!$B$8) + (MIN(MAX(0, VERI_TABANI!D26-VERI_TABANI!D26*B292), VERI_TABANI!D26*C292)*VERI_TABANI!$B$7 + MAX(0, VERI_TABANI!D26*C292-MAX(0, VERI_TABANI!D26-VERI_TABANI!D26*B292))*VERI_TABANI!$B$8) + IF(ABS(IF(ISNUMBER(SEARCH("Var", D292)), 1, IF(ISNUMBER(SEARCH("Gri", D292)), -1, 0)))=1, VERI_TABANI!E26*(1-0.928)*VERI_TABANI!$B$9, 0) + (VERI_TABANI!D26*B292*(VERI_TABANI!$B$13-VERI_TABANI!$B$14)*VERI_TABANI!G26) + (VERI_TABANI!D26*C292*(VERI_TABANI!$B$13-VERI_TABANI!$B$15)*VERI_TABANI!G26) + IF(ABS(IF(ISNUMBER(SEARCH("Var", D292)), 1, IF(ISNUMBER(SEARCH("Gri", D292)), -1, 0)))=1, VERI_TABANI!E26*(1-0.928)*0.00206091519919798*VERI_TABANI!G26, 0)) + ((MIN(VERI_TABANI!D27, VERI_TABANI!D27*B292)*VERI_TABANI!$B$7 + MAX(0, VERI_TABANI!D27*B292-VERI_TABANI!D27)*VERI_TABANI!$B$8) + (MIN(MAX(0, VERI_TABANI!D27-VERI_TABANI!D27*B292), VERI_TABANI!D27*C292)*VERI_TABANI!$B$7 + MAX(0, VERI_TABANI!D27*C292-MAX(0, VERI_TABANI!D27-VERI_TABANI!D27*B292))*VERI_TABANI!$B$8) + IF(ABS(IF(ISNUMBER(SEARCH("Var", D292)), 1, IF(ISNUMBER(SEARCH("Gri", D292)), -1, 0)))=1, VERI_TABANI!E27*(1-0.928)*VERI_TABANI!$B$9, 0) + (VERI_TABANI!D27*B292*(VERI_TABANI!$B$13-VERI_TABANI!$B$14)*VERI_TABANI!G27) + (VERI_TABANI!D27*C292*(VERI_TABANI!$B$13-VERI_TABANI!$B$15)*VERI_TABANI!G27) + IF(ABS(IF(ISNUMBER(SEARCH("Var", D292)), 1, IF(ISNUMBER(SEARCH("Gri", D292)), -1, 0)))=1, VERI_TABANI!E27*(1-0.928)*0.00206091519919798*VERI_TABANI!G27, 0)) + ((MIN(VERI_TABANI!D28, VERI_TABANI!D28*B292)*VERI_TABANI!$B$7 + MAX(0, VERI_TABANI!D28*B292-VERI_TABANI!D28)*VERI_TABANI!$B$8) + (MIN(MAX(0, VERI_TABANI!D28-VERI_TABANI!D28*B292), VERI_TABANI!D28*C292)*VERI_TABANI!$B$7 + MAX(0, VERI_TABANI!D28*C292-MAX(0, VERI_TABANI!D28-VERI_TABANI!D28*B292))*VERI_TABANI!$B$8) + IF(ABS(IF(ISNUMBER(SEARCH("Var", D292)), 1, IF(ISNUMBER(SEARCH("Gri", D292)), -1, 0)))=1, VERI_TABANI!E28*(1-0.928)*VERI_TABANI!$B$9, 0) + (VERI_TABANI!D28*B292*(VERI_TABANI!$B$13-VERI_TABANI!$B$14)*VERI_TABANI!G28) + (VERI_TABANI!D28*C292*(VERI_TABANI!$B$13-VERI_TABANI!$B$15)*VERI_TABANI!G28) + IF(ABS(IF(ISNUMBER(SEARCH("Var", D292)), 1, IF(ISNUMBER(SEARCH("Gri", D292)), -1, 0)))=1, VERI_TABANI!E28*(1-0.928)*0.00206091519919798*VERI_TABANI!G28, 0)))</f>
        <v/>
      </c>
      <c r="H292" s="169">
        <f>(((VERI_TABANI!D23*B292*(VERI_TABANI!$B$13-VERI_TABANI!$B$14)) + (VERI_TABANI!D23*C292*(VERI_TABANI!$B$13-VERI_TABANI!$B$15)) + IF(ISNUMBER(SEARCH("Var", D292)), VERI_TABANI!F23*(0.00202-VERI_TABANI!$B$16), IF(ISNUMBER(SEARCH("Gri", D292)), VERI_TABANI!F23*(0.00202-VERI_TABANI!$B$17), 0))) + ((VERI_TABANI!D24*B292*(VERI_TABANI!$B$13-VERI_TABANI!$B$14)) + (VERI_TABANI!D24*C292*(VERI_TABANI!$B$13-VERI_TABANI!$B$15)) + IF(ISNUMBER(SEARCH("Var", D292)), VERI_TABANI!F24*(0.00202-VERI_TABANI!$B$16), IF(ISNUMBER(SEARCH("Gri", D292)), VERI_TABANI!F24*(0.00202-VERI_TABANI!$B$17), 0))) + ((VERI_TABANI!D25*B292*(VERI_TABANI!$B$13-VERI_TABANI!$B$14)) + (VERI_TABANI!D25*C292*(VERI_TABANI!$B$13-VERI_TABANI!$B$15)) + IF(ISNUMBER(SEARCH("Var", D292)), VERI_TABANI!F25*(0.00202-VERI_TABANI!$B$16), IF(ISNUMBER(SEARCH("Gri", D292)), VERI_TABANI!F25*(0.00202-VERI_TABANI!$B$17), 0))) + ((VERI_TABANI!D26*B292*(VERI_TABANI!$B$13-VERI_TABANI!$B$14)) + (VERI_TABANI!D26*C292*(VERI_TABANI!$B$13-VERI_TABANI!$B$15)) + IF(ISNUMBER(SEARCH("Var", D292)), VERI_TABANI!F26*(0.00202-VERI_TABANI!$B$16), IF(ISNUMBER(SEARCH("Gri", D292)), VERI_TABANI!F26*(0.00202-VERI_TABANI!$B$17), 0))) + ((VERI_TABANI!D27*B292*(VERI_TABANI!$B$13-VERI_TABANI!$B$14)) + (VERI_TABANI!D27*C292*(VERI_TABANI!$B$13-VERI_TABANI!$B$15)) + IF(ISNUMBER(SEARCH("Var", D292)), VERI_TABANI!F27*(0.00202-VERI_TABANI!$B$16), IF(ISNUMBER(SEARCH("Gri", D292)), VERI_TABANI!F27*(0.00202-VERI_TABANI!$B$17), 0))) + ((VERI_TABANI!D28*B292*(VERI_TABANI!$B$13-VERI_TABANI!$B$14)) + (VERI_TABANI!D28*C292*(VERI_TABANI!$B$13-VERI_TABANI!$B$15)) + IF(ISNUMBER(SEARCH("Var", D292)), VERI_TABANI!F28*(0.00202-VERI_TABANI!$B$16), IF(ISNUMBER(SEARCH("Gri", D292)), VERI_TABANI!F28*(0.00202-VERI_TABANI!$B$17), 0))))</f>
        <v/>
      </c>
      <c r="I292" s="170">
        <f>IFERROR(((VERI_TABANI!$D$29*B292*VERI_TABANI!$B$14 + VERI_TABANI!$D$29*C292*VERI_TABANI!$B$15 + IF(ISNUMBER(SEARCH("Var", D292)), VERI_TABANI!$F$29*VERI_TABANI!$B$16, 0))) / (((VERI_TABANI!$D$29*B292 + VERI_TABANI!$D$29*C292)*VERI_TABANI!$B$13 + IF(ISNUMBER(SEARCH("Var", D292)), VERI_TABANI!$E$29*(1-0.928)*VERI_TABANI!$B$18, 0))), 0)</f>
        <v/>
      </c>
      <c r="J292" s="171">
        <f>IFERROR(F292/(G292/29), 0)</f>
        <v/>
      </c>
      <c r="K292" s="172">
        <f>IF(F292&gt;0, H292/F292, 0)</f>
        <v/>
      </c>
      <c r="L292" s="170">
        <f>IF(F292&gt;0, I292, 1000000000)</f>
        <v/>
      </c>
      <c r="M292" s="171">
        <f>ABS((B292+C292)-1)</f>
        <v/>
      </c>
      <c r="N292" s="170">
        <f>IF(F292&gt;0, (G292/29)/F292, 0)</f>
        <v/>
      </c>
      <c r="O292" s="168">
        <f>IF(AND((B292+C292)&gt;=1, ISNUMBER(SEARCH("Var", D292))), F292, 1000000000)</f>
        <v/>
      </c>
      <c r="P292" s="172">
        <f>IF(F292&gt;0, SQRT((F292/MAX(F$5:F$886))^2 + (1 - H292/MAX(H$5:H$886))^2 + (J292/MAX(J$5:J$886))^2), 1000000000)</f>
        <v/>
      </c>
      <c r="Q292" s="166">
        <f>IF(AND(ABS(B292-0.5)&lt;0.01, ABS(C292-0.5)&lt;0.01, ISNUMBER(SEARCH("Var", D292))), 1, 0)</f>
        <v/>
      </c>
      <c r="R292" s="171">
        <f>IF(F292&gt;0, J292, 1000000000)</f>
        <v/>
      </c>
      <c r="S292" s="101">
        <f>IF(AND(F292&lt;=DASHBOARD!$B$11, H292&gt;=DASHBOARD!$B$13), G292, -1000000000000)</f>
        <v/>
      </c>
      <c r="T292" s="101">
        <f>IF(AND(F292&lt;=DASHBOARD!$B$11, H292&gt;=DASHBOARD!$B$13), R292, 1000000000000)</f>
        <v/>
      </c>
      <c r="U292" s="101">
        <f>IF(AND(F292&lt;=DASHBOARD!$B$11, H292&gt;=DASHBOARD!$B$13), N292, -1000000000000)</f>
        <v/>
      </c>
      <c r="V292" s="101">
        <f>IF(AND(F292&lt;=DASHBOARD!$B$11, H292&gt;=DASHBOARD!$B$13), H292, -1000000000000)</f>
        <v/>
      </c>
      <c r="W292" s="101">
        <f>IF(AND(F292&lt;=DASHBOARD!$B$11, H292&gt;=DASHBOARD!$B$13), K292, -1000000000000)</f>
        <v/>
      </c>
      <c r="X292" s="101">
        <f>IF(AND(F292&lt;=DASHBOARD!$B$11, H292&gt;=DASHBOARD!$B$13), M292, 1000000000000)</f>
        <v/>
      </c>
      <c r="Y292" s="101">
        <f>IF(AND(F292&lt;=DASHBOARD!$B$10, H292&gt;=DASHBOARD!$B$11), L292, 1000000000000)</f>
        <v/>
      </c>
      <c r="Z292" s="101">
        <f>IF(AND(F292&lt;=DASHBOARD!$B$10, H292&gt;=DASHBOARD!$B$11), O292, 1000000000000)</f>
        <v/>
      </c>
      <c r="AA292" s="101">
        <f>IF(AND(F292&lt;=DASHBOARD!$B$10, H292&gt;=DASHBOARD!$B$11), P292, 1000000000000)</f>
        <v/>
      </c>
      <c r="AB292" s="101">
        <f>IF(AND(F292&lt;=DASHBOARD!$B$10, H292&gt;=DASHBOARD!$B$11), Q292, -1000000000000)</f>
        <v/>
      </c>
    </row>
    <row r="293" ht="15" customHeight="1" s="102">
      <c r="A293" s="166" t="n">
        <v>289</v>
      </c>
      <c r="B293" s="167" t="n">
        <v>0.6</v>
      </c>
      <c r="C293" s="167" t="n">
        <v>1.8</v>
      </c>
      <c r="D293" s="110" t="inlineStr">
        <is>
          <t>Yok (%0)</t>
        </is>
      </c>
      <c r="E293" s="110">
        <f>IF((B293+C293)&lt;=1, "Tam Mahsuplaşma (≤%100)", "Kısmi Satış (&gt;%100)")</f>
        <v/>
      </c>
      <c r="F293" s="168">
        <f>((VERI_TABANI!$D$29*B293/VERI_TABANI!$B$29)/VERI_TABANI!$B$3)*VERI_TABANI!$B$5 + ((VERI_TABANI!$D$29*C293/VERI_TABANI!$B$29)/VERI_TABANI!$B$4)*VERI_TABANI!$B$6 + IF(ISNUMBER(SEARCH("Var", D293)), (VERI_TABANI!$F$29/VERI_TABANI!$B$29)*(VERI_TABANI!$B$10+VERI_TABANI!$B$12), 0)</f>
        <v/>
      </c>
      <c r="G293" s="168">
        <f>(((MIN(VERI_TABANI!D23, VERI_TABANI!D23*B293)*VERI_TABANI!$B$7 + MAX(0, VERI_TABANI!D23*B293-VERI_TABANI!D23)*VERI_TABANI!$B$8) + (MIN(MAX(0, VERI_TABANI!D23-VERI_TABANI!D23*B293), VERI_TABANI!D23*C293)*VERI_TABANI!$B$7 + MAX(0, VERI_TABANI!D23*C293-MAX(0, VERI_TABANI!D23-VERI_TABANI!D23*B293))*VERI_TABANI!$B$8) + IF(ABS(IF(ISNUMBER(SEARCH("Var", D293)), 1, IF(ISNUMBER(SEARCH("Gri", D293)), -1, 0)))=1, VERI_TABANI!E23*(1-0.928)*VERI_TABANI!$B$9, 0) + (VERI_TABANI!D23*B293*(VERI_TABANI!$B$13-VERI_TABANI!$B$14)*VERI_TABANI!G23) + (VERI_TABANI!D23*C293*(VERI_TABANI!$B$13-VERI_TABANI!$B$15)*VERI_TABANI!G23) + IF(ABS(IF(ISNUMBER(SEARCH("Var", D293)), 1, IF(ISNUMBER(SEARCH("Gri", D293)), -1, 0)))=1, VERI_TABANI!E23*(1-0.928)*0.00206091519919798*VERI_TABANI!G23, 0)) + ((MIN(VERI_TABANI!D24, VERI_TABANI!D24*B293)*VERI_TABANI!$B$7 + MAX(0, VERI_TABANI!D24*B293-VERI_TABANI!D24)*VERI_TABANI!$B$8) + (MIN(MAX(0, VERI_TABANI!D24-VERI_TABANI!D24*B293), VERI_TABANI!D24*C293)*VERI_TABANI!$B$7 + MAX(0, VERI_TABANI!D24*C293-MAX(0, VERI_TABANI!D24-VERI_TABANI!D24*B293))*VERI_TABANI!$B$8) + IF(ABS(IF(ISNUMBER(SEARCH("Var", D293)), 1, IF(ISNUMBER(SEARCH("Gri", D293)), -1, 0)))=1, VERI_TABANI!E24*(1-0.928)*VERI_TABANI!$B$9, 0) + (VERI_TABANI!D24*B293*(VERI_TABANI!$B$13-VERI_TABANI!$B$14)*VERI_TABANI!G24) + (VERI_TABANI!D24*C293*(VERI_TABANI!$B$13-VERI_TABANI!$B$15)*VERI_TABANI!G24) + IF(ABS(IF(ISNUMBER(SEARCH("Var", D293)), 1, IF(ISNUMBER(SEARCH("Gri", D293)), -1, 0)))=1, VERI_TABANI!E24*(1-0.928)*0.00206091519919798*VERI_TABANI!G24, 0)) + ((MIN(VERI_TABANI!D25, VERI_TABANI!D25*B293)*VERI_TABANI!$B$7 + MAX(0, VERI_TABANI!D25*B293-VERI_TABANI!D25)*VERI_TABANI!$B$8) + (MIN(MAX(0, VERI_TABANI!D25-VERI_TABANI!D25*B293), VERI_TABANI!D25*C293)*VERI_TABANI!$B$7 + MAX(0, VERI_TABANI!D25*C293-MAX(0, VERI_TABANI!D25-VERI_TABANI!D25*B293))*VERI_TABANI!$B$8) + IF(ABS(IF(ISNUMBER(SEARCH("Var", D293)), 1, IF(ISNUMBER(SEARCH("Gri", D293)), -1, 0)))=1, VERI_TABANI!E25*(1-0.928)*VERI_TABANI!$B$9, 0) + (VERI_TABANI!D25*B293*(VERI_TABANI!$B$13-VERI_TABANI!$B$14)*VERI_TABANI!G25) + (VERI_TABANI!D25*C293*(VERI_TABANI!$B$13-VERI_TABANI!$B$15)*VERI_TABANI!G25) + IF(ABS(IF(ISNUMBER(SEARCH("Var", D293)), 1, IF(ISNUMBER(SEARCH("Gri", D293)), -1, 0)))=1, VERI_TABANI!E25*(1-0.928)*0.00206091519919798*VERI_TABANI!G25, 0)) + ((MIN(VERI_TABANI!D26, VERI_TABANI!D26*B293)*VERI_TABANI!$B$7 + MAX(0, VERI_TABANI!D26*B293-VERI_TABANI!D26)*VERI_TABANI!$B$8) + (MIN(MAX(0, VERI_TABANI!D26-VERI_TABANI!D26*B293), VERI_TABANI!D26*C293)*VERI_TABANI!$B$7 + MAX(0, VERI_TABANI!D26*C293-MAX(0, VERI_TABANI!D26-VERI_TABANI!D26*B293))*VERI_TABANI!$B$8) + IF(ABS(IF(ISNUMBER(SEARCH("Var", D293)), 1, IF(ISNUMBER(SEARCH("Gri", D293)), -1, 0)))=1, VERI_TABANI!E26*(1-0.928)*VERI_TABANI!$B$9, 0) + (VERI_TABANI!D26*B293*(VERI_TABANI!$B$13-VERI_TABANI!$B$14)*VERI_TABANI!G26) + (VERI_TABANI!D26*C293*(VERI_TABANI!$B$13-VERI_TABANI!$B$15)*VERI_TABANI!G26) + IF(ABS(IF(ISNUMBER(SEARCH("Var", D293)), 1, IF(ISNUMBER(SEARCH("Gri", D293)), -1, 0)))=1, VERI_TABANI!E26*(1-0.928)*0.00206091519919798*VERI_TABANI!G26, 0)) + ((MIN(VERI_TABANI!D27, VERI_TABANI!D27*B293)*VERI_TABANI!$B$7 + MAX(0, VERI_TABANI!D27*B293-VERI_TABANI!D27)*VERI_TABANI!$B$8) + (MIN(MAX(0, VERI_TABANI!D27-VERI_TABANI!D27*B293), VERI_TABANI!D27*C293)*VERI_TABANI!$B$7 + MAX(0, VERI_TABANI!D27*C293-MAX(0, VERI_TABANI!D27-VERI_TABANI!D27*B293))*VERI_TABANI!$B$8) + IF(ABS(IF(ISNUMBER(SEARCH("Var", D293)), 1, IF(ISNUMBER(SEARCH("Gri", D293)), -1, 0)))=1, VERI_TABANI!E27*(1-0.928)*VERI_TABANI!$B$9, 0) + (VERI_TABANI!D27*B293*(VERI_TABANI!$B$13-VERI_TABANI!$B$14)*VERI_TABANI!G27) + (VERI_TABANI!D27*C293*(VERI_TABANI!$B$13-VERI_TABANI!$B$15)*VERI_TABANI!G27) + IF(ABS(IF(ISNUMBER(SEARCH("Var", D293)), 1, IF(ISNUMBER(SEARCH("Gri", D293)), -1, 0)))=1, VERI_TABANI!E27*(1-0.928)*0.00206091519919798*VERI_TABANI!G27, 0)) + ((MIN(VERI_TABANI!D28, VERI_TABANI!D28*B293)*VERI_TABANI!$B$7 + MAX(0, VERI_TABANI!D28*B293-VERI_TABANI!D28)*VERI_TABANI!$B$8) + (MIN(MAX(0, VERI_TABANI!D28-VERI_TABANI!D28*B293), VERI_TABANI!D28*C293)*VERI_TABANI!$B$7 + MAX(0, VERI_TABANI!D28*C293-MAX(0, VERI_TABANI!D28-VERI_TABANI!D28*B293))*VERI_TABANI!$B$8) + IF(ABS(IF(ISNUMBER(SEARCH("Var", D293)), 1, IF(ISNUMBER(SEARCH("Gri", D293)), -1, 0)))=1, VERI_TABANI!E28*(1-0.928)*VERI_TABANI!$B$9, 0) + (VERI_TABANI!D28*B293*(VERI_TABANI!$B$13-VERI_TABANI!$B$14)*VERI_TABANI!G28) + (VERI_TABANI!D28*C293*(VERI_TABANI!$B$13-VERI_TABANI!$B$15)*VERI_TABANI!G28) + IF(ABS(IF(ISNUMBER(SEARCH("Var", D293)), 1, IF(ISNUMBER(SEARCH("Gri", D293)), -1, 0)))=1, VERI_TABANI!E28*(1-0.928)*0.00206091519919798*VERI_TABANI!G28, 0)))</f>
        <v/>
      </c>
      <c r="H293" s="169">
        <f>(((VERI_TABANI!D23*B293*(VERI_TABANI!$B$13-VERI_TABANI!$B$14)) + (VERI_TABANI!D23*C293*(VERI_TABANI!$B$13-VERI_TABANI!$B$15)) + IF(ISNUMBER(SEARCH("Var", D293)), VERI_TABANI!F23*(0.00202-VERI_TABANI!$B$16), IF(ISNUMBER(SEARCH("Gri", D293)), VERI_TABANI!F23*(0.00202-VERI_TABANI!$B$17), 0))) + ((VERI_TABANI!D24*B293*(VERI_TABANI!$B$13-VERI_TABANI!$B$14)) + (VERI_TABANI!D24*C293*(VERI_TABANI!$B$13-VERI_TABANI!$B$15)) + IF(ISNUMBER(SEARCH("Var", D293)), VERI_TABANI!F24*(0.00202-VERI_TABANI!$B$16), IF(ISNUMBER(SEARCH("Gri", D293)), VERI_TABANI!F24*(0.00202-VERI_TABANI!$B$17), 0))) + ((VERI_TABANI!D25*B293*(VERI_TABANI!$B$13-VERI_TABANI!$B$14)) + (VERI_TABANI!D25*C293*(VERI_TABANI!$B$13-VERI_TABANI!$B$15)) + IF(ISNUMBER(SEARCH("Var", D293)), VERI_TABANI!F25*(0.00202-VERI_TABANI!$B$16), IF(ISNUMBER(SEARCH("Gri", D293)), VERI_TABANI!F25*(0.00202-VERI_TABANI!$B$17), 0))) + ((VERI_TABANI!D26*B293*(VERI_TABANI!$B$13-VERI_TABANI!$B$14)) + (VERI_TABANI!D26*C293*(VERI_TABANI!$B$13-VERI_TABANI!$B$15)) + IF(ISNUMBER(SEARCH("Var", D293)), VERI_TABANI!F26*(0.00202-VERI_TABANI!$B$16), IF(ISNUMBER(SEARCH("Gri", D293)), VERI_TABANI!F26*(0.00202-VERI_TABANI!$B$17), 0))) + ((VERI_TABANI!D27*B293*(VERI_TABANI!$B$13-VERI_TABANI!$B$14)) + (VERI_TABANI!D27*C293*(VERI_TABANI!$B$13-VERI_TABANI!$B$15)) + IF(ISNUMBER(SEARCH("Var", D293)), VERI_TABANI!F27*(0.00202-VERI_TABANI!$B$16), IF(ISNUMBER(SEARCH("Gri", D293)), VERI_TABANI!F27*(0.00202-VERI_TABANI!$B$17), 0))) + ((VERI_TABANI!D28*B293*(VERI_TABANI!$B$13-VERI_TABANI!$B$14)) + (VERI_TABANI!D28*C293*(VERI_TABANI!$B$13-VERI_TABANI!$B$15)) + IF(ISNUMBER(SEARCH("Var", D293)), VERI_TABANI!F28*(0.00202-VERI_TABANI!$B$16), IF(ISNUMBER(SEARCH("Gri", D293)), VERI_TABANI!F28*(0.00202-VERI_TABANI!$B$17), 0))))</f>
        <v/>
      </c>
      <c r="I293" s="170">
        <f>IFERROR(((VERI_TABANI!$D$29*B293*VERI_TABANI!$B$14 + VERI_TABANI!$D$29*C293*VERI_TABANI!$B$15 + IF(ISNUMBER(SEARCH("Var", D293)), VERI_TABANI!$F$29*VERI_TABANI!$B$16, 0))) / (((VERI_TABANI!$D$29*B293 + VERI_TABANI!$D$29*C293)*VERI_TABANI!$B$13 + IF(ISNUMBER(SEARCH("Var", D293)), VERI_TABANI!$E$29*(1-0.928)*VERI_TABANI!$B$18, 0))), 0)</f>
        <v/>
      </c>
      <c r="J293" s="171">
        <f>IFERROR(F293/(G293/29), 0)</f>
        <v/>
      </c>
      <c r="K293" s="172">
        <f>IF(F293&gt;0, H293/F293, 0)</f>
        <v/>
      </c>
      <c r="L293" s="170">
        <f>IF(F293&gt;0, I293, 1000000000)</f>
        <v/>
      </c>
      <c r="M293" s="171">
        <f>ABS((B293+C293)-1)</f>
        <v/>
      </c>
      <c r="N293" s="170">
        <f>IF(F293&gt;0, (G293/29)/F293, 0)</f>
        <v/>
      </c>
      <c r="O293" s="168">
        <f>IF(AND((B293+C293)&gt;=1, ISNUMBER(SEARCH("Var", D293))), F293, 1000000000)</f>
        <v/>
      </c>
      <c r="P293" s="172">
        <f>IF(F293&gt;0, SQRT((F293/MAX(F$5:F$886))^2 + (1 - H293/MAX(H$5:H$886))^2 + (J293/MAX(J$5:J$886))^2), 1000000000)</f>
        <v/>
      </c>
      <c r="Q293" s="166">
        <f>IF(AND(ABS(B293-0.5)&lt;0.01, ABS(C293-0.5)&lt;0.01, ISNUMBER(SEARCH("Var", D293))), 1, 0)</f>
        <v/>
      </c>
      <c r="R293" s="171">
        <f>IF(F293&gt;0, J293, 1000000000)</f>
        <v/>
      </c>
      <c r="S293" s="101">
        <f>IF(AND(F293&lt;=DASHBOARD!$B$11, H293&gt;=DASHBOARD!$B$13), G293, -1000000000000)</f>
        <v/>
      </c>
      <c r="T293" s="101">
        <f>IF(AND(F293&lt;=DASHBOARD!$B$11, H293&gt;=DASHBOARD!$B$13), R293, 1000000000000)</f>
        <v/>
      </c>
      <c r="U293" s="101">
        <f>IF(AND(F293&lt;=DASHBOARD!$B$11, H293&gt;=DASHBOARD!$B$13), N293, -1000000000000)</f>
        <v/>
      </c>
      <c r="V293" s="101">
        <f>IF(AND(F293&lt;=DASHBOARD!$B$11, H293&gt;=DASHBOARD!$B$13), H293, -1000000000000)</f>
        <v/>
      </c>
      <c r="W293" s="101">
        <f>IF(AND(F293&lt;=DASHBOARD!$B$11, H293&gt;=DASHBOARD!$B$13), K293, -1000000000000)</f>
        <v/>
      </c>
      <c r="X293" s="101">
        <f>IF(AND(F293&lt;=DASHBOARD!$B$11, H293&gt;=DASHBOARD!$B$13), M293, 1000000000000)</f>
        <v/>
      </c>
      <c r="Y293" s="101">
        <f>IF(AND(F293&lt;=DASHBOARD!$B$10, H293&gt;=DASHBOARD!$B$11), L293, 1000000000000)</f>
        <v/>
      </c>
      <c r="Z293" s="101">
        <f>IF(AND(F293&lt;=DASHBOARD!$B$10, H293&gt;=DASHBOARD!$B$11), O293, 1000000000000)</f>
        <v/>
      </c>
      <c r="AA293" s="101">
        <f>IF(AND(F293&lt;=DASHBOARD!$B$10, H293&gt;=DASHBOARD!$B$11), P293, 1000000000000)</f>
        <v/>
      </c>
      <c r="AB293" s="101">
        <f>IF(AND(F293&lt;=DASHBOARD!$B$10, H293&gt;=DASHBOARD!$B$11), Q293, -1000000000000)</f>
        <v/>
      </c>
    </row>
    <row r="294" ht="15" customHeight="1" s="102">
      <c r="A294" s="166" t="n">
        <v>290</v>
      </c>
      <c r="B294" s="167" t="n">
        <v>0.6</v>
      </c>
      <c r="C294" s="167" t="n">
        <v>1.8</v>
      </c>
      <c r="D294" s="110" t="inlineStr">
        <is>
          <t>Var (%20)</t>
        </is>
      </c>
      <c r="E294" s="110">
        <f>IF((B294+C294)&lt;=1, "Tam Mahsuplaşma (≤%100)", "Kısmi Satış (&gt;%100)")</f>
        <v/>
      </c>
      <c r="F294" s="168">
        <f>((VERI_TABANI!$D$29*B294/VERI_TABANI!$B$29)/VERI_TABANI!$B$3)*VERI_TABANI!$B$5 + ((VERI_TABANI!$D$29*C294/VERI_TABANI!$B$29)/VERI_TABANI!$B$4)*VERI_TABANI!$B$6 + IF(ISNUMBER(SEARCH("Var", D294)), (VERI_TABANI!$F$29/VERI_TABANI!$B$29)*(VERI_TABANI!$B$10+VERI_TABANI!$B$12), 0)</f>
        <v/>
      </c>
      <c r="G294" s="168">
        <f>(((MIN(VERI_TABANI!D23, VERI_TABANI!D23*B294)*VERI_TABANI!$B$7 + MAX(0, VERI_TABANI!D23*B294-VERI_TABANI!D23)*VERI_TABANI!$B$8) + (MIN(MAX(0, VERI_TABANI!D23-VERI_TABANI!D23*B294), VERI_TABANI!D23*C294)*VERI_TABANI!$B$7 + MAX(0, VERI_TABANI!D23*C294-MAX(0, VERI_TABANI!D23-VERI_TABANI!D23*B294))*VERI_TABANI!$B$8) + IF(ABS(IF(ISNUMBER(SEARCH("Var", D294)), 1, IF(ISNUMBER(SEARCH("Gri", D294)), -1, 0)))=1, VERI_TABANI!E23*(1-0.928)*VERI_TABANI!$B$9, 0) + (VERI_TABANI!D23*B294*(VERI_TABANI!$B$13-VERI_TABANI!$B$14)*VERI_TABANI!G23) + (VERI_TABANI!D23*C294*(VERI_TABANI!$B$13-VERI_TABANI!$B$15)*VERI_TABANI!G23) + IF(ABS(IF(ISNUMBER(SEARCH("Var", D294)), 1, IF(ISNUMBER(SEARCH("Gri", D294)), -1, 0)))=1, VERI_TABANI!E23*(1-0.928)*0.00206091519919798*VERI_TABANI!G23, 0)) + ((MIN(VERI_TABANI!D24, VERI_TABANI!D24*B294)*VERI_TABANI!$B$7 + MAX(0, VERI_TABANI!D24*B294-VERI_TABANI!D24)*VERI_TABANI!$B$8) + (MIN(MAX(0, VERI_TABANI!D24-VERI_TABANI!D24*B294), VERI_TABANI!D24*C294)*VERI_TABANI!$B$7 + MAX(0, VERI_TABANI!D24*C294-MAX(0, VERI_TABANI!D24-VERI_TABANI!D24*B294))*VERI_TABANI!$B$8) + IF(ABS(IF(ISNUMBER(SEARCH("Var", D294)), 1, IF(ISNUMBER(SEARCH("Gri", D294)), -1, 0)))=1, VERI_TABANI!E24*(1-0.928)*VERI_TABANI!$B$9, 0) + (VERI_TABANI!D24*B294*(VERI_TABANI!$B$13-VERI_TABANI!$B$14)*VERI_TABANI!G24) + (VERI_TABANI!D24*C294*(VERI_TABANI!$B$13-VERI_TABANI!$B$15)*VERI_TABANI!G24) + IF(ABS(IF(ISNUMBER(SEARCH("Var", D294)), 1, IF(ISNUMBER(SEARCH("Gri", D294)), -1, 0)))=1, VERI_TABANI!E24*(1-0.928)*0.00206091519919798*VERI_TABANI!G24, 0)) + ((MIN(VERI_TABANI!D25, VERI_TABANI!D25*B294)*VERI_TABANI!$B$7 + MAX(0, VERI_TABANI!D25*B294-VERI_TABANI!D25)*VERI_TABANI!$B$8) + (MIN(MAX(0, VERI_TABANI!D25-VERI_TABANI!D25*B294), VERI_TABANI!D25*C294)*VERI_TABANI!$B$7 + MAX(0, VERI_TABANI!D25*C294-MAX(0, VERI_TABANI!D25-VERI_TABANI!D25*B294))*VERI_TABANI!$B$8) + IF(ABS(IF(ISNUMBER(SEARCH("Var", D294)), 1, IF(ISNUMBER(SEARCH("Gri", D294)), -1, 0)))=1, VERI_TABANI!E25*(1-0.928)*VERI_TABANI!$B$9, 0) + (VERI_TABANI!D25*B294*(VERI_TABANI!$B$13-VERI_TABANI!$B$14)*VERI_TABANI!G25) + (VERI_TABANI!D25*C294*(VERI_TABANI!$B$13-VERI_TABANI!$B$15)*VERI_TABANI!G25) + IF(ABS(IF(ISNUMBER(SEARCH("Var", D294)), 1, IF(ISNUMBER(SEARCH("Gri", D294)), -1, 0)))=1, VERI_TABANI!E25*(1-0.928)*0.00206091519919798*VERI_TABANI!G25, 0)) + ((MIN(VERI_TABANI!D26, VERI_TABANI!D26*B294)*VERI_TABANI!$B$7 + MAX(0, VERI_TABANI!D26*B294-VERI_TABANI!D26)*VERI_TABANI!$B$8) + (MIN(MAX(0, VERI_TABANI!D26-VERI_TABANI!D26*B294), VERI_TABANI!D26*C294)*VERI_TABANI!$B$7 + MAX(0, VERI_TABANI!D26*C294-MAX(0, VERI_TABANI!D26-VERI_TABANI!D26*B294))*VERI_TABANI!$B$8) + IF(ABS(IF(ISNUMBER(SEARCH("Var", D294)), 1, IF(ISNUMBER(SEARCH("Gri", D294)), -1, 0)))=1, VERI_TABANI!E26*(1-0.928)*VERI_TABANI!$B$9, 0) + (VERI_TABANI!D26*B294*(VERI_TABANI!$B$13-VERI_TABANI!$B$14)*VERI_TABANI!G26) + (VERI_TABANI!D26*C294*(VERI_TABANI!$B$13-VERI_TABANI!$B$15)*VERI_TABANI!G26) + IF(ABS(IF(ISNUMBER(SEARCH("Var", D294)), 1, IF(ISNUMBER(SEARCH("Gri", D294)), -1, 0)))=1, VERI_TABANI!E26*(1-0.928)*0.00206091519919798*VERI_TABANI!G26, 0)) + ((MIN(VERI_TABANI!D27, VERI_TABANI!D27*B294)*VERI_TABANI!$B$7 + MAX(0, VERI_TABANI!D27*B294-VERI_TABANI!D27)*VERI_TABANI!$B$8) + (MIN(MAX(0, VERI_TABANI!D27-VERI_TABANI!D27*B294), VERI_TABANI!D27*C294)*VERI_TABANI!$B$7 + MAX(0, VERI_TABANI!D27*C294-MAX(0, VERI_TABANI!D27-VERI_TABANI!D27*B294))*VERI_TABANI!$B$8) + IF(ABS(IF(ISNUMBER(SEARCH("Var", D294)), 1, IF(ISNUMBER(SEARCH("Gri", D294)), -1, 0)))=1, VERI_TABANI!E27*(1-0.928)*VERI_TABANI!$B$9, 0) + (VERI_TABANI!D27*B294*(VERI_TABANI!$B$13-VERI_TABANI!$B$14)*VERI_TABANI!G27) + (VERI_TABANI!D27*C294*(VERI_TABANI!$B$13-VERI_TABANI!$B$15)*VERI_TABANI!G27) + IF(ABS(IF(ISNUMBER(SEARCH("Var", D294)), 1, IF(ISNUMBER(SEARCH("Gri", D294)), -1, 0)))=1, VERI_TABANI!E27*(1-0.928)*0.00206091519919798*VERI_TABANI!G27, 0)) + ((MIN(VERI_TABANI!D28, VERI_TABANI!D28*B294)*VERI_TABANI!$B$7 + MAX(0, VERI_TABANI!D28*B294-VERI_TABANI!D28)*VERI_TABANI!$B$8) + (MIN(MAX(0, VERI_TABANI!D28-VERI_TABANI!D28*B294), VERI_TABANI!D28*C294)*VERI_TABANI!$B$7 + MAX(0, VERI_TABANI!D28*C294-MAX(0, VERI_TABANI!D28-VERI_TABANI!D28*B294))*VERI_TABANI!$B$8) + IF(ABS(IF(ISNUMBER(SEARCH("Var", D294)), 1, IF(ISNUMBER(SEARCH("Gri", D294)), -1, 0)))=1, VERI_TABANI!E28*(1-0.928)*VERI_TABANI!$B$9, 0) + (VERI_TABANI!D28*B294*(VERI_TABANI!$B$13-VERI_TABANI!$B$14)*VERI_TABANI!G28) + (VERI_TABANI!D28*C294*(VERI_TABANI!$B$13-VERI_TABANI!$B$15)*VERI_TABANI!G28) + IF(ABS(IF(ISNUMBER(SEARCH("Var", D294)), 1, IF(ISNUMBER(SEARCH("Gri", D294)), -1, 0)))=1, VERI_TABANI!E28*(1-0.928)*0.00206091519919798*VERI_TABANI!G28, 0)))</f>
        <v/>
      </c>
      <c r="H294" s="169">
        <f>(((VERI_TABANI!D23*B294*(VERI_TABANI!$B$13-VERI_TABANI!$B$14)) + (VERI_TABANI!D23*C294*(VERI_TABANI!$B$13-VERI_TABANI!$B$15)) + IF(ISNUMBER(SEARCH("Var", D294)), VERI_TABANI!F23*(0.00202-VERI_TABANI!$B$16), IF(ISNUMBER(SEARCH("Gri", D294)), VERI_TABANI!F23*(0.00202-VERI_TABANI!$B$17), 0))) + ((VERI_TABANI!D24*B294*(VERI_TABANI!$B$13-VERI_TABANI!$B$14)) + (VERI_TABANI!D24*C294*(VERI_TABANI!$B$13-VERI_TABANI!$B$15)) + IF(ISNUMBER(SEARCH("Var", D294)), VERI_TABANI!F24*(0.00202-VERI_TABANI!$B$16), IF(ISNUMBER(SEARCH("Gri", D294)), VERI_TABANI!F24*(0.00202-VERI_TABANI!$B$17), 0))) + ((VERI_TABANI!D25*B294*(VERI_TABANI!$B$13-VERI_TABANI!$B$14)) + (VERI_TABANI!D25*C294*(VERI_TABANI!$B$13-VERI_TABANI!$B$15)) + IF(ISNUMBER(SEARCH("Var", D294)), VERI_TABANI!F25*(0.00202-VERI_TABANI!$B$16), IF(ISNUMBER(SEARCH("Gri", D294)), VERI_TABANI!F25*(0.00202-VERI_TABANI!$B$17), 0))) + ((VERI_TABANI!D26*B294*(VERI_TABANI!$B$13-VERI_TABANI!$B$14)) + (VERI_TABANI!D26*C294*(VERI_TABANI!$B$13-VERI_TABANI!$B$15)) + IF(ISNUMBER(SEARCH("Var", D294)), VERI_TABANI!F26*(0.00202-VERI_TABANI!$B$16), IF(ISNUMBER(SEARCH("Gri", D294)), VERI_TABANI!F26*(0.00202-VERI_TABANI!$B$17), 0))) + ((VERI_TABANI!D27*B294*(VERI_TABANI!$B$13-VERI_TABANI!$B$14)) + (VERI_TABANI!D27*C294*(VERI_TABANI!$B$13-VERI_TABANI!$B$15)) + IF(ISNUMBER(SEARCH("Var", D294)), VERI_TABANI!F27*(0.00202-VERI_TABANI!$B$16), IF(ISNUMBER(SEARCH("Gri", D294)), VERI_TABANI!F27*(0.00202-VERI_TABANI!$B$17), 0))) + ((VERI_TABANI!D28*B294*(VERI_TABANI!$B$13-VERI_TABANI!$B$14)) + (VERI_TABANI!D28*C294*(VERI_TABANI!$B$13-VERI_TABANI!$B$15)) + IF(ISNUMBER(SEARCH("Var", D294)), VERI_TABANI!F28*(0.00202-VERI_TABANI!$B$16), IF(ISNUMBER(SEARCH("Gri", D294)), VERI_TABANI!F28*(0.00202-VERI_TABANI!$B$17), 0))))</f>
        <v/>
      </c>
      <c r="I294" s="170">
        <f>IFERROR(((VERI_TABANI!$D$29*B294*VERI_TABANI!$B$14 + VERI_TABANI!$D$29*C294*VERI_TABANI!$B$15 + IF(ISNUMBER(SEARCH("Var", D294)), VERI_TABANI!$F$29*VERI_TABANI!$B$16, 0))) / (((VERI_TABANI!$D$29*B294 + VERI_TABANI!$D$29*C294)*VERI_TABANI!$B$13 + IF(ISNUMBER(SEARCH("Var", D294)), VERI_TABANI!$E$29*(1-0.928)*VERI_TABANI!$B$18, 0))), 0)</f>
        <v/>
      </c>
      <c r="J294" s="171">
        <f>IFERROR(F294/(G294/29), 0)</f>
        <v/>
      </c>
      <c r="K294" s="172">
        <f>IF(F294&gt;0, H294/F294, 0)</f>
        <v/>
      </c>
      <c r="L294" s="170">
        <f>IF(F294&gt;0, I294, 1000000000)</f>
        <v/>
      </c>
      <c r="M294" s="171">
        <f>ABS((B294+C294)-1)</f>
        <v/>
      </c>
      <c r="N294" s="170">
        <f>IF(F294&gt;0, (G294/29)/F294, 0)</f>
        <v/>
      </c>
      <c r="O294" s="168">
        <f>IF(AND((B294+C294)&gt;=1, ISNUMBER(SEARCH("Var", D294))), F294, 1000000000)</f>
        <v/>
      </c>
      <c r="P294" s="172">
        <f>IF(F294&gt;0, SQRT((F294/MAX(F$5:F$886))^2 + (1 - H294/MAX(H$5:H$886))^2 + (J294/MAX(J$5:J$886))^2), 1000000000)</f>
        <v/>
      </c>
      <c r="Q294" s="166">
        <f>IF(AND(ABS(B294-0.5)&lt;0.01, ABS(C294-0.5)&lt;0.01, ISNUMBER(SEARCH("Var", D294))), 1, 0)</f>
        <v/>
      </c>
      <c r="R294" s="171">
        <f>IF(F294&gt;0, J294, 1000000000)</f>
        <v/>
      </c>
      <c r="S294" s="101">
        <f>IF(AND(F294&lt;=DASHBOARD!$B$11, H294&gt;=DASHBOARD!$B$13), G294, -1000000000000)</f>
        <v/>
      </c>
      <c r="T294" s="101">
        <f>IF(AND(F294&lt;=DASHBOARD!$B$11, H294&gt;=DASHBOARD!$B$13), R294, 1000000000000)</f>
        <v/>
      </c>
      <c r="U294" s="101">
        <f>IF(AND(F294&lt;=DASHBOARD!$B$11, H294&gt;=DASHBOARD!$B$13), N294, -1000000000000)</f>
        <v/>
      </c>
      <c r="V294" s="101">
        <f>IF(AND(F294&lt;=DASHBOARD!$B$11, H294&gt;=DASHBOARD!$B$13), H294, -1000000000000)</f>
        <v/>
      </c>
      <c r="W294" s="101">
        <f>IF(AND(F294&lt;=DASHBOARD!$B$11, H294&gt;=DASHBOARD!$B$13), K294, -1000000000000)</f>
        <v/>
      </c>
      <c r="X294" s="101">
        <f>IF(AND(F294&lt;=DASHBOARD!$B$11, H294&gt;=DASHBOARD!$B$13), M294, 1000000000000)</f>
        <v/>
      </c>
      <c r="Y294" s="101">
        <f>IF(AND(F294&lt;=DASHBOARD!$B$10, H294&gt;=DASHBOARD!$B$11), L294, 1000000000000)</f>
        <v/>
      </c>
      <c r="Z294" s="101">
        <f>IF(AND(F294&lt;=DASHBOARD!$B$10, H294&gt;=DASHBOARD!$B$11), O294, 1000000000000)</f>
        <v/>
      </c>
      <c r="AA294" s="101">
        <f>IF(AND(F294&lt;=DASHBOARD!$B$10, H294&gt;=DASHBOARD!$B$11), P294, 1000000000000)</f>
        <v/>
      </c>
      <c r="AB294" s="101">
        <f>IF(AND(F294&lt;=DASHBOARD!$B$10, H294&gt;=DASHBOARD!$B$11), Q294, -1000000000000)</f>
        <v/>
      </c>
    </row>
    <row r="295" ht="15" customHeight="1" s="102">
      <c r="A295" s="166" t="n">
        <v>291</v>
      </c>
      <c r="B295" s="167" t="n">
        <v>0.6</v>
      </c>
      <c r="C295" s="167" t="n">
        <v>1.9</v>
      </c>
      <c r="D295" s="110" t="inlineStr">
        <is>
          <t>Yok (%0)</t>
        </is>
      </c>
      <c r="E295" s="110">
        <f>IF((B295+C295)&lt;=1, "Tam Mahsuplaşma (≤%100)", "Kısmi Satış (&gt;%100)")</f>
        <v/>
      </c>
      <c r="F295" s="168">
        <f>((VERI_TABANI!$D$29*B295/VERI_TABANI!$B$29)/VERI_TABANI!$B$3)*VERI_TABANI!$B$5 + ((VERI_TABANI!$D$29*C295/VERI_TABANI!$B$29)/VERI_TABANI!$B$4)*VERI_TABANI!$B$6 + IF(ISNUMBER(SEARCH("Var", D295)), (VERI_TABANI!$F$29/VERI_TABANI!$B$29)*(VERI_TABANI!$B$10+VERI_TABANI!$B$12), 0)</f>
        <v/>
      </c>
      <c r="G295" s="168">
        <f>(((MIN(VERI_TABANI!D23, VERI_TABANI!D23*B295)*VERI_TABANI!$B$7 + MAX(0, VERI_TABANI!D23*B295-VERI_TABANI!D23)*VERI_TABANI!$B$8) + (MIN(MAX(0, VERI_TABANI!D23-VERI_TABANI!D23*B295), VERI_TABANI!D23*C295)*VERI_TABANI!$B$7 + MAX(0, VERI_TABANI!D23*C295-MAX(0, VERI_TABANI!D23-VERI_TABANI!D23*B295))*VERI_TABANI!$B$8) + IF(ABS(IF(ISNUMBER(SEARCH("Var", D295)), 1, IF(ISNUMBER(SEARCH("Gri", D295)), -1, 0)))=1, VERI_TABANI!E23*(1-0.928)*VERI_TABANI!$B$9, 0) + (VERI_TABANI!D23*B295*(VERI_TABANI!$B$13-VERI_TABANI!$B$14)*VERI_TABANI!G23) + (VERI_TABANI!D23*C295*(VERI_TABANI!$B$13-VERI_TABANI!$B$15)*VERI_TABANI!G23) + IF(ABS(IF(ISNUMBER(SEARCH("Var", D295)), 1, IF(ISNUMBER(SEARCH("Gri", D295)), -1, 0)))=1, VERI_TABANI!E23*(1-0.928)*0.00206091519919798*VERI_TABANI!G23, 0)) + ((MIN(VERI_TABANI!D24, VERI_TABANI!D24*B295)*VERI_TABANI!$B$7 + MAX(0, VERI_TABANI!D24*B295-VERI_TABANI!D24)*VERI_TABANI!$B$8) + (MIN(MAX(0, VERI_TABANI!D24-VERI_TABANI!D24*B295), VERI_TABANI!D24*C295)*VERI_TABANI!$B$7 + MAX(0, VERI_TABANI!D24*C295-MAX(0, VERI_TABANI!D24-VERI_TABANI!D24*B295))*VERI_TABANI!$B$8) + IF(ABS(IF(ISNUMBER(SEARCH("Var", D295)), 1, IF(ISNUMBER(SEARCH("Gri", D295)), -1, 0)))=1, VERI_TABANI!E24*(1-0.928)*VERI_TABANI!$B$9, 0) + (VERI_TABANI!D24*B295*(VERI_TABANI!$B$13-VERI_TABANI!$B$14)*VERI_TABANI!G24) + (VERI_TABANI!D24*C295*(VERI_TABANI!$B$13-VERI_TABANI!$B$15)*VERI_TABANI!G24) + IF(ABS(IF(ISNUMBER(SEARCH("Var", D295)), 1, IF(ISNUMBER(SEARCH("Gri", D295)), -1, 0)))=1, VERI_TABANI!E24*(1-0.928)*0.00206091519919798*VERI_TABANI!G24, 0)) + ((MIN(VERI_TABANI!D25, VERI_TABANI!D25*B295)*VERI_TABANI!$B$7 + MAX(0, VERI_TABANI!D25*B295-VERI_TABANI!D25)*VERI_TABANI!$B$8) + (MIN(MAX(0, VERI_TABANI!D25-VERI_TABANI!D25*B295), VERI_TABANI!D25*C295)*VERI_TABANI!$B$7 + MAX(0, VERI_TABANI!D25*C295-MAX(0, VERI_TABANI!D25-VERI_TABANI!D25*B295))*VERI_TABANI!$B$8) + IF(ABS(IF(ISNUMBER(SEARCH("Var", D295)), 1, IF(ISNUMBER(SEARCH("Gri", D295)), -1, 0)))=1, VERI_TABANI!E25*(1-0.928)*VERI_TABANI!$B$9, 0) + (VERI_TABANI!D25*B295*(VERI_TABANI!$B$13-VERI_TABANI!$B$14)*VERI_TABANI!G25) + (VERI_TABANI!D25*C295*(VERI_TABANI!$B$13-VERI_TABANI!$B$15)*VERI_TABANI!G25) + IF(ABS(IF(ISNUMBER(SEARCH("Var", D295)), 1, IF(ISNUMBER(SEARCH("Gri", D295)), -1, 0)))=1, VERI_TABANI!E25*(1-0.928)*0.00206091519919798*VERI_TABANI!G25, 0)) + ((MIN(VERI_TABANI!D26, VERI_TABANI!D26*B295)*VERI_TABANI!$B$7 + MAX(0, VERI_TABANI!D26*B295-VERI_TABANI!D26)*VERI_TABANI!$B$8) + (MIN(MAX(0, VERI_TABANI!D26-VERI_TABANI!D26*B295), VERI_TABANI!D26*C295)*VERI_TABANI!$B$7 + MAX(0, VERI_TABANI!D26*C295-MAX(0, VERI_TABANI!D26-VERI_TABANI!D26*B295))*VERI_TABANI!$B$8) + IF(ABS(IF(ISNUMBER(SEARCH("Var", D295)), 1, IF(ISNUMBER(SEARCH("Gri", D295)), -1, 0)))=1, VERI_TABANI!E26*(1-0.928)*VERI_TABANI!$B$9, 0) + (VERI_TABANI!D26*B295*(VERI_TABANI!$B$13-VERI_TABANI!$B$14)*VERI_TABANI!G26) + (VERI_TABANI!D26*C295*(VERI_TABANI!$B$13-VERI_TABANI!$B$15)*VERI_TABANI!G26) + IF(ABS(IF(ISNUMBER(SEARCH("Var", D295)), 1, IF(ISNUMBER(SEARCH("Gri", D295)), -1, 0)))=1, VERI_TABANI!E26*(1-0.928)*0.00206091519919798*VERI_TABANI!G26, 0)) + ((MIN(VERI_TABANI!D27, VERI_TABANI!D27*B295)*VERI_TABANI!$B$7 + MAX(0, VERI_TABANI!D27*B295-VERI_TABANI!D27)*VERI_TABANI!$B$8) + (MIN(MAX(0, VERI_TABANI!D27-VERI_TABANI!D27*B295), VERI_TABANI!D27*C295)*VERI_TABANI!$B$7 + MAX(0, VERI_TABANI!D27*C295-MAX(0, VERI_TABANI!D27-VERI_TABANI!D27*B295))*VERI_TABANI!$B$8) + IF(ABS(IF(ISNUMBER(SEARCH("Var", D295)), 1, IF(ISNUMBER(SEARCH("Gri", D295)), -1, 0)))=1, VERI_TABANI!E27*(1-0.928)*VERI_TABANI!$B$9, 0) + (VERI_TABANI!D27*B295*(VERI_TABANI!$B$13-VERI_TABANI!$B$14)*VERI_TABANI!G27) + (VERI_TABANI!D27*C295*(VERI_TABANI!$B$13-VERI_TABANI!$B$15)*VERI_TABANI!G27) + IF(ABS(IF(ISNUMBER(SEARCH("Var", D295)), 1, IF(ISNUMBER(SEARCH("Gri", D295)), -1, 0)))=1, VERI_TABANI!E27*(1-0.928)*0.00206091519919798*VERI_TABANI!G27, 0)) + ((MIN(VERI_TABANI!D28, VERI_TABANI!D28*B295)*VERI_TABANI!$B$7 + MAX(0, VERI_TABANI!D28*B295-VERI_TABANI!D28)*VERI_TABANI!$B$8) + (MIN(MAX(0, VERI_TABANI!D28-VERI_TABANI!D28*B295), VERI_TABANI!D28*C295)*VERI_TABANI!$B$7 + MAX(0, VERI_TABANI!D28*C295-MAX(0, VERI_TABANI!D28-VERI_TABANI!D28*B295))*VERI_TABANI!$B$8) + IF(ABS(IF(ISNUMBER(SEARCH("Var", D295)), 1, IF(ISNUMBER(SEARCH("Gri", D295)), -1, 0)))=1, VERI_TABANI!E28*(1-0.928)*VERI_TABANI!$B$9, 0) + (VERI_TABANI!D28*B295*(VERI_TABANI!$B$13-VERI_TABANI!$B$14)*VERI_TABANI!G28) + (VERI_TABANI!D28*C295*(VERI_TABANI!$B$13-VERI_TABANI!$B$15)*VERI_TABANI!G28) + IF(ABS(IF(ISNUMBER(SEARCH("Var", D295)), 1, IF(ISNUMBER(SEARCH("Gri", D295)), -1, 0)))=1, VERI_TABANI!E28*(1-0.928)*0.00206091519919798*VERI_TABANI!G28, 0)))</f>
        <v/>
      </c>
      <c r="H295" s="169">
        <f>(((VERI_TABANI!D23*B295*(VERI_TABANI!$B$13-VERI_TABANI!$B$14)) + (VERI_TABANI!D23*C295*(VERI_TABANI!$B$13-VERI_TABANI!$B$15)) + IF(ISNUMBER(SEARCH("Var", D295)), VERI_TABANI!F23*(0.00202-VERI_TABANI!$B$16), IF(ISNUMBER(SEARCH("Gri", D295)), VERI_TABANI!F23*(0.00202-VERI_TABANI!$B$17), 0))) + ((VERI_TABANI!D24*B295*(VERI_TABANI!$B$13-VERI_TABANI!$B$14)) + (VERI_TABANI!D24*C295*(VERI_TABANI!$B$13-VERI_TABANI!$B$15)) + IF(ISNUMBER(SEARCH("Var", D295)), VERI_TABANI!F24*(0.00202-VERI_TABANI!$B$16), IF(ISNUMBER(SEARCH("Gri", D295)), VERI_TABANI!F24*(0.00202-VERI_TABANI!$B$17), 0))) + ((VERI_TABANI!D25*B295*(VERI_TABANI!$B$13-VERI_TABANI!$B$14)) + (VERI_TABANI!D25*C295*(VERI_TABANI!$B$13-VERI_TABANI!$B$15)) + IF(ISNUMBER(SEARCH("Var", D295)), VERI_TABANI!F25*(0.00202-VERI_TABANI!$B$16), IF(ISNUMBER(SEARCH("Gri", D295)), VERI_TABANI!F25*(0.00202-VERI_TABANI!$B$17), 0))) + ((VERI_TABANI!D26*B295*(VERI_TABANI!$B$13-VERI_TABANI!$B$14)) + (VERI_TABANI!D26*C295*(VERI_TABANI!$B$13-VERI_TABANI!$B$15)) + IF(ISNUMBER(SEARCH("Var", D295)), VERI_TABANI!F26*(0.00202-VERI_TABANI!$B$16), IF(ISNUMBER(SEARCH("Gri", D295)), VERI_TABANI!F26*(0.00202-VERI_TABANI!$B$17), 0))) + ((VERI_TABANI!D27*B295*(VERI_TABANI!$B$13-VERI_TABANI!$B$14)) + (VERI_TABANI!D27*C295*(VERI_TABANI!$B$13-VERI_TABANI!$B$15)) + IF(ISNUMBER(SEARCH("Var", D295)), VERI_TABANI!F27*(0.00202-VERI_TABANI!$B$16), IF(ISNUMBER(SEARCH("Gri", D295)), VERI_TABANI!F27*(0.00202-VERI_TABANI!$B$17), 0))) + ((VERI_TABANI!D28*B295*(VERI_TABANI!$B$13-VERI_TABANI!$B$14)) + (VERI_TABANI!D28*C295*(VERI_TABANI!$B$13-VERI_TABANI!$B$15)) + IF(ISNUMBER(SEARCH("Var", D295)), VERI_TABANI!F28*(0.00202-VERI_TABANI!$B$16), IF(ISNUMBER(SEARCH("Gri", D295)), VERI_TABANI!F28*(0.00202-VERI_TABANI!$B$17), 0))))</f>
        <v/>
      </c>
      <c r="I295" s="170">
        <f>IFERROR(((VERI_TABANI!$D$29*B295*VERI_TABANI!$B$14 + VERI_TABANI!$D$29*C295*VERI_TABANI!$B$15 + IF(ISNUMBER(SEARCH("Var", D295)), VERI_TABANI!$F$29*VERI_TABANI!$B$16, 0))) / (((VERI_TABANI!$D$29*B295 + VERI_TABANI!$D$29*C295)*VERI_TABANI!$B$13 + IF(ISNUMBER(SEARCH("Var", D295)), VERI_TABANI!$E$29*(1-0.928)*VERI_TABANI!$B$18, 0))), 0)</f>
        <v/>
      </c>
      <c r="J295" s="171">
        <f>IFERROR(F295/(G295/29), 0)</f>
        <v/>
      </c>
      <c r="K295" s="172">
        <f>IF(F295&gt;0, H295/F295, 0)</f>
        <v/>
      </c>
      <c r="L295" s="170">
        <f>IF(F295&gt;0, I295, 1000000000)</f>
        <v/>
      </c>
      <c r="M295" s="171">
        <f>ABS((B295+C295)-1)</f>
        <v/>
      </c>
      <c r="N295" s="170">
        <f>IF(F295&gt;0, (G295/29)/F295, 0)</f>
        <v/>
      </c>
      <c r="O295" s="168">
        <f>IF(AND((B295+C295)&gt;=1, ISNUMBER(SEARCH("Var", D295))), F295, 1000000000)</f>
        <v/>
      </c>
      <c r="P295" s="172">
        <f>IF(F295&gt;0, SQRT((F295/MAX(F$5:F$886))^2 + (1 - H295/MAX(H$5:H$886))^2 + (J295/MAX(J$5:J$886))^2), 1000000000)</f>
        <v/>
      </c>
      <c r="Q295" s="166">
        <f>IF(AND(ABS(B295-0.5)&lt;0.01, ABS(C295-0.5)&lt;0.01, ISNUMBER(SEARCH("Var", D295))), 1, 0)</f>
        <v/>
      </c>
      <c r="R295" s="171">
        <f>IF(F295&gt;0, J295, 1000000000)</f>
        <v/>
      </c>
      <c r="S295" s="101">
        <f>IF(AND(F295&lt;=DASHBOARD!$B$11, H295&gt;=DASHBOARD!$B$13), G295, -1000000000000)</f>
        <v/>
      </c>
      <c r="T295" s="101">
        <f>IF(AND(F295&lt;=DASHBOARD!$B$11, H295&gt;=DASHBOARD!$B$13), R295, 1000000000000)</f>
        <v/>
      </c>
      <c r="U295" s="101">
        <f>IF(AND(F295&lt;=DASHBOARD!$B$11, H295&gt;=DASHBOARD!$B$13), N295, -1000000000000)</f>
        <v/>
      </c>
      <c r="V295" s="101">
        <f>IF(AND(F295&lt;=DASHBOARD!$B$11, H295&gt;=DASHBOARD!$B$13), H295, -1000000000000)</f>
        <v/>
      </c>
      <c r="W295" s="101">
        <f>IF(AND(F295&lt;=DASHBOARD!$B$11, H295&gt;=DASHBOARD!$B$13), K295, -1000000000000)</f>
        <v/>
      </c>
      <c r="X295" s="101">
        <f>IF(AND(F295&lt;=DASHBOARD!$B$11, H295&gt;=DASHBOARD!$B$13), M295, 1000000000000)</f>
        <v/>
      </c>
      <c r="Y295" s="101">
        <f>IF(AND(F295&lt;=DASHBOARD!$B$10, H295&gt;=DASHBOARD!$B$11), L295, 1000000000000)</f>
        <v/>
      </c>
      <c r="Z295" s="101">
        <f>IF(AND(F295&lt;=DASHBOARD!$B$10, H295&gt;=DASHBOARD!$B$11), O295, 1000000000000)</f>
        <v/>
      </c>
      <c r="AA295" s="101">
        <f>IF(AND(F295&lt;=DASHBOARD!$B$10, H295&gt;=DASHBOARD!$B$11), P295, 1000000000000)</f>
        <v/>
      </c>
      <c r="AB295" s="101">
        <f>IF(AND(F295&lt;=DASHBOARD!$B$10, H295&gt;=DASHBOARD!$B$11), Q295, -1000000000000)</f>
        <v/>
      </c>
    </row>
    <row r="296" ht="15" customHeight="1" s="102">
      <c r="A296" s="166" t="n">
        <v>292</v>
      </c>
      <c r="B296" s="167" t="n">
        <v>0.6</v>
      </c>
      <c r="C296" s="167" t="n">
        <v>1.9</v>
      </c>
      <c r="D296" s="110" t="inlineStr">
        <is>
          <t>Var (%20)</t>
        </is>
      </c>
      <c r="E296" s="110">
        <f>IF((B296+C296)&lt;=1, "Tam Mahsuplaşma (≤%100)", "Kısmi Satış (&gt;%100)")</f>
        <v/>
      </c>
      <c r="F296" s="168">
        <f>((VERI_TABANI!$D$29*B296/VERI_TABANI!$B$29)/VERI_TABANI!$B$3)*VERI_TABANI!$B$5 + ((VERI_TABANI!$D$29*C296/VERI_TABANI!$B$29)/VERI_TABANI!$B$4)*VERI_TABANI!$B$6 + IF(ISNUMBER(SEARCH("Var", D296)), (VERI_TABANI!$F$29/VERI_TABANI!$B$29)*(VERI_TABANI!$B$10+VERI_TABANI!$B$12), 0)</f>
        <v/>
      </c>
      <c r="G296" s="168">
        <f>(((MIN(VERI_TABANI!D23, VERI_TABANI!D23*B296)*VERI_TABANI!$B$7 + MAX(0, VERI_TABANI!D23*B296-VERI_TABANI!D23)*VERI_TABANI!$B$8) + (MIN(MAX(0, VERI_TABANI!D23-VERI_TABANI!D23*B296), VERI_TABANI!D23*C296)*VERI_TABANI!$B$7 + MAX(0, VERI_TABANI!D23*C296-MAX(0, VERI_TABANI!D23-VERI_TABANI!D23*B296))*VERI_TABANI!$B$8) + IF(ABS(IF(ISNUMBER(SEARCH("Var", D296)), 1, IF(ISNUMBER(SEARCH("Gri", D296)), -1, 0)))=1, VERI_TABANI!E23*(1-0.928)*VERI_TABANI!$B$9, 0) + (VERI_TABANI!D23*B296*(VERI_TABANI!$B$13-VERI_TABANI!$B$14)*VERI_TABANI!G23) + (VERI_TABANI!D23*C296*(VERI_TABANI!$B$13-VERI_TABANI!$B$15)*VERI_TABANI!G23) + IF(ABS(IF(ISNUMBER(SEARCH("Var", D296)), 1, IF(ISNUMBER(SEARCH("Gri", D296)), -1, 0)))=1, VERI_TABANI!E23*(1-0.928)*0.00206091519919798*VERI_TABANI!G23, 0)) + ((MIN(VERI_TABANI!D24, VERI_TABANI!D24*B296)*VERI_TABANI!$B$7 + MAX(0, VERI_TABANI!D24*B296-VERI_TABANI!D24)*VERI_TABANI!$B$8) + (MIN(MAX(0, VERI_TABANI!D24-VERI_TABANI!D24*B296), VERI_TABANI!D24*C296)*VERI_TABANI!$B$7 + MAX(0, VERI_TABANI!D24*C296-MAX(0, VERI_TABANI!D24-VERI_TABANI!D24*B296))*VERI_TABANI!$B$8) + IF(ABS(IF(ISNUMBER(SEARCH("Var", D296)), 1, IF(ISNUMBER(SEARCH("Gri", D296)), -1, 0)))=1, VERI_TABANI!E24*(1-0.928)*VERI_TABANI!$B$9, 0) + (VERI_TABANI!D24*B296*(VERI_TABANI!$B$13-VERI_TABANI!$B$14)*VERI_TABANI!G24) + (VERI_TABANI!D24*C296*(VERI_TABANI!$B$13-VERI_TABANI!$B$15)*VERI_TABANI!G24) + IF(ABS(IF(ISNUMBER(SEARCH("Var", D296)), 1, IF(ISNUMBER(SEARCH("Gri", D296)), -1, 0)))=1, VERI_TABANI!E24*(1-0.928)*0.00206091519919798*VERI_TABANI!G24, 0)) + ((MIN(VERI_TABANI!D25, VERI_TABANI!D25*B296)*VERI_TABANI!$B$7 + MAX(0, VERI_TABANI!D25*B296-VERI_TABANI!D25)*VERI_TABANI!$B$8) + (MIN(MAX(0, VERI_TABANI!D25-VERI_TABANI!D25*B296), VERI_TABANI!D25*C296)*VERI_TABANI!$B$7 + MAX(0, VERI_TABANI!D25*C296-MAX(0, VERI_TABANI!D25-VERI_TABANI!D25*B296))*VERI_TABANI!$B$8) + IF(ABS(IF(ISNUMBER(SEARCH("Var", D296)), 1, IF(ISNUMBER(SEARCH("Gri", D296)), -1, 0)))=1, VERI_TABANI!E25*(1-0.928)*VERI_TABANI!$B$9, 0) + (VERI_TABANI!D25*B296*(VERI_TABANI!$B$13-VERI_TABANI!$B$14)*VERI_TABANI!G25) + (VERI_TABANI!D25*C296*(VERI_TABANI!$B$13-VERI_TABANI!$B$15)*VERI_TABANI!G25) + IF(ABS(IF(ISNUMBER(SEARCH("Var", D296)), 1, IF(ISNUMBER(SEARCH("Gri", D296)), -1, 0)))=1, VERI_TABANI!E25*(1-0.928)*0.00206091519919798*VERI_TABANI!G25, 0)) + ((MIN(VERI_TABANI!D26, VERI_TABANI!D26*B296)*VERI_TABANI!$B$7 + MAX(0, VERI_TABANI!D26*B296-VERI_TABANI!D26)*VERI_TABANI!$B$8) + (MIN(MAX(0, VERI_TABANI!D26-VERI_TABANI!D26*B296), VERI_TABANI!D26*C296)*VERI_TABANI!$B$7 + MAX(0, VERI_TABANI!D26*C296-MAX(0, VERI_TABANI!D26-VERI_TABANI!D26*B296))*VERI_TABANI!$B$8) + IF(ABS(IF(ISNUMBER(SEARCH("Var", D296)), 1, IF(ISNUMBER(SEARCH("Gri", D296)), -1, 0)))=1, VERI_TABANI!E26*(1-0.928)*VERI_TABANI!$B$9, 0) + (VERI_TABANI!D26*B296*(VERI_TABANI!$B$13-VERI_TABANI!$B$14)*VERI_TABANI!G26) + (VERI_TABANI!D26*C296*(VERI_TABANI!$B$13-VERI_TABANI!$B$15)*VERI_TABANI!G26) + IF(ABS(IF(ISNUMBER(SEARCH("Var", D296)), 1, IF(ISNUMBER(SEARCH("Gri", D296)), -1, 0)))=1, VERI_TABANI!E26*(1-0.928)*0.00206091519919798*VERI_TABANI!G26, 0)) + ((MIN(VERI_TABANI!D27, VERI_TABANI!D27*B296)*VERI_TABANI!$B$7 + MAX(0, VERI_TABANI!D27*B296-VERI_TABANI!D27)*VERI_TABANI!$B$8) + (MIN(MAX(0, VERI_TABANI!D27-VERI_TABANI!D27*B296), VERI_TABANI!D27*C296)*VERI_TABANI!$B$7 + MAX(0, VERI_TABANI!D27*C296-MAX(0, VERI_TABANI!D27-VERI_TABANI!D27*B296))*VERI_TABANI!$B$8) + IF(ABS(IF(ISNUMBER(SEARCH("Var", D296)), 1, IF(ISNUMBER(SEARCH("Gri", D296)), -1, 0)))=1, VERI_TABANI!E27*(1-0.928)*VERI_TABANI!$B$9, 0) + (VERI_TABANI!D27*B296*(VERI_TABANI!$B$13-VERI_TABANI!$B$14)*VERI_TABANI!G27) + (VERI_TABANI!D27*C296*(VERI_TABANI!$B$13-VERI_TABANI!$B$15)*VERI_TABANI!G27) + IF(ABS(IF(ISNUMBER(SEARCH("Var", D296)), 1, IF(ISNUMBER(SEARCH("Gri", D296)), -1, 0)))=1, VERI_TABANI!E27*(1-0.928)*0.00206091519919798*VERI_TABANI!G27, 0)) + ((MIN(VERI_TABANI!D28, VERI_TABANI!D28*B296)*VERI_TABANI!$B$7 + MAX(0, VERI_TABANI!D28*B296-VERI_TABANI!D28)*VERI_TABANI!$B$8) + (MIN(MAX(0, VERI_TABANI!D28-VERI_TABANI!D28*B296), VERI_TABANI!D28*C296)*VERI_TABANI!$B$7 + MAX(0, VERI_TABANI!D28*C296-MAX(0, VERI_TABANI!D28-VERI_TABANI!D28*B296))*VERI_TABANI!$B$8) + IF(ABS(IF(ISNUMBER(SEARCH("Var", D296)), 1, IF(ISNUMBER(SEARCH("Gri", D296)), -1, 0)))=1, VERI_TABANI!E28*(1-0.928)*VERI_TABANI!$B$9, 0) + (VERI_TABANI!D28*B296*(VERI_TABANI!$B$13-VERI_TABANI!$B$14)*VERI_TABANI!G28) + (VERI_TABANI!D28*C296*(VERI_TABANI!$B$13-VERI_TABANI!$B$15)*VERI_TABANI!G28) + IF(ABS(IF(ISNUMBER(SEARCH("Var", D296)), 1, IF(ISNUMBER(SEARCH("Gri", D296)), -1, 0)))=1, VERI_TABANI!E28*(1-0.928)*0.00206091519919798*VERI_TABANI!G28, 0)))</f>
        <v/>
      </c>
      <c r="H296" s="169">
        <f>(((VERI_TABANI!D23*B296*(VERI_TABANI!$B$13-VERI_TABANI!$B$14)) + (VERI_TABANI!D23*C296*(VERI_TABANI!$B$13-VERI_TABANI!$B$15)) + IF(ISNUMBER(SEARCH("Var", D296)), VERI_TABANI!F23*(0.00202-VERI_TABANI!$B$16), IF(ISNUMBER(SEARCH("Gri", D296)), VERI_TABANI!F23*(0.00202-VERI_TABANI!$B$17), 0))) + ((VERI_TABANI!D24*B296*(VERI_TABANI!$B$13-VERI_TABANI!$B$14)) + (VERI_TABANI!D24*C296*(VERI_TABANI!$B$13-VERI_TABANI!$B$15)) + IF(ISNUMBER(SEARCH("Var", D296)), VERI_TABANI!F24*(0.00202-VERI_TABANI!$B$16), IF(ISNUMBER(SEARCH("Gri", D296)), VERI_TABANI!F24*(0.00202-VERI_TABANI!$B$17), 0))) + ((VERI_TABANI!D25*B296*(VERI_TABANI!$B$13-VERI_TABANI!$B$14)) + (VERI_TABANI!D25*C296*(VERI_TABANI!$B$13-VERI_TABANI!$B$15)) + IF(ISNUMBER(SEARCH("Var", D296)), VERI_TABANI!F25*(0.00202-VERI_TABANI!$B$16), IF(ISNUMBER(SEARCH("Gri", D296)), VERI_TABANI!F25*(0.00202-VERI_TABANI!$B$17), 0))) + ((VERI_TABANI!D26*B296*(VERI_TABANI!$B$13-VERI_TABANI!$B$14)) + (VERI_TABANI!D26*C296*(VERI_TABANI!$B$13-VERI_TABANI!$B$15)) + IF(ISNUMBER(SEARCH("Var", D296)), VERI_TABANI!F26*(0.00202-VERI_TABANI!$B$16), IF(ISNUMBER(SEARCH("Gri", D296)), VERI_TABANI!F26*(0.00202-VERI_TABANI!$B$17), 0))) + ((VERI_TABANI!D27*B296*(VERI_TABANI!$B$13-VERI_TABANI!$B$14)) + (VERI_TABANI!D27*C296*(VERI_TABANI!$B$13-VERI_TABANI!$B$15)) + IF(ISNUMBER(SEARCH("Var", D296)), VERI_TABANI!F27*(0.00202-VERI_TABANI!$B$16), IF(ISNUMBER(SEARCH("Gri", D296)), VERI_TABANI!F27*(0.00202-VERI_TABANI!$B$17), 0))) + ((VERI_TABANI!D28*B296*(VERI_TABANI!$B$13-VERI_TABANI!$B$14)) + (VERI_TABANI!D28*C296*(VERI_TABANI!$B$13-VERI_TABANI!$B$15)) + IF(ISNUMBER(SEARCH("Var", D296)), VERI_TABANI!F28*(0.00202-VERI_TABANI!$B$16), IF(ISNUMBER(SEARCH("Gri", D296)), VERI_TABANI!F28*(0.00202-VERI_TABANI!$B$17), 0))))</f>
        <v/>
      </c>
      <c r="I296" s="170">
        <f>IFERROR(((VERI_TABANI!$D$29*B296*VERI_TABANI!$B$14 + VERI_TABANI!$D$29*C296*VERI_TABANI!$B$15 + IF(ISNUMBER(SEARCH("Var", D296)), VERI_TABANI!$F$29*VERI_TABANI!$B$16, 0))) / (((VERI_TABANI!$D$29*B296 + VERI_TABANI!$D$29*C296)*VERI_TABANI!$B$13 + IF(ISNUMBER(SEARCH("Var", D296)), VERI_TABANI!$E$29*(1-0.928)*VERI_TABANI!$B$18, 0))), 0)</f>
        <v/>
      </c>
      <c r="J296" s="171">
        <f>IFERROR(F296/(G296/29), 0)</f>
        <v/>
      </c>
      <c r="K296" s="172">
        <f>IF(F296&gt;0, H296/F296, 0)</f>
        <v/>
      </c>
      <c r="L296" s="170">
        <f>IF(F296&gt;0, I296, 1000000000)</f>
        <v/>
      </c>
      <c r="M296" s="171">
        <f>ABS((B296+C296)-1)</f>
        <v/>
      </c>
      <c r="N296" s="170">
        <f>IF(F296&gt;0, (G296/29)/F296, 0)</f>
        <v/>
      </c>
      <c r="O296" s="168">
        <f>IF(AND((B296+C296)&gt;=1, ISNUMBER(SEARCH("Var", D296))), F296, 1000000000)</f>
        <v/>
      </c>
      <c r="P296" s="172">
        <f>IF(F296&gt;0, SQRT((F296/MAX(F$5:F$886))^2 + (1 - H296/MAX(H$5:H$886))^2 + (J296/MAX(J$5:J$886))^2), 1000000000)</f>
        <v/>
      </c>
      <c r="Q296" s="166">
        <f>IF(AND(ABS(B296-0.5)&lt;0.01, ABS(C296-0.5)&lt;0.01, ISNUMBER(SEARCH("Var", D296))), 1, 0)</f>
        <v/>
      </c>
      <c r="R296" s="171">
        <f>IF(F296&gt;0, J296, 1000000000)</f>
        <v/>
      </c>
      <c r="S296" s="101">
        <f>IF(AND(F296&lt;=DASHBOARD!$B$11, H296&gt;=DASHBOARD!$B$13), G296, -1000000000000)</f>
        <v/>
      </c>
      <c r="T296" s="101">
        <f>IF(AND(F296&lt;=DASHBOARD!$B$11, H296&gt;=DASHBOARD!$B$13), R296, 1000000000000)</f>
        <v/>
      </c>
      <c r="U296" s="101">
        <f>IF(AND(F296&lt;=DASHBOARD!$B$11, H296&gt;=DASHBOARD!$B$13), N296, -1000000000000)</f>
        <v/>
      </c>
      <c r="V296" s="101">
        <f>IF(AND(F296&lt;=DASHBOARD!$B$11, H296&gt;=DASHBOARD!$B$13), H296, -1000000000000)</f>
        <v/>
      </c>
      <c r="W296" s="101">
        <f>IF(AND(F296&lt;=DASHBOARD!$B$11, H296&gt;=DASHBOARD!$B$13), K296, -1000000000000)</f>
        <v/>
      </c>
      <c r="X296" s="101">
        <f>IF(AND(F296&lt;=DASHBOARD!$B$11, H296&gt;=DASHBOARD!$B$13), M296, 1000000000000)</f>
        <v/>
      </c>
      <c r="Y296" s="101">
        <f>IF(AND(F296&lt;=DASHBOARD!$B$10, H296&gt;=DASHBOARD!$B$11), L296, 1000000000000)</f>
        <v/>
      </c>
      <c r="Z296" s="101">
        <f>IF(AND(F296&lt;=DASHBOARD!$B$10, H296&gt;=DASHBOARD!$B$11), O296, 1000000000000)</f>
        <v/>
      </c>
      <c r="AA296" s="101">
        <f>IF(AND(F296&lt;=DASHBOARD!$B$10, H296&gt;=DASHBOARD!$B$11), P296, 1000000000000)</f>
        <v/>
      </c>
      <c r="AB296" s="101">
        <f>IF(AND(F296&lt;=DASHBOARD!$B$10, H296&gt;=DASHBOARD!$B$11), Q296, -1000000000000)</f>
        <v/>
      </c>
    </row>
    <row r="297" ht="15" customHeight="1" s="102">
      <c r="A297" s="166" t="n">
        <v>293</v>
      </c>
      <c r="B297" s="167" t="n">
        <v>0.6</v>
      </c>
      <c r="C297" s="167" t="n">
        <v>2</v>
      </c>
      <c r="D297" s="110" t="inlineStr">
        <is>
          <t>Yok (%0)</t>
        </is>
      </c>
      <c r="E297" s="110">
        <f>IF((B297+C297)&lt;=1, "Tam Mahsuplaşma (≤%100)", "Kısmi Satış (&gt;%100)")</f>
        <v/>
      </c>
      <c r="F297" s="168">
        <f>((VERI_TABANI!$D$29*B297/VERI_TABANI!$B$29)/VERI_TABANI!$B$3)*VERI_TABANI!$B$5 + ((VERI_TABANI!$D$29*C297/VERI_TABANI!$B$29)/VERI_TABANI!$B$4)*VERI_TABANI!$B$6 + IF(ISNUMBER(SEARCH("Var", D297)), (VERI_TABANI!$F$29/VERI_TABANI!$B$29)*(VERI_TABANI!$B$10+VERI_TABANI!$B$12), 0)</f>
        <v/>
      </c>
      <c r="G297" s="168">
        <f>(((MIN(VERI_TABANI!D23, VERI_TABANI!D23*B297)*VERI_TABANI!$B$7 + MAX(0, VERI_TABANI!D23*B297-VERI_TABANI!D23)*VERI_TABANI!$B$8) + (MIN(MAX(0, VERI_TABANI!D23-VERI_TABANI!D23*B297), VERI_TABANI!D23*C297)*VERI_TABANI!$B$7 + MAX(0, VERI_TABANI!D23*C297-MAX(0, VERI_TABANI!D23-VERI_TABANI!D23*B297))*VERI_TABANI!$B$8) + IF(ABS(IF(ISNUMBER(SEARCH("Var", D297)), 1, IF(ISNUMBER(SEARCH("Gri", D297)), -1, 0)))=1, VERI_TABANI!E23*(1-0.928)*VERI_TABANI!$B$9, 0) + (VERI_TABANI!D23*B297*(VERI_TABANI!$B$13-VERI_TABANI!$B$14)*VERI_TABANI!G23) + (VERI_TABANI!D23*C297*(VERI_TABANI!$B$13-VERI_TABANI!$B$15)*VERI_TABANI!G23) + IF(ABS(IF(ISNUMBER(SEARCH("Var", D297)), 1, IF(ISNUMBER(SEARCH("Gri", D297)), -1, 0)))=1, VERI_TABANI!E23*(1-0.928)*0.00206091519919798*VERI_TABANI!G23, 0)) + ((MIN(VERI_TABANI!D24, VERI_TABANI!D24*B297)*VERI_TABANI!$B$7 + MAX(0, VERI_TABANI!D24*B297-VERI_TABANI!D24)*VERI_TABANI!$B$8) + (MIN(MAX(0, VERI_TABANI!D24-VERI_TABANI!D24*B297), VERI_TABANI!D24*C297)*VERI_TABANI!$B$7 + MAX(0, VERI_TABANI!D24*C297-MAX(0, VERI_TABANI!D24-VERI_TABANI!D24*B297))*VERI_TABANI!$B$8) + IF(ABS(IF(ISNUMBER(SEARCH("Var", D297)), 1, IF(ISNUMBER(SEARCH("Gri", D297)), -1, 0)))=1, VERI_TABANI!E24*(1-0.928)*VERI_TABANI!$B$9, 0) + (VERI_TABANI!D24*B297*(VERI_TABANI!$B$13-VERI_TABANI!$B$14)*VERI_TABANI!G24) + (VERI_TABANI!D24*C297*(VERI_TABANI!$B$13-VERI_TABANI!$B$15)*VERI_TABANI!G24) + IF(ABS(IF(ISNUMBER(SEARCH("Var", D297)), 1, IF(ISNUMBER(SEARCH("Gri", D297)), -1, 0)))=1, VERI_TABANI!E24*(1-0.928)*0.00206091519919798*VERI_TABANI!G24, 0)) + ((MIN(VERI_TABANI!D25, VERI_TABANI!D25*B297)*VERI_TABANI!$B$7 + MAX(0, VERI_TABANI!D25*B297-VERI_TABANI!D25)*VERI_TABANI!$B$8) + (MIN(MAX(0, VERI_TABANI!D25-VERI_TABANI!D25*B297), VERI_TABANI!D25*C297)*VERI_TABANI!$B$7 + MAX(0, VERI_TABANI!D25*C297-MAX(0, VERI_TABANI!D25-VERI_TABANI!D25*B297))*VERI_TABANI!$B$8) + IF(ABS(IF(ISNUMBER(SEARCH("Var", D297)), 1, IF(ISNUMBER(SEARCH("Gri", D297)), -1, 0)))=1, VERI_TABANI!E25*(1-0.928)*VERI_TABANI!$B$9, 0) + (VERI_TABANI!D25*B297*(VERI_TABANI!$B$13-VERI_TABANI!$B$14)*VERI_TABANI!G25) + (VERI_TABANI!D25*C297*(VERI_TABANI!$B$13-VERI_TABANI!$B$15)*VERI_TABANI!G25) + IF(ABS(IF(ISNUMBER(SEARCH("Var", D297)), 1, IF(ISNUMBER(SEARCH("Gri", D297)), -1, 0)))=1, VERI_TABANI!E25*(1-0.928)*0.00206091519919798*VERI_TABANI!G25, 0)) + ((MIN(VERI_TABANI!D26, VERI_TABANI!D26*B297)*VERI_TABANI!$B$7 + MAX(0, VERI_TABANI!D26*B297-VERI_TABANI!D26)*VERI_TABANI!$B$8) + (MIN(MAX(0, VERI_TABANI!D26-VERI_TABANI!D26*B297), VERI_TABANI!D26*C297)*VERI_TABANI!$B$7 + MAX(0, VERI_TABANI!D26*C297-MAX(0, VERI_TABANI!D26-VERI_TABANI!D26*B297))*VERI_TABANI!$B$8) + IF(ABS(IF(ISNUMBER(SEARCH("Var", D297)), 1, IF(ISNUMBER(SEARCH("Gri", D297)), -1, 0)))=1, VERI_TABANI!E26*(1-0.928)*VERI_TABANI!$B$9, 0) + (VERI_TABANI!D26*B297*(VERI_TABANI!$B$13-VERI_TABANI!$B$14)*VERI_TABANI!G26) + (VERI_TABANI!D26*C297*(VERI_TABANI!$B$13-VERI_TABANI!$B$15)*VERI_TABANI!G26) + IF(ABS(IF(ISNUMBER(SEARCH("Var", D297)), 1, IF(ISNUMBER(SEARCH("Gri", D297)), -1, 0)))=1, VERI_TABANI!E26*(1-0.928)*0.00206091519919798*VERI_TABANI!G26, 0)) + ((MIN(VERI_TABANI!D27, VERI_TABANI!D27*B297)*VERI_TABANI!$B$7 + MAX(0, VERI_TABANI!D27*B297-VERI_TABANI!D27)*VERI_TABANI!$B$8) + (MIN(MAX(0, VERI_TABANI!D27-VERI_TABANI!D27*B297), VERI_TABANI!D27*C297)*VERI_TABANI!$B$7 + MAX(0, VERI_TABANI!D27*C297-MAX(0, VERI_TABANI!D27-VERI_TABANI!D27*B297))*VERI_TABANI!$B$8) + IF(ABS(IF(ISNUMBER(SEARCH("Var", D297)), 1, IF(ISNUMBER(SEARCH("Gri", D297)), -1, 0)))=1, VERI_TABANI!E27*(1-0.928)*VERI_TABANI!$B$9, 0) + (VERI_TABANI!D27*B297*(VERI_TABANI!$B$13-VERI_TABANI!$B$14)*VERI_TABANI!G27) + (VERI_TABANI!D27*C297*(VERI_TABANI!$B$13-VERI_TABANI!$B$15)*VERI_TABANI!G27) + IF(ABS(IF(ISNUMBER(SEARCH("Var", D297)), 1, IF(ISNUMBER(SEARCH("Gri", D297)), -1, 0)))=1, VERI_TABANI!E27*(1-0.928)*0.00206091519919798*VERI_TABANI!G27, 0)) + ((MIN(VERI_TABANI!D28, VERI_TABANI!D28*B297)*VERI_TABANI!$B$7 + MAX(0, VERI_TABANI!D28*B297-VERI_TABANI!D28)*VERI_TABANI!$B$8) + (MIN(MAX(0, VERI_TABANI!D28-VERI_TABANI!D28*B297), VERI_TABANI!D28*C297)*VERI_TABANI!$B$7 + MAX(0, VERI_TABANI!D28*C297-MAX(0, VERI_TABANI!D28-VERI_TABANI!D28*B297))*VERI_TABANI!$B$8) + IF(ABS(IF(ISNUMBER(SEARCH("Var", D297)), 1, IF(ISNUMBER(SEARCH("Gri", D297)), -1, 0)))=1, VERI_TABANI!E28*(1-0.928)*VERI_TABANI!$B$9, 0) + (VERI_TABANI!D28*B297*(VERI_TABANI!$B$13-VERI_TABANI!$B$14)*VERI_TABANI!G28) + (VERI_TABANI!D28*C297*(VERI_TABANI!$B$13-VERI_TABANI!$B$15)*VERI_TABANI!G28) + IF(ABS(IF(ISNUMBER(SEARCH("Var", D297)), 1, IF(ISNUMBER(SEARCH("Gri", D297)), -1, 0)))=1, VERI_TABANI!E28*(1-0.928)*0.00206091519919798*VERI_TABANI!G28, 0)))</f>
        <v/>
      </c>
      <c r="H297" s="169">
        <f>(((VERI_TABANI!D23*B297*(VERI_TABANI!$B$13-VERI_TABANI!$B$14)) + (VERI_TABANI!D23*C297*(VERI_TABANI!$B$13-VERI_TABANI!$B$15)) + IF(ISNUMBER(SEARCH("Var", D297)), VERI_TABANI!F23*(0.00202-VERI_TABANI!$B$16), IF(ISNUMBER(SEARCH("Gri", D297)), VERI_TABANI!F23*(0.00202-VERI_TABANI!$B$17), 0))) + ((VERI_TABANI!D24*B297*(VERI_TABANI!$B$13-VERI_TABANI!$B$14)) + (VERI_TABANI!D24*C297*(VERI_TABANI!$B$13-VERI_TABANI!$B$15)) + IF(ISNUMBER(SEARCH("Var", D297)), VERI_TABANI!F24*(0.00202-VERI_TABANI!$B$16), IF(ISNUMBER(SEARCH("Gri", D297)), VERI_TABANI!F24*(0.00202-VERI_TABANI!$B$17), 0))) + ((VERI_TABANI!D25*B297*(VERI_TABANI!$B$13-VERI_TABANI!$B$14)) + (VERI_TABANI!D25*C297*(VERI_TABANI!$B$13-VERI_TABANI!$B$15)) + IF(ISNUMBER(SEARCH("Var", D297)), VERI_TABANI!F25*(0.00202-VERI_TABANI!$B$16), IF(ISNUMBER(SEARCH("Gri", D297)), VERI_TABANI!F25*(0.00202-VERI_TABANI!$B$17), 0))) + ((VERI_TABANI!D26*B297*(VERI_TABANI!$B$13-VERI_TABANI!$B$14)) + (VERI_TABANI!D26*C297*(VERI_TABANI!$B$13-VERI_TABANI!$B$15)) + IF(ISNUMBER(SEARCH("Var", D297)), VERI_TABANI!F26*(0.00202-VERI_TABANI!$B$16), IF(ISNUMBER(SEARCH("Gri", D297)), VERI_TABANI!F26*(0.00202-VERI_TABANI!$B$17), 0))) + ((VERI_TABANI!D27*B297*(VERI_TABANI!$B$13-VERI_TABANI!$B$14)) + (VERI_TABANI!D27*C297*(VERI_TABANI!$B$13-VERI_TABANI!$B$15)) + IF(ISNUMBER(SEARCH("Var", D297)), VERI_TABANI!F27*(0.00202-VERI_TABANI!$B$16), IF(ISNUMBER(SEARCH("Gri", D297)), VERI_TABANI!F27*(0.00202-VERI_TABANI!$B$17), 0))) + ((VERI_TABANI!D28*B297*(VERI_TABANI!$B$13-VERI_TABANI!$B$14)) + (VERI_TABANI!D28*C297*(VERI_TABANI!$B$13-VERI_TABANI!$B$15)) + IF(ISNUMBER(SEARCH("Var", D297)), VERI_TABANI!F28*(0.00202-VERI_TABANI!$B$16), IF(ISNUMBER(SEARCH("Gri", D297)), VERI_TABANI!F28*(0.00202-VERI_TABANI!$B$17), 0))))</f>
        <v/>
      </c>
      <c r="I297" s="170">
        <f>IFERROR(((VERI_TABANI!$D$29*B297*VERI_TABANI!$B$14 + VERI_TABANI!$D$29*C297*VERI_TABANI!$B$15 + IF(ISNUMBER(SEARCH("Var", D297)), VERI_TABANI!$F$29*VERI_TABANI!$B$16, 0))) / (((VERI_TABANI!$D$29*B297 + VERI_TABANI!$D$29*C297)*VERI_TABANI!$B$13 + IF(ISNUMBER(SEARCH("Var", D297)), VERI_TABANI!$E$29*(1-0.928)*VERI_TABANI!$B$18, 0))), 0)</f>
        <v/>
      </c>
      <c r="J297" s="171">
        <f>IFERROR(F297/(G297/29), 0)</f>
        <v/>
      </c>
      <c r="K297" s="172">
        <f>IF(F297&gt;0, H297/F297, 0)</f>
        <v/>
      </c>
      <c r="L297" s="170">
        <f>IF(F297&gt;0, I297, 1000000000)</f>
        <v/>
      </c>
      <c r="M297" s="171">
        <f>ABS((B297+C297)-1)</f>
        <v/>
      </c>
      <c r="N297" s="170">
        <f>IF(F297&gt;0, (G297/29)/F297, 0)</f>
        <v/>
      </c>
      <c r="O297" s="168">
        <f>IF(AND((B297+C297)&gt;=1, ISNUMBER(SEARCH("Var", D297))), F297, 1000000000)</f>
        <v/>
      </c>
      <c r="P297" s="172">
        <f>IF(F297&gt;0, SQRT((F297/MAX(F$5:F$886))^2 + (1 - H297/MAX(H$5:H$886))^2 + (J297/MAX(J$5:J$886))^2), 1000000000)</f>
        <v/>
      </c>
      <c r="Q297" s="166">
        <f>IF(AND(ABS(B297-0.5)&lt;0.01, ABS(C297-0.5)&lt;0.01, ISNUMBER(SEARCH("Var", D297))), 1, 0)</f>
        <v/>
      </c>
      <c r="R297" s="171">
        <f>IF(F297&gt;0, J297, 1000000000)</f>
        <v/>
      </c>
      <c r="S297" s="101">
        <f>IF(AND(F297&lt;=DASHBOARD!$B$11, H297&gt;=DASHBOARD!$B$13), G297, -1000000000000)</f>
        <v/>
      </c>
      <c r="T297" s="101">
        <f>IF(AND(F297&lt;=DASHBOARD!$B$11, H297&gt;=DASHBOARD!$B$13), R297, 1000000000000)</f>
        <v/>
      </c>
      <c r="U297" s="101">
        <f>IF(AND(F297&lt;=DASHBOARD!$B$11, H297&gt;=DASHBOARD!$B$13), N297, -1000000000000)</f>
        <v/>
      </c>
      <c r="V297" s="101">
        <f>IF(AND(F297&lt;=DASHBOARD!$B$11, H297&gt;=DASHBOARD!$B$13), H297, -1000000000000)</f>
        <v/>
      </c>
      <c r="W297" s="101">
        <f>IF(AND(F297&lt;=DASHBOARD!$B$11, H297&gt;=DASHBOARD!$B$13), K297, -1000000000000)</f>
        <v/>
      </c>
      <c r="X297" s="101">
        <f>IF(AND(F297&lt;=DASHBOARD!$B$11, H297&gt;=DASHBOARD!$B$13), M297, 1000000000000)</f>
        <v/>
      </c>
      <c r="Y297" s="101">
        <f>IF(AND(F297&lt;=DASHBOARD!$B$10, H297&gt;=DASHBOARD!$B$11), L297, 1000000000000)</f>
        <v/>
      </c>
      <c r="Z297" s="101">
        <f>IF(AND(F297&lt;=DASHBOARD!$B$10, H297&gt;=DASHBOARD!$B$11), O297, 1000000000000)</f>
        <v/>
      </c>
      <c r="AA297" s="101">
        <f>IF(AND(F297&lt;=DASHBOARD!$B$10, H297&gt;=DASHBOARD!$B$11), P297, 1000000000000)</f>
        <v/>
      </c>
      <c r="AB297" s="101">
        <f>IF(AND(F297&lt;=DASHBOARD!$B$10, H297&gt;=DASHBOARD!$B$11), Q297, -1000000000000)</f>
        <v/>
      </c>
    </row>
    <row r="298" ht="15" customHeight="1" s="102">
      <c r="A298" s="166" t="n">
        <v>294</v>
      </c>
      <c r="B298" s="167" t="n">
        <v>0.6</v>
      </c>
      <c r="C298" s="167" t="n">
        <v>2</v>
      </c>
      <c r="D298" s="110" t="inlineStr">
        <is>
          <t>Var (%20)</t>
        </is>
      </c>
      <c r="E298" s="110">
        <f>IF((B298+C298)&lt;=1, "Tam Mahsuplaşma (≤%100)", "Kısmi Satış (&gt;%100)")</f>
        <v/>
      </c>
      <c r="F298" s="168">
        <f>((VERI_TABANI!$D$29*B298/VERI_TABANI!$B$29)/VERI_TABANI!$B$3)*VERI_TABANI!$B$5 + ((VERI_TABANI!$D$29*C298/VERI_TABANI!$B$29)/VERI_TABANI!$B$4)*VERI_TABANI!$B$6 + IF(ISNUMBER(SEARCH("Var", D298)), (VERI_TABANI!$F$29/VERI_TABANI!$B$29)*(VERI_TABANI!$B$10+VERI_TABANI!$B$12), 0)</f>
        <v/>
      </c>
      <c r="G298" s="168">
        <f>(((MIN(VERI_TABANI!D23, VERI_TABANI!D23*B298)*VERI_TABANI!$B$7 + MAX(0, VERI_TABANI!D23*B298-VERI_TABANI!D23)*VERI_TABANI!$B$8) + (MIN(MAX(0, VERI_TABANI!D23-VERI_TABANI!D23*B298), VERI_TABANI!D23*C298)*VERI_TABANI!$B$7 + MAX(0, VERI_TABANI!D23*C298-MAX(0, VERI_TABANI!D23-VERI_TABANI!D23*B298))*VERI_TABANI!$B$8) + IF(ABS(IF(ISNUMBER(SEARCH("Var", D298)), 1, IF(ISNUMBER(SEARCH("Gri", D298)), -1, 0)))=1, VERI_TABANI!E23*(1-0.928)*VERI_TABANI!$B$9, 0) + (VERI_TABANI!D23*B298*(VERI_TABANI!$B$13-VERI_TABANI!$B$14)*VERI_TABANI!G23) + (VERI_TABANI!D23*C298*(VERI_TABANI!$B$13-VERI_TABANI!$B$15)*VERI_TABANI!G23) + IF(ABS(IF(ISNUMBER(SEARCH("Var", D298)), 1, IF(ISNUMBER(SEARCH("Gri", D298)), -1, 0)))=1, VERI_TABANI!E23*(1-0.928)*0.00206091519919798*VERI_TABANI!G23, 0)) + ((MIN(VERI_TABANI!D24, VERI_TABANI!D24*B298)*VERI_TABANI!$B$7 + MAX(0, VERI_TABANI!D24*B298-VERI_TABANI!D24)*VERI_TABANI!$B$8) + (MIN(MAX(0, VERI_TABANI!D24-VERI_TABANI!D24*B298), VERI_TABANI!D24*C298)*VERI_TABANI!$B$7 + MAX(0, VERI_TABANI!D24*C298-MAX(0, VERI_TABANI!D24-VERI_TABANI!D24*B298))*VERI_TABANI!$B$8) + IF(ABS(IF(ISNUMBER(SEARCH("Var", D298)), 1, IF(ISNUMBER(SEARCH("Gri", D298)), -1, 0)))=1, VERI_TABANI!E24*(1-0.928)*VERI_TABANI!$B$9, 0) + (VERI_TABANI!D24*B298*(VERI_TABANI!$B$13-VERI_TABANI!$B$14)*VERI_TABANI!G24) + (VERI_TABANI!D24*C298*(VERI_TABANI!$B$13-VERI_TABANI!$B$15)*VERI_TABANI!G24) + IF(ABS(IF(ISNUMBER(SEARCH("Var", D298)), 1, IF(ISNUMBER(SEARCH("Gri", D298)), -1, 0)))=1, VERI_TABANI!E24*(1-0.928)*0.00206091519919798*VERI_TABANI!G24, 0)) + ((MIN(VERI_TABANI!D25, VERI_TABANI!D25*B298)*VERI_TABANI!$B$7 + MAX(0, VERI_TABANI!D25*B298-VERI_TABANI!D25)*VERI_TABANI!$B$8) + (MIN(MAX(0, VERI_TABANI!D25-VERI_TABANI!D25*B298), VERI_TABANI!D25*C298)*VERI_TABANI!$B$7 + MAX(0, VERI_TABANI!D25*C298-MAX(0, VERI_TABANI!D25-VERI_TABANI!D25*B298))*VERI_TABANI!$B$8) + IF(ABS(IF(ISNUMBER(SEARCH("Var", D298)), 1, IF(ISNUMBER(SEARCH("Gri", D298)), -1, 0)))=1, VERI_TABANI!E25*(1-0.928)*VERI_TABANI!$B$9, 0) + (VERI_TABANI!D25*B298*(VERI_TABANI!$B$13-VERI_TABANI!$B$14)*VERI_TABANI!G25) + (VERI_TABANI!D25*C298*(VERI_TABANI!$B$13-VERI_TABANI!$B$15)*VERI_TABANI!G25) + IF(ABS(IF(ISNUMBER(SEARCH("Var", D298)), 1, IF(ISNUMBER(SEARCH("Gri", D298)), -1, 0)))=1, VERI_TABANI!E25*(1-0.928)*0.00206091519919798*VERI_TABANI!G25, 0)) + ((MIN(VERI_TABANI!D26, VERI_TABANI!D26*B298)*VERI_TABANI!$B$7 + MAX(0, VERI_TABANI!D26*B298-VERI_TABANI!D26)*VERI_TABANI!$B$8) + (MIN(MAX(0, VERI_TABANI!D26-VERI_TABANI!D26*B298), VERI_TABANI!D26*C298)*VERI_TABANI!$B$7 + MAX(0, VERI_TABANI!D26*C298-MAX(0, VERI_TABANI!D26-VERI_TABANI!D26*B298))*VERI_TABANI!$B$8) + IF(ABS(IF(ISNUMBER(SEARCH("Var", D298)), 1, IF(ISNUMBER(SEARCH("Gri", D298)), -1, 0)))=1, VERI_TABANI!E26*(1-0.928)*VERI_TABANI!$B$9, 0) + (VERI_TABANI!D26*B298*(VERI_TABANI!$B$13-VERI_TABANI!$B$14)*VERI_TABANI!G26) + (VERI_TABANI!D26*C298*(VERI_TABANI!$B$13-VERI_TABANI!$B$15)*VERI_TABANI!G26) + IF(ABS(IF(ISNUMBER(SEARCH("Var", D298)), 1, IF(ISNUMBER(SEARCH("Gri", D298)), -1, 0)))=1, VERI_TABANI!E26*(1-0.928)*0.00206091519919798*VERI_TABANI!G26, 0)) + ((MIN(VERI_TABANI!D27, VERI_TABANI!D27*B298)*VERI_TABANI!$B$7 + MAX(0, VERI_TABANI!D27*B298-VERI_TABANI!D27)*VERI_TABANI!$B$8) + (MIN(MAX(0, VERI_TABANI!D27-VERI_TABANI!D27*B298), VERI_TABANI!D27*C298)*VERI_TABANI!$B$7 + MAX(0, VERI_TABANI!D27*C298-MAX(0, VERI_TABANI!D27-VERI_TABANI!D27*B298))*VERI_TABANI!$B$8) + IF(ABS(IF(ISNUMBER(SEARCH("Var", D298)), 1, IF(ISNUMBER(SEARCH("Gri", D298)), -1, 0)))=1, VERI_TABANI!E27*(1-0.928)*VERI_TABANI!$B$9, 0) + (VERI_TABANI!D27*B298*(VERI_TABANI!$B$13-VERI_TABANI!$B$14)*VERI_TABANI!G27) + (VERI_TABANI!D27*C298*(VERI_TABANI!$B$13-VERI_TABANI!$B$15)*VERI_TABANI!G27) + IF(ABS(IF(ISNUMBER(SEARCH("Var", D298)), 1, IF(ISNUMBER(SEARCH("Gri", D298)), -1, 0)))=1, VERI_TABANI!E27*(1-0.928)*0.00206091519919798*VERI_TABANI!G27, 0)) + ((MIN(VERI_TABANI!D28, VERI_TABANI!D28*B298)*VERI_TABANI!$B$7 + MAX(0, VERI_TABANI!D28*B298-VERI_TABANI!D28)*VERI_TABANI!$B$8) + (MIN(MAX(0, VERI_TABANI!D28-VERI_TABANI!D28*B298), VERI_TABANI!D28*C298)*VERI_TABANI!$B$7 + MAX(0, VERI_TABANI!D28*C298-MAX(0, VERI_TABANI!D28-VERI_TABANI!D28*B298))*VERI_TABANI!$B$8) + IF(ABS(IF(ISNUMBER(SEARCH("Var", D298)), 1, IF(ISNUMBER(SEARCH("Gri", D298)), -1, 0)))=1, VERI_TABANI!E28*(1-0.928)*VERI_TABANI!$B$9, 0) + (VERI_TABANI!D28*B298*(VERI_TABANI!$B$13-VERI_TABANI!$B$14)*VERI_TABANI!G28) + (VERI_TABANI!D28*C298*(VERI_TABANI!$B$13-VERI_TABANI!$B$15)*VERI_TABANI!G28) + IF(ABS(IF(ISNUMBER(SEARCH("Var", D298)), 1, IF(ISNUMBER(SEARCH("Gri", D298)), -1, 0)))=1, VERI_TABANI!E28*(1-0.928)*0.00206091519919798*VERI_TABANI!G28, 0)))</f>
        <v/>
      </c>
      <c r="H298" s="169">
        <f>(((VERI_TABANI!D23*B298*(VERI_TABANI!$B$13-VERI_TABANI!$B$14)) + (VERI_TABANI!D23*C298*(VERI_TABANI!$B$13-VERI_TABANI!$B$15)) + IF(ISNUMBER(SEARCH("Var", D298)), VERI_TABANI!F23*(0.00202-VERI_TABANI!$B$16), IF(ISNUMBER(SEARCH("Gri", D298)), VERI_TABANI!F23*(0.00202-VERI_TABANI!$B$17), 0))) + ((VERI_TABANI!D24*B298*(VERI_TABANI!$B$13-VERI_TABANI!$B$14)) + (VERI_TABANI!D24*C298*(VERI_TABANI!$B$13-VERI_TABANI!$B$15)) + IF(ISNUMBER(SEARCH("Var", D298)), VERI_TABANI!F24*(0.00202-VERI_TABANI!$B$16), IF(ISNUMBER(SEARCH("Gri", D298)), VERI_TABANI!F24*(0.00202-VERI_TABANI!$B$17), 0))) + ((VERI_TABANI!D25*B298*(VERI_TABANI!$B$13-VERI_TABANI!$B$14)) + (VERI_TABANI!D25*C298*(VERI_TABANI!$B$13-VERI_TABANI!$B$15)) + IF(ISNUMBER(SEARCH("Var", D298)), VERI_TABANI!F25*(0.00202-VERI_TABANI!$B$16), IF(ISNUMBER(SEARCH("Gri", D298)), VERI_TABANI!F25*(0.00202-VERI_TABANI!$B$17), 0))) + ((VERI_TABANI!D26*B298*(VERI_TABANI!$B$13-VERI_TABANI!$B$14)) + (VERI_TABANI!D26*C298*(VERI_TABANI!$B$13-VERI_TABANI!$B$15)) + IF(ISNUMBER(SEARCH("Var", D298)), VERI_TABANI!F26*(0.00202-VERI_TABANI!$B$16), IF(ISNUMBER(SEARCH("Gri", D298)), VERI_TABANI!F26*(0.00202-VERI_TABANI!$B$17), 0))) + ((VERI_TABANI!D27*B298*(VERI_TABANI!$B$13-VERI_TABANI!$B$14)) + (VERI_TABANI!D27*C298*(VERI_TABANI!$B$13-VERI_TABANI!$B$15)) + IF(ISNUMBER(SEARCH("Var", D298)), VERI_TABANI!F27*(0.00202-VERI_TABANI!$B$16), IF(ISNUMBER(SEARCH("Gri", D298)), VERI_TABANI!F27*(0.00202-VERI_TABANI!$B$17), 0))) + ((VERI_TABANI!D28*B298*(VERI_TABANI!$B$13-VERI_TABANI!$B$14)) + (VERI_TABANI!D28*C298*(VERI_TABANI!$B$13-VERI_TABANI!$B$15)) + IF(ISNUMBER(SEARCH("Var", D298)), VERI_TABANI!F28*(0.00202-VERI_TABANI!$B$16), IF(ISNUMBER(SEARCH("Gri", D298)), VERI_TABANI!F28*(0.00202-VERI_TABANI!$B$17), 0))))</f>
        <v/>
      </c>
      <c r="I298" s="170">
        <f>IFERROR(((VERI_TABANI!$D$29*B298*VERI_TABANI!$B$14 + VERI_TABANI!$D$29*C298*VERI_TABANI!$B$15 + IF(ISNUMBER(SEARCH("Var", D298)), VERI_TABANI!$F$29*VERI_TABANI!$B$16, 0))) / (((VERI_TABANI!$D$29*B298 + VERI_TABANI!$D$29*C298)*VERI_TABANI!$B$13 + IF(ISNUMBER(SEARCH("Var", D298)), VERI_TABANI!$E$29*(1-0.928)*VERI_TABANI!$B$18, 0))), 0)</f>
        <v/>
      </c>
      <c r="J298" s="171">
        <f>IFERROR(F298/(G298/29), 0)</f>
        <v/>
      </c>
      <c r="K298" s="172">
        <f>IF(F298&gt;0, H298/F298, 0)</f>
        <v/>
      </c>
      <c r="L298" s="170">
        <f>IF(F298&gt;0, I298, 1000000000)</f>
        <v/>
      </c>
      <c r="M298" s="171">
        <f>ABS((B298+C298)-1)</f>
        <v/>
      </c>
      <c r="N298" s="170">
        <f>IF(F298&gt;0, (G298/29)/F298, 0)</f>
        <v/>
      </c>
      <c r="O298" s="168">
        <f>IF(AND((B298+C298)&gt;=1, ISNUMBER(SEARCH("Var", D298))), F298, 1000000000)</f>
        <v/>
      </c>
      <c r="P298" s="172">
        <f>IF(F298&gt;0, SQRT((F298/MAX(F$5:F$886))^2 + (1 - H298/MAX(H$5:H$886))^2 + (J298/MAX(J$5:J$886))^2), 1000000000)</f>
        <v/>
      </c>
      <c r="Q298" s="166">
        <f>IF(AND(ABS(B298-0.5)&lt;0.01, ABS(C298-0.5)&lt;0.01, ISNUMBER(SEARCH("Var", D298))), 1, 0)</f>
        <v/>
      </c>
      <c r="R298" s="171">
        <f>IF(F298&gt;0, J298, 1000000000)</f>
        <v/>
      </c>
      <c r="S298" s="101">
        <f>IF(AND(F298&lt;=DASHBOARD!$B$11, H298&gt;=DASHBOARD!$B$13), G298, -1000000000000)</f>
        <v/>
      </c>
      <c r="T298" s="101">
        <f>IF(AND(F298&lt;=DASHBOARD!$B$11, H298&gt;=DASHBOARD!$B$13), R298, 1000000000000)</f>
        <v/>
      </c>
      <c r="U298" s="101">
        <f>IF(AND(F298&lt;=DASHBOARD!$B$11, H298&gt;=DASHBOARD!$B$13), N298, -1000000000000)</f>
        <v/>
      </c>
      <c r="V298" s="101">
        <f>IF(AND(F298&lt;=DASHBOARD!$B$11, H298&gt;=DASHBOARD!$B$13), H298, -1000000000000)</f>
        <v/>
      </c>
      <c r="W298" s="101">
        <f>IF(AND(F298&lt;=DASHBOARD!$B$11, H298&gt;=DASHBOARD!$B$13), K298, -1000000000000)</f>
        <v/>
      </c>
      <c r="X298" s="101">
        <f>IF(AND(F298&lt;=DASHBOARD!$B$11, H298&gt;=DASHBOARD!$B$13), M298, 1000000000000)</f>
        <v/>
      </c>
      <c r="Y298" s="101">
        <f>IF(AND(F298&lt;=DASHBOARD!$B$10, H298&gt;=DASHBOARD!$B$11), L298, 1000000000000)</f>
        <v/>
      </c>
      <c r="Z298" s="101">
        <f>IF(AND(F298&lt;=DASHBOARD!$B$10, H298&gt;=DASHBOARD!$B$11), O298, 1000000000000)</f>
        <v/>
      </c>
      <c r="AA298" s="101">
        <f>IF(AND(F298&lt;=DASHBOARD!$B$10, H298&gt;=DASHBOARD!$B$11), P298, 1000000000000)</f>
        <v/>
      </c>
      <c r="AB298" s="101">
        <f>IF(AND(F298&lt;=DASHBOARD!$B$10, H298&gt;=DASHBOARD!$B$11), Q298, -1000000000000)</f>
        <v/>
      </c>
    </row>
    <row r="299" ht="15" customHeight="1" s="102">
      <c r="A299" s="166" t="n">
        <v>295</v>
      </c>
      <c r="B299" s="167" t="n">
        <v>0.7</v>
      </c>
      <c r="C299" s="167" t="n">
        <v>0</v>
      </c>
      <c r="D299" s="110" t="inlineStr">
        <is>
          <t>Yok (%0)</t>
        </is>
      </c>
      <c r="E299" s="110">
        <f>IF((B299+C299)&lt;=1, "Tam Mahsuplaşma (≤%100)", "Kısmi Satış (&gt;%100)")</f>
        <v/>
      </c>
      <c r="F299" s="168">
        <f>((VERI_TABANI!$D$29*B299/VERI_TABANI!$B$29)/VERI_TABANI!$B$3)*VERI_TABANI!$B$5 + ((VERI_TABANI!$D$29*C299/VERI_TABANI!$B$29)/VERI_TABANI!$B$4)*VERI_TABANI!$B$6 + IF(ISNUMBER(SEARCH("Var", D299)), (VERI_TABANI!$F$29/VERI_TABANI!$B$29)*(VERI_TABANI!$B$10+VERI_TABANI!$B$12), 0)</f>
        <v/>
      </c>
      <c r="G299" s="168">
        <f>(((MIN(VERI_TABANI!D23, VERI_TABANI!D23*B299)*VERI_TABANI!$B$7 + MAX(0, VERI_TABANI!D23*B299-VERI_TABANI!D23)*VERI_TABANI!$B$8) + (MIN(MAX(0, VERI_TABANI!D23-VERI_TABANI!D23*B299), VERI_TABANI!D23*C299)*VERI_TABANI!$B$7 + MAX(0, VERI_TABANI!D23*C299-MAX(0, VERI_TABANI!D23-VERI_TABANI!D23*B299))*VERI_TABANI!$B$8) + IF(ABS(IF(ISNUMBER(SEARCH("Var", D299)), 1, IF(ISNUMBER(SEARCH("Gri", D299)), -1, 0)))=1, VERI_TABANI!E23*(1-0.928)*VERI_TABANI!$B$9, 0) + (VERI_TABANI!D23*B299*(VERI_TABANI!$B$13-VERI_TABANI!$B$14)*VERI_TABANI!G23) + (VERI_TABANI!D23*C299*(VERI_TABANI!$B$13-VERI_TABANI!$B$15)*VERI_TABANI!G23) + IF(ABS(IF(ISNUMBER(SEARCH("Var", D299)), 1, IF(ISNUMBER(SEARCH("Gri", D299)), -1, 0)))=1, VERI_TABANI!E23*(1-0.928)*0.00206091519919798*VERI_TABANI!G23, 0)) + ((MIN(VERI_TABANI!D24, VERI_TABANI!D24*B299)*VERI_TABANI!$B$7 + MAX(0, VERI_TABANI!D24*B299-VERI_TABANI!D24)*VERI_TABANI!$B$8) + (MIN(MAX(0, VERI_TABANI!D24-VERI_TABANI!D24*B299), VERI_TABANI!D24*C299)*VERI_TABANI!$B$7 + MAX(0, VERI_TABANI!D24*C299-MAX(0, VERI_TABANI!D24-VERI_TABANI!D24*B299))*VERI_TABANI!$B$8) + IF(ABS(IF(ISNUMBER(SEARCH("Var", D299)), 1, IF(ISNUMBER(SEARCH("Gri", D299)), -1, 0)))=1, VERI_TABANI!E24*(1-0.928)*VERI_TABANI!$B$9, 0) + (VERI_TABANI!D24*B299*(VERI_TABANI!$B$13-VERI_TABANI!$B$14)*VERI_TABANI!G24) + (VERI_TABANI!D24*C299*(VERI_TABANI!$B$13-VERI_TABANI!$B$15)*VERI_TABANI!G24) + IF(ABS(IF(ISNUMBER(SEARCH("Var", D299)), 1, IF(ISNUMBER(SEARCH("Gri", D299)), -1, 0)))=1, VERI_TABANI!E24*(1-0.928)*0.00206091519919798*VERI_TABANI!G24, 0)) + ((MIN(VERI_TABANI!D25, VERI_TABANI!D25*B299)*VERI_TABANI!$B$7 + MAX(0, VERI_TABANI!D25*B299-VERI_TABANI!D25)*VERI_TABANI!$B$8) + (MIN(MAX(0, VERI_TABANI!D25-VERI_TABANI!D25*B299), VERI_TABANI!D25*C299)*VERI_TABANI!$B$7 + MAX(0, VERI_TABANI!D25*C299-MAX(0, VERI_TABANI!D25-VERI_TABANI!D25*B299))*VERI_TABANI!$B$8) + IF(ABS(IF(ISNUMBER(SEARCH("Var", D299)), 1, IF(ISNUMBER(SEARCH("Gri", D299)), -1, 0)))=1, VERI_TABANI!E25*(1-0.928)*VERI_TABANI!$B$9, 0) + (VERI_TABANI!D25*B299*(VERI_TABANI!$B$13-VERI_TABANI!$B$14)*VERI_TABANI!G25) + (VERI_TABANI!D25*C299*(VERI_TABANI!$B$13-VERI_TABANI!$B$15)*VERI_TABANI!G25) + IF(ABS(IF(ISNUMBER(SEARCH("Var", D299)), 1, IF(ISNUMBER(SEARCH("Gri", D299)), -1, 0)))=1, VERI_TABANI!E25*(1-0.928)*0.00206091519919798*VERI_TABANI!G25, 0)) + ((MIN(VERI_TABANI!D26, VERI_TABANI!D26*B299)*VERI_TABANI!$B$7 + MAX(0, VERI_TABANI!D26*B299-VERI_TABANI!D26)*VERI_TABANI!$B$8) + (MIN(MAX(0, VERI_TABANI!D26-VERI_TABANI!D26*B299), VERI_TABANI!D26*C299)*VERI_TABANI!$B$7 + MAX(0, VERI_TABANI!D26*C299-MAX(0, VERI_TABANI!D26-VERI_TABANI!D26*B299))*VERI_TABANI!$B$8) + IF(ABS(IF(ISNUMBER(SEARCH("Var", D299)), 1, IF(ISNUMBER(SEARCH("Gri", D299)), -1, 0)))=1, VERI_TABANI!E26*(1-0.928)*VERI_TABANI!$B$9, 0) + (VERI_TABANI!D26*B299*(VERI_TABANI!$B$13-VERI_TABANI!$B$14)*VERI_TABANI!G26) + (VERI_TABANI!D26*C299*(VERI_TABANI!$B$13-VERI_TABANI!$B$15)*VERI_TABANI!G26) + IF(ABS(IF(ISNUMBER(SEARCH("Var", D299)), 1, IF(ISNUMBER(SEARCH("Gri", D299)), -1, 0)))=1, VERI_TABANI!E26*(1-0.928)*0.00206091519919798*VERI_TABANI!G26, 0)) + ((MIN(VERI_TABANI!D27, VERI_TABANI!D27*B299)*VERI_TABANI!$B$7 + MAX(0, VERI_TABANI!D27*B299-VERI_TABANI!D27)*VERI_TABANI!$B$8) + (MIN(MAX(0, VERI_TABANI!D27-VERI_TABANI!D27*B299), VERI_TABANI!D27*C299)*VERI_TABANI!$B$7 + MAX(0, VERI_TABANI!D27*C299-MAX(0, VERI_TABANI!D27-VERI_TABANI!D27*B299))*VERI_TABANI!$B$8) + IF(ABS(IF(ISNUMBER(SEARCH("Var", D299)), 1, IF(ISNUMBER(SEARCH("Gri", D299)), -1, 0)))=1, VERI_TABANI!E27*(1-0.928)*VERI_TABANI!$B$9, 0) + (VERI_TABANI!D27*B299*(VERI_TABANI!$B$13-VERI_TABANI!$B$14)*VERI_TABANI!G27) + (VERI_TABANI!D27*C299*(VERI_TABANI!$B$13-VERI_TABANI!$B$15)*VERI_TABANI!G27) + IF(ABS(IF(ISNUMBER(SEARCH("Var", D299)), 1, IF(ISNUMBER(SEARCH("Gri", D299)), -1, 0)))=1, VERI_TABANI!E27*(1-0.928)*0.00206091519919798*VERI_TABANI!G27, 0)) + ((MIN(VERI_TABANI!D28, VERI_TABANI!D28*B299)*VERI_TABANI!$B$7 + MAX(0, VERI_TABANI!D28*B299-VERI_TABANI!D28)*VERI_TABANI!$B$8) + (MIN(MAX(0, VERI_TABANI!D28-VERI_TABANI!D28*B299), VERI_TABANI!D28*C299)*VERI_TABANI!$B$7 + MAX(0, VERI_TABANI!D28*C299-MAX(0, VERI_TABANI!D28-VERI_TABANI!D28*B299))*VERI_TABANI!$B$8) + IF(ABS(IF(ISNUMBER(SEARCH("Var", D299)), 1, IF(ISNUMBER(SEARCH("Gri", D299)), -1, 0)))=1, VERI_TABANI!E28*(1-0.928)*VERI_TABANI!$B$9, 0) + (VERI_TABANI!D28*B299*(VERI_TABANI!$B$13-VERI_TABANI!$B$14)*VERI_TABANI!G28) + (VERI_TABANI!D28*C299*(VERI_TABANI!$B$13-VERI_TABANI!$B$15)*VERI_TABANI!G28) + IF(ABS(IF(ISNUMBER(SEARCH("Var", D299)), 1, IF(ISNUMBER(SEARCH("Gri", D299)), -1, 0)))=1, VERI_TABANI!E28*(1-0.928)*0.00206091519919798*VERI_TABANI!G28, 0)))</f>
        <v/>
      </c>
      <c r="H299" s="169">
        <f>(((VERI_TABANI!D23*B299*(VERI_TABANI!$B$13-VERI_TABANI!$B$14)) + (VERI_TABANI!D23*C299*(VERI_TABANI!$B$13-VERI_TABANI!$B$15)) + IF(ISNUMBER(SEARCH("Var", D299)), VERI_TABANI!F23*(0.00202-VERI_TABANI!$B$16), IF(ISNUMBER(SEARCH("Gri", D299)), VERI_TABANI!F23*(0.00202-VERI_TABANI!$B$17), 0))) + ((VERI_TABANI!D24*B299*(VERI_TABANI!$B$13-VERI_TABANI!$B$14)) + (VERI_TABANI!D24*C299*(VERI_TABANI!$B$13-VERI_TABANI!$B$15)) + IF(ISNUMBER(SEARCH("Var", D299)), VERI_TABANI!F24*(0.00202-VERI_TABANI!$B$16), IF(ISNUMBER(SEARCH("Gri", D299)), VERI_TABANI!F24*(0.00202-VERI_TABANI!$B$17), 0))) + ((VERI_TABANI!D25*B299*(VERI_TABANI!$B$13-VERI_TABANI!$B$14)) + (VERI_TABANI!D25*C299*(VERI_TABANI!$B$13-VERI_TABANI!$B$15)) + IF(ISNUMBER(SEARCH("Var", D299)), VERI_TABANI!F25*(0.00202-VERI_TABANI!$B$16), IF(ISNUMBER(SEARCH("Gri", D299)), VERI_TABANI!F25*(0.00202-VERI_TABANI!$B$17), 0))) + ((VERI_TABANI!D26*B299*(VERI_TABANI!$B$13-VERI_TABANI!$B$14)) + (VERI_TABANI!D26*C299*(VERI_TABANI!$B$13-VERI_TABANI!$B$15)) + IF(ISNUMBER(SEARCH("Var", D299)), VERI_TABANI!F26*(0.00202-VERI_TABANI!$B$16), IF(ISNUMBER(SEARCH("Gri", D299)), VERI_TABANI!F26*(0.00202-VERI_TABANI!$B$17), 0))) + ((VERI_TABANI!D27*B299*(VERI_TABANI!$B$13-VERI_TABANI!$B$14)) + (VERI_TABANI!D27*C299*(VERI_TABANI!$B$13-VERI_TABANI!$B$15)) + IF(ISNUMBER(SEARCH("Var", D299)), VERI_TABANI!F27*(0.00202-VERI_TABANI!$B$16), IF(ISNUMBER(SEARCH("Gri", D299)), VERI_TABANI!F27*(0.00202-VERI_TABANI!$B$17), 0))) + ((VERI_TABANI!D28*B299*(VERI_TABANI!$B$13-VERI_TABANI!$B$14)) + (VERI_TABANI!D28*C299*(VERI_TABANI!$B$13-VERI_TABANI!$B$15)) + IF(ISNUMBER(SEARCH("Var", D299)), VERI_TABANI!F28*(0.00202-VERI_TABANI!$B$16), IF(ISNUMBER(SEARCH("Gri", D299)), VERI_TABANI!F28*(0.00202-VERI_TABANI!$B$17), 0))))</f>
        <v/>
      </c>
      <c r="I299" s="170">
        <f>IFERROR(((VERI_TABANI!$D$29*B299*VERI_TABANI!$B$14 + VERI_TABANI!$D$29*C299*VERI_TABANI!$B$15 + IF(ISNUMBER(SEARCH("Var", D299)), VERI_TABANI!$F$29*VERI_TABANI!$B$16, 0))) / (((VERI_TABANI!$D$29*B299 + VERI_TABANI!$D$29*C299)*VERI_TABANI!$B$13 + IF(ISNUMBER(SEARCH("Var", D299)), VERI_TABANI!$E$29*(1-0.928)*VERI_TABANI!$B$18, 0))), 0)</f>
        <v/>
      </c>
      <c r="J299" s="171">
        <f>IFERROR(F299/(G299/29), 0)</f>
        <v/>
      </c>
      <c r="K299" s="172">
        <f>IF(F299&gt;0, H299/F299, 0)</f>
        <v/>
      </c>
      <c r="L299" s="170">
        <f>IF(F299&gt;0, I299, 1000000000)</f>
        <v/>
      </c>
      <c r="M299" s="171">
        <f>ABS((B299+C299)-1)</f>
        <v/>
      </c>
      <c r="N299" s="170">
        <f>IF(F299&gt;0, (G299/29)/F299, 0)</f>
        <v/>
      </c>
      <c r="O299" s="168">
        <f>IF(AND((B299+C299)&gt;=1, ISNUMBER(SEARCH("Var", D299))), F299, 1000000000)</f>
        <v/>
      </c>
      <c r="P299" s="172">
        <f>IF(F299&gt;0, SQRT((F299/MAX(F$5:F$886))^2 + (1 - H299/MAX(H$5:H$886))^2 + (J299/MAX(J$5:J$886))^2), 1000000000)</f>
        <v/>
      </c>
      <c r="Q299" s="166">
        <f>IF(AND(ABS(B299-0.5)&lt;0.01, ABS(C299-0.5)&lt;0.01, ISNUMBER(SEARCH("Var", D299))), 1, 0)</f>
        <v/>
      </c>
      <c r="R299" s="171">
        <f>IF(F299&gt;0, J299, 1000000000)</f>
        <v/>
      </c>
      <c r="S299" s="101">
        <f>IF(AND(F299&lt;=DASHBOARD!$B$11, H299&gt;=DASHBOARD!$B$13), G299, -1000000000000)</f>
        <v/>
      </c>
      <c r="T299" s="101">
        <f>IF(AND(F299&lt;=DASHBOARD!$B$11, H299&gt;=DASHBOARD!$B$13), R299, 1000000000000)</f>
        <v/>
      </c>
      <c r="U299" s="101">
        <f>IF(AND(F299&lt;=DASHBOARD!$B$11, H299&gt;=DASHBOARD!$B$13), N299, -1000000000000)</f>
        <v/>
      </c>
      <c r="V299" s="101">
        <f>IF(AND(F299&lt;=DASHBOARD!$B$11, H299&gt;=DASHBOARD!$B$13), H299, -1000000000000)</f>
        <v/>
      </c>
      <c r="W299" s="101">
        <f>IF(AND(F299&lt;=DASHBOARD!$B$11, H299&gt;=DASHBOARD!$B$13), K299, -1000000000000)</f>
        <v/>
      </c>
      <c r="X299" s="101">
        <f>IF(AND(F299&lt;=DASHBOARD!$B$11, H299&gt;=DASHBOARD!$B$13), M299, 1000000000000)</f>
        <v/>
      </c>
      <c r="Y299" s="101">
        <f>IF(AND(F299&lt;=DASHBOARD!$B$10, H299&gt;=DASHBOARD!$B$11), L299, 1000000000000)</f>
        <v/>
      </c>
      <c r="Z299" s="101">
        <f>IF(AND(F299&lt;=DASHBOARD!$B$10, H299&gt;=DASHBOARD!$B$11), O299, 1000000000000)</f>
        <v/>
      </c>
      <c r="AA299" s="101">
        <f>IF(AND(F299&lt;=DASHBOARD!$B$10, H299&gt;=DASHBOARD!$B$11), P299, 1000000000000)</f>
        <v/>
      </c>
      <c r="AB299" s="101">
        <f>IF(AND(F299&lt;=DASHBOARD!$B$10, H299&gt;=DASHBOARD!$B$11), Q299, -1000000000000)</f>
        <v/>
      </c>
    </row>
    <row r="300" ht="15" customHeight="1" s="102">
      <c r="A300" s="166" t="n">
        <v>296</v>
      </c>
      <c r="B300" s="167" t="n">
        <v>0.7</v>
      </c>
      <c r="C300" s="167" t="n">
        <v>0</v>
      </c>
      <c r="D300" s="110" t="inlineStr">
        <is>
          <t>Var (%20)</t>
        </is>
      </c>
      <c r="E300" s="110">
        <f>IF((B300+C300)&lt;=1, "Tam Mahsuplaşma (≤%100)", "Kısmi Satış (&gt;%100)")</f>
        <v/>
      </c>
      <c r="F300" s="168">
        <f>((VERI_TABANI!$D$29*B300/VERI_TABANI!$B$29)/VERI_TABANI!$B$3)*VERI_TABANI!$B$5 + ((VERI_TABANI!$D$29*C300/VERI_TABANI!$B$29)/VERI_TABANI!$B$4)*VERI_TABANI!$B$6 + IF(ISNUMBER(SEARCH("Var", D300)), (VERI_TABANI!$F$29/VERI_TABANI!$B$29)*(VERI_TABANI!$B$10+VERI_TABANI!$B$12), 0)</f>
        <v/>
      </c>
      <c r="G300" s="168">
        <f>(((MIN(VERI_TABANI!D23, VERI_TABANI!D23*B300)*VERI_TABANI!$B$7 + MAX(0, VERI_TABANI!D23*B300-VERI_TABANI!D23)*VERI_TABANI!$B$8) + (MIN(MAX(0, VERI_TABANI!D23-VERI_TABANI!D23*B300), VERI_TABANI!D23*C300)*VERI_TABANI!$B$7 + MAX(0, VERI_TABANI!D23*C300-MAX(0, VERI_TABANI!D23-VERI_TABANI!D23*B300))*VERI_TABANI!$B$8) + IF(ABS(IF(ISNUMBER(SEARCH("Var", D300)), 1, IF(ISNUMBER(SEARCH("Gri", D300)), -1, 0)))=1, VERI_TABANI!E23*(1-0.928)*VERI_TABANI!$B$9, 0) + (VERI_TABANI!D23*B300*(VERI_TABANI!$B$13-VERI_TABANI!$B$14)*VERI_TABANI!G23) + (VERI_TABANI!D23*C300*(VERI_TABANI!$B$13-VERI_TABANI!$B$15)*VERI_TABANI!G23) + IF(ABS(IF(ISNUMBER(SEARCH("Var", D300)), 1, IF(ISNUMBER(SEARCH("Gri", D300)), -1, 0)))=1, VERI_TABANI!E23*(1-0.928)*0.00206091519919798*VERI_TABANI!G23, 0)) + ((MIN(VERI_TABANI!D24, VERI_TABANI!D24*B300)*VERI_TABANI!$B$7 + MAX(0, VERI_TABANI!D24*B300-VERI_TABANI!D24)*VERI_TABANI!$B$8) + (MIN(MAX(0, VERI_TABANI!D24-VERI_TABANI!D24*B300), VERI_TABANI!D24*C300)*VERI_TABANI!$B$7 + MAX(0, VERI_TABANI!D24*C300-MAX(0, VERI_TABANI!D24-VERI_TABANI!D24*B300))*VERI_TABANI!$B$8) + IF(ABS(IF(ISNUMBER(SEARCH("Var", D300)), 1, IF(ISNUMBER(SEARCH("Gri", D300)), -1, 0)))=1, VERI_TABANI!E24*(1-0.928)*VERI_TABANI!$B$9, 0) + (VERI_TABANI!D24*B300*(VERI_TABANI!$B$13-VERI_TABANI!$B$14)*VERI_TABANI!G24) + (VERI_TABANI!D24*C300*(VERI_TABANI!$B$13-VERI_TABANI!$B$15)*VERI_TABANI!G24) + IF(ABS(IF(ISNUMBER(SEARCH("Var", D300)), 1, IF(ISNUMBER(SEARCH("Gri", D300)), -1, 0)))=1, VERI_TABANI!E24*(1-0.928)*0.00206091519919798*VERI_TABANI!G24, 0)) + ((MIN(VERI_TABANI!D25, VERI_TABANI!D25*B300)*VERI_TABANI!$B$7 + MAX(0, VERI_TABANI!D25*B300-VERI_TABANI!D25)*VERI_TABANI!$B$8) + (MIN(MAX(0, VERI_TABANI!D25-VERI_TABANI!D25*B300), VERI_TABANI!D25*C300)*VERI_TABANI!$B$7 + MAX(0, VERI_TABANI!D25*C300-MAX(0, VERI_TABANI!D25-VERI_TABANI!D25*B300))*VERI_TABANI!$B$8) + IF(ABS(IF(ISNUMBER(SEARCH("Var", D300)), 1, IF(ISNUMBER(SEARCH("Gri", D300)), -1, 0)))=1, VERI_TABANI!E25*(1-0.928)*VERI_TABANI!$B$9, 0) + (VERI_TABANI!D25*B300*(VERI_TABANI!$B$13-VERI_TABANI!$B$14)*VERI_TABANI!G25) + (VERI_TABANI!D25*C300*(VERI_TABANI!$B$13-VERI_TABANI!$B$15)*VERI_TABANI!G25) + IF(ABS(IF(ISNUMBER(SEARCH("Var", D300)), 1, IF(ISNUMBER(SEARCH("Gri", D300)), -1, 0)))=1, VERI_TABANI!E25*(1-0.928)*0.00206091519919798*VERI_TABANI!G25, 0)) + ((MIN(VERI_TABANI!D26, VERI_TABANI!D26*B300)*VERI_TABANI!$B$7 + MAX(0, VERI_TABANI!D26*B300-VERI_TABANI!D26)*VERI_TABANI!$B$8) + (MIN(MAX(0, VERI_TABANI!D26-VERI_TABANI!D26*B300), VERI_TABANI!D26*C300)*VERI_TABANI!$B$7 + MAX(0, VERI_TABANI!D26*C300-MAX(0, VERI_TABANI!D26-VERI_TABANI!D26*B300))*VERI_TABANI!$B$8) + IF(ABS(IF(ISNUMBER(SEARCH("Var", D300)), 1, IF(ISNUMBER(SEARCH("Gri", D300)), -1, 0)))=1, VERI_TABANI!E26*(1-0.928)*VERI_TABANI!$B$9, 0) + (VERI_TABANI!D26*B300*(VERI_TABANI!$B$13-VERI_TABANI!$B$14)*VERI_TABANI!G26) + (VERI_TABANI!D26*C300*(VERI_TABANI!$B$13-VERI_TABANI!$B$15)*VERI_TABANI!G26) + IF(ABS(IF(ISNUMBER(SEARCH("Var", D300)), 1, IF(ISNUMBER(SEARCH("Gri", D300)), -1, 0)))=1, VERI_TABANI!E26*(1-0.928)*0.00206091519919798*VERI_TABANI!G26, 0)) + ((MIN(VERI_TABANI!D27, VERI_TABANI!D27*B300)*VERI_TABANI!$B$7 + MAX(0, VERI_TABANI!D27*B300-VERI_TABANI!D27)*VERI_TABANI!$B$8) + (MIN(MAX(0, VERI_TABANI!D27-VERI_TABANI!D27*B300), VERI_TABANI!D27*C300)*VERI_TABANI!$B$7 + MAX(0, VERI_TABANI!D27*C300-MAX(0, VERI_TABANI!D27-VERI_TABANI!D27*B300))*VERI_TABANI!$B$8) + IF(ABS(IF(ISNUMBER(SEARCH("Var", D300)), 1, IF(ISNUMBER(SEARCH("Gri", D300)), -1, 0)))=1, VERI_TABANI!E27*(1-0.928)*VERI_TABANI!$B$9, 0) + (VERI_TABANI!D27*B300*(VERI_TABANI!$B$13-VERI_TABANI!$B$14)*VERI_TABANI!G27) + (VERI_TABANI!D27*C300*(VERI_TABANI!$B$13-VERI_TABANI!$B$15)*VERI_TABANI!G27) + IF(ABS(IF(ISNUMBER(SEARCH("Var", D300)), 1, IF(ISNUMBER(SEARCH("Gri", D300)), -1, 0)))=1, VERI_TABANI!E27*(1-0.928)*0.00206091519919798*VERI_TABANI!G27, 0)) + ((MIN(VERI_TABANI!D28, VERI_TABANI!D28*B300)*VERI_TABANI!$B$7 + MAX(0, VERI_TABANI!D28*B300-VERI_TABANI!D28)*VERI_TABANI!$B$8) + (MIN(MAX(0, VERI_TABANI!D28-VERI_TABANI!D28*B300), VERI_TABANI!D28*C300)*VERI_TABANI!$B$7 + MAX(0, VERI_TABANI!D28*C300-MAX(0, VERI_TABANI!D28-VERI_TABANI!D28*B300))*VERI_TABANI!$B$8) + IF(ABS(IF(ISNUMBER(SEARCH("Var", D300)), 1, IF(ISNUMBER(SEARCH("Gri", D300)), -1, 0)))=1, VERI_TABANI!E28*(1-0.928)*VERI_TABANI!$B$9, 0) + (VERI_TABANI!D28*B300*(VERI_TABANI!$B$13-VERI_TABANI!$B$14)*VERI_TABANI!G28) + (VERI_TABANI!D28*C300*(VERI_TABANI!$B$13-VERI_TABANI!$B$15)*VERI_TABANI!G28) + IF(ABS(IF(ISNUMBER(SEARCH("Var", D300)), 1, IF(ISNUMBER(SEARCH("Gri", D300)), -1, 0)))=1, VERI_TABANI!E28*(1-0.928)*0.00206091519919798*VERI_TABANI!G28, 0)))</f>
        <v/>
      </c>
      <c r="H300" s="169">
        <f>(((VERI_TABANI!D23*B300*(VERI_TABANI!$B$13-VERI_TABANI!$B$14)) + (VERI_TABANI!D23*C300*(VERI_TABANI!$B$13-VERI_TABANI!$B$15)) + IF(ISNUMBER(SEARCH("Var", D300)), VERI_TABANI!F23*(0.00202-VERI_TABANI!$B$16), IF(ISNUMBER(SEARCH("Gri", D300)), VERI_TABANI!F23*(0.00202-VERI_TABANI!$B$17), 0))) + ((VERI_TABANI!D24*B300*(VERI_TABANI!$B$13-VERI_TABANI!$B$14)) + (VERI_TABANI!D24*C300*(VERI_TABANI!$B$13-VERI_TABANI!$B$15)) + IF(ISNUMBER(SEARCH("Var", D300)), VERI_TABANI!F24*(0.00202-VERI_TABANI!$B$16), IF(ISNUMBER(SEARCH("Gri", D300)), VERI_TABANI!F24*(0.00202-VERI_TABANI!$B$17), 0))) + ((VERI_TABANI!D25*B300*(VERI_TABANI!$B$13-VERI_TABANI!$B$14)) + (VERI_TABANI!D25*C300*(VERI_TABANI!$B$13-VERI_TABANI!$B$15)) + IF(ISNUMBER(SEARCH("Var", D300)), VERI_TABANI!F25*(0.00202-VERI_TABANI!$B$16), IF(ISNUMBER(SEARCH("Gri", D300)), VERI_TABANI!F25*(0.00202-VERI_TABANI!$B$17), 0))) + ((VERI_TABANI!D26*B300*(VERI_TABANI!$B$13-VERI_TABANI!$B$14)) + (VERI_TABANI!D26*C300*(VERI_TABANI!$B$13-VERI_TABANI!$B$15)) + IF(ISNUMBER(SEARCH("Var", D300)), VERI_TABANI!F26*(0.00202-VERI_TABANI!$B$16), IF(ISNUMBER(SEARCH("Gri", D300)), VERI_TABANI!F26*(0.00202-VERI_TABANI!$B$17), 0))) + ((VERI_TABANI!D27*B300*(VERI_TABANI!$B$13-VERI_TABANI!$B$14)) + (VERI_TABANI!D27*C300*(VERI_TABANI!$B$13-VERI_TABANI!$B$15)) + IF(ISNUMBER(SEARCH("Var", D300)), VERI_TABANI!F27*(0.00202-VERI_TABANI!$B$16), IF(ISNUMBER(SEARCH("Gri", D300)), VERI_TABANI!F27*(0.00202-VERI_TABANI!$B$17), 0))) + ((VERI_TABANI!D28*B300*(VERI_TABANI!$B$13-VERI_TABANI!$B$14)) + (VERI_TABANI!D28*C300*(VERI_TABANI!$B$13-VERI_TABANI!$B$15)) + IF(ISNUMBER(SEARCH("Var", D300)), VERI_TABANI!F28*(0.00202-VERI_TABANI!$B$16), IF(ISNUMBER(SEARCH("Gri", D300)), VERI_TABANI!F28*(0.00202-VERI_TABANI!$B$17), 0))))</f>
        <v/>
      </c>
      <c r="I300" s="170">
        <f>IFERROR(((VERI_TABANI!$D$29*B300*VERI_TABANI!$B$14 + VERI_TABANI!$D$29*C300*VERI_TABANI!$B$15 + IF(ISNUMBER(SEARCH("Var", D300)), VERI_TABANI!$F$29*VERI_TABANI!$B$16, 0))) / (((VERI_TABANI!$D$29*B300 + VERI_TABANI!$D$29*C300)*VERI_TABANI!$B$13 + IF(ISNUMBER(SEARCH("Var", D300)), VERI_TABANI!$E$29*(1-0.928)*VERI_TABANI!$B$18, 0))), 0)</f>
        <v/>
      </c>
      <c r="J300" s="171">
        <f>IFERROR(F300/(G300/29), 0)</f>
        <v/>
      </c>
      <c r="K300" s="172">
        <f>IF(F300&gt;0, H300/F300, 0)</f>
        <v/>
      </c>
      <c r="L300" s="170">
        <f>IF(F300&gt;0, I300, 1000000000)</f>
        <v/>
      </c>
      <c r="M300" s="171">
        <f>ABS((B300+C300)-1)</f>
        <v/>
      </c>
      <c r="N300" s="170">
        <f>IF(F300&gt;0, (G300/29)/F300, 0)</f>
        <v/>
      </c>
      <c r="O300" s="168">
        <f>IF(AND((B300+C300)&gt;=1, ISNUMBER(SEARCH("Var", D300))), F300, 1000000000)</f>
        <v/>
      </c>
      <c r="P300" s="172">
        <f>IF(F300&gt;0, SQRT((F300/MAX(F$5:F$886))^2 + (1 - H300/MAX(H$5:H$886))^2 + (J300/MAX(J$5:J$886))^2), 1000000000)</f>
        <v/>
      </c>
      <c r="Q300" s="166">
        <f>IF(AND(ABS(B300-0.5)&lt;0.01, ABS(C300-0.5)&lt;0.01, ISNUMBER(SEARCH("Var", D300))), 1, 0)</f>
        <v/>
      </c>
      <c r="R300" s="171">
        <f>IF(F300&gt;0, J300, 1000000000)</f>
        <v/>
      </c>
      <c r="S300" s="101">
        <f>IF(AND(F300&lt;=DASHBOARD!$B$11, H300&gt;=DASHBOARD!$B$13), G300, -1000000000000)</f>
        <v/>
      </c>
      <c r="T300" s="101">
        <f>IF(AND(F300&lt;=DASHBOARD!$B$11, H300&gt;=DASHBOARD!$B$13), R300, 1000000000000)</f>
        <v/>
      </c>
      <c r="U300" s="101">
        <f>IF(AND(F300&lt;=DASHBOARD!$B$11, H300&gt;=DASHBOARD!$B$13), N300, -1000000000000)</f>
        <v/>
      </c>
      <c r="V300" s="101">
        <f>IF(AND(F300&lt;=DASHBOARD!$B$11, H300&gt;=DASHBOARD!$B$13), H300, -1000000000000)</f>
        <v/>
      </c>
      <c r="W300" s="101">
        <f>IF(AND(F300&lt;=DASHBOARD!$B$11, H300&gt;=DASHBOARD!$B$13), K300, -1000000000000)</f>
        <v/>
      </c>
      <c r="X300" s="101">
        <f>IF(AND(F300&lt;=DASHBOARD!$B$11, H300&gt;=DASHBOARD!$B$13), M300, 1000000000000)</f>
        <v/>
      </c>
      <c r="Y300" s="101">
        <f>IF(AND(F300&lt;=DASHBOARD!$B$10, H300&gt;=DASHBOARD!$B$11), L300, 1000000000000)</f>
        <v/>
      </c>
      <c r="Z300" s="101">
        <f>IF(AND(F300&lt;=DASHBOARD!$B$10, H300&gt;=DASHBOARD!$B$11), O300, 1000000000000)</f>
        <v/>
      </c>
      <c r="AA300" s="101">
        <f>IF(AND(F300&lt;=DASHBOARD!$B$10, H300&gt;=DASHBOARD!$B$11), P300, 1000000000000)</f>
        <v/>
      </c>
      <c r="AB300" s="101">
        <f>IF(AND(F300&lt;=DASHBOARD!$B$10, H300&gt;=DASHBOARD!$B$11), Q300, -1000000000000)</f>
        <v/>
      </c>
    </row>
    <row r="301" ht="15" customHeight="1" s="102">
      <c r="A301" s="166" t="n">
        <v>297</v>
      </c>
      <c r="B301" s="167" t="n">
        <v>0.7</v>
      </c>
      <c r="C301" s="167" t="n">
        <v>0.1</v>
      </c>
      <c r="D301" s="110" t="inlineStr">
        <is>
          <t>Yok (%0)</t>
        </is>
      </c>
      <c r="E301" s="110">
        <f>IF((B301+C301)&lt;=1, "Tam Mahsuplaşma (≤%100)", "Kısmi Satış (&gt;%100)")</f>
        <v/>
      </c>
      <c r="F301" s="168">
        <f>((VERI_TABANI!$D$29*B301/VERI_TABANI!$B$29)/VERI_TABANI!$B$3)*VERI_TABANI!$B$5 + ((VERI_TABANI!$D$29*C301/VERI_TABANI!$B$29)/VERI_TABANI!$B$4)*VERI_TABANI!$B$6 + IF(ISNUMBER(SEARCH("Var", D301)), (VERI_TABANI!$F$29/VERI_TABANI!$B$29)*(VERI_TABANI!$B$10+VERI_TABANI!$B$12), 0)</f>
        <v/>
      </c>
      <c r="G301" s="168">
        <f>(((MIN(VERI_TABANI!D23, VERI_TABANI!D23*B301)*VERI_TABANI!$B$7 + MAX(0, VERI_TABANI!D23*B301-VERI_TABANI!D23)*VERI_TABANI!$B$8) + (MIN(MAX(0, VERI_TABANI!D23-VERI_TABANI!D23*B301), VERI_TABANI!D23*C301)*VERI_TABANI!$B$7 + MAX(0, VERI_TABANI!D23*C301-MAX(0, VERI_TABANI!D23-VERI_TABANI!D23*B301))*VERI_TABANI!$B$8) + IF(ABS(IF(ISNUMBER(SEARCH("Var", D301)), 1, IF(ISNUMBER(SEARCH("Gri", D301)), -1, 0)))=1, VERI_TABANI!E23*(1-0.928)*VERI_TABANI!$B$9, 0) + (VERI_TABANI!D23*B301*(VERI_TABANI!$B$13-VERI_TABANI!$B$14)*VERI_TABANI!G23) + (VERI_TABANI!D23*C301*(VERI_TABANI!$B$13-VERI_TABANI!$B$15)*VERI_TABANI!G23) + IF(ABS(IF(ISNUMBER(SEARCH("Var", D301)), 1, IF(ISNUMBER(SEARCH("Gri", D301)), -1, 0)))=1, VERI_TABANI!E23*(1-0.928)*0.00206091519919798*VERI_TABANI!G23, 0)) + ((MIN(VERI_TABANI!D24, VERI_TABANI!D24*B301)*VERI_TABANI!$B$7 + MAX(0, VERI_TABANI!D24*B301-VERI_TABANI!D24)*VERI_TABANI!$B$8) + (MIN(MAX(0, VERI_TABANI!D24-VERI_TABANI!D24*B301), VERI_TABANI!D24*C301)*VERI_TABANI!$B$7 + MAX(0, VERI_TABANI!D24*C301-MAX(0, VERI_TABANI!D24-VERI_TABANI!D24*B301))*VERI_TABANI!$B$8) + IF(ABS(IF(ISNUMBER(SEARCH("Var", D301)), 1, IF(ISNUMBER(SEARCH("Gri", D301)), -1, 0)))=1, VERI_TABANI!E24*(1-0.928)*VERI_TABANI!$B$9, 0) + (VERI_TABANI!D24*B301*(VERI_TABANI!$B$13-VERI_TABANI!$B$14)*VERI_TABANI!G24) + (VERI_TABANI!D24*C301*(VERI_TABANI!$B$13-VERI_TABANI!$B$15)*VERI_TABANI!G24) + IF(ABS(IF(ISNUMBER(SEARCH("Var", D301)), 1, IF(ISNUMBER(SEARCH("Gri", D301)), -1, 0)))=1, VERI_TABANI!E24*(1-0.928)*0.00206091519919798*VERI_TABANI!G24, 0)) + ((MIN(VERI_TABANI!D25, VERI_TABANI!D25*B301)*VERI_TABANI!$B$7 + MAX(0, VERI_TABANI!D25*B301-VERI_TABANI!D25)*VERI_TABANI!$B$8) + (MIN(MAX(0, VERI_TABANI!D25-VERI_TABANI!D25*B301), VERI_TABANI!D25*C301)*VERI_TABANI!$B$7 + MAX(0, VERI_TABANI!D25*C301-MAX(0, VERI_TABANI!D25-VERI_TABANI!D25*B301))*VERI_TABANI!$B$8) + IF(ABS(IF(ISNUMBER(SEARCH("Var", D301)), 1, IF(ISNUMBER(SEARCH("Gri", D301)), -1, 0)))=1, VERI_TABANI!E25*(1-0.928)*VERI_TABANI!$B$9, 0) + (VERI_TABANI!D25*B301*(VERI_TABANI!$B$13-VERI_TABANI!$B$14)*VERI_TABANI!G25) + (VERI_TABANI!D25*C301*(VERI_TABANI!$B$13-VERI_TABANI!$B$15)*VERI_TABANI!G25) + IF(ABS(IF(ISNUMBER(SEARCH("Var", D301)), 1, IF(ISNUMBER(SEARCH("Gri", D301)), -1, 0)))=1, VERI_TABANI!E25*(1-0.928)*0.00206091519919798*VERI_TABANI!G25, 0)) + ((MIN(VERI_TABANI!D26, VERI_TABANI!D26*B301)*VERI_TABANI!$B$7 + MAX(0, VERI_TABANI!D26*B301-VERI_TABANI!D26)*VERI_TABANI!$B$8) + (MIN(MAX(0, VERI_TABANI!D26-VERI_TABANI!D26*B301), VERI_TABANI!D26*C301)*VERI_TABANI!$B$7 + MAX(0, VERI_TABANI!D26*C301-MAX(0, VERI_TABANI!D26-VERI_TABANI!D26*B301))*VERI_TABANI!$B$8) + IF(ABS(IF(ISNUMBER(SEARCH("Var", D301)), 1, IF(ISNUMBER(SEARCH("Gri", D301)), -1, 0)))=1, VERI_TABANI!E26*(1-0.928)*VERI_TABANI!$B$9, 0) + (VERI_TABANI!D26*B301*(VERI_TABANI!$B$13-VERI_TABANI!$B$14)*VERI_TABANI!G26) + (VERI_TABANI!D26*C301*(VERI_TABANI!$B$13-VERI_TABANI!$B$15)*VERI_TABANI!G26) + IF(ABS(IF(ISNUMBER(SEARCH("Var", D301)), 1, IF(ISNUMBER(SEARCH("Gri", D301)), -1, 0)))=1, VERI_TABANI!E26*(1-0.928)*0.00206091519919798*VERI_TABANI!G26, 0)) + ((MIN(VERI_TABANI!D27, VERI_TABANI!D27*B301)*VERI_TABANI!$B$7 + MAX(0, VERI_TABANI!D27*B301-VERI_TABANI!D27)*VERI_TABANI!$B$8) + (MIN(MAX(0, VERI_TABANI!D27-VERI_TABANI!D27*B301), VERI_TABANI!D27*C301)*VERI_TABANI!$B$7 + MAX(0, VERI_TABANI!D27*C301-MAX(0, VERI_TABANI!D27-VERI_TABANI!D27*B301))*VERI_TABANI!$B$8) + IF(ABS(IF(ISNUMBER(SEARCH("Var", D301)), 1, IF(ISNUMBER(SEARCH("Gri", D301)), -1, 0)))=1, VERI_TABANI!E27*(1-0.928)*VERI_TABANI!$B$9, 0) + (VERI_TABANI!D27*B301*(VERI_TABANI!$B$13-VERI_TABANI!$B$14)*VERI_TABANI!G27) + (VERI_TABANI!D27*C301*(VERI_TABANI!$B$13-VERI_TABANI!$B$15)*VERI_TABANI!G27) + IF(ABS(IF(ISNUMBER(SEARCH("Var", D301)), 1, IF(ISNUMBER(SEARCH("Gri", D301)), -1, 0)))=1, VERI_TABANI!E27*(1-0.928)*0.00206091519919798*VERI_TABANI!G27, 0)) + ((MIN(VERI_TABANI!D28, VERI_TABANI!D28*B301)*VERI_TABANI!$B$7 + MAX(0, VERI_TABANI!D28*B301-VERI_TABANI!D28)*VERI_TABANI!$B$8) + (MIN(MAX(0, VERI_TABANI!D28-VERI_TABANI!D28*B301), VERI_TABANI!D28*C301)*VERI_TABANI!$B$7 + MAX(0, VERI_TABANI!D28*C301-MAX(0, VERI_TABANI!D28-VERI_TABANI!D28*B301))*VERI_TABANI!$B$8) + IF(ABS(IF(ISNUMBER(SEARCH("Var", D301)), 1, IF(ISNUMBER(SEARCH("Gri", D301)), -1, 0)))=1, VERI_TABANI!E28*(1-0.928)*VERI_TABANI!$B$9, 0) + (VERI_TABANI!D28*B301*(VERI_TABANI!$B$13-VERI_TABANI!$B$14)*VERI_TABANI!G28) + (VERI_TABANI!D28*C301*(VERI_TABANI!$B$13-VERI_TABANI!$B$15)*VERI_TABANI!G28) + IF(ABS(IF(ISNUMBER(SEARCH("Var", D301)), 1, IF(ISNUMBER(SEARCH("Gri", D301)), -1, 0)))=1, VERI_TABANI!E28*(1-0.928)*0.00206091519919798*VERI_TABANI!G28, 0)))</f>
        <v/>
      </c>
      <c r="H301" s="169">
        <f>(((VERI_TABANI!D23*B301*(VERI_TABANI!$B$13-VERI_TABANI!$B$14)) + (VERI_TABANI!D23*C301*(VERI_TABANI!$B$13-VERI_TABANI!$B$15)) + IF(ISNUMBER(SEARCH("Var", D301)), VERI_TABANI!F23*(0.00202-VERI_TABANI!$B$16), IF(ISNUMBER(SEARCH("Gri", D301)), VERI_TABANI!F23*(0.00202-VERI_TABANI!$B$17), 0))) + ((VERI_TABANI!D24*B301*(VERI_TABANI!$B$13-VERI_TABANI!$B$14)) + (VERI_TABANI!D24*C301*(VERI_TABANI!$B$13-VERI_TABANI!$B$15)) + IF(ISNUMBER(SEARCH("Var", D301)), VERI_TABANI!F24*(0.00202-VERI_TABANI!$B$16), IF(ISNUMBER(SEARCH("Gri", D301)), VERI_TABANI!F24*(0.00202-VERI_TABANI!$B$17), 0))) + ((VERI_TABANI!D25*B301*(VERI_TABANI!$B$13-VERI_TABANI!$B$14)) + (VERI_TABANI!D25*C301*(VERI_TABANI!$B$13-VERI_TABANI!$B$15)) + IF(ISNUMBER(SEARCH("Var", D301)), VERI_TABANI!F25*(0.00202-VERI_TABANI!$B$16), IF(ISNUMBER(SEARCH("Gri", D301)), VERI_TABANI!F25*(0.00202-VERI_TABANI!$B$17), 0))) + ((VERI_TABANI!D26*B301*(VERI_TABANI!$B$13-VERI_TABANI!$B$14)) + (VERI_TABANI!D26*C301*(VERI_TABANI!$B$13-VERI_TABANI!$B$15)) + IF(ISNUMBER(SEARCH("Var", D301)), VERI_TABANI!F26*(0.00202-VERI_TABANI!$B$16), IF(ISNUMBER(SEARCH("Gri", D301)), VERI_TABANI!F26*(0.00202-VERI_TABANI!$B$17), 0))) + ((VERI_TABANI!D27*B301*(VERI_TABANI!$B$13-VERI_TABANI!$B$14)) + (VERI_TABANI!D27*C301*(VERI_TABANI!$B$13-VERI_TABANI!$B$15)) + IF(ISNUMBER(SEARCH("Var", D301)), VERI_TABANI!F27*(0.00202-VERI_TABANI!$B$16), IF(ISNUMBER(SEARCH("Gri", D301)), VERI_TABANI!F27*(0.00202-VERI_TABANI!$B$17), 0))) + ((VERI_TABANI!D28*B301*(VERI_TABANI!$B$13-VERI_TABANI!$B$14)) + (VERI_TABANI!D28*C301*(VERI_TABANI!$B$13-VERI_TABANI!$B$15)) + IF(ISNUMBER(SEARCH("Var", D301)), VERI_TABANI!F28*(0.00202-VERI_TABANI!$B$16), IF(ISNUMBER(SEARCH("Gri", D301)), VERI_TABANI!F28*(0.00202-VERI_TABANI!$B$17), 0))))</f>
        <v/>
      </c>
      <c r="I301" s="170">
        <f>IFERROR(((VERI_TABANI!$D$29*B301*VERI_TABANI!$B$14 + VERI_TABANI!$D$29*C301*VERI_TABANI!$B$15 + IF(ISNUMBER(SEARCH("Var", D301)), VERI_TABANI!$F$29*VERI_TABANI!$B$16, 0))) / (((VERI_TABANI!$D$29*B301 + VERI_TABANI!$D$29*C301)*VERI_TABANI!$B$13 + IF(ISNUMBER(SEARCH("Var", D301)), VERI_TABANI!$E$29*(1-0.928)*VERI_TABANI!$B$18, 0))), 0)</f>
        <v/>
      </c>
      <c r="J301" s="171">
        <f>IFERROR(F301/(G301/29), 0)</f>
        <v/>
      </c>
      <c r="K301" s="172">
        <f>IF(F301&gt;0, H301/F301, 0)</f>
        <v/>
      </c>
      <c r="L301" s="170">
        <f>IF(F301&gt;0, I301, 1000000000)</f>
        <v/>
      </c>
      <c r="M301" s="171">
        <f>ABS((B301+C301)-1)</f>
        <v/>
      </c>
      <c r="N301" s="170">
        <f>IF(F301&gt;0, (G301/29)/F301, 0)</f>
        <v/>
      </c>
      <c r="O301" s="168">
        <f>IF(AND((B301+C301)&gt;=1, ISNUMBER(SEARCH("Var", D301))), F301, 1000000000)</f>
        <v/>
      </c>
      <c r="P301" s="172">
        <f>IF(F301&gt;0, SQRT((F301/MAX(F$5:F$886))^2 + (1 - H301/MAX(H$5:H$886))^2 + (J301/MAX(J$5:J$886))^2), 1000000000)</f>
        <v/>
      </c>
      <c r="Q301" s="166">
        <f>IF(AND(ABS(B301-0.5)&lt;0.01, ABS(C301-0.5)&lt;0.01, ISNUMBER(SEARCH("Var", D301))), 1, 0)</f>
        <v/>
      </c>
      <c r="R301" s="171">
        <f>IF(F301&gt;0, J301, 1000000000)</f>
        <v/>
      </c>
      <c r="S301" s="101">
        <f>IF(AND(F301&lt;=DASHBOARD!$B$11, H301&gt;=DASHBOARD!$B$13), G301, -1000000000000)</f>
        <v/>
      </c>
      <c r="T301" s="101">
        <f>IF(AND(F301&lt;=DASHBOARD!$B$11, H301&gt;=DASHBOARD!$B$13), R301, 1000000000000)</f>
        <v/>
      </c>
      <c r="U301" s="101">
        <f>IF(AND(F301&lt;=DASHBOARD!$B$11, H301&gt;=DASHBOARD!$B$13), N301, -1000000000000)</f>
        <v/>
      </c>
      <c r="V301" s="101">
        <f>IF(AND(F301&lt;=DASHBOARD!$B$11, H301&gt;=DASHBOARD!$B$13), H301, -1000000000000)</f>
        <v/>
      </c>
      <c r="W301" s="101">
        <f>IF(AND(F301&lt;=DASHBOARD!$B$11, H301&gt;=DASHBOARD!$B$13), K301, -1000000000000)</f>
        <v/>
      </c>
      <c r="X301" s="101">
        <f>IF(AND(F301&lt;=DASHBOARD!$B$11, H301&gt;=DASHBOARD!$B$13), M301, 1000000000000)</f>
        <v/>
      </c>
      <c r="Y301" s="101">
        <f>IF(AND(F301&lt;=DASHBOARD!$B$10, H301&gt;=DASHBOARD!$B$11), L301, 1000000000000)</f>
        <v/>
      </c>
      <c r="Z301" s="101">
        <f>IF(AND(F301&lt;=DASHBOARD!$B$10, H301&gt;=DASHBOARD!$B$11), O301, 1000000000000)</f>
        <v/>
      </c>
      <c r="AA301" s="101">
        <f>IF(AND(F301&lt;=DASHBOARD!$B$10, H301&gt;=DASHBOARD!$B$11), P301, 1000000000000)</f>
        <v/>
      </c>
      <c r="AB301" s="101">
        <f>IF(AND(F301&lt;=DASHBOARD!$B$10, H301&gt;=DASHBOARD!$B$11), Q301, -1000000000000)</f>
        <v/>
      </c>
    </row>
    <row r="302" ht="15" customHeight="1" s="102">
      <c r="A302" s="166" t="n">
        <v>298</v>
      </c>
      <c r="B302" s="167" t="n">
        <v>0.7</v>
      </c>
      <c r="C302" s="167" t="n">
        <v>0.1</v>
      </c>
      <c r="D302" s="110" t="inlineStr">
        <is>
          <t>Var (%20)</t>
        </is>
      </c>
      <c r="E302" s="110">
        <f>IF((B302+C302)&lt;=1, "Tam Mahsuplaşma (≤%100)", "Kısmi Satış (&gt;%100)")</f>
        <v/>
      </c>
      <c r="F302" s="168">
        <f>((VERI_TABANI!$D$29*B302/VERI_TABANI!$B$29)/VERI_TABANI!$B$3)*VERI_TABANI!$B$5 + ((VERI_TABANI!$D$29*C302/VERI_TABANI!$B$29)/VERI_TABANI!$B$4)*VERI_TABANI!$B$6 + IF(ISNUMBER(SEARCH("Var", D302)), (VERI_TABANI!$F$29/VERI_TABANI!$B$29)*(VERI_TABANI!$B$10+VERI_TABANI!$B$12), 0)</f>
        <v/>
      </c>
      <c r="G302" s="168">
        <f>(((MIN(VERI_TABANI!D23, VERI_TABANI!D23*B302)*VERI_TABANI!$B$7 + MAX(0, VERI_TABANI!D23*B302-VERI_TABANI!D23)*VERI_TABANI!$B$8) + (MIN(MAX(0, VERI_TABANI!D23-VERI_TABANI!D23*B302), VERI_TABANI!D23*C302)*VERI_TABANI!$B$7 + MAX(0, VERI_TABANI!D23*C302-MAX(0, VERI_TABANI!D23-VERI_TABANI!D23*B302))*VERI_TABANI!$B$8) + IF(ABS(IF(ISNUMBER(SEARCH("Var", D302)), 1, IF(ISNUMBER(SEARCH("Gri", D302)), -1, 0)))=1, VERI_TABANI!E23*(1-0.928)*VERI_TABANI!$B$9, 0) + (VERI_TABANI!D23*B302*(VERI_TABANI!$B$13-VERI_TABANI!$B$14)*VERI_TABANI!G23) + (VERI_TABANI!D23*C302*(VERI_TABANI!$B$13-VERI_TABANI!$B$15)*VERI_TABANI!G23) + IF(ABS(IF(ISNUMBER(SEARCH("Var", D302)), 1, IF(ISNUMBER(SEARCH("Gri", D302)), -1, 0)))=1, VERI_TABANI!E23*(1-0.928)*0.00206091519919798*VERI_TABANI!G23, 0)) + ((MIN(VERI_TABANI!D24, VERI_TABANI!D24*B302)*VERI_TABANI!$B$7 + MAX(0, VERI_TABANI!D24*B302-VERI_TABANI!D24)*VERI_TABANI!$B$8) + (MIN(MAX(0, VERI_TABANI!D24-VERI_TABANI!D24*B302), VERI_TABANI!D24*C302)*VERI_TABANI!$B$7 + MAX(0, VERI_TABANI!D24*C302-MAX(0, VERI_TABANI!D24-VERI_TABANI!D24*B302))*VERI_TABANI!$B$8) + IF(ABS(IF(ISNUMBER(SEARCH("Var", D302)), 1, IF(ISNUMBER(SEARCH("Gri", D302)), -1, 0)))=1, VERI_TABANI!E24*(1-0.928)*VERI_TABANI!$B$9, 0) + (VERI_TABANI!D24*B302*(VERI_TABANI!$B$13-VERI_TABANI!$B$14)*VERI_TABANI!G24) + (VERI_TABANI!D24*C302*(VERI_TABANI!$B$13-VERI_TABANI!$B$15)*VERI_TABANI!G24) + IF(ABS(IF(ISNUMBER(SEARCH("Var", D302)), 1, IF(ISNUMBER(SEARCH("Gri", D302)), -1, 0)))=1, VERI_TABANI!E24*(1-0.928)*0.00206091519919798*VERI_TABANI!G24, 0)) + ((MIN(VERI_TABANI!D25, VERI_TABANI!D25*B302)*VERI_TABANI!$B$7 + MAX(0, VERI_TABANI!D25*B302-VERI_TABANI!D25)*VERI_TABANI!$B$8) + (MIN(MAX(0, VERI_TABANI!D25-VERI_TABANI!D25*B302), VERI_TABANI!D25*C302)*VERI_TABANI!$B$7 + MAX(0, VERI_TABANI!D25*C302-MAX(0, VERI_TABANI!D25-VERI_TABANI!D25*B302))*VERI_TABANI!$B$8) + IF(ABS(IF(ISNUMBER(SEARCH("Var", D302)), 1, IF(ISNUMBER(SEARCH("Gri", D302)), -1, 0)))=1, VERI_TABANI!E25*(1-0.928)*VERI_TABANI!$B$9, 0) + (VERI_TABANI!D25*B302*(VERI_TABANI!$B$13-VERI_TABANI!$B$14)*VERI_TABANI!G25) + (VERI_TABANI!D25*C302*(VERI_TABANI!$B$13-VERI_TABANI!$B$15)*VERI_TABANI!G25) + IF(ABS(IF(ISNUMBER(SEARCH("Var", D302)), 1, IF(ISNUMBER(SEARCH("Gri", D302)), -1, 0)))=1, VERI_TABANI!E25*(1-0.928)*0.00206091519919798*VERI_TABANI!G25, 0)) + ((MIN(VERI_TABANI!D26, VERI_TABANI!D26*B302)*VERI_TABANI!$B$7 + MAX(0, VERI_TABANI!D26*B302-VERI_TABANI!D26)*VERI_TABANI!$B$8) + (MIN(MAX(0, VERI_TABANI!D26-VERI_TABANI!D26*B302), VERI_TABANI!D26*C302)*VERI_TABANI!$B$7 + MAX(0, VERI_TABANI!D26*C302-MAX(0, VERI_TABANI!D26-VERI_TABANI!D26*B302))*VERI_TABANI!$B$8) + IF(ABS(IF(ISNUMBER(SEARCH("Var", D302)), 1, IF(ISNUMBER(SEARCH("Gri", D302)), -1, 0)))=1, VERI_TABANI!E26*(1-0.928)*VERI_TABANI!$B$9, 0) + (VERI_TABANI!D26*B302*(VERI_TABANI!$B$13-VERI_TABANI!$B$14)*VERI_TABANI!G26) + (VERI_TABANI!D26*C302*(VERI_TABANI!$B$13-VERI_TABANI!$B$15)*VERI_TABANI!G26) + IF(ABS(IF(ISNUMBER(SEARCH("Var", D302)), 1, IF(ISNUMBER(SEARCH("Gri", D302)), -1, 0)))=1, VERI_TABANI!E26*(1-0.928)*0.00206091519919798*VERI_TABANI!G26, 0)) + ((MIN(VERI_TABANI!D27, VERI_TABANI!D27*B302)*VERI_TABANI!$B$7 + MAX(0, VERI_TABANI!D27*B302-VERI_TABANI!D27)*VERI_TABANI!$B$8) + (MIN(MAX(0, VERI_TABANI!D27-VERI_TABANI!D27*B302), VERI_TABANI!D27*C302)*VERI_TABANI!$B$7 + MAX(0, VERI_TABANI!D27*C302-MAX(0, VERI_TABANI!D27-VERI_TABANI!D27*B302))*VERI_TABANI!$B$8) + IF(ABS(IF(ISNUMBER(SEARCH("Var", D302)), 1, IF(ISNUMBER(SEARCH("Gri", D302)), -1, 0)))=1, VERI_TABANI!E27*(1-0.928)*VERI_TABANI!$B$9, 0) + (VERI_TABANI!D27*B302*(VERI_TABANI!$B$13-VERI_TABANI!$B$14)*VERI_TABANI!G27) + (VERI_TABANI!D27*C302*(VERI_TABANI!$B$13-VERI_TABANI!$B$15)*VERI_TABANI!G27) + IF(ABS(IF(ISNUMBER(SEARCH("Var", D302)), 1, IF(ISNUMBER(SEARCH("Gri", D302)), -1, 0)))=1, VERI_TABANI!E27*(1-0.928)*0.00206091519919798*VERI_TABANI!G27, 0)) + ((MIN(VERI_TABANI!D28, VERI_TABANI!D28*B302)*VERI_TABANI!$B$7 + MAX(0, VERI_TABANI!D28*B302-VERI_TABANI!D28)*VERI_TABANI!$B$8) + (MIN(MAX(0, VERI_TABANI!D28-VERI_TABANI!D28*B302), VERI_TABANI!D28*C302)*VERI_TABANI!$B$7 + MAX(0, VERI_TABANI!D28*C302-MAX(0, VERI_TABANI!D28-VERI_TABANI!D28*B302))*VERI_TABANI!$B$8) + IF(ABS(IF(ISNUMBER(SEARCH("Var", D302)), 1, IF(ISNUMBER(SEARCH("Gri", D302)), -1, 0)))=1, VERI_TABANI!E28*(1-0.928)*VERI_TABANI!$B$9, 0) + (VERI_TABANI!D28*B302*(VERI_TABANI!$B$13-VERI_TABANI!$B$14)*VERI_TABANI!G28) + (VERI_TABANI!D28*C302*(VERI_TABANI!$B$13-VERI_TABANI!$B$15)*VERI_TABANI!G28) + IF(ABS(IF(ISNUMBER(SEARCH("Var", D302)), 1, IF(ISNUMBER(SEARCH("Gri", D302)), -1, 0)))=1, VERI_TABANI!E28*(1-0.928)*0.00206091519919798*VERI_TABANI!G28, 0)))</f>
        <v/>
      </c>
      <c r="H302" s="169">
        <f>(((VERI_TABANI!D23*B302*(VERI_TABANI!$B$13-VERI_TABANI!$B$14)) + (VERI_TABANI!D23*C302*(VERI_TABANI!$B$13-VERI_TABANI!$B$15)) + IF(ISNUMBER(SEARCH("Var", D302)), VERI_TABANI!F23*(0.00202-VERI_TABANI!$B$16), IF(ISNUMBER(SEARCH("Gri", D302)), VERI_TABANI!F23*(0.00202-VERI_TABANI!$B$17), 0))) + ((VERI_TABANI!D24*B302*(VERI_TABANI!$B$13-VERI_TABANI!$B$14)) + (VERI_TABANI!D24*C302*(VERI_TABANI!$B$13-VERI_TABANI!$B$15)) + IF(ISNUMBER(SEARCH("Var", D302)), VERI_TABANI!F24*(0.00202-VERI_TABANI!$B$16), IF(ISNUMBER(SEARCH("Gri", D302)), VERI_TABANI!F24*(0.00202-VERI_TABANI!$B$17), 0))) + ((VERI_TABANI!D25*B302*(VERI_TABANI!$B$13-VERI_TABANI!$B$14)) + (VERI_TABANI!D25*C302*(VERI_TABANI!$B$13-VERI_TABANI!$B$15)) + IF(ISNUMBER(SEARCH("Var", D302)), VERI_TABANI!F25*(0.00202-VERI_TABANI!$B$16), IF(ISNUMBER(SEARCH("Gri", D302)), VERI_TABANI!F25*(0.00202-VERI_TABANI!$B$17), 0))) + ((VERI_TABANI!D26*B302*(VERI_TABANI!$B$13-VERI_TABANI!$B$14)) + (VERI_TABANI!D26*C302*(VERI_TABANI!$B$13-VERI_TABANI!$B$15)) + IF(ISNUMBER(SEARCH("Var", D302)), VERI_TABANI!F26*(0.00202-VERI_TABANI!$B$16), IF(ISNUMBER(SEARCH("Gri", D302)), VERI_TABANI!F26*(0.00202-VERI_TABANI!$B$17), 0))) + ((VERI_TABANI!D27*B302*(VERI_TABANI!$B$13-VERI_TABANI!$B$14)) + (VERI_TABANI!D27*C302*(VERI_TABANI!$B$13-VERI_TABANI!$B$15)) + IF(ISNUMBER(SEARCH("Var", D302)), VERI_TABANI!F27*(0.00202-VERI_TABANI!$B$16), IF(ISNUMBER(SEARCH("Gri", D302)), VERI_TABANI!F27*(0.00202-VERI_TABANI!$B$17), 0))) + ((VERI_TABANI!D28*B302*(VERI_TABANI!$B$13-VERI_TABANI!$B$14)) + (VERI_TABANI!D28*C302*(VERI_TABANI!$B$13-VERI_TABANI!$B$15)) + IF(ISNUMBER(SEARCH("Var", D302)), VERI_TABANI!F28*(0.00202-VERI_TABANI!$B$16), IF(ISNUMBER(SEARCH("Gri", D302)), VERI_TABANI!F28*(0.00202-VERI_TABANI!$B$17), 0))))</f>
        <v/>
      </c>
      <c r="I302" s="170">
        <f>IFERROR(((VERI_TABANI!$D$29*B302*VERI_TABANI!$B$14 + VERI_TABANI!$D$29*C302*VERI_TABANI!$B$15 + IF(ISNUMBER(SEARCH("Var", D302)), VERI_TABANI!$F$29*VERI_TABANI!$B$16, 0))) / (((VERI_TABANI!$D$29*B302 + VERI_TABANI!$D$29*C302)*VERI_TABANI!$B$13 + IF(ISNUMBER(SEARCH("Var", D302)), VERI_TABANI!$E$29*(1-0.928)*VERI_TABANI!$B$18, 0))), 0)</f>
        <v/>
      </c>
      <c r="J302" s="171">
        <f>IFERROR(F302/(G302/29), 0)</f>
        <v/>
      </c>
      <c r="K302" s="172">
        <f>IF(F302&gt;0, H302/F302, 0)</f>
        <v/>
      </c>
      <c r="L302" s="170">
        <f>IF(F302&gt;0, I302, 1000000000)</f>
        <v/>
      </c>
      <c r="M302" s="171">
        <f>ABS((B302+C302)-1)</f>
        <v/>
      </c>
      <c r="N302" s="170">
        <f>IF(F302&gt;0, (G302/29)/F302, 0)</f>
        <v/>
      </c>
      <c r="O302" s="168">
        <f>IF(AND((B302+C302)&gt;=1, ISNUMBER(SEARCH("Var", D302))), F302, 1000000000)</f>
        <v/>
      </c>
      <c r="P302" s="172">
        <f>IF(F302&gt;0, SQRT((F302/MAX(F$5:F$886))^2 + (1 - H302/MAX(H$5:H$886))^2 + (J302/MAX(J$5:J$886))^2), 1000000000)</f>
        <v/>
      </c>
      <c r="Q302" s="166">
        <f>IF(AND(ABS(B302-0.5)&lt;0.01, ABS(C302-0.5)&lt;0.01, ISNUMBER(SEARCH("Var", D302))), 1, 0)</f>
        <v/>
      </c>
      <c r="R302" s="171">
        <f>IF(F302&gt;0, J302, 1000000000)</f>
        <v/>
      </c>
      <c r="S302" s="101">
        <f>IF(AND(F302&lt;=DASHBOARD!$B$11, H302&gt;=DASHBOARD!$B$13), G302, -1000000000000)</f>
        <v/>
      </c>
      <c r="T302" s="101">
        <f>IF(AND(F302&lt;=DASHBOARD!$B$11, H302&gt;=DASHBOARD!$B$13), R302, 1000000000000)</f>
        <v/>
      </c>
      <c r="U302" s="101">
        <f>IF(AND(F302&lt;=DASHBOARD!$B$11, H302&gt;=DASHBOARD!$B$13), N302, -1000000000000)</f>
        <v/>
      </c>
      <c r="V302" s="101">
        <f>IF(AND(F302&lt;=DASHBOARD!$B$11, H302&gt;=DASHBOARD!$B$13), H302, -1000000000000)</f>
        <v/>
      </c>
      <c r="W302" s="101">
        <f>IF(AND(F302&lt;=DASHBOARD!$B$11, H302&gt;=DASHBOARD!$B$13), K302, -1000000000000)</f>
        <v/>
      </c>
      <c r="X302" s="101">
        <f>IF(AND(F302&lt;=DASHBOARD!$B$11, H302&gt;=DASHBOARD!$B$13), M302, 1000000000000)</f>
        <v/>
      </c>
      <c r="Y302" s="101">
        <f>IF(AND(F302&lt;=DASHBOARD!$B$10, H302&gt;=DASHBOARD!$B$11), L302, 1000000000000)</f>
        <v/>
      </c>
      <c r="Z302" s="101">
        <f>IF(AND(F302&lt;=DASHBOARD!$B$10, H302&gt;=DASHBOARD!$B$11), O302, 1000000000000)</f>
        <v/>
      </c>
      <c r="AA302" s="101">
        <f>IF(AND(F302&lt;=DASHBOARD!$B$10, H302&gt;=DASHBOARD!$B$11), P302, 1000000000000)</f>
        <v/>
      </c>
      <c r="AB302" s="101">
        <f>IF(AND(F302&lt;=DASHBOARD!$B$10, H302&gt;=DASHBOARD!$B$11), Q302, -1000000000000)</f>
        <v/>
      </c>
    </row>
    <row r="303" ht="15" customHeight="1" s="102">
      <c r="A303" s="166" t="n">
        <v>299</v>
      </c>
      <c r="B303" s="167" t="n">
        <v>0.7</v>
      </c>
      <c r="C303" s="167" t="n">
        <v>0.2</v>
      </c>
      <c r="D303" s="110" t="inlineStr">
        <is>
          <t>Yok (%0)</t>
        </is>
      </c>
      <c r="E303" s="110">
        <f>IF((B303+C303)&lt;=1, "Tam Mahsuplaşma (≤%100)", "Kısmi Satış (&gt;%100)")</f>
        <v/>
      </c>
      <c r="F303" s="168">
        <f>((VERI_TABANI!$D$29*B303/VERI_TABANI!$B$29)/VERI_TABANI!$B$3)*VERI_TABANI!$B$5 + ((VERI_TABANI!$D$29*C303/VERI_TABANI!$B$29)/VERI_TABANI!$B$4)*VERI_TABANI!$B$6 + IF(ISNUMBER(SEARCH("Var", D303)), (VERI_TABANI!$F$29/VERI_TABANI!$B$29)*(VERI_TABANI!$B$10+VERI_TABANI!$B$12), 0)</f>
        <v/>
      </c>
      <c r="G303" s="168">
        <f>(((MIN(VERI_TABANI!D23, VERI_TABANI!D23*B303)*VERI_TABANI!$B$7 + MAX(0, VERI_TABANI!D23*B303-VERI_TABANI!D23)*VERI_TABANI!$B$8) + (MIN(MAX(0, VERI_TABANI!D23-VERI_TABANI!D23*B303), VERI_TABANI!D23*C303)*VERI_TABANI!$B$7 + MAX(0, VERI_TABANI!D23*C303-MAX(0, VERI_TABANI!D23-VERI_TABANI!D23*B303))*VERI_TABANI!$B$8) + IF(ABS(IF(ISNUMBER(SEARCH("Var", D303)), 1, IF(ISNUMBER(SEARCH("Gri", D303)), -1, 0)))=1, VERI_TABANI!E23*(1-0.928)*VERI_TABANI!$B$9, 0) + (VERI_TABANI!D23*B303*(VERI_TABANI!$B$13-VERI_TABANI!$B$14)*VERI_TABANI!G23) + (VERI_TABANI!D23*C303*(VERI_TABANI!$B$13-VERI_TABANI!$B$15)*VERI_TABANI!G23) + IF(ABS(IF(ISNUMBER(SEARCH("Var", D303)), 1, IF(ISNUMBER(SEARCH("Gri", D303)), -1, 0)))=1, VERI_TABANI!E23*(1-0.928)*0.00206091519919798*VERI_TABANI!G23, 0)) + ((MIN(VERI_TABANI!D24, VERI_TABANI!D24*B303)*VERI_TABANI!$B$7 + MAX(0, VERI_TABANI!D24*B303-VERI_TABANI!D24)*VERI_TABANI!$B$8) + (MIN(MAX(0, VERI_TABANI!D24-VERI_TABANI!D24*B303), VERI_TABANI!D24*C303)*VERI_TABANI!$B$7 + MAX(0, VERI_TABANI!D24*C303-MAX(0, VERI_TABANI!D24-VERI_TABANI!D24*B303))*VERI_TABANI!$B$8) + IF(ABS(IF(ISNUMBER(SEARCH("Var", D303)), 1, IF(ISNUMBER(SEARCH("Gri", D303)), -1, 0)))=1, VERI_TABANI!E24*(1-0.928)*VERI_TABANI!$B$9, 0) + (VERI_TABANI!D24*B303*(VERI_TABANI!$B$13-VERI_TABANI!$B$14)*VERI_TABANI!G24) + (VERI_TABANI!D24*C303*(VERI_TABANI!$B$13-VERI_TABANI!$B$15)*VERI_TABANI!G24) + IF(ABS(IF(ISNUMBER(SEARCH("Var", D303)), 1, IF(ISNUMBER(SEARCH("Gri", D303)), -1, 0)))=1, VERI_TABANI!E24*(1-0.928)*0.00206091519919798*VERI_TABANI!G24, 0)) + ((MIN(VERI_TABANI!D25, VERI_TABANI!D25*B303)*VERI_TABANI!$B$7 + MAX(0, VERI_TABANI!D25*B303-VERI_TABANI!D25)*VERI_TABANI!$B$8) + (MIN(MAX(0, VERI_TABANI!D25-VERI_TABANI!D25*B303), VERI_TABANI!D25*C303)*VERI_TABANI!$B$7 + MAX(0, VERI_TABANI!D25*C303-MAX(0, VERI_TABANI!D25-VERI_TABANI!D25*B303))*VERI_TABANI!$B$8) + IF(ABS(IF(ISNUMBER(SEARCH("Var", D303)), 1, IF(ISNUMBER(SEARCH("Gri", D303)), -1, 0)))=1, VERI_TABANI!E25*(1-0.928)*VERI_TABANI!$B$9, 0) + (VERI_TABANI!D25*B303*(VERI_TABANI!$B$13-VERI_TABANI!$B$14)*VERI_TABANI!G25) + (VERI_TABANI!D25*C303*(VERI_TABANI!$B$13-VERI_TABANI!$B$15)*VERI_TABANI!G25) + IF(ABS(IF(ISNUMBER(SEARCH("Var", D303)), 1, IF(ISNUMBER(SEARCH("Gri", D303)), -1, 0)))=1, VERI_TABANI!E25*(1-0.928)*0.00206091519919798*VERI_TABANI!G25, 0)) + ((MIN(VERI_TABANI!D26, VERI_TABANI!D26*B303)*VERI_TABANI!$B$7 + MAX(0, VERI_TABANI!D26*B303-VERI_TABANI!D26)*VERI_TABANI!$B$8) + (MIN(MAX(0, VERI_TABANI!D26-VERI_TABANI!D26*B303), VERI_TABANI!D26*C303)*VERI_TABANI!$B$7 + MAX(0, VERI_TABANI!D26*C303-MAX(0, VERI_TABANI!D26-VERI_TABANI!D26*B303))*VERI_TABANI!$B$8) + IF(ABS(IF(ISNUMBER(SEARCH("Var", D303)), 1, IF(ISNUMBER(SEARCH("Gri", D303)), -1, 0)))=1, VERI_TABANI!E26*(1-0.928)*VERI_TABANI!$B$9, 0) + (VERI_TABANI!D26*B303*(VERI_TABANI!$B$13-VERI_TABANI!$B$14)*VERI_TABANI!G26) + (VERI_TABANI!D26*C303*(VERI_TABANI!$B$13-VERI_TABANI!$B$15)*VERI_TABANI!G26) + IF(ABS(IF(ISNUMBER(SEARCH("Var", D303)), 1, IF(ISNUMBER(SEARCH("Gri", D303)), -1, 0)))=1, VERI_TABANI!E26*(1-0.928)*0.00206091519919798*VERI_TABANI!G26, 0)) + ((MIN(VERI_TABANI!D27, VERI_TABANI!D27*B303)*VERI_TABANI!$B$7 + MAX(0, VERI_TABANI!D27*B303-VERI_TABANI!D27)*VERI_TABANI!$B$8) + (MIN(MAX(0, VERI_TABANI!D27-VERI_TABANI!D27*B303), VERI_TABANI!D27*C303)*VERI_TABANI!$B$7 + MAX(0, VERI_TABANI!D27*C303-MAX(0, VERI_TABANI!D27-VERI_TABANI!D27*B303))*VERI_TABANI!$B$8) + IF(ABS(IF(ISNUMBER(SEARCH("Var", D303)), 1, IF(ISNUMBER(SEARCH("Gri", D303)), -1, 0)))=1, VERI_TABANI!E27*(1-0.928)*VERI_TABANI!$B$9, 0) + (VERI_TABANI!D27*B303*(VERI_TABANI!$B$13-VERI_TABANI!$B$14)*VERI_TABANI!G27) + (VERI_TABANI!D27*C303*(VERI_TABANI!$B$13-VERI_TABANI!$B$15)*VERI_TABANI!G27) + IF(ABS(IF(ISNUMBER(SEARCH("Var", D303)), 1, IF(ISNUMBER(SEARCH("Gri", D303)), -1, 0)))=1, VERI_TABANI!E27*(1-0.928)*0.00206091519919798*VERI_TABANI!G27, 0)) + ((MIN(VERI_TABANI!D28, VERI_TABANI!D28*B303)*VERI_TABANI!$B$7 + MAX(0, VERI_TABANI!D28*B303-VERI_TABANI!D28)*VERI_TABANI!$B$8) + (MIN(MAX(0, VERI_TABANI!D28-VERI_TABANI!D28*B303), VERI_TABANI!D28*C303)*VERI_TABANI!$B$7 + MAX(0, VERI_TABANI!D28*C303-MAX(0, VERI_TABANI!D28-VERI_TABANI!D28*B303))*VERI_TABANI!$B$8) + IF(ABS(IF(ISNUMBER(SEARCH("Var", D303)), 1, IF(ISNUMBER(SEARCH("Gri", D303)), -1, 0)))=1, VERI_TABANI!E28*(1-0.928)*VERI_TABANI!$B$9, 0) + (VERI_TABANI!D28*B303*(VERI_TABANI!$B$13-VERI_TABANI!$B$14)*VERI_TABANI!G28) + (VERI_TABANI!D28*C303*(VERI_TABANI!$B$13-VERI_TABANI!$B$15)*VERI_TABANI!G28) + IF(ABS(IF(ISNUMBER(SEARCH("Var", D303)), 1, IF(ISNUMBER(SEARCH("Gri", D303)), -1, 0)))=1, VERI_TABANI!E28*(1-0.928)*0.00206091519919798*VERI_TABANI!G28, 0)))</f>
        <v/>
      </c>
      <c r="H303" s="169">
        <f>(((VERI_TABANI!D23*B303*(VERI_TABANI!$B$13-VERI_TABANI!$B$14)) + (VERI_TABANI!D23*C303*(VERI_TABANI!$B$13-VERI_TABANI!$B$15)) + IF(ISNUMBER(SEARCH("Var", D303)), VERI_TABANI!F23*(0.00202-VERI_TABANI!$B$16), IF(ISNUMBER(SEARCH("Gri", D303)), VERI_TABANI!F23*(0.00202-VERI_TABANI!$B$17), 0))) + ((VERI_TABANI!D24*B303*(VERI_TABANI!$B$13-VERI_TABANI!$B$14)) + (VERI_TABANI!D24*C303*(VERI_TABANI!$B$13-VERI_TABANI!$B$15)) + IF(ISNUMBER(SEARCH("Var", D303)), VERI_TABANI!F24*(0.00202-VERI_TABANI!$B$16), IF(ISNUMBER(SEARCH("Gri", D303)), VERI_TABANI!F24*(0.00202-VERI_TABANI!$B$17), 0))) + ((VERI_TABANI!D25*B303*(VERI_TABANI!$B$13-VERI_TABANI!$B$14)) + (VERI_TABANI!D25*C303*(VERI_TABANI!$B$13-VERI_TABANI!$B$15)) + IF(ISNUMBER(SEARCH("Var", D303)), VERI_TABANI!F25*(0.00202-VERI_TABANI!$B$16), IF(ISNUMBER(SEARCH("Gri", D303)), VERI_TABANI!F25*(0.00202-VERI_TABANI!$B$17), 0))) + ((VERI_TABANI!D26*B303*(VERI_TABANI!$B$13-VERI_TABANI!$B$14)) + (VERI_TABANI!D26*C303*(VERI_TABANI!$B$13-VERI_TABANI!$B$15)) + IF(ISNUMBER(SEARCH("Var", D303)), VERI_TABANI!F26*(0.00202-VERI_TABANI!$B$16), IF(ISNUMBER(SEARCH("Gri", D303)), VERI_TABANI!F26*(0.00202-VERI_TABANI!$B$17), 0))) + ((VERI_TABANI!D27*B303*(VERI_TABANI!$B$13-VERI_TABANI!$B$14)) + (VERI_TABANI!D27*C303*(VERI_TABANI!$B$13-VERI_TABANI!$B$15)) + IF(ISNUMBER(SEARCH("Var", D303)), VERI_TABANI!F27*(0.00202-VERI_TABANI!$B$16), IF(ISNUMBER(SEARCH("Gri", D303)), VERI_TABANI!F27*(0.00202-VERI_TABANI!$B$17), 0))) + ((VERI_TABANI!D28*B303*(VERI_TABANI!$B$13-VERI_TABANI!$B$14)) + (VERI_TABANI!D28*C303*(VERI_TABANI!$B$13-VERI_TABANI!$B$15)) + IF(ISNUMBER(SEARCH("Var", D303)), VERI_TABANI!F28*(0.00202-VERI_TABANI!$B$16), IF(ISNUMBER(SEARCH("Gri", D303)), VERI_TABANI!F28*(0.00202-VERI_TABANI!$B$17), 0))))</f>
        <v/>
      </c>
      <c r="I303" s="170">
        <f>IFERROR(((VERI_TABANI!$D$29*B303*VERI_TABANI!$B$14 + VERI_TABANI!$D$29*C303*VERI_TABANI!$B$15 + IF(ISNUMBER(SEARCH("Var", D303)), VERI_TABANI!$F$29*VERI_TABANI!$B$16, 0))) / (((VERI_TABANI!$D$29*B303 + VERI_TABANI!$D$29*C303)*VERI_TABANI!$B$13 + IF(ISNUMBER(SEARCH("Var", D303)), VERI_TABANI!$E$29*(1-0.928)*VERI_TABANI!$B$18, 0))), 0)</f>
        <v/>
      </c>
      <c r="J303" s="171">
        <f>IFERROR(F303/(G303/29), 0)</f>
        <v/>
      </c>
      <c r="K303" s="172">
        <f>IF(F303&gt;0, H303/F303, 0)</f>
        <v/>
      </c>
      <c r="L303" s="170">
        <f>IF(F303&gt;0, I303, 1000000000)</f>
        <v/>
      </c>
      <c r="M303" s="171">
        <f>ABS((B303+C303)-1)</f>
        <v/>
      </c>
      <c r="N303" s="170">
        <f>IF(F303&gt;0, (G303/29)/F303, 0)</f>
        <v/>
      </c>
      <c r="O303" s="168">
        <f>IF(AND((B303+C303)&gt;=1, ISNUMBER(SEARCH("Var", D303))), F303, 1000000000)</f>
        <v/>
      </c>
      <c r="P303" s="172">
        <f>IF(F303&gt;0, SQRT((F303/MAX(F$5:F$886))^2 + (1 - H303/MAX(H$5:H$886))^2 + (J303/MAX(J$5:J$886))^2), 1000000000)</f>
        <v/>
      </c>
      <c r="Q303" s="166">
        <f>IF(AND(ABS(B303-0.5)&lt;0.01, ABS(C303-0.5)&lt;0.01, ISNUMBER(SEARCH("Var", D303))), 1, 0)</f>
        <v/>
      </c>
      <c r="R303" s="171">
        <f>IF(F303&gt;0, J303, 1000000000)</f>
        <v/>
      </c>
      <c r="S303" s="101">
        <f>IF(AND(F303&lt;=DASHBOARD!$B$11, H303&gt;=DASHBOARD!$B$13), G303, -1000000000000)</f>
        <v/>
      </c>
      <c r="T303" s="101">
        <f>IF(AND(F303&lt;=DASHBOARD!$B$11, H303&gt;=DASHBOARD!$B$13), R303, 1000000000000)</f>
        <v/>
      </c>
      <c r="U303" s="101">
        <f>IF(AND(F303&lt;=DASHBOARD!$B$11, H303&gt;=DASHBOARD!$B$13), N303, -1000000000000)</f>
        <v/>
      </c>
      <c r="V303" s="101">
        <f>IF(AND(F303&lt;=DASHBOARD!$B$11, H303&gt;=DASHBOARD!$B$13), H303, -1000000000000)</f>
        <v/>
      </c>
      <c r="W303" s="101">
        <f>IF(AND(F303&lt;=DASHBOARD!$B$11, H303&gt;=DASHBOARD!$B$13), K303, -1000000000000)</f>
        <v/>
      </c>
      <c r="X303" s="101">
        <f>IF(AND(F303&lt;=DASHBOARD!$B$11, H303&gt;=DASHBOARD!$B$13), M303, 1000000000000)</f>
        <v/>
      </c>
      <c r="Y303" s="101">
        <f>IF(AND(F303&lt;=DASHBOARD!$B$10, H303&gt;=DASHBOARD!$B$11), L303, 1000000000000)</f>
        <v/>
      </c>
      <c r="Z303" s="101">
        <f>IF(AND(F303&lt;=DASHBOARD!$B$10, H303&gt;=DASHBOARD!$B$11), O303, 1000000000000)</f>
        <v/>
      </c>
      <c r="AA303" s="101">
        <f>IF(AND(F303&lt;=DASHBOARD!$B$10, H303&gt;=DASHBOARD!$B$11), P303, 1000000000000)</f>
        <v/>
      </c>
      <c r="AB303" s="101">
        <f>IF(AND(F303&lt;=DASHBOARD!$B$10, H303&gt;=DASHBOARD!$B$11), Q303, -1000000000000)</f>
        <v/>
      </c>
    </row>
    <row r="304" ht="15" customHeight="1" s="102">
      <c r="A304" s="166" t="n">
        <v>300</v>
      </c>
      <c r="B304" s="167" t="n">
        <v>0.7</v>
      </c>
      <c r="C304" s="167" t="n">
        <v>0.2</v>
      </c>
      <c r="D304" s="110" t="inlineStr">
        <is>
          <t>Var (%20)</t>
        </is>
      </c>
      <c r="E304" s="110">
        <f>IF((B304+C304)&lt;=1, "Tam Mahsuplaşma (≤%100)", "Kısmi Satış (&gt;%100)")</f>
        <v/>
      </c>
      <c r="F304" s="168">
        <f>((VERI_TABANI!$D$29*B304/VERI_TABANI!$B$29)/VERI_TABANI!$B$3)*VERI_TABANI!$B$5 + ((VERI_TABANI!$D$29*C304/VERI_TABANI!$B$29)/VERI_TABANI!$B$4)*VERI_TABANI!$B$6 + IF(ISNUMBER(SEARCH("Var", D304)), (VERI_TABANI!$F$29/VERI_TABANI!$B$29)*(VERI_TABANI!$B$10+VERI_TABANI!$B$12), 0)</f>
        <v/>
      </c>
      <c r="G304" s="168">
        <f>(((MIN(VERI_TABANI!D23, VERI_TABANI!D23*B304)*VERI_TABANI!$B$7 + MAX(0, VERI_TABANI!D23*B304-VERI_TABANI!D23)*VERI_TABANI!$B$8) + (MIN(MAX(0, VERI_TABANI!D23-VERI_TABANI!D23*B304), VERI_TABANI!D23*C304)*VERI_TABANI!$B$7 + MAX(0, VERI_TABANI!D23*C304-MAX(0, VERI_TABANI!D23-VERI_TABANI!D23*B304))*VERI_TABANI!$B$8) + IF(ABS(IF(ISNUMBER(SEARCH("Var", D304)), 1, IF(ISNUMBER(SEARCH("Gri", D304)), -1, 0)))=1, VERI_TABANI!E23*(1-0.928)*VERI_TABANI!$B$9, 0) + (VERI_TABANI!D23*B304*(VERI_TABANI!$B$13-VERI_TABANI!$B$14)*VERI_TABANI!G23) + (VERI_TABANI!D23*C304*(VERI_TABANI!$B$13-VERI_TABANI!$B$15)*VERI_TABANI!G23) + IF(ABS(IF(ISNUMBER(SEARCH("Var", D304)), 1, IF(ISNUMBER(SEARCH("Gri", D304)), -1, 0)))=1, VERI_TABANI!E23*(1-0.928)*0.00206091519919798*VERI_TABANI!G23, 0)) + ((MIN(VERI_TABANI!D24, VERI_TABANI!D24*B304)*VERI_TABANI!$B$7 + MAX(0, VERI_TABANI!D24*B304-VERI_TABANI!D24)*VERI_TABANI!$B$8) + (MIN(MAX(0, VERI_TABANI!D24-VERI_TABANI!D24*B304), VERI_TABANI!D24*C304)*VERI_TABANI!$B$7 + MAX(0, VERI_TABANI!D24*C304-MAX(0, VERI_TABANI!D24-VERI_TABANI!D24*B304))*VERI_TABANI!$B$8) + IF(ABS(IF(ISNUMBER(SEARCH("Var", D304)), 1, IF(ISNUMBER(SEARCH("Gri", D304)), -1, 0)))=1, VERI_TABANI!E24*(1-0.928)*VERI_TABANI!$B$9, 0) + (VERI_TABANI!D24*B304*(VERI_TABANI!$B$13-VERI_TABANI!$B$14)*VERI_TABANI!G24) + (VERI_TABANI!D24*C304*(VERI_TABANI!$B$13-VERI_TABANI!$B$15)*VERI_TABANI!G24) + IF(ABS(IF(ISNUMBER(SEARCH("Var", D304)), 1, IF(ISNUMBER(SEARCH("Gri", D304)), -1, 0)))=1, VERI_TABANI!E24*(1-0.928)*0.00206091519919798*VERI_TABANI!G24, 0)) + ((MIN(VERI_TABANI!D25, VERI_TABANI!D25*B304)*VERI_TABANI!$B$7 + MAX(0, VERI_TABANI!D25*B304-VERI_TABANI!D25)*VERI_TABANI!$B$8) + (MIN(MAX(0, VERI_TABANI!D25-VERI_TABANI!D25*B304), VERI_TABANI!D25*C304)*VERI_TABANI!$B$7 + MAX(0, VERI_TABANI!D25*C304-MAX(0, VERI_TABANI!D25-VERI_TABANI!D25*B304))*VERI_TABANI!$B$8) + IF(ABS(IF(ISNUMBER(SEARCH("Var", D304)), 1, IF(ISNUMBER(SEARCH("Gri", D304)), -1, 0)))=1, VERI_TABANI!E25*(1-0.928)*VERI_TABANI!$B$9, 0) + (VERI_TABANI!D25*B304*(VERI_TABANI!$B$13-VERI_TABANI!$B$14)*VERI_TABANI!G25) + (VERI_TABANI!D25*C304*(VERI_TABANI!$B$13-VERI_TABANI!$B$15)*VERI_TABANI!G25) + IF(ABS(IF(ISNUMBER(SEARCH("Var", D304)), 1, IF(ISNUMBER(SEARCH("Gri", D304)), -1, 0)))=1, VERI_TABANI!E25*(1-0.928)*0.00206091519919798*VERI_TABANI!G25, 0)) + ((MIN(VERI_TABANI!D26, VERI_TABANI!D26*B304)*VERI_TABANI!$B$7 + MAX(0, VERI_TABANI!D26*B304-VERI_TABANI!D26)*VERI_TABANI!$B$8) + (MIN(MAX(0, VERI_TABANI!D26-VERI_TABANI!D26*B304), VERI_TABANI!D26*C304)*VERI_TABANI!$B$7 + MAX(0, VERI_TABANI!D26*C304-MAX(0, VERI_TABANI!D26-VERI_TABANI!D26*B304))*VERI_TABANI!$B$8) + IF(ABS(IF(ISNUMBER(SEARCH("Var", D304)), 1, IF(ISNUMBER(SEARCH("Gri", D304)), -1, 0)))=1, VERI_TABANI!E26*(1-0.928)*VERI_TABANI!$B$9, 0) + (VERI_TABANI!D26*B304*(VERI_TABANI!$B$13-VERI_TABANI!$B$14)*VERI_TABANI!G26) + (VERI_TABANI!D26*C304*(VERI_TABANI!$B$13-VERI_TABANI!$B$15)*VERI_TABANI!G26) + IF(ABS(IF(ISNUMBER(SEARCH("Var", D304)), 1, IF(ISNUMBER(SEARCH("Gri", D304)), -1, 0)))=1, VERI_TABANI!E26*(1-0.928)*0.00206091519919798*VERI_TABANI!G26, 0)) + ((MIN(VERI_TABANI!D27, VERI_TABANI!D27*B304)*VERI_TABANI!$B$7 + MAX(0, VERI_TABANI!D27*B304-VERI_TABANI!D27)*VERI_TABANI!$B$8) + (MIN(MAX(0, VERI_TABANI!D27-VERI_TABANI!D27*B304), VERI_TABANI!D27*C304)*VERI_TABANI!$B$7 + MAX(0, VERI_TABANI!D27*C304-MAX(0, VERI_TABANI!D27-VERI_TABANI!D27*B304))*VERI_TABANI!$B$8) + IF(ABS(IF(ISNUMBER(SEARCH("Var", D304)), 1, IF(ISNUMBER(SEARCH("Gri", D304)), -1, 0)))=1, VERI_TABANI!E27*(1-0.928)*VERI_TABANI!$B$9, 0) + (VERI_TABANI!D27*B304*(VERI_TABANI!$B$13-VERI_TABANI!$B$14)*VERI_TABANI!G27) + (VERI_TABANI!D27*C304*(VERI_TABANI!$B$13-VERI_TABANI!$B$15)*VERI_TABANI!G27) + IF(ABS(IF(ISNUMBER(SEARCH("Var", D304)), 1, IF(ISNUMBER(SEARCH("Gri", D304)), -1, 0)))=1, VERI_TABANI!E27*(1-0.928)*0.00206091519919798*VERI_TABANI!G27, 0)) + ((MIN(VERI_TABANI!D28, VERI_TABANI!D28*B304)*VERI_TABANI!$B$7 + MAX(0, VERI_TABANI!D28*B304-VERI_TABANI!D28)*VERI_TABANI!$B$8) + (MIN(MAX(0, VERI_TABANI!D28-VERI_TABANI!D28*B304), VERI_TABANI!D28*C304)*VERI_TABANI!$B$7 + MAX(0, VERI_TABANI!D28*C304-MAX(0, VERI_TABANI!D28-VERI_TABANI!D28*B304))*VERI_TABANI!$B$8) + IF(ABS(IF(ISNUMBER(SEARCH("Var", D304)), 1, IF(ISNUMBER(SEARCH("Gri", D304)), -1, 0)))=1, VERI_TABANI!E28*(1-0.928)*VERI_TABANI!$B$9, 0) + (VERI_TABANI!D28*B304*(VERI_TABANI!$B$13-VERI_TABANI!$B$14)*VERI_TABANI!G28) + (VERI_TABANI!D28*C304*(VERI_TABANI!$B$13-VERI_TABANI!$B$15)*VERI_TABANI!G28) + IF(ABS(IF(ISNUMBER(SEARCH("Var", D304)), 1, IF(ISNUMBER(SEARCH("Gri", D304)), -1, 0)))=1, VERI_TABANI!E28*(1-0.928)*0.00206091519919798*VERI_TABANI!G28, 0)))</f>
        <v/>
      </c>
      <c r="H304" s="169">
        <f>(((VERI_TABANI!D23*B304*(VERI_TABANI!$B$13-VERI_TABANI!$B$14)) + (VERI_TABANI!D23*C304*(VERI_TABANI!$B$13-VERI_TABANI!$B$15)) + IF(ISNUMBER(SEARCH("Var", D304)), VERI_TABANI!F23*(0.00202-VERI_TABANI!$B$16), IF(ISNUMBER(SEARCH("Gri", D304)), VERI_TABANI!F23*(0.00202-VERI_TABANI!$B$17), 0))) + ((VERI_TABANI!D24*B304*(VERI_TABANI!$B$13-VERI_TABANI!$B$14)) + (VERI_TABANI!D24*C304*(VERI_TABANI!$B$13-VERI_TABANI!$B$15)) + IF(ISNUMBER(SEARCH("Var", D304)), VERI_TABANI!F24*(0.00202-VERI_TABANI!$B$16), IF(ISNUMBER(SEARCH("Gri", D304)), VERI_TABANI!F24*(0.00202-VERI_TABANI!$B$17), 0))) + ((VERI_TABANI!D25*B304*(VERI_TABANI!$B$13-VERI_TABANI!$B$14)) + (VERI_TABANI!D25*C304*(VERI_TABANI!$B$13-VERI_TABANI!$B$15)) + IF(ISNUMBER(SEARCH("Var", D304)), VERI_TABANI!F25*(0.00202-VERI_TABANI!$B$16), IF(ISNUMBER(SEARCH("Gri", D304)), VERI_TABANI!F25*(0.00202-VERI_TABANI!$B$17), 0))) + ((VERI_TABANI!D26*B304*(VERI_TABANI!$B$13-VERI_TABANI!$B$14)) + (VERI_TABANI!D26*C304*(VERI_TABANI!$B$13-VERI_TABANI!$B$15)) + IF(ISNUMBER(SEARCH("Var", D304)), VERI_TABANI!F26*(0.00202-VERI_TABANI!$B$16), IF(ISNUMBER(SEARCH("Gri", D304)), VERI_TABANI!F26*(0.00202-VERI_TABANI!$B$17), 0))) + ((VERI_TABANI!D27*B304*(VERI_TABANI!$B$13-VERI_TABANI!$B$14)) + (VERI_TABANI!D27*C304*(VERI_TABANI!$B$13-VERI_TABANI!$B$15)) + IF(ISNUMBER(SEARCH("Var", D304)), VERI_TABANI!F27*(0.00202-VERI_TABANI!$B$16), IF(ISNUMBER(SEARCH("Gri", D304)), VERI_TABANI!F27*(0.00202-VERI_TABANI!$B$17), 0))) + ((VERI_TABANI!D28*B304*(VERI_TABANI!$B$13-VERI_TABANI!$B$14)) + (VERI_TABANI!D28*C304*(VERI_TABANI!$B$13-VERI_TABANI!$B$15)) + IF(ISNUMBER(SEARCH("Var", D304)), VERI_TABANI!F28*(0.00202-VERI_TABANI!$B$16), IF(ISNUMBER(SEARCH("Gri", D304)), VERI_TABANI!F28*(0.00202-VERI_TABANI!$B$17), 0))))</f>
        <v/>
      </c>
      <c r="I304" s="170">
        <f>IFERROR(((VERI_TABANI!$D$29*B304*VERI_TABANI!$B$14 + VERI_TABANI!$D$29*C304*VERI_TABANI!$B$15 + IF(ISNUMBER(SEARCH("Var", D304)), VERI_TABANI!$F$29*VERI_TABANI!$B$16, 0))) / (((VERI_TABANI!$D$29*B304 + VERI_TABANI!$D$29*C304)*VERI_TABANI!$B$13 + IF(ISNUMBER(SEARCH("Var", D304)), VERI_TABANI!$E$29*(1-0.928)*VERI_TABANI!$B$18, 0))), 0)</f>
        <v/>
      </c>
      <c r="J304" s="171">
        <f>IFERROR(F304/(G304/29), 0)</f>
        <v/>
      </c>
      <c r="K304" s="172">
        <f>IF(F304&gt;0, H304/F304, 0)</f>
        <v/>
      </c>
      <c r="L304" s="170">
        <f>IF(F304&gt;0, I304, 1000000000)</f>
        <v/>
      </c>
      <c r="M304" s="171">
        <f>ABS((B304+C304)-1)</f>
        <v/>
      </c>
      <c r="N304" s="170">
        <f>IF(F304&gt;0, (G304/29)/F304, 0)</f>
        <v/>
      </c>
      <c r="O304" s="168">
        <f>IF(AND((B304+C304)&gt;=1, ISNUMBER(SEARCH("Var", D304))), F304, 1000000000)</f>
        <v/>
      </c>
      <c r="P304" s="172">
        <f>IF(F304&gt;0, SQRT((F304/MAX(F$5:F$886))^2 + (1 - H304/MAX(H$5:H$886))^2 + (J304/MAX(J$5:J$886))^2), 1000000000)</f>
        <v/>
      </c>
      <c r="Q304" s="166">
        <f>IF(AND(ABS(B304-0.5)&lt;0.01, ABS(C304-0.5)&lt;0.01, ISNUMBER(SEARCH("Var", D304))), 1, 0)</f>
        <v/>
      </c>
      <c r="R304" s="171">
        <f>IF(F304&gt;0, J304, 1000000000)</f>
        <v/>
      </c>
      <c r="S304" s="101">
        <f>IF(AND(F304&lt;=DASHBOARD!$B$11, H304&gt;=DASHBOARD!$B$13), G304, -1000000000000)</f>
        <v/>
      </c>
      <c r="T304" s="101">
        <f>IF(AND(F304&lt;=DASHBOARD!$B$11, H304&gt;=DASHBOARD!$B$13), R304, 1000000000000)</f>
        <v/>
      </c>
      <c r="U304" s="101">
        <f>IF(AND(F304&lt;=DASHBOARD!$B$11, H304&gt;=DASHBOARD!$B$13), N304, -1000000000000)</f>
        <v/>
      </c>
      <c r="V304" s="101">
        <f>IF(AND(F304&lt;=DASHBOARD!$B$11, H304&gt;=DASHBOARD!$B$13), H304, -1000000000000)</f>
        <v/>
      </c>
      <c r="W304" s="101">
        <f>IF(AND(F304&lt;=DASHBOARD!$B$11, H304&gt;=DASHBOARD!$B$13), K304, -1000000000000)</f>
        <v/>
      </c>
      <c r="X304" s="101">
        <f>IF(AND(F304&lt;=DASHBOARD!$B$11, H304&gt;=DASHBOARD!$B$13), M304, 1000000000000)</f>
        <v/>
      </c>
      <c r="Y304" s="101">
        <f>IF(AND(F304&lt;=DASHBOARD!$B$10, H304&gt;=DASHBOARD!$B$11), L304, 1000000000000)</f>
        <v/>
      </c>
      <c r="Z304" s="101">
        <f>IF(AND(F304&lt;=DASHBOARD!$B$10, H304&gt;=DASHBOARD!$B$11), O304, 1000000000000)</f>
        <v/>
      </c>
      <c r="AA304" s="101">
        <f>IF(AND(F304&lt;=DASHBOARD!$B$10, H304&gt;=DASHBOARD!$B$11), P304, 1000000000000)</f>
        <v/>
      </c>
      <c r="AB304" s="101">
        <f>IF(AND(F304&lt;=DASHBOARD!$B$10, H304&gt;=DASHBOARD!$B$11), Q304, -1000000000000)</f>
        <v/>
      </c>
    </row>
    <row r="305" ht="15" customHeight="1" s="102">
      <c r="A305" s="166" t="n">
        <v>301</v>
      </c>
      <c r="B305" s="167" t="n">
        <v>0.7</v>
      </c>
      <c r="C305" s="167" t="n">
        <v>0.3</v>
      </c>
      <c r="D305" s="110" t="inlineStr">
        <is>
          <t>Yok (%0)</t>
        </is>
      </c>
      <c r="E305" s="110">
        <f>IF((B305+C305)&lt;=1, "Tam Mahsuplaşma (≤%100)", "Kısmi Satış (&gt;%100)")</f>
        <v/>
      </c>
      <c r="F305" s="168">
        <f>((VERI_TABANI!$D$29*B305/VERI_TABANI!$B$29)/VERI_TABANI!$B$3)*VERI_TABANI!$B$5 + ((VERI_TABANI!$D$29*C305/VERI_TABANI!$B$29)/VERI_TABANI!$B$4)*VERI_TABANI!$B$6 + IF(ISNUMBER(SEARCH("Var", D305)), (VERI_TABANI!$F$29/VERI_TABANI!$B$29)*(VERI_TABANI!$B$10+VERI_TABANI!$B$12), 0)</f>
        <v/>
      </c>
      <c r="G305" s="168">
        <f>(((MIN(VERI_TABANI!D23, VERI_TABANI!D23*B305)*VERI_TABANI!$B$7 + MAX(0, VERI_TABANI!D23*B305-VERI_TABANI!D23)*VERI_TABANI!$B$8) + (MIN(MAX(0, VERI_TABANI!D23-VERI_TABANI!D23*B305), VERI_TABANI!D23*C305)*VERI_TABANI!$B$7 + MAX(0, VERI_TABANI!D23*C305-MAX(0, VERI_TABANI!D23-VERI_TABANI!D23*B305))*VERI_TABANI!$B$8) + IF(ABS(IF(ISNUMBER(SEARCH("Var", D305)), 1, IF(ISNUMBER(SEARCH("Gri", D305)), -1, 0)))=1, VERI_TABANI!E23*(1-0.928)*VERI_TABANI!$B$9, 0) + (VERI_TABANI!D23*B305*(VERI_TABANI!$B$13-VERI_TABANI!$B$14)*VERI_TABANI!G23) + (VERI_TABANI!D23*C305*(VERI_TABANI!$B$13-VERI_TABANI!$B$15)*VERI_TABANI!G23) + IF(ABS(IF(ISNUMBER(SEARCH("Var", D305)), 1, IF(ISNUMBER(SEARCH("Gri", D305)), -1, 0)))=1, VERI_TABANI!E23*(1-0.928)*0.00206091519919798*VERI_TABANI!G23, 0)) + ((MIN(VERI_TABANI!D24, VERI_TABANI!D24*B305)*VERI_TABANI!$B$7 + MAX(0, VERI_TABANI!D24*B305-VERI_TABANI!D24)*VERI_TABANI!$B$8) + (MIN(MAX(0, VERI_TABANI!D24-VERI_TABANI!D24*B305), VERI_TABANI!D24*C305)*VERI_TABANI!$B$7 + MAX(0, VERI_TABANI!D24*C305-MAX(0, VERI_TABANI!D24-VERI_TABANI!D24*B305))*VERI_TABANI!$B$8) + IF(ABS(IF(ISNUMBER(SEARCH("Var", D305)), 1, IF(ISNUMBER(SEARCH("Gri", D305)), -1, 0)))=1, VERI_TABANI!E24*(1-0.928)*VERI_TABANI!$B$9, 0) + (VERI_TABANI!D24*B305*(VERI_TABANI!$B$13-VERI_TABANI!$B$14)*VERI_TABANI!G24) + (VERI_TABANI!D24*C305*(VERI_TABANI!$B$13-VERI_TABANI!$B$15)*VERI_TABANI!G24) + IF(ABS(IF(ISNUMBER(SEARCH("Var", D305)), 1, IF(ISNUMBER(SEARCH("Gri", D305)), -1, 0)))=1, VERI_TABANI!E24*(1-0.928)*0.00206091519919798*VERI_TABANI!G24, 0)) + ((MIN(VERI_TABANI!D25, VERI_TABANI!D25*B305)*VERI_TABANI!$B$7 + MAX(0, VERI_TABANI!D25*B305-VERI_TABANI!D25)*VERI_TABANI!$B$8) + (MIN(MAX(0, VERI_TABANI!D25-VERI_TABANI!D25*B305), VERI_TABANI!D25*C305)*VERI_TABANI!$B$7 + MAX(0, VERI_TABANI!D25*C305-MAX(0, VERI_TABANI!D25-VERI_TABANI!D25*B305))*VERI_TABANI!$B$8) + IF(ABS(IF(ISNUMBER(SEARCH("Var", D305)), 1, IF(ISNUMBER(SEARCH("Gri", D305)), -1, 0)))=1, VERI_TABANI!E25*(1-0.928)*VERI_TABANI!$B$9, 0) + (VERI_TABANI!D25*B305*(VERI_TABANI!$B$13-VERI_TABANI!$B$14)*VERI_TABANI!G25) + (VERI_TABANI!D25*C305*(VERI_TABANI!$B$13-VERI_TABANI!$B$15)*VERI_TABANI!G25) + IF(ABS(IF(ISNUMBER(SEARCH("Var", D305)), 1, IF(ISNUMBER(SEARCH("Gri", D305)), -1, 0)))=1, VERI_TABANI!E25*(1-0.928)*0.00206091519919798*VERI_TABANI!G25, 0)) + ((MIN(VERI_TABANI!D26, VERI_TABANI!D26*B305)*VERI_TABANI!$B$7 + MAX(0, VERI_TABANI!D26*B305-VERI_TABANI!D26)*VERI_TABANI!$B$8) + (MIN(MAX(0, VERI_TABANI!D26-VERI_TABANI!D26*B305), VERI_TABANI!D26*C305)*VERI_TABANI!$B$7 + MAX(0, VERI_TABANI!D26*C305-MAX(0, VERI_TABANI!D26-VERI_TABANI!D26*B305))*VERI_TABANI!$B$8) + IF(ABS(IF(ISNUMBER(SEARCH("Var", D305)), 1, IF(ISNUMBER(SEARCH("Gri", D305)), -1, 0)))=1, VERI_TABANI!E26*(1-0.928)*VERI_TABANI!$B$9, 0) + (VERI_TABANI!D26*B305*(VERI_TABANI!$B$13-VERI_TABANI!$B$14)*VERI_TABANI!G26) + (VERI_TABANI!D26*C305*(VERI_TABANI!$B$13-VERI_TABANI!$B$15)*VERI_TABANI!G26) + IF(ABS(IF(ISNUMBER(SEARCH("Var", D305)), 1, IF(ISNUMBER(SEARCH("Gri", D305)), -1, 0)))=1, VERI_TABANI!E26*(1-0.928)*0.00206091519919798*VERI_TABANI!G26, 0)) + ((MIN(VERI_TABANI!D27, VERI_TABANI!D27*B305)*VERI_TABANI!$B$7 + MAX(0, VERI_TABANI!D27*B305-VERI_TABANI!D27)*VERI_TABANI!$B$8) + (MIN(MAX(0, VERI_TABANI!D27-VERI_TABANI!D27*B305), VERI_TABANI!D27*C305)*VERI_TABANI!$B$7 + MAX(0, VERI_TABANI!D27*C305-MAX(0, VERI_TABANI!D27-VERI_TABANI!D27*B305))*VERI_TABANI!$B$8) + IF(ABS(IF(ISNUMBER(SEARCH("Var", D305)), 1, IF(ISNUMBER(SEARCH("Gri", D305)), -1, 0)))=1, VERI_TABANI!E27*(1-0.928)*VERI_TABANI!$B$9, 0) + (VERI_TABANI!D27*B305*(VERI_TABANI!$B$13-VERI_TABANI!$B$14)*VERI_TABANI!G27) + (VERI_TABANI!D27*C305*(VERI_TABANI!$B$13-VERI_TABANI!$B$15)*VERI_TABANI!G27) + IF(ABS(IF(ISNUMBER(SEARCH("Var", D305)), 1, IF(ISNUMBER(SEARCH("Gri", D305)), -1, 0)))=1, VERI_TABANI!E27*(1-0.928)*0.00206091519919798*VERI_TABANI!G27, 0)) + ((MIN(VERI_TABANI!D28, VERI_TABANI!D28*B305)*VERI_TABANI!$B$7 + MAX(0, VERI_TABANI!D28*B305-VERI_TABANI!D28)*VERI_TABANI!$B$8) + (MIN(MAX(0, VERI_TABANI!D28-VERI_TABANI!D28*B305), VERI_TABANI!D28*C305)*VERI_TABANI!$B$7 + MAX(0, VERI_TABANI!D28*C305-MAX(0, VERI_TABANI!D28-VERI_TABANI!D28*B305))*VERI_TABANI!$B$8) + IF(ABS(IF(ISNUMBER(SEARCH("Var", D305)), 1, IF(ISNUMBER(SEARCH("Gri", D305)), -1, 0)))=1, VERI_TABANI!E28*(1-0.928)*VERI_TABANI!$B$9, 0) + (VERI_TABANI!D28*B305*(VERI_TABANI!$B$13-VERI_TABANI!$B$14)*VERI_TABANI!G28) + (VERI_TABANI!D28*C305*(VERI_TABANI!$B$13-VERI_TABANI!$B$15)*VERI_TABANI!G28) + IF(ABS(IF(ISNUMBER(SEARCH("Var", D305)), 1, IF(ISNUMBER(SEARCH("Gri", D305)), -1, 0)))=1, VERI_TABANI!E28*(1-0.928)*0.00206091519919798*VERI_TABANI!G28, 0)))</f>
        <v/>
      </c>
      <c r="H305" s="169">
        <f>(((VERI_TABANI!D23*B305*(VERI_TABANI!$B$13-VERI_TABANI!$B$14)) + (VERI_TABANI!D23*C305*(VERI_TABANI!$B$13-VERI_TABANI!$B$15)) + IF(ISNUMBER(SEARCH("Var", D305)), VERI_TABANI!F23*(0.00202-VERI_TABANI!$B$16), IF(ISNUMBER(SEARCH("Gri", D305)), VERI_TABANI!F23*(0.00202-VERI_TABANI!$B$17), 0))) + ((VERI_TABANI!D24*B305*(VERI_TABANI!$B$13-VERI_TABANI!$B$14)) + (VERI_TABANI!D24*C305*(VERI_TABANI!$B$13-VERI_TABANI!$B$15)) + IF(ISNUMBER(SEARCH("Var", D305)), VERI_TABANI!F24*(0.00202-VERI_TABANI!$B$16), IF(ISNUMBER(SEARCH("Gri", D305)), VERI_TABANI!F24*(0.00202-VERI_TABANI!$B$17), 0))) + ((VERI_TABANI!D25*B305*(VERI_TABANI!$B$13-VERI_TABANI!$B$14)) + (VERI_TABANI!D25*C305*(VERI_TABANI!$B$13-VERI_TABANI!$B$15)) + IF(ISNUMBER(SEARCH("Var", D305)), VERI_TABANI!F25*(0.00202-VERI_TABANI!$B$16), IF(ISNUMBER(SEARCH("Gri", D305)), VERI_TABANI!F25*(0.00202-VERI_TABANI!$B$17), 0))) + ((VERI_TABANI!D26*B305*(VERI_TABANI!$B$13-VERI_TABANI!$B$14)) + (VERI_TABANI!D26*C305*(VERI_TABANI!$B$13-VERI_TABANI!$B$15)) + IF(ISNUMBER(SEARCH("Var", D305)), VERI_TABANI!F26*(0.00202-VERI_TABANI!$B$16), IF(ISNUMBER(SEARCH("Gri", D305)), VERI_TABANI!F26*(0.00202-VERI_TABANI!$B$17), 0))) + ((VERI_TABANI!D27*B305*(VERI_TABANI!$B$13-VERI_TABANI!$B$14)) + (VERI_TABANI!D27*C305*(VERI_TABANI!$B$13-VERI_TABANI!$B$15)) + IF(ISNUMBER(SEARCH("Var", D305)), VERI_TABANI!F27*(0.00202-VERI_TABANI!$B$16), IF(ISNUMBER(SEARCH("Gri", D305)), VERI_TABANI!F27*(0.00202-VERI_TABANI!$B$17), 0))) + ((VERI_TABANI!D28*B305*(VERI_TABANI!$B$13-VERI_TABANI!$B$14)) + (VERI_TABANI!D28*C305*(VERI_TABANI!$B$13-VERI_TABANI!$B$15)) + IF(ISNUMBER(SEARCH("Var", D305)), VERI_TABANI!F28*(0.00202-VERI_TABANI!$B$16), IF(ISNUMBER(SEARCH("Gri", D305)), VERI_TABANI!F28*(0.00202-VERI_TABANI!$B$17), 0))))</f>
        <v/>
      </c>
      <c r="I305" s="170">
        <f>IFERROR(((VERI_TABANI!$D$29*B305*VERI_TABANI!$B$14 + VERI_TABANI!$D$29*C305*VERI_TABANI!$B$15 + IF(ISNUMBER(SEARCH("Var", D305)), VERI_TABANI!$F$29*VERI_TABANI!$B$16, 0))) / (((VERI_TABANI!$D$29*B305 + VERI_TABANI!$D$29*C305)*VERI_TABANI!$B$13 + IF(ISNUMBER(SEARCH("Var", D305)), VERI_TABANI!$E$29*(1-0.928)*VERI_TABANI!$B$18, 0))), 0)</f>
        <v/>
      </c>
      <c r="J305" s="171">
        <f>IFERROR(F305/(G305/29), 0)</f>
        <v/>
      </c>
      <c r="K305" s="172">
        <f>IF(F305&gt;0, H305/F305, 0)</f>
        <v/>
      </c>
      <c r="L305" s="170">
        <f>IF(F305&gt;0, I305, 1000000000)</f>
        <v/>
      </c>
      <c r="M305" s="171">
        <f>ABS((B305+C305)-1)</f>
        <v/>
      </c>
      <c r="N305" s="170">
        <f>IF(F305&gt;0, (G305/29)/F305, 0)</f>
        <v/>
      </c>
      <c r="O305" s="168">
        <f>IF(AND((B305+C305)&gt;=1, ISNUMBER(SEARCH("Var", D305))), F305, 1000000000)</f>
        <v/>
      </c>
      <c r="P305" s="172">
        <f>IF(F305&gt;0, SQRT((F305/MAX(F$5:F$886))^2 + (1 - H305/MAX(H$5:H$886))^2 + (J305/MAX(J$5:J$886))^2), 1000000000)</f>
        <v/>
      </c>
      <c r="Q305" s="166">
        <f>IF(AND(ABS(B305-0.5)&lt;0.01, ABS(C305-0.5)&lt;0.01, ISNUMBER(SEARCH("Var", D305))), 1, 0)</f>
        <v/>
      </c>
      <c r="R305" s="171">
        <f>IF(F305&gt;0, J305, 1000000000)</f>
        <v/>
      </c>
      <c r="S305" s="101">
        <f>IF(AND(F305&lt;=DASHBOARD!$B$11, H305&gt;=DASHBOARD!$B$13), G305, -1000000000000)</f>
        <v/>
      </c>
      <c r="T305" s="101">
        <f>IF(AND(F305&lt;=DASHBOARD!$B$11, H305&gt;=DASHBOARD!$B$13), R305, 1000000000000)</f>
        <v/>
      </c>
      <c r="U305" s="101">
        <f>IF(AND(F305&lt;=DASHBOARD!$B$11, H305&gt;=DASHBOARD!$B$13), N305, -1000000000000)</f>
        <v/>
      </c>
      <c r="V305" s="101">
        <f>IF(AND(F305&lt;=DASHBOARD!$B$11, H305&gt;=DASHBOARD!$B$13), H305, -1000000000000)</f>
        <v/>
      </c>
      <c r="W305" s="101">
        <f>IF(AND(F305&lt;=DASHBOARD!$B$11, H305&gt;=DASHBOARD!$B$13), K305, -1000000000000)</f>
        <v/>
      </c>
      <c r="X305" s="101">
        <f>IF(AND(F305&lt;=DASHBOARD!$B$11, H305&gt;=DASHBOARD!$B$13), M305, 1000000000000)</f>
        <v/>
      </c>
      <c r="Y305" s="101">
        <f>IF(AND(F305&lt;=DASHBOARD!$B$10, H305&gt;=DASHBOARD!$B$11), L305, 1000000000000)</f>
        <v/>
      </c>
      <c r="Z305" s="101">
        <f>IF(AND(F305&lt;=DASHBOARD!$B$10, H305&gt;=DASHBOARD!$B$11), O305, 1000000000000)</f>
        <v/>
      </c>
      <c r="AA305" s="101">
        <f>IF(AND(F305&lt;=DASHBOARD!$B$10, H305&gt;=DASHBOARD!$B$11), P305, 1000000000000)</f>
        <v/>
      </c>
      <c r="AB305" s="101">
        <f>IF(AND(F305&lt;=DASHBOARD!$B$10, H305&gt;=DASHBOARD!$B$11), Q305, -1000000000000)</f>
        <v/>
      </c>
    </row>
    <row r="306" ht="15" customHeight="1" s="102">
      <c r="A306" s="166" t="n">
        <v>302</v>
      </c>
      <c r="B306" s="167" t="n">
        <v>0.7</v>
      </c>
      <c r="C306" s="167" t="n">
        <v>0.3</v>
      </c>
      <c r="D306" s="110" t="inlineStr">
        <is>
          <t>Var (%20)</t>
        </is>
      </c>
      <c r="E306" s="110">
        <f>IF((B306+C306)&lt;=1, "Tam Mahsuplaşma (≤%100)", "Kısmi Satış (&gt;%100)")</f>
        <v/>
      </c>
      <c r="F306" s="168">
        <f>((VERI_TABANI!$D$29*B306/VERI_TABANI!$B$29)/VERI_TABANI!$B$3)*VERI_TABANI!$B$5 + ((VERI_TABANI!$D$29*C306/VERI_TABANI!$B$29)/VERI_TABANI!$B$4)*VERI_TABANI!$B$6 + IF(ISNUMBER(SEARCH("Var", D306)), (VERI_TABANI!$F$29/VERI_TABANI!$B$29)*(VERI_TABANI!$B$10+VERI_TABANI!$B$12), 0)</f>
        <v/>
      </c>
      <c r="G306" s="168">
        <f>(((MIN(VERI_TABANI!D23, VERI_TABANI!D23*B306)*VERI_TABANI!$B$7 + MAX(0, VERI_TABANI!D23*B306-VERI_TABANI!D23)*VERI_TABANI!$B$8) + (MIN(MAX(0, VERI_TABANI!D23-VERI_TABANI!D23*B306), VERI_TABANI!D23*C306)*VERI_TABANI!$B$7 + MAX(0, VERI_TABANI!D23*C306-MAX(0, VERI_TABANI!D23-VERI_TABANI!D23*B306))*VERI_TABANI!$B$8) + IF(ABS(IF(ISNUMBER(SEARCH("Var", D306)), 1, IF(ISNUMBER(SEARCH("Gri", D306)), -1, 0)))=1, VERI_TABANI!E23*(1-0.928)*VERI_TABANI!$B$9, 0) + (VERI_TABANI!D23*B306*(VERI_TABANI!$B$13-VERI_TABANI!$B$14)*VERI_TABANI!G23) + (VERI_TABANI!D23*C306*(VERI_TABANI!$B$13-VERI_TABANI!$B$15)*VERI_TABANI!G23) + IF(ABS(IF(ISNUMBER(SEARCH("Var", D306)), 1, IF(ISNUMBER(SEARCH("Gri", D306)), -1, 0)))=1, VERI_TABANI!E23*(1-0.928)*0.00206091519919798*VERI_TABANI!G23, 0)) + ((MIN(VERI_TABANI!D24, VERI_TABANI!D24*B306)*VERI_TABANI!$B$7 + MAX(0, VERI_TABANI!D24*B306-VERI_TABANI!D24)*VERI_TABANI!$B$8) + (MIN(MAX(0, VERI_TABANI!D24-VERI_TABANI!D24*B306), VERI_TABANI!D24*C306)*VERI_TABANI!$B$7 + MAX(0, VERI_TABANI!D24*C306-MAX(0, VERI_TABANI!D24-VERI_TABANI!D24*B306))*VERI_TABANI!$B$8) + IF(ABS(IF(ISNUMBER(SEARCH("Var", D306)), 1, IF(ISNUMBER(SEARCH("Gri", D306)), -1, 0)))=1, VERI_TABANI!E24*(1-0.928)*VERI_TABANI!$B$9, 0) + (VERI_TABANI!D24*B306*(VERI_TABANI!$B$13-VERI_TABANI!$B$14)*VERI_TABANI!G24) + (VERI_TABANI!D24*C306*(VERI_TABANI!$B$13-VERI_TABANI!$B$15)*VERI_TABANI!G24) + IF(ABS(IF(ISNUMBER(SEARCH("Var", D306)), 1, IF(ISNUMBER(SEARCH("Gri", D306)), -1, 0)))=1, VERI_TABANI!E24*(1-0.928)*0.00206091519919798*VERI_TABANI!G24, 0)) + ((MIN(VERI_TABANI!D25, VERI_TABANI!D25*B306)*VERI_TABANI!$B$7 + MAX(0, VERI_TABANI!D25*B306-VERI_TABANI!D25)*VERI_TABANI!$B$8) + (MIN(MAX(0, VERI_TABANI!D25-VERI_TABANI!D25*B306), VERI_TABANI!D25*C306)*VERI_TABANI!$B$7 + MAX(0, VERI_TABANI!D25*C306-MAX(0, VERI_TABANI!D25-VERI_TABANI!D25*B306))*VERI_TABANI!$B$8) + IF(ABS(IF(ISNUMBER(SEARCH("Var", D306)), 1, IF(ISNUMBER(SEARCH("Gri", D306)), -1, 0)))=1, VERI_TABANI!E25*(1-0.928)*VERI_TABANI!$B$9, 0) + (VERI_TABANI!D25*B306*(VERI_TABANI!$B$13-VERI_TABANI!$B$14)*VERI_TABANI!G25) + (VERI_TABANI!D25*C306*(VERI_TABANI!$B$13-VERI_TABANI!$B$15)*VERI_TABANI!G25) + IF(ABS(IF(ISNUMBER(SEARCH("Var", D306)), 1, IF(ISNUMBER(SEARCH("Gri", D306)), -1, 0)))=1, VERI_TABANI!E25*(1-0.928)*0.00206091519919798*VERI_TABANI!G25, 0)) + ((MIN(VERI_TABANI!D26, VERI_TABANI!D26*B306)*VERI_TABANI!$B$7 + MAX(0, VERI_TABANI!D26*B306-VERI_TABANI!D26)*VERI_TABANI!$B$8) + (MIN(MAX(0, VERI_TABANI!D26-VERI_TABANI!D26*B306), VERI_TABANI!D26*C306)*VERI_TABANI!$B$7 + MAX(0, VERI_TABANI!D26*C306-MAX(0, VERI_TABANI!D26-VERI_TABANI!D26*B306))*VERI_TABANI!$B$8) + IF(ABS(IF(ISNUMBER(SEARCH("Var", D306)), 1, IF(ISNUMBER(SEARCH("Gri", D306)), -1, 0)))=1, VERI_TABANI!E26*(1-0.928)*VERI_TABANI!$B$9, 0) + (VERI_TABANI!D26*B306*(VERI_TABANI!$B$13-VERI_TABANI!$B$14)*VERI_TABANI!G26) + (VERI_TABANI!D26*C306*(VERI_TABANI!$B$13-VERI_TABANI!$B$15)*VERI_TABANI!G26) + IF(ABS(IF(ISNUMBER(SEARCH("Var", D306)), 1, IF(ISNUMBER(SEARCH("Gri", D306)), -1, 0)))=1, VERI_TABANI!E26*(1-0.928)*0.00206091519919798*VERI_TABANI!G26, 0)) + ((MIN(VERI_TABANI!D27, VERI_TABANI!D27*B306)*VERI_TABANI!$B$7 + MAX(0, VERI_TABANI!D27*B306-VERI_TABANI!D27)*VERI_TABANI!$B$8) + (MIN(MAX(0, VERI_TABANI!D27-VERI_TABANI!D27*B306), VERI_TABANI!D27*C306)*VERI_TABANI!$B$7 + MAX(0, VERI_TABANI!D27*C306-MAX(0, VERI_TABANI!D27-VERI_TABANI!D27*B306))*VERI_TABANI!$B$8) + IF(ABS(IF(ISNUMBER(SEARCH("Var", D306)), 1, IF(ISNUMBER(SEARCH("Gri", D306)), -1, 0)))=1, VERI_TABANI!E27*(1-0.928)*VERI_TABANI!$B$9, 0) + (VERI_TABANI!D27*B306*(VERI_TABANI!$B$13-VERI_TABANI!$B$14)*VERI_TABANI!G27) + (VERI_TABANI!D27*C306*(VERI_TABANI!$B$13-VERI_TABANI!$B$15)*VERI_TABANI!G27) + IF(ABS(IF(ISNUMBER(SEARCH("Var", D306)), 1, IF(ISNUMBER(SEARCH("Gri", D306)), -1, 0)))=1, VERI_TABANI!E27*(1-0.928)*0.00206091519919798*VERI_TABANI!G27, 0)) + ((MIN(VERI_TABANI!D28, VERI_TABANI!D28*B306)*VERI_TABANI!$B$7 + MAX(0, VERI_TABANI!D28*B306-VERI_TABANI!D28)*VERI_TABANI!$B$8) + (MIN(MAX(0, VERI_TABANI!D28-VERI_TABANI!D28*B306), VERI_TABANI!D28*C306)*VERI_TABANI!$B$7 + MAX(0, VERI_TABANI!D28*C306-MAX(0, VERI_TABANI!D28-VERI_TABANI!D28*B306))*VERI_TABANI!$B$8) + IF(ABS(IF(ISNUMBER(SEARCH("Var", D306)), 1, IF(ISNUMBER(SEARCH("Gri", D306)), -1, 0)))=1, VERI_TABANI!E28*(1-0.928)*VERI_TABANI!$B$9, 0) + (VERI_TABANI!D28*B306*(VERI_TABANI!$B$13-VERI_TABANI!$B$14)*VERI_TABANI!G28) + (VERI_TABANI!D28*C306*(VERI_TABANI!$B$13-VERI_TABANI!$B$15)*VERI_TABANI!G28) + IF(ABS(IF(ISNUMBER(SEARCH("Var", D306)), 1, IF(ISNUMBER(SEARCH("Gri", D306)), -1, 0)))=1, VERI_TABANI!E28*(1-0.928)*0.00206091519919798*VERI_TABANI!G28, 0)))</f>
        <v/>
      </c>
      <c r="H306" s="169">
        <f>(((VERI_TABANI!D23*B306*(VERI_TABANI!$B$13-VERI_TABANI!$B$14)) + (VERI_TABANI!D23*C306*(VERI_TABANI!$B$13-VERI_TABANI!$B$15)) + IF(ISNUMBER(SEARCH("Var", D306)), VERI_TABANI!F23*(0.00202-VERI_TABANI!$B$16), IF(ISNUMBER(SEARCH("Gri", D306)), VERI_TABANI!F23*(0.00202-VERI_TABANI!$B$17), 0))) + ((VERI_TABANI!D24*B306*(VERI_TABANI!$B$13-VERI_TABANI!$B$14)) + (VERI_TABANI!D24*C306*(VERI_TABANI!$B$13-VERI_TABANI!$B$15)) + IF(ISNUMBER(SEARCH("Var", D306)), VERI_TABANI!F24*(0.00202-VERI_TABANI!$B$16), IF(ISNUMBER(SEARCH("Gri", D306)), VERI_TABANI!F24*(0.00202-VERI_TABANI!$B$17), 0))) + ((VERI_TABANI!D25*B306*(VERI_TABANI!$B$13-VERI_TABANI!$B$14)) + (VERI_TABANI!D25*C306*(VERI_TABANI!$B$13-VERI_TABANI!$B$15)) + IF(ISNUMBER(SEARCH("Var", D306)), VERI_TABANI!F25*(0.00202-VERI_TABANI!$B$16), IF(ISNUMBER(SEARCH("Gri", D306)), VERI_TABANI!F25*(0.00202-VERI_TABANI!$B$17), 0))) + ((VERI_TABANI!D26*B306*(VERI_TABANI!$B$13-VERI_TABANI!$B$14)) + (VERI_TABANI!D26*C306*(VERI_TABANI!$B$13-VERI_TABANI!$B$15)) + IF(ISNUMBER(SEARCH("Var", D306)), VERI_TABANI!F26*(0.00202-VERI_TABANI!$B$16), IF(ISNUMBER(SEARCH("Gri", D306)), VERI_TABANI!F26*(0.00202-VERI_TABANI!$B$17), 0))) + ((VERI_TABANI!D27*B306*(VERI_TABANI!$B$13-VERI_TABANI!$B$14)) + (VERI_TABANI!D27*C306*(VERI_TABANI!$B$13-VERI_TABANI!$B$15)) + IF(ISNUMBER(SEARCH("Var", D306)), VERI_TABANI!F27*(0.00202-VERI_TABANI!$B$16), IF(ISNUMBER(SEARCH("Gri", D306)), VERI_TABANI!F27*(0.00202-VERI_TABANI!$B$17), 0))) + ((VERI_TABANI!D28*B306*(VERI_TABANI!$B$13-VERI_TABANI!$B$14)) + (VERI_TABANI!D28*C306*(VERI_TABANI!$B$13-VERI_TABANI!$B$15)) + IF(ISNUMBER(SEARCH("Var", D306)), VERI_TABANI!F28*(0.00202-VERI_TABANI!$B$16), IF(ISNUMBER(SEARCH("Gri", D306)), VERI_TABANI!F28*(0.00202-VERI_TABANI!$B$17), 0))))</f>
        <v/>
      </c>
      <c r="I306" s="170">
        <f>IFERROR(((VERI_TABANI!$D$29*B306*VERI_TABANI!$B$14 + VERI_TABANI!$D$29*C306*VERI_TABANI!$B$15 + IF(ISNUMBER(SEARCH("Var", D306)), VERI_TABANI!$F$29*VERI_TABANI!$B$16, 0))) / (((VERI_TABANI!$D$29*B306 + VERI_TABANI!$D$29*C306)*VERI_TABANI!$B$13 + IF(ISNUMBER(SEARCH("Var", D306)), VERI_TABANI!$E$29*(1-0.928)*VERI_TABANI!$B$18, 0))), 0)</f>
        <v/>
      </c>
      <c r="J306" s="171">
        <f>IFERROR(F306/(G306/29), 0)</f>
        <v/>
      </c>
      <c r="K306" s="172">
        <f>IF(F306&gt;0, H306/F306, 0)</f>
        <v/>
      </c>
      <c r="L306" s="170">
        <f>IF(F306&gt;0, I306, 1000000000)</f>
        <v/>
      </c>
      <c r="M306" s="171">
        <f>ABS((B306+C306)-1)</f>
        <v/>
      </c>
      <c r="N306" s="170">
        <f>IF(F306&gt;0, (G306/29)/F306, 0)</f>
        <v/>
      </c>
      <c r="O306" s="168">
        <f>IF(AND((B306+C306)&gt;=1, ISNUMBER(SEARCH("Var", D306))), F306, 1000000000)</f>
        <v/>
      </c>
      <c r="P306" s="172">
        <f>IF(F306&gt;0, SQRT((F306/MAX(F$5:F$886))^2 + (1 - H306/MAX(H$5:H$886))^2 + (J306/MAX(J$5:J$886))^2), 1000000000)</f>
        <v/>
      </c>
      <c r="Q306" s="166">
        <f>IF(AND(ABS(B306-0.5)&lt;0.01, ABS(C306-0.5)&lt;0.01, ISNUMBER(SEARCH("Var", D306))), 1, 0)</f>
        <v/>
      </c>
      <c r="R306" s="171">
        <f>IF(F306&gt;0, J306, 1000000000)</f>
        <v/>
      </c>
      <c r="S306" s="101">
        <f>IF(AND(F306&lt;=DASHBOARD!$B$11, H306&gt;=DASHBOARD!$B$13), G306, -1000000000000)</f>
        <v/>
      </c>
      <c r="T306" s="101">
        <f>IF(AND(F306&lt;=DASHBOARD!$B$11, H306&gt;=DASHBOARD!$B$13), R306, 1000000000000)</f>
        <v/>
      </c>
      <c r="U306" s="101">
        <f>IF(AND(F306&lt;=DASHBOARD!$B$11, H306&gt;=DASHBOARD!$B$13), N306, -1000000000000)</f>
        <v/>
      </c>
      <c r="V306" s="101">
        <f>IF(AND(F306&lt;=DASHBOARD!$B$11, H306&gt;=DASHBOARD!$B$13), H306, -1000000000000)</f>
        <v/>
      </c>
      <c r="W306" s="101">
        <f>IF(AND(F306&lt;=DASHBOARD!$B$11, H306&gt;=DASHBOARD!$B$13), K306, -1000000000000)</f>
        <v/>
      </c>
      <c r="X306" s="101">
        <f>IF(AND(F306&lt;=DASHBOARD!$B$11, H306&gt;=DASHBOARD!$B$13), M306, 1000000000000)</f>
        <v/>
      </c>
      <c r="Y306" s="101">
        <f>IF(AND(F306&lt;=DASHBOARD!$B$10, H306&gt;=DASHBOARD!$B$11), L306, 1000000000000)</f>
        <v/>
      </c>
      <c r="Z306" s="101">
        <f>IF(AND(F306&lt;=DASHBOARD!$B$10, H306&gt;=DASHBOARD!$B$11), O306, 1000000000000)</f>
        <v/>
      </c>
      <c r="AA306" s="101">
        <f>IF(AND(F306&lt;=DASHBOARD!$B$10, H306&gt;=DASHBOARD!$B$11), P306, 1000000000000)</f>
        <v/>
      </c>
      <c r="AB306" s="101">
        <f>IF(AND(F306&lt;=DASHBOARD!$B$10, H306&gt;=DASHBOARD!$B$11), Q306, -1000000000000)</f>
        <v/>
      </c>
    </row>
    <row r="307" ht="15" customHeight="1" s="102">
      <c r="A307" s="166" t="n">
        <v>303</v>
      </c>
      <c r="B307" s="167" t="n">
        <v>0.7</v>
      </c>
      <c r="C307" s="167" t="n">
        <v>0.4</v>
      </c>
      <c r="D307" s="110" t="inlineStr">
        <is>
          <t>Yok (%0)</t>
        </is>
      </c>
      <c r="E307" s="110">
        <f>IF((B307+C307)&lt;=1, "Tam Mahsuplaşma (≤%100)", "Kısmi Satış (&gt;%100)")</f>
        <v/>
      </c>
      <c r="F307" s="168">
        <f>((VERI_TABANI!$D$29*B307/VERI_TABANI!$B$29)/VERI_TABANI!$B$3)*VERI_TABANI!$B$5 + ((VERI_TABANI!$D$29*C307/VERI_TABANI!$B$29)/VERI_TABANI!$B$4)*VERI_TABANI!$B$6 + IF(ISNUMBER(SEARCH("Var", D307)), (VERI_TABANI!$F$29/VERI_TABANI!$B$29)*(VERI_TABANI!$B$10+VERI_TABANI!$B$12), 0)</f>
        <v/>
      </c>
      <c r="G307" s="168">
        <f>(((MIN(VERI_TABANI!D23, VERI_TABANI!D23*B307)*VERI_TABANI!$B$7 + MAX(0, VERI_TABANI!D23*B307-VERI_TABANI!D23)*VERI_TABANI!$B$8) + (MIN(MAX(0, VERI_TABANI!D23-VERI_TABANI!D23*B307), VERI_TABANI!D23*C307)*VERI_TABANI!$B$7 + MAX(0, VERI_TABANI!D23*C307-MAX(0, VERI_TABANI!D23-VERI_TABANI!D23*B307))*VERI_TABANI!$B$8) + IF(ABS(IF(ISNUMBER(SEARCH("Var", D307)), 1, IF(ISNUMBER(SEARCH("Gri", D307)), -1, 0)))=1, VERI_TABANI!E23*(1-0.928)*VERI_TABANI!$B$9, 0) + (VERI_TABANI!D23*B307*(VERI_TABANI!$B$13-VERI_TABANI!$B$14)*VERI_TABANI!G23) + (VERI_TABANI!D23*C307*(VERI_TABANI!$B$13-VERI_TABANI!$B$15)*VERI_TABANI!G23) + IF(ABS(IF(ISNUMBER(SEARCH("Var", D307)), 1, IF(ISNUMBER(SEARCH("Gri", D307)), -1, 0)))=1, VERI_TABANI!E23*(1-0.928)*0.00206091519919798*VERI_TABANI!G23, 0)) + ((MIN(VERI_TABANI!D24, VERI_TABANI!D24*B307)*VERI_TABANI!$B$7 + MAX(0, VERI_TABANI!D24*B307-VERI_TABANI!D24)*VERI_TABANI!$B$8) + (MIN(MAX(0, VERI_TABANI!D24-VERI_TABANI!D24*B307), VERI_TABANI!D24*C307)*VERI_TABANI!$B$7 + MAX(0, VERI_TABANI!D24*C307-MAX(0, VERI_TABANI!D24-VERI_TABANI!D24*B307))*VERI_TABANI!$B$8) + IF(ABS(IF(ISNUMBER(SEARCH("Var", D307)), 1, IF(ISNUMBER(SEARCH("Gri", D307)), -1, 0)))=1, VERI_TABANI!E24*(1-0.928)*VERI_TABANI!$B$9, 0) + (VERI_TABANI!D24*B307*(VERI_TABANI!$B$13-VERI_TABANI!$B$14)*VERI_TABANI!G24) + (VERI_TABANI!D24*C307*(VERI_TABANI!$B$13-VERI_TABANI!$B$15)*VERI_TABANI!G24) + IF(ABS(IF(ISNUMBER(SEARCH("Var", D307)), 1, IF(ISNUMBER(SEARCH("Gri", D307)), -1, 0)))=1, VERI_TABANI!E24*(1-0.928)*0.00206091519919798*VERI_TABANI!G24, 0)) + ((MIN(VERI_TABANI!D25, VERI_TABANI!D25*B307)*VERI_TABANI!$B$7 + MAX(0, VERI_TABANI!D25*B307-VERI_TABANI!D25)*VERI_TABANI!$B$8) + (MIN(MAX(0, VERI_TABANI!D25-VERI_TABANI!D25*B307), VERI_TABANI!D25*C307)*VERI_TABANI!$B$7 + MAX(0, VERI_TABANI!D25*C307-MAX(0, VERI_TABANI!D25-VERI_TABANI!D25*B307))*VERI_TABANI!$B$8) + IF(ABS(IF(ISNUMBER(SEARCH("Var", D307)), 1, IF(ISNUMBER(SEARCH("Gri", D307)), -1, 0)))=1, VERI_TABANI!E25*(1-0.928)*VERI_TABANI!$B$9, 0) + (VERI_TABANI!D25*B307*(VERI_TABANI!$B$13-VERI_TABANI!$B$14)*VERI_TABANI!G25) + (VERI_TABANI!D25*C307*(VERI_TABANI!$B$13-VERI_TABANI!$B$15)*VERI_TABANI!G25) + IF(ABS(IF(ISNUMBER(SEARCH("Var", D307)), 1, IF(ISNUMBER(SEARCH("Gri", D307)), -1, 0)))=1, VERI_TABANI!E25*(1-0.928)*0.00206091519919798*VERI_TABANI!G25, 0)) + ((MIN(VERI_TABANI!D26, VERI_TABANI!D26*B307)*VERI_TABANI!$B$7 + MAX(0, VERI_TABANI!D26*B307-VERI_TABANI!D26)*VERI_TABANI!$B$8) + (MIN(MAX(0, VERI_TABANI!D26-VERI_TABANI!D26*B307), VERI_TABANI!D26*C307)*VERI_TABANI!$B$7 + MAX(0, VERI_TABANI!D26*C307-MAX(0, VERI_TABANI!D26-VERI_TABANI!D26*B307))*VERI_TABANI!$B$8) + IF(ABS(IF(ISNUMBER(SEARCH("Var", D307)), 1, IF(ISNUMBER(SEARCH("Gri", D307)), -1, 0)))=1, VERI_TABANI!E26*(1-0.928)*VERI_TABANI!$B$9, 0) + (VERI_TABANI!D26*B307*(VERI_TABANI!$B$13-VERI_TABANI!$B$14)*VERI_TABANI!G26) + (VERI_TABANI!D26*C307*(VERI_TABANI!$B$13-VERI_TABANI!$B$15)*VERI_TABANI!G26) + IF(ABS(IF(ISNUMBER(SEARCH("Var", D307)), 1, IF(ISNUMBER(SEARCH("Gri", D307)), -1, 0)))=1, VERI_TABANI!E26*(1-0.928)*0.00206091519919798*VERI_TABANI!G26, 0)) + ((MIN(VERI_TABANI!D27, VERI_TABANI!D27*B307)*VERI_TABANI!$B$7 + MAX(0, VERI_TABANI!D27*B307-VERI_TABANI!D27)*VERI_TABANI!$B$8) + (MIN(MAX(0, VERI_TABANI!D27-VERI_TABANI!D27*B307), VERI_TABANI!D27*C307)*VERI_TABANI!$B$7 + MAX(0, VERI_TABANI!D27*C307-MAX(0, VERI_TABANI!D27-VERI_TABANI!D27*B307))*VERI_TABANI!$B$8) + IF(ABS(IF(ISNUMBER(SEARCH("Var", D307)), 1, IF(ISNUMBER(SEARCH("Gri", D307)), -1, 0)))=1, VERI_TABANI!E27*(1-0.928)*VERI_TABANI!$B$9, 0) + (VERI_TABANI!D27*B307*(VERI_TABANI!$B$13-VERI_TABANI!$B$14)*VERI_TABANI!G27) + (VERI_TABANI!D27*C307*(VERI_TABANI!$B$13-VERI_TABANI!$B$15)*VERI_TABANI!G27) + IF(ABS(IF(ISNUMBER(SEARCH("Var", D307)), 1, IF(ISNUMBER(SEARCH("Gri", D307)), -1, 0)))=1, VERI_TABANI!E27*(1-0.928)*0.00206091519919798*VERI_TABANI!G27, 0)) + ((MIN(VERI_TABANI!D28, VERI_TABANI!D28*B307)*VERI_TABANI!$B$7 + MAX(0, VERI_TABANI!D28*B307-VERI_TABANI!D28)*VERI_TABANI!$B$8) + (MIN(MAX(0, VERI_TABANI!D28-VERI_TABANI!D28*B307), VERI_TABANI!D28*C307)*VERI_TABANI!$B$7 + MAX(0, VERI_TABANI!D28*C307-MAX(0, VERI_TABANI!D28-VERI_TABANI!D28*B307))*VERI_TABANI!$B$8) + IF(ABS(IF(ISNUMBER(SEARCH("Var", D307)), 1, IF(ISNUMBER(SEARCH("Gri", D307)), -1, 0)))=1, VERI_TABANI!E28*(1-0.928)*VERI_TABANI!$B$9, 0) + (VERI_TABANI!D28*B307*(VERI_TABANI!$B$13-VERI_TABANI!$B$14)*VERI_TABANI!G28) + (VERI_TABANI!D28*C307*(VERI_TABANI!$B$13-VERI_TABANI!$B$15)*VERI_TABANI!G28) + IF(ABS(IF(ISNUMBER(SEARCH("Var", D307)), 1, IF(ISNUMBER(SEARCH("Gri", D307)), -1, 0)))=1, VERI_TABANI!E28*(1-0.928)*0.00206091519919798*VERI_TABANI!G28, 0)))</f>
        <v/>
      </c>
      <c r="H307" s="169">
        <f>(((VERI_TABANI!D23*B307*(VERI_TABANI!$B$13-VERI_TABANI!$B$14)) + (VERI_TABANI!D23*C307*(VERI_TABANI!$B$13-VERI_TABANI!$B$15)) + IF(ISNUMBER(SEARCH("Var", D307)), VERI_TABANI!F23*(0.00202-VERI_TABANI!$B$16), IF(ISNUMBER(SEARCH("Gri", D307)), VERI_TABANI!F23*(0.00202-VERI_TABANI!$B$17), 0))) + ((VERI_TABANI!D24*B307*(VERI_TABANI!$B$13-VERI_TABANI!$B$14)) + (VERI_TABANI!D24*C307*(VERI_TABANI!$B$13-VERI_TABANI!$B$15)) + IF(ISNUMBER(SEARCH("Var", D307)), VERI_TABANI!F24*(0.00202-VERI_TABANI!$B$16), IF(ISNUMBER(SEARCH("Gri", D307)), VERI_TABANI!F24*(0.00202-VERI_TABANI!$B$17), 0))) + ((VERI_TABANI!D25*B307*(VERI_TABANI!$B$13-VERI_TABANI!$B$14)) + (VERI_TABANI!D25*C307*(VERI_TABANI!$B$13-VERI_TABANI!$B$15)) + IF(ISNUMBER(SEARCH("Var", D307)), VERI_TABANI!F25*(0.00202-VERI_TABANI!$B$16), IF(ISNUMBER(SEARCH("Gri", D307)), VERI_TABANI!F25*(0.00202-VERI_TABANI!$B$17), 0))) + ((VERI_TABANI!D26*B307*(VERI_TABANI!$B$13-VERI_TABANI!$B$14)) + (VERI_TABANI!D26*C307*(VERI_TABANI!$B$13-VERI_TABANI!$B$15)) + IF(ISNUMBER(SEARCH("Var", D307)), VERI_TABANI!F26*(0.00202-VERI_TABANI!$B$16), IF(ISNUMBER(SEARCH("Gri", D307)), VERI_TABANI!F26*(0.00202-VERI_TABANI!$B$17), 0))) + ((VERI_TABANI!D27*B307*(VERI_TABANI!$B$13-VERI_TABANI!$B$14)) + (VERI_TABANI!D27*C307*(VERI_TABANI!$B$13-VERI_TABANI!$B$15)) + IF(ISNUMBER(SEARCH("Var", D307)), VERI_TABANI!F27*(0.00202-VERI_TABANI!$B$16), IF(ISNUMBER(SEARCH("Gri", D307)), VERI_TABANI!F27*(0.00202-VERI_TABANI!$B$17), 0))) + ((VERI_TABANI!D28*B307*(VERI_TABANI!$B$13-VERI_TABANI!$B$14)) + (VERI_TABANI!D28*C307*(VERI_TABANI!$B$13-VERI_TABANI!$B$15)) + IF(ISNUMBER(SEARCH("Var", D307)), VERI_TABANI!F28*(0.00202-VERI_TABANI!$B$16), IF(ISNUMBER(SEARCH("Gri", D307)), VERI_TABANI!F28*(0.00202-VERI_TABANI!$B$17), 0))))</f>
        <v/>
      </c>
      <c r="I307" s="170">
        <f>IFERROR(((VERI_TABANI!$D$29*B307*VERI_TABANI!$B$14 + VERI_TABANI!$D$29*C307*VERI_TABANI!$B$15 + IF(ISNUMBER(SEARCH("Var", D307)), VERI_TABANI!$F$29*VERI_TABANI!$B$16, 0))) / (((VERI_TABANI!$D$29*B307 + VERI_TABANI!$D$29*C307)*VERI_TABANI!$B$13 + IF(ISNUMBER(SEARCH("Var", D307)), VERI_TABANI!$E$29*(1-0.928)*VERI_TABANI!$B$18, 0))), 0)</f>
        <v/>
      </c>
      <c r="J307" s="171">
        <f>IFERROR(F307/(G307/29), 0)</f>
        <v/>
      </c>
      <c r="K307" s="172">
        <f>IF(F307&gt;0, H307/F307, 0)</f>
        <v/>
      </c>
      <c r="L307" s="170">
        <f>IF(F307&gt;0, I307, 1000000000)</f>
        <v/>
      </c>
      <c r="M307" s="171">
        <f>ABS((B307+C307)-1)</f>
        <v/>
      </c>
      <c r="N307" s="170">
        <f>IF(F307&gt;0, (G307/29)/F307, 0)</f>
        <v/>
      </c>
      <c r="O307" s="168">
        <f>IF(AND((B307+C307)&gt;=1, ISNUMBER(SEARCH("Var", D307))), F307, 1000000000)</f>
        <v/>
      </c>
      <c r="P307" s="172">
        <f>IF(F307&gt;0, SQRT((F307/MAX(F$5:F$886))^2 + (1 - H307/MAX(H$5:H$886))^2 + (J307/MAX(J$5:J$886))^2), 1000000000)</f>
        <v/>
      </c>
      <c r="Q307" s="166">
        <f>IF(AND(ABS(B307-0.5)&lt;0.01, ABS(C307-0.5)&lt;0.01, ISNUMBER(SEARCH("Var", D307))), 1, 0)</f>
        <v/>
      </c>
      <c r="R307" s="171">
        <f>IF(F307&gt;0, J307, 1000000000)</f>
        <v/>
      </c>
      <c r="S307" s="101">
        <f>IF(AND(F307&lt;=DASHBOARD!$B$11, H307&gt;=DASHBOARD!$B$13), G307, -1000000000000)</f>
        <v/>
      </c>
      <c r="T307" s="101">
        <f>IF(AND(F307&lt;=DASHBOARD!$B$11, H307&gt;=DASHBOARD!$B$13), R307, 1000000000000)</f>
        <v/>
      </c>
      <c r="U307" s="101">
        <f>IF(AND(F307&lt;=DASHBOARD!$B$11, H307&gt;=DASHBOARD!$B$13), N307, -1000000000000)</f>
        <v/>
      </c>
      <c r="V307" s="101">
        <f>IF(AND(F307&lt;=DASHBOARD!$B$11, H307&gt;=DASHBOARD!$B$13), H307, -1000000000000)</f>
        <v/>
      </c>
      <c r="W307" s="101">
        <f>IF(AND(F307&lt;=DASHBOARD!$B$11, H307&gt;=DASHBOARD!$B$13), K307, -1000000000000)</f>
        <v/>
      </c>
      <c r="X307" s="101">
        <f>IF(AND(F307&lt;=DASHBOARD!$B$11, H307&gt;=DASHBOARD!$B$13), M307, 1000000000000)</f>
        <v/>
      </c>
      <c r="Y307" s="101">
        <f>IF(AND(F307&lt;=DASHBOARD!$B$10, H307&gt;=DASHBOARD!$B$11), L307, 1000000000000)</f>
        <v/>
      </c>
      <c r="Z307" s="101">
        <f>IF(AND(F307&lt;=DASHBOARD!$B$10, H307&gt;=DASHBOARD!$B$11), O307, 1000000000000)</f>
        <v/>
      </c>
      <c r="AA307" s="101">
        <f>IF(AND(F307&lt;=DASHBOARD!$B$10, H307&gt;=DASHBOARD!$B$11), P307, 1000000000000)</f>
        <v/>
      </c>
      <c r="AB307" s="101">
        <f>IF(AND(F307&lt;=DASHBOARD!$B$10, H307&gt;=DASHBOARD!$B$11), Q307, -1000000000000)</f>
        <v/>
      </c>
    </row>
    <row r="308" ht="15" customHeight="1" s="102">
      <c r="A308" s="166" t="n">
        <v>304</v>
      </c>
      <c r="B308" s="167" t="n">
        <v>0.7</v>
      </c>
      <c r="C308" s="167" t="n">
        <v>0.4</v>
      </c>
      <c r="D308" s="110" t="inlineStr">
        <is>
          <t>Var (%20)</t>
        </is>
      </c>
      <c r="E308" s="110">
        <f>IF((B308+C308)&lt;=1, "Tam Mahsuplaşma (≤%100)", "Kısmi Satış (&gt;%100)")</f>
        <v/>
      </c>
      <c r="F308" s="168">
        <f>((VERI_TABANI!$D$29*B308/VERI_TABANI!$B$29)/VERI_TABANI!$B$3)*VERI_TABANI!$B$5 + ((VERI_TABANI!$D$29*C308/VERI_TABANI!$B$29)/VERI_TABANI!$B$4)*VERI_TABANI!$B$6 + IF(ISNUMBER(SEARCH("Var", D308)), (VERI_TABANI!$F$29/VERI_TABANI!$B$29)*(VERI_TABANI!$B$10+VERI_TABANI!$B$12), 0)</f>
        <v/>
      </c>
      <c r="G308" s="168">
        <f>(((MIN(VERI_TABANI!D23, VERI_TABANI!D23*B308)*VERI_TABANI!$B$7 + MAX(0, VERI_TABANI!D23*B308-VERI_TABANI!D23)*VERI_TABANI!$B$8) + (MIN(MAX(0, VERI_TABANI!D23-VERI_TABANI!D23*B308), VERI_TABANI!D23*C308)*VERI_TABANI!$B$7 + MAX(0, VERI_TABANI!D23*C308-MAX(0, VERI_TABANI!D23-VERI_TABANI!D23*B308))*VERI_TABANI!$B$8) + IF(ABS(IF(ISNUMBER(SEARCH("Var", D308)), 1, IF(ISNUMBER(SEARCH("Gri", D308)), -1, 0)))=1, VERI_TABANI!E23*(1-0.928)*VERI_TABANI!$B$9, 0) + (VERI_TABANI!D23*B308*(VERI_TABANI!$B$13-VERI_TABANI!$B$14)*VERI_TABANI!G23) + (VERI_TABANI!D23*C308*(VERI_TABANI!$B$13-VERI_TABANI!$B$15)*VERI_TABANI!G23) + IF(ABS(IF(ISNUMBER(SEARCH("Var", D308)), 1, IF(ISNUMBER(SEARCH("Gri", D308)), -1, 0)))=1, VERI_TABANI!E23*(1-0.928)*0.00206091519919798*VERI_TABANI!G23, 0)) + ((MIN(VERI_TABANI!D24, VERI_TABANI!D24*B308)*VERI_TABANI!$B$7 + MAX(0, VERI_TABANI!D24*B308-VERI_TABANI!D24)*VERI_TABANI!$B$8) + (MIN(MAX(0, VERI_TABANI!D24-VERI_TABANI!D24*B308), VERI_TABANI!D24*C308)*VERI_TABANI!$B$7 + MAX(0, VERI_TABANI!D24*C308-MAX(0, VERI_TABANI!D24-VERI_TABANI!D24*B308))*VERI_TABANI!$B$8) + IF(ABS(IF(ISNUMBER(SEARCH("Var", D308)), 1, IF(ISNUMBER(SEARCH("Gri", D308)), -1, 0)))=1, VERI_TABANI!E24*(1-0.928)*VERI_TABANI!$B$9, 0) + (VERI_TABANI!D24*B308*(VERI_TABANI!$B$13-VERI_TABANI!$B$14)*VERI_TABANI!G24) + (VERI_TABANI!D24*C308*(VERI_TABANI!$B$13-VERI_TABANI!$B$15)*VERI_TABANI!G24) + IF(ABS(IF(ISNUMBER(SEARCH("Var", D308)), 1, IF(ISNUMBER(SEARCH("Gri", D308)), -1, 0)))=1, VERI_TABANI!E24*(1-0.928)*0.00206091519919798*VERI_TABANI!G24, 0)) + ((MIN(VERI_TABANI!D25, VERI_TABANI!D25*B308)*VERI_TABANI!$B$7 + MAX(0, VERI_TABANI!D25*B308-VERI_TABANI!D25)*VERI_TABANI!$B$8) + (MIN(MAX(0, VERI_TABANI!D25-VERI_TABANI!D25*B308), VERI_TABANI!D25*C308)*VERI_TABANI!$B$7 + MAX(0, VERI_TABANI!D25*C308-MAX(0, VERI_TABANI!D25-VERI_TABANI!D25*B308))*VERI_TABANI!$B$8) + IF(ABS(IF(ISNUMBER(SEARCH("Var", D308)), 1, IF(ISNUMBER(SEARCH("Gri", D308)), -1, 0)))=1, VERI_TABANI!E25*(1-0.928)*VERI_TABANI!$B$9, 0) + (VERI_TABANI!D25*B308*(VERI_TABANI!$B$13-VERI_TABANI!$B$14)*VERI_TABANI!G25) + (VERI_TABANI!D25*C308*(VERI_TABANI!$B$13-VERI_TABANI!$B$15)*VERI_TABANI!G25) + IF(ABS(IF(ISNUMBER(SEARCH("Var", D308)), 1, IF(ISNUMBER(SEARCH("Gri", D308)), -1, 0)))=1, VERI_TABANI!E25*(1-0.928)*0.00206091519919798*VERI_TABANI!G25, 0)) + ((MIN(VERI_TABANI!D26, VERI_TABANI!D26*B308)*VERI_TABANI!$B$7 + MAX(0, VERI_TABANI!D26*B308-VERI_TABANI!D26)*VERI_TABANI!$B$8) + (MIN(MAX(0, VERI_TABANI!D26-VERI_TABANI!D26*B308), VERI_TABANI!D26*C308)*VERI_TABANI!$B$7 + MAX(0, VERI_TABANI!D26*C308-MAX(0, VERI_TABANI!D26-VERI_TABANI!D26*B308))*VERI_TABANI!$B$8) + IF(ABS(IF(ISNUMBER(SEARCH("Var", D308)), 1, IF(ISNUMBER(SEARCH("Gri", D308)), -1, 0)))=1, VERI_TABANI!E26*(1-0.928)*VERI_TABANI!$B$9, 0) + (VERI_TABANI!D26*B308*(VERI_TABANI!$B$13-VERI_TABANI!$B$14)*VERI_TABANI!G26) + (VERI_TABANI!D26*C308*(VERI_TABANI!$B$13-VERI_TABANI!$B$15)*VERI_TABANI!G26) + IF(ABS(IF(ISNUMBER(SEARCH("Var", D308)), 1, IF(ISNUMBER(SEARCH("Gri", D308)), -1, 0)))=1, VERI_TABANI!E26*(1-0.928)*0.00206091519919798*VERI_TABANI!G26, 0)) + ((MIN(VERI_TABANI!D27, VERI_TABANI!D27*B308)*VERI_TABANI!$B$7 + MAX(0, VERI_TABANI!D27*B308-VERI_TABANI!D27)*VERI_TABANI!$B$8) + (MIN(MAX(0, VERI_TABANI!D27-VERI_TABANI!D27*B308), VERI_TABANI!D27*C308)*VERI_TABANI!$B$7 + MAX(0, VERI_TABANI!D27*C308-MAX(0, VERI_TABANI!D27-VERI_TABANI!D27*B308))*VERI_TABANI!$B$8) + IF(ABS(IF(ISNUMBER(SEARCH("Var", D308)), 1, IF(ISNUMBER(SEARCH("Gri", D308)), -1, 0)))=1, VERI_TABANI!E27*(1-0.928)*VERI_TABANI!$B$9, 0) + (VERI_TABANI!D27*B308*(VERI_TABANI!$B$13-VERI_TABANI!$B$14)*VERI_TABANI!G27) + (VERI_TABANI!D27*C308*(VERI_TABANI!$B$13-VERI_TABANI!$B$15)*VERI_TABANI!G27) + IF(ABS(IF(ISNUMBER(SEARCH("Var", D308)), 1, IF(ISNUMBER(SEARCH("Gri", D308)), -1, 0)))=1, VERI_TABANI!E27*(1-0.928)*0.00206091519919798*VERI_TABANI!G27, 0)) + ((MIN(VERI_TABANI!D28, VERI_TABANI!D28*B308)*VERI_TABANI!$B$7 + MAX(0, VERI_TABANI!D28*B308-VERI_TABANI!D28)*VERI_TABANI!$B$8) + (MIN(MAX(0, VERI_TABANI!D28-VERI_TABANI!D28*B308), VERI_TABANI!D28*C308)*VERI_TABANI!$B$7 + MAX(0, VERI_TABANI!D28*C308-MAX(0, VERI_TABANI!D28-VERI_TABANI!D28*B308))*VERI_TABANI!$B$8) + IF(ABS(IF(ISNUMBER(SEARCH("Var", D308)), 1, IF(ISNUMBER(SEARCH("Gri", D308)), -1, 0)))=1, VERI_TABANI!E28*(1-0.928)*VERI_TABANI!$B$9, 0) + (VERI_TABANI!D28*B308*(VERI_TABANI!$B$13-VERI_TABANI!$B$14)*VERI_TABANI!G28) + (VERI_TABANI!D28*C308*(VERI_TABANI!$B$13-VERI_TABANI!$B$15)*VERI_TABANI!G28) + IF(ABS(IF(ISNUMBER(SEARCH("Var", D308)), 1, IF(ISNUMBER(SEARCH("Gri", D308)), -1, 0)))=1, VERI_TABANI!E28*(1-0.928)*0.00206091519919798*VERI_TABANI!G28, 0)))</f>
        <v/>
      </c>
      <c r="H308" s="169">
        <f>(((VERI_TABANI!D23*B308*(VERI_TABANI!$B$13-VERI_TABANI!$B$14)) + (VERI_TABANI!D23*C308*(VERI_TABANI!$B$13-VERI_TABANI!$B$15)) + IF(ISNUMBER(SEARCH("Var", D308)), VERI_TABANI!F23*(0.00202-VERI_TABANI!$B$16), IF(ISNUMBER(SEARCH("Gri", D308)), VERI_TABANI!F23*(0.00202-VERI_TABANI!$B$17), 0))) + ((VERI_TABANI!D24*B308*(VERI_TABANI!$B$13-VERI_TABANI!$B$14)) + (VERI_TABANI!D24*C308*(VERI_TABANI!$B$13-VERI_TABANI!$B$15)) + IF(ISNUMBER(SEARCH("Var", D308)), VERI_TABANI!F24*(0.00202-VERI_TABANI!$B$16), IF(ISNUMBER(SEARCH("Gri", D308)), VERI_TABANI!F24*(0.00202-VERI_TABANI!$B$17), 0))) + ((VERI_TABANI!D25*B308*(VERI_TABANI!$B$13-VERI_TABANI!$B$14)) + (VERI_TABANI!D25*C308*(VERI_TABANI!$B$13-VERI_TABANI!$B$15)) + IF(ISNUMBER(SEARCH("Var", D308)), VERI_TABANI!F25*(0.00202-VERI_TABANI!$B$16), IF(ISNUMBER(SEARCH("Gri", D308)), VERI_TABANI!F25*(0.00202-VERI_TABANI!$B$17), 0))) + ((VERI_TABANI!D26*B308*(VERI_TABANI!$B$13-VERI_TABANI!$B$14)) + (VERI_TABANI!D26*C308*(VERI_TABANI!$B$13-VERI_TABANI!$B$15)) + IF(ISNUMBER(SEARCH("Var", D308)), VERI_TABANI!F26*(0.00202-VERI_TABANI!$B$16), IF(ISNUMBER(SEARCH("Gri", D308)), VERI_TABANI!F26*(0.00202-VERI_TABANI!$B$17), 0))) + ((VERI_TABANI!D27*B308*(VERI_TABANI!$B$13-VERI_TABANI!$B$14)) + (VERI_TABANI!D27*C308*(VERI_TABANI!$B$13-VERI_TABANI!$B$15)) + IF(ISNUMBER(SEARCH("Var", D308)), VERI_TABANI!F27*(0.00202-VERI_TABANI!$B$16), IF(ISNUMBER(SEARCH("Gri", D308)), VERI_TABANI!F27*(0.00202-VERI_TABANI!$B$17), 0))) + ((VERI_TABANI!D28*B308*(VERI_TABANI!$B$13-VERI_TABANI!$B$14)) + (VERI_TABANI!D28*C308*(VERI_TABANI!$B$13-VERI_TABANI!$B$15)) + IF(ISNUMBER(SEARCH("Var", D308)), VERI_TABANI!F28*(0.00202-VERI_TABANI!$B$16), IF(ISNUMBER(SEARCH("Gri", D308)), VERI_TABANI!F28*(0.00202-VERI_TABANI!$B$17), 0))))</f>
        <v/>
      </c>
      <c r="I308" s="170">
        <f>IFERROR(((VERI_TABANI!$D$29*B308*VERI_TABANI!$B$14 + VERI_TABANI!$D$29*C308*VERI_TABANI!$B$15 + IF(ISNUMBER(SEARCH("Var", D308)), VERI_TABANI!$F$29*VERI_TABANI!$B$16, 0))) / (((VERI_TABANI!$D$29*B308 + VERI_TABANI!$D$29*C308)*VERI_TABANI!$B$13 + IF(ISNUMBER(SEARCH("Var", D308)), VERI_TABANI!$E$29*(1-0.928)*VERI_TABANI!$B$18, 0))), 0)</f>
        <v/>
      </c>
      <c r="J308" s="171">
        <f>IFERROR(F308/(G308/29), 0)</f>
        <v/>
      </c>
      <c r="K308" s="172">
        <f>IF(F308&gt;0, H308/F308, 0)</f>
        <v/>
      </c>
      <c r="L308" s="170">
        <f>IF(F308&gt;0, I308, 1000000000)</f>
        <v/>
      </c>
      <c r="M308" s="171">
        <f>ABS((B308+C308)-1)</f>
        <v/>
      </c>
      <c r="N308" s="170">
        <f>IF(F308&gt;0, (G308/29)/F308, 0)</f>
        <v/>
      </c>
      <c r="O308" s="168">
        <f>IF(AND((B308+C308)&gt;=1, ISNUMBER(SEARCH("Var", D308))), F308, 1000000000)</f>
        <v/>
      </c>
      <c r="P308" s="172">
        <f>IF(F308&gt;0, SQRT((F308/MAX(F$5:F$886))^2 + (1 - H308/MAX(H$5:H$886))^2 + (J308/MAX(J$5:J$886))^2), 1000000000)</f>
        <v/>
      </c>
      <c r="Q308" s="166">
        <f>IF(AND(ABS(B308-0.5)&lt;0.01, ABS(C308-0.5)&lt;0.01, ISNUMBER(SEARCH("Var", D308))), 1, 0)</f>
        <v/>
      </c>
      <c r="R308" s="171">
        <f>IF(F308&gt;0, J308, 1000000000)</f>
        <v/>
      </c>
      <c r="S308" s="101">
        <f>IF(AND(F308&lt;=DASHBOARD!$B$11, H308&gt;=DASHBOARD!$B$13), G308, -1000000000000)</f>
        <v/>
      </c>
      <c r="T308" s="101">
        <f>IF(AND(F308&lt;=DASHBOARD!$B$11, H308&gt;=DASHBOARD!$B$13), R308, 1000000000000)</f>
        <v/>
      </c>
      <c r="U308" s="101">
        <f>IF(AND(F308&lt;=DASHBOARD!$B$11, H308&gt;=DASHBOARD!$B$13), N308, -1000000000000)</f>
        <v/>
      </c>
      <c r="V308" s="101">
        <f>IF(AND(F308&lt;=DASHBOARD!$B$11, H308&gt;=DASHBOARD!$B$13), H308, -1000000000000)</f>
        <v/>
      </c>
      <c r="W308" s="101">
        <f>IF(AND(F308&lt;=DASHBOARD!$B$11, H308&gt;=DASHBOARD!$B$13), K308, -1000000000000)</f>
        <v/>
      </c>
      <c r="X308" s="101">
        <f>IF(AND(F308&lt;=DASHBOARD!$B$11, H308&gt;=DASHBOARD!$B$13), M308, 1000000000000)</f>
        <v/>
      </c>
      <c r="Y308" s="101">
        <f>IF(AND(F308&lt;=DASHBOARD!$B$10, H308&gt;=DASHBOARD!$B$11), L308, 1000000000000)</f>
        <v/>
      </c>
      <c r="Z308" s="101">
        <f>IF(AND(F308&lt;=DASHBOARD!$B$10, H308&gt;=DASHBOARD!$B$11), O308, 1000000000000)</f>
        <v/>
      </c>
      <c r="AA308" s="101">
        <f>IF(AND(F308&lt;=DASHBOARD!$B$10, H308&gt;=DASHBOARD!$B$11), P308, 1000000000000)</f>
        <v/>
      </c>
      <c r="AB308" s="101">
        <f>IF(AND(F308&lt;=DASHBOARD!$B$10, H308&gt;=DASHBOARD!$B$11), Q308, -1000000000000)</f>
        <v/>
      </c>
    </row>
    <row r="309" ht="15" customHeight="1" s="102">
      <c r="A309" s="166" t="n">
        <v>305</v>
      </c>
      <c r="B309" s="167" t="n">
        <v>0.7</v>
      </c>
      <c r="C309" s="167" t="n">
        <v>0.5</v>
      </c>
      <c r="D309" s="110" t="inlineStr">
        <is>
          <t>Yok (%0)</t>
        </is>
      </c>
      <c r="E309" s="110">
        <f>IF((B309+C309)&lt;=1, "Tam Mahsuplaşma (≤%100)", "Kısmi Satış (&gt;%100)")</f>
        <v/>
      </c>
      <c r="F309" s="168">
        <f>((VERI_TABANI!$D$29*B309/VERI_TABANI!$B$29)/VERI_TABANI!$B$3)*VERI_TABANI!$B$5 + ((VERI_TABANI!$D$29*C309/VERI_TABANI!$B$29)/VERI_TABANI!$B$4)*VERI_TABANI!$B$6 + IF(ISNUMBER(SEARCH("Var", D309)), (VERI_TABANI!$F$29/VERI_TABANI!$B$29)*(VERI_TABANI!$B$10+VERI_TABANI!$B$12), 0)</f>
        <v/>
      </c>
      <c r="G309" s="168">
        <f>(((MIN(VERI_TABANI!D23, VERI_TABANI!D23*B309)*VERI_TABANI!$B$7 + MAX(0, VERI_TABANI!D23*B309-VERI_TABANI!D23)*VERI_TABANI!$B$8) + (MIN(MAX(0, VERI_TABANI!D23-VERI_TABANI!D23*B309), VERI_TABANI!D23*C309)*VERI_TABANI!$B$7 + MAX(0, VERI_TABANI!D23*C309-MAX(0, VERI_TABANI!D23-VERI_TABANI!D23*B309))*VERI_TABANI!$B$8) + IF(ABS(IF(ISNUMBER(SEARCH("Var", D309)), 1, IF(ISNUMBER(SEARCH("Gri", D309)), -1, 0)))=1, VERI_TABANI!E23*(1-0.928)*VERI_TABANI!$B$9, 0) + (VERI_TABANI!D23*B309*(VERI_TABANI!$B$13-VERI_TABANI!$B$14)*VERI_TABANI!G23) + (VERI_TABANI!D23*C309*(VERI_TABANI!$B$13-VERI_TABANI!$B$15)*VERI_TABANI!G23) + IF(ABS(IF(ISNUMBER(SEARCH("Var", D309)), 1, IF(ISNUMBER(SEARCH("Gri", D309)), -1, 0)))=1, VERI_TABANI!E23*(1-0.928)*0.00206091519919798*VERI_TABANI!G23, 0)) + ((MIN(VERI_TABANI!D24, VERI_TABANI!D24*B309)*VERI_TABANI!$B$7 + MAX(0, VERI_TABANI!D24*B309-VERI_TABANI!D24)*VERI_TABANI!$B$8) + (MIN(MAX(0, VERI_TABANI!D24-VERI_TABANI!D24*B309), VERI_TABANI!D24*C309)*VERI_TABANI!$B$7 + MAX(0, VERI_TABANI!D24*C309-MAX(0, VERI_TABANI!D24-VERI_TABANI!D24*B309))*VERI_TABANI!$B$8) + IF(ABS(IF(ISNUMBER(SEARCH("Var", D309)), 1, IF(ISNUMBER(SEARCH("Gri", D309)), -1, 0)))=1, VERI_TABANI!E24*(1-0.928)*VERI_TABANI!$B$9, 0) + (VERI_TABANI!D24*B309*(VERI_TABANI!$B$13-VERI_TABANI!$B$14)*VERI_TABANI!G24) + (VERI_TABANI!D24*C309*(VERI_TABANI!$B$13-VERI_TABANI!$B$15)*VERI_TABANI!G24) + IF(ABS(IF(ISNUMBER(SEARCH("Var", D309)), 1, IF(ISNUMBER(SEARCH("Gri", D309)), -1, 0)))=1, VERI_TABANI!E24*(1-0.928)*0.00206091519919798*VERI_TABANI!G24, 0)) + ((MIN(VERI_TABANI!D25, VERI_TABANI!D25*B309)*VERI_TABANI!$B$7 + MAX(0, VERI_TABANI!D25*B309-VERI_TABANI!D25)*VERI_TABANI!$B$8) + (MIN(MAX(0, VERI_TABANI!D25-VERI_TABANI!D25*B309), VERI_TABANI!D25*C309)*VERI_TABANI!$B$7 + MAX(0, VERI_TABANI!D25*C309-MAX(0, VERI_TABANI!D25-VERI_TABANI!D25*B309))*VERI_TABANI!$B$8) + IF(ABS(IF(ISNUMBER(SEARCH("Var", D309)), 1, IF(ISNUMBER(SEARCH("Gri", D309)), -1, 0)))=1, VERI_TABANI!E25*(1-0.928)*VERI_TABANI!$B$9, 0) + (VERI_TABANI!D25*B309*(VERI_TABANI!$B$13-VERI_TABANI!$B$14)*VERI_TABANI!G25) + (VERI_TABANI!D25*C309*(VERI_TABANI!$B$13-VERI_TABANI!$B$15)*VERI_TABANI!G25) + IF(ABS(IF(ISNUMBER(SEARCH("Var", D309)), 1, IF(ISNUMBER(SEARCH("Gri", D309)), -1, 0)))=1, VERI_TABANI!E25*(1-0.928)*0.00206091519919798*VERI_TABANI!G25, 0)) + ((MIN(VERI_TABANI!D26, VERI_TABANI!D26*B309)*VERI_TABANI!$B$7 + MAX(0, VERI_TABANI!D26*B309-VERI_TABANI!D26)*VERI_TABANI!$B$8) + (MIN(MAX(0, VERI_TABANI!D26-VERI_TABANI!D26*B309), VERI_TABANI!D26*C309)*VERI_TABANI!$B$7 + MAX(0, VERI_TABANI!D26*C309-MAX(0, VERI_TABANI!D26-VERI_TABANI!D26*B309))*VERI_TABANI!$B$8) + IF(ABS(IF(ISNUMBER(SEARCH("Var", D309)), 1, IF(ISNUMBER(SEARCH("Gri", D309)), -1, 0)))=1, VERI_TABANI!E26*(1-0.928)*VERI_TABANI!$B$9, 0) + (VERI_TABANI!D26*B309*(VERI_TABANI!$B$13-VERI_TABANI!$B$14)*VERI_TABANI!G26) + (VERI_TABANI!D26*C309*(VERI_TABANI!$B$13-VERI_TABANI!$B$15)*VERI_TABANI!G26) + IF(ABS(IF(ISNUMBER(SEARCH("Var", D309)), 1, IF(ISNUMBER(SEARCH("Gri", D309)), -1, 0)))=1, VERI_TABANI!E26*(1-0.928)*0.00206091519919798*VERI_TABANI!G26, 0)) + ((MIN(VERI_TABANI!D27, VERI_TABANI!D27*B309)*VERI_TABANI!$B$7 + MAX(0, VERI_TABANI!D27*B309-VERI_TABANI!D27)*VERI_TABANI!$B$8) + (MIN(MAX(0, VERI_TABANI!D27-VERI_TABANI!D27*B309), VERI_TABANI!D27*C309)*VERI_TABANI!$B$7 + MAX(0, VERI_TABANI!D27*C309-MAX(0, VERI_TABANI!D27-VERI_TABANI!D27*B309))*VERI_TABANI!$B$8) + IF(ABS(IF(ISNUMBER(SEARCH("Var", D309)), 1, IF(ISNUMBER(SEARCH("Gri", D309)), -1, 0)))=1, VERI_TABANI!E27*(1-0.928)*VERI_TABANI!$B$9, 0) + (VERI_TABANI!D27*B309*(VERI_TABANI!$B$13-VERI_TABANI!$B$14)*VERI_TABANI!G27) + (VERI_TABANI!D27*C309*(VERI_TABANI!$B$13-VERI_TABANI!$B$15)*VERI_TABANI!G27) + IF(ABS(IF(ISNUMBER(SEARCH("Var", D309)), 1, IF(ISNUMBER(SEARCH("Gri", D309)), -1, 0)))=1, VERI_TABANI!E27*(1-0.928)*0.00206091519919798*VERI_TABANI!G27, 0)) + ((MIN(VERI_TABANI!D28, VERI_TABANI!D28*B309)*VERI_TABANI!$B$7 + MAX(0, VERI_TABANI!D28*B309-VERI_TABANI!D28)*VERI_TABANI!$B$8) + (MIN(MAX(0, VERI_TABANI!D28-VERI_TABANI!D28*B309), VERI_TABANI!D28*C309)*VERI_TABANI!$B$7 + MAX(0, VERI_TABANI!D28*C309-MAX(0, VERI_TABANI!D28-VERI_TABANI!D28*B309))*VERI_TABANI!$B$8) + IF(ABS(IF(ISNUMBER(SEARCH("Var", D309)), 1, IF(ISNUMBER(SEARCH("Gri", D309)), -1, 0)))=1, VERI_TABANI!E28*(1-0.928)*VERI_TABANI!$B$9, 0) + (VERI_TABANI!D28*B309*(VERI_TABANI!$B$13-VERI_TABANI!$B$14)*VERI_TABANI!G28) + (VERI_TABANI!D28*C309*(VERI_TABANI!$B$13-VERI_TABANI!$B$15)*VERI_TABANI!G28) + IF(ABS(IF(ISNUMBER(SEARCH("Var", D309)), 1, IF(ISNUMBER(SEARCH("Gri", D309)), -1, 0)))=1, VERI_TABANI!E28*(1-0.928)*0.00206091519919798*VERI_TABANI!G28, 0)))</f>
        <v/>
      </c>
      <c r="H309" s="169">
        <f>(((VERI_TABANI!D23*B309*(VERI_TABANI!$B$13-VERI_TABANI!$B$14)) + (VERI_TABANI!D23*C309*(VERI_TABANI!$B$13-VERI_TABANI!$B$15)) + IF(ISNUMBER(SEARCH("Var", D309)), VERI_TABANI!F23*(0.00202-VERI_TABANI!$B$16), IF(ISNUMBER(SEARCH("Gri", D309)), VERI_TABANI!F23*(0.00202-VERI_TABANI!$B$17), 0))) + ((VERI_TABANI!D24*B309*(VERI_TABANI!$B$13-VERI_TABANI!$B$14)) + (VERI_TABANI!D24*C309*(VERI_TABANI!$B$13-VERI_TABANI!$B$15)) + IF(ISNUMBER(SEARCH("Var", D309)), VERI_TABANI!F24*(0.00202-VERI_TABANI!$B$16), IF(ISNUMBER(SEARCH("Gri", D309)), VERI_TABANI!F24*(0.00202-VERI_TABANI!$B$17), 0))) + ((VERI_TABANI!D25*B309*(VERI_TABANI!$B$13-VERI_TABANI!$B$14)) + (VERI_TABANI!D25*C309*(VERI_TABANI!$B$13-VERI_TABANI!$B$15)) + IF(ISNUMBER(SEARCH("Var", D309)), VERI_TABANI!F25*(0.00202-VERI_TABANI!$B$16), IF(ISNUMBER(SEARCH("Gri", D309)), VERI_TABANI!F25*(0.00202-VERI_TABANI!$B$17), 0))) + ((VERI_TABANI!D26*B309*(VERI_TABANI!$B$13-VERI_TABANI!$B$14)) + (VERI_TABANI!D26*C309*(VERI_TABANI!$B$13-VERI_TABANI!$B$15)) + IF(ISNUMBER(SEARCH("Var", D309)), VERI_TABANI!F26*(0.00202-VERI_TABANI!$B$16), IF(ISNUMBER(SEARCH("Gri", D309)), VERI_TABANI!F26*(0.00202-VERI_TABANI!$B$17), 0))) + ((VERI_TABANI!D27*B309*(VERI_TABANI!$B$13-VERI_TABANI!$B$14)) + (VERI_TABANI!D27*C309*(VERI_TABANI!$B$13-VERI_TABANI!$B$15)) + IF(ISNUMBER(SEARCH("Var", D309)), VERI_TABANI!F27*(0.00202-VERI_TABANI!$B$16), IF(ISNUMBER(SEARCH("Gri", D309)), VERI_TABANI!F27*(0.00202-VERI_TABANI!$B$17), 0))) + ((VERI_TABANI!D28*B309*(VERI_TABANI!$B$13-VERI_TABANI!$B$14)) + (VERI_TABANI!D28*C309*(VERI_TABANI!$B$13-VERI_TABANI!$B$15)) + IF(ISNUMBER(SEARCH("Var", D309)), VERI_TABANI!F28*(0.00202-VERI_TABANI!$B$16), IF(ISNUMBER(SEARCH("Gri", D309)), VERI_TABANI!F28*(0.00202-VERI_TABANI!$B$17), 0))))</f>
        <v/>
      </c>
      <c r="I309" s="170">
        <f>IFERROR(((VERI_TABANI!$D$29*B309*VERI_TABANI!$B$14 + VERI_TABANI!$D$29*C309*VERI_TABANI!$B$15 + IF(ISNUMBER(SEARCH("Var", D309)), VERI_TABANI!$F$29*VERI_TABANI!$B$16, 0))) / (((VERI_TABANI!$D$29*B309 + VERI_TABANI!$D$29*C309)*VERI_TABANI!$B$13 + IF(ISNUMBER(SEARCH("Var", D309)), VERI_TABANI!$E$29*(1-0.928)*VERI_TABANI!$B$18, 0))), 0)</f>
        <v/>
      </c>
      <c r="J309" s="171">
        <f>IFERROR(F309/(G309/29), 0)</f>
        <v/>
      </c>
      <c r="K309" s="172">
        <f>IF(F309&gt;0, H309/F309, 0)</f>
        <v/>
      </c>
      <c r="L309" s="170">
        <f>IF(F309&gt;0, I309, 1000000000)</f>
        <v/>
      </c>
      <c r="M309" s="171">
        <f>ABS((B309+C309)-1)</f>
        <v/>
      </c>
      <c r="N309" s="170">
        <f>IF(F309&gt;0, (G309/29)/F309, 0)</f>
        <v/>
      </c>
      <c r="O309" s="168">
        <f>IF(AND((B309+C309)&gt;=1, ISNUMBER(SEARCH("Var", D309))), F309, 1000000000)</f>
        <v/>
      </c>
      <c r="P309" s="172">
        <f>IF(F309&gt;0, SQRT((F309/MAX(F$5:F$886))^2 + (1 - H309/MAX(H$5:H$886))^2 + (J309/MAX(J$5:J$886))^2), 1000000000)</f>
        <v/>
      </c>
      <c r="Q309" s="166">
        <f>IF(AND(ABS(B309-0.5)&lt;0.01, ABS(C309-0.5)&lt;0.01, ISNUMBER(SEARCH("Var", D309))), 1, 0)</f>
        <v/>
      </c>
      <c r="R309" s="171">
        <f>IF(F309&gt;0, J309, 1000000000)</f>
        <v/>
      </c>
      <c r="S309" s="101">
        <f>IF(AND(F309&lt;=DASHBOARD!$B$11, H309&gt;=DASHBOARD!$B$13), G309, -1000000000000)</f>
        <v/>
      </c>
      <c r="T309" s="101">
        <f>IF(AND(F309&lt;=DASHBOARD!$B$11, H309&gt;=DASHBOARD!$B$13), R309, 1000000000000)</f>
        <v/>
      </c>
      <c r="U309" s="101">
        <f>IF(AND(F309&lt;=DASHBOARD!$B$11, H309&gt;=DASHBOARD!$B$13), N309, -1000000000000)</f>
        <v/>
      </c>
      <c r="V309" s="101">
        <f>IF(AND(F309&lt;=DASHBOARD!$B$11, H309&gt;=DASHBOARD!$B$13), H309, -1000000000000)</f>
        <v/>
      </c>
      <c r="W309" s="101">
        <f>IF(AND(F309&lt;=DASHBOARD!$B$11, H309&gt;=DASHBOARD!$B$13), K309, -1000000000000)</f>
        <v/>
      </c>
      <c r="X309" s="101">
        <f>IF(AND(F309&lt;=DASHBOARD!$B$11, H309&gt;=DASHBOARD!$B$13), M309, 1000000000000)</f>
        <v/>
      </c>
      <c r="Y309" s="101">
        <f>IF(AND(F309&lt;=DASHBOARD!$B$10, H309&gt;=DASHBOARD!$B$11), L309, 1000000000000)</f>
        <v/>
      </c>
      <c r="Z309" s="101">
        <f>IF(AND(F309&lt;=DASHBOARD!$B$10, H309&gt;=DASHBOARD!$B$11), O309, 1000000000000)</f>
        <v/>
      </c>
      <c r="AA309" s="101">
        <f>IF(AND(F309&lt;=DASHBOARD!$B$10, H309&gt;=DASHBOARD!$B$11), P309, 1000000000000)</f>
        <v/>
      </c>
      <c r="AB309" s="101">
        <f>IF(AND(F309&lt;=DASHBOARD!$B$10, H309&gt;=DASHBOARD!$B$11), Q309, -1000000000000)</f>
        <v/>
      </c>
    </row>
    <row r="310" ht="15" customHeight="1" s="102">
      <c r="A310" s="166" t="n">
        <v>306</v>
      </c>
      <c r="B310" s="167" t="n">
        <v>0.7</v>
      </c>
      <c r="C310" s="167" t="n">
        <v>0.5</v>
      </c>
      <c r="D310" s="110" t="inlineStr">
        <is>
          <t>Var (%20)</t>
        </is>
      </c>
      <c r="E310" s="110">
        <f>IF((B310+C310)&lt;=1, "Tam Mahsuplaşma (≤%100)", "Kısmi Satış (&gt;%100)")</f>
        <v/>
      </c>
      <c r="F310" s="168">
        <f>((VERI_TABANI!$D$29*B310/VERI_TABANI!$B$29)/VERI_TABANI!$B$3)*VERI_TABANI!$B$5 + ((VERI_TABANI!$D$29*C310/VERI_TABANI!$B$29)/VERI_TABANI!$B$4)*VERI_TABANI!$B$6 + IF(ISNUMBER(SEARCH("Var", D310)), (VERI_TABANI!$F$29/VERI_TABANI!$B$29)*(VERI_TABANI!$B$10+VERI_TABANI!$B$12), 0)</f>
        <v/>
      </c>
      <c r="G310" s="168">
        <f>(((MIN(VERI_TABANI!D23, VERI_TABANI!D23*B310)*VERI_TABANI!$B$7 + MAX(0, VERI_TABANI!D23*B310-VERI_TABANI!D23)*VERI_TABANI!$B$8) + (MIN(MAX(0, VERI_TABANI!D23-VERI_TABANI!D23*B310), VERI_TABANI!D23*C310)*VERI_TABANI!$B$7 + MAX(0, VERI_TABANI!D23*C310-MAX(0, VERI_TABANI!D23-VERI_TABANI!D23*B310))*VERI_TABANI!$B$8) + IF(ABS(IF(ISNUMBER(SEARCH("Var", D310)), 1, IF(ISNUMBER(SEARCH("Gri", D310)), -1, 0)))=1, VERI_TABANI!E23*(1-0.928)*VERI_TABANI!$B$9, 0) + (VERI_TABANI!D23*B310*(VERI_TABANI!$B$13-VERI_TABANI!$B$14)*VERI_TABANI!G23) + (VERI_TABANI!D23*C310*(VERI_TABANI!$B$13-VERI_TABANI!$B$15)*VERI_TABANI!G23) + IF(ABS(IF(ISNUMBER(SEARCH("Var", D310)), 1, IF(ISNUMBER(SEARCH("Gri", D310)), -1, 0)))=1, VERI_TABANI!E23*(1-0.928)*0.00206091519919798*VERI_TABANI!G23, 0)) + ((MIN(VERI_TABANI!D24, VERI_TABANI!D24*B310)*VERI_TABANI!$B$7 + MAX(0, VERI_TABANI!D24*B310-VERI_TABANI!D24)*VERI_TABANI!$B$8) + (MIN(MAX(0, VERI_TABANI!D24-VERI_TABANI!D24*B310), VERI_TABANI!D24*C310)*VERI_TABANI!$B$7 + MAX(0, VERI_TABANI!D24*C310-MAX(0, VERI_TABANI!D24-VERI_TABANI!D24*B310))*VERI_TABANI!$B$8) + IF(ABS(IF(ISNUMBER(SEARCH("Var", D310)), 1, IF(ISNUMBER(SEARCH("Gri", D310)), -1, 0)))=1, VERI_TABANI!E24*(1-0.928)*VERI_TABANI!$B$9, 0) + (VERI_TABANI!D24*B310*(VERI_TABANI!$B$13-VERI_TABANI!$B$14)*VERI_TABANI!G24) + (VERI_TABANI!D24*C310*(VERI_TABANI!$B$13-VERI_TABANI!$B$15)*VERI_TABANI!G24) + IF(ABS(IF(ISNUMBER(SEARCH("Var", D310)), 1, IF(ISNUMBER(SEARCH("Gri", D310)), -1, 0)))=1, VERI_TABANI!E24*(1-0.928)*0.00206091519919798*VERI_TABANI!G24, 0)) + ((MIN(VERI_TABANI!D25, VERI_TABANI!D25*B310)*VERI_TABANI!$B$7 + MAX(0, VERI_TABANI!D25*B310-VERI_TABANI!D25)*VERI_TABANI!$B$8) + (MIN(MAX(0, VERI_TABANI!D25-VERI_TABANI!D25*B310), VERI_TABANI!D25*C310)*VERI_TABANI!$B$7 + MAX(0, VERI_TABANI!D25*C310-MAX(0, VERI_TABANI!D25-VERI_TABANI!D25*B310))*VERI_TABANI!$B$8) + IF(ABS(IF(ISNUMBER(SEARCH("Var", D310)), 1, IF(ISNUMBER(SEARCH("Gri", D310)), -1, 0)))=1, VERI_TABANI!E25*(1-0.928)*VERI_TABANI!$B$9, 0) + (VERI_TABANI!D25*B310*(VERI_TABANI!$B$13-VERI_TABANI!$B$14)*VERI_TABANI!G25) + (VERI_TABANI!D25*C310*(VERI_TABANI!$B$13-VERI_TABANI!$B$15)*VERI_TABANI!G25) + IF(ABS(IF(ISNUMBER(SEARCH("Var", D310)), 1, IF(ISNUMBER(SEARCH("Gri", D310)), -1, 0)))=1, VERI_TABANI!E25*(1-0.928)*0.00206091519919798*VERI_TABANI!G25, 0)) + ((MIN(VERI_TABANI!D26, VERI_TABANI!D26*B310)*VERI_TABANI!$B$7 + MAX(0, VERI_TABANI!D26*B310-VERI_TABANI!D26)*VERI_TABANI!$B$8) + (MIN(MAX(0, VERI_TABANI!D26-VERI_TABANI!D26*B310), VERI_TABANI!D26*C310)*VERI_TABANI!$B$7 + MAX(0, VERI_TABANI!D26*C310-MAX(0, VERI_TABANI!D26-VERI_TABANI!D26*B310))*VERI_TABANI!$B$8) + IF(ABS(IF(ISNUMBER(SEARCH("Var", D310)), 1, IF(ISNUMBER(SEARCH("Gri", D310)), -1, 0)))=1, VERI_TABANI!E26*(1-0.928)*VERI_TABANI!$B$9, 0) + (VERI_TABANI!D26*B310*(VERI_TABANI!$B$13-VERI_TABANI!$B$14)*VERI_TABANI!G26) + (VERI_TABANI!D26*C310*(VERI_TABANI!$B$13-VERI_TABANI!$B$15)*VERI_TABANI!G26) + IF(ABS(IF(ISNUMBER(SEARCH("Var", D310)), 1, IF(ISNUMBER(SEARCH("Gri", D310)), -1, 0)))=1, VERI_TABANI!E26*(1-0.928)*0.00206091519919798*VERI_TABANI!G26, 0)) + ((MIN(VERI_TABANI!D27, VERI_TABANI!D27*B310)*VERI_TABANI!$B$7 + MAX(0, VERI_TABANI!D27*B310-VERI_TABANI!D27)*VERI_TABANI!$B$8) + (MIN(MAX(0, VERI_TABANI!D27-VERI_TABANI!D27*B310), VERI_TABANI!D27*C310)*VERI_TABANI!$B$7 + MAX(0, VERI_TABANI!D27*C310-MAX(0, VERI_TABANI!D27-VERI_TABANI!D27*B310))*VERI_TABANI!$B$8) + IF(ABS(IF(ISNUMBER(SEARCH("Var", D310)), 1, IF(ISNUMBER(SEARCH("Gri", D310)), -1, 0)))=1, VERI_TABANI!E27*(1-0.928)*VERI_TABANI!$B$9, 0) + (VERI_TABANI!D27*B310*(VERI_TABANI!$B$13-VERI_TABANI!$B$14)*VERI_TABANI!G27) + (VERI_TABANI!D27*C310*(VERI_TABANI!$B$13-VERI_TABANI!$B$15)*VERI_TABANI!G27) + IF(ABS(IF(ISNUMBER(SEARCH("Var", D310)), 1, IF(ISNUMBER(SEARCH("Gri", D310)), -1, 0)))=1, VERI_TABANI!E27*(1-0.928)*0.00206091519919798*VERI_TABANI!G27, 0)) + ((MIN(VERI_TABANI!D28, VERI_TABANI!D28*B310)*VERI_TABANI!$B$7 + MAX(0, VERI_TABANI!D28*B310-VERI_TABANI!D28)*VERI_TABANI!$B$8) + (MIN(MAX(0, VERI_TABANI!D28-VERI_TABANI!D28*B310), VERI_TABANI!D28*C310)*VERI_TABANI!$B$7 + MAX(0, VERI_TABANI!D28*C310-MAX(0, VERI_TABANI!D28-VERI_TABANI!D28*B310))*VERI_TABANI!$B$8) + IF(ABS(IF(ISNUMBER(SEARCH("Var", D310)), 1, IF(ISNUMBER(SEARCH("Gri", D310)), -1, 0)))=1, VERI_TABANI!E28*(1-0.928)*VERI_TABANI!$B$9, 0) + (VERI_TABANI!D28*B310*(VERI_TABANI!$B$13-VERI_TABANI!$B$14)*VERI_TABANI!G28) + (VERI_TABANI!D28*C310*(VERI_TABANI!$B$13-VERI_TABANI!$B$15)*VERI_TABANI!G28) + IF(ABS(IF(ISNUMBER(SEARCH("Var", D310)), 1, IF(ISNUMBER(SEARCH("Gri", D310)), -1, 0)))=1, VERI_TABANI!E28*(1-0.928)*0.00206091519919798*VERI_TABANI!G28, 0)))</f>
        <v/>
      </c>
      <c r="H310" s="169">
        <f>(((VERI_TABANI!D23*B310*(VERI_TABANI!$B$13-VERI_TABANI!$B$14)) + (VERI_TABANI!D23*C310*(VERI_TABANI!$B$13-VERI_TABANI!$B$15)) + IF(ISNUMBER(SEARCH("Var", D310)), VERI_TABANI!F23*(0.00202-VERI_TABANI!$B$16), IF(ISNUMBER(SEARCH("Gri", D310)), VERI_TABANI!F23*(0.00202-VERI_TABANI!$B$17), 0))) + ((VERI_TABANI!D24*B310*(VERI_TABANI!$B$13-VERI_TABANI!$B$14)) + (VERI_TABANI!D24*C310*(VERI_TABANI!$B$13-VERI_TABANI!$B$15)) + IF(ISNUMBER(SEARCH("Var", D310)), VERI_TABANI!F24*(0.00202-VERI_TABANI!$B$16), IF(ISNUMBER(SEARCH("Gri", D310)), VERI_TABANI!F24*(0.00202-VERI_TABANI!$B$17), 0))) + ((VERI_TABANI!D25*B310*(VERI_TABANI!$B$13-VERI_TABANI!$B$14)) + (VERI_TABANI!D25*C310*(VERI_TABANI!$B$13-VERI_TABANI!$B$15)) + IF(ISNUMBER(SEARCH("Var", D310)), VERI_TABANI!F25*(0.00202-VERI_TABANI!$B$16), IF(ISNUMBER(SEARCH("Gri", D310)), VERI_TABANI!F25*(0.00202-VERI_TABANI!$B$17), 0))) + ((VERI_TABANI!D26*B310*(VERI_TABANI!$B$13-VERI_TABANI!$B$14)) + (VERI_TABANI!D26*C310*(VERI_TABANI!$B$13-VERI_TABANI!$B$15)) + IF(ISNUMBER(SEARCH("Var", D310)), VERI_TABANI!F26*(0.00202-VERI_TABANI!$B$16), IF(ISNUMBER(SEARCH("Gri", D310)), VERI_TABANI!F26*(0.00202-VERI_TABANI!$B$17), 0))) + ((VERI_TABANI!D27*B310*(VERI_TABANI!$B$13-VERI_TABANI!$B$14)) + (VERI_TABANI!D27*C310*(VERI_TABANI!$B$13-VERI_TABANI!$B$15)) + IF(ISNUMBER(SEARCH("Var", D310)), VERI_TABANI!F27*(0.00202-VERI_TABANI!$B$16), IF(ISNUMBER(SEARCH("Gri", D310)), VERI_TABANI!F27*(0.00202-VERI_TABANI!$B$17), 0))) + ((VERI_TABANI!D28*B310*(VERI_TABANI!$B$13-VERI_TABANI!$B$14)) + (VERI_TABANI!D28*C310*(VERI_TABANI!$B$13-VERI_TABANI!$B$15)) + IF(ISNUMBER(SEARCH("Var", D310)), VERI_TABANI!F28*(0.00202-VERI_TABANI!$B$16), IF(ISNUMBER(SEARCH("Gri", D310)), VERI_TABANI!F28*(0.00202-VERI_TABANI!$B$17), 0))))</f>
        <v/>
      </c>
      <c r="I310" s="170">
        <f>IFERROR(((VERI_TABANI!$D$29*B310*VERI_TABANI!$B$14 + VERI_TABANI!$D$29*C310*VERI_TABANI!$B$15 + IF(ISNUMBER(SEARCH("Var", D310)), VERI_TABANI!$F$29*VERI_TABANI!$B$16, 0))) / (((VERI_TABANI!$D$29*B310 + VERI_TABANI!$D$29*C310)*VERI_TABANI!$B$13 + IF(ISNUMBER(SEARCH("Var", D310)), VERI_TABANI!$E$29*(1-0.928)*VERI_TABANI!$B$18, 0))), 0)</f>
        <v/>
      </c>
      <c r="J310" s="171">
        <f>IFERROR(F310/(G310/29), 0)</f>
        <v/>
      </c>
      <c r="K310" s="172">
        <f>IF(F310&gt;0, H310/F310, 0)</f>
        <v/>
      </c>
      <c r="L310" s="170">
        <f>IF(F310&gt;0, I310, 1000000000)</f>
        <v/>
      </c>
      <c r="M310" s="171">
        <f>ABS((B310+C310)-1)</f>
        <v/>
      </c>
      <c r="N310" s="170">
        <f>IF(F310&gt;0, (G310/29)/F310, 0)</f>
        <v/>
      </c>
      <c r="O310" s="168">
        <f>IF(AND((B310+C310)&gt;=1, ISNUMBER(SEARCH("Var", D310))), F310, 1000000000)</f>
        <v/>
      </c>
      <c r="P310" s="172">
        <f>IF(F310&gt;0, SQRT((F310/MAX(F$5:F$886))^2 + (1 - H310/MAX(H$5:H$886))^2 + (J310/MAX(J$5:J$886))^2), 1000000000)</f>
        <v/>
      </c>
      <c r="Q310" s="166">
        <f>IF(AND(ABS(B310-0.5)&lt;0.01, ABS(C310-0.5)&lt;0.01, ISNUMBER(SEARCH("Var", D310))), 1, 0)</f>
        <v/>
      </c>
      <c r="R310" s="171">
        <f>IF(F310&gt;0, J310, 1000000000)</f>
        <v/>
      </c>
      <c r="S310" s="101">
        <f>IF(AND(F310&lt;=DASHBOARD!$B$11, H310&gt;=DASHBOARD!$B$13), G310, -1000000000000)</f>
        <v/>
      </c>
      <c r="T310" s="101">
        <f>IF(AND(F310&lt;=DASHBOARD!$B$11, H310&gt;=DASHBOARD!$B$13), R310, 1000000000000)</f>
        <v/>
      </c>
      <c r="U310" s="101">
        <f>IF(AND(F310&lt;=DASHBOARD!$B$11, H310&gt;=DASHBOARD!$B$13), N310, -1000000000000)</f>
        <v/>
      </c>
      <c r="V310" s="101">
        <f>IF(AND(F310&lt;=DASHBOARD!$B$11, H310&gt;=DASHBOARD!$B$13), H310, -1000000000000)</f>
        <v/>
      </c>
      <c r="W310" s="101">
        <f>IF(AND(F310&lt;=DASHBOARD!$B$11, H310&gt;=DASHBOARD!$B$13), K310, -1000000000000)</f>
        <v/>
      </c>
      <c r="X310" s="101">
        <f>IF(AND(F310&lt;=DASHBOARD!$B$11, H310&gt;=DASHBOARD!$B$13), M310, 1000000000000)</f>
        <v/>
      </c>
      <c r="Y310" s="101">
        <f>IF(AND(F310&lt;=DASHBOARD!$B$10, H310&gt;=DASHBOARD!$B$11), L310, 1000000000000)</f>
        <v/>
      </c>
      <c r="Z310" s="101">
        <f>IF(AND(F310&lt;=DASHBOARD!$B$10, H310&gt;=DASHBOARD!$B$11), O310, 1000000000000)</f>
        <v/>
      </c>
      <c r="AA310" s="101">
        <f>IF(AND(F310&lt;=DASHBOARD!$B$10, H310&gt;=DASHBOARD!$B$11), P310, 1000000000000)</f>
        <v/>
      </c>
      <c r="AB310" s="101">
        <f>IF(AND(F310&lt;=DASHBOARD!$B$10, H310&gt;=DASHBOARD!$B$11), Q310, -1000000000000)</f>
        <v/>
      </c>
    </row>
    <row r="311" ht="15" customHeight="1" s="102">
      <c r="A311" s="166" t="n">
        <v>307</v>
      </c>
      <c r="B311" s="167" t="n">
        <v>0.7</v>
      </c>
      <c r="C311" s="167" t="n">
        <v>0.6</v>
      </c>
      <c r="D311" s="110" t="inlineStr">
        <is>
          <t>Yok (%0)</t>
        </is>
      </c>
      <c r="E311" s="110">
        <f>IF((B311+C311)&lt;=1, "Tam Mahsuplaşma (≤%100)", "Kısmi Satış (&gt;%100)")</f>
        <v/>
      </c>
      <c r="F311" s="168">
        <f>((VERI_TABANI!$D$29*B311/VERI_TABANI!$B$29)/VERI_TABANI!$B$3)*VERI_TABANI!$B$5 + ((VERI_TABANI!$D$29*C311/VERI_TABANI!$B$29)/VERI_TABANI!$B$4)*VERI_TABANI!$B$6 + IF(ISNUMBER(SEARCH("Var", D311)), (VERI_TABANI!$F$29/VERI_TABANI!$B$29)*(VERI_TABANI!$B$10+VERI_TABANI!$B$12), 0)</f>
        <v/>
      </c>
      <c r="G311" s="168">
        <f>(((MIN(VERI_TABANI!D23, VERI_TABANI!D23*B311)*VERI_TABANI!$B$7 + MAX(0, VERI_TABANI!D23*B311-VERI_TABANI!D23)*VERI_TABANI!$B$8) + (MIN(MAX(0, VERI_TABANI!D23-VERI_TABANI!D23*B311), VERI_TABANI!D23*C311)*VERI_TABANI!$B$7 + MAX(0, VERI_TABANI!D23*C311-MAX(0, VERI_TABANI!D23-VERI_TABANI!D23*B311))*VERI_TABANI!$B$8) + IF(ABS(IF(ISNUMBER(SEARCH("Var", D311)), 1, IF(ISNUMBER(SEARCH("Gri", D311)), -1, 0)))=1, VERI_TABANI!E23*(1-0.928)*VERI_TABANI!$B$9, 0) + (VERI_TABANI!D23*B311*(VERI_TABANI!$B$13-VERI_TABANI!$B$14)*VERI_TABANI!G23) + (VERI_TABANI!D23*C311*(VERI_TABANI!$B$13-VERI_TABANI!$B$15)*VERI_TABANI!G23) + IF(ABS(IF(ISNUMBER(SEARCH("Var", D311)), 1, IF(ISNUMBER(SEARCH("Gri", D311)), -1, 0)))=1, VERI_TABANI!E23*(1-0.928)*0.00206091519919798*VERI_TABANI!G23, 0)) + ((MIN(VERI_TABANI!D24, VERI_TABANI!D24*B311)*VERI_TABANI!$B$7 + MAX(0, VERI_TABANI!D24*B311-VERI_TABANI!D24)*VERI_TABANI!$B$8) + (MIN(MAX(0, VERI_TABANI!D24-VERI_TABANI!D24*B311), VERI_TABANI!D24*C311)*VERI_TABANI!$B$7 + MAX(0, VERI_TABANI!D24*C311-MAX(0, VERI_TABANI!D24-VERI_TABANI!D24*B311))*VERI_TABANI!$B$8) + IF(ABS(IF(ISNUMBER(SEARCH("Var", D311)), 1, IF(ISNUMBER(SEARCH("Gri", D311)), -1, 0)))=1, VERI_TABANI!E24*(1-0.928)*VERI_TABANI!$B$9, 0) + (VERI_TABANI!D24*B311*(VERI_TABANI!$B$13-VERI_TABANI!$B$14)*VERI_TABANI!G24) + (VERI_TABANI!D24*C311*(VERI_TABANI!$B$13-VERI_TABANI!$B$15)*VERI_TABANI!G24) + IF(ABS(IF(ISNUMBER(SEARCH("Var", D311)), 1, IF(ISNUMBER(SEARCH("Gri", D311)), -1, 0)))=1, VERI_TABANI!E24*(1-0.928)*0.00206091519919798*VERI_TABANI!G24, 0)) + ((MIN(VERI_TABANI!D25, VERI_TABANI!D25*B311)*VERI_TABANI!$B$7 + MAX(0, VERI_TABANI!D25*B311-VERI_TABANI!D25)*VERI_TABANI!$B$8) + (MIN(MAX(0, VERI_TABANI!D25-VERI_TABANI!D25*B311), VERI_TABANI!D25*C311)*VERI_TABANI!$B$7 + MAX(0, VERI_TABANI!D25*C311-MAX(0, VERI_TABANI!D25-VERI_TABANI!D25*B311))*VERI_TABANI!$B$8) + IF(ABS(IF(ISNUMBER(SEARCH("Var", D311)), 1, IF(ISNUMBER(SEARCH("Gri", D311)), -1, 0)))=1, VERI_TABANI!E25*(1-0.928)*VERI_TABANI!$B$9, 0) + (VERI_TABANI!D25*B311*(VERI_TABANI!$B$13-VERI_TABANI!$B$14)*VERI_TABANI!G25) + (VERI_TABANI!D25*C311*(VERI_TABANI!$B$13-VERI_TABANI!$B$15)*VERI_TABANI!G25) + IF(ABS(IF(ISNUMBER(SEARCH("Var", D311)), 1, IF(ISNUMBER(SEARCH("Gri", D311)), -1, 0)))=1, VERI_TABANI!E25*(1-0.928)*0.00206091519919798*VERI_TABANI!G25, 0)) + ((MIN(VERI_TABANI!D26, VERI_TABANI!D26*B311)*VERI_TABANI!$B$7 + MAX(0, VERI_TABANI!D26*B311-VERI_TABANI!D26)*VERI_TABANI!$B$8) + (MIN(MAX(0, VERI_TABANI!D26-VERI_TABANI!D26*B311), VERI_TABANI!D26*C311)*VERI_TABANI!$B$7 + MAX(0, VERI_TABANI!D26*C311-MAX(0, VERI_TABANI!D26-VERI_TABANI!D26*B311))*VERI_TABANI!$B$8) + IF(ABS(IF(ISNUMBER(SEARCH("Var", D311)), 1, IF(ISNUMBER(SEARCH("Gri", D311)), -1, 0)))=1, VERI_TABANI!E26*(1-0.928)*VERI_TABANI!$B$9, 0) + (VERI_TABANI!D26*B311*(VERI_TABANI!$B$13-VERI_TABANI!$B$14)*VERI_TABANI!G26) + (VERI_TABANI!D26*C311*(VERI_TABANI!$B$13-VERI_TABANI!$B$15)*VERI_TABANI!G26) + IF(ABS(IF(ISNUMBER(SEARCH("Var", D311)), 1, IF(ISNUMBER(SEARCH("Gri", D311)), -1, 0)))=1, VERI_TABANI!E26*(1-0.928)*0.00206091519919798*VERI_TABANI!G26, 0)) + ((MIN(VERI_TABANI!D27, VERI_TABANI!D27*B311)*VERI_TABANI!$B$7 + MAX(0, VERI_TABANI!D27*B311-VERI_TABANI!D27)*VERI_TABANI!$B$8) + (MIN(MAX(0, VERI_TABANI!D27-VERI_TABANI!D27*B311), VERI_TABANI!D27*C311)*VERI_TABANI!$B$7 + MAX(0, VERI_TABANI!D27*C311-MAX(0, VERI_TABANI!D27-VERI_TABANI!D27*B311))*VERI_TABANI!$B$8) + IF(ABS(IF(ISNUMBER(SEARCH("Var", D311)), 1, IF(ISNUMBER(SEARCH("Gri", D311)), -1, 0)))=1, VERI_TABANI!E27*(1-0.928)*VERI_TABANI!$B$9, 0) + (VERI_TABANI!D27*B311*(VERI_TABANI!$B$13-VERI_TABANI!$B$14)*VERI_TABANI!G27) + (VERI_TABANI!D27*C311*(VERI_TABANI!$B$13-VERI_TABANI!$B$15)*VERI_TABANI!G27) + IF(ABS(IF(ISNUMBER(SEARCH("Var", D311)), 1, IF(ISNUMBER(SEARCH("Gri", D311)), -1, 0)))=1, VERI_TABANI!E27*(1-0.928)*0.00206091519919798*VERI_TABANI!G27, 0)) + ((MIN(VERI_TABANI!D28, VERI_TABANI!D28*B311)*VERI_TABANI!$B$7 + MAX(0, VERI_TABANI!D28*B311-VERI_TABANI!D28)*VERI_TABANI!$B$8) + (MIN(MAX(0, VERI_TABANI!D28-VERI_TABANI!D28*B311), VERI_TABANI!D28*C311)*VERI_TABANI!$B$7 + MAX(0, VERI_TABANI!D28*C311-MAX(0, VERI_TABANI!D28-VERI_TABANI!D28*B311))*VERI_TABANI!$B$8) + IF(ABS(IF(ISNUMBER(SEARCH("Var", D311)), 1, IF(ISNUMBER(SEARCH("Gri", D311)), -1, 0)))=1, VERI_TABANI!E28*(1-0.928)*VERI_TABANI!$B$9, 0) + (VERI_TABANI!D28*B311*(VERI_TABANI!$B$13-VERI_TABANI!$B$14)*VERI_TABANI!G28) + (VERI_TABANI!D28*C311*(VERI_TABANI!$B$13-VERI_TABANI!$B$15)*VERI_TABANI!G28) + IF(ABS(IF(ISNUMBER(SEARCH("Var", D311)), 1, IF(ISNUMBER(SEARCH("Gri", D311)), -1, 0)))=1, VERI_TABANI!E28*(1-0.928)*0.00206091519919798*VERI_TABANI!G28, 0)))</f>
        <v/>
      </c>
      <c r="H311" s="169">
        <f>(((VERI_TABANI!D23*B311*(VERI_TABANI!$B$13-VERI_TABANI!$B$14)) + (VERI_TABANI!D23*C311*(VERI_TABANI!$B$13-VERI_TABANI!$B$15)) + IF(ISNUMBER(SEARCH("Var", D311)), VERI_TABANI!F23*(0.00202-VERI_TABANI!$B$16), IF(ISNUMBER(SEARCH("Gri", D311)), VERI_TABANI!F23*(0.00202-VERI_TABANI!$B$17), 0))) + ((VERI_TABANI!D24*B311*(VERI_TABANI!$B$13-VERI_TABANI!$B$14)) + (VERI_TABANI!D24*C311*(VERI_TABANI!$B$13-VERI_TABANI!$B$15)) + IF(ISNUMBER(SEARCH("Var", D311)), VERI_TABANI!F24*(0.00202-VERI_TABANI!$B$16), IF(ISNUMBER(SEARCH("Gri", D311)), VERI_TABANI!F24*(0.00202-VERI_TABANI!$B$17), 0))) + ((VERI_TABANI!D25*B311*(VERI_TABANI!$B$13-VERI_TABANI!$B$14)) + (VERI_TABANI!D25*C311*(VERI_TABANI!$B$13-VERI_TABANI!$B$15)) + IF(ISNUMBER(SEARCH("Var", D311)), VERI_TABANI!F25*(0.00202-VERI_TABANI!$B$16), IF(ISNUMBER(SEARCH("Gri", D311)), VERI_TABANI!F25*(0.00202-VERI_TABANI!$B$17), 0))) + ((VERI_TABANI!D26*B311*(VERI_TABANI!$B$13-VERI_TABANI!$B$14)) + (VERI_TABANI!D26*C311*(VERI_TABANI!$B$13-VERI_TABANI!$B$15)) + IF(ISNUMBER(SEARCH("Var", D311)), VERI_TABANI!F26*(0.00202-VERI_TABANI!$B$16), IF(ISNUMBER(SEARCH("Gri", D311)), VERI_TABANI!F26*(0.00202-VERI_TABANI!$B$17), 0))) + ((VERI_TABANI!D27*B311*(VERI_TABANI!$B$13-VERI_TABANI!$B$14)) + (VERI_TABANI!D27*C311*(VERI_TABANI!$B$13-VERI_TABANI!$B$15)) + IF(ISNUMBER(SEARCH("Var", D311)), VERI_TABANI!F27*(0.00202-VERI_TABANI!$B$16), IF(ISNUMBER(SEARCH("Gri", D311)), VERI_TABANI!F27*(0.00202-VERI_TABANI!$B$17), 0))) + ((VERI_TABANI!D28*B311*(VERI_TABANI!$B$13-VERI_TABANI!$B$14)) + (VERI_TABANI!D28*C311*(VERI_TABANI!$B$13-VERI_TABANI!$B$15)) + IF(ISNUMBER(SEARCH("Var", D311)), VERI_TABANI!F28*(0.00202-VERI_TABANI!$B$16), IF(ISNUMBER(SEARCH("Gri", D311)), VERI_TABANI!F28*(0.00202-VERI_TABANI!$B$17), 0))))</f>
        <v/>
      </c>
      <c r="I311" s="170">
        <f>IFERROR(((VERI_TABANI!$D$29*B311*VERI_TABANI!$B$14 + VERI_TABANI!$D$29*C311*VERI_TABANI!$B$15 + IF(ISNUMBER(SEARCH("Var", D311)), VERI_TABANI!$F$29*VERI_TABANI!$B$16, 0))) / (((VERI_TABANI!$D$29*B311 + VERI_TABANI!$D$29*C311)*VERI_TABANI!$B$13 + IF(ISNUMBER(SEARCH("Var", D311)), VERI_TABANI!$E$29*(1-0.928)*VERI_TABANI!$B$18, 0))), 0)</f>
        <v/>
      </c>
      <c r="J311" s="171">
        <f>IFERROR(F311/(G311/29), 0)</f>
        <v/>
      </c>
      <c r="K311" s="172">
        <f>IF(F311&gt;0, H311/F311, 0)</f>
        <v/>
      </c>
      <c r="L311" s="170">
        <f>IF(F311&gt;0, I311, 1000000000)</f>
        <v/>
      </c>
      <c r="M311" s="171">
        <f>ABS((B311+C311)-1)</f>
        <v/>
      </c>
      <c r="N311" s="170">
        <f>IF(F311&gt;0, (G311/29)/F311, 0)</f>
        <v/>
      </c>
      <c r="O311" s="168">
        <f>IF(AND((B311+C311)&gt;=1, ISNUMBER(SEARCH("Var", D311))), F311, 1000000000)</f>
        <v/>
      </c>
      <c r="P311" s="172">
        <f>IF(F311&gt;0, SQRT((F311/MAX(F$5:F$886))^2 + (1 - H311/MAX(H$5:H$886))^2 + (J311/MAX(J$5:J$886))^2), 1000000000)</f>
        <v/>
      </c>
      <c r="Q311" s="166">
        <f>IF(AND(ABS(B311-0.5)&lt;0.01, ABS(C311-0.5)&lt;0.01, ISNUMBER(SEARCH("Var", D311))), 1, 0)</f>
        <v/>
      </c>
      <c r="R311" s="171">
        <f>IF(F311&gt;0, J311, 1000000000)</f>
        <v/>
      </c>
      <c r="S311" s="101">
        <f>IF(AND(F311&lt;=DASHBOARD!$B$11, H311&gt;=DASHBOARD!$B$13), G311, -1000000000000)</f>
        <v/>
      </c>
      <c r="T311" s="101">
        <f>IF(AND(F311&lt;=DASHBOARD!$B$11, H311&gt;=DASHBOARD!$B$13), R311, 1000000000000)</f>
        <v/>
      </c>
      <c r="U311" s="101">
        <f>IF(AND(F311&lt;=DASHBOARD!$B$11, H311&gt;=DASHBOARD!$B$13), N311, -1000000000000)</f>
        <v/>
      </c>
      <c r="V311" s="101">
        <f>IF(AND(F311&lt;=DASHBOARD!$B$11, H311&gt;=DASHBOARD!$B$13), H311, -1000000000000)</f>
        <v/>
      </c>
      <c r="W311" s="101">
        <f>IF(AND(F311&lt;=DASHBOARD!$B$11, H311&gt;=DASHBOARD!$B$13), K311, -1000000000000)</f>
        <v/>
      </c>
      <c r="X311" s="101">
        <f>IF(AND(F311&lt;=DASHBOARD!$B$11, H311&gt;=DASHBOARD!$B$13), M311, 1000000000000)</f>
        <v/>
      </c>
      <c r="Y311" s="101">
        <f>IF(AND(F311&lt;=DASHBOARD!$B$10, H311&gt;=DASHBOARD!$B$11), L311, 1000000000000)</f>
        <v/>
      </c>
      <c r="Z311" s="101">
        <f>IF(AND(F311&lt;=DASHBOARD!$B$10, H311&gt;=DASHBOARD!$B$11), O311, 1000000000000)</f>
        <v/>
      </c>
      <c r="AA311" s="101">
        <f>IF(AND(F311&lt;=DASHBOARD!$B$10, H311&gt;=DASHBOARD!$B$11), P311, 1000000000000)</f>
        <v/>
      </c>
      <c r="AB311" s="101">
        <f>IF(AND(F311&lt;=DASHBOARD!$B$10, H311&gt;=DASHBOARD!$B$11), Q311, -1000000000000)</f>
        <v/>
      </c>
    </row>
    <row r="312" ht="15" customHeight="1" s="102">
      <c r="A312" s="166" t="n">
        <v>308</v>
      </c>
      <c r="B312" s="167" t="n">
        <v>0.7</v>
      </c>
      <c r="C312" s="167" t="n">
        <v>0.6</v>
      </c>
      <c r="D312" s="110" t="inlineStr">
        <is>
          <t>Var (%20)</t>
        </is>
      </c>
      <c r="E312" s="110">
        <f>IF((B312+C312)&lt;=1, "Tam Mahsuplaşma (≤%100)", "Kısmi Satış (&gt;%100)")</f>
        <v/>
      </c>
      <c r="F312" s="168">
        <f>((VERI_TABANI!$D$29*B312/VERI_TABANI!$B$29)/VERI_TABANI!$B$3)*VERI_TABANI!$B$5 + ((VERI_TABANI!$D$29*C312/VERI_TABANI!$B$29)/VERI_TABANI!$B$4)*VERI_TABANI!$B$6 + IF(ISNUMBER(SEARCH("Var", D312)), (VERI_TABANI!$F$29/VERI_TABANI!$B$29)*(VERI_TABANI!$B$10+VERI_TABANI!$B$12), 0)</f>
        <v/>
      </c>
      <c r="G312" s="168">
        <f>(((MIN(VERI_TABANI!D23, VERI_TABANI!D23*B312)*VERI_TABANI!$B$7 + MAX(0, VERI_TABANI!D23*B312-VERI_TABANI!D23)*VERI_TABANI!$B$8) + (MIN(MAX(0, VERI_TABANI!D23-VERI_TABANI!D23*B312), VERI_TABANI!D23*C312)*VERI_TABANI!$B$7 + MAX(0, VERI_TABANI!D23*C312-MAX(0, VERI_TABANI!D23-VERI_TABANI!D23*B312))*VERI_TABANI!$B$8) + IF(ABS(IF(ISNUMBER(SEARCH("Var", D312)), 1, IF(ISNUMBER(SEARCH("Gri", D312)), -1, 0)))=1, VERI_TABANI!E23*(1-0.928)*VERI_TABANI!$B$9, 0) + (VERI_TABANI!D23*B312*(VERI_TABANI!$B$13-VERI_TABANI!$B$14)*VERI_TABANI!G23) + (VERI_TABANI!D23*C312*(VERI_TABANI!$B$13-VERI_TABANI!$B$15)*VERI_TABANI!G23) + IF(ABS(IF(ISNUMBER(SEARCH("Var", D312)), 1, IF(ISNUMBER(SEARCH("Gri", D312)), -1, 0)))=1, VERI_TABANI!E23*(1-0.928)*0.00206091519919798*VERI_TABANI!G23, 0)) + ((MIN(VERI_TABANI!D24, VERI_TABANI!D24*B312)*VERI_TABANI!$B$7 + MAX(0, VERI_TABANI!D24*B312-VERI_TABANI!D24)*VERI_TABANI!$B$8) + (MIN(MAX(0, VERI_TABANI!D24-VERI_TABANI!D24*B312), VERI_TABANI!D24*C312)*VERI_TABANI!$B$7 + MAX(0, VERI_TABANI!D24*C312-MAX(0, VERI_TABANI!D24-VERI_TABANI!D24*B312))*VERI_TABANI!$B$8) + IF(ABS(IF(ISNUMBER(SEARCH("Var", D312)), 1, IF(ISNUMBER(SEARCH("Gri", D312)), -1, 0)))=1, VERI_TABANI!E24*(1-0.928)*VERI_TABANI!$B$9, 0) + (VERI_TABANI!D24*B312*(VERI_TABANI!$B$13-VERI_TABANI!$B$14)*VERI_TABANI!G24) + (VERI_TABANI!D24*C312*(VERI_TABANI!$B$13-VERI_TABANI!$B$15)*VERI_TABANI!G24) + IF(ABS(IF(ISNUMBER(SEARCH("Var", D312)), 1, IF(ISNUMBER(SEARCH("Gri", D312)), -1, 0)))=1, VERI_TABANI!E24*(1-0.928)*0.00206091519919798*VERI_TABANI!G24, 0)) + ((MIN(VERI_TABANI!D25, VERI_TABANI!D25*B312)*VERI_TABANI!$B$7 + MAX(0, VERI_TABANI!D25*B312-VERI_TABANI!D25)*VERI_TABANI!$B$8) + (MIN(MAX(0, VERI_TABANI!D25-VERI_TABANI!D25*B312), VERI_TABANI!D25*C312)*VERI_TABANI!$B$7 + MAX(0, VERI_TABANI!D25*C312-MAX(0, VERI_TABANI!D25-VERI_TABANI!D25*B312))*VERI_TABANI!$B$8) + IF(ABS(IF(ISNUMBER(SEARCH("Var", D312)), 1, IF(ISNUMBER(SEARCH("Gri", D312)), -1, 0)))=1, VERI_TABANI!E25*(1-0.928)*VERI_TABANI!$B$9, 0) + (VERI_TABANI!D25*B312*(VERI_TABANI!$B$13-VERI_TABANI!$B$14)*VERI_TABANI!G25) + (VERI_TABANI!D25*C312*(VERI_TABANI!$B$13-VERI_TABANI!$B$15)*VERI_TABANI!G25) + IF(ABS(IF(ISNUMBER(SEARCH("Var", D312)), 1, IF(ISNUMBER(SEARCH("Gri", D312)), -1, 0)))=1, VERI_TABANI!E25*(1-0.928)*0.00206091519919798*VERI_TABANI!G25, 0)) + ((MIN(VERI_TABANI!D26, VERI_TABANI!D26*B312)*VERI_TABANI!$B$7 + MAX(0, VERI_TABANI!D26*B312-VERI_TABANI!D26)*VERI_TABANI!$B$8) + (MIN(MAX(0, VERI_TABANI!D26-VERI_TABANI!D26*B312), VERI_TABANI!D26*C312)*VERI_TABANI!$B$7 + MAX(0, VERI_TABANI!D26*C312-MAX(0, VERI_TABANI!D26-VERI_TABANI!D26*B312))*VERI_TABANI!$B$8) + IF(ABS(IF(ISNUMBER(SEARCH("Var", D312)), 1, IF(ISNUMBER(SEARCH("Gri", D312)), -1, 0)))=1, VERI_TABANI!E26*(1-0.928)*VERI_TABANI!$B$9, 0) + (VERI_TABANI!D26*B312*(VERI_TABANI!$B$13-VERI_TABANI!$B$14)*VERI_TABANI!G26) + (VERI_TABANI!D26*C312*(VERI_TABANI!$B$13-VERI_TABANI!$B$15)*VERI_TABANI!G26) + IF(ABS(IF(ISNUMBER(SEARCH("Var", D312)), 1, IF(ISNUMBER(SEARCH("Gri", D312)), -1, 0)))=1, VERI_TABANI!E26*(1-0.928)*0.00206091519919798*VERI_TABANI!G26, 0)) + ((MIN(VERI_TABANI!D27, VERI_TABANI!D27*B312)*VERI_TABANI!$B$7 + MAX(0, VERI_TABANI!D27*B312-VERI_TABANI!D27)*VERI_TABANI!$B$8) + (MIN(MAX(0, VERI_TABANI!D27-VERI_TABANI!D27*B312), VERI_TABANI!D27*C312)*VERI_TABANI!$B$7 + MAX(0, VERI_TABANI!D27*C312-MAX(0, VERI_TABANI!D27-VERI_TABANI!D27*B312))*VERI_TABANI!$B$8) + IF(ABS(IF(ISNUMBER(SEARCH("Var", D312)), 1, IF(ISNUMBER(SEARCH("Gri", D312)), -1, 0)))=1, VERI_TABANI!E27*(1-0.928)*VERI_TABANI!$B$9, 0) + (VERI_TABANI!D27*B312*(VERI_TABANI!$B$13-VERI_TABANI!$B$14)*VERI_TABANI!G27) + (VERI_TABANI!D27*C312*(VERI_TABANI!$B$13-VERI_TABANI!$B$15)*VERI_TABANI!G27) + IF(ABS(IF(ISNUMBER(SEARCH("Var", D312)), 1, IF(ISNUMBER(SEARCH("Gri", D312)), -1, 0)))=1, VERI_TABANI!E27*(1-0.928)*0.00206091519919798*VERI_TABANI!G27, 0)) + ((MIN(VERI_TABANI!D28, VERI_TABANI!D28*B312)*VERI_TABANI!$B$7 + MAX(0, VERI_TABANI!D28*B312-VERI_TABANI!D28)*VERI_TABANI!$B$8) + (MIN(MAX(0, VERI_TABANI!D28-VERI_TABANI!D28*B312), VERI_TABANI!D28*C312)*VERI_TABANI!$B$7 + MAX(0, VERI_TABANI!D28*C312-MAX(0, VERI_TABANI!D28-VERI_TABANI!D28*B312))*VERI_TABANI!$B$8) + IF(ABS(IF(ISNUMBER(SEARCH("Var", D312)), 1, IF(ISNUMBER(SEARCH("Gri", D312)), -1, 0)))=1, VERI_TABANI!E28*(1-0.928)*VERI_TABANI!$B$9, 0) + (VERI_TABANI!D28*B312*(VERI_TABANI!$B$13-VERI_TABANI!$B$14)*VERI_TABANI!G28) + (VERI_TABANI!D28*C312*(VERI_TABANI!$B$13-VERI_TABANI!$B$15)*VERI_TABANI!G28) + IF(ABS(IF(ISNUMBER(SEARCH("Var", D312)), 1, IF(ISNUMBER(SEARCH("Gri", D312)), -1, 0)))=1, VERI_TABANI!E28*(1-0.928)*0.00206091519919798*VERI_TABANI!G28, 0)))</f>
        <v/>
      </c>
      <c r="H312" s="169">
        <f>(((VERI_TABANI!D23*B312*(VERI_TABANI!$B$13-VERI_TABANI!$B$14)) + (VERI_TABANI!D23*C312*(VERI_TABANI!$B$13-VERI_TABANI!$B$15)) + IF(ISNUMBER(SEARCH("Var", D312)), VERI_TABANI!F23*(0.00202-VERI_TABANI!$B$16), IF(ISNUMBER(SEARCH("Gri", D312)), VERI_TABANI!F23*(0.00202-VERI_TABANI!$B$17), 0))) + ((VERI_TABANI!D24*B312*(VERI_TABANI!$B$13-VERI_TABANI!$B$14)) + (VERI_TABANI!D24*C312*(VERI_TABANI!$B$13-VERI_TABANI!$B$15)) + IF(ISNUMBER(SEARCH("Var", D312)), VERI_TABANI!F24*(0.00202-VERI_TABANI!$B$16), IF(ISNUMBER(SEARCH("Gri", D312)), VERI_TABANI!F24*(0.00202-VERI_TABANI!$B$17), 0))) + ((VERI_TABANI!D25*B312*(VERI_TABANI!$B$13-VERI_TABANI!$B$14)) + (VERI_TABANI!D25*C312*(VERI_TABANI!$B$13-VERI_TABANI!$B$15)) + IF(ISNUMBER(SEARCH("Var", D312)), VERI_TABANI!F25*(0.00202-VERI_TABANI!$B$16), IF(ISNUMBER(SEARCH("Gri", D312)), VERI_TABANI!F25*(0.00202-VERI_TABANI!$B$17), 0))) + ((VERI_TABANI!D26*B312*(VERI_TABANI!$B$13-VERI_TABANI!$B$14)) + (VERI_TABANI!D26*C312*(VERI_TABANI!$B$13-VERI_TABANI!$B$15)) + IF(ISNUMBER(SEARCH("Var", D312)), VERI_TABANI!F26*(0.00202-VERI_TABANI!$B$16), IF(ISNUMBER(SEARCH("Gri", D312)), VERI_TABANI!F26*(0.00202-VERI_TABANI!$B$17), 0))) + ((VERI_TABANI!D27*B312*(VERI_TABANI!$B$13-VERI_TABANI!$B$14)) + (VERI_TABANI!D27*C312*(VERI_TABANI!$B$13-VERI_TABANI!$B$15)) + IF(ISNUMBER(SEARCH("Var", D312)), VERI_TABANI!F27*(0.00202-VERI_TABANI!$B$16), IF(ISNUMBER(SEARCH("Gri", D312)), VERI_TABANI!F27*(0.00202-VERI_TABANI!$B$17), 0))) + ((VERI_TABANI!D28*B312*(VERI_TABANI!$B$13-VERI_TABANI!$B$14)) + (VERI_TABANI!D28*C312*(VERI_TABANI!$B$13-VERI_TABANI!$B$15)) + IF(ISNUMBER(SEARCH("Var", D312)), VERI_TABANI!F28*(0.00202-VERI_TABANI!$B$16), IF(ISNUMBER(SEARCH("Gri", D312)), VERI_TABANI!F28*(0.00202-VERI_TABANI!$B$17), 0))))</f>
        <v/>
      </c>
      <c r="I312" s="170">
        <f>IFERROR(((VERI_TABANI!$D$29*B312*VERI_TABANI!$B$14 + VERI_TABANI!$D$29*C312*VERI_TABANI!$B$15 + IF(ISNUMBER(SEARCH("Var", D312)), VERI_TABANI!$F$29*VERI_TABANI!$B$16, 0))) / (((VERI_TABANI!$D$29*B312 + VERI_TABANI!$D$29*C312)*VERI_TABANI!$B$13 + IF(ISNUMBER(SEARCH("Var", D312)), VERI_TABANI!$E$29*(1-0.928)*VERI_TABANI!$B$18, 0))), 0)</f>
        <v/>
      </c>
      <c r="J312" s="171">
        <f>IFERROR(F312/(G312/29), 0)</f>
        <v/>
      </c>
      <c r="K312" s="172">
        <f>IF(F312&gt;0, H312/F312, 0)</f>
        <v/>
      </c>
      <c r="L312" s="170">
        <f>IF(F312&gt;0, I312, 1000000000)</f>
        <v/>
      </c>
      <c r="M312" s="171">
        <f>ABS((B312+C312)-1)</f>
        <v/>
      </c>
      <c r="N312" s="170">
        <f>IF(F312&gt;0, (G312/29)/F312, 0)</f>
        <v/>
      </c>
      <c r="O312" s="168">
        <f>IF(AND((B312+C312)&gt;=1, ISNUMBER(SEARCH("Var", D312))), F312, 1000000000)</f>
        <v/>
      </c>
      <c r="P312" s="172">
        <f>IF(F312&gt;0, SQRT((F312/MAX(F$5:F$886))^2 + (1 - H312/MAX(H$5:H$886))^2 + (J312/MAX(J$5:J$886))^2), 1000000000)</f>
        <v/>
      </c>
      <c r="Q312" s="166">
        <f>IF(AND(ABS(B312-0.5)&lt;0.01, ABS(C312-0.5)&lt;0.01, ISNUMBER(SEARCH("Var", D312))), 1, 0)</f>
        <v/>
      </c>
      <c r="R312" s="171">
        <f>IF(F312&gt;0, J312, 1000000000)</f>
        <v/>
      </c>
      <c r="S312" s="101">
        <f>IF(AND(F312&lt;=DASHBOARD!$B$11, H312&gt;=DASHBOARD!$B$13), G312, -1000000000000)</f>
        <v/>
      </c>
      <c r="T312" s="101">
        <f>IF(AND(F312&lt;=DASHBOARD!$B$11, H312&gt;=DASHBOARD!$B$13), R312, 1000000000000)</f>
        <v/>
      </c>
      <c r="U312" s="101">
        <f>IF(AND(F312&lt;=DASHBOARD!$B$11, H312&gt;=DASHBOARD!$B$13), N312, -1000000000000)</f>
        <v/>
      </c>
      <c r="V312" s="101">
        <f>IF(AND(F312&lt;=DASHBOARD!$B$11, H312&gt;=DASHBOARD!$B$13), H312, -1000000000000)</f>
        <v/>
      </c>
      <c r="W312" s="101">
        <f>IF(AND(F312&lt;=DASHBOARD!$B$11, H312&gt;=DASHBOARD!$B$13), K312, -1000000000000)</f>
        <v/>
      </c>
      <c r="X312" s="101">
        <f>IF(AND(F312&lt;=DASHBOARD!$B$11, H312&gt;=DASHBOARD!$B$13), M312, 1000000000000)</f>
        <v/>
      </c>
      <c r="Y312" s="101">
        <f>IF(AND(F312&lt;=DASHBOARD!$B$10, H312&gt;=DASHBOARD!$B$11), L312, 1000000000000)</f>
        <v/>
      </c>
      <c r="Z312" s="101">
        <f>IF(AND(F312&lt;=DASHBOARD!$B$10, H312&gt;=DASHBOARD!$B$11), O312, 1000000000000)</f>
        <v/>
      </c>
      <c r="AA312" s="101">
        <f>IF(AND(F312&lt;=DASHBOARD!$B$10, H312&gt;=DASHBOARD!$B$11), P312, 1000000000000)</f>
        <v/>
      </c>
      <c r="AB312" s="101">
        <f>IF(AND(F312&lt;=DASHBOARD!$B$10, H312&gt;=DASHBOARD!$B$11), Q312, -1000000000000)</f>
        <v/>
      </c>
    </row>
    <row r="313" ht="15" customHeight="1" s="102">
      <c r="A313" s="166" t="n">
        <v>309</v>
      </c>
      <c r="B313" s="167" t="n">
        <v>0.7</v>
      </c>
      <c r="C313" s="167" t="n">
        <v>0.7</v>
      </c>
      <c r="D313" s="110" t="inlineStr">
        <is>
          <t>Yok (%0)</t>
        </is>
      </c>
      <c r="E313" s="110">
        <f>IF((B313+C313)&lt;=1, "Tam Mahsuplaşma (≤%100)", "Kısmi Satış (&gt;%100)")</f>
        <v/>
      </c>
      <c r="F313" s="168">
        <f>((VERI_TABANI!$D$29*B313/VERI_TABANI!$B$29)/VERI_TABANI!$B$3)*VERI_TABANI!$B$5 + ((VERI_TABANI!$D$29*C313/VERI_TABANI!$B$29)/VERI_TABANI!$B$4)*VERI_TABANI!$B$6 + IF(ISNUMBER(SEARCH("Var", D313)), (VERI_TABANI!$F$29/VERI_TABANI!$B$29)*(VERI_TABANI!$B$10+VERI_TABANI!$B$12), 0)</f>
        <v/>
      </c>
      <c r="G313" s="168">
        <f>(((MIN(VERI_TABANI!D23, VERI_TABANI!D23*B313)*VERI_TABANI!$B$7 + MAX(0, VERI_TABANI!D23*B313-VERI_TABANI!D23)*VERI_TABANI!$B$8) + (MIN(MAX(0, VERI_TABANI!D23-VERI_TABANI!D23*B313), VERI_TABANI!D23*C313)*VERI_TABANI!$B$7 + MAX(0, VERI_TABANI!D23*C313-MAX(0, VERI_TABANI!D23-VERI_TABANI!D23*B313))*VERI_TABANI!$B$8) + IF(ABS(IF(ISNUMBER(SEARCH("Var", D313)), 1, IF(ISNUMBER(SEARCH("Gri", D313)), -1, 0)))=1, VERI_TABANI!E23*(1-0.928)*VERI_TABANI!$B$9, 0) + (VERI_TABANI!D23*B313*(VERI_TABANI!$B$13-VERI_TABANI!$B$14)*VERI_TABANI!G23) + (VERI_TABANI!D23*C313*(VERI_TABANI!$B$13-VERI_TABANI!$B$15)*VERI_TABANI!G23) + IF(ABS(IF(ISNUMBER(SEARCH("Var", D313)), 1, IF(ISNUMBER(SEARCH("Gri", D313)), -1, 0)))=1, VERI_TABANI!E23*(1-0.928)*0.00206091519919798*VERI_TABANI!G23, 0)) + ((MIN(VERI_TABANI!D24, VERI_TABANI!D24*B313)*VERI_TABANI!$B$7 + MAX(0, VERI_TABANI!D24*B313-VERI_TABANI!D24)*VERI_TABANI!$B$8) + (MIN(MAX(0, VERI_TABANI!D24-VERI_TABANI!D24*B313), VERI_TABANI!D24*C313)*VERI_TABANI!$B$7 + MAX(0, VERI_TABANI!D24*C313-MAX(0, VERI_TABANI!D24-VERI_TABANI!D24*B313))*VERI_TABANI!$B$8) + IF(ABS(IF(ISNUMBER(SEARCH("Var", D313)), 1, IF(ISNUMBER(SEARCH("Gri", D313)), -1, 0)))=1, VERI_TABANI!E24*(1-0.928)*VERI_TABANI!$B$9, 0) + (VERI_TABANI!D24*B313*(VERI_TABANI!$B$13-VERI_TABANI!$B$14)*VERI_TABANI!G24) + (VERI_TABANI!D24*C313*(VERI_TABANI!$B$13-VERI_TABANI!$B$15)*VERI_TABANI!G24) + IF(ABS(IF(ISNUMBER(SEARCH("Var", D313)), 1, IF(ISNUMBER(SEARCH("Gri", D313)), -1, 0)))=1, VERI_TABANI!E24*(1-0.928)*0.00206091519919798*VERI_TABANI!G24, 0)) + ((MIN(VERI_TABANI!D25, VERI_TABANI!D25*B313)*VERI_TABANI!$B$7 + MAX(0, VERI_TABANI!D25*B313-VERI_TABANI!D25)*VERI_TABANI!$B$8) + (MIN(MAX(0, VERI_TABANI!D25-VERI_TABANI!D25*B313), VERI_TABANI!D25*C313)*VERI_TABANI!$B$7 + MAX(0, VERI_TABANI!D25*C313-MAX(0, VERI_TABANI!D25-VERI_TABANI!D25*B313))*VERI_TABANI!$B$8) + IF(ABS(IF(ISNUMBER(SEARCH("Var", D313)), 1, IF(ISNUMBER(SEARCH("Gri", D313)), -1, 0)))=1, VERI_TABANI!E25*(1-0.928)*VERI_TABANI!$B$9, 0) + (VERI_TABANI!D25*B313*(VERI_TABANI!$B$13-VERI_TABANI!$B$14)*VERI_TABANI!G25) + (VERI_TABANI!D25*C313*(VERI_TABANI!$B$13-VERI_TABANI!$B$15)*VERI_TABANI!G25) + IF(ABS(IF(ISNUMBER(SEARCH("Var", D313)), 1, IF(ISNUMBER(SEARCH("Gri", D313)), -1, 0)))=1, VERI_TABANI!E25*(1-0.928)*0.00206091519919798*VERI_TABANI!G25, 0)) + ((MIN(VERI_TABANI!D26, VERI_TABANI!D26*B313)*VERI_TABANI!$B$7 + MAX(0, VERI_TABANI!D26*B313-VERI_TABANI!D26)*VERI_TABANI!$B$8) + (MIN(MAX(0, VERI_TABANI!D26-VERI_TABANI!D26*B313), VERI_TABANI!D26*C313)*VERI_TABANI!$B$7 + MAX(0, VERI_TABANI!D26*C313-MAX(0, VERI_TABANI!D26-VERI_TABANI!D26*B313))*VERI_TABANI!$B$8) + IF(ABS(IF(ISNUMBER(SEARCH("Var", D313)), 1, IF(ISNUMBER(SEARCH("Gri", D313)), -1, 0)))=1, VERI_TABANI!E26*(1-0.928)*VERI_TABANI!$B$9, 0) + (VERI_TABANI!D26*B313*(VERI_TABANI!$B$13-VERI_TABANI!$B$14)*VERI_TABANI!G26) + (VERI_TABANI!D26*C313*(VERI_TABANI!$B$13-VERI_TABANI!$B$15)*VERI_TABANI!G26) + IF(ABS(IF(ISNUMBER(SEARCH("Var", D313)), 1, IF(ISNUMBER(SEARCH("Gri", D313)), -1, 0)))=1, VERI_TABANI!E26*(1-0.928)*0.00206091519919798*VERI_TABANI!G26, 0)) + ((MIN(VERI_TABANI!D27, VERI_TABANI!D27*B313)*VERI_TABANI!$B$7 + MAX(0, VERI_TABANI!D27*B313-VERI_TABANI!D27)*VERI_TABANI!$B$8) + (MIN(MAX(0, VERI_TABANI!D27-VERI_TABANI!D27*B313), VERI_TABANI!D27*C313)*VERI_TABANI!$B$7 + MAX(0, VERI_TABANI!D27*C313-MAX(0, VERI_TABANI!D27-VERI_TABANI!D27*B313))*VERI_TABANI!$B$8) + IF(ABS(IF(ISNUMBER(SEARCH("Var", D313)), 1, IF(ISNUMBER(SEARCH("Gri", D313)), -1, 0)))=1, VERI_TABANI!E27*(1-0.928)*VERI_TABANI!$B$9, 0) + (VERI_TABANI!D27*B313*(VERI_TABANI!$B$13-VERI_TABANI!$B$14)*VERI_TABANI!G27) + (VERI_TABANI!D27*C313*(VERI_TABANI!$B$13-VERI_TABANI!$B$15)*VERI_TABANI!G27) + IF(ABS(IF(ISNUMBER(SEARCH("Var", D313)), 1, IF(ISNUMBER(SEARCH("Gri", D313)), -1, 0)))=1, VERI_TABANI!E27*(1-0.928)*0.00206091519919798*VERI_TABANI!G27, 0)) + ((MIN(VERI_TABANI!D28, VERI_TABANI!D28*B313)*VERI_TABANI!$B$7 + MAX(0, VERI_TABANI!D28*B313-VERI_TABANI!D28)*VERI_TABANI!$B$8) + (MIN(MAX(0, VERI_TABANI!D28-VERI_TABANI!D28*B313), VERI_TABANI!D28*C313)*VERI_TABANI!$B$7 + MAX(0, VERI_TABANI!D28*C313-MAX(0, VERI_TABANI!D28-VERI_TABANI!D28*B313))*VERI_TABANI!$B$8) + IF(ABS(IF(ISNUMBER(SEARCH("Var", D313)), 1, IF(ISNUMBER(SEARCH("Gri", D313)), -1, 0)))=1, VERI_TABANI!E28*(1-0.928)*VERI_TABANI!$B$9, 0) + (VERI_TABANI!D28*B313*(VERI_TABANI!$B$13-VERI_TABANI!$B$14)*VERI_TABANI!G28) + (VERI_TABANI!D28*C313*(VERI_TABANI!$B$13-VERI_TABANI!$B$15)*VERI_TABANI!G28) + IF(ABS(IF(ISNUMBER(SEARCH("Var", D313)), 1, IF(ISNUMBER(SEARCH("Gri", D313)), -1, 0)))=1, VERI_TABANI!E28*(1-0.928)*0.00206091519919798*VERI_TABANI!G28, 0)))</f>
        <v/>
      </c>
      <c r="H313" s="169">
        <f>(((VERI_TABANI!D23*B313*(VERI_TABANI!$B$13-VERI_TABANI!$B$14)) + (VERI_TABANI!D23*C313*(VERI_TABANI!$B$13-VERI_TABANI!$B$15)) + IF(ISNUMBER(SEARCH("Var", D313)), VERI_TABANI!F23*(0.00202-VERI_TABANI!$B$16), IF(ISNUMBER(SEARCH("Gri", D313)), VERI_TABANI!F23*(0.00202-VERI_TABANI!$B$17), 0))) + ((VERI_TABANI!D24*B313*(VERI_TABANI!$B$13-VERI_TABANI!$B$14)) + (VERI_TABANI!D24*C313*(VERI_TABANI!$B$13-VERI_TABANI!$B$15)) + IF(ISNUMBER(SEARCH("Var", D313)), VERI_TABANI!F24*(0.00202-VERI_TABANI!$B$16), IF(ISNUMBER(SEARCH("Gri", D313)), VERI_TABANI!F24*(0.00202-VERI_TABANI!$B$17), 0))) + ((VERI_TABANI!D25*B313*(VERI_TABANI!$B$13-VERI_TABANI!$B$14)) + (VERI_TABANI!D25*C313*(VERI_TABANI!$B$13-VERI_TABANI!$B$15)) + IF(ISNUMBER(SEARCH("Var", D313)), VERI_TABANI!F25*(0.00202-VERI_TABANI!$B$16), IF(ISNUMBER(SEARCH("Gri", D313)), VERI_TABANI!F25*(0.00202-VERI_TABANI!$B$17), 0))) + ((VERI_TABANI!D26*B313*(VERI_TABANI!$B$13-VERI_TABANI!$B$14)) + (VERI_TABANI!D26*C313*(VERI_TABANI!$B$13-VERI_TABANI!$B$15)) + IF(ISNUMBER(SEARCH("Var", D313)), VERI_TABANI!F26*(0.00202-VERI_TABANI!$B$16), IF(ISNUMBER(SEARCH("Gri", D313)), VERI_TABANI!F26*(0.00202-VERI_TABANI!$B$17), 0))) + ((VERI_TABANI!D27*B313*(VERI_TABANI!$B$13-VERI_TABANI!$B$14)) + (VERI_TABANI!D27*C313*(VERI_TABANI!$B$13-VERI_TABANI!$B$15)) + IF(ISNUMBER(SEARCH("Var", D313)), VERI_TABANI!F27*(0.00202-VERI_TABANI!$B$16), IF(ISNUMBER(SEARCH("Gri", D313)), VERI_TABANI!F27*(0.00202-VERI_TABANI!$B$17), 0))) + ((VERI_TABANI!D28*B313*(VERI_TABANI!$B$13-VERI_TABANI!$B$14)) + (VERI_TABANI!D28*C313*(VERI_TABANI!$B$13-VERI_TABANI!$B$15)) + IF(ISNUMBER(SEARCH("Var", D313)), VERI_TABANI!F28*(0.00202-VERI_TABANI!$B$16), IF(ISNUMBER(SEARCH("Gri", D313)), VERI_TABANI!F28*(0.00202-VERI_TABANI!$B$17), 0))))</f>
        <v/>
      </c>
      <c r="I313" s="170">
        <f>IFERROR(((VERI_TABANI!$D$29*B313*VERI_TABANI!$B$14 + VERI_TABANI!$D$29*C313*VERI_TABANI!$B$15 + IF(ISNUMBER(SEARCH("Var", D313)), VERI_TABANI!$F$29*VERI_TABANI!$B$16, 0))) / (((VERI_TABANI!$D$29*B313 + VERI_TABANI!$D$29*C313)*VERI_TABANI!$B$13 + IF(ISNUMBER(SEARCH("Var", D313)), VERI_TABANI!$E$29*(1-0.928)*VERI_TABANI!$B$18, 0))), 0)</f>
        <v/>
      </c>
      <c r="J313" s="171">
        <f>IFERROR(F313/(G313/29), 0)</f>
        <v/>
      </c>
      <c r="K313" s="172">
        <f>IF(F313&gt;0, H313/F313, 0)</f>
        <v/>
      </c>
      <c r="L313" s="170">
        <f>IF(F313&gt;0, I313, 1000000000)</f>
        <v/>
      </c>
      <c r="M313" s="171">
        <f>ABS((B313+C313)-1)</f>
        <v/>
      </c>
      <c r="N313" s="170">
        <f>IF(F313&gt;0, (G313/29)/F313, 0)</f>
        <v/>
      </c>
      <c r="O313" s="168">
        <f>IF(AND((B313+C313)&gt;=1, ISNUMBER(SEARCH("Var", D313))), F313, 1000000000)</f>
        <v/>
      </c>
      <c r="P313" s="172">
        <f>IF(F313&gt;0, SQRT((F313/MAX(F$5:F$886))^2 + (1 - H313/MAX(H$5:H$886))^2 + (J313/MAX(J$5:J$886))^2), 1000000000)</f>
        <v/>
      </c>
      <c r="Q313" s="166">
        <f>IF(AND(ABS(B313-0.5)&lt;0.01, ABS(C313-0.5)&lt;0.01, ISNUMBER(SEARCH("Var", D313))), 1, 0)</f>
        <v/>
      </c>
      <c r="R313" s="171">
        <f>IF(F313&gt;0, J313, 1000000000)</f>
        <v/>
      </c>
      <c r="S313" s="101">
        <f>IF(AND(F313&lt;=DASHBOARD!$B$11, H313&gt;=DASHBOARD!$B$13), G313, -1000000000000)</f>
        <v/>
      </c>
      <c r="T313" s="101">
        <f>IF(AND(F313&lt;=DASHBOARD!$B$11, H313&gt;=DASHBOARD!$B$13), R313, 1000000000000)</f>
        <v/>
      </c>
      <c r="U313" s="101">
        <f>IF(AND(F313&lt;=DASHBOARD!$B$11, H313&gt;=DASHBOARD!$B$13), N313, -1000000000000)</f>
        <v/>
      </c>
      <c r="V313" s="101">
        <f>IF(AND(F313&lt;=DASHBOARD!$B$11, H313&gt;=DASHBOARD!$B$13), H313, -1000000000000)</f>
        <v/>
      </c>
      <c r="W313" s="101">
        <f>IF(AND(F313&lt;=DASHBOARD!$B$11, H313&gt;=DASHBOARD!$B$13), K313, -1000000000000)</f>
        <v/>
      </c>
      <c r="X313" s="101">
        <f>IF(AND(F313&lt;=DASHBOARD!$B$11, H313&gt;=DASHBOARD!$B$13), M313, 1000000000000)</f>
        <v/>
      </c>
      <c r="Y313" s="101">
        <f>IF(AND(F313&lt;=DASHBOARD!$B$10, H313&gt;=DASHBOARD!$B$11), L313, 1000000000000)</f>
        <v/>
      </c>
      <c r="Z313" s="101">
        <f>IF(AND(F313&lt;=DASHBOARD!$B$10, H313&gt;=DASHBOARD!$B$11), O313, 1000000000000)</f>
        <v/>
      </c>
      <c r="AA313" s="101">
        <f>IF(AND(F313&lt;=DASHBOARD!$B$10, H313&gt;=DASHBOARD!$B$11), P313, 1000000000000)</f>
        <v/>
      </c>
      <c r="AB313" s="101">
        <f>IF(AND(F313&lt;=DASHBOARD!$B$10, H313&gt;=DASHBOARD!$B$11), Q313, -1000000000000)</f>
        <v/>
      </c>
    </row>
    <row r="314" ht="15" customHeight="1" s="102">
      <c r="A314" s="166" t="n">
        <v>310</v>
      </c>
      <c r="B314" s="167" t="n">
        <v>0.7</v>
      </c>
      <c r="C314" s="167" t="n">
        <v>0.7</v>
      </c>
      <c r="D314" s="110" t="inlineStr">
        <is>
          <t>Var (%20)</t>
        </is>
      </c>
      <c r="E314" s="110">
        <f>IF((B314+C314)&lt;=1, "Tam Mahsuplaşma (≤%100)", "Kısmi Satış (&gt;%100)")</f>
        <v/>
      </c>
      <c r="F314" s="168">
        <f>((VERI_TABANI!$D$29*B314/VERI_TABANI!$B$29)/VERI_TABANI!$B$3)*VERI_TABANI!$B$5 + ((VERI_TABANI!$D$29*C314/VERI_TABANI!$B$29)/VERI_TABANI!$B$4)*VERI_TABANI!$B$6 + IF(ISNUMBER(SEARCH("Var", D314)), (VERI_TABANI!$F$29/VERI_TABANI!$B$29)*(VERI_TABANI!$B$10+VERI_TABANI!$B$12), 0)</f>
        <v/>
      </c>
      <c r="G314" s="168">
        <f>(((MIN(VERI_TABANI!D23, VERI_TABANI!D23*B314)*VERI_TABANI!$B$7 + MAX(0, VERI_TABANI!D23*B314-VERI_TABANI!D23)*VERI_TABANI!$B$8) + (MIN(MAX(0, VERI_TABANI!D23-VERI_TABANI!D23*B314), VERI_TABANI!D23*C314)*VERI_TABANI!$B$7 + MAX(0, VERI_TABANI!D23*C314-MAX(0, VERI_TABANI!D23-VERI_TABANI!D23*B314))*VERI_TABANI!$B$8) + IF(ABS(IF(ISNUMBER(SEARCH("Var", D314)), 1, IF(ISNUMBER(SEARCH("Gri", D314)), -1, 0)))=1, VERI_TABANI!E23*(1-0.928)*VERI_TABANI!$B$9, 0) + (VERI_TABANI!D23*B314*(VERI_TABANI!$B$13-VERI_TABANI!$B$14)*VERI_TABANI!G23) + (VERI_TABANI!D23*C314*(VERI_TABANI!$B$13-VERI_TABANI!$B$15)*VERI_TABANI!G23) + IF(ABS(IF(ISNUMBER(SEARCH("Var", D314)), 1, IF(ISNUMBER(SEARCH("Gri", D314)), -1, 0)))=1, VERI_TABANI!E23*(1-0.928)*0.00206091519919798*VERI_TABANI!G23, 0)) + ((MIN(VERI_TABANI!D24, VERI_TABANI!D24*B314)*VERI_TABANI!$B$7 + MAX(0, VERI_TABANI!D24*B314-VERI_TABANI!D24)*VERI_TABANI!$B$8) + (MIN(MAX(0, VERI_TABANI!D24-VERI_TABANI!D24*B314), VERI_TABANI!D24*C314)*VERI_TABANI!$B$7 + MAX(0, VERI_TABANI!D24*C314-MAX(0, VERI_TABANI!D24-VERI_TABANI!D24*B314))*VERI_TABANI!$B$8) + IF(ABS(IF(ISNUMBER(SEARCH("Var", D314)), 1, IF(ISNUMBER(SEARCH("Gri", D314)), -1, 0)))=1, VERI_TABANI!E24*(1-0.928)*VERI_TABANI!$B$9, 0) + (VERI_TABANI!D24*B314*(VERI_TABANI!$B$13-VERI_TABANI!$B$14)*VERI_TABANI!G24) + (VERI_TABANI!D24*C314*(VERI_TABANI!$B$13-VERI_TABANI!$B$15)*VERI_TABANI!G24) + IF(ABS(IF(ISNUMBER(SEARCH("Var", D314)), 1, IF(ISNUMBER(SEARCH("Gri", D314)), -1, 0)))=1, VERI_TABANI!E24*(1-0.928)*0.00206091519919798*VERI_TABANI!G24, 0)) + ((MIN(VERI_TABANI!D25, VERI_TABANI!D25*B314)*VERI_TABANI!$B$7 + MAX(0, VERI_TABANI!D25*B314-VERI_TABANI!D25)*VERI_TABANI!$B$8) + (MIN(MAX(0, VERI_TABANI!D25-VERI_TABANI!D25*B314), VERI_TABANI!D25*C314)*VERI_TABANI!$B$7 + MAX(0, VERI_TABANI!D25*C314-MAX(0, VERI_TABANI!D25-VERI_TABANI!D25*B314))*VERI_TABANI!$B$8) + IF(ABS(IF(ISNUMBER(SEARCH("Var", D314)), 1, IF(ISNUMBER(SEARCH("Gri", D314)), -1, 0)))=1, VERI_TABANI!E25*(1-0.928)*VERI_TABANI!$B$9, 0) + (VERI_TABANI!D25*B314*(VERI_TABANI!$B$13-VERI_TABANI!$B$14)*VERI_TABANI!G25) + (VERI_TABANI!D25*C314*(VERI_TABANI!$B$13-VERI_TABANI!$B$15)*VERI_TABANI!G25) + IF(ABS(IF(ISNUMBER(SEARCH("Var", D314)), 1, IF(ISNUMBER(SEARCH("Gri", D314)), -1, 0)))=1, VERI_TABANI!E25*(1-0.928)*0.00206091519919798*VERI_TABANI!G25, 0)) + ((MIN(VERI_TABANI!D26, VERI_TABANI!D26*B314)*VERI_TABANI!$B$7 + MAX(0, VERI_TABANI!D26*B314-VERI_TABANI!D26)*VERI_TABANI!$B$8) + (MIN(MAX(0, VERI_TABANI!D26-VERI_TABANI!D26*B314), VERI_TABANI!D26*C314)*VERI_TABANI!$B$7 + MAX(0, VERI_TABANI!D26*C314-MAX(0, VERI_TABANI!D26-VERI_TABANI!D26*B314))*VERI_TABANI!$B$8) + IF(ABS(IF(ISNUMBER(SEARCH("Var", D314)), 1, IF(ISNUMBER(SEARCH("Gri", D314)), -1, 0)))=1, VERI_TABANI!E26*(1-0.928)*VERI_TABANI!$B$9, 0) + (VERI_TABANI!D26*B314*(VERI_TABANI!$B$13-VERI_TABANI!$B$14)*VERI_TABANI!G26) + (VERI_TABANI!D26*C314*(VERI_TABANI!$B$13-VERI_TABANI!$B$15)*VERI_TABANI!G26) + IF(ABS(IF(ISNUMBER(SEARCH("Var", D314)), 1, IF(ISNUMBER(SEARCH("Gri", D314)), -1, 0)))=1, VERI_TABANI!E26*(1-0.928)*0.00206091519919798*VERI_TABANI!G26, 0)) + ((MIN(VERI_TABANI!D27, VERI_TABANI!D27*B314)*VERI_TABANI!$B$7 + MAX(0, VERI_TABANI!D27*B314-VERI_TABANI!D27)*VERI_TABANI!$B$8) + (MIN(MAX(0, VERI_TABANI!D27-VERI_TABANI!D27*B314), VERI_TABANI!D27*C314)*VERI_TABANI!$B$7 + MAX(0, VERI_TABANI!D27*C314-MAX(0, VERI_TABANI!D27-VERI_TABANI!D27*B314))*VERI_TABANI!$B$8) + IF(ABS(IF(ISNUMBER(SEARCH("Var", D314)), 1, IF(ISNUMBER(SEARCH("Gri", D314)), -1, 0)))=1, VERI_TABANI!E27*(1-0.928)*VERI_TABANI!$B$9, 0) + (VERI_TABANI!D27*B314*(VERI_TABANI!$B$13-VERI_TABANI!$B$14)*VERI_TABANI!G27) + (VERI_TABANI!D27*C314*(VERI_TABANI!$B$13-VERI_TABANI!$B$15)*VERI_TABANI!G27) + IF(ABS(IF(ISNUMBER(SEARCH("Var", D314)), 1, IF(ISNUMBER(SEARCH("Gri", D314)), -1, 0)))=1, VERI_TABANI!E27*(1-0.928)*0.00206091519919798*VERI_TABANI!G27, 0)) + ((MIN(VERI_TABANI!D28, VERI_TABANI!D28*B314)*VERI_TABANI!$B$7 + MAX(0, VERI_TABANI!D28*B314-VERI_TABANI!D28)*VERI_TABANI!$B$8) + (MIN(MAX(0, VERI_TABANI!D28-VERI_TABANI!D28*B314), VERI_TABANI!D28*C314)*VERI_TABANI!$B$7 + MAX(0, VERI_TABANI!D28*C314-MAX(0, VERI_TABANI!D28-VERI_TABANI!D28*B314))*VERI_TABANI!$B$8) + IF(ABS(IF(ISNUMBER(SEARCH("Var", D314)), 1, IF(ISNUMBER(SEARCH("Gri", D314)), -1, 0)))=1, VERI_TABANI!E28*(1-0.928)*VERI_TABANI!$B$9, 0) + (VERI_TABANI!D28*B314*(VERI_TABANI!$B$13-VERI_TABANI!$B$14)*VERI_TABANI!G28) + (VERI_TABANI!D28*C314*(VERI_TABANI!$B$13-VERI_TABANI!$B$15)*VERI_TABANI!G28) + IF(ABS(IF(ISNUMBER(SEARCH("Var", D314)), 1, IF(ISNUMBER(SEARCH("Gri", D314)), -1, 0)))=1, VERI_TABANI!E28*(1-0.928)*0.00206091519919798*VERI_TABANI!G28, 0)))</f>
        <v/>
      </c>
      <c r="H314" s="169">
        <f>(((VERI_TABANI!D23*B314*(VERI_TABANI!$B$13-VERI_TABANI!$B$14)) + (VERI_TABANI!D23*C314*(VERI_TABANI!$B$13-VERI_TABANI!$B$15)) + IF(ISNUMBER(SEARCH("Var", D314)), VERI_TABANI!F23*(0.00202-VERI_TABANI!$B$16), IF(ISNUMBER(SEARCH("Gri", D314)), VERI_TABANI!F23*(0.00202-VERI_TABANI!$B$17), 0))) + ((VERI_TABANI!D24*B314*(VERI_TABANI!$B$13-VERI_TABANI!$B$14)) + (VERI_TABANI!D24*C314*(VERI_TABANI!$B$13-VERI_TABANI!$B$15)) + IF(ISNUMBER(SEARCH("Var", D314)), VERI_TABANI!F24*(0.00202-VERI_TABANI!$B$16), IF(ISNUMBER(SEARCH("Gri", D314)), VERI_TABANI!F24*(0.00202-VERI_TABANI!$B$17), 0))) + ((VERI_TABANI!D25*B314*(VERI_TABANI!$B$13-VERI_TABANI!$B$14)) + (VERI_TABANI!D25*C314*(VERI_TABANI!$B$13-VERI_TABANI!$B$15)) + IF(ISNUMBER(SEARCH("Var", D314)), VERI_TABANI!F25*(0.00202-VERI_TABANI!$B$16), IF(ISNUMBER(SEARCH("Gri", D314)), VERI_TABANI!F25*(0.00202-VERI_TABANI!$B$17), 0))) + ((VERI_TABANI!D26*B314*(VERI_TABANI!$B$13-VERI_TABANI!$B$14)) + (VERI_TABANI!D26*C314*(VERI_TABANI!$B$13-VERI_TABANI!$B$15)) + IF(ISNUMBER(SEARCH("Var", D314)), VERI_TABANI!F26*(0.00202-VERI_TABANI!$B$16), IF(ISNUMBER(SEARCH("Gri", D314)), VERI_TABANI!F26*(0.00202-VERI_TABANI!$B$17), 0))) + ((VERI_TABANI!D27*B314*(VERI_TABANI!$B$13-VERI_TABANI!$B$14)) + (VERI_TABANI!D27*C314*(VERI_TABANI!$B$13-VERI_TABANI!$B$15)) + IF(ISNUMBER(SEARCH("Var", D314)), VERI_TABANI!F27*(0.00202-VERI_TABANI!$B$16), IF(ISNUMBER(SEARCH("Gri", D314)), VERI_TABANI!F27*(0.00202-VERI_TABANI!$B$17), 0))) + ((VERI_TABANI!D28*B314*(VERI_TABANI!$B$13-VERI_TABANI!$B$14)) + (VERI_TABANI!D28*C314*(VERI_TABANI!$B$13-VERI_TABANI!$B$15)) + IF(ISNUMBER(SEARCH("Var", D314)), VERI_TABANI!F28*(0.00202-VERI_TABANI!$B$16), IF(ISNUMBER(SEARCH("Gri", D314)), VERI_TABANI!F28*(0.00202-VERI_TABANI!$B$17), 0))))</f>
        <v/>
      </c>
      <c r="I314" s="170">
        <f>IFERROR(((VERI_TABANI!$D$29*B314*VERI_TABANI!$B$14 + VERI_TABANI!$D$29*C314*VERI_TABANI!$B$15 + IF(ISNUMBER(SEARCH("Var", D314)), VERI_TABANI!$F$29*VERI_TABANI!$B$16, 0))) / (((VERI_TABANI!$D$29*B314 + VERI_TABANI!$D$29*C314)*VERI_TABANI!$B$13 + IF(ISNUMBER(SEARCH("Var", D314)), VERI_TABANI!$E$29*(1-0.928)*VERI_TABANI!$B$18, 0))), 0)</f>
        <v/>
      </c>
      <c r="J314" s="171">
        <f>IFERROR(F314/(G314/29), 0)</f>
        <v/>
      </c>
      <c r="K314" s="172">
        <f>IF(F314&gt;0, H314/F314, 0)</f>
        <v/>
      </c>
      <c r="L314" s="170">
        <f>IF(F314&gt;0, I314, 1000000000)</f>
        <v/>
      </c>
      <c r="M314" s="171">
        <f>ABS((B314+C314)-1)</f>
        <v/>
      </c>
      <c r="N314" s="170">
        <f>IF(F314&gt;0, (G314/29)/F314, 0)</f>
        <v/>
      </c>
      <c r="O314" s="168">
        <f>IF(AND((B314+C314)&gt;=1, ISNUMBER(SEARCH("Var", D314))), F314, 1000000000)</f>
        <v/>
      </c>
      <c r="P314" s="172">
        <f>IF(F314&gt;0, SQRT((F314/MAX(F$5:F$886))^2 + (1 - H314/MAX(H$5:H$886))^2 + (J314/MAX(J$5:J$886))^2), 1000000000)</f>
        <v/>
      </c>
      <c r="Q314" s="166">
        <f>IF(AND(ABS(B314-0.5)&lt;0.01, ABS(C314-0.5)&lt;0.01, ISNUMBER(SEARCH("Var", D314))), 1, 0)</f>
        <v/>
      </c>
      <c r="R314" s="171">
        <f>IF(F314&gt;0, J314, 1000000000)</f>
        <v/>
      </c>
      <c r="S314" s="101">
        <f>IF(AND(F314&lt;=DASHBOARD!$B$11, H314&gt;=DASHBOARD!$B$13), G314, -1000000000000)</f>
        <v/>
      </c>
      <c r="T314" s="101">
        <f>IF(AND(F314&lt;=DASHBOARD!$B$11, H314&gt;=DASHBOARD!$B$13), R314, 1000000000000)</f>
        <v/>
      </c>
      <c r="U314" s="101">
        <f>IF(AND(F314&lt;=DASHBOARD!$B$11, H314&gt;=DASHBOARD!$B$13), N314, -1000000000000)</f>
        <v/>
      </c>
      <c r="V314" s="101">
        <f>IF(AND(F314&lt;=DASHBOARD!$B$11, H314&gt;=DASHBOARD!$B$13), H314, -1000000000000)</f>
        <v/>
      </c>
      <c r="W314" s="101">
        <f>IF(AND(F314&lt;=DASHBOARD!$B$11, H314&gt;=DASHBOARD!$B$13), K314, -1000000000000)</f>
        <v/>
      </c>
      <c r="X314" s="101">
        <f>IF(AND(F314&lt;=DASHBOARD!$B$11, H314&gt;=DASHBOARD!$B$13), M314, 1000000000000)</f>
        <v/>
      </c>
      <c r="Y314" s="101">
        <f>IF(AND(F314&lt;=DASHBOARD!$B$10, H314&gt;=DASHBOARD!$B$11), L314, 1000000000000)</f>
        <v/>
      </c>
      <c r="Z314" s="101">
        <f>IF(AND(F314&lt;=DASHBOARD!$B$10, H314&gt;=DASHBOARD!$B$11), O314, 1000000000000)</f>
        <v/>
      </c>
      <c r="AA314" s="101">
        <f>IF(AND(F314&lt;=DASHBOARD!$B$10, H314&gt;=DASHBOARD!$B$11), P314, 1000000000000)</f>
        <v/>
      </c>
      <c r="AB314" s="101">
        <f>IF(AND(F314&lt;=DASHBOARD!$B$10, H314&gt;=DASHBOARD!$B$11), Q314, -1000000000000)</f>
        <v/>
      </c>
    </row>
    <row r="315" ht="15" customHeight="1" s="102">
      <c r="A315" s="166" t="n">
        <v>311</v>
      </c>
      <c r="B315" s="167" t="n">
        <v>0.7</v>
      </c>
      <c r="C315" s="167" t="n">
        <v>0.8</v>
      </c>
      <c r="D315" s="110" t="inlineStr">
        <is>
          <t>Yok (%0)</t>
        </is>
      </c>
      <c r="E315" s="110">
        <f>IF((B315+C315)&lt;=1, "Tam Mahsuplaşma (≤%100)", "Kısmi Satış (&gt;%100)")</f>
        <v/>
      </c>
      <c r="F315" s="168">
        <f>((VERI_TABANI!$D$29*B315/VERI_TABANI!$B$29)/VERI_TABANI!$B$3)*VERI_TABANI!$B$5 + ((VERI_TABANI!$D$29*C315/VERI_TABANI!$B$29)/VERI_TABANI!$B$4)*VERI_TABANI!$B$6 + IF(ISNUMBER(SEARCH("Var", D315)), (VERI_TABANI!$F$29/VERI_TABANI!$B$29)*(VERI_TABANI!$B$10+VERI_TABANI!$B$12), 0)</f>
        <v/>
      </c>
      <c r="G315" s="168">
        <f>(((MIN(VERI_TABANI!D23, VERI_TABANI!D23*B315)*VERI_TABANI!$B$7 + MAX(0, VERI_TABANI!D23*B315-VERI_TABANI!D23)*VERI_TABANI!$B$8) + (MIN(MAX(0, VERI_TABANI!D23-VERI_TABANI!D23*B315), VERI_TABANI!D23*C315)*VERI_TABANI!$B$7 + MAX(0, VERI_TABANI!D23*C315-MAX(0, VERI_TABANI!D23-VERI_TABANI!D23*B315))*VERI_TABANI!$B$8) + IF(ABS(IF(ISNUMBER(SEARCH("Var", D315)), 1, IF(ISNUMBER(SEARCH("Gri", D315)), -1, 0)))=1, VERI_TABANI!E23*(1-0.928)*VERI_TABANI!$B$9, 0) + (VERI_TABANI!D23*B315*(VERI_TABANI!$B$13-VERI_TABANI!$B$14)*VERI_TABANI!G23) + (VERI_TABANI!D23*C315*(VERI_TABANI!$B$13-VERI_TABANI!$B$15)*VERI_TABANI!G23) + IF(ABS(IF(ISNUMBER(SEARCH("Var", D315)), 1, IF(ISNUMBER(SEARCH("Gri", D315)), -1, 0)))=1, VERI_TABANI!E23*(1-0.928)*0.00206091519919798*VERI_TABANI!G23, 0)) + ((MIN(VERI_TABANI!D24, VERI_TABANI!D24*B315)*VERI_TABANI!$B$7 + MAX(0, VERI_TABANI!D24*B315-VERI_TABANI!D24)*VERI_TABANI!$B$8) + (MIN(MAX(0, VERI_TABANI!D24-VERI_TABANI!D24*B315), VERI_TABANI!D24*C315)*VERI_TABANI!$B$7 + MAX(0, VERI_TABANI!D24*C315-MAX(0, VERI_TABANI!D24-VERI_TABANI!D24*B315))*VERI_TABANI!$B$8) + IF(ABS(IF(ISNUMBER(SEARCH("Var", D315)), 1, IF(ISNUMBER(SEARCH("Gri", D315)), -1, 0)))=1, VERI_TABANI!E24*(1-0.928)*VERI_TABANI!$B$9, 0) + (VERI_TABANI!D24*B315*(VERI_TABANI!$B$13-VERI_TABANI!$B$14)*VERI_TABANI!G24) + (VERI_TABANI!D24*C315*(VERI_TABANI!$B$13-VERI_TABANI!$B$15)*VERI_TABANI!G24) + IF(ABS(IF(ISNUMBER(SEARCH("Var", D315)), 1, IF(ISNUMBER(SEARCH("Gri", D315)), -1, 0)))=1, VERI_TABANI!E24*(1-0.928)*0.00206091519919798*VERI_TABANI!G24, 0)) + ((MIN(VERI_TABANI!D25, VERI_TABANI!D25*B315)*VERI_TABANI!$B$7 + MAX(0, VERI_TABANI!D25*B315-VERI_TABANI!D25)*VERI_TABANI!$B$8) + (MIN(MAX(0, VERI_TABANI!D25-VERI_TABANI!D25*B315), VERI_TABANI!D25*C315)*VERI_TABANI!$B$7 + MAX(0, VERI_TABANI!D25*C315-MAX(0, VERI_TABANI!D25-VERI_TABANI!D25*B315))*VERI_TABANI!$B$8) + IF(ABS(IF(ISNUMBER(SEARCH("Var", D315)), 1, IF(ISNUMBER(SEARCH("Gri", D315)), -1, 0)))=1, VERI_TABANI!E25*(1-0.928)*VERI_TABANI!$B$9, 0) + (VERI_TABANI!D25*B315*(VERI_TABANI!$B$13-VERI_TABANI!$B$14)*VERI_TABANI!G25) + (VERI_TABANI!D25*C315*(VERI_TABANI!$B$13-VERI_TABANI!$B$15)*VERI_TABANI!G25) + IF(ABS(IF(ISNUMBER(SEARCH("Var", D315)), 1, IF(ISNUMBER(SEARCH("Gri", D315)), -1, 0)))=1, VERI_TABANI!E25*(1-0.928)*0.00206091519919798*VERI_TABANI!G25, 0)) + ((MIN(VERI_TABANI!D26, VERI_TABANI!D26*B315)*VERI_TABANI!$B$7 + MAX(0, VERI_TABANI!D26*B315-VERI_TABANI!D26)*VERI_TABANI!$B$8) + (MIN(MAX(0, VERI_TABANI!D26-VERI_TABANI!D26*B315), VERI_TABANI!D26*C315)*VERI_TABANI!$B$7 + MAX(0, VERI_TABANI!D26*C315-MAX(0, VERI_TABANI!D26-VERI_TABANI!D26*B315))*VERI_TABANI!$B$8) + IF(ABS(IF(ISNUMBER(SEARCH("Var", D315)), 1, IF(ISNUMBER(SEARCH("Gri", D315)), -1, 0)))=1, VERI_TABANI!E26*(1-0.928)*VERI_TABANI!$B$9, 0) + (VERI_TABANI!D26*B315*(VERI_TABANI!$B$13-VERI_TABANI!$B$14)*VERI_TABANI!G26) + (VERI_TABANI!D26*C315*(VERI_TABANI!$B$13-VERI_TABANI!$B$15)*VERI_TABANI!G26) + IF(ABS(IF(ISNUMBER(SEARCH("Var", D315)), 1, IF(ISNUMBER(SEARCH("Gri", D315)), -1, 0)))=1, VERI_TABANI!E26*(1-0.928)*0.00206091519919798*VERI_TABANI!G26, 0)) + ((MIN(VERI_TABANI!D27, VERI_TABANI!D27*B315)*VERI_TABANI!$B$7 + MAX(0, VERI_TABANI!D27*B315-VERI_TABANI!D27)*VERI_TABANI!$B$8) + (MIN(MAX(0, VERI_TABANI!D27-VERI_TABANI!D27*B315), VERI_TABANI!D27*C315)*VERI_TABANI!$B$7 + MAX(0, VERI_TABANI!D27*C315-MAX(0, VERI_TABANI!D27-VERI_TABANI!D27*B315))*VERI_TABANI!$B$8) + IF(ABS(IF(ISNUMBER(SEARCH("Var", D315)), 1, IF(ISNUMBER(SEARCH("Gri", D315)), -1, 0)))=1, VERI_TABANI!E27*(1-0.928)*VERI_TABANI!$B$9, 0) + (VERI_TABANI!D27*B315*(VERI_TABANI!$B$13-VERI_TABANI!$B$14)*VERI_TABANI!G27) + (VERI_TABANI!D27*C315*(VERI_TABANI!$B$13-VERI_TABANI!$B$15)*VERI_TABANI!G27) + IF(ABS(IF(ISNUMBER(SEARCH("Var", D315)), 1, IF(ISNUMBER(SEARCH("Gri", D315)), -1, 0)))=1, VERI_TABANI!E27*(1-0.928)*0.00206091519919798*VERI_TABANI!G27, 0)) + ((MIN(VERI_TABANI!D28, VERI_TABANI!D28*B315)*VERI_TABANI!$B$7 + MAX(0, VERI_TABANI!D28*B315-VERI_TABANI!D28)*VERI_TABANI!$B$8) + (MIN(MAX(0, VERI_TABANI!D28-VERI_TABANI!D28*B315), VERI_TABANI!D28*C315)*VERI_TABANI!$B$7 + MAX(0, VERI_TABANI!D28*C315-MAX(0, VERI_TABANI!D28-VERI_TABANI!D28*B315))*VERI_TABANI!$B$8) + IF(ABS(IF(ISNUMBER(SEARCH("Var", D315)), 1, IF(ISNUMBER(SEARCH("Gri", D315)), -1, 0)))=1, VERI_TABANI!E28*(1-0.928)*VERI_TABANI!$B$9, 0) + (VERI_TABANI!D28*B315*(VERI_TABANI!$B$13-VERI_TABANI!$B$14)*VERI_TABANI!G28) + (VERI_TABANI!D28*C315*(VERI_TABANI!$B$13-VERI_TABANI!$B$15)*VERI_TABANI!G28) + IF(ABS(IF(ISNUMBER(SEARCH("Var", D315)), 1, IF(ISNUMBER(SEARCH("Gri", D315)), -1, 0)))=1, VERI_TABANI!E28*(1-0.928)*0.00206091519919798*VERI_TABANI!G28, 0)))</f>
        <v/>
      </c>
      <c r="H315" s="169">
        <f>(((VERI_TABANI!D23*B315*(VERI_TABANI!$B$13-VERI_TABANI!$B$14)) + (VERI_TABANI!D23*C315*(VERI_TABANI!$B$13-VERI_TABANI!$B$15)) + IF(ISNUMBER(SEARCH("Var", D315)), VERI_TABANI!F23*(0.00202-VERI_TABANI!$B$16), IF(ISNUMBER(SEARCH("Gri", D315)), VERI_TABANI!F23*(0.00202-VERI_TABANI!$B$17), 0))) + ((VERI_TABANI!D24*B315*(VERI_TABANI!$B$13-VERI_TABANI!$B$14)) + (VERI_TABANI!D24*C315*(VERI_TABANI!$B$13-VERI_TABANI!$B$15)) + IF(ISNUMBER(SEARCH("Var", D315)), VERI_TABANI!F24*(0.00202-VERI_TABANI!$B$16), IF(ISNUMBER(SEARCH("Gri", D315)), VERI_TABANI!F24*(0.00202-VERI_TABANI!$B$17), 0))) + ((VERI_TABANI!D25*B315*(VERI_TABANI!$B$13-VERI_TABANI!$B$14)) + (VERI_TABANI!D25*C315*(VERI_TABANI!$B$13-VERI_TABANI!$B$15)) + IF(ISNUMBER(SEARCH("Var", D315)), VERI_TABANI!F25*(0.00202-VERI_TABANI!$B$16), IF(ISNUMBER(SEARCH("Gri", D315)), VERI_TABANI!F25*(0.00202-VERI_TABANI!$B$17), 0))) + ((VERI_TABANI!D26*B315*(VERI_TABANI!$B$13-VERI_TABANI!$B$14)) + (VERI_TABANI!D26*C315*(VERI_TABANI!$B$13-VERI_TABANI!$B$15)) + IF(ISNUMBER(SEARCH("Var", D315)), VERI_TABANI!F26*(0.00202-VERI_TABANI!$B$16), IF(ISNUMBER(SEARCH("Gri", D315)), VERI_TABANI!F26*(0.00202-VERI_TABANI!$B$17), 0))) + ((VERI_TABANI!D27*B315*(VERI_TABANI!$B$13-VERI_TABANI!$B$14)) + (VERI_TABANI!D27*C315*(VERI_TABANI!$B$13-VERI_TABANI!$B$15)) + IF(ISNUMBER(SEARCH("Var", D315)), VERI_TABANI!F27*(0.00202-VERI_TABANI!$B$16), IF(ISNUMBER(SEARCH("Gri", D315)), VERI_TABANI!F27*(0.00202-VERI_TABANI!$B$17), 0))) + ((VERI_TABANI!D28*B315*(VERI_TABANI!$B$13-VERI_TABANI!$B$14)) + (VERI_TABANI!D28*C315*(VERI_TABANI!$B$13-VERI_TABANI!$B$15)) + IF(ISNUMBER(SEARCH("Var", D315)), VERI_TABANI!F28*(0.00202-VERI_TABANI!$B$16), IF(ISNUMBER(SEARCH("Gri", D315)), VERI_TABANI!F28*(0.00202-VERI_TABANI!$B$17), 0))))</f>
        <v/>
      </c>
      <c r="I315" s="170">
        <f>IFERROR(((VERI_TABANI!$D$29*B315*VERI_TABANI!$B$14 + VERI_TABANI!$D$29*C315*VERI_TABANI!$B$15 + IF(ISNUMBER(SEARCH("Var", D315)), VERI_TABANI!$F$29*VERI_TABANI!$B$16, 0))) / (((VERI_TABANI!$D$29*B315 + VERI_TABANI!$D$29*C315)*VERI_TABANI!$B$13 + IF(ISNUMBER(SEARCH("Var", D315)), VERI_TABANI!$E$29*(1-0.928)*VERI_TABANI!$B$18, 0))), 0)</f>
        <v/>
      </c>
      <c r="J315" s="171">
        <f>IFERROR(F315/(G315/29), 0)</f>
        <v/>
      </c>
      <c r="K315" s="172">
        <f>IF(F315&gt;0, H315/F315, 0)</f>
        <v/>
      </c>
      <c r="L315" s="170">
        <f>IF(F315&gt;0, I315, 1000000000)</f>
        <v/>
      </c>
      <c r="M315" s="171">
        <f>ABS((B315+C315)-1)</f>
        <v/>
      </c>
      <c r="N315" s="170">
        <f>IF(F315&gt;0, (G315/29)/F315, 0)</f>
        <v/>
      </c>
      <c r="O315" s="168">
        <f>IF(AND((B315+C315)&gt;=1, ISNUMBER(SEARCH("Var", D315))), F315, 1000000000)</f>
        <v/>
      </c>
      <c r="P315" s="172">
        <f>IF(F315&gt;0, SQRT((F315/MAX(F$5:F$886))^2 + (1 - H315/MAX(H$5:H$886))^2 + (J315/MAX(J$5:J$886))^2), 1000000000)</f>
        <v/>
      </c>
      <c r="Q315" s="166">
        <f>IF(AND(ABS(B315-0.5)&lt;0.01, ABS(C315-0.5)&lt;0.01, ISNUMBER(SEARCH("Var", D315))), 1, 0)</f>
        <v/>
      </c>
      <c r="R315" s="171">
        <f>IF(F315&gt;0, J315, 1000000000)</f>
        <v/>
      </c>
      <c r="S315" s="101">
        <f>IF(AND(F315&lt;=DASHBOARD!$B$11, H315&gt;=DASHBOARD!$B$13), G315, -1000000000000)</f>
        <v/>
      </c>
      <c r="T315" s="101">
        <f>IF(AND(F315&lt;=DASHBOARD!$B$11, H315&gt;=DASHBOARD!$B$13), R315, 1000000000000)</f>
        <v/>
      </c>
      <c r="U315" s="101">
        <f>IF(AND(F315&lt;=DASHBOARD!$B$11, H315&gt;=DASHBOARD!$B$13), N315, -1000000000000)</f>
        <v/>
      </c>
      <c r="V315" s="101">
        <f>IF(AND(F315&lt;=DASHBOARD!$B$11, H315&gt;=DASHBOARD!$B$13), H315, -1000000000000)</f>
        <v/>
      </c>
      <c r="W315" s="101">
        <f>IF(AND(F315&lt;=DASHBOARD!$B$11, H315&gt;=DASHBOARD!$B$13), K315, -1000000000000)</f>
        <v/>
      </c>
      <c r="X315" s="101">
        <f>IF(AND(F315&lt;=DASHBOARD!$B$11, H315&gt;=DASHBOARD!$B$13), M315, 1000000000000)</f>
        <v/>
      </c>
      <c r="Y315" s="101">
        <f>IF(AND(F315&lt;=DASHBOARD!$B$10, H315&gt;=DASHBOARD!$B$11), L315, 1000000000000)</f>
        <v/>
      </c>
      <c r="Z315" s="101">
        <f>IF(AND(F315&lt;=DASHBOARD!$B$10, H315&gt;=DASHBOARD!$B$11), O315, 1000000000000)</f>
        <v/>
      </c>
      <c r="AA315" s="101">
        <f>IF(AND(F315&lt;=DASHBOARD!$B$10, H315&gt;=DASHBOARD!$B$11), P315, 1000000000000)</f>
        <v/>
      </c>
      <c r="AB315" s="101">
        <f>IF(AND(F315&lt;=DASHBOARD!$B$10, H315&gt;=DASHBOARD!$B$11), Q315, -1000000000000)</f>
        <v/>
      </c>
    </row>
    <row r="316" ht="15" customHeight="1" s="102">
      <c r="A316" s="166" t="n">
        <v>312</v>
      </c>
      <c r="B316" s="167" t="n">
        <v>0.7</v>
      </c>
      <c r="C316" s="167" t="n">
        <v>0.8</v>
      </c>
      <c r="D316" s="110" t="inlineStr">
        <is>
          <t>Var (%20)</t>
        </is>
      </c>
      <c r="E316" s="110">
        <f>IF((B316+C316)&lt;=1, "Tam Mahsuplaşma (≤%100)", "Kısmi Satış (&gt;%100)")</f>
        <v/>
      </c>
      <c r="F316" s="168">
        <f>((VERI_TABANI!$D$29*B316/VERI_TABANI!$B$29)/VERI_TABANI!$B$3)*VERI_TABANI!$B$5 + ((VERI_TABANI!$D$29*C316/VERI_TABANI!$B$29)/VERI_TABANI!$B$4)*VERI_TABANI!$B$6 + IF(ISNUMBER(SEARCH("Var", D316)), (VERI_TABANI!$F$29/VERI_TABANI!$B$29)*(VERI_TABANI!$B$10+VERI_TABANI!$B$12), 0)</f>
        <v/>
      </c>
      <c r="G316" s="168">
        <f>(((MIN(VERI_TABANI!D23, VERI_TABANI!D23*B316)*VERI_TABANI!$B$7 + MAX(0, VERI_TABANI!D23*B316-VERI_TABANI!D23)*VERI_TABANI!$B$8) + (MIN(MAX(0, VERI_TABANI!D23-VERI_TABANI!D23*B316), VERI_TABANI!D23*C316)*VERI_TABANI!$B$7 + MAX(0, VERI_TABANI!D23*C316-MAX(0, VERI_TABANI!D23-VERI_TABANI!D23*B316))*VERI_TABANI!$B$8) + IF(ABS(IF(ISNUMBER(SEARCH("Var", D316)), 1, IF(ISNUMBER(SEARCH("Gri", D316)), -1, 0)))=1, VERI_TABANI!E23*(1-0.928)*VERI_TABANI!$B$9, 0) + (VERI_TABANI!D23*B316*(VERI_TABANI!$B$13-VERI_TABANI!$B$14)*VERI_TABANI!G23) + (VERI_TABANI!D23*C316*(VERI_TABANI!$B$13-VERI_TABANI!$B$15)*VERI_TABANI!G23) + IF(ABS(IF(ISNUMBER(SEARCH("Var", D316)), 1, IF(ISNUMBER(SEARCH("Gri", D316)), -1, 0)))=1, VERI_TABANI!E23*(1-0.928)*0.00206091519919798*VERI_TABANI!G23, 0)) + ((MIN(VERI_TABANI!D24, VERI_TABANI!D24*B316)*VERI_TABANI!$B$7 + MAX(0, VERI_TABANI!D24*B316-VERI_TABANI!D24)*VERI_TABANI!$B$8) + (MIN(MAX(0, VERI_TABANI!D24-VERI_TABANI!D24*B316), VERI_TABANI!D24*C316)*VERI_TABANI!$B$7 + MAX(0, VERI_TABANI!D24*C316-MAX(0, VERI_TABANI!D24-VERI_TABANI!D24*B316))*VERI_TABANI!$B$8) + IF(ABS(IF(ISNUMBER(SEARCH("Var", D316)), 1, IF(ISNUMBER(SEARCH("Gri", D316)), -1, 0)))=1, VERI_TABANI!E24*(1-0.928)*VERI_TABANI!$B$9, 0) + (VERI_TABANI!D24*B316*(VERI_TABANI!$B$13-VERI_TABANI!$B$14)*VERI_TABANI!G24) + (VERI_TABANI!D24*C316*(VERI_TABANI!$B$13-VERI_TABANI!$B$15)*VERI_TABANI!G24) + IF(ABS(IF(ISNUMBER(SEARCH("Var", D316)), 1, IF(ISNUMBER(SEARCH("Gri", D316)), -1, 0)))=1, VERI_TABANI!E24*(1-0.928)*0.00206091519919798*VERI_TABANI!G24, 0)) + ((MIN(VERI_TABANI!D25, VERI_TABANI!D25*B316)*VERI_TABANI!$B$7 + MAX(0, VERI_TABANI!D25*B316-VERI_TABANI!D25)*VERI_TABANI!$B$8) + (MIN(MAX(0, VERI_TABANI!D25-VERI_TABANI!D25*B316), VERI_TABANI!D25*C316)*VERI_TABANI!$B$7 + MAX(0, VERI_TABANI!D25*C316-MAX(0, VERI_TABANI!D25-VERI_TABANI!D25*B316))*VERI_TABANI!$B$8) + IF(ABS(IF(ISNUMBER(SEARCH("Var", D316)), 1, IF(ISNUMBER(SEARCH("Gri", D316)), -1, 0)))=1, VERI_TABANI!E25*(1-0.928)*VERI_TABANI!$B$9, 0) + (VERI_TABANI!D25*B316*(VERI_TABANI!$B$13-VERI_TABANI!$B$14)*VERI_TABANI!G25) + (VERI_TABANI!D25*C316*(VERI_TABANI!$B$13-VERI_TABANI!$B$15)*VERI_TABANI!G25) + IF(ABS(IF(ISNUMBER(SEARCH("Var", D316)), 1, IF(ISNUMBER(SEARCH("Gri", D316)), -1, 0)))=1, VERI_TABANI!E25*(1-0.928)*0.00206091519919798*VERI_TABANI!G25, 0)) + ((MIN(VERI_TABANI!D26, VERI_TABANI!D26*B316)*VERI_TABANI!$B$7 + MAX(0, VERI_TABANI!D26*B316-VERI_TABANI!D26)*VERI_TABANI!$B$8) + (MIN(MAX(0, VERI_TABANI!D26-VERI_TABANI!D26*B316), VERI_TABANI!D26*C316)*VERI_TABANI!$B$7 + MAX(0, VERI_TABANI!D26*C316-MAX(0, VERI_TABANI!D26-VERI_TABANI!D26*B316))*VERI_TABANI!$B$8) + IF(ABS(IF(ISNUMBER(SEARCH("Var", D316)), 1, IF(ISNUMBER(SEARCH("Gri", D316)), -1, 0)))=1, VERI_TABANI!E26*(1-0.928)*VERI_TABANI!$B$9, 0) + (VERI_TABANI!D26*B316*(VERI_TABANI!$B$13-VERI_TABANI!$B$14)*VERI_TABANI!G26) + (VERI_TABANI!D26*C316*(VERI_TABANI!$B$13-VERI_TABANI!$B$15)*VERI_TABANI!G26) + IF(ABS(IF(ISNUMBER(SEARCH("Var", D316)), 1, IF(ISNUMBER(SEARCH("Gri", D316)), -1, 0)))=1, VERI_TABANI!E26*(1-0.928)*0.00206091519919798*VERI_TABANI!G26, 0)) + ((MIN(VERI_TABANI!D27, VERI_TABANI!D27*B316)*VERI_TABANI!$B$7 + MAX(0, VERI_TABANI!D27*B316-VERI_TABANI!D27)*VERI_TABANI!$B$8) + (MIN(MAX(0, VERI_TABANI!D27-VERI_TABANI!D27*B316), VERI_TABANI!D27*C316)*VERI_TABANI!$B$7 + MAX(0, VERI_TABANI!D27*C316-MAX(0, VERI_TABANI!D27-VERI_TABANI!D27*B316))*VERI_TABANI!$B$8) + IF(ABS(IF(ISNUMBER(SEARCH("Var", D316)), 1, IF(ISNUMBER(SEARCH("Gri", D316)), -1, 0)))=1, VERI_TABANI!E27*(1-0.928)*VERI_TABANI!$B$9, 0) + (VERI_TABANI!D27*B316*(VERI_TABANI!$B$13-VERI_TABANI!$B$14)*VERI_TABANI!G27) + (VERI_TABANI!D27*C316*(VERI_TABANI!$B$13-VERI_TABANI!$B$15)*VERI_TABANI!G27) + IF(ABS(IF(ISNUMBER(SEARCH("Var", D316)), 1, IF(ISNUMBER(SEARCH("Gri", D316)), -1, 0)))=1, VERI_TABANI!E27*(1-0.928)*0.00206091519919798*VERI_TABANI!G27, 0)) + ((MIN(VERI_TABANI!D28, VERI_TABANI!D28*B316)*VERI_TABANI!$B$7 + MAX(0, VERI_TABANI!D28*B316-VERI_TABANI!D28)*VERI_TABANI!$B$8) + (MIN(MAX(0, VERI_TABANI!D28-VERI_TABANI!D28*B316), VERI_TABANI!D28*C316)*VERI_TABANI!$B$7 + MAX(0, VERI_TABANI!D28*C316-MAX(0, VERI_TABANI!D28-VERI_TABANI!D28*B316))*VERI_TABANI!$B$8) + IF(ABS(IF(ISNUMBER(SEARCH("Var", D316)), 1, IF(ISNUMBER(SEARCH("Gri", D316)), -1, 0)))=1, VERI_TABANI!E28*(1-0.928)*VERI_TABANI!$B$9, 0) + (VERI_TABANI!D28*B316*(VERI_TABANI!$B$13-VERI_TABANI!$B$14)*VERI_TABANI!G28) + (VERI_TABANI!D28*C316*(VERI_TABANI!$B$13-VERI_TABANI!$B$15)*VERI_TABANI!G28) + IF(ABS(IF(ISNUMBER(SEARCH("Var", D316)), 1, IF(ISNUMBER(SEARCH("Gri", D316)), -1, 0)))=1, VERI_TABANI!E28*(1-0.928)*0.00206091519919798*VERI_TABANI!G28, 0)))</f>
        <v/>
      </c>
      <c r="H316" s="169">
        <f>(((VERI_TABANI!D23*B316*(VERI_TABANI!$B$13-VERI_TABANI!$B$14)) + (VERI_TABANI!D23*C316*(VERI_TABANI!$B$13-VERI_TABANI!$B$15)) + IF(ISNUMBER(SEARCH("Var", D316)), VERI_TABANI!F23*(0.00202-VERI_TABANI!$B$16), IF(ISNUMBER(SEARCH("Gri", D316)), VERI_TABANI!F23*(0.00202-VERI_TABANI!$B$17), 0))) + ((VERI_TABANI!D24*B316*(VERI_TABANI!$B$13-VERI_TABANI!$B$14)) + (VERI_TABANI!D24*C316*(VERI_TABANI!$B$13-VERI_TABANI!$B$15)) + IF(ISNUMBER(SEARCH("Var", D316)), VERI_TABANI!F24*(0.00202-VERI_TABANI!$B$16), IF(ISNUMBER(SEARCH("Gri", D316)), VERI_TABANI!F24*(0.00202-VERI_TABANI!$B$17), 0))) + ((VERI_TABANI!D25*B316*(VERI_TABANI!$B$13-VERI_TABANI!$B$14)) + (VERI_TABANI!D25*C316*(VERI_TABANI!$B$13-VERI_TABANI!$B$15)) + IF(ISNUMBER(SEARCH("Var", D316)), VERI_TABANI!F25*(0.00202-VERI_TABANI!$B$16), IF(ISNUMBER(SEARCH("Gri", D316)), VERI_TABANI!F25*(0.00202-VERI_TABANI!$B$17), 0))) + ((VERI_TABANI!D26*B316*(VERI_TABANI!$B$13-VERI_TABANI!$B$14)) + (VERI_TABANI!D26*C316*(VERI_TABANI!$B$13-VERI_TABANI!$B$15)) + IF(ISNUMBER(SEARCH("Var", D316)), VERI_TABANI!F26*(0.00202-VERI_TABANI!$B$16), IF(ISNUMBER(SEARCH("Gri", D316)), VERI_TABANI!F26*(0.00202-VERI_TABANI!$B$17), 0))) + ((VERI_TABANI!D27*B316*(VERI_TABANI!$B$13-VERI_TABANI!$B$14)) + (VERI_TABANI!D27*C316*(VERI_TABANI!$B$13-VERI_TABANI!$B$15)) + IF(ISNUMBER(SEARCH("Var", D316)), VERI_TABANI!F27*(0.00202-VERI_TABANI!$B$16), IF(ISNUMBER(SEARCH("Gri", D316)), VERI_TABANI!F27*(0.00202-VERI_TABANI!$B$17), 0))) + ((VERI_TABANI!D28*B316*(VERI_TABANI!$B$13-VERI_TABANI!$B$14)) + (VERI_TABANI!D28*C316*(VERI_TABANI!$B$13-VERI_TABANI!$B$15)) + IF(ISNUMBER(SEARCH("Var", D316)), VERI_TABANI!F28*(0.00202-VERI_TABANI!$B$16), IF(ISNUMBER(SEARCH("Gri", D316)), VERI_TABANI!F28*(0.00202-VERI_TABANI!$B$17), 0))))</f>
        <v/>
      </c>
      <c r="I316" s="170">
        <f>IFERROR(((VERI_TABANI!$D$29*B316*VERI_TABANI!$B$14 + VERI_TABANI!$D$29*C316*VERI_TABANI!$B$15 + IF(ISNUMBER(SEARCH("Var", D316)), VERI_TABANI!$F$29*VERI_TABANI!$B$16, 0))) / (((VERI_TABANI!$D$29*B316 + VERI_TABANI!$D$29*C316)*VERI_TABANI!$B$13 + IF(ISNUMBER(SEARCH("Var", D316)), VERI_TABANI!$E$29*(1-0.928)*VERI_TABANI!$B$18, 0))), 0)</f>
        <v/>
      </c>
      <c r="J316" s="171">
        <f>IFERROR(F316/(G316/29), 0)</f>
        <v/>
      </c>
      <c r="K316" s="172">
        <f>IF(F316&gt;0, H316/F316, 0)</f>
        <v/>
      </c>
      <c r="L316" s="170">
        <f>IF(F316&gt;0, I316, 1000000000)</f>
        <v/>
      </c>
      <c r="M316" s="171">
        <f>ABS((B316+C316)-1)</f>
        <v/>
      </c>
      <c r="N316" s="170">
        <f>IF(F316&gt;0, (G316/29)/F316, 0)</f>
        <v/>
      </c>
      <c r="O316" s="168">
        <f>IF(AND((B316+C316)&gt;=1, ISNUMBER(SEARCH("Var", D316))), F316, 1000000000)</f>
        <v/>
      </c>
      <c r="P316" s="172">
        <f>IF(F316&gt;0, SQRT((F316/MAX(F$5:F$886))^2 + (1 - H316/MAX(H$5:H$886))^2 + (J316/MAX(J$5:J$886))^2), 1000000000)</f>
        <v/>
      </c>
      <c r="Q316" s="166">
        <f>IF(AND(ABS(B316-0.5)&lt;0.01, ABS(C316-0.5)&lt;0.01, ISNUMBER(SEARCH("Var", D316))), 1, 0)</f>
        <v/>
      </c>
      <c r="R316" s="171">
        <f>IF(F316&gt;0, J316, 1000000000)</f>
        <v/>
      </c>
      <c r="S316" s="101">
        <f>IF(AND(F316&lt;=DASHBOARD!$B$11, H316&gt;=DASHBOARD!$B$13), G316, -1000000000000)</f>
        <v/>
      </c>
      <c r="T316" s="101">
        <f>IF(AND(F316&lt;=DASHBOARD!$B$11, H316&gt;=DASHBOARD!$B$13), R316, 1000000000000)</f>
        <v/>
      </c>
      <c r="U316" s="101">
        <f>IF(AND(F316&lt;=DASHBOARD!$B$11, H316&gt;=DASHBOARD!$B$13), N316, -1000000000000)</f>
        <v/>
      </c>
      <c r="V316" s="101">
        <f>IF(AND(F316&lt;=DASHBOARD!$B$11, H316&gt;=DASHBOARD!$B$13), H316, -1000000000000)</f>
        <v/>
      </c>
      <c r="W316" s="101">
        <f>IF(AND(F316&lt;=DASHBOARD!$B$11, H316&gt;=DASHBOARD!$B$13), K316, -1000000000000)</f>
        <v/>
      </c>
      <c r="X316" s="101">
        <f>IF(AND(F316&lt;=DASHBOARD!$B$11, H316&gt;=DASHBOARD!$B$13), M316, 1000000000000)</f>
        <v/>
      </c>
      <c r="Y316" s="101">
        <f>IF(AND(F316&lt;=DASHBOARD!$B$10, H316&gt;=DASHBOARD!$B$11), L316, 1000000000000)</f>
        <v/>
      </c>
      <c r="Z316" s="101">
        <f>IF(AND(F316&lt;=DASHBOARD!$B$10, H316&gt;=DASHBOARD!$B$11), O316, 1000000000000)</f>
        <v/>
      </c>
      <c r="AA316" s="101">
        <f>IF(AND(F316&lt;=DASHBOARD!$B$10, H316&gt;=DASHBOARD!$B$11), P316, 1000000000000)</f>
        <v/>
      </c>
      <c r="AB316" s="101">
        <f>IF(AND(F316&lt;=DASHBOARD!$B$10, H316&gt;=DASHBOARD!$B$11), Q316, -1000000000000)</f>
        <v/>
      </c>
    </row>
    <row r="317" ht="15" customHeight="1" s="102">
      <c r="A317" s="166" t="n">
        <v>313</v>
      </c>
      <c r="B317" s="167" t="n">
        <v>0.7</v>
      </c>
      <c r="C317" s="167" t="n">
        <v>0.9</v>
      </c>
      <c r="D317" s="110" t="inlineStr">
        <is>
          <t>Yok (%0)</t>
        </is>
      </c>
      <c r="E317" s="110">
        <f>IF((B317+C317)&lt;=1, "Tam Mahsuplaşma (≤%100)", "Kısmi Satış (&gt;%100)")</f>
        <v/>
      </c>
      <c r="F317" s="168">
        <f>((VERI_TABANI!$D$29*B317/VERI_TABANI!$B$29)/VERI_TABANI!$B$3)*VERI_TABANI!$B$5 + ((VERI_TABANI!$D$29*C317/VERI_TABANI!$B$29)/VERI_TABANI!$B$4)*VERI_TABANI!$B$6 + IF(ISNUMBER(SEARCH("Var", D317)), (VERI_TABANI!$F$29/VERI_TABANI!$B$29)*(VERI_TABANI!$B$10+VERI_TABANI!$B$12), 0)</f>
        <v/>
      </c>
      <c r="G317" s="168">
        <f>(((MIN(VERI_TABANI!D23, VERI_TABANI!D23*B317)*VERI_TABANI!$B$7 + MAX(0, VERI_TABANI!D23*B317-VERI_TABANI!D23)*VERI_TABANI!$B$8) + (MIN(MAX(0, VERI_TABANI!D23-VERI_TABANI!D23*B317), VERI_TABANI!D23*C317)*VERI_TABANI!$B$7 + MAX(0, VERI_TABANI!D23*C317-MAX(0, VERI_TABANI!D23-VERI_TABANI!D23*B317))*VERI_TABANI!$B$8) + IF(ABS(IF(ISNUMBER(SEARCH("Var", D317)), 1, IF(ISNUMBER(SEARCH("Gri", D317)), -1, 0)))=1, VERI_TABANI!E23*(1-0.928)*VERI_TABANI!$B$9, 0) + (VERI_TABANI!D23*B317*(VERI_TABANI!$B$13-VERI_TABANI!$B$14)*VERI_TABANI!G23) + (VERI_TABANI!D23*C317*(VERI_TABANI!$B$13-VERI_TABANI!$B$15)*VERI_TABANI!G23) + IF(ABS(IF(ISNUMBER(SEARCH("Var", D317)), 1, IF(ISNUMBER(SEARCH("Gri", D317)), -1, 0)))=1, VERI_TABANI!E23*(1-0.928)*0.00206091519919798*VERI_TABANI!G23, 0)) + ((MIN(VERI_TABANI!D24, VERI_TABANI!D24*B317)*VERI_TABANI!$B$7 + MAX(0, VERI_TABANI!D24*B317-VERI_TABANI!D24)*VERI_TABANI!$B$8) + (MIN(MAX(0, VERI_TABANI!D24-VERI_TABANI!D24*B317), VERI_TABANI!D24*C317)*VERI_TABANI!$B$7 + MAX(0, VERI_TABANI!D24*C317-MAX(0, VERI_TABANI!D24-VERI_TABANI!D24*B317))*VERI_TABANI!$B$8) + IF(ABS(IF(ISNUMBER(SEARCH("Var", D317)), 1, IF(ISNUMBER(SEARCH("Gri", D317)), -1, 0)))=1, VERI_TABANI!E24*(1-0.928)*VERI_TABANI!$B$9, 0) + (VERI_TABANI!D24*B317*(VERI_TABANI!$B$13-VERI_TABANI!$B$14)*VERI_TABANI!G24) + (VERI_TABANI!D24*C317*(VERI_TABANI!$B$13-VERI_TABANI!$B$15)*VERI_TABANI!G24) + IF(ABS(IF(ISNUMBER(SEARCH("Var", D317)), 1, IF(ISNUMBER(SEARCH("Gri", D317)), -1, 0)))=1, VERI_TABANI!E24*(1-0.928)*0.00206091519919798*VERI_TABANI!G24, 0)) + ((MIN(VERI_TABANI!D25, VERI_TABANI!D25*B317)*VERI_TABANI!$B$7 + MAX(0, VERI_TABANI!D25*B317-VERI_TABANI!D25)*VERI_TABANI!$B$8) + (MIN(MAX(0, VERI_TABANI!D25-VERI_TABANI!D25*B317), VERI_TABANI!D25*C317)*VERI_TABANI!$B$7 + MAX(0, VERI_TABANI!D25*C317-MAX(0, VERI_TABANI!D25-VERI_TABANI!D25*B317))*VERI_TABANI!$B$8) + IF(ABS(IF(ISNUMBER(SEARCH("Var", D317)), 1, IF(ISNUMBER(SEARCH("Gri", D317)), -1, 0)))=1, VERI_TABANI!E25*(1-0.928)*VERI_TABANI!$B$9, 0) + (VERI_TABANI!D25*B317*(VERI_TABANI!$B$13-VERI_TABANI!$B$14)*VERI_TABANI!G25) + (VERI_TABANI!D25*C317*(VERI_TABANI!$B$13-VERI_TABANI!$B$15)*VERI_TABANI!G25) + IF(ABS(IF(ISNUMBER(SEARCH("Var", D317)), 1, IF(ISNUMBER(SEARCH("Gri", D317)), -1, 0)))=1, VERI_TABANI!E25*(1-0.928)*0.00206091519919798*VERI_TABANI!G25, 0)) + ((MIN(VERI_TABANI!D26, VERI_TABANI!D26*B317)*VERI_TABANI!$B$7 + MAX(0, VERI_TABANI!D26*B317-VERI_TABANI!D26)*VERI_TABANI!$B$8) + (MIN(MAX(0, VERI_TABANI!D26-VERI_TABANI!D26*B317), VERI_TABANI!D26*C317)*VERI_TABANI!$B$7 + MAX(0, VERI_TABANI!D26*C317-MAX(0, VERI_TABANI!D26-VERI_TABANI!D26*B317))*VERI_TABANI!$B$8) + IF(ABS(IF(ISNUMBER(SEARCH("Var", D317)), 1, IF(ISNUMBER(SEARCH("Gri", D317)), -1, 0)))=1, VERI_TABANI!E26*(1-0.928)*VERI_TABANI!$B$9, 0) + (VERI_TABANI!D26*B317*(VERI_TABANI!$B$13-VERI_TABANI!$B$14)*VERI_TABANI!G26) + (VERI_TABANI!D26*C317*(VERI_TABANI!$B$13-VERI_TABANI!$B$15)*VERI_TABANI!G26) + IF(ABS(IF(ISNUMBER(SEARCH("Var", D317)), 1, IF(ISNUMBER(SEARCH("Gri", D317)), -1, 0)))=1, VERI_TABANI!E26*(1-0.928)*0.00206091519919798*VERI_TABANI!G26, 0)) + ((MIN(VERI_TABANI!D27, VERI_TABANI!D27*B317)*VERI_TABANI!$B$7 + MAX(0, VERI_TABANI!D27*B317-VERI_TABANI!D27)*VERI_TABANI!$B$8) + (MIN(MAX(0, VERI_TABANI!D27-VERI_TABANI!D27*B317), VERI_TABANI!D27*C317)*VERI_TABANI!$B$7 + MAX(0, VERI_TABANI!D27*C317-MAX(0, VERI_TABANI!D27-VERI_TABANI!D27*B317))*VERI_TABANI!$B$8) + IF(ABS(IF(ISNUMBER(SEARCH("Var", D317)), 1, IF(ISNUMBER(SEARCH("Gri", D317)), -1, 0)))=1, VERI_TABANI!E27*(1-0.928)*VERI_TABANI!$B$9, 0) + (VERI_TABANI!D27*B317*(VERI_TABANI!$B$13-VERI_TABANI!$B$14)*VERI_TABANI!G27) + (VERI_TABANI!D27*C317*(VERI_TABANI!$B$13-VERI_TABANI!$B$15)*VERI_TABANI!G27) + IF(ABS(IF(ISNUMBER(SEARCH("Var", D317)), 1, IF(ISNUMBER(SEARCH("Gri", D317)), -1, 0)))=1, VERI_TABANI!E27*(1-0.928)*0.00206091519919798*VERI_TABANI!G27, 0)) + ((MIN(VERI_TABANI!D28, VERI_TABANI!D28*B317)*VERI_TABANI!$B$7 + MAX(0, VERI_TABANI!D28*B317-VERI_TABANI!D28)*VERI_TABANI!$B$8) + (MIN(MAX(0, VERI_TABANI!D28-VERI_TABANI!D28*B317), VERI_TABANI!D28*C317)*VERI_TABANI!$B$7 + MAX(0, VERI_TABANI!D28*C317-MAX(0, VERI_TABANI!D28-VERI_TABANI!D28*B317))*VERI_TABANI!$B$8) + IF(ABS(IF(ISNUMBER(SEARCH("Var", D317)), 1, IF(ISNUMBER(SEARCH("Gri", D317)), -1, 0)))=1, VERI_TABANI!E28*(1-0.928)*VERI_TABANI!$B$9, 0) + (VERI_TABANI!D28*B317*(VERI_TABANI!$B$13-VERI_TABANI!$B$14)*VERI_TABANI!G28) + (VERI_TABANI!D28*C317*(VERI_TABANI!$B$13-VERI_TABANI!$B$15)*VERI_TABANI!G28) + IF(ABS(IF(ISNUMBER(SEARCH("Var", D317)), 1, IF(ISNUMBER(SEARCH("Gri", D317)), -1, 0)))=1, VERI_TABANI!E28*(1-0.928)*0.00206091519919798*VERI_TABANI!G28, 0)))</f>
        <v/>
      </c>
      <c r="H317" s="169">
        <f>(((VERI_TABANI!D23*B317*(VERI_TABANI!$B$13-VERI_TABANI!$B$14)) + (VERI_TABANI!D23*C317*(VERI_TABANI!$B$13-VERI_TABANI!$B$15)) + IF(ISNUMBER(SEARCH("Var", D317)), VERI_TABANI!F23*(0.00202-VERI_TABANI!$B$16), IF(ISNUMBER(SEARCH("Gri", D317)), VERI_TABANI!F23*(0.00202-VERI_TABANI!$B$17), 0))) + ((VERI_TABANI!D24*B317*(VERI_TABANI!$B$13-VERI_TABANI!$B$14)) + (VERI_TABANI!D24*C317*(VERI_TABANI!$B$13-VERI_TABANI!$B$15)) + IF(ISNUMBER(SEARCH("Var", D317)), VERI_TABANI!F24*(0.00202-VERI_TABANI!$B$16), IF(ISNUMBER(SEARCH("Gri", D317)), VERI_TABANI!F24*(0.00202-VERI_TABANI!$B$17), 0))) + ((VERI_TABANI!D25*B317*(VERI_TABANI!$B$13-VERI_TABANI!$B$14)) + (VERI_TABANI!D25*C317*(VERI_TABANI!$B$13-VERI_TABANI!$B$15)) + IF(ISNUMBER(SEARCH("Var", D317)), VERI_TABANI!F25*(0.00202-VERI_TABANI!$B$16), IF(ISNUMBER(SEARCH("Gri", D317)), VERI_TABANI!F25*(0.00202-VERI_TABANI!$B$17), 0))) + ((VERI_TABANI!D26*B317*(VERI_TABANI!$B$13-VERI_TABANI!$B$14)) + (VERI_TABANI!D26*C317*(VERI_TABANI!$B$13-VERI_TABANI!$B$15)) + IF(ISNUMBER(SEARCH("Var", D317)), VERI_TABANI!F26*(0.00202-VERI_TABANI!$B$16), IF(ISNUMBER(SEARCH("Gri", D317)), VERI_TABANI!F26*(0.00202-VERI_TABANI!$B$17), 0))) + ((VERI_TABANI!D27*B317*(VERI_TABANI!$B$13-VERI_TABANI!$B$14)) + (VERI_TABANI!D27*C317*(VERI_TABANI!$B$13-VERI_TABANI!$B$15)) + IF(ISNUMBER(SEARCH("Var", D317)), VERI_TABANI!F27*(0.00202-VERI_TABANI!$B$16), IF(ISNUMBER(SEARCH("Gri", D317)), VERI_TABANI!F27*(0.00202-VERI_TABANI!$B$17), 0))) + ((VERI_TABANI!D28*B317*(VERI_TABANI!$B$13-VERI_TABANI!$B$14)) + (VERI_TABANI!D28*C317*(VERI_TABANI!$B$13-VERI_TABANI!$B$15)) + IF(ISNUMBER(SEARCH("Var", D317)), VERI_TABANI!F28*(0.00202-VERI_TABANI!$B$16), IF(ISNUMBER(SEARCH("Gri", D317)), VERI_TABANI!F28*(0.00202-VERI_TABANI!$B$17), 0))))</f>
        <v/>
      </c>
      <c r="I317" s="170">
        <f>IFERROR(((VERI_TABANI!$D$29*B317*VERI_TABANI!$B$14 + VERI_TABANI!$D$29*C317*VERI_TABANI!$B$15 + IF(ISNUMBER(SEARCH("Var", D317)), VERI_TABANI!$F$29*VERI_TABANI!$B$16, 0))) / (((VERI_TABANI!$D$29*B317 + VERI_TABANI!$D$29*C317)*VERI_TABANI!$B$13 + IF(ISNUMBER(SEARCH("Var", D317)), VERI_TABANI!$E$29*(1-0.928)*VERI_TABANI!$B$18, 0))), 0)</f>
        <v/>
      </c>
      <c r="J317" s="171">
        <f>IFERROR(F317/(G317/29), 0)</f>
        <v/>
      </c>
      <c r="K317" s="172">
        <f>IF(F317&gt;0, H317/F317, 0)</f>
        <v/>
      </c>
      <c r="L317" s="170">
        <f>IF(F317&gt;0, I317, 1000000000)</f>
        <v/>
      </c>
      <c r="M317" s="171">
        <f>ABS((B317+C317)-1)</f>
        <v/>
      </c>
      <c r="N317" s="170">
        <f>IF(F317&gt;0, (G317/29)/F317, 0)</f>
        <v/>
      </c>
      <c r="O317" s="168">
        <f>IF(AND((B317+C317)&gt;=1, ISNUMBER(SEARCH("Var", D317))), F317, 1000000000)</f>
        <v/>
      </c>
      <c r="P317" s="172">
        <f>IF(F317&gt;0, SQRT((F317/MAX(F$5:F$886))^2 + (1 - H317/MAX(H$5:H$886))^2 + (J317/MAX(J$5:J$886))^2), 1000000000)</f>
        <v/>
      </c>
      <c r="Q317" s="166">
        <f>IF(AND(ABS(B317-0.5)&lt;0.01, ABS(C317-0.5)&lt;0.01, ISNUMBER(SEARCH("Var", D317))), 1, 0)</f>
        <v/>
      </c>
      <c r="R317" s="171">
        <f>IF(F317&gt;0, J317, 1000000000)</f>
        <v/>
      </c>
      <c r="S317" s="101">
        <f>IF(AND(F317&lt;=DASHBOARD!$B$11, H317&gt;=DASHBOARD!$B$13), G317, -1000000000000)</f>
        <v/>
      </c>
      <c r="T317" s="101">
        <f>IF(AND(F317&lt;=DASHBOARD!$B$11, H317&gt;=DASHBOARD!$B$13), R317, 1000000000000)</f>
        <v/>
      </c>
      <c r="U317" s="101">
        <f>IF(AND(F317&lt;=DASHBOARD!$B$11, H317&gt;=DASHBOARD!$B$13), N317, -1000000000000)</f>
        <v/>
      </c>
      <c r="V317" s="101">
        <f>IF(AND(F317&lt;=DASHBOARD!$B$11, H317&gt;=DASHBOARD!$B$13), H317, -1000000000000)</f>
        <v/>
      </c>
      <c r="W317" s="101">
        <f>IF(AND(F317&lt;=DASHBOARD!$B$11, H317&gt;=DASHBOARD!$B$13), K317, -1000000000000)</f>
        <v/>
      </c>
      <c r="X317" s="101">
        <f>IF(AND(F317&lt;=DASHBOARD!$B$11, H317&gt;=DASHBOARD!$B$13), M317, 1000000000000)</f>
        <v/>
      </c>
      <c r="Y317" s="101">
        <f>IF(AND(F317&lt;=DASHBOARD!$B$10, H317&gt;=DASHBOARD!$B$11), L317, 1000000000000)</f>
        <v/>
      </c>
      <c r="Z317" s="101">
        <f>IF(AND(F317&lt;=DASHBOARD!$B$10, H317&gt;=DASHBOARD!$B$11), O317, 1000000000000)</f>
        <v/>
      </c>
      <c r="AA317" s="101">
        <f>IF(AND(F317&lt;=DASHBOARD!$B$10, H317&gt;=DASHBOARD!$B$11), P317, 1000000000000)</f>
        <v/>
      </c>
      <c r="AB317" s="101">
        <f>IF(AND(F317&lt;=DASHBOARD!$B$10, H317&gt;=DASHBOARD!$B$11), Q317, -1000000000000)</f>
        <v/>
      </c>
    </row>
    <row r="318" ht="15" customHeight="1" s="102">
      <c r="A318" s="166" t="n">
        <v>314</v>
      </c>
      <c r="B318" s="167" t="n">
        <v>0.7</v>
      </c>
      <c r="C318" s="167" t="n">
        <v>0.9</v>
      </c>
      <c r="D318" s="110" t="inlineStr">
        <is>
          <t>Var (%20)</t>
        </is>
      </c>
      <c r="E318" s="110">
        <f>IF((B318+C318)&lt;=1, "Tam Mahsuplaşma (≤%100)", "Kısmi Satış (&gt;%100)")</f>
        <v/>
      </c>
      <c r="F318" s="168">
        <f>((VERI_TABANI!$D$29*B318/VERI_TABANI!$B$29)/VERI_TABANI!$B$3)*VERI_TABANI!$B$5 + ((VERI_TABANI!$D$29*C318/VERI_TABANI!$B$29)/VERI_TABANI!$B$4)*VERI_TABANI!$B$6 + IF(ISNUMBER(SEARCH("Var", D318)), (VERI_TABANI!$F$29/VERI_TABANI!$B$29)*(VERI_TABANI!$B$10+VERI_TABANI!$B$12), 0)</f>
        <v/>
      </c>
      <c r="G318" s="168">
        <f>(((MIN(VERI_TABANI!D23, VERI_TABANI!D23*B318)*VERI_TABANI!$B$7 + MAX(0, VERI_TABANI!D23*B318-VERI_TABANI!D23)*VERI_TABANI!$B$8) + (MIN(MAX(0, VERI_TABANI!D23-VERI_TABANI!D23*B318), VERI_TABANI!D23*C318)*VERI_TABANI!$B$7 + MAX(0, VERI_TABANI!D23*C318-MAX(0, VERI_TABANI!D23-VERI_TABANI!D23*B318))*VERI_TABANI!$B$8) + IF(ABS(IF(ISNUMBER(SEARCH("Var", D318)), 1, IF(ISNUMBER(SEARCH("Gri", D318)), -1, 0)))=1, VERI_TABANI!E23*(1-0.928)*VERI_TABANI!$B$9, 0) + (VERI_TABANI!D23*B318*(VERI_TABANI!$B$13-VERI_TABANI!$B$14)*VERI_TABANI!G23) + (VERI_TABANI!D23*C318*(VERI_TABANI!$B$13-VERI_TABANI!$B$15)*VERI_TABANI!G23) + IF(ABS(IF(ISNUMBER(SEARCH("Var", D318)), 1, IF(ISNUMBER(SEARCH("Gri", D318)), -1, 0)))=1, VERI_TABANI!E23*(1-0.928)*0.00206091519919798*VERI_TABANI!G23, 0)) + ((MIN(VERI_TABANI!D24, VERI_TABANI!D24*B318)*VERI_TABANI!$B$7 + MAX(0, VERI_TABANI!D24*B318-VERI_TABANI!D24)*VERI_TABANI!$B$8) + (MIN(MAX(0, VERI_TABANI!D24-VERI_TABANI!D24*B318), VERI_TABANI!D24*C318)*VERI_TABANI!$B$7 + MAX(0, VERI_TABANI!D24*C318-MAX(0, VERI_TABANI!D24-VERI_TABANI!D24*B318))*VERI_TABANI!$B$8) + IF(ABS(IF(ISNUMBER(SEARCH("Var", D318)), 1, IF(ISNUMBER(SEARCH("Gri", D318)), -1, 0)))=1, VERI_TABANI!E24*(1-0.928)*VERI_TABANI!$B$9, 0) + (VERI_TABANI!D24*B318*(VERI_TABANI!$B$13-VERI_TABANI!$B$14)*VERI_TABANI!G24) + (VERI_TABANI!D24*C318*(VERI_TABANI!$B$13-VERI_TABANI!$B$15)*VERI_TABANI!G24) + IF(ABS(IF(ISNUMBER(SEARCH("Var", D318)), 1, IF(ISNUMBER(SEARCH("Gri", D318)), -1, 0)))=1, VERI_TABANI!E24*(1-0.928)*0.00206091519919798*VERI_TABANI!G24, 0)) + ((MIN(VERI_TABANI!D25, VERI_TABANI!D25*B318)*VERI_TABANI!$B$7 + MAX(0, VERI_TABANI!D25*B318-VERI_TABANI!D25)*VERI_TABANI!$B$8) + (MIN(MAX(0, VERI_TABANI!D25-VERI_TABANI!D25*B318), VERI_TABANI!D25*C318)*VERI_TABANI!$B$7 + MAX(0, VERI_TABANI!D25*C318-MAX(0, VERI_TABANI!D25-VERI_TABANI!D25*B318))*VERI_TABANI!$B$8) + IF(ABS(IF(ISNUMBER(SEARCH("Var", D318)), 1, IF(ISNUMBER(SEARCH("Gri", D318)), -1, 0)))=1, VERI_TABANI!E25*(1-0.928)*VERI_TABANI!$B$9, 0) + (VERI_TABANI!D25*B318*(VERI_TABANI!$B$13-VERI_TABANI!$B$14)*VERI_TABANI!G25) + (VERI_TABANI!D25*C318*(VERI_TABANI!$B$13-VERI_TABANI!$B$15)*VERI_TABANI!G25) + IF(ABS(IF(ISNUMBER(SEARCH("Var", D318)), 1, IF(ISNUMBER(SEARCH("Gri", D318)), -1, 0)))=1, VERI_TABANI!E25*(1-0.928)*0.00206091519919798*VERI_TABANI!G25, 0)) + ((MIN(VERI_TABANI!D26, VERI_TABANI!D26*B318)*VERI_TABANI!$B$7 + MAX(0, VERI_TABANI!D26*B318-VERI_TABANI!D26)*VERI_TABANI!$B$8) + (MIN(MAX(0, VERI_TABANI!D26-VERI_TABANI!D26*B318), VERI_TABANI!D26*C318)*VERI_TABANI!$B$7 + MAX(0, VERI_TABANI!D26*C318-MAX(0, VERI_TABANI!D26-VERI_TABANI!D26*B318))*VERI_TABANI!$B$8) + IF(ABS(IF(ISNUMBER(SEARCH("Var", D318)), 1, IF(ISNUMBER(SEARCH("Gri", D318)), -1, 0)))=1, VERI_TABANI!E26*(1-0.928)*VERI_TABANI!$B$9, 0) + (VERI_TABANI!D26*B318*(VERI_TABANI!$B$13-VERI_TABANI!$B$14)*VERI_TABANI!G26) + (VERI_TABANI!D26*C318*(VERI_TABANI!$B$13-VERI_TABANI!$B$15)*VERI_TABANI!G26) + IF(ABS(IF(ISNUMBER(SEARCH("Var", D318)), 1, IF(ISNUMBER(SEARCH("Gri", D318)), -1, 0)))=1, VERI_TABANI!E26*(1-0.928)*0.00206091519919798*VERI_TABANI!G26, 0)) + ((MIN(VERI_TABANI!D27, VERI_TABANI!D27*B318)*VERI_TABANI!$B$7 + MAX(0, VERI_TABANI!D27*B318-VERI_TABANI!D27)*VERI_TABANI!$B$8) + (MIN(MAX(0, VERI_TABANI!D27-VERI_TABANI!D27*B318), VERI_TABANI!D27*C318)*VERI_TABANI!$B$7 + MAX(0, VERI_TABANI!D27*C318-MAX(0, VERI_TABANI!D27-VERI_TABANI!D27*B318))*VERI_TABANI!$B$8) + IF(ABS(IF(ISNUMBER(SEARCH("Var", D318)), 1, IF(ISNUMBER(SEARCH("Gri", D318)), -1, 0)))=1, VERI_TABANI!E27*(1-0.928)*VERI_TABANI!$B$9, 0) + (VERI_TABANI!D27*B318*(VERI_TABANI!$B$13-VERI_TABANI!$B$14)*VERI_TABANI!G27) + (VERI_TABANI!D27*C318*(VERI_TABANI!$B$13-VERI_TABANI!$B$15)*VERI_TABANI!G27) + IF(ABS(IF(ISNUMBER(SEARCH("Var", D318)), 1, IF(ISNUMBER(SEARCH("Gri", D318)), -1, 0)))=1, VERI_TABANI!E27*(1-0.928)*0.00206091519919798*VERI_TABANI!G27, 0)) + ((MIN(VERI_TABANI!D28, VERI_TABANI!D28*B318)*VERI_TABANI!$B$7 + MAX(0, VERI_TABANI!D28*B318-VERI_TABANI!D28)*VERI_TABANI!$B$8) + (MIN(MAX(0, VERI_TABANI!D28-VERI_TABANI!D28*B318), VERI_TABANI!D28*C318)*VERI_TABANI!$B$7 + MAX(0, VERI_TABANI!D28*C318-MAX(0, VERI_TABANI!D28-VERI_TABANI!D28*B318))*VERI_TABANI!$B$8) + IF(ABS(IF(ISNUMBER(SEARCH("Var", D318)), 1, IF(ISNUMBER(SEARCH("Gri", D318)), -1, 0)))=1, VERI_TABANI!E28*(1-0.928)*VERI_TABANI!$B$9, 0) + (VERI_TABANI!D28*B318*(VERI_TABANI!$B$13-VERI_TABANI!$B$14)*VERI_TABANI!G28) + (VERI_TABANI!D28*C318*(VERI_TABANI!$B$13-VERI_TABANI!$B$15)*VERI_TABANI!G28) + IF(ABS(IF(ISNUMBER(SEARCH("Var", D318)), 1, IF(ISNUMBER(SEARCH("Gri", D318)), -1, 0)))=1, VERI_TABANI!E28*(1-0.928)*0.00206091519919798*VERI_TABANI!G28, 0)))</f>
        <v/>
      </c>
      <c r="H318" s="169">
        <f>(((VERI_TABANI!D23*B318*(VERI_TABANI!$B$13-VERI_TABANI!$B$14)) + (VERI_TABANI!D23*C318*(VERI_TABANI!$B$13-VERI_TABANI!$B$15)) + IF(ISNUMBER(SEARCH("Var", D318)), VERI_TABANI!F23*(0.00202-VERI_TABANI!$B$16), IF(ISNUMBER(SEARCH("Gri", D318)), VERI_TABANI!F23*(0.00202-VERI_TABANI!$B$17), 0))) + ((VERI_TABANI!D24*B318*(VERI_TABANI!$B$13-VERI_TABANI!$B$14)) + (VERI_TABANI!D24*C318*(VERI_TABANI!$B$13-VERI_TABANI!$B$15)) + IF(ISNUMBER(SEARCH("Var", D318)), VERI_TABANI!F24*(0.00202-VERI_TABANI!$B$16), IF(ISNUMBER(SEARCH("Gri", D318)), VERI_TABANI!F24*(0.00202-VERI_TABANI!$B$17), 0))) + ((VERI_TABANI!D25*B318*(VERI_TABANI!$B$13-VERI_TABANI!$B$14)) + (VERI_TABANI!D25*C318*(VERI_TABANI!$B$13-VERI_TABANI!$B$15)) + IF(ISNUMBER(SEARCH("Var", D318)), VERI_TABANI!F25*(0.00202-VERI_TABANI!$B$16), IF(ISNUMBER(SEARCH("Gri", D318)), VERI_TABANI!F25*(0.00202-VERI_TABANI!$B$17), 0))) + ((VERI_TABANI!D26*B318*(VERI_TABANI!$B$13-VERI_TABANI!$B$14)) + (VERI_TABANI!D26*C318*(VERI_TABANI!$B$13-VERI_TABANI!$B$15)) + IF(ISNUMBER(SEARCH("Var", D318)), VERI_TABANI!F26*(0.00202-VERI_TABANI!$B$16), IF(ISNUMBER(SEARCH("Gri", D318)), VERI_TABANI!F26*(0.00202-VERI_TABANI!$B$17), 0))) + ((VERI_TABANI!D27*B318*(VERI_TABANI!$B$13-VERI_TABANI!$B$14)) + (VERI_TABANI!D27*C318*(VERI_TABANI!$B$13-VERI_TABANI!$B$15)) + IF(ISNUMBER(SEARCH("Var", D318)), VERI_TABANI!F27*(0.00202-VERI_TABANI!$B$16), IF(ISNUMBER(SEARCH("Gri", D318)), VERI_TABANI!F27*(0.00202-VERI_TABANI!$B$17), 0))) + ((VERI_TABANI!D28*B318*(VERI_TABANI!$B$13-VERI_TABANI!$B$14)) + (VERI_TABANI!D28*C318*(VERI_TABANI!$B$13-VERI_TABANI!$B$15)) + IF(ISNUMBER(SEARCH("Var", D318)), VERI_TABANI!F28*(0.00202-VERI_TABANI!$B$16), IF(ISNUMBER(SEARCH("Gri", D318)), VERI_TABANI!F28*(0.00202-VERI_TABANI!$B$17), 0))))</f>
        <v/>
      </c>
      <c r="I318" s="170">
        <f>IFERROR(((VERI_TABANI!$D$29*B318*VERI_TABANI!$B$14 + VERI_TABANI!$D$29*C318*VERI_TABANI!$B$15 + IF(ISNUMBER(SEARCH("Var", D318)), VERI_TABANI!$F$29*VERI_TABANI!$B$16, 0))) / (((VERI_TABANI!$D$29*B318 + VERI_TABANI!$D$29*C318)*VERI_TABANI!$B$13 + IF(ISNUMBER(SEARCH("Var", D318)), VERI_TABANI!$E$29*(1-0.928)*VERI_TABANI!$B$18, 0))), 0)</f>
        <v/>
      </c>
      <c r="J318" s="171">
        <f>IFERROR(F318/(G318/29), 0)</f>
        <v/>
      </c>
      <c r="K318" s="172">
        <f>IF(F318&gt;0, H318/F318, 0)</f>
        <v/>
      </c>
      <c r="L318" s="170">
        <f>IF(F318&gt;0, I318, 1000000000)</f>
        <v/>
      </c>
      <c r="M318" s="171">
        <f>ABS((B318+C318)-1)</f>
        <v/>
      </c>
      <c r="N318" s="170">
        <f>IF(F318&gt;0, (G318/29)/F318, 0)</f>
        <v/>
      </c>
      <c r="O318" s="168">
        <f>IF(AND((B318+C318)&gt;=1, ISNUMBER(SEARCH("Var", D318))), F318, 1000000000)</f>
        <v/>
      </c>
      <c r="P318" s="172">
        <f>IF(F318&gt;0, SQRT((F318/MAX(F$5:F$886))^2 + (1 - H318/MAX(H$5:H$886))^2 + (J318/MAX(J$5:J$886))^2), 1000000000)</f>
        <v/>
      </c>
      <c r="Q318" s="166">
        <f>IF(AND(ABS(B318-0.5)&lt;0.01, ABS(C318-0.5)&lt;0.01, ISNUMBER(SEARCH("Var", D318))), 1, 0)</f>
        <v/>
      </c>
      <c r="R318" s="171">
        <f>IF(F318&gt;0, J318, 1000000000)</f>
        <v/>
      </c>
      <c r="S318" s="101">
        <f>IF(AND(F318&lt;=DASHBOARD!$B$11, H318&gt;=DASHBOARD!$B$13), G318, -1000000000000)</f>
        <v/>
      </c>
      <c r="T318" s="101">
        <f>IF(AND(F318&lt;=DASHBOARD!$B$11, H318&gt;=DASHBOARD!$B$13), R318, 1000000000000)</f>
        <v/>
      </c>
      <c r="U318" s="101">
        <f>IF(AND(F318&lt;=DASHBOARD!$B$11, H318&gt;=DASHBOARD!$B$13), N318, -1000000000000)</f>
        <v/>
      </c>
      <c r="V318" s="101">
        <f>IF(AND(F318&lt;=DASHBOARD!$B$11, H318&gt;=DASHBOARD!$B$13), H318, -1000000000000)</f>
        <v/>
      </c>
      <c r="W318" s="101">
        <f>IF(AND(F318&lt;=DASHBOARD!$B$11, H318&gt;=DASHBOARD!$B$13), K318, -1000000000000)</f>
        <v/>
      </c>
      <c r="X318" s="101">
        <f>IF(AND(F318&lt;=DASHBOARD!$B$11, H318&gt;=DASHBOARD!$B$13), M318, 1000000000000)</f>
        <v/>
      </c>
      <c r="Y318" s="101">
        <f>IF(AND(F318&lt;=DASHBOARD!$B$10, H318&gt;=DASHBOARD!$B$11), L318, 1000000000000)</f>
        <v/>
      </c>
      <c r="Z318" s="101">
        <f>IF(AND(F318&lt;=DASHBOARD!$B$10, H318&gt;=DASHBOARD!$B$11), O318, 1000000000000)</f>
        <v/>
      </c>
      <c r="AA318" s="101">
        <f>IF(AND(F318&lt;=DASHBOARD!$B$10, H318&gt;=DASHBOARD!$B$11), P318, 1000000000000)</f>
        <v/>
      </c>
      <c r="AB318" s="101">
        <f>IF(AND(F318&lt;=DASHBOARD!$B$10, H318&gt;=DASHBOARD!$B$11), Q318, -1000000000000)</f>
        <v/>
      </c>
    </row>
    <row r="319" ht="15" customHeight="1" s="102">
      <c r="A319" s="166" t="n">
        <v>315</v>
      </c>
      <c r="B319" s="167" t="n">
        <v>0.7</v>
      </c>
      <c r="C319" s="167" t="n">
        <v>1</v>
      </c>
      <c r="D319" s="110" t="inlineStr">
        <is>
          <t>Yok (%0)</t>
        </is>
      </c>
      <c r="E319" s="110">
        <f>IF((B319+C319)&lt;=1, "Tam Mahsuplaşma (≤%100)", "Kısmi Satış (&gt;%100)")</f>
        <v/>
      </c>
      <c r="F319" s="168">
        <f>((VERI_TABANI!$D$29*B319/VERI_TABANI!$B$29)/VERI_TABANI!$B$3)*VERI_TABANI!$B$5 + ((VERI_TABANI!$D$29*C319/VERI_TABANI!$B$29)/VERI_TABANI!$B$4)*VERI_TABANI!$B$6 + IF(ISNUMBER(SEARCH("Var", D319)), (VERI_TABANI!$F$29/VERI_TABANI!$B$29)*(VERI_TABANI!$B$10+VERI_TABANI!$B$12), 0)</f>
        <v/>
      </c>
      <c r="G319" s="168">
        <f>(((MIN(VERI_TABANI!D23, VERI_TABANI!D23*B319)*VERI_TABANI!$B$7 + MAX(0, VERI_TABANI!D23*B319-VERI_TABANI!D23)*VERI_TABANI!$B$8) + (MIN(MAX(0, VERI_TABANI!D23-VERI_TABANI!D23*B319), VERI_TABANI!D23*C319)*VERI_TABANI!$B$7 + MAX(0, VERI_TABANI!D23*C319-MAX(0, VERI_TABANI!D23-VERI_TABANI!D23*B319))*VERI_TABANI!$B$8) + IF(ABS(IF(ISNUMBER(SEARCH("Var", D319)), 1, IF(ISNUMBER(SEARCH("Gri", D319)), -1, 0)))=1, VERI_TABANI!E23*(1-0.928)*VERI_TABANI!$B$9, 0) + (VERI_TABANI!D23*B319*(VERI_TABANI!$B$13-VERI_TABANI!$B$14)*VERI_TABANI!G23) + (VERI_TABANI!D23*C319*(VERI_TABANI!$B$13-VERI_TABANI!$B$15)*VERI_TABANI!G23) + IF(ABS(IF(ISNUMBER(SEARCH("Var", D319)), 1, IF(ISNUMBER(SEARCH("Gri", D319)), -1, 0)))=1, VERI_TABANI!E23*(1-0.928)*0.00206091519919798*VERI_TABANI!G23, 0)) + ((MIN(VERI_TABANI!D24, VERI_TABANI!D24*B319)*VERI_TABANI!$B$7 + MAX(0, VERI_TABANI!D24*B319-VERI_TABANI!D24)*VERI_TABANI!$B$8) + (MIN(MAX(0, VERI_TABANI!D24-VERI_TABANI!D24*B319), VERI_TABANI!D24*C319)*VERI_TABANI!$B$7 + MAX(0, VERI_TABANI!D24*C319-MAX(0, VERI_TABANI!D24-VERI_TABANI!D24*B319))*VERI_TABANI!$B$8) + IF(ABS(IF(ISNUMBER(SEARCH("Var", D319)), 1, IF(ISNUMBER(SEARCH("Gri", D319)), -1, 0)))=1, VERI_TABANI!E24*(1-0.928)*VERI_TABANI!$B$9, 0) + (VERI_TABANI!D24*B319*(VERI_TABANI!$B$13-VERI_TABANI!$B$14)*VERI_TABANI!G24) + (VERI_TABANI!D24*C319*(VERI_TABANI!$B$13-VERI_TABANI!$B$15)*VERI_TABANI!G24) + IF(ABS(IF(ISNUMBER(SEARCH("Var", D319)), 1, IF(ISNUMBER(SEARCH("Gri", D319)), -1, 0)))=1, VERI_TABANI!E24*(1-0.928)*0.00206091519919798*VERI_TABANI!G24, 0)) + ((MIN(VERI_TABANI!D25, VERI_TABANI!D25*B319)*VERI_TABANI!$B$7 + MAX(0, VERI_TABANI!D25*B319-VERI_TABANI!D25)*VERI_TABANI!$B$8) + (MIN(MAX(0, VERI_TABANI!D25-VERI_TABANI!D25*B319), VERI_TABANI!D25*C319)*VERI_TABANI!$B$7 + MAX(0, VERI_TABANI!D25*C319-MAX(0, VERI_TABANI!D25-VERI_TABANI!D25*B319))*VERI_TABANI!$B$8) + IF(ABS(IF(ISNUMBER(SEARCH("Var", D319)), 1, IF(ISNUMBER(SEARCH("Gri", D319)), -1, 0)))=1, VERI_TABANI!E25*(1-0.928)*VERI_TABANI!$B$9, 0) + (VERI_TABANI!D25*B319*(VERI_TABANI!$B$13-VERI_TABANI!$B$14)*VERI_TABANI!G25) + (VERI_TABANI!D25*C319*(VERI_TABANI!$B$13-VERI_TABANI!$B$15)*VERI_TABANI!G25) + IF(ABS(IF(ISNUMBER(SEARCH("Var", D319)), 1, IF(ISNUMBER(SEARCH("Gri", D319)), -1, 0)))=1, VERI_TABANI!E25*(1-0.928)*0.00206091519919798*VERI_TABANI!G25, 0)) + ((MIN(VERI_TABANI!D26, VERI_TABANI!D26*B319)*VERI_TABANI!$B$7 + MAX(0, VERI_TABANI!D26*B319-VERI_TABANI!D26)*VERI_TABANI!$B$8) + (MIN(MAX(0, VERI_TABANI!D26-VERI_TABANI!D26*B319), VERI_TABANI!D26*C319)*VERI_TABANI!$B$7 + MAX(0, VERI_TABANI!D26*C319-MAX(0, VERI_TABANI!D26-VERI_TABANI!D26*B319))*VERI_TABANI!$B$8) + IF(ABS(IF(ISNUMBER(SEARCH("Var", D319)), 1, IF(ISNUMBER(SEARCH("Gri", D319)), -1, 0)))=1, VERI_TABANI!E26*(1-0.928)*VERI_TABANI!$B$9, 0) + (VERI_TABANI!D26*B319*(VERI_TABANI!$B$13-VERI_TABANI!$B$14)*VERI_TABANI!G26) + (VERI_TABANI!D26*C319*(VERI_TABANI!$B$13-VERI_TABANI!$B$15)*VERI_TABANI!G26) + IF(ABS(IF(ISNUMBER(SEARCH("Var", D319)), 1, IF(ISNUMBER(SEARCH("Gri", D319)), -1, 0)))=1, VERI_TABANI!E26*(1-0.928)*0.00206091519919798*VERI_TABANI!G26, 0)) + ((MIN(VERI_TABANI!D27, VERI_TABANI!D27*B319)*VERI_TABANI!$B$7 + MAX(0, VERI_TABANI!D27*B319-VERI_TABANI!D27)*VERI_TABANI!$B$8) + (MIN(MAX(0, VERI_TABANI!D27-VERI_TABANI!D27*B319), VERI_TABANI!D27*C319)*VERI_TABANI!$B$7 + MAX(0, VERI_TABANI!D27*C319-MAX(0, VERI_TABANI!D27-VERI_TABANI!D27*B319))*VERI_TABANI!$B$8) + IF(ABS(IF(ISNUMBER(SEARCH("Var", D319)), 1, IF(ISNUMBER(SEARCH("Gri", D319)), -1, 0)))=1, VERI_TABANI!E27*(1-0.928)*VERI_TABANI!$B$9, 0) + (VERI_TABANI!D27*B319*(VERI_TABANI!$B$13-VERI_TABANI!$B$14)*VERI_TABANI!G27) + (VERI_TABANI!D27*C319*(VERI_TABANI!$B$13-VERI_TABANI!$B$15)*VERI_TABANI!G27) + IF(ABS(IF(ISNUMBER(SEARCH("Var", D319)), 1, IF(ISNUMBER(SEARCH("Gri", D319)), -1, 0)))=1, VERI_TABANI!E27*(1-0.928)*0.00206091519919798*VERI_TABANI!G27, 0)) + ((MIN(VERI_TABANI!D28, VERI_TABANI!D28*B319)*VERI_TABANI!$B$7 + MAX(0, VERI_TABANI!D28*B319-VERI_TABANI!D28)*VERI_TABANI!$B$8) + (MIN(MAX(0, VERI_TABANI!D28-VERI_TABANI!D28*B319), VERI_TABANI!D28*C319)*VERI_TABANI!$B$7 + MAX(0, VERI_TABANI!D28*C319-MAX(0, VERI_TABANI!D28-VERI_TABANI!D28*B319))*VERI_TABANI!$B$8) + IF(ABS(IF(ISNUMBER(SEARCH("Var", D319)), 1, IF(ISNUMBER(SEARCH("Gri", D319)), -1, 0)))=1, VERI_TABANI!E28*(1-0.928)*VERI_TABANI!$B$9, 0) + (VERI_TABANI!D28*B319*(VERI_TABANI!$B$13-VERI_TABANI!$B$14)*VERI_TABANI!G28) + (VERI_TABANI!D28*C319*(VERI_TABANI!$B$13-VERI_TABANI!$B$15)*VERI_TABANI!G28) + IF(ABS(IF(ISNUMBER(SEARCH("Var", D319)), 1, IF(ISNUMBER(SEARCH("Gri", D319)), -1, 0)))=1, VERI_TABANI!E28*(1-0.928)*0.00206091519919798*VERI_TABANI!G28, 0)))</f>
        <v/>
      </c>
      <c r="H319" s="169">
        <f>(((VERI_TABANI!D23*B319*(VERI_TABANI!$B$13-VERI_TABANI!$B$14)) + (VERI_TABANI!D23*C319*(VERI_TABANI!$B$13-VERI_TABANI!$B$15)) + IF(ISNUMBER(SEARCH("Var", D319)), VERI_TABANI!F23*(0.00202-VERI_TABANI!$B$16), IF(ISNUMBER(SEARCH("Gri", D319)), VERI_TABANI!F23*(0.00202-VERI_TABANI!$B$17), 0))) + ((VERI_TABANI!D24*B319*(VERI_TABANI!$B$13-VERI_TABANI!$B$14)) + (VERI_TABANI!D24*C319*(VERI_TABANI!$B$13-VERI_TABANI!$B$15)) + IF(ISNUMBER(SEARCH("Var", D319)), VERI_TABANI!F24*(0.00202-VERI_TABANI!$B$16), IF(ISNUMBER(SEARCH("Gri", D319)), VERI_TABANI!F24*(0.00202-VERI_TABANI!$B$17), 0))) + ((VERI_TABANI!D25*B319*(VERI_TABANI!$B$13-VERI_TABANI!$B$14)) + (VERI_TABANI!D25*C319*(VERI_TABANI!$B$13-VERI_TABANI!$B$15)) + IF(ISNUMBER(SEARCH("Var", D319)), VERI_TABANI!F25*(0.00202-VERI_TABANI!$B$16), IF(ISNUMBER(SEARCH("Gri", D319)), VERI_TABANI!F25*(0.00202-VERI_TABANI!$B$17), 0))) + ((VERI_TABANI!D26*B319*(VERI_TABANI!$B$13-VERI_TABANI!$B$14)) + (VERI_TABANI!D26*C319*(VERI_TABANI!$B$13-VERI_TABANI!$B$15)) + IF(ISNUMBER(SEARCH("Var", D319)), VERI_TABANI!F26*(0.00202-VERI_TABANI!$B$16), IF(ISNUMBER(SEARCH("Gri", D319)), VERI_TABANI!F26*(0.00202-VERI_TABANI!$B$17), 0))) + ((VERI_TABANI!D27*B319*(VERI_TABANI!$B$13-VERI_TABANI!$B$14)) + (VERI_TABANI!D27*C319*(VERI_TABANI!$B$13-VERI_TABANI!$B$15)) + IF(ISNUMBER(SEARCH("Var", D319)), VERI_TABANI!F27*(0.00202-VERI_TABANI!$B$16), IF(ISNUMBER(SEARCH("Gri", D319)), VERI_TABANI!F27*(0.00202-VERI_TABANI!$B$17), 0))) + ((VERI_TABANI!D28*B319*(VERI_TABANI!$B$13-VERI_TABANI!$B$14)) + (VERI_TABANI!D28*C319*(VERI_TABANI!$B$13-VERI_TABANI!$B$15)) + IF(ISNUMBER(SEARCH("Var", D319)), VERI_TABANI!F28*(0.00202-VERI_TABANI!$B$16), IF(ISNUMBER(SEARCH("Gri", D319)), VERI_TABANI!F28*(0.00202-VERI_TABANI!$B$17), 0))))</f>
        <v/>
      </c>
      <c r="I319" s="170">
        <f>IFERROR(((VERI_TABANI!$D$29*B319*VERI_TABANI!$B$14 + VERI_TABANI!$D$29*C319*VERI_TABANI!$B$15 + IF(ISNUMBER(SEARCH("Var", D319)), VERI_TABANI!$F$29*VERI_TABANI!$B$16, 0))) / (((VERI_TABANI!$D$29*B319 + VERI_TABANI!$D$29*C319)*VERI_TABANI!$B$13 + IF(ISNUMBER(SEARCH("Var", D319)), VERI_TABANI!$E$29*(1-0.928)*VERI_TABANI!$B$18, 0))), 0)</f>
        <v/>
      </c>
      <c r="J319" s="171">
        <f>IFERROR(F319/(G319/29), 0)</f>
        <v/>
      </c>
      <c r="K319" s="172">
        <f>IF(F319&gt;0, H319/F319, 0)</f>
        <v/>
      </c>
      <c r="L319" s="170">
        <f>IF(F319&gt;0, I319, 1000000000)</f>
        <v/>
      </c>
      <c r="M319" s="171">
        <f>ABS((B319+C319)-1)</f>
        <v/>
      </c>
      <c r="N319" s="170">
        <f>IF(F319&gt;0, (G319/29)/F319, 0)</f>
        <v/>
      </c>
      <c r="O319" s="168">
        <f>IF(AND((B319+C319)&gt;=1, ISNUMBER(SEARCH("Var", D319))), F319, 1000000000)</f>
        <v/>
      </c>
      <c r="P319" s="172">
        <f>IF(F319&gt;0, SQRT((F319/MAX(F$5:F$886))^2 + (1 - H319/MAX(H$5:H$886))^2 + (J319/MAX(J$5:J$886))^2), 1000000000)</f>
        <v/>
      </c>
      <c r="Q319" s="166">
        <f>IF(AND(ABS(B319-0.5)&lt;0.01, ABS(C319-0.5)&lt;0.01, ISNUMBER(SEARCH("Var", D319))), 1, 0)</f>
        <v/>
      </c>
      <c r="R319" s="171">
        <f>IF(F319&gt;0, J319, 1000000000)</f>
        <v/>
      </c>
      <c r="S319" s="101">
        <f>IF(AND(F319&lt;=DASHBOARD!$B$11, H319&gt;=DASHBOARD!$B$13), G319, -1000000000000)</f>
        <v/>
      </c>
      <c r="T319" s="101">
        <f>IF(AND(F319&lt;=DASHBOARD!$B$11, H319&gt;=DASHBOARD!$B$13), R319, 1000000000000)</f>
        <v/>
      </c>
      <c r="U319" s="101">
        <f>IF(AND(F319&lt;=DASHBOARD!$B$11, H319&gt;=DASHBOARD!$B$13), N319, -1000000000000)</f>
        <v/>
      </c>
      <c r="V319" s="101">
        <f>IF(AND(F319&lt;=DASHBOARD!$B$11, H319&gt;=DASHBOARD!$B$13), H319, -1000000000000)</f>
        <v/>
      </c>
      <c r="W319" s="101">
        <f>IF(AND(F319&lt;=DASHBOARD!$B$11, H319&gt;=DASHBOARD!$B$13), K319, -1000000000000)</f>
        <v/>
      </c>
      <c r="X319" s="101">
        <f>IF(AND(F319&lt;=DASHBOARD!$B$11, H319&gt;=DASHBOARD!$B$13), M319, 1000000000000)</f>
        <v/>
      </c>
      <c r="Y319" s="101">
        <f>IF(AND(F319&lt;=DASHBOARD!$B$10, H319&gt;=DASHBOARD!$B$11), L319, 1000000000000)</f>
        <v/>
      </c>
      <c r="Z319" s="101">
        <f>IF(AND(F319&lt;=DASHBOARD!$B$10, H319&gt;=DASHBOARD!$B$11), O319, 1000000000000)</f>
        <v/>
      </c>
      <c r="AA319" s="101">
        <f>IF(AND(F319&lt;=DASHBOARD!$B$10, H319&gt;=DASHBOARD!$B$11), P319, 1000000000000)</f>
        <v/>
      </c>
      <c r="AB319" s="101">
        <f>IF(AND(F319&lt;=DASHBOARD!$B$10, H319&gt;=DASHBOARD!$B$11), Q319, -1000000000000)</f>
        <v/>
      </c>
    </row>
    <row r="320" ht="15" customHeight="1" s="102">
      <c r="A320" s="166" t="n">
        <v>316</v>
      </c>
      <c r="B320" s="167" t="n">
        <v>0.7</v>
      </c>
      <c r="C320" s="167" t="n">
        <v>1</v>
      </c>
      <c r="D320" s="110" t="inlineStr">
        <is>
          <t>Var (%20)</t>
        </is>
      </c>
      <c r="E320" s="110">
        <f>IF((B320+C320)&lt;=1, "Tam Mahsuplaşma (≤%100)", "Kısmi Satış (&gt;%100)")</f>
        <v/>
      </c>
      <c r="F320" s="168">
        <f>((VERI_TABANI!$D$29*B320/VERI_TABANI!$B$29)/VERI_TABANI!$B$3)*VERI_TABANI!$B$5 + ((VERI_TABANI!$D$29*C320/VERI_TABANI!$B$29)/VERI_TABANI!$B$4)*VERI_TABANI!$B$6 + IF(ISNUMBER(SEARCH("Var", D320)), (VERI_TABANI!$F$29/VERI_TABANI!$B$29)*(VERI_TABANI!$B$10+VERI_TABANI!$B$12), 0)</f>
        <v/>
      </c>
      <c r="G320" s="168">
        <f>(((MIN(VERI_TABANI!D23, VERI_TABANI!D23*B320)*VERI_TABANI!$B$7 + MAX(0, VERI_TABANI!D23*B320-VERI_TABANI!D23)*VERI_TABANI!$B$8) + (MIN(MAX(0, VERI_TABANI!D23-VERI_TABANI!D23*B320), VERI_TABANI!D23*C320)*VERI_TABANI!$B$7 + MAX(0, VERI_TABANI!D23*C320-MAX(0, VERI_TABANI!D23-VERI_TABANI!D23*B320))*VERI_TABANI!$B$8) + IF(ABS(IF(ISNUMBER(SEARCH("Var", D320)), 1, IF(ISNUMBER(SEARCH("Gri", D320)), -1, 0)))=1, VERI_TABANI!E23*(1-0.928)*VERI_TABANI!$B$9, 0) + (VERI_TABANI!D23*B320*(VERI_TABANI!$B$13-VERI_TABANI!$B$14)*VERI_TABANI!G23) + (VERI_TABANI!D23*C320*(VERI_TABANI!$B$13-VERI_TABANI!$B$15)*VERI_TABANI!G23) + IF(ABS(IF(ISNUMBER(SEARCH("Var", D320)), 1, IF(ISNUMBER(SEARCH("Gri", D320)), -1, 0)))=1, VERI_TABANI!E23*(1-0.928)*0.00206091519919798*VERI_TABANI!G23, 0)) + ((MIN(VERI_TABANI!D24, VERI_TABANI!D24*B320)*VERI_TABANI!$B$7 + MAX(0, VERI_TABANI!D24*B320-VERI_TABANI!D24)*VERI_TABANI!$B$8) + (MIN(MAX(0, VERI_TABANI!D24-VERI_TABANI!D24*B320), VERI_TABANI!D24*C320)*VERI_TABANI!$B$7 + MAX(0, VERI_TABANI!D24*C320-MAX(0, VERI_TABANI!D24-VERI_TABANI!D24*B320))*VERI_TABANI!$B$8) + IF(ABS(IF(ISNUMBER(SEARCH("Var", D320)), 1, IF(ISNUMBER(SEARCH("Gri", D320)), -1, 0)))=1, VERI_TABANI!E24*(1-0.928)*VERI_TABANI!$B$9, 0) + (VERI_TABANI!D24*B320*(VERI_TABANI!$B$13-VERI_TABANI!$B$14)*VERI_TABANI!G24) + (VERI_TABANI!D24*C320*(VERI_TABANI!$B$13-VERI_TABANI!$B$15)*VERI_TABANI!G24) + IF(ABS(IF(ISNUMBER(SEARCH("Var", D320)), 1, IF(ISNUMBER(SEARCH("Gri", D320)), -1, 0)))=1, VERI_TABANI!E24*(1-0.928)*0.00206091519919798*VERI_TABANI!G24, 0)) + ((MIN(VERI_TABANI!D25, VERI_TABANI!D25*B320)*VERI_TABANI!$B$7 + MAX(0, VERI_TABANI!D25*B320-VERI_TABANI!D25)*VERI_TABANI!$B$8) + (MIN(MAX(0, VERI_TABANI!D25-VERI_TABANI!D25*B320), VERI_TABANI!D25*C320)*VERI_TABANI!$B$7 + MAX(0, VERI_TABANI!D25*C320-MAX(0, VERI_TABANI!D25-VERI_TABANI!D25*B320))*VERI_TABANI!$B$8) + IF(ABS(IF(ISNUMBER(SEARCH("Var", D320)), 1, IF(ISNUMBER(SEARCH("Gri", D320)), -1, 0)))=1, VERI_TABANI!E25*(1-0.928)*VERI_TABANI!$B$9, 0) + (VERI_TABANI!D25*B320*(VERI_TABANI!$B$13-VERI_TABANI!$B$14)*VERI_TABANI!G25) + (VERI_TABANI!D25*C320*(VERI_TABANI!$B$13-VERI_TABANI!$B$15)*VERI_TABANI!G25) + IF(ABS(IF(ISNUMBER(SEARCH("Var", D320)), 1, IF(ISNUMBER(SEARCH("Gri", D320)), -1, 0)))=1, VERI_TABANI!E25*(1-0.928)*0.00206091519919798*VERI_TABANI!G25, 0)) + ((MIN(VERI_TABANI!D26, VERI_TABANI!D26*B320)*VERI_TABANI!$B$7 + MAX(0, VERI_TABANI!D26*B320-VERI_TABANI!D26)*VERI_TABANI!$B$8) + (MIN(MAX(0, VERI_TABANI!D26-VERI_TABANI!D26*B320), VERI_TABANI!D26*C320)*VERI_TABANI!$B$7 + MAX(0, VERI_TABANI!D26*C320-MAX(0, VERI_TABANI!D26-VERI_TABANI!D26*B320))*VERI_TABANI!$B$8) + IF(ABS(IF(ISNUMBER(SEARCH("Var", D320)), 1, IF(ISNUMBER(SEARCH("Gri", D320)), -1, 0)))=1, VERI_TABANI!E26*(1-0.928)*VERI_TABANI!$B$9, 0) + (VERI_TABANI!D26*B320*(VERI_TABANI!$B$13-VERI_TABANI!$B$14)*VERI_TABANI!G26) + (VERI_TABANI!D26*C320*(VERI_TABANI!$B$13-VERI_TABANI!$B$15)*VERI_TABANI!G26) + IF(ABS(IF(ISNUMBER(SEARCH("Var", D320)), 1, IF(ISNUMBER(SEARCH("Gri", D320)), -1, 0)))=1, VERI_TABANI!E26*(1-0.928)*0.00206091519919798*VERI_TABANI!G26, 0)) + ((MIN(VERI_TABANI!D27, VERI_TABANI!D27*B320)*VERI_TABANI!$B$7 + MAX(0, VERI_TABANI!D27*B320-VERI_TABANI!D27)*VERI_TABANI!$B$8) + (MIN(MAX(0, VERI_TABANI!D27-VERI_TABANI!D27*B320), VERI_TABANI!D27*C320)*VERI_TABANI!$B$7 + MAX(0, VERI_TABANI!D27*C320-MAX(0, VERI_TABANI!D27-VERI_TABANI!D27*B320))*VERI_TABANI!$B$8) + IF(ABS(IF(ISNUMBER(SEARCH("Var", D320)), 1, IF(ISNUMBER(SEARCH("Gri", D320)), -1, 0)))=1, VERI_TABANI!E27*(1-0.928)*VERI_TABANI!$B$9, 0) + (VERI_TABANI!D27*B320*(VERI_TABANI!$B$13-VERI_TABANI!$B$14)*VERI_TABANI!G27) + (VERI_TABANI!D27*C320*(VERI_TABANI!$B$13-VERI_TABANI!$B$15)*VERI_TABANI!G27) + IF(ABS(IF(ISNUMBER(SEARCH("Var", D320)), 1, IF(ISNUMBER(SEARCH("Gri", D320)), -1, 0)))=1, VERI_TABANI!E27*(1-0.928)*0.00206091519919798*VERI_TABANI!G27, 0)) + ((MIN(VERI_TABANI!D28, VERI_TABANI!D28*B320)*VERI_TABANI!$B$7 + MAX(0, VERI_TABANI!D28*B320-VERI_TABANI!D28)*VERI_TABANI!$B$8) + (MIN(MAX(0, VERI_TABANI!D28-VERI_TABANI!D28*B320), VERI_TABANI!D28*C320)*VERI_TABANI!$B$7 + MAX(0, VERI_TABANI!D28*C320-MAX(0, VERI_TABANI!D28-VERI_TABANI!D28*B320))*VERI_TABANI!$B$8) + IF(ABS(IF(ISNUMBER(SEARCH("Var", D320)), 1, IF(ISNUMBER(SEARCH("Gri", D320)), -1, 0)))=1, VERI_TABANI!E28*(1-0.928)*VERI_TABANI!$B$9, 0) + (VERI_TABANI!D28*B320*(VERI_TABANI!$B$13-VERI_TABANI!$B$14)*VERI_TABANI!G28) + (VERI_TABANI!D28*C320*(VERI_TABANI!$B$13-VERI_TABANI!$B$15)*VERI_TABANI!G28) + IF(ABS(IF(ISNUMBER(SEARCH("Var", D320)), 1, IF(ISNUMBER(SEARCH("Gri", D320)), -1, 0)))=1, VERI_TABANI!E28*(1-0.928)*0.00206091519919798*VERI_TABANI!G28, 0)))</f>
        <v/>
      </c>
      <c r="H320" s="169">
        <f>(((VERI_TABANI!D23*B320*(VERI_TABANI!$B$13-VERI_TABANI!$B$14)) + (VERI_TABANI!D23*C320*(VERI_TABANI!$B$13-VERI_TABANI!$B$15)) + IF(ISNUMBER(SEARCH("Var", D320)), VERI_TABANI!F23*(0.00202-VERI_TABANI!$B$16), IF(ISNUMBER(SEARCH("Gri", D320)), VERI_TABANI!F23*(0.00202-VERI_TABANI!$B$17), 0))) + ((VERI_TABANI!D24*B320*(VERI_TABANI!$B$13-VERI_TABANI!$B$14)) + (VERI_TABANI!D24*C320*(VERI_TABANI!$B$13-VERI_TABANI!$B$15)) + IF(ISNUMBER(SEARCH("Var", D320)), VERI_TABANI!F24*(0.00202-VERI_TABANI!$B$16), IF(ISNUMBER(SEARCH("Gri", D320)), VERI_TABANI!F24*(0.00202-VERI_TABANI!$B$17), 0))) + ((VERI_TABANI!D25*B320*(VERI_TABANI!$B$13-VERI_TABANI!$B$14)) + (VERI_TABANI!D25*C320*(VERI_TABANI!$B$13-VERI_TABANI!$B$15)) + IF(ISNUMBER(SEARCH("Var", D320)), VERI_TABANI!F25*(0.00202-VERI_TABANI!$B$16), IF(ISNUMBER(SEARCH("Gri", D320)), VERI_TABANI!F25*(0.00202-VERI_TABANI!$B$17), 0))) + ((VERI_TABANI!D26*B320*(VERI_TABANI!$B$13-VERI_TABANI!$B$14)) + (VERI_TABANI!D26*C320*(VERI_TABANI!$B$13-VERI_TABANI!$B$15)) + IF(ISNUMBER(SEARCH("Var", D320)), VERI_TABANI!F26*(0.00202-VERI_TABANI!$B$16), IF(ISNUMBER(SEARCH("Gri", D320)), VERI_TABANI!F26*(0.00202-VERI_TABANI!$B$17), 0))) + ((VERI_TABANI!D27*B320*(VERI_TABANI!$B$13-VERI_TABANI!$B$14)) + (VERI_TABANI!D27*C320*(VERI_TABANI!$B$13-VERI_TABANI!$B$15)) + IF(ISNUMBER(SEARCH("Var", D320)), VERI_TABANI!F27*(0.00202-VERI_TABANI!$B$16), IF(ISNUMBER(SEARCH("Gri", D320)), VERI_TABANI!F27*(0.00202-VERI_TABANI!$B$17), 0))) + ((VERI_TABANI!D28*B320*(VERI_TABANI!$B$13-VERI_TABANI!$B$14)) + (VERI_TABANI!D28*C320*(VERI_TABANI!$B$13-VERI_TABANI!$B$15)) + IF(ISNUMBER(SEARCH("Var", D320)), VERI_TABANI!F28*(0.00202-VERI_TABANI!$B$16), IF(ISNUMBER(SEARCH("Gri", D320)), VERI_TABANI!F28*(0.00202-VERI_TABANI!$B$17), 0))))</f>
        <v/>
      </c>
      <c r="I320" s="170">
        <f>IFERROR(((VERI_TABANI!$D$29*B320*VERI_TABANI!$B$14 + VERI_TABANI!$D$29*C320*VERI_TABANI!$B$15 + IF(ISNUMBER(SEARCH("Var", D320)), VERI_TABANI!$F$29*VERI_TABANI!$B$16, 0))) / (((VERI_TABANI!$D$29*B320 + VERI_TABANI!$D$29*C320)*VERI_TABANI!$B$13 + IF(ISNUMBER(SEARCH("Var", D320)), VERI_TABANI!$E$29*(1-0.928)*VERI_TABANI!$B$18, 0))), 0)</f>
        <v/>
      </c>
      <c r="J320" s="171">
        <f>IFERROR(F320/(G320/29), 0)</f>
        <v/>
      </c>
      <c r="K320" s="172">
        <f>IF(F320&gt;0, H320/F320, 0)</f>
        <v/>
      </c>
      <c r="L320" s="170">
        <f>IF(F320&gt;0, I320, 1000000000)</f>
        <v/>
      </c>
      <c r="M320" s="171">
        <f>ABS((B320+C320)-1)</f>
        <v/>
      </c>
      <c r="N320" s="170">
        <f>IF(F320&gt;0, (G320/29)/F320, 0)</f>
        <v/>
      </c>
      <c r="O320" s="168">
        <f>IF(AND((B320+C320)&gt;=1, ISNUMBER(SEARCH("Var", D320))), F320, 1000000000)</f>
        <v/>
      </c>
      <c r="P320" s="172">
        <f>IF(F320&gt;0, SQRT((F320/MAX(F$5:F$886))^2 + (1 - H320/MAX(H$5:H$886))^2 + (J320/MAX(J$5:J$886))^2), 1000000000)</f>
        <v/>
      </c>
      <c r="Q320" s="166">
        <f>IF(AND(ABS(B320-0.5)&lt;0.01, ABS(C320-0.5)&lt;0.01, ISNUMBER(SEARCH("Var", D320))), 1, 0)</f>
        <v/>
      </c>
      <c r="R320" s="171">
        <f>IF(F320&gt;0, J320, 1000000000)</f>
        <v/>
      </c>
      <c r="S320" s="101">
        <f>IF(AND(F320&lt;=DASHBOARD!$B$11, H320&gt;=DASHBOARD!$B$13), G320, -1000000000000)</f>
        <v/>
      </c>
      <c r="T320" s="101">
        <f>IF(AND(F320&lt;=DASHBOARD!$B$11, H320&gt;=DASHBOARD!$B$13), R320, 1000000000000)</f>
        <v/>
      </c>
      <c r="U320" s="101">
        <f>IF(AND(F320&lt;=DASHBOARD!$B$11, H320&gt;=DASHBOARD!$B$13), N320, -1000000000000)</f>
        <v/>
      </c>
      <c r="V320" s="101">
        <f>IF(AND(F320&lt;=DASHBOARD!$B$11, H320&gt;=DASHBOARD!$B$13), H320, -1000000000000)</f>
        <v/>
      </c>
      <c r="W320" s="101">
        <f>IF(AND(F320&lt;=DASHBOARD!$B$11, H320&gt;=DASHBOARD!$B$13), K320, -1000000000000)</f>
        <v/>
      </c>
      <c r="X320" s="101">
        <f>IF(AND(F320&lt;=DASHBOARD!$B$11, H320&gt;=DASHBOARD!$B$13), M320, 1000000000000)</f>
        <v/>
      </c>
      <c r="Y320" s="101">
        <f>IF(AND(F320&lt;=DASHBOARD!$B$10, H320&gt;=DASHBOARD!$B$11), L320, 1000000000000)</f>
        <v/>
      </c>
      <c r="Z320" s="101">
        <f>IF(AND(F320&lt;=DASHBOARD!$B$10, H320&gt;=DASHBOARD!$B$11), O320, 1000000000000)</f>
        <v/>
      </c>
      <c r="AA320" s="101">
        <f>IF(AND(F320&lt;=DASHBOARD!$B$10, H320&gt;=DASHBOARD!$B$11), P320, 1000000000000)</f>
        <v/>
      </c>
      <c r="AB320" s="101">
        <f>IF(AND(F320&lt;=DASHBOARD!$B$10, H320&gt;=DASHBOARD!$B$11), Q320, -1000000000000)</f>
        <v/>
      </c>
    </row>
    <row r="321" ht="15" customHeight="1" s="102">
      <c r="A321" s="166" t="n">
        <v>317</v>
      </c>
      <c r="B321" s="167" t="n">
        <v>0.7</v>
      </c>
      <c r="C321" s="167" t="n">
        <v>1.1</v>
      </c>
      <c r="D321" s="110" t="inlineStr">
        <is>
          <t>Yok (%0)</t>
        </is>
      </c>
      <c r="E321" s="110">
        <f>IF((B321+C321)&lt;=1, "Tam Mahsuplaşma (≤%100)", "Kısmi Satış (&gt;%100)")</f>
        <v/>
      </c>
      <c r="F321" s="168">
        <f>((VERI_TABANI!$D$29*B321/VERI_TABANI!$B$29)/VERI_TABANI!$B$3)*VERI_TABANI!$B$5 + ((VERI_TABANI!$D$29*C321/VERI_TABANI!$B$29)/VERI_TABANI!$B$4)*VERI_TABANI!$B$6 + IF(ISNUMBER(SEARCH("Var", D321)), (VERI_TABANI!$F$29/VERI_TABANI!$B$29)*(VERI_TABANI!$B$10+VERI_TABANI!$B$12), 0)</f>
        <v/>
      </c>
      <c r="G321" s="168">
        <f>(((MIN(VERI_TABANI!D23, VERI_TABANI!D23*B321)*VERI_TABANI!$B$7 + MAX(0, VERI_TABANI!D23*B321-VERI_TABANI!D23)*VERI_TABANI!$B$8) + (MIN(MAX(0, VERI_TABANI!D23-VERI_TABANI!D23*B321), VERI_TABANI!D23*C321)*VERI_TABANI!$B$7 + MAX(0, VERI_TABANI!D23*C321-MAX(0, VERI_TABANI!D23-VERI_TABANI!D23*B321))*VERI_TABANI!$B$8) + IF(ABS(IF(ISNUMBER(SEARCH("Var", D321)), 1, IF(ISNUMBER(SEARCH("Gri", D321)), -1, 0)))=1, VERI_TABANI!E23*(1-0.928)*VERI_TABANI!$B$9, 0) + (VERI_TABANI!D23*B321*(VERI_TABANI!$B$13-VERI_TABANI!$B$14)*VERI_TABANI!G23) + (VERI_TABANI!D23*C321*(VERI_TABANI!$B$13-VERI_TABANI!$B$15)*VERI_TABANI!G23) + IF(ABS(IF(ISNUMBER(SEARCH("Var", D321)), 1, IF(ISNUMBER(SEARCH("Gri", D321)), -1, 0)))=1, VERI_TABANI!E23*(1-0.928)*0.00206091519919798*VERI_TABANI!G23, 0)) + ((MIN(VERI_TABANI!D24, VERI_TABANI!D24*B321)*VERI_TABANI!$B$7 + MAX(0, VERI_TABANI!D24*B321-VERI_TABANI!D24)*VERI_TABANI!$B$8) + (MIN(MAX(0, VERI_TABANI!D24-VERI_TABANI!D24*B321), VERI_TABANI!D24*C321)*VERI_TABANI!$B$7 + MAX(0, VERI_TABANI!D24*C321-MAX(0, VERI_TABANI!D24-VERI_TABANI!D24*B321))*VERI_TABANI!$B$8) + IF(ABS(IF(ISNUMBER(SEARCH("Var", D321)), 1, IF(ISNUMBER(SEARCH("Gri", D321)), -1, 0)))=1, VERI_TABANI!E24*(1-0.928)*VERI_TABANI!$B$9, 0) + (VERI_TABANI!D24*B321*(VERI_TABANI!$B$13-VERI_TABANI!$B$14)*VERI_TABANI!G24) + (VERI_TABANI!D24*C321*(VERI_TABANI!$B$13-VERI_TABANI!$B$15)*VERI_TABANI!G24) + IF(ABS(IF(ISNUMBER(SEARCH("Var", D321)), 1, IF(ISNUMBER(SEARCH("Gri", D321)), -1, 0)))=1, VERI_TABANI!E24*(1-0.928)*0.00206091519919798*VERI_TABANI!G24, 0)) + ((MIN(VERI_TABANI!D25, VERI_TABANI!D25*B321)*VERI_TABANI!$B$7 + MAX(0, VERI_TABANI!D25*B321-VERI_TABANI!D25)*VERI_TABANI!$B$8) + (MIN(MAX(0, VERI_TABANI!D25-VERI_TABANI!D25*B321), VERI_TABANI!D25*C321)*VERI_TABANI!$B$7 + MAX(0, VERI_TABANI!D25*C321-MAX(0, VERI_TABANI!D25-VERI_TABANI!D25*B321))*VERI_TABANI!$B$8) + IF(ABS(IF(ISNUMBER(SEARCH("Var", D321)), 1, IF(ISNUMBER(SEARCH("Gri", D321)), -1, 0)))=1, VERI_TABANI!E25*(1-0.928)*VERI_TABANI!$B$9, 0) + (VERI_TABANI!D25*B321*(VERI_TABANI!$B$13-VERI_TABANI!$B$14)*VERI_TABANI!G25) + (VERI_TABANI!D25*C321*(VERI_TABANI!$B$13-VERI_TABANI!$B$15)*VERI_TABANI!G25) + IF(ABS(IF(ISNUMBER(SEARCH("Var", D321)), 1, IF(ISNUMBER(SEARCH("Gri", D321)), -1, 0)))=1, VERI_TABANI!E25*(1-0.928)*0.00206091519919798*VERI_TABANI!G25, 0)) + ((MIN(VERI_TABANI!D26, VERI_TABANI!D26*B321)*VERI_TABANI!$B$7 + MAX(0, VERI_TABANI!D26*B321-VERI_TABANI!D26)*VERI_TABANI!$B$8) + (MIN(MAX(0, VERI_TABANI!D26-VERI_TABANI!D26*B321), VERI_TABANI!D26*C321)*VERI_TABANI!$B$7 + MAX(0, VERI_TABANI!D26*C321-MAX(0, VERI_TABANI!D26-VERI_TABANI!D26*B321))*VERI_TABANI!$B$8) + IF(ABS(IF(ISNUMBER(SEARCH("Var", D321)), 1, IF(ISNUMBER(SEARCH("Gri", D321)), -1, 0)))=1, VERI_TABANI!E26*(1-0.928)*VERI_TABANI!$B$9, 0) + (VERI_TABANI!D26*B321*(VERI_TABANI!$B$13-VERI_TABANI!$B$14)*VERI_TABANI!G26) + (VERI_TABANI!D26*C321*(VERI_TABANI!$B$13-VERI_TABANI!$B$15)*VERI_TABANI!G26) + IF(ABS(IF(ISNUMBER(SEARCH("Var", D321)), 1, IF(ISNUMBER(SEARCH("Gri", D321)), -1, 0)))=1, VERI_TABANI!E26*(1-0.928)*0.00206091519919798*VERI_TABANI!G26, 0)) + ((MIN(VERI_TABANI!D27, VERI_TABANI!D27*B321)*VERI_TABANI!$B$7 + MAX(0, VERI_TABANI!D27*B321-VERI_TABANI!D27)*VERI_TABANI!$B$8) + (MIN(MAX(0, VERI_TABANI!D27-VERI_TABANI!D27*B321), VERI_TABANI!D27*C321)*VERI_TABANI!$B$7 + MAX(0, VERI_TABANI!D27*C321-MAX(0, VERI_TABANI!D27-VERI_TABANI!D27*B321))*VERI_TABANI!$B$8) + IF(ABS(IF(ISNUMBER(SEARCH("Var", D321)), 1, IF(ISNUMBER(SEARCH("Gri", D321)), -1, 0)))=1, VERI_TABANI!E27*(1-0.928)*VERI_TABANI!$B$9, 0) + (VERI_TABANI!D27*B321*(VERI_TABANI!$B$13-VERI_TABANI!$B$14)*VERI_TABANI!G27) + (VERI_TABANI!D27*C321*(VERI_TABANI!$B$13-VERI_TABANI!$B$15)*VERI_TABANI!G27) + IF(ABS(IF(ISNUMBER(SEARCH("Var", D321)), 1, IF(ISNUMBER(SEARCH("Gri", D321)), -1, 0)))=1, VERI_TABANI!E27*(1-0.928)*0.00206091519919798*VERI_TABANI!G27, 0)) + ((MIN(VERI_TABANI!D28, VERI_TABANI!D28*B321)*VERI_TABANI!$B$7 + MAX(0, VERI_TABANI!D28*B321-VERI_TABANI!D28)*VERI_TABANI!$B$8) + (MIN(MAX(0, VERI_TABANI!D28-VERI_TABANI!D28*B321), VERI_TABANI!D28*C321)*VERI_TABANI!$B$7 + MAX(0, VERI_TABANI!D28*C321-MAX(0, VERI_TABANI!D28-VERI_TABANI!D28*B321))*VERI_TABANI!$B$8) + IF(ABS(IF(ISNUMBER(SEARCH("Var", D321)), 1, IF(ISNUMBER(SEARCH("Gri", D321)), -1, 0)))=1, VERI_TABANI!E28*(1-0.928)*VERI_TABANI!$B$9, 0) + (VERI_TABANI!D28*B321*(VERI_TABANI!$B$13-VERI_TABANI!$B$14)*VERI_TABANI!G28) + (VERI_TABANI!D28*C321*(VERI_TABANI!$B$13-VERI_TABANI!$B$15)*VERI_TABANI!G28) + IF(ABS(IF(ISNUMBER(SEARCH("Var", D321)), 1, IF(ISNUMBER(SEARCH("Gri", D321)), -1, 0)))=1, VERI_TABANI!E28*(1-0.928)*0.00206091519919798*VERI_TABANI!G28, 0)))</f>
        <v/>
      </c>
      <c r="H321" s="169">
        <f>(((VERI_TABANI!D23*B321*(VERI_TABANI!$B$13-VERI_TABANI!$B$14)) + (VERI_TABANI!D23*C321*(VERI_TABANI!$B$13-VERI_TABANI!$B$15)) + IF(ISNUMBER(SEARCH("Var", D321)), VERI_TABANI!F23*(0.00202-VERI_TABANI!$B$16), IF(ISNUMBER(SEARCH("Gri", D321)), VERI_TABANI!F23*(0.00202-VERI_TABANI!$B$17), 0))) + ((VERI_TABANI!D24*B321*(VERI_TABANI!$B$13-VERI_TABANI!$B$14)) + (VERI_TABANI!D24*C321*(VERI_TABANI!$B$13-VERI_TABANI!$B$15)) + IF(ISNUMBER(SEARCH("Var", D321)), VERI_TABANI!F24*(0.00202-VERI_TABANI!$B$16), IF(ISNUMBER(SEARCH("Gri", D321)), VERI_TABANI!F24*(0.00202-VERI_TABANI!$B$17), 0))) + ((VERI_TABANI!D25*B321*(VERI_TABANI!$B$13-VERI_TABANI!$B$14)) + (VERI_TABANI!D25*C321*(VERI_TABANI!$B$13-VERI_TABANI!$B$15)) + IF(ISNUMBER(SEARCH("Var", D321)), VERI_TABANI!F25*(0.00202-VERI_TABANI!$B$16), IF(ISNUMBER(SEARCH("Gri", D321)), VERI_TABANI!F25*(0.00202-VERI_TABANI!$B$17), 0))) + ((VERI_TABANI!D26*B321*(VERI_TABANI!$B$13-VERI_TABANI!$B$14)) + (VERI_TABANI!D26*C321*(VERI_TABANI!$B$13-VERI_TABANI!$B$15)) + IF(ISNUMBER(SEARCH("Var", D321)), VERI_TABANI!F26*(0.00202-VERI_TABANI!$B$16), IF(ISNUMBER(SEARCH("Gri", D321)), VERI_TABANI!F26*(0.00202-VERI_TABANI!$B$17), 0))) + ((VERI_TABANI!D27*B321*(VERI_TABANI!$B$13-VERI_TABANI!$B$14)) + (VERI_TABANI!D27*C321*(VERI_TABANI!$B$13-VERI_TABANI!$B$15)) + IF(ISNUMBER(SEARCH("Var", D321)), VERI_TABANI!F27*(0.00202-VERI_TABANI!$B$16), IF(ISNUMBER(SEARCH("Gri", D321)), VERI_TABANI!F27*(0.00202-VERI_TABANI!$B$17), 0))) + ((VERI_TABANI!D28*B321*(VERI_TABANI!$B$13-VERI_TABANI!$B$14)) + (VERI_TABANI!D28*C321*(VERI_TABANI!$B$13-VERI_TABANI!$B$15)) + IF(ISNUMBER(SEARCH("Var", D321)), VERI_TABANI!F28*(0.00202-VERI_TABANI!$B$16), IF(ISNUMBER(SEARCH("Gri", D321)), VERI_TABANI!F28*(0.00202-VERI_TABANI!$B$17), 0))))</f>
        <v/>
      </c>
      <c r="I321" s="170">
        <f>IFERROR(((VERI_TABANI!$D$29*B321*VERI_TABANI!$B$14 + VERI_TABANI!$D$29*C321*VERI_TABANI!$B$15 + IF(ISNUMBER(SEARCH("Var", D321)), VERI_TABANI!$F$29*VERI_TABANI!$B$16, 0))) / (((VERI_TABANI!$D$29*B321 + VERI_TABANI!$D$29*C321)*VERI_TABANI!$B$13 + IF(ISNUMBER(SEARCH("Var", D321)), VERI_TABANI!$E$29*(1-0.928)*VERI_TABANI!$B$18, 0))), 0)</f>
        <v/>
      </c>
      <c r="J321" s="171">
        <f>IFERROR(F321/(G321/29), 0)</f>
        <v/>
      </c>
      <c r="K321" s="172">
        <f>IF(F321&gt;0, H321/F321, 0)</f>
        <v/>
      </c>
      <c r="L321" s="170">
        <f>IF(F321&gt;0, I321, 1000000000)</f>
        <v/>
      </c>
      <c r="M321" s="171">
        <f>ABS((B321+C321)-1)</f>
        <v/>
      </c>
      <c r="N321" s="170">
        <f>IF(F321&gt;0, (G321/29)/F321, 0)</f>
        <v/>
      </c>
      <c r="O321" s="168">
        <f>IF(AND((B321+C321)&gt;=1, ISNUMBER(SEARCH("Var", D321))), F321, 1000000000)</f>
        <v/>
      </c>
      <c r="P321" s="172">
        <f>IF(F321&gt;0, SQRT((F321/MAX(F$5:F$886))^2 + (1 - H321/MAX(H$5:H$886))^2 + (J321/MAX(J$5:J$886))^2), 1000000000)</f>
        <v/>
      </c>
      <c r="Q321" s="166">
        <f>IF(AND(ABS(B321-0.5)&lt;0.01, ABS(C321-0.5)&lt;0.01, ISNUMBER(SEARCH("Var", D321))), 1, 0)</f>
        <v/>
      </c>
      <c r="R321" s="171">
        <f>IF(F321&gt;0, J321, 1000000000)</f>
        <v/>
      </c>
      <c r="S321" s="101">
        <f>IF(AND(F321&lt;=DASHBOARD!$B$11, H321&gt;=DASHBOARD!$B$13), G321, -1000000000000)</f>
        <v/>
      </c>
      <c r="T321" s="101">
        <f>IF(AND(F321&lt;=DASHBOARD!$B$11, H321&gt;=DASHBOARD!$B$13), R321, 1000000000000)</f>
        <v/>
      </c>
      <c r="U321" s="101">
        <f>IF(AND(F321&lt;=DASHBOARD!$B$11, H321&gt;=DASHBOARD!$B$13), N321, -1000000000000)</f>
        <v/>
      </c>
      <c r="V321" s="101">
        <f>IF(AND(F321&lt;=DASHBOARD!$B$11, H321&gt;=DASHBOARD!$B$13), H321, -1000000000000)</f>
        <v/>
      </c>
      <c r="W321" s="101">
        <f>IF(AND(F321&lt;=DASHBOARD!$B$11, H321&gt;=DASHBOARD!$B$13), K321, -1000000000000)</f>
        <v/>
      </c>
      <c r="X321" s="101">
        <f>IF(AND(F321&lt;=DASHBOARD!$B$11, H321&gt;=DASHBOARD!$B$13), M321, 1000000000000)</f>
        <v/>
      </c>
      <c r="Y321" s="101">
        <f>IF(AND(F321&lt;=DASHBOARD!$B$10, H321&gt;=DASHBOARD!$B$11), L321, 1000000000000)</f>
        <v/>
      </c>
      <c r="Z321" s="101">
        <f>IF(AND(F321&lt;=DASHBOARD!$B$10, H321&gt;=DASHBOARD!$B$11), O321, 1000000000000)</f>
        <v/>
      </c>
      <c r="AA321" s="101">
        <f>IF(AND(F321&lt;=DASHBOARD!$B$10, H321&gt;=DASHBOARD!$B$11), P321, 1000000000000)</f>
        <v/>
      </c>
      <c r="AB321" s="101">
        <f>IF(AND(F321&lt;=DASHBOARD!$B$10, H321&gt;=DASHBOARD!$B$11), Q321, -1000000000000)</f>
        <v/>
      </c>
    </row>
    <row r="322" ht="15" customHeight="1" s="102">
      <c r="A322" s="166" t="n">
        <v>318</v>
      </c>
      <c r="B322" s="167" t="n">
        <v>0.7</v>
      </c>
      <c r="C322" s="167" t="n">
        <v>1.1</v>
      </c>
      <c r="D322" s="110" t="inlineStr">
        <is>
          <t>Var (%20)</t>
        </is>
      </c>
      <c r="E322" s="110">
        <f>IF((B322+C322)&lt;=1, "Tam Mahsuplaşma (≤%100)", "Kısmi Satış (&gt;%100)")</f>
        <v/>
      </c>
      <c r="F322" s="168">
        <f>((VERI_TABANI!$D$29*B322/VERI_TABANI!$B$29)/VERI_TABANI!$B$3)*VERI_TABANI!$B$5 + ((VERI_TABANI!$D$29*C322/VERI_TABANI!$B$29)/VERI_TABANI!$B$4)*VERI_TABANI!$B$6 + IF(ISNUMBER(SEARCH("Var", D322)), (VERI_TABANI!$F$29/VERI_TABANI!$B$29)*(VERI_TABANI!$B$10+VERI_TABANI!$B$12), 0)</f>
        <v/>
      </c>
      <c r="G322" s="168">
        <f>(((MIN(VERI_TABANI!D23, VERI_TABANI!D23*B322)*VERI_TABANI!$B$7 + MAX(0, VERI_TABANI!D23*B322-VERI_TABANI!D23)*VERI_TABANI!$B$8) + (MIN(MAX(0, VERI_TABANI!D23-VERI_TABANI!D23*B322), VERI_TABANI!D23*C322)*VERI_TABANI!$B$7 + MAX(0, VERI_TABANI!D23*C322-MAX(0, VERI_TABANI!D23-VERI_TABANI!D23*B322))*VERI_TABANI!$B$8) + IF(ABS(IF(ISNUMBER(SEARCH("Var", D322)), 1, IF(ISNUMBER(SEARCH("Gri", D322)), -1, 0)))=1, VERI_TABANI!E23*(1-0.928)*VERI_TABANI!$B$9, 0) + (VERI_TABANI!D23*B322*(VERI_TABANI!$B$13-VERI_TABANI!$B$14)*VERI_TABANI!G23) + (VERI_TABANI!D23*C322*(VERI_TABANI!$B$13-VERI_TABANI!$B$15)*VERI_TABANI!G23) + IF(ABS(IF(ISNUMBER(SEARCH("Var", D322)), 1, IF(ISNUMBER(SEARCH("Gri", D322)), -1, 0)))=1, VERI_TABANI!E23*(1-0.928)*0.00206091519919798*VERI_TABANI!G23, 0)) + ((MIN(VERI_TABANI!D24, VERI_TABANI!D24*B322)*VERI_TABANI!$B$7 + MAX(0, VERI_TABANI!D24*B322-VERI_TABANI!D24)*VERI_TABANI!$B$8) + (MIN(MAX(0, VERI_TABANI!D24-VERI_TABANI!D24*B322), VERI_TABANI!D24*C322)*VERI_TABANI!$B$7 + MAX(0, VERI_TABANI!D24*C322-MAX(0, VERI_TABANI!D24-VERI_TABANI!D24*B322))*VERI_TABANI!$B$8) + IF(ABS(IF(ISNUMBER(SEARCH("Var", D322)), 1, IF(ISNUMBER(SEARCH("Gri", D322)), -1, 0)))=1, VERI_TABANI!E24*(1-0.928)*VERI_TABANI!$B$9, 0) + (VERI_TABANI!D24*B322*(VERI_TABANI!$B$13-VERI_TABANI!$B$14)*VERI_TABANI!G24) + (VERI_TABANI!D24*C322*(VERI_TABANI!$B$13-VERI_TABANI!$B$15)*VERI_TABANI!G24) + IF(ABS(IF(ISNUMBER(SEARCH("Var", D322)), 1, IF(ISNUMBER(SEARCH("Gri", D322)), -1, 0)))=1, VERI_TABANI!E24*(1-0.928)*0.00206091519919798*VERI_TABANI!G24, 0)) + ((MIN(VERI_TABANI!D25, VERI_TABANI!D25*B322)*VERI_TABANI!$B$7 + MAX(0, VERI_TABANI!D25*B322-VERI_TABANI!D25)*VERI_TABANI!$B$8) + (MIN(MAX(0, VERI_TABANI!D25-VERI_TABANI!D25*B322), VERI_TABANI!D25*C322)*VERI_TABANI!$B$7 + MAX(0, VERI_TABANI!D25*C322-MAX(0, VERI_TABANI!D25-VERI_TABANI!D25*B322))*VERI_TABANI!$B$8) + IF(ABS(IF(ISNUMBER(SEARCH("Var", D322)), 1, IF(ISNUMBER(SEARCH("Gri", D322)), -1, 0)))=1, VERI_TABANI!E25*(1-0.928)*VERI_TABANI!$B$9, 0) + (VERI_TABANI!D25*B322*(VERI_TABANI!$B$13-VERI_TABANI!$B$14)*VERI_TABANI!G25) + (VERI_TABANI!D25*C322*(VERI_TABANI!$B$13-VERI_TABANI!$B$15)*VERI_TABANI!G25) + IF(ABS(IF(ISNUMBER(SEARCH("Var", D322)), 1, IF(ISNUMBER(SEARCH("Gri", D322)), -1, 0)))=1, VERI_TABANI!E25*(1-0.928)*0.00206091519919798*VERI_TABANI!G25, 0)) + ((MIN(VERI_TABANI!D26, VERI_TABANI!D26*B322)*VERI_TABANI!$B$7 + MAX(0, VERI_TABANI!D26*B322-VERI_TABANI!D26)*VERI_TABANI!$B$8) + (MIN(MAX(0, VERI_TABANI!D26-VERI_TABANI!D26*B322), VERI_TABANI!D26*C322)*VERI_TABANI!$B$7 + MAX(0, VERI_TABANI!D26*C322-MAX(0, VERI_TABANI!D26-VERI_TABANI!D26*B322))*VERI_TABANI!$B$8) + IF(ABS(IF(ISNUMBER(SEARCH("Var", D322)), 1, IF(ISNUMBER(SEARCH("Gri", D322)), -1, 0)))=1, VERI_TABANI!E26*(1-0.928)*VERI_TABANI!$B$9, 0) + (VERI_TABANI!D26*B322*(VERI_TABANI!$B$13-VERI_TABANI!$B$14)*VERI_TABANI!G26) + (VERI_TABANI!D26*C322*(VERI_TABANI!$B$13-VERI_TABANI!$B$15)*VERI_TABANI!G26) + IF(ABS(IF(ISNUMBER(SEARCH("Var", D322)), 1, IF(ISNUMBER(SEARCH("Gri", D322)), -1, 0)))=1, VERI_TABANI!E26*(1-0.928)*0.00206091519919798*VERI_TABANI!G26, 0)) + ((MIN(VERI_TABANI!D27, VERI_TABANI!D27*B322)*VERI_TABANI!$B$7 + MAX(0, VERI_TABANI!D27*B322-VERI_TABANI!D27)*VERI_TABANI!$B$8) + (MIN(MAX(0, VERI_TABANI!D27-VERI_TABANI!D27*B322), VERI_TABANI!D27*C322)*VERI_TABANI!$B$7 + MAX(0, VERI_TABANI!D27*C322-MAX(0, VERI_TABANI!D27-VERI_TABANI!D27*B322))*VERI_TABANI!$B$8) + IF(ABS(IF(ISNUMBER(SEARCH("Var", D322)), 1, IF(ISNUMBER(SEARCH("Gri", D322)), -1, 0)))=1, VERI_TABANI!E27*(1-0.928)*VERI_TABANI!$B$9, 0) + (VERI_TABANI!D27*B322*(VERI_TABANI!$B$13-VERI_TABANI!$B$14)*VERI_TABANI!G27) + (VERI_TABANI!D27*C322*(VERI_TABANI!$B$13-VERI_TABANI!$B$15)*VERI_TABANI!G27) + IF(ABS(IF(ISNUMBER(SEARCH("Var", D322)), 1, IF(ISNUMBER(SEARCH("Gri", D322)), -1, 0)))=1, VERI_TABANI!E27*(1-0.928)*0.00206091519919798*VERI_TABANI!G27, 0)) + ((MIN(VERI_TABANI!D28, VERI_TABANI!D28*B322)*VERI_TABANI!$B$7 + MAX(0, VERI_TABANI!D28*B322-VERI_TABANI!D28)*VERI_TABANI!$B$8) + (MIN(MAX(0, VERI_TABANI!D28-VERI_TABANI!D28*B322), VERI_TABANI!D28*C322)*VERI_TABANI!$B$7 + MAX(0, VERI_TABANI!D28*C322-MAX(0, VERI_TABANI!D28-VERI_TABANI!D28*B322))*VERI_TABANI!$B$8) + IF(ABS(IF(ISNUMBER(SEARCH("Var", D322)), 1, IF(ISNUMBER(SEARCH("Gri", D322)), -1, 0)))=1, VERI_TABANI!E28*(1-0.928)*VERI_TABANI!$B$9, 0) + (VERI_TABANI!D28*B322*(VERI_TABANI!$B$13-VERI_TABANI!$B$14)*VERI_TABANI!G28) + (VERI_TABANI!D28*C322*(VERI_TABANI!$B$13-VERI_TABANI!$B$15)*VERI_TABANI!G28) + IF(ABS(IF(ISNUMBER(SEARCH("Var", D322)), 1, IF(ISNUMBER(SEARCH("Gri", D322)), -1, 0)))=1, VERI_TABANI!E28*(1-0.928)*0.00206091519919798*VERI_TABANI!G28, 0)))</f>
        <v/>
      </c>
      <c r="H322" s="169">
        <f>(((VERI_TABANI!D23*B322*(VERI_TABANI!$B$13-VERI_TABANI!$B$14)) + (VERI_TABANI!D23*C322*(VERI_TABANI!$B$13-VERI_TABANI!$B$15)) + IF(ISNUMBER(SEARCH("Var", D322)), VERI_TABANI!F23*(0.00202-VERI_TABANI!$B$16), IF(ISNUMBER(SEARCH("Gri", D322)), VERI_TABANI!F23*(0.00202-VERI_TABANI!$B$17), 0))) + ((VERI_TABANI!D24*B322*(VERI_TABANI!$B$13-VERI_TABANI!$B$14)) + (VERI_TABANI!D24*C322*(VERI_TABANI!$B$13-VERI_TABANI!$B$15)) + IF(ISNUMBER(SEARCH("Var", D322)), VERI_TABANI!F24*(0.00202-VERI_TABANI!$B$16), IF(ISNUMBER(SEARCH("Gri", D322)), VERI_TABANI!F24*(0.00202-VERI_TABANI!$B$17), 0))) + ((VERI_TABANI!D25*B322*(VERI_TABANI!$B$13-VERI_TABANI!$B$14)) + (VERI_TABANI!D25*C322*(VERI_TABANI!$B$13-VERI_TABANI!$B$15)) + IF(ISNUMBER(SEARCH("Var", D322)), VERI_TABANI!F25*(0.00202-VERI_TABANI!$B$16), IF(ISNUMBER(SEARCH("Gri", D322)), VERI_TABANI!F25*(0.00202-VERI_TABANI!$B$17), 0))) + ((VERI_TABANI!D26*B322*(VERI_TABANI!$B$13-VERI_TABANI!$B$14)) + (VERI_TABANI!D26*C322*(VERI_TABANI!$B$13-VERI_TABANI!$B$15)) + IF(ISNUMBER(SEARCH("Var", D322)), VERI_TABANI!F26*(0.00202-VERI_TABANI!$B$16), IF(ISNUMBER(SEARCH("Gri", D322)), VERI_TABANI!F26*(0.00202-VERI_TABANI!$B$17), 0))) + ((VERI_TABANI!D27*B322*(VERI_TABANI!$B$13-VERI_TABANI!$B$14)) + (VERI_TABANI!D27*C322*(VERI_TABANI!$B$13-VERI_TABANI!$B$15)) + IF(ISNUMBER(SEARCH("Var", D322)), VERI_TABANI!F27*(0.00202-VERI_TABANI!$B$16), IF(ISNUMBER(SEARCH("Gri", D322)), VERI_TABANI!F27*(0.00202-VERI_TABANI!$B$17), 0))) + ((VERI_TABANI!D28*B322*(VERI_TABANI!$B$13-VERI_TABANI!$B$14)) + (VERI_TABANI!D28*C322*(VERI_TABANI!$B$13-VERI_TABANI!$B$15)) + IF(ISNUMBER(SEARCH("Var", D322)), VERI_TABANI!F28*(0.00202-VERI_TABANI!$B$16), IF(ISNUMBER(SEARCH("Gri", D322)), VERI_TABANI!F28*(0.00202-VERI_TABANI!$B$17), 0))))</f>
        <v/>
      </c>
      <c r="I322" s="170">
        <f>IFERROR(((VERI_TABANI!$D$29*B322*VERI_TABANI!$B$14 + VERI_TABANI!$D$29*C322*VERI_TABANI!$B$15 + IF(ISNUMBER(SEARCH("Var", D322)), VERI_TABANI!$F$29*VERI_TABANI!$B$16, 0))) / (((VERI_TABANI!$D$29*B322 + VERI_TABANI!$D$29*C322)*VERI_TABANI!$B$13 + IF(ISNUMBER(SEARCH("Var", D322)), VERI_TABANI!$E$29*(1-0.928)*VERI_TABANI!$B$18, 0))), 0)</f>
        <v/>
      </c>
      <c r="J322" s="171">
        <f>IFERROR(F322/(G322/29), 0)</f>
        <v/>
      </c>
      <c r="K322" s="172">
        <f>IF(F322&gt;0, H322/F322, 0)</f>
        <v/>
      </c>
      <c r="L322" s="170">
        <f>IF(F322&gt;0, I322, 1000000000)</f>
        <v/>
      </c>
      <c r="M322" s="171">
        <f>ABS((B322+C322)-1)</f>
        <v/>
      </c>
      <c r="N322" s="170">
        <f>IF(F322&gt;0, (G322/29)/F322, 0)</f>
        <v/>
      </c>
      <c r="O322" s="168">
        <f>IF(AND((B322+C322)&gt;=1, ISNUMBER(SEARCH("Var", D322))), F322, 1000000000)</f>
        <v/>
      </c>
      <c r="P322" s="172">
        <f>IF(F322&gt;0, SQRT((F322/MAX(F$5:F$886))^2 + (1 - H322/MAX(H$5:H$886))^2 + (J322/MAX(J$5:J$886))^2), 1000000000)</f>
        <v/>
      </c>
      <c r="Q322" s="166">
        <f>IF(AND(ABS(B322-0.5)&lt;0.01, ABS(C322-0.5)&lt;0.01, ISNUMBER(SEARCH("Var", D322))), 1, 0)</f>
        <v/>
      </c>
      <c r="R322" s="171">
        <f>IF(F322&gt;0, J322, 1000000000)</f>
        <v/>
      </c>
      <c r="S322" s="101">
        <f>IF(AND(F322&lt;=DASHBOARD!$B$11, H322&gt;=DASHBOARD!$B$13), G322, -1000000000000)</f>
        <v/>
      </c>
      <c r="T322" s="101">
        <f>IF(AND(F322&lt;=DASHBOARD!$B$11, H322&gt;=DASHBOARD!$B$13), R322, 1000000000000)</f>
        <v/>
      </c>
      <c r="U322" s="101">
        <f>IF(AND(F322&lt;=DASHBOARD!$B$11, H322&gt;=DASHBOARD!$B$13), N322, -1000000000000)</f>
        <v/>
      </c>
      <c r="V322" s="101">
        <f>IF(AND(F322&lt;=DASHBOARD!$B$11, H322&gt;=DASHBOARD!$B$13), H322, -1000000000000)</f>
        <v/>
      </c>
      <c r="W322" s="101">
        <f>IF(AND(F322&lt;=DASHBOARD!$B$11, H322&gt;=DASHBOARD!$B$13), K322, -1000000000000)</f>
        <v/>
      </c>
      <c r="X322" s="101">
        <f>IF(AND(F322&lt;=DASHBOARD!$B$11, H322&gt;=DASHBOARD!$B$13), M322, 1000000000000)</f>
        <v/>
      </c>
      <c r="Y322" s="101">
        <f>IF(AND(F322&lt;=DASHBOARD!$B$10, H322&gt;=DASHBOARD!$B$11), L322, 1000000000000)</f>
        <v/>
      </c>
      <c r="Z322" s="101">
        <f>IF(AND(F322&lt;=DASHBOARD!$B$10, H322&gt;=DASHBOARD!$B$11), O322, 1000000000000)</f>
        <v/>
      </c>
      <c r="AA322" s="101">
        <f>IF(AND(F322&lt;=DASHBOARD!$B$10, H322&gt;=DASHBOARD!$B$11), P322, 1000000000000)</f>
        <v/>
      </c>
      <c r="AB322" s="101">
        <f>IF(AND(F322&lt;=DASHBOARD!$B$10, H322&gt;=DASHBOARD!$B$11), Q322, -1000000000000)</f>
        <v/>
      </c>
    </row>
    <row r="323" ht="15" customHeight="1" s="102">
      <c r="A323" s="166" t="n">
        <v>319</v>
      </c>
      <c r="B323" s="167" t="n">
        <v>0.7</v>
      </c>
      <c r="C323" s="167" t="n">
        <v>1.2</v>
      </c>
      <c r="D323" s="110" t="inlineStr">
        <is>
          <t>Yok (%0)</t>
        </is>
      </c>
      <c r="E323" s="110">
        <f>IF((B323+C323)&lt;=1, "Tam Mahsuplaşma (≤%100)", "Kısmi Satış (&gt;%100)")</f>
        <v/>
      </c>
      <c r="F323" s="168">
        <f>((VERI_TABANI!$D$29*B323/VERI_TABANI!$B$29)/VERI_TABANI!$B$3)*VERI_TABANI!$B$5 + ((VERI_TABANI!$D$29*C323/VERI_TABANI!$B$29)/VERI_TABANI!$B$4)*VERI_TABANI!$B$6 + IF(ISNUMBER(SEARCH("Var", D323)), (VERI_TABANI!$F$29/VERI_TABANI!$B$29)*(VERI_TABANI!$B$10+VERI_TABANI!$B$12), 0)</f>
        <v/>
      </c>
      <c r="G323" s="168">
        <f>(((MIN(VERI_TABANI!D23, VERI_TABANI!D23*B323)*VERI_TABANI!$B$7 + MAX(0, VERI_TABANI!D23*B323-VERI_TABANI!D23)*VERI_TABANI!$B$8) + (MIN(MAX(0, VERI_TABANI!D23-VERI_TABANI!D23*B323), VERI_TABANI!D23*C323)*VERI_TABANI!$B$7 + MAX(0, VERI_TABANI!D23*C323-MAX(0, VERI_TABANI!D23-VERI_TABANI!D23*B323))*VERI_TABANI!$B$8) + IF(ABS(IF(ISNUMBER(SEARCH("Var", D323)), 1, IF(ISNUMBER(SEARCH("Gri", D323)), -1, 0)))=1, VERI_TABANI!E23*(1-0.928)*VERI_TABANI!$B$9, 0) + (VERI_TABANI!D23*B323*(VERI_TABANI!$B$13-VERI_TABANI!$B$14)*VERI_TABANI!G23) + (VERI_TABANI!D23*C323*(VERI_TABANI!$B$13-VERI_TABANI!$B$15)*VERI_TABANI!G23) + IF(ABS(IF(ISNUMBER(SEARCH("Var", D323)), 1, IF(ISNUMBER(SEARCH("Gri", D323)), -1, 0)))=1, VERI_TABANI!E23*(1-0.928)*0.00206091519919798*VERI_TABANI!G23, 0)) + ((MIN(VERI_TABANI!D24, VERI_TABANI!D24*B323)*VERI_TABANI!$B$7 + MAX(0, VERI_TABANI!D24*B323-VERI_TABANI!D24)*VERI_TABANI!$B$8) + (MIN(MAX(0, VERI_TABANI!D24-VERI_TABANI!D24*B323), VERI_TABANI!D24*C323)*VERI_TABANI!$B$7 + MAX(0, VERI_TABANI!D24*C323-MAX(0, VERI_TABANI!D24-VERI_TABANI!D24*B323))*VERI_TABANI!$B$8) + IF(ABS(IF(ISNUMBER(SEARCH("Var", D323)), 1, IF(ISNUMBER(SEARCH("Gri", D323)), -1, 0)))=1, VERI_TABANI!E24*(1-0.928)*VERI_TABANI!$B$9, 0) + (VERI_TABANI!D24*B323*(VERI_TABANI!$B$13-VERI_TABANI!$B$14)*VERI_TABANI!G24) + (VERI_TABANI!D24*C323*(VERI_TABANI!$B$13-VERI_TABANI!$B$15)*VERI_TABANI!G24) + IF(ABS(IF(ISNUMBER(SEARCH("Var", D323)), 1, IF(ISNUMBER(SEARCH("Gri", D323)), -1, 0)))=1, VERI_TABANI!E24*(1-0.928)*0.00206091519919798*VERI_TABANI!G24, 0)) + ((MIN(VERI_TABANI!D25, VERI_TABANI!D25*B323)*VERI_TABANI!$B$7 + MAX(0, VERI_TABANI!D25*B323-VERI_TABANI!D25)*VERI_TABANI!$B$8) + (MIN(MAX(0, VERI_TABANI!D25-VERI_TABANI!D25*B323), VERI_TABANI!D25*C323)*VERI_TABANI!$B$7 + MAX(0, VERI_TABANI!D25*C323-MAX(0, VERI_TABANI!D25-VERI_TABANI!D25*B323))*VERI_TABANI!$B$8) + IF(ABS(IF(ISNUMBER(SEARCH("Var", D323)), 1, IF(ISNUMBER(SEARCH("Gri", D323)), -1, 0)))=1, VERI_TABANI!E25*(1-0.928)*VERI_TABANI!$B$9, 0) + (VERI_TABANI!D25*B323*(VERI_TABANI!$B$13-VERI_TABANI!$B$14)*VERI_TABANI!G25) + (VERI_TABANI!D25*C323*(VERI_TABANI!$B$13-VERI_TABANI!$B$15)*VERI_TABANI!G25) + IF(ABS(IF(ISNUMBER(SEARCH("Var", D323)), 1, IF(ISNUMBER(SEARCH("Gri", D323)), -1, 0)))=1, VERI_TABANI!E25*(1-0.928)*0.00206091519919798*VERI_TABANI!G25, 0)) + ((MIN(VERI_TABANI!D26, VERI_TABANI!D26*B323)*VERI_TABANI!$B$7 + MAX(0, VERI_TABANI!D26*B323-VERI_TABANI!D26)*VERI_TABANI!$B$8) + (MIN(MAX(0, VERI_TABANI!D26-VERI_TABANI!D26*B323), VERI_TABANI!D26*C323)*VERI_TABANI!$B$7 + MAX(0, VERI_TABANI!D26*C323-MAX(0, VERI_TABANI!D26-VERI_TABANI!D26*B323))*VERI_TABANI!$B$8) + IF(ABS(IF(ISNUMBER(SEARCH("Var", D323)), 1, IF(ISNUMBER(SEARCH("Gri", D323)), -1, 0)))=1, VERI_TABANI!E26*(1-0.928)*VERI_TABANI!$B$9, 0) + (VERI_TABANI!D26*B323*(VERI_TABANI!$B$13-VERI_TABANI!$B$14)*VERI_TABANI!G26) + (VERI_TABANI!D26*C323*(VERI_TABANI!$B$13-VERI_TABANI!$B$15)*VERI_TABANI!G26) + IF(ABS(IF(ISNUMBER(SEARCH("Var", D323)), 1, IF(ISNUMBER(SEARCH("Gri", D323)), -1, 0)))=1, VERI_TABANI!E26*(1-0.928)*0.00206091519919798*VERI_TABANI!G26, 0)) + ((MIN(VERI_TABANI!D27, VERI_TABANI!D27*B323)*VERI_TABANI!$B$7 + MAX(0, VERI_TABANI!D27*B323-VERI_TABANI!D27)*VERI_TABANI!$B$8) + (MIN(MAX(0, VERI_TABANI!D27-VERI_TABANI!D27*B323), VERI_TABANI!D27*C323)*VERI_TABANI!$B$7 + MAX(0, VERI_TABANI!D27*C323-MAX(0, VERI_TABANI!D27-VERI_TABANI!D27*B323))*VERI_TABANI!$B$8) + IF(ABS(IF(ISNUMBER(SEARCH("Var", D323)), 1, IF(ISNUMBER(SEARCH("Gri", D323)), -1, 0)))=1, VERI_TABANI!E27*(1-0.928)*VERI_TABANI!$B$9, 0) + (VERI_TABANI!D27*B323*(VERI_TABANI!$B$13-VERI_TABANI!$B$14)*VERI_TABANI!G27) + (VERI_TABANI!D27*C323*(VERI_TABANI!$B$13-VERI_TABANI!$B$15)*VERI_TABANI!G27) + IF(ABS(IF(ISNUMBER(SEARCH("Var", D323)), 1, IF(ISNUMBER(SEARCH("Gri", D323)), -1, 0)))=1, VERI_TABANI!E27*(1-0.928)*0.00206091519919798*VERI_TABANI!G27, 0)) + ((MIN(VERI_TABANI!D28, VERI_TABANI!D28*B323)*VERI_TABANI!$B$7 + MAX(0, VERI_TABANI!D28*B323-VERI_TABANI!D28)*VERI_TABANI!$B$8) + (MIN(MAX(0, VERI_TABANI!D28-VERI_TABANI!D28*B323), VERI_TABANI!D28*C323)*VERI_TABANI!$B$7 + MAX(0, VERI_TABANI!D28*C323-MAX(0, VERI_TABANI!D28-VERI_TABANI!D28*B323))*VERI_TABANI!$B$8) + IF(ABS(IF(ISNUMBER(SEARCH("Var", D323)), 1, IF(ISNUMBER(SEARCH("Gri", D323)), -1, 0)))=1, VERI_TABANI!E28*(1-0.928)*VERI_TABANI!$B$9, 0) + (VERI_TABANI!D28*B323*(VERI_TABANI!$B$13-VERI_TABANI!$B$14)*VERI_TABANI!G28) + (VERI_TABANI!D28*C323*(VERI_TABANI!$B$13-VERI_TABANI!$B$15)*VERI_TABANI!G28) + IF(ABS(IF(ISNUMBER(SEARCH("Var", D323)), 1, IF(ISNUMBER(SEARCH("Gri", D323)), -1, 0)))=1, VERI_TABANI!E28*(1-0.928)*0.00206091519919798*VERI_TABANI!G28, 0)))</f>
        <v/>
      </c>
      <c r="H323" s="169">
        <f>(((VERI_TABANI!D23*B323*(VERI_TABANI!$B$13-VERI_TABANI!$B$14)) + (VERI_TABANI!D23*C323*(VERI_TABANI!$B$13-VERI_TABANI!$B$15)) + IF(ISNUMBER(SEARCH("Var", D323)), VERI_TABANI!F23*(0.00202-VERI_TABANI!$B$16), IF(ISNUMBER(SEARCH("Gri", D323)), VERI_TABANI!F23*(0.00202-VERI_TABANI!$B$17), 0))) + ((VERI_TABANI!D24*B323*(VERI_TABANI!$B$13-VERI_TABANI!$B$14)) + (VERI_TABANI!D24*C323*(VERI_TABANI!$B$13-VERI_TABANI!$B$15)) + IF(ISNUMBER(SEARCH("Var", D323)), VERI_TABANI!F24*(0.00202-VERI_TABANI!$B$16), IF(ISNUMBER(SEARCH("Gri", D323)), VERI_TABANI!F24*(0.00202-VERI_TABANI!$B$17), 0))) + ((VERI_TABANI!D25*B323*(VERI_TABANI!$B$13-VERI_TABANI!$B$14)) + (VERI_TABANI!D25*C323*(VERI_TABANI!$B$13-VERI_TABANI!$B$15)) + IF(ISNUMBER(SEARCH("Var", D323)), VERI_TABANI!F25*(0.00202-VERI_TABANI!$B$16), IF(ISNUMBER(SEARCH("Gri", D323)), VERI_TABANI!F25*(0.00202-VERI_TABANI!$B$17), 0))) + ((VERI_TABANI!D26*B323*(VERI_TABANI!$B$13-VERI_TABANI!$B$14)) + (VERI_TABANI!D26*C323*(VERI_TABANI!$B$13-VERI_TABANI!$B$15)) + IF(ISNUMBER(SEARCH("Var", D323)), VERI_TABANI!F26*(0.00202-VERI_TABANI!$B$16), IF(ISNUMBER(SEARCH("Gri", D323)), VERI_TABANI!F26*(0.00202-VERI_TABANI!$B$17), 0))) + ((VERI_TABANI!D27*B323*(VERI_TABANI!$B$13-VERI_TABANI!$B$14)) + (VERI_TABANI!D27*C323*(VERI_TABANI!$B$13-VERI_TABANI!$B$15)) + IF(ISNUMBER(SEARCH("Var", D323)), VERI_TABANI!F27*(0.00202-VERI_TABANI!$B$16), IF(ISNUMBER(SEARCH("Gri", D323)), VERI_TABANI!F27*(0.00202-VERI_TABANI!$B$17), 0))) + ((VERI_TABANI!D28*B323*(VERI_TABANI!$B$13-VERI_TABANI!$B$14)) + (VERI_TABANI!D28*C323*(VERI_TABANI!$B$13-VERI_TABANI!$B$15)) + IF(ISNUMBER(SEARCH("Var", D323)), VERI_TABANI!F28*(0.00202-VERI_TABANI!$B$16), IF(ISNUMBER(SEARCH("Gri", D323)), VERI_TABANI!F28*(0.00202-VERI_TABANI!$B$17), 0))))</f>
        <v/>
      </c>
      <c r="I323" s="170">
        <f>IFERROR(((VERI_TABANI!$D$29*B323*VERI_TABANI!$B$14 + VERI_TABANI!$D$29*C323*VERI_TABANI!$B$15 + IF(ISNUMBER(SEARCH("Var", D323)), VERI_TABANI!$F$29*VERI_TABANI!$B$16, 0))) / (((VERI_TABANI!$D$29*B323 + VERI_TABANI!$D$29*C323)*VERI_TABANI!$B$13 + IF(ISNUMBER(SEARCH("Var", D323)), VERI_TABANI!$E$29*(1-0.928)*VERI_TABANI!$B$18, 0))), 0)</f>
        <v/>
      </c>
      <c r="J323" s="171">
        <f>IFERROR(F323/(G323/29), 0)</f>
        <v/>
      </c>
      <c r="K323" s="172">
        <f>IF(F323&gt;0, H323/F323, 0)</f>
        <v/>
      </c>
      <c r="L323" s="170">
        <f>IF(F323&gt;0, I323, 1000000000)</f>
        <v/>
      </c>
      <c r="M323" s="171">
        <f>ABS((B323+C323)-1)</f>
        <v/>
      </c>
      <c r="N323" s="170">
        <f>IF(F323&gt;0, (G323/29)/F323, 0)</f>
        <v/>
      </c>
      <c r="O323" s="168">
        <f>IF(AND((B323+C323)&gt;=1, ISNUMBER(SEARCH("Var", D323))), F323, 1000000000)</f>
        <v/>
      </c>
      <c r="P323" s="172">
        <f>IF(F323&gt;0, SQRT((F323/MAX(F$5:F$886))^2 + (1 - H323/MAX(H$5:H$886))^2 + (J323/MAX(J$5:J$886))^2), 1000000000)</f>
        <v/>
      </c>
      <c r="Q323" s="166">
        <f>IF(AND(ABS(B323-0.5)&lt;0.01, ABS(C323-0.5)&lt;0.01, ISNUMBER(SEARCH("Var", D323))), 1, 0)</f>
        <v/>
      </c>
      <c r="R323" s="171">
        <f>IF(F323&gt;0, J323, 1000000000)</f>
        <v/>
      </c>
      <c r="S323" s="101">
        <f>IF(AND(F323&lt;=DASHBOARD!$B$11, H323&gt;=DASHBOARD!$B$13), G323, -1000000000000)</f>
        <v/>
      </c>
      <c r="T323" s="101">
        <f>IF(AND(F323&lt;=DASHBOARD!$B$11, H323&gt;=DASHBOARD!$B$13), R323, 1000000000000)</f>
        <v/>
      </c>
      <c r="U323" s="101">
        <f>IF(AND(F323&lt;=DASHBOARD!$B$11, H323&gt;=DASHBOARD!$B$13), N323, -1000000000000)</f>
        <v/>
      </c>
      <c r="V323" s="101">
        <f>IF(AND(F323&lt;=DASHBOARD!$B$11, H323&gt;=DASHBOARD!$B$13), H323, -1000000000000)</f>
        <v/>
      </c>
      <c r="W323" s="101">
        <f>IF(AND(F323&lt;=DASHBOARD!$B$11, H323&gt;=DASHBOARD!$B$13), K323, -1000000000000)</f>
        <v/>
      </c>
      <c r="X323" s="101">
        <f>IF(AND(F323&lt;=DASHBOARD!$B$11, H323&gt;=DASHBOARD!$B$13), M323, 1000000000000)</f>
        <v/>
      </c>
      <c r="Y323" s="101">
        <f>IF(AND(F323&lt;=DASHBOARD!$B$10, H323&gt;=DASHBOARD!$B$11), L323, 1000000000000)</f>
        <v/>
      </c>
      <c r="Z323" s="101">
        <f>IF(AND(F323&lt;=DASHBOARD!$B$10, H323&gt;=DASHBOARD!$B$11), O323, 1000000000000)</f>
        <v/>
      </c>
      <c r="AA323" s="101">
        <f>IF(AND(F323&lt;=DASHBOARD!$B$10, H323&gt;=DASHBOARD!$B$11), P323, 1000000000000)</f>
        <v/>
      </c>
      <c r="AB323" s="101">
        <f>IF(AND(F323&lt;=DASHBOARD!$B$10, H323&gt;=DASHBOARD!$B$11), Q323, -1000000000000)</f>
        <v/>
      </c>
    </row>
    <row r="324" ht="15" customHeight="1" s="102">
      <c r="A324" s="166" t="n">
        <v>320</v>
      </c>
      <c r="B324" s="167" t="n">
        <v>0.7</v>
      </c>
      <c r="C324" s="167" t="n">
        <v>1.2</v>
      </c>
      <c r="D324" s="110" t="inlineStr">
        <is>
          <t>Var (%20)</t>
        </is>
      </c>
      <c r="E324" s="110">
        <f>IF((B324+C324)&lt;=1, "Tam Mahsuplaşma (≤%100)", "Kısmi Satış (&gt;%100)")</f>
        <v/>
      </c>
      <c r="F324" s="168">
        <f>((VERI_TABANI!$D$29*B324/VERI_TABANI!$B$29)/VERI_TABANI!$B$3)*VERI_TABANI!$B$5 + ((VERI_TABANI!$D$29*C324/VERI_TABANI!$B$29)/VERI_TABANI!$B$4)*VERI_TABANI!$B$6 + IF(ISNUMBER(SEARCH("Var", D324)), (VERI_TABANI!$F$29/VERI_TABANI!$B$29)*(VERI_TABANI!$B$10+VERI_TABANI!$B$12), 0)</f>
        <v/>
      </c>
      <c r="G324" s="168">
        <f>(((MIN(VERI_TABANI!D23, VERI_TABANI!D23*B324)*VERI_TABANI!$B$7 + MAX(0, VERI_TABANI!D23*B324-VERI_TABANI!D23)*VERI_TABANI!$B$8) + (MIN(MAX(0, VERI_TABANI!D23-VERI_TABANI!D23*B324), VERI_TABANI!D23*C324)*VERI_TABANI!$B$7 + MAX(0, VERI_TABANI!D23*C324-MAX(0, VERI_TABANI!D23-VERI_TABANI!D23*B324))*VERI_TABANI!$B$8) + IF(ABS(IF(ISNUMBER(SEARCH("Var", D324)), 1, IF(ISNUMBER(SEARCH("Gri", D324)), -1, 0)))=1, VERI_TABANI!E23*(1-0.928)*VERI_TABANI!$B$9, 0) + (VERI_TABANI!D23*B324*(VERI_TABANI!$B$13-VERI_TABANI!$B$14)*VERI_TABANI!G23) + (VERI_TABANI!D23*C324*(VERI_TABANI!$B$13-VERI_TABANI!$B$15)*VERI_TABANI!G23) + IF(ABS(IF(ISNUMBER(SEARCH("Var", D324)), 1, IF(ISNUMBER(SEARCH("Gri", D324)), -1, 0)))=1, VERI_TABANI!E23*(1-0.928)*0.00206091519919798*VERI_TABANI!G23, 0)) + ((MIN(VERI_TABANI!D24, VERI_TABANI!D24*B324)*VERI_TABANI!$B$7 + MAX(0, VERI_TABANI!D24*B324-VERI_TABANI!D24)*VERI_TABANI!$B$8) + (MIN(MAX(0, VERI_TABANI!D24-VERI_TABANI!D24*B324), VERI_TABANI!D24*C324)*VERI_TABANI!$B$7 + MAX(0, VERI_TABANI!D24*C324-MAX(0, VERI_TABANI!D24-VERI_TABANI!D24*B324))*VERI_TABANI!$B$8) + IF(ABS(IF(ISNUMBER(SEARCH("Var", D324)), 1, IF(ISNUMBER(SEARCH("Gri", D324)), -1, 0)))=1, VERI_TABANI!E24*(1-0.928)*VERI_TABANI!$B$9, 0) + (VERI_TABANI!D24*B324*(VERI_TABANI!$B$13-VERI_TABANI!$B$14)*VERI_TABANI!G24) + (VERI_TABANI!D24*C324*(VERI_TABANI!$B$13-VERI_TABANI!$B$15)*VERI_TABANI!G24) + IF(ABS(IF(ISNUMBER(SEARCH("Var", D324)), 1, IF(ISNUMBER(SEARCH("Gri", D324)), -1, 0)))=1, VERI_TABANI!E24*(1-0.928)*0.00206091519919798*VERI_TABANI!G24, 0)) + ((MIN(VERI_TABANI!D25, VERI_TABANI!D25*B324)*VERI_TABANI!$B$7 + MAX(0, VERI_TABANI!D25*B324-VERI_TABANI!D25)*VERI_TABANI!$B$8) + (MIN(MAX(0, VERI_TABANI!D25-VERI_TABANI!D25*B324), VERI_TABANI!D25*C324)*VERI_TABANI!$B$7 + MAX(0, VERI_TABANI!D25*C324-MAX(0, VERI_TABANI!D25-VERI_TABANI!D25*B324))*VERI_TABANI!$B$8) + IF(ABS(IF(ISNUMBER(SEARCH("Var", D324)), 1, IF(ISNUMBER(SEARCH("Gri", D324)), -1, 0)))=1, VERI_TABANI!E25*(1-0.928)*VERI_TABANI!$B$9, 0) + (VERI_TABANI!D25*B324*(VERI_TABANI!$B$13-VERI_TABANI!$B$14)*VERI_TABANI!G25) + (VERI_TABANI!D25*C324*(VERI_TABANI!$B$13-VERI_TABANI!$B$15)*VERI_TABANI!G25) + IF(ABS(IF(ISNUMBER(SEARCH("Var", D324)), 1, IF(ISNUMBER(SEARCH("Gri", D324)), -1, 0)))=1, VERI_TABANI!E25*(1-0.928)*0.00206091519919798*VERI_TABANI!G25, 0)) + ((MIN(VERI_TABANI!D26, VERI_TABANI!D26*B324)*VERI_TABANI!$B$7 + MAX(0, VERI_TABANI!D26*B324-VERI_TABANI!D26)*VERI_TABANI!$B$8) + (MIN(MAX(0, VERI_TABANI!D26-VERI_TABANI!D26*B324), VERI_TABANI!D26*C324)*VERI_TABANI!$B$7 + MAX(0, VERI_TABANI!D26*C324-MAX(0, VERI_TABANI!D26-VERI_TABANI!D26*B324))*VERI_TABANI!$B$8) + IF(ABS(IF(ISNUMBER(SEARCH("Var", D324)), 1, IF(ISNUMBER(SEARCH("Gri", D324)), -1, 0)))=1, VERI_TABANI!E26*(1-0.928)*VERI_TABANI!$B$9, 0) + (VERI_TABANI!D26*B324*(VERI_TABANI!$B$13-VERI_TABANI!$B$14)*VERI_TABANI!G26) + (VERI_TABANI!D26*C324*(VERI_TABANI!$B$13-VERI_TABANI!$B$15)*VERI_TABANI!G26) + IF(ABS(IF(ISNUMBER(SEARCH("Var", D324)), 1, IF(ISNUMBER(SEARCH("Gri", D324)), -1, 0)))=1, VERI_TABANI!E26*(1-0.928)*0.00206091519919798*VERI_TABANI!G26, 0)) + ((MIN(VERI_TABANI!D27, VERI_TABANI!D27*B324)*VERI_TABANI!$B$7 + MAX(0, VERI_TABANI!D27*B324-VERI_TABANI!D27)*VERI_TABANI!$B$8) + (MIN(MAX(0, VERI_TABANI!D27-VERI_TABANI!D27*B324), VERI_TABANI!D27*C324)*VERI_TABANI!$B$7 + MAX(0, VERI_TABANI!D27*C324-MAX(0, VERI_TABANI!D27-VERI_TABANI!D27*B324))*VERI_TABANI!$B$8) + IF(ABS(IF(ISNUMBER(SEARCH("Var", D324)), 1, IF(ISNUMBER(SEARCH("Gri", D324)), -1, 0)))=1, VERI_TABANI!E27*(1-0.928)*VERI_TABANI!$B$9, 0) + (VERI_TABANI!D27*B324*(VERI_TABANI!$B$13-VERI_TABANI!$B$14)*VERI_TABANI!G27) + (VERI_TABANI!D27*C324*(VERI_TABANI!$B$13-VERI_TABANI!$B$15)*VERI_TABANI!G27) + IF(ABS(IF(ISNUMBER(SEARCH("Var", D324)), 1, IF(ISNUMBER(SEARCH("Gri", D324)), -1, 0)))=1, VERI_TABANI!E27*(1-0.928)*0.00206091519919798*VERI_TABANI!G27, 0)) + ((MIN(VERI_TABANI!D28, VERI_TABANI!D28*B324)*VERI_TABANI!$B$7 + MAX(0, VERI_TABANI!D28*B324-VERI_TABANI!D28)*VERI_TABANI!$B$8) + (MIN(MAX(0, VERI_TABANI!D28-VERI_TABANI!D28*B324), VERI_TABANI!D28*C324)*VERI_TABANI!$B$7 + MAX(0, VERI_TABANI!D28*C324-MAX(0, VERI_TABANI!D28-VERI_TABANI!D28*B324))*VERI_TABANI!$B$8) + IF(ABS(IF(ISNUMBER(SEARCH("Var", D324)), 1, IF(ISNUMBER(SEARCH("Gri", D324)), -1, 0)))=1, VERI_TABANI!E28*(1-0.928)*VERI_TABANI!$B$9, 0) + (VERI_TABANI!D28*B324*(VERI_TABANI!$B$13-VERI_TABANI!$B$14)*VERI_TABANI!G28) + (VERI_TABANI!D28*C324*(VERI_TABANI!$B$13-VERI_TABANI!$B$15)*VERI_TABANI!G28) + IF(ABS(IF(ISNUMBER(SEARCH("Var", D324)), 1, IF(ISNUMBER(SEARCH("Gri", D324)), -1, 0)))=1, VERI_TABANI!E28*(1-0.928)*0.00206091519919798*VERI_TABANI!G28, 0)))</f>
        <v/>
      </c>
      <c r="H324" s="169">
        <f>(((VERI_TABANI!D23*B324*(VERI_TABANI!$B$13-VERI_TABANI!$B$14)) + (VERI_TABANI!D23*C324*(VERI_TABANI!$B$13-VERI_TABANI!$B$15)) + IF(ISNUMBER(SEARCH("Var", D324)), VERI_TABANI!F23*(0.00202-VERI_TABANI!$B$16), IF(ISNUMBER(SEARCH("Gri", D324)), VERI_TABANI!F23*(0.00202-VERI_TABANI!$B$17), 0))) + ((VERI_TABANI!D24*B324*(VERI_TABANI!$B$13-VERI_TABANI!$B$14)) + (VERI_TABANI!D24*C324*(VERI_TABANI!$B$13-VERI_TABANI!$B$15)) + IF(ISNUMBER(SEARCH("Var", D324)), VERI_TABANI!F24*(0.00202-VERI_TABANI!$B$16), IF(ISNUMBER(SEARCH("Gri", D324)), VERI_TABANI!F24*(0.00202-VERI_TABANI!$B$17), 0))) + ((VERI_TABANI!D25*B324*(VERI_TABANI!$B$13-VERI_TABANI!$B$14)) + (VERI_TABANI!D25*C324*(VERI_TABANI!$B$13-VERI_TABANI!$B$15)) + IF(ISNUMBER(SEARCH("Var", D324)), VERI_TABANI!F25*(0.00202-VERI_TABANI!$B$16), IF(ISNUMBER(SEARCH("Gri", D324)), VERI_TABANI!F25*(0.00202-VERI_TABANI!$B$17), 0))) + ((VERI_TABANI!D26*B324*(VERI_TABANI!$B$13-VERI_TABANI!$B$14)) + (VERI_TABANI!D26*C324*(VERI_TABANI!$B$13-VERI_TABANI!$B$15)) + IF(ISNUMBER(SEARCH("Var", D324)), VERI_TABANI!F26*(0.00202-VERI_TABANI!$B$16), IF(ISNUMBER(SEARCH("Gri", D324)), VERI_TABANI!F26*(0.00202-VERI_TABANI!$B$17), 0))) + ((VERI_TABANI!D27*B324*(VERI_TABANI!$B$13-VERI_TABANI!$B$14)) + (VERI_TABANI!D27*C324*(VERI_TABANI!$B$13-VERI_TABANI!$B$15)) + IF(ISNUMBER(SEARCH("Var", D324)), VERI_TABANI!F27*(0.00202-VERI_TABANI!$B$16), IF(ISNUMBER(SEARCH("Gri", D324)), VERI_TABANI!F27*(0.00202-VERI_TABANI!$B$17), 0))) + ((VERI_TABANI!D28*B324*(VERI_TABANI!$B$13-VERI_TABANI!$B$14)) + (VERI_TABANI!D28*C324*(VERI_TABANI!$B$13-VERI_TABANI!$B$15)) + IF(ISNUMBER(SEARCH("Var", D324)), VERI_TABANI!F28*(0.00202-VERI_TABANI!$B$16), IF(ISNUMBER(SEARCH("Gri", D324)), VERI_TABANI!F28*(0.00202-VERI_TABANI!$B$17), 0))))</f>
        <v/>
      </c>
      <c r="I324" s="170">
        <f>IFERROR(((VERI_TABANI!$D$29*B324*VERI_TABANI!$B$14 + VERI_TABANI!$D$29*C324*VERI_TABANI!$B$15 + IF(ISNUMBER(SEARCH("Var", D324)), VERI_TABANI!$F$29*VERI_TABANI!$B$16, 0))) / (((VERI_TABANI!$D$29*B324 + VERI_TABANI!$D$29*C324)*VERI_TABANI!$B$13 + IF(ISNUMBER(SEARCH("Var", D324)), VERI_TABANI!$E$29*(1-0.928)*VERI_TABANI!$B$18, 0))), 0)</f>
        <v/>
      </c>
      <c r="J324" s="171">
        <f>IFERROR(F324/(G324/29), 0)</f>
        <v/>
      </c>
      <c r="K324" s="172">
        <f>IF(F324&gt;0, H324/F324, 0)</f>
        <v/>
      </c>
      <c r="L324" s="170">
        <f>IF(F324&gt;0, I324, 1000000000)</f>
        <v/>
      </c>
      <c r="M324" s="171">
        <f>ABS((B324+C324)-1)</f>
        <v/>
      </c>
      <c r="N324" s="170">
        <f>IF(F324&gt;0, (G324/29)/F324, 0)</f>
        <v/>
      </c>
      <c r="O324" s="168">
        <f>IF(AND((B324+C324)&gt;=1, ISNUMBER(SEARCH("Var", D324))), F324, 1000000000)</f>
        <v/>
      </c>
      <c r="P324" s="172">
        <f>IF(F324&gt;0, SQRT((F324/MAX(F$5:F$886))^2 + (1 - H324/MAX(H$5:H$886))^2 + (J324/MAX(J$5:J$886))^2), 1000000000)</f>
        <v/>
      </c>
      <c r="Q324" s="166">
        <f>IF(AND(ABS(B324-0.5)&lt;0.01, ABS(C324-0.5)&lt;0.01, ISNUMBER(SEARCH("Var", D324))), 1, 0)</f>
        <v/>
      </c>
      <c r="R324" s="171">
        <f>IF(F324&gt;0, J324, 1000000000)</f>
        <v/>
      </c>
      <c r="S324" s="101">
        <f>IF(AND(F324&lt;=DASHBOARD!$B$11, H324&gt;=DASHBOARD!$B$13), G324, -1000000000000)</f>
        <v/>
      </c>
      <c r="T324" s="101">
        <f>IF(AND(F324&lt;=DASHBOARD!$B$11, H324&gt;=DASHBOARD!$B$13), R324, 1000000000000)</f>
        <v/>
      </c>
      <c r="U324" s="101">
        <f>IF(AND(F324&lt;=DASHBOARD!$B$11, H324&gt;=DASHBOARD!$B$13), N324, -1000000000000)</f>
        <v/>
      </c>
      <c r="V324" s="101">
        <f>IF(AND(F324&lt;=DASHBOARD!$B$11, H324&gt;=DASHBOARD!$B$13), H324, -1000000000000)</f>
        <v/>
      </c>
      <c r="W324" s="101">
        <f>IF(AND(F324&lt;=DASHBOARD!$B$11, H324&gt;=DASHBOARD!$B$13), K324, -1000000000000)</f>
        <v/>
      </c>
      <c r="X324" s="101">
        <f>IF(AND(F324&lt;=DASHBOARD!$B$11, H324&gt;=DASHBOARD!$B$13), M324, 1000000000000)</f>
        <v/>
      </c>
      <c r="Y324" s="101">
        <f>IF(AND(F324&lt;=DASHBOARD!$B$10, H324&gt;=DASHBOARD!$B$11), L324, 1000000000000)</f>
        <v/>
      </c>
      <c r="Z324" s="101">
        <f>IF(AND(F324&lt;=DASHBOARD!$B$10, H324&gt;=DASHBOARD!$B$11), O324, 1000000000000)</f>
        <v/>
      </c>
      <c r="AA324" s="101">
        <f>IF(AND(F324&lt;=DASHBOARD!$B$10, H324&gt;=DASHBOARD!$B$11), P324, 1000000000000)</f>
        <v/>
      </c>
      <c r="AB324" s="101">
        <f>IF(AND(F324&lt;=DASHBOARD!$B$10, H324&gt;=DASHBOARD!$B$11), Q324, -1000000000000)</f>
        <v/>
      </c>
    </row>
    <row r="325" ht="15" customHeight="1" s="102">
      <c r="A325" s="166" t="n">
        <v>321</v>
      </c>
      <c r="B325" s="167" t="n">
        <v>0.7</v>
      </c>
      <c r="C325" s="167" t="n">
        <v>1.3</v>
      </c>
      <c r="D325" s="110" t="inlineStr">
        <is>
          <t>Yok (%0)</t>
        </is>
      </c>
      <c r="E325" s="110">
        <f>IF((B325+C325)&lt;=1, "Tam Mahsuplaşma (≤%100)", "Kısmi Satış (&gt;%100)")</f>
        <v/>
      </c>
      <c r="F325" s="168">
        <f>((VERI_TABANI!$D$29*B325/VERI_TABANI!$B$29)/VERI_TABANI!$B$3)*VERI_TABANI!$B$5 + ((VERI_TABANI!$D$29*C325/VERI_TABANI!$B$29)/VERI_TABANI!$B$4)*VERI_TABANI!$B$6 + IF(ISNUMBER(SEARCH("Var", D325)), (VERI_TABANI!$F$29/VERI_TABANI!$B$29)*(VERI_TABANI!$B$10+VERI_TABANI!$B$12), 0)</f>
        <v/>
      </c>
      <c r="G325" s="168">
        <f>(((MIN(VERI_TABANI!D23, VERI_TABANI!D23*B325)*VERI_TABANI!$B$7 + MAX(0, VERI_TABANI!D23*B325-VERI_TABANI!D23)*VERI_TABANI!$B$8) + (MIN(MAX(0, VERI_TABANI!D23-VERI_TABANI!D23*B325), VERI_TABANI!D23*C325)*VERI_TABANI!$B$7 + MAX(0, VERI_TABANI!D23*C325-MAX(0, VERI_TABANI!D23-VERI_TABANI!D23*B325))*VERI_TABANI!$B$8) + IF(ABS(IF(ISNUMBER(SEARCH("Var", D325)), 1, IF(ISNUMBER(SEARCH("Gri", D325)), -1, 0)))=1, VERI_TABANI!E23*(1-0.928)*VERI_TABANI!$B$9, 0) + (VERI_TABANI!D23*B325*(VERI_TABANI!$B$13-VERI_TABANI!$B$14)*VERI_TABANI!G23) + (VERI_TABANI!D23*C325*(VERI_TABANI!$B$13-VERI_TABANI!$B$15)*VERI_TABANI!G23) + IF(ABS(IF(ISNUMBER(SEARCH("Var", D325)), 1, IF(ISNUMBER(SEARCH("Gri", D325)), -1, 0)))=1, VERI_TABANI!E23*(1-0.928)*0.00206091519919798*VERI_TABANI!G23, 0)) + ((MIN(VERI_TABANI!D24, VERI_TABANI!D24*B325)*VERI_TABANI!$B$7 + MAX(0, VERI_TABANI!D24*B325-VERI_TABANI!D24)*VERI_TABANI!$B$8) + (MIN(MAX(0, VERI_TABANI!D24-VERI_TABANI!D24*B325), VERI_TABANI!D24*C325)*VERI_TABANI!$B$7 + MAX(0, VERI_TABANI!D24*C325-MAX(0, VERI_TABANI!D24-VERI_TABANI!D24*B325))*VERI_TABANI!$B$8) + IF(ABS(IF(ISNUMBER(SEARCH("Var", D325)), 1, IF(ISNUMBER(SEARCH("Gri", D325)), -1, 0)))=1, VERI_TABANI!E24*(1-0.928)*VERI_TABANI!$B$9, 0) + (VERI_TABANI!D24*B325*(VERI_TABANI!$B$13-VERI_TABANI!$B$14)*VERI_TABANI!G24) + (VERI_TABANI!D24*C325*(VERI_TABANI!$B$13-VERI_TABANI!$B$15)*VERI_TABANI!G24) + IF(ABS(IF(ISNUMBER(SEARCH("Var", D325)), 1, IF(ISNUMBER(SEARCH("Gri", D325)), -1, 0)))=1, VERI_TABANI!E24*(1-0.928)*0.00206091519919798*VERI_TABANI!G24, 0)) + ((MIN(VERI_TABANI!D25, VERI_TABANI!D25*B325)*VERI_TABANI!$B$7 + MAX(0, VERI_TABANI!D25*B325-VERI_TABANI!D25)*VERI_TABANI!$B$8) + (MIN(MAX(0, VERI_TABANI!D25-VERI_TABANI!D25*B325), VERI_TABANI!D25*C325)*VERI_TABANI!$B$7 + MAX(0, VERI_TABANI!D25*C325-MAX(0, VERI_TABANI!D25-VERI_TABANI!D25*B325))*VERI_TABANI!$B$8) + IF(ABS(IF(ISNUMBER(SEARCH("Var", D325)), 1, IF(ISNUMBER(SEARCH("Gri", D325)), -1, 0)))=1, VERI_TABANI!E25*(1-0.928)*VERI_TABANI!$B$9, 0) + (VERI_TABANI!D25*B325*(VERI_TABANI!$B$13-VERI_TABANI!$B$14)*VERI_TABANI!G25) + (VERI_TABANI!D25*C325*(VERI_TABANI!$B$13-VERI_TABANI!$B$15)*VERI_TABANI!G25) + IF(ABS(IF(ISNUMBER(SEARCH("Var", D325)), 1, IF(ISNUMBER(SEARCH("Gri", D325)), -1, 0)))=1, VERI_TABANI!E25*(1-0.928)*0.00206091519919798*VERI_TABANI!G25, 0)) + ((MIN(VERI_TABANI!D26, VERI_TABANI!D26*B325)*VERI_TABANI!$B$7 + MAX(0, VERI_TABANI!D26*B325-VERI_TABANI!D26)*VERI_TABANI!$B$8) + (MIN(MAX(0, VERI_TABANI!D26-VERI_TABANI!D26*B325), VERI_TABANI!D26*C325)*VERI_TABANI!$B$7 + MAX(0, VERI_TABANI!D26*C325-MAX(0, VERI_TABANI!D26-VERI_TABANI!D26*B325))*VERI_TABANI!$B$8) + IF(ABS(IF(ISNUMBER(SEARCH("Var", D325)), 1, IF(ISNUMBER(SEARCH("Gri", D325)), -1, 0)))=1, VERI_TABANI!E26*(1-0.928)*VERI_TABANI!$B$9, 0) + (VERI_TABANI!D26*B325*(VERI_TABANI!$B$13-VERI_TABANI!$B$14)*VERI_TABANI!G26) + (VERI_TABANI!D26*C325*(VERI_TABANI!$B$13-VERI_TABANI!$B$15)*VERI_TABANI!G26) + IF(ABS(IF(ISNUMBER(SEARCH("Var", D325)), 1, IF(ISNUMBER(SEARCH("Gri", D325)), -1, 0)))=1, VERI_TABANI!E26*(1-0.928)*0.00206091519919798*VERI_TABANI!G26, 0)) + ((MIN(VERI_TABANI!D27, VERI_TABANI!D27*B325)*VERI_TABANI!$B$7 + MAX(0, VERI_TABANI!D27*B325-VERI_TABANI!D27)*VERI_TABANI!$B$8) + (MIN(MAX(0, VERI_TABANI!D27-VERI_TABANI!D27*B325), VERI_TABANI!D27*C325)*VERI_TABANI!$B$7 + MAX(0, VERI_TABANI!D27*C325-MAX(0, VERI_TABANI!D27-VERI_TABANI!D27*B325))*VERI_TABANI!$B$8) + IF(ABS(IF(ISNUMBER(SEARCH("Var", D325)), 1, IF(ISNUMBER(SEARCH("Gri", D325)), -1, 0)))=1, VERI_TABANI!E27*(1-0.928)*VERI_TABANI!$B$9, 0) + (VERI_TABANI!D27*B325*(VERI_TABANI!$B$13-VERI_TABANI!$B$14)*VERI_TABANI!G27) + (VERI_TABANI!D27*C325*(VERI_TABANI!$B$13-VERI_TABANI!$B$15)*VERI_TABANI!G27) + IF(ABS(IF(ISNUMBER(SEARCH("Var", D325)), 1, IF(ISNUMBER(SEARCH("Gri", D325)), -1, 0)))=1, VERI_TABANI!E27*(1-0.928)*0.00206091519919798*VERI_TABANI!G27, 0)) + ((MIN(VERI_TABANI!D28, VERI_TABANI!D28*B325)*VERI_TABANI!$B$7 + MAX(0, VERI_TABANI!D28*B325-VERI_TABANI!D28)*VERI_TABANI!$B$8) + (MIN(MAX(0, VERI_TABANI!D28-VERI_TABANI!D28*B325), VERI_TABANI!D28*C325)*VERI_TABANI!$B$7 + MAX(0, VERI_TABANI!D28*C325-MAX(0, VERI_TABANI!D28-VERI_TABANI!D28*B325))*VERI_TABANI!$B$8) + IF(ABS(IF(ISNUMBER(SEARCH("Var", D325)), 1, IF(ISNUMBER(SEARCH("Gri", D325)), -1, 0)))=1, VERI_TABANI!E28*(1-0.928)*VERI_TABANI!$B$9, 0) + (VERI_TABANI!D28*B325*(VERI_TABANI!$B$13-VERI_TABANI!$B$14)*VERI_TABANI!G28) + (VERI_TABANI!D28*C325*(VERI_TABANI!$B$13-VERI_TABANI!$B$15)*VERI_TABANI!G28) + IF(ABS(IF(ISNUMBER(SEARCH("Var", D325)), 1, IF(ISNUMBER(SEARCH("Gri", D325)), -1, 0)))=1, VERI_TABANI!E28*(1-0.928)*0.00206091519919798*VERI_TABANI!G28, 0)))</f>
        <v/>
      </c>
      <c r="H325" s="169">
        <f>(((VERI_TABANI!D23*B325*(VERI_TABANI!$B$13-VERI_TABANI!$B$14)) + (VERI_TABANI!D23*C325*(VERI_TABANI!$B$13-VERI_TABANI!$B$15)) + IF(ISNUMBER(SEARCH("Var", D325)), VERI_TABANI!F23*(0.00202-VERI_TABANI!$B$16), IF(ISNUMBER(SEARCH("Gri", D325)), VERI_TABANI!F23*(0.00202-VERI_TABANI!$B$17), 0))) + ((VERI_TABANI!D24*B325*(VERI_TABANI!$B$13-VERI_TABANI!$B$14)) + (VERI_TABANI!D24*C325*(VERI_TABANI!$B$13-VERI_TABANI!$B$15)) + IF(ISNUMBER(SEARCH("Var", D325)), VERI_TABANI!F24*(0.00202-VERI_TABANI!$B$16), IF(ISNUMBER(SEARCH("Gri", D325)), VERI_TABANI!F24*(0.00202-VERI_TABANI!$B$17), 0))) + ((VERI_TABANI!D25*B325*(VERI_TABANI!$B$13-VERI_TABANI!$B$14)) + (VERI_TABANI!D25*C325*(VERI_TABANI!$B$13-VERI_TABANI!$B$15)) + IF(ISNUMBER(SEARCH("Var", D325)), VERI_TABANI!F25*(0.00202-VERI_TABANI!$B$16), IF(ISNUMBER(SEARCH("Gri", D325)), VERI_TABANI!F25*(0.00202-VERI_TABANI!$B$17), 0))) + ((VERI_TABANI!D26*B325*(VERI_TABANI!$B$13-VERI_TABANI!$B$14)) + (VERI_TABANI!D26*C325*(VERI_TABANI!$B$13-VERI_TABANI!$B$15)) + IF(ISNUMBER(SEARCH("Var", D325)), VERI_TABANI!F26*(0.00202-VERI_TABANI!$B$16), IF(ISNUMBER(SEARCH("Gri", D325)), VERI_TABANI!F26*(0.00202-VERI_TABANI!$B$17), 0))) + ((VERI_TABANI!D27*B325*(VERI_TABANI!$B$13-VERI_TABANI!$B$14)) + (VERI_TABANI!D27*C325*(VERI_TABANI!$B$13-VERI_TABANI!$B$15)) + IF(ISNUMBER(SEARCH("Var", D325)), VERI_TABANI!F27*(0.00202-VERI_TABANI!$B$16), IF(ISNUMBER(SEARCH("Gri", D325)), VERI_TABANI!F27*(0.00202-VERI_TABANI!$B$17), 0))) + ((VERI_TABANI!D28*B325*(VERI_TABANI!$B$13-VERI_TABANI!$B$14)) + (VERI_TABANI!D28*C325*(VERI_TABANI!$B$13-VERI_TABANI!$B$15)) + IF(ISNUMBER(SEARCH("Var", D325)), VERI_TABANI!F28*(0.00202-VERI_TABANI!$B$16), IF(ISNUMBER(SEARCH("Gri", D325)), VERI_TABANI!F28*(0.00202-VERI_TABANI!$B$17), 0))))</f>
        <v/>
      </c>
      <c r="I325" s="170">
        <f>IFERROR(((VERI_TABANI!$D$29*B325*VERI_TABANI!$B$14 + VERI_TABANI!$D$29*C325*VERI_TABANI!$B$15 + IF(ISNUMBER(SEARCH("Var", D325)), VERI_TABANI!$F$29*VERI_TABANI!$B$16, 0))) / (((VERI_TABANI!$D$29*B325 + VERI_TABANI!$D$29*C325)*VERI_TABANI!$B$13 + IF(ISNUMBER(SEARCH("Var", D325)), VERI_TABANI!$E$29*(1-0.928)*VERI_TABANI!$B$18, 0))), 0)</f>
        <v/>
      </c>
      <c r="J325" s="171">
        <f>IFERROR(F325/(G325/29), 0)</f>
        <v/>
      </c>
      <c r="K325" s="172">
        <f>IF(F325&gt;0, H325/F325, 0)</f>
        <v/>
      </c>
      <c r="L325" s="170">
        <f>IF(F325&gt;0, I325, 1000000000)</f>
        <v/>
      </c>
      <c r="M325" s="171">
        <f>ABS((B325+C325)-1)</f>
        <v/>
      </c>
      <c r="N325" s="170">
        <f>IF(F325&gt;0, (G325/29)/F325, 0)</f>
        <v/>
      </c>
      <c r="O325" s="168">
        <f>IF(AND((B325+C325)&gt;=1, ISNUMBER(SEARCH("Var", D325))), F325, 1000000000)</f>
        <v/>
      </c>
      <c r="P325" s="172">
        <f>IF(F325&gt;0, SQRT((F325/MAX(F$5:F$886))^2 + (1 - H325/MAX(H$5:H$886))^2 + (J325/MAX(J$5:J$886))^2), 1000000000)</f>
        <v/>
      </c>
      <c r="Q325" s="166">
        <f>IF(AND(ABS(B325-0.5)&lt;0.01, ABS(C325-0.5)&lt;0.01, ISNUMBER(SEARCH("Var", D325))), 1, 0)</f>
        <v/>
      </c>
      <c r="R325" s="171">
        <f>IF(F325&gt;0, J325, 1000000000)</f>
        <v/>
      </c>
      <c r="S325" s="101">
        <f>IF(AND(F325&lt;=DASHBOARD!$B$11, H325&gt;=DASHBOARD!$B$13), G325, -1000000000000)</f>
        <v/>
      </c>
      <c r="T325" s="101">
        <f>IF(AND(F325&lt;=DASHBOARD!$B$11, H325&gt;=DASHBOARD!$B$13), R325, 1000000000000)</f>
        <v/>
      </c>
      <c r="U325" s="101">
        <f>IF(AND(F325&lt;=DASHBOARD!$B$11, H325&gt;=DASHBOARD!$B$13), N325, -1000000000000)</f>
        <v/>
      </c>
      <c r="V325" s="101">
        <f>IF(AND(F325&lt;=DASHBOARD!$B$11, H325&gt;=DASHBOARD!$B$13), H325, -1000000000000)</f>
        <v/>
      </c>
      <c r="W325" s="101">
        <f>IF(AND(F325&lt;=DASHBOARD!$B$11, H325&gt;=DASHBOARD!$B$13), K325, -1000000000000)</f>
        <v/>
      </c>
      <c r="X325" s="101">
        <f>IF(AND(F325&lt;=DASHBOARD!$B$11, H325&gt;=DASHBOARD!$B$13), M325, 1000000000000)</f>
        <v/>
      </c>
      <c r="Y325" s="101">
        <f>IF(AND(F325&lt;=DASHBOARD!$B$10, H325&gt;=DASHBOARD!$B$11), L325, 1000000000000)</f>
        <v/>
      </c>
      <c r="Z325" s="101">
        <f>IF(AND(F325&lt;=DASHBOARD!$B$10, H325&gt;=DASHBOARD!$B$11), O325, 1000000000000)</f>
        <v/>
      </c>
      <c r="AA325" s="101">
        <f>IF(AND(F325&lt;=DASHBOARD!$B$10, H325&gt;=DASHBOARD!$B$11), P325, 1000000000000)</f>
        <v/>
      </c>
      <c r="AB325" s="101">
        <f>IF(AND(F325&lt;=DASHBOARD!$B$10, H325&gt;=DASHBOARD!$B$11), Q325, -1000000000000)</f>
        <v/>
      </c>
    </row>
    <row r="326" ht="15" customHeight="1" s="102">
      <c r="A326" s="166" t="n">
        <v>322</v>
      </c>
      <c r="B326" s="167" t="n">
        <v>0.7</v>
      </c>
      <c r="C326" s="167" t="n">
        <v>1.3</v>
      </c>
      <c r="D326" s="110" t="inlineStr">
        <is>
          <t>Var (%20)</t>
        </is>
      </c>
      <c r="E326" s="110">
        <f>IF((B326+C326)&lt;=1, "Tam Mahsuplaşma (≤%100)", "Kısmi Satış (&gt;%100)")</f>
        <v/>
      </c>
      <c r="F326" s="168">
        <f>((VERI_TABANI!$D$29*B326/VERI_TABANI!$B$29)/VERI_TABANI!$B$3)*VERI_TABANI!$B$5 + ((VERI_TABANI!$D$29*C326/VERI_TABANI!$B$29)/VERI_TABANI!$B$4)*VERI_TABANI!$B$6 + IF(ISNUMBER(SEARCH("Var", D326)), (VERI_TABANI!$F$29/VERI_TABANI!$B$29)*(VERI_TABANI!$B$10+VERI_TABANI!$B$12), 0)</f>
        <v/>
      </c>
      <c r="G326" s="168">
        <f>(((MIN(VERI_TABANI!D23, VERI_TABANI!D23*B326)*VERI_TABANI!$B$7 + MAX(0, VERI_TABANI!D23*B326-VERI_TABANI!D23)*VERI_TABANI!$B$8) + (MIN(MAX(0, VERI_TABANI!D23-VERI_TABANI!D23*B326), VERI_TABANI!D23*C326)*VERI_TABANI!$B$7 + MAX(0, VERI_TABANI!D23*C326-MAX(0, VERI_TABANI!D23-VERI_TABANI!D23*B326))*VERI_TABANI!$B$8) + IF(ABS(IF(ISNUMBER(SEARCH("Var", D326)), 1, IF(ISNUMBER(SEARCH("Gri", D326)), -1, 0)))=1, VERI_TABANI!E23*(1-0.928)*VERI_TABANI!$B$9, 0) + (VERI_TABANI!D23*B326*(VERI_TABANI!$B$13-VERI_TABANI!$B$14)*VERI_TABANI!G23) + (VERI_TABANI!D23*C326*(VERI_TABANI!$B$13-VERI_TABANI!$B$15)*VERI_TABANI!G23) + IF(ABS(IF(ISNUMBER(SEARCH("Var", D326)), 1, IF(ISNUMBER(SEARCH("Gri", D326)), -1, 0)))=1, VERI_TABANI!E23*(1-0.928)*0.00206091519919798*VERI_TABANI!G23, 0)) + ((MIN(VERI_TABANI!D24, VERI_TABANI!D24*B326)*VERI_TABANI!$B$7 + MAX(0, VERI_TABANI!D24*B326-VERI_TABANI!D24)*VERI_TABANI!$B$8) + (MIN(MAX(0, VERI_TABANI!D24-VERI_TABANI!D24*B326), VERI_TABANI!D24*C326)*VERI_TABANI!$B$7 + MAX(0, VERI_TABANI!D24*C326-MAX(0, VERI_TABANI!D24-VERI_TABANI!D24*B326))*VERI_TABANI!$B$8) + IF(ABS(IF(ISNUMBER(SEARCH("Var", D326)), 1, IF(ISNUMBER(SEARCH("Gri", D326)), -1, 0)))=1, VERI_TABANI!E24*(1-0.928)*VERI_TABANI!$B$9, 0) + (VERI_TABANI!D24*B326*(VERI_TABANI!$B$13-VERI_TABANI!$B$14)*VERI_TABANI!G24) + (VERI_TABANI!D24*C326*(VERI_TABANI!$B$13-VERI_TABANI!$B$15)*VERI_TABANI!G24) + IF(ABS(IF(ISNUMBER(SEARCH("Var", D326)), 1, IF(ISNUMBER(SEARCH("Gri", D326)), -1, 0)))=1, VERI_TABANI!E24*(1-0.928)*0.00206091519919798*VERI_TABANI!G24, 0)) + ((MIN(VERI_TABANI!D25, VERI_TABANI!D25*B326)*VERI_TABANI!$B$7 + MAX(0, VERI_TABANI!D25*B326-VERI_TABANI!D25)*VERI_TABANI!$B$8) + (MIN(MAX(0, VERI_TABANI!D25-VERI_TABANI!D25*B326), VERI_TABANI!D25*C326)*VERI_TABANI!$B$7 + MAX(0, VERI_TABANI!D25*C326-MAX(0, VERI_TABANI!D25-VERI_TABANI!D25*B326))*VERI_TABANI!$B$8) + IF(ABS(IF(ISNUMBER(SEARCH("Var", D326)), 1, IF(ISNUMBER(SEARCH("Gri", D326)), -1, 0)))=1, VERI_TABANI!E25*(1-0.928)*VERI_TABANI!$B$9, 0) + (VERI_TABANI!D25*B326*(VERI_TABANI!$B$13-VERI_TABANI!$B$14)*VERI_TABANI!G25) + (VERI_TABANI!D25*C326*(VERI_TABANI!$B$13-VERI_TABANI!$B$15)*VERI_TABANI!G25) + IF(ABS(IF(ISNUMBER(SEARCH("Var", D326)), 1, IF(ISNUMBER(SEARCH("Gri", D326)), -1, 0)))=1, VERI_TABANI!E25*(1-0.928)*0.00206091519919798*VERI_TABANI!G25, 0)) + ((MIN(VERI_TABANI!D26, VERI_TABANI!D26*B326)*VERI_TABANI!$B$7 + MAX(0, VERI_TABANI!D26*B326-VERI_TABANI!D26)*VERI_TABANI!$B$8) + (MIN(MAX(0, VERI_TABANI!D26-VERI_TABANI!D26*B326), VERI_TABANI!D26*C326)*VERI_TABANI!$B$7 + MAX(0, VERI_TABANI!D26*C326-MAX(0, VERI_TABANI!D26-VERI_TABANI!D26*B326))*VERI_TABANI!$B$8) + IF(ABS(IF(ISNUMBER(SEARCH("Var", D326)), 1, IF(ISNUMBER(SEARCH("Gri", D326)), -1, 0)))=1, VERI_TABANI!E26*(1-0.928)*VERI_TABANI!$B$9, 0) + (VERI_TABANI!D26*B326*(VERI_TABANI!$B$13-VERI_TABANI!$B$14)*VERI_TABANI!G26) + (VERI_TABANI!D26*C326*(VERI_TABANI!$B$13-VERI_TABANI!$B$15)*VERI_TABANI!G26) + IF(ABS(IF(ISNUMBER(SEARCH("Var", D326)), 1, IF(ISNUMBER(SEARCH("Gri", D326)), -1, 0)))=1, VERI_TABANI!E26*(1-0.928)*0.00206091519919798*VERI_TABANI!G26, 0)) + ((MIN(VERI_TABANI!D27, VERI_TABANI!D27*B326)*VERI_TABANI!$B$7 + MAX(0, VERI_TABANI!D27*B326-VERI_TABANI!D27)*VERI_TABANI!$B$8) + (MIN(MAX(0, VERI_TABANI!D27-VERI_TABANI!D27*B326), VERI_TABANI!D27*C326)*VERI_TABANI!$B$7 + MAX(0, VERI_TABANI!D27*C326-MAX(0, VERI_TABANI!D27-VERI_TABANI!D27*B326))*VERI_TABANI!$B$8) + IF(ABS(IF(ISNUMBER(SEARCH("Var", D326)), 1, IF(ISNUMBER(SEARCH("Gri", D326)), -1, 0)))=1, VERI_TABANI!E27*(1-0.928)*VERI_TABANI!$B$9, 0) + (VERI_TABANI!D27*B326*(VERI_TABANI!$B$13-VERI_TABANI!$B$14)*VERI_TABANI!G27) + (VERI_TABANI!D27*C326*(VERI_TABANI!$B$13-VERI_TABANI!$B$15)*VERI_TABANI!G27) + IF(ABS(IF(ISNUMBER(SEARCH("Var", D326)), 1, IF(ISNUMBER(SEARCH("Gri", D326)), -1, 0)))=1, VERI_TABANI!E27*(1-0.928)*0.00206091519919798*VERI_TABANI!G27, 0)) + ((MIN(VERI_TABANI!D28, VERI_TABANI!D28*B326)*VERI_TABANI!$B$7 + MAX(0, VERI_TABANI!D28*B326-VERI_TABANI!D28)*VERI_TABANI!$B$8) + (MIN(MAX(0, VERI_TABANI!D28-VERI_TABANI!D28*B326), VERI_TABANI!D28*C326)*VERI_TABANI!$B$7 + MAX(0, VERI_TABANI!D28*C326-MAX(0, VERI_TABANI!D28-VERI_TABANI!D28*B326))*VERI_TABANI!$B$8) + IF(ABS(IF(ISNUMBER(SEARCH("Var", D326)), 1, IF(ISNUMBER(SEARCH("Gri", D326)), -1, 0)))=1, VERI_TABANI!E28*(1-0.928)*VERI_TABANI!$B$9, 0) + (VERI_TABANI!D28*B326*(VERI_TABANI!$B$13-VERI_TABANI!$B$14)*VERI_TABANI!G28) + (VERI_TABANI!D28*C326*(VERI_TABANI!$B$13-VERI_TABANI!$B$15)*VERI_TABANI!G28) + IF(ABS(IF(ISNUMBER(SEARCH("Var", D326)), 1, IF(ISNUMBER(SEARCH("Gri", D326)), -1, 0)))=1, VERI_TABANI!E28*(1-0.928)*0.00206091519919798*VERI_TABANI!G28, 0)))</f>
        <v/>
      </c>
      <c r="H326" s="169">
        <f>(((VERI_TABANI!D23*B326*(VERI_TABANI!$B$13-VERI_TABANI!$B$14)) + (VERI_TABANI!D23*C326*(VERI_TABANI!$B$13-VERI_TABANI!$B$15)) + IF(ISNUMBER(SEARCH("Var", D326)), VERI_TABANI!F23*(0.00202-VERI_TABANI!$B$16), IF(ISNUMBER(SEARCH("Gri", D326)), VERI_TABANI!F23*(0.00202-VERI_TABANI!$B$17), 0))) + ((VERI_TABANI!D24*B326*(VERI_TABANI!$B$13-VERI_TABANI!$B$14)) + (VERI_TABANI!D24*C326*(VERI_TABANI!$B$13-VERI_TABANI!$B$15)) + IF(ISNUMBER(SEARCH("Var", D326)), VERI_TABANI!F24*(0.00202-VERI_TABANI!$B$16), IF(ISNUMBER(SEARCH("Gri", D326)), VERI_TABANI!F24*(0.00202-VERI_TABANI!$B$17), 0))) + ((VERI_TABANI!D25*B326*(VERI_TABANI!$B$13-VERI_TABANI!$B$14)) + (VERI_TABANI!D25*C326*(VERI_TABANI!$B$13-VERI_TABANI!$B$15)) + IF(ISNUMBER(SEARCH("Var", D326)), VERI_TABANI!F25*(0.00202-VERI_TABANI!$B$16), IF(ISNUMBER(SEARCH("Gri", D326)), VERI_TABANI!F25*(0.00202-VERI_TABANI!$B$17), 0))) + ((VERI_TABANI!D26*B326*(VERI_TABANI!$B$13-VERI_TABANI!$B$14)) + (VERI_TABANI!D26*C326*(VERI_TABANI!$B$13-VERI_TABANI!$B$15)) + IF(ISNUMBER(SEARCH("Var", D326)), VERI_TABANI!F26*(0.00202-VERI_TABANI!$B$16), IF(ISNUMBER(SEARCH("Gri", D326)), VERI_TABANI!F26*(0.00202-VERI_TABANI!$B$17), 0))) + ((VERI_TABANI!D27*B326*(VERI_TABANI!$B$13-VERI_TABANI!$B$14)) + (VERI_TABANI!D27*C326*(VERI_TABANI!$B$13-VERI_TABANI!$B$15)) + IF(ISNUMBER(SEARCH("Var", D326)), VERI_TABANI!F27*(0.00202-VERI_TABANI!$B$16), IF(ISNUMBER(SEARCH("Gri", D326)), VERI_TABANI!F27*(0.00202-VERI_TABANI!$B$17), 0))) + ((VERI_TABANI!D28*B326*(VERI_TABANI!$B$13-VERI_TABANI!$B$14)) + (VERI_TABANI!D28*C326*(VERI_TABANI!$B$13-VERI_TABANI!$B$15)) + IF(ISNUMBER(SEARCH("Var", D326)), VERI_TABANI!F28*(0.00202-VERI_TABANI!$B$16), IF(ISNUMBER(SEARCH("Gri", D326)), VERI_TABANI!F28*(0.00202-VERI_TABANI!$B$17), 0))))</f>
        <v/>
      </c>
      <c r="I326" s="170">
        <f>IFERROR(((VERI_TABANI!$D$29*B326*VERI_TABANI!$B$14 + VERI_TABANI!$D$29*C326*VERI_TABANI!$B$15 + IF(ISNUMBER(SEARCH("Var", D326)), VERI_TABANI!$F$29*VERI_TABANI!$B$16, 0))) / (((VERI_TABANI!$D$29*B326 + VERI_TABANI!$D$29*C326)*VERI_TABANI!$B$13 + IF(ISNUMBER(SEARCH("Var", D326)), VERI_TABANI!$E$29*(1-0.928)*VERI_TABANI!$B$18, 0))), 0)</f>
        <v/>
      </c>
      <c r="J326" s="171">
        <f>IFERROR(F326/(G326/29), 0)</f>
        <v/>
      </c>
      <c r="K326" s="172">
        <f>IF(F326&gt;0, H326/F326, 0)</f>
        <v/>
      </c>
      <c r="L326" s="170">
        <f>IF(F326&gt;0, I326, 1000000000)</f>
        <v/>
      </c>
      <c r="M326" s="171">
        <f>ABS((B326+C326)-1)</f>
        <v/>
      </c>
      <c r="N326" s="170">
        <f>IF(F326&gt;0, (G326/29)/F326, 0)</f>
        <v/>
      </c>
      <c r="O326" s="168">
        <f>IF(AND((B326+C326)&gt;=1, ISNUMBER(SEARCH("Var", D326))), F326, 1000000000)</f>
        <v/>
      </c>
      <c r="P326" s="172">
        <f>IF(F326&gt;0, SQRT((F326/MAX(F$5:F$886))^2 + (1 - H326/MAX(H$5:H$886))^2 + (J326/MAX(J$5:J$886))^2), 1000000000)</f>
        <v/>
      </c>
      <c r="Q326" s="166">
        <f>IF(AND(ABS(B326-0.5)&lt;0.01, ABS(C326-0.5)&lt;0.01, ISNUMBER(SEARCH("Var", D326))), 1, 0)</f>
        <v/>
      </c>
      <c r="R326" s="171">
        <f>IF(F326&gt;0, J326, 1000000000)</f>
        <v/>
      </c>
      <c r="S326" s="101">
        <f>IF(AND(F326&lt;=DASHBOARD!$B$11, H326&gt;=DASHBOARD!$B$13), G326, -1000000000000)</f>
        <v/>
      </c>
      <c r="T326" s="101">
        <f>IF(AND(F326&lt;=DASHBOARD!$B$11, H326&gt;=DASHBOARD!$B$13), R326, 1000000000000)</f>
        <v/>
      </c>
      <c r="U326" s="101">
        <f>IF(AND(F326&lt;=DASHBOARD!$B$11, H326&gt;=DASHBOARD!$B$13), N326, -1000000000000)</f>
        <v/>
      </c>
      <c r="V326" s="101">
        <f>IF(AND(F326&lt;=DASHBOARD!$B$11, H326&gt;=DASHBOARD!$B$13), H326, -1000000000000)</f>
        <v/>
      </c>
      <c r="W326" s="101">
        <f>IF(AND(F326&lt;=DASHBOARD!$B$11, H326&gt;=DASHBOARD!$B$13), K326, -1000000000000)</f>
        <v/>
      </c>
      <c r="X326" s="101">
        <f>IF(AND(F326&lt;=DASHBOARD!$B$11, H326&gt;=DASHBOARD!$B$13), M326, 1000000000000)</f>
        <v/>
      </c>
      <c r="Y326" s="101">
        <f>IF(AND(F326&lt;=DASHBOARD!$B$10, H326&gt;=DASHBOARD!$B$11), L326, 1000000000000)</f>
        <v/>
      </c>
      <c r="Z326" s="101">
        <f>IF(AND(F326&lt;=DASHBOARD!$B$10, H326&gt;=DASHBOARD!$B$11), O326, 1000000000000)</f>
        <v/>
      </c>
      <c r="AA326" s="101">
        <f>IF(AND(F326&lt;=DASHBOARD!$B$10, H326&gt;=DASHBOARD!$B$11), P326, 1000000000000)</f>
        <v/>
      </c>
      <c r="AB326" s="101">
        <f>IF(AND(F326&lt;=DASHBOARD!$B$10, H326&gt;=DASHBOARD!$B$11), Q326, -1000000000000)</f>
        <v/>
      </c>
    </row>
    <row r="327" ht="15" customHeight="1" s="102">
      <c r="A327" s="166" t="n">
        <v>323</v>
      </c>
      <c r="B327" s="167" t="n">
        <v>0.7</v>
      </c>
      <c r="C327" s="167" t="n">
        <v>1.4</v>
      </c>
      <c r="D327" s="110" t="inlineStr">
        <is>
          <t>Yok (%0)</t>
        </is>
      </c>
      <c r="E327" s="110">
        <f>IF((B327+C327)&lt;=1, "Tam Mahsuplaşma (≤%100)", "Kısmi Satış (&gt;%100)")</f>
        <v/>
      </c>
      <c r="F327" s="168">
        <f>((VERI_TABANI!$D$29*B327/VERI_TABANI!$B$29)/VERI_TABANI!$B$3)*VERI_TABANI!$B$5 + ((VERI_TABANI!$D$29*C327/VERI_TABANI!$B$29)/VERI_TABANI!$B$4)*VERI_TABANI!$B$6 + IF(ISNUMBER(SEARCH("Var", D327)), (VERI_TABANI!$F$29/VERI_TABANI!$B$29)*(VERI_TABANI!$B$10+VERI_TABANI!$B$12), 0)</f>
        <v/>
      </c>
      <c r="G327" s="168">
        <f>(((MIN(VERI_TABANI!D23, VERI_TABANI!D23*B327)*VERI_TABANI!$B$7 + MAX(0, VERI_TABANI!D23*B327-VERI_TABANI!D23)*VERI_TABANI!$B$8) + (MIN(MAX(0, VERI_TABANI!D23-VERI_TABANI!D23*B327), VERI_TABANI!D23*C327)*VERI_TABANI!$B$7 + MAX(0, VERI_TABANI!D23*C327-MAX(0, VERI_TABANI!D23-VERI_TABANI!D23*B327))*VERI_TABANI!$B$8) + IF(ABS(IF(ISNUMBER(SEARCH("Var", D327)), 1, IF(ISNUMBER(SEARCH("Gri", D327)), -1, 0)))=1, VERI_TABANI!E23*(1-0.928)*VERI_TABANI!$B$9, 0) + (VERI_TABANI!D23*B327*(VERI_TABANI!$B$13-VERI_TABANI!$B$14)*VERI_TABANI!G23) + (VERI_TABANI!D23*C327*(VERI_TABANI!$B$13-VERI_TABANI!$B$15)*VERI_TABANI!G23) + IF(ABS(IF(ISNUMBER(SEARCH("Var", D327)), 1, IF(ISNUMBER(SEARCH("Gri", D327)), -1, 0)))=1, VERI_TABANI!E23*(1-0.928)*0.00206091519919798*VERI_TABANI!G23, 0)) + ((MIN(VERI_TABANI!D24, VERI_TABANI!D24*B327)*VERI_TABANI!$B$7 + MAX(0, VERI_TABANI!D24*B327-VERI_TABANI!D24)*VERI_TABANI!$B$8) + (MIN(MAX(0, VERI_TABANI!D24-VERI_TABANI!D24*B327), VERI_TABANI!D24*C327)*VERI_TABANI!$B$7 + MAX(0, VERI_TABANI!D24*C327-MAX(0, VERI_TABANI!D24-VERI_TABANI!D24*B327))*VERI_TABANI!$B$8) + IF(ABS(IF(ISNUMBER(SEARCH("Var", D327)), 1, IF(ISNUMBER(SEARCH("Gri", D327)), -1, 0)))=1, VERI_TABANI!E24*(1-0.928)*VERI_TABANI!$B$9, 0) + (VERI_TABANI!D24*B327*(VERI_TABANI!$B$13-VERI_TABANI!$B$14)*VERI_TABANI!G24) + (VERI_TABANI!D24*C327*(VERI_TABANI!$B$13-VERI_TABANI!$B$15)*VERI_TABANI!G24) + IF(ABS(IF(ISNUMBER(SEARCH("Var", D327)), 1, IF(ISNUMBER(SEARCH("Gri", D327)), -1, 0)))=1, VERI_TABANI!E24*(1-0.928)*0.00206091519919798*VERI_TABANI!G24, 0)) + ((MIN(VERI_TABANI!D25, VERI_TABANI!D25*B327)*VERI_TABANI!$B$7 + MAX(0, VERI_TABANI!D25*B327-VERI_TABANI!D25)*VERI_TABANI!$B$8) + (MIN(MAX(0, VERI_TABANI!D25-VERI_TABANI!D25*B327), VERI_TABANI!D25*C327)*VERI_TABANI!$B$7 + MAX(0, VERI_TABANI!D25*C327-MAX(0, VERI_TABANI!D25-VERI_TABANI!D25*B327))*VERI_TABANI!$B$8) + IF(ABS(IF(ISNUMBER(SEARCH("Var", D327)), 1, IF(ISNUMBER(SEARCH("Gri", D327)), -1, 0)))=1, VERI_TABANI!E25*(1-0.928)*VERI_TABANI!$B$9, 0) + (VERI_TABANI!D25*B327*(VERI_TABANI!$B$13-VERI_TABANI!$B$14)*VERI_TABANI!G25) + (VERI_TABANI!D25*C327*(VERI_TABANI!$B$13-VERI_TABANI!$B$15)*VERI_TABANI!G25) + IF(ABS(IF(ISNUMBER(SEARCH("Var", D327)), 1, IF(ISNUMBER(SEARCH("Gri", D327)), -1, 0)))=1, VERI_TABANI!E25*(1-0.928)*0.00206091519919798*VERI_TABANI!G25, 0)) + ((MIN(VERI_TABANI!D26, VERI_TABANI!D26*B327)*VERI_TABANI!$B$7 + MAX(0, VERI_TABANI!D26*B327-VERI_TABANI!D26)*VERI_TABANI!$B$8) + (MIN(MAX(0, VERI_TABANI!D26-VERI_TABANI!D26*B327), VERI_TABANI!D26*C327)*VERI_TABANI!$B$7 + MAX(0, VERI_TABANI!D26*C327-MAX(0, VERI_TABANI!D26-VERI_TABANI!D26*B327))*VERI_TABANI!$B$8) + IF(ABS(IF(ISNUMBER(SEARCH("Var", D327)), 1, IF(ISNUMBER(SEARCH("Gri", D327)), -1, 0)))=1, VERI_TABANI!E26*(1-0.928)*VERI_TABANI!$B$9, 0) + (VERI_TABANI!D26*B327*(VERI_TABANI!$B$13-VERI_TABANI!$B$14)*VERI_TABANI!G26) + (VERI_TABANI!D26*C327*(VERI_TABANI!$B$13-VERI_TABANI!$B$15)*VERI_TABANI!G26) + IF(ABS(IF(ISNUMBER(SEARCH("Var", D327)), 1, IF(ISNUMBER(SEARCH("Gri", D327)), -1, 0)))=1, VERI_TABANI!E26*(1-0.928)*0.00206091519919798*VERI_TABANI!G26, 0)) + ((MIN(VERI_TABANI!D27, VERI_TABANI!D27*B327)*VERI_TABANI!$B$7 + MAX(0, VERI_TABANI!D27*B327-VERI_TABANI!D27)*VERI_TABANI!$B$8) + (MIN(MAX(0, VERI_TABANI!D27-VERI_TABANI!D27*B327), VERI_TABANI!D27*C327)*VERI_TABANI!$B$7 + MAX(0, VERI_TABANI!D27*C327-MAX(0, VERI_TABANI!D27-VERI_TABANI!D27*B327))*VERI_TABANI!$B$8) + IF(ABS(IF(ISNUMBER(SEARCH("Var", D327)), 1, IF(ISNUMBER(SEARCH("Gri", D327)), -1, 0)))=1, VERI_TABANI!E27*(1-0.928)*VERI_TABANI!$B$9, 0) + (VERI_TABANI!D27*B327*(VERI_TABANI!$B$13-VERI_TABANI!$B$14)*VERI_TABANI!G27) + (VERI_TABANI!D27*C327*(VERI_TABANI!$B$13-VERI_TABANI!$B$15)*VERI_TABANI!G27) + IF(ABS(IF(ISNUMBER(SEARCH("Var", D327)), 1, IF(ISNUMBER(SEARCH("Gri", D327)), -1, 0)))=1, VERI_TABANI!E27*(1-0.928)*0.00206091519919798*VERI_TABANI!G27, 0)) + ((MIN(VERI_TABANI!D28, VERI_TABANI!D28*B327)*VERI_TABANI!$B$7 + MAX(0, VERI_TABANI!D28*B327-VERI_TABANI!D28)*VERI_TABANI!$B$8) + (MIN(MAX(0, VERI_TABANI!D28-VERI_TABANI!D28*B327), VERI_TABANI!D28*C327)*VERI_TABANI!$B$7 + MAX(0, VERI_TABANI!D28*C327-MAX(0, VERI_TABANI!D28-VERI_TABANI!D28*B327))*VERI_TABANI!$B$8) + IF(ABS(IF(ISNUMBER(SEARCH("Var", D327)), 1, IF(ISNUMBER(SEARCH("Gri", D327)), -1, 0)))=1, VERI_TABANI!E28*(1-0.928)*VERI_TABANI!$B$9, 0) + (VERI_TABANI!D28*B327*(VERI_TABANI!$B$13-VERI_TABANI!$B$14)*VERI_TABANI!G28) + (VERI_TABANI!D28*C327*(VERI_TABANI!$B$13-VERI_TABANI!$B$15)*VERI_TABANI!G28) + IF(ABS(IF(ISNUMBER(SEARCH("Var", D327)), 1, IF(ISNUMBER(SEARCH("Gri", D327)), -1, 0)))=1, VERI_TABANI!E28*(1-0.928)*0.00206091519919798*VERI_TABANI!G28, 0)))</f>
        <v/>
      </c>
      <c r="H327" s="169">
        <f>(((VERI_TABANI!D23*B327*(VERI_TABANI!$B$13-VERI_TABANI!$B$14)) + (VERI_TABANI!D23*C327*(VERI_TABANI!$B$13-VERI_TABANI!$B$15)) + IF(ISNUMBER(SEARCH("Var", D327)), VERI_TABANI!F23*(0.00202-VERI_TABANI!$B$16), IF(ISNUMBER(SEARCH("Gri", D327)), VERI_TABANI!F23*(0.00202-VERI_TABANI!$B$17), 0))) + ((VERI_TABANI!D24*B327*(VERI_TABANI!$B$13-VERI_TABANI!$B$14)) + (VERI_TABANI!D24*C327*(VERI_TABANI!$B$13-VERI_TABANI!$B$15)) + IF(ISNUMBER(SEARCH("Var", D327)), VERI_TABANI!F24*(0.00202-VERI_TABANI!$B$16), IF(ISNUMBER(SEARCH("Gri", D327)), VERI_TABANI!F24*(0.00202-VERI_TABANI!$B$17), 0))) + ((VERI_TABANI!D25*B327*(VERI_TABANI!$B$13-VERI_TABANI!$B$14)) + (VERI_TABANI!D25*C327*(VERI_TABANI!$B$13-VERI_TABANI!$B$15)) + IF(ISNUMBER(SEARCH("Var", D327)), VERI_TABANI!F25*(0.00202-VERI_TABANI!$B$16), IF(ISNUMBER(SEARCH("Gri", D327)), VERI_TABANI!F25*(0.00202-VERI_TABANI!$B$17), 0))) + ((VERI_TABANI!D26*B327*(VERI_TABANI!$B$13-VERI_TABANI!$B$14)) + (VERI_TABANI!D26*C327*(VERI_TABANI!$B$13-VERI_TABANI!$B$15)) + IF(ISNUMBER(SEARCH("Var", D327)), VERI_TABANI!F26*(0.00202-VERI_TABANI!$B$16), IF(ISNUMBER(SEARCH("Gri", D327)), VERI_TABANI!F26*(0.00202-VERI_TABANI!$B$17), 0))) + ((VERI_TABANI!D27*B327*(VERI_TABANI!$B$13-VERI_TABANI!$B$14)) + (VERI_TABANI!D27*C327*(VERI_TABANI!$B$13-VERI_TABANI!$B$15)) + IF(ISNUMBER(SEARCH("Var", D327)), VERI_TABANI!F27*(0.00202-VERI_TABANI!$B$16), IF(ISNUMBER(SEARCH("Gri", D327)), VERI_TABANI!F27*(0.00202-VERI_TABANI!$B$17), 0))) + ((VERI_TABANI!D28*B327*(VERI_TABANI!$B$13-VERI_TABANI!$B$14)) + (VERI_TABANI!D28*C327*(VERI_TABANI!$B$13-VERI_TABANI!$B$15)) + IF(ISNUMBER(SEARCH("Var", D327)), VERI_TABANI!F28*(0.00202-VERI_TABANI!$B$16), IF(ISNUMBER(SEARCH("Gri", D327)), VERI_TABANI!F28*(0.00202-VERI_TABANI!$B$17), 0))))</f>
        <v/>
      </c>
      <c r="I327" s="170">
        <f>IFERROR(((VERI_TABANI!$D$29*B327*VERI_TABANI!$B$14 + VERI_TABANI!$D$29*C327*VERI_TABANI!$B$15 + IF(ISNUMBER(SEARCH("Var", D327)), VERI_TABANI!$F$29*VERI_TABANI!$B$16, 0))) / (((VERI_TABANI!$D$29*B327 + VERI_TABANI!$D$29*C327)*VERI_TABANI!$B$13 + IF(ISNUMBER(SEARCH("Var", D327)), VERI_TABANI!$E$29*(1-0.928)*VERI_TABANI!$B$18, 0))), 0)</f>
        <v/>
      </c>
      <c r="J327" s="171">
        <f>IFERROR(F327/(G327/29), 0)</f>
        <v/>
      </c>
      <c r="K327" s="172">
        <f>IF(F327&gt;0, H327/F327, 0)</f>
        <v/>
      </c>
      <c r="L327" s="170">
        <f>IF(F327&gt;0, I327, 1000000000)</f>
        <v/>
      </c>
      <c r="M327" s="171">
        <f>ABS((B327+C327)-1)</f>
        <v/>
      </c>
      <c r="N327" s="170">
        <f>IF(F327&gt;0, (G327/29)/F327, 0)</f>
        <v/>
      </c>
      <c r="O327" s="168">
        <f>IF(AND((B327+C327)&gt;=1, ISNUMBER(SEARCH("Var", D327))), F327, 1000000000)</f>
        <v/>
      </c>
      <c r="P327" s="172">
        <f>IF(F327&gt;0, SQRT((F327/MAX(F$5:F$886))^2 + (1 - H327/MAX(H$5:H$886))^2 + (J327/MAX(J$5:J$886))^2), 1000000000)</f>
        <v/>
      </c>
      <c r="Q327" s="166">
        <f>IF(AND(ABS(B327-0.5)&lt;0.01, ABS(C327-0.5)&lt;0.01, ISNUMBER(SEARCH("Var", D327))), 1, 0)</f>
        <v/>
      </c>
      <c r="R327" s="171">
        <f>IF(F327&gt;0, J327, 1000000000)</f>
        <v/>
      </c>
      <c r="S327" s="101">
        <f>IF(AND(F327&lt;=DASHBOARD!$B$11, H327&gt;=DASHBOARD!$B$13), G327, -1000000000000)</f>
        <v/>
      </c>
      <c r="T327" s="101">
        <f>IF(AND(F327&lt;=DASHBOARD!$B$11, H327&gt;=DASHBOARD!$B$13), R327, 1000000000000)</f>
        <v/>
      </c>
      <c r="U327" s="101">
        <f>IF(AND(F327&lt;=DASHBOARD!$B$11, H327&gt;=DASHBOARD!$B$13), N327, -1000000000000)</f>
        <v/>
      </c>
      <c r="V327" s="101">
        <f>IF(AND(F327&lt;=DASHBOARD!$B$11, H327&gt;=DASHBOARD!$B$13), H327, -1000000000000)</f>
        <v/>
      </c>
      <c r="W327" s="101">
        <f>IF(AND(F327&lt;=DASHBOARD!$B$11, H327&gt;=DASHBOARD!$B$13), K327, -1000000000000)</f>
        <v/>
      </c>
      <c r="X327" s="101">
        <f>IF(AND(F327&lt;=DASHBOARD!$B$11, H327&gt;=DASHBOARD!$B$13), M327, 1000000000000)</f>
        <v/>
      </c>
      <c r="Y327" s="101">
        <f>IF(AND(F327&lt;=DASHBOARD!$B$10, H327&gt;=DASHBOARD!$B$11), L327, 1000000000000)</f>
        <v/>
      </c>
      <c r="Z327" s="101">
        <f>IF(AND(F327&lt;=DASHBOARD!$B$10, H327&gt;=DASHBOARD!$B$11), O327, 1000000000000)</f>
        <v/>
      </c>
      <c r="AA327" s="101">
        <f>IF(AND(F327&lt;=DASHBOARD!$B$10, H327&gt;=DASHBOARD!$B$11), P327, 1000000000000)</f>
        <v/>
      </c>
      <c r="AB327" s="101">
        <f>IF(AND(F327&lt;=DASHBOARD!$B$10, H327&gt;=DASHBOARD!$B$11), Q327, -1000000000000)</f>
        <v/>
      </c>
    </row>
    <row r="328" ht="15" customHeight="1" s="102">
      <c r="A328" s="166" t="n">
        <v>324</v>
      </c>
      <c r="B328" s="167" t="n">
        <v>0.7</v>
      </c>
      <c r="C328" s="167" t="n">
        <v>1.4</v>
      </c>
      <c r="D328" s="110" t="inlineStr">
        <is>
          <t>Var (%20)</t>
        </is>
      </c>
      <c r="E328" s="110">
        <f>IF((B328+C328)&lt;=1, "Tam Mahsuplaşma (≤%100)", "Kısmi Satış (&gt;%100)")</f>
        <v/>
      </c>
      <c r="F328" s="168">
        <f>((VERI_TABANI!$D$29*B328/VERI_TABANI!$B$29)/VERI_TABANI!$B$3)*VERI_TABANI!$B$5 + ((VERI_TABANI!$D$29*C328/VERI_TABANI!$B$29)/VERI_TABANI!$B$4)*VERI_TABANI!$B$6 + IF(ISNUMBER(SEARCH("Var", D328)), (VERI_TABANI!$F$29/VERI_TABANI!$B$29)*(VERI_TABANI!$B$10+VERI_TABANI!$B$12), 0)</f>
        <v/>
      </c>
      <c r="G328" s="168">
        <f>(((MIN(VERI_TABANI!D23, VERI_TABANI!D23*B328)*VERI_TABANI!$B$7 + MAX(0, VERI_TABANI!D23*B328-VERI_TABANI!D23)*VERI_TABANI!$B$8) + (MIN(MAX(0, VERI_TABANI!D23-VERI_TABANI!D23*B328), VERI_TABANI!D23*C328)*VERI_TABANI!$B$7 + MAX(0, VERI_TABANI!D23*C328-MAX(0, VERI_TABANI!D23-VERI_TABANI!D23*B328))*VERI_TABANI!$B$8) + IF(ABS(IF(ISNUMBER(SEARCH("Var", D328)), 1, IF(ISNUMBER(SEARCH("Gri", D328)), -1, 0)))=1, VERI_TABANI!E23*(1-0.928)*VERI_TABANI!$B$9, 0) + (VERI_TABANI!D23*B328*(VERI_TABANI!$B$13-VERI_TABANI!$B$14)*VERI_TABANI!G23) + (VERI_TABANI!D23*C328*(VERI_TABANI!$B$13-VERI_TABANI!$B$15)*VERI_TABANI!G23) + IF(ABS(IF(ISNUMBER(SEARCH("Var", D328)), 1, IF(ISNUMBER(SEARCH("Gri", D328)), -1, 0)))=1, VERI_TABANI!E23*(1-0.928)*0.00206091519919798*VERI_TABANI!G23, 0)) + ((MIN(VERI_TABANI!D24, VERI_TABANI!D24*B328)*VERI_TABANI!$B$7 + MAX(0, VERI_TABANI!D24*B328-VERI_TABANI!D24)*VERI_TABANI!$B$8) + (MIN(MAX(0, VERI_TABANI!D24-VERI_TABANI!D24*B328), VERI_TABANI!D24*C328)*VERI_TABANI!$B$7 + MAX(0, VERI_TABANI!D24*C328-MAX(0, VERI_TABANI!D24-VERI_TABANI!D24*B328))*VERI_TABANI!$B$8) + IF(ABS(IF(ISNUMBER(SEARCH("Var", D328)), 1, IF(ISNUMBER(SEARCH("Gri", D328)), -1, 0)))=1, VERI_TABANI!E24*(1-0.928)*VERI_TABANI!$B$9, 0) + (VERI_TABANI!D24*B328*(VERI_TABANI!$B$13-VERI_TABANI!$B$14)*VERI_TABANI!G24) + (VERI_TABANI!D24*C328*(VERI_TABANI!$B$13-VERI_TABANI!$B$15)*VERI_TABANI!G24) + IF(ABS(IF(ISNUMBER(SEARCH("Var", D328)), 1, IF(ISNUMBER(SEARCH("Gri", D328)), -1, 0)))=1, VERI_TABANI!E24*(1-0.928)*0.00206091519919798*VERI_TABANI!G24, 0)) + ((MIN(VERI_TABANI!D25, VERI_TABANI!D25*B328)*VERI_TABANI!$B$7 + MAX(0, VERI_TABANI!D25*B328-VERI_TABANI!D25)*VERI_TABANI!$B$8) + (MIN(MAX(0, VERI_TABANI!D25-VERI_TABANI!D25*B328), VERI_TABANI!D25*C328)*VERI_TABANI!$B$7 + MAX(0, VERI_TABANI!D25*C328-MAX(0, VERI_TABANI!D25-VERI_TABANI!D25*B328))*VERI_TABANI!$B$8) + IF(ABS(IF(ISNUMBER(SEARCH("Var", D328)), 1, IF(ISNUMBER(SEARCH("Gri", D328)), -1, 0)))=1, VERI_TABANI!E25*(1-0.928)*VERI_TABANI!$B$9, 0) + (VERI_TABANI!D25*B328*(VERI_TABANI!$B$13-VERI_TABANI!$B$14)*VERI_TABANI!G25) + (VERI_TABANI!D25*C328*(VERI_TABANI!$B$13-VERI_TABANI!$B$15)*VERI_TABANI!G25) + IF(ABS(IF(ISNUMBER(SEARCH("Var", D328)), 1, IF(ISNUMBER(SEARCH("Gri", D328)), -1, 0)))=1, VERI_TABANI!E25*(1-0.928)*0.00206091519919798*VERI_TABANI!G25, 0)) + ((MIN(VERI_TABANI!D26, VERI_TABANI!D26*B328)*VERI_TABANI!$B$7 + MAX(0, VERI_TABANI!D26*B328-VERI_TABANI!D26)*VERI_TABANI!$B$8) + (MIN(MAX(0, VERI_TABANI!D26-VERI_TABANI!D26*B328), VERI_TABANI!D26*C328)*VERI_TABANI!$B$7 + MAX(0, VERI_TABANI!D26*C328-MAX(0, VERI_TABANI!D26-VERI_TABANI!D26*B328))*VERI_TABANI!$B$8) + IF(ABS(IF(ISNUMBER(SEARCH("Var", D328)), 1, IF(ISNUMBER(SEARCH("Gri", D328)), -1, 0)))=1, VERI_TABANI!E26*(1-0.928)*VERI_TABANI!$B$9, 0) + (VERI_TABANI!D26*B328*(VERI_TABANI!$B$13-VERI_TABANI!$B$14)*VERI_TABANI!G26) + (VERI_TABANI!D26*C328*(VERI_TABANI!$B$13-VERI_TABANI!$B$15)*VERI_TABANI!G26) + IF(ABS(IF(ISNUMBER(SEARCH("Var", D328)), 1, IF(ISNUMBER(SEARCH("Gri", D328)), -1, 0)))=1, VERI_TABANI!E26*(1-0.928)*0.00206091519919798*VERI_TABANI!G26, 0)) + ((MIN(VERI_TABANI!D27, VERI_TABANI!D27*B328)*VERI_TABANI!$B$7 + MAX(0, VERI_TABANI!D27*B328-VERI_TABANI!D27)*VERI_TABANI!$B$8) + (MIN(MAX(0, VERI_TABANI!D27-VERI_TABANI!D27*B328), VERI_TABANI!D27*C328)*VERI_TABANI!$B$7 + MAX(0, VERI_TABANI!D27*C328-MAX(0, VERI_TABANI!D27-VERI_TABANI!D27*B328))*VERI_TABANI!$B$8) + IF(ABS(IF(ISNUMBER(SEARCH("Var", D328)), 1, IF(ISNUMBER(SEARCH("Gri", D328)), -1, 0)))=1, VERI_TABANI!E27*(1-0.928)*VERI_TABANI!$B$9, 0) + (VERI_TABANI!D27*B328*(VERI_TABANI!$B$13-VERI_TABANI!$B$14)*VERI_TABANI!G27) + (VERI_TABANI!D27*C328*(VERI_TABANI!$B$13-VERI_TABANI!$B$15)*VERI_TABANI!G27) + IF(ABS(IF(ISNUMBER(SEARCH("Var", D328)), 1, IF(ISNUMBER(SEARCH("Gri", D328)), -1, 0)))=1, VERI_TABANI!E27*(1-0.928)*0.00206091519919798*VERI_TABANI!G27, 0)) + ((MIN(VERI_TABANI!D28, VERI_TABANI!D28*B328)*VERI_TABANI!$B$7 + MAX(0, VERI_TABANI!D28*B328-VERI_TABANI!D28)*VERI_TABANI!$B$8) + (MIN(MAX(0, VERI_TABANI!D28-VERI_TABANI!D28*B328), VERI_TABANI!D28*C328)*VERI_TABANI!$B$7 + MAX(0, VERI_TABANI!D28*C328-MAX(0, VERI_TABANI!D28-VERI_TABANI!D28*B328))*VERI_TABANI!$B$8) + IF(ABS(IF(ISNUMBER(SEARCH("Var", D328)), 1, IF(ISNUMBER(SEARCH("Gri", D328)), -1, 0)))=1, VERI_TABANI!E28*(1-0.928)*VERI_TABANI!$B$9, 0) + (VERI_TABANI!D28*B328*(VERI_TABANI!$B$13-VERI_TABANI!$B$14)*VERI_TABANI!G28) + (VERI_TABANI!D28*C328*(VERI_TABANI!$B$13-VERI_TABANI!$B$15)*VERI_TABANI!G28) + IF(ABS(IF(ISNUMBER(SEARCH("Var", D328)), 1, IF(ISNUMBER(SEARCH("Gri", D328)), -1, 0)))=1, VERI_TABANI!E28*(1-0.928)*0.00206091519919798*VERI_TABANI!G28, 0)))</f>
        <v/>
      </c>
      <c r="H328" s="169">
        <f>(((VERI_TABANI!D23*B328*(VERI_TABANI!$B$13-VERI_TABANI!$B$14)) + (VERI_TABANI!D23*C328*(VERI_TABANI!$B$13-VERI_TABANI!$B$15)) + IF(ISNUMBER(SEARCH("Var", D328)), VERI_TABANI!F23*(0.00202-VERI_TABANI!$B$16), IF(ISNUMBER(SEARCH("Gri", D328)), VERI_TABANI!F23*(0.00202-VERI_TABANI!$B$17), 0))) + ((VERI_TABANI!D24*B328*(VERI_TABANI!$B$13-VERI_TABANI!$B$14)) + (VERI_TABANI!D24*C328*(VERI_TABANI!$B$13-VERI_TABANI!$B$15)) + IF(ISNUMBER(SEARCH("Var", D328)), VERI_TABANI!F24*(0.00202-VERI_TABANI!$B$16), IF(ISNUMBER(SEARCH("Gri", D328)), VERI_TABANI!F24*(0.00202-VERI_TABANI!$B$17), 0))) + ((VERI_TABANI!D25*B328*(VERI_TABANI!$B$13-VERI_TABANI!$B$14)) + (VERI_TABANI!D25*C328*(VERI_TABANI!$B$13-VERI_TABANI!$B$15)) + IF(ISNUMBER(SEARCH("Var", D328)), VERI_TABANI!F25*(0.00202-VERI_TABANI!$B$16), IF(ISNUMBER(SEARCH("Gri", D328)), VERI_TABANI!F25*(0.00202-VERI_TABANI!$B$17), 0))) + ((VERI_TABANI!D26*B328*(VERI_TABANI!$B$13-VERI_TABANI!$B$14)) + (VERI_TABANI!D26*C328*(VERI_TABANI!$B$13-VERI_TABANI!$B$15)) + IF(ISNUMBER(SEARCH("Var", D328)), VERI_TABANI!F26*(0.00202-VERI_TABANI!$B$16), IF(ISNUMBER(SEARCH("Gri", D328)), VERI_TABANI!F26*(0.00202-VERI_TABANI!$B$17), 0))) + ((VERI_TABANI!D27*B328*(VERI_TABANI!$B$13-VERI_TABANI!$B$14)) + (VERI_TABANI!D27*C328*(VERI_TABANI!$B$13-VERI_TABANI!$B$15)) + IF(ISNUMBER(SEARCH("Var", D328)), VERI_TABANI!F27*(0.00202-VERI_TABANI!$B$16), IF(ISNUMBER(SEARCH("Gri", D328)), VERI_TABANI!F27*(0.00202-VERI_TABANI!$B$17), 0))) + ((VERI_TABANI!D28*B328*(VERI_TABANI!$B$13-VERI_TABANI!$B$14)) + (VERI_TABANI!D28*C328*(VERI_TABANI!$B$13-VERI_TABANI!$B$15)) + IF(ISNUMBER(SEARCH("Var", D328)), VERI_TABANI!F28*(0.00202-VERI_TABANI!$B$16), IF(ISNUMBER(SEARCH("Gri", D328)), VERI_TABANI!F28*(0.00202-VERI_TABANI!$B$17), 0))))</f>
        <v/>
      </c>
      <c r="I328" s="170">
        <f>IFERROR(((VERI_TABANI!$D$29*B328*VERI_TABANI!$B$14 + VERI_TABANI!$D$29*C328*VERI_TABANI!$B$15 + IF(ISNUMBER(SEARCH("Var", D328)), VERI_TABANI!$F$29*VERI_TABANI!$B$16, 0))) / (((VERI_TABANI!$D$29*B328 + VERI_TABANI!$D$29*C328)*VERI_TABANI!$B$13 + IF(ISNUMBER(SEARCH("Var", D328)), VERI_TABANI!$E$29*(1-0.928)*VERI_TABANI!$B$18, 0))), 0)</f>
        <v/>
      </c>
      <c r="J328" s="171">
        <f>IFERROR(F328/(G328/29), 0)</f>
        <v/>
      </c>
      <c r="K328" s="172">
        <f>IF(F328&gt;0, H328/F328, 0)</f>
        <v/>
      </c>
      <c r="L328" s="170">
        <f>IF(F328&gt;0, I328, 1000000000)</f>
        <v/>
      </c>
      <c r="M328" s="171">
        <f>ABS((B328+C328)-1)</f>
        <v/>
      </c>
      <c r="N328" s="170">
        <f>IF(F328&gt;0, (G328/29)/F328, 0)</f>
        <v/>
      </c>
      <c r="O328" s="168">
        <f>IF(AND((B328+C328)&gt;=1, ISNUMBER(SEARCH("Var", D328))), F328, 1000000000)</f>
        <v/>
      </c>
      <c r="P328" s="172">
        <f>IF(F328&gt;0, SQRT((F328/MAX(F$5:F$886))^2 + (1 - H328/MAX(H$5:H$886))^2 + (J328/MAX(J$5:J$886))^2), 1000000000)</f>
        <v/>
      </c>
      <c r="Q328" s="166">
        <f>IF(AND(ABS(B328-0.5)&lt;0.01, ABS(C328-0.5)&lt;0.01, ISNUMBER(SEARCH("Var", D328))), 1, 0)</f>
        <v/>
      </c>
      <c r="R328" s="171">
        <f>IF(F328&gt;0, J328, 1000000000)</f>
        <v/>
      </c>
      <c r="S328" s="101">
        <f>IF(AND(F328&lt;=DASHBOARD!$B$11, H328&gt;=DASHBOARD!$B$13), G328, -1000000000000)</f>
        <v/>
      </c>
      <c r="T328" s="101">
        <f>IF(AND(F328&lt;=DASHBOARD!$B$11, H328&gt;=DASHBOARD!$B$13), R328, 1000000000000)</f>
        <v/>
      </c>
      <c r="U328" s="101">
        <f>IF(AND(F328&lt;=DASHBOARD!$B$11, H328&gt;=DASHBOARD!$B$13), N328, -1000000000000)</f>
        <v/>
      </c>
      <c r="V328" s="101">
        <f>IF(AND(F328&lt;=DASHBOARD!$B$11, H328&gt;=DASHBOARD!$B$13), H328, -1000000000000)</f>
        <v/>
      </c>
      <c r="W328" s="101">
        <f>IF(AND(F328&lt;=DASHBOARD!$B$11, H328&gt;=DASHBOARD!$B$13), K328, -1000000000000)</f>
        <v/>
      </c>
      <c r="X328" s="101">
        <f>IF(AND(F328&lt;=DASHBOARD!$B$11, H328&gt;=DASHBOARD!$B$13), M328, 1000000000000)</f>
        <v/>
      </c>
      <c r="Y328" s="101">
        <f>IF(AND(F328&lt;=DASHBOARD!$B$10, H328&gt;=DASHBOARD!$B$11), L328, 1000000000000)</f>
        <v/>
      </c>
      <c r="Z328" s="101">
        <f>IF(AND(F328&lt;=DASHBOARD!$B$10, H328&gt;=DASHBOARD!$B$11), O328, 1000000000000)</f>
        <v/>
      </c>
      <c r="AA328" s="101">
        <f>IF(AND(F328&lt;=DASHBOARD!$B$10, H328&gt;=DASHBOARD!$B$11), P328, 1000000000000)</f>
        <v/>
      </c>
      <c r="AB328" s="101">
        <f>IF(AND(F328&lt;=DASHBOARD!$B$10, H328&gt;=DASHBOARD!$B$11), Q328, -1000000000000)</f>
        <v/>
      </c>
    </row>
    <row r="329" ht="15" customHeight="1" s="102">
      <c r="A329" s="166" t="n">
        <v>325</v>
      </c>
      <c r="B329" s="167" t="n">
        <v>0.7</v>
      </c>
      <c r="C329" s="167" t="n">
        <v>1.5</v>
      </c>
      <c r="D329" s="110" t="inlineStr">
        <is>
          <t>Yok (%0)</t>
        </is>
      </c>
      <c r="E329" s="110">
        <f>IF((B329+C329)&lt;=1, "Tam Mahsuplaşma (≤%100)", "Kısmi Satış (&gt;%100)")</f>
        <v/>
      </c>
      <c r="F329" s="168">
        <f>((VERI_TABANI!$D$29*B329/VERI_TABANI!$B$29)/VERI_TABANI!$B$3)*VERI_TABANI!$B$5 + ((VERI_TABANI!$D$29*C329/VERI_TABANI!$B$29)/VERI_TABANI!$B$4)*VERI_TABANI!$B$6 + IF(ISNUMBER(SEARCH("Var", D329)), (VERI_TABANI!$F$29/VERI_TABANI!$B$29)*(VERI_TABANI!$B$10+VERI_TABANI!$B$12), 0)</f>
        <v/>
      </c>
      <c r="G329" s="168">
        <f>(((MIN(VERI_TABANI!D23, VERI_TABANI!D23*B329)*VERI_TABANI!$B$7 + MAX(0, VERI_TABANI!D23*B329-VERI_TABANI!D23)*VERI_TABANI!$B$8) + (MIN(MAX(0, VERI_TABANI!D23-VERI_TABANI!D23*B329), VERI_TABANI!D23*C329)*VERI_TABANI!$B$7 + MAX(0, VERI_TABANI!D23*C329-MAX(0, VERI_TABANI!D23-VERI_TABANI!D23*B329))*VERI_TABANI!$B$8) + IF(ABS(IF(ISNUMBER(SEARCH("Var", D329)), 1, IF(ISNUMBER(SEARCH("Gri", D329)), -1, 0)))=1, VERI_TABANI!E23*(1-0.928)*VERI_TABANI!$B$9, 0) + (VERI_TABANI!D23*B329*(VERI_TABANI!$B$13-VERI_TABANI!$B$14)*VERI_TABANI!G23) + (VERI_TABANI!D23*C329*(VERI_TABANI!$B$13-VERI_TABANI!$B$15)*VERI_TABANI!G23) + IF(ABS(IF(ISNUMBER(SEARCH("Var", D329)), 1, IF(ISNUMBER(SEARCH("Gri", D329)), -1, 0)))=1, VERI_TABANI!E23*(1-0.928)*0.00206091519919798*VERI_TABANI!G23, 0)) + ((MIN(VERI_TABANI!D24, VERI_TABANI!D24*B329)*VERI_TABANI!$B$7 + MAX(0, VERI_TABANI!D24*B329-VERI_TABANI!D24)*VERI_TABANI!$B$8) + (MIN(MAX(0, VERI_TABANI!D24-VERI_TABANI!D24*B329), VERI_TABANI!D24*C329)*VERI_TABANI!$B$7 + MAX(0, VERI_TABANI!D24*C329-MAX(0, VERI_TABANI!D24-VERI_TABANI!D24*B329))*VERI_TABANI!$B$8) + IF(ABS(IF(ISNUMBER(SEARCH("Var", D329)), 1, IF(ISNUMBER(SEARCH("Gri", D329)), -1, 0)))=1, VERI_TABANI!E24*(1-0.928)*VERI_TABANI!$B$9, 0) + (VERI_TABANI!D24*B329*(VERI_TABANI!$B$13-VERI_TABANI!$B$14)*VERI_TABANI!G24) + (VERI_TABANI!D24*C329*(VERI_TABANI!$B$13-VERI_TABANI!$B$15)*VERI_TABANI!G24) + IF(ABS(IF(ISNUMBER(SEARCH("Var", D329)), 1, IF(ISNUMBER(SEARCH("Gri", D329)), -1, 0)))=1, VERI_TABANI!E24*(1-0.928)*0.00206091519919798*VERI_TABANI!G24, 0)) + ((MIN(VERI_TABANI!D25, VERI_TABANI!D25*B329)*VERI_TABANI!$B$7 + MAX(0, VERI_TABANI!D25*B329-VERI_TABANI!D25)*VERI_TABANI!$B$8) + (MIN(MAX(0, VERI_TABANI!D25-VERI_TABANI!D25*B329), VERI_TABANI!D25*C329)*VERI_TABANI!$B$7 + MAX(0, VERI_TABANI!D25*C329-MAX(0, VERI_TABANI!D25-VERI_TABANI!D25*B329))*VERI_TABANI!$B$8) + IF(ABS(IF(ISNUMBER(SEARCH("Var", D329)), 1, IF(ISNUMBER(SEARCH("Gri", D329)), -1, 0)))=1, VERI_TABANI!E25*(1-0.928)*VERI_TABANI!$B$9, 0) + (VERI_TABANI!D25*B329*(VERI_TABANI!$B$13-VERI_TABANI!$B$14)*VERI_TABANI!G25) + (VERI_TABANI!D25*C329*(VERI_TABANI!$B$13-VERI_TABANI!$B$15)*VERI_TABANI!G25) + IF(ABS(IF(ISNUMBER(SEARCH("Var", D329)), 1, IF(ISNUMBER(SEARCH("Gri", D329)), -1, 0)))=1, VERI_TABANI!E25*(1-0.928)*0.00206091519919798*VERI_TABANI!G25, 0)) + ((MIN(VERI_TABANI!D26, VERI_TABANI!D26*B329)*VERI_TABANI!$B$7 + MAX(0, VERI_TABANI!D26*B329-VERI_TABANI!D26)*VERI_TABANI!$B$8) + (MIN(MAX(0, VERI_TABANI!D26-VERI_TABANI!D26*B329), VERI_TABANI!D26*C329)*VERI_TABANI!$B$7 + MAX(0, VERI_TABANI!D26*C329-MAX(0, VERI_TABANI!D26-VERI_TABANI!D26*B329))*VERI_TABANI!$B$8) + IF(ABS(IF(ISNUMBER(SEARCH("Var", D329)), 1, IF(ISNUMBER(SEARCH("Gri", D329)), -1, 0)))=1, VERI_TABANI!E26*(1-0.928)*VERI_TABANI!$B$9, 0) + (VERI_TABANI!D26*B329*(VERI_TABANI!$B$13-VERI_TABANI!$B$14)*VERI_TABANI!G26) + (VERI_TABANI!D26*C329*(VERI_TABANI!$B$13-VERI_TABANI!$B$15)*VERI_TABANI!G26) + IF(ABS(IF(ISNUMBER(SEARCH("Var", D329)), 1, IF(ISNUMBER(SEARCH("Gri", D329)), -1, 0)))=1, VERI_TABANI!E26*(1-0.928)*0.00206091519919798*VERI_TABANI!G26, 0)) + ((MIN(VERI_TABANI!D27, VERI_TABANI!D27*B329)*VERI_TABANI!$B$7 + MAX(0, VERI_TABANI!D27*B329-VERI_TABANI!D27)*VERI_TABANI!$B$8) + (MIN(MAX(0, VERI_TABANI!D27-VERI_TABANI!D27*B329), VERI_TABANI!D27*C329)*VERI_TABANI!$B$7 + MAX(0, VERI_TABANI!D27*C329-MAX(0, VERI_TABANI!D27-VERI_TABANI!D27*B329))*VERI_TABANI!$B$8) + IF(ABS(IF(ISNUMBER(SEARCH("Var", D329)), 1, IF(ISNUMBER(SEARCH("Gri", D329)), -1, 0)))=1, VERI_TABANI!E27*(1-0.928)*VERI_TABANI!$B$9, 0) + (VERI_TABANI!D27*B329*(VERI_TABANI!$B$13-VERI_TABANI!$B$14)*VERI_TABANI!G27) + (VERI_TABANI!D27*C329*(VERI_TABANI!$B$13-VERI_TABANI!$B$15)*VERI_TABANI!G27) + IF(ABS(IF(ISNUMBER(SEARCH("Var", D329)), 1, IF(ISNUMBER(SEARCH("Gri", D329)), -1, 0)))=1, VERI_TABANI!E27*(1-0.928)*0.00206091519919798*VERI_TABANI!G27, 0)) + ((MIN(VERI_TABANI!D28, VERI_TABANI!D28*B329)*VERI_TABANI!$B$7 + MAX(0, VERI_TABANI!D28*B329-VERI_TABANI!D28)*VERI_TABANI!$B$8) + (MIN(MAX(0, VERI_TABANI!D28-VERI_TABANI!D28*B329), VERI_TABANI!D28*C329)*VERI_TABANI!$B$7 + MAX(0, VERI_TABANI!D28*C329-MAX(0, VERI_TABANI!D28-VERI_TABANI!D28*B329))*VERI_TABANI!$B$8) + IF(ABS(IF(ISNUMBER(SEARCH("Var", D329)), 1, IF(ISNUMBER(SEARCH("Gri", D329)), -1, 0)))=1, VERI_TABANI!E28*(1-0.928)*VERI_TABANI!$B$9, 0) + (VERI_TABANI!D28*B329*(VERI_TABANI!$B$13-VERI_TABANI!$B$14)*VERI_TABANI!G28) + (VERI_TABANI!D28*C329*(VERI_TABANI!$B$13-VERI_TABANI!$B$15)*VERI_TABANI!G28) + IF(ABS(IF(ISNUMBER(SEARCH("Var", D329)), 1, IF(ISNUMBER(SEARCH("Gri", D329)), -1, 0)))=1, VERI_TABANI!E28*(1-0.928)*0.00206091519919798*VERI_TABANI!G28, 0)))</f>
        <v/>
      </c>
      <c r="H329" s="169">
        <f>(((VERI_TABANI!D23*B329*(VERI_TABANI!$B$13-VERI_TABANI!$B$14)) + (VERI_TABANI!D23*C329*(VERI_TABANI!$B$13-VERI_TABANI!$B$15)) + IF(ISNUMBER(SEARCH("Var", D329)), VERI_TABANI!F23*(0.00202-VERI_TABANI!$B$16), IF(ISNUMBER(SEARCH("Gri", D329)), VERI_TABANI!F23*(0.00202-VERI_TABANI!$B$17), 0))) + ((VERI_TABANI!D24*B329*(VERI_TABANI!$B$13-VERI_TABANI!$B$14)) + (VERI_TABANI!D24*C329*(VERI_TABANI!$B$13-VERI_TABANI!$B$15)) + IF(ISNUMBER(SEARCH("Var", D329)), VERI_TABANI!F24*(0.00202-VERI_TABANI!$B$16), IF(ISNUMBER(SEARCH("Gri", D329)), VERI_TABANI!F24*(0.00202-VERI_TABANI!$B$17), 0))) + ((VERI_TABANI!D25*B329*(VERI_TABANI!$B$13-VERI_TABANI!$B$14)) + (VERI_TABANI!D25*C329*(VERI_TABANI!$B$13-VERI_TABANI!$B$15)) + IF(ISNUMBER(SEARCH("Var", D329)), VERI_TABANI!F25*(0.00202-VERI_TABANI!$B$16), IF(ISNUMBER(SEARCH("Gri", D329)), VERI_TABANI!F25*(0.00202-VERI_TABANI!$B$17), 0))) + ((VERI_TABANI!D26*B329*(VERI_TABANI!$B$13-VERI_TABANI!$B$14)) + (VERI_TABANI!D26*C329*(VERI_TABANI!$B$13-VERI_TABANI!$B$15)) + IF(ISNUMBER(SEARCH("Var", D329)), VERI_TABANI!F26*(0.00202-VERI_TABANI!$B$16), IF(ISNUMBER(SEARCH("Gri", D329)), VERI_TABANI!F26*(0.00202-VERI_TABANI!$B$17), 0))) + ((VERI_TABANI!D27*B329*(VERI_TABANI!$B$13-VERI_TABANI!$B$14)) + (VERI_TABANI!D27*C329*(VERI_TABANI!$B$13-VERI_TABANI!$B$15)) + IF(ISNUMBER(SEARCH("Var", D329)), VERI_TABANI!F27*(0.00202-VERI_TABANI!$B$16), IF(ISNUMBER(SEARCH("Gri", D329)), VERI_TABANI!F27*(0.00202-VERI_TABANI!$B$17), 0))) + ((VERI_TABANI!D28*B329*(VERI_TABANI!$B$13-VERI_TABANI!$B$14)) + (VERI_TABANI!D28*C329*(VERI_TABANI!$B$13-VERI_TABANI!$B$15)) + IF(ISNUMBER(SEARCH("Var", D329)), VERI_TABANI!F28*(0.00202-VERI_TABANI!$B$16), IF(ISNUMBER(SEARCH("Gri", D329)), VERI_TABANI!F28*(0.00202-VERI_TABANI!$B$17), 0))))</f>
        <v/>
      </c>
      <c r="I329" s="170">
        <f>IFERROR(((VERI_TABANI!$D$29*B329*VERI_TABANI!$B$14 + VERI_TABANI!$D$29*C329*VERI_TABANI!$B$15 + IF(ISNUMBER(SEARCH("Var", D329)), VERI_TABANI!$F$29*VERI_TABANI!$B$16, 0))) / (((VERI_TABANI!$D$29*B329 + VERI_TABANI!$D$29*C329)*VERI_TABANI!$B$13 + IF(ISNUMBER(SEARCH("Var", D329)), VERI_TABANI!$E$29*(1-0.928)*VERI_TABANI!$B$18, 0))), 0)</f>
        <v/>
      </c>
      <c r="J329" s="171">
        <f>IFERROR(F329/(G329/29), 0)</f>
        <v/>
      </c>
      <c r="K329" s="172">
        <f>IF(F329&gt;0, H329/F329, 0)</f>
        <v/>
      </c>
      <c r="L329" s="170">
        <f>IF(F329&gt;0, I329, 1000000000)</f>
        <v/>
      </c>
      <c r="M329" s="171">
        <f>ABS((B329+C329)-1)</f>
        <v/>
      </c>
      <c r="N329" s="170">
        <f>IF(F329&gt;0, (G329/29)/F329, 0)</f>
        <v/>
      </c>
      <c r="O329" s="168">
        <f>IF(AND((B329+C329)&gt;=1, ISNUMBER(SEARCH("Var", D329))), F329, 1000000000)</f>
        <v/>
      </c>
      <c r="P329" s="172">
        <f>IF(F329&gt;0, SQRT((F329/MAX(F$5:F$886))^2 + (1 - H329/MAX(H$5:H$886))^2 + (J329/MAX(J$5:J$886))^2), 1000000000)</f>
        <v/>
      </c>
      <c r="Q329" s="166">
        <f>IF(AND(ABS(B329-0.5)&lt;0.01, ABS(C329-0.5)&lt;0.01, ISNUMBER(SEARCH("Var", D329))), 1, 0)</f>
        <v/>
      </c>
      <c r="R329" s="171">
        <f>IF(F329&gt;0, J329, 1000000000)</f>
        <v/>
      </c>
      <c r="S329" s="101">
        <f>IF(AND(F329&lt;=DASHBOARD!$B$11, H329&gt;=DASHBOARD!$B$13), G329, -1000000000000)</f>
        <v/>
      </c>
      <c r="T329" s="101">
        <f>IF(AND(F329&lt;=DASHBOARD!$B$11, H329&gt;=DASHBOARD!$B$13), R329, 1000000000000)</f>
        <v/>
      </c>
      <c r="U329" s="101">
        <f>IF(AND(F329&lt;=DASHBOARD!$B$11, H329&gt;=DASHBOARD!$B$13), N329, -1000000000000)</f>
        <v/>
      </c>
      <c r="V329" s="101">
        <f>IF(AND(F329&lt;=DASHBOARD!$B$11, H329&gt;=DASHBOARD!$B$13), H329, -1000000000000)</f>
        <v/>
      </c>
      <c r="W329" s="101">
        <f>IF(AND(F329&lt;=DASHBOARD!$B$11, H329&gt;=DASHBOARD!$B$13), K329, -1000000000000)</f>
        <v/>
      </c>
      <c r="X329" s="101">
        <f>IF(AND(F329&lt;=DASHBOARD!$B$11, H329&gt;=DASHBOARD!$B$13), M329, 1000000000000)</f>
        <v/>
      </c>
      <c r="Y329" s="101">
        <f>IF(AND(F329&lt;=DASHBOARD!$B$10, H329&gt;=DASHBOARD!$B$11), L329, 1000000000000)</f>
        <v/>
      </c>
      <c r="Z329" s="101">
        <f>IF(AND(F329&lt;=DASHBOARD!$B$10, H329&gt;=DASHBOARD!$B$11), O329, 1000000000000)</f>
        <v/>
      </c>
      <c r="AA329" s="101">
        <f>IF(AND(F329&lt;=DASHBOARD!$B$10, H329&gt;=DASHBOARD!$B$11), P329, 1000000000000)</f>
        <v/>
      </c>
      <c r="AB329" s="101">
        <f>IF(AND(F329&lt;=DASHBOARD!$B$10, H329&gt;=DASHBOARD!$B$11), Q329, -1000000000000)</f>
        <v/>
      </c>
    </row>
    <row r="330" ht="15" customHeight="1" s="102">
      <c r="A330" s="166" t="n">
        <v>326</v>
      </c>
      <c r="B330" s="167" t="n">
        <v>0.7</v>
      </c>
      <c r="C330" s="167" t="n">
        <v>1.5</v>
      </c>
      <c r="D330" s="110" t="inlineStr">
        <is>
          <t>Var (%20)</t>
        </is>
      </c>
      <c r="E330" s="110">
        <f>IF((B330+C330)&lt;=1, "Tam Mahsuplaşma (≤%100)", "Kısmi Satış (&gt;%100)")</f>
        <v/>
      </c>
      <c r="F330" s="168">
        <f>((VERI_TABANI!$D$29*B330/VERI_TABANI!$B$29)/VERI_TABANI!$B$3)*VERI_TABANI!$B$5 + ((VERI_TABANI!$D$29*C330/VERI_TABANI!$B$29)/VERI_TABANI!$B$4)*VERI_TABANI!$B$6 + IF(ISNUMBER(SEARCH("Var", D330)), (VERI_TABANI!$F$29/VERI_TABANI!$B$29)*(VERI_TABANI!$B$10+VERI_TABANI!$B$12), 0)</f>
        <v/>
      </c>
      <c r="G330" s="168">
        <f>(((MIN(VERI_TABANI!D23, VERI_TABANI!D23*B330)*VERI_TABANI!$B$7 + MAX(0, VERI_TABANI!D23*B330-VERI_TABANI!D23)*VERI_TABANI!$B$8) + (MIN(MAX(0, VERI_TABANI!D23-VERI_TABANI!D23*B330), VERI_TABANI!D23*C330)*VERI_TABANI!$B$7 + MAX(0, VERI_TABANI!D23*C330-MAX(0, VERI_TABANI!D23-VERI_TABANI!D23*B330))*VERI_TABANI!$B$8) + IF(ABS(IF(ISNUMBER(SEARCH("Var", D330)), 1, IF(ISNUMBER(SEARCH("Gri", D330)), -1, 0)))=1, VERI_TABANI!E23*(1-0.928)*VERI_TABANI!$B$9, 0) + (VERI_TABANI!D23*B330*(VERI_TABANI!$B$13-VERI_TABANI!$B$14)*VERI_TABANI!G23) + (VERI_TABANI!D23*C330*(VERI_TABANI!$B$13-VERI_TABANI!$B$15)*VERI_TABANI!G23) + IF(ABS(IF(ISNUMBER(SEARCH("Var", D330)), 1, IF(ISNUMBER(SEARCH("Gri", D330)), -1, 0)))=1, VERI_TABANI!E23*(1-0.928)*0.00206091519919798*VERI_TABANI!G23, 0)) + ((MIN(VERI_TABANI!D24, VERI_TABANI!D24*B330)*VERI_TABANI!$B$7 + MAX(0, VERI_TABANI!D24*B330-VERI_TABANI!D24)*VERI_TABANI!$B$8) + (MIN(MAX(0, VERI_TABANI!D24-VERI_TABANI!D24*B330), VERI_TABANI!D24*C330)*VERI_TABANI!$B$7 + MAX(0, VERI_TABANI!D24*C330-MAX(0, VERI_TABANI!D24-VERI_TABANI!D24*B330))*VERI_TABANI!$B$8) + IF(ABS(IF(ISNUMBER(SEARCH("Var", D330)), 1, IF(ISNUMBER(SEARCH("Gri", D330)), -1, 0)))=1, VERI_TABANI!E24*(1-0.928)*VERI_TABANI!$B$9, 0) + (VERI_TABANI!D24*B330*(VERI_TABANI!$B$13-VERI_TABANI!$B$14)*VERI_TABANI!G24) + (VERI_TABANI!D24*C330*(VERI_TABANI!$B$13-VERI_TABANI!$B$15)*VERI_TABANI!G24) + IF(ABS(IF(ISNUMBER(SEARCH("Var", D330)), 1, IF(ISNUMBER(SEARCH("Gri", D330)), -1, 0)))=1, VERI_TABANI!E24*(1-0.928)*0.00206091519919798*VERI_TABANI!G24, 0)) + ((MIN(VERI_TABANI!D25, VERI_TABANI!D25*B330)*VERI_TABANI!$B$7 + MAX(0, VERI_TABANI!D25*B330-VERI_TABANI!D25)*VERI_TABANI!$B$8) + (MIN(MAX(0, VERI_TABANI!D25-VERI_TABANI!D25*B330), VERI_TABANI!D25*C330)*VERI_TABANI!$B$7 + MAX(0, VERI_TABANI!D25*C330-MAX(0, VERI_TABANI!D25-VERI_TABANI!D25*B330))*VERI_TABANI!$B$8) + IF(ABS(IF(ISNUMBER(SEARCH("Var", D330)), 1, IF(ISNUMBER(SEARCH("Gri", D330)), -1, 0)))=1, VERI_TABANI!E25*(1-0.928)*VERI_TABANI!$B$9, 0) + (VERI_TABANI!D25*B330*(VERI_TABANI!$B$13-VERI_TABANI!$B$14)*VERI_TABANI!G25) + (VERI_TABANI!D25*C330*(VERI_TABANI!$B$13-VERI_TABANI!$B$15)*VERI_TABANI!G25) + IF(ABS(IF(ISNUMBER(SEARCH("Var", D330)), 1, IF(ISNUMBER(SEARCH("Gri", D330)), -1, 0)))=1, VERI_TABANI!E25*(1-0.928)*0.00206091519919798*VERI_TABANI!G25, 0)) + ((MIN(VERI_TABANI!D26, VERI_TABANI!D26*B330)*VERI_TABANI!$B$7 + MAX(0, VERI_TABANI!D26*B330-VERI_TABANI!D26)*VERI_TABANI!$B$8) + (MIN(MAX(0, VERI_TABANI!D26-VERI_TABANI!D26*B330), VERI_TABANI!D26*C330)*VERI_TABANI!$B$7 + MAX(0, VERI_TABANI!D26*C330-MAX(0, VERI_TABANI!D26-VERI_TABANI!D26*B330))*VERI_TABANI!$B$8) + IF(ABS(IF(ISNUMBER(SEARCH("Var", D330)), 1, IF(ISNUMBER(SEARCH("Gri", D330)), -1, 0)))=1, VERI_TABANI!E26*(1-0.928)*VERI_TABANI!$B$9, 0) + (VERI_TABANI!D26*B330*(VERI_TABANI!$B$13-VERI_TABANI!$B$14)*VERI_TABANI!G26) + (VERI_TABANI!D26*C330*(VERI_TABANI!$B$13-VERI_TABANI!$B$15)*VERI_TABANI!G26) + IF(ABS(IF(ISNUMBER(SEARCH("Var", D330)), 1, IF(ISNUMBER(SEARCH("Gri", D330)), -1, 0)))=1, VERI_TABANI!E26*(1-0.928)*0.00206091519919798*VERI_TABANI!G26, 0)) + ((MIN(VERI_TABANI!D27, VERI_TABANI!D27*B330)*VERI_TABANI!$B$7 + MAX(0, VERI_TABANI!D27*B330-VERI_TABANI!D27)*VERI_TABANI!$B$8) + (MIN(MAX(0, VERI_TABANI!D27-VERI_TABANI!D27*B330), VERI_TABANI!D27*C330)*VERI_TABANI!$B$7 + MAX(0, VERI_TABANI!D27*C330-MAX(0, VERI_TABANI!D27-VERI_TABANI!D27*B330))*VERI_TABANI!$B$8) + IF(ABS(IF(ISNUMBER(SEARCH("Var", D330)), 1, IF(ISNUMBER(SEARCH("Gri", D330)), -1, 0)))=1, VERI_TABANI!E27*(1-0.928)*VERI_TABANI!$B$9, 0) + (VERI_TABANI!D27*B330*(VERI_TABANI!$B$13-VERI_TABANI!$B$14)*VERI_TABANI!G27) + (VERI_TABANI!D27*C330*(VERI_TABANI!$B$13-VERI_TABANI!$B$15)*VERI_TABANI!G27) + IF(ABS(IF(ISNUMBER(SEARCH("Var", D330)), 1, IF(ISNUMBER(SEARCH("Gri", D330)), -1, 0)))=1, VERI_TABANI!E27*(1-0.928)*0.00206091519919798*VERI_TABANI!G27, 0)) + ((MIN(VERI_TABANI!D28, VERI_TABANI!D28*B330)*VERI_TABANI!$B$7 + MAX(0, VERI_TABANI!D28*B330-VERI_TABANI!D28)*VERI_TABANI!$B$8) + (MIN(MAX(0, VERI_TABANI!D28-VERI_TABANI!D28*B330), VERI_TABANI!D28*C330)*VERI_TABANI!$B$7 + MAX(0, VERI_TABANI!D28*C330-MAX(0, VERI_TABANI!D28-VERI_TABANI!D28*B330))*VERI_TABANI!$B$8) + IF(ABS(IF(ISNUMBER(SEARCH("Var", D330)), 1, IF(ISNUMBER(SEARCH("Gri", D330)), -1, 0)))=1, VERI_TABANI!E28*(1-0.928)*VERI_TABANI!$B$9, 0) + (VERI_TABANI!D28*B330*(VERI_TABANI!$B$13-VERI_TABANI!$B$14)*VERI_TABANI!G28) + (VERI_TABANI!D28*C330*(VERI_TABANI!$B$13-VERI_TABANI!$B$15)*VERI_TABANI!G28) + IF(ABS(IF(ISNUMBER(SEARCH("Var", D330)), 1, IF(ISNUMBER(SEARCH("Gri", D330)), -1, 0)))=1, VERI_TABANI!E28*(1-0.928)*0.00206091519919798*VERI_TABANI!G28, 0)))</f>
        <v/>
      </c>
      <c r="H330" s="169">
        <f>(((VERI_TABANI!D23*B330*(VERI_TABANI!$B$13-VERI_TABANI!$B$14)) + (VERI_TABANI!D23*C330*(VERI_TABANI!$B$13-VERI_TABANI!$B$15)) + IF(ISNUMBER(SEARCH("Var", D330)), VERI_TABANI!F23*(0.00202-VERI_TABANI!$B$16), IF(ISNUMBER(SEARCH("Gri", D330)), VERI_TABANI!F23*(0.00202-VERI_TABANI!$B$17), 0))) + ((VERI_TABANI!D24*B330*(VERI_TABANI!$B$13-VERI_TABANI!$B$14)) + (VERI_TABANI!D24*C330*(VERI_TABANI!$B$13-VERI_TABANI!$B$15)) + IF(ISNUMBER(SEARCH("Var", D330)), VERI_TABANI!F24*(0.00202-VERI_TABANI!$B$16), IF(ISNUMBER(SEARCH("Gri", D330)), VERI_TABANI!F24*(0.00202-VERI_TABANI!$B$17), 0))) + ((VERI_TABANI!D25*B330*(VERI_TABANI!$B$13-VERI_TABANI!$B$14)) + (VERI_TABANI!D25*C330*(VERI_TABANI!$B$13-VERI_TABANI!$B$15)) + IF(ISNUMBER(SEARCH("Var", D330)), VERI_TABANI!F25*(0.00202-VERI_TABANI!$B$16), IF(ISNUMBER(SEARCH("Gri", D330)), VERI_TABANI!F25*(0.00202-VERI_TABANI!$B$17), 0))) + ((VERI_TABANI!D26*B330*(VERI_TABANI!$B$13-VERI_TABANI!$B$14)) + (VERI_TABANI!D26*C330*(VERI_TABANI!$B$13-VERI_TABANI!$B$15)) + IF(ISNUMBER(SEARCH("Var", D330)), VERI_TABANI!F26*(0.00202-VERI_TABANI!$B$16), IF(ISNUMBER(SEARCH("Gri", D330)), VERI_TABANI!F26*(0.00202-VERI_TABANI!$B$17), 0))) + ((VERI_TABANI!D27*B330*(VERI_TABANI!$B$13-VERI_TABANI!$B$14)) + (VERI_TABANI!D27*C330*(VERI_TABANI!$B$13-VERI_TABANI!$B$15)) + IF(ISNUMBER(SEARCH("Var", D330)), VERI_TABANI!F27*(0.00202-VERI_TABANI!$B$16), IF(ISNUMBER(SEARCH("Gri", D330)), VERI_TABANI!F27*(0.00202-VERI_TABANI!$B$17), 0))) + ((VERI_TABANI!D28*B330*(VERI_TABANI!$B$13-VERI_TABANI!$B$14)) + (VERI_TABANI!D28*C330*(VERI_TABANI!$B$13-VERI_TABANI!$B$15)) + IF(ISNUMBER(SEARCH("Var", D330)), VERI_TABANI!F28*(0.00202-VERI_TABANI!$B$16), IF(ISNUMBER(SEARCH("Gri", D330)), VERI_TABANI!F28*(0.00202-VERI_TABANI!$B$17), 0))))</f>
        <v/>
      </c>
      <c r="I330" s="170">
        <f>IFERROR(((VERI_TABANI!$D$29*B330*VERI_TABANI!$B$14 + VERI_TABANI!$D$29*C330*VERI_TABANI!$B$15 + IF(ISNUMBER(SEARCH("Var", D330)), VERI_TABANI!$F$29*VERI_TABANI!$B$16, 0))) / (((VERI_TABANI!$D$29*B330 + VERI_TABANI!$D$29*C330)*VERI_TABANI!$B$13 + IF(ISNUMBER(SEARCH("Var", D330)), VERI_TABANI!$E$29*(1-0.928)*VERI_TABANI!$B$18, 0))), 0)</f>
        <v/>
      </c>
      <c r="J330" s="171">
        <f>IFERROR(F330/(G330/29), 0)</f>
        <v/>
      </c>
      <c r="K330" s="172">
        <f>IF(F330&gt;0, H330/F330, 0)</f>
        <v/>
      </c>
      <c r="L330" s="170">
        <f>IF(F330&gt;0, I330, 1000000000)</f>
        <v/>
      </c>
      <c r="M330" s="171">
        <f>ABS((B330+C330)-1)</f>
        <v/>
      </c>
      <c r="N330" s="170">
        <f>IF(F330&gt;0, (G330/29)/F330, 0)</f>
        <v/>
      </c>
      <c r="O330" s="168">
        <f>IF(AND((B330+C330)&gt;=1, ISNUMBER(SEARCH("Var", D330))), F330, 1000000000)</f>
        <v/>
      </c>
      <c r="P330" s="172">
        <f>IF(F330&gt;0, SQRT((F330/MAX(F$5:F$886))^2 + (1 - H330/MAX(H$5:H$886))^2 + (J330/MAX(J$5:J$886))^2), 1000000000)</f>
        <v/>
      </c>
      <c r="Q330" s="166">
        <f>IF(AND(ABS(B330-0.5)&lt;0.01, ABS(C330-0.5)&lt;0.01, ISNUMBER(SEARCH("Var", D330))), 1, 0)</f>
        <v/>
      </c>
      <c r="R330" s="171">
        <f>IF(F330&gt;0, J330, 1000000000)</f>
        <v/>
      </c>
      <c r="S330" s="101">
        <f>IF(AND(F330&lt;=DASHBOARD!$B$11, H330&gt;=DASHBOARD!$B$13), G330, -1000000000000)</f>
        <v/>
      </c>
      <c r="T330" s="101">
        <f>IF(AND(F330&lt;=DASHBOARD!$B$11, H330&gt;=DASHBOARD!$B$13), R330, 1000000000000)</f>
        <v/>
      </c>
      <c r="U330" s="101">
        <f>IF(AND(F330&lt;=DASHBOARD!$B$11, H330&gt;=DASHBOARD!$B$13), N330, -1000000000000)</f>
        <v/>
      </c>
      <c r="V330" s="101">
        <f>IF(AND(F330&lt;=DASHBOARD!$B$11, H330&gt;=DASHBOARD!$B$13), H330, -1000000000000)</f>
        <v/>
      </c>
      <c r="W330" s="101">
        <f>IF(AND(F330&lt;=DASHBOARD!$B$11, H330&gt;=DASHBOARD!$B$13), K330, -1000000000000)</f>
        <v/>
      </c>
      <c r="X330" s="101">
        <f>IF(AND(F330&lt;=DASHBOARD!$B$11, H330&gt;=DASHBOARD!$B$13), M330, 1000000000000)</f>
        <v/>
      </c>
      <c r="Y330" s="101">
        <f>IF(AND(F330&lt;=DASHBOARD!$B$10, H330&gt;=DASHBOARD!$B$11), L330, 1000000000000)</f>
        <v/>
      </c>
      <c r="Z330" s="101">
        <f>IF(AND(F330&lt;=DASHBOARD!$B$10, H330&gt;=DASHBOARD!$B$11), O330, 1000000000000)</f>
        <v/>
      </c>
      <c r="AA330" s="101">
        <f>IF(AND(F330&lt;=DASHBOARD!$B$10, H330&gt;=DASHBOARD!$B$11), P330, 1000000000000)</f>
        <v/>
      </c>
      <c r="AB330" s="101">
        <f>IF(AND(F330&lt;=DASHBOARD!$B$10, H330&gt;=DASHBOARD!$B$11), Q330, -1000000000000)</f>
        <v/>
      </c>
    </row>
    <row r="331" ht="15" customHeight="1" s="102">
      <c r="A331" s="166" t="n">
        <v>327</v>
      </c>
      <c r="B331" s="167" t="n">
        <v>0.7</v>
      </c>
      <c r="C331" s="167" t="n">
        <v>1.6</v>
      </c>
      <c r="D331" s="110" t="inlineStr">
        <is>
          <t>Yok (%0)</t>
        </is>
      </c>
      <c r="E331" s="110">
        <f>IF((B331+C331)&lt;=1, "Tam Mahsuplaşma (≤%100)", "Kısmi Satış (&gt;%100)")</f>
        <v/>
      </c>
      <c r="F331" s="168">
        <f>((VERI_TABANI!$D$29*B331/VERI_TABANI!$B$29)/VERI_TABANI!$B$3)*VERI_TABANI!$B$5 + ((VERI_TABANI!$D$29*C331/VERI_TABANI!$B$29)/VERI_TABANI!$B$4)*VERI_TABANI!$B$6 + IF(ISNUMBER(SEARCH("Var", D331)), (VERI_TABANI!$F$29/VERI_TABANI!$B$29)*(VERI_TABANI!$B$10+VERI_TABANI!$B$12), 0)</f>
        <v/>
      </c>
      <c r="G331" s="168">
        <f>(((MIN(VERI_TABANI!D23, VERI_TABANI!D23*B331)*VERI_TABANI!$B$7 + MAX(0, VERI_TABANI!D23*B331-VERI_TABANI!D23)*VERI_TABANI!$B$8) + (MIN(MAX(0, VERI_TABANI!D23-VERI_TABANI!D23*B331), VERI_TABANI!D23*C331)*VERI_TABANI!$B$7 + MAX(0, VERI_TABANI!D23*C331-MAX(0, VERI_TABANI!D23-VERI_TABANI!D23*B331))*VERI_TABANI!$B$8) + IF(ABS(IF(ISNUMBER(SEARCH("Var", D331)), 1, IF(ISNUMBER(SEARCH("Gri", D331)), -1, 0)))=1, VERI_TABANI!E23*(1-0.928)*VERI_TABANI!$B$9, 0) + (VERI_TABANI!D23*B331*(VERI_TABANI!$B$13-VERI_TABANI!$B$14)*VERI_TABANI!G23) + (VERI_TABANI!D23*C331*(VERI_TABANI!$B$13-VERI_TABANI!$B$15)*VERI_TABANI!G23) + IF(ABS(IF(ISNUMBER(SEARCH("Var", D331)), 1, IF(ISNUMBER(SEARCH("Gri", D331)), -1, 0)))=1, VERI_TABANI!E23*(1-0.928)*0.00206091519919798*VERI_TABANI!G23, 0)) + ((MIN(VERI_TABANI!D24, VERI_TABANI!D24*B331)*VERI_TABANI!$B$7 + MAX(0, VERI_TABANI!D24*B331-VERI_TABANI!D24)*VERI_TABANI!$B$8) + (MIN(MAX(0, VERI_TABANI!D24-VERI_TABANI!D24*B331), VERI_TABANI!D24*C331)*VERI_TABANI!$B$7 + MAX(0, VERI_TABANI!D24*C331-MAX(0, VERI_TABANI!D24-VERI_TABANI!D24*B331))*VERI_TABANI!$B$8) + IF(ABS(IF(ISNUMBER(SEARCH("Var", D331)), 1, IF(ISNUMBER(SEARCH("Gri", D331)), -1, 0)))=1, VERI_TABANI!E24*(1-0.928)*VERI_TABANI!$B$9, 0) + (VERI_TABANI!D24*B331*(VERI_TABANI!$B$13-VERI_TABANI!$B$14)*VERI_TABANI!G24) + (VERI_TABANI!D24*C331*(VERI_TABANI!$B$13-VERI_TABANI!$B$15)*VERI_TABANI!G24) + IF(ABS(IF(ISNUMBER(SEARCH("Var", D331)), 1, IF(ISNUMBER(SEARCH("Gri", D331)), -1, 0)))=1, VERI_TABANI!E24*(1-0.928)*0.00206091519919798*VERI_TABANI!G24, 0)) + ((MIN(VERI_TABANI!D25, VERI_TABANI!D25*B331)*VERI_TABANI!$B$7 + MAX(0, VERI_TABANI!D25*B331-VERI_TABANI!D25)*VERI_TABANI!$B$8) + (MIN(MAX(0, VERI_TABANI!D25-VERI_TABANI!D25*B331), VERI_TABANI!D25*C331)*VERI_TABANI!$B$7 + MAX(0, VERI_TABANI!D25*C331-MAX(0, VERI_TABANI!D25-VERI_TABANI!D25*B331))*VERI_TABANI!$B$8) + IF(ABS(IF(ISNUMBER(SEARCH("Var", D331)), 1, IF(ISNUMBER(SEARCH("Gri", D331)), -1, 0)))=1, VERI_TABANI!E25*(1-0.928)*VERI_TABANI!$B$9, 0) + (VERI_TABANI!D25*B331*(VERI_TABANI!$B$13-VERI_TABANI!$B$14)*VERI_TABANI!G25) + (VERI_TABANI!D25*C331*(VERI_TABANI!$B$13-VERI_TABANI!$B$15)*VERI_TABANI!G25) + IF(ABS(IF(ISNUMBER(SEARCH("Var", D331)), 1, IF(ISNUMBER(SEARCH("Gri", D331)), -1, 0)))=1, VERI_TABANI!E25*(1-0.928)*0.00206091519919798*VERI_TABANI!G25, 0)) + ((MIN(VERI_TABANI!D26, VERI_TABANI!D26*B331)*VERI_TABANI!$B$7 + MAX(0, VERI_TABANI!D26*B331-VERI_TABANI!D26)*VERI_TABANI!$B$8) + (MIN(MAX(0, VERI_TABANI!D26-VERI_TABANI!D26*B331), VERI_TABANI!D26*C331)*VERI_TABANI!$B$7 + MAX(0, VERI_TABANI!D26*C331-MAX(0, VERI_TABANI!D26-VERI_TABANI!D26*B331))*VERI_TABANI!$B$8) + IF(ABS(IF(ISNUMBER(SEARCH("Var", D331)), 1, IF(ISNUMBER(SEARCH("Gri", D331)), -1, 0)))=1, VERI_TABANI!E26*(1-0.928)*VERI_TABANI!$B$9, 0) + (VERI_TABANI!D26*B331*(VERI_TABANI!$B$13-VERI_TABANI!$B$14)*VERI_TABANI!G26) + (VERI_TABANI!D26*C331*(VERI_TABANI!$B$13-VERI_TABANI!$B$15)*VERI_TABANI!G26) + IF(ABS(IF(ISNUMBER(SEARCH("Var", D331)), 1, IF(ISNUMBER(SEARCH("Gri", D331)), -1, 0)))=1, VERI_TABANI!E26*(1-0.928)*0.00206091519919798*VERI_TABANI!G26, 0)) + ((MIN(VERI_TABANI!D27, VERI_TABANI!D27*B331)*VERI_TABANI!$B$7 + MAX(0, VERI_TABANI!D27*B331-VERI_TABANI!D27)*VERI_TABANI!$B$8) + (MIN(MAX(0, VERI_TABANI!D27-VERI_TABANI!D27*B331), VERI_TABANI!D27*C331)*VERI_TABANI!$B$7 + MAX(0, VERI_TABANI!D27*C331-MAX(0, VERI_TABANI!D27-VERI_TABANI!D27*B331))*VERI_TABANI!$B$8) + IF(ABS(IF(ISNUMBER(SEARCH("Var", D331)), 1, IF(ISNUMBER(SEARCH("Gri", D331)), -1, 0)))=1, VERI_TABANI!E27*(1-0.928)*VERI_TABANI!$B$9, 0) + (VERI_TABANI!D27*B331*(VERI_TABANI!$B$13-VERI_TABANI!$B$14)*VERI_TABANI!G27) + (VERI_TABANI!D27*C331*(VERI_TABANI!$B$13-VERI_TABANI!$B$15)*VERI_TABANI!G27) + IF(ABS(IF(ISNUMBER(SEARCH("Var", D331)), 1, IF(ISNUMBER(SEARCH("Gri", D331)), -1, 0)))=1, VERI_TABANI!E27*(1-0.928)*0.00206091519919798*VERI_TABANI!G27, 0)) + ((MIN(VERI_TABANI!D28, VERI_TABANI!D28*B331)*VERI_TABANI!$B$7 + MAX(0, VERI_TABANI!D28*B331-VERI_TABANI!D28)*VERI_TABANI!$B$8) + (MIN(MAX(0, VERI_TABANI!D28-VERI_TABANI!D28*B331), VERI_TABANI!D28*C331)*VERI_TABANI!$B$7 + MAX(0, VERI_TABANI!D28*C331-MAX(0, VERI_TABANI!D28-VERI_TABANI!D28*B331))*VERI_TABANI!$B$8) + IF(ABS(IF(ISNUMBER(SEARCH("Var", D331)), 1, IF(ISNUMBER(SEARCH("Gri", D331)), -1, 0)))=1, VERI_TABANI!E28*(1-0.928)*VERI_TABANI!$B$9, 0) + (VERI_TABANI!D28*B331*(VERI_TABANI!$B$13-VERI_TABANI!$B$14)*VERI_TABANI!G28) + (VERI_TABANI!D28*C331*(VERI_TABANI!$B$13-VERI_TABANI!$B$15)*VERI_TABANI!G28) + IF(ABS(IF(ISNUMBER(SEARCH("Var", D331)), 1, IF(ISNUMBER(SEARCH("Gri", D331)), -1, 0)))=1, VERI_TABANI!E28*(1-0.928)*0.00206091519919798*VERI_TABANI!G28, 0)))</f>
        <v/>
      </c>
      <c r="H331" s="169">
        <f>(((VERI_TABANI!D23*B331*(VERI_TABANI!$B$13-VERI_TABANI!$B$14)) + (VERI_TABANI!D23*C331*(VERI_TABANI!$B$13-VERI_TABANI!$B$15)) + IF(ISNUMBER(SEARCH("Var", D331)), VERI_TABANI!F23*(0.00202-VERI_TABANI!$B$16), IF(ISNUMBER(SEARCH("Gri", D331)), VERI_TABANI!F23*(0.00202-VERI_TABANI!$B$17), 0))) + ((VERI_TABANI!D24*B331*(VERI_TABANI!$B$13-VERI_TABANI!$B$14)) + (VERI_TABANI!D24*C331*(VERI_TABANI!$B$13-VERI_TABANI!$B$15)) + IF(ISNUMBER(SEARCH("Var", D331)), VERI_TABANI!F24*(0.00202-VERI_TABANI!$B$16), IF(ISNUMBER(SEARCH("Gri", D331)), VERI_TABANI!F24*(0.00202-VERI_TABANI!$B$17), 0))) + ((VERI_TABANI!D25*B331*(VERI_TABANI!$B$13-VERI_TABANI!$B$14)) + (VERI_TABANI!D25*C331*(VERI_TABANI!$B$13-VERI_TABANI!$B$15)) + IF(ISNUMBER(SEARCH("Var", D331)), VERI_TABANI!F25*(0.00202-VERI_TABANI!$B$16), IF(ISNUMBER(SEARCH("Gri", D331)), VERI_TABANI!F25*(0.00202-VERI_TABANI!$B$17), 0))) + ((VERI_TABANI!D26*B331*(VERI_TABANI!$B$13-VERI_TABANI!$B$14)) + (VERI_TABANI!D26*C331*(VERI_TABANI!$B$13-VERI_TABANI!$B$15)) + IF(ISNUMBER(SEARCH("Var", D331)), VERI_TABANI!F26*(0.00202-VERI_TABANI!$B$16), IF(ISNUMBER(SEARCH("Gri", D331)), VERI_TABANI!F26*(0.00202-VERI_TABANI!$B$17), 0))) + ((VERI_TABANI!D27*B331*(VERI_TABANI!$B$13-VERI_TABANI!$B$14)) + (VERI_TABANI!D27*C331*(VERI_TABANI!$B$13-VERI_TABANI!$B$15)) + IF(ISNUMBER(SEARCH("Var", D331)), VERI_TABANI!F27*(0.00202-VERI_TABANI!$B$16), IF(ISNUMBER(SEARCH("Gri", D331)), VERI_TABANI!F27*(0.00202-VERI_TABANI!$B$17), 0))) + ((VERI_TABANI!D28*B331*(VERI_TABANI!$B$13-VERI_TABANI!$B$14)) + (VERI_TABANI!D28*C331*(VERI_TABANI!$B$13-VERI_TABANI!$B$15)) + IF(ISNUMBER(SEARCH("Var", D331)), VERI_TABANI!F28*(0.00202-VERI_TABANI!$B$16), IF(ISNUMBER(SEARCH("Gri", D331)), VERI_TABANI!F28*(0.00202-VERI_TABANI!$B$17), 0))))</f>
        <v/>
      </c>
      <c r="I331" s="170">
        <f>IFERROR(((VERI_TABANI!$D$29*B331*VERI_TABANI!$B$14 + VERI_TABANI!$D$29*C331*VERI_TABANI!$B$15 + IF(ISNUMBER(SEARCH("Var", D331)), VERI_TABANI!$F$29*VERI_TABANI!$B$16, 0))) / (((VERI_TABANI!$D$29*B331 + VERI_TABANI!$D$29*C331)*VERI_TABANI!$B$13 + IF(ISNUMBER(SEARCH("Var", D331)), VERI_TABANI!$E$29*(1-0.928)*VERI_TABANI!$B$18, 0))), 0)</f>
        <v/>
      </c>
      <c r="J331" s="171">
        <f>IFERROR(F331/(G331/29), 0)</f>
        <v/>
      </c>
      <c r="K331" s="172">
        <f>IF(F331&gt;0, H331/F331, 0)</f>
        <v/>
      </c>
      <c r="L331" s="170">
        <f>IF(F331&gt;0, I331, 1000000000)</f>
        <v/>
      </c>
      <c r="M331" s="171">
        <f>ABS((B331+C331)-1)</f>
        <v/>
      </c>
      <c r="N331" s="170">
        <f>IF(F331&gt;0, (G331/29)/F331, 0)</f>
        <v/>
      </c>
      <c r="O331" s="168">
        <f>IF(AND((B331+C331)&gt;=1, ISNUMBER(SEARCH("Var", D331))), F331, 1000000000)</f>
        <v/>
      </c>
      <c r="P331" s="172">
        <f>IF(F331&gt;0, SQRT((F331/MAX(F$5:F$886))^2 + (1 - H331/MAX(H$5:H$886))^2 + (J331/MAX(J$5:J$886))^2), 1000000000)</f>
        <v/>
      </c>
      <c r="Q331" s="166">
        <f>IF(AND(ABS(B331-0.5)&lt;0.01, ABS(C331-0.5)&lt;0.01, ISNUMBER(SEARCH("Var", D331))), 1, 0)</f>
        <v/>
      </c>
      <c r="R331" s="171">
        <f>IF(F331&gt;0, J331, 1000000000)</f>
        <v/>
      </c>
      <c r="S331" s="101">
        <f>IF(AND(F331&lt;=DASHBOARD!$B$11, H331&gt;=DASHBOARD!$B$13), G331, -1000000000000)</f>
        <v/>
      </c>
      <c r="T331" s="101">
        <f>IF(AND(F331&lt;=DASHBOARD!$B$11, H331&gt;=DASHBOARD!$B$13), R331, 1000000000000)</f>
        <v/>
      </c>
      <c r="U331" s="101">
        <f>IF(AND(F331&lt;=DASHBOARD!$B$11, H331&gt;=DASHBOARD!$B$13), N331, -1000000000000)</f>
        <v/>
      </c>
      <c r="V331" s="101">
        <f>IF(AND(F331&lt;=DASHBOARD!$B$11, H331&gt;=DASHBOARD!$B$13), H331, -1000000000000)</f>
        <v/>
      </c>
      <c r="W331" s="101">
        <f>IF(AND(F331&lt;=DASHBOARD!$B$11, H331&gt;=DASHBOARD!$B$13), K331, -1000000000000)</f>
        <v/>
      </c>
      <c r="X331" s="101">
        <f>IF(AND(F331&lt;=DASHBOARD!$B$11, H331&gt;=DASHBOARD!$B$13), M331, 1000000000000)</f>
        <v/>
      </c>
      <c r="Y331" s="101">
        <f>IF(AND(F331&lt;=DASHBOARD!$B$10, H331&gt;=DASHBOARD!$B$11), L331, 1000000000000)</f>
        <v/>
      </c>
      <c r="Z331" s="101">
        <f>IF(AND(F331&lt;=DASHBOARD!$B$10, H331&gt;=DASHBOARD!$B$11), O331, 1000000000000)</f>
        <v/>
      </c>
      <c r="AA331" s="101">
        <f>IF(AND(F331&lt;=DASHBOARD!$B$10, H331&gt;=DASHBOARD!$B$11), P331, 1000000000000)</f>
        <v/>
      </c>
      <c r="AB331" s="101">
        <f>IF(AND(F331&lt;=DASHBOARD!$B$10, H331&gt;=DASHBOARD!$B$11), Q331, -1000000000000)</f>
        <v/>
      </c>
    </row>
    <row r="332" ht="15" customHeight="1" s="102">
      <c r="A332" s="166" t="n">
        <v>328</v>
      </c>
      <c r="B332" s="167" t="n">
        <v>0.7</v>
      </c>
      <c r="C332" s="167" t="n">
        <v>1.6</v>
      </c>
      <c r="D332" s="110" t="inlineStr">
        <is>
          <t>Var (%20)</t>
        </is>
      </c>
      <c r="E332" s="110">
        <f>IF((B332+C332)&lt;=1, "Tam Mahsuplaşma (≤%100)", "Kısmi Satış (&gt;%100)")</f>
        <v/>
      </c>
      <c r="F332" s="168">
        <f>((VERI_TABANI!$D$29*B332/VERI_TABANI!$B$29)/VERI_TABANI!$B$3)*VERI_TABANI!$B$5 + ((VERI_TABANI!$D$29*C332/VERI_TABANI!$B$29)/VERI_TABANI!$B$4)*VERI_TABANI!$B$6 + IF(ISNUMBER(SEARCH("Var", D332)), (VERI_TABANI!$F$29/VERI_TABANI!$B$29)*(VERI_TABANI!$B$10+VERI_TABANI!$B$12), 0)</f>
        <v/>
      </c>
      <c r="G332" s="168">
        <f>(((MIN(VERI_TABANI!D23, VERI_TABANI!D23*B332)*VERI_TABANI!$B$7 + MAX(0, VERI_TABANI!D23*B332-VERI_TABANI!D23)*VERI_TABANI!$B$8) + (MIN(MAX(0, VERI_TABANI!D23-VERI_TABANI!D23*B332), VERI_TABANI!D23*C332)*VERI_TABANI!$B$7 + MAX(0, VERI_TABANI!D23*C332-MAX(0, VERI_TABANI!D23-VERI_TABANI!D23*B332))*VERI_TABANI!$B$8) + IF(ABS(IF(ISNUMBER(SEARCH("Var", D332)), 1, IF(ISNUMBER(SEARCH("Gri", D332)), -1, 0)))=1, VERI_TABANI!E23*(1-0.928)*VERI_TABANI!$B$9, 0) + (VERI_TABANI!D23*B332*(VERI_TABANI!$B$13-VERI_TABANI!$B$14)*VERI_TABANI!G23) + (VERI_TABANI!D23*C332*(VERI_TABANI!$B$13-VERI_TABANI!$B$15)*VERI_TABANI!G23) + IF(ABS(IF(ISNUMBER(SEARCH("Var", D332)), 1, IF(ISNUMBER(SEARCH("Gri", D332)), -1, 0)))=1, VERI_TABANI!E23*(1-0.928)*0.00206091519919798*VERI_TABANI!G23, 0)) + ((MIN(VERI_TABANI!D24, VERI_TABANI!D24*B332)*VERI_TABANI!$B$7 + MAX(0, VERI_TABANI!D24*B332-VERI_TABANI!D24)*VERI_TABANI!$B$8) + (MIN(MAX(0, VERI_TABANI!D24-VERI_TABANI!D24*B332), VERI_TABANI!D24*C332)*VERI_TABANI!$B$7 + MAX(0, VERI_TABANI!D24*C332-MAX(0, VERI_TABANI!D24-VERI_TABANI!D24*B332))*VERI_TABANI!$B$8) + IF(ABS(IF(ISNUMBER(SEARCH("Var", D332)), 1, IF(ISNUMBER(SEARCH("Gri", D332)), -1, 0)))=1, VERI_TABANI!E24*(1-0.928)*VERI_TABANI!$B$9, 0) + (VERI_TABANI!D24*B332*(VERI_TABANI!$B$13-VERI_TABANI!$B$14)*VERI_TABANI!G24) + (VERI_TABANI!D24*C332*(VERI_TABANI!$B$13-VERI_TABANI!$B$15)*VERI_TABANI!G24) + IF(ABS(IF(ISNUMBER(SEARCH("Var", D332)), 1, IF(ISNUMBER(SEARCH("Gri", D332)), -1, 0)))=1, VERI_TABANI!E24*(1-0.928)*0.00206091519919798*VERI_TABANI!G24, 0)) + ((MIN(VERI_TABANI!D25, VERI_TABANI!D25*B332)*VERI_TABANI!$B$7 + MAX(0, VERI_TABANI!D25*B332-VERI_TABANI!D25)*VERI_TABANI!$B$8) + (MIN(MAX(0, VERI_TABANI!D25-VERI_TABANI!D25*B332), VERI_TABANI!D25*C332)*VERI_TABANI!$B$7 + MAX(0, VERI_TABANI!D25*C332-MAX(0, VERI_TABANI!D25-VERI_TABANI!D25*B332))*VERI_TABANI!$B$8) + IF(ABS(IF(ISNUMBER(SEARCH("Var", D332)), 1, IF(ISNUMBER(SEARCH("Gri", D332)), -1, 0)))=1, VERI_TABANI!E25*(1-0.928)*VERI_TABANI!$B$9, 0) + (VERI_TABANI!D25*B332*(VERI_TABANI!$B$13-VERI_TABANI!$B$14)*VERI_TABANI!G25) + (VERI_TABANI!D25*C332*(VERI_TABANI!$B$13-VERI_TABANI!$B$15)*VERI_TABANI!G25) + IF(ABS(IF(ISNUMBER(SEARCH("Var", D332)), 1, IF(ISNUMBER(SEARCH("Gri", D332)), -1, 0)))=1, VERI_TABANI!E25*(1-0.928)*0.00206091519919798*VERI_TABANI!G25, 0)) + ((MIN(VERI_TABANI!D26, VERI_TABANI!D26*B332)*VERI_TABANI!$B$7 + MAX(0, VERI_TABANI!D26*B332-VERI_TABANI!D26)*VERI_TABANI!$B$8) + (MIN(MAX(0, VERI_TABANI!D26-VERI_TABANI!D26*B332), VERI_TABANI!D26*C332)*VERI_TABANI!$B$7 + MAX(0, VERI_TABANI!D26*C332-MAX(0, VERI_TABANI!D26-VERI_TABANI!D26*B332))*VERI_TABANI!$B$8) + IF(ABS(IF(ISNUMBER(SEARCH("Var", D332)), 1, IF(ISNUMBER(SEARCH("Gri", D332)), -1, 0)))=1, VERI_TABANI!E26*(1-0.928)*VERI_TABANI!$B$9, 0) + (VERI_TABANI!D26*B332*(VERI_TABANI!$B$13-VERI_TABANI!$B$14)*VERI_TABANI!G26) + (VERI_TABANI!D26*C332*(VERI_TABANI!$B$13-VERI_TABANI!$B$15)*VERI_TABANI!G26) + IF(ABS(IF(ISNUMBER(SEARCH("Var", D332)), 1, IF(ISNUMBER(SEARCH("Gri", D332)), -1, 0)))=1, VERI_TABANI!E26*(1-0.928)*0.00206091519919798*VERI_TABANI!G26, 0)) + ((MIN(VERI_TABANI!D27, VERI_TABANI!D27*B332)*VERI_TABANI!$B$7 + MAX(0, VERI_TABANI!D27*B332-VERI_TABANI!D27)*VERI_TABANI!$B$8) + (MIN(MAX(0, VERI_TABANI!D27-VERI_TABANI!D27*B332), VERI_TABANI!D27*C332)*VERI_TABANI!$B$7 + MAX(0, VERI_TABANI!D27*C332-MAX(0, VERI_TABANI!D27-VERI_TABANI!D27*B332))*VERI_TABANI!$B$8) + IF(ABS(IF(ISNUMBER(SEARCH("Var", D332)), 1, IF(ISNUMBER(SEARCH("Gri", D332)), -1, 0)))=1, VERI_TABANI!E27*(1-0.928)*VERI_TABANI!$B$9, 0) + (VERI_TABANI!D27*B332*(VERI_TABANI!$B$13-VERI_TABANI!$B$14)*VERI_TABANI!G27) + (VERI_TABANI!D27*C332*(VERI_TABANI!$B$13-VERI_TABANI!$B$15)*VERI_TABANI!G27) + IF(ABS(IF(ISNUMBER(SEARCH("Var", D332)), 1, IF(ISNUMBER(SEARCH("Gri", D332)), -1, 0)))=1, VERI_TABANI!E27*(1-0.928)*0.00206091519919798*VERI_TABANI!G27, 0)) + ((MIN(VERI_TABANI!D28, VERI_TABANI!D28*B332)*VERI_TABANI!$B$7 + MAX(0, VERI_TABANI!D28*B332-VERI_TABANI!D28)*VERI_TABANI!$B$8) + (MIN(MAX(0, VERI_TABANI!D28-VERI_TABANI!D28*B332), VERI_TABANI!D28*C332)*VERI_TABANI!$B$7 + MAX(0, VERI_TABANI!D28*C332-MAX(0, VERI_TABANI!D28-VERI_TABANI!D28*B332))*VERI_TABANI!$B$8) + IF(ABS(IF(ISNUMBER(SEARCH("Var", D332)), 1, IF(ISNUMBER(SEARCH("Gri", D332)), -1, 0)))=1, VERI_TABANI!E28*(1-0.928)*VERI_TABANI!$B$9, 0) + (VERI_TABANI!D28*B332*(VERI_TABANI!$B$13-VERI_TABANI!$B$14)*VERI_TABANI!G28) + (VERI_TABANI!D28*C332*(VERI_TABANI!$B$13-VERI_TABANI!$B$15)*VERI_TABANI!G28) + IF(ABS(IF(ISNUMBER(SEARCH("Var", D332)), 1, IF(ISNUMBER(SEARCH("Gri", D332)), -1, 0)))=1, VERI_TABANI!E28*(1-0.928)*0.00206091519919798*VERI_TABANI!G28, 0)))</f>
        <v/>
      </c>
      <c r="H332" s="169">
        <f>(((VERI_TABANI!D23*B332*(VERI_TABANI!$B$13-VERI_TABANI!$B$14)) + (VERI_TABANI!D23*C332*(VERI_TABANI!$B$13-VERI_TABANI!$B$15)) + IF(ISNUMBER(SEARCH("Var", D332)), VERI_TABANI!F23*(0.00202-VERI_TABANI!$B$16), IF(ISNUMBER(SEARCH("Gri", D332)), VERI_TABANI!F23*(0.00202-VERI_TABANI!$B$17), 0))) + ((VERI_TABANI!D24*B332*(VERI_TABANI!$B$13-VERI_TABANI!$B$14)) + (VERI_TABANI!D24*C332*(VERI_TABANI!$B$13-VERI_TABANI!$B$15)) + IF(ISNUMBER(SEARCH("Var", D332)), VERI_TABANI!F24*(0.00202-VERI_TABANI!$B$16), IF(ISNUMBER(SEARCH("Gri", D332)), VERI_TABANI!F24*(0.00202-VERI_TABANI!$B$17), 0))) + ((VERI_TABANI!D25*B332*(VERI_TABANI!$B$13-VERI_TABANI!$B$14)) + (VERI_TABANI!D25*C332*(VERI_TABANI!$B$13-VERI_TABANI!$B$15)) + IF(ISNUMBER(SEARCH("Var", D332)), VERI_TABANI!F25*(0.00202-VERI_TABANI!$B$16), IF(ISNUMBER(SEARCH("Gri", D332)), VERI_TABANI!F25*(0.00202-VERI_TABANI!$B$17), 0))) + ((VERI_TABANI!D26*B332*(VERI_TABANI!$B$13-VERI_TABANI!$B$14)) + (VERI_TABANI!D26*C332*(VERI_TABANI!$B$13-VERI_TABANI!$B$15)) + IF(ISNUMBER(SEARCH("Var", D332)), VERI_TABANI!F26*(0.00202-VERI_TABANI!$B$16), IF(ISNUMBER(SEARCH("Gri", D332)), VERI_TABANI!F26*(0.00202-VERI_TABANI!$B$17), 0))) + ((VERI_TABANI!D27*B332*(VERI_TABANI!$B$13-VERI_TABANI!$B$14)) + (VERI_TABANI!D27*C332*(VERI_TABANI!$B$13-VERI_TABANI!$B$15)) + IF(ISNUMBER(SEARCH("Var", D332)), VERI_TABANI!F27*(0.00202-VERI_TABANI!$B$16), IF(ISNUMBER(SEARCH("Gri", D332)), VERI_TABANI!F27*(0.00202-VERI_TABANI!$B$17), 0))) + ((VERI_TABANI!D28*B332*(VERI_TABANI!$B$13-VERI_TABANI!$B$14)) + (VERI_TABANI!D28*C332*(VERI_TABANI!$B$13-VERI_TABANI!$B$15)) + IF(ISNUMBER(SEARCH("Var", D332)), VERI_TABANI!F28*(0.00202-VERI_TABANI!$B$16), IF(ISNUMBER(SEARCH("Gri", D332)), VERI_TABANI!F28*(0.00202-VERI_TABANI!$B$17), 0))))</f>
        <v/>
      </c>
      <c r="I332" s="170">
        <f>IFERROR(((VERI_TABANI!$D$29*B332*VERI_TABANI!$B$14 + VERI_TABANI!$D$29*C332*VERI_TABANI!$B$15 + IF(ISNUMBER(SEARCH("Var", D332)), VERI_TABANI!$F$29*VERI_TABANI!$B$16, 0))) / (((VERI_TABANI!$D$29*B332 + VERI_TABANI!$D$29*C332)*VERI_TABANI!$B$13 + IF(ISNUMBER(SEARCH("Var", D332)), VERI_TABANI!$E$29*(1-0.928)*VERI_TABANI!$B$18, 0))), 0)</f>
        <v/>
      </c>
      <c r="J332" s="171">
        <f>IFERROR(F332/(G332/29), 0)</f>
        <v/>
      </c>
      <c r="K332" s="172">
        <f>IF(F332&gt;0, H332/F332, 0)</f>
        <v/>
      </c>
      <c r="L332" s="170">
        <f>IF(F332&gt;0, I332, 1000000000)</f>
        <v/>
      </c>
      <c r="M332" s="171">
        <f>ABS((B332+C332)-1)</f>
        <v/>
      </c>
      <c r="N332" s="170">
        <f>IF(F332&gt;0, (G332/29)/F332, 0)</f>
        <v/>
      </c>
      <c r="O332" s="168">
        <f>IF(AND((B332+C332)&gt;=1, ISNUMBER(SEARCH("Var", D332))), F332, 1000000000)</f>
        <v/>
      </c>
      <c r="P332" s="172">
        <f>IF(F332&gt;0, SQRT((F332/MAX(F$5:F$886))^2 + (1 - H332/MAX(H$5:H$886))^2 + (J332/MAX(J$5:J$886))^2), 1000000000)</f>
        <v/>
      </c>
      <c r="Q332" s="166">
        <f>IF(AND(ABS(B332-0.5)&lt;0.01, ABS(C332-0.5)&lt;0.01, ISNUMBER(SEARCH("Var", D332))), 1, 0)</f>
        <v/>
      </c>
      <c r="R332" s="171">
        <f>IF(F332&gt;0, J332, 1000000000)</f>
        <v/>
      </c>
      <c r="S332" s="101">
        <f>IF(AND(F332&lt;=DASHBOARD!$B$11, H332&gt;=DASHBOARD!$B$13), G332, -1000000000000)</f>
        <v/>
      </c>
      <c r="T332" s="101">
        <f>IF(AND(F332&lt;=DASHBOARD!$B$11, H332&gt;=DASHBOARD!$B$13), R332, 1000000000000)</f>
        <v/>
      </c>
      <c r="U332" s="101">
        <f>IF(AND(F332&lt;=DASHBOARD!$B$11, H332&gt;=DASHBOARD!$B$13), N332, -1000000000000)</f>
        <v/>
      </c>
      <c r="V332" s="101">
        <f>IF(AND(F332&lt;=DASHBOARD!$B$11, H332&gt;=DASHBOARD!$B$13), H332, -1000000000000)</f>
        <v/>
      </c>
      <c r="W332" s="101">
        <f>IF(AND(F332&lt;=DASHBOARD!$B$11, H332&gt;=DASHBOARD!$B$13), K332, -1000000000000)</f>
        <v/>
      </c>
      <c r="X332" s="101">
        <f>IF(AND(F332&lt;=DASHBOARD!$B$11, H332&gt;=DASHBOARD!$B$13), M332, 1000000000000)</f>
        <v/>
      </c>
      <c r="Y332" s="101">
        <f>IF(AND(F332&lt;=DASHBOARD!$B$10, H332&gt;=DASHBOARD!$B$11), L332, 1000000000000)</f>
        <v/>
      </c>
      <c r="Z332" s="101">
        <f>IF(AND(F332&lt;=DASHBOARD!$B$10, H332&gt;=DASHBOARD!$B$11), O332, 1000000000000)</f>
        <v/>
      </c>
      <c r="AA332" s="101">
        <f>IF(AND(F332&lt;=DASHBOARD!$B$10, H332&gt;=DASHBOARD!$B$11), P332, 1000000000000)</f>
        <v/>
      </c>
      <c r="AB332" s="101">
        <f>IF(AND(F332&lt;=DASHBOARD!$B$10, H332&gt;=DASHBOARD!$B$11), Q332, -1000000000000)</f>
        <v/>
      </c>
    </row>
    <row r="333" ht="15" customHeight="1" s="102">
      <c r="A333" s="166" t="n">
        <v>329</v>
      </c>
      <c r="B333" s="167" t="n">
        <v>0.7</v>
      </c>
      <c r="C333" s="167" t="n">
        <v>1.7</v>
      </c>
      <c r="D333" s="110" t="inlineStr">
        <is>
          <t>Yok (%0)</t>
        </is>
      </c>
      <c r="E333" s="110">
        <f>IF((B333+C333)&lt;=1, "Tam Mahsuplaşma (≤%100)", "Kısmi Satış (&gt;%100)")</f>
        <v/>
      </c>
      <c r="F333" s="168">
        <f>((VERI_TABANI!$D$29*B333/VERI_TABANI!$B$29)/VERI_TABANI!$B$3)*VERI_TABANI!$B$5 + ((VERI_TABANI!$D$29*C333/VERI_TABANI!$B$29)/VERI_TABANI!$B$4)*VERI_TABANI!$B$6 + IF(ISNUMBER(SEARCH("Var", D333)), (VERI_TABANI!$F$29/VERI_TABANI!$B$29)*(VERI_TABANI!$B$10+VERI_TABANI!$B$12), 0)</f>
        <v/>
      </c>
      <c r="G333" s="168">
        <f>(((MIN(VERI_TABANI!D23, VERI_TABANI!D23*B333)*VERI_TABANI!$B$7 + MAX(0, VERI_TABANI!D23*B333-VERI_TABANI!D23)*VERI_TABANI!$B$8) + (MIN(MAX(0, VERI_TABANI!D23-VERI_TABANI!D23*B333), VERI_TABANI!D23*C333)*VERI_TABANI!$B$7 + MAX(0, VERI_TABANI!D23*C333-MAX(0, VERI_TABANI!D23-VERI_TABANI!D23*B333))*VERI_TABANI!$B$8) + IF(ABS(IF(ISNUMBER(SEARCH("Var", D333)), 1, IF(ISNUMBER(SEARCH("Gri", D333)), -1, 0)))=1, VERI_TABANI!E23*(1-0.928)*VERI_TABANI!$B$9, 0) + (VERI_TABANI!D23*B333*(VERI_TABANI!$B$13-VERI_TABANI!$B$14)*VERI_TABANI!G23) + (VERI_TABANI!D23*C333*(VERI_TABANI!$B$13-VERI_TABANI!$B$15)*VERI_TABANI!G23) + IF(ABS(IF(ISNUMBER(SEARCH("Var", D333)), 1, IF(ISNUMBER(SEARCH("Gri", D333)), -1, 0)))=1, VERI_TABANI!E23*(1-0.928)*0.00206091519919798*VERI_TABANI!G23, 0)) + ((MIN(VERI_TABANI!D24, VERI_TABANI!D24*B333)*VERI_TABANI!$B$7 + MAX(0, VERI_TABANI!D24*B333-VERI_TABANI!D24)*VERI_TABANI!$B$8) + (MIN(MAX(0, VERI_TABANI!D24-VERI_TABANI!D24*B333), VERI_TABANI!D24*C333)*VERI_TABANI!$B$7 + MAX(0, VERI_TABANI!D24*C333-MAX(0, VERI_TABANI!D24-VERI_TABANI!D24*B333))*VERI_TABANI!$B$8) + IF(ABS(IF(ISNUMBER(SEARCH("Var", D333)), 1, IF(ISNUMBER(SEARCH("Gri", D333)), -1, 0)))=1, VERI_TABANI!E24*(1-0.928)*VERI_TABANI!$B$9, 0) + (VERI_TABANI!D24*B333*(VERI_TABANI!$B$13-VERI_TABANI!$B$14)*VERI_TABANI!G24) + (VERI_TABANI!D24*C333*(VERI_TABANI!$B$13-VERI_TABANI!$B$15)*VERI_TABANI!G24) + IF(ABS(IF(ISNUMBER(SEARCH("Var", D333)), 1, IF(ISNUMBER(SEARCH("Gri", D333)), -1, 0)))=1, VERI_TABANI!E24*(1-0.928)*0.00206091519919798*VERI_TABANI!G24, 0)) + ((MIN(VERI_TABANI!D25, VERI_TABANI!D25*B333)*VERI_TABANI!$B$7 + MAX(0, VERI_TABANI!D25*B333-VERI_TABANI!D25)*VERI_TABANI!$B$8) + (MIN(MAX(0, VERI_TABANI!D25-VERI_TABANI!D25*B333), VERI_TABANI!D25*C333)*VERI_TABANI!$B$7 + MAX(0, VERI_TABANI!D25*C333-MAX(0, VERI_TABANI!D25-VERI_TABANI!D25*B333))*VERI_TABANI!$B$8) + IF(ABS(IF(ISNUMBER(SEARCH("Var", D333)), 1, IF(ISNUMBER(SEARCH("Gri", D333)), -1, 0)))=1, VERI_TABANI!E25*(1-0.928)*VERI_TABANI!$B$9, 0) + (VERI_TABANI!D25*B333*(VERI_TABANI!$B$13-VERI_TABANI!$B$14)*VERI_TABANI!G25) + (VERI_TABANI!D25*C333*(VERI_TABANI!$B$13-VERI_TABANI!$B$15)*VERI_TABANI!G25) + IF(ABS(IF(ISNUMBER(SEARCH("Var", D333)), 1, IF(ISNUMBER(SEARCH("Gri", D333)), -1, 0)))=1, VERI_TABANI!E25*(1-0.928)*0.00206091519919798*VERI_TABANI!G25, 0)) + ((MIN(VERI_TABANI!D26, VERI_TABANI!D26*B333)*VERI_TABANI!$B$7 + MAX(0, VERI_TABANI!D26*B333-VERI_TABANI!D26)*VERI_TABANI!$B$8) + (MIN(MAX(0, VERI_TABANI!D26-VERI_TABANI!D26*B333), VERI_TABANI!D26*C333)*VERI_TABANI!$B$7 + MAX(0, VERI_TABANI!D26*C333-MAX(0, VERI_TABANI!D26-VERI_TABANI!D26*B333))*VERI_TABANI!$B$8) + IF(ABS(IF(ISNUMBER(SEARCH("Var", D333)), 1, IF(ISNUMBER(SEARCH("Gri", D333)), -1, 0)))=1, VERI_TABANI!E26*(1-0.928)*VERI_TABANI!$B$9, 0) + (VERI_TABANI!D26*B333*(VERI_TABANI!$B$13-VERI_TABANI!$B$14)*VERI_TABANI!G26) + (VERI_TABANI!D26*C333*(VERI_TABANI!$B$13-VERI_TABANI!$B$15)*VERI_TABANI!G26) + IF(ABS(IF(ISNUMBER(SEARCH("Var", D333)), 1, IF(ISNUMBER(SEARCH("Gri", D333)), -1, 0)))=1, VERI_TABANI!E26*(1-0.928)*0.00206091519919798*VERI_TABANI!G26, 0)) + ((MIN(VERI_TABANI!D27, VERI_TABANI!D27*B333)*VERI_TABANI!$B$7 + MAX(0, VERI_TABANI!D27*B333-VERI_TABANI!D27)*VERI_TABANI!$B$8) + (MIN(MAX(0, VERI_TABANI!D27-VERI_TABANI!D27*B333), VERI_TABANI!D27*C333)*VERI_TABANI!$B$7 + MAX(0, VERI_TABANI!D27*C333-MAX(0, VERI_TABANI!D27-VERI_TABANI!D27*B333))*VERI_TABANI!$B$8) + IF(ABS(IF(ISNUMBER(SEARCH("Var", D333)), 1, IF(ISNUMBER(SEARCH("Gri", D333)), -1, 0)))=1, VERI_TABANI!E27*(1-0.928)*VERI_TABANI!$B$9, 0) + (VERI_TABANI!D27*B333*(VERI_TABANI!$B$13-VERI_TABANI!$B$14)*VERI_TABANI!G27) + (VERI_TABANI!D27*C333*(VERI_TABANI!$B$13-VERI_TABANI!$B$15)*VERI_TABANI!G27) + IF(ABS(IF(ISNUMBER(SEARCH("Var", D333)), 1, IF(ISNUMBER(SEARCH("Gri", D333)), -1, 0)))=1, VERI_TABANI!E27*(1-0.928)*0.00206091519919798*VERI_TABANI!G27, 0)) + ((MIN(VERI_TABANI!D28, VERI_TABANI!D28*B333)*VERI_TABANI!$B$7 + MAX(0, VERI_TABANI!D28*B333-VERI_TABANI!D28)*VERI_TABANI!$B$8) + (MIN(MAX(0, VERI_TABANI!D28-VERI_TABANI!D28*B333), VERI_TABANI!D28*C333)*VERI_TABANI!$B$7 + MAX(0, VERI_TABANI!D28*C333-MAX(0, VERI_TABANI!D28-VERI_TABANI!D28*B333))*VERI_TABANI!$B$8) + IF(ABS(IF(ISNUMBER(SEARCH("Var", D333)), 1, IF(ISNUMBER(SEARCH("Gri", D333)), -1, 0)))=1, VERI_TABANI!E28*(1-0.928)*VERI_TABANI!$B$9, 0) + (VERI_TABANI!D28*B333*(VERI_TABANI!$B$13-VERI_TABANI!$B$14)*VERI_TABANI!G28) + (VERI_TABANI!D28*C333*(VERI_TABANI!$B$13-VERI_TABANI!$B$15)*VERI_TABANI!G28) + IF(ABS(IF(ISNUMBER(SEARCH("Var", D333)), 1, IF(ISNUMBER(SEARCH("Gri", D333)), -1, 0)))=1, VERI_TABANI!E28*(1-0.928)*0.00206091519919798*VERI_TABANI!G28, 0)))</f>
        <v/>
      </c>
      <c r="H333" s="169">
        <f>(((VERI_TABANI!D23*B333*(VERI_TABANI!$B$13-VERI_TABANI!$B$14)) + (VERI_TABANI!D23*C333*(VERI_TABANI!$B$13-VERI_TABANI!$B$15)) + IF(ISNUMBER(SEARCH("Var", D333)), VERI_TABANI!F23*(0.00202-VERI_TABANI!$B$16), IF(ISNUMBER(SEARCH("Gri", D333)), VERI_TABANI!F23*(0.00202-VERI_TABANI!$B$17), 0))) + ((VERI_TABANI!D24*B333*(VERI_TABANI!$B$13-VERI_TABANI!$B$14)) + (VERI_TABANI!D24*C333*(VERI_TABANI!$B$13-VERI_TABANI!$B$15)) + IF(ISNUMBER(SEARCH("Var", D333)), VERI_TABANI!F24*(0.00202-VERI_TABANI!$B$16), IF(ISNUMBER(SEARCH("Gri", D333)), VERI_TABANI!F24*(0.00202-VERI_TABANI!$B$17), 0))) + ((VERI_TABANI!D25*B333*(VERI_TABANI!$B$13-VERI_TABANI!$B$14)) + (VERI_TABANI!D25*C333*(VERI_TABANI!$B$13-VERI_TABANI!$B$15)) + IF(ISNUMBER(SEARCH("Var", D333)), VERI_TABANI!F25*(0.00202-VERI_TABANI!$B$16), IF(ISNUMBER(SEARCH("Gri", D333)), VERI_TABANI!F25*(0.00202-VERI_TABANI!$B$17), 0))) + ((VERI_TABANI!D26*B333*(VERI_TABANI!$B$13-VERI_TABANI!$B$14)) + (VERI_TABANI!D26*C333*(VERI_TABANI!$B$13-VERI_TABANI!$B$15)) + IF(ISNUMBER(SEARCH("Var", D333)), VERI_TABANI!F26*(0.00202-VERI_TABANI!$B$16), IF(ISNUMBER(SEARCH("Gri", D333)), VERI_TABANI!F26*(0.00202-VERI_TABANI!$B$17), 0))) + ((VERI_TABANI!D27*B333*(VERI_TABANI!$B$13-VERI_TABANI!$B$14)) + (VERI_TABANI!D27*C333*(VERI_TABANI!$B$13-VERI_TABANI!$B$15)) + IF(ISNUMBER(SEARCH("Var", D333)), VERI_TABANI!F27*(0.00202-VERI_TABANI!$B$16), IF(ISNUMBER(SEARCH("Gri", D333)), VERI_TABANI!F27*(0.00202-VERI_TABANI!$B$17), 0))) + ((VERI_TABANI!D28*B333*(VERI_TABANI!$B$13-VERI_TABANI!$B$14)) + (VERI_TABANI!D28*C333*(VERI_TABANI!$B$13-VERI_TABANI!$B$15)) + IF(ISNUMBER(SEARCH("Var", D333)), VERI_TABANI!F28*(0.00202-VERI_TABANI!$B$16), IF(ISNUMBER(SEARCH("Gri", D333)), VERI_TABANI!F28*(0.00202-VERI_TABANI!$B$17), 0))))</f>
        <v/>
      </c>
      <c r="I333" s="170">
        <f>IFERROR(((VERI_TABANI!$D$29*B333*VERI_TABANI!$B$14 + VERI_TABANI!$D$29*C333*VERI_TABANI!$B$15 + IF(ISNUMBER(SEARCH("Var", D333)), VERI_TABANI!$F$29*VERI_TABANI!$B$16, 0))) / (((VERI_TABANI!$D$29*B333 + VERI_TABANI!$D$29*C333)*VERI_TABANI!$B$13 + IF(ISNUMBER(SEARCH("Var", D333)), VERI_TABANI!$E$29*(1-0.928)*VERI_TABANI!$B$18, 0))), 0)</f>
        <v/>
      </c>
      <c r="J333" s="171">
        <f>IFERROR(F333/(G333/29), 0)</f>
        <v/>
      </c>
      <c r="K333" s="172">
        <f>IF(F333&gt;0, H333/F333, 0)</f>
        <v/>
      </c>
      <c r="L333" s="170">
        <f>IF(F333&gt;0, I333, 1000000000)</f>
        <v/>
      </c>
      <c r="M333" s="171">
        <f>ABS((B333+C333)-1)</f>
        <v/>
      </c>
      <c r="N333" s="170">
        <f>IF(F333&gt;0, (G333/29)/F333, 0)</f>
        <v/>
      </c>
      <c r="O333" s="168">
        <f>IF(AND((B333+C333)&gt;=1, ISNUMBER(SEARCH("Var", D333))), F333, 1000000000)</f>
        <v/>
      </c>
      <c r="P333" s="172">
        <f>IF(F333&gt;0, SQRT((F333/MAX(F$5:F$886))^2 + (1 - H333/MAX(H$5:H$886))^2 + (J333/MAX(J$5:J$886))^2), 1000000000)</f>
        <v/>
      </c>
      <c r="Q333" s="166">
        <f>IF(AND(ABS(B333-0.5)&lt;0.01, ABS(C333-0.5)&lt;0.01, ISNUMBER(SEARCH("Var", D333))), 1, 0)</f>
        <v/>
      </c>
      <c r="R333" s="171">
        <f>IF(F333&gt;0, J333, 1000000000)</f>
        <v/>
      </c>
      <c r="S333" s="101">
        <f>IF(AND(F333&lt;=DASHBOARD!$B$11, H333&gt;=DASHBOARD!$B$13), G333, -1000000000000)</f>
        <v/>
      </c>
      <c r="T333" s="101">
        <f>IF(AND(F333&lt;=DASHBOARD!$B$11, H333&gt;=DASHBOARD!$B$13), R333, 1000000000000)</f>
        <v/>
      </c>
      <c r="U333" s="101">
        <f>IF(AND(F333&lt;=DASHBOARD!$B$11, H333&gt;=DASHBOARD!$B$13), N333, -1000000000000)</f>
        <v/>
      </c>
      <c r="V333" s="101">
        <f>IF(AND(F333&lt;=DASHBOARD!$B$11, H333&gt;=DASHBOARD!$B$13), H333, -1000000000000)</f>
        <v/>
      </c>
      <c r="W333" s="101">
        <f>IF(AND(F333&lt;=DASHBOARD!$B$11, H333&gt;=DASHBOARD!$B$13), K333, -1000000000000)</f>
        <v/>
      </c>
      <c r="X333" s="101">
        <f>IF(AND(F333&lt;=DASHBOARD!$B$11, H333&gt;=DASHBOARD!$B$13), M333, 1000000000000)</f>
        <v/>
      </c>
      <c r="Y333" s="101">
        <f>IF(AND(F333&lt;=DASHBOARD!$B$10, H333&gt;=DASHBOARD!$B$11), L333, 1000000000000)</f>
        <v/>
      </c>
      <c r="Z333" s="101">
        <f>IF(AND(F333&lt;=DASHBOARD!$B$10, H333&gt;=DASHBOARD!$B$11), O333, 1000000000000)</f>
        <v/>
      </c>
      <c r="AA333" s="101">
        <f>IF(AND(F333&lt;=DASHBOARD!$B$10, H333&gt;=DASHBOARD!$B$11), P333, 1000000000000)</f>
        <v/>
      </c>
      <c r="AB333" s="101">
        <f>IF(AND(F333&lt;=DASHBOARD!$B$10, H333&gt;=DASHBOARD!$B$11), Q333, -1000000000000)</f>
        <v/>
      </c>
    </row>
    <row r="334" ht="15" customHeight="1" s="102">
      <c r="A334" s="166" t="n">
        <v>330</v>
      </c>
      <c r="B334" s="167" t="n">
        <v>0.7</v>
      </c>
      <c r="C334" s="167" t="n">
        <v>1.7</v>
      </c>
      <c r="D334" s="110" t="inlineStr">
        <is>
          <t>Var (%20)</t>
        </is>
      </c>
      <c r="E334" s="110">
        <f>IF((B334+C334)&lt;=1, "Tam Mahsuplaşma (≤%100)", "Kısmi Satış (&gt;%100)")</f>
        <v/>
      </c>
      <c r="F334" s="168">
        <f>((VERI_TABANI!$D$29*B334/VERI_TABANI!$B$29)/VERI_TABANI!$B$3)*VERI_TABANI!$B$5 + ((VERI_TABANI!$D$29*C334/VERI_TABANI!$B$29)/VERI_TABANI!$B$4)*VERI_TABANI!$B$6 + IF(ISNUMBER(SEARCH("Var", D334)), (VERI_TABANI!$F$29/VERI_TABANI!$B$29)*(VERI_TABANI!$B$10+VERI_TABANI!$B$12), 0)</f>
        <v/>
      </c>
      <c r="G334" s="168">
        <f>(((MIN(VERI_TABANI!D23, VERI_TABANI!D23*B334)*VERI_TABANI!$B$7 + MAX(0, VERI_TABANI!D23*B334-VERI_TABANI!D23)*VERI_TABANI!$B$8) + (MIN(MAX(0, VERI_TABANI!D23-VERI_TABANI!D23*B334), VERI_TABANI!D23*C334)*VERI_TABANI!$B$7 + MAX(0, VERI_TABANI!D23*C334-MAX(0, VERI_TABANI!D23-VERI_TABANI!D23*B334))*VERI_TABANI!$B$8) + IF(ABS(IF(ISNUMBER(SEARCH("Var", D334)), 1, IF(ISNUMBER(SEARCH("Gri", D334)), -1, 0)))=1, VERI_TABANI!E23*(1-0.928)*VERI_TABANI!$B$9, 0) + (VERI_TABANI!D23*B334*(VERI_TABANI!$B$13-VERI_TABANI!$B$14)*VERI_TABANI!G23) + (VERI_TABANI!D23*C334*(VERI_TABANI!$B$13-VERI_TABANI!$B$15)*VERI_TABANI!G23) + IF(ABS(IF(ISNUMBER(SEARCH("Var", D334)), 1, IF(ISNUMBER(SEARCH("Gri", D334)), -1, 0)))=1, VERI_TABANI!E23*(1-0.928)*0.00206091519919798*VERI_TABANI!G23, 0)) + ((MIN(VERI_TABANI!D24, VERI_TABANI!D24*B334)*VERI_TABANI!$B$7 + MAX(0, VERI_TABANI!D24*B334-VERI_TABANI!D24)*VERI_TABANI!$B$8) + (MIN(MAX(0, VERI_TABANI!D24-VERI_TABANI!D24*B334), VERI_TABANI!D24*C334)*VERI_TABANI!$B$7 + MAX(0, VERI_TABANI!D24*C334-MAX(0, VERI_TABANI!D24-VERI_TABANI!D24*B334))*VERI_TABANI!$B$8) + IF(ABS(IF(ISNUMBER(SEARCH("Var", D334)), 1, IF(ISNUMBER(SEARCH("Gri", D334)), -1, 0)))=1, VERI_TABANI!E24*(1-0.928)*VERI_TABANI!$B$9, 0) + (VERI_TABANI!D24*B334*(VERI_TABANI!$B$13-VERI_TABANI!$B$14)*VERI_TABANI!G24) + (VERI_TABANI!D24*C334*(VERI_TABANI!$B$13-VERI_TABANI!$B$15)*VERI_TABANI!G24) + IF(ABS(IF(ISNUMBER(SEARCH("Var", D334)), 1, IF(ISNUMBER(SEARCH("Gri", D334)), -1, 0)))=1, VERI_TABANI!E24*(1-0.928)*0.00206091519919798*VERI_TABANI!G24, 0)) + ((MIN(VERI_TABANI!D25, VERI_TABANI!D25*B334)*VERI_TABANI!$B$7 + MAX(0, VERI_TABANI!D25*B334-VERI_TABANI!D25)*VERI_TABANI!$B$8) + (MIN(MAX(0, VERI_TABANI!D25-VERI_TABANI!D25*B334), VERI_TABANI!D25*C334)*VERI_TABANI!$B$7 + MAX(0, VERI_TABANI!D25*C334-MAX(0, VERI_TABANI!D25-VERI_TABANI!D25*B334))*VERI_TABANI!$B$8) + IF(ABS(IF(ISNUMBER(SEARCH("Var", D334)), 1, IF(ISNUMBER(SEARCH("Gri", D334)), -1, 0)))=1, VERI_TABANI!E25*(1-0.928)*VERI_TABANI!$B$9, 0) + (VERI_TABANI!D25*B334*(VERI_TABANI!$B$13-VERI_TABANI!$B$14)*VERI_TABANI!G25) + (VERI_TABANI!D25*C334*(VERI_TABANI!$B$13-VERI_TABANI!$B$15)*VERI_TABANI!G25) + IF(ABS(IF(ISNUMBER(SEARCH("Var", D334)), 1, IF(ISNUMBER(SEARCH("Gri", D334)), -1, 0)))=1, VERI_TABANI!E25*(1-0.928)*0.00206091519919798*VERI_TABANI!G25, 0)) + ((MIN(VERI_TABANI!D26, VERI_TABANI!D26*B334)*VERI_TABANI!$B$7 + MAX(0, VERI_TABANI!D26*B334-VERI_TABANI!D26)*VERI_TABANI!$B$8) + (MIN(MAX(0, VERI_TABANI!D26-VERI_TABANI!D26*B334), VERI_TABANI!D26*C334)*VERI_TABANI!$B$7 + MAX(0, VERI_TABANI!D26*C334-MAX(0, VERI_TABANI!D26-VERI_TABANI!D26*B334))*VERI_TABANI!$B$8) + IF(ABS(IF(ISNUMBER(SEARCH("Var", D334)), 1, IF(ISNUMBER(SEARCH("Gri", D334)), -1, 0)))=1, VERI_TABANI!E26*(1-0.928)*VERI_TABANI!$B$9, 0) + (VERI_TABANI!D26*B334*(VERI_TABANI!$B$13-VERI_TABANI!$B$14)*VERI_TABANI!G26) + (VERI_TABANI!D26*C334*(VERI_TABANI!$B$13-VERI_TABANI!$B$15)*VERI_TABANI!G26) + IF(ABS(IF(ISNUMBER(SEARCH("Var", D334)), 1, IF(ISNUMBER(SEARCH("Gri", D334)), -1, 0)))=1, VERI_TABANI!E26*(1-0.928)*0.00206091519919798*VERI_TABANI!G26, 0)) + ((MIN(VERI_TABANI!D27, VERI_TABANI!D27*B334)*VERI_TABANI!$B$7 + MAX(0, VERI_TABANI!D27*B334-VERI_TABANI!D27)*VERI_TABANI!$B$8) + (MIN(MAX(0, VERI_TABANI!D27-VERI_TABANI!D27*B334), VERI_TABANI!D27*C334)*VERI_TABANI!$B$7 + MAX(0, VERI_TABANI!D27*C334-MAX(0, VERI_TABANI!D27-VERI_TABANI!D27*B334))*VERI_TABANI!$B$8) + IF(ABS(IF(ISNUMBER(SEARCH("Var", D334)), 1, IF(ISNUMBER(SEARCH("Gri", D334)), -1, 0)))=1, VERI_TABANI!E27*(1-0.928)*VERI_TABANI!$B$9, 0) + (VERI_TABANI!D27*B334*(VERI_TABANI!$B$13-VERI_TABANI!$B$14)*VERI_TABANI!G27) + (VERI_TABANI!D27*C334*(VERI_TABANI!$B$13-VERI_TABANI!$B$15)*VERI_TABANI!G27) + IF(ABS(IF(ISNUMBER(SEARCH("Var", D334)), 1, IF(ISNUMBER(SEARCH("Gri", D334)), -1, 0)))=1, VERI_TABANI!E27*(1-0.928)*0.00206091519919798*VERI_TABANI!G27, 0)) + ((MIN(VERI_TABANI!D28, VERI_TABANI!D28*B334)*VERI_TABANI!$B$7 + MAX(0, VERI_TABANI!D28*B334-VERI_TABANI!D28)*VERI_TABANI!$B$8) + (MIN(MAX(0, VERI_TABANI!D28-VERI_TABANI!D28*B334), VERI_TABANI!D28*C334)*VERI_TABANI!$B$7 + MAX(0, VERI_TABANI!D28*C334-MAX(0, VERI_TABANI!D28-VERI_TABANI!D28*B334))*VERI_TABANI!$B$8) + IF(ABS(IF(ISNUMBER(SEARCH("Var", D334)), 1, IF(ISNUMBER(SEARCH("Gri", D334)), -1, 0)))=1, VERI_TABANI!E28*(1-0.928)*VERI_TABANI!$B$9, 0) + (VERI_TABANI!D28*B334*(VERI_TABANI!$B$13-VERI_TABANI!$B$14)*VERI_TABANI!G28) + (VERI_TABANI!D28*C334*(VERI_TABANI!$B$13-VERI_TABANI!$B$15)*VERI_TABANI!G28) + IF(ABS(IF(ISNUMBER(SEARCH("Var", D334)), 1, IF(ISNUMBER(SEARCH("Gri", D334)), -1, 0)))=1, VERI_TABANI!E28*(1-0.928)*0.00206091519919798*VERI_TABANI!G28, 0)))</f>
        <v/>
      </c>
      <c r="H334" s="169">
        <f>(((VERI_TABANI!D23*B334*(VERI_TABANI!$B$13-VERI_TABANI!$B$14)) + (VERI_TABANI!D23*C334*(VERI_TABANI!$B$13-VERI_TABANI!$B$15)) + IF(ISNUMBER(SEARCH("Var", D334)), VERI_TABANI!F23*(0.00202-VERI_TABANI!$B$16), IF(ISNUMBER(SEARCH("Gri", D334)), VERI_TABANI!F23*(0.00202-VERI_TABANI!$B$17), 0))) + ((VERI_TABANI!D24*B334*(VERI_TABANI!$B$13-VERI_TABANI!$B$14)) + (VERI_TABANI!D24*C334*(VERI_TABANI!$B$13-VERI_TABANI!$B$15)) + IF(ISNUMBER(SEARCH("Var", D334)), VERI_TABANI!F24*(0.00202-VERI_TABANI!$B$16), IF(ISNUMBER(SEARCH("Gri", D334)), VERI_TABANI!F24*(0.00202-VERI_TABANI!$B$17), 0))) + ((VERI_TABANI!D25*B334*(VERI_TABANI!$B$13-VERI_TABANI!$B$14)) + (VERI_TABANI!D25*C334*(VERI_TABANI!$B$13-VERI_TABANI!$B$15)) + IF(ISNUMBER(SEARCH("Var", D334)), VERI_TABANI!F25*(0.00202-VERI_TABANI!$B$16), IF(ISNUMBER(SEARCH("Gri", D334)), VERI_TABANI!F25*(0.00202-VERI_TABANI!$B$17), 0))) + ((VERI_TABANI!D26*B334*(VERI_TABANI!$B$13-VERI_TABANI!$B$14)) + (VERI_TABANI!D26*C334*(VERI_TABANI!$B$13-VERI_TABANI!$B$15)) + IF(ISNUMBER(SEARCH("Var", D334)), VERI_TABANI!F26*(0.00202-VERI_TABANI!$B$16), IF(ISNUMBER(SEARCH("Gri", D334)), VERI_TABANI!F26*(0.00202-VERI_TABANI!$B$17), 0))) + ((VERI_TABANI!D27*B334*(VERI_TABANI!$B$13-VERI_TABANI!$B$14)) + (VERI_TABANI!D27*C334*(VERI_TABANI!$B$13-VERI_TABANI!$B$15)) + IF(ISNUMBER(SEARCH("Var", D334)), VERI_TABANI!F27*(0.00202-VERI_TABANI!$B$16), IF(ISNUMBER(SEARCH("Gri", D334)), VERI_TABANI!F27*(0.00202-VERI_TABANI!$B$17), 0))) + ((VERI_TABANI!D28*B334*(VERI_TABANI!$B$13-VERI_TABANI!$B$14)) + (VERI_TABANI!D28*C334*(VERI_TABANI!$B$13-VERI_TABANI!$B$15)) + IF(ISNUMBER(SEARCH("Var", D334)), VERI_TABANI!F28*(0.00202-VERI_TABANI!$B$16), IF(ISNUMBER(SEARCH("Gri", D334)), VERI_TABANI!F28*(0.00202-VERI_TABANI!$B$17), 0))))</f>
        <v/>
      </c>
      <c r="I334" s="170">
        <f>IFERROR(((VERI_TABANI!$D$29*B334*VERI_TABANI!$B$14 + VERI_TABANI!$D$29*C334*VERI_TABANI!$B$15 + IF(ISNUMBER(SEARCH("Var", D334)), VERI_TABANI!$F$29*VERI_TABANI!$B$16, 0))) / (((VERI_TABANI!$D$29*B334 + VERI_TABANI!$D$29*C334)*VERI_TABANI!$B$13 + IF(ISNUMBER(SEARCH("Var", D334)), VERI_TABANI!$E$29*(1-0.928)*VERI_TABANI!$B$18, 0))), 0)</f>
        <v/>
      </c>
      <c r="J334" s="171">
        <f>IFERROR(F334/(G334/29), 0)</f>
        <v/>
      </c>
      <c r="K334" s="172">
        <f>IF(F334&gt;0, H334/F334, 0)</f>
        <v/>
      </c>
      <c r="L334" s="170">
        <f>IF(F334&gt;0, I334, 1000000000)</f>
        <v/>
      </c>
      <c r="M334" s="171">
        <f>ABS((B334+C334)-1)</f>
        <v/>
      </c>
      <c r="N334" s="170">
        <f>IF(F334&gt;0, (G334/29)/F334, 0)</f>
        <v/>
      </c>
      <c r="O334" s="168">
        <f>IF(AND((B334+C334)&gt;=1, ISNUMBER(SEARCH("Var", D334))), F334, 1000000000)</f>
        <v/>
      </c>
      <c r="P334" s="172">
        <f>IF(F334&gt;0, SQRT((F334/MAX(F$5:F$886))^2 + (1 - H334/MAX(H$5:H$886))^2 + (J334/MAX(J$5:J$886))^2), 1000000000)</f>
        <v/>
      </c>
      <c r="Q334" s="166">
        <f>IF(AND(ABS(B334-0.5)&lt;0.01, ABS(C334-0.5)&lt;0.01, ISNUMBER(SEARCH("Var", D334))), 1, 0)</f>
        <v/>
      </c>
      <c r="R334" s="171">
        <f>IF(F334&gt;0, J334, 1000000000)</f>
        <v/>
      </c>
      <c r="S334" s="101">
        <f>IF(AND(F334&lt;=DASHBOARD!$B$11, H334&gt;=DASHBOARD!$B$13), G334, -1000000000000)</f>
        <v/>
      </c>
      <c r="T334" s="101">
        <f>IF(AND(F334&lt;=DASHBOARD!$B$11, H334&gt;=DASHBOARD!$B$13), R334, 1000000000000)</f>
        <v/>
      </c>
      <c r="U334" s="101">
        <f>IF(AND(F334&lt;=DASHBOARD!$B$11, H334&gt;=DASHBOARD!$B$13), N334, -1000000000000)</f>
        <v/>
      </c>
      <c r="V334" s="101">
        <f>IF(AND(F334&lt;=DASHBOARD!$B$11, H334&gt;=DASHBOARD!$B$13), H334, -1000000000000)</f>
        <v/>
      </c>
      <c r="W334" s="101">
        <f>IF(AND(F334&lt;=DASHBOARD!$B$11, H334&gt;=DASHBOARD!$B$13), K334, -1000000000000)</f>
        <v/>
      </c>
      <c r="X334" s="101">
        <f>IF(AND(F334&lt;=DASHBOARD!$B$11, H334&gt;=DASHBOARD!$B$13), M334, 1000000000000)</f>
        <v/>
      </c>
      <c r="Y334" s="101">
        <f>IF(AND(F334&lt;=DASHBOARD!$B$10, H334&gt;=DASHBOARD!$B$11), L334, 1000000000000)</f>
        <v/>
      </c>
      <c r="Z334" s="101">
        <f>IF(AND(F334&lt;=DASHBOARD!$B$10, H334&gt;=DASHBOARD!$B$11), O334, 1000000000000)</f>
        <v/>
      </c>
      <c r="AA334" s="101">
        <f>IF(AND(F334&lt;=DASHBOARD!$B$10, H334&gt;=DASHBOARD!$B$11), P334, 1000000000000)</f>
        <v/>
      </c>
      <c r="AB334" s="101">
        <f>IF(AND(F334&lt;=DASHBOARD!$B$10, H334&gt;=DASHBOARD!$B$11), Q334, -1000000000000)</f>
        <v/>
      </c>
    </row>
    <row r="335" ht="15" customHeight="1" s="102">
      <c r="A335" s="166" t="n">
        <v>331</v>
      </c>
      <c r="B335" s="167" t="n">
        <v>0.7</v>
      </c>
      <c r="C335" s="167" t="n">
        <v>1.8</v>
      </c>
      <c r="D335" s="110" t="inlineStr">
        <is>
          <t>Yok (%0)</t>
        </is>
      </c>
      <c r="E335" s="110">
        <f>IF((B335+C335)&lt;=1, "Tam Mahsuplaşma (≤%100)", "Kısmi Satış (&gt;%100)")</f>
        <v/>
      </c>
      <c r="F335" s="168">
        <f>((VERI_TABANI!$D$29*B335/VERI_TABANI!$B$29)/VERI_TABANI!$B$3)*VERI_TABANI!$B$5 + ((VERI_TABANI!$D$29*C335/VERI_TABANI!$B$29)/VERI_TABANI!$B$4)*VERI_TABANI!$B$6 + IF(ISNUMBER(SEARCH("Var", D335)), (VERI_TABANI!$F$29/VERI_TABANI!$B$29)*(VERI_TABANI!$B$10+VERI_TABANI!$B$12), 0)</f>
        <v/>
      </c>
      <c r="G335" s="168">
        <f>(((MIN(VERI_TABANI!D23, VERI_TABANI!D23*B335)*VERI_TABANI!$B$7 + MAX(0, VERI_TABANI!D23*B335-VERI_TABANI!D23)*VERI_TABANI!$B$8) + (MIN(MAX(0, VERI_TABANI!D23-VERI_TABANI!D23*B335), VERI_TABANI!D23*C335)*VERI_TABANI!$B$7 + MAX(0, VERI_TABANI!D23*C335-MAX(0, VERI_TABANI!D23-VERI_TABANI!D23*B335))*VERI_TABANI!$B$8) + IF(ABS(IF(ISNUMBER(SEARCH("Var", D335)), 1, IF(ISNUMBER(SEARCH("Gri", D335)), -1, 0)))=1, VERI_TABANI!E23*(1-0.928)*VERI_TABANI!$B$9, 0) + (VERI_TABANI!D23*B335*(VERI_TABANI!$B$13-VERI_TABANI!$B$14)*VERI_TABANI!G23) + (VERI_TABANI!D23*C335*(VERI_TABANI!$B$13-VERI_TABANI!$B$15)*VERI_TABANI!G23) + IF(ABS(IF(ISNUMBER(SEARCH("Var", D335)), 1, IF(ISNUMBER(SEARCH("Gri", D335)), -1, 0)))=1, VERI_TABANI!E23*(1-0.928)*0.00206091519919798*VERI_TABANI!G23, 0)) + ((MIN(VERI_TABANI!D24, VERI_TABANI!D24*B335)*VERI_TABANI!$B$7 + MAX(0, VERI_TABANI!D24*B335-VERI_TABANI!D24)*VERI_TABANI!$B$8) + (MIN(MAX(0, VERI_TABANI!D24-VERI_TABANI!D24*B335), VERI_TABANI!D24*C335)*VERI_TABANI!$B$7 + MAX(0, VERI_TABANI!D24*C335-MAX(0, VERI_TABANI!D24-VERI_TABANI!D24*B335))*VERI_TABANI!$B$8) + IF(ABS(IF(ISNUMBER(SEARCH("Var", D335)), 1, IF(ISNUMBER(SEARCH("Gri", D335)), -1, 0)))=1, VERI_TABANI!E24*(1-0.928)*VERI_TABANI!$B$9, 0) + (VERI_TABANI!D24*B335*(VERI_TABANI!$B$13-VERI_TABANI!$B$14)*VERI_TABANI!G24) + (VERI_TABANI!D24*C335*(VERI_TABANI!$B$13-VERI_TABANI!$B$15)*VERI_TABANI!G24) + IF(ABS(IF(ISNUMBER(SEARCH("Var", D335)), 1, IF(ISNUMBER(SEARCH("Gri", D335)), -1, 0)))=1, VERI_TABANI!E24*(1-0.928)*0.00206091519919798*VERI_TABANI!G24, 0)) + ((MIN(VERI_TABANI!D25, VERI_TABANI!D25*B335)*VERI_TABANI!$B$7 + MAX(0, VERI_TABANI!D25*B335-VERI_TABANI!D25)*VERI_TABANI!$B$8) + (MIN(MAX(0, VERI_TABANI!D25-VERI_TABANI!D25*B335), VERI_TABANI!D25*C335)*VERI_TABANI!$B$7 + MAX(0, VERI_TABANI!D25*C335-MAX(0, VERI_TABANI!D25-VERI_TABANI!D25*B335))*VERI_TABANI!$B$8) + IF(ABS(IF(ISNUMBER(SEARCH("Var", D335)), 1, IF(ISNUMBER(SEARCH("Gri", D335)), -1, 0)))=1, VERI_TABANI!E25*(1-0.928)*VERI_TABANI!$B$9, 0) + (VERI_TABANI!D25*B335*(VERI_TABANI!$B$13-VERI_TABANI!$B$14)*VERI_TABANI!G25) + (VERI_TABANI!D25*C335*(VERI_TABANI!$B$13-VERI_TABANI!$B$15)*VERI_TABANI!G25) + IF(ABS(IF(ISNUMBER(SEARCH("Var", D335)), 1, IF(ISNUMBER(SEARCH("Gri", D335)), -1, 0)))=1, VERI_TABANI!E25*(1-0.928)*0.00206091519919798*VERI_TABANI!G25, 0)) + ((MIN(VERI_TABANI!D26, VERI_TABANI!D26*B335)*VERI_TABANI!$B$7 + MAX(0, VERI_TABANI!D26*B335-VERI_TABANI!D26)*VERI_TABANI!$B$8) + (MIN(MAX(0, VERI_TABANI!D26-VERI_TABANI!D26*B335), VERI_TABANI!D26*C335)*VERI_TABANI!$B$7 + MAX(0, VERI_TABANI!D26*C335-MAX(0, VERI_TABANI!D26-VERI_TABANI!D26*B335))*VERI_TABANI!$B$8) + IF(ABS(IF(ISNUMBER(SEARCH("Var", D335)), 1, IF(ISNUMBER(SEARCH("Gri", D335)), -1, 0)))=1, VERI_TABANI!E26*(1-0.928)*VERI_TABANI!$B$9, 0) + (VERI_TABANI!D26*B335*(VERI_TABANI!$B$13-VERI_TABANI!$B$14)*VERI_TABANI!G26) + (VERI_TABANI!D26*C335*(VERI_TABANI!$B$13-VERI_TABANI!$B$15)*VERI_TABANI!G26) + IF(ABS(IF(ISNUMBER(SEARCH("Var", D335)), 1, IF(ISNUMBER(SEARCH("Gri", D335)), -1, 0)))=1, VERI_TABANI!E26*(1-0.928)*0.00206091519919798*VERI_TABANI!G26, 0)) + ((MIN(VERI_TABANI!D27, VERI_TABANI!D27*B335)*VERI_TABANI!$B$7 + MAX(0, VERI_TABANI!D27*B335-VERI_TABANI!D27)*VERI_TABANI!$B$8) + (MIN(MAX(0, VERI_TABANI!D27-VERI_TABANI!D27*B335), VERI_TABANI!D27*C335)*VERI_TABANI!$B$7 + MAX(0, VERI_TABANI!D27*C335-MAX(0, VERI_TABANI!D27-VERI_TABANI!D27*B335))*VERI_TABANI!$B$8) + IF(ABS(IF(ISNUMBER(SEARCH("Var", D335)), 1, IF(ISNUMBER(SEARCH("Gri", D335)), -1, 0)))=1, VERI_TABANI!E27*(1-0.928)*VERI_TABANI!$B$9, 0) + (VERI_TABANI!D27*B335*(VERI_TABANI!$B$13-VERI_TABANI!$B$14)*VERI_TABANI!G27) + (VERI_TABANI!D27*C335*(VERI_TABANI!$B$13-VERI_TABANI!$B$15)*VERI_TABANI!G27) + IF(ABS(IF(ISNUMBER(SEARCH("Var", D335)), 1, IF(ISNUMBER(SEARCH("Gri", D335)), -1, 0)))=1, VERI_TABANI!E27*(1-0.928)*0.00206091519919798*VERI_TABANI!G27, 0)) + ((MIN(VERI_TABANI!D28, VERI_TABANI!D28*B335)*VERI_TABANI!$B$7 + MAX(0, VERI_TABANI!D28*B335-VERI_TABANI!D28)*VERI_TABANI!$B$8) + (MIN(MAX(0, VERI_TABANI!D28-VERI_TABANI!D28*B335), VERI_TABANI!D28*C335)*VERI_TABANI!$B$7 + MAX(0, VERI_TABANI!D28*C335-MAX(0, VERI_TABANI!D28-VERI_TABANI!D28*B335))*VERI_TABANI!$B$8) + IF(ABS(IF(ISNUMBER(SEARCH("Var", D335)), 1, IF(ISNUMBER(SEARCH("Gri", D335)), -1, 0)))=1, VERI_TABANI!E28*(1-0.928)*VERI_TABANI!$B$9, 0) + (VERI_TABANI!D28*B335*(VERI_TABANI!$B$13-VERI_TABANI!$B$14)*VERI_TABANI!G28) + (VERI_TABANI!D28*C335*(VERI_TABANI!$B$13-VERI_TABANI!$B$15)*VERI_TABANI!G28) + IF(ABS(IF(ISNUMBER(SEARCH("Var", D335)), 1, IF(ISNUMBER(SEARCH("Gri", D335)), -1, 0)))=1, VERI_TABANI!E28*(1-0.928)*0.00206091519919798*VERI_TABANI!G28, 0)))</f>
        <v/>
      </c>
      <c r="H335" s="169">
        <f>(((VERI_TABANI!D23*B335*(VERI_TABANI!$B$13-VERI_TABANI!$B$14)) + (VERI_TABANI!D23*C335*(VERI_TABANI!$B$13-VERI_TABANI!$B$15)) + IF(ISNUMBER(SEARCH("Var", D335)), VERI_TABANI!F23*(0.00202-VERI_TABANI!$B$16), IF(ISNUMBER(SEARCH("Gri", D335)), VERI_TABANI!F23*(0.00202-VERI_TABANI!$B$17), 0))) + ((VERI_TABANI!D24*B335*(VERI_TABANI!$B$13-VERI_TABANI!$B$14)) + (VERI_TABANI!D24*C335*(VERI_TABANI!$B$13-VERI_TABANI!$B$15)) + IF(ISNUMBER(SEARCH("Var", D335)), VERI_TABANI!F24*(0.00202-VERI_TABANI!$B$16), IF(ISNUMBER(SEARCH("Gri", D335)), VERI_TABANI!F24*(0.00202-VERI_TABANI!$B$17), 0))) + ((VERI_TABANI!D25*B335*(VERI_TABANI!$B$13-VERI_TABANI!$B$14)) + (VERI_TABANI!D25*C335*(VERI_TABANI!$B$13-VERI_TABANI!$B$15)) + IF(ISNUMBER(SEARCH("Var", D335)), VERI_TABANI!F25*(0.00202-VERI_TABANI!$B$16), IF(ISNUMBER(SEARCH("Gri", D335)), VERI_TABANI!F25*(0.00202-VERI_TABANI!$B$17), 0))) + ((VERI_TABANI!D26*B335*(VERI_TABANI!$B$13-VERI_TABANI!$B$14)) + (VERI_TABANI!D26*C335*(VERI_TABANI!$B$13-VERI_TABANI!$B$15)) + IF(ISNUMBER(SEARCH("Var", D335)), VERI_TABANI!F26*(0.00202-VERI_TABANI!$B$16), IF(ISNUMBER(SEARCH("Gri", D335)), VERI_TABANI!F26*(0.00202-VERI_TABANI!$B$17), 0))) + ((VERI_TABANI!D27*B335*(VERI_TABANI!$B$13-VERI_TABANI!$B$14)) + (VERI_TABANI!D27*C335*(VERI_TABANI!$B$13-VERI_TABANI!$B$15)) + IF(ISNUMBER(SEARCH("Var", D335)), VERI_TABANI!F27*(0.00202-VERI_TABANI!$B$16), IF(ISNUMBER(SEARCH("Gri", D335)), VERI_TABANI!F27*(0.00202-VERI_TABANI!$B$17), 0))) + ((VERI_TABANI!D28*B335*(VERI_TABANI!$B$13-VERI_TABANI!$B$14)) + (VERI_TABANI!D28*C335*(VERI_TABANI!$B$13-VERI_TABANI!$B$15)) + IF(ISNUMBER(SEARCH("Var", D335)), VERI_TABANI!F28*(0.00202-VERI_TABANI!$B$16), IF(ISNUMBER(SEARCH("Gri", D335)), VERI_TABANI!F28*(0.00202-VERI_TABANI!$B$17), 0))))</f>
        <v/>
      </c>
      <c r="I335" s="170">
        <f>IFERROR(((VERI_TABANI!$D$29*B335*VERI_TABANI!$B$14 + VERI_TABANI!$D$29*C335*VERI_TABANI!$B$15 + IF(ISNUMBER(SEARCH("Var", D335)), VERI_TABANI!$F$29*VERI_TABANI!$B$16, 0))) / (((VERI_TABANI!$D$29*B335 + VERI_TABANI!$D$29*C335)*VERI_TABANI!$B$13 + IF(ISNUMBER(SEARCH("Var", D335)), VERI_TABANI!$E$29*(1-0.928)*VERI_TABANI!$B$18, 0))), 0)</f>
        <v/>
      </c>
      <c r="J335" s="171">
        <f>IFERROR(F335/(G335/29), 0)</f>
        <v/>
      </c>
      <c r="K335" s="172">
        <f>IF(F335&gt;0, H335/F335, 0)</f>
        <v/>
      </c>
      <c r="L335" s="170">
        <f>IF(F335&gt;0, I335, 1000000000)</f>
        <v/>
      </c>
      <c r="M335" s="171">
        <f>ABS((B335+C335)-1)</f>
        <v/>
      </c>
      <c r="N335" s="170">
        <f>IF(F335&gt;0, (G335/29)/F335, 0)</f>
        <v/>
      </c>
      <c r="O335" s="168">
        <f>IF(AND((B335+C335)&gt;=1, ISNUMBER(SEARCH("Var", D335))), F335, 1000000000)</f>
        <v/>
      </c>
      <c r="P335" s="172">
        <f>IF(F335&gt;0, SQRT((F335/MAX(F$5:F$886))^2 + (1 - H335/MAX(H$5:H$886))^2 + (J335/MAX(J$5:J$886))^2), 1000000000)</f>
        <v/>
      </c>
      <c r="Q335" s="166">
        <f>IF(AND(ABS(B335-0.5)&lt;0.01, ABS(C335-0.5)&lt;0.01, ISNUMBER(SEARCH("Var", D335))), 1, 0)</f>
        <v/>
      </c>
      <c r="R335" s="171">
        <f>IF(F335&gt;0, J335, 1000000000)</f>
        <v/>
      </c>
      <c r="S335" s="101">
        <f>IF(AND(F335&lt;=DASHBOARD!$B$11, H335&gt;=DASHBOARD!$B$13), G335, -1000000000000)</f>
        <v/>
      </c>
      <c r="T335" s="101">
        <f>IF(AND(F335&lt;=DASHBOARD!$B$11, H335&gt;=DASHBOARD!$B$13), R335, 1000000000000)</f>
        <v/>
      </c>
      <c r="U335" s="101">
        <f>IF(AND(F335&lt;=DASHBOARD!$B$11, H335&gt;=DASHBOARD!$B$13), N335, -1000000000000)</f>
        <v/>
      </c>
      <c r="V335" s="101">
        <f>IF(AND(F335&lt;=DASHBOARD!$B$11, H335&gt;=DASHBOARD!$B$13), H335, -1000000000000)</f>
        <v/>
      </c>
      <c r="W335" s="101">
        <f>IF(AND(F335&lt;=DASHBOARD!$B$11, H335&gt;=DASHBOARD!$B$13), K335, -1000000000000)</f>
        <v/>
      </c>
      <c r="X335" s="101">
        <f>IF(AND(F335&lt;=DASHBOARD!$B$11, H335&gt;=DASHBOARD!$B$13), M335, 1000000000000)</f>
        <v/>
      </c>
      <c r="Y335" s="101">
        <f>IF(AND(F335&lt;=DASHBOARD!$B$10, H335&gt;=DASHBOARD!$B$11), L335, 1000000000000)</f>
        <v/>
      </c>
      <c r="Z335" s="101">
        <f>IF(AND(F335&lt;=DASHBOARD!$B$10, H335&gt;=DASHBOARD!$B$11), O335, 1000000000000)</f>
        <v/>
      </c>
      <c r="AA335" s="101">
        <f>IF(AND(F335&lt;=DASHBOARD!$B$10, H335&gt;=DASHBOARD!$B$11), P335, 1000000000000)</f>
        <v/>
      </c>
      <c r="AB335" s="101">
        <f>IF(AND(F335&lt;=DASHBOARD!$B$10, H335&gt;=DASHBOARD!$B$11), Q335, -1000000000000)</f>
        <v/>
      </c>
    </row>
    <row r="336" ht="15" customHeight="1" s="102">
      <c r="A336" s="166" t="n">
        <v>332</v>
      </c>
      <c r="B336" s="167" t="n">
        <v>0.7</v>
      </c>
      <c r="C336" s="167" t="n">
        <v>1.8</v>
      </c>
      <c r="D336" s="110" t="inlineStr">
        <is>
          <t>Var (%20)</t>
        </is>
      </c>
      <c r="E336" s="110">
        <f>IF((B336+C336)&lt;=1, "Tam Mahsuplaşma (≤%100)", "Kısmi Satış (&gt;%100)")</f>
        <v/>
      </c>
      <c r="F336" s="168">
        <f>((VERI_TABANI!$D$29*B336/VERI_TABANI!$B$29)/VERI_TABANI!$B$3)*VERI_TABANI!$B$5 + ((VERI_TABANI!$D$29*C336/VERI_TABANI!$B$29)/VERI_TABANI!$B$4)*VERI_TABANI!$B$6 + IF(ISNUMBER(SEARCH("Var", D336)), (VERI_TABANI!$F$29/VERI_TABANI!$B$29)*(VERI_TABANI!$B$10+VERI_TABANI!$B$12), 0)</f>
        <v/>
      </c>
      <c r="G336" s="168">
        <f>(((MIN(VERI_TABANI!D23, VERI_TABANI!D23*B336)*VERI_TABANI!$B$7 + MAX(0, VERI_TABANI!D23*B336-VERI_TABANI!D23)*VERI_TABANI!$B$8) + (MIN(MAX(0, VERI_TABANI!D23-VERI_TABANI!D23*B336), VERI_TABANI!D23*C336)*VERI_TABANI!$B$7 + MAX(0, VERI_TABANI!D23*C336-MAX(0, VERI_TABANI!D23-VERI_TABANI!D23*B336))*VERI_TABANI!$B$8) + IF(ABS(IF(ISNUMBER(SEARCH("Var", D336)), 1, IF(ISNUMBER(SEARCH("Gri", D336)), -1, 0)))=1, VERI_TABANI!E23*(1-0.928)*VERI_TABANI!$B$9, 0) + (VERI_TABANI!D23*B336*(VERI_TABANI!$B$13-VERI_TABANI!$B$14)*VERI_TABANI!G23) + (VERI_TABANI!D23*C336*(VERI_TABANI!$B$13-VERI_TABANI!$B$15)*VERI_TABANI!G23) + IF(ABS(IF(ISNUMBER(SEARCH("Var", D336)), 1, IF(ISNUMBER(SEARCH("Gri", D336)), -1, 0)))=1, VERI_TABANI!E23*(1-0.928)*0.00206091519919798*VERI_TABANI!G23, 0)) + ((MIN(VERI_TABANI!D24, VERI_TABANI!D24*B336)*VERI_TABANI!$B$7 + MAX(0, VERI_TABANI!D24*B336-VERI_TABANI!D24)*VERI_TABANI!$B$8) + (MIN(MAX(0, VERI_TABANI!D24-VERI_TABANI!D24*B336), VERI_TABANI!D24*C336)*VERI_TABANI!$B$7 + MAX(0, VERI_TABANI!D24*C336-MAX(0, VERI_TABANI!D24-VERI_TABANI!D24*B336))*VERI_TABANI!$B$8) + IF(ABS(IF(ISNUMBER(SEARCH("Var", D336)), 1, IF(ISNUMBER(SEARCH("Gri", D336)), -1, 0)))=1, VERI_TABANI!E24*(1-0.928)*VERI_TABANI!$B$9, 0) + (VERI_TABANI!D24*B336*(VERI_TABANI!$B$13-VERI_TABANI!$B$14)*VERI_TABANI!G24) + (VERI_TABANI!D24*C336*(VERI_TABANI!$B$13-VERI_TABANI!$B$15)*VERI_TABANI!G24) + IF(ABS(IF(ISNUMBER(SEARCH("Var", D336)), 1, IF(ISNUMBER(SEARCH("Gri", D336)), -1, 0)))=1, VERI_TABANI!E24*(1-0.928)*0.00206091519919798*VERI_TABANI!G24, 0)) + ((MIN(VERI_TABANI!D25, VERI_TABANI!D25*B336)*VERI_TABANI!$B$7 + MAX(0, VERI_TABANI!D25*B336-VERI_TABANI!D25)*VERI_TABANI!$B$8) + (MIN(MAX(0, VERI_TABANI!D25-VERI_TABANI!D25*B336), VERI_TABANI!D25*C336)*VERI_TABANI!$B$7 + MAX(0, VERI_TABANI!D25*C336-MAX(0, VERI_TABANI!D25-VERI_TABANI!D25*B336))*VERI_TABANI!$B$8) + IF(ABS(IF(ISNUMBER(SEARCH("Var", D336)), 1, IF(ISNUMBER(SEARCH("Gri", D336)), -1, 0)))=1, VERI_TABANI!E25*(1-0.928)*VERI_TABANI!$B$9, 0) + (VERI_TABANI!D25*B336*(VERI_TABANI!$B$13-VERI_TABANI!$B$14)*VERI_TABANI!G25) + (VERI_TABANI!D25*C336*(VERI_TABANI!$B$13-VERI_TABANI!$B$15)*VERI_TABANI!G25) + IF(ABS(IF(ISNUMBER(SEARCH("Var", D336)), 1, IF(ISNUMBER(SEARCH("Gri", D336)), -1, 0)))=1, VERI_TABANI!E25*(1-0.928)*0.00206091519919798*VERI_TABANI!G25, 0)) + ((MIN(VERI_TABANI!D26, VERI_TABANI!D26*B336)*VERI_TABANI!$B$7 + MAX(0, VERI_TABANI!D26*B336-VERI_TABANI!D26)*VERI_TABANI!$B$8) + (MIN(MAX(0, VERI_TABANI!D26-VERI_TABANI!D26*B336), VERI_TABANI!D26*C336)*VERI_TABANI!$B$7 + MAX(0, VERI_TABANI!D26*C336-MAX(0, VERI_TABANI!D26-VERI_TABANI!D26*B336))*VERI_TABANI!$B$8) + IF(ABS(IF(ISNUMBER(SEARCH("Var", D336)), 1, IF(ISNUMBER(SEARCH("Gri", D336)), -1, 0)))=1, VERI_TABANI!E26*(1-0.928)*VERI_TABANI!$B$9, 0) + (VERI_TABANI!D26*B336*(VERI_TABANI!$B$13-VERI_TABANI!$B$14)*VERI_TABANI!G26) + (VERI_TABANI!D26*C336*(VERI_TABANI!$B$13-VERI_TABANI!$B$15)*VERI_TABANI!G26) + IF(ABS(IF(ISNUMBER(SEARCH("Var", D336)), 1, IF(ISNUMBER(SEARCH("Gri", D336)), -1, 0)))=1, VERI_TABANI!E26*(1-0.928)*0.00206091519919798*VERI_TABANI!G26, 0)) + ((MIN(VERI_TABANI!D27, VERI_TABANI!D27*B336)*VERI_TABANI!$B$7 + MAX(0, VERI_TABANI!D27*B336-VERI_TABANI!D27)*VERI_TABANI!$B$8) + (MIN(MAX(0, VERI_TABANI!D27-VERI_TABANI!D27*B336), VERI_TABANI!D27*C336)*VERI_TABANI!$B$7 + MAX(0, VERI_TABANI!D27*C336-MAX(0, VERI_TABANI!D27-VERI_TABANI!D27*B336))*VERI_TABANI!$B$8) + IF(ABS(IF(ISNUMBER(SEARCH("Var", D336)), 1, IF(ISNUMBER(SEARCH("Gri", D336)), -1, 0)))=1, VERI_TABANI!E27*(1-0.928)*VERI_TABANI!$B$9, 0) + (VERI_TABANI!D27*B336*(VERI_TABANI!$B$13-VERI_TABANI!$B$14)*VERI_TABANI!G27) + (VERI_TABANI!D27*C336*(VERI_TABANI!$B$13-VERI_TABANI!$B$15)*VERI_TABANI!G27) + IF(ABS(IF(ISNUMBER(SEARCH("Var", D336)), 1, IF(ISNUMBER(SEARCH("Gri", D336)), -1, 0)))=1, VERI_TABANI!E27*(1-0.928)*0.00206091519919798*VERI_TABANI!G27, 0)) + ((MIN(VERI_TABANI!D28, VERI_TABANI!D28*B336)*VERI_TABANI!$B$7 + MAX(0, VERI_TABANI!D28*B336-VERI_TABANI!D28)*VERI_TABANI!$B$8) + (MIN(MAX(0, VERI_TABANI!D28-VERI_TABANI!D28*B336), VERI_TABANI!D28*C336)*VERI_TABANI!$B$7 + MAX(0, VERI_TABANI!D28*C336-MAX(0, VERI_TABANI!D28-VERI_TABANI!D28*B336))*VERI_TABANI!$B$8) + IF(ABS(IF(ISNUMBER(SEARCH("Var", D336)), 1, IF(ISNUMBER(SEARCH("Gri", D336)), -1, 0)))=1, VERI_TABANI!E28*(1-0.928)*VERI_TABANI!$B$9, 0) + (VERI_TABANI!D28*B336*(VERI_TABANI!$B$13-VERI_TABANI!$B$14)*VERI_TABANI!G28) + (VERI_TABANI!D28*C336*(VERI_TABANI!$B$13-VERI_TABANI!$B$15)*VERI_TABANI!G28) + IF(ABS(IF(ISNUMBER(SEARCH("Var", D336)), 1, IF(ISNUMBER(SEARCH("Gri", D336)), -1, 0)))=1, VERI_TABANI!E28*(1-0.928)*0.00206091519919798*VERI_TABANI!G28, 0)))</f>
        <v/>
      </c>
      <c r="H336" s="169">
        <f>(((VERI_TABANI!D23*B336*(VERI_TABANI!$B$13-VERI_TABANI!$B$14)) + (VERI_TABANI!D23*C336*(VERI_TABANI!$B$13-VERI_TABANI!$B$15)) + IF(ISNUMBER(SEARCH("Var", D336)), VERI_TABANI!F23*(0.00202-VERI_TABANI!$B$16), IF(ISNUMBER(SEARCH("Gri", D336)), VERI_TABANI!F23*(0.00202-VERI_TABANI!$B$17), 0))) + ((VERI_TABANI!D24*B336*(VERI_TABANI!$B$13-VERI_TABANI!$B$14)) + (VERI_TABANI!D24*C336*(VERI_TABANI!$B$13-VERI_TABANI!$B$15)) + IF(ISNUMBER(SEARCH("Var", D336)), VERI_TABANI!F24*(0.00202-VERI_TABANI!$B$16), IF(ISNUMBER(SEARCH("Gri", D336)), VERI_TABANI!F24*(0.00202-VERI_TABANI!$B$17), 0))) + ((VERI_TABANI!D25*B336*(VERI_TABANI!$B$13-VERI_TABANI!$B$14)) + (VERI_TABANI!D25*C336*(VERI_TABANI!$B$13-VERI_TABANI!$B$15)) + IF(ISNUMBER(SEARCH("Var", D336)), VERI_TABANI!F25*(0.00202-VERI_TABANI!$B$16), IF(ISNUMBER(SEARCH("Gri", D336)), VERI_TABANI!F25*(0.00202-VERI_TABANI!$B$17), 0))) + ((VERI_TABANI!D26*B336*(VERI_TABANI!$B$13-VERI_TABANI!$B$14)) + (VERI_TABANI!D26*C336*(VERI_TABANI!$B$13-VERI_TABANI!$B$15)) + IF(ISNUMBER(SEARCH("Var", D336)), VERI_TABANI!F26*(0.00202-VERI_TABANI!$B$16), IF(ISNUMBER(SEARCH("Gri", D336)), VERI_TABANI!F26*(0.00202-VERI_TABANI!$B$17), 0))) + ((VERI_TABANI!D27*B336*(VERI_TABANI!$B$13-VERI_TABANI!$B$14)) + (VERI_TABANI!D27*C336*(VERI_TABANI!$B$13-VERI_TABANI!$B$15)) + IF(ISNUMBER(SEARCH("Var", D336)), VERI_TABANI!F27*(0.00202-VERI_TABANI!$B$16), IF(ISNUMBER(SEARCH("Gri", D336)), VERI_TABANI!F27*(0.00202-VERI_TABANI!$B$17), 0))) + ((VERI_TABANI!D28*B336*(VERI_TABANI!$B$13-VERI_TABANI!$B$14)) + (VERI_TABANI!D28*C336*(VERI_TABANI!$B$13-VERI_TABANI!$B$15)) + IF(ISNUMBER(SEARCH("Var", D336)), VERI_TABANI!F28*(0.00202-VERI_TABANI!$B$16), IF(ISNUMBER(SEARCH("Gri", D336)), VERI_TABANI!F28*(0.00202-VERI_TABANI!$B$17), 0))))</f>
        <v/>
      </c>
      <c r="I336" s="170">
        <f>IFERROR(((VERI_TABANI!$D$29*B336*VERI_TABANI!$B$14 + VERI_TABANI!$D$29*C336*VERI_TABANI!$B$15 + IF(ISNUMBER(SEARCH("Var", D336)), VERI_TABANI!$F$29*VERI_TABANI!$B$16, 0))) / (((VERI_TABANI!$D$29*B336 + VERI_TABANI!$D$29*C336)*VERI_TABANI!$B$13 + IF(ISNUMBER(SEARCH("Var", D336)), VERI_TABANI!$E$29*(1-0.928)*VERI_TABANI!$B$18, 0))), 0)</f>
        <v/>
      </c>
      <c r="J336" s="171">
        <f>IFERROR(F336/(G336/29), 0)</f>
        <v/>
      </c>
      <c r="K336" s="172">
        <f>IF(F336&gt;0, H336/F336, 0)</f>
        <v/>
      </c>
      <c r="L336" s="170">
        <f>IF(F336&gt;0, I336, 1000000000)</f>
        <v/>
      </c>
      <c r="M336" s="171">
        <f>ABS((B336+C336)-1)</f>
        <v/>
      </c>
      <c r="N336" s="170">
        <f>IF(F336&gt;0, (G336/29)/F336, 0)</f>
        <v/>
      </c>
      <c r="O336" s="168">
        <f>IF(AND((B336+C336)&gt;=1, ISNUMBER(SEARCH("Var", D336))), F336, 1000000000)</f>
        <v/>
      </c>
      <c r="P336" s="172">
        <f>IF(F336&gt;0, SQRT((F336/MAX(F$5:F$886))^2 + (1 - H336/MAX(H$5:H$886))^2 + (J336/MAX(J$5:J$886))^2), 1000000000)</f>
        <v/>
      </c>
      <c r="Q336" s="166">
        <f>IF(AND(ABS(B336-0.5)&lt;0.01, ABS(C336-0.5)&lt;0.01, ISNUMBER(SEARCH("Var", D336))), 1, 0)</f>
        <v/>
      </c>
      <c r="R336" s="171">
        <f>IF(F336&gt;0, J336, 1000000000)</f>
        <v/>
      </c>
      <c r="S336" s="101">
        <f>IF(AND(F336&lt;=DASHBOARD!$B$11, H336&gt;=DASHBOARD!$B$13), G336, -1000000000000)</f>
        <v/>
      </c>
      <c r="T336" s="101">
        <f>IF(AND(F336&lt;=DASHBOARD!$B$11, H336&gt;=DASHBOARD!$B$13), R336, 1000000000000)</f>
        <v/>
      </c>
      <c r="U336" s="101">
        <f>IF(AND(F336&lt;=DASHBOARD!$B$11, H336&gt;=DASHBOARD!$B$13), N336, -1000000000000)</f>
        <v/>
      </c>
      <c r="V336" s="101">
        <f>IF(AND(F336&lt;=DASHBOARD!$B$11, H336&gt;=DASHBOARD!$B$13), H336, -1000000000000)</f>
        <v/>
      </c>
      <c r="W336" s="101">
        <f>IF(AND(F336&lt;=DASHBOARD!$B$11, H336&gt;=DASHBOARD!$B$13), K336, -1000000000000)</f>
        <v/>
      </c>
      <c r="X336" s="101">
        <f>IF(AND(F336&lt;=DASHBOARD!$B$11, H336&gt;=DASHBOARD!$B$13), M336, 1000000000000)</f>
        <v/>
      </c>
      <c r="Y336" s="101">
        <f>IF(AND(F336&lt;=DASHBOARD!$B$10, H336&gt;=DASHBOARD!$B$11), L336, 1000000000000)</f>
        <v/>
      </c>
      <c r="Z336" s="101">
        <f>IF(AND(F336&lt;=DASHBOARD!$B$10, H336&gt;=DASHBOARD!$B$11), O336, 1000000000000)</f>
        <v/>
      </c>
      <c r="AA336" s="101">
        <f>IF(AND(F336&lt;=DASHBOARD!$B$10, H336&gt;=DASHBOARD!$B$11), P336, 1000000000000)</f>
        <v/>
      </c>
      <c r="AB336" s="101">
        <f>IF(AND(F336&lt;=DASHBOARD!$B$10, H336&gt;=DASHBOARD!$B$11), Q336, -1000000000000)</f>
        <v/>
      </c>
    </row>
    <row r="337" ht="15" customHeight="1" s="102">
      <c r="A337" s="166" t="n">
        <v>333</v>
      </c>
      <c r="B337" s="167" t="n">
        <v>0.7</v>
      </c>
      <c r="C337" s="167" t="n">
        <v>1.9</v>
      </c>
      <c r="D337" s="110" t="inlineStr">
        <is>
          <t>Yok (%0)</t>
        </is>
      </c>
      <c r="E337" s="110">
        <f>IF((B337+C337)&lt;=1, "Tam Mahsuplaşma (≤%100)", "Kısmi Satış (&gt;%100)")</f>
        <v/>
      </c>
      <c r="F337" s="168">
        <f>((VERI_TABANI!$D$29*B337/VERI_TABANI!$B$29)/VERI_TABANI!$B$3)*VERI_TABANI!$B$5 + ((VERI_TABANI!$D$29*C337/VERI_TABANI!$B$29)/VERI_TABANI!$B$4)*VERI_TABANI!$B$6 + IF(ISNUMBER(SEARCH("Var", D337)), (VERI_TABANI!$F$29/VERI_TABANI!$B$29)*(VERI_TABANI!$B$10+VERI_TABANI!$B$12), 0)</f>
        <v/>
      </c>
      <c r="G337" s="168">
        <f>(((MIN(VERI_TABANI!D23, VERI_TABANI!D23*B337)*VERI_TABANI!$B$7 + MAX(0, VERI_TABANI!D23*B337-VERI_TABANI!D23)*VERI_TABANI!$B$8) + (MIN(MAX(0, VERI_TABANI!D23-VERI_TABANI!D23*B337), VERI_TABANI!D23*C337)*VERI_TABANI!$B$7 + MAX(0, VERI_TABANI!D23*C337-MAX(0, VERI_TABANI!D23-VERI_TABANI!D23*B337))*VERI_TABANI!$B$8) + IF(ABS(IF(ISNUMBER(SEARCH("Var", D337)), 1, IF(ISNUMBER(SEARCH("Gri", D337)), -1, 0)))=1, VERI_TABANI!E23*(1-0.928)*VERI_TABANI!$B$9, 0) + (VERI_TABANI!D23*B337*(VERI_TABANI!$B$13-VERI_TABANI!$B$14)*VERI_TABANI!G23) + (VERI_TABANI!D23*C337*(VERI_TABANI!$B$13-VERI_TABANI!$B$15)*VERI_TABANI!G23) + IF(ABS(IF(ISNUMBER(SEARCH("Var", D337)), 1, IF(ISNUMBER(SEARCH("Gri", D337)), -1, 0)))=1, VERI_TABANI!E23*(1-0.928)*0.00206091519919798*VERI_TABANI!G23, 0)) + ((MIN(VERI_TABANI!D24, VERI_TABANI!D24*B337)*VERI_TABANI!$B$7 + MAX(0, VERI_TABANI!D24*B337-VERI_TABANI!D24)*VERI_TABANI!$B$8) + (MIN(MAX(0, VERI_TABANI!D24-VERI_TABANI!D24*B337), VERI_TABANI!D24*C337)*VERI_TABANI!$B$7 + MAX(0, VERI_TABANI!D24*C337-MAX(0, VERI_TABANI!D24-VERI_TABANI!D24*B337))*VERI_TABANI!$B$8) + IF(ABS(IF(ISNUMBER(SEARCH("Var", D337)), 1, IF(ISNUMBER(SEARCH("Gri", D337)), -1, 0)))=1, VERI_TABANI!E24*(1-0.928)*VERI_TABANI!$B$9, 0) + (VERI_TABANI!D24*B337*(VERI_TABANI!$B$13-VERI_TABANI!$B$14)*VERI_TABANI!G24) + (VERI_TABANI!D24*C337*(VERI_TABANI!$B$13-VERI_TABANI!$B$15)*VERI_TABANI!G24) + IF(ABS(IF(ISNUMBER(SEARCH("Var", D337)), 1, IF(ISNUMBER(SEARCH("Gri", D337)), -1, 0)))=1, VERI_TABANI!E24*(1-0.928)*0.00206091519919798*VERI_TABANI!G24, 0)) + ((MIN(VERI_TABANI!D25, VERI_TABANI!D25*B337)*VERI_TABANI!$B$7 + MAX(0, VERI_TABANI!D25*B337-VERI_TABANI!D25)*VERI_TABANI!$B$8) + (MIN(MAX(0, VERI_TABANI!D25-VERI_TABANI!D25*B337), VERI_TABANI!D25*C337)*VERI_TABANI!$B$7 + MAX(0, VERI_TABANI!D25*C337-MAX(0, VERI_TABANI!D25-VERI_TABANI!D25*B337))*VERI_TABANI!$B$8) + IF(ABS(IF(ISNUMBER(SEARCH("Var", D337)), 1, IF(ISNUMBER(SEARCH("Gri", D337)), -1, 0)))=1, VERI_TABANI!E25*(1-0.928)*VERI_TABANI!$B$9, 0) + (VERI_TABANI!D25*B337*(VERI_TABANI!$B$13-VERI_TABANI!$B$14)*VERI_TABANI!G25) + (VERI_TABANI!D25*C337*(VERI_TABANI!$B$13-VERI_TABANI!$B$15)*VERI_TABANI!G25) + IF(ABS(IF(ISNUMBER(SEARCH("Var", D337)), 1, IF(ISNUMBER(SEARCH("Gri", D337)), -1, 0)))=1, VERI_TABANI!E25*(1-0.928)*0.00206091519919798*VERI_TABANI!G25, 0)) + ((MIN(VERI_TABANI!D26, VERI_TABANI!D26*B337)*VERI_TABANI!$B$7 + MAX(0, VERI_TABANI!D26*B337-VERI_TABANI!D26)*VERI_TABANI!$B$8) + (MIN(MAX(0, VERI_TABANI!D26-VERI_TABANI!D26*B337), VERI_TABANI!D26*C337)*VERI_TABANI!$B$7 + MAX(0, VERI_TABANI!D26*C337-MAX(0, VERI_TABANI!D26-VERI_TABANI!D26*B337))*VERI_TABANI!$B$8) + IF(ABS(IF(ISNUMBER(SEARCH("Var", D337)), 1, IF(ISNUMBER(SEARCH("Gri", D337)), -1, 0)))=1, VERI_TABANI!E26*(1-0.928)*VERI_TABANI!$B$9, 0) + (VERI_TABANI!D26*B337*(VERI_TABANI!$B$13-VERI_TABANI!$B$14)*VERI_TABANI!G26) + (VERI_TABANI!D26*C337*(VERI_TABANI!$B$13-VERI_TABANI!$B$15)*VERI_TABANI!G26) + IF(ABS(IF(ISNUMBER(SEARCH("Var", D337)), 1, IF(ISNUMBER(SEARCH("Gri", D337)), -1, 0)))=1, VERI_TABANI!E26*(1-0.928)*0.00206091519919798*VERI_TABANI!G26, 0)) + ((MIN(VERI_TABANI!D27, VERI_TABANI!D27*B337)*VERI_TABANI!$B$7 + MAX(0, VERI_TABANI!D27*B337-VERI_TABANI!D27)*VERI_TABANI!$B$8) + (MIN(MAX(0, VERI_TABANI!D27-VERI_TABANI!D27*B337), VERI_TABANI!D27*C337)*VERI_TABANI!$B$7 + MAX(0, VERI_TABANI!D27*C337-MAX(0, VERI_TABANI!D27-VERI_TABANI!D27*B337))*VERI_TABANI!$B$8) + IF(ABS(IF(ISNUMBER(SEARCH("Var", D337)), 1, IF(ISNUMBER(SEARCH("Gri", D337)), -1, 0)))=1, VERI_TABANI!E27*(1-0.928)*VERI_TABANI!$B$9, 0) + (VERI_TABANI!D27*B337*(VERI_TABANI!$B$13-VERI_TABANI!$B$14)*VERI_TABANI!G27) + (VERI_TABANI!D27*C337*(VERI_TABANI!$B$13-VERI_TABANI!$B$15)*VERI_TABANI!G27) + IF(ABS(IF(ISNUMBER(SEARCH("Var", D337)), 1, IF(ISNUMBER(SEARCH("Gri", D337)), -1, 0)))=1, VERI_TABANI!E27*(1-0.928)*0.00206091519919798*VERI_TABANI!G27, 0)) + ((MIN(VERI_TABANI!D28, VERI_TABANI!D28*B337)*VERI_TABANI!$B$7 + MAX(0, VERI_TABANI!D28*B337-VERI_TABANI!D28)*VERI_TABANI!$B$8) + (MIN(MAX(0, VERI_TABANI!D28-VERI_TABANI!D28*B337), VERI_TABANI!D28*C337)*VERI_TABANI!$B$7 + MAX(0, VERI_TABANI!D28*C337-MAX(0, VERI_TABANI!D28-VERI_TABANI!D28*B337))*VERI_TABANI!$B$8) + IF(ABS(IF(ISNUMBER(SEARCH("Var", D337)), 1, IF(ISNUMBER(SEARCH("Gri", D337)), -1, 0)))=1, VERI_TABANI!E28*(1-0.928)*VERI_TABANI!$B$9, 0) + (VERI_TABANI!D28*B337*(VERI_TABANI!$B$13-VERI_TABANI!$B$14)*VERI_TABANI!G28) + (VERI_TABANI!D28*C337*(VERI_TABANI!$B$13-VERI_TABANI!$B$15)*VERI_TABANI!G28) + IF(ABS(IF(ISNUMBER(SEARCH("Var", D337)), 1, IF(ISNUMBER(SEARCH("Gri", D337)), -1, 0)))=1, VERI_TABANI!E28*(1-0.928)*0.00206091519919798*VERI_TABANI!G28, 0)))</f>
        <v/>
      </c>
      <c r="H337" s="169">
        <f>(((VERI_TABANI!D23*B337*(VERI_TABANI!$B$13-VERI_TABANI!$B$14)) + (VERI_TABANI!D23*C337*(VERI_TABANI!$B$13-VERI_TABANI!$B$15)) + IF(ISNUMBER(SEARCH("Var", D337)), VERI_TABANI!F23*(0.00202-VERI_TABANI!$B$16), IF(ISNUMBER(SEARCH("Gri", D337)), VERI_TABANI!F23*(0.00202-VERI_TABANI!$B$17), 0))) + ((VERI_TABANI!D24*B337*(VERI_TABANI!$B$13-VERI_TABANI!$B$14)) + (VERI_TABANI!D24*C337*(VERI_TABANI!$B$13-VERI_TABANI!$B$15)) + IF(ISNUMBER(SEARCH("Var", D337)), VERI_TABANI!F24*(0.00202-VERI_TABANI!$B$16), IF(ISNUMBER(SEARCH("Gri", D337)), VERI_TABANI!F24*(0.00202-VERI_TABANI!$B$17), 0))) + ((VERI_TABANI!D25*B337*(VERI_TABANI!$B$13-VERI_TABANI!$B$14)) + (VERI_TABANI!D25*C337*(VERI_TABANI!$B$13-VERI_TABANI!$B$15)) + IF(ISNUMBER(SEARCH("Var", D337)), VERI_TABANI!F25*(0.00202-VERI_TABANI!$B$16), IF(ISNUMBER(SEARCH("Gri", D337)), VERI_TABANI!F25*(0.00202-VERI_TABANI!$B$17), 0))) + ((VERI_TABANI!D26*B337*(VERI_TABANI!$B$13-VERI_TABANI!$B$14)) + (VERI_TABANI!D26*C337*(VERI_TABANI!$B$13-VERI_TABANI!$B$15)) + IF(ISNUMBER(SEARCH("Var", D337)), VERI_TABANI!F26*(0.00202-VERI_TABANI!$B$16), IF(ISNUMBER(SEARCH("Gri", D337)), VERI_TABANI!F26*(0.00202-VERI_TABANI!$B$17), 0))) + ((VERI_TABANI!D27*B337*(VERI_TABANI!$B$13-VERI_TABANI!$B$14)) + (VERI_TABANI!D27*C337*(VERI_TABANI!$B$13-VERI_TABANI!$B$15)) + IF(ISNUMBER(SEARCH("Var", D337)), VERI_TABANI!F27*(0.00202-VERI_TABANI!$B$16), IF(ISNUMBER(SEARCH("Gri", D337)), VERI_TABANI!F27*(0.00202-VERI_TABANI!$B$17), 0))) + ((VERI_TABANI!D28*B337*(VERI_TABANI!$B$13-VERI_TABANI!$B$14)) + (VERI_TABANI!D28*C337*(VERI_TABANI!$B$13-VERI_TABANI!$B$15)) + IF(ISNUMBER(SEARCH("Var", D337)), VERI_TABANI!F28*(0.00202-VERI_TABANI!$B$16), IF(ISNUMBER(SEARCH("Gri", D337)), VERI_TABANI!F28*(0.00202-VERI_TABANI!$B$17), 0))))</f>
        <v/>
      </c>
      <c r="I337" s="170">
        <f>IFERROR(((VERI_TABANI!$D$29*B337*VERI_TABANI!$B$14 + VERI_TABANI!$D$29*C337*VERI_TABANI!$B$15 + IF(ISNUMBER(SEARCH("Var", D337)), VERI_TABANI!$F$29*VERI_TABANI!$B$16, 0))) / (((VERI_TABANI!$D$29*B337 + VERI_TABANI!$D$29*C337)*VERI_TABANI!$B$13 + IF(ISNUMBER(SEARCH("Var", D337)), VERI_TABANI!$E$29*(1-0.928)*VERI_TABANI!$B$18, 0))), 0)</f>
        <v/>
      </c>
      <c r="J337" s="171">
        <f>IFERROR(F337/(G337/29), 0)</f>
        <v/>
      </c>
      <c r="K337" s="172">
        <f>IF(F337&gt;0, H337/F337, 0)</f>
        <v/>
      </c>
      <c r="L337" s="170">
        <f>IF(F337&gt;0, I337, 1000000000)</f>
        <v/>
      </c>
      <c r="M337" s="171">
        <f>ABS((B337+C337)-1)</f>
        <v/>
      </c>
      <c r="N337" s="170">
        <f>IF(F337&gt;0, (G337/29)/F337, 0)</f>
        <v/>
      </c>
      <c r="O337" s="168">
        <f>IF(AND((B337+C337)&gt;=1, ISNUMBER(SEARCH("Var", D337))), F337, 1000000000)</f>
        <v/>
      </c>
      <c r="P337" s="172">
        <f>IF(F337&gt;0, SQRT((F337/MAX(F$5:F$886))^2 + (1 - H337/MAX(H$5:H$886))^2 + (J337/MAX(J$5:J$886))^2), 1000000000)</f>
        <v/>
      </c>
      <c r="Q337" s="166">
        <f>IF(AND(ABS(B337-0.5)&lt;0.01, ABS(C337-0.5)&lt;0.01, ISNUMBER(SEARCH("Var", D337))), 1, 0)</f>
        <v/>
      </c>
      <c r="R337" s="171">
        <f>IF(F337&gt;0, J337, 1000000000)</f>
        <v/>
      </c>
      <c r="S337" s="101">
        <f>IF(AND(F337&lt;=DASHBOARD!$B$11, H337&gt;=DASHBOARD!$B$13), G337, -1000000000000)</f>
        <v/>
      </c>
      <c r="T337" s="101">
        <f>IF(AND(F337&lt;=DASHBOARD!$B$11, H337&gt;=DASHBOARD!$B$13), R337, 1000000000000)</f>
        <v/>
      </c>
      <c r="U337" s="101">
        <f>IF(AND(F337&lt;=DASHBOARD!$B$11, H337&gt;=DASHBOARD!$B$13), N337, -1000000000000)</f>
        <v/>
      </c>
      <c r="V337" s="101">
        <f>IF(AND(F337&lt;=DASHBOARD!$B$11, H337&gt;=DASHBOARD!$B$13), H337, -1000000000000)</f>
        <v/>
      </c>
      <c r="W337" s="101">
        <f>IF(AND(F337&lt;=DASHBOARD!$B$11, H337&gt;=DASHBOARD!$B$13), K337, -1000000000000)</f>
        <v/>
      </c>
      <c r="X337" s="101">
        <f>IF(AND(F337&lt;=DASHBOARD!$B$11, H337&gt;=DASHBOARD!$B$13), M337, 1000000000000)</f>
        <v/>
      </c>
      <c r="Y337" s="101">
        <f>IF(AND(F337&lt;=DASHBOARD!$B$10, H337&gt;=DASHBOARD!$B$11), L337, 1000000000000)</f>
        <v/>
      </c>
      <c r="Z337" s="101">
        <f>IF(AND(F337&lt;=DASHBOARD!$B$10, H337&gt;=DASHBOARD!$B$11), O337, 1000000000000)</f>
        <v/>
      </c>
      <c r="AA337" s="101">
        <f>IF(AND(F337&lt;=DASHBOARD!$B$10, H337&gt;=DASHBOARD!$B$11), P337, 1000000000000)</f>
        <v/>
      </c>
      <c r="AB337" s="101">
        <f>IF(AND(F337&lt;=DASHBOARD!$B$10, H337&gt;=DASHBOARD!$B$11), Q337, -1000000000000)</f>
        <v/>
      </c>
    </row>
    <row r="338" ht="15" customHeight="1" s="102">
      <c r="A338" s="166" t="n">
        <v>334</v>
      </c>
      <c r="B338" s="167" t="n">
        <v>0.7</v>
      </c>
      <c r="C338" s="167" t="n">
        <v>1.9</v>
      </c>
      <c r="D338" s="110" t="inlineStr">
        <is>
          <t>Var (%20)</t>
        </is>
      </c>
      <c r="E338" s="110">
        <f>IF((B338+C338)&lt;=1, "Tam Mahsuplaşma (≤%100)", "Kısmi Satış (&gt;%100)")</f>
        <v/>
      </c>
      <c r="F338" s="168">
        <f>((VERI_TABANI!$D$29*B338/VERI_TABANI!$B$29)/VERI_TABANI!$B$3)*VERI_TABANI!$B$5 + ((VERI_TABANI!$D$29*C338/VERI_TABANI!$B$29)/VERI_TABANI!$B$4)*VERI_TABANI!$B$6 + IF(ISNUMBER(SEARCH("Var", D338)), (VERI_TABANI!$F$29/VERI_TABANI!$B$29)*(VERI_TABANI!$B$10+VERI_TABANI!$B$12), 0)</f>
        <v/>
      </c>
      <c r="G338" s="168">
        <f>(((MIN(VERI_TABANI!D23, VERI_TABANI!D23*B338)*VERI_TABANI!$B$7 + MAX(0, VERI_TABANI!D23*B338-VERI_TABANI!D23)*VERI_TABANI!$B$8) + (MIN(MAX(0, VERI_TABANI!D23-VERI_TABANI!D23*B338), VERI_TABANI!D23*C338)*VERI_TABANI!$B$7 + MAX(0, VERI_TABANI!D23*C338-MAX(0, VERI_TABANI!D23-VERI_TABANI!D23*B338))*VERI_TABANI!$B$8) + IF(ABS(IF(ISNUMBER(SEARCH("Var", D338)), 1, IF(ISNUMBER(SEARCH("Gri", D338)), -1, 0)))=1, VERI_TABANI!E23*(1-0.928)*VERI_TABANI!$B$9, 0) + (VERI_TABANI!D23*B338*(VERI_TABANI!$B$13-VERI_TABANI!$B$14)*VERI_TABANI!G23) + (VERI_TABANI!D23*C338*(VERI_TABANI!$B$13-VERI_TABANI!$B$15)*VERI_TABANI!G23) + IF(ABS(IF(ISNUMBER(SEARCH("Var", D338)), 1, IF(ISNUMBER(SEARCH("Gri", D338)), -1, 0)))=1, VERI_TABANI!E23*(1-0.928)*0.00206091519919798*VERI_TABANI!G23, 0)) + ((MIN(VERI_TABANI!D24, VERI_TABANI!D24*B338)*VERI_TABANI!$B$7 + MAX(0, VERI_TABANI!D24*B338-VERI_TABANI!D24)*VERI_TABANI!$B$8) + (MIN(MAX(0, VERI_TABANI!D24-VERI_TABANI!D24*B338), VERI_TABANI!D24*C338)*VERI_TABANI!$B$7 + MAX(0, VERI_TABANI!D24*C338-MAX(0, VERI_TABANI!D24-VERI_TABANI!D24*B338))*VERI_TABANI!$B$8) + IF(ABS(IF(ISNUMBER(SEARCH("Var", D338)), 1, IF(ISNUMBER(SEARCH("Gri", D338)), -1, 0)))=1, VERI_TABANI!E24*(1-0.928)*VERI_TABANI!$B$9, 0) + (VERI_TABANI!D24*B338*(VERI_TABANI!$B$13-VERI_TABANI!$B$14)*VERI_TABANI!G24) + (VERI_TABANI!D24*C338*(VERI_TABANI!$B$13-VERI_TABANI!$B$15)*VERI_TABANI!G24) + IF(ABS(IF(ISNUMBER(SEARCH("Var", D338)), 1, IF(ISNUMBER(SEARCH("Gri", D338)), -1, 0)))=1, VERI_TABANI!E24*(1-0.928)*0.00206091519919798*VERI_TABANI!G24, 0)) + ((MIN(VERI_TABANI!D25, VERI_TABANI!D25*B338)*VERI_TABANI!$B$7 + MAX(0, VERI_TABANI!D25*B338-VERI_TABANI!D25)*VERI_TABANI!$B$8) + (MIN(MAX(0, VERI_TABANI!D25-VERI_TABANI!D25*B338), VERI_TABANI!D25*C338)*VERI_TABANI!$B$7 + MAX(0, VERI_TABANI!D25*C338-MAX(0, VERI_TABANI!D25-VERI_TABANI!D25*B338))*VERI_TABANI!$B$8) + IF(ABS(IF(ISNUMBER(SEARCH("Var", D338)), 1, IF(ISNUMBER(SEARCH("Gri", D338)), -1, 0)))=1, VERI_TABANI!E25*(1-0.928)*VERI_TABANI!$B$9, 0) + (VERI_TABANI!D25*B338*(VERI_TABANI!$B$13-VERI_TABANI!$B$14)*VERI_TABANI!G25) + (VERI_TABANI!D25*C338*(VERI_TABANI!$B$13-VERI_TABANI!$B$15)*VERI_TABANI!G25) + IF(ABS(IF(ISNUMBER(SEARCH("Var", D338)), 1, IF(ISNUMBER(SEARCH("Gri", D338)), -1, 0)))=1, VERI_TABANI!E25*(1-0.928)*0.00206091519919798*VERI_TABANI!G25, 0)) + ((MIN(VERI_TABANI!D26, VERI_TABANI!D26*B338)*VERI_TABANI!$B$7 + MAX(0, VERI_TABANI!D26*B338-VERI_TABANI!D26)*VERI_TABANI!$B$8) + (MIN(MAX(0, VERI_TABANI!D26-VERI_TABANI!D26*B338), VERI_TABANI!D26*C338)*VERI_TABANI!$B$7 + MAX(0, VERI_TABANI!D26*C338-MAX(0, VERI_TABANI!D26-VERI_TABANI!D26*B338))*VERI_TABANI!$B$8) + IF(ABS(IF(ISNUMBER(SEARCH("Var", D338)), 1, IF(ISNUMBER(SEARCH("Gri", D338)), -1, 0)))=1, VERI_TABANI!E26*(1-0.928)*VERI_TABANI!$B$9, 0) + (VERI_TABANI!D26*B338*(VERI_TABANI!$B$13-VERI_TABANI!$B$14)*VERI_TABANI!G26) + (VERI_TABANI!D26*C338*(VERI_TABANI!$B$13-VERI_TABANI!$B$15)*VERI_TABANI!G26) + IF(ABS(IF(ISNUMBER(SEARCH("Var", D338)), 1, IF(ISNUMBER(SEARCH("Gri", D338)), -1, 0)))=1, VERI_TABANI!E26*(1-0.928)*0.00206091519919798*VERI_TABANI!G26, 0)) + ((MIN(VERI_TABANI!D27, VERI_TABANI!D27*B338)*VERI_TABANI!$B$7 + MAX(0, VERI_TABANI!D27*B338-VERI_TABANI!D27)*VERI_TABANI!$B$8) + (MIN(MAX(0, VERI_TABANI!D27-VERI_TABANI!D27*B338), VERI_TABANI!D27*C338)*VERI_TABANI!$B$7 + MAX(0, VERI_TABANI!D27*C338-MAX(0, VERI_TABANI!D27-VERI_TABANI!D27*B338))*VERI_TABANI!$B$8) + IF(ABS(IF(ISNUMBER(SEARCH("Var", D338)), 1, IF(ISNUMBER(SEARCH("Gri", D338)), -1, 0)))=1, VERI_TABANI!E27*(1-0.928)*VERI_TABANI!$B$9, 0) + (VERI_TABANI!D27*B338*(VERI_TABANI!$B$13-VERI_TABANI!$B$14)*VERI_TABANI!G27) + (VERI_TABANI!D27*C338*(VERI_TABANI!$B$13-VERI_TABANI!$B$15)*VERI_TABANI!G27) + IF(ABS(IF(ISNUMBER(SEARCH("Var", D338)), 1, IF(ISNUMBER(SEARCH("Gri", D338)), -1, 0)))=1, VERI_TABANI!E27*(1-0.928)*0.00206091519919798*VERI_TABANI!G27, 0)) + ((MIN(VERI_TABANI!D28, VERI_TABANI!D28*B338)*VERI_TABANI!$B$7 + MAX(0, VERI_TABANI!D28*B338-VERI_TABANI!D28)*VERI_TABANI!$B$8) + (MIN(MAX(0, VERI_TABANI!D28-VERI_TABANI!D28*B338), VERI_TABANI!D28*C338)*VERI_TABANI!$B$7 + MAX(0, VERI_TABANI!D28*C338-MAX(0, VERI_TABANI!D28-VERI_TABANI!D28*B338))*VERI_TABANI!$B$8) + IF(ABS(IF(ISNUMBER(SEARCH("Var", D338)), 1, IF(ISNUMBER(SEARCH("Gri", D338)), -1, 0)))=1, VERI_TABANI!E28*(1-0.928)*VERI_TABANI!$B$9, 0) + (VERI_TABANI!D28*B338*(VERI_TABANI!$B$13-VERI_TABANI!$B$14)*VERI_TABANI!G28) + (VERI_TABANI!D28*C338*(VERI_TABANI!$B$13-VERI_TABANI!$B$15)*VERI_TABANI!G28) + IF(ABS(IF(ISNUMBER(SEARCH("Var", D338)), 1, IF(ISNUMBER(SEARCH("Gri", D338)), -1, 0)))=1, VERI_TABANI!E28*(1-0.928)*0.00206091519919798*VERI_TABANI!G28, 0)))</f>
        <v/>
      </c>
      <c r="H338" s="169">
        <f>(((VERI_TABANI!D23*B338*(VERI_TABANI!$B$13-VERI_TABANI!$B$14)) + (VERI_TABANI!D23*C338*(VERI_TABANI!$B$13-VERI_TABANI!$B$15)) + IF(ISNUMBER(SEARCH("Var", D338)), VERI_TABANI!F23*(0.00202-VERI_TABANI!$B$16), IF(ISNUMBER(SEARCH("Gri", D338)), VERI_TABANI!F23*(0.00202-VERI_TABANI!$B$17), 0))) + ((VERI_TABANI!D24*B338*(VERI_TABANI!$B$13-VERI_TABANI!$B$14)) + (VERI_TABANI!D24*C338*(VERI_TABANI!$B$13-VERI_TABANI!$B$15)) + IF(ISNUMBER(SEARCH("Var", D338)), VERI_TABANI!F24*(0.00202-VERI_TABANI!$B$16), IF(ISNUMBER(SEARCH("Gri", D338)), VERI_TABANI!F24*(0.00202-VERI_TABANI!$B$17), 0))) + ((VERI_TABANI!D25*B338*(VERI_TABANI!$B$13-VERI_TABANI!$B$14)) + (VERI_TABANI!D25*C338*(VERI_TABANI!$B$13-VERI_TABANI!$B$15)) + IF(ISNUMBER(SEARCH("Var", D338)), VERI_TABANI!F25*(0.00202-VERI_TABANI!$B$16), IF(ISNUMBER(SEARCH("Gri", D338)), VERI_TABANI!F25*(0.00202-VERI_TABANI!$B$17), 0))) + ((VERI_TABANI!D26*B338*(VERI_TABANI!$B$13-VERI_TABANI!$B$14)) + (VERI_TABANI!D26*C338*(VERI_TABANI!$B$13-VERI_TABANI!$B$15)) + IF(ISNUMBER(SEARCH("Var", D338)), VERI_TABANI!F26*(0.00202-VERI_TABANI!$B$16), IF(ISNUMBER(SEARCH("Gri", D338)), VERI_TABANI!F26*(0.00202-VERI_TABANI!$B$17), 0))) + ((VERI_TABANI!D27*B338*(VERI_TABANI!$B$13-VERI_TABANI!$B$14)) + (VERI_TABANI!D27*C338*(VERI_TABANI!$B$13-VERI_TABANI!$B$15)) + IF(ISNUMBER(SEARCH("Var", D338)), VERI_TABANI!F27*(0.00202-VERI_TABANI!$B$16), IF(ISNUMBER(SEARCH("Gri", D338)), VERI_TABANI!F27*(0.00202-VERI_TABANI!$B$17), 0))) + ((VERI_TABANI!D28*B338*(VERI_TABANI!$B$13-VERI_TABANI!$B$14)) + (VERI_TABANI!D28*C338*(VERI_TABANI!$B$13-VERI_TABANI!$B$15)) + IF(ISNUMBER(SEARCH("Var", D338)), VERI_TABANI!F28*(0.00202-VERI_TABANI!$B$16), IF(ISNUMBER(SEARCH("Gri", D338)), VERI_TABANI!F28*(0.00202-VERI_TABANI!$B$17), 0))))</f>
        <v/>
      </c>
      <c r="I338" s="170">
        <f>IFERROR(((VERI_TABANI!$D$29*B338*VERI_TABANI!$B$14 + VERI_TABANI!$D$29*C338*VERI_TABANI!$B$15 + IF(ISNUMBER(SEARCH("Var", D338)), VERI_TABANI!$F$29*VERI_TABANI!$B$16, 0))) / (((VERI_TABANI!$D$29*B338 + VERI_TABANI!$D$29*C338)*VERI_TABANI!$B$13 + IF(ISNUMBER(SEARCH("Var", D338)), VERI_TABANI!$E$29*(1-0.928)*VERI_TABANI!$B$18, 0))), 0)</f>
        <v/>
      </c>
      <c r="J338" s="171">
        <f>IFERROR(F338/(G338/29), 0)</f>
        <v/>
      </c>
      <c r="K338" s="172">
        <f>IF(F338&gt;0, H338/F338, 0)</f>
        <v/>
      </c>
      <c r="L338" s="170">
        <f>IF(F338&gt;0, I338, 1000000000)</f>
        <v/>
      </c>
      <c r="M338" s="171">
        <f>ABS((B338+C338)-1)</f>
        <v/>
      </c>
      <c r="N338" s="170">
        <f>IF(F338&gt;0, (G338/29)/F338, 0)</f>
        <v/>
      </c>
      <c r="O338" s="168">
        <f>IF(AND((B338+C338)&gt;=1, ISNUMBER(SEARCH("Var", D338))), F338, 1000000000)</f>
        <v/>
      </c>
      <c r="P338" s="172">
        <f>IF(F338&gt;0, SQRT((F338/MAX(F$5:F$886))^2 + (1 - H338/MAX(H$5:H$886))^2 + (J338/MAX(J$5:J$886))^2), 1000000000)</f>
        <v/>
      </c>
      <c r="Q338" s="166">
        <f>IF(AND(ABS(B338-0.5)&lt;0.01, ABS(C338-0.5)&lt;0.01, ISNUMBER(SEARCH("Var", D338))), 1, 0)</f>
        <v/>
      </c>
      <c r="R338" s="171">
        <f>IF(F338&gt;0, J338, 1000000000)</f>
        <v/>
      </c>
      <c r="S338" s="101">
        <f>IF(AND(F338&lt;=DASHBOARD!$B$11, H338&gt;=DASHBOARD!$B$13), G338, -1000000000000)</f>
        <v/>
      </c>
      <c r="T338" s="101">
        <f>IF(AND(F338&lt;=DASHBOARD!$B$11, H338&gt;=DASHBOARD!$B$13), R338, 1000000000000)</f>
        <v/>
      </c>
      <c r="U338" s="101">
        <f>IF(AND(F338&lt;=DASHBOARD!$B$11, H338&gt;=DASHBOARD!$B$13), N338, -1000000000000)</f>
        <v/>
      </c>
      <c r="V338" s="101">
        <f>IF(AND(F338&lt;=DASHBOARD!$B$11, H338&gt;=DASHBOARD!$B$13), H338, -1000000000000)</f>
        <v/>
      </c>
      <c r="W338" s="101">
        <f>IF(AND(F338&lt;=DASHBOARD!$B$11, H338&gt;=DASHBOARD!$B$13), K338, -1000000000000)</f>
        <v/>
      </c>
      <c r="X338" s="101">
        <f>IF(AND(F338&lt;=DASHBOARD!$B$11, H338&gt;=DASHBOARD!$B$13), M338, 1000000000000)</f>
        <v/>
      </c>
      <c r="Y338" s="101">
        <f>IF(AND(F338&lt;=DASHBOARD!$B$10, H338&gt;=DASHBOARD!$B$11), L338, 1000000000000)</f>
        <v/>
      </c>
      <c r="Z338" s="101">
        <f>IF(AND(F338&lt;=DASHBOARD!$B$10, H338&gt;=DASHBOARD!$B$11), O338, 1000000000000)</f>
        <v/>
      </c>
      <c r="AA338" s="101">
        <f>IF(AND(F338&lt;=DASHBOARD!$B$10, H338&gt;=DASHBOARD!$B$11), P338, 1000000000000)</f>
        <v/>
      </c>
      <c r="AB338" s="101">
        <f>IF(AND(F338&lt;=DASHBOARD!$B$10, H338&gt;=DASHBOARD!$B$11), Q338, -1000000000000)</f>
        <v/>
      </c>
    </row>
    <row r="339" ht="15" customHeight="1" s="102">
      <c r="A339" s="166" t="n">
        <v>335</v>
      </c>
      <c r="B339" s="167" t="n">
        <v>0.7</v>
      </c>
      <c r="C339" s="167" t="n">
        <v>2</v>
      </c>
      <c r="D339" s="110" t="inlineStr">
        <is>
          <t>Yok (%0)</t>
        </is>
      </c>
      <c r="E339" s="110">
        <f>IF((B339+C339)&lt;=1, "Tam Mahsuplaşma (≤%100)", "Kısmi Satış (&gt;%100)")</f>
        <v/>
      </c>
      <c r="F339" s="168">
        <f>((VERI_TABANI!$D$29*B339/VERI_TABANI!$B$29)/VERI_TABANI!$B$3)*VERI_TABANI!$B$5 + ((VERI_TABANI!$D$29*C339/VERI_TABANI!$B$29)/VERI_TABANI!$B$4)*VERI_TABANI!$B$6 + IF(ISNUMBER(SEARCH("Var", D339)), (VERI_TABANI!$F$29/VERI_TABANI!$B$29)*(VERI_TABANI!$B$10+VERI_TABANI!$B$12), 0)</f>
        <v/>
      </c>
      <c r="G339" s="168">
        <f>(((MIN(VERI_TABANI!D23, VERI_TABANI!D23*B339)*VERI_TABANI!$B$7 + MAX(0, VERI_TABANI!D23*B339-VERI_TABANI!D23)*VERI_TABANI!$B$8) + (MIN(MAX(0, VERI_TABANI!D23-VERI_TABANI!D23*B339), VERI_TABANI!D23*C339)*VERI_TABANI!$B$7 + MAX(0, VERI_TABANI!D23*C339-MAX(0, VERI_TABANI!D23-VERI_TABANI!D23*B339))*VERI_TABANI!$B$8) + IF(ABS(IF(ISNUMBER(SEARCH("Var", D339)), 1, IF(ISNUMBER(SEARCH("Gri", D339)), -1, 0)))=1, VERI_TABANI!E23*(1-0.928)*VERI_TABANI!$B$9, 0) + (VERI_TABANI!D23*B339*(VERI_TABANI!$B$13-VERI_TABANI!$B$14)*VERI_TABANI!G23) + (VERI_TABANI!D23*C339*(VERI_TABANI!$B$13-VERI_TABANI!$B$15)*VERI_TABANI!G23) + IF(ABS(IF(ISNUMBER(SEARCH("Var", D339)), 1, IF(ISNUMBER(SEARCH("Gri", D339)), -1, 0)))=1, VERI_TABANI!E23*(1-0.928)*0.00206091519919798*VERI_TABANI!G23, 0)) + ((MIN(VERI_TABANI!D24, VERI_TABANI!D24*B339)*VERI_TABANI!$B$7 + MAX(0, VERI_TABANI!D24*B339-VERI_TABANI!D24)*VERI_TABANI!$B$8) + (MIN(MAX(0, VERI_TABANI!D24-VERI_TABANI!D24*B339), VERI_TABANI!D24*C339)*VERI_TABANI!$B$7 + MAX(0, VERI_TABANI!D24*C339-MAX(0, VERI_TABANI!D24-VERI_TABANI!D24*B339))*VERI_TABANI!$B$8) + IF(ABS(IF(ISNUMBER(SEARCH("Var", D339)), 1, IF(ISNUMBER(SEARCH("Gri", D339)), -1, 0)))=1, VERI_TABANI!E24*(1-0.928)*VERI_TABANI!$B$9, 0) + (VERI_TABANI!D24*B339*(VERI_TABANI!$B$13-VERI_TABANI!$B$14)*VERI_TABANI!G24) + (VERI_TABANI!D24*C339*(VERI_TABANI!$B$13-VERI_TABANI!$B$15)*VERI_TABANI!G24) + IF(ABS(IF(ISNUMBER(SEARCH("Var", D339)), 1, IF(ISNUMBER(SEARCH("Gri", D339)), -1, 0)))=1, VERI_TABANI!E24*(1-0.928)*0.00206091519919798*VERI_TABANI!G24, 0)) + ((MIN(VERI_TABANI!D25, VERI_TABANI!D25*B339)*VERI_TABANI!$B$7 + MAX(0, VERI_TABANI!D25*B339-VERI_TABANI!D25)*VERI_TABANI!$B$8) + (MIN(MAX(0, VERI_TABANI!D25-VERI_TABANI!D25*B339), VERI_TABANI!D25*C339)*VERI_TABANI!$B$7 + MAX(0, VERI_TABANI!D25*C339-MAX(0, VERI_TABANI!D25-VERI_TABANI!D25*B339))*VERI_TABANI!$B$8) + IF(ABS(IF(ISNUMBER(SEARCH("Var", D339)), 1, IF(ISNUMBER(SEARCH("Gri", D339)), -1, 0)))=1, VERI_TABANI!E25*(1-0.928)*VERI_TABANI!$B$9, 0) + (VERI_TABANI!D25*B339*(VERI_TABANI!$B$13-VERI_TABANI!$B$14)*VERI_TABANI!G25) + (VERI_TABANI!D25*C339*(VERI_TABANI!$B$13-VERI_TABANI!$B$15)*VERI_TABANI!G25) + IF(ABS(IF(ISNUMBER(SEARCH("Var", D339)), 1, IF(ISNUMBER(SEARCH("Gri", D339)), -1, 0)))=1, VERI_TABANI!E25*(1-0.928)*0.00206091519919798*VERI_TABANI!G25, 0)) + ((MIN(VERI_TABANI!D26, VERI_TABANI!D26*B339)*VERI_TABANI!$B$7 + MAX(0, VERI_TABANI!D26*B339-VERI_TABANI!D26)*VERI_TABANI!$B$8) + (MIN(MAX(0, VERI_TABANI!D26-VERI_TABANI!D26*B339), VERI_TABANI!D26*C339)*VERI_TABANI!$B$7 + MAX(0, VERI_TABANI!D26*C339-MAX(0, VERI_TABANI!D26-VERI_TABANI!D26*B339))*VERI_TABANI!$B$8) + IF(ABS(IF(ISNUMBER(SEARCH("Var", D339)), 1, IF(ISNUMBER(SEARCH("Gri", D339)), -1, 0)))=1, VERI_TABANI!E26*(1-0.928)*VERI_TABANI!$B$9, 0) + (VERI_TABANI!D26*B339*(VERI_TABANI!$B$13-VERI_TABANI!$B$14)*VERI_TABANI!G26) + (VERI_TABANI!D26*C339*(VERI_TABANI!$B$13-VERI_TABANI!$B$15)*VERI_TABANI!G26) + IF(ABS(IF(ISNUMBER(SEARCH("Var", D339)), 1, IF(ISNUMBER(SEARCH("Gri", D339)), -1, 0)))=1, VERI_TABANI!E26*(1-0.928)*0.00206091519919798*VERI_TABANI!G26, 0)) + ((MIN(VERI_TABANI!D27, VERI_TABANI!D27*B339)*VERI_TABANI!$B$7 + MAX(0, VERI_TABANI!D27*B339-VERI_TABANI!D27)*VERI_TABANI!$B$8) + (MIN(MAX(0, VERI_TABANI!D27-VERI_TABANI!D27*B339), VERI_TABANI!D27*C339)*VERI_TABANI!$B$7 + MAX(0, VERI_TABANI!D27*C339-MAX(0, VERI_TABANI!D27-VERI_TABANI!D27*B339))*VERI_TABANI!$B$8) + IF(ABS(IF(ISNUMBER(SEARCH("Var", D339)), 1, IF(ISNUMBER(SEARCH("Gri", D339)), -1, 0)))=1, VERI_TABANI!E27*(1-0.928)*VERI_TABANI!$B$9, 0) + (VERI_TABANI!D27*B339*(VERI_TABANI!$B$13-VERI_TABANI!$B$14)*VERI_TABANI!G27) + (VERI_TABANI!D27*C339*(VERI_TABANI!$B$13-VERI_TABANI!$B$15)*VERI_TABANI!G27) + IF(ABS(IF(ISNUMBER(SEARCH("Var", D339)), 1, IF(ISNUMBER(SEARCH("Gri", D339)), -1, 0)))=1, VERI_TABANI!E27*(1-0.928)*0.00206091519919798*VERI_TABANI!G27, 0)) + ((MIN(VERI_TABANI!D28, VERI_TABANI!D28*B339)*VERI_TABANI!$B$7 + MAX(0, VERI_TABANI!D28*B339-VERI_TABANI!D28)*VERI_TABANI!$B$8) + (MIN(MAX(0, VERI_TABANI!D28-VERI_TABANI!D28*B339), VERI_TABANI!D28*C339)*VERI_TABANI!$B$7 + MAX(0, VERI_TABANI!D28*C339-MAX(0, VERI_TABANI!D28-VERI_TABANI!D28*B339))*VERI_TABANI!$B$8) + IF(ABS(IF(ISNUMBER(SEARCH("Var", D339)), 1, IF(ISNUMBER(SEARCH("Gri", D339)), -1, 0)))=1, VERI_TABANI!E28*(1-0.928)*VERI_TABANI!$B$9, 0) + (VERI_TABANI!D28*B339*(VERI_TABANI!$B$13-VERI_TABANI!$B$14)*VERI_TABANI!G28) + (VERI_TABANI!D28*C339*(VERI_TABANI!$B$13-VERI_TABANI!$B$15)*VERI_TABANI!G28) + IF(ABS(IF(ISNUMBER(SEARCH("Var", D339)), 1, IF(ISNUMBER(SEARCH("Gri", D339)), -1, 0)))=1, VERI_TABANI!E28*(1-0.928)*0.00206091519919798*VERI_TABANI!G28, 0)))</f>
        <v/>
      </c>
      <c r="H339" s="169">
        <f>(((VERI_TABANI!D23*B339*(VERI_TABANI!$B$13-VERI_TABANI!$B$14)) + (VERI_TABANI!D23*C339*(VERI_TABANI!$B$13-VERI_TABANI!$B$15)) + IF(ISNUMBER(SEARCH("Var", D339)), VERI_TABANI!F23*(0.00202-VERI_TABANI!$B$16), IF(ISNUMBER(SEARCH("Gri", D339)), VERI_TABANI!F23*(0.00202-VERI_TABANI!$B$17), 0))) + ((VERI_TABANI!D24*B339*(VERI_TABANI!$B$13-VERI_TABANI!$B$14)) + (VERI_TABANI!D24*C339*(VERI_TABANI!$B$13-VERI_TABANI!$B$15)) + IF(ISNUMBER(SEARCH("Var", D339)), VERI_TABANI!F24*(0.00202-VERI_TABANI!$B$16), IF(ISNUMBER(SEARCH("Gri", D339)), VERI_TABANI!F24*(0.00202-VERI_TABANI!$B$17), 0))) + ((VERI_TABANI!D25*B339*(VERI_TABANI!$B$13-VERI_TABANI!$B$14)) + (VERI_TABANI!D25*C339*(VERI_TABANI!$B$13-VERI_TABANI!$B$15)) + IF(ISNUMBER(SEARCH("Var", D339)), VERI_TABANI!F25*(0.00202-VERI_TABANI!$B$16), IF(ISNUMBER(SEARCH("Gri", D339)), VERI_TABANI!F25*(0.00202-VERI_TABANI!$B$17), 0))) + ((VERI_TABANI!D26*B339*(VERI_TABANI!$B$13-VERI_TABANI!$B$14)) + (VERI_TABANI!D26*C339*(VERI_TABANI!$B$13-VERI_TABANI!$B$15)) + IF(ISNUMBER(SEARCH("Var", D339)), VERI_TABANI!F26*(0.00202-VERI_TABANI!$B$16), IF(ISNUMBER(SEARCH("Gri", D339)), VERI_TABANI!F26*(0.00202-VERI_TABANI!$B$17), 0))) + ((VERI_TABANI!D27*B339*(VERI_TABANI!$B$13-VERI_TABANI!$B$14)) + (VERI_TABANI!D27*C339*(VERI_TABANI!$B$13-VERI_TABANI!$B$15)) + IF(ISNUMBER(SEARCH("Var", D339)), VERI_TABANI!F27*(0.00202-VERI_TABANI!$B$16), IF(ISNUMBER(SEARCH("Gri", D339)), VERI_TABANI!F27*(0.00202-VERI_TABANI!$B$17), 0))) + ((VERI_TABANI!D28*B339*(VERI_TABANI!$B$13-VERI_TABANI!$B$14)) + (VERI_TABANI!D28*C339*(VERI_TABANI!$B$13-VERI_TABANI!$B$15)) + IF(ISNUMBER(SEARCH("Var", D339)), VERI_TABANI!F28*(0.00202-VERI_TABANI!$B$16), IF(ISNUMBER(SEARCH("Gri", D339)), VERI_TABANI!F28*(0.00202-VERI_TABANI!$B$17), 0))))</f>
        <v/>
      </c>
      <c r="I339" s="170">
        <f>IFERROR(((VERI_TABANI!$D$29*B339*VERI_TABANI!$B$14 + VERI_TABANI!$D$29*C339*VERI_TABANI!$B$15 + IF(ISNUMBER(SEARCH("Var", D339)), VERI_TABANI!$F$29*VERI_TABANI!$B$16, 0))) / (((VERI_TABANI!$D$29*B339 + VERI_TABANI!$D$29*C339)*VERI_TABANI!$B$13 + IF(ISNUMBER(SEARCH("Var", D339)), VERI_TABANI!$E$29*(1-0.928)*VERI_TABANI!$B$18, 0))), 0)</f>
        <v/>
      </c>
      <c r="J339" s="171">
        <f>IFERROR(F339/(G339/29), 0)</f>
        <v/>
      </c>
      <c r="K339" s="172">
        <f>IF(F339&gt;0, H339/F339, 0)</f>
        <v/>
      </c>
      <c r="L339" s="170">
        <f>IF(F339&gt;0, I339, 1000000000)</f>
        <v/>
      </c>
      <c r="M339" s="171">
        <f>ABS((B339+C339)-1)</f>
        <v/>
      </c>
      <c r="N339" s="170">
        <f>IF(F339&gt;0, (G339/29)/F339, 0)</f>
        <v/>
      </c>
      <c r="O339" s="168">
        <f>IF(AND((B339+C339)&gt;=1, ISNUMBER(SEARCH("Var", D339))), F339, 1000000000)</f>
        <v/>
      </c>
      <c r="P339" s="172">
        <f>IF(F339&gt;0, SQRT((F339/MAX(F$5:F$886))^2 + (1 - H339/MAX(H$5:H$886))^2 + (J339/MAX(J$5:J$886))^2), 1000000000)</f>
        <v/>
      </c>
      <c r="Q339" s="166">
        <f>IF(AND(ABS(B339-0.5)&lt;0.01, ABS(C339-0.5)&lt;0.01, ISNUMBER(SEARCH("Var", D339))), 1, 0)</f>
        <v/>
      </c>
      <c r="R339" s="171">
        <f>IF(F339&gt;0, J339, 1000000000)</f>
        <v/>
      </c>
      <c r="S339" s="101">
        <f>IF(AND(F339&lt;=DASHBOARD!$B$11, H339&gt;=DASHBOARD!$B$13), G339, -1000000000000)</f>
        <v/>
      </c>
      <c r="T339" s="101">
        <f>IF(AND(F339&lt;=DASHBOARD!$B$11, H339&gt;=DASHBOARD!$B$13), R339, 1000000000000)</f>
        <v/>
      </c>
      <c r="U339" s="101">
        <f>IF(AND(F339&lt;=DASHBOARD!$B$11, H339&gt;=DASHBOARD!$B$13), N339, -1000000000000)</f>
        <v/>
      </c>
      <c r="V339" s="101">
        <f>IF(AND(F339&lt;=DASHBOARD!$B$11, H339&gt;=DASHBOARD!$B$13), H339, -1000000000000)</f>
        <v/>
      </c>
      <c r="W339" s="101">
        <f>IF(AND(F339&lt;=DASHBOARD!$B$11, H339&gt;=DASHBOARD!$B$13), K339, -1000000000000)</f>
        <v/>
      </c>
      <c r="X339" s="101">
        <f>IF(AND(F339&lt;=DASHBOARD!$B$11, H339&gt;=DASHBOARD!$B$13), M339, 1000000000000)</f>
        <v/>
      </c>
      <c r="Y339" s="101">
        <f>IF(AND(F339&lt;=DASHBOARD!$B$10, H339&gt;=DASHBOARD!$B$11), L339, 1000000000000)</f>
        <v/>
      </c>
      <c r="Z339" s="101">
        <f>IF(AND(F339&lt;=DASHBOARD!$B$10, H339&gt;=DASHBOARD!$B$11), O339, 1000000000000)</f>
        <v/>
      </c>
      <c r="AA339" s="101">
        <f>IF(AND(F339&lt;=DASHBOARD!$B$10, H339&gt;=DASHBOARD!$B$11), P339, 1000000000000)</f>
        <v/>
      </c>
      <c r="AB339" s="101">
        <f>IF(AND(F339&lt;=DASHBOARD!$B$10, H339&gt;=DASHBOARD!$B$11), Q339, -1000000000000)</f>
        <v/>
      </c>
    </row>
    <row r="340" ht="15" customHeight="1" s="102">
      <c r="A340" s="166" t="n">
        <v>336</v>
      </c>
      <c r="B340" s="167" t="n">
        <v>0.7</v>
      </c>
      <c r="C340" s="167" t="n">
        <v>2</v>
      </c>
      <c r="D340" s="110" t="inlineStr">
        <is>
          <t>Var (%20)</t>
        </is>
      </c>
      <c r="E340" s="110">
        <f>IF((B340+C340)&lt;=1, "Tam Mahsuplaşma (≤%100)", "Kısmi Satış (&gt;%100)")</f>
        <v/>
      </c>
      <c r="F340" s="168">
        <f>((VERI_TABANI!$D$29*B340/VERI_TABANI!$B$29)/VERI_TABANI!$B$3)*VERI_TABANI!$B$5 + ((VERI_TABANI!$D$29*C340/VERI_TABANI!$B$29)/VERI_TABANI!$B$4)*VERI_TABANI!$B$6 + IF(ISNUMBER(SEARCH("Var", D340)), (VERI_TABANI!$F$29/VERI_TABANI!$B$29)*(VERI_TABANI!$B$10+VERI_TABANI!$B$12), 0)</f>
        <v/>
      </c>
      <c r="G340" s="168">
        <f>(((MIN(VERI_TABANI!D23, VERI_TABANI!D23*B340)*VERI_TABANI!$B$7 + MAX(0, VERI_TABANI!D23*B340-VERI_TABANI!D23)*VERI_TABANI!$B$8) + (MIN(MAX(0, VERI_TABANI!D23-VERI_TABANI!D23*B340), VERI_TABANI!D23*C340)*VERI_TABANI!$B$7 + MAX(0, VERI_TABANI!D23*C340-MAX(0, VERI_TABANI!D23-VERI_TABANI!D23*B340))*VERI_TABANI!$B$8) + IF(ABS(IF(ISNUMBER(SEARCH("Var", D340)), 1, IF(ISNUMBER(SEARCH("Gri", D340)), -1, 0)))=1, VERI_TABANI!E23*(1-0.928)*VERI_TABANI!$B$9, 0) + (VERI_TABANI!D23*B340*(VERI_TABANI!$B$13-VERI_TABANI!$B$14)*VERI_TABANI!G23) + (VERI_TABANI!D23*C340*(VERI_TABANI!$B$13-VERI_TABANI!$B$15)*VERI_TABANI!G23) + IF(ABS(IF(ISNUMBER(SEARCH("Var", D340)), 1, IF(ISNUMBER(SEARCH("Gri", D340)), -1, 0)))=1, VERI_TABANI!E23*(1-0.928)*0.00206091519919798*VERI_TABANI!G23, 0)) + ((MIN(VERI_TABANI!D24, VERI_TABANI!D24*B340)*VERI_TABANI!$B$7 + MAX(0, VERI_TABANI!D24*B340-VERI_TABANI!D24)*VERI_TABANI!$B$8) + (MIN(MAX(0, VERI_TABANI!D24-VERI_TABANI!D24*B340), VERI_TABANI!D24*C340)*VERI_TABANI!$B$7 + MAX(0, VERI_TABANI!D24*C340-MAX(0, VERI_TABANI!D24-VERI_TABANI!D24*B340))*VERI_TABANI!$B$8) + IF(ABS(IF(ISNUMBER(SEARCH("Var", D340)), 1, IF(ISNUMBER(SEARCH("Gri", D340)), -1, 0)))=1, VERI_TABANI!E24*(1-0.928)*VERI_TABANI!$B$9, 0) + (VERI_TABANI!D24*B340*(VERI_TABANI!$B$13-VERI_TABANI!$B$14)*VERI_TABANI!G24) + (VERI_TABANI!D24*C340*(VERI_TABANI!$B$13-VERI_TABANI!$B$15)*VERI_TABANI!G24) + IF(ABS(IF(ISNUMBER(SEARCH("Var", D340)), 1, IF(ISNUMBER(SEARCH("Gri", D340)), -1, 0)))=1, VERI_TABANI!E24*(1-0.928)*0.00206091519919798*VERI_TABANI!G24, 0)) + ((MIN(VERI_TABANI!D25, VERI_TABANI!D25*B340)*VERI_TABANI!$B$7 + MAX(0, VERI_TABANI!D25*B340-VERI_TABANI!D25)*VERI_TABANI!$B$8) + (MIN(MAX(0, VERI_TABANI!D25-VERI_TABANI!D25*B340), VERI_TABANI!D25*C340)*VERI_TABANI!$B$7 + MAX(0, VERI_TABANI!D25*C340-MAX(0, VERI_TABANI!D25-VERI_TABANI!D25*B340))*VERI_TABANI!$B$8) + IF(ABS(IF(ISNUMBER(SEARCH("Var", D340)), 1, IF(ISNUMBER(SEARCH("Gri", D340)), -1, 0)))=1, VERI_TABANI!E25*(1-0.928)*VERI_TABANI!$B$9, 0) + (VERI_TABANI!D25*B340*(VERI_TABANI!$B$13-VERI_TABANI!$B$14)*VERI_TABANI!G25) + (VERI_TABANI!D25*C340*(VERI_TABANI!$B$13-VERI_TABANI!$B$15)*VERI_TABANI!G25) + IF(ABS(IF(ISNUMBER(SEARCH("Var", D340)), 1, IF(ISNUMBER(SEARCH("Gri", D340)), -1, 0)))=1, VERI_TABANI!E25*(1-0.928)*0.00206091519919798*VERI_TABANI!G25, 0)) + ((MIN(VERI_TABANI!D26, VERI_TABANI!D26*B340)*VERI_TABANI!$B$7 + MAX(0, VERI_TABANI!D26*B340-VERI_TABANI!D26)*VERI_TABANI!$B$8) + (MIN(MAX(0, VERI_TABANI!D26-VERI_TABANI!D26*B340), VERI_TABANI!D26*C340)*VERI_TABANI!$B$7 + MAX(0, VERI_TABANI!D26*C340-MAX(0, VERI_TABANI!D26-VERI_TABANI!D26*B340))*VERI_TABANI!$B$8) + IF(ABS(IF(ISNUMBER(SEARCH("Var", D340)), 1, IF(ISNUMBER(SEARCH("Gri", D340)), -1, 0)))=1, VERI_TABANI!E26*(1-0.928)*VERI_TABANI!$B$9, 0) + (VERI_TABANI!D26*B340*(VERI_TABANI!$B$13-VERI_TABANI!$B$14)*VERI_TABANI!G26) + (VERI_TABANI!D26*C340*(VERI_TABANI!$B$13-VERI_TABANI!$B$15)*VERI_TABANI!G26) + IF(ABS(IF(ISNUMBER(SEARCH("Var", D340)), 1, IF(ISNUMBER(SEARCH("Gri", D340)), -1, 0)))=1, VERI_TABANI!E26*(1-0.928)*0.00206091519919798*VERI_TABANI!G26, 0)) + ((MIN(VERI_TABANI!D27, VERI_TABANI!D27*B340)*VERI_TABANI!$B$7 + MAX(0, VERI_TABANI!D27*B340-VERI_TABANI!D27)*VERI_TABANI!$B$8) + (MIN(MAX(0, VERI_TABANI!D27-VERI_TABANI!D27*B340), VERI_TABANI!D27*C340)*VERI_TABANI!$B$7 + MAX(0, VERI_TABANI!D27*C340-MAX(0, VERI_TABANI!D27-VERI_TABANI!D27*B340))*VERI_TABANI!$B$8) + IF(ABS(IF(ISNUMBER(SEARCH("Var", D340)), 1, IF(ISNUMBER(SEARCH("Gri", D340)), -1, 0)))=1, VERI_TABANI!E27*(1-0.928)*VERI_TABANI!$B$9, 0) + (VERI_TABANI!D27*B340*(VERI_TABANI!$B$13-VERI_TABANI!$B$14)*VERI_TABANI!G27) + (VERI_TABANI!D27*C340*(VERI_TABANI!$B$13-VERI_TABANI!$B$15)*VERI_TABANI!G27) + IF(ABS(IF(ISNUMBER(SEARCH("Var", D340)), 1, IF(ISNUMBER(SEARCH("Gri", D340)), -1, 0)))=1, VERI_TABANI!E27*(1-0.928)*0.00206091519919798*VERI_TABANI!G27, 0)) + ((MIN(VERI_TABANI!D28, VERI_TABANI!D28*B340)*VERI_TABANI!$B$7 + MAX(0, VERI_TABANI!D28*B340-VERI_TABANI!D28)*VERI_TABANI!$B$8) + (MIN(MAX(0, VERI_TABANI!D28-VERI_TABANI!D28*B340), VERI_TABANI!D28*C340)*VERI_TABANI!$B$7 + MAX(0, VERI_TABANI!D28*C340-MAX(0, VERI_TABANI!D28-VERI_TABANI!D28*B340))*VERI_TABANI!$B$8) + IF(ABS(IF(ISNUMBER(SEARCH("Var", D340)), 1, IF(ISNUMBER(SEARCH("Gri", D340)), -1, 0)))=1, VERI_TABANI!E28*(1-0.928)*VERI_TABANI!$B$9, 0) + (VERI_TABANI!D28*B340*(VERI_TABANI!$B$13-VERI_TABANI!$B$14)*VERI_TABANI!G28) + (VERI_TABANI!D28*C340*(VERI_TABANI!$B$13-VERI_TABANI!$B$15)*VERI_TABANI!G28) + IF(ABS(IF(ISNUMBER(SEARCH("Var", D340)), 1, IF(ISNUMBER(SEARCH("Gri", D340)), -1, 0)))=1, VERI_TABANI!E28*(1-0.928)*0.00206091519919798*VERI_TABANI!G28, 0)))</f>
        <v/>
      </c>
      <c r="H340" s="169">
        <f>(((VERI_TABANI!D23*B340*(VERI_TABANI!$B$13-VERI_TABANI!$B$14)) + (VERI_TABANI!D23*C340*(VERI_TABANI!$B$13-VERI_TABANI!$B$15)) + IF(ISNUMBER(SEARCH("Var", D340)), VERI_TABANI!F23*(0.00202-VERI_TABANI!$B$16), IF(ISNUMBER(SEARCH("Gri", D340)), VERI_TABANI!F23*(0.00202-VERI_TABANI!$B$17), 0))) + ((VERI_TABANI!D24*B340*(VERI_TABANI!$B$13-VERI_TABANI!$B$14)) + (VERI_TABANI!D24*C340*(VERI_TABANI!$B$13-VERI_TABANI!$B$15)) + IF(ISNUMBER(SEARCH("Var", D340)), VERI_TABANI!F24*(0.00202-VERI_TABANI!$B$16), IF(ISNUMBER(SEARCH("Gri", D340)), VERI_TABANI!F24*(0.00202-VERI_TABANI!$B$17), 0))) + ((VERI_TABANI!D25*B340*(VERI_TABANI!$B$13-VERI_TABANI!$B$14)) + (VERI_TABANI!D25*C340*(VERI_TABANI!$B$13-VERI_TABANI!$B$15)) + IF(ISNUMBER(SEARCH("Var", D340)), VERI_TABANI!F25*(0.00202-VERI_TABANI!$B$16), IF(ISNUMBER(SEARCH("Gri", D340)), VERI_TABANI!F25*(0.00202-VERI_TABANI!$B$17), 0))) + ((VERI_TABANI!D26*B340*(VERI_TABANI!$B$13-VERI_TABANI!$B$14)) + (VERI_TABANI!D26*C340*(VERI_TABANI!$B$13-VERI_TABANI!$B$15)) + IF(ISNUMBER(SEARCH("Var", D340)), VERI_TABANI!F26*(0.00202-VERI_TABANI!$B$16), IF(ISNUMBER(SEARCH("Gri", D340)), VERI_TABANI!F26*(0.00202-VERI_TABANI!$B$17), 0))) + ((VERI_TABANI!D27*B340*(VERI_TABANI!$B$13-VERI_TABANI!$B$14)) + (VERI_TABANI!D27*C340*(VERI_TABANI!$B$13-VERI_TABANI!$B$15)) + IF(ISNUMBER(SEARCH("Var", D340)), VERI_TABANI!F27*(0.00202-VERI_TABANI!$B$16), IF(ISNUMBER(SEARCH("Gri", D340)), VERI_TABANI!F27*(0.00202-VERI_TABANI!$B$17), 0))) + ((VERI_TABANI!D28*B340*(VERI_TABANI!$B$13-VERI_TABANI!$B$14)) + (VERI_TABANI!D28*C340*(VERI_TABANI!$B$13-VERI_TABANI!$B$15)) + IF(ISNUMBER(SEARCH("Var", D340)), VERI_TABANI!F28*(0.00202-VERI_TABANI!$B$16), IF(ISNUMBER(SEARCH("Gri", D340)), VERI_TABANI!F28*(0.00202-VERI_TABANI!$B$17), 0))))</f>
        <v/>
      </c>
      <c r="I340" s="170">
        <f>IFERROR(((VERI_TABANI!$D$29*B340*VERI_TABANI!$B$14 + VERI_TABANI!$D$29*C340*VERI_TABANI!$B$15 + IF(ISNUMBER(SEARCH("Var", D340)), VERI_TABANI!$F$29*VERI_TABANI!$B$16, 0))) / (((VERI_TABANI!$D$29*B340 + VERI_TABANI!$D$29*C340)*VERI_TABANI!$B$13 + IF(ISNUMBER(SEARCH("Var", D340)), VERI_TABANI!$E$29*(1-0.928)*VERI_TABANI!$B$18, 0))), 0)</f>
        <v/>
      </c>
      <c r="J340" s="171">
        <f>IFERROR(F340/(G340/29), 0)</f>
        <v/>
      </c>
      <c r="K340" s="172">
        <f>IF(F340&gt;0, H340/F340, 0)</f>
        <v/>
      </c>
      <c r="L340" s="170">
        <f>IF(F340&gt;0, I340, 1000000000)</f>
        <v/>
      </c>
      <c r="M340" s="171">
        <f>ABS((B340+C340)-1)</f>
        <v/>
      </c>
      <c r="N340" s="170">
        <f>IF(F340&gt;0, (G340/29)/F340, 0)</f>
        <v/>
      </c>
      <c r="O340" s="168">
        <f>IF(AND((B340+C340)&gt;=1, ISNUMBER(SEARCH("Var", D340))), F340, 1000000000)</f>
        <v/>
      </c>
      <c r="P340" s="172">
        <f>IF(F340&gt;0, SQRT((F340/MAX(F$5:F$886))^2 + (1 - H340/MAX(H$5:H$886))^2 + (J340/MAX(J$5:J$886))^2), 1000000000)</f>
        <v/>
      </c>
      <c r="Q340" s="166">
        <f>IF(AND(ABS(B340-0.5)&lt;0.01, ABS(C340-0.5)&lt;0.01, ISNUMBER(SEARCH("Var", D340))), 1, 0)</f>
        <v/>
      </c>
      <c r="R340" s="171">
        <f>IF(F340&gt;0, J340, 1000000000)</f>
        <v/>
      </c>
      <c r="S340" s="101">
        <f>IF(AND(F340&lt;=DASHBOARD!$B$11, H340&gt;=DASHBOARD!$B$13), G340, -1000000000000)</f>
        <v/>
      </c>
      <c r="T340" s="101">
        <f>IF(AND(F340&lt;=DASHBOARD!$B$11, H340&gt;=DASHBOARD!$B$13), R340, 1000000000000)</f>
        <v/>
      </c>
      <c r="U340" s="101">
        <f>IF(AND(F340&lt;=DASHBOARD!$B$11, H340&gt;=DASHBOARD!$B$13), N340, -1000000000000)</f>
        <v/>
      </c>
      <c r="V340" s="101">
        <f>IF(AND(F340&lt;=DASHBOARD!$B$11, H340&gt;=DASHBOARD!$B$13), H340, -1000000000000)</f>
        <v/>
      </c>
      <c r="W340" s="101">
        <f>IF(AND(F340&lt;=DASHBOARD!$B$11, H340&gt;=DASHBOARD!$B$13), K340, -1000000000000)</f>
        <v/>
      </c>
      <c r="X340" s="101">
        <f>IF(AND(F340&lt;=DASHBOARD!$B$11, H340&gt;=DASHBOARD!$B$13), M340, 1000000000000)</f>
        <v/>
      </c>
      <c r="Y340" s="101">
        <f>IF(AND(F340&lt;=DASHBOARD!$B$10, H340&gt;=DASHBOARD!$B$11), L340, 1000000000000)</f>
        <v/>
      </c>
      <c r="Z340" s="101">
        <f>IF(AND(F340&lt;=DASHBOARD!$B$10, H340&gt;=DASHBOARD!$B$11), O340, 1000000000000)</f>
        <v/>
      </c>
      <c r="AA340" s="101">
        <f>IF(AND(F340&lt;=DASHBOARD!$B$10, H340&gt;=DASHBOARD!$B$11), P340, 1000000000000)</f>
        <v/>
      </c>
      <c r="AB340" s="101">
        <f>IF(AND(F340&lt;=DASHBOARD!$B$10, H340&gt;=DASHBOARD!$B$11), Q340, -1000000000000)</f>
        <v/>
      </c>
    </row>
    <row r="341" ht="15" customHeight="1" s="102">
      <c r="A341" s="166" t="n">
        <v>337</v>
      </c>
      <c r="B341" s="167" t="n">
        <v>0.8</v>
      </c>
      <c r="C341" s="167" t="n">
        <v>0</v>
      </c>
      <c r="D341" s="110" t="inlineStr">
        <is>
          <t>Yok (%0)</t>
        </is>
      </c>
      <c r="E341" s="110">
        <f>IF((B341+C341)&lt;=1, "Tam Mahsuplaşma (≤%100)", "Kısmi Satış (&gt;%100)")</f>
        <v/>
      </c>
      <c r="F341" s="168">
        <f>((VERI_TABANI!$D$29*B341/VERI_TABANI!$B$29)/VERI_TABANI!$B$3)*VERI_TABANI!$B$5 + ((VERI_TABANI!$D$29*C341/VERI_TABANI!$B$29)/VERI_TABANI!$B$4)*VERI_TABANI!$B$6 + IF(ISNUMBER(SEARCH("Var", D341)), (VERI_TABANI!$F$29/VERI_TABANI!$B$29)*(VERI_TABANI!$B$10+VERI_TABANI!$B$12), 0)</f>
        <v/>
      </c>
      <c r="G341" s="168">
        <f>(((MIN(VERI_TABANI!D23, VERI_TABANI!D23*B341)*VERI_TABANI!$B$7 + MAX(0, VERI_TABANI!D23*B341-VERI_TABANI!D23)*VERI_TABANI!$B$8) + (MIN(MAX(0, VERI_TABANI!D23-VERI_TABANI!D23*B341), VERI_TABANI!D23*C341)*VERI_TABANI!$B$7 + MAX(0, VERI_TABANI!D23*C341-MAX(0, VERI_TABANI!D23-VERI_TABANI!D23*B341))*VERI_TABANI!$B$8) + IF(ABS(IF(ISNUMBER(SEARCH("Var", D341)), 1, IF(ISNUMBER(SEARCH("Gri", D341)), -1, 0)))=1, VERI_TABANI!E23*(1-0.928)*VERI_TABANI!$B$9, 0) + (VERI_TABANI!D23*B341*(VERI_TABANI!$B$13-VERI_TABANI!$B$14)*VERI_TABANI!G23) + (VERI_TABANI!D23*C341*(VERI_TABANI!$B$13-VERI_TABANI!$B$15)*VERI_TABANI!G23) + IF(ABS(IF(ISNUMBER(SEARCH("Var", D341)), 1, IF(ISNUMBER(SEARCH("Gri", D341)), -1, 0)))=1, VERI_TABANI!E23*(1-0.928)*0.00206091519919798*VERI_TABANI!G23, 0)) + ((MIN(VERI_TABANI!D24, VERI_TABANI!D24*B341)*VERI_TABANI!$B$7 + MAX(0, VERI_TABANI!D24*B341-VERI_TABANI!D24)*VERI_TABANI!$B$8) + (MIN(MAX(0, VERI_TABANI!D24-VERI_TABANI!D24*B341), VERI_TABANI!D24*C341)*VERI_TABANI!$B$7 + MAX(0, VERI_TABANI!D24*C341-MAX(0, VERI_TABANI!D24-VERI_TABANI!D24*B341))*VERI_TABANI!$B$8) + IF(ABS(IF(ISNUMBER(SEARCH("Var", D341)), 1, IF(ISNUMBER(SEARCH("Gri", D341)), -1, 0)))=1, VERI_TABANI!E24*(1-0.928)*VERI_TABANI!$B$9, 0) + (VERI_TABANI!D24*B341*(VERI_TABANI!$B$13-VERI_TABANI!$B$14)*VERI_TABANI!G24) + (VERI_TABANI!D24*C341*(VERI_TABANI!$B$13-VERI_TABANI!$B$15)*VERI_TABANI!G24) + IF(ABS(IF(ISNUMBER(SEARCH("Var", D341)), 1, IF(ISNUMBER(SEARCH("Gri", D341)), -1, 0)))=1, VERI_TABANI!E24*(1-0.928)*0.00206091519919798*VERI_TABANI!G24, 0)) + ((MIN(VERI_TABANI!D25, VERI_TABANI!D25*B341)*VERI_TABANI!$B$7 + MAX(0, VERI_TABANI!D25*B341-VERI_TABANI!D25)*VERI_TABANI!$B$8) + (MIN(MAX(0, VERI_TABANI!D25-VERI_TABANI!D25*B341), VERI_TABANI!D25*C341)*VERI_TABANI!$B$7 + MAX(0, VERI_TABANI!D25*C341-MAX(0, VERI_TABANI!D25-VERI_TABANI!D25*B341))*VERI_TABANI!$B$8) + IF(ABS(IF(ISNUMBER(SEARCH("Var", D341)), 1, IF(ISNUMBER(SEARCH("Gri", D341)), -1, 0)))=1, VERI_TABANI!E25*(1-0.928)*VERI_TABANI!$B$9, 0) + (VERI_TABANI!D25*B341*(VERI_TABANI!$B$13-VERI_TABANI!$B$14)*VERI_TABANI!G25) + (VERI_TABANI!D25*C341*(VERI_TABANI!$B$13-VERI_TABANI!$B$15)*VERI_TABANI!G25) + IF(ABS(IF(ISNUMBER(SEARCH("Var", D341)), 1, IF(ISNUMBER(SEARCH("Gri", D341)), -1, 0)))=1, VERI_TABANI!E25*(1-0.928)*0.00206091519919798*VERI_TABANI!G25, 0)) + ((MIN(VERI_TABANI!D26, VERI_TABANI!D26*B341)*VERI_TABANI!$B$7 + MAX(0, VERI_TABANI!D26*B341-VERI_TABANI!D26)*VERI_TABANI!$B$8) + (MIN(MAX(0, VERI_TABANI!D26-VERI_TABANI!D26*B341), VERI_TABANI!D26*C341)*VERI_TABANI!$B$7 + MAX(0, VERI_TABANI!D26*C341-MAX(0, VERI_TABANI!D26-VERI_TABANI!D26*B341))*VERI_TABANI!$B$8) + IF(ABS(IF(ISNUMBER(SEARCH("Var", D341)), 1, IF(ISNUMBER(SEARCH("Gri", D341)), -1, 0)))=1, VERI_TABANI!E26*(1-0.928)*VERI_TABANI!$B$9, 0) + (VERI_TABANI!D26*B341*(VERI_TABANI!$B$13-VERI_TABANI!$B$14)*VERI_TABANI!G26) + (VERI_TABANI!D26*C341*(VERI_TABANI!$B$13-VERI_TABANI!$B$15)*VERI_TABANI!G26) + IF(ABS(IF(ISNUMBER(SEARCH("Var", D341)), 1, IF(ISNUMBER(SEARCH("Gri", D341)), -1, 0)))=1, VERI_TABANI!E26*(1-0.928)*0.00206091519919798*VERI_TABANI!G26, 0)) + ((MIN(VERI_TABANI!D27, VERI_TABANI!D27*B341)*VERI_TABANI!$B$7 + MAX(0, VERI_TABANI!D27*B341-VERI_TABANI!D27)*VERI_TABANI!$B$8) + (MIN(MAX(0, VERI_TABANI!D27-VERI_TABANI!D27*B341), VERI_TABANI!D27*C341)*VERI_TABANI!$B$7 + MAX(0, VERI_TABANI!D27*C341-MAX(0, VERI_TABANI!D27-VERI_TABANI!D27*B341))*VERI_TABANI!$B$8) + IF(ABS(IF(ISNUMBER(SEARCH("Var", D341)), 1, IF(ISNUMBER(SEARCH("Gri", D341)), -1, 0)))=1, VERI_TABANI!E27*(1-0.928)*VERI_TABANI!$B$9, 0) + (VERI_TABANI!D27*B341*(VERI_TABANI!$B$13-VERI_TABANI!$B$14)*VERI_TABANI!G27) + (VERI_TABANI!D27*C341*(VERI_TABANI!$B$13-VERI_TABANI!$B$15)*VERI_TABANI!G27) + IF(ABS(IF(ISNUMBER(SEARCH("Var", D341)), 1, IF(ISNUMBER(SEARCH("Gri", D341)), -1, 0)))=1, VERI_TABANI!E27*(1-0.928)*0.00206091519919798*VERI_TABANI!G27, 0)) + ((MIN(VERI_TABANI!D28, VERI_TABANI!D28*B341)*VERI_TABANI!$B$7 + MAX(0, VERI_TABANI!D28*B341-VERI_TABANI!D28)*VERI_TABANI!$B$8) + (MIN(MAX(0, VERI_TABANI!D28-VERI_TABANI!D28*B341), VERI_TABANI!D28*C341)*VERI_TABANI!$B$7 + MAX(0, VERI_TABANI!D28*C341-MAX(0, VERI_TABANI!D28-VERI_TABANI!D28*B341))*VERI_TABANI!$B$8) + IF(ABS(IF(ISNUMBER(SEARCH("Var", D341)), 1, IF(ISNUMBER(SEARCH("Gri", D341)), -1, 0)))=1, VERI_TABANI!E28*(1-0.928)*VERI_TABANI!$B$9, 0) + (VERI_TABANI!D28*B341*(VERI_TABANI!$B$13-VERI_TABANI!$B$14)*VERI_TABANI!G28) + (VERI_TABANI!D28*C341*(VERI_TABANI!$B$13-VERI_TABANI!$B$15)*VERI_TABANI!G28) + IF(ABS(IF(ISNUMBER(SEARCH("Var", D341)), 1, IF(ISNUMBER(SEARCH("Gri", D341)), -1, 0)))=1, VERI_TABANI!E28*(1-0.928)*0.00206091519919798*VERI_TABANI!G28, 0)))</f>
        <v/>
      </c>
      <c r="H341" s="169">
        <f>(((VERI_TABANI!D23*B341*(VERI_TABANI!$B$13-VERI_TABANI!$B$14)) + (VERI_TABANI!D23*C341*(VERI_TABANI!$B$13-VERI_TABANI!$B$15)) + IF(ISNUMBER(SEARCH("Var", D341)), VERI_TABANI!F23*(0.00202-VERI_TABANI!$B$16), IF(ISNUMBER(SEARCH("Gri", D341)), VERI_TABANI!F23*(0.00202-VERI_TABANI!$B$17), 0))) + ((VERI_TABANI!D24*B341*(VERI_TABANI!$B$13-VERI_TABANI!$B$14)) + (VERI_TABANI!D24*C341*(VERI_TABANI!$B$13-VERI_TABANI!$B$15)) + IF(ISNUMBER(SEARCH("Var", D341)), VERI_TABANI!F24*(0.00202-VERI_TABANI!$B$16), IF(ISNUMBER(SEARCH("Gri", D341)), VERI_TABANI!F24*(0.00202-VERI_TABANI!$B$17), 0))) + ((VERI_TABANI!D25*B341*(VERI_TABANI!$B$13-VERI_TABANI!$B$14)) + (VERI_TABANI!D25*C341*(VERI_TABANI!$B$13-VERI_TABANI!$B$15)) + IF(ISNUMBER(SEARCH("Var", D341)), VERI_TABANI!F25*(0.00202-VERI_TABANI!$B$16), IF(ISNUMBER(SEARCH("Gri", D341)), VERI_TABANI!F25*(0.00202-VERI_TABANI!$B$17), 0))) + ((VERI_TABANI!D26*B341*(VERI_TABANI!$B$13-VERI_TABANI!$B$14)) + (VERI_TABANI!D26*C341*(VERI_TABANI!$B$13-VERI_TABANI!$B$15)) + IF(ISNUMBER(SEARCH("Var", D341)), VERI_TABANI!F26*(0.00202-VERI_TABANI!$B$16), IF(ISNUMBER(SEARCH("Gri", D341)), VERI_TABANI!F26*(0.00202-VERI_TABANI!$B$17), 0))) + ((VERI_TABANI!D27*B341*(VERI_TABANI!$B$13-VERI_TABANI!$B$14)) + (VERI_TABANI!D27*C341*(VERI_TABANI!$B$13-VERI_TABANI!$B$15)) + IF(ISNUMBER(SEARCH("Var", D341)), VERI_TABANI!F27*(0.00202-VERI_TABANI!$B$16), IF(ISNUMBER(SEARCH("Gri", D341)), VERI_TABANI!F27*(0.00202-VERI_TABANI!$B$17), 0))) + ((VERI_TABANI!D28*B341*(VERI_TABANI!$B$13-VERI_TABANI!$B$14)) + (VERI_TABANI!D28*C341*(VERI_TABANI!$B$13-VERI_TABANI!$B$15)) + IF(ISNUMBER(SEARCH("Var", D341)), VERI_TABANI!F28*(0.00202-VERI_TABANI!$B$16), IF(ISNUMBER(SEARCH("Gri", D341)), VERI_TABANI!F28*(0.00202-VERI_TABANI!$B$17), 0))))</f>
        <v/>
      </c>
      <c r="I341" s="170">
        <f>IFERROR(((VERI_TABANI!$D$29*B341*VERI_TABANI!$B$14 + VERI_TABANI!$D$29*C341*VERI_TABANI!$B$15 + IF(ISNUMBER(SEARCH("Var", D341)), VERI_TABANI!$F$29*VERI_TABANI!$B$16, 0))) / (((VERI_TABANI!$D$29*B341 + VERI_TABANI!$D$29*C341)*VERI_TABANI!$B$13 + IF(ISNUMBER(SEARCH("Var", D341)), VERI_TABANI!$E$29*(1-0.928)*VERI_TABANI!$B$18, 0))), 0)</f>
        <v/>
      </c>
      <c r="J341" s="171">
        <f>IFERROR(F341/(G341/29), 0)</f>
        <v/>
      </c>
      <c r="K341" s="172">
        <f>IF(F341&gt;0, H341/F341, 0)</f>
        <v/>
      </c>
      <c r="L341" s="170">
        <f>IF(F341&gt;0, I341, 1000000000)</f>
        <v/>
      </c>
      <c r="M341" s="171">
        <f>ABS((B341+C341)-1)</f>
        <v/>
      </c>
      <c r="N341" s="170">
        <f>IF(F341&gt;0, (G341/29)/F341, 0)</f>
        <v/>
      </c>
      <c r="O341" s="168">
        <f>IF(AND((B341+C341)&gt;=1, ISNUMBER(SEARCH("Var", D341))), F341, 1000000000)</f>
        <v/>
      </c>
      <c r="P341" s="172">
        <f>IF(F341&gt;0, SQRT((F341/MAX(F$5:F$886))^2 + (1 - H341/MAX(H$5:H$886))^2 + (J341/MAX(J$5:J$886))^2), 1000000000)</f>
        <v/>
      </c>
      <c r="Q341" s="166">
        <f>IF(AND(ABS(B341-0.5)&lt;0.01, ABS(C341-0.5)&lt;0.01, ISNUMBER(SEARCH("Var", D341))), 1, 0)</f>
        <v/>
      </c>
      <c r="R341" s="171">
        <f>IF(F341&gt;0, J341, 1000000000)</f>
        <v/>
      </c>
      <c r="S341" s="101">
        <f>IF(AND(F341&lt;=DASHBOARD!$B$11, H341&gt;=DASHBOARD!$B$13), G341, -1000000000000)</f>
        <v/>
      </c>
      <c r="T341" s="101">
        <f>IF(AND(F341&lt;=DASHBOARD!$B$11, H341&gt;=DASHBOARD!$B$13), R341, 1000000000000)</f>
        <v/>
      </c>
      <c r="U341" s="101">
        <f>IF(AND(F341&lt;=DASHBOARD!$B$11, H341&gt;=DASHBOARD!$B$13), N341, -1000000000000)</f>
        <v/>
      </c>
      <c r="V341" s="101">
        <f>IF(AND(F341&lt;=DASHBOARD!$B$11, H341&gt;=DASHBOARD!$B$13), H341, -1000000000000)</f>
        <v/>
      </c>
      <c r="W341" s="101">
        <f>IF(AND(F341&lt;=DASHBOARD!$B$11, H341&gt;=DASHBOARD!$B$13), K341, -1000000000000)</f>
        <v/>
      </c>
      <c r="X341" s="101">
        <f>IF(AND(F341&lt;=DASHBOARD!$B$11, H341&gt;=DASHBOARD!$B$13), M341, 1000000000000)</f>
        <v/>
      </c>
      <c r="Y341" s="101">
        <f>IF(AND(F341&lt;=DASHBOARD!$B$10, H341&gt;=DASHBOARD!$B$11), L341, 1000000000000)</f>
        <v/>
      </c>
      <c r="Z341" s="101">
        <f>IF(AND(F341&lt;=DASHBOARD!$B$10, H341&gt;=DASHBOARD!$B$11), O341, 1000000000000)</f>
        <v/>
      </c>
      <c r="AA341" s="101">
        <f>IF(AND(F341&lt;=DASHBOARD!$B$10, H341&gt;=DASHBOARD!$B$11), P341, 1000000000000)</f>
        <v/>
      </c>
      <c r="AB341" s="101">
        <f>IF(AND(F341&lt;=DASHBOARD!$B$10, H341&gt;=DASHBOARD!$B$11), Q341, -1000000000000)</f>
        <v/>
      </c>
    </row>
    <row r="342" ht="15" customHeight="1" s="102">
      <c r="A342" s="166" t="n">
        <v>338</v>
      </c>
      <c r="B342" s="167" t="n">
        <v>0.8</v>
      </c>
      <c r="C342" s="167" t="n">
        <v>0</v>
      </c>
      <c r="D342" s="110" t="inlineStr">
        <is>
          <t>Var (%20)</t>
        </is>
      </c>
      <c r="E342" s="110">
        <f>IF((B342+C342)&lt;=1, "Tam Mahsuplaşma (≤%100)", "Kısmi Satış (&gt;%100)")</f>
        <v/>
      </c>
      <c r="F342" s="168">
        <f>((VERI_TABANI!$D$29*B342/VERI_TABANI!$B$29)/VERI_TABANI!$B$3)*VERI_TABANI!$B$5 + ((VERI_TABANI!$D$29*C342/VERI_TABANI!$B$29)/VERI_TABANI!$B$4)*VERI_TABANI!$B$6 + IF(ISNUMBER(SEARCH("Var", D342)), (VERI_TABANI!$F$29/VERI_TABANI!$B$29)*(VERI_TABANI!$B$10+VERI_TABANI!$B$12), 0)</f>
        <v/>
      </c>
      <c r="G342" s="168">
        <f>(((MIN(VERI_TABANI!D23, VERI_TABANI!D23*B342)*VERI_TABANI!$B$7 + MAX(0, VERI_TABANI!D23*B342-VERI_TABANI!D23)*VERI_TABANI!$B$8) + (MIN(MAX(0, VERI_TABANI!D23-VERI_TABANI!D23*B342), VERI_TABANI!D23*C342)*VERI_TABANI!$B$7 + MAX(0, VERI_TABANI!D23*C342-MAX(0, VERI_TABANI!D23-VERI_TABANI!D23*B342))*VERI_TABANI!$B$8) + IF(ABS(IF(ISNUMBER(SEARCH("Var", D342)), 1, IF(ISNUMBER(SEARCH("Gri", D342)), -1, 0)))=1, VERI_TABANI!E23*(1-0.928)*VERI_TABANI!$B$9, 0) + (VERI_TABANI!D23*B342*(VERI_TABANI!$B$13-VERI_TABANI!$B$14)*VERI_TABANI!G23) + (VERI_TABANI!D23*C342*(VERI_TABANI!$B$13-VERI_TABANI!$B$15)*VERI_TABANI!G23) + IF(ABS(IF(ISNUMBER(SEARCH("Var", D342)), 1, IF(ISNUMBER(SEARCH("Gri", D342)), -1, 0)))=1, VERI_TABANI!E23*(1-0.928)*0.00206091519919798*VERI_TABANI!G23, 0)) + ((MIN(VERI_TABANI!D24, VERI_TABANI!D24*B342)*VERI_TABANI!$B$7 + MAX(0, VERI_TABANI!D24*B342-VERI_TABANI!D24)*VERI_TABANI!$B$8) + (MIN(MAX(0, VERI_TABANI!D24-VERI_TABANI!D24*B342), VERI_TABANI!D24*C342)*VERI_TABANI!$B$7 + MAX(0, VERI_TABANI!D24*C342-MAX(0, VERI_TABANI!D24-VERI_TABANI!D24*B342))*VERI_TABANI!$B$8) + IF(ABS(IF(ISNUMBER(SEARCH("Var", D342)), 1, IF(ISNUMBER(SEARCH("Gri", D342)), -1, 0)))=1, VERI_TABANI!E24*(1-0.928)*VERI_TABANI!$B$9, 0) + (VERI_TABANI!D24*B342*(VERI_TABANI!$B$13-VERI_TABANI!$B$14)*VERI_TABANI!G24) + (VERI_TABANI!D24*C342*(VERI_TABANI!$B$13-VERI_TABANI!$B$15)*VERI_TABANI!G24) + IF(ABS(IF(ISNUMBER(SEARCH("Var", D342)), 1, IF(ISNUMBER(SEARCH("Gri", D342)), -1, 0)))=1, VERI_TABANI!E24*(1-0.928)*0.00206091519919798*VERI_TABANI!G24, 0)) + ((MIN(VERI_TABANI!D25, VERI_TABANI!D25*B342)*VERI_TABANI!$B$7 + MAX(0, VERI_TABANI!D25*B342-VERI_TABANI!D25)*VERI_TABANI!$B$8) + (MIN(MAX(0, VERI_TABANI!D25-VERI_TABANI!D25*B342), VERI_TABANI!D25*C342)*VERI_TABANI!$B$7 + MAX(0, VERI_TABANI!D25*C342-MAX(0, VERI_TABANI!D25-VERI_TABANI!D25*B342))*VERI_TABANI!$B$8) + IF(ABS(IF(ISNUMBER(SEARCH("Var", D342)), 1, IF(ISNUMBER(SEARCH("Gri", D342)), -1, 0)))=1, VERI_TABANI!E25*(1-0.928)*VERI_TABANI!$B$9, 0) + (VERI_TABANI!D25*B342*(VERI_TABANI!$B$13-VERI_TABANI!$B$14)*VERI_TABANI!G25) + (VERI_TABANI!D25*C342*(VERI_TABANI!$B$13-VERI_TABANI!$B$15)*VERI_TABANI!G25) + IF(ABS(IF(ISNUMBER(SEARCH("Var", D342)), 1, IF(ISNUMBER(SEARCH("Gri", D342)), -1, 0)))=1, VERI_TABANI!E25*(1-0.928)*0.00206091519919798*VERI_TABANI!G25, 0)) + ((MIN(VERI_TABANI!D26, VERI_TABANI!D26*B342)*VERI_TABANI!$B$7 + MAX(0, VERI_TABANI!D26*B342-VERI_TABANI!D26)*VERI_TABANI!$B$8) + (MIN(MAX(0, VERI_TABANI!D26-VERI_TABANI!D26*B342), VERI_TABANI!D26*C342)*VERI_TABANI!$B$7 + MAX(0, VERI_TABANI!D26*C342-MAX(0, VERI_TABANI!D26-VERI_TABANI!D26*B342))*VERI_TABANI!$B$8) + IF(ABS(IF(ISNUMBER(SEARCH("Var", D342)), 1, IF(ISNUMBER(SEARCH("Gri", D342)), -1, 0)))=1, VERI_TABANI!E26*(1-0.928)*VERI_TABANI!$B$9, 0) + (VERI_TABANI!D26*B342*(VERI_TABANI!$B$13-VERI_TABANI!$B$14)*VERI_TABANI!G26) + (VERI_TABANI!D26*C342*(VERI_TABANI!$B$13-VERI_TABANI!$B$15)*VERI_TABANI!G26) + IF(ABS(IF(ISNUMBER(SEARCH("Var", D342)), 1, IF(ISNUMBER(SEARCH("Gri", D342)), -1, 0)))=1, VERI_TABANI!E26*(1-0.928)*0.00206091519919798*VERI_TABANI!G26, 0)) + ((MIN(VERI_TABANI!D27, VERI_TABANI!D27*B342)*VERI_TABANI!$B$7 + MAX(0, VERI_TABANI!D27*B342-VERI_TABANI!D27)*VERI_TABANI!$B$8) + (MIN(MAX(0, VERI_TABANI!D27-VERI_TABANI!D27*B342), VERI_TABANI!D27*C342)*VERI_TABANI!$B$7 + MAX(0, VERI_TABANI!D27*C342-MAX(0, VERI_TABANI!D27-VERI_TABANI!D27*B342))*VERI_TABANI!$B$8) + IF(ABS(IF(ISNUMBER(SEARCH("Var", D342)), 1, IF(ISNUMBER(SEARCH("Gri", D342)), -1, 0)))=1, VERI_TABANI!E27*(1-0.928)*VERI_TABANI!$B$9, 0) + (VERI_TABANI!D27*B342*(VERI_TABANI!$B$13-VERI_TABANI!$B$14)*VERI_TABANI!G27) + (VERI_TABANI!D27*C342*(VERI_TABANI!$B$13-VERI_TABANI!$B$15)*VERI_TABANI!G27) + IF(ABS(IF(ISNUMBER(SEARCH("Var", D342)), 1, IF(ISNUMBER(SEARCH("Gri", D342)), -1, 0)))=1, VERI_TABANI!E27*(1-0.928)*0.00206091519919798*VERI_TABANI!G27, 0)) + ((MIN(VERI_TABANI!D28, VERI_TABANI!D28*B342)*VERI_TABANI!$B$7 + MAX(0, VERI_TABANI!D28*B342-VERI_TABANI!D28)*VERI_TABANI!$B$8) + (MIN(MAX(0, VERI_TABANI!D28-VERI_TABANI!D28*B342), VERI_TABANI!D28*C342)*VERI_TABANI!$B$7 + MAX(0, VERI_TABANI!D28*C342-MAX(0, VERI_TABANI!D28-VERI_TABANI!D28*B342))*VERI_TABANI!$B$8) + IF(ABS(IF(ISNUMBER(SEARCH("Var", D342)), 1, IF(ISNUMBER(SEARCH("Gri", D342)), -1, 0)))=1, VERI_TABANI!E28*(1-0.928)*VERI_TABANI!$B$9, 0) + (VERI_TABANI!D28*B342*(VERI_TABANI!$B$13-VERI_TABANI!$B$14)*VERI_TABANI!G28) + (VERI_TABANI!D28*C342*(VERI_TABANI!$B$13-VERI_TABANI!$B$15)*VERI_TABANI!G28) + IF(ABS(IF(ISNUMBER(SEARCH("Var", D342)), 1, IF(ISNUMBER(SEARCH("Gri", D342)), -1, 0)))=1, VERI_TABANI!E28*(1-0.928)*0.00206091519919798*VERI_TABANI!G28, 0)))</f>
        <v/>
      </c>
      <c r="H342" s="169">
        <f>(((VERI_TABANI!D23*B342*(VERI_TABANI!$B$13-VERI_TABANI!$B$14)) + (VERI_TABANI!D23*C342*(VERI_TABANI!$B$13-VERI_TABANI!$B$15)) + IF(ISNUMBER(SEARCH("Var", D342)), VERI_TABANI!F23*(0.00202-VERI_TABANI!$B$16), IF(ISNUMBER(SEARCH("Gri", D342)), VERI_TABANI!F23*(0.00202-VERI_TABANI!$B$17), 0))) + ((VERI_TABANI!D24*B342*(VERI_TABANI!$B$13-VERI_TABANI!$B$14)) + (VERI_TABANI!D24*C342*(VERI_TABANI!$B$13-VERI_TABANI!$B$15)) + IF(ISNUMBER(SEARCH("Var", D342)), VERI_TABANI!F24*(0.00202-VERI_TABANI!$B$16), IF(ISNUMBER(SEARCH("Gri", D342)), VERI_TABANI!F24*(0.00202-VERI_TABANI!$B$17), 0))) + ((VERI_TABANI!D25*B342*(VERI_TABANI!$B$13-VERI_TABANI!$B$14)) + (VERI_TABANI!D25*C342*(VERI_TABANI!$B$13-VERI_TABANI!$B$15)) + IF(ISNUMBER(SEARCH("Var", D342)), VERI_TABANI!F25*(0.00202-VERI_TABANI!$B$16), IF(ISNUMBER(SEARCH("Gri", D342)), VERI_TABANI!F25*(0.00202-VERI_TABANI!$B$17), 0))) + ((VERI_TABANI!D26*B342*(VERI_TABANI!$B$13-VERI_TABANI!$B$14)) + (VERI_TABANI!D26*C342*(VERI_TABANI!$B$13-VERI_TABANI!$B$15)) + IF(ISNUMBER(SEARCH("Var", D342)), VERI_TABANI!F26*(0.00202-VERI_TABANI!$B$16), IF(ISNUMBER(SEARCH("Gri", D342)), VERI_TABANI!F26*(0.00202-VERI_TABANI!$B$17), 0))) + ((VERI_TABANI!D27*B342*(VERI_TABANI!$B$13-VERI_TABANI!$B$14)) + (VERI_TABANI!D27*C342*(VERI_TABANI!$B$13-VERI_TABANI!$B$15)) + IF(ISNUMBER(SEARCH("Var", D342)), VERI_TABANI!F27*(0.00202-VERI_TABANI!$B$16), IF(ISNUMBER(SEARCH("Gri", D342)), VERI_TABANI!F27*(0.00202-VERI_TABANI!$B$17), 0))) + ((VERI_TABANI!D28*B342*(VERI_TABANI!$B$13-VERI_TABANI!$B$14)) + (VERI_TABANI!D28*C342*(VERI_TABANI!$B$13-VERI_TABANI!$B$15)) + IF(ISNUMBER(SEARCH("Var", D342)), VERI_TABANI!F28*(0.00202-VERI_TABANI!$B$16), IF(ISNUMBER(SEARCH("Gri", D342)), VERI_TABANI!F28*(0.00202-VERI_TABANI!$B$17), 0))))</f>
        <v/>
      </c>
      <c r="I342" s="170">
        <f>IFERROR(((VERI_TABANI!$D$29*B342*VERI_TABANI!$B$14 + VERI_TABANI!$D$29*C342*VERI_TABANI!$B$15 + IF(ISNUMBER(SEARCH("Var", D342)), VERI_TABANI!$F$29*VERI_TABANI!$B$16, 0))) / (((VERI_TABANI!$D$29*B342 + VERI_TABANI!$D$29*C342)*VERI_TABANI!$B$13 + IF(ISNUMBER(SEARCH("Var", D342)), VERI_TABANI!$E$29*(1-0.928)*VERI_TABANI!$B$18, 0))), 0)</f>
        <v/>
      </c>
      <c r="J342" s="171">
        <f>IFERROR(F342/(G342/29), 0)</f>
        <v/>
      </c>
      <c r="K342" s="172">
        <f>IF(F342&gt;0, H342/F342, 0)</f>
        <v/>
      </c>
      <c r="L342" s="170">
        <f>IF(F342&gt;0, I342, 1000000000)</f>
        <v/>
      </c>
      <c r="M342" s="171">
        <f>ABS((B342+C342)-1)</f>
        <v/>
      </c>
      <c r="N342" s="170">
        <f>IF(F342&gt;0, (G342/29)/F342, 0)</f>
        <v/>
      </c>
      <c r="O342" s="168">
        <f>IF(AND((B342+C342)&gt;=1, ISNUMBER(SEARCH("Var", D342))), F342, 1000000000)</f>
        <v/>
      </c>
      <c r="P342" s="172">
        <f>IF(F342&gt;0, SQRT((F342/MAX(F$5:F$886))^2 + (1 - H342/MAX(H$5:H$886))^2 + (J342/MAX(J$5:J$886))^2), 1000000000)</f>
        <v/>
      </c>
      <c r="Q342" s="166">
        <f>IF(AND(ABS(B342-0.5)&lt;0.01, ABS(C342-0.5)&lt;0.01, ISNUMBER(SEARCH("Var", D342))), 1, 0)</f>
        <v/>
      </c>
      <c r="R342" s="171">
        <f>IF(F342&gt;0, J342, 1000000000)</f>
        <v/>
      </c>
      <c r="S342" s="101">
        <f>IF(AND(F342&lt;=DASHBOARD!$B$11, H342&gt;=DASHBOARD!$B$13), G342, -1000000000000)</f>
        <v/>
      </c>
      <c r="T342" s="101">
        <f>IF(AND(F342&lt;=DASHBOARD!$B$11, H342&gt;=DASHBOARD!$B$13), R342, 1000000000000)</f>
        <v/>
      </c>
      <c r="U342" s="101">
        <f>IF(AND(F342&lt;=DASHBOARD!$B$11, H342&gt;=DASHBOARD!$B$13), N342, -1000000000000)</f>
        <v/>
      </c>
      <c r="V342" s="101">
        <f>IF(AND(F342&lt;=DASHBOARD!$B$11, H342&gt;=DASHBOARD!$B$13), H342, -1000000000000)</f>
        <v/>
      </c>
      <c r="W342" s="101">
        <f>IF(AND(F342&lt;=DASHBOARD!$B$11, H342&gt;=DASHBOARD!$B$13), K342, -1000000000000)</f>
        <v/>
      </c>
      <c r="X342" s="101">
        <f>IF(AND(F342&lt;=DASHBOARD!$B$11, H342&gt;=DASHBOARD!$B$13), M342, 1000000000000)</f>
        <v/>
      </c>
      <c r="Y342" s="101">
        <f>IF(AND(F342&lt;=DASHBOARD!$B$10, H342&gt;=DASHBOARD!$B$11), L342, 1000000000000)</f>
        <v/>
      </c>
      <c r="Z342" s="101">
        <f>IF(AND(F342&lt;=DASHBOARD!$B$10, H342&gt;=DASHBOARD!$B$11), O342, 1000000000000)</f>
        <v/>
      </c>
      <c r="AA342" s="101">
        <f>IF(AND(F342&lt;=DASHBOARD!$B$10, H342&gt;=DASHBOARD!$B$11), P342, 1000000000000)</f>
        <v/>
      </c>
      <c r="AB342" s="101">
        <f>IF(AND(F342&lt;=DASHBOARD!$B$10, H342&gt;=DASHBOARD!$B$11), Q342, -1000000000000)</f>
        <v/>
      </c>
    </row>
    <row r="343" ht="15" customHeight="1" s="102">
      <c r="A343" s="166" t="n">
        <v>339</v>
      </c>
      <c r="B343" s="167" t="n">
        <v>0.8</v>
      </c>
      <c r="C343" s="167" t="n">
        <v>0.1</v>
      </c>
      <c r="D343" s="110" t="inlineStr">
        <is>
          <t>Yok (%0)</t>
        </is>
      </c>
      <c r="E343" s="110">
        <f>IF((B343+C343)&lt;=1, "Tam Mahsuplaşma (≤%100)", "Kısmi Satış (&gt;%100)")</f>
        <v/>
      </c>
      <c r="F343" s="168">
        <f>((VERI_TABANI!$D$29*B343/VERI_TABANI!$B$29)/VERI_TABANI!$B$3)*VERI_TABANI!$B$5 + ((VERI_TABANI!$D$29*C343/VERI_TABANI!$B$29)/VERI_TABANI!$B$4)*VERI_TABANI!$B$6 + IF(ISNUMBER(SEARCH("Var", D343)), (VERI_TABANI!$F$29/VERI_TABANI!$B$29)*(VERI_TABANI!$B$10+VERI_TABANI!$B$12), 0)</f>
        <v/>
      </c>
      <c r="G343" s="168">
        <f>(((MIN(VERI_TABANI!D23, VERI_TABANI!D23*B343)*VERI_TABANI!$B$7 + MAX(0, VERI_TABANI!D23*B343-VERI_TABANI!D23)*VERI_TABANI!$B$8) + (MIN(MAX(0, VERI_TABANI!D23-VERI_TABANI!D23*B343), VERI_TABANI!D23*C343)*VERI_TABANI!$B$7 + MAX(0, VERI_TABANI!D23*C343-MAX(0, VERI_TABANI!D23-VERI_TABANI!D23*B343))*VERI_TABANI!$B$8) + IF(ABS(IF(ISNUMBER(SEARCH("Var", D343)), 1, IF(ISNUMBER(SEARCH("Gri", D343)), -1, 0)))=1, VERI_TABANI!E23*(1-0.928)*VERI_TABANI!$B$9, 0) + (VERI_TABANI!D23*B343*(VERI_TABANI!$B$13-VERI_TABANI!$B$14)*VERI_TABANI!G23) + (VERI_TABANI!D23*C343*(VERI_TABANI!$B$13-VERI_TABANI!$B$15)*VERI_TABANI!G23) + IF(ABS(IF(ISNUMBER(SEARCH("Var", D343)), 1, IF(ISNUMBER(SEARCH("Gri", D343)), -1, 0)))=1, VERI_TABANI!E23*(1-0.928)*0.00206091519919798*VERI_TABANI!G23, 0)) + ((MIN(VERI_TABANI!D24, VERI_TABANI!D24*B343)*VERI_TABANI!$B$7 + MAX(0, VERI_TABANI!D24*B343-VERI_TABANI!D24)*VERI_TABANI!$B$8) + (MIN(MAX(0, VERI_TABANI!D24-VERI_TABANI!D24*B343), VERI_TABANI!D24*C343)*VERI_TABANI!$B$7 + MAX(0, VERI_TABANI!D24*C343-MAX(0, VERI_TABANI!D24-VERI_TABANI!D24*B343))*VERI_TABANI!$B$8) + IF(ABS(IF(ISNUMBER(SEARCH("Var", D343)), 1, IF(ISNUMBER(SEARCH("Gri", D343)), -1, 0)))=1, VERI_TABANI!E24*(1-0.928)*VERI_TABANI!$B$9, 0) + (VERI_TABANI!D24*B343*(VERI_TABANI!$B$13-VERI_TABANI!$B$14)*VERI_TABANI!G24) + (VERI_TABANI!D24*C343*(VERI_TABANI!$B$13-VERI_TABANI!$B$15)*VERI_TABANI!G24) + IF(ABS(IF(ISNUMBER(SEARCH("Var", D343)), 1, IF(ISNUMBER(SEARCH("Gri", D343)), -1, 0)))=1, VERI_TABANI!E24*(1-0.928)*0.00206091519919798*VERI_TABANI!G24, 0)) + ((MIN(VERI_TABANI!D25, VERI_TABANI!D25*B343)*VERI_TABANI!$B$7 + MAX(0, VERI_TABANI!D25*B343-VERI_TABANI!D25)*VERI_TABANI!$B$8) + (MIN(MAX(0, VERI_TABANI!D25-VERI_TABANI!D25*B343), VERI_TABANI!D25*C343)*VERI_TABANI!$B$7 + MAX(0, VERI_TABANI!D25*C343-MAX(0, VERI_TABANI!D25-VERI_TABANI!D25*B343))*VERI_TABANI!$B$8) + IF(ABS(IF(ISNUMBER(SEARCH("Var", D343)), 1, IF(ISNUMBER(SEARCH("Gri", D343)), -1, 0)))=1, VERI_TABANI!E25*(1-0.928)*VERI_TABANI!$B$9, 0) + (VERI_TABANI!D25*B343*(VERI_TABANI!$B$13-VERI_TABANI!$B$14)*VERI_TABANI!G25) + (VERI_TABANI!D25*C343*(VERI_TABANI!$B$13-VERI_TABANI!$B$15)*VERI_TABANI!G25) + IF(ABS(IF(ISNUMBER(SEARCH("Var", D343)), 1, IF(ISNUMBER(SEARCH("Gri", D343)), -1, 0)))=1, VERI_TABANI!E25*(1-0.928)*0.00206091519919798*VERI_TABANI!G25, 0)) + ((MIN(VERI_TABANI!D26, VERI_TABANI!D26*B343)*VERI_TABANI!$B$7 + MAX(0, VERI_TABANI!D26*B343-VERI_TABANI!D26)*VERI_TABANI!$B$8) + (MIN(MAX(0, VERI_TABANI!D26-VERI_TABANI!D26*B343), VERI_TABANI!D26*C343)*VERI_TABANI!$B$7 + MAX(0, VERI_TABANI!D26*C343-MAX(0, VERI_TABANI!D26-VERI_TABANI!D26*B343))*VERI_TABANI!$B$8) + IF(ABS(IF(ISNUMBER(SEARCH("Var", D343)), 1, IF(ISNUMBER(SEARCH("Gri", D343)), -1, 0)))=1, VERI_TABANI!E26*(1-0.928)*VERI_TABANI!$B$9, 0) + (VERI_TABANI!D26*B343*(VERI_TABANI!$B$13-VERI_TABANI!$B$14)*VERI_TABANI!G26) + (VERI_TABANI!D26*C343*(VERI_TABANI!$B$13-VERI_TABANI!$B$15)*VERI_TABANI!G26) + IF(ABS(IF(ISNUMBER(SEARCH("Var", D343)), 1, IF(ISNUMBER(SEARCH("Gri", D343)), -1, 0)))=1, VERI_TABANI!E26*(1-0.928)*0.00206091519919798*VERI_TABANI!G26, 0)) + ((MIN(VERI_TABANI!D27, VERI_TABANI!D27*B343)*VERI_TABANI!$B$7 + MAX(0, VERI_TABANI!D27*B343-VERI_TABANI!D27)*VERI_TABANI!$B$8) + (MIN(MAX(0, VERI_TABANI!D27-VERI_TABANI!D27*B343), VERI_TABANI!D27*C343)*VERI_TABANI!$B$7 + MAX(0, VERI_TABANI!D27*C343-MAX(0, VERI_TABANI!D27-VERI_TABANI!D27*B343))*VERI_TABANI!$B$8) + IF(ABS(IF(ISNUMBER(SEARCH("Var", D343)), 1, IF(ISNUMBER(SEARCH("Gri", D343)), -1, 0)))=1, VERI_TABANI!E27*(1-0.928)*VERI_TABANI!$B$9, 0) + (VERI_TABANI!D27*B343*(VERI_TABANI!$B$13-VERI_TABANI!$B$14)*VERI_TABANI!G27) + (VERI_TABANI!D27*C343*(VERI_TABANI!$B$13-VERI_TABANI!$B$15)*VERI_TABANI!G27) + IF(ABS(IF(ISNUMBER(SEARCH("Var", D343)), 1, IF(ISNUMBER(SEARCH("Gri", D343)), -1, 0)))=1, VERI_TABANI!E27*(1-0.928)*0.00206091519919798*VERI_TABANI!G27, 0)) + ((MIN(VERI_TABANI!D28, VERI_TABANI!D28*B343)*VERI_TABANI!$B$7 + MAX(0, VERI_TABANI!D28*B343-VERI_TABANI!D28)*VERI_TABANI!$B$8) + (MIN(MAX(0, VERI_TABANI!D28-VERI_TABANI!D28*B343), VERI_TABANI!D28*C343)*VERI_TABANI!$B$7 + MAX(0, VERI_TABANI!D28*C343-MAX(0, VERI_TABANI!D28-VERI_TABANI!D28*B343))*VERI_TABANI!$B$8) + IF(ABS(IF(ISNUMBER(SEARCH("Var", D343)), 1, IF(ISNUMBER(SEARCH("Gri", D343)), -1, 0)))=1, VERI_TABANI!E28*(1-0.928)*VERI_TABANI!$B$9, 0) + (VERI_TABANI!D28*B343*(VERI_TABANI!$B$13-VERI_TABANI!$B$14)*VERI_TABANI!G28) + (VERI_TABANI!D28*C343*(VERI_TABANI!$B$13-VERI_TABANI!$B$15)*VERI_TABANI!G28) + IF(ABS(IF(ISNUMBER(SEARCH("Var", D343)), 1, IF(ISNUMBER(SEARCH("Gri", D343)), -1, 0)))=1, VERI_TABANI!E28*(1-0.928)*0.00206091519919798*VERI_TABANI!G28, 0)))</f>
        <v/>
      </c>
      <c r="H343" s="169">
        <f>(((VERI_TABANI!D23*B343*(VERI_TABANI!$B$13-VERI_TABANI!$B$14)) + (VERI_TABANI!D23*C343*(VERI_TABANI!$B$13-VERI_TABANI!$B$15)) + IF(ISNUMBER(SEARCH("Var", D343)), VERI_TABANI!F23*(0.00202-VERI_TABANI!$B$16), IF(ISNUMBER(SEARCH("Gri", D343)), VERI_TABANI!F23*(0.00202-VERI_TABANI!$B$17), 0))) + ((VERI_TABANI!D24*B343*(VERI_TABANI!$B$13-VERI_TABANI!$B$14)) + (VERI_TABANI!D24*C343*(VERI_TABANI!$B$13-VERI_TABANI!$B$15)) + IF(ISNUMBER(SEARCH("Var", D343)), VERI_TABANI!F24*(0.00202-VERI_TABANI!$B$16), IF(ISNUMBER(SEARCH("Gri", D343)), VERI_TABANI!F24*(0.00202-VERI_TABANI!$B$17), 0))) + ((VERI_TABANI!D25*B343*(VERI_TABANI!$B$13-VERI_TABANI!$B$14)) + (VERI_TABANI!D25*C343*(VERI_TABANI!$B$13-VERI_TABANI!$B$15)) + IF(ISNUMBER(SEARCH("Var", D343)), VERI_TABANI!F25*(0.00202-VERI_TABANI!$B$16), IF(ISNUMBER(SEARCH("Gri", D343)), VERI_TABANI!F25*(0.00202-VERI_TABANI!$B$17), 0))) + ((VERI_TABANI!D26*B343*(VERI_TABANI!$B$13-VERI_TABANI!$B$14)) + (VERI_TABANI!D26*C343*(VERI_TABANI!$B$13-VERI_TABANI!$B$15)) + IF(ISNUMBER(SEARCH("Var", D343)), VERI_TABANI!F26*(0.00202-VERI_TABANI!$B$16), IF(ISNUMBER(SEARCH("Gri", D343)), VERI_TABANI!F26*(0.00202-VERI_TABANI!$B$17), 0))) + ((VERI_TABANI!D27*B343*(VERI_TABANI!$B$13-VERI_TABANI!$B$14)) + (VERI_TABANI!D27*C343*(VERI_TABANI!$B$13-VERI_TABANI!$B$15)) + IF(ISNUMBER(SEARCH("Var", D343)), VERI_TABANI!F27*(0.00202-VERI_TABANI!$B$16), IF(ISNUMBER(SEARCH("Gri", D343)), VERI_TABANI!F27*(0.00202-VERI_TABANI!$B$17), 0))) + ((VERI_TABANI!D28*B343*(VERI_TABANI!$B$13-VERI_TABANI!$B$14)) + (VERI_TABANI!D28*C343*(VERI_TABANI!$B$13-VERI_TABANI!$B$15)) + IF(ISNUMBER(SEARCH("Var", D343)), VERI_TABANI!F28*(0.00202-VERI_TABANI!$B$16), IF(ISNUMBER(SEARCH("Gri", D343)), VERI_TABANI!F28*(0.00202-VERI_TABANI!$B$17), 0))))</f>
        <v/>
      </c>
      <c r="I343" s="170">
        <f>IFERROR(((VERI_TABANI!$D$29*B343*VERI_TABANI!$B$14 + VERI_TABANI!$D$29*C343*VERI_TABANI!$B$15 + IF(ISNUMBER(SEARCH("Var", D343)), VERI_TABANI!$F$29*VERI_TABANI!$B$16, 0))) / (((VERI_TABANI!$D$29*B343 + VERI_TABANI!$D$29*C343)*VERI_TABANI!$B$13 + IF(ISNUMBER(SEARCH("Var", D343)), VERI_TABANI!$E$29*(1-0.928)*VERI_TABANI!$B$18, 0))), 0)</f>
        <v/>
      </c>
      <c r="J343" s="171">
        <f>IFERROR(F343/(G343/29), 0)</f>
        <v/>
      </c>
      <c r="K343" s="172">
        <f>IF(F343&gt;0, H343/F343, 0)</f>
        <v/>
      </c>
      <c r="L343" s="170">
        <f>IF(F343&gt;0, I343, 1000000000)</f>
        <v/>
      </c>
      <c r="M343" s="171">
        <f>ABS((B343+C343)-1)</f>
        <v/>
      </c>
      <c r="N343" s="170">
        <f>IF(F343&gt;0, (G343/29)/F343, 0)</f>
        <v/>
      </c>
      <c r="O343" s="168">
        <f>IF(AND((B343+C343)&gt;=1, ISNUMBER(SEARCH("Var", D343))), F343, 1000000000)</f>
        <v/>
      </c>
      <c r="P343" s="172">
        <f>IF(F343&gt;0, SQRT((F343/MAX(F$5:F$886))^2 + (1 - H343/MAX(H$5:H$886))^2 + (J343/MAX(J$5:J$886))^2), 1000000000)</f>
        <v/>
      </c>
      <c r="Q343" s="166">
        <f>IF(AND(ABS(B343-0.5)&lt;0.01, ABS(C343-0.5)&lt;0.01, ISNUMBER(SEARCH("Var", D343))), 1, 0)</f>
        <v/>
      </c>
      <c r="R343" s="171">
        <f>IF(F343&gt;0, J343, 1000000000)</f>
        <v/>
      </c>
      <c r="S343" s="101">
        <f>IF(AND(F343&lt;=DASHBOARD!$B$11, H343&gt;=DASHBOARD!$B$13), G343, -1000000000000)</f>
        <v/>
      </c>
      <c r="T343" s="101">
        <f>IF(AND(F343&lt;=DASHBOARD!$B$11, H343&gt;=DASHBOARD!$B$13), R343, 1000000000000)</f>
        <v/>
      </c>
      <c r="U343" s="101">
        <f>IF(AND(F343&lt;=DASHBOARD!$B$11, H343&gt;=DASHBOARD!$B$13), N343, -1000000000000)</f>
        <v/>
      </c>
      <c r="V343" s="101">
        <f>IF(AND(F343&lt;=DASHBOARD!$B$11, H343&gt;=DASHBOARD!$B$13), H343, -1000000000000)</f>
        <v/>
      </c>
      <c r="W343" s="101">
        <f>IF(AND(F343&lt;=DASHBOARD!$B$11, H343&gt;=DASHBOARD!$B$13), K343, -1000000000000)</f>
        <v/>
      </c>
      <c r="X343" s="101">
        <f>IF(AND(F343&lt;=DASHBOARD!$B$11, H343&gt;=DASHBOARD!$B$13), M343, 1000000000000)</f>
        <v/>
      </c>
      <c r="Y343" s="101">
        <f>IF(AND(F343&lt;=DASHBOARD!$B$10, H343&gt;=DASHBOARD!$B$11), L343, 1000000000000)</f>
        <v/>
      </c>
      <c r="Z343" s="101">
        <f>IF(AND(F343&lt;=DASHBOARD!$B$10, H343&gt;=DASHBOARD!$B$11), O343, 1000000000000)</f>
        <v/>
      </c>
      <c r="AA343" s="101">
        <f>IF(AND(F343&lt;=DASHBOARD!$B$10, H343&gt;=DASHBOARD!$B$11), P343, 1000000000000)</f>
        <v/>
      </c>
      <c r="AB343" s="101">
        <f>IF(AND(F343&lt;=DASHBOARD!$B$10, H343&gt;=DASHBOARD!$B$11), Q343, -1000000000000)</f>
        <v/>
      </c>
    </row>
    <row r="344" ht="15" customHeight="1" s="102">
      <c r="A344" s="166" t="n">
        <v>340</v>
      </c>
      <c r="B344" s="167" t="n">
        <v>0.8</v>
      </c>
      <c r="C344" s="167" t="n">
        <v>0.1</v>
      </c>
      <c r="D344" s="110" t="inlineStr">
        <is>
          <t>Var (%20)</t>
        </is>
      </c>
      <c r="E344" s="110">
        <f>IF((B344+C344)&lt;=1, "Tam Mahsuplaşma (≤%100)", "Kısmi Satış (&gt;%100)")</f>
        <v/>
      </c>
      <c r="F344" s="168">
        <f>((VERI_TABANI!$D$29*B344/VERI_TABANI!$B$29)/VERI_TABANI!$B$3)*VERI_TABANI!$B$5 + ((VERI_TABANI!$D$29*C344/VERI_TABANI!$B$29)/VERI_TABANI!$B$4)*VERI_TABANI!$B$6 + IF(ISNUMBER(SEARCH("Var", D344)), (VERI_TABANI!$F$29/VERI_TABANI!$B$29)*(VERI_TABANI!$B$10+VERI_TABANI!$B$12), 0)</f>
        <v/>
      </c>
      <c r="G344" s="168">
        <f>(((MIN(VERI_TABANI!D23, VERI_TABANI!D23*B344)*VERI_TABANI!$B$7 + MAX(0, VERI_TABANI!D23*B344-VERI_TABANI!D23)*VERI_TABANI!$B$8) + (MIN(MAX(0, VERI_TABANI!D23-VERI_TABANI!D23*B344), VERI_TABANI!D23*C344)*VERI_TABANI!$B$7 + MAX(0, VERI_TABANI!D23*C344-MAX(0, VERI_TABANI!D23-VERI_TABANI!D23*B344))*VERI_TABANI!$B$8) + IF(ABS(IF(ISNUMBER(SEARCH("Var", D344)), 1, IF(ISNUMBER(SEARCH("Gri", D344)), -1, 0)))=1, VERI_TABANI!E23*(1-0.928)*VERI_TABANI!$B$9, 0) + (VERI_TABANI!D23*B344*(VERI_TABANI!$B$13-VERI_TABANI!$B$14)*VERI_TABANI!G23) + (VERI_TABANI!D23*C344*(VERI_TABANI!$B$13-VERI_TABANI!$B$15)*VERI_TABANI!G23) + IF(ABS(IF(ISNUMBER(SEARCH("Var", D344)), 1, IF(ISNUMBER(SEARCH("Gri", D344)), -1, 0)))=1, VERI_TABANI!E23*(1-0.928)*0.00206091519919798*VERI_TABANI!G23, 0)) + ((MIN(VERI_TABANI!D24, VERI_TABANI!D24*B344)*VERI_TABANI!$B$7 + MAX(0, VERI_TABANI!D24*B344-VERI_TABANI!D24)*VERI_TABANI!$B$8) + (MIN(MAX(0, VERI_TABANI!D24-VERI_TABANI!D24*B344), VERI_TABANI!D24*C344)*VERI_TABANI!$B$7 + MAX(0, VERI_TABANI!D24*C344-MAX(0, VERI_TABANI!D24-VERI_TABANI!D24*B344))*VERI_TABANI!$B$8) + IF(ABS(IF(ISNUMBER(SEARCH("Var", D344)), 1, IF(ISNUMBER(SEARCH("Gri", D344)), -1, 0)))=1, VERI_TABANI!E24*(1-0.928)*VERI_TABANI!$B$9, 0) + (VERI_TABANI!D24*B344*(VERI_TABANI!$B$13-VERI_TABANI!$B$14)*VERI_TABANI!G24) + (VERI_TABANI!D24*C344*(VERI_TABANI!$B$13-VERI_TABANI!$B$15)*VERI_TABANI!G24) + IF(ABS(IF(ISNUMBER(SEARCH("Var", D344)), 1, IF(ISNUMBER(SEARCH("Gri", D344)), -1, 0)))=1, VERI_TABANI!E24*(1-0.928)*0.00206091519919798*VERI_TABANI!G24, 0)) + ((MIN(VERI_TABANI!D25, VERI_TABANI!D25*B344)*VERI_TABANI!$B$7 + MAX(0, VERI_TABANI!D25*B344-VERI_TABANI!D25)*VERI_TABANI!$B$8) + (MIN(MAX(0, VERI_TABANI!D25-VERI_TABANI!D25*B344), VERI_TABANI!D25*C344)*VERI_TABANI!$B$7 + MAX(0, VERI_TABANI!D25*C344-MAX(0, VERI_TABANI!D25-VERI_TABANI!D25*B344))*VERI_TABANI!$B$8) + IF(ABS(IF(ISNUMBER(SEARCH("Var", D344)), 1, IF(ISNUMBER(SEARCH("Gri", D344)), -1, 0)))=1, VERI_TABANI!E25*(1-0.928)*VERI_TABANI!$B$9, 0) + (VERI_TABANI!D25*B344*(VERI_TABANI!$B$13-VERI_TABANI!$B$14)*VERI_TABANI!G25) + (VERI_TABANI!D25*C344*(VERI_TABANI!$B$13-VERI_TABANI!$B$15)*VERI_TABANI!G25) + IF(ABS(IF(ISNUMBER(SEARCH("Var", D344)), 1, IF(ISNUMBER(SEARCH("Gri", D344)), -1, 0)))=1, VERI_TABANI!E25*(1-0.928)*0.00206091519919798*VERI_TABANI!G25, 0)) + ((MIN(VERI_TABANI!D26, VERI_TABANI!D26*B344)*VERI_TABANI!$B$7 + MAX(0, VERI_TABANI!D26*B344-VERI_TABANI!D26)*VERI_TABANI!$B$8) + (MIN(MAX(0, VERI_TABANI!D26-VERI_TABANI!D26*B344), VERI_TABANI!D26*C344)*VERI_TABANI!$B$7 + MAX(0, VERI_TABANI!D26*C344-MAX(0, VERI_TABANI!D26-VERI_TABANI!D26*B344))*VERI_TABANI!$B$8) + IF(ABS(IF(ISNUMBER(SEARCH("Var", D344)), 1, IF(ISNUMBER(SEARCH("Gri", D344)), -1, 0)))=1, VERI_TABANI!E26*(1-0.928)*VERI_TABANI!$B$9, 0) + (VERI_TABANI!D26*B344*(VERI_TABANI!$B$13-VERI_TABANI!$B$14)*VERI_TABANI!G26) + (VERI_TABANI!D26*C344*(VERI_TABANI!$B$13-VERI_TABANI!$B$15)*VERI_TABANI!G26) + IF(ABS(IF(ISNUMBER(SEARCH("Var", D344)), 1, IF(ISNUMBER(SEARCH("Gri", D344)), -1, 0)))=1, VERI_TABANI!E26*(1-0.928)*0.00206091519919798*VERI_TABANI!G26, 0)) + ((MIN(VERI_TABANI!D27, VERI_TABANI!D27*B344)*VERI_TABANI!$B$7 + MAX(0, VERI_TABANI!D27*B344-VERI_TABANI!D27)*VERI_TABANI!$B$8) + (MIN(MAX(0, VERI_TABANI!D27-VERI_TABANI!D27*B344), VERI_TABANI!D27*C344)*VERI_TABANI!$B$7 + MAX(0, VERI_TABANI!D27*C344-MAX(0, VERI_TABANI!D27-VERI_TABANI!D27*B344))*VERI_TABANI!$B$8) + IF(ABS(IF(ISNUMBER(SEARCH("Var", D344)), 1, IF(ISNUMBER(SEARCH("Gri", D344)), -1, 0)))=1, VERI_TABANI!E27*(1-0.928)*VERI_TABANI!$B$9, 0) + (VERI_TABANI!D27*B344*(VERI_TABANI!$B$13-VERI_TABANI!$B$14)*VERI_TABANI!G27) + (VERI_TABANI!D27*C344*(VERI_TABANI!$B$13-VERI_TABANI!$B$15)*VERI_TABANI!G27) + IF(ABS(IF(ISNUMBER(SEARCH("Var", D344)), 1, IF(ISNUMBER(SEARCH("Gri", D344)), -1, 0)))=1, VERI_TABANI!E27*(1-0.928)*0.00206091519919798*VERI_TABANI!G27, 0)) + ((MIN(VERI_TABANI!D28, VERI_TABANI!D28*B344)*VERI_TABANI!$B$7 + MAX(0, VERI_TABANI!D28*B344-VERI_TABANI!D28)*VERI_TABANI!$B$8) + (MIN(MAX(0, VERI_TABANI!D28-VERI_TABANI!D28*B344), VERI_TABANI!D28*C344)*VERI_TABANI!$B$7 + MAX(0, VERI_TABANI!D28*C344-MAX(0, VERI_TABANI!D28-VERI_TABANI!D28*B344))*VERI_TABANI!$B$8) + IF(ABS(IF(ISNUMBER(SEARCH("Var", D344)), 1, IF(ISNUMBER(SEARCH("Gri", D344)), -1, 0)))=1, VERI_TABANI!E28*(1-0.928)*VERI_TABANI!$B$9, 0) + (VERI_TABANI!D28*B344*(VERI_TABANI!$B$13-VERI_TABANI!$B$14)*VERI_TABANI!G28) + (VERI_TABANI!D28*C344*(VERI_TABANI!$B$13-VERI_TABANI!$B$15)*VERI_TABANI!G28) + IF(ABS(IF(ISNUMBER(SEARCH("Var", D344)), 1, IF(ISNUMBER(SEARCH("Gri", D344)), -1, 0)))=1, VERI_TABANI!E28*(1-0.928)*0.00206091519919798*VERI_TABANI!G28, 0)))</f>
        <v/>
      </c>
      <c r="H344" s="169">
        <f>(((VERI_TABANI!D23*B344*(VERI_TABANI!$B$13-VERI_TABANI!$B$14)) + (VERI_TABANI!D23*C344*(VERI_TABANI!$B$13-VERI_TABANI!$B$15)) + IF(ISNUMBER(SEARCH("Var", D344)), VERI_TABANI!F23*(0.00202-VERI_TABANI!$B$16), IF(ISNUMBER(SEARCH("Gri", D344)), VERI_TABANI!F23*(0.00202-VERI_TABANI!$B$17), 0))) + ((VERI_TABANI!D24*B344*(VERI_TABANI!$B$13-VERI_TABANI!$B$14)) + (VERI_TABANI!D24*C344*(VERI_TABANI!$B$13-VERI_TABANI!$B$15)) + IF(ISNUMBER(SEARCH("Var", D344)), VERI_TABANI!F24*(0.00202-VERI_TABANI!$B$16), IF(ISNUMBER(SEARCH("Gri", D344)), VERI_TABANI!F24*(0.00202-VERI_TABANI!$B$17), 0))) + ((VERI_TABANI!D25*B344*(VERI_TABANI!$B$13-VERI_TABANI!$B$14)) + (VERI_TABANI!D25*C344*(VERI_TABANI!$B$13-VERI_TABANI!$B$15)) + IF(ISNUMBER(SEARCH("Var", D344)), VERI_TABANI!F25*(0.00202-VERI_TABANI!$B$16), IF(ISNUMBER(SEARCH("Gri", D344)), VERI_TABANI!F25*(0.00202-VERI_TABANI!$B$17), 0))) + ((VERI_TABANI!D26*B344*(VERI_TABANI!$B$13-VERI_TABANI!$B$14)) + (VERI_TABANI!D26*C344*(VERI_TABANI!$B$13-VERI_TABANI!$B$15)) + IF(ISNUMBER(SEARCH("Var", D344)), VERI_TABANI!F26*(0.00202-VERI_TABANI!$B$16), IF(ISNUMBER(SEARCH("Gri", D344)), VERI_TABANI!F26*(0.00202-VERI_TABANI!$B$17), 0))) + ((VERI_TABANI!D27*B344*(VERI_TABANI!$B$13-VERI_TABANI!$B$14)) + (VERI_TABANI!D27*C344*(VERI_TABANI!$B$13-VERI_TABANI!$B$15)) + IF(ISNUMBER(SEARCH("Var", D344)), VERI_TABANI!F27*(0.00202-VERI_TABANI!$B$16), IF(ISNUMBER(SEARCH("Gri", D344)), VERI_TABANI!F27*(0.00202-VERI_TABANI!$B$17), 0))) + ((VERI_TABANI!D28*B344*(VERI_TABANI!$B$13-VERI_TABANI!$B$14)) + (VERI_TABANI!D28*C344*(VERI_TABANI!$B$13-VERI_TABANI!$B$15)) + IF(ISNUMBER(SEARCH("Var", D344)), VERI_TABANI!F28*(0.00202-VERI_TABANI!$B$16), IF(ISNUMBER(SEARCH("Gri", D344)), VERI_TABANI!F28*(0.00202-VERI_TABANI!$B$17), 0))))</f>
        <v/>
      </c>
      <c r="I344" s="170">
        <f>IFERROR(((VERI_TABANI!$D$29*B344*VERI_TABANI!$B$14 + VERI_TABANI!$D$29*C344*VERI_TABANI!$B$15 + IF(ISNUMBER(SEARCH("Var", D344)), VERI_TABANI!$F$29*VERI_TABANI!$B$16, 0))) / (((VERI_TABANI!$D$29*B344 + VERI_TABANI!$D$29*C344)*VERI_TABANI!$B$13 + IF(ISNUMBER(SEARCH("Var", D344)), VERI_TABANI!$E$29*(1-0.928)*VERI_TABANI!$B$18, 0))), 0)</f>
        <v/>
      </c>
      <c r="J344" s="171">
        <f>IFERROR(F344/(G344/29), 0)</f>
        <v/>
      </c>
      <c r="K344" s="172">
        <f>IF(F344&gt;0, H344/F344, 0)</f>
        <v/>
      </c>
      <c r="L344" s="170">
        <f>IF(F344&gt;0, I344, 1000000000)</f>
        <v/>
      </c>
      <c r="M344" s="171">
        <f>ABS((B344+C344)-1)</f>
        <v/>
      </c>
      <c r="N344" s="170">
        <f>IF(F344&gt;0, (G344/29)/F344, 0)</f>
        <v/>
      </c>
      <c r="O344" s="168">
        <f>IF(AND((B344+C344)&gt;=1, ISNUMBER(SEARCH("Var", D344))), F344, 1000000000)</f>
        <v/>
      </c>
      <c r="P344" s="172">
        <f>IF(F344&gt;0, SQRT((F344/MAX(F$5:F$886))^2 + (1 - H344/MAX(H$5:H$886))^2 + (J344/MAX(J$5:J$886))^2), 1000000000)</f>
        <v/>
      </c>
      <c r="Q344" s="166">
        <f>IF(AND(ABS(B344-0.5)&lt;0.01, ABS(C344-0.5)&lt;0.01, ISNUMBER(SEARCH("Var", D344))), 1, 0)</f>
        <v/>
      </c>
      <c r="R344" s="171">
        <f>IF(F344&gt;0, J344, 1000000000)</f>
        <v/>
      </c>
      <c r="S344" s="101">
        <f>IF(AND(F344&lt;=DASHBOARD!$B$11, H344&gt;=DASHBOARD!$B$13), G344, -1000000000000)</f>
        <v/>
      </c>
      <c r="T344" s="101">
        <f>IF(AND(F344&lt;=DASHBOARD!$B$11, H344&gt;=DASHBOARD!$B$13), R344, 1000000000000)</f>
        <v/>
      </c>
      <c r="U344" s="101">
        <f>IF(AND(F344&lt;=DASHBOARD!$B$11, H344&gt;=DASHBOARD!$B$13), N344, -1000000000000)</f>
        <v/>
      </c>
      <c r="V344" s="101">
        <f>IF(AND(F344&lt;=DASHBOARD!$B$11, H344&gt;=DASHBOARD!$B$13), H344, -1000000000000)</f>
        <v/>
      </c>
      <c r="W344" s="101">
        <f>IF(AND(F344&lt;=DASHBOARD!$B$11, H344&gt;=DASHBOARD!$B$13), K344, -1000000000000)</f>
        <v/>
      </c>
      <c r="X344" s="101">
        <f>IF(AND(F344&lt;=DASHBOARD!$B$11, H344&gt;=DASHBOARD!$B$13), M344, 1000000000000)</f>
        <v/>
      </c>
      <c r="Y344" s="101">
        <f>IF(AND(F344&lt;=DASHBOARD!$B$10, H344&gt;=DASHBOARD!$B$11), L344, 1000000000000)</f>
        <v/>
      </c>
      <c r="Z344" s="101">
        <f>IF(AND(F344&lt;=DASHBOARD!$B$10, H344&gt;=DASHBOARD!$B$11), O344, 1000000000000)</f>
        <v/>
      </c>
      <c r="AA344" s="101">
        <f>IF(AND(F344&lt;=DASHBOARD!$B$10, H344&gt;=DASHBOARD!$B$11), P344, 1000000000000)</f>
        <v/>
      </c>
      <c r="AB344" s="101">
        <f>IF(AND(F344&lt;=DASHBOARD!$B$10, H344&gt;=DASHBOARD!$B$11), Q344, -1000000000000)</f>
        <v/>
      </c>
    </row>
    <row r="345" ht="15" customHeight="1" s="102">
      <c r="A345" s="166" t="n">
        <v>341</v>
      </c>
      <c r="B345" s="167" t="n">
        <v>0.8</v>
      </c>
      <c r="C345" s="167" t="n">
        <v>0.2</v>
      </c>
      <c r="D345" s="110" t="inlineStr">
        <is>
          <t>Yok (%0)</t>
        </is>
      </c>
      <c r="E345" s="110">
        <f>IF((B345+C345)&lt;=1, "Tam Mahsuplaşma (≤%100)", "Kısmi Satış (&gt;%100)")</f>
        <v/>
      </c>
      <c r="F345" s="168">
        <f>((VERI_TABANI!$D$29*B345/VERI_TABANI!$B$29)/VERI_TABANI!$B$3)*VERI_TABANI!$B$5 + ((VERI_TABANI!$D$29*C345/VERI_TABANI!$B$29)/VERI_TABANI!$B$4)*VERI_TABANI!$B$6 + IF(ISNUMBER(SEARCH("Var", D345)), (VERI_TABANI!$F$29/VERI_TABANI!$B$29)*(VERI_TABANI!$B$10+VERI_TABANI!$B$12), 0)</f>
        <v/>
      </c>
      <c r="G345" s="168">
        <f>(((MIN(VERI_TABANI!D23, VERI_TABANI!D23*B345)*VERI_TABANI!$B$7 + MAX(0, VERI_TABANI!D23*B345-VERI_TABANI!D23)*VERI_TABANI!$B$8) + (MIN(MAX(0, VERI_TABANI!D23-VERI_TABANI!D23*B345), VERI_TABANI!D23*C345)*VERI_TABANI!$B$7 + MAX(0, VERI_TABANI!D23*C345-MAX(0, VERI_TABANI!D23-VERI_TABANI!D23*B345))*VERI_TABANI!$B$8) + IF(ABS(IF(ISNUMBER(SEARCH("Var", D345)), 1, IF(ISNUMBER(SEARCH("Gri", D345)), -1, 0)))=1, VERI_TABANI!E23*(1-0.928)*VERI_TABANI!$B$9, 0) + (VERI_TABANI!D23*B345*(VERI_TABANI!$B$13-VERI_TABANI!$B$14)*VERI_TABANI!G23) + (VERI_TABANI!D23*C345*(VERI_TABANI!$B$13-VERI_TABANI!$B$15)*VERI_TABANI!G23) + IF(ABS(IF(ISNUMBER(SEARCH("Var", D345)), 1, IF(ISNUMBER(SEARCH("Gri", D345)), -1, 0)))=1, VERI_TABANI!E23*(1-0.928)*0.00206091519919798*VERI_TABANI!G23, 0)) + ((MIN(VERI_TABANI!D24, VERI_TABANI!D24*B345)*VERI_TABANI!$B$7 + MAX(0, VERI_TABANI!D24*B345-VERI_TABANI!D24)*VERI_TABANI!$B$8) + (MIN(MAX(0, VERI_TABANI!D24-VERI_TABANI!D24*B345), VERI_TABANI!D24*C345)*VERI_TABANI!$B$7 + MAX(0, VERI_TABANI!D24*C345-MAX(0, VERI_TABANI!D24-VERI_TABANI!D24*B345))*VERI_TABANI!$B$8) + IF(ABS(IF(ISNUMBER(SEARCH("Var", D345)), 1, IF(ISNUMBER(SEARCH("Gri", D345)), -1, 0)))=1, VERI_TABANI!E24*(1-0.928)*VERI_TABANI!$B$9, 0) + (VERI_TABANI!D24*B345*(VERI_TABANI!$B$13-VERI_TABANI!$B$14)*VERI_TABANI!G24) + (VERI_TABANI!D24*C345*(VERI_TABANI!$B$13-VERI_TABANI!$B$15)*VERI_TABANI!G24) + IF(ABS(IF(ISNUMBER(SEARCH("Var", D345)), 1, IF(ISNUMBER(SEARCH("Gri", D345)), -1, 0)))=1, VERI_TABANI!E24*(1-0.928)*0.00206091519919798*VERI_TABANI!G24, 0)) + ((MIN(VERI_TABANI!D25, VERI_TABANI!D25*B345)*VERI_TABANI!$B$7 + MAX(0, VERI_TABANI!D25*B345-VERI_TABANI!D25)*VERI_TABANI!$B$8) + (MIN(MAX(0, VERI_TABANI!D25-VERI_TABANI!D25*B345), VERI_TABANI!D25*C345)*VERI_TABANI!$B$7 + MAX(0, VERI_TABANI!D25*C345-MAX(0, VERI_TABANI!D25-VERI_TABANI!D25*B345))*VERI_TABANI!$B$8) + IF(ABS(IF(ISNUMBER(SEARCH("Var", D345)), 1, IF(ISNUMBER(SEARCH("Gri", D345)), -1, 0)))=1, VERI_TABANI!E25*(1-0.928)*VERI_TABANI!$B$9, 0) + (VERI_TABANI!D25*B345*(VERI_TABANI!$B$13-VERI_TABANI!$B$14)*VERI_TABANI!G25) + (VERI_TABANI!D25*C345*(VERI_TABANI!$B$13-VERI_TABANI!$B$15)*VERI_TABANI!G25) + IF(ABS(IF(ISNUMBER(SEARCH("Var", D345)), 1, IF(ISNUMBER(SEARCH("Gri", D345)), -1, 0)))=1, VERI_TABANI!E25*(1-0.928)*0.00206091519919798*VERI_TABANI!G25, 0)) + ((MIN(VERI_TABANI!D26, VERI_TABANI!D26*B345)*VERI_TABANI!$B$7 + MAX(0, VERI_TABANI!D26*B345-VERI_TABANI!D26)*VERI_TABANI!$B$8) + (MIN(MAX(0, VERI_TABANI!D26-VERI_TABANI!D26*B345), VERI_TABANI!D26*C345)*VERI_TABANI!$B$7 + MAX(0, VERI_TABANI!D26*C345-MAX(0, VERI_TABANI!D26-VERI_TABANI!D26*B345))*VERI_TABANI!$B$8) + IF(ABS(IF(ISNUMBER(SEARCH("Var", D345)), 1, IF(ISNUMBER(SEARCH("Gri", D345)), -1, 0)))=1, VERI_TABANI!E26*(1-0.928)*VERI_TABANI!$B$9, 0) + (VERI_TABANI!D26*B345*(VERI_TABANI!$B$13-VERI_TABANI!$B$14)*VERI_TABANI!G26) + (VERI_TABANI!D26*C345*(VERI_TABANI!$B$13-VERI_TABANI!$B$15)*VERI_TABANI!G26) + IF(ABS(IF(ISNUMBER(SEARCH("Var", D345)), 1, IF(ISNUMBER(SEARCH("Gri", D345)), -1, 0)))=1, VERI_TABANI!E26*(1-0.928)*0.00206091519919798*VERI_TABANI!G26, 0)) + ((MIN(VERI_TABANI!D27, VERI_TABANI!D27*B345)*VERI_TABANI!$B$7 + MAX(0, VERI_TABANI!D27*B345-VERI_TABANI!D27)*VERI_TABANI!$B$8) + (MIN(MAX(0, VERI_TABANI!D27-VERI_TABANI!D27*B345), VERI_TABANI!D27*C345)*VERI_TABANI!$B$7 + MAX(0, VERI_TABANI!D27*C345-MAX(0, VERI_TABANI!D27-VERI_TABANI!D27*B345))*VERI_TABANI!$B$8) + IF(ABS(IF(ISNUMBER(SEARCH("Var", D345)), 1, IF(ISNUMBER(SEARCH("Gri", D345)), -1, 0)))=1, VERI_TABANI!E27*(1-0.928)*VERI_TABANI!$B$9, 0) + (VERI_TABANI!D27*B345*(VERI_TABANI!$B$13-VERI_TABANI!$B$14)*VERI_TABANI!G27) + (VERI_TABANI!D27*C345*(VERI_TABANI!$B$13-VERI_TABANI!$B$15)*VERI_TABANI!G27) + IF(ABS(IF(ISNUMBER(SEARCH("Var", D345)), 1, IF(ISNUMBER(SEARCH("Gri", D345)), -1, 0)))=1, VERI_TABANI!E27*(1-0.928)*0.00206091519919798*VERI_TABANI!G27, 0)) + ((MIN(VERI_TABANI!D28, VERI_TABANI!D28*B345)*VERI_TABANI!$B$7 + MAX(0, VERI_TABANI!D28*B345-VERI_TABANI!D28)*VERI_TABANI!$B$8) + (MIN(MAX(0, VERI_TABANI!D28-VERI_TABANI!D28*B345), VERI_TABANI!D28*C345)*VERI_TABANI!$B$7 + MAX(0, VERI_TABANI!D28*C345-MAX(0, VERI_TABANI!D28-VERI_TABANI!D28*B345))*VERI_TABANI!$B$8) + IF(ABS(IF(ISNUMBER(SEARCH("Var", D345)), 1, IF(ISNUMBER(SEARCH("Gri", D345)), -1, 0)))=1, VERI_TABANI!E28*(1-0.928)*VERI_TABANI!$B$9, 0) + (VERI_TABANI!D28*B345*(VERI_TABANI!$B$13-VERI_TABANI!$B$14)*VERI_TABANI!G28) + (VERI_TABANI!D28*C345*(VERI_TABANI!$B$13-VERI_TABANI!$B$15)*VERI_TABANI!G28) + IF(ABS(IF(ISNUMBER(SEARCH("Var", D345)), 1, IF(ISNUMBER(SEARCH("Gri", D345)), -1, 0)))=1, VERI_TABANI!E28*(1-0.928)*0.00206091519919798*VERI_TABANI!G28, 0)))</f>
        <v/>
      </c>
      <c r="H345" s="169">
        <f>(((VERI_TABANI!D23*B345*(VERI_TABANI!$B$13-VERI_TABANI!$B$14)) + (VERI_TABANI!D23*C345*(VERI_TABANI!$B$13-VERI_TABANI!$B$15)) + IF(ISNUMBER(SEARCH("Var", D345)), VERI_TABANI!F23*(0.00202-VERI_TABANI!$B$16), IF(ISNUMBER(SEARCH("Gri", D345)), VERI_TABANI!F23*(0.00202-VERI_TABANI!$B$17), 0))) + ((VERI_TABANI!D24*B345*(VERI_TABANI!$B$13-VERI_TABANI!$B$14)) + (VERI_TABANI!D24*C345*(VERI_TABANI!$B$13-VERI_TABANI!$B$15)) + IF(ISNUMBER(SEARCH("Var", D345)), VERI_TABANI!F24*(0.00202-VERI_TABANI!$B$16), IF(ISNUMBER(SEARCH("Gri", D345)), VERI_TABANI!F24*(0.00202-VERI_TABANI!$B$17), 0))) + ((VERI_TABANI!D25*B345*(VERI_TABANI!$B$13-VERI_TABANI!$B$14)) + (VERI_TABANI!D25*C345*(VERI_TABANI!$B$13-VERI_TABANI!$B$15)) + IF(ISNUMBER(SEARCH("Var", D345)), VERI_TABANI!F25*(0.00202-VERI_TABANI!$B$16), IF(ISNUMBER(SEARCH("Gri", D345)), VERI_TABANI!F25*(0.00202-VERI_TABANI!$B$17), 0))) + ((VERI_TABANI!D26*B345*(VERI_TABANI!$B$13-VERI_TABANI!$B$14)) + (VERI_TABANI!D26*C345*(VERI_TABANI!$B$13-VERI_TABANI!$B$15)) + IF(ISNUMBER(SEARCH("Var", D345)), VERI_TABANI!F26*(0.00202-VERI_TABANI!$B$16), IF(ISNUMBER(SEARCH("Gri", D345)), VERI_TABANI!F26*(0.00202-VERI_TABANI!$B$17), 0))) + ((VERI_TABANI!D27*B345*(VERI_TABANI!$B$13-VERI_TABANI!$B$14)) + (VERI_TABANI!D27*C345*(VERI_TABANI!$B$13-VERI_TABANI!$B$15)) + IF(ISNUMBER(SEARCH("Var", D345)), VERI_TABANI!F27*(0.00202-VERI_TABANI!$B$16), IF(ISNUMBER(SEARCH("Gri", D345)), VERI_TABANI!F27*(0.00202-VERI_TABANI!$B$17), 0))) + ((VERI_TABANI!D28*B345*(VERI_TABANI!$B$13-VERI_TABANI!$B$14)) + (VERI_TABANI!D28*C345*(VERI_TABANI!$B$13-VERI_TABANI!$B$15)) + IF(ISNUMBER(SEARCH("Var", D345)), VERI_TABANI!F28*(0.00202-VERI_TABANI!$B$16), IF(ISNUMBER(SEARCH("Gri", D345)), VERI_TABANI!F28*(0.00202-VERI_TABANI!$B$17), 0))))</f>
        <v/>
      </c>
      <c r="I345" s="170">
        <f>IFERROR(((VERI_TABANI!$D$29*B345*VERI_TABANI!$B$14 + VERI_TABANI!$D$29*C345*VERI_TABANI!$B$15 + IF(ISNUMBER(SEARCH("Var", D345)), VERI_TABANI!$F$29*VERI_TABANI!$B$16, 0))) / (((VERI_TABANI!$D$29*B345 + VERI_TABANI!$D$29*C345)*VERI_TABANI!$B$13 + IF(ISNUMBER(SEARCH("Var", D345)), VERI_TABANI!$E$29*(1-0.928)*VERI_TABANI!$B$18, 0))), 0)</f>
        <v/>
      </c>
      <c r="J345" s="171">
        <f>IFERROR(F345/(G345/29), 0)</f>
        <v/>
      </c>
      <c r="K345" s="172">
        <f>IF(F345&gt;0, H345/F345, 0)</f>
        <v/>
      </c>
      <c r="L345" s="170">
        <f>IF(F345&gt;0, I345, 1000000000)</f>
        <v/>
      </c>
      <c r="M345" s="171">
        <f>ABS((B345+C345)-1)</f>
        <v/>
      </c>
      <c r="N345" s="170">
        <f>IF(F345&gt;0, (G345/29)/F345, 0)</f>
        <v/>
      </c>
      <c r="O345" s="168">
        <f>IF(AND((B345+C345)&gt;=1, ISNUMBER(SEARCH("Var", D345))), F345, 1000000000)</f>
        <v/>
      </c>
      <c r="P345" s="172">
        <f>IF(F345&gt;0, SQRT((F345/MAX(F$5:F$886))^2 + (1 - H345/MAX(H$5:H$886))^2 + (J345/MAX(J$5:J$886))^2), 1000000000)</f>
        <v/>
      </c>
      <c r="Q345" s="166">
        <f>IF(AND(ABS(B345-0.5)&lt;0.01, ABS(C345-0.5)&lt;0.01, ISNUMBER(SEARCH("Var", D345))), 1, 0)</f>
        <v/>
      </c>
      <c r="R345" s="171">
        <f>IF(F345&gt;0, J345, 1000000000)</f>
        <v/>
      </c>
      <c r="S345" s="101">
        <f>IF(AND(F345&lt;=DASHBOARD!$B$11, H345&gt;=DASHBOARD!$B$13), G345, -1000000000000)</f>
        <v/>
      </c>
      <c r="T345" s="101">
        <f>IF(AND(F345&lt;=DASHBOARD!$B$11, H345&gt;=DASHBOARD!$B$13), R345, 1000000000000)</f>
        <v/>
      </c>
      <c r="U345" s="101">
        <f>IF(AND(F345&lt;=DASHBOARD!$B$11, H345&gt;=DASHBOARD!$B$13), N345, -1000000000000)</f>
        <v/>
      </c>
      <c r="V345" s="101">
        <f>IF(AND(F345&lt;=DASHBOARD!$B$11, H345&gt;=DASHBOARD!$B$13), H345, -1000000000000)</f>
        <v/>
      </c>
      <c r="W345" s="101">
        <f>IF(AND(F345&lt;=DASHBOARD!$B$11, H345&gt;=DASHBOARD!$B$13), K345, -1000000000000)</f>
        <v/>
      </c>
      <c r="X345" s="101">
        <f>IF(AND(F345&lt;=DASHBOARD!$B$11, H345&gt;=DASHBOARD!$B$13), M345, 1000000000000)</f>
        <v/>
      </c>
      <c r="Y345" s="101">
        <f>IF(AND(F345&lt;=DASHBOARD!$B$10, H345&gt;=DASHBOARD!$B$11), L345, 1000000000000)</f>
        <v/>
      </c>
      <c r="Z345" s="101">
        <f>IF(AND(F345&lt;=DASHBOARD!$B$10, H345&gt;=DASHBOARD!$B$11), O345, 1000000000000)</f>
        <v/>
      </c>
      <c r="AA345" s="101">
        <f>IF(AND(F345&lt;=DASHBOARD!$B$10, H345&gt;=DASHBOARD!$B$11), P345, 1000000000000)</f>
        <v/>
      </c>
      <c r="AB345" s="101">
        <f>IF(AND(F345&lt;=DASHBOARD!$B$10, H345&gt;=DASHBOARD!$B$11), Q345, -1000000000000)</f>
        <v/>
      </c>
    </row>
    <row r="346" ht="15" customHeight="1" s="102">
      <c r="A346" s="166" t="n">
        <v>342</v>
      </c>
      <c r="B346" s="167" t="n">
        <v>0.8</v>
      </c>
      <c r="C346" s="167" t="n">
        <v>0.2</v>
      </c>
      <c r="D346" s="110" t="inlineStr">
        <is>
          <t>Var (%20)</t>
        </is>
      </c>
      <c r="E346" s="110">
        <f>IF((B346+C346)&lt;=1, "Tam Mahsuplaşma (≤%100)", "Kısmi Satış (&gt;%100)")</f>
        <v/>
      </c>
      <c r="F346" s="168">
        <f>((VERI_TABANI!$D$29*B346/VERI_TABANI!$B$29)/VERI_TABANI!$B$3)*VERI_TABANI!$B$5 + ((VERI_TABANI!$D$29*C346/VERI_TABANI!$B$29)/VERI_TABANI!$B$4)*VERI_TABANI!$B$6 + IF(ISNUMBER(SEARCH("Var", D346)), (VERI_TABANI!$F$29/VERI_TABANI!$B$29)*(VERI_TABANI!$B$10+VERI_TABANI!$B$12), 0)</f>
        <v/>
      </c>
      <c r="G346" s="168">
        <f>(((MIN(VERI_TABANI!D23, VERI_TABANI!D23*B346)*VERI_TABANI!$B$7 + MAX(0, VERI_TABANI!D23*B346-VERI_TABANI!D23)*VERI_TABANI!$B$8) + (MIN(MAX(0, VERI_TABANI!D23-VERI_TABANI!D23*B346), VERI_TABANI!D23*C346)*VERI_TABANI!$B$7 + MAX(0, VERI_TABANI!D23*C346-MAX(0, VERI_TABANI!D23-VERI_TABANI!D23*B346))*VERI_TABANI!$B$8) + IF(ABS(IF(ISNUMBER(SEARCH("Var", D346)), 1, IF(ISNUMBER(SEARCH("Gri", D346)), -1, 0)))=1, VERI_TABANI!E23*(1-0.928)*VERI_TABANI!$B$9, 0) + (VERI_TABANI!D23*B346*(VERI_TABANI!$B$13-VERI_TABANI!$B$14)*VERI_TABANI!G23) + (VERI_TABANI!D23*C346*(VERI_TABANI!$B$13-VERI_TABANI!$B$15)*VERI_TABANI!G23) + IF(ABS(IF(ISNUMBER(SEARCH("Var", D346)), 1, IF(ISNUMBER(SEARCH("Gri", D346)), -1, 0)))=1, VERI_TABANI!E23*(1-0.928)*0.00206091519919798*VERI_TABANI!G23, 0)) + ((MIN(VERI_TABANI!D24, VERI_TABANI!D24*B346)*VERI_TABANI!$B$7 + MAX(0, VERI_TABANI!D24*B346-VERI_TABANI!D24)*VERI_TABANI!$B$8) + (MIN(MAX(0, VERI_TABANI!D24-VERI_TABANI!D24*B346), VERI_TABANI!D24*C346)*VERI_TABANI!$B$7 + MAX(0, VERI_TABANI!D24*C346-MAX(0, VERI_TABANI!D24-VERI_TABANI!D24*B346))*VERI_TABANI!$B$8) + IF(ABS(IF(ISNUMBER(SEARCH("Var", D346)), 1, IF(ISNUMBER(SEARCH("Gri", D346)), -1, 0)))=1, VERI_TABANI!E24*(1-0.928)*VERI_TABANI!$B$9, 0) + (VERI_TABANI!D24*B346*(VERI_TABANI!$B$13-VERI_TABANI!$B$14)*VERI_TABANI!G24) + (VERI_TABANI!D24*C346*(VERI_TABANI!$B$13-VERI_TABANI!$B$15)*VERI_TABANI!G24) + IF(ABS(IF(ISNUMBER(SEARCH("Var", D346)), 1, IF(ISNUMBER(SEARCH("Gri", D346)), -1, 0)))=1, VERI_TABANI!E24*(1-0.928)*0.00206091519919798*VERI_TABANI!G24, 0)) + ((MIN(VERI_TABANI!D25, VERI_TABANI!D25*B346)*VERI_TABANI!$B$7 + MAX(0, VERI_TABANI!D25*B346-VERI_TABANI!D25)*VERI_TABANI!$B$8) + (MIN(MAX(0, VERI_TABANI!D25-VERI_TABANI!D25*B346), VERI_TABANI!D25*C346)*VERI_TABANI!$B$7 + MAX(0, VERI_TABANI!D25*C346-MAX(0, VERI_TABANI!D25-VERI_TABANI!D25*B346))*VERI_TABANI!$B$8) + IF(ABS(IF(ISNUMBER(SEARCH("Var", D346)), 1, IF(ISNUMBER(SEARCH("Gri", D346)), -1, 0)))=1, VERI_TABANI!E25*(1-0.928)*VERI_TABANI!$B$9, 0) + (VERI_TABANI!D25*B346*(VERI_TABANI!$B$13-VERI_TABANI!$B$14)*VERI_TABANI!G25) + (VERI_TABANI!D25*C346*(VERI_TABANI!$B$13-VERI_TABANI!$B$15)*VERI_TABANI!G25) + IF(ABS(IF(ISNUMBER(SEARCH("Var", D346)), 1, IF(ISNUMBER(SEARCH("Gri", D346)), -1, 0)))=1, VERI_TABANI!E25*(1-0.928)*0.00206091519919798*VERI_TABANI!G25, 0)) + ((MIN(VERI_TABANI!D26, VERI_TABANI!D26*B346)*VERI_TABANI!$B$7 + MAX(0, VERI_TABANI!D26*B346-VERI_TABANI!D26)*VERI_TABANI!$B$8) + (MIN(MAX(0, VERI_TABANI!D26-VERI_TABANI!D26*B346), VERI_TABANI!D26*C346)*VERI_TABANI!$B$7 + MAX(0, VERI_TABANI!D26*C346-MAX(0, VERI_TABANI!D26-VERI_TABANI!D26*B346))*VERI_TABANI!$B$8) + IF(ABS(IF(ISNUMBER(SEARCH("Var", D346)), 1, IF(ISNUMBER(SEARCH("Gri", D346)), -1, 0)))=1, VERI_TABANI!E26*(1-0.928)*VERI_TABANI!$B$9, 0) + (VERI_TABANI!D26*B346*(VERI_TABANI!$B$13-VERI_TABANI!$B$14)*VERI_TABANI!G26) + (VERI_TABANI!D26*C346*(VERI_TABANI!$B$13-VERI_TABANI!$B$15)*VERI_TABANI!G26) + IF(ABS(IF(ISNUMBER(SEARCH("Var", D346)), 1, IF(ISNUMBER(SEARCH("Gri", D346)), -1, 0)))=1, VERI_TABANI!E26*(1-0.928)*0.00206091519919798*VERI_TABANI!G26, 0)) + ((MIN(VERI_TABANI!D27, VERI_TABANI!D27*B346)*VERI_TABANI!$B$7 + MAX(0, VERI_TABANI!D27*B346-VERI_TABANI!D27)*VERI_TABANI!$B$8) + (MIN(MAX(0, VERI_TABANI!D27-VERI_TABANI!D27*B346), VERI_TABANI!D27*C346)*VERI_TABANI!$B$7 + MAX(0, VERI_TABANI!D27*C346-MAX(0, VERI_TABANI!D27-VERI_TABANI!D27*B346))*VERI_TABANI!$B$8) + IF(ABS(IF(ISNUMBER(SEARCH("Var", D346)), 1, IF(ISNUMBER(SEARCH("Gri", D346)), -1, 0)))=1, VERI_TABANI!E27*(1-0.928)*VERI_TABANI!$B$9, 0) + (VERI_TABANI!D27*B346*(VERI_TABANI!$B$13-VERI_TABANI!$B$14)*VERI_TABANI!G27) + (VERI_TABANI!D27*C346*(VERI_TABANI!$B$13-VERI_TABANI!$B$15)*VERI_TABANI!G27) + IF(ABS(IF(ISNUMBER(SEARCH("Var", D346)), 1, IF(ISNUMBER(SEARCH("Gri", D346)), -1, 0)))=1, VERI_TABANI!E27*(1-0.928)*0.00206091519919798*VERI_TABANI!G27, 0)) + ((MIN(VERI_TABANI!D28, VERI_TABANI!D28*B346)*VERI_TABANI!$B$7 + MAX(0, VERI_TABANI!D28*B346-VERI_TABANI!D28)*VERI_TABANI!$B$8) + (MIN(MAX(0, VERI_TABANI!D28-VERI_TABANI!D28*B346), VERI_TABANI!D28*C346)*VERI_TABANI!$B$7 + MAX(0, VERI_TABANI!D28*C346-MAX(0, VERI_TABANI!D28-VERI_TABANI!D28*B346))*VERI_TABANI!$B$8) + IF(ABS(IF(ISNUMBER(SEARCH("Var", D346)), 1, IF(ISNUMBER(SEARCH("Gri", D346)), -1, 0)))=1, VERI_TABANI!E28*(1-0.928)*VERI_TABANI!$B$9, 0) + (VERI_TABANI!D28*B346*(VERI_TABANI!$B$13-VERI_TABANI!$B$14)*VERI_TABANI!G28) + (VERI_TABANI!D28*C346*(VERI_TABANI!$B$13-VERI_TABANI!$B$15)*VERI_TABANI!G28) + IF(ABS(IF(ISNUMBER(SEARCH("Var", D346)), 1, IF(ISNUMBER(SEARCH("Gri", D346)), -1, 0)))=1, VERI_TABANI!E28*(1-0.928)*0.00206091519919798*VERI_TABANI!G28, 0)))</f>
        <v/>
      </c>
      <c r="H346" s="169">
        <f>(((VERI_TABANI!D23*B346*(VERI_TABANI!$B$13-VERI_TABANI!$B$14)) + (VERI_TABANI!D23*C346*(VERI_TABANI!$B$13-VERI_TABANI!$B$15)) + IF(ISNUMBER(SEARCH("Var", D346)), VERI_TABANI!F23*(0.00202-VERI_TABANI!$B$16), IF(ISNUMBER(SEARCH("Gri", D346)), VERI_TABANI!F23*(0.00202-VERI_TABANI!$B$17), 0))) + ((VERI_TABANI!D24*B346*(VERI_TABANI!$B$13-VERI_TABANI!$B$14)) + (VERI_TABANI!D24*C346*(VERI_TABANI!$B$13-VERI_TABANI!$B$15)) + IF(ISNUMBER(SEARCH("Var", D346)), VERI_TABANI!F24*(0.00202-VERI_TABANI!$B$16), IF(ISNUMBER(SEARCH("Gri", D346)), VERI_TABANI!F24*(0.00202-VERI_TABANI!$B$17), 0))) + ((VERI_TABANI!D25*B346*(VERI_TABANI!$B$13-VERI_TABANI!$B$14)) + (VERI_TABANI!D25*C346*(VERI_TABANI!$B$13-VERI_TABANI!$B$15)) + IF(ISNUMBER(SEARCH("Var", D346)), VERI_TABANI!F25*(0.00202-VERI_TABANI!$B$16), IF(ISNUMBER(SEARCH("Gri", D346)), VERI_TABANI!F25*(0.00202-VERI_TABANI!$B$17), 0))) + ((VERI_TABANI!D26*B346*(VERI_TABANI!$B$13-VERI_TABANI!$B$14)) + (VERI_TABANI!D26*C346*(VERI_TABANI!$B$13-VERI_TABANI!$B$15)) + IF(ISNUMBER(SEARCH("Var", D346)), VERI_TABANI!F26*(0.00202-VERI_TABANI!$B$16), IF(ISNUMBER(SEARCH("Gri", D346)), VERI_TABANI!F26*(0.00202-VERI_TABANI!$B$17), 0))) + ((VERI_TABANI!D27*B346*(VERI_TABANI!$B$13-VERI_TABANI!$B$14)) + (VERI_TABANI!D27*C346*(VERI_TABANI!$B$13-VERI_TABANI!$B$15)) + IF(ISNUMBER(SEARCH("Var", D346)), VERI_TABANI!F27*(0.00202-VERI_TABANI!$B$16), IF(ISNUMBER(SEARCH("Gri", D346)), VERI_TABANI!F27*(0.00202-VERI_TABANI!$B$17), 0))) + ((VERI_TABANI!D28*B346*(VERI_TABANI!$B$13-VERI_TABANI!$B$14)) + (VERI_TABANI!D28*C346*(VERI_TABANI!$B$13-VERI_TABANI!$B$15)) + IF(ISNUMBER(SEARCH("Var", D346)), VERI_TABANI!F28*(0.00202-VERI_TABANI!$B$16), IF(ISNUMBER(SEARCH("Gri", D346)), VERI_TABANI!F28*(0.00202-VERI_TABANI!$B$17), 0))))</f>
        <v/>
      </c>
      <c r="I346" s="170">
        <f>IFERROR(((VERI_TABANI!$D$29*B346*VERI_TABANI!$B$14 + VERI_TABANI!$D$29*C346*VERI_TABANI!$B$15 + IF(ISNUMBER(SEARCH("Var", D346)), VERI_TABANI!$F$29*VERI_TABANI!$B$16, 0))) / (((VERI_TABANI!$D$29*B346 + VERI_TABANI!$D$29*C346)*VERI_TABANI!$B$13 + IF(ISNUMBER(SEARCH("Var", D346)), VERI_TABANI!$E$29*(1-0.928)*VERI_TABANI!$B$18, 0))), 0)</f>
        <v/>
      </c>
      <c r="J346" s="171">
        <f>IFERROR(F346/(G346/29), 0)</f>
        <v/>
      </c>
      <c r="K346" s="172">
        <f>IF(F346&gt;0, H346/F346, 0)</f>
        <v/>
      </c>
      <c r="L346" s="170">
        <f>IF(F346&gt;0, I346, 1000000000)</f>
        <v/>
      </c>
      <c r="M346" s="171">
        <f>ABS((B346+C346)-1)</f>
        <v/>
      </c>
      <c r="N346" s="170">
        <f>IF(F346&gt;0, (G346/29)/F346, 0)</f>
        <v/>
      </c>
      <c r="O346" s="168">
        <f>IF(AND((B346+C346)&gt;=1, ISNUMBER(SEARCH("Var", D346))), F346, 1000000000)</f>
        <v/>
      </c>
      <c r="P346" s="172">
        <f>IF(F346&gt;0, SQRT((F346/MAX(F$5:F$886))^2 + (1 - H346/MAX(H$5:H$886))^2 + (J346/MAX(J$5:J$886))^2), 1000000000)</f>
        <v/>
      </c>
      <c r="Q346" s="166">
        <f>IF(AND(ABS(B346-0.5)&lt;0.01, ABS(C346-0.5)&lt;0.01, ISNUMBER(SEARCH("Var", D346))), 1, 0)</f>
        <v/>
      </c>
      <c r="R346" s="171">
        <f>IF(F346&gt;0, J346, 1000000000)</f>
        <v/>
      </c>
      <c r="S346" s="101">
        <f>IF(AND(F346&lt;=DASHBOARD!$B$11, H346&gt;=DASHBOARD!$B$13), G346, -1000000000000)</f>
        <v/>
      </c>
      <c r="T346" s="101">
        <f>IF(AND(F346&lt;=DASHBOARD!$B$11, H346&gt;=DASHBOARD!$B$13), R346, 1000000000000)</f>
        <v/>
      </c>
      <c r="U346" s="101">
        <f>IF(AND(F346&lt;=DASHBOARD!$B$11, H346&gt;=DASHBOARD!$B$13), N346, -1000000000000)</f>
        <v/>
      </c>
      <c r="V346" s="101">
        <f>IF(AND(F346&lt;=DASHBOARD!$B$11, H346&gt;=DASHBOARD!$B$13), H346, -1000000000000)</f>
        <v/>
      </c>
      <c r="W346" s="101">
        <f>IF(AND(F346&lt;=DASHBOARD!$B$11, H346&gt;=DASHBOARD!$B$13), K346, -1000000000000)</f>
        <v/>
      </c>
      <c r="X346" s="101">
        <f>IF(AND(F346&lt;=DASHBOARD!$B$11, H346&gt;=DASHBOARD!$B$13), M346, 1000000000000)</f>
        <v/>
      </c>
      <c r="Y346" s="101">
        <f>IF(AND(F346&lt;=DASHBOARD!$B$10, H346&gt;=DASHBOARD!$B$11), L346, 1000000000000)</f>
        <v/>
      </c>
      <c r="Z346" s="101">
        <f>IF(AND(F346&lt;=DASHBOARD!$B$10, H346&gt;=DASHBOARD!$B$11), O346, 1000000000000)</f>
        <v/>
      </c>
      <c r="AA346" s="101">
        <f>IF(AND(F346&lt;=DASHBOARD!$B$10, H346&gt;=DASHBOARD!$B$11), P346, 1000000000000)</f>
        <v/>
      </c>
      <c r="AB346" s="101">
        <f>IF(AND(F346&lt;=DASHBOARD!$B$10, H346&gt;=DASHBOARD!$B$11), Q346, -1000000000000)</f>
        <v/>
      </c>
    </row>
    <row r="347" ht="15" customHeight="1" s="102">
      <c r="A347" s="166" t="n">
        <v>343</v>
      </c>
      <c r="B347" s="167" t="n">
        <v>0.8</v>
      </c>
      <c r="C347" s="167" t="n">
        <v>0.3</v>
      </c>
      <c r="D347" s="110" t="inlineStr">
        <is>
          <t>Yok (%0)</t>
        </is>
      </c>
      <c r="E347" s="110">
        <f>IF((B347+C347)&lt;=1, "Tam Mahsuplaşma (≤%100)", "Kısmi Satış (&gt;%100)")</f>
        <v/>
      </c>
      <c r="F347" s="168">
        <f>((VERI_TABANI!$D$29*B347/VERI_TABANI!$B$29)/VERI_TABANI!$B$3)*VERI_TABANI!$B$5 + ((VERI_TABANI!$D$29*C347/VERI_TABANI!$B$29)/VERI_TABANI!$B$4)*VERI_TABANI!$B$6 + IF(ISNUMBER(SEARCH("Var", D347)), (VERI_TABANI!$F$29/VERI_TABANI!$B$29)*(VERI_TABANI!$B$10+VERI_TABANI!$B$12), 0)</f>
        <v/>
      </c>
      <c r="G347" s="168">
        <f>(((MIN(VERI_TABANI!D23, VERI_TABANI!D23*B347)*VERI_TABANI!$B$7 + MAX(0, VERI_TABANI!D23*B347-VERI_TABANI!D23)*VERI_TABANI!$B$8) + (MIN(MAX(0, VERI_TABANI!D23-VERI_TABANI!D23*B347), VERI_TABANI!D23*C347)*VERI_TABANI!$B$7 + MAX(0, VERI_TABANI!D23*C347-MAX(0, VERI_TABANI!D23-VERI_TABANI!D23*B347))*VERI_TABANI!$B$8) + IF(ABS(IF(ISNUMBER(SEARCH("Var", D347)), 1, IF(ISNUMBER(SEARCH("Gri", D347)), -1, 0)))=1, VERI_TABANI!E23*(1-0.928)*VERI_TABANI!$B$9, 0) + (VERI_TABANI!D23*B347*(VERI_TABANI!$B$13-VERI_TABANI!$B$14)*VERI_TABANI!G23) + (VERI_TABANI!D23*C347*(VERI_TABANI!$B$13-VERI_TABANI!$B$15)*VERI_TABANI!G23) + IF(ABS(IF(ISNUMBER(SEARCH("Var", D347)), 1, IF(ISNUMBER(SEARCH("Gri", D347)), -1, 0)))=1, VERI_TABANI!E23*(1-0.928)*0.00206091519919798*VERI_TABANI!G23, 0)) + ((MIN(VERI_TABANI!D24, VERI_TABANI!D24*B347)*VERI_TABANI!$B$7 + MAX(0, VERI_TABANI!D24*B347-VERI_TABANI!D24)*VERI_TABANI!$B$8) + (MIN(MAX(0, VERI_TABANI!D24-VERI_TABANI!D24*B347), VERI_TABANI!D24*C347)*VERI_TABANI!$B$7 + MAX(0, VERI_TABANI!D24*C347-MAX(0, VERI_TABANI!D24-VERI_TABANI!D24*B347))*VERI_TABANI!$B$8) + IF(ABS(IF(ISNUMBER(SEARCH("Var", D347)), 1, IF(ISNUMBER(SEARCH("Gri", D347)), -1, 0)))=1, VERI_TABANI!E24*(1-0.928)*VERI_TABANI!$B$9, 0) + (VERI_TABANI!D24*B347*(VERI_TABANI!$B$13-VERI_TABANI!$B$14)*VERI_TABANI!G24) + (VERI_TABANI!D24*C347*(VERI_TABANI!$B$13-VERI_TABANI!$B$15)*VERI_TABANI!G24) + IF(ABS(IF(ISNUMBER(SEARCH("Var", D347)), 1, IF(ISNUMBER(SEARCH("Gri", D347)), -1, 0)))=1, VERI_TABANI!E24*(1-0.928)*0.00206091519919798*VERI_TABANI!G24, 0)) + ((MIN(VERI_TABANI!D25, VERI_TABANI!D25*B347)*VERI_TABANI!$B$7 + MAX(0, VERI_TABANI!D25*B347-VERI_TABANI!D25)*VERI_TABANI!$B$8) + (MIN(MAX(0, VERI_TABANI!D25-VERI_TABANI!D25*B347), VERI_TABANI!D25*C347)*VERI_TABANI!$B$7 + MAX(0, VERI_TABANI!D25*C347-MAX(0, VERI_TABANI!D25-VERI_TABANI!D25*B347))*VERI_TABANI!$B$8) + IF(ABS(IF(ISNUMBER(SEARCH("Var", D347)), 1, IF(ISNUMBER(SEARCH("Gri", D347)), -1, 0)))=1, VERI_TABANI!E25*(1-0.928)*VERI_TABANI!$B$9, 0) + (VERI_TABANI!D25*B347*(VERI_TABANI!$B$13-VERI_TABANI!$B$14)*VERI_TABANI!G25) + (VERI_TABANI!D25*C347*(VERI_TABANI!$B$13-VERI_TABANI!$B$15)*VERI_TABANI!G25) + IF(ABS(IF(ISNUMBER(SEARCH("Var", D347)), 1, IF(ISNUMBER(SEARCH("Gri", D347)), -1, 0)))=1, VERI_TABANI!E25*(1-0.928)*0.00206091519919798*VERI_TABANI!G25, 0)) + ((MIN(VERI_TABANI!D26, VERI_TABANI!D26*B347)*VERI_TABANI!$B$7 + MAX(0, VERI_TABANI!D26*B347-VERI_TABANI!D26)*VERI_TABANI!$B$8) + (MIN(MAX(0, VERI_TABANI!D26-VERI_TABANI!D26*B347), VERI_TABANI!D26*C347)*VERI_TABANI!$B$7 + MAX(0, VERI_TABANI!D26*C347-MAX(0, VERI_TABANI!D26-VERI_TABANI!D26*B347))*VERI_TABANI!$B$8) + IF(ABS(IF(ISNUMBER(SEARCH("Var", D347)), 1, IF(ISNUMBER(SEARCH("Gri", D347)), -1, 0)))=1, VERI_TABANI!E26*(1-0.928)*VERI_TABANI!$B$9, 0) + (VERI_TABANI!D26*B347*(VERI_TABANI!$B$13-VERI_TABANI!$B$14)*VERI_TABANI!G26) + (VERI_TABANI!D26*C347*(VERI_TABANI!$B$13-VERI_TABANI!$B$15)*VERI_TABANI!G26) + IF(ABS(IF(ISNUMBER(SEARCH("Var", D347)), 1, IF(ISNUMBER(SEARCH("Gri", D347)), -1, 0)))=1, VERI_TABANI!E26*(1-0.928)*0.00206091519919798*VERI_TABANI!G26, 0)) + ((MIN(VERI_TABANI!D27, VERI_TABANI!D27*B347)*VERI_TABANI!$B$7 + MAX(0, VERI_TABANI!D27*B347-VERI_TABANI!D27)*VERI_TABANI!$B$8) + (MIN(MAX(0, VERI_TABANI!D27-VERI_TABANI!D27*B347), VERI_TABANI!D27*C347)*VERI_TABANI!$B$7 + MAX(0, VERI_TABANI!D27*C347-MAX(0, VERI_TABANI!D27-VERI_TABANI!D27*B347))*VERI_TABANI!$B$8) + IF(ABS(IF(ISNUMBER(SEARCH("Var", D347)), 1, IF(ISNUMBER(SEARCH("Gri", D347)), -1, 0)))=1, VERI_TABANI!E27*(1-0.928)*VERI_TABANI!$B$9, 0) + (VERI_TABANI!D27*B347*(VERI_TABANI!$B$13-VERI_TABANI!$B$14)*VERI_TABANI!G27) + (VERI_TABANI!D27*C347*(VERI_TABANI!$B$13-VERI_TABANI!$B$15)*VERI_TABANI!G27) + IF(ABS(IF(ISNUMBER(SEARCH("Var", D347)), 1, IF(ISNUMBER(SEARCH("Gri", D347)), -1, 0)))=1, VERI_TABANI!E27*(1-0.928)*0.00206091519919798*VERI_TABANI!G27, 0)) + ((MIN(VERI_TABANI!D28, VERI_TABANI!D28*B347)*VERI_TABANI!$B$7 + MAX(0, VERI_TABANI!D28*B347-VERI_TABANI!D28)*VERI_TABANI!$B$8) + (MIN(MAX(0, VERI_TABANI!D28-VERI_TABANI!D28*B347), VERI_TABANI!D28*C347)*VERI_TABANI!$B$7 + MAX(0, VERI_TABANI!D28*C347-MAX(0, VERI_TABANI!D28-VERI_TABANI!D28*B347))*VERI_TABANI!$B$8) + IF(ABS(IF(ISNUMBER(SEARCH("Var", D347)), 1, IF(ISNUMBER(SEARCH("Gri", D347)), -1, 0)))=1, VERI_TABANI!E28*(1-0.928)*VERI_TABANI!$B$9, 0) + (VERI_TABANI!D28*B347*(VERI_TABANI!$B$13-VERI_TABANI!$B$14)*VERI_TABANI!G28) + (VERI_TABANI!D28*C347*(VERI_TABANI!$B$13-VERI_TABANI!$B$15)*VERI_TABANI!G28) + IF(ABS(IF(ISNUMBER(SEARCH("Var", D347)), 1, IF(ISNUMBER(SEARCH("Gri", D347)), -1, 0)))=1, VERI_TABANI!E28*(1-0.928)*0.00206091519919798*VERI_TABANI!G28, 0)))</f>
        <v/>
      </c>
      <c r="H347" s="169">
        <f>(((VERI_TABANI!D23*B347*(VERI_TABANI!$B$13-VERI_TABANI!$B$14)) + (VERI_TABANI!D23*C347*(VERI_TABANI!$B$13-VERI_TABANI!$B$15)) + IF(ISNUMBER(SEARCH("Var", D347)), VERI_TABANI!F23*(0.00202-VERI_TABANI!$B$16), IF(ISNUMBER(SEARCH("Gri", D347)), VERI_TABANI!F23*(0.00202-VERI_TABANI!$B$17), 0))) + ((VERI_TABANI!D24*B347*(VERI_TABANI!$B$13-VERI_TABANI!$B$14)) + (VERI_TABANI!D24*C347*(VERI_TABANI!$B$13-VERI_TABANI!$B$15)) + IF(ISNUMBER(SEARCH("Var", D347)), VERI_TABANI!F24*(0.00202-VERI_TABANI!$B$16), IF(ISNUMBER(SEARCH("Gri", D347)), VERI_TABANI!F24*(0.00202-VERI_TABANI!$B$17), 0))) + ((VERI_TABANI!D25*B347*(VERI_TABANI!$B$13-VERI_TABANI!$B$14)) + (VERI_TABANI!D25*C347*(VERI_TABANI!$B$13-VERI_TABANI!$B$15)) + IF(ISNUMBER(SEARCH("Var", D347)), VERI_TABANI!F25*(0.00202-VERI_TABANI!$B$16), IF(ISNUMBER(SEARCH("Gri", D347)), VERI_TABANI!F25*(0.00202-VERI_TABANI!$B$17), 0))) + ((VERI_TABANI!D26*B347*(VERI_TABANI!$B$13-VERI_TABANI!$B$14)) + (VERI_TABANI!D26*C347*(VERI_TABANI!$B$13-VERI_TABANI!$B$15)) + IF(ISNUMBER(SEARCH("Var", D347)), VERI_TABANI!F26*(0.00202-VERI_TABANI!$B$16), IF(ISNUMBER(SEARCH("Gri", D347)), VERI_TABANI!F26*(0.00202-VERI_TABANI!$B$17), 0))) + ((VERI_TABANI!D27*B347*(VERI_TABANI!$B$13-VERI_TABANI!$B$14)) + (VERI_TABANI!D27*C347*(VERI_TABANI!$B$13-VERI_TABANI!$B$15)) + IF(ISNUMBER(SEARCH("Var", D347)), VERI_TABANI!F27*(0.00202-VERI_TABANI!$B$16), IF(ISNUMBER(SEARCH("Gri", D347)), VERI_TABANI!F27*(0.00202-VERI_TABANI!$B$17), 0))) + ((VERI_TABANI!D28*B347*(VERI_TABANI!$B$13-VERI_TABANI!$B$14)) + (VERI_TABANI!D28*C347*(VERI_TABANI!$B$13-VERI_TABANI!$B$15)) + IF(ISNUMBER(SEARCH("Var", D347)), VERI_TABANI!F28*(0.00202-VERI_TABANI!$B$16), IF(ISNUMBER(SEARCH("Gri", D347)), VERI_TABANI!F28*(0.00202-VERI_TABANI!$B$17), 0))))</f>
        <v/>
      </c>
      <c r="I347" s="170">
        <f>IFERROR(((VERI_TABANI!$D$29*B347*VERI_TABANI!$B$14 + VERI_TABANI!$D$29*C347*VERI_TABANI!$B$15 + IF(ISNUMBER(SEARCH("Var", D347)), VERI_TABANI!$F$29*VERI_TABANI!$B$16, 0))) / (((VERI_TABANI!$D$29*B347 + VERI_TABANI!$D$29*C347)*VERI_TABANI!$B$13 + IF(ISNUMBER(SEARCH("Var", D347)), VERI_TABANI!$E$29*(1-0.928)*VERI_TABANI!$B$18, 0))), 0)</f>
        <v/>
      </c>
      <c r="J347" s="171">
        <f>IFERROR(F347/(G347/29), 0)</f>
        <v/>
      </c>
      <c r="K347" s="172">
        <f>IF(F347&gt;0, H347/F347, 0)</f>
        <v/>
      </c>
      <c r="L347" s="170">
        <f>IF(F347&gt;0, I347, 1000000000)</f>
        <v/>
      </c>
      <c r="M347" s="171">
        <f>ABS((B347+C347)-1)</f>
        <v/>
      </c>
      <c r="N347" s="170">
        <f>IF(F347&gt;0, (G347/29)/F347, 0)</f>
        <v/>
      </c>
      <c r="O347" s="168">
        <f>IF(AND((B347+C347)&gt;=1, ISNUMBER(SEARCH("Var", D347))), F347, 1000000000)</f>
        <v/>
      </c>
      <c r="P347" s="172">
        <f>IF(F347&gt;0, SQRT((F347/MAX(F$5:F$886))^2 + (1 - H347/MAX(H$5:H$886))^2 + (J347/MAX(J$5:J$886))^2), 1000000000)</f>
        <v/>
      </c>
      <c r="Q347" s="166">
        <f>IF(AND(ABS(B347-0.5)&lt;0.01, ABS(C347-0.5)&lt;0.01, ISNUMBER(SEARCH("Var", D347))), 1, 0)</f>
        <v/>
      </c>
      <c r="R347" s="171">
        <f>IF(F347&gt;0, J347, 1000000000)</f>
        <v/>
      </c>
      <c r="S347" s="101">
        <f>IF(AND(F347&lt;=DASHBOARD!$B$11, H347&gt;=DASHBOARD!$B$13), G347, -1000000000000)</f>
        <v/>
      </c>
      <c r="T347" s="101">
        <f>IF(AND(F347&lt;=DASHBOARD!$B$11, H347&gt;=DASHBOARD!$B$13), R347, 1000000000000)</f>
        <v/>
      </c>
      <c r="U347" s="101">
        <f>IF(AND(F347&lt;=DASHBOARD!$B$11, H347&gt;=DASHBOARD!$B$13), N347, -1000000000000)</f>
        <v/>
      </c>
      <c r="V347" s="101">
        <f>IF(AND(F347&lt;=DASHBOARD!$B$11, H347&gt;=DASHBOARD!$B$13), H347, -1000000000000)</f>
        <v/>
      </c>
      <c r="W347" s="101">
        <f>IF(AND(F347&lt;=DASHBOARD!$B$11, H347&gt;=DASHBOARD!$B$13), K347, -1000000000000)</f>
        <v/>
      </c>
      <c r="X347" s="101">
        <f>IF(AND(F347&lt;=DASHBOARD!$B$11, H347&gt;=DASHBOARD!$B$13), M347, 1000000000000)</f>
        <v/>
      </c>
      <c r="Y347" s="101">
        <f>IF(AND(F347&lt;=DASHBOARD!$B$10, H347&gt;=DASHBOARD!$B$11), L347, 1000000000000)</f>
        <v/>
      </c>
      <c r="Z347" s="101">
        <f>IF(AND(F347&lt;=DASHBOARD!$B$10, H347&gt;=DASHBOARD!$B$11), O347, 1000000000000)</f>
        <v/>
      </c>
      <c r="AA347" s="101">
        <f>IF(AND(F347&lt;=DASHBOARD!$B$10, H347&gt;=DASHBOARD!$B$11), P347, 1000000000000)</f>
        <v/>
      </c>
      <c r="AB347" s="101">
        <f>IF(AND(F347&lt;=DASHBOARD!$B$10, H347&gt;=DASHBOARD!$B$11), Q347, -1000000000000)</f>
        <v/>
      </c>
    </row>
    <row r="348" ht="15" customHeight="1" s="102">
      <c r="A348" s="166" t="n">
        <v>344</v>
      </c>
      <c r="B348" s="167" t="n">
        <v>0.8</v>
      </c>
      <c r="C348" s="167" t="n">
        <v>0.3</v>
      </c>
      <c r="D348" s="110" t="inlineStr">
        <is>
          <t>Var (%20)</t>
        </is>
      </c>
      <c r="E348" s="110">
        <f>IF((B348+C348)&lt;=1, "Tam Mahsuplaşma (≤%100)", "Kısmi Satış (&gt;%100)")</f>
        <v/>
      </c>
      <c r="F348" s="168">
        <f>((VERI_TABANI!$D$29*B348/VERI_TABANI!$B$29)/VERI_TABANI!$B$3)*VERI_TABANI!$B$5 + ((VERI_TABANI!$D$29*C348/VERI_TABANI!$B$29)/VERI_TABANI!$B$4)*VERI_TABANI!$B$6 + IF(ISNUMBER(SEARCH("Var", D348)), (VERI_TABANI!$F$29/VERI_TABANI!$B$29)*(VERI_TABANI!$B$10+VERI_TABANI!$B$12), 0)</f>
        <v/>
      </c>
      <c r="G348" s="168">
        <f>(((MIN(VERI_TABANI!D23, VERI_TABANI!D23*B348)*VERI_TABANI!$B$7 + MAX(0, VERI_TABANI!D23*B348-VERI_TABANI!D23)*VERI_TABANI!$B$8) + (MIN(MAX(0, VERI_TABANI!D23-VERI_TABANI!D23*B348), VERI_TABANI!D23*C348)*VERI_TABANI!$B$7 + MAX(0, VERI_TABANI!D23*C348-MAX(0, VERI_TABANI!D23-VERI_TABANI!D23*B348))*VERI_TABANI!$B$8) + IF(ABS(IF(ISNUMBER(SEARCH("Var", D348)), 1, IF(ISNUMBER(SEARCH("Gri", D348)), -1, 0)))=1, VERI_TABANI!E23*(1-0.928)*VERI_TABANI!$B$9, 0) + (VERI_TABANI!D23*B348*(VERI_TABANI!$B$13-VERI_TABANI!$B$14)*VERI_TABANI!G23) + (VERI_TABANI!D23*C348*(VERI_TABANI!$B$13-VERI_TABANI!$B$15)*VERI_TABANI!G23) + IF(ABS(IF(ISNUMBER(SEARCH("Var", D348)), 1, IF(ISNUMBER(SEARCH("Gri", D348)), -1, 0)))=1, VERI_TABANI!E23*(1-0.928)*0.00206091519919798*VERI_TABANI!G23, 0)) + ((MIN(VERI_TABANI!D24, VERI_TABANI!D24*B348)*VERI_TABANI!$B$7 + MAX(0, VERI_TABANI!D24*B348-VERI_TABANI!D24)*VERI_TABANI!$B$8) + (MIN(MAX(0, VERI_TABANI!D24-VERI_TABANI!D24*B348), VERI_TABANI!D24*C348)*VERI_TABANI!$B$7 + MAX(0, VERI_TABANI!D24*C348-MAX(0, VERI_TABANI!D24-VERI_TABANI!D24*B348))*VERI_TABANI!$B$8) + IF(ABS(IF(ISNUMBER(SEARCH("Var", D348)), 1, IF(ISNUMBER(SEARCH("Gri", D348)), -1, 0)))=1, VERI_TABANI!E24*(1-0.928)*VERI_TABANI!$B$9, 0) + (VERI_TABANI!D24*B348*(VERI_TABANI!$B$13-VERI_TABANI!$B$14)*VERI_TABANI!G24) + (VERI_TABANI!D24*C348*(VERI_TABANI!$B$13-VERI_TABANI!$B$15)*VERI_TABANI!G24) + IF(ABS(IF(ISNUMBER(SEARCH("Var", D348)), 1, IF(ISNUMBER(SEARCH("Gri", D348)), -1, 0)))=1, VERI_TABANI!E24*(1-0.928)*0.00206091519919798*VERI_TABANI!G24, 0)) + ((MIN(VERI_TABANI!D25, VERI_TABANI!D25*B348)*VERI_TABANI!$B$7 + MAX(0, VERI_TABANI!D25*B348-VERI_TABANI!D25)*VERI_TABANI!$B$8) + (MIN(MAX(0, VERI_TABANI!D25-VERI_TABANI!D25*B348), VERI_TABANI!D25*C348)*VERI_TABANI!$B$7 + MAX(0, VERI_TABANI!D25*C348-MAX(0, VERI_TABANI!D25-VERI_TABANI!D25*B348))*VERI_TABANI!$B$8) + IF(ABS(IF(ISNUMBER(SEARCH("Var", D348)), 1, IF(ISNUMBER(SEARCH("Gri", D348)), -1, 0)))=1, VERI_TABANI!E25*(1-0.928)*VERI_TABANI!$B$9, 0) + (VERI_TABANI!D25*B348*(VERI_TABANI!$B$13-VERI_TABANI!$B$14)*VERI_TABANI!G25) + (VERI_TABANI!D25*C348*(VERI_TABANI!$B$13-VERI_TABANI!$B$15)*VERI_TABANI!G25) + IF(ABS(IF(ISNUMBER(SEARCH("Var", D348)), 1, IF(ISNUMBER(SEARCH("Gri", D348)), -1, 0)))=1, VERI_TABANI!E25*(1-0.928)*0.00206091519919798*VERI_TABANI!G25, 0)) + ((MIN(VERI_TABANI!D26, VERI_TABANI!D26*B348)*VERI_TABANI!$B$7 + MAX(0, VERI_TABANI!D26*B348-VERI_TABANI!D26)*VERI_TABANI!$B$8) + (MIN(MAX(0, VERI_TABANI!D26-VERI_TABANI!D26*B348), VERI_TABANI!D26*C348)*VERI_TABANI!$B$7 + MAX(0, VERI_TABANI!D26*C348-MAX(0, VERI_TABANI!D26-VERI_TABANI!D26*B348))*VERI_TABANI!$B$8) + IF(ABS(IF(ISNUMBER(SEARCH("Var", D348)), 1, IF(ISNUMBER(SEARCH("Gri", D348)), -1, 0)))=1, VERI_TABANI!E26*(1-0.928)*VERI_TABANI!$B$9, 0) + (VERI_TABANI!D26*B348*(VERI_TABANI!$B$13-VERI_TABANI!$B$14)*VERI_TABANI!G26) + (VERI_TABANI!D26*C348*(VERI_TABANI!$B$13-VERI_TABANI!$B$15)*VERI_TABANI!G26) + IF(ABS(IF(ISNUMBER(SEARCH("Var", D348)), 1, IF(ISNUMBER(SEARCH("Gri", D348)), -1, 0)))=1, VERI_TABANI!E26*(1-0.928)*0.00206091519919798*VERI_TABANI!G26, 0)) + ((MIN(VERI_TABANI!D27, VERI_TABANI!D27*B348)*VERI_TABANI!$B$7 + MAX(0, VERI_TABANI!D27*B348-VERI_TABANI!D27)*VERI_TABANI!$B$8) + (MIN(MAX(0, VERI_TABANI!D27-VERI_TABANI!D27*B348), VERI_TABANI!D27*C348)*VERI_TABANI!$B$7 + MAX(0, VERI_TABANI!D27*C348-MAX(0, VERI_TABANI!D27-VERI_TABANI!D27*B348))*VERI_TABANI!$B$8) + IF(ABS(IF(ISNUMBER(SEARCH("Var", D348)), 1, IF(ISNUMBER(SEARCH("Gri", D348)), -1, 0)))=1, VERI_TABANI!E27*(1-0.928)*VERI_TABANI!$B$9, 0) + (VERI_TABANI!D27*B348*(VERI_TABANI!$B$13-VERI_TABANI!$B$14)*VERI_TABANI!G27) + (VERI_TABANI!D27*C348*(VERI_TABANI!$B$13-VERI_TABANI!$B$15)*VERI_TABANI!G27) + IF(ABS(IF(ISNUMBER(SEARCH("Var", D348)), 1, IF(ISNUMBER(SEARCH("Gri", D348)), -1, 0)))=1, VERI_TABANI!E27*(1-0.928)*0.00206091519919798*VERI_TABANI!G27, 0)) + ((MIN(VERI_TABANI!D28, VERI_TABANI!D28*B348)*VERI_TABANI!$B$7 + MAX(0, VERI_TABANI!D28*B348-VERI_TABANI!D28)*VERI_TABANI!$B$8) + (MIN(MAX(0, VERI_TABANI!D28-VERI_TABANI!D28*B348), VERI_TABANI!D28*C348)*VERI_TABANI!$B$7 + MAX(0, VERI_TABANI!D28*C348-MAX(0, VERI_TABANI!D28-VERI_TABANI!D28*B348))*VERI_TABANI!$B$8) + IF(ABS(IF(ISNUMBER(SEARCH("Var", D348)), 1, IF(ISNUMBER(SEARCH("Gri", D348)), -1, 0)))=1, VERI_TABANI!E28*(1-0.928)*VERI_TABANI!$B$9, 0) + (VERI_TABANI!D28*B348*(VERI_TABANI!$B$13-VERI_TABANI!$B$14)*VERI_TABANI!G28) + (VERI_TABANI!D28*C348*(VERI_TABANI!$B$13-VERI_TABANI!$B$15)*VERI_TABANI!G28) + IF(ABS(IF(ISNUMBER(SEARCH("Var", D348)), 1, IF(ISNUMBER(SEARCH("Gri", D348)), -1, 0)))=1, VERI_TABANI!E28*(1-0.928)*0.00206091519919798*VERI_TABANI!G28, 0)))</f>
        <v/>
      </c>
      <c r="H348" s="169">
        <f>(((VERI_TABANI!D23*B348*(VERI_TABANI!$B$13-VERI_TABANI!$B$14)) + (VERI_TABANI!D23*C348*(VERI_TABANI!$B$13-VERI_TABANI!$B$15)) + IF(ISNUMBER(SEARCH("Var", D348)), VERI_TABANI!F23*(0.00202-VERI_TABANI!$B$16), IF(ISNUMBER(SEARCH("Gri", D348)), VERI_TABANI!F23*(0.00202-VERI_TABANI!$B$17), 0))) + ((VERI_TABANI!D24*B348*(VERI_TABANI!$B$13-VERI_TABANI!$B$14)) + (VERI_TABANI!D24*C348*(VERI_TABANI!$B$13-VERI_TABANI!$B$15)) + IF(ISNUMBER(SEARCH("Var", D348)), VERI_TABANI!F24*(0.00202-VERI_TABANI!$B$16), IF(ISNUMBER(SEARCH("Gri", D348)), VERI_TABANI!F24*(0.00202-VERI_TABANI!$B$17), 0))) + ((VERI_TABANI!D25*B348*(VERI_TABANI!$B$13-VERI_TABANI!$B$14)) + (VERI_TABANI!D25*C348*(VERI_TABANI!$B$13-VERI_TABANI!$B$15)) + IF(ISNUMBER(SEARCH("Var", D348)), VERI_TABANI!F25*(0.00202-VERI_TABANI!$B$16), IF(ISNUMBER(SEARCH("Gri", D348)), VERI_TABANI!F25*(0.00202-VERI_TABANI!$B$17), 0))) + ((VERI_TABANI!D26*B348*(VERI_TABANI!$B$13-VERI_TABANI!$B$14)) + (VERI_TABANI!D26*C348*(VERI_TABANI!$B$13-VERI_TABANI!$B$15)) + IF(ISNUMBER(SEARCH("Var", D348)), VERI_TABANI!F26*(0.00202-VERI_TABANI!$B$16), IF(ISNUMBER(SEARCH("Gri", D348)), VERI_TABANI!F26*(0.00202-VERI_TABANI!$B$17), 0))) + ((VERI_TABANI!D27*B348*(VERI_TABANI!$B$13-VERI_TABANI!$B$14)) + (VERI_TABANI!D27*C348*(VERI_TABANI!$B$13-VERI_TABANI!$B$15)) + IF(ISNUMBER(SEARCH("Var", D348)), VERI_TABANI!F27*(0.00202-VERI_TABANI!$B$16), IF(ISNUMBER(SEARCH("Gri", D348)), VERI_TABANI!F27*(0.00202-VERI_TABANI!$B$17), 0))) + ((VERI_TABANI!D28*B348*(VERI_TABANI!$B$13-VERI_TABANI!$B$14)) + (VERI_TABANI!D28*C348*(VERI_TABANI!$B$13-VERI_TABANI!$B$15)) + IF(ISNUMBER(SEARCH("Var", D348)), VERI_TABANI!F28*(0.00202-VERI_TABANI!$B$16), IF(ISNUMBER(SEARCH("Gri", D348)), VERI_TABANI!F28*(0.00202-VERI_TABANI!$B$17), 0))))</f>
        <v/>
      </c>
      <c r="I348" s="170">
        <f>IFERROR(((VERI_TABANI!$D$29*B348*VERI_TABANI!$B$14 + VERI_TABANI!$D$29*C348*VERI_TABANI!$B$15 + IF(ISNUMBER(SEARCH("Var", D348)), VERI_TABANI!$F$29*VERI_TABANI!$B$16, 0))) / (((VERI_TABANI!$D$29*B348 + VERI_TABANI!$D$29*C348)*VERI_TABANI!$B$13 + IF(ISNUMBER(SEARCH("Var", D348)), VERI_TABANI!$E$29*(1-0.928)*VERI_TABANI!$B$18, 0))), 0)</f>
        <v/>
      </c>
      <c r="J348" s="171">
        <f>IFERROR(F348/(G348/29), 0)</f>
        <v/>
      </c>
      <c r="K348" s="172">
        <f>IF(F348&gt;0, H348/F348, 0)</f>
        <v/>
      </c>
      <c r="L348" s="170">
        <f>IF(F348&gt;0, I348, 1000000000)</f>
        <v/>
      </c>
      <c r="M348" s="171">
        <f>ABS((B348+C348)-1)</f>
        <v/>
      </c>
      <c r="N348" s="170">
        <f>IF(F348&gt;0, (G348/29)/F348, 0)</f>
        <v/>
      </c>
      <c r="O348" s="168">
        <f>IF(AND((B348+C348)&gt;=1, ISNUMBER(SEARCH("Var", D348))), F348, 1000000000)</f>
        <v/>
      </c>
      <c r="P348" s="172">
        <f>IF(F348&gt;0, SQRT((F348/MAX(F$5:F$886))^2 + (1 - H348/MAX(H$5:H$886))^2 + (J348/MAX(J$5:J$886))^2), 1000000000)</f>
        <v/>
      </c>
      <c r="Q348" s="166">
        <f>IF(AND(ABS(B348-0.5)&lt;0.01, ABS(C348-0.5)&lt;0.01, ISNUMBER(SEARCH("Var", D348))), 1, 0)</f>
        <v/>
      </c>
      <c r="R348" s="171">
        <f>IF(F348&gt;0, J348, 1000000000)</f>
        <v/>
      </c>
      <c r="S348" s="101">
        <f>IF(AND(F348&lt;=DASHBOARD!$B$11, H348&gt;=DASHBOARD!$B$13), G348, -1000000000000)</f>
        <v/>
      </c>
      <c r="T348" s="101">
        <f>IF(AND(F348&lt;=DASHBOARD!$B$11, H348&gt;=DASHBOARD!$B$13), R348, 1000000000000)</f>
        <v/>
      </c>
      <c r="U348" s="101">
        <f>IF(AND(F348&lt;=DASHBOARD!$B$11, H348&gt;=DASHBOARD!$B$13), N348, -1000000000000)</f>
        <v/>
      </c>
      <c r="V348" s="101">
        <f>IF(AND(F348&lt;=DASHBOARD!$B$11, H348&gt;=DASHBOARD!$B$13), H348, -1000000000000)</f>
        <v/>
      </c>
      <c r="W348" s="101">
        <f>IF(AND(F348&lt;=DASHBOARD!$B$11, H348&gt;=DASHBOARD!$B$13), K348, -1000000000000)</f>
        <v/>
      </c>
      <c r="X348" s="101">
        <f>IF(AND(F348&lt;=DASHBOARD!$B$11, H348&gt;=DASHBOARD!$B$13), M348, 1000000000000)</f>
        <v/>
      </c>
      <c r="Y348" s="101">
        <f>IF(AND(F348&lt;=DASHBOARD!$B$10, H348&gt;=DASHBOARD!$B$11), L348, 1000000000000)</f>
        <v/>
      </c>
      <c r="Z348" s="101">
        <f>IF(AND(F348&lt;=DASHBOARD!$B$10, H348&gt;=DASHBOARD!$B$11), O348, 1000000000000)</f>
        <v/>
      </c>
      <c r="AA348" s="101">
        <f>IF(AND(F348&lt;=DASHBOARD!$B$10, H348&gt;=DASHBOARD!$B$11), P348, 1000000000000)</f>
        <v/>
      </c>
      <c r="AB348" s="101">
        <f>IF(AND(F348&lt;=DASHBOARD!$B$10, H348&gt;=DASHBOARD!$B$11), Q348, -1000000000000)</f>
        <v/>
      </c>
    </row>
    <row r="349" ht="15" customHeight="1" s="102">
      <c r="A349" s="166" t="n">
        <v>345</v>
      </c>
      <c r="B349" s="167" t="n">
        <v>0.8</v>
      </c>
      <c r="C349" s="167" t="n">
        <v>0.4</v>
      </c>
      <c r="D349" s="110" t="inlineStr">
        <is>
          <t>Yok (%0)</t>
        </is>
      </c>
      <c r="E349" s="110">
        <f>IF((B349+C349)&lt;=1, "Tam Mahsuplaşma (≤%100)", "Kısmi Satış (&gt;%100)")</f>
        <v/>
      </c>
      <c r="F349" s="168">
        <f>((VERI_TABANI!$D$29*B349/VERI_TABANI!$B$29)/VERI_TABANI!$B$3)*VERI_TABANI!$B$5 + ((VERI_TABANI!$D$29*C349/VERI_TABANI!$B$29)/VERI_TABANI!$B$4)*VERI_TABANI!$B$6 + IF(ISNUMBER(SEARCH("Var", D349)), (VERI_TABANI!$F$29/VERI_TABANI!$B$29)*(VERI_TABANI!$B$10+VERI_TABANI!$B$12), 0)</f>
        <v/>
      </c>
      <c r="G349" s="168">
        <f>(((MIN(VERI_TABANI!D23, VERI_TABANI!D23*B349)*VERI_TABANI!$B$7 + MAX(0, VERI_TABANI!D23*B349-VERI_TABANI!D23)*VERI_TABANI!$B$8) + (MIN(MAX(0, VERI_TABANI!D23-VERI_TABANI!D23*B349), VERI_TABANI!D23*C349)*VERI_TABANI!$B$7 + MAX(0, VERI_TABANI!D23*C349-MAX(0, VERI_TABANI!D23-VERI_TABANI!D23*B349))*VERI_TABANI!$B$8) + IF(ABS(IF(ISNUMBER(SEARCH("Var", D349)), 1, IF(ISNUMBER(SEARCH("Gri", D349)), -1, 0)))=1, VERI_TABANI!E23*(1-0.928)*VERI_TABANI!$B$9, 0) + (VERI_TABANI!D23*B349*(VERI_TABANI!$B$13-VERI_TABANI!$B$14)*VERI_TABANI!G23) + (VERI_TABANI!D23*C349*(VERI_TABANI!$B$13-VERI_TABANI!$B$15)*VERI_TABANI!G23) + IF(ABS(IF(ISNUMBER(SEARCH("Var", D349)), 1, IF(ISNUMBER(SEARCH("Gri", D349)), -1, 0)))=1, VERI_TABANI!E23*(1-0.928)*0.00206091519919798*VERI_TABANI!G23, 0)) + ((MIN(VERI_TABANI!D24, VERI_TABANI!D24*B349)*VERI_TABANI!$B$7 + MAX(0, VERI_TABANI!D24*B349-VERI_TABANI!D24)*VERI_TABANI!$B$8) + (MIN(MAX(0, VERI_TABANI!D24-VERI_TABANI!D24*B349), VERI_TABANI!D24*C349)*VERI_TABANI!$B$7 + MAX(0, VERI_TABANI!D24*C349-MAX(0, VERI_TABANI!D24-VERI_TABANI!D24*B349))*VERI_TABANI!$B$8) + IF(ABS(IF(ISNUMBER(SEARCH("Var", D349)), 1, IF(ISNUMBER(SEARCH("Gri", D349)), -1, 0)))=1, VERI_TABANI!E24*(1-0.928)*VERI_TABANI!$B$9, 0) + (VERI_TABANI!D24*B349*(VERI_TABANI!$B$13-VERI_TABANI!$B$14)*VERI_TABANI!G24) + (VERI_TABANI!D24*C349*(VERI_TABANI!$B$13-VERI_TABANI!$B$15)*VERI_TABANI!G24) + IF(ABS(IF(ISNUMBER(SEARCH("Var", D349)), 1, IF(ISNUMBER(SEARCH("Gri", D349)), -1, 0)))=1, VERI_TABANI!E24*(1-0.928)*0.00206091519919798*VERI_TABANI!G24, 0)) + ((MIN(VERI_TABANI!D25, VERI_TABANI!D25*B349)*VERI_TABANI!$B$7 + MAX(0, VERI_TABANI!D25*B349-VERI_TABANI!D25)*VERI_TABANI!$B$8) + (MIN(MAX(0, VERI_TABANI!D25-VERI_TABANI!D25*B349), VERI_TABANI!D25*C349)*VERI_TABANI!$B$7 + MAX(0, VERI_TABANI!D25*C349-MAX(0, VERI_TABANI!D25-VERI_TABANI!D25*B349))*VERI_TABANI!$B$8) + IF(ABS(IF(ISNUMBER(SEARCH("Var", D349)), 1, IF(ISNUMBER(SEARCH("Gri", D349)), -1, 0)))=1, VERI_TABANI!E25*(1-0.928)*VERI_TABANI!$B$9, 0) + (VERI_TABANI!D25*B349*(VERI_TABANI!$B$13-VERI_TABANI!$B$14)*VERI_TABANI!G25) + (VERI_TABANI!D25*C349*(VERI_TABANI!$B$13-VERI_TABANI!$B$15)*VERI_TABANI!G25) + IF(ABS(IF(ISNUMBER(SEARCH("Var", D349)), 1, IF(ISNUMBER(SEARCH("Gri", D349)), -1, 0)))=1, VERI_TABANI!E25*(1-0.928)*0.00206091519919798*VERI_TABANI!G25, 0)) + ((MIN(VERI_TABANI!D26, VERI_TABANI!D26*B349)*VERI_TABANI!$B$7 + MAX(0, VERI_TABANI!D26*B349-VERI_TABANI!D26)*VERI_TABANI!$B$8) + (MIN(MAX(0, VERI_TABANI!D26-VERI_TABANI!D26*B349), VERI_TABANI!D26*C349)*VERI_TABANI!$B$7 + MAX(0, VERI_TABANI!D26*C349-MAX(0, VERI_TABANI!D26-VERI_TABANI!D26*B349))*VERI_TABANI!$B$8) + IF(ABS(IF(ISNUMBER(SEARCH("Var", D349)), 1, IF(ISNUMBER(SEARCH("Gri", D349)), -1, 0)))=1, VERI_TABANI!E26*(1-0.928)*VERI_TABANI!$B$9, 0) + (VERI_TABANI!D26*B349*(VERI_TABANI!$B$13-VERI_TABANI!$B$14)*VERI_TABANI!G26) + (VERI_TABANI!D26*C349*(VERI_TABANI!$B$13-VERI_TABANI!$B$15)*VERI_TABANI!G26) + IF(ABS(IF(ISNUMBER(SEARCH("Var", D349)), 1, IF(ISNUMBER(SEARCH("Gri", D349)), -1, 0)))=1, VERI_TABANI!E26*(1-0.928)*0.00206091519919798*VERI_TABANI!G26, 0)) + ((MIN(VERI_TABANI!D27, VERI_TABANI!D27*B349)*VERI_TABANI!$B$7 + MAX(0, VERI_TABANI!D27*B349-VERI_TABANI!D27)*VERI_TABANI!$B$8) + (MIN(MAX(0, VERI_TABANI!D27-VERI_TABANI!D27*B349), VERI_TABANI!D27*C349)*VERI_TABANI!$B$7 + MAX(0, VERI_TABANI!D27*C349-MAX(0, VERI_TABANI!D27-VERI_TABANI!D27*B349))*VERI_TABANI!$B$8) + IF(ABS(IF(ISNUMBER(SEARCH("Var", D349)), 1, IF(ISNUMBER(SEARCH("Gri", D349)), -1, 0)))=1, VERI_TABANI!E27*(1-0.928)*VERI_TABANI!$B$9, 0) + (VERI_TABANI!D27*B349*(VERI_TABANI!$B$13-VERI_TABANI!$B$14)*VERI_TABANI!G27) + (VERI_TABANI!D27*C349*(VERI_TABANI!$B$13-VERI_TABANI!$B$15)*VERI_TABANI!G27) + IF(ABS(IF(ISNUMBER(SEARCH("Var", D349)), 1, IF(ISNUMBER(SEARCH("Gri", D349)), -1, 0)))=1, VERI_TABANI!E27*(1-0.928)*0.00206091519919798*VERI_TABANI!G27, 0)) + ((MIN(VERI_TABANI!D28, VERI_TABANI!D28*B349)*VERI_TABANI!$B$7 + MAX(0, VERI_TABANI!D28*B349-VERI_TABANI!D28)*VERI_TABANI!$B$8) + (MIN(MAX(0, VERI_TABANI!D28-VERI_TABANI!D28*B349), VERI_TABANI!D28*C349)*VERI_TABANI!$B$7 + MAX(0, VERI_TABANI!D28*C349-MAX(0, VERI_TABANI!D28-VERI_TABANI!D28*B349))*VERI_TABANI!$B$8) + IF(ABS(IF(ISNUMBER(SEARCH("Var", D349)), 1, IF(ISNUMBER(SEARCH("Gri", D349)), -1, 0)))=1, VERI_TABANI!E28*(1-0.928)*VERI_TABANI!$B$9, 0) + (VERI_TABANI!D28*B349*(VERI_TABANI!$B$13-VERI_TABANI!$B$14)*VERI_TABANI!G28) + (VERI_TABANI!D28*C349*(VERI_TABANI!$B$13-VERI_TABANI!$B$15)*VERI_TABANI!G28) + IF(ABS(IF(ISNUMBER(SEARCH("Var", D349)), 1, IF(ISNUMBER(SEARCH("Gri", D349)), -1, 0)))=1, VERI_TABANI!E28*(1-0.928)*0.00206091519919798*VERI_TABANI!G28, 0)))</f>
        <v/>
      </c>
      <c r="H349" s="169">
        <f>(((VERI_TABANI!D23*B349*(VERI_TABANI!$B$13-VERI_TABANI!$B$14)) + (VERI_TABANI!D23*C349*(VERI_TABANI!$B$13-VERI_TABANI!$B$15)) + IF(ISNUMBER(SEARCH("Var", D349)), VERI_TABANI!F23*(0.00202-VERI_TABANI!$B$16), IF(ISNUMBER(SEARCH("Gri", D349)), VERI_TABANI!F23*(0.00202-VERI_TABANI!$B$17), 0))) + ((VERI_TABANI!D24*B349*(VERI_TABANI!$B$13-VERI_TABANI!$B$14)) + (VERI_TABANI!D24*C349*(VERI_TABANI!$B$13-VERI_TABANI!$B$15)) + IF(ISNUMBER(SEARCH("Var", D349)), VERI_TABANI!F24*(0.00202-VERI_TABANI!$B$16), IF(ISNUMBER(SEARCH("Gri", D349)), VERI_TABANI!F24*(0.00202-VERI_TABANI!$B$17), 0))) + ((VERI_TABANI!D25*B349*(VERI_TABANI!$B$13-VERI_TABANI!$B$14)) + (VERI_TABANI!D25*C349*(VERI_TABANI!$B$13-VERI_TABANI!$B$15)) + IF(ISNUMBER(SEARCH("Var", D349)), VERI_TABANI!F25*(0.00202-VERI_TABANI!$B$16), IF(ISNUMBER(SEARCH("Gri", D349)), VERI_TABANI!F25*(0.00202-VERI_TABANI!$B$17), 0))) + ((VERI_TABANI!D26*B349*(VERI_TABANI!$B$13-VERI_TABANI!$B$14)) + (VERI_TABANI!D26*C349*(VERI_TABANI!$B$13-VERI_TABANI!$B$15)) + IF(ISNUMBER(SEARCH("Var", D349)), VERI_TABANI!F26*(0.00202-VERI_TABANI!$B$16), IF(ISNUMBER(SEARCH("Gri", D349)), VERI_TABANI!F26*(0.00202-VERI_TABANI!$B$17), 0))) + ((VERI_TABANI!D27*B349*(VERI_TABANI!$B$13-VERI_TABANI!$B$14)) + (VERI_TABANI!D27*C349*(VERI_TABANI!$B$13-VERI_TABANI!$B$15)) + IF(ISNUMBER(SEARCH("Var", D349)), VERI_TABANI!F27*(0.00202-VERI_TABANI!$B$16), IF(ISNUMBER(SEARCH("Gri", D349)), VERI_TABANI!F27*(0.00202-VERI_TABANI!$B$17), 0))) + ((VERI_TABANI!D28*B349*(VERI_TABANI!$B$13-VERI_TABANI!$B$14)) + (VERI_TABANI!D28*C349*(VERI_TABANI!$B$13-VERI_TABANI!$B$15)) + IF(ISNUMBER(SEARCH("Var", D349)), VERI_TABANI!F28*(0.00202-VERI_TABANI!$B$16), IF(ISNUMBER(SEARCH("Gri", D349)), VERI_TABANI!F28*(0.00202-VERI_TABANI!$B$17), 0))))</f>
        <v/>
      </c>
      <c r="I349" s="170">
        <f>IFERROR(((VERI_TABANI!$D$29*B349*VERI_TABANI!$B$14 + VERI_TABANI!$D$29*C349*VERI_TABANI!$B$15 + IF(ISNUMBER(SEARCH("Var", D349)), VERI_TABANI!$F$29*VERI_TABANI!$B$16, 0))) / (((VERI_TABANI!$D$29*B349 + VERI_TABANI!$D$29*C349)*VERI_TABANI!$B$13 + IF(ISNUMBER(SEARCH("Var", D349)), VERI_TABANI!$E$29*(1-0.928)*VERI_TABANI!$B$18, 0))), 0)</f>
        <v/>
      </c>
      <c r="J349" s="171">
        <f>IFERROR(F349/(G349/29), 0)</f>
        <v/>
      </c>
      <c r="K349" s="172">
        <f>IF(F349&gt;0, H349/F349, 0)</f>
        <v/>
      </c>
      <c r="L349" s="170">
        <f>IF(F349&gt;0, I349, 1000000000)</f>
        <v/>
      </c>
      <c r="M349" s="171">
        <f>ABS((B349+C349)-1)</f>
        <v/>
      </c>
      <c r="N349" s="170">
        <f>IF(F349&gt;0, (G349/29)/F349, 0)</f>
        <v/>
      </c>
      <c r="O349" s="168">
        <f>IF(AND((B349+C349)&gt;=1, ISNUMBER(SEARCH("Var", D349))), F349, 1000000000)</f>
        <v/>
      </c>
      <c r="P349" s="172">
        <f>IF(F349&gt;0, SQRT((F349/MAX(F$5:F$886))^2 + (1 - H349/MAX(H$5:H$886))^2 + (J349/MAX(J$5:J$886))^2), 1000000000)</f>
        <v/>
      </c>
      <c r="Q349" s="166">
        <f>IF(AND(ABS(B349-0.5)&lt;0.01, ABS(C349-0.5)&lt;0.01, ISNUMBER(SEARCH("Var", D349))), 1, 0)</f>
        <v/>
      </c>
      <c r="R349" s="171">
        <f>IF(F349&gt;0, J349, 1000000000)</f>
        <v/>
      </c>
      <c r="S349" s="101">
        <f>IF(AND(F349&lt;=DASHBOARD!$B$11, H349&gt;=DASHBOARD!$B$13), G349, -1000000000000)</f>
        <v/>
      </c>
      <c r="T349" s="101">
        <f>IF(AND(F349&lt;=DASHBOARD!$B$11, H349&gt;=DASHBOARD!$B$13), R349, 1000000000000)</f>
        <v/>
      </c>
      <c r="U349" s="101">
        <f>IF(AND(F349&lt;=DASHBOARD!$B$11, H349&gt;=DASHBOARD!$B$13), N349, -1000000000000)</f>
        <v/>
      </c>
      <c r="V349" s="101">
        <f>IF(AND(F349&lt;=DASHBOARD!$B$11, H349&gt;=DASHBOARD!$B$13), H349, -1000000000000)</f>
        <v/>
      </c>
      <c r="W349" s="101">
        <f>IF(AND(F349&lt;=DASHBOARD!$B$11, H349&gt;=DASHBOARD!$B$13), K349, -1000000000000)</f>
        <v/>
      </c>
      <c r="X349" s="101">
        <f>IF(AND(F349&lt;=DASHBOARD!$B$11, H349&gt;=DASHBOARD!$B$13), M349, 1000000000000)</f>
        <v/>
      </c>
      <c r="Y349" s="101">
        <f>IF(AND(F349&lt;=DASHBOARD!$B$10, H349&gt;=DASHBOARD!$B$11), L349, 1000000000000)</f>
        <v/>
      </c>
      <c r="Z349" s="101">
        <f>IF(AND(F349&lt;=DASHBOARD!$B$10, H349&gt;=DASHBOARD!$B$11), O349, 1000000000000)</f>
        <v/>
      </c>
      <c r="AA349" s="101">
        <f>IF(AND(F349&lt;=DASHBOARD!$B$10, H349&gt;=DASHBOARD!$B$11), P349, 1000000000000)</f>
        <v/>
      </c>
      <c r="AB349" s="101">
        <f>IF(AND(F349&lt;=DASHBOARD!$B$10, H349&gt;=DASHBOARD!$B$11), Q349, -1000000000000)</f>
        <v/>
      </c>
    </row>
    <row r="350" ht="15" customHeight="1" s="102">
      <c r="A350" s="166" t="n">
        <v>346</v>
      </c>
      <c r="B350" s="167" t="n">
        <v>0.8</v>
      </c>
      <c r="C350" s="167" t="n">
        <v>0.4</v>
      </c>
      <c r="D350" s="110" t="inlineStr">
        <is>
          <t>Var (%20)</t>
        </is>
      </c>
      <c r="E350" s="110">
        <f>IF((B350+C350)&lt;=1, "Tam Mahsuplaşma (≤%100)", "Kısmi Satış (&gt;%100)")</f>
        <v/>
      </c>
      <c r="F350" s="168">
        <f>((VERI_TABANI!$D$29*B350/VERI_TABANI!$B$29)/VERI_TABANI!$B$3)*VERI_TABANI!$B$5 + ((VERI_TABANI!$D$29*C350/VERI_TABANI!$B$29)/VERI_TABANI!$B$4)*VERI_TABANI!$B$6 + IF(ISNUMBER(SEARCH("Var", D350)), (VERI_TABANI!$F$29/VERI_TABANI!$B$29)*(VERI_TABANI!$B$10+VERI_TABANI!$B$12), 0)</f>
        <v/>
      </c>
      <c r="G350" s="168">
        <f>(((MIN(VERI_TABANI!D23, VERI_TABANI!D23*B350)*VERI_TABANI!$B$7 + MAX(0, VERI_TABANI!D23*B350-VERI_TABANI!D23)*VERI_TABANI!$B$8) + (MIN(MAX(0, VERI_TABANI!D23-VERI_TABANI!D23*B350), VERI_TABANI!D23*C350)*VERI_TABANI!$B$7 + MAX(0, VERI_TABANI!D23*C350-MAX(0, VERI_TABANI!D23-VERI_TABANI!D23*B350))*VERI_TABANI!$B$8) + IF(ABS(IF(ISNUMBER(SEARCH("Var", D350)), 1, IF(ISNUMBER(SEARCH("Gri", D350)), -1, 0)))=1, VERI_TABANI!E23*(1-0.928)*VERI_TABANI!$B$9, 0) + (VERI_TABANI!D23*B350*(VERI_TABANI!$B$13-VERI_TABANI!$B$14)*VERI_TABANI!G23) + (VERI_TABANI!D23*C350*(VERI_TABANI!$B$13-VERI_TABANI!$B$15)*VERI_TABANI!G23) + IF(ABS(IF(ISNUMBER(SEARCH("Var", D350)), 1, IF(ISNUMBER(SEARCH("Gri", D350)), -1, 0)))=1, VERI_TABANI!E23*(1-0.928)*0.00206091519919798*VERI_TABANI!G23, 0)) + ((MIN(VERI_TABANI!D24, VERI_TABANI!D24*B350)*VERI_TABANI!$B$7 + MAX(0, VERI_TABANI!D24*B350-VERI_TABANI!D24)*VERI_TABANI!$B$8) + (MIN(MAX(0, VERI_TABANI!D24-VERI_TABANI!D24*B350), VERI_TABANI!D24*C350)*VERI_TABANI!$B$7 + MAX(0, VERI_TABANI!D24*C350-MAX(0, VERI_TABANI!D24-VERI_TABANI!D24*B350))*VERI_TABANI!$B$8) + IF(ABS(IF(ISNUMBER(SEARCH("Var", D350)), 1, IF(ISNUMBER(SEARCH("Gri", D350)), -1, 0)))=1, VERI_TABANI!E24*(1-0.928)*VERI_TABANI!$B$9, 0) + (VERI_TABANI!D24*B350*(VERI_TABANI!$B$13-VERI_TABANI!$B$14)*VERI_TABANI!G24) + (VERI_TABANI!D24*C350*(VERI_TABANI!$B$13-VERI_TABANI!$B$15)*VERI_TABANI!G24) + IF(ABS(IF(ISNUMBER(SEARCH("Var", D350)), 1, IF(ISNUMBER(SEARCH("Gri", D350)), -1, 0)))=1, VERI_TABANI!E24*(1-0.928)*0.00206091519919798*VERI_TABANI!G24, 0)) + ((MIN(VERI_TABANI!D25, VERI_TABANI!D25*B350)*VERI_TABANI!$B$7 + MAX(0, VERI_TABANI!D25*B350-VERI_TABANI!D25)*VERI_TABANI!$B$8) + (MIN(MAX(0, VERI_TABANI!D25-VERI_TABANI!D25*B350), VERI_TABANI!D25*C350)*VERI_TABANI!$B$7 + MAX(0, VERI_TABANI!D25*C350-MAX(0, VERI_TABANI!D25-VERI_TABANI!D25*B350))*VERI_TABANI!$B$8) + IF(ABS(IF(ISNUMBER(SEARCH("Var", D350)), 1, IF(ISNUMBER(SEARCH("Gri", D350)), -1, 0)))=1, VERI_TABANI!E25*(1-0.928)*VERI_TABANI!$B$9, 0) + (VERI_TABANI!D25*B350*(VERI_TABANI!$B$13-VERI_TABANI!$B$14)*VERI_TABANI!G25) + (VERI_TABANI!D25*C350*(VERI_TABANI!$B$13-VERI_TABANI!$B$15)*VERI_TABANI!G25) + IF(ABS(IF(ISNUMBER(SEARCH("Var", D350)), 1, IF(ISNUMBER(SEARCH("Gri", D350)), -1, 0)))=1, VERI_TABANI!E25*(1-0.928)*0.00206091519919798*VERI_TABANI!G25, 0)) + ((MIN(VERI_TABANI!D26, VERI_TABANI!D26*B350)*VERI_TABANI!$B$7 + MAX(0, VERI_TABANI!D26*B350-VERI_TABANI!D26)*VERI_TABANI!$B$8) + (MIN(MAX(0, VERI_TABANI!D26-VERI_TABANI!D26*B350), VERI_TABANI!D26*C350)*VERI_TABANI!$B$7 + MAX(0, VERI_TABANI!D26*C350-MAX(0, VERI_TABANI!D26-VERI_TABANI!D26*B350))*VERI_TABANI!$B$8) + IF(ABS(IF(ISNUMBER(SEARCH("Var", D350)), 1, IF(ISNUMBER(SEARCH("Gri", D350)), -1, 0)))=1, VERI_TABANI!E26*(1-0.928)*VERI_TABANI!$B$9, 0) + (VERI_TABANI!D26*B350*(VERI_TABANI!$B$13-VERI_TABANI!$B$14)*VERI_TABANI!G26) + (VERI_TABANI!D26*C350*(VERI_TABANI!$B$13-VERI_TABANI!$B$15)*VERI_TABANI!G26) + IF(ABS(IF(ISNUMBER(SEARCH("Var", D350)), 1, IF(ISNUMBER(SEARCH("Gri", D350)), -1, 0)))=1, VERI_TABANI!E26*(1-0.928)*0.00206091519919798*VERI_TABANI!G26, 0)) + ((MIN(VERI_TABANI!D27, VERI_TABANI!D27*B350)*VERI_TABANI!$B$7 + MAX(0, VERI_TABANI!D27*B350-VERI_TABANI!D27)*VERI_TABANI!$B$8) + (MIN(MAX(0, VERI_TABANI!D27-VERI_TABANI!D27*B350), VERI_TABANI!D27*C350)*VERI_TABANI!$B$7 + MAX(0, VERI_TABANI!D27*C350-MAX(0, VERI_TABANI!D27-VERI_TABANI!D27*B350))*VERI_TABANI!$B$8) + IF(ABS(IF(ISNUMBER(SEARCH("Var", D350)), 1, IF(ISNUMBER(SEARCH("Gri", D350)), -1, 0)))=1, VERI_TABANI!E27*(1-0.928)*VERI_TABANI!$B$9, 0) + (VERI_TABANI!D27*B350*(VERI_TABANI!$B$13-VERI_TABANI!$B$14)*VERI_TABANI!G27) + (VERI_TABANI!D27*C350*(VERI_TABANI!$B$13-VERI_TABANI!$B$15)*VERI_TABANI!G27) + IF(ABS(IF(ISNUMBER(SEARCH("Var", D350)), 1, IF(ISNUMBER(SEARCH("Gri", D350)), -1, 0)))=1, VERI_TABANI!E27*(1-0.928)*0.00206091519919798*VERI_TABANI!G27, 0)) + ((MIN(VERI_TABANI!D28, VERI_TABANI!D28*B350)*VERI_TABANI!$B$7 + MAX(0, VERI_TABANI!D28*B350-VERI_TABANI!D28)*VERI_TABANI!$B$8) + (MIN(MAX(0, VERI_TABANI!D28-VERI_TABANI!D28*B350), VERI_TABANI!D28*C350)*VERI_TABANI!$B$7 + MAX(0, VERI_TABANI!D28*C350-MAX(0, VERI_TABANI!D28-VERI_TABANI!D28*B350))*VERI_TABANI!$B$8) + IF(ABS(IF(ISNUMBER(SEARCH("Var", D350)), 1, IF(ISNUMBER(SEARCH("Gri", D350)), -1, 0)))=1, VERI_TABANI!E28*(1-0.928)*VERI_TABANI!$B$9, 0) + (VERI_TABANI!D28*B350*(VERI_TABANI!$B$13-VERI_TABANI!$B$14)*VERI_TABANI!G28) + (VERI_TABANI!D28*C350*(VERI_TABANI!$B$13-VERI_TABANI!$B$15)*VERI_TABANI!G28) + IF(ABS(IF(ISNUMBER(SEARCH("Var", D350)), 1, IF(ISNUMBER(SEARCH("Gri", D350)), -1, 0)))=1, VERI_TABANI!E28*(1-0.928)*0.00206091519919798*VERI_TABANI!G28, 0)))</f>
        <v/>
      </c>
      <c r="H350" s="169">
        <f>(((VERI_TABANI!D23*B350*(VERI_TABANI!$B$13-VERI_TABANI!$B$14)) + (VERI_TABANI!D23*C350*(VERI_TABANI!$B$13-VERI_TABANI!$B$15)) + IF(ISNUMBER(SEARCH("Var", D350)), VERI_TABANI!F23*(0.00202-VERI_TABANI!$B$16), IF(ISNUMBER(SEARCH("Gri", D350)), VERI_TABANI!F23*(0.00202-VERI_TABANI!$B$17), 0))) + ((VERI_TABANI!D24*B350*(VERI_TABANI!$B$13-VERI_TABANI!$B$14)) + (VERI_TABANI!D24*C350*(VERI_TABANI!$B$13-VERI_TABANI!$B$15)) + IF(ISNUMBER(SEARCH("Var", D350)), VERI_TABANI!F24*(0.00202-VERI_TABANI!$B$16), IF(ISNUMBER(SEARCH("Gri", D350)), VERI_TABANI!F24*(0.00202-VERI_TABANI!$B$17), 0))) + ((VERI_TABANI!D25*B350*(VERI_TABANI!$B$13-VERI_TABANI!$B$14)) + (VERI_TABANI!D25*C350*(VERI_TABANI!$B$13-VERI_TABANI!$B$15)) + IF(ISNUMBER(SEARCH("Var", D350)), VERI_TABANI!F25*(0.00202-VERI_TABANI!$B$16), IF(ISNUMBER(SEARCH("Gri", D350)), VERI_TABANI!F25*(0.00202-VERI_TABANI!$B$17), 0))) + ((VERI_TABANI!D26*B350*(VERI_TABANI!$B$13-VERI_TABANI!$B$14)) + (VERI_TABANI!D26*C350*(VERI_TABANI!$B$13-VERI_TABANI!$B$15)) + IF(ISNUMBER(SEARCH("Var", D350)), VERI_TABANI!F26*(0.00202-VERI_TABANI!$B$16), IF(ISNUMBER(SEARCH("Gri", D350)), VERI_TABANI!F26*(0.00202-VERI_TABANI!$B$17), 0))) + ((VERI_TABANI!D27*B350*(VERI_TABANI!$B$13-VERI_TABANI!$B$14)) + (VERI_TABANI!D27*C350*(VERI_TABANI!$B$13-VERI_TABANI!$B$15)) + IF(ISNUMBER(SEARCH("Var", D350)), VERI_TABANI!F27*(0.00202-VERI_TABANI!$B$16), IF(ISNUMBER(SEARCH("Gri", D350)), VERI_TABANI!F27*(0.00202-VERI_TABANI!$B$17), 0))) + ((VERI_TABANI!D28*B350*(VERI_TABANI!$B$13-VERI_TABANI!$B$14)) + (VERI_TABANI!D28*C350*(VERI_TABANI!$B$13-VERI_TABANI!$B$15)) + IF(ISNUMBER(SEARCH("Var", D350)), VERI_TABANI!F28*(0.00202-VERI_TABANI!$B$16), IF(ISNUMBER(SEARCH("Gri", D350)), VERI_TABANI!F28*(0.00202-VERI_TABANI!$B$17), 0))))</f>
        <v/>
      </c>
      <c r="I350" s="170">
        <f>IFERROR(((VERI_TABANI!$D$29*B350*VERI_TABANI!$B$14 + VERI_TABANI!$D$29*C350*VERI_TABANI!$B$15 + IF(ISNUMBER(SEARCH("Var", D350)), VERI_TABANI!$F$29*VERI_TABANI!$B$16, 0))) / (((VERI_TABANI!$D$29*B350 + VERI_TABANI!$D$29*C350)*VERI_TABANI!$B$13 + IF(ISNUMBER(SEARCH("Var", D350)), VERI_TABANI!$E$29*(1-0.928)*VERI_TABANI!$B$18, 0))), 0)</f>
        <v/>
      </c>
      <c r="J350" s="171">
        <f>IFERROR(F350/(G350/29), 0)</f>
        <v/>
      </c>
      <c r="K350" s="172">
        <f>IF(F350&gt;0, H350/F350, 0)</f>
        <v/>
      </c>
      <c r="L350" s="170">
        <f>IF(F350&gt;0, I350, 1000000000)</f>
        <v/>
      </c>
      <c r="M350" s="171">
        <f>ABS((B350+C350)-1)</f>
        <v/>
      </c>
      <c r="N350" s="170">
        <f>IF(F350&gt;0, (G350/29)/F350, 0)</f>
        <v/>
      </c>
      <c r="O350" s="168">
        <f>IF(AND((B350+C350)&gt;=1, ISNUMBER(SEARCH("Var", D350))), F350, 1000000000)</f>
        <v/>
      </c>
      <c r="P350" s="172">
        <f>IF(F350&gt;0, SQRT((F350/MAX(F$5:F$886))^2 + (1 - H350/MAX(H$5:H$886))^2 + (J350/MAX(J$5:J$886))^2), 1000000000)</f>
        <v/>
      </c>
      <c r="Q350" s="166">
        <f>IF(AND(ABS(B350-0.5)&lt;0.01, ABS(C350-0.5)&lt;0.01, ISNUMBER(SEARCH("Var", D350))), 1, 0)</f>
        <v/>
      </c>
      <c r="R350" s="171">
        <f>IF(F350&gt;0, J350, 1000000000)</f>
        <v/>
      </c>
      <c r="S350" s="101">
        <f>IF(AND(F350&lt;=DASHBOARD!$B$11, H350&gt;=DASHBOARD!$B$13), G350, -1000000000000)</f>
        <v/>
      </c>
      <c r="T350" s="101">
        <f>IF(AND(F350&lt;=DASHBOARD!$B$11, H350&gt;=DASHBOARD!$B$13), R350, 1000000000000)</f>
        <v/>
      </c>
      <c r="U350" s="101">
        <f>IF(AND(F350&lt;=DASHBOARD!$B$11, H350&gt;=DASHBOARD!$B$13), N350, -1000000000000)</f>
        <v/>
      </c>
      <c r="V350" s="101">
        <f>IF(AND(F350&lt;=DASHBOARD!$B$11, H350&gt;=DASHBOARD!$B$13), H350, -1000000000000)</f>
        <v/>
      </c>
      <c r="W350" s="101">
        <f>IF(AND(F350&lt;=DASHBOARD!$B$11, H350&gt;=DASHBOARD!$B$13), K350, -1000000000000)</f>
        <v/>
      </c>
      <c r="X350" s="101">
        <f>IF(AND(F350&lt;=DASHBOARD!$B$11, H350&gt;=DASHBOARD!$B$13), M350, 1000000000000)</f>
        <v/>
      </c>
      <c r="Y350" s="101">
        <f>IF(AND(F350&lt;=DASHBOARD!$B$10, H350&gt;=DASHBOARD!$B$11), L350, 1000000000000)</f>
        <v/>
      </c>
      <c r="Z350" s="101">
        <f>IF(AND(F350&lt;=DASHBOARD!$B$10, H350&gt;=DASHBOARD!$B$11), O350, 1000000000000)</f>
        <v/>
      </c>
      <c r="AA350" s="101">
        <f>IF(AND(F350&lt;=DASHBOARD!$B$10, H350&gt;=DASHBOARD!$B$11), P350, 1000000000000)</f>
        <v/>
      </c>
      <c r="AB350" s="101">
        <f>IF(AND(F350&lt;=DASHBOARD!$B$10, H350&gt;=DASHBOARD!$B$11), Q350, -1000000000000)</f>
        <v/>
      </c>
    </row>
    <row r="351" ht="15" customHeight="1" s="102">
      <c r="A351" s="166" t="n">
        <v>347</v>
      </c>
      <c r="B351" s="167" t="n">
        <v>0.8</v>
      </c>
      <c r="C351" s="167" t="n">
        <v>0.5</v>
      </c>
      <c r="D351" s="110" t="inlineStr">
        <is>
          <t>Yok (%0)</t>
        </is>
      </c>
      <c r="E351" s="110">
        <f>IF((B351+C351)&lt;=1, "Tam Mahsuplaşma (≤%100)", "Kısmi Satış (&gt;%100)")</f>
        <v/>
      </c>
      <c r="F351" s="168">
        <f>((VERI_TABANI!$D$29*B351/VERI_TABANI!$B$29)/VERI_TABANI!$B$3)*VERI_TABANI!$B$5 + ((VERI_TABANI!$D$29*C351/VERI_TABANI!$B$29)/VERI_TABANI!$B$4)*VERI_TABANI!$B$6 + IF(ISNUMBER(SEARCH("Var", D351)), (VERI_TABANI!$F$29/VERI_TABANI!$B$29)*(VERI_TABANI!$B$10+VERI_TABANI!$B$12), 0)</f>
        <v/>
      </c>
      <c r="G351" s="168">
        <f>(((MIN(VERI_TABANI!D23, VERI_TABANI!D23*B351)*VERI_TABANI!$B$7 + MAX(0, VERI_TABANI!D23*B351-VERI_TABANI!D23)*VERI_TABANI!$B$8) + (MIN(MAX(0, VERI_TABANI!D23-VERI_TABANI!D23*B351), VERI_TABANI!D23*C351)*VERI_TABANI!$B$7 + MAX(0, VERI_TABANI!D23*C351-MAX(0, VERI_TABANI!D23-VERI_TABANI!D23*B351))*VERI_TABANI!$B$8) + IF(ABS(IF(ISNUMBER(SEARCH("Var", D351)), 1, IF(ISNUMBER(SEARCH("Gri", D351)), -1, 0)))=1, VERI_TABANI!E23*(1-0.928)*VERI_TABANI!$B$9, 0) + (VERI_TABANI!D23*B351*(VERI_TABANI!$B$13-VERI_TABANI!$B$14)*VERI_TABANI!G23) + (VERI_TABANI!D23*C351*(VERI_TABANI!$B$13-VERI_TABANI!$B$15)*VERI_TABANI!G23) + IF(ABS(IF(ISNUMBER(SEARCH("Var", D351)), 1, IF(ISNUMBER(SEARCH("Gri", D351)), -1, 0)))=1, VERI_TABANI!E23*(1-0.928)*0.00206091519919798*VERI_TABANI!G23, 0)) + ((MIN(VERI_TABANI!D24, VERI_TABANI!D24*B351)*VERI_TABANI!$B$7 + MAX(0, VERI_TABANI!D24*B351-VERI_TABANI!D24)*VERI_TABANI!$B$8) + (MIN(MAX(0, VERI_TABANI!D24-VERI_TABANI!D24*B351), VERI_TABANI!D24*C351)*VERI_TABANI!$B$7 + MAX(0, VERI_TABANI!D24*C351-MAX(0, VERI_TABANI!D24-VERI_TABANI!D24*B351))*VERI_TABANI!$B$8) + IF(ABS(IF(ISNUMBER(SEARCH("Var", D351)), 1, IF(ISNUMBER(SEARCH("Gri", D351)), -1, 0)))=1, VERI_TABANI!E24*(1-0.928)*VERI_TABANI!$B$9, 0) + (VERI_TABANI!D24*B351*(VERI_TABANI!$B$13-VERI_TABANI!$B$14)*VERI_TABANI!G24) + (VERI_TABANI!D24*C351*(VERI_TABANI!$B$13-VERI_TABANI!$B$15)*VERI_TABANI!G24) + IF(ABS(IF(ISNUMBER(SEARCH("Var", D351)), 1, IF(ISNUMBER(SEARCH("Gri", D351)), -1, 0)))=1, VERI_TABANI!E24*(1-0.928)*0.00206091519919798*VERI_TABANI!G24, 0)) + ((MIN(VERI_TABANI!D25, VERI_TABANI!D25*B351)*VERI_TABANI!$B$7 + MAX(0, VERI_TABANI!D25*B351-VERI_TABANI!D25)*VERI_TABANI!$B$8) + (MIN(MAX(0, VERI_TABANI!D25-VERI_TABANI!D25*B351), VERI_TABANI!D25*C351)*VERI_TABANI!$B$7 + MAX(0, VERI_TABANI!D25*C351-MAX(0, VERI_TABANI!D25-VERI_TABANI!D25*B351))*VERI_TABANI!$B$8) + IF(ABS(IF(ISNUMBER(SEARCH("Var", D351)), 1, IF(ISNUMBER(SEARCH("Gri", D351)), -1, 0)))=1, VERI_TABANI!E25*(1-0.928)*VERI_TABANI!$B$9, 0) + (VERI_TABANI!D25*B351*(VERI_TABANI!$B$13-VERI_TABANI!$B$14)*VERI_TABANI!G25) + (VERI_TABANI!D25*C351*(VERI_TABANI!$B$13-VERI_TABANI!$B$15)*VERI_TABANI!G25) + IF(ABS(IF(ISNUMBER(SEARCH("Var", D351)), 1, IF(ISNUMBER(SEARCH("Gri", D351)), -1, 0)))=1, VERI_TABANI!E25*(1-0.928)*0.00206091519919798*VERI_TABANI!G25, 0)) + ((MIN(VERI_TABANI!D26, VERI_TABANI!D26*B351)*VERI_TABANI!$B$7 + MAX(0, VERI_TABANI!D26*B351-VERI_TABANI!D26)*VERI_TABANI!$B$8) + (MIN(MAX(0, VERI_TABANI!D26-VERI_TABANI!D26*B351), VERI_TABANI!D26*C351)*VERI_TABANI!$B$7 + MAX(0, VERI_TABANI!D26*C351-MAX(0, VERI_TABANI!D26-VERI_TABANI!D26*B351))*VERI_TABANI!$B$8) + IF(ABS(IF(ISNUMBER(SEARCH("Var", D351)), 1, IF(ISNUMBER(SEARCH("Gri", D351)), -1, 0)))=1, VERI_TABANI!E26*(1-0.928)*VERI_TABANI!$B$9, 0) + (VERI_TABANI!D26*B351*(VERI_TABANI!$B$13-VERI_TABANI!$B$14)*VERI_TABANI!G26) + (VERI_TABANI!D26*C351*(VERI_TABANI!$B$13-VERI_TABANI!$B$15)*VERI_TABANI!G26) + IF(ABS(IF(ISNUMBER(SEARCH("Var", D351)), 1, IF(ISNUMBER(SEARCH("Gri", D351)), -1, 0)))=1, VERI_TABANI!E26*(1-0.928)*0.00206091519919798*VERI_TABANI!G26, 0)) + ((MIN(VERI_TABANI!D27, VERI_TABANI!D27*B351)*VERI_TABANI!$B$7 + MAX(0, VERI_TABANI!D27*B351-VERI_TABANI!D27)*VERI_TABANI!$B$8) + (MIN(MAX(0, VERI_TABANI!D27-VERI_TABANI!D27*B351), VERI_TABANI!D27*C351)*VERI_TABANI!$B$7 + MAX(0, VERI_TABANI!D27*C351-MAX(0, VERI_TABANI!D27-VERI_TABANI!D27*B351))*VERI_TABANI!$B$8) + IF(ABS(IF(ISNUMBER(SEARCH("Var", D351)), 1, IF(ISNUMBER(SEARCH("Gri", D351)), -1, 0)))=1, VERI_TABANI!E27*(1-0.928)*VERI_TABANI!$B$9, 0) + (VERI_TABANI!D27*B351*(VERI_TABANI!$B$13-VERI_TABANI!$B$14)*VERI_TABANI!G27) + (VERI_TABANI!D27*C351*(VERI_TABANI!$B$13-VERI_TABANI!$B$15)*VERI_TABANI!G27) + IF(ABS(IF(ISNUMBER(SEARCH("Var", D351)), 1, IF(ISNUMBER(SEARCH("Gri", D351)), -1, 0)))=1, VERI_TABANI!E27*(1-0.928)*0.00206091519919798*VERI_TABANI!G27, 0)) + ((MIN(VERI_TABANI!D28, VERI_TABANI!D28*B351)*VERI_TABANI!$B$7 + MAX(0, VERI_TABANI!D28*B351-VERI_TABANI!D28)*VERI_TABANI!$B$8) + (MIN(MAX(0, VERI_TABANI!D28-VERI_TABANI!D28*B351), VERI_TABANI!D28*C351)*VERI_TABANI!$B$7 + MAX(0, VERI_TABANI!D28*C351-MAX(0, VERI_TABANI!D28-VERI_TABANI!D28*B351))*VERI_TABANI!$B$8) + IF(ABS(IF(ISNUMBER(SEARCH("Var", D351)), 1, IF(ISNUMBER(SEARCH("Gri", D351)), -1, 0)))=1, VERI_TABANI!E28*(1-0.928)*VERI_TABANI!$B$9, 0) + (VERI_TABANI!D28*B351*(VERI_TABANI!$B$13-VERI_TABANI!$B$14)*VERI_TABANI!G28) + (VERI_TABANI!D28*C351*(VERI_TABANI!$B$13-VERI_TABANI!$B$15)*VERI_TABANI!G28) + IF(ABS(IF(ISNUMBER(SEARCH("Var", D351)), 1, IF(ISNUMBER(SEARCH("Gri", D351)), -1, 0)))=1, VERI_TABANI!E28*(1-0.928)*0.00206091519919798*VERI_TABANI!G28, 0)))</f>
        <v/>
      </c>
      <c r="H351" s="169">
        <f>(((VERI_TABANI!D23*B351*(VERI_TABANI!$B$13-VERI_TABANI!$B$14)) + (VERI_TABANI!D23*C351*(VERI_TABANI!$B$13-VERI_TABANI!$B$15)) + IF(ISNUMBER(SEARCH("Var", D351)), VERI_TABANI!F23*(0.00202-VERI_TABANI!$B$16), IF(ISNUMBER(SEARCH("Gri", D351)), VERI_TABANI!F23*(0.00202-VERI_TABANI!$B$17), 0))) + ((VERI_TABANI!D24*B351*(VERI_TABANI!$B$13-VERI_TABANI!$B$14)) + (VERI_TABANI!D24*C351*(VERI_TABANI!$B$13-VERI_TABANI!$B$15)) + IF(ISNUMBER(SEARCH("Var", D351)), VERI_TABANI!F24*(0.00202-VERI_TABANI!$B$16), IF(ISNUMBER(SEARCH("Gri", D351)), VERI_TABANI!F24*(0.00202-VERI_TABANI!$B$17), 0))) + ((VERI_TABANI!D25*B351*(VERI_TABANI!$B$13-VERI_TABANI!$B$14)) + (VERI_TABANI!D25*C351*(VERI_TABANI!$B$13-VERI_TABANI!$B$15)) + IF(ISNUMBER(SEARCH("Var", D351)), VERI_TABANI!F25*(0.00202-VERI_TABANI!$B$16), IF(ISNUMBER(SEARCH("Gri", D351)), VERI_TABANI!F25*(0.00202-VERI_TABANI!$B$17), 0))) + ((VERI_TABANI!D26*B351*(VERI_TABANI!$B$13-VERI_TABANI!$B$14)) + (VERI_TABANI!D26*C351*(VERI_TABANI!$B$13-VERI_TABANI!$B$15)) + IF(ISNUMBER(SEARCH("Var", D351)), VERI_TABANI!F26*(0.00202-VERI_TABANI!$B$16), IF(ISNUMBER(SEARCH("Gri", D351)), VERI_TABANI!F26*(0.00202-VERI_TABANI!$B$17), 0))) + ((VERI_TABANI!D27*B351*(VERI_TABANI!$B$13-VERI_TABANI!$B$14)) + (VERI_TABANI!D27*C351*(VERI_TABANI!$B$13-VERI_TABANI!$B$15)) + IF(ISNUMBER(SEARCH("Var", D351)), VERI_TABANI!F27*(0.00202-VERI_TABANI!$B$16), IF(ISNUMBER(SEARCH("Gri", D351)), VERI_TABANI!F27*(0.00202-VERI_TABANI!$B$17), 0))) + ((VERI_TABANI!D28*B351*(VERI_TABANI!$B$13-VERI_TABANI!$B$14)) + (VERI_TABANI!D28*C351*(VERI_TABANI!$B$13-VERI_TABANI!$B$15)) + IF(ISNUMBER(SEARCH("Var", D351)), VERI_TABANI!F28*(0.00202-VERI_TABANI!$B$16), IF(ISNUMBER(SEARCH("Gri", D351)), VERI_TABANI!F28*(0.00202-VERI_TABANI!$B$17), 0))))</f>
        <v/>
      </c>
      <c r="I351" s="170">
        <f>IFERROR(((VERI_TABANI!$D$29*B351*VERI_TABANI!$B$14 + VERI_TABANI!$D$29*C351*VERI_TABANI!$B$15 + IF(ISNUMBER(SEARCH("Var", D351)), VERI_TABANI!$F$29*VERI_TABANI!$B$16, 0))) / (((VERI_TABANI!$D$29*B351 + VERI_TABANI!$D$29*C351)*VERI_TABANI!$B$13 + IF(ISNUMBER(SEARCH("Var", D351)), VERI_TABANI!$E$29*(1-0.928)*VERI_TABANI!$B$18, 0))), 0)</f>
        <v/>
      </c>
      <c r="J351" s="171">
        <f>IFERROR(F351/(G351/29), 0)</f>
        <v/>
      </c>
      <c r="K351" s="172">
        <f>IF(F351&gt;0, H351/F351, 0)</f>
        <v/>
      </c>
      <c r="L351" s="170">
        <f>IF(F351&gt;0, I351, 1000000000)</f>
        <v/>
      </c>
      <c r="M351" s="171">
        <f>ABS((B351+C351)-1)</f>
        <v/>
      </c>
      <c r="N351" s="170">
        <f>IF(F351&gt;0, (G351/29)/F351, 0)</f>
        <v/>
      </c>
      <c r="O351" s="168">
        <f>IF(AND((B351+C351)&gt;=1, ISNUMBER(SEARCH("Var", D351))), F351, 1000000000)</f>
        <v/>
      </c>
      <c r="P351" s="172">
        <f>IF(F351&gt;0, SQRT((F351/MAX(F$5:F$886))^2 + (1 - H351/MAX(H$5:H$886))^2 + (J351/MAX(J$5:J$886))^2), 1000000000)</f>
        <v/>
      </c>
      <c r="Q351" s="166">
        <f>IF(AND(ABS(B351-0.5)&lt;0.01, ABS(C351-0.5)&lt;0.01, ISNUMBER(SEARCH("Var", D351))), 1, 0)</f>
        <v/>
      </c>
      <c r="R351" s="171">
        <f>IF(F351&gt;0, J351, 1000000000)</f>
        <v/>
      </c>
      <c r="S351" s="101">
        <f>IF(AND(F351&lt;=DASHBOARD!$B$11, H351&gt;=DASHBOARD!$B$13), G351, -1000000000000)</f>
        <v/>
      </c>
      <c r="T351" s="101">
        <f>IF(AND(F351&lt;=DASHBOARD!$B$11, H351&gt;=DASHBOARD!$B$13), R351, 1000000000000)</f>
        <v/>
      </c>
      <c r="U351" s="101">
        <f>IF(AND(F351&lt;=DASHBOARD!$B$11, H351&gt;=DASHBOARD!$B$13), N351, -1000000000000)</f>
        <v/>
      </c>
      <c r="V351" s="101">
        <f>IF(AND(F351&lt;=DASHBOARD!$B$11, H351&gt;=DASHBOARD!$B$13), H351, -1000000000000)</f>
        <v/>
      </c>
      <c r="W351" s="101">
        <f>IF(AND(F351&lt;=DASHBOARD!$B$11, H351&gt;=DASHBOARD!$B$13), K351, -1000000000000)</f>
        <v/>
      </c>
      <c r="X351" s="101">
        <f>IF(AND(F351&lt;=DASHBOARD!$B$11, H351&gt;=DASHBOARD!$B$13), M351, 1000000000000)</f>
        <v/>
      </c>
      <c r="Y351" s="101">
        <f>IF(AND(F351&lt;=DASHBOARD!$B$10, H351&gt;=DASHBOARD!$B$11), L351, 1000000000000)</f>
        <v/>
      </c>
      <c r="Z351" s="101">
        <f>IF(AND(F351&lt;=DASHBOARD!$B$10, H351&gt;=DASHBOARD!$B$11), O351, 1000000000000)</f>
        <v/>
      </c>
      <c r="AA351" s="101">
        <f>IF(AND(F351&lt;=DASHBOARD!$B$10, H351&gt;=DASHBOARD!$B$11), P351, 1000000000000)</f>
        <v/>
      </c>
      <c r="AB351" s="101">
        <f>IF(AND(F351&lt;=DASHBOARD!$B$10, H351&gt;=DASHBOARD!$B$11), Q351, -1000000000000)</f>
        <v/>
      </c>
    </row>
    <row r="352" ht="15" customHeight="1" s="102">
      <c r="A352" s="166" t="n">
        <v>348</v>
      </c>
      <c r="B352" s="167" t="n">
        <v>0.8</v>
      </c>
      <c r="C352" s="167" t="n">
        <v>0.5</v>
      </c>
      <c r="D352" s="110" t="inlineStr">
        <is>
          <t>Var (%20)</t>
        </is>
      </c>
      <c r="E352" s="110">
        <f>IF((B352+C352)&lt;=1, "Tam Mahsuplaşma (≤%100)", "Kısmi Satış (&gt;%100)")</f>
        <v/>
      </c>
      <c r="F352" s="168">
        <f>((VERI_TABANI!$D$29*B352/VERI_TABANI!$B$29)/VERI_TABANI!$B$3)*VERI_TABANI!$B$5 + ((VERI_TABANI!$D$29*C352/VERI_TABANI!$B$29)/VERI_TABANI!$B$4)*VERI_TABANI!$B$6 + IF(ISNUMBER(SEARCH("Var", D352)), (VERI_TABANI!$F$29/VERI_TABANI!$B$29)*(VERI_TABANI!$B$10+VERI_TABANI!$B$12), 0)</f>
        <v/>
      </c>
      <c r="G352" s="168">
        <f>(((MIN(VERI_TABANI!D23, VERI_TABANI!D23*B352)*VERI_TABANI!$B$7 + MAX(0, VERI_TABANI!D23*B352-VERI_TABANI!D23)*VERI_TABANI!$B$8) + (MIN(MAX(0, VERI_TABANI!D23-VERI_TABANI!D23*B352), VERI_TABANI!D23*C352)*VERI_TABANI!$B$7 + MAX(0, VERI_TABANI!D23*C352-MAX(0, VERI_TABANI!D23-VERI_TABANI!D23*B352))*VERI_TABANI!$B$8) + IF(ABS(IF(ISNUMBER(SEARCH("Var", D352)), 1, IF(ISNUMBER(SEARCH("Gri", D352)), -1, 0)))=1, VERI_TABANI!E23*(1-0.928)*VERI_TABANI!$B$9, 0) + (VERI_TABANI!D23*B352*(VERI_TABANI!$B$13-VERI_TABANI!$B$14)*VERI_TABANI!G23) + (VERI_TABANI!D23*C352*(VERI_TABANI!$B$13-VERI_TABANI!$B$15)*VERI_TABANI!G23) + IF(ABS(IF(ISNUMBER(SEARCH("Var", D352)), 1, IF(ISNUMBER(SEARCH("Gri", D352)), -1, 0)))=1, VERI_TABANI!E23*(1-0.928)*0.00206091519919798*VERI_TABANI!G23, 0)) + ((MIN(VERI_TABANI!D24, VERI_TABANI!D24*B352)*VERI_TABANI!$B$7 + MAX(0, VERI_TABANI!D24*B352-VERI_TABANI!D24)*VERI_TABANI!$B$8) + (MIN(MAX(0, VERI_TABANI!D24-VERI_TABANI!D24*B352), VERI_TABANI!D24*C352)*VERI_TABANI!$B$7 + MAX(0, VERI_TABANI!D24*C352-MAX(0, VERI_TABANI!D24-VERI_TABANI!D24*B352))*VERI_TABANI!$B$8) + IF(ABS(IF(ISNUMBER(SEARCH("Var", D352)), 1, IF(ISNUMBER(SEARCH("Gri", D352)), -1, 0)))=1, VERI_TABANI!E24*(1-0.928)*VERI_TABANI!$B$9, 0) + (VERI_TABANI!D24*B352*(VERI_TABANI!$B$13-VERI_TABANI!$B$14)*VERI_TABANI!G24) + (VERI_TABANI!D24*C352*(VERI_TABANI!$B$13-VERI_TABANI!$B$15)*VERI_TABANI!G24) + IF(ABS(IF(ISNUMBER(SEARCH("Var", D352)), 1, IF(ISNUMBER(SEARCH("Gri", D352)), -1, 0)))=1, VERI_TABANI!E24*(1-0.928)*0.00206091519919798*VERI_TABANI!G24, 0)) + ((MIN(VERI_TABANI!D25, VERI_TABANI!D25*B352)*VERI_TABANI!$B$7 + MAX(0, VERI_TABANI!D25*B352-VERI_TABANI!D25)*VERI_TABANI!$B$8) + (MIN(MAX(0, VERI_TABANI!D25-VERI_TABANI!D25*B352), VERI_TABANI!D25*C352)*VERI_TABANI!$B$7 + MAX(0, VERI_TABANI!D25*C352-MAX(0, VERI_TABANI!D25-VERI_TABANI!D25*B352))*VERI_TABANI!$B$8) + IF(ABS(IF(ISNUMBER(SEARCH("Var", D352)), 1, IF(ISNUMBER(SEARCH("Gri", D352)), -1, 0)))=1, VERI_TABANI!E25*(1-0.928)*VERI_TABANI!$B$9, 0) + (VERI_TABANI!D25*B352*(VERI_TABANI!$B$13-VERI_TABANI!$B$14)*VERI_TABANI!G25) + (VERI_TABANI!D25*C352*(VERI_TABANI!$B$13-VERI_TABANI!$B$15)*VERI_TABANI!G25) + IF(ABS(IF(ISNUMBER(SEARCH("Var", D352)), 1, IF(ISNUMBER(SEARCH("Gri", D352)), -1, 0)))=1, VERI_TABANI!E25*(1-0.928)*0.00206091519919798*VERI_TABANI!G25, 0)) + ((MIN(VERI_TABANI!D26, VERI_TABANI!D26*B352)*VERI_TABANI!$B$7 + MAX(0, VERI_TABANI!D26*B352-VERI_TABANI!D26)*VERI_TABANI!$B$8) + (MIN(MAX(0, VERI_TABANI!D26-VERI_TABANI!D26*B352), VERI_TABANI!D26*C352)*VERI_TABANI!$B$7 + MAX(0, VERI_TABANI!D26*C352-MAX(0, VERI_TABANI!D26-VERI_TABANI!D26*B352))*VERI_TABANI!$B$8) + IF(ABS(IF(ISNUMBER(SEARCH("Var", D352)), 1, IF(ISNUMBER(SEARCH("Gri", D352)), -1, 0)))=1, VERI_TABANI!E26*(1-0.928)*VERI_TABANI!$B$9, 0) + (VERI_TABANI!D26*B352*(VERI_TABANI!$B$13-VERI_TABANI!$B$14)*VERI_TABANI!G26) + (VERI_TABANI!D26*C352*(VERI_TABANI!$B$13-VERI_TABANI!$B$15)*VERI_TABANI!G26) + IF(ABS(IF(ISNUMBER(SEARCH("Var", D352)), 1, IF(ISNUMBER(SEARCH("Gri", D352)), -1, 0)))=1, VERI_TABANI!E26*(1-0.928)*0.00206091519919798*VERI_TABANI!G26, 0)) + ((MIN(VERI_TABANI!D27, VERI_TABANI!D27*B352)*VERI_TABANI!$B$7 + MAX(0, VERI_TABANI!D27*B352-VERI_TABANI!D27)*VERI_TABANI!$B$8) + (MIN(MAX(0, VERI_TABANI!D27-VERI_TABANI!D27*B352), VERI_TABANI!D27*C352)*VERI_TABANI!$B$7 + MAX(0, VERI_TABANI!D27*C352-MAX(0, VERI_TABANI!D27-VERI_TABANI!D27*B352))*VERI_TABANI!$B$8) + IF(ABS(IF(ISNUMBER(SEARCH("Var", D352)), 1, IF(ISNUMBER(SEARCH("Gri", D352)), -1, 0)))=1, VERI_TABANI!E27*(1-0.928)*VERI_TABANI!$B$9, 0) + (VERI_TABANI!D27*B352*(VERI_TABANI!$B$13-VERI_TABANI!$B$14)*VERI_TABANI!G27) + (VERI_TABANI!D27*C352*(VERI_TABANI!$B$13-VERI_TABANI!$B$15)*VERI_TABANI!G27) + IF(ABS(IF(ISNUMBER(SEARCH("Var", D352)), 1, IF(ISNUMBER(SEARCH("Gri", D352)), -1, 0)))=1, VERI_TABANI!E27*(1-0.928)*0.00206091519919798*VERI_TABANI!G27, 0)) + ((MIN(VERI_TABANI!D28, VERI_TABANI!D28*B352)*VERI_TABANI!$B$7 + MAX(0, VERI_TABANI!D28*B352-VERI_TABANI!D28)*VERI_TABANI!$B$8) + (MIN(MAX(0, VERI_TABANI!D28-VERI_TABANI!D28*B352), VERI_TABANI!D28*C352)*VERI_TABANI!$B$7 + MAX(0, VERI_TABANI!D28*C352-MAX(0, VERI_TABANI!D28-VERI_TABANI!D28*B352))*VERI_TABANI!$B$8) + IF(ABS(IF(ISNUMBER(SEARCH("Var", D352)), 1, IF(ISNUMBER(SEARCH("Gri", D352)), -1, 0)))=1, VERI_TABANI!E28*(1-0.928)*VERI_TABANI!$B$9, 0) + (VERI_TABANI!D28*B352*(VERI_TABANI!$B$13-VERI_TABANI!$B$14)*VERI_TABANI!G28) + (VERI_TABANI!D28*C352*(VERI_TABANI!$B$13-VERI_TABANI!$B$15)*VERI_TABANI!G28) + IF(ABS(IF(ISNUMBER(SEARCH("Var", D352)), 1, IF(ISNUMBER(SEARCH("Gri", D352)), -1, 0)))=1, VERI_TABANI!E28*(1-0.928)*0.00206091519919798*VERI_TABANI!G28, 0)))</f>
        <v/>
      </c>
      <c r="H352" s="169">
        <f>(((VERI_TABANI!D23*B352*(VERI_TABANI!$B$13-VERI_TABANI!$B$14)) + (VERI_TABANI!D23*C352*(VERI_TABANI!$B$13-VERI_TABANI!$B$15)) + IF(ISNUMBER(SEARCH("Var", D352)), VERI_TABANI!F23*(0.00202-VERI_TABANI!$B$16), IF(ISNUMBER(SEARCH("Gri", D352)), VERI_TABANI!F23*(0.00202-VERI_TABANI!$B$17), 0))) + ((VERI_TABANI!D24*B352*(VERI_TABANI!$B$13-VERI_TABANI!$B$14)) + (VERI_TABANI!D24*C352*(VERI_TABANI!$B$13-VERI_TABANI!$B$15)) + IF(ISNUMBER(SEARCH("Var", D352)), VERI_TABANI!F24*(0.00202-VERI_TABANI!$B$16), IF(ISNUMBER(SEARCH("Gri", D352)), VERI_TABANI!F24*(0.00202-VERI_TABANI!$B$17), 0))) + ((VERI_TABANI!D25*B352*(VERI_TABANI!$B$13-VERI_TABANI!$B$14)) + (VERI_TABANI!D25*C352*(VERI_TABANI!$B$13-VERI_TABANI!$B$15)) + IF(ISNUMBER(SEARCH("Var", D352)), VERI_TABANI!F25*(0.00202-VERI_TABANI!$B$16), IF(ISNUMBER(SEARCH("Gri", D352)), VERI_TABANI!F25*(0.00202-VERI_TABANI!$B$17), 0))) + ((VERI_TABANI!D26*B352*(VERI_TABANI!$B$13-VERI_TABANI!$B$14)) + (VERI_TABANI!D26*C352*(VERI_TABANI!$B$13-VERI_TABANI!$B$15)) + IF(ISNUMBER(SEARCH("Var", D352)), VERI_TABANI!F26*(0.00202-VERI_TABANI!$B$16), IF(ISNUMBER(SEARCH("Gri", D352)), VERI_TABANI!F26*(0.00202-VERI_TABANI!$B$17), 0))) + ((VERI_TABANI!D27*B352*(VERI_TABANI!$B$13-VERI_TABANI!$B$14)) + (VERI_TABANI!D27*C352*(VERI_TABANI!$B$13-VERI_TABANI!$B$15)) + IF(ISNUMBER(SEARCH("Var", D352)), VERI_TABANI!F27*(0.00202-VERI_TABANI!$B$16), IF(ISNUMBER(SEARCH("Gri", D352)), VERI_TABANI!F27*(0.00202-VERI_TABANI!$B$17), 0))) + ((VERI_TABANI!D28*B352*(VERI_TABANI!$B$13-VERI_TABANI!$B$14)) + (VERI_TABANI!D28*C352*(VERI_TABANI!$B$13-VERI_TABANI!$B$15)) + IF(ISNUMBER(SEARCH("Var", D352)), VERI_TABANI!F28*(0.00202-VERI_TABANI!$B$16), IF(ISNUMBER(SEARCH("Gri", D352)), VERI_TABANI!F28*(0.00202-VERI_TABANI!$B$17), 0))))</f>
        <v/>
      </c>
      <c r="I352" s="170">
        <f>IFERROR(((VERI_TABANI!$D$29*B352*VERI_TABANI!$B$14 + VERI_TABANI!$D$29*C352*VERI_TABANI!$B$15 + IF(ISNUMBER(SEARCH("Var", D352)), VERI_TABANI!$F$29*VERI_TABANI!$B$16, 0))) / (((VERI_TABANI!$D$29*B352 + VERI_TABANI!$D$29*C352)*VERI_TABANI!$B$13 + IF(ISNUMBER(SEARCH("Var", D352)), VERI_TABANI!$E$29*(1-0.928)*VERI_TABANI!$B$18, 0))), 0)</f>
        <v/>
      </c>
      <c r="J352" s="171">
        <f>IFERROR(F352/(G352/29), 0)</f>
        <v/>
      </c>
      <c r="K352" s="172">
        <f>IF(F352&gt;0, H352/F352, 0)</f>
        <v/>
      </c>
      <c r="L352" s="170">
        <f>IF(F352&gt;0, I352, 1000000000)</f>
        <v/>
      </c>
      <c r="M352" s="171">
        <f>ABS((B352+C352)-1)</f>
        <v/>
      </c>
      <c r="N352" s="170">
        <f>IF(F352&gt;0, (G352/29)/F352, 0)</f>
        <v/>
      </c>
      <c r="O352" s="168">
        <f>IF(AND((B352+C352)&gt;=1, ISNUMBER(SEARCH("Var", D352))), F352, 1000000000)</f>
        <v/>
      </c>
      <c r="P352" s="172">
        <f>IF(F352&gt;0, SQRT((F352/MAX(F$5:F$886))^2 + (1 - H352/MAX(H$5:H$886))^2 + (J352/MAX(J$5:J$886))^2), 1000000000)</f>
        <v/>
      </c>
      <c r="Q352" s="166">
        <f>IF(AND(ABS(B352-0.5)&lt;0.01, ABS(C352-0.5)&lt;0.01, ISNUMBER(SEARCH("Var", D352))), 1, 0)</f>
        <v/>
      </c>
      <c r="R352" s="171">
        <f>IF(F352&gt;0, J352, 1000000000)</f>
        <v/>
      </c>
      <c r="S352" s="101">
        <f>IF(AND(F352&lt;=DASHBOARD!$B$11, H352&gt;=DASHBOARD!$B$13), G352, -1000000000000)</f>
        <v/>
      </c>
      <c r="T352" s="101">
        <f>IF(AND(F352&lt;=DASHBOARD!$B$11, H352&gt;=DASHBOARD!$B$13), R352, 1000000000000)</f>
        <v/>
      </c>
      <c r="U352" s="101">
        <f>IF(AND(F352&lt;=DASHBOARD!$B$11, H352&gt;=DASHBOARD!$B$13), N352, -1000000000000)</f>
        <v/>
      </c>
      <c r="V352" s="101">
        <f>IF(AND(F352&lt;=DASHBOARD!$B$11, H352&gt;=DASHBOARD!$B$13), H352, -1000000000000)</f>
        <v/>
      </c>
      <c r="W352" s="101">
        <f>IF(AND(F352&lt;=DASHBOARD!$B$11, H352&gt;=DASHBOARD!$B$13), K352, -1000000000000)</f>
        <v/>
      </c>
      <c r="X352" s="101">
        <f>IF(AND(F352&lt;=DASHBOARD!$B$11, H352&gt;=DASHBOARD!$B$13), M352, 1000000000000)</f>
        <v/>
      </c>
      <c r="Y352" s="101">
        <f>IF(AND(F352&lt;=DASHBOARD!$B$10, H352&gt;=DASHBOARD!$B$11), L352, 1000000000000)</f>
        <v/>
      </c>
      <c r="Z352" s="101">
        <f>IF(AND(F352&lt;=DASHBOARD!$B$10, H352&gt;=DASHBOARD!$B$11), O352, 1000000000000)</f>
        <v/>
      </c>
      <c r="AA352" s="101">
        <f>IF(AND(F352&lt;=DASHBOARD!$B$10, H352&gt;=DASHBOARD!$B$11), P352, 1000000000000)</f>
        <v/>
      </c>
      <c r="AB352" s="101">
        <f>IF(AND(F352&lt;=DASHBOARD!$B$10, H352&gt;=DASHBOARD!$B$11), Q352, -1000000000000)</f>
        <v/>
      </c>
    </row>
    <row r="353" ht="15" customHeight="1" s="102">
      <c r="A353" s="166" t="n">
        <v>349</v>
      </c>
      <c r="B353" s="167" t="n">
        <v>0.8</v>
      </c>
      <c r="C353" s="167" t="n">
        <v>0.6</v>
      </c>
      <c r="D353" s="110" t="inlineStr">
        <is>
          <t>Yok (%0)</t>
        </is>
      </c>
      <c r="E353" s="110">
        <f>IF((B353+C353)&lt;=1, "Tam Mahsuplaşma (≤%100)", "Kısmi Satış (&gt;%100)")</f>
        <v/>
      </c>
      <c r="F353" s="168">
        <f>((VERI_TABANI!$D$29*B353/VERI_TABANI!$B$29)/VERI_TABANI!$B$3)*VERI_TABANI!$B$5 + ((VERI_TABANI!$D$29*C353/VERI_TABANI!$B$29)/VERI_TABANI!$B$4)*VERI_TABANI!$B$6 + IF(ISNUMBER(SEARCH("Var", D353)), (VERI_TABANI!$F$29/VERI_TABANI!$B$29)*(VERI_TABANI!$B$10+VERI_TABANI!$B$12), 0)</f>
        <v/>
      </c>
      <c r="G353" s="168">
        <f>(((MIN(VERI_TABANI!D23, VERI_TABANI!D23*B353)*VERI_TABANI!$B$7 + MAX(0, VERI_TABANI!D23*B353-VERI_TABANI!D23)*VERI_TABANI!$B$8) + (MIN(MAX(0, VERI_TABANI!D23-VERI_TABANI!D23*B353), VERI_TABANI!D23*C353)*VERI_TABANI!$B$7 + MAX(0, VERI_TABANI!D23*C353-MAX(0, VERI_TABANI!D23-VERI_TABANI!D23*B353))*VERI_TABANI!$B$8) + IF(ABS(IF(ISNUMBER(SEARCH("Var", D353)), 1, IF(ISNUMBER(SEARCH("Gri", D353)), -1, 0)))=1, VERI_TABANI!E23*(1-0.928)*VERI_TABANI!$B$9, 0) + (VERI_TABANI!D23*B353*(VERI_TABANI!$B$13-VERI_TABANI!$B$14)*VERI_TABANI!G23) + (VERI_TABANI!D23*C353*(VERI_TABANI!$B$13-VERI_TABANI!$B$15)*VERI_TABANI!G23) + IF(ABS(IF(ISNUMBER(SEARCH("Var", D353)), 1, IF(ISNUMBER(SEARCH("Gri", D353)), -1, 0)))=1, VERI_TABANI!E23*(1-0.928)*0.00206091519919798*VERI_TABANI!G23, 0)) + ((MIN(VERI_TABANI!D24, VERI_TABANI!D24*B353)*VERI_TABANI!$B$7 + MAX(0, VERI_TABANI!D24*B353-VERI_TABANI!D24)*VERI_TABANI!$B$8) + (MIN(MAX(0, VERI_TABANI!D24-VERI_TABANI!D24*B353), VERI_TABANI!D24*C353)*VERI_TABANI!$B$7 + MAX(0, VERI_TABANI!D24*C353-MAX(0, VERI_TABANI!D24-VERI_TABANI!D24*B353))*VERI_TABANI!$B$8) + IF(ABS(IF(ISNUMBER(SEARCH("Var", D353)), 1, IF(ISNUMBER(SEARCH("Gri", D353)), -1, 0)))=1, VERI_TABANI!E24*(1-0.928)*VERI_TABANI!$B$9, 0) + (VERI_TABANI!D24*B353*(VERI_TABANI!$B$13-VERI_TABANI!$B$14)*VERI_TABANI!G24) + (VERI_TABANI!D24*C353*(VERI_TABANI!$B$13-VERI_TABANI!$B$15)*VERI_TABANI!G24) + IF(ABS(IF(ISNUMBER(SEARCH("Var", D353)), 1, IF(ISNUMBER(SEARCH("Gri", D353)), -1, 0)))=1, VERI_TABANI!E24*(1-0.928)*0.00206091519919798*VERI_TABANI!G24, 0)) + ((MIN(VERI_TABANI!D25, VERI_TABANI!D25*B353)*VERI_TABANI!$B$7 + MAX(0, VERI_TABANI!D25*B353-VERI_TABANI!D25)*VERI_TABANI!$B$8) + (MIN(MAX(0, VERI_TABANI!D25-VERI_TABANI!D25*B353), VERI_TABANI!D25*C353)*VERI_TABANI!$B$7 + MAX(0, VERI_TABANI!D25*C353-MAX(0, VERI_TABANI!D25-VERI_TABANI!D25*B353))*VERI_TABANI!$B$8) + IF(ABS(IF(ISNUMBER(SEARCH("Var", D353)), 1, IF(ISNUMBER(SEARCH("Gri", D353)), -1, 0)))=1, VERI_TABANI!E25*(1-0.928)*VERI_TABANI!$B$9, 0) + (VERI_TABANI!D25*B353*(VERI_TABANI!$B$13-VERI_TABANI!$B$14)*VERI_TABANI!G25) + (VERI_TABANI!D25*C353*(VERI_TABANI!$B$13-VERI_TABANI!$B$15)*VERI_TABANI!G25) + IF(ABS(IF(ISNUMBER(SEARCH("Var", D353)), 1, IF(ISNUMBER(SEARCH("Gri", D353)), -1, 0)))=1, VERI_TABANI!E25*(1-0.928)*0.00206091519919798*VERI_TABANI!G25, 0)) + ((MIN(VERI_TABANI!D26, VERI_TABANI!D26*B353)*VERI_TABANI!$B$7 + MAX(0, VERI_TABANI!D26*B353-VERI_TABANI!D26)*VERI_TABANI!$B$8) + (MIN(MAX(0, VERI_TABANI!D26-VERI_TABANI!D26*B353), VERI_TABANI!D26*C353)*VERI_TABANI!$B$7 + MAX(0, VERI_TABANI!D26*C353-MAX(0, VERI_TABANI!D26-VERI_TABANI!D26*B353))*VERI_TABANI!$B$8) + IF(ABS(IF(ISNUMBER(SEARCH("Var", D353)), 1, IF(ISNUMBER(SEARCH("Gri", D353)), -1, 0)))=1, VERI_TABANI!E26*(1-0.928)*VERI_TABANI!$B$9, 0) + (VERI_TABANI!D26*B353*(VERI_TABANI!$B$13-VERI_TABANI!$B$14)*VERI_TABANI!G26) + (VERI_TABANI!D26*C353*(VERI_TABANI!$B$13-VERI_TABANI!$B$15)*VERI_TABANI!G26) + IF(ABS(IF(ISNUMBER(SEARCH("Var", D353)), 1, IF(ISNUMBER(SEARCH("Gri", D353)), -1, 0)))=1, VERI_TABANI!E26*(1-0.928)*0.00206091519919798*VERI_TABANI!G26, 0)) + ((MIN(VERI_TABANI!D27, VERI_TABANI!D27*B353)*VERI_TABANI!$B$7 + MAX(0, VERI_TABANI!D27*B353-VERI_TABANI!D27)*VERI_TABANI!$B$8) + (MIN(MAX(0, VERI_TABANI!D27-VERI_TABANI!D27*B353), VERI_TABANI!D27*C353)*VERI_TABANI!$B$7 + MAX(0, VERI_TABANI!D27*C353-MAX(0, VERI_TABANI!D27-VERI_TABANI!D27*B353))*VERI_TABANI!$B$8) + IF(ABS(IF(ISNUMBER(SEARCH("Var", D353)), 1, IF(ISNUMBER(SEARCH("Gri", D353)), -1, 0)))=1, VERI_TABANI!E27*(1-0.928)*VERI_TABANI!$B$9, 0) + (VERI_TABANI!D27*B353*(VERI_TABANI!$B$13-VERI_TABANI!$B$14)*VERI_TABANI!G27) + (VERI_TABANI!D27*C353*(VERI_TABANI!$B$13-VERI_TABANI!$B$15)*VERI_TABANI!G27) + IF(ABS(IF(ISNUMBER(SEARCH("Var", D353)), 1, IF(ISNUMBER(SEARCH("Gri", D353)), -1, 0)))=1, VERI_TABANI!E27*(1-0.928)*0.00206091519919798*VERI_TABANI!G27, 0)) + ((MIN(VERI_TABANI!D28, VERI_TABANI!D28*B353)*VERI_TABANI!$B$7 + MAX(0, VERI_TABANI!D28*B353-VERI_TABANI!D28)*VERI_TABANI!$B$8) + (MIN(MAX(0, VERI_TABANI!D28-VERI_TABANI!D28*B353), VERI_TABANI!D28*C353)*VERI_TABANI!$B$7 + MAX(0, VERI_TABANI!D28*C353-MAX(0, VERI_TABANI!D28-VERI_TABANI!D28*B353))*VERI_TABANI!$B$8) + IF(ABS(IF(ISNUMBER(SEARCH("Var", D353)), 1, IF(ISNUMBER(SEARCH("Gri", D353)), -1, 0)))=1, VERI_TABANI!E28*(1-0.928)*VERI_TABANI!$B$9, 0) + (VERI_TABANI!D28*B353*(VERI_TABANI!$B$13-VERI_TABANI!$B$14)*VERI_TABANI!G28) + (VERI_TABANI!D28*C353*(VERI_TABANI!$B$13-VERI_TABANI!$B$15)*VERI_TABANI!G28) + IF(ABS(IF(ISNUMBER(SEARCH("Var", D353)), 1, IF(ISNUMBER(SEARCH("Gri", D353)), -1, 0)))=1, VERI_TABANI!E28*(1-0.928)*0.00206091519919798*VERI_TABANI!G28, 0)))</f>
        <v/>
      </c>
      <c r="H353" s="169">
        <f>(((VERI_TABANI!D23*B353*(VERI_TABANI!$B$13-VERI_TABANI!$B$14)) + (VERI_TABANI!D23*C353*(VERI_TABANI!$B$13-VERI_TABANI!$B$15)) + IF(ISNUMBER(SEARCH("Var", D353)), VERI_TABANI!F23*(0.00202-VERI_TABANI!$B$16), IF(ISNUMBER(SEARCH("Gri", D353)), VERI_TABANI!F23*(0.00202-VERI_TABANI!$B$17), 0))) + ((VERI_TABANI!D24*B353*(VERI_TABANI!$B$13-VERI_TABANI!$B$14)) + (VERI_TABANI!D24*C353*(VERI_TABANI!$B$13-VERI_TABANI!$B$15)) + IF(ISNUMBER(SEARCH("Var", D353)), VERI_TABANI!F24*(0.00202-VERI_TABANI!$B$16), IF(ISNUMBER(SEARCH("Gri", D353)), VERI_TABANI!F24*(0.00202-VERI_TABANI!$B$17), 0))) + ((VERI_TABANI!D25*B353*(VERI_TABANI!$B$13-VERI_TABANI!$B$14)) + (VERI_TABANI!D25*C353*(VERI_TABANI!$B$13-VERI_TABANI!$B$15)) + IF(ISNUMBER(SEARCH("Var", D353)), VERI_TABANI!F25*(0.00202-VERI_TABANI!$B$16), IF(ISNUMBER(SEARCH("Gri", D353)), VERI_TABANI!F25*(0.00202-VERI_TABANI!$B$17), 0))) + ((VERI_TABANI!D26*B353*(VERI_TABANI!$B$13-VERI_TABANI!$B$14)) + (VERI_TABANI!D26*C353*(VERI_TABANI!$B$13-VERI_TABANI!$B$15)) + IF(ISNUMBER(SEARCH("Var", D353)), VERI_TABANI!F26*(0.00202-VERI_TABANI!$B$16), IF(ISNUMBER(SEARCH("Gri", D353)), VERI_TABANI!F26*(0.00202-VERI_TABANI!$B$17), 0))) + ((VERI_TABANI!D27*B353*(VERI_TABANI!$B$13-VERI_TABANI!$B$14)) + (VERI_TABANI!D27*C353*(VERI_TABANI!$B$13-VERI_TABANI!$B$15)) + IF(ISNUMBER(SEARCH("Var", D353)), VERI_TABANI!F27*(0.00202-VERI_TABANI!$B$16), IF(ISNUMBER(SEARCH("Gri", D353)), VERI_TABANI!F27*(0.00202-VERI_TABANI!$B$17), 0))) + ((VERI_TABANI!D28*B353*(VERI_TABANI!$B$13-VERI_TABANI!$B$14)) + (VERI_TABANI!D28*C353*(VERI_TABANI!$B$13-VERI_TABANI!$B$15)) + IF(ISNUMBER(SEARCH("Var", D353)), VERI_TABANI!F28*(0.00202-VERI_TABANI!$B$16), IF(ISNUMBER(SEARCH("Gri", D353)), VERI_TABANI!F28*(0.00202-VERI_TABANI!$B$17), 0))))</f>
        <v/>
      </c>
      <c r="I353" s="170">
        <f>IFERROR(((VERI_TABANI!$D$29*B353*VERI_TABANI!$B$14 + VERI_TABANI!$D$29*C353*VERI_TABANI!$B$15 + IF(ISNUMBER(SEARCH("Var", D353)), VERI_TABANI!$F$29*VERI_TABANI!$B$16, 0))) / (((VERI_TABANI!$D$29*B353 + VERI_TABANI!$D$29*C353)*VERI_TABANI!$B$13 + IF(ISNUMBER(SEARCH("Var", D353)), VERI_TABANI!$E$29*(1-0.928)*VERI_TABANI!$B$18, 0))), 0)</f>
        <v/>
      </c>
      <c r="J353" s="171">
        <f>IFERROR(F353/(G353/29), 0)</f>
        <v/>
      </c>
      <c r="K353" s="172">
        <f>IF(F353&gt;0, H353/F353, 0)</f>
        <v/>
      </c>
      <c r="L353" s="170">
        <f>IF(F353&gt;0, I353, 1000000000)</f>
        <v/>
      </c>
      <c r="M353" s="171">
        <f>ABS((B353+C353)-1)</f>
        <v/>
      </c>
      <c r="N353" s="170">
        <f>IF(F353&gt;0, (G353/29)/F353, 0)</f>
        <v/>
      </c>
      <c r="O353" s="168">
        <f>IF(AND((B353+C353)&gt;=1, ISNUMBER(SEARCH("Var", D353))), F353, 1000000000)</f>
        <v/>
      </c>
      <c r="P353" s="172">
        <f>IF(F353&gt;0, SQRT((F353/MAX(F$5:F$886))^2 + (1 - H353/MAX(H$5:H$886))^2 + (J353/MAX(J$5:J$886))^2), 1000000000)</f>
        <v/>
      </c>
      <c r="Q353" s="166">
        <f>IF(AND(ABS(B353-0.5)&lt;0.01, ABS(C353-0.5)&lt;0.01, ISNUMBER(SEARCH("Var", D353))), 1, 0)</f>
        <v/>
      </c>
      <c r="R353" s="171">
        <f>IF(F353&gt;0, J353, 1000000000)</f>
        <v/>
      </c>
      <c r="S353" s="101">
        <f>IF(AND(F353&lt;=DASHBOARD!$B$11, H353&gt;=DASHBOARD!$B$13), G353, -1000000000000)</f>
        <v/>
      </c>
      <c r="T353" s="101">
        <f>IF(AND(F353&lt;=DASHBOARD!$B$11, H353&gt;=DASHBOARD!$B$13), R353, 1000000000000)</f>
        <v/>
      </c>
      <c r="U353" s="101">
        <f>IF(AND(F353&lt;=DASHBOARD!$B$11, H353&gt;=DASHBOARD!$B$13), N353, -1000000000000)</f>
        <v/>
      </c>
      <c r="V353" s="101">
        <f>IF(AND(F353&lt;=DASHBOARD!$B$11, H353&gt;=DASHBOARD!$B$13), H353, -1000000000000)</f>
        <v/>
      </c>
      <c r="W353" s="101">
        <f>IF(AND(F353&lt;=DASHBOARD!$B$11, H353&gt;=DASHBOARD!$B$13), K353, -1000000000000)</f>
        <v/>
      </c>
      <c r="X353" s="101">
        <f>IF(AND(F353&lt;=DASHBOARD!$B$11, H353&gt;=DASHBOARD!$B$13), M353, 1000000000000)</f>
        <v/>
      </c>
      <c r="Y353" s="101">
        <f>IF(AND(F353&lt;=DASHBOARD!$B$10, H353&gt;=DASHBOARD!$B$11), L353, 1000000000000)</f>
        <v/>
      </c>
      <c r="Z353" s="101">
        <f>IF(AND(F353&lt;=DASHBOARD!$B$10, H353&gt;=DASHBOARD!$B$11), O353, 1000000000000)</f>
        <v/>
      </c>
      <c r="AA353" s="101">
        <f>IF(AND(F353&lt;=DASHBOARD!$B$10, H353&gt;=DASHBOARD!$B$11), P353, 1000000000000)</f>
        <v/>
      </c>
      <c r="AB353" s="101">
        <f>IF(AND(F353&lt;=DASHBOARD!$B$10, H353&gt;=DASHBOARD!$B$11), Q353, -1000000000000)</f>
        <v/>
      </c>
    </row>
    <row r="354" ht="15" customHeight="1" s="102">
      <c r="A354" s="166" t="n">
        <v>350</v>
      </c>
      <c r="B354" s="167" t="n">
        <v>0.8</v>
      </c>
      <c r="C354" s="167" t="n">
        <v>0.6</v>
      </c>
      <c r="D354" s="110" t="inlineStr">
        <is>
          <t>Var (%20)</t>
        </is>
      </c>
      <c r="E354" s="110">
        <f>IF((B354+C354)&lt;=1, "Tam Mahsuplaşma (≤%100)", "Kısmi Satış (&gt;%100)")</f>
        <v/>
      </c>
      <c r="F354" s="168">
        <f>((VERI_TABANI!$D$29*B354/VERI_TABANI!$B$29)/VERI_TABANI!$B$3)*VERI_TABANI!$B$5 + ((VERI_TABANI!$D$29*C354/VERI_TABANI!$B$29)/VERI_TABANI!$B$4)*VERI_TABANI!$B$6 + IF(ISNUMBER(SEARCH("Var", D354)), (VERI_TABANI!$F$29/VERI_TABANI!$B$29)*(VERI_TABANI!$B$10+VERI_TABANI!$B$12), 0)</f>
        <v/>
      </c>
      <c r="G354" s="168">
        <f>(((MIN(VERI_TABANI!D23, VERI_TABANI!D23*B354)*VERI_TABANI!$B$7 + MAX(0, VERI_TABANI!D23*B354-VERI_TABANI!D23)*VERI_TABANI!$B$8) + (MIN(MAX(0, VERI_TABANI!D23-VERI_TABANI!D23*B354), VERI_TABANI!D23*C354)*VERI_TABANI!$B$7 + MAX(0, VERI_TABANI!D23*C354-MAX(0, VERI_TABANI!D23-VERI_TABANI!D23*B354))*VERI_TABANI!$B$8) + IF(ABS(IF(ISNUMBER(SEARCH("Var", D354)), 1, IF(ISNUMBER(SEARCH("Gri", D354)), -1, 0)))=1, VERI_TABANI!E23*(1-0.928)*VERI_TABANI!$B$9, 0) + (VERI_TABANI!D23*B354*(VERI_TABANI!$B$13-VERI_TABANI!$B$14)*VERI_TABANI!G23) + (VERI_TABANI!D23*C354*(VERI_TABANI!$B$13-VERI_TABANI!$B$15)*VERI_TABANI!G23) + IF(ABS(IF(ISNUMBER(SEARCH("Var", D354)), 1, IF(ISNUMBER(SEARCH("Gri", D354)), -1, 0)))=1, VERI_TABANI!E23*(1-0.928)*0.00206091519919798*VERI_TABANI!G23, 0)) + ((MIN(VERI_TABANI!D24, VERI_TABANI!D24*B354)*VERI_TABANI!$B$7 + MAX(0, VERI_TABANI!D24*B354-VERI_TABANI!D24)*VERI_TABANI!$B$8) + (MIN(MAX(0, VERI_TABANI!D24-VERI_TABANI!D24*B354), VERI_TABANI!D24*C354)*VERI_TABANI!$B$7 + MAX(0, VERI_TABANI!D24*C354-MAX(0, VERI_TABANI!D24-VERI_TABANI!D24*B354))*VERI_TABANI!$B$8) + IF(ABS(IF(ISNUMBER(SEARCH("Var", D354)), 1, IF(ISNUMBER(SEARCH("Gri", D354)), -1, 0)))=1, VERI_TABANI!E24*(1-0.928)*VERI_TABANI!$B$9, 0) + (VERI_TABANI!D24*B354*(VERI_TABANI!$B$13-VERI_TABANI!$B$14)*VERI_TABANI!G24) + (VERI_TABANI!D24*C354*(VERI_TABANI!$B$13-VERI_TABANI!$B$15)*VERI_TABANI!G24) + IF(ABS(IF(ISNUMBER(SEARCH("Var", D354)), 1, IF(ISNUMBER(SEARCH("Gri", D354)), -1, 0)))=1, VERI_TABANI!E24*(1-0.928)*0.00206091519919798*VERI_TABANI!G24, 0)) + ((MIN(VERI_TABANI!D25, VERI_TABANI!D25*B354)*VERI_TABANI!$B$7 + MAX(0, VERI_TABANI!D25*B354-VERI_TABANI!D25)*VERI_TABANI!$B$8) + (MIN(MAX(0, VERI_TABANI!D25-VERI_TABANI!D25*B354), VERI_TABANI!D25*C354)*VERI_TABANI!$B$7 + MAX(0, VERI_TABANI!D25*C354-MAX(0, VERI_TABANI!D25-VERI_TABANI!D25*B354))*VERI_TABANI!$B$8) + IF(ABS(IF(ISNUMBER(SEARCH("Var", D354)), 1, IF(ISNUMBER(SEARCH("Gri", D354)), -1, 0)))=1, VERI_TABANI!E25*(1-0.928)*VERI_TABANI!$B$9, 0) + (VERI_TABANI!D25*B354*(VERI_TABANI!$B$13-VERI_TABANI!$B$14)*VERI_TABANI!G25) + (VERI_TABANI!D25*C354*(VERI_TABANI!$B$13-VERI_TABANI!$B$15)*VERI_TABANI!G25) + IF(ABS(IF(ISNUMBER(SEARCH("Var", D354)), 1, IF(ISNUMBER(SEARCH("Gri", D354)), -1, 0)))=1, VERI_TABANI!E25*(1-0.928)*0.00206091519919798*VERI_TABANI!G25, 0)) + ((MIN(VERI_TABANI!D26, VERI_TABANI!D26*B354)*VERI_TABANI!$B$7 + MAX(0, VERI_TABANI!D26*B354-VERI_TABANI!D26)*VERI_TABANI!$B$8) + (MIN(MAX(0, VERI_TABANI!D26-VERI_TABANI!D26*B354), VERI_TABANI!D26*C354)*VERI_TABANI!$B$7 + MAX(0, VERI_TABANI!D26*C354-MAX(0, VERI_TABANI!D26-VERI_TABANI!D26*B354))*VERI_TABANI!$B$8) + IF(ABS(IF(ISNUMBER(SEARCH("Var", D354)), 1, IF(ISNUMBER(SEARCH("Gri", D354)), -1, 0)))=1, VERI_TABANI!E26*(1-0.928)*VERI_TABANI!$B$9, 0) + (VERI_TABANI!D26*B354*(VERI_TABANI!$B$13-VERI_TABANI!$B$14)*VERI_TABANI!G26) + (VERI_TABANI!D26*C354*(VERI_TABANI!$B$13-VERI_TABANI!$B$15)*VERI_TABANI!G26) + IF(ABS(IF(ISNUMBER(SEARCH("Var", D354)), 1, IF(ISNUMBER(SEARCH("Gri", D354)), -1, 0)))=1, VERI_TABANI!E26*(1-0.928)*0.00206091519919798*VERI_TABANI!G26, 0)) + ((MIN(VERI_TABANI!D27, VERI_TABANI!D27*B354)*VERI_TABANI!$B$7 + MAX(0, VERI_TABANI!D27*B354-VERI_TABANI!D27)*VERI_TABANI!$B$8) + (MIN(MAX(0, VERI_TABANI!D27-VERI_TABANI!D27*B354), VERI_TABANI!D27*C354)*VERI_TABANI!$B$7 + MAX(0, VERI_TABANI!D27*C354-MAX(0, VERI_TABANI!D27-VERI_TABANI!D27*B354))*VERI_TABANI!$B$8) + IF(ABS(IF(ISNUMBER(SEARCH("Var", D354)), 1, IF(ISNUMBER(SEARCH("Gri", D354)), -1, 0)))=1, VERI_TABANI!E27*(1-0.928)*VERI_TABANI!$B$9, 0) + (VERI_TABANI!D27*B354*(VERI_TABANI!$B$13-VERI_TABANI!$B$14)*VERI_TABANI!G27) + (VERI_TABANI!D27*C354*(VERI_TABANI!$B$13-VERI_TABANI!$B$15)*VERI_TABANI!G27) + IF(ABS(IF(ISNUMBER(SEARCH("Var", D354)), 1, IF(ISNUMBER(SEARCH("Gri", D354)), -1, 0)))=1, VERI_TABANI!E27*(1-0.928)*0.00206091519919798*VERI_TABANI!G27, 0)) + ((MIN(VERI_TABANI!D28, VERI_TABANI!D28*B354)*VERI_TABANI!$B$7 + MAX(0, VERI_TABANI!D28*B354-VERI_TABANI!D28)*VERI_TABANI!$B$8) + (MIN(MAX(0, VERI_TABANI!D28-VERI_TABANI!D28*B354), VERI_TABANI!D28*C354)*VERI_TABANI!$B$7 + MAX(0, VERI_TABANI!D28*C354-MAX(0, VERI_TABANI!D28-VERI_TABANI!D28*B354))*VERI_TABANI!$B$8) + IF(ABS(IF(ISNUMBER(SEARCH("Var", D354)), 1, IF(ISNUMBER(SEARCH("Gri", D354)), -1, 0)))=1, VERI_TABANI!E28*(1-0.928)*VERI_TABANI!$B$9, 0) + (VERI_TABANI!D28*B354*(VERI_TABANI!$B$13-VERI_TABANI!$B$14)*VERI_TABANI!G28) + (VERI_TABANI!D28*C354*(VERI_TABANI!$B$13-VERI_TABANI!$B$15)*VERI_TABANI!G28) + IF(ABS(IF(ISNUMBER(SEARCH("Var", D354)), 1, IF(ISNUMBER(SEARCH("Gri", D354)), -1, 0)))=1, VERI_TABANI!E28*(1-0.928)*0.00206091519919798*VERI_TABANI!G28, 0)))</f>
        <v/>
      </c>
      <c r="H354" s="169">
        <f>(((VERI_TABANI!D23*B354*(VERI_TABANI!$B$13-VERI_TABANI!$B$14)) + (VERI_TABANI!D23*C354*(VERI_TABANI!$B$13-VERI_TABANI!$B$15)) + IF(ISNUMBER(SEARCH("Var", D354)), VERI_TABANI!F23*(0.00202-VERI_TABANI!$B$16), IF(ISNUMBER(SEARCH("Gri", D354)), VERI_TABANI!F23*(0.00202-VERI_TABANI!$B$17), 0))) + ((VERI_TABANI!D24*B354*(VERI_TABANI!$B$13-VERI_TABANI!$B$14)) + (VERI_TABANI!D24*C354*(VERI_TABANI!$B$13-VERI_TABANI!$B$15)) + IF(ISNUMBER(SEARCH("Var", D354)), VERI_TABANI!F24*(0.00202-VERI_TABANI!$B$16), IF(ISNUMBER(SEARCH("Gri", D354)), VERI_TABANI!F24*(0.00202-VERI_TABANI!$B$17), 0))) + ((VERI_TABANI!D25*B354*(VERI_TABANI!$B$13-VERI_TABANI!$B$14)) + (VERI_TABANI!D25*C354*(VERI_TABANI!$B$13-VERI_TABANI!$B$15)) + IF(ISNUMBER(SEARCH("Var", D354)), VERI_TABANI!F25*(0.00202-VERI_TABANI!$B$16), IF(ISNUMBER(SEARCH("Gri", D354)), VERI_TABANI!F25*(0.00202-VERI_TABANI!$B$17), 0))) + ((VERI_TABANI!D26*B354*(VERI_TABANI!$B$13-VERI_TABANI!$B$14)) + (VERI_TABANI!D26*C354*(VERI_TABANI!$B$13-VERI_TABANI!$B$15)) + IF(ISNUMBER(SEARCH("Var", D354)), VERI_TABANI!F26*(0.00202-VERI_TABANI!$B$16), IF(ISNUMBER(SEARCH("Gri", D354)), VERI_TABANI!F26*(0.00202-VERI_TABANI!$B$17), 0))) + ((VERI_TABANI!D27*B354*(VERI_TABANI!$B$13-VERI_TABANI!$B$14)) + (VERI_TABANI!D27*C354*(VERI_TABANI!$B$13-VERI_TABANI!$B$15)) + IF(ISNUMBER(SEARCH("Var", D354)), VERI_TABANI!F27*(0.00202-VERI_TABANI!$B$16), IF(ISNUMBER(SEARCH("Gri", D354)), VERI_TABANI!F27*(0.00202-VERI_TABANI!$B$17), 0))) + ((VERI_TABANI!D28*B354*(VERI_TABANI!$B$13-VERI_TABANI!$B$14)) + (VERI_TABANI!D28*C354*(VERI_TABANI!$B$13-VERI_TABANI!$B$15)) + IF(ISNUMBER(SEARCH("Var", D354)), VERI_TABANI!F28*(0.00202-VERI_TABANI!$B$16), IF(ISNUMBER(SEARCH("Gri", D354)), VERI_TABANI!F28*(0.00202-VERI_TABANI!$B$17), 0))))</f>
        <v/>
      </c>
      <c r="I354" s="170">
        <f>IFERROR(((VERI_TABANI!$D$29*B354*VERI_TABANI!$B$14 + VERI_TABANI!$D$29*C354*VERI_TABANI!$B$15 + IF(ISNUMBER(SEARCH("Var", D354)), VERI_TABANI!$F$29*VERI_TABANI!$B$16, 0))) / (((VERI_TABANI!$D$29*B354 + VERI_TABANI!$D$29*C354)*VERI_TABANI!$B$13 + IF(ISNUMBER(SEARCH("Var", D354)), VERI_TABANI!$E$29*(1-0.928)*VERI_TABANI!$B$18, 0))), 0)</f>
        <v/>
      </c>
      <c r="J354" s="171">
        <f>IFERROR(F354/(G354/29), 0)</f>
        <v/>
      </c>
      <c r="K354" s="172">
        <f>IF(F354&gt;0, H354/F354, 0)</f>
        <v/>
      </c>
      <c r="L354" s="170">
        <f>IF(F354&gt;0, I354, 1000000000)</f>
        <v/>
      </c>
      <c r="M354" s="171">
        <f>ABS((B354+C354)-1)</f>
        <v/>
      </c>
      <c r="N354" s="170">
        <f>IF(F354&gt;0, (G354/29)/F354, 0)</f>
        <v/>
      </c>
      <c r="O354" s="168">
        <f>IF(AND((B354+C354)&gt;=1, ISNUMBER(SEARCH("Var", D354))), F354, 1000000000)</f>
        <v/>
      </c>
      <c r="P354" s="172">
        <f>IF(F354&gt;0, SQRT((F354/MAX(F$5:F$886))^2 + (1 - H354/MAX(H$5:H$886))^2 + (J354/MAX(J$5:J$886))^2), 1000000000)</f>
        <v/>
      </c>
      <c r="Q354" s="166">
        <f>IF(AND(ABS(B354-0.5)&lt;0.01, ABS(C354-0.5)&lt;0.01, ISNUMBER(SEARCH("Var", D354))), 1, 0)</f>
        <v/>
      </c>
      <c r="R354" s="171">
        <f>IF(F354&gt;0, J354, 1000000000)</f>
        <v/>
      </c>
      <c r="S354" s="101">
        <f>IF(AND(F354&lt;=DASHBOARD!$B$11, H354&gt;=DASHBOARD!$B$13), G354, -1000000000000)</f>
        <v/>
      </c>
      <c r="T354" s="101">
        <f>IF(AND(F354&lt;=DASHBOARD!$B$11, H354&gt;=DASHBOARD!$B$13), R354, 1000000000000)</f>
        <v/>
      </c>
      <c r="U354" s="101">
        <f>IF(AND(F354&lt;=DASHBOARD!$B$11, H354&gt;=DASHBOARD!$B$13), N354, -1000000000000)</f>
        <v/>
      </c>
      <c r="V354" s="101">
        <f>IF(AND(F354&lt;=DASHBOARD!$B$11, H354&gt;=DASHBOARD!$B$13), H354, -1000000000000)</f>
        <v/>
      </c>
      <c r="W354" s="101">
        <f>IF(AND(F354&lt;=DASHBOARD!$B$11, H354&gt;=DASHBOARD!$B$13), K354, -1000000000000)</f>
        <v/>
      </c>
      <c r="X354" s="101">
        <f>IF(AND(F354&lt;=DASHBOARD!$B$11, H354&gt;=DASHBOARD!$B$13), M354, 1000000000000)</f>
        <v/>
      </c>
      <c r="Y354" s="101">
        <f>IF(AND(F354&lt;=DASHBOARD!$B$10, H354&gt;=DASHBOARD!$B$11), L354, 1000000000000)</f>
        <v/>
      </c>
      <c r="Z354" s="101">
        <f>IF(AND(F354&lt;=DASHBOARD!$B$10, H354&gt;=DASHBOARD!$B$11), O354, 1000000000000)</f>
        <v/>
      </c>
      <c r="AA354" s="101">
        <f>IF(AND(F354&lt;=DASHBOARD!$B$10, H354&gt;=DASHBOARD!$B$11), P354, 1000000000000)</f>
        <v/>
      </c>
      <c r="AB354" s="101">
        <f>IF(AND(F354&lt;=DASHBOARD!$B$10, H354&gt;=DASHBOARD!$B$11), Q354, -1000000000000)</f>
        <v/>
      </c>
    </row>
    <row r="355" ht="15" customHeight="1" s="102">
      <c r="A355" s="166" t="n">
        <v>351</v>
      </c>
      <c r="B355" s="167" t="n">
        <v>0.8</v>
      </c>
      <c r="C355" s="167" t="n">
        <v>0.7</v>
      </c>
      <c r="D355" s="110" t="inlineStr">
        <is>
          <t>Yok (%0)</t>
        </is>
      </c>
      <c r="E355" s="110">
        <f>IF((B355+C355)&lt;=1, "Tam Mahsuplaşma (≤%100)", "Kısmi Satış (&gt;%100)")</f>
        <v/>
      </c>
      <c r="F355" s="168">
        <f>((VERI_TABANI!$D$29*B355/VERI_TABANI!$B$29)/VERI_TABANI!$B$3)*VERI_TABANI!$B$5 + ((VERI_TABANI!$D$29*C355/VERI_TABANI!$B$29)/VERI_TABANI!$B$4)*VERI_TABANI!$B$6 + IF(ISNUMBER(SEARCH("Var", D355)), (VERI_TABANI!$F$29/VERI_TABANI!$B$29)*(VERI_TABANI!$B$10+VERI_TABANI!$B$12), 0)</f>
        <v/>
      </c>
      <c r="G355" s="168">
        <f>(((MIN(VERI_TABANI!D23, VERI_TABANI!D23*B355)*VERI_TABANI!$B$7 + MAX(0, VERI_TABANI!D23*B355-VERI_TABANI!D23)*VERI_TABANI!$B$8) + (MIN(MAX(0, VERI_TABANI!D23-VERI_TABANI!D23*B355), VERI_TABANI!D23*C355)*VERI_TABANI!$B$7 + MAX(0, VERI_TABANI!D23*C355-MAX(0, VERI_TABANI!D23-VERI_TABANI!D23*B355))*VERI_TABANI!$B$8) + IF(ABS(IF(ISNUMBER(SEARCH("Var", D355)), 1, IF(ISNUMBER(SEARCH("Gri", D355)), -1, 0)))=1, VERI_TABANI!E23*(1-0.928)*VERI_TABANI!$B$9, 0) + (VERI_TABANI!D23*B355*(VERI_TABANI!$B$13-VERI_TABANI!$B$14)*VERI_TABANI!G23) + (VERI_TABANI!D23*C355*(VERI_TABANI!$B$13-VERI_TABANI!$B$15)*VERI_TABANI!G23) + IF(ABS(IF(ISNUMBER(SEARCH("Var", D355)), 1, IF(ISNUMBER(SEARCH("Gri", D355)), -1, 0)))=1, VERI_TABANI!E23*(1-0.928)*0.00206091519919798*VERI_TABANI!G23, 0)) + ((MIN(VERI_TABANI!D24, VERI_TABANI!D24*B355)*VERI_TABANI!$B$7 + MAX(0, VERI_TABANI!D24*B355-VERI_TABANI!D24)*VERI_TABANI!$B$8) + (MIN(MAX(0, VERI_TABANI!D24-VERI_TABANI!D24*B355), VERI_TABANI!D24*C355)*VERI_TABANI!$B$7 + MAX(0, VERI_TABANI!D24*C355-MAX(0, VERI_TABANI!D24-VERI_TABANI!D24*B355))*VERI_TABANI!$B$8) + IF(ABS(IF(ISNUMBER(SEARCH("Var", D355)), 1, IF(ISNUMBER(SEARCH("Gri", D355)), -1, 0)))=1, VERI_TABANI!E24*(1-0.928)*VERI_TABANI!$B$9, 0) + (VERI_TABANI!D24*B355*(VERI_TABANI!$B$13-VERI_TABANI!$B$14)*VERI_TABANI!G24) + (VERI_TABANI!D24*C355*(VERI_TABANI!$B$13-VERI_TABANI!$B$15)*VERI_TABANI!G24) + IF(ABS(IF(ISNUMBER(SEARCH("Var", D355)), 1, IF(ISNUMBER(SEARCH("Gri", D355)), -1, 0)))=1, VERI_TABANI!E24*(1-0.928)*0.00206091519919798*VERI_TABANI!G24, 0)) + ((MIN(VERI_TABANI!D25, VERI_TABANI!D25*B355)*VERI_TABANI!$B$7 + MAX(0, VERI_TABANI!D25*B355-VERI_TABANI!D25)*VERI_TABANI!$B$8) + (MIN(MAX(0, VERI_TABANI!D25-VERI_TABANI!D25*B355), VERI_TABANI!D25*C355)*VERI_TABANI!$B$7 + MAX(0, VERI_TABANI!D25*C355-MAX(0, VERI_TABANI!D25-VERI_TABANI!D25*B355))*VERI_TABANI!$B$8) + IF(ABS(IF(ISNUMBER(SEARCH("Var", D355)), 1, IF(ISNUMBER(SEARCH("Gri", D355)), -1, 0)))=1, VERI_TABANI!E25*(1-0.928)*VERI_TABANI!$B$9, 0) + (VERI_TABANI!D25*B355*(VERI_TABANI!$B$13-VERI_TABANI!$B$14)*VERI_TABANI!G25) + (VERI_TABANI!D25*C355*(VERI_TABANI!$B$13-VERI_TABANI!$B$15)*VERI_TABANI!G25) + IF(ABS(IF(ISNUMBER(SEARCH("Var", D355)), 1, IF(ISNUMBER(SEARCH("Gri", D355)), -1, 0)))=1, VERI_TABANI!E25*(1-0.928)*0.00206091519919798*VERI_TABANI!G25, 0)) + ((MIN(VERI_TABANI!D26, VERI_TABANI!D26*B355)*VERI_TABANI!$B$7 + MAX(0, VERI_TABANI!D26*B355-VERI_TABANI!D26)*VERI_TABANI!$B$8) + (MIN(MAX(0, VERI_TABANI!D26-VERI_TABANI!D26*B355), VERI_TABANI!D26*C355)*VERI_TABANI!$B$7 + MAX(0, VERI_TABANI!D26*C355-MAX(0, VERI_TABANI!D26-VERI_TABANI!D26*B355))*VERI_TABANI!$B$8) + IF(ABS(IF(ISNUMBER(SEARCH("Var", D355)), 1, IF(ISNUMBER(SEARCH("Gri", D355)), -1, 0)))=1, VERI_TABANI!E26*(1-0.928)*VERI_TABANI!$B$9, 0) + (VERI_TABANI!D26*B355*(VERI_TABANI!$B$13-VERI_TABANI!$B$14)*VERI_TABANI!G26) + (VERI_TABANI!D26*C355*(VERI_TABANI!$B$13-VERI_TABANI!$B$15)*VERI_TABANI!G26) + IF(ABS(IF(ISNUMBER(SEARCH("Var", D355)), 1, IF(ISNUMBER(SEARCH("Gri", D355)), -1, 0)))=1, VERI_TABANI!E26*(1-0.928)*0.00206091519919798*VERI_TABANI!G26, 0)) + ((MIN(VERI_TABANI!D27, VERI_TABANI!D27*B355)*VERI_TABANI!$B$7 + MAX(0, VERI_TABANI!D27*B355-VERI_TABANI!D27)*VERI_TABANI!$B$8) + (MIN(MAX(0, VERI_TABANI!D27-VERI_TABANI!D27*B355), VERI_TABANI!D27*C355)*VERI_TABANI!$B$7 + MAX(0, VERI_TABANI!D27*C355-MAX(0, VERI_TABANI!D27-VERI_TABANI!D27*B355))*VERI_TABANI!$B$8) + IF(ABS(IF(ISNUMBER(SEARCH("Var", D355)), 1, IF(ISNUMBER(SEARCH("Gri", D355)), -1, 0)))=1, VERI_TABANI!E27*(1-0.928)*VERI_TABANI!$B$9, 0) + (VERI_TABANI!D27*B355*(VERI_TABANI!$B$13-VERI_TABANI!$B$14)*VERI_TABANI!G27) + (VERI_TABANI!D27*C355*(VERI_TABANI!$B$13-VERI_TABANI!$B$15)*VERI_TABANI!G27) + IF(ABS(IF(ISNUMBER(SEARCH("Var", D355)), 1, IF(ISNUMBER(SEARCH("Gri", D355)), -1, 0)))=1, VERI_TABANI!E27*(1-0.928)*0.00206091519919798*VERI_TABANI!G27, 0)) + ((MIN(VERI_TABANI!D28, VERI_TABANI!D28*B355)*VERI_TABANI!$B$7 + MAX(0, VERI_TABANI!D28*B355-VERI_TABANI!D28)*VERI_TABANI!$B$8) + (MIN(MAX(0, VERI_TABANI!D28-VERI_TABANI!D28*B355), VERI_TABANI!D28*C355)*VERI_TABANI!$B$7 + MAX(0, VERI_TABANI!D28*C355-MAX(0, VERI_TABANI!D28-VERI_TABANI!D28*B355))*VERI_TABANI!$B$8) + IF(ABS(IF(ISNUMBER(SEARCH("Var", D355)), 1, IF(ISNUMBER(SEARCH("Gri", D355)), -1, 0)))=1, VERI_TABANI!E28*(1-0.928)*VERI_TABANI!$B$9, 0) + (VERI_TABANI!D28*B355*(VERI_TABANI!$B$13-VERI_TABANI!$B$14)*VERI_TABANI!G28) + (VERI_TABANI!D28*C355*(VERI_TABANI!$B$13-VERI_TABANI!$B$15)*VERI_TABANI!G28) + IF(ABS(IF(ISNUMBER(SEARCH("Var", D355)), 1, IF(ISNUMBER(SEARCH("Gri", D355)), -1, 0)))=1, VERI_TABANI!E28*(1-0.928)*0.00206091519919798*VERI_TABANI!G28, 0)))</f>
        <v/>
      </c>
      <c r="H355" s="169">
        <f>(((VERI_TABANI!D23*B355*(VERI_TABANI!$B$13-VERI_TABANI!$B$14)) + (VERI_TABANI!D23*C355*(VERI_TABANI!$B$13-VERI_TABANI!$B$15)) + IF(ISNUMBER(SEARCH("Var", D355)), VERI_TABANI!F23*(0.00202-VERI_TABANI!$B$16), IF(ISNUMBER(SEARCH("Gri", D355)), VERI_TABANI!F23*(0.00202-VERI_TABANI!$B$17), 0))) + ((VERI_TABANI!D24*B355*(VERI_TABANI!$B$13-VERI_TABANI!$B$14)) + (VERI_TABANI!D24*C355*(VERI_TABANI!$B$13-VERI_TABANI!$B$15)) + IF(ISNUMBER(SEARCH("Var", D355)), VERI_TABANI!F24*(0.00202-VERI_TABANI!$B$16), IF(ISNUMBER(SEARCH("Gri", D355)), VERI_TABANI!F24*(0.00202-VERI_TABANI!$B$17), 0))) + ((VERI_TABANI!D25*B355*(VERI_TABANI!$B$13-VERI_TABANI!$B$14)) + (VERI_TABANI!D25*C355*(VERI_TABANI!$B$13-VERI_TABANI!$B$15)) + IF(ISNUMBER(SEARCH("Var", D355)), VERI_TABANI!F25*(0.00202-VERI_TABANI!$B$16), IF(ISNUMBER(SEARCH("Gri", D355)), VERI_TABANI!F25*(0.00202-VERI_TABANI!$B$17), 0))) + ((VERI_TABANI!D26*B355*(VERI_TABANI!$B$13-VERI_TABANI!$B$14)) + (VERI_TABANI!D26*C355*(VERI_TABANI!$B$13-VERI_TABANI!$B$15)) + IF(ISNUMBER(SEARCH("Var", D355)), VERI_TABANI!F26*(0.00202-VERI_TABANI!$B$16), IF(ISNUMBER(SEARCH("Gri", D355)), VERI_TABANI!F26*(0.00202-VERI_TABANI!$B$17), 0))) + ((VERI_TABANI!D27*B355*(VERI_TABANI!$B$13-VERI_TABANI!$B$14)) + (VERI_TABANI!D27*C355*(VERI_TABANI!$B$13-VERI_TABANI!$B$15)) + IF(ISNUMBER(SEARCH("Var", D355)), VERI_TABANI!F27*(0.00202-VERI_TABANI!$B$16), IF(ISNUMBER(SEARCH("Gri", D355)), VERI_TABANI!F27*(0.00202-VERI_TABANI!$B$17), 0))) + ((VERI_TABANI!D28*B355*(VERI_TABANI!$B$13-VERI_TABANI!$B$14)) + (VERI_TABANI!D28*C355*(VERI_TABANI!$B$13-VERI_TABANI!$B$15)) + IF(ISNUMBER(SEARCH("Var", D355)), VERI_TABANI!F28*(0.00202-VERI_TABANI!$B$16), IF(ISNUMBER(SEARCH("Gri", D355)), VERI_TABANI!F28*(0.00202-VERI_TABANI!$B$17), 0))))</f>
        <v/>
      </c>
      <c r="I355" s="170">
        <f>IFERROR(((VERI_TABANI!$D$29*B355*VERI_TABANI!$B$14 + VERI_TABANI!$D$29*C355*VERI_TABANI!$B$15 + IF(ISNUMBER(SEARCH("Var", D355)), VERI_TABANI!$F$29*VERI_TABANI!$B$16, 0))) / (((VERI_TABANI!$D$29*B355 + VERI_TABANI!$D$29*C355)*VERI_TABANI!$B$13 + IF(ISNUMBER(SEARCH("Var", D355)), VERI_TABANI!$E$29*(1-0.928)*VERI_TABANI!$B$18, 0))), 0)</f>
        <v/>
      </c>
      <c r="J355" s="171">
        <f>IFERROR(F355/(G355/29), 0)</f>
        <v/>
      </c>
      <c r="K355" s="172">
        <f>IF(F355&gt;0, H355/F355, 0)</f>
        <v/>
      </c>
      <c r="L355" s="170">
        <f>IF(F355&gt;0, I355, 1000000000)</f>
        <v/>
      </c>
      <c r="M355" s="171">
        <f>ABS((B355+C355)-1)</f>
        <v/>
      </c>
      <c r="N355" s="170">
        <f>IF(F355&gt;0, (G355/29)/F355, 0)</f>
        <v/>
      </c>
      <c r="O355" s="168">
        <f>IF(AND((B355+C355)&gt;=1, ISNUMBER(SEARCH("Var", D355))), F355, 1000000000)</f>
        <v/>
      </c>
      <c r="P355" s="172">
        <f>IF(F355&gt;0, SQRT((F355/MAX(F$5:F$886))^2 + (1 - H355/MAX(H$5:H$886))^2 + (J355/MAX(J$5:J$886))^2), 1000000000)</f>
        <v/>
      </c>
      <c r="Q355" s="166">
        <f>IF(AND(ABS(B355-0.5)&lt;0.01, ABS(C355-0.5)&lt;0.01, ISNUMBER(SEARCH("Var", D355))), 1, 0)</f>
        <v/>
      </c>
      <c r="R355" s="171">
        <f>IF(F355&gt;0, J355, 1000000000)</f>
        <v/>
      </c>
      <c r="S355" s="101">
        <f>IF(AND(F355&lt;=DASHBOARD!$B$11, H355&gt;=DASHBOARD!$B$13), G355, -1000000000000)</f>
        <v/>
      </c>
      <c r="T355" s="101">
        <f>IF(AND(F355&lt;=DASHBOARD!$B$11, H355&gt;=DASHBOARD!$B$13), R355, 1000000000000)</f>
        <v/>
      </c>
      <c r="U355" s="101">
        <f>IF(AND(F355&lt;=DASHBOARD!$B$11, H355&gt;=DASHBOARD!$B$13), N355, -1000000000000)</f>
        <v/>
      </c>
      <c r="V355" s="101">
        <f>IF(AND(F355&lt;=DASHBOARD!$B$11, H355&gt;=DASHBOARD!$B$13), H355, -1000000000000)</f>
        <v/>
      </c>
      <c r="W355" s="101">
        <f>IF(AND(F355&lt;=DASHBOARD!$B$11, H355&gt;=DASHBOARD!$B$13), K355, -1000000000000)</f>
        <v/>
      </c>
      <c r="X355" s="101">
        <f>IF(AND(F355&lt;=DASHBOARD!$B$11, H355&gt;=DASHBOARD!$B$13), M355, 1000000000000)</f>
        <v/>
      </c>
      <c r="Y355" s="101">
        <f>IF(AND(F355&lt;=DASHBOARD!$B$10, H355&gt;=DASHBOARD!$B$11), L355, 1000000000000)</f>
        <v/>
      </c>
      <c r="Z355" s="101">
        <f>IF(AND(F355&lt;=DASHBOARD!$B$10, H355&gt;=DASHBOARD!$B$11), O355, 1000000000000)</f>
        <v/>
      </c>
      <c r="AA355" s="101">
        <f>IF(AND(F355&lt;=DASHBOARD!$B$10, H355&gt;=DASHBOARD!$B$11), P355, 1000000000000)</f>
        <v/>
      </c>
      <c r="AB355" s="101">
        <f>IF(AND(F355&lt;=DASHBOARD!$B$10, H355&gt;=DASHBOARD!$B$11), Q355, -1000000000000)</f>
        <v/>
      </c>
    </row>
    <row r="356" ht="15" customHeight="1" s="102">
      <c r="A356" s="166" t="n">
        <v>352</v>
      </c>
      <c r="B356" s="167" t="n">
        <v>0.8</v>
      </c>
      <c r="C356" s="167" t="n">
        <v>0.7</v>
      </c>
      <c r="D356" s="110" t="inlineStr">
        <is>
          <t>Var (%20)</t>
        </is>
      </c>
      <c r="E356" s="110">
        <f>IF((B356+C356)&lt;=1, "Tam Mahsuplaşma (≤%100)", "Kısmi Satış (&gt;%100)")</f>
        <v/>
      </c>
      <c r="F356" s="168">
        <f>((VERI_TABANI!$D$29*B356/VERI_TABANI!$B$29)/VERI_TABANI!$B$3)*VERI_TABANI!$B$5 + ((VERI_TABANI!$D$29*C356/VERI_TABANI!$B$29)/VERI_TABANI!$B$4)*VERI_TABANI!$B$6 + IF(ISNUMBER(SEARCH("Var", D356)), (VERI_TABANI!$F$29/VERI_TABANI!$B$29)*(VERI_TABANI!$B$10+VERI_TABANI!$B$12), 0)</f>
        <v/>
      </c>
      <c r="G356" s="168">
        <f>(((MIN(VERI_TABANI!D23, VERI_TABANI!D23*B356)*VERI_TABANI!$B$7 + MAX(0, VERI_TABANI!D23*B356-VERI_TABANI!D23)*VERI_TABANI!$B$8) + (MIN(MAX(0, VERI_TABANI!D23-VERI_TABANI!D23*B356), VERI_TABANI!D23*C356)*VERI_TABANI!$B$7 + MAX(0, VERI_TABANI!D23*C356-MAX(0, VERI_TABANI!D23-VERI_TABANI!D23*B356))*VERI_TABANI!$B$8) + IF(ABS(IF(ISNUMBER(SEARCH("Var", D356)), 1, IF(ISNUMBER(SEARCH("Gri", D356)), -1, 0)))=1, VERI_TABANI!E23*(1-0.928)*VERI_TABANI!$B$9, 0) + (VERI_TABANI!D23*B356*(VERI_TABANI!$B$13-VERI_TABANI!$B$14)*VERI_TABANI!G23) + (VERI_TABANI!D23*C356*(VERI_TABANI!$B$13-VERI_TABANI!$B$15)*VERI_TABANI!G23) + IF(ABS(IF(ISNUMBER(SEARCH("Var", D356)), 1, IF(ISNUMBER(SEARCH("Gri", D356)), -1, 0)))=1, VERI_TABANI!E23*(1-0.928)*0.00206091519919798*VERI_TABANI!G23, 0)) + ((MIN(VERI_TABANI!D24, VERI_TABANI!D24*B356)*VERI_TABANI!$B$7 + MAX(0, VERI_TABANI!D24*B356-VERI_TABANI!D24)*VERI_TABANI!$B$8) + (MIN(MAX(0, VERI_TABANI!D24-VERI_TABANI!D24*B356), VERI_TABANI!D24*C356)*VERI_TABANI!$B$7 + MAX(0, VERI_TABANI!D24*C356-MAX(0, VERI_TABANI!D24-VERI_TABANI!D24*B356))*VERI_TABANI!$B$8) + IF(ABS(IF(ISNUMBER(SEARCH("Var", D356)), 1, IF(ISNUMBER(SEARCH("Gri", D356)), -1, 0)))=1, VERI_TABANI!E24*(1-0.928)*VERI_TABANI!$B$9, 0) + (VERI_TABANI!D24*B356*(VERI_TABANI!$B$13-VERI_TABANI!$B$14)*VERI_TABANI!G24) + (VERI_TABANI!D24*C356*(VERI_TABANI!$B$13-VERI_TABANI!$B$15)*VERI_TABANI!G24) + IF(ABS(IF(ISNUMBER(SEARCH("Var", D356)), 1, IF(ISNUMBER(SEARCH("Gri", D356)), -1, 0)))=1, VERI_TABANI!E24*(1-0.928)*0.00206091519919798*VERI_TABANI!G24, 0)) + ((MIN(VERI_TABANI!D25, VERI_TABANI!D25*B356)*VERI_TABANI!$B$7 + MAX(0, VERI_TABANI!D25*B356-VERI_TABANI!D25)*VERI_TABANI!$B$8) + (MIN(MAX(0, VERI_TABANI!D25-VERI_TABANI!D25*B356), VERI_TABANI!D25*C356)*VERI_TABANI!$B$7 + MAX(0, VERI_TABANI!D25*C356-MAX(0, VERI_TABANI!D25-VERI_TABANI!D25*B356))*VERI_TABANI!$B$8) + IF(ABS(IF(ISNUMBER(SEARCH("Var", D356)), 1, IF(ISNUMBER(SEARCH("Gri", D356)), -1, 0)))=1, VERI_TABANI!E25*(1-0.928)*VERI_TABANI!$B$9, 0) + (VERI_TABANI!D25*B356*(VERI_TABANI!$B$13-VERI_TABANI!$B$14)*VERI_TABANI!G25) + (VERI_TABANI!D25*C356*(VERI_TABANI!$B$13-VERI_TABANI!$B$15)*VERI_TABANI!G25) + IF(ABS(IF(ISNUMBER(SEARCH("Var", D356)), 1, IF(ISNUMBER(SEARCH("Gri", D356)), -1, 0)))=1, VERI_TABANI!E25*(1-0.928)*0.00206091519919798*VERI_TABANI!G25, 0)) + ((MIN(VERI_TABANI!D26, VERI_TABANI!D26*B356)*VERI_TABANI!$B$7 + MAX(0, VERI_TABANI!D26*B356-VERI_TABANI!D26)*VERI_TABANI!$B$8) + (MIN(MAX(0, VERI_TABANI!D26-VERI_TABANI!D26*B356), VERI_TABANI!D26*C356)*VERI_TABANI!$B$7 + MAX(0, VERI_TABANI!D26*C356-MAX(0, VERI_TABANI!D26-VERI_TABANI!D26*B356))*VERI_TABANI!$B$8) + IF(ABS(IF(ISNUMBER(SEARCH("Var", D356)), 1, IF(ISNUMBER(SEARCH("Gri", D356)), -1, 0)))=1, VERI_TABANI!E26*(1-0.928)*VERI_TABANI!$B$9, 0) + (VERI_TABANI!D26*B356*(VERI_TABANI!$B$13-VERI_TABANI!$B$14)*VERI_TABANI!G26) + (VERI_TABANI!D26*C356*(VERI_TABANI!$B$13-VERI_TABANI!$B$15)*VERI_TABANI!G26) + IF(ABS(IF(ISNUMBER(SEARCH("Var", D356)), 1, IF(ISNUMBER(SEARCH("Gri", D356)), -1, 0)))=1, VERI_TABANI!E26*(1-0.928)*0.00206091519919798*VERI_TABANI!G26, 0)) + ((MIN(VERI_TABANI!D27, VERI_TABANI!D27*B356)*VERI_TABANI!$B$7 + MAX(0, VERI_TABANI!D27*B356-VERI_TABANI!D27)*VERI_TABANI!$B$8) + (MIN(MAX(0, VERI_TABANI!D27-VERI_TABANI!D27*B356), VERI_TABANI!D27*C356)*VERI_TABANI!$B$7 + MAX(0, VERI_TABANI!D27*C356-MAX(0, VERI_TABANI!D27-VERI_TABANI!D27*B356))*VERI_TABANI!$B$8) + IF(ABS(IF(ISNUMBER(SEARCH("Var", D356)), 1, IF(ISNUMBER(SEARCH("Gri", D356)), -1, 0)))=1, VERI_TABANI!E27*(1-0.928)*VERI_TABANI!$B$9, 0) + (VERI_TABANI!D27*B356*(VERI_TABANI!$B$13-VERI_TABANI!$B$14)*VERI_TABANI!G27) + (VERI_TABANI!D27*C356*(VERI_TABANI!$B$13-VERI_TABANI!$B$15)*VERI_TABANI!G27) + IF(ABS(IF(ISNUMBER(SEARCH("Var", D356)), 1, IF(ISNUMBER(SEARCH("Gri", D356)), -1, 0)))=1, VERI_TABANI!E27*(1-0.928)*0.00206091519919798*VERI_TABANI!G27, 0)) + ((MIN(VERI_TABANI!D28, VERI_TABANI!D28*B356)*VERI_TABANI!$B$7 + MAX(0, VERI_TABANI!D28*B356-VERI_TABANI!D28)*VERI_TABANI!$B$8) + (MIN(MAX(0, VERI_TABANI!D28-VERI_TABANI!D28*B356), VERI_TABANI!D28*C356)*VERI_TABANI!$B$7 + MAX(0, VERI_TABANI!D28*C356-MAX(0, VERI_TABANI!D28-VERI_TABANI!D28*B356))*VERI_TABANI!$B$8) + IF(ABS(IF(ISNUMBER(SEARCH("Var", D356)), 1, IF(ISNUMBER(SEARCH("Gri", D356)), -1, 0)))=1, VERI_TABANI!E28*(1-0.928)*VERI_TABANI!$B$9, 0) + (VERI_TABANI!D28*B356*(VERI_TABANI!$B$13-VERI_TABANI!$B$14)*VERI_TABANI!G28) + (VERI_TABANI!D28*C356*(VERI_TABANI!$B$13-VERI_TABANI!$B$15)*VERI_TABANI!G28) + IF(ABS(IF(ISNUMBER(SEARCH("Var", D356)), 1, IF(ISNUMBER(SEARCH("Gri", D356)), -1, 0)))=1, VERI_TABANI!E28*(1-0.928)*0.00206091519919798*VERI_TABANI!G28, 0)))</f>
        <v/>
      </c>
      <c r="H356" s="169">
        <f>(((VERI_TABANI!D23*B356*(VERI_TABANI!$B$13-VERI_TABANI!$B$14)) + (VERI_TABANI!D23*C356*(VERI_TABANI!$B$13-VERI_TABANI!$B$15)) + IF(ISNUMBER(SEARCH("Var", D356)), VERI_TABANI!F23*(0.00202-VERI_TABANI!$B$16), IF(ISNUMBER(SEARCH("Gri", D356)), VERI_TABANI!F23*(0.00202-VERI_TABANI!$B$17), 0))) + ((VERI_TABANI!D24*B356*(VERI_TABANI!$B$13-VERI_TABANI!$B$14)) + (VERI_TABANI!D24*C356*(VERI_TABANI!$B$13-VERI_TABANI!$B$15)) + IF(ISNUMBER(SEARCH("Var", D356)), VERI_TABANI!F24*(0.00202-VERI_TABANI!$B$16), IF(ISNUMBER(SEARCH("Gri", D356)), VERI_TABANI!F24*(0.00202-VERI_TABANI!$B$17), 0))) + ((VERI_TABANI!D25*B356*(VERI_TABANI!$B$13-VERI_TABANI!$B$14)) + (VERI_TABANI!D25*C356*(VERI_TABANI!$B$13-VERI_TABANI!$B$15)) + IF(ISNUMBER(SEARCH("Var", D356)), VERI_TABANI!F25*(0.00202-VERI_TABANI!$B$16), IF(ISNUMBER(SEARCH("Gri", D356)), VERI_TABANI!F25*(0.00202-VERI_TABANI!$B$17), 0))) + ((VERI_TABANI!D26*B356*(VERI_TABANI!$B$13-VERI_TABANI!$B$14)) + (VERI_TABANI!D26*C356*(VERI_TABANI!$B$13-VERI_TABANI!$B$15)) + IF(ISNUMBER(SEARCH("Var", D356)), VERI_TABANI!F26*(0.00202-VERI_TABANI!$B$16), IF(ISNUMBER(SEARCH("Gri", D356)), VERI_TABANI!F26*(0.00202-VERI_TABANI!$B$17), 0))) + ((VERI_TABANI!D27*B356*(VERI_TABANI!$B$13-VERI_TABANI!$B$14)) + (VERI_TABANI!D27*C356*(VERI_TABANI!$B$13-VERI_TABANI!$B$15)) + IF(ISNUMBER(SEARCH("Var", D356)), VERI_TABANI!F27*(0.00202-VERI_TABANI!$B$16), IF(ISNUMBER(SEARCH("Gri", D356)), VERI_TABANI!F27*(0.00202-VERI_TABANI!$B$17), 0))) + ((VERI_TABANI!D28*B356*(VERI_TABANI!$B$13-VERI_TABANI!$B$14)) + (VERI_TABANI!D28*C356*(VERI_TABANI!$B$13-VERI_TABANI!$B$15)) + IF(ISNUMBER(SEARCH("Var", D356)), VERI_TABANI!F28*(0.00202-VERI_TABANI!$B$16), IF(ISNUMBER(SEARCH("Gri", D356)), VERI_TABANI!F28*(0.00202-VERI_TABANI!$B$17), 0))))</f>
        <v/>
      </c>
      <c r="I356" s="170">
        <f>IFERROR(((VERI_TABANI!$D$29*B356*VERI_TABANI!$B$14 + VERI_TABANI!$D$29*C356*VERI_TABANI!$B$15 + IF(ISNUMBER(SEARCH("Var", D356)), VERI_TABANI!$F$29*VERI_TABANI!$B$16, 0))) / (((VERI_TABANI!$D$29*B356 + VERI_TABANI!$D$29*C356)*VERI_TABANI!$B$13 + IF(ISNUMBER(SEARCH("Var", D356)), VERI_TABANI!$E$29*(1-0.928)*VERI_TABANI!$B$18, 0))), 0)</f>
        <v/>
      </c>
      <c r="J356" s="171">
        <f>IFERROR(F356/(G356/29), 0)</f>
        <v/>
      </c>
      <c r="K356" s="172">
        <f>IF(F356&gt;0, H356/F356, 0)</f>
        <v/>
      </c>
      <c r="L356" s="170">
        <f>IF(F356&gt;0, I356, 1000000000)</f>
        <v/>
      </c>
      <c r="M356" s="171">
        <f>ABS((B356+C356)-1)</f>
        <v/>
      </c>
      <c r="N356" s="170">
        <f>IF(F356&gt;0, (G356/29)/F356, 0)</f>
        <v/>
      </c>
      <c r="O356" s="168">
        <f>IF(AND((B356+C356)&gt;=1, ISNUMBER(SEARCH("Var", D356))), F356, 1000000000)</f>
        <v/>
      </c>
      <c r="P356" s="172">
        <f>IF(F356&gt;0, SQRT((F356/MAX(F$5:F$886))^2 + (1 - H356/MAX(H$5:H$886))^2 + (J356/MAX(J$5:J$886))^2), 1000000000)</f>
        <v/>
      </c>
      <c r="Q356" s="166">
        <f>IF(AND(ABS(B356-0.5)&lt;0.01, ABS(C356-0.5)&lt;0.01, ISNUMBER(SEARCH("Var", D356))), 1, 0)</f>
        <v/>
      </c>
      <c r="R356" s="171">
        <f>IF(F356&gt;0, J356, 1000000000)</f>
        <v/>
      </c>
      <c r="S356" s="101">
        <f>IF(AND(F356&lt;=DASHBOARD!$B$11, H356&gt;=DASHBOARD!$B$13), G356, -1000000000000)</f>
        <v/>
      </c>
      <c r="T356" s="101">
        <f>IF(AND(F356&lt;=DASHBOARD!$B$11, H356&gt;=DASHBOARD!$B$13), R356, 1000000000000)</f>
        <v/>
      </c>
      <c r="U356" s="101">
        <f>IF(AND(F356&lt;=DASHBOARD!$B$11, H356&gt;=DASHBOARD!$B$13), N356, -1000000000000)</f>
        <v/>
      </c>
      <c r="V356" s="101">
        <f>IF(AND(F356&lt;=DASHBOARD!$B$11, H356&gt;=DASHBOARD!$B$13), H356, -1000000000000)</f>
        <v/>
      </c>
      <c r="W356" s="101">
        <f>IF(AND(F356&lt;=DASHBOARD!$B$11, H356&gt;=DASHBOARD!$B$13), K356, -1000000000000)</f>
        <v/>
      </c>
      <c r="X356" s="101">
        <f>IF(AND(F356&lt;=DASHBOARD!$B$11, H356&gt;=DASHBOARD!$B$13), M356, 1000000000000)</f>
        <v/>
      </c>
      <c r="Y356" s="101">
        <f>IF(AND(F356&lt;=DASHBOARD!$B$10, H356&gt;=DASHBOARD!$B$11), L356, 1000000000000)</f>
        <v/>
      </c>
      <c r="Z356" s="101">
        <f>IF(AND(F356&lt;=DASHBOARD!$B$10, H356&gt;=DASHBOARD!$B$11), O356, 1000000000000)</f>
        <v/>
      </c>
      <c r="AA356" s="101">
        <f>IF(AND(F356&lt;=DASHBOARD!$B$10, H356&gt;=DASHBOARD!$B$11), P356, 1000000000000)</f>
        <v/>
      </c>
      <c r="AB356" s="101">
        <f>IF(AND(F356&lt;=DASHBOARD!$B$10, H356&gt;=DASHBOARD!$B$11), Q356, -1000000000000)</f>
        <v/>
      </c>
    </row>
    <row r="357" ht="15" customHeight="1" s="102">
      <c r="A357" s="166" t="n">
        <v>353</v>
      </c>
      <c r="B357" s="167" t="n">
        <v>0.8</v>
      </c>
      <c r="C357" s="167" t="n">
        <v>0.8</v>
      </c>
      <c r="D357" s="110" t="inlineStr">
        <is>
          <t>Yok (%0)</t>
        </is>
      </c>
      <c r="E357" s="110">
        <f>IF((B357+C357)&lt;=1, "Tam Mahsuplaşma (≤%100)", "Kısmi Satış (&gt;%100)")</f>
        <v/>
      </c>
      <c r="F357" s="168">
        <f>((VERI_TABANI!$D$29*B357/VERI_TABANI!$B$29)/VERI_TABANI!$B$3)*VERI_TABANI!$B$5 + ((VERI_TABANI!$D$29*C357/VERI_TABANI!$B$29)/VERI_TABANI!$B$4)*VERI_TABANI!$B$6 + IF(ISNUMBER(SEARCH("Var", D357)), (VERI_TABANI!$F$29/VERI_TABANI!$B$29)*(VERI_TABANI!$B$10+VERI_TABANI!$B$12), 0)</f>
        <v/>
      </c>
      <c r="G357" s="168">
        <f>(((MIN(VERI_TABANI!D23, VERI_TABANI!D23*B357)*VERI_TABANI!$B$7 + MAX(0, VERI_TABANI!D23*B357-VERI_TABANI!D23)*VERI_TABANI!$B$8) + (MIN(MAX(0, VERI_TABANI!D23-VERI_TABANI!D23*B357), VERI_TABANI!D23*C357)*VERI_TABANI!$B$7 + MAX(0, VERI_TABANI!D23*C357-MAX(0, VERI_TABANI!D23-VERI_TABANI!D23*B357))*VERI_TABANI!$B$8) + IF(ABS(IF(ISNUMBER(SEARCH("Var", D357)), 1, IF(ISNUMBER(SEARCH("Gri", D357)), -1, 0)))=1, VERI_TABANI!E23*(1-0.928)*VERI_TABANI!$B$9, 0) + (VERI_TABANI!D23*B357*(VERI_TABANI!$B$13-VERI_TABANI!$B$14)*VERI_TABANI!G23) + (VERI_TABANI!D23*C357*(VERI_TABANI!$B$13-VERI_TABANI!$B$15)*VERI_TABANI!G23) + IF(ABS(IF(ISNUMBER(SEARCH("Var", D357)), 1, IF(ISNUMBER(SEARCH("Gri", D357)), -1, 0)))=1, VERI_TABANI!E23*(1-0.928)*0.00206091519919798*VERI_TABANI!G23, 0)) + ((MIN(VERI_TABANI!D24, VERI_TABANI!D24*B357)*VERI_TABANI!$B$7 + MAX(0, VERI_TABANI!D24*B357-VERI_TABANI!D24)*VERI_TABANI!$B$8) + (MIN(MAX(0, VERI_TABANI!D24-VERI_TABANI!D24*B357), VERI_TABANI!D24*C357)*VERI_TABANI!$B$7 + MAX(0, VERI_TABANI!D24*C357-MAX(0, VERI_TABANI!D24-VERI_TABANI!D24*B357))*VERI_TABANI!$B$8) + IF(ABS(IF(ISNUMBER(SEARCH("Var", D357)), 1, IF(ISNUMBER(SEARCH("Gri", D357)), -1, 0)))=1, VERI_TABANI!E24*(1-0.928)*VERI_TABANI!$B$9, 0) + (VERI_TABANI!D24*B357*(VERI_TABANI!$B$13-VERI_TABANI!$B$14)*VERI_TABANI!G24) + (VERI_TABANI!D24*C357*(VERI_TABANI!$B$13-VERI_TABANI!$B$15)*VERI_TABANI!G24) + IF(ABS(IF(ISNUMBER(SEARCH("Var", D357)), 1, IF(ISNUMBER(SEARCH("Gri", D357)), -1, 0)))=1, VERI_TABANI!E24*(1-0.928)*0.00206091519919798*VERI_TABANI!G24, 0)) + ((MIN(VERI_TABANI!D25, VERI_TABANI!D25*B357)*VERI_TABANI!$B$7 + MAX(0, VERI_TABANI!D25*B357-VERI_TABANI!D25)*VERI_TABANI!$B$8) + (MIN(MAX(0, VERI_TABANI!D25-VERI_TABANI!D25*B357), VERI_TABANI!D25*C357)*VERI_TABANI!$B$7 + MAX(0, VERI_TABANI!D25*C357-MAX(0, VERI_TABANI!D25-VERI_TABANI!D25*B357))*VERI_TABANI!$B$8) + IF(ABS(IF(ISNUMBER(SEARCH("Var", D357)), 1, IF(ISNUMBER(SEARCH("Gri", D357)), -1, 0)))=1, VERI_TABANI!E25*(1-0.928)*VERI_TABANI!$B$9, 0) + (VERI_TABANI!D25*B357*(VERI_TABANI!$B$13-VERI_TABANI!$B$14)*VERI_TABANI!G25) + (VERI_TABANI!D25*C357*(VERI_TABANI!$B$13-VERI_TABANI!$B$15)*VERI_TABANI!G25) + IF(ABS(IF(ISNUMBER(SEARCH("Var", D357)), 1, IF(ISNUMBER(SEARCH("Gri", D357)), -1, 0)))=1, VERI_TABANI!E25*(1-0.928)*0.00206091519919798*VERI_TABANI!G25, 0)) + ((MIN(VERI_TABANI!D26, VERI_TABANI!D26*B357)*VERI_TABANI!$B$7 + MAX(0, VERI_TABANI!D26*B357-VERI_TABANI!D26)*VERI_TABANI!$B$8) + (MIN(MAX(0, VERI_TABANI!D26-VERI_TABANI!D26*B357), VERI_TABANI!D26*C357)*VERI_TABANI!$B$7 + MAX(0, VERI_TABANI!D26*C357-MAX(0, VERI_TABANI!D26-VERI_TABANI!D26*B357))*VERI_TABANI!$B$8) + IF(ABS(IF(ISNUMBER(SEARCH("Var", D357)), 1, IF(ISNUMBER(SEARCH("Gri", D357)), -1, 0)))=1, VERI_TABANI!E26*(1-0.928)*VERI_TABANI!$B$9, 0) + (VERI_TABANI!D26*B357*(VERI_TABANI!$B$13-VERI_TABANI!$B$14)*VERI_TABANI!G26) + (VERI_TABANI!D26*C357*(VERI_TABANI!$B$13-VERI_TABANI!$B$15)*VERI_TABANI!G26) + IF(ABS(IF(ISNUMBER(SEARCH("Var", D357)), 1, IF(ISNUMBER(SEARCH("Gri", D357)), -1, 0)))=1, VERI_TABANI!E26*(1-0.928)*0.00206091519919798*VERI_TABANI!G26, 0)) + ((MIN(VERI_TABANI!D27, VERI_TABANI!D27*B357)*VERI_TABANI!$B$7 + MAX(0, VERI_TABANI!D27*B357-VERI_TABANI!D27)*VERI_TABANI!$B$8) + (MIN(MAX(0, VERI_TABANI!D27-VERI_TABANI!D27*B357), VERI_TABANI!D27*C357)*VERI_TABANI!$B$7 + MAX(0, VERI_TABANI!D27*C357-MAX(0, VERI_TABANI!D27-VERI_TABANI!D27*B357))*VERI_TABANI!$B$8) + IF(ABS(IF(ISNUMBER(SEARCH("Var", D357)), 1, IF(ISNUMBER(SEARCH("Gri", D357)), -1, 0)))=1, VERI_TABANI!E27*(1-0.928)*VERI_TABANI!$B$9, 0) + (VERI_TABANI!D27*B357*(VERI_TABANI!$B$13-VERI_TABANI!$B$14)*VERI_TABANI!G27) + (VERI_TABANI!D27*C357*(VERI_TABANI!$B$13-VERI_TABANI!$B$15)*VERI_TABANI!G27) + IF(ABS(IF(ISNUMBER(SEARCH("Var", D357)), 1, IF(ISNUMBER(SEARCH("Gri", D357)), -1, 0)))=1, VERI_TABANI!E27*(1-0.928)*0.00206091519919798*VERI_TABANI!G27, 0)) + ((MIN(VERI_TABANI!D28, VERI_TABANI!D28*B357)*VERI_TABANI!$B$7 + MAX(0, VERI_TABANI!D28*B357-VERI_TABANI!D28)*VERI_TABANI!$B$8) + (MIN(MAX(0, VERI_TABANI!D28-VERI_TABANI!D28*B357), VERI_TABANI!D28*C357)*VERI_TABANI!$B$7 + MAX(0, VERI_TABANI!D28*C357-MAX(0, VERI_TABANI!D28-VERI_TABANI!D28*B357))*VERI_TABANI!$B$8) + IF(ABS(IF(ISNUMBER(SEARCH("Var", D357)), 1, IF(ISNUMBER(SEARCH("Gri", D357)), -1, 0)))=1, VERI_TABANI!E28*(1-0.928)*VERI_TABANI!$B$9, 0) + (VERI_TABANI!D28*B357*(VERI_TABANI!$B$13-VERI_TABANI!$B$14)*VERI_TABANI!G28) + (VERI_TABANI!D28*C357*(VERI_TABANI!$B$13-VERI_TABANI!$B$15)*VERI_TABANI!G28) + IF(ABS(IF(ISNUMBER(SEARCH("Var", D357)), 1, IF(ISNUMBER(SEARCH("Gri", D357)), -1, 0)))=1, VERI_TABANI!E28*(1-0.928)*0.00206091519919798*VERI_TABANI!G28, 0)))</f>
        <v/>
      </c>
      <c r="H357" s="169">
        <f>(((VERI_TABANI!D23*B357*(VERI_TABANI!$B$13-VERI_TABANI!$B$14)) + (VERI_TABANI!D23*C357*(VERI_TABANI!$B$13-VERI_TABANI!$B$15)) + IF(ISNUMBER(SEARCH("Var", D357)), VERI_TABANI!F23*(0.00202-VERI_TABANI!$B$16), IF(ISNUMBER(SEARCH("Gri", D357)), VERI_TABANI!F23*(0.00202-VERI_TABANI!$B$17), 0))) + ((VERI_TABANI!D24*B357*(VERI_TABANI!$B$13-VERI_TABANI!$B$14)) + (VERI_TABANI!D24*C357*(VERI_TABANI!$B$13-VERI_TABANI!$B$15)) + IF(ISNUMBER(SEARCH("Var", D357)), VERI_TABANI!F24*(0.00202-VERI_TABANI!$B$16), IF(ISNUMBER(SEARCH("Gri", D357)), VERI_TABANI!F24*(0.00202-VERI_TABANI!$B$17), 0))) + ((VERI_TABANI!D25*B357*(VERI_TABANI!$B$13-VERI_TABANI!$B$14)) + (VERI_TABANI!D25*C357*(VERI_TABANI!$B$13-VERI_TABANI!$B$15)) + IF(ISNUMBER(SEARCH("Var", D357)), VERI_TABANI!F25*(0.00202-VERI_TABANI!$B$16), IF(ISNUMBER(SEARCH("Gri", D357)), VERI_TABANI!F25*(0.00202-VERI_TABANI!$B$17), 0))) + ((VERI_TABANI!D26*B357*(VERI_TABANI!$B$13-VERI_TABANI!$B$14)) + (VERI_TABANI!D26*C357*(VERI_TABANI!$B$13-VERI_TABANI!$B$15)) + IF(ISNUMBER(SEARCH("Var", D357)), VERI_TABANI!F26*(0.00202-VERI_TABANI!$B$16), IF(ISNUMBER(SEARCH("Gri", D357)), VERI_TABANI!F26*(0.00202-VERI_TABANI!$B$17), 0))) + ((VERI_TABANI!D27*B357*(VERI_TABANI!$B$13-VERI_TABANI!$B$14)) + (VERI_TABANI!D27*C357*(VERI_TABANI!$B$13-VERI_TABANI!$B$15)) + IF(ISNUMBER(SEARCH("Var", D357)), VERI_TABANI!F27*(0.00202-VERI_TABANI!$B$16), IF(ISNUMBER(SEARCH("Gri", D357)), VERI_TABANI!F27*(0.00202-VERI_TABANI!$B$17), 0))) + ((VERI_TABANI!D28*B357*(VERI_TABANI!$B$13-VERI_TABANI!$B$14)) + (VERI_TABANI!D28*C357*(VERI_TABANI!$B$13-VERI_TABANI!$B$15)) + IF(ISNUMBER(SEARCH("Var", D357)), VERI_TABANI!F28*(0.00202-VERI_TABANI!$B$16), IF(ISNUMBER(SEARCH("Gri", D357)), VERI_TABANI!F28*(0.00202-VERI_TABANI!$B$17), 0))))</f>
        <v/>
      </c>
      <c r="I357" s="170">
        <f>IFERROR(((VERI_TABANI!$D$29*B357*VERI_TABANI!$B$14 + VERI_TABANI!$D$29*C357*VERI_TABANI!$B$15 + IF(ISNUMBER(SEARCH("Var", D357)), VERI_TABANI!$F$29*VERI_TABANI!$B$16, 0))) / (((VERI_TABANI!$D$29*B357 + VERI_TABANI!$D$29*C357)*VERI_TABANI!$B$13 + IF(ISNUMBER(SEARCH("Var", D357)), VERI_TABANI!$E$29*(1-0.928)*VERI_TABANI!$B$18, 0))), 0)</f>
        <v/>
      </c>
      <c r="J357" s="171">
        <f>IFERROR(F357/(G357/29), 0)</f>
        <v/>
      </c>
      <c r="K357" s="172">
        <f>IF(F357&gt;0, H357/F357, 0)</f>
        <v/>
      </c>
      <c r="L357" s="170">
        <f>IF(F357&gt;0, I357, 1000000000)</f>
        <v/>
      </c>
      <c r="M357" s="171">
        <f>ABS((B357+C357)-1)</f>
        <v/>
      </c>
      <c r="N357" s="170">
        <f>IF(F357&gt;0, (G357/29)/F357, 0)</f>
        <v/>
      </c>
      <c r="O357" s="168">
        <f>IF(AND((B357+C357)&gt;=1, ISNUMBER(SEARCH("Var", D357))), F357, 1000000000)</f>
        <v/>
      </c>
      <c r="P357" s="172">
        <f>IF(F357&gt;0, SQRT((F357/MAX(F$5:F$886))^2 + (1 - H357/MAX(H$5:H$886))^2 + (J357/MAX(J$5:J$886))^2), 1000000000)</f>
        <v/>
      </c>
      <c r="Q357" s="166">
        <f>IF(AND(ABS(B357-0.5)&lt;0.01, ABS(C357-0.5)&lt;0.01, ISNUMBER(SEARCH("Var", D357))), 1, 0)</f>
        <v/>
      </c>
      <c r="R357" s="171">
        <f>IF(F357&gt;0, J357, 1000000000)</f>
        <v/>
      </c>
      <c r="S357" s="101">
        <f>IF(AND(F357&lt;=DASHBOARD!$B$11, H357&gt;=DASHBOARD!$B$13), G357, -1000000000000)</f>
        <v/>
      </c>
      <c r="T357" s="101">
        <f>IF(AND(F357&lt;=DASHBOARD!$B$11, H357&gt;=DASHBOARD!$B$13), R357, 1000000000000)</f>
        <v/>
      </c>
      <c r="U357" s="101">
        <f>IF(AND(F357&lt;=DASHBOARD!$B$11, H357&gt;=DASHBOARD!$B$13), N357, -1000000000000)</f>
        <v/>
      </c>
      <c r="V357" s="101">
        <f>IF(AND(F357&lt;=DASHBOARD!$B$11, H357&gt;=DASHBOARD!$B$13), H357, -1000000000000)</f>
        <v/>
      </c>
      <c r="W357" s="101">
        <f>IF(AND(F357&lt;=DASHBOARD!$B$11, H357&gt;=DASHBOARD!$B$13), K357, -1000000000000)</f>
        <v/>
      </c>
      <c r="X357" s="101">
        <f>IF(AND(F357&lt;=DASHBOARD!$B$11, H357&gt;=DASHBOARD!$B$13), M357, 1000000000000)</f>
        <v/>
      </c>
      <c r="Y357" s="101">
        <f>IF(AND(F357&lt;=DASHBOARD!$B$10, H357&gt;=DASHBOARD!$B$11), L357, 1000000000000)</f>
        <v/>
      </c>
      <c r="Z357" s="101">
        <f>IF(AND(F357&lt;=DASHBOARD!$B$10, H357&gt;=DASHBOARD!$B$11), O357, 1000000000000)</f>
        <v/>
      </c>
      <c r="AA357" s="101">
        <f>IF(AND(F357&lt;=DASHBOARD!$B$10, H357&gt;=DASHBOARD!$B$11), P357, 1000000000000)</f>
        <v/>
      </c>
      <c r="AB357" s="101">
        <f>IF(AND(F357&lt;=DASHBOARD!$B$10, H357&gt;=DASHBOARD!$B$11), Q357, -1000000000000)</f>
        <v/>
      </c>
    </row>
    <row r="358" ht="15" customHeight="1" s="102">
      <c r="A358" s="166" t="n">
        <v>354</v>
      </c>
      <c r="B358" s="167" t="n">
        <v>0.8</v>
      </c>
      <c r="C358" s="167" t="n">
        <v>0.8</v>
      </c>
      <c r="D358" s="110" t="inlineStr">
        <is>
          <t>Var (%20)</t>
        </is>
      </c>
      <c r="E358" s="110">
        <f>IF((B358+C358)&lt;=1, "Tam Mahsuplaşma (≤%100)", "Kısmi Satış (&gt;%100)")</f>
        <v/>
      </c>
      <c r="F358" s="168">
        <f>((VERI_TABANI!$D$29*B358/VERI_TABANI!$B$29)/VERI_TABANI!$B$3)*VERI_TABANI!$B$5 + ((VERI_TABANI!$D$29*C358/VERI_TABANI!$B$29)/VERI_TABANI!$B$4)*VERI_TABANI!$B$6 + IF(ISNUMBER(SEARCH("Var", D358)), (VERI_TABANI!$F$29/VERI_TABANI!$B$29)*(VERI_TABANI!$B$10+VERI_TABANI!$B$12), 0)</f>
        <v/>
      </c>
      <c r="G358" s="168">
        <f>(((MIN(VERI_TABANI!D23, VERI_TABANI!D23*B358)*VERI_TABANI!$B$7 + MAX(0, VERI_TABANI!D23*B358-VERI_TABANI!D23)*VERI_TABANI!$B$8) + (MIN(MAX(0, VERI_TABANI!D23-VERI_TABANI!D23*B358), VERI_TABANI!D23*C358)*VERI_TABANI!$B$7 + MAX(0, VERI_TABANI!D23*C358-MAX(0, VERI_TABANI!D23-VERI_TABANI!D23*B358))*VERI_TABANI!$B$8) + IF(ABS(IF(ISNUMBER(SEARCH("Var", D358)), 1, IF(ISNUMBER(SEARCH("Gri", D358)), -1, 0)))=1, VERI_TABANI!E23*(1-0.928)*VERI_TABANI!$B$9, 0) + (VERI_TABANI!D23*B358*(VERI_TABANI!$B$13-VERI_TABANI!$B$14)*VERI_TABANI!G23) + (VERI_TABANI!D23*C358*(VERI_TABANI!$B$13-VERI_TABANI!$B$15)*VERI_TABANI!G23) + IF(ABS(IF(ISNUMBER(SEARCH("Var", D358)), 1, IF(ISNUMBER(SEARCH("Gri", D358)), -1, 0)))=1, VERI_TABANI!E23*(1-0.928)*0.00206091519919798*VERI_TABANI!G23, 0)) + ((MIN(VERI_TABANI!D24, VERI_TABANI!D24*B358)*VERI_TABANI!$B$7 + MAX(0, VERI_TABANI!D24*B358-VERI_TABANI!D24)*VERI_TABANI!$B$8) + (MIN(MAX(0, VERI_TABANI!D24-VERI_TABANI!D24*B358), VERI_TABANI!D24*C358)*VERI_TABANI!$B$7 + MAX(0, VERI_TABANI!D24*C358-MAX(0, VERI_TABANI!D24-VERI_TABANI!D24*B358))*VERI_TABANI!$B$8) + IF(ABS(IF(ISNUMBER(SEARCH("Var", D358)), 1, IF(ISNUMBER(SEARCH("Gri", D358)), -1, 0)))=1, VERI_TABANI!E24*(1-0.928)*VERI_TABANI!$B$9, 0) + (VERI_TABANI!D24*B358*(VERI_TABANI!$B$13-VERI_TABANI!$B$14)*VERI_TABANI!G24) + (VERI_TABANI!D24*C358*(VERI_TABANI!$B$13-VERI_TABANI!$B$15)*VERI_TABANI!G24) + IF(ABS(IF(ISNUMBER(SEARCH("Var", D358)), 1, IF(ISNUMBER(SEARCH("Gri", D358)), -1, 0)))=1, VERI_TABANI!E24*(1-0.928)*0.00206091519919798*VERI_TABANI!G24, 0)) + ((MIN(VERI_TABANI!D25, VERI_TABANI!D25*B358)*VERI_TABANI!$B$7 + MAX(0, VERI_TABANI!D25*B358-VERI_TABANI!D25)*VERI_TABANI!$B$8) + (MIN(MAX(0, VERI_TABANI!D25-VERI_TABANI!D25*B358), VERI_TABANI!D25*C358)*VERI_TABANI!$B$7 + MAX(0, VERI_TABANI!D25*C358-MAX(0, VERI_TABANI!D25-VERI_TABANI!D25*B358))*VERI_TABANI!$B$8) + IF(ABS(IF(ISNUMBER(SEARCH("Var", D358)), 1, IF(ISNUMBER(SEARCH("Gri", D358)), -1, 0)))=1, VERI_TABANI!E25*(1-0.928)*VERI_TABANI!$B$9, 0) + (VERI_TABANI!D25*B358*(VERI_TABANI!$B$13-VERI_TABANI!$B$14)*VERI_TABANI!G25) + (VERI_TABANI!D25*C358*(VERI_TABANI!$B$13-VERI_TABANI!$B$15)*VERI_TABANI!G25) + IF(ABS(IF(ISNUMBER(SEARCH("Var", D358)), 1, IF(ISNUMBER(SEARCH("Gri", D358)), -1, 0)))=1, VERI_TABANI!E25*(1-0.928)*0.00206091519919798*VERI_TABANI!G25, 0)) + ((MIN(VERI_TABANI!D26, VERI_TABANI!D26*B358)*VERI_TABANI!$B$7 + MAX(0, VERI_TABANI!D26*B358-VERI_TABANI!D26)*VERI_TABANI!$B$8) + (MIN(MAX(0, VERI_TABANI!D26-VERI_TABANI!D26*B358), VERI_TABANI!D26*C358)*VERI_TABANI!$B$7 + MAX(0, VERI_TABANI!D26*C358-MAX(0, VERI_TABANI!D26-VERI_TABANI!D26*B358))*VERI_TABANI!$B$8) + IF(ABS(IF(ISNUMBER(SEARCH("Var", D358)), 1, IF(ISNUMBER(SEARCH("Gri", D358)), -1, 0)))=1, VERI_TABANI!E26*(1-0.928)*VERI_TABANI!$B$9, 0) + (VERI_TABANI!D26*B358*(VERI_TABANI!$B$13-VERI_TABANI!$B$14)*VERI_TABANI!G26) + (VERI_TABANI!D26*C358*(VERI_TABANI!$B$13-VERI_TABANI!$B$15)*VERI_TABANI!G26) + IF(ABS(IF(ISNUMBER(SEARCH("Var", D358)), 1, IF(ISNUMBER(SEARCH("Gri", D358)), -1, 0)))=1, VERI_TABANI!E26*(1-0.928)*0.00206091519919798*VERI_TABANI!G26, 0)) + ((MIN(VERI_TABANI!D27, VERI_TABANI!D27*B358)*VERI_TABANI!$B$7 + MAX(0, VERI_TABANI!D27*B358-VERI_TABANI!D27)*VERI_TABANI!$B$8) + (MIN(MAX(0, VERI_TABANI!D27-VERI_TABANI!D27*B358), VERI_TABANI!D27*C358)*VERI_TABANI!$B$7 + MAX(0, VERI_TABANI!D27*C358-MAX(0, VERI_TABANI!D27-VERI_TABANI!D27*B358))*VERI_TABANI!$B$8) + IF(ABS(IF(ISNUMBER(SEARCH("Var", D358)), 1, IF(ISNUMBER(SEARCH("Gri", D358)), -1, 0)))=1, VERI_TABANI!E27*(1-0.928)*VERI_TABANI!$B$9, 0) + (VERI_TABANI!D27*B358*(VERI_TABANI!$B$13-VERI_TABANI!$B$14)*VERI_TABANI!G27) + (VERI_TABANI!D27*C358*(VERI_TABANI!$B$13-VERI_TABANI!$B$15)*VERI_TABANI!G27) + IF(ABS(IF(ISNUMBER(SEARCH("Var", D358)), 1, IF(ISNUMBER(SEARCH("Gri", D358)), -1, 0)))=1, VERI_TABANI!E27*(1-0.928)*0.00206091519919798*VERI_TABANI!G27, 0)) + ((MIN(VERI_TABANI!D28, VERI_TABANI!D28*B358)*VERI_TABANI!$B$7 + MAX(0, VERI_TABANI!D28*B358-VERI_TABANI!D28)*VERI_TABANI!$B$8) + (MIN(MAX(0, VERI_TABANI!D28-VERI_TABANI!D28*B358), VERI_TABANI!D28*C358)*VERI_TABANI!$B$7 + MAX(0, VERI_TABANI!D28*C358-MAX(0, VERI_TABANI!D28-VERI_TABANI!D28*B358))*VERI_TABANI!$B$8) + IF(ABS(IF(ISNUMBER(SEARCH("Var", D358)), 1, IF(ISNUMBER(SEARCH("Gri", D358)), -1, 0)))=1, VERI_TABANI!E28*(1-0.928)*VERI_TABANI!$B$9, 0) + (VERI_TABANI!D28*B358*(VERI_TABANI!$B$13-VERI_TABANI!$B$14)*VERI_TABANI!G28) + (VERI_TABANI!D28*C358*(VERI_TABANI!$B$13-VERI_TABANI!$B$15)*VERI_TABANI!G28) + IF(ABS(IF(ISNUMBER(SEARCH("Var", D358)), 1, IF(ISNUMBER(SEARCH("Gri", D358)), -1, 0)))=1, VERI_TABANI!E28*(1-0.928)*0.00206091519919798*VERI_TABANI!G28, 0)))</f>
        <v/>
      </c>
      <c r="H358" s="169">
        <f>(((VERI_TABANI!D23*B358*(VERI_TABANI!$B$13-VERI_TABANI!$B$14)) + (VERI_TABANI!D23*C358*(VERI_TABANI!$B$13-VERI_TABANI!$B$15)) + IF(ISNUMBER(SEARCH("Var", D358)), VERI_TABANI!F23*(0.00202-VERI_TABANI!$B$16), IF(ISNUMBER(SEARCH("Gri", D358)), VERI_TABANI!F23*(0.00202-VERI_TABANI!$B$17), 0))) + ((VERI_TABANI!D24*B358*(VERI_TABANI!$B$13-VERI_TABANI!$B$14)) + (VERI_TABANI!D24*C358*(VERI_TABANI!$B$13-VERI_TABANI!$B$15)) + IF(ISNUMBER(SEARCH("Var", D358)), VERI_TABANI!F24*(0.00202-VERI_TABANI!$B$16), IF(ISNUMBER(SEARCH("Gri", D358)), VERI_TABANI!F24*(0.00202-VERI_TABANI!$B$17), 0))) + ((VERI_TABANI!D25*B358*(VERI_TABANI!$B$13-VERI_TABANI!$B$14)) + (VERI_TABANI!D25*C358*(VERI_TABANI!$B$13-VERI_TABANI!$B$15)) + IF(ISNUMBER(SEARCH("Var", D358)), VERI_TABANI!F25*(0.00202-VERI_TABANI!$B$16), IF(ISNUMBER(SEARCH("Gri", D358)), VERI_TABANI!F25*(0.00202-VERI_TABANI!$B$17), 0))) + ((VERI_TABANI!D26*B358*(VERI_TABANI!$B$13-VERI_TABANI!$B$14)) + (VERI_TABANI!D26*C358*(VERI_TABANI!$B$13-VERI_TABANI!$B$15)) + IF(ISNUMBER(SEARCH("Var", D358)), VERI_TABANI!F26*(0.00202-VERI_TABANI!$B$16), IF(ISNUMBER(SEARCH("Gri", D358)), VERI_TABANI!F26*(0.00202-VERI_TABANI!$B$17), 0))) + ((VERI_TABANI!D27*B358*(VERI_TABANI!$B$13-VERI_TABANI!$B$14)) + (VERI_TABANI!D27*C358*(VERI_TABANI!$B$13-VERI_TABANI!$B$15)) + IF(ISNUMBER(SEARCH("Var", D358)), VERI_TABANI!F27*(0.00202-VERI_TABANI!$B$16), IF(ISNUMBER(SEARCH("Gri", D358)), VERI_TABANI!F27*(0.00202-VERI_TABANI!$B$17), 0))) + ((VERI_TABANI!D28*B358*(VERI_TABANI!$B$13-VERI_TABANI!$B$14)) + (VERI_TABANI!D28*C358*(VERI_TABANI!$B$13-VERI_TABANI!$B$15)) + IF(ISNUMBER(SEARCH("Var", D358)), VERI_TABANI!F28*(0.00202-VERI_TABANI!$B$16), IF(ISNUMBER(SEARCH("Gri", D358)), VERI_TABANI!F28*(0.00202-VERI_TABANI!$B$17), 0))))</f>
        <v/>
      </c>
      <c r="I358" s="170">
        <f>IFERROR(((VERI_TABANI!$D$29*B358*VERI_TABANI!$B$14 + VERI_TABANI!$D$29*C358*VERI_TABANI!$B$15 + IF(ISNUMBER(SEARCH("Var", D358)), VERI_TABANI!$F$29*VERI_TABANI!$B$16, 0))) / (((VERI_TABANI!$D$29*B358 + VERI_TABANI!$D$29*C358)*VERI_TABANI!$B$13 + IF(ISNUMBER(SEARCH("Var", D358)), VERI_TABANI!$E$29*(1-0.928)*VERI_TABANI!$B$18, 0))), 0)</f>
        <v/>
      </c>
      <c r="J358" s="171">
        <f>IFERROR(F358/(G358/29), 0)</f>
        <v/>
      </c>
      <c r="K358" s="172">
        <f>IF(F358&gt;0, H358/F358, 0)</f>
        <v/>
      </c>
      <c r="L358" s="170">
        <f>IF(F358&gt;0, I358, 1000000000)</f>
        <v/>
      </c>
      <c r="M358" s="171">
        <f>ABS((B358+C358)-1)</f>
        <v/>
      </c>
      <c r="N358" s="170">
        <f>IF(F358&gt;0, (G358/29)/F358, 0)</f>
        <v/>
      </c>
      <c r="O358" s="168">
        <f>IF(AND((B358+C358)&gt;=1, ISNUMBER(SEARCH("Var", D358))), F358, 1000000000)</f>
        <v/>
      </c>
      <c r="P358" s="172">
        <f>IF(F358&gt;0, SQRT((F358/MAX(F$5:F$886))^2 + (1 - H358/MAX(H$5:H$886))^2 + (J358/MAX(J$5:J$886))^2), 1000000000)</f>
        <v/>
      </c>
      <c r="Q358" s="166">
        <f>IF(AND(ABS(B358-0.5)&lt;0.01, ABS(C358-0.5)&lt;0.01, ISNUMBER(SEARCH("Var", D358))), 1, 0)</f>
        <v/>
      </c>
      <c r="R358" s="171">
        <f>IF(F358&gt;0, J358, 1000000000)</f>
        <v/>
      </c>
      <c r="S358" s="101">
        <f>IF(AND(F358&lt;=DASHBOARD!$B$11, H358&gt;=DASHBOARD!$B$13), G358, -1000000000000)</f>
        <v/>
      </c>
      <c r="T358" s="101">
        <f>IF(AND(F358&lt;=DASHBOARD!$B$11, H358&gt;=DASHBOARD!$B$13), R358, 1000000000000)</f>
        <v/>
      </c>
      <c r="U358" s="101">
        <f>IF(AND(F358&lt;=DASHBOARD!$B$11, H358&gt;=DASHBOARD!$B$13), N358, -1000000000000)</f>
        <v/>
      </c>
      <c r="V358" s="101">
        <f>IF(AND(F358&lt;=DASHBOARD!$B$11, H358&gt;=DASHBOARD!$B$13), H358, -1000000000000)</f>
        <v/>
      </c>
      <c r="W358" s="101">
        <f>IF(AND(F358&lt;=DASHBOARD!$B$11, H358&gt;=DASHBOARD!$B$13), K358, -1000000000000)</f>
        <v/>
      </c>
      <c r="X358" s="101">
        <f>IF(AND(F358&lt;=DASHBOARD!$B$11, H358&gt;=DASHBOARD!$B$13), M358, 1000000000000)</f>
        <v/>
      </c>
      <c r="Y358" s="101">
        <f>IF(AND(F358&lt;=DASHBOARD!$B$10, H358&gt;=DASHBOARD!$B$11), L358, 1000000000000)</f>
        <v/>
      </c>
      <c r="Z358" s="101">
        <f>IF(AND(F358&lt;=DASHBOARD!$B$10, H358&gt;=DASHBOARD!$B$11), O358, 1000000000000)</f>
        <v/>
      </c>
      <c r="AA358" s="101">
        <f>IF(AND(F358&lt;=DASHBOARD!$B$10, H358&gt;=DASHBOARD!$B$11), P358, 1000000000000)</f>
        <v/>
      </c>
      <c r="AB358" s="101">
        <f>IF(AND(F358&lt;=DASHBOARD!$B$10, H358&gt;=DASHBOARD!$B$11), Q358, -1000000000000)</f>
        <v/>
      </c>
    </row>
    <row r="359" ht="15" customHeight="1" s="102">
      <c r="A359" s="166" t="n">
        <v>355</v>
      </c>
      <c r="B359" s="167" t="n">
        <v>0.8</v>
      </c>
      <c r="C359" s="167" t="n">
        <v>0.9</v>
      </c>
      <c r="D359" s="110" t="inlineStr">
        <is>
          <t>Yok (%0)</t>
        </is>
      </c>
      <c r="E359" s="110">
        <f>IF((B359+C359)&lt;=1, "Tam Mahsuplaşma (≤%100)", "Kısmi Satış (&gt;%100)")</f>
        <v/>
      </c>
      <c r="F359" s="168">
        <f>((VERI_TABANI!$D$29*B359/VERI_TABANI!$B$29)/VERI_TABANI!$B$3)*VERI_TABANI!$B$5 + ((VERI_TABANI!$D$29*C359/VERI_TABANI!$B$29)/VERI_TABANI!$B$4)*VERI_TABANI!$B$6 + IF(ISNUMBER(SEARCH("Var", D359)), (VERI_TABANI!$F$29/VERI_TABANI!$B$29)*(VERI_TABANI!$B$10+VERI_TABANI!$B$12), 0)</f>
        <v/>
      </c>
      <c r="G359" s="168">
        <f>(((MIN(VERI_TABANI!D23, VERI_TABANI!D23*B359)*VERI_TABANI!$B$7 + MAX(0, VERI_TABANI!D23*B359-VERI_TABANI!D23)*VERI_TABANI!$B$8) + (MIN(MAX(0, VERI_TABANI!D23-VERI_TABANI!D23*B359), VERI_TABANI!D23*C359)*VERI_TABANI!$B$7 + MAX(0, VERI_TABANI!D23*C359-MAX(0, VERI_TABANI!D23-VERI_TABANI!D23*B359))*VERI_TABANI!$B$8) + IF(ABS(IF(ISNUMBER(SEARCH("Var", D359)), 1, IF(ISNUMBER(SEARCH("Gri", D359)), -1, 0)))=1, VERI_TABANI!E23*(1-0.928)*VERI_TABANI!$B$9, 0) + (VERI_TABANI!D23*B359*(VERI_TABANI!$B$13-VERI_TABANI!$B$14)*VERI_TABANI!G23) + (VERI_TABANI!D23*C359*(VERI_TABANI!$B$13-VERI_TABANI!$B$15)*VERI_TABANI!G23) + IF(ABS(IF(ISNUMBER(SEARCH("Var", D359)), 1, IF(ISNUMBER(SEARCH("Gri", D359)), -1, 0)))=1, VERI_TABANI!E23*(1-0.928)*0.00206091519919798*VERI_TABANI!G23, 0)) + ((MIN(VERI_TABANI!D24, VERI_TABANI!D24*B359)*VERI_TABANI!$B$7 + MAX(0, VERI_TABANI!D24*B359-VERI_TABANI!D24)*VERI_TABANI!$B$8) + (MIN(MAX(0, VERI_TABANI!D24-VERI_TABANI!D24*B359), VERI_TABANI!D24*C359)*VERI_TABANI!$B$7 + MAX(0, VERI_TABANI!D24*C359-MAX(0, VERI_TABANI!D24-VERI_TABANI!D24*B359))*VERI_TABANI!$B$8) + IF(ABS(IF(ISNUMBER(SEARCH("Var", D359)), 1, IF(ISNUMBER(SEARCH("Gri", D359)), -1, 0)))=1, VERI_TABANI!E24*(1-0.928)*VERI_TABANI!$B$9, 0) + (VERI_TABANI!D24*B359*(VERI_TABANI!$B$13-VERI_TABANI!$B$14)*VERI_TABANI!G24) + (VERI_TABANI!D24*C359*(VERI_TABANI!$B$13-VERI_TABANI!$B$15)*VERI_TABANI!G24) + IF(ABS(IF(ISNUMBER(SEARCH("Var", D359)), 1, IF(ISNUMBER(SEARCH("Gri", D359)), -1, 0)))=1, VERI_TABANI!E24*(1-0.928)*0.00206091519919798*VERI_TABANI!G24, 0)) + ((MIN(VERI_TABANI!D25, VERI_TABANI!D25*B359)*VERI_TABANI!$B$7 + MAX(0, VERI_TABANI!D25*B359-VERI_TABANI!D25)*VERI_TABANI!$B$8) + (MIN(MAX(0, VERI_TABANI!D25-VERI_TABANI!D25*B359), VERI_TABANI!D25*C359)*VERI_TABANI!$B$7 + MAX(0, VERI_TABANI!D25*C359-MAX(0, VERI_TABANI!D25-VERI_TABANI!D25*B359))*VERI_TABANI!$B$8) + IF(ABS(IF(ISNUMBER(SEARCH("Var", D359)), 1, IF(ISNUMBER(SEARCH("Gri", D359)), -1, 0)))=1, VERI_TABANI!E25*(1-0.928)*VERI_TABANI!$B$9, 0) + (VERI_TABANI!D25*B359*(VERI_TABANI!$B$13-VERI_TABANI!$B$14)*VERI_TABANI!G25) + (VERI_TABANI!D25*C359*(VERI_TABANI!$B$13-VERI_TABANI!$B$15)*VERI_TABANI!G25) + IF(ABS(IF(ISNUMBER(SEARCH("Var", D359)), 1, IF(ISNUMBER(SEARCH("Gri", D359)), -1, 0)))=1, VERI_TABANI!E25*(1-0.928)*0.00206091519919798*VERI_TABANI!G25, 0)) + ((MIN(VERI_TABANI!D26, VERI_TABANI!D26*B359)*VERI_TABANI!$B$7 + MAX(0, VERI_TABANI!D26*B359-VERI_TABANI!D26)*VERI_TABANI!$B$8) + (MIN(MAX(0, VERI_TABANI!D26-VERI_TABANI!D26*B359), VERI_TABANI!D26*C359)*VERI_TABANI!$B$7 + MAX(0, VERI_TABANI!D26*C359-MAX(0, VERI_TABANI!D26-VERI_TABANI!D26*B359))*VERI_TABANI!$B$8) + IF(ABS(IF(ISNUMBER(SEARCH("Var", D359)), 1, IF(ISNUMBER(SEARCH("Gri", D359)), -1, 0)))=1, VERI_TABANI!E26*(1-0.928)*VERI_TABANI!$B$9, 0) + (VERI_TABANI!D26*B359*(VERI_TABANI!$B$13-VERI_TABANI!$B$14)*VERI_TABANI!G26) + (VERI_TABANI!D26*C359*(VERI_TABANI!$B$13-VERI_TABANI!$B$15)*VERI_TABANI!G26) + IF(ABS(IF(ISNUMBER(SEARCH("Var", D359)), 1, IF(ISNUMBER(SEARCH("Gri", D359)), -1, 0)))=1, VERI_TABANI!E26*(1-0.928)*0.00206091519919798*VERI_TABANI!G26, 0)) + ((MIN(VERI_TABANI!D27, VERI_TABANI!D27*B359)*VERI_TABANI!$B$7 + MAX(0, VERI_TABANI!D27*B359-VERI_TABANI!D27)*VERI_TABANI!$B$8) + (MIN(MAX(0, VERI_TABANI!D27-VERI_TABANI!D27*B359), VERI_TABANI!D27*C359)*VERI_TABANI!$B$7 + MAX(0, VERI_TABANI!D27*C359-MAX(0, VERI_TABANI!D27-VERI_TABANI!D27*B359))*VERI_TABANI!$B$8) + IF(ABS(IF(ISNUMBER(SEARCH("Var", D359)), 1, IF(ISNUMBER(SEARCH("Gri", D359)), -1, 0)))=1, VERI_TABANI!E27*(1-0.928)*VERI_TABANI!$B$9, 0) + (VERI_TABANI!D27*B359*(VERI_TABANI!$B$13-VERI_TABANI!$B$14)*VERI_TABANI!G27) + (VERI_TABANI!D27*C359*(VERI_TABANI!$B$13-VERI_TABANI!$B$15)*VERI_TABANI!G27) + IF(ABS(IF(ISNUMBER(SEARCH("Var", D359)), 1, IF(ISNUMBER(SEARCH("Gri", D359)), -1, 0)))=1, VERI_TABANI!E27*(1-0.928)*0.00206091519919798*VERI_TABANI!G27, 0)) + ((MIN(VERI_TABANI!D28, VERI_TABANI!D28*B359)*VERI_TABANI!$B$7 + MAX(0, VERI_TABANI!D28*B359-VERI_TABANI!D28)*VERI_TABANI!$B$8) + (MIN(MAX(0, VERI_TABANI!D28-VERI_TABANI!D28*B359), VERI_TABANI!D28*C359)*VERI_TABANI!$B$7 + MAX(0, VERI_TABANI!D28*C359-MAX(0, VERI_TABANI!D28-VERI_TABANI!D28*B359))*VERI_TABANI!$B$8) + IF(ABS(IF(ISNUMBER(SEARCH("Var", D359)), 1, IF(ISNUMBER(SEARCH("Gri", D359)), -1, 0)))=1, VERI_TABANI!E28*(1-0.928)*VERI_TABANI!$B$9, 0) + (VERI_TABANI!D28*B359*(VERI_TABANI!$B$13-VERI_TABANI!$B$14)*VERI_TABANI!G28) + (VERI_TABANI!D28*C359*(VERI_TABANI!$B$13-VERI_TABANI!$B$15)*VERI_TABANI!G28) + IF(ABS(IF(ISNUMBER(SEARCH("Var", D359)), 1, IF(ISNUMBER(SEARCH("Gri", D359)), -1, 0)))=1, VERI_TABANI!E28*(1-0.928)*0.00206091519919798*VERI_TABANI!G28, 0)))</f>
        <v/>
      </c>
      <c r="H359" s="169">
        <f>(((VERI_TABANI!D23*B359*(VERI_TABANI!$B$13-VERI_TABANI!$B$14)) + (VERI_TABANI!D23*C359*(VERI_TABANI!$B$13-VERI_TABANI!$B$15)) + IF(ISNUMBER(SEARCH("Var", D359)), VERI_TABANI!F23*(0.00202-VERI_TABANI!$B$16), IF(ISNUMBER(SEARCH("Gri", D359)), VERI_TABANI!F23*(0.00202-VERI_TABANI!$B$17), 0))) + ((VERI_TABANI!D24*B359*(VERI_TABANI!$B$13-VERI_TABANI!$B$14)) + (VERI_TABANI!D24*C359*(VERI_TABANI!$B$13-VERI_TABANI!$B$15)) + IF(ISNUMBER(SEARCH("Var", D359)), VERI_TABANI!F24*(0.00202-VERI_TABANI!$B$16), IF(ISNUMBER(SEARCH("Gri", D359)), VERI_TABANI!F24*(0.00202-VERI_TABANI!$B$17), 0))) + ((VERI_TABANI!D25*B359*(VERI_TABANI!$B$13-VERI_TABANI!$B$14)) + (VERI_TABANI!D25*C359*(VERI_TABANI!$B$13-VERI_TABANI!$B$15)) + IF(ISNUMBER(SEARCH("Var", D359)), VERI_TABANI!F25*(0.00202-VERI_TABANI!$B$16), IF(ISNUMBER(SEARCH("Gri", D359)), VERI_TABANI!F25*(0.00202-VERI_TABANI!$B$17), 0))) + ((VERI_TABANI!D26*B359*(VERI_TABANI!$B$13-VERI_TABANI!$B$14)) + (VERI_TABANI!D26*C359*(VERI_TABANI!$B$13-VERI_TABANI!$B$15)) + IF(ISNUMBER(SEARCH("Var", D359)), VERI_TABANI!F26*(0.00202-VERI_TABANI!$B$16), IF(ISNUMBER(SEARCH("Gri", D359)), VERI_TABANI!F26*(0.00202-VERI_TABANI!$B$17), 0))) + ((VERI_TABANI!D27*B359*(VERI_TABANI!$B$13-VERI_TABANI!$B$14)) + (VERI_TABANI!D27*C359*(VERI_TABANI!$B$13-VERI_TABANI!$B$15)) + IF(ISNUMBER(SEARCH("Var", D359)), VERI_TABANI!F27*(0.00202-VERI_TABANI!$B$16), IF(ISNUMBER(SEARCH("Gri", D359)), VERI_TABANI!F27*(0.00202-VERI_TABANI!$B$17), 0))) + ((VERI_TABANI!D28*B359*(VERI_TABANI!$B$13-VERI_TABANI!$B$14)) + (VERI_TABANI!D28*C359*(VERI_TABANI!$B$13-VERI_TABANI!$B$15)) + IF(ISNUMBER(SEARCH("Var", D359)), VERI_TABANI!F28*(0.00202-VERI_TABANI!$B$16), IF(ISNUMBER(SEARCH("Gri", D359)), VERI_TABANI!F28*(0.00202-VERI_TABANI!$B$17), 0))))</f>
        <v/>
      </c>
      <c r="I359" s="170">
        <f>IFERROR(((VERI_TABANI!$D$29*B359*VERI_TABANI!$B$14 + VERI_TABANI!$D$29*C359*VERI_TABANI!$B$15 + IF(ISNUMBER(SEARCH("Var", D359)), VERI_TABANI!$F$29*VERI_TABANI!$B$16, 0))) / (((VERI_TABANI!$D$29*B359 + VERI_TABANI!$D$29*C359)*VERI_TABANI!$B$13 + IF(ISNUMBER(SEARCH("Var", D359)), VERI_TABANI!$E$29*(1-0.928)*VERI_TABANI!$B$18, 0))), 0)</f>
        <v/>
      </c>
      <c r="J359" s="171">
        <f>IFERROR(F359/(G359/29), 0)</f>
        <v/>
      </c>
      <c r="K359" s="172">
        <f>IF(F359&gt;0, H359/F359, 0)</f>
        <v/>
      </c>
      <c r="L359" s="170">
        <f>IF(F359&gt;0, I359, 1000000000)</f>
        <v/>
      </c>
      <c r="M359" s="171">
        <f>ABS((B359+C359)-1)</f>
        <v/>
      </c>
      <c r="N359" s="170">
        <f>IF(F359&gt;0, (G359/29)/F359, 0)</f>
        <v/>
      </c>
      <c r="O359" s="168">
        <f>IF(AND((B359+C359)&gt;=1, ISNUMBER(SEARCH("Var", D359))), F359, 1000000000)</f>
        <v/>
      </c>
      <c r="P359" s="172">
        <f>IF(F359&gt;0, SQRT((F359/MAX(F$5:F$886))^2 + (1 - H359/MAX(H$5:H$886))^2 + (J359/MAX(J$5:J$886))^2), 1000000000)</f>
        <v/>
      </c>
      <c r="Q359" s="166">
        <f>IF(AND(ABS(B359-0.5)&lt;0.01, ABS(C359-0.5)&lt;0.01, ISNUMBER(SEARCH("Var", D359))), 1, 0)</f>
        <v/>
      </c>
      <c r="R359" s="171">
        <f>IF(F359&gt;0, J359, 1000000000)</f>
        <v/>
      </c>
      <c r="S359" s="101">
        <f>IF(AND(F359&lt;=DASHBOARD!$B$11, H359&gt;=DASHBOARD!$B$13), G359, -1000000000000)</f>
        <v/>
      </c>
      <c r="T359" s="101">
        <f>IF(AND(F359&lt;=DASHBOARD!$B$11, H359&gt;=DASHBOARD!$B$13), R359, 1000000000000)</f>
        <v/>
      </c>
      <c r="U359" s="101">
        <f>IF(AND(F359&lt;=DASHBOARD!$B$11, H359&gt;=DASHBOARD!$B$13), N359, -1000000000000)</f>
        <v/>
      </c>
      <c r="V359" s="101">
        <f>IF(AND(F359&lt;=DASHBOARD!$B$11, H359&gt;=DASHBOARD!$B$13), H359, -1000000000000)</f>
        <v/>
      </c>
      <c r="W359" s="101">
        <f>IF(AND(F359&lt;=DASHBOARD!$B$11, H359&gt;=DASHBOARD!$B$13), K359, -1000000000000)</f>
        <v/>
      </c>
      <c r="X359" s="101">
        <f>IF(AND(F359&lt;=DASHBOARD!$B$11, H359&gt;=DASHBOARD!$B$13), M359, 1000000000000)</f>
        <v/>
      </c>
      <c r="Y359" s="101">
        <f>IF(AND(F359&lt;=DASHBOARD!$B$10, H359&gt;=DASHBOARD!$B$11), L359, 1000000000000)</f>
        <v/>
      </c>
      <c r="Z359" s="101">
        <f>IF(AND(F359&lt;=DASHBOARD!$B$10, H359&gt;=DASHBOARD!$B$11), O359, 1000000000000)</f>
        <v/>
      </c>
      <c r="AA359" s="101">
        <f>IF(AND(F359&lt;=DASHBOARD!$B$10, H359&gt;=DASHBOARD!$B$11), P359, 1000000000000)</f>
        <v/>
      </c>
      <c r="AB359" s="101">
        <f>IF(AND(F359&lt;=DASHBOARD!$B$10, H359&gt;=DASHBOARD!$B$11), Q359, -1000000000000)</f>
        <v/>
      </c>
    </row>
    <row r="360" ht="15" customHeight="1" s="102">
      <c r="A360" s="166" t="n">
        <v>356</v>
      </c>
      <c r="B360" s="167" t="n">
        <v>0.8</v>
      </c>
      <c r="C360" s="167" t="n">
        <v>0.9</v>
      </c>
      <c r="D360" s="110" t="inlineStr">
        <is>
          <t>Var (%20)</t>
        </is>
      </c>
      <c r="E360" s="110">
        <f>IF((B360+C360)&lt;=1, "Tam Mahsuplaşma (≤%100)", "Kısmi Satış (&gt;%100)")</f>
        <v/>
      </c>
      <c r="F360" s="168">
        <f>((VERI_TABANI!$D$29*B360/VERI_TABANI!$B$29)/VERI_TABANI!$B$3)*VERI_TABANI!$B$5 + ((VERI_TABANI!$D$29*C360/VERI_TABANI!$B$29)/VERI_TABANI!$B$4)*VERI_TABANI!$B$6 + IF(ISNUMBER(SEARCH("Var", D360)), (VERI_TABANI!$F$29/VERI_TABANI!$B$29)*(VERI_TABANI!$B$10+VERI_TABANI!$B$12), 0)</f>
        <v/>
      </c>
      <c r="G360" s="168">
        <f>(((MIN(VERI_TABANI!D23, VERI_TABANI!D23*B360)*VERI_TABANI!$B$7 + MAX(0, VERI_TABANI!D23*B360-VERI_TABANI!D23)*VERI_TABANI!$B$8) + (MIN(MAX(0, VERI_TABANI!D23-VERI_TABANI!D23*B360), VERI_TABANI!D23*C360)*VERI_TABANI!$B$7 + MAX(0, VERI_TABANI!D23*C360-MAX(0, VERI_TABANI!D23-VERI_TABANI!D23*B360))*VERI_TABANI!$B$8) + IF(ABS(IF(ISNUMBER(SEARCH("Var", D360)), 1, IF(ISNUMBER(SEARCH("Gri", D360)), -1, 0)))=1, VERI_TABANI!E23*(1-0.928)*VERI_TABANI!$B$9, 0) + (VERI_TABANI!D23*B360*(VERI_TABANI!$B$13-VERI_TABANI!$B$14)*VERI_TABANI!G23) + (VERI_TABANI!D23*C360*(VERI_TABANI!$B$13-VERI_TABANI!$B$15)*VERI_TABANI!G23) + IF(ABS(IF(ISNUMBER(SEARCH("Var", D360)), 1, IF(ISNUMBER(SEARCH("Gri", D360)), -1, 0)))=1, VERI_TABANI!E23*(1-0.928)*0.00206091519919798*VERI_TABANI!G23, 0)) + ((MIN(VERI_TABANI!D24, VERI_TABANI!D24*B360)*VERI_TABANI!$B$7 + MAX(0, VERI_TABANI!D24*B360-VERI_TABANI!D24)*VERI_TABANI!$B$8) + (MIN(MAX(0, VERI_TABANI!D24-VERI_TABANI!D24*B360), VERI_TABANI!D24*C360)*VERI_TABANI!$B$7 + MAX(0, VERI_TABANI!D24*C360-MAX(0, VERI_TABANI!D24-VERI_TABANI!D24*B360))*VERI_TABANI!$B$8) + IF(ABS(IF(ISNUMBER(SEARCH("Var", D360)), 1, IF(ISNUMBER(SEARCH("Gri", D360)), -1, 0)))=1, VERI_TABANI!E24*(1-0.928)*VERI_TABANI!$B$9, 0) + (VERI_TABANI!D24*B360*(VERI_TABANI!$B$13-VERI_TABANI!$B$14)*VERI_TABANI!G24) + (VERI_TABANI!D24*C360*(VERI_TABANI!$B$13-VERI_TABANI!$B$15)*VERI_TABANI!G24) + IF(ABS(IF(ISNUMBER(SEARCH("Var", D360)), 1, IF(ISNUMBER(SEARCH("Gri", D360)), -1, 0)))=1, VERI_TABANI!E24*(1-0.928)*0.00206091519919798*VERI_TABANI!G24, 0)) + ((MIN(VERI_TABANI!D25, VERI_TABANI!D25*B360)*VERI_TABANI!$B$7 + MAX(0, VERI_TABANI!D25*B360-VERI_TABANI!D25)*VERI_TABANI!$B$8) + (MIN(MAX(0, VERI_TABANI!D25-VERI_TABANI!D25*B360), VERI_TABANI!D25*C360)*VERI_TABANI!$B$7 + MAX(0, VERI_TABANI!D25*C360-MAX(0, VERI_TABANI!D25-VERI_TABANI!D25*B360))*VERI_TABANI!$B$8) + IF(ABS(IF(ISNUMBER(SEARCH("Var", D360)), 1, IF(ISNUMBER(SEARCH("Gri", D360)), -1, 0)))=1, VERI_TABANI!E25*(1-0.928)*VERI_TABANI!$B$9, 0) + (VERI_TABANI!D25*B360*(VERI_TABANI!$B$13-VERI_TABANI!$B$14)*VERI_TABANI!G25) + (VERI_TABANI!D25*C360*(VERI_TABANI!$B$13-VERI_TABANI!$B$15)*VERI_TABANI!G25) + IF(ABS(IF(ISNUMBER(SEARCH("Var", D360)), 1, IF(ISNUMBER(SEARCH("Gri", D360)), -1, 0)))=1, VERI_TABANI!E25*(1-0.928)*0.00206091519919798*VERI_TABANI!G25, 0)) + ((MIN(VERI_TABANI!D26, VERI_TABANI!D26*B360)*VERI_TABANI!$B$7 + MAX(0, VERI_TABANI!D26*B360-VERI_TABANI!D26)*VERI_TABANI!$B$8) + (MIN(MAX(0, VERI_TABANI!D26-VERI_TABANI!D26*B360), VERI_TABANI!D26*C360)*VERI_TABANI!$B$7 + MAX(0, VERI_TABANI!D26*C360-MAX(0, VERI_TABANI!D26-VERI_TABANI!D26*B360))*VERI_TABANI!$B$8) + IF(ABS(IF(ISNUMBER(SEARCH("Var", D360)), 1, IF(ISNUMBER(SEARCH("Gri", D360)), -1, 0)))=1, VERI_TABANI!E26*(1-0.928)*VERI_TABANI!$B$9, 0) + (VERI_TABANI!D26*B360*(VERI_TABANI!$B$13-VERI_TABANI!$B$14)*VERI_TABANI!G26) + (VERI_TABANI!D26*C360*(VERI_TABANI!$B$13-VERI_TABANI!$B$15)*VERI_TABANI!G26) + IF(ABS(IF(ISNUMBER(SEARCH("Var", D360)), 1, IF(ISNUMBER(SEARCH("Gri", D360)), -1, 0)))=1, VERI_TABANI!E26*(1-0.928)*0.00206091519919798*VERI_TABANI!G26, 0)) + ((MIN(VERI_TABANI!D27, VERI_TABANI!D27*B360)*VERI_TABANI!$B$7 + MAX(0, VERI_TABANI!D27*B360-VERI_TABANI!D27)*VERI_TABANI!$B$8) + (MIN(MAX(0, VERI_TABANI!D27-VERI_TABANI!D27*B360), VERI_TABANI!D27*C360)*VERI_TABANI!$B$7 + MAX(0, VERI_TABANI!D27*C360-MAX(0, VERI_TABANI!D27-VERI_TABANI!D27*B360))*VERI_TABANI!$B$8) + IF(ABS(IF(ISNUMBER(SEARCH("Var", D360)), 1, IF(ISNUMBER(SEARCH("Gri", D360)), -1, 0)))=1, VERI_TABANI!E27*(1-0.928)*VERI_TABANI!$B$9, 0) + (VERI_TABANI!D27*B360*(VERI_TABANI!$B$13-VERI_TABANI!$B$14)*VERI_TABANI!G27) + (VERI_TABANI!D27*C360*(VERI_TABANI!$B$13-VERI_TABANI!$B$15)*VERI_TABANI!G27) + IF(ABS(IF(ISNUMBER(SEARCH("Var", D360)), 1, IF(ISNUMBER(SEARCH("Gri", D360)), -1, 0)))=1, VERI_TABANI!E27*(1-0.928)*0.00206091519919798*VERI_TABANI!G27, 0)) + ((MIN(VERI_TABANI!D28, VERI_TABANI!D28*B360)*VERI_TABANI!$B$7 + MAX(0, VERI_TABANI!D28*B360-VERI_TABANI!D28)*VERI_TABANI!$B$8) + (MIN(MAX(0, VERI_TABANI!D28-VERI_TABANI!D28*B360), VERI_TABANI!D28*C360)*VERI_TABANI!$B$7 + MAX(0, VERI_TABANI!D28*C360-MAX(0, VERI_TABANI!D28-VERI_TABANI!D28*B360))*VERI_TABANI!$B$8) + IF(ABS(IF(ISNUMBER(SEARCH("Var", D360)), 1, IF(ISNUMBER(SEARCH("Gri", D360)), -1, 0)))=1, VERI_TABANI!E28*(1-0.928)*VERI_TABANI!$B$9, 0) + (VERI_TABANI!D28*B360*(VERI_TABANI!$B$13-VERI_TABANI!$B$14)*VERI_TABANI!G28) + (VERI_TABANI!D28*C360*(VERI_TABANI!$B$13-VERI_TABANI!$B$15)*VERI_TABANI!G28) + IF(ABS(IF(ISNUMBER(SEARCH("Var", D360)), 1, IF(ISNUMBER(SEARCH("Gri", D360)), -1, 0)))=1, VERI_TABANI!E28*(1-0.928)*0.00206091519919798*VERI_TABANI!G28, 0)))</f>
        <v/>
      </c>
      <c r="H360" s="169">
        <f>(((VERI_TABANI!D23*B360*(VERI_TABANI!$B$13-VERI_TABANI!$B$14)) + (VERI_TABANI!D23*C360*(VERI_TABANI!$B$13-VERI_TABANI!$B$15)) + IF(ISNUMBER(SEARCH("Var", D360)), VERI_TABANI!F23*(0.00202-VERI_TABANI!$B$16), IF(ISNUMBER(SEARCH("Gri", D360)), VERI_TABANI!F23*(0.00202-VERI_TABANI!$B$17), 0))) + ((VERI_TABANI!D24*B360*(VERI_TABANI!$B$13-VERI_TABANI!$B$14)) + (VERI_TABANI!D24*C360*(VERI_TABANI!$B$13-VERI_TABANI!$B$15)) + IF(ISNUMBER(SEARCH("Var", D360)), VERI_TABANI!F24*(0.00202-VERI_TABANI!$B$16), IF(ISNUMBER(SEARCH("Gri", D360)), VERI_TABANI!F24*(0.00202-VERI_TABANI!$B$17), 0))) + ((VERI_TABANI!D25*B360*(VERI_TABANI!$B$13-VERI_TABANI!$B$14)) + (VERI_TABANI!D25*C360*(VERI_TABANI!$B$13-VERI_TABANI!$B$15)) + IF(ISNUMBER(SEARCH("Var", D360)), VERI_TABANI!F25*(0.00202-VERI_TABANI!$B$16), IF(ISNUMBER(SEARCH("Gri", D360)), VERI_TABANI!F25*(0.00202-VERI_TABANI!$B$17), 0))) + ((VERI_TABANI!D26*B360*(VERI_TABANI!$B$13-VERI_TABANI!$B$14)) + (VERI_TABANI!D26*C360*(VERI_TABANI!$B$13-VERI_TABANI!$B$15)) + IF(ISNUMBER(SEARCH("Var", D360)), VERI_TABANI!F26*(0.00202-VERI_TABANI!$B$16), IF(ISNUMBER(SEARCH("Gri", D360)), VERI_TABANI!F26*(0.00202-VERI_TABANI!$B$17), 0))) + ((VERI_TABANI!D27*B360*(VERI_TABANI!$B$13-VERI_TABANI!$B$14)) + (VERI_TABANI!D27*C360*(VERI_TABANI!$B$13-VERI_TABANI!$B$15)) + IF(ISNUMBER(SEARCH("Var", D360)), VERI_TABANI!F27*(0.00202-VERI_TABANI!$B$16), IF(ISNUMBER(SEARCH("Gri", D360)), VERI_TABANI!F27*(0.00202-VERI_TABANI!$B$17), 0))) + ((VERI_TABANI!D28*B360*(VERI_TABANI!$B$13-VERI_TABANI!$B$14)) + (VERI_TABANI!D28*C360*(VERI_TABANI!$B$13-VERI_TABANI!$B$15)) + IF(ISNUMBER(SEARCH("Var", D360)), VERI_TABANI!F28*(0.00202-VERI_TABANI!$B$16), IF(ISNUMBER(SEARCH("Gri", D360)), VERI_TABANI!F28*(0.00202-VERI_TABANI!$B$17), 0))))</f>
        <v/>
      </c>
      <c r="I360" s="170">
        <f>IFERROR(((VERI_TABANI!$D$29*B360*VERI_TABANI!$B$14 + VERI_TABANI!$D$29*C360*VERI_TABANI!$B$15 + IF(ISNUMBER(SEARCH("Var", D360)), VERI_TABANI!$F$29*VERI_TABANI!$B$16, 0))) / (((VERI_TABANI!$D$29*B360 + VERI_TABANI!$D$29*C360)*VERI_TABANI!$B$13 + IF(ISNUMBER(SEARCH("Var", D360)), VERI_TABANI!$E$29*(1-0.928)*VERI_TABANI!$B$18, 0))), 0)</f>
        <v/>
      </c>
      <c r="J360" s="171">
        <f>IFERROR(F360/(G360/29), 0)</f>
        <v/>
      </c>
      <c r="K360" s="172">
        <f>IF(F360&gt;0, H360/F360, 0)</f>
        <v/>
      </c>
      <c r="L360" s="170">
        <f>IF(F360&gt;0, I360, 1000000000)</f>
        <v/>
      </c>
      <c r="M360" s="171">
        <f>ABS((B360+C360)-1)</f>
        <v/>
      </c>
      <c r="N360" s="170">
        <f>IF(F360&gt;0, (G360/29)/F360, 0)</f>
        <v/>
      </c>
      <c r="O360" s="168">
        <f>IF(AND((B360+C360)&gt;=1, ISNUMBER(SEARCH("Var", D360))), F360, 1000000000)</f>
        <v/>
      </c>
      <c r="P360" s="172">
        <f>IF(F360&gt;0, SQRT((F360/MAX(F$5:F$886))^2 + (1 - H360/MAX(H$5:H$886))^2 + (J360/MAX(J$5:J$886))^2), 1000000000)</f>
        <v/>
      </c>
      <c r="Q360" s="166">
        <f>IF(AND(ABS(B360-0.5)&lt;0.01, ABS(C360-0.5)&lt;0.01, ISNUMBER(SEARCH("Var", D360))), 1, 0)</f>
        <v/>
      </c>
      <c r="R360" s="171">
        <f>IF(F360&gt;0, J360, 1000000000)</f>
        <v/>
      </c>
      <c r="S360" s="101">
        <f>IF(AND(F360&lt;=DASHBOARD!$B$11, H360&gt;=DASHBOARD!$B$13), G360, -1000000000000)</f>
        <v/>
      </c>
      <c r="T360" s="101">
        <f>IF(AND(F360&lt;=DASHBOARD!$B$11, H360&gt;=DASHBOARD!$B$13), R360, 1000000000000)</f>
        <v/>
      </c>
      <c r="U360" s="101">
        <f>IF(AND(F360&lt;=DASHBOARD!$B$11, H360&gt;=DASHBOARD!$B$13), N360, -1000000000000)</f>
        <v/>
      </c>
      <c r="V360" s="101">
        <f>IF(AND(F360&lt;=DASHBOARD!$B$11, H360&gt;=DASHBOARD!$B$13), H360, -1000000000000)</f>
        <v/>
      </c>
      <c r="W360" s="101">
        <f>IF(AND(F360&lt;=DASHBOARD!$B$11, H360&gt;=DASHBOARD!$B$13), K360, -1000000000000)</f>
        <v/>
      </c>
      <c r="X360" s="101">
        <f>IF(AND(F360&lt;=DASHBOARD!$B$11, H360&gt;=DASHBOARD!$B$13), M360, 1000000000000)</f>
        <v/>
      </c>
      <c r="Y360" s="101">
        <f>IF(AND(F360&lt;=DASHBOARD!$B$10, H360&gt;=DASHBOARD!$B$11), L360, 1000000000000)</f>
        <v/>
      </c>
      <c r="Z360" s="101">
        <f>IF(AND(F360&lt;=DASHBOARD!$B$10, H360&gt;=DASHBOARD!$B$11), O360, 1000000000000)</f>
        <v/>
      </c>
      <c r="AA360" s="101">
        <f>IF(AND(F360&lt;=DASHBOARD!$B$10, H360&gt;=DASHBOARD!$B$11), P360, 1000000000000)</f>
        <v/>
      </c>
      <c r="AB360" s="101">
        <f>IF(AND(F360&lt;=DASHBOARD!$B$10, H360&gt;=DASHBOARD!$B$11), Q360, -1000000000000)</f>
        <v/>
      </c>
    </row>
    <row r="361" ht="15" customHeight="1" s="102">
      <c r="A361" s="166" t="n">
        <v>357</v>
      </c>
      <c r="B361" s="167" t="n">
        <v>0.8</v>
      </c>
      <c r="C361" s="167" t="n">
        <v>1</v>
      </c>
      <c r="D361" s="110" t="inlineStr">
        <is>
          <t>Yok (%0)</t>
        </is>
      </c>
      <c r="E361" s="110">
        <f>IF((B361+C361)&lt;=1, "Tam Mahsuplaşma (≤%100)", "Kısmi Satış (&gt;%100)")</f>
        <v/>
      </c>
      <c r="F361" s="168">
        <f>((VERI_TABANI!$D$29*B361/VERI_TABANI!$B$29)/VERI_TABANI!$B$3)*VERI_TABANI!$B$5 + ((VERI_TABANI!$D$29*C361/VERI_TABANI!$B$29)/VERI_TABANI!$B$4)*VERI_TABANI!$B$6 + IF(ISNUMBER(SEARCH("Var", D361)), (VERI_TABANI!$F$29/VERI_TABANI!$B$29)*(VERI_TABANI!$B$10+VERI_TABANI!$B$12), 0)</f>
        <v/>
      </c>
      <c r="G361" s="168">
        <f>(((MIN(VERI_TABANI!D23, VERI_TABANI!D23*B361)*VERI_TABANI!$B$7 + MAX(0, VERI_TABANI!D23*B361-VERI_TABANI!D23)*VERI_TABANI!$B$8) + (MIN(MAX(0, VERI_TABANI!D23-VERI_TABANI!D23*B361), VERI_TABANI!D23*C361)*VERI_TABANI!$B$7 + MAX(0, VERI_TABANI!D23*C361-MAX(0, VERI_TABANI!D23-VERI_TABANI!D23*B361))*VERI_TABANI!$B$8) + IF(ABS(IF(ISNUMBER(SEARCH("Var", D361)), 1, IF(ISNUMBER(SEARCH("Gri", D361)), -1, 0)))=1, VERI_TABANI!E23*(1-0.928)*VERI_TABANI!$B$9, 0) + (VERI_TABANI!D23*B361*(VERI_TABANI!$B$13-VERI_TABANI!$B$14)*VERI_TABANI!G23) + (VERI_TABANI!D23*C361*(VERI_TABANI!$B$13-VERI_TABANI!$B$15)*VERI_TABANI!G23) + IF(ABS(IF(ISNUMBER(SEARCH("Var", D361)), 1, IF(ISNUMBER(SEARCH("Gri", D361)), -1, 0)))=1, VERI_TABANI!E23*(1-0.928)*0.00206091519919798*VERI_TABANI!G23, 0)) + ((MIN(VERI_TABANI!D24, VERI_TABANI!D24*B361)*VERI_TABANI!$B$7 + MAX(0, VERI_TABANI!D24*B361-VERI_TABANI!D24)*VERI_TABANI!$B$8) + (MIN(MAX(0, VERI_TABANI!D24-VERI_TABANI!D24*B361), VERI_TABANI!D24*C361)*VERI_TABANI!$B$7 + MAX(0, VERI_TABANI!D24*C361-MAX(0, VERI_TABANI!D24-VERI_TABANI!D24*B361))*VERI_TABANI!$B$8) + IF(ABS(IF(ISNUMBER(SEARCH("Var", D361)), 1, IF(ISNUMBER(SEARCH("Gri", D361)), -1, 0)))=1, VERI_TABANI!E24*(1-0.928)*VERI_TABANI!$B$9, 0) + (VERI_TABANI!D24*B361*(VERI_TABANI!$B$13-VERI_TABANI!$B$14)*VERI_TABANI!G24) + (VERI_TABANI!D24*C361*(VERI_TABANI!$B$13-VERI_TABANI!$B$15)*VERI_TABANI!G24) + IF(ABS(IF(ISNUMBER(SEARCH("Var", D361)), 1, IF(ISNUMBER(SEARCH("Gri", D361)), -1, 0)))=1, VERI_TABANI!E24*(1-0.928)*0.00206091519919798*VERI_TABANI!G24, 0)) + ((MIN(VERI_TABANI!D25, VERI_TABANI!D25*B361)*VERI_TABANI!$B$7 + MAX(0, VERI_TABANI!D25*B361-VERI_TABANI!D25)*VERI_TABANI!$B$8) + (MIN(MAX(0, VERI_TABANI!D25-VERI_TABANI!D25*B361), VERI_TABANI!D25*C361)*VERI_TABANI!$B$7 + MAX(0, VERI_TABANI!D25*C361-MAX(0, VERI_TABANI!D25-VERI_TABANI!D25*B361))*VERI_TABANI!$B$8) + IF(ABS(IF(ISNUMBER(SEARCH("Var", D361)), 1, IF(ISNUMBER(SEARCH("Gri", D361)), -1, 0)))=1, VERI_TABANI!E25*(1-0.928)*VERI_TABANI!$B$9, 0) + (VERI_TABANI!D25*B361*(VERI_TABANI!$B$13-VERI_TABANI!$B$14)*VERI_TABANI!G25) + (VERI_TABANI!D25*C361*(VERI_TABANI!$B$13-VERI_TABANI!$B$15)*VERI_TABANI!G25) + IF(ABS(IF(ISNUMBER(SEARCH("Var", D361)), 1, IF(ISNUMBER(SEARCH("Gri", D361)), -1, 0)))=1, VERI_TABANI!E25*(1-0.928)*0.00206091519919798*VERI_TABANI!G25, 0)) + ((MIN(VERI_TABANI!D26, VERI_TABANI!D26*B361)*VERI_TABANI!$B$7 + MAX(0, VERI_TABANI!D26*B361-VERI_TABANI!D26)*VERI_TABANI!$B$8) + (MIN(MAX(0, VERI_TABANI!D26-VERI_TABANI!D26*B361), VERI_TABANI!D26*C361)*VERI_TABANI!$B$7 + MAX(0, VERI_TABANI!D26*C361-MAX(0, VERI_TABANI!D26-VERI_TABANI!D26*B361))*VERI_TABANI!$B$8) + IF(ABS(IF(ISNUMBER(SEARCH("Var", D361)), 1, IF(ISNUMBER(SEARCH("Gri", D361)), -1, 0)))=1, VERI_TABANI!E26*(1-0.928)*VERI_TABANI!$B$9, 0) + (VERI_TABANI!D26*B361*(VERI_TABANI!$B$13-VERI_TABANI!$B$14)*VERI_TABANI!G26) + (VERI_TABANI!D26*C361*(VERI_TABANI!$B$13-VERI_TABANI!$B$15)*VERI_TABANI!G26) + IF(ABS(IF(ISNUMBER(SEARCH("Var", D361)), 1, IF(ISNUMBER(SEARCH("Gri", D361)), -1, 0)))=1, VERI_TABANI!E26*(1-0.928)*0.00206091519919798*VERI_TABANI!G26, 0)) + ((MIN(VERI_TABANI!D27, VERI_TABANI!D27*B361)*VERI_TABANI!$B$7 + MAX(0, VERI_TABANI!D27*B361-VERI_TABANI!D27)*VERI_TABANI!$B$8) + (MIN(MAX(0, VERI_TABANI!D27-VERI_TABANI!D27*B361), VERI_TABANI!D27*C361)*VERI_TABANI!$B$7 + MAX(0, VERI_TABANI!D27*C361-MAX(0, VERI_TABANI!D27-VERI_TABANI!D27*B361))*VERI_TABANI!$B$8) + IF(ABS(IF(ISNUMBER(SEARCH("Var", D361)), 1, IF(ISNUMBER(SEARCH("Gri", D361)), -1, 0)))=1, VERI_TABANI!E27*(1-0.928)*VERI_TABANI!$B$9, 0) + (VERI_TABANI!D27*B361*(VERI_TABANI!$B$13-VERI_TABANI!$B$14)*VERI_TABANI!G27) + (VERI_TABANI!D27*C361*(VERI_TABANI!$B$13-VERI_TABANI!$B$15)*VERI_TABANI!G27) + IF(ABS(IF(ISNUMBER(SEARCH("Var", D361)), 1, IF(ISNUMBER(SEARCH("Gri", D361)), -1, 0)))=1, VERI_TABANI!E27*(1-0.928)*0.00206091519919798*VERI_TABANI!G27, 0)) + ((MIN(VERI_TABANI!D28, VERI_TABANI!D28*B361)*VERI_TABANI!$B$7 + MAX(0, VERI_TABANI!D28*B361-VERI_TABANI!D28)*VERI_TABANI!$B$8) + (MIN(MAX(0, VERI_TABANI!D28-VERI_TABANI!D28*B361), VERI_TABANI!D28*C361)*VERI_TABANI!$B$7 + MAX(0, VERI_TABANI!D28*C361-MAX(0, VERI_TABANI!D28-VERI_TABANI!D28*B361))*VERI_TABANI!$B$8) + IF(ABS(IF(ISNUMBER(SEARCH("Var", D361)), 1, IF(ISNUMBER(SEARCH("Gri", D361)), -1, 0)))=1, VERI_TABANI!E28*(1-0.928)*VERI_TABANI!$B$9, 0) + (VERI_TABANI!D28*B361*(VERI_TABANI!$B$13-VERI_TABANI!$B$14)*VERI_TABANI!G28) + (VERI_TABANI!D28*C361*(VERI_TABANI!$B$13-VERI_TABANI!$B$15)*VERI_TABANI!G28) + IF(ABS(IF(ISNUMBER(SEARCH("Var", D361)), 1, IF(ISNUMBER(SEARCH("Gri", D361)), -1, 0)))=1, VERI_TABANI!E28*(1-0.928)*0.00206091519919798*VERI_TABANI!G28, 0)))</f>
        <v/>
      </c>
      <c r="H361" s="169">
        <f>(((VERI_TABANI!D23*B361*(VERI_TABANI!$B$13-VERI_TABANI!$B$14)) + (VERI_TABANI!D23*C361*(VERI_TABANI!$B$13-VERI_TABANI!$B$15)) + IF(ISNUMBER(SEARCH("Var", D361)), VERI_TABANI!F23*(0.00202-VERI_TABANI!$B$16), IF(ISNUMBER(SEARCH("Gri", D361)), VERI_TABANI!F23*(0.00202-VERI_TABANI!$B$17), 0))) + ((VERI_TABANI!D24*B361*(VERI_TABANI!$B$13-VERI_TABANI!$B$14)) + (VERI_TABANI!D24*C361*(VERI_TABANI!$B$13-VERI_TABANI!$B$15)) + IF(ISNUMBER(SEARCH("Var", D361)), VERI_TABANI!F24*(0.00202-VERI_TABANI!$B$16), IF(ISNUMBER(SEARCH("Gri", D361)), VERI_TABANI!F24*(0.00202-VERI_TABANI!$B$17), 0))) + ((VERI_TABANI!D25*B361*(VERI_TABANI!$B$13-VERI_TABANI!$B$14)) + (VERI_TABANI!D25*C361*(VERI_TABANI!$B$13-VERI_TABANI!$B$15)) + IF(ISNUMBER(SEARCH("Var", D361)), VERI_TABANI!F25*(0.00202-VERI_TABANI!$B$16), IF(ISNUMBER(SEARCH("Gri", D361)), VERI_TABANI!F25*(0.00202-VERI_TABANI!$B$17), 0))) + ((VERI_TABANI!D26*B361*(VERI_TABANI!$B$13-VERI_TABANI!$B$14)) + (VERI_TABANI!D26*C361*(VERI_TABANI!$B$13-VERI_TABANI!$B$15)) + IF(ISNUMBER(SEARCH("Var", D361)), VERI_TABANI!F26*(0.00202-VERI_TABANI!$B$16), IF(ISNUMBER(SEARCH("Gri", D361)), VERI_TABANI!F26*(0.00202-VERI_TABANI!$B$17), 0))) + ((VERI_TABANI!D27*B361*(VERI_TABANI!$B$13-VERI_TABANI!$B$14)) + (VERI_TABANI!D27*C361*(VERI_TABANI!$B$13-VERI_TABANI!$B$15)) + IF(ISNUMBER(SEARCH("Var", D361)), VERI_TABANI!F27*(0.00202-VERI_TABANI!$B$16), IF(ISNUMBER(SEARCH("Gri", D361)), VERI_TABANI!F27*(0.00202-VERI_TABANI!$B$17), 0))) + ((VERI_TABANI!D28*B361*(VERI_TABANI!$B$13-VERI_TABANI!$B$14)) + (VERI_TABANI!D28*C361*(VERI_TABANI!$B$13-VERI_TABANI!$B$15)) + IF(ISNUMBER(SEARCH("Var", D361)), VERI_TABANI!F28*(0.00202-VERI_TABANI!$B$16), IF(ISNUMBER(SEARCH("Gri", D361)), VERI_TABANI!F28*(0.00202-VERI_TABANI!$B$17), 0))))</f>
        <v/>
      </c>
      <c r="I361" s="170">
        <f>IFERROR(((VERI_TABANI!$D$29*B361*VERI_TABANI!$B$14 + VERI_TABANI!$D$29*C361*VERI_TABANI!$B$15 + IF(ISNUMBER(SEARCH("Var", D361)), VERI_TABANI!$F$29*VERI_TABANI!$B$16, 0))) / (((VERI_TABANI!$D$29*B361 + VERI_TABANI!$D$29*C361)*VERI_TABANI!$B$13 + IF(ISNUMBER(SEARCH("Var", D361)), VERI_TABANI!$E$29*(1-0.928)*VERI_TABANI!$B$18, 0))), 0)</f>
        <v/>
      </c>
      <c r="J361" s="171">
        <f>IFERROR(F361/(G361/29), 0)</f>
        <v/>
      </c>
      <c r="K361" s="172">
        <f>IF(F361&gt;0, H361/F361, 0)</f>
        <v/>
      </c>
      <c r="L361" s="170">
        <f>IF(F361&gt;0, I361, 1000000000)</f>
        <v/>
      </c>
      <c r="M361" s="171">
        <f>ABS((B361+C361)-1)</f>
        <v/>
      </c>
      <c r="N361" s="170">
        <f>IF(F361&gt;0, (G361/29)/F361, 0)</f>
        <v/>
      </c>
      <c r="O361" s="168">
        <f>IF(AND((B361+C361)&gt;=1, ISNUMBER(SEARCH("Var", D361))), F361, 1000000000)</f>
        <v/>
      </c>
      <c r="P361" s="172">
        <f>IF(F361&gt;0, SQRT((F361/MAX(F$5:F$886))^2 + (1 - H361/MAX(H$5:H$886))^2 + (J361/MAX(J$5:J$886))^2), 1000000000)</f>
        <v/>
      </c>
      <c r="Q361" s="166">
        <f>IF(AND(ABS(B361-0.5)&lt;0.01, ABS(C361-0.5)&lt;0.01, ISNUMBER(SEARCH("Var", D361))), 1, 0)</f>
        <v/>
      </c>
      <c r="R361" s="171">
        <f>IF(F361&gt;0, J361, 1000000000)</f>
        <v/>
      </c>
      <c r="S361" s="101">
        <f>IF(AND(F361&lt;=DASHBOARD!$B$11, H361&gt;=DASHBOARD!$B$13), G361, -1000000000000)</f>
        <v/>
      </c>
      <c r="T361" s="101">
        <f>IF(AND(F361&lt;=DASHBOARD!$B$11, H361&gt;=DASHBOARD!$B$13), R361, 1000000000000)</f>
        <v/>
      </c>
      <c r="U361" s="101">
        <f>IF(AND(F361&lt;=DASHBOARD!$B$11, H361&gt;=DASHBOARD!$B$13), N361, -1000000000000)</f>
        <v/>
      </c>
      <c r="V361" s="101">
        <f>IF(AND(F361&lt;=DASHBOARD!$B$11, H361&gt;=DASHBOARD!$B$13), H361, -1000000000000)</f>
        <v/>
      </c>
      <c r="W361" s="101">
        <f>IF(AND(F361&lt;=DASHBOARD!$B$11, H361&gt;=DASHBOARD!$B$13), K361, -1000000000000)</f>
        <v/>
      </c>
      <c r="X361" s="101">
        <f>IF(AND(F361&lt;=DASHBOARD!$B$11, H361&gt;=DASHBOARD!$B$13), M361, 1000000000000)</f>
        <v/>
      </c>
      <c r="Y361" s="101">
        <f>IF(AND(F361&lt;=DASHBOARD!$B$10, H361&gt;=DASHBOARD!$B$11), L361, 1000000000000)</f>
        <v/>
      </c>
      <c r="Z361" s="101">
        <f>IF(AND(F361&lt;=DASHBOARD!$B$10, H361&gt;=DASHBOARD!$B$11), O361, 1000000000000)</f>
        <v/>
      </c>
      <c r="AA361" s="101">
        <f>IF(AND(F361&lt;=DASHBOARD!$B$10, H361&gt;=DASHBOARD!$B$11), P361, 1000000000000)</f>
        <v/>
      </c>
      <c r="AB361" s="101">
        <f>IF(AND(F361&lt;=DASHBOARD!$B$10, H361&gt;=DASHBOARD!$B$11), Q361, -1000000000000)</f>
        <v/>
      </c>
    </row>
    <row r="362" ht="15" customHeight="1" s="102">
      <c r="A362" s="166" t="n">
        <v>358</v>
      </c>
      <c r="B362" s="167" t="n">
        <v>0.8</v>
      </c>
      <c r="C362" s="167" t="n">
        <v>1</v>
      </c>
      <c r="D362" s="110" t="inlineStr">
        <is>
          <t>Var (%20)</t>
        </is>
      </c>
      <c r="E362" s="110">
        <f>IF((B362+C362)&lt;=1, "Tam Mahsuplaşma (≤%100)", "Kısmi Satış (&gt;%100)")</f>
        <v/>
      </c>
      <c r="F362" s="168">
        <f>((VERI_TABANI!$D$29*B362/VERI_TABANI!$B$29)/VERI_TABANI!$B$3)*VERI_TABANI!$B$5 + ((VERI_TABANI!$D$29*C362/VERI_TABANI!$B$29)/VERI_TABANI!$B$4)*VERI_TABANI!$B$6 + IF(ISNUMBER(SEARCH("Var", D362)), (VERI_TABANI!$F$29/VERI_TABANI!$B$29)*(VERI_TABANI!$B$10+VERI_TABANI!$B$12), 0)</f>
        <v/>
      </c>
      <c r="G362" s="168">
        <f>(((MIN(VERI_TABANI!D23, VERI_TABANI!D23*B362)*VERI_TABANI!$B$7 + MAX(0, VERI_TABANI!D23*B362-VERI_TABANI!D23)*VERI_TABANI!$B$8) + (MIN(MAX(0, VERI_TABANI!D23-VERI_TABANI!D23*B362), VERI_TABANI!D23*C362)*VERI_TABANI!$B$7 + MAX(0, VERI_TABANI!D23*C362-MAX(0, VERI_TABANI!D23-VERI_TABANI!D23*B362))*VERI_TABANI!$B$8) + IF(ABS(IF(ISNUMBER(SEARCH("Var", D362)), 1, IF(ISNUMBER(SEARCH("Gri", D362)), -1, 0)))=1, VERI_TABANI!E23*(1-0.928)*VERI_TABANI!$B$9, 0) + (VERI_TABANI!D23*B362*(VERI_TABANI!$B$13-VERI_TABANI!$B$14)*VERI_TABANI!G23) + (VERI_TABANI!D23*C362*(VERI_TABANI!$B$13-VERI_TABANI!$B$15)*VERI_TABANI!G23) + IF(ABS(IF(ISNUMBER(SEARCH("Var", D362)), 1, IF(ISNUMBER(SEARCH("Gri", D362)), -1, 0)))=1, VERI_TABANI!E23*(1-0.928)*0.00206091519919798*VERI_TABANI!G23, 0)) + ((MIN(VERI_TABANI!D24, VERI_TABANI!D24*B362)*VERI_TABANI!$B$7 + MAX(0, VERI_TABANI!D24*B362-VERI_TABANI!D24)*VERI_TABANI!$B$8) + (MIN(MAX(0, VERI_TABANI!D24-VERI_TABANI!D24*B362), VERI_TABANI!D24*C362)*VERI_TABANI!$B$7 + MAX(0, VERI_TABANI!D24*C362-MAX(0, VERI_TABANI!D24-VERI_TABANI!D24*B362))*VERI_TABANI!$B$8) + IF(ABS(IF(ISNUMBER(SEARCH("Var", D362)), 1, IF(ISNUMBER(SEARCH("Gri", D362)), -1, 0)))=1, VERI_TABANI!E24*(1-0.928)*VERI_TABANI!$B$9, 0) + (VERI_TABANI!D24*B362*(VERI_TABANI!$B$13-VERI_TABANI!$B$14)*VERI_TABANI!G24) + (VERI_TABANI!D24*C362*(VERI_TABANI!$B$13-VERI_TABANI!$B$15)*VERI_TABANI!G24) + IF(ABS(IF(ISNUMBER(SEARCH("Var", D362)), 1, IF(ISNUMBER(SEARCH("Gri", D362)), -1, 0)))=1, VERI_TABANI!E24*(1-0.928)*0.00206091519919798*VERI_TABANI!G24, 0)) + ((MIN(VERI_TABANI!D25, VERI_TABANI!D25*B362)*VERI_TABANI!$B$7 + MAX(0, VERI_TABANI!D25*B362-VERI_TABANI!D25)*VERI_TABANI!$B$8) + (MIN(MAX(0, VERI_TABANI!D25-VERI_TABANI!D25*B362), VERI_TABANI!D25*C362)*VERI_TABANI!$B$7 + MAX(0, VERI_TABANI!D25*C362-MAX(0, VERI_TABANI!D25-VERI_TABANI!D25*B362))*VERI_TABANI!$B$8) + IF(ABS(IF(ISNUMBER(SEARCH("Var", D362)), 1, IF(ISNUMBER(SEARCH("Gri", D362)), -1, 0)))=1, VERI_TABANI!E25*(1-0.928)*VERI_TABANI!$B$9, 0) + (VERI_TABANI!D25*B362*(VERI_TABANI!$B$13-VERI_TABANI!$B$14)*VERI_TABANI!G25) + (VERI_TABANI!D25*C362*(VERI_TABANI!$B$13-VERI_TABANI!$B$15)*VERI_TABANI!G25) + IF(ABS(IF(ISNUMBER(SEARCH("Var", D362)), 1, IF(ISNUMBER(SEARCH("Gri", D362)), -1, 0)))=1, VERI_TABANI!E25*(1-0.928)*0.00206091519919798*VERI_TABANI!G25, 0)) + ((MIN(VERI_TABANI!D26, VERI_TABANI!D26*B362)*VERI_TABANI!$B$7 + MAX(0, VERI_TABANI!D26*B362-VERI_TABANI!D26)*VERI_TABANI!$B$8) + (MIN(MAX(0, VERI_TABANI!D26-VERI_TABANI!D26*B362), VERI_TABANI!D26*C362)*VERI_TABANI!$B$7 + MAX(0, VERI_TABANI!D26*C362-MAX(0, VERI_TABANI!D26-VERI_TABANI!D26*B362))*VERI_TABANI!$B$8) + IF(ABS(IF(ISNUMBER(SEARCH("Var", D362)), 1, IF(ISNUMBER(SEARCH("Gri", D362)), -1, 0)))=1, VERI_TABANI!E26*(1-0.928)*VERI_TABANI!$B$9, 0) + (VERI_TABANI!D26*B362*(VERI_TABANI!$B$13-VERI_TABANI!$B$14)*VERI_TABANI!G26) + (VERI_TABANI!D26*C362*(VERI_TABANI!$B$13-VERI_TABANI!$B$15)*VERI_TABANI!G26) + IF(ABS(IF(ISNUMBER(SEARCH("Var", D362)), 1, IF(ISNUMBER(SEARCH("Gri", D362)), -1, 0)))=1, VERI_TABANI!E26*(1-0.928)*0.00206091519919798*VERI_TABANI!G26, 0)) + ((MIN(VERI_TABANI!D27, VERI_TABANI!D27*B362)*VERI_TABANI!$B$7 + MAX(0, VERI_TABANI!D27*B362-VERI_TABANI!D27)*VERI_TABANI!$B$8) + (MIN(MAX(0, VERI_TABANI!D27-VERI_TABANI!D27*B362), VERI_TABANI!D27*C362)*VERI_TABANI!$B$7 + MAX(0, VERI_TABANI!D27*C362-MAX(0, VERI_TABANI!D27-VERI_TABANI!D27*B362))*VERI_TABANI!$B$8) + IF(ABS(IF(ISNUMBER(SEARCH("Var", D362)), 1, IF(ISNUMBER(SEARCH("Gri", D362)), -1, 0)))=1, VERI_TABANI!E27*(1-0.928)*VERI_TABANI!$B$9, 0) + (VERI_TABANI!D27*B362*(VERI_TABANI!$B$13-VERI_TABANI!$B$14)*VERI_TABANI!G27) + (VERI_TABANI!D27*C362*(VERI_TABANI!$B$13-VERI_TABANI!$B$15)*VERI_TABANI!G27) + IF(ABS(IF(ISNUMBER(SEARCH("Var", D362)), 1, IF(ISNUMBER(SEARCH("Gri", D362)), -1, 0)))=1, VERI_TABANI!E27*(1-0.928)*0.00206091519919798*VERI_TABANI!G27, 0)) + ((MIN(VERI_TABANI!D28, VERI_TABANI!D28*B362)*VERI_TABANI!$B$7 + MAX(0, VERI_TABANI!D28*B362-VERI_TABANI!D28)*VERI_TABANI!$B$8) + (MIN(MAX(0, VERI_TABANI!D28-VERI_TABANI!D28*B362), VERI_TABANI!D28*C362)*VERI_TABANI!$B$7 + MAX(0, VERI_TABANI!D28*C362-MAX(0, VERI_TABANI!D28-VERI_TABANI!D28*B362))*VERI_TABANI!$B$8) + IF(ABS(IF(ISNUMBER(SEARCH("Var", D362)), 1, IF(ISNUMBER(SEARCH("Gri", D362)), -1, 0)))=1, VERI_TABANI!E28*(1-0.928)*VERI_TABANI!$B$9, 0) + (VERI_TABANI!D28*B362*(VERI_TABANI!$B$13-VERI_TABANI!$B$14)*VERI_TABANI!G28) + (VERI_TABANI!D28*C362*(VERI_TABANI!$B$13-VERI_TABANI!$B$15)*VERI_TABANI!G28) + IF(ABS(IF(ISNUMBER(SEARCH("Var", D362)), 1, IF(ISNUMBER(SEARCH("Gri", D362)), -1, 0)))=1, VERI_TABANI!E28*(1-0.928)*0.00206091519919798*VERI_TABANI!G28, 0)))</f>
        <v/>
      </c>
      <c r="H362" s="169">
        <f>(((VERI_TABANI!D23*B362*(VERI_TABANI!$B$13-VERI_TABANI!$B$14)) + (VERI_TABANI!D23*C362*(VERI_TABANI!$B$13-VERI_TABANI!$B$15)) + IF(ISNUMBER(SEARCH("Var", D362)), VERI_TABANI!F23*(0.00202-VERI_TABANI!$B$16), IF(ISNUMBER(SEARCH("Gri", D362)), VERI_TABANI!F23*(0.00202-VERI_TABANI!$B$17), 0))) + ((VERI_TABANI!D24*B362*(VERI_TABANI!$B$13-VERI_TABANI!$B$14)) + (VERI_TABANI!D24*C362*(VERI_TABANI!$B$13-VERI_TABANI!$B$15)) + IF(ISNUMBER(SEARCH("Var", D362)), VERI_TABANI!F24*(0.00202-VERI_TABANI!$B$16), IF(ISNUMBER(SEARCH("Gri", D362)), VERI_TABANI!F24*(0.00202-VERI_TABANI!$B$17), 0))) + ((VERI_TABANI!D25*B362*(VERI_TABANI!$B$13-VERI_TABANI!$B$14)) + (VERI_TABANI!D25*C362*(VERI_TABANI!$B$13-VERI_TABANI!$B$15)) + IF(ISNUMBER(SEARCH("Var", D362)), VERI_TABANI!F25*(0.00202-VERI_TABANI!$B$16), IF(ISNUMBER(SEARCH("Gri", D362)), VERI_TABANI!F25*(0.00202-VERI_TABANI!$B$17), 0))) + ((VERI_TABANI!D26*B362*(VERI_TABANI!$B$13-VERI_TABANI!$B$14)) + (VERI_TABANI!D26*C362*(VERI_TABANI!$B$13-VERI_TABANI!$B$15)) + IF(ISNUMBER(SEARCH("Var", D362)), VERI_TABANI!F26*(0.00202-VERI_TABANI!$B$16), IF(ISNUMBER(SEARCH("Gri", D362)), VERI_TABANI!F26*(0.00202-VERI_TABANI!$B$17), 0))) + ((VERI_TABANI!D27*B362*(VERI_TABANI!$B$13-VERI_TABANI!$B$14)) + (VERI_TABANI!D27*C362*(VERI_TABANI!$B$13-VERI_TABANI!$B$15)) + IF(ISNUMBER(SEARCH("Var", D362)), VERI_TABANI!F27*(0.00202-VERI_TABANI!$B$16), IF(ISNUMBER(SEARCH("Gri", D362)), VERI_TABANI!F27*(0.00202-VERI_TABANI!$B$17), 0))) + ((VERI_TABANI!D28*B362*(VERI_TABANI!$B$13-VERI_TABANI!$B$14)) + (VERI_TABANI!D28*C362*(VERI_TABANI!$B$13-VERI_TABANI!$B$15)) + IF(ISNUMBER(SEARCH("Var", D362)), VERI_TABANI!F28*(0.00202-VERI_TABANI!$B$16), IF(ISNUMBER(SEARCH("Gri", D362)), VERI_TABANI!F28*(0.00202-VERI_TABANI!$B$17), 0))))</f>
        <v/>
      </c>
      <c r="I362" s="170">
        <f>IFERROR(((VERI_TABANI!$D$29*B362*VERI_TABANI!$B$14 + VERI_TABANI!$D$29*C362*VERI_TABANI!$B$15 + IF(ISNUMBER(SEARCH("Var", D362)), VERI_TABANI!$F$29*VERI_TABANI!$B$16, 0))) / (((VERI_TABANI!$D$29*B362 + VERI_TABANI!$D$29*C362)*VERI_TABANI!$B$13 + IF(ISNUMBER(SEARCH("Var", D362)), VERI_TABANI!$E$29*(1-0.928)*VERI_TABANI!$B$18, 0))), 0)</f>
        <v/>
      </c>
      <c r="J362" s="171">
        <f>IFERROR(F362/(G362/29), 0)</f>
        <v/>
      </c>
      <c r="K362" s="172">
        <f>IF(F362&gt;0, H362/F362, 0)</f>
        <v/>
      </c>
      <c r="L362" s="170">
        <f>IF(F362&gt;0, I362, 1000000000)</f>
        <v/>
      </c>
      <c r="M362" s="171">
        <f>ABS((B362+C362)-1)</f>
        <v/>
      </c>
      <c r="N362" s="170">
        <f>IF(F362&gt;0, (G362/29)/F362, 0)</f>
        <v/>
      </c>
      <c r="O362" s="168">
        <f>IF(AND((B362+C362)&gt;=1, ISNUMBER(SEARCH("Var", D362))), F362, 1000000000)</f>
        <v/>
      </c>
      <c r="P362" s="172">
        <f>IF(F362&gt;0, SQRT((F362/MAX(F$5:F$886))^2 + (1 - H362/MAX(H$5:H$886))^2 + (J362/MAX(J$5:J$886))^2), 1000000000)</f>
        <v/>
      </c>
      <c r="Q362" s="166">
        <f>IF(AND(ABS(B362-0.5)&lt;0.01, ABS(C362-0.5)&lt;0.01, ISNUMBER(SEARCH("Var", D362))), 1, 0)</f>
        <v/>
      </c>
      <c r="R362" s="171">
        <f>IF(F362&gt;0, J362, 1000000000)</f>
        <v/>
      </c>
      <c r="S362" s="101">
        <f>IF(AND(F362&lt;=DASHBOARD!$B$11, H362&gt;=DASHBOARD!$B$13), G362, -1000000000000)</f>
        <v/>
      </c>
      <c r="T362" s="101">
        <f>IF(AND(F362&lt;=DASHBOARD!$B$11, H362&gt;=DASHBOARD!$B$13), R362, 1000000000000)</f>
        <v/>
      </c>
      <c r="U362" s="101">
        <f>IF(AND(F362&lt;=DASHBOARD!$B$11, H362&gt;=DASHBOARD!$B$13), N362, -1000000000000)</f>
        <v/>
      </c>
      <c r="V362" s="101">
        <f>IF(AND(F362&lt;=DASHBOARD!$B$11, H362&gt;=DASHBOARD!$B$13), H362, -1000000000000)</f>
        <v/>
      </c>
      <c r="W362" s="101">
        <f>IF(AND(F362&lt;=DASHBOARD!$B$11, H362&gt;=DASHBOARD!$B$13), K362, -1000000000000)</f>
        <v/>
      </c>
      <c r="X362" s="101">
        <f>IF(AND(F362&lt;=DASHBOARD!$B$11, H362&gt;=DASHBOARD!$B$13), M362, 1000000000000)</f>
        <v/>
      </c>
      <c r="Y362" s="101">
        <f>IF(AND(F362&lt;=DASHBOARD!$B$10, H362&gt;=DASHBOARD!$B$11), L362, 1000000000000)</f>
        <v/>
      </c>
      <c r="Z362" s="101">
        <f>IF(AND(F362&lt;=DASHBOARD!$B$10, H362&gt;=DASHBOARD!$B$11), O362, 1000000000000)</f>
        <v/>
      </c>
      <c r="AA362" s="101">
        <f>IF(AND(F362&lt;=DASHBOARD!$B$10, H362&gt;=DASHBOARD!$B$11), P362, 1000000000000)</f>
        <v/>
      </c>
      <c r="AB362" s="101">
        <f>IF(AND(F362&lt;=DASHBOARD!$B$10, H362&gt;=DASHBOARD!$B$11), Q362, -1000000000000)</f>
        <v/>
      </c>
    </row>
    <row r="363" ht="15" customHeight="1" s="102">
      <c r="A363" s="166" t="n">
        <v>359</v>
      </c>
      <c r="B363" s="167" t="n">
        <v>0.8</v>
      </c>
      <c r="C363" s="167" t="n">
        <v>1.1</v>
      </c>
      <c r="D363" s="110" t="inlineStr">
        <is>
          <t>Yok (%0)</t>
        </is>
      </c>
      <c r="E363" s="110">
        <f>IF((B363+C363)&lt;=1, "Tam Mahsuplaşma (≤%100)", "Kısmi Satış (&gt;%100)")</f>
        <v/>
      </c>
      <c r="F363" s="168">
        <f>((VERI_TABANI!$D$29*B363/VERI_TABANI!$B$29)/VERI_TABANI!$B$3)*VERI_TABANI!$B$5 + ((VERI_TABANI!$D$29*C363/VERI_TABANI!$B$29)/VERI_TABANI!$B$4)*VERI_TABANI!$B$6 + IF(ISNUMBER(SEARCH("Var", D363)), (VERI_TABANI!$F$29/VERI_TABANI!$B$29)*(VERI_TABANI!$B$10+VERI_TABANI!$B$12), 0)</f>
        <v/>
      </c>
      <c r="G363" s="168">
        <f>(((MIN(VERI_TABANI!D23, VERI_TABANI!D23*B363)*VERI_TABANI!$B$7 + MAX(0, VERI_TABANI!D23*B363-VERI_TABANI!D23)*VERI_TABANI!$B$8) + (MIN(MAX(0, VERI_TABANI!D23-VERI_TABANI!D23*B363), VERI_TABANI!D23*C363)*VERI_TABANI!$B$7 + MAX(0, VERI_TABANI!D23*C363-MAX(0, VERI_TABANI!D23-VERI_TABANI!D23*B363))*VERI_TABANI!$B$8) + IF(ABS(IF(ISNUMBER(SEARCH("Var", D363)), 1, IF(ISNUMBER(SEARCH("Gri", D363)), -1, 0)))=1, VERI_TABANI!E23*(1-0.928)*VERI_TABANI!$B$9, 0) + (VERI_TABANI!D23*B363*(VERI_TABANI!$B$13-VERI_TABANI!$B$14)*VERI_TABANI!G23) + (VERI_TABANI!D23*C363*(VERI_TABANI!$B$13-VERI_TABANI!$B$15)*VERI_TABANI!G23) + IF(ABS(IF(ISNUMBER(SEARCH("Var", D363)), 1, IF(ISNUMBER(SEARCH("Gri", D363)), -1, 0)))=1, VERI_TABANI!E23*(1-0.928)*0.00206091519919798*VERI_TABANI!G23, 0)) + ((MIN(VERI_TABANI!D24, VERI_TABANI!D24*B363)*VERI_TABANI!$B$7 + MAX(0, VERI_TABANI!D24*B363-VERI_TABANI!D24)*VERI_TABANI!$B$8) + (MIN(MAX(0, VERI_TABANI!D24-VERI_TABANI!D24*B363), VERI_TABANI!D24*C363)*VERI_TABANI!$B$7 + MAX(0, VERI_TABANI!D24*C363-MAX(0, VERI_TABANI!D24-VERI_TABANI!D24*B363))*VERI_TABANI!$B$8) + IF(ABS(IF(ISNUMBER(SEARCH("Var", D363)), 1, IF(ISNUMBER(SEARCH("Gri", D363)), -1, 0)))=1, VERI_TABANI!E24*(1-0.928)*VERI_TABANI!$B$9, 0) + (VERI_TABANI!D24*B363*(VERI_TABANI!$B$13-VERI_TABANI!$B$14)*VERI_TABANI!G24) + (VERI_TABANI!D24*C363*(VERI_TABANI!$B$13-VERI_TABANI!$B$15)*VERI_TABANI!G24) + IF(ABS(IF(ISNUMBER(SEARCH("Var", D363)), 1, IF(ISNUMBER(SEARCH("Gri", D363)), -1, 0)))=1, VERI_TABANI!E24*(1-0.928)*0.00206091519919798*VERI_TABANI!G24, 0)) + ((MIN(VERI_TABANI!D25, VERI_TABANI!D25*B363)*VERI_TABANI!$B$7 + MAX(0, VERI_TABANI!D25*B363-VERI_TABANI!D25)*VERI_TABANI!$B$8) + (MIN(MAX(0, VERI_TABANI!D25-VERI_TABANI!D25*B363), VERI_TABANI!D25*C363)*VERI_TABANI!$B$7 + MAX(0, VERI_TABANI!D25*C363-MAX(0, VERI_TABANI!D25-VERI_TABANI!D25*B363))*VERI_TABANI!$B$8) + IF(ABS(IF(ISNUMBER(SEARCH("Var", D363)), 1, IF(ISNUMBER(SEARCH("Gri", D363)), -1, 0)))=1, VERI_TABANI!E25*(1-0.928)*VERI_TABANI!$B$9, 0) + (VERI_TABANI!D25*B363*(VERI_TABANI!$B$13-VERI_TABANI!$B$14)*VERI_TABANI!G25) + (VERI_TABANI!D25*C363*(VERI_TABANI!$B$13-VERI_TABANI!$B$15)*VERI_TABANI!G25) + IF(ABS(IF(ISNUMBER(SEARCH("Var", D363)), 1, IF(ISNUMBER(SEARCH("Gri", D363)), -1, 0)))=1, VERI_TABANI!E25*(1-0.928)*0.00206091519919798*VERI_TABANI!G25, 0)) + ((MIN(VERI_TABANI!D26, VERI_TABANI!D26*B363)*VERI_TABANI!$B$7 + MAX(0, VERI_TABANI!D26*B363-VERI_TABANI!D26)*VERI_TABANI!$B$8) + (MIN(MAX(0, VERI_TABANI!D26-VERI_TABANI!D26*B363), VERI_TABANI!D26*C363)*VERI_TABANI!$B$7 + MAX(0, VERI_TABANI!D26*C363-MAX(0, VERI_TABANI!D26-VERI_TABANI!D26*B363))*VERI_TABANI!$B$8) + IF(ABS(IF(ISNUMBER(SEARCH("Var", D363)), 1, IF(ISNUMBER(SEARCH("Gri", D363)), -1, 0)))=1, VERI_TABANI!E26*(1-0.928)*VERI_TABANI!$B$9, 0) + (VERI_TABANI!D26*B363*(VERI_TABANI!$B$13-VERI_TABANI!$B$14)*VERI_TABANI!G26) + (VERI_TABANI!D26*C363*(VERI_TABANI!$B$13-VERI_TABANI!$B$15)*VERI_TABANI!G26) + IF(ABS(IF(ISNUMBER(SEARCH("Var", D363)), 1, IF(ISNUMBER(SEARCH("Gri", D363)), -1, 0)))=1, VERI_TABANI!E26*(1-0.928)*0.00206091519919798*VERI_TABANI!G26, 0)) + ((MIN(VERI_TABANI!D27, VERI_TABANI!D27*B363)*VERI_TABANI!$B$7 + MAX(0, VERI_TABANI!D27*B363-VERI_TABANI!D27)*VERI_TABANI!$B$8) + (MIN(MAX(0, VERI_TABANI!D27-VERI_TABANI!D27*B363), VERI_TABANI!D27*C363)*VERI_TABANI!$B$7 + MAX(0, VERI_TABANI!D27*C363-MAX(0, VERI_TABANI!D27-VERI_TABANI!D27*B363))*VERI_TABANI!$B$8) + IF(ABS(IF(ISNUMBER(SEARCH("Var", D363)), 1, IF(ISNUMBER(SEARCH("Gri", D363)), -1, 0)))=1, VERI_TABANI!E27*(1-0.928)*VERI_TABANI!$B$9, 0) + (VERI_TABANI!D27*B363*(VERI_TABANI!$B$13-VERI_TABANI!$B$14)*VERI_TABANI!G27) + (VERI_TABANI!D27*C363*(VERI_TABANI!$B$13-VERI_TABANI!$B$15)*VERI_TABANI!G27) + IF(ABS(IF(ISNUMBER(SEARCH("Var", D363)), 1, IF(ISNUMBER(SEARCH("Gri", D363)), -1, 0)))=1, VERI_TABANI!E27*(1-0.928)*0.00206091519919798*VERI_TABANI!G27, 0)) + ((MIN(VERI_TABANI!D28, VERI_TABANI!D28*B363)*VERI_TABANI!$B$7 + MAX(0, VERI_TABANI!D28*B363-VERI_TABANI!D28)*VERI_TABANI!$B$8) + (MIN(MAX(0, VERI_TABANI!D28-VERI_TABANI!D28*B363), VERI_TABANI!D28*C363)*VERI_TABANI!$B$7 + MAX(0, VERI_TABANI!D28*C363-MAX(0, VERI_TABANI!D28-VERI_TABANI!D28*B363))*VERI_TABANI!$B$8) + IF(ABS(IF(ISNUMBER(SEARCH("Var", D363)), 1, IF(ISNUMBER(SEARCH("Gri", D363)), -1, 0)))=1, VERI_TABANI!E28*(1-0.928)*VERI_TABANI!$B$9, 0) + (VERI_TABANI!D28*B363*(VERI_TABANI!$B$13-VERI_TABANI!$B$14)*VERI_TABANI!G28) + (VERI_TABANI!D28*C363*(VERI_TABANI!$B$13-VERI_TABANI!$B$15)*VERI_TABANI!G28) + IF(ABS(IF(ISNUMBER(SEARCH("Var", D363)), 1, IF(ISNUMBER(SEARCH("Gri", D363)), -1, 0)))=1, VERI_TABANI!E28*(1-0.928)*0.00206091519919798*VERI_TABANI!G28, 0)))</f>
        <v/>
      </c>
      <c r="H363" s="169">
        <f>(((VERI_TABANI!D23*B363*(VERI_TABANI!$B$13-VERI_TABANI!$B$14)) + (VERI_TABANI!D23*C363*(VERI_TABANI!$B$13-VERI_TABANI!$B$15)) + IF(ISNUMBER(SEARCH("Var", D363)), VERI_TABANI!F23*(0.00202-VERI_TABANI!$B$16), IF(ISNUMBER(SEARCH("Gri", D363)), VERI_TABANI!F23*(0.00202-VERI_TABANI!$B$17), 0))) + ((VERI_TABANI!D24*B363*(VERI_TABANI!$B$13-VERI_TABANI!$B$14)) + (VERI_TABANI!D24*C363*(VERI_TABANI!$B$13-VERI_TABANI!$B$15)) + IF(ISNUMBER(SEARCH("Var", D363)), VERI_TABANI!F24*(0.00202-VERI_TABANI!$B$16), IF(ISNUMBER(SEARCH("Gri", D363)), VERI_TABANI!F24*(0.00202-VERI_TABANI!$B$17), 0))) + ((VERI_TABANI!D25*B363*(VERI_TABANI!$B$13-VERI_TABANI!$B$14)) + (VERI_TABANI!D25*C363*(VERI_TABANI!$B$13-VERI_TABANI!$B$15)) + IF(ISNUMBER(SEARCH("Var", D363)), VERI_TABANI!F25*(0.00202-VERI_TABANI!$B$16), IF(ISNUMBER(SEARCH("Gri", D363)), VERI_TABANI!F25*(0.00202-VERI_TABANI!$B$17), 0))) + ((VERI_TABANI!D26*B363*(VERI_TABANI!$B$13-VERI_TABANI!$B$14)) + (VERI_TABANI!D26*C363*(VERI_TABANI!$B$13-VERI_TABANI!$B$15)) + IF(ISNUMBER(SEARCH("Var", D363)), VERI_TABANI!F26*(0.00202-VERI_TABANI!$B$16), IF(ISNUMBER(SEARCH("Gri", D363)), VERI_TABANI!F26*(0.00202-VERI_TABANI!$B$17), 0))) + ((VERI_TABANI!D27*B363*(VERI_TABANI!$B$13-VERI_TABANI!$B$14)) + (VERI_TABANI!D27*C363*(VERI_TABANI!$B$13-VERI_TABANI!$B$15)) + IF(ISNUMBER(SEARCH("Var", D363)), VERI_TABANI!F27*(0.00202-VERI_TABANI!$B$16), IF(ISNUMBER(SEARCH("Gri", D363)), VERI_TABANI!F27*(0.00202-VERI_TABANI!$B$17), 0))) + ((VERI_TABANI!D28*B363*(VERI_TABANI!$B$13-VERI_TABANI!$B$14)) + (VERI_TABANI!D28*C363*(VERI_TABANI!$B$13-VERI_TABANI!$B$15)) + IF(ISNUMBER(SEARCH("Var", D363)), VERI_TABANI!F28*(0.00202-VERI_TABANI!$B$16), IF(ISNUMBER(SEARCH("Gri", D363)), VERI_TABANI!F28*(0.00202-VERI_TABANI!$B$17), 0))))</f>
        <v/>
      </c>
      <c r="I363" s="170">
        <f>IFERROR(((VERI_TABANI!$D$29*B363*VERI_TABANI!$B$14 + VERI_TABANI!$D$29*C363*VERI_TABANI!$B$15 + IF(ISNUMBER(SEARCH("Var", D363)), VERI_TABANI!$F$29*VERI_TABANI!$B$16, 0))) / (((VERI_TABANI!$D$29*B363 + VERI_TABANI!$D$29*C363)*VERI_TABANI!$B$13 + IF(ISNUMBER(SEARCH("Var", D363)), VERI_TABANI!$E$29*(1-0.928)*VERI_TABANI!$B$18, 0))), 0)</f>
        <v/>
      </c>
      <c r="J363" s="171">
        <f>IFERROR(F363/(G363/29), 0)</f>
        <v/>
      </c>
      <c r="K363" s="172">
        <f>IF(F363&gt;0, H363/F363, 0)</f>
        <v/>
      </c>
      <c r="L363" s="170">
        <f>IF(F363&gt;0, I363, 1000000000)</f>
        <v/>
      </c>
      <c r="M363" s="171">
        <f>ABS((B363+C363)-1)</f>
        <v/>
      </c>
      <c r="N363" s="170">
        <f>IF(F363&gt;0, (G363/29)/F363, 0)</f>
        <v/>
      </c>
      <c r="O363" s="168">
        <f>IF(AND((B363+C363)&gt;=1, ISNUMBER(SEARCH("Var", D363))), F363, 1000000000)</f>
        <v/>
      </c>
      <c r="P363" s="172">
        <f>IF(F363&gt;0, SQRT((F363/MAX(F$5:F$886))^2 + (1 - H363/MAX(H$5:H$886))^2 + (J363/MAX(J$5:J$886))^2), 1000000000)</f>
        <v/>
      </c>
      <c r="Q363" s="166">
        <f>IF(AND(ABS(B363-0.5)&lt;0.01, ABS(C363-0.5)&lt;0.01, ISNUMBER(SEARCH("Var", D363))), 1, 0)</f>
        <v/>
      </c>
      <c r="R363" s="171">
        <f>IF(F363&gt;0, J363, 1000000000)</f>
        <v/>
      </c>
      <c r="S363" s="101">
        <f>IF(AND(F363&lt;=DASHBOARD!$B$11, H363&gt;=DASHBOARD!$B$13), G363, -1000000000000)</f>
        <v/>
      </c>
      <c r="T363" s="101">
        <f>IF(AND(F363&lt;=DASHBOARD!$B$11, H363&gt;=DASHBOARD!$B$13), R363, 1000000000000)</f>
        <v/>
      </c>
      <c r="U363" s="101">
        <f>IF(AND(F363&lt;=DASHBOARD!$B$11, H363&gt;=DASHBOARD!$B$13), N363, -1000000000000)</f>
        <v/>
      </c>
      <c r="V363" s="101">
        <f>IF(AND(F363&lt;=DASHBOARD!$B$11, H363&gt;=DASHBOARD!$B$13), H363, -1000000000000)</f>
        <v/>
      </c>
      <c r="W363" s="101">
        <f>IF(AND(F363&lt;=DASHBOARD!$B$11, H363&gt;=DASHBOARD!$B$13), K363, -1000000000000)</f>
        <v/>
      </c>
      <c r="X363" s="101">
        <f>IF(AND(F363&lt;=DASHBOARD!$B$11, H363&gt;=DASHBOARD!$B$13), M363, 1000000000000)</f>
        <v/>
      </c>
      <c r="Y363" s="101">
        <f>IF(AND(F363&lt;=DASHBOARD!$B$10, H363&gt;=DASHBOARD!$B$11), L363, 1000000000000)</f>
        <v/>
      </c>
      <c r="Z363" s="101">
        <f>IF(AND(F363&lt;=DASHBOARD!$B$10, H363&gt;=DASHBOARD!$B$11), O363, 1000000000000)</f>
        <v/>
      </c>
      <c r="AA363" s="101">
        <f>IF(AND(F363&lt;=DASHBOARD!$B$10, H363&gt;=DASHBOARD!$B$11), P363, 1000000000000)</f>
        <v/>
      </c>
      <c r="AB363" s="101">
        <f>IF(AND(F363&lt;=DASHBOARD!$B$10, H363&gt;=DASHBOARD!$B$11), Q363, -1000000000000)</f>
        <v/>
      </c>
    </row>
    <row r="364" ht="15" customHeight="1" s="102">
      <c r="A364" s="166" t="n">
        <v>360</v>
      </c>
      <c r="B364" s="167" t="n">
        <v>0.8</v>
      </c>
      <c r="C364" s="167" t="n">
        <v>1.1</v>
      </c>
      <c r="D364" s="110" t="inlineStr">
        <is>
          <t>Var (%20)</t>
        </is>
      </c>
      <c r="E364" s="110">
        <f>IF((B364+C364)&lt;=1, "Tam Mahsuplaşma (≤%100)", "Kısmi Satış (&gt;%100)")</f>
        <v/>
      </c>
      <c r="F364" s="168">
        <f>((VERI_TABANI!$D$29*B364/VERI_TABANI!$B$29)/VERI_TABANI!$B$3)*VERI_TABANI!$B$5 + ((VERI_TABANI!$D$29*C364/VERI_TABANI!$B$29)/VERI_TABANI!$B$4)*VERI_TABANI!$B$6 + IF(ISNUMBER(SEARCH("Var", D364)), (VERI_TABANI!$F$29/VERI_TABANI!$B$29)*(VERI_TABANI!$B$10+VERI_TABANI!$B$12), 0)</f>
        <v/>
      </c>
      <c r="G364" s="168">
        <f>(((MIN(VERI_TABANI!D23, VERI_TABANI!D23*B364)*VERI_TABANI!$B$7 + MAX(0, VERI_TABANI!D23*B364-VERI_TABANI!D23)*VERI_TABANI!$B$8) + (MIN(MAX(0, VERI_TABANI!D23-VERI_TABANI!D23*B364), VERI_TABANI!D23*C364)*VERI_TABANI!$B$7 + MAX(0, VERI_TABANI!D23*C364-MAX(0, VERI_TABANI!D23-VERI_TABANI!D23*B364))*VERI_TABANI!$B$8) + IF(ABS(IF(ISNUMBER(SEARCH("Var", D364)), 1, IF(ISNUMBER(SEARCH("Gri", D364)), -1, 0)))=1, VERI_TABANI!E23*(1-0.928)*VERI_TABANI!$B$9, 0) + (VERI_TABANI!D23*B364*(VERI_TABANI!$B$13-VERI_TABANI!$B$14)*VERI_TABANI!G23) + (VERI_TABANI!D23*C364*(VERI_TABANI!$B$13-VERI_TABANI!$B$15)*VERI_TABANI!G23) + IF(ABS(IF(ISNUMBER(SEARCH("Var", D364)), 1, IF(ISNUMBER(SEARCH("Gri", D364)), -1, 0)))=1, VERI_TABANI!E23*(1-0.928)*0.00206091519919798*VERI_TABANI!G23, 0)) + ((MIN(VERI_TABANI!D24, VERI_TABANI!D24*B364)*VERI_TABANI!$B$7 + MAX(0, VERI_TABANI!D24*B364-VERI_TABANI!D24)*VERI_TABANI!$B$8) + (MIN(MAX(0, VERI_TABANI!D24-VERI_TABANI!D24*B364), VERI_TABANI!D24*C364)*VERI_TABANI!$B$7 + MAX(0, VERI_TABANI!D24*C364-MAX(0, VERI_TABANI!D24-VERI_TABANI!D24*B364))*VERI_TABANI!$B$8) + IF(ABS(IF(ISNUMBER(SEARCH("Var", D364)), 1, IF(ISNUMBER(SEARCH("Gri", D364)), -1, 0)))=1, VERI_TABANI!E24*(1-0.928)*VERI_TABANI!$B$9, 0) + (VERI_TABANI!D24*B364*(VERI_TABANI!$B$13-VERI_TABANI!$B$14)*VERI_TABANI!G24) + (VERI_TABANI!D24*C364*(VERI_TABANI!$B$13-VERI_TABANI!$B$15)*VERI_TABANI!G24) + IF(ABS(IF(ISNUMBER(SEARCH("Var", D364)), 1, IF(ISNUMBER(SEARCH("Gri", D364)), -1, 0)))=1, VERI_TABANI!E24*(1-0.928)*0.00206091519919798*VERI_TABANI!G24, 0)) + ((MIN(VERI_TABANI!D25, VERI_TABANI!D25*B364)*VERI_TABANI!$B$7 + MAX(0, VERI_TABANI!D25*B364-VERI_TABANI!D25)*VERI_TABANI!$B$8) + (MIN(MAX(0, VERI_TABANI!D25-VERI_TABANI!D25*B364), VERI_TABANI!D25*C364)*VERI_TABANI!$B$7 + MAX(0, VERI_TABANI!D25*C364-MAX(0, VERI_TABANI!D25-VERI_TABANI!D25*B364))*VERI_TABANI!$B$8) + IF(ABS(IF(ISNUMBER(SEARCH("Var", D364)), 1, IF(ISNUMBER(SEARCH("Gri", D364)), -1, 0)))=1, VERI_TABANI!E25*(1-0.928)*VERI_TABANI!$B$9, 0) + (VERI_TABANI!D25*B364*(VERI_TABANI!$B$13-VERI_TABANI!$B$14)*VERI_TABANI!G25) + (VERI_TABANI!D25*C364*(VERI_TABANI!$B$13-VERI_TABANI!$B$15)*VERI_TABANI!G25) + IF(ABS(IF(ISNUMBER(SEARCH("Var", D364)), 1, IF(ISNUMBER(SEARCH("Gri", D364)), -1, 0)))=1, VERI_TABANI!E25*(1-0.928)*0.00206091519919798*VERI_TABANI!G25, 0)) + ((MIN(VERI_TABANI!D26, VERI_TABANI!D26*B364)*VERI_TABANI!$B$7 + MAX(0, VERI_TABANI!D26*B364-VERI_TABANI!D26)*VERI_TABANI!$B$8) + (MIN(MAX(0, VERI_TABANI!D26-VERI_TABANI!D26*B364), VERI_TABANI!D26*C364)*VERI_TABANI!$B$7 + MAX(0, VERI_TABANI!D26*C364-MAX(0, VERI_TABANI!D26-VERI_TABANI!D26*B364))*VERI_TABANI!$B$8) + IF(ABS(IF(ISNUMBER(SEARCH("Var", D364)), 1, IF(ISNUMBER(SEARCH("Gri", D364)), -1, 0)))=1, VERI_TABANI!E26*(1-0.928)*VERI_TABANI!$B$9, 0) + (VERI_TABANI!D26*B364*(VERI_TABANI!$B$13-VERI_TABANI!$B$14)*VERI_TABANI!G26) + (VERI_TABANI!D26*C364*(VERI_TABANI!$B$13-VERI_TABANI!$B$15)*VERI_TABANI!G26) + IF(ABS(IF(ISNUMBER(SEARCH("Var", D364)), 1, IF(ISNUMBER(SEARCH("Gri", D364)), -1, 0)))=1, VERI_TABANI!E26*(1-0.928)*0.00206091519919798*VERI_TABANI!G26, 0)) + ((MIN(VERI_TABANI!D27, VERI_TABANI!D27*B364)*VERI_TABANI!$B$7 + MAX(0, VERI_TABANI!D27*B364-VERI_TABANI!D27)*VERI_TABANI!$B$8) + (MIN(MAX(0, VERI_TABANI!D27-VERI_TABANI!D27*B364), VERI_TABANI!D27*C364)*VERI_TABANI!$B$7 + MAX(0, VERI_TABANI!D27*C364-MAX(0, VERI_TABANI!D27-VERI_TABANI!D27*B364))*VERI_TABANI!$B$8) + IF(ABS(IF(ISNUMBER(SEARCH("Var", D364)), 1, IF(ISNUMBER(SEARCH("Gri", D364)), -1, 0)))=1, VERI_TABANI!E27*(1-0.928)*VERI_TABANI!$B$9, 0) + (VERI_TABANI!D27*B364*(VERI_TABANI!$B$13-VERI_TABANI!$B$14)*VERI_TABANI!G27) + (VERI_TABANI!D27*C364*(VERI_TABANI!$B$13-VERI_TABANI!$B$15)*VERI_TABANI!G27) + IF(ABS(IF(ISNUMBER(SEARCH("Var", D364)), 1, IF(ISNUMBER(SEARCH("Gri", D364)), -1, 0)))=1, VERI_TABANI!E27*(1-0.928)*0.00206091519919798*VERI_TABANI!G27, 0)) + ((MIN(VERI_TABANI!D28, VERI_TABANI!D28*B364)*VERI_TABANI!$B$7 + MAX(0, VERI_TABANI!D28*B364-VERI_TABANI!D28)*VERI_TABANI!$B$8) + (MIN(MAX(0, VERI_TABANI!D28-VERI_TABANI!D28*B364), VERI_TABANI!D28*C364)*VERI_TABANI!$B$7 + MAX(0, VERI_TABANI!D28*C364-MAX(0, VERI_TABANI!D28-VERI_TABANI!D28*B364))*VERI_TABANI!$B$8) + IF(ABS(IF(ISNUMBER(SEARCH("Var", D364)), 1, IF(ISNUMBER(SEARCH("Gri", D364)), -1, 0)))=1, VERI_TABANI!E28*(1-0.928)*VERI_TABANI!$B$9, 0) + (VERI_TABANI!D28*B364*(VERI_TABANI!$B$13-VERI_TABANI!$B$14)*VERI_TABANI!G28) + (VERI_TABANI!D28*C364*(VERI_TABANI!$B$13-VERI_TABANI!$B$15)*VERI_TABANI!G28) + IF(ABS(IF(ISNUMBER(SEARCH("Var", D364)), 1, IF(ISNUMBER(SEARCH("Gri", D364)), -1, 0)))=1, VERI_TABANI!E28*(1-0.928)*0.00206091519919798*VERI_TABANI!G28, 0)))</f>
        <v/>
      </c>
      <c r="H364" s="169">
        <f>(((VERI_TABANI!D23*B364*(VERI_TABANI!$B$13-VERI_TABANI!$B$14)) + (VERI_TABANI!D23*C364*(VERI_TABANI!$B$13-VERI_TABANI!$B$15)) + IF(ISNUMBER(SEARCH("Var", D364)), VERI_TABANI!F23*(0.00202-VERI_TABANI!$B$16), IF(ISNUMBER(SEARCH("Gri", D364)), VERI_TABANI!F23*(0.00202-VERI_TABANI!$B$17), 0))) + ((VERI_TABANI!D24*B364*(VERI_TABANI!$B$13-VERI_TABANI!$B$14)) + (VERI_TABANI!D24*C364*(VERI_TABANI!$B$13-VERI_TABANI!$B$15)) + IF(ISNUMBER(SEARCH("Var", D364)), VERI_TABANI!F24*(0.00202-VERI_TABANI!$B$16), IF(ISNUMBER(SEARCH("Gri", D364)), VERI_TABANI!F24*(0.00202-VERI_TABANI!$B$17), 0))) + ((VERI_TABANI!D25*B364*(VERI_TABANI!$B$13-VERI_TABANI!$B$14)) + (VERI_TABANI!D25*C364*(VERI_TABANI!$B$13-VERI_TABANI!$B$15)) + IF(ISNUMBER(SEARCH("Var", D364)), VERI_TABANI!F25*(0.00202-VERI_TABANI!$B$16), IF(ISNUMBER(SEARCH("Gri", D364)), VERI_TABANI!F25*(0.00202-VERI_TABANI!$B$17), 0))) + ((VERI_TABANI!D26*B364*(VERI_TABANI!$B$13-VERI_TABANI!$B$14)) + (VERI_TABANI!D26*C364*(VERI_TABANI!$B$13-VERI_TABANI!$B$15)) + IF(ISNUMBER(SEARCH("Var", D364)), VERI_TABANI!F26*(0.00202-VERI_TABANI!$B$16), IF(ISNUMBER(SEARCH("Gri", D364)), VERI_TABANI!F26*(0.00202-VERI_TABANI!$B$17), 0))) + ((VERI_TABANI!D27*B364*(VERI_TABANI!$B$13-VERI_TABANI!$B$14)) + (VERI_TABANI!D27*C364*(VERI_TABANI!$B$13-VERI_TABANI!$B$15)) + IF(ISNUMBER(SEARCH("Var", D364)), VERI_TABANI!F27*(0.00202-VERI_TABANI!$B$16), IF(ISNUMBER(SEARCH("Gri", D364)), VERI_TABANI!F27*(0.00202-VERI_TABANI!$B$17), 0))) + ((VERI_TABANI!D28*B364*(VERI_TABANI!$B$13-VERI_TABANI!$B$14)) + (VERI_TABANI!D28*C364*(VERI_TABANI!$B$13-VERI_TABANI!$B$15)) + IF(ISNUMBER(SEARCH("Var", D364)), VERI_TABANI!F28*(0.00202-VERI_TABANI!$B$16), IF(ISNUMBER(SEARCH("Gri", D364)), VERI_TABANI!F28*(0.00202-VERI_TABANI!$B$17), 0))))</f>
        <v/>
      </c>
      <c r="I364" s="170">
        <f>IFERROR(((VERI_TABANI!$D$29*B364*VERI_TABANI!$B$14 + VERI_TABANI!$D$29*C364*VERI_TABANI!$B$15 + IF(ISNUMBER(SEARCH("Var", D364)), VERI_TABANI!$F$29*VERI_TABANI!$B$16, 0))) / (((VERI_TABANI!$D$29*B364 + VERI_TABANI!$D$29*C364)*VERI_TABANI!$B$13 + IF(ISNUMBER(SEARCH("Var", D364)), VERI_TABANI!$E$29*(1-0.928)*VERI_TABANI!$B$18, 0))), 0)</f>
        <v/>
      </c>
      <c r="J364" s="171">
        <f>IFERROR(F364/(G364/29), 0)</f>
        <v/>
      </c>
      <c r="K364" s="172">
        <f>IF(F364&gt;0, H364/F364, 0)</f>
        <v/>
      </c>
      <c r="L364" s="170">
        <f>IF(F364&gt;0, I364, 1000000000)</f>
        <v/>
      </c>
      <c r="M364" s="171">
        <f>ABS((B364+C364)-1)</f>
        <v/>
      </c>
      <c r="N364" s="170">
        <f>IF(F364&gt;0, (G364/29)/F364, 0)</f>
        <v/>
      </c>
      <c r="O364" s="168">
        <f>IF(AND((B364+C364)&gt;=1, ISNUMBER(SEARCH("Var", D364))), F364, 1000000000)</f>
        <v/>
      </c>
      <c r="P364" s="172">
        <f>IF(F364&gt;0, SQRT((F364/MAX(F$5:F$886))^2 + (1 - H364/MAX(H$5:H$886))^2 + (J364/MAX(J$5:J$886))^2), 1000000000)</f>
        <v/>
      </c>
      <c r="Q364" s="166">
        <f>IF(AND(ABS(B364-0.5)&lt;0.01, ABS(C364-0.5)&lt;0.01, ISNUMBER(SEARCH("Var", D364))), 1, 0)</f>
        <v/>
      </c>
      <c r="R364" s="171">
        <f>IF(F364&gt;0, J364, 1000000000)</f>
        <v/>
      </c>
      <c r="S364" s="101">
        <f>IF(AND(F364&lt;=DASHBOARD!$B$11, H364&gt;=DASHBOARD!$B$13), G364, -1000000000000)</f>
        <v/>
      </c>
      <c r="T364" s="101">
        <f>IF(AND(F364&lt;=DASHBOARD!$B$11, H364&gt;=DASHBOARD!$B$13), R364, 1000000000000)</f>
        <v/>
      </c>
      <c r="U364" s="101">
        <f>IF(AND(F364&lt;=DASHBOARD!$B$11, H364&gt;=DASHBOARD!$B$13), N364, -1000000000000)</f>
        <v/>
      </c>
      <c r="V364" s="101">
        <f>IF(AND(F364&lt;=DASHBOARD!$B$11, H364&gt;=DASHBOARD!$B$13), H364, -1000000000000)</f>
        <v/>
      </c>
      <c r="W364" s="101">
        <f>IF(AND(F364&lt;=DASHBOARD!$B$11, H364&gt;=DASHBOARD!$B$13), K364, -1000000000000)</f>
        <v/>
      </c>
      <c r="X364" s="101">
        <f>IF(AND(F364&lt;=DASHBOARD!$B$11, H364&gt;=DASHBOARD!$B$13), M364, 1000000000000)</f>
        <v/>
      </c>
      <c r="Y364" s="101">
        <f>IF(AND(F364&lt;=DASHBOARD!$B$10, H364&gt;=DASHBOARD!$B$11), L364, 1000000000000)</f>
        <v/>
      </c>
      <c r="Z364" s="101">
        <f>IF(AND(F364&lt;=DASHBOARD!$B$10, H364&gt;=DASHBOARD!$B$11), O364, 1000000000000)</f>
        <v/>
      </c>
      <c r="AA364" s="101">
        <f>IF(AND(F364&lt;=DASHBOARD!$B$10, H364&gt;=DASHBOARD!$B$11), P364, 1000000000000)</f>
        <v/>
      </c>
      <c r="AB364" s="101">
        <f>IF(AND(F364&lt;=DASHBOARD!$B$10, H364&gt;=DASHBOARD!$B$11), Q364, -1000000000000)</f>
        <v/>
      </c>
    </row>
    <row r="365" ht="15" customHeight="1" s="102">
      <c r="A365" s="166" t="n">
        <v>361</v>
      </c>
      <c r="B365" s="167" t="n">
        <v>0.8</v>
      </c>
      <c r="C365" s="167" t="n">
        <v>1.2</v>
      </c>
      <c r="D365" s="110" t="inlineStr">
        <is>
          <t>Yok (%0)</t>
        </is>
      </c>
      <c r="E365" s="110">
        <f>IF((B365+C365)&lt;=1, "Tam Mahsuplaşma (≤%100)", "Kısmi Satış (&gt;%100)")</f>
        <v/>
      </c>
      <c r="F365" s="168">
        <f>((VERI_TABANI!$D$29*B365/VERI_TABANI!$B$29)/VERI_TABANI!$B$3)*VERI_TABANI!$B$5 + ((VERI_TABANI!$D$29*C365/VERI_TABANI!$B$29)/VERI_TABANI!$B$4)*VERI_TABANI!$B$6 + IF(ISNUMBER(SEARCH("Var", D365)), (VERI_TABANI!$F$29/VERI_TABANI!$B$29)*(VERI_TABANI!$B$10+VERI_TABANI!$B$12), 0)</f>
        <v/>
      </c>
      <c r="G365" s="168">
        <f>(((MIN(VERI_TABANI!D23, VERI_TABANI!D23*B365)*VERI_TABANI!$B$7 + MAX(0, VERI_TABANI!D23*B365-VERI_TABANI!D23)*VERI_TABANI!$B$8) + (MIN(MAX(0, VERI_TABANI!D23-VERI_TABANI!D23*B365), VERI_TABANI!D23*C365)*VERI_TABANI!$B$7 + MAX(0, VERI_TABANI!D23*C365-MAX(0, VERI_TABANI!D23-VERI_TABANI!D23*B365))*VERI_TABANI!$B$8) + IF(ABS(IF(ISNUMBER(SEARCH("Var", D365)), 1, IF(ISNUMBER(SEARCH("Gri", D365)), -1, 0)))=1, VERI_TABANI!E23*(1-0.928)*VERI_TABANI!$B$9, 0) + (VERI_TABANI!D23*B365*(VERI_TABANI!$B$13-VERI_TABANI!$B$14)*VERI_TABANI!G23) + (VERI_TABANI!D23*C365*(VERI_TABANI!$B$13-VERI_TABANI!$B$15)*VERI_TABANI!G23) + IF(ABS(IF(ISNUMBER(SEARCH("Var", D365)), 1, IF(ISNUMBER(SEARCH("Gri", D365)), -1, 0)))=1, VERI_TABANI!E23*(1-0.928)*0.00206091519919798*VERI_TABANI!G23, 0)) + ((MIN(VERI_TABANI!D24, VERI_TABANI!D24*B365)*VERI_TABANI!$B$7 + MAX(0, VERI_TABANI!D24*B365-VERI_TABANI!D24)*VERI_TABANI!$B$8) + (MIN(MAX(0, VERI_TABANI!D24-VERI_TABANI!D24*B365), VERI_TABANI!D24*C365)*VERI_TABANI!$B$7 + MAX(0, VERI_TABANI!D24*C365-MAX(0, VERI_TABANI!D24-VERI_TABANI!D24*B365))*VERI_TABANI!$B$8) + IF(ABS(IF(ISNUMBER(SEARCH("Var", D365)), 1, IF(ISNUMBER(SEARCH("Gri", D365)), -1, 0)))=1, VERI_TABANI!E24*(1-0.928)*VERI_TABANI!$B$9, 0) + (VERI_TABANI!D24*B365*(VERI_TABANI!$B$13-VERI_TABANI!$B$14)*VERI_TABANI!G24) + (VERI_TABANI!D24*C365*(VERI_TABANI!$B$13-VERI_TABANI!$B$15)*VERI_TABANI!G24) + IF(ABS(IF(ISNUMBER(SEARCH("Var", D365)), 1, IF(ISNUMBER(SEARCH("Gri", D365)), -1, 0)))=1, VERI_TABANI!E24*(1-0.928)*0.00206091519919798*VERI_TABANI!G24, 0)) + ((MIN(VERI_TABANI!D25, VERI_TABANI!D25*B365)*VERI_TABANI!$B$7 + MAX(0, VERI_TABANI!D25*B365-VERI_TABANI!D25)*VERI_TABANI!$B$8) + (MIN(MAX(0, VERI_TABANI!D25-VERI_TABANI!D25*B365), VERI_TABANI!D25*C365)*VERI_TABANI!$B$7 + MAX(0, VERI_TABANI!D25*C365-MAX(0, VERI_TABANI!D25-VERI_TABANI!D25*B365))*VERI_TABANI!$B$8) + IF(ABS(IF(ISNUMBER(SEARCH("Var", D365)), 1, IF(ISNUMBER(SEARCH("Gri", D365)), -1, 0)))=1, VERI_TABANI!E25*(1-0.928)*VERI_TABANI!$B$9, 0) + (VERI_TABANI!D25*B365*(VERI_TABANI!$B$13-VERI_TABANI!$B$14)*VERI_TABANI!G25) + (VERI_TABANI!D25*C365*(VERI_TABANI!$B$13-VERI_TABANI!$B$15)*VERI_TABANI!G25) + IF(ABS(IF(ISNUMBER(SEARCH("Var", D365)), 1, IF(ISNUMBER(SEARCH("Gri", D365)), -1, 0)))=1, VERI_TABANI!E25*(1-0.928)*0.00206091519919798*VERI_TABANI!G25, 0)) + ((MIN(VERI_TABANI!D26, VERI_TABANI!D26*B365)*VERI_TABANI!$B$7 + MAX(0, VERI_TABANI!D26*B365-VERI_TABANI!D26)*VERI_TABANI!$B$8) + (MIN(MAX(0, VERI_TABANI!D26-VERI_TABANI!D26*B365), VERI_TABANI!D26*C365)*VERI_TABANI!$B$7 + MAX(0, VERI_TABANI!D26*C365-MAX(0, VERI_TABANI!D26-VERI_TABANI!D26*B365))*VERI_TABANI!$B$8) + IF(ABS(IF(ISNUMBER(SEARCH("Var", D365)), 1, IF(ISNUMBER(SEARCH("Gri", D365)), -1, 0)))=1, VERI_TABANI!E26*(1-0.928)*VERI_TABANI!$B$9, 0) + (VERI_TABANI!D26*B365*(VERI_TABANI!$B$13-VERI_TABANI!$B$14)*VERI_TABANI!G26) + (VERI_TABANI!D26*C365*(VERI_TABANI!$B$13-VERI_TABANI!$B$15)*VERI_TABANI!G26) + IF(ABS(IF(ISNUMBER(SEARCH("Var", D365)), 1, IF(ISNUMBER(SEARCH("Gri", D365)), -1, 0)))=1, VERI_TABANI!E26*(1-0.928)*0.00206091519919798*VERI_TABANI!G26, 0)) + ((MIN(VERI_TABANI!D27, VERI_TABANI!D27*B365)*VERI_TABANI!$B$7 + MAX(0, VERI_TABANI!D27*B365-VERI_TABANI!D27)*VERI_TABANI!$B$8) + (MIN(MAX(0, VERI_TABANI!D27-VERI_TABANI!D27*B365), VERI_TABANI!D27*C365)*VERI_TABANI!$B$7 + MAX(0, VERI_TABANI!D27*C365-MAX(0, VERI_TABANI!D27-VERI_TABANI!D27*B365))*VERI_TABANI!$B$8) + IF(ABS(IF(ISNUMBER(SEARCH("Var", D365)), 1, IF(ISNUMBER(SEARCH("Gri", D365)), -1, 0)))=1, VERI_TABANI!E27*(1-0.928)*VERI_TABANI!$B$9, 0) + (VERI_TABANI!D27*B365*(VERI_TABANI!$B$13-VERI_TABANI!$B$14)*VERI_TABANI!G27) + (VERI_TABANI!D27*C365*(VERI_TABANI!$B$13-VERI_TABANI!$B$15)*VERI_TABANI!G27) + IF(ABS(IF(ISNUMBER(SEARCH("Var", D365)), 1, IF(ISNUMBER(SEARCH("Gri", D365)), -1, 0)))=1, VERI_TABANI!E27*(1-0.928)*0.00206091519919798*VERI_TABANI!G27, 0)) + ((MIN(VERI_TABANI!D28, VERI_TABANI!D28*B365)*VERI_TABANI!$B$7 + MAX(0, VERI_TABANI!D28*B365-VERI_TABANI!D28)*VERI_TABANI!$B$8) + (MIN(MAX(0, VERI_TABANI!D28-VERI_TABANI!D28*B365), VERI_TABANI!D28*C365)*VERI_TABANI!$B$7 + MAX(0, VERI_TABANI!D28*C365-MAX(0, VERI_TABANI!D28-VERI_TABANI!D28*B365))*VERI_TABANI!$B$8) + IF(ABS(IF(ISNUMBER(SEARCH("Var", D365)), 1, IF(ISNUMBER(SEARCH("Gri", D365)), -1, 0)))=1, VERI_TABANI!E28*(1-0.928)*VERI_TABANI!$B$9, 0) + (VERI_TABANI!D28*B365*(VERI_TABANI!$B$13-VERI_TABANI!$B$14)*VERI_TABANI!G28) + (VERI_TABANI!D28*C365*(VERI_TABANI!$B$13-VERI_TABANI!$B$15)*VERI_TABANI!G28) + IF(ABS(IF(ISNUMBER(SEARCH("Var", D365)), 1, IF(ISNUMBER(SEARCH("Gri", D365)), -1, 0)))=1, VERI_TABANI!E28*(1-0.928)*0.00206091519919798*VERI_TABANI!G28, 0)))</f>
        <v/>
      </c>
      <c r="H365" s="169">
        <f>(((VERI_TABANI!D23*B365*(VERI_TABANI!$B$13-VERI_TABANI!$B$14)) + (VERI_TABANI!D23*C365*(VERI_TABANI!$B$13-VERI_TABANI!$B$15)) + IF(ISNUMBER(SEARCH("Var", D365)), VERI_TABANI!F23*(0.00202-VERI_TABANI!$B$16), IF(ISNUMBER(SEARCH("Gri", D365)), VERI_TABANI!F23*(0.00202-VERI_TABANI!$B$17), 0))) + ((VERI_TABANI!D24*B365*(VERI_TABANI!$B$13-VERI_TABANI!$B$14)) + (VERI_TABANI!D24*C365*(VERI_TABANI!$B$13-VERI_TABANI!$B$15)) + IF(ISNUMBER(SEARCH("Var", D365)), VERI_TABANI!F24*(0.00202-VERI_TABANI!$B$16), IF(ISNUMBER(SEARCH("Gri", D365)), VERI_TABANI!F24*(0.00202-VERI_TABANI!$B$17), 0))) + ((VERI_TABANI!D25*B365*(VERI_TABANI!$B$13-VERI_TABANI!$B$14)) + (VERI_TABANI!D25*C365*(VERI_TABANI!$B$13-VERI_TABANI!$B$15)) + IF(ISNUMBER(SEARCH("Var", D365)), VERI_TABANI!F25*(0.00202-VERI_TABANI!$B$16), IF(ISNUMBER(SEARCH("Gri", D365)), VERI_TABANI!F25*(0.00202-VERI_TABANI!$B$17), 0))) + ((VERI_TABANI!D26*B365*(VERI_TABANI!$B$13-VERI_TABANI!$B$14)) + (VERI_TABANI!D26*C365*(VERI_TABANI!$B$13-VERI_TABANI!$B$15)) + IF(ISNUMBER(SEARCH("Var", D365)), VERI_TABANI!F26*(0.00202-VERI_TABANI!$B$16), IF(ISNUMBER(SEARCH("Gri", D365)), VERI_TABANI!F26*(0.00202-VERI_TABANI!$B$17), 0))) + ((VERI_TABANI!D27*B365*(VERI_TABANI!$B$13-VERI_TABANI!$B$14)) + (VERI_TABANI!D27*C365*(VERI_TABANI!$B$13-VERI_TABANI!$B$15)) + IF(ISNUMBER(SEARCH("Var", D365)), VERI_TABANI!F27*(0.00202-VERI_TABANI!$B$16), IF(ISNUMBER(SEARCH("Gri", D365)), VERI_TABANI!F27*(0.00202-VERI_TABANI!$B$17), 0))) + ((VERI_TABANI!D28*B365*(VERI_TABANI!$B$13-VERI_TABANI!$B$14)) + (VERI_TABANI!D28*C365*(VERI_TABANI!$B$13-VERI_TABANI!$B$15)) + IF(ISNUMBER(SEARCH("Var", D365)), VERI_TABANI!F28*(0.00202-VERI_TABANI!$B$16), IF(ISNUMBER(SEARCH("Gri", D365)), VERI_TABANI!F28*(0.00202-VERI_TABANI!$B$17), 0))))</f>
        <v/>
      </c>
      <c r="I365" s="170">
        <f>IFERROR(((VERI_TABANI!$D$29*B365*VERI_TABANI!$B$14 + VERI_TABANI!$D$29*C365*VERI_TABANI!$B$15 + IF(ISNUMBER(SEARCH("Var", D365)), VERI_TABANI!$F$29*VERI_TABANI!$B$16, 0))) / (((VERI_TABANI!$D$29*B365 + VERI_TABANI!$D$29*C365)*VERI_TABANI!$B$13 + IF(ISNUMBER(SEARCH("Var", D365)), VERI_TABANI!$E$29*(1-0.928)*VERI_TABANI!$B$18, 0))), 0)</f>
        <v/>
      </c>
      <c r="J365" s="171">
        <f>IFERROR(F365/(G365/29), 0)</f>
        <v/>
      </c>
      <c r="K365" s="172">
        <f>IF(F365&gt;0, H365/F365, 0)</f>
        <v/>
      </c>
      <c r="L365" s="170">
        <f>IF(F365&gt;0, I365, 1000000000)</f>
        <v/>
      </c>
      <c r="M365" s="171">
        <f>ABS((B365+C365)-1)</f>
        <v/>
      </c>
      <c r="N365" s="170">
        <f>IF(F365&gt;0, (G365/29)/F365, 0)</f>
        <v/>
      </c>
      <c r="O365" s="168">
        <f>IF(AND((B365+C365)&gt;=1, ISNUMBER(SEARCH("Var", D365))), F365, 1000000000)</f>
        <v/>
      </c>
      <c r="P365" s="172">
        <f>IF(F365&gt;0, SQRT((F365/MAX(F$5:F$886))^2 + (1 - H365/MAX(H$5:H$886))^2 + (J365/MAX(J$5:J$886))^2), 1000000000)</f>
        <v/>
      </c>
      <c r="Q365" s="166">
        <f>IF(AND(ABS(B365-0.5)&lt;0.01, ABS(C365-0.5)&lt;0.01, ISNUMBER(SEARCH("Var", D365))), 1, 0)</f>
        <v/>
      </c>
      <c r="R365" s="171">
        <f>IF(F365&gt;0, J365, 1000000000)</f>
        <v/>
      </c>
      <c r="S365" s="101">
        <f>IF(AND(F365&lt;=DASHBOARD!$B$11, H365&gt;=DASHBOARD!$B$13), G365, -1000000000000)</f>
        <v/>
      </c>
      <c r="T365" s="101">
        <f>IF(AND(F365&lt;=DASHBOARD!$B$11, H365&gt;=DASHBOARD!$B$13), R365, 1000000000000)</f>
        <v/>
      </c>
      <c r="U365" s="101">
        <f>IF(AND(F365&lt;=DASHBOARD!$B$11, H365&gt;=DASHBOARD!$B$13), N365, -1000000000000)</f>
        <v/>
      </c>
      <c r="V365" s="101">
        <f>IF(AND(F365&lt;=DASHBOARD!$B$11, H365&gt;=DASHBOARD!$B$13), H365, -1000000000000)</f>
        <v/>
      </c>
      <c r="W365" s="101">
        <f>IF(AND(F365&lt;=DASHBOARD!$B$11, H365&gt;=DASHBOARD!$B$13), K365, -1000000000000)</f>
        <v/>
      </c>
      <c r="X365" s="101">
        <f>IF(AND(F365&lt;=DASHBOARD!$B$11, H365&gt;=DASHBOARD!$B$13), M365, 1000000000000)</f>
        <v/>
      </c>
      <c r="Y365" s="101">
        <f>IF(AND(F365&lt;=DASHBOARD!$B$10, H365&gt;=DASHBOARD!$B$11), L365, 1000000000000)</f>
        <v/>
      </c>
      <c r="Z365" s="101">
        <f>IF(AND(F365&lt;=DASHBOARD!$B$10, H365&gt;=DASHBOARD!$B$11), O365, 1000000000000)</f>
        <v/>
      </c>
      <c r="AA365" s="101">
        <f>IF(AND(F365&lt;=DASHBOARD!$B$10, H365&gt;=DASHBOARD!$B$11), P365, 1000000000000)</f>
        <v/>
      </c>
      <c r="AB365" s="101">
        <f>IF(AND(F365&lt;=DASHBOARD!$B$10, H365&gt;=DASHBOARD!$B$11), Q365, -1000000000000)</f>
        <v/>
      </c>
    </row>
    <row r="366" ht="15" customHeight="1" s="102">
      <c r="A366" s="166" t="n">
        <v>362</v>
      </c>
      <c r="B366" s="167" t="n">
        <v>0.8</v>
      </c>
      <c r="C366" s="167" t="n">
        <v>1.2</v>
      </c>
      <c r="D366" s="110" t="inlineStr">
        <is>
          <t>Var (%20)</t>
        </is>
      </c>
      <c r="E366" s="110">
        <f>IF((B366+C366)&lt;=1, "Tam Mahsuplaşma (≤%100)", "Kısmi Satış (&gt;%100)")</f>
        <v/>
      </c>
      <c r="F366" s="168">
        <f>((VERI_TABANI!$D$29*B366/VERI_TABANI!$B$29)/VERI_TABANI!$B$3)*VERI_TABANI!$B$5 + ((VERI_TABANI!$D$29*C366/VERI_TABANI!$B$29)/VERI_TABANI!$B$4)*VERI_TABANI!$B$6 + IF(ISNUMBER(SEARCH("Var", D366)), (VERI_TABANI!$F$29/VERI_TABANI!$B$29)*(VERI_TABANI!$B$10+VERI_TABANI!$B$12), 0)</f>
        <v/>
      </c>
      <c r="G366" s="168">
        <f>(((MIN(VERI_TABANI!D23, VERI_TABANI!D23*B366)*VERI_TABANI!$B$7 + MAX(0, VERI_TABANI!D23*B366-VERI_TABANI!D23)*VERI_TABANI!$B$8) + (MIN(MAX(0, VERI_TABANI!D23-VERI_TABANI!D23*B366), VERI_TABANI!D23*C366)*VERI_TABANI!$B$7 + MAX(0, VERI_TABANI!D23*C366-MAX(0, VERI_TABANI!D23-VERI_TABANI!D23*B366))*VERI_TABANI!$B$8) + IF(ABS(IF(ISNUMBER(SEARCH("Var", D366)), 1, IF(ISNUMBER(SEARCH("Gri", D366)), -1, 0)))=1, VERI_TABANI!E23*(1-0.928)*VERI_TABANI!$B$9, 0) + (VERI_TABANI!D23*B366*(VERI_TABANI!$B$13-VERI_TABANI!$B$14)*VERI_TABANI!G23) + (VERI_TABANI!D23*C366*(VERI_TABANI!$B$13-VERI_TABANI!$B$15)*VERI_TABANI!G23) + IF(ABS(IF(ISNUMBER(SEARCH("Var", D366)), 1, IF(ISNUMBER(SEARCH("Gri", D366)), -1, 0)))=1, VERI_TABANI!E23*(1-0.928)*0.00206091519919798*VERI_TABANI!G23, 0)) + ((MIN(VERI_TABANI!D24, VERI_TABANI!D24*B366)*VERI_TABANI!$B$7 + MAX(0, VERI_TABANI!D24*B366-VERI_TABANI!D24)*VERI_TABANI!$B$8) + (MIN(MAX(0, VERI_TABANI!D24-VERI_TABANI!D24*B366), VERI_TABANI!D24*C366)*VERI_TABANI!$B$7 + MAX(0, VERI_TABANI!D24*C366-MAX(0, VERI_TABANI!D24-VERI_TABANI!D24*B366))*VERI_TABANI!$B$8) + IF(ABS(IF(ISNUMBER(SEARCH("Var", D366)), 1, IF(ISNUMBER(SEARCH("Gri", D366)), -1, 0)))=1, VERI_TABANI!E24*(1-0.928)*VERI_TABANI!$B$9, 0) + (VERI_TABANI!D24*B366*(VERI_TABANI!$B$13-VERI_TABANI!$B$14)*VERI_TABANI!G24) + (VERI_TABANI!D24*C366*(VERI_TABANI!$B$13-VERI_TABANI!$B$15)*VERI_TABANI!G24) + IF(ABS(IF(ISNUMBER(SEARCH("Var", D366)), 1, IF(ISNUMBER(SEARCH("Gri", D366)), -1, 0)))=1, VERI_TABANI!E24*(1-0.928)*0.00206091519919798*VERI_TABANI!G24, 0)) + ((MIN(VERI_TABANI!D25, VERI_TABANI!D25*B366)*VERI_TABANI!$B$7 + MAX(0, VERI_TABANI!D25*B366-VERI_TABANI!D25)*VERI_TABANI!$B$8) + (MIN(MAX(0, VERI_TABANI!D25-VERI_TABANI!D25*B366), VERI_TABANI!D25*C366)*VERI_TABANI!$B$7 + MAX(0, VERI_TABANI!D25*C366-MAX(0, VERI_TABANI!D25-VERI_TABANI!D25*B366))*VERI_TABANI!$B$8) + IF(ABS(IF(ISNUMBER(SEARCH("Var", D366)), 1, IF(ISNUMBER(SEARCH("Gri", D366)), -1, 0)))=1, VERI_TABANI!E25*(1-0.928)*VERI_TABANI!$B$9, 0) + (VERI_TABANI!D25*B366*(VERI_TABANI!$B$13-VERI_TABANI!$B$14)*VERI_TABANI!G25) + (VERI_TABANI!D25*C366*(VERI_TABANI!$B$13-VERI_TABANI!$B$15)*VERI_TABANI!G25) + IF(ABS(IF(ISNUMBER(SEARCH("Var", D366)), 1, IF(ISNUMBER(SEARCH("Gri", D366)), -1, 0)))=1, VERI_TABANI!E25*(1-0.928)*0.00206091519919798*VERI_TABANI!G25, 0)) + ((MIN(VERI_TABANI!D26, VERI_TABANI!D26*B366)*VERI_TABANI!$B$7 + MAX(0, VERI_TABANI!D26*B366-VERI_TABANI!D26)*VERI_TABANI!$B$8) + (MIN(MAX(0, VERI_TABANI!D26-VERI_TABANI!D26*B366), VERI_TABANI!D26*C366)*VERI_TABANI!$B$7 + MAX(0, VERI_TABANI!D26*C366-MAX(0, VERI_TABANI!D26-VERI_TABANI!D26*B366))*VERI_TABANI!$B$8) + IF(ABS(IF(ISNUMBER(SEARCH("Var", D366)), 1, IF(ISNUMBER(SEARCH("Gri", D366)), -1, 0)))=1, VERI_TABANI!E26*(1-0.928)*VERI_TABANI!$B$9, 0) + (VERI_TABANI!D26*B366*(VERI_TABANI!$B$13-VERI_TABANI!$B$14)*VERI_TABANI!G26) + (VERI_TABANI!D26*C366*(VERI_TABANI!$B$13-VERI_TABANI!$B$15)*VERI_TABANI!G26) + IF(ABS(IF(ISNUMBER(SEARCH("Var", D366)), 1, IF(ISNUMBER(SEARCH("Gri", D366)), -1, 0)))=1, VERI_TABANI!E26*(1-0.928)*0.00206091519919798*VERI_TABANI!G26, 0)) + ((MIN(VERI_TABANI!D27, VERI_TABANI!D27*B366)*VERI_TABANI!$B$7 + MAX(0, VERI_TABANI!D27*B366-VERI_TABANI!D27)*VERI_TABANI!$B$8) + (MIN(MAX(0, VERI_TABANI!D27-VERI_TABANI!D27*B366), VERI_TABANI!D27*C366)*VERI_TABANI!$B$7 + MAX(0, VERI_TABANI!D27*C366-MAX(0, VERI_TABANI!D27-VERI_TABANI!D27*B366))*VERI_TABANI!$B$8) + IF(ABS(IF(ISNUMBER(SEARCH("Var", D366)), 1, IF(ISNUMBER(SEARCH("Gri", D366)), -1, 0)))=1, VERI_TABANI!E27*(1-0.928)*VERI_TABANI!$B$9, 0) + (VERI_TABANI!D27*B366*(VERI_TABANI!$B$13-VERI_TABANI!$B$14)*VERI_TABANI!G27) + (VERI_TABANI!D27*C366*(VERI_TABANI!$B$13-VERI_TABANI!$B$15)*VERI_TABANI!G27) + IF(ABS(IF(ISNUMBER(SEARCH("Var", D366)), 1, IF(ISNUMBER(SEARCH("Gri", D366)), -1, 0)))=1, VERI_TABANI!E27*(1-0.928)*0.00206091519919798*VERI_TABANI!G27, 0)) + ((MIN(VERI_TABANI!D28, VERI_TABANI!D28*B366)*VERI_TABANI!$B$7 + MAX(0, VERI_TABANI!D28*B366-VERI_TABANI!D28)*VERI_TABANI!$B$8) + (MIN(MAX(0, VERI_TABANI!D28-VERI_TABANI!D28*B366), VERI_TABANI!D28*C366)*VERI_TABANI!$B$7 + MAX(0, VERI_TABANI!D28*C366-MAX(0, VERI_TABANI!D28-VERI_TABANI!D28*B366))*VERI_TABANI!$B$8) + IF(ABS(IF(ISNUMBER(SEARCH("Var", D366)), 1, IF(ISNUMBER(SEARCH("Gri", D366)), -1, 0)))=1, VERI_TABANI!E28*(1-0.928)*VERI_TABANI!$B$9, 0) + (VERI_TABANI!D28*B366*(VERI_TABANI!$B$13-VERI_TABANI!$B$14)*VERI_TABANI!G28) + (VERI_TABANI!D28*C366*(VERI_TABANI!$B$13-VERI_TABANI!$B$15)*VERI_TABANI!G28) + IF(ABS(IF(ISNUMBER(SEARCH("Var", D366)), 1, IF(ISNUMBER(SEARCH("Gri", D366)), -1, 0)))=1, VERI_TABANI!E28*(1-0.928)*0.00206091519919798*VERI_TABANI!G28, 0)))</f>
        <v/>
      </c>
      <c r="H366" s="169">
        <f>(((VERI_TABANI!D23*B366*(VERI_TABANI!$B$13-VERI_TABANI!$B$14)) + (VERI_TABANI!D23*C366*(VERI_TABANI!$B$13-VERI_TABANI!$B$15)) + IF(ISNUMBER(SEARCH("Var", D366)), VERI_TABANI!F23*(0.00202-VERI_TABANI!$B$16), IF(ISNUMBER(SEARCH("Gri", D366)), VERI_TABANI!F23*(0.00202-VERI_TABANI!$B$17), 0))) + ((VERI_TABANI!D24*B366*(VERI_TABANI!$B$13-VERI_TABANI!$B$14)) + (VERI_TABANI!D24*C366*(VERI_TABANI!$B$13-VERI_TABANI!$B$15)) + IF(ISNUMBER(SEARCH("Var", D366)), VERI_TABANI!F24*(0.00202-VERI_TABANI!$B$16), IF(ISNUMBER(SEARCH("Gri", D366)), VERI_TABANI!F24*(0.00202-VERI_TABANI!$B$17), 0))) + ((VERI_TABANI!D25*B366*(VERI_TABANI!$B$13-VERI_TABANI!$B$14)) + (VERI_TABANI!D25*C366*(VERI_TABANI!$B$13-VERI_TABANI!$B$15)) + IF(ISNUMBER(SEARCH("Var", D366)), VERI_TABANI!F25*(0.00202-VERI_TABANI!$B$16), IF(ISNUMBER(SEARCH("Gri", D366)), VERI_TABANI!F25*(0.00202-VERI_TABANI!$B$17), 0))) + ((VERI_TABANI!D26*B366*(VERI_TABANI!$B$13-VERI_TABANI!$B$14)) + (VERI_TABANI!D26*C366*(VERI_TABANI!$B$13-VERI_TABANI!$B$15)) + IF(ISNUMBER(SEARCH("Var", D366)), VERI_TABANI!F26*(0.00202-VERI_TABANI!$B$16), IF(ISNUMBER(SEARCH("Gri", D366)), VERI_TABANI!F26*(0.00202-VERI_TABANI!$B$17), 0))) + ((VERI_TABANI!D27*B366*(VERI_TABANI!$B$13-VERI_TABANI!$B$14)) + (VERI_TABANI!D27*C366*(VERI_TABANI!$B$13-VERI_TABANI!$B$15)) + IF(ISNUMBER(SEARCH("Var", D366)), VERI_TABANI!F27*(0.00202-VERI_TABANI!$B$16), IF(ISNUMBER(SEARCH("Gri", D366)), VERI_TABANI!F27*(0.00202-VERI_TABANI!$B$17), 0))) + ((VERI_TABANI!D28*B366*(VERI_TABANI!$B$13-VERI_TABANI!$B$14)) + (VERI_TABANI!D28*C366*(VERI_TABANI!$B$13-VERI_TABANI!$B$15)) + IF(ISNUMBER(SEARCH("Var", D366)), VERI_TABANI!F28*(0.00202-VERI_TABANI!$B$16), IF(ISNUMBER(SEARCH("Gri", D366)), VERI_TABANI!F28*(0.00202-VERI_TABANI!$B$17), 0))))</f>
        <v/>
      </c>
      <c r="I366" s="170">
        <f>IFERROR(((VERI_TABANI!$D$29*B366*VERI_TABANI!$B$14 + VERI_TABANI!$D$29*C366*VERI_TABANI!$B$15 + IF(ISNUMBER(SEARCH("Var", D366)), VERI_TABANI!$F$29*VERI_TABANI!$B$16, 0))) / (((VERI_TABANI!$D$29*B366 + VERI_TABANI!$D$29*C366)*VERI_TABANI!$B$13 + IF(ISNUMBER(SEARCH("Var", D366)), VERI_TABANI!$E$29*(1-0.928)*VERI_TABANI!$B$18, 0))), 0)</f>
        <v/>
      </c>
      <c r="J366" s="171">
        <f>IFERROR(F366/(G366/29), 0)</f>
        <v/>
      </c>
      <c r="K366" s="172">
        <f>IF(F366&gt;0, H366/F366, 0)</f>
        <v/>
      </c>
      <c r="L366" s="170">
        <f>IF(F366&gt;0, I366, 1000000000)</f>
        <v/>
      </c>
      <c r="M366" s="171">
        <f>ABS((B366+C366)-1)</f>
        <v/>
      </c>
      <c r="N366" s="170">
        <f>IF(F366&gt;0, (G366/29)/F366, 0)</f>
        <v/>
      </c>
      <c r="O366" s="168">
        <f>IF(AND((B366+C366)&gt;=1, ISNUMBER(SEARCH("Var", D366))), F366, 1000000000)</f>
        <v/>
      </c>
      <c r="P366" s="172">
        <f>IF(F366&gt;0, SQRT((F366/MAX(F$5:F$886))^2 + (1 - H366/MAX(H$5:H$886))^2 + (J366/MAX(J$5:J$886))^2), 1000000000)</f>
        <v/>
      </c>
      <c r="Q366" s="166">
        <f>IF(AND(ABS(B366-0.5)&lt;0.01, ABS(C366-0.5)&lt;0.01, ISNUMBER(SEARCH("Var", D366))), 1, 0)</f>
        <v/>
      </c>
      <c r="R366" s="171">
        <f>IF(F366&gt;0, J366, 1000000000)</f>
        <v/>
      </c>
      <c r="S366" s="101">
        <f>IF(AND(F366&lt;=DASHBOARD!$B$11, H366&gt;=DASHBOARD!$B$13), G366, -1000000000000)</f>
        <v/>
      </c>
      <c r="T366" s="101">
        <f>IF(AND(F366&lt;=DASHBOARD!$B$11, H366&gt;=DASHBOARD!$B$13), R366, 1000000000000)</f>
        <v/>
      </c>
      <c r="U366" s="101">
        <f>IF(AND(F366&lt;=DASHBOARD!$B$11, H366&gt;=DASHBOARD!$B$13), N366, -1000000000000)</f>
        <v/>
      </c>
      <c r="V366" s="101">
        <f>IF(AND(F366&lt;=DASHBOARD!$B$11, H366&gt;=DASHBOARD!$B$13), H366, -1000000000000)</f>
        <v/>
      </c>
      <c r="W366" s="101">
        <f>IF(AND(F366&lt;=DASHBOARD!$B$11, H366&gt;=DASHBOARD!$B$13), K366, -1000000000000)</f>
        <v/>
      </c>
      <c r="X366" s="101">
        <f>IF(AND(F366&lt;=DASHBOARD!$B$11, H366&gt;=DASHBOARD!$B$13), M366, 1000000000000)</f>
        <v/>
      </c>
      <c r="Y366" s="101">
        <f>IF(AND(F366&lt;=DASHBOARD!$B$10, H366&gt;=DASHBOARD!$B$11), L366, 1000000000000)</f>
        <v/>
      </c>
      <c r="Z366" s="101">
        <f>IF(AND(F366&lt;=DASHBOARD!$B$10, H366&gt;=DASHBOARD!$B$11), O366, 1000000000000)</f>
        <v/>
      </c>
      <c r="AA366" s="101">
        <f>IF(AND(F366&lt;=DASHBOARD!$B$10, H366&gt;=DASHBOARD!$B$11), P366, 1000000000000)</f>
        <v/>
      </c>
      <c r="AB366" s="101">
        <f>IF(AND(F366&lt;=DASHBOARD!$B$10, H366&gt;=DASHBOARD!$B$11), Q366, -1000000000000)</f>
        <v/>
      </c>
    </row>
    <row r="367" ht="15" customHeight="1" s="102">
      <c r="A367" s="166" t="n">
        <v>363</v>
      </c>
      <c r="B367" s="167" t="n">
        <v>0.8</v>
      </c>
      <c r="C367" s="167" t="n">
        <v>1.3</v>
      </c>
      <c r="D367" s="110" t="inlineStr">
        <is>
          <t>Yok (%0)</t>
        </is>
      </c>
      <c r="E367" s="110">
        <f>IF((B367+C367)&lt;=1, "Tam Mahsuplaşma (≤%100)", "Kısmi Satış (&gt;%100)")</f>
        <v/>
      </c>
      <c r="F367" s="168">
        <f>((VERI_TABANI!$D$29*B367/VERI_TABANI!$B$29)/VERI_TABANI!$B$3)*VERI_TABANI!$B$5 + ((VERI_TABANI!$D$29*C367/VERI_TABANI!$B$29)/VERI_TABANI!$B$4)*VERI_TABANI!$B$6 + IF(ISNUMBER(SEARCH("Var", D367)), (VERI_TABANI!$F$29/VERI_TABANI!$B$29)*(VERI_TABANI!$B$10+VERI_TABANI!$B$12), 0)</f>
        <v/>
      </c>
      <c r="G367" s="168">
        <f>(((MIN(VERI_TABANI!D23, VERI_TABANI!D23*B367)*VERI_TABANI!$B$7 + MAX(0, VERI_TABANI!D23*B367-VERI_TABANI!D23)*VERI_TABANI!$B$8) + (MIN(MAX(0, VERI_TABANI!D23-VERI_TABANI!D23*B367), VERI_TABANI!D23*C367)*VERI_TABANI!$B$7 + MAX(0, VERI_TABANI!D23*C367-MAX(0, VERI_TABANI!D23-VERI_TABANI!D23*B367))*VERI_TABANI!$B$8) + IF(ABS(IF(ISNUMBER(SEARCH("Var", D367)), 1, IF(ISNUMBER(SEARCH("Gri", D367)), -1, 0)))=1, VERI_TABANI!E23*(1-0.928)*VERI_TABANI!$B$9, 0) + (VERI_TABANI!D23*B367*(VERI_TABANI!$B$13-VERI_TABANI!$B$14)*VERI_TABANI!G23) + (VERI_TABANI!D23*C367*(VERI_TABANI!$B$13-VERI_TABANI!$B$15)*VERI_TABANI!G23) + IF(ABS(IF(ISNUMBER(SEARCH("Var", D367)), 1, IF(ISNUMBER(SEARCH("Gri", D367)), -1, 0)))=1, VERI_TABANI!E23*(1-0.928)*0.00206091519919798*VERI_TABANI!G23, 0)) + ((MIN(VERI_TABANI!D24, VERI_TABANI!D24*B367)*VERI_TABANI!$B$7 + MAX(0, VERI_TABANI!D24*B367-VERI_TABANI!D24)*VERI_TABANI!$B$8) + (MIN(MAX(0, VERI_TABANI!D24-VERI_TABANI!D24*B367), VERI_TABANI!D24*C367)*VERI_TABANI!$B$7 + MAX(0, VERI_TABANI!D24*C367-MAX(0, VERI_TABANI!D24-VERI_TABANI!D24*B367))*VERI_TABANI!$B$8) + IF(ABS(IF(ISNUMBER(SEARCH("Var", D367)), 1, IF(ISNUMBER(SEARCH("Gri", D367)), -1, 0)))=1, VERI_TABANI!E24*(1-0.928)*VERI_TABANI!$B$9, 0) + (VERI_TABANI!D24*B367*(VERI_TABANI!$B$13-VERI_TABANI!$B$14)*VERI_TABANI!G24) + (VERI_TABANI!D24*C367*(VERI_TABANI!$B$13-VERI_TABANI!$B$15)*VERI_TABANI!G24) + IF(ABS(IF(ISNUMBER(SEARCH("Var", D367)), 1, IF(ISNUMBER(SEARCH("Gri", D367)), -1, 0)))=1, VERI_TABANI!E24*(1-0.928)*0.00206091519919798*VERI_TABANI!G24, 0)) + ((MIN(VERI_TABANI!D25, VERI_TABANI!D25*B367)*VERI_TABANI!$B$7 + MAX(0, VERI_TABANI!D25*B367-VERI_TABANI!D25)*VERI_TABANI!$B$8) + (MIN(MAX(0, VERI_TABANI!D25-VERI_TABANI!D25*B367), VERI_TABANI!D25*C367)*VERI_TABANI!$B$7 + MAX(0, VERI_TABANI!D25*C367-MAX(0, VERI_TABANI!D25-VERI_TABANI!D25*B367))*VERI_TABANI!$B$8) + IF(ABS(IF(ISNUMBER(SEARCH("Var", D367)), 1, IF(ISNUMBER(SEARCH("Gri", D367)), -1, 0)))=1, VERI_TABANI!E25*(1-0.928)*VERI_TABANI!$B$9, 0) + (VERI_TABANI!D25*B367*(VERI_TABANI!$B$13-VERI_TABANI!$B$14)*VERI_TABANI!G25) + (VERI_TABANI!D25*C367*(VERI_TABANI!$B$13-VERI_TABANI!$B$15)*VERI_TABANI!G25) + IF(ABS(IF(ISNUMBER(SEARCH("Var", D367)), 1, IF(ISNUMBER(SEARCH("Gri", D367)), -1, 0)))=1, VERI_TABANI!E25*(1-0.928)*0.00206091519919798*VERI_TABANI!G25, 0)) + ((MIN(VERI_TABANI!D26, VERI_TABANI!D26*B367)*VERI_TABANI!$B$7 + MAX(0, VERI_TABANI!D26*B367-VERI_TABANI!D26)*VERI_TABANI!$B$8) + (MIN(MAX(0, VERI_TABANI!D26-VERI_TABANI!D26*B367), VERI_TABANI!D26*C367)*VERI_TABANI!$B$7 + MAX(0, VERI_TABANI!D26*C367-MAX(0, VERI_TABANI!D26-VERI_TABANI!D26*B367))*VERI_TABANI!$B$8) + IF(ABS(IF(ISNUMBER(SEARCH("Var", D367)), 1, IF(ISNUMBER(SEARCH("Gri", D367)), -1, 0)))=1, VERI_TABANI!E26*(1-0.928)*VERI_TABANI!$B$9, 0) + (VERI_TABANI!D26*B367*(VERI_TABANI!$B$13-VERI_TABANI!$B$14)*VERI_TABANI!G26) + (VERI_TABANI!D26*C367*(VERI_TABANI!$B$13-VERI_TABANI!$B$15)*VERI_TABANI!G26) + IF(ABS(IF(ISNUMBER(SEARCH("Var", D367)), 1, IF(ISNUMBER(SEARCH("Gri", D367)), -1, 0)))=1, VERI_TABANI!E26*(1-0.928)*0.00206091519919798*VERI_TABANI!G26, 0)) + ((MIN(VERI_TABANI!D27, VERI_TABANI!D27*B367)*VERI_TABANI!$B$7 + MAX(0, VERI_TABANI!D27*B367-VERI_TABANI!D27)*VERI_TABANI!$B$8) + (MIN(MAX(0, VERI_TABANI!D27-VERI_TABANI!D27*B367), VERI_TABANI!D27*C367)*VERI_TABANI!$B$7 + MAX(0, VERI_TABANI!D27*C367-MAX(0, VERI_TABANI!D27-VERI_TABANI!D27*B367))*VERI_TABANI!$B$8) + IF(ABS(IF(ISNUMBER(SEARCH("Var", D367)), 1, IF(ISNUMBER(SEARCH("Gri", D367)), -1, 0)))=1, VERI_TABANI!E27*(1-0.928)*VERI_TABANI!$B$9, 0) + (VERI_TABANI!D27*B367*(VERI_TABANI!$B$13-VERI_TABANI!$B$14)*VERI_TABANI!G27) + (VERI_TABANI!D27*C367*(VERI_TABANI!$B$13-VERI_TABANI!$B$15)*VERI_TABANI!G27) + IF(ABS(IF(ISNUMBER(SEARCH("Var", D367)), 1, IF(ISNUMBER(SEARCH("Gri", D367)), -1, 0)))=1, VERI_TABANI!E27*(1-0.928)*0.00206091519919798*VERI_TABANI!G27, 0)) + ((MIN(VERI_TABANI!D28, VERI_TABANI!D28*B367)*VERI_TABANI!$B$7 + MAX(0, VERI_TABANI!D28*B367-VERI_TABANI!D28)*VERI_TABANI!$B$8) + (MIN(MAX(0, VERI_TABANI!D28-VERI_TABANI!D28*B367), VERI_TABANI!D28*C367)*VERI_TABANI!$B$7 + MAX(0, VERI_TABANI!D28*C367-MAX(0, VERI_TABANI!D28-VERI_TABANI!D28*B367))*VERI_TABANI!$B$8) + IF(ABS(IF(ISNUMBER(SEARCH("Var", D367)), 1, IF(ISNUMBER(SEARCH("Gri", D367)), -1, 0)))=1, VERI_TABANI!E28*(1-0.928)*VERI_TABANI!$B$9, 0) + (VERI_TABANI!D28*B367*(VERI_TABANI!$B$13-VERI_TABANI!$B$14)*VERI_TABANI!G28) + (VERI_TABANI!D28*C367*(VERI_TABANI!$B$13-VERI_TABANI!$B$15)*VERI_TABANI!G28) + IF(ABS(IF(ISNUMBER(SEARCH("Var", D367)), 1, IF(ISNUMBER(SEARCH("Gri", D367)), -1, 0)))=1, VERI_TABANI!E28*(1-0.928)*0.00206091519919798*VERI_TABANI!G28, 0)))</f>
        <v/>
      </c>
      <c r="H367" s="169">
        <f>(((VERI_TABANI!D23*B367*(VERI_TABANI!$B$13-VERI_TABANI!$B$14)) + (VERI_TABANI!D23*C367*(VERI_TABANI!$B$13-VERI_TABANI!$B$15)) + IF(ISNUMBER(SEARCH("Var", D367)), VERI_TABANI!F23*(0.00202-VERI_TABANI!$B$16), IF(ISNUMBER(SEARCH("Gri", D367)), VERI_TABANI!F23*(0.00202-VERI_TABANI!$B$17), 0))) + ((VERI_TABANI!D24*B367*(VERI_TABANI!$B$13-VERI_TABANI!$B$14)) + (VERI_TABANI!D24*C367*(VERI_TABANI!$B$13-VERI_TABANI!$B$15)) + IF(ISNUMBER(SEARCH("Var", D367)), VERI_TABANI!F24*(0.00202-VERI_TABANI!$B$16), IF(ISNUMBER(SEARCH("Gri", D367)), VERI_TABANI!F24*(0.00202-VERI_TABANI!$B$17), 0))) + ((VERI_TABANI!D25*B367*(VERI_TABANI!$B$13-VERI_TABANI!$B$14)) + (VERI_TABANI!D25*C367*(VERI_TABANI!$B$13-VERI_TABANI!$B$15)) + IF(ISNUMBER(SEARCH("Var", D367)), VERI_TABANI!F25*(0.00202-VERI_TABANI!$B$16), IF(ISNUMBER(SEARCH("Gri", D367)), VERI_TABANI!F25*(0.00202-VERI_TABANI!$B$17), 0))) + ((VERI_TABANI!D26*B367*(VERI_TABANI!$B$13-VERI_TABANI!$B$14)) + (VERI_TABANI!D26*C367*(VERI_TABANI!$B$13-VERI_TABANI!$B$15)) + IF(ISNUMBER(SEARCH("Var", D367)), VERI_TABANI!F26*(0.00202-VERI_TABANI!$B$16), IF(ISNUMBER(SEARCH("Gri", D367)), VERI_TABANI!F26*(0.00202-VERI_TABANI!$B$17), 0))) + ((VERI_TABANI!D27*B367*(VERI_TABANI!$B$13-VERI_TABANI!$B$14)) + (VERI_TABANI!D27*C367*(VERI_TABANI!$B$13-VERI_TABANI!$B$15)) + IF(ISNUMBER(SEARCH("Var", D367)), VERI_TABANI!F27*(0.00202-VERI_TABANI!$B$16), IF(ISNUMBER(SEARCH("Gri", D367)), VERI_TABANI!F27*(0.00202-VERI_TABANI!$B$17), 0))) + ((VERI_TABANI!D28*B367*(VERI_TABANI!$B$13-VERI_TABANI!$B$14)) + (VERI_TABANI!D28*C367*(VERI_TABANI!$B$13-VERI_TABANI!$B$15)) + IF(ISNUMBER(SEARCH("Var", D367)), VERI_TABANI!F28*(0.00202-VERI_TABANI!$B$16), IF(ISNUMBER(SEARCH("Gri", D367)), VERI_TABANI!F28*(0.00202-VERI_TABANI!$B$17), 0))))</f>
        <v/>
      </c>
      <c r="I367" s="170">
        <f>IFERROR(((VERI_TABANI!$D$29*B367*VERI_TABANI!$B$14 + VERI_TABANI!$D$29*C367*VERI_TABANI!$B$15 + IF(ISNUMBER(SEARCH("Var", D367)), VERI_TABANI!$F$29*VERI_TABANI!$B$16, 0))) / (((VERI_TABANI!$D$29*B367 + VERI_TABANI!$D$29*C367)*VERI_TABANI!$B$13 + IF(ISNUMBER(SEARCH("Var", D367)), VERI_TABANI!$E$29*(1-0.928)*VERI_TABANI!$B$18, 0))), 0)</f>
        <v/>
      </c>
      <c r="J367" s="171">
        <f>IFERROR(F367/(G367/29), 0)</f>
        <v/>
      </c>
      <c r="K367" s="172">
        <f>IF(F367&gt;0, H367/F367, 0)</f>
        <v/>
      </c>
      <c r="L367" s="170">
        <f>IF(F367&gt;0, I367, 1000000000)</f>
        <v/>
      </c>
      <c r="M367" s="171">
        <f>ABS((B367+C367)-1)</f>
        <v/>
      </c>
      <c r="N367" s="170">
        <f>IF(F367&gt;0, (G367/29)/F367, 0)</f>
        <v/>
      </c>
      <c r="O367" s="168">
        <f>IF(AND((B367+C367)&gt;=1, ISNUMBER(SEARCH("Var", D367))), F367, 1000000000)</f>
        <v/>
      </c>
      <c r="P367" s="172">
        <f>IF(F367&gt;0, SQRT((F367/MAX(F$5:F$886))^2 + (1 - H367/MAX(H$5:H$886))^2 + (J367/MAX(J$5:J$886))^2), 1000000000)</f>
        <v/>
      </c>
      <c r="Q367" s="166">
        <f>IF(AND(ABS(B367-0.5)&lt;0.01, ABS(C367-0.5)&lt;0.01, ISNUMBER(SEARCH("Var", D367))), 1, 0)</f>
        <v/>
      </c>
      <c r="R367" s="171">
        <f>IF(F367&gt;0, J367, 1000000000)</f>
        <v/>
      </c>
      <c r="S367" s="101">
        <f>IF(AND(F367&lt;=DASHBOARD!$B$11, H367&gt;=DASHBOARD!$B$13), G367, -1000000000000)</f>
        <v/>
      </c>
      <c r="T367" s="101">
        <f>IF(AND(F367&lt;=DASHBOARD!$B$11, H367&gt;=DASHBOARD!$B$13), R367, 1000000000000)</f>
        <v/>
      </c>
      <c r="U367" s="101">
        <f>IF(AND(F367&lt;=DASHBOARD!$B$11, H367&gt;=DASHBOARD!$B$13), N367, -1000000000000)</f>
        <v/>
      </c>
      <c r="V367" s="101">
        <f>IF(AND(F367&lt;=DASHBOARD!$B$11, H367&gt;=DASHBOARD!$B$13), H367, -1000000000000)</f>
        <v/>
      </c>
      <c r="W367" s="101">
        <f>IF(AND(F367&lt;=DASHBOARD!$B$11, H367&gt;=DASHBOARD!$B$13), K367, -1000000000000)</f>
        <v/>
      </c>
      <c r="X367" s="101">
        <f>IF(AND(F367&lt;=DASHBOARD!$B$11, H367&gt;=DASHBOARD!$B$13), M367, 1000000000000)</f>
        <v/>
      </c>
      <c r="Y367" s="101">
        <f>IF(AND(F367&lt;=DASHBOARD!$B$10, H367&gt;=DASHBOARD!$B$11), L367, 1000000000000)</f>
        <v/>
      </c>
      <c r="Z367" s="101">
        <f>IF(AND(F367&lt;=DASHBOARD!$B$10, H367&gt;=DASHBOARD!$B$11), O367, 1000000000000)</f>
        <v/>
      </c>
      <c r="AA367" s="101">
        <f>IF(AND(F367&lt;=DASHBOARD!$B$10, H367&gt;=DASHBOARD!$B$11), P367, 1000000000000)</f>
        <v/>
      </c>
      <c r="AB367" s="101">
        <f>IF(AND(F367&lt;=DASHBOARD!$B$10, H367&gt;=DASHBOARD!$B$11), Q367, -1000000000000)</f>
        <v/>
      </c>
    </row>
    <row r="368" ht="15" customHeight="1" s="102">
      <c r="A368" s="166" t="n">
        <v>364</v>
      </c>
      <c r="B368" s="167" t="n">
        <v>0.8</v>
      </c>
      <c r="C368" s="167" t="n">
        <v>1.3</v>
      </c>
      <c r="D368" s="110" t="inlineStr">
        <is>
          <t>Var (%20)</t>
        </is>
      </c>
      <c r="E368" s="110">
        <f>IF((B368+C368)&lt;=1, "Tam Mahsuplaşma (≤%100)", "Kısmi Satış (&gt;%100)")</f>
        <v/>
      </c>
      <c r="F368" s="168">
        <f>((VERI_TABANI!$D$29*B368/VERI_TABANI!$B$29)/VERI_TABANI!$B$3)*VERI_TABANI!$B$5 + ((VERI_TABANI!$D$29*C368/VERI_TABANI!$B$29)/VERI_TABANI!$B$4)*VERI_TABANI!$B$6 + IF(ISNUMBER(SEARCH("Var", D368)), (VERI_TABANI!$F$29/VERI_TABANI!$B$29)*(VERI_TABANI!$B$10+VERI_TABANI!$B$12), 0)</f>
        <v/>
      </c>
      <c r="G368" s="168">
        <f>(((MIN(VERI_TABANI!D23, VERI_TABANI!D23*B368)*VERI_TABANI!$B$7 + MAX(0, VERI_TABANI!D23*B368-VERI_TABANI!D23)*VERI_TABANI!$B$8) + (MIN(MAX(0, VERI_TABANI!D23-VERI_TABANI!D23*B368), VERI_TABANI!D23*C368)*VERI_TABANI!$B$7 + MAX(0, VERI_TABANI!D23*C368-MAX(0, VERI_TABANI!D23-VERI_TABANI!D23*B368))*VERI_TABANI!$B$8) + IF(ABS(IF(ISNUMBER(SEARCH("Var", D368)), 1, IF(ISNUMBER(SEARCH("Gri", D368)), -1, 0)))=1, VERI_TABANI!E23*(1-0.928)*VERI_TABANI!$B$9, 0) + (VERI_TABANI!D23*B368*(VERI_TABANI!$B$13-VERI_TABANI!$B$14)*VERI_TABANI!G23) + (VERI_TABANI!D23*C368*(VERI_TABANI!$B$13-VERI_TABANI!$B$15)*VERI_TABANI!G23) + IF(ABS(IF(ISNUMBER(SEARCH("Var", D368)), 1, IF(ISNUMBER(SEARCH("Gri", D368)), -1, 0)))=1, VERI_TABANI!E23*(1-0.928)*0.00206091519919798*VERI_TABANI!G23, 0)) + ((MIN(VERI_TABANI!D24, VERI_TABANI!D24*B368)*VERI_TABANI!$B$7 + MAX(0, VERI_TABANI!D24*B368-VERI_TABANI!D24)*VERI_TABANI!$B$8) + (MIN(MAX(0, VERI_TABANI!D24-VERI_TABANI!D24*B368), VERI_TABANI!D24*C368)*VERI_TABANI!$B$7 + MAX(0, VERI_TABANI!D24*C368-MAX(0, VERI_TABANI!D24-VERI_TABANI!D24*B368))*VERI_TABANI!$B$8) + IF(ABS(IF(ISNUMBER(SEARCH("Var", D368)), 1, IF(ISNUMBER(SEARCH("Gri", D368)), -1, 0)))=1, VERI_TABANI!E24*(1-0.928)*VERI_TABANI!$B$9, 0) + (VERI_TABANI!D24*B368*(VERI_TABANI!$B$13-VERI_TABANI!$B$14)*VERI_TABANI!G24) + (VERI_TABANI!D24*C368*(VERI_TABANI!$B$13-VERI_TABANI!$B$15)*VERI_TABANI!G24) + IF(ABS(IF(ISNUMBER(SEARCH("Var", D368)), 1, IF(ISNUMBER(SEARCH("Gri", D368)), -1, 0)))=1, VERI_TABANI!E24*(1-0.928)*0.00206091519919798*VERI_TABANI!G24, 0)) + ((MIN(VERI_TABANI!D25, VERI_TABANI!D25*B368)*VERI_TABANI!$B$7 + MAX(0, VERI_TABANI!D25*B368-VERI_TABANI!D25)*VERI_TABANI!$B$8) + (MIN(MAX(0, VERI_TABANI!D25-VERI_TABANI!D25*B368), VERI_TABANI!D25*C368)*VERI_TABANI!$B$7 + MAX(0, VERI_TABANI!D25*C368-MAX(0, VERI_TABANI!D25-VERI_TABANI!D25*B368))*VERI_TABANI!$B$8) + IF(ABS(IF(ISNUMBER(SEARCH("Var", D368)), 1, IF(ISNUMBER(SEARCH("Gri", D368)), -1, 0)))=1, VERI_TABANI!E25*(1-0.928)*VERI_TABANI!$B$9, 0) + (VERI_TABANI!D25*B368*(VERI_TABANI!$B$13-VERI_TABANI!$B$14)*VERI_TABANI!G25) + (VERI_TABANI!D25*C368*(VERI_TABANI!$B$13-VERI_TABANI!$B$15)*VERI_TABANI!G25) + IF(ABS(IF(ISNUMBER(SEARCH("Var", D368)), 1, IF(ISNUMBER(SEARCH("Gri", D368)), -1, 0)))=1, VERI_TABANI!E25*(1-0.928)*0.00206091519919798*VERI_TABANI!G25, 0)) + ((MIN(VERI_TABANI!D26, VERI_TABANI!D26*B368)*VERI_TABANI!$B$7 + MAX(0, VERI_TABANI!D26*B368-VERI_TABANI!D26)*VERI_TABANI!$B$8) + (MIN(MAX(0, VERI_TABANI!D26-VERI_TABANI!D26*B368), VERI_TABANI!D26*C368)*VERI_TABANI!$B$7 + MAX(0, VERI_TABANI!D26*C368-MAX(0, VERI_TABANI!D26-VERI_TABANI!D26*B368))*VERI_TABANI!$B$8) + IF(ABS(IF(ISNUMBER(SEARCH("Var", D368)), 1, IF(ISNUMBER(SEARCH("Gri", D368)), -1, 0)))=1, VERI_TABANI!E26*(1-0.928)*VERI_TABANI!$B$9, 0) + (VERI_TABANI!D26*B368*(VERI_TABANI!$B$13-VERI_TABANI!$B$14)*VERI_TABANI!G26) + (VERI_TABANI!D26*C368*(VERI_TABANI!$B$13-VERI_TABANI!$B$15)*VERI_TABANI!G26) + IF(ABS(IF(ISNUMBER(SEARCH("Var", D368)), 1, IF(ISNUMBER(SEARCH("Gri", D368)), -1, 0)))=1, VERI_TABANI!E26*(1-0.928)*0.00206091519919798*VERI_TABANI!G26, 0)) + ((MIN(VERI_TABANI!D27, VERI_TABANI!D27*B368)*VERI_TABANI!$B$7 + MAX(0, VERI_TABANI!D27*B368-VERI_TABANI!D27)*VERI_TABANI!$B$8) + (MIN(MAX(0, VERI_TABANI!D27-VERI_TABANI!D27*B368), VERI_TABANI!D27*C368)*VERI_TABANI!$B$7 + MAX(0, VERI_TABANI!D27*C368-MAX(0, VERI_TABANI!D27-VERI_TABANI!D27*B368))*VERI_TABANI!$B$8) + IF(ABS(IF(ISNUMBER(SEARCH("Var", D368)), 1, IF(ISNUMBER(SEARCH("Gri", D368)), -1, 0)))=1, VERI_TABANI!E27*(1-0.928)*VERI_TABANI!$B$9, 0) + (VERI_TABANI!D27*B368*(VERI_TABANI!$B$13-VERI_TABANI!$B$14)*VERI_TABANI!G27) + (VERI_TABANI!D27*C368*(VERI_TABANI!$B$13-VERI_TABANI!$B$15)*VERI_TABANI!G27) + IF(ABS(IF(ISNUMBER(SEARCH("Var", D368)), 1, IF(ISNUMBER(SEARCH("Gri", D368)), -1, 0)))=1, VERI_TABANI!E27*(1-0.928)*0.00206091519919798*VERI_TABANI!G27, 0)) + ((MIN(VERI_TABANI!D28, VERI_TABANI!D28*B368)*VERI_TABANI!$B$7 + MAX(0, VERI_TABANI!D28*B368-VERI_TABANI!D28)*VERI_TABANI!$B$8) + (MIN(MAX(0, VERI_TABANI!D28-VERI_TABANI!D28*B368), VERI_TABANI!D28*C368)*VERI_TABANI!$B$7 + MAX(0, VERI_TABANI!D28*C368-MAX(0, VERI_TABANI!D28-VERI_TABANI!D28*B368))*VERI_TABANI!$B$8) + IF(ABS(IF(ISNUMBER(SEARCH("Var", D368)), 1, IF(ISNUMBER(SEARCH("Gri", D368)), -1, 0)))=1, VERI_TABANI!E28*(1-0.928)*VERI_TABANI!$B$9, 0) + (VERI_TABANI!D28*B368*(VERI_TABANI!$B$13-VERI_TABANI!$B$14)*VERI_TABANI!G28) + (VERI_TABANI!D28*C368*(VERI_TABANI!$B$13-VERI_TABANI!$B$15)*VERI_TABANI!G28) + IF(ABS(IF(ISNUMBER(SEARCH("Var", D368)), 1, IF(ISNUMBER(SEARCH("Gri", D368)), -1, 0)))=1, VERI_TABANI!E28*(1-0.928)*0.00206091519919798*VERI_TABANI!G28, 0)))</f>
        <v/>
      </c>
      <c r="H368" s="169">
        <f>(((VERI_TABANI!D23*B368*(VERI_TABANI!$B$13-VERI_TABANI!$B$14)) + (VERI_TABANI!D23*C368*(VERI_TABANI!$B$13-VERI_TABANI!$B$15)) + IF(ISNUMBER(SEARCH("Var", D368)), VERI_TABANI!F23*(0.00202-VERI_TABANI!$B$16), IF(ISNUMBER(SEARCH("Gri", D368)), VERI_TABANI!F23*(0.00202-VERI_TABANI!$B$17), 0))) + ((VERI_TABANI!D24*B368*(VERI_TABANI!$B$13-VERI_TABANI!$B$14)) + (VERI_TABANI!D24*C368*(VERI_TABANI!$B$13-VERI_TABANI!$B$15)) + IF(ISNUMBER(SEARCH("Var", D368)), VERI_TABANI!F24*(0.00202-VERI_TABANI!$B$16), IF(ISNUMBER(SEARCH("Gri", D368)), VERI_TABANI!F24*(0.00202-VERI_TABANI!$B$17), 0))) + ((VERI_TABANI!D25*B368*(VERI_TABANI!$B$13-VERI_TABANI!$B$14)) + (VERI_TABANI!D25*C368*(VERI_TABANI!$B$13-VERI_TABANI!$B$15)) + IF(ISNUMBER(SEARCH("Var", D368)), VERI_TABANI!F25*(0.00202-VERI_TABANI!$B$16), IF(ISNUMBER(SEARCH("Gri", D368)), VERI_TABANI!F25*(0.00202-VERI_TABANI!$B$17), 0))) + ((VERI_TABANI!D26*B368*(VERI_TABANI!$B$13-VERI_TABANI!$B$14)) + (VERI_TABANI!D26*C368*(VERI_TABANI!$B$13-VERI_TABANI!$B$15)) + IF(ISNUMBER(SEARCH("Var", D368)), VERI_TABANI!F26*(0.00202-VERI_TABANI!$B$16), IF(ISNUMBER(SEARCH("Gri", D368)), VERI_TABANI!F26*(0.00202-VERI_TABANI!$B$17), 0))) + ((VERI_TABANI!D27*B368*(VERI_TABANI!$B$13-VERI_TABANI!$B$14)) + (VERI_TABANI!D27*C368*(VERI_TABANI!$B$13-VERI_TABANI!$B$15)) + IF(ISNUMBER(SEARCH("Var", D368)), VERI_TABANI!F27*(0.00202-VERI_TABANI!$B$16), IF(ISNUMBER(SEARCH("Gri", D368)), VERI_TABANI!F27*(0.00202-VERI_TABANI!$B$17), 0))) + ((VERI_TABANI!D28*B368*(VERI_TABANI!$B$13-VERI_TABANI!$B$14)) + (VERI_TABANI!D28*C368*(VERI_TABANI!$B$13-VERI_TABANI!$B$15)) + IF(ISNUMBER(SEARCH("Var", D368)), VERI_TABANI!F28*(0.00202-VERI_TABANI!$B$16), IF(ISNUMBER(SEARCH("Gri", D368)), VERI_TABANI!F28*(0.00202-VERI_TABANI!$B$17), 0))))</f>
        <v/>
      </c>
      <c r="I368" s="170">
        <f>IFERROR(((VERI_TABANI!$D$29*B368*VERI_TABANI!$B$14 + VERI_TABANI!$D$29*C368*VERI_TABANI!$B$15 + IF(ISNUMBER(SEARCH("Var", D368)), VERI_TABANI!$F$29*VERI_TABANI!$B$16, 0))) / (((VERI_TABANI!$D$29*B368 + VERI_TABANI!$D$29*C368)*VERI_TABANI!$B$13 + IF(ISNUMBER(SEARCH("Var", D368)), VERI_TABANI!$E$29*(1-0.928)*VERI_TABANI!$B$18, 0))), 0)</f>
        <v/>
      </c>
      <c r="J368" s="171">
        <f>IFERROR(F368/(G368/29), 0)</f>
        <v/>
      </c>
      <c r="K368" s="172">
        <f>IF(F368&gt;0, H368/F368, 0)</f>
        <v/>
      </c>
      <c r="L368" s="170">
        <f>IF(F368&gt;0, I368, 1000000000)</f>
        <v/>
      </c>
      <c r="M368" s="171">
        <f>ABS((B368+C368)-1)</f>
        <v/>
      </c>
      <c r="N368" s="170">
        <f>IF(F368&gt;0, (G368/29)/F368, 0)</f>
        <v/>
      </c>
      <c r="O368" s="168">
        <f>IF(AND((B368+C368)&gt;=1, ISNUMBER(SEARCH("Var", D368))), F368, 1000000000)</f>
        <v/>
      </c>
      <c r="P368" s="172">
        <f>IF(F368&gt;0, SQRT((F368/MAX(F$5:F$886))^2 + (1 - H368/MAX(H$5:H$886))^2 + (J368/MAX(J$5:J$886))^2), 1000000000)</f>
        <v/>
      </c>
      <c r="Q368" s="166">
        <f>IF(AND(ABS(B368-0.5)&lt;0.01, ABS(C368-0.5)&lt;0.01, ISNUMBER(SEARCH("Var", D368))), 1, 0)</f>
        <v/>
      </c>
      <c r="R368" s="171">
        <f>IF(F368&gt;0, J368, 1000000000)</f>
        <v/>
      </c>
      <c r="S368" s="101">
        <f>IF(AND(F368&lt;=DASHBOARD!$B$11, H368&gt;=DASHBOARD!$B$13), G368, -1000000000000)</f>
        <v/>
      </c>
      <c r="T368" s="101">
        <f>IF(AND(F368&lt;=DASHBOARD!$B$11, H368&gt;=DASHBOARD!$B$13), R368, 1000000000000)</f>
        <v/>
      </c>
      <c r="U368" s="101">
        <f>IF(AND(F368&lt;=DASHBOARD!$B$11, H368&gt;=DASHBOARD!$B$13), N368, -1000000000000)</f>
        <v/>
      </c>
      <c r="V368" s="101">
        <f>IF(AND(F368&lt;=DASHBOARD!$B$11, H368&gt;=DASHBOARD!$B$13), H368, -1000000000000)</f>
        <v/>
      </c>
      <c r="W368" s="101">
        <f>IF(AND(F368&lt;=DASHBOARD!$B$11, H368&gt;=DASHBOARD!$B$13), K368, -1000000000000)</f>
        <v/>
      </c>
      <c r="X368" s="101">
        <f>IF(AND(F368&lt;=DASHBOARD!$B$11, H368&gt;=DASHBOARD!$B$13), M368, 1000000000000)</f>
        <v/>
      </c>
      <c r="Y368" s="101">
        <f>IF(AND(F368&lt;=DASHBOARD!$B$10, H368&gt;=DASHBOARD!$B$11), L368, 1000000000000)</f>
        <v/>
      </c>
      <c r="Z368" s="101">
        <f>IF(AND(F368&lt;=DASHBOARD!$B$10, H368&gt;=DASHBOARD!$B$11), O368, 1000000000000)</f>
        <v/>
      </c>
      <c r="AA368" s="101">
        <f>IF(AND(F368&lt;=DASHBOARD!$B$10, H368&gt;=DASHBOARD!$B$11), P368, 1000000000000)</f>
        <v/>
      </c>
      <c r="AB368" s="101">
        <f>IF(AND(F368&lt;=DASHBOARD!$B$10, H368&gt;=DASHBOARD!$B$11), Q368, -1000000000000)</f>
        <v/>
      </c>
    </row>
    <row r="369" ht="15" customHeight="1" s="102">
      <c r="A369" s="166" t="n">
        <v>365</v>
      </c>
      <c r="B369" s="167" t="n">
        <v>0.8</v>
      </c>
      <c r="C369" s="167" t="n">
        <v>1.4</v>
      </c>
      <c r="D369" s="110" t="inlineStr">
        <is>
          <t>Yok (%0)</t>
        </is>
      </c>
      <c r="E369" s="110">
        <f>IF((B369+C369)&lt;=1, "Tam Mahsuplaşma (≤%100)", "Kısmi Satış (&gt;%100)")</f>
        <v/>
      </c>
      <c r="F369" s="168">
        <f>((VERI_TABANI!$D$29*B369/VERI_TABANI!$B$29)/VERI_TABANI!$B$3)*VERI_TABANI!$B$5 + ((VERI_TABANI!$D$29*C369/VERI_TABANI!$B$29)/VERI_TABANI!$B$4)*VERI_TABANI!$B$6 + IF(ISNUMBER(SEARCH("Var", D369)), (VERI_TABANI!$F$29/VERI_TABANI!$B$29)*(VERI_TABANI!$B$10+VERI_TABANI!$B$12), 0)</f>
        <v/>
      </c>
      <c r="G369" s="168">
        <f>(((MIN(VERI_TABANI!D23, VERI_TABANI!D23*B369)*VERI_TABANI!$B$7 + MAX(0, VERI_TABANI!D23*B369-VERI_TABANI!D23)*VERI_TABANI!$B$8) + (MIN(MAX(0, VERI_TABANI!D23-VERI_TABANI!D23*B369), VERI_TABANI!D23*C369)*VERI_TABANI!$B$7 + MAX(0, VERI_TABANI!D23*C369-MAX(0, VERI_TABANI!D23-VERI_TABANI!D23*B369))*VERI_TABANI!$B$8) + IF(ABS(IF(ISNUMBER(SEARCH("Var", D369)), 1, IF(ISNUMBER(SEARCH("Gri", D369)), -1, 0)))=1, VERI_TABANI!E23*(1-0.928)*VERI_TABANI!$B$9, 0) + (VERI_TABANI!D23*B369*(VERI_TABANI!$B$13-VERI_TABANI!$B$14)*VERI_TABANI!G23) + (VERI_TABANI!D23*C369*(VERI_TABANI!$B$13-VERI_TABANI!$B$15)*VERI_TABANI!G23) + IF(ABS(IF(ISNUMBER(SEARCH("Var", D369)), 1, IF(ISNUMBER(SEARCH("Gri", D369)), -1, 0)))=1, VERI_TABANI!E23*(1-0.928)*0.00206091519919798*VERI_TABANI!G23, 0)) + ((MIN(VERI_TABANI!D24, VERI_TABANI!D24*B369)*VERI_TABANI!$B$7 + MAX(0, VERI_TABANI!D24*B369-VERI_TABANI!D24)*VERI_TABANI!$B$8) + (MIN(MAX(0, VERI_TABANI!D24-VERI_TABANI!D24*B369), VERI_TABANI!D24*C369)*VERI_TABANI!$B$7 + MAX(0, VERI_TABANI!D24*C369-MAX(0, VERI_TABANI!D24-VERI_TABANI!D24*B369))*VERI_TABANI!$B$8) + IF(ABS(IF(ISNUMBER(SEARCH("Var", D369)), 1, IF(ISNUMBER(SEARCH("Gri", D369)), -1, 0)))=1, VERI_TABANI!E24*(1-0.928)*VERI_TABANI!$B$9, 0) + (VERI_TABANI!D24*B369*(VERI_TABANI!$B$13-VERI_TABANI!$B$14)*VERI_TABANI!G24) + (VERI_TABANI!D24*C369*(VERI_TABANI!$B$13-VERI_TABANI!$B$15)*VERI_TABANI!G24) + IF(ABS(IF(ISNUMBER(SEARCH("Var", D369)), 1, IF(ISNUMBER(SEARCH("Gri", D369)), -1, 0)))=1, VERI_TABANI!E24*(1-0.928)*0.00206091519919798*VERI_TABANI!G24, 0)) + ((MIN(VERI_TABANI!D25, VERI_TABANI!D25*B369)*VERI_TABANI!$B$7 + MAX(0, VERI_TABANI!D25*B369-VERI_TABANI!D25)*VERI_TABANI!$B$8) + (MIN(MAX(0, VERI_TABANI!D25-VERI_TABANI!D25*B369), VERI_TABANI!D25*C369)*VERI_TABANI!$B$7 + MAX(0, VERI_TABANI!D25*C369-MAX(0, VERI_TABANI!D25-VERI_TABANI!D25*B369))*VERI_TABANI!$B$8) + IF(ABS(IF(ISNUMBER(SEARCH("Var", D369)), 1, IF(ISNUMBER(SEARCH("Gri", D369)), -1, 0)))=1, VERI_TABANI!E25*(1-0.928)*VERI_TABANI!$B$9, 0) + (VERI_TABANI!D25*B369*(VERI_TABANI!$B$13-VERI_TABANI!$B$14)*VERI_TABANI!G25) + (VERI_TABANI!D25*C369*(VERI_TABANI!$B$13-VERI_TABANI!$B$15)*VERI_TABANI!G25) + IF(ABS(IF(ISNUMBER(SEARCH("Var", D369)), 1, IF(ISNUMBER(SEARCH("Gri", D369)), -1, 0)))=1, VERI_TABANI!E25*(1-0.928)*0.00206091519919798*VERI_TABANI!G25, 0)) + ((MIN(VERI_TABANI!D26, VERI_TABANI!D26*B369)*VERI_TABANI!$B$7 + MAX(0, VERI_TABANI!D26*B369-VERI_TABANI!D26)*VERI_TABANI!$B$8) + (MIN(MAX(0, VERI_TABANI!D26-VERI_TABANI!D26*B369), VERI_TABANI!D26*C369)*VERI_TABANI!$B$7 + MAX(0, VERI_TABANI!D26*C369-MAX(0, VERI_TABANI!D26-VERI_TABANI!D26*B369))*VERI_TABANI!$B$8) + IF(ABS(IF(ISNUMBER(SEARCH("Var", D369)), 1, IF(ISNUMBER(SEARCH("Gri", D369)), -1, 0)))=1, VERI_TABANI!E26*(1-0.928)*VERI_TABANI!$B$9, 0) + (VERI_TABANI!D26*B369*(VERI_TABANI!$B$13-VERI_TABANI!$B$14)*VERI_TABANI!G26) + (VERI_TABANI!D26*C369*(VERI_TABANI!$B$13-VERI_TABANI!$B$15)*VERI_TABANI!G26) + IF(ABS(IF(ISNUMBER(SEARCH("Var", D369)), 1, IF(ISNUMBER(SEARCH("Gri", D369)), -1, 0)))=1, VERI_TABANI!E26*(1-0.928)*0.00206091519919798*VERI_TABANI!G26, 0)) + ((MIN(VERI_TABANI!D27, VERI_TABANI!D27*B369)*VERI_TABANI!$B$7 + MAX(0, VERI_TABANI!D27*B369-VERI_TABANI!D27)*VERI_TABANI!$B$8) + (MIN(MAX(0, VERI_TABANI!D27-VERI_TABANI!D27*B369), VERI_TABANI!D27*C369)*VERI_TABANI!$B$7 + MAX(0, VERI_TABANI!D27*C369-MAX(0, VERI_TABANI!D27-VERI_TABANI!D27*B369))*VERI_TABANI!$B$8) + IF(ABS(IF(ISNUMBER(SEARCH("Var", D369)), 1, IF(ISNUMBER(SEARCH("Gri", D369)), -1, 0)))=1, VERI_TABANI!E27*(1-0.928)*VERI_TABANI!$B$9, 0) + (VERI_TABANI!D27*B369*(VERI_TABANI!$B$13-VERI_TABANI!$B$14)*VERI_TABANI!G27) + (VERI_TABANI!D27*C369*(VERI_TABANI!$B$13-VERI_TABANI!$B$15)*VERI_TABANI!G27) + IF(ABS(IF(ISNUMBER(SEARCH("Var", D369)), 1, IF(ISNUMBER(SEARCH("Gri", D369)), -1, 0)))=1, VERI_TABANI!E27*(1-0.928)*0.00206091519919798*VERI_TABANI!G27, 0)) + ((MIN(VERI_TABANI!D28, VERI_TABANI!D28*B369)*VERI_TABANI!$B$7 + MAX(0, VERI_TABANI!D28*B369-VERI_TABANI!D28)*VERI_TABANI!$B$8) + (MIN(MAX(0, VERI_TABANI!D28-VERI_TABANI!D28*B369), VERI_TABANI!D28*C369)*VERI_TABANI!$B$7 + MAX(0, VERI_TABANI!D28*C369-MAX(0, VERI_TABANI!D28-VERI_TABANI!D28*B369))*VERI_TABANI!$B$8) + IF(ABS(IF(ISNUMBER(SEARCH("Var", D369)), 1, IF(ISNUMBER(SEARCH("Gri", D369)), -1, 0)))=1, VERI_TABANI!E28*(1-0.928)*VERI_TABANI!$B$9, 0) + (VERI_TABANI!D28*B369*(VERI_TABANI!$B$13-VERI_TABANI!$B$14)*VERI_TABANI!G28) + (VERI_TABANI!D28*C369*(VERI_TABANI!$B$13-VERI_TABANI!$B$15)*VERI_TABANI!G28) + IF(ABS(IF(ISNUMBER(SEARCH("Var", D369)), 1, IF(ISNUMBER(SEARCH("Gri", D369)), -1, 0)))=1, VERI_TABANI!E28*(1-0.928)*0.00206091519919798*VERI_TABANI!G28, 0)))</f>
        <v/>
      </c>
      <c r="H369" s="169">
        <f>(((VERI_TABANI!D23*B369*(VERI_TABANI!$B$13-VERI_TABANI!$B$14)) + (VERI_TABANI!D23*C369*(VERI_TABANI!$B$13-VERI_TABANI!$B$15)) + IF(ISNUMBER(SEARCH("Var", D369)), VERI_TABANI!F23*(0.00202-VERI_TABANI!$B$16), IF(ISNUMBER(SEARCH("Gri", D369)), VERI_TABANI!F23*(0.00202-VERI_TABANI!$B$17), 0))) + ((VERI_TABANI!D24*B369*(VERI_TABANI!$B$13-VERI_TABANI!$B$14)) + (VERI_TABANI!D24*C369*(VERI_TABANI!$B$13-VERI_TABANI!$B$15)) + IF(ISNUMBER(SEARCH("Var", D369)), VERI_TABANI!F24*(0.00202-VERI_TABANI!$B$16), IF(ISNUMBER(SEARCH("Gri", D369)), VERI_TABANI!F24*(0.00202-VERI_TABANI!$B$17), 0))) + ((VERI_TABANI!D25*B369*(VERI_TABANI!$B$13-VERI_TABANI!$B$14)) + (VERI_TABANI!D25*C369*(VERI_TABANI!$B$13-VERI_TABANI!$B$15)) + IF(ISNUMBER(SEARCH("Var", D369)), VERI_TABANI!F25*(0.00202-VERI_TABANI!$B$16), IF(ISNUMBER(SEARCH("Gri", D369)), VERI_TABANI!F25*(0.00202-VERI_TABANI!$B$17), 0))) + ((VERI_TABANI!D26*B369*(VERI_TABANI!$B$13-VERI_TABANI!$B$14)) + (VERI_TABANI!D26*C369*(VERI_TABANI!$B$13-VERI_TABANI!$B$15)) + IF(ISNUMBER(SEARCH("Var", D369)), VERI_TABANI!F26*(0.00202-VERI_TABANI!$B$16), IF(ISNUMBER(SEARCH("Gri", D369)), VERI_TABANI!F26*(0.00202-VERI_TABANI!$B$17), 0))) + ((VERI_TABANI!D27*B369*(VERI_TABANI!$B$13-VERI_TABANI!$B$14)) + (VERI_TABANI!D27*C369*(VERI_TABANI!$B$13-VERI_TABANI!$B$15)) + IF(ISNUMBER(SEARCH("Var", D369)), VERI_TABANI!F27*(0.00202-VERI_TABANI!$B$16), IF(ISNUMBER(SEARCH("Gri", D369)), VERI_TABANI!F27*(0.00202-VERI_TABANI!$B$17), 0))) + ((VERI_TABANI!D28*B369*(VERI_TABANI!$B$13-VERI_TABANI!$B$14)) + (VERI_TABANI!D28*C369*(VERI_TABANI!$B$13-VERI_TABANI!$B$15)) + IF(ISNUMBER(SEARCH("Var", D369)), VERI_TABANI!F28*(0.00202-VERI_TABANI!$B$16), IF(ISNUMBER(SEARCH("Gri", D369)), VERI_TABANI!F28*(0.00202-VERI_TABANI!$B$17), 0))))</f>
        <v/>
      </c>
      <c r="I369" s="170">
        <f>IFERROR(((VERI_TABANI!$D$29*B369*VERI_TABANI!$B$14 + VERI_TABANI!$D$29*C369*VERI_TABANI!$B$15 + IF(ISNUMBER(SEARCH("Var", D369)), VERI_TABANI!$F$29*VERI_TABANI!$B$16, 0))) / (((VERI_TABANI!$D$29*B369 + VERI_TABANI!$D$29*C369)*VERI_TABANI!$B$13 + IF(ISNUMBER(SEARCH("Var", D369)), VERI_TABANI!$E$29*(1-0.928)*VERI_TABANI!$B$18, 0))), 0)</f>
        <v/>
      </c>
      <c r="J369" s="171">
        <f>IFERROR(F369/(G369/29), 0)</f>
        <v/>
      </c>
      <c r="K369" s="172">
        <f>IF(F369&gt;0, H369/F369, 0)</f>
        <v/>
      </c>
      <c r="L369" s="170">
        <f>IF(F369&gt;0, I369, 1000000000)</f>
        <v/>
      </c>
      <c r="M369" s="171">
        <f>ABS((B369+C369)-1)</f>
        <v/>
      </c>
      <c r="N369" s="170">
        <f>IF(F369&gt;0, (G369/29)/F369, 0)</f>
        <v/>
      </c>
      <c r="O369" s="168">
        <f>IF(AND((B369+C369)&gt;=1, ISNUMBER(SEARCH("Var", D369))), F369, 1000000000)</f>
        <v/>
      </c>
      <c r="P369" s="172">
        <f>IF(F369&gt;0, SQRT((F369/MAX(F$5:F$886))^2 + (1 - H369/MAX(H$5:H$886))^2 + (J369/MAX(J$5:J$886))^2), 1000000000)</f>
        <v/>
      </c>
      <c r="Q369" s="166">
        <f>IF(AND(ABS(B369-0.5)&lt;0.01, ABS(C369-0.5)&lt;0.01, ISNUMBER(SEARCH("Var", D369))), 1, 0)</f>
        <v/>
      </c>
      <c r="R369" s="171">
        <f>IF(F369&gt;0, J369, 1000000000)</f>
        <v/>
      </c>
      <c r="S369" s="101">
        <f>IF(AND(F369&lt;=DASHBOARD!$B$11, H369&gt;=DASHBOARD!$B$13), G369, -1000000000000)</f>
        <v/>
      </c>
      <c r="T369" s="101">
        <f>IF(AND(F369&lt;=DASHBOARD!$B$11, H369&gt;=DASHBOARD!$B$13), R369, 1000000000000)</f>
        <v/>
      </c>
      <c r="U369" s="101">
        <f>IF(AND(F369&lt;=DASHBOARD!$B$11, H369&gt;=DASHBOARD!$B$13), N369, -1000000000000)</f>
        <v/>
      </c>
      <c r="V369" s="101">
        <f>IF(AND(F369&lt;=DASHBOARD!$B$11, H369&gt;=DASHBOARD!$B$13), H369, -1000000000000)</f>
        <v/>
      </c>
      <c r="W369" s="101">
        <f>IF(AND(F369&lt;=DASHBOARD!$B$11, H369&gt;=DASHBOARD!$B$13), K369, -1000000000000)</f>
        <v/>
      </c>
      <c r="X369" s="101">
        <f>IF(AND(F369&lt;=DASHBOARD!$B$11, H369&gt;=DASHBOARD!$B$13), M369, 1000000000000)</f>
        <v/>
      </c>
      <c r="Y369" s="101">
        <f>IF(AND(F369&lt;=DASHBOARD!$B$10, H369&gt;=DASHBOARD!$B$11), L369, 1000000000000)</f>
        <v/>
      </c>
      <c r="Z369" s="101">
        <f>IF(AND(F369&lt;=DASHBOARD!$B$10, H369&gt;=DASHBOARD!$B$11), O369, 1000000000000)</f>
        <v/>
      </c>
      <c r="AA369" s="101">
        <f>IF(AND(F369&lt;=DASHBOARD!$B$10, H369&gt;=DASHBOARD!$B$11), P369, 1000000000000)</f>
        <v/>
      </c>
      <c r="AB369" s="101">
        <f>IF(AND(F369&lt;=DASHBOARD!$B$10, H369&gt;=DASHBOARD!$B$11), Q369, -1000000000000)</f>
        <v/>
      </c>
    </row>
    <row r="370" ht="15" customHeight="1" s="102">
      <c r="A370" s="166" t="n">
        <v>366</v>
      </c>
      <c r="B370" s="167" t="n">
        <v>0.8</v>
      </c>
      <c r="C370" s="167" t="n">
        <v>1.4</v>
      </c>
      <c r="D370" s="110" t="inlineStr">
        <is>
          <t>Var (%20)</t>
        </is>
      </c>
      <c r="E370" s="110">
        <f>IF((B370+C370)&lt;=1, "Tam Mahsuplaşma (≤%100)", "Kısmi Satış (&gt;%100)")</f>
        <v/>
      </c>
      <c r="F370" s="168">
        <f>((VERI_TABANI!$D$29*B370/VERI_TABANI!$B$29)/VERI_TABANI!$B$3)*VERI_TABANI!$B$5 + ((VERI_TABANI!$D$29*C370/VERI_TABANI!$B$29)/VERI_TABANI!$B$4)*VERI_TABANI!$B$6 + IF(ISNUMBER(SEARCH("Var", D370)), (VERI_TABANI!$F$29/VERI_TABANI!$B$29)*(VERI_TABANI!$B$10+VERI_TABANI!$B$12), 0)</f>
        <v/>
      </c>
      <c r="G370" s="168">
        <f>(((MIN(VERI_TABANI!D23, VERI_TABANI!D23*B370)*VERI_TABANI!$B$7 + MAX(0, VERI_TABANI!D23*B370-VERI_TABANI!D23)*VERI_TABANI!$B$8) + (MIN(MAX(0, VERI_TABANI!D23-VERI_TABANI!D23*B370), VERI_TABANI!D23*C370)*VERI_TABANI!$B$7 + MAX(0, VERI_TABANI!D23*C370-MAX(0, VERI_TABANI!D23-VERI_TABANI!D23*B370))*VERI_TABANI!$B$8) + IF(ABS(IF(ISNUMBER(SEARCH("Var", D370)), 1, IF(ISNUMBER(SEARCH("Gri", D370)), -1, 0)))=1, VERI_TABANI!E23*(1-0.928)*VERI_TABANI!$B$9, 0) + (VERI_TABANI!D23*B370*(VERI_TABANI!$B$13-VERI_TABANI!$B$14)*VERI_TABANI!G23) + (VERI_TABANI!D23*C370*(VERI_TABANI!$B$13-VERI_TABANI!$B$15)*VERI_TABANI!G23) + IF(ABS(IF(ISNUMBER(SEARCH("Var", D370)), 1, IF(ISNUMBER(SEARCH("Gri", D370)), -1, 0)))=1, VERI_TABANI!E23*(1-0.928)*0.00206091519919798*VERI_TABANI!G23, 0)) + ((MIN(VERI_TABANI!D24, VERI_TABANI!D24*B370)*VERI_TABANI!$B$7 + MAX(0, VERI_TABANI!D24*B370-VERI_TABANI!D24)*VERI_TABANI!$B$8) + (MIN(MAX(0, VERI_TABANI!D24-VERI_TABANI!D24*B370), VERI_TABANI!D24*C370)*VERI_TABANI!$B$7 + MAX(0, VERI_TABANI!D24*C370-MAX(0, VERI_TABANI!D24-VERI_TABANI!D24*B370))*VERI_TABANI!$B$8) + IF(ABS(IF(ISNUMBER(SEARCH("Var", D370)), 1, IF(ISNUMBER(SEARCH("Gri", D370)), -1, 0)))=1, VERI_TABANI!E24*(1-0.928)*VERI_TABANI!$B$9, 0) + (VERI_TABANI!D24*B370*(VERI_TABANI!$B$13-VERI_TABANI!$B$14)*VERI_TABANI!G24) + (VERI_TABANI!D24*C370*(VERI_TABANI!$B$13-VERI_TABANI!$B$15)*VERI_TABANI!G24) + IF(ABS(IF(ISNUMBER(SEARCH("Var", D370)), 1, IF(ISNUMBER(SEARCH("Gri", D370)), -1, 0)))=1, VERI_TABANI!E24*(1-0.928)*0.00206091519919798*VERI_TABANI!G24, 0)) + ((MIN(VERI_TABANI!D25, VERI_TABANI!D25*B370)*VERI_TABANI!$B$7 + MAX(0, VERI_TABANI!D25*B370-VERI_TABANI!D25)*VERI_TABANI!$B$8) + (MIN(MAX(0, VERI_TABANI!D25-VERI_TABANI!D25*B370), VERI_TABANI!D25*C370)*VERI_TABANI!$B$7 + MAX(0, VERI_TABANI!D25*C370-MAX(0, VERI_TABANI!D25-VERI_TABANI!D25*B370))*VERI_TABANI!$B$8) + IF(ABS(IF(ISNUMBER(SEARCH("Var", D370)), 1, IF(ISNUMBER(SEARCH("Gri", D370)), -1, 0)))=1, VERI_TABANI!E25*(1-0.928)*VERI_TABANI!$B$9, 0) + (VERI_TABANI!D25*B370*(VERI_TABANI!$B$13-VERI_TABANI!$B$14)*VERI_TABANI!G25) + (VERI_TABANI!D25*C370*(VERI_TABANI!$B$13-VERI_TABANI!$B$15)*VERI_TABANI!G25) + IF(ABS(IF(ISNUMBER(SEARCH("Var", D370)), 1, IF(ISNUMBER(SEARCH("Gri", D370)), -1, 0)))=1, VERI_TABANI!E25*(1-0.928)*0.00206091519919798*VERI_TABANI!G25, 0)) + ((MIN(VERI_TABANI!D26, VERI_TABANI!D26*B370)*VERI_TABANI!$B$7 + MAX(0, VERI_TABANI!D26*B370-VERI_TABANI!D26)*VERI_TABANI!$B$8) + (MIN(MAX(0, VERI_TABANI!D26-VERI_TABANI!D26*B370), VERI_TABANI!D26*C370)*VERI_TABANI!$B$7 + MAX(0, VERI_TABANI!D26*C370-MAX(0, VERI_TABANI!D26-VERI_TABANI!D26*B370))*VERI_TABANI!$B$8) + IF(ABS(IF(ISNUMBER(SEARCH("Var", D370)), 1, IF(ISNUMBER(SEARCH("Gri", D370)), -1, 0)))=1, VERI_TABANI!E26*(1-0.928)*VERI_TABANI!$B$9, 0) + (VERI_TABANI!D26*B370*(VERI_TABANI!$B$13-VERI_TABANI!$B$14)*VERI_TABANI!G26) + (VERI_TABANI!D26*C370*(VERI_TABANI!$B$13-VERI_TABANI!$B$15)*VERI_TABANI!G26) + IF(ABS(IF(ISNUMBER(SEARCH("Var", D370)), 1, IF(ISNUMBER(SEARCH("Gri", D370)), -1, 0)))=1, VERI_TABANI!E26*(1-0.928)*0.00206091519919798*VERI_TABANI!G26, 0)) + ((MIN(VERI_TABANI!D27, VERI_TABANI!D27*B370)*VERI_TABANI!$B$7 + MAX(0, VERI_TABANI!D27*B370-VERI_TABANI!D27)*VERI_TABANI!$B$8) + (MIN(MAX(0, VERI_TABANI!D27-VERI_TABANI!D27*B370), VERI_TABANI!D27*C370)*VERI_TABANI!$B$7 + MAX(0, VERI_TABANI!D27*C370-MAX(0, VERI_TABANI!D27-VERI_TABANI!D27*B370))*VERI_TABANI!$B$8) + IF(ABS(IF(ISNUMBER(SEARCH("Var", D370)), 1, IF(ISNUMBER(SEARCH("Gri", D370)), -1, 0)))=1, VERI_TABANI!E27*(1-0.928)*VERI_TABANI!$B$9, 0) + (VERI_TABANI!D27*B370*(VERI_TABANI!$B$13-VERI_TABANI!$B$14)*VERI_TABANI!G27) + (VERI_TABANI!D27*C370*(VERI_TABANI!$B$13-VERI_TABANI!$B$15)*VERI_TABANI!G27) + IF(ABS(IF(ISNUMBER(SEARCH("Var", D370)), 1, IF(ISNUMBER(SEARCH("Gri", D370)), -1, 0)))=1, VERI_TABANI!E27*(1-0.928)*0.00206091519919798*VERI_TABANI!G27, 0)) + ((MIN(VERI_TABANI!D28, VERI_TABANI!D28*B370)*VERI_TABANI!$B$7 + MAX(0, VERI_TABANI!D28*B370-VERI_TABANI!D28)*VERI_TABANI!$B$8) + (MIN(MAX(0, VERI_TABANI!D28-VERI_TABANI!D28*B370), VERI_TABANI!D28*C370)*VERI_TABANI!$B$7 + MAX(0, VERI_TABANI!D28*C370-MAX(0, VERI_TABANI!D28-VERI_TABANI!D28*B370))*VERI_TABANI!$B$8) + IF(ABS(IF(ISNUMBER(SEARCH("Var", D370)), 1, IF(ISNUMBER(SEARCH("Gri", D370)), -1, 0)))=1, VERI_TABANI!E28*(1-0.928)*VERI_TABANI!$B$9, 0) + (VERI_TABANI!D28*B370*(VERI_TABANI!$B$13-VERI_TABANI!$B$14)*VERI_TABANI!G28) + (VERI_TABANI!D28*C370*(VERI_TABANI!$B$13-VERI_TABANI!$B$15)*VERI_TABANI!G28) + IF(ABS(IF(ISNUMBER(SEARCH("Var", D370)), 1, IF(ISNUMBER(SEARCH("Gri", D370)), -1, 0)))=1, VERI_TABANI!E28*(1-0.928)*0.00206091519919798*VERI_TABANI!G28, 0)))</f>
        <v/>
      </c>
      <c r="H370" s="169">
        <f>(((VERI_TABANI!D23*B370*(VERI_TABANI!$B$13-VERI_TABANI!$B$14)) + (VERI_TABANI!D23*C370*(VERI_TABANI!$B$13-VERI_TABANI!$B$15)) + IF(ISNUMBER(SEARCH("Var", D370)), VERI_TABANI!F23*(0.00202-VERI_TABANI!$B$16), IF(ISNUMBER(SEARCH("Gri", D370)), VERI_TABANI!F23*(0.00202-VERI_TABANI!$B$17), 0))) + ((VERI_TABANI!D24*B370*(VERI_TABANI!$B$13-VERI_TABANI!$B$14)) + (VERI_TABANI!D24*C370*(VERI_TABANI!$B$13-VERI_TABANI!$B$15)) + IF(ISNUMBER(SEARCH("Var", D370)), VERI_TABANI!F24*(0.00202-VERI_TABANI!$B$16), IF(ISNUMBER(SEARCH("Gri", D370)), VERI_TABANI!F24*(0.00202-VERI_TABANI!$B$17), 0))) + ((VERI_TABANI!D25*B370*(VERI_TABANI!$B$13-VERI_TABANI!$B$14)) + (VERI_TABANI!D25*C370*(VERI_TABANI!$B$13-VERI_TABANI!$B$15)) + IF(ISNUMBER(SEARCH("Var", D370)), VERI_TABANI!F25*(0.00202-VERI_TABANI!$B$16), IF(ISNUMBER(SEARCH("Gri", D370)), VERI_TABANI!F25*(0.00202-VERI_TABANI!$B$17), 0))) + ((VERI_TABANI!D26*B370*(VERI_TABANI!$B$13-VERI_TABANI!$B$14)) + (VERI_TABANI!D26*C370*(VERI_TABANI!$B$13-VERI_TABANI!$B$15)) + IF(ISNUMBER(SEARCH("Var", D370)), VERI_TABANI!F26*(0.00202-VERI_TABANI!$B$16), IF(ISNUMBER(SEARCH("Gri", D370)), VERI_TABANI!F26*(0.00202-VERI_TABANI!$B$17), 0))) + ((VERI_TABANI!D27*B370*(VERI_TABANI!$B$13-VERI_TABANI!$B$14)) + (VERI_TABANI!D27*C370*(VERI_TABANI!$B$13-VERI_TABANI!$B$15)) + IF(ISNUMBER(SEARCH("Var", D370)), VERI_TABANI!F27*(0.00202-VERI_TABANI!$B$16), IF(ISNUMBER(SEARCH("Gri", D370)), VERI_TABANI!F27*(0.00202-VERI_TABANI!$B$17), 0))) + ((VERI_TABANI!D28*B370*(VERI_TABANI!$B$13-VERI_TABANI!$B$14)) + (VERI_TABANI!D28*C370*(VERI_TABANI!$B$13-VERI_TABANI!$B$15)) + IF(ISNUMBER(SEARCH("Var", D370)), VERI_TABANI!F28*(0.00202-VERI_TABANI!$B$16), IF(ISNUMBER(SEARCH("Gri", D370)), VERI_TABANI!F28*(0.00202-VERI_TABANI!$B$17), 0))))</f>
        <v/>
      </c>
      <c r="I370" s="170">
        <f>IFERROR(((VERI_TABANI!$D$29*B370*VERI_TABANI!$B$14 + VERI_TABANI!$D$29*C370*VERI_TABANI!$B$15 + IF(ISNUMBER(SEARCH("Var", D370)), VERI_TABANI!$F$29*VERI_TABANI!$B$16, 0))) / (((VERI_TABANI!$D$29*B370 + VERI_TABANI!$D$29*C370)*VERI_TABANI!$B$13 + IF(ISNUMBER(SEARCH("Var", D370)), VERI_TABANI!$E$29*(1-0.928)*VERI_TABANI!$B$18, 0))), 0)</f>
        <v/>
      </c>
      <c r="J370" s="171">
        <f>IFERROR(F370/(G370/29), 0)</f>
        <v/>
      </c>
      <c r="K370" s="172">
        <f>IF(F370&gt;0, H370/F370, 0)</f>
        <v/>
      </c>
      <c r="L370" s="170">
        <f>IF(F370&gt;0, I370, 1000000000)</f>
        <v/>
      </c>
      <c r="M370" s="171">
        <f>ABS((B370+C370)-1)</f>
        <v/>
      </c>
      <c r="N370" s="170">
        <f>IF(F370&gt;0, (G370/29)/F370, 0)</f>
        <v/>
      </c>
      <c r="O370" s="168">
        <f>IF(AND((B370+C370)&gt;=1, ISNUMBER(SEARCH("Var", D370))), F370, 1000000000)</f>
        <v/>
      </c>
      <c r="P370" s="172">
        <f>IF(F370&gt;0, SQRT((F370/MAX(F$5:F$886))^2 + (1 - H370/MAX(H$5:H$886))^2 + (J370/MAX(J$5:J$886))^2), 1000000000)</f>
        <v/>
      </c>
      <c r="Q370" s="166">
        <f>IF(AND(ABS(B370-0.5)&lt;0.01, ABS(C370-0.5)&lt;0.01, ISNUMBER(SEARCH("Var", D370))), 1, 0)</f>
        <v/>
      </c>
      <c r="R370" s="171">
        <f>IF(F370&gt;0, J370, 1000000000)</f>
        <v/>
      </c>
      <c r="S370" s="101">
        <f>IF(AND(F370&lt;=DASHBOARD!$B$11, H370&gt;=DASHBOARD!$B$13), G370, -1000000000000)</f>
        <v/>
      </c>
      <c r="T370" s="101">
        <f>IF(AND(F370&lt;=DASHBOARD!$B$11, H370&gt;=DASHBOARD!$B$13), R370, 1000000000000)</f>
        <v/>
      </c>
      <c r="U370" s="101">
        <f>IF(AND(F370&lt;=DASHBOARD!$B$11, H370&gt;=DASHBOARD!$B$13), N370, -1000000000000)</f>
        <v/>
      </c>
      <c r="V370" s="101">
        <f>IF(AND(F370&lt;=DASHBOARD!$B$11, H370&gt;=DASHBOARD!$B$13), H370, -1000000000000)</f>
        <v/>
      </c>
      <c r="W370" s="101">
        <f>IF(AND(F370&lt;=DASHBOARD!$B$11, H370&gt;=DASHBOARD!$B$13), K370, -1000000000000)</f>
        <v/>
      </c>
      <c r="X370" s="101">
        <f>IF(AND(F370&lt;=DASHBOARD!$B$11, H370&gt;=DASHBOARD!$B$13), M370, 1000000000000)</f>
        <v/>
      </c>
      <c r="Y370" s="101">
        <f>IF(AND(F370&lt;=DASHBOARD!$B$10, H370&gt;=DASHBOARD!$B$11), L370, 1000000000000)</f>
        <v/>
      </c>
      <c r="Z370" s="101">
        <f>IF(AND(F370&lt;=DASHBOARD!$B$10, H370&gt;=DASHBOARD!$B$11), O370, 1000000000000)</f>
        <v/>
      </c>
      <c r="AA370" s="101">
        <f>IF(AND(F370&lt;=DASHBOARD!$B$10, H370&gt;=DASHBOARD!$B$11), P370, 1000000000000)</f>
        <v/>
      </c>
      <c r="AB370" s="101">
        <f>IF(AND(F370&lt;=DASHBOARD!$B$10, H370&gt;=DASHBOARD!$B$11), Q370, -1000000000000)</f>
        <v/>
      </c>
    </row>
    <row r="371" ht="15" customHeight="1" s="102">
      <c r="A371" s="166" t="n">
        <v>367</v>
      </c>
      <c r="B371" s="167" t="n">
        <v>0.8</v>
      </c>
      <c r="C371" s="167" t="n">
        <v>1.5</v>
      </c>
      <c r="D371" s="110" t="inlineStr">
        <is>
          <t>Yok (%0)</t>
        </is>
      </c>
      <c r="E371" s="110">
        <f>IF((B371+C371)&lt;=1, "Tam Mahsuplaşma (≤%100)", "Kısmi Satış (&gt;%100)")</f>
        <v/>
      </c>
      <c r="F371" s="168">
        <f>((VERI_TABANI!$D$29*B371/VERI_TABANI!$B$29)/VERI_TABANI!$B$3)*VERI_TABANI!$B$5 + ((VERI_TABANI!$D$29*C371/VERI_TABANI!$B$29)/VERI_TABANI!$B$4)*VERI_TABANI!$B$6 + IF(ISNUMBER(SEARCH("Var", D371)), (VERI_TABANI!$F$29/VERI_TABANI!$B$29)*(VERI_TABANI!$B$10+VERI_TABANI!$B$12), 0)</f>
        <v/>
      </c>
      <c r="G371" s="168">
        <f>(((MIN(VERI_TABANI!D23, VERI_TABANI!D23*B371)*VERI_TABANI!$B$7 + MAX(0, VERI_TABANI!D23*B371-VERI_TABANI!D23)*VERI_TABANI!$B$8) + (MIN(MAX(0, VERI_TABANI!D23-VERI_TABANI!D23*B371), VERI_TABANI!D23*C371)*VERI_TABANI!$B$7 + MAX(0, VERI_TABANI!D23*C371-MAX(0, VERI_TABANI!D23-VERI_TABANI!D23*B371))*VERI_TABANI!$B$8) + IF(ABS(IF(ISNUMBER(SEARCH("Var", D371)), 1, IF(ISNUMBER(SEARCH("Gri", D371)), -1, 0)))=1, VERI_TABANI!E23*(1-0.928)*VERI_TABANI!$B$9, 0) + (VERI_TABANI!D23*B371*(VERI_TABANI!$B$13-VERI_TABANI!$B$14)*VERI_TABANI!G23) + (VERI_TABANI!D23*C371*(VERI_TABANI!$B$13-VERI_TABANI!$B$15)*VERI_TABANI!G23) + IF(ABS(IF(ISNUMBER(SEARCH("Var", D371)), 1, IF(ISNUMBER(SEARCH("Gri", D371)), -1, 0)))=1, VERI_TABANI!E23*(1-0.928)*0.00206091519919798*VERI_TABANI!G23, 0)) + ((MIN(VERI_TABANI!D24, VERI_TABANI!D24*B371)*VERI_TABANI!$B$7 + MAX(0, VERI_TABANI!D24*B371-VERI_TABANI!D24)*VERI_TABANI!$B$8) + (MIN(MAX(0, VERI_TABANI!D24-VERI_TABANI!D24*B371), VERI_TABANI!D24*C371)*VERI_TABANI!$B$7 + MAX(0, VERI_TABANI!D24*C371-MAX(0, VERI_TABANI!D24-VERI_TABANI!D24*B371))*VERI_TABANI!$B$8) + IF(ABS(IF(ISNUMBER(SEARCH("Var", D371)), 1, IF(ISNUMBER(SEARCH("Gri", D371)), -1, 0)))=1, VERI_TABANI!E24*(1-0.928)*VERI_TABANI!$B$9, 0) + (VERI_TABANI!D24*B371*(VERI_TABANI!$B$13-VERI_TABANI!$B$14)*VERI_TABANI!G24) + (VERI_TABANI!D24*C371*(VERI_TABANI!$B$13-VERI_TABANI!$B$15)*VERI_TABANI!G24) + IF(ABS(IF(ISNUMBER(SEARCH("Var", D371)), 1, IF(ISNUMBER(SEARCH("Gri", D371)), -1, 0)))=1, VERI_TABANI!E24*(1-0.928)*0.00206091519919798*VERI_TABANI!G24, 0)) + ((MIN(VERI_TABANI!D25, VERI_TABANI!D25*B371)*VERI_TABANI!$B$7 + MAX(0, VERI_TABANI!D25*B371-VERI_TABANI!D25)*VERI_TABANI!$B$8) + (MIN(MAX(0, VERI_TABANI!D25-VERI_TABANI!D25*B371), VERI_TABANI!D25*C371)*VERI_TABANI!$B$7 + MAX(0, VERI_TABANI!D25*C371-MAX(0, VERI_TABANI!D25-VERI_TABANI!D25*B371))*VERI_TABANI!$B$8) + IF(ABS(IF(ISNUMBER(SEARCH("Var", D371)), 1, IF(ISNUMBER(SEARCH("Gri", D371)), -1, 0)))=1, VERI_TABANI!E25*(1-0.928)*VERI_TABANI!$B$9, 0) + (VERI_TABANI!D25*B371*(VERI_TABANI!$B$13-VERI_TABANI!$B$14)*VERI_TABANI!G25) + (VERI_TABANI!D25*C371*(VERI_TABANI!$B$13-VERI_TABANI!$B$15)*VERI_TABANI!G25) + IF(ABS(IF(ISNUMBER(SEARCH("Var", D371)), 1, IF(ISNUMBER(SEARCH("Gri", D371)), -1, 0)))=1, VERI_TABANI!E25*(1-0.928)*0.00206091519919798*VERI_TABANI!G25, 0)) + ((MIN(VERI_TABANI!D26, VERI_TABANI!D26*B371)*VERI_TABANI!$B$7 + MAX(0, VERI_TABANI!D26*B371-VERI_TABANI!D26)*VERI_TABANI!$B$8) + (MIN(MAX(0, VERI_TABANI!D26-VERI_TABANI!D26*B371), VERI_TABANI!D26*C371)*VERI_TABANI!$B$7 + MAX(0, VERI_TABANI!D26*C371-MAX(0, VERI_TABANI!D26-VERI_TABANI!D26*B371))*VERI_TABANI!$B$8) + IF(ABS(IF(ISNUMBER(SEARCH("Var", D371)), 1, IF(ISNUMBER(SEARCH("Gri", D371)), -1, 0)))=1, VERI_TABANI!E26*(1-0.928)*VERI_TABANI!$B$9, 0) + (VERI_TABANI!D26*B371*(VERI_TABANI!$B$13-VERI_TABANI!$B$14)*VERI_TABANI!G26) + (VERI_TABANI!D26*C371*(VERI_TABANI!$B$13-VERI_TABANI!$B$15)*VERI_TABANI!G26) + IF(ABS(IF(ISNUMBER(SEARCH("Var", D371)), 1, IF(ISNUMBER(SEARCH("Gri", D371)), -1, 0)))=1, VERI_TABANI!E26*(1-0.928)*0.00206091519919798*VERI_TABANI!G26, 0)) + ((MIN(VERI_TABANI!D27, VERI_TABANI!D27*B371)*VERI_TABANI!$B$7 + MAX(0, VERI_TABANI!D27*B371-VERI_TABANI!D27)*VERI_TABANI!$B$8) + (MIN(MAX(0, VERI_TABANI!D27-VERI_TABANI!D27*B371), VERI_TABANI!D27*C371)*VERI_TABANI!$B$7 + MAX(0, VERI_TABANI!D27*C371-MAX(0, VERI_TABANI!D27-VERI_TABANI!D27*B371))*VERI_TABANI!$B$8) + IF(ABS(IF(ISNUMBER(SEARCH("Var", D371)), 1, IF(ISNUMBER(SEARCH("Gri", D371)), -1, 0)))=1, VERI_TABANI!E27*(1-0.928)*VERI_TABANI!$B$9, 0) + (VERI_TABANI!D27*B371*(VERI_TABANI!$B$13-VERI_TABANI!$B$14)*VERI_TABANI!G27) + (VERI_TABANI!D27*C371*(VERI_TABANI!$B$13-VERI_TABANI!$B$15)*VERI_TABANI!G27) + IF(ABS(IF(ISNUMBER(SEARCH("Var", D371)), 1, IF(ISNUMBER(SEARCH("Gri", D371)), -1, 0)))=1, VERI_TABANI!E27*(1-0.928)*0.00206091519919798*VERI_TABANI!G27, 0)) + ((MIN(VERI_TABANI!D28, VERI_TABANI!D28*B371)*VERI_TABANI!$B$7 + MAX(0, VERI_TABANI!D28*B371-VERI_TABANI!D28)*VERI_TABANI!$B$8) + (MIN(MAX(0, VERI_TABANI!D28-VERI_TABANI!D28*B371), VERI_TABANI!D28*C371)*VERI_TABANI!$B$7 + MAX(0, VERI_TABANI!D28*C371-MAX(0, VERI_TABANI!D28-VERI_TABANI!D28*B371))*VERI_TABANI!$B$8) + IF(ABS(IF(ISNUMBER(SEARCH("Var", D371)), 1, IF(ISNUMBER(SEARCH("Gri", D371)), -1, 0)))=1, VERI_TABANI!E28*(1-0.928)*VERI_TABANI!$B$9, 0) + (VERI_TABANI!D28*B371*(VERI_TABANI!$B$13-VERI_TABANI!$B$14)*VERI_TABANI!G28) + (VERI_TABANI!D28*C371*(VERI_TABANI!$B$13-VERI_TABANI!$B$15)*VERI_TABANI!G28) + IF(ABS(IF(ISNUMBER(SEARCH("Var", D371)), 1, IF(ISNUMBER(SEARCH("Gri", D371)), -1, 0)))=1, VERI_TABANI!E28*(1-0.928)*0.00206091519919798*VERI_TABANI!G28, 0)))</f>
        <v/>
      </c>
      <c r="H371" s="169">
        <f>(((VERI_TABANI!D23*B371*(VERI_TABANI!$B$13-VERI_TABANI!$B$14)) + (VERI_TABANI!D23*C371*(VERI_TABANI!$B$13-VERI_TABANI!$B$15)) + IF(ISNUMBER(SEARCH("Var", D371)), VERI_TABANI!F23*(0.00202-VERI_TABANI!$B$16), IF(ISNUMBER(SEARCH("Gri", D371)), VERI_TABANI!F23*(0.00202-VERI_TABANI!$B$17), 0))) + ((VERI_TABANI!D24*B371*(VERI_TABANI!$B$13-VERI_TABANI!$B$14)) + (VERI_TABANI!D24*C371*(VERI_TABANI!$B$13-VERI_TABANI!$B$15)) + IF(ISNUMBER(SEARCH("Var", D371)), VERI_TABANI!F24*(0.00202-VERI_TABANI!$B$16), IF(ISNUMBER(SEARCH("Gri", D371)), VERI_TABANI!F24*(0.00202-VERI_TABANI!$B$17), 0))) + ((VERI_TABANI!D25*B371*(VERI_TABANI!$B$13-VERI_TABANI!$B$14)) + (VERI_TABANI!D25*C371*(VERI_TABANI!$B$13-VERI_TABANI!$B$15)) + IF(ISNUMBER(SEARCH("Var", D371)), VERI_TABANI!F25*(0.00202-VERI_TABANI!$B$16), IF(ISNUMBER(SEARCH("Gri", D371)), VERI_TABANI!F25*(0.00202-VERI_TABANI!$B$17), 0))) + ((VERI_TABANI!D26*B371*(VERI_TABANI!$B$13-VERI_TABANI!$B$14)) + (VERI_TABANI!D26*C371*(VERI_TABANI!$B$13-VERI_TABANI!$B$15)) + IF(ISNUMBER(SEARCH("Var", D371)), VERI_TABANI!F26*(0.00202-VERI_TABANI!$B$16), IF(ISNUMBER(SEARCH("Gri", D371)), VERI_TABANI!F26*(0.00202-VERI_TABANI!$B$17), 0))) + ((VERI_TABANI!D27*B371*(VERI_TABANI!$B$13-VERI_TABANI!$B$14)) + (VERI_TABANI!D27*C371*(VERI_TABANI!$B$13-VERI_TABANI!$B$15)) + IF(ISNUMBER(SEARCH("Var", D371)), VERI_TABANI!F27*(0.00202-VERI_TABANI!$B$16), IF(ISNUMBER(SEARCH("Gri", D371)), VERI_TABANI!F27*(0.00202-VERI_TABANI!$B$17), 0))) + ((VERI_TABANI!D28*B371*(VERI_TABANI!$B$13-VERI_TABANI!$B$14)) + (VERI_TABANI!D28*C371*(VERI_TABANI!$B$13-VERI_TABANI!$B$15)) + IF(ISNUMBER(SEARCH("Var", D371)), VERI_TABANI!F28*(0.00202-VERI_TABANI!$B$16), IF(ISNUMBER(SEARCH("Gri", D371)), VERI_TABANI!F28*(0.00202-VERI_TABANI!$B$17), 0))))</f>
        <v/>
      </c>
      <c r="I371" s="170">
        <f>IFERROR(((VERI_TABANI!$D$29*B371*VERI_TABANI!$B$14 + VERI_TABANI!$D$29*C371*VERI_TABANI!$B$15 + IF(ISNUMBER(SEARCH("Var", D371)), VERI_TABANI!$F$29*VERI_TABANI!$B$16, 0))) / (((VERI_TABANI!$D$29*B371 + VERI_TABANI!$D$29*C371)*VERI_TABANI!$B$13 + IF(ISNUMBER(SEARCH("Var", D371)), VERI_TABANI!$E$29*(1-0.928)*VERI_TABANI!$B$18, 0))), 0)</f>
        <v/>
      </c>
      <c r="J371" s="171">
        <f>IFERROR(F371/(G371/29), 0)</f>
        <v/>
      </c>
      <c r="K371" s="172">
        <f>IF(F371&gt;0, H371/F371, 0)</f>
        <v/>
      </c>
      <c r="L371" s="170">
        <f>IF(F371&gt;0, I371, 1000000000)</f>
        <v/>
      </c>
      <c r="M371" s="171">
        <f>ABS((B371+C371)-1)</f>
        <v/>
      </c>
      <c r="N371" s="170">
        <f>IF(F371&gt;0, (G371/29)/F371, 0)</f>
        <v/>
      </c>
      <c r="O371" s="168">
        <f>IF(AND((B371+C371)&gt;=1, ISNUMBER(SEARCH("Var", D371))), F371, 1000000000)</f>
        <v/>
      </c>
      <c r="P371" s="172">
        <f>IF(F371&gt;0, SQRT((F371/MAX(F$5:F$886))^2 + (1 - H371/MAX(H$5:H$886))^2 + (J371/MAX(J$5:J$886))^2), 1000000000)</f>
        <v/>
      </c>
      <c r="Q371" s="166">
        <f>IF(AND(ABS(B371-0.5)&lt;0.01, ABS(C371-0.5)&lt;0.01, ISNUMBER(SEARCH("Var", D371))), 1, 0)</f>
        <v/>
      </c>
      <c r="R371" s="171">
        <f>IF(F371&gt;0, J371, 1000000000)</f>
        <v/>
      </c>
      <c r="S371" s="101">
        <f>IF(AND(F371&lt;=DASHBOARD!$B$11, H371&gt;=DASHBOARD!$B$13), G371, -1000000000000)</f>
        <v/>
      </c>
      <c r="T371" s="101">
        <f>IF(AND(F371&lt;=DASHBOARD!$B$11, H371&gt;=DASHBOARD!$B$13), R371, 1000000000000)</f>
        <v/>
      </c>
      <c r="U371" s="101">
        <f>IF(AND(F371&lt;=DASHBOARD!$B$11, H371&gt;=DASHBOARD!$B$13), N371, -1000000000000)</f>
        <v/>
      </c>
      <c r="V371" s="101">
        <f>IF(AND(F371&lt;=DASHBOARD!$B$11, H371&gt;=DASHBOARD!$B$13), H371, -1000000000000)</f>
        <v/>
      </c>
      <c r="W371" s="101">
        <f>IF(AND(F371&lt;=DASHBOARD!$B$11, H371&gt;=DASHBOARD!$B$13), K371, -1000000000000)</f>
        <v/>
      </c>
      <c r="X371" s="101">
        <f>IF(AND(F371&lt;=DASHBOARD!$B$11, H371&gt;=DASHBOARD!$B$13), M371, 1000000000000)</f>
        <v/>
      </c>
      <c r="Y371" s="101">
        <f>IF(AND(F371&lt;=DASHBOARD!$B$10, H371&gt;=DASHBOARD!$B$11), L371, 1000000000000)</f>
        <v/>
      </c>
      <c r="Z371" s="101">
        <f>IF(AND(F371&lt;=DASHBOARD!$B$10, H371&gt;=DASHBOARD!$B$11), O371, 1000000000000)</f>
        <v/>
      </c>
      <c r="AA371" s="101">
        <f>IF(AND(F371&lt;=DASHBOARD!$B$10, H371&gt;=DASHBOARD!$B$11), P371, 1000000000000)</f>
        <v/>
      </c>
      <c r="AB371" s="101">
        <f>IF(AND(F371&lt;=DASHBOARD!$B$10, H371&gt;=DASHBOARD!$B$11), Q371, -1000000000000)</f>
        <v/>
      </c>
    </row>
    <row r="372" ht="15" customHeight="1" s="102">
      <c r="A372" s="166" t="n">
        <v>368</v>
      </c>
      <c r="B372" s="167" t="n">
        <v>0.8</v>
      </c>
      <c r="C372" s="167" t="n">
        <v>1.5</v>
      </c>
      <c r="D372" s="110" t="inlineStr">
        <is>
          <t>Var (%20)</t>
        </is>
      </c>
      <c r="E372" s="110">
        <f>IF((B372+C372)&lt;=1, "Tam Mahsuplaşma (≤%100)", "Kısmi Satış (&gt;%100)")</f>
        <v/>
      </c>
      <c r="F372" s="168">
        <f>((VERI_TABANI!$D$29*B372/VERI_TABANI!$B$29)/VERI_TABANI!$B$3)*VERI_TABANI!$B$5 + ((VERI_TABANI!$D$29*C372/VERI_TABANI!$B$29)/VERI_TABANI!$B$4)*VERI_TABANI!$B$6 + IF(ISNUMBER(SEARCH("Var", D372)), (VERI_TABANI!$F$29/VERI_TABANI!$B$29)*(VERI_TABANI!$B$10+VERI_TABANI!$B$12), 0)</f>
        <v/>
      </c>
      <c r="G372" s="168">
        <f>(((MIN(VERI_TABANI!D23, VERI_TABANI!D23*B372)*VERI_TABANI!$B$7 + MAX(0, VERI_TABANI!D23*B372-VERI_TABANI!D23)*VERI_TABANI!$B$8) + (MIN(MAX(0, VERI_TABANI!D23-VERI_TABANI!D23*B372), VERI_TABANI!D23*C372)*VERI_TABANI!$B$7 + MAX(0, VERI_TABANI!D23*C372-MAX(0, VERI_TABANI!D23-VERI_TABANI!D23*B372))*VERI_TABANI!$B$8) + IF(ABS(IF(ISNUMBER(SEARCH("Var", D372)), 1, IF(ISNUMBER(SEARCH("Gri", D372)), -1, 0)))=1, VERI_TABANI!E23*(1-0.928)*VERI_TABANI!$B$9, 0) + (VERI_TABANI!D23*B372*(VERI_TABANI!$B$13-VERI_TABANI!$B$14)*VERI_TABANI!G23) + (VERI_TABANI!D23*C372*(VERI_TABANI!$B$13-VERI_TABANI!$B$15)*VERI_TABANI!G23) + IF(ABS(IF(ISNUMBER(SEARCH("Var", D372)), 1, IF(ISNUMBER(SEARCH("Gri", D372)), -1, 0)))=1, VERI_TABANI!E23*(1-0.928)*0.00206091519919798*VERI_TABANI!G23, 0)) + ((MIN(VERI_TABANI!D24, VERI_TABANI!D24*B372)*VERI_TABANI!$B$7 + MAX(0, VERI_TABANI!D24*B372-VERI_TABANI!D24)*VERI_TABANI!$B$8) + (MIN(MAX(0, VERI_TABANI!D24-VERI_TABANI!D24*B372), VERI_TABANI!D24*C372)*VERI_TABANI!$B$7 + MAX(0, VERI_TABANI!D24*C372-MAX(0, VERI_TABANI!D24-VERI_TABANI!D24*B372))*VERI_TABANI!$B$8) + IF(ABS(IF(ISNUMBER(SEARCH("Var", D372)), 1, IF(ISNUMBER(SEARCH("Gri", D372)), -1, 0)))=1, VERI_TABANI!E24*(1-0.928)*VERI_TABANI!$B$9, 0) + (VERI_TABANI!D24*B372*(VERI_TABANI!$B$13-VERI_TABANI!$B$14)*VERI_TABANI!G24) + (VERI_TABANI!D24*C372*(VERI_TABANI!$B$13-VERI_TABANI!$B$15)*VERI_TABANI!G24) + IF(ABS(IF(ISNUMBER(SEARCH("Var", D372)), 1, IF(ISNUMBER(SEARCH("Gri", D372)), -1, 0)))=1, VERI_TABANI!E24*(1-0.928)*0.00206091519919798*VERI_TABANI!G24, 0)) + ((MIN(VERI_TABANI!D25, VERI_TABANI!D25*B372)*VERI_TABANI!$B$7 + MAX(0, VERI_TABANI!D25*B372-VERI_TABANI!D25)*VERI_TABANI!$B$8) + (MIN(MAX(0, VERI_TABANI!D25-VERI_TABANI!D25*B372), VERI_TABANI!D25*C372)*VERI_TABANI!$B$7 + MAX(0, VERI_TABANI!D25*C372-MAX(0, VERI_TABANI!D25-VERI_TABANI!D25*B372))*VERI_TABANI!$B$8) + IF(ABS(IF(ISNUMBER(SEARCH("Var", D372)), 1, IF(ISNUMBER(SEARCH("Gri", D372)), -1, 0)))=1, VERI_TABANI!E25*(1-0.928)*VERI_TABANI!$B$9, 0) + (VERI_TABANI!D25*B372*(VERI_TABANI!$B$13-VERI_TABANI!$B$14)*VERI_TABANI!G25) + (VERI_TABANI!D25*C372*(VERI_TABANI!$B$13-VERI_TABANI!$B$15)*VERI_TABANI!G25) + IF(ABS(IF(ISNUMBER(SEARCH("Var", D372)), 1, IF(ISNUMBER(SEARCH("Gri", D372)), -1, 0)))=1, VERI_TABANI!E25*(1-0.928)*0.00206091519919798*VERI_TABANI!G25, 0)) + ((MIN(VERI_TABANI!D26, VERI_TABANI!D26*B372)*VERI_TABANI!$B$7 + MAX(0, VERI_TABANI!D26*B372-VERI_TABANI!D26)*VERI_TABANI!$B$8) + (MIN(MAX(0, VERI_TABANI!D26-VERI_TABANI!D26*B372), VERI_TABANI!D26*C372)*VERI_TABANI!$B$7 + MAX(0, VERI_TABANI!D26*C372-MAX(0, VERI_TABANI!D26-VERI_TABANI!D26*B372))*VERI_TABANI!$B$8) + IF(ABS(IF(ISNUMBER(SEARCH("Var", D372)), 1, IF(ISNUMBER(SEARCH("Gri", D372)), -1, 0)))=1, VERI_TABANI!E26*(1-0.928)*VERI_TABANI!$B$9, 0) + (VERI_TABANI!D26*B372*(VERI_TABANI!$B$13-VERI_TABANI!$B$14)*VERI_TABANI!G26) + (VERI_TABANI!D26*C372*(VERI_TABANI!$B$13-VERI_TABANI!$B$15)*VERI_TABANI!G26) + IF(ABS(IF(ISNUMBER(SEARCH("Var", D372)), 1, IF(ISNUMBER(SEARCH("Gri", D372)), -1, 0)))=1, VERI_TABANI!E26*(1-0.928)*0.00206091519919798*VERI_TABANI!G26, 0)) + ((MIN(VERI_TABANI!D27, VERI_TABANI!D27*B372)*VERI_TABANI!$B$7 + MAX(0, VERI_TABANI!D27*B372-VERI_TABANI!D27)*VERI_TABANI!$B$8) + (MIN(MAX(0, VERI_TABANI!D27-VERI_TABANI!D27*B372), VERI_TABANI!D27*C372)*VERI_TABANI!$B$7 + MAX(0, VERI_TABANI!D27*C372-MAX(0, VERI_TABANI!D27-VERI_TABANI!D27*B372))*VERI_TABANI!$B$8) + IF(ABS(IF(ISNUMBER(SEARCH("Var", D372)), 1, IF(ISNUMBER(SEARCH("Gri", D372)), -1, 0)))=1, VERI_TABANI!E27*(1-0.928)*VERI_TABANI!$B$9, 0) + (VERI_TABANI!D27*B372*(VERI_TABANI!$B$13-VERI_TABANI!$B$14)*VERI_TABANI!G27) + (VERI_TABANI!D27*C372*(VERI_TABANI!$B$13-VERI_TABANI!$B$15)*VERI_TABANI!G27) + IF(ABS(IF(ISNUMBER(SEARCH("Var", D372)), 1, IF(ISNUMBER(SEARCH("Gri", D372)), -1, 0)))=1, VERI_TABANI!E27*(1-0.928)*0.00206091519919798*VERI_TABANI!G27, 0)) + ((MIN(VERI_TABANI!D28, VERI_TABANI!D28*B372)*VERI_TABANI!$B$7 + MAX(0, VERI_TABANI!D28*B372-VERI_TABANI!D28)*VERI_TABANI!$B$8) + (MIN(MAX(0, VERI_TABANI!D28-VERI_TABANI!D28*B372), VERI_TABANI!D28*C372)*VERI_TABANI!$B$7 + MAX(0, VERI_TABANI!D28*C372-MAX(0, VERI_TABANI!D28-VERI_TABANI!D28*B372))*VERI_TABANI!$B$8) + IF(ABS(IF(ISNUMBER(SEARCH("Var", D372)), 1, IF(ISNUMBER(SEARCH("Gri", D372)), -1, 0)))=1, VERI_TABANI!E28*(1-0.928)*VERI_TABANI!$B$9, 0) + (VERI_TABANI!D28*B372*(VERI_TABANI!$B$13-VERI_TABANI!$B$14)*VERI_TABANI!G28) + (VERI_TABANI!D28*C372*(VERI_TABANI!$B$13-VERI_TABANI!$B$15)*VERI_TABANI!G28) + IF(ABS(IF(ISNUMBER(SEARCH("Var", D372)), 1, IF(ISNUMBER(SEARCH("Gri", D372)), -1, 0)))=1, VERI_TABANI!E28*(1-0.928)*0.00206091519919798*VERI_TABANI!G28, 0)))</f>
        <v/>
      </c>
      <c r="H372" s="169">
        <f>(((VERI_TABANI!D23*B372*(VERI_TABANI!$B$13-VERI_TABANI!$B$14)) + (VERI_TABANI!D23*C372*(VERI_TABANI!$B$13-VERI_TABANI!$B$15)) + IF(ISNUMBER(SEARCH("Var", D372)), VERI_TABANI!F23*(0.00202-VERI_TABANI!$B$16), IF(ISNUMBER(SEARCH("Gri", D372)), VERI_TABANI!F23*(0.00202-VERI_TABANI!$B$17), 0))) + ((VERI_TABANI!D24*B372*(VERI_TABANI!$B$13-VERI_TABANI!$B$14)) + (VERI_TABANI!D24*C372*(VERI_TABANI!$B$13-VERI_TABANI!$B$15)) + IF(ISNUMBER(SEARCH("Var", D372)), VERI_TABANI!F24*(0.00202-VERI_TABANI!$B$16), IF(ISNUMBER(SEARCH("Gri", D372)), VERI_TABANI!F24*(0.00202-VERI_TABANI!$B$17), 0))) + ((VERI_TABANI!D25*B372*(VERI_TABANI!$B$13-VERI_TABANI!$B$14)) + (VERI_TABANI!D25*C372*(VERI_TABANI!$B$13-VERI_TABANI!$B$15)) + IF(ISNUMBER(SEARCH("Var", D372)), VERI_TABANI!F25*(0.00202-VERI_TABANI!$B$16), IF(ISNUMBER(SEARCH("Gri", D372)), VERI_TABANI!F25*(0.00202-VERI_TABANI!$B$17), 0))) + ((VERI_TABANI!D26*B372*(VERI_TABANI!$B$13-VERI_TABANI!$B$14)) + (VERI_TABANI!D26*C372*(VERI_TABANI!$B$13-VERI_TABANI!$B$15)) + IF(ISNUMBER(SEARCH("Var", D372)), VERI_TABANI!F26*(0.00202-VERI_TABANI!$B$16), IF(ISNUMBER(SEARCH("Gri", D372)), VERI_TABANI!F26*(0.00202-VERI_TABANI!$B$17), 0))) + ((VERI_TABANI!D27*B372*(VERI_TABANI!$B$13-VERI_TABANI!$B$14)) + (VERI_TABANI!D27*C372*(VERI_TABANI!$B$13-VERI_TABANI!$B$15)) + IF(ISNUMBER(SEARCH("Var", D372)), VERI_TABANI!F27*(0.00202-VERI_TABANI!$B$16), IF(ISNUMBER(SEARCH("Gri", D372)), VERI_TABANI!F27*(0.00202-VERI_TABANI!$B$17), 0))) + ((VERI_TABANI!D28*B372*(VERI_TABANI!$B$13-VERI_TABANI!$B$14)) + (VERI_TABANI!D28*C372*(VERI_TABANI!$B$13-VERI_TABANI!$B$15)) + IF(ISNUMBER(SEARCH("Var", D372)), VERI_TABANI!F28*(0.00202-VERI_TABANI!$B$16), IF(ISNUMBER(SEARCH("Gri", D372)), VERI_TABANI!F28*(0.00202-VERI_TABANI!$B$17), 0))))</f>
        <v/>
      </c>
      <c r="I372" s="170">
        <f>IFERROR(((VERI_TABANI!$D$29*B372*VERI_TABANI!$B$14 + VERI_TABANI!$D$29*C372*VERI_TABANI!$B$15 + IF(ISNUMBER(SEARCH("Var", D372)), VERI_TABANI!$F$29*VERI_TABANI!$B$16, 0))) / (((VERI_TABANI!$D$29*B372 + VERI_TABANI!$D$29*C372)*VERI_TABANI!$B$13 + IF(ISNUMBER(SEARCH("Var", D372)), VERI_TABANI!$E$29*(1-0.928)*VERI_TABANI!$B$18, 0))), 0)</f>
        <v/>
      </c>
      <c r="J372" s="171">
        <f>IFERROR(F372/(G372/29), 0)</f>
        <v/>
      </c>
      <c r="K372" s="172">
        <f>IF(F372&gt;0, H372/F372, 0)</f>
        <v/>
      </c>
      <c r="L372" s="170">
        <f>IF(F372&gt;0, I372, 1000000000)</f>
        <v/>
      </c>
      <c r="M372" s="171">
        <f>ABS((B372+C372)-1)</f>
        <v/>
      </c>
      <c r="N372" s="170">
        <f>IF(F372&gt;0, (G372/29)/F372, 0)</f>
        <v/>
      </c>
      <c r="O372" s="168">
        <f>IF(AND((B372+C372)&gt;=1, ISNUMBER(SEARCH("Var", D372))), F372, 1000000000)</f>
        <v/>
      </c>
      <c r="P372" s="172">
        <f>IF(F372&gt;0, SQRT((F372/MAX(F$5:F$886))^2 + (1 - H372/MAX(H$5:H$886))^2 + (J372/MAX(J$5:J$886))^2), 1000000000)</f>
        <v/>
      </c>
      <c r="Q372" s="166">
        <f>IF(AND(ABS(B372-0.5)&lt;0.01, ABS(C372-0.5)&lt;0.01, ISNUMBER(SEARCH("Var", D372))), 1, 0)</f>
        <v/>
      </c>
      <c r="R372" s="171">
        <f>IF(F372&gt;0, J372, 1000000000)</f>
        <v/>
      </c>
      <c r="S372" s="101">
        <f>IF(AND(F372&lt;=DASHBOARD!$B$11, H372&gt;=DASHBOARD!$B$13), G372, -1000000000000)</f>
        <v/>
      </c>
      <c r="T372" s="101">
        <f>IF(AND(F372&lt;=DASHBOARD!$B$11, H372&gt;=DASHBOARD!$B$13), R372, 1000000000000)</f>
        <v/>
      </c>
      <c r="U372" s="101">
        <f>IF(AND(F372&lt;=DASHBOARD!$B$11, H372&gt;=DASHBOARD!$B$13), N372, -1000000000000)</f>
        <v/>
      </c>
      <c r="V372" s="101">
        <f>IF(AND(F372&lt;=DASHBOARD!$B$11, H372&gt;=DASHBOARD!$B$13), H372, -1000000000000)</f>
        <v/>
      </c>
      <c r="W372" s="101">
        <f>IF(AND(F372&lt;=DASHBOARD!$B$11, H372&gt;=DASHBOARD!$B$13), K372, -1000000000000)</f>
        <v/>
      </c>
      <c r="X372" s="101">
        <f>IF(AND(F372&lt;=DASHBOARD!$B$11, H372&gt;=DASHBOARD!$B$13), M372, 1000000000000)</f>
        <v/>
      </c>
      <c r="Y372" s="101">
        <f>IF(AND(F372&lt;=DASHBOARD!$B$10, H372&gt;=DASHBOARD!$B$11), L372, 1000000000000)</f>
        <v/>
      </c>
      <c r="Z372" s="101">
        <f>IF(AND(F372&lt;=DASHBOARD!$B$10, H372&gt;=DASHBOARD!$B$11), O372, 1000000000000)</f>
        <v/>
      </c>
      <c r="AA372" s="101">
        <f>IF(AND(F372&lt;=DASHBOARD!$B$10, H372&gt;=DASHBOARD!$B$11), P372, 1000000000000)</f>
        <v/>
      </c>
      <c r="AB372" s="101">
        <f>IF(AND(F372&lt;=DASHBOARD!$B$10, H372&gt;=DASHBOARD!$B$11), Q372, -1000000000000)</f>
        <v/>
      </c>
    </row>
    <row r="373" ht="15" customHeight="1" s="102">
      <c r="A373" s="166" t="n">
        <v>369</v>
      </c>
      <c r="B373" s="167" t="n">
        <v>0.8</v>
      </c>
      <c r="C373" s="167" t="n">
        <v>1.6</v>
      </c>
      <c r="D373" s="110" t="inlineStr">
        <is>
          <t>Yok (%0)</t>
        </is>
      </c>
      <c r="E373" s="110">
        <f>IF((B373+C373)&lt;=1, "Tam Mahsuplaşma (≤%100)", "Kısmi Satış (&gt;%100)")</f>
        <v/>
      </c>
      <c r="F373" s="168">
        <f>((VERI_TABANI!$D$29*B373/VERI_TABANI!$B$29)/VERI_TABANI!$B$3)*VERI_TABANI!$B$5 + ((VERI_TABANI!$D$29*C373/VERI_TABANI!$B$29)/VERI_TABANI!$B$4)*VERI_TABANI!$B$6 + IF(ISNUMBER(SEARCH("Var", D373)), (VERI_TABANI!$F$29/VERI_TABANI!$B$29)*(VERI_TABANI!$B$10+VERI_TABANI!$B$12), 0)</f>
        <v/>
      </c>
      <c r="G373" s="168">
        <f>(((MIN(VERI_TABANI!D23, VERI_TABANI!D23*B373)*VERI_TABANI!$B$7 + MAX(0, VERI_TABANI!D23*B373-VERI_TABANI!D23)*VERI_TABANI!$B$8) + (MIN(MAX(0, VERI_TABANI!D23-VERI_TABANI!D23*B373), VERI_TABANI!D23*C373)*VERI_TABANI!$B$7 + MAX(0, VERI_TABANI!D23*C373-MAX(0, VERI_TABANI!D23-VERI_TABANI!D23*B373))*VERI_TABANI!$B$8) + IF(ABS(IF(ISNUMBER(SEARCH("Var", D373)), 1, IF(ISNUMBER(SEARCH("Gri", D373)), -1, 0)))=1, VERI_TABANI!E23*(1-0.928)*VERI_TABANI!$B$9, 0) + (VERI_TABANI!D23*B373*(VERI_TABANI!$B$13-VERI_TABANI!$B$14)*VERI_TABANI!G23) + (VERI_TABANI!D23*C373*(VERI_TABANI!$B$13-VERI_TABANI!$B$15)*VERI_TABANI!G23) + IF(ABS(IF(ISNUMBER(SEARCH("Var", D373)), 1, IF(ISNUMBER(SEARCH("Gri", D373)), -1, 0)))=1, VERI_TABANI!E23*(1-0.928)*0.00206091519919798*VERI_TABANI!G23, 0)) + ((MIN(VERI_TABANI!D24, VERI_TABANI!D24*B373)*VERI_TABANI!$B$7 + MAX(0, VERI_TABANI!D24*B373-VERI_TABANI!D24)*VERI_TABANI!$B$8) + (MIN(MAX(0, VERI_TABANI!D24-VERI_TABANI!D24*B373), VERI_TABANI!D24*C373)*VERI_TABANI!$B$7 + MAX(0, VERI_TABANI!D24*C373-MAX(0, VERI_TABANI!D24-VERI_TABANI!D24*B373))*VERI_TABANI!$B$8) + IF(ABS(IF(ISNUMBER(SEARCH("Var", D373)), 1, IF(ISNUMBER(SEARCH("Gri", D373)), -1, 0)))=1, VERI_TABANI!E24*(1-0.928)*VERI_TABANI!$B$9, 0) + (VERI_TABANI!D24*B373*(VERI_TABANI!$B$13-VERI_TABANI!$B$14)*VERI_TABANI!G24) + (VERI_TABANI!D24*C373*(VERI_TABANI!$B$13-VERI_TABANI!$B$15)*VERI_TABANI!G24) + IF(ABS(IF(ISNUMBER(SEARCH("Var", D373)), 1, IF(ISNUMBER(SEARCH("Gri", D373)), -1, 0)))=1, VERI_TABANI!E24*(1-0.928)*0.00206091519919798*VERI_TABANI!G24, 0)) + ((MIN(VERI_TABANI!D25, VERI_TABANI!D25*B373)*VERI_TABANI!$B$7 + MAX(0, VERI_TABANI!D25*B373-VERI_TABANI!D25)*VERI_TABANI!$B$8) + (MIN(MAX(0, VERI_TABANI!D25-VERI_TABANI!D25*B373), VERI_TABANI!D25*C373)*VERI_TABANI!$B$7 + MAX(0, VERI_TABANI!D25*C373-MAX(0, VERI_TABANI!D25-VERI_TABANI!D25*B373))*VERI_TABANI!$B$8) + IF(ABS(IF(ISNUMBER(SEARCH("Var", D373)), 1, IF(ISNUMBER(SEARCH("Gri", D373)), -1, 0)))=1, VERI_TABANI!E25*(1-0.928)*VERI_TABANI!$B$9, 0) + (VERI_TABANI!D25*B373*(VERI_TABANI!$B$13-VERI_TABANI!$B$14)*VERI_TABANI!G25) + (VERI_TABANI!D25*C373*(VERI_TABANI!$B$13-VERI_TABANI!$B$15)*VERI_TABANI!G25) + IF(ABS(IF(ISNUMBER(SEARCH("Var", D373)), 1, IF(ISNUMBER(SEARCH("Gri", D373)), -1, 0)))=1, VERI_TABANI!E25*(1-0.928)*0.00206091519919798*VERI_TABANI!G25, 0)) + ((MIN(VERI_TABANI!D26, VERI_TABANI!D26*B373)*VERI_TABANI!$B$7 + MAX(0, VERI_TABANI!D26*B373-VERI_TABANI!D26)*VERI_TABANI!$B$8) + (MIN(MAX(0, VERI_TABANI!D26-VERI_TABANI!D26*B373), VERI_TABANI!D26*C373)*VERI_TABANI!$B$7 + MAX(0, VERI_TABANI!D26*C373-MAX(0, VERI_TABANI!D26-VERI_TABANI!D26*B373))*VERI_TABANI!$B$8) + IF(ABS(IF(ISNUMBER(SEARCH("Var", D373)), 1, IF(ISNUMBER(SEARCH("Gri", D373)), -1, 0)))=1, VERI_TABANI!E26*(1-0.928)*VERI_TABANI!$B$9, 0) + (VERI_TABANI!D26*B373*(VERI_TABANI!$B$13-VERI_TABANI!$B$14)*VERI_TABANI!G26) + (VERI_TABANI!D26*C373*(VERI_TABANI!$B$13-VERI_TABANI!$B$15)*VERI_TABANI!G26) + IF(ABS(IF(ISNUMBER(SEARCH("Var", D373)), 1, IF(ISNUMBER(SEARCH("Gri", D373)), -1, 0)))=1, VERI_TABANI!E26*(1-0.928)*0.00206091519919798*VERI_TABANI!G26, 0)) + ((MIN(VERI_TABANI!D27, VERI_TABANI!D27*B373)*VERI_TABANI!$B$7 + MAX(0, VERI_TABANI!D27*B373-VERI_TABANI!D27)*VERI_TABANI!$B$8) + (MIN(MAX(0, VERI_TABANI!D27-VERI_TABANI!D27*B373), VERI_TABANI!D27*C373)*VERI_TABANI!$B$7 + MAX(0, VERI_TABANI!D27*C373-MAX(0, VERI_TABANI!D27-VERI_TABANI!D27*B373))*VERI_TABANI!$B$8) + IF(ABS(IF(ISNUMBER(SEARCH("Var", D373)), 1, IF(ISNUMBER(SEARCH("Gri", D373)), -1, 0)))=1, VERI_TABANI!E27*(1-0.928)*VERI_TABANI!$B$9, 0) + (VERI_TABANI!D27*B373*(VERI_TABANI!$B$13-VERI_TABANI!$B$14)*VERI_TABANI!G27) + (VERI_TABANI!D27*C373*(VERI_TABANI!$B$13-VERI_TABANI!$B$15)*VERI_TABANI!G27) + IF(ABS(IF(ISNUMBER(SEARCH("Var", D373)), 1, IF(ISNUMBER(SEARCH("Gri", D373)), -1, 0)))=1, VERI_TABANI!E27*(1-0.928)*0.00206091519919798*VERI_TABANI!G27, 0)) + ((MIN(VERI_TABANI!D28, VERI_TABANI!D28*B373)*VERI_TABANI!$B$7 + MAX(0, VERI_TABANI!D28*B373-VERI_TABANI!D28)*VERI_TABANI!$B$8) + (MIN(MAX(0, VERI_TABANI!D28-VERI_TABANI!D28*B373), VERI_TABANI!D28*C373)*VERI_TABANI!$B$7 + MAX(0, VERI_TABANI!D28*C373-MAX(0, VERI_TABANI!D28-VERI_TABANI!D28*B373))*VERI_TABANI!$B$8) + IF(ABS(IF(ISNUMBER(SEARCH("Var", D373)), 1, IF(ISNUMBER(SEARCH("Gri", D373)), -1, 0)))=1, VERI_TABANI!E28*(1-0.928)*VERI_TABANI!$B$9, 0) + (VERI_TABANI!D28*B373*(VERI_TABANI!$B$13-VERI_TABANI!$B$14)*VERI_TABANI!G28) + (VERI_TABANI!D28*C373*(VERI_TABANI!$B$13-VERI_TABANI!$B$15)*VERI_TABANI!G28) + IF(ABS(IF(ISNUMBER(SEARCH("Var", D373)), 1, IF(ISNUMBER(SEARCH("Gri", D373)), -1, 0)))=1, VERI_TABANI!E28*(1-0.928)*0.00206091519919798*VERI_TABANI!G28, 0)))</f>
        <v/>
      </c>
      <c r="H373" s="169">
        <f>(((VERI_TABANI!D23*B373*(VERI_TABANI!$B$13-VERI_TABANI!$B$14)) + (VERI_TABANI!D23*C373*(VERI_TABANI!$B$13-VERI_TABANI!$B$15)) + IF(ISNUMBER(SEARCH("Var", D373)), VERI_TABANI!F23*(0.00202-VERI_TABANI!$B$16), IF(ISNUMBER(SEARCH("Gri", D373)), VERI_TABANI!F23*(0.00202-VERI_TABANI!$B$17), 0))) + ((VERI_TABANI!D24*B373*(VERI_TABANI!$B$13-VERI_TABANI!$B$14)) + (VERI_TABANI!D24*C373*(VERI_TABANI!$B$13-VERI_TABANI!$B$15)) + IF(ISNUMBER(SEARCH("Var", D373)), VERI_TABANI!F24*(0.00202-VERI_TABANI!$B$16), IF(ISNUMBER(SEARCH("Gri", D373)), VERI_TABANI!F24*(0.00202-VERI_TABANI!$B$17), 0))) + ((VERI_TABANI!D25*B373*(VERI_TABANI!$B$13-VERI_TABANI!$B$14)) + (VERI_TABANI!D25*C373*(VERI_TABANI!$B$13-VERI_TABANI!$B$15)) + IF(ISNUMBER(SEARCH("Var", D373)), VERI_TABANI!F25*(0.00202-VERI_TABANI!$B$16), IF(ISNUMBER(SEARCH("Gri", D373)), VERI_TABANI!F25*(0.00202-VERI_TABANI!$B$17), 0))) + ((VERI_TABANI!D26*B373*(VERI_TABANI!$B$13-VERI_TABANI!$B$14)) + (VERI_TABANI!D26*C373*(VERI_TABANI!$B$13-VERI_TABANI!$B$15)) + IF(ISNUMBER(SEARCH("Var", D373)), VERI_TABANI!F26*(0.00202-VERI_TABANI!$B$16), IF(ISNUMBER(SEARCH("Gri", D373)), VERI_TABANI!F26*(0.00202-VERI_TABANI!$B$17), 0))) + ((VERI_TABANI!D27*B373*(VERI_TABANI!$B$13-VERI_TABANI!$B$14)) + (VERI_TABANI!D27*C373*(VERI_TABANI!$B$13-VERI_TABANI!$B$15)) + IF(ISNUMBER(SEARCH("Var", D373)), VERI_TABANI!F27*(0.00202-VERI_TABANI!$B$16), IF(ISNUMBER(SEARCH("Gri", D373)), VERI_TABANI!F27*(0.00202-VERI_TABANI!$B$17), 0))) + ((VERI_TABANI!D28*B373*(VERI_TABANI!$B$13-VERI_TABANI!$B$14)) + (VERI_TABANI!D28*C373*(VERI_TABANI!$B$13-VERI_TABANI!$B$15)) + IF(ISNUMBER(SEARCH("Var", D373)), VERI_TABANI!F28*(0.00202-VERI_TABANI!$B$16), IF(ISNUMBER(SEARCH("Gri", D373)), VERI_TABANI!F28*(0.00202-VERI_TABANI!$B$17), 0))))</f>
        <v/>
      </c>
      <c r="I373" s="170">
        <f>IFERROR(((VERI_TABANI!$D$29*B373*VERI_TABANI!$B$14 + VERI_TABANI!$D$29*C373*VERI_TABANI!$B$15 + IF(ISNUMBER(SEARCH("Var", D373)), VERI_TABANI!$F$29*VERI_TABANI!$B$16, 0))) / (((VERI_TABANI!$D$29*B373 + VERI_TABANI!$D$29*C373)*VERI_TABANI!$B$13 + IF(ISNUMBER(SEARCH("Var", D373)), VERI_TABANI!$E$29*(1-0.928)*VERI_TABANI!$B$18, 0))), 0)</f>
        <v/>
      </c>
      <c r="J373" s="171">
        <f>IFERROR(F373/(G373/29), 0)</f>
        <v/>
      </c>
      <c r="K373" s="172">
        <f>IF(F373&gt;0, H373/F373, 0)</f>
        <v/>
      </c>
      <c r="L373" s="170">
        <f>IF(F373&gt;0, I373, 1000000000)</f>
        <v/>
      </c>
      <c r="M373" s="171">
        <f>ABS((B373+C373)-1)</f>
        <v/>
      </c>
      <c r="N373" s="170">
        <f>IF(F373&gt;0, (G373/29)/F373, 0)</f>
        <v/>
      </c>
      <c r="O373" s="168">
        <f>IF(AND((B373+C373)&gt;=1, ISNUMBER(SEARCH("Var", D373))), F373, 1000000000)</f>
        <v/>
      </c>
      <c r="P373" s="172">
        <f>IF(F373&gt;0, SQRT((F373/MAX(F$5:F$886))^2 + (1 - H373/MAX(H$5:H$886))^2 + (J373/MAX(J$5:J$886))^2), 1000000000)</f>
        <v/>
      </c>
      <c r="Q373" s="166">
        <f>IF(AND(ABS(B373-0.5)&lt;0.01, ABS(C373-0.5)&lt;0.01, ISNUMBER(SEARCH("Var", D373))), 1, 0)</f>
        <v/>
      </c>
      <c r="R373" s="171">
        <f>IF(F373&gt;0, J373, 1000000000)</f>
        <v/>
      </c>
      <c r="S373" s="101">
        <f>IF(AND(F373&lt;=DASHBOARD!$B$11, H373&gt;=DASHBOARD!$B$13), G373, -1000000000000)</f>
        <v/>
      </c>
      <c r="T373" s="101">
        <f>IF(AND(F373&lt;=DASHBOARD!$B$11, H373&gt;=DASHBOARD!$B$13), R373, 1000000000000)</f>
        <v/>
      </c>
      <c r="U373" s="101">
        <f>IF(AND(F373&lt;=DASHBOARD!$B$11, H373&gt;=DASHBOARD!$B$13), N373, -1000000000000)</f>
        <v/>
      </c>
      <c r="V373" s="101">
        <f>IF(AND(F373&lt;=DASHBOARD!$B$11, H373&gt;=DASHBOARD!$B$13), H373, -1000000000000)</f>
        <v/>
      </c>
      <c r="W373" s="101">
        <f>IF(AND(F373&lt;=DASHBOARD!$B$11, H373&gt;=DASHBOARD!$B$13), K373, -1000000000000)</f>
        <v/>
      </c>
      <c r="X373" s="101">
        <f>IF(AND(F373&lt;=DASHBOARD!$B$11, H373&gt;=DASHBOARD!$B$13), M373, 1000000000000)</f>
        <v/>
      </c>
      <c r="Y373" s="101">
        <f>IF(AND(F373&lt;=DASHBOARD!$B$10, H373&gt;=DASHBOARD!$B$11), L373, 1000000000000)</f>
        <v/>
      </c>
      <c r="Z373" s="101">
        <f>IF(AND(F373&lt;=DASHBOARD!$B$10, H373&gt;=DASHBOARD!$B$11), O373, 1000000000000)</f>
        <v/>
      </c>
      <c r="AA373" s="101">
        <f>IF(AND(F373&lt;=DASHBOARD!$B$10, H373&gt;=DASHBOARD!$B$11), P373, 1000000000000)</f>
        <v/>
      </c>
      <c r="AB373" s="101">
        <f>IF(AND(F373&lt;=DASHBOARD!$B$10, H373&gt;=DASHBOARD!$B$11), Q373, -1000000000000)</f>
        <v/>
      </c>
    </row>
    <row r="374" ht="15" customHeight="1" s="102">
      <c r="A374" s="166" t="n">
        <v>370</v>
      </c>
      <c r="B374" s="167" t="n">
        <v>0.8</v>
      </c>
      <c r="C374" s="167" t="n">
        <v>1.6</v>
      </c>
      <c r="D374" s="110" t="inlineStr">
        <is>
          <t>Var (%20)</t>
        </is>
      </c>
      <c r="E374" s="110">
        <f>IF((B374+C374)&lt;=1, "Tam Mahsuplaşma (≤%100)", "Kısmi Satış (&gt;%100)")</f>
        <v/>
      </c>
      <c r="F374" s="168">
        <f>((VERI_TABANI!$D$29*B374/VERI_TABANI!$B$29)/VERI_TABANI!$B$3)*VERI_TABANI!$B$5 + ((VERI_TABANI!$D$29*C374/VERI_TABANI!$B$29)/VERI_TABANI!$B$4)*VERI_TABANI!$B$6 + IF(ISNUMBER(SEARCH("Var", D374)), (VERI_TABANI!$F$29/VERI_TABANI!$B$29)*(VERI_TABANI!$B$10+VERI_TABANI!$B$12), 0)</f>
        <v/>
      </c>
      <c r="G374" s="168">
        <f>(((MIN(VERI_TABANI!D23, VERI_TABANI!D23*B374)*VERI_TABANI!$B$7 + MAX(0, VERI_TABANI!D23*B374-VERI_TABANI!D23)*VERI_TABANI!$B$8) + (MIN(MAX(0, VERI_TABANI!D23-VERI_TABANI!D23*B374), VERI_TABANI!D23*C374)*VERI_TABANI!$B$7 + MAX(0, VERI_TABANI!D23*C374-MAX(0, VERI_TABANI!D23-VERI_TABANI!D23*B374))*VERI_TABANI!$B$8) + IF(ABS(IF(ISNUMBER(SEARCH("Var", D374)), 1, IF(ISNUMBER(SEARCH("Gri", D374)), -1, 0)))=1, VERI_TABANI!E23*(1-0.928)*VERI_TABANI!$B$9, 0) + (VERI_TABANI!D23*B374*(VERI_TABANI!$B$13-VERI_TABANI!$B$14)*VERI_TABANI!G23) + (VERI_TABANI!D23*C374*(VERI_TABANI!$B$13-VERI_TABANI!$B$15)*VERI_TABANI!G23) + IF(ABS(IF(ISNUMBER(SEARCH("Var", D374)), 1, IF(ISNUMBER(SEARCH("Gri", D374)), -1, 0)))=1, VERI_TABANI!E23*(1-0.928)*0.00206091519919798*VERI_TABANI!G23, 0)) + ((MIN(VERI_TABANI!D24, VERI_TABANI!D24*B374)*VERI_TABANI!$B$7 + MAX(0, VERI_TABANI!D24*B374-VERI_TABANI!D24)*VERI_TABANI!$B$8) + (MIN(MAX(0, VERI_TABANI!D24-VERI_TABANI!D24*B374), VERI_TABANI!D24*C374)*VERI_TABANI!$B$7 + MAX(0, VERI_TABANI!D24*C374-MAX(0, VERI_TABANI!D24-VERI_TABANI!D24*B374))*VERI_TABANI!$B$8) + IF(ABS(IF(ISNUMBER(SEARCH("Var", D374)), 1, IF(ISNUMBER(SEARCH("Gri", D374)), -1, 0)))=1, VERI_TABANI!E24*(1-0.928)*VERI_TABANI!$B$9, 0) + (VERI_TABANI!D24*B374*(VERI_TABANI!$B$13-VERI_TABANI!$B$14)*VERI_TABANI!G24) + (VERI_TABANI!D24*C374*(VERI_TABANI!$B$13-VERI_TABANI!$B$15)*VERI_TABANI!G24) + IF(ABS(IF(ISNUMBER(SEARCH("Var", D374)), 1, IF(ISNUMBER(SEARCH("Gri", D374)), -1, 0)))=1, VERI_TABANI!E24*(1-0.928)*0.00206091519919798*VERI_TABANI!G24, 0)) + ((MIN(VERI_TABANI!D25, VERI_TABANI!D25*B374)*VERI_TABANI!$B$7 + MAX(0, VERI_TABANI!D25*B374-VERI_TABANI!D25)*VERI_TABANI!$B$8) + (MIN(MAX(0, VERI_TABANI!D25-VERI_TABANI!D25*B374), VERI_TABANI!D25*C374)*VERI_TABANI!$B$7 + MAX(0, VERI_TABANI!D25*C374-MAX(0, VERI_TABANI!D25-VERI_TABANI!D25*B374))*VERI_TABANI!$B$8) + IF(ABS(IF(ISNUMBER(SEARCH("Var", D374)), 1, IF(ISNUMBER(SEARCH("Gri", D374)), -1, 0)))=1, VERI_TABANI!E25*(1-0.928)*VERI_TABANI!$B$9, 0) + (VERI_TABANI!D25*B374*(VERI_TABANI!$B$13-VERI_TABANI!$B$14)*VERI_TABANI!G25) + (VERI_TABANI!D25*C374*(VERI_TABANI!$B$13-VERI_TABANI!$B$15)*VERI_TABANI!G25) + IF(ABS(IF(ISNUMBER(SEARCH("Var", D374)), 1, IF(ISNUMBER(SEARCH("Gri", D374)), -1, 0)))=1, VERI_TABANI!E25*(1-0.928)*0.00206091519919798*VERI_TABANI!G25, 0)) + ((MIN(VERI_TABANI!D26, VERI_TABANI!D26*B374)*VERI_TABANI!$B$7 + MAX(0, VERI_TABANI!D26*B374-VERI_TABANI!D26)*VERI_TABANI!$B$8) + (MIN(MAX(0, VERI_TABANI!D26-VERI_TABANI!D26*B374), VERI_TABANI!D26*C374)*VERI_TABANI!$B$7 + MAX(0, VERI_TABANI!D26*C374-MAX(0, VERI_TABANI!D26-VERI_TABANI!D26*B374))*VERI_TABANI!$B$8) + IF(ABS(IF(ISNUMBER(SEARCH("Var", D374)), 1, IF(ISNUMBER(SEARCH("Gri", D374)), -1, 0)))=1, VERI_TABANI!E26*(1-0.928)*VERI_TABANI!$B$9, 0) + (VERI_TABANI!D26*B374*(VERI_TABANI!$B$13-VERI_TABANI!$B$14)*VERI_TABANI!G26) + (VERI_TABANI!D26*C374*(VERI_TABANI!$B$13-VERI_TABANI!$B$15)*VERI_TABANI!G26) + IF(ABS(IF(ISNUMBER(SEARCH("Var", D374)), 1, IF(ISNUMBER(SEARCH("Gri", D374)), -1, 0)))=1, VERI_TABANI!E26*(1-0.928)*0.00206091519919798*VERI_TABANI!G26, 0)) + ((MIN(VERI_TABANI!D27, VERI_TABANI!D27*B374)*VERI_TABANI!$B$7 + MAX(0, VERI_TABANI!D27*B374-VERI_TABANI!D27)*VERI_TABANI!$B$8) + (MIN(MAX(0, VERI_TABANI!D27-VERI_TABANI!D27*B374), VERI_TABANI!D27*C374)*VERI_TABANI!$B$7 + MAX(0, VERI_TABANI!D27*C374-MAX(0, VERI_TABANI!D27-VERI_TABANI!D27*B374))*VERI_TABANI!$B$8) + IF(ABS(IF(ISNUMBER(SEARCH("Var", D374)), 1, IF(ISNUMBER(SEARCH("Gri", D374)), -1, 0)))=1, VERI_TABANI!E27*(1-0.928)*VERI_TABANI!$B$9, 0) + (VERI_TABANI!D27*B374*(VERI_TABANI!$B$13-VERI_TABANI!$B$14)*VERI_TABANI!G27) + (VERI_TABANI!D27*C374*(VERI_TABANI!$B$13-VERI_TABANI!$B$15)*VERI_TABANI!G27) + IF(ABS(IF(ISNUMBER(SEARCH("Var", D374)), 1, IF(ISNUMBER(SEARCH("Gri", D374)), -1, 0)))=1, VERI_TABANI!E27*(1-0.928)*0.00206091519919798*VERI_TABANI!G27, 0)) + ((MIN(VERI_TABANI!D28, VERI_TABANI!D28*B374)*VERI_TABANI!$B$7 + MAX(0, VERI_TABANI!D28*B374-VERI_TABANI!D28)*VERI_TABANI!$B$8) + (MIN(MAX(0, VERI_TABANI!D28-VERI_TABANI!D28*B374), VERI_TABANI!D28*C374)*VERI_TABANI!$B$7 + MAX(0, VERI_TABANI!D28*C374-MAX(0, VERI_TABANI!D28-VERI_TABANI!D28*B374))*VERI_TABANI!$B$8) + IF(ABS(IF(ISNUMBER(SEARCH("Var", D374)), 1, IF(ISNUMBER(SEARCH("Gri", D374)), -1, 0)))=1, VERI_TABANI!E28*(1-0.928)*VERI_TABANI!$B$9, 0) + (VERI_TABANI!D28*B374*(VERI_TABANI!$B$13-VERI_TABANI!$B$14)*VERI_TABANI!G28) + (VERI_TABANI!D28*C374*(VERI_TABANI!$B$13-VERI_TABANI!$B$15)*VERI_TABANI!G28) + IF(ABS(IF(ISNUMBER(SEARCH("Var", D374)), 1, IF(ISNUMBER(SEARCH("Gri", D374)), -1, 0)))=1, VERI_TABANI!E28*(1-0.928)*0.00206091519919798*VERI_TABANI!G28, 0)))</f>
        <v/>
      </c>
      <c r="H374" s="169">
        <f>(((VERI_TABANI!D23*B374*(VERI_TABANI!$B$13-VERI_TABANI!$B$14)) + (VERI_TABANI!D23*C374*(VERI_TABANI!$B$13-VERI_TABANI!$B$15)) + IF(ISNUMBER(SEARCH("Var", D374)), VERI_TABANI!F23*(0.00202-VERI_TABANI!$B$16), IF(ISNUMBER(SEARCH("Gri", D374)), VERI_TABANI!F23*(0.00202-VERI_TABANI!$B$17), 0))) + ((VERI_TABANI!D24*B374*(VERI_TABANI!$B$13-VERI_TABANI!$B$14)) + (VERI_TABANI!D24*C374*(VERI_TABANI!$B$13-VERI_TABANI!$B$15)) + IF(ISNUMBER(SEARCH("Var", D374)), VERI_TABANI!F24*(0.00202-VERI_TABANI!$B$16), IF(ISNUMBER(SEARCH("Gri", D374)), VERI_TABANI!F24*(0.00202-VERI_TABANI!$B$17), 0))) + ((VERI_TABANI!D25*B374*(VERI_TABANI!$B$13-VERI_TABANI!$B$14)) + (VERI_TABANI!D25*C374*(VERI_TABANI!$B$13-VERI_TABANI!$B$15)) + IF(ISNUMBER(SEARCH("Var", D374)), VERI_TABANI!F25*(0.00202-VERI_TABANI!$B$16), IF(ISNUMBER(SEARCH("Gri", D374)), VERI_TABANI!F25*(0.00202-VERI_TABANI!$B$17), 0))) + ((VERI_TABANI!D26*B374*(VERI_TABANI!$B$13-VERI_TABANI!$B$14)) + (VERI_TABANI!D26*C374*(VERI_TABANI!$B$13-VERI_TABANI!$B$15)) + IF(ISNUMBER(SEARCH("Var", D374)), VERI_TABANI!F26*(0.00202-VERI_TABANI!$B$16), IF(ISNUMBER(SEARCH("Gri", D374)), VERI_TABANI!F26*(0.00202-VERI_TABANI!$B$17), 0))) + ((VERI_TABANI!D27*B374*(VERI_TABANI!$B$13-VERI_TABANI!$B$14)) + (VERI_TABANI!D27*C374*(VERI_TABANI!$B$13-VERI_TABANI!$B$15)) + IF(ISNUMBER(SEARCH("Var", D374)), VERI_TABANI!F27*(0.00202-VERI_TABANI!$B$16), IF(ISNUMBER(SEARCH("Gri", D374)), VERI_TABANI!F27*(0.00202-VERI_TABANI!$B$17), 0))) + ((VERI_TABANI!D28*B374*(VERI_TABANI!$B$13-VERI_TABANI!$B$14)) + (VERI_TABANI!D28*C374*(VERI_TABANI!$B$13-VERI_TABANI!$B$15)) + IF(ISNUMBER(SEARCH("Var", D374)), VERI_TABANI!F28*(0.00202-VERI_TABANI!$B$16), IF(ISNUMBER(SEARCH("Gri", D374)), VERI_TABANI!F28*(0.00202-VERI_TABANI!$B$17), 0))))</f>
        <v/>
      </c>
      <c r="I374" s="170">
        <f>IFERROR(((VERI_TABANI!$D$29*B374*VERI_TABANI!$B$14 + VERI_TABANI!$D$29*C374*VERI_TABANI!$B$15 + IF(ISNUMBER(SEARCH("Var", D374)), VERI_TABANI!$F$29*VERI_TABANI!$B$16, 0))) / (((VERI_TABANI!$D$29*B374 + VERI_TABANI!$D$29*C374)*VERI_TABANI!$B$13 + IF(ISNUMBER(SEARCH("Var", D374)), VERI_TABANI!$E$29*(1-0.928)*VERI_TABANI!$B$18, 0))), 0)</f>
        <v/>
      </c>
      <c r="J374" s="171">
        <f>IFERROR(F374/(G374/29), 0)</f>
        <v/>
      </c>
      <c r="K374" s="172">
        <f>IF(F374&gt;0, H374/F374, 0)</f>
        <v/>
      </c>
      <c r="L374" s="170">
        <f>IF(F374&gt;0, I374, 1000000000)</f>
        <v/>
      </c>
      <c r="M374" s="171">
        <f>ABS((B374+C374)-1)</f>
        <v/>
      </c>
      <c r="N374" s="170">
        <f>IF(F374&gt;0, (G374/29)/F374, 0)</f>
        <v/>
      </c>
      <c r="O374" s="168">
        <f>IF(AND((B374+C374)&gt;=1, ISNUMBER(SEARCH("Var", D374))), F374, 1000000000)</f>
        <v/>
      </c>
      <c r="P374" s="172">
        <f>IF(F374&gt;0, SQRT((F374/MAX(F$5:F$886))^2 + (1 - H374/MAX(H$5:H$886))^2 + (J374/MAX(J$5:J$886))^2), 1000000000)</f>
        <v/>
      </c>
      <c r="Q374" s="166">
        <f>IF(AND(ABS(B374-0.5)&lt;0.01, ABS(C374-0.5)&lt;0.01, ISNUMBER(SEARCH("Var", D374))), 1, 0)</f>
        <v/>
      </c>
      <c r="R374" s="171">
        <f>IF(F374&gt;0, J374, 1000000000)</f>
        <v/>
      </c>
      <c r="S374" s="101">
        <f>IF(AND(F374&lt;=DASHBOARD!$B$11, H374&gt;=DASHBOARD!$B$13), G374, -1000000000000)</f>
        <v/>
      </c>
      <c r="T374" s="101">
        <f>IF(AND(F374&lt;=DASHBOARD!$B$11, H374&gt;=DASHBOARD!$B$13), R374, 1000000000000)</f>
        <v/>
      </c>
      <c r="U374" s="101">
        <f>IF(AND(F374&lt;=DASHBOARD!$B$11, H374&gt;=DASHBOARD!$B$13), N374, -1000000000000)</f>
        <v/>
      </c>
      <c r="V374" s="101">
        <f>IF(AND(F374&lt;=DASHBOARD!$B$11, H374&gt;=DASHBOARD!$B$13), H374, -1000000000000)</f>
        <v/>
      </c>
      <c r="W374" s="101">
        <f>IF(AND(F374&lt;=DASHBOARD!$B$11, H374&gt;=DASHBOARD!$B$13), K374, -1000000000000)</f>
        <v/>
      </c>
      <c r="X374" s="101">
        <f>IF(AND(F374&lt;=DASHBOARD!$B$11, H374&gt;=DASHBOARD!$B$13), M374, 1000000000000)</f>
        <v/>
      </c>
      <c r="Y374" s="101">
        <f>IF(AND(F374&lt;=DASHBOARD!$B$10, H374&gt;=DASHBOARD!$B$11), L374, 1000000000000)</f>
        <v/>
      </c>
      <c r="Z374" s="101">
        <f>IF(AND(F374&lt;=DASHBOARD!$B$10, H374&gt;=DASHBOARD!$B$11), O374, 1000000000000)</f>
        <v/>
      </c>
      <c r="AA374" s="101">
        <f>IF(AND(F374&lt;=DASHBOARD!$B$10, H374&gt;=DASHBOARD!$B$11), P374, 1000000000000)</f>
        <v/>
      </c>
      <c r="AB374" s="101">
        <f>IF(AND(F374&lt;=DASHBOARD!$B$10, H374&gt;=DASHBOARD!$B$11), Q374, -1000000000000)</f>
        <v/>
      </c>
    </row>
    <row r="375" ht="15" customHeight="1" s="102">
      <c r="A375" s="166" t="n">
        <v>371</v>
      </c>
      <c r="B375" s="167" t="n">
        <v>0.8</v>
      </c>
      <c r="C375" s="167" t="n">
        <v>1.7</v>
      </c>
      <c r="D375" s="110" t="inlineStr">
        <is>
          <t>Yok (%0)</t>
        </is>
      </c>
      <c r="E375" s="110">
        <f>IF((B375+C375)&lt;=1, "Tam Mahsuplaşma (≤%100)", "Kısmi Satış (&gt;%100)")</f>
        <v/>
      </c>
      <c r="F375" s="168">
        <f>((VERI_TABANI!$D$29*B375/VERI_TABANI!$B$29)/VERI_TABANI!$B$3)*VERI_TABANI!$B$5 + ((VERI_TABANI!$D$29*C375/VERI_TABANI!$B$29)/VERI_TABANI!$B$4)*VERI_TABANI!$B$6 + IF(ISNUMBER(SEARCH("Var", D375)), (VERI_TABANI!$F$29/VERI_TABANI!$B$29)*(VERI_TABANI!$B$10+VERI_TABANI!$B$12), 0)</f>
        <v/>
      </c>
      <c r="G375" s="168">
        <f>(((MIN(VERI_TABANI!D23, VERI_TABANI!D23*B375)*VERI_TABANI!$B$7 + MAX(0, VERI_TABANI!D23*B375-VERI_TABANI!D23)*VERI_TABANI!$B$8) + (MIN(MAX(0, VERI_TABANI!D23-VERI_TABANI!D23*B375), VERI_TABANI!D23*C375)*VERI_TABANI!$B$7 + MAX(0, VERI_TABANI!D23*C375-MAX(0, VERI_TABANI!D23-VERI_TABANI!D23*B375))*VERI_TABANI!$B$8) + IF(ABS(IF(ISNUMBER(SEARCH("Var", D375)), 1, IF(ISNUMBER(SEARCH("Gri", D375)), -1, 0)))=1, VERI_TABANI!E23*(1-0.928)*VERI_TABANI!$B$9, 0) + (VERI_TABANI!D23*B375*(VERI_TABANI!$B$13-VERI_TABANI!$B$14)*VERI_TABANI!G23) + (VERI_TABANI!D23*C375*(VERI_TABANI!$B$13-VERI_TABANI!$B$15)*VERI_TABANI!G23) + IF(ABS(IF(ISNUMBER(SEARCH("Var", D375)), 1, IF(ISNUMBER(SEARCH("Gri", D375)), -1, 0)))=1, VERI_TABANI!E23*(1-0.928)*0.00206091519919798*VERI_TABANI!G23, 0)) + ((MIN(VERI_TABANI!D24, VERI_TABANI!D24*B375)*VERI_TABANI!$B$7 + MAX(0, VERI_TABANI!D24*B375-VERI_TABANI!D24)*VERI_TABANI!$B$8) + (MIN(MAX(0, VERI_TABANI!D24-VERI_TABANI!D24*B375), VERI_TABANI!D24*C375)*VERI_TABANI!$B$7 + MAX(0, VERI_TABANI!D24*C375-MAX(0, VERI_TABANI!D24-VERI_TABANI!D24*B375))*VERI_TABANI!$B$8) + IF(ABS(IF(ISNUMBER(SEARCH("Var", D375)), 1, IF(ISNUMBER(SEARCH("Gri", D375)), -1, 0)))=1, VERI_TABANI!E24*(1-0.928)*VERI_TABANI!$B$9, 0) + (VERI_TABANI!D24*B375*(VERI_TABANI!$B$13-VERI_TABANI!$B$14)*VERI_TABANI!G24) + (VERI_TABANI!D24*C375*(VERI_TABANI!$B$13-VERI_TABANI!$B$15)*VERI_TABANI!G24) + IF(ABS(IF(ISNUMBER(SEARCH("Var", D375)), 1, IF(ISNUMBER(SEARCH("Gri", D375)), -1, 0)))=1, VERI_TABANI!E24*(1-0.928)*0.00206091519919798*VERI_TABANI!G24, 0)) + ((MIN(VERI_TABANI!D25, VERI_TABANI!D25*B375)*VERI_TABANI!$B$7 + MAX(0, VERI_TABANI!D25*B375-VERI_TABANI!D25)*VERI_TABANI!$B$8) + (MIN(MAX(0, VERI_TABANI!D25-VERI_TABANI!D25*B375), VERI_TABANI!D25*C375)*VERI_TABANI!$B$7 + MAX(0, VERI_TABANI!D25*C375-MAX(0, VERI_TABANI!D25-VERI_TABANI!D25*B375))*VERI_TABANI!$B$8) + IF(ABS(IF(ISNUMBER(SEARCH("Var", D375)), 1, IF(ISNUMBER(SEARCH("Gri", D375)), -1, 0)))=1, VERI_TABANI!E25*(1-0.928)*VERI_TABANI!$B$9, 0) + (VERI_TABANI!D25*B375*(VERI_TABANI!$B$13-VERI_TABANI!$B$14)*VERI_TABANI!G25) + (VERI_TABANI!D25*C375*(VERI_TABANI!$B$13-VERI_TABANI!$B$15)*VERI_TABANI!G25) + IF(ABS(IF(ISNUMBER(SEARCH("Var", D375)), 1, IF(ISNUMBER(SEARCH("Gri", D375)), -1, 0)))=1, VERI_TABANI!E25*(1-0.928)*0.00206091519919798*VERI_TABANI!G25, 0)) + ((MIN(VERI_TABANI!D26, VERI_TABANI!D26*B375)*VERI_TABANI!$B$7 + MAX(0, VERI_TABANI!D26*B375-VERI_TABANI!D26)*VERI_TABANI!$B$8) + (MIN(MAX(0, VERI_TABANI!D26-VERI_TABANI!D26*B375), VERI_TABANI!D26*C375)*VERI_TABANI!$B$7 + MAX(0, VERI_TABANI!D26*C375-MAX(0, VERI_TABANI!D26-VERI_TABANI!D26*B375))*VERI_TABANI!$B$8) + IF(ABS(IF(ISNUMBER(SEARCH("Var", D375)), 1, IF(ISNUMBER(SEARCH("Gri", D375)), -1, 0)))=1, VERI_TABANI!E26*(1-0.928)*VERI_TABANI!$B$9, 0) + (VERI_TABANI!D26*B375*(VERI_TABANI!$B$13-VERI_TABANI!$B$14)*VERI_TABANI!G26) + (VERI_TABANI!D26*C375*(VERI_TABANI!$B$13-VERI_TABANI!$B$15)*VERI_TABANI!G26) + IF(ABS(IF(ISNUMBER(SEARCH("Var", D375)), 1, IF(ISNUMBER(SEARCH("Gri", D375)), -1, 0)))=1, VERI_TABANI!E26*(1-0.928)*0.00206091519919798*VERI_TABANI!G26, 0)) + ((MIN(VERI_TABANI!D27, VERI_TABANI!D27*B375)*VERI_TABANI!$B$7 + MAX(0, VERI_TABANI!D27*B375-VERI_TABANI!D27)*VERI_TABANI!$B$8) + (MIN(MAX(0, VERI_TABANI!D27-VERI_TABANI!D27*B375), VERI_TABANI!D27*C375)*VERI_TABANI!$B$7 + MAX(0, VERI_TABANI!D27*C375-MAX(0, VERI_TABANI!D27-VERI_TABANI!D27*B375))*VERI_TABANI!$B$8) + IF(ABS(IF(ISNUMBER(SEARCH("Var", D375)), 1, IF(ISNUMBER(SEARCH("Gri", D375)), -1, 0)))=1, VERI_TABANI!E27*(1-0.928)*VERI_TABANI!$B$9, 0) + (VERI_TABANI!D27*B375*(VERI_TABANI!$B$13-VERI_TABANI!$B$14)*VERI_TABANI!G27) + (VERI_TABANI!D27*C375*(VERI_TABANI!$B$13-VERI_TABANI!$B$15)*VERI_TABANI!G27) + IF(ABS(IF(ISNUMBER(SEARCH("Var", D375)), 1, IF(ISNUMBER(SEARCH("Gri", D375)), -1, 0)))=1, VERI_TABANI!E27*(1-0.928)*0.00206091519919798*VERI_TABANI!G27, 0)) + ((MIN(VERI_TABANI!D28, VERI_TABANI!D28*B375)*VERI_TABANI!$B$7 + MAX(0, VERI_TABANI!D28*B375-VERI_TABANI!D28)*VERI_TABANI!$B$8) + (MIN(MAX(0, VERI_TABANI!D28-VERI_TABANI!D28*B375), VERI_TABANI!D28*C375)*VERI_TABANI!$B$7 + MAX(0, VERI_TABANI!D28*C375-MAX(0, VERI_TABANI!D28-VERI_TABANI!D28*B375))*VERI_TABANI!$B$8) + IF(ABS(IF(ISNUMBER(SEARCH("Var", D375)), 1, IF(ISNUMBER(SEARCH("Gri", D375)), -1, 0)))=1, VERI_TABANI!E28*(1-0.928)*VERI_TABANI!$B$9, 0) + (VERI_TABANI!D28*B375*(VERI_TABANI!$B$13-VERI_TABANI!$B$14)*VERI_TABANI!G28) + (VERI_TABANI!D28*C375*(VERI_TABANI!$B$13-VERI_TABANI!$B$15)*VERI_TABANI!G28) + IF(ABS(IF(ISNUMBER(SEARCH("Var", D375)), 1, IF(ISNUMBER(SEARCH("Gri", D375)), -1, 0)))=1, VERI_TABANI!E28*(1-0.928)*0.00206091519919798*VERI_TABANI!G28, 0)))</f>
        <v/>
      </c>
      <c r="H375" s="169">
        <f>(((VERI_TABANI!D23*B375*(VERI_TABANI!$B$13-VERI_TABANI!$B$14)) + (VERI_TABANI!D23*C375*(VERI_TABANI!$B$13-VERI_TABANI!$B$15)) + IF(ISNUMBER(SEARCH("Var", D375)), VERI_TABANI!F23*(0.00202-VERI_TABANI!$B$16), IF(ISNUMBER(SEARCH("Gri", D375)), VERI_TABANI!F23*(0.00202-VERI_TABANI!$B$17), 0))) + ((VERI_TABANI!D24*B375*(VERI_TABANI!$B$13-VERI_TABANI!$B$14)) + (VERI_TABANI!D24*C375*(VERI_TABANI!$B$13-VERI_TABANI!$B$15)) + IF(ISNUMBER(SEARCH("Var", D375)), VERI_TABANI!F24*(0.00202-VERI_TABANI!$B$16), IF(ISNUMBER(SEARCH("Gri", D375)), VERI_TABANI!F24*(0.00202-VERI_TABANI!$B$17), 0))) + ((VERI_TABANI!D25*B375*(VERI_TABANI!$B$13-VERI_TABANI!$B$14)) + (VERI_TABANI!D25*C375*(VERI_TABANI!$B$13-VERI_TABANI!$B$15)) + IF(ISNUMBER(SEARCH("Var", D375)), VERI_TABANI!F25*(0.00202-VERI_TABANI!$B$16), IF(ISNUMBER(SEARCH("Gri", D375)), VERI_TABANI!F25*(0.00202-VERI_TABANI!$B$17), 0))) + ((VERI_TABANI!D26*B375*(VERI_TABANI!$B$13-VERI_TABANI!$B$14)) + (VERI_TABANI!D26*C375*(VERI_TABANI!$B$13-VERI_TABANI!$B$15)) + IF(ISNUMBER(SEARCH("Var", D375)), VERI_TABANI!F26*(0.00202-VERI_TABANI!$B$16), IF(ISNUMBER(SEARCH("Gri", D375)), VERI_TABANI!F26*(0.00202-VERI_TABANI!$B$17), 0))) + ((VERI_TABANI!D27*B375*(VERI_TABANI!$B$13-VERI_TABANI!$B$14)) + (VERI_TABANI!D27*C375*(VERI_TABANI!$B$13-VERI_TABANI!$B$15)) + IF(ISNUMBER(SEARCH("Var", D375)), VERI_TABANI!F27*(0.00202-VERI_TABANI!$B$16), IF(ISNUMBER(SEARCH("Gri", D375)), VERI_TABANI!F27*(0.00202-VERI_TABANI!$B$17), 0))) + ((VERI_TABANI!D28*B375*(VERI_TABANI!$B$13-VERI_TABANI!$B$14)) + (VERI_TABANI!D28*C375*(VERI_TABANI!$B$13-VERI_TABANI!$B$15)) + IF(ISNUMBER(SEARCH("Var", D375)), VERI_TABANI!F28*(0.00202-VERI_TABANI!$B$16), IF(ISNUMBER(SEARCH("Gri", D375)), VERI_TABANI!F28*(0.00202-VERI_TABANI!$B$17), 0))))</f>
        <v/>
      </c>
      <c r="I375" s="170">
        <f>IFERROR(((VERI_TABANI!$D$29*B375*VERI_TABANI!$B$14 + VERI_TABANI!$D$29*C375*VERI_TABANI!$B$15 + IF(ISNUMBER(SEARCH("Var", D375)), VERI_TABANI!$F$29*VERI_TABANI!$B$16, 0))) / (((VERI_TABANI!$D$29*B375 + VERI_TABANI!$D$29*C375)*VERI_TABANI!$B$13 + IF(ISNUMBER(SEARCH("Var", D375)), VERI_TABANI!$E$29*(1-0.928)*VERI_TABANI!$B$18, 0))), 0)</f>
        <v/>
      </c>
      <c r="J375" s="171">
        <f>IFERROR(F375/(G375/29), 0)</f>
        <v/>
      </c>
      <c r="K375" s="172">
        <f>IF(F375&gt;0, H375/F375, 0)</f>
        <v/>
      </c>
      <c r="L375" s="170">
        <f>IF(F375&gt;0, I375, 1000000000)</f>
        <v/>
      </c>
      <c r="M375" s="171">
        <f>ABS((B375+C375)-1)</f>
        <v/>
      </c>
      <c r="N375" s="170">
        <f>IF(F375&gt;0, (G375/29)/F375, 0)</f>
        <v/>
      </c>
      <c r="O375" s="168">
        <f>IF(AND((B375+C375)&gt;=1, ISNUMBER(SEARCH("Var", D375))), F375, 1000000000)</f>
        <v/>
      </c>
      <c r="P375" s="172">
        <f>IF(F375&gt;0, SQRT((F375/MAX(F$5:F$886))^2 + (1 - H375/MAX(H$5:H$886))^2 + (J375/MAX(J$5:J$886))^2), 1000000000)</f>
        <v/>
      </c>
      <c r="Q375" s="166">
        <f>IF(AND(ABS(B375-0.5)&lt;0.01, ABS(C375-0.5)&lt;0.01, ISNUMBER(SEARCH("Var", D375))), 1, 0)</f>
        <v/>
      </c>
      <c r="R375" s="171">
        <f>IF(F375&gt;0, J375, 1000000000)</f>
        <v/>
      </c>
      <c r="S375" s="101">
        <f>IF(AND(F375&lt;=DASHBOARD!$B$11, H375&gt;=DASHBOARD!$B$13), G375, -1000000000000)</f>
        <v/>
      </c>
      <c r="T375" s="101">
        <f>IF(AND(F375&lt;=DASHBOARD!$B$11, H375&gt;=DASHBOARD!$B$13), R375, 1000000000000)</f>
        <v/>
      </c>
      <c r="U375" s="101">
        <f>IF(AND(F375&lt;=DASHBOARD!$B$11, H375&gt;=DASHBOARD!$B$13), N375, -1000000000000)</f>
        <v/>
      </c>
      <c r="V375" s="101">
        <f>IF(AND(F375&lt;=DASHBOARD!$B$11, H375&gt;=DASHBOARD!$B$13), H375, -1000000000000)</f>
        <v/>
      </c>
      <c r="W375" s="101">
        <f>IF(AND(F375&lt;=DASHBOARD!$B$11, H375&gt;=DASHBOARD!$B$13), K375, -1000000000000)</f>
        <v/>
      </c>
      <c r="X375" s="101">
        <f>IF(AND(F375&lt;=DASHBOARD!$B$11, H375&gt;=DASHBOARD!$B$13), M375, 1000000000000)</f>
        <v/>
      </c>
      <c r="Y375" s="101">
        <f>IF(AND(F375&lt;=DASHBOARD!$B$10, H375&gt;=DASHBOARD!$B$11), L375, 1000000000000)</f>
        <v/>
      </c>
      <c r="Z375" s="101">
        <f>IF(AND(F375&lt;=DASHBOARD!$B$10, H375&gt;=DASHBOARD!$B$11), O375, 1000000000000)</f>
        <v/>
      </c>
      <c r="AA375" s="101">
        <f>IF(AND(F375&lt;=DASHBOARD!$B$10, H375&gt;=DASHBOARD!$B$11), P375, 1000000000000)</f>
        <v/>
      </c>
      <c r="AB375" s="101">
        <f>IF(AND(F375&lt;=DASHBOARD!$B$10, H375&gt;=DASHBOARD!$B$11), Q375, -1000000000000)</f>
        <v/>
      </c>
    </row>
    <row r="376" ht="15" customHeight="1" s="102">
      <c r="A376" s="166" t="n">
        <v>372</v>
      </c>
      <c r="B376" s="167" t="n">
        <v>0.8</v>
      </c>
      <c r="C376" s="167" t="n">
        <v>1.7</v>
      </c>
      <c r="D376" s="110" t="inlineStr">
        <is>
          <t>Var (%20)</t>
        </is>
      </c>
      <c r="E376" s="110">
        <f>IF((B376+C376)&lt;=1, "Tam Mahsuplaşma (≤%100)", "Kısmi Satış (&gt;%100)")</f>
        <v/>
      </c>
      <c r="F376" s="168">
        <f>((VERI_TABANI!$D$29*B376/VERI_TABANI!$B$29)/VERI_TABANI!$B$3)*VERI_TABANI!$B$5 + ((VERI_TABANI!$D$29*C376/VERI_TABANI!$B$29)/VERI_TABANI!$B$4)*VERI_TABANI!$B$6 + IF(ISNUMBER(SEARCH("Var", D376)), (VERI_TABANI!$F$29/VERI_TABANI!$B$29)*(VERI_TABANI!$B$10+VERI_TABANI!$B$12), 0)</f>
        <v/>
      </c>
      <c r="G376" s="168">
        <f>(((MIN(VERI_TABANI!D23, VERI_TABANI!D23*B376)*VERI_TABANI!$B$7 + MAX(0, VERI_TABANI!D23*B376-VERI_TABANI!D23)*VERI_TABANI!$B$8) + (MIN(MAX(0, VERI_TABANI!D23-VERI_TABANI!D23*B376), VERI_TABANI!D23*C376)*VERI_TABANI!$B$7 + MAX(0, VERI_TABANI!D23*C376-MAX(0, VERI_TABANI!D23-VERI_TABANI!D23*B376))*VERI_TABANI!$B$8) + IF(ABS(IF(ISNUMBER(SEARCH("Var", D376)), 1, IF(ISNUMBER(SEARCH("Gri", D376)), -1, 0)))=1, VERI_TABANI!E23*(1-0.928)*VERI_TABANI!$B$9, 0) + (VERI_TABANI!D23*B376*(VERI_TABANI!$B$13-VERI_TABANI!$B$14)*VERI_TABANI!G23) + (VERI_TABANI!D23*C376*(VERI_TABANI!$B$13-VERI_TABANI!$B$15)*VERI_TABANI!G23) + IF(ABS(IF(ISNUMBER(SEARCH("Var", D376)), 1, IF(ISNUMBER(SEARCH("Gri", D376)), -1, 0)))=1, VERI_TABANI!E23*(1-0.928)*0.00206091519919798*VERI_TABANI!G23, 0)) + ((MIN(VERI_TABANI!D24, VERI_TABANI!D24*B376)*VERI_TABANI!$B$7 + MAX(0, VERI_TABANI!D24*B376-VERI_TABANI!D24)*VERI_TABANI!$B$8) + (MIN(MAX(0, VERI_TABANI!D24-VERI_TABANI!D24*B376), VERI_TABANI!D24*C376)*VERI_TABANI!$B$7 + MAX(0, VERI_TABANI!D24*C376-MAX(0, VERI_TABANI!D24-VERI_TABANI!D24*B376))*VERI_TABANI!$B$8) + IF(ABS(IF(ISNUMBER(SEARCH("Var", D376)), 1, IF(ISNUMBER(SEARCH("Gri", D376)), -1, 0)))=1, VERI_TABANI!E24*(1-0.928)*VERI_TABANI!$B$9, 0) + (VERI_TABANI!D24*B376*(VERI_TABANI!$B$13-VERI_TABANI!$B$14)*VERI_TABANI!G24) + (VERI_TABANI!D24*C376*(VERI_TABANI!$B$13-VERI_TABANI!$B$15)*VERI_TABANI!G24) + IF(ABS(IF(ISNUMBER(SEARCH("Var", D376)), 1, IF(ISNUMBER(SEARCH("Gri", D376)), -1, 0)))=1, VERI_TABANI!E24*(1-0.928)*0.00206091519919798*VERI_TABANI!G24, 0)) + ((MIN(VERI_TABANI!D25, VERI_TABANI!D25*B376)*VERI_TABANI!$B$7 + MAX(0, VERI_TABANI!D25*B376-VERI_TABANI!D25)*VERI_TABANI!$B$8) + (MIN(MAX(0, VERI_TABANI!D25-VERI_TABANI!D25*B376), VERI_TABANI!D25*C376)*VERI_TABANI!$B$7 + MAX(0, VERI_TABANI!D25*C376-MAX(0, VERI_TABANI!D25-VERI_TABANI!D25*B376))*VERI_TABANI!$B$8) + IF(ABS(IF(ISNUMBER(SEARCH("Var", D376)), 1, IF(ISNUMBER(SEARCH("Gri", D376)), -1, 0)))=1, VERI_TABANI!E25*(1-0.928)*VERI_TABANI!$B$9, 0) + (VERI_TABANI!D25*B376*(VERI_TABANI!$B$13-VERI_TABANI!$B$14)*VERI_TABANI!G25) + (VERI_TABANI!D25*C376*(VERI_TABANI!$B$13-VERI_TABANI!$B$15)*VERI_TABANI!G25) + IF(ABS(IF(ISNUMBER(SEARCH("Var", D376)), 1, IF(ISNUMBER(SEARCH("Gri", D376)), -1, 0)))=1, VERI_TABANI!E25*(1-0.928)*0.00206091519919798*VERI_TABANI!G25, 0)) + ((MIN(VERI_TABANI!D26, VERI_TABANI!D26*B376)*VERI_TABANI!$B$7 + MAX(0, VERI_TABANI!D26*B376-VERI_TABANI!D26)*VERI_TABANI!$B$8) + (MIN(MAX(0, VERI_TABANI!D26-VERI_TABANI!D26*B376), VERI_TABANI!D26*C376)*VERI_TABANI!$B$7 + MAX(0, VERI_TABANI!D26*C376-MAX(0, VERI_TABANI!D26-VERI_TABANI!D26*B376))*VERI_TABANI!$B$8) + IF(ABS(IF(ISNUMBER(SEARCH("Var", D376)), 1, IF(ISNUMBER(SEARCH("Gri", D376)), -1, 0)))=1, VERI_TABANI!E26*(1-0.928)*VERI_TABANI!$B$9, 0) + (VERI_TABANI!D26*B376*(VERI_TABANI!$B$13-VERI_TABANI!$B$14)*VERI_TABANI!G26) + (VERI_TABANI!D26*C376*(VERI_TABANI!$B$13-VERI_TABANI!$B$15)*VERI_TABANI!G26) + IF(ABS(IF(ISNUMBER(SEARCH("Var", D376)), 1, IF(ISNUMBER(SEARCH("Gri", D376)), -1, 0)))=1, VERI_TABANI!E26*(1-0.928)*0.00206091519919798*VERI_TABANI!G26, 0)) + ((MIN(VERI_TABANI!D27, VERI_TABANI!D27*B376)*VERI_TABANI!$B$7 + MAX(0, VERI_TABANI!D27*B376-VERI_TABANI!D27)*VERI_TABANI!$B$8) + (MIN(MAX(0, VERI_TABANI!D27-VERI_TABANI!D27*B376), VERI_TABANI!D27*C376)*VERI_TABANI!$B$7 + MAX(0, VERI_TABANI!D27*C376-MAX(0, VERI_TABANI!D27-VERI_TABANI!D27*B376))*VERI_TABANI!$B$8) + IF(ABS(IF(ISNUMBER(SEARCH("Var", D376)), 1, IF(ISNUMBER(SEARCH("Gri", D376)), -1, 0)))=1, VERI_TABANI!E27*(1-0.928)*VERI_TABANI!$B$9, 0) + (VERI_TABANI!D27*B376*(VERI_TABANI!$B$13-VERI_TABANI!$B$14)*VERI_TABANI!G27) + (VERI_TABANI!D27*C376*(VERI_TABANI!$B$13-VERI_TABANI!$B$15)*VERI_TABANI!G27) + IF(ABS(IF(ISNUMBER(SEARCH("Var", D376)), 1, IF(ISNUMBER(SEARCH("Gri", D376)), -1, 0)))=1, VERI_TABANI!E27*(1-0.928)*0.00206091519919798*VERI_TABANI!G27, 0)) + ((MIN(VERI_TABANI!D28, VERI_TABANI!D28*B376)*VERI_TABANI!$B$7 + MAX(0, VERI_TABANI!D28*B376-VERI_TABANI!D28)*VERI_TABANI!$B$8) + (MIN(MAX(0, VERI_TABANI!D28-VERI_TABANI!D28*B376), VERI_TABANI!D28*C376)*VERI_TABANI!$B$7 + MAX(0, VERI_TABANI!D28*C376-MAX(0, VERI_TABANI!D28-VERI_TABANI!D28*B376))*VERI_TABANI!$B$8) + IF(ABS(IF(ISNUMBER(SEARCH("Var", D376)), 1, IF(ISNUMBER(SEARCH("Gri", D376)), -1, 0)))=1, VERI_TABANI!E28*(1-0.928)*VERI_TABANI!$B$9, 0) + (VERI_TABANI!D28*B376*(VERI_TABANI!$B$13-VERI_TABANI!$B$14)*VERI_TABANI!G28) + (VERI_TABANI!D28*C376*(VERI_TABANI!$B$13-VERI_TABANI!$B$15)*VERI_TABANI!G28) + IF(ABS(IF(ISNUMBER(SEARCH("Var", D376)), 1, IF(ISNUMBER(SEARCH("Gri", D376)), -1, 0)))=1, VERI_TABANI!E28*(1-0.928)*0.00206091519919798*VERI_TABANI!G28, 0)))</f>
        <v/>
      </c>
      <c r="H376" s="169">
        <f>(((VERI_TABANI!D23*B376*(VERI_TABANI!$B$13-VERI_TABANI!$B$14)) + (VERI_TABANI!D23*C376*(VERI_TABANI!$B$13-VERI_TABANI!$B$15)) + IF(ISNUMBER(SEARCH("Var", D376)), VERI_TABANI!F23*(0.00202-VERI_TABANI!$B$16), IF(ISNUMBER(SEARCH("Gri", D376)), VERI_TABANI!F23*(0.00202-VERI_TABANI!$B$17), 0))) + ((VERI_TABANI!D24*B376*(VERI_TABANI!$B$13-VERI_TABANI!$B$14)) + (VERI_TABANI!D24*C376*(VERI_TABANI!$B$13-VERI_TABANI!$B$15)) + IF(ISNUMBER(SEARCH("Var", D376)), VERI_TABANI!F24*(0.00202-VERI_TABANI!$B$16), IF(ISNUMBER(SEARCH("Gri", D376)), VERI_TABANI!F24*(0.00202-VERI_TABANI!$B$17), 0))) + ((VERI_TABANI!D25*B376*(VERI_TABANI!$B$13-VERI_TABANI!$B$14)) + (VERI_TABANI!D25*C376*(VERI_TABANI!$B$13-VERI_TABANI!$B$15)) + IF(ISNUMBER(SEARCH("Var", D376)), VERI_TABANI!F25*(0.00202-VERI_TABANI!$B$16), IF(ISNUMBER(SEARCH("Gri", D376)), VERI_TABANI!F25*(0.00202-VERI_TABANI!$B$17), 0))) + ((VERI_TABANI!D26*B376*(VERI_TABANI!$B$13-VERI_TABANI!$B$14)) + (VERI_TABANI!D26*C376*(VERI_TABANI!$B$13-VERI_TABANI!$B$15)) + IF(ISNUMBER(SEARCH("Var", D376)), VERI_TABANI!F26*(0.00202-VERI_TABANI!$B$16), IF(ISNUMBER(SEARCH("Gri", D376)), VERI_TABANI!F26*(0.00202-VERI_TABANI!$B$17), 0))) + ((VERI_TABANI!D27*B376*(VERI_TABANI!$B$13-VERI_TABANI!$B$14)) + (VERI_TABANI!D27*C376*(VERI_TABANI!$B$13-VERI_TABANI!$B$15)) + IF(ISNUMBER(SEARCH("Var", D376)), VERI_TABANI!F27*(0.00202-VERI_TABANI!$B$16), IF(ISNUMBER(SEARCH("Gri", D376)), VERI_TABANI!F27*(0.00202-VERI_TABANI!$B$17), 0))) + ((VERI_TABANI!D28*B376*(VERI_TABANI!$B$13-VERI_TABANI!$B$14)) + (VERI_TABANI!D28*C376*(VERI_TABANI!$B$13-VERI_TABANI!$B$15)) + IF(ISNUMBER(SEARCH("Var", D376)), VERI_TABANI!F28*(0.00202-VERI_TABANI!$B$16), IF(ISNUMBER(SEARCH("Gri", D376)), VERI_TABANI!F28*(0.00202-VERI_TABANI!$B$17), 0))))</f>
        <v/>
      </c>
      <c r="I376" s="170">
        <f>IFERROR(((VERI_TABANI!$D$29*B376*VERI_TABANI!$B$14 + VERI_TABANI!$D$29*C376*VERI_TABANI!$B$15 + IF(ISNUMBER(SEARCH("Var", D376)), VERI_TABANI!$F$29*VERI_TABANI!$B$16, 0))) / (((VERI_TABANI!$D$29*B376 + VERI_TABANI!$D$29*C376)*VERI_TABANI!$B$13 + IF(ISNUMBER(SEARCH("Var", D376)), VERI_TABANI!$E$29*(1-0.928)*VERI_TABANI!$B$18, 0))), 0)</f>
        <v/>
      </c>
      <c r="J376" s="171">
        <f>IFERROR(F376/(G376/29), 0)</f>
        <v/>
      </c>
      <c r="K376" s="172">
        <f>IF(F376&gt;0, H376/F376, 0)</f>
        <v/>
      </c>
      <c r="L376" s="170">
        <f>IF(F376&gt;0, I376, 1000000000)</f>
        <v/>
      </c>
      <c r="M376" s="171">
        <f>ABS((B376+C376)-1)</f>
        <v/>
      </c>
      <c r="N376" s="170">
        <f>IF(F376&gt;0, (G376/29)/F376, 0)</f>
        <v/>
      </c>
      <c r="O376" s="168">
        <f>IF(AND((B376+C376)&gt;=1, ISNUMBER(SEARCH("Var", D376))), F376, 1000000000)</f>
        <v/>
      </c>
      <c r="P376" s="172">
        <f>IF(F376&gt;0, SQRT((F376/MAX(F$5:F$886))^2 + (1 - H376/MAX(H$5:H$886))^2 + (J376/MAX(J$5:J$886))^2), 1000000000)</f>
        <v/>
      </c>
      <c r="Q376" s="166">
        <f>IF(AND(ABS(B376-0.5)&lt;0.01, ABS(C376-0.5)&lt;0.01, ISNUMBER(SEARCH("Var", D376))), 1, 0)</f>
        <v/>
      </c>
      <c r="R376" s="171">
        <f>IF(F376&gt;0, J376, 1000000000)</f>
        <v/>
      </c>
      <c r="S376" s="101">
        <f>IF(AND(F376&lt;=DASHBOARD!$B$11, H376&gt;=DASHBOARD!$B$13), G376, -1000000000000)</f>
        <v/>
      </c>
      <c r="T376" s="101">
        <f>IF(AND(F376&lt;=DASHBOARD!$B$11, H376&gt;=DASHBOARD!$B$13), R376, 1000000000000)</f>
        <v/>
      </c>
      <c r="U376" s="101">
        <f>IF(AND(F376&lt;=DASHBOARD!$B$11, H376&gt;=DASHBOARD!$B$13), N376, -1000000000000)</f>
        <v/>
      </c>
      <c r="V376" s="101">
        <f>IF(AND(F376&lt;=DASHBOARD!$B$11, H376&gt;=DASHBOARD!$B$13), H376, -1000000000000)</f>
        <v/>
      </c>
      <c r="W376" s="101">
        <f>IF(AND(F376&lt;=DASHBOARD!$B$11, H376&gt;=DASHBOARD!$B$13), K376, -1000000000000)</f>
        <v/>
      </c>
      <c r="X376" s="101">
        <f>IF(AND(F376&lt;=DASHBOARD!$B$11, H376&gt;=DASHBOARD!$B$13), M376, 1000000000000)</f>
        <v/>
      </c>
      <c r="Y376" s="101">
        <f>IF(AND(F376&lt;=DASHBOARD!$B$10, H376&gt;=DASHBOARD!$B$11), L376, 1000000000000)</f>
        <v/>
      </c>
      <c r="Z376" s="101">
        <f>IF(AND(F376&lt;=DASHBOARD!$B$10, H376&gt;=DASHBOARD!$B$11), O376, 1000000000000)</f>
        <v/>
      </c>
      <c r="AA376" s="101">
        <f>IF(AND(F376&lt;=DASHBOARD!$B$10, H376&gt;=DASHBOARD!$B$11), P376, 1000000000000)</f>
        <v/>
      </c>
      <c r="AB376" s="101">
        <f>IF(AND(F376&lt;=DASHBOARD!$B$10, H376&gt;=DASHBOARD!$B$11), Q376, -1000000000000)</f>
        <v/>
      </c>
    </row>
    <row r="377" ht="15" customHeight="1" s="102">
      <c r="A377" s="166" t="n">
        <v>373</v>
      </c>
      <c r="B377" s="167" t="n">
        <v>0.8</v>
      </c>
      <c r="C377" s="167" t="n">
        <v>1.8</v>
      </c>
      <c r="D377" s="110" t="inlineStr">
        <is>
          <t>Yok (%0)</t>
        </is>
      </c>
      <c r="E377" s="110">
        <f>IF((B377+C377)&lt;=1, "Tam Mahsuplaşma (≤%100)", "Kısmi Satış (&gt;%100)")</f>
        <v/>
      </c>
      <c r="F377" s="168">
        <f>((VERI_TABANI!$D$29*B377/VERI_TABANI!$B$29)/VERI_TABANI!$B$3)*VERI_TABANI!$B$5 + ((VERI_TABANI!$D$29*C377/VERI_TABANI!$B$29)/VERI_TABANI!$B$4)*VERI_TABANI!$B$6 + IF(ISNUMBER(SEARCH("Var", D377)), (VERI_TABANI!$F$29/VERI_TABANI!$B$29)*(VERI_TABANI!$B$10+VERI_TABANI!$B$12), 0)</f>
        <v/>
      </c>
      <c r="G377" s="168">
        <f>(((MIN(VERI_TABANI!D23, VERI_TABANI!D23*B377)*VERI_TABANI!$B$7 + MAX(0, VERI_TABANI!D23*B377-VERI_TABANI!D23)*VERI_TABANI!$B$8) + (MIN(MAX(0, VERI_TABANI!D23-VERI_TABANI!D23*B377), VERI_TABANI!D23*C377)*VERI_TABANI!$B$7 + MAX(0, VERI_TABANI!D23*C377-MAX(0, VERI_TABANI!D23-VERI_TABANI!D23*B377))*VERI_TABANI!$B$8) + IF(ABS(IF(ISNUMBER(SEARCH("Var", D377)), 1, IF(ISNUMBER(SEARCH("Gri", D377)), -1, 0)))=1, VERI_TABANI!E23*(1-0.928)*VERI_TABANI!$B$9, 0) + (VERI_TABANI!D23*B377*(VERI_TABANI!$B$13-VERI_TABANI!$B$14)*VERI_TABANI!G23) + (VERI_TABANI!D23*C377*(VERI_TABANI!$B$13-VERI_TABANI!$B$15)*VERI_TABANI!G23) + IF(ABS(IF(ISNUMBER(SEARCH("Var", D377)), 1, IF(ISNUMBER(SEARCH("Gri", D377)), -1, 0)))=1, VERI_TABANI!E23*(1-0.928)*0.00206091519919798*VERI_TABANI!G23, 0)) + ((MIN(VERI_TABANI!D24, VERI_TABANI!D24*B377)*VERI_TABANI!$B$7 + MAX(0, VERI_TABANI!D24*B377-VERI_TABANI!D24)*VERI_TABANI!$B$8) + (MIN(MAX(0, VERI_TABANI!D24-VERI_TABANI!D24*B377), VERI_TABANI!D24*C377)*VERI_TABANI!$B$7 + MAX(0, VERI_TABANI!D24*C377-MAX(0, VERI_TABANI!D24-VERI_TABANI!D24*B377))*VERI_TABANI!$B$8) + IF(ABS(IF(ISNUMBER(SEARCH("Var", D377)), 1, IF(ISNUMBER(SEARCH("Gri", D377)), -1, 0)))=1, VERI_TABANI!E24*(1-0.928)*VERI_TABANI!$B$9, 0) + (VERI_TABANI!D24*B377*(VERI_TABANI!$B$13-VERI_TABANI!$B$14)*VERI_TABANI!G24) + (VERI_TABANI!D24*C377*(VERI_TABANI!$B$13-VERI_TABANI!$B$15)*VERI_TABANI!G24) + IF(ABS(IF(ISNUMBER(SEARCH("Var", D377)), 1, IF(ISNUMBER(SEARCH("Gri", D377)), -1, 0)))=1, VERI_TABANI!E24*(1-0.928)*0.00206091519919798*VERI_TABANI!G24, 0)) + ((MIN(VERI_TABANI!D25, VERI_TABANI!D25*B377)*VERI_TABANI!$B$7 + MAX(0, VERI_TABANI!D25*B377-VERI_TABANI!D25)*VERI_TABANI!$B$8) + (MIN(MAX(0, VERI_TABANI!D25-VERI_TABANI!D25*B377), VERI_TABANI!D25*C377)*VERI_TABANI!$B$7 + MAX(0, VERI_TABANI!D25*C377-MAX(0, VERI_TABANI!D25-VERI_TABANI!D25*B377))*VERI_TABANI!$B$8) + IF(ABS(IF(ISNUMBER(SEARCH("Var", D377)), 1, IF(ISNUMBER(SEARCH("Gri", D377)), -1, 0)))=1, VERI_TABANI!E25*(1-0.928)*VERI_TABANI!$B$9, 0) + (VERI_TABANI!D25*B377*(VERI_TABANI!$B$13-VERI_TABANI!$B$14)*VERI_TABANI!G25) + (VERI_TABANI!D25*C377*(VERI_TABANI!$B$13-VERI_TABANI!$B$15)*VERI_TABANI!G25) + IF(ABS(IF(ISNUMBER(SEARCH("Var", D377)), 1, IF(ISNUMBER(SEARCH("Gri", D377)), -1, 0)))=1, VERI_TABANI!E25*(1-0.928)*0.00206091519919798*VERI_TABANI!G25, 0)) + ((MIN(VERI_TABANI!D26, VERI_TABANI!D26*B377)*VERI_TABANI!$B$7 + MAX(0, VERI_TABANI!D26*B377-VERI_TABANI!D26)*VERI_TABANI!$B$8) + (MIN(MAX(0, VERI_TABANI!D26-VERI_TABANI!D26*B377), VERI_TABANI!D26*C377)*VERI_TABANI!$B$7 + MAX(0, VERI_TABANI!D26*C377-MAX(0, VERI_TABANI!D26-VERI_TABANI!D26*B377))*VERI_TABANI!$B$8) + IF(ABS(IF(ISNUMBER(SEARCH("Var", D377)), 1, IF(ISNUMBER(SEARCH("Gri", D377)), -1, 0)))=1, VERI_TABANI!E26*(1-0.928)*VERI_TABANI!$B$9, 0) + (VERI_TABANI!D26*B377*(VERI_TABANI!$B$13-VERI_TABANI!$B$14)*VERI_TABANI!G26) + (VERI_TABANI!D26*C377*(VERI_TABANI!$B$13-VERI_TABANI!$B$15)*VERI_TABANI!G26) + IF(ABS(IF(ISNUMBER(SEARCH("Var", D377)), 1, IF(ISNUMBER(SEARCH("Gri", D377)), -1, 0)))=1, VERI_TABANI!E26*(1-0.928)*0.00206091519919798*VERI_TABANI!G26, 0)) + ((MIN(VERI_TABANI!D27, VERI_TABANI!D27*B377)*VERI_TABANI!$B$7 + MAX(0, VERI_TABANI!D27*B377-VERI_TABANI!D27)*VERI_TABANI!$B$8) + (MIN(MAX(0, VERI_TABANI!D27-VERI_TABANI!D27*B377), VERI_TABANI!D27*C377)*VERI_TABANI!$B$7 + MAX(0, VERI_TABANI!D27*C377-MAX(0, VERI_TABANI!D27-VERI_TABANI!D27*B377))*VERI_TABANI!$B$8) + IF(ABS(IF(ISNUMBER(SEARCH("Var", D377)), 1, IF(ISNUMBER(SEARCH("Gri", D377)), -1, 0)))=1, VERI_TABANI!E27*(1-0.928)*VERI_TABANI!$B$9, 0) + (VERI_TABANI!D27*B377*(VERI_TABANI!$B$13-VERI_TABANI!$B$14)*VERI_TABANI!G27) + (VERI_TABANI!D27*C377*(VERI_TABANI!$B$13-VERI_TABANI!$B$15)*VERI_TABANI!G27) + IF(ABS(IF(ISNUMBER(SEARCH("Var", D377)), 1, IF(ISNUMBER(SEARCH("Gri", D377)), -1, 0)))=1, VERI_TABANI!E27*(1-0.928)*0.00206091519919798*VERI_TABANI!G27, 0)) + ((MIN(VERI_TABANI!D28, VERI_TABANI!D28*B377)*VERI_TABANI!$B$7 + MAX(0, VERI_TABANI!D28*B377-VERI_TABANI!D28)*VERI_TABANI!$B$8) + (MIN(MAX(0, VERI_TABANI!D28-VERI_TABANI!D28*B377), VERI_TABANI!D28*C377)*VERI_TABANI!$B$7 + MAX(0, VERI_TABANI!D28*C377-MAX(0, VERI_TABANI!D28-VERI_TABANI!D28*B377))*VERI_TABANI!$B$8) + IF(ABS(IF(ISNUMBER(SEARCH("Var", D377)), 1, IF(ISNUMBER(SEARCH("Gri", D377)), -1, 0)))=1, VERI_TABANI!E28*(1-0.928)*VERI_TABANI!$B$9, 0) + (VERI_TABANI!D28*B377*(VERI_TABANI!$B$13-VERI_TABANI!$B$14)*VERI_TABANI!G28) + (VERI_TABANI!D28*C377*(VERI_TABANI!$B$13-VERI_TABANI!$B$15)*VERI_TABANI!G28) + IF(ABS(IF(ISNUMBER(SEARCH("Var", D377)), 1, IF(ISNUMBER(SEARCH("Gri", D377)), -1, 0)))=1, VERI_TABANI!E28*(1-0.928)*0.00206091519919798*VERI_TABANI!G28, 0)))</f>
        <v/>
      </c>
      <c r="H377" s="169">
        <f>(((VERI_TABANI!D23*B377*(VERI_TABANI!$B$13-VERI_TABANI!$B$14)) + (VERI_TABANI!D23*C377*(VERI_TABANI!$B$13-VERI_TABANI!$B$15)) + IF(ISNUMBER(SEARCH("Var", D377)), VERI_TABANI!F23*(0.00202-VERI_TABANI!$B$16), IF(ISNUMBER(SEARCH("Gri", D377)), VERI_TABANI!F23*(0.00202-VERI_TABANI!$B$17), 0))) + ((VERI_TABANI!D24*B377*(VERI_TABANI!$B$13-VERI_TABANI!$B$14)) + (VERI_TABANI!D24*C377*(VERI_TABANI!$B$13-VERI_TABANI!$B$15)) + IF(ISNUMBER(SEARCH("Var", D377)), VERI_TABANI!F24*(0.00202-VERI_TABANI!$B$16), IF(ISNUMBER(SEARCH("Gri", D377)), VERI_TABANI!F24*(0.00202-VERI_TABANI!$B$17), 0))) + ((VERI_TABANI!D25*B377*(VERI_TABANI!$B$13-VERI_TABANI!$B$14)) + (VERI_TABANI!D25*C377*(VERI_TABANI!$B$13-VERI_TABANI!$B$15)) + IF(ISNUMBER(SEARCH("Var", D377)), VERI_TABANI!F25*(0.00202-VERI_TABANI!$B$16), IF(ISNUMBER(SEARCH("Gri", D377)), VERI_TABANI!F25*(0.00202-VERI_TABANI!$B$17), 0))) + ((VERI_TABANI!D26*B377*(VERI_TABANI!$B$13-VERI_TABANI!$B$14)) + (VERI_TABANI!D26*C377*(VERI_TABANI!$B$13-VERI_TABANI!$B$15)) + IF(ISNUMBER(SEARCH("Var", D377)), VERI_TABANI!F26*(0.00202-VERI_TABANI!$B$16), IF(ISNUMBER(SEARCH("Gri", D377)), VERI_TABANI!F26*(0.00202-VERI_TABANI!$B$17), 0))) + ((VERI_TABANI!D27*B377*(VERI_TABANI!$B$13-VERI_TABANI!$B$14)) + (VERI_TABANI!D27*C377*(VERI_TABANI!$B$13-VERI_TABANI!$B$15)) + IF(ISNUMBER(SEARCH("Var", D377)), VERI_TABANI!F27*(0.00202-VERI_TABANI!$B$16), IF(ISNUMBER(SEARCH("Gri", D377)), VERI_TABANI!F27*(0.00202-VERI_TABANI!$B$17), 0))) + ((VERI_TABANI!D28*B377*(VERI_TABANI!$B$13-VERI_TABANI!$B$14)) + (VERI_TABANI!D28*C377*(VERI_TABANI!$B$13-VERI_TABANI!$B$15)) + IF(ISNUMBER(SEARCH("Var", D377)), VERI_TABANI!F28*(0.00202-VERI_TABANI!$B$16), IF(ISNUMBER(SEARCH("Gri", D377)), VERI_TABANI!F28*(0.00202-VERI_TABANI!$B$17), 0))))</f>
        <v/>
      </c>
      <c r="I377" s="170">
        <f>IFERROR(((VERI_TABANI!$D$29*B377*VERI_TABANI!$B$14 + VERI_TABANI!$D$29*C377*VERI_TABANI!$B$15 + IF(ISNUMBER(SEARCH("Var", D377)), VERI_TABANI!$F$29*VERI_TABANI!$B$16, 0))) / (((VERI_TABANI!$D$29*B377 + VERI_TABANI!$D$29*C377)*VERI_TABANI!$B$13 + IF(ISNUMBER(SEARCH("Var", D377)), VERI_TABANI!$E$29*(1-0.928)*VERI_TABANI!$B$18, 0))), 0)</f>
        <v/>
      </c>
      <c r="J377" s="171">
        <f>IFERROR(F377/(G377/29), 0)</f>
        <v/>
      </c>
      <c r="K377" s="172">
        <f>IF(F377&gt;0, H377/F377, 0)</f>
        <v/>
      </c>
      <c r="L377" s="170">
        <f>IF(F377&gt;0, I377, 1000000000)</f>
        <v/>
      </c>
      <c r="M377" s="171">
        <f>ABS((B377+C377)-1)</f>
        <v/>
      </c>
      <c r="N377" s="170">
        <f>IF(F377&gt;0, (G377/29)/F377, 0)</f>
        <v/>
      </c>
      <c r="O377" s="168">
        <f>IF(AND((B377+C377)&gt;=1, ISNUMBER(SEARCH("Var", D377))), F377, 1000000000)</f>
        <v/>
      </c>
      <c r="P377" s="172">
        <f>IF(F377&gt;0, SQRT((F377/MAX(F$5:F$886))^2 + (1 - H377/MAX(H$5:H$886))^2 + (J377/MAX(J$5:J$886))^2), 1000000000)</f>
        <v/>
      </c>
      <c r="Q377" s="166">
        <f>IF(AND(ABS(B377-0.5)&lt;0.01, ABS(C377-0.5)&lt;0.01, ISNUMBER(SEARCH("Var", D377))), 1, 0)</f>
        <v/>
      </c>
      <c r="R377" s="171">
        <f>IF(F377&gt;0, J377, 1000000000)</f>
        <v/>
      </c>
      <c r="S377" s="101">
        <f>IF(AND(F377&lt;=DASHBOARD!$B$11, H377&gt;=DASHBOARD!$B$13), G377, -1000000000000)</f>
        <v/>
      </c>
      <c r="T377" s="101">
        <f>IF(AND(F377&lt;=DASHBOARD!$B$11, H377&gt;=DASHBOARD!$B$13), R377, 1000000000000)</f>
        <v/>
      </c>
      <c r="U377" s="101">
        <f>IF(AND(F377&lt;=DASHBOARD!$B$11, H377&gt;=DASHBOARD!$B$13), N377, -1000000000000)</f>
        <v/>
      </c>
      <c r="V377" s="101">
        <f>IF(AND(F377&lt;=DASHBOARD!$B$11, H377&gt;=DASHBOARD!$B$13), H377, -1000000000000)</f>
        <v/>
      </c>
      <c r="W377" s="101">
        <f>IF(AND(F377&lt;=DASHBOARD!$B$11, H377&gt;=DASHBOARD!$B$13), K377, -1000000000000)</f>
        <v/>
      </c>
      <c r="X377" s="101">
        <f>IF(AND(F377&lt;=DASHBOARD!$B$11, H377&gt;=DASHBOARD!$B$13), M377, 1000000000000)</f>
        <v/>
      </c>
      <c r="Y377" s="101">
        <f>IF(AND(F377&lt;=DASHBOARD!$B$10, H377&gt;=DASHBOARD!$B$11), L377, 1000000000000)</f>
        <v/>
      </c>
      <c r="Z377" s="101">
        <f>IF(AND(F377&lt;=DASHBOARD!$B$10, H377&gt;=DASHBOARD!$B$11), O377, 1000000000000)</f>
        <v/>
      </c>
      <c r="AA377" s="101">
        <f>IF(AND(F377&lt;=DASHBOARD!$B$10, H377&gt;=DASHBOARD!$B$11), P377, 1000000000000)</f>
        <v/>
      </c>
      <c r="AB377" s="101">
        <f>IF(AND(F377&lt;=DASHBOARD!$B$10, H377&gt;=DASHBOARD!$B$11), Q377, -1000000000000)</f>
        <v/>
      </c>
    </row>
    <row r="378" ht="15" customHeight="1" s="102">
      <c r="A378" s="166" t="n">
        <v>374</v>
      </c>
      <c r="B378" s="167" t="n">
        <v>0.8</v>
      </c>
      <c r="C378" s="167" t="n">
        <v>1.8</v>
      </c>
      <c r="D378" s="110" t="inlineStr">
        <is>
          <t>Var (%20)</t>
        </is>
      </c>
      <c r="E378" s="110">
        <f>IF((B378+C378)&lt;=1, "Tam Mahsuplaşma (≤%100)", "Kısmi Satış (&gt;%100)")</f>
        <v/>
      </c>
      <c r="F378" s="168">
        <f>((VERI_TABANI!$D$29*B378/VERI_TABANI!$B$29)/VERI_TABANI!$B$3)*VERI_TABANI!$B$5 + ((VERI_TABANI!$D$29*C378/VERI_TABANI!$B$29)/VERI_TABANI!$B$4)*VERI_TABANI!$B$6 + IF(ISNUMBER(SEARCH("Var", D378)), (VERI_TABANI!$F$29/VERI_TABANI!$B$29)*(VERI_TABANI!$B$10+VERI_TABANI!$B$12), 0)</f>
        <v/>
      </c>
      <c r="G378" s="168">
        <f>(((MIN(VERI_TABANI!D23, VERI_TABANI!D23*B378)*VERI_TABANI!$B$7 + MAX(0, VERI_TABANI!D23*B378-VERI_TABANI!D23)*VERI_TABANI!$B$8) + (MIN(MAX(0, VERI_TABANI!D23-VERI_TABANI!D23*B378), VERI_TABANI!D23*C378)*VERI_TABANI!$B$7 + MAX(0, VERI_TABANI!D23*C378-MAX(0, VERI_TABANI!D23-VERI_TABANI!D23*B378))*VERI_TABANI!$B$8) + IF(ABS(IF(ISNUMBER(SEARCH("Var", D378)), 1, IF(ISNUMBER(SEARCH("Gri", D378)), -1, 0)))=1, VERI_TABANI!E23*(1-0.928)*VERI_TABANI!$B$9, 0) + (VERI_TABANI!D23*B378*(VERI_TABANI!$B$13-VERI_TABANI!$B$14)*VERI_TABANI!G23) + (VERI_TABANI!D23*C378*(VERI_TABANI!$B$13-VERI_TABANI!$B$15)*VERI_TABANI!G23) + IF(ABS(IF(ISNUMBER(SEARCH("Var", D378)), 1, IF(ISNUMBER(SEARCH("Gri", D378)), -1, 0)))=1, VERI_TABANI!E23*(1-0.928)*0.00206091519919798*VERI_TABANI!G23, 0)) + ((MIN(VERI_TABANI!D24, VERI_TABANI!D24*B378)*VERI_TABANI!$B$7 + MAX(0, VERI_TABANI!D24*B378-VERI_TABANI!D24)*VERI_TABANI!$B$8) + (MIN(MAX(0, VERI_TABANI!D24-VERI_TABANI!D24*B378), VERI_TABANI!D24*C378)*VERI_TABANI!$B$7 + MAX(0, VERI_TABANI!D24*C378-MAX(0, VERI_TABANI!D24-VERI_TABANI!D24*B378))*VERI_TABANI!$B$8) + IF(ABS(IF(ISNUMBER(SEARCH("Var", D378)), 1, IF(ISNUMBER(SEARCH("Gri", D378)), -1, 0)))=1, VERI_TABANI!E24*(1-0.928)*VERI_TABANI!$B$9, 0) + (VERI_TABANI!D24*B378*(VERI_TABANI!$B$13-VERI_TABANI!$B$14)*VERI_TABANI!G24) + (VERI_TABANI!D24*C378*(VERI_TABANI!$B$13-VERI_TABANI!$B$15)*VERI_TABANI!G24) + IF(ABS(IF(ISNUMBER(SEARCH("Var", D378)), 1, IF(ISNUMBER(SEARCH("Gri", D378)), -1, 0)))=1, VERI_TABANI!E24*(1-0.928)*0.00206091519919798*VERI_TABANI!G24, 0)) + ((MIN(VERI_TABANI!D25, VERI_TABANI!D25*B378)*VERI_TABANI!$B$7 + MAX(0, VERI_TABANI!D25*B378-VERI_TABANI!D25)*VERI_TABANI!$B$8) + (MIN(MAX(0, VERI_TABANI!D25-VERI_TABANI!D25*B378), VERI_TABANI!D25*C378)*VERI_TABANI!$B$7 + MAX(0, VERI_TABANI!D25*C378-MAX(0, VERI_TABANI!D25-VERI_TABANI!D25*B378))*VERI_TABANI!$B$8) + IF(ABS(IF(ISNUMBER(SEARCH("Var", D378)), 1, IF(ISNUMBER(SEARCH("Gri", D378)), -1, 0)))=1, VERI_TABANI!E25*(1-0.928)*VERI_TABANI!$B$9, 0) + (VERI_TABANI!D25*B378*(VERI_TABANI!$B$13-VERI_TABANI!$B$14)*VERI_TABANI!G25) + (VERI_TABANI!D25*C378*(VERI_TABANI!$B$13-VERI_TABANI!$B$15)*VERI_TABANI!G25) + IF(ABS(IF(ISNUMBER(SEARCH("Var", D378)), 1, IF(ISNUMBER(SEARCH("Gri", D378)), -1, 0)))=1, VERI_TABANI!E25*(1-0.928)*0.00206091519919798*VERI_TABANI!G25, 0)) + ((MIN(VERI_TABANI!D26, VERI_TABANI!D26*B378)*VERI_TABANI!$B$7 + MAX(0, VERI_TABANI!D26*B378-VERI_TABANI!D26)*VERI_TABANI!$B$8) + (MIN(MAX(0, VERI_TABANI!D26-VERI_TABANI!D26*B378), VERI_TABANI!D26*C378)*VERI_TABANI!$B$7 + MAX(0, VERI_TABANI!D26*C378-MAX(0, VERI_TABANI!D26-VERI_TABANI!D26*B378))*VERI_TABANI!$B$8) + IF(ABS(IF(ISNUMBER(SEARCH("Var", D378)), 1, IF(ISNUMBER(SEARCH("Gri", D378)), -1, 0)))=1, VERI_TABANI!E26*(1-0.928)*VERI_TABANI!$B$9, 0) + (VERI_TABANI!D26*B378*(VERI_TABANI!$B$13-VERI_TABANI!$B$14)*VERI_TABANI!G26) + (VERI_TABANI!D26*C378*(VERI_TABANI!$B$13-VERI_TABANI!$B$15)*VERI_TABANI!G26) + IF(ABS(IF(ISNUMBER(SEARCH("Var", D378)), 1, IF(ISNUMBER(SEARCH("Gri", D378)), -1, 0)))=1, VERI_TABANI!E26*(1-0.928)*0.00206091519919798*VERI_TABANI!G26, 0)) + ((MIN(VERI_TABANI!D27, VERI_TABANI!D27*B378)*VERI_TABANI!$B$7 + MAX(0, VERI_TABANI!D27*B378-VERI_TABANI!D27)*VERI_TABANI!$B$8) + (MIN(MAX(0, VERI_TABANI!D27-VERI_TABANI!D27*B378), VERI_TABANI!D27*C378)*VERI_TABANI!$B$7 + MAX(0, VERI_TABANI!D27*C378-MAX(0, VERI_TABANI!D27-VERI_TABANI!D27*B378))*VERI_TABANI!$B$8) + IF(ABS(IF(ISNUMBER(SEARCH("Var", D378)), 1, IF(ISNUMBER(SEARCH("Gri", D378)), -1, 0)))=1, VERI_TABANI!E27*(1-0.928)*VERI_TABANI!$B$9, 0) + (VERI_TABANI!D27*B378*(VERI_TABANI!$B$13-VERI_TABANI!$B$14)*VERI_TABANI!G27) + (VERI_TABANI!D27*C378*(VERI_TABANI!$B$13-VERI_TABANI!$B$15)*VERI_TABANI!G27) + IF(ABS(IF(ISNUMBER(SEARCH("Var", D378)), 1, IF(ISNUMBER(SEARCH("Gri", D378)), -1, 0)))=1, VERI_TABANI!E27*(1-0.928)*0.00206091519919798*VERI_TABANI!G27, 0)) + ((MIN(VERI_TABANI!D28, VERI_TABANI!D28*B378)*VERI_TABANI!$B$7 + MAX(0, VERI_TABANI!D28*B378-VERI_TABANI!D28)*VERI_TABANI!$B$8) + (MIN(MAX(0, VERI_TABANI!D28-VERI_TABANI!D28*B378), VERI_TABANI!D28*C378)*VERI_TABANI!$B$7 + MAX(0, VERI_TABANI!D28*C378-MAX(0, VERI_TABANI!D28-VERI_TABANI!D28*B378))*VERI_TABANI!$B$8) + IF(ABS(IF(ISNUMBER(SEARCH("Var", D378)), 1, IF(ISNUMBER(SEARCH("Gri", D378)), -1, 0)))=1, VERI_TABANI!E28*(1-0.928)*VERI_TABANI!$B$9, 0) + (VERI_TABANI!D28*B378*(VERI_TABANI!$B$13-VERI_TABANI!$B$14)*VERI_TABANI!G28) + (VERI_TABANI!D28*C378*(VERI_TABANI!$B$13-VERI_TABANI!$B$15)*VERI_TABANI!G28) + IF(ABS(IF(ISNUMBER(SEARCH("Var", D378)), 1, IF(ISNUMBER(SEARCH("Gri", D378)), -1, 0)))=1, VERI_TABANI!E28*(1-0.928)*0.00206091519919798*VERI_TABANI!G28, 0)))</f>
        <v/>
      </c>
      <c r="H378" s="169">
        <f>(((VERI_TABANI!D23*B378*(VERI_TABANI!$B$13-VERI_TABANI!$B$14)) + (VERI_TABANI!D23*C378*(VERI_TABANI!$B$13-VERI_TABANI!$B$15)) + IF(ISNUMBER(SEARCH("Var", D378)), VERI_TABANI!F23*(0.00202-VERI_TABANI!$B$16), IF(ISNUMBER(SEARCH("Gri", D378)), VERI_TABANI!F23*(0.00202-VERI_TABANI!$B$17), 0))) + ((VERI_TABANI!D24*B378*(VERI_TABANI!$B$13-VERI_TABANI!$B$14)) + (VERI_TABANI!D24*C378*(VERI_TABANI!$B$13-VERI_TABANI!$B$15)) + IF(ISNUMBER(SEARCH("Var", D378)), VERI_TABANI!F24*(0.00202-VERI_TABANI!$B$16), IF(ISNUMBER(SEARCH("Gri", D378)), VERI_TABANI!F24*(0.00202-VERI_TABANI!$B$17), 0))) + ((VERI_TABANI!D25*B378*(VERI_TABANI!$B$13-VERI_TABANI!$B$14)) + (VERI_TABANI!D25*C378*(VERI_TABANI!$B$13-VERI_TABANI!$B$15)) + IF(ISNUMBER(SEARCH("Var", D378)), VERI_TABANI!F25*(0.00202-VERI_TABANI!$B$16), IF(ISNUMBER(SEARCH("Gri", D378)), VERI_TABANI!F25*(0.00202-VERI_TABANI!$B$17), 0))) + ((VERI_TABANI!D26*B378*(VERI_TABANI!$B$13-VERI_TABANI!$B$14)) + (VERI_TABANI!D26*C378*(VERI_TABANI!$B$13-VERI_TABANI!$B$15)) + IF(ISNUMBER(SEARCH("Var", D378)), VERI_TABANI!F26*(0.00202-VERI_TABANI!$B$16), IF(ISNUMBER(SEARCH("Gri", D378)), VERI_TABANI!F26*(0.00202-VERI_TABANI!$B$17), 0))) + ((VERI_TABANI!D27*B378*(VERI_TABANI!$B$13-VERI_TABANI!$B$14)) + (VERI_TABANI!D27*C378*(VERI_TABANI!$B$13-VERI_TABANI!$B$15)) + IF(ISNUMBER(SEARCH("Var", D378)), VERI_TABANI!F27*(0.00202-VERI_TABANI!$B$16), IF(ISNUMBER(SEARCH("Gri", D378)), VERI_TABANI!F27*(0.00202-VERI_TABANI!$B$17), 0))) + ((VERI_TABANI!D28*B378*(VERI_TABANI!$B$13-VERI_TABANI!$B$14)) + (VERI_TABANI!D28*C378*(VERI_TABANI!$B$13-VERI_TABANI!$B$15)) + IF(ISNUMBER(SEARCH("Var", D378)), VERI_TABANI!F28*(0.00202-VERI_TABANI!$B$16), IF(ISNUMBER(SEARCH("Gri", D378)), VERI_TABANI!F28*(0.00202-VERI_TABANI!$B$17), 0))))</f>
        <v/>
      </c>
      <c r="I378" s="170">
        <f>IFERROR(((VERI_TABANI!$D$29*B378*VERI_TABANI!$B$14 + VERI_TABANI!$D$29*C378*VERI_TABANI!$B$15 + IF(ISNUMBER(SEARCH("Var", D378)), VERI_TABANI!$F$29*VERI_TABANI!$B$16, 0))) / (((VERI_TABANI!$D$29*B378 + VERI_TABANI!$D$29*C378)*VERI_TABANI!$B$13 + IF(ISNUMBER(SEARCH("Var", D378)), VERI_TABANI!$E$29*(1-0.928)*VERI_TABANI!$B$18, 0))), 0)</f>
        <v/>
      </c>
      <c r="J378" s="171">
        <f>IFERROR(F378/(G378/29), 0)</f>
        <v/>
      </c>
      <c r="K378" s="172">
        <f>IF(F378&gt;0, H378/F378, 0)</f>
        <v/>
      </c>
      <c r="L378" s="170">
        <f>IF(F378&gt;0, I378, 1000000000)</f>
        <v/>
      </c>
      <c r="M378" s="171">
        <f>ABS((B378+C378)-1)</f>
        <v/>
      </c>
      <c r="N378" s="170">
        <f>IF(F378&gt;0, (G378/29)/F378, 0)</f>
        <v/>
      </c>
      <c r="O378" s="168">
        <f>IF(AND((B378+C378)&gt;=1, ISNUMBER(SEARCH("Var", D378))), F378, 1000000000)</f>
        <v/>
      </c>
      <c r="P378" s="172">
        <f>IF(F378&gt;0, SQRT((F378/MAX(F$5:F$886))^2 + (1 - H378/MAX(H$5:H$886))^2 + (J378/MAX(J$5:J$886))^2), 1000000000)</f>
        <v/>
      </c>
      <c r="Q378" s="166">
        <f>IF(AND(ABS(B378-0.5)&lt;0.01, ABS(C378-0.5)&lt;0.01, ISNUMBER(SEARCH("Var", D378))), 1, 0)</f>
        <v/>
      </c>
      <c r="R378" s="171">
        <f>IF(F378&gt;0, J378, 1000000000)</f>
        <v/>
      </c>
      <c r="S378" s="101">
        <f>IF(AND(F378&lt;=DASHBOARD!$B$11, H378&gt;=DASHBOARD!$B$13), G378, -1000000000000)</f>
        <v/>
      </c>
      <c r="T378" s="101">
        <f>IF(AND(F378&lt;=DASHBOARD!$B$11, H378&gt;=DASHBOARD!$B$13), R378, 1000000000000)</f>
        <v/>
      </c>
      <c r="U378" s="101">
        <f>IF(AND(F378&lt;=DASHBOARD!$B$11, H378&gt;=DASHBOARD!$B$13), N378, -1000000000000)</f>
        <v/>
      </c>
      <c r="V378" s="101">
        <f>IF(AND(F378&lt;=DASHBOARD!$B$11, H378&gt;=DASHBOARD!$B$13), H378, -1000000000000)</f>
        <v/>
      </c>
      <c r="W378" s="101">
        <f>IF(AND(F378&lt;=DASHBOARD!$B$11, H378&gt;=DASHBOARD!$B$13), K378, -1000000000000)</f>
        <v/>
      </c>
      <c r="X378" s="101">
        <f>IF(AND(F378&lt;=DASHBOARD!$B$11, H378&gt;=DASHBOARD!$B$13), M378, 1000000000000)</f>
        <v/>
      </c>
      <c r="Y378" s="101">
        <f>IF(AND(F378&lt;=DASHBOARD!$B$10, H378&gt;=DASHBOARD!$B$11), L378, 1000000000000)</f>
        <v/>
      </c>
      <c r="Z378" s="101">
        <f>IF(AND(F378&lt;=DASHBOARD!$B$10, H378&gt;=DASHBOARD!$B$11), O378, 1000000000000)</f>
        <v/>
      </c>
      <c r="AA378" s="101">
        <f>IF(AND(F378&lt;=DASHBOARD!$B$10, H378&gt;=DASHBOARD!$B$11), P378, 1000000000000)</f>
        <v/>
      </c>
      <c r="AB378" s="101">
        <f>IF(AND(F378&lt;=DASHBOARD!$B$10, H378&gt;=DASHBOARD!$B$11), Q378, -1000000000000)</f>
        <v/>
      </c>
    </row>
    <row r="379" ht="15" customHeight="1" s="102">
      <c r="A379" s="166" t="n">
        <v>375</v>
      </c>
      <c r="B379" s="167" t="n">
        <v>0.8</v>
      </c>
      <c r="C379" s="167" t="n">
        <v>1.9</v>
      </c>
      <c r="D379" s="110" t="inlineStr">
        <is>
          <t>Yok (%0)</t>
        </is>
      </c>
      <c r="E379" s="110">
        <f>IF((B379+C379)&lt;=1, "Tam Mahsuplaşma (≤%100)", "Kısmi Satış (&gt;%100)")</f>
        <v/>
      </c>
      <c r="F379" s="168">
        <f>((VERI_TABANI!$D$29*B379/VERI_TABANI!$B$29)/VERI_TABANI!$B$3)*VERI_TABANI!$B$5 + ((VERI_TABANI!$D$29*C379/VERI_TABANI!$B$29)/VERI_TABANI!$B$4)*VERI_TABANI!$B$6 + IF(ISNUMBER(SEARCH("Var", D379)), (VERI_TABANI!$F$29/VERI_TABANI!$B$29)*(VERI_TABANI!$B$10+VERI_TABANI!$B$12), 0)</f>
        <v/>
      </c>
      <c r="G379" s="168">
        <f>(((MIN(VERI_TABANI!D23, VERI_TABANI!D23*B379)*VERI_TABANI!$B$7 + MAX(0, VERI_TABANI!D23*B379-VERI_TABANI!D23)*VERI_TABANI!$B$8) + (MIN(MAX(0, VERI_TABANI!D23-VERI_TABANI!D23*B379), VERI_TABANI!D23*C379)*VERI_TABANI!$B$7 + MAX(0, VERI_TABANI!D23*C379-MAX(0, VERI_TABANI!D23-VERI_TABANI!D23*B379))*VERI_TABANI!$B$8) + IF(ABS(IF(ISNUMBER(SEARCH("Var", D379)), 1, IF(ISNUMBER(SEARCH("Gri", D379)), -1, 0)))=1, VERI_TABANI!E23*(1-0.928)*VERI_TABANI!$B$9, 0) + (VERI_TABANI!D23*B379*(VERI_TABANI!$B$13-VERI_TABANI!$B$14)*VERI_TABANI!G23) + (VERI_TABANI!D23*C379*(VERI_TABANI!$B$13-VERI_TABANI!$B$15)*VERI_TABANI!G23) + IF(ABS(IF(ISNUMBER(SEARCH("Var", D379)), 1, IF(ISNUMBER(SEARCH("Gri", D379)), -1, 0)))=1, VERI_TABANI!E23*(1-0.928)*0.00206091519919798*VERI_TABANI!G23, 0)) + ((MIN(VERI_TABANI!D24, VERI_TABANI!D24*B379)*VERI_TABANI!$B$7 + MAX(0, VERI_TABANI!D24*B379-VERI_TABANI!D24)*VERI_TABANI!$B$8) + (MIN(MAX(0, VERI_TABANI!D24-VERI_TABANI!D24*B379), VERI_TABANI!D24*C379)*VERI_TABANI!$B$7 + MAX(0, VERI_TABANI!D24*C379-MAX(0, VERI_TABANI!D24-VERI_TABANI!D24*B379))*VERI_TABANI!$B$8) + IF(ABS(IF(ISNUMBER(SEARCH("Var", D379)), 1, IF(ISNUMBER(SEARCH("Gri", D379)), -1, 0)))=1, VERI_TABANI!E24*(1-0.928)*VERI_TABANI!$B$9, 0) + (VERI_TABANI!D24*B379*(VERI_TABANI!$B$13-VERI_TABANI!$B$14)*VERI_TABANI!G24) + (VERI_TABANI!D24*C379*(VERI_TABANI!$B$13-VERI_TABANI!$B$15)*VERI_TABANI!G24) + IF(ABS(IF(ISNUMBER(SEARCH("Var", D379)), 1, IF(ISNUMBER(SEARCH("Gri", D379)), -1, 0)))=1, VERI_TABANI!E24*(1-0.928)*0.00206091519919798*VERI_TABANI!G24, 0)) + ((MIN(VERI_TABANI!D25, VERI_TABANI!D25*B379)*VERI_TABANI!$B$7 + MAX(0, VERI_TABANI!D25*B379-VERI_TABANI!D25)*VERI_TABANI!$B$8) + (MIN(MAX(0, VERI_TABANI!D25-VERI_TABANI!D25*B379), VERI_TABANI!D25*C379)*VERI_TABANI!$B$7 + MAX(0, VERI_TABANI!D25*C379-MAX(0, VERI_TABANI!D25-VERI_TABANI!D25*B379))*VERI_TABANI!$B$8) + IF(ABS(IF(ISNUMBER(SEARCH("Var", D379)), 1, IF(ISNUMBER(SEARCH("Gri", D379)), -1, 0)))=1, VERI_TABANI!E25*(1-0.928)*VERI_TABANI!$B$9, 0) + (VERI_TABANI!D25*B379*(VERI_TABANI!$B$13-VERI_TABANI!$B$14)*VERI_TABANI!G25) + (VERI_TABANI!D25*C379*(VERI_TABANI!$B$13-VERI_TABANI!$B$15)*VERI_TABANI!G25) + IF(ABS(IF(ISNUMBER(SEARCH("Var", D379)), 1, IF(ISNUMBER(SEARCH("Gri", D379)), -1, 0)))=1, VERI_TABANI!E25*(1-0.928)*0.00206091519919798*VERI_TABANI!G25, 0)) + ((MIN(VERI_TABANI!D26, VERI_TABANI!D26*B379)*VERI_TABANI!$B$7 + MAX(0, VERI_TABANI!D26*B379-VERI_TABANI!D26)*VERI_TABANI!$B$8) + (MIN(MAX(0, VERI_TABANI!D26-VERI_TABANI!D26*B379), VERI_TABANI!D26*C379)*VERI_TABANI!$B$7 + MAX(0, VERI_TABANI!D26*C379-MAX(0, VERI_TABANI!D26-VERI_TABANI!D26*B379))*VERI_TABANI!$B$8) + IF(ABS(IF(ISNUMBER(SEARCH("Var", D379)), 1, IF(ISNUMBER(SEARCH("Gri", D379)), -1, 0)))=1, VERI_TABANI!E26*(1-0.928)*VERI_TABANI!$B$9, 0) + (VERI_TABANI!D26*B379*(VERI_TABANI!$B$13-VERI_TABANI!$B$14)*VERI_TABANI!G26) + (VERI_TABANI!D26*C379*(VERI_TABANI!$B$13-VERI_TABANI!$B$15)*VERI_TABANI!G26) + IF(ABS(IF(ISNUMBER(SEARCH("Var", D379)), 1, IF(ISNUMBER(SEARCH("Gri", D379)), -1, 0)))=1, VERI_TABANI!E26*(1-0.928)*0.00206091519919798*VERI_TABANI!G26, 0)) + ((MIN(VERI_TABANI!D27, VERI_TABANI!D27*B379)*VERI_TABANI!$B$7 + MAX(0, VERI_TABANI!D27*B379-VERI_TABANI!D27)*VERI_TABANI!$B$8) + (MIN(MAX(0, VERI_TABANI!D27-VERI_TABANI!D27*B379), VERI_TABANI!D27*C379)*VERI_TABANI!$B$7 + MAX(0, VERI_TABANI!D27*C379-MAX(0, VERI_TABANI!D27-VERI_TABANI!D27*B379))*VERI_TABANI!$B$8) + IF(ABS(IF(ISNUMBER(SEARCH("Var", D379)), 1, IF(ISNUMBER(SEARCH("Gri", D379)), -1, 0)))=1, VERI_TABANI!E27*(1-0.928)*VERI_TABANI!$B$9, 0) + (VERI_TABANI!D27*B379*(VERI_TABANI!$B$13-VERI_TABANI!$B$14)*VERI_TABANI!G27) + (VERI_TABANI!D27*C379*(VERI_TABANI!$B$13-VERI_TABANI!$B$15)*VERI_TABANI!G27) + IF(ABS(IF(ISNUMBER(SEARCH("Var", D379)), 1, IF(ISNUMBER(SEARCH("Gri", D379)), -1, 0)))=1, VERI_TABANI!E27*(1-0.928)*0.00206091519919798*VERI_TABANI!G27, 0)) + ((MIN(VERI_TABANI!D28, VERI_TABANI!D28*B379)*VERI_TABANI!$B$7 + MAX(0, VERI_TABANI!D28*B379-VERI_TABANI!D28)*VERI_TABANI!$B$8) + (MIN(MAX(0, VERI_TABANI!D28-VERI_TABANI!D28*B379), VERI_TABANI!D28*C379)*VERI_TABANI!$B$7 + MAX(0, VERI_TABANI!D28*C379-MAX(0, VERI_TABANI!D28-VERI_TABANI!D28*B379))*VERI_TABANI!$B$8) + IF(ABS(IF(ISNUMBER(SEARCH("Var", D379)), 1, IF(ISNUMBER(SEARCH("Gri", D379)), -1, 0)))=1, VERI_TABANI!E28*(1-0.928)*VERI_TABANI!$B$9, 0) + (VERI_TABANI!D28*B379*(VERI_TABANI!$B$13-VERI_TABANI!$B$14)*VERI_TABANI!G28) + (VERI_TABANI!D28*C379*(VERI_TABANI!$B$13-VERI_TABANI!$B$15)*VERI_TABANI!G28) + IF(ABS(IF(ISNUMBER(SEARCH("Var", D379)), 1, IF(ISNUMBER(SEARCH("Gri", D379)), -1, 0)))=1, VERI_TABANI!E28*(1-0.928)*0.00206091519919798*VERI_TABANI!G28, 0)))</f>
        <v/>
      </c>
      <c r="H379" s="169">
        <f>(((VERI_TABANI!D23*B379*(VERI_TABANI!$B$13-VERI_TABANI!$B$14)) + (VERI_TABANI!D23*C379*(VERI_TABANI!$B$13-VERI_TABANI!$B$15)) + IF(ISNUMBER(SEARCH("Var", D379)), VERI_TABANI!F23*(0.00202-VERI_TABANI!$B$16), IF(ISNUMBER(SEARCH("Gri", D379)), VERI_TABANI!F23*(0.00202-VERI_TABANI!$B$17), 0))) + ((VERI_TABANI!D24*B379*(VERI_TABANI!$B$13-VERI_TABANI!$B$14)) + (VERI_TABANI!D24*C379*(VERI_TABANI!$B$13-VERI_TABANI!$B$15)) + IF(ISNUMBER(SEARCH("Var", D379)), VERI_TABANI!F24*(0.00202-VERI_TABANI!$B$16), IF(ISNUMBER(SEARCH("Gri", D379)), VERI_TABANI!F24*(0.00202-VERI_TABANI!$B$17), 0))) + ((VERI_TABANI!D25*B379*(VERI_TABANI!$B$13-VERI_TABANI!$B$14)) + (VERI_TABANI!D25*C379*(VERI_TABANI!$B$13-VERI_TABANI!$B$15)) + IF(ISNUMBER(SEARCH("Var", D379)), VERI_TABANI!F25*(0.00202-VERI_TABANI!$B$16), IF(ISNUMBER(SEARCH("Gri", D379)), VERI_TABANI!F25*(0.00202-VERI_TABANI!$B$17), 0))) + ((VERI_TABANI!D26*B379*(VERI_TABANI!$B$13-VERI_TABANI!$B$14)) + (VERI_TABANI!D26*C379*(VERI_TABANI!$B$13-VERI_TABANI!$B$15)) + IF(ISNUMBER(SEARCH("Var", D379)), VERI_TABANI!F26*(0.00202-VERI_TABANI!$B$16), IF(ISNUMBER(SEARCH("Gri", D379)), VERI_TABANI!F26*(0.00202-VERI_TABANI!$B$17), 0))) + ((VERI_TABANI!D27*B379*(VERI_TABANI!$B$13-VERI_TABANI!$B$14)) + (VERI_TABANI!D27*C379*(VERI_TABANI!$B$13-VERI_TABANI!$B$15)) + IF(ISNUMBER(SEARCH("Var", D379)), VERI_TABANI!F27*(0.00202-VERI_TABANI!$B$16), IF(ISNUMBER(SEARCH("Gri", D379)), VERI_TABANI!F27*(0.00202-VERI_TABANI!$B$17), 0))) + ((VERI_TABANI!D28*B379*(VERI_TABANI!$B$13-VERI_TABANI!$B$14)) + (VERI_TABANI!D28*C379*(VERI_TABANI!$B$13-VERI_TABANI!$B$15)) + IF(ISNUMBER(SEARCH("Var", D379)), VERI_TABANI!F28*(0.00202-VERI_TABANI!$B$16), IF(ISNUMBER(SEARCH("Gri", D379)), VERI_TABANI!F28*(0.00202-VERI_TABANI!$B$17), 0))))</f>
        <v/>
      </c>
      <c r="I379" s="170">
        <f>IFERROR(((VERI_TABANI!$D$29*B379*VERI_TABANI!$B$14 + VERI_TABANI!$D$29*C379*VERI_TABANI!$B$15 + IF(ISNUMBER(SEARCH("Var", D379)), VERI_TABANI!$F$29*VERI_TABANI!$B$16, 0))) / (((VERI_TABANI!$D$29*B379 + VERI_TABANI!$D$29*C379)*VERI_TABANI!$B$13 + IF(ISNUMBER(SEARCH("Var", D379)), VERI_TABANI!$E$29*(1-0.928)*VERI_TABANI!$B$18, 0))), 0)</f>
        <v/>
      </c>
      <c r="J379" s="171">
        <f>IFERROR(F379/(G379/29), 0)</f>
        <v/>
      </c>
      <c r="K379" s="172">
        <f>IF(F379&gt;0, H379/F379, 0)</f>
        <v/>
      </c>
      <c r="L379" s="170">
        <f>IF(F379&gt;0, I379, 1000000000)</f>
        <v/>
      </c>
      <c r="M379" s="171">
        <f>ABS((B379+C379)-1)</f>
        <v/>
      </c>
      <c r="N379" s="170">
        <f>IF(F379&gt;0, (G379/29)/F379, 0)</f>
        <v/>
      </c>
      <c r="O379" s="168">
        <f>IF(AND((B379+C379)&gt;=1, ISNUMBER(SEARCH("Var", D379))), F379, 1000000000)</f>
        <v/>
      </c>
      <c r="P379" s="172">
        <f>IF(F379&gt;0, SQRT((F379/MAX(F$5:F$886))^2 + (1 - H379/MAX(H$5:H$886))^2 + (J379/MAX(J$5:J$886))^2), 1000000000)</f>
        <v/>
      </c>
      <c r="Q379" s="166">
        <f>IF(AND(ABS(B379-0.5)&lt;0.01, ABS(C379-0.5)&lt;0.01, ISNUMBER(SEARCH("Var", D379))), 1, 0)</f>
        <v/>
      </c>
      <c r="R379" s="171">
        <f>IF(F379&gt;0, J379, 1000000000)</f>
        <v/>
      </c>
      <c r="S379" s="101">
        <f>IF(AND(F379&lt;=DASHBOARD!$B$11, H379&gt;=DASHBOARD!$B$13), G379, -1000000000000)</f>
        <v/>
      </c>
      <c r="T379" s="101">
        <f>IF(AND(F379&lt;=DASHBOARD!$B$11, H379&gt;=DASHBOARD!$B$13), R379, 1000000000000)</f>
        <v/>
      </c>
      <c r="U379" s="101">
        <f>IF(AND(F379&lt;=DASHBOARD!$B$11, H379&gt;=DASHBOARD!$B$13), N379, -1000000000000)</f>
        <v/>
      </c>
      <c r="V379" s="101">
        <f>IF(AND(F379&lt;=DASHBOARD!$B$11, H379&gt;=DASHBOARD!$B$13), H379, -1000000000000)</f>
        <v/>
      </c>
      <c r="W379" s="101">
        <f>IF(AND(F379&lt;=DASHBOARD!$B$11, H379&gt;=DASHBOARD!$B$13), K379, -1000000000000)</f>
        <v/>
      </c>
      <c r="X379" s="101">
        <f>IF(AND(F379&lt;=DASHBOARD!$B$11, H379&gt;=DASHBOARD!$B$13), M379, 1000000000000)</f>
        <v/>
      </c>
      <c r="Y379" s="101">
        <f>IF(AND(F379&lt;=DASHBOARD!$B$10, H379&gt;=DASHBOARD!$B$11), L379, 1000000000000)</f>
        <v/>
      </c>
      <c r="Z379" s="101">
        <f>IF(AND(F379&lt;=DASHBOARD!$B$10, H379&gt;=DASHBOARD!$B$11), O379, 1000000000000)</f>
        <v/>
      </c>
      <c r="AA379" s="101">
        <f>IF(AND(F379&lt;=DASHBOARD!$B$10, H379&gt;=DASHBOARD!$B$11), P379, 1000000000000)</f>
        <v/>
      </c>
      <c r="AB379" s="101">
        <f>IF(AND(F379&lt;=DASHBOARD!$B$10, H379&gt;=DASHBOARD!$B$11), Q379, -1000000000000)</f>
        <v/>
      </c>
    </row>
    <row r="380" ht="15" customHeight="1" s="102">
      <c r="A380" s="166" t="n">
        <v>376</v>
      </c>
      <c r="B380" s="167" t="n">
        <v>0.8</v>
      </c>
      <c r="C380" s="167" t="n">
        <v>1.9</v>
      </c>
      <c r="D380" s="110" t="inlineStr">
        <is>
          <t>Var (%20)</t>
        </is>
      </c>
      <c r="E380" s="110">
        <f>IF((B380+C380)&lt;=1, "Tam Mahsuplaşma (≤%100)", "Kısmi Satış (&gt;%100)")</f>
        <v/>
      </c>
      <c r="F380" s="168">
        <f>((VERI_TABANI!$D$29*B380/VERI_TABANI!$B$29)/VERI_TABANI!$B$3)*VERI_TABANI!$B$5 + ((VERI_TABANI!$D$29*C380/VERI_TABANI!$B$29)/VERI_TABANI!$B$4)*VERI_TABANI!$B$6 + IF(ISNUMBER(SEARCH("Var", D380)), (VERI_TABANI!$F$29/VERI_TABANI!$B$29)*(VERI_TABANI!$B$10+VERI_TABANI!$B$12), 0)</f>
        <v/>
      </c>
      <c r="G380" s="168">
        <f>(((MIN(VERI_TABANI!D23, VERI_TABANI!D23*B380)*VERI_TABANI!$B$7 + MAX(0, VERI_TABANI!D23*B380-VERI_TABANI!D23)*VERI_TABANI!$B$8) + (MIN(MAX(0, VERI_TABANI!D23-VERI_TABANI!D23*B380), VERI_TABANI!D23*C380)*VERI_TABANI!$B$7 + MAX(0, VERI_TABANI!D23*C380-MAX(0, VERI_TABANI!D23-VERI_TABANI!D23*B380))*VERI_TABANI!$B$8) + IF(ABS(IF(ISNUMBER(SEARCH("Var", D380)), 1, IF(ISNUMBER(SEARCH("Gri", D380)), -1, 0)))=1, VERI_TABANI!E23*(1-0.928)*VERI_TABANI!$B$9, 0) + (VERI_TABANI!D23*B380*(VERI_TABANI!$B$13-VERI_TABANI!$B$14)*VERI_TABANI!G23) + (VERI_TABANI!D23*C380*(VERI_TABANI!$B$13-VERI_TABANI!$B$15)*VERI_TABANI!G23) + IF(ABS(IF(ISNUMBER(SEARCH("Var", D380)), 1, IF(ISNUMBER(SEARCH("Gri", D380)), -1, 0)))=1, VERI_TABANI!E23*(1-0.928)*0.00206091519919798*VERI_TABANI!G23, 0)) + ((MIN(VERI_TABANI!D24, VERI_TABANI!D24*B380)*VERI_TABANI!$B$7 + MAX(0, VERI_TABANI!D24*B380-VERI_TABANI!D24)*VERI_TABANI!$B$8) + (MIN(MAX(0, VERI_TABANI!D24-VERI_TABANI!D24*B380), VERI_TABANI!D24*C380)*VERI_TABANI!$B$7 + MAX(0, VERI_TABANI!D24*C380-MAX(0, VERI_TABANI!D24-VERI_TABANI!D24*B380))*VERI_TABANI!$B$8) + IF(ABS(IF(ISNUMBER(SEARCH("Var", D380)), 1, IF(ISNUMBER(SEARCH("Gri", D380)), -1, 0)))=1, VERI_TABANI!E24*(1-0.928)*VERI_TABANI!$B$9, 0) + (VERI_TABANI!D24*B380*(VERI_TABANI!$B$13-VERI_TABANI!$B$14)*VERI_TABANI!G24) + (VERI_TABANI!D24*C380*(VERI_TABANI!$B$13-VERI_TABANI!$B$15)*VERI_TABANI!G24) + IF(ABS(IF(ISNUMBER(SEARCH("Var", D380)), 1, IF(ISNUMBER(SEARCH("Gri", D380)), -1, 0)))=1, VERI_TABANI!E24*(1-0.928)*0.00206091519919798*VERI_TABANI!G24, 0)) + ((MIN(VERI_TABANI!D25, VERI_TABANI!D25*B380)*VERI_TABANI!$B$7 + MAX(0, VERI_TABANI!D25*B380-VERI_TABANI!D25)*VERI_TABANI!$B$8) + (MIN(MAX(0, VERI_TABANI!D25-VERI_TABANI!D25*B380), VERI_TABANI!D25*C380)*VERI_TABANI!$B$7 + MAX(0, VERI_TABANI!D25*C380-MAX(0, VERI_TABANI!D25-VERI_TABANI!D25*B380))*VERI_TABANI!$B$8) + IF(ABS(IF(ISNUMBER(SEARCH("Var", D380)), 1, IF(ISNUMBER(SEARCH("Gri", D380)), -1, 0)))=1, VERI_TABANI!E25*(1-0.928)*VERI_TABANI!$B$9, 0) + (VERI_TABANI!D25*B380*(VERI_TABANI!$B$13-VERI_TABANI!$B$14)*VERI_TABANI!G25) + (VERI_TABANI!D25*C380*(VERI_TABANI!$B$13-VERI_TABANI!$B$15)*VERI_TABANI!G25) + IF(ABS(IF(ISNUMBER(SEARCH("Var", D380)), 1, IF(ISNUMBER(SEARCH("Gri", D380)), -1, 0)))=1, VERI_TABANI!E25*(1-0.928)*0.00206091519919798*VERI_TABANI!G25, 0)) + ((MIN(VERI_TABANI!D26, VERI_TABANI!D26*B380)*VERI_TABANI!$B$7 + MAX(0, VERI_TABANI!D26*B380-VERI_TABANI!D26)*VERI_TABANI!$B$8) + (MIN(MAX(0, VERI_TABANI!D26-VERI_TABANI!D26*B380), VERI_TABANI!D26*C380)*VERI_TABANI!$B$7 + MAX(0, VERI_TABANI!D26*C380-MAX(0, VERI_TABANI!D26-VERI_TABANI!D26*B380))*VERI_TABANI!$B$8) + IF(ABS(IF(ISNUMBER(SEARCH("Var", D380)), 1, IF(ISNUMBER(SEARCH("Gri", D380)), -1, 0)))=1, VERI_TABANI!E26*(1-0.928)*VERI_TABANI!$B$9, 0) + (VERI_TABANI!D26*B380*(VERI_TABANI!$B$13-VERI_TABANI!$B$14)*VERI_TABANI!G26) + (VERI_TABANI!D26*C380*(VERI_TABANI!$B$13-VERI_TABANI!$B$15)*VERI_TABANI!G26) + IF(ABS(IF(ISNUMBER(SEARCH("Var", D380)), 1, IF(ISNUMBER(SEARCH("Gri", D380)), -1, 0)))=1, VERI_TABANI!E26*(1-0.928)*0.00206091519919798*VERI_TABANI!G26, 0)) + ((MIN(VERI_TABANI!D27, VERI_TABANI!D27*B380)*VERI_TABANI!$B$7 + MAX(0, VERI_TABANI!D27*B380-VERI_TABANI!D27)*VERI_TABANI!$B$8) + (MIN(MAX(0, VERI_TABANI!D27-VERI_TABANI!D27*B380), VERI_TABANI!D27*C380)*VERI_TABANI!$B$7 + MAX(0, VERI_TABANI!D27*C380-MAX(0, VERI_TABANI!D27-VERI_TABANI!D27*B380))*VERI_TABANI!$B$8) + IF(ABS(IF(ISNUMBER(SEARCH("Var", D380)), 1, IF(ISNUMBER(SEARCH("Gri", D380)), -1, 0)))=1, VERI_TABANI!E27*(1-0.928)*VERI_TABANI!$B$9, 0) + (VERI_TABANI!D27*B380*(VERI_TABANI!$B$13-VERI_TABANI!$B$14)*VERI_TABANI!G27) + (VERI_TABANI!D27*C380*(VERI_TABANI!$B$13-VERI_TABANI!$B$15)*VERI_TABANI!G27) + IF(ABS(IF(ISNUMBER(SEARCH("Var", D380)), 1, IF(ISNUMBER(SEARCH("Gri", D380)), -1, 0)))=1, VERI_TABANI!E27*(1-0.928)*0.00206091519919798*VERI_TABANI!G27, 0)) + ((MIN(VERI_TABANI!D28, VERI_TABANI!D28*B380)*VERI_TABANI!$B$7 + MAX(0, VERI_TABANI!D28*B380-VERI_TABANI!D28)*VERI_TABANI!$B$8) + (MIN(MAX(0, VERI_TABANI!D28-VERI_TABANI!D28*B380), VERI_TABANI!D28*C380)*VERI_TABANI!$B$7 + MAX(0, VERI_TABANI!D28*C380-MAX(0, VERI_TABANI!D28-VERI_TABANI!D28*B380))*VERI_TABANI!$B$8) + IF(ABS(IF(ISNUMBER(SEARCH("Var", D380)), 1, IF(ISNUMBER(SEARCH("Gri", D380)), -1, 0)))=1, VERI_TABANI!E28*(1-0.928)*VERI_TABANI!$B$9, 0) + (VERI_TABANI!D28*B380*(VERI_TABANI!$B$13-VERI_TABANI!$B$14)*VERI_TABANI!G28) + (VERI_TABANI!D28*C380*(VERI_TABANI!$B$13-VERI_TABANI!$B$15)*VERI_TABANI!G28) + IF(ABS(IF(ISNUMBER(SEARCH("Var", D380)), 1, IF(ISNUMBER(SEARCH("Gri", D380)), -1, 0)))=1, VERI_TABANI!E28*(1-0.928)*0.00206091519919798*VERI_TABANI!G28, 0)))</f>
        <v/>
      </c>
      <c r="H380" s="169">
        <f>(((VERI_TABANI!D23*B380*(VERI_TABANI!$B$13-VERI_TABANI!$B$14)) + (VERI_TABANI!D23*C380*(VERI_TABANI!$B$13-VERI_TABANI!$B$15)) + IF(ISNUMBER(SEARCH("Var", D380)), VERI_TABANI!F23*(0.00202-VERI_TABANI!$B$16), IF(ISNUMBER(SEARCH("Gri", D380)), VERI_TABANI!F23*(0.00202-VERI_TABANI!$B$17), 0))) + ((VERI_TABANI!D24*B380*(VERI_TABANI!$B$13-VERI_TABANI!$B$14)) + (VERI_TABANI!D24*C380*(VERI_TABANI!$B$13-VERI_TABANI!$B$15)) + IF(ISNUMBER(SEARCH("Var", D380)), VERI_TABANI!F24*(0.00202-VERI_TABANI!$B$16), IF(ISNUMBER(SEARCH("Gri", D380)), VERI_TABANI!F24*(0.00202-VERI_TABANI!$B$17), 0))) + ((VERI_TABANI!D25*B380*(VERI_TABANI!$B$13-VERI_TABANI!$B$14)) + (VERI_TABANI!D25*C380*(VERI_TABANI!$B$13-VERI_TABANI!$B$15)) + IF(ISNUMBER(SEARCH("Var", D380)), VERI_TABANI!F25*(0.00202-VERI_TABANI!$B$16), IF(ISNUMBER(SEARCH("Gri", D380)), VERI_TABANI!F25*(0.00202-VERI_TABANI!$B$17), 0))) + ((VERI_TABANI!D26*B380*(VERI_TABANI!$B$13-VERI_TABANI!$B$14)) + (VERI_TABANI!D26*C380*(VERI_TABANI!$B$13-VERI_TABANI!$B$15)) + IF(ISNUMBER(SEARCH("Var", D380)), VERI_TABANI!F26*(0.00202-VERI_TABANI!$B$16), IF(ISNUMBER(SEARCH("Gri", D380)), VERI_TABANI!F26*(0.00202-VERI_TABANI!$B$17), 0))) + ((VERI_TABANI!D27*B380*(VERI_TABANI!$B$13-VERI_TABANI!$B$14)) + (VERI_TABANI!D27*C380*(VERI_TABANI!$B$13-VERI_TABANI!$B$15)) + IF(ISNUMBER(SEARCH("Var", D380)), VERI_TABANI!F27*(0.00202-VERI_TABANI!$B$16), IF(ISNUMBER(SEARCH("Gri", D380)), VERI_TABANI!F27*(0.00202-VERI_TABANI!$B$17), 0))) + ((VERI_TABANI!D28*B380*(VERI_TABANI!$B$13-VERI_TABANI!$B$14)) + (VERI_TABANI!D28*C380*(VERI_TABANI!$B$13-VERI_TABANI!$B$15)) + IF(ISNUMBER(SEARCH("Var", D380)), VERI_TABANI!F28*(0.00202-VERI_TABANI!$B$16), IF(ISNUMBER(SEARCH("Gri", D380)), VERI_TABANI!F28*(0.00202-VERI_TABANI!$B$17), 0))))</f>
        <v/>
      </c>
      <c r="I380" s="170">
        <f>IFERROR(((VERI_TABANI!$D$29*B380*VERI_TABANI!$B$14 + VERI_TABANI!$D$29*C380*VERI_TABANI!$B$15 + IF(ISNUMBER(SEARCH("Var", D380)), VERI_TABANI!$F$29*VERI_TABANI!$B$16, 0))) / (((VERI_TABANI!$D$29*B380 + VERI_TABANI!$D$29*C380)*VERI_TABANI!$B$13 + IF(ISNUMBER(SEARCH("Var", D380)), VERI_TABANI!$E$29*(1-0.928)*VERI_TABANI!$B$18, 0))), 0)</f>
        <v/>
      </c>
      <c r="J380" s="171">
        <f>IFERROR(F380/(G380/29), 0)</f>
        <v/>
      </c>
      <c r="K380" s="172">
        <f>IF(F380&gt;0, H380/F380, 0)</f>
        <v/>
      </c>
      <c r="L380" s="170">
        <f>IF(F380&gt;0, I380, 1000000000)</f>
        <v/>
      </c>
      <c r="M380" s="171">
        <f>ABS((B380+C380)-1)</f>
        <v/>
      </c>
      <c r="N380" s="170">
        <f>IF(F380&gt;0, (G380/29)/F380, 0)</f>
        <v/>
      </c>
      <c r="O380" s="168">
        <f>IF(AND((B380+C380)&gt;=1, ISNUMBER(SEARCH("Var", D380))), F380, 1000000000)</f>
        <v/>
      </c>
      <c r="P380" s="172">
        <f>IF(F380&gt;0, SQRT((F380/MAX(F$5:F$886))^2 + (1 - H380/MAX(H$5:H$886))^2 + (J380/MAX(J$5:J$886))^2), 1000000000)</f>
        <v/>
      </c>
      <c r="Q380" s="166">
        <f>IF(AND(ABS(B380-0.5)&lt;0.01, ABS(C380-0.5)&lt;0.01, ISNUMBER(SEARCH("Var", D380))), 1, 0)</f>
        <v/>
      </c>
      <c r="R380" s="171">
        <f>IF(F380&gt;0, J380, 1000000000)</f>
        <v/>
      </c>
      <c r="S380" s="101">
        <f>IF(AND(F380&lt;=DASHBOARD!$B$11, H380&gt;=DASHBOARD!$B$13), G380, -1000000000000)</f>
        <v/>
      </c>
      <c r="T380" s="101">
        <f>IF(AND(F380&lt;=DASHBOARD!$B$11, H380&gt;=DASHBOARD!$B$13), R380, 1000000000000)</f>
        <v/>
      </c>
      <c r="U380" s="101">
        <f>IF(AND(F380&lt;=DASHBOARD!$B$11, H380&gt;=DASHBOARD!$B$13), N380, -1000000000000)</f>
        <v/>
      </c>
      <c r="V380" s="101">
        <f>IF(AND(F380&lt;=DASHBOARD!$B$11, H380&gt;=DASHBOARD!$B$13), H380, -1000000000000)</f>
        <v/>
      </c>
      <c r="W380" s="101">
        <f>IF(AND(F380&lt;=DASHBOARD!$B$11, H380&gt;=DASHBOARD!$B$13), K380, -1000000000000)</f>
        <v/>
      </c>
      <c r="X380" s="101">
        <f>IF(AND(F380&lt;=DASHBOARD!$B$11, H380&gt;=DASHBOARD!$B$13), M380, 1000000000000)</f>
        <v/>
      </c>
      <c r="Y380" s="101">
        <f>IF(AND(F380&lt;=DASHBOARD!$B$10, H380&gt;=DASHBOARD!$B$11), L380, 1000000000000)</f>
        <v/>
      </c>
      <c r="Z380" s="101">
        <f>IF(AND(F380&lt;=DASHBOARD!$B$10, H380&gt;=DASHBOARD!$B$11), O380, 1000000000000)</f>
        <v/>
      </c>
      <c r="AA380" s="101">
        <f>IF(AND(F380&lt;=DASHBOARD!$B$10, H380&gt;=DASHBOARD!$B$11), P380, 1000000000000)</f>
        <v/>
      </c>
      <c r="AB380" s="101">
        <f>IF(AND(F380&lt;=DASHBOARD!$B$10, H380&gt;=DASHBOARD!$B$11), Q380, -1000000000000)</f>
        <v/>
      </c>
    </row>
    <row r="381" ht="15" customHeight="1" s="102">
      <c r="A381" s="166" t="n">
        <v>377</v>
      </c>
      <c r="B381" s="167" t="n">
        <v>0.8</v>
      </c>
      <c r="C381" s="167" t="n">
        <v>2</v>
      </c>
      <c r="D381" s="110" t="inlineStr">
        <is>
          <t>Yok (%0)</t>
        </is>
      </c>
      <c r="E381" s="110">
        <f>IF((B381+C381)&lt;=1, "Tam Mahsuplaşma (≤%100)", "Kısmi Satış (&gt;%100)")</f>
        <v/>
      </c>
      <c r="F381" s="168">
        <f>((VERI_TABANI!$D$29*B381/VERI_TABANI!$B$29)/VERI_TABANI!$B$3)*VERI_TABANI!$B$5 + ((VERI_TABANI!$D$29*C381/VERI_TABANI!$B$29)/VERI_TABANI!$B$4)*VERI_TABANI!$B$6 + IF(ISNUMBER(SEARCH("Var", D381)), (VERI_TABANI!$F$29/VERI_TABANI!$B$29)*(VERI_TABANI!$B$10+VERI_TABANI!$B$12), 0)</f>
        <v/>
      </c>
      <c r="G381" s="168">
        <f>(((MIN(VERI_TABANI!D23, VERI_TABANI!D23*B381)*VERI_TABANI!$B$7 + MAX(0, VERI_TABANI!D23*B381-VERI_TABANI!D23)*VERI_TABANI!$B$8) + (MIN(MAX(0, VERI_TABANI!D23-VERI_TABANI!D23*B381), VERI_TABANI!D23*C381)*VERI_TABANI!$B$7 + MAX(0, VERI_TABANI!D23*C381-MAX(0, VERI_TABANI!D23-VERI_TABANI!D23*B381))*VERI_TABANI!$B$8) + IF(ABS(IF(ISNUMBER(SEARCH("Var", D381)), 1, IF(ISNUMBER(SEARCH("Gri", D381)), -1, 0)))=1, VERI_TABANI!E23*(1-0.928)*VERI_TABANI!$B$9, 0) + (VERI_TABANI!D23*B381*(VERI_TABANI!$B$13-VERI_TABANI!$B$14)*VERI_TABANI!G23) + (VERI_TABANI!D23*C381*(VERI_TABANI!$B$13-VERI_TABANI!$B$15)*VERI_TABANI!G23) + IF(ABS(IF(ISNUMBER(SEARCH("Var", D381)), 1, IF(ISNUMBER(SEARCH("Gri", D381)), -1, 0)))=1, VERI_TABANI!E23*(1-0.928)*0.00206091519919798*VERI_TABANI!G23, 0)) + ((MIN(VERI_TABANI!D24, VERI_TABANI!D24*B381)*VERI_TABANI!$B$7 + MAX(0, VERI_TABANI!D24*B381-VERI_TABANI!D24)*VERI_TABANI!$B$8) + (MIN(MAX(0, VERI_TABANI!D24-VERI_TABANI!D24*B381), VERI_TABANI!D24*C381)*VERI_TABANI!$B$7 + MAX(0, VERI_TABANI!D24*C381-MAX(0, VERI_TABANI!D24-VERI_TABANI!D24*B381))*VERI_TABANI!$B$8) + IF(ABS(IF(ISNUMBER(SEARCH("Var", D381)), 1, IF(ISNUMBER(SEARCH("Gri", D381)), -1, 0)))=1, VERI_TABANI!E24*(1-0.928)*VERI_TABANI!$B$9, 0) + (VERI_TABANI!D24*B381*(VERI_TABANI!$B$13-VERI_TABANI!$B$14)*VERI_TABANI!G24) + (VERI_TABANI!D24*C381*(VERI_TABANI!$B$13-VERI_TABANI!$B$15)*VERI_TABANI!G24) + IF(ABS(IF(ISNUMBER(SEARCH("Var", D381)), 1, IF(ISNUMBER(SEARCH("Gri", D381)), -1, 0)))=1, VERI_TABANI!E24*(1-0.928)*0.00206091519919798*VERI_TABANI!G24, 0)) + ((MIN(VERI_TABANI!D25, VERI_TABANI!D25*B381)*VERI_TABANI!$B$7 + MAX(0, VERI_TABANI!D25*B381-VERI_TABANI!D25)*VERI_TABANI!$B$8) + (MIN(MAX(0, VERI_TABANI!D25-VERI_TABANI!D25*B381), VERI_TABANI!D25*C381)*VERI_TABANI!$B$7 + MAX(0, VERI_TABANI!D25*C381-MAX(0, VERI_TABANI!D25-VERI_TABANI!D25*B381))*VERI_TABANI!$B$8) + IF(ABS(IF(ISNUMBER(SEARCH("Var", D381)), 1, IF(ISNUMBER(SEARCH("Gri", D381)), -1, 0)))=1, VERI_TABANI!E25*(1-0.928)*VERI_TABANI!$B$9, 0) + (VERI_TABANI!D25*B381*(VERI_TABANI!$B$13-VERI_TABANI!$B$14)*VERI_TABANI!G25) + (VERI_TABANI!D25*C381*(VERI_TABANI!$B$13-VERI_TABANI!$B$15)*VERI_TABANI!G25) + IF(ABS(IF(ISNUMBER(SEARCH("Var", D381)), 1, IF(ISNUMBER(SEARCH("Gri", D381)), -1, 0)))=1, VERI_TABANI!E25*(1-0.928)*0.00206091519919798*VERI_TABANI!G25, 0)) + ((MIN(VERI_TABANI!D26, VERI_TABANI!D26*B381)*VERI_TABANI!$B$7 + MAX(0, VERI_TABANI!D26*B381-VERI_TABANI!D26)*VERI_TABANI!$B$8) + (MIN(MAX(0, VERI_TABANI!D26-VERI_TABANI!D26*B381), VERI_TABANI!D26*C381)*VERI_TABANI!$B$7 + MAX(0, VERI_TABANI!D26*C381-MAX(0, VERI_TABANI!D26-VERI_TABANI!D26*B381))*VERI_TABANI!$B$8) + IF(ABS(IF(ISNUMBER(SEARCH("Var", D381)), 1, IF(ISNUMBER(SEARCH("Gri", D381)), -1, 0)))=1, VERI_TABANI!E26*(1-0.928)*VERI_TABANI!$B$9, 0) + (VERI_TABANI!D26*B381*(VERI_TABANI!$B$13-VERI_TABANI!$B$14)*VERI_TABANI!G26) + (VERI_TABANI!D26*C381*(VERI_TABANI!$B$13-VERI_TABANI!$B$15)*VERI_TABANI!G26) + IF(ABS(IF(ISNUMBER(SEARCH("Var", D381)), 1, IF(ISNUMBER(SEARCH("Gri", D381)), -1, 0)))=1, VERI_TABANI!E26*(1-0.928)*0.00206091519919798*VERI_TABANI!G26, 0)) + ((MIN(VERI_TABANI!D27, VERI_TABANI!D27*B381)*VERI_TABANI!$B$7 + MAX(0, VERI_TABANI!D27*B381-VERI_TABANI!D27)*VERI_TABANI!$B$8) + (MIN(MAX(0, VERI_TABANI!D27-VERI_TABANI!D27*B381), VERI_TABANI!D27*C381)*VERI_TABANI!$B$7 + MAX(0, VERI_TABANI!D27*C381-MAX(0, VERI_TABANI!D27-VERI_TABANI!D27*B381))*VERI_TABANI!$B$8) + IF(ABS(IF(ISNUMBER(SEARCH("Var", D381)), 1, IF(ISNUMBER(SEARCH("Gri", D381)), -1, 0)))=1, VERI_TABANI!E27*(1-0.928)*VERI_TABANI!$B$9, 0) + (VERI_TABANI!D27*B381*(VERI_TABANI!$B$13-VERI_TABANI!$B$14)*VERI_TABANI!G27) + (VERI_TABANI!D27*C381*(VERI_TABANI!$B$13-VERI_TABANI!$B$15)*VERI_TABANI!G27) + IF(ABS(IF(ISNUMBER(SEARCH("Var", D381)), 1, IF(ISNUMBER(SEARCH("Gri", D381)), -1, 0)))=1, VERI_TABANI!E27*(1-0.928)*0.00206091519919798*VERI_TABANI!G27, 0)) + ((MIN(VERI_TABANI!D28, VERI_TABANI!D28*B381)*VERI_TABANI!$B$7 + MAX(0, VERI_TABANI!D28*B381-VERI_TABANI!D28)*VERI_TABANI!$B$8) + (MIN(MAX(0, VERI_TABANI!D28-VERI_TABANI!D28*B381), VERI_TABANI!D28*C381)*VERI_TABANI!$B$7 + MAX(0, VERI_TABANI!D28*C381-MAX(0, VERI_TABANI!D28-VERI_TABANI!D28*B381))*VERI_TABANI!$B$8) + IF(ABS(IF(ISNUMBER(SEARCH("Var", D381)), 1, IF(ISNUMBER(SEARCH("Gri", D381)), -1, 0)))=1, VERI_TABANI!E28*(1-0.928)*VERI_TABANI!$B$9, 0) + (VERI_TABANI!D28*B381*(VERI_TABANI!$B$13-VERI_TABANI!$B$14)*VERI_TABANI!G28) + (VERI_TABANI!D28*C381*(VERI_TABANI!$B$13-VERI_TABANI!$B$15)*VERI_TABANI!G28) + IF(ABS(IF(ISNUMBER(SEARCH("Var", D381)), 1, IF(ISNUMBER(SEARCH("Gri", D381)), -1, 0)))=1, VERI_TABANI!E28*(1-0.928)*0.00206091519919798*VERI_TABANI!G28, 0)))</f>
        <v/>
      </c>
      <c r="H381" s="169">
        <f>(((VERI_TABANI!D23*B381*(VERI_TABANI!$B$13-VERI_TABANI!$B$14)) + (VERI_TABANI!D23*C381*(VERI_TABANI!$B$13-VERI_TABANI!$B$15)) + IF(ISNUMBER(SEARCH("Var", D381)), VERI_TABANI!F23*(0.00202-VERI_TABANI!$B$16), IF(ISNUMBER(SEARCH("Gri", D381)), VERI_TABANI!F23*(0.00202-VERI_TABANI!$B$17), 0))) + ((VERI_TABANI!D24*B381*(VERI_TABANI!$B$13-VERI_TABANI!$B$14)) + (VERI_TABANI!D24*C381*(VERI_TABANI!$B$13-VERI_TABANI!$B$15)) + IF(ISNUMBER(SEARCH("Var", D381)), VERI_TABANI!F24*(0.00202-VERI_TABANI!$B$16), IF(ISNUMBER(SEARCH("Gri", D381)), VERI_TABANI!F24*(0.00202-VERI_TABANI!$B$17), 0))) + ((VERI_TABANI!D25*B381*(VERI_TABANI!$B$13-VERI_TABANI!$B$14)) + (VERI_TABANI!D25*C381*(VERI_TABANI!$B$13-VERI_TABANI!$B$15)) + IF(ISNUMBER(SEARCH("Var", D381)), VERI_TABANI!F25*(0.00202-VERI_TABANI!$B$16), IF(ISNUMBER(SEARCH("Gri", D381)), VERI_TABANI!F25*(0.00202-VERI_TABANI!$B$17), 0))) + ((VERI_TABANI!D26*B381*(VERI_TABANI!$B$13-VERI_TABANI!$B$14)) + (VERI_TABANI!D26*C381*(VERI_TABANI!$B$13-VERI_TABANI!$B$15)) + IF(ISNUMBER(SEARCH("Var", D381)), VERI_TABANI!F26*(0.00202-VERI_TABANI!$B$16), IF(ISNUMBER(SEARCH("Gri", D381)), VERI_TABANI!F26*(0.00202-VERI_TABANI!$B$17), 0))) + ((VERI_TABANI!D27*B381*(VERI_TABANI!$B$13-VERI_TABANI!$B$14)) + (VERI_TABANI!D27*C381*(VERI_TABANI!$B$13-VERI_TABANI!$B$15)) + IF(ISNUMBER(SEARCH("Var", D381)), VERI_TABANI!F27*(0.00202-VERI_TABANI!$B$16), IF(ISNUMBER(SEARCH("Gri", D381)), VERI_TABANI!F27*(0.00202-VERI_TABANI!$B$17), 0))) + ((VERI_TABANI!D28*B381*(VERI_TABANI!$B$13-VERI_TABANI!$B$14)) + (VERI_TABANI!D28*C381*(VERI_TABANI!$B$13-VERI_TABANI!$B$15)) + IF(ISNUMBER(SEARCH("Var", D381)), VERI_TABANI!F28*(0.00202-VERI_TABANI!$B$16), IF(ISNUMBER(SEARCH("Gri", D381)), VERI_TABANI!F28*(0.00202-VERI_TABANI!$B$17), 0))))</f>
        <v/>
      </c>
      <c r="I381" s="170">
        <f>IFERROR(((VERI_TABANI!$D$29*B381*VERI_TABANI!$B$14 + VERI_TABANI!$D$29*C381*VERI_TABANI!$B$15 + IF(ISNUMBER(SEARCH("Var", D381)), VERI_TABANI!$F$29*VERI_TABANI!$B$16, 0))) / (((VERI_TABANI!$D$29*B381 + VERI_TABANI!$D$29*C381)*VERI_TABANI!$B$13 + IF(ISNUMBER(SEARCH("Var", D381)), VERI_TABANI!$E$29*(1-0.928)*VERI_TABANI!$B$18, 0))), 0)</f>
        <v/>
      </c>
      <c r="J381" s="171">
        <f>IFERROR(F381/(G381/29), 0)</f>
        <v/>
      </c>
      <c r="K381" s="172">
        <f>IF(F381&gt;0, H381/F381, 0)</f>
        <v/>
      </c>
      <c r="L381" s="170">
        <f>IF(F381&gt;0, I381, 1000000000)</f>
        <v/>
      </c>
      <c r="M381" s="171">
        <f>ABS((B381+C381)-1)</f>
        <v/>
      </c>
      <c r="N381" s="170">
        <f>IF(F381&gt;0, (G381/29)/F381, 0)</f>
        <v/>
      </c>
      <c r="O381" s="168">
        <f>IF(AND((B381+C381)&gt;=1, ISNUMBER(SEARCH("Var", D381))), F381, 1000000000)</f>
        <v/>
      </c>
      <c r="P381" s="172">
        <f>IF(F381&gt;0, SQRT((F381/MAX(F$5:F$886))^2 + (1 - H381/MAX(H$5:H$886))^2 + (J381/MAX(J$5:J$886))^2), 1000000000)</f>
        <v/>
      </c>
      <c r="Q381" s="166">
        <f>IF(AND(ABS(B381-0.5)&lt;0.01, ABS(C381-0.5)&lt;0.01, ISNUMBER(SEARCH("Var", D381))), 1, 0)</f>
        <v/>
      </c>
      <c r="R381" s="171">
        <f>IF(F381&gt;0, J381, 1000000000)</f>
        <v/>
      </c>
      <c r="S381" s="101">
        <f>IF(AND(F381&lt;=DASHBOARD!$B$11, H381&gt;=DASHBOARD!$B$13), G381, -1000000000000)</f>
        <v/>
      </c>
      <c r="T381" s="101">
        <f>IF(AND(F381&lt;=DASHBOARD!$B$11, H381&gt;=DASHBOARD!$B$13), R381, 1000000000000)</f>
        <v/>
      </c>
      <c r="U381" s="101">
        <f>IF(AND(F381&lt;=DASHBOARD!$B$11, H381&gt;=DASHBOARD!$B$13), N381, -1000000000000)</f>
        <v/>
      </c>
      <c r="V381" s="101">
        <f>IF(AND(F381&lt;=DASHBOARD!$B$11, H381&gt;=DASHBOARD!$B$13), H381, -1000000000000)</f>
        <v/>
      </c>
      <c r="W381" s="101">
        <f>IF(AND(F381&lt;=DASHBOARD!$B$11, H381&gt;=DASHBOARD!$B$13), K381, -1000000000000)</f>
        <v/>
      </c>
      <c r="X381" s="101">
        <f>IF(AND(F381&lt;=DASHBOARD!$B$11, H381&gt;=DASHBOARD!$B$13), M381, 1000000000000)</f>
        <v/>
      </c>
      <c r="Y381" s="101">
        <f>IF(AND(F381&lt;=DASHBOARD!$B$10, H381&gt;=DASHBOARD!$B$11), L381, 1000000000000)</f>
        <v/>
      </c>
      <c r="Z381" s="101">
        <f>IF(AND(F381&lt;=DASHBOARD!$B$10, H381&gt;=DASHBOARD!$B$11), O381, 1000000000000)</f>
        <v/>
      </c>
      <c r="AA381" s="101">
        <f>IF(AND(F381&lt;=DASHBOARD!$B$10, H381&gt;=DASHBOARD!$B$11), P381, 1000000000000)</f>
        <v/>
      </c>
      <c r="AB381" s="101">
        <f>IF(AND(F381&lt;=DASHBOARD!$B$10, H381&gt;=DASHBOARD!$B$11), Q381, -1000000000000)</f>
        <v/>
      </c>
    </row>
    <row r="382" ht="15" customHeight="1" s="102">
      <c r="A382" s="166" t="n">
        <v>378</v>
      </c>
      <c r="B382" s="167" t="n">
        <v>0.8</v>
      </c>
      <c r="C382" s="167" t="n">
        <v>2</v>
      </c>
      <c r="D382" s="110" t="inlineStr">
        <is>
          <t>Var (%20)</t>
        </is>
      </c>
      <c r="E382" s="110">
        <f>IF((B382+C382)&lt;=1, "Tam Mahsuplaşma (≤%100)", "Kısmi Satış (&gt;%100)")</f>
        <v/>
      </c>
      <c r="F382" s="168">
        <f>((VERI_TABANI!$D$29*B382/VERI_TABANI!$B$29)/VERI_TABANI!$B$3)*VERI_TABANI!$B$5 + ((VERI_TABANI!$D$29*C382/VERI_TABANI!$B$29)/VERI_TABANI!$B$4)*VERI_TABANI!$B$6 + IF(ISNUMBER(SEARCH("Var", D382)), (VERI_TABANI!$F$29/VERI_TABANI!$B$29)*(VERI_TABANI!$B$10+VERI_TABANI!$B$12), 0)</f>
        <v/>
      </c>
      <c r="G382" s="168">
        <f>(((MIN(VERI_TABANI!D23, VERI_TABANI!D23*B382)*VERI_TABANI!$B$7 + MAX(0, VERI_TABANI!D23*B382-VERI_TABANI!D23)*VERI_TABANI!$B$8) + (MIN(MAX(0, VERI_TABANI!D23-VERI_TABANI!D23*B382), VERI_TABANI!D23*C382)*VERI_TABANI!$B$7 + MAX(0, VERI_TABANI!D23*C382-MAX(0, VERI_TABANI!D23-VERI_TABANI!D23*B382))*VERI_TABANI!$B$8) + IF(ABS(IF(ISNUMBER(SEARCH("Var", D382)), 1, IF(ISNUMBER(SEARCH("Gri", D382)), -1, 0)))=1, VERI_TABANI!E23*(1-0.928)*VERI_TABANI!$B$9, 0) + (VERI_TABANI!D23*B382*(VERI_TABANI!$B$13-VERI_TABANI!$B$14)*VERI_TABANI!G23) + (VERI_TABANI!D23*C382*(VERI_TABANI!$B$13-VERI_TABANI!$B$15)*VERI_TABANI!G23) + IF(ABS(IF(ISNUMBER(SEARCH("Var", D382)), 1, IF(ISNUMBER(SEARCH("Gri", D382)), -1, 0)))=1, VERI_TABANI!E23*(1-0.928)*0.00206091519919798*VERI_TABANI!G23, 0)) + ((MIN(VERI_TABANI!D24, VERI_TABANI!D24*B382)*VERI_TABANI!$B$7 + MAX(0, VERI_TABANI!D24*B382-VERI_TABANI!D24)*VERI_TABANI!$B$8) + (MIN(MAX(0, VERI_TABANI!D24-VERI_TABANI!D24*B382), VERI_TABANI!D24*C382)*VERI_TABANI!$B$7 + MAX(0, VERI_TABANI!D24*C382-MAX(0, VERI_TABANI!D24-VERI_TABANI!D24*B382))*VERI_TABANI!$B$8) + IF(ABS(IF(ISNUMBER(SEARCH("Var", D382)), 1, IF(ISNUMBER(SEARCH("Gri", D382)), -1, 0)))=1, VERI_TABANI!E24*(1-0.928)*VERI_TABANI!$B$9, 0) + (VERI_TABANI!D24*B382*(VERI_TABANI!$B$13-VERI_TABANI!$B$14)*VERI_TABANI!G24) + (VERI_TABANI!D24*C382*(VERI_TABANI!$B$13-VERI_TABANI!$B$15)*VERI_TABANI!G24) + IF(ABS(IF(ISNUMBER(SEARCH("Var", D382)), 1, IF(ISNUMBER(SEARCH("Gri", D382)), -1, 0)))=1, VERI_TABANI!E24*(1-0.928)*0.00206091519919798*VERI_TABANI!G24, 0)) + ((MIN(VERI_TABANI!D25, VERI_TABANI!D25*B382)*VERI_TABANI!$B$7 + MAX(0, VERI_TABANI!D25*B382-VERI_TABANI!D25)*VERI_TABANI!$B$8) + (MIN(MAX(0, VERI_TABANI!D25-VERI_TABANI!D25*B382), VERI_TABANI!D25*C382)*VERI_TABANI!$B$7 + MAX(0, VERI_TABANI!D25*C382-MAX(0, VERI_TABANI!D25-VERI_TABANI!D25*B382))*VERI_TABANI!$B$8) + IF(ABS(IF(ISNUMBER(SEARCH("Var", D382)), 1, IF(ISNUMBER(SEARCH("Gri", D382)), -1, 0)))=1, VERI_TABANI!E25*(1-0.928)*VERI_TABANI!$B$9, 0) + (VERI_TABANI!D25*B382*(VERI_TABANI!$B$13-VERI_TABANI!$B$14)*VERI_TABANI!G25) + (VERI_TABANI!D25*C382*(VERI_TABANI!$B$13-VERI_TABANI!$B$15)*VERI_TABANI!G25) + IF(ABS(IF(ISNUMBER(SEARCH("Var", D382)), 1, IF(ISNUMBER(SEARCH("Gri", D382)), -1, 0)))=1, VERI_TABANI!E25*(1-0.928)*0.00206091519919798*VERI_TABANI!G25, 0)) + ((MIN(VERI_TABANI!D26, VERI_TABANI!D26*B382)*VERI_TABANI!$B$7 + MAX(0, VERI_TABANI!D26*B382-VERI_TABANI!D26)*VERI_TABANI!$B$8) + (MIN(MAX(0, VERI_TABANI!D26-VERI_TABANI!D26*B382), VERI_TABANI!D26*C382)*VERI_TABANI!$B$7 + MAX(0, VERI_TABANI!D26*C382-MAX(0, VERI_TABANI!D26-VERI_TABANI!D26*B382))*VERI_TABANI!$B$8) + IF(ABS(IF(ISNUMBER(SEARCH("Var", D382)), 1, IF(ISNUMBER(SEARCH("Gri", D382)), -1, 0)))=1, VERI_TABANI!E26*(1-0.928)*VERI_TABANI!$B$9, 0) + (VERI_TABANI!D26*B382*(VERI_TABANI!$B$13-VERI_TABANI!$B$14)*VERI_TABANI!G26) + (VERI_TABANI!D26*C382*(VERI_TABANI!$B$13-VERI_TABANI!$B$15)*VERI_TABANI!G26) + IF(ABS(IF(ISNUMBER(SEARCH("Var", D382)), 1, IF(ISNUMBER(SEARCH("Gri", D382)), -1, 0)))=1, VERI_TABANI!E26*(1-0.928)*0.00206091519919798*VERI_TABANI!G26, 0)) + ((MIN(VERI_TABANI!D27, VERI_TABANI!D27*B382)*VERI_TABANI!$B$7 + MAX(0, VERI_TABANI!D27*B382-VERI_TABANI!D27)*VERI_TABANI!$B$8) + (MIN(MAX(0, VERI_TABANI!D27-VERI_TABANI!D27*B382), VERI_TABANI!D27*C382)*VERI_TABANI!$B$7 + MAX(0, VERI_TABANI!D27*C382-MAX(0, VERI_TABANI!D27-VERI_TABANI!D27*B382))*VERI_TABANI!$B$8) + IF(ABS(IF(ISNUMBER(SEARCH("Var", D382)), 1, IF(ISNUMBER(SEARCH("Gri", D382)), -1, 0)))=1, VERI_TABANI!E27*(1-0.928)*VERI_TABANI!$B$9, 0) + (VERI_TABANI!D27*B382*(VERI_TABANI!$B$13-VERI_TABANI!$B$14)*VERI_TABANI!G27) + (VERI_TABANI!D27*C382*(VERI_TABANI!$B$13-VERI_TABANI!$B$15)*VERI_TABANI!G27) + IF(ABS(IF(ISNUMBER(SEARCH("Var", D382)), 1, IF(ISNUMBER(SEARCH("Gri", D382)), -1, 0)))=1, VERI_TABANI!E27*(1-0.928)*0.00206091519919798*VERI_TABANI!G27, 0)) + ((MIN(VERI_TABANI!D28, VERI_TABANI!D28*B382)*VERI_TABANI!$B$7 + MAX(0, VERI_TABANI!D28*B382-VERI_TABANI!D28)*VERI_TABANI!$B$8) + (MIN(MAX(0, VERI_TABANI!D28-VERI_TABANI!D28*B382), VERI_TABANI!D28*C382)*VERI_TABANI!$B$7 + MAX(0, VERI_TABANI!D28*C382-MAX(0, VERI_TABANI!D28-VERI_TABANI!D28*B382))*VERI_TABANI!$B$8) + IF(ABS(IF(ISNUMBER(SEARCH("Var", D382)), 1, IF(ISNUMBER(SEARCH("Gri", D382)), -1, 0)))=1, VERI_TABANI!E28*(1-0.928)*VERI_TABANI!$B$9, 0) + (VERI_TABANI!D28*B382*(VERI_TABANI!$B$13-VERI_TABANI!$B$14)*VERI_TABANI!G28) + (VERI_TABANI!D28*C382*(VERI_TABANI!$B$13-VERI_TABANI!$B$15)*VERI_TABANI!G28) + IF(ABS(IF(ISNUMBER(SEARCH("Var", D382)), 1, IF(ISNUMBER(SEARCH("Gri", D382)), -1, 0)))=1, VERI_TABANI!E28*(1-0.928)*0.00206091519919798*VERI_TABANI!G28, 0)))</f>
        <v/>
      </c>
      <c r="H382" s="169">
        <f>(((VERI_TABANI!D23*B382*(VERI_TABANI!$B$13-VERI_TABANI!$B$14)) + (VERI_TABANI!D23*C382*(VERI_TABANI!$B$13-VERI_TABANI!$B$15)) + IF(ISNUMBER(SEARCH("Var", D382)), VERI_TABANI!F23*(0.00202-VERI_TABANI!$B$16), IF(ISNUMBER(SEARCH("Gri", D382)), VERI_TABANI!F23*(0.00202-VERI_TABANI!$B$17), 0))) + ((VERI_TABANI!D24*B382*(VERI_TABANI!$B$13-VERI_TABANI!$B$14)) + (VERI_TABANI!D24*C382*(VERI_TABANI!$B$13-VERI_TABANI!$B$15)) + IF(ISNUMBER(SEARCH("Var", D382)), VERI_TABANI!F24*(0.00202-VERI_TABANI!$B$16), IF(ISNUMBER(SEARCH("Gri", D382)), VERI_TABANI!F24*(0.00202-VERI_TABANI!$B$17), 0))) + ((VERI_TABANI!D25*B382*(VERI_TABANI!$B$13-VERI_TABANI!$B$14)) + (VERI_TABANI!D25*C382*(VERI_TABANI!$B$13-VERI_TABANI!$B$15)) + IF(ISNUMBER(SEARCH("Var", D382)), VERI_TABANI!F25*(0.00202-VERI_TABANI!$B$16), IF(ISNUMBER(SEARCH("Gri", D382)), VERI_TABANI!F25*(0.00202-VERI_TABANI!$B$17), 0))) + ((VERI_TABANI!D26*B382*(VERI_TABANI!$B$13-VERI_TABANI!$B$14)) + (VERI_TABANI!D26*C382*(VERI_TABANI!$B$13-VERI_TABANI!$B$15)) + IF(ISNUMBER(SEARCH("Var", D382)), VERI_TABANI!F26*(0.00202-VERI_TABANI!$B$16), IF(ISNUMBER(SEARCH("Gri", D382)), VERI_TABANI!F26*(0.00202-VERI_TABANI!$B$17), 0))) + ((VERI_TABANI!D27*B382*(VERI_TABANI!$B$13-VERI_TABANI!$B$14)) + (VERI_TABANI!D27*C382*(VERI_TABANI!$B$13-VERI_TABANI!$B$15)) + IF(ISNUMBER(SEARCH("Var", D382)), VERI_TABANI!F27*(0.00202-VERI_TABANI!$B$16), IF(ISNUMBER(SEARCH("Gri", D382)), VERI_TABANI!F27*(0.00202-VERI_TABANI!$B$17), 0))) + ((VERI_TABANI!D28*B382*(VERI_TABANI!$B$13-VERI_TABANI!$B$14)) + (VERI_TABANI!D28*C382*(VERI_TABANI!$B$13-VERI_TABANI!$B$15)) + IF(ISNUMBER(SEARCH("Var", D382)), VERI_TABANI!F28*(0.00202-VERI_TABANI!$B$16), IF(ISNUMBER(SEARCH("Gri", D382)), VERI_TABANI!F28*(0.00202-VERI_TABANI!$B$17), 0))))</f>
        <v/>
      </c>
      <c r="I382" s="170">
        <f>IFERROR(((VERI_TABANI!$D$29*B382*VERI_TABANI!$B$14 + VERI_TABANI!$D$29*C382*VERI_TABANI!$B$15 + IF(ISNUMBER(SEARCH("Var", D382)), VERI_TABANI!$F$29*VERI_TABANI!$B$16, 0))) / (((VERI_TABANI!$D$29*B382 + VERI_TABANI!$D$29*C382)*VERI_TABANI!$B$13 + IF(ISNUMBER(SEARCH("Var", D382)), VERI_TABANI!$E$29*(1-0.928)*VERI_TABANI!$B$18, 0))), 0)</f>
        <v/>
      </c>
      <c r="J382" s="171">
        <f>IFERROR(F382/(G382/29), 0)</f>
        <v/>
      </c>
      <c r="K382" s="172">
        <f>IF(F382&gt;0, H382/F382, 0)</f>
        <v/>
      </c>
      <c r="L382" s="170">
        <f>IF(F382&gt;0, I382, 1000000000)</f>
        <v/>
      </c>
      <c r="M382" s="171">
        <f>ABS((B382+C382)-1)</f>
        <v/>
      </c>
      <c r="N382" s="170">
        <f>IF(F382&gt;0, (G382/29)/F382, 0)</f>
        <v/>
      </c>
      <c r="O382" s="168">
        <f>IF(AND((B382+C382)&gt;=1, ISNUMBER(SEARCH("Var", D382))), F382, 1000000000)</f>
        <v/>
      </c>
      <c r="P382" s="172">
        <f>IF(F382&gt;0, SQRT((F382/MAX(F$5:F$886))^2 + (1 - H382/MAX(H$5:H$886))^2 + (J382/MAX(J$5:J$886))^2), 1000000000)</f>
        <v/>
      </c>
      <c r="Q382" s="166">
        <f>IF(AND(ABS(B382-0.5)&lt;0.01, ABS(C382-0.5)&lt;0.01, ISNUMBER(SEARCH("Var", D382))), 1, 0)</f>
        <v/>
      </c>
      <c r="R382" s="171">
        <f>IF(F382&gt;0, J382, 1000000000)</f>
        <v/>
      </c>
      <c r="S382" s="101">
        <f>IF(AND(F382&lt;=DASHBOARD!$B$11, H382&gt;=DASHBOARD!$B$13), G382, -1000000000000)</f>
        <v/>
      </c>
      <c r="T382" s="101">
        <f>IF(AND(F382&lt;=DASHBOARD!$B$11, H382&gt;=DASHBOARD!$B$13), R382, 1000000000000)</f>
        <v/>
      </c>
      <c r="U382" s="101">
        <f>IF(AND(F382&lt;=DASHBOARD!$B$11, H382&gt;=DASHBOARD!$B$13), N382, -1000000000000)</f>
        <v/>
      </c>
      <c r="V382" s="101">
        <f>IF(AND(F382&lt;=DASHBOARD!$B$11, H382&gt;=DASHBOARD!$B$13), H382, -1000000000000)</f>
        <v/>
      </c>
      <c r="W382" s="101">
        <f>IF(AND(F382&lt;=DASHBOARD!$B$11, H382&gt;=DASHBOARD!$B$13), K382, -1000000000000)</f>
        <v/>
      </c>
      <c r="X382" s="101">
        <f>IF(AND(F382&lt;=DASHBOARD!$B$11, H382&gt;=DASHBOARD!$B$13), M382, 1000000000000)</f>
        <v/>
      </c>
      <c r="Y382" s="101">
        <f>IF(AND(F382&lt;=DASHBOARD!$B$10, H382&gt;=DASHBOARD!$B$11), L382, 1000000000000)</f>
        <v/>
      </c>
      <c r="Z382" s="101">
        <f>IF(AND(F382&lt;=DASHBOARD!$B$10, H382&gt;=DASHBOARD!$B$11), O382, 1000000000000)</f>
        <v/>
      </c>
      <c r="AA382" s="101">
        <f>IF(AND(F382&lt;=DASHBOARD!$B$10, H382&gt;=DASHBOARD!$B$11), P382, 1000000000000)</f>
        <v/>
      </c>
      <c r="AB382" s="101">
        <f>IF(AND(F382&lt;=DASHBOARD!$B$10, H382&gt;=DASHBOARD!$B$11), Q382, -1000000000000)</f>
        <v/>
      </c>
    </row>
    <row r="383" ht="15" customHeight="1" s="102">
      <c r="A383" s="166" t="n">
        <v>379</v>
      </c>
      <c r="B383" s="167" t="n">
        <v>0.9</v>
      </c>
      <c r="C383" s="167" t="n">
        <v>0</v>
      </c>
      <c r="D383" s="110" t="inlineStr">
        <is>
          <t>Yok (%0)</t>
        </is>
      </c>
      <c r="E383" s="110">
        <f>IF((B383+C383)&lt;=1, "Tam Mahsuplaşma (≤%100)", "Kısmi Satış (&gt;%100)")</f>
        <v/>
      </c>
      <c r="F383" s="168">
        <f>((VERI_TABANI!$D$29*B383/VERI_TABANI!$B$29)/VERI_TABANI!$B$3)*VERI_TABANI!$B$5 + ((VERI_TABANI!$D$29*C383/VERI_TABANI!$B$29)/VERI_TABANI!$B$4)*VERI_TABANI!$B$6 + IF(ISNUMBER(SEARCH("Var", D383)), (VERI_TABANI!$F$29/VERI_TABANI!$B$29)*(VERI_TABANI!$B$10+VERI_TABANI!$B$12), 0)</f>
        <v/>
      </c>
      <c r="G383" s="168">
        <f>(((MIN(VERI_TABANI!D23, VERI_TABANI!D23*B383)*VERI_TABANI!$B$7 + MAX(0, VERI_TABANI!D23*B383-VERI_TABANI!D23)*VERI_TABANI!$B$8) + (MIN(MAX(0, VERI_TABANI!D23-VERI_TABANI!D23*B383), VERI_TABANI!D23*C383)*VERI_TABANI!$B$7 + MAX(0, VERI_TABANI!D23*C383-MAX(0, VERI_TABANI!D23-VERI_TABANI!D23*B383))*VERI_TABANI!$B$8) + IF(ABS(IF(ISNUMBER(SEARCH("Var", D383)), 1, IF(ISNUMBER(SEARCH("Gri", D383)), -1, 0)))=1, VERI_TABANI!E23*(1-0.928)*VERI_TABANI!$B$9, 0) + (VERI_TABANI!D23*B383*(VERI_TABANI!$B$13-VERI_TABANI!$B$14)*VERI_TABANI!G23) + (VERI_TABANI!D23*C383*(VERI_TABANI!$B$13-VERI_TABANI!$B$15)*VERI_TABANI!G23) + IF(ABS(IF(ISNUMBER(SEARCH("Var", D383)), 1, IF(ISNUMBER(SEARCH("Gri", D383)), -1, 0)))=1, VERI_TABANI!E23*(1-0.928)*0.00206091519919798*VERI_TABANI!G23, 0)) + ((MIN(VERI_TABANI!D24, VERI_TABANI!D24*B383)*VERI_TABANI!$B$7 + MAX(0, VERI_TABANI!D24*B383-VERI_TABANI!D24)*VERI_TABANI!$B$8) + (MIN(MAX(0, VERI_TABANI!D24-VERI_TABANI!D24*B383), VERI_TABANI!D24*C383)*VERI_TABANI!$B$7 + MAX(0, VERI_TABANI!D24*C383-MAX(0, VERI_TABANI!D24-VERI_TABANI!D24*B383))*VERI_TABANI!$B$8) + IF(ABS(IF(ISNUMBER(SEARCH("Var", D383)), 1, IF(ISNUMBER(SEARCH("Gri", D383)), -1, 0)))=1, VERI_TABANI!E24*(1-0.928)*VERI_TABANI!$B$9, 0) + (VERI_TABANI!D24*B383*(VERI_TABANI!$B$13-VERI_TABANI!$B$14)*VERI_TABANI!G24) + (VERI_TABANI!D24*C383*(VERI_TABANI!$B$13-VERI_TABANI!$B$15)*VERI_TABANI!G24) + IF(ABS(IF(ISNUMBER(SEARCH("Var", D383)), 1, IF(ISNUMBER(SEARCH("Gri", D383)), -1, 0)))=1, VERI_TABANI!E24*(1-0.928)*0.00206091519919798*VERI_TABANI!G24, 0)) + ((MIN(VERI_TABANI!D25, VERI_TABANI!D25*B383)*VERI_TABANI!$B$7 + MAX(0, VERI_TABANI!D25*B383-VERI_TABANI!D25)*VERI_TABANI!$B$8) + (MIN(MAX(0, VERI_TABANI!D25-VERI_TABANI!D25*B383), VERI_TABANI!D25*C383)*VERI_TABANI!$B$7 + MAX(0, VERI_TABANI!D25*C383-MAX(0, VERI_TABANI!D25-VERI_TABANI!D25*B383))*VERI_TABANI!$B$8) + IF(ABS(IF(ISNUMBER(SEARCH("Var", D383)), 1, IF(ISNUMBER(SEARCH("Gri", D383)), -1, 0)))=1, VERI_TABANI!E25*(1-0.928)*VERI_TABANI!$B$9, 0) + (VERI_TABANI!D25*B383*(VERI_TABANI!$B$13-VERI_TABANI!$B$14)*VERI_TABANI!G25) + (VERI_TABANI!D25*C383*(VERI_TABANI!$B$13-VERI_TABANI!$B$15)*VERI_TABANI!G25) + IF(ABS(IF(ISNUMBER(SEARCH("Var", D383)), 1, IF(ISNUMBER(SEARCH("Gri", D383)), -1, 0)))=1, VERI_TABANI!E25*(1-0.928)*0.00206091519919798*VERI_TABANI!G25, 0)) + ((MIN(VERI_TABANI!D26, VERI_TABANI!D26*B383)*VERI_TABANI!$B$7 + MAX(0, VERI_TABANI!D26*B383-VERI_TABANI!D26)*VERI_TABANI!$B$8) + (MIN(MAX(0, VERI_TABANI!D26-VERI_TABANI!D26*B383), VERI_TABANI!D26*C383)*VERI_TABANI!$B$7 + MAX(0, VERI_TABANI!D26*C383-MAX(0, VERI_TABANI!D26-VERI_TABANI!D26*B383))*VERI_TABANI!$B$8) + IF(ABS(IF(ISNUMBER(SEARCH("Var", D383)), 1, IF(ISNUMBER(SEARCH("Gri", D383)), -1, 0)))=1, VERI_TABANI!E26*(1-0.928)*VERI_TABANI!$B$9, 0) + (VERI_TABANI!D26*B383*(VERI_TABANI!$B$13-VERI_TABANI!$B$14)*VERI_TABANI!G26) + (VERI_TABANI!D26*C383*(VERI_TABANI!$B$13-VERI_TABANI!$B$15)*VERI_TABANI!G26) + IF(ABS(IF(ISNUMBER(SEARCH("Var", D383)), 1, IF(ISNUMBER(SEARCH("Gri", D383)), -1, 0)))=1, VERI_TABANI!E26*(1-0.928)*0.00206091519919798*VERI_TABANI!G26, 0)) + ((MIN(VERI_TABANI!D27, VERI_TABANI!D27*B383)*VERI_TABANI!$B$7 + MAX(0, VERI_TABANI!D27*B383-VERI_TABANI!D27)*VERI_TABANI!$B$8) + (MIN(MAX(0, VERI_TABANI!D27-VERI_TABANI!D27*B383), VERI_TABANI!D27*C383)*VERI_TABANI!$B$7 + MAX(0, VERI_TABANI!D27*C383-MAX(0, VERI_TABANI!D27-VERI_TABANI!D27*B383))*VERI_TABANI!$B$8) + IF(ABS(IF(ISNUMBER(SEARCH("Var", D383)), 1, IF(ISNUMBER(SEARCH("Gri", D383)), -1, 0)))=1, VERI_TABANI!E27*(1-0.928)*VERI_TABANI!$B$9, 0) + (VERI_TABANI!D27*B383*(VERI_TABANI!$B$13-VERI_TABANI!$B$14)*VERI_TABANI!G27) + (VERI_TABANI!D27*C383*(VERI_TABANI!$B$13-VERI_TABANI!$B$15)*VERI_TABANI!G27) + IF(ABS(IF(ISNUMBER(SEARCH("Var", D383)), 1, IF(ISNUMBER(SEARCH("Gri", D383)), -1, 0)))=1, VERI_TABANI!E27*(1-0.928)*0.00206091519919798*VERI_TABANI!G27, 0)) + ((MIN(VERI_TABANI!D28, VERI_TABANI!D28*B383)*VERI_TABANI!$B$7 + MAX(0, VERI_TABANI!D28*B383-VERI_TABANI!D28)*VERI_TABANI!$B$8) + (MIN(MAX(0, VERI_TABANI!D28-VERI_TABANI!D28*B383), VERI_TABANI!D28*C383)*VERI_TABANI!$B$7 + MAX(0, VERI_TABANI!D28*C383-MAX(0, VERI_TABANI!D28-VERI_TABANI!D28*B383))*VERI_TABANI!$B$8) + IF(ABS(IF(ISNUMBER(SEARCH("Var", D383)), 1, IF(ISNUMBER(SEARCH("Gri", D383)), -1, 0)))=1, VERI_TABANI!E28*(1-0.928)*VERI_TABANI!$B$9, 0) + (VERI_TABANI!D28*B383*(VERI_TABANI!$B$13-VERI_TABANI!$B$14)*VERI_TABANI!G28) + (VERI_TABANI!D28*C383*(VERI_TABANI!$B$13-VERI_TABANI!$B$15)*VERI_TABANI!G28) + IF(ABS(IF(ISNUMBER(SEARCH("Var", D383)), 1, IF(ISNUMBER(SEARCH("Gri", D383)), -1, 0)))=1, VERI_TABANI!E28*(1-0.928)*0.00206091519919798*VERI_TABANI!G28, 0)))</f>
        <v/>
      </c>
      <c r="H383" s="169">
        <f>(((VERI_TABANI!D23*B383*(VERI_TABANI!$B$13-VERI_TABANI!$B$14)) + (VERI_TABANI!D23*C383*(VERI_TABANI!$B$13-VERI_TABANI!$B$15)) + IF(ISNUMBER(SEARCH("Var", D383)), VERI_TABANI!F23*(0.00202-VERI_TABANI!$B$16), IF(ISNUMBER(SEARCH("Gri", D383)), VERI_TABANI!F23*(0.00202-VERI_TABANI!$B$17), 0))) + ((VERI_TABANI!D24*B383*(VERI_TABANI!$B$13-VERI_TABANI!$B$14)) + (VERI_TABANI!D24*C383*(VERI_TABANI!$B$13-VERI_TABANI!$B$15)) + IF(ISNUMBER(SEARCH("Var", D383)), VERI_TABANI!F24*(0.00202-VERI_TABANI!$B$16), IF(ISNUMBER(SEARCH("Gri", D383)), VERI_TABANI!F24*(0.00202-VERI_TABANI!$B$17), 0))) + ((VERI_TABANI!D25*B383*(VERI_TABANI!$B$13-VERI_TABANI!$B$14)) + (VERI_TABANI!D25*C383*(VERI_TABANI!$B$13-VERI_TABANI!$B$15)) + IF(ISNUMBER(SEARCH("Var", D383)), VERI_TABANI!F25*(0.00202-VERI_TABANI!$B$16), IF(ISNUMBER(SEARCH("Gri", D383)), VERI_TABANI!F25*(0.00202-VERI_TABANI!$B$17), 0))) + ((VERI_TABANI!D26*B383*(VERI_TABANI!$B$13-VERI_TABANI!$B$14)) + (VERI_TABANI!D26*C383*(VERI_TABANI!$B$13-VERI_TABANI!$B$15)) + IF(ISNUMBER(SEARCH("Var", D383)), VERI_TABANI!F26*(0.00202-VERI_TABANI!$B$16), IF(ISNUMBER(SEARCH("Gri", D383)), VERI_TABANI!F26*(0.00202-VERI_TABANI!$B$17), 0))) + ((VERI_TABANI!D27*B383*(VERI_TABANI!$B$13-VERI_TABANI!$B$14)) + (VERI_TABANI!D27*C383*(VERI_TABANI!$B$13-VERI_TABANI!$B$15)) + IF(ISNUMBER(SEARCH("Var", D383)), VERI_TABANI!F27*(0.00202-VERI_TABANI!$B$16), IF(ISNUMBER(SEARCH("Gri", D383)), VERI_TABANI!F27*(0.00202-VERI_TABANI!$B$17), 0))) + ((VERI_TABANI!D28*B383*(VERI_TABANI!$B$13-VERI_TABANI!$B$14)) + (VERI_TABANI!D28*C383*(VERI_TABANI!$B$13-VERI_TABANI!$B$15)) + IF(ISNUMBER(SEARCH("Var", D383)), VERI_TABANI!F28*(0.00202-VERI_TABANI!$B$16), IF(ISNUMBER(SEARCH("Gri", D383)), VERI_TABANI!F28*(0.00202-VERI_TABANI!$B$17), 0))))</f>
        <v/>
      </c>
      <c r="I383" s="170">
        <f>IFERROR(((VERI_TABANI!$D$29*B383*VERI_TABANI!$B$14 + VERI_TABANI!$D$29*C383*VERI_TABANI!$B$15 + IF(ISNUMBER(SEARCH("Var", D383)), VERI_TABANI!$F$29*VERI_TABANI!$B$16, 0))) / (((VERI_TABANI!$D$29*B383 + VERI_TABANI!$D$29*C383)*VERI_TABANI!$B$13 + IF(ISNUMBER(SEARCH("Var", D383)), VERI_TABANI!$E$29*(1-0.928)*VERI_TABANI!$B$18, 0))), 0)</f>
        <v/>
      </c>
      <c r="J383" s="171">
        <f>IFERROR(F383/(G383/29), 0)</f>
        <v/>
      </c>
      <c r="K383" s="172">
        <f>IF(F383&gt;0, H383/F383, 0)</f>
        <v/>
      </c>
      <c r="L383" s="170">
        <f>IF(F383&gt;0, I383, 1000000000)</f>
        <v/>
      </c>
      <c r="M383" s="171">
        <f>ABS((B383+C383)-1)</f>
        <v/>
      </c>
      <c r="N383" s="170">
        <f>IF(F383&gt;0, (G383/29)/F383, 0)</f>
        <v/>
      </c>
      <c r="O383" s="168">
        <f>IF(AND((B383+C383)&gt;=1, ISNUMBER(SEARCH("Var", D383))), F383, 1000000000)</f>
        <v/>
      </c>
      <c r="P383" s="172">
        <f>IF(F383&gt;0, SQRT((F383/MAX(F$5:F$886))^2 + (1 - H383/MAX(H$5:H$886))^2 + (J383/MAX(J$5:J$886))^2), 1000000000)</f>
        <v/>
      </c>
      <c r="Q383" s="166">
        <f>IF(AND(ABS(B383-0.5)&lt;0.01, ABS(C383-0.5)&lt;0.01, ISNUMBER(SEARCH("Var", D383))), 1, 0)</f>
        <v/>
      </c>
      <c r="R383" s="171">
        <f>IF(F383&gt;0, J383, 1000000000)</f>
        <v/>
      </c>
      <c r="S383" s="101">
        <f>IF(AND(F383&lt;=DASHBOARD!$B$11, H383&gt;=DASHBOARD!$B$13), G383, -1000000000000)</f>
        <v/>
      </c>
      <c r="T383" s="101">
        <f>IF(AND(F383&lt;=DASHBOARD!$B$11, H383&gt;=DASHBOARD!$B$13), R383, 1000000000000)</f>
        <v/>
      </c>
      <c r="U383" s="101">
        <f>IF(AND(F383&lt;=DASHBOARD!$B$11, H383&gt;=DASHBOARD!$B$13), N383, -1000000000000)</f>
        <v/>
      </c>
      <c r="V383" s="101">
        <f>IF(AND(F383&lt;=DASHBOARD!$B$11, H383&gt;=DASHBOARD!$B$13), H383, -1000000000000)</f>
        <v/>
      </c>
      <c r="W383" s="101">
        <f>IF(AND(F383&lt;=DASHBOARD!$B$11, H383&gt;=DASHBOARD!$B$13), K383, -1000000000000)</f>
        <v/>
      </c>
      <c r="X383" s="101">
        <f>IF(AND(F383&lt;=DASHBOARD!$B$11, H383&gt;=DASHBOARD!$B$13), M383, 1000000000000)</f>
        <v/>
      </c>
      <c r="Y383" s="101">
        <f>IF(AND(F383&lt;=DASHBOARD!$B$10, H383&gt;=DASHBOARD!$B$11), L383, 1000000000000)</f>
        <v/>
      </c>
      <c r="Z383" s="101">
        <f>IF(AND(F383&lt;=DASHBOARD!$B$10, H383&gt;=DASHBOARD!$B$11), O383, 1000000000000)</f>
        <v/>
      </c>
      <c r="AA383" s="101">
        <f>IF(AND(F383&lt;=DASHBOARD!$B$10, H383&gt;=DASHBOARD!$B$11), P383, 1000000000000)</f>
        <v/>
      </c>
      <c r="AB383" s="101">
        <f>IF(AND(F383&lt;=DASHBOARD!$B$10, H383&gt;=DASHBOARD!$B$11), Q383, -1000000000000)</f>
        <v/>
      </c>
    </row>
    <row r="384" ht="15" customHeight="1" s="102">
      <c r="A384" s="166" t="n">
        <v>380</v>
      </c>
      <c r="B384" s="167" t="n">
        <v>0.9</v>
      </c>
      <c r="C384" s="167" t="n">
        <v>0</v>
      </c>
      <c r="D384" s="110" t="inlineStr">
        <is>
          <t>Var (%20)</t>
        </is>
      </c>
      <c r="E384" s="110">
        <f>IF((B384+C384)&lt;=1, "Tam Mahsuplaşma (≤%100)", "Kısmi Satış (&gt;%100)")</f>
        <v/>
      </c>
      <c r="F384" s="168">
        <f>((VERI_TABANI!$D$29*B384/VERI_TABANI!$B$29)/VERI_TABANI!$B$3)*VERI_TABANI!$B$5 + ((VERI_TABANI!$D$29*C384/VERI_TABANI!$B$29)/VERI_TABANI!$B$4)*VERI_TABANI!$B$6 + IF(ISNUMBER(SEARCH("Var", D384)), (VERI_TABANI!$F$29/VERI_TABANI!$B$29)*(VERI_TABANI!$B$10+VERI_TABANI!$B$12), 0)</f>
        <v/>
      </c>
      <c r="G384" s="168">
        <f>(((MIN(VERI_TABANI!D23, VERI_TABANI!D23*B384)*VERI_TABANI!$B$7 + MAX(0, VERI_TABANI!D23*B384-VERI_TABANI!D23)*VERI_TABANI!$B$8) + (MIN(MAX(0, VERI_TABANI!D23-VERI_TABANI!D23*B384), VERI_TABANI!D23*C384)*VERI_TABANI!$B$7 + MAX(0, VERI_TABANI!D23*C384-MAX(0, VERI_TABANI!D23-VERI_TABANI!D23*B384))*VERI_TABANI!$B$8) + IF(ABS(IF(ISNUMBER(SEARCH("Var", D384)), 1, IF(ISNUMBER(SEARCH("Gri", D384)), -1, 0)))=1, VERI_TABANI!E23*(1-0.928)*VERI_TABANI!$B$9, 0) + (VERI_TABANI!D23*B384*(VERI_TABANI!$B$13-VERI_TABANI!$B$14)*VERI_TABANI!G23) + (VERI_TABANI!D23*C384*(VERI_TABANI!$B$13-VERI_TABANI!$B$15)*VERI_TABANI!G23) + IF(ABS(IF(ISNUMBER(SEARCH("Var", D384)), 1, IF(ISNUMBER(SEARCH("Gri", D384)), -1, 0)))=1, VERI_TABANI!E23*(1-0.928)*0.00206091519919798*VERI_TABANI!G23, 0)) + ((MIN(VERI_TABANI!D24, VERI_TABANI!D24*B384)*VERI_TABANI!$B$7 + MAX(0, VERI_TABANI!D24*B384-VERI_TABANI!D24)*VERI_TABANI!$B$8) + (MIN(MAX(0, VERI_TABANI!D24-VERI_TABANI!D24*B384), VERI_TABANI!D24*C384)*VERI_TABANI!$B$7 + MAX(0, VERI_TABANI!D24*C384-MAX(0, VERI_TABANI!D24-VERI_TABANI!D24*B384))*VERI_TABANI!$B$8) + IF(ABS(IF(ISNUMBER(SEARCH("Var", D384)), 1, IF(ISNUMBER(SEARCH("Gri", D384)), -1, 0)))=1, VERI_TABANI!E24*(1-0.928)*VERI_TABANI!$B$9, 0) + (VERI_TABANI!D24*B384*(VERI_TABANI!$B$13-VERI_TABANI!$B$14)*VERI_TABANI!G24) + (VERI_TABANI!D24*C384*(VERI_TABANI!$B$13-VERI_TABANI!$B$15)*VERI_TABANI!G24) + IF(ABS(IF(ISNUMBER(SEARCH("Var", D384)), 1, IF(ISNUMBER(SEARCH("Gri", D384)), -1, 0)))=1, VERI_TABANI!E24*(1-0.928)*0.00206091519919798*VERI_TABANI!G24, 0)) + ((MIN(VERI_TABANI!D25, VERI_TABANI!D25*B384)*VERI_TABANI!$B$7 + MAX(0, VERI_TABANI!D25*B384-VERI_TABANI!D25)*VERI_TABANI!$B$8) + (MIN(MAX(0, VERI_TABANI!D25-VERI_TABANI!D25*B384), VERI_TABANI!D25*C384)*VERI_TABANI!$B$7 + MAX(0, VERI_TABANI!D25*C384-MAX(0, VERI_TABANI!D25-VERI_TABANI!D25*B384))*VERI_TABANI!$B$8) + IF(ABS(IF(ISNUMBER(SEARCH("Var", D384)), 1, IF(ISNUMBER(SEARCH("Gri", D384)), -1, 0)))=1, VERI_TABANI!E25*(1-0.928)*VERI_TABANI!$B$9, 0) + (VERI_TABANI!D25*B384*(VERI_TABANI!$B$13-VERI_TABANI!$B$14)*VERI_TABANI!G25) + (VERI_TABANI!D25*C384*(VERI_TABANI!$B$13-VERI_TABANI!$B$15)*VERI_TABANI!G25) + IF(ABS(IF(ISNUMBER(SEARCH("Var", D384)), 1, IF(ISNUMBER(SEARCH("Gri", D384)), -1, 0)))=1, VERI_TABANI!E25*(1-0.928)*0.00206091519919798*VERI_TABANI!G25, 0)) + ((MIN(VERI_TABANI!D26, VERI_TABANI!D26*B384)*VERI_TABANI!$B$7 + MAX(0, VERI_TABANI!D26*B384-VERI_TABANI!D26)*VERI_TABANI!$B$8) + (MIN(MAX(0, VERI_TABANI!D26-VERI_TABANI!D26*B384), VERI_TABANI!D26*C384)*VERI_TABANI!$B$7 + MAX(0, VERI_TABANI!D26*C384-MAX(0, VERI_TABANI!D26-VERI_TABANI!D26*B384))*VERI_TABANI!$B$8) + IF(ABS(IF(ISNUMBER(SEARCH("Var", D384)), 1, IF(ISNUMBER(SEARCH("Gri", D384)), -1, 0)))=1, VERI_TABANI!E26*(1-0.928)*VERI_TABANI!$B$9, 0) + (VERI_TABANI!D26*B384*(VERI_TABANI!$B$13-VERI_TABANI!$B$14)*VERI_TABANI!G26) + (VERI_TABANI!D26*C384*(VERI_TABANI!$B$13-VERI_TABANI!$B$15)*VERI_TABANI!G26) + IF(ABS(IF(ISNUMBER(SEARCH("Var", D384)), 1, IF(ISNUMBER(SEARCH("Gri", D384)), -1, 0)))=1, VERI_TABANI!E26*(1-0.928)*0.00206091519919798*VERI_TABANI!G26, 0)) + ((MIN(VERI_TABANI!D27, VERI_TABANI!D27*B384)*VERI_TABANI!$B$7 + MAX(0, VERI_TABANI!D27*B384-VERI_TABANI!D27)*VERI_TABANI!$B$8) + (MIN(MAX(0, VERI_TABANI!D27-VERI_TABANI!D27*B384), VERI_TABANI!D27*C384)*VERI_TABANI!$B$7 + MAX(0, VERI_TABANI!D27*C384-MAX(0, VERI_TABANI!D27-VERI_TABANI!D27*B384))*VERI_TABANI!$B$8) + IF(ABS(IF(ISNUMBER(SEARCH("Var", D384)), 1, IF(ISNUMBER(SEARCH("Gri", D384)), -1, 0)))=1, VERI_TABANI!E27*(1-0.928)*VERI_TABANI!$B$9, 0) + (VERI_TABANI!D27*B384*(VERI_TABANI!$B$13-VERI_TABANI!$B$14)*VERI_TABANI!G27) + (VERI_TABANI!D27*C384*(VERI_TABANI!$B$13-VERI_TABANI!$B$15)*VERI_TABANI!G27) + IF(ABS(IF(ISNUMBER(SEARCH("Var", D384)), 1, IF(ISNUMBER(SEARCH("Gri", D384)), -1, 0)))=1, VERI_TABANI!E27*(1-0.928)*0.00206091519919798*VERI_TABANI!G27, 0)) + ((MIN(VERI_TABANI!D28, VERI_TABANI!D28*B384)*VERI_TABANI!$B$7 + MAX(0, VERI_TABANI!D28*B384-VERI_TABANI!D28)*VERI_TABANI!$B$8) + (MIN(MAX(0, VERI_TABANI!D28-VERI_TABANI!D28*B384), VERI_TABANI!D28*C384)*VERI_TABANI!$B$7 + MAX(0, VERI_TABANI!D28*C384-MAX(0, VERI_TABANI!D28-VERI_TABANI!D28*B384))*VERI_TABANI!$B$8) + IF(ABS(IF(ISNUMBER(SEARCH("Var", D384)), 1, IF(ISNUMBER(SEARCH("Gri", D384)), -1, 0)))=1, VERI_TABANI!E28*(1-0.928)*VERI_TABANI!$B$9, 0) + (VERI_TABANI!D28*B384*(VERI_TABANI!$B$13-VERI_TABANI!$B$14)*VERI_TABANI!G28) + (VERI_TABANI!D28*C384*(VERI_TABANI!$B$13-VERI_TABANI!$B$15)*VERI_TABANI!G28) + IF(ABS(IF(ISNUMBER(SEARCH("Var", D384)), 1, IF(ISNUMBER(SEARCH("Gri", D384)), -1, 0)))=1, VERI_TABANI!E28*(1-0.928)*0.00206091519919798*VERI_TABANI!G28, 0)))</f>
        <v/>
      </c>
      <c r="H384" s="169">
        <f>(((VERI_TABANI!D23*B384*(VERI_TABANI!$B$13-VERI_TABANI!$B$14)) + (VERI_TABANI!D23*C384*(VERI_TABANI!$B$13-VERI_TABANI!$B$15)) + IF(ISNUMBER(SEARCH("Var", D384)), VERI_TABANI!F23*(0.00202-VERI_TABANI!$B$16), IF(ISNUMBER(SEARCH("Gri", D384)), VERI_TABANI!F23*(0.00202-VERI_TABANI!$B$17), 0))) + ((VERI_TABANI!D24*B384*(VERI_TABANI!$B$13-VERI_TABANI!$B$14)) + (VERI_TABANI!D24*C384*(VERI_TABANI!$B$13-VERI_TABANI!$B$15)) + IF(ISNUMBER(SEARCH("Var", D384)), VERI_TABANI!F24*(0.00202-VERI_TABANI!$B$16), IF(ISNUMBER(SEARCH("Gri", D384)), VERI_TABANI!F24*(0.00202-VERI_TABANI!$B$17), 0))) + ((VERI_TABANI!D25*B384*(VERI_TABANI!$B$13-VERI_TABANI!$B$14)) + (VERI_TABANI!D25*C384*(VERI_TABANI!$B$13-VERI_TABANI!$B$15)) + IF(ISNUMBER(SEARCH("Var", D384)), VERI_TABANI!F25*(0.00202-VERI_TABANI!$B$16), IF(ISNUMBER(SEARCH("Gri", D384)), VERI_TABANI!F25*(0.00202-VERI_TABANI!$B$17), 0))) + ((VERI_TABANI!D26*B384*(VERI_TABANI!$B$13-VERI_TABANI!$B$14)) + (VERI_TABANI!D26*C384*(VERI_TABANI!$B$13-VERI_TABANI!$B$15)) + IF(ISNUMBER(SEARCH("Var", D384)), VERI_TABANI!F26*(0.00202-VERI_TABANI!$B$16), IF(ISNUMBER(SEARCH("Gri", D384)), VERI_TABANI!F26*(0.00202-VERI_TABANI!$B$17), 0))) + ((VERI_TABANI!D27*B384*(VERI_TABANI!$B$13-VERI_TABANI!$B$14)) + (VERI_TABANI!D27*C384*(VERI_TABANI!$B$13-VERI_TABANI!$B$15)) + IF(ISNUMBER(SEARCH("Var", D384)), VERI_TABANI!F27*(0.00202-VERI_TABANI!$B$16), IF(ISNUMBER(SEARCH("Gri", D384)), VERI_TABANI!F27*(0.00202-VERI_TABANI!$B$17), 0))) + ((VERI_TABANI!D28*B384*(VERI_TABANI!$B$13-VERI_TABANI!$B$14)) + (VERI_TABANI!D28*C384*(VERI_TABANI!$B$13-VERI_TABANI!$B$15)) + IF(ISNUMBER(SEARCH("Var", D384)), VERI_TABANI!F28*(0.00202-VERI_TABANI!$B$16), IF(ISNUMBER(SEARCH("Gri", D384)), VERI_TABANI!F28*(0.00202-VERI_TABANI!$B$17), 0))))</f>
        <v/>
      </c>
      <c r="I384" s="170">
        <f>IFERROR(((VERI_TABANI!$D$29*B384*VERI_TABANI!$B$14 + VERI_TABANI!$D$29*C384*VERI_TABANI!$B$15 + IF(ISNUMBER(SEARCH("Var", D384)), VERI_TABANI!$F$29*VERI_TABANI!$B$16, 0))) / (((VERI_TABANI!$D$29*B384 + VERI_TABANI!$D$29*C384)*VERI_TABANI!$B$13 + IF(ISNUMBER(SEARCH("Var", D384)), VERI_TABANI!$E$29*(1-0.928)*VERI_TABANI!$B$18, 0))), 0)</f>
        <v/>
      </c>
      <c r="J384" s="171">
        <f>IFERROR(F384/(G384/29), 0)</f>
        <v/>
      </c>
      <c r="K384" s="172">
        <f>IF(F384&gt;0, H384/F384, 0)</f>
        <v/>
      </c>
      <c r="L384" s="170">
        <f>IF(F384&gt;0, I384, 1000000000)</f>
        <v/>
      </c>
      <c r="M384" s="171">
        <f>ABS((B384+C384)-1)</f>
        <v/>
      </c>
      <c r="N384" s="170">
        <f>IF(F384&gt;0, (G384/29)/F384, 0)</f>
        <v/>
      </c>
      <c r="O384" s="168">
        <f>IF(AND((B384+C384)&gt;=1, ISNUMBER(SEARCH("Var", D384))), F384, 1000000000)</f>
        <v/>
      </c>
      <c r="P384" s="172">
        <f>IF(F384&gt;0, SQRT((F384/MAX(F$5:F$886))^2 + (1 - H384/MAX(H$5:H$886))^2 + (J384/MAX(J$5:J$886))^2), 1000000000)</f>
        <v/>
      </c>
      <c r="Q384" s="166">
        <f>IF(AND(ABS(B384-0.5)&lt;0.01, ABS(C384-0.5)&lt;0.01, ISNUMBER(SEARCH("Var", D384))), 1, 0)</f>
        <v/>
      </c>
      <c r="R384" s="171">
        <f>IF(F384&gt;0, J384, 1000000000)</f>
        <v/>
      </c>
      <c r="S384" s="101">
        <f>IF(AND(F384&lt;=DASHBOARD!$B$11, H384&gt;=DASHBOARD!$B$13), G384, -1000000000000)</f>
        <v/>
      </c>
      <c r="T384" s="101">
        <f>IF(AND(F384&lt;=DASHBOARD!$B$11, H384&gt;=DASHBOARD!$B$13), R384, 1000000000000)</f>
        <v/>
      </c>
      <c r="U384" s="101">
        <f>IF(AND(F384&lt;=DASHBOARD!$B$11, H384&gt;=DASHBOARD!$B$13), N384, -1000000000000)</f>
        <v/>
      </c>
      <c r="V384" s="101">
        <f>IF(AND(F384&lt;=DASHBOARD!$B$11, H384&gt;=DASHBOARD!$B$13), H384, -1000000000000)</f>
        <v/>
      </c>
      <c r="W384" s="101">
        <f>IF(AND(F384&lt;=DASHBOARD!$B$11, H384&gt;=DASHBOARD!$B$13), K384, -1000000000000)</f>
        <v/>
      </c>
      <c r="X384" s="101">
        <f>IF(AND(F384&lt;=DASHBOARD!$B$11, H384&gt;=DASHBOARD!$B$13), M384, 1000000000000)</f>
        <v/>
      </c>
      <c r="Y384" s="101">
        <f>IF(AND(F384&lt;=DASHBOARD!$B$10, H384&gt;=DASHBOARD!$B$11), L384, 1000000000000)</f>
        <v/>
      </c>
      <c r="Z384" s="101">
        <f>IF(AND(F384&lt;=DASHBOARD!$B$10, H384&gt;=DASHBOARD!$B$11), O384, 1000000000000)</f>
        <v/>
      </c>
      <c r="AA384" s="101">
        <f>IF(AND(F384&lt;=DASHBOARD!$B$10, H384&gt;=DASHBOARD!$B$11), P384, 1000000000000)</f>
        <v/>
      </c>
      <c r="AB384" s="101">
        <f>IF(AND(F384&lt;=DASHBOARD!$B$10, H384&gt;=DASHBOARD!$B$11), Q384, -1000000000000)</f>
        <v/>
      </c>
    </row>
    <row r="385" ht="15" customHeight="1" s="102">
      <c r="A385" s="166" t="n">
        <v>381</v>
      </c>
      <c r="B385" s="167" t="n">
        <v>0.9</v>
      </c>
      <c r="C385" s="167" t="n">
        <v>0.1</v>
      </c>
      <c r="D385" s="110" t="inlineStr">
        <is>
          <t>Yok (%0)</t>
        </is>
      </c>
      <c r="E385" s="110">
        <f>IF((B385+C385)&lt;=1, "Tam Mahsuplaşma (≤%100)", "Kısmi Satış (&gt;%100)")</f>
        <v/>
      </c>
      <c r="F385" s="168">
        <f>((VERI_TABANI!$D$29*B385/VERI_TABANI!$B$29)/VERI_TABANI!$B$3)*VERI_TABANI!$B$5 + ((VERI_TABANI!$D$29*C385/VERI_TABANI!$B$29)/VERI_TABANI!$B$4)*VERI_TABANI!$B$6 + IF(ISNUMBER(SEARCH("Var", D385)), (VERI_TABANI!$F$29/VERI_TABANI!$B$29)*(VERI_TABANI!$B$10+VERI_TABANI!$B$12), 0)</f>
        <v/>
      </c>
      <c r="G385" s="168">
        <f>(((MIN(VERI_TABANI!D23, VERI_TABANI!D23*B385)*VERI_TABANI!$B$7 + MAX(0, VERI_TABANI!D23*B385-VERI_TABANI!D23)*VERI_TABANI!$B$8) + (MIN(MAX(0, VERI_TABANI!D23-VERI_TABANI!D23*B385), VERI_TABANI!D23*C385)*VERI_TABANI!$B$7 + MAX(0, VERI_TABANI!D23*C385-MAX(0, VERI_TABANI!D23-VERI_TABANI!D23*B385))*VERI_TABANI!$B$8) + IF(ABS(IF(ISNUMBER(SEARCH("Var", D385)), 1, IF(ISNUMBER(SEARCH("Gri", D385)), -1, 0)))=1, VERI_TABANI!E23*(1-0.928)*VERI_TABANI!$B$9, 0) + (VERI_TABANI!D23*B385*(VERI_TABANI!$B$13-VERI_TABANI!$B$14)*VERI_TABANI!G23) + (VERI_TABANI!D23*C385*(VERI_TABANI!$B$13-VERI_TABANI!$B$15)*VERI_TABANI!G23) + IF(ABS(IF(ISNUMBER(SEARCH("Var", D385)), 1, IF(ISNUMBER(SEARCH("Gri", D385)), -1, 0)))=1, VERI_TABANI!E23*(1-0.928)*0.00206091519919798*VERI_TABANI!G23, 0)) + ((MIN(VERI_TABANI!D24, VERI_TABANI!D24*B385)*VERI_TABANI!$B$7 + MAX(0, VERI_TABANI!D24*B385-VERI_TABANI!D24)*VERI_TABANI!$B$8) + (MIN(MAX(0, VERI_TABANI!D24-VERI_TABANI!D24*B385), VERI_TABANI!D24*C385)*VERI_TABANI!$B$7 + MAX(0, VERI_TABANI!D24*C385-MAX(0, VERI_TABANI!D24-VERI_TABANI!D24*B385))*VERI_TABANI!$B$8) + IF(ABS(IF(ISNUMBER(SEARCH("Var", D385)), 1, IF(ISNUMBER(SEARCH("Gri", D385)), -1, 0)))=1, VERI_TABANI!E24*(1-0.928)*VERI_TABANI!$B$9, 0) + (VERI_TABANI!D24*B385*(VERI_TABANI!$B$13-VERI_TABANI!$B$14)*VERI_TABANI!G24) + (VERI_TABANI!D24*C385*(VERI_TABANI!$B$13-VERI_TABANI!$B$15)*VERI_TABANI!G24) + IF(ABS(IF(ISNUMBER(SEARCH("Var", D385)), 1, IF(ISNUMBER(SEARCH("Gri", D385)), -1, 0)))=1, VERI_TABANI!E24*(1-0.928)*0.00206091519919798*VERI_TABANI!G24, 0)) + ((MIN(VERI_TABANI!D25, VERI_TABANI!D25*B385)*VERI_TABANI!$B$7 + MAX(0, VERI_TABANI!D25*B385-VERI_TABANI!D25)*VERI_TABANI!$B$8) + (MIN(MAX(0, VERI_TABANI!D25-VERI_TABANI!D25*B385), VERI_TABANI!D25*C385)*VERI_TABANI!$B$7 + MAX(0, VERI_TABANI!D25*C385-MAX(0, VERI_TABANI!D25-VERI_TABANI!D25*B385))*VERI_TABANI!$B$8) + IF(ABS(IF(ISNUMBER(SEARCH("Var", D385)), 1, IF(ISNUMBER(SEARCH("Gri", D385)), -1, 0)))=1, VERI_TABANI!E25*(1-0.928)*VERI_TABANI!$B$9, 0) + (VERI_TABANI!D25*B385*(VERI_TABANI!$B$13-VERI_TABANI!$B$14)*VERI_TABANI!G25) + (VERI_TABANI!D25*C385*(VERI_TABANI!$B$13-VERI_TABANI!$B$15)*VERI_TABANI!G25) + IF(ABS(IF(ISNUMBER(SEARCH("Var", D385)), 1, IF(ISNUMBER(SEARCH("Gri", D385)), -1, 0)))=1, VERI_TABANI!E25*(1-0.928)*0.00206091519919798*VERI_TABANI!G25, 0)) + ((MIN(VERI_TABANI!D26, VERI_TABANI!D26*B385)*VERI_TABANI!$B$7 + MAX(0, VERI_TABANI!D26*B385-VERI_TABANI!D26)*VERI_TABANI!$B$8) + (MIN(MAX(0, VERI_TABANI!D26-VERI_TABANI!D26*B385), VERI_TABANI!D26*C385)*VERI_TABANI!$B$7 + MAX(0, VERI_TABANI!D26*C385-MAX(0, VERI_TABANI!D26-VERI_TABANI!D26*B385))*VERI_TABANI!$B$8) + IF(ABS(IF(ISNUMBER(SEARCH("Var", D385)), 1, IF(ISNUMBER(SEARCH("Gri", D385)), -1, 0)))=1, VERI_TABANI!E26*(1-0.928)*VERI_TABANI!$B$9, 0) + (VERI_TABANI!D26*B385*(VERI_TABANI!$B$13-VERI_TABANI!$B$14)*VERI_TABANI!G26) + (VERI_TABANI!D26*C385*(VERI_TABANI!$B$13-VERI_TABANI!$B$15)*VERI_TABANI!G26) + IF(ABS(IF(ISNUMBER(SEARCH("Var", D385)), 1, IF(ISNUMBER(SEARCH("Gri", D385)), -1, 0)))=1, VERI_TABANI!E26*(1-0.928)*0.00206091519919798*VERI_TABANI!G26, 0)) + ((MIN(VERI_TABANI!D27, VERI_TABANI!D27*B385)*VERI_TABANI!$B$7 + MAX(0, VERI_TABANI!D27*B385-VERI_TABANI!D27)*VERI_TABANI!$B$8) + (MIN(MAX(0, VERI_TABANI!D27-VERI_TABANI!D27*B385), VERI_TABANI!D27*C385)*VERI_TABANI!$B$7 + MAX(0, VERI_TABANI!D27*C385-MAX(0, VERI_TABANI!D27-VERI_TABANI!D27*B385))*VERI_TABANI!$B$8) + IF(ABS(IF(ISNUMBER(SEARCH("Var", D385)), 1, IF(ISNUMBER(SEARCH("Gri", D385)), -1, 0)))=1, VERI_TABANI!E27*(1-0.928)*VERI_TABANI!$B$9, 0) + (VERI_TABANI!D27*B385*(VERI_TABANI!$B$13-VERI_TABANI!$B$14)*VERI_TABANI!G27) + (VERI_TABANI!D27*C385*(VERI_TABANI!$B$13-VERI_TABANI!$B$15)*VERI_TABANI!G27) + IF(ABS(IF(ISNUMBER(SEARCH("Var", D385)), 1, IF(ISNUMBER(SEARCH("Gri", D385)), -1, 0)))=1, VERI_TABANI!E27*(1-0.928)*0.00206091519919798*VERI_TABANI!G27, 0)) + ((MIN(VERI_TABANI!D28, VERI_TABANI!D28*B385)*VERI_TABANI!$B$7 + MAX(0, VERI_TABANI!D28*B385-VERI_TABANI!D28)*VERI_TABANI!$B$8) + (MIN(MAX(0, VERI_TABANI!D28-VERI_TABANI!D28*B385), VERI_TABANI!D28*C385)*VERI_TABANI!$B$7 + MAX(0, VERI_TABANI!D28*C385-MAX(0, VERI_TABANI!D28-VERI_TABANI!D28*B385))*VERI_TABANI!$B$8) + IF(ABS(IF(ISNUMBER(SEARCH("Var", D385)), 1, IF(ISNUMBER(SEARCH("Gri", D385)), -1, 0)))=1, VERI_TABANI!E28*(1-0.928)*VERI_TABANI!$B$9, 0) + (VERI_TABANI!D28*B385*(VERI_TABANI!$B$13-VERI_TABANI!$B$14)*VERI_TABANI!G28) + (VERI_TABANI!D28*C385*(VERI_TABANI!$B$13-VERI_TABANI!$B$15)*VERI_TABANI!G28) + IF(ABS(IF(ISNUMBER(SEARCH("Var", D385)), 1, IF(ISNUMBER(SEARCH("Gri", D385)), -1, 0)))=1, VERI_TABANI!E28*(1-0.928)*0.00206091519919798*VERI_TABANI!G28, 0)))</f>
        <v/>
      </c>
      <c r="H385" s="169">
        <f>(((VERI_TABANI!D23*B385*(VERI_TABANI!$B$13-VERI_TABANI!$B$14)) + (VERI_TABANI!D23*C385*(VERI_TABANI!$B$13-VERI_TABANI!$B$15)) + IF(ISNUMBER(SEARCH("Var", D385)), VERI_TABANI!F23*(0.00202-VERI_TABANI!$B$16), IF(ISNUMBER(SEARCH("Gri", D385)), VERI_TABANI!F23*(0.00202-VERI_TABANI!$B$17), 0))) + ((VERI_TABANI!D24*B385*(VERI_TABANI!$B$13-VERI_TABANI!$B$14)) + (VERI_TABANI!D24*C385*(VERI_TABANI!$B$13-VERI_TABANI!$B$15)) + IF(ISNUMBER(SEARCH("Var", D385)), VERI_TABANI!F24*(0.00202-VERI_TABANI!$B$16), IF(ISNUMBER(SEARCH("Gri", D385)), VERI_TABANI!F24*(0.00202-VERI_TABANI!$B$17), 0))) + ((VERI_TABANI!D25*B385*(VERI_TABANI!$B$13-VERI_TABANI!$B$14)) + (VERI_TABANI!D25*C385*(VERI_TABANI!$B$13-VERI_TABANI!$B$15)) + IF(ISNUMBER(SEARCH("Var", D385)), VERI_TABANI!F25*(0.00202-VERI_TABANI!$B$16), IF(ISNUMBER(SEARCH("Gri", D385)), VERI_TABANI!F25*(0.00202-VERI_TABANI!$B$17), 0))) + ((VERI_TABANI!D26*B385*(VERI_TABANI!$B$13-VERI_TABANI!$B$14)) + (VERI_TABANI!D26*C385*(VERI_TABANI!$B$13-VERI_TABANI!$B$15)) + IF(ISNUMBER(SEARCH("Var", D385)), VERI_TABANI!F26*(0.00202-VERI_TABANI!$B$16), IF(ISNUMBER(SEARCH("Gri", D385)), VERI_TABANI!F26*(0.00202-VERI_TABANI!$B$17), 0))) + ((VERI_TABANI!D27*B385*(VERI_TABANI!$B$13-VERI_TABANI!$B$14)) + (VERI_TABANI!D27*C385*(VERI_TABANI!$B$13-VERI_TABANI!$B$15)) + IF(ISNUMBER(SEARCH("Var", D385)), VERI_TABANI!F27*(0.00202-VERI_TABANI!$B$16), IF(ISNUMBER(SEARCH("Gri", D385)), VERI_TABANI!F27*(0.00202-VERI_TABANI!$B$17), 0))) + ((VERI_TABANI!D28*B385*(VERI_TABANI!$B$13-VERI_TABANI!$B$14)) + (VERI_TABANI!D28*C385*(VERI_TABANI!$B$13-VERI_TABANI!$B$15)) + IF(ISNUMBER(SEARCH("Var", D385)), VERI_TABANI!F28*(0.00202-VERI_TABANI!$B$16), IF(ISNUMBER(SEARCH("Gri", D385)), VERI_TABANI!F28*(0.00202-VERI_TABANI!$B$17), 0))))</f>
        <v/>
      </c>
      <c r="I385" s="170">
        <f>IFERROR(((VERI_TABANI!$D$29*B385*VERI_TABANI!$B$14 + VERI_TABANI!$D$29*C385*VERI_TABANI!$B$15 + IF(ISNUMBER(SEARCH("Var", D385)), VERI_TABANI!$F$29*VERI_TABANI!$B$16, 0))) / (((VERI_TABANI!$D$29*B385 + VERI_TABANI!$D$29*C385)*VERI_TABANI!$B$13 + IF(ISNUMBER(SEARCH("Var", D385)), VERI_TABANI!$E$29*(1-0.928)*VERI_TABANI!$B$18, 0))), 0)</f>
        <v/>
      </c>
      <c r="J385" s="171">
        <f>IFERROR(F385/(G385/29), 0)</f>
        <v/>
      </c>
      <c r="K385" s="172">
        <f>IF(F385&gt;0, H385/F385, 0)</f>
        <v/>
      </c>
      <c r="L385" s="170">
        <f>IF(F385&gt;0, I385, 1000000000)</f>
        <v/>
      </c>
      <c r="M385" s="171">
        <f>ABS((B385+C385)-1)</f>
        <v/>
      </c>
      <c r="N385" s="170">
        <f>IF(F385&gt;0, (G385/29)/F385, 0)</f>
        <v/>
      </c>
      <c r="O385" s="168">
        <f>IF(AND((B385+C385)&gt;=1, ISNUMBER(SEARCH("Var", D385))), F385, 1000000000)</f>
        <v/>
      </c>
      <c r="P385" s="172">
        <f>IF(F385&gt;0, SQRT((F385/MAX(F$5:F$886))^2 + (1 - H385/MAX(H$5:H$886))^2 + (J385/MAX(J$5:J$886))^2), 1000000000)</f>
        <v/>
      </c>
      <c r="Q385" s="166">
        <f>IF(AND(ABS(B385-0.5)&lt;0.01, ABS(C385-0.5)&lt;0.01, ISNUMBER(SEARCH("Var", D385))), 1, 0)</f>
        <v/>
      </c>
      <c r="R385" s="171">
        <f>IF(F385&gt;0, J385, 1000000000)</f>
        <v/>
      </c>
      <c r="S385" s="101">
        <f>IF(AND(F385&lt;=DASHBOARD!$B$11, H385&gt;=DASHBOARD!$B$13), G385, -1000000000000)</f>
        <v/>
      </c>
      <c r="T385" s="101">
        <f>IF(AND(F385&lt;=DASHBOARD!$B$11, H385&gt;=DASHBOARD!$B$13), R385, 1000000000000)</f>
        <v/>
      </c>
      <c r="U385" s="101">
        <f>IF(AND(F385&lt;=DASHBOARD!$B$11, H385&gt;=DASHBOARD!$B$13), N385, -1000000000000)</f>
        <v/>
      </c>
      <c r="V385" s="101">
        <f>IF(AND(F385&lt;=DASHBOARD!$B$11, H385&gt;=DASHBOARD!$B$13), H385, -1000000000000)</f>
        <v/>
      </c>
      <c r="W385" s="101">
        <f>IF(AND(F385&lt;=DASHBOARD!$B$11, H385&gt;=DASHBOARD!$B$13), K385, -1000000000000)</f>
        <v/>
      </c>
      <c r="X385" s="101">
        <f>IF(AND(F385&lt;=DASHBOARD!$B$11, H385&gt;=DASHBOARD!$B$13), M385, 1000000000000)</f>
        <v/>
      </c>
      <c r="Y385" s="101">
        <f>IF(AND(F385&lt;=DASHBOARD!$B$10, H385&gt;=DASHBOARD!$B$11), L385, 1000000000000)</f>
        <v/>
      </c>
      <c r="Z385" s="101">
        <f>IF(AND(F385&lt;=DASHBOARD!$B$10, H385&gt;=DASHBOARD!$B$11), O385, 1000000000000)</f>
        <v/>
      </c>
      <c r="AA385" s="101">
        <f>IF(AND(F385&lt;=DASHBOARD!$B$10, H385&gt;=DASHBOARD!$B$11), P385, 1000000000000)</f>
        <v/>
      </c>
      <c r="AB385" s="101">
        <f>IF(AND(F385&lt;=DASHBOARD!$B$10, H385&gt;=DASHBOARD!$B$11), Q385, -1000000000000)</f>
        <v/>
      </c>
    </row>
    <row r="386" ht="15" customHeight="1" s="102">
      <c r="A386" s="166" t="n">
        <v>382</v>
      </c>
      <c r="B386" s="167" t="n">
        <v>0.9</v>
      </c>
      <c r="C386" s="167" t="n">
        <v>0.1</v>
      </c>
      <c r="D386" s="110" t="inlineStr">
        <is>
          <t>Var (%20)</t>
        </is>
      </c>
      <c r="E386" s="110">
        <f>IF((B386+C386)&lt;=1, "Tam Mahsuplaşma (≤%100)", "Kısmi Satış (&gt;%100)")</f>
        <v/>
      </c>
      <c r="F386" s="168">
        <f>((VERI_TABANI!$D$29*B386/VERI_TABANI!$B$29)/VERI_TABANI!$B$3)*VERI_TABANI!$B$5 + ((VERI_TABANI!$D$29*C386/VERI_TABANI!$B$29)/VERI_TABANI!$B$4)*VERI_TABANI!$B$6 + IF(ISNUMBER(SEARCH("Var", D386)), (VERI_TABANI!$F$29/VERI_TABANI!$B$29)*(VERI_TABANI!$B$10+VERI_TABANI!$B$12), 0)</f>
        <v/>
      </c>
      <c r="G386" s="168">
        <f>(((MIN(VERI_TABANI!D23, VERI_TABANI!D23*B386)*VERI_TABANI!$B$7 + MAX(0, VERI_TABANI!D23*B386-VERI_TABANI!D23)*VERI_TABANI!$B$8) + (MIN(MAX(0, VERI_TABANI!D23-VERI_TABANI!D23*B386), VERI_TABANI!D23*C386)*VERI_TABANI!$B$7 + MAX(0, VERI_TABANI!D23*C386-MAX(0, VERI_TABANI!D23-VERI_TABANI!D23*B386))*VERI_TABANI!$B$8) + IF(ABS(IF(ISNUMBER(SEARCH("Var", D386)), 1, IF(ISNUMBER(SEARCH("Gri", D386)), -1, 0)))=1, VERI_TABANI!E23*(1-0.928)*VERI_TABANI!$B$9, 0) + (VERI_TABANI!D23*B386*(VERI_TABANI!$B$13-VERI_TABANI!$B$14)*VERI_TABANI!G23) + (VERI_TABANI!D23*C386*(VERI_TABANI!$B$13-VERI_TABANI!$B$15)*VERI_TABANI!G23) + IF(ABS(IF(ISNUMBER(SEARCH("Var", D386)), 1, IF(ISNUMBER(SEARCH("Gri", D386)), -1, 0)))=1, VERI_TABANI!E23*(1-0.928)*0.00206091519919798*VERI_TABANI!G23, 0)) + ((MIN(VERI_TABANI!D24, VERI_TABANI!D24*B386)*VERI_TABANI!$B$7 + MAX(0, VERI_TABANI!D24*B386-VERI_TABANI!D24)*VERI_TABANI!$B$8) + (MIN(MAX(0, VERI_TABANI!D24-VERI_TABANI!D24*B386), VERI_TABANI!D24*C386)*VERI_TABANI!$B$7 + MAX(0, VERI_TABANI!D24*C386-MAX(0, VERI_TABANI!D24-VERI_TABANI!D24*B386))*VERI_TABANI!$B$8) + IF(ABS(IF(ISNUMBER(SEARCH("Var", D386)), 1, IF(ISNUMBER(SEARCH("Gri", D386)), -1, 0)))=1, VERI_TABANI!E24*(1-0.928)*VERI_TABANI!$B$9, 0) + (VERI_TABANI!D24*B386*(VERI_TABANI!$B$13-VERI_TABANI!$B$14)*VERI_TABANI!G24) + (VERI_TABANI!D24*C386*(VERI_TABANI!$B$13-VERI_TABANI!$B$15)*VERI_TABANI!G24) + IF(ABS(IF(ISNUMBER(SEARCH("Var", D386)), 1, IF(ISNUMBER(SEARCH("Gri", D386)), -1, 0)))=1, VERI_TABANI!E24*(1-0.928)*0.00206091519919798*VERI_TABANI!G24, 0)) + ((MIN(VERI_TABANI!D25, VERI_TABANI!D25*B386)*VERI_TABANI!$B$7 + MAX(0, VERI_TABANI!D25*B386-VERI_TABANI!D25)*VERI_TABANI!$B$8) + (MIN(MAX(0, VERI_TABANI!D25-VERI_TABANI!D25*B386), VERI_TABANI!D25*C386)*VERI_TABANI!$B$7 + MAX(0, VERI_TABANI!D25*C386-MAX(0, VERI_TABANI!D25-VERI_TABANI!D25*B386))*VERI_TABANI!$B$8) + IF(ABS(IF(ISNUMBER(SEARCH("Var", D386)), 1, IF(ISNUMBER(SEARCH("Gri", D386)), -1, 0)))=1, VERI_TABANI!E25*(1-0.928)*VERI_TABANI!$B$9, 0) + (VERI_TABANI!D25*B386*(VERI_TABANI!$B$13-VERI_TABANI!$B$14)*VERI_TABANI!G25) + (VERI_TABANI!D25*C386*(VERI_TABANI!$B$13-VERI_TABANI!$B$15)*VERI_TABANI!G25) + IF(ABS(IF(ISNUMBER(SEARCH("Var", D386)), 1, IF(ISNUMBER(SEARCH("Gri", D386)), -1, 0)))=1, VERI_TABANI!E25*(1-0.928)*0.00206091519919798*VERI_TABANI!G25, 0)) + ((MIN(VERI_TABANI!D26, VERI_TABANI!D26*B386)*VERI_TABANI!$B$7 + MAX(0, VERI_TABANI!D26*B386-VERI_TABANI!D26)*VERI_TABANI!$B$8) + (MIN(MAX(0, VERI_TABANI!D26-VERI_TABANI!D26*B386), VERI_TABANI!D26*C386)*VERI_TABANI!$B$7 + MAX(0, VERI_TABANI!D26*C386-MAX(0, VERI_TABANI!D26-VERI_TABANI!D26*B386))*VERI_TABANI!$B$8) + IF(ABS(IF(ISNUMBER(SEARCH("Var", D386)), 1, IF(ISNUMBER(SEARCH("Gri", D386)), -1, 0)))=1, VERI_TABANI!E26*(1-0.928)*VERI_TABANI!$B$9, 0) + (VERI_TABANI!D26*B386*(VERI_TABANI!$B$13-VERI_TABANI!$B$14)*VERI_TABANI!G26) + (VERI_TABANI!D26*C386*(VERI_TABANI!$B$13-VERI_TABANI!$B$15)*VERI_TABANI!G26) + IF(ABS(IF(ISNUMBER(SEARCH("Var", D386)), 1, IF(ISNUMBER(SEARCH("Gri", D386)), -1, 0)))=1, VERI_TABANI!E26*(1-0.928)*0.00206091519919798*VERI_TABANI!G26, 0)) + ((MIN(VERI_TABANI!D27, VERI_TABANI!D27*B386)*VERI_TABANI!$B$7 + MAX(0, VERI_TABANI!D27*B386-VERI_TABANI!D27)*VERI_TABANI!$B$8) + (MIN(MAX(0, VERI_TABANI!D27-VERI_TABANI!D27*B386), VERI_TABANI!D27*C386)*VERI_TABANI!$B$7 + MAX(0, VERI_TABANI!D27*C386-MAX(0, VERI_TABANI!D27-VERI_TABANI!D27*B386))*VERI_TABANI!$B$8) + IF(ABS(IF(ISNUMBER(SEARCH("Var", D386)), 1, IF(ISNUMBER(SEARCH("Gri", D386)), -1, 0)))=1, VERI_TABANI!E27*(1-0.928)*VERI_TABANI!$B$9, 0) + (VERI_TABANI!D27*B386*(VERI_TABANI!$B$13-VERI_TABANI!$B$14)*VERI_TABANI!G27) + (VERI_TABANI!D27*C386*(VERI_TABANI!$B$13-VERI_TABANI!$B$15)*VERI_TABANI!G27) + IF(ABS(IF(ISNUMBER(SEARCH("Var", D386)), 1, IF(ISNUMBER(SEARCH("Gri", D386)), -1, 0)))=1, VERI_TABANI!E27*(1-0.928)*0.00206091519919798*VERI_TABANI!G27, 0)) + ((MIN(VERI_TABANI!D28, VERI_TABANI!D28*B386)*VERI_TABANI!$B$7 + MAX(0, VERI_TABANI!D28*B386-VERI_TABANI!D28)*VERI_TABANI!$B$8) + (MIN(MAX(0, VERI_TABANI!D28-VERI_TABANI!D28*B386), VERI_TABANI!D28*C386)*VERI_TABANI!$B$7 + MAX(0, VERI_TABANI!D28*C386-MAX(0, VERI_TABANI!D28-VERI_TABANI!D28*B386))*VERI_TABANI!$B$8) + IF(ABS(IF(ISNUMBER(SEARCH("Var", D386)), 1, IF(ISNUMBER(SEARCH("Gri", D386)), -1, 0)))=1, VERI_TABANI!E28*(1-0.928)*VERI_TABANI!$B$9, 0) + (VERI_TABANI!D28*B386*(VERI_TABANI!$B$13-VERI_TABANI!$B$14)*VERI_TABANI!G28) + (VERI_TABANI!D28*C386*(VERI_TABANI!$B$13-VERI_TABANI!$B$15)*VERI_TABANI!G28) + IF(ABS(IF(ISNUMBER(SEARCH("Var", D386)), 1, IF(ISNUMBER(SEARCH("Gri", D386)), -1, 0)))=1, VERI_TABANI!E28*(1-0.928)*0.00206091519919798*VERI_TABANI!G28, 0)))</f>
        <v/>
      </c>
      <c r="H386" s="169">
        <f>(((VERI_TABANI!D23*B386*(VERI_TABANI!$B$13-VERI_TABANI!$B$14)) + (VERI_TABANI!D23*C386*(VERI_TABANI!$B$13-VERI_TABANI!$B$15)) + IF(ISNUMBER(SEARCH("Var", D386)), VERI_TABANI!F23*(0.00202-VERI_TABANI!$B$16), IF(ISNUMBER(SEARCH("Gri", D386)), VERI_TABANI!F23*(0.00202-VERI_TABANI!$B$17), 0))) + ((VERI_TABANI!D24*B386*(VERI_TABANI!$B$13-VERI_TABANI!$B$14)) + (VERI_TABANI!D24*C386*(VERI_TABANI!$B$13-VERI_TABANI!$B$15)) + IF(ISNUMBER(SEARCH("Var", D386)), VERI_TABANI!F24*(0.00202-VERI_TABANI!$B$16), IF(ISNUMBER(SEARCH("Gri", D386)), VERI_TABANI!F24*(0.00202-VERI_TABANI!$B$17), 0))) + ((VERI_TABANI!D25*B386*(VERI_TABANI!$B$13-VERI_TABANI!$B$14)) + (VERI_TABANI!D25*C386*(VERI_TABANI!$B$13-VERI_TABANI!$B$15)) + IF(ISNUMBER(SEARCH("Var", D386)), VERI_TABANI!F25*(0.00202-VERI_TABANI!$B$16), IF(ISNUMBER(SEARCH("Gri", D386)), VERI_TABANI!F25*(0.00202-VERI_TABANI!$B$17), 0))) + ((VERI_TABANI!D26*B386*(VERI_TABANI!$B$13-VERI_TABANI!$B$14)) + (VERI_TABANI!D26*C386*(VERI_TABANI!$B$13-VERI_TABANI!$B$15)) + IF(ISNUMBER(SEARCH("Var", D386)), VERI_TABANI!F26*(0.00202-VERI_TABANI!$B$16), IF(ISNUMBER(SEARCH("Gri", D386)), VERI_TABANI!F26*(0.00202-VERI_TABANI!$B$17), 0))) + ((VERI_TABANI!D27*B386*(VERI_TABANI!$B$13-VERI_TABANI!$B$14)) + (VERI_TABANI!D27*C386*(VERI_TABANI!$B$13-VERI_TABANI!$B$15)) + IF(ISNUMBER(SEARCH("Var", D386)), VERI_TABANI!F27*(0.00202-VERI_TABANI!$B$16), IF(ISNUMBER(SEARCH("Gri", D386)), VERI_TABANI!F27*(0.00202-VERI_TABANI!$B$17), 0))) + ((VERI_TABANI!D28*B386*(VERI_TABANI!$B$13-VERI_TABANI!$B$14)) + (VERI_TABANI!D28*C386*(VERI_TABANI!$B$13-VERI_TABANI!$B$15)) + IF(ISNUMBER(SEARCH("Var", D386)), VERI_TABANI!F28*(0.00202-VERI_TABANI!$B$16), IF(ISNUMBER(SEARCH("Gri", D386)), VERI_TABANI!F28*(0.00202-VERI_TABANI!$B$17), 0))))</f>
        <v/>
      </c>
      <c r="I386" s="170">
        <f>IFERROR(((VERI_TABANI!$D$29*B386*VERI_TABANI!$B$14 + VERI_TABANI!$D$29*C386*VERI_TABANI!$B$15 + IF(ISNUMBER(SEARCH("Var", D386)), VERI_TABANI!$F$29*VERI_TABANI!$B$16, 0))) / (((VERI_TABANI!$D$29*B386 + VERI_TABANI!$D$29*C386)*VERI_TABANI!$B$13 + IF(ISNUMBER(SEARCH("Var", D386)), VERI_TABANI!$E$29*(1-0.928)*VERI_TABANI!$B$18, 0))), 0)</f>
        <v/>
      </c>
      <c r="J386" s="171">
        <f>IFERROR(F386/(G386/29), 0)</f>
        <v/>
      </c>
      <c r="K386" s="172">
        <f>IF(F386&gt;0, H386/F386, 0)</f>
        <v/>
      </c>
      <c r="L386" s="170">
        <f>IF(F386&gt;0, I386, 1000000000)</f>
        <v/>
      </c>
      <c r="M386" s="171">
        <f>ABS((B386+C386)-1)</f>
        <v/>
      </c>
      <c r="N386" s="170">
        <f>IF(F386&gt;0, (G386/29)/F386, 0)</f>
        <v/>
      </c>
      <c r="O386" s="168">
        <f>IF(AND((B386+C386)&gt;=1, ISNUMBER(SEARCH("Var", D386))), F386, 1000000000)</f>
        <v/>
      </c>
      <c r="P386" s="172">
        <f>IF(F386&gt;0, SQRT((F386/MAX(F$5:F$886))^2 + (1 - H386/MAX(H$5:H$886))^2 + (J386/MAX(J$5:J$886))^2), 1000000000)</f>
        <v/>
      </c>
      <c r="Q386" s="166">
        <f>IF(AND(ABS(B386-0.5)&lt;0.01, ABS(C386-0.5)&lt;0.01, ISNUMBER(SEARCH("Var", D386))), 1, 0)</f>
        <v/>
      </c>
      <c r="R386" s="171">
        <f>IF(F386&gt;0, J386, 1000000000)</f>
        <v/>
      </c>
      <c r="S386" s="101">
        <f>IF(AND(F386&lt;=DASHBOARD!$B$11, H386&gt;=DASHBOARD!$B$13), G386, -1000000000000)</f>
        <v/>
      </c>
      <c r="T386" s="101">
        <f>IF(AND(F386&lt;=DASHBOARD!$B$11, H386&gt;=DASHBOARD!$B$13), R386, 1000000000000)</f>
        <v/>
      </c>
      <c r="U386" s="101">
        <f>IF(AND(F386&lt;=DASHBOARD!$B$11, H386&gt;=DASHBOARD!$B$13), N386, -1000000000000)</f>
        <v/>
      </c>
      <c r="V386" s="101">
        <f>IF(AND(F386&lt;=DASHBOARD!$B$11, H386&gt;=DASHBOARD!$B$13), H386, -1000000000000)</f>
        <v/>
      </c>
      <c r="W386" s="101">
        <f>IF(AND(F386&lt;=DASHBOARD!$B$11, H386&gt;=DASHBOARD!$B$13), K386, -1000000000000)</f>
        <v/>
      </c>
      <c r="X386" s="101">
        <f>IF(AND(F386&lt;=DASHBOARD!$B$11, H386&gt;=DASHBOARD!$B$13), M386, 1000000000000)</f>
        <v/>
      </c>
      <c r="Y386" s="101">
        <f>IF(AND(F386&lt;=DASHBOARD!$B$10, H386&gt;=DASHBOARD!$B$11), L386, 1000000000000)</f>
        <v/>
      </c>
      <c r="Z386" s="101">
        <f>IF(AND(F386&lt;=DASHBOARD!$B$10, H386&gt;=DASHBOARD!$B$11), O386, 1000000000000)</f>
        <v/>
      </c>
      <c r="AA386" s="101">
        <f>IF(AND(F386&lt;=DASHBOARD!$B$10, H386&gt;=DASHBOARD!$B$11), P386, 1000000000000)</f>
        <v/>
      </c>
      <c r="AB386" s="101">
        <f>IF(AND(F386&lt;=DASHBOARD!$B$10, H386&gt;=DASHBOARD!$B$11), Q386, -1000000000000)</f>
        <v/>
      </c>
    </row>
    <row r="387" ht="15" customHeight="1" s="102">
      <c r="A387" s="166" t="n">
        <v>383</v>
      </c>
      <c r="B387" s="167" t="n">
        <v>0.9</v>
      </c>
      <c r="C387" s="167" t="n">
        <v>0.2</v>
      </c>
      <c r="D387" s="110" t="inlineStr">
        <is>
          <t>Yok (%0)</t>
        </is>
      </c>
      <c r="E387" s="110">
        <f>IF((B387+C387)&lt;=1, "Tam Mahsuplaşma (≤%100)", "Kısmi Satış (&gt;%100)")</f>
        <v/>
      </c>
      <c r="F387" s="168">
        <f>((VERI_TABANI!$D$29*B387/VERI_TABANI!$B$29)/VERI_TABANI!$B$3)*VERI_TABANI!$B$5 + ((VERI_TABANI!$D$29*C387/VERI_TABANI!$B$29)/VERI_TABANI!$B$4)*VERI_TABANI!$B$6 + IF(ISNUMBER(SEARCH("Var", D387)), (VERI_TABANI!$F$29/VERI_TABANI!$B$29)*(VERI_TABANI!$B$10+VERI_TABANI!$B$12), 0)</f>
        <v/>
      </c>
      <c r="G387" s="168">
        <f>(((MIN(VERI_TABANI!D23, VERI_TABANI!D23*B387)*VERI_TABANI!$B$7 + MAX(0, VERI_TABANI!D23*B387-VERI_TABANI!D23)*VERI_TABANI!$B$8) + (MIN(MAX(0, VERI_TABANI!D23-VERI_TABANI!D23*B387), VERI_TABANI!D23*C387)*VERI_TABANI!$B$7 + MAX(0, VERI_TABANI!D23*C387-MAX(0, VERI_TABANI!D23-VERI_TABANI!D23*B387))*VERI_TABANI!$B$8) + IF(ABS(IF(ISNUMBER(SEARCH("Var", D387)), 1, IF(ISNUMBER(SEARCH("Gri", D387)), -1, 0)))=1, VERI_TABANI!E23*(1-0.928)*VERI_TABANI!$B$9, 0) + (VERI_TABANI!D23*B387*(VERI_TABANI!$B$13-VERI_TABANI!$B$14)*VERI_TABANI!G23) + (VERI_TABANI!D23*C387*(VERI_TABANI!$B$13-VERI_TABANI!$B$15)*VERI_TABANI!G23) + IF(ABS(IF(ISNUMBER(SEARCH("Var", D387)), 1, IF(ISNUMBER(SEARCH("Gri", D387)), -1, 0)))=1, VERI_TABANI!E23*(1-0.928)*0.00206091519919798*VERI_TABANI!G23, 0)) + ((MIN(VERI_TABANI!D24, VERI_TABANI!D24*B387)*VERI_TABANI!$B$7 + MAX(0, VERI_TABANI!D24*B387-VERI_TABANI!D24)*VERI_TABANI!$B$8) + (MIN(MAX(0, VERI_TABANI!D24-VERI_TABANI!D24*B387), VERI_TABANI!D24*C387)*VERI_TABANI!$B$7 + MAX(0, VERI_TABANI!D24*C387-MAX(0, VERI_TABANI!D24-VERI_TABANI!D24*B387))*VERI_TABANI!$B$8) + IF(ABS(IF(ISNUMBER(SEARCH("Var", D387)), 1, IF(ISNUMBER(SEARCH("Gri", D387)), -1, 0)))=1, VERI_TABANI!E24*(1-0.928)*VERI_TABANI!$B$9, 0) + (VERI_TABANI!D24*B387*(VERI_TABANI!$B$13-VERI_TABANI!$B$14)*VERI_TABANI!G24) + (VERI_TABANI!D24*C387*(VERI_TABANI!$B$13-VERI_TABANI!$B$15)*VERI_TABANI!G24) + IF(ABS(IF(ISNUMBER(SEARCH("Var", D387)), 1, IF(ISNUMBER(SEARCH("Gri", D387)), -1, 0)))=1, VERI_TABANI!E24*(1-0.928)*0.00206091519919798*VERI_TABANI!G24, 0)) + ((MIN(VERI_TABANI!D25, VERI_TABANI!D25*B387)*VERI_TABANI!$B$7 + MAX(0, VERI_TABANI!D25*B387-VERI_TABANI!D25)*VERI_TABANI!$B$8) + (MIN(MAX(0, VERI_TABANI!D25-VERI_TABANI!D25*B387), VERI_TABANI!D25*C387)*VERI_TABANI!$B$7 + MAX(0, VERI_TABANI!D25*C387-MAX(0, VERI_TABANI!D25-VERI_TABANI!D25*B387))*VERI_TABANI!$B$8) + IF(ABS(IF(ISNUMBER(SEARCH("Var", D387)), 1, IF(ISNUMBER(SEARCH("Gri", D387)), -1, 0)))=1, VERI_TABANI!E25*(1-0.928)*VERI_TABANI!$B$9, 0) + (VERI_TABANI!D25*B387*(VERI_TABANI!$B$13-VERI_TABANI!$B$14)*VERI_TABANI!G25) + (VERI_TABANI!D25*C387*(VERI_TABANI!$B$13-VERI_TABANI!$B$15)*VERI_TABANI!G25) + IF(ABS(IF(ISNUMBER(SEARCH("Var", D387)), 1, IF(ISNUMBER(SEARCH("Gri", D387)), -1, 0)))=1, VERI_TABANI!E25*(1-0.928)*0.00206091519919798*VERI_TABANI!G25, 0)) + ((MIN(VERI_TABANI!D26, VERI_TABANI!D26*B387)*VERI_TABANI!$B$7 + MAX(0, VERI_TABANI!D26*B387-VERI_TABANI!D26)*VERI_TABANI!$B$8) + (MIN(MAX(0, VERI_TABANI!D26-VERI_TABANI!D26*B387), VERI_TABANI!D26*C387)*VERI_TABANI!$B$7 + MAX(0, VERI_TABANI!D26*C387-MAX(0, VERI_TABANI!D26-VERI_TABANI!D26*B387))*VERI_TABANI!$B$8) + IF(ABS(IF(ISNUMBER(SEARCH("Var", D387)), 1, IF(ISNUMBER(SEARCH("Gri", D387)), -1, 0)))=1, VERI_TABANI!E26*(1-0.928)*VERI_TABANI!$B$9, 0) + (VERI_TABANI!D26*B387*(VERI_TABANI!$B$13-VERI_TABANI!$B$14)*VERI_TABANI!G26) + (VERI_TABANI!D26*C387*(VERI_TABANI!$B$13-VERI_TABANI!$B$15)*VERI_TABANI!G26) + IF(ABS(IF(ISNUMBER(SEARCH("Var", D387)), 1, IF(ISNUMBER(SEARCH("Gri", D387)), -1, 0)))=1, VERI_TABANI!E26*(1-0.928)*0.00206091519919798*VERI_TABANI!G26, 0)) + ((MIN(VERI_TABANI!D27, VERI_TABANI!D27*B387)*VERI_TABANI!$B$7 + MAX(0, VERI_TABANI!D27*B387-VERI_TABANI!D27)*VERI_TABANI!$B$8) + (MIN(MAX(0, VERI_TABANI!D27-VERI_TABANI!D27*B387), VERI_TABANI!D27*C387)*VERI_TABANI!$B$7 + MAX(0, VERI_TABANI!D27*C387-MAX(0, VERI_TABANI!D27-VERI_TABANI!D27*B387))*VERI_TABANI!$B$8) + IF(ABS(IF(ISNUMBER(SEARCH("Var", D387)), 1, IF(ISNUMBER(SEARCH("Gri", D387)), -1, 0)))=1, VERI_TABANI!E27*(1-0.928)*VERI_TABANI!$B$9, 0) + (VERI_TABANI!D27*B387*(VERI_TABANI!$B$13-VERI_TABANI!$B$14)*VERI_TABANI!G27) + (VERI_TABANI!D27*C387*(VERI_TABANI!$B$13-VERI_TABANI!$B$15)*VERI_TABANI!G27) + IF(ABS(IF(ISNUMBER(SEARCH("Var", D387)), 1, IF(ISNUMBER(SEARCH("Gri", D387)), -1, 0)))=1, VERI_TABANI!E27*(1-0.928)*0.00206091519919798*VERI_TABANI!G27, 0)) + ((MIN(VERI_TABANI!D28, VERI_TABANI!D28*B387)*VERI_TABANI!$B$7 + MAX(0, VERI_TABANI!D28*B387-VERI_TABANI!D28)*VERI_TABANI!$B$8) + (MIN(MAX(0, VERI_TABANI!D28-VERI_TABANI!D28*B387), VERI_TABANI!D28*C387)*VERI_TABANI!$B$7 + MAX(0, VERI_TABANI!D28*C387-MAX(0, VERI_TABANI!D28-VERI_TABANI!D28*B387))*VERI_TABANI!$B$8) + IF(ABS(IF(ISNUMBER(SEARCH("Var", D387)), 1, IF(ISNUMBER(SEARCH("Gri", D387)), -1, 0)))=1, VERI_TABANI!E28*(1-0.928)*VERI_TABANI!$B$9, 0) + (VERI_TABANI!D28*B387*(VERI_TABANI!$B$13-VERI_TABANI!$B$14)*VERI_TABANI!G28) + (VERI_TABANI!D28*C387*(VERI_TABANI!$B$13-VERI_TABANI!$B$15)*VERI_TABANI!G28) + IF(ABS(IF(ISNUMBER(SEARCH("Var", D387)), 1, IF(ISNUMBER(SEARCH("Gri", D387)), -1, 0)))=1, VERI_TABANI!E28*(1-0.928)*0.00206091519919798*VERI_TABANI!G28, 0)))</f>
        <v/>
      </c>
      <c r="H387" s="169">
        <f>(((VERI_TABANI!D23*B387*(VERI_TABANI!$B$13-VERI_TABANI!$B$14)) + (VERI_TABANI!D23*C387*(VERI_TABANI!$B$13-VERI_TABANI!$B$15)) + IF(ISNUMBER(SEARCH("Var", D387)), VERI_TABANI!F23*(0.00202-VERI_TABANI!$B$16), IF(ISNUMBER(SEARCH("Gri", D387)), VERI_TABANI!F23*(0.00202-VERI_TABANI!$B$17), 0))) + ((VERI_TABANI!D24*B387*(VERI_TABANI!$B$13-VERI_TABANI!$B$14)) + (VERI_TABANI!D24*C387*(VERI_TABANI!$B$13-VERI_TABANI!$B$15)) + IF(ISNUMBER(SEARCH("Var", D387)), VERI_TABANI!F24*(0.00202-VERI_TABANI!$B$16), IF(ISNUMBER(SEARCH("Gri", D387)), VERI_TABANI!F24*(0.00202-VERI_TABANI!$B$17), 0))) + ((VERI_TABANI!D25*B387*(VERI_TABANI!$B$13-VERI_TABANI!$B$14)) + (VERI_TABANI!D25*C387*(VERI_TABANI!$B$13-VERI_TABANI!$B$15)) + IF(ISNUMBER(SEARCH("Var", D387)), VERI_TABANI!F25*(0.00202-VERI_TABANI!$B$16), IF(ISNUMBER(SEARCH("Gri", D387)), VERI_TABANI!F25*(0.00202-VERI_TABANI!$B$17), 0))) + ((VERI_TABANI!D26*B387*(VERI_TABANI!$B$13-VERI_TABANI!$B$14)) + (VERI_TABANI!D26*C387*(VERI_TABANI!$B$13-VERI_TABANI!$B$15)) + IF(ISNUMBER(SEARCH("Var", D387)), VERI_TABANI!F26*(0.00202-VERI_TABANI!$B$16), IF(ISNUMBER(SEARCH("Gri", D387)), VERI_TABANI!F26*(0.00202-VERI_TABANI!$B$17), 0))) + ((VERI_TABANI!D27*B387*(VERI_TABANI!$B$13-VERI_TABANI!$B$14)) + (VERI_TABANI!D27*C387*(VERI_TABANI!$B$13-VERI_TABANI!$B$15)) + IF(ISNUMBER(SEARCH("Var", D387)), VERI_TABANI!F27*(0.00202-VERI_TABANI!$B$16), IF(ISNUMBER(SEARCH("Gri", D387)), VERI_TABANI!F27*(0.00202-VERI_TABANI!$B$17), 0))) + ((VERI_TABANI!D28*B387*(VERI_TABANI!$B$13-VERI_TABANI!$B$14)) + (VERI_TABANI!D28*C387*(VERI_TABANI!$B$13-VERI_TABANI!$B$15)) + IF(ISNUMBER(SEARCH("Var", D387)), VERI_TABANI!F28*(0.00202-VERI_TABANI!$B$16), IF(ISNUMBER(SEARCH("Gri", D387)), VERI_TABANI!F28*(0.00202-VERI_TABANI!$B$17), 0))))</f>
        <v/>
      </c>
      <c r="I387" s="170">
        <f>IFERROR(((VERI_TABANI!$D$29*B387*VERI_TABANI!$B$14 + VERI_TABANI!$D$29*C387*VERI_TABANI!$B$15 + IF(ISNUMBER(SEARCH("Var", D387)), VERI_TABANI!$F$29*VERI_TABANI!$B$16, 0))) / (((VERI_TABANI!$D$29*B387 + VERI_TABANI!$D$29*C387)*VERI_TABANI!$B$13 + IF(ISNUMBER(SEARCH("Var", D387)), VERI_TABANI!$E$29*(1-0.928)*VERI_TABANI!$B$18, 0))), 0)</f>
        <v/>
      </c>
      <c r="J387" s="171">
        <f>IFERROR(F387/(G387/29), 0)</f>
        <v/>
      </c>
      <c r="K387" s="172">
        <f>IF(F387&gt;0, H387/F387, 0)</f>
        <v/>
      </c>
      <c r="L387" s="170">
        <f>IF(F387&gt;0, I387, 1000000000)</f>
        <v/>
      </c>
      <c r="M387" s="171">
        <f>ABS((B387+C387)-1)</f>
        <v/>
      </c>
      <c r="N387" s="170">
        <f>IF(F387&gt;0, (G387/29)/F387, 0)</f>
        <v/>
      </c>
      <c r="O387" s="168">
        <f>IF(AND((B387+C387)&gt;=1, ISNUMBER(SEARCH("Var", D387))), F387, 1000000000)</f>
        <v/>
      </c>
      <c r="P387" s="172">
        <f>IF(F387&gt;0, SQRT((F387/MAX(F$5:F$886))^2 + (1 - H387/MAX(H$5:H$886))^2 + (J387/MAX(J$5:J$886))^2), 1000000000)</f>
        <v/>
      </c>
      <c r="Q387" s="166">
        <f>IF(AND(ABS(B387-0.5)&lt;0.01, ABS(C387-0.5)&lt;0.01, ISNUMBER(SEARCH("Var", D387))), 1, 0)</f>
        <v/>
      </c>
      <c r="R387" s="171">
        <f>IF(F387&gt;0, J387, 1000000000)</f>
        <v/>
      </c>
      <c r="S387" s="101">
        <f>IF(AND(F387&lt;=DASHBOARD!$B$11, H387&gt;=DASHBOARD!$B$13), G387, -1000000000000)</f>
        <v/>
      </c>
      <c r="T387" s="101">
        <f>IF(AND(F387&lt;=DASHBOARD!$B$11, H387&gt;=DASHBOARD!$B$13), R387, 1000000000000)</f>
        <v/>
      </c>
      <c r="U387" s="101">
        <f>IF(AND(F387&lt;=DASHBOARD!$B$11, H387&gt;=DASHBOARD!$B$13), N387, -1000000000000)</f>
        <v/>
      </c>
      <c r="V387" s="101">
        <f>IF(AND(F387&lt;=DASHBOARD!$B$11, H387&gt;=DASHBOARD!$B$13), H387, -1000000000000)</f>
        <v/>
      </c>
      <c r="W387" s="101">
        <f>IF(AND(F387&lt;=DASHBOARD!$B$11, H387&gt;=DASHBOARD!$B$13), K387, -1000000000000)</f>
        <v/>
      </c>
      <c r="X387" s="101">
        <f>IF(AND(F387&lt;=DASHBOARD!$B$11, H387&gt;=DASHBOARD!$B$13), M387, 1000000000000)</f>
        <v/>
      </c>
      <c r="Y387" s="101">
        <f>IF(AND(F387&lt;=DASHBOARD!$B$10, H387&gt;=DASHBOARD!$B$11), L387, 1000000000000)</f>
        <v/>
      </c>
      <c r="Z387" s="101">
        <f>IF(AND(F387&lt;=DASHBOARD!$B$10, H387&gt;=DASHBOARD!$B$11), O387, 1000000000000)</f>
        <v/>
      </c>
      <c r="AA387" s="101">
        <f>IF(AND(F387&lt;=DASHBOARD!$B$10, H387&gt;=DASHBOARD!$B$11), P387, 1000000000000)</f>
        <v/>
      </c>
      <c r="AB387" s="101">
        <f>IF(AND(F387&lt;=DASHBOARD!$B$10, H387&gt;=DASHBOARD!$B$11), Q387, -1000000000000)</f>
        <v/>
      </c>
    </row>
    <row r="388" ht="15" customHeight="1" s="102">
      <c r="A388" s="166" t="n">
        <v>384</v>
      </c>
      <c r="B388" s="167" t="n">
        <v>0.9</v>
      </c>
      <c r="C388" s="167" t="n">
        <v>0.2</v>
      </c>
      <c r="D388" s="110" t="inlineStr">
        <is>
          <t>Var (%20)</t>
        </is>
      </c>
      <c r="E388" s="110">
        <f>IF((B388+C388)&lt;=1, "Tam Mahsuplaşma (≤%100)", "Kısmi Satış (&gt;%100)")</f>
        <v/>
      </c>
      <c r="F388" s="168">
        <f>((VERI_TABANI!$D$29*B388/VERI_TABANI!$B$29)/VERI_TABANI!$B$3)*VERI_TABANI!$B$5 + ((VERI_TABANI!$D$29*C388/VERI_TABANI!$B$29)/VERI_TABANI!$B$4)*VERI_TABANI!$B$6 + IF(ISNUMBER(SEARCH("Var", D388)), (VERI_TABANI!$F$29/VERI_TABANI!$B$29)*(VERI_TABANI!$B$10+VERI_TABANI!$B$12), 0)</f>
        <v/>
      </c>
      <c r="G388" s="168">
        <f>(((MIN(VERI_TABANI!D23, VERI_TABANI!D23*B388)*VERI_TABANI!$B$7 + MAX(0, VERI_TABANI!D23*B388-VERI_TABANI!D23)*VERI_TABANI!$B$8) + (MIN(MAX(0, VERI_TABANI!D23-VERI_TABANI!D23*B388), VERI_TABANI!D23*C388)*VERI_TABANI!$B$7 + MAX(0, VERI_TABANI!D23*C388-MAX(0, VERI_TABANI!D23-VERI_TABANI!D23*B388))*VERI_TABANI!$B$8) + IF(ABS(IF(ISNUMBER(SEARCH("Var", D388)), 1, IF(ISNUMBER(SEARCH("Gri", D388)), -1, 0)))=1, VERI_TABANI!E23*(1-0.928)*VERI_TABANI!$B$9, 0) + (VERI_TABANI!D23*B388*(VERI_TABANI!$B$13-VERI_TABANI!$B$14)*VERI_TABANI!G23) + (VERI_TABANI!D23*C388*(VERI_TABANI!$B$13-VERI_TABANI!$B$15)*VERI_TABANI!G23) + IF(ABS(IF(ISNUMBER(SEARCH("Var", D388)), 1, IF(ISNUMBER(SEARCH("Gri", D388)), -1, 0)))=1, VERI_TABANI!E23*(1-0.928)*0.00206091519919798*VERI_TABANI!G23, 0)) + ((MIN(VERI_TABANI!D24, VERI_TABANI!D24*B388)*VERI_TABANI!$B$7 + MAX(0, VERI_TABANI!D24*B388-VERI_TABANI!D24)*VERI_TABANI!$B$8) + (MIN(MAX(0, VERI_TABANI!D24-VERI_TABANI!D24*B388), VERI_TABANI!D24*C388)*VERI_TABANI!$B$7 + MAX(0, VERI_TABANI!D24*C388-MAX(0, VERI_TABANI!D24-VERI_TABANI!D24*B388))*VERI_TABANI!$B$8) + IF(ABS(IF(ISNUMBER(SEARCH("Var", D388)), 1, IF(ISNUMBER(SEARCH("Gri", D388)), -1, 0)))=1, VERI_TABANI!E24*(1-0.928)*VERI_TABANI!$B$9, 0) + (VERI_TABANI!D24*B388*(VERI_TABANI!$B$13-VERI_TABANI!$B$14)*VERI_TABANI!G24) + (VERI_TABANI!D24*C388*(VERI_TABANI!$B$13-VERI_TABANI!$B$15)*VERI_TABANI!G24) + IF(ABS(IF(ISNUMBER(SEARCH("Var", D388)), 1, IF(ISNUMBER(SEARCH("Gri", D388)), -1, 0)))=1, VERI_TABANI!E24*(1-0.928)*0.00206091519919798*VERI_TABANI!G24, 0)) + ((MIN(VERI_TABANI!D25, VERI_TABANI!D25*B388)*VERI_TABANI!$B$7 + MAX(0, VERI_TABANI!D25*B388-VERI_TABANI!D25)*VERI_TABANI!$B$8) + (MIN(MAX(0, VERI_TABANI!D25-VERI_TABANI!D25*B388), VERI_TABANI!D25*C388)*VERI_TABANI!$B$7 + MAX(0, VERI_TABANI!D25*C388-MAX(0, VERI_TABANI!D25-VERI_TABANI!D25*B388))*VERI_TABANI!$B$8) + IF(ABS(IF(ISNUMBER(SEARCH("Var", D388)), 1, IF(ISNUMBER(SEARCH("Gri", D388)), -1, 0)))=1, VERI_TABANI!E25*(1-0.928)*VERI_TABANI!$B$9, 0) + (VERI_TABANI!D25*B388*(VERI_TABANI!$B$13-VERI_TABANI!$B$14)*VERI_TABANI!G25) + (VERI_TABANI!D25*C388*(VERI_TABANI!$B$13-VERI_TABANI!$B$15)*VERI_TABANI!G25) + IF(ABS(IF(ISNUMBER(SEARCH("Var", D388)), 1, IF(ISNUMBER(SEARCH("Gri", D388)), -1, 0)))=1, VERI_TABANI!E25*(1-0.928)*0.00206091519919798*VERI_TABANI!G25, 0)) + ((MIN(VERI_TABANI!D26, VERI_TABANI!D26*B388)*VERI_TABANI!$B$7 + MAX(0, VERI_TABANI!D26*B388-VERI_TABANI!D26)*VERI_TABANI!$B$8) + (MIN(MAX(0, VERI_TABANI!D26-VERI_TABANI!D26*B388), VERI_TABANI!D26*C388)*VERI_TABANI!$B$7 + MAX(0, VERI_TABANI!D26*C388-MAX(0, VERI_TABANI!D26-VERI_TABANI!D26*B388))*VERI_TABANI!$B$8) + IF(ABS(IF(ISNUMBER(SEARCH("Var", D388)), 1, IF(ISNUMBER(SEARCH("Gri", D388)), -1, 0)))=1, VERI_TABANI!E26*(1-0.928)*VERI_TABANI!$B$9, 0) + (VERI_TABANI!D26*B388*(VERI_TABANI!$B$13-VERI_TABANI!$B$14)*VERI_TABANI!G26) + (VERI_TABANI!D26*C388*(VERI_TABANI!$B$13-VERI_TABANI!$B$15)*VERI_TABANI!G26) + IF(ABS(IF(ISNUMBER(SEARCH("Var", D388)), 1, IF(ISNUMBER(SEARCH("Gri", D388)), -1, 0)))=1, VERI_TABANI!E26*(1-0.928)*0.00206091519919798*VERI_TABANI!G26, 0)) + ((MIN(VERI_TABANI!D27, VERI_TABANI!D27*B388)*VERI_TABANI!$B$7 + MAX(0, VERI_TABANI!D27*B388-VERI_TABANI!D27)*VERI_TABANI!$B$8) + (MIN(MAX(0, VERI_TABANI!D27-VERI_TABANI!D27*B388), VERI_TABANI!D27*C388)*VERI_TABANI!$B$7 + MAX(0, VERI_TABANI!D27*C388-MAX(0, VERI_TABANI!D27-VERI_TABANI!D27*B388))*VERI_TABANI!$B$8) + IF(ABS(IF(ISNUMBER(SEARCH("Var", D388)), 1, IF(ISNUMBER(SEARCH("Gri", D388)), -1, 0)))=1, VERI_TABANI!E27*(1-0.928)*VERI_TABANI!$B$9, 0) + (VERI_TABANI!D27*B388*(VERI_TABANI!$B$13-VERI_TABANI!$B$14)*VERI_TABANI!G27) + (VERI_TABANI!D27*C388*(VERI_TABANI!$B$13-VERI_TABANI!$B$15)*VERI_TABANI!G27) + IF(ABS(IF(ISNUMBER(SEARCH("Var", D388)), 1, IF(ISNUMBER(SEARCH("Gri", D388)), -1, 0)))=1, VERI_TABANI!E27*(1-0.928)*0.00206091519919798*VERI_TABANI!G27, 0)) + ((MIN(VERI_TABANI!D28, VERI_TABANI!D28*B388)*VERI_TABANI!$B$7 + MAX(0, VERI_TABANI!D28*B388-VERI_TABANI!D28)*VERI_TABANI!$B$8) + (MIN(MAX(0, VERI_TABANI!D28-VERI_TABANI!D28*B388), VERI_TABANI!D28*C388)*VERI_TABANI!$B$7 + MAX(0, VERI_TABANI!D28*C388-MAX(0, VERI_TABANI!D28-VERI_TABANI!D28*B388))*VERI_TABANI!$B$8) + IF(ABS(IF(ISNUMBER(SEARCH("Var", D388)), 1, IF(ISNUMBER(SEARCH("Gri", D388)), -1, 0)))=1, VERI_TABANI!E28*(1-0.928)*VERI_TABANI!$B$9, 0) + (VERI_TABANI!D28*B388*(VERI_TABANI!$B$13-VERI_TABANI!$B$14)*VERI_TABANI!G28) + (VERI_TABANI!D28*C388*(VERI_TABANI!$B$13-VERI_TABANI!$B$15)*VERI_TABANI!G28) + IF(ABS(IF(ISNUMBER(SEARCH("Var", D388)), 1, IF(ISNUMBER(SEARCH("Gri", D388)), -1, 0)))=1, VERI_TABANI!E28*(1-0.928)*0.00206091519919798*VERI_TABANI!G28, 0)))</f>
        <v/>
      </c>
      <c r="H388" s="169">
        <f>(((VERI_TABANI!D23*B388*(VERI_TABANI!$B$13-VERI_TABANI!$B$14)) + (VERI_TABANI!D23*C388*(VERI_TABANI!$B$13-VERI_TABANI!$B$15)) + IF(ISNUMBER(SEARCH("Var", D388)), VERI_TABANI!F23*(0.00202-VERI_TABANI!$B$16), IF(ISNUMBER(SEARCH("Gri", D388)), VERI_TABANI!F23*(0.00202-VERI_TABANI!$B$17), 0))) + ((VERI_TABANI!D24*B388*(VERI_TABANI!$B$13-VERI_TABANI!$B$14)) + (VERI_TABANI!D24*C388*(VERI_TABANI!$B$13-VERI_TABANI!$B$15)) + IF(ISNUMBER(SEARCH("Var", D388)), VERI_TABANI!F24*(0.00202-VERI_TABANI!$B$16), IF(ISNUMBER(SEARCH("Gri", D388)), VERI_TABANI!F24*(0.00202-VERI_TABANI!$B$17), 0))) + ((VERI_TABANI!D25*B388*(VERI_TABANI!$B$13-VERI_TABANI!$B$14)) + (VERI_TABANI!D25*C388*(VERI_TABANI!$B$13-VERI_TABANI!$B$15)) + IF(ISNUMBER(SEARCH("Var", D388)), VERI_TABANI!F25*(0.00202-VERI_TABANI!$B$16), IF(ISNUMBER(SEARCH("Gri", D388)), VERI_TABANI!F25*(0.00202-VERI_TABANI!$B$17), 0))) + ((VERI_TABANI!D26*B388*(VERI_TABANI!$B$13-VERI_TABANI!$B$14)) + (VERI_TABANI!D26*C388*(VERI_TABANI!$B$13-VERI_TABANI!$B$15)) + IF(ISNUMBER(SEARCH("Var", D388)), VERI_TABANI!F26*(0.00202-VERI_TABANI!$B$16), IF(ISNUMBER(SEARCH("Gri", D388)), VERI_TABANI!F26*(0.00202-VERI_TABANI!$B$17), 0))) + ((VERI_TABANI!D27*B388*(VERI_TABANI!$B$13-VERI_TABANI!$B$14)) + (VERI_TABANI!D27*C388*(VERI_TABANI!$B$13-VERI_TABANI!$B$15)) + IF(ISNUMBER(SEARCH("Var", D388)), VERI_TABANI!F27*(0.00202-VERI_TABANI!$B$16), IF(ISNUMBER(SEARCH("Gri", D388)), VERI_TABANI!F27*(0.00202-VERI_TABANI!$B$17), 0))) + ((VERI_TABANI!D28*B388*(VERI_TABANI!$B$13-VERI_TABANI!$B$14)) + (VERI_TABANI!D28*C388*(VERI_TABANI!$B$13-VERI_TABANI!$B$15)) + IF(ISNUMBER(SEARCH("Var", D388)), VERI_TABANI!F28*(0.00202-VERI_TABANI!$B$16), IF(ISNUMBER(SEARCH("Gri", D388)), VERI_TABANI!F28*(0.00202-VERI_TABANI!$B$17), 0))))</f>
        <v/>
      </c>
      <c r="I388" s="170">
        <f>IFERROR(((VERI_TABANI!$D$29*B388*VERI_TABANI!$B$14 + VERI_TABANI!$D$29*C388*VERI_TABANI!$B$15 + IF(ISNUMBER(SEARCH("Var", D388)), VERI_TABANI!$F$29*VERI_TABANI!$B$16, 0))) / (((VERI_TABANI!$D$29*B388 + VERI_TABANI!$D$29*C388)*VERI_TABANI!$B$13 + IF(ISNUMBER(SEARCH("Var", D388)), VERI_TABANI!$E$29*(1-0.928)*VERI_TABANI!$B$18, 0))), 0)</f>
        <v/>
      </c>
      <c r="J388" s="171">
        <f>IFERROR(F388/(G388/29), 0)</f>
        <v/>
      </c>
      <c r="K388" s="172">
        <f>IF(F388&gt;0, H388/F388, 0)</f>
        <v/>
      </c>
      <c r="L388" s="170">
        <f>IF(F388&gt;0, I388, 1000000000)</f>
        <v/>
      </c>
      <c r="M388" s="171">
        <f>ABS((B388+C388)-1)</f>
        <v/>
      </c>
      <c r="N388" s="170">
        <f>IF(F388&gt;0, (G388/29)/F388, 0)</f>
        <v/>
      </c>
      <c r="O388" s="168">
        <f>IF(AND((B388+C388)&gt;=1, ISNUMBER(SEARCH("Var", D388))), F388, 1000000000)</f>
        <v/>
      </c>
      <c r="P388" s="172">
        <f>IF(F388&gt;0, SQRT((F388/MAX(F$5:F$886))^2 + (1 - H388/MAX(H$5:H$886))^2 + (J388/MAX(J$5:J$886))^2), 1000000000)</f>
        <v/>
      </c>
      <c r="Q388" s="166">
        <f>IF(AND(ABS(B388-0.5)&lt;0.01, ABS(C388-0.5)&lt;0.01, ISNUMBER(SEARCH("Var", D388))), 1, 0)</f>
        <v/>
      </c>
      <c r="R388" s="171">
        <f>IF(F388&gt;0, J388, 1000000000)</f>
        <v/>
      </c>
      <c r="S388" s="101">
        <f>IF(AND(F388&lt;=DASHBOARD!$B$11, H388&gt;=DASHBOARD!$B$13), G388, -1000000000000)</f>
        <v/>
      </c>
      <c r="T388" s="101">
        <f>IF(AND(F388&lt;=DASHBOARD!$B$11, H388&gt;=DASHBOARD!$B$13), R388, 1000000000000)</f>
        <v/>
      </c>
      <c r="U388" s="101">
        <f>IF(AND(F388&lt;=DASHBOARD!$B$11, H388&gt;=DASHBOARD!$B$13), N388, -1000000000000)</f>
        <v/>
      </c>
      <c r="V388" s="101">
        <f>IF(AND(F388&lt;=DASHBOARD!$B$11, H388&gt;=DASHBOARD!$B$13), H388, -1000000000000)</f>
        <v/>
      </c>
      <c r="W388" s="101">
        <f>IF(AND(F388&lt;=DASHBOARD!$B$11, H388&gt;=DASHBOARD!$B$13), K388, -1000000000000)</f>
        <v/>
      </c>
      <c r="X388" s="101">
        <f>IF(AND(F388&lt;=DASHBOARD!$B$11, H388&gt;=DASHBOARD!$B$13), M388, 1000000000000)</f>
        <v/>
      </c>
      <c r="Y388" s="101">
        <f>IF(AND(F388&lt;=DASHBOARD!$B$10, H388&gt;=DASHBOARD!$B$11), L388, 1000000000000)</f>
        <v/>
      </c>
      <c r="Z388" s="101">
        <f>IF(AND(F388&lt;=DASHBOARD!$B$10, H388&gt;=DASHBOARD!$B$11), O388, 1000000000000)</f>
        <v/>
      </c>
      <c r="AA388" s="101">
        <f>IF(AND(F388&lt;=DASHBOARD!$B$10, H388&gt;=DASHBOARD!$B$11), P388, 1000000000000)</f>
        <v/>
      </c>
      <c r="AB388" s="101">
        <f>IF(AND(F388&lt;=DASHBOARD!$B$10, H388&gt;=DASHBOARD!$B$11), Q388, -1000000000000)</f>
        <v/>
      </c>
    </row>
    <row r="389" ht="15" customHeight="1" s="102">
      <c r="A389" s="166" t="n">
        <v>385</v>
      </c>
      <c r="B389" s="167" t="n">
        <v>0.9</v>
      </c>
      <c r="C389" s="167" t="n">
        <v>0.3</v>
      </c>
      <c r="D389" s="110" t="inlineStr">
        <is>
          <t>Yok (%0)</t>
        </is>
      </c>
      <c r="E389" s="110">
        <f>IF((B389+C389)&lt;=1, "Tam Mahsuplaşma (≤%100)", "Kısmi Satış (&gt;%100)")</f>
        <v/>
      </c>
      <c r="F389" s="168">
        <f>((VERI_TABANI!$D$29*B389/VERI_TABANI!$B$29)/VERI_TABANI!$B$3)*VERI_TABANI!$B$5 + ((VERI_TABANI!$D$29*C389/VERI_TABANI!$B$29)/VERI_TABANI!$B$4)*VERI_TABANI!$B$6 + IF(ISNUMBER(SEARCH("Var", D389)), (VERI_TABANI!$F$29/VERI_TABANI!$B$29)*(VERI_TABANI!$B$10+VERI_TABANI!$B$12), 0)</f>
        <v/>
      </c>
      <c r="G389" s="168">
        <f>(((MIN(VERI_TABANI!D23, VERI_TABANI!D23*B389)*VERI_TABANI!$B$7 + MAX(0, VERI_TABANI!D23*B389-VERI_TABANI!D23)*VERI_TABANI!$B$8) + (MIN(MAX(0, VERI_TABANI!D23-VERI_TABANI!D23*B389), VERI_TABANI!D23*C389)*VERI_TABANI!$B$7 + MAX(0, VERI_TABANI!D23*C389-MAX(0, VERI_TABANI!D23-VERI_TABANI!D23*B389))*VERI_TABANI!$B$8) + IF(ABS(IF(ISNUMBER(SEARCH("Var", D389)), 1, IF(ISNUMBER(SEARCH("Gri", D389)), -1, 0)))=1, VERI_TABANI!E23*(1-0.928)*VERI_TABANI!$B$9, 0) + (VERI_TABANI!D23*B389*(VERI_TABANI!$B$13-VERI_TABANI!$B$14)*VERI_TABANI!G23) + (VERI_TABANI!D23*C389*(VERI_TABANI!$B$13-VERI_TABANI!$B$15)*VERI_TABANI!G23) + IF(ABS(IF(ISNUMBER(SEARCH("Var", D389)), 1, IF(ISNUMBER(SEARCH("Gri", D389)), -1, 0)))=1, VERI_TABANI!E23*(1-0.928)*0.00206091519919798*VERI_TABANI!G23, 0)) + ((MIN(VERI_TABANI!D24, VERI_TABANI!D24*B389)*VERI_TABANI!$B$7 + MAX(0, VERI_TABANI!D24*B389-VERI_TABANI!D24)*VERI_TABANI!$B$8) + (MIN(MAX(0, VERI_TABANI!D24-VERI_TABANI!D24*B389), VERI_TABANI!D24*C389)*VERI_TABANI!$B$7 + MAX(0, VERI_TABANI!D24*C389-MAX(0, VERI_TABANI!D24-VERI_TABANI!D24*B389))*VERI_TABANI!$B$8) + IF(ABS(IF(ISNUMBER(SEARCH("Var", D389)), 1, IF(ISNUMBER(SEARCH("Gri", D389)), -1, 0)))=1, VERI_TABANI!E24*(1-0.928)*VERI_TABANI!$B$9, 0) + (VERI_TABANI!D24*B389*(VERI_TABANI!$B$13-VERI_TABANI!$B$14)*VERI_TABANI!G24) + (VERI_TABANI!D24*C389*(VERI_TABANI!$B$13-VERI_TABANI!$B$15)*VERI_TABANI!G24) + IF(ABS(IF(ISNUMBER(SEARCH("Var", D389)), 1, IF(ISNUMBER(SEARCH("Gri", D389)), -1, 0)))=1, VERI_TABANI!E24*(1-0.928)*0.00206091519919798*VERI_TABANI!G24, 0)) + ((MIN(VERI_TABANI!D25, VERI_TABANI!D25*B389)*VERI_TABANI!$B$7 + MAX(0, VERI_TABANI!D25*B389-VERI_TABANI!D25)*VERI_TABANI!$B$8) + (MIN(MAX(0, VERI_TABANI!D25-VERI_TABANI!D25*B389), VERI_TABANI!D25*C389)*VERI_TABANI!$B$7 + MAX(0, VERI_TABANI!D25*C389-MAX(0, VERI_TABANI!D25-VERI_TABANI!D25*B389))*VERI_TABANI!$B$8) + IF(ABS(IF(ISNUMBER(SEARCH("Var", D389)), 1, IF(ISNUMBER(SEARCH("Gri", D389)), -1, 0)))=1, VERI_TABANI!E25*(1-0.928)*VERI_TABANI!$B$9, 0) + (VERI_TABANI!D25*B389*(VERI_TABANI!$B$13-VERI_TABANI!$B$14)*VERI_TABANI!G25) + (VERI_TABANI!D25*C389*(VERI_TABANI!$B$13-VERI_TABANI!$B$15)*VERI_TABANI!G25) + IF(ABS(IF(ISNUMBER(SEARCH("Var", D389)), 1, IF(ISNUMBER(SEARCH("Gri", D389)), -1, 0)))=1, VERI_TABANI!E25*(1-0.928)*0.00206091519919798*VERI_TABANI!G25, 0)) + ((MIN(VERI_TABANI!D26, VERI_TABANI!D26*B389)*VERI_TABANI!$B$7 + MAX(0, VERI_TABANI!D26*B389-VERI_TABANI!D26)*VERI_TABANI!$B$8) + (MIN(MAX(0, VERI_TABANI!D26-VERI_TABANI!D26*B389), VERI_TABANI!D26*C389)*VERI_TABANI!$B$7 + MAX(0, VERI_TABANI!D26*C389-MAX(0, VERI_TABANI!D26-VERI_TABANI!D26*B389))*VERI_TABANI!$B$8) + IF(ABS(IF(ISNUMBER(SEARCH("Var", D389)), 1, IF(ISNUMBER(SEARCH("Gri", D389)), -1, 0)))=1, VERI_TABANI!E26*(1-0.928)*VERI_TABANI!$B$9, 0) + (VERI_TABANI!D26*B389*(VERI_TABANI!$B$13-VERI_TABANI!$B$14)*VERI_TABANI!G26) + (VERI_TABANI!D26*C389*(VERI_TABANI!$B$13-VERI_TABANI!$B$15)*VERI_TABANI!G26) + IF(ABS(IF(ISNUMBER(SEARCH("Var", D389)), 1, IF(ISNUMBER(SEARCH("Gri", D389)), -1, 0)))=1, VERI_TABANI!E26*(1-0.928)*0.00206091519919798*VERI_TABANI!G26, 0)) + ((MIN(VERI_TABANI!D27, VERI_TABANI!D27*B389)*VERI_TABANI!$B$7 + MAX(0, VERI_TABANI!D27*B389-VERI_TABANI!D27)*VERI_TABANI!$B$8) + (MIN(MAX(0, VERI_TABANI!D27-VERI_TABANI!D27*B389), VERI_TABANI!D27*C389)*VERI_TABANI!$B$7 + MAX(0, VERI_TABANI!D27*C389-MAX(0, VERI_TABANI!D27-VERI_TABANI!D27*B389))*VERI_TABANI!$B$8) + IF(ABS(IF(ISNUMBER(SEARCH("Var", D389)), 1, IF(ISNUMBER(SEARCH("Gri", D389)), -1, 0)))=1, VERI_TABANI!E27*(1-0.928)*VERI_TABANI!$B$9, 0) + (VERI_TABANI!D27*B389*(VERI_TABANI!$B$13-VERI_TABANI!$B$14)*VERI_TABANI!G27) + (VERI_TABANI!D27*C389*(VERI_TABANI!$B$13-VERI_TABANI!$B$15)*VERI_TABANI!G27) + IF(ABS(IF(ISNUMBER(SEARCH("Var", D389)), 1, IF(ISNUMBER(SEARCH("Gri", D389)), -1, 0)))=1, VERI_TABANI!E27*(1-0.928)*0.00206091519919798*VERI_TABANI!G27, 0)) + ((MIN(VERI_TABANI!D28, VERI_TABANI!D28*B389)*VERI_TABANI!$B$7 + MAX(0, VERI_TABANI!D28*B389-VERI_TABANI!D28)*VERI_TABANI!$B$8) + (MIN(MAX(0, VERI_TABANI!D28-VERI_TABANI!D28*B389), VERI_TABANI!D28*C389)*VERI_TABANI!$B$7 + MAX(0, VERI_TABANI!D28*C389-MAX(0, VERI_TABANI!D28-VERI_TABANI!D28*B389))*VERI_TABANI!$B$8) + IF(ABS(IF(ISNUMBER(SEARCH("Var", D389)), 1, IF(ISNUMBER(SEARCH("Gri", D389)), -1, 0)))=1, VERI_TABANI!E28*(1-0.928)*VERI_TABANI!$B$9, 0) + (VERI_TABANI!D28*B389*(VERI_TABANI!$B$13-VERI_TABANI!$B$14)*VERI_TABANI!G28) + (VERI_TABANI!D28*C389*(VERI_TABANI!$B$13-VERI_TABANI!$B$15)*VERI_TABANI!G28) + IF(ABS(IF(ISNUMBER(SEARCH("Var", D389)), 1, IF(ISNUMBER(SEARCH("Gri", D389)), -1, 0)))=1, VERI_TABANI!E28*(1-0.928)*0.00206091519919798*VERI_TABANI!G28, 0)))</f>
        <v/>
      </c>
      <c r="H389" s="169">
        <f>(((VERI_TABANI!D23*B389*(VERI_TABANI!$B$13-VERI_TABANI!$B$14)) + (VERI_TABANI!D23*C389*(VERI_TABANI!$B$13-VERI_TABANI!$B$15)) + IF(ISNUMBER(SEARCH("Var", D389)), VERI_TABANI!F23*(0.00202-VERI_TABANI!$B$16), IF(ISNUMBER(SEARCH("Gri", D389)), VERI_TABANI!F23*(0.00202-VERI_TABANI!$B$17), 0))) + ((VERI_TABANI!D24*B389*(VERI_TABANI!$B$13-VERI_TABANI!$B$14)) + (VERI_TABANI!D24*C389*(VERI_TABANI!$B$13-VERI_TABANI!$B$15)) + IF(ISNUMBER(SEARCH("Var", D389)), VERI_TABANI!F24*(0.00202-VERI_TABANI!$B$16), IF(ISNUMBER(SEARCH("Gri", D389)), VERI_TABANI!F24*(0.00202-VERI_TABANI!$B$17), 0))) + ((VERI_TABANI!D25*B389*(VERI_TABANI!$B$13-VERI_TABANI!$B$14)) + (VERI_TABANI!D25*C389*(VERI_TABANI!$B$13-VERI_TABANI!$B$15)) + IF(ISNUMBER(SEARCH("Var", D389)), VERI_TABANI!F25*(0.00202-VERI_TABANI!$B$16), IF(ISNUMBER(SEARCH("Gri", D389)), VERI_TABANI!F25*(0.00202-VERI_TABANI!$B$17), 0))) + ((VERI_TABANI!D26*B389*(VERI_TABANI!$B$13-VERI_TABANI!$B$14)) + (VERI_TABANI!D26*C389*(VERI_TABANI!$B$13-VERI_TABANI!$B$15)) + IF(ISNUMBER(SEARCH("Var", D389)), VERI_TABANI!F26*(0.00202-VERI_TABANI!$B$16), IF(ISNUMBER(SEARCH("Gri", D389)), VERI_TABANI!F26*(0.00202-VERI_TABANI!$B$17), 0))) + ((VERI_TABANI!D27*B389*(VERI_TABANI!$B$13-VERI_TABANI!$B$14)) + (VERI_TABANI!D27*C389*(VERI_TABANI!$B$13-VERI_TABANI!$B$15)) + IF(ISNUMBER(SEARCH("Var", D389)), VERI_TABANI!F27*(0.00202-VERI_TABANI!$B$16), IF(ISNUMBER(SEARCH("Gri", D389)), VERI_TABANI!F27*(0.00202-VERI_TABANI!$B$17), 0))) + ((VERI_TABANI!D28*B389*(VERI_TABANI!$B$13-VERI_TABANI!$B$14)) + (VERI_TABANI!D28*C389*(VERI_TABANI!$B$13-VERI_TABANI!$B$15)) + IF(ISNUMBER(SEARCH("Var", D389)), VERI_TABANI!F28*(0.00202-VERI_TABANI!$B$16), IF(ISNUMBER(SEARCH("Gri", D389)), VERI_TABANI!F28*(0.00202-VERI_TABANI!$B$17), 0))))</f>
        <v/>
      </c>
      <c r="I389" s="170">
        <f>IFERROR(((VERI_TABANI!$D$29*B389*VERI_TABANI!$B$14 + VERI_TABANI!$D$29*C389*VERI_TABANI!$B$15 + IF(ISNUMBER(SEARCH("Var", D389)), VERI_TABANI!$F$29*VERI_TABANI!$B$16, 0))) / (((VERI_TABANI!$D$29*B389 + VERI_TABANI!$D$29*C389)*VERI_TABANI!$B$13 + IF(ISNUMBER(SEARCH("Var", D389)), VERI_TABANI!$E$29*(1-0.928)*VERI_TABANI!$B$18, 0))), 0)</f>
        <v/>
      </c>
      <c r="J389" s="171">
        <f>IFERROR(F389/(G389/29), 0)</f>
        <v/>
      </c>
      <c r="K389" s="172">
        <f>IF(F389&gt;0, H389/F389, 0)</f>
        <v/>
      </c>
      <c r="L389" s="170">
        <f>IF(F389&gt;0, I389, 1000000000)</f>
        <v/>
      </c>
      <c r="M389" s="171">
        <f>ABS((B389+C389)-1)</f>
        <v/>
      </c>
      <c r="N389" s="170">
        <f>IF(F389&gt;0, (G389/29)/F389, 0)</f>
        <v/>
      </c>
      <c r="O389" s="168">
        <f>IF(AND((B389+C389)&gt;=1, ISNUMBER(SEARCH("Var", D389))), F389, 1000000000)</f>
        <v/>
      </c>
      <c r="P389" s="172">
        <f>IF(F389&gt;0, SQRT((F389/MAX(F$5:F$886))^2 + (1 - H389/MAX(H$5:H$886))^2 + (J389/MAX(J$5:J$886))^2), 1000000000)</f>
        <v/>
      </c>
      <c r="Q389" s="166">
        <f>IF(AND(ABS(B389-0.5)&lt;0.01, ABS(C389-0.5)&lt;0.01, ISNUMBER(SEARCH("Var", D389))), 1, 0)</f>
        <v/>
      </c>
      <c r="R389" s="171">
        <f>IF(F389&gt;0, J389, 1000000000)</f>
        <v/>
      </c>
      <c r="S389" s="101">
        <f>IF(AND(F389&lt;=DASHBOARD!$B$11, H389&gt;=DASHBOARD!$B$13), G389, -1000000000000)</f>
        <v/>
      </c>
      <c r="T389" s="101">
        <f>IF(AND(F389&lt;=DASHBOARD!$B$11, H389&gt;=DASHBOARD!$B$13), R389, 1000000000000)</f>
        <v/>
      </c>
      <c r="U389" s="101">
        <f>IF(AND(F389&lt;=DASHBOARD!$B$11, H389&gt;=DASHBOARD!$B$13), N389, -1000000000000)</f>
        <v/>
      </c>
      <c r="V389" s="101">
        <f>IF(AND(F389&lt;=DASHBOARD!$B$11, H389&gt;=DASHBOARD!$B$13), H389, -1000000000000)</f>
        <v/>
      </c>
      <c r="W389" s="101">
        <f>IF(AND(F389&lt;=DASHBOARD!$B$11, H389&gt;=DASHBOARD!$B$13), K389, -1000000000000)</f>
        <v/>
      </c>
      <c r="X389" s="101">
        <f>IF(AND(F389&lt;=DASHBOARD!$B$11, H389&gt;=DASHBOARD!$B$13), M389, 1000000000000)</f>
        <v/>
      </c>
      <c r="Y389" s="101">
        <f>IF(AND(F389&lt;=DASHBOARD!$B$10, H389&gt;=DASHBOARD!$B$11), L389, 1000000000000)</f>
        <v/>
      </c>
      <c r="Z389" s="101">
        <f>IF(AND(F389&lt;=DASHBOARD!$B$10, H389&gt;=DASHBOARD!$B$11), O389, 1000000000000)</f>
        <v/>
      </c>
      <c r="AA389" s="101">
        <f>IF(AND(F389&lt;=DASHBOARD!$B$10, H389&gt;=DASHBOARD!$B$11), P389, 1000000000000)</f>
        <v/>
      </c>
      <c r="AB389" s="101">
        <f>IF(AND(F389&lt;=DASHBOARD!$B$10, H389&gt;=DASHBOARD!$B$11), Q389, -1000000000000)</f>
        <v/>
      </c>
    </row>
    <row r="390" ht="15" customHeight="1" s="102">
      <c r="A390" s="166" t="n">
        <v>386</v>
      </c>
      <c r="B390" s="167" t="n">
        <v>0.9</v>
      </c>
      <c r="C390" s="167" t="n">
        <v>0.3</v>
      </c>
      <c r="D390" s="110" t="inlineStr">
        <is>
          <t>Var (%20)</t>
        </is>
      </c>
      <c r="E390" s="110">
        <f>IF((B390+C390)&lt;=1, "Tam Mahsuplaşma (≤%100)", "Kısmi Satış (&gt;%100)")</f>
        <v/>
      </c>
      <c r="F390" s="168">
        <f>((VERI_TABANI!$D$29*B390/VERI_TABANI!$B$29)/VERI_TABANI!$B$3)*VERI_TABANI!$B$5 + ((VERI_TABANI!$D$29*C390/VERI_TABANI!$B$29)/VERI_TABANI!$B$4)*VERI_TABANI!$B$6 + IF(ISNUMBER(SEARCH("Var", D390)), (VERI_TABANI!$F$29/VERI_TABANI!$B$29)*(VERI_TABANI!$B$10+VERI_TABANI!$B$12), 0)</f>
        <v/>
      </c>
      <c r="G390" s="168">
        <f>(((MIN(VERI_TABANI!D23, VERI_TABANI!D23*B390)*VERI_TABANI!$B$7 + MAX(0, VERI_TABANI!D23*B390-VERI_TABANI!D23)*VERI_TABANI!$B$8) + (MIN(MAX(0, VERI_TABANI!D23-VERI_TABANI!D23*B390), VERI_TABANI!D23*C390)*VERI_TABANI!$B$7 + MAX(0, VERI_TABANI!D23*C390-MAX(0, VERI_TABANI!D23-VERI_TABANI!D23*B390))*VERI_TABANI!$B$8) + IF(ABS(IF(ISNUMBER(SEARCH("Var", D390)), 1, IF(ISNUMBER(SEARCH("Gri", D390)), -1, 0)))=1, VERI_TABANI!E23*(1-0.928)*VERI_TABANI!$B$9, 0) + (VERI_TABANI!D23*B390*(VERI_TABANI!$B$13-VERI_TABANI!$B$14)*VERI_TABANI!G23) + (VERI_TABANI!D23*C390*(VERI_TABANI!$B$13-VERI_TABANI!$B$15)*VERI_TABANI!G23) + IF(ABS(IF(ISNUMBER(SEARCH("Var", D390)), 1, IF(ISNUMBER(SEARCH("Gri", D390)), -1, 0)))=1, VERI_TABANI!E23*(1-0.928)*0.00206091519919798*VERI_TABANI!G23, 0)) + ((MIN(VERI_TABANI!D24, VERI_TABANI!D24*B390)*VERI_TABANI!$B$7 + MAX(0, VERI_TABANI!D24*B390-VERI_TABANI!D24)*VERI_TABANI!$B$8) + (MIN(MAX(0, VERI_TABANI!D24-VERI_TABANI!D24*B390), VERI_TABANI!D24*C390)*VERI_TABANI!$B$7 + MAX(0, VERI_TABANI!D24*C390-MAX(0, VERI_TABANI!D24-VERI_TABANI!D24*B390))*VERI_TABANI!$B$8) + IF(ABS(IF(ISNUMBER(SEARCH("Var", D390)), 1, IF(ISNUMBER(SEARCH("Gri", D390)), -1, 0)))=1, VERI_TABANI!E24*(1-0.928)*VERI_TABANI!$B$9, 0) + (VERI_TABANI!D24*B390*(VERI_TABANI!$B$13-VERI_TABANI!$B$14)*VERI_TABANI!G24) + (VERI_TABANI!D24*C390*(VERI_TABANI!$B$13-VERI_TABANI!$B$15)*VERI_TABANI!G24) + IF(ABS(IF(ISNUMBER(SEARCH("Var", D390)), 1, IF(ISNUMBER(SEARCH("Gri", D390)), -1, 0)))=1, VERI_TABANI!E24*(1-0.928)*0.00206091519919798*VERI_TABANI!G24, 0)) + ((MIN(VERI_TABANI!D25, VERI_TABANI!D25*B390)*VERI_TABANI!$B$7 + MAX(0, VERI_TABANI!D25*B390-VERI_TABANI!D25)*VERI_TABANI!$B$8) + (MIN(MAX(0, VERI_TABANI!D25-VERI_TABANI!D25*B390), VERI_TABANI!D25*C390)*VERI_TABANI!$B$7 + MAX(0, VERI_TABANI!D25*C390-MAX(0, VERI_TABANI!D25-VERI_TABANI!D25*B390))*VERI_TABANI!$B$8) + IF(ABS(IF(ISNUMBER(SEARCH("Var", D390)), 1, IF(ISNUMBER(SEARCH("Gri", D390)), -1, 0)))=1, VERI_TABANI!E25*(1-0.928)*VERI_TABANI!$B$9, 0) + (VERI_TABANI!D25*B390*(VERI_TABANI!$B$13-VERI_TABANI!$B$14)*VERI_TABANI!G25) + (VERI_TABANI!D25*C390*(VERI_TABANI!$B$13-VERI_TABANI!$B$15)*VERI_TABANI!G25) + IF(ABS(IF(ISNUMBER(SEARCH("Var", D390)), 1, IF(ISNUMBER(SEARCH("Gri", D390)), -1, 0)))=1, VERI_TABANI!E25*(1-0.928)*0.00206091519919798*VERI_TABANI!G25, 0)) + ((MIN(VERI_TABANI!D26, VERI_TABANI!D26*B390)*VERI_TABANI!$B$7 + MAX(0, VERI_TABANI!D26*B390-VERI_TABANI!D26)*VERI_TABANI!$B$8) + (MIN(MAX(0, VERI_TABANI!D26-VERI_TABANI!D26*B390), VERI_TABANI!D26*C390)*VERI_TABANI!$B$7 + MAX(0, VERI_TABANI!D26*C390-MAX(0, VERI_TABANI!D26-VERI_TABANI!D26*B390))*VERI_TABANI!$B$8) + IF(ABS(IF(ISNUMBER(SEARCH("Var", D390)), 1, IF(ISNUMBER(SEARCH("Gri", D390)), -1, 0)))=1, VERI_TABANI!E26*(1-0.928)*VERI_TABANI!$B$9, 0) + (VERI_TABANI!D26*B390*(VERI_TABANI!$B$13-VERI_TABANI!$B$14)*VERI_TABANI!G26) + (VERI_TABANI!D26*C390*(VERI_TABANI!$B$13-VERI_TABANI!$B$15)*VERI_TABANI!G26) + IF(ABS(IF(ISNUMBER(SEARCH("Var", D390)), 1, IF(ISNUMBER(SEARCH("Gri", D390)), -1, 0)))=1, VERI_TABANI!E26*(1-0.928)*0.00206091519919798*VERI_TABANI!G26, 0)) + ((MIN(VERI_TABANI!D27, VERI_TABANI!D27*B390)*VERI_TABANI!$B$7 + MAX(0, VERI_TABANI!D27*B390-VERI_TABANI!D27)*VERI_TABANI!$B$8) + (MIN(MAX(0, VERI_TABANI!D27-VERI_TABANI!D27*B390), VERI_TABANI!D27*C390)*VERI_TABANI!$B$7 + MAX(0, VERI_TABANI!D27*C390-MAX(0, VERI_TABANI!D27-VERI_TABANI!D27*B390))*VERI_TABANI!$B$8) + IF(ABS(IF(ISNUMBER(SEARCH("Var", D390)), 1, IF(ISNUMBER(SEARCH("Gri", D390)), -1, 0)))=1, VERI_TABANI!E27*(1-0.928)*VERI_TABANI!$B$9, 0) + (VERI_TABANI!D27*B390*(VERI_TABANI!$B$13-VERI_TABANI!$B$14)*VERI_TABANI!G27) + (VERI_TABANI!D27*C390*(VERI_TABANI!$B$13-VERI_TABANI!$B$15)*VERI_TABANI!G27) + IF(ABS(IF(ISNUMBER(SEARCH("Var", D390)), 1, IF(ISNUMBER(SEARCH("Gri", D390)), -1, 0)))=1, VERI_TABANI!E27*(1-0.928)*0.00206091519919798*VERI_TABANI!G27, 0)) + ((MIN(VERI_TABANI!D28, VERI_TABANI!D28*B390)*VERI_TABANI!$B$7 + MAX(0, VERI_TABANI!D28*B390-VERI_TABANI!D28)*VERI_TABANI!$B$8) + (MIN(MAX(0, VERI_TABANI!D28-VERI_TABANI!D28*B390), VERI_TABANI!D28*C390)*VERI_TABANI!$B$7 + MAX(0, VERI_TABANI!D28*C390-MAX(0, VERI_TABANI!D28-VERI_TABANI!D28*B390))*VERI_TABANI!$B$8) + IF(ABS(IF(ISNUMBER(SEARCH("Var", D390)), 1, IF(ISNUMBER(SEARCH("Gri", D390)), -1, 0)))=1, VERI_TABANI!E28*(1-0.928)*VERI_TABANI!$B$9, 0) + (VERI_TABANI!D28*B390*(VERI_TABANI!$B$13-VERI_TABANI!$B$14)*VERI_TABANI!G28) + (VERI_TABANI!D28*C390*(VERI_TABANI!$B$13-VERI_TABANI!$B$15)*VERI_TABANI!G28) + IF(ABS(IF(ISNUMBER(SEARCH("Var", D390)), 1, IF(ISNUMBER(SEARCH("Gri", D390)), -1, 0)))=1, VERI_TABANI!E28*(1-0.928)*0.00206091519919798*VERI_TABANI!G28, 0)))</f>
        <v/>
      </c>
      <c r="H390" s="169">
        <f>(((VERI_TABANI!D23*B390*(VERI_TABANI!$B$13-VERI_TABANI!$B$14)) + (VERI_TABANI!D23*C390*(VERI_TABANI!$B$13-VERI_TABANI!$B$15)) + IF(ISNUMBER(SEARCH("Var", D390)), VERI_TABANI!F23*(0.00202-VERI_TABANI!$B$16), IF(ISNUMBER(SEARCH("Gri", D390)), VERI_TABANI!F23*(0.00202-VERI_TABANI!$B$17), 0))) + ((VERI_TABANI!D24*B390*(VERI_TABANI!$B$13-VERI_TABANI!$B$14)) + (VERI_TABANI!D24*C390*(VERI_TABANI!$B$13-VERI_TABANI!$B$15)) + IF(ISNUMBER(SEARCH("Var", D390)), VERI_TABANI!F24*(0.00202-VERI_TABANI!$B$16), IF(ISNUMBER(SEARCH("Gri", D390)), VERI_TABANI!F24*(0.00202-VERI_TABANI!$B$17), 0))) + ((VERI_TABANI!D25*B390*(VERI_TABANI!$B$13-VERI_TABANI!$B$14)) + (VERI_TABANI!D25*C390*(VERI_TABANI!$B$13-VERI_TABANI!$B$15)) + IF(ISNUMBER(SEARCH("Var", D390)), VERI_TABANI!F25*(0.00202-VERI_TABANI!$B$16), IF(ISNUMBER(SEARCH("Gri", D390)), VERI_TABANI!F25*(0.00202-VERI_TABANI!$B$17), 0))) + ((VERI_TABANI!D26*B390*(VERI_TABANI!$B$13-VERI_TABANI!$B$14)) + (VERI_TABANI!D26*C390*(VERI_TABANI!$B$13-VERI_TABANI!$B$15)) + IF(ISNUMBER(SEARCH("Var", D390)), VERI_TABANI!F26*(0.00202-VERI_TABANI!$B$16), IF(ISNUMBER(SEARCH("Gri", D390)), VERI_TABANI!F26*(0.00202-VERI_TABANI!$B$17), 0))) + ((VERI_TABANI!D27*B390*(VERI_TABANI!$B$13-VERI_TABANI!$B$14)) + (VERI_TABANI!D27*C390*(VERI_TABANI!$B$13-VERI_TABANI!$B$15)) + IF(ISNUMBER(SEARCH("Var", D390)), VERI_TABANI!F27*(0.00202-VERI_TABANI!$B$16), IF(ISNUMBER(SEARCH("Gri", D390)), VERI_TABANI!F27*(0.00202-VERI_TABANI!$B$17), 0))) + ((VERI_TABANI!D28*B390*(VERI_TABANI!$B$13-VERI_TABANI!$B$14)) + (VERI_TABANI!D28*C390*(VERI_TABANI!$B$13-VERI_TABANI!$B$15)) + IF(ISNUMBER(SEARCH("Var", D390)), VERI_TABANI!F28*(0.00202-VERI_TABANI!$B$16), IF(ISNUMBER(SEARCH("Gri", D390)), VERI_TABANI!F28*(0.00202-VERI_TABANI!$B$17), 0))))</f>
        <v/>
      </c>
      <c r="I390" s="170">
        <f>IFERROR(((VERI_TABANI!$D$29*B390*VERI_TABANI!$B$14 + VERI_TABANI!$D$29*C390*VERI_TABANI!$B$15 + IF(ISNUMBER(SEARCH("Var", D390)), VERI_TABANI!$F$29*VERI_TABANI!$B$16, 0))) / (((VERI_TABANI!$D$29*B390 + VERI_TABANI!$D$29*C390)*VERI_TABANI!$B$13 + IF(ISNUMBER(SEARCH("Var", D390)), VERI_TABANI!$E$29*(1-0.928)*VERI_TABANI!$B$18, 0))), 0)</f>
        <v/>
      </c>
      <c r="J390" s="171">
        <f>IFERROR(F390/(G390/29), 0)</f>
        <v/>
      </c>
      <c r="K390" s="172">
        <f>IF(F390&gt;0, H390/F390, 0)</f>
        <v/>
      </c>
      <c r="L390" s="170">
        <f>IF(F390&gt;0, I390, 1000000000)</f>
        <v/>
      </c>
      <c r="M390" s="171">
        <f>ABS((B390+C390)-1)</f>
        <v/>
      </c>
      <c r="N390" s="170">
        <f>IF(F390&gt;0, (G390/29)/F390, 0)</f>
        <v/>
      </c>
      <c r="O390" s="168">
        <f>IF(AND((B390+C390)&gt;=1, ISNUMBER(SEARCH("Var", D390))), F390, 1000000000)</f>
        <v/>
      </c>
      <c r="P390" s="172">
        <f>IF(F390&gt;0, SQRT((F390/MAX(F$5:F$886))^2 + (1 - H390/MAX(H$5:H$886))^2 + (J390/MAX(J$5:J$886))^2), 1000000000)</f>
        <v/>
      </c>
      <c r="Q390" s="166">
        <f>IF(AND(ABS(B390-0.5)&lt;0.01, ABS(C390-0.5)&lt;0.01, ISNUMBER(SEARCH("Var", D390))), 1, 0)</f>
        <v/>
      </c>
      <c r="R390" s="171">
        <f>IF(F390&gt;0, J390, 1000000000)</f>
        <v/>
      </c>
      <c r="S390" s="101">
        <f>IF(AND(F390&lt;=DASHBOARD!$B$11, H390&gt;=DASHBOARD!$B$13), G390, -1000000000000)</f>
        <v/>
      </c>
      <c r="T390" s="101">
        <f>IF(AND(F390&lt;=DASHBOARD!$B$11, H390&gt;=DASHBOARD!$B$13), R390, 1000000000000)</f>
        <v/>
      </c>
      <c r="U390" s="101">
        <f>IF(AND(F390&lt;=DASHBOARD!$B$11, H390&gt;=DASHBOARD!$B$13), N390, -1000000000000)</f>
        <v/>
      </c>
      <c r="V390" s="101">
        <f>IF(AND(F390&lt;=DASHBOARD!$B$11, H390&gt;=DASHBOARD!$B$13), H390, -1000000000000)</f>
        <v/>
      </c>
      <c r="W390" s="101">
        <f>IF(AND(F390&lt;=DASHBOARD!$B$11, H390&gt;=DASHBOARD!$B$13), K390, -1000000000000)</f>
        <v/>
      </c>
      <c r="X390" s="101">
        <f>IF(AND(F390&lt;=DASHBOARD!$B$11, H390&gt;=DASHBOARD!$B$13), M390, 1000000000000)</f>
        <v/>
      </c>
      <c r="Y390" s="101">
        <f>IF(AND(F390&lt;=DASHBOARD!$B$10, H390&gt;=DASHBOARD!$B$11), L390, 1000000000000)</f>
        <v/>
      </c>
      <c r="Z390" s="101">
        <f>IF(AND(F390&lt;=DASHBOARD!$B$10, H390&gt;=DASHBOARD!$B$11), O390, 1000000000000)</f>
        <v/>
      </c>
      <c r="AA390" s="101">
        <f>IF(AND(F390&lt;=DASHBOARD!$B$10, H390&gt;=DASHBOARD!$B$11), P390, 1000000000000)</f>
        <v/>
      </c>
      <c r="AB390" s="101">
        <f>IF(AND(F390&lt;=DASHBOARD!$B$10, H390&gt;=DASHBOARD!$B$11), Q390, -1000000000000)</f>
        <v/>
      </c>
    </row>
    <row r="391" ht="15" customHeight="1" s="102">
      <c r="A391" s="166" t="n">
        <v>387</v>
      </c>
      <c r="B391" s="167" t="n">
        <v>0.9</v>
      </c>
      <c r="C391" s="167" t="n">
        <v>0.4</v>
      </c>
      <c r="D391" s="110" t="inlineStr">
        <is>
          <t>Yok (%0)</t>
        </is>
      </c>
      <c r="E391" s="110">
        <f>IF((B391+C391)&lt;=1, "Tam Mahsuplaşma (≤%100)", "Kısmi Satış (&gt;%100)")</f>
        <v/>
      </c>
      <c r="F391" s="168">
        <f>((VERI_TABANI!$D$29*B391/VERI_TABANI!$B$29)/VERI_TABANI!$B$3)*VERI_TABANI!$B$5 + ((VERI_TABANI!$D$29*C391/VERI_TABANI!$B$29)/VERI_TABANI!$B$4)*VERI_TABANI!$B$6 + IF(ISNUMBER(SEARCH("Var", D391)), (VERI_TABANI!$F$29/VERI_TABANI!$B$29)*(VERI_TABANI!$B$10+VERI_TABANI!$B$12), 0)</f>
        <v/>
      </c>
      <c r="G391" s="168">
        <f>(((MIN(VERI_TABANI!D23, VERI_TABANI!D23*B391)*VERI_TABANI!$B$7 + MAX(0, VERI_TABANI!D23*B391-VERI_TABANI!D23)*VERI_TABANI!$B$8) + (MIN(MAX(0, VERI_TABANI!D23-VERI_TABANI!D23*B391), VERI_TABANI!D23*C391)*VERI_TABANI!$B$7 + MAX(0, VERI_TABANI!D23*C391-MAX(0, VERI_TABANI!D23-VERI_TABANI!D23*B391))*VERI_TABANI!$B$8) + IF(ABS(IF(ISNUMBER(SEARCH("Var", D391)), 1, IF(ISNUMBER(SEARCH("Gri", D391)), -1, 0)))=1, VERI_TABANI!E23*(1-0.928)*VERI_TABANI!$B$9, 0) + (VERI_TABANI!D23*B391*(VERI_TABANI!$B$13-VERI_TABANI!$B$14)*VERI_TABANI!G23) + (VERI_TABANI!D23*C391*(VERI_TABANI!$B$13-VERI_TABANI!$B$15)*VERI_TABANI!G23) + IF(ABS(IF(ISNUMBER(SEARCH("Var", D391)), 1, IF(ISNUMBER(SEARCH("Gri", D391)), -1, 0)))=1, VERI_TABANI!E23*(1-0.928)*0.00206091519919798*VERI_TABANI!G23, 0)) + ((MIN(VERI_TABANI!D24, VERI_TABANI!D24*B391)*VERI_TABANI!$B$7 + MAX(0, VERI_TABANI!D24*B391-VERI_TABANI!D24)*VERI_TABANI!$B$8) + (MIN(MAX(0, VERI_TABANI!D24-VERI_TABANI!D24*B391), VERI_TABANI!D24*C391)*VERI_TABANI!$B$7 + MAX(0, VERI_TABANI!D24*C391-MAX(0, VERI_TABANI!D24-VERI_TABANI!D24*B391))*VERI_TABANI!$B$8) + IF(ABS(IF(ISNUMBER(SEARCH("Var", D391)), 1, IF(ISNUMBER(SEARCH("Gri", D391)), -1, 0)))=1, VERI_TABANI!E24*(1-0.928)*VERI_TABANI!$B$9, 0) + (VERI_TABANI!D24*B391*(VERI_TABANI!$B$13-VERI_TABANI!$B$14)*VERI_TABANI!G24) + (VERI_TABANI!D24*C391*(VERI_TABANI!$B$13-VERI_TABANI!$B$15)*VERI_TABANI!G24) + IF(ABS(IF(ISNUMBER(SEARCH("Var", D391)), 1, IF(ISNUMBER(SEARCH("Gri", D391)), -1, 0)))=1, VERI_TABANI!E24*(1-0.928)*0.00206091519919798*VERI_TABANI!G24, 0)) + ((MIN(VERI_TABANI!D25, VERI_TABANI!D25*B391)*VERI_TABANI!$B$7 + MAX(0, VERI_TABANI!D25*B391-VERI_TABANI!D25)*VERI_TABANI!$B$8) + (MIN(MAX(0, VERI_TABANI!D25-VERI_TABANI!D25*B391), VERI_TABANI!D25*C391)*VERI_TABANI!$B$7 + MAX(0, VERI_TABANI!D25*C391-MAX(0, VERI_TABANI!D25-VERI_TABANI!D25*B391))*VERI_TABANI!$B$8) + IF(ABS(IF(ISNUMBER(SEARCH("Var", D391)), 1, IF(ISNUMBER(SEARCH("Gri", D391)), -1, 0)))=1, VERI_TABANI!E25*(1-0.928)*VERI_TABANI!$B$9, 0) + (VERI_TABANI!D25*B391*(VERI_TABANI!$B$13-VERI_TABANI!$B$14)*VERI_TABANI!G25) + (VERI_TABANI!D25*C391*(VERI_TABANI!$B$13-VERI_TABANI!$B$15)*VERI_TABANI!G25) + IF(ABS(IF(ISNUMBER(SEARCH("Var", D391)), 1, IF(ISNUMBER(SEARCH("Gri", D391)), -1, 0)))=1, VERI_TABANI!E25*(1-0.928)*0.00206091519919798*VERI_TABANI!G25, 0)) + ((MIN(VERI_TABANI!D26, VERI_TABANI!D26*B391)*VERI_TABANI!$B$7 + MAX(0, VERI_TABANI!D26*B391-VERI_TABANI!D26)*VERI_TABANI!$B$8) + (MIN(MAX(0, VERI_TABANI!D26-VERI_TABANI!D26*B391), VERI_TABANI!D26*C391)*VERI_TABANI!$B$7 + MAX(0, VERI_TABANI!D26*C391-MAX(0, VERI_TABANI!D26-VERI_TABANI!D26*B391))*VERI_TABANI!$B$8) + IF(ABS(IF(ISNUMBER(SEARCH("Var", D391)), 1, IF(ISNUMBER(SEARCH("Gri", D391)), -1, 0)))=1, VERI_TABANI!E26*(1-0.928)*VERI_TABANI!$B$9, 0) + (VERI_TABANI!D26*B391*(VERI_TABANI!$B$13-VERI_TABANI!$B$14)*VERI_TABANI!G26) + (VERI_TABANI!D26*C391*(VERI_TABANI!$B$13-VERI_TABANI!$B$15)*VERI_TABANI!G26) + IF(ABS(IF(ISNUMBER(SEARCH("Var", D391)), 1, IF(ISNUMBER(SEARCH("Gri", D391)), -1, 0)))=1, VERI_TABANI!E26*(1-0.928)*0.00206091519919798*VERI_TABANI!G26, 0)) + ((MIN(VERI_TABANI!D27, VERI_TABANI!D27*B391)*VERI_TABANI!$B$7 + MAX(0, VERI_TABANI!D27*B391-VERI_TABANI!D27)*VERI_TABANI!$B$8) + (MIN(MAX(0, VERI_TABANI!D27-VERI_TABANI!D27*B391), VERI_TABANI!D27*C391)*VERI_TABANI!$B$7 + MAX(0, VERI_TABANI!D27*C391-MAX(0, VERI_TABANI!D27-VERI_TABANI!D27*B391))*VERI_TABANI!$B$8) + IF(ABS(IF(ISNUMBER(SEARCH("Var", D391)), 1, IF(ISNUMBER(SEARCH("Gri", D391)), -1, 0)))=1, VERI_TABANI!E27*(1-0.928)*VERI_TABANI!$B$9, 0) + (VERI_TABANI!D27*B391*(VERI_TABANI!$B$13-VERI_TABANI!$B$14)*VERI_TABANI!G27) + (VERI_TABANI!D27*C391*(VERI_TABANI!$B$13-VERI_TABANI!$B$15)*VERI_TABANI!G27) + IF(ABS(IF(ISNUMBER(SEARCH("Var", D391)), 1, IF(ISNUMBER(SEARCH("Gri", D391)), -1, 0)))=1, VERI_TABANI!E27*(1-0.928)*0.00206091519919798*VERI_TABANI!G27, 0)) + ((MIN(VERI_TABANI!D28, VERI_TABANI!D28*B391)*VERI_TABANI!$B$7 + MAX(0, VERI_TABANI!D28*B391-VERI_TABANI!D28)*VERI_TABANI!$B$8) + (MIN(MAX(0, VERI_TABANI!D28-VERI_TABANI!D28*B391), VERI_TABANI!D28*C391)*VERI_TABANI!$B$7 + MAX(0, VERI_TABANI!D28*C391-MAX(0, VERI_TABANI!D28-VERI_TABANI!D28*B391))*VERI_TABANI!$B$8) + IF(ABS(IF(ISNUMBER(SEARCH("Var", D391)), 1, IF(ISNUMBER(SEARCH("Gri", D391)), -1, 0)))=1, VERI_TABANI!E28*(1-0.928)*VERI_TABANI!$B$9, 0) + (VERI_TABANI!D28*B391*(VERI_TABANI!$B$13-VERI_TABANI!$B$14)*VERI_TABANI!G28) + (VERI_TABANI!D28*C391*(VERI_TABANI!$B$13-VERI_TABANI!$B$15)*VERI_TABANI!G28) + IF(ABS(IF(ISNUMBER(SEARCH("Var", D391)), 1, IF(ISNUMBER(SEARCH("Gri", D391)), -1, 0)))=1, VERI_TABANI!E28*(1-0.928)*0.00206091519919798*VERI_TABANI!G28, 0)))</f>
        <v/>
      </c>
      <c r="H391" s="169">
        <f>(((VERI_TABANI!D23*B391*(VERI_TABANI!$B$13-VERI_TABANI!$B$14)) + (VERI_TABANI!D23*C391*(VERI_TABANI!$B$13-VERI_TABANI!$B$15)) + IF(ISNUMBER(SEARCH("Var", D391)), VERI_TABANI!F23*(0.00202-VERI_TABANI!$B$16), IF(ISNUMBER(SEARCH("Gri", D391)), VERI_TABANI!F23*(0.00202-VERI_TABANI!$B$17), 0))) + ((VERI_TABANI!D24*B391*(VERI_TABANI!$B$13-VERI_TABANI!$B$14)) + (VERI_TABANI!D24*C391*(VERI_TABANI!$B$13-VERI_TABANI!$B$15)) + IF(ISNUMBER(SEARCH("Var", D391)), VERI_TABANI!F24*(0.00202-VERI_TABANI!$B$16), IF(ISNUMBER(SEARCH("Gri", D391)), VERI_TABANI!F24*(0.00202-VERI_TABANI!$B$17), 0))) + ((VERI_TABANI!D25*B391*(VERI_TABANI!$B$13-VERI_TABANI!$B$14)) + (VERI_TABANI!D25*C391*(VERI_TABANI!$B$13-VERI_TABANI!$B$15)) + IF(ISNUMBER(SEARCH("Var", D391)), VERI_TABANI!F25*(0.00202-VERI_TABANI!$B$16), IF(ISNUMBER(SEARCH("Gri", D391)), VERI_TABANI!F25*(0.00202-VERI_TABANI!$B$17), 0))) + ((VERI_TABANI!D26*B391*(VERI_TABANI!$B$13-VERI_TABANI!$B$14)) + (VERI_TABANI!D26*C391*(VERI_TABANI!$B$13-VERI_TABANI!$B$15)) + IF(ISNUMBER(SEARCH("Var", D391)), VERI_TABANI!F26*(0.00202-VERI_TABANI!$B$16), IF(ISNUMBER(SEARCH("Gri", D391)), VERI_TABANI!F26*(0.00202-VERI_TABANI!$B$17), 0))) + ((VERI_TABANI!D27*B391*(VERI_TABANI!$B$13-VERI_TABANI!$B$14)) + (VERI_TABANI!D27*C391*(VERI_TABANI!$B$13-VERI_TABANI!$B$15)) + IF(ISNUMBER(SEARCH("Var", D391)), VERI_TABANI!F27*(0.00202-VERI_TABANI!$B$16), IF(ISNUMBER(SEARCH("Gri", D391)), VERI_TABANI!F27*(0.00202-VERI_TABANI!$B$17), 0))) + ((VERI_TABANI!D28*B391*(VERI_TABANI!$B$13-VERI_TABANI!$B$14)) + (VERI_TABANI!D28*C391*(VERI_TABANI!$B$13-VERI_TABANI!$B$15)) + IF(ISNUMBER(SEARCH("Var", D391)), VERI_TABANI!F28*(0.00202-VERI_TABANI!$B$16), IF(ISNUMBER(SEARCH("Gri", D391)), VERI_TABANI!F28*(0.00202-VERI_TABANI!$B$17), 0))))</f>
        <v/>
      </c>
      <c r="I391" s="170">
        <f>IFERROR(((VERI_TABANI!$D$29*B391*VERI_TABANI!$B$14 + VERI_TABANI!$D$29*C391*VERI_TABANI!$B$15 + IF(ISNUMBER(SEARCH("Var", D391)), VERI_TABANI!$F$29*VERI_TABANI!$B$16, 0))) / (((VERI_TABANI!$D$29*B391 + VERI_TABANI!$D$29*C391)*VERI_TABANI!$B$13 + IF(ISNUMBER(SEARCH("Var", D391)), VERI_TABANI!$E$29*(1-0.928)*VERI_TABANI!$B$18, 0))), 0)</f>
        <v/>
      </c>
      <c r="J391" s="171">
        <f>IFERROR(F391/(G391/29), 0)</f>
        <v/>
      </c>
      <c r="K391" s="172">
        <f>IF(F391&gt;0, H391/F391, 0)</f>
        <v/>
      </c>
      <c r="L391" s="170">
        <f>IF(F391&gt;0, I391, 1000000000)</f>
        <v/>
      </c>
      <c r="M391" s="171">
        <f>ABS((B391+C391)-1)</f>
        <v/>
      </c>
      <c r="N391" s="170">
        <f>IF(F391&gt;0, (G391/29)/F391, 0)</f>
        <v/>
      </c>
      <c r="O391" s="168">
        <f>IF(AND((B391+C391)&gt;=1, ISNUMBER(SEARCH("Var", D391))), F391, 1000000000)</f>
        <v/>
      </c>
      <c r="P391" s="172">
        <f>IF(F391&gt;0, SQRT((F391/MAX(F$5:F$886))^2 + (1 - H391/MAX(H$5:H$886))^2 + (J391/MAX(J$5:J$886))^2), 1000000000)</f>
        <v/>
      </c>
      <c r="Q391" s="166">
        <f>IF(AND(ABS(B391-0.5)&lt;0.01, ABS(C391-0.5)&lt;0.01, ISNUMBER(SEARCH("Var", D391))), 1, 0)</f>
        <v/>
      </c>
      <c r="R391" s="171">
        <f>IF(F391&gt;0, J391, 1000000000)</f>
        <v/>
      </c>
      <c r="S391" s="101">
        <f>IF(AND(F391&lt;=DASHBOARD!$B$11, H391&gt;=DASHBOARD!$B$13), G391, -1000000000000)</f>
        <v/>
      </c>
      <c r="T391" s="101">
        <f>IF(AND(F391&lt;=DASHBOARD!$B$11, H391&gt;=DASHBOARD!$B$13), R391, 1000000000000)</f>
        <v/>
      </c>
      <c r="U391" s="101">
        <f>IF(AND(F391&lt;=DASHBOARD!$B$11, H391&gt;=DASHBOARD!$B$13), N391, -1000000000000)</f>
        <v/>
      </c>
      <c r="V391" s="101">
        <f>IF(AND(F391&lt;=DASHBOARD!$B$11, H391&gt;=DASHBOARD!$B$13), H391, -1000000000000)</f>
        <v/>
      </c>
      <c r="W391" s="101">
        <f>IF(AND(F391&lt;=DASHBOARD!$B$11, H391&gt;=DASHBOARD!$B$13), K391, -1000000000000)</f>
        <v/>
      </c>
      <c r="X391" s="101">
        <f>IF(AND(F391&lt;=DASHBOARD!$B$11, H391&gt;=DASHBOARD!$B$13), M391, 1000000000000)</f>
        <v/>
      </c>
      <c r="Y391" s="101">
        <f>IF(AND(F391&lt;=DASHBOARD!$B$10, H391&gt;=DASHBOARD!$B$11), L391, 1000000000000)</f>
        <v/>
      </c>
      <c r="Z391" s="101">
        <f>IF(AND(F391&lt;=DASHBOARD!$B$10, H391&gt;=DASHBOARD!$B$11), O391, 1000000000000)</f>
        <v/>
      </c>
      <c r="AA391" s="101">
        <f>IF(AND(F391&lt;=DASHBOARD!$B$10, H391&gt;=DASHBOARD!$B$11), P391, 1000000000000)</f>
        <v/>
      </c>
      <c r="AB391" s="101">
        <f>IF(AND(F391&lt;=DASHBOARD!$B$10, H391&gt;=DASHBOARD!$B$11), Q391, -1000000000000)</f>
        <v/>
      </c>
    </row>
    <row r="392" ht="15" customHeight="1" s="102">
      <c r="A392" s="166" t="n">
        <v>388</v>
      </c>
      <c r="B392" s="167" t="n">
        <v>0.9</v>
      </c>
      <c r="C392" s="167" t="n">
        <v>0.4</v>
      </c>
      <c r="D392" s="110" t="inlineStr">
        <is>
          <t>Var (%20)</t>
        </is>
      </c>
      <c r="E392" s="110">
        <f>IF((B392+C392)&lt;=1, "Tam Mahsuplaşma (≤%100)", "Kısmi Satış (&gt;%100)")</f>
        <v/>
      </c>
      <c r="F392" s="168">
        <f>((VERI_TABANI!$D$29*B392/VERI_TABANI!$B$29)/VERI_TABANI!$B$3)*VERI_TABANI!$B$5 + ((VERI_TABANI!$D$29*C392/VERI_TABANI!$B$29)/VERI_TABANI!$B$4)*VERI_TABANI!$B$6 + IF(ISNUMBER(SEARCH("Var", D392)), (VERI_TABANI!$F$29/VERI_TABANI!$B$29)*(VERI_TABANI!$B$10+VERI_TABANI!$B$12), 0)</f>
        <v/>
      </c>
      <c r="G392" s="168">
        <f>(((MIN(VERI_TABANI!D23, VERI_TABANI!D23*B392)*VERI_TABANI!$B$7 + MAX(0, VERI_TABANI!D23*B392-VERI_TABANI!D23)*VERI_TABANI!$B$8) + (MIN(MAX(0, VERI_TABANI!D23-VERI_TABANI!D23*B392), VERI_TABANI!D23*C392)*VERI_TABANI!$B$7 + MAX(0, VERI_TABANI!D23*C392-MAX(0, VERI_TABANI!D23-VERI_TABANI!D23*B392))*VERI_TABANI!$B$8) + IF(ABS(IF(ISNUMBER(SEARCH("Var", D392)), 1, IF(ISNUMBER(SEARCH("Gri", D392)), -1, 0)))=1, VERI_TABANI!E23*(1-0.928)*VERI_TABANI!$B$9, 0) + (VERI_TABANI!D23*B392*(VERI_TABANI!$B$13-VERI_TABANI!$B$14)*VERI_TABANI!G23) + (VERI_TABANI!D23*C392*(VERI_TABANI!$B$13-VERI_TABANI!$B$15)*VERI_TABANI!G23) + IF(ABS(IF(ISNUMBER(SEARCH("Var", D392)), 1, IF(ISNUMBER(SEARCH("Gri", D392)), -1, 0)))=1, VERI_TABANI!E23*(1-0.928)*0.00206091519919798*VERI_TABANI!G23, 0)) + ((MIN(VERI_TABANI!D24, VERI_TABANI!D24*B392)*VERI_TABANI!$B$7 + MAX(0, VERI_TABANI!D24*B392-VERI_TABANI!D24)*VERI_TABANI!$B$8) + (MIN(MAX(0, VERI_TABANI!D24-VERI_TABANI!D24*B392), VERI_TABANI!D24*C392)*VERI_TABANI!$B$7 + MAX(0, VERI_TABANI!D24*C392-MAX(0, VERI_TABANI!D24-VERI_TABANI!D24*B392))*VERI_TABANI!$B$8) + IF(ABS(IF(ISNUMBER(SEARCH("Var", D392)), 1, IF(ISNUMBER(SEARCH("Gri", D392)), -1, 0)))=1, VERI_TABANI!E24*(1-0.928)*VERI_TABANI!$B$9, 0) + (VERI_TABANI!D24*B392*(VERI_TABANI!$B$13-VERI_TABANI!$B$14)*VERI_TABANI!G24) + (VERI_TABANI!D24*C392*(VERI_TABANI!$B$13-VERI_TABANI!$B$15)*VERI_TABANI!G24) + IF(ABS(IF(ISNUMBER(SEARCH("Var", D392)), 1, IF(ISNUMBER(SEARCH("Gri", D392)), -1, 0)))=1, VERI_TABANI!E24*(1-0.928)*0.00206091519919798*VERI_TABANI!G24, 0)) + ((MIN(VERI_TABANI!D25, VERI_TABANI!D25*B392)*VERI_TABANI!$B$7 + MAX(0, VERI_TABANI!D25*B392-VERI_TABANI!D25)*VERI_TABANI!$B$8) + (MIN(MAX(0, VERI_TABANI!D25-VERI_TABANI!D25*B392), VERI_TABANI!D25*C392)*VERI_TABANI!$B$7 + MAX(0, VERI_TABANI!D25*C392-MAX(0, VERI_TABANI!D25-VERI_TABANI!D25*B392))*VERI_TABANI!$B$8) + IF(ABS(IF(ISNUMBER(SEARCH("Var", D392)), 1, IF(ISNUMBER(SEARCH("Gri", D392)), -1, 0)))=1, VERI_TABANI!E25*(1-0.928)*VERI_TABANI!$B$9, 0) + (VERI_TABANI!D25*B392*(VERI_TABANI!$B$13-VERI_TABANI!$B$14)*VERI_TABANI!G25) + (VERI_TABANI!D25*C392*(VERI_TABANI!$B$13-VERI_TABANI!$B$15)*VERI_TABANI!G25) + IF(ABS(IF(ISNUMBER(SEARCH("Var", D392)), 1, IF(ISNUMBER(SEARCH("Gri", D392)), -1, 0)))=1, VERI_TABANI!E25*(1-0.928)*0.00206091519919798*VERI_TABANI!G25, 0)) + ((MIN(VERI_TABANI!D26, VERI_TABANI!D26*B392)*VERI_TABANI!$B$7 + MAX(0, VERI_TABANI!D26*B392-VERI_TABANI!D26)*VERI_TABANI!$B$8) + (MIN(MAX(0, VERI_TABANI!D26-VERI_TABANI!D26*B392), VERI_TABANI!D26*C392)*VERI_TABANI!$B$7 + MAX(0, VERI_TABANI!D26*C392-MAX(0, VERI_TABANI!D26-VERI_TABANI!D26*B392))*VERI_TABANI!$B$8) + IF(ABS(IF(ISNUMBER(SEARCH("Var", D392)), 1, IF(ISNUMBER(SEARCH("Gri", D392)), -1, 0)))=1, VERI_TABANI!E26*(1-0.928)*VERI_TABANI!$B$9, 0) + (VERI_TABANI!D26*B392*(VERI_TABANI!$B$13-VERI_TABANI!$B$14)*VERI_TABANI!G26) + (VERI_TABANI!D26*C392*(VERI_TABANI!$B$13-VERI_TABANI!$B$15)*VERI_TABANI!G26) + IF(ABS(IF(ISNUMBER(SEARCH("Var", D392)), 1, IF(ISNUMBER(SEARCH("Gri", D392)), -1, 0)))=1, VERI_TABANI!E26*(1-0.928)*0.00206091519919798*VERI_TABANI!G26, 0)) + ((MIN(VERI_TABANI!D27, VERI_TABANI!D27*B392)*VERI_TABANI!$B$7 + MAX(0, VERI_TABANI!D27*B392-VERI_TABANI!D27)*VERI_TABANI!$B$8) + (MIN(MAX(0, VERI_TABANI!D27-VERI_TABANI!D27*B392), VERI_TABANI!D27*C392)*VERI_TABANI!$B$7 + MAX(0, VERI_TABANI!D27*C392-MAX(0, VERI_TABANI!D27-VERI_TABANI!D27*B392))*VERI_TABANI!$B$8) + IF(ABS(IF(ISNUMBER(SEARCH("Var", D392)), 1, IF(ISNUMBER(SEARCH("Gri", D392)), -1, 0)))=1, VERI_TABANI!E27*(1-0.928)*VERI_TABANI!$B$9, 0) + (VERI_TABANI!D27*B392*(VERI_TABANI!$B$13-VERI_TABANI!$B$14)*VERI_TABANI!G27) + (VERI_TABANI!D27*C392*(VERI_TABANI!$B$13-VERI_TABANI!$B$15)*VERI_TABANI!G27) + IF(ABS(IF(ISNUMBER(SEARCH("Var", D392)), 1, IF(ISNUMBER(SEARCH("Gri", D392)), -1, 0)))=1, VERI_TABANI!E27*(1-0.928)*0.00206091519919798*VERI_TABANI!G27, 0)) + ((MIN(VERI_TABANI!D28, VERI_TABANI!D28*B392)*VERI_TABANI!$B$7 + MAX(0, VERI_TABANI!D28*B392-VERI_TABANI!D28)*VERI_TABANI!$B$8) + (MIN(MAX(0, VERI_TABANI!D28-VERI_TABANI!D28*B392), VERI_TABANI!D28*C392)*VERI_TABANI!$B$7 + MAX(0, VERI_TABANI!D28*C392-MAX(0, VERI_TABANI!D28-VERI_TABANI!D28*B392))*VERI_TABANI!$B$8) + IF(ABS(IF(ISNUMBER(SEARCH("Var", D392)), 1, IF(ISNUMBER(SEARCH("Gri", D392)), -1, 0)))=1, VERI_TABANI!E28*(1-0.928)*VERI_TABANI!$B$9, 0) + (VERI_TABANI!D28*B392*(VERI_TABANI!$B$13-VERI_TABANI!$B$14)*VERI_TABANI!G28) + (VERI_TABANI!D28*C392*(VERI_TABANI!$B$13-VERI_TABANI!$B$15)*VERI_TABANI!G28) + IF(ABS(IF(ISNUMBER(SEARCH("Var", D392)), 1, IF(ISNUMBER(SEARCH("Gri", D392)), -1, 0)))=1, VERI_TABANI!E28*(1-0.928)*0.00206091519919798*VERI_TABANI!G28, 0)))</f>
        <v/>
      </c>
      <c r="H392" s="169">
        <f>(((VERI_TABANI!D23*B392*(VERI_TABANI!$B$13-VERI_TABANI!$B$14)) + (VERI_TABANI!D23*C392*(VERI_TABANI!$B$13-VERI_TABANI!$B$15)) + IF(ISNUMBER(SEARCH("Var", D392)), VERI_TABANI!F23*(0.00202-VERI_TABANI!$B$16), IF(ISNUMBER(SEARCH("Gri", D392)), VERI_TABANI!F23*(0.00202-VERI_TABANI!$B$17), 0))) + ((VERI_TABANI!D24*B392*(VERI_TABANI!$B$13-VERI_TABANI!$B$14)) + (VERI_TABANI!D24*C392*(VERI_TABANI!$B$13-VERI_TABANI!$B$15)) + IF(ISNUMBER(SEARCH("Var", D392)), VERI_TABANI!F24*(0.00202-VERI_TABANI!$B$16), IF(ISNUMBER(SEARCH("Gri", D392)), VERI_TABANI!F24*(0.00202-VERI_TABANI!$B$17), 0))) + ((VERI_TABANI!D25*B392*(VERI_TABANI!$B$13-VERI_TABANI!$B$14)) + (VERI_TABANI!D25*C392*(VERI_TABANI!$B$13-VERI_TABANI!$B$15)) + IF(ISNUMBER(SEARCH("Var", D392)), VERI_TABANI!F25*(0.00202-VERI_TABANI!$B$16), IF(ISNUMBER(SEARCH("Gri", D392)), VERI_TABANI!F25*(0.00202-VERI_TABANI!$B$17), 0))) + ((VERI_TABANI!D26*B392*(VERI_TABANI!$B$13-VERI_TABANI!$B$14)) + (VERI_TABANI!D26*C392*(VERI_TABANI!$B$13-VERI_TABANI!$B$15)) + IF(ISNUMBER(SEARCH("Var", D392)), VERI_TABANI!F26*(0.00202-VERI_TABANI!$B$16), IF(ISNUMBER(SEARCH("Gri", D392)), VERI_TABANI!F26*(0.00202-VERI_TABANI!$B$17), 0))) + ((VERI_TABANI!D27*B392*(VERI_TABANI!$B$13-VERI_TABANI!$B$14)) + (VERI_TABANI!D27*C392*(VERI_TABANI!$B$13-VERI_TABANI!$B$15)) + IF(ISNUMBER(SEARCH("Var", D392)), VERI_TABANI!F27*(0.00202-VERI_TABANI!$B$16), IF(ISNUMBER(SEARCH("Gri", D392)), VERI_TABANI!F27*(0.00202-VERI_TABANI!$B$17), 0))) + ((VERI_TABANI!D28*B392*(VERI_TABANI!$B$13-VERI_TABANI!$B$14)) + (VERI_TABANI!D28*C392*(VERI_TABANI!$B$13-VERI_TABANI!$B$15)) + IF(ISNUMBER(SEARCH("Var", D392)), VERI_TABANI!F28*(0.00202-VERI_TABANI!$B$16), IF(ISNUMBER(SEARCH("Gri", D392)), VERI_TABANI!F28*(0.00202-VERI_TABANI!$B$17), 0))))</f>
        <v/>
      </c>
      <c r="I392" s="170">
        <f>IFERROR(((VERI_TABANI!$D$29*B392*VERI_TABANI!$B$14 + VERI_TABANI!$D$29*C392*VERI_TABANI!$B$15 + IF(ISNUMBER(SEARCH("Var", D392)), VERI_TABANI!$F$29*VERI_TABANI!$B$16, 0))) / (((VERI_TABANI!$D$29*B392 + VERI_TABANI!$D$29*C392)*VERI_TABANI!$B$13 + IF(ISNUMBER(SEARCH("Var", D392)), VERI_TABANI!$E$29*(1-0.928)*VERI_TABANI!$B$18, 0))), 0)</f>
        <v/>
      </c>
      <c r="J392" s="171">
        <f>IFERROR(F392/(G392/29), 0)</f>
        <v/>
      </c>
      <c r="K392" s="172">
        <f>IF(F392&gt;0, H392/F392, 0)</f>
        <v/>
      </c>
      <c r="L392" s="170">
        <f>IF(F392&gt;0, I392, 1000000000)</f>
        <v/>
      </c>
      <c r="M392" s="171">
        <f>ABS((B392+C392)-1)</f>
        <v/>
      </c>
      <c r="N392" s="170">
        <f>IF(F392&gt;0, (G392/29)/F392, 0)</f>
        <v/>
      </c>
      <c r="O392" s="168">
        <f>IF(AND((B392+C392)&gt;=1, ISNUMBER(SEARCH("Var", D392))), F392, 1000000000)</f>
        <v/>
      </c>
      <c r="P392" s="172">
        <f>IF(F392&gt;0, SQRT((F392/MAX(F$5:F$886))^2 + (1 - H392/MAX(H$5:H$886))^2 + (J392/MAX(J$5:J$886))^2), 1000000000)</f>
        <v/>
      </c>
      <c r="Q392" s="166">
        <f>IF(AND(ABS(B392-0.5)&lt;0.01, ABS(C392-0.5)&lt;0.01, ISNUMBER(SEARCH("Var", D392))), 1, 0)</f>
        <v/>
      </c>
      <c r="R392" s="171">
        <f>IF(F392&gt;0, J392, 1000000000)</f>
        <v/>
      </c>
      <c r="S392" s="101">
        <f>IF(AND(F392&lt;=DASHBOARD!$B$11, H392&gt;=DASHBOARD!$B$13), G392, -1000000000000)</f>
        <v/>
      </c>
      <c r="T392" s="101">
        <f>IF(AND(F392&lt;=DASHBOARD!$B$11, H392&gt;=DASHBOARD!$B$13), R392, 1000000000000)</f>
        <v/>
      </c>
      <c r="U392" s="101">
        <f>IF(AND(F392&lt;=DASHBOARD!$B$11, H392&gt;=DASHBOARD!$B$13), N392, -1000000000000)</f>
        <v/>
      </c>
      <c r="V392" s="101">
        <f>IF(AND(F392&lt;=DASHBOARD!$B$11, H392&gt;=DASHBOARD!$B$13), H392, -1000000000000)</f>
        <v/>
      </c>
      <c r="W392" s="101">
        <f>IF(AND(F392&lt;=DASHBOARD!$B$11, H392&gt;=DASHBOARD!$B$13), K392, -1000000000000)</f>
        <v/>
      </c>
      <c r="X392" s="101">
        <f>IF(AND(F392&lt;=DASHBOARD!$B$11, H392&gt;=DASHBOARD!$B$13), M392, 1000000000000)</f>
        <v/>
      </c>
      <c r="Y392" s="101">
        <f>IF(AND(F392&lt;=DASHBOARD!$B$10, H392&gt;=DASHBOARD!$B$11), L392, 1000000000000)</f>
        <v/>
      </c>
      <c r="Z392" s="101">
        <f>IF(AND(F392&lt;=DASHBOARD!$B$10, H392&gt;=DASHBOARD!$B$11), O392, 1000000000000)</f>
        <v/>
      </c>
      <c r="AA392" s="101">
        <f>IF(AND(F392&lt;=DASHBOARD!$B$10, H392&gt;=DASHBOARD!$B$11), P392, 1000000000000)</f>
        <v/>
      </c>
      <c r="AB392" s="101">
        <f>IF(AND(F392&lt;=DASHBOARD!$B$10, H392&gt;=DASHBOARD!$B$11), Q392, -1000000000000)</f>
        <v/>
      </c>
    </row>
    <row r="393" ht="15" customHeight="1" s="102">
      <c r="A393" s="166" t="n">
        <v>389</v>
      </c>
      <c r="B393" s="167" t="n">
        <v>0.9</v>
      </c>
      <c r="C393" s="167" t="n">
        <v>0.5</v>
      </c>
      <c r="D393" s="110" t="inlineStr">
        <is>
          <t>Yok (%0)</t>
        </is>
      </c>
      <c r="E393" s="110">
        <f>IF((B393+C393)&lt;=1, "Tam Mahsuplaşma (≤%100)", "Kısmi Satış (&gt;%100)")</f>
        <v/>
      </c>
      <c r="F393" s="168">
        <f>((VERI_TABANI!$D$29*B393/VERI_TABANI!$B$29)/VERI_TABANI!$B$3)*VERI_TABANI!$B$5 + ((VERI_TABANI!$D$29*C393/VERI_TABANI!$B$29)/VERI_TABANI!$B$4)*VERI_TABANI!$B$6 + IF(ISNUMBER(SEARCH("Var", D393)), (VERI_TABANI!$F$29/VERI_TABANI!$B$29)*(VERI_TABANI!$B$10+VERI_TABANI!$B$12), 0)</f>
        <v/>
      </c>
      <c r="G393" s="168">
        <f>(((MIN(VERI_TABANI!D23, VERI_TABANI!D23*B393)*VERI_TABANI!$B$7 + MAX(0, VERI_TABANI!D23*B393-VERI_TABANI!D23)*VERI_TABANI!$B$8) + (MIN(MAX(0, VERI_TABANI!D23-VERI_TABANI!D23*B393), VERI_TABANI!D23*C393)*VERI_TABANI!$B$7 + MAX(0, VERI_TABANI!D23*C393-MAX(0, VERI_TABANI!D23-VERI_TABANI!D23*B393))*VERI_TABANI!$B$8) + IF(ABS(IF(ISNUMBER(SEARCH("Var", D393)), 1, IF(ISNUMBER(SEARCH("Gri", D393)), -1, 0)))=1, VERI_TABANI!E23*(1-0.928)*VERI_TABANI!$B$9, 0) + (VERI_TABANI!D23*B393*(VERI_TABANI!$B$13-VERI_TABANI!$B$14)*VERI_TABANI!G23) + (VERI_TABANI!D23*C393*(VERI_TABANI!$B$13-VERI_TABANI!$B$15)*VERI_TABANI!G23) + IF(ABS(IF(ISNUMBER(SEARCH("Var", D393)), 1, IF(ISNUMBER(SEARCH("Gri", D393)), -1, 0)))=1, VERI_TABANI!E23*(1-0.928)*0.00206091519919798*VERI_TABANI!G23, 0)) + ((MIN(VERI_TABANI!D24, VERI_TABANI!D24*B393)*VERI_TABANI!$B$7 + MAX(0, VERI_TABANI!D24*B393-VERI_TABANI!D24)*VERI_TABANI!$B$8) + (MIN(MAX(0, VERI_TABANI!D24-VERI_TABANI!D24*B393), VERI_TABANI!D24*C393)*VERI_TABANI!$B$7 + MAX(0, VERI_TABANI!D24*C393-MAX(0, VERI_TABANI!D24-VERI_TABANI!D24*B393))*VERI_TABANI!$B$8) + IF(ABS(IF(ISNUMBER(SEARCH("Var", D393)), 1, IF(ISNUMBER(SEARCH("Gri", D393)), -1, 0)))=1, VERI_TABANI!E24*(1-0.928)*VERI_TABANI!$B$9, 0) + (VERI_TABANI!D24*B393*(VERI_TABANI!$B$13-VERI_TABANI!$B$14)*VERI_TABANI!G24) + (VERI_TABANI!D24*C393*(VERI_TABANI!$B$13-VERI_TABANI!$B$15)*VERI_TABANI!G24) + IF(ABS(IF(ISNUMBER(SEARCH("Var", D393)), 1, IF(ISNUMBER(SEARCH("Gri", D393)), -1, 0)))=1, VERI_TABANI!E24*(1-0.928)*0.00206091519919798*VERI_TABANI!G24, 0)) + ((MIN(VERI_TABANI!D25, VERI_TABANI!D25*B393)*VERI_TABANI!$B$7 + MAX(0, VERI_TABANI!D25*B393-VERI_TABANI!D25)*VERI_TABANI!$B$8) + (MIN(MAX(0, VERI_TABANI!D25-VERI_TABANI!D25*B393), VERI_TABANI!D25*C393)*VERI_TABANI!$B$7 + MAX(0, VERI_TABANI!D25*C393-MAX(0, VERI_TABANI!D25-VERI_TABANI!D25*B393))*VERI_TABANI!$B$8) + IF(ABS(IF(ISNUMBER(SEARCH("Var", D393)), 1, IF(ISNUMBER(SEARCH("Gri", D393)), -1, 0)))=1, VERI_TABANI!E25*(1-0.928)*VERI_TABANI!$B$9, 0) + (VERI_TABANI!D25*B393*(VERI_TABANI!$B$13-VERI_TABANI!$B$14)*VERI_TABANI!G25) + (VERI_TABANI!D25*C393*(VERI_TABANI!$B$13-VERI_TABANI!$B$15)*VERI_TABANI!G25) + IF(ABS(IF(ISNUMBER(SEARCH("Var", D393)), 1, IF(ISNUMBER(SEARCH("Gri", D393)), -1, 0)))=1, VERI_TABANI!E25*(1-0.928)*0.00206091519919798*VERI_TABANI!G25, 0)) + ((MIN(VERI_TABANI!D26, VERI_TABANI!D26*B393)*VERI_TABANI!$B$7 + MAX(0, VERI_TABANI!D26*B393-VERI_TABANI!D26)*VERI_TABANI!$B$8) + (MIN(MAX(0, VERI_TABANI!D26-VERI_TABANI!D26*B393), VERI_TABANI!D26*C393)*VERI_TABANI!$B$7 + MAX(0, VERI_TABANI!D26*C393-MAX(0, VERI_TABANI!D26-VERI_TABANI!D26*B393))*VERI_TABANI!$B$8) + IF(ABS(IF(ISNUMBER(SEARCH("Var", D393)), 1, IF(ISNUMBER(SEARCH("Gri", D393)), -1, 0)))=1, VERI_TABANI!E26*(1-0.928)*VERI_TABANI!$B$9, 0) + (VERI_TABANI!D26*B393*(VERI_TABANI!$B$13-VERI_TABANI!$B$14)*VERI_TABANI!G26) + (VERI_TABANI!D26*C393*(VERI_TABANI!$B$13-VERI_TABANI!$B$15)*VERI_TABANI!G26) + IF(ABS(IF(ISNUMBER(SEARCH("Var", D393)), 1, IF(ISNUMBER(SEARCH("Gri", D393)), -1, 0)))=1, VERI_TABANI!E26*(1-0.928)*0.00206091519919798*VERI_TABANI!G26, 0)) + ((MIN(VERI_TABANI!D27, VERI_TABANI!D27*B393)*VERI_TABANI!$B$7 + MAX(0, VERI_TABANI!D27*B393-VERI_TABANI!D27)*VERI_TABANI!$B$8) + (MIN(MAX(0, VERI_TABANI!D27-VERI_TABANI!D27*B393), VERI_TABANI!D27*C393)*VERI_TABANI!$B$7 + MAX(0, VERI_TABANI!D27*C393-MAX(0, VERI_TABANI!D27-VERI_TABANI!D27*B393))*VERI_TABANI!$B$8) + IF(ABS(IF(ISNUMBER(SEARCH("Var", D393)), 1, IF(ISNUMBER(SEARCH("Gri", D393)), -1, 0)))=1, VERI_TABANI!E27*(1-0.928)*VERI_TABANI!$B$9, 0) + (VERI_TABANI!D27*B393*(VERI_TABANI!$B$13-VERI_TABANI!$B$14)*VERI_TABANI!G27) + (VERI_TABANI!D27*C393*(VERI_TABANI!$B$13-VERI_TABANI!$B$15)*VERI_TABANI!G27) + IF(ABS(IF(ISNUMBER(SEARCH("Var", D393)), 1, IF(ISNUMBER(SEARCH("Gri", D393)), -1, 0)))=1, VERI_TABANI!E27*(1-0.928)*0.00206091519919798*VERI_TABANI!G27, 0)) + ((MIN(VERI_TABANI!D28, VERI_TABANI!D28*B393)*VERI_TABANI!$B$7 + MAX(0, VERI_TABANI!D28*B393-VERI_TABANI!D28)*VERI_TABANI!$B$8) + (MIN(MAX(0, VERI_TABANI!D28-VERI_TABANI!D28*B393), VERI_TABANI!D28*C393)*VERI_TABANI!$B$7 + MAX(0, VERI_TABANI!D28*C393-MAX(0, VERI_TABANI!D28-VERI_TABANI!D28*B393))*VERI_TABANI!$B$8) + IF(ABS(IF(ISNUMBER(SEARCH("Var", D393)), 1, IF(ISNUMBER(SEARCH("Gri", D393)), -1, 0)))=1, VERI_TABANI!E28*(1-0.928)*VERI_TABANI!$B$9, 0) + (VERI_TABANI!D28*B393*(VERI_TABANI!$B$13-VERI_TABANI!$B$14)*VERI_TABANI!G28) + (VERI_TABANI!D28*C393*(VERI_TABANI!$B$13-VERI_TABANI!$B$15)*VERI_TABANI!G28) + IF(ABS(IF(ISNUMBER(SEARCH("Var", D393)), 1, IF(ISNUMBER(SEARCH("Gri", D393)), -1, 0)))=1, VERI_TABANI!E28*(1-0.928)*0.00206091519919798*VERI_TABANI!G28, 0)))</f>
        <v/>
      </c>
      <c r="H393" s="169">
        <f>(((VERI_TABANI!D23*B393*(VERI_TABANI!$B$13-VERI_TABANI!$B$14)) + (VERI_TABANI!D23*C393*(VERI_TABANI!$B$13-VERI_TABANI!$B$15)) + IF(ISNUMBER(SEARCH("Var", D393)), VERI_TABANI!F23*(0.00202-VERI_TABANI!$B$16), IF(ISNUMBER(SEARCH("Gri", D393)), VERI_TABANI!F23*(0.00202-VERI_TABANI!$B$17), 0))) + ((VERI_TABANI!D24*B393*(VERI_TABANI!$B$13-VERI_TABANI!$B$14)) + (VERI_TABANI!D24*C393*(VERI_TABANI!$B$13-VERI_TABANI!$B$15)) + IF(ISNUMBER(SEARCH("Var", D393)), VERI_TABANI!F24*(0.00202-VERI_TABANI!$B$16), IF(ISNUMBER(SEARCH("Gri", D393)), VERI_TABANI!F24*(0.00202-VERI_TABANI!$B$17), 0))) + ((VERI_TABANI!D25*B393*(VERI_TABANI!$B$13-VERI_TABANI!$B$14)) + (VERI_TABANI!D25*C393*(VERI_TABANI!$B$13-VERI_TABANI!$B$15)) + IF(ISNUMBER(SEARCH("Var", D393)), VERI_TABANI!F25*(0.00202-VERI_TABANI!$B$16), IF(ISNUMBER(SEARCH("Gri", D393)), VERI_TABANI!F25*(0.00202-VERI_TABANI!$B$17), 0))) + ((VERI_TABANI!D26*B393*(VERI_TABANI!$B$13-VERI_TABANI!$B$14)) + (VERI_TABANI!D26*C393*(VERI_TABANI!$B$13-VERI_TABANI!$B$15)) + IF(ISNUMBER(SEARCH("Var", D393)), VERI_TABANI!F26*(0.00202-VERI_TABANI!$B$16), IF(ISNUMBER(SEARCH("Gri", D393)), VERI_TABANI!F26*(0.00202-VERI_TABANI!$B$17), 0))) + ((VERI_TABANI!D27*B393*(VERI_TABANI!$B$13-VERI_TABANI!$B$14)) + (VERI_TABANI!D27*C393*(VERI_TABANI!$B$13-VERI_TABANI!$B$15)) + IF(ISNUMBER(SEARCH("Var", D393)), VERI_TABANI!F27*(0.00202-VERI_TABANI!$B$16), IF(ISNUMBER(SEARCH("Gri", D393)), VERI_TABANI!F27*(0.00202-VERI_TABANI!$B$17), 0))) + ((VERI_TABANI!D28*B393*(VERI_TABANI!$B$13-VERI_TABANI!$B$14)) + (VERI_TABANI!D28*C393*(VERI_TABANI!$B$13-VERI_TABANI!$B$15)) + IF(ISNUMBER(SEARCH("Var", D393)), VERI_TABANI!F28*(0.00202-VERI_TABANI!$B$16), IF(ISNUMBER(SEARCH("Gri", D393)), VERI_TABANI!F28*(0.00202-VERI_TABANI!$B$17), 0))))</f>
        <v/>
      </c>
      <c r="I393" s="170">
        <f>IFERROR(((VERI_TABANI!$D$29*B393*VERI_TABANI!$B$14 + VERI_TABANI!$D$29*C393*VERI_TABANI!$B$15 + IF(ISNUMBER(SEARCH("Var", D393)), VERI_TABANI!$F$29*VERI_TABANI!$B$16, 0))) / (((VERI_TABANI!$D$29*B393 + VERI_TABANI!$D$29*C393)*VERI_TABANI!$B$13 + IF(ISNUMBER(SEARCH("Var", D393)), VERI_TABANI!$E$29*(1-0.928)*VERI_TABANI!$B$18, 0))), 0)</f>
        <v/>
      </c>
      <c r="J393" s="171">
        <f>IFERROR(F393/(G393/29), 0)</f>
        <v/>
      </c>
      <c r="K393" s="172">
        <f>IF(F393&gt;0, H393/F393, 0)</f>
        <v/>
      </c>
      <c r="L393" s="170">
        <f>IF(F393&gt;0, I393, 1000000000)</f>
        <v/>
      </c>
      <c r="M393" s="171">
        <f>ABS((B393+C393)-1)</f>
        <v/>
      </c>
      <c r="N393" s="170">
        <f>IF(F393&gt;0, (G393/29)/F393, 0)</f>
        <v/>
      </c>
      <c r="O393" s="168">
        <f>IF(AND((B393+C393)&gt;=1, ISNUMBER(SEARCH("Var", D393))), F393, 1000000000)</f>
        <v/>
      </c>
      <c r="P393" s="172">
        <f>IF(F393&gt;0, SQRT((F393/MAX(F$5:F$886))^2 + (1 - H393/MAX(H$5:H$886))^2 + (J393/MAX(J$5:J$886))^2), 1000000000)</f>
        <v/>
      </c>
      <c r="Q393" s="166">
        <f>IF(AND(ABS(B393-0.5)&lt;0.01, ABS(C393-0.5)&lt;0.01, ISNUMBER(SEARCH("Var", D393))), 1, 0)</f>
        <v/>
      </c>
      <c r="R393" s="171">
        <f>IF(F393&gt;0, J393, 1000000000)</f>
        <v/>
      </c>
      <c r="S393" s="101">
        <f>IF(AND(F393&lt;=DASHBOARD!$B$11, H393&gt;=DASHBOARD!$B$13), G393, -1000000000000)</f>
        <v/>
      </c>
      <c r="T393" s="101">
        <f>IF(AND(F393&lt;=DASHBOARD!$B$11, H393&gt;=DASHBOARD!$B$13), R393, 1000000000000)</f>
        <v/>
      </c>
      <c r="U393" s="101">
        <f>IF(AND(F393&lt;=DASHBOARD!$B$11, H393&gt;=DASHBOARD!$B$13), N393, -1000000000000)</f>
        <v/>
      </c>
      <c r="V393" s="101">
        <f>IF(AND(F393&lt;=DASHBOARD!$B$11, H393&gt;=DASHBOARD!$B$13), H393, -1000000000000)</f>
        <v/>
      </c>
      <c r="W393" s="101">
        <f>IF(AND(F393&lt;=DASHBOARD!$B$11, H393&gt;=DASHBOARD!$B$13), K393, -1000000000000)</f>
        <v/>
      </c>
      <c r="X393" s="101">
        <f>IF(AND(F393&lt;=DASHBOARD!$B$11, H393&gt;=DASHBOARD!$B$13), M393, 1000000000000)</f>
        <v/>
      </c>
      <c r="Y393" s="101">
        <f>IF(AND(F393&lt;=DASHBOARD!$B$10, H393&gt;=DASHBOARD!$B$11), L393, 1000000000000)</f>
        <v/>
      </c>
      <c r="Z393" s="101">
        <f>IF(AND(F393&lt;=DASHBOARD!$B$10, H393&gt;=DASHBOARD!$B$11), O393, 1000000000000)</f>
        <v/>
      </c>
      <c r="AA393" s="101">
        <f>IF(AND(F393&lt;=DASHBOARD!$B$10, H393&gt;=DASHBOARD!$B$11), P393, 1000000000000)</f>
        <v/>
      </c>
      <c r="AB393" s="101">
        <f>IF(AND(F393&lt;=DASHBOARD!$B$10, H393&gt;=DASHBOARD!$B$11), Q393, -1000000000000)</f>
        <v/>
      </c>
    </row>
    <row r="394" ht="15" customHeight="1" s="102">
      <c r="A394" s="166" t="n">
        <v>390</v>
      </c>
      <c r="B394" s="167" t="n">
        <v>0.9</v>
      </c>
      <c r="C394" s="167" t="n">
        <v>0.5</v>
      </c>
      <c r="D394" s="110" t="inlineStr">
        <is>
          <t>Var (%20)</t>
        </is>
      </c>
      <c r="E394" s="110">
        <f>IF((B394+C394)&lt;=1, "Tam Mahsuplaşma (≤%100)", "Kısmi Satış (&gt;%100)")</f>
        <v/>
      </c>
      <c r="F394" s="168">
        <f>((VERI_TABANI!$D$29*B394/VERI_TABANI!$B$29)/VERI_TABANI!$B$3)*VERI_TABANI!$B$5 + ((VERI_TABANI!$D$29*C394/VERI_TABANI!$B$29)/VERI_TABANI!$B$4)*VERI_TABANI!$B$6 + IF(ISNUMBER(SEARCH("Var", D394)), (VERI_TABANI!$F$29/VERI_TABANI!$B$29)*(VERI_TABANI!$B$10+VERI_TABANI!$B$12), 0)</f>
        <v/>
      </c>
      <c r="G394" s="168">
        <f>(((MIN(VERI_TABANI!D23, VERI_TABANI!D23*B394)*VERI_TABANI!$B$7 + MAX(0, VERI_TABANI!D23*B394-VERI_TABANI!D23)*VERI_TABANI!$B$8) + (MIN(MAX(0, VERI_TABANI!D23-VERI_TABANI!D23*B394), VERI_TABANI!D23*C394)*VERI_TABANI!$B$7 + MAX(0, VERI_TABANI!D23*C394-MAX(0, VERI_TABANI!D23-VERI_TABANI!D23*B394))*VERI_TABANI!$B$8) + IF(ABS(IF(ISNUMBER(SEARCH("Var", D394)), 1, IF(ISNUMBER(SEARCH("Gri", D394)), -1, 0)))=1, VERI_TABANI!E23*(1-0.928)*VERI_TABANI!$B$9, 0) + (VERI_TABANI!D23*B394*(VERI_TABANI!$B$13-VERI_TABANI!$B$14)*VERI_TABANI!G23) + (VERI_TABANI!D23*C394*(VERI_TABANI!$B$13-VERI_TABANI!$B$15)*VERI_TABANI!G23) + IF(ABS(IF(ISNUMBER(SEARCH("Var", D394)), 1, IF(ISNUMBER(SEARCH("Gri", D394)), -1, 0)))=1, VERI_TABANI!E23*(1-0.928)*0.00206091519919798*VERI_TABANI!G23, 0)) + ((MIN(VERI_TABANI!D24, VERI_TABANI!D24*B394)*VERI_TABANI!$B$7 + MAX(0, VERI_TABANI!D24*B394-VERI_TABANI!D24)*VERI_TABANI!$B$8) + (MIN(MAX(0, VERI_TABANI!D24-VERI_TABANI!D24*B394), VERI_TABANI!D24*C394)*VERI_TABANI!$B$7 + MAX(0, VERI_TABANI!D24*C394-MAX(0, VERI_TABANI!D24-VERI_TABANI!D24*B394))*VERI_TABANI!$B$8) + IF(ABS(IF(ISNUMBER(SEARCH("Var", D394)), 1, IF(ISNUMBER(SEARCH("Gri", D394)), -1, 0)))=1, VERI_TABANI!E24*(1-0.928)*VERI_TABANI!$B$9, 0) + (VERI_TABANI!D24*B394*(VERI_TABANI!$B$13-VERI_TABANI!$B$14)*VERI_TABANI!G24) + (VERI_TABANI!D24*C394*(VERI_TABANI!$B$13-VERI_TABANI!$B$15)*VERI_TABANI!G24) + IF(ABS(IF(ISNUMBER(SEARCH("Var", D394)), 1, IF(ISNUMBER(SEARCH("Gri", D394)), -1, 0)))=1, VERI_TABANI!E24*(1-0.928)*0.00206091519919798*VERI_TABANI!G24, 0)) + ((MIN(VERI_TABANI!D25, VERI_TABANI!D25*B394)*VERI_TABANI!$B$7 + MAX(0, VERI_TABANI!D25*B394-VERI_TABANI!D25)*VERI_TABANI!$B$8) + (MIN(MAX(0, VERI_TABANI!D25-VERI_TABANI!D25*B394), VERI_TABANI!D25*C394)*VERI_TABANI!$B$7 + MAX(0, VERI_TABANI!D25*C394-MAX(0, VERI_TABANI!D25-VERI_TABANI!D25*B394))*VERI_TABANI!$B$8) + IF(ABS(IF(ISNUMBER(SEARCH("Var", D394)), 1, IF(ISNUMBER(SEARCH("Gri", D394)), -1, 0)))=1, VERI_TABANI!E25*(1-0.928)*VERI_TABANI!$B$9, 0) + (VERI_TABANI!D25*B394*(VERI_TABANI!$B$13-VERI_TABANI!$B$14)*VERI_TABANI!G25) + (VERI_TABANI!D25*C394*(VERI_TABANI!$B$13-VERI_TABANI!$B$15)*VERI_TABANI!G25) + IF(ABS(IF(ISNUMBER(SEARCH("Var", D394)), 1, IF(ISNUMBER(SEARCH("Gri", D394)), -1, 0)))=1, VERI_TABANI!E25*(1-0.928)*0.00206091519919798*VERI_TABANI!G25, 0)) + ((MIN(VERI_TABANI!D26, VERI_TABANI!D26*B394)*VERI_TABANI!$B$7 + MAX(0, VERI_TABANI!D26*B394-VERI_TABANI!D26)*VERI_TABANI!$B$8) + (MIN(MAX(0, VERI_TABANI!D26-VERI_TABANI!D26*B394), VERI_TABANI!D26*C394)*VERI_TABANI!$B$7 + MAX(0, VERI_TABANI!D26*C394-MAX(0, VERI_TABANI!D26-VERI_TABANI!D26*B394))*VERI_TABANI!$B$8) + IF(ABS(IF(ISNUMBER(SEARCH("Var", D394)), 1, IF(ISNUMBER(SEARCH("Gri", D394)), -1, 0)))=1, VERI_TABANI!E26*(1-0.928)*VERI_TABANI!$B$9, 0) + (VERI_TABANI!D26*B394*(VERI_TABANI!$B$13-VERI_TABANI!$B$14)*VERI_TABANI!G26) + (VERI_TABANI!D26*C394*(VERI_TABANI!$B$13-VERI_TABANI!$B$15)*VERI_TABANI!G26) + IF(ABS(IF(ISNUMBER(SEARCH("Var", D394)), 1, IF(ISNUMBER(SEARCH("Gri", D394)), -1, 0)))=1, VERI_TABANI!E26*(1-0.928)*0.00206091519919798*VERI_TABANI!G26, 0)) + ((MIN(VERI_TABANI!D27, VERI_TABANI!D27*B394)*VERI_TABANI!$B$7 + MAX(0, VERI_TABANI!D27*B394-VERI_TABANI!D27)*VERI_TABANI!$B$8) + (MIN(MAX(0, VERI_TABANI!D27-VERI_TABANI!D27*B394), VERI_TABANI!D27*C394)*VERI_TABANI!$B$7 + MAX(0, VERI_TABANI!D27*C394-MAX(0, VERI_TABANI!D27-VERI_TABANI!D27*B394))*VERI_TABANI!$B$8) + IF(ABS(IF(ISNUMBER(SEARCH("Var", D394)), 1, IF(ISNUMBER(SEARCH("Gri", D394)), -1, 0)))=1, VERI_TABANI!E27*(1-0.928)*VERI_TABANI!$B$9, 0) + (VERI_TABANI!D27*B394*(VERI_TABANI!$B$13-VERI_TABANI!$B$14)*VERI_TABANI!G27) + (VERI_TABANI!D27*C394*(VERI_TABANI!$B$13-VERI_TABANI!$B$15)*VERI_TABANI!G27) + IF(ABS(IF(ISNUMBER(SEARCH("Var", D394)), 1, IF(ISNUMBER(SEARCH("Gri", D394)), -1, 0)))=1, VERI_TABANI!E27*(1-0.928)*0.00206091519919798*VERI_TABANI!G27, 0)) + ((MIN(VERI_TABANI!D28, VERI_TABANI!D28*B394)*VERI_TABANI!$B$7 + MAX(0, VERI_TABANI!D28*B394-VERI_TABANI!D28)*VERI_TABANI!$B$8) + (MIN(MAX(0, VERI_TABANI!D28-VERI_TABANI!D28*B394), VERI_TABANI!D28*C394)*VERI_TABANI!$B$7 + MAX(0, VERI_TABANI!D28*C394-MAX(0, VERI_TABANI!D28-VERI_TABANI!D28*B394))*VERI_TABANI!$B$8) + IF(ABS(IF(ISNUMBER(SEARCH("Var", D394)), 1, IF(ISNUMBER(SEARCH("Gri", D394)), -1, 0)))=1, VERI_TABANI!E28*(1-0.928)*VERI_TABANI!$B$9, 0) + (VERI_TABANI!D28*B394*(VERI_TABANI!$B$13-VERI_TABANI!$B$14)*VERI_TABANI!G28) + (VERI_TABANI!D28*C394*(VERI_TABANI!$B$13-VERI_TABANI!$B$15)*VERI_TABANI!G28) + IF(ABS(IF(ISNUMBER(SEARCH("Var", D394)), 1, IF(ISNUMBER(SEARCH("Gri", D394)), -1, 0)))=1, VERI_TABANI!E28*(1-0.928)*0.00206091519919798*VERI_TABANI!G28, 0)))</f>
        <v/>
      </c>
      <c r="H394" s="169">
        <f>(((VERI_TABANI!D23*B394*(VERI_TABANI!$B$13-VERI_TABANI!$B$14)) + (VERI_TABANI!D23*C394*(VERI_TABANI!$B$13-VERI_TABANI!$B$15)) + IF(ISNUMBER(SEARCH("Var", D394)), VERI_TABANI!F23*(0.00202-VERI_TABANI!$B$16), IF(ISNUMBER(SEARCH("Gri", D394)), VERI_TABANI!F23*(0.00202-VERI_TABANI!$B$17), 0))) + ((VERI_TABANI!D24*B394*(VERI_TABANI!$B$13-VERI_TABANI!$B$14)) + (VERI_TABANI!D24*C394*(VERI_TABANI!$B$13-VERI_TABANI!$B$15)) + IF(ISNUMBER(SEARCH("Var", D394)), VERI_TABANI!F24*(0.00202-VERI_TABANI!$B$16), IF(ISNUMBER(SEARCH("Gri", D394)), VERI_TABANI!F24*(0.00202-VERI_TABANI!$B$17), 0))) + ((VERI_TABANI!D25*B394*(VERI_TABANI!$B$13-VERI_TABANI!$B$14)) + (VERI_TABANI!D25*C394*(VERI_TABANI!$B$13-VERI_TABANI!$B$15)) + IF(ISNUMBER(SEARCH("Var", D394)), VERI_TABANI!F25*(0.00202-VERI_TABANI!$B$16), IF(ISNUMBER(SEARCH("Gri", D394)), VERI_TABANI!F25*(0.00202-VERI_TABANI!$B$17), 0))) + ((VERI_TABANI!D26*B394*(VERI_TABANI!$B$13-VERI_TABANI!$B$14)) + (VERI_TABANI!D26*C394*(VERI_TABANI!$B$13-VERI_TABANI!$B$15)) + IF(ISNUMBER(SEARCH("Var", D394)), VERI_TABANI!F26*(0.00202-VERI_TABANI!$B$16), IF(ISNUMBER(SEARCH("Gri", D394)), VERI_TABANI!F26*(0.00202-VERI_TABANI!$B$17), 0))) + ((VERI_TABANI!D27*B394*(VERI_TABANI!$B$13-VERI_TABANI!$B$14)) + (VERI_TABANI!D27*C394*(VERI_TABANI!$B$13-VERI_TABANI!$B$15)) + IF(ISNUMBER(SEARCH("Var", D394)), VERI_TABANI!F27*(0.00202-VERI_TABANI!$B$16), IF(ISNUMBER(SEARCH("Gri", D394)), VERI_TABANI!F27*(0.00202-VERI_TABANI!$B$17), 0))) + ((VERI_TABANI!D28*B394*(VERI_TABANI!$B$13-VERI_TABANI!$B$14)) + (VERI_TABANI!D28*C394*(VERI_TABANI!$B$13-VERI_TABANI!$B$15)) + IF(ISNUMBER(SEARCH("Var", D394)), VERI_TABANI!F28*(0.00202-VERI_TABANI!$B$16), IF(ISNUMBER(SEARCH("Gri", D394)), VERI_TABANI!F28*(0.00202-VERI_TABANI!$B$17), 0))))</f>
        <v/>
      </c>
      <c r="I394" s="170">
        <f>IFERROR(((VERI_TABANI!$D$29*B394*VERI_TABANI!$B$14 + VERI_TABANI!$D$29*C394*VERI_TABANI!$B$15 + IF(ISNUMBER(SEARCH("Var", D394)), VERI_TABANI!$F$29*VERI_TABANI!$B$16, 0))) / (((VERI_TABANI!$D$29*B394 + VERI_TABANI!$D$29*C394)*VERI_TABANI!$B$13 + IF(ISNUMBER(SEARCH("Var", D394)), VERI_TABANI!$E$29*(1-0.928)*VERI_TABANI!$B$18, 0))), 0)</f>
        <v/>
      </c>
      <c r="J394" s="171">
        <f>IFERROR(F394/(G394/29), 0)</f>
        <v/>
      </c>
      <c r="K394" s="172">
        <f>IF(F394&gt;0, H394/F394, 0)</f>
        <v/>
      </c>
      <c r="L394" s="170">
        <f>IF(F394&gt;0, I394, 1000000000)</f>
        <v/>
      </c>
      <c r="M394" s="171">
        <f>ABS((B394+C394)-1)</f>
        <v/>
      </c>
      <c r="N394" s="170">
        <f>IF(F394&gt;0, (G394/29)/F394, 0)</f>
        <v/>
      </c>
      <c r="O394" s="168">
        <f>IF(AND((B394+C394)&gt;=1, ISNUMBER(SEARCH("Var", D394))), F394, 1000000000)</f>
        <v/>
      </c>
      <c r="P394" s="172">
        <f>IF(F394&gt;0, SQRT((F394/MAX(F$5:F$886))^2 + (1 - H394/MAX(H$5:H$886))^2 + (J394/MAX(J$5:J$886))^2), 1000000000)</f>
        <v/>
      </c>
      <c r="Q394" s="166">
        <f>IF(AND(ABS(B394-0.5)&lt;0.01, ABS(C394-0.5)&lt;0.01, ISNUMBER(SEARCH("Var", D394))), 1, 0)</f>
        <v/>
      </c>
      <c r="R394" s="171">
        <f>IF(F394&gt;0, J394, 1000000000)</f>
        <v/>
      </c>
      <c r="S394" s="101">
        <f>IF(AND(F394&lt;=DASHBOARD!$B$11, H394&gt;=DASHBOARD!$B$13), G394, -1000000000000)</f>
        <v/>
      </c>
      <c r="T394" s="101">
        <f>IF(AND(F394&lt;=DASHBOARD!$B$11, H394&gt;=DASHBOARD!$B$13), R394, 1000000000000)</f>
        <v/>
      </c>
      <c r="U394" s="101">
        <f>IF(AND(F394&lt;=DASHBOARD!$B$11, H394&gt;=DASHBOARD!$B$13), N394, -1000000000000)</f>
        <v/>
      </c>
      <c r="V394" s="101">
        <f>IF(AND(F394&lt;=DASHBOARD!$B$11, H394&gt;=DASHBOARD!$B$13), H394, -1000000000000)</f>
        <v/>
      </c>
      <c r="W394" s="101">
        <f>IF(AND(F394&lt;=DASHBOARD!$B$11, H394&gt;=DASHBOARD!$B$13), K394, -1000000000000)</f>
        <v/>
      </c>
      <c r="X394" s="101">
        <f>IF(AND(F394&lt;=DASHBOARD!$B$11, H394&gt;=DASHBOARD!$B$13), M394, 1000000000000)</f>
        <v/>
      </c>
      <c r="Y394" s="101">
        <f>IF(AND(F394&lt;=DASHBOARD!$B$10, H394&gt;=DASHBOARD!$B$11), L394, 1000000000000)</f>
        <v/>
      </c>
      <c r="Z394" s="101">
        <f>IF(AND(F394&lt;=DASHBOARD!$B$10, H394&gt;=DASHBOARD!$B$11), O394, 1000000000000)</f>
        <v/>
      </c>
      <c r="AA394" s="101">
        <f>IF(AND(F394&lt;=DASHBOARD!$B$10, H394&gt;=DASHBOARD!$B$11), P394, 1000000000000)</f>
        <v/>
      </c>
      <c r="AB394" s="101">
        <f>IF(AND(F394&lt;=DASHBOARD!$B$10, H394&gt;=DASHBOARD!$B$11), Q394, -1000000000000)</f>
        <v/>
      </c>
    </row>
    <row r="395" ht="15" customHeight="1" s="102">
      <c r="A395" s="166" t="n">
        <v>391</v>
      </c>
      <c r="B395" s="167" t="n">
        <v>0.9</v>
      </c>
      <c r="C395" s="167" t="n">
        <v>0.6</v>
      </c>
      <c r="D395" s="110" t="inlineStr">
        <is>
          <t>Yok (%0)</t>
        </is>
      </c>
      <c r="E395" s="110">
        <f>IF((B395+C395)&lt;=1, "Tam Mahsuplaşma (≤%100)", "Kısmi Satış (&gt;%100)")</f>
        <v/>
      </c>
      <c r="F395" s="168">
        <f>((VERI_TABANI!$D$29*B395/VERI_TABANI!$B$29)/VERI_TABANI!$B$3)*VERI_TABANI!$B$5 + ((VERI_TABANI!$D$29*C395/VERI_TABANI!$B$29)/VERI_TABANI!$B$4)*VERI_TABANI!$B$6 + IF(ISNUMBER(SEARCH("Var", D395)), (VERI_TABANI!$F$29/VERI_TABANI!$B$29)*(VERI_TABANI!$B$10+VERI_TABANI!$B$12), 0)</f>
        <v/>
      </c>
      <c r="G395" s="168">
        <f>(((MIN(VERI_TABANI!D23, VERI_TABANI!D23*B395)*VERI_TABANI!$B$7 + MAX(0, VERI_TABANI!D23*B395-VERI_TABANI!D23)*VERI_TABANI!$B$8) + (MIN(MAX(0, VERI_TABANI!D23-VERI_TABANI!D23*B395), VERI_TABANI!D23*C395)*VERI_TABANI!$B$7 + MAX(0, VERI_TABANI!D23*C395-MAX(0, VERI_TABANI!D23-VERI_TABANI!D23*B395))*VERI_TABANI!$B$8) + IF(ABS(IF(ISNUMBER(SEARCH("Var", D395)), 1, IF(ISNUMBER(SEARCH("Gri", D395)), -1, 0)))=1, VERI_TABANI!E23*(1-0.928)*VERI_TABANI!$B$9, 0) + (VERI_TABANI!D23*B395*(VERI_TABANI!$B$13-VERI_TABANI!$B$14)*VERI_TABANI!G23) + (VERI_TABANI!D23*C395*(VERI_TABANI!$B$13-VERI_TABANI!$B$15)*VERI_TABANI!G23) + IF(ABS(IF(ISNUMBER(SEARCH("Var", D395)), 1, IF(ISNUMBER(SEARCH("Gri", D395)), -1, 0)))=1, VERI_TABANI!E23*(1-0.928)*0.00206091519919798*VERI_TABANI!G23, 0)) + ((MIN(VERI_TABANI!D24, VERI_TABANI!D24*B395)*VERI_TABANI!$B$7 + MAX(0, VERI_TABANI!D24*B395-VERI_TABANI!D24)*VERI_TABANI!$B$8) + (MIN(MAX(0, VERI_TABANI!D24-VERI_TABANI!D24*B395), VERI_TABANI!D24*C395)*VERI_TABANI!$B$7 + MAX(0, VERI_TABANI!D24*C395-MAX(0, VERI_TABANI!D24-VERI_TABANI!D24*B395))*VERI_TABANI!$B$8) + IF(ABS(IF(ISNUMBER(SEARCH("Var", D395)), 1, IF(ISNUMBER(SEARCH("Gri", D395)), -1, 0)))=1, VERI_TABANI!E24*(1-0.928)*VERI_TABANI!$B$9, 0) + (VERI_TABANI!D24*B395*(VERI_TABANI!$B$13-VERI_TABANI!$B$14)*VERI_TABANI!G24) + (VERI_TABANI!D24*C395*(VERI_TABANI!$B$13-VERI_TABANI!$B$15)*VERI_TABANI!G24) + IF(ABS(IF(ISNUMBER(SEARCH("Var", D395)), 1, IF(ISNUMBER(SEARCH("Gri", D395)), -1, 0)))=1, VERI_TABANI!E24*(1-0.928)*0.00206091519919798*VERI_TABANI!G24, 0)) + ((MIN(VERI_TABANI!D25, VERI_TABANI!D25*B395)*VERI_TABANI!$B$7 + MAX(0, VERI_TABANI!D25*B395-VERI_TABANI!D25)*VERI_TABANI!$B$8) + (MIN(MAX(0, VERI_TABANI!D25-VERI_TABANI!D25*B395), VERI_TABANI!D25*C395)*VERI_TABANI!$B$7 + MAX(0, VERI_TABANI!D25*C395-MAX(0, VERI_TABANI!D25-VERI_TABANI!D25*B395))*VERI_TABANI!$B$8) + IF(ABS(IF(ISNUMBER(SEARCH("Var", D395)), 1, IF(ISNUMBER(SEARCH("Gri", D395)), -1, 0)))=1, VERI_TABANI!E25*(1-0.928)*VERI_TABANI!$B$9, 0) + (VERI_TABANI!D25*B395*(VERI_TABANI!$B$13-VERI_TABANI!$B$14)*VERI_TABANI!G25) + (VERI_TABANI!D25*C395*(VERI_TABANI!$B$13-VERI_TABANI!$B$15)*VERI_TABANI!G25) + IF(ABS(IF(ISNUMBER(SEARCH("Var", D395)), 1, IF(ISNUMBER(SEARCH("Gri", D395)), -1, 0)))=1, VERI_TABANI!E25*(1-0.928)*0.00206091519919798*VERI_TABANI!G25, 0)) + ((MIN(VERI_TABANI!D26, VERI_TABANI!D26*B395)*VERI_TABANI!$B$7 + MAX(0, VERI_TABANI!D26*B395-VERI_TABANI!D26)*VERI_TABANI!$B$8) + (MIN(MAX(0, VERI_TABANI!D26-VERI_TABANI!D26*B395), VERI_TABANI!D26*C395)*VERI_TABANI!$B$7 + MAX(0, VERI_TABANI!D26*C395-MAX(0, VERI_TABANI!D26-VERI_TABANI!D26*B395))*VERI_TABANI!$B$8) + IF(ABS(IF(ISNUMBER(SEARCH("Var", D395)), 1, IF(ISNUMBER(SEARCH("Gri", D395)), -1, 0)))=1, VERI_TABANI!E26*(1-0.928)*VERI_TABANI!$B$9, 0) + (VERI_TABANI!D26*B395*(VERI_TABANI!$B$13-VERI_TABANI!$B$14)*VERI_TABANI!G26) + (VERI_TABANI!D26*C395*(VERI_TABANI!$B$13-VERI_TABANI!$B$15)*VERI_TABANI!G26) + IF(ABS(IF(ISNUMBER(SEARCH("Var", D395)), 1, IF(ISNUMBER(SEARCH("Gri", D395)), -1, 0)))=1, VERI_TABANI!E26*(1-0.928)*0.00206091519919798*VERI_TABANI!G26, 0)) + ((MIN(VERI_TABANI!D27, VERI_TABANI!D27*B395)*VERI_TABANI!$B$7 + MAX(0, VERI_TABANI!D27*B395-VERI_TABANI!D27)*VERI_TABANI!$B$8) + (MIN(MAX(0, VERI_TABANI!D27-VERI_TABANI!D27*B395), VERI_TABANI!D27*C395)*VERI_TABANI!$B$7 + MAX(0, VERI_TABANI!D27*C395-MAX(0, VERI_TABANI!D27-VERI_TABANI!D27*B395))*VERI_TABANI!$B$8) + IF(ABS(IF(ISNUMBER(SEARCH("Var", D395)), 1, IF(ISNUMBER(SEARCH("Gri", D395)), -1, 0)))=1, VERI_TABANI!E27*(1-0.928)*VERI_TABANI!$B$9, 0) + (VERI_TABANI!D27*B395*(VERI_TABANI!$B$13-VERI_TABANI!$B$14)*VERI_TABANI!G27) + (VERI_TABANI!D27*C395*(VERI_TABANI!$B$13-VERI_TABANI!$B$15)*VERI_TABANI!G27) + IF(ABS(IF(ISNUMBER(SEARCH("Var", D395)), 1, IF(ISNUMBER(SEARCH("Gri", D395)), -1, 0)))=1, VERI_TABANI!E27*(1-0.928)*0.00206091519919798*VERI_TABANI!G27, 0)) + ((MIN(VERI_TABANI!D28, VERI_TABANI!D28*B395)*VERI_TABANI!$B$7 + MAX(0, VERI_TABANI!D28*B395-VERI_TABANI!D28)*VERI_TABANI!$B$8) + (MIN(MAX(0, VERI_TABANI!D28-VERI_TABANI!D28*B395), VERI_TABANI!D28*C395)*VERI_TABANI!$B$7 + MAX(0, VERI_TABANI!D28*C395-MAX(0, VERI_TABANI!D28-VERI_TABANI!D28*B395))*VERI_TABANI!$B$8) + IF(ABS(IF(ISNUMBER(SEARCH("Var", D395)), 1, IF(ISNUMBER(SEARCH("Gri", D395)), -1, 0)))=1, VERI_TABANI!E28*(1-0.928)*VERI_TABANI!$B$9, 0) + (VERI_TABANI!D28*B395*(VERI_TABANI!$B$13-VERI_TABANI!$B$14)*VERI_TABANI!G28) + (VERI_TABANI!D28*C395*(VERI_TABANI!$B$13-VERI_TABANI!$B$15)*VERI_TABANI!G28) + IF(ABS(IF(ISNUMBER(SEARCH("Var", D395)), 1, IF(ISNUMBER(SEARCH("Gri", D395)), -1, 0)))=1, VERI_TABANI!E28*(1-0.928)*0.00206091519919798*VERI_TABANI!G28, 0)))</f>
        <v/>
      </c>
      <c r="H395" s="169">
        <f>(((VERI_TABANI!D23*B395*(VERI_TABANI!$B$13-VERI_TABANI!$B$14)) + (VERI_TABANI!D23*C395*(VERI_TABANI!$B$13-VERI_TABANI!$B$15)) + IF(ISNUMBER(SEARCH("Var", D395)), VERI_TABANI!F23*(0.00202-VERI_TABANI!$B$16), IF(ISNUMBER(SEARCH("Gri", D395)), VERI_TABANI!F23*(0.00202-VERI_TABANI!$B$17), 0))) + ((VERI_TABANI!D24*B395*(VERI_TABANI!$B$13-VERI_TABANI!$B$14)) + (VERI_TABANI!D24*C395*(VERI_TABANI!$B$13-VERI_TABANI!$B$15)) + IF(ISNUMBER(SEARCH("Var", D395)), VERI_TABANI!F24*(0.00202-VERI_TABANI!$B$16), IF(ISNUMBER(SEARCH("Gri", D395)), VERI_TABANI!F24*(0.00202-VERI_TABANI!$B$17), 0))) + ((VERI_TABANI!D25*B395*(VERI_TABANI!$B$13-VERI_TABANI!$B$14)) + (VERI_TABANI!D25*C395*(VERI_TABANI!$B$13-VERI_TABANI!$B$15)) + IF(ISNUMBER(SEARCH("Var", D395)), VERI_TABANI!F25*(0.00202-VERI_TABANI!$B$16), IF(ISNUMBER(SEARCH("Gri", D395)), VERI_TABANI!F25*(0.00202-VERI_TABANI!$B$17), 0))) + ((VERI_TABANI!D26*B395*(VERI_TABANI!$B$13-VERI_TABANI!$B$14)) + (VERI_TABANI!D26*C395*(VERI_TABANI!$B$13-VERI_TABANI!$B$15)) + IF(ISNUMBER(SEARCH("Var", D395)), VERI_TABANI!F26*(0.00202-VERI_TABANI!$B$16), IF(ISNUMBER(SEARCH("Gri", D395)), VERI_TABANI!F26*(0.00202-VERI_TABANI!$B$17), 0))) + ((VERI_TABANI!D27*B395*(VERI_TABANI!$B$13-VERI_TABANI!$B$14)) + (VERI_TABANI!D27*C395*(VERI_TABANI!$B$13-VERI_TABANI!$B$15)) + IF(ISNUMBER(SEARCH("Var", D395)), VERI_TABANI!F27*(0.00202-VERI_TABANI!$B$16), IF(ISNUMBER(SEARCH("Gri", D395)), VERI_TABANI!F27*(0.00202-VERI_TABANI!$B$17), 0))) + ((VERI_TABANI!D28*B395*(VERI_TABANI!$B$13-VERI_TABANI!$B$14)) + (VERI_TABANI!D28*C395*(VERI_TABANI!$B$13-VERI_TABANI!$B$15)) + IF(ISNUMBER(SEARCH("Var", D395)), VERI_TABANI!F28*(0.00202-VERI_TABANI!$B$16), IF(ISNUMBER(SEARCH("Gri", D395)), VERI_TABANI!F28*(0.00202-VERI_TABANI!$B$17), 0))))</f>
        <v/>
      </c>
      <c r="I395" s="170">
        <f>IFERROR(((VERI_TABANI!$D$29*B395*VERI_TABANI!$B$14 + VERI_TABANI!$D$29*C395*VERI_TABANI!$B$15 + IF(ISNUMBER(SEARCH("Var", D395)), VERI_TABANI!$F$29*VERI_TABANI!$B$16, 0))) / (((VERI_TABANI!$D$29*B395 + VERI_TABANI!$D$29*C395)*VERI_TABANI!$B$13 + IF(ISNUMBER(SEARCH("Var", D395)), VERI_TABANI!$E$29*(1-0.928)*VERI_TABANI!$B$18, 0))), 0)</f>
        <v/>
      </c>
      <c r="J395" s="171">
        <f>IFERROR(F395/(G395/29), 0)</f>
        <v/>
      </c>
      <c r="K395" s="172">
        <f>IF(F395&gt;0, H395/F395, 0)</f>
        <v/>
      </c>
      <c r="L395" s="170">
        <f>IF(F395&gt;0, I395, 1000000000)</f>
        <v/>
      </c>
      <c r="M395" s="171">
        <f>ABS((B395+C395)-1)</f>
        <v/>
      </c>
      <c r="N395" s="170">
        <f>IF(F395&gt;0, (G395/29)/F395, 0)</f>
        <v/>
      </c>
      <c r="O395" s="168">
        <f>IF(AND((B395+C395)&gt;=1, ISNUMBER(SEARCH("Var", D395))), F395, 1000000000)</f>
        <v/>
      </c>
      <c r="P395" s="172">
        <f>IF(F395&gt;0, SQRT((F395/MAX(F$5:F$886))^2 + (1 - H395/MAX(H$5:H$886))^2 + (J395/MAX(J$5:J$886))^2), 1000000000)</f>
        <v/>
      </c>
      <c r="Q395" s="166">
        <f>IF(AND(ABS(B395-0.5)&lt;0.01, ABS(C395-0.5)&lt;0.01, ISNUMBER(SEARCH("Var", D395))), 1, 0)</f>
        <v/>
      </c>
      <c r="R395" s="171">
        <f>IF(F395&gt;0, J395, 1000000000)</f>
        <v/>
      </c>
      <c r="S395" s="101">
        <f>IF(AND(F395&lt;=DASHBOARD!$B$11, H395&gt;=DASHBOARD!$B$13), G395, -1000000000000)</f>
        <v/>
      </c>
      <c r="T395" s="101">
        <f>IF(AND(F395&lt;=DASHBOARD!$B$11, H395&gt;=DASHBOARD!$B$13), R395, 1000000000000)</f>
        <v/>
      </c>
      <c r="U395" s="101">
        <f>IF(AND(F395&lt;=DASHBOARD!$B$11, H395&gt;=DASHBOARD!$B$13), N395, -1000000000000)</f>
        <v/>
      </c>
      <c r="V395" s="101">
        <f>IF(AND(F395&lt;=DASHBOARD!$B$11, H395&gt;=DASHBOARD!$B$13), H395, -1000000000000)</f>
        <v/>
      </c>
      <c r="W395" s="101">
        <f>IF(AND(F395&lt;=DASHBOARD!$B$11, H395&gt;=DASHBOARD!$B$13), K395, -1000000000000)</f>
        <v/>
      </c>
      <c r="X395" s="101">
        <f>IF(AND(F395&lt;=DASHBOARD!$B$11, H395&gt;=DASHBOARD!$B$13), M395, 1000000000000)</f>
        <v/>
      </c>
      <c r="Y395" s="101">
        <f>IF(AND(F395&lt;=DASHBOARD!$B$10, H395&gt;=DASHBOARD!$B$11), L395, 1000000000000)</f>
        <v/>
      </c>
      <c r="Z395" s="101">
        <f>IF(AND(F395&lt;=DASHBOARD!$B$10, H395&gt;=DASHBOARD!$B$11), O395, 1000000000000)</f>
        <v/>
      </c>
      <c r="AA395" s="101">
        <f>IF(AND(F395&lt;=DASHBOARD!$B$10, H395&gt;=DASHBOARD!$B$11), P395, 1000000000000)</f>
        <v/>
      </c>
      <c r="AB395" s="101">
        <f>IF(AND(F395&lt;=DASHBOARD!$B$10, H395&gt;=DASHBOARD!$B$11), Q395, -1000000000000)</f>
        <v/>
      </c>
    </row>
    <row r="396" ht="15" customHeight="1" s="102">
      <c r="A396" s="166" t="n">
        <v>392</v>
      </c>
      <c r="B396" s="167" t="n">
        <v>0.9</v>
      </c>
      <c r="C396" s="167" t="n">
        <v>0.6</v>
      </c>
      <c r="D396" s="110" t="inlineStr">
        <is>
          <t>Var (%20)</t>
        </is>
      </c>
      <c r="E396" s="110">
        <f>IF((B396+C396)&lt;=1, "Tam Mahsuplaşma (≤%100)", "Kısmi Satış (&gt;%100)")</f>
        <v/>
      </c>
      <c r="F396" s="168">
        <f>((VERI_TABANI!$D$29*B396/VERI_TABANI!$B$29)/VERI_TABANI!$B$3)*VERI_TABANI!$B$5 + ((VERI_TABANI!$D$29*C396/VERI_TABANI!$B$29)/VERI_TABANI!$B$4)*VERI_TABANI!$B$6 + IF(ISNUMBER(SEARCH("Var", D396)), (VERI_TABANI!$F$29/VERI_TABANI!$B$29)*(VERI_TABANI!$B$10+VERI_TABANI!$B$12), 0)</f>
        <v/>
      </c>
      <c r="G396" s="168">
        <f>(((MIN(VERI_TABANI!D23, VERI_TABANI!D23*B396)*VERI_TABANI!$B$7 + MAX(0, VERI_TABANI!D23*B396-VERI_TABANI!D23)*VERI_TABANI!$B$8) + (MIN(MAX(0, VERI_TABANI!D23-VERI_TABANI!D23*B396), VERI_TABANI!D23*C396)*VERI_TABANI!$B$7 + MAX(0, VERI_TABANI!D23*C396-MAX(0, VERI_TABANI!D23-VERI_TABANI!D23*B396))*VERI_TABANI!$B$8) + IF(ABS(IF(ISNUMBER(SEARCH("Var", D396)), 1, IF(ISNUMBER(SEARCH("Gri", D396)), -1, 0)))=1, VERI_TABANI!E23*(1-0.928)*VERI_TABANI!$B$9, 0) + (VERI_TABANI!D23*B396*(VERI_TABANI!$B$13-VERI_TABANI!$B$14)*VERI_TABANI!G23) + (VERI_TABANI!D23*C396*(VERI_TABANI!$B$13-VERI_TABANI!$B$15)*VERI_TABANI!G23) + IF(ABS(IF(ISNUMBER(SEARCH("Var", D396)), 1, IF(ISNUMBER(SEARCH("Gri", D396)), -1, 0)))=1, VERI_TABANI!E23*(1-0.928)*0.00206091519919798*VERI_TABANI!G23, 0)) + ((MIN(VERI_TABANI!D24, VERI_TABANI!D24*B396)*VERI_TABANI!$B$7 + MAX(0, VERI_TABANI!D24*B396-VERI_TABANI!D24)*VERI_TABANI!$B$8) + (MIN(MAX(0, VERI_TABANI!D24-VERI_TABANI!D24*B396), VERI_TABANI!D24*C396)*VERI_TABANI!$B$7 + MAX(0, VERI_TABANI!D24*C396-MAX(0, VERI_TABANI!D24-VERI_TABANI!D24*B396))*VERI_TABANI!$B$8) + IF(ABS(IF(ISNUMBER(SEARCH("Var", D396)), 1, IF(ISNUMBER(SEARCH("Gri", D396)), -1, 0)))=1, VERI_TABANI!E24*(1-0.928)*VERI_TABANI!$B$9, 0) + (VERI_TABANI!D24*B396*(VERI_TABANI!$B$13-VERI_TABANI!$B$14)*VERI_TABANI!G24) + (VERI_TABANI!D24*C396*(VERI_TABANI!$B$13-VERI_TABANI!$B$15)*VERI_TABANI!G24) + IF(ABS(IF(ISNUMBER(SEARCH("Var", D396)), 1, IF(ISNUMBER(SEARCH("Gri", D396)), -1, 0)))=1, VERI_TABANI!E24*(1-0.928)*0.00206091519919798*VERI_TABANI!G24, 0)) + ((MIN(VERI_TABANI!D25, VERI_TABANI!D25*B396)*VERI_TABANI!$B$7 + MAX(0, VERI_TABANI!D25*B396-VERI_TABANI!D25)*VERI_TABANI!$B$8) + (MIN(MAX(0, VERI_TABANI!D25-VERI_TABANI!D25*B396), VERI_TABANI!D25*C396)*VERI_TABANI!$B$7 + MAX(0, VERI_TABANI!D25*C396-MAX(0, VERI_TABANI!D25-VERI_TABANI!D25*B396))*VERI_TABANI!$B$8) + IF(ABS(IF(ISNUMBER(SEARCH("Var", D396)), 1, IF(ISNUMBER(SEARCH("Gri", D396)), -1, 0)))=1, VERI_TABANI!E25*(1-0.928)*VERI_TABANI!$B$9, 0) + (VERI_TABANI!D25*B396*(VERI_TABANI!$B$13-VERI_TABANI!$B$14)*VERI_TABANI!G25) + (VERI_TABANI!D25*C396*(VERI_TABANI!$B$13-VERI_TABANI!$B$15)*VERI_TABANI!G25) + IF(ABS(IF(ISNUMBER(SEARCH("Var", D396)), 1, IF(ISNUMBER(SEARCH("Gri", D396)), -1, 0)))=1, VERI_TABANI!E25*(1-0.928)*0.00206091519919798*VERI_TABANI!G25, 0)) + ((MIN(VERI_TABANI!D26, VERI_TABANI!D26*B396)*VERI_TABANI!$B$7 + MAX(0, VERI_TABANI!D26*B396-VERI_TABANI!D26)*VERI_TABANI!$B$8) + (MIN(MAX(0, VERI_TABANI!D26-VERI_TABANI!D26*B396), VERI_TABANI!D26*C396)*VERI_TABANI!$B$7 + MAX(0, VERI_TABANI!D26*C396-MAX(0, VERI_TABANI!D26-VERI_TABANI!D26*B396))*VERI_TABANI!$B$8) + IF(ABS(IF(ISNUMBER(SEARCH("Var", D396)), 1, IF(ISNUMBER(SEARCH("Gri", D396)), -1, 0)))=1, VERI_TABANI!E26*(1-0.928)*VERI_TABANI!$B$9, 0) + (VERI_TABANI!D26*B396*(VERI_TABANI!$B$13-VERI_TABANI!$B$14)*VERI_TABANI!G26) + (VERI_TABANI!D26*C396*(VERI_TABANI!$B$13-VERI_TABANI!$B$15)*VERI_TABANI!G26) + IF(ABS(IF(ISNUMBER(SEARCH("Var", D396)), 1, IF(ISNUMBER(SEARCH("Gri", D396)), -1, 0)))=1, VERI_TABANI!E26*(1-0.928)*0.00206091519919798*VERI_TABANI!G26, 0)) + ((MIN(VERI_TABANI!D27, VERI_TABANI!D27*B396)*VERI_TABANI!$B$7 + MAX(0, VERI_TABANI!D27*B396-VERI_TABANI!D27)*VERI_TABANI!$B$8) + (MIN(MAX(0, VERI_TABANI!D27-VERI_TABANI!D27*B396), VERI_TABANI!D27*C396)*VERI_TABANI!$B$7 + MAX(0, VERI_TABANI!D27*C396-MAX(0, VERI_TABANI!D27-VERI_TABANI!D27*B396))*VERI_TABANI!$B$8) + IF(ABS(IF(ISNUMBER(SEARCH("Var", D396)), 1, IF(ISNUMBER(SEARCH("Gri", D396)), -1, 0)))=1, VERI_TABANI!E27*(1-0.928)*VERI_TABANI!$B$9, 0) + (VERI_TABANI!D27*B396*(VERI_TABANI!$B$13-VERI_TABANI!$B$14)*VERI_TABANI!G27) + (VERI_TABANI!D27*C396*(VERI_TABANI!$B$13-VERI_TABANI!$B$15)*VERI_TABANI!G27) + IF(ABS(IF(ISNUMBER(SEARCH("Var", D396)), 1, IF(ISNUMBER(SEARCH("Gri", D396)), -1, 0)))=1, VERI_TABANI!E27*(1-0.928)*0.00206091519919798*VERI_TABANI!G27, 0)) + ((MIN(VERI_TABANI!D28, VERI_TABANI!D28*B396)*VERI_TABANI!$B$7 + MAX(0, VERI_TABANI!D28*B396-VERI_TABANI!D28)*VERI_TABANI!$B$8) + (MIN(MAX(0, VERI_TABANI!D28-VERI_TABANI!D28*B396), VERI_TABANI!D28*C396)*VERI_TABANI!$B$7 + MAX(0, VERI_TABANI!D28*C396-MAX(0, VERI_TABANI!D28-VERI_TABANI!D28*B396))*VERI_TABANI!$B$8) + IF(ABS(IF(ISNUMBER(SEARCH("Var", D396)), 1, IF(ISNUMBER(SEARCH("Gri", D396)), -1, 0)))=1, VERI_TABANI!E28*(1-0.928)*VERI_TABANI!$B$9, 0) + (VERI_TABANI!D28*B396*(VERI_TABANI!$B$13-VERI_TABANI!$B$14)*VERI_TABANI!G28) + (VERI_TABANI!D28*C396*(VERI_TABANI!$B$13-VERI_TABANI!$B$15)*VERI_TABANI!G28) + IF(ABS(IF(ISNUMBER(SEARCH("Var", D396)), 1, IF(ISNUMBER(SEARCH("Gri", D396)), -1, 0)))=1, VERI_TABANI!E28*(1-0.928)*0.00206091519919798*VERI_TABANI!G28, 0)))</f>
        <v/>
      </c>
      <c r="H396" s="169">
        <f>(((VERI_TABANI!D23*B396*(VERI_TABANI!$B$13-VERI_TABANI!$B$14)) + (VERI_TABANI!D23*C396*(VERI_TABANI!$B$13-VERI_TABANI!$B$15)) + IF(ISNUMBER(SEARCH("Var", D396)), VERI_TABANI!F23*(0.00202-VERI_TABANI!$B$16), IF(ISNUMBER(SEARCH("Gri", D396)), VERI_TABANI!F23*(0.00202-VERI_TABANI!$B$17), 0))) + ((VERI_TABANI!D24*B396*(VERI_TABANI!$B$13-VERI_TABANI!$B$14)) + (VERI_TABANI!D24*C396*(VERI_TABANI!$B$13-VERI_TABANI!$B$15)) + IF(ISNUMBER(SEARCH("Var", D396)), VERI_TABANI!F24*(0.00202-VERI_TABANI!$B$16), IF(ISNUMBER(SEARCH("Gri", D396)), VERI_TABANI!F24*(0.00202-VERI_TABANI!$B$17), 0))) + ((VERI_TABANI!D25*B396*(VERI_TABANI!$B$13-VERI_TABANI!$B$14)) + (VERI_TABANI!D25*C396*(VERI_TABANI!$B$13-VERI_TABANI!$B$15)) + IF(ISNUMBER(SEARCH("Var", D396)), VERI_TABANI!F25*(0.00202-VERI_TABANI!$B$16), IF(ISNUMBER(SEARCH("Gri", D396)), VERI_TABANI!F25*(0.00202-VERI_TABANI!$B$17), 0))) + ((VERI_TABANI!D26*B396*(VERI_TABANI!$B$13-VERI_TABANI!$B$14)) + (VERI_TABANI!D26*C396*(VERI_TABANI!$B$13-VERI_TABANI!$B$15)) + IF(ISNUMBER(SEARCH("Var", D396)), VERI_TABANI!F26*(0.00202-VERI_TABANI!$B$16), IF(ISNUMBER(SEARCH("Gri", D396)), VERI_TABANI!F26*(0.00202-VERI_TABANI!$B$17), 0))) + ((VERI_TABANI!D27*B396*(VERI_TABANI!$B$13-VERI_TABANI!$B$14)) + (VERI_TABANI!D27*C396*(VERI_TABANI!$B$13-VERI_TABANI!$B$15)) + IF(ISNUMBER(SEARCH("Var", D396)), VERI_TABANI!F27*(0.00202-VERI_TABANI!$B$16), IF(ISNUMBER(SEARCH("Gri", D396)), VERI_TABANI!F27*(0.00202-VERI_TABANI!$B$17), 0))) + ((VERI_TABANI!D28*B396*(VERI_TABANI!$B$13-VERI_TABANI!$B$14)) + (VERI_TABANI!D28*C396*(VERI_TABANI!$B$13-VERI_TABANI!$B$15)) + IF(ISNUMBER(SEARCH("Var", D396)), VERI_TABANI!F28*(0.00202-VERI_TABANI!$B$16), IF(ISNUMBER(SEARCH("Gri", D396)), VERI_TABANI!F28*(0.00202-VERI_TABANI!$B$17), 0))))</f>
        <v/>
      </c>
      <c r="I396" s="170">
        <f>IFERROR(((VERI_TABANI!$D$29*B396*VERI_TABANI!$B$14 + VERI_TABANI!$D$29*C396*VERI_TABANI!$B$15 + IF(ISNUMBER(SEARCH("Var", D396)), VERI_TABANI!$F$29*VERI_TABANI!$B$16, 0))) / (((VERI_TABANI!$D$29*B396 + VERI_TABANI!$D$29*C396)*VERI_TABANI!$B$13 + IF(ISNUMBER(SEARCH("Var", D396)), VERI_TABANI!$E$29*(1-0.928)*VERI_TABANI!$B$18, 0))), 0)</f>
        <v/>
      </c>
      <c r="J396" s="171">
        <f>IFERROR(F396/(G396/29), 0)</f>
        <v/>
      </c>
      <c r="K396" s="172">
        <f>IF(F396&gt;0, H396/F396, 0)</f>
        <v/>
      </c>
      <c r="L396" s="170">
        <f>IF(F396&gt;0, I396, 1000000000)</f>
        <v/>
      </c>
      <c r="M396" s="171">
        <f>ABS((B396+C396)-1)</f>
        <v/>
      </c>
      <c r="N396" s="170">
        <f>IF(F396&gt;0, (G396/29)/F396, 0)</f>
        <v/>
      </c>
      <c r="O396" s="168">
        <f>IF(AND((B396+C396)&gt;=1, ISNUMBER(SEARCH("Var", D396))), F396, 1000000000)</f>
        <v/>
      </c>
      <c r="P396" s="172">
        <f>IF(F396&gt;0, SQRT((F396/MAX(F$5:F$886))^2 + (1 - H396/MAX(H$5:H$886))^2 + (J396/MAX(J$5:J$886))^2), 1000000000)</f>
        <v/>
      </c>
      <c r="Q396" s="166">
        <f>IF(AND(ABS(B396-0.5)&lt;0.01, ABS(C396-0.5)&lt;0.01, ISNUMBER(SEARCH("Var", D396))), 1, 0)</f>
        <v/>
      </c>
      <c r="R396" s="171">
        <f>IF(F396&gt;0, J396, 1000000000)</f>
        <v/>
      </c>
      <c r="S396" s="101">
        <f>IF(AND(F396&lt;=DASHBOARD!$B$11, H396&gt;=DASHBOARD!$B$13), G396, -1000000000000)</f>
        <v/>
      </c>
      <c r="T396" s="101">
        <f>IF(AND(F396&lt;=DASHBOARD!$B$11, H396&gt;=DASHBOARD!$B$13), R396, 1000000000000)</f>
        <v/>
      </c>
      <c r="U396" s="101">
        <f>IF(AND(F396&lt;=DASHBOARD!$B$11, H396&gt;=DASHBOARD!$B$13), N396, -1000000000000)</f>
        <v/>
      </c>
      <c r="V396" s="101">
        <f>IF(AND(F396&lt;=DASHBOARD!$B$11, H396&gt;=DASHBOARD!$B$13), H396, -1000000000000)</f>
        <v/>
      </c>
      <c r="W396" s="101">
        <f>IF(AND(F396&lt;=DASHBOARD!$B$11, H396&gt;=DASHBOARD!$B$13), K396, -1000000000000)</f>
        <v/>
      </c>
      <c r="X396" s="101">
        <f>IF(AND(F396&lt;=DASHBOARD!$B$11, H396&gt;=DASHBOARD!$B$13), M396, 1000000000000)</f>
        <v/>
      </c>
      <c r="Y396" s="101">
        <f>IF(AND(F396&lt;=DASHBOARD!$B$10, H396&gt;=DASHBOARD!$B$11), L396, 1000000000000)</f>
        <v/>
      </c>
      <c r="Z396" s="101">
        <f>IF(AND(F396&lt;=DASHBOARD!$B$10, H396&gt;=DASHBOARD!$B$11), O396, 1000000000000)</f>
        <v/>
      </c>
      <c r="AA396" s="101">
        <f>IF(AND(F396&lt;=DASHBOARD!$B$10, H396&gt;=DASHBOARD!$B$11), P396, 1000000000000)</f>
        <v/>
      </c>
      <c r="AB396" s="101">
        <f>IF(AND(F396&lt;=DASHBOARD!$B$10, H396&gt;=DASHBOARD!$B$11), Q396, -1000000000000)</f>
        <v/>
      </c>
    </row>
    <row r="397" ht="15" customHeight="1" s="102">
      <c r="A397" s="166" t="n">
        <v>393</v>
      </c>
      <c r="B397" s="167" t="n">
        <v>0.9</v>
      </c>
      <c r="C397" s="167" t="n">
        <v>0.7</v>
      </c>
      <c r="D397" s="110" t="inlineStr">
        <is>
          <t>Yok (%0)</t>
        </is>
      </c>
      <c r="E397" s="110">
        <f>IF((B397+C397)&lt;=1, "Tam Mahsuplaşma (≤%100)", "Kısmi Satış (&gt;%100)")</f>
        <v/>
      </c>
      <c r="F397" s="168">
        <f>((VERI_TABANI!$D$29*B397/VERI_TABANI!$B$29)/VERI_TABANI!$B$3)*VERI_TABANI!$B$5 + ((VERI_TABANI!$D$29*C397/VERI_TABANI!$B$29)/VERI_TABANI!$B$4)*VERI_TABANI!$B$6 + IF(ISNUMBER(SEARCH("Var", D397)), (VERI_TABANI!$F$29/VERI_TABANI!$B$29)*(VERI_TABANI!$B$10+VERI_TABANI!$B$12), 0)</f>
        <v/>
      </c>
      <c r="G397" s="168">
        <f>(((MIN(VERI_TABANI!D23, VERI_TABANI!D23*B397)*VERI_TABANI!$B$7 + MAX(0, VERI_TABANI!D23*B397-VERI_TABANI!D23)*VERI_TABANI!$B$8) + (MIN(MAX(0, VERI_TABANI!D23-VERI_TABANI!D23*B397), VERI_TABANI!D23*C397)*VERI_TABANI!$B$7 + MAX(0, VERI_TABANI!D23*C397-MAX(0, VERI_TABANI!D23-VERI_TABANI!D23*B397))*VERI_TABANI!$B$8) + IF(ABS(IF(ISNUMBER(SEARCH("Var", D397)), 1, IF(ISNUMBER(SEARCH("Gri", D397)), -1, 0)))=1, VERI_TABANI!E23*(1-0.928)*VERI_TABANI!$B$9, 0) + (VERI_TABANI!D23*B397*(VERI_TABANI!$B$13-VERI_TABANI!$B$14)*VERI_TABANI!G23) + (VERI_TABANI!D23*C397*(VERI_TABANI!$B$13-VERI_TABANI!$B$15)*VERI_TABANI!G23) + IF(ABS(IF(ISNUMBER(SEARCH("Var", D397)), 1, IF(ISNUMBER(SEARCH("Gri", D397)), -1, 0)))=1, VERI_TABANI!E23*(1-0.928)*0.00206091519919798*VERI_TABANI!G23, 0)) + ((MIN(VERI_TABANI!D24, VERI_TABANI!D24*B397)*VERI_TABANI!$B$7 + MAX(0, VERI_TABANI!D24*B397-VERI_TABANI!D24)*VERI_TABANI!$B$8) + (MIN(MAX(0, VERI_TABANI!D24-VERI_TABANI!D24*B397), VERI_TABANI!D24*C397)*VERI_TABANI!$B$7 + MAX(0, VERI_TABANI!D24*C397-MAX(0, VERI_TABANI!D24-VERI_TABANI!D24*B397))*VERI_TABANI!$B$8) + IF(ABS(IF(ISNUMBER(SEARCH("Var", D397)), 1, IF(ISNUMBER(SEARCH("Gri", D397)), -1, 0)))=1, VERI_TABANI!E24*(1-0.928)*VERI_TABANI!$B$9, 0) + (VERI_TABANI!D24*B397*(VERI_TABANI!$B$13-VERI_TABANI!$B$14)*VERI_TABANI!G24) + (VERI_TABANI!D24*C397*(VERI_TABANI!$B$13-VERI_TABANI!$B$15)*VERI_TABANI!G24) + IF(ABS(IF(ISNUMBER(SEARCH("Var", D397)), 1, IF(ISNUMBER(SEARCH("Gri", D397)), -1, 0)))=1, VERI_TABANI!E24*(1-0.928)*0.00206091519919798*VERI_TABANI!G24, 0)) + ((MIN(VERI_TABANI!D25, VERI_TABANI!D25*B397)*VERI_TABANI!$B$7 + MAX(0, VERI_TABANI!D25*B397-VERI_TABANI!D25)*VERI_TABANI!$B$8) + (MIN(MAX(0, VERI_TABANI!D25-VERI_TABANI!D25*B397), VERI_TABANI!D25*C397)*VERI_TABANI!$B$7 + MAX(0, VERI_TABANI!D25*C397-MAX(0, VERI_TABANI!D25-VERI_TABANI!D25*B397))*VERI_TABANI!$B$8) + IF(ABS(IF(ISNUMBER(SEARCH("Var", D397)), 1, IF(ISNUMBER(SEARCH("Gri", D397)), -1, 0)))=1, VERI_TABANI!E25*(1-0.928)*VERI_TABANI!$B$9, 0) + (VERI_TABANI!D25*B397*(VERI_TABANI!$B$13-VERI_TABANI!$B$14)*VERI_TABANI!G25) + (VERI_TABANI!D25*C397*(VERI_TABANI!$B$13-VERI_TABANI!$B$15)*VERI_TABANI!G25) + IF(ABS(IF(ISNUMBER(SEARCH("Var", D397)), 1, IF(ISNUMBER(SEARCH("Gri", D397)), -1, 0)))=1, VERI_TABANI!E25*(1-0.928)*0.00206091519919798*VERI_TABANI!G25, 0)) + ((MIN(VERI_TABANI!D26, VERI_TABANI!D26*B397)*VERI_TABANI!$B$7 + MAX(0, VERI_TABANI!D26*B397-VERI_TABANI!D26)*VERI_TABANI!$B$8) + (MIN(MAX(0, VERI_TABANI!D26-VERI_TABANI!D26*B397), VERI_TABANI!D26*C397)*VERI_TABANI!$B$7 + MAX(0, VERI_TABANI!D26*C397-MAX(0, VERI_TABANI!D26-VERI_TABANI!D26*B397))*VERI_TABANI!$B$8) + IF(ABS(IF(ISNUMBER(SEARCH("Var", D397)), 1, IF(ISNUMBER(SEARCH("Gri", D397)), -1, 0)))=1, VERI_TABANI!E26*(1-0.928)*VERI_TABANI!$B$9, 0) + (VERI_TABANI!D26*B397*(VERI_TABANI!$B$13-VERI_TABANI!$B$14)*VERI_TABANI!G26) + (VERI_TABANI!D26*C397*(VERI_TABANI!$B$13-VERI_TABANI!$B$15)*VERI_TABANI!G26) + IF(ABS(IF(ISNUMBER(SEARCH("Var", D397)), 1, IF(ISNUMBER(SEARCH("Gri", D397)), -1, 0)))=1, VERI_TABANI!E26*(1-0.928)*0.00206091519919798*VERI_TABANI!G26, 0)) + ((MIN(VERI_TABANI!D27, VERI_TABANI!D27*B397)*VERI_TABANI!$B$7 + MAX(0, VERI_TABANI!D27*B397-VERI_TABANI!D27)*VERI_TABANI!$B$8) + (MIN(MAX(0, VERI_TABANI!D27-VERI_TABANI!D27*B397), VERI_TABANI!D27*C397)*VERI_TABANI!$B$7 + MAX(0, VERI_TABANI!D27*C397-MAX(0, VERI_TABANI!D27-VERI_TABANI!D27*B397))*VERI_TABANI!$B$8) + IF(ABS(IF(ISNUMBER(SEARCH("Var", D397)), 1, IF(ISNUMBER(SEARCH("Gri", D397)), -1, 0)))=1, VERI_TABANI!E27*(1-0.928)*VERI_TABANI!$B$9, 0) + (VERI_TABANI!D27*B397*(VERI_TABANI!$B$13-VERI_TABANI!$B$14)*VERI_TABANI!G27) + (VERI_TABANI!D27*C397*(VERI_TABANI!$B$13-VERI_TABANI!$B$15)*VERI_TABANI!G27) + IF(ABS(IF(ISNUMBER(SEARCH("Var", D397)), 1, IF(ISNUMBER(SEARCH("Gri", D397)), -1, 0)))=1, VERI_TABANI!E27*(1-0.928)*0.00206091519919798*VERI_TABANI!G27, 0)) + ((MIN(VERI_TABANI!D28, VERI_TABANI!D28*B397)*VERI_TABANI!$B$7 + MAX(0, VERI_TABANI!D28*B397-VERI_TABANI!D28)*VERI_TABANI!$B$8) + (MIN(MAX(0, VERI_TABANI!D28-VERI_TABANI!D28*B397), VERI_TABANI!D28*C397)*VERI_TABANI!$B$7 + MAX(0, VERI_TABANI!D28*C397-MAX(0, VERI_TABANI!D28-VERI_TABANI!D28*B397))*VERI_TABANI!$B$8) + IF(ABS(IF(ISNUMBER(SEARCH("Var", D397)), 1, IF(ISNUMBER(SEARCH("Gri", D397)), -1, 0)))=1, VERI_TABANI!E28*(1-0.928)*VERI_TABANI!$B$9, 0) + (VERI_TABANI!D28*B397*(VERI_TABANI!$B$13-VERI_TABANI!$B$14)*VERI_TABANI!G28) + (VERI_TABANI!D28*C397*(VERI_TABANI!$B$13-VERI_TABANI!$B$15)*VERI_TABANI!G28) + IF(ABS(IF(ISNUMBER(SEARCH("Var", D397)), 1, IF(ISNUMBER(SEARCH("Gri", D397)), -1, 0)))=1, VERI_TABANI!E28*(1-0.928)*0.00206091519919798*VERI_TABANI!G28, 0)))</f>
        <v/>
      </c>
      <c r="H397" s="169">
        <f>(((VERI_TABANI!D23*B397*(VERI_TABANI!$B$13-VERI_TABANI!$B$14)) + (VERI_TABANI!D23*C397*(VERI_TABANI!$B$13-VERI_TABANI!$B$15)) + IF(ISNUMBER(SEARCH("Var", D397)), VERI_TABANI!F23*(0.00202-VERI_TABANI!$B$16), IF(ISNUMBER(SEARCH("Gri", D397)), VERI_TABANI!F23*(0.00202-VERI_TABANI!$B$17), 0))) + ((VERI_TABANI!D24*B397*(VERI_TABANI!$B$13-VERI_TABANI!$B$14)) + (VERI_TABANI!D24*C397*(VERI_TABANI!$B$13-VERI_TABANI!$B$15)) + IF(ISNUMBER(SEARCH("Var", D397)), VERI_TABANI!F24*(0.00202-VERI_TABANI!$B$16), IF(ISNUMBER(SEARCH("Gri", D397)), VERI_TABANI!F24*(0.00202-VERI_TABANI!$B$17), 0))) + ((VERI_TABANI!D25*B397*(VERI_TABANI!$B$13-VERI_TABANI!$B$14)) + (VERI_TABANI!D25*C397*(VERI_TABANI!$B$13-VERI_TABANI!$B$15)) + IF(ISNUMBER(SEARCH("Var", D397)), VERI_TABANI!F25*(0.00202-VERI_TABANI!$B$16), IF(ISNUMBER(SEARCH("Gri", D397)), VERI_TABANI!F25*(0.00202-VERI_TABANI!$B$17), 0))) + ((VERI_TABANI!D26*B397*(VERI_TABANI!$B$13-VERI_TABANI!$B$14)) + (VERI_TABANI!D26*C397*(VERI_TABANI!$B$13-VERI_TABANI!$B$15)) + IF(ISNUMBER(SEARCH("Var", D397)), VERI_TABANI!F26*(0.00202-VERI_TABANI!$B$16), IF(ISNUMBER(SEARCH("Gri", D397)), VERI_TABANI!F26*(0.00202-VERI_TABANI!$B$17), 0))) + ((VERI_TABANI!D27*B397*(VERI_TABANI!$B$13-VERI_TABANI!$B$14)) + (VERI_TABANI!D27*C397*(VERI_TABANI!$B$13-VERI_TABANI!$B$15)) + IF(ISNUMBER(SEARCH("Var", D397)), VERI_TABANI!F27*(0.00202-VERI_TABANI!$B$16), IF(ISNUMBER(SEARCH("Gri", D397)), VERI_TABANI!F27*(0.00202-VERI_TABANI!$B$17), 0))) + ((VERI_TABANI!D28*B397*(VERI_TABANI!$B$13-VERI_TABANI!$B$14)) + (VERI_TABANI!D28*C397*(VERI_TABANI!$B$13-VERI_TABANI!$B$15)) + IF(ISNUMBER(SEARCH("Var", D397)), VERI_TABANI!F28*(0.00202-VERI_TABANI!$B$16), IF(ISNUMBER(SEARCH("Gri", D397)), VERI_TABANI!F28*(0.00202-VERI_TABANI!$B$17), 0))))</f>
        <v/>
      </c>
      <c r="I397" s="170">
        <f>IFERROR(((VERI_TABANI!$D$29*B397*VERI_TABANI!$B$14 + VERI_TABANI!$D$29*C397*VERI_TABANI!$B$15 + IF(ISNUMBER(SEARCH("Var", D397)), VERI_TABANI!$F$29*VERI_TABANI!$B$16, 0))) / (((VERI_TABANI!$D$29*B397 + VERI_TABANI!$D$29*C397)*VERI_TABANI!$B$13 + IF(ISNUMBER(SEARCH("Var", D397)), VERI_TABANI!$E$29*(1-0.928)*VERI_TABANI!$B$18, 0))), 0)</f>
        <v/>
      </c>
      <c r="J397" s="171">
        <f>IFERROR(F397/(G397/29), 0)</f>
        <v/>
      </c>
      <c r="K397" s="172">
        <f>IF(F397&gt;0, H397/F397, 0)</f>
        <v/>
      </c>
      <c r="L397" s="170">
        <f>IF(F397&gt;0, I397, 1000000000)</f>
        <v/>
      </c>
      <c r="M397" s="171">
        <f>ABS((B397+C397)-1)</f>
        <v/>
      </c>
      <c r="N397" s="170">
        <f>IF(F397&gt;0, (G397/29)/F397, 0)</f>
        <v/>
      </c>
      <c r="O397" s="168">
        <f>IF(AND((B397+C397)&gt;=1, ISNUMBER(SEARCH("Var", D397))), F397, 1000000000)</f>
        <v/>
      </c>
      <c r="P397" s="172">
        <f>IF(F397&gt;0, SQRT((F397/MAX(F$5:F$886))^2 + (1 - H397/MAX(H$5:H$886))^2 + (J397/MAX(J$5:J$886))^2), 1000000000)</f>
        <v/>
      </c>
      <c r="Q397" s="166">
        <f>IF(AND(ABS(B397-0.5)&lt;0.01, ABS(C397-0.5)&lt;0.01, ISNUMBER(SEARCH("Var", D397))), 1, 0)</f>
        <v/>
      </c>
      <c r="R397" s="171">
        <f>IF(F397&gt;0, J397, 1000000000)</f>
        <v/>
      </c>
      <c r="S397" s="101">
        <f>IF(AND(F397&lt;=DASHBOARD!$B$11, H397&gt;=DASHBOARD!$B$13), G397, -1000000000000)</f>
        <v/>
      </c>
      <c r="T397" s="101">
        <f>IF(AND(F397&lt;=DASHBOARD!$B$11, H397&gt;=DASHBOARD!$B$13), R397, 1000000000000)</f>
        <v/>
      </c>
      <c r="U397" s="101">
        <f>IF(AND(F397&lt;=DASHBOARD!$B$11, H397&gt;=DASHBOARD!$B$13), N397, -1000000000000)</f>
        <v/>
      </c>
      <c r="V397" s="101">
        <f>IF(AND(F397&lt;=DASHBOARD!$B$11, H397&gt;=DASHBOARD!$B$13), H397, -1000000000000)</f>
        <v/>
      </c>
      <c r="W397" s="101">
        <f>IF(AND(F397&lt;=DASHBOARD!$B$11, H397&gt;=DASHBOARD!$B$13), K397, -1000000000000)</f>
        <v/>
      </c>
      <c r="X397" s="101">
        <f>IF(AND(F397&lt;=DASHBOARD!$B$11, H397&gt;=DASHBOARD!$B$13), M397, 1000000000000)</f>
        <v/>
      </c>
      <c r="Y397" s="101">
        <f>IF(AND(F397&lt;=DASHBOARD!$B$10, H397&gt;=DASHBOARD!$B$11), L397, 1000000000000)</f>
        <v/>
      </c>
      <c r="Z397" s="101">
        <f>IF(AND(F397&lt;=DASHBOARD!$B$10, H397&gt;=DASHBOARD!$B$11), O397, 1000000000000)</f>
        <v/>
      </c>
      <c r="AA397" s="101">
        <f>IF(AND(F397&lt;=DASHBOARD!$B$10, H397&gt;=DASHBOARD!$B$11), P397, 1000000000000)</f>
        <v/>
      </c>
      <c r="AB397" s="101">
        <f>IF(AND(F397&lt;=DASHBOARD!$B$10, H397&gt;=DASHBOARD!$B$11), Q397, -1000000000000)</f>
        <v/>
      </c>
    </row>
    <row r="398" ht="15" customHeight="1" s="102">
      <c r="A398" s="166" t="n">
        <v>394</v>
      </c>
      <c r="B398" s="167" t="n">
        <v>0.9</v>
      </c>
      <c r="C398" s="167" t="n">
        <v>0.7</v>
      </c>
      <c r="D398" s="110" t="inlineStr">
        <is>
          <t>Var (%20)</t>
        </is>
      </c>
      <c r="E398" s="110">
        <f>IF((B398+C398)&lt;=1, "Tam Mahsuplaşma (≤%100)", "Kısmi Satış (&gt;%100)")</f>
        <v/>
      </c>
      <c r="F398" s="168">
        <f>((VERI_TABANI!$D$29*B398/VERI_TABANI!$B$29)/VERI_TABANI!$B$3)*VERI_TABANI!$B$5 + ((VERI_TABANI!$D$29*C398/VERI_TABANI!$B$29)/VERI_TABANI!$B$4)*VERI_TABANI!$B$6 + IF(ISNUMBER(SEARCH("Var", D398)), (VERI_TABANI!$F$29/VERI_TABANI!$B$29)*(VERI_TABANI!$B$10+VERI_TABANI!$B$12), 0)</f>
        <v/>
      </c>
      <c r="G398" s="168">
        <f>(((MIN(VERI_TABANI!D23, VERI_TABANI!D23*B398)*VERI_TABANI!$B$7 + MAX(0, VERI_TABANI!D23*B398-VERI_TABANI!D23)*VERI_TABANI!$B$8) + (MIN(MAX(0, VERI_TABANI!D23-VERI_TABANI!D23*B398), VERI_TABANI!D23*C398)*VERI_TABANI!$B$7 + MAX(0, VERI_TABANI!D23*C398-MAX(0, VERI_TABANI!D23-VERI_TABANI!D23*B398))*VERI_TABANI!$B$8) + IF(ABS(IF(ISNUMBER(SEARCH("Var", D398)), 1, IF(ISNUMBER(SEARCH("Gri", D398)), -1, 0)))=1, VERI_TABANI!E23*(1-0.928)*VERI_TABANI!$B$9, 0) + (VERI_TABANI!D23*B398*(VERI_TABANI!$B$13-VERI_TABANI!$B$14)*VERI_TABANI!G23) + (VERI_TABANI!D23*C398*(VERI_TABANI!$B$13-VERI_TABANI!$B$15)*VERI_TABANI!G23) + IF(ABS(IF(ISNUMBER(SEARCH("Var", D398)), 1, IF(ISNUMBER(SEARCH("Gri", D398)), -1, 0)))=1, VERI_TABANI!E23*(1-0.928)*0.00206091519919798*VERI_TABANI!G23, 0)) + ((MIN(VERI_TABANI!D24, VERI_TABANI!D24*B398)*VERI_TABANI!$B$7 + MAX(0, VERI_TABANI!D24*B398-VERI_TABANI!D24)*VERI_TABANI!$B$8) + (MIN(MAX(0, VERI_TABANI!D24-VERI_TABANI!D24*B398), VERI_TABANI!D24*C398)*VERI_TABANI!$B$7 + MAX(0, VERI_TABANI!D24*C398-MAX(0, VERI_TABANI!D24-VERI_TABANI!D24*B398))*VERI_TABANI!$B$8) + IF(ABS(IF(ISNUMBER(SEARCH("Var", D398)), 1, IF(ISNUMBER(SEARCH("Gri", D398)), -1, 0)))=1, VERI_TABANI!E24*(1-0.928)*VERI_TABANI!$B$9, 0) + (VERI_TABANI!D24*B398*(VERI_TABANI!$B$13-VERI_TABANI!$B$14)*VERI_TABANI!G24) + (VERI_TABANI!D24*C398*(VERI_TABANI!$B$13-VERI_TABANI!$B$15)*VERI_TABANI!G24) + IF(ABS(IF(ISNUMBER(SEARCH("Var", D398)), 1, IF(ISNUMBER(SEARCH("Gri", D398)), -1, 0)))=1, VERI_TABANI!E24*(1-0.928)*0.00206091519919798*VERI_TABANI!G24, 0)) + ((MIN(VERI_TABANI!D25, VERI_TABANI!D25*B398)*VERI_TABANI!$B$7 + MAX(0, VERI_TABANI!D25*B398-VERI_TABANI!D25)*VERI_TABANI!$B$8) + (MIN(MAX(0, VERI_TABANI!D25-VERI_TABANI!D25*B398), VERI_TABANI!D25*C398)*VERI_TABANI!$B$7 + MAX(0, VERI_TABANI!D25*C398-MAX(0, VERI_TABANI!D25-VERI_TABANI!D25*B398))*VERI_TABANI!$B$8) + IF(ABS(IF(ISNUMBER(SEARCH("Var", D398)), 1, IF(ISNUMBER(SEARCH("Gri", D398)), -1, 0)))=1, VERI_TABANI!E25*(1-0.928)*VERI_TABANI!$B$9, 0) + (VERI_TABANI!D25*B398*(VERI_TABANI!$B$13-VERI_TABANI!$B$14)*VERI_TABANI!G25) + (VERI_TABANI!D25*C398*(VERI_TABANI!$B$13-VERI_TABANI!$B$15)*VERI_TABANI!G25) + IF(ABS(IF(ISNUMBER(SEARCH("Var", D398)), 1, IF(ISNUMBER(SEARCH("Gri", D398)), -1, 0)))=1, VERI_TABANI!E25*(1-0.928)*0.00206091519919798*VERI_TABANI!G25, 0)) + ((MIN(VERI_TABANI!D26, VERI_TABANI!D26*B398)*VERI_TABANI!$B$7 + MAX(0, VERI_TABANI!D26*B398-VERI_TABANI!D26)*VERI_TABANI!$B$8) + (MIN(MAX(0, VERI_TABANI!D26-VERI_TABANI!D26*B398), VERI_TABANI!D26*C398)*VERI_TABANI!$B$7 + MAX(0, VERI_TABANI!D26*C398-MAX(0, VERI_TABANI!D26-VERI_TABANI!D26*B398))*VERI_TABANI!$B$8) + IF(ABS(IF(ISNUMBER(SEARCH("Var", D398)), 1, IF(ISNUMBER(SEARCH("Gri", D398)), -1, 0)))=1, VERI_TABANI!E26*(1-0.928)*VERI_TABANI!$B$9, 0) + (VERI_TABANI!D26*B398*(VERI_TABANI!$B$13-VERI_TABANI!$B$14)*VERI_TABANI!G26) + (VERI_TABANI!D26*C398*(VERI_TABANI!$B$13-VERI_TABANI!$B$15)*VERI_TABANI!G26) + IF(ABS(IF(ISNUMBER(SEARCH("Var", D398)), 1, IF(ISNUMBER(SEARCH("Gri", D398)), -1, 0)))=1, VERI_TABANI!E26*(1-0.928)*0.00206091519919798*VERI_TABANI!G26, 0)) + ((MIN(VERI_TABANI!D27, VERI_TABANI!D27*B398)*VERI_TABANI!$B$7 + MAX(0, VERI_TABANI!D27*B398-VERI_TABANI!D27)*VERI_TABANI!$B$8) + (MIN(MAX(0, VERI_TABANI!D27-VERI_TABANI!D27*B398), VERI_TABANI!D27*C398)*VERI_TABANI!$B$7 + MAX(0, VERI_TABANI!D27*C398-MAX(0, VERI_TABANI!D27-VERI_TABANI!D27*B398))*VERI_TABANI!$B$8) + IF(ABS(IF(ISNUMBER(SEARCH("Var", D398)), 1, IF(ISNUMBER(SEARCH("Gri", D398)), -1, 0)))=1, VERI_TABANI!E27*(1-0.928)*VERI_TABANI!$B$9, 0) + (VERI_TABANI!D27*B398*(VERI_TABANI!$B$13-VERI_TABANI!$B$14)*VERI_TABANI!G27) + (VERI_TABANI!D27*C398*(VERI_TABANI!$B$13-VERI_TABANI!$B$15)*VERI_TABANI!G27) + IF(ABS(IF(ISNUMBER(SEARCH("Var", D398)), 1, IF(ISNUMBER(SEARCH("Gri", D398)), -1, 0)))=1, VERI_TABANI!E27*(1-0.928)*0.00206091519919798*VERI_TABANI!G27, 0)) + ((MIN(VERI_TABANI!D28, VERI_TABANI!D28*B398)*VERI_TABANI!$B$7 + MAX(0, VERI_TABANI!D28*B398-VERI_TABANI!D28)*VERI_TABANI!$B$8) + (MIN(MAX(0, VERI_TABANI!D28-VERI_TABANI!D28*B398), VERI_TABANI!D28*C398)*VERI_TABANI!$B$7 + MAX(0, VERI_TABANI!D28*C398-MAX(0, VERI_TABANI!D28-VERI_TABANI!D28*B398))*VERI_TABANI!$B$8) + IF(ABS(IF(ISNUMBER(SEARCH("Var", D398)), 1, IF(ISNUMBER(SEARCH("Gri", D398)), -1, 0)))=1, VERI_TABANI!E28*(1-0.928)*VERI_TABANI!$B$9, 0) + (VERI_TABANI!D28*B398*(VERI_TABANI!$B$13-VERI_TABANI!$B$14)*VERI_TABANI!G28) + (VERI_TABANI!D28*C398*(VERI_TABANI!$B$13-VERI_TABANI!$B$15)*VERI_TABANI!G28) + IF(ABS(IF(ISNUMBER(SEARCH("Var", D398)), 1, IF(ISNUMBER(SEARCH("Gri", D398)), -1, 0)))=1, VERI_TABANI!E28*(1-0.928)*0.00206091519919798*VERI_TABANI!G28, 0)))</f>
        <v/>
      </c>
      <c r="H398" s="169">
        <f>(((VERI_TABANI!D23*B398*(VERI_TABANI!$B$13-VERI_TABANI!$B$14)) + (VERI_TABANI!D23*C398*(VERI_TABANI!$B$13-VERI_TABANI!$B$15)) + IF(ISNUMBER(SEARCH("Var", D398)), VERI_TABANI!F23*(0.00202-VERI_TABANI!$B$16), IF(ISNUMBER(SEARCH("Gri", D398)), VERI_TABANI!F23*(0.00202-VERI_TABANI!$B$17), 0))) + ((VERI_TABANI!D24*B398*(VERI_TABANI!$B$13-VERI_TABANI!$B$14)) + (VERI_TABANI!D24*C398*(VERI_TABANI!$B$13-VERI_TABANI!$B$15)) + IF(ISNUMBER(SEARCH("Var", D398)), VERI_TABANI!F24*(0.00202-VERI_TABANI!$B$16), IF(ISNUMBER(SEARCH("Gri", D398)), VERI_TABANI!F24*(0.00202-VERI_TABANI!$B$17), 0))) + ((VERI_TABANI!D25*B398*(VERI_TABANI!$B$13-VERI_TABANI!$B$14)) + (VERI_TABANI!D25*C398*(VERI_TABANI!$B$13-VERI_TABANI!$B$15)) + IF(ISNUMBER(SEARCH("Var", D398)), VERI_TABANI!F25*(0.00202-VERI_TABANI!$B$16), IF(ISNUMBER(SEARCH("Gri", D398)), VERI_TABANI!F25*(0.00202-VERI_TABANI!$B$17), 0))) + ((VERI_TABANI!D26*B398*(VERI_TABANI!$B$13-VERI_TABANI!$B$14)) + (VERI_TABANI!D26*C398*(VERI_TABANI!$B$13-VERI_TABANI!$B$15)) + IF(ISNUMBER(SEARCH("Var", D398)), VERI_TABANI!F26*(0.00202-VERI_TABANI!$B$16), IF(ISNUMBER(SEARCH("Gri", D398)), VERI_TABANI!F26*(0.00202-VERI_TABANI!$B$17), 0))) + ((VERI_TABANI!D27*B398*(VERI_TABANI!$B$13-VERI_TABANI!$B$14)) + (VERI_TABANI!D27*C398*(VERI_TABANI!$B$13-VERI_TABANI!$B$15)) + IF(ISNUMBER(SEARCH("Var", D398)), VERI_TABANI!F27*(0.00202-VERI_TABANI!$B$16), IF(ISNUMBER(SEARCH("Gri", D398)), VERI_TABANI!F27*(0.00202-VERI_TABANI!$B$17), 0))) + ((VERI_TABANI!D28*B398*(VERI_TABANI!$B$13-VERI_TABANI!$B$14)) + (VERI_TABANI!D28*C398*(VERI_TABANI!$B$13-VERI_TABANI!$B$15)) + IF(ISNUMBER(SEARCH("Var", D398)), VERI_TABANI!F28*(0.00202-VERI_TABANI!$B$16), IF(ISNUMBER(SEARCH("Gri", D398)), VERI_TABANI!F28*(0.00202-VERI_TABANI!$B$17), 0))))</f>
        <v/>
      </c>
      <c r="I398" s="170">
        <f>IFERROR(((VERI_TABANI!$D$29*B398*VERI_TABANI!$B$14 + VERI_TABANI!$D$29*C398*VERI_TABANI!$B$15 + IF(ISNUMBER(SEARCH("Var", D398)), VERI_TABANI!$F$29*VERI_TABANI!$B$16, 0))) / (((VERI_TABANI!$D$29*B398 + VERI_TABANI!$D$29*C398)*VERI_TABANI!$B$13 + IF(ISNUMBER(SEARCH("Var", D398)), VERI_TABANI!$E$29*(1-0.928)*VERI_TABANI!$B$18, 0))), 0)</f>
        <v/>
      </c>
      <c r="J398" s="171">
        <f>IFERROR(F398/(G398/29), 0)</f>
        <v/>
      </c>
      <c r="K398" s="172">
        <f>IF(F398&gt;0, H398/F398, 0)</f>
        <v/>
      </c>
      <c r="L398" s="170">
        <f>IF(F398&gt;0, I398, 1000000000)</f>
        <v/>
      </c>
      <c r="M398" s="171">
        <f>ABS((B398+C398)-1)</f>
        <v/>
      </c>
      <c r="N398" s="170">
        <f>IF(F398&gt;0, (G398/29)/F398, 0)</f>
        <v/>
      </c>
      <c r="O398" s="168">
        <f>IF(AND((B398+C398)&gt;=1, ISNUMBER(SEARCH("Var", D398))), F398, 1000000000)</f>
        <v/>
      </c>
      <c r="P398" s="172">
        <f>IF(F398&gt;0, SQRT((F398/MAX(F$5:F$886))^2 + (1 - H398/MAX(H$5:H$886))^2 + (J398/MAX(J$5:J$886))^2), 1000000000)</f>
        <v/>
      </c>
      <c r="Q398" s="166">
        <f>IF(AND(ABS(B398-0.5)&lt;0.01, ABS(C398-0.5)&lt;0.01, ISNUMBER(SEARCH("Var", D398))), 1, 0)</f>
        <v/>
      </c>
      <c r="R398" s="171">
        <f>IF(F398&gt;0, J398, 1000000000)</f>
        <v/>
      </c>
      <c r="S398" s="101">
        <f>IF(AND(F398&lt;=DASHBOARD!$B$11, H398&gt;=DASHBOARD!$B$13), G398, -1000000000000)</f>
        <v/>
      </c>
      <c r="T398" s="101">
        <f>IF(AND(F398&lt;=DASHBOARD!$B$11, H398&gt;=DASHBOARD!$B$13), R398, 1000000000000)</f>
        <v/>
      </c>
      <c r="U398" s="101">
        <f>IF(AND(F398&lt;=DASHBOARD!$B$11, H398&gt;=DASHBOARD!$B$13), N398, -1000000000000)</f>
        <v/>
      </c>
      <c r="V398" s="101">
        <f>IF(AND(F398&lt;=DASHBOARD!$B$11, H398&gt;=DASHBOARD!$B$13), H398, -1000000000000)</f>
        <v/>
      </c>
      <c r="W398" s="101">
        <f>IF(AND(F398&lt;=DASHBOARD!$B$11, H398&gt;=DASHBOARD!$B$13), K398, -1000000000000)</f>
        <v/>
      </c>
      <c r="X398" s="101">
        <f>IF(AND(F398&lt;=DASHBOARD!$B$11, H398&gt;=DASHBOARD!$B$13), M398, 1000000000000)</f>
        <v/>
      </c>
      <c r="Y398" s="101">
        <f>IF(AND(F398&lt;=DASHBOARD!$B$10, H398&gt;=DASHBOARD!$B$11), L398, 1000000000000)</f>
        <v/>
      </c>
      <c r="Z398" s="101">
        <f>IF(AND(F398&lt;=DASHBOARD!$B$10, H398&gt;=DASHBOARD!$B$11), O398, 1000000000000)</f>
        <v/>
      </c>
      <c r="AA398" s="101">
        <f>IF(AND(F398&lt;=DASHBOARD!$B$10, H398&gt;=DASHBOARD!$B$11), P398, 1000000000000)</f>
        <v/>
      </c>
      <c r="AB398" s="101">
        <f>IF(AND(F398&lt;=DASHBOARD!$B$10, H398&gt;=DASHBOARD!$B$11), Q398, -1000000000000)</f>
        <v/>
      </c>
    </row>
    <row r="399" ht="15" customHeight="1" s="102">
      <c r="A399" s="166" t="n">
        <v>395</v>
      </c>
      <c r="B399" s="167" t="n">
        <v>0.9</v>
      </c>
      <c r="C399" s="167" t="n">
        <v>0.8</v>
      </c>
      <c r="D399" s="110" t="inlineStr">
        <is>
          <t>Yok (%0)</t>
        </is>
      </c>
      <c r="E399" s="110">
        <f>IF((B399+C399)&lt;=1, "Tam Mahsuplaşma (≤%100)", "Kısmi Satış (&gt;%100)")</f>
        <v/>
      </c>
      <c r="F399" s="168">
        <f>((VERI_TABANI!$D$29*B399/VERI_TABANI!$B$29)/VERI_TABANI!$B$3)*VERI_TABANI!$B$5 + ((VERI_TABANI!$D$29*C399/VERI_TABANI!$B$29)/VERI_TABANI!$B$4)*VERI_TABANI!$B$6 + IF(ISNUMBER(SEARCH("Var", D399)), (VERI_TABANI!$F$29/VERI_TABANI!$B$29)*(VERI_TABANI!$B$10+VERI_TABANI!$B$12), 0)</f>
        <v/>
      </c>
      <c r="G399" s="168">
        <f>(((MIN(VERI_TABANI!D23, VERI_TABANI!D23*B399)*VERI_TABANI!$B$7 + MAX(0, VERI_TABANI!D23*B399-VERI_TABANI!D23)*VERI_TABANI!$B$8) + (MIN(MAX(0, VERI_TABANI!D23-VERI_TABANI!D23*B399), VERI_TABANI!D23*C399)*VERI_TABANI!$B$7 + MAX(0, VERI_TABANI!D23*C399-MAX(0, VERI_TABANI!D23-VERI_TABANI!D23*B399))*VERI_TABANI!$B$8) + IF(ABS(IF(ISNUMBER(SEARCH("Var", D399)), 1, IF(ISNUMBER(SEARCH("Gri", D399)), -1, 0)))=1, VERI_TABANI!E23*(1-0.928)*VERI_TABANI!$B$9, 0) + (VERI_TABANI!D23*B399*(VERI_TABANI!$B$13-VERI_TABANI!$B$14)*VERI_TABANI!G23) + (VERI_TABANI!D23*C399*(VERI_TABANI!$B$13-VERI_TABANI!$B$15)*VERI_TABANI!G23) + IF(ABS(IF(ISNUMBER(SEARCH("Var", D399)), 1, IF(ISNUMBER(SEARCH("Gri", D399)), -1, 0)))=1, VERI_TABANI!E23*(1-0.928)*0.00206091519919798*VERI_TABANI!G23, 0)) + ((MIN(VERI_TABANI!D24, VERI_TABANI!D24*B399)*VERI_TABANI!$B$7 + MAX(0, VERI_TABANI!D24*B399-VERI_TABANI!D24)*VERI_TABANI!$B$8) + (MIN(MAX(0, VERI_TABANI!D24-VERI_TABANI!D24*B399), VERI_TABANI!D24*C399)*VERI_TABANI!$B$7 + MAX(0, VERI_TABANI!D24*C399-MAX(0, VERI_TABANI!D24-VERI_TABANI!D24*B399))*VERI_TABANI!$B$8) + IF(ABS(IF(ISNUMBER(SEARCH("Var", D399)), 1, IF(ISNUMBER(SEARCH("Gri", D399)), -1, 0)))=1, VERI_TABANI!E24*(1-0.928)*VERI_TABANI!$B$9, 0) + (VERI_TABANI!D24*B399*(VERI_TABANI!$B$13-VERI_TABANI!$B$14)*VERI_TABANI!G24) + (VERI_TABANI!D24*C399*(VERI_TABANI!$B$13-VERI_TABANI!$B$15)*VERI_TABANI!G24) + IF(ABS(IF(ISNUMBER(SEARCH("Var", D399)), 1, IF(ISNUMBER(SEARCH("Gri", D399)), -1, 0)))=1, VERI_TABANI!E24*(1-0.928)*0.00206091519919798*VERI_TABANI!G24, 0)) + ((MIN(VERI_TABANI!D25, VERI_TABANI!D25*B399)*VERI_TABANI!$B$7 + MAX(0, VERI_TABANI!D25*B399-VERI_TABANI!D25)*VERI_TABANI!$B$8) + (MIN(MAX(0, VERI_TABANI!D25-VERI_TABANI!D25*B399), VERI_TABANI!D25*C399)*VERI_TABANI!$B$7 + MAX(0, VERI_TABANI!D25*C399-MAX(0, VERI_TABANI!D25-VERI_TABANI!D25*B399))*VERI_TABANI!$B$8) + IF(ABS(IF(ISNUMBER(SEARCH("Var", D399)), 1, IF(ISNUMBER(SEARCH("Gri", D399)), -1, 0)))=1, VERI_TABANI!E25*(1-0.928)*VERI_TABANI!$B$9, 0) + (VERI_TABANI!D25*B399*(VERI_TABANI!$B$13-VERI_TABANI!$B$14)*VERI_TABANI!G25) + (VERI_TABANI!D25*C399*(VERI_TABANI!$B$13-VERI_TABANI!$B$15)*VERI_TABANI!G25) + IF(ABS(IF(ISNUMBER(SEARCH("Var", D399)), 1, IF(ISNUMBER(SEARCH("Gri", D399)), -1, 0)))=1, VERI_TABANI!E25*(1-0.928)*0.00206091519919798*VERI_TABANI!G25, 0)) + ((MIN(VERI_TABANI!D26, VERI_TABANI!D26*B399)*VERI_TABANI!$B$7 + MAX(0, VERI_TABANI!D26*B399-VERI_TABANI!D26)*VERI_TABANI!$B$8) + (MIN(MAX(0, VERI_TABANI!D26-VERI_TABANI!D26*B399), VERI_TABANI!D26*C399)*VERI_TABANI!$B$7 + MAX(0, VERI_TABANI!D26*C399-MAX(0, VERI_TABANI!D26-VERI_TABANI!D26*B399))*VERI_TABANI!$B$8) + IF(ABS(IF(ISNUMBER(SEARCH("Var", D399)), 1, IF(ISNUMBER(SEARCH("Gri", D399)), -1, 0)))=1, VERI_TABANI!E26*(1-0.928)*VERI_TABANI!$B$9, 0) + (VERI_TABANI!D26*B399*(VERI_TABANI!$B$13-VERI_TABANI!$B$14)*VERI_TABANI!G26) + (VERI_TABANI!D26*C399*(VERI_TABANI!$B$13-VERI_TABANI!$B$15)*VERI_TABANI!G26) + IF(ABS(IF(ISNUMBER(SEARCH("Var", D399)), 1, IF(ISNUMBER(SEARCH("Gri", D399)), -1, 0)))=1, VERI_TABANI!E26*(1-0.928)*0.00206091519919798*VERI_TABANI!G26, 0)) + ((MIN(VERI_TABANI!D27, VERI_TABANI!D27*B399)*VERI_TABANI!$B$7 + MAX(0, VERI_TABANI!D27*B399-VERI_TABANI!D27)*VERI_TABANI!$B$8) + (MIN(MAX(0, VERI_TABANI!D27-VERI_TABANI!D27*B399), VERI_TABANI!D27*C399)*VERI_TABANI!$B$7 + MAX(0, VERI_TABANI!D27*C399-MAX(0, VERI_TABANI!D27-VERI_TABANI!D27*B399))*VERI_TABANI!$B$8) + IF(ABS(IF(ISNUMBER(SEARCH("Var", D399)), 1, IF(ISNUMBER(SEARCH("Gri", D399)), -1, 0)))=1, VERI_TABANI!E27*(1-0.928)*VERI_TABANI!$B$9, 0) + (VERI_TABANI!D27*B399*(VERI_TABANI!$B$13-VERI_TABANI!$B$14)*VERI_TABANI!G27) + (VERI_TABANI!D27*C399*(VERI_TABANI!$B$13-VERI_TABANI!$B$15)*VERI_TABANI!G27) + IF(ABS(IF(ISNUMBER(SEARCH("Var", D399)), 1, IF(ISNUMBER(SEARCH("Gri", D399)), -1, 0)))=1, VERI_TABANI!E27*(1-0.928)*0.00206091519919798*VERI_TABANI!G27, 0)) + ((MIN(VERI_TABANI!D28, VERI_TABANI!D28*B399)*VERI_TABANI!$B$7 + MAX(0, VERI_TABANI!D28*B399-VERI_TABANI!D28)*VERI_TABANI!$B$8) + (MIN(MAX(0, VERI_TABANI!D28-VERI_TABANI!D28*B399), VERI_TABANI!D28*C399)*VERI_TABANI!$B$7 + MAX(0, VERI_TABANI!D28*C399-MAX(0, VERI_TABANI!D28-VERI_TABANI!D28*B399))*VERI_TABANI!$B$8) + IF(ABS(IF(ISNUMBER(SEARCH("Var", D399)), 1, IF(ISNUMBER(SEARCH("Gri", D399)), -1, 0)))=1, VERI_TABANI!E28*(1-0.928)*VERI_TABANI!$B$9, 0) + (VERI_TABANI!D28*B399*(VERI_TABANI!$B$13-VERI_TABANI!$B$14)*VERI_TABANI!G28) + (VERI_TABANI!D28*C399*(VERI_TABANI!$B$13-VERI_TABANI!$B$15)*VERI_TABANI!G28) + IF(ABS(IF(ISNUMBER(SEARCH("Var", D399)), 1, IF(ISNUMBER(SEARCH("Gri", D399)), -1, 0)))=1, VERI_TABANI!E28*(1-0.928)*0.00206091519919798*VERI_TABANI!G28, 0)))</f>
        <v/>
      </c>
      <c r="H399" s="169">
        <f>(((VERI_TABANI!D23*B399*(VERI_TABANI!$B$13-VERI_TABANI!$B$14)) + (VERI_TABANI!D23*C399*(VERI_TABANI!$B$13-VERI_TABANI!$B$15)) + IF(ISNUMBER(SEARCH("Var", D399)), VERI_TABANI!F23*(0.00202-VERI_TABANI!$B$16), IF(ISNUMBER(SEARCH("Gri", D399)), VERI_TABANI!F23*(0.00202-VERI_TABANI!$B$17), 0))) + ((VERI_TABANI!D24*B399*(VERI_TABANI!$B$13-VERI_TABANI!$B$14)) + (VERI_TABANI!D24*C399*(VERI_TABANI!$B$13-VERI_TABANI!$B$15)) + IF(ISNUMBER(SEARCH("Var", D399)), VERI_TABANI!F24*(0.00202-VERI_TABANI!$B$16), IF(ISNUMBER(SEARCH("Gri", D399)), VERI_TABANI!F24*(0.00202-VERI_TABANI!$B$17), 0))) + ((VERI_TABANI!D25*B399*(VERI_TABANI!$B$13-VERI_TABANI!$B$14)) + (VERI_TABANI!D25*C399*(VERI_TABANI!$B$13-VERI_TABANI!$B$15)) + IF(ISNUMBER(SEARCH("Var", D399)), VERI_TABANI!F25*(0.00202-VERI_TABANI!$B$16), IF(ISNUMBER(SEARCH("Gri", D399)), VERI_TABANI!F25*(0.00202-VERI_TABANI!$B$17), 0))) + ((VERI_TABANI!D26*B399*(VERI_TABANI!$B$13-VERI_TABANI!$B$14)) + (VERI_TABANI!D26*C399*(VERI_TABANI!$B$13-VERI_TABANI!$B$15)) + IF(ISNUMBER(SEARCH("Var", D399)), VERI_TABANI!F26*(0.00202-VERI_TABANI!$B$16), IF(ISNUMBER(SEARCH("Gri", D399)), VERI_TABANI!F26*(0.00202-VERI_TABANI!$B$17), 0))) + ((VERI_TABANI!D27*B399*(VERI_TABANI!$B$13-VERI_TABANI!$B$14)) + (VERI_TABANI!D27*C399*(VERI_TABANI!$B$13-VERI_TABANI!$B$15)) + IF(ISNUMBER(SEARCH("Var", D399)), VERI_TABANI!F27*(0.00202-VERI_TABANI!$B$16), IF(ISNUMBER(SEARCH("Gri", D399)), VERI_TABANI!F27*(0.00202-VERI_TABANI!$B$17), 0))) + ((VERI_TABANI!D28*B399*(VERI_TABANI!$B$13-VERI_TABANI!$B$14)) + (VERI_TABANI!D28*C399*(VERI_TABANI!$B$13-VERI_TABANI!$B$15)) + IF(ISNUMBER(SEARCH("Var", D399)), VERI_TABANI!F28*(0.00202-VERI_TABANI!$B$16), IF(ISNUMBER(SEARCH("Gri", D399)), VERI_TABANI!F28*(0.00202-VERI_TABANI!$B$17), 0))))</f>
        <v/>
      </c>
      <c r="I399" s="170">
        <f>IFERROR(((VERI_TABANI!$D$29*B399*VERI_TABANI!$B$14 + VERI_TABANI!$D$29*C399*VERI_TABANI!$B$15 + IF(ISNUMBER(SEARCH("Var", D399)), VERI_TABANI!$F$29*VERI_TABANI!$B$16, 0))) / (((VERI_TABANI!$D$29*B399 + VERI_TABANI!$D$29*C399)*VERI_TABANI!$B$13 + IF(ISNUMBER(SEARCH("Var", D399)), VERI_TABANI!$E$29*(1-0.928)*VERI_TABANI!$B$18, 0))), 0)</f>
        <v/>
      </c>
      <c r="J399" s="171">
        <f>IFERROR(F399/(G399/29), 0)</f>
        <v/>
      </c>
      <c r="K399" s="172">
        <f>IF(F399&gt;0, H399/F399, 0)</f>
        <v/>
      </c>
      <c r="L399" s="170">
        <f>IF(F399&gt;0, I399, 1000000000)</f>
        <v/>
      </c>
      <c r="M399" s="171">
        <f>ABS((B399+C399)-1)</f>
        <v/>
      </c>
      <c r="N399" s="170">
        <f>IF(F399&gt;0, (G399/29)/F399, 0)</f>
        <v/>
      </c>
      <c r="O399" s="168">
        <f>IF(AND((B399+C399)&gt;=1, ISNUMBER(SEARCH("Var", D399))), F399, 1000000000)</f>
        <v/>
      </c>
      <c r="P399" s="172">
        <f>IF(F399&gt;0, SQRT((F399/MAX(F$5:F$886))^2 + (1 - H399/MAX(H$5:H$886))^2 + (J399/MAX(J$5:J$886))^2), 1000000000)</f>
        <v/>
      </c>
      <c r="Q399" s="166">
        <f>IF(AND(ABS(B399-0.5)&lt;0.01, ABS(C399-0.5)&lt;0.01, ISNUMBER(SEARCH("Var", D399))), 1, 0)</f>
        <v/>
      </c>
      <c r="R399" s="171">
        <f>IF(F399&gt;0, J399, 1000000000)</f>
        <v/>
      </c>
      <c r="S399" s="101">
        <f>IF(AND(F399&lt;=DASHBOARD!$B$11, H399&gt;=DASHBOARD!$B$13), G399, -1000000000000)</f>
        <v/>
      </c>
      <c r="T399" s="101">
        <f>IF(AND(F399&lt;=DASHBOARD!$B$11, H399&gt;=DASHBOARD!$B$13), R399, 1000000000000)</f>
        <v/>
      </c>
      <c r="U399" s="101">
        <f>IF(AND(F399&lt;=DASHBOARD!$B$11, H399&gt;=DASHBOARD!$B$13), N399, -1000000000000)</f>
        <v/>
      </c>
      <c r="V399" s="101">
        <f>IF(AND(F399&lt;=DASHBOARD!$B$11, H399&gt;=DASHBOARD!$B$13), H399, -1000000000000)</f>
        <v/>
      </c>
      <c r="W399" s="101">
        <f>IF(AND(F399&lt;=DASHBOARD!$B$11, H399&gt;=DASHBOARD!$B$13), K399, -1000000000000)</f>
        <v/>
      </c>
      <c r="X399" s="101">
        <f>IF(AND(F399&lt;=DASHBOARD!$B$11, H399&gt;=DASHBOARD!$B$13), M399, 1000000000000)</f>
        <v/>
      </c>
      <c r="Y399" s="101">
        <f>IF(AND(F399&lt;=DASHBOARD!$B$10, H399&gt;=DASHBOARD!$B$11), L399, 1000000000000)</f>
        <v/>
      </c>
      <c r="Z399" s="101">
        <f>IF(AND(F399&lt;=DASHBOARD!$B$10, H399&gt;=DASHBOARD!$B$11), O399, 1000000000000)</f>
        <v/>
      </c>
      <c r="AA399" s="101">
        <f>IF(AND(F399&lt;=DASHBOARD!$B$10, H399&gt;=DASHBOARD!$B$11), P399, 1000000000000)</f>
        <v/>
      </c>
      <c r="AB399" s="101">
        <f>IF(AND(F399&lt;=DASHBOARD!$B$10, H399&gt;=DASHBOARD!$B$11), Q399, -1000000000000)</f>
        <v/>
      </c>
    </row>
    <row r="400" ht="15" customHeight="1" s="102">
      <c r="A400" s="166" t="n">
        <v>396</v>
      </c>
      <c r="B400" s="167" t="n">
        <v>0.9</v>
      </c>
      <c r="C400" s="167" t="n">
        <v>0.8</v>
      </c>
      <c r="D400" s="110" t="inlineStr">
        <is>
          <t>Var (%20)</t>
        </is>
      </c>
      <c r="E400" s="110">
        <f>IF((B400+C400)&lt;=1, "Tam Mahsuplaşma (≤%100)", "Kısmi Satış (&gt;%100)")</f>
        <v/>
      </c>
      <c r="F400" s="168">
        <f>((VERI_TABANI!$D$29*B400/VERI_TABANI!$B$29)/VERI_TABANI!$B$3)*VERI_TABANI!$B$5 + ((VERI_TABANI!$D$29*C400/VERI_TABANI!$B$29)/VERI_TABANI!$B$4)*VERI_TABANI!$B$6 + IF(ISNUMBER(SEARCH("Var", D400)), (VERI_TABANI!$F$29/VERI_TABANI!$B$29)*(VERI_TABANI!$B$10+VERI_TABANI!$B$12), 0)</f>
        <v/>
      </c>
      <c r="G400" s="168">
        <f>(((MIN(VERI_TABANI!D23, VERI_TABANI!D23*B400)*VERI_TABANI!$B$7 + MAX(0, VERI_TABANI!D23*B400-VERI_TABANI!D23)*VERI_TABANI!$B$8) + (MIN(MAX(0, VERI_TABANI!D23-VERI_TABANI!D23*B400), VERI_TABANI!D23*C400)*VERI_TABANI!$B$7 + MAX(0, VERI_TABANI!D23*C400-MAX(0, VERI_TABANI!D23-VERI_TABANI!D23*B400))*VERI_TABANI!$B$8) + IF(ABS(IF(ISNUMBER(SEARCH("Var", D400)), 1, IF(ISNUMBER(SEARCH("Gri", D400)), -1, 0)))=1, VERI_TABANI!E23*(1-0.928)*VERI_TABANI!$B$9, 0) + (VERI_TABANI!D23*B400*(VERI_TABANI!$B$13-VERI_TABANI!$B$14)*VERI_TABANI!G23) + (VERI_TABANI!D23*C400*(VERI_TABANI!$B$13-VERI_TABANI!$B$15)*VERI_TABANI!G23) + IF(ABS(IF(ISNUMBER(SEARCH("Var", D400)), 1, IF(ISNUMBER(SEARCH("Gri", D400)), -1, 0)))=1, VERI_TABANI!E23*(1-0.928)*0.00206091519919798*VERI_TABANI!G23, 0)) + ((MIN(VERI_TABANI!D24, VERI_TABANI!D24*B400)*VERI_TABANI!$B$7 + MAX(0, VERI_TABANI!D24*B400-VERI_TABANI!D24)*VERI_TABANI!$B$8) + (MIN(MAX(0, VERI_TABANI!D24-VERI_TABANI!D24*B400), VERI_TABANI!D24*C400)*VERI_TABANI!$B$7 + MAX(0, VERI_TABANI!D24*C400-MAX(0, VERI_TABANI!D24-VERI_TABANI!D24*B400))*VERI_TABANI!$B$8) + IF(ABS(IF(ISNUMBER(SEARCH("Var", D400)), 1, IF(ISNUMBER(SEARCH("Gri", D400)), -1, 0)))=1, VERI_TABANI!E24*(1-0.928)*VERI_TABANI!$B$9, 0) + (VERI_TABANI!D24*B400*(VERI_TABANI!$B$13-VERI_TABANI!$B$14)*VERI_TABANI!G24) + (VERI_TABANI!D24*C400*(VERI_TABANI!$B$13-VERI_TABANI!$B$15)*VERI_TABANI!G24) + IF(ABS(IF(ISNUMBER(SEARCH("Var", D400)), 1, IF(ISNUMBER(SEARCH("Gri", D400)), -1, 0)))=1, VERI_TABANI!E24*(1-0.928)*0.00206091519919798*VERI_TABANI!G24, 0)) + ((MIN(VERI_TABANI!D25, VERI_TABANI!D25*B400)*VERI_TABANI!$B$7 + MAX(0, VERI_TABANI!D25*B400-VERI_TABANI!D25)*VERI_TABANI!$B$8) + (MIN(MAX(0, VERI_TABANI!D25-VERI_TABANI!D25*B400), VERI_TABANI!D25*C400)*VERI_TABANI!$B$7 + MAX(0, VERI_TABANI!D25*C400-MAX(0, VERI_TABANI!D25-VERI_TABANI!D25*B400))*VERI_TABANI!$B$8) + IF(ABS(IF(ISNUMBER(SEARCH("Var", D400)), 1, IF(ISNUMBER(SEARCH("Gri", D400)), -1, 0)))=1, VERI_TABANI!E25*(1-0.928)*VERI_TABANI!$B$9, 0) + (VERI_TABANI!D25*B400*(VERI_TABANI!$B$13-VERI_TABANI!$B$14)*VERI_TABANI!G25) + (VERI_TABANI!D25*C400*(VERI_TABANI!$B$13-VERI_TABANI!$B$15)*VERI_TABANI!G25) + IF(ABS(IF(ISNUMBER(SEARCH("Var", D400)), 1, IF(ISNUMBER(SEARCH("Gri", D400)), -1, 0)))=1, VERI_TABANI!E25*(1-0.928)*0.00206091519919798*VERI_TABANI!G25, 0)) + ((MIN(VERI_TABANI!D26, VERI_TABANI!D26*B400)*VERI_TABANI!$B$7 + MAX(0, VERI_TABANI!D26*B400-VERI_TABANI!D26)*VERI_TABANI!$B$8) + (MIN(MAX(0, VERI_TABANI!D26-VERI_TABANI!D26*B400), VERI_TABANI!D26*C400)*VERI_TABANI!$B$7 + MAX(0, VERI_TABANI!D26*C400-MAX(0, VERI_TABANI!D26-VERI_TABANI!D26*B400))*VERI_TABANI!$B$8) + IF(ABS(IF(ISNUMBER(SEARCH("Var", D400)), 1, IF(ISNUMBER(SEARCH("Gri", D400)), -1, 0)))=1, VERI_TABANI!E26*(1-0.928)*VERI_TABANI!$B$9, 0) + (VERI_TABANI!D26*B400*(VERI_TABANI!$B$13-VERI_TABANI!$B$14)*VERI_TABANI!G26) + (VERI_TABANI!D26*C400*(VERI_TABANI!$B$13-VERI_TABANI!$B$15)*VERI_TABANI!G26) + IF(ABS(IF(ISNUMBER(SEARCH("Var", D400)), 1, IF(ISNUMBER(SEARCH("Gri", D400)), -1, 0)))=1, VERI_TABANI!E26*(1-0.928)*0.00206091519919798*VERI_TABANI!G26, 0)) + ((MIN(VERI_TABANI!D27, VERI_TABANI!D27*B400)*VERI_TABANI!$B$7 + MAX(0, VERI_TABANI!D27*B400-VERI_TABANI!D27)*VERI_TABANI!$B$8) + (MIN(MAX(0, VERI_TABANI!D27-VERI_TABANI!D27*B400), VERI_TABANI!D27*C400)*VERI_TABANI!$B$7 + MAX(0, VERI_TABANI!D27*C400-MAX(0, VERI_TABANI!D27-VERI_TABANI!D27*B400))*VERI_TABANI!$B$8) + IF(ABS(IF(ISNUMBER(SEARCH("Var", D400)), 1, IF(ISNUMBER(SEARCH("Gri", D400)), -1, 0)))=1, VERI_TABANI!E27*(1-0.928)*VERI_TABANI!$B$9, 0) + (VERI_TABANI!D27*B400*(VERI_TABANI!$B$13-VERI_TABANI!$B$14)*VERI_TABANI!G27) + (VERI_TABANI!D27*C400*(VERI_TABANI!$B$13-VERI_TABANI!$B$15)*VERI_TABANI!G27) + IF(ABS(IF(ISNUMBER(SEARCH("Var", D400)), 1, IF(ISNUMBER(SEARCH("Gri", D400)), -1, 0)))=1, VERI_TABANI!E27*(1-0.928)*0.00206091519919798*VERI_TABANI!G27, 0)) + ((MIN(VERI_TABANI!D28, VERI_TABANI!D28*B400)*VERI_TABANI!$B$7 + MAX(0, VERI_TABANI!D28*B400-VERI_TABANI!D28)*VERI_TABANI!$B$8) + (MIN(MAX(0, VERI_TABANI!D28-VERI_TABANI!D28*B400), VERI_TABANI!D28*C400)*VERI_TABANI!$B$7 + MAX(0, VERI_TABANI!D28*C400-MAX(0, VERI_TABANI!D28-VERI_TABANI!D28*B400))*VERI_TABANI!$B$8) + IF(ABS(IF(ISNUMBER(SEARCH("Var", D400)), 1, IF(ISNUMBER(SEARCH("Gri", D400)), -1, 0)))=1, VERI_TABANI!E28*(1-0.928)*VERI_TABANI!$B$9, 0) + (VERI_TABANI!D28*B400*(VERI_TABANI!$B$13-VERI_TABANI!$B$14)*VERI_TABANI!G28) + (VERI_TABANI!D28*C400*(VERI_TABANI!$B$13-VERI_TABANI!$B$15)*VERI_TABANI!G28) + IF(ABS(IF(ISNUMBER(SEARCH("Var", D400)), 1, IF(ISNUMBER(SEARCH("Gri", D400)), -1, 0)))=1, VERI_TABANI!E28*(1-0.928)*0.00206091519919798*VERI_TABANI!G28, 0)))</f>
        <v/>
      </c>
      <c r="H400" s="169">
        <f>(((VERI_TABANI!D23*B400*(VERI_TABANI!$B$13-VERI_TABANI!$B$14)) + (VERI_TABANI!D23*C400*(VERI_TABANI!$B$13-VERI_TABANI!$B$15)) + IF(ISNUMBER(SEARCH("Var", D400)), VERI_TABANI!F23*(0.00202-VERI_TABANI!$B$16), IF(ISNUMBER(SEARCH("Gri", D400)), VERI_TABANI!F23*(0.00202-VERI_TABANI!$B$17), 0))) + ((VERI_TABANI!D24*B400*(VERI_TABANI!$B$13-VERI_TABANI!$B$14)) + (VERI_TABANI!D24*C400*(VERI_TABANI!$B$13-VERI_TABANI!$B$15)) + IF(ISNUMBER(SEARCH("Var", D400)), VERI_TABANI!F24*(0.00202-VERI_TABANI!$B$16), IF(ISNUMBER(SEARCH("Gri", D400)), VERI_TABANI!F24*(0.00202-VERI_TABANI!$B$17), 0))) + ((VERI_TABANI!D25*B400*(VERI_TABANI!$B$13-VERI_TABANI!$B$14)) + (VERI_TABANI!D25*C400*(VERI_TABANI!$B$13-VERI_TABANI!$B$15)) + IF(ISNUMBER(SEARCH("Var", D400)), VERI_TABANI!F25*(0.00202-VERI_TABANI!$B$16), IF(ISNUMBER(SEARCH("Gri", D400)), VERI_TABANI!F25*(0.00202-VERI_TABANI!$B$17), 0))) + ((VERI_TABANI!D26*B400*(VERI_TABANI!$B$13-VERI_TABANI!$B$14)) + (VERI_TABANI!D26*C400*(VERI_TABANI!$B$13-VERI_TABANI!$B$15)) + IF(ISNUMBER(SEARCH("Var", D400)), VERI_TABANI!F26*(0.00202-VERI_TABANI!$B$16), IF(ISNUMBER(SEARCH("Gri", D400)), VERI_TABANI!F26*(0.00202-VERI_TABANI!$B$17), 0))) + ((VERI_TABANI!D27*B400*(VERI_TABANI!$B$13-VERI_TABANI!$B$14)) + (VERI_TABANI!D27*C400*(VERI_TABANI!$B$13-VERI_TABANI!$B$15)) + IF(ISNUMBER(SEARCH("Var", D400)), VERI_TABANI!F27*(0.00202-VERI_TABANI!$B$16), IF(ISNUMBER(SEARCH("Gri", D400)), VERI_TABANI!F27*(0.00202-VERI_TABANI!$B$17), 0))) + ((VERI_TABANI!D28*B400*(VERI_TABANI!$B$13-VERI_TABANI!$B$14)) + (VERI_TABANI!D28*C400*(VERI_TABANI!$B$13-VERI_TABANI!$B$15)) + IF(ISNUMBER(SEARCH("Var", D400)), VERI_TABANI!F28*(0.00202-VERI_TABANI!$B$16), IF(ISNUMBER(SEARCH("Gri", D400)), VERI_TABANI!F28*(0.00202-VERI_TABANI!$B$17), 0))))</f>
        <v/>
      </c>
      <c r="I400" s="170">
        <f>IFERROR(((VERI_TABANI!$D$29*B400*VERI_TABANI!$B$14 + VERI_TABANI!$D$29*C400*VERI_TABANI!$B$15 + IF(ISNUMBER(SEARCH("Var", D400)), VERI_TABANI!$F$29*VERI_TABANI!$B$16, 0))) / (((VERI_TABANI!$D$29*B400 + VERI_TABANI!$D$29*C400)*VERI_TABANI!$B$13 + IF(ISNUMBER(SEARCH("Var", D400)), VERI_TABANI!$E$29*(1-0.928)*VERI_TABANI!$B$18, 0))), 0)</f>
        <v/>
      </c>
      <c r="J400" s="171">
        <f>IFERROR(F400/(G400/29), 0)</f>
        <v/>
      </c>
      <c r="K400" s="172">
        <f>IF(F400&gt;0, H400/F400, 0)</f>
        <v/>
      </c>
      <c r="L400" s="170">
        <f>IF(F400&gt;0, I400, 1000000000)</f>
        <v/>
      </c>
      <c r="M400" s="171">
        <f>ABS((B400+C400)-1)</f>
        <v/>
      </c>
      <c r="N400" s="170">
        <f>IF(F400&gt;0, (G400/29)/F400, 0)</f>
        <v/>
      </c>
      <c r="O400" s="168">
        <f>IF(AND((B400+C400)&gt;=1, ISNUMBER(SEARCH("Var", D400))), F400, 1000000000)</f>
        <v/>
      </c>
      <c r="P400" s="172">
        <f>IF(F400&gt;0, SQRT((F400/MAX(F$5:F$886))^2 + (1 - H400/MAX(H$5:H$886))^2 + (J400/MAX(J$5:J$886))^2), 1000000000)</f>
        <v/>
      </c>
      <c r="Q400" s="166">
        <f>IF(AND(ABS(B400-0.5)&lt;0.01, ABS(C400-0.5)&lt;0.01, ISNUMBER(SEARCH("Var", D400))), 1, 0)</f>
        <v/>
      </c>
      <c r="R400" s="171">
        <f>IF(F400&gt;0, J400, 1000000000)</f>
        <v/>
      </c>
      <c r="S400" s="101">
        <f>IF(AND(F400&lt;=DASHBOARD!$B$11, H400&gt;=DASHBOARD!$B$13), G400, -1000000000000)</f>
        <v/>
      </c>
      <c r="T400" s="101">
        <f>IF(AND(F400&lt;=DASHBOARD!$B$11, H400&gt;=DASHBOARD!$B$13), R400, 1000000000000)</f>
        <v/>
      </c>
      <c r="U400" s="101">
        <f>IF(AND(F400&lt;=DASHBOARD!$B$11, H400&gt;=DASHBOARD!$B$13), N400, -1000000000000)</f>
        <v/>
      </c>
      <c r="V400" s="101">
        <f>IF(AND(F400&lt;=DASHBOARD!$B$11, H400&gt;=DASHBOARD!$B$13), H400, -1000000000000)</f>
        <v/>
      </c>
      <c r="W400" s="101">
        <f>IF(AND(F400&lt;=DASHBOARD!$B$11, H400&gt;=DASHBOARD!$B$13), K400, -1000000000000)</f>
        <v/>
      </c>
      <c r="X400" s="101">
        <f>IF(AND(F400&lt;=DASHBOARD!$B$11, H400&gt;=DASHBOARD!$B$13), M400, 1000000000000)</f>
        <v/>
      </c>
      <c r="Y400" s="101">
        <f>IF(AND(F400&lt;=DASHBOARD!$B$10, H400&gt;=DASHBOARD!$B$11), L400, 1000000000000)</f>
        <v/>
      </c>
      <c r="Z400" s="101">
        <f>IF(AND(F400&lt;=DASHBOARD!$B$10, H400&gt;=DASHBOARD!$B$11), O400, 1000000000000)</f>
        <v/>
      </c>
      <c r="AA400" s="101">
        <f>IF(AND(F400&lt;=DASHBOARD!$B$10, H400&gt;=DASHBOARD!$B$11), P400, 1000000000000)</f>
        <v/>
      </c>
      <c r="AB400" s="101">
        <f>IF(AND(F400&lt;=DASHBOARD!$B$10, H400&gt;=DASHBOARD!$B$11), Q400, -1000000000000)</f>
        <v/>
      </c>
    </row>
    <row r="401" ht="15" customHeight="1" s="102">
      <c r="A401" s="166" t="n">
        <v>397</v>
      </c>
      <c r="B401" s="167" t="n">
        <v>0.9</v>
      </c>
      <c r="C401" s="167" t="n">
        <v>0.9</v>
      </c>
      <c r="D401" s="110" t="inlineStr">
        <is>
          <t>Yok (%0)</t>
        </is>
      </c>
      <c r="E401" s="110">
        <f>IF((B401+C401)&lt;=1, "Tam Mahsuplaşma (≤%100)", "Kısmi Satış (&gt;%100)")</f>
        <v/>
      </c>
      <c r="F401" s="168">
        <f>((VERI_TABANI!$D$29*B401/VERI_TABANI!$B$29)/VERI_TABANI!$B$3)*VERI_TABANI!$B$5 + ((VERI_TABANI!$D$29*C401/VERI_TABANI!$B$29)/VERI_TABANI!$B$4)*VERI_TABANI!$B$6 + IF(ISNUMBER(SEARCH("Var", D401)), (VERI_TABANI!$F$29/VERI_TABANI!$B$29)*(VERI_TABANI!$B$10+VERI_TABANI!$B$12), 0)</f>
        <v/>
      </c>
      <c r="G401" s="168">
        <f>(((MIN(VERI_TABANI!D23, VERI_TABANI!D23*B401)*VERI_TABANI!$B$7 + MAX(0, VERI_TABANI!D23*B401-VERI_TABANI!D23)*VERI_TABANI!$B$8) + (MIN(MAX(0, VERI_TABANI!D23-VERI_TABANI!D23*B401), VERI_TABANI!D23*C401)*VERI_TABANI!$B$7 + MAX(0, VERI_TABANI!D23*C401-MAX(0, VERI_TABANI!D23-VERI_TABANI!D23*B401))*VERI_TABANI!$B$8) + IF(ABS(IF(ISNUMBER(SEARCH("Var", D401)), 1, IF(ISNUMBER(SEARCH("Gri", D401)), -1, 0)))=1, VERI_TABANI!E23*(1-0.928)*VERI_TABANI!$B$9, 0) + (VERI_TABANI!D23*B401*(VERI_TABANI!$B$13-VERI_TABANI!$B$14)*VERI_TABANI!G23) + (VERI_TABANI!D23*C401*(VERI_TABANI!$B$13-VERI_TABANI!$B$15)*VERI_TABANI!G23) + IF(ABS(IF(ISNUMBER(SEARCH("Var", D401)), 1, IF(ISNUMBER(SEARCH("Gri", D401)), -1, 0)))=1, VERI_TABANI!E23*(1-0.928)*0.00206091519919798*VERI_TABANI!G23, 0)) + ((MIN(VERI_TABANI!D24, VERI_TABANI!D24*B401)*VERI_TABANI!$B$7 + MAX(0, VERI_TABANI!D24*B401-VERI_TABANI!D24)*VERI_TABANI!$B$8) + (MIN(MAX(0, VERI_TABANI!D24-VERI_TABANI!D24*B401), VERI_TABANI!D24*C401)*VERI_TABANI!$B$7 + MAX(0, VERI_TABANI!D24*C401-MAX(0, VERI_TABANI!D24-VERI_TABANI!D24*B401))*VERI_TABANI!$B$8) + IF(ABS(IF(ISNUMBER(SEARCH("Var", D401)), 1, IF(ISNUMBER(SEARCH("Gri", D401)), -1, 0)))=1, VERI_TABANI!E24*(1-0.928)*VERI_TABANI!$B$9, 0) + (VERI_TABANI!D24*B401*(VERI_TABANI!$B$13-VERI_TABANI!$B$14)*VERI_TABANI!G24) + (VERI_TABANI!D24*C401*(VERI_TABANI!$B$13-VERI_TABANI!$B$15)*VERI_TABANI!G24) + IF(ABS(IF(ISNUMBER(SEARCH("Var", D401)), 1, IF(ISNUMBER(SEARCH("Gri", D401)), -1, 0)))=1, VERI_TABANI!E24*(1-0.928)*0.00206091519919798*VERI_TABANI!G24, 0)) + ((MIN(VERI_TABANI!D25, VERI_TABANI!D25*B401)*VERI_TABANI!$B$7 + MAX(0, VERI_TABANI!D25*B401-VERI_TABANI!D25)*VERI_TABANI!$B$8) + (MIN(MAX(0, VERI_TABANI!D25-VERI_TABANI!D25*B401), VERI_TABANI!D25*C401)*VERI_TABANI!$B$7 + MAX(0, VERI_TABANI!D25*C401-MAX(0, VERI_TABANI!D25-VERI_TABANI!D25*B401))*VERI_TABANI!$B$8) + IF(ABS(IF(ISNUMBER(SEARCH("Var", D401)), 1, IF(ISNUMBER(SEARCH("Gri", D401)), -1, 0)))=1, VERI_TABANI!E25*(1-0.928)*VERI_TABANI!$B$9, 0) + (VERI_TABANI!D25*B401*(VERI_TABANI!$B$13-VERI_TABANI!$B$14)*VERI_TABANI!G25) + (VERI_TABANI!D25*C401*(VERI_TABANI!$B$13-VERI_TABANI!$B$15)*VERI_TABANI!G25) + IF(ABS(IF(ISNUMBER(SEARCH("Var", D401)), 1, IF(ISNUMBER(SEARCH("Gri", D401)), -1, 0)))=1, VERI_TABANI!E25*(1-0.928)*0.00206091519919798*VERI_TABANI!G25, 0)) + ((MIN(VERI_TABANI!D26, VERI_TABANI!D26*B401)*VERI_TABANI!$B$7 + MAX(0, VERI_TABANI!D26*B401-VERI_TABANI!D26)*VERI_TABANI!$B$8) + (MIN(MAX(0, VERI_TABANI!D26-VERI_TABANI!D26*B401), VERI_TABANI!D26*C401)*VERI_TABANI!$B$7 + MAX(0, VERI_TABANI!D26*C401-MAX(0, VERI_TABANI!D26-VERI_TABANI!D26*B401))*VERI_TABANI!$B$8) + IF(ABS(IF(ISNUMBER(SEARCH("Var", D401)), 1, IF(ISNUMBER(SEARCH("Gri", D401)), -1, 0)))=1, VERI_TABANI!E26*(1-0.928)*VERI_TABANI!$B$9, 0) + (VERI_TABANI!D26*B401*(VERI_TABANI!$B$13-VERI_TABANI!$B$14)*VERI_TABANI!G26) + (VERI_TABANI!D26*C401*(VERI_TABANI!$B$13-VERI_TABANI!$B$15)*VERI_TABANI!G26) + IF(ABS(IF(ISNUMBER(SEARCH("Var", D401)), 1, IF(ISNUMBER(SEARCH("Gri", D401)), -1, 0)))=1, VERI_TABANI!E26*(1-0.928)*0.00206091519919798*VERI_TABANI!G26, 0)) + ((MIN(VERI_TABANI!D27, VERI_TABANI!D27*B401)*VERI_TABANI!$B$7 + MAX(0, VERI_TABANI!D27*B401-VERI_TABANI!D27)*VERI_TABANI!$B$8) + (MIN(MAX(0, VERI_TABANI!D27-VERI_TABANI!D27*B401), VERI_TABANI!D27*C401)*VERI_TABANI!$B$7 + MAX(0, VERI_TABANI!D27*C401-MAX(0, VERI_TABANI!D27-VERI_TABANI!D27*B401))*VERI_TABANI!$B$8) + IF(ABS(IF(ISNUMBER(SEARCH("Var", D401)), 1, IF(ISNUMBER(SEARCH("Gri", D401)), -1, 0)))=1, VERI_TABANI!E27*(1-0.928)*VERI_TABANI!$B$9, 0) + (VERI_TABANI!D27*B401*(VERI_TABANI!$B$13-VERI_TABANI!$B$14)*VERI_TABANI!G27) + (VERI_TABANI!D27*C401*(VERI_TABANI!$B$13-VERI_TABANI!$B$15)*VERI_TABANI!G27) + IF(ABS(IF(ISNUMBER(SEARCH("Var", D401)), 1, IF(ISNUMBER(SEARCH("Gri", D401)), -1, 0)))=1, VERI_TABANI!E27*(1-0.928)*0.00206091519919798*VERI_TABANI!G27, 0)) + ((MIN(VERI_TABANI!D28, VERI_TABANI!D28*B401)*VERI_TABANI!$B$7 + MAX(0, VERI_TABANI!D28*B401-VERI_TABANI!D28)*VERI_TABANI!$B$8) + (MIN(MAX(0, VERI_TABANI!D28-VERI_TABANI!D28*B401), VERI_TABANI!D28*C401)*VERI_TABANI!$B$7 + MAX(0, VERI_TABANI!D28*C401-MAX(0, VERI_TABANI!D28-VERI_TABANI!D28*B401))*VERI_TABANI!$B$8) + IF(ABS(IF(ISNUMBER(SEARCH("Var", D401)), 1, IF(ISNUMBER(SEARCH("Gri", D401)), -1, 0)))=1, VERI_TABANI!E28*(1-0.928)*VERI_TABANI!$B$9, 0) + (VERI_TABANI!D28*B401*(VERI_TABANI!$B$13-VERI_TABANI!$B$14)*VERI_TABANI!G28) + (VERI_TABANI!D28*C401*(VERI_TABANI!$B$13-VERI_TABANI!$B$15)*VERI_TABANI!G28) + IF(ABS(IF(ISNUMBER(SEARCH("Var", D401)), 1, IF(ISNUMBER(SEARCH("Gri", D401)), -1, 0)))=1, VERI_TABANI!E28*(1-0.928)*0.00206091519919798*VERI_TABANI!G28, 0)))</f>
        <v/>
      </c>
      <c r="H401" s="169">
        <f>(((VERI_TABANI!D23*B401*(VERI_TABANI!$B$13-VERI_TABANI!$B$14)) + (VERI_TABANI!D23*C401*(VERI_TABANI!$B$13-VERI_TABANI!$B$15)) + IF(ISNUMBER(SEARCH("Var", D401)), VERI_TABANI!F23*(0.00202-VERI_TABANI!$B$16), IF(ISNUMBER(SEARCH("Gri", D401)), VERI_TABANI!F23*(0.00202-VERI_TABANI!$B$17), 0))) + ((VERI_TABANI!D24*B401*(VERI_TABANI!$B$13-VERI_TABANI!$B$14)) + (VERI_TABANI!D24*C401*(VERI_TABANI!$B$13-VERI_TABANI!$B$15)) + IF(ISNUMBER(SEARCH("Var", D401)), VERI_TABANI!F24*(0.00202-VERI_TABANI!$B$16), IF(ISNUMBER(SEARCH("Gri", D401)), VERI_TABANI!F24*(0.00202-VERI_TABANI!$B$17), 0))) + ((VERI_TABANI!D25*B401*(VERI_TABANI!$B$13-VERI_TABANI!$B$14)) + (VERI_TABANI!D25*C401*(VERI_TABANI!$B$13-VERI_TABANI!$B$15)) + IF(ISNUMBER(SEARCH("Var", D401)), VERI_TABANI!F25*(0.00202-VERI_TABANI!$B$16), IF(ISNUMBER(SEARCH("Gri", D401)), VERI_TABANI!F25*(0.00202-VERI_TABANI!$B$17), 0))) + ((VERI_TABANI!D26*B401*(VERI_TABANI!$B$13-VERI_TABANI!$B$14)) + (VERI_TABANI!D26*C401*(VERI_TABANI!$B$13-VERI_TABANI!$B$15)) + IF(ISNUMBER(SEARCH("Var", D401)), VERI_TABANI!F26*(0.00202-VERI_TABANI!$B$16), IF(ISNUMBER(SEARCH("Gri", D401)), VERI_TABANI!F26*(0.00202-VERI_TABANI!$B$17), 0))) + ((VERI_TABANI!D27*B401*(VERI_TABANI!$B$13-VERI_TABANI!$B$14)) + (VERI_TABANI!D27*C401*(VERI_TABANI!$B$13-VERI_TABANI!$B$15)) + IF(ISNUMBER(SEARCH("Var", D401)), VERI_TABANI!F27*(0.00202-VERI_TABANI!$B$16), IF(ISNUMBER(SEARCH("Gri", D401)), VERI_TABANI!F27*(0.00202-VERI_TABANI!$B$17), 0))) + ((VERI_TABANI!D28*B401*(VERI_TABANI!$B$13-VERI_TABANI!$B$14)) + (VERI_TABANI!D28*C401*(VERI_TABANI!$B$13-VERI_TABANI!$B$15)) + IF(ISNUMBER(SEARCH("Var", D401)), VERI_TABANI!F28*(0.00202-VERI_TABANI!$B$16), IF(ISNUMBER(SEARCH("Gri", D401)), VERI_TABANI!F28*(0.00202-VERI_TABANI!$B$17), 0))))</f>
        <v/>
      </c>
      <c r="I401" s="170">
        <f>IFERROR(((VERI_TABANI!$D$29*B401*VERI_TABANI!$B$14 + VERI_TABANI!$D$29*C401*VERI_TABANI!$B$15 + IF(ISNUMBER(SEARCH("Var", D401)), VERI_TABANI!$F$29*VERI_TABANI!$B$16, 0))) / (((VERI_TABANI!$D$29*B401 + VERI_TABANI!$D$29*C401)*VERI_TABANI!$B$13 + IF(ISNUMBER(SEARCH("Var", D401)), VERI_TABANI!$E$29*(1-0.928)*VERI_TABANI!$B$18, 0))), 0)</f>
        <v/>
      </c>
      <c r="J401" s="171">
        <f>IFERROR(F401/(G401/29), 0)</f>
        <v/>
      </c>
      <c r="K401" s="172">
        <f>IF(F401&gt;0, H401/F401, 0)</f>
        <v/>
      </c>
      <c r="L401" s="170">
        <f>IF(F401&gt;0, I401, 1000000000)</f>
        <v/>
      </c>
      <c r="M401" s="171">
        <f>ABS((B401+C401)-1)</f>
        <v/>
      </c>
      <c r="N401" s="170">
        <f>IF(F401&gt;0, (G401/29)/F401, 0)</f>
        <v/>
      </c>
      <c r="O401" s="168">
        <f>IF(AND((B401+C401)&gt;=1, ISNUMBER(SEARCH("Var", D401))), F401, 1000000000)</f>
        <v/>
      </c>
      <c r="P401" s="172">
        <f>IF(F401&gt;0, SQRT((F401/MAX(F$5:F$886))^2 + (1 - H401/MAX(H$5:H$886))^2 + (J401/MAX(J$5:J$886))^2), 1000000000)</f>
        <v/>
      </c>
      <c r="Q401" s="166">
        <f>IF(AND(ABS(B401-0.5)&lt;0.01, ABS(C401-0.5)&lt;0.01, ISNUMBER(SEARCH("Var", D401))), 1, 0)</f>
        <v/>
      </c>
      <c r="R401" s="171">
        <f>IF(F401&gt;0, J401, 1000000000)</f>
        <v/>
      </c>
      <c r="S401" s="101">
        <f>IF(AND(F401&lt;=DASHBOARD!$B$11, H401&gt;=DASHBOARD!$B$13), G401, -1000000000000)</f>
        <v/>
      </c>
      <c r="T401" s="101">
        <f>IF(AND(F401&lt;=DASHBOARD!$B$11, H401&gt;=DASHBOARD!$B$13), R401, 1000000000000)</f>
        <v/>
      </c>
      <c r="U401" s="101">
        <f>IF(AND(F401&lt;=DASHBOARD!$B$11, H401&gt;=DASHBOARD!$B$13), N401, -1000000000000)</f>
        <v/>
      </c>
      <c r="V401" s="101">
        <f>IF(AND(F401&lt;=DASHBOARD!$B$11, H401&gt;=DASHBOARD!$B$13), H401, -1000000000000)</f>
        <v/>
      </c>
      <c r="W401" s="101">
        <f>IF(AND(F401&lt;=DASHBOARD!$B$11, H401&gt;=DASHBOARD!$B$13), K401, -1000000000000)</f>
        <v/>
      </c>
      <c r="X401" s="101">
        <f>IF(AND(F401&lt;=DASHBOARD!$B$11, H401&gt;=DASHBOARD!$B$13), M401, 1000000000000)</f>
        <v/>
      </c>
      <c r="Y401" s="101">
        <f>IF(AND(F401&lt;=DASHBOARD!$B$10, H401&gt;=DASHBOARD!$B$11), L401, 1000000000000)</f>
        <v/>
      </c>
      <c r="Z401" s="101">
        <f>IF(AND(F401&lt;=DASHBOARD!$B$10, H401&gt;=DASHBOARD!$B$11), O401, 1000000000000)</f>
        <v/>
      </c>
      <c r="AA401" s="101">
        <f>IF(AND(F401&lt;=DASHBOARD!$B$10, H401&gt;=DASHBOARD!$B$11), P401, 1000000000000)</f>
        <v/>
      </c>
      <c r="AB401" s="101">
        <f>IF(AND(F401&lt;=DASHBOARD!$B$10, H401&gt;=DASHBOARD!$B$11), Q401, -1000000000000)</f>
        <v/>
      </c>
    </row>
    <row r="402" ht="15" customHeight="1" s="102">
      <c r="A402" s="166" t="n">
        <v>398</v>
      </c>
      <c r="B402" s="167" t="n">
        <v>0.9</v>
      </c>
      <c r="C402" s="167" t="n">
        <v>0.9</v>
      </c>
      <c r="D402" s="110" t="inlineStr">
        <is>
          <t>Var (%20)</t>
        </is>
      </c>
      <c r="E402" s="110">
        <f>IF((B402+C402)&lt;=1, "Tam Mahsuplaşma (≤%100)", "Kısmi Satış (&gt;%100)")</f>
        <v/>
      </c>
      <c r="F402" s="168">
        <f>((VERI_TABANI!$D$29*B402/VERI_TABANI!$B$29)/VERI_TABANI!$B$3)*VERI_TABANI!$B$5 + ((VERI_TABANI!$D$29*C402/VERI_TABANI!$B$29)/VERI_TABANI!$B$4)*VERI_TABANI!$B$6 + IF(ISNUMBER(SEARCH("Var", D402)), (VERI_TABANI!$F$29/VERI_TABANI!$B$29)*(VERI_TABANI!$B$10+VERI_TABANI!$B$12), 0)</f>
        <v/>
      </c>
      <c r="G402" s="168">
        <f>(((MIN(VERI_TABANI!D23, VERI_TABANI!D23*B402)*VERI_TABANI!$B$7 + MAX(0, VERI_TABANI!D23*B402-VERI_TABANI!D23)*VERI_TABANI!$B$8) + (MIN(MAX(0, VERI_TABANI!D23-VERI_TABANI!D23*B402), VERI_TABANI!D23*C402)*VERI_TABANI!$B$7 + MAX(0, VERI_TABANI!D23*C402-MAX(0, VERI_TABANI!D23-VERI_TABANI!D23*B402))*VERI_TABANI!$B$8) + IF(ABS(IF(ISNUMBER(SEARCH("Var", D402)), 1, IF(ISNUMBER(SEARCH("Gri", D402)), -1, 0)))=1, VERI_TABANI!E23*(1-0.928)*VERI_TABANI!$B$9, 0) + (VERI_TABANI!D23*B402*(VERI_TABANI!$B$13-VERI_TABANI!$B$14)*VERI_TABANI!G23) + (VERI_TABANI!D23*C402*(VERI_TABANI!$B$13-VERI_TABANI!$B$15)*VERI_TABANI!G23) + IF(ABS(IF(ISNUMBER(SEARCH("Var", D402)), 1, IF(ISNUMBER(SEARCH("Gri", D402)), -1, 0)))=1, VERI_TABANI!E23*(1-0.928)*0.00206091519919798*VERI_TABANI!G23, 0)) + ((MIN(VERI_TABANI!D24, VERI_TABANI!D24*B402)*VERI_TABANI!$B$7 + MAX(0, VERI_TABANI!D24*B402-VERI_TABANI!D24)*VERI_TABANI!$B$8) + (MIN(MAX(0, VERI_TABANI!D24-VERI_TABANI!D24*B402), VERI_TABANI!D24*C402)*VERI_TABANI!$B$7 + MAX(0, VERI_TABANI!D24*C402-MAX(0, VERI_TABANI!D24-VERI_TABANI!D24*B402))*VERI_TABANI!$B$8) + IF(ABS(IF(ISNUMBER(SEARCH("Var", D402)), 1, IF(ISNUMBER(SEARCH("Gri", D402)), -1, 0)))=1, VERI_TABANI!E24*(1-0.928)*VERI_TABANI!$B$9, 0) + (VERI_TABANI!D24*B402*(VERI_TABANI!$B$13-VERI_TABANI!$B$14)*VERI_TABANI!G24) + (VERI_TABANI!D24*C402*(VERI_TABANI!$B$13-VERI_TABANI!$B$15)*VERI_TABANI!G24) + IF(ABS(IF(ISNUMBER(SEARCH("Var", D402)), 1, IF(ISNUMBER(SEARCH("Gri", D402)), -1, 0)))=1, VERI_TABANI!E24*(1-0.928)*0.00206091519919798*VERI_TABANI!G24, 0)) + ((MIN(VERI_TABANI!D25, VERI_TABANI!D25*B402)*VERI_TABANI!$B$7 + MAX(0, VERI_TABANI!D25*B402-VERI_TABANI!D25)*VERI_TABANI!$B$8) + (MIN(MAX(0, VERI_TABANI!D25-VERI_TABANI!D25*B402), VERI_TABANI!D25*C402)*VERI_TABANI!$B$7 + MAX(0, VERI_TABANI!D25*C402-MAX(0, VERI_TABANI!D25-VERI_TABANI!D25*B402))*VERI_TABANI!$B$8) + IF(ABS(IF(ISNUMBER(SEARCH("Var", D402)), 1, IF(ISNUMBER(SEARCH("Gri", D402)), -1, 0)))=1, VERI_TABANI!E25*(1-0.928)*VERI_TABANI!$B$9, 0) + (VERI_TABANI!D25*B402*(VERI_TABANI!$B$13-VERI_TABANI!$B$14)*VERI_TABANI!G25) + (VERI_TABANI!D25*C402*(VERI_TABANI!$B$13-VERI_TABANI!$B$15)*VERI_TABANI!G25) + IF(ABS(IF(ISNUMBER(SEARCH("Var", D402)), 1, IF(ISNUMBER(SEARCH("Gri", D402)), -1, 0)))=1, VERI_TABANI!E25*(1-0.928)*0.00206091519919798*VERI_TABANI!G25, 0)) + ((MIN(VERI_TABANI!D26, VERI_TABANI!D26*B402)*VERI_TABANI!$B$7 + MAX(0, VERI_TABANI!D26*B402-VERI_TABANI!D26)*VERI_TABANI!$B$8) + (MIN(MAX(0, VERI_TABANI!D26-VERI_TABANI!D26*B402), VERI_TABANI!D26*C402)*VERI_TABANI!$B$7 + MAX(0, VERI_TABANI!D26*C402-MAX(0, VERI_TABANI!D26-VERI_TABANI!D26*B402))*VERI_TABANI!$B$8) + IF(ABS(IF(ISNUMBER(SEARCH("Var", D402)), 1, IF(ISNUMBER(SEARCH("Gri", D402)), -1, 0)))=1, VERI_TABANI!E26*(1-0.928)*VERI_TABANI!$B$9, 0) + (VERI_TABANI!D26*B402*(VERI_TABANI!$B$13-VERI_TABANI!$B$14)*VERI_TABANI!G26) + (VERI_TABANI!D26*C402*(VERI_TABANI!$B$13-VERI_TABANI!$B$15)*VERI_TABANI!G26) + IF(ABS(IF(ISNUMBER(SEARCH("Var", D402)), 1, IF(ISNUMBER(SEARCH("Gri", D402)), -1, 0)))=1, VERI_TABANI!E26*(1-0.928)*0.00206091519919798*VERI_TABANI!G26, 0)) + ((MIN(VERI_TABANI!D27, VERI_TABANI!D27*B402)*VERI_TABANI!$B$7 + MAX(0, VERI_TABANI!D27*B402-VERI_TABANI!D27)*VERI_TABANI!$B$8) + (MIN(MAX(0, VERI_TABANI!D27-VERI_TABANI!D27*B402), VERI_TABANI!D27*C402)*VERI_TABANI!$B$7 + MAX(0, VERI_TABANI!D27*C402-MAX(0, VERI_TABANI!D27-VERI_TABANI!D27*B402))*VERI_TABANI!$B$8) + IF(ABS(IF(ISNUMBER(SEARCH("Var", D402)), 1, IF(ISNUMBER(SEARCH("Gri", D402)), -1, 0)))=1, VERI_TABANI!E27*(1-0.928)*VERI_TABANI!$B$9, 0) + (VERI_TABANI!D27*B402*(VERI_TABANI!$B$13-VERI_TABANI!$B$14)*VERI_TABANI!G27) + (VERI_TABANI!D27*C402*(VERI_TABANI!$B$13-VERI_TABANI!$B$15)*VERI_TABANI!G27) + IF(ABS(IF(ISNUMBER(SEARCH("Var", D402)), 1, IF(ISNUMBER(SEARCH("Gri", D402)), -1, 0)))=1, VERI_TABANI!E27*(1-0.928)*0.00206091519919798*VERI_TABANI!G27, 0)) + ((MIN(VERI_TABANI!D28, VERI_TABANI!D28*B402)*VERI_TABANI!$B$7 + MAX(0, VERI_TABANI!D28*B402-VERI_TABANI!D28)*VERI_TABANI!$B$8) + (MIN(MAX(0, VERI_TABANI!D28-VERI_TABANI!D28*B402), VERI_TABANI!D28*C402)*VERI_TABANI!$B$7 + MAX(0, VERI_TABANI!D28*C402-MAX(0, VERI_TABANI!D28-VERI_TABANI!D28*B402))*VERI_TABANI!$B$8) + IF(ABS(IF(ISNUMBER(SEARCH("Var", D402)), 1, IF(ISNUMBER(SEARCH("Gri", D402)), -1, 0)))=1, VERI_TABANI!E28*(1-0.928)*VERI_TABANI!$B$9, 0) + (VERI_TABANI!D28*B402*(VERI_TABANI!$B$13-VERI_TABANI!$B$14)*VERI_TABANI!G28) + (VERI_TABANI!D28*C402*(VERI_TABANI!$B$13-VERI_TABANI!$B$15)*VERI_TABANI!G28) + IF(ABS(IF(ISNUMBER(SEARCH("Var", D402)), 1, IF(ISNUMBER(SEARCH("Gri", D402)), -1, 0)))=1, VERI_TABANI!E28*(1-0.928)*0.00206091519919798*VERI_TABANI!G28, 0)))</f>
        <v/>
      </c>
      <c r="H402" s="169">
        <f>(((VERI_TABANI!D23*B402*(VERI_TABANI!$B$13-VERI_TABANI!$B$14)) + (VERI_TABANI!D23*C402*(VERI_TABANI!$B$13-VERI_TABANI!$B$15)) + IF(ISNUMBER(SEARCH("Var", D402)), VERI_TABANI!F23*(0.00202-VERI_TABANI!$B$16), IF(ISNUMBER(SEARCH("Gri", D402)), VERI_TABANI!F23*(0.00202-VERI_TABANI!$B$17), 0))) + ((VERI_TABANI!D24*B402*(VERI_TABANI!$B$13-VERI_TABANI!$B$14)) + (VERI_TABANI!D24*C402*(VERI_TABANI!$B$13-VERI_TABANI!$B$15)) + IF(ISNUMBER(SEARCH("Var", D402)), VERI_TABANI!F24*(0.00202-VERI_TABANI!$B$16), IF(ISNUMBER(SEARCH("Gri", D402)), VERI_TABANI!F24*(0.00202-VERI_TABANI!$B$17), 0))) + ((VERI_TABANI!D25*B402*(VERI_TABANI!$B$13-VERI_TABANI!$B$14)) + (VERI_TABANI!D25*C402*(VERI_TABANI!$B$13-VERI_TABANI!$B$15)) + IF(ISNUMBER(SEARCH("Var", D402)), VERI_TABANI!F25*(0.00202-VERI_TABANI!$B$16), IF(ISNUMBER(SEARCH("Gri", D402)), VERI_TABANI!F25*(0.00202-VERI_TABANI!$B$17), 0))) + ((VERI_TABANI!D26*B402*(VERI_TABANI!$B$13-VERI_TABANI!$B$14)) + (VERI_TABANI!D26*C402*(VERI_TABANI!$B$13-VERI_TABANI!$B$15)) + IF(ISNUMBER(SEARCH("Var", D402)), VERI_TABANI!F26*(0.00202-VERI_TABANI!$B$16), IF(ISNUMBER(SEARCH("Gri", D402)), VERI_TABANI!F26*(0.00202-VERI_TABANI!$B$17), 0))) + ((VERI_TABANI!D27*B402*(VERI_TABANI!$B$13-VERI_TABANI!$B$14)) + (VERI_TABANI!D27*C402*(VERI_TABANI!$B$13-VERI_TABANI!$B$15)) + IF(ISNUMBER(SEARCH("Var", D402)), VERI_TABANI!F27*(0.00202-VERI_TABANI!$B$16), IF(ISNUMBER(SEARCH("Gri", D402)), VERI_TABANI!F27*(0.00202-VERI_TABANI!$B$17), 0))) + ((VERI_TABANI!D28*B402*(VERI_TABANI!$B$13-VERI_TABANI!$B$14)) + (VERI_TABANI!D28*C402*(VERI_TABANI!$B$13-VERI_TABANI!$B$15)) + IF(ISNUMBER(SEARCH("Var", D402)), VERI_TABANI!F28*(0.00202-VERI_TABANI!$B$16), IF(ISNUMBER(SEARCH("Gri", D402)), VERI_TABANI!F28*(0.00202-VERI_TABANI!$B$17), 0))))</f>
        <v/>
      </c>
      <c r="I402" s="170">
        <f>IFERROR(((VERI_TABANI!$D$29*B402*VERI_TABANI!$B$14 + VERI_TABANI!$D$29*C402*VERI_TABANI!$B$15 + IF(ISNUMBER(SEARCH("Var", D402)), VERI_TABANI!$F$29*VERI_TABANI!$B$16, 0))) / (((VERI_TABANI!$D$29*B402 + VERI_TABANI!$D$29*C402)*VERI_TABANI!$B$13 + IF(ISNUMBER(SEARCH("Var", D402)), VERI_TABANI!$E$29*(1-0.928)*VERI_TABANI!$B$18, 0))), 0)</f>
        <v/>
      </c>
      <c r="J402" s="171">
        <f>IFERROR(F402/(G402/29), 0)</f>
        <v/>
      </c>
      <c r="K402" s="172">
        <f>IF(F402&gt;0, H402/F402, 0)</f>
        <v/>
      </c>
      <c r="L402" s="170">
        <f>IF(F402&gt;0, I402, 1000000000)</f>
        <v/>
      </c>
      <c r="M402" s="171">
        <f>ABS((B402+C402)-1)</f>
        <v/>
      </c>
      <c r="N402" s="170">
        <f>IF(F402&gt;0, (G402/29)/F402, 0)</f>
        <v/>
      </c>
      <c r="O402" s="168">
        <f>IF(AND((B402+C402)&gt;=1, ISNUMBER(SEARCH("Var", D402))), F402, 1000000000)</f>
        <v/>
      </c>
      <c r="P402" s="172">
        <f>IF(F402&gt;0, SQRT((F402/MAX(F$5:F$886))^2 + (1 - H402/MAX(H$5:H$886))^2 + (J402/MAX(J$5:J$886))^2), 1000000000)</f>
        <v/>
      </c>
      <c r="Q402" s="166">
        <f>IF(AND(ABS(B402-0.5)&lt;0.01, ABS(C402-0.5)&lt;0.01, ISNUMBER(SEARCH("Var", D402))), 1, 0)</f>
        <v/>
      </c>
      <c r="R402" s="171">
        <f>IF(F402&gt;0, J402, 1000000000)</f>
        <v/>
      </c>
      <c r="S402" s="101">
        <f>IF(AND(F402&lt;=DASHBOARD!$B$11, H402&gt;=DASHBOARD!$B$13), G402, -1000000000000)</f>
        <v/>
      </c>
      <c r="T402" s="101">
        <f>IF(AND(F402&lt;=DASHBOARD!$B$11, H402&gt;=DASHBOARD!$B$13), R402, 1000000000000)</f>
        <v/>
      </c>
      <c r="U402" s="101">
        <f>IF(AND(F402&lt;=DASHBOARD!$B$11, H402&gt;=DASHBOARD!$B$13), N402, -1000000000000)</f>
        <v/>
      </c>
      <c r="V402" s="101">
        <f>IF(AND(F402&lt;=DASHBOARD!$B$11, H402&gt;=DASHBOARD!$B$13), H402, -1000000000000)</f>
        <v/>
      </c>
      <c r="W402" s="101">
        <f>IF(AND(F402&lt;=DASHBOARD!$B$11, H402&gt;=DASHBOARD!$B$13), K402, -1000000000000)</f>
        <v/>
      </c>
      <c r="X402" s="101">
        <f>IF(AND(F402&lt;=DASHBOARD!$B$11, H402&gt;=DASHBOARD!$B$13), M402, 1000000000000)</f>
        <v/>
      </c>
      <c r="Y402" s="101">
        <f>IF(AND(F402&lt;=DASHBOARD!$B$10, H402&gt;=DASHBOARD!$B$11), L402, 1000000000000)</f>
        <v/>
      </c>
      <c r="Z402" s="101">
        <f>IF(AND(F402&lt;=DASHBOARD!$B$10, H402&gt;=DASHBOARD!$B$11), O402, 1000000000000)</f>
        <v/>
      </c>
      <c r="AA402" s="101">
        <f>IF(AND(F402&lt;=DASHBOARD!$B$10, H402&gt;=DASHBOARD!$B$11), P402, 1000000000000)</f>
        <v/>
      </c>
      <c r="AB402" s="101">
        <f>IF(AND(F402&lt;=DASHBOARD!$B$10, H402&gt;=DASHBOARD!$B$11), Q402, -1000000000000)</f>
        <v/>
      </c>
    </row>
    <row r="403" ht="15" customHeight="1" s="102">
      <c r="A403" s="166" t="n">
        <v>399</v>
      </c>
      <c r="B403" s="167" t="n">
        <v>0.9</v>
      </c>
      <c r="C403" s="167" t="n">
        <v>1</v>
      </c>
      <c r="D403" s="110" t="inlineStr">
        <is>
          <t>Yok (%0)</t>
        </is>
      </c>
      <c r="E403" s="110">
        <f>IF((B403+C403)&lt;=1, "Tam Mahsuplaşma (≤%100)", "Kısmi Satış (&gt;%100)")</f>
        <v/>
      </c>
      <c r="F403" s="168">
        <f>((VERI_TABANI!$D$29*B403/VERI_TABANI!$B$29)/VERI_TABANI!$B$3)*VERI_TABANI!$B$5 + ((VERI_TABANI!$D$29*C403/VERI_TABANI!$B$29)/VERI_TABANI!$B$4)*VERI_TABANI!$B$6 + IF(ISNUMBER(SEARCH("Var", D403)), (VERI_TABANI!$F$29/VERI_TABANI!$B$29)*(VERI_TABANI!$B$10+VERI_TABANI!$B$12), 0)</f>
        <v/>
      </c>
      <c r="G403" s="168">
        <f>(((MIN(VERI_TABANI!D23, VERI_TABANI!D23*B403)*VERI_TABANI!$B$7 + MAX(0, VERI_TABANI!D23*B403-VERI_TABANI!D23)*VERI_TABANI!$B$8) + (MIN(MAX(0, VERI_TABANI!D23-VERI_TABANI!D23*B403), VERI_TABANI!D23*C403)*VERI_TABANI!$B$7 + MAX(0, VERI_TABANI!D23*C403-MAX(0, VERI_TABANI!D23-VERI_TABANI!D23*B403))*VERI_TABANI!$B$8) + IF(ABS(IF(ISNUMBER(SEARCH("Var", D403)), 1, IF(ISNUMBER(SEARCH("Gri", D403)), -1, 0)))=1, VERI_TABANI!E23*(1-0.928)*VERI_TABANI!$B$9, 0) + (VERI_TABANI!D23*B403*(VERI_TABANI!$B$13-VERI_TABANI!$B$14)*VERI_TABANI!G23) + (VERI_TABANI!D23*C403*(VERI_TABANI!$B$13-VERI_TABANI!$B$15)*VERI_TABANI!G23) + IF(ABS(IF(ISNUMBER(SEARCH("Var", D403)), 1, IF(ISNUMBER(SEARCH("Gri", D403)), -1, 0)))=1, VERI_TABANI!E23*(1-0.928)*0.00206091519919798*VERI_TABANI!G23, 0)) + ((MIN(VERI_TABANI!D24, VERI_TABANI!D24*B403)*VERI_TABANI!$B$7 + MAX(0, VERI_TABANI!D24*B403-VERI_TABANI!D24)*VERI_TABANI!$B$8) + (MIN(MAX(0, VERI_TABANI!D24-VERI_TABANI!D24*B403), VERI_TABANI!D24*C403)*VERI_TABANI!$B$7 + MAX(0, VERI_TABANI!D24*C403-MAX(0, VERI_TABANI!D24-VERI_TABANI!D24*B403))*VERI_TABANI!$B$8) + IF(ABS(IF(ISNUMBER(SEARCH("Var", D403)), 1, IF(ISNUMBER(SEARCH("Gri", D403)), -1, 0)))=1, VERI_TABANI!E24*(1-0.928)*VERI_TABANI!$B$9, 0) + (VERI_TABANI!D24*B403*(VERI_TABANI!$B$13-VERI_TABANI!$B$14)*VERI_TABANI!G24) + (VERI_TABANI!D24*C403*(VERI_TABANI!$B$13-VERI_TABANI!$B$15)*VERI_TABANI!G24) + IF(ABS(IF(ISNUMBER(SEARCH("Var", D403)), 1, IF(ISNUMBER(SEARCH("Gri", D403)), -1, 0)))=1, VERI_TABANI!E24*(1-0.928)*0.00206091519919798*VERI_TABANI!G24, 0)) + ((MIN(VERI_TABANI!D25, VERI_TABANI!D25*B403)*VERI_TABANI!$B$7 + MAX(0, VERI_TABANI!D25*B403-VERI_TABANI!D25)*VERI_TABANI!$B$8) + (MIN(MAX(0, VERI_TABANI!D25-VERI_TABANI!D25*B403), VERI_TABANI!D25*C403)*VERI_TABANI!$B$7 + MAX(0, VERI_TABANI!D25*C403-MAX(0, VERI_TABANI!D25-VERI_TABANI!D25*B403))*VERI_TABANI!$B$8) + IF(ABS(IF(ISNUMBER(SEARCH("Var", D403)), 1, IF(ISNUMBER(SEARCH("Gri", D403)), -1, 0)))=1, VERI_TABANI!E25*(1-0.928)*VERI_TABANI!$B$9, 0) + (VERI_TABANI!D25*B403*(VERI_TABANI!$B$13-VERI_TABANI!$B$14)*VERI_TABANI!G25) + (VERI_TABANI!D25*C403*(VERI_TABANI!$B$13-VERI_TABANI!$B$15)*VERI_TABANI!G25) + IF(ABS(IF(ISNUMBER(SEARCH("Var", D403)), 1, IF(ISNUMBER(SEARCH("Gri", D403)), -1, 0)))=1, VERI_TABANI!E25*(1-0.928)*0.00206091519919798*VERI_TABANI!G25, 0)) + ((MIN(VERI_TABANI!D26, VERI_TABANI!D26*B403)*VERI_TABANI!$B$7 + MAX(0, VERI_TABANI!D26*B403-VERI_TABANI!D26)*VERI_TABANI!$B$8) + (MIN(MAX(0, VERI_TABANI!D26-VERI_TABANI!D26*B403), VERI_TABANI!D26*C403)*VERI_TABANI!$B$7 + MAX(0, VERI_TABANI!D26*C403-MAX(0, VERI_TABANI!D26-VERI_TABANI!D26*B403))*VERI_TABANI!$B$8) + IF(ABS(IF(ISNUMBER(SEARCH("Var", D403)), 1, IF(ISNUMBER(SEARCH("Gri", D403)), -1, 0)))=1, VERI_TABANI!E26*(1-0.928)*VERI_TABANI!$B$9, 0) + (VERI_TABANI!D26*B403*(VERI_TABANI!$B$13-VERI_TABANI!$B$14)*VERI_TABANI!G26) + (VERI_TABANI!D26*C403*(VERI_TABANI!$B$13-VERI_TABANI!$B$15)*VERI_TABANI!G26) + IF(ABS(IF(ISNUMBER(SEARCH("Var", D403)), 1, IF(ISNUMBER(SEARCH("Gri", D403)), -1, 0)))=1, VERI_TABANI!E26*(1-0.928)*0.00206091519919798*VERI_TABANI!G26, 0)) + ((MIN(VERI_TABANI!D27, VERI_TABANI!D27*B403)*VERI_TABANI!$B$7 + MAX(0, VERI_TABANI!D27*B403-VERI_TABANI!D27)*VERI_TABANI!$B$8) + (MIN(MAX(0, VERI_TABANI!D27-VERI_TABANI!D27*B403), VERI_TABANI!D27*C403)*VERI_TABANI!$B$7 + MAX(0, VERI_TABANI!D27*C403-MAX(0, VERI_TABANI!D27-VERI_TABANI!D27*B403))*VERI_TABANI!$B$8) + IF(ABS(IF(ISNUMBER(SEARCH("Var", D403)), 1, IF(ISNUMBER(SEARCH("Gri", D403)), -1, 0)))=1, VERI_TABANI!E27*(1-0.928)*VERI_TABANI!$B$9, 0) + (VERI_TABANI!D27*B403*(VERI_TABANI!$B$13-VERI_TABANI!$B$14)*VERI_TABANI!G27) + (VERI_TABANI!D27*C403*(VERI_TABANI!$B$13-VERI_TABANI!$B$15)*VERI_TABANI!G27) + IF(ABS(IF(ISNUMBER(SEARCH("Var", D403)), 1, IF(ISNUMBER(SEARCH("Gri", D403)), -1, 0)))=1, VERI_TABANI!E27*(1-0.928)*0.00206091519919798*VERI_TABANI!G27, 0)) + ((MIN(VERI_TABANI!D28, VERI_TABANI!D28*B403)*VERI_TABANI!$B$7 + MAX(0, VERI_TABANI!D28*B403-VERI_TABANI!D28)*VERI_TABANI!$B$8) + (MIN(MAX(0, VERI_TABANI!D28-VERI_TABANI!D28*B403), VERI_TABANI!D28*C403)*VERI_TABANI!$B$7 + MAX(0, VERI_TABANI!D28*C403-MAX(0, VERI_TABANI!D28-VERI_TABANI!D28*B403))*VERI_TABANI!$B$8) + IF(ABS(IF(ISNUMBER(SEARCH("Var", D403)), 1, IF(ISNUMBER(SEARCH("Gri", D403)), -1, 0)))=1, VERI_TABANI!E28*(1-0.928)*VERI_TABANI!$B$9, 0) + (VERI_TABANI!D28*B403*(VERI_TABANI!$B$13-VERI_TABANI!$B$14)*VERI_TABANI!G28) + (VERI_TABANI!D28*C403*(VERI_TABANI!$B$13-VERI_TABANI!$B$15)*VERI_TABANI!G28) + IF(ABS(IF(ISNUMBER(SEARCH("Var", D403)), 1, IF(ISNUMBER(SEARCH("Gri", D403)), -1, 0)))=1, VERI_TABANI!E28*(1-0.928)*0.00206091519919798*VERI_TABANI!G28, 0)))</f>
        <v/>
      </c>
      <c r="H403" s="169">
        <f>(((VERI_TABANI!D23*B403*(VERI_TABANI!$B$13-VERI_TABANI!$B$14)) + (VERI_TABANI!D23*C403*(VERI_TABANI!$B$13-VERI_TABANI!$B$15)) + IF(ISNUMBER(SEARCH("Var", D403)), VERI_TABANI!F23*(0.00202-VERI_TABANI!$B$16), IF(ISNUMBER(SEARCH("Gri", D403)), VERI_TABANI!F23*(0.00202-VERI_TABANI!$B$17), 0))) + ((VERI_TABANI!D24*B403*(VERI_TABANI!$B$13-VERI_TABANI!$B$14)) + (VERI_TABANI!D24*C403*(VERI_TABANI!$B$13-VERI_TABANI!$B$15)) + IF(ISNUMBER(SEARCH("Var", D403)), VERI_TABANI!F24*(0.00202-VERI_TABANI!$B$16), IF(ISNUMBER(SEARCH("Gri", D403)), VERI_TABANI!F24*(0.00202-VERI_TABANI!$B$17), 0))) + ((VERI_TABANI!D25*B403*(VERI_TABANI!$B$13-VERI_TABANI!$B$14)) + (VERI_TABANI!D25*C403*(VERI_TABANI!$B$13-VERI_TABANI!$B$15)) + IF(ISNUMBER(SEARCH("Var", D403)), VERI_TABANI!F25*(0.00202-VERI_TABANI!$B$16), IF(ISNUMBER(SEARCH("Gri", D403)), VERI_TABANI!F25*(0.00202-VERI_TABANI!$B$17), 0))) + ((VERI_TABANI!D26*B403*(VERI_TABANI!$B$13-VERI_TABANI!$B$14)) + (VERI_TABANI!D26*C403*(VERI_TABANI!$B$13-VERI_TABANI!$B$15)) + IF(ISNUMBER(SEARCH("Var", D403)), VERI_TABANI!F26*(0.00202-VERI_TABANI!$B$16), IF(ISNUMBER(SEARCH("Gri", D403)), VERI_TABANI!F26*(0.00202-VERI_TABANI!$B$17), 0))) + ((VERI_TABANI!D27*B403*(VERI_TABANI!$B$13-VERI_TABANI!$B$14)) + (VERI_TABANI!D27*C403*(VERI_TABANI!$B$13-VERI_TABANI!$B$15)) + IF(ISNUMBER(SEARCH("Var", D403)), VERI_TABANI!F27*(0.00202-VERI_TABANI!$B$16), IF(ISNUMBER(SEARCH("Gri", D403)), VERI_TABANI!F27*(0.00202-VERI_TABANI!$B$17), 0))) + ((VERI_TABANI!D28*B403*(VERI_TABANI!$B$13-VERI_TABANI!$B$14)) + (VERI_TABANI!D28*C403*(VERI_TABANI!$B$13-VERI_TABANI!$B$15)) + IF(ISNUMBER(SEARCH("Var", D403)), VERI_TABANI!F28*(0.00202-VERI_TABANI!$B$16), IF(ISNUMBER(SEARCH("Gri", D403)), VERI_TABANI!F28*(0.00202-VERI_TABANI!$B$17), 0))))</f>
        <v/>
      </c>
      <c r="I403" s="170">
        <f>IFERROR(((VERI_TABANI!$D$29*B403*VERI_TABANI!$B$14 + VERI_TABANI!$D$29*C403*VERI_TABANI!$B$15 + IF(ISNUMBER(SEARCH("Var", D403)), VERI_TABANI!$F$29*VERI_TABANI!$B$16, 0))) / (((VERI_TABANI!$D$29*B403 + VERI_TABANI!$D$29*C403)*VERI_TABANI!$B$13 + IF(ISNUMBER(SEARCH("Var", D403)), VERI_TABANI!$E$29*(1-0.928)*VERI_TABANI!$B$18, 0))), 0)</f>
        <v/>
      </c>
      <c r="J403" s="171">
        <f>IFERROR(F403/(G403/29), 0)</f>
        <v/>
      </c>
      <c r="K403" s="172">
        <f>IF(F403&gt;0, H403/F403, 0)</f>
        <v/>
      </c>
      <c r="L403" s="170">
        <f>IF(F403&gt;0, I403, 1000000000)</f>
        <v/>
      </c>
      <c r="M403" s="171">
        <f>ABS((B403+C403)-1)</f>
        <v/>
      </c>
      <c r="N403" s="170">
        <f>IF(F403&gt;0, (G403/29)/F403, 0)</f>
        <v/>
      </c>
      <c r="O403" s="168">
        <f>IF(AND((B403+C403)&gt;=1, ISNUMBER(SEARCH("Var", D403))), F403, 1000000000)</f>
        <v/>
      </c>
      <c r="P403" s="172">
        <f>IF(F403&gt;0, SQRT((F403/MAX(F$5:F$886))^2 + (1 - H403/MAX(H$5:H$886))^2 + (J403/MAX(J$5:J$886))^2), 1000000000)</f>
        <v/>
      </c>
      <c r="Q403" s="166">
        <f>IF(AND(ABS(B403-0.5)&lt;0.01, ABS(C403-0.5)&lt;0.01, ISNUMBER(SEARCH("Var", D403))), 1, 0)</f>
        <v/>
      </c>
      <c r="R403" s="171">
        <f>IF(F403&gt;0, J403, 1000000000)</f>
        <v/>
      </c>
      <c r="S403" s="101">
        <f>IF(AND(F403&lt;=DASHBOARD!$B$11, H403&gt;=DASHBOARD!$B$13), G403, -1000000000000)</f>
        <v/>
      </c>
      <c r="T403" s="101">
        <f>IF(AND(F403&lt;=DASHBOARD!$B$11, H403&gt;=DASHBOARD!$B$13), R403, 1000000000000)</f>
        <v/>
      </c>
      <c r="U403" s="101">
        <f>IF(AND(F403&lt;=DASHBOARD!$B$11, H403&gt;=DASHBOARD!$B$13), N403, -1000000000000)</f>
        <v/>
      </c>
      <c r="V403" s="101">
        <f>IF(AND(F403&lt;=DASHBOARD!$B$11, H403&gt;=DASHBOARD!$B$13), H403, -1000000000000)</f>
        <v/>
      </c>
      <c r="W403" s="101">
        <f>IF(AND(F403&lt;=DASHBOARD!$B$11, H403&gt;=DASHBOARD!$B$13), K403, -1000000000000)</f>
        <v/>
      </c>
      <c r="X403" s="101">
        <f>IF(AND(F403&lt;=DASHBOARD!$B$11, H403&gt;=DASHBOARD!$B$13), M403, 1000000000000)</f>
        <v/>
      </c>
      <c r="Y403" s="101">
        <f>IF(AND(F403&lt;=DASHBOARD!$B$10, H403&gt;=DASHBOARD!$B$11), L403, 1000000000000)</f>
        <v/>
      </c>
      <c r="Z403" s="101">
        <f>IF(AND(F403&lt;=DASHBOARD!$B$10, H403&gt;=DASHBOARD!$B$11), O403, 1000000000000)</f>
        <v/>
      </c>
      <c r="AA403" s="101">
        <f>IF(AND(F403&lt;=DASHBOARD!$B$10, H403&gt;=DASHBOARD!$B$11), P403, 1000000000000)</f>
        <v/>
      </c>
      <c r="AB403" s="101">
        <f>IF(AND(F403&lt;=DASHBOARD!$B$10, H403&gt;=DASHBOARD!$B$11), Q403, -1000000000000)</f>
        <v/>
      </c>
    </row>
    <row r="404" ht="15" customHeight="1" s="102">
      <c r="A404" s="166" t="n">
        <v>400</v>
      </c>
      <c r="B404" s="167" t="n">
        <v>0.9</v>
      </c>
      <c r="C404" s="167" t="n">
        <v>1</v>
      </c>
      <c r="D404" s="110" t="inlineStr">
        <is>
          <t>Var (%20)</t>
        </is>
      </c>
      <c r="E404" s="110">
        <f>IF((B404+C404)&lt;=1, "Tam Mahsuplaşma (≤%100)", "Kısmi Satış (&gt;%100)")</f>
        <v/>
      </c>
      <c r="F404" s="168">
        <f>((VERI_TABANI!$D$29*B404/VERI_TABANI!$B$29)/VERI_TABANI!$B$3)*VERI_TABANI!$B$5 + ((VERI_TABANI!$D$29*C404/VERI_TABANI!$B$29)/VERI_TABANI!$B$4)*VERI_TABANI!$B$6 + IF(ISNUMBER(SEARCH("Var", D404)), (VERI_TABANI!$F$29/VERI_TABANI!$B$29)*(VERI_TABANI!$B$10+VERI_TABANI!$B$12), 0)</f>
        <v/>
      </c>
      <c r="G404" s="168">
        <f>(((MIN(VERI_TABANI!D23, VERI_TABANI!D23*B404)*VERI_TABANI!$B$7 + MAX(0, VERI_TABANI!D23*B404-VERI_TABANI!D23)*VERI_TABANI!$B$8) + (MIN(MAX(0, VERI_TABANI!D23-VERI_TABANI!D23*B404), VERI_TABANI!D23*C404)*VERI_TABANI!$B$7 + MAX(0, VERI_TABANI!D23*C404-MAX(0, VERI_TABANI!D23-VERI_TABANI!D23*B404))*VERI_TABANI!$B$8) + IF(ABS(IF(ISNUMBER(SEARCH("Var", D404)), 1, IF(ISNUMBER(SEARCH("Gri", D404)), -1, 0)))=1, VERI_TABANI!E23*(1-0.928)*VERI_TABANI!$B$9, 0) + (VERI_TABANI!D23*B404*(VERI_TABANI!$B$13-VERI_TABANI!$B$14)*VERI_TABANI!G23) + (VERI_TABANI!D23*C404*(VERI_TABANI!$B$13-VERI_TABANI!$B$15)*VERI_TABANI!G23) + IF(ABS(IF(ISNUMBER(SEARCH("Var", D404)), 1, IF(ISNUMBER(SEARCH("Gri", D404)), -1, 0)))=1, VERI_TABANI!E23*(1-0.928)*0.00206091519919798*VERI_TABANI!G23, 0)) + ((MIN(VERI_TABANI!D24, VERI_TABANI!D24*B404)*VERI_TABANI!$B$7 + MAX(0, VERI_TABANI!D24*B404-VERI_TABANI!D24)*VERI_TABANI!$B$8) + (MIN(MAX(0, VERI_TABANI!D24-VERI_TABANI!D24*B404), VERI_TABANI!D24*C404)*VERI_TABANI!$B$7 + MAX(0, VERI_TABANI!D24*C404-MAX(0, VERI_TABANI!D24-VERI_TABANI!D24*B404))*VERI_TABANI!$B$8) + IF(ABS(IF(ISNUMBER(SEARCH("Var", D404)), 1, IF(ISNUMBER(SEARCH("Gri", D404)), -1, 0)))=1, VERI_TABANI!E24*(1-0.928)*VERI_TABANI!$B$9, 0) + (VERI_TABANI!D24*B404*(VERI_TABANI!$B$13-VERI_TABANI!$B$14)*VERI_TABANI!G24) + (VERI_TABANI!D24*C404*(VERI_TABANI!$B$13-VERI_TABANI!$B$15)*VERI_TABANI!G24) + IF(ABS(IF(ISNUMBER(SEARCH("Var", D404)), 1, IF(ISNUMBER(SEARCH("Gri", D404)), -1, 0)))=1, VERI_TABANI!E24*(1-0.928)*0.00206091519919798*VERI_TABANI!G24, 0)) + ((MIN(VERI_TABANI!D25, VERI_TABANI!D25*B404)*VERI_TABANI!$B$7 + MAX(0, VERI_TABANI!D25*B404-VERI_TABANI!D25)*VERI_TABANI!$B$8) + (MIN(MAX(0, VERI_TABANI!D25-VERI_TABANI!D25*B404), VERI_TABANI!D25*C404)*VERI_TABANI!$B$7 + MAX(0, VERI_TABANI!D25*C404-MAX(0, VERI_TABANI!D25-VERI_TABANI!D25*B404))*VERI_TABANI!$B$8) + IF(ABS(IF(ISNUMBER(SEARCH("Var", D404)), 1, IF(ISNUMBER(SEARCH("Gri", D404)), -1, 0)))=1, VERI_TABANI!E25*(1-0.928)*VERI_TABANI!$B$9, 0) + (VERI_TABANI!D25*B404*(VERI_TABANI!$B$13-VERI_TABANI!$B$14)*VERI_TABANI!G25) + (VERI_TABANI!D25*C404*(VERI_TABANI!$B$13-VERI_TABANI!$B$15)*VERI_TABANI!G25) + IF(ABS(IF(ISNUMBER(SEARCH("Var", D404)), 1, IF(ISNUMBER(SEARCH("Gri", D404)), -1, 0)))=1, VERI_TABANI!E25*(1-0.928)*0.00206091519919798*VERI_TABANI!G25, 0)) + ((MIN(VERI_TABANI!D26, VERI_TABANI!D26*B404)*VERI_TABANI!$B$7 + MAX(0, VERI_TABANI!D26*B404-VERI_TABANI!D26)*VERI_TABANI!$B$8) + (MIN(MAX(0, VERI_TABANI!D26-VERI_TABANI!D26*B404), VERI_TABANI!D26*C404)*VERI_TABANI!$B$7 + MAX(0, VERI_TABANI!D26*C404-MAX(0, VERI_TABANI!D26-VERI_TABANI!D26*B404))*VERI_TABANI!$B$8) + IF(ABS(IF(ISNUMBER(SEARCH("Var", D404)), 1, IF(ISNUMBER(SEARCH("Gri", D404)), -1, 0)))=1, VERI_TABANI!E26*(1-0.928)*VERI_TABANI!$B$9, 0) + (VERI_TABANI!D26*B404*(VERI_TABANI!$B$13-VERI_TABANI!$B$14)*VERI_TABANI!G26) + (VERI_TABANI!D26*C404*(VERI_TABANI!$B$13-VERI_TABANI!$B$15)*VERI_TABANI!G26) + IF(ABS(IF(ISNUMBER(SEARCH("Var", D404)), 1, IF(ISNUMBER(SEARCH("Gri", D404)), -1, 0)))=1, VERI_TABANI!E26*(1-0.928)*0.00206091519919798*VERI_TABANI!G26, 0)) + ((MIN(VERI_TABANI!D27, VERI_TABANI!D27*B404)*VERI_TABANI!$B$7 + MAX(0, VERI_TABANI!D27*B404-VERI_TABANI!D27)*VERI_TABANI!$B$8) + (MIN(MAX(0, VERI_TABANI!D27-VERI_TABANI!D27*B404), VERI_TABANI!D27*C404)*VERI_TABANI!$B$7 + MAX(0, VERI_TABANI!D27*C404-MAX(0, VERI_TABANI!D27-VERI_TABANI!D27*B404))*VERI_TABANI!$B$8) + IF(ABS(IF(ISNUMBER(SEARCH("Var", D404)), 1, IF(ISNUMBER(SEARCH("Gri", D404)), -1, 0)))=1, VERI_TABANI!E27*(1-0.928)*VERI_TABANI!$B$9, 0) + (VERI_TABANI!D27*B404*(VERI_TABANI!$B$13-VERI_TABANI!$B$14)*VERI_TABANI!G27) + (VERI_TABANI!D27*C404*(VERI_TABANI!$B$13-VERI_TABANI!$B$15)*VERI_TABANI!G27) + IF(ABS(IF(ISNUMBER(SEARCH("Var", D404)), 1, IF(ISNUMBER(SEARCH("Gri", D404)), -1, 0)))=1, VERI_TABANI!E27*(1-0.928)*0.00206091519919798*VERI_TABANI!G27, 0)) + ((MIN(VERI_TABANI!D28, VERI_TABANI!D28*B404)*VERI_TABANI!$B$7 + MAX(0, VERI_TABANI!D28*B404-VERI_TABANI!D28)*VERI_TABANI!$B$8) + (MIN(MAX(0, VERI_TABANI!D28-VERI_TABANI!D28*B404), VERI_TABANI!D28*C404)*VERI_TABANI!$B$7 + MAX(0, VERI_TABANI!D28*C404-MAX(0, VERI_TABANI!D28-VERI_TABANI!D28*B404))*VERI_TABANI!$B$8) + IF(ABS(IF(ISNUMBER(SEARCH("Var", D404)), 1, IF(ISNUMBER(SEARCH("Gri", D404)), -1, 0)))=1, VERI_TABANI!E28*(1-0.928)*VERI_TABANI!$B$9, 0) + (VERI_TABANI!D28*B404*(VERI_TABANI!$B$13-VERI_TABANI!$B$14)*VERI_TABANI!G28) + (VERI_TABANI!D28*C404*(VERI_TABANI!$B$13-VERI_TABANI!$B$15)*VERI_TABANI!G28) + IF(ABS(IF(ISNUMBER(SEARCH("Var", D404)), 1, IF(ISNUMBER(SEARCH("Gri", D404)), -1, 0)))=1, VERI_TABANI!E28*(1-0.928)*0.00206091519919798*VERI_TABANI!G28, 0)))</f>
        <v/>
      </c>
      <c r="H404" s="169">
        <f>(((VERI_TABANI!D23*B404*(VERI_TABANI!$B$13-VERI_TABANI!$B$14)) + (VERI_TABANI!D23*C404*(VERI_TABANI!$B$13-VERI_TABANI!$B$15)) + IF(ISNUMBER(SEARCH("Var", D404)), VERI_TABANI!F23*(0.00202-VERI_TABANI!$B$16), IF(ISNUMBER(SEARCH("Gri", D404)), VERI_TABANI!F23*(0.00202-VERI_TABANI!$B$17), 0))) + ((VERI_TABANI!D24*B404*(VERI_TABANI!$B$13-VERI_TABANI!$B$14)) + (VERI_TABANI!D24*C404*(VERI_TABANI!$B$13-VERI_TABANI!$B$15)) + IF(ISNUMBER(SEARCH("Var", D404)), VERI_TABANI!F24*(0.00202-VERI_TABANI!$B$16), IF(ISNUMBER(SEARCH("Gri", D404)), VERI_TABANI!F24*(0.00202-VERI_TABANI!$B$17), 0))) + ((VERI_TABANI!D25*B404*(VERI_TABANI!$B$13-VERI_TABANI!$B$14)) + (VERI_TABANI!D25*C404*(VERI_TABANI!$B$13-VERI_TABANI!$B$15)) + IF(ISNUMBER(SEARCH("Var", D404)), VERI_TABANI!F25*(0.00202-VERI_TABANI!$B$16), IF(ISNUMBER(SEARCH("Gri", D404)), VERI_TABANI!F25*(0.00202-VERI_TABANI!$B$17), 0))) + ((VERI_TABANI!D26*B404*(VERI_TABANI!$B$13-VERI_TABANI!$B$14)) + (VERI_TABANI!D26*C404*(VERI_TABANI!$B$13-VERI_TABANI!$B$15)) + IF(ISNUMBER(SEARCH("Var", D404)), VERI_TABANI!F26*(0.00202-VERI_TABANI!$B$16), IF(ISNUMBER(SEARCH("Gri", D404)), VERI_TABANI!F26*(0.00202-VERI_TABANI!$B$17), 0))) + ((VERI_TABANI!D27*B404*(VERI_TABANI!$B$13-VERI_TABANI!$B$14)) + (VERI_TABANI!D27*C404*(VERI_TABANI!$B$13-VERI_TABANI!$B$15)) + IF(ISNUMBER(SEARCH("Var", D404)), VERI_TABANI!F27*(0.00202-VERI_TABANI!$B$16), IF(ISNUMBER(SEARCH("Gri", D404)), VERI_TABANI!F27*(0.00202-VERI_TABANI!$B$17), 0))) + ((VERI_TABANI!D28*B404*(VERI_TABANI!$B$13-VERI_TABANI!$B$14)) + (VERI_TABANI!D28*C404*(VERI_TABANI!$B$13-VERI_TABANI!$B$15)) + IF(ISNUMBER(SEARCH("Var", D404)), VERI_TABANI!F28*(0.00202-VERI_TABANI!$B$16), IF(ISNUMBER(SEARCH("Gri", D404)), VERI_TABANI!F28*(0.00202-VERI_TABANI!$B$17), 0))))</f>
        <v/>
      </c>
      <c r="I404" s="170">
        <f>IFERROR(((VERI_TABANI!$D$29*B404*VERI_TABANI!$B$14 + VERI_TABANI!$D$29*C404*VERI_TABANI!$B$15 + IF(ISNUMBER(SEARCH("Var", D404)), VERI_TABANI!$F$29*VERI_TABANI!$B$16, 0))) / (((VERI_TABANI!$D$29*B404 + VERI_TABANI!$D$29*C404)*VERI_TABANI!$B$13 + IF(ISNUMBER(SEARCH("Var", D404)), VERI_TABANI!$E$29*(1-0.928)*VERI_TABANI!$B$18, 0))), 0)</f>
        <v/>
      </c>
      <c r="J404" s="171">
        <f>IFERROR(F404/(G404/29), 0)</f>
        <v/>
      </c>
      <c r="K404" s="172">
        <f>IF(F404&gt;0, H404/F404, 0)</f>
        <v/>
      </c>
      <c r="L404" s="170">
        <f>IF(F404&gt;0, I404, 1000000000)</f>
        <v/>
      </c>
      <c r="M404" s="171">
        <f>ABS((B404+C404)-1)</f>
        <v/>
      </c>
      <c r="N404" s="170">
        <f>IF(F404&gt;0, (G404/29)/F404, 0)</f>
        <v/>
      </c>
      <c r="O404" s="168">
        <f>IF(AND((B404+C404)&gt;=1, ISNUMBER(SEARCH("Var", D404))), F404, 1000000000)</f>
        <v/>
      </c>
      <c r="P404" s="172">
        <f>IF(F404&gt;0, SQRT((F404/MAX(F$5:F$886))^2 + (1 - H404/MAX(H$5:H$886))^2 + (J404/MAX(J$5:J$886))^2), 1000000000)</f>
        <v/>
      </c>
      <c r="Q404" s="166">
        <f>IF(AND(ABS(B404-0.5)&lt;0.01, ABS(C404-0.5)&lt;0.01, ISNUMBER(SEARCH("Var", D404))), 1, 0)</f>
        <v/>
      </c>
      <c r="R404" s="171">
        <f>IF(F404&gt;0, J404, 1000000000)</f>
        <v/>
      </c>
      <c r="S404" s="101">
        <f>IF(AND(F404&lt;=DASHBOARD!$B$11, H404&gt;=DASHBOARD!$B$13), G404, -1000000000000)</f>
        <v/>
      </c>
      <c r="T404" s="101">
        <f>IF(AND(F404&lt;=DASHBOARD!$B$11, H404&gt;=DASHBOARD!$B$13), R404, 1000000000000)</f>
        <v/>
      </c>
      <c r="U404" s="101">
        <f>IF(AND(F404&lt;=DASHBOARD!$B$11, H404&gt;=DASHBOARD!$B$13), N404, -1000000000000)</f>
        <v/>
      </c>
      <c r="V404" s="101">
        <f>IF(AND(F404&lt;=DASHBOARD!$B$11, H404&gt;=DASHBOARD!$B$13), H404, -1000000000000)</f>
        <v/>
      </c>
      <c r="W404" s="101">
        <f>IF(AND(F404&lt;=DASHBOARD!$B$11, H404&gt;=DASHBOARD!$B$13), K404, -1000000000000)</f>
        <v/>
      </c>
      <c r="X404" s="101">
        <f>IF(AND(F404&lt;=DASHBOARD!$B$11, H404&gt;=DASHBOARD!$B$13), M404, 1000000000000)</f>
        <v/>
      </c>
      <c r="Y404" s="101">
        <f>IF(AND(F404&lt;=DASHBOARD!$B$10, H404&gt;=DASHBOARD!$B$11), L404, 1000000000000)</f>
        <v/>
      </c>
      <c r="Z404" s="101">
        <f>IF(AND(F404&lt;=DASHBOARD!$B$10, H404&gt;=DASHBOARD!$B$11), O404, 1000000000000)</f>
        <v/>
      </c>
      <c r="AA404" s="101">
        <f>IF(AND(F404&lt;=DASHBOARD!$B$10, H404&gt;=DASHBOARD!$B$11), P404, 1000000000000)</f>
        <v/>
      </c>
      <c r="AB404" s="101">
        <f>IF(AND(F404&lt;=DASHBOARD!$B$10, H404&gt;=DASHBOARD!$B$11), Q404, -1000000000000)</f>
        <v/>
      </c>
    </row>
    <row r="405" ht="15" customHeight="1" s="102">
      <c r="A405" s="166" t="n">
        <v>401</v>
      </c>
      <c r="B405" s="167" t="n">
        <v>0.9</v>
      </c>
      <c r="C405" s="167" t="n">
        <v>1.1</v>
      </c>
      <c r="D405" s="110" t="inlineStr">
        <is>
          <t>Yok (%0)</t>
        </is>
      </c>
      <c r="E405" s="110">
        <f>IF((B405+C405)&lt;=1, "Tam Mahsuplaşma (≤%100)", "Kısmi Satış (&gt;%100)")</f>
        <v/>
      </c>
      <c r="F405" s="168">
        <f>((VERI_TABANI!$D$29*B405/VERI_TABANI!$B$29)/VERI_TABANI!$B$3)*VERI_TABANI!$B$5 + ((VERI_TABANI!$D$29*C405/VERI_TABANI!$B$29)/VERI_TABANI!$B$4)*VERI_TABANI!$B$6 + IF(ISNUMBER(SEARCH("Var", D405)), (VERI_TABANI!$F$29/VERI_TABANI!$B$29)*(VERI_TABANI!$B$10+VERI_TABANI!$B$12), 0)</f>
        <v/>
      </c>
      <c r="G405" s="168">
        <f>(((MIN(VERI_TABANI!D23, VERI_TABANI!D23*B405)*VERI_TABANI!$B$7 + MAX(0, VERI_TABANI!D23*B405-VERI_TABANI!D23)*VERI_TABANI!$B$8) + (MIN(MAX(0, VERI_TABANI!D23-VERI_TABANI!D23*B405), VERI_TABANI!D23*C405)*VERI_TABANI!$B$7 + MAX(0, VERI_TABANI!D23*C405-MAX(0, VERI_TABANI!D23-VERI_TABANI!D23*B405))*VERI_TABANI!$B$8) + IF(ABS(IF(ISNUMBER(SEARCH("Var", D405)), 1, IF(ISNUMBER(SEARCH("Gri", D405)), -1, 0)))=1, VERI_TABANI!E23*(1-0.928)*VERI_TABANI!$B$9, 0) + (VERI_TABANI!D23*B405*(VERI_TABANI!$B$13-VERI_TABANI!$B$14)*VERI_TABANI!G23) + (VERI_TABANI!D23*C405*(VERI_TABANI!$B$13-VERI_TABANI!$B$15)*VERI_TABANI!G23) + IF(ABS(IF(ISNUMBER(SEARCH("Var", D405)), 1, IF(ISNUMBER(SEARCH("Gri", D405)), -1, 0)))=1, VERI_TABANI!E23*(1-0.928)*0.00206091519919798*VERI_TABANI!G23, 0)) + ((MIN(VERI_TABANI!D24, VERI_TABANI!D24*B405)*VERI_TABANI!$B$7 + MAX(0, VERI_TABANI!D24*B405-VERI_TABANI!D24)*VERI_TABANI!$B$8) + (MIN(MAX(0, VERI_TABANI!D24-VERI_TABANI!D24*B405), VERI_TABANI!D24*C405)*VERI_TABANI!$B$7 + MAX(0, VERI_TABANI!D24*C405-MAX(0, VERI_TABANI!D24-VERI_TABANI!D24*B405))*VERI_TABANI!$B$8) + IF(ABS(IF(ISNUMBER(SEARCH("Var", D405)), 1, IF(ISNUMBER(SEARCH("Gri", D405)), -1, 0)))=1, VERI_TABANI!E24*(1-0.928)*VERI_TABANI!$B$9, 0) + (VERI_TABANI!D24*B405*(VERI_TABANI!$B$13-VERI_TABANI!$B$14)*VERI_TABANI!G24) + (VERI_TABANI!D24*C405*(VERI_TABANI!$B$13-VERI_TABANI!$B$15)*VERI_TABANI!G24) + IF(ABS(IF(ISNUMBER(SEARCH("Var", D405)), 1, IF(ISNUMBER(SEARCH("Gri", D405)), -1, 0)))=1, VERI_TABANI!E24*(1-0.928)*0.00206091519919798*VERI_TABANI!G24, 0)) + ((MIN(VERI_TABANI!D25, VERI_TABANI!D25*B405)*VERI_TABANI!$B$7 + MAX(0, VERI_TABANI!D25*B405-VERI_TABANI!D25)*VERI_TABANI!$B$8) + (MIN(MAX(0, VERI_TABANI!D25-VERI_TABANI!D25*B405), VERI_TABANI!D25*C405)*VERI_TABANI!$B$7 + MAX(0, VERI_TABANI!D25*C405-MAX(0, VERI_TABANI!D25-VERI_TABANI!D25*B405))*VERI_TABANI!$B$8) + IF(ABS(IF(ISNUMBER(SEARCH("Var", D405)), 1, IF(ISNUMBER(SEARCH("Gri", D405)), -1, 0)))=1, VERI_TABANI!E25*(1-0.928)*VERI_TABANI!$B$9, 0) + (VERI_TABANI!D25*B405*(VERI_TABANI!$B$13-VERI_TABANI!$B$14)*VERI_TABANI!G25) + (VERI_TABANI!D25*C405*(VERI_TABANI!$B$13-VERI_TABANI!$B$15)*VERI_TABANI!G25) + IF(ABS(IF(ISNUMBER(SEARCH("Var", D405)), 1, IF(ISNUMBER(SEARCH("Gri", D405)), -1, 0)))=1, VERI_TABANI!E25*(1-0.928)*0.00206091519919798*VERI_TABANI!G25, 0)) + ((MIN(VERI_TABANI!D26, VERI_TABANI!D26*B405)*VERI_TABANI!$B$7 + MAX(0, VERI_TABANI!D26*B405-VERI_TABANI!D26)*VERI_TABANI!$B$8) + (MIN(MAX(0, VERI_TABANI!D26-VERI_TABANI!D26*B405), VERI_TABANI!D26*C405)*VERI_TABANI!$B$7 + MAX(0, VERI_TABANI!D26*C405-MAX(0, VERI_TABANI!D26-VERI_TABANI!D26*B405))*VERI_TABANI!$B$8) + IF(ABS(IF(ISNUMBER(SEARCH("Var", D405)), 1, IF(ISNUMBER(SEARCH("Gri", D405)), -1, 0)))=1, VERI_TABANI!E26*(1-0.928)*VERI_TABANI!$B$9, 0) + (VERI_TABANI!D26*B405*(VERI_TABANI!$B$13-VERI_TABANI!$B$14)*VERI_TABANI!G26) + (VERI_TABANI!D26*C405*(VERI_TABANI!$B$13-VERI_TABANI!$B$15)*VERI_TABANI!G26) + IF(ABS(IF(ISNUMBER(SEARCH("Var", D405)), 1, IF(ISNUMBER(SEARCH("Gri", D405)), -1, 0)))=1, VERI_TABANI!E26*(1-0.928)*0.00206091519919798*VERI_TABANI!G26, 0)) + ((MIN(VERI_TABANI!D27, VERI_TABANI!D27*B405)*VERI_TABANI!$B$7 + MAX(0, VERI_TABANI!D27*B405-VERI_TABANI!D27)*VERI_TABANI!$B$8) + (MIN(MAX(0, VERI_TABANI!D27-VERI_TABANI!D27*B405), VERI_TABANI!D27*C405)*VERI_TABANI!$B$7 + MAX(0, VERI_TABANI!D27*C405-MAX(0, VERI_TABANI!D27-VERI_TABANI!D27*B405))*VERI_TABANI!$B$8) + IF(ABS(IF(ISNUMBER(SEARCH("Var", D405)), 1, IF(ISNUMBER(SEARCH("Gri", D405)), -1, 0)))=1, VERI_TABANI!E27*(1-0.928)*VERI_TABANI!$B$9, 0) + (VERI_TABANI!D27*B405*(VERI_TABANI!$B$13-VERI_TABANI!$B$14)*VERI_TABANI!G27) + (VERI_TABANI!D27*C405*(VERI_TABANI!$B$13-VERI_TABANI!$B$15)*VERI_TABANI!G27) + IF(ABS(IF(ISNUMBER(SEARCH("Var", D405)), 1, IF(ISNUMBER(SEARCH("Gri", D405)), -1, 0)))=1, VERI_TABANI!E27*(1-0.928)*0.00206091519919798*VERI_TABANI!G27, 0)) + ((MIN(VERI_TABANI!D28, VERI_TABANI!D28*B405)*VERI_TABANI!$B$7 + MAX(0, VERI_TABANI!D28*B405-VERI_TABANI!D28)*VERI_TABANI!$B$8) + (MIN(MAX(0, VERI_TABANI!D28-VERI_TABANI!D28*B405), VERI_TABANI!D28*C405)*VERI_TABANI!$B$7 + MAX(0, VERI_TABANI!D28*C405-MAX(0, VERI_TABANI!D28-VERI_TABANI!D28*B405))*VERI_TABANI!$B$8) + IF(ABS(IF(ISNUMBER(SEARCH("Var", D405)), 1, IF(ISNUMBER(SEARCH("Gri", D405)), -1, 0)))=1, VERI_TABANI!E28*(1-0.928)*VERI_TABANI!$B$9, 0) + (VERI_TABANI!D28*B405*(VERI_TABANI!$B$13-VERI_TABANI!$B$14)*VERI_TABANI!G28) + (VERI_TABANI!D28*C405*(VERI_TABANI!$B$13-VERI_TABANI!$B$15)*VERI_TABANI!G28) + IF(ABS(IF(ISNUMBER(SEARCH("Var", D405)), 1, IF(ISNUMBER(SEARCH("Gri", D405)), -1, 0)))=1, VERI_TABANI!E28*(1-0.928)*0.00206091519919798*VERI_TABANI!G28, 0)))</f>
        <v/>
      </c>
      <c r="H405" s="169">
        <f>(((VERI_TABANI!D23*B405*(VERI_TABANI!$B$13-VERI_TABANI!$B$14)) + (VERI_TABANI!D23*C405*(VERI_TABANI!$B$13-VERI_TABANI!$B$15)) + IF(ISNUMBER(SEARCH("Var", D405)), VERI_TABANI!F23*(0.00202-VERI_TABANI!$B$16), IF(ISNUMBER(SEARCH("Gri", D405)), VERI_TABANI!F23*(0.00202-VERI_TABANI!$B$17), 0))) + ((VERI_TABANI!D24*B405*(VERI_TABANI!$B$13-VERI_TABANI!$B$14)) + (VERI_TABANI!D24*C405*(VERI_TABANI!$B$13-VERI_TABANI!$B$15)) + IF(ISNUMBER(SEARCH("Var", D405)), VERI_TABANI!F24*(0.00202-VERI_TABANI!$B$16), IF(ISNUMBER(SEARCH("Gri", D405)), VERI_TABANI!F24*(0.00202-VERI_TABANI!$B$17), 0))) + ((VERI_TABANI!D25*B405*(VERI_TABANI!$B$13-VERI_TABANI!$B$14)) + (VERI_TABANI!D25*C405*(VERI_TABANI!$B$13-VERI_TABANI!$B$15)) + IF(ISNUMBER(SEARCH("Var", D405)), VERI_TABANI!F25*(0.00202-VERI_TABANI!$B$16), IF(ISNUMBER(SEARCH("Gri", D405)), VERI_TABANI!F25*(0.00202-VERI_TABANI!$B$17), 0))) + ((VERI_TABANI!D26*B405*(VERI_TABANI!$B$13-VERI_TABANI!$B$14)) + (VERI_TABANI!D26*C405*(VERI_TABANI!$B$13-VERI_TABANI!$B$15)) + IF(ISNUMBER(SEARCH("Var", D405)), VERI_TABANI!F26*(0.00202-VERI_TABANI!$B$16), IF(ISNUMBER(SEARCH("Gri", D405)), VERI_TABANI!F26*(0.00202-VERI_TABANI!$B$17), 0))) + ((VERI_TABANI!D27*B405*(VERI_TABANI!$B$13-VERI_TABANI!$B$14)) + (VERI_TABANI!D27*C405*(VERI_TABANI!$B$13-VERI_TABANI!$B$15)) + IF(ISNUMBER(SEARCH("Var", D405)), VERI_TABANI!F27*(0.00202-VERI_TABANI!$B$16), IF(ISNUMBER(SEARCH("Gri", D405)), VERI_TABANI!F27*(0.00202-VERI_TABANI!$B$17), 0))) + ((VERI_TABANI!D28*B405*(VERI_TABANI!$B$13-VERI_TABANI!$B$14)) + (VERI_TABANI!D28*C405*(VERI_TABANI!$B$13-VERI_TABANI!$B$15)) + IF(ISNUMBER(SEARCH("Var", D405)), VERI_TABANI!F28*(0.00202-VERI_TABANI!$B$16), IF(ISNUMBER(SEARCH("Gri", D405)), VERI_TABANI!F28*(0.00202-VERI_TABANI!$B$17), 0))))</f>
        <v/>
      </c>
      <c r="I405" s="170">
        <f>IFERROR(((VERI_TABANI!$D$29*B405*VERI_TABANI!$B$14 + VERI_TABANI!$D$29*C405*VERI_TABANI!$B$15 + IF(ISNUMBER(SEARCH("Var", D405)), VERI_TABANI!$F$29*VERI_TABANI!$B$16, 0))) / (((VERI_TABANI!$D$29*B405 + VERI_TABANI!$D$29*C405)*VERI_TABANI!$B$13 + IF(ISNUMBER(SEARCH("Var", D405)), VERI_TABANI!$E$29*(1-0.928)*VERI_TABANI!$B$18, 0))), 0)</f>
        <v/>
      </c>
      <c r="J405" s="171">
        <f>IFERROR(F405/(G405/29), 0)</f>
        <v/>
      </c>
      <c r="K405" s="172">
        <f>IF(F405&gt;0, H405/F405, 0)</f>
        <v/>
      </c>
      <c r="L405" s="170">
        <f>IF(F405&gt;0, I405, 1000000000)</f>
        <v/>
      </c>
      <c r="M405" s="171">
        <f>ABS((B405+C405)-1)</f>
        <v/>
      </c>
      <c r="N405" s="170">
        <f>IF(F405&gt;0, (G405/29)/F405, 0)</f>
        <v/>
      </c>
      <c r="O405" s="168">
        <f>IF(AND((B405+C405)&gt;=1, ISNUMBER(SEARCH("Var", D405))), F405, 1000000000)</f>
        <v/>
      </c>
      <c r="P405" s="172">
        <f>IF(F405&gt;0, SQRT((F405/MAX(F$5:F$886))^2 + (1 - H405/MAX(H$5:H$886))^2 + (J405/MAX(J$5:J$886))^2), 1000000000)</f>
        <v/>
      </c>
      <c r="Q405" s="166">
        <f>IF(AND(ABS(B405-0.5)&lt;0.01, ABS(C405-0.5)&lt;0.01, ISNUMBER(SEARCH("Var", D405))), 1, 0)</f>
        <v/>
      </c>
      <c r="R405" s="171">
        <f>IF(F405&gt;0, J405, 1000000000)</f>
        <v/>
      </c>
      <c r="S405" s="101">
        <f>IF(AND(F405&lt;=DASHBOARD!$B$11, H405&gt;=DASHBOARD!$B$13), G405, -1000000000000)</f>
        <v/>
      </c>
      <c r="T405" s="101">
        <f>IF(AND(F405&lt;=DASHBOARD!$B$11, H405&gt;=DASHBOARD!$B$13), R405, 1000000000000)</f>
        <v/>
      </c>
      <c r="U405" s="101">
        <f>IF(AND(F405&lt;=DASHBOARD!$B$11, H405&gt;=DASHBOARD!$B$13), N405, -1000000000000)</f>
        <v/>
      </c>
      <c r="V405" s="101">
        <f>IF(AND(F405&lt;=DASHBOARD!$B$11, H405&gt;=DASHBOARD!$B$13), H405, -1000000000000)</f>
        <v/>
      </c>
      <c r="W405" s="101">
        <f>IF(AND(F405&lt;=DASHBOARD!$B$11, H405&gt;=DASHBOARD!$B$13), K405, -1000000000000)</f>
        <v/>
      </c>
      <c r="X405" s="101">
        <f>IF(AND(F405&lt;=DASHBOARD!$B$11, H405&gt;=DASHBOARD!$B$13), M405, 1000000000000)</f>
        <v/>
      </c>
      <c r="Y405" s="101">
        <f>IF(AND(F405&lt;=DASHBOARD!$B$10, H405&gt;=DASHBOARD!$B$11), L405, 1000000000000)</f>
        <v/>
      </c>
      <c r="Z405" s="101">
        <f>IF(AND(F405&lt;=DASHBOARD!$B$10, H405&gt;=DASHBOARD!$B$11), O405, 1000000000000)</f>
        <v/>
      </c>
      <c r="AA405" s="101">
        <f>IF(AND(F405&lt;=DASHBOARD!$B$10, H405&gt;=DASHBOARD!$B$11), P405, 1000000000000)</f>
        <v/>
      </c>
      <c r="AB405" s="101">
        <f>IF(AND(F405&lt;=DASHBOARD!$B$10, H405&gt;=DASHBOARD!$B$11), Q405, -1000000000000)</f>
        <v/>
      </c>
    </row>
    <row r="406" ht="15" customHeight="1" s="102">
      <c r="A406" s="166" t="n">
        <v>402</v>
      </c>
      <c r="B406" s="167" t="n">
        <v>0.9</v>
      </c>
      <c r="C406" s="167" t="n">
        <v>1.1</v>
      </c>
      <c r="D406" s="110" t="inlineStr">
        <is>
          <t>Var (%20)</t>
        </is>
      </c>
      <c r="E406" s="110">
        <f>IF((B406+C406)&lt;=1, "Tam Mahsuplaşma (≤%100)", "Kısmi Satış (&gt;%100)")</f>
        <v/>
      </c>
      <c r="F406" s="168">
        <f>((VERI_TABANI!$D$29*B406/VERI_TABANI!$B$29)/VERI_TABANI!$B$3)*VERI_TABANI!$B$5 + ((VERI_TABANI!$D$29*C406/VERI_TABANI!$B$29)/VERI_TABANI!$B$4)*VERI_TABANI!$B$6 + IF(ISNUMBER(SEARCH("Var", D406)), (VERI_TABANI!$F$29/VERI_TABANI!$B$29)*(VERI_TABANI!$B$10+VERI_TABANI!$B$12), 0)</f>
        <v/>
      </c>
      <c r="G406" s="168">
        <f>(((MIN(VERI_TABANI!D23, VERI_TABANI!D23*B406)*VERI_TABANI!$B$7 + MAX(0, VERI_TABANI!D23*B406-VERI_TABANI!D23)*VERI_TABANI!$B$8) + (MIN(MAX(0, VERI_TABANI!D23-VERI_TABANI!D23*B406), VERI_TABANI!D23*C406)*VERI_TABANI!$B$7 + MAX(0, VERI_TABANI!D23*C406-MAX(0, VERI_TABANI!D23-VERI_TABANI!D23*B406))*VERI_TABANI!$B$8) + IF(ABS(IF(ISNUMBER(SEARCH("Var", D406)), 1, IF(ISNUMBER(SEARCH("Gri", D406)), -1, 0)))=1, VERI_TABANI!E23*(1-0.928)*VERI_TABANI!$B$9, 0) + (VERI_TABANI!D23*B406*(VERI_TABANI!$B$13-VERI_TABANI!$B$14)*VERI_TABANI!G23) + (VERI_TABANI!D23*C406*(VERI_TABANI!$B$13-VERI_TABANI!$B$15)*VERI_TABANI!G23) + IF(ABS(IF(ISNUMBER(SEARCH("Var", D406)), 1, IF(ISNUMBER(SEARCH("Gri", D406)), -1, 0)))=1, VERI_TABANI!E23*(1-0.928)*0.00206091519919798*VERI_TABANI!G23, 0)) + ((MIN(VERI_TABANI!D24, VERI_TABANI!D24*B406)*VERI_TABANI!$B$7 + MAX(0, VERI_TABANI!D24*B406-VERI_TABANI!D24)*VERI_TABANI!$B$8) + (MIN(MAX(0, VERI_TABANI!D24-VERI_TABANI!D24*B406), VERI_TABANI!D24*C406)*VERI_TABANI!$B$7 + MAX(0, VERI_TABANI!D24*C406-MAX(0, VERI_TABANI!D24-VERI_TABANI!D24*B406))*VERI_TABANI!$B$8) + IF(ABS(IF(ISNUMBER(SEARCH("Var", D406)), 1, IF(ISNUMBER(SEARCH("Gri", D406)), -1, 0)))=1, VERI_TABANI!E24*(1-0.928)*VERI_TABANI!$B$9, 0) + (VERI_TABANI!D24*B406*(VERI_TABANI!$B$13-VERI_TABANI!$B$14)*VERI_TABANI!G24) + (VERI_TABANI!D24*C406*(VERI_TABANI!$B$13-VERI_TABANI!$B$15)*VERI_TABANI!G24) + IF(ABS(IF(ISNUMBER(SEARCH("Var", D406)), 1, IF(ISNUMBER(SEARCH("Gri", D406)), -1, 0)))=1, VERI_TABANI!E24*(1-0.928)*0.00206091519919798*VERI_TABANI!G24, 0)) + ((MIN(VERI_TABANI!D25, VERI_TABANI!D25*B406)*VERI_TABANI!$B$7 + MAX(0, VERI_TABANI!D25*B406-VERI_TABANI!D25)*VERI_TABANI!$B$8) + (MIN(MAX(0, VERI_TABANI!D25-VERI_TABANI!D25*B406), VERI_TABANI!D25*C406)*VERI_TABANI!$B$7 + MAX(0, VERI_TABANI!D25*C406-MAX(0, VERI_TABANI!D25-VERI_TABANI!D25*B406))*VERI_TABANI!$B$8) + IF(ABS(IF(ISNUMBER(SEARCH("Var", D406)), 1, IF(ISNUMBER(SEARCH("Gri", D406)), -1, 0)))=1, VERI_TABANI!E25*(1-0.928)*VERI_TABANI!$B$9, 0) + (VERI_TABANI!D25*B406*(VERI_TABANI!$B$13-VERI_TABANI!$B$14)*VERI_TABANI!G25) + (VERI_TABANI!D25*C406*(VERI_TABANI!$B$13-VERI_TABANI!$B$15)*VERI_TABANI!G25) + IF(ABS(IF(ISNUMBER(SEARCH("Var", D406)), 1, IF(ISNUMBER(SEARCH("Gri", D406)), -1, 0)))=1, VERI_TABANI!E25*(1-0.928)*0.00206091519919798*VERI_TABANI!G25, 0)) + ((MIN(VERI_TABANI!D26, VERI_TABANI!D26*B406)*VERI_TABANI!$B$7 + MAX(0, VERI_TABANI!D26*B406-VERI_TABANI!D26)*VERI_TABANI!$B$8) + (MIN(MAX(0, VERI_TABANI!D26-VERI_TABANI!D26*B406), VERI_TABANI!D26*C406)*VERI_TABANI!$B$7 + MAX(0, VERI_TABANI!D26*C406-MAX(0, VERI_TABANI!D26-VERI_TABANI!D26*B406))*VERI_TABANI!$B$8) + IF(ABS(IF(ISNUMBER(SEARCH("Var", D406)), 1, IF(ISNUMBER(SEARCH("Gri", D406)), -1, 0)))=1, VERI_TABANI!E26*(1-0.928)*VERI_TABANI!$B$9, 0) + (VERI_TABANI!D26*B406*(VERI_TABANI!$B$13-VERI_TABANI!$B$14)*VERI_TABANI!G26) + (VERI_TABANI!D26*C406*(VERI_TABANI!$B$13-VERI_TABANI!$B$15)*VERI_TABANI!G26) + IF(ABS(IF(ISNUMBER(SEARCH("Var", D406)), 1, IF(ISNUMBER(SEARCH("Gri", D406)), -1, 0)))=1, VERI_TABANI!E26*(1-0.928)*0.00206091519919798*VERI_TABANI!G26, 0)) + ((MIN(VERI_TABANI!D27, VERI_TABANI!D27*B406)*VERI_TABANI!$B$7 + MAX(0, VERI_TABANI!D27*B406-VERI_TABANI!D27)*VERI_TABANI!$B$8) + (MIN(MAX(0, VERI_TABANI!D27-VERI_TABANI!D27*B406), VERI_TABANI!D27*C406)*VERI_TABANI!$B$7 + MAX(0, VERI_TABANI!D27*C406-MAX(0, VERI_TABANI!D27-VERI_TABANI!D27*B406))*VERI_TABANI!$B$8) + IF(ABS(IF(ISNUMBER(SEARCH("Var", D406)), 1, IF(ISNUMBER(SEARCH("Gri", D406)), -1, 0)))=1, VERI_TABANI!E27*(1-0.928)*VERI_TABANI!$B$9, 0) + (VERI_TABANI!D27*B406*(VERI_TABANI!$B$13-VERI_TABANI!$B$14)*VERI_TABANI!G27) + (VERI_TABANI!D27*C406*(VERI_TABANI!$B$13-VERI_TABANI!$B$15)*VERI_TABANI!G27) + IF(ABS(IF(ISNUMBER(SEARCH("Var", D406)), 1, IF(ISNUMBER(SEARCH("Gri", D406)), -1, 0)))=1, VERI_TABANI!E27*(1-0.928)*0.00206091519919798*VERI_TABANI!G27, 0)) + ((MIN(VERI_TABANI!D28, VERI_TABANI!D28*B406)*VERI_TABANI!$B$7 + MAX(0, VERI_TABANI!D28*B406-VERI_TABANI!D28)*VERI_TABANI!$B$8) + (MIN(MAX(0, VERI_TABANI!D28-VERI_TABANI!D28*B406), VERI_TABANI!D28*C406)*VERI_TABANI!$B$7 + MAX(0, VERI_TABANI!D28*C406-MAX(0, VERI_TABANI!D28-VERI_TABANI!D28*B406))*VERI_TABANI!$B$8) + IF(ABS(IF(ISNUMBER(SEARCH("Var", D406)), 1, IF(ISNUMBER(SEARCH("Gri", D406)), -1, 0)))=1, VERI_TABANI!E28*(1-0.928)*VERI_TABANI!$B$9, 0) + (VERI_TABANI!D28*B406*(VERI_TABANI!$B$13-VERI_TABANI!$B$14)*VERI_TABANI!G28) + (VERI_TABANI!D28*C406*(VERI_TABANI!$B$13-VERI_TABANI!$B$15)*VERI_TABANI!G28) + IF(ABS(IF(ISNUMBER(SEARCH("Var", D406)), 1, IF(ISNUMBER(SEARCH("Gri", D406)), -1, 0)))=1, VERI_TABANI!E28*(1-0.928)*0.00206091519919798*VERI_TABANI!G28, 0)))</f>
        <v/>
      </c>
      <c r="H406" s="169">
        <f>(((VERI_TABANI!D23*B406*(VERI_TABANI!$B$13-VERI_TABANI!$B$14)) + (VERI_TABANI!D23*C406*(VERI_TABANI!$B$13-VERI_TABANI!$B$15)) + IF(ISNUMBER(SEARCH("Var", D406)), VERI_TABANI!F23*(0.00202-VERI_TABANI!$B$16), IF(ISNUMBER(SEARCH("Gri", D406)), VERI_TABANI!F23*(0.00202-VERI_TABANI!$B$17), 0))) + ((VERI_TABANI!D24*B406*(VERI_TABANI!$B$13-VERI_TABANI!$B$14)) + (VERI_TABANI!D24*C406*(VERI_TABANI!$B$13-VERI_TABANI!$B$15)) + IF(ISNUMBER(SEARCH("Var", D406)), VERI_TABANI!F24*(0.00202-VERI_TABANI!$B$16), IF(ISNUMBER(SEARCH("Gri", D406)), VERI_TABANI!F24*(0.00202-VERI_TABANI!$B$17), 0))) + ((VERI_TABANI!D25*B406*(VERI_TABANI!$B$13-VERI_TABANI!$B$14)) + (VERI_TABANI!D25*C406*(VERI_TABANI!$B$13-VERI_TABANI!$B$15)) + IF(ISNUMBER(SEARCH("Var", D406)), VERI_TABANI!F25*(0.00202-VERI_TABANI!$B$16), IF(ISNUMBER(SEARCH("Gri", D406)), VERI_TABANI!F25*(0.00202-VERI_TABANI!$B$17), 0))) + ((VERI_TABANI!D26*B406*(VERI_TABANI!$B$13-VERI_TABANI!$B$14)) + (VERI_TABANI!D26*C406*(VERI_TABANI!$B$13-VERI_TABANI!$B$15)) + IF(ISNUMBER(SEARCH("Var", D406)), VERI_TABANI!F26*(0.00202-VERI_TABANI!$B$16), IF(ISNUMBER(SEARCH("Gri", D406)), VERI_TABANI!F26*(0.00202-VERI_TABANI!$B$17), 0))) + ((VERI_TABANI!D27*B406*(VERI_TABANI!$B$13-VERI_TABANI!$B$14)) + (VERI_TABANI!D27*C406*(VERI_TABANI!$B$13-VERI_TABANI!$B$15)) + IF(ISNUMBER(SEARCH("Var", D406)), VERI_TABANI!F27*(0.00202-VERI_TABANI!$B$16), IF(ISNUMBER(SEARCH("Gri", D406)), VERI_TABANI!F27*(0.00202-VERI_TABANI!$B$17), 0))) + ((VERI_TABANI!D28*B406*(VERI_TABANI!$B$13-VERI_TABANI!$B$14)) + (VERI_TABANI!D28*C406*(VERI_TABANI!$B$13-VERI_TABANI!$B$15)) + IF(ISNUMBER(SEARCH("Var", D406)), VERI_TABANI!F28*(0.00202-VERI_TABANI!$B$16), IF(ISNUMBER(SEARCH("Gri", D406)), VERI_TABANI!F28*(0.00202-VERI_TABANI!$B$17), 0))))</f>
        <v/>
      </c>
      <c r="I406" s="170">
        <f>IFERROR(((VERI_TABANI!$D$29*B406*VERI_TABANI!$B$14 + VERI_TABANI!$D$29*C406*VERI_TABANI!$B$15 + IF(ISNUMBER(SEARCH("Var", D406)), VERI_TABANI!$F$29*VERI_TABANI!$B$16, 0))) / (((VERI_TABANI!$D$29*B406 + VERI_TABANI!$D$29*C406)*VERI_TABANI!$B$13 + IF(ISNUMBER(SEARCH("Var", D406)), VERI_TABANI!$E$29*(1-0.928)*VERI_TABANI!$B$18, 0))), 0)</f>
        <v/>
      </c>
      <c r="J406" s="171">
        <f>IFERROR(F406/(G406/29), 0)</f>
        <v/>
      </c>
      <c r="K406" s="172">
        <f>IF(F406&gt;0, H406/F406, 0)</f>
        <v/>
      </c>
      <c r="L406" s="170">
        <f>IF(F406&gt;0, I406, 1000000000)</f>
        <v/>
      </c>
      <c r="M406" s="171">
        <f>ABS((B406+C406)-1)</f>
        <v/>
      </c>
      <c r="N406" s="170">
        <f>IF(F406&gt;0, (G406/29)/F406, 0)</f>
        <v/>
      </c>
      <c r="O406" s="168">
        <f>IF(AND((B406+C406)&gt;=1, ISNUMBER(SEARCH("Var", D406))), F406, 1000000000)</f>
        <v/>
      </c>
      <c r="P406" s="172">
        <f>IF(F406&gt;0, SQRT((F406/MAX(F$5:F$886))^2 + (1 - H406/MAX(H$5:H$886))^2 + (J406/MAX(J$5:J$886))^2), 1000000000)</f>
        <v/>
      </c>
      <c r="Q406" s="166">
        <f>IF(AND(ABS(B406-0.5)&lt;0.01, ABS(C406-0.5)&lt;0.01, ISNUMBER(SEARCH("Var", D406))), 1, 0)</f>
        <v/>
      </c>
      <c r="R406" s="171">
        <f>IF(F406&gt;0, J406, 1000000000)</f>
        <v/>
      </c>
      <c r="S406" s="101">
        <f>IF(AND(F406&lt;=DASHBOARD!$B$11, H406&gt;=DASHBOARD!$B$13), G406, -1000000000000)</f>
        <v/>
      </c>
      <c r="T406" s="101">
        <f>IF(AND(F406&lt;=DASHBOARD!$B$11, H406&gt;=DASHBOARD!$B$13), R406, 1000000000000)</f>
        <v/>
      </c>
      <c r="U406" s="101">
        <f>IF(AND(F406&lt;=DASHBOARD!$B$11, H406&gt;=DASHBOARD!$B$13), N406, -1000000000000)</f>
        <v/>
      </c>
      <c r="V406" s="101">
        <f>IF(AND(F406&lt;=DASHBOARD!$B$11, H406&gt;=DASHBOARD!$B$13), H406, -1000000000000)</f>
        <v/>
      </c>
      <c r="W406" s="101">
        <f>IF(AND(F406&lt;=DASHBOARD!$B$11, H406&gt;=DASHBOARD!$B$13), K406, -1000000000000)</f>
        <v/>
      </c>
      <c r="X406" s="101">
        <f>IF(AND(F406&lt;=DASHBOARD!$B$11, H406&gt;=DASHBOARD!$B$13), M406, 1000000000000)</f>
        <v/>
      </c>
      <c r="Y406" s="101">
        <f>IF(AND(F406&lt;=DASHBOARD!$B$10, H406&gt;=DASHBOARD!$B$11), L406, 1000000000000)</f>
        <v/>
      </c>
      <c r="Z406" s="101">
        <f>IF(AND(F406&lt;=DASHBOARD!$B$10, H406&gt;=DASHBOARD!$B$11), O406, 1000000000000)</f>
        <v/>
      </c>
      <c r="AA406" s="101">
        <f>IF(AND(F406&lt;=DASHBOARD!$B$10, H406&gt;=DASHBOARD!$B$11), P406, 1000000000000)</f>
        <v/>
      </c>
      <c r="AB406" s="101">
        <f>IF(AND(F406&lt;=DASHBOARD!$B$10, H406&gt;=DASHBOARD!$B$11), Q406, -1000000000000)</f>
        <v/>
      </c>
    </row>
    <row r="407" ht="15" customHeight="1" s="102">
      <c r="A407" s="166" t="n">
        <v>403</v>
      </c>
      <c r="B407" s="167" t="n">
        <v>0.9</v>
      </c>
      <c r="C407" s="167" t="n">
        <v>1.2</v>
      </c>
      <c r="D407" s="110" t="inlineStr">
        <is>
          <t>Yok (%0)</t>
        </is>
      </c>
      <c r="E407" s="110">
        <f>IF((B407+C407)&lt;=1, "Tam Mahsuplaşma (≤%100)", "Kısmi Satış (&gt;%100)")</f>
        <v/>
      </c>
      <c r="F407" s="168">
        <f>((VERI_TABANI!$D$29*B407/VERI_TABANI!$B$29)/VERI_TABANI!$B$3)*VERI_TABANI!$B$5 + ((VERI_TABANI!$D$29*C407/VERI_TABANI!$B$29)/VERI_TABANI!$B$4)*VERI_TABANI!$B$6 + IF(ISNUMBER(SEARCH("Var", D407)), (VERI_TABANI!$F$29/VERI_TABANI!$B$29)*(VERI_TABANI!$B$10+VERI_TABANI!$B$12), 0)</f>
        <v/>
      </c>
      <c r="G407" s="168">
        <f>(((MIN(VERI_TABANI!D23, VERI_TABANI!D23*B407)*VERI_TABANI!$B$7 + MAX(0, VERI_TABANI!D23*B407-VERI_TABANI!D23)*VERI_TABANI!$B$8) + (MIN(MAX(0, VERI_TABANI!D23-VERI_TABANI!D23*B407), VERI_TABANI!D23*C407)*VERI_TABANI!$B$7 + MAX(0, VERI_TABANI!D23*C407-MAX(0, VERI_TABANI!D23-VERI_TABANI!D23*B407))*VERI_TABANI!$B$8) + IF(ABS(IF(ISNUMBER(SEARCH("Var", D407)), 1, IF(ISNUMBER(SEARCH("Gri", D407)), -1, 0)))=1, VERI_TABANI!E23*(1-0.928)*VERI_TABANI!$B$9, 0) + (VERI_TABANI!D23*B407*(VERI_TABANI!$B$13-VERI_TABANI!$B$14)*VERI_TABANI!G23) + (VERI_TABANI!D23*C407*(VERI_TABANI!$B$13-VERI_TABANI!$B$15)*VERI_TABANI!G23) + IF(ABS(IF(ISNUMBER(SEARCH("Var", D407)), 1, IF(ISNUMBER(SEARCH("Gri", D407)), -1, 0)))=1, VERI_TABANI!E23*(1-0.928)*0.00206091519919798*VERI_TABANI!G23, 0)) + ((MIN(VERI_TABANI!D24, VERI_TABANI!D24*B407)*VERI_TABANI!$B$7 + MAX(0, VERI_TABANI!D24*B407-VERI_TABANI!D24)*VERI_TABANI!$B$8) + (MIN(MAX(0, VERI_TABANI!D24-VERI_TABANI!D24*B407), VERI_TABANI!D24*C407)*VERI_TABANI!$B$7 + MAX(0, VERI_TABANI!D24*C407-MAX(0, VERI_TABANI!D24-VERI_TABANI!D24*B407))*VERI_TABANI!$B$8) + IF(ABS(IF(ISNUMBER(SEARCH("Var", D407)), 1, IF(ISNUMBER(SEARCH("Gri", D407)), -1, 0)))=1, VERI_TABANI!E24*(1-0.928)*VERI_TABANI!$B$9, 0) + (VERI_TABANI!D24*B407*(VERI_TABANI!$B$13-VERI_TABANI!$B$14)*VERI_TABANI!G24) + (VERI_TABANI!D24*C407*(VERI_TABANI!$B$13-VERI_TABANI!$B$15)*VERI_TABANI!G24) + IF(ABS(IF(ISNUMBER(SEARCH("Var", D407)), 1, IF(ISNUMBER(SEARCH("Gri", D407)), -1, 0)))=1, VERI_TABANI!E24*(1-0.928)*0.00206091519919798*VERI_TABANI!G24, 0)) + ((MIN(VERI_TABANI!D25, VERI_TABANI!D25*B407)*VERI_TABANI!$B$7 + MAX(0, VERI_TABANI!D25*B407-VERI_TABANI!D25)*VERI_TABANI!$B$8) + (MIN(MAX(0, VERI_TABANI!D25-VERI_TABANI!D25*B407), VERI_TABANI!D25*C407)*VERI_TABANI!$B$7 + MAX(0, VERI_TABANI!D25*C407-MAX(0, VERI_TABANI!D25-VERI_TABANI!D25*B407))*VERI_TABANI!$B$8) + IF(ABS(IF(ISNUMBER(SEARCH("Var", D407)), 1, IF(ISNUMBER(SEARCH("Gri", D407)), -1, 0)))=1, VERI_TABANI!E25*(1-0.928)*VERI_TABANI!$B$9, 0) + (VERI_TABANI!D25*B407*(VERI_TABANI!$B$13-VERI_TABANI!$B$14)*VERI_TABANI!G25) + (VERI_TABANI!D25*C407*(VERI_TABANI!$B$13-VERI_TABANI!$B$15)*VERI_TABANI!G25) + IF(ABS(IF(ISNUMBER(SEARCH("Var", D407)), 1, IF(ISNUMBER(SEARCH("Gri", D407)), -1, 0)))=1, VERI_TABANI!E25*(1-0.928)*0.00206091519919798*VERI_TABANI!G25, 0)) + ((MIN(VERI_TABANI!D26, VERI_TABANI!D26*B407)*VERI_TABANI!$B$7 + MAX(0, VERI_TABANI!D26*B407-VERI_TABANI!D26)*VERI_TABANI!$B$8) + (MIN(MAX(0, VERI_TABANI!D26-VERI_TABANI!D26*B407), VERI_TABANI!D26*C407)*VERI_TABANI!$B$7 + MAX(0, VERI_TABANI!D26*C407-MAX(0, VERI_TABANI!D26-VERI_TABANI!D26*B407))*VERI_TABANI!$B$8) + IF(ABS(IF(ISNUMBER(SEARCH("Var", D407)), 1, IF(ISNUMBER(SEARCH("Gri", D407)), -1, 0)))=1, VERI_TABANI!E26*(1-0.928)*VERI_TABANI!$B$9, 0) + (VERI_TABANI!D26*B407*(VERI_TABANI!$B$13-VERI_TABANI!$B$14)*VERI_TABANI!G26) + (VERI_TABANI!D26*C407*(VERI_TABANI!$B$13-VERI_TABANI!$B$15)*VERI_TABANI!G26) + IF(ABS(IF(ISNUMBER(SEARCH("Var", D407)), 1, IF(ISNUMBER(SEARCH("Gri", D407)), -1, 0)))=1, VERI_TABANI!E26*(1-0.928)*0.00206091519919798*VERI_TABANI!G26, 0)) + ((MIN(VERI_TABANI!D27, VERI_TABANI!D27*B407)*VERI_TABANI!$B$7 + MAX(0, VERI_TABANI!D27*B407-VERI_TABANI!D27)*VERI_TABANI!$B$8) + (MIN(MAX(0, VERI_TABANI!D27-VERI_TABANI!D27*B407), VERI_TABANI!D27*C407)*VERI_TABANI!$B$7 + MAX(0, VERI_TABANI!D27*C407-MAX(0, VERI_TABANI!D27-VERI_TABANI!D27*B407))*VERI_TABANI!$B$8) + IF(ABS(IF(ISNUMBER(SEARCH("Var", D407)), 1, IF(ISNUMBER(SEARCH("Gri", D407)), -1, 0)))=1, VERI_TABANI!E27*(1-0.928)*VERI_TABANI!$B$9, 0) + (VERI_TABANI!D27*B407*(VERI_TABANI!$B$13-VERI_TABANI!$B$14)*VERI_TABANI!G27) + (VERI_TABANI!D27*C407*(VERI_TABANI!$B$13-VERI_TABANI!$B$15)*VERI_TABANI!G27) + IF(ABS(IF(ISNUMBER(SEARCH("Var", D407)), 1, IF(ISNUMBER(SEARCH("Gri", D407)), -1, 0)))=1, VERI_TABANI!E27*(1-0.928)*0.00206091519919798*VERI_TABANI!G27, 0)) + ((MIN(VERI_TABANI!D28, VERI_TABANI!D28*B407)*VERI_TABANI!$B$7 + MAX(0, VERI_TABANI!D28*B407-VERI_TABANI!D28)*VERI_TABANI!$B$8) + (MIN(MAX(0, VERI_TABANI!D28-VERI_TABANI!D28*B407), VERI_TABANI!D28*C407)*VERI_TABANI!$B$7 + MAX(0, VERI_TABANI!D28*C407-MAX(0, VERI_TABANI!D28-VERI_TABANI!D28*B407))*VERI_TABANI!$B$8) + IF(ABS(IF(ISNUMBER(SEARCH("Var", D407)), 1, IF(ISNUMBER(SEARCH("Gri", D407)), -1, 0)))=1, VERI_TABANI!E28*(1-0.928)*VERI_TABANI!$B$9, 0) + (VERI_TABANI!D28*B407*(VERI_TABANI!$B$13-VERI_TABANI!$B$14)*VERI_TABANI!G28) + (VERI_TABANI!D28*C407*(VERI_TABANI!$B$13-VERI_TABANI!$B$15)*VERI_TABANI!G28) + IF(ABS(IF(ISNUMBER(SEARCH("Var", D407)), 1, IF(ISNUMBER(SEARCH("Gri", D407)), -1, 0)))=1, VERI_TABANI!E28*(1-0.928)*0.00206091519919798*VERI_TABANI!G28, 0)))</f>
        <v/>
      </c>
      <c r="H407" s="169">
        <f>(((VERI_TABANI!D23*B407*(VERI_TABANI!$B$13-VERI_TABANI!$B$14)) + (VERI_TABANI!D23*C407*(VERI_TABANI!$B$13-VERI_TABANI!$B$15)) + IF(ISNUMBER(SEARCH("Var", D407)), VERI_TABANI!F23*(0.00202-VERI_TABANI!$B$16), IF(ISNUMBER(SEARCH("Gri", D407)), VERI_TABANI!F23*(0.00202-VERI_TABANI!$B$17), 0))) + ((VERI_TABANI!D24*B407*(VERI_TABANI!$B$13-VERI_TABANI!$B$14)) + (VERI_TABANI!D24*C407*(VERI_TABANI!$B$13-VERI_TABANI!$B$15)) + IF(ISNUMBER(SEARCH("Var", D407)), VERI_TABANI!F24*(0.00202-VERI_TABANI!$B$16), IF(ISNUMBER(SEARCH("Gri", D407)), VERI_TABANI!F24*(0.00202-VERI_TABANI!$B$17), 0))) + ((VERI_TABANI!D25*B407*(VERI_TABANI!$B$13-VERI_TABANI!$B$14)) + (VERI_TABANI!D25*C407*(VERI_TABANI!$B$13-VERI_TABANI!$B$15)) + IF(ISNUMBER(SEARCH("Var", D407)), VERI_TABANI!F25*(0.00202-VERI_TABANI!$B$16), IF(ISNUMBER(SEARCH("Gri", D407)), VERI_TABANI!F25*(0.00202-VERI_TABANI!$B$17), 0))) + ((VERI_TABANI!D26*B407*(VERI_TABANI!$B$13-VERI_TABANI!$B$14)) + (VERI_TABANI!D26*C407*(VERI_TABANI!$B$13-VERI_TABANI!$B$15)) + IF(ISNUMBER(SEARCH("Var", D407)), VERI_TABANI!F26*(0.00202-VERI_TABANI!$B$16), IF(ISNUMBER(SEARCH("Gri", D407)), VERI_TABANI!F26*(0.00202-VERI_TABANI!$B$17), 0))) + ((VERI_TABANI!D27*B407*(VERI_TABANI!$B$13-VERI_TABANI!$B$14)) + (VERI_TABANI!D27*C407*(VERI_TABANI!$B$13-VERI_TABANI!$B$15)) + IF(ISNUMBER(SEARCH("Var", D407)), VERI_TABANI!F27*(0.00202-VERI_TABANI!$B$16), IF(ISNUMBER(SEARCH("Gri", D407)), VERI_TABANI!F27*(0.00202-VERI_TABANI!$B$17), 0))) + ((VERI_TABANI!D28*B407*(VERI_TABANI!$B$13-VERI_TABANI!$B$14)) + (VERI_TABANI!D28*C407*(VERI_TABANI!$B$13-VERI_TABANI!$B$15)) + IF(ISNUMBER(SEARCH("Var", D407)), VERI_TABANI!F28*(0.00202-VERI_TABANI!$B$16), IF(ISNUMBER(SEARCH("Gri", D407)), VERI_TABANI!F28*(0.00202-VERI_TABANI!$B$17), 0))))</f>
        <v/>
      </c>
      <c r="I407" s="170">
        <f>IFERROR(((VERI_TABANI!$D$29*B407*VERI_TABANI!$B$14 + VERI_TABANI!$D$29*C407*VERI_TABANI!$B$15 + IF(ISNUMBER(SEARCH("Var", D407)), VERI_TABANI!$F$29*VERI_TABANI!$B$16, 0))) / (((VERI_TABANI!$D$29*B407 + VERI_TABANI!$D$29*C407)*VERI_TABANI!$B$13 + IF(ISNUMBER(SEARCH("Var", D407)), VERI_TABANI!$E$29*(1-0.928)*VERI_TABANI!$B$18, 0))), 0)</f>
        <v/>
      </c>
      <c r="J407" s="171">
        <f>IFERROR(F407/(G407/29), 0)</f>
        <v/>
      </c>
      <c r="K407" s="172">
        <f>IF(F407&gt;0, H407/F407, 0)</f>
        <v/>
      </c>
      <c r="L407" s="170">
        <f>IF(F407&gt;0, I407, 1000000000)</f>
        <v/>
      </c>
      <c r="M407" s="171">
        <f>ABS((B407+C407)-1)</f>
        <v/>
      </c>
      <c r="N407" s="170">
        <f>IF(F407&gt;0, (G407/29)/F407, 0)</f>
        <v/>
      </c>
      <c r="O407" s="168">
        <f>IF(AND((B407+C407)&gt;=1, ISNUMBER(SEARCH("Var", D407))), F407, 1000000000)</f>
        <v/>
      </c>
      <c r="P407" s="172">
        <f>IF(F407&gt;0, SQRT((F407/MAX(F$5:F$886))^2 + (1 - H407/MAX(H$5:H$886))^2 + (J407/MAX(J$5:J$886))^2), 1000000000)</f>
        <v/>
      </c>
      <c r="Q407" s="166">
        <f>IF(AND(ABS(B407-0.5)&lt;0.01, ABS(C407-0.5)&lt;0.01, ISNUMBER(SEARCH("Var", D407))), 1, 0)</f>
        <v/>
      </c>
      <c r="R407" s="171">
        <f>IF(F407&gt;0, J407, 1000000000)</f>
        <v/>
      </c>
      <c r="S407" s="101">
        <f>IF(AND(F407&lt;=DASHBOARD!$B$11, H407&gt;=DASHBOARD!$B$13), G407, -1000000000000)</f>
        <v/>
      </c>
      <c r="T407" s="101">
        <f>IF(AND(F407&lt;=DASHBOARD!$B$11, H407&gt;=DASHBOARD!$B$13), R407, 1000000000000)</f>
        <v/>
      </c>
      <c r="U407" s="101">
        <f>IF(AND(F407&lt;=DASHBOARD!$B$11, H407&gt;=DASHBOARD!$B$13), N407, -1000000000000)</f>
        <v/>
      </c>
      <c r="V407" s="101">
        <f>IF(AND(F407&lt;=DASHBOARD!$B$11, H407&gt;=DASHBOARD!$B$13), H407, -1000000000000)</f>
        <v/>
      </c>
      <c r="W407" s="101">
        <f>IF(AND(F407&lt;=DASHBOARD!$B$11, H407&gt;=DASHBOARD!$B$13), K407, -1000000000000)</f>
        <v/>
      </c>
      <c r="X407" s="101">
        <f>IF(AND(F407&lt;=DASHBOARD!$B$11, H407&gt;=DASHBOARD!$B$13), M407, 1000000000000)</f>
        <v/>
      </c>
      <c r="Y407" s="101">
        <f>IF(AND(F407&lt;=DASHBOARD!$B$10, H407&gt;=DASHBOARD!$B$11), L407, 1000000000000)</f>
        <v/>
      </c>
      <c r="Z407" s="101">
        <f>IF(AND(F407&lt;=DASHBOARD!$B$10, H407&gt;=DASHBOARD!$B$11), O407, 1000000000000)</f>
        <v/>
      </c>
      <c r="AA407" s="101">
        <f>IF(AND(F407&lt;=DASHBOARD!$B$10, H407&gt;=DASHBOARD!$B$11), P407, 1000000000000)</f>
        <v/>
      </c>
      <c r="AB407" s="101">
        <f>IF(AND(F407&lt;=DASHBOARD!$B$10, H407&gt;=DASHBOARD!$B$11), Q407, -1000000000000)</f>
        <v/>
      </c>
    </row>
    <row r="408" ht="15" customHeight="1" s="102">
      <c r="A408" s="166" t="n">
        <v>404</v>
      </c>
      <c r="B408" s="167" t="n">
        <v>0.9</v>
      </c>
      <c r="C408" s="167" t="n">
        <v>1.2</v>
      </c>
      <c r="D408" s="110" t="inlineStr">
        <is>
          <t>Var (%20)</t>
        </is>
      </c>
      <c r="E408" s="110">
        <f>IF((B408+C408)&lt;=1, "Tam Mahsuplaşma (≤%100)", "Kısmi Satış (&gt;%100)")</f>
        <v/>
      </c>
      <c r="F408" s="168">
        <f>((VERI_TABANI!$D$29*B408/VERI_TABANI!$B$29)/VERI_TABANI!$B$3)*VERI_TABANI!$B$5 + ((VERI_TABANI!$D$29*C408/VERI_TABANI!$B$29)/VERI_TABANI!$B$4)*VERI_TABANI!$B$6 + IF(ISNUMBER(SEARCH("Var", D408)), (VERI_TABANI!$F$29/VERI_TABANI!$B$29)*(VERI_TABANI!$B$10+VERI_TABANI!$B$12), 0)</f>
        <v/>
      </c>
      <c r="G408" s="168">
        <f>(((MIN(VERI_TABANI!D23, VERI_TABANI!D23*B408)*VERI_TABANI!$B$7 + MAX(0, VERI_TABANI!D23*B408-VERI_TABANI!D23)*VERI_TABANI!$B$8) + (MIN(MAX(0, VERI_TABANI!D23-VERI_TABANI!D23*B408), VERI_TABANI!D23*C408)*VERI_TABANI!$B$7 + MAX(0, VERI_TABANI!D23*C408-MAX(0, VERI_TABANI!D23-VERI_TABANI!D23*B408))*VERI_TABANI!$B$8) + IF(ABS(IF(ISNUMBER(SEARCH("Var", D408)), 1, IF(ISNUMBER(SEARCH("Gri", D408)), -1, 0)))=1, VERI_TABANI!E23*(1-0.928)*VERI_TABANI!$B$9, 0) + (VERI_TABANI!D23*B408*(VERI_TABANI!$B$13-VERI_TABANI!$B$14)*VERI_TABANI!G23) + (VERI_TABANI!D23*C408*(VERI_TABANI!$B$13-VERI_TABANI!$B$15)*VERI_TABANI!G23) + IF(ABS(IF(ISNUMBER(SEARCH("Var", D408)), 1, IF(ISNUMBER(SEARCH("Gri", D408)), -1, 0)))=1, VERI_TABANI!E23*(1-0.928)*0.00206091519919798*VERI_TABANI!G23, 0)) + ((MIN(VERI_TABANI!D24, VERI_TABANI!D24*B408)*VERI_TABANI!$B$7 + MAX(0, VERI_TABANI!D24*B408-VERI_TABANI!D24)*VERI_TABANI!$B$8) + (MIN(MAX(0, VERI_TABANI!D24-VERI_TABANI!D24*B408), VERI_TABANI!D24*C408)*VERI_TABANI!$B$7 + MAX(0, VERI_TABANI!D24*C408-MAX(0, VERI_TABANI!D24-VERI_TABANI!D24*B408))*VERI_TABANI!$B$8) + IF(ABS(IF(ISNUMBER(SEARCH("Var", D408)), 1, IF(ISNUMBER(SEARCH("Gri", D408)), -1, 0)))=1, VERI_TABANI!E24*(1-0.928)*VERI_TABANI!$B$9, 0) + (VERI_TABANI!D24*B408*(VERI_TABANI!$B$13-VERI_TABANI!$B$14)*VERI_TABANI!G24) + (VERI_TABANI!D24*C408*(VERI_TABANI!$B$13-VERI_TABANI!$B$15)*VERI_TABANI!G24) + IF(ABS(IF(ISNUMBER(SEARCH("Var", D408)), 1, IF(ISNUMBER(SEARCH("Gri", D408)), -1, 0)))=1, VERI_TABANI!E24*(1-0.928)*0.00206091519919798*VERI_TABANI!G24, 0)) + ((MIN(VERI_TABANI!D25, VERI_TABANI!D25*B408)*VERI_TABANI!$B$7 + MAX(0, VERI_TABANI!D25*B408-VERI_TABANI!D25)*VERI_TABANI!$B$8) + (MIN(MAX(0, VERI_TABANI!D25-VERI_TABANI!D25*B408), VERI_TABANI!D25*C408)*VERI_TABANI!$B$7 + MAX(0, VERI_TABANI!D25*C408-MAX(0, VERI_TABANI!D25-VERI_TABANI!D25*B408))*VERI_TABANI!$B$8) + IF(ABS(IF(ISNUMBER(SEARCH("Var", D408)), 1, IF(ISNUMBER(SEARCH("Gri", D408)), -1, 0)))=1, VERI_TABANI!E25*(1-0.928)*VERI_TABANI!$B$9, 0) + (VERI_TABANI!D25*B408*(VERI_TABANI!$B$13-VERI_TABANI!$B$14)*VERI_TABANI!G25) + (VERI_TABANI!D25*C408*(VERI_TABANI!$B$13-VERI_TABANI!$B$15)*VERI_TABANI!G25) + IF(ABS(IF(ISNUMBER(SEARCH("Var", D408)), 1, IF(ISNUMBER(SEARCH("Gri", D408)), -1, 0)))=1, VERI_TABANI!E25*(1-0.928)*0.00206091519919798*VERI_TABANI!G25, 0)) + ((MIN(VERI_TABANI!D26, VERI_TABANI!D26*B408)*VERI_TABANI!$B$7 + MAX(0, VERI_TABANI!D26*B408-VERI_TABANI!D26)*VERI_TABANI!$B$8) + (MIN(MAX(0, VERI_TABANI!D26-VERI_TABANI!D26*B408), VERI_TABANI!D26*C408)*VERI_TABANI!$B$7 + MAX(0, VERI_TABANI!D26*C408-MAX(0, VERI_TABANI!D26-VERI_TABANI!D26*B408))*VERI_TABANI!$B$8) + IF(ABS(IF(ISNUMBER(SEARCH("Var", D408)), 1, IF(ISNUMBER(SEARCH("Gri", D408)), -1, 0)))=1, VERI_TABANI!E26*(1-0.928)*VERI_TABANI!$B$9, 0) + (VERI_TABANI!D26*B408*(VERI_TABANI!$B$13-VERI_TABANI!$B$14)*VERI_TABANI!G26) + (VERI_TABANI!D26*C408*(VERI_TABANI!$B$13-VERI_TABANI!$B$15)*VERI_TABANI!G26) + IF(ABS(IF(ISNUMBER(SEARCH("Var", D408)), 1, IF(ISNUMBER(SEARCH("Gri", D408)), -1, 0)))=1, VERI_TABANI!E26*(1-0.928)*0.00206091519919798*VERI_TABANI!G26, 0)) + ((MIN(VERI_TABANI!D27, VERI_TABANI!D27*B408)*VERI_TABANI!$B$7 + MAX(0, VERI_TABANI!D27*B408-VERI_TABANI!D27)*VERI_TABANI!$B$8) + (MIN(MAX(0, VERI_TABANI!D27-VERI_TABANI!D27*B408), VERI_TABANI!D27*C408)*VERI_TABANI!$B$7 + MAX(0, VERI_TABANI!D27*C408-MAX(0, VERI_TABANI!D27-VERI_TABANI!D27*B408))*VERI_TABANI!$B$8) + IF(ABS(IF(ISNUMBER(SEARCH("Var", D408)), 1, IF(ISNUMBER(SEARCH("Gri", D408)), -1, 0)))=1, VERI_TABANI!E27*(1-0.928)*VERI_TABANI!$B$9, 0) + (VERI_TABANI!D27*B408*(VERI_TABANI!$B$13-VERI_TABANI!$B$14)*VERI_TABANI!G27) + (VERI_TABANI!D27*C408*(VERI_TABANI!$B$13-VERI_TABANI!$B$15)*VERI_TABANI!G27) + IF(ABS(IF(ISNUMBER(SEARCH("Var", D408)), 1, IF(ISNUMBER(SEARCH("Gri", D408)), -1, 0)))=1, VERI_TABANI!E27*(1-0.928)*0.00206091519919798*VERI_TABANI!G27, 0)) + ((MIN(VERI_TABANI!D28, VERI_TABANI!D28*B408)*VERI_TABANI!$B$7 + MAX(0, VERI_TABANI!D28*B408-VERI_TABANI!D28)*VERI_TABANI!$B$8) + (MIN(MAX(0, VERI_TABANI!D28-VERI_TABANI!D28*B408), VERI_TABANI!D28*C408)*VERI_TABANI!$B$7 + MAX(0, VERI_TABANI!D28*C408-MAX(0, VERI_TABANI!D28-VERI_TABANI!D28*B408))*VERI_TABANI!$B$8) + IF(ABS(IF(ISNUMBER(SEARCH("Var", D408)), 1, IF(ISNUMBER(SEARCH("Gri", D408)), -1, 0)))=1, VERI_TABANI!E28*(1-0.928)*VERI_TABANI!$B$9, 0) + (VERI_TABANI!D28*B408*(VERI_TABANI!$B$13-VERI_TABANI!$B$14)*VERI_TABANI!G28) + (VERI_TABANI!D28*C408*(VERI_TABANI!$B$13-VERI_TABANI!$B$15)*VERI_TABANI!G28) + IF(ABS(IF(ISNUMBER(SEARCH("Var", D408)), 1, IF(ISNUMBER(SEARCH("Gri", D408)), -1, 0)))=1, VERI_TABANI!E28*(1-0.928)*0.00206091519919798*VERI_TABANI!G28, 0)))</f>
        <v/>
      </c>
      <c r="H408" s="169">
        <f>(((VERI_TABANI!D23*B408*(VERI_TABANI!$B$13-VERI_TABANI!$B$14)) + (VERI_TABANI!D23*C408*(VERI_TABANI!$B$13-VERI_TABANI!$B$15)) + IF(ISNUMBER(SEARCH("Var", D408)), VERI_TABANI!F23*(0.00202-VERI_TABANI!$B$16), IF(ISNUMBER(SEARCH("Gri", D408)), VERI_TABANI!F23*(0.00202-VERI_TABANI!$B$17), 0))) + ((VERI_TABANI!D24*B408*(VERI_TABANI!$B$13-VERI_TABANI!$B$14)) + (VERI_TABANI!D24*C408*(VERI_TABANI!$B$13-VERI_TABANI!$B$15)) + IF(ISNUMBER(SEARCH("Var", D408)), VERI_TABANI!F24*(0.00202-VERI_TABANI!$B$16), IF(ISNUMBER(SEARCH("Gri", D408)), VERI_TABANI!F24*(0.00202-VERI_TABANI!$B$17), 0))) + ((VERI_TABANI!D25*B408*(VERI_TABANI!$B$13-VERI_TABANI!$B$14)) + (VERI_TABANI!D25*C408*(VERI_TABANI!$B$13-VERI_TABANI!$B$15)) + IF(ISNUMBER(SEARCH("Var", D408)), VERI_TABANI!F25*(0.00202-VERI_TABANI!$B$16), IF(ISNUMBER(SEARCH("Gri", D408)), VERI_TABANI!F25*(0.00202-VERI_TABANI!$B$17), 0))) + ((VERI_TABANI!D26*B408*(VERI_TABANI!$B$13-VERI_TABANI!$B$14)) + (VERI_TABANI!D26*C408*(VERI_TABANI!$B$13-VERI_TABANI!$B$15)) + IF(ISNUMBER(SEARCH("Var", D408)), VERI_TABANI!F26*(0.00202-VERI_TABANI!$B$16), IF(ISNUMBER(SEARCH("Gri", D408)), VERI_TABANI!F26*(0.00202-VERI_TABANI!$B$17), 0))) + ((VERI_TABANI!D27*B408*(VERI_TABANI!$B$13-VERI_TABANI!$B$14)) + (VERI_TABANI!D27*C408*(VERI_TABANI!$B$13-VERI_TABANI!$B$15)) + IF(ISNUMBER(SEARCH("Var", D408)), VERI_TABANI!F27*(0.00202-VERI_TABANI!$B$16), IF(ISNUMBER(SEARCH("Gri", D408)), VERI_TABANI!F27*(0.00202-VERI_TABANI!$B$17), 0))) + ((VERI_TABANI!D28*B408*(VERI_TABANI!$B$13-VERI_TABANI!$B$14)) + (VERI_TABANI!D28*C408*(VERI_TABANI!$B$13-VERI_TABANI!$B$15)) + IF(ISNUMBER(SEARCH("Var", D408)), VERI_TABANI!F28*(0.00202-VERI_TABANI!$B$16), IF(ISNUMBER(SEARCH("Gri", D408)), VERI_TABANI!F28*(0.00202-VERI_TABANI!$B$17), 0))))</f>
        <v/>
      </c>
      <c r="I408" s="170">
        <f>IFERROR(((VERI_TABANI!$D$29*B408*VERI_TABANI!$B$14 + VERI_TABANI!$D$29*C408*VERI_TABANI!$B$15 + IF(ISNUMBER(SEARCH("Var", D408)), VERI_TABANI!$F$29*VERI_TABANI!$B$16, 0))) / (((VERI_TABANI!$D$29*B408 + VERI_TABANI!$D$29*C408)*VERI_TABANI!$B$13 + IF(ISNUMBER(SEARCH("Var", D408)), VERI_TABANI!$E$29*(1-0.928)*VERI_TABANI!$B$18, 0))), 0)</f>
        <v/>
      </c>
      <c r="J408" s="171">
        <f>IFERROR(F408/(G408/29), 0)</f>
        <v/>
      </c>
      <c r="K408" s="172">
        <f>IF(F408&gt;0, H408/F408, 0)</f>
        <v/>
      </c>
      <c r="L408" s="170">
        <f>IF(F408&gt;0, I408, 1000000000)</f>
        <v/>
      </c>
      <c r="M408" s="171">
        <f>ABS((B408+C408)-1)</f>
        <v/>
      </c>
      <c r="N408" s="170">
        <f>IF(F408&gt;0, (G408/29)/F408, 0)</f>
        <v/>
      </c>
      <c r="O408" s="168">
        <f>IF(AND((B408+C408)&gt;=1, ISNUMBER(SEARCH("Var", D408))), F408, 1000000000)</f>
        <v/>
      </c>
      <c r="P408" s="172">
        <f>IF(F408&gt;0, SQRT((F408/MAX(F$5:F$886))^2 + (1 - H408/MAX(H$5:H$886))^2 + (J408/MAX(J$5:J$886))^2), 1000000000)</f>
        <v/>
      </c>
      <c r="Q408" s="166">
        <f>IF(AND(ABS(B408-0.5)&lt;0.01, ABS(C408-0.5)&lt;0.01, ISNUMBER(SEARCH("Var", D408))), 1, 0)</f>
        <v/>
      </c>
      <c r="R408" s="171">
        <f>IF(F408&gt;0, J408, 1000000000)</f>
        <v/>
      </c>
      <c r="S408" s="101">
        <f>IF(AND(F408&lt;=DASHBOARD!$B$11, H408&gt;=DASHBOARD!$B$13), G408, -1000000000000)</f>
        <v/>
      </c>
      <c r="T408" s="101">
        <f>IF(AND(F408&lt;=DASHBOARD!$B$11, H408&gt;=DASHBOARD!$B$13), R408, 1000000000000)</f>
        <v/>
      </c>
      <c r="U408" s="101">
        <f>IF(AND(F408&lt;=DASHBOARD!$B$11, H408&gt;=DASHBOARD!$B$13), N408, -1000000000000)</f>
        <v/>
      </c>
      <c r="V408" s="101">
        <f>IF(AND(F408&lt;=DASHBOARD!$B$11, H408&gt;=DASHBOARD!$B$13), H408, -1000000000000)</f>
        <v/>
      </c>
      <c r="W408" s="101">
        <f>IF(AND(F408&lt;=DASHBOARD!$B$11, H408&gt;=DASHBOARD!$B$13), K408, -1000000000000)</f>
        <v/>
      </c>
      <c r="X408" s="101">
        <f>IF(AND(F408&lt;=DASHBOARD!$B$11, H408&gt;=DASHBOARD!$B$13), M408, 1000000000000)</f>
        <v/>
      </c>
      <c r="Y408" s="101">
        <f>IF(AND(F408&lt;=DASHBOARD!$B$10, H408&gt;=DASHBOARD!$B$11), L408, 1000000000000)</f>
        <v/>
      </c>
      <c r="Z408" s="101">
        <f>IF(AND(F408&lt;=DASHBOARD!$B$10, H408&gt;=DASHBOARD!$B$11), O408, 1000000000000)</f>
        <v/>
      </c>
      <c r="AA408" s="101">
        <f>IF(AND(F408&lt;=DASHBOARD!$B$10, H408&gt;=DASHBOARD!$B$11), P408, 1000000000000)</f>
        <v/>
      </c>
      <c r="AB408" s="101">
        <f>IF(AND(F408&lt;=DASHBOARD!$B$10, H408&gt;=DASHBOARD!$B$11), Q408, -1000000000000)</f>
        <v/>
      </c>
    </row>
    <row r="409" ht="15" customHeight="1" s="102">
      <c r="A409" s="166" t="n">
        <v>405</v>
      </c>
      <c r="B409" s="167" t="n">
        <v>0.9</v>
      </c>
      <c r="C409" s="167" t="n">
        <v>1.3</v>
      </c>
      <c r="D409" s="110" t="inlineStr">
        <is>
          <t>Yok (%0)</t>
        </is>
      </c>
      <c r="E409" s="110">
        <f>IF((B409+C409)&lt;=1, "Tam Mahsuplaşma (≤%100)", "Kısmi Satış (&gt;%100)")</f>
        <v/>
      </c>
      <c r="F409" s="168">
        <f>((VERI_TABANI!$D$29*B409/VERI_TABANI!$B$29)/VERI_TABANI!$B$3)*VERI_TABANI!$B$5 + ((VERI_TABANI!$D$29*C409/VERI_TABANI!$B$29)/VERI_TABANI!$B$4)*VERI_TABANI!$B$6 + IF(ISNUMBER(SEARCH("Var", D409)), (VERI_TABANI!$F$29/VERI_TABANI!$B$29)*(VERI_TABANI!$B$10+VERI_TABANI!$B$12), 0)</f>
        <v/>
      </c>
      <c r="G409" s="168">
        <f>(((MIN(VERI_TABANI!D23, VERI_TABANI!D23*B409)*VERI_TABANI!$B$7 + MAX(0, VERI_TABANI!D23*B409-VERI_TABANI!D23)*VERI_TABANI!$B$8) + (MIN(MAX(0, VERI_TABANI!D23-VERI_TABANI!D23*B409), VERI_TABANI!D23*C409)*VERI_TABANI!$B$7 + MAX(0, VERI_TABANI!D23*C409-MAX(0, VERI_TABANI!D23-VERI_TABANI!D23*B409))*VERI_TABANI!$B$8) + IF(ABS(IF(ISNUMBER(SEARCH("Var", D409)), 1, IF(ISNUMBER(SEARCH("Gri", D409)), -1, 0)))=1, VERI_TABANI!E23*(1-0.928)*VERI_TABANI!$B$9, 0) + (VERI_TABANI!D23*B409*(VERI_TABANI!$B$13-VERI_TABANI!$B$14)*VERI_TABANI!G23) + (VERI_TABANI!D23*C409*(VERI_TABANI!$B$13-VERI_TABANI!$B$15)*VERI_TABANI!G23) + IF(ABS(IF(ISNUMBER(SEARCH("Var", D409)), 1, IF(ISNUMBER(SEARCH("Gri", D409)), -1, 0)))=1, VERI_TABANI!E23*(1-0.928)*0.00206091519919798*VERI_TABANI!G23, 0)) + ((MIN(VERI_TABANI!D24, VERI_TABANI!D24*B409)*VERI_TABANI!$B$7 + MAX(0, VERI_TABANI!D24*B409-VERI_TABANI!D24)*VERI_TABANI!$B$8) + (MIN(MAX(0, VERI_TABANI!D24-VERI_TABANI!D24*B409), VERI_TABANI!D24*C409)*VERI_TABANI!$B$7 + MAX(0, VERI_TABANI!D24*C409-MAX(0, VERI_TABANI!D24-VERI_TABANI!D24*B409))*VERI_TABANI!$B$8) + IF(ABS(IF(ISNUMBER(SEARCH("Var", D409)), 1, IF(ISNUMBER(SEARCH("Gri", D409)), -1, 0)))=1, VERI_TABANI!E24*(1-0.928)*VERI_TABANI!$B$9, 0) + (VERI_TABANI!D24*B409*(VERI_TABANI!$B$13-VERI_TABANI!$B$14)*VERI_TABANI!G24) + (VERI_TABANI!D24*C409*(VERI_TABANI!$B$13-VERI_TABANI!$B$15)*VERI_TABANI!G24) + IF(ABS(IF(ISNUMBER(SEARCH("Var", D409)), 1, IF(ISNUMBER(SEARCH("Gri", D409)), -1, 0)))=1, VERI_TABANI!E24*(1-0.928)*0.00206091519919798*VERI_TABANI!G24, 0)) + ((MIN(VERI_TABANI!D25, VERI_TABANI!D25*B409)*VERI_TABANI!$B$7 + MAX(0, VERI_TABANI!D25*B409-VERI_TABANI!D25)*VERI_TABANI!$B$8) + (MIN(MAX(0, VERI_TABANI!D25-VERI_TABANI!D25*B409), VERI_TABANI!D25*C409)*VERI_TABANI!$B$7 + MAX(0, VERI_TABANI!D25*C409-MAX(0, VERI_TABANI!D25-VERI_TABANI!D25*B409))*VERI_TABANI!$B$8) + IF(ABS(IF(ISNUMBER(SEARCH("Var", D409)), 1, IF(ISNUMBER(SEARCH("Gri", D409)), -1, 0)))=1, VERI_TABANI!E25*(1-0.928)*VERI_TABANI!$B$9, 0) + (VERI_TABANI!D25*B409*(VERI_TABANI!$B$13-VERI_TABANI!$B$14)*VERI_TABANI!G25) + (VERI_TABANI!D25*C409*(VERI_TABANI!$B$13-VERI_TABANI!$B$15)*VERI_TABANI!G25) + IF(ABS(IF(ISNUMBER(SEARCH("Var", D409)), 1, IF(ISNUMBER(SEARCH("Gri", D409)), -1, 0)))=1, VERI_TABANI!E25*(1-0.928)*0.00206091519919798*VERI_TABANI!G25, 0)) + ((MIN(VERI_TABANI!D26, VERI_TABANI!D26*B409)*VERI_TABANI!$B$7 + MAX(0, VERI_TABANI!D26*B409-VERI_TABANI!D26)*VERI_TABANI!$B$8) + (MIN(MAX(0, VERI_TABANI!D26-VERI_TABANI!D26*B409), VERI_TABANI!D26*C409)*VERI_TABANI!$B$7 + MAX(0, VERI_TABANI!D26*C409-MAX(0, VERI_TABANI!D26-VERI_TABANI!D26*B409))*VERI_TABANI!$B$8) + IF(ABS(IF(ISNUMBER(SEARCH("Var", D409)), 1, IF(ISNUMBER(SEARCH("Gri", D409)), -1, 0)))=1, VERI_TABANI!E26*(1-0.928)*VERI_TABANI!$B$9, 0) + (VERI_TABANI!D26*B409*(VERI_TABANI!$B$13-VERI_TABANI!$B$14)*VERI_TABANI!G26) + (VERI_TABANI!D26*C409*(VERI_TABANI!$B$13-VERI_TABANI!$B$15)*VERI_TABANI!G26) + IF(ABS(IF(ISNUMBER(SEARCH("Var", D409)), 1, IF(ISNUMBER(SEARCH("Gri", D409)), -1, 0)))=1, VERI_TABANI!E26*(1-0.928)*0.00206091519919798*VERI_TABANI!G26, 0)) + ((MIN(VERI_TABANI!D27, VERI_TABANI!D27*B409)*VERI_TABANI!$B$7 + MAX(0, VERI_TABANI!D27*B409-VERI_TABANI!D27)*VERI_TABANI!$B$8) + (MIN(MAX(0, VERI_TABANI!D27-VERI_TABANI!D27*B409), VERI_TABANI!D27*C409)*VERI_TABANI!$B$7 + MAX(0, VERI_TABANI!D27*C409-MAX(0, VERI_TABANI!D27-VERI_TABANI!D27*B409))*VERI_TABANI!$B$8) + IF(ABS(IF(ISNUMBER(SEARCH("Var", D409)), 1, IF(ISNUMBER(SEARCH("Gri", D409)), -1, 0)))=1, VERI_TABANI!E27*(1-0.928)*VERI_TABANI!$B$9, 0) + (VERI_TABANI!D27*B409*(VERI_TABANI!$B$13-VERI_TABANI!$B$14)*VERI_TABANI!G27) + (VERI_TABANI!D27*C409*(VERI_TABANI!$B$13-VERI_TABANI!$B$15)*VERI_TABANI!G27) + IF(ABS(IF(ISNUMBER(SEARCH("Var", D409)), 1, IF(ISNUMBER(SEARCH("Gri", D409)), -1, 0)))=1, VERI_TABANI!E27*(1-0.928)*0.00206091519919798*VERI_TABANI!G27, 0)) + ((MIN(VERI_TABANI!D28, VERI_TABANI!D28*B409)*VERI_TABANI!$B$7 + MAX(0, VERI_TABANI!D28*B409-VERI_TABANI!D28)*VERI_TABANI!$B$8) + (MIN(MAX(0, VERI_TABANI!D28-VERI_TABANI!D28*B409), VERI_TABANI!D28*C409)*VERI_TABANI!$B$7 + MAX(0, VERI_TABANI!D28*C409-MAX(0, VERI_TABANI!D28-VERI_TABANI!D28*B409))*VERI_TABANI!$B$8) + IF(ABS(IF(ISNUMBER(SEARCH("Var", D409)), 1, IF(ISNUMBER(SEARCH("Gri", D409)), -1, 0)))=1, VERI_TABANI!E28*(1-0.928)*VERI_TABANI!$B$9, 0) + (VERI_TABANI!D28*B409*(VERI_TABANI!$B$13-VERI_TABANI!$B$14)*VERI_TABANI!G28) + (VERI_TABANI!D28*C409*(VERI_TABANI!$B$13-VERI_TABANI!$B$15)*VERI_TABANI!G28) + IF(ABS(IF(ISNUMBER(SEARCH("Var", D409)), 1, IF(ISNUMBER(SEARCH("Gri", D409)), -1, 0)))=1, VERI_TABANI!E28*(1-0.928)*0.00206091519919798*VERI_TABANI!G28, 0)))</f>
        <v/>
      </c>
      <c r="H409" s="169">
        <f>(((VERI_TABANI!D23*B409*(VERI_TABANI!$B$13-VERI_TABANI!$B$14)) + (VERI_TABANI!D23*C409*(VERI_TABANI!$B$13-VERI_TABANI!$B$15)) + IF(ISNUMBER(SEARCH("Var", D409)), VERI_TABANI!F23*(0.00202-VERI_TABANI!$B$16), IF(ISNUMBER(SEARCH("Gri", D409)), VERI_TABANI!F23*(0.00202-VERI_TABANI!$B$17), 0))) + ((VERI_TABANI!D24*B409*(VERI_TABANI!$B$13-VERI_TABANI!$B$14)) + (VERI_TABANI!D24*C409*(VERI_TABANI!$B$13-VERI_TABANI!$B$15)) + IF(ISNUMBER(SEARCH("Var", D409)), VERI_TABANI!F24*(0.00202-VERI_TABANI!$B$16), IF(ISNUMBER(SEARCH("Gri", D409)), VERI_TABANI!F24*(0.00202-VERI_TABANI!$B$17), 0))) + ((VERI_TABANI!D25*B409*(VERI_TABANI!$B$13-VERI_TABANI!$B$14)) + (VERI_TABANI!D25*C409*(VERI_TABANI!$B$13-VERI_TABANI!$B$15)) + IF(ISNUMBER(SEARCH("Var", D409)), VERI_TABANI!F25*(0.00202-VERI_TABANI!$B$16), IF(ISNUMBER(SEARCH("Gri", D409)), VERI_TABANI!F25*(0.00202-VERI_TABANI!$B$17), 0))) + ((VERI_TABANI!D26*B409*(VERI_TABANI!$B$13-VERI_TABANI!$B$14)) + (VERI_TABANI!D26*C409*(VERI_TABANI!$B$13-VERI_TABANI!$B$15)) + IF(ISNUMBER(SEARCH("Var", D409)), VERI_TABANI!F26*(0.00202-VERI_TABANI!$B$16), IF(ISNUMBER(SEARCH("Gri", D409)), VERI_TABANI!F26*(0.00202-VERI_TABANI!$B$17), 0))) + ((VERI_TABANI!D27*B409*(VERI_TABANI!$B$13-VERI_TABANI!$B$14)) + (VERI_TABANI!D27*C409*(VERI_TABANI!$B$13-VERI_TABANI!$B$15)) + IF(ISNUMBER(SEARCH("Var", D409)), VERI_TABANI!F27*(0.00202-VERI_TABANI!$B$16), IF(ISNUMBER(SEARCH("Gri", D409)), VERI_TABANI!F27*(0.00202-VERI_TABANI!$B$17), 0))) + ((VERI_TABANI!D28*B409*(VERI_TABANI!$B$13-VERI_TABANI!$B$14)) + (VERI_TABANI!D28*C409*(VERI_TABANI!$B$13-VERI_TABANI!$B$15)) + IF(ISNUMBER(SEARCH("Var", D409)), VERI_TABANI!F28*(0.00202-VERI_TABANI!$B$16), IF(ISNUMBER(SEARCH("Gri", D409)), VERI_TABANI!F28*(0.00202-VERI_TABANI!$B$17), 0))))</f>
        <v/>
      </c>
      <c r="I409" s="170">
        <f>IFERROR(((VERI_TABANI!$D$29*B409*VERI_TABANI!$B$14 + VERI_TABANI!$D$29*C409*VERI_TABANI!$B$15 + IF(ISNUMBER(SEARCH("Var", D409)), VERI_TABANI!$F$29*VERI_TABANI!$B$16, 0))) / (((VERI_TABANI!$D$29*B409 + VERI_TABANI!$D$29*C409)*VERI_TABANI!$B$13 + IF(ISNUMBER(SEARCH("Var", D409)), VERI_TABANI!$E$29*(1-0.928)*VERI_TABANI!$B$18, 0))), 0)</f>
        <v/>
      </c>
      <c r="J409" s="171">
        <f>IFERROR(F409/(G409/29), 0)</f>
        <v/>
      </c>
      <c r="K409" s="172">
        <f>IF(F409&gt;0, H409/F409, 0)</f>
        <v/>
      </c>
      <c r="L409" s="170">
        <f>IF(F409&gt;0, I409, 1000000000)</f>
        <v/>
      </c>
      <c r="M409" s="171">
        <f>ABS((B409+C409)-1)</f>
        <v/>
      </c>
      <c r="N409" s="170">
        <f>IF(F409&gt;0, (G409/29)/F409, 0)</f>
        <v/>
      </c>
      <c r="O409" s="168">
        <f>IF(AND((B409+C409)&gt;=1, ISNUMBER(SEARCH("Var", D409))), F409, 1000000000)</f>
        <v/>
      </c>
      <c r="P409" s="172">
        <f>IF(F409&gt;0, SQRT((F409/MAX(F$5:F$886))^2 + (1 - H409/MAX(H$5:H$886))^2 + (J409/MAX(J$5:J$886))^2), 1000000000)</f>
        <v/>
      </c>
      <c r="Q409" s="166">
        <f>IF(AND(ABS(B409-0.5)&lt;0.01, ABS(C409-0.5)&lt;0.01, ISNUMBER(SEARCH("Var", D409))), 1, 0)</f>
        <v/>
      </c>
      <c r="R409" s="171">
        <f>IF(F409&gt;0, J409, 1000000000)</f>
        <v/>
      </c>
      <c r="S409" s="101">
        <f>IF(AND(F409&lt;=DASHBOARD!$B$11, H409&gt;=DASHBOARD!$B$13), G409, -1000000000000)</f>
        <v/>
      </c>
      <c r="T409" s="101">
        <f>IF(AND(F409&lt;=DASHBOARD!$B$11, H409&gt;=DASHBOARD!$B$13), R409, 1000000000000)</f>
        <v/>
      </c>
      <c r="U409" s="101">
        <f>IF(AND(F409&lt;=DASHBOARD!$B$11, H409&gt;=DASHBOARD!$B$13), N409, -1000000000000)</f>
        <v/>
      </c>
      <c r="V409" s="101">
        <f>IF(AND(F409&lt;=DASHBOARD!$B$11, H409&gt;=DASHBOARD!$B$13), H409, -1000000000000)</f>
        <v/>
      </c>
      <c r="W409" s="101">
        <f>IF(AND(F409&lt;=DASHBOARD!$B$11, H409&gt;=DASHBOARD!$B$13), K409, -1000000000000)</f>
        <v/>
      </c>
      <c r="X409" s="101">
        <f>IF(AND(F409&lt;=DASHBOARD!$B$11, H409&gt;=DASHBOARD!$B$13), M409, 1000000000000)</f>
        <v/>
      </c>
      <c r="Y409" s="101">
        <f>IF(AND(F409&lt;=DASHBOARD!$B$10, H409&gt;=DASHBOARD!$B$11), L409, 1000000000000)</f>
        <v/>
      </c>
      <c r="Z409" s="101">
        <f>IF(AND(F409&lt;=DASHBOARD!$B$10, H409&gt;=DASHBOARD!$B$11), O409, 1000000000000)</f>
        <v/>
      </c>
      <c r="AA409" s="101">
        <f>IF(AND(F409&lt;=DASHBOARD!$B$10, H409&gt;=DASHBOARD!$B$11), P409, 1000000000000)</f>
        <v/>
      </c>
      <c r="AB409" s="101">
        <f>IF(AND(F409&lt;=DASHBOARD!$B$10, H409&gt;=DASHBOARD!$B$11), Q409, -1000000000000)</f>
        <v/>
      </c>
    </row>
    <row r="410" ht="15" customHeight="1" s="102">
      <c r="A410" s="166" t="n">
        <v>406</v>
      </c>
      <c r="B410" s="167" t="n">
        <v>0.9</v>
      </c>
      <c r="C410" s="167" t="n">
        <v>1.3</v>
      </c>
      <c r="D410" s="110" t="inlineStr">
        <is>
          <t>Var (%20)</t>
        </is>
      </c>
      <c r="E410" s="110">
        <f>IF((B410+C410)&lt;=1, "Tam Mahsuplaşma (≤%100)", "Kısmi Satış (&gt;%100)")</f>
        <v/>
      </c>
      <c r="F410" s="168">
        <f>((VERI_TABANI!$D$29*B410/VERI_TABANI!$B$29)/VERI_TABANI!$B$3)*VERI_TABANI!$B$5 + ((VERI_TABANI!$D$29*C410/VERI_TABANI!$B$29)/VERI_TABANI!$B$4)*VERI_TABANI!$B$6 + IF(ISNUMBER(SEARCH("Var", D410)), (VERI_TABANI!$F$29/VERI_TABANI!$B$29)*(VERI_TABANI!$B$10+VERI_TABANI!$B$12), 0)</f>
        <v/>
      </c>
      <c r="G410" s="168">
        <f>(((MIN(VERI_TABANI!D23, VERI_TABANI!D23*B410)*VERI_TABANI!$B$7 + MAX(0, VERI_TABANI!D23*B410-VERI_TABANI!D23)*VERI_TABANI!$B$8) + (MIN(MAX(0, VERI_TABANI!D23-VERI_TABANI!D23*B410), VERI_TABANI!D23*C410)*VERI_TABANI!$B$7 + MAX(0, VERI_TABANI!D23*C410-MAX(0, VERI_TABANI!D23-VERI_TABANI!D23*B410))*VERI_TABANI!$B$8) + IF(ABS(IF(ISNUMBER(SEARCH("Var", D410)), 1, IF(ISNUMBER(SEARCH("Gri", D410)), -1, 0)))=1, VERI_TABANI!E23*(1-0.928)*VERI_TABANI!$B$9, 0) + (VERI_TABANI!D23*B410*(VERI_TABANI!$B$13-VERI_TABANI!$B$14)*VERI_TABANI!G23) + (VERI_TABANI!D23*C410*(VERI_TABANI!$B$13-VERI_TABANI!$B$15)*VERI_TABANI!G23) + IF(ABS(IF(ISNUMBER(SEARCH("Var", D410)), 1, IF(ISNUMBER(SEARCH("Gri", D410)), -1, 0)))=1, VERI_TABANI!E23*(1-0.928)*0.00206091519919798*VERI_TABANI!G23, 0)) + ((MIN(VERI_TABANI!D24, VERI_TABANI!D24*B410)*VERI_TABANI!$B$7 + MAX(0, VERI_TABANI!D24*B410-VERI_TABANI!D24)*VERI_TABANI!$B$8) + (MIN(MAX(0, VERI_TABANI!D24-VERI_TABANI!D24*B410), VERI_TABANI!D24*C410)*VERI_TABANI!$B$7 + MAX(0, VERI_TABANI!D24*C410-MAX(0, VERI_TABANI!D24-VERI_TABANI!D24*B410))*VERI_TABANI!$B$8) + IF(ABS(IF(ISNUMBER(SEARCH("Var", D410)), 1, IF(ISNUMBER(SEARCH("Gri", D410)), -1, 0)))=1, VERI_TABANI!E24*(1-0.928)*VERI_TABANI!$B$9, 0) + (VERI_TABANI!D24*B410*(VERI_TABANI!$B$13-VERI_TABANI!$B$14)*VERI_TABANI!G24) + (VERI_TABANI!D24*C410*(VERI_TABANI!$B$13-VERI_TABANI!$B$15)*VERI_TABANI!G24) + IF(ABS(IF(ISNUMBER(SEARCH("Var", D410)), 1, IF(ISNUMBER(SEARCH("Gri", D410)), -1, 0)))=1, VERI_TABANI!E24*(1-0.928)*0.00206091519919798*VERI_TABANI!G24, 0)) + ((MIN(VERI_TABANI!D25, VERI_TABANI!D25*B410)*VERI_TABANI!$B$7 + MAX(0, VERI_TABANI!D25*B410-VERI_TABANI!D25)*VERI_TABANI!$B$8) + (MIN(MAX(0, VERI_TABANI!D25-VERI_TABANI!D25*B410), VERI_TABANI!D25*C410)*VERI_TABANI!$B$7 + MAX(0, VERI_TABANI!D25*C410-MAX(0, VERI_TABANI!D25-VERI_TABANI!D25*B410))*VERI_TABANI!$B$8) + IF(ABS(IF(ISNUMBER(SEARCH("Var", D410)), 1, IF(ISNUMBER(SEARCH("Gri", D410)), -1, 0)))=1, VERI_TABANI!E25*(1-0.928)*VERI_TABANI!$B$9, 0) + (VERI_TABANI!D25*B410*(VERI_TABANI!$B$13-VERI_TABANI!$B$14)*VERI_TABANI!G25) + (VERI_TABANI!D25*C410*(VERI_TABANI!$B$13-VERI_TABANI!$B$15)*VERI_TABANI!G25) + IF(ABS(IF(ISNUMBER(SEARCH("Var", D410)), 1, IF(ISNUMBER(SEARCH("Gri", D410)), -1, 0)))=1, VERI_TABANI!E25*(1-0.928)*0.00206091519919798*VERI_TABANI!G25, 0)) + ((MIN(VERI_TABANI!D26, VERI_TABANI!D26*B410)*VERI_TABANI!$B$7 + MAX(0, VERI_TABANI!D26*B410-VERI_TABANI!D26)*VERI_TABANI!$B$8) + (MIN(MAX(0, VERI_TABANI!D26-VERI_TABANI!D26*B410), VERI_TABANI!D26*C410)*VERI_TABANI!$B$7 + MAX(0, VERI_TABANI!D26*C410-MAX(0, VERI_TABANI!D26-VERI_TABANI!D26*B410))*VERI_TABANI!$B$8) + IF(ABS(IF(ISNUMBER(SEARCH("Var", D410)), 1, IF(ISNUMBER(SEARCH("Gri", D410)), -1, 0)))=1, VERI_TABANI!E26*(1-0.928)*VERI_TABANI!$B$9, 0) + (VERI_TABANI!D26*B410*(VERI_TABANI!$B$13-VERI_TABANI!$B$14)*VERI_TABANI!G26) + (VERI_TABANI!D26*C410*(VERI_TABANI!$B$13-VERI_TABANI!$B$15)*VERI_TABANI!G26) + IF(ABS(IF(ISNUMBER(SEARCH("Var", D410)), 1, IF(ISNUMBER(SEARCH("Gri", D410)), -1, 0)))=1, VERI_TABANI!E26*(1-0.928)*0.00206091519919798*VERI_TABANI!G26, 0)) + ((MIN(VERI_TABANI!D27, VERI_TABANI!D27*B410)*VERI_TABANI!$B$7 + MAX(0, VERI_TABANI!D27*B410-VERI_TABANI!D27)*VERI_TABANI!$B$8) + (MIN(MAX(0, VERI_TABANI!D27-VERI_TABANI!D27*B410), VERI_TABANI!D27*C410)*VERI_TABANI!$B$7 + MAX(0, VERI_TABANI!D27*C410-MAX(0, VERI_TABANI!D27-VERI_TABANI!D27*B410))*VERI_TABANI!$B$8) + IF(ABS(IF(ISNUMBER(SEARCH("Var", D410)), 1, IF(ISNUMBER(SEARCH("Gri", D410)), -1, 0)))=1, VERI_TABANI!E27*(1-0.928)*VERI_TABANI!$B$9, 0) + (VERI_TABANI!D27*B410*(VERI_TABANI!$B$13-VERI_TABANI!$B$14)*VERI_TABANI!G27) + (VERI_TABANI!D27*C410*(VERI_TABANI!$B$13-VERI_TABANI!$B$15)*VERI_TABANI!G27) + IF(ABS(IF(ISNUMBER(SEARCH("Var", D410)), 1, IF(ISNUMBER(SEARCH("Gri", D410)), -1, 0)))=1, VERI_TABANI!E27*(1-0.928)*0.00206091519919798*VERI_TABANI!G27, 0)) + ((MIN(VERI_TABANI!D28, VERI_TABANI!D28*B410)*VERI_TABANI!$B$7 + MAX(0, VERI_TABANI!D28*B410-VERI_TABANI!D28)*VERI_TABANI!$B$8) + (MIN(MAX(0, VERI_TABANI!D28-VERI_TABANI!D28*B410), VERI_TABANI!D28*C410)*VERI_TABANI!$B$7 + MAX(0, VERI_TABANI!D28*C410-MAX(0, VERI_TABANI!D28-VERI_TABANI!D28*B410))*VERI_TABANI!$B$8) + IF(ABS(IF(ISNUMBER(SEARCH("Var", D410)), 1, IF(ISNUMBER(SEARCH("Gri", D410)), -1, 0)))=1, VERI_TABANI!E28*(1-0.928)*VERI_TABANI!$B$9, 0) + (VERI_TABANI!D28*B410*(VERI_TABANI!$B$13-VERI_TABANI!$B$14)*VERI_TABANI!G28) + (VERI_TABANI!D28*C410*(VERI_TABANI!$B$13-VERI_TABANI!$B$15)*VERI_TABANI!G28) + IF(ABS(IF(ISNUMBER(SEARCH("Var", D410)), 1, IF(ISNUMBER(SEARCH("Gri", D410)), -1, 0)))=1, VERI_TABANI!E28*(1-0.928)*0.00206091519919798*VERI_TABANI!G28, 0)))</f>
        <v/>
      </c>
      <c r="H410" s="169">
        <f>(((VERI_TABANI!D23*B410*(VERI_TABANI!$B$13-VERI_TABANI!$B$14)) + (VERI_TABANI!D23*C410*(VERI_TABANI!$B$13-VERI_TABANI!$B$15)) + IF(ISNUMBER(SEARCH("Var", D410)), VERI_TABANI!F23*(0.00202-VERI_TABANI!$B$16), IF(ISNUMBER(SEARCH("Gri", D410)), VERI_TABANI!F23*(0.00202-VERI_TABANI!$B$17), 0))) + ((VERI_TABANI!D24*B410*(VERI_TABANI!$B$13-VERI_TABANI!$B$14)) + (VERI_TABANI!D24*C410*(VERI_TABANI!$B$13-VERI_TABANI!$B$15)) + IF(ISNUMBER(SEARCH("Var", D410)), VERI_TABANI!F24*(0.00202-VERI_TABANI!$B$16), IF(ISNUMBER(SEARCH("Gri", D410)), VERI_TABANI!F24*(0.00202-VERI_TABANI!$B$17), 0))) + ((VERI_TABANI!D25*B410*(VERI_TABANI!$B$13-VERI_TABANI!$B$14)) + (VERI_TABANI!D25*C410*(VERI_TABANI!$B$13-VERI_TABANI!$B$15)) + IF(ISNUMBER(SEARCH("Var", D410)), VERI_TABANI!F25*(0.00202-VERI_TABANI!$B$16), IF(ISNUMBER(SEARCH("Gri", D410)), VERI_TABANI!F25*(0.00202-VERI_TABANI!$B$17), 0))) + ((VERI_TABANI!D26*B410*(VERI_TABANI!$B$13-VERI_TABANI!$B$14)) + (VERI_TABANI!D26*C410*(VERI_TABANI!$B$13-VERI_TABANI!$B$15)) + IF(ISNUMBER(SEARCH("Var", D410)), VERI_TABANI!F26*(0.00202-VERI_TABANI!$B$16), IF(ISNUMBER(SEARCH("Gri", D410)), VERI_TABANI!F26*(0.00202-VERI_TABANI!$B$17), 0))) + ((VERI_TABANI!D27*B410*(VERI_TABANI!$B$13-VERI_TABANI!$B$14)) + (VERI_TABANI!D27*C410*(VERI_TABANI!$B$13-VERI_TABANI!$B$15)) + IF(ISNUMBER(SEARCH("Var", D410)), VERI_TABANI!F27*(0.00202-VERI_TABANI!$B$16), IF(ISNUMBER(SEARCH("Gri", D410)), VERI_TABANI!F27*(0.00202-VERI_TABANI!$B$17), 0))) + ((VERI_TABANI!D28*B410*(VERI_TABANI!$B$13-VERI_TABANI!$B$14)) + (VERI_TABANI!D28*C410*(VERI_TABANI!$B$13-VERI_TABANI!$B$15)) + IF(ISNUMBER(SEARCH("Var", D410)), VERI_TABANI!F28*(0.00202-VERI_TABANI!$B$16), IF(ISNUMBER(SEARCH("Gri", D410)), VERI_TABANI!F28*(0.00202-VERI_TABANI!$B$17), 0))))</f>
        <v/>
      </c>
      <c r="I410" s="170">
        <f>IFERROR(((VERI_TABANI!$D$29*B410*VERI_TABANI!$B$14 + VERI_TABANI!$D$29*C410*VERI_TABANI!$B$15 + IF(ISNUMBER(SEARCH("Var", D410)), VERI_TABANI!$F$29*VERI_TABANI!$B$16, 0))) / (((VERI_TABANI!$D$29*B410 + VERI_TABANI!$D$29*C410)*VERI_TABANI!$B$13 + IF(ISNUMBER(SEARCH("Var", D410)), VERI_TABANI!$E$29*(1-0.928)*VERI_TABANI!$B$18, 0))), 0)</f>
        <v/>
      </c>
      <c r="J410" s="171">
        <f>IFERROR(F410/(G410/29), 0)</f>
        <v/>
      </c>
      <c r="K410" s="172">
        <f>IF(F410&gt;0, H410/F410, 0)</f>
        <v/>
      </c>
      <c r="L410" s="170">
        <f>IF(F410&gt;0, I410, 1000000000)</f>
        <v/>
      </c>
      <c r="M410" s="171">
        <f>ABS((B410+C410)-1)</f>
        <v/>
      </c>
      <c r="N410" s="170">
        <f>IF(F410&gt;0, (G410/29)/F410, 0)</f>
        <v/>
      </c>
      <c r="O410" s="168">
        <f>IF(AND((B410+C410)&gt;=1, ISNUMBER(SEARCH("Var", D410))), F410, 1000000000)</f>
        <v/>
      </c>
      <c r="P410" s="172">
        <f>IF(F410&gt;0, SQRT((F410/MAX(F$5:F$886))^2 + (1 - H410/MAX(H$5:H$886))^2 + (J410/MAX(J$5:J$886))^2), 1000000000)</f>
        <v/>
      </c>
      <c r="Q410" s="166">
        <f>IF(AND(ABS(B410-0.5)&lt;0.01, ABS(C410-0.5)&lt;0.01, ISNUMBER(SEARCH("Var", D410))), 1, 0)</f>
        <v/>
      </c>
      <c r="R410" s="171">
        <f>IF(F410&gt;0, J410, 1000000000)</f>
        <v/>
      </c>
      <c r="S410" s="101">
        <f>IF(AND(F410&lt;=DASHBOARD!$B$11, H410&gt;=DASHBOARD!$B$13), G410, -1000000000000)</f>
        <v/>
      </c>
      <c r="T410" s="101">
        <f>IF(AND(F410&lt;=DASHBOARD!$B$11, H410&gt;=DASHBOARD!$B$13), R410, 1000000000000)</f>
        <v/>
      </c>
      <c r="U410" s="101">
        <f>IF(AND(F410&lt;=DASHBOARD!$B$11, H410&gt;=DASHBOARD!$B$13), N410, -1000000000000)</f>
        <v/>
      </c>
      <c r="V410" s="101">
        <f>IF(AND(F410&lt;=DASHBOARD!$B$11, H410&gt;=DASHBOARD!$B$13), H410, -1000000000000)</f>
        <v/>
      </c>
      <c r="W410" s="101">
        <f>IF(AND(F410&lt;=DASHBOARD!$B$11, H410&gt;=DASHBOARD!$B$13), K410, -1000000000000)</f>
        <v/>
      </c>
      <c r="X410" s="101">
        <f>IF(AND(F410&lt;=DASHBOARD!$B$11, H410&gt;=DASHBOARD!$B$13), M410, 1000000000000)</f>
        <v/>
      </c>
      <c r="Y410" s="101">
        <f>IF(AND(F410&lt;=DASHBOARD!$B$10, H410&gt;=DASHBOARD!$B$11), L410, 1000000000000)</f>
        <v/>
      </c>
      <c r="Z410" s="101">
        <f>IF(AND(F410&lt;=DASHBOARD!$B$10, H410&gt;=DASHBOARD!$B$11), O410, 1000000000000)</f>
        <v/>
      </c>
      <c r="AA410" s="101">
        <f>IF(AND(F410&lt;=DASHBOARD!$B$10, H410&gt;=DASHBOARD!$B$11), P410, 1000000000000)</f>
        <v/>
      </c>
      <c r="AB410" s="101">
        <f>IF(AND(F410&lt;=DASHBOARD!$B$10, H410&gt;=DASHBOARD!$B$11), Q410, -1000000000000)</f>
        <v/>
      </c>
    </row>
    <row r="411" ht="15" customHeight="1" s="102">
      <c r="A411" s="166" t="n">
        <v>407</v>
      </c>
      <c r="B411" s="167" t="n">
        <v>0.9</v>
      </c>
      <c r="C411" s="167" t="n">
        <v>1.4</v>
      </c>
      <c r="D411" s="110" t="inlineStr">
        <is>
          <t>Yok (%0)</t>
        </is>
      </c>
      <c r="E411" s="110">
        <f>IF((B411+C411)&lt;=1, "Tam Mahsuplaşma (≤%100)", "Kısmi Satış (&gt;%100)")</f>
        <v/>
      </c>
      <c r="F411" s="168">
        <f>((VERI_TABANI!$D$29*B411/VERI_TABANI!$B$29)/VERI_TABANI!$B$3)*VERI_TABANI!$B$5 + ((VERI_TABANI!$D$29*C411/VERI_TABANI!$B$29)/VERI_TABANI!$B$4)*VERI_TABANI!$B$6 + IF(ISNUMBER(SEARCH("Var", D411)), (VERI_TABANI!$F$29/VERI_TABANI!$B$29)*(VERI_TABANI!$B$10+VERI_TABANI!$B$12), 0)</f>
        <v/>
      </c>
      <c r="G411" s="168">
        <f>(((MIN(VERI_TABANI!D23, VERI_TABANI!D23*B411)*VERI_TABANI!$B$7 + MAX(0, VERI_TABANI!D23*B411-VERI_TABANI!D23)*VERI_TABANI!$B$8) + (MIN(MAX(0, VERI_TABANI!D23-VERI_TABANI!D23*B411), VERI_TABANI!D23*C411)*VERI_TABANI!$B$7 + MAX(0, VERI_TABANI!D23*C411-MAX(0, VERI_TABANI!D23-VERI_TABANI!D23*B411))*VERI_TABANI!$B$8) + IF(ABS(IF(ISNUMBER(SEARCH("Var", D411)), 1, IF(ISNUMBER(SEARCH("Gri", D411)), -1, 0)))=1, VERI_TABANI!E23*(1-0.928)*VERI_TABANI!$B$9, 0) + (VERI_TABANI!D23*B411*(VERI_TABANI!$B$13-VERI_TABANI!$B$14)*VERI_TABANI!G23) + (VERI_TABANI!D23*C411*(VERI_TABANI!$B$13-VERI_TABANI!$B$15)*VERI_TABANI!G23) + IF(ABS(IF(ISNUMBER(SEARCH("Var", D411)), 1, IF(ISNUMBER(SEARCH("Gri", D411)), -1, 0)))=1, VERI_TABANI!E23*(1-0.928)*0.00206091519919798*VERI_TABANI!G23, 0)) + ((MIN(VERI_TABANI!D24, VERI_TABANI!D24*B411)*VERI_TABANI!$B$7 + MAX(0, VERI_TABANI!D24*B411-VERI_TABANI!D24)*VERI_TABANI!$B$8) + (MIN(MAX(0, VERI_TABANI!D24-VERI_TABANI!D24*B411), VERI_TABANI!D24*C411)*VERI_TABANI!$B$7 + MAX(0, VERI_TABANI!D24*C411-MAX(0, VERI_TABANI!D24-VERI_TABANI!D24*B411))*VERI_TABANI!$B$8) + IF(ABS(IF(ISNUMBER(SEARCH("Var", D411)), 1, IF(ISNUMBER(SEARCH("Gri", D411)), -1, 0)))=1, VERI_TABANI!E24*(1-0.928)*VERI_TABANI!$B$9, 0) + (VERI_TABANI!D24*B411*(VERI_TABANI!$B$13-VERI_TABANI!$B$14)*VERI_TABANI!G24) + (VERI_TABANI!D24*C411*(VERI_TABANI!$B$13-VERI_TABANI!$B$15)*VERI_TABANI!G24) + IF(ABS(IF(ISNUMBER(SEARCH("Var", D411)), 1, IF(ISNUMBER(SEARCH("Gri", D411)), -1, 0)))=1, VERI_TABANI!E24*(1-0.928)*0.00206091519919798*VERI_TABANI!G24, 0)) + ((MIN(VERI_TABANI!D25, VERI_TABANI!D25*B411)*VERI_TABANI!$B$7 + MAX(0, VERI_TABANI!D25*B411-VERI_TABANI!D25)*VERI_TABANI!$B$8) + (MIN(MAX(0, VERI_TABANI!D25-VERI_TABANI!D25*B411), VERI_TABANI!D25*C411)*VERI_TABANI!$B$7 + MAX(0, VERI_TABANI!D25*C411-MAX(0, VERI_TABANI!D25-VERI_TABANI!D25*B411))*VERI_TABANI!$B$8) + IF(ABS(IF(ISNUMBER(SEARCH("Var", D411)), 1, IF(ISNUMBER(SEARCH("Gri", D411)), -1, 0)))=1, VERI_TABANI!E25*(1-0.928)*VERI_TABANI!$B$9, 0) + (VERI_TABANI!D25*B411*(VERI_TABANI!$B$13-VERI_TABANI!$B$14)*VERI_TABANI!G25) + (VERI_TABANI!D25*C411*(VERI_TABANI!$B$13-VERI_TABANI!$B$15)*VERI_TABANI!G25) + IF(ABS(IF(ISNUMBER(SEARCH("Var", D411)), 1, IF(ISNUMBER(SEARCH("Gri", D411)), -1, 0)))=1, VERI_TABANI!E25*(1-0.928)*0.00206091519919798*VERI_TABANI!G25, 0)) + ((MIN(VERI_TABANI!D26, VERI_TABANI!D26*B411)*VERI_TABANI!$B$7 + MAX(0, VERI_TABANI!D26*B411-VERI_TABANI!D26)*VERI_TABANI!$B$8) + (MIN(MAX(0, VERI_TABANI!D26-VERI_TABANI!D26*B411), VERI_TABANI!D26*C411)*VERI_TABANI!$B$7 + MAX(0, VERI_TABANI!D26*C411-MAX(0, VERI_TABANI!D26-VERI_TABANI!D26*B411))*VERI_TABANI!$B$8) + IF(ABS(IF(ISNUMBER(SEARCH("Var", D411)), 1, IF(ISNUMBER(SEARCH("Gri", D411)), -1, 0)))=1, VERI_TABANI!E26*(1-0.928)*VERI_TABANI!$B$9, 0) + (VERI_TABANI!D26*B411*(VERI_TABANI!$B$13-VERI_TABANI!$B$14)*VERI_TABANI!G26) + (VERI_TABANI!D26*C411*(VERI_TABANI!$B$13-VERI_TABANI!$B$15)*VERI_TABANI!G26) + IF(ABS(IF(ISNUMBER(SEARCH("Var", D411)), 1, IF(ISNUMBER(SEARCH("Gri", D411)), -1, 0)))=1, VERI_TABANI!E26*(1-0.928)*0.00206091519919798*VERI_TABANI!G26, 0)) + ((MIN(VERI_TABANI!D27, VERI_TABANI!D27*B411)*VERI_TABANI!$B$7 + MAX(0, VERI_TABANI!D27*B411-VERI_TABANI!D27)*VERI_TABANI!$B$8) + (MIN(MAX(0, VERI_TABANI!D27-VERI_TABANI!D27*B411), VERI_TABANI!D27*C411)*VERI_TABANI!$B$7 + MAX(0, VERI_TABANI!D27*C411-MAX(0, VERI_TABANI!D27-VERI_TABANI!D27*B411))*VERI_TABANI!$B$8) + IF(ABS(IF(ISNUMBER(SEARCH("Var", D411)), 1, IF(ISNUMBER(SEARCH("Gri", D411)), -1, 0)))=1, VERI_TABANI!E27*(1-0.928)*VERI_TABANI!$B$9, 0) + (VERI_TABANI!D27*B411*(VERI_TABANI!$B$13-VERI_TABANI!$B$14)*VERI_TABANI!G27) + (VERI_TABANI!D27*C411*(VERI_TABANI!$B$13-VERI_TABANI!$B$15)*VERI_TABANI!G27) + IF(ABS(IF(ISNUMBER(SEARCH("Var", D411)), 1, IF(ISNUMBER(SEARCH("Gri", D411)), -1, 0)))=1, VERI_TABANI!E27*(1-0.928)*0.00206091519919798*VERI_TABANI!G27, 0)) + ((MIN(VERI_TABANI!D28, VERI_TABANI!D28*B411)*VERI_TABANI!$B$7 + MAX(0, VERI_TABANI!D28*B411-VERI_TABANI!D28)*VERI_TABANI!$B$8) + (MIN(MAX(0, VERI_TABANI!D28-VERI_TABANI!D28*B411), VERI_TABANI!D28*C411)*VERI_TABANI!$B$7 + MAX(0, VERI_TABANI!D28*C411-MAX(0, VERI_TABANI!D28-VERI_TABANI!D28*B411))*VERI_TABANI!$B$8) + IF(ABS(IF(ISNUMBER(SEARCH("Var", D411)), 1, IF(ISNUMBER(SEARCH("Gri", D411)), -1, 0)))=1, VERI_TABANI!E28*(1-0.928)*VERI_TABANI!$B$9, 0) + (VERI_TABANI!D28*B411*(VERI_TABANI!$B$13-VERI_TABANI!$B$14)*VERI_TABANI!G28) + (VERI_TABANI!D28*C411*(VERI_TABANI!$B$13-VERI_TABANI!$B$15)*VERI_TABANI!G28) + IF(ABS(IF(ISNUMBER(SEARCH("Var", D411)), 1, IF(ISNUMBER(SEARCH("Gri", D411)), -1, 0)))=1, VERI_TABANI!E28*(1-0.928)*0.00206091519919798*VERI_TABANI!G28, 0)))</f>
        <v/>
      </c>
      <c r="H411" s="169">
        <f>(((VERI_TABANI!D23*B411*(VERI_TABANI!$B$13-VERI_TABANI!$B$14)) + (VERI_TABANI!D23*C411*(VERI_TABANI!$B$13-VERI_TABANI!$B$15)) + IF(ISNUMBER(SEARCH("Var", D411)), VERI_TABANI!F23*(0.00202-VERI_TABANI!$B$16), IF(ISNUMBER(SEARCH("Gri", D411)), VERI_TABANI!F23*(0.00202-VERI_TABANI!$B$17), 0))) + ((VERI_TABANI!D24*B411*(VERI_TABANI!$B$13-VERI_TABANI!$B$14)) + (VERI_TABANI!D24*C411*(VERI_TABANI!$B$13-VERI_TABANI!$B$15)) + IF(ISNUMBER(SEARCH("Var", D411)), VERI_TABANI!F24*(0.00202-VERI_TABANI!$B$16), IF(ISNUMBER(SEARCH("Gri", D411)), VERI_TABANI!F24*(0.00202-VERI_TABANI!$B$17), 0))) + ((VERI_TABANI!D25*B411*(VERI_TABANI!$B$13-VERI_TABANI!$B$14)) + (VERI_TABANI!D25*C411*(VERI_TABANI!$B$13-VERI_TABANI!$B$15)) + IF(ISNUMBER(SEARCH("Var", D411)), VERI_TABANI!F25*(0.00202-VERI_TABANI!$B$16), IF(ISNUMBER(SEARCH("Gri", D411)), VERI_TABANI!F25*(0.00202-VERI_TABANI!$B$17), 0))) + ((VERI_TABANI!D26*B411*(VERI_TABANI!$B$13-VERI_TABANI!$B$14)) + (VERI_TABANI!D26*C411*(VERI_TABANI!$B$13-VERI_TABANI!$B$15)) + IF(ISNUMBER(SEARCH("Var", D411)), VERI_TABANI!F26*(0.00202-VERI_TABANI!$B$16), IF(ISNUMBER(SEARCH("Gri", D411)), VERI_TABANI!F26*(0.00202-VERI_TABANI!$B$17), 0))) + ((VERI_TABANI!D27*B411*(VERI_TABANI!$B$13-VERI_TABANI!$B$14)) + (VERI_TABANI!D27*C411*(VERI_TABANI!$B$13-VERI_TABANI!$B$15)) + IF(ISNUMBER(SEARCH("Var", D411)), VERI_TABANI!F27*(0.00202-VERI_TABANI!$B$16), IF(ISNUMBER(SEARCH("Gri", D411)), VERI_TABANI!F27*(0.00202-VERI_TABANI!$B$17), 0))) + ((VERI_TABANI!D28*B411*(VERI_TABANI!$B$13-VERI_TABANI!$B$14)) + (VERI_TABANI!D28*C411*(VERI_TABANI!$B$13-VERI_TABANI!$B$15)) + IF(ISNUMBER(SEARCH("Var", D411)), VERI_TABANI!F28*(0.00202-VERI_TABANI!$B$16), IF(ISNUMBER(SEARCH("Gri", D411)), VERI_TABANI!F28*(0.00202-VERI_TABANI!$B$17), 0))))</f>
        <v/>
      </c>
      <c r="I411" s="170">
        <f>IFERROR(((VERI_TABANI!$D$29*B411*VERI_TABANI!$B$14 + VERI_TABANI!$D$29*C411*VERI_TABANI!$B$15 + IF(ISNUMBER(SEARCH("Var", D411)), VERI_TABANI!$F$29*VERI_TABANI!$B$16, 0))) / (((VERI_TABANI!$D$29*B411 + VERI_TABANI!$D$29*C411)*VERI_TABANI!$B$13 + IF(ISNUMBER(SEARCH("Var", D411)), VERI_TABANI!$E$29*(1-0.928)*VERI_TABANI!$B$18, 0))), 0)</f>
        <v/>
      </c>
      <c r="J411" s="171">
        <f>IFERROR(F411/(G411/29), 0)</f>
        <v/>
      </c>
      <c r="K411" s="172">
        <f>IF(F411&gt;0, H411/F411, 0)</f>
        <v/>
      </c>
      <c r="L411" s="170">
        <f>IF(F411&gt;0, I411, 1000000000)</f>
        <v/>
      </c>
      <c r="M411" s="171">
        <f>ABS((B411+C411)-1)</f>
        <v/>
      </c>
      <c r="N411" s="170">
        <f>IF(F411&gt;0, (G411/29)/F411, 0)</f>
        <v/>
      </c>
      <c r="O411" s="168">
        <f>IF(AND((B411+C411)&gt;=1, ISNUMBER(SEARCH("Var", D411))), F411, 1000000000)</f>
        <v/>
      </c>
      <c r="P411" s="172">
        <f>IF(F411&gt;0, SQRT((F411/MAX(F$5:F$886))^2 + (1 - H411/MAX(H$5:H$886))^2 + (J411/MAX(J$5:J$886))^2), 1000000000)</f>
        <v/>
      </c>
      <c r="Q411" s="166">
        <f>IF(AND(ABS(B411-0.5)&lt;0.01, ABS(C411-0.5)&lt;0.01, ISNUMBER(SEARCH("Var", D411))), 1, 0)</f>
        <v/>
      </c>
      <c r="R411" s="171">
        <f>IF(F411&gt;0, J411, 1000000000)</f>
        <v/>
      </c>
      <c r="S411" s="101">
        <f>IF(AND(F411&lt;=DASHBOARD!$B$11, H411&gt;=DASHBOARD!$B$13), G411, -1000000000000)</f>
        <v/>
      </c>
      <c r="T411" s="101">
        <f>IF(AND(F411&lt;=DASHBOARD!$B$11, H411&gt;=DASHBOARD!$B$13), R411, 1000000000000)</f>
        <v/>
      </c>
      <c r="U411" s="101">
        <f>IF(AND(F411&lt;=DASHBOARD!$B$11, H411&gt;=DASHBOARD!$B$13), N411, -1000000000000)</f>
        <v/>
      </c>
      <c r="V411" s="101">
        <f>IF(AND(F411&lt;=DASHBOARD!$B$11, H411&gt;=DASHBOARD!$B$13), H411, -1000000000000)</f>
        <v/>
      </c>
      <c r="W411" s="101">
        <f>IF(AND(F411&lt;=DASHBOARD!$B$11, H411&gt;=DASHBOARD!$B$13), K411, -1000000000000)</f>
        <v/>
      </c>
      <c r="X411" s="101">
        <f>IF(AND(F411&lt;=DASHBOARD!$B$11, H411&gt;=DASHBOARD!$B$13), M411, 1000000000000)</f>
        <v/>
      </c>
      <c r="Y411" s="101">
        <f>IF(AND(F411&lt;=DASHBOARD!$B$10, H411&gt;=DASHBOARD!$B$11), L411, 1000000000000)</f>
        <v/>
      </c>
      <c r="Z411" s="101">
        <f>IF(AND(F411&lt;=DASHBOARD!$B$10, H411&gt;=DASHBOARD!$B$11), O411, 1000000000000)</f>
        <v/>
      </c>
      <c r="AA411" s="101">
        <f>IF(AND(F411&lt;=DASHBOARD!$B$10, H411&gt;=DASHBOARD!$B$11), P411, 1000000000000)</f>
        <v/>
      </c>
      <c r="AB411" s="101">
        <f>IF(AND(F411&lt;=DASHBOARD!$B$10, H411&gt;=DASHBOARD!$B$11), Q411, -1000000000000)</f>
        <v/>
      </c>
    </row>
    <row r="412" ht="15" customHeight="1" s="102">
      <c r="A412" s="166" t="n">
        <v>408</v>
      </c>
      <c r="B412" s="167" t="n">
        <v>0.9</v>
      </c>
      <c r="C412" s="167" t="n">
        <v>1.4</v>
      </c>
      <c r="D412" s="110" t="inlineStr">
        <is>
          <t>Var (%20)</t>
        </is>
      </c>
      <c r="E412" s="110">
        <f>IF((B412+C412)&lt;=1, "Tam Mahsuplaşma (≤%100)", "Kısmi Satış (&gt;%100)")</f>
        <v/>
      </c>
      <c r="F412" s="168">
        <f>((VERI_TABANI!$D$29*B412/VERI_TABANI!$B$29)/VERI_TABANI!$B$3)*VERI_TABANI!$B$5 + ((VERI_TABANI!$D$29*C412/VERI_TABANI!$B$29)/VERI_TABANI!$B$4)*VERI_TABANI!$B$6 + IF(ISNUMBER(SEARCH("Var", D412)), (VERI_TABANI!$F$29/VERI_TABANI!$B$29)*(VERI_TABANI!$B$10+VERI_TABANI!$B$12), 0)</f>
        <v/>
      </c>
      <c r="G412" s="168">
        <f>(((MIN(VERI_TABANI!D23, VERI_TABANI!D23*B412)*VERI_TABANI!$B$7 + MAX(0, VERI_TABANI!D23*B412-VERI_TABANI!D23)*VERI_TABANI!$B$8) + (MIN(MAX(0, VERI_TABANI!D23-VERI_TABANI!D23*B412), VERI_TABANI!D23*C412)*VERI_TABANI!$B$7 + MAX(0, VERI_TABANI!D23*C412-MAX(0, VERI_TABANI!D23-VERI_TABANI!D23*B412))*VERI_TABANI!$B$8) + IF(ABS(IF(ISNUMBER(SEARCH("Var", D412)), 1, IF(ISNUMBER(SEARCH("Gri", D412)), -1, 0)))=1, VERI_TABANI!E23*(1-0.928)*VERI_TABANI!$B$9, 0) + (VERI_TABANI!D23*B412*(VERI_TABANI!$B$13-VERI_TABANI!$B$14)*VERI_TABANI!G23) + (VERI_TABANI!D23*C412*(VERI_TABANI!$B$13-VERI_TABANI!$B$15)*VERI_TABANI!G23) + IF(ABS(IF(ISNUMBER(SEARCH("Var", D412)), 1, IF(ISNUMBER(SEARCH("Gri", D412)), -1, 0)))=1, VERI_TABANI!E23*(1-0.928)*0.00206091519919798*VERI_TABANI!G23, 0)) + ((MIN(VERI_TABANI!D24, VERI_TABANI!D24*B412)*VERI_TABANI!$B$7 + MAX(0, VERI_TABANI!D24*B412-VERI_TABANI!D24)*VERI_TABANI!$B$8) + (MIN(MAX(0, VERI_TABANI!D24-VERI_TABANI!D24*B412), VERI_TABANI!D24*C412)*VERI_TABANI!$B$7 + MAX(0, VERI_TABANI!D24*C412-MAX(0, VERI_TABANI!D24-VERI_TABANI!D24*B412))*VERI_TABANI!$B$8) + IF(ABS(IF(ISNUMBER(SEARCH("Var", D412)), 1, IF(ISNUMBER(SEARCH("Gri", D412)), -1, 0)))=1, VERI_TABANI!E24*(1-0.928)*VERI_TABANI!$B$9, 0) + (VERI_TABANI!D24*B412*(VERI_TABANI!$B$13-VERI_TABANI!$B$14)*VERI_TABANI!G24) + (VERI_TABANI!D24*C412*(VERI_TABANI!$B$13-VERI_TABANI!$B$15)*VERI_TABANI!G24) + IF(ABS(IF(ISNUMBER(SEARCH("Var", D412)), 1, IF(ISNUMBER(SEARCH("Gri", D412)), -1, 0)))=1, VERI_TABANI!E24*(1-0.928)*0.00206091519919798*VERI_TABANI!G24, 0)) + ((MIN(VERI_TABANI!D25, VERI_TABANI!D25*B412)*VERI_TABANI!$B$7 + MAX(0, VERI_TABANI!D25*B412-VERI_TABANI!D25)*VERI_TABANI!$B$8) + (MIN(MAX(0, VERI_TABANI!D25-VERI_TABANI!D25*B412), VERI_TABANI!D25*C412)*VERI_TABANI!$B$7 + MAX(0, VERI_TABANI!D25*C412-MAX(0, VERI_TABANI!D25-VERI_TABANI!D25*B412))*VERI_TABANI!$B$8) + IF(ABS(IF(ISNUMBER(SEARCH("Var", D412)), 1, IF(ISNUMBER(SEARCH("Gri", D412)), -1, 0)))=1, VERI_TABANI!E25*(1-0.928)*VERI_TABANI!$B$9, 0) + (VERI_TABANI!D25*B412*(VERI_TABANI!$B$13-VERI_TABANI!$B$14)*VERI_TABANI!G25) + (VERI_TABANI!D25*C412*(VERI_TABANI!$B$13-VERI_TABANI!$B$15)*VERI_TABANI!G25) + IF(ABS(IF(ISNUMBER(SEARCH("Var", D412)), 1, IF(ISNUMBER(SEARCH("Gri", D412)), -1, 0)))=1, VERI_TABANI!E25*(1-0.928)*0.00206091519919798*VERI_TABANI!G25, 0)) + ((MIN(VERI_TABANI!D26, VERI_TABANI!D26*B412)*VERI_TABANI!$B$7 + MAX(0, VERI_TABANI!D26*B412-VERI_TABANI!D26)*VERI_TABANI!$B$8) + (MIN(MAX(0, VERI_TABANI!D26-VERI_TABANI!D26*B412), VERI_TABANI!D26*C412)*VERI_TABANI!$B$7 + MAX(0, VERI_TABANI!D26*C412-MAX(0, VERI_TABANI!D26-VERI_TABANI!D26*B412))*VERI_TABANI!$B$8) + IF(ABS(IF(ISNUMBER(SEARCH("Var", D412)), 1, IF(ISNUMBER(SEARCH("Gri", D412)), -1, 0)))=1, VERI_TABANI!E26*(1-0.928)*VERI_TABANI!$B$9, 0) + (VERI_TABANI!D26*B412*(VERI_TABANI!$B$13-VERI_TABANI!$B$14)*VERI_TABANI!G26) + (VERI_TABANI!D26*C412*(VERI_TABANI!$B$13-VERI_TABANI!$B$15)*VERI_TABANI!G26) + IF(ABS(IF(ISNUMBER(SEARCH("Var", D412)), 1, IF(ISNUMBER(SEARCH("Gri", D412)), -1, 0)))=1, VERI_TABANI!E26*(1-0.928)*0.00206091519919798*VERI_TABANI!G26, 0)) + ((MIN(VERI_TABANI!D27, VERI_TABANI!D27*B412)*VERI_TABANI!$B$7 + MAX(0, VERI_TABANI!D27*B412-VERI_TABANI!D27)*VERI_TABANI!$B$8) + (MIN(MAX(0, VERI_TABANI!D27-VERI_TABANI!D27*B412), VERI_TABANI!D27*C412)*VERI_TABANI!$B$7 + MAX(0, VERI_TABANI!D27*C412-MAX(0, VERI_TABANI!D27-VERI_TABANI!D27*B412))*VERI_TABANI!$B$8) + IF(ABS(IF(ISNUMBER(SEARCH("Var", D412)), 1, IF(ISNUMBER(SEARCH("Gri", D412)), -1, 0)))=1, VERI_TABANI!E27*(1-0.928)*VERI_TABANI!$B$9, 0) + (VERI_TABANI!D27*B412*(VERI_TABANI!$B$13-VERI_TABANI!$B$14)*VERI_TABANI!G27) + (VERI_TABANI!D27*C412*(VERI_TABANI!$B$13-VERI_TABANI!$B$15)*VERI_TABANI!G27) + IF(ABS(IF(ISNUMBER(SEARCH("Var", D412)), 1, IF(ISNUMBER(SEARCH("Gri", D412)), -1, 0)))=1, VERI_TABANI!E27*(1-0.928)*0.00206091519919798*VERI_TABANI!G27, 0)) + ((MIN(VERI_TABANI!D28, VERI_TABANI!D28*B412)*VERI_TABANI!$B$7 + MAX(0, VERI_TABANI!D28*B412-VERI_TABANI!D28)*VERI_TABANI!$B$8) + (MIN(MAX(0, VERI_TABANI!D28-VERI_TABANI!D28*B412), VERI_TABANI!D28*C412)*VERI_TABANI!$B$7 + MAX(0, VERI_TABANI!D28*C412-MAX(0, VERI_TABANI!D28-VERI_TABANI!D28*B412))*VERI_TABANI!$B$8) + IF(ABS(IF(ISNUMBER(SEARCH("Var", D412)), 1, IF(ISNUMBER(SEARCH("Gri", D412)), -1, 0)))=1, VERI_TABANI!E28*(1-0.928)*VERI_TABANI!$B$9, 0) + (VERI_TABANI!D28*B412*(VERI_TABANI!$B$13-VERI_TABANI!$B$14)*VERI_TABANI!G28) + (VERI_TABANI!D28*C412*(VERI_TABANI!$B$13-VERI_TABANI!$B$15)*VERI_TABANI!G28) + IF(ABS(IF(ISNUMBER(SEARCH("Var", D412)), 1, IF(ISNUMBER(SEARCH("Gri", D412)), -1, 0)))=1, VERI_TABANI!E28*(1-0.928)*0.00206091519919798*VERI_TABANI!G28, 0)))</f>
        <v/>
      </c>
      <c r="H412" s="169">
        <f>(((VERI_TABANI!D23*B412*(VERI_TABANI!$B$13-VERI_TABANI!$B$14)) + (VERI_TABANI!D23*C412*(VERI_TABANI!$B$13-VERI_TABANI!$B$15)) + IF(ISNUMBER(SEARCH("Var", D412)), VERI_TABANI!F23*(0.00202-VERI_TABANI!$B$16), IF(ISNUMBER(SEARCH("Gri", D412)), VERI_TABANI!F23*(0.00202-VERI_TABANI!$B$17), 0))) + ((VERI_TABANI!D24*B412*(VERI_TABANI!$B$13-VERI_TABANI!$B$14)) + (VERI_TABANI!D24*C412*(VERI_TABANI!$B$13-VERI_TABANI!$B$15)) + IF(ISNUMBER(SEARCH("Var", D412)), VERI_TABANI!F24*(0.00202-VERI_TABANI!$B$16), IF(ISNUMBER(SEARCH("Gri", D412)), VERI_TABANI!F24*(0.00202-VERI_TABANI!$B$17), 0))) + ((VERI_TABANI!D25*B412*(VERI_TABANI!$B$13-VERI_TABANI!$B$14)) + (VERI_TABANI!D25*C412*(VERI_TABANI!$B$13-VERI_TABANI!$B$15)) + IF(ISNUMBER(SEARCH("Var", D412)), VERI_TABANI!F25*(0.00202-VERI_TABANI!$B$16), IF(ISNUMBER(SEARCH("Gri", D412)), VERI_TABANI!F25*(0.00202-VERI_TABANI!$B$17), 0))) + ((VERI_TABANI!D26*B412*(VERI_TABANI!$B$13-VERI_TABANI!$B$14)) + (VERI_TABANI!D26*C412*(VERI_TABANI!$B$13-VERI_TABANI!$B$15)) + IF(ISNUMBER(SEARCH("Var", D412)), VERI_TABANI!F26*(0.00202-VERI_TABANI!$B$16), IF(ISNUMBER(SEARCH("Gri", D412)), VERI_TABANI!F26*(0.00202-VERI_TABANI!$B$17), 0))) + ((VERI_TABANI!D27*B412*(VERI_TABANI!$B$13-VERI_TABANI!$B$14)) + (VERI_TABANI!D27*C412*(VERI_TABANI!$B$13-VERI_TABANI!$B$15)) + IF(ISNUMBER(SEARCH("Var", D412)), VERI_TABANI!F27*(0.00202-VERI_TABANI!$B$16), IF(ISNUMBER(SEARCH("Gri", D412)), VERI_TABANI!F27*(0.00202-VERI_TABANI!$B$17), 0))) + ((VERI_TABANI!D28*B412*(VERI_TABANI!$B$13-VERI_TABANI!$B$14)) + (VERI_TABANI!D28*C412*(VERI_TABANI!$B$13-VERI_TABANI!$B$15)) + IF(ISNUMBER(SEARCH("Var", D412)), VERI_TABANI!F28*(0.00202-VERI_TABANI!$B$16), IF(ISNUMBER(SEARCH("Gri", D412)), VERI_TABANI!F28*(0.00202-VERI_TABANI!$B$17), 0))))</f>
        <v/>
      </c>
      <c r="I412" s="170">
        <f>IFERROR(((VERI_TABANI!$D$29*B412*VERI_TABANI!$B$14 + VERI_TABANI!$D$29*C412*VERI_TABANI!$B$15 + IF(ISNUMBER(SEARCH("Var", D412)), VERI_TABANI!$F$29*VERI_TABANI!$B$16, 0))) / (((VERI_TABANI!$D$29*B412 + VERI_TABANI!$D$29*C412)*VERI_TABANI!$B$13 + IF(ISNUMBER(SEARCH("Var", D412)), VERI_TABANI!$E$29*(1-0.928)*VERI_TABANI!$B$18, 0))), 0)</f>
        <v/>
      </c>
      <c r="J412" s="171">
        <f>IFERROR(F412/(G412/29), 0)</f>
        <v/>
      </c>
      <c r="K412" s="172">
        <f>IF(F412&gt;0, H412/F412, 0)</f>
        <v/>
      </c>
      <c r="L412" s="170">
        <f>IF(F412&gt;0, I412, 1000000000)</f>
        <v/>
      </c>
      <c r="M412" s="171">
        <f>ABS((B412+C412)-1)</f>
        <v/>
      </c>
      <c r="N412" s="170">
        <f>IF(F412&gt;0, (G412/29)/F412, 0)</f>
        <v/>
      </c>
      <c r="O412" s="168">
        <f>IF(AND((B412+C412)&gt;=1, ISNUMBER(SEARCH("Var", D412))), F412, 1000000000)</f>
        <v/>
      </c>
      <c r="P412" s="172">
        <f>IF(F412&gt;0, SQRT((F412/MAX(F$5:F$886))^2 + (1 - H412/MAX(H$5:H$886))^2 + (J412/MAX(J$5:J$886))^2), 1000000000)</f>
        <v/>
      </c>
      <c r="Q412" s="166">
        <f>IF(AND(ABS(B412-0.5)&lt;0.01, ABS(C412-0.5)&lt;0.01, ISNUMBER(SEARCH("Var", D412))), 1, 0)</f>
        <v/>
      </c>
      <c r="R412" s="171">
        <f>IF(F412&gt;0, J412, 1000000000)</f>
        <v/>
      </c>
      <c r="S412" s="101">
        <f>IF(AND(F412&lt;=DASHBOARD!$B$11, H412&gt;=DASHBOARD!$B$13), G412, -1000000000000)</f>
        <v/>
      </c>
      <c r="T412" s="101">
        <f>IF(AND(F412&lt;=DASHBOARD!$B$11, H412&gt;=DASHBOARD!$B$13), R412, 1000000000000)</f>
        <v/>
      </c>
      <c r="U412" s="101">
        <f>IF(AND(F412&lt;=DASHBOARD!$B$11, H412&gt;=DASHBOARD!$B$13), N412, -1000000000000)</f>
        <v/>
      </c>
      <c r="V412" s="101">
        <f>IF(AND(F412&lt;=DASHBOARD!$B$11, H412&gt;=DASHBOARD!$B$13), H412, -1000000000000)</f>
        <v/>
      </c>
      <c r="W412" s="101">
        <f>IF(AND(F412&lt;=DASHBOARD!$B$11, H412&gt;=DASHBOARD!$B$13), K412, -1000000000000)</f>
        <v/>
      </c>
      <c r="X412" s="101">
        <f>IF(AND(F412&lt;=DASHBOARD!$B$11, H412&gt;=DASHBOARD!$B$13), M412, 1000000000000)</f>
        <v/>
      </c>
      <c r="Y412" s="101">
        <f>IF(AND(F412&lt;=DASHBOARD!$B$10, H412&gt;=DASHBOARD!$B$11), L412, 1000000000000)</f>
        <v/>
      </c>
      <c r="Z412" s="101">
        <f>IF(AND(F412&lt;=DASHBOARD!$B$10, H412&gt;=DASHBOARD!$B$11), O412, 1000000000000)</f>
        <v/>
      </c>
      <c r="AA412" s="101">
        <f>IF(AND(F412&lt;=DASHBOARD!$B$10, H412&gt;=DASHBOARD!$B$11), P412, 1000000000000)</f>
        <v/>
      </c>
      <c r="AB412" s="101">
        <f>IF(AND(F412&lt;=DASHBOARD!$B$10, H412&gt;=DASHBOARD!$B$11), Q412, -1000000000000)</f>
        <v/>
      </c>
    </row>
    <row r="413" ht="15" customHeight="1" s="102">
      <c r="A413" s="166" t="n">
        <v>409</v>
      </c>
      <c r="B413" s="167" t="n">
        <v>0.9</v>
      </c>
      <c r="C413" s="167" t="n">
        <v>1.5</v>
      </c>
      <c r="D413" s="110" t="inlineStr">
        <is>
          <t>Yok (%0)</t>
        </is>
      </c>
      <c r="E413" s="110">
        <f>IF((B413+C413)&lt;=1, "Tam Mahsuplaşma (≤%100)", "Kısmi Satış (&gt;%100)")</f>
        <v/>
      </c>
      <c r="F413" s="168">
        <f>((VERI_TABANI!$D$29*B413/VERI_TABANI!$B$29)/VERI_TABANI!$B$3)*VERI_TABANI!$B$5 + ((VERI_TABANI!$D$29*C413/VERI_TABANI!$B$29)/VERI_TABANI!$B$4)*VERI_TABANI!$B$6 + IF(ISNUMBER(SEARCH("Var", D413)), (VERI_TABANI!$F$29/VERI_TABANI!$B$29)*(VERI_TABANI!$B$10+VERI_TABANI!$B$12), 0)</f>
        <v/>
      </c>
      <c r="G413" s="168">
        <f>(((MIN(VERI_TABANI!D23, VERI_TABANI!D23*B413)*VERI_TABANI!$B$7 + MAX(0, VERI_TABANI!D23*B413-VERI_TABANI!D23)*VERI_TABANI!$B$8) + (MIN(MAX(0, VERI_TABANI!D23-VERI_TABANI!D23*B413), VERI_TABANI!D23*C413)*VERI_TABANI!$B$7 + MAX(0, VERI_TABANI!D23*C413-MAX(0, VERI_TABANI!D23-VERI_TABANI!D23*B413))*VERI_TABANI!$B$8) + IF(ABS(IF(ISNUMBER(SEARCH("Var", D413)), 1, IF(ISNUMBER(SEARCH("Gri", D413)), -1, 0)))=1, VERI_TABANI!E23*(1-0.928)*VERI_TABANI!$B$9, 0) + (VERI_TABANI!D23*B413*(VERI_TABANI!$B$13-VERI_TABANI!$B$14)*VERI_TABANI!G23) + (VERI_TABANI!D23*C413*(VERI_TABANI!$B$13-VERI_TABANI!$B$15)*VERI_TABANI!G23) + IF(ABS(IF(ISNUMBER(SEARCH("Var", D413)), 1, IF(ISNUMBER(SEARCH("Gri", D413)), -1, 0)))=1, VERI_TABANI!E23*(1-0.928)*0.00206091519919798*VERI_TABANI!G23, 0)) + ((MIN(VERI_TABANI!D24, VERI_TABANI!D24*B413)*VERI_TABANI!$B$7 + MAX(0, VERI_TABANI!D24*B413-VERI_TABANI!D24)*VERI_TABANI!$B$8) + (MIN(MAX(0, VERI_TABANI!D24-VERI_TABANI!D24*B413), VERI_TABANI!D24*C413)*VERI_TABANI!$B$7 + MAX(0, VERI_TABANI!D24*C413-MAX(0, VERI_TABANI!D24-VERI_TABANI!D24*B413))*VERI_TABANI!$B$8) + IF(ABS(IF(ISNUMBER(SEARCH("Var", D413)), 1, IF(ISNUMBER(SEARCH("Gri", D413)), -1, 0)))=1, VERI_TABANI!E24*(1-0.928)*VERI_TABANI!$B$9, 0) + (VERI_TABANI!D24*B413*(VERI_TABANI!$B$13-VERI_TABANI!$B$14)*VERI_TABANI!G24) + (VERI_TABANI!D24*C413*(VERI_TABANI!$B$13-VERI_TABANI!$B$15)*VERI_TABANI!G24) + IF(ABS(IF(ISNUMBER(SEARCH("Var", D413)), 1, IF(ISNUMBER(SEARCH("Gri", D413)), -1, 0)))=1, VERI_TABANI!E24*(1-0.928)*0.00206091519919798*VERI_TABANI!G24, 0)) + ((MIN(VERI_TABANI!D25, VERI_TABANI!D25*B413)*VERI_TABANI!$B$7 + MAX(0, VERI_TABANI!D25*B413-VERI_TABANI!D25)*VERI_TABANI!$B$8) + (MIN(MAX(0, VERI_TABANI!D25-VERI_TABANI!D25*B413), VERI_TABANI!D25*C413)*VERI_TABANI!$B$7 + MAX(0, VERI_TABANI!D25*C413-MAX(0, VERI_TABANI!D25-VERI_TABANI!D25*B413))*VERI_TABANI!$B$8) + IF(ABS(IF(ISNUMBER(SEARCH("Var", D413)), 1, IF(ISNUMBER(SEARCH("Gri", D413)), -1, 0)))=1, VERI_TABANI!E25*(1-0.928)*VERI_TABANI!$B$9, 0) + (VERI_TABANI!D25*B413*(VERI_TABANI!$B$13-VERI_TABANI!$B$14)*VERI_TABANI!G25) + (VERI_TABANI!D25*C413*(VERI_TABANI!$B$13-VERI_TABANI!$B$15)*VERI_TABANI!G25) + IF(ABS(IF(ISNUMBER(SEARCH("Var", D413)), 1, IF(ISNUMBER(SEARCH("Gri", D413)), -1, 0)))=1, VERI_TABANI!E25*(1-0.928)*0.00206091519919798*VERI_TABANI!G25, 0)) + ((MIN(VERI_TABANI!D26, VERI_TABANI!D26*B413)*VERI_TABANI!$B$7 + MAX(0, VERI_TABANI!D26*B413-VERI_TABANI!D26)*VERI_TABANI!$B$8) + (MIN(MAX(0, VERI_TABANI!D26-VERI_TABANI!D26*B413), VERI_TABANI!D26*C413)*VERI_TABANI!$B$7 + MAX(0, VERI_TABANI!D26*C413-MAX(0, VERI_TABANI!D26-VERI_TABANI!D26*B413))*VERI_TABANI!$B$8) + IF(ABS(IF(ISNUMBER(SEARCH("Var", D413)), 1, IF(ISNUMBER(SEARCH("Gri", D413)), -1, 0)))=1, VERI_TABANI!E26*(1-0.928)*VERI_TABANI!$B$9, 0) + (VERI_TABANI!D26*B413*(VERI_TABANI!$B$13-VERI_TABANI!$B$14)*VERI_TABANI!G26) + (VERI_TABANI!D26*C413*(VERI_TABANI!$B$13-VERI_TABANI!$B$15)*VERI_TABANI!G26) + IF(ABS(IF(ISNUMBER(SEARCH("Var", D413)), 1, IF(ISNUMBER(SEARCH("Gri", D413)), -1, 0)))=1, VERI_TABANI!E26*(1-0.928)*0.00206091519919798*VERI_TABANI!G26, 0)) + ((MIN(VERI_TABANI!D27, VERI_TABANI!D27*B413)*VERI_TABANI!$B$7 + MAX(0, VERI_TABANI!D27*B413-VERI_TABANI!D27)*VERI_TABANI!$B$8) + (MIN(MAX(0, VERI_TABANI!D27-VERI_TABANI!D27*B413), VERI_TABANI!D27*C413)*VERI_TABANI!$B$7 + MAX(0, VERI_TABANI!D27*C413-MAX(0, VERI_TABANI!D27-VERI_TABANI!D27*B413))*VERI_TABANI!$B$8) + IF(ABS(IF(ISNUMBER(SEARCH("Var", D413)), 1, IF(ISNUMBER(SEARCH("Gri", D413)), -1, 0)))=1, VERI_TABANI!E27*(1-0.928)*VERI_TABANI!$B$9, 0) + (VERI_TABANI!D27*B413*(VERI_TABANI!$B$13-VERI_TABANI!$B$14)*VERI_TABANI!G27) + (VERI_TABANI!D27*C413*(VERI_TABANI!$B$13-VERI_TABANI!$B$15)*VERI_TABANI!G27) + IF(ABS(IF(ISNUMBER(SEARCH("Var", D413)), 1, IF(ISNUMBER(SEARCH("Gri", D413)), -1, 0)))=1, VERI_TABANI!E27*(1-0.928)*0.00206091519919798*VERI_TABANI!G27, 0)) + ((MIN(VERI_TABANI!D28, VERI_TABANI!D28*B413)*VERI_TABANI!$B$7 + MAX(0, VERI_TABANI!D28*B413-VERI_TABANI!D28)*VERI_TABANI!$B$8) + (MIN(MAX(0, VERI_TABANI!D28-VERI_TABANI!D28*B413), VERI_TABANI!D28*C413)*VERI_TABANI!$B$7 + MAX(0, VERI_TABANI!D28*C413-MAX(0, VERI_TABANI!D28-VERI_TABANI!D28*B413))*VERI_TABANI!$B$8) + IF(ABS(IF(ISNUMBER(SEARCH("Var", D413)), 1, IF(ISNUMBER(SEARCH("Gri", D413)), -1, 0)))=1, VERI_TABANI!E28*(1-0.928)*VERI_TABANI!$B$9, 0) + (VERI_TABANI!D28*B413*(VERI_TABANI!$B$13-VERI_TABANI!$B$14)*VERI_TABANI!G28) + (VERI_TABANI!D28*C413*(VERI_TABANI!$B$13-VERI_TABANI!$B$15)*VERI_TABANI!G28) + IF(ABS(IF(ISNUMBER(SEARCH("Var", D413)), 1, IF(ISNUMBER(SEARCH("Gri", D413)), -1, 0)))=1, VERI_TABANI!E28*(1-0.928)*0.00206091519919798*VERI_TABANI!G28, 0)))</f>
        <v/>
      </c>
      <c r="H413" s="169">
        <f>(((VERI_TABANI!D23*B413*(VERI_TABANI!$B$13-VERI_TABANI!$B$14)) + (VERI_TABANI!D23*C413*(VERI_TABANI!$B$13-VERI_TABANI!$B$15)) + IF(ISNUMBER(SEARCH("Var", D413)), VERI_TABANI!F23*(0.00202-VERI_TABANI!$B$16), IF(ISNUMBER(SEARCH("Gri", D413)), VERI_TABANI!F23*(0.00202-VERI_TABANI!$B$17), 0))) + ((VERI_TABANI!D24*B413*(VERI_TABANI!$B$13-VERI_TABANI!$B$14)) + (VERI_TABANI!D24*C413*(VERI_TABANI!$B$13-VERI_TABANI!$B$15)) + IF(ISNUMBER(SEARCH("Var", D413)), VERI_TABANI!F24*(0.00202-VERI_TABANI!$B$16), IF(ISNUMBER(SEARCH("Gri", D413)), VERI_TABANI!F24*(0.00202-VERI_TABANI!$B$17), 0))) + ((VERI_TABANI!D25*B413*(VERI_TABANI!$B$13-VERI_TABANI!$B$14)) + (VERI_TABANI!D25*C413*(VERI_TABANI!$B$13-VERI_TABANI!$B$15)) + IF(ISNUMBER(SEARCH("Var", D413)), VERI_TABANI!F25*(0.00202-VERI_TABANI!$B$16), IF(ISNUMBER(SEARCH("Gri", D413)), VERI_TABANI!F25*(0.00202-VERI_TABANI!$B$17), 0))) + ((VERI_TABANI!D26*B413*(VERI_TABANI!$B$13-VERI_TABANI!$B$14)) + (VERI_TABANI!D26*C413*(VERI_TABANI!$B$13-VERI_TABANI!$B$15)) + IF(ISNUMBER(SEARCH("Var", D413)), VERI_TABANI!F26*(0.00202-VERI_TABANI!$B$16), IF(ISNUMBER(SEARCH("Gri", D413)), VERI_TABANI!F26*(0.00202-VERI_TABANI!$B$17), 0))) + ((VERI_TABANI!D27*B413*(VERI_TABANI!$B$13-VERI_TABANI!$B$14)) + (VERI_TABANI!D27*C413*(VERI_TABANI!$B$13-VERI_TABANI!$B$15)) + IF(ISNUMBER(SEARCH("Var", D413)), VERI_TABANI!F27*(0.00202-VERI_TABANI!$B$16), IF(ISNUMBER(SEARCH("Gri", D413)), VERI_TABANI!F27*(0.00202-VERI_TABANI!$B$17), 0))) + ((VERI_TABANI!D28*B413*(VERI_TABANI!$B$13-VERI_TABANI!$B$14)) + (VERI_TABANI!D28*C413*(VERI_TABANI!$B$13-VERI_TABANI!$B$15)) + IF(ISNUMBER(SEARCH("Var", D413)), VERI_TABANI!F28*(0.00202-VERI_TABANI!$B$16), IF(ISNUMBER(SEARCH("Gri", D413)), VERI_TABANI!F28*(0.00202-VERI_TABANI!$B$17), 0))))</f>
        <v/>
      </c>
      <c r="I413" s="170">
        <f>IFERROR(((VERI_TABANI!$D$29*B413*VERI_TABANI!$B$14 + VERI_TABANI!$D$29*C413*VERI_TABANI!$B$15 + IF(ISNUMBER(SEARCH("Var", D413)), VERI_TABANI!$F$29*VERI_TABANI!$B$16, 0))) / (((VERI_TABANI!$D$29*B413 + VERI_TABANI!$D$29*C413)*VERI_TABANI!$B$13 + IF(ISNUMBER(SEARCH("Var", D413)), VERI_TABANI!$E$29*(1-0.928)*VERI_TABANI!$B$18, 0))), 0)</f>
        <v/>
      </c>
      <c r="J413" s="171">
        <f>IFERROR(F413/(G413/29), 0)</f>
        <v/>
      </c>
      <c r="K413" s="172">
        <f>IF(F413&gt;0, H413/F413, 0)</f>
        <v/>
      </c>
      <c r="L413" s="170">
        <f>IF(F413&gt;0, I413, 1000000000)</f>
        <v/>
      </c>
      <c r="M413" s="171">
        <f>ABS((B413+C413)-1)</f>
        <v/>
      </c>
      <c r="N413" s="170">
        <f>IF(F413&gt;0, (G413/29)/F413, 0)</f>
        <v/>
      </c>
      <c r="O413" s="168">
        <f>IF(AND((B413+C413)&gt;=1, ISNUMBER(SEARCH("Var", D413))), F413, 1000000000)</f>
        <v/>
      </c>
      <c r="P413" s="172">
        <f>IF(F413&gt;0, SQRT((F413/MAX(F$5:F$886))^2 + (1 - H413/MAX(H$5:H$886))^2 + (J413/MAX(J$5:J$886))^2), 1000000000)</f>
        <v/>
      </c>
      <c r="Q413" s="166">
        <f>IF(AND(ABS(B413-0.5)&lt;0.01, ABS(C413-0.5)&lt;0.01, ISNUMBER(SEARCH("Var", D413))), 1, 0)</f>
        <v/>
      </c>
      <c r="R413" s="171">
        <f>IF(F413&gt;0, J413, 1000000000)</f>
        <v/>
      </c>
      <c r="S413" s="101">
        <f>IF(AND(F413&lt;=DASHBOARD!$B$11, H413&gt;=DASHBOARD!$B$13), G413, -1000000000000)</f>
        <v/>
      </c>
      <c r="T413" s="101">
        <f>IF(AND(F413&lt;=DASHBOARD!$B$11, H413&gt;=DASHBOARD!$B$13), R413, 1000000000000)</f>
        <v/>
      </c>
      <c r="U413" s="101">
        <f>IF(AND(F413&lt;=DASHBOARD!$B$11, H413&gt;=DASHBOARD!$B$13), N413, -1000000000000)</f>
        <v/>
      </c>
      <c r="V413" s="101">
        <f>IF(AND(F413&lt;=DASHBOARD!$B$11, H413&gt;=DASHBOARD!$B$13), H413, -1000000000000)</f>
        <v/>
      </c>
      <c r="W413" s="101">
        <f>IF(AND(F413&lt;=DASHBOARD!$B$11, H413&gt;=DASHBOARD!$B$13), K413, -1000000000000)</f>
        <v/>
      </c>
      <c r="X413" s="101">
        <f>IF(AND(F413&lt;=DASHBOARD!$B$11, H413&gt;=DASHBOARD!$B$13), M413, 1000000000000)</f>
        <v/>
      </c>
      <c r="Y413" s="101">
        <f>IF(AND(F413&lt;=DASHBOARD!$B$10, H413&gt;=DASHBOARD!$B$11), L413, 1000000000000)</f>
        <v/>
      </c>
      <c r="Z413" s="101">
        <f>IF(AND(F413&lt;=DASHBOARD!$B$10, H413&gt;=DASHBOARD!$B$11), O413, 1000000000000)</f>
        <v/>
      </c>
      <c r="AA413" s="101">
        <f>IF(AND(F413&lt;=DASHBOARD!$B$10, H413&gt;=DASHBOARD!$B$11), P413, 1000000000000)</f>
        <v/>
      </c>
      <c r="AB413" s="101">
        <f>IF(AND(F413&lt;=DASHBOARD!$B$10, H413&gt;=DASHBOARD!$B$11), Q413, -1000000000000)</f>
        <v/>
      </c>
    </row>
    <row r="414" ht="15" customHeight="1" s="102">
      <c r="A414" s="166" t="n">
        <v>410</v>
      </c>
      <c r="B414" s="167" t="n">
        <v>0.9</v>
      </c>
      <c r="C414" s="167" t="n">
        <v>1.5</v>
      </c>
      <c r="D414" s="110" t="inlineStr">
        <is>
          <t>Var (%20)</t>
        </is>
      </c>
      <c r="E414" s="110">
        <f>IF((B414+C414)&lt;=1, "Tam Mahsuplaşma (≤%100)", "Kısmi Satış (&gt;%100)")</f>
        <v/>
      </c>
      <c r="F414" s="168">
        <f>((VERI_TABANI!$D$29*B414/VERI_TABANI!$B$29)/VERI_TABANI!$B$3)*VERI_TABANI!$B$5 + ((VERI_TABANI!$D$29*C414/VERI_TABANI!$B$29)/VERI_TABANI!$B$4)*VERI_TABANI!$B$6 + IF(ISNUMBER(SEARCH("Var", D414)), (VERI_TABANI!$F$29/VERI_TABANI!$B$29)*(VERI_TABANI!$B$10+VERI_TABANI!$B$12), 0)</f>
        <v/>
      </c>
      <c r="G414" s="168">
        <f>(((MIN(VERI_TABANI!D23, VERI_TABANI!D23*B414)*VERI_TABANI!$B$7 + MAX(0, VERI_TABANI!D23*B414-VERI_TABANI!D23)*VERI_TABANI!$B$8) + (MIN(MAX(0, VERI_TABANI!D23-VERI_TABANI!D23*B414), VERI_TABANI!D23*C414)*VERI_TABANI!$B$7 + MAX(0, VERI_TABANI!D23*C414-MAX(0, VERI_TABANI!D23-VERI_TABANI!D23*B414))*VERI_TABANI!$B$8) + IF(ABS(IF(ISNUMBER(SEARCH("Var", D414)), 1, IF(ISNUMBER(SEARCH("Gri", D414)), -1, 0)))=1, VERI_TABANI!E23*(1-0.928)*VERI_TABANI!$B$9, 0) + (VERI_TABANI!D23*B414*(VERI_TABANI!$B$13-VERI_TABANI!$B$14)*VERI_TABANI!G23) + (VERI_TABANI!D23*C414*(VERI_TABANI!$B$13-VERI_TABANI!$B$15)*VERI_TABANI!G23) + IF(ABS(IF(ISNUMBER(SEARCH("Var", D414)), 1, IF(ISNUMBER(SEARCH("Gri", D414)), -1, 0)))=1, VERI_TABANI!E23*(1-0.928)*0.00206091519919798*VERI_TABANI!G23, 0)) + ((MIN(VERI_TABANI!D24, VERI_TABANI!D24*B414)*VERI_TABANI!$B$7 + MAX(0, VERI_TABANI!D24*B414-VERI_TABANI!D24)*VERI_TABANI!$B$8) + (MIN(MAX(0, VERI_TABANI!D24-VERI_TABANI!D24*B414), VERI_TABANI!D24*C414)*VERI_TABANI!$B$7 + MAX(0, VERI_TABANI!D24*C414-MAX(0, VERI_TABANI!D24-VERI_TABANI!D24*B414))*VERI_TABANI!$B$8) + IF(ABS(IF(ISNUMBER(SEARCH("Var", D414)), 1, IF(ISNUMBER(SEARCH("Gri", D414)), -1, 0)))=1, VERI_TABANI!E24*(1-0.928)*VERI_TABANI!$B$9, 0) + (VERI_TABANI!D24*B414*(VERI_TABANI!$B$13-VERI_TABANI!$B$14)*VERI_TABANI!G24) + (VERI_TABANI!D24*C414*(VERI_TABANI!$B$13-VERI_TABANI!$B$15)*VERI_TABANI!G24) + IF(ABS(IF(ISNUMBER(SEARCH("Var", D414)), 1, IF(ISNUMBER(SEARCH("Gri", D414)), -1, 0)))=1, VERI_TABANI!E24*(1-0.928)*0.00206091519919798*VERI_TABANI!G24, 0)) + ((MIN(VERI_TABANI!D25, VERI_TABANI!D25*B414)*VERI_TABANI!$B$7 + MAX(0, VERI_TABANI!D25*B414-VERI_TABANI!D25)*VERI_TABANI!$B$8) + (MIN(MAX(0, VERI_TABANI!D25-VERI_TABANI!D25*B414), VERI_TABANI!D25*C414)*VERI_TABANI!$B$7 + MAX(0, VERI_TABANI!D25*C414-MAX(0, VERI_TABANI!D25-VERI_TABANI!D25*B414))*VERI_TABANI!$B$8) + IF(ABS(IF(ISNUMBER(SEARCH("Var", D414)), 1, IF(ISNUMBER(SEARCH("Gri", D414)), -1, 0)))=1, VERI_TABANI!E25*(1-0.928)*VERI_TABANI!$B$9, 0) + (VERI_TABANI!D25*B414*(VERI_TABANI!$B$13-VERI_TABANI!$B$14)*VERI_TABANI!G25) + (VERI_TABANI!D25*C414*(VERI_TABANI!$B$13-VERI_TABANI!$B$15)*VERI_TABANI!G25) + IF(ABS(IF(ISNUMBER(SEARCH("Var", D414)), 1, IF(ISNUMBER(SEARCH("Gri", D414)), -1, 0)))=1, VERI_TABANI!E25*(1-0.928)*0.00206091519919798*VERI_TABANI!G25, 0)) + ((MIN(VERI_TABANI!D26, VERI_TABANI!D26*B414)*VERI_TABANI!$B$7 + MAX(0, VERI_TABANI!D26*B414-VERI_TABANI!D26)*VERI_TABANI!$B$8) + (MIN(MAX(0, VERI_TABANI!D26-VERI_TABANI!D26*B414), VERI_TABANI!D26*C414)*VERI_TABANI!$B$7 + MAX(0, VERI_TABANI!D26*C414-MAX(0, VERI_TABANI!D26-VERI_TABANI!D26*B414))*VERI_TABANI!$B$8) + IF(ABS(IF(ISNUMBER(SEARCH("Var", D414)), 1, IF(ISNUMBER(SEARCH("Gri", D414)), -1, 0)))=1, VERI_TABANI!E26*(1-0.928)*VERI_TABANI!$B$9, 0) + (VERI_TABANI!D26*B414*(VERI_TABANI!$B$13-VERI_TABANI!$B$14)*VERI_TABANI!G26) + (VERI_TABANI!D26*C414*(VERI_TABANI!$B$13-VERI_TABANI!$B$15)*VERI_TABANI!G26) + IF(ABS(IF(ISNUMBER(SEARCH("Var", D414)), 1, IF(ISNUMBER(SEARCH("Gri", D414)), -1, 0)))=1, VERI_TABANI!E26*(1-0.928)*0.00206091519919798*VERI_TABANI!G26, 0)) + ((MIN(VERI_TABANI!D27, VERI_TABANI!D27*B414)*VERI_TABANI!$B$7 + MAX(0, VERI_TABANI!D27*B414-VERI_TABANI!D27)*VERI_TABANI!$B$8) + (MIN(MAX(0, VERI_TABANI!D27-VERI_TABANI!D27*B414), VERI_TABANI!D27*C414)*VERI_TABANI!$B$7 + MAX(0, VERI_TABANI!D27*C414-MAX(0, VERI_TABANI!D27-VERI_TABANI!D27*B414))*VERI_TABANI!$B$8) + IF(ABS(IF(ISNUMBER(SEARCH("Var", D414)), 1, IF(ISNUMBER(SEARCH("Gri", D414)), -1, 0)))=1, VERI_TABANI!E27*(1-0.928)*VERI_TABANI!$B$9, 0) + (VERI_TABANI!D27*B414*(VERI_TABANI!$B$13-VERI_TABANI!$B$14)*VERI_TABANI!G27) + (VERI_TABANI!D27*C414*(VERI_TABANI!$B$13-VERI_TABANI!$B$15)*VERI_TABANI!G27) + IF(ABS(IF(ISNUMBER(SEARCH("Var", D414)), 1, IF(ISNUMBER(SEARCH("Gri", D414)), -1, 0)))=1, VERI_TABANI!E27*(1-0.928)*0.00206091519919798*VERI_TABANI!G27, 0)) + ((MIN(VERI_TABANI!D28, VERI_TABANI!D28*B414)*VERI_TABANI!$B$7 + MAX(0, VERI_TABANI!D28*B414-VERI_TABANI!D28)*VERI_TABANI!$B$8) + (MIN(MAX(0, VERI_TABANI!D28-VERI_TABANI!D28*B414), VERI_TABANI!D28*C414)*VERI_TABANI!$B$7 + MAX(0, VERI_TABANI!D28*C414-MAX(0, VERI_TABANI!D28-VERI_TABANI!D28*B414))*VERI_TABANI!$B$8) + IF(ABS(IF(ISNUMBER(SEARCH("Var", D414)), 1, IF(ISNUMBER(SEARCH("Gri", D414)), -1, 0)))=1, VERI_TABANI!E28*(1-0.928)*VERI_TABANI!$B$9, 0) + (VERI_TABANI!D28*B414*(VERI_TABANI!$B$13-VERI_TABANI!$B$14)*VERI_TABANI!G28) + (VERI_TABANI!D28*C414*(VERI_TABANI!$B$13-VERI_TABANI!$B$15)*VERI_TABANI!G28) + IF(ABS(IF(ISNUMBER(SEARCH("Var", D414)), 1, IF(ISNUMBER(SEARCH("Gri", D414)), -1, 0)))=1, VERI_TABANI!E28*(1-0.928)*0.00206091519919798*VERI_TABANI!G28, 0)))</f>
        <v/>
      </c>
      <c r="H414" s="169">
        <f>(((VERI_TABANI!D23*B414*(VERI_TABANI!$B$13-VERI_TABANI!$B$14)) + (VERI_TABANI!D23*C414*(VERI_TABANI!$B$13-VERI_TABANI!$B$15)) + IF(ISNUMBER(SEARCH("Var", D414)), VERI_TABANI!F23*(0.00202-VERI_TABANI!$B$16), IF(ISNUMBER(SEARCH("Gri", D414)), VERI_TABANI!F23*(0.00202-VERI_TABANI!$B$17), 0))) + ((VERI_TABANI!D24*B414*(VERI_TABANI!$B$13-VERI_TABANI!$B$14)) + (VERI_TABANI!D24*C414*(VERI_TABANI!$B$13-VERI_TABANI!$B$15)) + IF(ISNUMBER(SEARCH("Var", D414)), VERI_TABANI!F24*(0.00202-VERI_TABANI!$B$16), IF(ISNUMBER(SEARCH("Gri", D414)), VERI_TABANI!F24*(0.00202-VERI_TABANI!$B$17), 0))) + ((VERI_TABANI!D25*B414*(VERI_TABANI!$B$13-VERI_TABANI!$B$14)) + (VERI_TABANI!D25*C414*(VERI_TABANI!$B$13-VERI_TABANI!$B$15)) + IF(ISNUMBER(SEARCH("Var", D414)), VERI_TABANI!F25*(0.00202-VERI_TABANI!$B$16), IF(ISNUMBER(SEARCH("Gri", D414)), VERI_TABANI!F25*(0.00202-VERI_TABANI!$B$17), 0))) + ((VERI_TABANI!D26*B414*(VERI_TABANI!$B$13-VERI_TABANI!$B$14)) + (VERI_TABANI!D26*C414*(VERI_TABANI!$B$13-VERI_TABANI!$B$15)) + IF(ISNUMBER(SEARCH("Var", D414)), VERI_TABANI!F26*(0.00202-VERI_TABANI!$B$16), IF(ISNUMBER(SEARCH("Gri", D414)), VERI_TABANI!F26*(0.00202-VERI_TABANI!$B$17), 0))) + ((VERI_TABANI!D27*B414*(VERI_TABANI!$B$13-VERI_TABANI!$B$14)) + (VERI_TABANI!D27*C414*(VERI_TABANI!$B$13-VERI_TABANI!$B$15)) + IF(ISNUMBER(SEARCH("Var", D414)), VERI_TABANI!F27*(0.00202-VERI_TABANI!$B$16), IF(ISNUMBER(SEARCH("Gri", D414)), VERI_TABANI!F27*(0.00202-VERI_TABANI!$B$17), 0))) + ((VERI_TABANI!D28*B414*(VERI_TABANI!$B$13-VERI_TABANI!$B$14)) + (VERI_TABANI!D28*C414*(VERI_TABANI!$B$13-VERI_TABANI!$B$15)) + IF(ISNUMBER(SEARCH("Var", D414)), VERI_TABANI!F28*(0.00202-VERI_TABANI!$B$16), IF(ISNUMBER(SEARCH("Gri", D414)), VERI_TABANI!F28*(0.00202-VERI_TABANI!$B$17), 0))))</f>
        <v/>
      </c>
      <c r="I414" s="170">
        <f>IFERROR(((VERI_TABANI!$D$29*B414*VERI_TABANI!$B$14 + VERI_TABANI!$D$29*C414*VERI_TABANI!$B$15 + IF(ISNUMBER(SEARCH("Var", D414)), VERI_TABANI!$F$29*VERI_TABANI!$B$16, 0))) / (((VERI_TABANI!$D$29*B414 + VERI_TABANI!$D$29*C414)*VERI_TABANI!$B$13 + IF(ISNUMBER(SEARCH("Var", D414)), VERI_TABANI!$E$29*(1-0.928)*VERI_TABANI!$B$18, 0))), 0)</f>
        <v/>
      </c>
      <c r="J414" s="171">
        <f>IFERROR(F414/(G414/29), 0)</f>
        <v/>
      </c>
      <c r="K414" s="172">
        <f>IF(F414&gt;0, H414/F414, 0)</f>
        <v/>
      </c>
      <c r="L414" s="170">
        <f>IF(F414&gt;0, I414, 1000000000)</f>
        <v/>
      </c>
      <c r="M414" s="171">
        <f>ABS((B414+C414)-1)</f>
        <v/>
      </c>
      <c r="N414" s="170">
        <f>IF(F414&gt;0, (G414/29)/F414, 0)</f>
        <v/>
      </c>
      <c r="O414" s="168">
        <f>IF(AND((B414+C414)&gt;=1, ISNUMBER(SEARCH("Var", D414))), F414, 1000000000)</f>
        <v/>
      </c>
      <c r="P414" s="172">
        <f>IF(F414&gt;0, SQRT((F414/MAX(F$5:F$886))^2 + (1 - H414/MAX(H$5:H$886))^2 + (J414/MAX(J$5:J$886))^2), 1000000000)</f>
        <v/>
      </c>
      <c r="Q414" s="166">
        <f>IF(AND(ABS(B414-0.5)&lt;0.01, ABS(C414-0.5)&lt;0.01, ISNUMBER(SEARCH("Var", D414))), 1, 0)</f>
        <v/>
      </c>
      <c r="R414" s="171">
        <f>IF(F414&gt;0, J414, 1000000000)</f>
        <v/>
      </c>
      <c r="S414" s="101">
        <f>IF(AND(F414&lt;=DASHBOARD!$B$11, H414&gt;=DASHBOARD!$B$13), G414, -1000000000000)</f>
        <v/>
      </c>
      <c r="T414" s="101">
        <f>IF(AND(F414&lt;=DASHBOARD!$B$11, H414&gt;=DASHBOARD!$B$13), R414, 1000000000000)</f>
        <v/>
      </c>
      <c r="U414" s="101">
        <f>IF(AND(F414&lt;=DASHBOARD!$B$11, H414&gt;=DASHBOARD!$B$13), N414, -1000000000000)</f>
        <v/>
      </c>
      <c r="V414" s="101">
        <f>IF(AND(F414&lt;=DASHBOARD!$B$11, H414&gt;=DASHBOARD!$B$13), H414, -1000000000000)</f>
        <v/>
      </c>
      <c r="W414" s="101">
        <f>IF(AND(F414&lt;=DASHBOARD!$B$11, H414&gt;=DASHBOARD!$B$13), K414, -1000000000000)</f>
        <v/>
      </c>
      <c r="X414" s="101">
        <f>IF(AND(F414&lt;=DASHBOARD!$B$11, H414&gt;=DASHBOARD!$B$13), M414, 1000000000000)</f>
        <v/>
      </c>
      <c r="Y414" s="101">
        <f>IF(AND(F414&lt;=DASHBOARD!$B$10, H414&gt;=DASHBOARD!$B$11), L414, 1000000000000)</f>
        <v/>
      </c>
      <c r="Z414" s="101">
        <f>IF(AND(F414&lt;=DASHBOARD!$B$10, H414&gt;=DASHBOARD!$B$11), O414, 1000000000000)</f>
        <v/>
      </c>
      <c r="AA414" s="101">
        <f>IF(AND(F414&lt;=DASHBOARD!$B$10, H414&gt;=DASHBOARD!$B$11), P414, 1000000000000)</f>
        <v/>
      </c>
      <c r="AB414" s="101">
        <f>IF(AND(F414&lt;=DASHBOARD!$B$10, H414&gt;=DASHBOARD!$B$11), Q414, -1000000000000)</f>
        <v/>
      </c>
    </row>
    <row r="415" ht="15" customHeight="1" s="102">
      <c r="A415" s="166" t="n">
        <v>411</v>
      </c>
      <c r="B415" s="167" t="n">
        <v>0.9</v>
      </c>
      <c r="C415" s="167" t="n">
        <v>1.6</v>
      </c>
      <c r="D415" s="110" t="inlineStr">
        <is>
          <t>Yok (%0)</t>
        </is>
      </c>
      <c r="E415" s="110">
        <f>IF((B415+C415)&lt;=1, "Tam Mahsuplaşma (≤%100)", "Kısmi Satış (&gt;%100)")</f>
        <v/>
      </c>
      <c r="F415" s="168">
        <f>((VERI_TABANI!$D$29*B415/VERI_TABANI!$B$29)/VERI_TABANI!$B$3)*VERI_TABANI!$B$5 + ((VERI_TABANI!$D$29*C415/VERI_TABANI!$B$29)/VERI_TABANI!$B$4)*VERI_TABANI!$B$6 + IF(ISNUMBER(SEARCH("Var", D415)), (VERI_TABANI!$F$29/VERI_TABANI!$B$29)*(VERI_TABANI!$B$10+VERI_TABANI!$B$12), 0)</f>
        <v/>
      </c>
      <c r="G415" s="168">
        <f>(((MIN(VERI_TABANI!D23, VERI_TABANI!D23*B415)*VERI_TABANI!$B$7 + MAX(0, VERI_TABANI!D23*B415-VERI_TABANI!D23)*VERI_TABANI!$B$8) + (MIN(MAX(0, VERI_TABANI!D23-VERI_TABANI!D23*B415), VERI_TABANI!D23*C415)*VERI_TABANI!$B$7 + MAX(0, VERI_TABANI!D23*C415-MAX(0, VERI_TABANI!D23-VERI_TABANI!D23*B415))*VERI_TABANI!$B$8) + IF(ABS(IF(ISNUMBER(SEARCH("Var", D415)), 1, IF(ISNUMBER(SEARCH("Gri", D415)), -1, 0)))=1, VERI_TABANI!E23*(1-0.928)*VERI_TABANI!$B$9, 0) + (VERI_TABANI!D23*B415*(VERI_TABANI!$B$13-VERI_TABANI!$B$14)*VERI_TABANI!G23) + (VERI_TABANI!D23*C415*(VERI_TABANI!$B$13-VERI_TABANI!$B$15)*VERI_TABANI!G23) + IF(ABS(IF(ISNUMBER(SEARCH("Var", D415)), 1, IF(ISNUMBER(SEARCH("Gri", D415)), -1, 0)))=1, VERI_TABANI!E23*(1-0.928)*0.00206091519919798*VERI_TABANI!G23, 0)) + ((MIN(VERI_TABANI!D24, VERI_TABANI!D24*B415)*VERI_TABANI!$B$7 + MAX(0, VERI_TABANI!D24*B415-VERI_TABANI!D24)*VERI_TABANI!$B$8) + (MIN(MAX(0, VERI_TABANI!D24-VERI_TABANI!D24*B415), VERI_TABANI!D24*C415)*VERI_TABANI!$B$7 + MAX(0, VERI_TABANI!D24*C415-MAX(0, VERI_TABANI!D24-VERI_TABANI!D24*B415))*VERI_TABANI!$B$8) + IF(ABS(IF(ISNUMBER(SEARCH("Var", D415)), 1, IF(ISNUMBER(SEARCH("Gri", D415)), -1, 0)))=1, VERI_TABANI!E24*(1-0.928)*VERI_TABANI!$B$9, 0) + (VERI_TABANI!D24*B415*(VERI_TABANI!$B$13-VERI_TABANI!$B$14)*VERI_TABANI!G24) + (VERI_TABANI!D24*C415*(VERI_TABANI!$B$13-VERI_TABANI!$B$15)*VERI_TABANI!G24) + IF(ABS(IF(ISNUMBER(SEARCH("Var", D415)), 1, IF(ISNUMBER(SEARCH("Gri", D415)), -1, 0)))=1, VERI_TABANI!E24*(1-0.928)*0.00206091519919798*VERI_TABANI!G24, 0)) + ((MIN(VERI_TABANI!D25, VERI_TABANI!D25*B415)*VERI_TABANI!$B$7 + MAX(0, VERI_TABANI!D25*B415-VERI_TABANI!D25)*VERI_TABANI!$B$8) + (MIN(MAX(0, VERI_TABANI!D25-VERI_TABANI!D25*B415), VERI_TABANI!D25*C415)*VERI_TABANI!$B$7 + MAX(0, VERI_TABANI!D25*C415-MAX(0, VERI_TABANI!D25-VERI_TABANI!D25*B415))*VERI_TABANI!$B$8) + IF(ABS(IF(ISNUMBER(SEARCH("Var", D415)), 1, IF(ISNUMBER(SEARCH("Gri", D415)), -1, 0)))=1, VERI_TABANI!E25*(1-0.928)*VERI_TABANI!$B$9, 0) + (VERI_TABANI!D25*B415*(VERI_TABANI!$B$13-VERI_TABANI!$B$14)*VERI_TABANI!G25) + (VERI_TABANI!D25*C415*(VERI_TABANI!$B$13-VERI_TABANI!$B$15)*VERI_TABANI!G25) + IF(ABS(IF(ISNUMBER(SEARCH("Var", D415)), 1, IF(ISNUMBER(SEARCH("Gri", D415)), -1, 0)))=1, VERI_TABANI!E25*(1-0.928)*0.00206091519919798*VERI_TABANI!G25, 0)) + ((MIN(VERI_TABANI!D26, VERI_TABANI!D26*B415)*VERI_TABANI!$B$7 + MAX(0, VERI_TABANI!D26*B415-VERI_TABANI!D26)*VERI_TABANI!$B$8) + (MIN(MAX(0, VERI_TABANI!D26-VERI_TABANI!D26*B415), VERI_TABANI!D26*C415)*VERI_TABANI!$B$7 + MAX(0, VERI_TABANI!D26*C415-MAX(0, VERI_TABANI!D26-VERI_TABANI!D26*B415))*VERI_TABANI!$B$8) + IF(ABS(IF(ISNUMBER(SEARCH("Var", D415)), 1, IF(ISNUMBER(SEARCH("Gri", D415)), -1, 0)))=1, VERI_TABANI!E26*(1-0.928)*VERI_TABANI!$B$9, 0) + (VERI_TABANI!D26*B415*(VERI_TABANI!$B$13-VERI_TABANI!$B$14)*VERI_TABANI!G26) + (VERI_TABANI!D26*C415*(VERI_TABANI!$B$13-VERI_TABANI!$B$15)*VERI_TABANI!G26) + IF(ABS(IF(ISNUMBER(SEARCH("Var", D415)), 1, IF(ISNUMBER(SEARCH("Gri", D415)), -1, 0)))=1, VERI_TABANI!E26*(1-0.928)*0.00206091519919798*VERI_TABANI!G26, 0)) + ((MIN(VERI_TABANI!D27, VERI_TABANI!D27*B415)*VERI_TABANI!$B$7 + MAX(0, VERI_TABANI!D27*B415-VERI_TABANI!D27)*VERI_TABANI!$B$8) + (MIN(MAX(0, VERI_TABANI!D27-VERI_TABANI!D27*B415), VERI_TABANI!D27*C415)*VERI_TABANI!$B$7 + MAX(0, VERI_TABANI!D27*C415-MAX(0, VERI_TABANI!D27-VERI_TABANI!D27*B415))*VERI_TABANI!$B$8) + IF(ABS(IF(ISNUMBER(SEARCH("Var", D415)), 1, IF(ISNUMBER(SEARCH("Gri", D415)), -1, 0)))=1, VERI_TABANI!E27*(1-0.928)*VERI_TABANI!$B$9, 0) + (VERI_TABANI!D27*B415*(VERI_TABANI!$B$13-VERI_TABANI!$B$14)*VERI_TABANI!G27) + (VERI_TABANI!D27*C415*(VERI_TABANI!$B$13-VERI_TABANI!$B$15)*VERI_TABANI!G27) + IF(ABS(IF(ISNUMBER(SEARCH("Var", D415)), 1, IF(ISNUMBER(SEARCH("Gri", D415)), -1, 0)))=1, VERI_TABANI!E27*(1-0.928)*0.00206091519919798*VERI_TABANI!G27, 0)) + ((MIN(VERI_TABANI!D28, VERI_TABANI!D28*B415)*VERI_TABANI!$B$7 + MAX(0, VERI_TABANI!D28*B415-VERI_TABANI!D28)*VERI_TABANI!$B$8) + (MIN(MAX(0, VERI_TABANI!D28-VERI_TABANI!D28*B415), VERI_TABANI!D28*C415)*VERI_TABANI!$B$7 + MAX(0, VERI_TABANI!D28*C415-MAX(0, VERI_TABANI!D28-VERI_TABANI!D28*B415))*VERI_TABANI!$B$8) + IF(ABS(IF(ISNUMBER(SEARCH("Var", D415)), 1, IF(ISNUMBER(SEARCH("Gri", D415)), -1, 0)))=1, VERI_TABANI!E28*(1-0.928)*VERI_TABANI!$B$9, 0) + (VERI_TABANI!D28*B415*(VERI_TABANI!$B$13-VERI_TABANI!$B$14)*VERI_TABANI!G28) + (VERI_TABANI!D28*C415*(VERI_TABANI!$B$13-VERI_TABANI!$B$15)*VERI_TABANI!G28) + IF(ABS(IF(ISNUMBER(SEARCH("Var", D415)), 1, IF(ISNUMBER(SEARCH("Gri", D415)), -1, 0)))=1, VERI_TABANI!E28*(1-0.928)*0.00206091519919798*VERI_TABANI!G28, 0)))</f>
        <v/>
      </c>
      <c r="H415" s="169">
        <f>(((VERI_TABANI!D23*B415*(VERI_TABANI!$B$13-VERI_TABANI!$B$14)) + (VERI_TABANI!D23*C415*(VERI_TABANI!$B$13-VERI_TABANI!$B$15)) + IF(ISNUMBER(SEARCH("Var", D415)), VERI_TABANI!F23*(0.00202-VERI_TABANI!$B$16), IF(ISNUMBER(SEARCH("Gri", D415)), VERI_TABANI!F23*(0.00202-VERI_TABANI!$B$17), 0))) + ((VERI_TABANI!D24*B415*(VERI_TABANI!$B$13-VERI_TABANI!$B$14)) + (VERI_TABANI!D24*C415*(VERI_TABANI!$B$13-VERI_TABANI!$B$15)) + IF(ISNUMBER(SEARCH("Var", D415)), VERI_TABANI!F24*(0.00202-VERI_TABANI!$B$16), IF(ISNUMBER(SEARCH("Gri", D415)), VERI_TABANI!F24*(0.00202-VERI_TABANI!$B$17), 0))) + ((VERI_TABANI!D25*B415*(VERI_TABANI!$B$13-VERI_TABANI!$B$14)) + (VERI_TABANI!D25*C415*(VERI_TABANI!$B$13-VERI_TABANI!$B$15)) + IF(ISNUMBER(SEARCH("Var", D415)), VERI_TABANI!F25*(0.00202-VERI_TABANI!$B$16), IF(ISNUMBER(SEARCH("Gri", D415)), VERI_TABANI!F25*(0.00202-VERI_TABANI!$B$17), 0))) + ((VERI_TABANI!D26*B415*(VERI_TABANI!$B$13-VERI_TABANI!$B$14)) + (VERI_TABANI!D26*C415*(VERI_TABANI!$B$13-VERI_TABANI!$B$15)) + IF(ISNUMBER(SEARCH("Var", D415)), VERI_TABANI!F26*(0.00202-VERI_TABANI!$B$16), IF(ISNUMBER(SEARCH("Gri", D415)), VERI_TABANI!F26*(0.00202-VERI_TABANI!$B$17), 0))) + ((VERI_TABANI!D27*B415*(VERI_TABANI!$B$13-VERI_TABANI!$B$14)) + (VERI_TABANI!D27*C415*(VERI_TABANI!$B$13-VERI_TABANI!$B$15)) + IF(ISNUMBER(SEARCH("Var", D415)), VERI_TABANI!F27*(0.00202-VERI_TABANI!$B$16), IF(ISNUMBER(SEARCH("Gri", D415)), VERI_TABANI!F27*(0.00202-VERI_TABANI!$B$17), 0))) + ((VERI_TABANI!D28*B415*(VERI_TABANI!$B$13-VERI_TABANI!$B$14)) + (VERI_TABANI!D28*C415*(VERI_TABANI!$B$13-VERI_TABANI!$B$15)) + IF(ISNUMBER(SEARCH("Var", D415)), VERI_TABANI!F28*(0.00202-VERI_TABANI!$B$16), IF(ISNUMBER(SEARCH("Gri", D415)), VERI_TABANI!F28*(0.00202-VERI_TABANI!$B$17), 0))))</f>
        <v/>
      </c>
      <c r="I415" s="170">
        <f>IFERROR(((VERI_TABANI!$D$29*B415*VERI_TABANI!$B$14 + VERI_TABANI!$D$29*C415*VERI_TABANI!$B$15 + IF(ISNUMBER(SEARCH("Var", D415)), VERI_TABANI!$F$29*VERI_TABANI!$B$16, 0))) / (((VERI_TABANI!$D$29*B415 + VERI_TABANI!$D$29*C415)*VERI_TABANI!$B$13 + IF(ISNUMBER(SEARCH("Var", D415)), VERI_TABANI!$E$29*(1-0.928)*VERI_TABANI!$B$18, 0))), 0)</f>
        <v/>
      </c>
      <c r="J415" s="171">
        <f>IFERROR(F415/(G415/29), 0)</f>
        <v/>
      </c>
      <c r="K415" s="172">
        <f>IF(F415&gt;0, H415/F415, 0)</f>
        <v/>
      </c>
      <c r="L415" s="170">
        <f>IF(F415&gt;0, I415, 1000000000)</f>
        <v/>
      </c>
      <c r="M415" s="171">
        <f>ABS((B415+C415)-1)</f>
        <v/>
      </c>
      <c r="N415" s="170">
        <f>IF(F415&gt;0, (G415/29)/F415, 0)</f>
        <v/>
      </c>
      <c r="O415" s="168">
        <f>IF(AND((B415+C415)&gt;=1, ISNUMBER(SEARCH("Var", D415))), F415, 1000000000)</f>
        <v/>
      </c>
      <c r="P415" s="172">
        <f>IF(F415&gt;0, SQRT((F415/MAX(F$5:F$886))^2 + (1 - H415/MAX(H$5:H$886))^2 + (J415/MAX(J$5:J$886))^2), 1000000000)</f>
        <v/>
      </c>
      <c r="Q415" s="166">
        <f>IF(AND(ABS(B415-0.5)&lt;0.01, ABS(C415-0.5)&lt;0.01, ISNUMBER(SEARCH("Var", D415))), 1, 0)</f>
        <v/>
      </c>
      <c r="R415" s="171">
        <f>IF(F415&gt;0, J415, 1000000000)</f>
        <v/>
      </c>
      <c r="S415" s="101">
        <f>IF(AND(F415&lt;=DASHBOARD!$B$11, H415&gt;=DASHBOARD!$B$13), G415, -1000000000000)</f>
        <v/>
      </c>
      <c r="T415" s="101">
        <f>IF(AND(F415&lt;=DASHBOARD!$B$11, H415&gt;=DASHBOARD!$B$13), R415, 1000000000000)</f>
        <v/>
      </c>
      <c r="U415" s="101">
        <f>IF(AND(F415&lt;=DASHBOARD!$B$11, H415&gt;=DASHBOARD!$B$13), N415, -1000000000000)</f>
        <v/>
      </c>
      <c r="V415" s="101">
        <f>IF(AND(F415&lt;=DASHBOARD!$B$11, H415&gt;=DASHBOARD!$B$13), H415, -1000000000000)</f>
        <v/>
      </c>
      <c r="W415" s="101">
        <f>IF(AND(F415&lt;=DASHBOARD!$B$11, H415&gt;=DASHBOARD!$B$13), K415, -1000000000000)</f>
        <v/>
      </c>
      <c r="X415" s="101">
        <f>IF(AND(F415&lt;=DASHBOARD!$B$11, H415&gt;=DASHBOARD!$B$13), M415, 1000000000000)</f>
        <v/>
      </c>
      <c r="Y415" s="101">
        <f>IF(AND(F415&lt;=DASHBOARD!$B$10, H415&gt;=DASHBOARD!$B$11), L415, 1000000000000)</f>
        <v/>
      </c>
      <c r="Z415" s="101">
        <f>IF(AND(F415&lt;=DASHBOARD!$B$10, H415&gt;=DASHBOARD!$B$11), O415, 1000000000000)</f>
        <v/>
      </c>
      <c r="AA415" s="101">
        <f>IF(AND(F415&lt;=DASHBOARD!$B$10, H415&gt;=DASHBOARD!$B$11), P415, 1000000000000)</f>
        <v/>
      </c>
      <c r="AB415" s="101">
        <f>IF(AND(F415&lt;=DASHBOARD!$B$10, H415&gt;=DASHBOARD!$B$11), Q415, -1000000000000)</f>
        <v/>
      </c>
    </row>
    <row r="416" ht="15" customHeight="1" s="102">
      <c r="A416" s="166" t="n">
        <v>412</v>
      </c>
      <c r="B416" s="167" t="n">
        <v>0.9</v>
      </c>
      <c r="C416" s="167" t="n">
        <v>1.6</v>
      </c>
      <c r="D416" s="110" t="inlineStr">
        <is>
          <t>Var (%20)</t>
        </is>
      </c>
      <c r="E416" s="110">
        <f>IF((B416+C416)&lt;=1, "Tam Mahsuplaşma (≤%100)", "Kısmi Satış (&gt;%100)")</f>
        <v/>
      </c>
      <c r="F416" s="168">
        <f>((VERI_TABANI!$D$29*B416/VERI_TABANI!$B$29)/VERI_TABANI!$B$3)*VERI_TABANI!$B$5 + ((VERI_TABANI!$D$29*C416/VERI_TABANI!$B$29)/VERI_TABANI!$B$4)*VERI_TABANI!$B$6 + IF(ISNUMBER(SEARCH("Var", D416)), (VERI_TABANI!$F$29/VERI_TABANI!$B$29)*(VERI_TABANI!$B$10+VERI_TABANI!$B$12), 0)</f>
        <v/>
      </c>
      <c r="G416" s="168">
        <f>(((MIN(VERI_TABANI!D23, VERI_TABANI!D23*B416)*VERI_TABANI!$B$7 + MAX(0, VERI_TABANI!D23*B416-VERI_TABANI!D23)*VERI_TABANI!$B$8) + (MIN(MAX(0, VERI_TABANI!D23-VERI_TABANI!D23*B416), VERI_TABANI!D23*C416)*VERI_TABANI!$B$7 + MAX(0, VERI_TABANI!D23*C416-MAX(0, VERI_TABANI!D23-VERI_TABANI!D23*B416))*VERI_TABANI!$B$8) + IF(ABS(IF(ISNUMBER(SEARCH("Var", D416)), 1, IF(ISNUMBER(SEARCH("Gri", D416)), -1, 0)))=1, VERI_TABANI!E23*(1-0.928)*VERI_TABANI!$B$9, 0) + (VERI_TABANI!D23*B416*(VERI_TABANI!$B$13-VERI_TABANI!$B$14)*VERI_TABANI!G23) + (VERI_TABANI!D23*C416*(VERI_TABANI!$B$13-VERI_TABANI!$B$15)*VERI_TABANI!G23) + IF(ABS(IF(ISNUMBER(SEARCH("Var", D416)), 1, IF(ISNUMBER(SEARCH("Gri", D416)), -1, 0)))=1, VERI_TABANI!E23*(1-0.928)*0.00206091519919798*VERI_TABANI!G23, 0)) + ((MIN(VERI_TABANI!D24, VERI_TABANI!D24*B416)*VERI_TABANI!$B$7 + MAX(0, VERI_TABANI!D24*B416-VERI_TABANI!D24)*VERI_TABANI!$B$8) + (MIN(MAX(0, VERI_TABANI!D24-VERI_TABANI!D24*B416), VERI_TABANI!D24*C416)*VERI_TABANI!$B$7 + MAX(0, VERI_TABANI!D24*C416-MAX(0, VERI_TABANI!D24-VERI_TABANI!D24*B416))*VERI_TABANI!$B$8) + IF(ABS(IF(ISNUMBER(SEARCH("Var", D416)), 1, IF(ISNUMBER(SEARCH("Gri", D416)), -1, 0)))=1, VERI_TABANI!E24*(1-0.928)*VERI_TABANI!$B$9, 0) + (VERI_TABANI!D24*B416*(VERI_TABANI!$B$13-VERI_TABANI!$B$14)*VERI_TABANI!G24) + (VERI_TABANI!D24*C416*(VERI_TABANI!$B$13-VERI_TABANI!$B$15)*VERI_TABANI!G24) + IF(ABS(IF(ISNUMBER(SEARCH("Var", D416)), 1, IF(ISNUMBER(SEARCH("Gri", D416)), -1, 0)))=1, VERI_TABANI!E24*(1-0.928)*0.00206091519919798*VERI_TABANI!G24, 0)) + ((MIN(VERI_TABANI!D25, VERI_TABANI!D25*B416)*VERI_TABANI!$B$7 + MAX(0, VERI_TABANI!D25*B416-VERI_TABANI!D25)*VERI_TABANI!$B$8) + (MIN(MAX(0, VERI_TABANI!D25-VERI_TABANI!D25*B416), VERI_TABANI!D25*C416)*VERI_TABANI!$B$7 + MAX(0, VERI_TABANI!D25*C416-MAX(0, VERI_TABANI!D25-VERI_TABANI!D25*B416))*VERI_TABANI!$B$8) + IF(ABS(IF(ISNUMBER(SEARCH("Var", D416)), 1, IF(ISNUMBER(SEARCH("Gri", D416)), -1, 0)))=1, VERI_TABANI!E25*(1-0.928)*VERI_TABANI!$B$9, 0) + (VERI_TABANI!D25*B416*(VERI_TABANI!$B$13-VERI_TABANI!$B$14)*VERI_TABANI!G25) + (VERI_TABANI!D25*C416*(VERI_TABANI!$B$13-VERI_TABANI!$B$15)*VERI_TABANI!G25) + IF(ABS(IF(ISNUMBER(SEARCH("Var", D416)), 1, IF(ISNUMBER(SEARCH("Gri", D416)), -1, 0)))=1, VERI_TABANI!E25*(1-0.928)*0.00206091519919798*VERI_TABANI!G25, 0)) + ((MIN(VERI_TABANI!D26, VERI_TABANI!D26*B416)*VERI_TABANI!$B$7 + MAX(0, VERI_TABANI!D26*B416-VERI_TABANI!D26)*VERI_TABANI!$B$8) + (MIN(MAX(0, VERI_TABANI!D26-VERI_TABANI!D26*B416), VERI_TABANI!D26*C416)*VERI_TABANI!$B$7 + MAX(0, VERI_TABANI!D26*C416-MAX(0, VERI_TABANI!D26-VERI_TABANI!D26*B416))*VERI_TABANI!$B$8) + IF(ABS(IF(ISNUMBER(SEARCH("Var", D416)), 1, IF(ISNUMBER(SEARCH("Gri", D416)), -1, 0)))=1, VERI_TABANI!E26*(1-0.928)*VERI_TABANI!$B$9, 0) + (VERI_TABANI!D26*B416*(VERI_TABANI!$B$13-VERI_TABANI!$B$14)*VERI_TABANI!G26) + (VERI_TABANI!D26*C416*(VERI_TABANI!$B$13-VERI_TABANI!$B$15)*VERI_TABANI!G26) + IF(ABS(IF(ISNUMBER(SEARCH("Var", D416)), 1, IF(ISNUMBER(SEARCH("Gri", D416)), -1, 0)))=1, VERI_TABANI!E26*(1-0.928)*0.00206091519919798*VERI_TABANI!G26, 0)) + ((MIN(VERI_TABANI!D27, VERI_TABANI!D27*B416)*VERI_TABANI!$B$7 + MAX(0, VERI_TABANI!D27*B416-VERI_TABANI!D27)*VERI_TABANI!$B$8) + (MIN(MAX(0, VERI_TABANI!D27-VERI_TABANI!D27*B416), VERI_TABANI!D27*C416)*VERI_TABANI!$B$7 + MAX(0, VERI_TABANI!D27*C416-MAX(0, VERI_TABANI!D27-VERI_TABANI!D27*B416))*VERI_TABANI!$B$8) + IF(ABS(IF(ISNUMBER(SEARCH("Var", D416)), 1, IF(ISNUMBER(SEARCH("Gri", D416)), -1, 0)))=1, VERI_TABANI!E27*(1-0.928)*VERI_TABANI!$B$9, 0) + (VERI_TABANI!D27*B416*(VERI_TABANI!$B$13-VERI_TABANI!$B$14)*VERI_TABANI!G27) + (VERI_TABANI!D27*C416*(VERI_TABANI!$B$13-VERI_TABANI!$B$15)*VERI_TABANI!G27) + IF(ABS(IF(ISNUMBER(SEARCH("Var", D416)), 1, IF(ISNUMBER(SEARCH("Gri", D416)), -1, 0)))=1, VERI_TABANI!E27*(1-0.928)*0.00206091519919798*VERI_TABANI!G27, 0)) + ((MIN(VERI_TABANI!D28, VERI_TABANI!D28*B416)*VERI_TABANI!$B$7 + MAX(0, VERI_TABANI!D28*B416-VERI_TABANI!D28)*VERI_TABANI!$B$8) + (MIN(MAX(0, VERI_TABANI!D28-VERI_TABANI!D28*B416), VERI_TABANI!D28*C416)*VERI_TABANI!$B$7 + MAX(0, VERI_TABANI!D28*C416-MAX(0, VERI_TABANI!D28-VERI_TABANI!D28*B416))*VERI_TABANI!$B$8) + IF(ABS(IF(ISNUMBER(SEARCH("Var", D416)), 1, IF(ISNUMBER(SEARCH("Gri", D416)), -1, 0)))=1, VERI_TABANI!E28*(1-0.928)*VERI_TABANI!$B$9, 0) + (VERI_TABANI!D28*B416*(VERI_TABANI!$B$13-VERI_TABANI!$B$14)*VERI_TABANI!G28) + (VERI_TABANI!D28*C416*(VERI_TABANI!$B$13-VERI_TABANI!$B$15)*VERI_TABANI!G28) + IF(ABS(IF(ISNUMBER(SEARCH("Var", D416)), 1, IF(ISNUMBER(SEARCH("Gri", D416)), -1, 0)))=1, VERI_TABANI!E28*(1-0.928)*0.00206091519919798*VERI_TABANI!G28, 0)))</f>
        <v/>
      </c>
      <c r="H416" s="169">
        <f>(((VERI_TABANI!D23*B416*(VERI_TABANI!$B$13-VERI_TABANI!$B$14)) + (VERI_TABANI!D23*C416*(VERI_TABANI!$B$13-VERI_TABANI!$B$15)) + IF(ISNUMBER(SEARCH("Var", D416)), VERI_TABANI!F23*(0.00202-VERI_TABANI!$B$16), IF(ISNUMBER(SEARCH("Gri", D416)), VERI_TABANI!F23*(0.00202-VERI_TABANI!$B$17), 0))) + ((VERI_TABANI!D24*B416*(VERI_TABANI!$B$13-VERI_TABANI!$B$14)) + (VERI_TABANI!D24*C416*(VERI_TABANI!$B$13-VERI_TABANI!$B$15)) + IF(ISNUMBER(SEARCH("Var", D416)), VERI_TABANI!F24*(0.00202-VERI_TABANI!$B$16), IF(ISNUMBER(SEARCH("Gri", D416)), VERI_TABANI!F24*(0.00202-VERI_TABANI!$B$17), 0))) + ((VERI_TABANI!D25*B416*(VERI_TABANI!$B$13-VERI_TABANI!$B$14)) + (VERI_TABANI!D25*C416*(VERI_TABANI!$B$13-VERI_TABANI!$B$15)) + IF(ISNUMBER(SEARCH("Var", D416)), VERI_TABANI!F25*(0.00202-VERI_TABANI!$B$16), IF(ISNUMBER(SEARCH("Gri", D416)), VERI_TABANI!F25*(0.00202-VERI_TABANI!$B$17), 0))) + ((VERI_TABANI!D26*B416*(VERI_TABANI!$B$13-VERI_TABANI!$B$14)) + (VERI_TABANI!D26*C416*(VERI_TABANI!$B$13-VERI_TABANI!$B$15)) + IF(ISNUMBER(SEARCH("Var", D416)), VERI_TABANI!F26*(0.00202-VERI_TABANI!$B$16), IF(ISNUMBER(SEARCH("Gri", D416)), VERI_TABANI!F26*(0.00202-VERI_TABANI!$B$17), 0))) + ((VERI_TABANI!D27*B416*(VERI_TABANI!$B$13-VERI_TABANI!$B$14)) + (VERI_TABANI!D27*C416*(VERI_TABANI!$B$13-VERI_TABANI!$B$15)) + IF(ISNUMBER(SEARCH("Var", D416)), VERI_TABANI!F27*(0.00202-VERI_TABANI!$B$16), IF(ISNUMBER(SEARCH("Gri", D416)), VERI_TABANI!F27*(0.00202-VERI_TABANI!$B$17), 0))) + ((VERI_TABANI!D28*B416*(VERI_TABANI!$B$13-VERI_TABANI!$B$14)) + (VERI_TABANI!D28*C416*(VERI_TABANI!$B$13-VERI_TABANI!$B$15)) + IF(ISNUMBER(SEARCH("Var", D416)), VERI_TABANI!F28*(0.00202-VERI_TABANI!$B$16), IF(ISNUMBER(SEARCH("Gri", D416)), VERI_TABANI!F28*(0.00202-VERI_TABANI!$B$17), 0))))</f>
        <v/>
      </c>
      <c r="I416" s="170">
        <f>IFERROR(((VERI_TABANI!$D$29*B416*VERI_TABANI!$B$14 + VERI_TABANI!$D$29*C416*VERI_TABANI!$B$15 + IF(ISNUMBER(SEARCH("Var", D416)), VERI_TABANI!$F$29*VERI_TABANI!$B$16, 0))) / (((VERI_TABANI!$D$29*B416 + VERI_TABANI!$D$29*C416)*VERI_TABANI!$B$13 + IF(ISNUMBER(SEARCH("Var", D416)), VERI_TABANI!$E$29*(1-0.928)*VERI_TABANI!$B$18, 0))), 0)</f>
        <v/>
      </c>
      <c r="J416" s="171">
        <f>IFERROR(F416/(G416/29), 0)</f>
        <v/>
      </c>
      <c r="K416" s="172">
        <f>IF(F416&gt;0, H416/F416, 0)</f>
        <v/>
      </c>
      <c r="L416" s="170">
        <f>IF(F416&gt;0, I416, 1000000000)</f>
        <v/>
      </c>
      <c r="M416" s="171">
        <f>ABS((B416+C416)-1)</f>
        <v/>
      </c>
      <c r="N416" s="170">
        <f>IF(F416&gt;0, (G416/29)/F416, 0)</f>
        <v/>
      </c>
      <c r="O416" s="168">
        <f>IF(AND((B416+C416)&gt;=1, ISNUMBER(SEARCH("Var", D416))), F416, 1000000000)</f>
        <v/>
      </c>
      <c r="P416" s="172">
        <f>IF(F416&gt;0, SQRT((F416/MAX(F$5:F$886))^2 + (1 - H416/MAX(H$5:H$886))^2 + (J416/MAX(J$5:J$886))^2), 1000000000)</f>
        <v/>
      </c>
      <c r="Q416" s="166">
        <f>IF(AND(ABS(B416-0.5)&lt;0.01, ABS(C416-0.5)&lt;0.01, ISNUMBER(SEARCH("Var", D416))), 1, 0)</f>
        <v/>
      </c>
      <c r="R416" s="171">
        <f>IF(F416&gt;0, J416, 1000000000)</f>
        <v/>
      </c>
      <c r="S416" s="101">
        <f>IF(AND(F416&lt;=DASHBOARD!$B$11, H416&gt;=DASHBOARD!$B$13), G416, -1000000000000)</f>
        <v/>
      </c>
      <c r="T416" s="101">
        <f>IF(AND(F416&lt;=DASHBOARD!$B$11, H416&gt;=DASHBOARD!$B$13), R416, 1000000000000)</f>
        <v/>
      </c>
      <c r="U416" s="101">
        <f>IF(AND(F416&lt;=DASHBOARD!$B$11, H416&gt;=DASHBOARD!$B$13), N416, -1000000000000)</f>
        <v/>
      </c>
      <c r="V416" s="101">
        <f>IF(AND(F416&lt;=DASHBOARD!$B$11, H416&gt;=DASHBOARD!$B$13), H416, -1000000000000)</f>
        <v/>
      </c>
      <c r="W416" s="101">
        <f>IF(AND(F416&lt;=DASHBOARD!$B$11, H416&gt;=DASHBOARD!$B$13), K416, -1000000000000)</f>
        <v/>
      </c>
      <c r="X416" s="101">
        <f>IF(AND(F416&lt;=DASHBOARD!$B$11, H416&gt;=DASHBOARD!$B$13), M416, 1000000000000)</f>
        <v/>
      </c>
      <c r="Y416" s="101">
        <f>IF(AND(F416&lt;=DASHBOARD!$B$10, H416&gt;=DASHBOARD!$B$11), L416, 1000000000000)</f>
        <v/>
      </c>
      <c r="Z416" s="101">
        <f>IF(AND(F416&lt;=DASHBOARD!$B$10, H416&gt;=DASHBOARD!$B$11), O416, 1000000000000)</f>
        <v/>
      </c>
      <c r="AA416" s="101">
        <f>IF(AND(F416&lt;=DASHBOARD!$B$10, H416&gt;=DASHBOARD!$B$11), P416, 1000000000000)</f>
        <v/>
      </c>
      <c r="AB416" s="101">
        <f>IF(AND(F416&lt;=DASHBOARD!$B$10, H416&gt;=DASHBOARD!$B$11), Q416, -1000000000000)</f>
        <v/>
      </c>
    </row>
    <row r="417" ht="15" customHeight="1" s="102">
      <c r="A417" s="166" t="n">
        <v>413</v>
      </c>
      <c r="B417" s="167" t="n">
        <v>0.9</v>
      </c>
      <c r="C417" s="167" t="n">
        <v>1.7</v>
      </c>
      <c r="D417" s="110" t="inlineStr">
        <is>
          <t>Yok (%0)</t>
        </is>
      </c>
      <c r="E417" s="110">
        <f>IF((B417+C417)&lt;=1, "Tam Mahsuplaşma (≤%100)", "Kısmi Satış (&gt;%100)")</f>
        <v/>
      </c>
      <c r="F417" s="168">
        <f>((VERI_TABANI!$D$29*B417/VERI_TABANI!$B$29)/VERI_TABANI!$B$3)*VERI_TABANI!$B$5 + ((VERI_TABANI!$D$29*C417/VERI_TABANI!$B$29)/VERI_TABANI!$B$4)*VERI_TABANI!$B$6 + IF(ISNUMBER(SEARCH("Var", D417)), (VERI_TABANI!$F$29/VERI_TABANI!$B$29)*(VERI_TABANI!$B$10+VERI_TABANI!$B$12), 0)</f>
        <v/>
      </c>
      <c r="G417" s="168">
        <f>(((MIN(VERI_TABANI!D23, VERI_TABANI!D23*B417)*VERI_TABANI!$B$7 + MAX(0, VERI_TABANI!D23*B417-VERI_TABANI!D23)*VERI_TABANI!$B$8) + (MIN(MAX(0, VERI_TABANI!D23-VERI_TABANI!D23*B417), VERI_TABANI!D23*C417)*VERI_TABANI!$B$7 + MAX(0, VERI_TABANI!D23*C417-MAX(0, VERI_TABANI!D23-VERI_TABANI!D23*B417))*VERI_TABANI!$B$8) + IF(ABS(IF(ISNUMBER(SEARCH("Var", D417)), 1, IF(ISNUMBER(SEARCH("Gri", D417)), -1, 0)))=1, VERI_TABANI!E23*(1-0.928)*VERI_TABANI!$B$9, 0) + (VERI_TABANI!D23*B417*(VERI_TABANI!$B$13-VERI_TABANI!$B$14)*VERI_TABANI!G23) + (VERI_TABANI!D23*C417*(VERI_TABANI!$B$13-VERI_TABANI!$B$15)*VERI_TABANI!G23) + IF(ABS(IF(ISNUMBER(SEARCH("Var", D417)), 1, IF(ISNUMBER(SEARCH("Gri", D417)), -1, 0)))=1, VERI_TABANI!E23*(1-0.928)*0.00206091519919798*VERI_TABANI!G23, 0)) + ((MIN(VERI_TABANI!D24, VERI_TABANI!D24*B417)*VERI_TABANI!$B$7 + MAX(0, VERI_TABANI!D24*B417-VERI_TABANI!D24)*VERI_TABANI!$B$8) + (MIN(MAX(0, VERI_TABANI!D24-VERI_TABANI!D24*B417), VERI_TABANI!D24*C417)*VERI_TABANI!$B$7 + MAX(0, VERI_TABANI!D24*C417-MAX(0, VERI_TABANI!D24-VERI_TABANI!D24*B417))*VERI_TABANI!$B$8) + IF(ABS(IF(ISNUMBER(SEARCH("Var", D417)), 1, IF(ISNUMBER(SEARCH("Gri", D417)), -1, 0)))=1, VERI_TABANI!E24*(1-0.928)*VERI_TABANI!$B$9, 0) + (VERI_TABANI!D24*B417*(VERI_TABANI!$B$13-VERI_TABANI!$B$14)*VERI_TABANI!G24) + (VERI_TABANI!D24*C417*(VERI_TABANI!$B$13-VERI_TABANI!$B$15)*VERI_TABANI!G24) + IF(ABS(IF(ISNUMBER(SEARCH("Var", D417)), 1, IF(ISNUMBER(SEARCH("Gri", D417)), -1, 0)))=1, VERI_TABANI!E24*(1-0.928)*0.00206091519919798*VERI_TABANI!G24, 0)) + ((MIN(VERI_TABANI!D25, VERI_TABANI!D25*B417)*VERI_TABANI!$B$7 + MAX(0, VERI_TABANI!D25*B417-VERI_TABANI!D25)*VERI_TABANI!$B$8) + (MIN(MAX(0, VERI_TABANI!D25-VERI_TABANI!D25*B417), VERI_TABANI!D25*C417)*VERI_TABANI!$B$7 + MAX(0, VERI_TABANI!D25*C417-MAX(0, VERI_TABANI!D25-VERI_TABANI!D25*B417))*VERI_TABANI!$B$8) + IF(ABS(IF(ISNUMBER(SEARCH("Var", D417)), 1, IF(ISNUMBER(SEARCH("Gri", D417)), -1, 0)))=1, VERI_TABANI!E25*(1-0.928)*VERI_TABANI!$B$9, 0) + (VERI_TABANI!D25*B417*(VERI_TABANI!$B$13-VERI_TABANI!$B$14)*VERI_TABANI!G25) + (VERI_TABANI!D25*C417*(VERI_TABANI!$B$13-VERI_TABANI!$B$15)*VERI_TABANI!G25) + IF(ABS(IF(ISNUMBER(SEARCH("Var", D417)), 1, IF(ISNUMBER(SEARCH("Gri", D417)), -1, 0)))=1, VERI_TABANI!E25*(1-0.928)*0.00206091519919798*VERI_TABANI!G25, 0)) + ((MIN(VERI_TABANI!D26, VERI_TABANI!D26*B417)*VERI_TABANI!$B$7 + MAX(0, VERI_TABANI!D26*B417-VERI_TABANI!D26)*VERI_TABANI!$B$8) + (MIN(MAX(0, VERI_TABANI!D26-VERI_TABANI!D26*B417), VERI_TABANI!D26*C417)*VERI_TABANI!$B$7 + MAX(0, VERI_TABANI!D26*C417-MAX(0, VERI_TABANI!D26-VERI_TABANI!D26*B417))*VERI_TABANI!$B$8) + IF(ABS(IF(ISNUMBER(SEARCH("Var", D417)), 1, IF(ISNUMBER(SEARCH("Gri", D417)), -1, 0)))=1, VERI_TABANI!E26*(1-0.928)*VERI_TABANI!$B$9, 0) + (VERI_TABANI!D26*B417*(VERI_TABANI!$B$13-VERI_TABANI!$B$14)*VERI_TABANI!G26) + (VERI_TABANI!D26*C417*(VERI_TABANI!$B$13-VERI_TABANI!$B$15)*VERI_TABANI!G26) + IF(ABS(IF(ISNUMBER(SEARCH("Var", D417)), 1, IF(ISNUMBER(SEARCH("Gri", D417)), -1, 0)))=1, VERI_TABANI!E26*(1-0.928)*0.00206091519919798*VERI_TABANI!G26, 0)) + ((MIN(VERI_TABANI!D27, VERI_TABANI!D27*B417)*VERI_TABANI!$B$7 + MAX(0, VERI_TABANI!D27*B417-VERI_TABANI!D27)*VERI_TABANI!$B$8) + (MIN(MAX(0, VERI_TABANI!D27-VERI_TABANI!D27*B417), VERI_TABANI!D27*C417)*VERI_TABANI!$B$7 + MAX(0, VERI_TABANI!D27*C417-MAX(0, VERI_TABANI!D27-VERI_TABANI!D27*B417))*VERI_TABANI!$B$8) + IF(ABS(IF(ISNUMBER(SEARCH("Var", D417)), 1, IF(ISNUMBER(SEARCH("Gri", D417)), -1, 0)))=1, VERI_TABANI!E27*(1-0.928)*VERI_TABANI!$B$9, 0) + (VERI_TABANI!D27*B417*(VERI_TABANI!$B$13-VERI_TABANI!$B$14)*VERI_TABANI!G27) + (VERI_TABANI!D27*C417*(VERI_TABANI!$B$13-VERI_TABANI!$B$15)*VERI_TABANI!G27) + IF(ABS(IF(ISNUMBER(SEARCH("Var", D417)), 1, IF(ISNUMBER(SEARCH("Gri", D417)), -1, 0)))=1, VERI_TABANI!E27*(1-0.928)*0.00206091519919798*VERI_TABANI!G27, 0)) + ((MIN(VERI_TABANI!D28, VERI_TABANI!D28*B417)*VERI_TABANI!$B$7 + MAX(0, VERI_TABANI!D28*B417-VERI_TABANI!D28)*VERI_TABANI!$B$8) + (MIN(MAX(0, VERI_TABANI!D28-VERI_TABANI!D28*B417), VERI_TABANI!D28*C417)*VERI_TABANI!$B$7 + MAX(0, VERI_TABANI!D28*C417-MAX(0, VERI_TABANI!D28-VERI_TABANI!D28*B417))*VERI_TABANI!$B$8) + IF(ABS(IF(ISNUMBER(SEARCH("Var", D417)), 1, IF(ISNUMBER(SEARCH("Gri", D417)), -1, 0)))=1, VERI_TABANI!E28*(1-0.928)*VERI_TABANI!$B$9, 0) + (VERI_TABANI!D28*B417*(VERI_TABANI!$B$13-VERI_TABANI!$B$14)*VERI_TABANI!G28) + (VERI_TABANI!D28*C417*(VERI_TABANI!$B$13-VERI_TABANI!$B$15)*VERI_TABANI!G28) + IF(ABS(IF(ISNUMBER(SEARCH("Var", D417)), 1, IF(ISNUMBER(SEARCH("Gri", D417)), -1, 0)))=1, VERI_TABANI!E28*(1-0.928)*0.00206091519919798*VERI_TABANI!G28, 0)))</f>
        <v/>
      </c>
      <c r="H417" s="169">
        <f>(((VERI_TABANI!D23*B417*(VERI_TABANI!$B$13-VERI_TABANI!$B$14)) + (VERI_TABANI!D23*C417*(VERI_TABANI!$B$13-VERI_TABANI!$B$15)) + IF(ISNUMBER(SEARCH("Var", D417)), VERI_TABANI!F23*(0.00202-VERI_TABANI!$B$16), IF(ISNUMBER(SEARCH("Gri", D417)), VERI_TABANI!F23*(0.00202-VERI_TABANI!$B$17), 0))) + ((VERI_TABANI!D24*B417*(VERI_TABANI!$B$13-VERI_TABANI!$B$14)) + (VERI_TABANI!D24*C417*(VERI_TABANI!$B$13-VERI_TABANI!$B$15)) + IF(ISNUMBER(SEARCH("Var", D417)), VERI_TABANI!F24*(0.00202-VERI_TABANI!$B$16), IF(ISNUMBER(SEARCH("Gri", D417)), VERI_TABANI!F24*(0.00202-VERI_TABANI!$B$17), 0))) + ((VERI_TABANI!D25*B417*(VERI_TABANI!$B$13-VERI_TABANI!$B$14)) + (VERI_TABANI!D25*C417*(VERI_TABANI!$B$13-VERI_TABANI!$B$15)) + IF(ISNUMBER(SEARCH("Var", D417)), VERI_TABANI!F25*(0.00202-VERI_TABANI!$B$16), IF(ISNUMBER(SEARCH("Gri", D417)), VERI_TABANI!F25*(0.00202-VERI_TABANI!$B$17), 0))) + ((VERI_TABANI!D26*B417*(VERI_TABANI!$B$13-VERI_TABANI!$B$14)) + (VERI_TABANI!D26*C417*(VERI_TABANI!$B$13-VERI_TABANI!$B$15)) + IF(ISNUMBER(SEARCH("Var", D417)), VERI_TABANI!F26*(0.00202-VERI_TABANI!$B$16), IF(ISNUMBER(SEARCH("Gri", D417)), VERI_TABANI!F26*(0.00202-VERI_TABANI!$B$17), 0))) + ((VERI_TABANI!D27*B417*(VERI_TABANI!$B$13-VERI_TABANI!$B$14)) + (VERI_TABANI!D27*C417*(VERI_TABANI!$B$13-VERI_TABANI!$B$15)) + IF(ISNUMBER(SEARCH("Var", D417)), VERI_TABANI!F27*(0.00202-VERI_TABANI!$B$16), IF(ISNUMBER(SEARCH("Gri", D417)), VERI_TABANI!F27*(0.00202-VERI_TABANI!$B$17), 0))) + ((VERI_TABANI!D28*B417*(VERI_TABANI!$B$13-VERI_TABANI!$B$14)) + (VERI_TABANI!D28*C417*(VERI_TABANI!$B$13-VERI_TABANI!$B$15)) + IF(ISNUMBER(SEARCH("Var", D417)), VERI_TABANI!F28*(0.00202-VERI_TABANI!$B$16), IF(ISNUMBER(SEARCH("Gri", D417)), VERI_TABANI!F28*(0.00202-VERI_TABANI!$B$17), 0))))</f>
        <v/>
      </c>
      <c r="I417" s="170">
        <f>IFERROR(((VERI_TABANI!$D$29*B417*VERI_TABANI!$B$14 + VERI_TABANI!$D$29*C417*VERI_TABANI!$B$15 + IF(ISNUMBER(SEARCH("Var", D417)), VERI_TABANI!$F$29*VERI_TABANI!$B$16, 0))) / (((VERI_TABANI!$D$29*B417 + VERI_TABANI!$D$29*C417)*VERI_TABANI!$B$13 + IF(ISNUMBER(SEARCH("Var", D417)), VERI_TABANI!$E$29*(1-0.928)*VERI_TABANI!$B$18, 0))), 0)</f>
        <v/>
      </c>
      <c r="J417" s="171">
        <f>IFERROR(F417/(G417/29), 0)</f>
        <v/>
      </c>
      <c r="K417" s="172">
        <f>IF(F417&gt;0, H417/F417, 0)</f>
        <v/>
      </c>
      <c r="L417" s="170">
        <f>IF(F417&gt;0, I417, 1000000000)</f>
        <v/>
      </c>
      <c r="M417" s="171">
        <f>ABS((B417+C417)-1)</f>
        <v/>
      </c>
      <c r="N417" s="170">
        <f>IF(F417&gt;0, (G417/29)/F417, 0)</f>
        <v/>
      </c>
      <c r="O417" s="168">
        <f>IF(AND((B417+C417)&gt;=1, ISNUMBER(SEARCH("Var", D417))), F417, 1000000000)</f>
        <v/>
      </c>
      <c r="P417" s="172">
        <f>IF(F417&gt;0, SQRT((F417/MAX(F$5:F$886))^2 + (1 - H417/MAX(H$5:H$886))^2 + (J417/MAX(J$5:J$886))^2), 1000000000)</f>
        <v/>
      </c>
      <c r="Q417" s="166">
        <f>IF(AND(ABS(B417-0.5)&lt;0.01, ABS(C417-0.5)&lt;0.01, ISNUMBER(SEARCH("Var", D417))), 1, 0)</f>
        <v/>
      </c>
      <c r="R417" s="171">
        <f>IF(F417&gt;0, J417, 1000000000)</f>
        <v/>
      </c>
      <c r="S417" s="101">
        <f>IF(AND(F417&lt;=DASHBOARD!$B$11, H417&gt;=DASHBOARD!$B$13), G417, -1000000000000)</f>
        <v/>
      </c>
      <c r="T417" s="101">
        <f>IF(AND(F417&lt;=DASHBOARD!$B$11, H417&gt;=DASHBOARD!$B$13), R417, 1000000000000)</f>
        <v/>
      </c>
      <c r="U417" s="101">
        <f>IF(AND(F417&lt;=DASHBOARD!$B$11, H417&gt;=DASHBOARD!$B$13), N417, -1000000000000)</f>
        <v/>
      </c>
      <c r="V417" s="101">
        <f>IF(AND(F417&lt;=DASHBOARD!$B$11, H417&gt;=DASHBOARD!$B$13), H417, -1000000000000)</f>
        <v/>
      </c>
      <c r="W417" s="101">
        <f>IF(AND(F417&lt;=DASHBOARD!$B$11, H417&gt;=DASHBOARD!$B$13), K417, -1000000000000)</f>
        <v/>
      </c>
      <c r="X417" s="101">
        <f>IF(AND(F417&lt;=DASHBOARD!$B$11, H417&gt;=DASHBOARD!$B$13), M417, 1000000000000)</f>
        <v/>
      </c>
      <c r="Y417" s="101">
        <f>IF(AND(F417&lt;=DASHBOARD!$B$10, H417&gt;=DASHBOARD!$B$11), L417, 1000000000000)</f>
        <v/>
      </c>
      <c r="Z417" s="101">
        <f>IF(AND(F417&lt;=DASHBOARD!$B$10, H417&gt;=DASHBOARD!$B$11), O417, 1000000000000)</f>
        <v/>
      </c>
      <c r="AA417" s="101">
        <f>IF(AND(F417&lt;=DASHBOARD!$B$10, H417&gt;=DASHBOARD!$B$11), P417, 1000000000000)</f>
        <v/>
      </c>
      <c r="AB417" s="101">
        <f>IF(AND(F417&lt;=DASHBOARD!$B$10, H417&gt;=DASHBOARD!$B$11), Q417, -1000000000000)</f>
        <v/>
      </c>
    </row>
    <row r="418" ht="15" customHeight="1" s="102">
      <c r="A418" s="166" t="n">
        <v>414</v>
      </c>
      <c r="B418" s="167" t="n">
        <v>0.9</v>
      </c>
      <c r="C418" s="167" t="n">
        <v>1.7</v>
      </c>
      <c r="D418" s="110" t="inlineStr">
        <is>
          <t>Var (%20)</t>
        </is>
      </c>
      <c r="E418" s="110">
        <f>IF((B418+C418)&lt;=1, "Tam Mahsuplaşma (≤%100)", "Kısmi Satış (&gt;%100)")</f>
        <v/>
      </c>
      <c r="F418" s="168">
        <f>((VERI_TABANI!$D$29*B418/VERI_TABANI!$B$29)/VERI_TABANI!$B$3)*VERI_TABANI!$B$5 + ((VERI_TABANI!$D$29*C418/VERI_TABANI!$B$29)/VERI_TABANI!$B$4)*VERI_TABANI!$B$6 + IF(ISNUMBER(SEARCH("Var", D418)), (VERI_TABANI!$F$29/VERI_TABANI!$B$29)*(VERI_TABANI!$B$10+VERI_TABANI!$B$12), 0)</f>
        <v/>
      </c>
      <c r="G418" s="168">
        <f>(((MIN(VERI_TABANI!D23, VERI_TABANI!D23*B418)*VERI_TABANI!$B$7 + MAX(0, VERI_TABANI!D23*B418-VERI_TABANI!D23)*VERI_TABANI!$B$8) + (MIN(MAX(0, VERI_TABANI!D23-VERI_TABANI!D23*B418), VERI_TABANI!D23*C418)*VERI_TABANI!$B$7 + MAX(0, VERI_TABANI!D23*C418-MAX(0, VERI_TABANI!D23-VERI_TABANI!D23*B418))*VERI_TABANI!$B$8) + IF(ABS(IF(ISNUMBER(SEARCH("Var", D418)), 1, IF(ISNUMBER(SEARCH("Gri", D418)), -1, 0)))=1, VERI_TABANI!E23*(1-0.928)*VERI_TABANI!$B$9, 0) + (VERI_TABANI!D23*B418*(VERI_TABANI!$B$13-VERI_TABANI!$B$14)*VERI_TABANI!G23) + (VERI_TABANI!D23*C418*(VERI_TABANI!$B$13-VERI_TABANI!$B$15)*VERI_TABANI!G23) + IF(ABS(IF(ISNUMBER(SEARCH("Var", D418)), 1, IF(ISNUMBER(SEARCH("Gri", D418)), -1, 0)))=1, VERI_TABANI!E23*(1-0.928)*0.00206091519919798*VERI_TABANI!G23, 0)) + ((MIN(VERI_TABANI!D24, VERI_TABANI!D24*B418)*VERI_TABANI!$B$7 + MAX(0, VERI_TABANI!D24*B418-VERI_TABANI!D24)*VERI_TABANI!$B$8) + (MIN(MAX(0, VERI_TABANI!D24-VERI_TABANI!D24*B418), VERI_TABANI!D24*C418)*VERI_TABANI!$B$7 + MAX(0, VERI_TABANI!D24*C418-MAX(0, VERI_TABANI!D24-VERI_TABANI!D24*B418))*VERI_TABANI!$B$8) + IF(ABS(IF(ISNUMBER(SEARCH("Var", D418)), 1, IF(ISNUMBER(SEARCH("Gri", D418)), -1, 0)))=1, VERI_TABANI!E24*(1-0.928)*VERI_TABANI!$B$9, 0) + (VERI_TABANI!D24*B418*(VERI_TABANI!$B$13-VERI_TABANI!$B$14)*VERI_TABANI!G24) + (VERI_TABANI!D24*C418*(VERI_TABANI!$B$13-VERI_TABANI!$B$15)*VERI_TABANI!G24) + IF(ABS(IF(ISNUMBER(SEARCH("Var", D418)), 1, IF(ISNUMBER(SEARCH("Gri", D418)), -1, 0)))=1, VERI_TABANI!E24*(1-0.928)*0.00206091519919798*VERI_TABANI!G24, 0)) + ((MIN(VERI_TABANI!D25, VERI_TABANI!D25*B418)*VERI_TABANI!$B$7 + MAX(0, VERI_TABANI!D25*B418-VERI_TABANI!D25)*VERI_TABANI!$B$8) + (MIN(MAX(0, VERI_TABANI!D25-VERI_TABANI!D25*B418), VERI_TABANI!D25*C418)*VERI_TABANI!$B$7 + MAX(0, VERI_TABANI!D25*C418-MAX(0, VERI_TABANI!D25-VERI_TABANI!D25*B418))*VERI_TABANI!$B$8) + IF(ABS(IF(ISNUMBER(SEARCH("Var", D418)), 1, IF(ISNUMBER(SEARCH("Gri", D418)), -1, 0)))=1, VERI_TABANI!E25*(1-0.928)*VERI_TABANI!$B$9, 0) + (VERI_TABANI!D25*B418*(VERI_TABANI!$B$13-VERI_TABANI!$B$14)*VERI_TABANI!G25) + (VERI_TABANI!D25*C418*(VERI_TABANI!$B$13-VERI_TABANI!$B$15)*VERI_TABANI!G25) + IF(ABS(IF(ISNUMBER(SEARCH("Var", D418)), 1, IF(ISNUMBER(SEARCH("Gri", D418)), -1, 0)))=1, VERI_TABANI!E25*(1-0.928)*0.00206091519919798*VERI_TABANI!G25, 0)) + ((MIN(VERI_TABANI!D26, VERI_TABANI!D26*B418)*VERI_TABANI!$B$7 + MAX(0, VERI_TABANI!D26*B418-VERI_TABANI!D26)*VERI_TABANI!$B$8) + (MIN(MAX(0, VERI_TABANI!D26-VERI_TABANI!D26*B418), VERI_TABANI!D26*C418)*VERI_TABANI!$B$7 + MAX(0, VERI_TABANI!D26*C418-MAX(0, VERI_TABANI!D26-VERI_TABANI!D26*B418))*VERI_TABANI!$B$8) + IF(ABS(IF(ISNUMBER(SEARCH("Var", D418)), 1, IF(ISNUMBER(SEARCH("Gri", D418)), -1, 0)))=1, VERI_TABANI!E26*(1-0.928)*VERI_TABANI!$B$9, 0) + (VERI_TABANI!D26*B418*(VERI_TABANI!$B$13-VERI_TABANI!$B$14)*VERI_TABANI!G26) + (VERI_TABANI!D26*C418*(VERI_TABANI!$B$13-VERI_TABANI!$B$15)*VERI_TABANI!G26) + IF(ABS(IF(ISNUMBER(SEARCH("Var", D418)), 1, IF(ISNUMBER(SEARCH("Gri", D418)), -1, 0)))=1, VERI_TABANI!E26*(1-0.928)*0.00206091519919798*VERI_TABANI!G26, 0)) + ((MIN(VERI_TABANI!D27, VERI_TABANI!D27*B418)*VERI_TABANI!$B$7 + MAX(0, VERI_TABANI!D27*B418-VERI_TABANI!D27)*VERI_TABANI!$B$8) + (MIN(MAX(0, VERI_TABANI!D27-VERI_TABANI!D27*B418), VERI_TABANI!D27*C418)*VERI_TABANI!$B$7 + MAX(0, VERI_TABANI!D27*C418-MAX(0, VERI_TABANI!D27-VERI_TABANI!D27*B418))*VERI_TABANI!$B$8) + IF(ABS(IF(ISNUMBER(SEARCH("Var", D418)), 1, IF(ISNUMBER(SEARCH("Gri", D418)), -1, 0)))=1, VERI_TABANI!E27*(1-0.928)*VERI_TABANI!$B$9, 0) + (VERI_TABANI!D27*B418*(VERI_TABANI!$B$13-VERI_TABANI!$B$14)*VERI_TABANI!G27) + (VERI_TABANI!D27*C418*(VERI_TABANI!$B$13-VERI_TABANI!$B$15)*VERI_TABANI!G27) + IF(ABS(IF(ISNUMBER(SEARCH("Var", D418)), 1, IF(ISNUMBER(SEARCH("Gri", D418)), -1, 0)))=1, VERI_TABANI!E27*(1-0.928)*0.00206091519919798*VERI_TABANI!G27, 0)) + ((MIN(VERI_TABANI!D28, VERI_TABANI!D28*B418)*VERI_TABANI!$B$7 + MAX(0, VERI_TABANI!D28*B418-VERI_TABANI!D28)*VERI_TABANI!$B$8) + (MIN(MAX(0, VERI_TABANI!D28-VERI_TABANI!D28*B418), VERI_TABANI!D28*C418)*VERI_TABANI!$B$7 + MAX(0, VERI_TABANI!D28*C418-MAX(0, VERI_TABANI!D28-VERI_TABANI!D28*B418))*VERI_TABANI!$B$8) + IF(ABS(IF(ISNUMBER(SEARCH("Var", D418)), 1, IF(ISNUMBER(SEARCH("Gri", D418)), -1, 0)))=1, VERI_TABANI!E28*(1-0.928)*VERI_TABANI!$B$9, 0) + (VERI_TABANI!D28*B418*(VERI_TABANI!$B$13-VERI_TABANI!$B$14)*VERI_TABANI!G28) + (VERI_TABANI!D28*C418*(VERI_TABANI!$B$13-VERI_TABANI!$B$15)*VERI_TABANI!G28) + IF(ABS(IF(ISNUMBER(SEARCH("Var", D418)), 1, IF(ISNUMBER(SEARCH("Gri", D418)), -1, 0)))=1, VERI_TABANI!E28*(1-0.928)*0.00206091519919798*VERI_TABANI!G28, 0)))</f>
        <v/>
      </c>
      <c r="H418" s="169">
        <f>(((VERI_TABANI!D23*B418*(VERI_TABANI!$B$13-VERI_TABANI!$B$14)) + (VERI_TABANI!D23*C418*(VERI_TABANI!$B$13-VERI_TABANI!$B$15)) + IF(ISNUMBER(SEARCH("Var", D418)), VERI_TABANI!F23*(0.00202-VERI_TABANI!$B$16), IF(ISNUMBER(SEARCH("Gri", D418)), VERI_TABANI!F23*(0.00202-VERI_TABANI!$B$17), 0))) + ((VERI_TABANI!D24*B418*(VERI_TABANI!$B$13-VERI_TABANI!$B$14)) + (VERI_TABANI!D24*C418*(VERI_TABANI!$B$13-VERI_TABANI!$B$15)) + IF(ISNUMBER(SEARCH("Var", D418)), VERI_TABANI!F24*(0.00202-VERI_TABANI!$B$16), IF(ISNUMBER(SEARCH("Gri", D418)), VERI_TABANI!F24*(0.00202-VERI_TABANI!$B$17), 0))) + ((VERI_TABANI!D25*B418*(VERI_TABANI!$B$13-VERI_TABANI!$B$14)) + (VERI_TABANI!D25*C418*(VERI_TABANI!$B$13-VERI_TABANI!$B$15)) + IF(ISNUMBER(SEARCH("Var", D418)), VERI_TABANI!F25*(0.00202-VERI_TABANI!$B$16), IF(ISNUMBER(SEARCH("Gri", D418)), VERI_TABANI!F25*(0.00202-VERI_TABANI!$B$17), 0))) + ((VERI_TABANI!D26*B418*(VERI_TABANI!$B$13-VERI_TABANI!$B$14)) + (VERI_TABANI!D26*C418*(VERI_TABANI!$B$13-VERI_TABANI!$B$15)) + IF(ISNUMBER(SEARCH("Var", D418)), VERI_TABANI!F26*(0.00202-VERI_TABANI!$B$16), IF(ISNUMBER(SEARCH("Gri", D418)), VERI_TABANI!F26*(0.00202-VERI_TABANI!$B$17), 0))) + ((VERI_TABANI!D27*B418*(VERI_TABANI!$B$13-VERI_TABANI!$B$14)) + (VERI_TABANI!D27*C418*(VERI_TABANI!$B$13-VERI_TABANI!$B$15)) + IF(ISNUMBER(SEARCH("Var", D418)), VERI_TABANI!F27*(0.00202-VERI_TABANI!$B$16), IF(ISNUMBER(SEARCH("Gri", D418)), VERI_TABANI!F27*(0.00202-VERI_TABANI!$B$17), 0))) + ((VERI_TABANI!D28*B418*(VERI_TABANI!$B$13-VERI_TABANI!$B$14)) + (VERI_TABANI!D28*C418*(VERI_TABANI!$B$13-VERI_TABANI!$B$15)) + IF(ISNUMBER(SEARCH("Var", D418)), VERI_TABANI!F28*(0.00202-VERI_TABANI!$B$16), IF(ISNUMBER(SEARCH("Gri", D418)), VERI_TABANI!F28*(0.00202-VERI_TABANI!$B$17), 0))))</f>
        <v/>
      </c>
      <c r="I418" s="170">
        <f>IFERROR(((VERI_TABANI!$D$29*B418*VERI_TABANI!$B$14 + VERI_TABANI!$D$29*C418*VERI_TABANI!$B$15 + IF(ISNUMBER(SEARCH("Var", D418)), VERI_TABANI!$F$29*VERI_TABANI!$B$16, 0))) / (((VERI_TABANI!$D$29*B418 + VERI_TABANI!$D$29*C418)*VERI_TABANI!$B$13 + IF(ISNUMBER(SEARCH("Var", D418)), VERI_TABANI!$E$29*(1-0.928)*VERI_TABANI!$B$18, 0))), 0)</f>
        <v/>
      </c>
      <c r="J418" s="171">
        <f>IFERROR(F418/(G418/29), 0)</f>
        <v/>
      </c>
      <c r="K418" s="172">
        <f>IF(F418&gt;0, H418/F418, 0)</f>
        <v/>
      </c>
      <c r="L418" s="170">
        <f>IF(F418&gt;0, I418, 1000000000)</f>
        <v/>
      </c>
      <c r="M418" s="171">
        <f>ABS((B418+C418)-1)</f>
        <v/>
      </c>
      <c r="N418" s="170">
        <f>IF(F418&gt;0, (G418/29)/F418, 0)</f>
        <v/>
      </c>
      <c r="O418" s="168">
        <f>IF(AND((B418+C418)&gt;=1, ISNUMBER(SEARCH("Var", D418))), F418, 1000000000)</f>
        <v/>
      </c>
      <c r="P418" s="172">
        <f>IF(F418&gt;0, SQRT((F418/MAX(F$5:F$886))^2 + (1 - H418/MAX(H$5:H$886))^2 + (J418/MAX(J$5:J$886))^2), 1000000000)</f>
        <v/>
      </c>
      <c r="Q418" s="166">
        <f>IF(AND(ABS(B418-0.5)&lt;0.01, ABS(C418-0.5)&lt;0.01, ISNUMBER(SEARCH("Var", D418))), 1, 0)</f>
        <v/>
      </c>
      <c r="R418" s="171">
        <f>IF(F418&gt;0, J418, 1000000000)</f>
        <v/>
      </c>
      <c r="S418" s="101">
        <f>IF(AND(F418&lt;=DASHBOARD!$B$11, H418&gt;=DASHBOARD!$B$13), G418, -1000000000000)</f>
        <v/>
      </c>
      <c r="T418" s="101">
        <f>IF(AND(F418&lt;=DASHBOARD!$B$11, H418&gt;=DASHBOARD!$B$13), R418, 1000000000000)</f>
        <v/>
      </c>
      <c r="U418" s="101">
        <f>IF(AND(F418&lt;=DASHBOARD!$B$11, H418&gt;=DASHBOARD!$B$13), N418, -1000000000000)</f>
        <v/>
      </c>
      <c r="V418" s="101">
        <f>IF(AND(F418&lt;=DASHBOARD!$B$11, H418&gt;=DASHBOARD!$B$13), H418, -1000000000000)</f>
        <v/>
      </c>
      <c r="W418" s="101">
        <f>IF(AND(F418&lt;=DASHBOARD!$B$11, H418&gt;=DASHBOARD!$B$13), K418, -1000000000000)</f>
        <v/>
      </c>
      <c r="X418" s="101">
        <f>IF(AND(F418&lt;=DASHBOARD!$B$11, H418&gt;=DASHBOARD!$B$13), M418, 1000000000000)</f>
        <v/>
      </c>
      <c r="Y418" s="101">
        <f>IF(AND(F418&lt;=DASHBOARD!$B$10, H418&gt;=DASHBOARD!$B$11), L418, 1000000000000)</f>
        <v/>
      </c>
      <c r="Z418" s="101">
        <f>IF(AND(F418&lt;=DASHBOARD!$B$10, H418&gt;=DASHBOARD!$B$11), O418, 1000000000000)</f>
        <v/>
      </c>
      <c r="AA418" s="101">
        <f>IF(AND(F418&lt;=DASHBOARD!$B$10, H418&gt;=DASHBOARD!$B$11), P418, 1000000000000)</f>
        <v/>
      </c>
      <c r="AB418" s="101">
        <f>IF(AND(F418&lt;=DASHBOARD!$B$10, H418&gt;=DASHBOARD!$B$11), Q418, -1000000000000)</f>
        <v/>
      </c>
    </row>
    <row r="419" ht="15" customHeight="1" s="102">
      <c r="A419" s="166" t="n">
        <v>415</v>
      </c>
      <c r="B419" s="167" t="n">
        <v>0.9</v>
      </c>
      <c r="C419" s="167" t="n">
        <v>1.8</v>
      </c>
      <c r="D419" s="110" t="inlineStr">
        <is>
          <t>Yok (%0)</t>
        </is>
      </c>
      <c r="E419" s="110">
        <f>IF((B419+C419)&lt;=1, "Tam Mahsuplaşma (≤%100)", "Kısmi Satış (&gt;%100)")</f>
        <v/>
      </c>
      <c r="F419" s="168">
        <f>((VERI_TABANI!$D$29*B419/VERI_TABANI!$B$29)/VERI_TABANI!$B$3)*VERI_TABANI!$B$5 + ((VERI_TABANI!$D$29*C419/VERI_TABANI!$B$29)/VERI_TABANI!$B$4)*VERI_TABANI!$B$6 + IF(ISNUMBER(SEARCH("Var", D419)), (VERI_TABANI!$F$29/VERI_TABANI!$B$29)*(VERI_TABANI!$B$10+VERI_TABANI!$B$12), 0)</f>
        <v/>
      </c>
      <c r="G419" s="168">
        <f>(((MIN(VERI_TABANI!D23, VERI_TABANI!D23*B419)*VERI_TABANI!$B$7 + MAX(0, VERI_TABANI!D23*B419-VERI_TABANI!D23)*VERI_TABANI!$B$8) + (MIN(MAX(0, VERI_TABANI!D23-VERI_TABANI!D23*B419), VERI_TABANI!D23*C419)*VERI_TABANI!$B$7 + MAX(0, VERI_TABANI!D23*C419-MAX(0, VERI_TABANI!D23-VERI_TABANI!D23*B419))*VERI_TABANI!$B$8) + IF(ABS(IF(ISNUMBER(SEARCH("Var", D419)), 1, IF(ISNUMBER(SEARCH("Gri", D419)), -1, 0)))=1, VERI_TABANI!E23*(1-0.928)*VERI_TABANI!$B$9, 0) + (VERI_TABANI!D23*B419*(VERI_TABANI!$B$13-VERI_TABANI!$B$14)*VERI_TABANI!G23) + (VERI_TABANI!D23*C419*(VERI_TABANI!$B$13-VERI_TABANI!$B$15)*VERI_TABANI!G23) + IF(ABS(IF(ISNUMBER(SEARCH("Var", D419)), 1, IF(ISNUMBER(SEARCH("Gri", D419)), -1, 0)))=1, VERI_TABANI!E23*(1-0.928)*0.00206091519919798*VERI_TABANI!G23, 0)) + ((MIN(VERI_TABANI!D24, VERI_TABANI!D24*B419)*VERI_TABANI!$B$7 + MAX(0, VERI_TABANI!D24*B419-VERI_TABANI!D24)*VERI_TABANI!$B$8) + (MIN(MAX(0, VERI_TABANI!D24-VERI_TABANI!D24*B419), VERI_TABANI!D24*C419)*VERI_TABANI!$B$7 + MAX(0, VERI_TABANI!D24*C419-MAX(0, VERI_TABANI!D24-VERI_TABANI!D24*B419))*VERI_TABANI!$B$8) + IF(ABS(IF(ISNUMBER(SEARCH("Var", D419)), 1, IF(ISNUMBER(SEARCH("Gri", D419)), -1, 0)))=1, VERI_TABANI!E24*(1-0.928)*VERI_TABANI!$B$9, 0) + (VERI_TABANI!D24*B419*(VERI_TABANI!$B$13-VERI_TABANI!$B$14)*VERI_TABANI!G24) + (VERI_TABANI!D24*C419*(VERI_TABANI!$B$13-VERI_TABANI!$B$15)*VERI_TABANI!G24) + IF(ABS(IF(ISNUMBER(SEARCH("Var", D419)), 1, IF(ISNUMBER(SEARCH("Gri", D419)), -1, 0)))=1, VERI_TABANI!E24*(1-0.928)*0.00206091519919798*VERI_TABANI!G24, 0)) + ((MIN(VERI_TABANI!D25, VERI_TABANI!D25*B419)*VERI_TABANI!$B$7 + MAX(0, VERI_TABANI!D25*B419-VERI_TABANI!D25)*VERI_TABANI!$B$8) + (MIN(MAX(0, VERI_TABANI!D25-VERI_TABANI!D25*B419), VERI_TABANI!D25*C419)*VERI_TABANI!$B$7 + MAX(0, VERI_TABANI!D25*C419-MAX(0, VERI_TABANI!D25-VERI_TABANI!D25*B419))*VERI_TABANI!$B$8) + IF(ABS(IF(ISNUMBER(SEARCH("Var", D419)), 1, IF(ISNUMBER(SEARCH("Gri", D419)), -1, 0)))=1, VERI_TABANI!E25*(1-0.928)*VERI_TABANI!$B$9, 0) + (VERI_TABANI!D25*B419*(VERI_TABANI!$B$13-VERI_TABANI!$B$14)*VERI_TABANI!G25) + (VERI_TABANI!D25*C419*(VERI_TABANI!$B$13-VERI_TABANI!$B$15)*VERI_TABANI!G25) + IF(ABS(IF(ISNUMBER(SEARCH("Var", D419)), 1, IF(ISNUMBER(SEARCH("Gri", D419)), -1, 0)))=1, VERI_TABANI!E25*(1-0.928)*0.00206091519919798*VERI_TABANI!G25, 0)) + ((MIN(VERI_TABANI!D26, VERI_TABANI!D26*B419)*VERI_TABANI!$B$7 + MAX(0, VERI_TABANI!D26*B419-VERI_TABANI!D26)*VERI_TABANI!$B$8) + (MIN(MAX(0, VERI_TABANI!D26-VERI_TABANI!D26*B419), VERI_TABANI!D26*C419)*VERI_TABANI!$B$7 + MAX(0, VERI_TABANI!D26*C419-MAX(0, VERI_TABANI!D26-VERI_TABANI!D26*B419))*VERI_TABANI!$B$8) + IF(ABS(IF(ISNUMBER(SEARCH("Var", D419)), 1, IF(ISNUMBER(SEARCH("Gri", D419)), -1, 0)))=1, VERI_TABANI!E26*(1-0.928)*VERI_TABANI!$B$9, 0) + (VERI_TABANI!D26*B419*(VERI_TABANI!$B$13-VERI_TABANI!$B$14)*VERI_TABANI!G26) + (VERI_TABANI!D26*C419*(VERI_TABANI!$B$13-VERI_TABANI!$B$15)*VERI_TABANI!G26) + IF(ABS(IF(ISNUMBER(SEARCH("Var", D419)), 1, IF(ISNUMBER(SEARCH("Gri", D419)), -1, 0)))=1, VERI_TABANI!E26*(1-0.928)*0.00206091519919798*VERI_TABANI!G26, 0)) + ((MIN(VERI_TABANI!D27, VERI_TABANI!D27*B419)*VERI_TABANI!$B$7 + MAX(0, VERI_TABANI!D27*B419-VERI_TABANI!D27)*VERI_TABANI!$B$8) + (MIN(MAX(0, VERI_TABANI!D27-VERI_TABANI!D27*B419), VERI_TABANI!D27*C419)*VERI_TABANI!$B$7 + MAX(0, VERI_TABANI!D27*C419-MAX(0, VERI_TABANI!D27-VERI_TABANI!D27*B419))*VERI_TABANI!$B$8) + IF(ABS(IF(ISNUMBER(SEARCH("Var", D419)), 1, IF(ISNUMBER(SEARCH("Gri", D419)), -1, 0)))=1, VERI_TABANI!E27*(1-0.928)*VERI_TABANI!$B$9, 0) + (VERI_TABANI!D27*B419*(VERI_TABANI!$B$13-VERI_TABANI!$B$14)*VERI_TABANI!G27) + (VERI_TABANI!D27*C419*(VERI_TABANI!$B$13-VERI_TABANI!$B$15)*VERI_TABANI!G27) + IF(ABS(IF(ISNUMBER(SEARCH("Var", D419)), 1, IF(ISNUMBER(SEARCH("Gri", D419)), -1, 0)))=1, VERI_TABANI!E27*(1-0.928)*0.00206091519919798*VERI_TABANI!G27, 0)) + ((MIN(VERI_TABANI!D28, VERI_TABANI!D28*B419)*VERI_TABANI!$B$7 + MAX(0, VERI_TABANI!D28*B419-VERI_TABANI!D28)*VERI_TABANI!$B$8) + (MIN(MAX(0, VERI_TABANI!D28-VERI_TABANI!D28*B419), VERI_TABANI!D28*C419)*VERI_TABANI!$B$7 + MAX(0, VERI_TABANI!D28*C419-MAX(0, VERI_TABANI!D28-VERI_TABANI!D28*B419))*VERI_TABANI!$B$8) + IF(ABS(IF(ISNUMBER(SEARCH("Var", D419)), 1, IF(ISNUMBER(SEARCH("Gri", D419)), -1, 0)))=1, VERI_TABANI!E28*(1-0.928)*VERI_TABANI!$B$9, 0) + (VERI_TABANI!D28*B419*(VERI_TABANI!$B$13-VERI_TABANI!$B$14)*VERI_TABANI!G28) + (VERI_TABANI!D28*C419*(VERI_TABANI!$B$13-VERI_TABANI!$B$15)*VERI_TABANI!G28) + IF(ABS(IF(ISNUMBER(SEARCH("Var", D419)), 1, IF(ISNUMBER(SEARCH("Gri", D419)), -1, 0)))=1, VERI_TABANI!E28*(1-0.928)*0.00206091519919798*VERI_TABANI!G28, 0)))</f>
        <v/>
      </c>
      <c r="H419" s="169">
        <f>(((VERI_TABANI!D23*B419*(VERI_TABANI!$B$13-VERI_TABANI!$B$14)) + (VERI_TABANI!D23*C419*(VERI_TABANI!$B$13-VERI_TABANI!$B$15)) + IF(ISNUMBER(SEARCH("Var", D419)), VERI_TABANI!F23*(0.00202-VERI_TABANI!$B$16), IF(ISNUMBER(SEARCH("Gri", D419)), VERI_TABANI!F23*(0.00202-VERI_TABANI!$B$17), 0))) + ((VERI_TABANI!D24*B419*(VERI_TABANI!$B$13-VERI_TABANI!$B$14)) + (VERI_TABANI!D24*C419*(VERI_TABANI!$B$13-VERI_TABANI!$B$15)) + IF(ISNUMBER(SEARCH("Var", D419)), VERI_TABANI!F24*(0.00202-VERI_TABANI!$B$16), IF(ISNUMBER(SEARCH("Gri", D419)), VERI_TABANI!F24*(0.00202-VERI_TABANI!$B$17), 0))) + ((VERI_TABANI!D25*B419*(VERI_TABANI!$B$13-VERI_TABANI!$B$14)) + (VERI_TABANI!D25*C419*(VERI_TABANI!$B$13-VERI_TABANI!$B$15)) + IF(ISNUMBER(SEARCH("Var", D419)), VERI_TABANI!F25*(0.00202-VERI_TABANI!$B$16), IF(ISNUMBER(SEARCH("Gri", D419)), VERI_TABANI!F25*(0.00202-VERI_TABANI!$B$17), 0))) + ((VERI_TABANI!D26*B419*(VERI_TABANI!$B$13-VERI_TABANI!$B$14)) + (VERI_TABANI!D26*C419*(VERI_TABANI!$B$13-VERI_TABANI!$B$15)) + IF(ISNUMBER(SEARCH("Var", D419)), VERI_TABANI!F26*(0.00202-VERI_TABANI!$B$16), IF(ISNUMBER(SEARCH("Gri", D419)), VERI_TABANI!F26*(0.00202-VERI_TABANI!$B$17), 0))) + ((VERI_TABANI!D27*B419*(VERI_TABANI!$B$13-VERI_TABANI!$B$14)) + (VERI_TABANI!D27*C419*(VERI_TABANI!$B$13-VERI_TABANI!$B$15)) + IF(ISNUMBER(SEARCH("Var", D419)), VERI_TABANI!F27*(0.00202-VERI_TABANI!$B$16), IF(ISNUMBER(SEARCH("Gri", D419)), VERI_TABANI!F27*(0.00202-VERI_TABANI!$B$17), 0))) + ((VERI_TABANI!D28*B419*(VERI_TABANI!$B$13-VERI_TABANI!$B$14)) + (VERI_TABANI!D28*C419*(VERI_TABANI!$B$13-VERI_TABANI!$B$15)) + IF(ISNUMBER(SEARCH("Var", D419)), VERI_TABANI!F28*(0.00202-VERI_TABANI!$B$16), IF(ISNUMBER(SEARCH("Gri", D419)), VERI_TABANI!F28*(0.00202-VERI_TABANI!$B$17), 0))))</f>
        <v/>
      </c>
      <c r="I419" s="170">
        <f>IFERROR(((VERI_TABANI!$D$29*B419*VERI_TABANI!$B$14 + VERI_TABANI!$D$29*C419*VERI_TABANI!$B$15 + IF(ISNUMBER(SEARCH("Var", D419)), VERI_TABANI!$F$29*VERI_TABANI!$B$16, 0))) / (((VERI_TABANI!$D$29*B419 + VERI_TABANI!$D$29*C419)*VERI_TABANI!$B$13 + IF(ISNUMBER(SEARCH("Var", D419)), VERI_TABANI!$E$29*(1-0.928)*VERI_TABANI!$B$18, 0))), 0)</f>
        <v/>
      </c>
      <c r="J419" s="171">
        <f>IFERROR(F419/(G419/29), 0)</f>
        <v/>
      </c>
      <c r="K419" s="172">
        <f>IF(F419&gt;0, H419/F419, 0)</f>
        <v/>
      </c>
      <c r="L419" s="170">
        <f>IF(F419&gt;0, I419, 1000000000)</f>
        <v/>
      </c>
      <c r="M419" s="171">
        <f>ABS((B419+C419)-1)</f>
        <v/>
      </c>
      <c r="N419" s="170">
        <f>IF(F419&gt;0, (G419/29)/F419, 0)</f>
        <v/>
      </c>
      <c r="O419" s="168">
        <f>IF(AND((B419+C419)&gt;=1, ISNUMBER(SEARCH("Var", D419))), F419, 1000000000)</f>
        <v/>
      </c>
      <c r="P419" s="172">
        <f>IF(F419&gt;0, SQRT((F419/MAX(F$5:F$886))^2 + (1 - H419/MAX(H$5:H$886))^2 + (J419/MAX(J$5:J$886))^2), 1000000000)</f>
        <v/>
      </c>
      <c r="Q419" s="166">
        <f>IF(AND(ABS(B419-0.5)&lt;0.01, ABS(C419-0.5)&lt;0.01, ISNUMBER(SEARCH("Var", D419))), 1, 0)</f>
        <v/>
      </c>
      <c r="R419" s="171">
        <f>IF(F419&gt;0, J419, 1000000000)</f>
        <v/>
      </c>
      <c r="S419" s="101">
        <f>IF(AND(F419&lt;=DASHBOARD!$B$11, H419&gt;=DASHBOARD!$B$13), G419, -1000000000000)</f>
        <v/>
      </c>
      <c r="T419" s="101">
        <f>IF(AND(F419&lt;=DASHBOARD!$B$11, H419&gt;=DASHBOARD!$B$13), R419, 1000000000000)</f>
        <v/>
      </c>
      <c r="U419" s="101">
        <f>IF(AND(F419&lt;=DASHBOARD!$B$11, H419&gt;=DASHBOARD!$B$13), N419, -1000000000000)</f>
        <v/>
      </c>
      <c r="V419" s="101">
        <f>IF(AND(F419&lt;=DASHBOARD!$B$11, H419&gt;=DASHBOARD!$B$13), H419, -1000000000000)</f>
        <v/>
      </c>
      <c r="W419" s="101">
        <f>IF(AND(F419&lt;=DASHBOARD!$B$11, H419&gt;=DASHBOARD!$B$13), K419, -1000000000000)</f>
        <v/>
      </c>
      <c r="X419" s="101">
        <f>IF(AND(F419&lt;=DASHBOARD!$B$11, H419&gt;=DASHBOARD!$B$13), M419, 1000000000000)</f>
        <v/>
      </c>
      <c r="Y419" s="101">
        <f>IF(AND(F419&lt;=DASHBOARD!$B$10, H419&gt;=DASHBOARD!$B$11), L419, 1000000000000)</f>
        <v/>
      </c>
      <c r="Z419" s="101">
        <f>IF(AND(F419&lt;=DASHBOARD!$B$10, H419&gt;=DASHBOARD!$B$11), O419, 1000000000000)</f>
        <v/>
      </c>
      <c r="AA419" s="101">
        <f>IF(AND(F419&lt;=DASHBOARD!$B$10, H419&gt;=DASHBOARD!$B$11), P419, 1000000000000)</f>
        <v/>
      </c>
      <c r="AB419" s="101">
        <f>IF(AND(F419&lt;=DASHBOARD!$B$10, H419&gt;=DASHBOARD!$B$11), Q419, -1000000000000)</f>
        <v/>
      </c>
    </row>
    <row r="420" ht="15" customHeight="1" s="102">
      <c r="A420" s="166" t="n">
        <v>416</v>
      </c>
      <c r="B420" s="167" t="n">
        <v>0.9</v>
      </c>
      <c r="C420" s="167" t="n">
        <v>1.8</v>
      </c>
      <c r="D420" s="110" t="inlineStr">
        <is>
          <t>Var (%20)</t>
        </is>
      </c>
      <c r="E420" s="110">
        <f>IF((B420+C420)&lt;=1, "Tam Mahsuplaşma (≤%100)", "Kısmi Satış (&gt;%100)")</f>
        <v/>
      </c>
      <c r="F420" s="168">
        <f>((VERI_TABANI!$D$29*B420/VERI_TABANI!$B$29)/VERI_TABANI!$B$3)*VERI_TABANI!$B$5 + ((VERI_TABANI!$D$29*C420/VERI_TABANI!$B$29)/VERI_TABANI!$B$4)*VERI_TABANI!$B$6 + IF(ISNUMBER(SEARCH("Var", D420)), (VERI_TABANI!$F$29/VERI_TABANI!$B$29)*(VERI_TABANI!$B$10+VERI_TABANI!$B$12), 0)</f>
        <v/>
      </c>
      <c r="G420" s="168">
        <f>(((MIN(VERI_TABANI!D23, VERI_TABANI!D23*B420)*VERI_TABANI!$B$7 + MAX(0, VERI_TABANI!D23*B420-VERI_TABANI!D23)*VERI_TABANI!$B$8) + (MIN(MAX(0, VERI_TABANI!D23-VERI_TABANI!D23*B420), VERI_TABANI!D23*C420)*VERI_TABANI!$B$7 + MAX(0, VERI_TABANI!D23*C420-MAX(0, VERI_TABANI!D23-VERI_TABANI!D23*B420))*VERI_TABANI!$B$8) + IF(ABS(IF(ISNUMBER(SEARCH("Var", D420)), 1, IF(ISNUMBER(SEARCH("Gri", D420)), -1, 0)))=1, VERI_TABANI!E23*(1-0.928)*VERI_TABANI!$B$9, 0) + (VERI_TABANI!D23*B420*(VERI_TABANI!$B$13-VERI_TABANI!$B$14)*VERI_TABANI!G23) + (VERI_TABANI!D23*C420*(VERI_TABANI!$B$13-VERI_TABANI!$B$15)*VERI_TABANI!G23) + IF(ABS(IF(ISNUMBER(SEARCH("Var", D420)), 1, IF(ISNUMBER(SEARCH("Gri", D420)), -1, 0)))=1, VERI_TABANI!E23*(1-0.928)*0.00206091519919798*VERI_TABANI!G23, 0)) + ((MIN(VERI_TABANI!D24, VERI_TABANI!D24*B420)*VERI_TABANI!$B$7 + MAX(0, VERI_TABANI!D24*B420-VERI_TABANI!D24)*VERI_TABANI!$B$8) + (MIN(MAX(0, VERI_TABANI!D24-VERI_TABANI!D24*B420), VERI_TABANI!D24*C420)*VERI_TABANI!$B$7 + MAX(0, VERI_TABANI!D24*C420-MAX(0, VERI_TABANI!D24-VERI_TABANI!D24*B420))*VERI_TABANI!$B$8) + IF(ABS(IF(ISNUMBER(SEARCH("Var", D420)), 1, IF(ISNUMBER(SEARCH("Gri", D420)), -1, 0)))=1, VERI_TABANI!E24*(1-0.928)*VERI_TABANI!$B$9, 0) + (VERI_TABANI!D24*B420*(VERI_TABANI!$B$13-VERI_TABANI!$B$14)*VERI_TABANI!G24) + (VERI_TABANI!D24*C420*(VERI_TABANI!$B$13-VERI_TABANI!$B$15)*VERI_TABANI!G24) + IF(ABS(IF(ISNUMBER(SEARCH("Var", D420)), 1, IF(ISNUMBER(SEARCH("Gri", D420)), -1, 0)))=1, VERI_TABANI!E24*(1-0.928)*0.00206091519919798*VERI_TABANI!G24, 0)) + ((MIN(VERI_TABANI!D25, VERI_TABANI!D25*B420)*VERI_TABANI!$B$7 + MAX(0, VERI_TABANI!D25*B420-VERI_TABANI!D25)*VERI_TABANI!$B$8) + (MIN(MAX(0, VERI_TABANI!D25-VERI_TABANI!D25*B420), VERI_TABANI!D25*C420)*VERI_TABANI!$B$7 + MAX(0, VERI_TABANI!D25*C420-MAX(0, VERI_TABANI!D25-VERI_TABANI!D25*B420))*VERI_TABANI!$B$8) + IF(ABS(IF(ISNUMBER(SEARCH("Var", D420)), 1, IF(ISNUMBER(SEARCH("Gri", D420)), -1, 0)))=1, VERI_TABANI!E25*(1-0.928)*VERI_TABANI!$B$9, 0) + (VERI_TABANI!D25*B420*(VERI_TABANI!$B$13-VERI_TABANI!$B$14)*VERI_TABANI!G25) + (VERI_TABANI!D25*C420*(VERI_TABANI!$B$13-VERI_TABANI!$B$15)*VERI_TABANI!G25) + IF(ABS(IF(ISNUMBER(SEARCH("Var", D420)), 1, IF(ISNUMBER(SEARCH("Gri", D420)), -1, 0)))=1, VERI_TABANI!E25*(1-0.928)*0.00206091519919798*VERI_TABANI!G25, 0)) + ((MIN(VERI_TABANI!D26, VERI_TABANI!D26*B420)*VERI_TABANI!$B$7 + MAX(0, VERI_TABANI!D26*B420-VERI_TABANI!D26)*VERI_TABANI!$B$8) + (MIN(MAX(0, VERI_TABANI!D26-VERI_TABANI!D26*B420), VERI_TABANI!D26*C420)*VERI_TABANI!$B$7 + MAX(0, VERI_TABANI!D26*C420-MAX(0, VERI_TABANI!D26-VERI_TABANI!D26*B420))*VERI_TABANI!$B$8) + IF(ABS(IF(ISNUMBER(SEARCH("Var", D420)), 1, IF(ISNUMBER(SEARCH("Gri", D420)), -1, 0)))=1, VERI_TABANI!E26*(1-0.928)*VERI_TABANI!$B$9, 0) + (VERI_TABANI!D26*B420*(VERI_TABANI!$B$13-VERI_TABANI!$B$14)*VERI_TABANI!G26) + (VERI_TABANI!D26*C420*(VERI_TABANI!$B$13-VERI_TABANI!$B$15)*VERI_TABANI!G26) + IF(ABS(IF(ISNUMBER(SEARCH("Var", D420)), 1, IF(ISNUMBER(SEARCH("Gri", D420)), -1, 0)))=1, VERI_TABANI!E26*(1-0.928)*0.00206091519919798*VERI_TABANI!G26, 0)) + ((MIN(VERI_TABANI!D27, VERI_TABANI!D27*B420)*VERI_TABANI!$B$7 + MAX(0, VERI_TABANI!D27*B420-VERI_TABANI!D27)*VERI_TABANI!$B$8) + (MIN(MAX(0, VERI_TABANI!D27-VERI_TABANI!D27*B420), VERI_TABANI!D27*C420)*VERI_TABANI!$B$7 + MAX(0, VERI_TABANI!D27*C420-MAX(0, VERI_TABANI!D27-VERI_TABANI!D27*B420))*VERI_TABANI!$B$8) + IF(ABS(IF(ISNUMBER(SEARCH("Var", D420)), 1, IF(ISNUMBER(SEARCH("Gri", D420)), -1, 0)))=1, VERI_TABANI!E27*(1-0.928)*VERI_TABANI!$B$9, 0) + (VERI_TABANI!D27*B420*(VERI_TABANI!$B$13-VERI_TABANI!$B$14)*VERI_TABANI!G27) + (VERI_TABANI!D27*C420*(VERI_TABANI!$B$13-VERI_TABANI!$B$15)*VERI_TABANI!G27) + IF(ABS(IF(ISNUMBER(SEARCH("Var", D420)), 1, IF(ISNUMBER(SEARCH("Gri", D420)), -1, 0)))=1, VERI_TABANI!E27*(1-0.928)*0.00206091519919798*VERI_TABANI!G27, 0)) + ((MIN(VERI_TABANI!D28, VERI_TABANI!D28*B420)*VERI_TABANI!$B$7 + MAX(0, VERI_TABANI!D28*B420-VERI_TABANI!D28)*VERI_TABANI!$B$8) + (MIN(MAX(0, VERI_TABANI!D28-VERI_TABANI!D28*B420), VERI_TABANI!D28*C420)*VERI_TABANI!$B$7 + MAX(0, VERI_TABANI!D28*C420-MAX(0, VERI_TABANI!D28-VERI_TABANI!D28*B420))*VERI_TABANI!$B$8) + IF(ABS(IF(ISNUMBER(SEARCH("Var", D420)), 1, IF(ISNUMBER(SEARCH("Gri", D420)), -1, 0)))=1, VERI_TABANI!E28*(1-0.928)*VERI_TABANI!$B$9, 0) + (VERI_TABANI!D28*B420*(VERI_TABANI!$B$13-VERI_TABANI!$B$14)*VERI_TABANI!G28) + (VERI_TABANI!D28*C420*(VERI_TABANI!$B$13-VERI_TABANI!$B$15)*VERI_TABANI!G28) + IF(ABS(IF(ISNUMBER(SEARCH("Var", D420)), 1, IF(ISNUMBER(SEARCH("Gri", D420)), -1, 0)))=1, VERI_TABANI!E28*(1-0.928)*0.00206091519919798*VERI_TABANI!G28, 0)))</f>
        <v/>
      </c>
      <c r="H420" s="169">
        <f>(((VERI_TABANI!D23*B420*(VERI_TABANI!$B$13-VERI_TABANI!$B$14)) + (VERI_TABANI!D23*C420*(VERI_TABANI!$B$13-VERI_TABANI!$B$15)) + IF(ISNUMBER(SEARCH("Var", D420)), VERI_TABANI!F23*(0.00202-VERI_TABANI!$B$16), IF(ISNUMBER(SEARCH("Gri", D420)), VERI_TABANI!F23*(0.00202-VERI_TABANI!$B$17), 0))) + ((VERI_TABANI!D24*B420*(VERI_TABANI!$B$13-VERI_TABANI!$B$14)) + (VERI_TABANI!D24*C420*(VERI_TABANI!$B$13-VERI_TABANI!$B$15)) + IF(ISNUMBER(SEARCH("Var", D420)), VERI_TABANI!F24*(0.00202-VERI_TABANI!$B$16), IF(ISNUMBER(SEARCH("Gri", D420)), VERI_TABANI!F24*(0.00202-VERI_TABANI!$B$17), 0))) + ((VERI_TABANI!D25*B420*(VERI_TABANI!$B$13-VERI_TABANI!$B$14)) + (VERI_TABANI!D25*C420*(VERI_TABANI!$B$13-VERI_TABANI!$B$15)) + IF(ISNUMBER(SEARCH("Var", D420)), VERI_TABANI!F25*(0.00202-VERI_TABANI!$B$16), IF(ISNUMBER(SEARCH("Gri", D420)), VERI_TABANI!F25*(0.00202-VERI_TABANI!$B$17), 0))) + ((VERI_TABANI!D26*B420*(VERI_TABANI!$B$13-VERI_TABANI!$B$14)) + (VERI_TABANI!D26*C420*(VERI_TABANI!$B$13-VERI_TABANI!$B$15)) + IF(ISNUMBER(SEARCH("Var", D420)), VERI_TABANI!F26*(0.00202-VERI_TABANI!$B$16), IF(ISNUMBER(SEARCH("Gri", D420)), VERI_TABANI!F26*(0.00202-VERI_TABANI!$B$17), 0))) + ((VERI_TABANI!D27*B420*(VERI_TABANI!$B$13-VERI_TABANI!$B$14)) + (VERI_TABANI!D27*C420*(VERI_TABANI!$B$13-VERI_TABANI!$B$15)) + IF(ISNUMBER(SEARCH("Var", D420)), VERI_TABANI!F27*(0.00202-VERI_TABANI!$B$16), IF(ISNUMBER(SEARCH("Gri", D420)), VERI_TABANI!F27*(0.00202-VERI_TABANI!$B$17), 0))) + ((VERI_TABANI!D28*B420*(VERI_TABANI!$B$13-VERI_TABANI!$B$14)) + (VERI_TABANI!D28*C420*(VERI_TABANI!$B$13-VERI_TABANI!$B$15)) + IF(ISNUMBER(SEARCH("Var", D420)), VERI_TABANI!F28*(0.00202-VERI_TABANI!$B$16), IF(ISNUMBER(SEARCH("Gri", D420)), VERI_TABANI!F28*(0.00202-VERI_TABANI!$B$17), 0))))</f>
        <v/>
      </c>
      <c r="I420" s="170">
        <f>IFERROR(((VERI_TABANI!$D$29*B420*VERI_TABANI!$B$14 + VERI_TABANI!$D$29*C420*VERI_TABANI!$B$15 + IF(ISNUMBER(SEARCH("Var", D420)), VERI_TABANI!$F$29*VERI_TABANI!$B$16, 0))) / (((VERI_TABANI!$D$29*B420 + VERI_TABANI!$D$29*C420)*VERI_TABANI!$B$13 + IF(ISNUMBER(SEARCH("Var", D420)), VERI_TABANI!$E$29*(1-0.928)*VERI_TABANI!$B$18, 0))), 0)</f>
        <v/>
      </c>
      <c r="J420" s="171">
        <f>IFERROR(F420/(G420/29), 0)</f>
        <v/>
      </c>
      <c r="K420" s="172">
        <f>IF(F420&gt;0, H420/F420, 0)</f>
        <v/>
      </c>
      <c r="L420" s="170">
        <f>IF(F420&gt;0, I420, 1000000000)</f>
        <v/>
      </c>
      <c r="M420" s="171">
        <f>ABS((B420+C420)-1)</f>
        <v/>
      </c>
      <c r="N420" s="170">
        <f>IF(F420&gt;0, (G420/29)/F420, 0)</f>
        <v/>
      </c>
      <c r="O420" s="168">
        <f>IF(AND((B420+C420)&gt;=1, ISNUMBER(SEARCH("Var", D420))), F420, 1000000000)</f>
        <v/>
      </c>
      <c r="P420" s="172">
        <f>IF(F420&gt;0, SQRT((F420/MAX(F$5:F$886))^2 + (1 - H420/MAX(H$5:H$886))^2 + (J420/MAX(J$5:J$886))^2), 1000000000)</f>
        <v/>
      </c>
      <c r="Q420" s="166">
        <f>IF(AND(ABS(B420-0.5)&lt;0.01, ABS(C420-0.5)&lt;0.01, ISNUMBER(SEARCH("Var", D420))), 1, 0)</f>
        <v/>
      </c>
      <c r="R420" s="171">
        <f>IF(F420&gt;0, J420, 1000000000)</f>
        <v/>
      </c>
      <c r="S420" s="101">
        <f>IF(AND(F420&lt;=DASHBOARD!$B$11, H420&gt;=DASHBOARD!$B$13), G420, -1000000000000)</f>
        <v/>
      </c>
      <c r="T420" s="101">
        <f>IF(AND(F420&lt;=DASHBOARD!$B$11, H420&gt;=DASHBOARD!$B$13), R420, 1000000000000)</f>
        <v/>
      </c>
      <c r="U420" s="101">
        <f>IF(AND(F420&lt;=DASHBOARD!$B$11, H420&gt;=DASHBOARD!$B$13), N420, -1000000000000)</f>
        <v/>
      </c>
      <c r="V420" s="101">
        <f>IF(AND(F420&lt;=DASHBOARD!$B$11, H420&gt;=DASHBOARD!$B$13), H420, -1000000000000)</f>
        <v/>
      </c>
      <c r="W420" s="101">
        <f>IF(AND(F420&lt;=DASHBOARD!$B$11, H420&gt;=DASHBOARD!$B$13), K420, -1000000000000)</f>
        <v/>
      </c>
      <c r="X420" s="101">
        <f>IF(AND(F420&lt;=DASHBOARD!$B$11, H420&gt;=DASHBOARD!$B$13), M420, 1000000000000)</f>
        <v/>
      </c>
      <c r="Y420" s="101">
        <f>IF(AND(F420&lt;=DASHBOARD!$B$10, H420&gt;=DASHBOARD!$B$11), L420, 1000000000000)</f>
        <v/>
      </c>
      <c r="Z420" s="101">
        <f>IF(AND(F420&lt;=DASHBOARD!$B$10, H420&gt;=DASHBOARD!$B$11), O420, 1000000000000)</f>
        <v/>
      </c>
      <c r="AA420" s="101">
        <f>IF(AND(F420&lt;=DASHBOARD!$B$10, H420&gt;=DASHBOARD!$B$11), P420, 1000000000000)</f>
        <v/>
      </c>
      <c r="AB420" s="101">
        <f>IF(AND(F420&lt;=DASHBOARD!$B$10, H420&gt;=DASHBOARD!$B$11), Q420, -1000000000000)</f>
        <v/>
      </c>
    </row>
    <row r="421" ht="15" customHeight="1" s="102">
      <c r="A421" s="166" t="n">
        <v>417</v>
      </c>
      <c r="B421" s="167" t="n">
        <v>0.9</v>
      </c>
      <c r="C421" s="167" t="n">
        <v>1.9</v>
      </c>
      <c r="D421" s="110" t="inlineStr">
        <is>
          <t>Yok (%0)</t>
        </is>
      </c>
      <c r="E421" s="110">
        <f>IF((B421+C421)&lt;=1, "Tam Mahsuplaşma (≤%100)", "Kısmi Satış (&gt;%100)")</f>
        <v/>
      </c>
      <c r="F421" s="168">
        <f>((VERI_TABANI!$D$29*B421/VERI_TABANI!$B$29)/VERI_TABANI!$B$3)*VERI_TABANI!$B$5 + ((VERI_TABANI!$D$29*C421/VERI_TABANI!$B$29)/VERI_TABANI!$B$4)*VERI_TABANI!$B$6 + IF(ISNUMBER(SEARCH("Var", D421)), (VERI_TABANI!$F$29/VERI_TABANI!$B$29)*(VERI_TABANI!$B$10+VERI_TABANI!$B$12), 0)</f>
        <v/>
      </c>
      <c r="G421" s="168">
        <f>(((MIN(VERI_TABANI!D23, VERI_TABANI!D23*B421)*VERI_TABANI!$B$7 + MAX(0, VERI_TABANI!D23*B421-VERI_TABANI!D23)*VERI_TABANI!$B$8) + (MIN(MAX(0, VERI_TABANI!D23-VERI_TABANI!D23*B421), VERI_TABANI!D23*C421)*VERI_TABANI!$B$7 + MAX(0, VERI_TABANI!D23*C421-MAX(0, VERI_TABANI!D23-VERI_TABANI!D23*B421))*VERI_TABANI!$B$8) + IF(ABS(IF(ISNUMBER(SEARCH("Var", D421)), 1, IF(ISNUMBER(SEARCH("Gri", D421)), -1, 0)))=1, VERI_TABANI!E23*(1-0.928)*VERI_TABANI!$B$9, 0) + (VERI_TABANI!D23*B421*(VERI_TABANI!$B$13-VERI_TABANI!$B$14)*VERI_TABANI!G23) + (VERI_TABANI!D23*C421*(VERI_TABANI!$B$13-VERI_TABANI!$B$15)*VERI_TABANI!G23) + IF(ABS(IF(ISNUMBER(SEARCH("Var", D421)), 1, IF(ISNUMBER(SEARCH("Gri", D421)), -1, 0)))=1, VERI_TABANI!E23*(1-0.928)*0.00206091519919798*VERI_TABANI!G23, 0)) + ((MIN(VERI_TABANI!D24, VERI_TABANI!D24*B421)*VERI_TABANI!$B$7 + MAX(0, VERI_TABANI!D24*B421-VERI_TABANI!D24)*VERI_TABANI!$B$8) + (MIN(MAX(0, VERI_TABANI!D24-VERI_TABANI!D24*B421), VERI_TABANI!D24*C421)*VERI_TABANI!$B$7 + MAX(0, VERI_TABANI!D24*C421-MAX(0, VERI_TABANI!D24-VERI_TABANI!D24*B421))*VERI_TABANI!$B$8) + IF(ABS(IF(ISNUMBER(SEARCH("Var", D421)), 1, IF(ISNUMBER(SEARCH("Gri", D421)), -1, 0)))=1, VERI_TABANI!E24*(1-0.928)*VERI_TABANI!$B$9, 0) + (VERI_TABANI!D24*B421*(VERI_TABANI!$B$13-VERI_TABANI!$B$14)*VERI_TABANI!G24) + (VERI_TABANI!D24*C421*(VERI_TABANI!$B$13-VERI_TABANI!$B$15)*VERI_TABANI!G24) + IF(ABS(IF(ISNUMBER(SEARCH("Var", D421)), 1, IF(ISNUMBER(SEARCH("Gri", D421)), -1, 0)))=1, VERI_TABANI!E24*(1-0.928)*0.00206091519919798*VERI_TABANI!G24, 0)) + ((MIN(VERI_TABANI!D25, VERI_TABANI!D25*B421)*VERI_TABANI!$B$7 + MAX(0, VERI_TABANI!D25*B421-VERI_TABANI!D25)*VERI_TABANI!$B$8) + (MIN(MAX(0, VERI_TABANI!D25-VERI_TABANI!D25*B421), VERI_TABANI!D25*C421)*VERI_TABANI!$B$7 + MAX(0, VERI_TABANI!D25*C421-MAX(0, VERI_TABANI!D25-VERI_TABANI!D25*B421))*VERI_TABANI!$B$8) + IF(ABS(IF(ISNUMBER(SEARCH("Var", D421)), 1, IF(ISNUMBER(SEARCH("Gri", D421)), -1, 0)))=1, VERI_TABANI!E25*(1-0.928)*VERI_TABANI!$B$9, 0) + (VERI_TABANI!D25*B421*(VERI_TABANI!$B$13-VERI_TABANI!$B$14)*VERI_TABANI!G25) + (VERI_TABANI!D25*C421*(VERI_TABANI!$B$13-VERI_TABANI!$B$15)*VERI_TABANI!G25) + IF(ABS(IF(ISNUMBER(SEARCH("Var", D421)), 1, IF(ISNUMBER(SEARCH("Gri", D421)), -1, 0)))=1, VERI_TABANI!E25*(1-0.928)*0.00206091519919798*VERI_TABANI!G25, 0)) + ((MIN(VERI_TABANI!D26, VERI_TABANI!D26*B421)*VERI_TABANI!$B$7 + MAX(0, VERI_TABANI!D26*B421-VERI_TABANI!D26)*VERI_TABANI!$B$8) + (MIN(MAX(0, VERI_TABANI!D26-VERI_TABANI!D26*B421), VERI_TABANI!D26*C421)*VERI_TABANI!$B$7 + MAX(0, VERI_TABANI!D26*C421-MAX(0, VERI_TABANI!D26-VERI_TABANI!D26*B421))*VERI_TABANI!$B$8) + IF(ABS(IF(ISNUMBER(SEARCH("Var", D421)), 1, IF(ISNUMBER(SEARCH("Gri", D421)), -1, 0)))=1, VERI_TABANI!E26*(1-0.928)*VERI_TABANI!$B$9, 0) + (VERI_TABANI!D26*B421*(VERI_TABANI!$B$13-VERI_TABANI!$B$14)*VERI_TABANI!G26) + (VERI_TABANI!D26*C421*(VERI_TABANI!$B$13-VERI_TABANI!$B$15)*VERI_TABANI!G26) + IF(ABS(IF(ISNUMBER(SEARCH("Var", D421)), 1, IF(ISNUMBER(SEARCH("Gri", D421)), -1, 0)))=1, VERI_TABANI!E26*(1-0.928)*0.00206091519919798*VERI_TABANI!G26, 0)) + ((MIN(VERI_TABANI!D27, VERI_TABANI!D27*B421)*VERI_TABANI!$B$7 + MAX(0, VERI_TABANI!D27*B421-VERI_TABANI!D27)*VERI_TABANI!$B$8) + (MIN(MAX(0, VERI_TABANI!D27-VERI_TABANI!D27*B421), VERI_TABANI!D27*C421)*VERI_TABANI!$B$7 + MAX(0, VERI_TABANI!D27*C421-MAX(0, VERI_TABANI!D27-VERI_TABANI!D27*B421))*VERI_TABANI!$B$8) + IF(ABS(IF(ISNUMBER(SEARCH("Var", D421)), 1, IF(ISNUMBER(SEARCH("Gri", D421)), -1, 0)))=1, VERI_TABANI!E27*(1-0.928)*VERI_TABANI!$B$9, 0) + (VERI_TABANI!D27*B421*(VERI_TABANI!$B$13-VERI_TABANI!$B$14)*VERI_TABANI!G27) + (VERI_TABANI!D27*C421*(VERI_TABANI!$B$13-VERI_TABANI!$B$15)*VERI_TABANI!G27) + IF(ABS(IF(ISNUMBER(SEARCH("Var", D421)), 1, IF(ISNUMBER(SEARCH("Gri", D421)), -1, 0)))=1, VERI_TABANI!E27*(1-0.928)*0.00206091519919798*VERI_TABANI!G27, 0)) + ((MIN(VERI_TABANI!D28, VERI_TABANI!D28*B421)*VERI_TABANI!$B$7 + MAX(0, VERI_TABANI!D28*B421-VERI_TABANI!D28)*VERI_TABANI!$B$8) + (MIN(MAX(0, VERI_TABANI!D28-VERI_TABANI!D28*B421), VERI_TABANI!D28*C421)*VERI_TABANI!$B$7 + MAX(0, VERI_TABANI!D28*C421-MAX(0, VERI_TABANI!D28-VERI_TABANI!D28*B421))*VERI_TABANI!$B$8) + IF(ABS(IF(ISNUMBER(SEARCH("Var", D421)), 1, IF(ISNUMBER(SEARCH("Gri", D421)), -1, 0)))=1, VERI_TABANI!E28*(1-0.928)*VERI_TABANI!$B$9, 0) + (VERI_TABANI!D28*B421*(VERI_TABANI!$B$13-VERI_TABANI!$B$14)*VERI_TABANI!G28) + (VERI_TABANI!D28*C421*(VERI_TABANI!$B$13-VERI_TABANI!$B$15)*VERI_TABANI!G28) + IF(ABS(IF(ISNUMBER(SEARCH("Var", D421)), 1, IF(ISNUMBER(SEARCH("Gri", D421)), -1, 0)))=1, VERI_TABANI!E28*(1-0.928)*0.00206091519919798*VERI_TABANI!G28, 0)))</f>
        <v/>
      </c>
      <c r="H421" s="169">
        <f>(((VERI_TABANI!D23*B421*(VERI_TABANI!$B$13-VERI_TABANI!$B$14)) + (VERI_TABANI!D23*C421*(VERI_TABANI!$B$13-VERI_TABANI!$B$15)) + IF(ISNUMBER(SEARCH("Var", D421)), VERI_TABANI!F23*(0.00202-VERI_TABANI!$B$16), IF(ISNUMBER(SEARCH("Gri", D421)), VERI_TABANI!F23*(0.00202-VERI_TABANI!$B$17), 0))) + ((VERI_TABANI!D24*B421*(VERI_TABANI!$B$13-VERI_TABANI!$B$14)) + (VERI_TABANI!D24*C421*(VERI_TABANI!$B$13-VERI_TABANI!$B$15)) + IF(ISNUMBER(SEARCH("Var", D421)), VERI_TABANI!F24*(0.00202-VERI_TABANI!$B$16), IF(ISNUMBER(SEARCH("Gri", D421)), VERI_TABANI!F24*(0.00202-VERI_TABANI!$B$17), 0))) + ((VERI_TABANI!D25*B421*(VERI_TABANI!$B$13-VERI_TABANI!$B$14)) + (VERI_TABANI!D25*C421*(VERI_TABANI!$B$13-VERI_TABANI!$B$15)) + IF(ISNUMBER(SEARCH("Var", D421)), VERI_TABANI!F25*(0.00202-VERI_TABANI!$B$16), IF(ISNUMBER(SEARCH("Gri", D421)), VERI_TABANI!F25*(0.00202-VERI_TABANI!$B$17), 0))) + ((VERI_TABANI!D26*B421*(VERI_TABANI!$B$13-VERI_TABANI!$B$14)) + (VERI_TABANI!D26*C421*(VERI_TABANI!$B$13-VERI_TABANI!$B$15)) + IF(ISNUMBER(SEARCH("Var", D421)), VERI_TABANI!F26*(0.00202-VERI_TABANI!$B$16), IF(ISNUMBER(SEARCH("Gri", D421)), VERI_TABANI!F26*(0.00202-VERI_TABANI!$B$17), 0))) + ((VERI_TABANI!D27*B421*(VERI_TABANI!$B$13-VERI_TABANI!$B$14)) + (VERI_TABANI!D27*C421*(VERI_TABANI!$B$13-VERI_TABANI!$B$15)) + IF(ISNUMBER(SEARCH("Var", D421)), VERI_TABANI!F27*(0.00202-VERI_TABANI!$B$16), IF(ISNUMBER(SEARCH("Gri", D421)), VERI_TABANI!F27*(0.00202-VERI_TABANI!$B$17), 0))) + ((VERI_TABANI!D28*B421*(VERI_TABANI!$B$13-VERI_TABANI!$B$14)) + (VERI_TABANI!D28*C421*(VERI_TABANI!$B$13-VERI_TABANI!$B$15)) + IF(ISNUMBER(SEARCH("Var", D421)), VERI_TABANI!F28*(0.00202-VERI_TABANI!$B$16), IF(ISNUMBER(SEARCH("Gri", D421)), VERI_TABANI!F28*(0.00202-VERI_TABANI!$B$17), 0))))</f>
        <v/>
      </c>
      <c r="I421" s="170">
        <f>IFERROR(((VERI_TABANI!$D$29*B421*VERI_TABANI!$B$14 + VERI_TABANI!$D$29*C421*VERI_TABANI!$B$15 + IF(ISNUMBER(SEARCH("Var", D421)), VERI_TABANI!$F$29*VERI_TABANI!$B$16, 0))) / (((VERI_TABANI!$D$29*B421 + VERI_TABANI!$D$29*C421)*VERI_TABANI!$B$13 + IF(ISNUMBER(SEARCH("Var", D421)), VERI_TABANI!$E$29*(1-0.928)*VERI_TABANI!$B$18, 0))), 0)</f>
        <v/>
      </c>
      <c r="J421" s="171">
        <f>IFERROR(F421/(G421/29), 0)</f>
        <v/>
      </c>
      <c r="K421" s="172">
        <f>IF(F421&gt;0, H421/F421, 0)</f>
        <v/>
      </c>
      <c r="L421" s="170">
        <f>IF(F421&gt;0, I421, 1000000000)</f>
        <v/>
      </c>
      <c r="M421" s="171">
        <f>ABS((B421+C421)-1)</f>
        <v/>
      </c>
      <c r="N421" s="170">
        <f>IF(F421&gt;0, (G421/29)/F421, 0)</f>
        <v/>
      </c>
      <c r="O421" s="168">
        <f>IF(AND((B421+C421)&gt;=1, ISNUMBER(SEARCH("Var", D421))), F421, 1000000000)</f>
        <v/>
      </c>
      <c r="P421" s="172">
        <f>IF(F421&gt;0, SQRT((F421/MAX(F$5:F$886))^2 + (1 - H421/MAX(H$5:H$886))^2 + (J421/MAX(J$5:J$886))^2), 1000000000)</f>
        <v/>
      </c>
      <c r="Q421" s="166">
        <f>IF(AND(ABS(B421-0.5)&lt;0.01, ABS(C421-0.5)&lt;0.01, ISNUMBER(SEARCH("Var", D421))), 1, 0)</f>
        <v/>
      </c>
      <c r="R421" s="171">
        <f>IF(F421&gt;0, J421, 1000000000)</f>
        <v/>
      </c>
      <c r="S421" s="101">
        <f>IF(AND(F421&lt;=DASHBOARD!$B$11, H421&gt;=DASHBOARD!$B$13), G421, -1000000000000)</f>
        <v/>
      </c>
      <c r="T421" s="101">
        <f>IF(AND(F421&lt;=DASHBOARD!$B$11, H421&gt;=DASHBOARD!$B$13), R421, 1000000000000)</f>
        <v/>
      </c>
      <c r="U421" s="101">
        <f>IF(AND(F421&lt;=DASHBOARD!$B$11, H421&gt;=DASHBOARD!$B$13), N421, -1000000000000)</f>
        <v/>
      </c>
      <c r="V421" s="101">
        <f>IF(AND(F421&lt;=DASHBOARD!$B$11, H421&gt;=DASHBOARD!$B$13), H421, -1000000000000)</f>
        <v/>
      </c>
      <c r="W421" s="101">
        <f>IF(AND(F421&lt;=DASHBOARD!$B$11, H421&gt;=DASHBOARD!$B$13), K421, -1000000000000)</f>
        <v/>
      </c>
      <c r="X421" s="101">
        <f>IF(AND(F421&lt;=DASHBOARD!$B$11, H421&gt;=DASHBOARD!$B$13), M421, 1000000000000)</f>
        <v/>
      </c>
      <c r="Y421" s="101">
        <f>IF(AND(F421&lt;=DASHBOARD!$B$10, H421&gt;=DASHBOARD!$B$11), L421, 1000000000000)</f>
        <v/>
      </c>
      <c r="Z421" s="101">
        <f>IF(AND(F421&lt;=DASHBOARD!$B$10, H421&gt;=DASHBOARD!$B$11), O421, 1000000000000)</f>
        <v/>
      </c>
      <c r="AA421" s="101">
        <f>IF(AND(F421&lt;=DASHBOARD!$B$10, H421&gt;=DASHBOARD!$B$11), P421, 1000000000000)</f>
        <v/>
      </c>
      <c r="AB421" s="101">
        <f>IF(AND(F421&lt;=DASHBOARD!$B$10, H421&gt;=DASHBOARD!$B$11), Q421, -1000000000000)</f>
        <v/>
      </c>
    </row>
    <row r="422" ht="15" customHeight="1" s="102">
      <c r="A422" s="166" t="n">
        <v>418</v>
      </c>
      <c r="B422" s="167" t="n">
        <v>0.9</v>
      </c>
      <c r="C422" s="167" t="n">
        <v>1.9</v>
      </c>
      <c r="D422" s="110" t="inlineStr">
        <is>
          <t>Var (%20)</t>
        </is>
      </c>
      <c r="E422" s="110">
        <f>IF((B422+C422)&lt;=1, "Tam Mahsuplaşma (≤%100)", "Kısmi Satış (&gt;%100)")</f>
        <v/>
      </c>
      <c r="F422" s="168">
        <f>((VERI_TABANI!$D$29*B422/VERI_TABANI!$B$29)/VERI_TABANI!$B$3)*VERI_TABANI!$B$5 + ((VERI_TABANI!$D$29*C422/VERI_TABANI!$B$29)/VERI_TABANI!$B$4)*VERI_TABANI!$B$6 + IF(ISNUMBER(SEARCH("Var", D422)), (VERI_TABANI!$F$29/VERI_TABANI!$B$29)*(VERI_TABANI!$B$10+VERI_TABANI!$B$12), 0)</f>
        <v/>
      </c>
      <c r="G422" s="168">
        <f>(((MIN(VERI_TABANI!D23, VERI_TABANI!D23*B422)*VERI_TABANI!$B$7 + MAX(0, VERI_TABANI!D23*B422-VERI_TABANI!D23)*VERI_TABANI!$B$8) + (MIN(MAX(0, VERI_TABANI!D23-VERI_TABANI!D23*B422), VERI_TABANI!D23*C422)*VERI_TABANI!$B$7 + MAX(0, VERI_TABANI!D23*C422-MAX(0, VERI_TABANI!D23-VERI_TABANI!D23*B422))*VERI_TABANI!$B$8) + IF(ABS(IF(ISNUMBER(SEARCH("Var", D422)), 1, IF(ISNUMBER(SEARCH("Gri", D422)), -1, 0)))=1, VERI_TABANI!E23*(1-0.928)*VERI_TABANI!$B$9, 0) + (VERI_TABANI!D23*B422*(VERI_TABANI!$B$13-VERI_TABANI!$B$14)*VERI_TABANI!G23) + (VERI_TABANI!D23*C422*(VERI_TABANI!$B$13-VERI_TABANI!$B$15)*VERI_TABANI!G23) + IF(ABS(IF(ISNUMBER(SEARCH("Var", D422)), 1, IF(ISNUMBER(SEARCH("Gri", D422)), -1, 0)))=1, VERI_TABANI!E23*(1-0.928)*0.00206091519919798*VERI_TABANI!G23, 0)) + ((MIN(VERI_TABANI!D24, VERI_TABANI!D24*B422)*VERI_TABANI!$B$7 + MAX(0, VERI_TABANI!D24*B422-VERI_TABANI!D24)*VERI_TABANI!$B$8) + (MIN(MAX(0, VERI_TABANI!D24-VERI_TABANI!D24*B422), VERI_TABANI!D24*C422)*VERI_TABANI!$B$7 + MAX(0, VERI_TABANI!D24*C422-MAX(0, VERI_TABANI!D24-VERI_TABANI!D24*B422))*VERI_TABANI!$B$8) + IF(ABS(IF(ISNUMBER(SEARCH("Var", D422)), 1, IF(ISNUMBER(SEARCH("Gri", D422)), -1, 0)))=1, VERI_TABANI!E24*(1-0.928)*VERI_TABANI!$B$9, 0) + (VERI_TABANI!D24*B422*(VERI_TABANI!$B$13-VERI_TABANI!$B$14)*VERI_TABANI!G24) + (VERI_TABANI!D24*C422*(VERI_TABANI!$B$13-VERI_TABANI!$B$15)*VERI_TABANI!G24) + IF(ABS(IF(ISNUMBER(SEARCH("Var", D422)), 1, IF(ISNUMBER(SEARCH("Gri", D422)), -1, 0)))=1, VERI_TABANI!E24*(1-0.928)*0.00206091519919798*VERI_TABANI!G24, 0)) + ((MIN(VERI_TABANI!D25, VERI_TABANI!D25*B422)*VERI_TABANI!$B$7 + MAX(0, VERI_TABANI!D25*B422-VERI_TABANI!D25)*VERI_TABANI!$B$8) + (MIN(MAX(0, VERI_TABANI!D25-VERI_TABANI!D25*B422), VERI_TABANI!D25*C422)*VERI_TABANI!$B$7 + MAX(0, VERI_TABANI!D25*C422-MAX(0, VERI_TABANI!D25-VERI_TABANI!D25*B422))*VERI_TABANI!$B$8) + IF(ABS(IF(ISNUMBER(SEARCH("Var", D422)), 1, IF(ISNUMBER(SEARCH("Gri", D422)), -1, 0)))=1, VERI_TABANI!E25*(1-0.928)*VERI_TABANI!$B$9, 0) + (VERI_TABANI!D25*B422*(VERI_TABANI!$B$13-VERI_TABANI!$B$14)*VERI_TABANI!G25) + (VERI_TABANI!D25*C422*(VERI_TABANI!$B$13-VERI_TABANI!$B$15)*VERI_TABANI!G25) + IF(ABS(IF(ISNUMBER(SEARCH("Var", D422)), 1, IF(ISNUMBER(SEARCH("Gri", D422)), -1, 0)))=1, VERI_TABANI!E25*(1-0.928)*0.00206091519919798*VERI_TABANI!G25, 0)) + ((MIN(VERI_TABANI!D26, VERI_TABANI!D26*B422)*VERI_TABANI!$B$7 + MAX(0, VERI_TABANI!D26*B422-VERI_TABANI!D26)*VERI_TABANI!$B$8) + (MIN(MAX(0, VERI_TABANI!D26-VERI_TABANI!D26*B422), VERI_TABANI!D26*C422)*VERI_TABANI!$B$7 + MAX(0, VERI_TABANI!D26*C422-MAX(0, VERI_TABANI!D26-VERI_TABANI!D26*B422))*VERI_TABANI!$B$8) + IF(ABS(IF(ISNUMBER(SEARCH("Var", D422)), 1, IF(ISNUMBER(SEARCH("Gri", D422)), -1, 0)))=1, VERI_TABANI!E26*(1-0.928)*VERI_TABANI!$B$9, 0) + (VERI_TABANI!D26*B422*(VERI_TABANI!$B$13-VERI_TABANI!$B$14)*VERI_TABANI!G26) + (VERI_TABANI!D26*C422*(VERI_TABANI!$B$13-VERI_TABANI!$B$15)*VERI_TABANI!G26) + IF(ABS(IF(ISNUMBER(SEARCH("Var", D422)), 1, IF(ISNUMBER(SEARCH("Gri", D422)), -1, 0)))=1, VERI_TABANI!E26*(1-0.928)*0.00206091519919798*VERI_TABANI!G26, 0)) + ((MIN(VERI_TABANI!D27, VERI_TABANI!D27*B422)*VERI_TABANI!$B$7 + MAX(0, VERI_TABANI!D27*B422-VERI_TABANI!D27)*VERI_TABANI!$B$8) + (MIN(MAX(0, VERI_TABANI!D27-VERI_TABANI!D27*B422), VERI_TABANI!D27*C422)*VERI_TABANI!$B$7 + MAX(0, VERI_TABANI!D27*C422-MAX(0, VERI_TABANI!D27-VERI_TABANI!D27*B422))*VERI_TABANI!$B$8) + IF(ABS(IF(ISNUMBER(SEARCH("Var", D422)), 1, IF(ISNUMBER(SEARCH("Gri", D422)), -1, 0)))=1, VERI_TABANI!E27*(1-0.928)*VERI_TABANI!$B$9, 0) + (VERI_TABANI!D27*B422*(VERI_TABANI!$B$13-VERI_TABANI!$B$14)*VERI_TABANI!G27) + (VERI_TABANI!D27*C422*(VERI_TABANI!$B$13-VERI_TABANI!$B$15)*VERI_TABANI!G27) + IF(ABS(IF(ISNUMBER(SEARCH("Var", D422)), 1, IF(ISNUMBER(SEARCH("Gri", D422)), -1, 0)))=1, VERI_TABANI!E27*(1-0.928)*0.00206091519919798*VERI_TABANI!G27, 0)) + ((MIN(VERI_TABANI!D28, VERI_TABANI!D28*B422)*VERI_TABANI!$B$7 + MAX(0, VERI_TABANI!D28*B422-VERI_TABANI!D28)*VERI_TABANI!$B$8) + (MIN(MAX(0, VERI_TABANI!D28-VERI_TABANI!D28*B422), VERI_TABANI!D28*C422)*VERI_TABANI!$B$7 + MAX(0, VERI_TABANI!D28*C422-MAX(0, VERI_TABANI!D28-VERI_TABANI!D28*B422))*VERI_TABANI!$B$8) + IF(ABS(IF(ISNUMBER(SEARCH("Var", D422)), 1, IF(ISNUMBER(SEARCH("Gri", D422)), -1, 0)))=1, VERI_TABANI!E28*(1-0.928)*VERI_TABANI!$B$9, 0) + (VERI_TABANI!D28*B422*(VERI_TABANI!$B$13-VERI_TABANI!$B$14)*VERI_TABANI!G28) + (VERI_TABANI!D28*C422*(VERI_TABANI!$B$13-VERI_TABANI!$B$15)*VERI_TABANI!G28) + IF(ABS(IF(ISNUMBER(SEARCH("Var", D422)), 1, IF(ISNUMBER(SEARCH("Gri", D422)), -1, 0)))=1, VERI_TABANI!E28*(1-0.928)*0.00206091519919798*VERI_TABANI!G28, 0)))</f>
        <v/>
      </c>
      <c r="H422" s="169">
        <f>(((VERI_TABANI!D23*B422*(VERI_TABANI!$B$13-VERI_TABANI!$B$14)) + (VERI_TABANI!D23*C422*(VERI_TABANI!$B$13-VERI_TABANI!$B$15)) + IF(ISNUMBER(SEARCH("Var", D422)), VERI_TABANI!F23*(0.00202-VERI_TABANI!$B$16), IF(ISNUMBER(SEARCH("Gri", D422)), VERI_TABANI!F23*(0.00202-VERI_TABANI!$B$17), 0))) + ((VERI_TABANI!D24*B422*(VERI_TABANI!$B$13-VERI_TABANI!$B$14)) + (VERI_TABANI!D24*C422*(VERI_TABANI!$B$13-VERI_TABANI!$B$15)) + IF(ISNUMBER(SEARCH("Var", D422)), VERI_TABANI!F24*(0.00202-VERI_TABANI!$B$16), IF(ISNUMBER(SEARCH("Gri", D422)), VERI_TABANI!F24*(0.00202-VERI_TABANI!$B$17), 0))) + ((VERI_TABANI!D25*B422*(VERI_TABANI!$B$13-VERI_TABANI!$B$14)) + (VERI_TABANI!D25*C422*(VERI_TABANI!$B$13-VERI_TABANI!$B$15)) + IF(ISNUMBER(SEARCH("Var", D422)), VERI_TABANI!F25*(0.00202-VERI_TABANI!$B$16), IF(ISNUMBER(SEARCH("Gri", D422)), VERI_TABANI!F25*(0.00202-VERI_TABANI!$B$17), 0))) + ((VERI_TABANI!D26*B422*(VERI_TABANI!$B$13-VERI_TABANI!$B$14)) + (VERI_TABANI!D26*C422*(VERI_TABANI!$B$13-VERI_TABANI!$B$15)) + IF(ISNUMBER(SEARCH("Var", D422)), VERI_TABANI!F26*(0.00202-VERI_TABANI!$B$16), IF(ISNUMBER(SEARCH("Gri", D422)), VERI_TABANI!F26*(0.00202-VERI_TABANI!$B$17), 0))) + ((VERI_TABANI!D27*B422*(VERI_TABANI!$B$13-VERI_TABANI!$B$14)) + (VERI_TABANI!D27*C422*(VERI_TABANI!$B$13-VERI_TABANI!$B$15)) + IF(ISNUMBER(SEARCH("Var", D422)), VERI_TABANI!F27*(0.00202-VERI_TABANI!$B$16), IF(ISNUMBER(SEARCH("Gri", D422)), VERI_TABANI!F27*(0.00202-VERI_TABANI!$B$17), 0))) + ((VERI_TABANI!D28*B422*(VERI_TABANI!$B$13-VERI_TABANI!$B$14)) + (VERI_TABANI!D28*C422*(VERI_TABANI!$B$13-VERI_TABANI!$B$15)) + IF(ISNUMBER(SEARCH("Var", D422)), VERI_TABANI!F28*(0.00202-VERI_TABANI!$B$16), IF(ISNUMBER(SEARCH("Gri", D422)), VERI_TABANI!F28*(0.00202-VERI_TABANI!$B$17), 0))))</f>
        <v/>
      </c>
      <c r="I422" s="170">
        <f>IFERROR(((VERI_TABANI!$D$29*B422*VERI_TABANI!$B$14 + VERI_TABANI!$D$29*C422*VERI_TABANI!$B$15 + IF(ISNUMBER(SEARCH("Var", D422)), VERI_TABANI!$F$29*VERI_TABANI!$B$16, 0))) / (((VERI_TABANI!$D$29*B422 + VERI_TABANI!$D$29*C422)*VERI_TABANI!$B$13 + IF(ISNUMBER(SEARCH("Var", D422)), VERI_TABANI!$E$29*(1-0.928)*VERI_TABANI!$B$18, 0))), 0)</f>
        <v/>
      </c>
      <c r="J422" s="171">
        <f>IFERROR(F422/(G422/29), 0)</f>
        <v/>
      </c>
      <c r="K422" s="172">
        <f>IF(F422&gt;0, H422/F422, 0)</f>
        <v/>
      </c>
      <c r="L422" s="170">
        <f>IF(F422&gt;0, I422, 1000000000)</f>
        <v/>
      </c>
      <c r="M422" s="171">
        <f>ABS((B422+C422)-1)</f>
        <v/>
      </c>
      <c r="N422" s="170">
        <f>IF(F422&gt;0, (G422/29)/F422, 0)</f>
        <v/>
      </c>
      <c r="O422" s="168">
        <f>IF(AND((B422+C422)&gt;=1, ISNUMBER(SEARCH("Var", D422))), F422, 1000000000)</f>
        <v/>
      </c>
      <c r="P422" s="172">
        <f>IF(F422&gt;0, SQRT((F422/MAX(F$5:F$886))^2 + (1 - H422/MAX(H$5:H$886))^2 + (J422/MAX(J$5:J$886))^2), 1000000000)</f>
        <v/>
      </c>
      <c r="Q422" s="166">
        <f>IF(AND(ABS(B422-0.5)&lt;0.01, ABS(C422-0.5)&lt;0.01, ISNUMBER(SEARCH("Var", D422))), 1, 0)</f>
        <v/>
      </c>
      <c r="R422" s="171">
        <f>IF(F422&gt;0, J422, 1000000000)</f>
        <v/>
      </c>
      <c r="S422" s="101">
        <f>IF(AND(F422&lt;=DASHBOARD!$B$11, H422&gt;=DASHBOARD!$B$13), G422, -1000000000000)</f>
        <v/>
      </c>
      <c r="T422" s="101">
        <f>IF(AND(F422&lt;=DASHBOARD!$B$11, H422&gt;=DASHBOARD!$B$13), R422, 1000000000000)</f>
        <v/>
      </c>
      <c r="U422" s="101">
        <f>IF(AND(F422&lt;=DASHBOARD!$B$11, H422&gt;=DASHBOARD!$B$13), N422, -1000000000000)</f>
        <v/>
      </c>
      <c r="V422" s="101">
        <f>IF(AND(F422&lt;=DASHBOARD!$B$11, H422&gt;=DASHBOARD!$B$13), H422, -1000000000000)</f>
        <v/>
      </c>
      <c r="W422" s="101">
        <f>IF(AND(F422&lt;=DASHBOARD!$B$11, H422&gt;=DASHBOARD!$B$13), K422, -1000000000000)</f>
        <v/>
      </c>
      <c r="X422" s="101">
        <f>IF(AND(F422&lt;=DASHBOARD!$B$11, H422&gt;=DASHBOARD!$B$13), M422, 1000000000000)</f>
        <v/>
      </c>
      <c r="Y422" s="101">
        <f>IF(AND(F422&lt;=DASHBOARD!$B$10, H422&gt;=DASHBOARD!$B$11), L422, 1000000000000)</f>
        <v/>
      </c>
      <c r="Z422" s="101">
        <f>IF(AND(F422&lt;=DASHBOARD!$B$10, H422&gt;=DASHBOARD!$B$11), O422, 1000000000000)</f>
        <v/>
      </c>
      <c r="AA422" s="101">
        <f>IF(AND(F422&lt;=DASHBOARD!$B$10, H422&gt;=DASHBOARD!$B$11), P422, 1000000000000)</f>
        <v/>
      </c>
      <c r="AB422" s="101">
        <f>IF(AND(F422&lt;=DASHBOARD!$B$10, H422&gt;=DASHBOARD!$B$11), Q422, -1000000000000)</f>
        <v/>
      </c>
    </row>
    <row r="423" ht="15" customHeight="1" s="102">
      <c r="A423" s="166" t="n">
        <v>419</v>
      </c>
      <c r="B423" s="167" t="n">
        <v>0.9</v>
      </c>
      <c r="C423" s="167" t="n">
        <v>2</v>
      </c>
      <c r="D423" s="110" t="inlineStr">
        <is>
          <t>Yok (%0)</t>
        </is>
      </c>
      <c r="E423" s="110">
        <f>IF((B423+C423)&lt;=1, "Tam Mahsuplaşma (≤%100)", "Kısmi Satış (&gt;%100)")</f>
        <v/>
      </c>
      <c r="F423" s="168">
        <f>((VERI_TABANI!$D$29*B423/VERI_TABANI!$B$29)/VERI_TABANI!$B$3)*VERI_TABANI!$B$5 + ((VERI_TABANI!$D$29*C423/VERI_TABANI!$B$29)/VERI_TABANI!$B$4)*VERI_TABANI!$B$6 + IF(ISNUMBER(SEARCH("Var", D423)), (VERI_TABANI!$F$29/VERI_TABANI!$B$29)*(VERI_TABANI!$B$10+VERI_TABANI!$B$12), 0)</f>
        <v/>
      </c>
      <c r="G423" s="168">
        <f>(((MIN(VERI_TABANI!D23, VERI_TABANI!D23*B423)*VERI_TABANI!$B$7 + MAX(0, VERI_TABANI!D23*B423-VERI_TABANI!D23)*VERI_TABANI!$B$8) + (MIN(MAX(0, VERI_TABANI!D23-VERI_TABANI!D23*B423), VERI_TABANI!D23*C423)*VERI_TABANI!$B$7 + MAX(0, VERI_TABANI!D23*C423-MAX(0, VERI_TABANI!D23-VERI_TABANI!D23*B423))*VERI_TABANI!$B$8) + IF(ABS(IF(ISNUMBER(SEARCH("Var", D423)), 1, IF(ISNUMBER(SEARCH("Gri", D423)), -1, 0)))=1, VERI_TABANI!E23*(1-0.928)*VERI_TABANI!$B$9, 0) + (VERI_TABANI!D23*B423*(VERI_TABANI!$B$13-VERI_TABANI!$B$14)*VERI_TABANI!G23) + (VERI_TABANI!D23*C423*(VERI_TABANI!$B$13-VERI_TABANI!$B$15)*VERI_TABANI!G23) + IF(ABS(IF(ISNUMBER(SEARCH("Var", D423)), 1, IF(ISNUMBER(SEARCH("Gri", D423)), -1, 0)))=1, VERI_TABANI!E23*(1-0.928)*0.00206091519919798*VERI_TABANI!G23, 0)) + ((MIN(VERI_TABANI!D24, VERI_TABANI!D24*B423)*VERI_TABANI!$B$7 + MAX(0, VERI_TABANI!D24*B423-VERI_TABANI!D24)*VERI_TABANI!$B$8) + (MIN(MAX(0, VERI_TABANI!D24-VERI_TABANI!D24*B423), VERI_TABANI!D24*C423)*VERI_TABANI!$B$7 + MAX(0, VERI_TABANI!D24*C423-MAX(0, VERI_TABANI!D24-VERI_TABANI!D24*B423))*VERI_TABANI!$B$8) + IF(ABS(IF(ISNUMBER(SEARCH("Var", D423)), 1, IF(ISNUMBER(SEARCH("Gri", D423)), -1, 0)))=1, VERI_TABANI!E24*(1-0.928)*VERI_TABANI!$B$9, 0) + (VERI_TABANI!D24*B423*(VERI_TABANI!$B$13-VERI_TABANI!$B$14)*VERI_TABANI!G24) + (VERI_TABANI!D24*C423*(VERI_TABANI!$B$13-VERI_TABANI!$B$15)*VERI_TABANI!G24) + IF(ABS(IF(ISNUMBER(SEARCH("Var", D423)), 1, IF(ISNUMBER(SEARCH("Gri", D423)), -1, 0)))=1, VERI_TABANI!E24*(1-0.928)*0.00206091519919798*VERI_TABANI!G24, 0)) + ((MIN(VERI_TABANI!D25, VERI_TABANI!D25*B423)*VERI_TABANI!$B$7 + MAX(0, VERI_TABANI!D25*B423-VERI_TABANI!D25)*VERI_TABANI!$B$8) + (MIN(MAX(0, VERI_TABANI!D25-VERI_TABANI!D25*B423), VERI_TABANI!D25*C423)*VERI_TABANI!$B$7 + MAX(0, VERI_TABANI!D25*C423-MAX(0, VERI_TABANI!D25-VERI_TABANI!D25*B423))*VERI_TABANI!$B$8) + IF(ABS(IF(ISNUMBER(SEARCH("Var", D423)), 1, IF(ISNUMBER(SEARCH("Gri", D423)), -1, 0)))=1, VERI_TABANI!E25*(1-0.928)*VERI_TABANI!$B$9, 0) + (VERI_TABANI!D25*B423*(VERI_TABANI!$B$13-VERI_TABANI!$B$14)*VERI_TABANI!G25) + (VERI_TABANI!D25*C423*(VERI_TABANI!$B$13-VERI_TABANI!$B$15)*VERI_TABANI!G25) + IF(ABS(IF(ISNUMBER(SEARCH("Var", D423)), 1, IF(ISNUMBER(SEARCH("Gri", D423)), -1, 0)))=1, VERI_TABANI!E25*(1-0.928)*0.00206091519919798*VERI_TABANI!G25, 0)) + ((MIN(VERI_TABANI!D26, VERI_TABANI!D26*B423)*VERI_TABANI!$B$7 + MAX(0, VERI_TABANI!D26*B423-VERI_TABANI!D26)*VERI_TABANI!$B$8) + (MIN(MAX(0, VERI_TABANI!D26-VERI_TABANI!D26*B423), VERI_TABANI!D26*C423)*VERI_TABANI!$B$7 + MAX(0, VERI_TABANI!D26*C423-MAX(0, VERI_TABANI!D26-VERI_TABANI!D26*B423))*VERI_TABANI!$B$8) + IF(ABS(IF(ISNUMBER(SEARCH("Var", D423)), 1, IF(ISNUMBER(SEARCH("Gri", D423)), -1, 0)))=1, VERI_TABANI!E26*(1-0.928)*VERI_TABANI!$B$9, 0) + (VERI_TABANI!D26*B423*(VERI_TABANI!$B$13-VERI_TABANI!$B$14)*VERI_TABANI!G26) + (VERI_TABANI!D26*C423*(VERI_TABANI!$B$13-VERI_TABANI!$B$15)*VERI_TABANI!G26) + IF(ABS(IF(ISNUMBER(SEARCH("Var", D423)), 1, IF(ISNUMBER(SEARCH("Gri", D423)), -1, 0)))=1, VERI_TABANI!E26*(1-0.928)*0.00206091519919798*VERI_TABANI!G26, 0)) + ((MIN(VERI_TABANI!D27, VERI_TABANI!D27*B423)*VERI_TABANI!$B$7 + MAX(0, VERI_TABANI!D27*B423-VERI_TABANI!D27)*VERI_TABANI!$B$8) + (MIN(MAX(0, VERI_TABANI!D27-VERI_TABANI!D27*B423), VERI_TABANI!D27*C423)*VERI_TABANI!$B$7 + MAX(0, VERI_TABANI!D27*C423-MAX(0, VERI_TABANI!D27-VERI_TABANI!D27*B423))*VERI_TABANI!$B$8) + IF(ABS(IF(ISNUMBER(SEARCH("Var", D423)), 1, IF(ISNUMBER(SEARCH("Gri", D423)), -1, 0)))=1, VERI_TABANI!E27*(1-0.928)*VERI_TABANI!$B$9, 0) + (VERI_TABANI!D27*B423*(VERI_TABANI!$B$13-VERI_TABANI!$B$14)*VERI_TABANI!G27) + (VERI_TABANI!D27*C423*(VERI_TABANI!$B$13-VERI_TABANI!$B$15)*VERI_TABANI!G27) + IF(ABS(IF(ISNUMBER(SEARCH("Var", D423)), 1, IF(ISNUMBER(SEARCH("Gri", D423)), -1, 0)))=1, VERI_TABANI!E27*(1-0.928)*0.00206091519919798*VERI_TABANI!G27, 0)) + ((MIN(VERI_TABANI!D28, VERI_TABANI!D28*B423)*VERI_TABANI!$B$7 + MAX(0, VERI_TABANI!D28*B423-VERI_TABANI!D28)*VERI_TABANI!$B$8) + (MIN(MAX(0, VERI_TABANI!D28-VERI_TABANI!D28*B423), VERI_TABANI!D28*C423)*VERI_TABANI!$B$7 + MAX(0, VERI_TABANI!D28*C423-MAX(0, VERI_TABANI!D28-VERI_TABANI!D28*B423))*VERI_TABANI!$B$8) + IF(ABS(IF(ISNUMBER(SEARCH("Var", D423)), 1, IF(ISNUMBER(SEARCH("Gri", D423)), -1, 0)))=1, VERI_TABANI!E28*(1-0.928)*VERI_TABANI!$B$9, 0) + (VERI_TABANI!D28*B423*(VERI_TABANI!$B$13-VERI_TABANI!$B$14)*VERI_TABANI!G28) + (VERI_TABANI!D28*C423*(VERI_TABANI!$B$13-VERI_TABANI!$B$15)*VERI_TABANI!G28) + IF(ABS(IF(ISNUMBER(SEARCH("Var", D423)), 1, IF(ISNUMBER(SEARCH("Gri", D423)), -1, 0)))=1, VERI_TABANI!E28*(1-0.928)*0.00206091519919798*VERI_TABANI!G28, 0)))</f>
        <v/>
      </c>
      <c r="H423" s="169">
        <f>(((VERI_TABANI!D23*B423*(VERI_TABANI!$B$13-VERI_TABANI!$B$14)) + (VERI_TABANI!D23*C423*(VERI_TABANI!$B$13-VERI_TABANI!$B$15)) + IF(ISNUMBER(SEARCH("Var", D423)), VERI_TABANI!F23*(0.00202-VERI_TABANI!$B$16), IF(ISNUMBER(SEARCH("Gri", D423)), VERI_TABANI!F23*(0.00202-VERI_TABANI!$B$17), 0))) + ((VERI_TABANI!D24*B423*(VERI_TABANI!$B$13-VERI_TABANI!$B$14)) + (VERI_TABANI!D24*C423*(VERI_TABANI!$B$13-VERI_TABANI!$B$15)) + IF(ISNUMBER(SEARCH("Var", D423)), VERI_TABANI!F24*(0.00202-VERI_TABANI!$B$16), IF(ISNUMBER(SEARCH("Gri", D423)), VERI_TABANI!F24*(0.00202-VERI_TABANI!$B$17), 0))) + ((VERI_TABANI!D25*B423*(VERI_TABANI!$B$13-VERI_TABANI!$B$14)) + (VERI_TABANI!D25*C423*(VERI_TABANI!$B$13-VERI_TABANI!$B$15)) + IF(ISNUMBER(SEARCH("Var", D423)), VERI_TABANI!F25*(0.00202-VERI_TABANI!$B$16), IF(ISNUMBER(SEARCH("Gri", D423)), VERI_TABANI!F25*(0.00202-VERI_TABANI!$B$17), 0))) + ((VERI_TABANI!D26*B423*(VERI_TABANI!$B$13-VERI_TABANI!$B$14)) + (VERI_TABANI!D26*C423*(VERI_TABANI!$B$13-VERI_TABANI!$B$15)) + IF(ISNUMBER(SEARCH("Var", D423)), VERI_TABANI!F26*(0.00202-VERI_TABANI!$B$16), IF(ISNUMBER(SEARCH("Gri", D423)), VERI_TABANI!F26*(0.00202-VERI_TABANI!$B$17), 0))) + ((VERI_TABANI!D27*B423*(VERI_TABANI!$B$13-VERI_TABANI!$B$14)) + (VERI_TABANI!D27*C423*(VERI_TABANI!$B$13-VERI_TABANI!$B$15)) + IF(ISNUMBER(SEARCH("Var", D423)), VERI_TABANI!F27*(0.00202-VERI_TABANI!$B$16), IF(ISNUMBER(SEARCH("Gri", D423)), VERI_TABANI!F27*(0.00202-VERI_TABANI!$B$17), 0))) + ((VERI_TABANI!D28*B423*(VERI_TABANI!$B$13-VERI_TABANI!$B$14)) + (VERI_TABANI!D28*C423*(VERI_TABANI!$B$13-VERI_TABANI!$B$15)) + IF(ISNUMBER(SEARCH("Var", D423)), VERI_TABANI!F28*(0.00202-VERI_TABANI!$B$16), IF(ISNUMBER(SEARCH("Gri", D423)), VERI_TABANI!F28*(0.00202-VERI_TABANI!$B$17), 0))))</f>
        <v/>
      </c>
      <c r="I423" s="170">
        <f>IFERROR(((VERI_TABANI!$D$29*B423*VERI_TABANI!$B$14 + VERI_TABANI!$D$29*C423*VERI_TABANI!$B$15 + IF(ISNUMBER(SEARCH("Var", D423)), VERI_TABANI!$F$29*VERI_TABANI!$B$16, 0))) / (((VERI_TABANI!$D$29*B423 + VERI_TABANI!$D$29*C423)*VERI_TABANI!$B$13 + IF(ISNUMBER(SEARCH("Var", D423)), VERI_TABANI!$E$29*(1-0.928)*VERI_TABANI!$B$18, 0))), 0)</f>
        <v/>
      </c>
      <c r="J423" s="171">
        <f>IFERROR(F423/(G423/29), 0)</f>
        <v/>
      </c>
      <c r="K423" s="172">
        <f>IF(F423&gt;0, H423/F423, 0)</f>
        <v/>
      </c>
      <c r="L423" s="170">
        <f>IF(F423&gt;0, I423, 1000000000)</f>
        <v/>
      </c>
      <c r="M423" s="171">
        <f>ABS((B423+C423)-1)</f>
        <v/>
      </c>
      <c r="N423" s="170">
        <f>IF(F423&gt;0, (G423/29)/F423, 0)</f>
        <v/>
      </c>
      <c r="O423" s="168">
        <f>IF(AND((B423+C423)&gt;=1, ISNUMBER(SEARCH("Var", D423))), F423, 1000000000)</f>
        <v/>
      </c>
      <c r="P423" s="172">
        <f>IF(F423&gt;0, SQRT((F423/MAX(F$5:F$886))^2 + (1 - H423/MAX(H$5:H$886))^2 + (J423/MAX(J$5:J$886))^2), 1000000000)</f>
        <v/>
      </c>
      <c r="Q423" s="166">
        <f>IF(AND(ABS(B423-0.5)&lt;0.01, ABS(C423-0.5)&lt;0.01, ISNUMBER(SEARCH("Var", D423))), 1, 0)</f>
        <v/>
      </c>
      <c r="R423" s="171">
        <f>IF(F423&gt;0, J423, 1000000000)</f>
        <v/>
      </c>
      <c r="S423" s="101">
        <f>IF(AND(F423&lt;=DASHBOARD!$B$11, H423&gt;=DASHBOARD!$B$13), G423, -1000000000000)</f>
        <v/>
      </c>
      <c r="T423" s="101">
        <f>IF(AND(F423&lt;=DASHBOARD!$B$11, H423&gt;=DASHBOARD!$B$13), R423, 1000000000000)</f>
        <v/>
      </c>
      <c r="U423" s="101">
        <f>IF(AND(F423&lt;=DASHBOARD!$B$11, H423&gt;=DASHBOARD!$B$13), N423, -1000000000000)</f>
        <v/>
      </c>
      <c r="V423" s="101">
        <f>IF(AND(F423&lt;=DASHBOARD!$B$11, H423&gt;=DASHBOARD!$B$13), H423, -1000000000000)</f>
        <v/>
      </c>
      <c r="W423" s="101">
        <f>IF(AND(F423&lt;=DASHBOARD!$B$11, H423&gt;=DASHBOARD!$B$13), K423, -1000000000000)</f>
        <v/>
      </c>
      <c r="X423" s="101">
        <f>IF(AND(F423&lt;=DASHBOARD!$B$11, H423&gt;=DASHBOARD!$B$13), M423, 1000000000000)</f>
        <v/>
      </c>
      <c r="Y423" s="101">
        <f>IF(AND(F423&lt;=DASHBOARD!$B$10, H423&gt;=DASHBOARD!$B$11), L423, 1000000000000)</f>
        <v/>
      </c>
      <c r="Z423" s="101">
        <f>IF(AND(F423&lt;=DASHBOARD!$B$10, H423&gt;=DASHBOARD!$B$11), O423, 1000000000000)</f>
        <v/>
      </c>
      <c r="AA423" s="101">
        <f>IF(AND(F423&lt;=DASHBOARD!$B$10, H423&gt;=DASHBOARD!$B$11), P423, 1000000000000)</f>
        <v/>
      </c>
      <c r="AB423" s="101">
        <f>IF(AND(F423&lt;=DASHBOARD!$B$10, H423&gt;=DASHBOARD!$B$11), Q423, -1000000000000)</f>
        <v/>
      </c>
    </row>
    <row r="424" ht="15" customHeight="1" s="102">
      <c r="A424" s="166" t="n">
        <v>420</v>
      </c>
      <c r="B424" s="167" t="n">
        <v>0.9</v>
      </c>
      <c r="C424" s="167" t="n">
        <v>2</v>
      </c>
      <c r="D424" s="110" t="inlineStr">
        <is>
          <t>Var (%20)</t>
        </is>
      </c>
      <c r="E424" s="110">
        <f>IF((B424+C424)&lt;=1, "Tam Mahsuplaşma (≤%100)", "Kısmi Satış (&gt;%100)")</f>
        <v/>
      </c>
      <c r="F424" s="168">
        <f>((VERI_TABANI!$D$29*B424/VERI_TABANI!$B$29)/VERI_TABANI!$B$3)*VERI_TABANI!$B$5 + ((VERI_TABANI!$D$29*C424/VERI_TABANI!$B$29)/VERI_TABANI!$B$4)*VERI_TABANI!$B$6 + IF(ISNUMBER(SEARCH("Var", D424)), (VERI_TABANI!$F$29/VERI_TABANI!$B$29)*(VERI_TABANI!$B$10+VERI_TABANI!$B$12), 0)</f>
        <v/>
      </c>
      <c r="G424" s="168">
        <f>(((MIN(VERI_TABANI!D23, VERI_TABANI!D23*B424)*VERI_TABANI!$B$7 + MAX(0, VERI_TABANI!D23*B424-VERI_TABANI!D23)*VERI_TABANI!$B$8) + (MIN(MAX(0, VERI_TABANI!D23-VERI_TABANI!D23*B424), VERI_TABANI!D23*C424)*VERI_TABANI!$B$7 + MAX(0, VERI_TABANI!D23*C424-MAX(0, VERI_TABANI!D23-VERI_TABANI!D23*B424))*VERI_TABANI!$B$8) + IF(ABS(IF(ISNUMBER(SEARCH("Var", D424)), 1, IF(ISNUMBER(SEARCH("Gri", D424)), -1, 0)))=1, VERI_TABANI!E23*(1-0.928)*VERI_TABANI!$B$9, 0) + (VERI_TABANI!D23*B424*(VERI_TABANI!$B$13-VERI_TABANI!$B$14)*VERI_TABANI!G23) + (VERI_TABANI!D23*C424*(VERI_TABANI!$B$13-VERI_TABANI!$B$15)*VERI_TABANI!G23) + IF(ABS(IF(ISNUMBER(SEARCH("Var", D424)), 1, IF(ISNUMBER(SEARCH("Gri", D424)), -1, 0)))=1, VERI_TABANI!E23*(1-0.928)*0.00206091519919798*VERI_TABANI!G23, 0)) + ((MIN(VERI_TABANI!D24, VERI_TABANI!D24*B424)*VERI_TABANI!$B$7 + MAX(0, VERI_TABANI!D24*B424-VERI_TABANI!D24)*VERI_TABANI!$B$8) + (MIN(MAX(0, VERI_TABANI!D24-VERI_TABANI!D24*B424), VERI_TABANI!D24*C424)*VERI_TABANI!$B$7 + MAX(0, VERI_TABANI!D24*C424-MAX(0, VERI_TABANI!D24-VERI_TABANI!D24*B424))*VERI_TABANI!$B$8) + IF(ABS(IF(ISNUMBER(SEARCH("Var", D424)), 1, IF(ISNUMBER(SEARCH("Gri", D424)), -1, 0)))=1, VERI_TABANI!E24*(1-0.928)*VERI_TABANI!$B$9, 0) + (VERI_TABANI!D24*B424*(VERI_TABANI!$B$13-VERI_TABANI!$B$14)*VERI_TABANI!G24) + (VERI_TABANI!D24*C424*(VERI_TABANI!$B$13-VERI_TABANI!$B$15)*VERI_TABANI!G24) + IF(ABS(IF(ISNUMBER(SEARCH("Var", D424)), 1, IF(ISNUMBER(SEARCH("Gri", D424)), -1, 0)))=1, VERI_TABANI!E24*(1-0.928)*0.00206091519919798*VERI_TABANI!G24, 0)) + ((MIN(VERI_TABANI!D25, VERI_TABANI!D25*B424)*VERI_TABANI!$B$7 + MAX(0, VERI_TABANI!D25*B424-VERI_TABANI!D25)*VERI_TABANI!$B$8) + (MIN(MAX(0, VERI_TABANI!D25-VERI_TABANI!D25*B424), VERI_TABANI!D25*C424)*VERI_TABANI!$B$7 + MAX(0, VERI_TABANI!D25*C424-MAX(0, VERI_TABANI!D25-VERI_TABANI!D25*B424))*VERI_TABANI!$B$8) + IF(ABS(IF(ISNUMBER(SEARCH("Var", D424)), 1, IF(ISNUMBER(SEARCH("Gri", D424)), -1, 0)))=1, VERI_TABANI!E25*(1-0.928)*VERI_TABANI!$B$9, 0) + (VERI_TABANI!D25*B424*(VERI_TABANI!$B$13-VERI_TABANI!$B$14)*VERI_TABANI!G25) + (VERI_TABANI!D25*C424*(VERI_TABANI!$B$13-VERI_TABANI!$B$15)*VERI_TABANI!G25) + IF(ABS(IF(ISNUMBER(SEARCH("Var", D424)), 1, IF(ISNUMBER(SEARCH("Gri", D424)), -1, 0)))=1, VERI_TABANI!E25*(1-0.928)*0.00206091519919798*VERI_TABANI!G25, 0)) + ((MIN(VERI_TABANI!D26, VERI_TABANI!D26*B424)*VERI_TABANI!$B$7 + MAX(0, VERI_TABANI!D26*B424-VERI_TABANI!D26)*VERI_TABANI!$B$8) + (MIN(MAX(0, VERI_TABANI!D26-VERI_TABANI!D26*B424), VERI_TABANI!D26*C424)*VERI_TABANI!$B$7 + MAX(0, VERI_TABANI!D26*C424-MAX(0, VERI_TABANI!D26-VERI_TABANI!D26*B424))*VERI_TABANI!$B$8) + IF(ABS(IF(ISNUMBER(SEARCH("Var", D424)), 1, IF(ISNUMBER(SEARCH("Gri", D424)), -1, 0)))=1, VERI_TABANI!E26*(1-0.928)*VERI_TABANI!$B$9, 0) + (VERI_TABANI!D26*B424*(VERI_TABANI!$B$13-VERI_TABANI!$B$14)*VERI_TABANI!G26) + (VERI_TABANI!D26*C424*(VERI_TABANI!$B$13-VERI_TABANI!$B$15)*VERI_TABANI!G26) + IF(ABS(IF(ISNUMBER(SEARCH("Var", D424)), 1, IF(ISNUMBER(SEARCH("Gri", D424)), -1, 0)))=1, VERI_TABANI!E26*(1-0.928)*0.00206091519919798*VERI_TABANI!G26, 0)) + ((MIN(VERI_TABANI!D27, VERI_TABANI!D27*B424)*VERI_TABANI!$B$7 + MAX(0, VERI_TABANI!D27*B424-VERI_TABANI!D27)*VERI_TABANI!$B$8) + (MIN(MAX(0, VERI_TABANI!D27-VERI_TABANI!D27*B424), VERI_TABANI!D27*C424)*VERI_TABANI!$B$7 + MAX(0, VERI_TABANI!D27*C424-MAX(0, VERI_TABANI!D27-VERI_TABANI!D27*B424))*VERI_TABANI!$B$8) + IF(ABS(IF(ISNUMBER(SEARCH("Var", D424)), 1, IF(ISNUMBER(SEARCH("Gri", D424)), -1, 0)))=1, VERI_TABANI!E27*(1-0.928)*VERI_TABANI!$B$9, 0) + (VERI_TABANI!D27*B424*(VERI_TABANI!$B$13-VERI_TABANI!$B$14)*VERI_TABANI!G27) + (VERI_TABANI!D27*C424*(VERI_TABANI!$B$13-VERI_TABANI!$B$15)*VERI_TABANI!G27) + IF(ABS(IF(ISNUMBER(SEARCH("Var", D424)), 1, IF(ISNUMBER(SEARCH("Gri", D424)), -1, 0)))=1, VERI_TABANI!E27*(1-0.928)*0.00206091519919798*VERI_TABANI!G27, 0)) + ((MIN(VERI_TABANI!D28, VERI_TABANI!D28*B424)*VERI_TABANI!$B$7 + MAX(0, VERI_TABANI!D28*B424-VERI_TABANI!D28)*VERI_TABANI!$B$8) + (MIN(MAX(0, VERI_TABANI!D28-VERI_TABANI!D28*B424), VERI_TABANI!D28*C424)*VERI_TABANI!$B$7 + MAX(0, VERI_TABANI!D28*C424-MAX(0, VERI_TABANI!D28-VERI_TABANI!D28*B424))*VERI_TABANI!$B$8) + IF(ABS(IF(ISNUMBER(SEARCH("Var", D424)), 1, IF(ISNUMBER(SEARCH("Gri", D424)), -1, 0)))=1, VERI_TABANI!E28*(1-0.928)*VERI_TABANI!$B$9, 0) + (VERI_TABANI!D28*B424*(VERI_TABANI!$B$13-VERI_TABANI!$B$14)*VERI_TABANI!G28) + (VERI_TABANI!D28*C424*(VERI_TABANI!$B$13-VERI_TABANI!$B$15)*VERI_TABANI!G28) + IF(ABS(IF(ISNUMBER(SEARCH("Var", D424)), 1, IF(ISNUMBER(SEARCH("Gri", D424)), -1, 0)))=1, VERI_TABANI!E28*(1-0.928)*0.00206091519919798*VERI_TABANI!G28, 0)))</f>
        <v/>
      </c>
      <c r="H424" s="169">
        <f>(((VERI_TABANI!D23*B424*(VERI_TABANI!$B$13-VERI_TABANI!$B$14)) + (VERI_TABANI!D23*C424*(VERI_TABANI!$B$13-VERI_TABANI!$B$15)) + IF(ISNUMBER(SEARCH("Var", D424)), VERI_TABANI!F23*(0.00202-VERI_TABANI!$B$16), IF(ISNUMBER(SEARCH("Gri", D424)), VERI_TABANI!F23*(0.00202-VERI_TABANI!$B$17), 0))) + ((VERI_TABANI!D24*B424*(VERI_TABANI!$B$13-VERI_TABANI!$B$14)) + (VERI_TABANI!D24*C424*(VERI_TABANI!$B$13-VERI_TABANI!$B$15)) + IF(ISNUMBER(SEARCH("Var", D424)), VERI_TABANI!F24*(0.00202-VERI_TABANI!$B$16), IF(ISNUMBER(SEARCH("Gri", D424)), VERI_TABANI!F24*(0.00202-VERI_TABANI!$B$17), 0))) + ((VERI_TABANI!D25*B424*(VERI_TABANI!$B$13-VERI_TABANI!$B$14)) + (VERI_TABANI!D25*C424*(VERI_TABANI!$B$13-VERI_TABANI!$B$15)) + IF(ISNUMBER(SEARCH("Var", D424)), VERI_TABANI!F25*(0.00202-VERI_TABANI!$B$16), IF(ISNUMBER(SEARCH("Gri", D424)), VERI_TABANI!F25*(0.00202-VERI_TABANI!$B$17), 0))) + ((VERI_TABANI!D26*B424*(VERI_TABANI!$B$13-VERI_TABANI!$B$14)) + (VERI_TABANI!D26*C424*(VERI_TABANI!$B$13-VERI_TABANI!$B$15)) + IF(ISNUMBER(SEARCH("Var", D424)), VERI_TABANI!F26*(0.00202-VERI_TABANI!$B$16), IF(ISNUMBER(SEARCH("Gri", D424)), VERI_TABANI!F26*(0.00202-VERI_TABANI!$B$17), 0))) + ((VERI_TABANI!D27*B424*(VERI_TABANI!$B$13-VERI_TABANI!$B$14)) + (VERI_TABANI!D27*C424*(VERI_TABANI!$B$13-VERI_TABANI!$B$15)) + IF(ISNUMBER(SEARCH("Var", D424)), VERI_TABANI!F27*(0.00202-VERI_TABANI!$B$16), IF(ISNUMBER(SEARCH("Gri", D424)), VERI_TABANI!F27*(0.00202-VERI_TABANI!$B$17), 0))) + ((VERI_TABANI!D28*B424*(VERI_TABANI!$B$13-VERI_TABANI!$B$14)) + (VERI_TABANI!D28*C424*(VERI_TABANI!$B$13-VERI_TABANI!$B$15)) + IF(ISNUMBER(SEARCH("Var", D424)), VERI_TABANI!F28*(0.00202-VERI_TABANI!$B$16), IF(ISNUMBER(SEARCH("Gri", D424)), VERI_TABANI!F28*(0.00202-VERI_TABANI!$B$17), 0))))</f>
        <v/>
      </c>
      <c r="I424" s="170">
        <f>IFERROR(((VERI_TABANI!$D$29*B424*VERI_TABANI!$B$14 + VERI_TABANI!$D$29*C424*VERI_TABANI!$B$15 + IF(ISNUMBER(SEARCH("Var", D424)), VERI_TABANI!$F$29*VERI_TABANI!$B$16, 0))) / (((VERI_TABANI!$D$29*B424 + VERI_TABANI!$D$29*C424)*VERI_TABANI!$B$13 + IF(ISNUMBER(SEARCH("Var", D424)), VERI_TABANI!$E$29*(1-0.928)*VERI_TABANI!$B$18, 0))), 0)</f>
        <v/>
      </c>
      <c r="J424" s="171">
        <f>IFERROR(F424/(G424/29), 0)</f>
        <v/>
      </c>
      <c r="K424" s="172">
        <f>IF(F424&gt;0, H424/F424, 0)</f>
        <v/>
      </c>
      <c r="L424" s="170">
        <f>IF(F424&gt;0, I424, 1000000000)</f>
        <v/>
      </c>
      <c r="M424" s="171">
        <f>ABS((B424+C424)-1)</f>
        <v/>
      </c>
      <c r="N424" s="170">
        <f>IF(F424&gt;0, (G424/29)/F424, 0)</f>
        <v/>
      </c>
      <c r="O424" s="168">
        <f>IF(AND((B424+C424)&gt;=1, ISNUMBER(SEARCH("Var", D424))), F424, 1000000000)</f>
        <v/>
      </c>
      <c r="P424" s="172">
        <f>IF(F424&gt;0, SQRT((F424/MAX(F$5:F$886))^2 + (1 - H424/MAX(H$5:H$886))^2 + (J424/MAX(J$5:J$886))^2), 1000000000)</f>
        <v/>
      </c>
      <c r="Q424" s="166">
        <f>IF(AND(ABS(B424-0.5)&lt;0.01, ABS(C424-0.5)&lt;0.01, ISNUMBER(SEARCH("Var", D424))), 1, 0)</f>
        <v/>
      </c>
      <c r="R424" s="171">
        <f>IF(F424&gt;0, J424, 1000000000)</f>
        <v/>
      </c>
      <c r="S424" s="101">
        <f>IF(AND(F424&lt;=DASHBOARD!$B$11, H424&gt;=DASHBOARD!$B$13), G424, -1000000000000)</f>
        <v/>
      </c>
      <c r="T424" s="101">
        <f>IF(AND(F424&lt;=DASHBOARD!$B$11, H424&gt;=DASHBOARD!$B$13), R424, 1000000000000)</f>
        <v/>
      </c>
      <c r="U424" s="101">
        <f>IF(AND(F424&lt;=DASHBOARD!$B$11, H424&gt;=DASHBOARD!$B$13), N424, -1000000000000)</f>
        <v/>
      </c>
      <c r="V424" s="101">
        <f>IF(AND(F424&lt;=DASHBOARD!$B$11, H424&gt;=DASHBOARD!$B$13), H424, -1000000000000)</f>
        <v/>
      </c>
      <c r="W424" s="101">
        <f>IF(AND(F424&lt;=DASHBOARD!$B$11, H424&gt;=DASHBOARD!$B$13), K424, -1000000000000)</f>
        <v/>
      </c>
      <c r="X424" s="101">
        <f>IF(AND(F424&lt;=DASHBOARD!$B$11, H424&gt;=DASHBOARD!$B$13), M424, 1000000000000)</f>
        <v/>
      </c>
      <c r="Y424" s="101">
        <f>IF(AND(F424&lt;=DASHBOARD!$B$10, H424&gt;=DASHBOARD!$B$11), L424, 1000000000000)</f>
        <v/>
      </c>
      <c r="Z424" s="101">
        <f>IF(AND(F424&lt;=DASHBOARD!$B$10, H424&gt;=DASHBOARD!$B$11), O424, 1000000000000)</f>
        <v/>
      </c>
      <c r="AA424" s="101">
        <f>IF(AND(F424&lt;=DASHBOARD!$B$10, H424&gt;=DASHBOARD!$B$11), P424, 1000000000000)</f>
        <v/>
      </c>
      <c r="AB424" s="101">
        <f>IF(AND(F424&lt;=DASHBOARD!$B$10, H424&gt;=DASHBOARD!$B$11), Q424, -1000000000000)</f>
        <v/>
      </c>
    </row>
    <row r="425" ht="15" customHeight="1" s="102">
      <c r="A425" s="166" t="n">
        <v>421</v>
      </c>
      <c r="B425" s="167" t="n">
        <v>1</v>
      </c>
      <c r="C425" s="167" t="n">
        <v>0</v>
      </c>
      <c r="D425" s="110" t="inlineStr">
        <is>
          <t>Yok (%0)</t>
        </is>
      </c>
      <c r="E425" s="110">
        <f>IF((B425+C425)&lt;=1, "Tam Mahsuplaşma (≤%100)", "Kısmi Satış (&gt;%100)")</f>
        <v/>
      </c>
      <c r="F425" s="168">
        <f>((VERI_TABANI!$D$29*B425/VERI_TABANI!$B$29)/VERI_TABANI!$B$3)*VERI_TABANI!$B$5 + ((VERI_TABANI!$D$29*C425/VERI_TABANI!$B$29)/VERI_TABANI!$B$4)*VERI_TABANI!$B$6 + IF(ISNUMBER(SEARCH("Var", D425)), (VERI_TABANI!$F$29/VERI_TABANI!$B$29)*(VERI_TABANI!$B$10+VERI_TABANI!$B$12), 0)</f>
        <v/>
      </c>
      <c r="G425" s="168">
        <f>(((MIN(VERI_TABANI!D23, VERI_TABANI!D23*B425)*VERI_TABANI!$B$7 + MAX(0, VERI_TABANI!D23*B425-VERI_TABANI!D23)*VERI_TABANI!$B$8) + (MIN(MAX(0, VERI_TABANI!D23-VERI_TABANI!D23*B425), VERI_TABANI!D23*C425)*VERI_TABANI!$B$7 + MAX(0, VERI_TABANI!D23*C425-MAX(0, VERI_TABANI!D23-VERI_TABANI!D23*B425))*VERI_TABANI!$B$8) + IF(ABS(IF(ISNUMBER(SEARCH("Var", D425)), 1, IF(ISNUMBER(SEARCH("Gri", D425)), -1, 0)))=1, VERI_TABANI!E23*(1-0.928)*VERI_TABANI!$B$9, 0) + (VERI_TABANI!D23*B425*(VERI_TABANI!$B$13-VERI_TABANI!$B$14)*VERI_TABANI!G23) + (VERI_TABANI!D23*C425*(VERI_TABANI!$B$13-VERI_TABANI!$B$15)*VERI_TABANI!G23) + IF(ABS(IF(ISNUMBER(SEARCH("Var", D425)), 1, IF(ISNUMBER(SEARCH("Gri", D425)), -1, 0)))=1, VERI_TABANI!E23*(1-0.928)*0.00206091519919798*VERI_TABANI!G23, 0)) + ((MIN(VERI_TABANI!D24, VERI_TABANI!D24*B425)*VERI_TABANI!$B$7 + MAX(0, VERI_TABANI!D24*B425-VERI_TABANI!D24)*VERI_TABANI!$B$8) + (MIN(MAX(0, VERI_TABANI!D24-VERI_TABANI!D24*B425), VERI_TABANI!D24*C425)*VERI_TABANI!$B$7 + MAX(0, VERI_TABANI!D24*C425-MAX(0, VERI_TABANI!D24-VERI_TABANI!D24*B425))*VERI_TABANI!$B$8) + IF(ABS(IF(ISNUMBER(SEARCH("Var", D425)), 1, IF(ISNUMBER(SEARCH("Gri", D425)), -1, 0)))=1, VERI_TABANI!E24*(1-0.928)*VERI_TABANI!$B$9, 0) + (VERI_TABANI!D24*B425*(VERI_TABANI!$B$13-VERI_TABANI!$B$14)*VERI_TABANI!G24) + (VERI_TABANI!D24*C425*(VERI_TABANI!$B$13-VERI_TABANI!$B$15)*VERI_TABANI!G24) + IF(ABS(IF(ISNUMBER(SEARCH("Var", D425)), 1, IF(ISNUMBER(SEARCH("Gri", D425)), -1, 0)))=1, VERI_TABANI!E24*(1-0.928)*0.00206091519919798*VERI_TABANI!G24, 0)) + ((MIN(VERI_TABANI!D25, VERI_TABANI!D25*B425)*VERI_TABANI!$B$7 + MAX(0, VERI_TABANI!D25*B425-VERI_TABANI!D25)*VERI_TABANI!$B$8) + (MIN(MAX(0, VERI_TABANI!D25-VERI_TABANI!D25*B425), VERI_TABANI!D25*C425)*VERI_TABANI!$B$7 + MAX(0, VERI_TABANI!D25*C425-MAX(0, VERI_TABANI!D25-VERI_TABANI!D25*B425))*VERI_TABANI!$B$8) + IF(ABS(IF(ISNUMBER(SEARCH("Var", D425)), 1, IF(ISNUMBER(SEARCH("Gri", D425)), -1, 0)))=1, VERI_TABANI!E25*(1-0.928)*VERI_TABANI!$B$9, 0) + (VERI_TABANI!D25*B425*(VERI_TABANI!$B$13-VERI_TABANI!$B$14)*VERI_TABANI!G25) + (VERI_TABANI!D25*C425*(VERI_TABANI!$B$13-VERI_TABANI!$B$15)*VERI_TABANI!G25) + IF(ABS(IF(ISNUMBER(SEARCH("Var", D425)), 1, IF(ISNUMBER(SEARCH("Gri", D425)), -1, 0)))=1, VERI_TABANI!E25*(1-0.928)*0.00206091519919798*VERI_TABANI!G25, 0)) + ((MIN(VERI_TABANI!D26, VERI_TABANI!D26*B425)*VERI_TABANI!$B$7 + MAX(0, VERI_TABANI!D26*B425-VERI_TABANI!D26)*VERI_TABANI!$B$8) + (MIN(MAX(0, VERI_TABANI!D26-VERI_TABANI!D26*B425), VERI_TABANI!D26*C425)*VERI_TABANI!$B$7 + MAX(0, VERI_TABANI!D26*C425-MAX(0, VERI_TABANI!D26-VERI_TABANI!D26*B425))*VERI_TABANI!$B$8) + IF(ABS(IF(ISNUMBER(SEARCH("Var", D425)), 1, IF(ISNUMBER(SEARCH("Gri", D425)), -1, 0)))=1, VERI_TABANI!E26*(1-0.928)*VERI_TABANI!$B$9, 0) + (VERI_TABANI!D26*B425*(VERI_TABANI!$B$13-VERI_TABANI!$B$14)*VERI_TABANI!G26) + (VERI_TABANI!D26*C425*(VERI_TABANI!$B$13-VERI_TABANI!$B$15)*VERI_TABANI!G26) + IF(ABS(IF(ISNUMBER(SEARCH("Var", D425)), 1, IF(ISNUMBER(SEARCH("Gri", D425)), -1, 0)))=1, VERI_TABANI!E26*(1-0.928)*0.00206091519919798*VERI_TABANI!G26, 0)) + ((MIN(VERI_TABANI!D27, VERI_TABANI!D27*B425)*VERI_TABANI!$B$7 + MAX(0, VERI_TABANI!D27*B425-VERI_TABANI!D27)*VERI_TABANI!$B$8) + (MIN(MAX(0, VERI_TABANI!D27-VERI_TABANI!D27*B425), VERI_TABANI!D27*C425)*VERI_TABANI!$B$7 + MAX(0, VERI_TABANI!D27*C425-MAX(0, VERI_TABANI!D27-VERI_TABANI!D27*B425))*VERI_TABANI!$B$8) + IF(ABS(IF(ISNUMBER(SEARCH("Var", D425)), 1, IF(ISNUMBER(SEARCH("Gri", D425)), -1, 0)))=1, VERI_TABANI!E27*(1-0.928)*VERI_TABANI!$B$9, 0) + (VERI_TABANI!D27*B425*(VERI_TABANI!$B$13-VERI_TABANI!$B$14)*VERI_TABANI!G27) + (VERI_TABANI!D27*C425*(VERI_TABANI!$B$13-VERI_TABANI!$B$15)*VERI_TABANI!G27) + IF(ABS(IF(ISNUMBER(SEARCH("Var", D425)), 1, IF(ISNUMBER(SEARCH("Gri", D425)), -1, 0)))=1, VERI_TABANI!E27*(1-0.928)*0.00206091519919798*VERI_TABANI!G27, 0)) + ((MIN(VERI_TABANI!D28, VERI_TABANI!D28*B425)*VERI_TABANI!$B$7 + MAX(0, VERI_TABANI!D28*B425-VERI_TABANI!D28)*VERI_TABANI!$B$8) + (MIN(MAX(0, VERI_TABANI!D28-VERI_TABANI!D28*B425), VERI_TABANI!D28*C425)*VERI_TABANI!$B$7 + MAX(0, VERI_TABANI!D28*C425-MAX(0, VERI_TABANI!D28-VERI_TABANI!D28*B425))*VERI_TABANI!$B$8) + IF(ABS(IF(ISNUMBER(SEARCH("Var", D425)), 1, IF(ISNUMBER(SEARCH("Gri", D425)), -1, 0)))=1, VERI_TABANI!E28*(1-0.928)*VERI_TABANI!$B$9, 0) + (VERI_TABANI!D28*B425*(VERI_TABANI!$B$13-VERI_TABANI!$B$14)*VERI_TABANI!G28) + (VERI_TABANI!D28*C425*(VERI_TABANI!$B$13-VERI_TABANI!$B$15)*VERI_TABANI!G28) + IF(ABS(IF(ISNUMBER(SEARCH("Var", D425)), 1, IF(ISNUMBER(SEARCH("Gri", D425)), -1, 0)))=1, VERI_TABANI!E28*(1-0.928)*0.00206091519919798*VERI_TABANI!G28, 0)))</f>
        <v/>
      </c>
      <c r="H425" s="169">
        <f>(((VERI_TABANI!D23*B425*(VERI_TABANI!$B$13-VERI_TABANI!$B$14)) + (VERI_TABANI!D23*C425*(VERI_TABANI!$B$13-VERI_TABANI!$B$15)) + IF(ISNUMBER(SEARCH("Var", D425)), VERI_TABANI!F23*(0.00202-VERI_TABANI!$B$16), IF(ISNUMBER(SEARCH("Gri", D425)), VERI_TABANI!F23*(0.00202-VERI_TABANI!$B$17), 0))) + ((VERI_TABANI!D24*B425*(VERI_TABANI!$B$13-VERI_TABANI!$B$14)) + (VERI_TABANI!D24*C425*(VERI_TABANI!$B$13-VERI_TABANI!$B$15)) + IF(ISNUMBER(SEARCH("Var", D425)), VERI_TABANI!F24*(0.00202-VERI_TABANI!$B$16), IF(ISNUMBER(SEARCH("Gri", D425)), VERI_TABANI!F24*(0.00202-VERI_TABANI!$B$17), 0))) + ((VERI_TABANI!D25*B425*(VERI_TABANI!$B$13-VERI_TABANI!$B$14)) + (VERI_TABANI!D25*C425*(VERI_TABANI!$B$13-VERI_TABANI!$B$15)) + IF(ISNUMBER(SEARCH("Var", D425)), VERI_TABANI!F25*(0.00202-VERI_TABANI!$B$16), IF(ISNUMBER(SEARCH("Gri", D425)), VERI_TABANI!F25*(0.00202-VERI_TABANI!$B$17), 0))) + ((VERI_TABANI!D26*B425*(VERI_TABANI!$B$13-VERI_TABANI!$B$14)) + (VERI_TABANI!D26*C425*(VERI_TABANI!$B$13-VERI_TABANI!$B$15)) + IF(ISNUMBER(SEARCH("Var", D425)), VERI_TABANI!F26*(0.00202-VERI_TABANI!$B$16), IF(ISNUMBER(SEARCH("Gri", D425)), VERI_TABANI!F26*(0.00202-VERI_TABANI!$B$17), 0))) + ((VERI_TABANI!D27*B425*(VERI_TABANI!$B$13-VERI_TABANI!$B$14)) + (VERI_TABANI!D27*C425*(VERI_TABANI!$B$13-VERI_TABANI!$B$15)) + IF(ISNUMBER(SEARCH("Var", D425)), VERI_TABANI!F27*(0.00202-VERI_TABANI!$B$16), IF(ISNUMBER(SEARCH("Gri", D425)), VERI_TABANI!F27*(0.00202-VERI_TABANI!$B$17), 0))) + ((VERI_TABANI!D28*B425*(VERI_TABANI!$B$13-VERI_TABANI!$B$14)) + (VERI_TABANI!D28*C425*(VERI_TABANI!$B$13-VERI_TABANI!$B$15)) + IF(ISNUMBER(SEARCH("Var", D425)), VERI_TABANI!F28*(0.00202-VERI_TABANI!$B$16), IF(ISNUMBER(SEARCH("Gri", D425)), VERI_TABANI!F28*(0.00202-VERI_TABANI!$B$17), 0))))</f>
        <v/>
      </c>
      <c r="I425" s="170">
        <f>IFERROR(((VERI_TABANI!$D$29*B425*VERI_TABANI!$B$14 + VERI_TABANI!$D$29*C425*VERI_TABANI!$B$15 + IF(ISNUMBER(SEARCH("Var", D425)), VERI_TABANI!$F$29*VERI_TABANI!$B$16, 0))) / (((VERI_TABANI!$D$29*B425 + VERI_TABANI!$D$29*C425)*VERI_TABANI!$B$13 + IF(ISNUMBER(SEARCH("Var", D425)), VERI_TABANI!$E$29*(1-0.928)*VERI_TABANI!$B$18, 0))), 0)</f>
        <v/>
      </c>
      <c r="J425" s="171">
        <f>IFERROR(F425/(G425/29), 0)</f>
        <v/>
      </c>
      <c r="K425" s="172">
        <f>IF(F425&gt;0, H425/F425, 0)</f>
        <v/>
      </c>
      <c r="L425" s="170">
        <f>IF(F425&gt;0, I425, 1000000000)</f>
        <v/>
      </c>
      <c r="M425" s="171">
        <f>ABS((B425+C425)-1)</f>
        <v/>
      </c>
      <c r="N425" s="170">
        <f>IF(F425&gt;0, (G425/29)/F425, 0)</f>
        <v/>
      </c>
      <c r="O425" s="168">
        <f>IF(AND((B425+C425)&gt;=1, ISNUMBER(SEARCH("Var", D425))), F425, 1000000000)</f>
        <v/>
      </c>
      <c r="P425" s="172">
        <f>IF(F425&gt;0, SQRT((F425/MAX(F$5:F$886))^2 + (1 - H425/MAX(H$5:H$886))^2 + (J425/MAX(J$5:J$886))^2), 1000000000)</f>
        <v/>
      </c>
      <c r="Q425" s="166">
        <f>IF(AND(ABS(B425-0.5)&lt;0.01, ABS(C425-0.5)&lt;0.01, ISNUMBER(SEARCH("Var", D425))), 1, 0)</f>
        <v/>
      </c>
      <c r="R425" s="171">
        <f>IF(F425&gt;0, J425, 1000000000)</f>
        <v/>
      </c>
      <c r="S425" s="101">
        <f>IF(AND(F425&lt;=DASHBOARD!$B$11, H425&gt;=DASHBOARD!$B$13), G425, -1000000000000)</f>
        <v/>
      </c>
      <c r="T425" s="101">
        <f>IF(AND(F425&lt;=DASHBOARD!$B$11, H425&gt;=DASHBOARD!$B$13), R425, 1000000000000)</f>
        <v/>
      </c>
      <c r="U425" s="101">
        <f>IF(AND(F425&lt;=DASHBOARD!$B$11, H425&gt;=DASHBOARD!$B$13), N425, -1000000000000)</f>
        <v/>
      </c>
      <c r="V425" s="101">
        <f>IF(AND(F425&lt;=DASHBOARD!$B$11, H425&gt;=DASHBOARD!$B$13), H425, -1000000000000)</f>
        <v/>
      </c>
      <c r="W425" s="101">
        <f>IF(AND(F425&lt;=DASHBOARD!$B$11, H425&gt;=DASHBOARD!$B$13), K425, -1000000000000)</f>
        <v/>
      </c>
      <c r="X425" s="101">
        <f>IF(AND(F425&lt;=DASHBOARD!$B$11, H425&gt;=DASHBOARD!$B$13), M425, 1000000000000)</f>
        <v/>
      </c>
      <c r="Y425" s="101">
        <f>IF(AND(F425&lt;=DASHBOARD!$B$10, H425&gt;=DASHBOARD!$B$11), L425, 1000000000000)</f>
        <v/>
      </c>
      <c r="Z425" s="101">
        <f>IF(AND(F425&lt;=DASHBOARD!$B$10, H425&gt;=DASHBOARD!$B$11), O425, 1000000000000)</f>
        <v/>
      </c>
      <c r="AA425" s="101">
        <f>IF(AND(F425&lt;=DASHBOARD!$B$10, H425&gt;=DASHBOARD!$B$11), P425, 1000000000000)</f>
        <v/>
      </c>
      <c r="AB425" s="101">
        <f>IF(AND(F425&lt;=DASHBOARD!$B$10, H425&gt;=DASHBOARD!$B$11), Q425, -1000000000000)</f>
        <v/>
      </c>
    </row>
    <row r="426" ht="15" customHeight="1" s="102">
      <c r="A426" s="166" t="n">
        <v>422</v>
      </c>
      <c r="B426" s="167" t="n">
        <v>1</v>
      </c>
      <c r="C426" s="167" t="n">
        <v>0</v>
      </c>
      <c r="D426" s="110" t="inlineStr">
        <is>
          <t>Var (%20)</t>
        </is>
      </c>
      <c r="E426" s="110">
        <f>IF((B426+C426)&lt;=1, "Tam Mahsuplaşma (≤%100)", "Kısmi Satış (&gt;%100)")</f>
        <v/>
      </c>
      <c r="F426" s="168">
        <f>((VERI_TABANI!$D$29*B426/VERI_TABANI!$B$29)/VERI_TABANI!$B$3)*VERI_TABANI!$B$5 + ((VERI_TABANI!$D$29*C426/VERI_TABANI!$B$29)/VERI_TABANI!$B$4)*VERI_TABANI!$B$6 + IF(ISNUMBER(SEARCH("Var", D426)), (VERI_TABANI!$F$29/VERI_TABANI!$B$29)*(VERI_TABANI!$B$10+VERI_TABANI!$B$12), 0)</f>
        <v/>
      </c>
      <c r="G426" s="168">
        <f>(((MIN(VERI_TABANI!D23, VERI_TABANI!D23*B426)*VERI_TABANI!$B$7 + MAX(0, VERI_TABANI!D23*B426-VERI_TABANI!D23)*VERI_TABANI!$B$8) + (MIN(MAX(0, VERI_TABANI!D23-VERI_TABANI!D23*B426), VERI_TABANI!D23*C426)*VERI_TABANI!$B$7 + MAX(0, VERI_TABANI!D23*C426-MAX(0, VERI_TABANI!D23-VERI_TABANI!D23*B426))*VERI_TABANI!$B$8) + IF(ABS(IF(ISNUMBER(SEARCH("Var", D426)), 1, IF(ISNUMBER(SEARCH("Gri", D426)), -1, 0)))=1, VERI_TABANI!E23*(1-0.928)*VERI_TABANI!$B$9, 0) + (VERI_TABANI!D23*B426*(VERI_TABANI!$B$13-VERI_TABANI!$B$14)*VERI_TABANI!G23) + (VERI_TABANI!D23*C426*(VERI_TABANI!$B$13-VERI_TABANI!$B$15)*VERI_TABANI!G23) + IF(ABS(IF(ISNUMBER(SEARCH("Var", D426)), 1, IF(ISNUMBER(SEARCH("Gri", D426)), -1, 0)))=1, VERI_TABANI!E23*(1-0.928)*0.00206091519919798*VERI_TABANI!G23, 0)) + ((MIN(VERI_TABANI!D24, VERI_TABANI!D24*B426)*VERI_TABANI!$B$7 + MAX(0, VERI_TABANI!D24*B426-VERI_TABANI!D24)*VERI_TABANI!$B$8) + (MIN(MAX(0, VERI_TABANI!D24-VERI_TABANI!D24*B426), VERI_TABANI!D24*C426)*VERI_TABANI!$B$7 + MAX(0, VERI_TABANI!D24*C426-MAX(0, VERI_TABANI!D24-VERI_TABANI!D24*B426))*VERI_TABANI!$B$8) + IF(ABS(IF(ISNUMBER(SEARCH("Var", D426)), 1, IF(ISNUMBER(SEARCH("Gri", D426)), -1, 0)))=1, VERI_TABANI!E24*(1-0.928)*VERI_TABANI!$B$9, 0) + (VERI_TABANI!D24*B426*(VERI_TABANI!$B$13-VERI_TABANI!$B$14)*VERI_TABANI!G24) + (VERI_TABANI!D24*C426*(VERI_TABANI!$B$13-VERI_TABANI!$B$15)*VERI_TABANI!G24) + IF(ABS(IF(ISNUMBER(SEARCH("Var", D426)), 1, IF(ISNUMBER(SEARCH("Gri", D426)), -1, 0)))=1, VERI_TABANI!E24*(1-0.928)*0.00206091519919798*VERI_TABANI!G24, 0)) + ((MIN(VERI_TABANI!D25, VERI_TABANI!D25*B426)*VERI_TABANI!$B$7 + MAX(0, VERI_TABANI!D25*B426-VERI_TABANI!D25)*VERI_TABANI!$B$8) + (MIN(MAX(0, VERI_TABANI!D25-VERI_TABANI!D25*B426), VERI_TABANI!D25*C426)*VERI_TABANI!$B$7 + MAX(0, VERI_TABANI!D25*C426-MAX(0, VERI_TABANI!D25-VERI_TABANI!D25*B426))*VERI_TABANI!$B$8) + IF(ABS(IF(ISNUMBER(SEARCH("Var", D426)), 1, IF(ISNUMBER(SEARCH("Gri", D426)), -1, 0)))=1, VERI_TABANI!E25*(1-0.928)*VERI_TABANI!$B$9, 0) + (VERI_TABANI!D25*B426*(VERI_TABANI!$B$13-VERI_TABANI!$B$14)*VERI_TABANI!G25) + (VERI_TABANI!D25*C426*(VERI_TABANI!$B$13-VERI_TABANI!$B$15)*VERI_TABANI!G25) + IF(ABS(IF(ISNUMBER(SEARCH("Var", D426)), 1, IF(ISNUMBER(SEARCH("Gri", D426)), -1, 0)))=1, VERI_TABANI!E25*(1-0.928)*0.00206091519919798*VERI_TABANI!G25, 0)) + ((MIN(VERI_TABANI!D26, VERI_TABANI!D26*B426)*VERI_TABANI!$B$7 + MAX(0, VERI_TABANI!D26*B426-VERI_TABANI!D26)*VERI_TABANI!$B$8) + (MIN(MAX(0, VERI_TABANI!D26-VERI_TABANI!D26*B426), VERI_TABANI!D26*C426)*VERI_TABANI!$B$7 + MAX(0, VERI_TABANI!D26*C426-MAX(0, VERI_TABANI!D26-VERI_TABANI!D26*B426))*VERI_TABANI!$B$8) + IF(ABS(IF(ISNUMBER(SEARCH("Var", D426)), 1, IF(ISNUMBER(SEARCH("Gri", D426)), -1, 0)))=1, VERI_TABANI!E26*(1-0.928)*VERI_TABANI!$B$9, 0) + (VERI_TABANI!D26*B426*(VERI_TABANI!$B$13-VERI_TABANI!$B$14)*VERI_TABANI!G26) + (VERI_TABANI!D26*C426*(VERI_TABANI!$B$13-VERI_TABANI!$B$15)*VERI_TABANI!G26) + IF(ABS(IF(ISNUMBER(SEARCH("Var", D426)), 1, IF(ISNUMBER(SEARCH("Gri", D426)), -1, 0)))=1, VERI_TABANI!E26*(1-0.928)*0.00206091519919798*VERI_TABANI!G26, 0)) + ((MIN(VERI_TABANI!D27, VERI_TABANI!D27*B426)*VERI_TABANI!$B$7 + MAX(0, VERI_TABANI!D27*B426-VERI_TABANI!D27)*VERI_TABANI!$B$8) + (MIN(MAX(0, VERI_TABANI!D27-VERI_TABANI!D27*B426), VERI_TABANI!D27*C426)*VERI_TABANI!$B$7 + MAX(0, VERI_TABANI!D27*C426-MAX(0, VERI_TABANI!D27-VERI_TABANI!D27*B426))*VERI_TABANI!$B$8) + IF(ABS(IF(ISNUMBER(SEARCH("Var", D426)), 1, IF(ISNUMBER(SEARCH("Gri", D426)), -1, 0)))=1, VERI_TABANI!E27*(1-0.928)*VERI_TABANI!$B$9, 0) + (VERI_TABANI!D27*B426*(VERI_TABANI!$B$13-VERI_TABANI!$B$14)*VERI_TABANI!G27) + (VERI_TABANI!D27*C426*(VERI_TABANI!$B$13-VERI_TABANI!$B$15)*VERI_TABANI!G27) + IF(ABS(IF(ISNUMBER(SEARCH("Var", D426)), 1, IF(ISNUMBER(SEARCH("Gri", D426)), -1, 0)))=1, VERI_TABANI!E27*(1-0.928)*0.00206091519919798*VERI_TABANI!G27, 0)) + ((MIN(VERI_TABANI!D28, VERI_TABANI!D28*B426)*VERI_TABANI!$B$7 + MAX(0, VERI_TABANI!D28*B426-VERI_TABANI!D28)*VERI_TABANI!$B$8) + (MIN(MAX(0, VERI_TABANI!D28-VERI_TABANI!D28*B426), VERI_TABANI!D28*C426)*VERI_TABANI!$B$7 + MAX(0, VERI_TABANI!D28*C426-MAX(0, VERI_TABANI!D28-VERI_TABANI!D28*B426))*VERI_TABANI!$B$8) + IF(ABS(IF(ISNUMBER(SEARCH("Var", D426)), 1, IF(ISNUMBER(SEARCH("Gri", D426)), -1, 0)))=1, VERI_TABANI!E28*(1-0.928)*VERI_TABANI!$B$9, 0) + (VERI_TABANI!D28*B426*(VERI_TABANI!$B$13-VERI_TABANI!$B$14)*VERI_TABANI!G28) + (VERI_TABANI!D28*C426*(VERI_TABANI!$B$13-VERI_TABANI!$B$15)*VERI_TABANI!G28) + IF(ABS(IF(ISNUMBER(SEARCH("Var", D426)), 1, IF(ISNUMBER(SEARCH("Gri", D426)), -1, 0)))=1, VERI_TABANI!E28*(1-0.928)*0.00206091519919798*VERI_TABANI!G28, 0)))</f>
        <v/>
      </c>
      <c r="H426" s="169">
        <f>(((VERI_TABANI!D23*B426*(VERI_TABANI!$B$13-VERI_TABANI!$B$14)) + (VERI_TABANI!D23*C426*(VERI_TABANI!$B$13-VERI_TABANI!$B$15)) + IF(ISNUMBER(SEARCH("Var", D426)), VERI_TABANI!F23*(0.00202-VERI_TABANI!$B$16), IF(ISNUMBER(SEARCH("Gri", D426)), VERI_TABANI!F23*(0.00202-VERI_TABANI!$B$17), 0))) + ((VERI_TABANI!D24*B426*(VERI_TABANI!$B$13-VERI_TABANI!$B$14)) + (VERI_TABANI!D24*C426*(VERI_TABANI!$B$13-VERI_TABANI!$B$15)) + IF(ISNUMBER(SEARCH("Var", D426)), VERI_TABANI!F24*(0.00202-VERI_TABANI!$B$16), IF(ISNUMBER(SEARCH("Gri", D426)), VERI_TABANI!F24*(0.00202-VERI_TABANI!$B$17), 0))) + ((VERI_TABANI!D25*B426*(VERI_TABANI!$B$13-VERI_TABANI!$B$14)) + (VERI_TABANI!D25*C426*(VERI_TABANI!$B$13-VERI_TABANI!$B$15)) + IF(ISNUMBER(SEARCH("Var", D426)), VERI_TABANI!F25*(0.00202-VERI_TABANI!$B$16), IF(ISNUMBER(SEARCH("Gri", D426)), VERI_TABANI!F25*(0.00202-VERI_TABANI!$B$17), 0))) + ((VERI_TABANI!D26*B426*(VERI_TABANI!$B$13-VERI_TABANI!$B$14)) + (VERI_TABANI!D26*C426*(VERI_TABANI!$B$13-VERI_TABANI!$B$15)) + IF(ISNUMBER(SEARCH("Var", D426)), VERI_TABANI!F26*(0.00202-VERI_TABANI!$B$16), IF(ISNUMBER(SEARCH("Gri", D426)), VERI_TABANI!F26*(0.00202-VERI_TABANI!$B$17), 0))) + ((VERI_TABANI!D27*B426*(VERI_TABANI!$B$13-VERI_TABANI!$B$14)) + (VERI_TABANI!D27*C426*(VERI_TABANI!$B$13-VERI_TABANI!$B$15)) + IF(ISNUMBER(SEARCH("Var", D426)), VERI_TABANI!F27*(0.00202-VERI_TABANI!$B$16), IF(ISNUMBER(SEARCH("Gri", D426)), VERI_TABANI!F27*(0.00202-VERI_TABANI!$B$17), 0))) + ((VERI_TABANI!D28*B426*(VERI_TABANI!$B$13-VERI_TABANI!$B$14)) + (VERI_TABANI!D28*C426*(VERI_TABANI!$B$13-VERI_TABANI!$B$15)) + IF(ISNUMBER(SEARCH("Var", D426)), VERI_TABANI!F28*(0.00202-VERI_TABANI!$B$16), IF(ISNUMBER(SEARCH("Gri", D426)), VERI_TABANI!F28*(0.00202-VERI_TABANI!$B$17), 0))))</f>
        <v/>
      </c>
      <c r="I426" s="170">
        <f>IFERROR(((VERI_TABANI!$D$29*B426*VERI_TABANI!$B$14 + VERI_TABANI!$D$29*C426*VERI_TABANI!$B$15 + IF(ISNUMBER(SEARCH("Var", D426)), VERI_TABANI!$F$29*VERI_TABANI!$B$16, 0))) / (((VERI_TABANI!$D$29*B426 + VERI_TABANI!$D$29*C426)*VERI_TABANI!$B$13 + IF(ISNUMBER(SEARCH("Var", D426)), VERI_TABANI!$E$29*(1-0.928)*VERI_TABANI!$B$18, 0))), 0)</f>
        <v/>
      </c>
      <c r="J426" s="171">
        <f>IFERROR(F426/(G426/29), 0)</f>
        <v/>
      </c>
      <c r="K426" s="172">
        <f>IF(F426&gt;0, H426/F426, 0)</f>
        <v/>
      </c>
      <c r="L426" s="170">
        <f>IF(F426&gt;0, I426, 1000000000)</f>
        <v/>
      </c>
      <c r="M426" s="171">
        <f>ABS((B426+C426)-1)</f>
        <v/>
      </c>
      <c r="N426" s="170">
        <f>IF(F426&gt;0, (G426/29)/F426, 0)</f>
        <v/>
      </c>
      <c r="O426" s="168">
        <f>IF(AND((B426+C426)&gt;=1, ISNUMBER(SEARCH("Var", D426))), F426, 1000000000)</f>
        <v/>
      </c>
      <c r="P426" s="172">
        <f>IF(F426&gt;0, SQRT((F426/MAX(F$5:F$886))^2 + (1 - H426/MAX(H$5:H$886))^2 + (J426/MAX(J$5:J$886))^2), 1000000000)</f>
        <v/>
      </c>
      <c r="Q426" s="166">
        <f>IF(AND(ABS(B426-0.5)&lt;0.01, ABS(C426-0.5)&lt;0.01, ISNUMBER(SEARCH("Var", D426))), 1, 0)</f>
        <v/>
      </c>
      <c r="R426" s="171">
        <f>IF(F426&gt;0, J426, 1000000000)</f>
        <v/>
      </c>
      <c r="S426" s="101">
        <f>IF(AND(F426&lt;=DASHBOARD!$B$11, H426&gt;=DASHBOARD!$B$13), G426, -1000000000000)</f>
        <v/>
      </c>
      <c r="T426" s="101">
        <f>IF(AND(F426&lt;=DASHBOARD!$B$11, H426&gt;=DASHBOARD!$B$13), R426, 1000000000000)</f>
        <v/>
      </c>
      <c r="U426" s="101">
        <f>IF(AND(F426&lt;=DASHBOARD!$B$11, H426&gt;=DASHBOARD!$B$13), N426, -1000000000000)</f>
        <v/>
      </c>
      <c r="V426" s="101">
        <f>IF(AND(F426&lt;=DASHBOARD!$B$11, H426&gt;=DASHBOARD!$B$13), H426, -1000000000000)</f>
        <v/>
      </c>
      <c r="W426" s="101">
        <f>IF(AND(F426&lt;=DASHBOARD!$B$11, H426&gt;=DASHBOARD!$B$13), K426, -1000000000000)</f>
        <v/>
      </c>
      <c r="X426" s="101">
        <f>IF(AND(F426&lt;=DASHBOARD!$B$11, H426&gt;=DASHBOARD!$B$13), M426, 1000000000000)</f>
        <v/>
      </c>
      <c r="Y426" s="101">
        <f>IF(AND(F426&lt;=DASHBOARD!$B$10, H426&gt;=DASHBOARD!$B$11), L426, 1000000000000)</f>
        <v/>
      </c>
      <c r="Z426" s="101">
        <f>IF(AND(F426&lt;=DASHBOARD!$B$10, H426&gt;=DASHBOARD!$B$11), O426, 1000000000000)</f>
        <v/>
      </c>
      <c r="AA426" s="101">
        <f>IF(AND(F426&lt;=DASHBOARD!$B$10, H426&gt;=DASHBOARD!$B$11), P426, 1000000000000)</f>
        <v/>
      </c>
      <c r="AB426" s="101">
        <f>IF(AND(F426&lt;=DASHBOARD!$B$10, H426&gt;=DASHBOARD!$B$11), Q426, -1000000000000)</f>
        <v/>
      </c>
    </row>
    <row r="427" ht="15" customHeight="1" s="102">
      <c r="A427" s="166" t="n">
        <v>423</v>
      </c>
      <c r="B427" s="167" t="n">
        <v>1</v>
      </c>
      <c r="C427" s="167" t="n">
        <v>0.1</v>
      </c>
      <c r="D427" s="110" t="inlineStr">
        <is>
          <t>Yok (%0)</t>
        </is>
      </c>
      <c r="E427" s="110">
        <f>IF((B427+C427)&lt;=1, "Tam Mahsuplaşma (≤%100)", "Kısmi Satış (&gt;%100)")</f>
        <v/>
      </c>
      <c r="F427" s="168">
        <f>((VERI_TABANI!$D$29*B427/VERI_TABANI!$B$29)/VERI_TABANI!$B$3)*VERI_TABANI!$B$5 + ((VERI_TABANI!$D$29*C427/VERI_TABANI!$B$29)/VERI_TABANI!$B$4)*VERI_TABANI!$B$6 + IF(ISNUMBER(SEARCH("Var", D427)), (VERI_TABANI!$F$29/VERI_TABANI!$B$29)*(VERI_TABANI!$B$10+VERI_TABANI!$B$12), 0)</f>
        <v/>
      </c>
      <c r="G427" s="168">
        <f>(((MIN(VERI_TABANI!D23, VERI_TABANI!D23*B427)*VERI_TABANI!$B$7 + MAX(0, VERI_TABANI!D23*B427-VERI_TABANI!D23)*VERI_TABANI!$B$8) + (MIN(MAX(0, VERI_TABANI!D23-VERI_TABANI!D23*B427), VERI_TABANI!D23*C427)*VERI_TABANI!$B$7 + MAX(0, VERI_TABANI!D23*C427-MAX(0, VERI_TABANI!D23-VERI_TABANI!D23*B427))*VERI_TABANI!$B$8) + IF(ABS(IF(ISNUMBER(SEARCH("Var", D427)), 1, IF(ISNUMBER(SEARCH("Gri", D427)), -1, 0)))=1, VERI_TABANI!E23*(1-0.928)*VERI_TABANI!$B$9, 0) + (VERI_TABANI!D23*B427*(VERI_TABANI!$B$13-VERI_TABANI!$B$14)*VERI_TABANI!G23) + (VERI_TABANI!D23*C427*(VERI_TABANI!$B$13-VERI_TABANI!$B$15)*VERI_TABANI!G23) + IF(ABS(IF(ISNUMBER(SEARCH("Var", D427)), 1, IF(ISNUMBER(SEARCH("Gri", D427)), -1, 0)))=1, VERI_TABANI!E23*(1-0.928)*0.00206091519919798*VERI_TABANI!G23, 0)) + ((MIN(VERI_TABANI!D24, VERI_TABANI!D24*B427)*VERI_TABANI!$B$7 + MAX(0, VERI_TABANI!D24*B427-VERI_TABANI!D24)*VERI_TABANI!$B$8) + (MIN(MAX(0, VERI_TABANI!D24-VERI_TABANI!D24*B427), VERI_TABANI!D24*C427)*VERI_TABANI!$B$7 + MAX(0, VERI_TABANI!D24*C427-MAX(0, VERI_TABANI!D24-VERI_TABANI!D24*B427))*VERI_TABANI!$B$8) + IF(ABS(IF(ISNUMBER(SEARCH("Var", D427)), 1, IF(ISNUMBER(SEARCH("Gri", D427)), -1, 0)))=1, VERI_TABANI!E24*(1-0.928)*VERI_TABANI!$B$9, 0) + (VERI_TABANI!D24*B427*(VERI_TABANI!$B$13-VERI_TABANI!$B$14)*VERI_TABANI!G24) + (VERI_TABANI!D24*C427*(VERI_TABANI!$B$13-VERI_TABANI!$B$15)*VERI_TABANI!G24) + IF(ABS(IF(ISNUMBER(SEARCH("Var", D427)), 1, IF(ISNUMBER(SEARCH("Gri", D427)), -1, 0)))=1, VERI_TABANI!E24*(1-0.928)*0.00206091519919798*VERI_TABANI!G24, 0)) + ((MIN(VERI_TABANI!D25, VERI_TABANI!D25*B427)*VERI_TABANI!$B$7 + MAX(0, VERI_TABANI!D25*B427-VERI_TABANI!D25)*VERI_TABANI!$B$8) + (MIN(MAX(0, VERI_TABANI!D25-VERI_TABANI!D25*B427), VERI_TABANI!D25*C427)*VERI_TABANI!$B$7 + MAX(0, VERI_TABANI!D25*C427-MAX(0, VERI_TABANI!D25-VERI_TABANI!D25*B427))*VERI_TABANI!$B$8) + IF(ABS(IF(ISNUMBER(SEARCH("Var", D427)), 1, IF(ISNUMBER(SEARCH("Gri", D427)), -1, 0)))=1, VERI_TABANI!E25*(1-0.928)*VERI_TABANI!$B$9, 0) + (VERI_TABANI!D25*B427*(VERI_TABANI!$B$13-VERI_TABANI!$B$14)*VERI_TABANI!G25) + (VERI_TABANI!D25*C427*(VERI_TABANI!$B$13-VERI_TABANI!$B$15)*VERI_TABANI!G25) + IF(ABS(IF(ISNUMBER(SEARCH("Var", D427)), 1, IF(ISNUMBER(SEARCH("Gri", D427)), -1, 0)))=1, VERI_TABANI!E25*(1-0.928)*0.00206091519919798*VERI_TABANI!G25, 0)) + ((MIN(VERI_TABANI!D26, VERI_TABANI!D26*B427)*VERI_TABANI!$B$7 + MAX(0, VERI_TABANI!D26*B427-VERI_TABANI!D26)*VERI_TABANI!$B$8) + (MIN(MAX(0, VERI_TABANI!D26-VERI_TABANI!D26*B427), VERI_TABANI!D26*C427)*VERI_TABANI!$B$7 + MAX(0, VERI_TABANI!D26*C427-MAX(0, VERI_TABANI!D26-VERI_TABANI!D26*B427))*VERI_TABANI!$B$8) + IF(ABS(IF(ISNUMBER(SEARCH("Var", D427)), 1, IF(ISNUMBER(SEARCH("Gri", D427)), -1, 0)))=1, VERI_TABANI!E26*(1-0.928)*VERI_TABANI!$B$9, 0) + (VERI_TABANI!D26*B427*(VERI_TABANI!$B$13-VERI_TABANI!$B$14)*VERI_TABANI!G26) + (VERI_TABANI!D26*C427*(VERI_TABANI!$B$13-VERI_TABANI!$B$15)*VERI_TABANI!G26) + IF(ABS(IF(ISNUMBER(SEARCH("Var", D427)), 1, IF(ISNUMBER(SEARCH("Gri", D427)), -1, 0)))=1, VERI_TABANI!E26*(1-0.928)*0.00206091519919798*VERI_TABANI!G26, 0)) + ((MIN(VERI_TABANI!D27, VERI_TABANI!D27*B427)*VERI_TABANI!$B$7 + MAX(0, VERI_TABANI!D27*B427-VERI_TABANI!D27)*VERI_TABANI!$B$8) + (MIN(MAX(0, VERI_TABANI!D27-VERI_TABANI!D27*B427), VERI_TABANI!D27*C427)*VERI_TABANI!$B$7 + MAX(0, VERI_TABANI!D27*C427-MAX(0, VERI_TABANI!D27-VERI_TABANI!D27*B427))*VERI_TABANI!$B$8) + IF(ABS(IF(ISNUMBER(SEARCH("Var", D427)), 1, IF(ISNUMBER(SEARCH("Gri", D427)), -1, 0)))=1, VERI_TABANI!E27*(1-0.928)*VERI_TABANI!$B$9, 0) + (VERI_TABANI!D27*B427*(VERI_TABANI!$B$13-VERI_TABANI!$B$14)*VERI_TABANI!G27) + (VERI_TABANI!D27*C427*(VERI_TABANI!$B$13-VERI_TABANI!$B$15)*VERI_TABANI!G27) + IF(ABS(IF(ISNUMBER(SEARCH("Var", D427)), 1, IF(ISNUMBER(SEARCH("Gri", D427)), -1, 0)))=1, VERI_TABANI!E27*(1-0.928)*0.00206091519919798*VERI_TABANI!G27, 0)) + ((MIN(VERI_TABANI!D28, VERI_TABANI!D28*B427)*VERI_TABANI!$B$7 + MAX(0, VERI_TABANI!D28*B427-VERI_TABANI!D28)*VERI_TABANI!$B$8) + (MIN(MAX(0, VERI_TABANI!D28-VERI_TABANI!D28*B427), VERI_TABANI!D28*C427)*VERI_TABANI!$B$7 + MAX(0, VERI_TABANI!D28*C427-MAX(0, VERI_TABANI!D28-VERI_TABANI!D28*B427))*VERI_TABANI!$B$8) + IF(ABS(IF(ISNUMBER(SEARCH("Var", D427)), 1, IF(ISNUMBER(SEARCH("Gri", D427)), -1, 0)))=1, VERI_TABANI!E28*(1-0.928)*VERI_TABANI!$B$9, 0) + (VERI_TABANI!D28*B427*(VERI_TABANI!$B$13-VERI_TABANI!$B$14)*VERI_TABANI!G28) + (VERI_TABANI!D28*C427*(VERI_TABANI!$B$13-VERI_TABANI!$B$15)*VERI_TABANI!G28) + IF(ABS(IF(ISNUMBER(SEARCH("Var", D427)), 1, IF(ISNUMBER(SEARCH("Gri", D427)), -1, 0)))=1, VERI_TABANI!E28*(1-0.928)*0.00206091519919798*VERI_TABANI!G28, 0)))</f>
        <v/>
      </c>
      <c r="H427" s="169">
        <f>(((VERI_TABANI!D23*B427*(VERI_TABANI!$B$13-VERI_TABANI!$B$14)) + (VERI_TABANI!D23*C427*(VERI_TABANI!$B$13-VERI_TABANI!$B$15)) + IF(ISNUMBER(SEARCH("Var", D427)), VERI_TABANI!F23*(0.00202-VERI_TABANI!$B$16), IF(ISNUMBER(SEARCH("Gri", D427)), VERI_TABANI!F23*(0.00202-VERI_TABANI!$B$17), 0))) + ((VERI_TABANI!D24*B427*(VERI_TABANI!$B$13-VERI_TABANI!$B$14)) + (VERI_TABANI!D24*C427*(VERI_TABANI!$B$13-VERI_TABANI!$B$15)) + IF(ISNUMBER(SEARCH("Var", D427)), VERI_TABANI!F24*(0.00202-VERI_TABANI!$B$16), IF(ISNUMBER(SEARCH("Gri", D427)), VERI_TABANI!F24*(0.00202-VERI_TABANI!$B$17), 0))) + ((VERI_TABANI!D25*B427*(VERI_TABANI!$B$13-VERI_TABANI!$B$14)) + (VERI_TABANI!D25*C427*(VERI_TABANI!$B$13-VERI_TABANI!$B$15)) + IF(ISNUMBER(SEARCH("Var", D427)), VERI_TABANI!F25*(0.00202-VERI_TABANI!$B$16), IF(ISNUMBER(SEARCH("Gri", D427)), VERI_TABANI!F25*(0.00202-VERI_TABANI!$B$17), 0))) + ((VERI_TABANI!D26*B427*(VERI_TABANI!$B$13-VERI_TABANI!$B$14)) + (VERI_TABANI!D26*C427*(VERI_TABANI!$B$13-VERI_TABANI!$B$15)) + IF(ISNUMBER(SEARCH("Var", D427)), VERI_TABANI!F26*(0.00202-VERI_TABANI!$B$16), IF(ISNUMBER(SEARCH("Gri", D427)), VERI_TABANI!F26*(0.00202-VERI_TABANI!$B$17), 0))) + ((VERI_TABANI!D27*B427*(VERI_TABANI!$B$13-VERI_TABANI!$B$14)) + (VERI_TABANI!D27*C427*(VERI_TABANI!$B$13-VERI_TABANI!$B$15)) + IF(ISNUMBER(SEARCH("Var", D427)), VERI_TABANI!F27*(0.00202-VERI_TABANI!$B$16), IF(ISNUMBER(SEARCH("Gri", D427)), VERI_TABANI!F27*(0.00202-VERI_TABANI!$B$17), 0))) + ((VERI_TABANI!D28*B427*(VERI_TABANI!$B$13-VERI_TABANI!$B$14)) + (VERI_TABANI!D28*C427*(VERI_TABANI!$B$13-VERI_TABANI!$B$15)) + IF(ISNUMBER(SEARCH("Var", D427)), VERI_TABANI!F28*(0.00202-VERI_TABANI!$B$16), IF(ISNUMBER(SEARCH("Gri", D427)), VERI_TABANI!F28*(0.00202-VERI_TABANI!$B$17), 0))))</f>
        <v/>
      </c>
      <c r="I427" s="170">
        <f>IFERROR(((VERI_TABANI!$D$29*B427*VERI_TABANI!$B$14 + VERI_TABANI!$D$29*C427*VERI_TABANI!$B$15 + IF(ISNUMBER(SEARCH("Var", D427)), VERI_TABANI!$F$29*VERI_TABANI!$B$16, 0))) / (((VERI_TABANI!$D$29*B427 + VERI_TABANI!$D$29*C427)*VERI_TABANI!$B$13 + IF(ISNUMBER(SEARCH("Var", D427)), VERI_TABANI!$E$29*(1-0.928)*VERI_TABANI!$B$18, 0))), 0)</f>
        <v/>
      </c>
      <c r="J427" s="171">
        <f>IFERROR(F427/(G427/29), 0)</f>
        <v/>
      </c>
      <c r="K427" s="172">
        <f>IF(F427&gt;0, H427/F427, 0)</f>
        <v/>
      </c>
      <c r="L427" s="170">
        <f>IF(F427&gt;0, I427, 1000000000)</f>
        <v/>
      </c>
      <c r="M427" s="171">
        <f>ABS((B427+C427)-1)</f>
        <v/>
      </c>
      <c r="N427" s="170">
        <f>IF(F427&gt;0, (G427/29)/F427, 0)</f>
        <v/>
      </c>
      <c r="O427" s="168">
        <f>IF(AND((B427+C427)&gt;=1, ISNUMBER(SEARCH("Var", D427))), F427, 1000000000)</f>
        <v/>
      </c>
      <c r="P427" s="172">
        <f>IF(F427&gt;0, SQRT((F427/MAX(F$5:F$886))^2 + (1 - H427/MAX(H$5:H$886))^2 + (J427/MAX(J$5:J$886))^2), 1000000000)</f>
        <v/>
      </c>
      <c r="Q427" s="166">
        <f>IF(AND(ABS(B427-0.5)&lt;0.01, ABS(C427-0.5)&lt;0.01, ISNUMBER(SEARCH("Var", D427))), 1, 0)</f>
        <v/>
      </c>
      <c r="R427" s="171">
        <f>IF(F427&gt;0, J427, 1000000000)</f>
        <v/>
      </c>
      <c r="S427" s="101">
        <f>IF(AND(F427&lt;=DASHBOARD!$B$11, H427&gt;=DASHBOARD!$B$13), G427, -1000000000000)</f>
        <v/>
      </c>
      <c r="T427" s="101">
        <f>IF(AND(F427&lt;=DASHBOARD!$B$11, H427&gt;=DASHBOARD!$B$13), R427, 1000000000000)</f>
        <v/>
      </c>
      <c r="U427" s="101">
        <f>IF(AND(F427&lt;=DASHBOARD!$B$11, H427&gt;=DASHBOARD!$B$13), N427, -1000000000000)</f>
        <v/>
      </c>
      <c r="V427" s="101">
        <f>IF(AND(F427&lt;=DASHBOARD!$B$11, H427&gt;=DASHBOARD!$B$13), H427, -1000000000000)</f>
        <v/>
      </c>
      <c r="W427" s="101">
        <f>IF(AND(F427&lt;=DASHBOARD!$B$11, H427&gt;=DASHBOARD!$B$13), K427, -1000000000000)</f>
        <v/>
      </c>
      <c r="X427" s="101">
        <f>IF(AND(F427&lt;=DASHBOARD!$B$11, H427&gt;=DASHBOARD!$B$13), M427, 1000000000000)</f>
        <v/>
      </c>
      <c r="Y427" s="101">
        <f>IF(AND(F427&lt;=DASHBOARD!$B$10, H427&gt;=DASHBOARD!$B$11), L427, 1000000000000)</f>
        <v/>
      </c>
      <c r="Z427" s="101">
        <f>IF(AND(F427&lt;=DASHBOARD!$B$10, H427&gt;=DASHBOARD!$B$11), O427, 1000000000000)</f>
        <v/>
      </c>
      <c r="AA427" s="101">
        <f>IF(AND(F427&lt;=DASHBOARD!$B$10, H427&gt;=DASHBOARD!$B$11), P427, 1000000000000)</f>
        <v/>
      </c>
      <c r="AB427" s="101">
        <f>IF(AND(F427&lt;=DASHBOARD!$B$10, H427&gt;=DASHBOARD!$B$11), Q427, -1000000000000)</f>
        <v/>
      </c>
    </row>
    <row r="428" ht="15" customHeight="1" s="102">
      <c r="A428" s="166" t="n">
        <v>424</v>
      </c>
      <c r="B428" s="167" t="n">
        <v>1</v>
      </c>
      <c r="C428" s="167" t="n">
        <v>0.1</v>
      </c>
      <c r="D428" s="110" t="inlineStr">
        <is>
          <t>Var (%20)</t>
        </is>
      </c>
      <c r="E428" s="110">
        <f>IF((B428+C428)&lt;=1, "Tam Mahsuplaşma (≤%100)", "Kısmi Satış (&gt;%100)")</f>
        <v/>
      </c>
      <c r="F428" s="168">
        <f>((VERI_TABANI!$D$29*B428/VERI_TABANI!$B$29)/VERI_TABANI!$B$3)*VERI_TABANI!$B$5 + ((VERI_TABANI!$D$29*C428/VERI_TABANI!$B$29)/VERI_TABANI!$B$4)*VERI_TABANI!$B$6 + IF(ISNUMBER(SEARCH("Var", D428)), (VERI_TABANI!$F$29/VERI_TABANI!$B$29)*(VERI_TABANI!$B$10+VERI_TABANI!$B$12), 0)</f>
        <v/>
      </c>
      <c r="G428" s="168">
        <f>(((MIN(VERI_TABANI!D23, VERI_TABANI!D23*B428)*VERI_TABANI!$B$7 + MAX(0, VERI_TABANI!D23*B428-VERI_TABANI!D23)*VERI_TABANI!$B$8) + (MIN(MAX(0, VERI_TABANI!D23-VERI_TABANI!D23*B428), VERI_TABANI!D23*C428)*VERI_TABANI!$B$7 + MAX(0, VERI_TABANI!D23*C428-MAX(0, VERI_TABANI!D23-VERI_TABANI!D23*B428))*VERI_TABANI!$B$8) + IF(ABS(IF(ISNUMBER(SEARCH("Var", D428)), 1, IF(ISNUMBER(SEARCH("Gri", D428)), -1, 0)))=1, VERI_TABANI!E23*(1-0.928)*VERI_TABANI!$B$9, 0) + (VERI_TABANI!D23*B428*(VERI_TABANI!$B$13-VERI_TABANI!$B$14)*VERI_TABANI!G23) + (VERI_TABANI!D23*C428*(VERI_TABANI!$B$13-VERI_TABANI!$B$15)*VERI_TABANI!G23) + IF(ABS(IF(ISNUMBER(SEARCH("Var", D428)), 1, IF(ISNUMBER(SEARCH("Gri", D428)), -1, 0)))=1, VERI_TABANI!E23*(1-0.928)*0.00206091519919798*VERI_TABANI!G23, 0)) + ((MIN(VERI_TABANI!D24, VERI_TABANI!D24*B428)*VERI_TABANI!$B$7 + MAX(0, VERI_TABANI!D24*B428-VERI_TABANI!D24)*VERI_TABANI!$B$8) + (MIN(MAX(0, VERI_TABANI!D24-VERI_TABANI!D24*B428), VERI_TABANI!D24*C428)*VERI_TABANI!$B$7 + MAX(0, VERI_TABANI!D24*C428-MAX(0, VERI_TABANI!D24-VERI_TABANI!D24*B428))*VERI_TABANI!$B$8) + IF(ABS(IF(ISNUMBER(SEARCH("Var", D428)), 1, IF(ISNUMBER(SEARCH("Gri", D428)), -1, 0)))=1, VERI_TABANI!E24*(1-0.928)*VERI_TABANI!$B$9, 0) + (VERI_TABANI!D24*B428*(VERI_TABANI!$B$13-VERI_TABANI!$B$14)*VERI_TABANI!G24) + (VERI_TABANI!D24*C428*(VERI_TABANI!$B$13-VERI_TABANI!$B$15)*VERI_TABANI!G24) + IF(ABS(IF(ISNUMBER(SEARCH("Var", D428)), 1, IF(ISNUMBER(SEARCH("Gri", D428)), -1, 0)))=1, VERI_TABANI!E24*(1-0.928)*0.00206091519919798*VERI_TABANI!G24, 0)) + ((MIN(VERI_TABANI!D25, VERI_TABANI!D25*B428)*VERI_TABANI!$B$7 + MAX(0, VERI_TABANI!D25*B428-VERI_TABANI!D25)*VERI_TABANI!$B$8) + (MIN(MAX(0, VERI_TABANI!D25-VERI_TABANI!D25*B428), VERI_TABANI!D25*C428)*VERI_TABANI!$B$7 + MAX(0, VERI_TABANI!D25*C428-MAX(0, VERI_TABANI!D25-VERI_TABANI!D25*B428))*VERI_TABANI!$B$8) + IF(ABS(IF(ISNUMBER(SEARCH("Var", D428)), 1, IF(ISNUMBER(SEARCH("Gri", D428)), -1, 0)))=1, VERI_TABANI!E25*(1-0.928)*VERI_TABANI!$B$9, 0) + (VERI_TABANI!D25*B428*(VERI_TABANI!$B$13-VERI_TABANI!$B$14)*VERI_TABANI!G25) + (VERI_TABANI!D25*C428*(VERI_TABANI!$B$13-VERI_TABANI!$B$15)*VERI_TABANI!G25) + IF(ABS(IF(ISNUMBER(SEARCH("Var", D428)), 1, IF(ISNUMBER(SEARCH("Gri", D428)), -1, 0)))=1, VERI_TABANI!E25*(1-0.928)*0.00206091519919798*VERI_TABANI!G25, 0)) + ((MIN(VERI_TABANI!D26, VERI_TABANI!D26*B428)*VERI_TABANI!$B$7 + MAX(0, VERI_TABANI!D26*B428-VERI_TABANI!D26)*VERI_TABANI!$B$8) + (MIN(MAX(0, VERI_TABANI!D26-VERI_TABANI!D26*B428), VERI_TABANI!D26*C428)*VERI_TABANI!$B$7 + MAX(0, VERI_TABANI!D26*C428-MAX(0, VERI_TABANI!D26-VERI_TABANI!D26*B428))*VERI_TABANI!$B$8) + IF(ABS(IF(ISNUMBER(SEARCH("Var", D428)), 1, IF(ISNUMBER(SEARCH("Gri", D428)), -1, 0)))=1, VERI_TABANI!E26*(1-0.928)*VERI_TABANI!$B$9, 0) + (VERI_TABANI!D26*B428*(VERI_TABANI!$B$13-VERI_TABANI!$B$14)*VERI_TABANI!G26) + (VERI_TABANI!D26*C428*(VERI_TABANI!$B$13-VERI_TABANI!$B$15)*VERI_TABANI!G26) + IF(ABS(IF(ISNUMBER(SEARCH("Var", D428)), 1, IF(ISNUMBER(SEARCH("Gri", D428)), -1, 0)))=1, VERI_TABANI!E26*(1-0.928)*0.00206091519919798*VERI_TABANI!G26, 0)) + ((MIN(VERI_TABANI!D27, VERI_TABANI!D27*B428)*VERI_TABANI!$B$7 + MAX(0, VERI_TABANI!D27*B428-VERI_TABANI!D27)*VERI_TABANI!$B$8) + (MIN(MAX(0, VERI_TABANI!D27-VERI_TABANI!D27*B428), VERI_TABANI!D27*C428)*VERI_TABANI!$B$7 + MAX(0, VERI_TABANI!D27*C428-MAX(0, VERI_TABANI!D27-VERI_TABANI!D27*B428))*VERI_TABANI!$B$8) + IF(ABS(IF(ISNUMBER(SEARCH("Var", D428)), 1, IF(ISNUMBER(SEARCH("Gri", D428)), -1, 0)))=1, VERI_TABANI!E27*(1-0.928)*VERI_TABANI!$B$9, 0) + (VERI_TABANI!D27*B428*(VERI_TABANI!$B$13-VERI_TABANI!$B$14)*VERI_TABANI!G27) + (VERI_TABANI!D27*C428*(VERI_TABANI!$B$13-VERI_TABANI!$B$15)*VERI_TABANI!G27) + IF(ABS(IF(ISNUMBER(SEARCH("Var", D428)), 1, IF(ISNUMBER(SEARCH("Gri", D428)), -1, 0)))=1, VERI_TABANI!E27*(1-0.928)*0.00206091519919798*VERI_TABANI!G27, 0)) + ((MIN(VERI_TABANI!D28, VERI_TABANI!D28*B428)*VERI_TABANI!$B$7 + MAX(0, VERI_TABANI!D28*B428-VERI_TABANI!D28)*VERI_TABANI!$B$8) + (MIN(MAX(0, VERI_TABANI!D28-VERI_TABANI!D28*B428), VERI_TABANI!D28*C428)*VERI_TABANI!$B$7 + MAX(0, VERI_TABANI!D28*C428-MAX(0, VERI_TABANI!D28-VERI_TABANI!D28*B428))*VERI_TABANI!$B$8) + IF(ABS(IF(ISNUMBER(SEARCH("Var", D428)), 1, IF(ISNUMBER(SEARCH("Gri", D428)), -1, 0)))=1, VERI_TABANI!E28*(1-0.928)*VERI_TABANI!$B$9, 0) + (VERI_TABANI!D28*B428*(VERI_TABANI!$B$13-VERI_TABANI!$B$14)*VERI_TABANI!G28) + (VERI_TABANI!D28*C428*(VERI_TABANI!$B$13-VERI_TABANI!$B$15)*VERI_TABANI!G28) + IF(ABS(IF(ISNUMBER(SEARCH("Var", D428)), 1, IF(ISNUMBER(SEARCH("Gri", D428)), -1, 0)))=1, VERI_TABANI!E28*(1-0.928)*0.00206091519919798*VERI_TABANI!G28, 0)))</f>
        <v/>
      </c>
      <c r="H428" s="169">
        <f>(((VERI_TABANI!D23*B428*(VERI_TABANI!$B$13-VERI_TABANI!$B$14)) + (VERI_TABANI!D23*C428*(VERI_TABANI!$B$13-VERI_TABANI!$B$15)) + IF(ISNUMBER(SEARCH("Var", D428)), VERI_TABANI!F23*(0.00202-VERI_TABANI!$B$16), IF(ISNUMBER(SEARCH("Gri", D428)), VERI_TABANI!F23*(0.00202-VERI_TABANI!$B$17), 0))) + ((VERI_TABANI!D24*B428*(VERI_TABANI!$B$13-VERI_TABANI!$B$14)) + (VERI_TABANI!D24*C428*(VERI_TABANI!$B$13-VERI_TABANI!$B$15)) + IF(ISNUMBER(SEARCH("Var", D428)), VERI_TABANI!F24*(0.00202-VERI_TABANI!$B$16), IF(ISNUMBER(SEARCH("Gri", D428)), VERI_TABANI!F24*(0.00202-VERI_TABANI!$B$17), 0))) + ((VERI_TABANI!D25*B428*(VERI_TABANI!$B$13-VERI_TABANI!$B$14)) + (VERI_TABANI!D25*C428*(VERI_TABANI!$B$13-VERI_TABANI!$B$15)) + IF(ISNUMBER(SEARCH("Var", D428)), VERI_TABANI!F25*(0.00202-VERI_TABANI!$B$16), IF(ISNUMBER(SEARCH("Gri", D428)), VERI_TABANI!F25*(0.00202-VERI_TABANI!$B$17), 0))) + ((VERI_TABANI!D26*B428*(VERI_TABANI!$B$13-VERI_TABANI!$B$14)) + (VERI_TABANI!D26*C428*(VERI_TABANI!$B$13-VERI_TABANI!$B$15)) + IF(ISNUMBER(SEARCH("Var", D428)), VERI_TABANI!F26*(0.00202-VERI_TABANI!$B$16), IF(ISNUMBER(SEARCH("Gri", D428)), VERI_TABANI!F26*(0.00202-VERI_TABANI!$B$17), 0))) + ((VERI_TABANI!D27*B428*(VERI_TABANI!$B$13-VERI_TABANI!$B$14)) + (VERI_TABANI!D27*C428*(VERI_TABANI!$B$13-VERI_TABANI!$B$15)) + IF(ISNUMBER(SEARCH("Var", D428)), VERI_TABANI!F27*(0.00202-VERI_TABANI!$B$16), IF(ISNUMBER(SEARCH("Gri", D428)), VERI_TABANI!F27*(0.00202-VERI_TABANI!$B$17), 0))) + ((VERI_TABANI!D28*B428*(VERI_TABANI!$B$13-VERI_TABANI!$B$14)) + (VERI_TABANI!D28*C428*(VERI_TABANI!$B$13-VERI_TABANI!$B$15)) + IF(ISNUMBER(SEARCH("Var", D428)), VERI_TABANI!F28*(0.00202-VERI_TABANI!$B$16), IF(ISNUMBER(SEARCH("Gri", D428)), VERI_TABANI!F28*(0.00202-VERI_TABANI!$B$17), 0))))</f>
        <v/>
      </c>
      <c r="I428" s="170">
        <f>IFERROR(((VERI_TABANI!$D$29*B428*VERI_TABANI!$B$14 + VERI_TABANI!$D$29*C428*VERI_TABANI!$B$15 + IF(ISNUMBER(SEARCH("Var", D428)), VERI_TABANI!$F$29*VERI_TABANI!$B$16, 0))) / (((VERI_TABANI!$D$29*B428 + VERI_TABANI!$D$29*C428)*VERI_TABANI!$B$13 + IF(ISNUMBER(SEARCH("Var", D428)), VERI_TABANI!$E$29*(1-0.928)*VERI_TABANI!$B$18, 0))), 0)</f>
        <v/>
      </c>
      <c r="J428" s="171">
        <f>IFERROR(F428/(G428/29), 0)</f>
        <v/>
      </c>
      <c r="K428" s="172">
        <f>IF(F428&gt;0, H428/F428, 0)</f>
        <v/>
      </c>
      <c r="L428" s="170">
        <f>IF(F428&gt;0, I428, 1000000000)</f>
        <v/>
      </c>
      <c r="M428" s="171">
        <f>ABS((B428+C428)-1)</f>
        <v/>
      </c>
      <c r="N428" s="170">
        <f>IF(F428&gt;0, (G428/29)/F428, 0)</f>
        <v/>
      </c>
      <c r="O428" s="168">
        <f>IF(AND((B428+C428)&gt;=1, ISNUMBER(SEARCH("Var", D428))), F428, 1000000000)</f>
        <v/>
      </c>
      <c r="P428" s="172">
        <f>IF(F428&gt;0, SQRT((F428/MAX(F$5:F$886))^2 + (1 - H428/MAX(H$5:H$886))^2 + (J428/MAX(J$5:J$886))^2), 1000000000)</f>
        <v/>
      </c>
      <c r="Q428" s="166">
        <f>IF(AND(ABS(B428-0.5)&lt;0.01, ABS(C428-0.5)&lt;0.01, ISNUMBER(SEARCH("Var", D428))), 1, 0)</f>
        <v/>
      </c>
      <c r="R428" s="171">
        <f>IF(F428&gt;0, J428, 1000000000)</f>
        <v/>
      </c>
      <c r="S428" s="101">
        <f>IF(AND(F428&lt;=DASHBOARD!$B$11, H428&gt;=DASHBOARD!$B$13), G428, -1000000000000)</f>
        <v/>
      </c>
      <c r="T428" s="101">
        <f>IF(AND(F428&lt;=DASHBOARD!$B$11, H428&gt;=DASHBOARD!$B$13), R428, 1000000000000)</f>
        <v/>
      </c>
      <c r="U428" s="101">
        <f>IF(AND(F428&lt;=DASHBOARD!$B$11, H428&gt;=DASHBOARD!$B$13), N428, -1000000000000)</f>
        <v/>
      </c>
      <c r="V428" s="101">
        <f>IF(AND(F428&lt;=DASHBOARD!$B$11, H428&gt;=DASHBOARD!$B$13), H428, -1000000000000)</f>
        <v/>
      </c>
      <c r="W428" s="101">
        <f>IF(AND(F428&lt;=DASHBOARD!$B$11, H428&gt;=DASHBOARD!$B$13), K428, -1000000000000)</f>
        <v/>
      </c>
      <c r="X428" s="101">
        <f>IF(AND(F428&lt;=DASHBOARD!$B$11, H428&gt;=DASHBOARD!$B$13), M428, 1000000000000)</f>
        <v/>
      </c>
      <c r="Y428" s="101">
        <f>IF(AND(F428&lt;=DASHBOARD!$B$10, H428&gt;=DASHBOARD!$B$11), L428, 1000000000000)</f>
        <v/>
      </c>
      <c r="Z428" s="101">
        <f>IF(AND(F428&lt;=DASHBOARD!$B$10, H428&gt;=DASHBOARD!$B$11), O428, 1000000000000)</f>
        <v/>
      </c>
      <c r="AA428" s="101">
        <f>IF(AND(F428&lt;=DASHBOARD!$B$10, H428&gt;=DASHBOARD!$B$11), P428, 1000000000000)</f>
        <v/>
      </c>
      <c r="AB428" s="101">
        <f>IF(AND(F428&lt;=DASHBOARD!$B$10, H428&gt;=DASHBOARD!$B$11), Q428, -1000000000000)</f>
        <v/>
      </c>
    </row>
    <row r="429" ht="15" customHeight="1" s="102">
      <c r="A429" s="166" t="n">
        <v>425</v>
      </c>
      <c r="B429" s="167" t="n">
        <v>1</v>
      </c>
      <c r="C429" s="167" t="n">
        <v>0.2</v>
      </c>
      <c r="D429" s="110" t="inlineStr">
        <is>
          <t>Yok (%0)</t>
        </is>
      </c>
      <c r="E429" s="110">
        <f>IF((B429+C429)&lt;=1, "Tam Mahsuplaşma (≤%100)", "Kısmi Satış (&gt;%100)")</f>
        <v/>
      </c>
      <c r="F429" s="168">
        <f>((VERI_TABANI!$D$29*B429/VERI_TABANI!$B$29)/VERI_TABANI!$B$3)*VERI_TABANI!$B$5 + ((VERI_TABANI!$D$29*C429/VERI_TABANI!$B$29)/VERI_TABANI!$B$4)*VERI_TABANI!$B$6 + IF(ISNUMBER(SEARCH("Var", D429)), (VERI_TABANI!$F$29/VERI_TABANI!$B$29)*(VERI_TABANI!$B$10+VERI_TABANI!$B$12), 0)</f>
        <v/>
      </c>
      <c r="G429" s="168">
        <f>(((MIN(VERI_TABANI!D23, VERI_TABANI!D23*B429)*VERI_TABANI!$B$7 + MAX(0, VERI_TABANI!D23*B429-VERI_TABANI!D23)*VERI_TABANI!$B$8) + (MIN(MAX(0, VERI_TABANI!D23-VERI_TABANI!D23*B429), VERI_TABANI!D23*C429)*VERI_TABANI!$B$7 + MAX(0, VERI_TABANI!D23*C429-MAX(0, VERI_TABANI!D23-VERI_TABANI!D23*B429))*VERI_TABANI!$B$8) + IF(ABS(IF(ISNUMBER(SEARCH("Var", D429)), 1, IF(ISNUMBER(SEARCH("Gri", D429)), -1, 0)))=1, VERI_TABANI!E23*(1-0.928)*VERI_TABANI!$B$9, 0) + (VERI_TABANI!D23*B429*(VERI_TABANI!$B$13-VERI_TABANI!$B$14)*VERI_TABANI!G23) + (VERI_TABANI!D23*C429*(VERI_TABANI!$B$13-VERI_TABANI!$B$15)*VERI_TABANI!G23) + IF(ABS(IF(ISNUMBER(SEARCH("Var", D429)), 1, IF(ISNUMBER(SEARCH("Gri", D429)), -1, 0)))=1, VERI_TABANI!E23*(1-0.928)*0.00206091519919798*VERI_TABANI!G23, 0)) + ((MIN(VERI_TABANI!D24, VERI_TABANI!D24*B429)*VERI_TABANI!$B$7 + MAX(0, VERI_TABANI!D24*B429-VERI_TABANI!D24)*VERI_TABANI!$B$8) + (MIN(MAX(0, VERI_TABANI!D24-VERI_TABANI!D24*B429), VERI_TABANI!D24*C429)*VERI_TABANI!$B$7 + MAX(0, VERI_TABANI!D24*C429-MAX(0, VERI_TABANI!D24-VERI_TABANI!D24*B429))*VERI_TABANI!$B$8) + IF(ABS(IF(ISNUMBER(SEARCH("Var", D429)), 1, IF(ISNUMBER(SEARCH("Gri", D429)), -1, 0)))=1, VERI_TABANI!E24*(1-0.928)*VERI_TABANI!$B$9, 0) + (VERI_TABANI!D24*B429*(VERI_TABANI!$B$13-VERI_TABANI!$B$14)*VERI_TABANI!G24) + (VERI_TABANI!D24*C429*(VERI_TABANI!$B$13-VERI_TABANI!$B$15)*VERI_TABANI!G24) + IF(ABS(IF(ISNUMBER(SEARCH("Var", D429)), 1, IF(ISNUMBER(SEARCH("Gri", D429)), -1, 0)))=1, VERI_TABANI!E24*(1-0.928)*0.00206091519919798*VERI_TABANI!G24, 0)) + ((MIN(VERI_TABANI!D25, VERI_TABANI!D25*B429)*VERI_TABANI!$B$7 + MAX(0, VERI_TABANI!D25*B429-VERI_TABANI!D25)*VERI_TABANI!$B$8) + (MIN(MAX(0, VERI_TABANI!D25-VERI_TABANI!D25*B429), VERI_TABANI!D25*C429)*VERI_TABANI!$B$7 + MAX(0, VERI_TABANI!D25*C429-MAX(0, VERI_TABANI!D25-VERI_TABANI!D25*B429))*VERI_TABANI!$B$8) + IF(ABS(IF(ISNUMBER(SEARCH("Var", D429)), 1, IF(ISNUMBER(SEARCH("Gri", D429)), -1, 0)))=1, VERI_TABANI!E25*(1-0.928)*VERI_TABANI!$B$9, 0) + (VERI_TABANI!D25*B429*(VERI_TABANI!$B$13-VERI_TABANI!$B$14)*VERI_TABANI!G25) + (VERI_TABANI!D25*C429*(VERI_TABANI!$B$13-VERI_TABANI!$B$15)*VERI_TABANI!G25) + IF(ABS(IF(ISNUMBER(SEARCH("Var", D429)), 1, IF(ISNUMBER(SEARCH("Gri", D429)), -1, 0)))=1, VERI_TABANI!E25*(1-0.928)*0.00206091519919798*VERI_TABANI!G25, 0)) + ((MIN(VERI_TABANI!D26, VERI_TABANI!D26*B429)*VERI_TABANI!$B$7 + MAX(0, VERI_TABANI!D26*B429-VERI_TABANI!D26)*VERI_TABANI!$B$8) + (MIN(MAX(0, VERI_TABANI!D26-VERI_TABANI!D26*B429), VERI_TABANI!D26*C429)*VERI_TABANI!$B$7 + MAX(0, VERI_TABANI!D26*C429-MAX(0, VERI_TABANI!D26-VERI_TABANI!D26*B429))*VERI_TABANI!$B$8) + IF(ABS(IF(ISNUMBER(SEARCH("Var", D429)), 1, IF(ISNUMBER(SEARCH("Gri", D429)), -1, 0)))=1, VERI_TABANI!E26*(1-0.928)*VERI_TABANI!$B$9, 0) + (VERI_TABANI!D26*B429*(VERI_TABANI!$B$13-VERI_TABANI!$B$14)*VERI_TABANI!G26) + (VERI_TABANI!D26*C429*(VERI_TABANI!$B$13-VERI_TABANI!$B$15)*VERI_TABANI!G26) + IF(ABS(IF(ISNUMBER(SEARCH("Var", D429)), 1, IF(ISNUMBER(SEARCH("Gri", D429)), -1, 0)))=1, VERI_TABANI!E26*(1-0.928)*0.00206091519919798*VERI_TABANI!G26, 0)) + ((MIN(VERI_TABANI!D27, VERI_TABANI!D27*B429)*VERI_TABANI!$B$7 + MAX(0, VERI_TABANI!D27*B429-VERI_TABANI!D27)*VERI_TABANI!$B$8) + (MIN(MAX(0, VERI_TABANI!D27-VERI_TABANI!D27*B429), VERI_TABANI!D27*C429)*VERI_TABANI!$B$7 + MAX(0, VERI_TABANI!D27*C429-MAX(0, VERI_TABANI!D27-VERI_TABANI!D27*B429))*VERI_TABANI!$B$8) + IF(ABS(IF(ISNUMBER(SEARCH("Var", D429)), 1, IF(ISNUMBER(SEARCH("Gri", D429)), -1, 0)))=1, VERI_TABANI!E27*(1-0.928)*VERI_TABANI!$B$9, 0) + (VERI_TABANI!D27*B429*(VERI_TABANI!$B$13-VERI_TABANI!$B$14)*VERI_TABANI!G27) + (VERI_TABANI!D27*C429*(VERI_TABANI!$B$13-VERI_TABANI!$B$15)*VERI_TABANI!G27) + IF(ABS(IF(ISNUMBER(SEARCH("Var", D429)), 1, IF(ISNUMBER(SEARCH("Gri", D429)), -1, 0)))=1, VERI_TABANI!E27*(1-0.928)*0.00206091519919798*VERI_TABANI!G27, 0)) + ((MIN(VERI_TABANI!D28, VERI_TABANI!D28*B429)*VERI_TABANI!$B$7 + MAX(0, VERI_TABANI!D28*B429-VERI_TABANI!D28)*VERI_TABANI!$B$8) + (MIN(MAX(0, VERI_TABANI!D28-VERI_TABANI!D28*B429), VERI_TABANI!D28*C429)*VERI_TABANI!$B$7 + MAX(0, VERI_TABANI!D28*C429-MAX(0, VERI_TABANI!D28-VERI_TABANI!D28*B429))*VERI_TABANI!$B$8) + IF(ABS(IF(ISNUMBER(SEARCH("Var", D429)), 1, IF(ISNUMBER(SEARCH("Gri", D429)), -1, 0)))=1, VERI_TABANI!E28*(1-0.928)*VERI_TABANI!$B$9, 0) + (VERI_TABANI!D28*B429*(VERI_TABANI!$B$13-VERI_TABANI!$B$14)*VERI_TABANI!G28) + (VERI_TABANI!D28*C429*(VERI_TABANI!$B$13-VERI_TABANI!$B$15)*VERI_TABANI!G28) + IF(ABS(IF(ISNUMBER(SEARCH("Var", D429)), 1, IF(ISNUMBER(SEARCH("Gri", D429)), -1, 0)))=1, VERI_TABANI!E28*(1-0.928)*0.00206091519919798*VERI_TABANI!G28, 0)))</f>
        <v/>
      </c>
      <c r="H429" s="169">
        <f>(((VERI_TABANI!D23*B429*(VERI_TABANI!$B$13-VERI_TABANI!$B$14)) + (VERI_TABANI!D23*C429*(VERI_TABANI!$B$13-VERI_TABANI!$B$15)) + IF(ISNUMBER(SEARCH("Var", D429)), VERI_TABANI!F23*(0.00202-VERI_TABANI!$B$16), IF(ISNUMBER(SEARCH("Gri", D429)), VERI_TABANI!F23*(0.00202-VERI_TABANI!$B$17), 0))) + ((VERI_TABANI!D24*B429*(VERI_TABANI!$B$13-VERI_TABANI!$B$14)) + (VERI_TABANI!D24*C429*(VERI_TABANI!$B$13-VERI_TABANI!$B$15)) + IF(ISNUMBER(SEARCH("Var", D429)), VERI_TABANI!F24*(0.00202-VERI_TABANI!$B$16), IF(ISNUMBER(SEARCH("Gri", D429)), VERI_TABANI!F24*(0.00202-VERI_TABANI!$B$17), 0))) + ((VERI_TABANI!D25*B429*(VERI_TABANI!$B$13-VERI_TABANI!$B$14)) + (VERI_TABANI!D25*C429*(VERI_TABANI!$B$13-VERI_TABANI!$B$15)) + IF(ISNUMBER(SEARCH("Var", D429)), VERI_TABANI!F25*(0.00202-VERI_TABANI!$B$16), IF(ISNUMBER(SEARCH("Gri", D429)), VERI_TABANI!F25*(0.00202-VERI_TABANI!$B$17), 0))) + ((VERI_TABANI!D26*B429*(VERI_TABANI!$B$13-VERI_TABANI!$B$14)) + (VERI_TABANI!D26*C429*(VERI_TABANI!$B$13-VERI_TABANI!$B$15)) + IF(ISNUMBER(SEARCH("Var", D429)), VERI_TABANI!F26*(0.00202-VERI_TABANI!$B$16), IF(ISNUMBER(SEARCH("Gri", D429)), VERI_TABANI!F26*(0.00202-VERI_TABANI!$B$17), 0))) + ((VERI_TABANI!D27*B429*(VERI_TABANI!$B$13-VERI_TABANI!$B$14)) + (VERI_TABANI!D27*C429*(VERI_TABANI!$B$13-VERI_TABANI!$B$15)) + IF(ISNUMBER(SEARCH("Var", D429)), VERI_TABANI!F27*(0.00202-VERI_TABANI!$B$16), IF(ISNUMBER(SEARCH("Gri", D429)), VERI_TABANI!F27*(0.00202-VERI_TABANI!$B$17), 0))) + ((VERI_TABANI!D28*B429*(VERI_TABANI!$B$13-VERI_TABANI!$B$14)) + (VERI_TABANI!D28*C429*(VERI_TABANI!$B$13-VERI_TABANI!$B$15)) + IF(ISNUMBER(SEARCH("Var", D429)), VERI_TABANI!F28*(0.00202-VERI_TABANI!$B$16), IF(ISNUMBER(SEARCH("Gri", D429)), VERI_TABANI!F28*(0.00202-VERI_TABANI!$B$17), 0))))</f>
        <v/>
      </c>
      <c r="I429" s="170">
        <f>IFERROR(((VERI_TABANI!$D$29*B429*VERI_TABANI!$B$14 + VERI_TABANI!$D$29*C429*VERI_TABANI!$B$15 + IF(ISNUMBER(SEARCH("Var", D429)), VERI_TABANI!$F$29*VERI_TABANI!$B$16, 0))) / (((VERI_TABANI!$D$29*B429 + VERI_TABANI!$D$29*C429)*VERI_TABANI!$B$13 + IF(ISNUMBER(SEARCH("Var", D429)), VERI_TABANI!$E$29*(1-0.928)*VERI_TABANI!$B$18, 0))), 0)</f>
        <v/>
      </c>
      <c r="J429" s="171">
        <f>IFERROR(F429/(G429/29), 0)</f>
        <v/>
      </c>
      <c r="K429" s="172">
        <f>IF(F429&gt;0, H429/F429, 0)</f>
        <v/>
      </c>
      <c r="L429" s="170">
        <f>IF(F429&gt;0, I429, 1000000000)</f>
        <v/>
      </c>
      <c r="M429" s="171">
        <f>ABS((B429+C429)-1)</f>
        <v/>
      </c>
      <c r="N429" s="170">
        <f>IF(F429&gt;0, (G429/29)/F429, 0)</f>
        <v/>
      </c>
      <c r="O429" s="168">
        <f>IF(AND((B429+C429)&gt;=1, ISNUMBER(SEARCH("Var", D429))), F429, 1000000000)</f>
        <v/>
      </c>
      <c r="P429" s="172">
        <f>IF(F429&gt;0, SQRT((F429/MAX(F$5:F$886))^2 + (1 - H429/MAX(H$5:H$886))^2 + (J429/MAX(J$5:J$886))^2), 1000000000)</f>
        <v/>
      </c>
      <c r="Q429" s="166">
        <f>IF(AND(ABS(B429-0.5)&lt;0.01, ABS(C429-0.5)&lt;0.01, ISNUMBER(SEARCH("Var", D429))), 1, 0)</f>
        <v/>
      </c>
      <c r="R429" s="171">
        <f>IF(F429&gt;0, J429, 1000000000)</f>
        <v/>
      </c>
      <c r="S429" s="101">
        <f>IF(AND(F429&lt;=DASHBOARD!$B$11, H429&gt;=DASHBOARD!$B$13), G429, -1000000000000)</f>
        <v/>
      </c>
      <c r="T429" s="101">
        <f>IF(AND(F429&lt;=DASHBOARD!$B$11, H429&gt;=DASHBOARD!$B$13), R429, 1000000000000)</f>
        <v/>
      </c>
      <c r="U429" s="101">
        <f>IF(AND(F429&lt;=DASHBOARD!$B$11, H429&gt;=DASHBOARD!$B$13), N429, -1000000000000)</f>
        <v/>
      </c>
      <c r="V429" s="101">
        <f>IF(AND(F429&lt;=DASHBOARD!$B$11, H429&gt;=DASHBOARD!$B$13), H429, -1000000000000)</f>
        <v/>
      </c>
      <c r="W429" s="101">
        <f>IF(AND(F429&lt;=DASHBOARD!$B$11, H429&gt;=DASHBOARD!$B$13), K429, -1000000000000)</f>
        <v/>
      </c>
      <c r="X429" s="101">
        <f>IF(AND(F429&lt;=DASHBOARD!$B$11, H429&gt;=DASHBOARD!$B$13), M429, 1000000000000)</f>
        <v/>
      </c>
      <c r="Y429" s="101">
        <f>IF(AND(F429&lt;=DASHBOARD!$B$10, H429&gt;=DASHBOARD!$B$11), L429, 1000000000000)</f>
        <v/>
      </c>
      <c r="Z429" s="101">
        <f>IF(AND(F429&lt;=DASHBOARD!$B$10, H429&gt;=DASHBOARD!$B$11), O429, 1000000000000)</f>
        <v/>
      </c>
      <c r="AA429" s="101">
        <f>IF(AND(F429&lt;=DASHBOARD!$B$10, H429&gt;=DASHBOARD!$B$11), P429, 1000000000000)</f>
        <v/>
      </c>
      <c r="AB429" s="101">
        <f>IF(AND(F429&lt;=DASHBOARD!$B$10, H429&gt;=DASHBOARD!$B$11), Q429, -1000000000000)</f>
        <v/>
      </c>
    </row>
    <row r="430" ht="15" customHeight="1" s="102">
      <c r="A430" s="166" t="n">
        <v>426</v>
      </c>
      <c r="B430" s="167" t="n">
        <v>1</v>
      </c>
      <c r="C430" s="167" t="n">
        <v>0.2</v>
      </c>
      <c r="D430" s="110" t="inlineStr">
        <is>
          <t>Var (%20)</t>
        </is>
      </c>
      <c r="E430" s="110">
        <f>IF((B430+C430)&lt;=1, "Tam Mahsuplaşma (≤%100)", "Kısmi Satış (&gt;%100)")</f>
        <v/>
      </c>
      <c r="F430" s="168">
        <f>((VERI_TABANI!$D$29*B430/VERI_TABANI!$B$29)/VERI_TABANI!$B$3)*VERI_TABANI!$B$5 + ((VERI_TABANI!$D$29*C430/VERI_TABANI!$B$29)/VERI_TABANI!$B$4)*VERI_TABANI!$B$6 + IF(ISNUMBER(SEARCH("Var", D430)), (VERI_TABANI!$F$29/VERI_TABANI!$B$29)*(VERI_TABANI!$B$10+VERI_TABANI!$B$12), 0)</f>
        <v/>
      </c>
      <c r="G430" s="168">
        <f>(((MIN(VERI_TABANI!D23, VERI_TABANI!D23*B430)*VERI_TABANI!$B$7 + MAX(0, VERI_TABANI!D23*B430-VERI_TABANI!D23)*VERI_TABANI!$B$8) + (MIN(MAX(0, VERI_TABANI!D23-VERI_TABANI!D23*B430), VERI_TABANI!D23*C430)*VERI_TABANI!$B$7 + MAX(0, VERI_TABANI!D23*C430-MAX(0, VERI_TABANI!D23-VERI_TABANI!D23*B430))*VERI_TABANI!$B$8) + IF(ABS(IF(ISNUMBER(SEARCH("Var", D430)), 1, IF(ISNUMBER(SEARCH("Gri", D430)), -1, 0)))=1, VERI_TABANI!E23*(1-0.928)*VERI_TABANI!$B$9, 0) + (VERI_TABANI!D23*B430*(VERI_TABANI!$B$13-VERI_TABANI!$B$14)*VERI_TABANI!G23) + (VERI_TABANI!D23*C430*(VERI_TABANI!$B$13-VERI_TABANI!$B$15)*VERI_TABANI!G23) + IF(ABS(IF(ISNUMBER(SEARCH("Var", D430)), 1, IF(ISNUMBER(SEARCH("Gri", D430)), -1, 0)))=1, VERI_TABANI!E23*(1-0.928)*0.00206091519919798*VERI_TABANI!G23, 0)) + ((MIN(VERI_TABANI!D24, VERI_TABANI!D24*B430)*VERI_TABANI!$B$7 + MAX(0, VERI_TABANI!D24*B430-VERI_TABANI!D24)*VERI_TABANI!$B$8) + (MIN(MAX(0, VERI_TABANI!D24-VERI_TABANI!D24*B430), VERI_TABANI!D24*C430)*VERI_TABANI!$B$7 + MAX(0, VERI_TABANI!D24*C430-MAX(0, VERI_TABANI!D24-VERI_TABANI!D24*B430))*VERI_TABANI!$B$8) + IF(ABS(IF(ISNUMBER(SEARCH("Var", D430)), 1, IF(ISNUMBER(SEARCH("Gri", D430)), -1, 0)))=1, VERI_TABANI!E24*(1-0.928)*VERI_TABANI!$B$9, 0) + (VERI_TABANI!D24*B430*(VERI_TABANI!$B$13-VERI_TABANI!$B$14)*VERI_TABANI!G24) + (VERI_TABANI!D24*C430*(VERI_TABANI!$B$13-VERI_TABANI!$B$15)*VERI_TABANI!G24) + IF(ABS(IF(ISNUMBER(SEARCH("Var", D430)), 1, IF(ISNUMBER(SEARCH("Gri", D430)), -1, 0)))=1, VERI_TABANI!E24*(1-0.928)*0.00206091519919798*VERI_TABANI!G24, 0)) + ((MIN(VERI_TABANI!D25, VERI_TABANI!D25*B430)*VERI_TABANI!$B$7 + MAX(0, VERI_TABANI!D25*B430-VERI_TABANI!D25)*VERI_TABANI!$B$8) + (MIN(MAX(0, VERI_TABANI!D25-VERI_TABANI!D25*B430), VERI_TABANI!D25*C430)*VERI_TABANI!$B$7 + MAX(0, VERI_TABANI!D25*C430-MAX(0, VERI_TABANI!D25-VERI_TABANI!D25*B430))*VERI_TABANI!$B$8) + IF(ABS(IF(ISNUMBER(SEARCH("Var", D430)), 1, IF(ISNUMBER(SEARCH("Gri", D430)), -1, 0)))=1, VERI_TABANI!E25*(1-0.928)*VERI_TABANI!$B$9, 0) + (VERI_TABANI!D25*B430*(VERI_TABANI!$B$13-VERI_TABANI!$B$14)*VERI_TABANI!G25) + (VERI_TABANI!D25*C430*(VERI_TABANI!$B$13-VERI_TABANI!$B$15)*VERI_TABANI!G25) + IF(ABS(IF(ISNUMBER(SEARCH("Var", D430)), 1, IF(ISNUMBER(SEARCH("Gri", D430)), -1, 0)))=1, VERI_TABANI!E25*(1-0.928)*0.00206091519919798*VERI_TABANI!G25, 0)) + ((MIN(VERI_TABANI!D26, VERI_TABANI!D26*B430)*VERI_TABANI!$B$7 + MAX(0, VERI_TABANI!D26*B430-VERI_TABANI!D26)*VERI_TABANI!$B$8) + (MIN(MAX(0, VERI_TABANI!D26-VERI_TABANI!D26*B430), VERI_TABANI!D26*C430)*VERI_TABANI!$B$7 + MAX(0, VERI_TABANI!D26*C430-MAX(0, VERI_TABANI!D26-VERI_TABANI!D26*B430))*VERI_TABANI!$B$8) + IF(ABS(IF(ISNUMBER(SEARCH("Var", D430)), 1, IF(ISNUMBER(SEARCH("Gri", D430)), -1, 0)))=1, VERI_TABANI!E26*(1-0.928)*VERI_TABANI!$B$9, 0) + (VERI_TABANI!D26*B430*(VERI_TABANI!$B$13-VERI_TABANI!$B$14)*VERI_TABANI!G26) + (VERI_TABANI!D26*C430*(VERI_TABANI!$B$13-VERI_TABANI!$B$15)*VERI_TABANI!G26) + IF(ABS(IF(ISNUMBER(SEARCH("Var", D430)), 1, IF(ISNUMBER(SEARCH("Gri", D430)), -1, 0)))=1, VERI_TABANI!E26*(1-0.928)*0.00206091519919798*VERI_TABANI!G26, 0)) + ((MIN(VERI_TABANI!D27, VERI_TABANI!D27*B430)*VERI_TABANI!$B$7 + MAX(0, VERI_TABANI!D27*B430-VERI_TABANI!D27)*VERI_TABANI!$B$8) + (MIN(MAX(0, VERI_TABANI!D27-VERI_TABANI!D27*B430), VERI_TABANI!D27*C430)*VERI_TABANI!$B$7 + MAX(0, VERI_TABANI!D27*C430-MAX(0, VERI_TABANI!D27-VERI_TABANI!D27*B430))*VERI_TABANI!$B$8) + IF(ABS(IF(ISNUMBER(SEARCH("Var", D430)), 1, IF(ISNUMBER(SEARCH("Gri", D430)), -1, 0)))=1, VERI_TABANI!E27*(1-0.928)*VERI_TABANI!$B$9, 0) + (VERI_TABANI!D27*B430*(VERI_TABANI!$B$13-VERI_TABANI!$B$14)*VERI_TABANI!G27) + (VERI_TABANI!D27*C430*(VERI_TABANI!$B$13-VERI_TABANI!$B$15)*VERI_TABANI!G27) + IF(ABS(IF(ISNUMBER(SEARCH("Var", D430)), 1, IF(ISNUMBER(SEARCH("Gri", D430)), -1, 0)))=1, VERI_TABANI!E27*(1-0.928)*0.00206091519919798*VERI_TABANI!G27, 0)) + ((MIN(VERI_TABANI!D28, VERI_TABANI!D28*B430)*VERI_TABANI!$B$7 + MAX(0, VERI_TABANI!D28*B430-VERI_TABANI!D28)*VERI_TABANI!$B$8) + (MIN(MAX(0, VERI_TABANI!D28-VERI_TABANI!D28*B430), VERI_TABANI!D28*C430)*VERI_TABANI!$B$7 + MAX(0, VERI_TABANI!D28*C430-MAX(0, VERI_TABANI!D28-VERI_TABANI!D28*B430))*VERI_TABANI!$B$8) + IF(ABS(IF(ISNUMBER(SEARCH("Var", D430)), 1, IF(ISNUMBER(SEARCH("Gri", D430)), -1, 0)))=1, VERI_TABANI!E28*(1-0.928)*VERI_TABANI!$B$9, 0) + (VERI_TABANI!D28*B430*(VERI_TABANI!$B$13-VERI_TABANI!$B$14)*VERI_TABANI!G28) + (VERI_TABANI!D28*C430*(VERI_TABANI!$B$13-VERI_TABANI!$B$15)*VERI_TABANI!G28) + IF(ABS(IF(ISNUMBER(SEARCH("Var", D430)), 1, IF(ISNUMBER(SEARCH("Gri", D430)), -1, 0)))=1, VERI_TABANI!E28*(1-0.928)*0.00206091519919798*VERI_TABANI!G28, 0)))</f>
        <v/>
      </c>
      <c r="H430" s="169">
        <f>(((VERI_TABANI!D23*B430*(VERI_TABANI!$B$13-VERI_TABANI!$B$14)) + (VERI_TABANI!D23*C430*(VERI_TABANI!$B$13-VERI_TABANI!$B$15)) + IF(ISNUMBER(SEARCH("Var", D430)), VERI_TABANI!F23*(0.00202-VERI_TABANI!$B$16), IF(ISNUMBER(SEARCH("Gri", D430)), VERI_TABANI!F23*(0.00202-VERI_TABANI!$B$17), 0))) + ((VERI_TABANI!D24*B430*(VERI_TABANI!$B$13-VERI_TABANI!$B$14)) + (VERI_TABANI!D24*C430*(VERI_TABANI!$B$13-VERI_TABANI!$B$15)) + IF(ISNUMBER(SEARCH("Var", D430)), VERI_TABANI!F24*(0.00202-VERI_TABANI!$B$16), IF(ISNUMBER(SEARCH("Gri", D430)), VERI_TABANI!F24*(0.00202-VERI_TABANI!$B$17), 0))) + ((VERI_TABANI!D25*B430*(VERI_TABANI!$B$13-VERI_TABANI!$B$14)) + (VERI_TABANI!D25*C430*(VERI_TABANI!$B$13-VERI_TABANI!$B$15)) + IF(ISNUMBER(SEARCH("Var", D430)), VERI_TABANI!F25*(0.00202-VERI_TABANI!$B$16), IF(ISNUMBER(SEARCH("Gri", D430)), VERI_TABANI!F25*(0.00202-VERI_TABANI!$B$17), 0))) + ((VERI_TABANI!D26*B430*(VERI_TABANI!$B$13-VERI_TABANI!$B$14)) + (VERI_TABANI!D26*C430*(VERI_TABANI!$B$13-VERI_TABANI!$B$15)) + IF(ISNUMBER(SEARCH("Var", D430)), VERI_TABANI!F26*(0.00202-VERI_TABANI!$B$16), IF(ISNUMBER(SEARCH("Gri", D430)), VERI_TABANI!F26*(0.00202-VERI_TABANI!$B$17), 0))) + ((VERI_TABANI!D27*B430*(VERI_TABANI!$B$13-VERI_TABANI!$B$14)) + (VERI_TABANI!D27*C430*(VERI_TABANI!$B$13-VERI_TABANI!$B$15)) + IF(ISNUMBER(SEARCH("Var", D430)), VERI_TABANI!F27*(0.00202-VERI_TABANI!$B$16), IF(ISNUMBER(SEARCH("Gri", D430)), VERI_TABANI!F27*(0.00202-VERI_TABANI!$B$17), 0))) + ((VERI_TABANI!D28*B430*(VERI_TABANI!$B$13-VERI_TABANI!$B$14)) + (VERI_TABANI!D28*C430*(VERI_TABANI!$B$13-VERI_TABANI!$B$15)) + IF(ISNUMBER(SEARCH("Var", D430)), VERI_TABANI!F28*(0.00202-VERI_TABANI!$B$16), IF(ISNUMBER(SEARCH("Gri", D430)), VERI_TABANI!F28*(0.00202-VERI_TABANI!$B$17), 0))))</f>
        <v/>
      </c>
      <c r="I430" s="170">
        <f>IFERROR(((VERI_TABANI!$D$29*B430*VERI_TABANI!$B$14 + VERI_TABANI!$D$29*C430*VERI_TABANI!$B$15 + IF(ISNUMBER(SEARCH("Var", D430)), VERI_TABANI!$F$29*VERI_TABANI!$B$16, 0))) / (((VERI_TABANI!$D$29*B430 + VERI_TABANI!$D$29*C430)*VERI_TABANI!$B$13 + IF(ISNUMBER(SEARCH("Var", D430)), VERI_TABANI!$E$29*(1-0.928)*VERI_TABANI!$B$18, 0))), 0)</f>
        <v/>
      </c>
      <c r="J430" s="171">
        <f>IFERROR(F430/(G430/29), 0)</f>
        <v/>
      </c>
      <c r="K430" s="172">
        <f>IF(F430&gt;0, H430/F430, 0)</f>
        <v/>
      </c>
      <c r="L430" s="170">
        <f>IF(F430&gt;0, I430, 1000000000)</f>
        <v/>
      </c>
      <c r="M430" s="171">
        <f>ABS((B430+C430)-1)</f>
        <v/>
      </c>
      <c r="N430" s="170">
        <f>IF(F430&gt;0, (G430/29)/F430, 0)</f>
        <v/>
      </c>
      <c r="O430" s="168">
        <f>IF(AND((B430+C430)&gt;=1, ISNUMBER(SEARCH("Var", D430))), F430, 1000000000)</f>
        <v/>
      </c>
      <c r="P430" s="172">
        <f>IF(F430&gt;0, SQRT((F430/MAX(F$5:F$886))^2 + (1 - H430/MAX(H$5:H$886))^2 + (J430/MAX(J$5:J$886))^2), 1000000000)</f>
        <v/>
      </c>
      <c r="Q430" s="166">
        <f>IF(AND(ABS(B430-0.5)&lt;0.01, ABS(C430-0.5)&lt;0.01, ISNUMBER(SEARCH("Var", D430))), 1, 0)</f>
        <v/>
      </c>
      <c r="R430" s="171">
        <f>IF(F430&gt;0, J430, 1000000000)</f>
        <v/>
      </c>
      <c r="S430" s="101">
        <f>IF(AND(F430&lt;=DASHBOARD!$B$11, H430&gt;=DASHBOARD!$B$13), G430, -1000000000000)</f>
        <v/>
      </c>
      <c r="T430" s="101">
        <f>IF(AND(F430&lt;=DASHBOARD!$B$11, H430&gt;=DASHBOARD!$B$13), R430, 1000000000000)</f>
        <v/>
      </c>
      <c r="U430" s="101">
        <f>IF(AND(F430&lt;=DASHBOARD!$B$11, H430&gt;=DASHBOARD!$B$13), N430, -1000000000000)</f>
        <v/>
      </c>
      <c r="V430" s="101">
        <f>IF(AND(F430&lt;=DASHBOARD!$B$11, H430&gt;=DASHBOARD!$B$13), H430, -1000000000000)</f>
        <v/>
      </c>
      <c r="W430" s="101">
        <f>IF(AND(F430&lt;=DASHBOARD!$B$11, H430&gt;=DASHBOARD!$B$13), K430, -1000000000000)</f>
        <v/>
      </c>
      <c r="X430" s="101">
        <f>IF(AND(F430&lt;=DASHBOARD!$B$11, H430&gt;=DASHBOARD!$B$13), M430, 1000000000000)</f>
        <v/>
      </c>
      <c r="Y430" s="101">
        <f>IF(AND(F430&lt;=DASHBOARD!$B$10, H430&gt;=DASHBOARD!$B$11), L430, 1000000000000)</f>
        <v/>
      </c>
      <c r="Z430" s="101">
        <f>IF(AND(F430&lt;=DASHBOARD!$B$10, H430&gt;=DASHBOARD!$B$11), O430, 1000000000000)</f>
        <v/>
      </c>
      <c r="AA430" s="101">
        <f>IF(AND(F430&lt;=DASHBOARD!$B$10, H430&gt;=DASHBOARD!$B$11), P430, 1000000000000)</f>
        <v/>
      </c>
      <c r="AB430" s="101">
        <f>IF(AND(F430&lt;=DASHBOARD!$B$10, H430&gt;=DASHBOARD!$B$11), Q430, -1000000000000)</f>
        <v/>
      </c>
    </row>
    <row r="431" ht="15" customHeight="1" s="102">
      <c r="A431" s="166" t="n">
        <v>427</v>
      </c>
      <c r="B431" s="167" t="n">
        <v>1</v>
      </c>
      <c r="C431" s="167" t="n">
        <v>0.3</v>
      </c>
      <c r="D431" s="110" t="inlineStr">
        <is>
          <t>Yok (%0)</t>
        </is>
      </c>
      <c r="E431" s="110">
        <f>IF((B431+C431)&lt;=1, "Tam Mahsuplaşma (≤%100)", "Kısmi Satış (&gt;%100)")</f>
        <v/>
      </c>
      <c r="F431" s="168">
        <f>((VERI_TABANI!$D$29*B431/VERI_TABANI!$B$29)/VERI_TABANI!$B$3)*VERI_TABANI!$B$5 + ((VERI_TABANI!$D$29*C431/VERI_TABANI!$B$29)/VERI_TABANI!$B$4)*VERI_TABANI!$B$6 + IF(ISNUMBER(SEARCH("Var", D431)), (VERI_TABANI!$F$29/VERI_TABANI!$B$29)*(VERI_TABANI!$B$10+VERI_TABANI!$B$12), 0)</f>
        <v/>
      </c>
      <c r="G431" s="168">
        <f>(((MIN(VERI_TABANI!D23, VERI_TABANI!D23*B431)*VERI_TABANI!$B$7 + MAX(0, VERI_TABANI!D23*B431-VERI_TABANI!D23)*VERI_TABANI!$B$8) + (MIN(MAX(0, VERI_TABANI!D23-VERI_TABANI!D23*B431), VERI_TABANI!D23*C431)*VERI_TABANI!$B$7 + MAX(0, VERI_TABANI!D23*C431-MAX(0, VERI_TABANI!D23-VERI_TABANI!D23*B431))*VERI_TABANI!$B$8) + IF(ABS(IF(ISNUMBER(SEARCH("Var", D431)), 1, IF(ISNUMBER(SEARCH("Gri", D431)), -1, 0)))=1, VERI_TABANI!E23*(1-0.928)*VERI_TABANI!$B$9, 0) + (VERI_TABANI!D23*B431*(VERI_TABANI!$B$13-VERI_TABANI!$B$14)*VERI_TABANI!G23) + (VERI_TABANI!D23*C431*(VERI_TABANI!$B$13-VERI_TABANI!$B$15)*VERI_TABANI!G23) + IF(ABS(IF(ISNUMBER(SEARCH("Var", D431)), 1, IF(ISNUMBER(SEARCH("Gri", D431)), -1, 0)))=1, VERI_TABANI!E23*(1-0.928)*0.00206091519919798*VERI_TABANI!G23, 0)) + ((MIN(VERI_TABANI!D24, VERI_TABANI!D24*B431)*VERI_TABANI!$B$7 + MAX(0, VERI_TABANI!D24*B431-VERI_TABANI!D24)*VERI_TABANI!$B$8) + (MIN(MAX(0, VERI_TABANI!D24-VERI_TABANI!D24*B431), VERI_TABANI!D24*C431)*VERI_TABANI!$B$7 + MAX(0, VERI_TABANI!D24*C431-MAX(0, VERI_TABANI!D24-VERI_TABANI!D24*B431))*VERI_TABANI!$B$8) + IF(ABS(IF(ISNUMBER(SEARCH("Var", D431)), 1, IF(ISNUMBER(SEARCH("Gri", D431)), -1, 0)))=1, VERI_TABANI!E24*(1-0.928)*VERI_TABANI!$B$9, 0) + (VERI_TABANI!D24*B431*(VERI_TABANI!$B$13-VERI_TABANI!$B$14)*VERI_TABANI!G24) + (VERI_TABANI!D24*C431*(VERI_TABANI!$B$13-VERI_TABANI!$B$15)*VERI_TABANI!G24) + IF(ABS(IF(ISNUMBER(SEARCH("Var", D431)), 1, IF(ISNUMBER(SEARCH("Gri", D431)), -1, 0)))=1, VERI_TABANI!E24*(1-0.928)*0.00206091519919798*VERI_TABANI!G24, 0)) + ((MIN(VERI_TABANI!D25, VERI_TABANI!D25*B431)*VERI_TABANI!$B$7 + MAX(0, VERI_TABANI!D25*B431-VERI_TABANI!D25)*VERI_TABANI!$B$8) + (MIN(MAX(0, VERI_TABANI!D25-VERI_TABANI!D25*B431), VERI_TABANI!D25*C431)*VERI_TABANI!$B$7 + MAX(0, VERI_TABANI!D25*C431-MAX(0, VERI_TABANI!D25-VERI_TABANI!D25*B431))*VERI_TABANI!$B$8) + IF(ABS(IF(ISNUMBER(SEARCH("Var", D431)), 1, IF(ISNUMBER(SEARCH("Gri", D431)), -1, 0)))=1, VERI_TABANI!E25*(1-0.928)*VERI_TABANI!$B$9, 0) + (VERI_TABANI!D25*B431*(VERI_TABANI!$B$13-VERI_TABANI!$B$14)*VERI_TABANI!G25) + (VERI_TABANI!D25*C431*(VERI_TABANI!$B$13-VERI_TABANI!$B$15)*VERI_TABANI!G25) + IF(ABS(IF(ISNUMBER(SEARCH("Var", D431)), 1, IF(ISNUMBER(SEARCH("Gri", D431)), -1, 0)))=1, VERI_TABANI!E25*(1-0.928)*0.00206091519919798*VERI_TABANI!G25, 0)) + ((MIN(VERI_TABANI!D26, VERI_TABANI!D26*B431)*VERI_TABANI!$B$7 + MAX(0, VERI_TABANI!D26*B431-VERI_TABANI!D26)*VERI_TABANI!$B$8) + (MIN(MAX(0, VERI_TABANI!D26-VERI_TABANI!D26*B431), VERI_TABANI!D26*C431)*VERI_TABANI!$B$7 + MAX(0, VERI_TABANI!D26*C431-MAX(0, VERI_TABANI!D26-VERI_TABANI!D26*B431))*VERI_TABANI!$B$8) + IF(ABS(IF(ISNUMBER(SEARCH("Var", D431)), 1, IF(ISNUMBER(SEARCH("Gri", D431)), -1, 0)))=1, VERI_TABANI!E26*(1-0.928)*VERI_TABANI!$B$9, 0) + (VERI_TABANI!D26*B431*(VERI_TABANI!$B$13-VERI_TABANI!$B$14)*VERI_TABANI!G26) + (VERI_TABANI!D26*C431*(VERI_TABANI!$B$13-VERI_TABANI!$B$15)*VERI_TABANI!G26) + IF(ABS(IF(ISNUMBER(SEARCH("Var", D431)), 1, IF(ISNUMBER(SEARCH("Gri", D431)), -1, 0)))=1, VERI_TABANI!E26*(1-0.928)*0.00206091519919798*VERI_TABANI!G26, 0)) + ((MIN(VERI_TABANI!D27, VERI_TABANI!D27*B431)*VERI_TABANI!$B$7 + MAX(0, VERI_TABANI!D27*B431-VERI_TABANI!D27)*VERI_TABANI!$B$8) + (MIN(MAX(0, VERI_TABANI!D27-VERI_TABANI!D27*B431), VERI_TABANI!D27*C431)*VERI_TABANI!$B$7 + MAX(0, VERI_TABANI!D27*C431-MAX(0, VERI_TABANI!D27-VERI_TABANI!D27*B431))*VERI_TABANI!$B$8) + IF(ABS(IF(ISNUMBER(SEARCH("Var", D431)), 1, IF(ISNUMBER(SEARCH("Gri", D431)), -1, 0)))=1, VERI_TABANI!E27*(1-0.928)*VERI_TABANI!$B$9, 0) + (VERI_TABANI!D27*B431*(VERI_TABANI!$B$13-VERI_TABANI!$B$14)*VERI_TABANI!G27) + (VERI_TABANI!D27*C431*(VERI_TABANI!$B$13-VERI_TABANI!$B$15)*VERI_TABANI!G27) + IF(ABS(IF(ISNUMBER(SEARCH("Var", D431)), 1, IF(ISNUMBER(SEARCH("Gri", D431)), -1, 0)))=1, VERI_TABANI!E27*(1-0.928)*0.00206091519919798*VERI_TABANI!G27, 0)) + ((MIN(VERI_TABANI!D28, VERI_TABANI!D28*B431)*VERI_TABANI!$B$7 + MAX(0, VERI_TABANI!D28*B431-VERI_TABANI!D28)*VERI_TABANI!$B$8) + (MIN(MAX(0, VERI_TABANI!D28-VERI_TABANI!D28*B431), VERI_TABANI!D28*C431)*VERI_TABANI!$B$7 + MAX(0, VERI_TABANI!D28*C431-MAX(0, VERI_TABANI!D28-VERI_TABANI!D28*B431))*VERI_TABANI!$B$8) + IF(ABS(IF(ISNUMBER(SEARCH("Var", D431)), 1, IF(ISNUMBER(SEARCH("Gri", D431)), -1, 0)))=1, VERI_TABANI!E28*(1-0.928)*VERI_TABANI!$B$9, 0) + (VERI_TABANI!D28*B431*(VERI_TABANI!$B$13-VERI_TABANI!$B$14)*VERI_TABANI!G28) + (VERI_TABANI!D28*C431*(VERI_TABANI!$B$13-VERI_TABANI!$B$15)*VERI_TABANI!G28) + IF(ABS(IF(ISNUMBER(SEARCH("Var", D431)), 1, IF(ISNUMBER(SEARCH("Gri", D431)), -1, 0)))=1, VERI_TABANI!E28*(1-0.928)*0.00206091519919798*VERI_TABANI!G28, 0)))</f>
        <v/>
      </c>
      <c r="H431" s="169">
        <f>(((VERI_TABANI!D23*B431*(VERI_TABANI!$B$13-VERI_TABANI!$B$14)) + (VERI_TABANI!D23*C431*(VERI_TABANI!$B$13-VERI_TABANI!$B$15)) + IF(ISNUMBER(SEARCH("Var", D431)), VERI_TABANI!F23*(0.00202-VERI_TABANI!$B$16), IF(ISNUMBER(SEARCH("Gri", D431)), VERI_TABANI!F23*(0.00202-VERI_TABANI!$B$17), 0))) + ((VERI_TABANI!D24*B431*(VERI_TABANI!$B$13-VERI_TABANI!$B$14)) + (VERI_TABANI!D24*C431*(VERI_TABANI!$B$13-VERI_TABANI!$B$15)) + IF(ISNUMBER(SEARCH("Var", D431)), VERI_TABANI!F24*(0.00202-VERI_TABANI!$B$16), IF(ISNUMBER(SEARCH("Gri", D431)), VERI_TABANI!F24*(0.00202-VERI_TABANI!$B$17), 0))) + ((VERI_TABANI!D25*B431*(VERI_TABANI!$B$13-VERI_TABANI!$B$14)) + (VERI_TABANI!D25*C431*(VERI_TABANI!$B$13-VERI_TABANI!$B$15)) + IF(ISNUMBER(SEARCH("Var", D431)), VERI_TABANI!F25*(0.00202-VERI_TABANI!$B$16), IF(ISNUMBER(SEARCH("Gri", D431)), VERI_TABANI!F25*(0.00202-VERI_TABANI!$B$17), 0))) + ((VERI_TABANI!D26*B431*(VERI_TABANI!$B$13-VERI_TABANI!$B$14)) + (VERI_TABANI!D26*C431*(VERI_TABANI!$B$13-VERI_TABANI!$B$15)) + IF(ISNUMBER(SEARCH("Var", D431)), VERI_TABANI!F26*(0.00202-VERI_TABANI!$B$16), IF(ISNUMBER(SEARCH("Gri", D431)), VERI_TABANI!F26*(0.00202-VERI_TABANI!$B$17), 0))) + ((VERI_TABANI!D27*B431*(VERI_TABANI!$B$13-VERI_TABANI!$B$14)) + (VERI_TABANI!D27*C431*(VERI_TABANI!$B$13-VERI_TABANI!$B$15)) + IF(ISNUMBER(SEARCH("Var", D431)), VERI_TABANI!F27*(0.00202-VERI_TABANI!$B$16), IF(ISNUMBER(SEARCH("Gri", D431)), VERI_TABANI!F27*(0.00202-VERI_TABANI!$B$17), 0))) + ((VERI_TABANI!D28*B431*(VERI_TABANI!$B$13-VERI_TABANI!$B$14)) + (VERI_TABANI!D28*C431*(VERI_TABANI!$B$13-VERI_TABANI!$B$15)) + IF(ISNUMBER(SEARCH("Var", D431)), VERI_TABANI!F28*(0.00202-VERI_TABANI!$B$16), IF(ISNUMBER(SEARCH("Gri", D431)), VERI_TABANI!F28*(0.00202-VERI_TABANI!$B$17), 0))))</f>
        <v/>
      </c>
      <c r="I431" s="170">
        <f>IFERROR(((VERI_TABANI!$D$29*B431*VERI_TABANI!$B$14 + VERI_TABANI!$D$29*C431*VERI_TABANI!$B$15 + IF(ISNUMBER(SEARCH("Var", D431)), VERI_TABANI!$F$29*VERI_TABANI!$B$16, 0))) / (((VERI_TABANI!$D$29*B431 + VERI_TABANI!$D$29*C431)*VERI_TABANI!$B$13 + IF(ISNUMBER(SEARCH("Var", D431)), VERI_TABANI!$E$29*(1-0.928)*VERI_TABANI!$B$18, 0))), 0)</f>
        <v/>
      </c>
      <c r="J431" s="171">
        <f>IFERROR(F431/(G431/29), 0)</f>
        <v/>
      </c>
      <c r="K431" s="172">
        <f>IF(F431&gt;0, H431/F431, 0)</f>
        <v/>
      </c>
      <c r="L431" s="170">
        <f>IF(F431&gt;0, I431, 1000000000)</f>
        <v/>
      </c>
      <c r="M431" s="171">
        <f>ABS((B431+C431)-1)</f>
        <v/>
      </c>
      <c r="N431" s="170">
        <f>IF(F431&gt;0, (G431/29)/F431, 0)</f>
        <v/>
      </c>
      <c r="O431" s="168">
        <f>IF(AND((B431+C431)&gt;=1, ISNUMBER(SEARCH("Var", D431))), F431, 1000000000)</f>
        <v/>
      </c>
      <c r="P431" s="172">
        <f>IF(F431&gt;0, SQRT((F431/MAX(F$5:F$886))^2 + (1 - H431/MAX(H$5:H$886))^2 + (J431/MAX(J$5:J$886))^2), 1000000000)</f>
        <v/>
      </c>
      <c r="Q431" s="166">
        <f>IF(AND(ABS(B431-0.5)&lt;0.01, ABS(C431-0.5)&lt;0.01, ISNUMBER(SEARCH("Var", D431))), 1, 0)</f>
        <v/>
      </c>
      <c r="R431" s="171">
        <f>IF(F431&gt;0, J431, 1000000000)</f>
        <v/>
      </c>
      <c r="S431" s="101">
        <f>IF(AND(F431&lt;=DASHBOARD!$B$11, H431&gt;=DASHBOARD!$B$13), G431, -1000000000000)</f>
        <v/>
      </c>
      <c r="T431" s="101">
        <f>IF(AND(F431&lt;=DASHBOARD!$B$11, H431&gt;=DASHBOARD!$B$13), R431, 1000000000000)</f>
        <v/>
      </c>
      <c r="U431" s="101">
        <f>IF(AND(F431&lt;=DASHBOARD!$B$11, H431&gt;=DASHBOARD!$B$13), N431, -1000000000000)</f>
        <v/>
      </c>
      <c r="V431" s="101">
        <f>IF(AND(F431&lt;=DASHBOARD!$B$11, H431&gt;=DASHBOARD!$B$13), H431, -1000000000000)</f>
        <v/>
      </c>
      <c r="W431" s="101">
        <f>IF(AND(F431&lt;=DASHBOARD!$B$11, H431&gt;=DASHBOARD!$B$13), K431, -1000000000000)</f>
        <v/>
      </c>
      <c r="X431" s="101">
        <f>IF(AND(F431&lt;=DASHBOARD!$B$11, H431&gt;=DASHBOARD!$B$13), M431, 1000000000000)</f>
        <v/>
      </c>
      <c r="Y431" s="101">
        <f>IF(AND(F431&lt;=DASHBOARD!$B$10, H431&gt;=DASHBOARD!$B$11), L431, 1000000000000)</f>
        <v/>
      </c>
      <c r="Z431" s="101">
        <f>IF(AND(F431&lt;=DASHBOARD!$B$10, H431&gt;=DASHBOARD!$B$11), O431, 1000000000000)</f>
        <v/>
      </c>
      <c r="AA431" s="101">
        <f>IF(AND(F431&lt;=DASHBOARD!$B$10, H431&gt;=DASHBOARD!$B$11), P431, 1000000000000)</f>
        <v/>
      </c>
      <c r="AB431" s="101">
        <f>IF(AND(F431&lt;=DASHBOARD!$B$10, H431&gt;=DASHBOARD!$B$11), Q431, -1000000000000)</f>
        <v/>
      </c>
    </row>
    <row r="432" ht="15" customHeight="1" s="102">
      <c r="A432" s="166" t="n">
        <v>428</v>
      </c>
      <c r="B432" s="167" t="n">
        <v>1</v>
      </c>
      <c r="C432" s="167" t="n">
        <v>0.3</v>
      </c>
      <c r="D432" s="110" t="inlineStr">
        <is>
          <t>Var (%20)</t>
        </is>
      </c>
      <c r="E432" s="110">
        <f>IF((B432+C432)&lt;=1, "Tam Mahsuplaşma (≤%100)", "Kısmi Satış (&gt;%100)")</f>
        <v/>
      </c>
      <c r="F432" s="168">
        <f>((VERI_TABANI!$D$29*B432/VERI_TABANI!$B$29)/VERI_TABANI!$B$3)*VERI_TABANI!$B$5 + ((VERI_TABANI!$D$29*C432/VERI_TABANI!$B$29)/VERI_TABANI!$B$4)*VERI_TABANI!$B$6 + IF(ISNUMBER(SEARCH("Var", D432)), (VERI_TABANI!$F$29/VERI_TABANI!$B$29)*(VERI_TABANI!$B$10+VERI_TABANI!$B$12), 0)</f>
        <v/>
      </c>
      <c r="G432" s="168">
        <f>(((MIN(VERI_TABANI!D23, VERI_TABANI!D23*B432)*VERI_TABANI!$B$7 + MAX(0, VERI_TABANI!D23*B432-VERI_TABANI!D23)*VERI_TABANI!$B$8) + (MIN(MAX(0, VERI_TABANI!D23-VERI_TABANI!D23*B432), VERI_TABANI!D23*C432)*VERI_TABANI!$B$7 + MAX(0, VERI_TABANI!D23*C432-MAX(0, VERI_TABANI!D23-VERI_TABANI!D23*B432))*VERI_TABANI!$B$8) + IF(ABS(IF(ISNUMBER(SEARCH("Var", D432)), 1, IF(ISNUMBER(SEARCH("Gri", D432)), -1, 0)))=1, VERI_TABANI!E23*(1-0.928)*VERI_TABANI!$B$9, 0) + (VERI_TABANI!D23*B432*(VERI_TABANI!$B$13-VERI_TABANI!$B$14)*VERI_TABANI!G23) + (VERI_TABANI!D23*C432*(VERI_TABANI!$B$13-VERI_TABANI!$B$15)*VERI_TABANI!G23) + IF(ABS(IF(ISNUMBER(SEARCH("Var", D432)), 1, IF(ISNUMBER(SEARCH("Gri", D432)), -1, 0)))=1, VERI_TABANI!E23*(1-0.928)*0.00206091519919798*VERI_TABANI!G23, 0)) + ((MIN(VERI_TABANI!D24, VERI_TABANI!D24*B432)*VERI_TABANI!$B$7 + MAX(0, VERI_TABANI!D24*B432-VERI_TABANI!D24)*VERI_TABANI!$B$8) + (MIN(MAX(0, VERI_TABANI!D24-VERI_TABANI!D24*B432), VERI_TABANI!D24*C432)*VERI_TABANI!$B$7 + MAX(0, VERI_TABANI!D24*C432-MAX(0, VERI_TABANI!D24-VERI_TABANI!D24*B432))*VERI_TABANI!$B$8) + IF(ABS(IF(ISNUMBER(SEARCH("Var", D432)), 1, IF(ISNUMBER(SEARCH("Gri", D432)), -1, 0)))=1, VERI_TABANI!E24*(1-0.928)*VERI_TABANI!$B$9, 0) + (VERI_TABANI!D24*B432*(VERI_TABANI!$B$13-VERI_TABANI!$B$14)*VERI_TABANI!G24) + (VERI_TABANI!D24*C432*(VERI_TABANI!$B$13-VERI_TABANI!$B$15)*VERI_TABANI!G24) + IF(ABS(IF(ISNUMBER(SEARCH("Var", D432)), 1, IF(ISNUMBER(SEARCH("Gri", D432)), -1, 0)))=1, VERI_TABANI!E24*(1-0.928)*0.00206091519919798*VERI_TABANI!G24, 0)) + ((MIN(VERI_TABANI!D25, VERI_TABANI!D25*B432)*VERI_TABANI!$B$7 + MAX(0, VERI_TABANI!D25*B432-VERI_TABANI!D25)*VERI_TABANI!$B$8) + (MIN(MAX(0, VERI_TABANI!D25-VERI_TABANI!D25*B432), VERI_TABANI!D25*C432)*VERI_TABANI!$B$7 + MAX(0, VERI_TABANI!D25*C432-MAX(0, VERI_TABANI!D25-VERI_TABANI!D25*B432))*VERI_TABANI!$B$8) + IF(ABS(IF(ISNUMBER(SEARCH("Var", D432)), 1, IF(ISNUMBER(SEARCH("Gri", D432)), -1, 0)))=1, VERI_TABANI!E25*(1-0.928)*VERI_TABANI!$B$9, 0) + (VERI_TABANI!D25*B432*(VERI_TABANI!$B$13-VERI_TABANI!$B$14)*VERI_TABANI!G25) + (VERI_TABANI!D25*C432*(VERI_TABANI!$B$13-VERI_TABANI!$B$15)*VERI_TABANI!G25) + IF(ABS(IF(ISNUMBER(SEARCH("Var", D432)), 1, IF(ISNUMBER(SEARCH("Gri", D432)), -1, 0)))=1, VERI_TABANI!E25*(1-0.928)*0.00206091519919798*VERI_TABANI!G25, 0)) + ((MIN(VERI_TABANI!D26, VERI_TABANI!D26*B432)*VERI_TABANI!$B$7 + MAX(0, VERI_TABANI!D26*B432-VERI_TABANI!D26)*VERI_TABANI!$B$8) + (MIN(MAX(0, VERI_TABANI!D26-VERI_TABANI!D26*B432), VERI_TABANI!D26*C432)*VERI_TABANI!$B$7 + MAX(0, VERI_TABANI!D26*C432-MAX(0, VERI_TABANI!D26-VERI_TABANI!D26*B432))*VERI_TABANI!$B$8) + IF(ABS(IF(ISNUMBER(SEARCH("Var", D432)), 1, IF(ISNUMBER(SEARCH("Gri", D432)), -1, 0)))=1, VERI_TABANI!E26*(1-0.928)*VERI_TABANI!$B$9, 0) + (VERI_TABANI!D26*B432*(VERI_TABANI!$B$13-VERI_TABANI!$B$14)*VERI_TABANI!G26) + (VERI_TABANI!D26*C432*(VERI_TABANI!$B$13-VERI_TABANI!$B$15)*VERI_TABANI!G26) + IF(ABS(IF(ISNUMBER(SEARCH("Var", D432)), 1, IF(ISNUMBER(SEARCH("Gri", D432)), -1, 0)))=1, VERI_TABANI!E26*(1-0.928)*0.00206091519919798*VERI_TABANI!G26, 0)) + ((MIN(VERI_TABANI!D27, VERI_TABANI!D27*B432)*VERI_TABANI!$B$7 + MAX(0, VERI_TABANI!D27*B432-VERI_TABANI!D27)*VERI_TABANI!$B$8) + (MIN(MAX(0, VERI_TABANI!D27-VERI_TABANI!D27*B432), VERI_TABANI!D27*C432)*VERI_TABANI!$B$7 + MAX(0, VERI_TABANI!D27*C432-MAX(0, VERI_TABANI!D27-VERI_TABANI!D27*B432))*VERI_TABANI!$B$8) + IF(ABS(IF(ISNUMBER(SEARCH("Var", D432)), 1, IF(ISNUMBER(SEARCH("Gri", D432)), -1, 0)))=1, VERI_TABANI!E27*(1-0.928)*VERI_TABANI!$B$9, 0) + (VERI_TABANI!D27*B432*(VERI_TABANI!$B$13-VERI_TABANI!$B$14)*VERI_TABANI!G27) + (VERI_TABANI!D27*C432*(VERI_TABANI!$B$13-VERI_TABANI!$B$15)*VERI_TABANI!G27) + IF(ABS(IF(ISNUMBER(SEARCH("Var", D432)), 1, IF(ISNUMBER(SEARCH("Gri", D432)), -1, 0)))=1, VERI_TABANI!E27*(1-0.928)*0.00206091519919798*VERI_TABANI!G27, 0)) + ((MIN(VERI_TABANI!D28, VERI_TABANI!D28*B432)*VERI_TABANI!$B$7 + MAX(0, VERI_TABANI!D28*B432-VERI_TABANI!D28)*VERI_TABANI!$B$8) + (MIN(MAX(0, VERI_TABANI!D28-VERI_TABANI!D28*B432), VERI_TABANI!D28*C432)*VERI_TABANI!$B$7 + MAX(0, VERI_TABANI!D28*C432-MAX(0, VERI_TABANI!D28-VERI_TABANI!D28*B432))*VERI_TABANI!$B$8) + IF(ABS(IF(ISNUMBER(SEARCH("Var", D432)), 1, IF(ISNUMBER(SEARCH("Gri", D432)), -1, 0)))=1, VERI_TABANI!E28*(1-0.928)*VERI_TABANI!$B$9, 0) + (VERI_TABANI!D28*B432*(VERI_TABANI!$B$13-VERI_TABANI!$B$14)*VERI_TABANI!G28) + (VERI_TABANI!D28*C432*(VERI_TABANI!$B$13-VERI_TABANI!$B$15)*VERI_TABANI!G28) + IF(ABS(IF(ISNUMBER(SEARCH("Var", D432)), 1, IF(ISNUMBER(SEARCH("Gri", D432)), -1, 0)))=1, VERI_TABANI!E28*(1-0.928)*0.00206091519919798*VERI_TABANI!G28, 0)))</f>
        <v/>
      </c>
      <c r="H432" s="169">
        <f>(((VERI_TABANI!D23*B432*(VERI_TABANI!$B$13-VERI_TABANI!$B$14)) + (VERI_TABANI!D23*C432*(VERI_TABANI!$B$13-VERI_TABANI!$B$15)) + IF(ISNUMBER(SEARCH("Var", D432)), VERI_TABANI!F23*(0.00202-VERI_TABANI!$B$16), IF(ISNUMBER(SEARCH("Gri", D432)), VERI_TABANI!F23*(0.00202-VERI_TABANI!$B$17), 0))) + ((VERI_TABANI!D24*B432*(VERI_TABANI!$B$13-VERI_TABANI!$B$14)) + (VERI_TABANI!D24*C432*(VERI_TABANI!$B$13-VERI_TABANI!$B$15)) + IF(ISNUMBER(SEARCH("Var", D432)), VERI_TABANI!F24*(0.00202-VERI_TABANI!$B$16), IF(ISNUMBER(SEARCH("Gri", D432)), VERI_TABANI!F24*(0.00202-VERI_TABANI!$B$17), 0))) + ((VERI_TABANI!D25*B432*(VERI_TABANI!$B$13-VERI_TABANI!$B$14)) + (VERI_TABANI!D25*C432*(VERI_TABANI!$B$13-VERI_TABANI!$B$15)) + IF(ISNUMBER(SEARCH("Var", D432)), VERI_TABANI!F25*(0.00202-VERI_TABANI!$B$16), IF(ISNUMBER(SEARCH("Gri", D432)), VERI_TABANI!F25*(0.00202-VERI_TABANI!$B$17), 0))) + ((VERI_TABANI!D26*B432*(VERI_TABANI!$B$13-VERI_TABANI!$B$14)) + (VERI_TABANI!D26*C432*(VERI_TABANI!$B$13-VERI_TABANI!$B$15)) + IF(ISNUMBER(SEARCH("Var", D432)), VERI_TABANI!F26*(0.00202-VERI_TABANI!$B$16), IF(ISNUMBER(SEARCH("Gri", D432)), VERI_TABANI!F26*(0.00202-VERI_TABANI!$B$17), 0))) + ((VERI_TABANI!D27*B432*(VERI_TABANI!$B$13-VERI_TABANI!$B$14)) + (VERI_TABANI!D27*C432*(VERI_TABANI!$B$13-VERI_TABANI!$B$15)) + IF(ISNUMBER(SEARCH("Var", D432)), VERI_TABANI!F27*(0.00202-VERI_TABANI!$B$16), IF(ISNUMBER(SEARCH("Gri", D432)), VERI_TABANI!F27*(0.00202-VERI_TABANI!$B$17), 0))) + ((VERI_TABANI!D28*B432*(VERI_TABANI!$B$13-VERI_TABANI!$B$14)) + (VERI_TABANI!D28*C432*(VERI_TABANI!$B$13-VERI_TABANI!$B$15)) + IF(ISNUMBER(SEARCH("Var", D432)), VERI_TABANI!F28*(0.00202-VERI_TABANI!$B$16), IF(ISNUMBER(SEARCH("Gri", D432)), VERI_TABANI!F28*(0.00202-VERI_TABANI!$B$17), 0))))</f>
        <v/>
      </c>
      <c r="I432" s="170">
        <f>IFERROR(((VERI_TABANI!$D$29*B432*VERI_TABANI!$B$14 + VERI_TABANI!$D$29*C432*VERI_TABANI!$B$15 + IF(ISNUMBER(SEARCH("Var", D432)), VERI_TABANI!$F$29*VERI_TABANI!$B$16, 0))) / (((VERI_TABANI!$D$29*B432 + VERI_TABANI!$D$29*C432)*VERI_TABANI!$B$13 + IF(ISNUMBER(SEARCH("Var", D432)), VERI_TABANI!$E$29*(1-0.928)*VERI_TABANI!$B$18, 0))), 0)</f>
        <v/>
      </c>
      <c r="J432" s="171">
        <f>IFERROR(F432/(G432/29), 0)</f>
        <v/>
      </c>
      <c r="K432" s="172">
        <f>IF(F432&gt;0, H432/F432, 0)</f>
        <v/>
      </c>
      <c r="L432" s="170">
        <f>IF(F432&gt;0, I432, 1000000000)</f>
        <v/>
      </c>
      <c r="M432" s="171">
        <f>ABS((B432+C432)-1)</f>
        <v/>
      </c>
      <c r="N432" s="170">
        <f>IF(F432&gt;0, (G432/29)/F432, 0)</f>
        <v/>
      </c>
      <c r="O432" s="168">
        <f>IF(AND((B432+C432)&gt;=1, ISNUMBER(SEARCH("Var", D432))), F432, 1000000000)</f>
        <v/>
      </c>
      <c r="P432" s="172">
        <f>IF(F432&gt;0, SQRT((F432/MAX(F$5:F$886))^2 + (1 - H432/MAX(H$5:H$886))^2 + (J432/MAX(J$5:J$886))^2), 1000000000)</f>
        <v/>
      </c>
      <c r="Q432" s="166">
        <f>IF(AND(ABS(B432-0.5)&lt;0.01, ABS(C432-0.5)&lt;0.01, ISNUMBER(SEARCH("Var", D432))), 1, 0)</f>
        <v/>
      </c>
      <c r="R432" s="171">
        <f>IF(F432&gt;0, J432, 1000000000)</f>
        <v/>
      </c>
      <c r="S432" s="101">
        <f>IF(AND(F432&lt;=DASHBOARD!$B$11, H432&gt;=DASHBOARD!$B$13), G432, -1000000000000)</f>
        <v/>
      </c>
      <c r="T432" s="101">
        <f>IF(AND(F432&lt;=DASHBOARD!$B$11, H432&gt;=DASHBOARD!$B$13), R432, 1000000000000)</f>
        <v/>
      </c>
      <c r="U432" s="101">
        <f>IF(AND(F432&lt;=DASHBOARD!$B$11, H432&gt;=DASHBOARD!$B$13), N432, -1000000000000)</f>
        <v/>
      </c>
      <c r="V432" s="101">
        <f>IF(AND(F432&lt;=DASHBOARD!$B$11, H432&gt;=DASHBOARD!$B$13), H432, -1000000000000)</f>
        <v/>
      </c>
      <c r="W432" s="101">
        <f>IF(AND(F432&lt;=DASHBOARD!$B$11, H432&gt;=DASHBOARD!$B$13), K432, -1000000000000)</f>
        <v/>
      </c>
      <c r="X432" s="101">
        <f>IF(AND(F432&lt;=DASHBOARD!$B$11, H432&gt;=DASHBOARD!$B$13), M432, 1000000000000)</f>
        <v/>
      </c>
      <c r="Y432" s="101">
        <f>IF(AND(F432&lt;=DASHBOARD!$B$10, H432&gt;=DASHBOARD!$B$11), L432, 1000000000000)</f>
        <v/>
      </c>
      <c r="Z432" s="101">
        <f>IF(AND(F432&lt;=DASHBOARD!$B$10, H432&gt;=DASHBOARD!$B$11), O432, 1000000000000)</f>
        <v/>
      </c>
      <c r="AA432" s="101">
        <f>IF(AND(F432&lt;=DASHBOARD!$B$10, H432&gt;=DASHBOARD!$B$11), P432, 1000000000000)</f>
        <v/>
      </c>
      <c r="AB432" s="101">
        <f>IF(AND(F432&lt;=DASHBOARD!$B$10, H432&gt;=DASHBOARD!$B$11), Q432, -1000000000000)</f>
        <v/>
      </c>
    </row>
    <row r="433" ht="15" customHeight="1" s="102">
      <c r="A433" s="166" t="n">
        <v>429</v>
      </c>
      <c r="B433" s="167" t="n">
        <v>1</v>
      </c>
      <c r="C433" s="167" t="n">
        <v>0.4</v>
      </c>
      <c r="D433" s="110" t="inlineStr">
        <is>
          <t>Yok (%0)</t>
        </is>
      </c>
      <c r="E433" s="110">
        <f>IF((B433+C433)&lt;=1, "Tam Mahsuplaşma (≤%100)", "Kısmi Satış (&gt;%100)")</f>
        <v/>
      </c>
      <c r="F433" s="168">
        <f>((VERI_TABANI!$D$29*B433/VERI_TABANI!$B$29)/VERI_TABANI!$B$3)*VERI_TABANI!$B$5 + ((VERI_TABANI!$D$29*C433/VERI_TABANI!$B$29)/VERI_TABANI!$B$4)*VERI_TABANI!$B$6 + IF(ISNUMBER(SEARCH("Var", D433)), (VERI_TABANI!$F$29/VERI_TABANI!$B$29)*(VERI_TABANI!$B$10+VERI_TABANI!$B$12), 0)</f>
        <v/>
      </c>
      <c r="G433" s="168">
        <f>(((MIN(VERI_TABANI!D23, VERI_TABANI!D23*B433)*VERI_TABANI!$B$7 + MAX(0, VERI_TABANI!D23*B433-VERI_TABANI!D23)*VERI_TABANI!$B$8) + (MIN(MAX(0, VERI_TABANI!D23-VERI_TABANI!D23*B433), VERI_TABANI!D23*C433)*VERI_TABANI!$B$7 + MAX(0, VERI_TABANI!D23*C433-MAX(0, VERI_TABANI!D23-VERI_TABANI!D23*B433))*VERI_TABANI!$B$8) + IF(ABS(IF(ISNUMBER(SEARCH("Var", D433)), 1, IF(ISNUMBER(SEARCH("Gri", D433)), -1, 0)))=1, VERI_TABANI!E23*(1-0.928)*VERI_TABANI!$B$9, 0) + (VERI_TABANI!D23*B433*(VERI_TABANI!$B$13-VERI_TABANI!$B$14)*VERI_TABANI!G23) + (VERI_TABANI!D23*C433*(VERI_TABANI!$B$13-VERI_TABANI!$B$15)*VERI_TABANI!G23) + IF(ABS(IF(ISNUMBER(SEARCH("Var", D433)), 1, IF(ISNUMBER(SEARCH("Gri", D433)), -1, 0)))=1, VERI_TABANI!E23*(1-0.928)*0.00206091519919798*VERI_TABANI!G23, 0)) + ((MIN(VERI_TABANI!D24, VERI_TABANI!D24*B433)*VERI_TABANI!$B$7 + MAX(0, VERI_TABANI!D24*B433-VERI_TABANI!D24)*VERI_TABANI!$B$8) + (MIN(MAX(0, VERI_TABANI!D24-VERI_TABANI!D24*B433), VERI_TABANI!D24*C433)*VERI_TABANI!$B$7 + MAX(0, VERI_TABANI!D24*C433-MAX(0, VERI_TABANI!D24-VERI_TABANI!D24*B433))*VERI_TABANI!$B$8) + IF(ABS(IF(ISNUMBER(SEARCH("Var", D433)), 1, IF(ISNUMBER(SEARCH("Gri", D433)), -1, 0)))=1, VERI_TABANI!E24*(1-0.928)*VERI_TABANI!$B$9, 0) + (VERI_TABANI!D24*B433*(VERI_TABANI!$B$13-VERI_TABANI!$B$14)*VERI_TABANI!G24) + (VERI_TABANI!D24*C433*(VERI_TABANI!$B$13-VERI_TABANI!$B$15)*VERI_TABANI!G24) + IF(ABS(IF(ISNUMBER(SEARCH("Var", D433)), 1, IF(ISNUMBER(SEARCH("Gri", D433)), -1, 0)))=1, VERI_TABANI!E24*(1-0.928)*0.00206091519919798*VERI_TABANI!G24, 0)) + ((MIN(VERI_TABANI!D25, VERI_TABANI!D25*B433)*VERI_TABANI!$B$7 + MAX(0, VERI_TABANI!D25*B433-VERI_TABANI!D25)*VERI_TABANI!$B$8) + (MIN(MAX(0, VERI_TABANI!D25-VERI_TABANI!D25*B433), VERI_TABANI!D25*C433)*VERI_TABANI!$B$7 + MAX(0, VERI_TABANI!D25*C433-MAX(0, VERI_TABANI!D25-VERI_TABANI!D25*B433))*VERI_TABANI!$B$8) + IF(ABS(IF(ISNUMBER(SEARCH("Var", D433)), 1, IF(ISNUMBER(SEARCH("Gri", D433)), -1, 0)))=1, VERI_TABANI!E25*(1-0.928)*VERI_TABANI!$B$9, 0) + (VERI_TABANI!D25*B433*(VERI_TABANI!$B$13-VERI_TABANI!$B$14)*VERI_TABANI!G25) + (VERI_TABANI!D25*C433*(VERI_TABANI!$B$13-VERI_TABANI!$B$15)*VERI_TABANI!G25) + IF(ABS(IF(ISNUMBER(SEARCH("Var", D433)), 1, IF(ISNUMBER(SEARCH("Gri", D433)), -1, 0)))=1, VERI_TABANI!E25*(1-0.928)*0.00206091519919798*VERI_TABANI!G25, 0)) + ((MIN(VERI_TABANI!D26, VERI_TABANI!D26*B433)*VERI_TABANI!$B$7 + MAX(0, VERI_TABANI!D26*B433-VERI_TABANI!D26)*VERI_TABANI!$B$8) + (MIN(MAX(0, VERI_TABANI!D26-VERI_TABANI!D26*B433), VERI_TABANI!D26*C433)*VERI_TABANI!$B$7 + MAX(0, VERI_TABANI!D26*C433-MAX(0, VERI_TABANI!D26-VERI_TABANI!D26*B433))*VERI_TABANI!$B$8) + IF(ABS(IF(ISNUMBER(SEARCH("Var", D433)), 1, IF(ISNUMBER(SEARCH("Gri", D433)), -1, 0)))=1, VERI_TABANI!E26*(1-0.928)*VERI_TABANI!$B$9, 0) + (VERI_TABANI!D26*B433*(VERI_TABANI!$B$13-VERI_TABANI!$B$14)*VERI_TABANI!G26) + (VERI_TABANI!D26*C433*(VERI_TABANI!$B$13-VERI_TABANI!$B$15)*VERI_TABANI!G26) + IF(ABS(IF(ISNUMBER(SEARCH("Var", D433)), 1, IF(ISNUMBER(SEARCH("Gri", D433)), -1, 0)))=1, VERI_TABANI!E26*(1-0.928)*0.00206091519919798*VERI_TABANI!G26, 0)) + ((MIN(VERI_TABANI!D27, VERI_TABANI!D27*B433)*VERI_TABANI!$B$7 + MAX(0, VERI_TABANI!D27*B433-VERI_TABANI!D27)*VERI_TABANI!$B$8) + (MIN(MAX(0, VERI_TABANI!D27-VERI_TABANI!D27*B433), VERI_TABANI!D27*C433)*VERI_TABANI!$B$7 + MAX(0, VERI_TABANI!D27*C433-MAX(0, VERI_TABANI!D27-VERI_TABANI!D27*B433))*VERI_TABANI!$B$8) + IF(ABS(IF(ISNUMBER(SEARCH("Var", D433)), 1, IF(ISNUMBER(SEARCH("Gri", D433)), -1, 0)))=1, VERI_TABANI!E27*(1-0.928)*VERI_TABANI!$B$9, 0) + (VERI_TABANI!D27*B433*(VERI_TABANI!$B$13-VERI_TABANI!$B$14)*VERI_TABANI!G27) + (VERI_TABANI!D27*C433*(VERI_TABANI!$B$13-VERI_TABANI!$B$15)*VERI_TABANI!G27) + IF(ABS(IF(ISNUMBER(SEARCH("Var", D433)), 1, IF(ISNUMBER(SEARCH("Gri", D433)), -1, 0)))=1, VERI_TABANI!E27*(1-0.928)*0.00206091519919798*VERI_TABANI!G27, 0)) + ((MIN(VERI_TABANI!D28, VERI_TABANI!D28*B433)*VERI_TABANI!$B$7 + MAX(0, VERI_TABANI!D28*B433-VERI_TABANI!D28)*VERI_TABANI!$B$8) + (MIN(MAX(0, VERI_TABANI!D28-VERI_TABANI!D28*B433), VERI_TABANI!D28*C433)*VERI_TABANI!$B$7 + MAX(0, VERI_TABANI!D28*C433-MAX(0, VERI_TABANI!D28-VERI_TABANI!D28*B433))*VERI_TABANI!$B$8) + IF(ABS(IF(ISNUMBER(SEARCH("Var", D433)), 1, IF(ISNUMBER(SEARCH("Gri", D433)), -1, 0)))=1, VERI_TABANI!E28*(1-0.928)*VERI_TABANI!$B$9, 0) + (VERI_TABANI!D28*B433*(VERI_TABANI!$B$13-VERI_TABANI!$B$14)*VERI_TABANI!G28) + (VERI_TABANI!D28*C433*(VERI_TABANI!$B$13-VERI_TABANI!$B$15)*VERI_TABANI!G28) + IF(ABS(IF(ISNUMBER(SEARCH("Var", D433)), 1, IF(ISNUMBER(SEARCH("Gri", D433)), -1, 0)))=1, VERI_TABANI!E28*(1-0.928)*0.00206091519919798*VERI_TABANI!G28, 0)))</f>
        <v/>
      </c>
      <c r="H433" s="169">
        <f>(((VERI_TABANI!D23*B433*(VERI_TABANI!$B$13-VERI_TABANI!$B$14)) + (VERI_TABANI!D23*C433*(VERI_TABANI!$B$13-VERI_TABANI!$B$15)) + IF(ISNUMBER(SEARCH("Var", D433)), VERI_TABANI!F23*(0.00202-VERI_TABANI!$B$16), IF(ISNUMBER(SEARCH("Gri", D433)), VERI_TABANI!F23*(0.00202-VERI_TABANI!$B$17), 0))) + ((VERI_TABANI!D24*B433*(VERI_TABANI!$B$13-VERI_TABANI!$B$14)) + (VERI_TABANI!D24*C433*(VERI_TABANI!$B$13-VERI_TABANI!$B$15)) + IF(ISNUMBER(SEARCH("Var", D433)), VERI_TABANI!F24*(0.00202-VERI_TABANI!$B$16), IF(ISNUMBER(SEARCH("Gri", D433)), VERI_TABANI!F24*(0.00202-VERI_TABANI!$B$17), 0))) + ((VERI_TABANI!D25*B433*(VERI_TABANI!$B$13-VERI_TABANI!$B$14)) + (VERI_TABANI!D25*C433*(VERI_TABANI!$B$13-VERI_TABANI!$B$15)) + IF(ISNUMBER(SEARCH("Var", D433)), VERI_TABANI!F25*(0.00202-VERI_TABANI!$B$16), IF(ISNUMBER(SEARCH("Gri", D433)), VERI_TABANI!F25*(0.00202-VERI_TABANI!$B$17), 0))) + ((VERI_TABANI!D26*B433*(VERI_TABANI!$B$13-VERI_TABANI!$B$14)) + (VERI_TABANI!D26*C433*(VERI_TABANI!$B$13-VERI_TABANI!$B$15)) + IF(ISNUMBER(SEARCH("Var", D433)), VERI_TABANI!F26*(0.00202-VERI_TABANI!$B$16), IF(ISNUMBER(SEARCH("Gri", D433)), VERI_TABANI!F26*(0.00202-VERI_TABANI!$B$17), 0))) + ((VERI_TABANI!D27*B433*(VERI_TABANI!$B$13-VERI_TABANI!$B$14)) + (VERI_TABANI!D27*C433*(VERI_TABANI!$B$13-VERI_TABANI!$B$15)) + IF(ISNUMBER(SEARCH("Var", D433)), VERI_TABANI!F27*(0.00202-VERI_TABANI!$B$16), IF(ISNUMBER(SEARCH("Gri", D433)), VERI_TABANI!F27*(0.00202-VERI_TABANI!$B$17), 0))) + ((VERI_TABANI!D28*B433*(VERI_TABANI!$B$13-VERI_TABANI!$B$14)) + (VERI_TABANI!D28*C433*(VERI_TABANI!$B$13-VERI_TABANI!$B$15)) + IF(ISNUMBER(SEARCH("Var", D433)), VERI_TABANI!F28*(0.00202-VERI_TABANI!$B$16), IF(ISNUMBER(SEARCH("Gri", D433)), VERI_TABANI!F28*(0.00202-VERI_TABANI!$B$17), 0))))</f>
        <v/>
      </c>
      <c r="I433" s="170">
        <f>IFERROR(((VERI_TABANI!$D$29*B433*VERI_TABANI!$B$14 + VERI_TABANI!$D$29*C433*VERI_TABANI!$B$15 + IF(ISNUMBER(SEARCH("Var", D433)), VERI_TABANI!$F$29*VERI_TABANI!$B$16, 0))) / (((VERI_TABANI!$D$29*B433 + VERI_TABANI!$D$29*C433)*VERI_TABANI!$B$13 + IF(ISNUMBER(SEARCH("Var", D433)), VERI_TABANI!$E$29*(1-0.928)*VERI_TABANI!$B$18, 0))), 0)</f>
        <v/>
      </c>
      <c r="J433" s="171">
        <f>IFERROR(F433/(G433/29), 0)</f>
        <v/>
      </c>
      <c r="K433" s="172">
        <f>IF(F433&gt;0, H433/F433, 0)</f>
        <v/>
      </c>
      <c r="L433" s="170">
        <f>IF(F433&gt;0, I433, 1000000000)</f>
        <v/>
      </c>
      <c r="M433" s="171">
        <f>ABS((B433+C433)-1)</f>
        <v/>
      </c>
      <c r="N433" s="170">
        <f>IF(F433&gt;0, (G433/29)/F433, 0)</f>
        <v/>
      </c>
      <c r="O433" s="168">
        <f>IF(AND((B433+C433)&gt;=1, ISNUMBER(SEARCH("Var", D433))), F433, 1000000000)</f>
        <v/>
      </c>
      <c r="P433" s="172">
        <f>IF(F433&gt;0, SQRT((F433/MAX(F$5:F$886))^2 + (1 - H433/MAX(H$5:H$886))^2 + (J433/MAX(J$5:J$886))^2), 1000000000)</f>
        <v/>
      </c>
      <c r="Q433" s="166">
        <f>IF(AND(ABS(B433-0.5)&lt;0.01, ABS(C433-0.5)&lt;0.01, ISNUMBER(SEARCH("Var", D433))), 1, 0)</f>
        <v/>
      </c>
      <c r="R433" s="171">
        <f>IF(F433&gt;0, J433, 1000000000)</f>
        <v/>
      </c>
      <c r="S433" s="101">
        <f>IF(AND(F433&lt;=DASHBOARD!$B$11, H433&gt;=DASHBOARD!$B$13), G433, -1000000000000)</f>
        <v/>
      </c>
      <c r="T433" s="101">
        <f>IF(AND(F433&lt;=DASHBOARD!$B$11, H433&gt;=DASHBOARD!$B$13), R433, 1000000000000)</f>
        <v/>
      </c>
      <c r="U433" s="101">
        <f>IF(AND(F433&lt;=DASHBOARD!$B$11, H433&gt;=DASHBOARD!$B$13), N433, -1000000000000)</f>
        <v/>
      </c>
      <c r="V433" s="101">
        <f>IF(AND(F433&lt;=DASHBOARD!$B$11, H433&gt;=DASHBOARD!$B$13), H433, -1000000000000)</f>
        <v/>
      </c>
      <c r="W433" s="101">
        <f>IF(AND(F433&lt;=DASHBOARD!$B$11, H433&gt;=DASHBOARD!$B$13), K433, -1000000000000)</f>
        <v/>
      </c>
      <c r="X433" s="101">
        <f>IF(AND(F433&lt;=DASHBOARD!$B$11, H433&gt;=DASHBOARD!$B$13), M433, 1000000000000)</f>
        <v/>
      </c>
      <c r="Y433" s="101">
        <f>IF(AND(F433&lt;=DASHBOARD!$B$10, H433&gt;=DASHBOARD!$B$11), L433, 1000000000000)</f>
        <v/>
      </c>
      <c r="Z433" s="101">
        <f>IF(AND(F433&lt;=DASHBOARD!$B$10, H433&gt;=DASHBOARD!$B$11), O433, 1000000000000)</f>
        <v/>
      </c>
      <c r="AA433" s="101">
        <f>IF(AND(F433&lt;=DASHBOARD!$B$10, H433&gt;=DASHBOARD!$B$11), P433, 1000000000000)</f>
        <v/>
      </c>
      <c r="AB433" s="101">
        <f>IF(AND(F433&lt;=DASHBOARD!$B$10, H433&gt;=DASHBOARD!$B$11), Q433, -1000000000000)</f>
        <v/>
      </c>
    </row>
    <row r="434" ht="15" customHeight="1" s="102">
      <c r="A434" s="166" t="n">
        <v>430</v>
      </c>
      <c r="B434" s="167" t="n">
        <v>1</v>
      </c>
      <c r="C434" s="167" t="n">
        <v>0.4</v>
      </c>
      <c r="D434" s="110" t="inlineStr">
        <is>
          <t>Var (%20)</t>
        </is>
      </c>
      <c r="E434" s="110">
        <f>IF((B434+C434)&lt;=1, "Tam Mahsuplaşma (≤%100)", "Kısmi Satış (&gt;%100)")</f>
        <v/>
      </c>
      <c r="F434" s="168">
        <f>((VERI_TABANI!$D$29*B434/VERI_TABANI!$B$29)/VERI_TABANI!$B$3)*VERI_TABANI!$B$5 + ((VERI_TABANI!$D$29*C434/VERI_TABANI!$B$29)/VERI_TABANI!$B$4)*VERI_TABANI!$B$6 + IF(ISNUMBER(SEARCH("Var", D434)), (VERI_TABANI!$F$29/VERI_TABANI!$B$29)*(VERI_TABANI!$B$10+VERI_TABANI!$B$12), 0)</f>
        <v/>
      </c>
      <c r="G434" s="168">
        <f>(((MIN(VERI_TABANI!D23, VERI_TABANI!D23*B434)*VERI_TABANI!$B$7 + MAX(0, VERI_TABANI!D23*B434-VERI_TABANI!D23)*VERI_TABANI!$B$8) + (MIN(MAX(0, VERI_TABANI!D23-VERI_TABANI!D23*B434), VERI_TABANI!D23*C434)*VERI_TABANI!$B$7 + MAX(0, VERI_TABANI!D23*C434-MAX(0, VERI_TABANI!D23-VERI_TABANI!D23*B434))*VERI_TABANI!$B$8) + IF(ABS(IF(ISNUMBER(SEARCH("Var", D434)), 1, IF(ISNUMBER(SEARCH("Gri", D434)), -1, 0)))=1, VERI_TABANI!E23*(1-0.928)*VERI_TABANI!$B$9, 0) + (VERI_TABANI!D23*B434*(VERI_TABANI!$B$13-VERI_TABANI!$B$14)*VERI_TABANI!G23) + (VERI_TABANI!D23*C434*(VERI_TABANI!$B$13-VERI_TABANI!$B$15)*VERI_TABANI!G23) + IF(ABS(IF(ISNUMBER(SEARCH("Var", D434)), 1, IF(ISNUMBER(SEARCH("Gri", D434)), -1, 0)))=1, VERI_TABANI!E23*(1-0.928)*0.00206091519919798*VERI_TABANI!G23, 0)) + ((MIN(VERI_TABANI!D24, VERI_TABANI!D24*B434)*VERI_TABANI!$B$7 + MAX(0, VERI_TABANI!D24*B434-VERI_TABANI!D24)*VERI_TABANI!$B$8) + (MIN(MAX(0, VERI_TABANI!D24-VERI_TABANI!D24*B434), VERI_TABANI!D24*C434)*VERI_TABANI!$B$7 + MAX(0, VERI_TABANI!D24*C434-MAX(0, VERI_TABANI!D24-VERI_TABANI!D24*B434))*VERI_TABANI!$B$8) + IF(ABS(IF(ISNUMBER(SEARCH("Var", D434)), 1, IF(ISNUMBER(SEARCH("Gri", D434)), -1, 0)))=1, VERI_TABANI!E24*(1-0.928)*VERI_TABANI!$B$9, 0) + (VERI_TABANI!D24*B434*(VERI_TABANI!$B$13-VERI_TABANI!$B$14)*VERI_TABANI!G24) + (VERI_TABANI!D24*C434*(VERI_TABANI!$B$13-VERI_TABANI!$B$15)*VERI_TABANI!G24) + IF(ABS(IF(ISNUMBER(SEARCH("Var", D434)), 1, IF(ISNUMBER(SEARCH("Gri", D434)), -1, 0)))=1, VERI_TABANI!E24*(1-0.928)*0.00206091519919798*VERI_TABANI!G24, 0)) + ((MIN(VERI_TABANI!D25, VERI_TABANI!D25*B434)*VERI_TABANI!$B$7 + MAX(0, VERI_TABANI!D25*B434-VERI_TABANI!D25)*VERI_TABANI!$B$8) + (MIN(MAX(0, VERI_TABANI!D25-VERI_TABANI!D25*B434), VERI_TABANI!D25*C434)*VERI_TABANI!$B$7 + MAX(0, VERI_TABANI!D25*C434-MAX(0, VERI_TABANI!D25-VERI_TABANI!D25*B434))*VERI_TABANI!$B$8) + IF(ABS(IF(ISNUMBER(SEARCH("Var", D434)), 1, IF(ISNUMBER(SEARCH("Gri", D434)), -1, 0)))=1, VERI_TABANI!E25*(1-0.928)*VERI_TABANI!$B$9, 0) + (VERI_TABANI!D25*B434*(VERI_TABANI!$B$13-VERI_TABANI!$B$14)*VERI_TABANI!G25) + (VERI_TABANI!D25*C434*(VERI_TABANI!$B$13-VERI_TABANI!$B$15)*VERI_TABANI!G25) + IF(ABS(IF(ISNUMBER(SEARCH("Var", D434)), 1, IF(ISNUMBER(SEARCH("Gri", D434)), -1, 0)))=1, VERI_TABANI!E25*(1-0.928)*0.00206091519919798*VERI_TABANI!G25, 0)) + ((MIN(VERI_TABANI!D26, VERI_TABANI!D26*B434)*VERI_TABANI!$B$7 + MAX(0, VERI_TABANI!D26*B434-VERI_TABANI!D26)*VERI_TABANI!$B$8) + (MIN(MAX(0, VERI_TABANI!D26-VERI_TABANI!D26*B434), VERI_TABANI!D26*C434)*VERI_TABANI!$B$7 + MAX(0, VERI_TABANI!D26*C434-MAX(0, VERI_TABANI!D26-VERI_TABANI!D26*B434))*VERI_TABANI!$B$8) + IF(ABS(IF(ISNUMBER(SEARCH("Var", D434)), 1, IF(ISNUMBER(SEARCH("Gri", D434)), -1, 0)))=1, VERI_TABANI!E26*(1-0.928)*VERI_TABANI!$B$9, 0) + (VERI_TABANI!D26*B434*(VERI_TABANI!$B$13-VERI_TABANI!$B$14)*VERI_TABANI!G26) + (VERI_TABANI!D26*C434*(VERI_TABANI!$B$13-VERI_TABANI!$B$15)*VERI_TABANI!G26) + IF(ABS(IF(ISNUMBER(SEARCH("Var", D434)), 1, IF(ISNUMBER(SEARCH("Gri", D434)), -1, 0)))=1, VERI_TABANI!E26*(1-0.928)*0.00206091519919798*VERI_TABANI!G26, 0)) + ((MIN(VERI_TABANI!D27, VERI_TABANI!D27*B434)*VERI_TABANI!$B$7 + MAX(0, VERI_TABANI!D27*B434-VERI_TABANI!D27)*VERI_TABANI!$B$8) + (MIN(MAX(0, VERI_TABANI!D27-VERI_TABANI!D27*B434), VERI_TABANI!D27*C434)*VERI_TABANI!$B$7 + MAX(0, VERI_TABANI!D27*C434-MAX(0, VERI_TABANI!D27-VERI_TABANI!D27*B434))*VERI_TABANI!$B$8) + IF(ABS(IF(ISNUMBER(SEARCH("Var", D434)), 1, IF(ISNUMBER(SEARCH("Gri", D434)), -1, 0)))=1, VERI_TABANI!E27*(1-0.928)*VERI_TABANI!$B$9, 0) + (VERI_TABANI!D27*B434*(VERI_TABANI!$B$13-VERI_TABANI!$B$14)*VERI_TABANI!G27) + (VERI_TABANI!D27*C434*(VERI_TABANI!$B$13-VERI_TABANI!$B$15)*VERI_TABANI!G27) + IF(ABS(IF(ISNUMBER(SEARCH("Var", D434)), 1, IF(ISNUMBER(SEARCH("Gri", D434)), -1, 0)))=1, VERI_TABANI!E27*(1-0.928)*0.00206091519919798*VERI_TABANI!G27, 0)) + ((MIN(VERI_TABANI!D28, VERI_TABANI!D28*B434)*VERI_TABANI!$B$7 + MAX(0, VERI_TABANI!D28*B434-VERI_TABANI!D28)*VERI_TABANI!$B$8) + (MIN(MAX(0, VERI_TABANI!D28-VERI_TABANI!D28*B434), VERI_TABANI!D28*C434)*VERI_TABANI!$B$7 + MAX(0, VERI_TABANI!D28*C434-MAX(0, VERI_TABANI!D28-VERI_TABANI!D28*B434))*VERI_TABANI!$B$8) + IF(ABS(IF(ISNUMBER(SEARCH("Var", D434)), 1, IF(ISNUMBER(SEARCH("Gri", D434)), -1, 0)))=1, VERI_TABANI!E28*(1-0.928)*VERI_TABANI!$B$9, 0) + (VERI_TABANI!D28*B434*(VERI_TABANI!$B$13-VERI_TABANI!$B$14)*VERI_TABANI!G28) + (VERI_TABANI!D28*C434*(VERI_TABANI!$B$13-VERI_TABANI!$B$15)*VERI_TABANI!G28) + IF(ABS(IF(ISNUMBER(SEARCH("Var", D434)), 1, IF(ISNUMBER(SEARCH("Gri", D434)), -1, 0)))=1, VERI_TABANI!E28*(1-0.928)*0.00206091519919798*VERI_TABANI!G28, 0)))</f>
        <v/>
      </c>
      <c r="H434" s="169">
        <f>(((VERI_TABANI!D23*B434*(VERI_TABANI!$B$13-VERI_TABANI!$B$14)) + (VERI_TABANI!D23*C434*(VERI_TABANI!$B$13-VERI_TABANI!$B$15)) + IF(ISNUMBER(SEARCH("Var", D434)), VERI_TABANI!F23*(0.00202-VERI_TABANI!$B$16), IF(ISNUMBER(SEARCH("Gri", D434)), VERI_TABANI!F23*(0.00202-VERI_TABANI!$B$17), 0))) + ((VERI_TABANI!D24*B434*(VERI_TABANI!$B$13-VERI_TABANI!$B$14)) + (VERI_TABANI!D24*C434*(VERI_TABANI!$B$13-VERI_TABANI!$B$15)) + IF(ISNUMBER(SEARCH("Var", D434)), VERI_TABANI!F24*(0.00202-VERI_TABANI!$B$16), IF(ISNUMBER(SEARCH("Gri", D434)), VERI_TABANI!F24*(0.00202-VERI_TABANI!$B$17), 0))) + ((VERI_TABANI!D25*B434*(VERI_TABANI!$B$13-VERI_TABANI!$B$14)) + (VERI_TABANI!D25*C434*(VERI_TABANI!$B$13-VERI_TABANI!$B$15)) + IF(ISNUMBER(SEARCH("Var", D434)), VERI_TABANI!F25*(0.00202-VERI_TABANI!$B$16), IF(ISNUMBER(SEARCH("Gri", D434)), VERI_TABANI!F25*(0.00202-VERI_TABANI!$B$17), 0))) + ((VERI_TABANI!D26*B434*(VERI_TABANI!$B$13-VERI_TABANI!$B$14)) + (VERI_TABANI!D26*C434*(VERI_TABANI!$B$13-VERI_TABANI!$B$15)) + IF(ISNUMBER(SEARCH("Var", D434)), VERI_TABANI!F26*(0.00202-VERI_TABANI!$B$16), IF(ISNUMBER(SEARCH("Gri", D434)), VERI_TABANI!F26*(0.00202-VERI_TABANI!$B$17), 0))) + ((VERI_TABANI!D27*B434*(VERI_TABANI!$B$13-VERI_TABANI!$B$14)) + (VERI_TABANI!D27*C434*(VERI_TABANI!$B$13-VERI_TABANI!$B$15)) + IF(ISNUMBER(SEARCH("Var", D434)), VERI_TABANI!F27*(0.00202-VERI_TABANI!$B$16), IF(ISNUMBER(SEARCH("Gri", D434)), VERI_TABANI!F27*(0.00202-VERI_TABANI!$B$17), 0))) + ((VERI_TABANI!D28*B434*(VERI_TABANI!$B$13-VERI_TABANI!$B$14)) + (VERI_TABANI!D28*C434*(VERI_TABANI!$B$13-VERI_TABANI!$B$15)) + IF(ISNUMBER(SEARCH("Var", D434)), VERI_TABANI!F28*(0.00202-VERI_TABANI!$B$16), IF(ISNUMBER(SEARCH("Gri", D434)), VERI_TABANI!F28*(0.00202-VERI_TABANI!$B$17), 0))))</f>
        <v/>
      </c>
      <c r="I434" s="170">
        <f>IFERROR(((VERI_TABANI!$D$29*B434*VERI_TABANI!$B$14 + VERI_TABANI!$D$29*C434*VERI_TABANI!$B$15 + IF(ISNUMBER(SEARCH("Var", D434)), VERI_TABANI!$F$29*VERI_TABANI!$B$16, 0))) / (((VERI_TABANI!$D$29*B434 + VERI_TABANI!$D$29*C434)*VERI_TABANI!$B$13 + IF(ISNUMBER(SEARCH("Var", D434)), VERI_TABANI!$E$29*(1-0.928)*VERI_TABANI!$B$18, 0))), 0)</f>
        <v/>
      </c>
      <c r="J434" s="171">
        <f>IFERROR(F434/(G434/29), 0)</f>
        <v/>
      </c>
      <c r="K434" s="172">
        <f>IF(F434&gt;0, H434/F434, 0)</f>
        <v/>
      </c>
      <c r="L434" s="170">
        <f>IF(F434&gt;0, I434, 1000000000)</f>
        <v/>
      </c>
      <c r="M434" s="171">
        <f>ABS((B434+C434)-1)</f>
        <v/>
      </c>
      <c r="N434" s="170">
        <f>IF(F434&gt;0, (G434/29)/F434, 0)</f>
        <v/>
      </c>
      <c r="O434" s="168">
        <f>IF(AND((B434+C434)&gt;=1, ISNUMBER(SEARCH("Var", D434))), F434, 1000000000)</f>
        <v/>
      </c>
      <c r="P434" s="172">
        <f>IF(F434&gt;0, SQRT((F434/MAX(F$5:F$886))^2 + (1 - H434/MAX(H$5:H$886))^2 + (J434/MAX(J$5:J$886))^2), 1000000000)</f>
        <v/>
      </c>
      <c r="Q434" s="166">
        <f>IF(AND(ABS(B434-0.5)&lt;0.01, ABS(C434-0.5)&lt;0.01, ISNUMBER(SEARCH("Var", D434))), 1, 0)</f>
        <v/>
      </c>
      <c r="R434" s="171">
        <f>IF(F434&gt;0, J434, 1000000000)</f>
        <v/>
      </c>
      <c r="S434" s="101">
        <f>IF(AND(F434&lt;=DASHBOARD!$B$11, H434&gt;=DASHBOARD!$B$13), G434, -1000000000000)</f>
        <v/>
      </c>
      <c r="T434" s="101">
        <f>IF(AND(F434&lt;=DASHBOARD!$B$11, H434&gt;=DASHBOARD!$B$13), R434, 1000000000000)</f>
        <v/>
      </c>
      <c r="U434" s="101">
        <f>IF(AND(F434&lt;=DASHBOARD!$B$11, H434&gt;=DASHBOARD!$B$13), N434, -1000000000000)</f>
        <v/>
      </c>
      <c r="V434" s="101">
        <f>IF(AND(F434&lt;=DASHBOARD!$B$11, H434&gt;=DASHBOARD!$B$13), H434, -1000000000000)</f>
        <v/>
      </c>
      <c r="W434" s="101">
        <f>IF(AND(F434&lt;=DASHBOARD!$B$11, H434&gt;=DASHBOARD!$B$13), K434, -1000000000000)</f>
        <v/>
      </c>
      <c r="X434" s="101">
        <f>IF(AND(F434&lt;=DASHBOARD!$B$11, H434&gt;=DASHBOARD!$B$13), M434, 1000000000000)</f>
        <v/>
      </c>
      <c r="Y434" s="101">
        <f>IF(AND(F434&lt;=DASHBOARD!$B$10, H434&gt;=DASHBOARD!$B$11), L434, 1000000000000)</f>
        <v/>
      </c>
      <c r="Z434" s="101">
        <f>IF(AND(F434&lt;=DASHBOARD!$B$10, H434&gt;=DASHBOARD!$B$11), O434, 1000000000000)</f>
        <v/>
      </c>
      <c r="AA434" s="101">
        <f>IF(AND(F434&lt;=DASHBOARD!$B$10, H434&gt;=DASHBOARD!$B$11), P434, 1000000000000)</f>
        <v/>
      </c>
      <c r="AB434" s="101">
        <f>IF(AND(F434&lt;=DASHBOARD!$B$10, H434&gt;=DASHBOARD!$B$11), Q434, -1000000000000)</f>
        <v/>
      </c>
    </row>
    <row r="435" ht="15" customHeight="1" s="102">
      <c r="A435" s="166" t="n">
        <v>431</v>
      </c>
      <c r="B435" s="167" t="n">
        <v>1</v>
      </c>
      <c r="C435" s="167" t="n">
        <v>0.5</v>
      </c>
      <c r="D435" s="110" t="inlineStr">
        <is>
          <t>Yok (%0)</t>
        </is>
      </c>
      <c r="E435" s="110">
        <f>IF((B435+C435)&lt;=1, "Tam Mahsuplaşma (≤%100)", "Kısmi Satış (&gt;%100)")</f>
        <v/>
      </c>
      <c r="F435" s="168">
        <f>((VERI_TABANI!$D$29*B435/VERI_TABANI!$B$29)/VERI_TABANI!$B$3)*VERI_TABANI!$B$5 + ((VERI_TABANI!$D$29*C435/VERI_TABANI!$B$29)/VERI_TABANI!$B$4)*VERI_TABANI!$B$6 + IF(ISNUMBER(SEARCH("Var", D435)), (VERI_TABANI!$F$29/VERI_TABANI!$B$29)*(VERI_TABANI!$B$10+VERI_TABANI!$B$12), 0)</f>
        <v/>
      </c>
      <c r="G435" s="168">
        <f>(((MIN(VERI_TABANI!D23, VERI_TABANI!D23*B435)*VERI_TABANI!$B$7 + MAX(0, VERI_TABANI!D23*B435-VERI_TABANI!D23)*VERI_TABANI!$B$8) + (MIN(MAX(0, VERI_TABANI!D23-VERI_TABANI!D23*B435), VERI_TABANI!D23*C435)*VERI_TABANI!$B$7 + MAX(0, VERI_TABANI!D23*C435-MAX(0, VERI_TABANI!D23-VERI_TABANI!D23*B435))*VERI_TABANI!$B$8) + IF(ABS(IF(ISNUMBER(SEARCH("Var", D435)), 1, IF(ISNUMBER(SEARCH("Gri", D435)), -1, 0)))=1, VERI_TABANI!E23*(1-0.928)*VERI_TABANI!$B$9, 0) + (VERI_TABANI!D23*B435*(VERI_TABANI!$B$13-VERI_TABANI!$B$14)*VERI_TABANI!G23) + (VERI_TABANI!D23*C435*(VERI_TABANI!$B$13-VERI_TABANI!$B$15)*VERI_TABANI!G23) + IF(ABS(IF(ISNUMBER(SEARCH("Var", D435)), 1, IF(ISNUMBER(SEARCH("Gri", D435)), -1, 0)))=1, VERI_TABANI!E23*(1-0.928)*0.00206091519919798*VERI_TABANI!G23, 0)) + ((MIN(VERI_TABANI!D24, VERI_TABANI!D24*B435)*VERI_TABANI!$B$7 + MAX(0, VERI_TABANI!D24*B435-VERI_TABANI!D24)*VERI_TABANI!$B$8) + (MIN(MAX(0, VERI_TABANI!D24-VERI_TABANI!D24*B435), VERI_TABANI!D24*C435)*VERI_TABANI!$B$7 + MAX(0, VERI_TABANI!D24*C435-MAX(0, VERI_TABANI!D24-VERI_TABANI!D24*B435))*VERI_TABANI!$B$8) + IF(ABS(IF(ISNUMBER(SEARCH("Var", D435)), 1, IF(ISNUMBER(SEARCH("Gri", D435)), -1, 0)))=1, VERI_TABANI!E24*(1-0.928)*VERI_TABANI!$B$9, 0) + (VERI_TABANI!D24*B435*(VERI_TABANI!$B$13-VERI_TABANI!$B$14)*VERI_TABANI!G24) + (VERI_TABANI!D24*C435*(VERI_TABANI!$B$13-VERI_TABANI!$B$15)*VERI_TABANI!G24) + IF(ABS(IF(ISNUMBER(SEARCH("Var", D435)), 1, IF(ISNUMBER(SEARCH("Gri", D435)), -1, 0)))=1, VERI_TABANI!E24*(1-0.928)*0.00206091519919798*VERI_TABANI!G24, 0)) + ((MIN(VERI_TABANI!D25, VERI_TABANI!D25*B435)*VERI_TABANI!$B$7 + MAX(0, VERI_TABANI!D25*B435-VERI_TABANI!D25)*VERI_TABANI!$B$8) + (MIN(MAX(0, VERI_TABANI!D25-VERI_TABANI!D25*B435), VERI_TABANI!D25*C435)*VERI_TABANI!$B$7 + MAX(0, VERI_TABANI!D25*C435-MAX(0, VERI_TABANI!D25-VERI_TABANI!D25*B435))*VERI_TABANI!$B$8) + IF(ABS(IF(ISNUMBER(SEARCH("Var", D435)), 1, IF(ISNUMBER(SEARCH("Gri", D435)), -1, 0)))=1, VERI_TABANI!E25*(1-0.928)*VERI_TABANI!$B$9, 0) + (VERI_TABANI!D25*B435*(VERI_TABANI!$B$13-VERI_TABANI!$B$14)*VERI_TABANI!G25) + (VERI_TABANI!D25*C435*(VERI_TABANI!$B$13-VERI_TABANI!$B$15)*VERI_TABANI!G25) + IF(ABS(IF(ISNUMBER(SEARCH("Var", D435)), 1, IF(ISNUMBER(SEARCH("Gri", D435)), -1, 0)))=1, VERI_TABANI!E25*(1-0.928)*0.00206091519919798*VERI_TABANI!G25, 0)) + ((MIN(VERI_TABANI!D26, VERI_TABANI!D26*B435)*VERI_TABANI!$B$7 + MAX(0, VERI_TABANI!D26*B435-VERI_TABANI!D26)*VERI_TABANI!$B$8) + (MIN(MAX(0, VERI_TABANI!D26-VERI_TABANI!D26*B435), VERI_TABANI!D26*C435)*VERI_TABANI!$B$7 + MAX(0, VERI_TABANI!D26*C435-MAX(0, VERI_TABANI!D26-VERI_TABANI!D26*B435))*VERI_TABANI!$B$8) + IF(ABS(IF(ISNUMBER(SEARCH("Var", D435)), 1, IF(ISNUMBER(SEARCH("Gri", D435)), -1, 0)))=1, VERI_TABANI!E26*(1-0.928)*VERI_TABANI!$B$9, 0) + (VERI_TABANI!D26*B435*(VERI_TABANI!$B$13-VERI_TABANI!$B$14)*VERI_TABANI!G26) + (VERI_TABANI!D26*C435*(VERI_TABANI!$B$13-VERI_TABANI!$B$15)*VERI_TABANI!G26) + IF(ABS(IF(ISNUMBER(SEARCH("Var", D435)), 1, IF(ISNUMBER(SEARCH("Gri", D435)), -1, 0)))=1, VERI_TABANI!E26*(1-0.928)*0.00206091519919798*VERI_TABANI!G26, 0)) + ((MIN(VERI_TABANI!D27, VERI_TABANI!D27*B435)*VERI_TABANI!$B$7 + MAX(0, VERI_TABANI!D27*B435-VERI_TABANI!D27)*VERI_TABANI!$B$8) + (MIN(MAX(0, VERI_TABANI!D27-VERI_TABANI!D27*B435), VERI_TABANI!D27*C435)*VERI_TABANI!$B$7 + MAX(0, VERI_TABANI!D27*C435-MAX(0, VERI_TABANI!D27-VERI_TABANI!D27*B435))*VERI_TABANI!$B$8) + IF(ABS(IF(ISNUMBER(SEARCH("Var", D435)), 1, IF(ISNUMBER(SEARCH("Gri", D435)), -1, 0)))=1, VERI_TABANI!E27*(1-0.928)*VERI_TABANI!$B$9, 0) + (VERI_TABANI!D27*B435*(VERI_TABANI!$B$13-VERI_TABANI!$B$14)*VERI_TABANI!G27) + (VERI_TABANI!D27*C435*(VERI_TABANI!$B$13-VERI_TABANI!$B$15)*VERI_TABANI!G27) + IF(ABS(IF(ISNUMBER(SEARCH("Var", D435)), 1, IF(ISNUMBER(SEARCH("Gri", D435)), -1, 0)))=1, VERI_TABANI!E27*(1-0.928)*0.00206091519919798*VERI_TABANI!G27, 0)) + ((MIN(VERI_TABANI!D28, VERI_TABANI!D28*B435)*VERI_TABANI!$B$7 + MAX(0, VERI_TABANI!D28*B435-VERI_TABANI!D28)*VERI_TABANI!$B$8) + (MIN(MAX(0, VERI_TABANI!D28-VERI_TABANI!D28*B435), VERI_TABANI!D28*C435)*VERI_TABANI!$B$7 + MAX(0, VERI_TABANI!D28*C435-MAX(0, VERI_TABANI!D28-VERI_TABANI!D28*B435))*VERI_TABANI!$B$8) + IF(ABS(IF(ISNUMBER(SEARCH("Var", D435)), 1, IF(ISNUMBER(SEARCH("Gri", D435)), -1, 0)))=1, VERI_TABANI!E28*(1-0.928)*VERI_TABANI!$B$9, 0) + (VERI_TABANI!D28*B435*(VERI_TABANI!$B$13-VERI_TABANI!$B$14)*VERI_TABANI!G28) + (VERI_TABANI!D28*C435*(VERI_TABANI!$B$13-VERI_TABANI!$B$15)*VERI_TABANI!G28) + IF(ABS(IF(ISNUMBER(SEARCH("Var", D435)), 1, IF(ISNUMBER(SEARCH("Gri", D435)), -1, 0)))=1, VERI_TABANI!E28*(1-0.928)*0.00206091519919798*VERI_TABANI!G28, 0)))</f>
        <v/>
      </c>
      <c r="H435" s="169">
        <f>(((VERI_TABANI!D23*B435*(VERI_TABANI!$B$13-VERI_TABANI!$B$14)) + (VERI_TABANI!D23*C435*(VERI_TABANI!$B$13-VERI_TABANI!$B$15)) + IF(ISNUMBER(SEARCH("Var", D435)), VERI_TABANI!F23*(0.00202-VERI_TABANI!$B$16), IF(ISNUMBER(SEARCH("Gri", D435)), VERI_TABANI!F23*(0.00202-VERI_TABANI!$B$17), 0))) + ((VERI_TABANI!D24*B435*(VERI_TABANI!$B$13-VERI_TABANI!$B$14)) + (VERI_TABANI!D24*C435*(VERI_TABANI!$B$13-VERI_TABANI!$B$15)) + IF(ISNUMBER(SEARCH("Var", D435)), VERI_TABANI!F24*(0.00202-VERI_TABANI!$B$16), IF(ISNUMBER(SEARCH("Gri", D435)), VERI_TABANI!F24*(0.00202-VERI_TABANI!$B$17), 0))) + ((VERI_TABANI!D25*B435*(VERI_TABANI!$B$13-VERI_TABANI!$B$14)) + (VERI_TABANI!D25*C435*(VERI_TABANI!$B$13-VERI_TABANI!$B$15)) + IF(ISNUMBER(SEARCH("Var", D435)), VERI_TABANI!F25*(0.00202-VERI_TABANI!$B$16), IF(ISNUMBER(SEARCH("Gri", D435)), VERI_TABANI!F25*(0.00202-VERI_TABANI!$B$17), 0))) + ((VERI_TABANI!D26*B435*(VERI_TABANI!$B$13-VERI_TABANI!$B$14)) + (VERI_TABANI!D26*C435*(VERI_TABANI!$B$13-VERI_TABANI!$B$15)) + IF(ISNUMBER(SEARCH("Var", D435)), VERI_TABANI!F26*(0.00202-VERI_TABANI!$B$16), IF(ISNUMBER(SEARCH("Gri", D435)), VERI_TABANI!F26*(0.00202-VERI_TABANI!$B$17), 0))) + ((VERI_TABANI!D27*B435*(VERI_TABANI!$B$13-VERI_TABANI!$B$14)) + (VERI_TABANI!D27*C435*(VERI_TABANI!$B$13-VERI_TABANI!$B$15)) + IF(ISNUMBER(SEARCH("Var", D435)), VERI_TABANI!F27*(0.00202-VERI_TABANI!$B$16), IF(ISNUMBER(SEARCH("Gri", D435)), VERI_TABANI!F27*(0.00202-VERI_TABANI!$B$17), 0))) + ((VERI_TABANI!D28*B435*(VERI_TABANI!$B$13-VERI_TABANI!$B$14)) + (VERI_TABANI!D28*C435*(VERI_TABANI!$B$13-VERI_TABANI!$B$15)) + IF(ISNUMBER(SEARCH("Var", D435)), VERI_TABANI!F28*(0.00202-VERI_TABANI!$B$16), IF(ISNUMBER(SEARCH("Gri", D435)), VERI_TABANI!F28*(0.00202-VERI_TABANI!$B$17), 0))))</f>
        <v/>
      </c>
      <c r="I435" s="170">
        <f>IFERROR(((VERI_TABANI!$D$29*B435*VERI_TABANI!$B$14 + VERI_TABANI!$D$29*C435*VERI_TABANI!$B$15 + IF(ISNUMBER(SEARCH("Var", D435)), VERI_TABANI!$F$29*VERI_TABANI!$B$16, 0))) / (((VERI_TABANI!$D$29*B435 + VERI_TABANI!$D$29*C435)*VERI_TABANI!$B$13 + IF(ISNUMBER(SEARCH("Var", D435)), VERI_TABANI!$E$29*(1-0.928)*VERI_TABANI!$B$18, 0))), 0)</f>
        <v/>
      </c>
      <c r="J435" s="171">
        <f>IFERROR(F435/(G435/29), 0)</f>
        <v/>
      </c>
      <c r="K435" s="172">
        <f>IF(F435&gt;0, H435/F435, 0)</f>
        <v/>
      </c>
      <c r="L435" s="170">
        <f>IF(F435&gt;0, I435, 1000000000)</f>
        <v/>
      </c>
      <c r="M435" s="171">
        <f>ABS((B435+C435)-1)</f>
        <v/>
      </c>
      <c r="N435" s="170">
        <f>IF(F435&gt;0, (G435/29)/F435, 0)</f>
        <v/>
      </c>
      <c r="O435" s="168">
        <f>IF(AND((B435+C435)&gt;=1, ISNUMBER(SEARCH("Var", D435))), F435, 1000000000)</f>
        <v/>
      </c>
      <c r="P435" s="172">
        <f>IF(F435&gt;0, SQRT((F435/MAX(F$5:F$886))^2 + (1 - H435/MAX(H$5:H$886))^2 + (J435/MAX(J$5:J$886))^2), 1000000000)</f>
        <v/>
      </c>
      <c r="Q435" s="166">
        <f>IF(AND(ABS(B435-0.5)&lt;0.01, ABS(C435-0.5)&lt;0.01, ISNUMBER(SEARCH("Var", D435))), 1, 0)</f>
        <v/>
      </c>
      <c r="R435" s="171">
        <f>IF(F435&gt;0, J435, 1000000000)</f>
        <v/>
      </c>
      <c r="S435" s="101">
        <f>IF(AND(F435&lt;=DASHBOARD!$B$11, H435&gt;=DASHBOARD!$B$13), G435, -1000000000000)</f>
        <v/>
      </c>
      <c r="T435" s="101">
        <f>IF(AND(F435&lt;=DASHBOARD!$B$11, H435&gt;=DASHBOARD!$B$13), R435, 1000000000000)</f>
        <v/>
      </c>
      <c r="U435" s="101">
        <f>IF(AND(F435&lt;=DASHBOARD!$B$11, H435&gt;=DASHBOARD!$B$13), N435, -1000000000000)</f>
        <v/>
      </c>
      <c r="V435" s="101">
        <f>IF(AND(F435&lt;=DASHBOARD!$B$11, H435&gt;=DASHBOARD!$B$13), H435, -1000000000000)</f>
        <v/>
      </c>
      <c r="W435" s="101">
        <f>IF(AND(F435&lt;=DASHBOARD!$B$11, H435&gt;=DASHBOARD!$B$13), K435, -1000000000000)</f>
        <v/>
      </c>
      <c r="X435" s="101">
        <f>IF(AND(F435&lt;=DASHBOARD!$B$11, H435&gt;=DASHBOARD!$B$13), M435, 1000000000000)</f>
        <v/>
      </c>
      <c r="Y435" s="101">
        <f>IF(AND(F435&lt;=DASHBOARD!$B$10, H435&gt;=DASHBOARD!$B$11), L435, 1000000000000)</f>
        <v/>
      </c>
      <c r="Z435" s="101">
        <f>IF(AND(F435&lt;=DASHBOARD!$B$10, H435&gt;=DASHBOARD!$B$11), O435, 1000000000000)</f>
        <v/>
      </c>
      <c r="AA435" s="101">
        <f>IF(AND(F435&lt;=DASHBOARD!$B$10, H435&gt;=DASHBOARD!$B$11), P435, 1000000000000)</f>
        <v/>
      </c>
      <c r="AB435" s="101">
        <f>IF(AND(F435&lt;=DASHBOARD!$B$10, H435&gt;=DASHBOARD!$B$11), Q435, -1000000000000)</f>
        <v/>
      </c>
    </row>
    <row r="436" ht="15" customHeight="1" s="102">
      <c r="A436" s="166" t="n">
        <v>432</v>
      </c>
      <c r="B436" s="167" t="n">
        <v>1</v>
      </c>
      <c r="C436" s="167" t="n">
        <v>0.5</v>
      </c>
      <c r="D436" s="110" t="inlineStr">
        <is>
          <t>Var (%20)</t>
        </is>
      </c>
      <c r="E436" s="110">
        <f>IF((B436+C436)&lt;=1, "Tam Mahsuplaşma (≤%100)", "Kısmi Satış (&gt;%100)")</f>
        <v/>
      </c>
      <c r="F436" s="168">
        <f>((VERI_TABANI!$D$29*B436/VERI_TABANI!$B$29)/VERI_TABANI!$B$3)*VERI_TABANI!$B$5 + ((VERI_TABANI!$D$29*C436/VERI_TABANI!$B$29)/VERI_TABANI!$B$4)*VERI_TABANI!$B$6 + IF(ISNUMBER(SEARCH("Var", D436)), (VERI_TABANI!$F$29/VERI_TABANI!$B$29)*(VERI_TABANI!$B$10+VERI_TABANI!$B$12), 0)</f>
        <v/>
      </c>
      <c r="G436" s="168">
        <f>(((MIN(VERI_TABANI!D23, VERI_TABANI!D23*B436)*VERI_TABANI!$B$7 + MAX(0, VERI_TABANI!D23*B436-VERI_TABANI!D23)*VERI_TABANI!$B$8) + (MIN(MAX(0, VERI_TABANI!D23-VERI_TABANI!D23*B436), VERI_TABANI!D23*C436)*VERI_TABANI!$B$7 + MAX(0, VERI_TABANI!D23*C436-MAX(0, VERI_TABANI!D23-VERI_TABANI!D23*B436))*VERI_TABANI!$B$8) + IF(ABS(IF(ISNUMBER(SEARCH("Var", D436)), 1, IF(ISNUMBER(SEARCH("Gri", D436)), -1, 0)))=1, VERI_TABANI!E23*(1-0.928)*VERI_TABANI!$B$9, 0) + (VERI_TABANI!D23*B436*(VERI_TABANI!$B$13-VERI_TABANI!$B$14)*VERI_TABANI!G23) + (VERI_TABANI!D23*C436*(VERI_TABANI!$B$13-VERI_TABANI!$B$15)*VERI_TABANI!G23) + IF(ABS(IF(ISNUMBER(SEARCH("Var", D436)), 1, IF(ISNUMBER(SEARCH("Gri", D436)), -1, 0)))=1, VERI_TABANI!E23*(1-0.928)*0.00206091519919798*VERI_TABANI!G23, 0)) + ((MIN(VERI_TABANI!D24, VERI_TABANI!D24*B436)*VERI_TABANI!$B$7 + MAX(0, VERI_TABANI!D24*B436-VERI_TABANI!D24)*VERI_TABANI!$B$8) + (MIN(MAX(0, VERI_TABANI!D24-VERI_TABANI!D24*B436), VERI_TABANI!D24*C436)*VERI_TABANI!$B$7 + MAX(0, VERI_TABANI!D24*C436-MAX(0, VERI_TABANI!D24-VERI_TABANI!D24*B436))*VERI_TABANI!$B$8) + IF(ABS(IF(ISNUMBER(SEARCH("Var", D436)), 1, IF(ISNUMBER(SEARCH("Gri", D436)), -1, 0)))=1, VERI_TABANI!E24*(1-0.928)*VERI_TABANI!$B$9, 0) + (VERI_TABANI!D24*B436*(VERI_TABANI!$B$13-VERI_TABANI!$B$14)*VERI_TABANI!G24) + (VERI_TABANI!D24*C436*(VERI_TABANI!$B$13-VERI_TABANI!$B$15)*VERI_TABANI!G24) + IF(ABS(IF(ISNUMBER(SEARCH("Var", D436)), 1, IF(ISNUMBER(SEARCH("Gri", D436)), -1, 0)))=1, VERI_TABANI!E24*(1-0.928)*0.00206091519919798*VERI_TABANI!G24, 0)) + ((MIN(VERI_TABANI!D25, VERI_TABANI!D25*B436)*VERI_TABANI!$B$7 + MAX(0, VERI_TABANI!D25*B436-VERI_TABANI!D25)*VERI_TABANI!$B$8) + (MIN(MAX(0, VERI_TABANI!D25-VERI_TABANI!D25*B436), VERI_TABANI!D25*C436)*VERI_TABANI!$B$7 + MAX(0, VERI_TABANI!D25*C436-MAX(0, VERI_TABANI!D25-VERI_TABANI!D25*B436))*VERI_TABANI!$B$8) + IF(ABS(IF(ISNUMBER(SEARCH("Var", D436)), 1, IF(ISNUMBER(SEARCH("Gri", D436)), -1, 0)))=1, VERI_TABANI!E25*(1-0.928)*VERI_TABANI!$B$9, 0) + (VERI_TABANI!D25*B436*(VERI_TABANI!$B$13-VERI_TABANI!$B$14)*VERI_TABANI!G25) + (VERI_TABANI!D25*C436*(VERI_TABANI!$B$13-VERI_TABANI!$B$15)*VERI_TABANI!G25) + IF(ABS(IF(ISNUMBER(SEARCH("Var", D436)), 1, IF(ISNUMBER(SEARCH("Gri", D436)), -1, 0)))=1, VERI_TABANI!E25*(1-0.928)*0.00206091519919798*VERI_TABANI!G25, 0)) + ((MIN(VERI_TABANI!D26, VERI_TABANI!D26*B436)*VERI_TABANI!$B$7 + MAX(0, VERI_TABANI!D26*B436-VERI_TABANI!D26)*VERI_TABANI!$B$8) + (MIN(MAX(0, VERI_TABANI!D26-VERI_TABANI!D26*B436), VERI_TABANI!D26*C436)*VERI_TABANI!$B$7 + MAX(0, VERI_TABANI!D26*C436-MAX(0, VERI_TABANI!D26-VERI_TABANI!D26*B436))*VERI_TABANI!$B$8) + IF(ABS(IF(ISNUMBER(SEARCH("Var", D436)), 1, IF(ISNUMBER(SEARCH("Gri", D436)), -1, 0)))=1, VERI_TABANI!E26*(1-0.928)*VERI_TABANI!$B$9, 0) + (VERI_TABANI!D26*B436*(VERI_TABANI!$B$13-VERI_TABANI!$B$14)*VERI_TABANI!G26) + (VERI_TABANI!D26*C436*(VERI_TABANI!$B$13-VERI_TABANI!$B$15)*VERI_TABANI!G26) + IF(ABS(IF(ISNUMBER(SEARCH("Var", D436)), 1, IF(ISNUMBER(SEARCH("Gri", D436)), -1, 0)))=1, VERI_TABANI!E26*(1-0.928)*0.00206091519919798*VERI_TABANI!G26, 0)) + ((MIN(VERI_TABANI!D27, VERI_TABANI!D27*B436)*VERI_TABANI!$B$7 + MAX(0, VERI_TABANI!D27*B436-VERI_TABANI!D27)*VERI_TABANI!$B$8) + (MIN(MAX(0, VERI_TABANI!D27-VERI_TABANI!D27*B436), VERI_TABANI!D27*C436)*VERI_TABANI!$B$7 + MAX(0, VERI_TABANI!D27*C436-MAX(0, VERI_TABANI!D27-VERI_TABANI!D27*B436))*VERI_TABANI!$B$8) + IF(ABS(IF(ISNUMBER(SEARCH("Var", D436)), 1, IF(ISNUMBER(SEARCH("Gri", D436)), -1, 0)))=1, VERI_TABANI!E27*(1-0.928)*VERI_TABANI!$B$9, 0) + (VERI_TABANI!D27*B436*(VERI_TABANI!$B$13-VERI_TABANI!$B$14)*VERI_TABANI!G27) + (VERI_TABANI!D27*C436*(VERI_TABANI!$B$13-VERI_TABANI!$B$15)*VERI_TABANI!G27) + IF(ABS(IF(ISNUMBER(SEARCH("Var", D436)), 1, IF(ISNUMBER(SEARCH("Gri", D436)), -1, 0)))=1, VERI_TABANI!E27*(1-0.928)*0.00206091519919798*VERI_TABANI!G27, 0)) + ((MIN(VERI_TABANI!D28, VERI_TABANI!D28*B436)*VERI_TABANI!$B$7 + MAX(0, VERI_TABANI!D28*B436-VERI_TABANI!D28)*VERI_TABANI!$B$8) + (MIN(MAX(0, VERI_TABANI!D28-VERI_TABANI!D28*B436), VERI_TABANI!D28*C436)*VERI_TABANI!$B$7 + MAX(0, VERI_TABANI!D28*C436-MAX(0, VERI_TABANI!D28-VERI_TABANI!D28*B436))*VERI_TABANI!$B$8) + IF(ABS(IF(ISNUMBER(SEARCH("Var", D436)), 1, IF(ISNUMBER(SEARCH("Gri", D436)), -1, 0)))=1, VERI_TABANI!E28*(1-0.928)*VERI_TABANI!$B$9, 0) + (VERI_TABANI!D28*B436*(VERI_TABANI!$B$13-VERI_TABANI!$B$14)*VERI_TABANI!G28) + (VERI_TABANI!D28*C436*(VERI_TABANI!$B$13-VERI_TABANI!$B$15)*VERI_TABANI!G28) + IF(ABS(IF(ISNUMBER(SEARCH("Var", D436)), 1, IF(ISNUMBER(SEARCH("Gri", D436)), -1, 0)))=1, VERI_TABANI!E28*(1-0.928)*0.00206091519919798*VERI_TABANI!G28, 0)))</f>
        <v/>
      </c>
      <c r="H436" s="169">
        <f>(((VERI_TABANI!D23*B436*(VERI_TABANI!$B$13-VERI_TABANI!$B$14)) + (VERI_TABANI!D23*C436*(VERI_TABANI!$B$13-VERI_TABANI!$B$15)) + IF(ISNUMBER(SEARCH("Var", D436)), VERI_TABANI!F23*(0.00202-VERI_TABANI!$B$16), IF(ISNUMBER(SEARCH("Gri", D436)), VERI_TABANI!F23*(0.00202-VERI_TABANI!$B$17), 0))) + ((VERI_TABANI!D24*B436*(VERI_TABANI!$B$13-VERI_TABANI!$B$14)) + (VERI_TABANI!D24*C436*(VERI_TABANI!$B$13-VERI_TABANI!$B$15)) + IF(ISNUMBER(SEARCH("Var", D436)), VERI_TABANI!F24*(0.00202-VERI_TABANI!$B$16), IF(ISNUMBER(SEARCH("Gri", D436)), VERI_TABANI!F24*(0.00202-VERI_TABANI!$B$17), 0))) + ((VERI_TABANI!D25*B436*(VERI_TABANI!$B$13-VERI_TABANI!$B$14)) + (VERI_TABANI!D25*C436*(VERI_TABANI!$B$13-VERI_TABANI!$B$15)) + IF(ISNUMBER(SEARCH("Var", D436)), VERI_TABANI!F25*(0.00202-VERI_TABANI!$B$16), IF(ISNUMBER(SEARCH("Gri", D436)), VERI_TABANI!F25*(0.00202-VERI_TABANI!$B$17), 0))) + ((VERI_TABANI!D26*B436*(VERI_TABANI!$B$13-VERI_TABANI!$B$14)) + (VERI_TABANI!D26*C436*(VERI_TABANI!$B$13-VERI_TABANI!$B$15)) + IF(ISNUMBER(SEARCH("Var", D436)), VERI_TABANI!F26*(0.00202-VERI_TABANI!$B$16), IF(ISNUMBER(SEARCH("Gri", D436)), VERI_TABANI!F26*(0.00202-VERI_TABANI!$B$17), 0))) + ((VERI_TABANI!D27*B436*(VERI_TABANI!$B$13-VERI_TABANI!$B$14)) + (VERI_TABANI!D27*C436*(VERI_TABANI!$B$13-VERI_TABANI!$B$15)) + IF(ISNUMBER(SEARCH("Var", D436)), VERI_TABANI!F27*(0.00202-VERI_TABANI!$B$16), IF(ISNUMBER(SEARCH("Gri", D436)), VERI_TABANI!F27*(0.00202-VERI_TABANI!$B$17), 0))) + ((VERI_TABANI!D28*B436*(VERI_TABANI!$B$13-VERI_TABANI!$B$14)) + (VERI_TABANI!D28*C436*(VERI_TABANI!$B$13-VERI_TABANI!$B$15)) + IF(ISNUMBER(SEARCH("Var", D436)), VERI_TABANI!F28*(0.00202-VERI_TABANI!$B$16), IF(ISNUMBER(SEARCH("Gri", D436)), VERI_TABANI!F28*(0.00202-VERI_TABANI!$B$17), 0))))</f>
        <v/>
      </c>
      <c r="I436" s="170">
        <f>IFERROR(((VERI_TABANI!$D$29*B436*VERI_TABANI!$B$14 + VERI_TABANI!$D$29*C436*VERI_TABANI!$B$15 + IF(ISNUMBER(SEARCH("Var", D436)), VERI_TABANI!$F$29*VERI_TABANI!$B$16, 0))) / (((VERI_TABANI!$D$29*B436 + VERI_TABANI!$D$29*C436)*VERI_TABANI!$B$13 + IF(ISNUMBER(SEARCH("Var", D436)), VERI_TABANI!$E$29*(1-0.928)*VERI_TABANI!$B$18, 0))), 0)</f>
        <v/>
      </c>
      <c r="J436" s="171">
        <f>IFERROR(F436/(G436/29), 0)</f>
        <v/>
      </c>
      <c r="K436" s="172">
        <f>IF(F436&gt;0, H436/F436, 0)</f>
        <v/>
      </c>
      <c r="L436" s="170">
        <f>IF(F436&gt;0, I436, 1000000000)</f>
        <v/>
      </c>
      <c r="M436" s="171">
        <f>ABS((B436+C436)-1)</f>
        <v/>
      </c>
      <c r="N436" s="170">
        <f>IF(F436&gt;0, (G436/29)/F436, 0)</f>
        <v/>
      </c>
      <c r="O436" s="168">
        <f>IF(AND((B436+C436)&gt;=1, ISNUMBER(SEARCH("Var", D436))), F436, 1000000000)</f>
        <v/>
      </c>
      <c r="P436" s="172">
        <f>IF(F436&gt;0, SQRT((F436/MAX(F$5:F$886))^2 + (1 - H436/MAX(H$5:H$886))^2 + (J436/MAX(J$5:J$886))^2), 1000000000)</f>
        <v/>
      </c>
      <c r="Q436" s="166">
        <f>IF(AND(ABS(B436-0.5)&lt;0.01, ABS(C436-0.5)&lt;0.01, ISNUMBER(SEARCH("Var", D436))), 1, 0)</f>
        <v/>
      </c>
      <c r="R436" s="171">
        <f>IF(F436&gt;0, J436, 1000000000)</f>
        <v/>
      </c>
      <c r="S436" s="101">
        <f>IF(AND(F436&lt;=DASHBOARD!$B$11, H436&gt;=DASHBOARD!$B$13), G436, -1000000000000)</f>
        <v/>
      </c>
      <c r="T436" s="101">
        <f>IF(AND(F436&lt;=DASHBOARD!$B$11, H436&gt;=DASHBOARD!$B$13), R436, 1000000000000)</f>
        <v/>
      </c>
      <c r="U436" s="101">
        <f>IF(AND(F436&lt;=DASHBOARD!$B$11, H436&gt;=DASHBOARD!$B$13), N436, -1000000000000)</f>
        <v/>
      </c>
      <c r="V436" s="101">
        <f>IF(AND(F436&lt;=DASHBOARD!$B$11, H436&gt;=DASHBOARD!$B$13), H436, -1000000000000)</f>
        <v/>
      </c>
      <c r="W436" s="101">
        <f>IF(AND(F436&lt;=DASHBOARD!$B$11, H436&gt;=DASHBOARD!$B$13), K436, -1000000000000)</f>
        <v/>
      </c>
      <c r="X436" s="101">
        <f>IF(AND(F436&lt;=DASHBOARD!$B$11, H436&gt;=DASHBOARD!$B$13), M436, 1000000000000)</f>
        <v/>
      </c>
      <c r="Y436" s="101">
        <f>IF(AND(F436&lt;=DASHBOARD!$B$10, H436&gt;=DASHBOARD!$B$11), L436, 1000000000000)</f>
        <v/>
      </c>
      <c r="Z436" s="101">
        <f>IF(AND(F436&lt;=DASHBOARD!$B$10, H436&gt;=DASHBOARD!$B$11), O436, 1000000000000)</f>
        <v/>
      </c>
      <c r="AA436" s="101">
        <f>IF(AND(F436&lt;=DASHBOARD!$B$10, H436&gt;=DASHBOARD!$B$11), P436, 1000000000000)</f>
        <v/>
      </c>
      <c r="AB436" s="101">
        <f>IF(AND(F436&lt;=DASHBOARD!$B$10, H436&gt;=DASHBOARD!$B$11), Q436, -1000000000000)</f>
        <v/>
      </c>
    </row>
    <row r="437" ht="15" customHeight="1" s="102">
      <c r="A437" s="166" t="n">
        <v>433</v>
      </c>
      <c r="B437" s="167" t="n">
        <v>1</v>
      </c>
      <c r="C437" s="167" t="n">
        <v>0.6</v>
      </c>
      <c r="D437" s="110" t="inlineStr">
        <is>
          <t>Yok (%0)</t>
        </is>
      </c>
      <c r="E437" s="110">
        <f>IF((B437+C437)&lt;=1, "Tam Mahsuplaşma (≤%100)", "Kısmi Satış (&gt;%100)")</f>
        <v/>
      </c>
      <c r="F437" s="168">
        <f>((VERI_TABANI!$D$29*B437/VERI_TABANI!$B$29)/VERI_TABANI!$B$3)*VERI_TABANI!$B$5 + ((VERI_TABANI!$D$29*C437/VERI_TABANI!$B$29)/VERI_TABANI!$B$4)*VERI_TABANI!$B$6 + IF(ISNUMBER(SEARCH("Var", D437)), (VERI_TABANI!$F$29/VERI_TABANI!$B$29)*(VERI_TABANI!$B$10+VERI_TABANI!$B$12), 0)</f>
        <v/>
      </c>
      <c r="G437" s="168">
        <f>(((MIN(VERI_TABANI!D23, VERI_TABANI!D23*B437)*VERI_TABANI!$B$7 + MAX(0, VERI_TABANI!D23*B437-VERI_TABANI!D23)*VERI_TABANI!$B$8) + (MIN(MAX(0, VERI_TABANI!D23-VERI_TABANI!D23*B437), VERI_TABANI!D23*C437)*VERI_TABANI!$B$7 + MAX(0, VERI_TABANI!D23*C437-MAX(0, VERI_TABANI!D23-VERI_TABANI!D23*B437))*VERI_TABANI!$B$8) + IF(ABS(IF(ISNUMBER(SEARCH("Var", D437)), 1, IF(ISNUMBER(SEARCH("Gri", D437)), -1, 0)))=1, VERI_TABANI!E23*(1-0.928)*VERI_TABANI!$B$9, 0) + (VERI_TABANI!D23*B437*(VERI_TABANI!$B$13-VERI_TABANI!$B$14)*VERI_TABANI!G23) + (VERI_TABANI!D23*C437*(VERI_TABANI!$B$13-VERI_TABANI!$B$15)*VERI_TABANI!G23) + IF(ABS(IF(ISNUMBER(SEARCH("Var", D437)), 1, IF(ISNUMBER(SEARCH("Gri", D437)), -1, 0)))=1, VERI_TABANI!E23*(1-0.928)*0.00206091519919798*VERI_TABANI!G23, 0)) + ((MIN(VERI_TABANI!D24, VERI_TABANI!D24*B437)*VERI_TABANI!$B$7 + MAX(0, VERI_TABANI!D24*B437-VERI_TABANI!D24)*VERI_TABANI!$B$8) + (MIN(MAX(0, VERI_TABANI!D24-VERI_TABANI!D24*B437), VERI_TABANI!D24*C437)*VERI_TABANI!$B$7 + MAX(0, VERI_TABANI!D24*C437-MAX(0, VERI_TABANI!D24-VERI_TABANI!D24*B437))*VERI_TABANI!$B$8) + IF(ABS(IF(ISNUMBER(SEARCH("Var", D437)), 1, IF(ISNUMBER(SEARCH("Gri", D437)), -1, 0)))=1, VERI_TABANI!E24*(1-0.928)*VERI_TABANI!$B$9, 0) + (VERI_TABANI!D24*B437*(VERI_TABANI!$B$13-VERI_TABANI!$B$14)*VERI_TABANI!G24) + (VERI_TABANI!D24*C437*(VERI_TABANI!$B$13-VERI_TABANI!$B$15)*VERI_TABANI!G24) + IF(ABS(IF(ISNUMBER(SEARCH("Var", D437)), 1, IF(ISNUMBER(SEARCH("Gri", D437)), -1, 0)))=1, VERI_TABANI!E24*(1-0.928)*0.00206091519919798*VERI_TABANI!G24, 0)) + ((MIN(VERI_TABANI!D25, VERI_TABANI!D25*B437)*VERI_TABANI!$B$7 + MAX(0, VERI_TABANI!D25*B437-VERI_TABANI!D25)*VERI_TABANI!$B$8) + (MIN(MAX(0, VERI_TABANI!D25-VERI_TABANI!D25*B437), VERI_TABANI!D25*C437)*VERI_TABANI!$B$7 + MAX(0, VERI_TABANI!D25*C437-MAX(0, VERI_TABANI!D25-VERI_TABANI!D25*B437))*VERI_TABANI!$B$8) + IF(ABS(IF(ISNUMBER(SEARCH("Var", D437)), 1, IF(ISNUMBER(SEARCH("Gri", D437)), -1, 0)))=1, VERI_TABANI!E25*(1-0.928)*VERI_TABANI!$B$9, 0) + (VERI_TABANI!D25*B437*(VERI_TABANI!$B$13-VERI_TABANI!$B$14)*VERI_TABANI!G25) + (VERI_TABANI!D25*C437*(VERI_TABANI!$B$13-VERI_TABANI!$B$15)*VERI_TABANI!G25) + IF(ABS(IF(ISNUMBER(SEARCH("Var", D437)), 1, IF(ISNUMBER(SEARCH("Gri", D437)), -1, 0)))=1, VERI_TABANI!E25*(1-0.928)*0.00206091519919798*VERI_TABANI!G25, 0)) + ((MIN(VERI_TABANI!D26, VERI_TABANI!D26*B437)*VERI_TABANI!$B$7 + MAX(0, VERI_TABANI!D26*B437-VERI_TABANI!D26)*VERI_TABANI!$B$8) + (MIN(MAX(0, VERI_TABANI!D26-VERI_TABANI!D26*B437), VERI_TABANI!D26*C437)*VERI_TABANI!$B$7 + MAX(0, VERI_TABANI!D26*C437-MAX(0, VERI_TABANI!D26-VERI_TABANI!D26*B437))*VERI_TABANI!$B$8) + IF(ABS(IF(ISNUMBER(SEARCH("Var", D437)), 1, IF(ISNUMBER(SEARCH("Gri", D437)), -1, 0)))=1, VERI_TABANI!E26*(1-0.928)*VERI_TABANI!$B$9, 0) + (VERI_TABANI!D26*B437*(VERI_TABANI!$B$13-VERI_TABANI!$B$14)*VERI_TABANI!G26) + (VERI_TABANI!D26*C437*(VERI_TABANI!$B$13-VERI_TABANI!$B$15)*VERI_TABANI!G26) + IF(ABS(IF(ISNUMBER(SEARCH("Var", D437)), 1, IF(ISNUMBER(SEARCH("Gri", D437)), -1, 0)))=1, VERI_TABANI!E26*(1-0.928)*0.00206091519919798*VERI_TABANI!G26, 0)) + ((MIN(VERI_TABANI!D27, VERI_TABANI!D27*B437)*VERI_TABANI!$B$7 + MAX(0, VERI_TABANI!D27*B437-VERI_TABANI!D27)*VERI_TABANI!$B$8) + (MIN(MAX(0, VERI_TABANI!D27-VERI_TABANI!D27*B437), VERI_TABANI!D27*C437)*VERI_TABANI!$B$7 + MAX(0, VERI_TABANI!D27*C437-MAX(0, VERI_TABANI!D27-VERI_TABANI!D27*B437))*VERI_TABANI!$B$8) + IF(ABS(IF(ISNUMBER(SEARCH("Var", D437)), 1, IF(ISNUMBER(SEARCH("Gri", D437)), -1, 0)))=1, VERI_TABANI!E27*(1-0.928)*VERI_TABANI!$B$9, 0) + (VERI_TABANI!D27*B437*(VERI_TABANI!$B$13-VERI_TABANI!$B$14)*VERI_TABANI!G27) + (VERI_TABANI!D27*C437*(VERI_TABANI!$B$13-VERI_TABANI!$B$15)*VERI_TABANI!G27) + IF(ABS(IF(ISNUMBER(SEARCH("Var", D437)), 1, IF(ISNUMBER(SEARCH("Gri", D437)), -1, 0)))=1, VERI_TABANI!E27*(1-0.928)*0.00206091519919798*VERI_TABANI!G27, 0)) + ((MIN(VERI_TABANI!D28, VERI_TABANI!D28*B437)*VERI_TABANI!$B$7 + MAX(0, VERI_TABANI!D28*B437-VERI_TABANI!D28)*VERI_TABANI!$B$8) + (MIN(MAX(0, VERI_TABANI!D28-VERI_TABANI!D28*B437), VERI_TABANI!D28*C437)*VERI_TABANI!$B$7 + MAX(0, VERI_TABANI!D28*C437-MAX(0, VERI_TABANI!D28-VERI_TABANI!D28*B437))*VERI_TABANI!$B$8) + IF(ABS(IF(ISNUMBER(SEARCH("Var", D437)), 1, IF(ISNUMBER(SEARCH("Gri", D437)), -1, 0)))=1, VERI_TABANI!E28*(1-0.928)*VERI_TABANI!$B$9, 0) + (VERI_TABANI!D28*B437*(VERI_TABANI!$B$13-VERI_TABANI!$B$14)*VERI_TABANI!G28) + (VERI_TABANI!D28*C437*(VERI_TABANI!$B$13-VERI_TABANI!$B$15)*VERI_TABANI!G28) + IF(ABS(IF(ISNUMBER(SEARCH("Var", D437)), 1, IF(ISNUMBER(SEARCH("Gri", D437)), -1, 0)))=1, VERI_TABANI!E28*(1-0.928)*0.00206091519919798*VERI_TABANI!G28, 0)))</f>
        <v/>
      </c>
      <c r="H437" s="169">
        <f>(((VERI_TABANI!D23*B437*(VERI_TABANI!$B$13-VERI_TABANI!$B$14)) + (VERI_TABANI!D23*C437*(VERI_TABANI!$B$13-VERI_TABANI!$B$15)) + IF(ISNUMBER(SEARCH("Var", D437)), VERI_TABANI!F23*(0.00202-VERI_TABANI!$B$16), IF(ISNUMBER(SEARCH("Gri", D437)), VERI_TABANI!F23*(0.00202-VERI_TABANI!$B$17), 0))) + ((VERI_TABANI!D24*B437*(VERI_TABANI!$B$13-VERI_TABANI!$B$14)) + (VERI_TABANI!D24*C437*(VERI_TABANI!$B$13-VERI_TABANI!$B$15)) + IF(ISNUMBER(SEARCH("Var", D437)), VERI_TABANI!F24*(0.00202-VERI_TABANI!$B$16), IF(ISNUMBER(SEARCH("Gri", D437)), VERI_TABANI!F24*(0.00202-VERI_TABANI!$B$17), 0))) + ((VERI_TABANI!D25*B437*(VERI_TABANI!$B$13-VERI_TABANI!$B$14)) + (VERI_TABANI!D25*C437*(VERI_TABANI!$B$13-VERI_TABANI!$B$15)) + IF(ISNUMBER(SEARCH("Var", D437)), VERI_TABANI!F25*(0.00202-VERI_TABANI!$B$16), IF(ISNUMBER(SEARCH("Gri", D437)), VERI_TABANI!F25*(0.00202-VERI_TABANI!$B$17), 0))) + ((VERI_TABANI!D26*B437*(VERI_TABANI!$B$13-VERI_TABANI!$B$14)) + (VERI_TABANI!D26*C437*(VERI_TABANI!$B$13-VERI_TABANI!$B$15)) + IF(ISNUMBER(SEARCH("Var", D437)), VERI_TABANI!F26*(0.00202-VERI_TABANI!$B$16), IF(ISNUMBER(SEARCH("Gri", D437)), VERI_TABANI!F26*(0.00202-VERI_TABANI!$B$17), 0))) + ((VERI_TABANI!D27*B437*(VERI_TABANI!$B$13-VERI_TABANI!$B$14)) + (VERI_TABANI!D27*C437*(VERI_TABANI!$B$13-VERI_TABANI!$B$15)) + IF(ISNUMBER(SEARCH("Var", D437)), VERI_TABANI!F27*(0.00202-VERI_TABANI!$B$16), IF(ISNUMBER(SEARCH("Gri", D437)), VERI_TABANI!F27*(0.00202-VERI_TABANI!$B$17), 0))) + ((VERI_TABANI!D28*B437*(VERI_TABANI!$B$13-VERI_TABANI!$B$14)) + (VERI_TABANI!D28*C437*(VERI_TABANI!$B$13-VERI_TABANI!$B$15)) + IF(ISNUMBER(SEARCH("Var", D437)), VERI_TABANI!F28*(0.00202-VERI_TABANI!$B$16), IF(ISNUMBER(SEARCH("Gri", D437)), VERI_TABANI!F28*(0.00202-VERI_TABANI!$B$17), 0))))</f>
        <v/>
      </c>
      <c r="I437" s="170">
        <f>IFERROR(((VERI_TABANI!$D$29*B437*VERI_TABANI!$B$14 + VERI_TABANI!$D$29*C437*VERI_TABANI!$B$15 + IF(ISNUMBER(SEARCH("Var", D437)), VERI_TABANI!$F$29*VERI_TABANI!$B$16, 0))) / (((VERI_TABANI!$D$29*B437 + VERI_TABANI!$D$29*C437)*VERI_TABANI!$B$13 + IF(ISNUMBER(SEARCH("Var", D437)), VERI_TABANI!$E$29*(1-0.928)*VERI_TABANI!$B$18, 0))), 0)</f>
        <v/>
      </c>
      <c r="J437" s="171">
        <f>IFERROR(F437/(G437/29), 0)</f>
        <v/>
      </c>
      <c r="K437" s="172">
        <f>IF(F437&gt;0, H437/F437, 0)</f>
        <v/>
      </c>
      <c r="L437" s="170">
        <f>IF(F437&gt;0, I437, 1000000000)</f>
        <v/>
      </c>
      <c r="M437" s="171">
        <f>ABS((B437+C437)-1)</f>
        <v/>
      </c>
      <c r="N437" s="170">
        <f>IF(F437&gt;0, (G437/29)/F437, 0)</f>
        <v/>
      </c>
      <c r="O437" s="168">
        <f>IF(AND((B437+C437)&gt;=1, ISNUMBER(SEARCH("Var", D437))), F437, 1000000000)</f>
        <v/>
      </c>
      <c r="P437" s="172">
        <f>IF(F437&gt;0, SQRT((F437/MAX(F$5:F$886))^2 + (1 - H437/MAX(H$5:H$886))^2 + (J437/MAX(J$5:J$886))^2), 1000000000)</f>
        <v/>
      </c>
      <c r="Q437" s="166">
        <f>IF(AND(ABS(B437-0.5)&lt;0.01, ABS(C437-0.5)&lt;0.01, ISNUMBER(SEARCH("Var", D437))), 1, 0)</f>
        <v/>
      </c>
      <c r="R437" s="171">
        <f>IF(F437&gt;0, J437, 1000000000)</f>
        <v/>
      </c>
      <c r="S437" s="101">
        <f>IF(AND(F437&lt;=DASHBOARD!$B$11, H437&gt;=DASHBOARD!$B$13), G437, -1000000000000)</f>
        <v/>
      </c>
      <c r="T437" s="101">
        <f>IF(AND(F437&lt;=DASHBOARD!$B$11, H437&gt;=DASHBOARD!$B$13), R437, 1000000000000)</f>
        <v/>
      </c>
      <c r="U437" s="101">
        <f>IF(AND(F437&lt;=DASHBOARD!$B$11, H437&gt;=DASHBOARD!$B$13), N437, -1000000000000)</f>
        <v/>
      </c>
      <c r="V437" s="101">
        <f>IF(AND(F437&lt;=DASHBOARD!$B$11, H437&gt;=DASHBOARD!$B$13), H437, -1000000000000)</f>
        <v/>
      </c>
      <c r="W437" s="101">
        <f>IF(AND(F437&lt;=DASHBOARD!$B$11, H437&gt;=DASHBOARD!$B$13), K437, -1000000000000)</f>
        <v/>
      </c>
      <c r="X437" s="101">
        <f>IF(AND(F437&lt;=DASHBOARD!$B$11, H437&gt;=DASHBOARD!$B$13), M437, 1000000000000)</f>
        <v/>
      </c>
      <c r="Y437" s="101">
        <f>IF(AND(F437&lt;=DASHBOARD!$B$10, H437&gt;=DASHBOARD!$B$11), L437, 1000000000000)</f>
        <v/>
      </c>
      <c r="Z437" s="101">
        <f>IF(AND(F437&lt;=DASHBOARD!$B$10, H437&gt;=DASHBOARD!$B$11), O437, 1000000000000)</f>
        <v/>
      </c>
      <c r="AA437" s="101">
        <f>IF(AND(F437&lt;=DASHBOARD!$B$10, H437&gt;=DASHBOARD!$B$11), P437, 1000000000000)</f>
        <v/>
      </c>
      <c r="AB437" s="101">
        <f>IF(AND(F437&lt;=DASHBOARD!$B$10, H437&gt;=DASHBOARD!$B$11), Q437, -1000000000000)</f>
        <v/>
      </c>
    </row>
    <row r="438" ht="15" customHeight="1" s="102">
      <c r="A438" s="166" t="n">
        <v>434</v>
      </c>
      <c r="B438" s="167" t="n">
        <v>1</v>
      </c>
      <c r="C438" s="167" t="n">
        <v>0.6</v>
      </c>
      <c r="D438" s="110" t="inlineStr">
        <is>
          <t>Var (%20)</t>
        </is>
      </c>
      <c r="E438" s="110">
        <f>IF((B438+C438)&lt;=1, "Tam Mahsuplaşma (≤%100)", "Kısmi Satış (&gt;%100)")</f>
        <v/>
      </c>
      <c r="F438" s="168">
        <f>((VERI_TABANI!$D$29*B438/VERI_TABANI!$B$29)/VERI_TABANI!$B$3)*VERI_TABANI!$B$5 + ((VERI_TABANI!$D$29*C438/VERI_TABANI!$B$29)/VERI_TABANI!$B$4)*VERI_TABANI!$B$6 + IF(ISNUMBER(SEARCH("Var", D438)), (VERI_TABANI!$F$29/VERI_TABANI!$B$29)*(VERI_TABANI!$B$10+VERI_TABANI!$B$12), 0)</f>
        <v/>
      </c>
      <c r="G438" s="168">
        <f>(((MIN(VERI_TABANI!D23, VERI_TABANI!D23*B438)*VERI_TABANI!$B$7 + MAX(0, VERI_TABANI!D23*B438-VERI_TABANI!D23)*VERI_TABANI!$B$8) + (MIN(MAX(0, VERI_TABANI!D23-VERI_TABANI!D23*B438), VERI_TABANI!D23*C438)*VERI_TABANI!$B$7 + MAX(0, VERI_TABANI!D23*C438-MAX(0, VERI_TABANI!D23-VERI_TABANI!D23*B438))*VERI_TABANI!$B$8) + IF(ABS(IF(ISNUMBER(SEARCH("Var", D438)), 1, IF(ISNUMBER(SEARCH("Gri", D438)), -1, 0)))=1, VERI_TABANI!E23*(1-0.928)*VERI_TABANI!$B$9, 0) + (VERI_TABANI!D23*B438*(VERI_TABANI!$B$13-VERI_TABANI!$B$14)*VERI_TABANI!G23) + (VERI_TABANI!D23*C438*(VERI_TABANI!$B$13-VERI_TABANI!$B$15)*VERI_TABANI!G23) + IF(ABS(IF(ISNUMBER(SEARCH("Var", D438)), 1, IF(ISNUMBER(SEARCH("Gri", D438)), -1, 0)))=1, VERI_TABANI!E23*(1-0.928)*0.00206091519919798*VERI_TABANI!G23, 0)) + ((MIN(VERI_TABANI!D24, VERI_TABANI!D24*B438)*VERI_TABANI!$B$7 + MAX(0, VERI_TABANI!D24*B438-VERI_TABANI!D24)*VERI_TABANI!$B$8) + (MIN(MAX(0, VERI_TABANI!D24-VERI_TABANI!D24*B438), VERI_TABANI!D24*C438)*VERI_TABANI!$B$7 + MAX(0, VERI_TABANI!D24*C438-MAX(0, VERI_TABANI!D24-VERI_TABANI!D24*B438))*VERI_TABANI!$B$8) + IF(ABS(IF(ISNUMBER(SEARCH("Var", D438)), 1, IF(ISNUMBER(SEARCH("Gri", D438)), -1, 0)))=1, VERI_TABANI!E24*(1-0.928)*VERI_TABANI!$B$9, 0) + (VERI_TABANI!D24*B438*(VERI_TABANI!$B$13-VERI_TABANI!$B$14)*VERI_TABANI!G24) + (VERI_TABANI!D24*C438*(VERI_TABANI!$B$13-VERI_TABANI!$B$15)*VERI_TABANI!G24) + IF(ABS(IF(ISNUMBER(SEARCH("Var", D438)), 1, IF(ISNUMBER(SEARCH("Gri", D438)), -1, 0)))=1, VERI_TABANI!E24*(1-0.928)*0.00206091519919798*VERI_TABANI!G24, 0)) + ((MIN(VERI_TABANI!D25, VERI_TABANI!D25*B438)*VERI_TABANI!$B$7 + MAX(0, VERI_TABANI!D25*B438-VERI_TABANI!D25)*VERI_TABANI!$B$8) + (MIN(MAX(0, VERI_TABANI!D25-VERI_TABANI!D25*B438), VERI_TABANI!D25*C438)*VERI_TABANI!$B$7 + MAX(0, VERI_TABANI!D25*C438-MAX(0, VERI_TABANI!D25-VERI_TABANI!D25*B438))*VERI_TABANI!$B$8) + IF(ABS(IF(ISNUMBER(SEARCH("Var", D438)), 1, IF(ISNUMBER(SEARCH("Gri", D438)), -1, 0)))=1, VERI_TABANI!E25*(1-0.928)*VERI_TABANI!$B$9, 0) + (VERI_TABANI!D25*B438*(VERI_TABANI!$B$13-VERI_TABANI!$B$14)*VERI_TABANI!G25) + (VERI_TABANI!D25*C438*(VERI_TABANI!$B$13-VERI_TABANI!$B$15)*VERI_TABANI!G25) + IF(ABS(IF(ISNUMBER(SEARCH("Var", D438)), 1, IF(ISNUMBER(SEARCH("Gri", D438)), -1, 0)))=1, VERI_TABANI!E25*(1-0.928)*0.00206091519919798*VERI_TABANI!G25, 0)) + ((MIN(VERI_TABANI!D26, VERI_TABANI!D26*B438)*VERI_TABANI!$B$7 + MAX(0, VERI_TABANI!D26*B438-VERI_TABANI!D26)*VERI_TABANI!$B$8) + (MIN(MAX(0, VERI_TABANI!D26-VERI_TABANI!D26*B438), VERI_TABANI!D26*C438)*VERI_TABANI!$B$7 + MAX(0, VERI_TABANI!D26*C438-MAX(0, VERI_TABANI!D26-VERI_TABANI!D26*B438))*VERI_TABANI!$B$8) + IF(ABS(IF(ISNUMBER(SEARCH("Var", D438)), 1, IF(ISNUMBER(SEARCH("Gri", D438)), -1, 0)))=1, VERI_TABANI!E26*(1-0.928)*VERI_TABANI!$B$9, 0) + (VERI_TABANI!D26*B438*(VERI_TABANI!$B$13-VERI_TABANI!$B$14)*VERI_TABANI!G26) + (VERI_TABANI!D26*C438*(VERI_TABANI!$B$13-VERI_TABANI!$B$15)*VERI_TABANI!G26) + IF(ABS(IF(ISNUMBER(SEARCH("Var", D438)), 1, IF(ISNUMBER(SEARCH("Gri", D438)), -1, 0)))=1, VERI_TABANI!E26*(1-0.928)*0.00206091519919798*VERI_TABANI!G26, 0)) + ((MIN(VERI_TABANI!D27, VERI_TABANI!D27*B438)*VERI_TABANI!$B$7 + MAX(0, VERI_TABANI!D27*B438-VERI_TABANI!D27)*VERI_TABANI!$B$8) + (MIN(MAX(0, VERI_TABANI!D27-VERI_TABANI!D27*B438), VERI_TABANI!D27*C438)*VERI_TABANI!$B$7 + MAX(0, VERI_TABANI!D27*C438-MAX(0, VERI_TABANI!D27-VERI_TABANI!D27*B438))*VERI_TABANI!$B$8) + IF(ABS(IF(ISNUMBER(SEARCH("Var", D438)), 1, IF(ISNUMBER(SEARCH("Gri", D438)), -1, 0)))=1, VERI_TABANI!E27*(1-0.928)*VERI_TABANI!$B$9, 0) + (VERI_TABANI!D27*B438*(VERI_TABANI!$B$13-VERI_TABANI!$B$14)*VERI_TABANI!G27) + (VERI_TABANI!D27*C438*(VERI_TABANI!$B$13-VERI_TABANI!$B$15)*VERI_TABANI!G27) + IF(ABS(IF(ISNUMBER(SEARCH("Var", D438)), 1, IF(ISNUMBER(SEARCH("Gri", D438)), -1, 0)))=1, VERI_TABANI!E27*(1-0.928)*0.00206091519919798*VERI_TABANI!G27, 0)) + ((MIN(VERI_TABANI!D28, VERI_TABANI!D28*B438)*VERI_TABANI!$B$7 + MAX(0, VERI_TABANI!D28*B438-VERI_TABANI!D28)*VERI_TABANI!$B$8) + (MIN(MAX(0, VERI_TABANI!D28-VERI_TABANI!D28*B438), VERI_TABANI!D28*C438)*VERI_TABANI!$B$7 + MAX(0, VERI_TABANI!D28*C438-MAX(0, VERI_TABANI!D28-VERI_TABANI!D28*B438))*VERI_TABANI!$B$8) + IF(ABS(IF(ISNUMBER(SEARCH("Var", D438)), 1, IF(ISNUMBER(SEARCH("Gri", D438)), -1, 0)))=1, VERI_TABANI!E28*(1-0.928)*VERI_TABANI!$B$9, 0) + (VERI_TABANI!D28*B438*(VERI_TABANI!$B$13-VERI_TABANI!$B$14)*VERI_TABANI!G28) + (VERI_TABANI!D28*C438*(VERI_TABANI!$B$13-VERI_TABANI!$B$15)*VERI_TABANI!G28) + IF(ABS(IF(ISNUMBER(SEARCH("Var", D438)), 1, IF(ISNUMBER(SEARCH("Gri", D438)), -1, 0)))=1, VERI_TABANI!E28*(1-0.928)*0.00206091519919798*VERI_TABANI!G28, 0)))</f>
        <v/>
      </c>
      <c r="H438" s="169">
        <f>(((VERI_TABANI!D23*B438*(VERI_TABANI!$B$13-VERI_TABANI!$B$14)) + (VERI_TABANI!D23*C438*(VERI_TABANI!$B$13-VERI_TABANI!$B$15)) + IF(ISNUMBER(SEARCH("Var", D438)), VERI_TABANI!F23*(0.00202-VERI_TABANI!$B$16), IF(ISNUMBER(SEARCH("Gri", D438)), VERI_TABANI!F23*(0.00202-VERI_TABANI!$B$17), 0))) + ((VERI_TABANI!D24*B438*(VERI_TABANI!$B$13-VERI_TABANI!$B$14)) + (VERI_TABANI!D24*C438*(VERI_TABANI!$B$13-VERI_TABANI!$B$15)) + IF(ISNUMBER(SEARCH("Var", D438)), VERI_TABANI!F24*(0.00202-VERI_TABANI!$B$16), IF(ISNUMBER(SEARCH("Gri", D438)), VERI_TABANI!F24*(0.00202-VERI_TABANI!$B$17), 0))) + ((VERI_TABANI!D25*B438*(VERI_TABANI!$B$13-VERI_TABANI!$B$14)) + (VERI_TABANI!D25*C438*(VERI_TABANI!$B$13-VERI_TABANI!$B$15)) + IF(ISNUMBER(SEARCH("Var", D438)), VERI_TABANI!F25*(0.00202-VERI_TABANI!$B$16), IF(ISNUMBER(SEARCH("Gri", D438)), VERI_TABANI!F25*(0.00202-VERI_TABANI!$B$17), 0))) + ((VERI_TABANI!D26*B438*(VERI_TABANI!$B$13-VERI_TABANI!$B$14)) + (VERI_TABANI!D26*C438*(VERI_TABANI!$B$13-VERI_TABANI!$B$15)) + IF(ISNUMBER(SEARCH("Var", D438)), VERI_TABANI!F26*(0.00202-VERI_TABANI!$B$16), IF(ISNUMBER(SEARCH("Gri", D438)), VERI_TABANI!F26*(0.00202-VERI_TABANI!$B$17), 0))) + ((VERI_TABANI!D27*B438*(VERI_TABANI!$B$13-VERI_TABANI!$B$14)) + (VERI_TABANI!D27*C438*(VERI_TABANI!$B$13-VERI_TABANI!$B$15)) + IF(ISNUMBER(SEARCH("Var", D438)), VERI_TABANI!F27*(0.00202-VERI_TABANI!$B$16), IF(ISNUMBER(SEARCH("Gri", D438)), VERI_TABANI!F27*(0.00202-VERI_TABANI!$B$17), 0))) + ((VERI_TABANI!D28*B438*(VERI_TABANI!$B$13-VERI_TABANI!$B$14)) + (VERI_TABANI!D28*C438*(VERI_TABANI!$B$13-VERI_TABANI!$B$15)) + IF(ISNUMBER(SEARCH("Var", D438)), VERI_TABANI!F28*(0.00202-VERI_TABANI!$B$16), IF(ISNUMBER(SEARCH("Gri", D438)), VERI_TABANI!F28*(0.00202-VERI_TABANI!$B$17), 0))))</f>
        <v/>
      </c>
      <c r="I438" s="170">
        <f>IFERROR(((VERI_TABANI!$D$29*B438*VERI_TABANI!$B$14 + VERI_TABANI!$D$29*C438*VERI_TABANI!$B$15 + IF(ISNUMBER(SEARCH("Var", D438)), VERI_TABANI!$F$29*VERI_TABANI!$B$16, 0))) / (((VERI_TABANI!$D$29*B438 + VERI_TABANI!$D$29*C438)*VERI_TABANI!$B$13 + IF(ISNUMBER(SEARCH("Var", D438)), VERI_TABANI!$E$29*(1-0.928)*VERI_TABANI!$B$18, 0))), 0)</f>
        <v/>
      </c>
      <c r="J438" s="171">
        <f>IFERROR(F438/(G438/29), 0)</f>
        <v/>
      </c>
      <c r="K438" s="172">
        <f>IF(F438&gt;0, H438/F438, 0)</f>
        <v/>
      </c>
      <c r="L438" s="170">
        <f>IF(F438&gt;0, I438, 1000000000)</f>
        <v/>
      </c>
      <c r="M438" s="171">
        <f>ABS((B438+C438)-1)</f>
        <v/>
      </c>
      <c r="N438" s="170">
        <f>IF(F438&gt;0, (G438/29)/F438, 0)</f>
        <v/>
      </c>
      <c r="O438" s="168">
        <f>IF(AND((B438+C438)&gt;=1, ISNUMBER(SEARCH("Var", D438))), F438, 1000000000)</f>
        <v/>
      </c>
      <c r="P438" s="172">
        <f>IF(F438&gt;0, SQRT((F438/MAX(F$5:F$886))^2 + (1 - H438/MAX(H$5:H$886))^2 + (J438/MAX(J$5:J$886))^2), 1000000000)</f>
        <v/>
      </c>
      <c r="Q438" s="166">
        <f>IF(AND(ABS(B438-0.5)&lt;0.01, ABS(C438-0.5)&lt;0.01, ISNUMBER(SEARCH("Var", D438))), 1, 0)</f>
        <v/>
      </c>
      <c r="R438" s="171">
        <f>IF(F438&gt;0, J438, 1000000000)</f>
        <v/>
      </c>
      <c r="S438" s="101">
        <f>IF(AND(F438&lt;=DASHBOARD!$B$11, H438&gt;=DASHBOARD!$B$13), G438, -1000000000000)</f>
        <v/>
      </c>
      <c r="T438" s="101">
        <f>IF(AND(F438&lt;=DASHBOARD!$B$11, H438&gt;=DASHBOARD!$B$13), R438, 1000000000000)</f>
        <v/>
      </c>
      <c r="U438" s="101">
        <f>IF(AND(F438&lt;=DASHBOARD!$B$11, H438&gt;=DASHBOARD!$B$13), N438, -1000000000000)</f>
        <v/>
      </c>
      <c r="V438" s="101">
        <f>IF(AND(F438&lt;=DASHBOARD!$B$11, H438&gt;=DASHBOARD!$B$13), H438, -1000000000000)</f>
        <v/>
      </c>
      <c r="W438" s="101">
        <f>IF(AND(F438&lt;=DASHBOARD!$B$11, H438&gt;=DASHBOARD!$B$13), K438, -1000000000000)</f>
        <v/>
      </c>
      <c r="X438" s="101">
        <f>IF(AND(F438&lt;=DASHBOARD!$B$11, H438&gt;=DASHBOARD!$B$13), M438, 1000000000000)</f>
        <v/>
      </c>
      <c r="Y438" s="101">
        <f>IF(AND(F438&lt;=DASHBOARD!$B$10, H438&gt;=DASHBOARD!$B$11), L438, 1000000000000)</f>
        <v/>
      </c>
      <c r="Z438" s="101">
        <f>IF(AND(F438&lt;=DASHBOARD!$B$10, H438&gt;=DASHBOARD!$B$11), O438, 1000000000000)</f>
        <v/>
      </c>
      <c r="AA438" s="101">
        <f>IF(AND(F438&lt;=DASHBOARD!$B$10, H438&gt;=DASHBOARD!$B$11), P438, 1000000000000)</f>
        <v/>
      </c>
      <c r="AB438" s="101">
        <f>IF(AND(F438&lt;=DASHBOARD!$B$10, H438&gt;=DASHBOARD!$B$11), Q438, -1000000000000)</f>
        <v/>
      </c>
    </row>
    <row r="439" ht="15" customHeight="1" s="102">
      <c r="A439" s="166" t="n">
        <v>435</v>
      </c>
      <c r="B439" s="167" t="n">
        <v>1</v>
      </c>
      <c r="C439" s="167" t="n">
        <v>0.7</v>
      </c>
      <c r="D439" s="110" t="inlineStr">
        <is>
          <t>Yok (%0)</t>
        </is>
      </c>
      <c r="E439" s="110">
        <f>IF((B439+C439)&lt;=1, "Tam Mahsuplaşma (≤%100)", "Kısmi Satış (&gt;%100)")</f>
        <v/>
      </c>
      <c r="F439" s="168">
        <f>((VERI_TABANI!$D$29*B439/VERI_TABANI!$B$29)/VERI_TABANI!$B$3)*VERI_TABANI!$B$5 + ((VERI_TABANI!$D$29*C439/VERI_TABANI!$B$29)/VERI_TABANI!$B$4)*VERI_TABANI!$B$6 + IF(ISNUMBER(SEARCH("Var", D439)), (VERI_TABANI!$F$29/VERI_TABANI!$B$29)*(VERI_TABANI!$B$10+VERI_TABANI!$B$12), 0)</f>
        <v/>
      </c>
      <c r="G439" s="168">
        <f>(((MIN(VERI_TABANI!D23, VERI_TABANI!D23*B439)*VERI_TABANI!$B$7 + MAX(0, VERI_TABANI!D23*B439-VERI_TABANI!D23)*VERI_TABANI!$B$8) + (MIN(MAX(0, VERI_TABANI!D23-VERI_TABANI!D23*B439), VERI_TABANI!D23*C439)*VERI_TABANI!$B$7 + MAX(0, VERI_TABANI!D23*C439-MAX(0, VERI_TABANI!D23-VERI_TABANI!D23*B439))*VERI_TABANI!$B$8) + IF(ABS(IF(ISNUMBER(SEARCH("Var", D439)), 1, IF(ISNUMBER(SEARCH("Gri", D439)), -1, 0)))=1, VERI_TABANI!E23*(1-0.928)*VERI_TABANI!$B$9, 0) + (VERI_TABANI!D23*B439*(VERI_TABANI!$B$13-VERI_TABANI!$B$14)*VERI_TABANI!G23) + (VERI_TABANI!D23*C439*(VERI_TABANI!$B$13-VERI_TABANI!$B$15)*VERI_TABANI!G23) + IF(ABS(IF(ISNUMBER(SEARCH("Var", D439)), 1, IF(ISNUMBER(SEARCH("Gri", D439)), -1, 0)))=1, VERI_TABANI!E23*(1-0.928)*0.00206091519919798*VERI_TABANI!G23, 0)) + ((MIN(VERI_TABANI!D24, VERI_TABANI!D24*B439)*VERI_TABANI!$B$7 + MAX(0, VERI_TABANI!D24*B439-VERI_TABANI!D24)*VERI_TABANI!$B$8) + (MIN(MAX(0, VERI_TABANI!D24-VERI_TABANI!D24*B439), VERI_TABANI!D24*C439)*VERI_TABANI!$B$7 + MAX(0, VERI_TABANI!D24*C439-MAX(0, VERI_TABANI!D24-VERI_TABANI!D24*B439))*VERI_TABANI!$B$8) + IF(ABS(IF(ISNUMBER(SEARCH("Var", D439)), 1, IF(ISNUMBER(SEARCH("Gri", D439)), -1, 0)))=1, VERI_TABANI!E24*(1-0.928)*VERI_TABANI!$B$9, 0) + (VERI_TABANI!D24*B439*(VERI_TABANI!$B$13-VERI_TABANI!$B$14)*VERI_TABANI!G24) + (VERI_TABANI!D24*C439*(VERI_TABANI!$B$13-VERI_TABANI!$B$15)*VERI_TABANI!G24) + IF(ABS(IF(ISNUMBER(SEARCH("Var", D439)), 1, IF(ISNUMBER(SEARCH("Gri", D439)), -1, 0)))=1, VERI_TABANI!E24*(1-0.928)*0.00206091519919798*VERI_TABANI!G24, 0)) + ((MIN(VERI_TABANI!D25, VERI_TABANI!D25*B439)*VERI_TABANI!$B$7 + MAX(0, VERI_TABANI!D25*B439-VERI_TABANI!D25)*VERI_TABANI!$B$8) + (MIN(MAX(0, VERI_TABANI!D25-VERI_TABANI!D25*B439), VERI_TABANI!D25*C439)*VERI_TABANI!$B$7 + MAX(0, VERI_TABANI!D25*C439-MAX(0, VERI_TABANI!D25-VERI_TABANI!D25*B439))*VERI_TABANI!$B$8) + IF(ABS(IF(ISNUMBER(SEARCH("Var", D439)), 1, IF(ISNUMBER(SEARCH("Gri", D439)), -1, 0)))=1, VERI_TABANI!E25*(1-0.928)*VERI_TABANI!$B$9, 0) + (VERI_TABANI!D25*B439*(VERI_TABANI!$B$13-VERI_TABANI!$B$14)*VERI_TABANI!G25) + (VERI_TABANI!D25*C439*(VERI_TABANI!$B$13-VERI_TABANI!$B$15)*VERI_TABANI!G25) + IF(ABS(IF(ISNUMBER(SEARCH("Var", D439)), 1, IF(ISNUMBER(SEARCH("Gri", D439)), -1, 0)))=1, VERI_TABANI!E25*(1-0.928)*0.00206091519919798*VERI_TABANI!G25, 0)) + ((MIN(VERI_TABANI!D26, VERI_TABANI!D26*B439)*VERI_TABANI!$B$7 + MAX(0, VERI_TABANI!D26*B439-VERI_TABANI!D26)*VERI_TABANI!$B$8) + (MIN(MAX(0, VERI_TABANI!D26-VERI_TABANI!D26*B439), VERI_TABANI!D26*C439)*VERI_TABANI!$B$7 + MAX(0, VERI_TABANI!D26*C439-MAX(0, VERI_TABANI!D26-VERI_TABANI!D26*B439))*VERI_TABANI!$B$8) + IF(ABS(IF(ISNUMBER(SEARCH("Var", D439)), 1, IF(ISNUMBER(SEARCH("Gri", D439)), -1, 0)))=1, VERI_TABANI!E26*(1-0.928)*VERI_TABANI!$B$9, 0) + (VERI_TABANI!D26*B439*(VERI_TABANI!$B$13-VERI_TABANI!$B$14)*VERI_TABANI!G26) + (VERI_TABANI!D26*C439*(VERI_TABANI!$B$13-VERI_TABANI!$B$15)*VERI_TABANI!G26) + IF(ABS(IF(ISNUMBER(SEARCH("Var", D439)), 1, IF(ISNUMBER(SEARCH("Gri", D439)), -1, 0)))=1, VERI_TABANI!E26*(1-0.928)*0.00206091519919798*VERI_TABANI!G26, 0)) + ((MIN(VERI_TABANI!D27, VERI_TABANI!D27*B439)*VERI_TABANI!$B$7 + MAX(0, VERI_TABANI!D27*B439-VERI_TABANI!D27)*VERI_TABANI!$B$8) + (MIN(MAX(0, VERI_TABANI!D27-VERI_TABANI!D27*B439), VERI_TABANI!D27*C439)*VERI_TABANI!$B$7 + MAX(0, VERI_TABANI!D27*C439-MAX(0, VERI_TABANI!D27-VERI_TABANI!D27*B439))*VERI_TABANI!$B$8) + IF(ABS(IF(ISNUMBER(SEARCH("Var", D439)), 1, IF(ISNUMBER(SEARCH("Gri", D439)), -1, 0)))=1, VERI_TABANI!E27*(1-0.928)*VERI_TABANI!$B$9, 0) + (VERI_TABANI!D27*B439*(VERI_TABANI!$B$13-VERI_TABANI!$B$14)*VERI_TABANI!G27) + (VERI_TABANI!D27*C439*(VERI_TABANI!$B$13-VERI_TABANI!$B$15)*VERI_TABANI!G27) + IF(ABS(IF(ISNUMBER(SEARCH("Var", D439)), 1, IF(ISNUMBER(SEARCH("Gri", D439)), -1, 0)))=1, VERI_TABANI!E27*(1-0.928)*0.00206091519919798*VERI_TABANI!G27, 0)) + ((MIN(VERI_TABANI!D28, VERI_TABANI!D28*B439)*VERI_TABANI!$B$7 + MAX(0, VERI_TABANI!D28*B439-VERI_TABANI!D28)*VERI_TABANI!$B$8) + (MIN(MAX(0, VERI_TABANI!D28-VERI_TABANI!D28*B439), VERI_TABANI!D28*C439)*VERI_TABANI!$B$7 + MAX(0, VERI_TABANI!D28*C439-MAX(0, VERI_TABANI!D28-VERI_TABANI!D28*B439))*VERI_TABANI!$B$8) + IF(ABS(IF(ISNUMBER(SEARCH("Var", D439)), 1, IF(ISNUMBER(SEARCH("Gri", D439)), -1, 0)))=1, VERI_TABANI!E28*(1-0.928)*VERI_TABANI!$B$9, 0) + (VERI_TABANI!D28*B439*(VERI_TABANI!$B$13-VERI_TABANI!$B$14)*VERI_TABANI!G28) + (VERI_TABANI!D28*C439*(VERI_TABANI!$B$13-VERI_TABANI!$B$15)*VERI_TABANI!G28) + IF(ABS(IF(ISNUMBER(SEARCH("Var", D439)), 1, IF(ISNUMBER(SEARCH("Gri", D439)), -1, 0)))=1, VERI_TABANI!E28*(1-0.928)*0.00206091519919798*VERI_TABANI!G28, 0)))</f>
        <v/>
      </c>
      <c r="H439" s="169">
        <f>(((VERI_TABANI!D23*B439*(VERI_TABANI!$B$13-VERI_TABANI!$B$14)) + (VERI_TABANI!D23*C439*(VERI_TABANI!$B$13-VERI_TABANI!$B$15)) + IF(ISNUMBER(SEARCH("Var", D439)), VERI_TABANI!F23*(0.00202-VERI_TABANI!$B$16), IF(ISNUMBER(SEARCH("Gri", D439)), VERI_TABANI!F23*(0.00202-VERI_TABANI!$B$17), 0))) + ((VERI_TABANI!D24*B439*(VERI_TABANI!$B$13-VERI_TABANI!$B$14)) + (VERI_TABANI!D24*C439*(VERI_TABANI!$B$13-VERI_TABANI!$B$15)) + IF(ISNUMBER(SEARCH("Var", D439)), VERI_TABANI!F24*(0.00202-VERI_TABANI!$B$16), IF(ISNUMBER(SEARCH("Gri", D439)), VERI_TABANI!F24*(0.00202-VERI_TABANI!$B$17), 0))) + ((VERI_TABANI!D25*B439*(VERI_TABANI!$B$13-VERI_TABANI!$B$14)) + (VERI_TABANI!D25*C439*(VERI_TABANI!$B$13-VERI_TABANI!$B$15)) + IF(ISNUMBER(SEARCH("Var", D439)), VERI_TABANI!F25*(0.00202-VERI_TABANI!$B$16), IF(ISNUMBER(SEARCH("Gri", D439)), VERI_TABANI!F25*(0.00202-VERI_TABANI!$B$17), 0))) + ((VERI_TABANI!D26*B439*(VERI_TABANI!$B$13-VERI_TABANI!$B$14)) + (VERI_TABANI!D26*C439*(VERI_TABANI!$B$13-VERI_TABANI!$B$15)) + IF(ISNUMBER(SEARCH("Var", D439)), VERI_TABANI!F26*(0.00202-VERI_TABANI!$B$16), IF(ISNUMBER(SEARCH("Gri", D439)), VERI_TABANI!F26*(0.00202-VERI_TABANI!$B$17), 0))) + ((VERI_TABANI!D27*B439*(VERI_TABANI!$B$13-VERI_TABANI!$B$14)) + (VERI_TABANI!D27*C439*(VERI_TABANI!$B$13-VERI_TABANI!$B$15)) + IF(ISNUMBER(SEARCH("Var", D439)), VERI_TABANI!F27*(0.00202-VERI_TABANI!$B$16), IF(ISNUMBER(SEARCH("Gri", D439)), VERI_TABANI!F27*(0.00202-VERI_TABANI!$B$17), 0))) + ((VERI_TABANI!D28*B439*(VERI_TABANI!$B$13-VERI_TABANI!$B$14)) + (VERI_TABANI!D28*C439*(VERI_TABANI!$B$13-VERI_TABANI!$B$15)) + IF(ISNUMBER(SEARCH("Var", D439)), VERI_TABANI!F28*(0.00202-VERI_TABANI!$B$16), IF(ISNUMBER(SEARCH("Gri", D439)), VERI_TABANI!F28*(0.00202-VERI_TABANI!$B$17), 0))))</f>
        <v/>
      </c>
      <c r="I439" s="170">
        <f>IFERROR(((VERI_TABANI!$D$29*B439*VERI_TABANI!$B$14 + VERI_TABANI!$D$29*C439*VERI_TABANI!$B$15 + IF(ISNUMBER(SEARCH("Var", D439)), VERI_TABANI!$F$29*VERI_TABANI!$B$16, 0))) / (((VERI_TABANI!$D$29*B439 + VERI_TABANI!$D$29*C439)*VERI_TABANI!$B$13 + IF(ISNUMBER(SEARCH("Var", D439)), VERI_TABANI!$E$29*(1-0.928)*VERI_TABANI!$B$18, 0))), 0)</f>
        <v/>
      </c>
      <c r="J439" s="171">
        <f>IFERROR(F439/(G439/29), 0)</f>
        <v/>
      </c>
      <c r="K439" s="172">
        <f>IF(F439&gt;0, H439/F439, 0)</f>
        <v/>
      </c>
      <c r="L439" s="170">
        <f>IF(F439&gt;0, I439, 1000000000)</f>
        <v/>
      </c>
      <c r="M439" s="171">
        <f>ABS((B439+C439)-1)</f>
        <v/>
      </c>
      <c r="N439" s="170">
        <f>IF(F439&gt;0, (G439/29)/F439, 0)</f>
        <v/>
      </c>
      <c r="O439" s="168">
        <f>IF(AND((B439+C439)&gt;=1, ISNUMBER(SEARCH("Var", D439))), F439, 1000000000)</f>
        <v/>
      </c>
      <c r="P439" s="172">
        <f>IF(F439&gt;0, SQRT((F439/MAX(F$5:F$886))^2 + (1 - H439/MAX(H$5:H$886))^2 + (J439/MAX(J$5:J$886))^2), 1000000000)</f>
        <v/>
      </c>
      <c r="Q439" s="166">
        <f>IF(AND(ABS(B439-0.5)&lt;0.01, ABS(C439-0.5)&lt;0.01, ISNUMBER(SEARCH("Var", D439))), 1, 0)</f>
        <v/>
      </c>
      <c r="R439" s="171">
        <f>IF(F439&gt;0, J439, 1000000000)</f>
        <v/>
      </c>
      <c r="S439" s="101">
        <f>IF(AND(F439&lt;=DASHBOARD!$B$11, H439&gt;=DASHBOARD!$B$13), G439, -1000000000000)</f>
        <v/>
      </c>
      <c r="T439" s="101">
        <f>IF(AND(F439&lt;=DASHBOARD!$B$11, H439&gt;=DASHBOARD!$B$13), R439, 1000000000000)</f>
        <v/>
      </c>
      <c r="U439" s="101">
        <f>IF(AND(F439&lt;=DASHBOARD!$B$11, H439&gt;=DASHBOARD!$B$13), N439, -1000000000000)</f>
        <v/>
      </c>
      <c r="V439" s="101">
        <f>IF(AND(F439&lt;=DASHBOARD!$B$11, H439&gt;=DASHBOARD!$B$13), H439, -1000000000000)</f>
        <v/>
      </c>
      <c r="W439" s="101">
        <f>IF(AND(F439&lt;=DASHBOARD!$B$11, H439&gt;=DASHBOARD!$B$13), K439, -1000000000000)</f>
        <v/>
      </c>
      <c r="X439" s="101">
        <f>IF(AND(F439&lt;=DASHBOARD!$B$11, H439&gt;=DASHBOARD!$B$13), M439, 1000000000000)</f>
        <v/>
      </c>
      <c r="Y439" s="101">
        <f>IF(AND(F439&lt;=DASHBOARD!$B$10, H439&gt;=DASHBOARD!$B$11), L439, 1000000000000)</f>
        <v/>
      </c>
      <c r="Z439" s="101">
        <f>IF(AND(F439&lt;=DASHBOARD!$B$10, H439&gt;=DASHBOARD!$B$11), O439, 1000000000000)</f>
        <v/>
      </c>
      <c r="AA439" s="101">
        <f>IF(AND(F439&lt;=DASHBOARD!$B$10, H439&gt;=DASHBOARD!$B$11), P439, 1000000000000)</f>
        <v/>
      </c>
      <c r="AB439" s="101">
        <f>IF(AND(F439&lt;=DASHBOARD!$B$10, H439&gt;=DASHBOARD!$B$11), Q439, -1000000000000)</f>
        <v/>
      </c>
    </row>
    <row r="440" ht="15" customHeight="1" s="102">
      <c r="A440" s="166" t="n">
        <v>436</v>
      </c>
      <c r="B440" s="167" t="n">
        <v>1</v>
      </c>
      <c r="C440" s="167" t="n">
        <v>0.7</v>
      </c>
      <c r="D440" s="110" t="inlineStr">
        <is>
          <t>Var (%20)</t>
        </is>
      </c>
      <c r="E440" s="110">
        <f>IF((B440+C440)&lt;=1, "Tam Mahsuplaşma (≤%100)", "Kısmi Satış (&gt;%100)")</f>
        <v/>
      </c>
      <c r="F440" s="168">
        <f>((VERI_TABANI!$D$29*B440/VERI_TABANI!$B$29)/VERI_TABANI!$B$3)*VERI_TABANI!$B$5 + ((VERI_TABANI!$D$29*C440/VERI_TABANI!$B$29)/VERI_TABANI!$B$4)*VERI_TABANI!$B$6 + IF(ISNUMBER(SEARCH("Var", D440)), (VERI_TABANI!$F$29/VERI_TABANI!$B$29)*(VERI_TABANI!$B$10+VERI_TABANI!$B$12), 0)</f>
        <v/>
      </c>
      <c r="G440" s="168">
        <f>(((MIN(VERI_TABANI!D23, VERI_TABANI!D23*B440)*VERI_TABANI!$B$7 + MAX(0, VERI_TABANI!D23*B440-VERI_TABANI!D23)*VERI_TABANI!$B$8) + (MIN(MAX(0, VERI_TABANI!D23-VERI_TABANI!D23*B440), VERI_TABANI!D23*C440)*VERI_TABANI!$B$7 + MAX(0, VERI_TABANI!D23*C440-MAX(0, VERI_TABANI!D23-VERI_TABANI!D23*B440))*VERI_TABANI!$B$8) + IF(ABS(IF(ISNUMBER(SEARCH("Var", D440)), 1, IF(ISNUMBER(SEARCH("Gri", D440)), -1, 0)))=1, VERI_TABANI!E23*(1-0.928)*VERI_TABANI!$B$9, 0) + (VERI_TABANI!D23*B440*(VERI_TABANI!$B$13-VERI_TABANI!$B$14)*VERI_TABANI!G23) + (VERI_TABANI!D23*C440*(VERI_TABANI!$B$13-VERI_TABANI!$B$15)*VERI_TABANI!G23) + IF(ABS(IF(ISNUMBER(SEARCH("Var", D440)), 1, IF(ISNUMBER(SEARCH("Gri", D440)), -1, 0)))=1, VERI_TABANI!E23*(1-0.928)*0.00206091519919798*VERI_TABANI!G23, 0)) + ((MIN(VERI_TABANI!D24, VERI_TABANI!D24*B440)*VERI_TABANI!$B$7 + MAX(0, VERI_TABANI!D24*B440-VERI_TABANI!D24)*VERI_TABANI!$B$8) + (MIN(MAX(0, VERI_TABANI!D24-VERI_TABANI!D24*B440), VERI_TABANI!D24*C440)*VERI_TABANI!$B$7 + MAX(0, VERI_TABANI!D24*C440-MAX(0, VERI_TABANI!D24-VERI_TABANI!D24*B440))*VERI_TABANI!$B$8) + IF(ABS(IF(ISNUMBER(SEARCH("Var", D440)), 1, IF(ISNUMBER(SEARCH("Gri", D440)), -1, 0)))=1, VERI_TABANI!E24*(1-0.928)*VERI_TABANI!$B$9, 0) + (VERI_TABANI!D24*B440*(VERI_TABANI!$B$13-VERI_TABANI!$B$14)*VERI_TABANI!G24) + (VERI_TABANI!D24*C440*(VERI_TABANI!$B$13-VERI_TABANI!$B$15)*VERI_TABANI!G24) + IF(ABS(IF(ISNUMBER(SEARCH("Var", D440)), 1, IF(ISNUMBER(SEARCH("Gri", D440)), -1, 0)))=1, VERI_TABANI!E24*(1-0.928)*0.00206091519919798*VERI_TABANI!G24, 0)) + ((MIN(VERI_TABANI!D25, VERI_TABANI!D25*B440)*VERI_TABANI!$B$7 + MAX(0, VERI_TABANI!D25*B440-VERI_TABANI!D25)*VERI_TABANI!$B$8) + (MIN(MAX(0, VERI_TABANI!D25-VERI_TABANI!D25*B440), VERI_TABANI!D25*C440)*VERI_TABANI!$B$7 + MAX(0, VERI_TABANI!D25*C440-MAX(0, VERI_TABANI!D25-VERI_TABANI!D25*B440))*VERI_TABANI!$B$8) + IF(ABS(IF(ISNUMBER(SEARCH("Var", D440)), 1, IF(ISNUMBER(SEARCH("Gri", D440)), -1, 0)))=1, VERI_TABANI!E25*(1-0.928)*VERI_TABANI!$B$9, 0) + (VERI_TABANI!D25*B440*(VERI_TABANI!$B$13-VERI_TABANI!$B$14)*VERI_TABANI!G25) + (VERI_TABANI!D25*C440*(VERI_TABANI!$B$13-VERI_TABANI!$B$15)*VERI_TABANI!G25) + IF(ABS(IF(ISNUMBER(SEARCH("Var", D440)), 1, IF(ISNUMBER(SEARCH("Gri", D440)), -1, 0)))=1, VERI_TABANI!E25*(1-0.928)*0.00206091519919798*VERI_TABANI!G25, 0)) + ((MIN(VERI_TABANI!D26, VERI_TABANI!D26*B440)*VERI_TABANI!$B$7 + MAX(0, VERI_TABANI!D26*B440-VERI_TABANI!D26)*VERI_TABANI!$B$8) + (MIN(MAX(0, VERI_TABANI!D26-VERI_TABANI!D26*B440), VERI_TABANI!D26*C440)*VERI_TABANI!$B$7 + MAX(0, VERI_TABANI!D26*C440-MAX(0, VERI_TABANI!D26-VERI_TABANI!D26*B440))*VERI_TABANI!$B$8) + IF(ABS(IF(ISNUMBER(SEARCH("Var", D440)), 1, IF(ISNUMBER(SEARCH("Gri", D440)), -1, 0)))=1, VERI_TABANI!E26*(1-0.928)*VERI_TABANI!$B$9, 0) + (VERI_TABANI!D26*B440*(VERI_TABANI!$B$13-VERI_TABANI!$B$14)*VERI_TABANI!G26) + (VERI_TABANI!D26*C440*(VERI_TABANI!$B$13-VERI_TABANI!$B$15)*VERI_TABANI!G26) + IF(ABS(IF(ISNUMBER(SEARCH("Var", D440)), 1, IF(ISNUMBER(SEARCH("Gri", D440)), -1, 0)))=1, VERI_TABANI!E26*(1-0.928)*0.00206091519919798*VERI_TABANI!G26, 0)) + ((MIN(VERI_TABANI!D27, VERI_TABANI!D27*B440)*VERI_TABANI!$B$7 + MAX(0, VERI_TABANI!D27*B440-VERI_TABANI!D27)*VERI_TABANI!$B$8) + (MIN(MAX(0, VERI_TABANI!D27-VERI_TABANI!D27*B440), VERI_TABANI!D27*C440)*VERI_TABANI!$B$7 + MAX(0, VERI_TABANI!D27*C440-MAX(0, VERI_TABANI!D27-VERI_TABANI!D27*B440))*VERI_TABANI!$B$8) + IF(ABS(IF(ISNUMBER(SEARCH("Var", D440)), 1, IF(ISNUMBER(SEARCH("Gri", D440)), -1, 0)))=1, VERI_TABANI!E27*(1-0.928)*VERI_TABANI!$B$9, 0) + (VERI_TABANI!D27*B440*(VERI_TABANI!$B$13-VERI_TABANI!$B$14)*VERI_TABANI!G27) + (VERI_TABANI!D27*C440*(VERI_TABANI!$B$13-VERI_TABANI!$B$15)*VERI_TABANI!G27) + IF(ABS(IF(ISNUMBER(SEARCH("Var", D440)), 1, IF(ISNUMBER(SEARCH("Gri", D440)), -1, 0)))=1, VERI_TABANI!E27*(1-0.928)*0.00206091519919798*VERI_TABANI!G27, 0)) + ((MIN(VERI_TABANI!D28, VERI_TABANI!D28*B440)*VERI_TABANI!$B$7 + MAX(0, VERI_TABANI!D28*B440-VERI_TABANI!D28)*VERI_TABANI!$B$8) + (MIN(MAX(0, VERI_TABANI!D28-VERI_TABANI!D28*B440), VERI_TABANI!D28*C440)*VERI_TABANI!$B$7 + MAX(0, VERI_TABANI!D28*C440-MAX(0, VERI_TABANI!D28-VERI_TABANI!D28*B440))*VERI_TABANI!$B$8) + IF(ABS(IF(ISNUMBER(SEARCH("Var", D440)), 1, IF(ISNUMBER(SEARCH("Gri", D440)), -1, 0)))=1, VERI_TABANI!E28*(1-0.928)*VERI_TABANI!$B$9, 0) + (VERI_TABANI!D28*B440*(VERI_TABANI!$B$13-VERI_TABANI!$B$14)*VERI_TABANI!G28) + (VERI_TABANI!D28*C440*(VERI_TABANI!$B$13-VERI_TABANI!$B$15)*VERI_TABANI!G28) + IF(ABS(IF(ISNUMBER(SEARCH("Var", D440)), 1, IF(ISNUMBER(SEARCH("Gri", D440)), -1, 0)))=1, VERI_TABANI!E28*(1-0.928)*0.00206091519919798*VERI_TABANI!G28, 0)))</f>
        <v/>
      </c>
      <c r="H440" s="169">
        <f>(((VERI_TABANI!D23*B440*(VERI_TABANI!$B$13-VERI_TABANI!$B$14)) + (VERI_TABANI!D23*C440*(VERI_TABANI!$B$13-VERI_TABANI!$B$15)) + IF(ISNUMBER(SEARCH("Var", D440)), VERI_TABANI!F23*(0.00202-VERI_TABANI!$B$16), IF(ISNUMBER(SEARCH("Gri", D440)), VERI_TABANI!F23*(0.00202-VERI_TABANI!$B$17), 0))) + ((VERI_TABANI!D24*B440*(VERI_TABANI!$B$13-VERI_TABANI!$B$14)) + (VERI_TABANI!D24*C440*(VERI_TABANI!$B$13-VERI_TABANI!$B$15)) + IF(ISNUMBER(SEARCH("Var", D440)), VERI_TABANI!F24*(0.00202-VERI_TABANI!$B$16), IF(ISNUMBER(SEARCH("Gri", D440)), VERI_TABANI!F24*(0.00202-VERI_TABANI!$B$17), 0))) + ((VERI_TABANI!D25*B440*(VERI_TABANI!$B$13-VERI_TABANI!$B$14)) + (VERI_TABANI!D25*C440*(VERI_TABANI!$B$13-VERI_TABANI!$B$15)) + IF(ISNUMBER(SEARCH("Var", D440)), VERI_TABANI!F25*(0.00202-VERI_TABANI!$B$16), IF(ISNUMBER(SEARCH("Gri", D440)), VERI_TABANI!F25*(0.00202-VERI_TABANI!$B$17), 0))) + ((VERI_TABANI!D26*B440*(VERI_TABANI!$B$13-VERI_TABANI!$B$14)) + (VERI_TABANI!D26*C440*(VERI_TABANI!$B$13-VERI_TABANI!$B$15)) + IF(ISNUMBER(SEARCH("Var", D440)), VERI_TABANI!F26*(0.00202-VERI_TABANI!$B$16), IF(ISNUMBER(SEARCH("Gri", D440)), VERI_TABANI!F26*(0.00202-VERI_TABANI!$B$17), 0))) + ((VERI_TABANI!D27*B440*(VERI_TABANI!$B$13-VERI_TABANI!$B$14)) + (VERI_TABANI!D27*C440*(VERI_TABANI!$B$13-VERI_TABANI!$B$15)) + IF(ISNUMBER(SEARCH("Var", D440)), VERI_TABANI!F27*(0.00202-VERI_TABANI!$B$16), IF(ISNUMBER(SEARCH("Gri", D440)), VERI_TABANI!F27*(0.00202-VERI_TABANI!$B$17), 0))) + ((VERI_TABANI!D28*B440*(VERI_TABANI!$B$13-VERI_TABANI!$B$14)) + (VERI_TABANI!D28*C440*(VERI_TABANI!$B$13-VERI_TABANI!$B$15)) + IF(ISNUMBER(SEARCH("Var", D440)), VERI_TABANI!F28*(0.00202-VERI_TABANI!$B$16), IF(ISNUMBER(SEARCH("Gri", D440)), VERI_TABANI!F28*(0.00202-VERI_TABANI!$B$17), 0))))</f>
        <v/>
      </c>
      <c r="I440" s="170">
        <f>IFERROR(((VERI_TABANI!$D$29*B440*VERI_TABANI!$B$14 + VERI_TABANI!$D$29*C440*VERI_TABANI!$B$15 + IF(ISNUMBER(SEARCH("Var", D440)), VERI_TABANI!$F$29*VERI_TABANI!$B$16, 0))) / (((VERI_TABANI!$D$29*B440 + VERI_TABANI!$D$29*C440)*VERI_TABANI!$B$13 + IF(ISNUMBER(SEARCH("Var", D440)), VERI_TABANI!$E$29*(1-0.928)*VERI_TABANI!$B$18, 0))), 0)</f>
        <v/>
      </c>
      <c r="J440" s="171">
        <f>IFERROR(F440/(G440/29), 0)</f>
        <v/>
      </c>
      <c r="K440" s="172">
        <f>IF(F440&gt;0, H440/F440, 0)</f>
        <v/>
      </c>
      <c r="L440" s="170">
        <f>IF(F440&gt;0, I440, 1000000000)</f>
        <v/>
      </c>
      <c r="M440" s="171">
        <f>ABS((B440+C440)-1)</f>
        <v/>
      </c>
      <c r="N440" s="170">
        <f>IF(F440&gt;0, (G440/29)/F440, 0)</f>
        <v/>
      </c>
      <c r="O440" s="168">
        <f>IF(AND((B440+C440)&gt;=1, ISNUMBER(SEARCH("Var", D440))), F440, 1000000000)</f>
        <v/>
      </c>
      <c r="P440" s="172">
        <f>IF(F440&gt;0, SQRT((F440/MAX(F$5:F$886))^2 + (1 - H440/MAX(H$5:H$886))^2 + (J440/MAX(J$5:J$886))^2), 1000000000)</f>
        <v/>
      </c>
      <c r="Q440" s="166">
        <f>IF(AND(ABS(B440-0.5)&lt;0.01, ABS(C440-0.5)&lt;0.01, ISNUMBER(SEARCH("Var", D440))), 1, 0)</f>
        <v/>
      </c>
      <c r="R440" s="171">
        <f>IF(F440&gt;0, J440, 1000000000)</f>
        <v/>
      </c>
      <c r="S440" s="101">
        <f>IF(AND(F440&lt;=DASHBOARD!$B$11, H440&gt;=DASHBOARD!$B$13), G440, -1000000000000)</f>
        <v/>
      </c>
      <c r="T440" s="101">
        <f>IF(AND(F440&lt;=DASHBOARD!$B$11, H440&gt;=DASHBOARD!$B$13), R440, 1000000000000)</f>
        <v/>
      </c>
      <c r="U440" s="101">
        <f>IF(AND(F440&lt;=DASHBOARD!$B$11, H440&gt;=DASHBOARD!$B$13), N440, -1000000000000)</f>
        <v/>
      </c>
      <c r="V440" s="101">
        <f>IF(AND(F440&lt;=DASHBOARD!$B$11, H440&gt;=DASHBOARD!$B$13), H440, -1000000000000)</f>
        <v/>
      </c>
      <c r="W440" s="101">
        <f>IF(AND(F440&lt;=DASHBOARD!$B$11, H440&gt;=DASHBOARD!$B$13), K440, -1000000000000)</f>
        <v/>
      </c>
      <c r="X440" s="101">
        <f>IF(AND(F440&lt;=DASHBOARD!$B$11, H440&gt;=DASHBOARD!$B$13), M440, 1000000000000)</f>
        <v/>
      </c>
      <c r="Y440" s="101">
        <f>IF(AND(F440&lt;=DASHBOARD!$B$10, H440&gt;=DASHBOARD!$B$11), L440, 1000000000000)</f>
        <v/>
      </c>
      <c r="Z440" s="101">
        <f>IF(AND(F440&lt;=DASHBOARD!$B$10, H440&gt;=DASHBOARD!$B$11), O440, 1000000000000)</f>
        <v/>
      </c>
      <c r="AA440" s="101">
        <f>IF(AND(F440&lt;=DASHBOARD!$B$10, H440&gt;=DASHBOARD!$B$11), P440, 1000000000000)</f>
        <v/>
      </c>
      <c r="AB440" s="101">
        <f>IF(AND(F440&lt;=DASHBOARD!$B$10, H440&gt;=DASHBOARD!$B$11), Q440, -1000000000000)</f>
        <v/>
      </c>
    </row>
    <row r="441" ht="15" customHeight="1" s="102">
      <c r="A441" s="166" t="n">
        <v>437</v>
      </c>
      <c r="B441" s="167" t="n">
        <v>1</v>
      </c>
      <c r="C441" s="167" t="n">
        <v>0.8</v>
      </c>
      <c r="D441" s="110" t="inlineStr">
        <is>
          <t>Yok (%0)</t>
        </is>
      </c>
      <c r="E441" s="110">
        <f>IF((B441+C441)&lt;=1, "Tam Mahsuplaşma (≤%100)", "Kısmi Satış (&gt;%100)")</f>
        <v/>
      </c>
      <c r="F441" s="168">
        <f>((VERI_TABANI!$D$29*B441/VERI_TABANI!$B$29)/VERI_TABANI!$B$3)*VERI_TABANI!$B$5 + ((VERI_TABANI!$D$29*C441/VERI_TABANI!$B$29)/VERI_TABANI!$B$4)*VERI_TABANI!$B$6 + IF(ISNUMBER(SEARCH("Var", D441)), (VERI_TABANI!$F$29/VERI_TABANI!$B$29)*(VERI_TABANI!$B$10+VERI_TABANI!$B$12), 0)</f>
        <v/>
      </c>
      <c r="G441" s="168">
        <f>(((MIN(VERI_TABANI!D23, VERI_TABANI!D23*B441)*VERI_TABANI!$B$7 + MAX(0, VERI_TABANI!D23*B441-VERI_TABANI!D23)*VERI_TABANI!$B$8) + (MIN(MAX(0, VERI_TABANI!D23-VERI_TABANI!D23*B441), VERI_TABANI!D23*C441)*VERI_TABANI!$B$7 + MAX(0, VERI_TABANI!D23*C441-MAX(0, VERI_TABANI!D23-VERI_TABANI!D23*B441))*VERI_TABANI!$B$8) + IF(ABS(IF(ISNUMBER(SEARCH("Var", D441)), 1, IF(ISNUMBER(SEARCH("Gri", D441)), -1, 0)))=1, VERI_TABANI!E23*(1-0.928)*VERI_TABANI!$B$9, 0) + (VERI_TABANI!D23*B441*(VERI_TABANI!$B$13-VERI_TABANI!$B$14)*VERI_TABANI!G23) + (VERI_TABANI!D23*C441*(VERI_TABANI!$B$13-VERI_TABANI!$B$15)*VERI_TABANI!G23) + IF(ABS(IF(ISNUMBER(SEARCH("Var", D441)), 1, IF(ISNUMBER(SEARCH("Gri", D441)), -1, 0)))=1, VERI_TABANI!E23*(1-0.928)*0.00206091519919798*VERI_TABANI!G23, 0)) + ((MIN(VERI_TABANI!D24, VERI_TABANI!D24*B441)*VERI_TABANI!$B$7 + MAX(0, VERI_TABANI!D24*B441-VERI_TABANI!D24)*VERI_TABANI!$B$8) + (MIN(MAX(0, VERI_TABANI!D24-VERI_TABANI!D24*B441), VERI_TABANI!D24*C441)*VERI_TABANI!$B$7 + MAX(0, VERI_TABANI!D24*C441-MAX(0, VERI_TABANI!D24-VERI_TABANI!D24*B441))*VERI_TABANI!$B$8) + IF(ABS(IF(ISNUMBER(SEARCH("Var", D441)), 1, IF(ISNUMBER(SEARCH("Gri", D441)), -1, 0)))=1, VERI_TABANI!E24*(1-0.928)*VERI_TABANI!$B$9, 0) + (VERI_TABANI!D24*B441*(VERI_TABANI!$B$13-VERI_TABANI!$B$14)*VERI_TABANI!G24) + (VERI_TABANI!D24*C441*(VERI_TABANI!$B$13-VERI_TABANI!$B$15)*VERI_TABANI!G24) + IF(ABS(IF(ISNUMBER(SEARCH("Var", D441)), 1, IF(ISNUMBER(SEARCH("Gri", D441)), -1, 0)))=1, VERI_TABANI!E24*(1-0.928)*0.00206091519919798*VERI_TABANI!G24, 0)) + ((MIN(VERI_TABANI!D25, VERI_TABANI!D25*B441)*VERI_TABANI!$B$7 + MAX(0, VERI_TABANI!D25*B441-VERI_TABANI!D25)*VERI_TABANI!$B$8) + (MIN(MAX(0, VERI_TABANI!D25-VERI_TABANI!D25*B441), VERI_TABANI!D25*C441)*VERI_TABANI!$B$7 + MAX(0, VERI_TABANI!D25*C441-MAX(0, VERI_TABANI!D25-VERI_TABANI!D25*B441))*VERI_TABANI!$B$8) + IF(ABS(IF(ISNUMBER(SEARCH("Var", D441)), 1, IF(ISNUMBER(SEARCH("Gri", D441)), -1, 0)))=1, VERI_TABANI!E25*(1-0.928)*VERI_TABANI!$B$9, 0) + (VERI_TABANI!D25*B441*(VERI_TABANI!$B$13-VERI_TABANI!$B$14)*VERI_TABANI!G25) + (VERI_TABANI!D25*C441*(VERI_TABANI!$B$13-VERI_TABANI!$B$15)*VERI_TABANI!G25) + IF(ABS(IF(ISNUMBER(SEARCH("Var", D441)), 1, IF(ISNUMBER(SEARCH("Gri", D441)), -1, 0)))=1, VERI_TABANI!E25*(1-0.928)*0.00206091519919798*VERI_TABANI!G25, 0)) + ((MIN(VERI_TABANI!D26, VERI_TABANI!D26*B441)*VERI_TABANI!$B$7 + MAX(0, VERI_TABANI!D26*B441-VERI_TABANI!D26)*VERI_TABANI!$B$8) + (MIN(MAX(0, VERI_TABANI!D26-VERI_TABANI!D26*B441), VERI_TABANI!D26*C441)*VERI_TABANI!$B$7 + MAX(0, VERI_TABANI!D26*C441-MAX(0, VERI_TABANI!D26-VERI_TABANI!D26*B441))*VERI_TABANI!$B$8) + IF(ABS(IF(ISNUMBER(SEARCH("Var", D441)), 1, IF(ISNUMBER(SEARCH("Gri", D441)), -1, 0)))=1, VERI_TABANI!E26*(1-0.928)*VERI_TABANI!$B$9, 0) + (VERI_TABANI!D26*B441*(VERI_TABANI!$B$13-VERI_TABANI!$B$14)*VERI_TABANI!G26) + (VERI_TABANI!D26*C441*(VERI_TABANI!$B$13-VERI_TABANI!$B$15)*VERI_TABANI!G26) + IF(ABS(IF(ISNUMBER(SEARCH("Var", D441)), 1, IF(ISNUMBER(SEARCH("Gri", D441)), -1, 0)))=1, VERI_TABANI!E26*(1-0.928)*0.00206091519919798*VERI_TABANI!G26, 0)) + ((MIN(VERI_TABANI!D27, VERI_TABANI!D27*B441)*VERI_TABANI!$B$7 + MAX(0, VERI_TABANI!D27*B441-VERI_TABANI!D27)*VERI_TABANI!$B$8) + (MIN(MAX(0, VERI_TABANI!D27-VERI_TABANI!D27*B441), VERI_TABANI!D27*C441)*VERI_TABANI!$B$7 + MAX(0, VERI_TABANI!D27*C441-MAX(0, VERI_TABANI!D27-VERI_TABANI!D27*B441))*VERI_TABANI!$B$8) + IF(ABS(IF(ISNUMBER(SEARCH("Var", D441)), 1, IF(ISNUMBER(SEARCH("Gri", D441)), -1, 0)))=1, VERI_TABANI!E27*(1-0.928)*VERI_TABANI!$B$9, 0) + (VERI_TABANI!D27*B441*(VERI_TABANI!$B$13-VERI_TABANI!$B$14)*VERI_TABANI!G27) + (VERI_TABANI!D27*C441*(VERI_TABANI!$B$13-VERI_TABANI!$B$15)*VERI_TABANI!G27) + IF(ABS(IF(ISNUMBER(SEARCH("Var", D441)), 1, IF(ISNUMBER(SEARCH("Gri", D441)), -1, 0)))=1, VERI_TABANI!E27*(1-0.928)*0.00206091519919798*VERI_TABANI!G27, 0)) + ((MIN(VERI_TABANI!D28, VERI_TABANI!D28*B441)*VERI_TABANI!$B$7 + MAX(0, VERI_TABANI!D28*B441-VERI_TABANI!D28)*VERI_TABANI!$B$8) + (MIN(MAX(0, VERI_TABANI!D28-VERI_TABANI!D28*B441), VERI_TABANI!D28*C441)*VERI_TABANI!$B$7 + MAX(0, VERI_TABANI!D28*C441-MAX(0, VERI_TABANI!D28-VERI_TABANI!D28*B441))*VERI_TABANI!$B$8) + IF(ABS(IF(ISNUMBER(SEARCH("Var", D441)), 1, IF(ISNUMBER(SEARCH("Gri", D441)), -1, 0)))=1, VERI_TABANI!E28*(1-0.928)*VERI_TABANI!$B$9, 0) + (VERI_TABANI!D28*B441*(VERI_TABANI!$B$13-VERI_TABANI!$B$14)*VERI_TABANI!G28) + (VERI_TABANI!D28*C441*(VERI_TABANI!$B$13-VERI_TABANI!$B$15)*VERI_TABANI!G28) + IF(ABS(IF(ISNUMBER(SEARCH("Var", D441)), 1, IF(ISNUMBER(SEARCH("Gri", D441)), -1, 0)))=1, VERI_TABANI!E28*(1-0.928)*0.00206091519919798*VERI_TABANI!G28, 0)))</f>
        <v/>
      </c>
      <c r="H441" s="169">
        <f>(((VERI_TABANI!D23*B441*(VERI_TABANI!$B$13-VERI_TABANI!$B$14)) + (VERI_TABANI!D23*C441*(VERI_TABANI!$B$13-VERI_TABANI!$B$15)) + IF(ISNUMBER(SEARCH("Var", D441)), VERI_TABANI!F23*(0.00202-VERI_TABANI!$B$16), IF(ISNUMBER(SEARCH("Gri", D441)), VERI_TABANI!F23*(0.00202-VERI_TABANI!$B$17), 0))) + ((VERI_TABANI!D24*B441*(VERI_TABANI!$B$13-VERI_TABANI!$B$14)) + (VERI_TABANI!D24*C441*(VERI_TABANI!$B$13-VERI_TABANI!$B$15)) + IF(ISNUMBER(SEARCH("Var", D441)), VERI_TABANI!F24*(0.00202-VERI_TABANI!$B$16), IF(ISNUMBER(SEARCH("Gri", D441)), VERI_TABANI!F24*(0.00202-VERI_TABANI!$B$17), 0))) + ((VERI_TABANI!D25*B441*(VERI_TABANI!$B$13-VERI_TABANI!$B$14)) + (VERI_TABANI!D25*C441*(VERI_TABANI!$B$13-VERI_TABANI!$B$15)) + IF(ISNUMBER(SEARCH("Var", D441)), VERI_TABANI!F25*(0.00202-VERI_TABANI!$B$16), IF(ISNUMBER(SEARCH("Gri", D441)), VERI_TABANI!F25*(0.00202-VERI_TABANI!$B$17), 0))) + ((VERI_TABANI!D26*B441*(VERI_TABANI!$B$13-VERI_TABANI!$B$14)) + (VERI_TABANI!D26*C441*(VERI_TABANI!$B$13-VERI_TABANI!$B$15)) + IF(ISNUMBER(SEARCH("Var", D441)), VERI_TABANI!F26*(0.00202-VERI_TABANI!$B$16), IF(ISNUMBER(SEARCH("Gri", D441)), VERI_TABANI!F26*(0.00202-VERI_TABANI!$B$17), 0))) + ((VERI_TABANI!D27*B441*(VERI_TABANI!$B$13-VERI_TABANI!$B$14)) + (VERI_TABANI!D27*C441*(VERI_TABANI!$B$13-VERI_TABANI!$B$15)) + IF(ISNUMBER(SEARCH("Var", D441)), VERI_TABANI!F27*(0.00202-VERI_TABANI!$B$16), IF(ISNUMBER(SEARCH("Gri", D441)), VERI_TABANI!F27*(0.00202-VERI_TABANI!$B$17), 0))) + ((VERI_TABANI!D28*B441*(VERI_TABANI!$B$13-VERI_TABANI!$B$14)) + (VERI_TABANI!D28*C441*(VERI_TABANI!$B$13-VERI_TABANI!$B$15)) + IF(ISNUMBER(SEARCH("Var", D441)), VERI_TABANI!F28*(0.00202-VERI_TABANI!$B$16), IF(ISNUMBER(SEARCH("Gri", D441)), VERI_TABANI!F28*(0.00202-VERI_TABANI!$B$17), 0))))</f>
        <v/>
      </c>
      <c r="I441" s="170">
        <f>IFERROR(((VERI_TABANI!$D$29*B441*VERI_TABANI!$B$14 + VERI_TABANI!$D$29*C441*VERI_TABANI!$B$15 + IF(ISNUMBER(SEARCH("Var", D441)), VERI_TABANI!$F$29*VERI_TABANI!$B$16, 0))) / (((VERI_TABANI!$D$29*B441 + VERI_TABANI!$D$29*C441)*VERI_TABANI!$B$13 + IF(ISNUMBER(SEARCH("Var", D441)), VERI_TABANI!$E$29*(1-0.928)*VERI_TABANI!$B$18, 0))), 0)</f>
        <v/>
      </c>
      <c r="J441" s="171">
        <f>IFERROR(F441/(G441/29), 0)</f>
        <v/>
      </c>
      <c r="K441" s="172">
        <f>IF(F441&gt;0, H441/F441, 0)</f>
        <v/>
      </c>
      <c r="L441" s="170">
        <f>IF(F441&gt;0, I441, 1000000000)</f>
        <v/>
      </c>
      <c r="M441" s="171">
        <f>ABS((B441+C441)-1)</f>
        <v/>
      </c>
      <c r="N441" s="170">
        <f>IF(F441&gt;0, (G441/29)/F441, 0)</f>
        <v/>
      </c>
      <c r="O441" s="168">
        <f>IF(AND((B441+C441)&gt;=1, ISNUMBER(SEARCH("Var", D441))), F441, 1000000000)</f>
        <v/>
      </c>
      <c r="P441" s="172">
        <f>IF(F441&gt;0, SQRT((F441/MAX(F$5:F$886))^2 + (1 - H441/MAX(H$5:H$886))^2 + (J441/MAX(J$5:J$886))^2), 1000000000)</f>
        <v/>
      </c>
      <c r="Q441" s="166">
        <f>IF(AND(ABS(B441-0.5)&lt;0.01, ABS(C441-0.5)&lt;0.01, ISNUMBER(SEARCH("Var", D441))), 1, 0)</f>
        <v/>
      </c>
      <c r="R441" s="171">
        <f>IF(F441&gt;0, J441, 1000000000)</f>
        <v/>
      </c>
      <c r="S441" s="101">
        <f>IF(AND(F441&lt;=DASHBOARD!$B$11, H441&gt;=DASHBOARD!$B$13), G441, -1000000000000)</f>
        <v/>
      </c>
      <c r="T441" s="101">
        <f>IF(AND(F441&lt;=DASHBOARD!$B$11, H441&gt;=DASHBOARD!$B$13), R441, 1000000000000)</f>
        <v/>
      </c>
      <c r="U441" s="101">
        <f>IF(AND(F441&lt;=DASHBOARD!$B$11, H441&gt;=DASHBOARD!$B$13), N441, -1000000000000)</f>
        <v/>
      </c>
      <c r="V441" s="101">
        <f>IF(AND(F441&lt;=DASHBOARD!$B$11, H441&gt;=DASHBOARD!$B$13), H441, -1000000000000)</f>
        <v/>
      </c>
      <c r="W441" s="101">
        <f>IF(AND(F441&lt;=DASHBOARD!$B$11, H441&gt;=DASHBOARD!$B$13), K441, -1000000000000)</f>
        <v/>
      </c>
      <c r="X441" s="101">
        <f>IF(AND(F441&lt;=DASHBOARD!$B$11, H441&gt;=DASHBOARD!$B$13), M441, 1000000000000)</f>
        <v/>
      </c>
      <c r="Y441" s="101">
        <f>IF(AND(F441&lt;=DASHBOARD!$B$10, H441&gt;=DASHBOARD!$B$11), L441, 1000000000000)</f>
        <v/>
      </c>
      <c r="Z441" s="101">
        <f>IF(AND(F441&lt;=DASHBOARD!$B$10, H441&gt;=DASHBOARD!$B$11), O441, 1000000000000)</f>
        <v/>
      </c>
      <c r="AA441" s="101">
        <f>IF(AND(F441&lt;=DASHBOARD!$B$10, H441&gt;=DASHBOARD!$B$11), P441, 1000000000000)</f>
        <v/>
      </c>
      <c r="AB441" s="101">
        <f>IF(AND(F441&lt;=DASHBOARD!$B$10, H441&gt;=DASHBOARD!$B$11), Q441, -1000000000000)</f>
        <v/>
      </c>
    </row>
    <row r="442" ht="15" customHeight="1" s="102">
      <c r="A442" s="166" t="n">
        <v>438</v>
      </c>
      <c r="B442" s="167" t="n">
        <v>1</v>
      </c>
      <c r="C442" s="167" t="n">
        <v>0.8</v>
      </c>
      <c r="D442" s="110" t="inlineStr">
        <is>
          <t>Var (%20)</t>
        </is>
      </c>
      <c r="E442" s="110">
        <f>IF((B442+C442)&lt;=1, "Tam Mahsuplaşma (≤%100)", "Kısmi Satış (&gt;%100)")</f>
        <v/>
      </c>
      <c r="F442" s="168">
        <f>((VERI_TABANI!$D$29*B442/VERI_TABANI!$B$29)/VERI_TABANI!$B$3)*VERI_TABANI!$B$5 + ((VERI_TABANI!$D$29*C442/VERI_TABANI!$B$29)/VERI_TABANI!$B$4)*VERI_TABANI!$B$6 + IF(ISNUMBER(SEARCH("Var", D442)), (VERI_TABANI!$F$29/VERI_TABANI!$B$29)*(VERI_TABANI!$B$10+VERI_TABANI!$B$12), 0)</f>
        <v/>
      </c>
      <c r="G442" s="168">
        <f>(((MIN(VERI_TABANI!D23, VERI_TABANI!D23*B442)*VERI_TABANI!$B$7 + MAX(0, VERI_TABANI!D23*B442-VERI_TABANI!D23)*VERI_TABANI!$B$8) + (MIN(MAX(0, VERI_TABANI!D23-VERI_TABANI!D23*B442), VERI_TABANI!D23*C442)*VERI_TABANI!$B$7 + MAX(0, VERI_TABANI!D23*C442-MAX(0, VERI_TABANI!D23-VERI_TABANI!D23*B442))*VERI_TABANI!$B$8) + IF(ABS(IF(ISNUMBER(SEARCH("Var", D442)), 1, IF(ISNUMBER(SEARCH("Gri", D442)), -1, 0)))=1, VERI_TABANI!E23*(1-0.928)*VERI_TABANI!$B$9, 0) + (VERI_TABANI!D23*B442*(VERI_TABANI!$B$13-VERI_TABANI!$B$14)*VERI_TABANI!G23) + (VERI_TABANI!D23*C442*(VERI_TABANI!$B$13-VERI_TABANI!$B$15)*VERI_TABANI!G23) + IF(ABS(IF(ISNUMBER(SEARCH("Var", D442)), 1, IF(ISNUMBER(SEARCH("Gri", D442)), -1, 0)))=1, VERI_TABANI!E23*(1-0.928)*0.00206091519919798*VERI_TABANI!G23, 0)) + ((MIN(VERI_TABANI!D24, VERI_TABANI!D24*B442)*VERI_TABANI!$B$7 + MAX(0, VERI_TABANI!D24*B442-VERI_TABANI!D24)*VERI_TABANI!$B$8) + (MIN(MAX(0, VERI_TABANI!D24-VERI_TABANI!D24*B442), VERI_TABANI!D24*C442)*VERI_TABANI!$B$7 + MAX(0, VERI_TABANI!D24*C442-MAX(0, VERI_TABANI!D24-VERI_TABANI!D24*B442))*VERI_TABANI!$B$8) + IF(ABS(IF(ISNUMBER(SEARCH("Var", D442)), 1, IF(ISNUMBER(SEARCH("Gri", D442)), -1, 0)))=1, VERI_TABANI!E24*(1-0.928)*VERI_TABANI!$B$9, 0) + (VERI_TABANI!D24*B442*(VERI_TABANI!$B$13-VERI_TABANI!$B$14)*VERI_TABANI!G24) + (VERI_TABANI!D24*C442*(VERI_TABANI!$B$13-VERI_TABANI!$B$15)*VERI_TABANI!G24) + IF(ABS(IF(ISNUMBER(SEARCH("Var", D442)), 1, IF(ISNUMBER(SEARCH("Gri", D442)), -1, 0)))=1, VERI_TABANI!E24*(1-0.928)*0.00206091519919798*VERI_TABANI!G24, 0)) + ((MIN(VERI_TABANI!D25, VERI_TABANI!D25*B442)*VERI_TABANI!$B$7 + MAX(0, VERI_TABANI!D25*B442-VERI_TABANI!D25)*VERI_TABANI!$B$8) + (MIN(MAX(0, VERI_TABANI!D25-VERI_TABANI!D25*B442), VERI_TABANI!D25*C442)*VERI_TABANI!$B$7 + MAX(0, VERI_TABANI!D25*C442-MAX(0, VERI_TABANI!D25-VERI_TABANI!D25*B442))*VERI_TABANI!$B$8) + IF(ABS(IF(ISNUMBER(SEARCH("Var", D442)), 1, IF(ISNUMBER(SEARCH("Gri", D442)), -1, 0)))=1, VERI_TABANI!E25*(1-0.928)*VERI_TABANI!$B$9, 0) + (VERI_TABANI!D25*B442*(VERI_TABANI!$B$13-VERI_TABANI!$B$14)*VERI_TABANI!G25) + (VERI_TABANI!D25*C442*(VERI_TABANI!$B$13-VERI_TABANI!$B$15)*VERI_TABANI!G25) + IF(ABS(IF(ISNUMBER(SEARCH("Var", D442)), 1, IF(ISNUMBER(SEARCH("Gri", D442)), -1, 0)))=1, VERI_TABANI!E25*(1-0.928)*0.00206091519919798*VERI_TABANI!G25, 0)) + ((MIN(VERI_TABANI!D26, VERI_TABANI!D26*B442)*VERI_TABANI!$B$7 + MAX(0, VERI_TABANI!D26*B442-VERI_TABANI!D26)*VERI_TABANI!$B$8) + (MIN(MAX(0, VERI_TABANI!D26-VERI_TABANI!D26*B442), VERI_TABANI!D26*C442)*VERI_TABANI!$B$7 + MAX(0, VERI_TABANI!D26*C442-MAX(0, VERI_TABANI!D26-VERI_TABANI!D26*B442))*VERI_TABANI!$B$8) + IF(ABS(IF(ISNUMBER(SEARCH("Var", D442)), 1, IF(ISNUMBER(SEARCH("Gri", D442)), -1, 0)))=1, VERI_TABANI!E26*(1-0.928)*VERI_TABANI!$B$9, 0) + (VERI_TABANI!D26*B442*(VERI_TABANI!$B$13-VERI_TABANI!$B$14)*VERI_TABANI!G26) + (VERI_TABANI!D26*C442*(VERI_TABANI!$B$13-VERI_TABANI!$B$15)*VERI_TABANI!G26) + IF(ABS(IF(ISNUMBER(SEARCH("Var", D442)), 1, IF(ISNUMBER(SEARCH("Gri", D442)), -1, 0)))=1, VERI_TABANI!E26*(1-0.928)*0.00206091519919798*VERI_TABANI!G26, 0)) + ((MIN(VERI_TABANI!D27, VERI_TABANI!D27*B442)*VERI_TABANI!$B$7 + MAX(0, VERI_TABANI!D27*B442-VERI_TABANI!D27)*VERI_TABANI!$B$8) + (MIN(MAX(0, VERI_TABANI!D27-VERI_TABANI!D27*B442), VERI_TABANI!D27*C442)*VERI_TABANI!$B$7 + MAX(0, VERI_TABANI!D27*C442-MAX(0, VERI_TABANI!D27-VERI_TABANI!D27*B442))*VERI_TABANI!$B$8) + IF(ABS(IF(ISNUMBER(SEARCH("Var", D442)), 1, IF(ISNUMBER(SEARCH("Gri", D442)), -1, 0)))=1, VERI_TABANI!E27*(1-0.928)*VERI_TABANI!$B$9, 0) + (VERI_TABANI!D27*B442*(VERI_TABANI!$B$13-VERI_TABANI!$B$14)*VERI_TABANI!G27) + (VERI_TABANI!D27*C442*(VERI_TABANI!$B$13-VERI_TABANI!$B$15)*VERI_TABANI!G27) + IF(ABS(IF(ISNUMBER(SEARCH("Var", D442)), 1, IF(ISNUMBER(SEARCH("Gri", D442)), -1, 0)))=1, VERI_TABANI!E27*(1-0.928)*0.00206091519919798*VERI_TABANI!G27, 0)) + ((MIN(VERI_TABANI!D28, VERI_TABANI!D28*B442)*VERI_TABANI!$B$7 + MAX(0, VERI_TABANI!D28*B442-VERI_TABANI!D28)*VERI_TABANI!$B$8) + (MIN(MAX(0, VERI_TABANI!D28-VERI_TABANI!D28*B442), VERI_TABANI!D28*C442)*VERI_TABANI!$B$7 + MAX(0, VERI_TABANI!D28*C442-MAX(0, VERI_TABANI!D28-VERI_TABANI!D28*B442))*VERI_TABANI!$B$8) + IF(ABS(IF(ISNUMBER(SEARCH("Var", D442)), 1, IF(ISNUMBER(SEARCH("Gri", D442)), -1, 0)))=1, VERI_TABANI!E28*(1-0.928)*VERI_TABANI!$B$9, 0) + (VERI_TABANI!D28*B442*(VERI_TABANI!$B$13-VERI_TABANI!$B$14)*VERI_TABANI!G28) + (VERI_TABANI!D28*C442*(VERI_TABANI!$B$13-VERI_TABANI!$B$15)*VERI_TABANI!G28) + IF(ABS(IF(ISNUMBER(SEARCH("Var", D442)), 1, IF(ISNUMBER(SEARCH("Gri", D442)), -1, 0)))=1, VERI_TABANI!E28*(1-0.928)*0.00206091519919798*VERI_TABANI!G28, 0)))</f>
        <v/>
      </c>
      <c r="H442" s="169">
        <f>(((VERI_TABANI!D23*B442*(VERI_TABANI!$B$13-VERI_TABANI!$B$14)) + (VERI_TABANI!D23*C442*(VERI_TABANI!$B$13-VERI_TABANI!$B$15)) + IF(ISNUMBER(SEARCH("Var", D442)), VERI_TABANI!F23*(0.00202-VERI_TABANI!$B$16), IF(ISNUMBER(SEARCH("Gri", D442)), VERI_TABANI!F23*(0.00202-VERI_TABANI!$B$17), 0))) + ((VERI_TABANI!D24*B442*(VERI_TABANI!$B$13-VERI_TABANI!$B$14)) + (VERI_TABANI!D24*C442*(VERI_TABANI!$B$13-VERI_TABANI!$B$15)) + IF(ISNUMBER(SEARCH("Var", D442)), VERI_TABANI!F24*(0.00202-VERI_TABANI!$B$16), IF(ISNUMBER(SEARCH("Gri", D442)), VERI_TABANI!F24*(0.00202-VERI_TABANI!$B$17), 0))) + ((VERI_TABANI!D25*B442*(VERI_TABANI!$B$13-VERI_TABANI!$B$14)) + (VERI_TABANI!D25*C442*(VERI_TABANI!$B$13-VERI_TABANI!$B$15)) + IF(ISNUMBER(SEARCH("Var", D442)), VERI_TABANI!F25*(0.00202-VERI_TABANI!$B$16), IF(ISNUMBER(SEARCH("Gri", D442)), VERI_TABANI!F25*(0.00202-VERI_TABANI!$B$17), 0))) + ((VERI_TABANI!D26*B442*(VERI_TABANI!$B$13-VERI_TABANI!$B$14)) + (VERI_TABANI!D26*C442*(VERI_TABANI!$B$13-VERI_TABANI!$B$15)) + IF(ISNUMBER(SEARCH("Var", D442)), VERI_TABANI!F26*(0.00202-VERI_TABANI!$B$16), IF(ISNUMBER(SEARCH("Gri", D442)), VERI_TABANI!F26*(0.00202-VERI_TABANI!$B$17), 0))) + ((VERI_TABANI!D27*B442*(VERI_TABANI!$B$13-VERI_TABANI!$B$14)) + (VERI_TABANI!D27*C442*(VERI_TABANI!$B$13-VERI_TABANI!$B$15)) + IF(ISNUMBER(SEARCH("Var", D442)), VERI_TABANI!F27*(0.00202-VERI_TABANI!$B$16), IF(ISNUMBER(SEARCH("Gri", D442)), VERI_TABANI!F27*(0.00202-VERI_TABANI!$B$17), 0))) + ((VERI_TABANI!D28*B442*(VERI_TABANI!$B$13-VERI_TABANI!$B$14)) + (VERI_TABANI!D28*C442*(VERI_TABANI!$B$13-VERI_TABANI!$B$15)) + IF(ISNUMBER(SEARCH("Var", D442)), VERI_TABANI!F28*(0.00202-VERI_TABANI!$B$16), IF(ISNUMBER(SEARCH("Gri", D442)), VERI_TABANI!F28*(0.00202-VERI_TABANI!$B$17), 0))))</f>
        <v/>
      </c>
      <c r="I442" s="170">
        <f>IFERROR(((VERI_TABANI!$D$29*B442*VERI_TABANI!$B$14 + VERI_TABANI!$D$29*C442*VERI_TABANI!$B$15 + IF(ISNUMBER(SEARCH("Var", D442)), VERI_TABANI!$F$29*VERI_TABANI!$B$16, 0))) / (((VERI_TABANI!$D$29*B442 + VERI_TABANI!$D$29*C442)*VERI_TABANI!$B$13 + IF(ISNUMBER(SEARCH("Var", D442)), VERI_TABANI!$E$29*(1-0.928)*VERI_TABANI!$B$18, 0))), 0)</f>
        <v/>
      </c>
      <c r="J442" s="171">
        <f>IFERROR(F442/(G442/29), 0)</f>
        <v/>
      </c>
      <c r="K442" s="172">
        <f>IF(F442&gt;0, H442/F442, 0)</f>
        <v/>
      </c>
      <c r="L442" s="170">
        <f>IF(F442&gt;0, I442, 1000000000)</f>
        <v/>
      </c>
      <c r="M442" s="171">
        <f>ABS((B442+C442)-1)</f>
        <v/>
      </c>
      <c r="N442" s="170">
        <f>IF(F442&gt;0, (G442/29)/F442, 0)</f>
        <v/>
      </c>
      <c r="O442" s="168">
        <f>IF(AND((B442+C442)&gt;=1, ISNUMBER(SEARCH("Var", D442))), F442, 1000000000)</f>
        <v/>
      </c>
      <c r="P442" s="172">
        <f>IF(F442&gt;0, SQRT((F442/MAX(F$5:F$886))^2 + (1 - H442/MAX(H$5:H$886))^2 + (J442/MAX(J$5:J$886))^2), 1000000000)</f>
        <v/>
      </c>
      <c r="Q442" s="166">
        <f>IF(AND(ABS(B442-0.5)&lt;0.01, ABS(C442-0.5)&lt;0.01, ISNUMBER(SEARCH("Var", D442))), 1, 0)</f>
        <v/>
      </c>
      <c r="R442" s="171">
        <f>IF(F442&gt;0, J442, 1000000000)</f>
        <v/>
      </c>
      <c r="S442" s="101">
        <f>IF(AND(F442&lt;=DASHBOARD!$B$11, H442&gt;=DASHBOARD!$B$13), G442, -1000000000000)</f>
        <v/>
      </c>
      <c r="T442" s="101">
        <f>IF(AND(F442&lt;=DASHBOARD!$B$11, H442&gt;=DASHBOARD!$B$13), R442, 1000000000000)</f>
        <v/>
      </c>
      <c r="U442" s="101">
        <f>IF(AND(F442&lt;=DASHBOARD!$B$11, H442&gt;=DASHBOARD!$B$13), N442, -1000000000000)</f>
        <v/>
      </c>
      <c r="V442" s="101">
        <f>IF(AND(F442&lt;=DASHBOARD!$B$11, H442&gt;=DASHBOARD!$B$13), H442, -1000000000000)</f>
        <v/>
      </c>
      <c r="W442" s="101">
        <f>IF(AND(F442&lt;=DASHBOARD!$B$11, H442&gt;=DASHBOARD!$B$13), K442, -1000000000000)</f>
        <v/>
      </c>
      <c r="X442" s="101">
        <f>IF(AND(F442&lt;=DASHBOARD!$B$11, H442&gt;=DASHBOARD!$B$13), M442, 1000000000000)</f>
        <v/>
      </c>
      <c r="Y442" s="101">
        <f>IF(AND(F442&lt;=DASHBOARD!$B$10, H442&gt;=DASHBOARD!$B$11), L442, 1000000000000)</f>
        <v/>
      </c>
      <c r="Z442" s="101">
        <f>IF(AND(F442&lt;=DASHBOARD!$B$10, H442&gt;=DASHBOARD!$B$11), O442, 1000000000000)</f>
        <v/>
      </c>
      <c r="AA442" s="101">
        <f>IF(AND(F442&lt;=DASHBOARD!$B$10, H442&gt;=DASHBOARD!$B$11), P442, 1000000000000)</f>
        <v/>
      </c>
      <c r="AB442" s="101">
        <f>IF(AND(F442&lt;=DASHBOARD!$B$10, H442&gt;=DASHBOARD!$B$11), Q442, -1000000000000)</f>
        <v/>
      </c>
    </row>
    <row r="443" ht="15" customHeight="1" s="102">
      <c r="A443" s="166" t="n">
        <v>439</v>
      </c>
      <c r="B443" s="167" t="n">
        <v>1</v>
      </c>
      <c r="C443" s="167" t="n">
        <v>0.9</v>
      </c>
      <c r="D443" s="110" t="inlineStr">
        <is>
          <t>Yok (%0)</t>
        </is>
      </c>
      <c r="E443" s="110">
        <f>IF((B443+C443)&lt;=1, "Tam Mahsuplaşma (≤%100)", "Kısmi Satış (&gt;%100)")</f>
        <v/>
      </c>
      <c r="F443" s="168">
        <f>((VERI_TABANI!$D$29*B443/VERI_TABANI!$B$29)/VERI_TABANI!$B$3)*VERI_TABANI!$B$5 + ((VERI_TABANI!$D$29*C443/VERI_TABANI!$B$29)/VERI_TABANI!$B$4)*VERI_TABANI!$B$6 + IF(ISNUMBER(SEARCH("Var", D443)), (VERI_TABANI!$F$29/VERI_TABANI!$B$29)*(VERI_TABANI!$B$10+VERI_TABANI!$B$12), 0)</f>
        <v/>
      </c>
      <c r="G443" s="168">
        <f>(((MIN(VERI_TABANI!D23, VERI_TABANI!D23*B443)*VERI_TABANI!$B$7 + MAX(0, VERI_TABANI!D23*B443-VERI_TABANI!D23)*VERI_TABANI!$B$8) + (MIN(MAX(0, VERI_TABANI!D23-VERI_TABANI!D23*B443), VERI_TABANI!D23*C443)*VERI_TABANI!$B$7 + MAX(0, VERI_TABANI!D23*C443-MAX(0, VERI_TABANI!D23-VERI_TABANI!D23*B443))*VERI_TABANI!$B$8) + IF(ABS(IF(ISNUMBER(SEARCH("Var", D443)), 1, IF(ISNUMBER(SEARCH("Gri", D443)), -1, 0)))=1, VERI_TABANI!E23*(1-0.928)*VERI_TABANI!$B$9, 0) + (VERI_TABANI!D23*B443*(VERI_TABANI!$B$13-VERI_TABANI!$B$14)*VERI_TABANI!G23) + (VERI_TABANI!D23*C443*(VERI_TABANI!$B$13-VERI_TABANI!$B$15)*VERI_TABANI!G23) + IF(ABS(IF(ISNUMBER(SEARCH("Var", D443)), 1, IF(ISNUMBER(SEARCH("Gri", D443)), -1, 0)))=1, VERI_TABANI!E23*(1-0.928)*0.00206091519919798*VERI_TABANI!G23, 0)) + ((MIN(VERI_TABANI!D24, VERI_TABANI!D24*B443)*VERI_TABANI!$B$7 + MAX(0, VERI_TABANI!D24*B443-VERI_TABANI!D24)*VERI_TABANI!$B$8) + (MIN(MAX(0, VERI_TABANI!D24-VERI_TABANI!D24*B443), VERI_TABANI!D24*C443)*VERI_TABANI!$B$7 + MAX(0, VERI_TABANI!D24*C443-MAX(0, VERI_TABANI!D24-VERI_TABANI!D24*B443))*VERI_TABANI!$B$8) + IF(ABS(IF(ISNUMBER(SEARCH("Var", D443)), 1, IF(ISNUMBER(SEARCH("Gri", D443)), -1, 0)))=1, VERI_TABANI!E24*(1-0.928)*VERI_TABANI!$B$9, 0) + (VERI_TABANI!D24*B443*(VERI_TABANI!$B$13-VERI_TABANI!$B$14)*VERI_TABANI!G24) + (VERI_TABANI!D24*C443*(VERI_TABANI!$B$13-VERI_TABANI!$B$15)*VERI_TABANI!G24) + IF(ABS(IF(ISNUMBER(SEARCH("Var", D443)), 1, IF(ISNUMBER(SEARCH("Gri", D443)), -1, 0)))=1, VERI_TABANI!E24*(1-0.928)*0.00206091519919798*VERI_TABANI!G24, 0)) + ((MIN(VERI_TABANI!D25, VERI_TABANI!D25*B443)*VERI_TABANI!$B$7 + MAX(0, VERI_TABANI!D25*B443-VERI_TABANI!D25)*VERI_TABANI!$B$8) + (MIN(MAX(0, VERI_TABANI!D25-VERI_TABANI!D25*B443), VERI_TABANI!D25*C443)*VERI_TABANI!$B$7 + MAX(0, VERI_TABANI!D25*C443-MAX(0, VERI_TABANI!D25-VERI_TABANI!D25*B443))*VERI_TABANI!$B$8) + IF(ABS(IF(ISNUMBER(SEARCH("Var", D443)), 1, IF(ISNUMBER(SEARCH("Gri", D443)), -1, 0)))=1, VERI_TABANI!E25*(1-0.928)*VERI_TABANI!$B$9, 0) + (VERI_TABANI!D25*B443*(VERI_TABANI!$B$13-VERI_TABANI!$B$14)*VERI_TABANI!G25) + (VERI_TABANI!D25*C443*(VERI_TABANI!$B$13-VERI_TABANI!$B$15)*VERI_TABANI!G25) + IF(ABS(IF(ISNUMBER(SEARCH("Var", D443)), 1, IF(ISNUMBER(SEARCH("Gri", D443)), -1, 0)))=1, VERI_TABANI!E25*(1-0.928)*0.00206091519919798*VERI_TABANI!G25, 0)) + ((MIN(VERI_TABANI!D26, VERI_TABANI!D26*B443)*VERI_TABANI!$B$7 + MAX(0, VERI_TABANI!D26*B443-VERI_TABANI!D26)*VERI_TABANI!$B$8) + (MIN(MAX(0, VERI_TABANI!D26-VERI_TABANI!D26*B443), VERI_TABANI!D26*C443)*VERI_TABANI!$B$7 + MAX(0, VERI_TABANI!D26*C443-MAX(0, VERI_TABANI!D26-VERI_TABANI!D26*B443))*VERI_TABANI!$B$8) + IF(ABS(IF(ISNUMBER(SEARCH("Var", D443)), 1, IF(ISNUMBER(SEARCH("Gri", D443)), -1, 0)))=1, VERI_TABANI!E26*(1-0.928)*VERI_TABANI!$B$9, 0) + (VERI_TABANI!D26*B443*(VERI_TABANI!$B$13-VERI_TABANI!$B$14)*VERI_TABANI!G26) + (VERI_TABANI!D26*C443*(VERI_TABANI!$B$13-VERI_TABANI!$B$15)*VERI_TABANI!G26) + IF(ABS(IF(ISNUMBER(SEARCH("Var", D443)), 1, IF(ISNUMBER(SEARCH("Gri", D443)), -1, 0)))=1, VERI_TABANI!E26*(1-0.928)*0.00206091519919798*VERI_TABANI!G26, 0)) + ((MIN(VERI_TABANI!D27, VERI_TABANI!D27*B443)*VERI_TABANI!$B$7 + MAX(0, VERI_TABANI!D27*B443-VERI_TABANI!D27)*VERI_TABANI!$B$8) + (MIN(MAX(0, VERI_TABANI!D27-VERI_TABANI!D27*B443), VERI_TABANI!D27*C443)*VERI_TABANI!$B$7 + MAX(0, VERI_TABANI!D27*C443-MAX(0, VERI_TABANI!D27-VERI_TABANI!D27*B443))*VERI_TABANI!$B$8) + IF(ABS(IF(ISNUMBER(SEARCH("Var", D443)), 1, IF(ISNUMBER(SEARCH("Gri", D443)), -1, 0)))=1, VERI_TABANI!E27*(1-0.928)*VERI_TABANI!$B$9, 0) + (VERI_TABANI!D27*B443*(VERI_TABANI!$B$13-VERI_TABANI!$B$14)*VERI_TABANI!G27) + (VERI_TABANI!D27*C443*(VERI_TABANI!$B$13-VERI_TABANI!$B$15)*VERI_TABANI!G27) + IF(ABS(IF(ISNUMBER(SEARCH("Var", D443)), 1, IF(ISNUMBER(SEARCH("Gri", D443)), -1, 0)))=1, VERI_TABANI!E27*(1-0.928)*0.00206091519919798*VERI_TABANI!G27, 0)) + ((MIN(VERI_TABANI!D28, VERI_TABANI!D28*B443)*VERI_TABANI!$B$7 + MAX(0, VERI_TABANI!D28*B443-VERI_TABANI!D28)*VERI_TABANI!$B$8) + (MIN(MAX(0, VERI_TABANI!D28-VERI_TABANI!D28*B443), VERI_TABANI!D28*C443)*VERI_TABANI!$B$7 + MAX(0, VERI_TABANI!D28*C443-MAX(0, VERI_TABANI!D28-VERI_TABANI!D28*B443))*VERI_TABANI!$B$8) + IF(ABS(IF(ISNUMBER(SEARCH("Var", D443)), 1, IF(ISNUMBER(SEARCH("Gri", D443)), -1, 0)))=1, VERI_TABANI!E28*(1-0.928)*VERI_TABANI!$B$9, 0) + (VERI_TABANI!D28*B443*(VERI_TABANI!$B$13-VERI_TABANI!$B$14)*VERI_TABANI!G28) + (VERI_TABANI!D28*C443*(VERI_TABANI!$B$13-VERI_TABANI!$B$15)*VERI_TABANI!G28) + IF(ABS(IF(ISNUMBER(SEARCH("Var", D443)), 1, IF(ISNUMBER(SEARCH("Gri", D443)), -1, 0)))=1, VERI_TABANI!E28*(1-0.928)*0.00206091519919798*VERI_TABANI!G28, 0)))</f>
        <v/>
      </c>
      <c r="H443" s="169">
        <f>(((VERI_TABANI!D23*B443*(VERI_TABANI!$B$13-VERI_TABANI!$B$14)) + (VERI_TABANI!D23*C443*(VERI_TABANI!$B$13-VERI_TABANI!$B$15)) + IF(ISNUMBER(SEARCH("Var", D443)), VERI_TABANI!F23*(0.00202-VERI_TABANI!$B$16), IF(ISNUMBER(SEARCH("Gri", D443)), VERI_TABANI!F23*(0.00202-VERI_TABANI!$B$17), 0))) + ((VERI_TABANI!D24*B443*(VERI_TABANI!$B$13-VERI_TABANI!$B$14)) + (VERI_TABANI!D24*C443*(VERI_TABANI!$B$13-VERI_TABANI!$B$15)) + IF(ISNUMBER(SEARCH("Var", D443)), VERI_TABANI!F24*(0.00202-VERI_TABANI!$B$16), IF(ISNUMBER(SEARCH("Gri", D443)), VERI_TABANI!F24*(0.00202-VERI_TABANI!$B$17), 0))) + ((VERI_TABANI!D25*B443*(VERI_TABANI!$B$13-VERI_TABANI!$B$14)) + (VERI_TABANI!D25*C443*(VERI_TABANI!$B$13-VERI_TABANI!$B$15)) + IF(ISNUMBER(SEARCH("Var", D443)), VERI_TABANI!F25*(0.00202-VERI_TABANI!$B$16), IF(ISNUMBER(SEARCH("Gri", D443)), VERI_TABANI!F25*(0.00202-VERI_TABANI!$B$17), 0))) + ((VERI_TABANI!D26*B443*(VERI_TABANI!$B$13-VERI_TABANI!$B$14)) + (VERI_TABANI!D26*C443*(VERI_TABANI!$B$13-VERI_TABANI!$B$15)) + IF(ISNUMBER(SEARCH("Var", D443)), VERI_TABANI!F26*(0.00202-VERI_TABANI!$B$16), IF(ISNUMBER(SEARCH("Gri", D443)), VERI_TABANI!F26*(0.00202-VERI_TABANI!$B$17), 0))) + ((VERI_TABANI!D27*B443*(VERI_TABANI!$B$13-VERI_TABANI!$B$14)) + (VERI_TABANI!D27*C443*(VERI_TABANI!$B$13-VERI_TABANI!$B$15)) + IF(ISNUMBER(SEARCH("Var", D443)), VERI_TABANI!F27*(0.00202-VERI_TABANI!$B$16), IF(ISNUMBER(SEARCH("Gri", D443)), VERI_TABANI!F27*(0.00202-VERI_TABANI!$B$17), 0))) + ((VERI_TABANI!D28*B443*(VERI_TABANI!$B$13-VERI_TABANI!$B$14)) + (VERI_TABANI!D28*C443*(VERI_TABANI!$B$13-VERI_TABANI!$B$15)) + IF(ISNUMBER(SEARCH("Var", D443)), VERI_TABANI!F28*(0.00202-VERI_TABANI!$B$16), IF(ISNUMBER(SEARCH("Gri", D443)), VERI_TABANI!F28*(0.00202-VERI_TABANI!$B$17), 0))))</f>
        <v/>
      </c>
      <c r="I443" s="170">
        <f>IFERROR(((VERI_TABANI!$D$29*B443*VERI_TABANI!$B$14 + VERI_TABANI!$D$29*C443*VERI_TABANI!$B$15 + IF(ISNUMBER(SEARCH("Var", D443)), VERI_TABANI!$F$29*VERI_TABANI!$B$16, 0))) / (((VERI_TABANI!$D$29*B443 + VERI_TABANI!$D$29*C443)*VERI_TABANI!$B$13 + IF(ISNUMBER(SEARCH("Var", D443)), VERI_TABANI!$E$29*(1-0.928)*VERI_TABANI!$B$18, 0))), 0)</f>
        <v/>
      </c>
      <c r="J443" s="171">
        <f>IFERROR(F443/(G443/29), 0)</f>
        <v/>
      </c>
      <c r="K443" s="172">
        <f>IF(F443&gt;0, H443/F443, 0)</f>
        <v/>
      </c>
      <c r="L443" s="170">
        <f>IF(F443&gt;0, I443, 1000000000)</f>
        <v/>
      </c>
      <c r="M443" s="171">
        <f>ABS((B443+C443)-1)</f>
        <v/>
      </c>
      <c r="N443" s="170">
        <f>IF(F443&gt;0, (G443/29)/F443, 0)</f>
        <v/>
      </c>
      <c r="O443" s="168">
        <f>IF(AND((B443+C443)&gt;=1, ISNUMBER(SEARCH("Var", D443))), F443, 1000000000)</f>
        <v/>
      </c>
      <c r="P443" s="172">
        <f>IF(F443&gt;0, SQRT((F443/MAX(F$5:F$886))^2 + (1 - H443/MAX(H$5:H$886))^2 + (J443/MAX(J$5:J$886))^2), 1000000000)</f>
        <v/>
      </c>
      <c r="Q443" s="166">
        <f>IF(AND(ABS(B443-0.5)&lt;0.01, ABS(C443-0.5)&lt;0.01, ISNUMBER(SEARCH("Var", D443))), 1, 0)</f>
        <v/>
      </c>
      <c r="R443" s="171">
        <f>IF(F443&gt;0, J443, 1000000000)</f>
        <v/>
      </c>
      <c r="S443" s="101">
        <f>IF(AND(F443&lt;=DASHBOARD!$B$11, H443&gt;=DASHBOARD!$B$13), G443, -1000000000000)</f>
        <v/>
      </c>
      <c r="T443" s="101">
        <f>IF(AND(F443&lt;=DASHBOARD!$B$11, H443&gt;=DASHBOARD!$B$13), R443, 1000000000000)</f>
        <v/>
      </c>
      <c r="U443" s="101">
        <f>IF(AND(F443&lt;=DASHBOARD!$B$11, H443&gt;=DASHBOARD!$B$13), N443, -1000000000000)</f>
        <v/>
      </c>
      <c r="V443" s="101">
        <f>IF(AND(F443&lt;=DASHBOARD!$B$11, H443&gt;=DASHBOARD!$B$13), H443, -1000000000000)</f>
        <v/>
      </c>
      <c r="W443" s="101">
        <f>IF(AND(F443&lt;=DASHBOARD!$B$11, H443&gt;=DASHBOARD!$B$13), K443, -1000000000000)</f>
        <v/>
      </c>
      <c r="X443" s="101">
        <f>IF(AND(F443&lt;=DASHBOARD!$B$11, H443&gt;=DASHBOARD!$B$13), M443, 1000000000000)</f>
        <v/>
      </c>
      <c r="Y443" s="101">
        <f>IF(AND(F443&lt;=DASHBOARD!$B$10, H443&gt;=DASHBOARD!$B$11), L443, 1000000000000)</f>
        <v/>
      </c>
      <c r="Z443" s="101">
        <f>IF(AND(F443&lt;=DASHBOARD!$B$10, H443&gt;=DASHBOARD!$B$11), O443, 1000000000000)</f>
        <v/>
      </c>
      <c r="AA443" s="101">
        <f>IF(AND(F443&lt;=DASHBOARD!$B$10, H443&gt;=DASHBOARD!$B$11), P443, 1000000000000)</f>
        <v/>
      </c>
      <c r="AB443" s="101">
        <f>IF(AND(F443&lt;=DASHBOARD!$B$10, H443&gt;=DASHBOARD!$B$11), Q443, -1000000000000)</f>
        <v/>
      </c>
    </row>
    <row r="444" ht="15" customHeight="1" s="102">
      <c r="A444" s="166" t="n">
        <v>440</v>
      </c>
      <c r="B444" s="167" t="n">
        <v>1</v>
      </c>
      <c r="C444" s="167" t="n">
        <v>0.9</v>
      </c>
      <c r="D444" s="110" t="inlineStr">
        <is>
          <t>Var (%20)</t>
        </is>
      </c>
      <c r="E444" s="110">
        <f>IF((B444+C444)&lt;=1, "Tam Mahsuplaşma (≤%100)", "Kısmi Satış (&gt;%100)")</f>
        <v/>
      </c>
      <c r="F444" s="168">
        <f>((VERI_TABANI!$D$29*B444/VERI_TABANI!$B$29)/VERI_TABANI!$B$3)*VERI_TABANI!$B$5 + ((VERI_TABANI!$D$29*C444/VERI_TABANI!$B$29)/VERI_TABANI!$B$4)*VERI_TABANI!$B$6 + IF(ISNUMBER(SEARCH("Var", D444)), (VERI_TABANI!$F$29/VERI_TABANI!$B$29)*(VERI_TABANI!$B$10+VERI_TABANI!$B$12), 0)</f>
        <v/>
      </c>
      <c r="G444" s="168">
        <f>(((MIN(VERI_TABANI!D23, VERI_TABANI!D23*B444)*VERI_TABANI!$B$7 + MAX(0, VERI_TABANI!D23*B444-VERI_TABANI!D23)*VERI_TABANI!$B$8) + (MIN(MAX(0, VERI_TABANI!D23-VERI_TABANI!D23*B444), VERI_TABANI!D23*C444)*VERI_TABANI!$B$7 + MAX(0, VERI_TABANI!D23*C444-MAX(0, VERI_TABANI!D23-VERI_TABANI!D23*B444))*VERI_TABANI!$B$8) + IF(ABS(IF(ISNUMBER(SEARCH("Var", D444)), 1, IF(ISNUMBER(SEARCH("Gri", D444)), -1, 0)))=1, VERI_TABANI!E23*(1-0.928)*VERI_TABANI!$B$9, 0) + (VERI_TABANI!D23*B444*(VERI_TABANI!$B$13-VERI_TABANI!$B$14)*VERI_TABANI!G23) + (VERI_TABANI!D23*C444*(VERI_TABANI!$B$13-VERI_TABANI!$B$15)*VERI_TABANI!G23) + IF(ABS(IF(ISNUMBER(SEARCH("Var", D444)), 1, IF(ISNUMBER(SEARCH("Gri", D444)), -1, 0)))=1, VERI_TABANI!E23*(1-0.928)*0.00206091519919798*VERI_TABANI!G23, 0)) + ((MIN(VERI_TABANI!D24, VERI_TABANI!D24*B444)*VERI_TABANI!$B$7 + MAX(0, VERI_TABANI!D24*B444-VERI_TABANI!D24)*VERI_TABANI!$B$8) + (MIN(MAX(0, VERI_TABANI!D24-VERI_TABANI!D24*B444), VERI_TABANI!D24*C444)*VERI_TABANI!$B$7 + MAX(0, VERI_TABANI!D24*C444-MAX(0, VERI_TABANI!D24-VERI_TABANI!D24*B444))*VERI_TABANI!$B$8) + IF(ABS(IF(ISNUMBER(SEARCH("Var", D444)), 1, IF(ISNUMBER(SEARCH("Gri", D444)), -1, 0)))=1, VERI_TABANI!E24*(1-0.928)*VERI_TABANI!$B$9, 0) + (VERI_TABANI!D24*B444*(VERI_TABANI!$B$13-VERI_TABANI!$B$14)*VERI_TABANI!G24) + (VERI_TABANI!D24*C444*(VERI_TABANI!$B$13-VERI_TABANI!$B$15)*VERI_TABANI!G24) + IF(ABS(IF(ISNUMBER(SEARCH("Var", D444)), 1, IF(ISNUMBER(SEARCH("Gri", D444)), -1, 0)))=1, VERI_TABANI!E24*(1-0.928)*0.00206091519919798*VERI_TABANI!G24, 0)) + ((MIN(VERI_TABANI!D25, VERI_TABANI!D25*B444)*VERI_TABANI!$B$7 + MAX(0, VERI_TABANI!D25*B444-VERI_TABANI!D25)*VERI_TABANI!$B$8) + (MIN(MAX(0, VERI_TABANI!D25-VERI_TABANI!D25*B444), VERI_TABANI!D25*C444)*VERI_TABANI!$B$7 + MAX(0, VERI_TABANI!D25*C444-MAX(0, VERI_TABANI!D25-VERI_TABANI!D25*B444))*VERI_TABANI!$B$8) + IF(ABS(IF(ISNUMBER(SEARCH("Var", D444)), 1, IF(ISNUMBER(SEARCH("Gri", D444)), -1, 0)))=1, VERI_TABANI!E25*(1-0.928)*VERI_TABANI!$B$9, 0) + (VERI_TABANI!D25*B444*(VERI_TABANI!$B$13-VERI_TABANI!$B$14)*VERI_TABANI!G25) + (VERI_TABANI!D25*C444*(VERI_TABANI!$B$13-VERI_TABANI!$B$15)*VERI_TABANI!G25) + IF(ABS(IF(ISNUMBER(SEARCH("Var", D444)), 1, IF(ISNUMBER(SEARCH("Gri", D444)), -1, 0)))=1, VERI_TABANI!E25*(1-0.928)*0.00206091519919798*VERI_TABANI!G25, 0)) + ((MIN(VERI_TABANI!D26, VERI_TABANI!D26*B444)*VERI_TABANI!$B$7 + MAX(0, VERI_TABANI!D26*B444-VERI_TABANI!D26)*VERI_TABANI!$B$8) + (MIN(MAX(0, VERI_TABANI!D26-VERI_TABANI!D26*B444), VERI_TABANI!D26*C444)*VERI_TABANI!$B$7 + MAX(0, VERI_TABANI!D26*C444-MAX(0, VERI_TABANI!D26-VERI_TABANI!D26*B444))*VERI_TABANI!$B$8) + IF(ABS(IF(ISNUMBER(SEARCH("Var", D444)), 1, IF(ISNUMBER(SEARCH("Gri", D444)), -1, 0)))=1, VERI_TABANI!E26*(1-0.928)*VERI_TABANI!$B$9, 0) + (VERI_TABANI!D26*B444*(VERI_TABANI!$B$13-VERI_TABANI!$B$14)*VERI_TABANI!G26) + (VERI_TABANI!D26*C444*(VERI_TABANI!$B$13-VERI_TABANI!$B$15)*VERI_TABANI!G26) + IF(ABS(IF(ISNUMBER(SEARCH("Var", D444)), 1, IF(ISNUMBER(SEARCH("Gri", D444)), -1, 0)))=1, VERI_TABANI!E26*(1-0.928)*0.00206091519919798*VERI_TABANI!G26, 0)) + ((MIN(VERI_TABANI!D27, VERI_TABANI!D27*B444)*VERI_TABANI!$B$7 + MAX(0, VERI_TABANI!D27*B444-VERI_TABANI!D27)*VERI_TABANI!$B$8) + (MIN(MAX(0, VERI_TABANI!D27-VERI_TABANI!D27*B444), VERI_TABANI!D27*C444)*VERI_TABANI!$B$7 + MAX(0, VERI_TABANI!D27*C444-MAX(0, VERI_TABANI!D27-VERI_TABANI!D27*B444))*VERI_TABANI!$B$8) + IF(ABS(IF(ISNUMBER(SEARCH("Var", D444)), 1, IF(ISNUMBER(SEARCH("Gri", D444)), -1, 0)))=1, VERI_TABANI!E27*(1-0.928)*VERI_TABANI!$B$9, 0) + (VERI_TABANI!D27*B444*(VERI_TABANI!$B$13-VERI_TABANI!$B$14)*VERI_TABANI!G27) + (VERI_TABANI!D27*C444*(VERI_TABANI!$B$13-VERI_TABANI!$B$15)*VERI_TABANI!G27) + IF(ABS(IF(ISNUMBER(SEARCH("Var", D444)), 1, IF(ISNUMBER(SEARCH("Gri", D444)), -1, 0)))=1, VERI_TABANI!E27*(1-0.928)*0.00206091519919798*VERI_TABANI!G27, 0)) + ((MIN(VERI_TABANI!D28, VERI_TABANI!D28*B444)*VERI_TABANI!$B$7 + MAX(0, VERI_TABANI!D28*B444-VERI_TABANI!D28)*VERI_TABANI!$B$8) + (MIN(MAX(0, VERI_TABANI!D28-VERI_TABANI!D28*B444), VERI_TABANI!D28*C444)*VERI_TABANI!$B$7 + MAX(0, VERI_TABANI!D28*C444-MAX(0, VERI_TABANI!D28-VERI_TABANI!D28*B444))*VERI_TABANI!$B$8) + IF(ABS(IF(ISNUMBER(SEARCH("Var", D444)), 1, IF(ISNUMBER(SEARCH("Gri", D444)), -1, 0)))=1, VERI_TABANI!E28*(1-0.928)*VERI_TABANI!$B$9, 0) + (VERI_TABANI!D28*B444*(VERI_TABANI!$B$13-VERI_TABANI!$B$14)*VERI_TABANI!G28) + (VERI_TABANI!D28*C444*(VERI_TABANI!$B$13-VERI_TABANI!$B$15)*VERI_TABANI!G28) + IF(ABS(IF(ISNUMBER(SEARCH("Var", D444)), 1, IF(ISNUMBER(SEARCH("Gri", D444)), -1, 0)))=1, VERI_TABANI!E28*(1-0.928)*0.00206091519919798*VERI_TABANI!G28, 0)))</f>
        <v/>
      </c>
      <c r="H444" s="169">
        <f>(((VERI_TABANI!D23*B444*(VERI_TABANI!$B$13-VERI_TABANI!$B$14)) + (VERI_TABANI!D23*C444*(VERI_TABANI!$B$13-VERI_TABANI!$B$15)) + IF(ISNUMBER(SEARCH("Var", D444)), VERI_TABANI!F23*(0.00202-VERI_TABANI!$B$16), IF(ISNUMBER(SEARCH("Gri", D444)), VERI_TABANI!F23*(0.00202-VERI_TABANI!$B$17), 0))) + ((VERI_TABANI!D24*B444*(VERI_TABANI!$B$13-VERI_TABANI!$B$14)) + (VERI_TABANI!D24*C444*(VERI_TABANI!$B$13-VERI_TABANI!$B$15)) + IF(ISNUMBER(SEARCH("Var", D444)), VERI_TABANI!F24*(0.00202-VERI_TABANI!$B$16), IF(ISNUMBER(SEARCH("Gri", D444)), VERI_TABANI!F24*(0.00202-VERI_TABANI!$B$17), 0))) + ((VERI_TABANI!D25*B444*(VERI_TABANI!$B$13-VERI_TABANI!$B$14)) + (VERI_TABANI!D25*C444*(VERI_TABANI!$B$13-VERI_TABANI!$B$15)) + IF(ISNUMBER(SEARCH("Var", D444)), VERI_TABANI!F25*(0.00202-VERI_TABANI!$B$16), IF(ISNUMBER(SEARCH("Gri", D444)), VERI_TABANI!F25*(0.00202-VERI_TABANI!$B$17), 0))) + ((VERI_TABANI!D26*B444*(VERI_TABANI!$B$13-VERI_TABANI!$B$14)) + (VERI_TABANI!D26*C444*(VERI_TABANI!$B$13-VERI_TABANI!$B$15)) + IF(ISNUMBER(SEARCH("Var", D444)), VERI_TABANI!F26*(0.00202-VERI_TABANI!$B$16), IF(ISNUMBER(SEARCH("Gri", D444)), VERI_TABANI!F26*(0.00202-VERI_TABANI!$B$17), 0))) + ((VERI_TABANI!D27*B444*(VERI_TABANI!$B$13-VERI_TABANI!$B$14)) + (VERI_TABANI!D27*C444*(VERI_TABANI!$B$13-VERI_TABANI!$B$15)) + IF(ISNUMBER(SEARCH("Var", D444)), VERI_TABANI!F27*(0.00202-VERI_TABANI!$B$16), IF(ISNUMBER(SEARCH("Gri", D444)), VERI_TABANI!F27*(0.00202-VERI_TABANI!$B$17), 0))) + ((VERI_TABANI!D28*B444*(VERI_TABANI!$B$13-VERI_TABANI!$B$14)) + (VERI_TABANI!D28*C444*(VERI_TABANI!$B$13-VERI_TABANI!$B$15)) + IF(ISNUMBER(SEARCH("Var", D444)), VERI_TABANI!F28*(0.00202-VERI_TABANI!$B$16), IF(ISNUMBER(SEARCH("Gri", D444)), VERI_TABANI!F28*(0.00202-VERI_TABANI!$B$17), 0))))</f>
        <v/>
      </c>
      <c r="I444" s="170">
        <f>IFERROR(((VERI_TABANI!$D$29*B444*VERI_TABANI!$B$14 + VERI_TABANI!$D$29*C444*VERI_TABANI!$B$15 + IF(ISNUMBER(SEARCH("Var", D444)), VERI_TABANI!$F$29*VERI_TABANI!$B$16, 0))) / (((VERI_TABANI!$D$29*B444 + VERI_TABANI!$D$29*C444)*VERI_TABANI!$B$13 + IF(ISNUMBER(SEARCH("Var", D444)), VERI_TABANI!$E$29*(1-0.928)*VERI_TABANI!$B$18, 0))), 0)</f>
        <v/>
      </c>
      <c r="J444" s="171">
        <f>IFERROR(F444/(G444/29), 0)</f>
        <v/>
      </c>
      <c r="K444" s="172">
        <f>IF(F444&gt;0, H444/F444, 0)</f>
        <v/>
      </c>
      <c r="L444" s="170">
        <f>IF(F444&gt;0, I444, 1000000000)</f>
        <v/>
      </c>
      <c r="M444" s="171">
        <f>ABS((B444+C444)-1)</f>
        <v/>
      </c>
      <c r="N444" s="170">
        <f>IF(F444&gt;0, (G444/29)/F444, 0)</f>
        <v/>
      </c>
      <c r="O444" s="168">
        <f>IF(AND((B444+C444)&gt;=1, ISNUMBER(SEARCH("Var", D444))), F444, 1000000000)</f>
        <v/>
      </c>
      <c r="P444" s="172">
        <f>IF(F444&gt;0, SQRT((F444/MAX(F$5:F$886))^2 + (1 - H444/MAX(H$5:H$886))^2 + (J444/MAX(J$5:J$886))^2), 1000000000)</f>
        <v/>
      </c>
      <c r="Q444" s="166">
        <f>IF(AND(ABS(B444-0.5)&lt;0.01, ABS(C444-0.5)&lt;0.01, ISNUMBER(SEARCH("Var", D444))), 1, 0)</f>
        <v/>
      </c>
      <c r="R444" s="171">
        <f>IF(F444&gt;0, J444, 1000000000)</f>
        <v/>
      </c>
      <c r="S444" s="101">
        <f>IF(AND(F444&lt;=DASHBOARD!$B$11, H444&gt;=DASHBOARD!$B$13), G444, -1000000000000)</f>
        <v/>
      </c>
      <c r="T444" s="101">
        <f>IF(AND(F444&lt;=DASHBOARD!$B$11, H444&gt;=DASHBOARD!$B$13), R444, 1000000000000)</f>
        <v/>
      </c>
      <c r="U444" s="101">
        <f>IF(AND(F444&lt;=DASHBOARD!$B$11, H444&gt;=DASHBOARD!$B$13), N444, -1000000000000)</f>
        <v/>
      </c>
      <c r="V444" s="101">
        <f>IF(AND(F444&lt;=DASHBOARD!$B$11, H444&gt;=DASHBOARD!$B$13), H444, -1000000000000)</f>
        <v/>
      </c>
      <c r="W444" s="101">
        <f>IF(AND(F444&lt;=DASHBOARD!$B$11, H444&gt;=DASHBOARD!$B$13), K444, -1000000000000)</f>
        <v/>
      </c>
      <c r="X444" s="101">
        <f>IF(AND(F444&lt;=DASHBOARD!$B$11, H444&gt;=DASHBOARD!$B$13), M444, 1000000000000)</f>
        <v/>
      </c>
      <c r="Y444" s="101">
        <f>IF(AND(F444&lt;=DASHBOARD!$B$10, H444&gt;=DASHBOARD!$B$11), L444, 1000000000000)</f>
        <v/>
      </c>
      <c r="Z444" s="101">
        <f>IF(AND(F444&lt;=DASHBOARD!$B$10, H444&gt;=DASHBOARD!$B$11), O444, 1000000000000)</f>
        <v/>
      </c>
      <c r="AA444" s="101">
        <f>IF(AND(F444&lt;=DASHBOARD!$B$10, H444&gt;=DASHBOARD!$B$11), P444, 1000000000000)</f>
        <v/>
      </c>
      <c r="AB444" s="101">
        <f>IF(AND(F444&lt;=DASHBOARD!$B$10, H444&gt;=DASHBOARD!$B$11), Q444, -1000000000000)</f>
        <v/>
      </c>
    </row>
    <row r="445" ht="15" customHeight="1" s="102">
      <c r="A445" s="166" t="n">
        <v>441</v>
      </c>
      <c r="B445" s="167" t="n">
        <v>1</v>
      </c>
      <c r="C445" s="167" t="n">
        <v>1</v>
      </c>
      <c r="D445" s="110" t="inlineStr">
        <is>
          <t>Yok (%0)</t>
        </is>
      </c>
      <c r="E445" s="110">
        <f>IF((B445+C445)&lt;=1, "Tam Mahsuplaşma (≤%100)", "Kısmi Satış (&gt;%100)")</f>
        <v/>
      </c>
      <c r="F445" s="168">
        <f>((VERI_TABANI!$D$29*B445/VERI_TABANI!$B$29)/VERI_TABANI!$B$3)*VERI_TABANI!$B$5 + ((VERI_TABANI!$D$29*C445/VERI_TABANI!$B$29)/VERI_TABANI!$B$4)*VERI_TABANI!$B$6 + IF(ISNUMBER(SEARCH("Var", D445)), (VERI_TABANI!$F$29/VERI_TABANI!$B$29)*(VERI_TABANI!$B$10+VERI_TABANI!$B$12), 0)</f>
        <v/>
      </c>
      <c r="G445" s="168">
        <f>(((MIN(VERI_TABANI!D23, VERI_TABANI!D23*B445)*VERI_TABANI!$B$7 + MAX(0, VERI_TABANI!D23*B445-VERI_TABANI!D23)*VERI_TABANI!$B$8) + (MIN(MAX(0, VERI_TABANI!D23-VERI_TABANI!D23*B445), VERI_TABANI!D23*C445)*VERI_TABANI!$B$7 + MAX(0, VERI_TABANI!D23*C445-MAX(0, VERI_TABANI!D23-VERI_TABANI!D23*B445))*VERI_TABANI!$B$8) + IF(ABS(IF(ISNUMBER(SEARCH("Var", D445)), 1, IF(ISNUMBER(SEARCH("Gri", D445)), -1, 0)))=1, VERI_TABANI!E23*(1-0.928)*VERI_TABANI!$B$9, 0) + (VERI_TABANI!D23*B445*(VERI_TABANI!$B$13-VERI_TABANI!$B$14)*VERI_TABANI!G23) + (VERI_TABANI!D23*C445*(VERI_TABANI!$B$13-VERI_TABANI!$B$15)*VERI_TABANI!G23) + IF(ABS(IF(ISNUMBER(SEARCH("Var", D445)), 1, IF(ISNUMBER(SEARCH("Gri", D445)), -1, 0)))=1, VERI_TABANI!E23*(1-0.928)*0.00206091519919798*VERI_TABANI!G23, 0)) + ((MIN(VERI_TABANI!D24, VERI_TABANI!D24*B445)*VERI_TABANI!$B$7 + MAX(0, VERI_TABANI!D24*B445-VERI_TABANI!D24)*VERI_TABANI!$B$8) + (MIN(MAX(0, VERI_TABANI!D24-VERI_TABANI!D24*B445), VERI_TABANI!D24*C445)*VERI_TABANI!$B$7 + MAX(0, VERI_TABANI!D24*C445-MAX(0, VERI_TABANI!D24-VERI_TABANI!D24*B445))*VERI_TABANI!$B$8) + IF(ABS(IF(ISNUMBER(SEARCH("Var", D445)), 1, IF(ISNUMBER(SEARCH("Gri", D445)), -1, 0)))=1, VERI_TABANI!E24*(1-0.928)*VERI_TABANI!$B$9, 0) + (VERI_TABANI!D24*B445*(VERI_TABANI!$B$13-VERI_TABANI!$B$14)*VERI_TABANI!G24) + (VERI_TABANI!D24*C445*(VERI_TABANI!$B$13-VERI_TABANI!$B$15)*VERI_TABANI!G24) + IF(ABS(IF(ISNUMBER(SEARCH("Var", D445)), 1, IF(ISNUMBER(SEARCH("Gri", D445)), -1, 0)))=1, VERI_TABANI!E24*(1-0.928)*0.00206091519919798*VERI_TABANI!G24, 0)) + ((MIN(VERI_TABANI!D25, VERI_TABANI!D25*B445)*VERI_TABANI!$B$7 + MAX(0, VERI_TABANI!D25*B445-VERI_TABANI!D25)*VERI_TABANI!$B$8) + (MIN(MAX(0, VERI_TABANI!D25-VERI_TABANI!D25*B445), VERI_TABANI!D25*C445)*VERI_TABANI!$B$7 + MAX(0, VERI_TABANI!D25*C445-MAX(0, VERI_TABANI!D25-VERI_TABANI!D25*B445))*VERI_TABANI!$B$8) + IF(ABS(IF(ISNUMBER(SEARCH("Var", D445)), 1, IF(ISNUMBER(SEARCH("Gri", D445)), -1, 0)))=1, VERI_TABANI!E25*(1-0.928)*VERI_TABANI!$B$9, 0) + (VERI_TABANI!D25*B445*(VERI_TABANI!$B$13-VERI_TABANI!$B$14)*VERI_TABANI!G25) + (VERI_TABANI!D25*C445*(VERI_TABANI!$B$13-VERI_TABANI!$B$15)*VERI_TABANI!G25) + IF(ABS(IF(ISNUMBER(SEARCH("Var", D445)), 1, IF(ISNUMBER(SEARCH("Gri", D445)), -1, 0)))=1, VERI_TABANI!E25*(1-0.928)*0.00206091519919798*VERI_TABANI!G25, 0)) + ((MIN(VERI_TABANI!D26, VERI_TABANI!D26*B445)*VERI_TABANI!$B$7 + MAX(0, VERI_TABANI!D26*B445-VERI_TABANI!D26)*VERI_TABANI!$B$8) + (MIN(MAX(0, VERI_TABANI!D26-VERI_TABANI!D26*B445), VERI_TABANI!D26*C445)*VERI_TABANI!$B$7 + MAX(0, VERI_TABANI!D26*C445-MAX(0, VERI_TABANI!D26-VERI_TABANI!D26*B445))*VERI_TABANI!$B$8) + IF(ABS(IF(ISNUMBER(SEARCH("Var", D445)), 1, IF(ISNUMBER(SEARCH("Gri", D445)), -1, 0)))=1, VERI_TABANI!E26*(1-0.928)*VERI_TABANI!$B$9, 0) + (VERI_TABANI!D26*B445*(VERI_TABANI!$B$13-VERI_TABANI!$B$14)*VERI_TABANI!G26) + (VERI_TABANI!D26*C445*(VERI_TABANI!$B$13-VERI_TABANI!$B$15)*VERI_TABANI!G26) + IF(ABS(IF(ISNUMBER(SEARCH("Var", D445)), 1, IF(ISNUMBER(SEARCH("Gri", D445)), -1, 0)))=1, VERI_TABANI!E26*(1-0.928)*0.00206091519919798*VERI_TABANI!G26, 0)) + ((MIN(VERI_TABANI!D27, VERI_TABANI!D27*B445)*VERI_TABANI!$B$7 + MAX(0, VERI_TABANI!D27*B445-VERI_TABANI!D27)*VERI_TABANI!$B$8) + (MIN(MAX(0, VERI_TABANI!D27-VERI_TABANI!D27*B445), VERI_TABANI!D27*C445)*VERI_TABANI!$B$7 + MAX(0, VERI_TABANI!D27*C445-MAX(0, VERI_TABANI!D27-VERI_TABANI!D27*B445))*VERI_TABANI!$B$8) + IF(ABS(IF(ISNUMBER(SEARCH("Var", D445)), 1, IF(ISNUMBER(SEARCH("Gri", D445)), -1, 0)))=1, VERI_TABANI!E27*(1-0.928)*VERI_TABANI!$B$9, 0) + (VERI_TABANI!D27*B445*(VERI_TABANI!$B$13-VERI_TABANI!$B$14)*VERI_TABANI!G27) + (VERI_TABANI!D27*C445*(VERI_TABANI!$B$13-VERI_TABANI!$B$15)*VERI_TABANI!G27) + IF(ABS(IF(ISNUMBER(SEARCH("Var", D445)), 1, IF(ISNUMBER(SEARCH("Gri", D445)), -1, 0)))=1, VERI_TABANI!E27*(1-0.928)*0.00206091519919798*VERI_TABANI!G27, 0)) + ((MIN(VERI_TABANI!D28, VERI_TABANI!D28*B445)*VERI_TABANI!$B$7 + MAX(0, VERI_TABANI!D28*B445-VERI_TABANI!D28)*VERI_TABANI!$B$8) + (MIN(MAX(0, VERI_TABANI!D28-VERI_TABANI!D28*B445), VERI_TABANI!D28*C445)*VERI_TABANI!$B$7 + MAX(0, VERI_TABANI!D28*C445-MAX(0, VERI_TABANI!D28-VERI_TABANI!D28*B445))*VERI_TABANI!$B$8) + IF(ABS(IF(ISNUMBER(SEARCH("Var", D445)), 1, IF(ISNUMBER(SEARCH("Gri", D445)), -1, 0)))=1, VERI_TABANI!E28*(1-0.928)*VERI_TABANI!$B$9, 0) + (VERI_TABANI!D28*B445*(VERI_TABANI!$B$13-VERI_TABANI!$B$14)*VERI_TABANI!G28) + (VERI_TABANI!D28*C445*(VERI_TABANI!$B$13-VERI_TABANI!$B$15)*VERI_TABANI!G28) + IF(ABS(IF(ISNUMBER(SEARCH("Var", D445)), 1, IF(ISNUMBER(SEARCH("Gri", D445)), -1, 0)))=1, VERI_TABANI!E28*(1-0.928)*0.00206091519919798*VERI_TABANI!G28, 0)))</f>
        <v/>
      </c>
      <c r="H445" s="169">
        <f>(((VERI_TABANI!D23*B445*(VERI_TABANI!$B$13-VERI_TABANI!$B$14)) + (VERI_TABANI!D23*C445*(VERI_TABANI!$B$13-VERI_TABANI!$B$15)) + IF(ISNUMBER(SEARCH("Var", D445)), VERI_TABANI!F23*(0.00202-VERI_TABANI!$B$16), IF(ISNUMBER(SEARCH("Gri", D445)), VERI_TABANI!F23*(0.00202-VERI_TABANI!$B$17), 0))) + ((VERI_TABANI!D24*B445*(VERI_TABANI!$B$13-VERI_TABANI!$B$14)) + (VERI_TABANI!D24*C445*(VERI_TABANI!$B$13-VERI_TABANI!$B$15)) + IF(ISNUMBER(SEARCH("Var", D445)), VERI_TABANI!F24*(0.00202-VERI_TABANI!$B$16), IF(ISNUMBER(SEARCH("Gri", D445)), VERI_TABANI!F24*(0.00202-VERI_TABANI!$B$17), 0))) + ((VERI_TABANI!D25*B445*(VERI_TABANI!$B$13-VERI_TABANI!$B$14)) + (VERI_TABANI!D25*C445*(VERI_TABANI!$B$13-VERI_TABANI!$B$15)) + IF(ISNUMBER(SEARCH("Var", D445)), VERI_TABANI!F25*(0.00202-VERI_TABANI!$B$16), IF(ISNUMBER(SEARCH("Gri", D445)), VERI_TABANI!F25*(0.00202-VERI_TABANI!$B$17), 0))) + ((VERI_TABANI!D26*B445*(VERI_TABANI!$B$13-VERI_TABANI!$B$14)) + (VERI_TABANI!D26*C445*(VERI_TABANI!$B$13-VERI_TABANI!$B$15)) + IF(ISNUMBER(SEARCH("Var", D445)), VERI_TABANI!F26*(0.00202-VERI_TABANI!$B$16), IF(ISNUMBER(SEARCH("Gri", D445)), VERI_TABANI!F26*(0.00202-VERI_TABANI!$B$17), 0))) + ((VERI_TABANI!D27*B445*(VERI_TABANI!$B$13-VERI_TABANI!$B$14)) + (VERI_TABANI!D27*C445*(VERI_TABANI!$B$13-VERI_TABANI!$B$15)) + IF(ISNUMBER(SEARCH("Var", D445)), VERI_TABANI!F27*(0.00202-VERI_TABANI!$B$16), IF(ISNUMBER(SEARCH("Gri", D445)), VERI_TABANI!F27*(0.00202-VERI_TABANI!$B$17), 0))) + ((VERI_TABANI!D28*B445*(VERI_TABANI!$B$13-VERI_TABANI!$B$14)) + (VERI_TABANI!D28*C445*(VERI_TABANI!$B$13-VERI_TABANI!$B$15)) + IF(ISNUMBER(SEARCH("Var", D445)), VERI_TABANI!F28*(0.00202-VERI_TABANI!$B$16), IF(ISNUMBER(SEARCH("Gri", D445)), VERI_TABANI!F28*(0.00202-VERI_TABANI!$B$17), 0))))</f>
        <v/>
      </c>
      <c r="I445" s="170">
        <f>IFERROR(((VERI_TABANI!$D$29*B445*VERI_TABANI!$B$14 + VERI_TABANI!$D$29*C445*VERI_TABANI!$B$15 + IF(ISNUMBER(SEARCH("Var", D445)), VERI_TABANI!$F$29*VERI_TABANI!$B$16, 0))) / (((VERI_TABANI!$D$29*B445 + VERI_TABANI!$D$29*C445)*VERI_TABANI!$B$13 + IF(ISNUMBER(SEARCH("Var", D445)), VERI_TABANI!$E$29*(1-0.928)*VERI_TABANI!$B$18, 0))), 0)</f>
        <v/>
      </c>
      <c r="J445" s="171">
        <f>IFERROR(F445/(G445/29), 0)</f>
        <v/>
      </c>
      <c r="K445" s="172">
        <f>IF(F445&gt;0, H445/F445, 0)</f>
        <v/>
      </c>
      <c r="L445" s="170">
        <f>IF(F445&gt;0, I445, 1000000000)</f>
        <v/>
      </c>
      <c r="M445" s="171">
        <f>ABS((B445+C445)-1)</f>
        <v/>
      </c>
      <c r="N445" s="170">
        <f>IF(F445&gt;0, (G445/29)/F445, 0)</f>
        <v/>
      </c>
      <c r="O445" s="168">
        <f>IF(AND((B445+C445)&gt;=1, ISNUMBER(SEARCH("Var", D445))), F445, 1000000000)</f>
        <v/>
      </c>
      <c r="P445" s="172">
        <f>IF(F445&gt;0, SQRT((F445/MAX(F$5:F$886))^2 + (1 - H445/MAX(H$5:H$886))^2 + (J445/MAX(J$5:J$886))^2), 1000000000)</f>
        <v/>
      </c>
      <c r="Q445" s="166">
        <f>IF(AND(ABS(B445-0.5)&lt;0.01, ABS(C445-0.5)&lt;0.01, ISNUMBER(SEARCH("Var", D445))), 1, 0)</f>
        <v/>
      </c>
      <c r="R445" s="171">
        <f>IF(F445&gt;0, J445, 1000000000)</f>
        <v/>
      </c>
      <c r="S445" s="101">
        <f>IF(AND(F445&lt;=DASHBOARD!$B$11, H445&gt;=DASHBOARD!$B$13), G445, -1000000000000)</f>
        <v/>
      </c>
      <c r="T445" s="101">
        <f>IF(AND(F445&lt;=DASHBOARD!$B$11, H445&gt;=DASHBOARD!$B$13), R445, 1000000000000)</f>
        <v/>
      </c>
      <c r="U445" s="101">
        <f>IF(AND(F445&lt;=DASHBOARD!$B$11, H445&gt;=DASHBOARD!$B$13), N445, -1000000000000)</f>
        <v/>
      </c>
      <c r="V445" s="101">
        <f>IF(AND(F445&lt;=DASHBOARD!$B$11, H445&gt;=DASHBOARD!$B$13), H445, -1000000000000)</f>
        <v/>
      </c>
      <c r="W445" s="101">
        <f>IF(AND(F445&lt;=DASHBOARD!$B$11, H445&gt;=DASHBOARD!$B$13), K445, -1000000000000)</f>
        <v/>
      </c>
      <c r="X445" s="101">
        <f>IF(AND(F445&lt;=DASHBOARD!$B$11, H445&gt;=DASHBOARD!$B$13), M445, 1000000000000)</f>
        <v/>
      </c>
      <c r="Y445" s="101">
        <f>IF(AND(F445&lt;=DASHBOARD!$B$10, H445&gt;=DASHBOARD!$B$11), L445, 1000000000000)</f>
        <v/>
      </c>
      <c r="Z445" s="101">
        <f>IF(AND(F445&lt;=DASHBOARD!$B$10, H445&gt;=DASHBOARD!$B$11), O445, 1000000000000)</f>
        <v/>
      </c>
      <c r="AA445" s="101">
        <f>IF(AND(F445&lt;=DASHBOARD!$B$10, H445&gt;=DASHBOARD!$B$11), P445, 1000000000000)</f>
        <v/>
      </c>
      <c r="AB445" s="101">
        <f>IF(AND(F445&lt;=DASHBOARD!$B$10, H445&gt;=DASHBOARD!$B$11), Q445, -1000000000000)</f>
        <v/>
      </c>
    </row>
    <row r="446" ht="15" customHeight="1" s="102">
      <c r="A446" s="166" t="n">
        <v>442</v>
      </c>
      <c r="B446" s="167" t="n">
        <v>1</v>
      </c>
      <c r="C446" s="167" t="n">
        <v>1</v>
      </c>
      <c r="D446" s="110" t="inlineStr">
        <is>
          <t>Var (%20)</t>
        </is>
      </c>
      <c r="E446" s="110">
        <f>IF((B446+C446)&lt;=1, "Tam Mahsuplaşma (≤%100)", "Kısmi Satış (&gt;%100)")</f>
        <v/>
      </c>
      <c r="F446" s="168">
        <f>((VERI_TABANI!$D$29*B446/VERI_TABANI!$B$29)/VERI_TABANI!$B$3)*VERI_TABANI!$B$5 + ((VERI_TABANI!$D$29*C446/VERI_TABANI!$B$29)/VERI_TABANI!$B$4)*VERI_TABANI!$B$6 + IF(ISNUMBER(SEARCH("Var", D446)), (VERI_TABANI!$F$29/VERI_TABANI!$B$29)*(VERI_TABANI!$B$10+VERI_TABANI!$B$12), 0)</f>
        <v/>
      </c>
      <c r="G446" s="168">
        <f>(((MIN(VERI_TABANI!D23, VERI_TABANI!D23*B446)*VERI_TABANI!$B$7 + MAX(0, VERI_TABANI!D23*B446-VERI_TABANI!D23)*VERI_TABANI!$B$8) + (MIN(MAX(0, VERI_TABANI!D23-VERI_TABANI!D23*B446), VERI_TABANI!D23*C446)*VERI_TABANI!$B$7 + MAX(0, VERI_TABANI!D23*C446-MAX(0, VERI_TABANI!D23-VERI_TABANI!D23*B446))*VERI_TABANI!$B$8) + IF(ABS(IF(ISNUMBER(SEARCH("Var", D446)), 1, IF(ISNUMBER(SEARCH("Gri", D446)), -1, 0)))=1, VERI_TABANI!E23*(1-0.928)*VERI_TABANI!$B$9, 0) + (VERI_TABANI!D23*B446*(VERI_TABANI!$B$13-VERI_TABANI!$B$14)*VERI_TABANI!G23) + (VERI_TABANI!D23*C446*(VERI_TABANI!$B$13-VERI_TABANI!$B$15)*VERI_TABANI!G23) + IF(ABS(IF(ISNUMBER(SEARCH("Var", D446)), 1, IF(ISNUMBER(SEARCH("Gri", D446)), -1, 0)))=1, VERI_TABANI!E23*(1-0.928)*0.00206091519919798*VERI_TABANI!G23, 0)) + ((MIN(VERI_TABANI!D24, VERI_TABANI!D24*B446)*VERI_TABANI!$B$7 + MAX(0, VERI_TABANI!D24*B446-VERI_TABANI!D24)*VERI_TABANI!$B$8) + (MIN(MAX(0, VERI_TABANI!D24-VERI_TABANI!D24*B446), VERI_TABANI!D24*C446)*VERI_TABANI!$B$7 + MAX(0, VERI_TABANI!D24*C446-MAX(0, VERI_TABANI!D24-VERI_TABANI!D24*B446))*VERI_TABANI!$B$8) + IF(ABS(IF(ISNUMBER(SEARCH("Var", D446)), 1, IF(ISNUMBER(SEARCH("Gri", D446)), -1, 0)))=1, VERI_TABANI!E24*(1-0.928)*VERI_TABANI!$B$9, 0) + (VERI_TABANI!D24*B446*(VERI_TABANI!$B$13-VERI_TABANI!$B$14)*VERI_TABANI!G24) + (VERI_TABANI!D24*C446*(VERI_TABANI!$B$13-VERI_TABANI!$B$15)*VERI_TABANI!G24) + IF(ABS(IF(ISNUMBER(SEARCH("Var", D446)), 1, IF(ISNUMBER(SEARCH("Gri", D446)), -1, 0)))=1, VERI_TABANI!E24*(1-0.928)*0.00206091519919798*VERI_TABANI!G24, 0)) + ((MIN(VERI_TABANI!D25, VERI_TABANI!D25*B446)*VERI_TABANI!$B$7 + MAX(0, VERI_TABANI!D25*B446-VERI_TABANI!D25)*VERI_TABANI!$B$8) + (MIN(MAX(0, VERI_TABANI!D25-VERI_TABANI!D25*B446), VERI_TABANI!D25*C446)*VERI_TABANI!$B$7 + MAX(0, VERI_TABANI!D25*C446-MAX(0, VERI_TABANI!D25-VERI_TABANI!D25*B446))*VERI_TABANI!$B$8) + IF(ABS(IF(ISNUMBER(SEARCH("Var", D446)), 1, IF(ISNUMBER(SEARCH("Gri", D446)), -1, 0)))=1, VERI_TABANI!E25*(1-0.928)*VERI_TABANI!$B$9, 0) + (VERI_TABANI!D25*B446*(VERI_TABANI!$B$13-VERI_TABANI!$B$14)*VERI_TABANI!G25) + (VERI_TABANI!D25*C446*(VERI_TABANI!$B$13-VERI_TABANI!$B$15)*VERI_TABANI!G25) + IF(ABS(IF(ISNUMBER(SEARCH("Var", D446)), 1, IF(ISNUMBER(SEARCH("Gri", D446)), -1, 0)))=1, VERI_TABANI!E25*(1-0.928)*0.00206091519919798*VERI_TABANI!G25, 0)) + ((MIN(VERI_TABANI!D26, VERI_TABANI!D26*B446)*VERI_TABANI!$B$7 + MAX(0, VERI_TABANI!D26*B446-VERI_TABANI!D26)*VERI_TABANI!$B$8) + (MIN(MAX(0, VERI_TABANI!D26-VERI_TABANI!D26*B446), VERI_TABANI!D26*C446)*VERI_TABANI!$B$7 + MAX(0, VERI_TABANI!D26*C446-MAX(0, VERI_TABANI!D26-VERI_TABANI!D26*B446))*VERI_TABANI!$B$8) + IF(ABS(IF(ISNUMBER(SEARCH("Var", D446)), 1, IF(ISNUMBER(SEARCH("Gri", D446)), -1, 0)))=1, VERI_TABANI!E26*(1-0.928)*VERI_TABANI!$B$9, 0) + (VERI_TABANI!D26*B446*(VERI_TABANI!$B$13-VERI_TABANI!$B$14)*VERI_TABANI!G26) + (VERI_TABANI!D26*C446*(VERI_TABANI!$B$13-VERI_TABANI!$B$15)*VERI_TABANI!G26) + IF(ABS(IF(ISNUMBER(SEARCH("Var", D446)), 1, IF(ISNUMBER(SEARCH("Gri", D446)), -1, 0)))=1, VERI_TABANI!E26*(1-0.928)*0.00206091519919798*VERI_TABANI!G26, 0)) + ((MIN(VERI_TABANI!D27, VERI_TABANI!D27*B446)*VERI_TABANI!$B$7 + MAX(0, VERI_TABANI!D27*B446-VERI_TABANI!D27)*VERI_TABANI!$B$8) + (MIN(MAX(0, VERI_TABANI!D27-VERI_TABANI!D27*B446), VERI_TABANI!D27*C446)*VERI_TABANI!$B$7 + MAX(0, VERI_TABANI!D27*C446-MAX(0, VERI_TABANI!D27-VERI_TABANI!D27*B446))*VERI_TABANI!$B$8) + IF(ABS(IF(ISNUMBER(SEARCH("Var", D446)), 1, IF(ISNUMBER(SEARCH("Gri", D446)), -1, 0)))=1, VERI_TABANI!E27*(1-0.928)*VERI_TABANI!$B$9, 0) + (VERI_TABANI!D27*B446*(VERI_TABANI!$B$13-VERI_TABANI!$B$14)*VERI_TABANI!G27) + (VERI_TABANI!D27*C446*(VERI_TABANI!$B$13-VERI_TABANI!$B$15)*VERI_TABANI!G27) + IF(ABS(IF(ISNUMBER(SEARCH("Var", D446)), 1, IF(ISNUMBER(SEARCH("Gri", D446)), -1, 0)))=1, VERI_TABANI!E27*(1-0.928)*0.00206091519919798*VERI_TABANI!G27, 0)) + ((MIN(VERI_TABANI!D28, VERI_TABANI!D28*B446)*VERI_TABANI!$B$7 + MAX(0, VERI_TABANI!D28*B446-VERI_TABANI!D28)*VERI_TABANI!$B$8) + (MIN(MAX(0, VERI_TABANI!D28-VERI_TABANI!D28*B446), VERI_TABANI!D28*C446)*VERI_TABANI!$B$7 + MAX(0, VERI_TABANI!D28*C446-MAX(0, VERI_TABANI!D28-VERI_TABANI!D28*B446))*VERI_TABANI!$B$8) + IF(ABS(IF(ISNUMBER(SEARCH("Var", D446)), 1, IF(ISNUMBER(SEARCH("Gri", D446)), -1, 0)))=1, VERI_TABANI!E28*(1-0.928)*VERI_TABANI!$B$9, 0) + (VERI_TABANI!D28*B446*(VERI_TABANI!$B$13-VERI_TABANI!$B$14)*VERI_TABANI!G28) + (VERI_TABANI!D28*C446*(VERI_TABANI!$B$13-VERI_TABANI!$B$15)*VERI_TABANI!G28) + IF(ABS(IF(ISNUMBER(SEARCH("Var", D446)), 1, IF(ISNUMBER(SEARCH("Gri", D446)), -1, 0)))=1, VERI_TABANI!E28*(1-0.928)*0.00206091519919798*VERI_TABANI!G28, 0)))</f>
        <v/>
      </c>
      <c r="H446" s="169">
        <f>(((VERI_TABANI!D23*B446*(VERI_TABANI!$B$13-VERI_TABANI!$B$14)) + (VERI_TABANI!D23*C446*(VERI_TABANI!$B$13-VERI_TABANI!$B$15)) + IF(ISNUMBER(SEARCH("Var", D446)), VERI_TABANI!F23*(0.00202-VERI_TABANI!$B$16), IF(ISNUMBER(SEARCH("Gri", D446)), VERI_TABANI!F23*(0.00202-VERI_TABANI!$B$17), 0))) + ((VERI_TABANI!D24*B446*(VERI_TABANI!$B$13-VERI_TABANI!$B$14)) + (VERI_TABANI!D24*C446*(VERI_TABANI!$B$13-VERI_TABANI!$B$15)) + IF(ISNUMBER(SEARCH("Var", D446)), VERI_TABANI!F24*(0.00202-VERI_TABANI!$B$16), IF(ISNUMBER(SEARCH("Gri", D446)), VERI_TABANI!F24*(0.00202-VERI_TABANI!$B$17), 0))) + ((VERI_TABANI!D25*B446*(VERI_TABANI!$B$13-VERI_TABANI!$B$14)) + (VERI_TABANI!D25*C446*(VERI_TABANI!$B$13-VERI_TABANI!$B$15)) + IF(ISNUMBER(SEARCH("Var", D446)), VERI_TABANI!F25*(0.00202-VERI_TABANI!$B$16), IF(ISNUMBER(SEARCH("Gri", D446)), VERI_TABANI!F25*(0.00202-VERI_TABANI!$B$17), 0))) + ((VERI_TABANI!D26*B446*(VERI_TABANI!$B$13-VERI_TABANI!$B$14)) + (VERI_TABANI!D26*C446*(VERI_TABANI!$B$13-VERI_TABANI!$B$15)) + IF(ISNUMBER(SEARCH("Var", D446)), VERI_TABANI!F26*(0.00202-VERI_TABANI!$B$16), IF(ISNUMBER(SEARCH("Gri", D446)), VERI_TABANI!F26*(0.00202-VERI_TABANI!$B$17), 0))) + ((VERI_TABANI!D27*B446*(VERI_TABANI!$B$13-VERI_TABANI!$B$14)) + (VERI_TABANI!D27*C446*(VERI_TABANI!$B$13-VERI_TABANI!$B$15)) + IF(ISNUMBER(SEARCH("Var", D446)), VERI_TABANI!F27*(0.00202-VERI_TABANI!$B$16), IF(ISNUMBER(SEARCH("Gri", D446)), VERI_TABANI!F27*(0.00202-VERI_TABANI!$B$17), 0))) + ((VERI_TABANI!D28*B446*(VERI_TABANI!$B$13-VERI_TABANI!$B$14)) + (VERI_TABANI!D28*C446*(VERI_TABANI!$B$13-VERI_TABANI!$B$15)) + IF(ISNUMBER(SEARCH("Var", D446)), VERI_TABANI!F28*(0.00202-VERI_TABANI!$B$16), IF(ISNUMBER(SEARCH("Gri", D446)), VERI_TABANI!F28*(0.00202-VERI_TABANI!$B$17), 0))))</f>
        <v/>
      </c>
      <c r="I446" s="170">
        <f>IFERROR(((VERI_TABANI!$D$29*B446*VERI_TABANI!$B$14 + VERI_TABANI!$D$29*C446*VERI_TABANI!$B$15 + IF(ISNUMBER(SEARCH("Var", D446)), VERI_TABANI!$F$29*VERI_TABANI!$B$16, 0))) / (((VERI_TABANI!$D$29*B446 + VERI_TABANI!$D$29*C446)*VERI_TABANI!$B$13 + IF(ISNUMBER(SEARCH("Var", D446)), VERI_TABANI!$E$29*(1-0.928)*VERI_TABANI!$B$18, 0))), 0)</f>
        <v/>
      </c>
      <c r="J446" s="171">
        <f>IFERROR(F446/(G446/29), 0)</f>
        <v/>
      </c>
      <c r="K446" s="172">
        <f>IF(F446&gt;0, H446/F446, 0)</f>
        <v/>
      </c>
      <c r="L446" s="170">
        <f>IF(F446&gt;0, I446, 1000000000)</f>
        <v/>
      </c>
      <c r="M446" s="171">
        <f>ABS((B446+C446)-1)</f>
        <v/>
      </c>
      <c r="N446" s="170">
        <f>IF(F446&gt;0, (G446/29)/F446, 0)</f>
        <v/>
      </c>
      <c r="O446" s="168">
        <f>IF(AND((B446+C446)&gt;=1, ISNUMBER(SEARCH("Var", D446))), F446, 1000000000)</f>
        <v/>
      </c>
      <c r="P446" s="172">
        <f>IF(F446&gt;0, SQRT((F446/MAX(F$5:F$886))^2 + (1 - H446/MAX(H$5:H$886))^2 + (J446/MAX(J$5:J$886))^2), 1000000000)</f>
        <v/>
      </c>
      <c r="Q446" s="166">
        <f>IF(AND(ABS(B446-0.5)&lt;0.01, ABS(C446-0.5)&lt;0.01, ISNUMBER(SEARCH("Var", D446))), 1, 0)</f>
        <v/>
      </c>
      <c r="R446" s="171">
        <f>IF(F446&gt;0, J446, 1000000000)</f>
        <v/>
      </c>
      <c r="S446" s="101">
        <f>IF(AND(F446&lt;=DASHBOARD!$B$11, H446&gt;=DASHBOARD!$B$13), G446, -1000000000000)</f>
        <v/>
      </c>
      <c r="T446" s="101">
        <f>IF(AND(F446&lt;=DASHBOARD!$B$11, H446&gt;=DASHBOARD!$B$13), R446, 1000000000000)</f>
        <v/>
      </c>
      <c r="U446" s="101">
        <f>IF(AND(F446&lt;=DASHBOARD!$B$11, H446&gt;=DASHBOARD!$B$13), N446, -1000000000000)</f>
        <v/>
      </c>
      <c r="V446" s="101">
        <f>IF(AND(F446&lt;=DASHBOARD!$B$11, H446&gt;=DASHBOARD!$B$13), H446, -1000000000000)</f>
        <v/>
      </c>
      <c r="W446" s="101">
        <f>IF(AND(F446&lt;=DASHBOARD!$B$11, H446&gt;=DASHBOARD!$B$13), K446, -1000000000000)</f>
        <v/>
      </c>
      <c r="X446" s="101">
        <f>IF(AND(F446&lt;=DASHBOARD!$B$11, H446&gt;=DASHBOARD!$B$13), M446, 1000000000000)</f>
        <v/>
      </c>
      <c r="Y446" s="101">
        <f>IF(AND(F446&lt;=DASHBOARD!$B$10, H446&gt;=DASHBOARD!$B$11), L446, 1000000000000)</f>
        <v/>
      </c>
      <c r="Z446" s="101">
        <f>IF(AND(F446&lt;=DASHBOARD!$B$10, H446&gt;=DASHBOARD!$B$11), O446, 1000000000000)</f>
        <v/>
      </c>
      <c r="AA446" s="101">
        <f>IF(AND(F446&lt;=DASHBOARD!$B$10, H446&gt;=DASHBOARD!$B$11), P446, 1000000000000)</f>
        <v/>
      </c>
      <c r="AB446" s="101">
        <f>IF(AND(F446&lt;=DASHBOARD!$B$10, H446&gt;=DASHBOARD!$B$11), Q446, -1000000000000)</f>
        <v/>
      </c>
    </row>
    <row r="447" ht="15" customHeight="1" s="102">
      <c r="A447" s="166" t="n">
        <v>443</v>
      </c>
      <c r="B447" s="167" t="n">
        <v>1</v>
      </c>
      <c r="C447" s="167" t="n">
        <v>1.1</v>
      </c>
      <c r="D447" s="110" t="inlineStr">
        <is>
          <t>Yok (%0)</t>
        </is>
      </c>
      <c r="E447" s="110">
        <f>IF((B447+C447)&lt;=1, "Tam Mahsuplaşma (≤%100)", "Kısmi Satış (&gt;%100)")</f>
        <v/>
      </c>
      <c r="F447" s="168">
        <f>((VERI_TABANI!$D$29*B447/VERI_TABANI!$B$29)/VERI_TABANI!$B$3)*VERI_TABANI!$B$5 + ((VERI_TABANI!$D$29*C447/VERI_TABANI!$B$29)/VERI_TABANI!$B$4)*VERI_TABANI!$B$6 + IF(ISNUMBER(SEARCH("Var", D447)), (VERI_TABANI!$F$29/VERI_TABANI!$B$29)*(VERI_TABANI!$B$10+VERI_TABANI!$B$12), 0)</f>
        <v/>
      </c>
      <c r="G447" s="168">
        <f>(((MIN(VERI_TABANI!D23, VERI_TABANI!D23*B447)*VERI_TABANI!$B$7 + MAX(0, VERI_TABANI!D23*B447-VERI_TABANI!D23)*VERI_TABANI!$B$8) + (MIN(MAX(0, VERI_TABANI!D23-VERI_TABANI!D23*B447), VERI_TABANI!D23*C447)*VERI_TABANI!$B$7 + MAX(0, VERI_TABANI!D23*C447-MAX(0, VERI_TABANI!D23-VERI_TABANI!D23*B447))*VERI_TABANI!$B$8) + IF(ABS(IF(ISNUMBER(SEARCH("Var", D447)), 1, IF(ISNUMBER(SEARCH("Gri", D447)), -1, 0)))=1, VERI_TABANI!E23*(1-0.928)*VERI_TABANI!$B$9, 0) + (VERI_TABANI!D23*B447*(VERI_TABANI!$B$13-VERI_TABANI!$B$14)*VERI_TABANI!G23) + (VERI_TABANI!D23*C447*(VERI_TABANI!$B$13-VERI_TABANI!$B$15)*VERI_TABANI!G23) + IF(ABS(IF(ISNUMBER(SEARCH("Var", D447)), 1, IF(ISNUMBER(SEARCH("Gri", D447)), -1, 0)))=1, VERI_TABANI!E23*(1-0.928)*0.00206091519919798*VERI_TABANI!G23, 0)) + ((MIN(VERI_TABANI!D24, VERI_TABANI!D24*B447)*VERI_TABANI!$B$7 + MAX(0, VERI_TABANI!D24*B447-VERI_TABANI!D24)*VERI_TABANI!$B$8) + (MIN(MAX(0, VERI_TABANI!D24-VERI_TABANI!D24*B447), VERI_TABANI!D24*C447)*VERI_TABANI!$B$7 + MAX(0, VERI_TABANI!D24*C447-MAX(0, VERI_TABANI!D24-VERI_TABANI!D24*B447))*VERI_TABANI!$B$8) + IF(ABS(IF(ISNUMBER(SEARCH("Var", D447)), 1, IF(ISNUMBER(SEARCH("Gri", D447)), -1, 0)))=1, VERI_TABANI!E24*(1-0.928)*VERI_TABANI!$B$9, 0) + (VERI_TABANI!D24*B447*(VERI_TABANI!$B$13-VERI_TABANI!$B$14)*VERI_TABANI!G24) + (VERI_TABANI!D24*C447*(VERI_TABANI!$B$13-VERI_TABANI!$B$15)*VERI_TABANI!G24) + IF(ABS(IF(ISNUMBER(SEARCH("Var", D447)), 1, IF(ISNUMBER(SEARCH("Gri", D447)), -1, 0)))=1, VERI_TABANI!E24*(1-0.928)*0.00206091519919798*VERI_TABANI!G24, 0)) + ((MIN(VERI_TABANI!D25, VERI_TABANI!D25*B447)*VERI_TABANI!$B$7 + MAX(0, VERI_TABANI!D25*B447-VERI_TABANI!D25)*VERI_TABANI!$B$8) + (MIN(MAX(0, VERI_TABANI!D25-VERI_TABANI!D25*B447), VERI_TABANI!D25*C447)*VERI_TABANI!$B$7 + MAX(0, VERI_TABANI!D25*C447-MAX(0, VERI_TABANI!D25-VERI_TABANI!D25*B447))*VERI_TABANI!$B$8) + IF(ABS(IF(ISNUMBER(SEARCH("Var", D447)), 1, IF(ISNUMBER(SEARCH("Gri", D447)), -1, 0)))=1, VERI_TABANI!E25*(1-0.928)*VERI_TABANI!$B$9, 0) + (VERI_TABANI!D25*B447*(VERI_TABANI!$B$13-VERI_TABANI!$B$14)*VERI_TABANI!G25) + (VERI_TABANI!D25*C447*(VERI_TABANI!$B$13-VERI_TABANI!$B$15)*VERI_TABANI!G25) + IF(ABS(IF(ISNUMBER(SEARCH("Var", D447)), 1, IF(ISNUMBER(SEARCH("Gri", D447)), -1, 0)))=1, VERI_TABANI!E25*(1-0.928)*0.00206091519919798*VERI_TABANI!G25, 0)) + ((MIN(VERI_TABANI!D26, VERI_TABANI!D26*B447)*VERI_TABANI!$B$7 + MAX(0, VERI_TABANI!D26*B447-VERI_TABANI!D26)*VERI_TABANI!$B$8) + (MIN(MAX(0, VERI_TABANI!D26-VERI_TABANI!D26*B447), VERI_TABANI!D26*C447)*VERI_TABANI!$B$7 + MAX(0, VERI_TABANI!D26*C447-MAX(0, VERI_TABANI!D26-VERI_TABANI!D26*B447))*VERI_TABANI!$B$8) + IF(ABS(IF(ISNUMBER(SEARCH("Var", D447)), 1, IF(ISNUMBER(SEARCH("Gri", D447)), -1, 0)))=1, VERI_TABANI!E26*(1-0.928)*VERI_TABANI!$B$9, 0) + (VERI_TABANI!D26*B447*(VERI_TABANI!$B$13-VERI_TABANI!$B$14)*VERI_TABANI!G26) + (VERI_TABANI!D26*C447*(VERI_TABANI!$B$13-VERI_TABANI!$B$15)*VERI_TABANI!G26) + IF(ABS(IF(ISNUMBER(SEARCH("Var", D447)), 1, IF(ISNUMBER(SEARCH("Gri", D447)), -1, 0)))=1, VERI_TABANI!E26*(1-0.928)*0.00206091519919798*VERI_TABANI!G26, 0)) + ((MIN(VERI_TABANI!D27, VERI_TABANI!D27*B447)*VERI_TABANI!$B$7 + MAX(0, VERI_TABANI!D27*B447-VERI_TABANI!D27)*VERI_TABANI!$B$8) + (MIN(MAX(0, VERI_TABANI!D27-VERI_TABANI!D27*B447), VERI_TABANI!D27*C447)*VERI_TABANI!$B$7 + MAX(0, VERI_TABANI!D27*C447-MAX(0, VERI_TABANI!D27-VERI_TABANI!D27*B447))*VERI_TABANI!$B$8) + IF(ABS(IF(ISNUMBER(SEARCH("Var", D447)), 1, IF(ISNUMBER(SEARCH("Gri", D447)), -1, 0)))=1, VERI_TABANI!E27*(1-0.928)*VERI_TABANI!$B$9, 0) + (VERI_TABANI!D27*B447*(VERI_TABANI!$B$13-VERI_TABANI!$B$14)*VERI_TABANI!G27) + (VERI_TABANI!D27*C447*(VERI_TABANI!$B$13-VERI_TABANI!$B$15)*VERI_TABANI!G27) + IF(ABS(IF(ISNUMBER(SEARCH("Var", D447)), 1, IF(ISNUMBER(SEARCH("Gri", D447)), -1, 0)))=1, VERI_TABANI!E27*(1-0.928)*0.00206091519919798*VERI_TABANI!G27, 0)) + ((MIN(VERI_TABANI!D28, VERI_TABANI!D28*B447)*VERI_TABANI!$B$7 + MAX(0, VERI_TABANI!D28*B447-VERI_TABANI!D28)*VERI_TABANI!$B$8) + (MIN(MAX(0, VERI_TABANI!D28-VERI_TABANI!D28*B447), VERI_TABANI!D28*C447)*VERI_TABANI!$B$7 + MAX(0, VERI_TABANI!D28*C447-MAX(0, VERI_TABANI!D28-VERI_TABANI!D28*B447))*VERI_TABANI!$B$8) + IF(ABS(IF(ISNUMBER(SEARCH("Var", D447)), 1, IF(ISNUMBER(SEARCH("Gri", D447)), -1, 0)))=1, VERI_TABANI!E28*(1-0.928)*VERI_TABANI!$B$9, 0) + (VERI_TABANI!D28*B447*(VERI_TABANI!$B$13-VERI_TABANI!$B$14)*VERI_TABANI!G28) + (VERI_TABANI!D28*C447*(VERI_TABANI!$B$13-VERI_TABANI!$B$15)*VERI_TABANI!G28) + IF(ABS(IF(ISNUMBER(SEARCH("Var", D447)), 1, IF(ISNUMBER(SEARCH("Gri", D447)), -1, 0)))=1, VERI_TABANI!E28*(1-0.928)*0.00206091519919798*VERI_TABANI!G28, 0)))</f>
        <v/>
      </c>
      <c r="H447" s="169">
        <f>(((VERI_TABANI!D23*B447*(VERI_TABANI!$B$13-VERI_TABANI!$B$14)) + (VERI_TABANI!D23*C447*(VERI_TABANI!$B$13-VERI_TABANI!$B$15)) + IF(ISNUMBER(SEARCH("Var", D447)), VERI_TABANI!F23*(0.00202-VERI_TABANI!$B$16), IF(ISNUMBER(SEARCH("Gri", D447)), VERI_TABANI!F23*(0.00202-VERI_TABANI!$B$17), 0))) + ((VERI_TABANI!D24*B447*(VERI_TABANI!$B$13-VERI_TABANI!$B$14)) + (VERI_TABANI!D24*C447*(VERI_TABANI!$B$13-VERI_TABANI!$B$15)) + IF(ISNUMBER(SEARCH("Var", D447)), VERI_TABANI!F24*(0.00202-VERI_TABANI!$B$16), IF(ISNUMBER(SEARCH("Gri", D447)), VERI_TABANI!F24*(0.00202-VERI_TABANI!$B$17), 0))) + ((VERI_TABANI!D25*B447*(VERI_TABANI!$B$13-VERI_TABANI!$B$14)) + (VERI_TABANI!D25*C447*(VERI_TABANI!$B$13-VERI_TABANI!$B$15)) + IF(ISNUMBER(SEARCH("Var", D447)), VERI_TABANI!F25*(0.00202-VERI_TABANI!$B$16), IF(ISNUMBER(SEARCH("Gri", D447)), VERI_TABANI!F25*(0.00202-VERI_TABANI!$B$17), 0))) + ((VERI_TABANI!D26*B447*(VERI_TABANI!$B$13-VERI_TABANI!$B$14)) + (VERI_TABANI!D26*C447*(VERI_TABANI!$B$13-VERI_TABANI!$B$15)) + IF(ISNUMBER(SEARCH("Var", D447)), VERI_TABANI!F26*(0.00202-VERI_TABANI!$B$16), IF(ISNUMBER(SEARCH("Gri", D447)), VERI_TABANI!F26*(0.00202-VERI_TABANI!$B$17), 0))) + ((VERI_TABANI!D27*B447*(VERI_TABANI!$B$13-VERI_TABANI!$B$14)) + (VERI_TABANI!D27*C447*(VERI_TABANI!$B$13-VERI_TABANI!$B$15)) + IF(ISNUMBER(SEARCH("Var", D447)), VERI_TABANI!F27*(0.00202-VERI_TABANI!$B$16), IF(ISNUMBER(SEARCH("Gri", D447)), VERI_TABANI!F27*(0.00202-VERI_TABANI!$B$17), 0))) + ((VERI_TABANI!D28*B447*(VERI_TABANI!$B$13-VERI_TABANI!$B$14)) + (VERI_TABANI!D28*C447*(VERI_TABANI!$B$13-VERI_TABANI!$B$15)) + IF(ISNUMBER(SEARCH("Var", D447)), VERI_TABANI!F28*(0.00202-VERI_TABANI!$B$16), IF(ISNUMBER(SEARCH("Gri", D447)), VERI_TABANI!F28*(0.00202-VERI_TABANI!$B$17), 0))))</f>
        <v/>
      </c>
      <c r="I447" s="170">
        <f>IFERROR(((VERI_TABANI!$D$29*B447*VERI_TABANI!$B$14 + VERI_TABANI!$D$29*C447*VERI_TABANI!$B$15 + IF(ISNUMBER(SEARCH("Var", D447)), VERI_TABANI!$F$29*VERI_TABANI!$B$16, 0))) / (((VERI_TABANI!$D$29*B447 + VERI_TABANI!$D$29*C447)*VERI_TABANI!$B$13 + IF(ISNUMBER(SEARCH("Var", D447)), VERI_TABANI!$E$29*(1-0.928)*VERI_TABANI!$B$18, 0))), 0)</f>
        <v/>
      </c>
      <c r="J447" s="171">
        <f>IFERROR(F447/(G447/29), 0)</f>
        <v/>
      </c>
      <c r="K447" s="172">
        <f>IF(F447&gt;0, H447/F447, 0)</f>
        <v/>
      </c>
      <c r="L447" s="170">
        <f>IF(F447&gt;0, I447, 1000000000)</f>
        <v/>
      </c>
      <c r="M447" s="171">
        <f>ABS((B447+C447)-1)</f>
        <v/>
      </c>
      <c r="N447" s="170">
        <f>IF(F447&gt;0, (G447/29)/F447, 0)</f>
        <v/>
      </c>
      <c r="O447" s="168">
        <f>IF(AND((B447+C447)&gt;=1, ISNUMBER(SEARCH("Var", D447))), F447, 1000000000)</f>
        <v/>
      </c>
      <c r="P447" s="172">
        <f>IF(F447&gt;0, SQRT((F447/MAX(F$5:F$886))^2 + (1 - H447/MAX(H$5:H$886))^2 + (J447/MAX(J$5:J$886))^2), 1000000000)</f>
        <v/>
      </c>
      <c r="Q447" s="166">
        <f>IF(AND(ABS(B447-0.5)&lt;0.01, ABS(C447-0.5)&lt;0.01, ISNUMBER(SEARCH("Var", D447))), 1, 0)</f>
        <v/>
      </c>
      <c r="R447" s="171">
        <f>IF(F447&gt;0, J447, 1000000000)</f>
        <v/>
      </c>
      <c r="S447" s="101">
        <f>IF(AND(F447&lt;=DASHBOARD!$B$11, H447&gt;=DASHBOARD!$B$13), G447, -1000000000000)</f>
        <v/>
      </c>
      <c r="T447" s="101">
        <f>IF(AND(F447&lt;=DASHBOARD!$B$11, H447&gt;=DASHBOARD!$B$13), R447, 1000000000000)</f>
        <v/>
      </c>
      <c r="U447" s="101">
        <f>IF(AND(F447&lt;=DASHBOARD!$B$11, H447&gt;=DASHBOARD!$B$13), N447, -1000000000000)</f>
        <v/>
      </c>
      <c r="V447" s="101">
        <f>IF(AND(F447&lt;=DASHBOARD!$B$11, H447&gt;=DASHBOARD!$B$13), H447, -1000000000000)</f>
        <v/>
      </c>
      <c r="W447" s="101">
        <f>IF(AND(F447&lt;=DASHBOARD!$B$11, H447&gt;=DASHBOARD!$B$13), K447, -1000000000000)</f>
        <v/>
      </c>
      <c r="X447" s="101">
        <f>IF(AND(F447&lt;=DASHBOARD!$B$11, H447&gt;=DASHBOARD!$B$13), M447, 1000000000000)</f>
        <v/>
      </c>
      <c r="Y447" s="101">
        <f>IF(AND(F447&lt;=DASHBOARD!$B$10, H447&gt;=DASHBOARD!$B$11), L447, 1000000000000)</f>
        <v/>
      </c>
      <c r="Z447" s="101">
        <f>IF(AND(F447&lt;=DASHBOARD!$B$10, H447&gt;=DASHBOARD!$B$11), O447, 1000000000000)</f>
        <v/>
      </c>
      <c r="AA447" s="101">
        <f>IF(AND(F447&lt;=DASHBOARD!$B$10, H447&gt;=DASHBOARD!$B$11), P447, 1000000000000)</f>
        <v/>
      </c>
      <c r="AB447" s="101">
        <f>IF(AND(F447&lt;=DASHBOARD!$B$10, H447&gt;=DASHBOARD!$B$11), Q447, -1000000000000)</f>
        <v/>
      </c>
    </row>
    <row r="448" ht="15" customHeight="1" s="102">
      <c r="A448" s="166" t="n">
        <v>444</v>
      </c>
      <c r="B448" s="167" t="n">
        <v>1</v>
      </c>
      <c r="C448" s="167" t="n">
        <v>1.1</v>
      </c>
      <c r="D448" s="110" t="inlineStr">
        <is>
          <t>Var (%20)</t>
        </is>
      </c>
      <c r="E448" s="110">
        <f>IF((B448+C448)&lt;=1, "Tam Mahsuplaşma (≤%100)", "Kısmi Satış (&gt;%100)")</f>
        <v/>
      </c>
      <c r="F448" s="168">
        <f>((VERI_TABANI!$D$29*B448/VERI_TABANI!$B$29)/VERI_TABANI!$B$3)*VERI_TABANI!$B$5 + ((VERI_TABANI!$D$29*C448/VERI_TABANI!$B$29)/VERI_TABANI!$B$4)*VERI_TABANI!$B$6 + IF(ISNUMBER(SEARCH("Var", D448)), (VERI_TABANI!$F$29/VERI_TABANI!$B$29)*(VERI_TABANI!$B$10+VERI_TABANI!$B$12), 0)</f>
        <v/>
      </c>
      <c r="G448" s="168">
        <f>(((MIN(VERI_TABANI!D23, VERI_TABANI!D23*B448)*VERI_TABANI!$B$7 + MAX(0, VERI_TABANI!D23*B448-VERI_TABANI!D23)*VERI_TABANI!$B$8) + (MIN(MAX(0, VERI_TABANI!D23-VERI_TABANI!D23*B448), VERI_TABANI!D23*C448)*VERI_TABANI!$B$7 + MAX(0, VERI_TABANI!D23*C448-MAX(0, VERI_TABANI!D23-VERI_TABANI!D23*B448))*VERI_TABANI!$B$8) + IF(ABS(IF(ISNUMBER(SEARCH("Var", D448)), 1, IF(ISNUMBER(SEARCH("Gri", D448)), -1, 0)))=1, VERI_TABANI!E23*(1-0.928)*VERI_TABANI!$B$9, 0) + (VERI_TABANI!D23*B448*(VERI_TABANI!$B$13-VERI_TABANI!$B$14)*VERI_TABANI!G23) + (VERI_TABANI!D23*C448*(VERI_TABANI!$B$13-VERI_TABANI!$B$15)*VERI_TABANI!G23) + IF(ABS(IF(ISNUMBER(SEARCH("Var", D448)), 1, IF(ISNUMBER(SEARCH("Gri", D448)), -1, 0)))=1, VERI_TABANI!E23*(1-0.928)*0.00206091519919798*VERI_TABANI!G23, 0)) + ((MIN(VERI_TABANI!D24, VERI_TABANI!D24*B448)*VERI_TABANI!$B$7 + MAX(0, VERI_TABANI!D24*B448-VERI_TABANI!D24)*VERI_TABANI!$B$8) + (MIN(MAX(0, VERI_TABANI!D24-VERI_TABANI!D24*B448), VERI_TABANI!D24*C448)*VERI_TABANI!$B$7 + MAX(0, VERI_TABANI!D24*C448-MAX(0, VERI_TABANI!D24-VERI_TABANI!D24*B448))*VERI_TABANI!$B$8) + IF(ABS(IF(ISNUMBER(SEARCH("Var", D448)), 1, IF(ISNUMBER(SEARCH("Gri", D448)), -1, 0)))=1, VERI_TABANI!E24*(1-0.928)*VERI_TABANI!$B$9, 0) + (VERI_TABANI!D24*B448*(VERI_TABANI!$B$13-VERI_TABANI!$B$14)*VERI_TABANI!G24) + (VERI_TABANI!D24*C448*(VERI_TABANI!$B$13-VERI_TABANI!$B$15)*VERI_TABANI!G24) + IF(ABS(IF(ISNUMBER(SEARCH("Var", D448)), 1, IF(ISNUMBER(SEARCH("Gri", D448)), -1, 0)))=1, VERI_TABANI!E24*(1-0.928)*0.00206091519919798*VERI_TABANI!G24, 0)) + ((MIN(VERI_TABANI!D25, VERI_TABANI!D25*B448)*VERI_TABANI!$B$7 + MAX(0, VERI_TABANI!D25*B448-VERI_TABANI!D25)*VERI_TABANI!$B$8) + (MIN(MAX(0, VERI_TABANI!D25-VERI_TABANI!D25*B448), VERI_TABANI!D25*C448)*VERI_TABANI!$B$7 + MAX(0, VERI_TABANI!D25*C448-MAX(0, VERI_TABANI!D25-VERI_TABANI!D25*B448))*VERI_TABANI!$B$8) + IF(ABS(IF(ISNUMBER(SEARCH("Var", D448)), 1, IF(ISNUMBER(SEARCH("Gri", D448)), -1, 0)))=1, VERI_TABANI!E25*(1-0.928)*VERI_TABANI!$B$9, 0) + (VERI_TABANI!D25*B448*(VERI_TABANI!$B$13-VERI_TABANI!$B$14)*VERI_TABANI!G25) + (VERI_TABANI!D25*C448*(VERI_TABANI!$B$13-VERI_TABANI!$B$15)*VERI_TABANI!G25) + IF(ABS(IF(ISNUMBER(SEARCH("Var", D448)), 1, IF(ISNUMBER(SEARCH("Gri", D448)), -1, 0)))=1, VERI_TABANI!E25*(1-0.928)*0.00206091519919798*VERI_TABANI!G25, 0)) + ((MIN(VERI_TABANI!D26, VERI_TABANI!D26*B448)*VERI_TABANI!$B$7 + MAX(0, VERI_TABANI!D26*B448-VERI_TABANI!D26)*VERI_TABANI!$B$8) + (MIN(MAX(0, VERI_TABANI!D26-VERI_TABANI!D26*B448), VERI_TABANI!D26*C448)*VERI_TABANI!$B$7 + MAX(0, VERI_TABANI!D26*C448-MAX(0, VERI_TABANI!D26-VERI_TABANI!D26*B448))*VERI_TABANI!$B$8) + IF(ABS(IF(ISNUMBER(SEARCH("Var", D448)), 1, IF(ISNUMBER(SEARCH("Gri", D448)), -1, 0)))=1, VERI_TABANI!E26*(1-0.928)*VERI_TABANI!$B$9, 0) + (VERI_TABANI!D26*B448*(VERI_TABANI!$B$13-VERI_TABANI!$B$14)*VERI_TABANI!G26) + (VERI_TABANI!D26*C448*(VERI_TABANI!$B$13-VERI_TABANI!$B$15)*VERI_TABANI!G26) + IF(ABS(IF(ISNUMBER(SEARCH("Var", D448)), 1, IF(ISNUMBER(SEARCH("Gri", D448)), -1, 0)))=1, VERI_TABANI!E26*(1-0.928)*0.00206091519919798*VERI_TABANI!G26, 0)) + ((MIN(VERI_TABANI!D27, VERI_TABANI!D27*B448)*VERI_TABANI!$B$7 + MAX(0, VERI_TABANI!D27*B448-VERI_TABANI!D27)*VERI_TABANI!$B$8) + (MIN(MAX(0, VERI_TABANI!D27-VERI_TABANI!D27*B448), VERI_TABANI!D27*C448)*VERI_TABANI!$B$7 + MAX(0, VERI_TABANI!D27*C448-MAX(0, VERI_TABANI!D27-VERI_TABANI!D27*B448))*VERI_TABANI!$B$8) + IF(ABS(IF(ISNUMBER(SEARCH("Var", D448)), 1, IF(ISNUMBER(SEARCH("Gri", D448)), -1, 0)))=1, VERI_TABANI!E27*(1-0.928)*VERI_TABANI!$B$9, 0) + (VERI_TABANI!D27*B448*(VERI_TABANI!$B$13-VERI_TABANI!$B$14)*VERI_TABANI!G27) + (VERI_TABANI!D27*C448*(VERI_TABANI!$B$13-VERI_TABANI!$B$15)*VERI_TABANI!G27) + IF(ABS(IF(ISNUMBER(SEARCH("Var", D448)), 1, IF(ISNUMBER(SEARCH("Gri", D448)), -1, 0)))=1, VERI_TABANI!E27*(1-0.928)*0.00206091519919798*VERI_TABANI!G27, 0)) + ((MIN(VERI_TABANI!D28, VERI_TABANI!D28*B448)*VERI_TABANI!$B$7 + MAX(0, VERI_TABANI!D28*B448-VERI_TABANI!D28)*VERI_TABANI!$B$8) + (MIN(MAX(0, VERI_TABANI!D28-VERI_TABANI!D28*B448), VERI_TABANI!D28*C448)*VERI_TABANI!$B$7 + MAX(0, VERI_TABANI!D28*C448-MAX(0, VERI_TABANI!D28-VERI_TABANI!D28*B448))*VERI_TABANI!$B$8) + IF(ABS(IF(ISNUMBER(SEARCH("Var", D448)), 1, IF(ISNUMBER(SEARCH("Gri", D448)), -1, 0)))=1, VERI_TABANI!E28*(1-0.928)*VERI_TABANI!$B$9, 0) + (VERI_TABANI!D28*B448*(VERI_TABANI!$B$13-VERI_TABANI!$B$14)*VERI_TABANI!G28) + (VERI_TABANI!D28*C448*(VERI_TABANI!$B$13-VERI_TABANI!$B$15)*VERI_TABANI!G28) + IF(ABS(IF(ISNUMBER(SEARCH("Var", D448)), 1, IF(ISNUMBER(SEARCH("Gri", D448)), -1, 0)))=1, VERI_TABANI!E28*(1-0.928)*0.00206091519919798*VERI_TABANI!G28, 0)))</f>
        <v/>
      </c>
      <c r="H448" s="169">
        <f>(((VERI_TABANI!D23*B448*(VERI_TABANI!$B$13-VERI_TABANI!$B$14)) + (VERI_TABANI!D23*C448*(VERI_TABANI!$B$13-VERI_TABANI!$B$15)) + IF(ISNUMBER(SEARCH("Var", D448)), VERI_TABANI!F23*(0.00202-VERI_TABANI!$B$16), IF(ISNUMBER(SEARCH("Gri", D448)), VERI_TABANI!F23*(0.00202-VERI_TABANI!$B$17), 0))) + ((VERI_TABANI!D24*B448*(VERI_TABANI!$B$13-VERI_TABANI!$B$14)) + (VERI_TABANI!D24*C448*(VERI_TABANI!$B$13-VERI_TABANI!$B$15)) + IF(ISNUMBER(SEARCH("Var", D448)), VERI_TABANI!F24*(0.00202-VERI_TABANI!$B$16), IF(ISNUMBER(SEARCH("Gri", D448)), VERI_TABANI!F24*(0.00202-VERI_TABANI!$B$17), 0))) + ((VERI_TABANI!D25*B448*(VERI_TABANI!$B$13-VERI_TABANI!$B$14)) + (VERI_TABANI!D25*C448*(VERI_TABANI!$B$13-VERI_TABANI!$B$15)) + IF(ISNUMBER(SEARCH("Var", D448)), VERI_TABANI!F25*(0.00202-VERI_TABANI!$B$16), IF(ISNUMBER(SEARCH("Gri", D448)), VERI_TABANI!F25*(0.00202-VERI_TABANI!$B$17), 0))) + ((VERI_TABANI!D26*B448*(VERI_TABANI!$B$13-VERI_TABANI!$B$14)) + (VERI_TABANI!D26*C448*(VERI_TABANI!$B$13-VERI_TABANI!$B$15)) + IF(ISNUMBER(SEARCH("Var", D448)), VERI_TABANI!F26*(0.00202-VERI_TABANI!$B$16), IF(ISNUMBER(SEARCH("Gri", D448)), VERI_TABANI!F26*(0.00202-VERI_TABANI!$B$17), 0))) + ((VERI_TABANI!D27*B448*(VERI_TABANI!$B$13-VERI_TABANI!$B$14)) + (VERI_TABANI!D27*C448*(VERI_TABANI!$B$13-VERI_TABANI!$B$15)) + IF(ISNUMBER(SEARCH("Var", D448)), VERI_TABANI!F27*(0.00202-VERI_TABANI!$B$16), IF(ISNUMBER(SEARCH("Gri", D448)), VERI_TABANI!F27*(0.00202-VERI_TABANI!$B$17), 0))) + ((VERI_TABANI!D28*B448*(VERI_TABANI!$B$13-VERI_TABANI!$B$14)) + (VERI_TABANI!D28*C448*(VERI_TABANI!$B$13-VERI_TABANI!$B$15)) + IF(ISNUMBER(SEARCH("Var", D448)), VERI_TABANI!F28*(0.00202-VERI_TABANI!$B$16), IF(ISNUMBER(SEARCH("Gri", D448)), VERI_TABANI!F28*(0.00202-VERI_TABANI!$B$17), 0))))</f>
        <v/>
      </c>
      <c r="I448" s="170">
        <f>IFERROR(((VERI_TABANI!$D$29*B448*VERI_TABANI!$B$14 + VERI_TABANI!$D$29*C448*VERI_TABANI!$B$15 + IF(ISNUMBER(SEARCH("Var", D448)), VERI_TABANI!$F$29*VERI_TABANI!$B$16, 0))) / (((VERI_TABANI!$D$29*B448 + VERI_TABANI!$D$29*C448)*VERI_TABANI!$B$13 + IF(ISNUMBER(SEARCH("Var", D448)), VERI_TABANI!$E$29*(1-0.928)*VERI_TABANI!$B$18, 0))), 0)</f>
        <v/>
      </c>
      <c r="J448" s="171">
        <f>IFERROR(F448/(G448/29), 0)</f>
        <v/>
      </c>
      <c r="K448" s="172">
        <f>IF(F448&gt;0, H448/F448, 0)</f>
        <v/>
      </c>
      <c r="L448" s="170">
        <f>IF(F448&gt;0, I448, 1000000000)</f>
        <v/>
      </c>
      <c r="M448" s="171">
        <f>ABS((B448+C448)-1)</f>
        <v/>
      </c>
      <c r="N448" s="170">
        <f>IF(F448&gt;0, (G448/29)/F448, 0)</f>
        <v/>
      </c>
      <c r="O448" s="168">
        <f>IF(AND((B448+C448)&gt;=1, ISNUMBER(SEARCH("Var", D448))), F448, 1000000000)</f>
        <v/>
      </c>
      <c r="P448" s="172">
        <f>IF(F448&gt;0, SQRT((F448/MAX(F$5:F$886))^2 + (1 - H448/MAX(H$5:H$886))^2 + (J448/MAX(J$5:J$886))^2), 1000000000)</f>
        <v/>
      </c>
      <c r="Q448" s="166">
        <f>IF(AND(ABS(B448-0.5)&lt;0.01, ABS(C448-0.5)&lt;0.01, ISNUMBER(SEARCH("Var", D448))), 1, 0)</f>
        <v/>
      </c>
      <c r="R448" s="171">
        <f>IF(F448&gt;0, J448, 1000000000)</f>
        <v/>
      </c>
      <c r="S448" s="101">
        <f>IF(AND(F448&lt;=DASHBOARD!$B$11, H448&gt;=DASHBOARD!$B$13), G448, -1000000000000)</f>
        <v/>
      </c>
      <c r="T448" s="101">
        <f>IF(AND(F448&lt;=DASHBOARD!$B$11, H448&gt;=DASHBOARD!$B$13), R448, 1000000000000)</f>
        <v/>
      </c>
      <c r="U448" s="101">
        <f>IF(AND(F448&lt;=DASHBOARD!$B$11, H448&gt;=DASHBOARD!$B$13), N448, -1000000000000)</f>
        <v/>
      </c>
      <c r="V448" s="101">
        <f>IF(AND(F448&lt;=DASHBOARD!$B$11, H448&gt;=DASHBOARD!$B$13), H448, -1000000000000)</f>
        <v/>
      </c>
      <c r="W448" s="101">
        <f>IF(AND(F448&lt;=DASHBOARD!$B$11, H448&gt;=DASHBOARD!$B$13), K448, -1000000000000)</f>
        <v/>
      </c>
      <c r="X448" s="101">
        <f>IF(AND(F448&lt;=DASHBOARD!$B$11, H448&gt;=DASHBOARD!$B$13), M448, 1000000000000)</f>
        <v/>
      </c>
      <c r="Y448" s="101">
        <f>IF(AND(F448&lt;=DASHBOARD!$B$10, H448&gt;=DASHBOARD!$B$11), L448, 1000000000000)</f>
        <v/>
      </c>
      <c r="Z448" s="101">
        <f>IF(AND(F448&lt;=DASHBOARD!$B$10, H448&gt;=DASHBOARD!$B$11), O448, 1000000000000)</f>
        <v/>
      </c>
      <c r="AA448" s="101">
        <f>IF(AND(F448&lt;=DASHBOARD!$B$10, H448&gt;=DASHBOARD!$B$11), P448, 1000000000000)</f>
        <v/>
      </c>
      <c r="AB448" s="101">
        <f>IF(AND(F448&lt;=DASHBOARD!$B$10, H448&gt;=DASHBOARD!$B$11), Q448, -1000000000000)</f>
        <v/>
      </c>
    </row>
    <row r="449" ht="15" customHeight="1" s="102">
      <c r="A449" s="166" t="n">
        <v>445</v>
      </c>
      <c r="B449" s="167" t="n">
        <v>1</v>
      </c>
      <c r="C449" s="167" t="n">
        <v>1.2</v>
      </c>
      <c r="D449" s="110" t="inlineStr">
        <is>
          <t>Yok (%0)</t>
        </is>
      </c>
      <c r="E449" s="110">
        <f>IF((B449+C449)&lt;=1, "Tam Mahsuplaşma (≤%100)", "Kısmi Satış (&gt;%100)")</f>
        <v/>
      </c>
      <c r="F449" s="168">
        <f>((VERI_TABANI!$D$29*B449/VERI_TABANI!$B$29)/VERI_TABANI!$B$3)*VERI_TABANI!$B$5 + ((VERI_TABANI!$D$29*C449/VERI_TABANI!$B$29)/VERI_TABANI!$B$4)*VERI_TABANI!$B$6 + IF(ISNUMBER(SEARCH("Var", D449)), (VERI_TABANI!$F$29/VERI_TABANI!$B$29)*(VERI_TABANI!$B$10+VERI_TABANI!$B$12), 0)</f>
        <v/>
      </c>
      <c r="G449" s="168">
        <f>(((MIN(VERI_TABANI!D23, VERI_TABANI!D23*B449)*VERI_TABANI!$B$7 + MAX(0, VERI_TABANI!D23*B449-VERI_TABANI!D23)*VERI_TABANI!$B$8) + (MIN(MAX(0, VERI_TABANI!D23-VERI_TABANI!D23*B449), VERI_TABANI!D23*C449)*VERI_TABANI!$B$7 + MAX(0, VERI_TABANI!D23*C449-MAX(0, VERI_TABANI!D23-VERI_TABANI!D23*B449))*VERI_TABANI!$B$8) + IF(ABS(IF(ISNUMBER(SEARCH("Var", D449)), 1, IF(ISNUMBER(SEARCH("Gri", D449)), -1, 0)))=1, VERI_TABANI!E23*(1-0.928)*VERI_TABANI!$B$9, 0) + (VERI_TABANI!D23*B449*(VERI_TABANI!$B$13-VERI_TABANI!$B$14)*VERI_TABANI!G23) + (VERI_TABANI!D23*C449*(VERI_TABANI!$B$13-VERI_TABANI!$B$15)*VERI_TABANI!G23) + IF(ABS(IF(ISNUMBER(SEARCH("Var", D449)), 1, IF(ISNUMBER(SEARCH("Gri", D449)), -1, 0)))=1, VERI_TABANI!E23*(1-0.928)*0.00206091519919798*VERI_TABANI!G23, 0)) + ((MIN(VERI_TABANI!D24, VERI_TABANI!D24*B449)*VERI_TABANI!$B$7 + MAX(0, VERI_TABANI!D24*B449-VERI_TABANI!D24)*VERI_TABANI!$B$8) + (MIN(MAX(0, VERI_TABANI!D24-VERI_TABANI!D24*B449), VERI_TABANI!D24*C449)*VERI_TABANI!$B$7 + MAX(0, VERI_TABANI!D24*C449-MAX(0, VERI_TABANI!D24-VERI_TABANI!D24*B449))*VERI_TABANI!$B$8) + IF(ABS(IF(ISNUMBER(SEARCH("Var", D449)), 1, IF(ISNUMBER(SEARCH("Gri", D449)), -1, 0)))=1, VERI_TABANI!E24*(1-0.928)*VERI_TABANI!$B$9, 0) + (VERI_TABANI!D24*B449*(VERI_TABANI!$B$13-VERI_TABANI!$B$14)*VERI_TABANI!G24) + (VERI_TABANI!D24*C449*(VERI_TABANI!$B$13-VERI_TABANI!$B$15)*VERI_TABANI!G24) + IF(ABS(IF(ISNUMBER(SEARCH("Var", D449)), 1, IF(ISNUMBER(SEARCH("Gri", D449)), -1, 0)))=1, VERI_TABANI!E24*(1-0.928)*0.00206091519919798*VERI_TABANI!G24, 0)) + ((MIN(VERI_TABANI!D25, VERI_TABANI!D25*B449)*VERI_TABANI!$B$7 + MAX(0, VERI_TABANI!D25*B449-VERI_TABANI!D25)*VERI_TABANI!$B$8) + (MIN(MAX(0, VERI_TABANI!D25-VERI_TABANI!D25*B449), VERI_TABANI!D25*C449)*VERI_TABANI!$B$7 + MAX(0, VERI_TABANI!D25*C449-MAX(0, VERI_TABANI!D25-VERI_TABANI!D25*B449))*VERI_TABANI!$B$8) + IF(ABS(IF(ISNUMBER(SEARCH("Var", D449)), 1, IF(ISNUMBER(SEARCH("Gri", D449)), -1, 0)))=1, VERI_TABANI!E25*(1-0.928)*VERI_TABANI!$B$9, 0) + (VERI_TABANI!D25*B449*(VERI_TABANI!$B$13-VERI_TABANI!$B$14)*VERI_TABANI!G25) + (VERI_TABANI!D25*C449*(VERI_TABANI!$B$13-VERI_TABANI!$B$15)*VERI_TABANI!G25) + IF(ABS(IF(ISNUMBER(SEARCH("Var", D449)), 1, IF(ISNUMBER(SEARCH("Gri", D449)), -1, 0)))=1, VERI_TABANI!E25*(1-0.928)*0.00206091519919798*VERI_TABANI!G25, 0)) + ((MIN(VERI_TABANI!D26, VERI_TABANI!D26*B449)*VERI_TABANI!$B$7 + MAX(0, VERI_TABANI!D26*B449-VERI_TABANI!D26)*VERI_TABANI!$B$8) + (MIN(MAX(0, VERI_TABANI!D26-VERI_TABANI!D26*B449), VERI_TABANI!D26*C449)*VERI_TABANI!$B$7 + MAX(0, VERI_TABANI!D26*C449-MAX(0, VERI_TABANI!D26-VERI_TABANI!D26*B449))*VERI_TABANI!$B$8) + IF(ABS(IF(ISNUMBER(SEARCH("Var", D449)), 1, IF(ISNUMBER(SEARCH("Gri", D449)), -1, 0)))=1, VERI_TABANI!E26*(1-0.928)*VERI_TABANI!$B$9, 0) + (VERI_TABANI!D26*B449*(VERI_TABANI!$B$13-VERI_TABANI!$B$14)*VERI_TABANI!G26) + (VERI_TABANI!D26*C449*(VERI_TABANI!$B$13-VERI_TABANI!$B$15)*VERI_TABANI!G26) + IF(ABS(IF(ISNUMBER(SEARCH("Var", D449)), 1, IF(ISNUMBER(SEARCH("Gri", D449)), -1, 0)))=1, VERI_TABANI!E26*(1-0.928)*0.00206091519919798*VERI_TABANI!G26, 0)) + ((MIN(VERI_TABANI!D27, VERI_TABANI!D27*B449)*VERI_TABANI!$B$7 + MAX(0, VERI_TABANI!D27*B449-VERI_TABANI!D27)*VERI_TABANI!$B$8) + (MIN(MAX(0, VERI_TABANI!D27-VERI_TABANI!D27*B449), VERI_TABANI!D27*C449)*VERI_TABANI!$B$7 + MAX(0, VERI_TABANI!D27*C449-MAX(0, VERI_TABANI!D27-VERI_TABANI!D27*B449))*VERI_TABANI!$B$8) + IF(ABS(IF(ISNUMBER(SEARCH("Var", D449)), 1, IF(ISNUMBER(SEARCH("Gri", D449)), -1, 0)))=1, VERI_TABANI!E27*(1-0.928)*VERI_TABANI!$B$9, 0) + (VERI_TABANI!D27*B449*(VERI_TABANI!$B$13-VERI_TABANI!$B$14)*VERI_TABANI!G27) + (VERI_TABANI!D27*C449*(VERI_TABANI!$B$13-VERI_TABANI!$B$15)*VERI_TABANI!G27) + IF(ABS(IF(ISNUMBER(SEARCH("Var", D449)), 1, IF(ISNUMBER(SEARCH("Gri", D449)), -1, 0)))=1, VERI_TABANI!E27*(1-0.928)*0.00206091519919798*VERI_TABANI!G27, 0)) + ((MIN(VERI_TABANI!D28, VERI_TABANI!D28*B449)*VERI_TABANI!$B$7 + MAX(0, VERI_TABANI!D28*B449-VERI_TABANI!D28)*VERI_TABANI!$B$8) + (MIN(MAX(0, VERI_TABANI!D28-VERI_TABANI!D28*B449), VERI_TABANI!D28*C449)*VERI_TABANI!$B$7 + MAX(0, VERI_TABANI!D28*C449-MAX(0, VERI_TABANI!D28-VERI_TABANI!D28*B449))*VERI_TABANI!$B$8) + IF(ABS(IF(ISNUMBER(SEARCH("Var", D449)), 1, IF(ISNUMBER(SEARCH("Gri", D449)), -1, 0)))=1, VERI_TABANI!E28*(1-0.928)*VERI_TABANI!$B$9, 0) + (VERI_TABANI!D28*B449*(VERI_TABANI!$B$13-VERI_TABANI!$B$14)*VERI_TABANI!G28) + (VERI_TABANI!D28*C449*(VERI_TABANI!$B$13-VERI_TABANI!$B$15)*VERI_TABANI!G28) + IF(ABS(IF(ISNUMBER(SEARCH("Var", D449)), 1, IF(ISNUMBER(SEARCH("Gri", D449)), -1, 0)))=1, VERI_TABANI!E28*(1-0.928)*0.00206091519919798*VERI_TABANI!G28, 0)))</f>
        <v/>
      </c>
      <c r="H449" s="169">
        <f>(((VERI_TABANI!D23*B449*(VERI_TABANI!$B$13-VERI_TABANI!$B$14)) + (VERI_TABANI!D23*C449*(VERI_TABANI!$B$13-VERI_TABANI!$B$15)) + IF(ISNUMBER(SEARCH("Var", D449)), VERI_TABANI!F23*(0.00202-VERI_TABANI!$B$16), IF(ISNUMBER(SEARCH("Gri", D449)), VERI_TABANI!F23*(0.00202-VERI_TABANI!$B$17), 0))) + ((VERI_TABANI!D24*B449*(VERI_TABANI!$B$13-VERI_TABANI!$B$14)) + (VERI_TABANI!D24*C449*(VERI_TABANI!$B$13-VERI_TABANI!$B$15)) + IF(ISNUMBER(SEARCH("Var", D449)), VERI_TABANI!F24*(0.00202-VERI_TABANI!$B$16), IF(ISNUMBER(SEARCH("Gri", D449)), VERI_TABANI!F24*(0.00202-VERI_TABANI!$B$17), 0))) + ((VERI_TABANI!D25*B449*(VERI_TABANI!$B$13-VERI_TABANI!$B$14)) + (VERI_TABANI!D25*C449*(VERI_TABANI!$B$13-VERI_TABANI!$B$15)) + IF(ISNUMBER(SEARCH("Var", D449)), VERI_TABANI!F25*(0.00202-VERI_TABANI!$B$16), IF(ISNUMBER(SEARCH("Gri", D449)), VERI_TABANI!F25*(0.00202-VERI_TABANI!$B$17), 0))) + ((VERI_TABANI!D26*B449*(VERI_TABANI!$B$13-VERI_TABANI!$B$14)) + (VERI_TABANI!D26*C449*(VERI_TABANI!$B$13-VERI_TABANI!$B$15)) + IF(ISNUMBER(SEARCH("Var", D449)), VERI_TABANI!F26*(0.00202-VERI_TABANI!$B$16), IF(ISNUMBER(SEARCH("Gri", D449)), VERI_TABANI!F26*(0.00202-VERI_TABANI!$B$17), 0))) + ((VERI_TABANI!D27*B449*(VERI_TABANI!$B$13-VERI_TABANI!$B$14)) + (VERI_TABANI!D27*C449*(VERI_TABANI!$B$13-VERI_TABANI!$B$15)) + IF(ISNUMBER(SEARCH("Var", D449)), VERI_TABANI!F27*(0.00202-VERI_TABANI!$B$16), IF(ISNUMBER(SEARCH("Gri", D449)), VERI_TABANI!F27*(0.00202-VERI_TABANI!$B$17), 0))) + ((VERI_TABANI!D28*B449*(VERI_TABANI!$B$13-VERI_TABANI!$B$14)) + (VERI_TABANI!D28*C449*(VERI_TABANI!$B$13-VERI_TABANI!$B$15)) + IF(ISNUMBER(SEARCH("Var", D449)), VERI_TABANI!F28*(0.00202-VERI_TABANI!$B$16), IF(ISNUMBER(SEARCH("Gri", D449)), VERI_TABANI!F28*(0.00202-VERI_TABANI!$B$17), 0))))</f>
        <v/>
      </c>
      <c r="I449" s="170">
        <f>IFERROR(((VERI_TABANI!$D$29*B449*VERI_TABANI!$B$14 + VERI_TABANI!$D$29*C449*VERI_TABANI!$B$15 + IF(ISNUMBER(SEARCH("Var", D449)), VERI_TABANI!$F$29*VERI_TABANI!$B$16, 0))) / (((VERI_TABANI!$D$29*B449 + VERI_TABANI!$D$29*C449)*VERI_TABANI!$B$13 + IF(ISNUMBER(SEARCH("Var", D449)), VERI_TABANI!$E$29*(1-0.928)*VERI_TABANI!$B$18, 0))), 0)</f>
        <v/>
      </c>
      <c r="J449" s="171">
        <f>IFERROR(F449/(G449/29), 0)</f>
        <v/>
      </c>
      <c r="K449" s="172">
        <f>IF(F449&gt;0, H449/F449, 0)</f>
        <v/>
      </c>
      <c r="L449" s="170">
        <f>IF(F449&gt;0, I449, 1000000000)</f>
        <v/>
      </c>
      <c r="M449" s="171">
        <f>ABS((B449+C449)-1)</f>
        <v/>
      </c>
      <c r="N449" s="170">
        <f>IF(F449&gt;0, (G449/29)/F449, 0)</f>
        <v/>
      </c>
      <c r="O449" s="168">
        <f>IF(AND((B449+C449)&gt;=1, ISNUMBER(SEARCH("Var", D449))), F449, 1000000000)</f>
        <v/>
      </c>
      <c r="P449" s="172">
        <f>IF(F449&gt;0, SQRT((F449/MAX(F$5:F$886))^2 + (1 - H449/MAX(H$5:H$886))^2 + (J449/MAX(J$5:J$886))^2), 1000000000)</f>
        <v/>
      </c>
      <c r="Q449" s="166">
        <f>IF(AND(ABS(B449-0.5)&lt;0.01, ABS(C449-0.5)&lt;0.01, ISNUMBER(SEARCH("Var", D449))), 1, 0)</f>
        <v/>
      </c>
      <c r="R449" s="171">
        <f>IF(F449&gt;0, J449, 1000000000)</f>
        <v/>
      </c>
      <c r="S449" s="101">
        <f>IF(AND(F449&lt;=DASHBOARD!$B$11, H449&gt;=DASHBOARD!$B$13), G449, -1000000000000)</f>
        <v/>
      </c>
      <c r="T449" s="101">
        <f>IF(AND(F449&lt;=DASHBOARD!$B$11, H449&gt;=DASHBOARD!$B$13), R449, 1000000000000)</f>
        <v/>
      </c>
      <c r="U449" s="101">
        <f>IF(AND(F449&lt;=DASHBOARD!$B$11, H449&gt;=DASHBOARD!$B$13), N449, -1000000000000)</f>
        <v/>
      </c>
      <c r="V449" s="101">
        <f>IF(AND(F449&lt;=DASHBOARD!$B$11, H449&gt;=DASHBOARD!$B$13), H449, -1000000000000)</f>
        <v/>
      </c>
      <c r="W449" s="101">
        <f>IF(AND(F449&lt;=DASHBOARD!$B$11, H449&gt;=DASHBOARD!$B$13), K449, -1000000000000)</f>
        <v/>
      </c>
      <c r="X449" s="101">
        <f>IF(AND(F449&lt;=DASHBOARD!$B$11, H449&gt;=DASHBOARD!$B$13), M449, 1000000000000)</f>
        <v/>
      </c>
      <c r="Y449" s="101">
        <f>IF(AND(F449&lt;=DASHBOARD!$B$10, H449&gt;=DASHBOARD!$B$11), L449, 1000000000000)</f>
        <v/>
      </c>
      <c r="Z449" s="101">
        <f>IF(AND(F449&lt;=DASHBOARD!$B$10, H449&gt;=DASHBOARD!$B$11), O449, 1000000000000)</f>
        <v/>
      </c>
      <c r="AA449" s="101">
        <f>IF(AND(F449&lt;=DASHBOARD!$B$10, H449&gt;=DASHBOARD!$B$11), P449, 1000000000000)</f>
        <v/>
      </c>
      <c r="AB449" s="101">
        <f>IF(AND(F449&lt;=DASHBOARD!$B$10, H449&gt;=DASHBOARD!$B$11), Q449, -1000000000000)</f>
        <v/>
      </c>
    </row>
    <row r="450" ht="15" customHeight="1" s="102">
      <c r="A450" s="166" t="n">
        <v>446</v>
      </c>
      <c r="B450" s="167" t="n">
        <v>1</v>
      </c>
      <c r="C450" s="167" t="n">
        <v>1.2</v>
      </c>
      <c r="D450" s="110" t="inlineStr">
        <is>
          <t>Var (%20)</t>
        </is>
      </c>
      <c r="E450" s="110">
        <f>IF((B450+C450)&lt;=1, "Tam Mahsuplaşma (≤%100)", "Kısmi Satış (&gt;%100)")</f>
        <v/>
      </c>
      <c r="F450" s="168">
        <f>((VERI_TABANI!$D$29*B450/VERI_TABANI!$B$29)/VERI_TABANI!$B$3)*VERI_TABANI!$B$5 + ((VERI_TABANI!$D$29*C450/VERI_TABANI!$B$29)/VERI_TABANI!$B$4)*VERI_TABANI!$B$6 + IF(ISNUMBER(SEARCH("Var", D450)), (VERI_TABANI!$F$29/VERI_TABANI!$B$29)*(VERI_TABANI!$B$10+VERI_TABANI!$B$12), 0)</f>
        <v/>
      </c>
      <c r="G450" s="168">
        <f>(((MIN(VERI_TABANI!D23, VERI_TABANI!D23*B450)*VERI_TABANI!$B$7 + MAX(0, VERI_TABANI!D23*B450-VERI_TABANI!D23)*VERI_TABANI!$B$8) + (MIN(MAX(0, VERI_TABANI!D23-VERI_TABANI!D23*B450), VERI_TABANI!D23*C450)*VERI_TABANI!$B$7 + MAX(0, VERI_TABANI!D23*C450-MAX(0, VERI_TABANI!D23-VERI_TABANI!D23*B450))*VERI_TABANI!$B$8) + IF(ABS(IF(ISNUMBER(SEARCH("Var", D450)), 1, IF(ISNUMBER(SEARCH("Gri", D450)), -1, 0)))=1, VERI_TABANI!E23*(1-0.928)*VERI_TABANI!$B$9, 0) + (VERI_TABANI!D23*B450*(VERI_TABANI!$B$13-VERI_TABANI!$B$14)*VERI_TABANI!G23) + (VERI_TABANI!D23*C450*(VERI_TABANI!$B$13-VERI_TABANI!$B$15)*VERI_TABANI!G23) + IF(ABS(IF(ISNUMBER(SEARCH("Var", D450)), 1, IF(ISNUMBER(SEARCH("Gri", D450)), -1, 0)))=1, VERI_TABANI!E23*(1-0.928)*0.00206091519919798*VERI_TABANI!G23, 0)) + ((MIN(VERI_TABANI!D24, VERI_TABANI!D24*B450)*VERI_TABANI!$B$7 + MAX(0, VERI_TABANI!D24*B450-VERI_TABANI!D24)*VERI_TABANI!$B$8) + (MIN(MAX(0, VERI_TABANI!D24-VERI_TABANI!D24*B450), VERI_TABANI!D24*C450)*VERI_TABANI!$B$7 + MAX(0, VERI_TABANI!D24*C450-MAX(0, VERI_TABANI!D24-VERI_TABANI!D24*B450))*VERI_TABANI!$B$8) + IF(ABS(IF(ISNUMBER(SEARCH("Var", D450)), 1, IF(ISNUMBER(SEARCH("Gri", D450)), -1, 0)))=1, VERI_TABANI!E24*(1-0.928)*VERI_TABANI!$B$9, 0) + (VERI_TABANI!D24*B450*(VERI_TABANI!$B$13-VERI_TABANI!$B$14)*VERI_TABANI!G24) + (VERI_TABANI!D24*C450*(VERI_TABANI!$B$13-VERI_TABANI!$B$15)*VERI_TABANI!G24) + IF(ABS(IF(ISNUMBER(SEARCH("Var", D450)), 1, IF(ISNUMBER(SEARCH("Gri", D450)), -1, 0)))=1, VERI_TABANI!E24*(1-0.928)*0.00206091519919798*VERI_TABANI!G24, 0)) + ((MIN(VERI_TABANI!D25, VERI_TABANI!D25*B450)*VERI_TABANI!$B$7 + MAX(0, VERI_TABANI!D25*B450-VERI_TABANI!D25)*VERI_TABANI!$B$8) + (MIN(MAX(0, VERI_TABANI!D25-VERI_TABANI!D25*B450), VERI_TABANI!D25*C450)*VERI_TABANI!$B$7 + MAX(0, VERI_TABANI!D25*C450-MAX(0, VERI_TABANI!D25-VERI_TABANI!D25*B450))*VERI_TABANI!$B$8) + IF(ABS(IF(ISNUMBER(SEARCH("Var", D450)), 1, IF(ISNUMBER(SEARCH("Gri", D450)), -1, 0)))=1, VERI_TABANI!E25*(1-0.928)*VERI_TABANI!$B$9, 0) + (VERI_TABANI!D25*B450*(VERI_TABANI!$B$13-VERI_TABANI!$B$14)*VERI_TABANI!G25) + (VERI_TABANI!D25*C450*(VERI_TABANI!$B$13-VERI_TABANI!$B$15)*VERI_TABANI!G25) + IF(ABS(IF(ISNUMBER(SEARCH("Var", D450)), 1, IF(ISNUMBER(SEARCH("Gri", D450)), -1, 0)))=1, VERI_TABANI!E25*(1-0.928)*0.00206091519919798*VERI_TABANI!G25, 0)) + ((MIN(VERI_TABANI!D26, VERI_TABANI!D26*B450)*VERI_TABANI!$B$7 + MAX(0, VERI_TABANI!D26*B450-VERI_TABANI!D26)*VERI_TABANI!$B$8) + (MIN(MAX(0, VERI_TABANI!D26-VERI_TABANI!D26*B450), VERI_TABANI!D26*C450)*VERI_TABANI!$B$7 + MAX(0, VERI_TABANI!D26*C450-MAX(0, VERI_TABANI!D26-VERI_TABANI!D26*B450))*VERI_TABANI!$B$8) + IF(ABS(IF(ISNUMBER(SEARCH("Var", D450)), 1, IF(ISNUMBER(SEARCH("Gri", D450)), -1, 0)))=1, VERI_TABANI!E26*(1-0.928)*VERI_TABANI!$B$9, 0) + (VERI_TABANI!D26*B450*(VERI_TABANI!$B$13-VERI_TABANI!$B$14)*VERI_TABANI!G26) + (VERI_TABANI!D26*C450*(VERI_TABANI!$B$13-VERI_TABANI!$B$15)*VERI_TABANI!G26) + IF(ABS(IF(ISNUMBER(SEARCH("Var", D450)), 1, IF(ISNUMBER(SEARCH("Gri", D450)), -1, 0)))=1, VERI_TABANI!E26*(1-0.928)*0.00206091519919798*VERI_TABANI!G26, 0)) + ((MIN(VERI_TABANI!D27, VERI_TABANI!D27*B450)*VERI_TABANI!$B$7 + MAX(0, VERI_TABANI!D27*B450-VERI_TABANI!D27)*VERI_TABANI!$B$8) + (MIN(MAX(0, VERI_TABANI!D27-VERI_TABANI!D27*B450), VERI_TABANI!D27*C450)*VERI_TABANI!$B$7 + MAX(0, VERI_TABANI!D27*C450-MAX(0, VERI_TABANI!D27-VERI_TABANI!D27*B450))*VERI_TABANI!$B$8) + IF(ABS(IF(ISNUMBER(SEARCH("Var", D450)), 1, IF(ISNUMBER(SEARCH("Gri", D450)), -1, 0)))=1, VERI_TABANI!E27*(1-0.928)*VERI_TABANI!$B$9, 0) + (VERI_TABANI!D27*B450*(VERI_TABANI!$B$13-VERI_TABANI!$B$14)*VERI_TABANI!G27) + (VERI_TABANI!D27*C450*(VERI_TABANI!$B$13-VERI_TABANI!$B$15)*VERI_TABANI!G27) + IF(ABS(IF(ISNUMBER(SEARCH("Var", D450)), 1, IF(ISNUMBER(SEARCH("Gri", D450)), -1, 0)))=1, VERI_TABANI!E27*(1-0.928)*0.00206091519919798*VERI_TABANI!G27, 0)) + ((MIN(VERI_TABANI!D28, VERI_TABANI!D28*B450)*VERI_TABANI!$B$7 + MAX(0, VERI_TABANI!D28*B450-VERI_TABANI!D28)*VERI_TABANI!$B$8) + (MIN(MAX(0, VERI_TABANI!D28-VERI_TABANI!D28*B450), VERI_TABANI!D28*C450)*VERI_TABANI!$B$7 + MAX(0, VERI_TABANI!D28*C450-MAX(0, VERI_TABANI!D28-VERI_TABANI!D28*B450))*VERI_TABANI!$B$8) + IF(ABS(IF(ISNUMBER(SEARCH("Var", D450)), 1, IF(ISNUMBER(SEARCH("Gri", D450)), -1, 0)))=1, VERI_TABANI!E28*(1-0.928)*VERI_TABANI!$B$9, 0) + (VERI_TABANI!D28*B450*(VERI_TABANI!$B$13-VERI_TABANI!$B$14)*VERI_TABANI!G28) + (VERI_TABANI!D28*C450*(VERI_TABANI!$B$13-VERI_TABANI!$B$15)*VERI_TABANI!G28) + IF(ABS(IF(ISNUMBER(SEARCH("Var", D450)), 1, IF(ISNUMBER(SEARCH("Gri", D450)), -1, 0)))=1, VERI_TABANI!E28*(1-0.928)*0.00206091519919798*VERI_TABANI!G28, 0)))</f>
        <v/>
      </c>
      <c r="H450" s="169">
        <f>(((VERI_TABANI!D23*B450*(VERI_TABANI!$B$13-VERI_TABANI!$B$14)) + (VERI_TABANI!D23*C450*(VERI_TABANI!$B$13-VERI_TABANI!$B$15)) + IF(ISNUMBER(SEARCH("Var", D450)), VERI_TABANI!F23*(0.00202-VERI_TABANI!$B$16), IF(ISNUMBER(SEARCH("Gri", D450)), VERI_TABANI!F23*(0.00202-VERI_TABANI!$B$17), 0))) + ((VERI_TABANI!D24*B450*(VERI_TABANI!$B$13-VERI_TABANI!$B$14)) + (VERI_TABANI!D24*C450*(VERI_TABANI!$B$13-VERI_TABANI!$B$15)) + IF(ISNUMBER(SEARCH("Var", D450)), VERI_TABANI!F24*(0.00202-VERI_TABANI!$B$16), IF(ISNUMBER(SEARCH("Gri", D450)), VERI_TABANI!F24*(0.00202-VERI_TABANI!$B$17), 0))) + ((VERI_TABANI!D25*B450*(VERI_TABANI!$B$13-VERI_TABANI!$B$14)) + (VERI_TABANI!D25*C450*(VERI_TABANI!$B$13-VERI_TABANI!$B$15)) + IF(ISNUMBER(SEARCH("Var", D450)), VERI_TABANI!F25*(0.00202-VERI_TABANI!$B$16), IF(ISNUMBER(SEARCH("Gri", D450)), VERI_TABANI!F25*(0.00202-VERI_TABANI!$B$17), 0))) + ((VERI_TABANI!D26*B450*(VERI_TABANI!$B$13-VERI_TABANI!$B$14)) + (VERI_TABANI!D26*C450*(VERI_TABANI!$B$13-VERI_TABANI!$B$15)) + IF(ISNUMBER(SEARCH("Var", D450)), VERI_TABANI!F26*(0.00202-VERI_TABANI!$B$16), IF(ISNUMBER(SEARCH("Gri", D450)), VERI_TABANI!F26*(0.00202-VERI_TABANI!$B$17), 0))) + ((VERI_TABANI!D27*B450*(VERI_TABANI!$B$13-VERI_TABANI!$B$14)) + (VERI_TABANI!D27*C450*(VERI_TABANI!$B$13-VERI_TABANI!$B$15)) + IF(ISNUMBER(SEARCH("Var", D450)), VERI_TABANI!F27*(0.00202-VERI_TABANI!$B$16), IF(ISNUMBER(SEARCH("Gri", D450)), VERI_TABANI!F27*(0.00202-VERI_TABANI!$B$17), 0))) + ((VERI_TABANI!D28*B450*(VERI_TABANI!$B$13-VERI_TABANI!$B$14)) + (VERI_TABANI!D28*C450*(VERI_TABANI!$B$13-VERI_TABANI!$B$15)) + IF(ISNUMBER(SEARCH("Var", D450)), VERI_TABANI!F28*(0.00202-VERI_TABANI!$B$16), IF(ISNUMBER(SEARCH("Gri", D450)), VERI_TABANI!F28*(0.00202-VERI_TABANI!$B$17), 0))))</f>
        <v/>
      </c>
      <c r="I450" s="170">
        <f>IFERROR(((VERI_TABANI!$D$29*B450*VERI_TABANI!$B$14 + VERI_TABANI!$D$29*C450*VERI_TABANI!$B$15 + IF(ISNUMBER(SEARCH("Var", D450)), VERI_TABANI!$F$29*VERI_TABANI!$B$16, 0))) / (((VERI_TABANI!$D$29*B450 + VERI_TABANI!$D$29*C450)*VERI_TABANI!$B$13 + IF(ISNUMBER(SEARCH("Var", D450)), VERI_TABANI!$E$29*(1-0.928)*VERI_TABANI!$B$18, 0))), 0)</f>
        <v/>
      </c>
      <c r="J450" s="171">
        <f>IFERROR(F450/(G450/29), 0)</f>
        <v/>
      </c>
      <c r="K450" s="172">
        <f>IF(F450&gt;0, H450/F450, 0)</f>
        <v/>
      </c>
      <c r="L450" s="170">
        <f>IF(F450&gt;0, I450, 1000000000)</f>
        <v/>
      </c>
      <c r="M450" s="171">
        <f>ABS((B450+C450)-1)</f>
        <v/>
      </c>
      <c r="N450" s="170">
        <f>IF(F450&gt;0, (G450/29)/F450, 0)</f>
        <v/>
      </c>
      <c r="O450" s="168">
        <f>IF(AND((B450+C450)&gt;=1, ISNUMBER(SEARCH("Var", D450))), F450, 1000000000)</f>
        <v/>
      </c>
      <c r="P450" s="172">
        <f>IF(F450&gt;0, SQRT((F450/MAX(F$5:F$886))^2 + (1 - H450/MAX(H$5:H$886))^2 + (J450/MAX(J$5:J$886))^2), 1000000000)</f>
        <v/>
      </c>
      <c r="Q450" s="166">
        <f>IF(AND(ABS(B450-0.5)&lt;0.01, ABS(C450-0.5)&lt;0.01, ISNUMBER(SEARCH("Var", D450))), 1, 0)</f>
        <v/>
      </c>
      <c r="R450" s="171">
        <f>IF(F450&gt;0, J450, 1000000000)</f>
        <v/>
      </c>
      <c r="S450" s="101">
        <f>IF(AND(F450&lt;=DASHBOARD!$B$11, H450&gt;=DASHBOARD!$B$13), G450, -1000000000000)</f>
        <v/>
      </c>
      <c r="T450" s="101">
        <f>IF(AND(F450&lt;=DASHBOARD!$B$11, H450&gt;=DASHBOARD!$B$13), R450, 1000000000000)</f>
        <v/>
      </c>
      <c r="U450" s="101">
        <f>IF(AND(F450&lt;=DASHBOARD!$B$11, H450&gt;=DASHBOARD!$B$13), N450, -1000000000000)</f>
        <v/>
      </c>
      <c r="V450" s="101">
        <f>IF(AND(F450&lt;=DASHBOARD!$B$11, H450&gt;=DASHBOARD!$B$13), H450, -1000000000000)</f>
        <v/>
      </c>
      <c r="W450" s="101">
        <f>IF(AND(F450&lt;=DASHBOARD!$B$11, H450&gt;=DASHBOARD!$B$13), K450, -1000000000000)</f>
        <v/>
      </c>
      <c r="X450" s="101">
        <f>IF(AND(F450&lt;=DASHBOARD!$B$11, H450&gt;=DASHBOARD!$B$13), M450, 1000000000000)</f>
        <v/>
      </c>
      <c r="Y450" s="101">
        <f>IF(AND(F450&lt;=DASHBOARD!$B$10, H450&gt;=DASHBOARD!$B$11), L450, 1000000000000)</f>
        <v/>
      </c>
      <c r="Z450" s="101">
        <f>IF(AND(F450&lt;=DASHBOARD!$B$10, H450&gt;=DASHBOARD!$B$11), O450, 1000000000000)</f>
        <v/>
      </c>
      <c r="AA450" s="101">
        <f>IF(AND(F450&lt;=DASHBOARD!$B$10, H450&gt;=DASHBOARD!$B$11), P450, 1000000000000)</f>
        <v/>
      </c>
      <c r="AB450" s="101">
        <f>IF(AND(F450&lt;=DASHBOARD!$B$10, H450&gt;=DASHBOARD!$B$11), Q450, -1000000000000)</f>
        <v/>
      </c>
    </row>
    <row r="451" ht="15" customHeight="1" s="102">
      <c r="A451" s="166" t="n">
        <v>447</v>
      </c>
      <c r="B451" s="167" t="n">
        <v>1</v>
      </c>
      <c r="C451" s="167" t="n">
        <v>1.3</v>
      </c>
      <c r="D451" s="110" t="inlineStr">
        <is>
          <t>Yok (%0)</t>
        </is>
      </c>
      <c r="E451" s="110">
        <f>IF((B451+C451)&lt;=1, "Tam Mahsuplaşma (≤%100)", "Kısmi Satış (&gt;%100)")</f>
        <v/>
      </c>
      <c r="F451" s="168">
        <f>((VERI_TABANI!$D$29*B451/VERI_TABANI!$B$29)/VERI_TABANI!$B$3)*VERI_TABANI!$B$5 + ((VERI_TABANI!$D$29*C451/VERI_TABANI!$B$29)/VERI_TABANI!$B$4)*VERI_TABANI!$B$6 + IF(ISNUMBER(SEARCH("Var", D451)), (VERI_TABANI!$F$29/VERI_TABANI!$B$29)*(VERI_TABANI!$B$10+VERI_TABANI!$B$12), 0)</f>
        <v/>
      </c>
      <c r="G451" s="168">
        <f>(((MIN(VERI_TABANI!D23, VERI_TABANI!D23*B451)*VERI_TABANI!$B$7 + MAX(0, VERI_TABANI!D23*B451-VERI_TABANI!D23)*VERI_TABANI!$B$8) + (MIN(MAX(0, VERI_TABANI!D23-VERI_TABANI!D23*B451), VERI_TABANI!D23*C451)*VERI_TABANI!$B$7 + MAX(0, VERI_TABANI!D23*C451-MAX(0, VERI_TABANI!D23-VERI_TABANI!D23*B451))*VERI_TABANI!$B$8) + IF(ABS(IF(ISNUMBER(SEARCH("Var", D451)), 1, IF(ISNUMBER(SEARCH("Gri", D451)), -1, 0)))=1, VERI_TABANI!E23*(1-0.928)*VERI_TABANI!$B$9, 0) + (VERI_TABANI!D23*B451*(VERI_TABANI!$B$13-VERI_TABANI!$B$14)*VERI_TABANI!G23) + (VERI_TABANI!D23*C451*(VERI_TABANI!$B$13-VERI_TABANI!$B$15)*VERI_TABANI!G23) + IF(ABS(IF(ISNUMBER(SEARCH("Var", D451)), 1, IF(ISNUMBER(SEARCH("Gri", D451)), -1, 0)))=1, VERI_TABANI!E23*(1-0.928)*0.00206091519919798*VERI_TABANI!G23, 0)) + ((MIN(VERI_TABANI!D24, VERI_TABANI!D24*B451)*VERI_TABANI!$B$7 + MAX(0, VERI_TABANI!D24*B451-VERI_TABANI!D24)*VERI_TABANI!$B$8) + (MIN(MAX(0, VERI_TABANI!D24-VERI_TABANI!D24*B451), VERI_TABANI!D24*C451)*VERI_TABANI!$B$7 + MAX(0, VERI_TABANI!D24*C451-MAX(0, VERI_TABANI!D24-VERI_TABANI!D24*B451))*VERI_TABANI!$B$8) + IF(ABS(IF(ISNUMBER(SEARCH("Var", D451)), 1, IF(ISNUMBER(SEARCH("Gri", D451)), -1, 0)))=1, VERI_TABANI!E24*(1-0.928)*VERI_TABANI!$B$9, 0) + (VERI_TABANI!D24*B451*(VERI_TABANI!$B$13-VERI_TABANI!$B$14)*VERI_TABANI!G24) + (VERI_TABANI!D24*C451*(VERI_TABANI!$B$13-VERI_TABANI!$B$15)*VERI_TABANI!G24) + IF(ABS(IF(ISNUMBER(SEARCH("Var", D451)), 1, IF(ISNUMBER(SEARCH("Gri", D451)), -1, 0)))=1, VERI_TABANI!E24*(1-0.928)*0.00206091519919798*VERI_TABANI!G24, 0)) + ((MIN(VERI_TABANI!D25, VERI_TABANI!D25*B451)*VERI_TABANI!$B$7 + MAX(0, VERI_TABANI!D25*B451-VERI_TABANI!D25)*VERI_TABANI!$B$8) + (MIN(MAX(0, VERI_TABANI!D25-VERI_TABANI!D25*B451), VERI_TABANI!D25*C451)*VERI_TABANI!$B$7 + MAX(0, VERI_TABANI!D25*C451-MAX(0, VERI_TABANI!D25-VERI_TABANI!D25*B451))*VERI_TABANI!$B$8) + IF(ABS(IF(ISNUMBER(SEARCH("Var", D451)), 1, IF(ISNUMBER(SEARCH("Gri", D451)), -1, 0)))=1, VERI_TABANI!E25*(1-0.928)*VERI_TABANI!$B$9, 0) + (VERI_TABANI!D25*B451*(VERI_TABANI!$B$13-VERI_TABANI!$B$14)*VERI_TABANI!G25) + (VERI_TABANI!D25*C451*(VERI_TABANI!$B$13-VERI_TABANI!$B$15)*VERI_TABANI!G25) + IF(ABS(IF(ISNUMBER(SEARCH("Var", D451)), 1, IF(ISNUMBER(SEARCH("Gri", D451)), -1, 0)))=1, VERI_TABANI!E25*(1-0.928)*0.00206091519919798*VERI_TABANI!G25, 0)) + ((MIN(VERI_TABANI!D26, VERI_TABANI!D26*B451)*VERI_TABANI!$B$7 + MAX(0, VERI_TABANI!D26*B451-VERI_TABANI!D26)*VERI_TABANI!$B$8) + (MIN(MAX(0, VERI_TABANI!D26-VERI_TABANI!D26*B451), VERI_TABANI!D26*C451)*VERI_TABANI!$B$7 + MAX(0, VERI_TABANI!D26*C451-MAX(0, VERI_TABANI!D26-VERI_TABANI!D26*B451))*VERI_TABANI!$B$8) + IF(ABS(IF(ISNUMBER(SEARCH("Var", D451)), 1, IF(ISNUMBER(SEARCH("Gri", D451)), -1, 0)))=1, VERI_TABANI!E26*(1-0.928)*VERI_TABANI!$B$9, 0) + (VERI_TABANI!D26*B451*(VERI_TABANI!$B$13-VERI_TABANI!$B$14)*VERI_TABANI!G26) + (VERI_TABANI!D26*C451*(VERI_TABANI!$B$13-VERI_TABANI!$B$15)*VERI_TABANI!G26) + IF(ABS(IF(ISNUMBER(SEARCH("Var", D451)), 1, IF(ISNUMBER(SEARCH("Gri", D451)), -1, 0)))=1, VERI_TABANI!E26*(1-0.928)*0.00206091519919798*VERI_TABANI!G26, 0)) + ((MIN(VERI_TABANI!D27, VERI_TABANI!D27*B451)*VERI_TABANI!$B$7 + MAX(0, VERI_TABANI!D27*B451-VERI_TABANI!D27)*VERI_TABANI!$B$8) + (MIN(MAX(0, VERI_TABANI!D27-VERI_TABANI!D27*B451), VERI_TABANI!D27*C451)*VERI_TABANI!$B$7 + MAX(0, VERI_TABANI!D27*C451-MAX(0, VERI_TABANI!D27-VERI_TABANI!D27*B451))*VERI_TABANI!$B$8) + IF(ABS(IF(ISNUMBER(SEARCH("Var", D451)), 1, IF(ISNUMBER(SEARCH("Gri", D451)), -1, 0)))=1, VERI_TABANI!E27*(1-0.928)*VERI_TABANI!$B$9, 0) + (VERI_TABANI!D27*B451*(VERI_TABANI!$B$13-VERI_TABANI!$B$14)*VERI_TABANI!G27) + (VERI_TABANI!D27*C451*(VERI_TABANI!$B$13-VERI_TABANI!$B$15)*VERI_TABANI!G27) + IF(ABS(IF(ISNUMBER(SEARCH("Var", D451)), 1, IF(ISNUMBER(SEARCH("Gri", D451)), -1, 0)))=1, VERI_TABANI!E27*(1-0.928)*0.00206091519919798*VERI_TABANI!G27, 0)) + ((MIN(VERI_TABANI!D28, VERI_TABANI!D28*B451)*VERI_TABANI!$B$7 + MAX(0, VERI_TABANI!D28*B451-VERI_TABANI!D28)*VERI_TABANI!$B$8) + (MIN(MAX(0, VERI_TABANI!D28-VERI_TABANI!D28*B451), VERI_TABANI!D28*C451)*VERI_TABANI!$B$7 + MAX(0, VERI_TABANI!D28*C451-MAX(0, VERI_TABANI!D28-VERI_TABANI!D28*B451))*VERI_TABANI!$B$8) + IF(ABS(IF(ISNUMBER(SEARCH("Var", D451)), 1, IF(ISNUMBER(SEARCH("Gri", D451)), -1, 0)))=1, VERI_TABANI!E28*(1-0.928)*VERI_TABANI!$B$9, 0) + (VERI_TABANI!D28*B451*(VERI_TABANI!$B$13-VERI_TABANI!$B$14)*VERI_TABANI!G28) + (VERI_TABANI!D28*C451*(VERI_TABANI!$B$13-VERI_TABANI!$B$15)*VERI_TABANI!G28) + IF(ABS(IF(ISNUMBER(SEARCH("Var", D451)), 1, IF(ISNUMBER(SEARCH("Gri", D451)), -1, 0)))=1, VERI_TABANI!E28*(1-0.928)*0.00206091519919798*VERI_TABANI!G28, 0)))</f>
        <v/>
      </c>
      <c r="H451" s="169">
        <f>(((VERI_TABANI!D23*B451*(VERI_TABANI!$B$13-VERI_TABANI!$B$14)) + (VERI_TABANI!D23*C451*(VERI_TABANI!$B$13-VERI_TABANI!$B$15)) + IF(ISNUMBER(SEARCH("Var", D451)), VERI_TABANI!F23*(0.00202-VERI_TABANI!$B$16), IF(ISNUMBER(SEARCH("Gri", D451)), VERI_TABANI!F23*(0.00202-VERI_TABANI!$B$17), 0))) + ((VERI_TABANI!D24*B451*(VERI_TABANI!$B$13-VERI_TABANI!$B$14)) + (VERI_TABANI!D24*C451*(VERI_TABANI!$B$13-VERI_TABANI!$B$15)) + IF(ISNUMBER(SEARCH("Var", D451)), VERI_TABANI!F24*(0.00202-VERI_TABANI!$B$16), IF(ISNUMBER(SEARCH("Gri", D451)), VERI_TABANI!F24*(0.00202-VERI_TABANI!$B$17), 0))) + ((VERI_TABANI!D25*B451*(VERI_TABANI!$B$13-VERI_TABANI!$B$14)) + (VERI_TABANI!D25*C451*(VERI_TABANI!$B$13-VERI_TABANI!$B$15)) + IF(ISNUMBER(SEARCH("Var", D451)), VERI_TABANI!F25*(0.00202-VERI_TABANI!$B$16), IF(ISNUMBER(SEARCH("Gri", D451)), VERI_TABANI!F25*(0.00202-VERI_TABANI!$B$17), 0))) + ((VERI_TABANI!D26*B451*(VERI_TABANI!$B$13-VERI_TABANI!$B$14)) + (VERI_TABANI!D26*C451*(VERI_TABANI!$B$13-VERI_TABANI!$B$15)) + IF(ISNUMBER(SEARCH("Var", D451)), VERI_TABANI!F26*(0.00202-VERI_TABANI!$B$16), IF(ISNUMBER(SEARCH("Gri", D451)), VERI_TABANI!F26*(0.00202-VERI_TABANI!$B$17), 0))) + ((VERI_TABANI!D27*B451*(VERI_TABANI!$B$13-VERI_TABANI!$B$14)) + (VERI_TABANI!D27*C451*(VERI_TABANI!$B$13-VERI_TABANI!$B$15)) + IF(ISNUMBER(SEARCH("Var", D451)), VERI_TABANI!F27*(0.00202-VERI_TABANI!$B$16), IF(ISNUMBER(SEARCH("Gri", D451)), VERI_TABANI!F27*(0.00202-VERI_TABANI!$B$17), 0))) + ((VERI_TABANI!D28*B451*(VERI_TABANI!$B$13-VERI_TABANI!$B$14)) + (VERI_TABANI!D28*C451*(VERI_TABANI!$B$13-VERI_TABANI!$B$15)) + IF(ISNUMBER(SEARCH("Var", D451)), VERI_TABANI!F28*(0.00202-VERI_TABANI!$B$16), IF(ISNUMBER(SEARCH("Gri", D451)), VERI_TABANI!F28*(0.00202-VERI_TABANI!$B$17), 0))))</f>
        <v/>
      </c>
      <c r="I451" s="170">
        <f>IFERROR(((VERI_TABANI!$D$29*B451*VERI_TABANI!$B$14 + VERI_TABANI!$D$29*C451*VERI_TABANI!$B$15 + IF(ISNUMBER(SEARCH("Var", D451)), VERI_TABANI!$F$29*VERI_TABANI!$B$16, 0))) / (((VERI_TABANI!$D$29*B451 + VERI_TABANI!$D$29*C451)*VERI_TABANI!$B$13 + IF(ISNUMBER(SEARCH("Var", D451)), VERI_TABANI!$E$29*(1-0.928)*VERI_TABANI!$B$18, 0))), 0)</f>
        <v/>
      </c>
      <c r="J451" s="171">
        <f>IFERROR(F451/(G451/29), 0)</f>
        <v/>
      </c>
      <c r="K451" s="172">
        <f>IF(F451&gt;0, H451/F451, 0)</f>
        <v/>
      </c>
      <c r="L451" s="170">
        <f>IF(F451&gt;0, I451, 1000000000)</f>
        <v/>
      </c>
      <c r="M451" s="171">
        <f>ABS((B451+C451)-1)</f>
        <v/>
      </c>
      <c r="N451" s="170">
        <f>IF(F451&gt;0, (G451/29)/F451, 0)</f>
        <v/>
      </c>
      <c r="O451" s="168">
        <f>IF(AND((B451+C451)&gt;=1, ISNUMBER(SEARCH("Var", D451))), F451, 1000000000)</f>
        <v/>
      </c>
      <c r="P451" s="172">
        <f>IF(F451&gt;0, SQRT((F451/MAX(F$5:F$886))^2 + (1 - H451/MAX(H$5:H$886))^2 + (J451/MAX(J$5:J$886))^2), 1000000000)</f>
        <v/>
      </c>
      <c r="Q451" s="166">
        <f>IF(AND(ABS(B451-0.5)&lt;0.01, ABS(C451-0.5)&lt;0.01, ISNUMBER(SEARCH("Var", D451))), 1, 0)</f>
        <v/>
      </c>
      <c r="R451" s="171">
        <f>IF(F451&gt;0, J451, 1000000000)</f>
        <v/>
      </c>
      <c r="S451" s="101">
        <f>IF(AND(F451&lt;=DASHBOARD!$B$11, H451&gt;=DASHBOARD!$B$13), G451, -1000000000000)</f>
        <v/>
      </c>
      <c r="T451" s="101">
        <f>IF(AND(F451&lt;=DASHBOARD!$B$11, H451&gt;=DASHBOARD!$B$13), R451, 1000000000000)</f>
        <v/>
      </c>
      <c r="U451" s="101">
        <f>IF(AND(F451&lt;=DASHBOARD!$B$11, H451&gt;=DASHBOARD!$B$13), N451, -1000000000000)</f>
        <v/>
      </c>
      <c r="V451" s="101">
        <f>IF(AND(F451&lt;=DASHBOARD!$B$11, H451&gt;=DASHBOARD!$B$13), H451, -1000000000000)</f>
        <v/>
      </c>
      <c r="W451" s="101">
        <f>IF(AND(F451&lt;=DASHBOARD!$B$11, H451&gt;=DASHBOARD!$B$13), K451, -1000000000000)</f>
        <v/>
      </c>
      <c r="X451" s="101">
        <f>IF(AND(F451&lt;=DASHBOARD!$B$11, H451&gt;=DASHBOARD!$B$13), M451, 1000000000000)</f>
        <v/>
      </c>
      <c r="Y451" s="101">
        <f>IF(AND(F451&lt;=DASHBOARD!$B$10, H451&gt;=DASHBOARD!$B$11), L451, 1000000000000)</f>
        <v/>
      </c>
      <c r="Z451" s="101">
        <f>IF(AND(F451&lt;=DASHBOARD!$B$10, H451&gt;=DASHBOARD!$B$11), O451, 1000000000000)</f>
        <v/>
      </c>
      <c r="AA451" s="101">
        <f>IF(AND(F451&lt;=DASHBOARD!$B$10, H451&gt;=DASHBOARD!$B$11), P451, 1000000000000)</f>
        <v/>
      </c>
      <c r="AB451" s="101">
        <f>IF(AND(F451&lt;=DASHBOARD!$B$10, H451&gt;=DASHBOARD!$B$11), Q451, -1000000000000)</f>
        <v/>
      </c>
    </row>
    <row r="452" ht="15" customHeight="1" s="102">
      <c r="A452" s="166" t="n">
        <v>448</v>
      </c>
      <c r="B452" s="167" t="n">
        <v>1</v>
      </c>
      <c r="C452" s="167" t="n">
        <v>1.3</v>
      </c>
      <c r="D452" s="110" t="inlineStr">
        <is>
          <t>Var (%20)</t>
        </is>
      </c>
      <c r="E452" s="110">
        <f>IF((B452+C452)&lt;=1, "Tam Mahsuplaşma (≤%100)", "Kısmi Satış (&gt;%100)")</f>
        <v/>
      </c>
      <c r="F452" s="168">
        <f>((VERI_TABANI!$D$29*B452/VERI_TABANI!$B$29)/VERI_TABANI!$B$3)*VERI_TABANI!$B$5 + ((VERI_TABANI!$D$29*C452/VERI_TABANI!$B$29)/VERI_TABANI!$B$4)*VERI_TABANI!$B$6 + IF(ISNUMBER(SEARCH("Var", D452)), (VERI_TABANI!$F$29/VERI_TABANI!$B$29)*(VERI_TABANI!$B$10+VERI_TABANI!$B$12), 0)</f>
        <v/>
      </c>
      <c r="G452" s="168">
        <f>(((MIN(VERI_TABANI!D23, VERI_TABANI!D23*B452)*VERI_TABANI!$B$7 + MAX(0, VERI_TABANI!D23*B452-VERI_TABANI!D23)*VERI_TABANI!$B$8) + (MIN(MAX(0, VERI_TABANI!D23-VERI_TABANI!D23*B452), VERI_TABANI!D23*C452)*VERI_TABANI!$B$7 + MAX(0, VERI_TABANI!D23*C452-MAX(0, VERI_TABANI!D23-VERI_TABANI!D23*B452))*VERI_TABANI!$B$8) + IF(ABS(IF(ISNUMBER(SEARCH("Var", D452)), 1, IF(ISNUMBER(SEARCH("Gri", D452)), -1, 0)))=1, VERI_TABANI!E23*(1-0.928)*VERI_TABANI!$B$9, 0) + (VERI_TABANI!D23*B452*(VERI_TABANI!$B$13-VERI_TABANI!$B$14)*VERI_TABANI!G23) + (VERI_TABANI!D23*C452*(VERI_TABANI!$B$13-VERI_TABANI!$B$15)*VERI_TABANI!G23) + IF(ABS(IF(ISNUMBER(SEARCH("Var", D452)), 1, IF(ISNUMBER(SEARCH("Gri", D452)), -1, 0)))=1, VERI_TABANI!E23*(1-0.928)*0.00206091519919798*VERI_TABANI!G23, 0)) + ((MIN(VERI_TABANI!D24, VERI_TABANI!D24*B452)*VERI_TABANI!$B$7 + MAX(0, VERI_TABANI!D24*B452-VERI_TABANI!D24)*VERI_TABANI!$B$8) + (MIN(MAX(0, VERI_TABANI!D24-VERI_TABANI!D24*B452), VERI_TABANI!D24*C452)*VERI_TABANI!$B$7 + MAX(0, VERI_TABANI!D24*C452-MAX(0, VERI_TABANI!D24-VERI_TABANI!D24*B452))*VERI_TABANI!$B$8) + IF(ABS(IF(ISNUMBER(SEARCH("Var", D452)), 1, IF(ISNUMBER(SEARCH("Gri", D452)), -1, 0)))=1, VERI_TABANI!E24*(1-0.928)*VERI_TABANI!$B$9, 0) + (VERI_TABANI!D24*B452*(VERI_TABANI!$B$13-VERI_TABANI!$B$14)*VERI_TABANI!G24) + (VERI_TABANI!D24*C452*(VERI_TABANI!$B$13-VERI_TABANI!$B$15)*VERI_TABANI!G24) + IF(ABS(IF(ISNUMBER(SEARCH("Var", D452)), 1, IF(ISNUMBER(SEARCH("Gri", D452)), -1, 0)))=1, VERI_TABANI!E24*(1-0.928)*0.00206091519919798*VERI_TABANI!G24, 0)) + ((MIN(VERI_TABANI!D25, VERI_TABANI!D25*B452)*VERI_TABANI!$B$7 + MAX(0, VERI_TABANI!D25*B452-VERI_TABANI!D25)*VERI_TABANI!$B$8) + (MIN(MAX(0, VERI_TABANI!D25-VERI_TABANI!D25*B452), VERI_TABANI!D25*C452)*VERI_TABANI!$B$7 + MAX(0, VERI_TABANI!D25*C452-MAX(0, VERI_TABANI!D25-VERI_TABANI!D25*B452))*VERI_TABANI!$B$8) + IF(ABS(IF(ISNUMBER(SEARCH("Var", D452)), 1, IF(ISNUMBER(SEARCH("Gri", D452)), -1, 0)))=1, VERI_TABANI!E25*(1-0.928)*VERI_TABANI!$B$9, 0) + (VERI_TABANI!D25*B452*(VERI_TABANI!$B$13-VERI_TABANI!$B$14)*VERI_TABANI!G25) + (VERI_TABANI!D25*C452*(VERI_TABANI!$B$13-VERI_TABANI!$B$15)*VERI_TABANI!G25) + IF(ABS(IF(ISNUMBER(SEARCH("Var", D452)), 1, IF(ISNUMBER(SEARCH("Gri", D452)), -1, 0)))=1, VERI_TABANI!E25*(1-0.928)*0.00206091519919798*VERI_TABANI!G25, 0)) + ((MIN(VERI_TABANI!D26, VERI_TABANI!D26*B452)*VERI_TABANI!$B$7 + MAX(0, VERI_TABANI!D26*B452-VERI_TABANI!D26)*VERI_TABANI!$B$8) + (MIN(MAX(0, VERI_TABANI!D26-VERI_TABANI!D26*B452), VERI_TABANI!D26*C452)*VERI_TABANI!$B$7 + MAX(0, VERI_TABANI!D26*C452-MAX(0, VERI_TABANI!D26-VERI_TABANI!D26*B452))*VERI_TABANI!$B$8) + IF(ABS(IF(ISNUMBER(SEARCH("Var", D452)), 1, IF(ISNUMBER(SEARCH("Gri", D452)), -1, 0)))=1, VERI_TABANI!E26*(1-0.928)*VERI_TABANI!$B$9, 0) + (VERI_TABANI!D26*B452*(VERI_TABANI!$B$13-VERI_TABANI!$B$14)*VERI_TABANI!G26) + (VERI_TABANI!D26*C452*(VERI_TABANI!$B$13-VERI_TABANI!$B$15)*VERI_TABANI!G26) + IF(ABS(IF(ISNUMBER(SEARCH("Var", D452)), 1, IF(ISNUMBER(SEARCH("Gri", D452)), -1, 0)))=1, VERI_TABANI!E26*(1-0.928)*0.00206091519919798*VERI_TABANI!G26, 0)) + ((MIN(VERI_TABANI!D27, VERI_TABANI!D27*B452)*VERI_TABANI!$B$7 + MAX(0, VERI_TABANI!D27*B452-VERI_TABANI!D27)*VERI_TABANI!$B$8) + (MIN(MAX(0, VERI_TABANI!D27-VERI_TABANI!D27*B452), VERI_TABANI!D27*C452)*VERI_TABANI!$B$7 + MAX(0, VERI_TABANI!D27*C452-MAX(0, VERI_TABANI!D27-VERI_TABANI!D27*B452))*VERI_TABANI!$B$8) + IF(ABS(IF(ISNUMBER(SEARCH("Var", D452)), 1, IF(ISNUMBER(SEARCH("Gri", D452)), -1, 0)))=1, VERI_TABANI!E27*(1-0.928)*VERI_TABANI!$B$9, 0) + (VERI_TABANI!D27*B452*(VERI_TABANI!$B$13-VERI_TABANI!$B$14)*VERI_TABANI!G27) + (VERI_TABANI!D27*C452*(VERI_TABANI!$B$13-VERI_TABANI!$B$15)*VERI_TABANI!G27) + IF(ABS(IF(ISNUMBER(SEARCH("Var", D452)), 1, IF(ISNUMBER(SEARCH("Gri", D452)), -1, 0)))=1, VERI_TABANI!E27*(1-0.928)*0.00206091519919798*VERI_TABANI!G27, 0)) + ((MIN(VERI_TABANI!D28, VERI_TABANI!D28*B452)*VERI_TABANI!$B$7 + MAX(0, VERI_TABANI!D28*B452-VERI_TABANI!D28)*VERI_TABANI!$B$8) + (MIN(MAX(0, VERI_TABANI!D28-VERI_TABANI!D28*B452), VERI_TABANI!D28*C452)*VERI_TABANI!$B$7 + MAX(0, VERI_TABANI!D28*C452-MAX(0, VERI_TABANI!D28-VERI_TABANI!D28*B452))*VERI_TABANI!$B$8) + IF(ABS(IF(ISNUMBER(SEARCH("Var", D452)), 1, IF(ISNUMBER(SEARCH("Gri", D452)), -1, 0)))=1, VERI_TABANI!E28*(1-0.928)*VERI_TABANI!$B$9, 0) + (VERI_TABANI!D28*B452*(VERI_TABANI!$B$13-VERI_TABANI!$B$14)*VERI_TABANI!G28) + (VERI_TABANI!D28*C452*(VERI_TABANI!$B$13-VERI_TABANI!$B$15)*VERI_TABANI!G28) + IF(ABS(IF(ISNUMBER(SEARCH("Var", D452)), 1, IF(ISNUMBER(SEARCH("Gri", D452)), -1, 0)))=1, VERI_TABANI!E28*(1-0.928)*0.00206091519919798*VERI_TABANI!G28, 0)))</f>
        <v/>
      </c>
      <c r="H452" s="169">
        <f>(((VERI_TABANI!D23*B452*(VERI_TABANI!$B$13-VERI_TABANI!$B$14)) + (VERI_TABANI!D23*C452*(VERI_TABANI!$B$13-VERI_TABANI!$B$15)) + IF(ISNUMBER(SEARCH("Var", D452)), VERI_TABANI!F23*(0.00202-VERI_TABANI!$B$16), IF(ISNUMBER(SEARCH("Gri", D452)), VERI_TABANI!F23*(0.00202-VERI_TABANI!$B$17), 0))) + ((VERI_TABANI!D24*B452*(VERI_TABANI!$B$13-VERI_TABANI!$B$14)) + (VERI_TABANI!D24*C452*(VERI_TABANI!$B$13-VERI_TABANI!$B$15)) + IF(ISNUMBER(SEARCH("Var", D452)), VERI_TABANI!F24*(0.00202-VERI_TABANI!$B$16), IF(ISNUMBER(SEARCH("Gri", D452)), VERI_TABANI!F24*(0.00202-VERI_TABANI!$B$17), 0))) + ((VERI_TABANI!D25*B452*(VERI_TABANI!$B$13-VERI_TABANI!$B$14)) + (VERI_TABANI!D25*C452*(VERI_TABANI!$B$13-VERI_TABANI!$B$15)) + IF(ISNUMBER(SEARCH("Var", D452)), VERI_TABANI!F25*(0.00202-VERI_TABANI!$B$16), IF(ISNUMBER(SEARCH("Gri", D452)), VERI_TABANI!F25*(0.00202-VERI_TABANI!$B$17), 0))) + ((VERI_TABANI!D26*B452*(VERI_TABANI!$B$13-VERI_TABANI!$B$14)) + (VERI_TABANI!D26*C452*(VERI_TABANI!$B$13-VERI_TABANI!$B$15)) + IF(ISNUMBER(SEARCH("Var", D452)), VERI_TABANI!F26*(0.00202-VERI_TABANI!$B$16), IF(ISNUMBER(SEARCH("Gri", D452)), VERI_TABANI!F26*(0.00202-VERI_TABANI!$B$17), 0))) + ((VERI_TABANI!D27*B452*(VERI_TABANI!$B$13-VERI_TABANI!$B$14)) + (VERI_TABANI!D27*C452*(VERI_TABANI!$B$13-VERI_TABANI!$B$15)) + IF(ISNUMBER(SEARCH("Var", D452)), VERI_TABANI!F27*(0.00202-VERI_TABANI!$B$16), IF(ISNUMBER(SEARCH("Gri", D452)), VERI_TABANI!F27*(0.00202-VERI_TABANI!$B$17), 0))) + ((VERI_TABANI!D28*B452*(VERI_TABANI!$B$13-VERI_TABANI!$B$14)) + (VERI_TABANI!D28*C452*(VERI_TABANI!$B$13-VERI_TABANI!$B$15)) + IF(ISNUMBER(SEARCH("Var", D452)), VERI_TABANI!F28*(0.00202-VERI_TABANI!$B$16), IF(ISNUMBER(SEARCH("Gri", D452)), VERI_TABANI!F28*(0.00202-VERI_TABANI!$B$17), 0))))</f>
        <v/>
      </c>
      <c r="I452" s="170">
        <f>IFERROR(((VERI_TABANI!$D$29*B452*VERI_TABANI!$B$14 + VERI_TABANI!$D$29*C452*VERI_TABANI!$B$15 + IF(ISNUMBER(SEARCH("Var", D452)), VERI_TABANI!$F$29*VERI_TABANI!$B$16, 0))) / (((VERI_TABANI!$D$29*B452 + VERI_TABANI!$D$29*C452)*VERI_TABANI!$B$13 + IF(ISNUMBER(SEARCH("Var", D452)), VERI_TABANI!$E$29*(1-0.928)*VERI_TABANI!$B$18, 0))), 0)</f>
        <v/>
      </c>
      <c r="J452" s="171">
        <f>IFERROR(F452/(G452/29), 0)</f>
        <v/>
      </c>
      <c r="K452" s="172">
        <f>IF(F452&gt;0, H452/F452, 0)</f>
        <v/>
      </c>
      <c r="L452" s="170">
        <f>IF(F452&gt;0, I452, 1000000000)</f>
        <v/>
      </c>
      <c r="M452" s="171">
        <f>ABS((B452+C452)-1)</f>
        <v/>
      </c>
      <c r="N452" s="170">
        <f>IF(F452&gt;0, (G452/29)/F452, 0)</f>
        <v/>
      </c>
      <c r="O452" s="168">
        <f>IF(AND((B452+C452)&gt;=1, ISNUMBER(SEARCH("Var", D452))), F452, 1000000000)</f>
        <v/>
      </c>
      <c r="P452" s="172">
        <f>IF(F452&gt;0, SQRT((F452/MAX(F$5:F$886))^2 + (1 - H452/MAX(H$5:H$886))^2 + (J452/MAX(J$5:J$886))^2), 1000000000)</f>
        <v/>
      </c>
      <c r="Q452" s="166">
        <f>IF(AND(ABS(B452-0.5)&lt;0.01, ABS(C452-0.5)&lt;0.01, ISNUMBER(SEARCH("Var", D452))), 1, 0)</f>
        <v/>
      </c>
      <c r="R452" s="171">
        <f>IF(F452&gt;0, J452, 1000000000)</f>
        <v/>
      </c>
      <c r="S452" s="101">
        <f>IF(AND(F452&lt;=DASHBOARD!$B$11, H452&gt;=DASHBOARD!$B$13), G452, -1000000000000)</f>
        <v/>
      </c>
      <c r="T452" s="101">
        <f>IF(AND(F452&lt;=DASHBOARD!$B$11, H452&gt;=DASHBOARD!$B$13), R452, 1000000000000)</f>
        <v/>
      </c>
      <c r="U452" s="101">
        <f>IF(AND(F452&lt;=DASHBOARD!$B$11, H452&gt;=DASHBOARD!$B$13), N452, -1000000000000)</f>
        <v/>
      </c>
      <c r="V452" s="101">
        <f>IF(AND(F452&lt;=DASHBOARD!$B$11, H452&gt;=DASHBOARD!$B$13), H452, -1000000000000)</f>
        <v/>
      </c>
      <c r="W452" s="101">
        <f>IF(AND(F452&lt;=DASHBOARD!$B$11, H452&gt;=DASHBOARD!$B$13), K452, -1000000000000)</f>
        <v/>
      </c>
      <c r="X452" s="101">
        <f>IF(AND(F452&lt;=DASHBOARD!$B$11, H452&gt;=DASHBOARD!$B$13), M452, 1000000000000)</f>
        <v/>
      </c>
      <c r="Y452" s="101">
        <f>IF(AND(F452&lt;=DASHBOARD!$B$10, H452&gt;=DASHBOARD!$B$11), L452, 1000000000000)</f>
        <v/>
      </c>
      <c r="Z452" s="101">
        <f>IF(AND(F452&lt;=DASHBOARD!$B$10, H452&gt;=DASHBOARD!$B$11), O452, 1000000000000)</f>
        <v/>
      </c>
      <c r="AA452" s="101">
        <f>IF(AND(F452&lt;=DASHBOARD!$B$10, H452&gt;=DASHBOARD!$B$11), P452, 1000000000000)</f>
        <v/>
      </c>
      <c r="AB452" s="101">
        <f>IF(AND(F452&lt;=DASHBOARD!$B$10, H452&gt;=DASHBOARD!$B$11), Q452, -1000000000000)</f>
        <v/>
      </c>
    </row>
    <row r="453" ht="15" customHeight="1" s="102">
      <c r="A453" s="166" t="n">
        <v>449</v>
      </c>
      <c r="B453" s="167" t="n">
        <v>1</v>
      </c>
      <c r="C453" s="167" t="n">
        <v>1.4</v>
      </c>
      <c r="D453" s="110" t="inlineStr">
        <is>
          <t>Yok (%0)</t>
        </is>
      </c>
      <c r="E453" s="110">
        <f>IF((B453+C453)&lt;=1, "Tam Mahsuplaşma (≤%100)", "Kısmi Satış (&gt;%100)")</f>
        <v/>
      </c>
      <c r="F453" s="168">
        <f>((VERI_TABANI!$D$29*B453/VERI_TABANI!$B$29)/VERI_TABANI!$B$3)*VERI_TABANI!$B$5 + ((VERI_TABANI!$D$29*C453/VERI_TABANI!$B$29)/VERI_TABANI!$B$4)*VERI_TABANI!$B$6 + IF(ISNUMBER(SEARCH("Var", D453)), (VERI_TABANI!$F$29/VERI_TABANI!$B$29)*(VERI_TABANI!$B$10+VERI_TABANI!$B$12), 0)</f>
        <v/>
      </c>
      <c r="G453" s="168">
        <f>(((MIN(VERI_TABANI!D23, VERI_TABANI!D23*B453)*VERI_TABANI!$B$7 + MAX(0, VERI_TABANI!D23*B453-VERI_TABANI!D23)*VERI_TABANI!$B$8) + (MIN(MAX(0, VERI_TABANI!D23-VERI_TABANI!D23*B453), VERI_TABANI!D23*C453)*VERI_TABANI!$B$7 + MAX(0, VERI_TABANI!D23*C453-MAX(0, VERI_TABANI!D23-VERI_TABANI!D23*B453))*VERI_TABANI!$B$8) + IF(ABS(IF(ISNUMBER(SEARCH("Var", D453)), 1, IF(ISNUMBER(SEARCH("Gri", D453)), -1, 0)))=1, VERI_TABANI!E23*(1-0.928)*VERI_TABANI!$B$9, 0) + (VERI_TABANI!D23*B453*(VERI_TABANI!$B$13-VERI_TABANI!$B$14)*VERI_TABANI!G23) + (VERI_TABANI!D23*C453*(VERI_TABANI!$B$13-VERI_TABANI!$B$15)*VERI_TABANI!G23) + IF(ABS(IF(ISNUMBER(SEARCH("Var", D453)), 1, IF(ISNUMBER(SEARCH("Gri", D453)), -1, 0)))=1, VERI_TABANI!E23*(1-0.928)*0.00206091519919798*VERI_TABANI!G23, 0)) + ((MIN(VERI_TABANI!D24, VERI_TABANI!D24*B453)*VERI_TABANI!$B$7 + MAX(0, VERI_TABANI!D24*B453-VERI_TABANI!D24)*VERI_TABANI!$B$8) + (MIN(MAX(0, VERI_TABANI!D24-VERI_TABANI!D24*B453), VERI_TABANI!D24*C453)*VERI_TABANI!$B$7 + MAX(0, VERI_TABANI!D24*C453-MAX(0, VERI_TABANI!D24-VERI_TABANI!D24*B453))*VERI_TABANI!$B$8) + IF(ABS(IF(ISNUMBER(SEARCH("Var", D453)), 1, IF(ISNUMBER(SEARCH("Gri", D453)), -1, 0)))=1, VERI_TABANI!E24*(1-0.928)*VERI_TABANI!$B$9, 0) + (VERI_TABANI!D24*B453*(VERI_TABANI!$B$13-VERI_TABANI!$B$14)*VERI_TABANI!G24) + (VERI_TABANI!D24*C453*(VERI_TABANI!$B$13-VERI_TABANI!$B$15)*VERI_TABANI!G24) + IF(ABS(IF(ISNUMBER(SEARCH("Var", D453)), 1, IF(ISNUMBER(SEARCH("Gri", D453)), -1, 0)))=1, VERI_TABANI!E24*(1-0.928)*0.00206091519919798*VERI_TABANI!G24, 0)) + ((MIN(VERI_TABANI!D25, VERI_TABANI!D25*B453)*VERI_TABANI!$B$7 + MAX(0, VERI_TABANI!D25*B453-VERI_TABANI!D25)*VERI_TABANI!$B$8) + (MIN(MAX(0, VERI_TABANI!D25-VERI_TABANI!D25*B453), VERI_TABANI!D25*C453)*VERI_TABANI!$B$7 + MAX(0, VERI_TABANI!D25*C453-MAX(0, VERI_TABANI!D25-VERI_TABANI!D25*B453))*VERI_TABANI!$B$8) + IF(ABS(IF(ISNUMBER(SEARCH("Var", D453)), 1, IF(ISNUMBER(SEARCH("Gri", D453)), -1, 0)))=1, VERI_TABANI!E25*(1-0.928)*VERI_TABANI!$B$9, 0) + (VERI_TABANI!D25*B453*(VERI_TABANI!$B$13-VERI_TABANI!$B$14)*VERI_TABANI!G25) + (VERI_TABANI!D25*C453*(VERI_TABANI!$B$13-VERI_TABANI!$B$15)*VERI_TABANI!G25) + IF(ABS(IF(ISNUMBER(SEARCH("Var", D453)), 1, IF(ISNUMBER(SEARCH("Gri", D453)), -1, 0)))=1, VERI_TABANI!E25*(1-0.928)*0.00206091519919798*VERI_TABANI!G25, 0)) + ((MIN(VERI_TABANI!D26, VERI_TABANI!D26*B453)*VERI_TABANI!$B$7 + MAX(0, VERI_TABANI!D26*B453-VERI_TABANI!D26)*VERI_TABANI!$B$8) + (MIN(MAX(0, VERI_TABANI!D26-VERI_TABANI!D26*B453), VERI_TABANI!D26*C453)*VERI_TABANI!$B$7 + MAX(0, VERI_TABANI!D26*C453-MAX(0, VERI_TABANI!D26-VERI_TABANI!D26*B453))*VERI_TABANI!$B$8) + IF(ABS(IF(ISNUMBER(SEARCH("Var", D453)), 1, IF(ISNUMBER(SEARCH("Gri", D453)), -1, 0)))=1, VERI_TABANI!E26*(1-0.928)*VERI_TABANI!$B$9, 0) + (VERI_TABANI!D26*B453*(VERI_TABANI!$B$13-VERI_TABANI!$B$14)*VERI_TABANI!G26) + (VERI_TABANI!D26*C453*(VERI_TABANI!$B$13-VERI_TABANI!$B$15)*VERI_TABANI!G26) + IF(ABS(IF(ISNUMBER(SEARCH("Var", D453)), 1, IF(ISNUMBER(SEARCH("Gri", D453)), -1, 0)))=1, VERI_TABANI!E26*(1-0.928)*0.00206091519919798*VERI_TABANI!G26, 0)) + ((MIN(VERI_TABANI!D27, VERI_TABANI!D27*B453)*VERI_TABANI!$B$7 + MAX(0, VERI_TABANI!D27*B453-VERI_TABANI!D27)*VERI_TABANI!$B$8) + (MIN(MAX(0, VERI_TABANI!D27-VERI_TABANI!D27*B453), VERI_TABANI!D27*C453)*VERI_TABANI!$B$7 + MAX(0, VERI_TABANI!D27*C453-MAX(0, VERI_TABANI!D27-VERI_TABANI!D27*B453))*VERI_TABANI!$B$8) + IF(ABS(IF(ISNUMBER(SEARCH("Var", D453)), 1, IF(ISNUMBER(SEARCH("Gri", D453)), -1, 0)))=1, VERI_TABANI!E27*(1-0.928)*VERI_TABANI!$B$9, 0) + (VERI_TABANI!D27*B453*(VERI_TABANI!$B$13-VERI_TABANI!$B$14)*VERI_TABANI!G27) + (VERI_TABANI!D27*C453*(VERI_TABANI!$B$13-VERI_TABANI!$B$15)*VERI_TABANI!G27) + IF(ABS(IF(ISNUMBER(SEARCH("Var", D453)), 1, IF(ISNUMBER(SEARCH("Gri", D453)), -1, 0)))=1, VERI_TABANI!E27*(1-0.928)*0.00206091519919798*VERI_TABANI!G27, 0)) + ((MIN(VERI_TABANI!D28, VERI_TABANI!D28*B453)*VERI_TABANI!$B$7 + MAX(0, VERI_TABANI!D28*B453-VERI_TABANI!D28)*VERI_TABANI!$B$8) + (MIN(MAX(0, VERI_TABANI!D28-VERI_TABANI!D28*B453), VERI_TABANI!D28*C453)*VERI_TABANI!$B$7 + MAX(0, VERI_TABANI!D28*C453-MAX(0, VERI_TABANI!D28-VERI_TABANI!D28*B453))*VERI_TABANI!$B$8) + IF(ABS(IF(ISNUMBER(SEARCH("Var", D453)), 1, IF(ISNUMBER(SEARCH("Gri", D453)), -1, 0)))=1, VERI_TABANI!E28*(1-0.928)*VERI_TABANI!$B$9, 0) + (VERI_TABANI!D28*B453*(VERI_TABANI!$B$13-VERI_TABANI!$B$14)*VERI_TABANI!G28) + (VERI_TABANI!D28*C453*(VERI_TABANI!$B$13-VERI_TABANI!$B$15)*VERI_TABANI!G28) + IF(ABS(IF(ISNUMBER(SEARCH("Var", D453)), 1, IF(ISNUMBER(SEARCH("Gri", D453)), -1, 0)))=1, VERI_TABANI!E28*(1-0.928)*0.00206091519919798*VERI_TABANI!G28, 0)))</f>
        <v/>
      </c>
      <c r="H453" s="169">
        <f>(((VERI_TABANI!D23*B453*(VERI_TABANI!$B$13-VERI_TABANI!$B$14)) + (VERI_TABANI!D23*C453*(VERI_TABANI!$B$13-VERI_TABANI!$B$15)) + IF(ISNUMBER(SEARCH("Var", D453)), VERI_TABANI!F23*(0.00202-VERI_TABANI!$B$16), IF(ISNUMBER(SEARCH("Gri", D453)), VERI_TABANI!F23*(0.00202-VERI_TABANI!$B$17), 0))) + ((VERI_TABANI!D24*B453*(VERI_TABANI!$B$13-VERI_TABANI!$B$14)) + (VERI_TABANI!D24*C453*(VERI_TABANI!$B$13-VERI_TABANI!$B$15)) + IF(ISNUMBER(SEARCH("Var", D453)), VERI_TABANI!F24*(0.00202-VERI_TABANI!$B$16), IF(ISNUMBER(SEARCH("Gri", D453)), VERI_TABANI!F24*(0.00202-VERI_TABANI!$B$17), 0))) + ((VERI_TABANI!D25*B453*(VERI_TABANI!$B$13-VERI_TABANI!$B$14)) + (VERI_TABANI!D25*C453*(VERI_TABANI!$B$13-VERI_TABANI!$B$15)) + IF(ISNUMBER(SEARCH("Var", D453)), VERI_TABANI!F25*(0.00202-VERI_TABANI!$B$16), IF(ISNUMBER(SEARCH("Gri", D453)), VERI_TABANI!F25*(0.00202-VERI_TABANI!$B$17), 0))) + ((VERI_TABANI!D26*B453*(VERI_TABANI!$B$13-VERI_TABANI!$B$14)) + (VERI_TABANI!D26*C453*(VERI_TABANI!$B$13-VERI_TABANI!$B$15)) + IF(ISNUMBER(SEARCH("Var", D453)), VERI_TABANI!F26*(0.00202-VERI_TABANI!$B$16), IF(ISNUMBER(SEARCH("Gri", D453)), VERI_TABANI!F26*(0.00202-VERI_TABANI!$B$17), 0))) + ((VERI_TABANI!D27*B453*(VERI_TABANI!$B$13-VERI_TABANI!$B$14)) + (VERI_TABANI!D27*C453*(VERI_TABANI!$B$13-VERI_TABANI!$B$15)) + IF(ISNUMBER(SEARCH("Var", D453)), VERI_TABANI!F27*(0.00202-VERI_TABANI!$B$16), IF(ISNUMBER(SEARCH("Gri", D453)), VERI_TABANI!F27*(0.00202-VERI_TABANI!$B$17), 0))) + ((VERI_TABANI!D28*B453*(VERI_TABANI!$B$13-VERI_TABANI!$B$14)) + (VERI_TABANI!D28*C453*(VERI_TABANI!$B$13-VERI_TABANI!$B$15)) + IF(ISNUMBER(SEARCH("Var", D453)), VERI_TABANI!F28*(0.00202-VERI_TABANI!$B$16), IF(ISNUMBER(SEARCH("Gri", D453)), VERI_TABANI!F28*(0.00202-VERI_TABANI!$B$17), 0))))</f>
        <v/>
      </c>
      <c r="I453" s="170">
        <f>IFERROR(((VERI_TABANI!$D$29*B453*VERI_TABANI!$B$14 + VERI_TABANI!$D$29*C453*VERI_TABANI!$B$15 + IF(ISNUMBER(SEARCH("Var", D453)), VERI_TABANI!$F$29*VERI_TABANI!$B$16, 0))) / (((VERI_TABANI!$D$29*B453 + VERI_TABANI!$D$29*C453)*VERI_TABANI!$B$13 + IF(ISNUMBER(SEARCH("Var", D453)), VERI_TABANI!$E$29*(1-0.928)*VERI_TABANI!$B$18, 0))), 0)</f>
        <v/>
      </c>
      <c r="J453" s="171">
        <f>IFERROR(F453/(G453/29), 0)</f>
        <v/>
      </c>
      <c r="K453" s="172">
        <f>IF(F453&gt;0, H453/F453, 0)</f>
        <v/>
      </c>
      <c r="L453" s="170">
        <f>IF(F453&gt;0, I453, 1000000000)</f>
        <v/>
      </c>
      <c r="M453" s="171">
        <f>ABS((B453+C453)-1)</f>
        <v/>
      </c>
      <c r="N453" s="170">
        <f>IF(F453&gt;0, (G453/29)/F453, 0)</f>
        <v/>
      </c>
      <c r="O453" s="168">
        <f>IF(AND((B453+C453)&gt;=1, ISNUMBER(SEARCH("Var", D453))), F453, 1000000000)</f>
        <v/>
      </c>
      <c r="P453" s="172">
        <f>IF(F453&gt;0, SQRT((F453/MAX(F$5:F$886))^2 + (1 - H453/MAX(H$5:H$886))^2 + (J453/MAX(J$5:J$886))^2), 1000000000)</f>
        <v/>
      </c>
      <c r="Q453" s="166">
        <f>IF(AND(ABS(B453-0.5)&lt;0.01, ABS(C453-0.5)&lt;0.01, ISNUMBER(SEARCH("Var", D453))), 1, 0)</f>
        <v/>
      </c>
      <c r="R453" s="171">
        <f>IF(F453&gt;0, J453, 1000000000)</f>
        <v/>
      </c>
      <c r="S453" s="101">
        <f>IF(AND(F453&lt;=DASHBOARD!$B$11, H453&gt;=DASHBOARD!$B$13), G453, -1000000000000)</f>
        <v/>
      </c>
      <c r="T453" s="101">
        <f>IF(AND(F453&lt;=DASHBOARD!$B$11, H453&gt;=DASHBOARD!$B$13), R453, 1000000000000)</f>
        <v/>
      </c>
      <c r="U453" s="101">
        <f>IF(AND(F453&lt;=DASHBOARD!$B$11, H453&gt;=DASHBOARD!$B$13), N453, -1000000000000)</f>
        <v/>
      </c>
      <c r="V453" s="101">
        <f>IF(AND(F453&lt;=DASHBOARD!$B$11, H453&gt;=DASHBOARD!$B$13), H453, -1000000000000)</f>
        <v/>
      </c>
      <c r="W453" s="101">
        <f>IF(AND(F453&lt;=DASHBOARD!$B$11, H453&gt;=DASHBOARD!$B$13), K453, -1000000000000)</f>
        <v/>
      </c>
      <c r="X453" s="101">
        <f>IF(AND(F453&lt;=DASHBOARD!$B$11, H453&gt;=DASHBOARD!$B$13), M453, 1000000000000)</f>
        <v/>
      </c>
      <c r="Y453" s="101">
        <f>IF(AND(F453&lt;=DASHBOARD!$B$10, H453&gt;=DASHBOARD!$B$11), L453, 1000000000000)</f>
        <v/>
      </c>
      <c r="Z453" s="101">
        <f>IF(AND(F453&lt;=DASHBOARD!$B$10, H453&gt;=DASHBOARD!$B$11), O453, 1000000000000)</f>
        <v/>
      </c>
      <c r="AA453" s="101">
        <f>IF(AND(F453&lt;=DASHBOARD!$B$10, H453&gt;=DASHBOARD!$B$11), P453, 1000000000000)</f>
        <v/>
      </c>
      <c r="AB453" s="101">
        <f>IF(AND(F453&lt;=DASHBOARD!$B$10, H453&gt;=DASHBOARD!$B$11), Q453, -1000000000000)</f>
        <v/>
      </c>
    </row>
    <row r="454" ht="15" customHeight="1" s="102">
      <c r="A454" s="166" t="n">
        <v>450</v>
      </c>
      <c r="B454" s="167" t="n">
        <v>1</v>
      </c>
      <c r="C454" s="167" t="n">
        <v>1.4</v>
      </c>
      <c r="D454" s="110" t="inlineStr">
        <is>
          <t>Var (%20)</t>
        </is>
      </c>
      <c r="E454" s="110">
        <f>IF((B454+C454)&lt;=1, "Tam Mahsuplaşma (≤%100)", "Kısmi Satış (&gt;%100)")</f>
        <v/>
      </c>
      <c r="F454" s="168">
        <f>((VERI_TABANI!$D$29*B454/VERI_TABANI!$B$29)/VERI_TABANI!$B$3)*VERI_TABANI!$B$5 + ((VERI_TABANI!$D$29*C454/VERI_TABANI!$B$29)/VERI_TABANI!$B$4)*VERI_TABANI!$B$6 + IF(ISNUMBER(SEARCH("Var", D454)), (VERI_TABANI!$F$29/VERI_TABANI!$B$29)*(VERI_TABANI!$B$10+VERI_TABANI!$B$12), 0)</f>
        <v/>
      </c>
      <c r="G454" s="168">
        <f>(((MIN(VERI_TABANI!D23, VERI_TABANI!D23*B454)*VERI_TABANI!$B$7 + MAX(0, VERI_TABANI!D23*B454-VERI_TABANI!D23)*VERI_TABANI!$B$8) + (MIN(MAX(0, VERI_TABANI!D23-VERI_TABANI!D23*B454), VERI_TABANI!D23*C454)*VERI_TABANI!$B$7 + MAX(0, VERI_TABANI!D23*C454-MAX(0, VERI_TABANI!D23-VERI_TABANI!D23*B454))*VERI_TABANI!$B$8) + IF(ABS(IF(ISNUMBER(SEARCH("Var", D454)), 1, IF(ISNUMBER(SEARCH("Gri", D454)), -1, 0)))=1, VERI_TABANI!E23*(1-0.928)*VERI_TABANI!$B$9, 0) + (VERI_TABANI!D23*B454*(VERI_TABANI!$B$13-VERI_TABANI!$B$14)*VERI_TABANI!G23) + (VERI_TABANI!D23*C454*(VERI_TABANI!$B$13-VERI_TABANI!$B$15)*VERI_TABANI!G23) + IF(ABS(IF(ISNUMBER(SEARCH("Var", D454)), 1, IF(ISNUMBER(SEARCH("Gri", D454)), -1, 0)))=1, VERI_TABANI!E23*(1-0.928)*0.00206091519919798*VERI_TABANI!G23, 0)) + ((MIN(VERI_TABANI!D24, VERI_TABANI!D24*B454)*VERI_TABANI!$B$7 + MAX(0, VERI_TABANI!D24*B454-VERI_TABANI!D24)*VERI_TABANI!$B$8) + (MIN(MAX(0, VERI_TABANI!D24-VERI_TABANI!D24*B454), VERI_TABANI!D24*C454)*VERI_TABANI!$B$7 + MAX(0, VERI_TABANI!D24*C454-MAX(0, VERI_TABANI!D24-VERI_TABANI!D24*B454))*VERI_TABANI!$B$8) + IF(ABS(IF(ISNUMBER(SEARCH("Var", D454)), 1, IF(ISNUMBER(SEARCH("Gri", D454)), -1, 0)))=1, VERI_TABANI!E24*(1-0.928)*VERI_TABANI!$B$9, 0) + (VERI_TABANI!D24*B454*(VERI_TABANI!$B$13-VERI_TABANI!$B$14)*VERI_TABANI!G24) + (VERI_TABANI!D24*C454*(VERI_TABANI!$B$13-VERI_TABANI!$B$15)*VERI_TABANI!G24) + IF(ABS(IF(ISNUMBER(SEARCH("Var", D454)), 1, IF(ISNUMBER(SEARCH("Gri", D454)), -1, 0)))=1, VERI_TABANI!E24*(1-0.928)*0.00206091519919798*VERI_TABANI!G24, 0)) + ((MIN(VERI_TABANI!D25, VERI_TABANI!D25*B454)*VERI_TABANI!$B$7 + MAX(0, VERI_TABANI!D25*B454-VERI_TABANI!D25)*VERI_TABANI!$B$8) + (MIN(MAX(0, VERI_TABANI!D25-VERI_TABANI!D25*B454), VERI_TABANI!D25*C454)*VERI_TABANI!$B$7 + MAX(0, VERI_TABANI!D25*C454-MAX(0, VERI_TABANI!D25-VERI_TABANI!D25*B454))*VERI_TABANI!$B$8) + IF(ABS(IF(ISNUMBER(SEARCH("Var", D454)), 1, IF(ISNUMBER(SEARCH("Gri", D454)), -1, 0)))=1, VERI_TABANI!E25*(1-0.928)*VERI_TABANI!$B$9, 0) + (VERI_TABANI!D25*B454*(VERI_TABANI!$B$13-VERI_TABANI!$B$14)*VERI_TABANI!G25) + (VERI_TABANI!D25*C454*(VERI_TABANI!$B$13-VERI_TABANI!$B$15)*VERI_TABANI!G25) + IF(ABS(IF(ISNUMBER(SEARCH("Var", D454)), 1, IF(ISNUMBER(SEARCH("Gri", D454)), -1, 0)))=1, VERI_TABANI!E25*(1-0.928)*0.00206091519919798*VERI_TABANI!G25, 0)) + ((MIN(VERI_TABANI!D26, VERI_TABANI!D26*B454)*VERI_TABANI!$B$7 + MAX(0, VERI_TABANI!D26*B454-VERI_TABANI!D26)*VERI_TABANI!$B$8) + (MIN(MAX(0, VERI_TABANI!D26-VERI_TABANI!D26*B454), VERI_TABANI!D26*C454)*VERI_TABANI!$B$7 + MAX(0, VERI_TABANI!D26*C454-MAX(0, VERI_TABANI!D26-VERI_TABANI!D26*B454))*VERI_TABANI!$B$8) + IF(ABS(IF(ISNUMBER(SEARCH("Var", D454)), 1, IF(ISNUMBER(SEARCH("Gri", D454)), -1, 0)))=1, VERI_TABANI!E26*(1-0.928)*VERI_TABANI!$B$9, 0) + (VERI_TABANI!D26*B454*(VERI_TABANI!$B$13-VERI_TABANI!$B$14)*VERI_TABANI!G26) + (VERI_TABANI!D26*C454*(VERI_TABANI!$B$13-VERI_TABANI!$B$15)*VERI_TABANI!G26) + IF(ABS(IF(ISNUMBER(SEARCH("Var", D454)), 1, IF(ISNUMBER(SEARCH("Gri", D454)), -1, 0)))=1, VERI_TABANI!E26*(1-0.928)*0.00206091519919798*VERI_TABANI!G26, 0)) + ((MIN(VERI_TABANI!D27, VERI_TABANI!D27*B454)*VERI_TABANI!$B$7 + MAX(0, VERI_TABANI!D27*B454-VERI_TABANI!D27)*VERI_TABANI!$B$8) + (MIN(MAX(0, VERI_TABANI!D27-VERI_TABANI!D27*B454), VERI_TABANI!D27*C454)*VERI_TABANI!$B$7 + MAX(0, VERI_TABANI!D27*C454-MAX(0, VERI_TABANI!D27-VERI_TABANI!D27*B454))*VERI_TABANI!$B$8) + IF(ABS(IF(ISNUMBER(SEARCH("Var", D454)), 1, IF(ISNUMBER(SEARCH("Gri", D454)), -1, 0)))=1, VERI_TABANI!E27*(1-0.928)*VERI_TABANI!$B$9, 0) + (VERI_TABANI!D27*B454*(VERI_TABANI!$B$13-VERI_TABANI!$B$14)*VERI_TABANI!G27) + (VERI_TABANI!D27*C454*(VERI_TABANI!$B$13-VERI_TABANI!$B$15)*VERI_TABANI!G27) + IF(ABS(IF(ISNUMBER(SEARCH("Var", D454)), 1, IF(ISNUMBER(SEARCH("Gri", D454)), -1, 0)))=1, VERI_TABANI!E27*(1-0.928)*0.00206091519919798*VERI_TABANI!G27, 0)) + ((MIN(VERI_TABANI!D28, VERI_TABANI!D28*B454)*VERI_TABANI!$B$7 + MAX(0, VERI_TABANI!D28*B454-VERI_TABANI!D28)*VERI_TABANI!$B$8) + (MIN(MAX(0, VERI_TABANI!D28-VERI_TABANI!D28*B454), VERI_TABANI!D28*C454)*VERI_TABANI!$B$7 + MAX(0, VERI_TABANI!D28*C454-MAX(0, VERI_TABANI!D28-VERI_TABANI!D28*B454))*VERI_TABANI!$B$8) + IF(ABS(IF(ISNUMBER(SEARCH("Var", D454)), 1, IF(ISNUMBER(SEARCH("Gri", D454)), -1, 0)))=1, VERI_TABANI!E28*(1-0.928)*VERI_TABANI!$B$9, 0) + (VERI_TABANI!D28*B454*(VERI_TABANI!$B$13-VERI_TABANI!$B$14)*VERI_TABANI!G28) + (VERI_TABANI!D28*C454*(VERI_TABANI!$B$13-VERI_TABANI!$B$15)*VERI_TABANI!G28) + IF(ABS(IF(ISNUMBER(SEARCH("Var", D454)), 1, IF(ISNUMBER(SEARCH("Gri", D454)), -1, 0)))=1, VERI_TABANI!E28*(1-0.928)*0.00206091519919798*VERI_TABANI!G28, 0)))</f>
        <v/>
      </c>
      <c r="H454" s="169">
        <f>(((VERI_TABANI!D23*B454*(VERI_TABANI!$B$13-VERI_TABANI!$B$14)) + (VERI_TABANI!D23*C454*(VERI_TABANI!$B$13-VERI_TABANI!$B$15)) + IF(ISNUMBER(SEARCH("Var", D454)), VERI_TABANI!F23*(0.00202-VERI_TABANI!$B$16), IF(ISNUMBER(SEARCH("Gri", D454)), VERI_TABANI!F23*(0.00202-VERI_TABANI!$B$17), 0))) + ((VERI_TABANI!D24*B454*(VERI_TABANI!$B$13-VERI_TABANI!$B$14)) + (VERI_TABANI!D24*C454*(VERI_TABANI!$B$13-VERI_TABANI!$B$15)) + IF(ISNUMBER(SEARCH("Var", D454)), VERI_TABANI!F24*(0.00202-VERI_TABANI!$B$16), IF(ISNUMBER(SEARCH("Gri", D454)), VERI_TABANI!F24*(0.00202-VERI_TABANI!$B$17), 0))) + ((VERI_TABANI!D25*B454*(VERI_TABANI!$B$13-VERI_TABANI!$B$14)) + (VERI_TABANI!D25*C454*(VERI_TABANI!$B$13-VERI_TABANI!$B$15)) + IF(ISNUMBER(SEARCH("Var", D454)), VERI_TABANI!F25*(0.00202-VERI_TABANI!$B$16), IF(ISNUMBER(SEARCH("Gri", D454)), VERI_TABANI!F25*(0.00202-VERI_TABANI!$B$17), 0))) + ((VERI_TABANI!D26*B454*(VERI_TABANI!$B$13-VERI_TABANI!$B$14)) + (VERI_TABANI!D26*C454*(VERI_TABANI!$B$13-VERI_TABANI!$B$15)) + IF(ISNUMBER(SEARCH("Var", D454)), VERI_TABANI!F26*(0.00202-VERI_TABANI!$B$16), IF(ISNUMBER(SEARCH("Gri", D454)), VERI_TABANI!F26*(0.00202-VERI_TABANI!$B$17), 0))) + ((VERI_TABANI!D27*B454*(VERI_TABANI!$B$13-VERI_TABANI!$B$14)) + (VERI_TABANI!D27*C454*(VERI_TABANI!$B$13-VERI_TABANI!$B$15)) + IF(ISNUMBER(SEARCH("Var", D454)), VERI_TABANI!F27*(0.00202-VERI_TABANI!$B$16), IF(ISNUMBER(SEARCH("Gri", D454)), VERI_TABANI!F27*(0.00202-VERI_TABANI!$B$17), 0))) + ((VERI_TABANI!D28*B454*(VERI_TABANI!$B$13-VERI_TABANI!$B$14)) + (VERI_TABANI!D28*C454*(VERI_TABANI!$B$13-VERI_TABANI!$B$15)) + IF(ISNUMBER(SEARCH("Var", D454)), VERI_TABANI!F28*(0.00202-VERI_TABANI!$B$16), IF(ISNUMBER(SEARCH("Gri", D454)), VERI_TABANI!F28*(0.00202-VERI_TABANI!$B$17), 0))))</f>
        <v/>
      </c>
      <c r="I454" s="170">
        <f>IFERROR(((VERI_TABANI!$D$29*B454*VERI_TABANI!$B$14 + VERI_TABANI!$D$29*C454*VERI_TABANI!$B$15 + IF(ISNUMBER(SEARCH("Var", D454)), VERI_TABANI!$F$29*VERI_TABANI!$B$16, 0))) / (((VERI_TABANI!$D$29*B454 + VERI_TABANI!$D$29*C454)*VERI_TABANI!$B$13 + IF(ISNUMBER(SEARCH("Var", D454)), VERI_TABANI!$E$29*(1-0.928)*VERI_TABANI!$B$18, 0))), 0)</f>
        <v/>
      </c>
      <c r="J454" s="171">
        <f>IFERROR(F454/(G454/29), 0)</f>
        <v/>
      </c>
      <c r="K454" s="172">
        <f>IF(F454&gt;0, H454/F454, 0)</f>
        <v/>
      </c>
      <c r="L454" s="170">
        <f>IF(F454&gt;0, I454, 1000000000)</f>
        <v/>
      </c>
      <c r="M454" s="171">
        <f>ABS((B454+C454)-1)</f>
        <v/>
      </c>
      <c r="N454" s="170">
        <f>IF(F454&gt;0, (G454/29)/F454, 0)</f>
        <v/>
      </c>
      <c r="O454" s="168">
        <f>IF(AND((B454+C454)&gt;=1, ISNUMBER(SEARCH("Var", D454))), F454, 1000000000)</f>
        <v/>
      </c>
      <c r="P454" s="172">
        <f>IF(F454&gt;0, SQRT((F454/MAX(F$5:F$886))^2 + (1 - H454/MAX(H$5:H$886))^2 + (J454/MAX(J$5:J$886))^2), 1000000000)</f>
        <v/>
      </c>
      <c r="Q454" s="166">
        <f>IF(AND(ABS(B454-0.5)&lt;0.01, ABS(C454-0.5)&lt;0.01, ISNUMBER(SEARCH("Var", D454))), 1, 0)</f>
        <v/>
      </c>
      <c r="R454" s="171">
        <f>IF(F454&gt;0, J454, 1000000000)</f>
        <v/>
      </c>
      <c r="S454" s="101">
        <f>IF(AND(F454&lt;=DASHBOARD!$B$11, H454&gt;=DASHBOARD!$B$13), G454, -1000000000000)</f>
        <v/>
      </c>
      <c r="T454" s="101">
        <f>IF(AND(F454&lt;=DASHBOARD!$B$11, H454&gt;=DASHBOARD!$B$13), R454, 1000000000000)</f>
        <v/>
      </c>
      <c r="U454" s="101">
        <f>IF(AND(F454&lt;=DASHBOARD!$B$11, H454&gt;=DASHBOARD!$B$13), N454, -1000000000000)</f>
        <v/>
      </c>
      <c r="V454" s="101">
        <f>IF(AND(F454&lt;=DASHBOARD!$B$11, H454&gt;=DASHBOARD!$B$13), H454, -1000000000000)</f>
        <v/>
      </c>
      <c r="W454" s="101">
        <f>IF(AND(F454&lt;=DASHBOARD!$B$11, H454&gt;=DASHBOARD!$B$13), K454, -1000000000000)</f>
        <v/>
      </c>
      <c r="X454" s="101">
        <f>IF(AND(F454&lt;=DASHBOARD!$B$11, H454&gt;=DASHBOARD!$B$13), M454, 1000000000000)</f>
        <v/>
      </c>
      <c r="Y454" s="101">
        <f>IF(AND(F454&lt;=DASHBOARD!$B$10, H454&gt;=DASHBOARD!$B$11), L454, 1000000000000)</f>
        <v/>
      </c>
      <c r="Z454" s="101">
        <f>IF(AND(F454&lt;=DASHBOARD!$B$10, H454&gt;=DASHBOARD!$B$11), O454, 1000000000000)</f>
        <v/>
      </c>
      <c r="AA454" s="101">
        <f>IF(AND(F454&lt;=DASHBOARD!$B$10, H454&gt;=DASHBOARD!$B$11), P454, 1000000000000)</f>
        <v/>
      </c>
      <c r="AB454" s="101">
        <f>IF(AND(F454&lt;=DASHBOARD!$B$10, H454&gt;=DASHBOARD!$B$11), Q454, -1000000000000)</f>
        <v/>
      </c>
    </row>
    <row r="455" ht="15" customHeight="1" s="102">
      <c r="A455" s="166" t="n">
        <v>451</v>
      </c>
      <c r="B455" s="167" t="n">
        <v>1</v>
      </c>
      <c r="C455" s="167" t="n">
        <v>1.5</v>
      </c>
      <c r="D455" s="110" t="inlineStr">
        <is>
          <t>Yok (%0)</t>
        </is>
      </c>
      <c r="E455" s="110">
        <f>IF((B455+C455)&lt;=1, "Tam Mahsuplaşma (≤%100)", "Kısmi Satış (&gt;%100)")</f>
        <v/>
      </c>
      <c r="F455" s="168">
        <f>((VERI_TABANI!$D$29*B455/VERI_TABANI!$B$29)/VERI_TABANI!$B$3)*VERI_TABANI!$B$5 + ((VERI_TABANI!$D$29*C455/VERI_TABANI!$B$29)/VERI_TABANI!$B$4)*VERI_TABANI!$B$6 + IF(ISNUMBER(SEARCH("Var", D455)), (VERI_TABANI!$F$29/VERI_TABANI!$B$29)*(VERI_TABANI!$B$10+VERI_TABANI!$B$12), 0)</f>
        <v/>
      </c>
      <c r="G455" s="168">
        <f>(((MIN(VERI_TABANI!D23, VERI_TABANI!D23*B455)*VERI_TABANI!$B$7 + MAX(0, VERI_TABANI!D23*B455-VERI_TABANI!D23)*VERI_TABANI!$B$8) + (MIN(MAX(0, VERI_TABANI!D23-VERI_TABANI!D23*B455), VERI_TABANI!D23*C455)*VERI_TABANI!$B$7 + MAX(0, VERI_TABANI!D23*C455-MAX(0, VERI_TABANI!D23-VERI_TABANI!D23*B455))*VERI_TABANI!$B$8) + IF(ABS(IF(ISNUMBER(SEARCH("Var", D455)), 1, IF(ISNUMBER(SEARCH("Gri", D455)), -1, 0)))=1, VERI_TABANI!E23*(1-0.928)*VERI_TABANI!$B$9, 0) + (VERI_TABANI!D23*B455*(VERI_TABANI!$B$13-VERI_TABANI!$B$14)*VERI_TABANI!G23) + (VERI_TABANI!D23*C455*(VERI_TABANI!$B$13-VERI_TABANI!$B$15)*VERI_TABANI!G23) + IF(ABS(IF(ISNUMBER(SEARCH("Var", D455)), 1, IF(ISNUMBER(SEARCH("Gri", D455)), -1, 0)))=1, VERI_TABANI!E23*(1-0.928)*0.00206091519919798*VERI_TABANI!G23, 0)) + ((MIN(VERI_TABANI!D24, VERI_TABANI!D24*B455)*VERI_TABANI!$B$7 + MAX(0, VERI_TABANI!D24*B455-VERI_TABANI!D24)*VERI_TABANI!$B$8) + (MIN(MAX(0, VERI_TABANI!D24-VERI_TABANI!D24*B455), VERI_TABANI!D24*C455)*VERI_TABANI!$B$7 + MAX(0, VERI_TABANI!D24*C455-MAX(0, VERI_TABANI!D24-VERI_TABANI!D24*B455))*VERI_TABANI!$B$8) + IF(ABS(IF(ISNUMBER(SEARCH("Var", D455)), 1, IF(ISNUMBER(SEARCH("Gri", D455)), -1, 0)))=1, VERI_TABANI!E24*(1-0.928)*VERI_TABANI!$B$9, 0) + (VERI_TABANI!D24*B455*(VERI_TABANI!$B$13-VERI_TABANI!$B$14)*VERI_TABANI!G24) + (VERI_TABANI!D24*C455*(VERI_TABANI!$B$13-VERI_TABANI!$B$15)*VERI_TABANI!G24) + IF(ABS(IF(ISNUMBER(SEARCH("Var", D455)), 1, IF(ISNUMBER(SEARCH("Gri", D455)), -1, 0)))=1, VERI_TABANI!E24*(1-0.928)*0.00206091519919798*VERI_TABANI!G24, 0)) + ((MIN(VERI_TABANI!D25, VERI_TABANI!D25*B455)*VERI_TABANI!$B$7 + MAX(0, VERI_TABANI!D25*B455-VERI_TABANI!D25)*VERI_TABANI!$B$8) + (MIN(MAX(0, VERI_TABANI!D25-VERI_TABANI!D25*B455), VERI_TABANI!D25*C455)*VERI_TABANI!$B$7 + MAX(0, VERI_TABANI!D25*C455-MAX(0, VERI_TABANI!D25-VERI_TABANI!D25*B455))*VERI_TABANI!$B$8) + IF(ABS(IF(ISNUMBER(SEARCH("Var", D455)), 1, IF(ISNUMBER(SEARCH("Gri", D455)), -1, 0)))=1, VERI_TABANI!E25*(1-0.928)*VERI_TABANI!$B$9, 0) + (VERI_TABANI!D25*B455*(VERI_TABANI!$B$13-VERI_TABANI!$B$14)*VERI_TABANI!G25) + (VERI_TABANI!D25*C455*(VERI_TABANI!$B$13-VERI_TABANI!$B$15)*VERI_TABANI!G25) + IF(ABS(IF(ISNUMBER(SEARCH("Var", D455)), 1, IF(ISNUMBER(SEARCH("Gri", D455)), -1, 0)))=1, VERI_TABANI!E25*(1-0.928)*0.00206091519919798*VERI_TABANI!G25, 0)) + ((MIN(VERI_TABANI!D26, VERI_TABANI!D26*B455)*VERI_TABANI!$B$7 + MAX(0, VERI_TABANI!D26*B455-VERI_TABANI!D26)*VERI_TABANI!$B$8) + (MIN(MAX(0, VERI_TABANI!D26-VERI_TABANI!D26*B455), VERI_TABANI!D26*C455)*VERI_TABANI!$B$7 + MAX(0, VERI_TABANI!D26*C455-MAX(0, VERI_TABANI!D26-VERI_TABANI!D26*B455))*VERI_TABANI!$B$8) + IF(ABS(IF(ISNUMBER(SEARCH("Var", D455)), 1, IF(ISNUMBER(SEARCH("Gri", D455)), -1, 0)))=1, VERI_TABANI!E26*(1-0.928)*VERI_TABANI!$B$9, 0) + (VERI_TABANI!D26*B455*(VERI_TABANI!$B$13-VERI_TABANI!$B$14)*VERI_TABANI!G26) + (VERI_TABANI!D26*C455*(VERI_TABANI!$B$13-VERI_TABANI!$B$15)*VERI_TABANI!G26) + IF(ABS(IF(ISNUMBER(SEARCH("Var", D455)), 1, IF(ISNUMBER(SEARCH("Gri", D455)), -1, 0)))=1, VERI_TABANI!E26*(1-0.928)*0.00206091519919798*VERI_TABANI!G26, 0)) + ((MIN(VERI_TABANI!D27, VERI_TABANI!D27*B455)*VERI_TABANI!$B$7 + MAX(0, VERI_TABANI!D27*B455-VERI_TABANI!D27)*VERI_TABANI!$B$8) + (MIN(MAX(0, VERI_TABANI!D27-VERI_TABANI!D27*B455), VERI_TABANI!D27*C455)*VERI_TABANI!$B$7 + MAX(0, VERI_TABANI!D27*C455-MAX(0, VERI_TABANI!D27-VERI_TABANI!D27*B455))*VERI_TABANI!$B$8) + IF(ABS(IF(ISNUMBER(SEARCH("Var", D455)), 1, IF(ISNUMBER(SEARCH("Gri", D455)), -1, 0)))=1, VERI_TABANI!E27*(1-0.928)*VERI_TABANI!$B$9, 0) + (VERI_TABANI!D27*B455*(VERI_TABANI!$B$13-VERI_TABANI!$B$14)*VERI_TABANI!G27) + (VERI_TABANI!D27*C455*(VERI_TABANI!$B$13-VERI_TABANI!$B$15)*VERI_TABANI!G27) + IF(ABS(IF(ISNUMBER(SEARCH("Var", D455)), 1, IF(ISNUMBER(SEARCH("Gri", D455)), -1, 0)))=1, VERI_TABANI!E27*(1-0.928)*0.00206091519919798*VERI_TABANI!G27, 0)) + ((MIN(VERI_TABANI!D28, VERI_TABANI!D28*B455)*VERI_TABANI!$B$7 + MAX(0, VERI_TABANI!D28*B455-VERI_TABANI!D28)*VERI_TABANI!$B$8) + (MIN(MAX(0, VERI_TABANI!D28-VERI_TABANI!D28*B455), VERI_TABANI!D28*C455)*VERI_TABANI!$B$7 + MAX(0, VERI_TABANI!D28*C455-MAX(0, VERI_TABANI!D28-VERI_TABANI!D28*B455))*VERI_TABANI!$B$8) + IF(ABS(IF(ISNUMBER(SEARCH("Var", D455)), 1, IF(ISNUMBER(SEARCH("Gri", D455)), -1, 0)))=1, VERI_TABANI!E28*(1-0.928)*VERI_TABANI!$B$9, 0) + (VERI_TABANI!D28*B455*(VERI_TABANI!$B$13-VERI_TABANI!$B$14)*VERI_TABANI!G28) + (VERI_TABANI!D28*C455*(VERI_TABANI!$B$13-VERI_TABANI!$B$15)*VERI_TABANI!G28) + IF(ABS(IF(ISNUMBER(SEARCH("Var", D455)), 1, IF(ISNUMBER(SEARCH("Gri", D455)), -1, 0)))=1, VERI_TABANI!E28*(1-0.928)*0.00206091519919798*VERI_TABANI!G28, 0)))</f>
        <v/>
      </c>
      <c r="H455" s="169">
        <f>(((VERI_TABANI!D23*B455*(VERI_TABANI!$B$13-VERI_TABANI!$B$14)) + (VERI_TABANI!D23*C455*(VERI_TABANI!$B$13-VERI_TABANI!$B$15)) + IF(ISNUMBER(SEARCH("Var", D455)), VERI_TABANI!F23*(0.00202-VERI_TABANI!$B$16), IF(ISNUMBER(SEARCH("Gri", D455)), VERI_TABANI!F23*(0.00202-VERI_TABANI!$B$17), 0))) + ((VERI_TABANI!D24*B455*(VERI_TABANI!$B$13-VERI_TABANI!$B$14)) + (VERI_TABANI!D24*C455*(VERI_TABANI!$B$13-VERI_TABANI!$B$15)) + IF(ISNUMBER(SEARCH("Var", D455)), VERI_TABANI!F24*(0.00202-VERI_TABANI!$B$16), IF(ISNUMBER(SEARCH("Gri", D455)), VERI_TABANI!F24*(0.00202-VERI_TABANI!$B$17), 0))) + ((VERI_TABANI!D25*B455*(VERI_TABANI!$B$13-VERI_TABANI!$B$14)) + (VERI_TABANI!D25*C455*(VERI_TABANI!$B$13-VERI_TABANI!$B$15)) + IF(ISNUMBER(SEARCH("Var", D455)), VERI_TABANI!F25*(0.00202-VERI_TABANI!$B$16), IF(ISNUMBER(SEARCH("Gri", D455)), VERI_TABANI!F25*(0.00202-VERI_TABANI!$B$17), 0))) + ((VERI_TABANI!D26*B455*(VERI_TABANI!$B$13-VERI_TABANI!$B$14)) + (VERI_TABANI!D26*C455*(VERI_TABANI!$B$13-VERI_TABANI!$B$15)) + IF(ISNUMBER(SEARCH("Var", D455)), VERI_TABANI!F26*(0.00202-VERI_TABANI!$B$16), IF(ISNUMBER(SEARCH("Gri", D455)), VERI_TABANI!F26*(0.00202-VERI_TABANI!$B$17), 0))) + ((VERI_TABANI!D27*B455*(VERI_TABANI!$B$13-VERI_TABANI!$B$14)) + (VERI_TABANI!D27*C455*(VERI_TABANI!$B$13-VERI_TABANI!$B$15)) + IF(ISNUMBER(SEARCH("Var", D455)), VERI_TABANI!F27*(0.00202-VERI_TABANI!$B$16), IF(ISNUMBER(SEARCH("Gri", D455)), VERI_TABANI!F27*(0.00202-VERI_TABANI!$B$17), 0))) + ((VERI_TABANI!D28*B455*(VERI_TABANI!$B$13-VERI_TABANI!$B$14)) + (VERI_TABANI!D28*C455*(VERI_TABANI!$B$13-VERI_TABANI!$B$15)) + IF(ISNUMBER(SEARCH("Var", D455)), VERI_TABANI!F28*(0.00202-VERI_TABANI!$B$16), IF(ISNUMBER(SEARCH("Gri", D455)), VERI_TABANI!F28*(0.00202-VERI_TABANI!$B$17), 0))))</f>
        <v/>
      </c>
      <c r="I455" s="170">
        <f>IFERROR(((VERI_TABANI!$D$29*B455*VERI_TABANI!$B$14 + VERI_TABANI!$D$29*C455*VERI_TABANI!$B$15 + IF(ISNUMBER(SEARCH("Var", D455)), VERI_TABANI!$F$29*VERI_TABANI!$B$16, 0))) / (((VERI_TABANI!$D$29*B455 + VERI_TABANI!$D$29*C455)*VERI_TABANI!$B$13 + IF(ISNUMBER(SEARCH("Var", D455)), VERI_TABANI!$E$29*(1-0.928)*VERI_TABANI!$B$18, 0))), 0)</f>
        <v/>
      </c>
      <c r="J455" s="171">
        <f>IFERROR(F455/(G455/29), 0)</f>
        <v/>
      </c>
      <c r="K455" s="172">
        <f>IF(F455&gt;0, H455/F455, 0)</f>
        <v/>
      </c>
      <c r="L455" s="170">
        <f>IF(F455&gt;0, I455, 1000000000)</f>
        <v/>
      </c>
      <c r="M455" s="171">
        <f>ABS((B455+C455)-1)</f>
        <v/>
      </c>
      <c r="N455" s="170">
        <f>IF(F455&gt;0, (G455/29)/F455, 0)</f>
        <v/>
      </c>
      <c r="O455" s="168">
        <f>IF(AND((B455+C455)&gt;=1, ISNUMBER(SEARCH("Var", D455))), F455, 1000000000)</f>
        <v/>
      </c>
      <c r="P455" s="172">
        <f>IF(F455&gt;0, SQRT((F455/MAX(F$5:F$886))^2 + (1 - H455/MAX(H$5:H$886))^2 + (J455/MAX(J$5:J$886))^2), 1000000000)</f>
        <v/>
      </c>
      <c r="Q455" s="166">
        <f>IF(AND(ABS(B455-0.5)&lt;0.01, ABS(C455-0.5)&lt;0.01, ISNUMBER(SEARCH("Var", D455))), 1, 0)</f>
        <v/>
      </c>
      <c r="R455" s="171">
        <f>IF(F455&gt;0, J455, 1000000000)</f>
        <v/>
      </c>
      <c r="S455" s="101">
        <f>IF(AND(F455&lt;=DASHBOARD!$B$11, H455&gt;=DASHBOARD!$B$13), G455, -1000000000000)</f>
        <v/>
      </c>
      <c r="T455" s="101">
        <f>IF(AND(F455&lt;=DASHBOARD!$B$11, H455&gt;=DASHBOARD!$B$13), R455, 1000000000000)</f>
        <v/>
      </c>
      <c r="U455" s="101">
        <f>IF(AND(F455&lt;=DASHBOARD!$B$11, H455&gt;=DASHBOARD!$B$13), N455, -1000000000000)</f>
        <v/>
      </c>
      <c r="V455" s="101">
        <f>IF(AND(F455&lt;=DASHBOARD!$B$11, H455&gt;=DASHBOARD!$B$13), H455, -1000000000000)</f>
        <v/>
      </c>
      <c r="W455" s="101">
        <f>IF(AND(F455&lt;=DASHBOARD!$B$11, H455&gt;=DASHBOARD!$B$13), K455, -1000000000000)</f>
        <v/>
      </c>
      <c r="X455" s="101">
        <f>IF(AND(F455&lt;=DASHBOARD!$B$11, H455&gt;=DASHBOARD!$B$13), M455, 1000000000000)</f>
        <v/>
      </c>
      <c r="Y455" s="101">
        <f>IF(AND(F455&lt;=DASHBOARD!$B$10, H455&gt;=DASHBOARD!$B$11), L455, 1000000000000)</f>
        <v/>
      </c>
      <c r="Z455" s="101">
        <f>IF(AND(F455&lt;=DASHBOARD!$B$10, H455&gt;=DASHBOARD!$B$11), O455, 1000000000000)</f>
        <v/>
      </c>
      <c r="AA455" s="101">
        <f>IF(AND(F455&lt;=DASHBOARD!$B$10, H455&gt;=DASHBOARD!$B$11), P455, 1000000000000)</f>
        <v/>
      </c>
      <c r="AB455" s="101">
        <f>IF(AND(F455&lt;=DASHBOARD!$B$10, H455&gt;=DASHBOARD!$B$11), Q455, -1000000000000)</f>
        <v/>
      </c>
    </row>
    <row r="456" ht="15" customHeight="1" s="102">
      <c r="A456" s="166" t="n">
        <v>452</v>
      </c>
      <c r="B456" s="167" t="n">
        <v>1</v>
      </c>
      <c r="C456" s="167" t="n">
        <v>1.5</v>
      </c>
      <c r="D456" s="110" t="inlineStr">
        <is>
          <t>Var (%20)</t>
        </is>
      </c>
      <c r="E456" s="110">
        <f>IF((B456+C456)&lt;=1, "Tam Mahsuplaşma (≤%100)", "Kısmi Satış (&gt;%100)")</f>
        <v/>
      </c>
      <c r="F456" s="168">
        <f>((VERI_TABANI!$D$29*B456/VERI_TABANI!$B$29)/VERI_TABANI!$B$3)*VERI_TABANI!$B$5 + ((VERI_TABANI!$D$29*C456/VERI_TABANI!$B$29)/VERI_TABANI!$B$4)*VERI_TABANI!$B$6 + IF(ISNUMBER(SEARCH("Var", D456)), (VERI_TABANI!$F$29/VERI_TABANI!$B$29)*(VERI_TABANI!$B$10+VERI_TABANI!$B$12), 0)</f>
        <v/>
      </c>
      <c r="G456" s="168">
        <f>(((MIN(VERI_TABANI!D23, VERI_TABANI!D23*B456)*VERI_TABANI!$B$7 + MAX(0, VERI_TABANI!D23*B456-VERI_TABANI!D23)*VERI_TABANI!$B$8) + (MIN(MAX(0, VERI_TABANI!D23-VERI_TABANI!D23*B456), VERI_TABANI!D23*C456)*VERI_TABANI!$B$7 + MAX(0, VERI_TABANI!D23*C456-MAX(0, VERI_TABANI!D23-VERI_TABANI!D23*B456))*VERI_TABANI!$B$8) + IF(ABS(IF(ISNUMBER(SEARCH("Var", D456)), 1, IF(ISNUMBER(SEARCH("Gri", D456)), -1, 0)))=1, VERI_TABANI!E23*(1-0.928)*VERI_TABANI!$B$9, 0) + (VERI_TABANI!D23*B456*(VERI_TABANI!$B$13-VERI_TABANI!$B$14)*VERI_TABANI!G23) + (VERI_TABANI!D23*C456*(VERI_TABANI!$B$13-VERI_TABANI!$B$15)*VERI_TABANI!G23) + IF(ABS(IF(ISNUMBER(SEARCH("Var", D456)), 1, IF(ISNUMBER(SEARCH("Gri", D456)), -1, 0)))=1, VERI_TABANI!E23*(1-0.928)*0.00206091519919798*VERI_TABANI!G23, 0)) + ((MIN(VERI_TABANI!D24, VERI_TABANI!D24*B456)*VERI_TABANI!$B$7 + MAX(0, VERI_TABANI!D24*B456-VERI_TABANI!D24)*VERI_TABANI!$B$8) + (MIN(MAX(0, VERI_TABANI!D24-VERI_TABANI!D24*B456), VERI_TABANI!D24*C456)*VERI_TABANI!$B$7 + MAX(0, VERI_TABANI!D24*C456-MAX(0, VERI_TABANI!D24-VERI_TABANI!D24*B456))*VERI_TABANI!$B$8) + IF(ABS(IF(ISNUMBER(SEARCH("Var", D456)), 1, IF(ISNUMBER(SEARCH("Gri", D456)), -1, 0)))=1, VERI_TABANI!E24*(1-0.928)*VERI_TABANI!$B$9, 0) + (VERI_TABANI!D24*B456*(VERI_TABANI!$B$13-VERI_TABANI!$B$14)*VERI_TABANI!G24) + (VERI_TABANI!D24*C456*(VERI_TABANI!$B$13-VERI_TABANI!$B$15)*VERI_TABANI!G24) + IF(ABS(IF(ISNUMBER(SEARCH("Var", D456)), 1, IF(ISNUMBER(SEARCH("Gri", D456)), -1, 0)))=1, VERI_TABANI!E24*(1-0.928)*0.00206091519919798*VERI_TABANI!G24, 0)) + ((MIN(VERI_TABANI!D25, VERI_TABANI!D25*B456)*VERI_TABANI!$B$7 + MAX(0, VERI_TABANI!D25*B456-VERI_TABANI!D25)*VERI_TABANI!$B$8) + (MIN(MAX(0, VERI_TABANI!D25-VERI_TABANI!D25*B456), VERI_TABANI!D25*C456)*VERI_TABANI!$B$7 + MAX(0, VERI_TABANI!D25*C456-MAX(0, VERI_TABANI!D25-VERI_TABANI!D25*B456))*VERI_TABANI!$B$8) + IF(ABS(IF(ISNUMBER(SEARCH("Var", D456)), 1, IF(ISNUMBER(SEARCH("Gri", D456)), -1, 0)))=1, VERI_TABANI!E25*(1-0.928)*VERI_TABANI!$B$9, 0) + (VERI_TABANI!D25*B456*(VERI_TABANI!$B$13-VERI_TABANI!$B$14)*VERI_TABANI!G25) + (VERI_TABANI!D25*C456*(VERI_TABANI!$B$13-VERI_TABANI!$B$15)*VERI_TABANI!G25) + IF(ABS(IF(ISNUMBER(SEARCH("Var", D456)), 1, IF(ISNUMBER(SEARCH("Gri", D456)), -1, 0)))=1, VERI_TABANI!E25*(1-0.928)*0.00206091519919798*VERI_TABANI!G25, 0)) + ((MIN(VERI_TABANI!D26, VERI_TABANI!D26*B456)*VERI_TABANI!$B$7 + MAX(0, VERI_TABANI!D26*B456-VERI_TABANI!D26)*VERI_TABANI!$B$8) + (MIN(MAX(0, VERI_TABANI!D26-VERI_TABANI!D26*B456), VERI_TABANI!D26*C456)*VERI_TABANI!$B$7 + MAX(0, VERI_TABANI!D26*C456-MAX(0, VERI_TABANI!D26-VERI_TABANI!D26*B456))*VERI_TABANI!$B$8) + IF(ABS(IF(ISNUMBER(SEARCH("Var", D456)), 1, IF(ISNUMBER(SEARCH("Gri", D456)), -1, 0)))=1, VERI_TABANI!E26*(1-0.928)*VERI_TABANI!$B$9, 0) + (VERI_TABANI!D26*B456*(VERI_TABANI!$B$13-VERI_TABANI!$B$14)*VERI_TABANI!G26) + (VERI_TABANI!D26*C456*(VERI_TABANI!$B$13-VERI_TABANI!$B$15)*VERI_TABANI!G26) + IF(ABS(IF(ISNUMBER(SEARCH("Var", D456)), 1, IF(ISNUMBER(SEARCH("Gri", D456)), -1, 0)))=1, VERI_TABANI!E26*(1-0.928)*0.00206091519919798*VERI_TABANI!G26, 0)) + ((MIN(VERI_TABANI!D27, VERI_TABANI!D27*B456)*VERI_TABANI!$B$7 + MAX(0, VERI_TABANI!D27*B456-VERI_TABANI!D27)*VERI_TABANI!$B$8) + (MIN(MAX(0, VERI_TABANI!D27-VERI_TABANI!D27*B456), VERI_TABANI!D27*C456)*VERI_TABANI!$B$7 + MAX(0, VERI_TABANI!D27*C456-MAX(0, VERI_TABANI!D27-VERI_TABANI!D27*B456))*VERI_TABANI!$B$8) + IF(ABS(IF(ISNUMBER(SEARCH("Var", D456)), 1, IF(ISNUMBER(SEARCH("Gri", D456)), -1, 0)))=1, VERI_TABANI!E27*(1-0.928)*VERI_TABANI!$B$9, 0) + (VERI_TABANI!D27*B456*(VERI_TABANI!$B$13-VERI_TABANI!$B$14)*VERI_TABANI!G27) + (VERI_TABANI!D27*C456*(VERI_TABANI!$B$13-VERI_TABANI!$B$15)*VERI_TABANI!G27) + IF(ABS(IF(ISNUMBER(SEARCH("Var", D456)), 1, IF(ISNUMBER(SEARCH("Gri", D456)), -1, 0)))=1, VERI_TABANI!E27*(1-0.928)*0.00206091519919798*VERI_TABANI!G27, 0)) + ((MIN(VERI_TABANI!D28, VERI_TABANI!D28*B456)*VERI_TABANI!$B$7 + MAX(0, VERI_TABANI!D28*B456-VERI_TABANI!D28)*VERI_TABANI!$B$8) + (MIN(MAX(0, VERI_TABANI!D28-VERI_TABANI!D28*B456), VERI_TABANI!D28*C456)*VERI_TABANI!$B$7 + MAX(0, VERI_TABANI!D28*C456-MAX(0, VERI_TABANI!D28-VERI_TABANI!D28*B456))*VERI_TABANI!$B$8) + IF(ABS(IF(ISNUMBER(SEARCH("Var", D456)), 1, IF(ISNUMBER(SEARCH("Gri", D456)), -1, 0)))=1, VERI_TABANI!E28*(1-0.928)*VERI_TABANI!$B$9, 0) + (VERI_TABANI!D28*B456*(VERI_TABANI!$B$13-VERI_TABANI!$B$14)*VERI_TABANI!G28) + (VERI_TABANI!D28*C456*(VERI_TABANI!$B$13-VERI_TABANI!$B$15)*VERI_TABANI!G28) + IF(ABS(IF(ISNUMBER(SEARCH("Var", D456)), 1, IF(ISNUMBER(SEARCH("Gri", D456)), -1, 0)))=1, VERI_TABANI!E28*(1-0.928)*0.00206091519919798*VERI_TABANI!G28, 0)))</f>
        <v/>
      </c>
      <c r="H456" s="169">
        <f>(((VERI_TABANI!D23*B456*(VERI_TABANI!$B$13-VERI_TABANI!$B$14)) + (VERI_TABANI!D23*C456*(VERI_TABANI!$B$13-VERI_TABANI!$B$15)) + IF(ISNUMBER(SEARCH("Var", D456)), VERI_TABANI!F23*(0.00202-VERI_TABANI!$B$16), IF(ISNUMBER(SEARCH("Gri", D456)), VERI_TABANI!F23*(0.00202-VERI_TABANI!$B$17), 0))) + ((VERI_TABANI!D24*B456*(VERI_TABANI!$B$13-VERI_TABANI!$B$14)) + (VERI_TABANI!D24*C456*(VERI_TABANI!$B$13-VERI_TABANI!$B$15)) + IF(ISNUMBER(SEARCH("Var", D456)), VERI_TABANI!F24*(0.00202-VERI_TABANI!$B$16), IF(ISNUMBER(SEARCH("Gri", D456)), VERI_TABANI!F24*(0.00202-VERI_TABANI!$B$17), 0))) + ((VERI_TABANI!D25*B456*(VERI_TABANI!$B$13-VERI_TABANI!$B$14)) + (VERI_TABANI!D25*C456*(VERI_TABANI!$B$13-VERI_TABANI!$B$15)) + IF(ISNUMBER(SEARCH("Var", D456)), VERI_TABANI!F25*(0.00202-VERI_TABANI!$B$16), IF(ISNUMBER(SEARCH("Gri", D456)), VERI_TABANI!F25*(0.00202-VERI_TABANI!$B$17), 0))) + ((VERI_TABANI!D26*B456*(VERI_TABANI!$B$13-VERI_TABANI!$B$14)) + (VERI_TABANI!D26*C456*(VERI_TABANI!$B$13-VERI_TABANI!$B$15)) + IF(ISNUMBER(SEARCH("Var", D456)), VERI_TABANI!F26*(0.00202-VERI_TABANI!$B$16), IF(ISNUMBER(SEARCH("Gri", D456)), VERI_TABANI!F26*(0.00202-VERI_TABANI!$B$17), 0))) + ((VERI_TABANI!D27*B456*(VERI_TABANI!$B$13-VERI_TABANI!$B$14)) + (VERI_TABANI!D27*C456*(VERI_TABANI!$B$13-VERI_TABANI!$B$15)) + IF(ISNUMBER(SEARCH("Var", D456)), VERI_TABANI!F27*(0.00202-VERI_TABANI!$B$16), IF(ISNUMBER(SEARCH("Gri", D456)), VERI_TABANI!F27*(0.00202-VERI_TABANI!$B$17), 0))) + ((VERI_TABANI!D28*B456*(VERI_TABANI!$B$13-VERI_TABANI!$B$14)) + (VERI_TABANI!D28*C456*(VERI_TABANI!$B$13-VERI_TABANI!$B$15)) + IF(ISNUMBER(SEARCH("Var", D456)), VERI_TABANI!F28*(0.00202-VERI_TABANI!$B$16), IF(ISNUMBER(SEARCH("Gri", D456)), VERI_TABANI!F28*(0.00202-VERI_TABANI!$B$17), 0))))</f>
        <v/>
      </c>
      <c r="I456" s="170">
        <f>IFERROR(((VERI_TABANI!$D$29*B456*VERI_TABANI!$B$14 + VERI_TABANI!$D$29*C456*VERI_TABANI!$B$15 + IF(ISNUMBER(SEARCH("Var", D456)), VERI_TABANI!$F$29*VERI_TABANI!$B$16, 0))) / (((VERI_TABANI!$D$29*B456 + VERI_TABANI!$D$29*C456)*VERI_TABANI!$B$13 + IF(ISNUMBER(SEARCH("Var", D456)), VERI_TABANI!$E$29*(1-0.928)*VERI_TABANI!$B$18, 0))), 0)</f>
        <v/>
      </c>
      <c r="J456" s="171">
        <f>IFERROR(F456/(G456/29), 0)</f>
        <v/>
      </c>
      <c r="K456" s="172">
        <f>IF(F456&gt;0, H456/F456, 0)</f>
        <v/>
      </c>
      <c r="L456" s="170">
        <f>IF(F456&gt;0, I456, 1000000000)</f>
        <v/>
      </c>
      <c r="M456" s="171">
        <f>ABS((B456+C456)-1)</f>
        <v/>
      </c>
      <c r="N456" s="170">
        <f>IF(F456&gt;0, (G456/29)/F456, 0)</f>
        <v/>
      </c>
      <c r="O456" s="168">
        <f>IF(AND((B456+C456)&gt;=1, ISNUMBER(SEARCH("Var", D456))), F456, 1000000000)</f>
        <v/>
      </c>
      <c r="P456" s="172">
        <f>IF(F456&gt;0, SQRT((F456/MAX(F$5:F$886))^2 + (1 - H456/MAX(H$5:H$886))^2 + (J456/MAX(J$5:J$886))^2), 1000000000)</f>
        <v/>
      </c>
      <c r="Q456" s="166">
        <f>IF(AND(ABS(B456-0.5)&lt;0.01, ABS(C456-0.5)&lt;0.01, ISNUMBER(SEARCH("Var", D456))), 1, 0)</f>
        <v/>
      </c>
      <c r="R456" s="171">
        <f>IF(F456&gt;0, J456, 1000000000)</f>
        <v/>
      </c>
      <c r="S456" s="101">
        <f>IF(AND(F456&lt;=DASHBOARD!$B$11, H456&gt;=DASHBOARD!$B$13), G456, -1000000000000)</f>
        <v/>
      </c>
      <c r="T456" s="101">
        <f>IF(AND(F456&lt;=DASHBOARD!$B$11, H456&gt;=DASHBOARD!$B$13), R456, 1000000000000)</f>
        <v/>
      </c>
      <c r="U456" s="101">
        <f>IF(AND(F456&lt;=DASHBOARD!$B$11, H456&gt;=DASHBOARD!$B$13), N456, -1000000000000)</f>
        <v/>
      </c>
      <c r="V456" s="101">
        <f>IF(AND(F456&lt;=DASHBOARD!$B$11, H456&gt;=DASHBOARD!$B$13), H456, -1000000000000)</f>
        <v/>
      </c>
      <c r="W456" s="101">
        <f>IF(AND(F456&lt;=DASHBOARD!$B$11, H456&gt;=DASHBOARD!$B$13), K456, -1000000000000)</f>
        <v/>
      </c>
      <c r="X456" s="101">
        <f>IF(AND(F456&lt;=DASHBOARD!$B$11, H456&gt;=DASHBOARD!$B$13), M456, 1000000000000)</f>
        <v/>
      </c>
      <c r="Y456" s="101">
        <f>IF(AND(F456&lt;=DASHBOARD!$B$10, H456&gt;=DASHBOARD!$B$11), L456, 1000000000000)</f>
        <v/>
      </c>
      <c r="Z456" s="101">
        <f>IF(AND(F456&lt;=DASHBOARD!$B$10, H456&gt;=DASHBOARD!$B$11), O456, 1000000000000)</f>
        <v/>
      </c>
      <c r="AA456" s="101">
        <f>IF(AND(F456&lt;=DASHBOARD!$B$10, H456&gt;=DASHBOARD!$B$11), P456, 1000000000000)</f>
        <v/>
      </c>
      <c r="AB456" s="101">
        <f>IF(AND(F456&lt;=DASHBOARD!$B$10, H456&gt;=DASHBOARD!$B$11), Q456, -1000000000000)</f>
        <v/>
      </c>
    </row>
    <row r="457" ht="15" customHeight="1" s="102">
      <c r="A457" s="166" t="n">
        <v>453</v>
      </c>
      <c r="B457" s="167" t="n">
        <v>1</v>
      </c>
      <c r="C457" s="167" t="n">
        <v>1.6</v>
      </c>
      <c r="D457" s="110" t="inlineStr">
        <is>
          <t>Yok (%0)</t>
        </is>
      </c>
      <c r="E457" s="110">
        <f>IF((B457+C457)&lt;=1, "Tam Mahsuplaşma (≤%100)", "Kısmi Satış (&gt;%100)")</f>
        <v/>
      </c>
      <c r="F457" s="168">
        <f>((VERI_TABANI!$D$29*B457/VERI_TABANI!$B$29)/VERI_TABANI!$B$3)*VERI_TABANI!$B$5 + ((VERI_TABANI!$D$29*C457/VERI_TABANI!$B$29)/VERI_TABANI!$B$4)*VERI_TABANI!$B$6 + IF(ISNUMBER(SEARCH("Var", D457)), (VERI_TABANI!$F$29/VERI_TABANI!$B$29)*(VERI_TABANI!$B$10+VERI_TABANI!$B$12), 0)</f>
        <v/>
      </c>
      <c r="G457" s="168">
        <f>(((MIN(VERI_TABANI!D23, VERI_TABANI!D23*B457)*VERI_TABANI!$B$7 + MAX(0, VERI_TABANI!D23*B457-VERI_TABANI!D23)*VERI_TABANI!$B$8) + (MIN(MAX(0, VERI_TABANI!D23-VERI_TABANI!D23*B457), VERI_TABANI!D23*C457)*VERI_TABANI!$B$7 + MAX(0, VERI_TABANI!D23*C457-MAX(0, VERI_TABANI!D23-VERI_TABANI!D23*B457))*VERI_TABANI!$B$8) + IF(ABS(IF(ISNUMBER(SEARCH("Var", D457)), 1, IF(ISNUMBER(SEARCH("Gri", D457)), -1, 0)))=1, VERI_TABANI!E23*(1-0.928)*VERI_TABANI!$B$9, 0) + (VERI_TABANI!D23*B457*(VERI_TABANI!$B$13-VERI_TABANI!$B$14)*VERI_TABANI!G23) + (VERI_TABANI!D23*C457*(VERI_TABANI!$B$13-VERI_TABANI!$B$15)*VERI_TABANI!G23) + IF(ABS(IF(ISNUMBER(SEARCH("Var", D457)), 1, IF(ISNUMBER(SEARCH("Gri", D457)), -1, 0)))=1, VERI_TABANI!E23*(1-0.928)*0.00206091519919798*VERI_TABANI!G23, 0)) + ((MIN(VERI_TABANI!D24, VERI_TABANI!D24*B457)*VERI_TABANI!$B$7 + MAX(0, VERI_TABANI!D24*B457-VERI_TABANI!D24)*VERI_TABANI!$B$8) + (MIN(MAX(0, VERI_TABANI!D24-VERI_TABANI!D24*B457), VERI_TABANI!D24*C457)*VERI_TABANI!$B$7 + MAX(0, VERI_TABANI!D24*C457-MAX(0, VERI_TABANI!D24-VERI_TABANI!D24*B457))*VERI_TABANI!$B$8) + IF(ABS(IF(ISNUMBER(SEARCH("Var", D457)), 1, IF(ISNUMBER(SEARCH("Gri", D457)), -1, 0)))=1, VERI_TABANI!E24*(1-0.928)*VERI_TABANI!$B$9, 0) + (VERI_TABANI!D24*B457*(VERI_TABANI!$B$13-VERI_TABANI!$B$14)*VERI_TABANI!G24) + (VERI_TABANI!D24*C457*(VERI_TABANI!$B$13-VERI_TABANI!$B$15)*VERI_TABANI!G24) + IF(ABS(IF(ISNUMBER(SEARCH("Var", D457)), 1, IF(ISNUMBER(SEARCH("Gri", D457)), -1, 0)))=1, VERI_TABANI!E24*(1-0.928)*0.00206091519919798*VERI_TABANI!G24, 0)) + ((MIN(VERI_TABANI!D25, VERI_TABANI!D25*B457)*VERI_TABANI!$B$7 + MAX(0, VERI_TABANI!D25*B457-VERI_TABANI!D25)*VERI_TABANI!$B$8) + (MIN(MAX(0, VERI_TABANI!D25-VERI_TABANI!D25*B457), VERI_TABANI!D25*C457)*VERI_TABANI!$B$7 + MAX(0, VERI_TABANI!D25*C457-MAX(0, VERI_TABANI!D25-VERI_TABANI!D25*B457))*VERI_TABANI!$B$8) + IF(ABS(IF(ISNUMBER(SEARCH("Var", D457)), 1, IF(ISNUMBER(SEARCH("Gri", D457)), -1, 0)))=1, VERI_TABANI!E25*(1-0.928)*VERI_TABANI!$B$9, 0) + (VERI_TABANI!D25*B457*(VERI_TABANI!$B$13-VERI_TABANI!$B$14)*VERI_TABANI!G25) + (VERI_TABANI!D25*C457*(VERI_TABANI!$B$13-VERI_TABANI!$B$15)*VERI_TABANI!G25) + IF(ABS(IF(ISNUMBER(SEARCH("Var", D457)), 1, IF(ISNUMBER(SEARCH("Gri", D457)), -1, 0)))=1, VERI_TABANI!E25*(1-0.928)*0.00206091519919798*VERI_TABANI!G25, 0)) + ((MIN(VERI_TABANI!D26, VERI_TABANI!D26*B457)*VERI_TABANI!$B$7 + MAX(0, VERI_TABANI!D26*B457-VERI_TABANI!D26)*VERI_TABANI!$B$8) + (MIN(MAX(0, VERI_TABANI!D26-VERI_TABANI!D26*B457), VERI_TABANI!D26*C457)*VERI_TABANI!$B$7 + MAX(0, VERI_TABANI!D26*C457-MAX(0, VERI_TABANI!D26-VERI_TABANI!D26*B457))*VERI_TABANI!$B$8) + IF(ABS(IF(ISNUMBER(SEARCH("Var", D457)), 1, IF(ISNUMBER(SEARCH("Gri", D457)), -1, 0)))=1, VERI_TABANI!E26*(1-0.928)*VERI_TABANI!$B$9, 0) + (VERI_TABANI!D26*B457*(VERI_TABANI!$B$13-VERI_TABANI!$B$14)*VERI_TABANI!G26) + (VERI_TABANI!D26*C457*(VERI_TABANI!$B$13-VERI_TABANI!$B$15)*VERI_TABANI!G26) + IF(ABS(IF(ISNUMBER(SEARCH("Var", D457)), 1, IF(ISNUMBER(SEARCH("Gri", D457)), -1, 0)))=1, VERI_TABANI!E26*(1-0.928)*0.00206091519919798*VERI_TABANI!G26, 0)) + ((MIN(VERI_TABANI!D27, VERI_TABANI!D27*B457)*VERI_TABANI!$B$7 + MAX(0, VERI_TABANI!D27*B457-VERI_TABANI!D27)*VERI_TABANI!$B$8) + (MIN(MAX(0, VERI_TABANI!D27-VERI_TABANI!D27*B457), VERI_TABANI!D27*C457)*VERI_TABANI!$B$7 + MAX(0, VERI_TABANI!D27*C457-MAX(0, VERI_TABANI!D27-VERI_TABANI!D27*B457))*VERI_TABANI!$B$8) + IF(ABS(IF(ISNUMBER(SEARCH("Var", D457)), 1, IF(ISNUMBER(SEARCH("Gri", D457)), -1, 0)))=1, VERI_TABANI!E27*(1-0.928)*VERI_TABANI!$B$9, 0) + (VERI_TABANI!D27*B457*(VERI_TABANI!$B$13-VERI_TABANI!$B$14)*VERI_TABANI!G27) + (VERI_TABANI!D27*C457*(VERI_TABANI!$B$13-VERI_TABANI!$B$15)*VERI_TABANI!G27) + IF(ABS(IF(ISNUMBER(SEARCH("Var", D457)), 1, IF(ISNUMBER(SEARCH("Gri", D457)), -1, 0)))=1, VERI_TABANI!E27*(1-0.928)*0.00206091519919798*VERI_TABANI!G27, 0)) + ((MIN(VERI_TABANI!D28, VERI_TABANI!D28*B457)*VERI_TABANI!$B$7 + MAX(0, VERI_TABANI!D28*B457-VERI_TABANI!D28)*VERI_TABANI!$B$8) + (MIN(MAX(0, VERI_TABANI!D28-VERI_TABANI!D28*B457), VERI_TABANI!D28*C457)*VERI_TABANI!$B$7 + MAX(0, VERI_TABANI!D28*C457-MAX(0, VERI_TABANI!D28-VERI_TABANI!D28*B457))*VERI_TABANI!$B$8) + IF(ABS(IF(ISNUMBER(SEARCH("Var", D457)), 1, IF(ISNUMBER(SEARCH("Gri", D457)), -1, 0)))=1, VERI_TABANI!E28*(1-0.928)*VERI_TABANI!$B$9, 0) + (VERI_TABANI!D28*B457*(VERI_TABANI!$B$13-VERI_TABANI!$B$14)*VERI_TABANI!G28) + (VERI_TABANI!D28*C457*(VERI_TABANI!$B$13-VERI_TABANI!$B$15)*VERI_TABANI!G28) + IF(ABS(IF(ISNUMBER(SEARCH("Var", D457)), 1, IF(ISNUMBER(SEARCH("Gri", D457)), -1, 0)))=1, VERI_TABANI!E28*(1-0.928)*0.00206091519919798*VERI_TABANI!G28, 0)))</f>
        <v/>
      </c>
      <c r="H457" s="169">
        <f>(((VERI_TABANI!D23*B457*(VERI_TABANI!$B$13-VERI_TABANI!$B$14)) + (VERI_TABANI!D23*C457*(VERI_TABANI!$B$13-VERI_TABANI!$B$15)) + IF(ISNUMBER(SEARCH("Var", D457)), VERI_TABANI!F23*(0.00202-VERI_TABANI!$B$16), IF(ISNUMBER(SEARCH("Gri", D457)), VERI_TABANI!F23*(0.00202-VERI_TABANI!$B$17), 0))) + ((VERI_TABANI!D24*B457*(VERI_TABANI!$B$13-VERI_TABANI!$B$14)) + (VERI_TABANI!D24*C457*(VERI_TABANI!$B$13-VERI_TABANI!$B$15)) + IF(ISNUMBER(SEARCH("Var", D457)), VERI_TABANI!F24*(0.00202-VERI_TABANI!$B$16), IF(ISNUMBER(SEARCH("Gri", D457)), VERI_TABANI!F24*(0.00202-VERI_TABANI!$B$17), 0))) + ((VERI_TABANI!D25*B457*(VERI_TABANI!$B$13-VERI_TABANI!$B$14)) + (VERI_TABANI!D25*C457*(VERI_TABANI!$B$13-VERI_TABANI!$B$15)) + IF(ISNUMBER(SEARCH("Var", D457)), VERI_TABANI!F25*(0.00202-VERI_TABANI!$B$16), IF(ISNUMBER(SEARCH("Gri", D457)), VERI_TABANI!F25*(0.00202-VERI_TABANI!$B$17), 0))) + ((VERI_TABANI!D26*B457*(VERI_TABANI!$B$13-VERI_TABANI!$B$14)) + (VERI_TABANI!D26*C457*(VERI_TABANI!$B$13-VERI_TABANI!$B$15)) + IF(ISNUMBER(SEARCH("Var", D457)), VERI_TABANI!F26*(0.00202-VERI_TABANI!$B$16), IF(ISNUMBER(SEARCH("Gri", D457)), VERI_TABANI!F26*(0.00202-VERI_TABANI!$B$17), 0))) + ((VERI_TABANI!D27*B457*(VERI_TABANI!$B$13-VERI_TABANI!$B$14)) + (VERI_TABANI!D27*C457*(VERI_TABANI!$B$13-VERI_TABANI!$B$15)) + IF(ISNUMBER(SEARCH("Var", D457)), VERI_TABANI!F27*(0.00202-VERI_TABANI!$B$16), IF(ISNUMBER(SEARCH("Gri", D457)), VERI_TABANI!F27*(0.00202-VERI_TABANI!$B$17), 0))) + ((VERI_TABANI!D28*B457*(VERI_TABANI!$B$13-VERI_TABANI!$B$14)) + (VERI_TABANI!D28*C457*(VERI_TABANI!$B$13-VERI_TABANI!$B$15)) + IF(ISNUMBER(SEARCH("Var", D457)), VERI_TABANI!F28*(0.00202-VERI_TABANI!$B$16), IF(ISNUMBER(SEARCH("Gri", D457)), VERI_TABANI!F28*(0.00202-VERI_TABANI!$B$17), 0))))</f>
        <v/>
      </c>
      <c r="I457" s="170">
        <f>IFERROR(((VERI_TABANI!$D$29*B457*VERI_TABANI!$B$14 + VERI_TABANI!$D$29*C457*VERI_TABANI!$B$15 + IF(ISNUMBER(SEARCH("Var", D457)), VERI_TABANI!$F$29*VERI_TABANI!$B$16, 0))) / (((VERI_TABANI!$D$29*B457 + VERI_TABANI!$D$29*C457)*VERI_TABANI!$B$13 + IF(ISNUMBER(SEARCH("Var", D457)), VERI_TABANI!$E$29*(1-0.928)*VERI_TABANI!$B$18, 0))), 0)</f>
        <v/>
      </c>
      <c r="J457" s="171">
        <f>IFERROR(F457/(G457/29), 0)</f>
        <v/>
      </c>
      <c r="K457" s="172">
        <f>IF(F457&gt;0, H457/F457, 0)</f>
        <v/>
      </c>
      <c r="L457" s="170">
        <f>IF(F457&gt;0, I457, 1000000000)</f>
        <v/>
      </c>
      <c r="M457" s="171">
        <f>ABS((B457+C457)-1)</f>
        <v/>
      </c>
      <c r="N457" s="170">
        <f>IF(F457&gt;0, (G457/29)/F457, 0)</f>
        <v/>
      </c>
      <c r="O457" s="168">
        <f>IF(AND((B457+C457)&gt;=1, ISNUMBER(SEARCH("Var", D457))), F457, 1000000000)</f>
        <v/>
      </c>
      <c r="P457" s="172">
        <f>IF(F457&gt;0, SQRT((F457/MAX(F$5:F$886))^2 + (1 - H457/MAX(H$5:H$886))^2 + (J457/MAX(J$5:J$886))^2), 1000000000)</f>
        <v/>
      </c>
      <c r="Q457" s="166">
        <f>IF(AND(ABS(B457-0.5)&lt;0.01, ABS(C457-0.5)&lt;0.01, ISNUMBER(SEARCH("Var", D457))), 1, 0)</f>
        <v/>
      </c>
      <c r="R457" s="171">
        <f>IF(F457&gt;0, J457, 1000000000)</f>
        <v/>
      </c>
      <c r="S457" s="101">
        <f>IF(AND(F457&lt;=DASHBOARD!$B$11, H457&gt;=DASHBOARD!$B$13), G457, -1000000000000)</f>
        <v/>
      </c>
      <c r="T457" s="101">
        <f>IF(AND(F457&lt;=DASHBOARD!$B$11, H457&gt;=DASHBOARD!$B$13), R457, 1000000000000)</f>
        <v/>
      </c>
      <c r="U457" s="101">
        <f>IF(AND(F457&lt;=DASHBOARD!$B$11, H457&gt;=DASHBOARD!$B$13), N457, -1000000000000)</f>
        <v/>
      </c>
      <c r="V457" s="101">
        <f>IF(AND(F457&lt;=DASHBOARD!$B$11, H457&gt;=DASHBOARD!$B$13), H457, -1000000000000)</f>
        <v/>
      </c>
      <c r="W457" s="101">
        <f>IF(AND(F457&lt;=DASHBOARD!$B$11, H457&gt;=DASHBOARD!$B$13), K457, -1000000000000)</f>
        <v/>
      </c>
      <c r="X457" s="101">
        <f>IF(AND(F457&lt;=DASHBOARD!$B$11, H457&gt;=DASHBOARD!$B$13), M457, 1000000000000)</f>
        <v/>
      </c>
      <c r="Y457" s="101">
        <f>IF(AND(F457&lt;=DASHBOARD!$B$10, H457&gt;=DASHBOARD!$B$11), L457, 1000000000000)</f>
        <v/>
      </c>
      <c r="Z457" s="101">
        <f>IF(AND(F457&lt;=DASHBOARD!$B$10, H457&gt;=DASHBOARD!$B$11), O457, 1000000000000)</f>
        <v/>
      </c>
      <c r="AA457" s="101">
        <f>IF(AND(F457&lt;=DASHBOARD!$B$10, H457&gt;=DASHBOARD!$B$11), P457, 1000000000000)</f>
        <v/>
      </c>
      <c r="AB457" s="101">
        <f>IF(AND(F457&lt;=DASHBOARD!$B$10, H457&gt;=DASHBOARD!$B$11), Q457, -1000000000000)</f>
        <v/>
      </c>
    </row>
    <row r="458" ht="15" customHeight="1" s="102">
      <c r="A458" s="166" t="n">
        <v>454</v>
      </c>
      <c r="B458" s="167" t="n">
        <v>1</v>
      </c>
      <c r="C458" s="167" t="n">
        <v>1.6</v>
      </c>
      <c r="D458" s="110" t="inlineStr">
        <is>
          <t>Var (%20)</t>
        </is>
      </c>
      <c r="E458" s="110">
        <f>IF((B458+C458)&lt;=1, "Tam Mahsuplaşma (≤%100)", "Kısmi Satış (&gt;%100)")</f>
        <v/>
      </c>
      <c r="F458" s="168">
        <f>((VERI_TABANI!$D$29*B458/VERI_TABANI!$B$29)/VERI_TABANI!$B$3)*VERI_TABANI!$B$5 + ((VERI_TABANI!$D$29*C458/VERI_TABANI!$B$29)/VERI_TABANI!$B$4)*VERI_TABANI!$B$6 + IF(ISNUMBER(SEARCH("Var", D458)), (VERI_TABANI!$F$29/VERI_TABANI!$B$29)*(VERI_TABANI!$B$10+VERI_TABANI!$B$12), 0)</f>
        <v/>
      </c>
      <c r="G458" s="168">
        <f>(((MIN(VERI_TABANI!D23, VERI_TABANI!D23*B458)*VERI_TABANI!$B$7 + MAX(0, VERI_TABANI!D23*B458-VERI_TABANI!D23)*VERI_TABANI!$B$8) + (MIN(MAX(0, VERI_TABANI!D23-VERI_TABANI!D23*B458), VERI_TABANI!D23*C458)*VERI_TABANI!$B$7 + MAX(0, VERI_TABANI!D23*C458-MAX(0, VERI_TABANI!D23-VERI_TABANI!D23*B458))*VERI_TABANI!$B$8) + IF(ABS(IF(ISNUMBER(SEARCH("Var", D458)), 1, IF(ISNUMBER(SEARCH("Gri", D458)), -1, 0)))=1, VERI_TABANI!E23*(1-0.928)*VERI_TABANI!$B$9, 0) + (VERI_TABANI!D23*B458*(VERI_TABANI!$B$13-VERI_TABANI!$B$14)*VERI_TABANI!G23) + (VERI_TABANI!D23*C458*(VERI_TABANI!$B$13-VERI_TABANI!$B$15)*VERI_TABANI!G23) + IF(ABS(IF(ISNUMBER(SEARCH("Var", D458)), 1, IF(ISNUMBER(SEARCH("Gri", D458)), -1, 0)))=1, VERI_TABANI!E23*(1-0.928)*0.00206091519919798*VERI_TABANI!G23, 0)) + ((MIN(VERI_TABANI!D24, VERI_TABANI!D24*B458)*VERI_TABANI!$B$7 + MAX(0, VERI_TABANI!D24*B458-VERI_TABANI!D24)*VERI_TABANI!$B$8) + (MIN(MAX(0, VERI_TABANI!D24-VERI_TABANI!D24*B458), VERI_TABANI!D24*C458)*VERI_TABANI!$B$7 + MAX(0, VERI_TABANI!D24*C458-MAX(0, VERI_TABANI!D24-VERI_TABANI!D24*B458))*VERI_TABANI!$B$8) + IF(ABS(IF(ISNUMBER(SEARCH("Var", D458)), 1, IF(ISNUMBER(SEARCH("Gri", D458)), -1, 0)))=1, VERI_TABANI!E24*(1-0.928)*VERI_TABANI!$B$9, 0) + (VERI_TABANI!D24*B458*(VERI_TABANI!$B$13-VERI_TABANI!$B$14)*VERI_TABANI!G24) + (VERI_TABANI!D24*C458*(VERI_TABANI!$B$13-VERI_TABANI!$B$15)*VERI_TABANI!G24) + IF(ABS(IF(ISNUMBER(SEARCH("Var", D458)), 1, IF(ISNUMBER(SEARCH("Gri", D458)), -1, 0)))=1, VERI_TABANI!E24*(1-0.928)*0.00206091519919798*VERI_TABANI!G24, 0)) + ((MIN(VERI_TABANI!D25, VERI_TABANI!D25*B458)*VERI_TABANI!$B$7 + MAX(0, VERI_TABANI!D25*B458-VERI_TABANI!D25)*VERI_TABANI!$B$8) + (MIN(MAX(0, VERI_TABANI!D25-VERI_TABANI!D25*B458), VERI_TABANI!D25*C458)*VERI_TABANI!$B$7 + MAX(0, VERI_TABANI!D25*C458-MAX(0, VERI_TABANI!D25-VERI_TABANI!D25*B458))*VERI_TABANI!$B$8) + IF(ABS(IF(ISNUMBER(SEARCH("Var", D458)), 1, IF(ISNUMBER(SEARCH("Gri", D458)), -1, 0)))=1, VERI_TABANI!E25*(1-0.928)*VERI_TABANI!$B$9, 0) + (VERI_TABANI!D25*B458*(VERI_TABANI!$B$13-VERI_TABANI!$B$14)*VERI_TABANI!G25) + (VERI_TABANI!D25*C458*(VERI_TABANI!$B$13-VERI_TABANI!$B$15)*VERI_TABANI!G25) + IF(ABS(IF(ISNUMBER(SEARCH("Var", D458)), 1, IF(ISNUMBER(SEARCH("Gri", D458)), -1, 0)))=1, VERI_TABANI!E25*(1-0.928)*0.00206091519919798*VERI_TABANI!G25, 0)) + ((MIN(VERI_TABANI!D26, VERI_TABANI!D26*B458)*VERI_TABANI!$B$7 + MAX(0, VERI_TABANI!D26*B458-VERI_TABANI!D26)*VERI_TABANI!$B$8) + (MIN(MAX(0, VERI_TABANI!D26-VERI_TABANI!D26*B458), VERI_TABANI!D26*C458)*VERI_TABANI!$B$7 + MAX(0, VERI_TABANI!D26*C458-MAX(0, VERI_TABANI!D26-VERI_TABANI!D26*B458))*VERI_TABANI!$B$8) + IF(ABS(IF(ISNUMBER(SEARCH("Var", D458)), 1, IF(ISNUMBER(SEARCH("Gri", D458)), -1, 0)))=1, VERI_TABANI!E26*(1-0.928)*VERI_TABANI!$B$9, 0) + (VERI_TABANI!D26*B458*(VERI_TABANI!$B$13-VERI_TABANI!$B$14)*VERI_TABANI!G26) + (VERI_TABANI!D26*C458*(VERI_TABANI!$B$13-VERI_TABANI!$B$15)*VERI_TABANI!G26) + IF(ABS(IF(ISNUMBER(SEARCH("Var", D458)), 1, IF(ISNUMBER(SEARCH("Gri", D458)), -1, 0)))=1, VERI_TABANI!E26*(1-0.928)*0.00206091519919798*VERI_TABANI!G26, 0)) + ((MIN(VERI_TABANI!D27, VERI_TABANI!D27*B458)*VERI_TABANI!$B$7 + MAX(0, VERI_TABANI!D27*B458-VERI_TABANI!D27)*VERI_TABANI!$B$8) + (MIN(MAX(0, VERI_TABANI!D27-VERI_TABANI!D27*B458), VERI_TABANI!D27*C458)*VERI_TABANI!$B$7 + MAX(0, VERI_TABANI!D27*C458-MAX(0, VERI_TABANI!D27-VERI_TABANI!D27*B458))*VERI_TABANI!$B$8) + IF(ABS(IF(ISNUMBER(SEARCH("Var", D458)), 1, IF(ISNUMBER(SEARCH("Gri", D458)), -1, 0)))=1, VERI_TABANI!E27*(1-0.928)*VERI_TABANI!$B$9, 0) + (VERI_TABANI!D27*B458*(VERI_TABANI!$B$13-VERI_TABANI!$B$14)*VERI_TABANI!G27) + (VERI_TABANI!D27*C458*(VERI_TABANI!$B$13-VERI_TABANI!$B$15)*VERI_TABANI!G27) + IF(ABS(IF(ISNUMBER(SEARCH("Var", D458)), 1, IF(ISNUMBER(SEARCH("Gri", D458)), -1, 0)))=1, VERI_TABANI!E27*(1-0.928)*0.00206091519919798*VERI_TABANI!G27, 0)) + ((MIN(VERI_TABANI!D28, VERI_TABANI!D28*B458)*VERI_TABANI!$B$7 + MAX(0, VERI_TABANI!D28*B458-VERI_TABANI!D28)*VERI_TABANI!$B$8) + (MIN(MAX(0, VERI_TABANI!D28-VERI_TABANI!D28*B458), VERI_TABANI!D28*C458)*VERI_TABANI!$B$7 + MAX(0, VERI_TABANI!D28*C458-MAX(0, VERI_TABANI!D28-VERI_TABANI!D28*B458))*VERI_TABANI!$B$8) + IF(ABS(IF(ISNUMBER(SEARCH("Var", D458)), 1, IF(ISNUMBER(SEARCH("Gri", D458)), -1, 0)))=1, VERI_TABANI!E28*(1-0.928)*VERI_TABANI!$B$9, 0) + (VERI_TABANI!D28*B458*(VERI_TABANI!$B$13-VERI_TABANI!$B$14)*VERI_TABANI!G28) + (VERI_TABANI!D28*C458*(VERI_TABANI!$B$13-VERI_TABANI!$B$15)*VERI_TABANI!G28) + IF(ABS(IF(ISNUMBER(SEARCH("Var", D458)), 1, IF(ISNUMBER(SEARCH("Gri", D458)), -1, 0)))=1, VERI_TABANI!E28*(1-0.928)*0.00206091519919798*VERI_TABANI!G28, 0)))</f>
        <v/>
      </c>
      <c r="H458" s="169">
        <f>(((VERI_TABANI!D23*B458*(VERI_TABANI!$B$13-VERI_TABANI!$B$14)) + (VERI_TABANI!D23*C458*(VERI_TABANI!$B$13-VERI_TABANI!$B$15)) + IF(ISNUMBER(SEARCH("Var", D458)), VERI_TABANI!F23*(0.00202-VERI_TABANI!$B$16), IF(ISNUMBER(SEARCH("Gri", D458)), VERI_TABANI!F23*(0.00202-VERI_TABANI!$B$17), 0))) + ((VERI_TABANI!D24*B458*(VERI_TABANI!$B$13-VERI_TABANI!$B$14)) + (VERI_TABANI!D24*C458*(VERI_TABANI!$B$13-VERI_TABANI!$B$15)) + IF(ISNUMBER(SEARCH("Var", D458)), VERI_TABANI!F24*(0.00202-VERI_TABANI!$B$16), IF(ISNUMBER(SEARCH("Gri", D458)), VERI_TABANI!F24*(0.00202-VERI_TABANI!$B$17), 0))) + ((VERI_TABANI!D25*B458*(VERI_TABANI!$B$13-VERI_TABANI!$B$14)) + (VERI_TABANI!D25*C458*(VERI_TABANI!$B$13-VERI_TABANI!$B$15)) + IF(ISNUMBER(SEARCH("Var", D458)), VERI_TABANI!F25*(0.00202-VERI_TABANI!$B$16), IF(ISNUMBER(SEARCH("Gri", D458)), VERI_TABANI!F25*(0.00202-VERI_TABANI!$B$17), 0))) + ((VERI_TABANI!D26*B458*(VERI_TABANI!$B$13-VERI_TABANI!$B$14)) + (VERI_TABANI!D26*C458*(VERI_TABANI!$B$13-VERI_TABANI!$B$15)) + IF(ISNUMBER(SEARCH("Var", D458)), VERI_TABANI!F26*(0.00202-VERI_TABANI!$B$16), IF(ISNUMBER(SEARCH("Gri", D458)), VERI_TABANI!F26*(0.00202-VERI_TABANI!$B$17), 0))) + ((VERI_TABANI!D27*B458*(VERI_TABANI!$B$13-VERI_TABANI!$B$14)) + (VERI_TABANI!D27*C458*(VERI_TABANI!$B$13-VERI_TABANI!$B$15)) + IF(ISNUMBER(SEARCH("Var", D458)), VERI_TABANI!F27*(0.00202-VERI_TABANI!$B$16), IF(ISNUMBER(SEARCH("Gri", D458)), VERI_TABANI!F27*(0.00202-VERI_TABANI!$B$17), 0))) + ((VERI_TABANI!D28*B458*(VERI_TABANI!$B$13-VERI_TABANI!$B$14)) + (VERI_TABANI!D28*C458*(VERI_TABANI!$B$13-VERI_TABANI!$B$15)) + IF(ISNUMBER(SEARCH("Var", D458)), VERI_TABANI!F28*(0.00202-VERI_TABANI!$B$16), IF(ISNUMBER(SEARCH("Gri", D458)), VERI_TABANI!F28*(0.00202-VERI_TABANI!$B$17), 0))))</f>
        <v/>
      </c>
      <c r="I458" s="170">
        <f>IFERROR(((VERI_TABANI!$D$29*B458*VERI_TABANI!$B$14 + VERI_TABANI!$D$29*C458*VERI_TABANI!$B$15 + IF(ISNUMBER(SEARCH("Var", D458)), VERI_TABANI!$F$29*VERI_TABANI!$B$16, 0))) / (((VERI_TABANI!$D$29*B458 + VERI_TABANI!$D$29*C458)*VERI_TABANI!$B$13 + IF(ISNUMBER(SEARCH("Var", D458)), VERI_TABANI!$E$29*(1-0.928)*VERI_TABANI!$B$18, 0))), 0)</f>
        <v/>
      </c>
      <c r="J458" s="171">
        <f>IFERROR(F458/(G458/29), 0)</f>
        <v/>
      </c>
      <c r="K458" s="172">
        <f>IF(F458&gt;0, H458/F458, 0)</f>
        <v/>
      </c>
      <c r="L458" s="170">
        <f>IF(F458&gt;0, I458, 1000000000)</f>
        <v/>
      </c>
      <c r="M458" s="171">
        <f>ABS((B458+C458)-1)</f>
        <v/>
      </c>
      <c r="N458" s="170">
        <f>IF(F458&gt;0, (G458/29)/F458, 0)</f>
        <v/>
      </c>
      <c r="O458" s="168">
        <f>IF(AND((B458+C458)&gt;=1, ISNUMBER(SEARCH("Var", D458))), F458, 1000000000)</f>
        <v/>
      </c>
      <c r="P458" s="172">
        <f>IF(F458&gt;0, SQRT((F458/MAX(F$5:F$886))^2 + (1 - H458/MAX(H$5:H$886))^2 + (J458/MAX(J$5:J$886))^2), 1000000000)</f>
        <v/>
      </c>
      <c r="Q458" s="166">
        <f>IF(AND(ABS(B458-0.5)&lt;0.01, ABS(C458-0.5)&lt;0.01, ISNUMBER(SEARCH("Var", D458))), 1, 0)</f>
        <v/>
      </c>
      <c r="R458" s="171">
        <f>IF(F458&gt;0, J458, 1000000000)</f>
        <v/>
      </c>
      <c r="S458" s="101">
        <f>IF(AND(F458&lt;=DASHBOARD!$B$11, H458&gt;=DASHBOARD!$B$13), G458, -1000000000000)</f>
        <v/>
      </c>
      <c r="T458" s="101">
        <f>IF(AND(F458&lt;=DASHBOARD!$B$11, H458&gt;=DASHBOARD!$B$13), R458, 1000000000000)</f>
        <v/>
      </c>
      <c r="U458" s="101">
        <f>IF(AND(F458&lt;=DASHBOARD!$B$11, H458&gt;=DASHBOARD!$B$13), N458, -1000000000000)</f>
        <v/>
      </c>
      <c r="V458" s="101">
        <f>IF(AND(F458&lt;=DASHBOARD!$B$11, H458&gt;=DASHBOARD!$B$13), H458, -1000000000000)</f>
        <v/>
      </c>
      <c r="W458" s="101">
        <f>IF(AND(F458&lt;=DASHBOARD!$B$11, H458&gt;=DASHBOARD!$B$13), K458, -1000000000000)</f>
        <v/>
      </c>
      <c r="X458" s="101">
        <f>IF(AND(F458&lt;=DASHBOARD!$B$11, H458&gt;=DASHBOARD!$B$13), M458, 1000000000000)</f>
        <v/>
      </c>
      <c r="Y458" s="101">
        <f>IF(AND(F458&lt;=DASHBOARD!$B$10, H458&gt;=DASHBOARD!$B$11), L458, 1000000000000)</f>
        <v/>
      </c>
      <c r="Z458" s="101">
        <f>IF(AND(F458&lt;=DASHBOARD!$B$10, H458&gt;=DASHBOARD!$B$11), O458, 1000000000000)</f>
        <v/>
      </c>
      <c r="AA458" s="101">
        <f>IF(AND(F458&lt;=DASHBOARD!$B$10, H458&gt;=DASHBOARD!$B$11), P458, 1000000000000)</f>
        <v/>
      </c>
      <c r="AB458" s="101">
        <f>IF(AND(F458&lt;=DASHBOARD!$B$10, H458&gt;=DASHBOARD!$B$11), Q458, -1000000000000)</f>
        <v/>
      </c>
    </row>
    <row r="459" ht="15" customHeight="1" s="102">
      <c r="A459" s="166" t="n">
        <v>455</v>
      </c>
      <c r="B459" s="167" t="n">
        <v>1</v>
      </c>
      <c r="C459" s="167" t="n">
        <v>1.7</v>
      </c>
      <c r="D459" s="110" t="inlineStr">
        <is>
          <t>Yok (%0)</t>
        </is>
      </c>
      <c r="E459" s="110">
        <f>IF((B459+C459)&lt;=1, "Tam Mahsuplaşma (≤%100)", "Kısmi Satış (&gt;%100)")</f>
        <v/>
      </c>
      <c r="F459" s="168">
        <f>((VERI_TABANI!$D$29*B459/VERI_TABANI!$B$29)/VERI_TABANI!$B$3)*VERI_TABANI!$B$5 + ((VERI_TABANI!$D$29*C459/VERI_TABANI!$B$29)/VERI_TABANI!$B$4)*VERI_TABANI!$B$6 + IF(ISNUMBER(SEARCH("Var", D459)), (VERI_TABANI!$F$29/VERI_TABANI!$B$29)*(VERI_TABANI!$B$10+VERI_TABANI!$B$12), 0)</f>
        <v/>
      </c>
      <c r="G459" s="168">
        <f>(((MIN(VERI_TABANI!D23, VERI_TABANI!D23*B459)*VERI_TABANI!$B$7 + MAX(0, VERI_TABANI!D23*B459-VERI_TABANI!D23)*VERI_TABANI!$B$8) + (MIN(MAX(0, VERI_TABANI!D23-VERI_TABANI!D23*B459), VERI_TABANI!D23*C459)*VERI_TABANI!$B$7 + MAX(0, VERI_TABANI!D23*C459-MAX(0, VERI_TABANI!D23-VERI_TABANI!D23*B459))*VERI_TABANI!$B$8) + IF(ABS(IF(ISNUMBER(SEARCH("Var", D459)), 1, IF(ISNUMBER(SEARCH("Gri", D459)), -1, 0)))=1, VERI_TABANI!E23*(1-0.928)*VERI_TABANI!$B$9, 0) + (VERI_TABANI!D23*B459*(VERI_TABANI!$B$13-VERI_TABANI!$B$14)*VERI_TABANI!G23) + (VERI_TABANI!D23*C459*(VERI_TABANI!$B$13-VERI_TABANI!$B$15)*VERI_TABANI!G23) + IF(ABS(IF(ISNUMBER(SEARCH("Var", D459)), 1, IF(ISNUMBER(SEARCH("Gri", D459)), -1, 0)))=1, VERI_TABANI!E23*(1-0.928)*0.00206091519919798*VERI_TABANI!G23, 0)) + ((MIN(VERI_TABANI!D24, VERI_TABANI!D24*B459)*VERI_TABANI!$B$7 + MAX(0, VERI_TABANI!D24*B459-VERI_TABANI!D24)*VERI_TABANI!$B$8) + (MIN(MAX(0, VERI_TABANI!D24-VERI_TABANI!D24*B459), VERI_TABANI!D24*C459)*VERI_TABANI!$B$7 + MAX(0, VERI_TABANI!D24*C459-MAX(0, VERI_TABANI!D24-VERI_TABANI!D24*B459))*VERI_TABANI!$B$8) + IF(ABS(IF(ISNUMBER(SEARCH("Var", D459)), 1, IF(ISNUMBER(SEARCH("Gri", D459)), -1, 0)))=1, VERI_TABANI!E24*(1-0.928)*VERI_TABANI!$B$9, 0) + (VERI_TABANI!D24*B459*(VERI_TABANI!$B$13-VERI_TABANI!$B$14)*VERI_TABANI!G24) + (VERI_TABANI!D24*C459*(VERI_TABANI!$B$13-VERI_TABANI!$B$15)*VERI_TABANI!G24) + IF(ABS(IF(ISNUMBER(SEARCH("Var", D459)), 1, IF(ISNUMBER(SEARCH("Gri", D459)), -1, 0)))=1, VERI_TABANI!E24*(1-0.928)*0.00206091519919798*VERI_TABANI!G24, 0)) + ((MIN(VERI_TABANI!D25, VERI_TABANI!D25*B459)*VERI_TABANI!$B$7 + MAX(0, VERI_TABANI!D25*B459-VERI_TABANI!D25)*VERI_TABANI!$B$8) + (MIN(MAX(0, VERI_TABANI!D25-VERI_TABANI!D25*B459), VERI_TABANI!D25*C459)*VERI_TABANI!$B$7 + MAX(0, VERI_TABANI!D25*C459-MAX(0, VERI_TABANI!D25-VERI_TABANI!D25*B459))*VERI_TABANI!$B$8) + IF(ABS(IF(ISNUMBER(SEARCH("Var", D459)), 1, IF(ISNUMBER(SEARCH("Gri", D459)), -1, 0)))=1, VERI_TABANI!E25*(1-0.928)*VERI_TABANI!$B$9, 0) + (VERI_TABANI!D25*B459*(VERI_TABANI!$B$13-VERI_TABANI!$B$14)*VERI_TABANI!G25) + (VERI_TABANI!D25*C459*(VERI_TABANI!$B$13-VERI_TABANI!$B$15)*VERI_TABANI!G25) + IF(ABS(IF(ISNUMBER(SEARCH("Var", D459)), 1, IF(ISNUMBER(SEARCH("Gri", D459)), -1, 0)))=1, VERI_TABANI!E25*(1-0.928)*0.00206091519919798*VERI_TABANI!G25, 0)) + ((MIN(VERI_TABANI!D26, VERI_TABANI!D26*B459)*VERI_TABANI!$B$7 + MAX(0, VERI_TABANI!D26*B459-VERI_TABANI!D26)*VERI_TABANI!$B$8) + (MIN(MAX(0, VERI_TABANI!D26-VERI_TABANI!D26*B459), VERI_TABANI!D26*C459)*VERI_TABANI!$B$7 + MAX(0, VERI_TABANI!D26*C459-MAX(0, VERI_TABANI!D26-VERI_TABANI!D26*B459))*VERI_TABANI!$B$8) + IF(ABS(IF(ISNUMBER(SEARCH("Var", D459)), 1, IF(ISNUMBER(SEARCH("Gri", D459)), -1, 0)))=1, VERI_TABANI!E26*(1-0.928)*VERI_TABANI!$B$9, 0) + (VERI_TABANI!D26*B459*(VERI_TABANI!$B$13-VERI_TABANI!$B$14)*VERI_TABANI!G26) + (VERI_TABANI!D26*C459*(VERI_TABANI!$B$13-VERI_TABANI!$B$15)*VERI_TABANI!G26) + IF(ABS(IF(ISNUMBER(SEARCH("Var", D459)), 1, IF(ISNUMBER(SEARCH("Gri", D459)), -1, 0)))=1, VERI_TABANI!E26*(1-0.928)*0.00206091519919798*VERI_TABANI!G26, 0)) + ((MIN(VERI_TABANI!D27, VERI_TABANI!D27*B459)*VERI_TABANI!$B$7 + MAX(0, VERI_TABANI!D27*B459-VERI_TABANI!D27)*VERI_TABANI!$B$8) + (MIN(MAX(0, VERI_TABANI!D27-VERI_TABANI!D27*B459), VERI_TABANI!D27*C459)*VERI_TABANI!$B$7 + MAX(0, VERI_TABANI!D27*C459-MAX(0, VERI_TABANI!D27-VERI_TABANI!D27*B459))*VERI_TABANI!$B$8) + IF(ABS(IF(ISNUMBER(SEARCH("Var", D459)), 1, IF(ISNUMBER(SEARCH("Gri", D459)), -1, 0)))=1, VERI_TABANI!E27*(1-0.928)*VERI_TABANI!$B$9, 0) + (VERI_TABANI!D27*B459*(VERI_TABANI!$B$13-VERI_TABANI!$B$14)*VERI_TABANI!G27) + (VERI_TABANI!D27*C459*(VERI_TABANI!$B$13-VERI_TABANI!$B$15)*VERI_TABANI!G27) + IF(ABS(IF(ISNUMBER(SEARCH("Var", D459)), 1, IF(ISNUMBER(SEARCH("Gri", D459)), -1, 0)))=1, VERI_TABANI!E27*(1-0.928)*0.00206091519919798*VERI_TABANI!G27, 0)) + ((MIN(VERI_TABANI!D28, VERI_TABANI!D28*B459)*VERI_TABANI!$B$7 + MAX(0, VERI_TABANI!D28*B459-VERI_TABANI!D28)*VERI_TABANI!$B$8) + (MIN(MAX(0, VERI_TABANI!D28-VERI_TABANI!D28*B459), VERI_TABANI!D28*C459)*VERI_TABANI!$B$7 + MAX(0, VERI_TABANI!D28*C459-MAX(0, VERI_TABANI!D28-VERI_TABANI!D28*B459))*VERI_TABANI!$B$8) + IF(ABS(IF(ISNUMBER(SEARCH("Var", D459)), 1, IF(ISNUMBER(SEARCH("Gri", D459)), -1, 0)))=1, VERI_TABANI!E28*(1-0.928)*VERI_TABANI!$B$9, 0) + (VERI_TABANI!D28*B459*(VERI_TABANI!$B$13-VERI_TABANI!$B$14)*VERI_TABANI!G28) + (VERI_TABANI!D28*C459*(VERI_TABANI!$B$13-VERI_TABANI!$B$15)*VERI_TABANI!G28) + IF(ABS(IF(ISNUMBER(SEARCH("Var", D459)), 1, IF(ISNUMBER(SEARCH("Gri", D459)), -1, 0)))=1, VERI_TABANI!E28*(1-0.928)*0.00206091519919798*VERI_TABANI!G28, 0)))</f>
        <v/>
      </c>
      <c r="H459" s="169">
        <f>(((VERI_TABANI!D23*B459*(VERI_TABANI!$B$13-VERI_TABANI!$B$14)) + (VERI_TABANI!D23*C459*(VERI_TABANI!$B$13-VERI_TABANI!$B$15)) + IF(ISNUMBER(SEARCH("Var", D459)), VERI_TABANI!F23*(0.00202-VERI_TABANI!$B$16), IF(ISNUMBER(SEARCH("Gri", D459)), VERI_TABANI!F23*(0.00202-VERI_TABANI!$B$17), 0))) + ((VERI_TABANI!D24*B459*(VERI_TABANI!$B$13-VERI_TABANI!$B$14)) + (VERI_TABANI!D24*C459*(VERI_TABANI!$B$13-VERI_TABANI!$B$15)) + IF(ISNUMBER(SEARCH("Var", D459)), VERI_TABANI!F24*(0.00202-VERI_TABANI!$B$16), IF(ISNUMBER(SEARCH("Gri", D459)), VERI_TABANI!F24*(0.00202-VERI_TABANI!$B$17), 0))) + ((VERI_TABANI!D25*B459*(VERI_TABANI!$B$13-VERI_TABANI!$B$14)) + (VERI_TABANI!D25*C459*(VERI_TABANI!$B$13-VERI_TABANI!$B$15)) + IF(ISNUMBER(SEARCH("Var", D459)), VERI_TABANI!F25*(0.00202-VERI_TABANI!$B$16), IF(ISNUMBER(SEARCH("Gri", D459)), VERI_TABANI!F25*(0.00202-VERI_TABANI!$B$17), 0))) + ((VERI_TABANI!D26*B459*(VERI_TABANI!$B$13-VERI_TABANI!$B$14)) + (VERI_TABANI!D26*C459*(VERI_TABANI!$B$13-VERI_TABANI!$B$15)) + IF(ISNUMBER(SEARCH("Var", D459)), VERI_TABANI!F26*(0.00202-VERI_TABANI!$B$16), IF(ISNUMBER(SEARCH("Gri", D459)), VERI_TABANI!F26*(0.00202-VERI_TABANI!$B$17), 0))) + ((VERI_TABANI!D27*B459*(VERI_TABANI!$B$13-VERI_TABANI!$B$14)) + (VERI_TABANI!D27*C459*(VERI_TABANI!$B$13-VERI_TABANI!$B$15)) + IF(ISNUMBER(SEARCH("Var", D459)), VERI_TABANI!F27*(0.00202-VERI_TABANI!$B$16), IF(ISNUMBER(SEARCH("Gri", D459)), VERI_TABANI!F27*(0.00202-VERI_TABANI!$B$17), 0))) + ((VERI_TABANI!D28*B459*(VERI_TABANI!$B$13-VERI_TABANI!$B$14)) + (VERI_TABANI!D28*C459*(VERI_TABANI!$B$13-VERI_TABANI!$B$15)) + IF(ISNUMBER(SEARCH("Var", D459)), VERI_TABANI!F28*(0.00202-VERI_TABANI!$B$16), IF(ISNUMBER(SEARCH("Gri", D459)), VERI_TABANI!F28*(0.00202-VERI_TABANI!$B$17), 0))))</f>
        <v/>
      </c>
      <c r="I459" s="170">
        <f>IFERROR(((VERI_TABANI!$D$29*B459*VERI_TABANI!$B$14 + VERI_TABANI!$D$29*C459*VERI_TABANI!$B$15 + IF(ISNUMBER(SEARCH("Var", D459)), VERI_TABANI!$F$29*VERI_TABANI!$B$16, 0))) / (((VERI_TABANI!$D$29*B459 + VERI_TABANI!$D$29*C459)*VERI_TABANI!$B$13 + IF(ISNUMBER(SEARCH("Var", D459)), VERI_TABANI!$E$29*(1-0.928)*VERI_TABANI!$B$18, 0))), 0)</f>
        <v/>
      </c>
      <c r="J459" s="171">
        <f>IFERROR(F459/(G459/29), 0)</f>
        <v/>
      </c>
      <c r="K459" s="172">
        <f>IF(F459&gt;0, H459/F459, 0)</f>
        <v/>
      </c>
      <c r="L459" s="170">
        <f>IF(F459&gt;0, I459, 1000000000)</f>
        <v/>
      </c>
      <c r="M459" s="171">
        <f>ABS((B459+C459)-1)</f>
        <v/>
      </c>
      <c r="N459" s="170">
        <f>IF(F459&gt;0, (G459/29)/F459, 0)</f>
        <v/>
      </c>
      <c r="O459" s="168">
        <f>IF(AND((B459+C459)&gt;=1, ISNUMBER(SEARCH("Var", D459))), F459, 1000000000)</f>
        <v/>
      </c>
      <c r="P459" s="172">
        <f>IF(F459&gt;0, SQRT((F459/MAX(F$5:F$886))^2 + (1 - H459/MAX(H$5:H$886))^2 + (J459/MAX(J$5:J$886))^2), 1000000000)</f>
        <v/>
      </c>
      <c r="Q459" s="166">
        <f>IF(AND(ABS(B459-0.5)&lt;0.01, ABS(C459-0.5)&lt;0.01, ISNUMBER(SEARCH("Var", D459))), 1, 0)</f>
        <v/>
      </c>
      <c r="R459" s="171">
        <f>IF(F459&gt;0, J459, 1000000000)</f>
        <v/>
      </c>
      <c r="S459" s="101">
        <f>IF(AND(F459&lt;=DASHBOARD!$B$11, H459&gt;=DASHBOARD!$B$13), G459, -1000000000000)</f>
        <v/>
      </c>
      <c r="T459" s="101">
        <f>IF(AND(F459&lt;=DASHBOARD!$B$11, H459&gt;=DASHBOARD!$B$13), R459, 1000000000000)</f>
        <v/>
      </c>
      <c r="U459" s="101">
        <f>IF(AND(F459&lt;=DASHBOARD!$B$11, H459&gt;=DASHBOARD!$B$13), N459, -1000000000000)</f>
        <v/>
      </c>
      <c r="V459" s="101">
        <f>IF(AND(F459&lt;=DASHBOARD!$B$11, H459&gt;=DASHBOARD!$B$13), H459, -1000000000000)</f>
        <v/>
      </c>
      <c r="W459" s="101">
        <f>IF(AND(F459&lt;=DASHBOARD!$B$11, H459&gt;=DASHBOARD!$B$13), K459, -1000000000000)</f>
        <v/>
      </c>
      <c r="X459" s="101">
        <f>IF(AND(F459&lt;=DASHBOARD!$B$11, H459&gt;=DASHBOARD!$B$13), M459, 1000000000000)</f>
        <v/>
      </c>
      <c r="Y459" s="101">
        <f>IF(AND(F459&lt;=DASHBOARD!$B$10, H459&gt;=DASHBOARD!$B$11), L459, 1000000000000)</f>
        <v/>
      </c>
      <c r="Z459" s="101">
        <f>IF(AND(F459&lt;=DASHBOARD!$B$10, H459&gt;=DASHBOARD!$B$11), O459, 1000000000000)</f>
        <v/>
      </c>
      <c r="AA459" s="101">
        <f>IF(AND(F459&lt;=DASHBOARD!$B$10, H459&gt;=DASHBOARD!$B$11), P459, 1000000000000)</f>
        <v/>
      </c>
      <c r="AB459" s="101">
        <f>IF(AND(F459&lt;=DASHBOARD!$B$10, H459&gt;=DASHBOARD!$B$11), Q459, -1000000000000)</f>
        <v/>
      </c>
    </row>
    <row r="460" ht="15" customHeight="1" s="102">
      <c r="A460" s="166" t="n">
        <v>456</v>
      </c>
      <c r="B460" s="167" t="n">
        <v>1</v>
      </c>
      <c r="C460" s="167" t="n">
        <v>1.7</v>
      </c>
      <c r="D460" s="110" t="inlineStr">
        <is>
          <t>Var (%20)</t>
        </is>
      </c>
      <c r="E460" s="110">
        <f>IF((B460+C460)&lt;=1, "Tam Mahsuplaşma (≤%100)", "Kısmi Satış (&gt;%100)")</f>
        <v/>
      </c>
      <c r="F460" s="168">
        <f>((VERI_TABANI!$D$29*B460/VERI_TABANI!$B$29)/VERI_TABANI!$B$3)*VERI_TABANI!$B$5 + ((VERI_TABANI!$D$29*C460/VERI_TABANI!$B$29)/VERI_TABANI!$B$4)*VERI_TABANI!$B$6 + IF(ISNUMBER(SEARCH("Var", D460)), (VERI_TABANI!$F$29/VERI_TABANI!$B$29)*(VERI_TABANI!$B$10+VERI_TABANI!$B$12), 0)</f>
        <v/>
      </c>
      <c r="G460" s="168">
        <f>(((MIN(VERI_TABANI!D23, VERI_TABANI!D23*B460)*VERI_TABANI!$B$7 + MAX(0, VERI_TABANI!D23*B460-VERI_TABANI!D23)*VERI_TABANI!$B$8) + (MIN(MAX(0, VERI_TABANI!D23-VERI_TABANI!D23*B460), VERI_TABANI!D23*C460)*VERI_TABANI!$B$7 + MAX(0, VERI_TABANI!D23*C460-MAX(0, VERI_TABANI!D23-VERI_TABANI!D23*B460))*VERI_TABANI!$B$8) + IF(ABS(IF(ISNUMBER(SEARCH("Var", D460)), 1, IF(ISNUMBER(SEARCH("Gri", D460)), -1, 0)))=1, VERI_TABANI!E23*(1-0.928)*VERI_TABANI!$B$9, 0) + (VERI_TABANI!D23*B460*(VERI_TABANI!$B$13-VERI_TABANI!$B$14)*VERI_TABANI!G23) + (VERI_TABANI!D23*C460*(VERI_TABANI!$B$13-VERI_TABANI!$B$15)*VERI_TABANI!G23) + IF(ABS(IF(ISNUMBER(SEARCH("Var", D460)), 1, IF(ISNUMBER(SEARCH("Gri", D460)), -1, 0)))=1, VERI_TABANI!E23*(1-0.928)*0.00206091519919798*VERI_TABANI!G23, 0)) + ((MIN(VERI_TABANI!D24, VERI_TABANI!D24*B460)*VERI_TABANI!$B$7 + MAX(0, VERI_TABANI!D24*B460-VERI_TABANI!D24)*VERI_TABANI!$B$8) + (MIN(MAX(0, VERI_TABANI!D24-VERI_TABANI!D24*B460), VERI_TABANI!D24*C460)*VERI_TABANI!$B$7 + MAX(0, VERI_TABANI!D24*C460-MAX(0, VERI_TABANI!D24-VERI_TABANI!D24*B460))*VERI_TABANI!$B$8) + IF(ABS(IF(ISNUMBER(SEARCH("Var", D460)), 1, IF(ISNUMBER(SEARCH("Gri", D460)), -1, 0)))=1, VERI_TABANI!E24*(1-0.928)*VERI_TABANI!$B$9, 0) + (VERI_TABANI!D24*B460*(VERI_TABANI!$B$13-VERI_TABANI!$B$14)*VERI_TABANI!G24) + (VERI_TABANI!D24*C460*(VERI_TABANI!$B$13-VERI_TABANI!$B$15)*VERI_TABANI!G24) + IF(ABS(IF(ISNUMBER(SEARCH("Var", D460)), 1, IF(ISNUMBER(SEARCH("Gri", D460)), -1, 0)))=1, VERI_TABANI!E24*(1-0.928)*0.00206091519919798*VERI_TABANI!G24, 0)) + ((MIN(VERI_TABANI!D25, VERI_TABANI!D25*B460)*VERI_TABANI!$B$7 + MAX(0, VERI_TABANI!D25*B460-VERI_TABANI!D25)*VERI_TABANI!$B$8) + (MIN(MAX(0, VERI_TABANI!D25-VERI_TABANI!D25*B460), VERI_TABANI!D25*C460)*VERI_TABANI!$B$7 + MAX(0, VERI_TABANI!D25*C460-MAX(0, VERI_TABANI!D25-VERI_TABANI!D25*B460))*VERI_TABANI!$B$8) + IF(ABS(IF(ISNUMBER(SEARCH("Var", D460)), 1, IF(ISNUMBER(SEARCH("Gri", D460)), -1, 0)))=1, VERI_TABANI!E25*(1-0.928)*VERI_TABANI!$B$9, 0) + (VERI_TABANI!D25*B460*(VERI_TABANI!$B$13-VERI_TABANI!$B$14)*VERI_TABANI!G25) + (VERI_TABANI!D25*C460*(VERI_TABANI!$B$13-VERI_TABANI!$B$15)*VERI_TABANI!G25) + IF(ABS(IF(ISNUMBER(SEARCH("Var", D460)), 1, IF(ISNUMBER(SEARCH("Gri", D460)), -1, 0)))=1, VERI_TABANI!E25*(1-0.928)*0.00206091519919798*VERI_TABANI!G25, 0)) + ((MIN(VERI_TABANI!D26, VERI_TABANI!D26*B460)*VERI_TABANI!$B$7 + MAX(0, VERI_TABANI!D26*B460-VERI_TABANI!D26)*VERI_TABANI!$B$8) + (MIN(MAX(0, VERI_TABANI!D26-VERI_TABANI!D26*B460), VERI_TABANI!D26*C460)*VERI_TABANI!$B$7 + MAX(0, VERI_TABANI!D26*C460-MAX(0, VERI_TABANI!D26-VERI_TABANI!D26*B460))*VERI_TABANI!$B$8) + IF(ABS(IF(ISNUMBER(SEARCH("Var", D460)), 1, IF(ISNUMBER(SEARCH("Gri", D460)), -1, 0)))=1, VERI_TABANI!E26*(1-0.928)*VERI_TABANI!$B$9, 0) + (VERI_TABANI!D26*B460*(VERI_TABANI!$B$13-VERI_TABANI!$B$14)*VERI_TABANI!G26) + (VERI_TABANI!D26*C460*(VERI_TABANI!$B$13-VERI_TABANI!$B$15)*VERI_TABANI!G26) + IF(ABS(IF(ISNUMBER(SEARCH("Var", D460)), 1, IF(ISNUMBER(SEARCH("Gri", D460)), -1, 0)))=1, VERI_TABANI!E26*(1-0.928)*0.00206091519919798*VERI_TABANI!G26, 0)) + ((MIN(VERI_TABANI!D27, VERI_TABANI!D27*B460)*VERI_TABANI!$B$7 + MAX(0, VERI_TABANI!D27*B460-VERI_TABANI!D27)*VERI_TABANI!$B$8) + (MIN(MAX(0, VERI_TABANI!D27-VERI_TABANI!D27*B460), VERI_TABANI!D27*C460)*VERI_TABANI!$B$7 + MAX(0, VERI_TABANI!D27*C460-MAX(0, VERI_TABANI!D27-VERI_TABANI!D27*B460))*VERI_TABANI!$B$8) + IF(ABS(IF(ISNUMBER(SEARCH("Var", D460)), 1, IF(ISNUMBER(SEARCH("Gri", D460)), -1, 0)))=1, VERI_TABANI!E27*(1-0.928)*VERI_TABANI!$B$9, 0) + (VERI_TABANI!D27*B460*(VERI_TABANI!$B$13-VERI_TABANI!$B$14)*VERI_TABANI!G27) + (VERI_TABANI!D27*C460*(VERI_TABANI!$B$13-VERI_TABANI!$B$15)*VERI_TABANI!G27) + IF(ABS(IF(ISNUMBER(SEARCH("Var", D460)), 1, IF(ISNUMBER(SEARCH("Gri", D460)), -1, 0)))=1, VERI_TABANI!E27*(1-0.928)*0.00206091519919798*VERI_TABANI!G27, 0)) + ((MIN(VERI_TABANI!D28, VERI_TABANI!D28*B460)*VERI_TABANI!$B$7 + MAX(0, VERI_TABANI!D28*B460-VERI_TABANI!D28)*VERI_TABANI!$B$8) + (MIN(MAX(0, VERI_TABANI!D28-VERI_TABANI!D28*B460), VERI_TABANI!D28*C460)*VERI_TABANI!$B$7 + MAX(0, VERI_TABANI!D28*C460-MAX(0, VERI_TABANI!D28-VERI_TABANI!D28*B460))*VERI_TABANI!$B$8) + IF(ABS(IF(ISNUMBER(SEARCH("Var", D460)), 1, IF(ISNUMBER(SEARCH("Gri", D460)), -1, 0)))=1, VERI_TABANI!E28*(1-0.928)*VERI_TABANI!$B$9, 0) + (VERI_TABANI!D28*B460*(VERI_TABANI!$B$13-VERI_TABANI!$B$14)*VERI_TABANI!G28) + (VERI_TABANI!D28*C460*(VERI_TABANI!$B$13-VERI_TABANI!$B$15)*VERI_TABANI!G28) + IF(ABS(IF(ISNUMBER(SEARCH("Var", D460)), 1, IF(ISNUMBER(SEARCH("Gri", D460)), -1, 0)))=1, VERI_TABANI!E28*(1-0.928)*0.00206091519919798*VERI_TABANI!G28, 0)))</f>
        <v/>
      </c>
      <c r="H460" s="169">
        <f>(((VERI_TABANI!D23*B460*(VERI_TABANI!$B$13-VERI_TABANI!$B$14)) + (VERI_TABANI!D23*C460*(VERI_TABANI!$B$13-VERI_TABANI!$B$15)) + IF(ISNUMBER(SEARCH("Var", D460)), VERI_TABANI!F23*(0.00202-VERI_TABANI!$B$16), IF(ISNUMBER(SEARCH("Gri", D460)), VERI_TABANI!F23*(0.00202-VERI_TABANI!$B$17), 0))) + ((VERI_TABANI!D24*B460*(VERI_TABANI!$B$13-VERI_TABANI!$B$14)) + (VERI_TABANI!D24*C460*(VERI_TABANI!$B$13-VERI_TABANI!$B$15)) + IF(ISNUMBER(SEARCH("Var", D460)), VERI_TABANI!F24*(0.00202-VERI_TABANI!$B$16), IF(ISNUMBER(SEARCH("Gri", D460)), VERI_TABANI!F24*(0.00202-VERI_TABANI!$B$17), 0))) + ((VERI_TABANI!D25*B460*(VERI_TABANI!$B$13-VERI_TABANI!$B$14)) + (VERI_TABANI!D25*C460*(VERI_TABANI!$B$13-VERI_TABANI!$B$15)) + IF(ISNUMBER(SEARCH("Var", D460)), VERI_TABANI!F25*(0.00202-VERI_TABANI!$B$16), IF(ISNUMBER(SEARCH("Gri", D460)), VERI_TABANI!F25*(0.00202-VERI_TABANI!$B$17), 0))) + ((VERI_TABANI!D26*B460*(VERI_TABANI!$B$13-VERI_TABANI!$B$14)) + (VERI_TABANI!D26*C460*(VERI_TABANI!$B$13-VERI_TABANI!$B$15)) + IF(ISNUMBER(SEARCH("Var", D460)), VERI_TABANI!F26*(0.00202-VERI_TABANI!$B$16), IF(ISNUMBER(SEARCH("Gri", D460)), VERI_TABANI!F26*(0.00202-VERI_TABANI!$B$17), 0))) + ((VERI_TABANI!D27*B460*(VERI_TABANI!$B$13-VERI_TABANI!$B$14)) + (VERI_TABANI!D27*C460*(VERI_TABANI!$B$13-VERI_TABANI!$B$15)) + IF(ISNUMBER(SEARCH("Var", D460)), VERI_TABANI!F27*(0.00202-VERI_TABANI!$B$16), IF(ISNUMBER(SEARCH("Gri", D460)), VERI_TABANI!F27*(0.00202-VERI_TABANI!$B$17), 0))) + ((VERI_TABANI!D28*B460*(VERI_TABANI!$B$13-VERI_TABANI!$B$14)) + (VERI_TABANI!D28*C460*(VERI_TABANI!$B$13-VERI_TABANI!$B$15)) + IF(ISNUMBER(SEARCH("Var", D460)), VERI_TABANI!F28*(0.00202-VERI_TABANI!$B$16), IF(ISNUMBER(SEARCH("Gri", D460)), VERI_TABANI!F28*(0.00202-VERI_TABANI!$B$17), 0))))</f>
        <v/>
      </c>
      <c r="I460" s="170">
        <f>IFERROR(((VERI_TABANI!$D$29*B460*VERI_TABANI!$B$14 + VERI_TABANI!$D$29*C460*VERI_TABANI!$B$15 + IF(ISNUMBER(SEARCH("Var", D460)), VERI_TABANI!$F$29*VERI_TABANI!$B$16, 0))) / (((VERI_TABANI!$D$29*B460 + VERI_TABANI!$D$29*C460)*VERI_TABANI!$B$13 + IF(ISNUMBER(SEARCH("Var", D460)), VERI_TABANI!$E$29*(1-0.928)*VERI_TABANI!$B$18, 0))), 0)</f>
        <v/>
      </c>
      <c r="J460" s="171">
        <f>IFERROR(F460/(G460/29), 0)</f>
        <v/>
      </c>
      <c r="K460" s="172">
        <f>IF(F460&gt;0, H460/F460, 0)</f>
        <v/>
      </c>
      <c r="L460" s="170">
        <f>IF(F460&gt;0, I460, 1000000000)</f>
        <v/>
      </c>
      <c r="M460" s="171">
        <f>ABS((B460+C460)-1)</f>
        <v/>
      </c>
      <c r="N460" s="170">
        <f>IF(F460&gt;0, (G460/29)/F460, 0)</f>
        <v/>
      </c>
      <c r="O460" s="168">
        <f>IF(AND((B460+C460)&gt;=1, ISNUMBER(SEARCH("Var", D460))), F460, 1000000000)</f>
        <v/>
      </c>
      <c r="P460" s="172">
        <f>IF(F460&gt;0, SQRT((F460/MAX(F$5:F$886))^2 + (1 - H460/MAX(H$5:H$886))^2 + (J460/MAX(J$5:J$886))^2), 1000000000)</f>
        <v/>
      </c>
      <c r="Q460" s="166">
        <f>IF(AND(ABS(B460-0.5)&lt;0.01, ABS(C460-0.5)&lt;0.01, ISNUMBER(SEARCH("Var", D460))), 1, 0)</f>
        <v/>
      </c>
      <c r="R460" s="171">
        <f>IF(F460&gt;0, J460, 1000000000)</f>
        <v/>
      </c>
      <c r="S460" s="101">
        <f>IF(AND(F460&lt;=DASHBOARD!$B$11, H460&gt;=DASHBOARD!$B$13), G460, -1000000000000)</f>
        <v/>
      </c>
      <c r="T460" s="101">
        <f>IF(AND(F460&lt;=DASHBOARD!$B$11, H460&gt;=DASHBOARD!$B$13), R460, 1000000000000)</f>
        <v/>
      </c>
      <c r="U460" s="101">
        <f>IF(AND(F460&lt;=DASHBOARD!$B$11, H460&gt;=DASHBOARD!$B$13), N460, -1000000000000)</f>
        <v/>
      </c>
      <c r="V460" s="101">
        <f>IF(AND(F460&lt;=DASHBOARD!$B$11, H460&gt;=DASHBOARD!$B$13), H460, -1000000000000)</f>
        <v/>
      </c>
      <c r="W460" s="101">
        <f>IF(AND(F460&lt;=DASHBOARD!$B$11, H460&gt;=DASHBOARD!$B$13), K460, -1000000000000)</f>
        <v/>
      </c>
      <c r="X460" s="101">
        <f>IF(AND(F460&lt;=DASHBOARD!$B$11, H460&gt;=DASHBOARD!$B$13), M460, 1000000000000)</f>
        <v/>
      </c>
      <c r="Y460" s="101">
        <f>IF(AND(F460&lt;=DASHBOARD!$B$10, H460&gt;=DASHBOARD!$B$11), L460, 1000000000000)</f>
        <v/>
      </c>
      <c r="Z460" s="101">
        <f>IF(AND(F460&lt;=DASHBOARD!$B$10, H460&gt;=DASHBOARD!$B$11), O460, 1000000000000)</f>
        <v/>
      </c>
      <c r="AA460" s="101">
        <f>IF(AND(F460&lt;=DASHBOARD!$B$10, H460&gt;=DASHBOARD!$B$11), P460, 1000000000000)</f>
        <v/>
      </c>
      <c r="AB460" s="101">
        <f>IF(AND(F460&lt;=DASHBOARD!$B$10, H460&gt;=DASHBOARD!$B$11), Q460, -1000000000000)</f>
        <v/>
      </c>
    </row>
    <row r="461" ht="15" customHeight="1" s="102">
      <c r="A461" s="166" t="n">
        <v>457</v>
      </c>
      <c r="B461" s="167" t="n">
        <v>1</v>
      </c>
      <c r="C461" s="167" t="n">
        <v>1.8</v>
      </c>
      <c r="D461" s="110" t="inlineStr">
        <is>
          <t>Yok (%0)</t>
        </is>
      </c>
      <c r="E461" s="110">
        <f>IF((B461+C461)&lt;=1, "Tam Mahsuplaşma (≤%100)", "Kısmi Satış (&gt;%100)")</f>
        <v/>
      </c>
      <c r="F461" s="168">
        <f>((VERI_TABANI!$D$29*B461/VERI_TABANI!$B$29)/VERI_TABANI!$B$3)*VERI_TABANI!$B$5 + ((VERI_TABANI!$D$29*C461/VERI_TABANI!$B$29)/VERI_TABANI!$B$4)*VERI_TABANI!$B$6 + IF(ISNUMBER(SEARCH("Var", D461)), (VERI_TABANI!$F$29/VERI_TABANI!$B$29)*(VERI_TABANI!$B$10+VERI_TABANI!$B$12), 0)</f>
        <v/>
      </c>
      <c r="G461" s="168">
        <f>(((MIN(VERI_TABANI!D23, VERI_TABANI!D23*B461)*VERI_TABANI!$B$7 + MAX(0, VERI_TABANI!D23*B461-VERI_TABANI!D23)*VERI_TABANI!$B$8) + (MIN(MAX(0, VERI_TABANI!D23-VERI_TABANI!D23*B461), VERI_TABANI!D23*C461)*VERI_TABANI!$B$7 + MAX(0, VERI_TABANI!D23*C461-MAX(0, VERI_TABANI!D23-VERI_TABANI!D23*B461))*VERI_TABANI!$B$8) + IF(ABS(IF(ISNUMBER(SEARCH("Var", D461)), 1, IF(ISNUMBER(SEARCH("Gri", D461)), -1, 0)))=1, VERI_TABANI!E23*(1-0.928)*VERI_TABANI!$B$9, 0) + (VERI_TABANI!D23*B461*(VERI_TABANI!$B$13-VERI_TABANI!$B$14)*VERI_TABANI!G23) + (VERI_TABANI!D23*C461*(VERI_TABANI!$B$13-VERI_TABANI!$B$15)*VERI_TABANI!G23) + IF(ABS(IF(ISNUMBER(SEARCH("Var", D461)), 1, IF(ISNUMBER(SEARCH("Gri", D461)), -1, 0)))=1, VERI_TABANI!E23*(1-0.928)*0.00206091519919798*VERI_TABANI!G23, 0)) + ((MIN(VERI_TABANI!D24, VERI_TABANI!D24*B461)*VERI_TABANI!$B$7 + MAX(0, VERI_TABANI!D24*B461-VERI_TABANI!D24)*VERI_TABANI!$B$8) + (MIN(MAX(0, VERI_TABANI!D24-VERI_TABANI!D24*B461), VERI_TABANI!D24*C461)*VERI_TABANI!$B$7 + MAX(0, VERI_TABANI!D24*C461-MAX(0, VERI_TABANI!D24-VERI_TABANI!D24*B461))*VERI_TABANI!$B$8) + IF(ABS(IF(ISNUMBER(SEARCH("Var", D461)), 1, IF(ISNUMBER(SEARCH("Gri", D461)), -1, 0)))=1, VERI_TABANI!E24*(1-0.928)*VERI_TABANI!$B$9, 0) + (VERI_TABANI!D24*B461*(VERI_TABANI!$B$13-VERI_TABANI!$B$14)*VERI_TABANI!G24) + (VERI_TABANI!D24*C461*(VERI_TABANI!$B$13-VERI_TABANI!$B$15)*VERI_TABANI!G24) + IF(ABS(IF(ISNUMBER(SEARCH("Var", D461)), 1, IF(ISNUMBER(SEARCH("Gri", D461)), -1, 0)))=1, VERI_TABANI!E24*(1-0.928)*0.00206091519919798*VERI_TABANI!G24, 0)) + ((MIN(VERI_TABANI!D25, VERI_TABANI!D25*B461)*VERI_TABANI!$B$7 + MAX(0, VERI_TABANI!D25*B461-VERI_TABANI!D25)*VERI_TABANI!$B$8) + (MIN(MAX(0, VERI_TABANI!D25-VERI_TABANI!D25*B461), VERI_TABANI!D25*C461)*VERI_TABANI!$B$7 + MAX(0, VERI_TABANI!D25*C461-MAX(0, VERI_TABANI!D25-VERI_TABANI!D25*B461))*VERI_TABANI!$B$8) + IF(ABS(IF(ISNUMBER(SEARCH("Var", D461)), 1, IF(ISNUMBER(SEARCH("Gri", D461)), -1, 0)))=1, VERI_TABANI!E25*(1-0.928)*VERI_TABANI!$B$9, 0) + (VERI_TABANI!D25*B461*(VERI_TABANI!$B$13-VERI_TABANI!$B$14)*VERI_TABANI!G25) + (VERI_TABANI!D25*C461*(VERI_TABANI!$B$13-VERI_TABANI!$B$15)*VERI_TABANI!G25) + IF(ABS(IF(ISNUMBER(SEARCH("Var", D461)), 1, IF(ISNUMBER(SEARCH("Gri", D461)), -1, 0)))=1, VERI_TABANI!E25*(1-0.928)*0.00206091519919798*VERI_TABANI!G25, 0)) + ((MIN(VERI_TABANI!D26, VERI_TABANI!D26*B461)*VERI_TABANI!$B$7 + MAX(0, VERI_TABANI!D26*B461-VERI_TABANI!D26)*VERI_TABANI!$B$8) + (MIN(MAX(0, VERI_TABANI!D26-VERI_TABANI!D26*B461), VERI_TABANI!D26*C461)*VERI_TABANI!$B$7 + MAX(0, VERI_TABANI!D26*C461-MAX(0, VERI_TABANI!D26-VERI_TABANI!D26*B461))*VERI_TABANI!$B$8) + IF(ABS(IF(ISNUMBER(SEARCH("Var", D461)), 1, IF(ISNUMBER(SEARCH("Gri", D461)), -1, 0)))=1, VERI_TABANI!E26*(1-0.928)*VERI_TABANI!$B$9, 0) + (VERI_TABANI!D26*B461*(VERI_TABANI!$B$13-VERI_TABANI!$B$14)*VERI_TABANI!G26) + (VERI_TABANI!D26*C461*(VERI_TABANI!$B$13-VERI_TABANI!$B$15)*VERI_TABANI!G26) + IF(ABS(IF(ISNUMBER(SEARCH("Var", D461)), 1, IF(ISNUMBER(SEARCH("Gri", D461)), -1, 0)))=1, VERI_TABANI!E26*(1-0.928)*0.00206091519919798*VERI_TABANI!G26, 0)) + ((MIN(VERI_TABANI!D27, VERI_TABANI!D27*B461)*VERI_TABANI!$B$7 + MAX(0, VERI_TABANI!D27*B461-VERI_TABANI!D27)*VERI_TABANI!$B$8) + (MIN(MAX(0, VERI_TABANI!D27-VERI_TABANI!D27*B461), VERI_TABANI!D27*C461)*VERI_TABANI!$B$7 + MAX(0, VERI_TABANI!D27*C461-MAX(0, VERI_TABANI!D27-VERI_TABANI!D27*B461))*VERI_TABANI!$B$8) + IF(ABS(IF(ISNUMBER(SEARCH("Var", D461)), 1, IF(ISNUMBER(SEARCH("Gri", D461)), -1, 0)))=1, VERI_TABANI!E27*(1-0.928)*VERI_TABANI!$B$9, 0) + (VERI_TABANI!D27*B461*(VERI_TABANI!$B$13-VERI_TABANI!$B$14)*VERI_TABANI!G27) + (VERI_TABANI!D27*C461*(VERI_TABANI!$B$13-VERI_TABANI!$B$15)*VERI_TABANI!G27) + IF(ABS(IF(ISNUMBER(SEARCH("Var", D461)), 1, IF(ISNUMBER(SEARCH("Gri", D461)), -1, 0)))=1, VERI_TABANI!E27*(1-0.928)*0.00206091519919798*VERI_TABANI!G27, 0)) + ((MIN(VERI_TABANI!D28, VERI_TABANI!D28*B461)*VERI_TABANI!$B$7 + MAX(0, VERI_TABANI!D28*B461-VERI_TABANI!D28)*VERI_TABANI!$B$8) + (MIN(MAX(0, VERI_TABANI!D28-VERI_TABANI!D28*B461), VERI_TABANI!D28*C461)*VERI_TABANI!$B$7 + MAX(0, VERI_TABANI!D28*C461-MAX(0, VERI_TABANI!D28-VERI_TABANI!D28*B461))*VERI_TABANI!$B$8) + IF(ABS(IF(ISNUMBER(SEARCH("Var", D461)), 1, IF(ISNUMBER(SEARCH("Gri", D461)), -1, 0)))=1, VERI_TABANI!E28*(1-0.928)*VERI_TABANI!$B$9, 0) + (VERI_TABANI!D28*B461*(VERI_TABANI!$B$13-VERI_TABANI!$B$14)*VERI_TABANI!G28) + (VERI_TABANI!D28*C461*(VERI_TABANI!$B$13-VERI_TABANI!$B$15)*VERI_TABANI!G28) + IF(ABS(IF(ISNUMBER(SEARCH("Var", D461)), 1, IF(ISNUMBER(SEARCH("Gri", D461)), -1, 0)))=1, VERI_TABANI!E28*(1-0.928)*0.00206091519919798*VERI_TABANI!G28, 0)))</f>
        <v/>
      </c>
      <c r="H461" s="169">
        <f>(((VERI_TABANI!D23*B461*(VERI_TABANI!$B$13-VERI_TABANI!$B$14)) + (VERI_TABANI!D23*C461*(VERI_TABANI!$B$13-VERI_TABANI!$B$15)) + IF(ISNUMBER(SEARCH("Var", D461)), VERI_TABANI!F23*(0.00202-VERI_TABANI!$B$16), IF(ISNUMBER(SEARCH("Gri", D461)), VERI_TABANI!F23*(0.00202-VERI_TABANI!$B$17), 0))) + ((VERI_TABANI!D24*B461*(VERI_TABANI!$B$13-VERI_TABANI!$B$14)) + (VERI_TABANI!D24*C461*(VERI_TABANI!$B$13-VERI_TABANI!$B$15)) + IF(ISNUMBER(SEARCH("Var", D461)), VERI_TABANI!F24*(0.00202-VERI_TABANI!$B$16), IF(ISNUMBER(SEARCH("Gri", D461)), VERI_TABANI!F24*(0.00202-VERI_TABANI!$B$17), 0))) + ((VERI_TABANI!D25*B461*(VERI_TABANI!$B$13-VERI_TABANI!$B$14)) + (VERI_TABANI!D25*C461*(VERI_TABANI!$B$13-VERI_TABANI!$B$15)) + IF(ISNUMBER(SEARCH("Var", D461)), VERI_TABANI!F25*(0.00202-VERI_TABANI!$B$16), IF(ISNUMBER(SEARCH("Gri", D461)), VERI_TABANI!F25*(0.00202-VERI_TABANI!$B$17), 0))) + ((VERI_TABANI!D26*B461*(VERI_TABANI!$B$13-VERI_TABANI!$B$14)) + (VERI_TABANI!D26*C461*(VERI_TABANI!$B$13-VERI_TABANI!$B$15)) + IF(ISNUMBER(SEARCH("Var", D461)), VERI_TABANI!F26*(0.00202-VERI_TABANI!$B$16), IF(ISNUMBER(SEARCH("Gri", D461)), VERI_TABANI!F26*(0.00202-VERI_TABANI!$B$17), 0))) + ((VERI_TABANI!D27*B461*(VERI_TABANI!$B$13-VERI_TABANI!$B$14)) + (VERI_TABANI!D27*C461*(VERI_TABANI!$B$13-VERI_TABANI!$B$15)) + IF(ISNUMBER(SEARCH("Var", D461)), VERI_TABANI!F27*(0.00202-VERI_TABANI!$B$16), IF(ISNUMBER(SEARCH("Gri", D461)), VERI_TABANI!F27*(0.00202-VERI_TABANI!$B$17), 0))) + ((VERI_TABANI!D28*B461*(VERI_TABANI!$B$13-VERI_TABANI!$B$14)) + (VERI_TABANI!D28*C461*(VERI_TABANI!$B$13-VERI_TABANI!$B$15)) + IF(ISNUMBER(SEARCH("Var", D461)), VERI_TABANI!F28*(0.00202-VERI_TABANI!$B$16), IF(ISNUMBER(SEARCH("Gri", D461)), VERI_TABANI!F28*(0.00202-VERI_TABANI!$B$17), 0))))</f>
        <v/>
      </c>
      <c r="I461" s="170">
        <f>IFERROR(((VERI_TABANI!$D$29*B461*VERI_TABANI!$B$14 + VERI_TABANI!$D$29*C461*VERI_TABANI!$B$15 + IF(ISNUMBER(SEARCH("Var", D461)), VERI_TABANI!$F$29*VERI_TABANI!$B$16, 0))) / (((VERI_TABANI!$D$29*B461 + VERI_TABANI!$D$29*C461)*VERI_TABANI!$B$13 + IF(ISNUMBER(SEARCH("Var", D461)), VERI_TABANI!$E$29*(1-0.928)*VERI_TABANI!$B$18, 0))), 0)</f>
        <v/>
      </c>
      <c r="J461" s="171">
        <f>IFERROR(F461/(G461/29), 0)</f>
        <v/>
      </c>
      <c r="K461" s="172">
        <f>IF(F461&gt;0, H461/F461, 0)</f>
        <v/>
      </c>
      <c r="L461" s="170">
        <f>IF(F461&gt;0, I461, 1000000000)</f>
        <v/>
      </c>
      <c r="M461" s="171">
        <f>ABS((B461+C461)-1)</f>
        <v/>
      </c>
      <c r="N461" s="170">
        <f>IF(F461&gt;0, (G461/29)/F461, 0)</f>
        <v/>
      </c>
      <c r="O461" s="168">
        <f>IF(AND((B461+C461)&gt;=1, ISNUMBER(SEARCH("Var", D461))), F461, 1000000000)</f>
        <v/>
      </c>
      <c r="P461" s="172">
        <f>IF(F461&gt;0, SQRT((F461/MAX(F$5:F$886))^2 + (1 - H461/MAX(H$5:H$886))^2 + (J461/MAX(J$5:J$886))^2), 1000000000)</f>
        <v/>
      </c>
      <c r="Q461" s="166">
        <f>IF(AND(ABS(B461-0.5)&lt;0.01, ABS(C461-0.5)&lt;0.01, ISNUMBER(SEARCH("Var", D461))), 1, 0)</f>
        <v/>
      </c>
      <c r="R461" s="171">
        <f>IF(F461&gt;0, J461, 1000000000)</f>
        <v/>
      </c>
      <c r="S461" s="101">
        <f>IF(AND(F461&lt;=DASHBOARD!$B$11, H461&gt;=DASHBOARD!$B$13), G461, -1000000000000)</f>
        <v/>
      </c>
      <c r="T461" s="101">
        <f>IF(AND(F461&lt;=DASHBOARD!$B$11, H461&gt;=DASHBOARD!$B$13), R461, 1000000000000)</f>
        <v/>
      </c>
      <c r="U461" s="101">
        <f>IF(AND(F461&lt;=DASHBOARD!$B$11, H461&gt;=DASHBOARD!$B$13), N461, -1000000000000)</f>
        <v/>
      </c>
      <c r="V461" s="101">
        <f>IF(AND(F461&lt;=DASHBOARD!$B$11, H461&gt;=DASHBOARD!$B$13), H461, -1000000000000)</f>
        <v/>
      </c>
      <c r="W461" s="101">
        <f>IF(AND(F461&lt;=DASHBOARD!$B$11, H461&gt;=DASHBOARD!$B$13), K461, -1000000000000)</f>
        <v/>
      </c>
      <c r="X461" s="101">
        <f>IF(AND(F461&lt;=DASHBOARD!$B$11, H461&gt;=DASHBOARD!$B$13), M461, 1000000000000)</f>
        <v/>
      </c>
      <c r="Y461" s="101">
        <f>IF(AND(F461&lt;=DASHBOARD!$B$10, H461&gt;=DASHBOARD!$B$11), L461, 1000000000000)</f>
        <v/>
      </c>
      <c r="Z461" s="101">
        <f>IF(AND(F461&lt;=DASHBOARD!$B$10, H461&gt;=DASHBOARD!$B$11), O461, 1000000000000)</f>
        <v/>
      </c>
      <c r="AA461" s="101">
        <f>IF(AND(F461&lt;=DASHBOARD!$B$10, H461&gt;=DASHBOARD!$B$11), P461, 1000000000000)</f>
        <v/>
      </c>
      <c r="AB461" s="101">
        <f>IF(AND(F461&lt;=DASHBOARD!$B$10, H461&gt;=DASHBOARD!$B$11), Q461, -1000000000000)</f>
        <v/>
      </c>
    </row>
    <row r="462" ht="15" customHeight="1" s="102">
      <c r="A462" s="166" t="n">
        <v>458</v>
      </c>
      <c r="B462" s="167" t="n">
        <v>1</v>
      </c>
      <c r="C462" s="167" t="n">
        <v>1.8</v>
      </c>
      <c r="D462" s="110" t="inlineStr">
        <is>
          <t>Var (%20)</t>
        </is>
      </c>
      <c r="E462" s="110">
        <f>IF((B462+C462)&lt;=1, "Tam Mahsuplaşma (≤%100)", "Kısmi Satış (&gt;%100)")</f>
        <v/>
      </c>
      <c r="F462" s="168">
        <f>((VERI_TABANI!$D$29*B462/VERI_TABANI!$B$29)/VERI_TABANI!$B$3)*VERI_TABANI!$B$5 + ((VERI_TABANI!$D$29*C462/VERI_TABANI!$B$29)/VERI_TABANI!$B$4)*VERI_TABANI!$B$6 + IF(ISNUMBER(SEARCH("Var", D462)), (VERI_TABANI!$F$29/VERI_TABANI!$B$29)*(VERI_TABANI!$B$10+VERI_TABANI!$B$12), 0)</f>
        <v/>
      </c>
      <c r="G462" s="168">
        <f>(((MIN(VERI_TABANI!D23, VERI_TABANI!D23*B462)*VERI_TABANI!$B$7 + MAX(0, VERI_TABANI!D23*B462-VERI_TABANI!D23)*VERI_TABANI!$B$8) + (MIN(MAX(0, VERI_TABANI!D23-VERI_TABANI!D23*B462), VERI_TABANI!D23*C462)*VERI_TABANI!$B$7 + MAX(0, VERI_TABANI!D23*C462-MAX(0, VERI_TABANI!D23-VERI_TABANI!D23*B462))*VERI_TABANI!$B$8) + IF(ABS(IF(ISNUMBER(SEARCH("Var", D462)), 1, IF(ISNUMBER(SEARCH("Gri", D462)), -1, 0)))=1, VERI_TABANI!E23*(1-0.928)*VERI_TABANI!$B$9, 0) + (VERI_TABANI!D23*B462*(VERI_TABANI!$B$13-VERI_TABANI!$B$14)*VERI_TABANI!G23) + (VERI_TABANI!D23*C462*(VERI_TABANI!$B$13-VERI_TABANI!$B$15)*VERI_TABANI!G23) + IF(ABS(IF(ISNUMBER(SEARCH("Var", D462)), 1, IF(ISNUMBER(SEARCH("Gri", D462)), -1, 0)))=1, VERI_TABANI!E23*(1-0.928)*0.00206091519919798*VERI_TABANI!G23, 0)) + ((MIN(VERI_TABANI!D24, VERI_TABANI!D24*B462)*VERI_TABANI!$B$7 + MAX(0, VERI_TABANI!D24*B462-VERI_TABANI!D24)*VERI_TABANI!$B$8) + (MIN(MAX(0, VERI_TABANI!D24-VERI_TABANI!D24*B462), VERI_TABANI!D24*C462)*VERI_TABANI!$B$7 + MAX(0, VERI_TABANI!D24*C462-MAX(0, VERI_TABANI!D24-VERI_TABANI!D24*B462))*VERI_TABANI!$B$8) + IF(ABS(IF(ISNUMBER(SEARCH("Var", D462)), 1, IF(ISNUMBER(SEARCH("Gri", D462)), -1, 0)))=1, VERI_TABANI!E24*(1-0.928)*VERI_TABANI!$B$9, 0) + (VERI_TABANI!D24*B462*(VERI_TABANI!$B$13-VERI_TABANI!$B$14)*VERI_TABANI!G24) + (VERI_TABANI!D24*C462*(VERI_TABANI!$B$13-VERI_TABANI!$B$15)*VERI_TABANI!G24) + IF(ABS(IF(ISNUMBER(SEARCH("Var", D462)), 1, IF(ISNUMBER(SEARCH("Gri", D462)), -1, 0)))=1, VERI_TABANI!E24*(1-0.928)*0.00206091519919798*VERI_TABANI!G24, 0)) + ((MIN(VERI_TABANI!D25, VERI_TABANI!D25*B462)*VERI_TABANI!$B$7 + MAX(0, VERI_TABANI!D25*B462-VERI_TABANI!D25)*VERI_TABANI!$B$8) + (MIN(MAX(0, VERI_TABANI!D25-VERI_TABANI!D25*B462), VERI_TABANI!D25*C462)*VERI_TABANI!$B$7 + MAX(0, VERI_TABANI!D25*C462-MAX(0, VERI_TABANI!D25-VERI_TABANI!D25*B462))*VERI_TABANI!$B$8) + IF(ABS(IF(ISNUMBER(SEARCH("Var", D462)), 1, IF(ISNUMBER(SEARCH("Gri", D462)), -1, 0)))=1, VERI_TABANI!E25*(1-0.928)*VERI_TABANI!$B$9, 0) + (VERI_TABANI!D25*B462*(VERI_TABANI!$B$13-VERI_TABANI!$B$14)*VERI_TABANI!G25) + (VERI_TABANI!D25*C462*(VERI_TABANI!$B$13-VERI_TABANI!$B$15)*VERI_TABANI!G25) + IF(ABS(IF(ISNUMBER(SEARCH("Var", D462)), 1, IF(ISNUMBER(SEARCH("Gri", D462)), -1, 0)))=1, VERI_TABANI!E25*(1-0.928)*0.00206091519919798*VERI_TABANI!G25, 0)) + ((MIN(VERI_TABANI!D26, VERI_TABANI!D26*B462)*VERI_TABANI!$B$7 + MAX(0, VERI_TABANI!D26*B462-VERI_TABANI!D26)*VERI_TABANI!$B$8) + (MIN(MAX(0, VERI_TABANI!D26-VERI_TABANI!D26*B462), VERI_TABANI!D26*C462)*VERI_TABANI!$B$7 + MAX(0, VERI_TABANI!D26*C462-MAX(0, VERI_TABANI!D26-VERI_TABANI!D26*B462))*VERI_TABANI!$B$8) + IF(ABS(IF(ISNUMBER(SEARCH("Var", D462)), 1, IF(ISNUMBER(SEARCH("Gri", D462)), -1, 0)))=1, VERI_TABANI!E26*(1-0.928)*VERI_TABANI!$B$9, 0) + (VERI_TABANI!D26*B462*(VERI_TABANI!$B$13-VERI_TABANI!$B$14)*VERI_TABANI!G26) + (VERI_TABANI!D26*C462*(VERI_TABANI!$B$13-VERI_TABANI!$B$15)*VERI_TABANI!G26) + IF(ABS(IF(ISNUMBER(SEARCH("Var", D462)), 1, IF(ISNUMBER(SEARCH("Gri", D462)), -1, 0)))=1, VERI_TABANI!E26*(1-0.928)*0.00206091519919798*VERI_TABANI!G26, 0)) + ((MIN(VERI_TABANI!D27, VERI_TABANI!D27*B462)*VERI_TABANI!$B$7 + MAX(0, VERI_TABANI!D27*B462-VERI_TABANI!D27)*VERI_TABANI!$B$8) + (MIN(MAX(0, VERI_TABANI!D27-VERI_TABANI!D27*B462), VERI_TABANI!D27*C462)*VERI_TABANI!$B$7 + MAX(0, VERI_TABANI!D27*C462-MAX(0, VERI_TABANI!D27-VERI_TABANI!D27*B462))*VERI_TABANI!$B$8) + IF(ABS(IF(ISNUMBER(SEARCH("Var", D462)), 1, IF(ISNUMBER(SEARCH("Gri", D462)), -1, 0)))=1, VERI_TABANI!E27*(1-0.928)*VERI_TABANI!$B$9, 0) + (VERI_TABANI!D27*B462*(VERI_TABANI!$B$13-VERI_TABANI!$B$14)*VERI_TABANI!G27) + (VERI_TABANI!D27*C462*(VERI_TABANI!$B$13-VERI_TABANI!$B$15)*VERI_TABANI!G27) + IF(ABS(IF(ISNUMBER(SEARCH("Var", D462)), 1, IF(ISNUMBER(SEARCH("Gri", D462)), -1, 0)))=1, VERI_TABANI!E27*(1-0.928)*0.00206091519919798*VERI_TABANI!G27, 0)) + ((MIN(VERI_TABANI!D28, VERI_TABANI!D28*B462)*VERI_TABANI!$B$7 + MAX(0, VERI_TABANI!D28*B462-VERI_TABANI!D28)*VERI_TABANI!$B$8) + (MIN(MAX(0, VERI_TABANI!D28-VERI_TABANI!D28*B462), VERI_TABANI!D28*C462)*VERI_TABANI!$B$7 + MAX(0, VERI_TABANI!D28*C462-MAX(0, VERI_TABANI!D28-VERI_TABANI!D28*B462))*VERI_TABANI!$B$8) + IF(ABS(IF(ISNUMBER(SEARCH("Var", D462)), 1, IF(ISNUMBER(SEARCH("Gri", D462)), -1, 0)))=1, VERI_TABANI!E28*(1-0.928)*VERI_TABANI!$B$9, 0) + (VERI_TABANI!D28*B462*(VERI_TABANI!$B$13-VERI_TABANI!$B$14)*VERI_TABANI!G28) + (VERI_TABANI!D28*C462*(VERI_TABANI!$B$13-VERI_TABANI!$B$15)*VERI_TABANI!G28) + IF(ABS(IF(ISNUMBER(SEARCH("Var", D462)), 1, IF(ISNUMBER(SEARCH("Gri", D462)), -1, 0)))=1, VERI_TABANI!E28*(1-0.928)*0.00206091519919798*VERI_TABANI!G28, 0)))</f>
        <v/>
      </c>
      <c r="H462" s="169">
        <f>(((VERI_TABANI!D23*B462*(VERI_TABANI!$B$13-VERI_TABANI!$B$14)) + (VERI_TABANI!D23*C462*(VERI_TABANI!$B$13-VERI_TABANI!$B$15)) + IF(ISNUMBER(SEARCH("Var", D462)), VERI_TABANI!F23*(0.00202-VERI_TABANI!$B$16), IF(ISNUMBER(SEARCH("Gri", D462)), VERI_TABANI!F23*(0.00202-VERI_TABANI!$B$17), 0))) + ((VERI_TABANI!D24*B462*(VERI_TABANI!$B$13-VERI_TABANI!$B$14)) + (VERI_TABANI!D24*C462*(VERI_TABANI!$B$13-VERI_TABANI!$B$15)) + IF(ISNUMBER(SEARCH("Var", D462)), VERI_TABANI!F24*(0.00202-VERI_TABANI!$B$16), IF(ISNUMBER(SEARCH("Gri", D462)), VERI_TABANI!F24*(0.00202-VERI_TABANI!$B$17), 0))) + ((VERI_TABANI!D25*B462*(VERI_TABANI!$B$13-VERI_TABANI!$B$14)) + (VERI_TABANI!D25*C462*(VERI_TABANI!$B$13-VERI_TABANI!$B$15)) + IF(ISNUMBER(SEARCH("Var", D462)), VERI_TABANI!F25*(0.00202-VERI_TABANI!$B$16), IF(ISNUMBER(SEARCH("Gri", D462)), VERI_TABANI!F25*(0.00202-VERI_TABANI!$B$17), 0))) + ((VERI_TABANI!D26*B462*(VERI_TABANI!$B$13-VERI_TABANI!$B$14)) + (VERI_TABANI!D26*C462*(VERI_TABANI!$B$13-VERI_TABANI!$B$15)) + IF(ISNUMBER(SEARCH("Var", D462)), VERI_TABANI!F26*(0.00202-VERI_TABANI!$B$16), IF(ISNUMBER(SEARCH("Gri", D462)), VERI_TABANI!F26*(0.00202-VERI_TABANI!$B$17), 0))) + ((VERI_TABANI!D27*B462*(VERI_TABANI!$B$13-VERI_TABANI!$B$14)) + (VERI_TABANI!D27*C462*(VERI_TABANI!$B$13-VERI_TABANI!$B$15)) + IF(ISNUMBER(SEARCH("Var", D462)), VERI_TABANI!F27*(0.00202-VERI_TABANI!$B$16), IF(ISNUMBER(SEARCH("Gri", D462)), VERI_TABANI!F27*(0.00202-VERI_TABANI!$B$17), 0))) + ((VERI_TABANI!D28*B462*(VERI_TABANI!$B$13-VERI_TABANI!$B$14)) + (VERI_TABANI!D28*C462*(VERI_TABANI!$B$13-VERI_TABANI!$B$15)) + IF(ISNUMBER(SEARCH("Var", D462)), VERI_TABANI!F28*(0.00202-VERI_TABANI!$B$16), IF(ISNUMBER(SEARCH("Gri", D462)), VERI_TABANI!F28*(0.00202-VERI_TABANI!$B$17), 0))))</f>
        <v/>
      </c>
      <c r="I462" s="170">
        <f>IFERROR(((VERI_TABANI!$D$29*B462*VERI_TABANI!$B$14 + VERI_TABANI!$D$29*C462*VERI_TABANI!$B$15 + IF(ISNUMBER(SEARCH("Var", D462)), VERI_TABANI!$F$29*VERI_TABANI!$B$16, 0))) / (((VERI_TABANI!$D$29*B462 + VERI_TABANI!$D$29*C462)*VERI_TABANI!$B$13 + IF(ISNUMBER(SEARCH("Var", D462)), VERI_TABANI!$E$29*(1-0.928)*VERI_TABANI!$B$18, 0))), 0)</f>
        <v/>
      </c>
      <c r="J462" s="171">
        <f>IFERROR(F462/(G462/29), 0)</f>
        <v/>
      </c>
      <c r="K462" s="172">
        <f>IF(F462&gt;0, H462/F462, 0)</f>
        <v/>
      </c>
      <c r="L462" s="170">
        <f>IF(F462&gt;0, I462, 1000000000)</f>
        <v/>
      </c>
      <c r="M462" s="171">
        <f>ABS((B462+C462)-1)</f>
        <v/>
      </c>
      <c r="N462" s="170">
        <f>IF(F462&gt;0, (G462/29)/F462, 0)</f>
        <v/>
      </c>
      <c r="O462" s="168">
        <f>IF(AND((B462+C462)&gt;=1, ISNUMBER(SEARCH("Var", D462))), F462, 1000000000)</f>
        <v/>
      </c>
      <c r="P462" s="172">
        <f>IF(F462&gt;0, SQRT((F462/MAX(F$5:F$886))^2 + (1 - H462/MAX(H$5:H$886))^2 + (J462/MAX(J$5:J$886))^2), 1000000000)</f>
        <v/>
      </c>
      <c r="Q462" s="166">
        <f>IF(AND(ABS(B462-0.5)&lt;0.01, ABS(C462-0.5)&lt;0.01, ISNUMBER(SEARCH("Var", D462))), 1, 0)</f>
        <v/>
      </c>
      <c r="R462" s="171">
        <f>IF(F462&gt;0, J462, 1000000000)</f>
        <v/>
      </c>
      <c r="S462" s="101">
        <f>IF(AND(F462&lt;=DASHBOARD!$B$11, H462&gt;=DASHBOARD!$B$13), G462, -1000000000000)</f>
        <v/>
      </c>
      <c r="T462" s="101">
        <f>IF(AND(F462&lt;=DASHBOARD!$B$11, H462&gt;=DASHBOARD!$B$13), R462, 1000000000000)</f>
        <v/>
      </c>
      <c r="U462" s="101">
        <f>IF(AND(F462&lt;=DASHBOARD!$B$11, H462&gt;=DASHBOARD!$B$13), N462, -1000000000000)</f>
        <v/>
      </c>
      <c r="V462" s="101">
        <f>IF(AND(F462&lt;=DASHBOARD!$B$11, H462&gt;=DASHBOARD!$B$13), H462, -1000000000000)</f>
        <v/>
      </c>
      <c r="W462" s="101">
        <f>IF(AND(F462&lt;=DASHBOARD!$B$11, H462&gt;=DASHBOARD!$B$13), K462, -1000000000000)</f>
        <v/>
      </c>
      <c r="X462" s="101">
        <f>IF(AND(F462&lt;=DASHBOARD!$B$11, H462&gt;=DASHBOARD!$B$13), M462, 1000000000000)</f>
        <v/>
      </c>
      <c r="Y462" s="101">
        <f>IF(AND(F462&lt;=DASHBOARD!$B$10, H462&gt;=DASHBOARD!$B$11), L462, 1000000000000)</f>
        <v/>
      </c>
      <c r="Z462" s="101">
        <f>IF(AND(F462&lt;=DASHBOARD!$B$10, H462&gt;=DASHBOARD!$B$11), O462, 1000000000000)</f>
        <v/>
      </c>
      <c r="AA462" s="101">
        <f>IF(AND(F462&lt;=DASHBOARD!$B$10, H462&gt;=DASHBOARD!$B$11), P462, 1000000000000)</f>
        <v/>
      </c>
      <c r="AB462" s="101">
        <f>IF(AND(F462&lt;=DASHBOARD!$B$10, H462&gt;=DASHBOARD!$B$11), Q462, -1000000000000)</f>
        <v/>
      </c>
    </row>
    <row r="463" ht="15" customHeight="1" s="102">
      <c r="A463" s="166" t="n">
        <v>459</v>
      </c>
      <c r="B463" s="167" t="n">
        <v>1</v>
      </c>
      <c r="C463" s="167" t="n">
        <v>1.9</v>
      </c>
      <c r="D463" s="110" t="inlineStr">
        <is>
          <t>Yok (%0)</t>
        </is>
      </c>
      <c r="E463" s="110">
        <f>IF((B463+C463)&lt;=1, "Tam Mahsuplaşma (≤%100)", "Kısmi Satış (&gt;%100)")</f>
        <v/>
      </c>
      <c r="F463" s="168">
        <f>((VERI_TABANI!$D$29*B463/VERI_TABANI!$B$29)/VERI_TABANI!$B$3)*VERI_TABANI!$B$5 + ((VERI_TABANI!$D$29*C463/VERI_TABANI!$B$29)/VERI_TABANI!$B$4)*VERI_TABANI!$B$6 + IF(ISNUMBER(SEARCH("Var", D463)), (VERI_TABANI!$F$29/VERI_TABANI!$B$29)*(VERI_TABANI!$B$10+VERI_TABANI!$B$12), 0)</f>
        <v/>
      </c>
      <c r="G463" s="168">
        <f>(((MIN(VERI_TABANI!D23, VERI_TABANI!D23*B463)*VERI_TABANI!$B$7 + MAX(0, VERI_TABANI!D23*B463-VERI_TABANI!D23)*VERI_TABANI!$B$8) + (MIN(MAX(0, VERI_TABANI!D23-VERI_TABANI!D23*B463), VERI_TABANI!D23*C463)*VERI_TABANI!$B$7 + MAX(0, VERI_TABANI!D23*C463-MAX(0, VERI_TABANI!D23-VERI_TABANI!D23*B463))*VERI_TABANI!$B$8) + IF(ABS(IF(ISNUMBER(SEARCH("Var", D463)), 1, IF(ISNUMBER(SEARCH("Gri", D463)), -1, 0)))=1, VERI_TABANI!E23*(1-0.928)*VERI_TABANI!$B$9, 0) + (VERI_TABANI!D23*B463*(VERI_TABANI!$B$13-VERI_TABANI!$B$14)*VERI_TABANI!G23) + (VERI_TABANI!D23*C463*(VERI_TABANI!$B$13-VERI_TABANI!$B$15)*VERI_TABANI!G23) + IF(ABS(IF(ISNUMBER(SEARCH("Var", D463)), 1, IF(ISNUMBER(SEARCH("Gri", D463)), -1, 0)))=1, VERI_TABANI!E23*(1-0.928)*0.00206091519919798*VERI_TABANI!G23, 0)) + ((MIN(VERI_TABANI!D24, VERI_TABANI!D24*B463)*VERI_TABANI!$B$7 + MAX(0, VERI_TABANI!D24*B463-VERI_TABANI!D24)*VERI_TABANI!$B$8) + (MIN(MAX(0, VERI_TABANI!D24-VERI_TABANI!D24*B463), VERI_TABANI!D24*C463)*VERI_TABANI!$B$7 + MAX(0, VERI_TABANI!D24*C463-MAX(0, VERI_TABANI!D24-VERI_TABANI!D24*B463))*VERI_TABANI!$B$8) + IF(ABS(IF(ISNUMBER(SEARCH("Var", D463)), 1, IF(ISNUMBER(SEARCH("Gri", D463)), -1, 0)))=1, VERI_TABANI!E24*(1-0.928)*VERI_TABANI!$B$9, 0) + (VERI_TABANI!D24*B463*(VERI_TABANI!$B$13-VERI_TABANI!$B$14)*VERI_TABANI!G24) + (VERI_TABANI!D24*C463*(VERI_TABANI!$B$13-VERI_TABANI!$B$15)*VERI_TABANI!G24) + IF(ABS(IF(ISNUMBER(SEARCH("Var", D463)), 1, IF(ISNUMBER(SEARCH("Gri", D463)), -1, 0)))=1, VERI_TABANI!E24*(1-0.928)*0.00206091519919798*VERI_TABANI!G24, 0)) + ((MIN(VERI_TABANI!D25, VERI_TABANI!D25*B463)*VERI_TABANI!$B$7 + MAX(0, VERI_TABANI!D25*B463-VERI_TABANI!D25)*VERI_TABANI!$B$8) + (MIN(MAX(0, VERI_TABANI!D25-VERI_TABANI!D25*B463), VERI_TABANI!D25*C463)*VERI_TABANI!$B$7 + MAX(0, VERI_TABANI!D25*C463-MAX(0, VERI_TABANI!D25-VERI_TABANI!D25*B463))*VERI_TABANI!$B$8) + IF(ABS(IF(ISNUMBER(SEARCH("Var", D463)), 1, IF(ISNUMBER(SEARCH("Gri", D463)), -1, 0)))=1, VERI_TABANI!E25*(1-0.928)*VERI_TABANI!$B$9, 0) + (VERI_TABANI!D25*B463*(VERI_TABANI!$B$13-VERI_TABANI!$B$14)*VERI_TABANI!G25) + (VERI_TABANI!D25*C463*(VERI_TABANI!$B$13-VERI_TABANI!$B$15)*VERI_TABANI!G25) + IF(ABS(IF(ISNUMBER(SEARCH("Var", D463)), 1, IF(ISNUMBER(SEARCH("Gri", D463)), -1, 0)))=1, VERI_TABANI!E25*(1-0.928)*0.00206091519919798*VERI_TABANI!G25, 0)) + ((MIN(VERI_TABANI!D26, VERI_TABANI!D26*B463)*VERI_TABANI!$B$7 + MAX(0, VERI_TABANI!D26*B463-VERI_TABANI!D26)*VERI_TABANI!$B$8) + (MIN(MAX(0, VERI_TABANI!D26-VERI_TABANI!D26*B463), VERI_TABANI!D26*C463)*VERI_TABANI!$B$7 + MAX(0, VERI_TABANI!D26*C463-MAX(0, VERI_TABANI!D26-VERI_TABANI!D26*B463))*VERI_TABANI!$B$8) + IF(ABS(IF(ISNUMBER(SEARCH("Var", D463)), 1, IF(ISNUMBER(SEARCH("Gri", D463)), -1, 0)))=1, VERI_TABANI!E26*(1-0.928)*VERI_TABANI!$B$9, 0) + (VERI_TABANI!D26*B463*(VERI_TABANI!$B$13-VERI_TABANI!$B$14)*VERI_TABANI!G26) + (VERI_TABANI!D26*C463*(VERI_TABANI!$B$13-VERI_TABANI!$B$15)*VERI_TABANI!G26) + IF(ABS(IF(ISNUMBER(SEARCH("Var", D463)), 1, IF(ISNUMBER(SEARCH("Gri", D463)), -1, 0)))=1, VERI_TABANI!E26*(1-0.928)*0.00206091519919798*VERI_TABANI!G26, 0)) + ((MIN(VERI_TABANI!D27, VERI_TABANI!D27*B463)*VERI_TABANI!$B$7 + MAX(0, VERI_TABANI!D27*B463-VERI_TABANI!D27)*VERI_TABANI!$B$8) + (MIN(MAX(0, VERI_TABANI!D27-VERI_TABANI!D27*B463), VERI_TABANI!D27*C463)*VERI_TABANI!$B$7 + MAX(0, VERI_TABANI!D27*C463-MAX(0, VERI_TABANI!D27-VERI_TABANI!D27*B463))*VERI_TABANI!$B$8) + IF(ABS(IF(ISNUMBER(SEARCH("Var", D463)), 1, IF(ISNUMBER(SEARCH("Gri", D463)), -1, 0)))=1, VERI_TABANI!E27*(1-0.928)*VERI_TABANI!$B$9, 0) + (VERI_TABANI!D27*B463*(VERI_TABANI!$B$13-VERI_TABANI!$B$14)*VERI_TABANI!G27) + (VERI_TABANI!D27*C463*(VERI_TABANI!$B$13-VERI_TABANI!$B$15)*VERI_TABANI!G27) + IF(ABS(IF(ISNUMBER(SEARCH("Var", D463)), 1, IF(ISNUMBER(SEARCH("Gri", D463)), -1, 0)))=1, VERI_TABANI!E27*(1-0.928)*0.00206091519919798*VERI_TABANI!G27, 0)) + ((MIN(VERI_TABANI!D28, VERI_TABANI!D28*B463)*VERI_TABANI!$B$7 + MAX(0, VERI_TABANI!D28*B463-VERI_TABANI!D28)*VERI_TABANI!$B$8) + (MIN(MAX(0, VERI_TABANI!D28-VERI_TABANI!D28*B463), VERI_TABANI!D28*C463)*VERI_TABANI!$B$7 + MAX(0, VERI_TABANI!D28*C463-MAX(0, VERI_TABANI!D28-VERI_TABANI!D28*B463))*VERI_TABANI!$B$8) + IF(ABS(IF(ISNUMBER(SEARCH("Var", D463)), 1, IF(ISNUMBER(SEARCH("Gri", D463)), -1, 0)))=1, VERI_TABANI!E28*(1-0.928)*VERI_TABANI!$B$9, 0) + (VERI_TABANI!D28*B463*(VERI_TABANI!$B$13-VERI_TABANI!$B$14)*VERI_TABANI!G28) + (VERI_TABANI!D28*C463*(VERI_TABANI!$B$13-VERI_TABANI!$B$15)*VERI_TABANI!G28) + IF(ABS(IF(ISNUMBER(SEARCH("Var", D463)), 1, IF(ISNUMBER(SEARCH("Gri", D463)), -1, 0)))=1, VERI_TABANI!E28*(1-0.928)*0.00206091519919798*VERI_TABANI!G28, 0)))</f>
        <v/>
      </c>
      <c r="H463" s="169">
        <f>(((VERI_TABANI!D23*B463*(VERI_TABANI!$B$13-VERI_TABANI!$B$14)) + (VERI_TABANI!D23*C463*(VERI_TABANI!$B$13-VERI_TABANI!$B$15)) + IF(ISNUMBER(SEARCH("Var", D463)), VERI_TABANI!F23*(0.00202-VERI_TABANI!$B$16), IF(ISNUMBER(SEARCH("Gri", D463)), VERI_TABANI!F23*(0.00202-VERI_TABANI!$B$17), 0))) + ((VERI_TABANI!D24*B463*(VERI_TABANI!$B$13-VERI_TABANI!$B$14)) + (VERI_TABANI!D24*C463*(VERI_TABANI!$B$13-VERI_TABANI!$B$15)) + IF(ISNUMBER(SEARCH("Var", D463)), VERI_TABANI!F24*(0.00202-VERI_TABANI!$B$16), IF(ISNUMBER(SEARCH("Gri", D463)), VERI_TABANI!F24*(0.00202-VERI_TABANI!$B$17), 0))) + ((VERI_TABANI!D25*B463*(VERI_TABANI!$B$13-VERI_TABANI!$B$14)) + (VERI_TABANI!D25*C463*(VERI_TABANI!$B$13-VERI_TABANI!$B$15)) + IF(ISNUMBER(SEARCH("Var", D463)), VERI_TABANI!F25*(0.00202-VERI_TABANI!$B$16), IF(ISNUMBER(SEARCH("Gri", D463)), VERI_TABANI!F25*(0.00202-VERI_TABANI!$B$17), 0))) + ((VERI_TABANI!D26*B463*(VERI_TABANI!$B$13-VERI_TABANI!$B$14)) + (VERI_TABANI!D26*C463*(VERI_TABANI!$B$13-VERI_TABANI!$B$15)) + IF(ISNUMBER(SEARCH("Var", D463)), VERI_TABANI!F26*(0.00202-VERI_TABANI!$B$16), IF(ISNUMBER(SEARCH("Gri", D463)), VERI_TABANI!F26*(0.00202-VERI_TABANI!$B$17), 0))) + ((VERI_TABANI!D27*B463*(VERI_TABANI!$B$13-VERI_TABANI!$B$14)) + (VERI_TABANI!D27*C463*(VERI_TABANI!$B$13-VERI_TABANI!$B$15)) + IF(ISNUMBER(SEARCH("Var", D463)), VERI_TABANI!F27*(0.00202-VERI_TABANI!$B$16), IF(ISNUMBER(SEARCH("Gri", D463)), VERI_TABANI!F27*(0.00202-VERI_TABANI!$B$17), 0))) + ((VERI_TABANI!D28*B463*(VERI_TABANI!$B$13-VERI_TABANI!$B$14)) + (VERI_TABANI!D28*C463*(VERI_TABANI!$B$13-VERI_TABANI!$B$15)) + IF(ISNUMBER(SEARCH("Var", D463)), VERI_TABANI!F28*(0.00202-VERI_TABANI!$B$16), IF(ISNUMBER(SEARCH("Gri", D463)), VERI_TABANI!F28*(0.00202-VERI_TABANI!$B$17), 0))))</f>
        <v/>
      </c>
      <c r="I463" s="170">
        <f>IFERROR(((VERI_TABANI!$D$29*B463*VERI_TABANI!$B$14 + VERI_TABANI!$D$29*C463*VERI_TABANI!$B$15 + IF(ISNUMBER(SEARCH("Var", D463)), VERI_TABANI!$F$29*VERI_TABANI!$B$16, 0))) / (((VERI_TABANI!$D$29*B463 + VERI_TABANI!$D$29*C463)*VERI_TABANI!$B$13 + IF(ISNUMBER(SEARCH("Var", D463)), VERI_TABANI!$E$29*(1-0.928)*VERI_TABANI!$B$18, 0))), 0)</f>
        <v/>
      </c>
      <c r="J463" s="171">
        <f>IFERROR(F463/(G463/29), 0)</f>
        <v/>
      </c>
      <c r="K463" s="172">
        <f>IF(F463&gt;0, H463/F463, 0)</f>
        <v/>
      </c>
      <c r="L463" s="170">
        <f>IF(F463&gt;0, I463, 1000000000)</f>
        <v/>
      </c>
      <c r="M463" s="171">
        <f>ABS((B463+C463)-1)</f>
        <v/>
      </c>
      <c r="N463" s="170">
        <f>IF(F463&gt;0, (G463/29)/F463, 0)</f>
        <v/>
      </c>
      <c r="O463" s="168">
        <f>IF(AND((B463+C463)&gt;=1, ISNUMBER(SEARCH("Var", D463))), F463, 1000000000)</f>
        <v/>
      </c>
      <c r="P463" s="172">
        <f>IF(F463&gt;0, SQRT((F463/MAX(F$5:F$886))^2 + (1 - H463/MAX(H$5:H$886))^2 + (J463/MAX(J$5:J$886))^2), 1000000000)</f>
        <v/>
      </c>
      <c r="Q463" s="166">
        <f>IF(AND(ABS(B463-0.5)&lt;0.01, ABS(C463-0.5)&lt;0.01, ISNUMBER(SEARCH("Var", D463))), 1, 0)</f>
        <v/>
      </c>
      <c r="R463" s="171">
        <f>IF(F463&gt;0, J463, 1000000000)</f>
        <v/>
      </c>
      <c r="S463" s="101">
        <f>IF(AND(F463&lt;=DASHBOARD!$B$11, H463&gt;=DASHBOARD!$B$13), G463, -1000000000000)</f>
        <v/>
      </c>
      <c r="T463" s="101">
        <f>IF(AND(F463&lt;=DASHBOARD!$B$11, H463&gt;=DASHBOARD!$B$13), R463, 1000000000000)</f>
        <v/>
      </c>
      <c r="U463" s="101">
        <f>IF(AND(F463&lt;=DASHBOARD!$B$11, H463&gt;=DASHBOARD!$B$13), N463, -1000000000000)</f>
        <v/>
      </c>
      <c r="V463" s="101">
        <f>IF(AND(F463&lt;=DASHBOARD!$B$11, H463&gt;=DASHBOARD!$B$13), H463, -1000000000000)</f>
        <v/>
      </c>
      <c r="W463" s="101">
        <f>IF(AND(F463&lt;=DASHBOARD!$B$11, H463&gt;=DASHBOARD!$B$13), K463, -1000000000000)</f>
        <v/>
      </c>
      <c r="X463" s="101">
        <f>IF(AND(F463&lt;=DASHBOARD!$B$11, H463&gt;=DASHBOARD!$B$13), M463, 1000000000000)</f>
        <v/>
      </c>
      <c r="Y463" s="101">
        <f>IF(AND(F463&lt;=DASHBOARD!$B$10, H463&gt;=DASHBOARD!$B$11), L463, 1000000000000)</f>
        <v/>
      </c>
      <c r="Z463" s="101">
        <f>IF(AND(F463&lt;=DASHBOARD!$B$10, H463&gt;=DASHBOARD!$B$11), O463, 1000000000000)</f>
        <v/>
      </c>
      <c r="AA463" s="101">
        <f>IF(AND(F463&lt;=DASHBOARD!$B$10, H463&gt;=DASHBOARD!$B$11), P463, 1000000000000)</f>
        <v/>
      </c>
      <c r="AB463" s="101">
        <f>IF(AND(F463&lt;=DASHBOARD!$B$10, H463&gt;=DASHBOARD!$B$11), Q463, -1000000000000)</f>
        <v/>
      </c>
    </row>
    <row r="464" ht="15" customHeight="1" s="102">
      <c r="A464" s="166" t="n">
        <v>460</v>
      </c>
      <c r="B464" s="167" t="n">
        <v>1</v>
      </c>
      <c r="C464" s="167" t="n">
        <v>1.9</v>
      </c>
      <c r="D464" s="110" t="inlineStr">
        <is>
          <t>Var (%20)</t>
        </is>
      </c>
      <c r="E464" s="110">
        <f>IF((B464+C464)&lt;=1, "Tam Mahsuplaşma (≤%100)", "Kısmi Satış (&gt;%100)")</f>
        <v/>
      </c>
      <c r="F464" s="168">
        <f>((VERI_TABANI!$D$29*B464/VERI_TABANI!$B$29)/VERI_TABANI!$B$3)*VERI_TABANI!$B$5 + ((VERI_TABANI!$D$29*C464/VERI_TABANI!$B$29)/VERI_TABANI!$B$4)*VERI_TABANI!$B$6 + IF(ISNUMBER(SEARCH("Var", D464)), (VERI_TABANI!$F$29/VERI_TABANI!$B$29)*(VERI_TABANI!$B$10+VERI_TABANI!$B$12), 0)</f>
        <v/>
      </c>
      <c r="G464" s="168">
        <f>(((MIN(VERI_TABANI!D23, VERI_TABANI!D23*B464)*VERI_TABANI!$B$7 + MAX(0, VERI_TABANI!D23*B464-VERI_TABANI!D23)*VERI_TABANI!$B$8) + (MIN(MAX(0, VERI_TABANI!D23-VERI_TABANI!D23*B464), VERI_TABANI!D23*C464)*VERI_TABANI!$B$7 + MAX(0, VERI_TABANI!D23*C464-MAX(0, VERI_TABANI!D23-VERI_TABANI!D23*B464))*VERI_TABANI!$B$8) + IF(ABS(IF(ISNUMBER(SEARCH("Var", D464)), 1, IF(ISNUMBER(SEARCH("Gri", D464)), -1, 0)))=1, VERI_TABANI!E23*(1-0.928)*VERI_TABANI!$B$9, 0) + (VERI_TABANI!D23*B464*(VERI_TABANI!$B$13-VERI_TABANI!$B$14)*VERI_TABANI!G23) + (VERI_TABANI!D23*C464*(VERI_TABANI!$B$13-VERI_TABANI!$B$15)*VERI_TABANI!G23) + IF(ABS(IF(ISNUMBER(SEARCH("Var", D464)), 1, IF(ISNUMBER(SEARCH("Gri", D464)), -1, 0)))=1, VERI_TABANI!E23*(1-0.928)*0.00206091519919798*VERI_TABANI!G23, 0)) + ((MIN(VERI_TABANI!D24, VERI_TABANI!D24*B464)*VERI_TABANI!$B$7 + MAX(0, VERI_TABANI!D24*B464-VERI_TABANI!D24)*VERI_TABANI!$B$8) + (MIN(MAX(0, VERI_TABANI!D24-VERI_TABANI!D24*B464), VERI_TABANI!D24*C464)*VERI_TABANI!$B$7 + MAX(0, VERI_TABANI!D24*C464-MAX(0, VERI_TABANI!D24-VERI_TABANI!D24*B464))*VERI_TABANI!$B$8) + IF(ABS(IF(ISNUMBER(SEARCH("Var", D464)), 1, IF(ISNUMBER(SEARCH("Gri", D464)), -1, 0)))=1, VERI_TABANI!E24*(1-0.928)*VERI_TABANI!$B$9, 0) + (VERI_TABANI!D24*B464*(VERI_TABANI!$B$13-VERI_TABANI!$B$14)*VERI_TABANI!G24) + (VERI_TABANI!D24*C464*(VERI_TABANI!$B$13-VERI_TABANI!$B$15)*VERI_TABANI!G24) + IF(ABS(IF(ISNUMBER(SEARCH("Var", D464)), 1, IF(ISNUMBER(SEARCH("Gri", D464)), -1, 0)))=1, VERI_TABANI!E24*(1-0.928)*0.00206091519919798*VERI_TABANI!G24, 0)) + ((MIN(VERI_TABANI!D25, VERI_TABANI!D25*B464)*VERI_TABANI!$B$7 + MAX(0, VERI_TABANI!D25*B464-VERI_TABANI!D25)*VERI_TABANI!$B$8) + (MIN(MAX(0, VERI_TABANI!D25-VERI_TABANI!D25*B464), VERI_TABANI!D25*C464)*VERI_TABANI!$B$7 + MAX(0, VERI_TABANI!D25*C464-MAX(0, VERI_TABANI!D25-VERI_TABANI!D25*B464))*VERI_TABANI!$B$8) + IF(ABS(IF(ISNUMBER(SEARCH("Var", D464)), 1, IF(ISNUMBER(SEARCH("Gri", D464)), -1, 0)))=1, VERI_TABANI!E25*(1-0.928)*VERI_TABANI!$B$9, 0) + (VERI_TABANI!D25*B464*(VERI_TABANI!$B$13-VERI_TABANI!$B$14)*VERI_TABANI!G25) + (VERI_TABANI!D25*C464*(VERI_TABANI!$B$13-VERI_TABANI!$B$15)*VERI_TABANI!G25) + IF(ABS(IF(ISNUMBER(SEARCH("Var", D464)), 1, IF(ISNUMBER(SEARCH("Gri", D464)), -1, 0)))=1, VERI_TABANI!E25*(1-0.928)*0.00206091519919798*VERI_TABANI!G25, 0)) + ((MIN(VERI_TABANI!D26, VERI_TABANI!D26*B464)*VERI_TABANI!$B$7 + MAX(0, VERI_TABANI!D26*B464-VERI_TABANI!D26)*VERI_TABANI!$B$8) + (MIN(MAX(0, VERI_TABANI!D26-VERI_TABANI!D26*B464), VERI_TABANI!D26*C464)*VERI_TABANI!$B$7 + MAX(0, VERI_TABANI!D26*C464-MAX(0, VERI_TABANI!D26-VERI_TABANI!D26*B464))*VERI_TABANI!$B$8) + IF(ABS(IF(ISNUMBER(SEARCH("Var", D464)), 1, IF(ISNUMBER(SEARCH("Gri", D464)), -1, 0)))=1, VERI_TABANI!E26*(1-0.928)*VERI_TABANI!$B$9, 0) + (VERI_TABANI!D26*B464*(VERI_TABANI!$B$13-VERI_TABANI!$B$14)*VERI_TABANI!G26) + (VERI_TABANI!D26*C464*(VERI_TABANI!$B$13-VERI_TABANI!$B$15)*VERI_TABANI!G26) + IF(ABS(IF(ISNUMBER(SEARCH("Var", D464)), 1, IF(ISNUMBER(SEARCH("Gri", D464)), -1, 0)))=1, VERI_TABANI!E26*(1-0.928)*0.00206091519919798*VERI_TABANI!G26, 0)) + ((MIN(VERI_TABANI!D27, VERI_TABANI!D27*B464)*VERI_TABANI!$B$7 + MAX(0, VERI_TABANI!D27*B464-VERI_TABANI!D27)*VERI_TABANI!$B$8) + (MIN(MAX(0, VERI_TABANI!D27-VERI_TABANI!D27*B464), VERI_TABANI!D27*C464)*VERI_TABANI!$B$7 + MAX(0, VERI_TABANI!D27*C464-MAX(0, VERI_TABANI!D27-VERI_TABANI!D27*B464))*VERI_TABANI!$B$8) + IF(ABS(IF(ISNUMBER(SEARCH("Var", D464)), 1, IF(ISNUMBER(SEARCH("Gri", D464)), -1, 0)))=1, VERI_TABANI!E27*(1-0.928)*VERI_TABANI!$B$9, 0) + (VERI_TABANI!D27*B464*(VERI_TABANI!$B$13-VERI_TABANI!$B$14)*VERI_TABANI!G27) + (VERI_TABANI!D27*C464*(VERI_TABANI!$B$13-VERI_TABANI!$B$15)*VERI_TABANI!G27) + IF(ABS(IF(ISNUMBER(SEARCH("Var", D464)), 1, IF(ISNUMBER(SEARCH("Gri", D464)), -1, 0)))=1, VERI_TABANI!E27*(1-0.928)*0.00206091519919798*VERI_TABANI!G27, 0)) + ((MIN(VERI_TABANI!D28, VERI_TABANI!D28*B464)*VERI_TABANI!$B$7 + MAX(0, VERI_TABANI!D28*B464-VERI_TABANI!D28)*VERI_TABANI!$B$8) + (MIN(MAX(0, VERI_TABANI!D28-VERI_TABANI!D28*B464), VERI_TABANI!D28*C464)*VERI_TABANI!$B$7 + MAX(0, VERI_TABANI!D28*C464-MAX(0, VERI_TABANI!D28-VERI_TABANI!D28*B464))*VERI_TABANI!$B$8) + IF(ABS(IF(ISNUMBER(SEARCH("Var", D464)), 1, IF(ISNUMBER(SEARCH("Gri", D464)), -1, 0)))=1, VERI_TABANI!E28*(1-0.928)*VERI_TABANI!$B$9, 0) + (VERI_TABANI!D28*B464*(VERI_TABANI!$B$13-VERI_TABANI!$B$14)*VERI_TABANI!G28) + (VERI_TABANI!D28*C464*(VERI_TABANI!$B$13-VERI_TABANI!$B$15)*VERI_TABANI!G28) + IF(ABS(IF(ISNUMBER(SEARCH("Var", D464)), 1, IF(ISNUMBER(SEARCH("Gri", D464)), -1, 0)))=1, VERI_TABANI!E28*(1-0.928)*0.00206091519919798*VERI_TABANI!G28, 0)))</f>
        <v/>
      </c>
      <c r="H464" s="169">
        <f>(((VERI_TABANI!D23*B464*(VERI_TABANI!$B$13-VERI_TABANI!$B$14)) + (VERI_TABANI!D23*C464*(VERI_TABANI!$B$13-VERI_TABANI!$B$15)) + IF(ISNUMBER(SEARCH("Var", D464)), VERI_TABANI!F23*(0.00202-VERI_TABANI!$B$16), IF(ISNUMBER(SEARCH("Gri", D464)), VERI_TABANI!F23*(0.00202-VERI_TABANI!$B$17), 0))) + ((VERI_TABANI!D24*B464*(VERI_TABANI!$B$13-VERI_TABANI!$B$14)) + (VERI_TABANI!D24*C464*(VERI_TABANI!$B$13-VERI_TABANI!$B$15)) + IF(ISNUMBER(SEARCH("Var", D464)), VERI_TABANI!F24*(0.00202-VERI_TABANI!$B$16), IF(ISNUMBER(SEARCH("Gri", D464)), VERI_TABANI!F24*(0.00202-VERI_TABANI!$B$17), 0))) + ((VERI_TABANI!D25*B464*(VERI_TABANI!$B$13-VERI_TABANI!$B$14)) + (VERI_TABANI!D25*C464*(VERI_TABANI!$B$13-VERI_TABANI!$B$15)) + IF(ISNUMBER(SEARCH("Var", D464)), VERI_TABANI!F25*(0.00202-VERI_TABANI!$B$16), IF(ISNUMBER(SEARCH("Gri", D464)), VERI_TABANI!F25*(0.00202-VERI_TABANI!$B$17), 0))) + ((VERI_TABANI!D26*B464*(VERI_TABANI!$B$13-VERI_TABANI!$B$14)) + (VERI_TABANI!D26*C464*(VERI_TABANI!$B$13-VERI_TABANI!$B$15)) + IF(ISNUMBER(SEARCH("Var", D464)), VERI_TABANI!F26*(0.00202-VERI_TABANI!$B$16), IF(ISNUMBER(SEARCH("Gri", D464)), VERI_TABANI!F26*(0.00202-VERI_TABANI!$B$17), 0))) + ((VERI_TABANI!D27*B464*(VERI_TABANI!$B$13-VERI_TABANI!$B$14)) + (VERI_TABANI!D27*C464*(VERI_TABANI!$B$13-VERI_TABANI!$B$15)) + IF(ISNUMBER(SEARCH("Var", D464)), VERI_TABANI!F27*(0.00202-VERI_TABANI!$B$16), IF(ISNUMBER(SEARCH("Gri", D464)), VERI_TABANI!F27*(0.00202-VERI_TABANI!$B$17), 0))) + ((VERI_TABANI!D28*B464*(VERI_TABANI!$B$13-VERI_TABANI!$B$14)) + (VERI_TABANI!D28*C464*(VERI_TABANI!$B$13-VERI_TABANI!$B$15)) + IF(ISNUMBER(SEARCH("Var", D464)), VERI_TABANI!F28*(0.00202-VERI_TABANI!$B$16), IF(ISNUMBER(SEARCH("Gri", D464)), VERI_TABANI!F28*(0.00202-VERI_TABANI!$B$17), 0))))</f>
        <v/>
      </c>
      <c r="I464" s="170">
        <f>IFERROR(((VERI_TABANI!$D$29*B464*VERI_TABANI!$B$14 + VERI_TABANI!$D$29*C464*VERI_TABANI!$B$15 + IF(ISNUMBER(SEARCH("Var", D464)), VERI_TABANI!$F$29*VERI_TABANI!$B$16, 0))) / (((VERI_TABANI!$D$29*B464 + VERI_TABANI!$D$29*C464)*VERI_TABANI!$B$13 + IF(ISNUMBER(SEARCH("Var", D464)), VERI_TABANI!$E$29*(1-0.928)*VERI_TABANI!$B$18, 0))), 0)</f>
        <v/>
      </c>
      <c r="J464" s="171">
        <f>IFERROR(F464/(G464/29), 0)</f>
        <v/>
      </c>
      <c r="K464" s="172">
        <f>IF(F464&gt;0, H464/F464, 0)</f>
        <v/>
      </c>
      <c r="L464" s="170">
        <f>IF(F464&gt;0, I464, 1000000000)</f>
        <v/>
      </c>
      <c r="M464" s="171">
        <f>ABS((B464+C464)-1)</f>
        <v/>
      </c>
      <c r="N464" s="170">
        <f>IF(F464&gt;0, (G464/29)/F464, 0)</f>
        <v/>
      </c>
      <c r="O464" s="168">
        <f>IF(AND((B464+C464)&gt;=1, ISNUMBER(SEARCH("Var", D464))), F464, 1000000000)</f>
        <v/>
      </c>
      <c r="P464" s="172">
        <f>IF(F464&gt;0, SQRT((F464/MAX(F$5:F$886))^2 + (1 - H464/MAX(H$5:H$886))^2 + (J464/MAX(J$5:J$886))^2), 1000000000)</f>
        <v/>
      </c>
      <c r="Q464" s="166">
        <f>IF(AND(ABS(B464-0.5)&lt;0.01, ABS(C464-0.5)&lt;0.01, ISNUMBER(SEARCH("Var", D464))), 1, 0)</f>
        <v/>
      </c>
      <c r="R464" s="171">
        <f>IF(F464&gt;0, J464, 1000000000)</f>
        <v/>
      </c>
      <c r="S464" s="101">
        <f>IF(AND(F464&lt;=DASHBOARD!$B$11, H464&gt;=DASHBOARD!$B$13), G464, -1000000000000)</f>
        <v/>
      </c>
      <c r="T464" s="101">
        <f>IF(AND(F464&lt;=DASHBOARD!$B$11, H464&gt;=DASHBOARD!$B$13), R464, 1000000000000)</f>
        <v/>
      </c>
      <c r="U464" s="101">
        <f>IF(AND(F464&lt;=DASHBOARD!$B$11, H464&gt;=DASHBOARD!$B$13), N464, -1000000000000)</f>
        <v/>
      </c>
      <c r="V464" s="101">
        <f>IF(AND(F464&lt;=DASHBOARD!$B$11, H464&gt;=DASHBOARD!$B$13), H464, -1000000000000)</f>
        <v/>
      </c>
      <c r="W464" s="101">
        <f>IF(AND(F464&lt;=DASHBOARD!$B$11, H464&gt;=DASHBOARD!$B$13), K464, -1000000000000)</f>
        <v/>
      </c>
      <c r="X464" s="101">
        <f>IF(AND(F464&lt;=DASHBOARD!$B$11, H464&gt;=DASHBOARD!$B$13), M464, 1000000000000)</f>
        <v/>
      </c>
      <c r="Y464" s="101">
        <f>IF(AND(F464&lt;=DASHBOARD!$B$10, H464&gt;=DASHBOARD!$B$11), L464, 1000000000000)</f>
        <v/>
      </c>
      <c r="Z464" s="101">
        <f>IF(AND(F464&lt;=DASHBOARD!$B$10, H464&gt;=DASHBOARD!$B$11), O464, 1000000000000)</f>
        <v/>
      </c>
      <c r="AA464" s="101">
        <f>IF(AND(F464&lt;=DASHBOARD!$B$10, H464&gt;=DASHBOARD!$B$11), P464, 1000000000000)</f>
        <v/>
      </c>
      <c r="AB464" s="101">
        <f>IF(AND(F464&lt;=DASHBOARD!$B$10, H464&gt;=DASHBOARD!$B$11), Q464, -1000000000000)</f>
        <v/>
      </c>
    </row>
    <row r="465" ht="15" customHeight="1" s="102">
      <c r="A465" s="166" t="n">
        <v>461</v>
      </c>
      <c r="B465" s="167" t="n">
        <v>1</v>
      </c>
      <c r="C465" s="167" t="n">
        <v>2</v>
      </c>
      <c r="D465" s="110" t="inlineStr">
        <is>
          <t>Yok (%0)</t>
        </is>
      </c>
      <c r="E465" s="110">
        <f>IF((B465+C465)&lt;=1, "Tam Mahsuplaşma (≤%100)", "Kısmi Satış (&gt;%100)")</f>
        <v/>
      </c>
      <c r="F465" s="168">
        <f>((VERI_TABANI!$D$29*B465/VERI_TABANI!$B$29)/VERI_TABANI!$B$3)*VERI_TABANI!$B$5 + ((VERI_TABANI!$D$29*C465/VERI_TABANI!$B$29)/VERI_TABANI!$B$4)*VERI_TABANI!$B$6 + IF(ISNUMBER(SEARCH("Var", D465)), (VERI_TABANI!$F$29/VERI_TABANI!$B$29)*(VERI_TABANI!$B$10+VERI_TABANI!$B$12), 0)</f>
        <v/>
      </c>
      <c r="G465" s="168">
        <f>(((MIN(VERI_TABANI!D23, VERI_TABANI!D23*B465)*VERI_TABANI!$B$7 + MAX(0, VERI_TABANI!D23*B465-VERI_TABANI!D23)*VERI_TABANI!$B$8) + (MIN(MAX(0, VERI_TABANI!D23-VERI_TABANI!D23*B465), VERI_TABANI!D23*C465)*VERI_TABANI!$B$7 + MAX(0, VERI_TABANI!D23*C465-MAX(0, VERI_TABANI!D23-VERI_TABANI!D23*B465))*VERI_TABANI!$B$8) + IF(ABS(IF(ISNUMBER(SEARCH("Var", D465)), 1, IF(ISNUMBER(SEARCH("Gri", D465)), -1, 0)))=1, VERI_TABANI!E23*(1-0.928)*VERI_TABANI!$B$9, 0) + (VERI_TABANI!D23*B465*(VERI_TABANI!$B$13-VERI_TABANI!$B$14)*VERI_TABANI!G23) + (VERI_TABANI!D23*C465*(VERI_TABANI!$B$13-VERI_TABANI!$B$15)*VERI_TABANI!G23) + IF(ABS(IF(ISNUMBER(SEARCH("Var", D465)), 1, IF(ISNUMBER(SEARCH("Gri", D465)), -1, 0)))=1, VERI_TABANI!E23*(1-0.928)*0.00206091519919798*VERI_TABANI!G23, 0)) + ((MIN(VERI_TABANI!D24, VERI_TABANI!D24*B465)*VERI_TABANI!$B$7 + MAX(0, VERI_TABANI!D24*B465-VERI_TABANI!D24)*VERI_TABANI!$B$8) + (MIN(MAX(0, VERI_TABANI!D24-VERI_TABANI!D24*B465), VERI_TABANI!D24*C465)*VERI_TABANI!$B$7 + MAX(0, VERI_TABANI!D24*C465-MAX(0, VERI_TABANI!D24-VERI_TABANI!D24*B465))*VERI_TABANI!$B$8) + IF(ABS(IF(ISNUMBER(SEARCH("Var", D465)), 1, IF(ISNUMBER(SEARCH("Gri", D465)), -1, 0)))=1, VERI_TABANI!E24*(1-0.928)*VERI_TABANI!$B$9, 0) + (VERI_TABANI!D24*B465*(VERI_TABANI!$B$13-VERI_TABANI!$B$14)*VERI_TABANI!G24) + (VERI_TABANI!D24*C465*(VERI_TABANI!$B$13-VERI_TABANI!$B$15)*VERI_TABANI!G24) + IF(ABS(IF(ISNUMBER(SEARCH("Var", D465)), 1, IF(ISNUMBER(SEARCH("Gri", D465)), -1, 0)))=1, VERI_TABANI!E24*(1-0.928)*0.00206091519919798*VERI_TABANI!G24, 0)) + ((MIN(VERI_TABANI!D25, VERI_TABANI!D25*B465)*VERI_TABANI!$B$7 + MAX(0, VERI_TABANI!D25*B465-VERI_TABANI!D25)*VERI_TABANI!$B$8) + (MIN(MAX(0, VERI_TABANI!D25-VERI_TABANI!D25*B465), VERI_TABANI!D25*C465)*VERI_TABANI!$B$7 + MAX(0, VERI_TABANI!D25*C465-MAX(0, VERI_TABANI!D25-VERI_TABANI!D25*B465))*VERI_TABANI!$B$8) + IF(ABS(IF(ISNUMBER(SEARCH("Var", D465)), 1, IF(ISNUMBER(SEARCH("Gri", D465)), -1, 0)))=1, VERI_TABANI!E25*(1-0.928)*VERI_TABANI!$B$9, 0) + (VERI_TABANI!D25*B465*(VERI_TABANI!$B$13-VERI_TABANI!$B$14)*VERI_TABANI!G25) + (VERI_TABANI!D25*C465*(VERI_TABANI!$B$13-VERI_TABANI!$B$15)*VERI_TABANI!G25) + IF(ABS(IF(ISNUMBER(SEARCH("Var", D465)), 1, IF(ISNUMBER(SEARCH("Gri", D465)), -1, 0)))=1, VERI_TABANI!E25*(1-0.928)*0.00206091519919798*VERI_TABANI!G25, 0)) + ((MIN(VERI_TABANI!D26, VERI_TABANI!D26*B465)*VERI_TABANI!$B$7 + MAX(0, VERI_TABANI!D26*B465-VERI_TABANI!D26)*VERI_TABANI!$B$8) + (MIN(MAX(0, VERI_TABANI!D26-VERI_TABANI!D26*B465), VERI_TABANI!D26*C465)*VERI_TABANI!$B$7 + MAX(0, VERI_TABANI!D26*C465-MAX(0, VERI_TABANI!D26-VERI_TABANI!D26*B465))*VERI_TABANI!$B$8) + IF(ABS(IF(ISNUMBER(SEARCH("Var", D465)), 1, IF(ISNUMBER(SEARCH("Gri", D465)), -1, 0)))=1, VERI_TABANI!E26*(1-0.928)*VERI_TABANI!$B$9, 0) + (VERI_TABANI!D26*B465*(VERI_TABANI!$B$13-VERI_TABANI!$B$14)*VERI_TABANI!G26) + (VERI_TABANI!D26*C465*(VERI_TABANI!$B$13-VERI_TABANI!$B$15)*VERI_TABANI!G26) + IF(ABS(IF(ISNUMBER(SEARCH("Var", D465)), 1, IF(ISNUMBER(SEARCH("Gri", D465)), -1, 0)))=1, VERI_TABANI!E26*(1-0.928)*0.00206091519919798*VERI_TABANI!G26, 0)) + ((MIN(VERI_TABANI!D27, VERI_TABANI!D27*B465)*VERI_TABANI!$B$7 + MAX(0, VERI_TABANI!D27*B465-VERI_TABANI!D27)*VERI_TABANI!$B$8) + (MIN(MAX(0, VERI_TABANI!D27-VERI_TABANI!D27*B465), VERI_TABANI!D27*C465)*VERI_TABANI!$B$7 + MAX(0, VERI_TABANI!D27*C465-MAX(0, VERI_TABANI!D27-VERI_TABANI!D27*B465))*VERI_TABANI!$B$8) + IF(ABS(IF(ISNUMBER(SEARCH("Var", D465)), 1, IF(ISNUMBER(SEARCH("Gri", D465)), -1, 0)))=1, VERI_TABANI!E27*(1-0.928)*VERI_TABANI!$B$9, 0) + (VERI_TABANI!D27*B465*(VERI_TABANI!$B$13-VERI_TABANI!$B$14)*VERI_TABANI!G27) + (VERI_TABANI!D27*C465*(VERI_TABANI!$B$13-VERI_TABANI!$B$15)*VERI_TABANI!G27) + IF(ABS(IF(ISNUMBER(SEARCH("Var", D465)), 1, IF(ISNUMBER(SEARCH("Gri", D465)), -1, 0)))=1, VERI_TABANI!E27*(1-0.928)*0.00206091519919798*VERI_TABANI!G27, 0)) + ((MIN(VERI_TABANI!D28, VERI_TABANI!D28*B465)*VERI_TABANI!$B$7 + MAX(0, VERI_TABANI!D28*B465-VERI_TABANI!D28)*VERI_TABANI!$B$8) + (MIN(MAX(0, VERI_TABANI!D28-VERI_TABANI!D28*B465), VERI_TABANI!D28*C465)*VERI_TABANI!$B$7 + MAX(0, VERI_TABANI!D28*C465-MAX(0, VERI_TABANI!D28-VERI_TABANI!D28*B465))*VERI_TABANI!$B$8) + IF(ABS(IF(ISNUMBER(SEARCH("Var", D465)), 1, IF(ISNUMBER(SEARCH("Gri", D465)), -1, 0)))=1, VERI_TABANI!E28*(1-0.928)*VERI_TABANI!$B$9, 0) + (VERI_TABANI!D28*B465*(VERI_TABANI!$B$13-VERI_TABANI!$B$14)*VERI_TABANI!G28) + (VERI_TABANI!D28*C465*(VERI_TABANI!$B$13-VERI_TABANI!$B$15)*VERI_TABANI!G28) + IF(ABS(IF(ISNUMBER(SEARCH("Var", D465)), 1, IF(ISNUMBER(SEARCH("Gri", D465)), -1, 0)))=1, VERI_TABANI!E28*(1-0.928)*0.00206091519919798*VERI_TABANI!G28, 0)))</f>
        <v/>
      </c>
      <c r="H465" s="169">
        <f>(((VERI_TABANI!D23*B465*(VERI_TABANI!$B$13-VERI_TABANI!$B$14)) + (VERI_TABANI!D23*C465*(VERI_TABANI!$B$13-VERI_TABANI!$B$15)) + IF(ISNUMBER(SEARCH("Var", D465)), VERI_TABANI!F23*(0.00202-VERI_TABANI!$B$16), IF(ISNUMBER(SEARCH("Gri", D465)), VERI_TABANI!F23*(0.00202-VERI_TABANI!$B$17), 0))) + ((VERI_TABANI!D24*B465*(VERI_TABANI!$B$13-VERI_TABANI!$B$14)) + (VERI_TABANI!D24*C465*(VERI_TABANI!$B$13-VERI_TABANI!$B$15)) + IF(ISNUMBER(SEARCH("Var", D465)), VERI_TABANI!F24*(0.00202-VERI_TABANI!$B$16), IF(ISNUMBER(SEARCH("Gri", D465)), VERI_TABANI!F24*(0.00202-VERI_TABANI!$B$17), 0))) + ((VERI_TABANI!D25*B465*(VERI_TABANI!$B$13-VERI_TABANI!$B$14)) + (VERI_TABANI!D25*C465*(VERI_TABANI!$B$13-VERI_TABANI!$B$15)) + IF(ISNUMBER(SEARCH("Var", D465)), VERI_TABANI!F25*(0.00202-VERI_TABANI!$B$16), IF(ISNUMBER(SEARCH("Gri", D465)), VERI_TABANI!F25*(0.00202-VERI_TABANI!$B$17), 0))) + ((VERI_TABANI!D26*B465*(VERI_TABANI!$B$13-VERI_TABANI!$B$14)) + (VERI_TABANI!D26*C465*(VERI_TABANI!$B$13-VERI_TABANI!$B$15)) + IF(ISNUMBER(SEARCH("Var", D465)), VERI_TABANI!F26*(0.00202-VERI_TABANI!$B$16), IF(ISNUMBER(SEARCH("Gri", D465)), VERI_TABANI!F26*(0.00202-VERI_TABANI!$B$17), 0))) + ((VERI_TABANI!D27*B465*(VERI_TABANI!$B$13-VERI_TABANI!$B$14)) + (VERI_TABANI!D27*C465*(VERI_TABANI!$B$13-VERI_TABANI!$B$15)) + IF(ISNUMBER(SEARCH("Var", D465)), VERI_TABANI!F27*(0.00202-VERI_TABANI!$B$16), IF(ISNUMBER(SEARCH("Gri", D465)), VERI_TABANI!F27*(0.00202-VERI_TABANI!$B$17), 0))) + ((VERI_TABANI!D28*B465*(VERI_TABANI!$B$13-VERI_TABANI!$B$14)) + (VERI_TABANI!D28*C465*(VERI_TABANI!$B$13-VERI_TABANI!$B$15)) + IF(ISNUMBER(SEARCH("Var", D465)), VERI_TABANI!F28*(0.00202-VERI_TABANI!$B$16), IF(ISNUMBER(SEARCH("Gri", D465)), VERI_TABANI!F28*(0.00202-VERI_TABANI!$B$17), 0))))</f>
        <v/>
      </c>
      <c r="I465" s="170">
        <f>IFERROR(((VERI_TABANI!$D$29*B465*VERI_TABANI!$B$14 + VERI_TABANI!$D$29*C465*VERI_TABANI!$B$15 + IF(ISNUMBER(SEARCH("Var", D465)), VERI_TABANI!$F$29*VERI_TABANI!$B$16, 0))) / (((VERI_TABANI!$D$29*B465 + VERI_TABANI!$D$29*C465)*VERI_TABANI!$B$13 + IF(ISNUMBER(SEARCH("Var", D465)), VERI_TABANI!$E$29*(1-0.928)*VERI_TABANI!$B$18, 0))), 0)</f>
        <v/>
      </c>
      <c r="J465" s="171">
        <f>IFERROR(F465/(G465/29), 0)</f>
        <v/>
      </c>
      <c r="K465" s="172">
        <f>IF(F465&gt;0, H465/F465, 0)</f>
        <v/>
      </c>
      <c r="L465" s="170">
        <f>IF(F465&gt;0, I465, 1000000000)</f>
        <v/>
      </c>
      <c r="M465" s="171">
        <f>ABS((B465+C465)-1)</f>
        <v/>
      </c>
      <c r="N465" s="170">
        <f>IF(F465&gt;0, (G465/29)/F465, 0)</f>
        <v/>
      </c>
      <c r="O465" s="168">
        <f>IF(AND((B465+C465)&gt;=1, ISNUMBER(SEARCH("Var", D465))), F465, 1000000000)</f>
        <v/>
      </c>
      <c r="P465" s="172">
        <f>IF(F465&gt;0, SQRT((F465/MAX(F$5:F$886))^2 + (1 - H465/MAX(H$5:H$886))^2 + (J465/MAX(J$5:J$886))^2), 1000000000)</f>
        <v/>
      </c>
      <c r="Q465" s="166">
        <f>IF(AND(ABS(B465-0.5)&lt;0.01, ABS(C465-0.5)&lt;0.01, ISNUMBER(SEARCH("Var", D465))), 1, 0)</f>
        <v/>
      </c>
      <c r="R465" s="171">
        <f>IF(F465&gt;0, J465, 1000000000)</f>
        <v/>
      </c>
      <c r="S465" s="101">
        <f>IF(AND(F465&lt;=DASHBOARD!$B$11, H465&gt;=DASHBOARD!$B$13), G465, -1000000000000)</f>
        <v/>
      </c>
      <c r="T465" s="101">
        <f>IF(AND(F465&lt;=DASHBOARD!$B$11, H465&gt;=DASHBOARD!$B$13), R465, 1000000000000)</f>
        <v/>
      </c>
      <c r="U465" s="101">
        <f>IF(AND(F465&lt;=DASHBOARD!$B$11, H465&gt;=DASHBOARD!$B$13), N465, -1000000000000)</f>
        <v/>
      </c>
      <c r="V465" s="101">
        <f>IF(AND(F465&lt;=DASHBOARD!$B$11, H465&gt;=DASHBOARD!$B$13), H465, -1000000000000)</f>
        <v/>
      </c>
      <c r="W465" s="101">
        <f>IF(AND(F465&lt;=DASHBOARD!$B$11, H465&gt;=DASHBOARD!$B$13), K465, -1000000000000)</f>
        <v/>
      </c>
      <c r="X465" s="101">
        <f>IF(AND(F465&lt;=DASHBOARD!$B$11, H465&gt;=DASHBOARD!$B$13), M465, 1000000000000)</f>
        <v/>
      </c>
      <c r="Y465" s="101">
        <f>IF(AND(F465&lt;=DASHBOARD!$B$10, H465&gt;=DASHBOARD!$B$11), L465, 1000000000000)</f>
        <v/>
      </c>
      <c r="Z465" s="101">
        <f>IF(AND(F465&lt;=DASHBOARD!$B$10, H465&gt;=DASHBOARD!$B$11), O465, 1000000000000)</f>
        <v/>
      </c>
      <c r="AA465" s="101">
        <f>IF(AND(F465&lt;=DASHBOARD!$B$10, H465&gt;=DASHBOARD!$B$11), P465, 1000000000000)</f>
        <v/>
      </c>
      <c r="AB465" s="101">
        <f>IF(AND(F465&lt;=DASHBOARD!$B$10, H465&gt;=DASHBOARD!$B$11), Q465, -1000000000000)</f>
        <v/>
      </c>
    </row>
    <row r="466" ht="15" customHeight="1" s="102">
      <c r="A466" s="166" t="n">
        <v>462</v>
      </c>
      <c r="B466" s="167" t="n">
        <v>1</v>
      </c>
      <c r="C466" s="167" t="n">
        <v>2</v>
      </c>
      <c r="D466" s="110" t="inlineStr">
        <is>
          <t>Var (%20)</t>
        </is>
      </c>
      <c r="E466" s="110">
        <f>IF((B466+C466)&lt;=1, "Tam Mahsuplaşma (≤%100)", "Kısmi Satış (&gt;%100)")</f>
        <v/>
      </c>
      <c r="F466" s="168">
        <f>((VERI_TABANI!$D$29*B466/VERI_TABANI!$B$29)/VERI_TABANI!$B$3)*VERI_TABANI!$B$5 + ((VERI_TABANI!$D$29*C466/VERI_TABANI!$B$29)/VERI_TABANI!$B$4)*VERI_TABANI!$B$6 + IF(ISNUMBER(SEARCH("Var", D466)), (VERI_TABANI!$F$29/VERI_TABANI!$B$29)*(VERI_TABANI!$B$10+VERI_TABANI!$B$12), 0)</f>
        <v/>
      </c>
      <c r="G466" s="168">
        <f>(((MIN(VERI_TABANI!D23, VERI_TABANI!D23*B466)*VERI_TABANI!$B$7 + MAX(0, VERI_TABANI!D23*B466-VERI_TABANI!D23)*VERI_TABANI!$B$8) + (MIN(MAX(0, VERI_TABANI!D23-VERI_TABANI!D23*B466), VERI_TABANI!D23*C466)*VERI_TABANI!$B$7 + MAX(0, VERI_TABANI!D23*C466-MAX(0, VERI_TABANI!D23-VERI_TABANI!D23*B466))*VERI_TABANI!$B$8) + IF(ABS(IF(ISNUMBER(SEARCH("Var", D466)), 1, IF(ISNUMBER(SEARCH("Gri", D466)), -1, 0)))=1, VERI_TABANI!E23*(1-0.928)*VERI_TABANI!$B$9, 0) + (VERI_TABANI!D23*B466*(VERI_TABANI!$B$13-VERI_TABANI!$B$14)*VERI_TABANI!G23) + (VERI_TABANI!D23*C466*(VERI_TABANI!$B$13-VERI_TABANI!$B$15)*VERI_TABANI!G23) + IF(ABS(IF(ISNUMBER(SEARCH("Var", D466)), 1, IF(ISNUMBER(SEARCH("Gri", D466)), -1, 0)))=1, VERI_TABANI!E23*(1-0.928)*0.00206091519919798*VERI_TABANI!G23, 0)) + ((MIN(VERI_TABANI!D24, VERI_TABANI!D24*B466)*VERI_TABANI!$B$7 + MAX(0, VERI_TABANI!D24*B466-VERI_TABANI!D24)*VERI_TABANI!$B$8) + (MIN(MAX(0, VERI_TABANI!D24-VERI_TABANI!D24*B466), VERI_TABANI!D24*C466)*VERI_TABANI!$B$7 + MAX(0, VERI_TABANI!D24*C466-MAX(0, VERI_TABANI!D24-VERI_TABANI!D24*B466))*VERI_TABANI!$B$8) + IF(ABS(IF(ISNUMBER(SEARCH("Var", D466)), 1, IF(ISNUMBER(SEARCH("Gri", D466)), -1, 0)))=1, VERI_TABANI!E24*(1-0.928)*VERI_TABANI!$B$9, 0) + (VERI_TABANI!D24*B466*(VERI_TABANI!$B$13-VERI_TABANI!$B$14)*VERI_TABANI!G24) + (VERI_TABANI!D24*C466*(VERI_TABANI!$B$13-VERI_TABANI!$B$15)*VERI_TABANI!G24) + IF(ABS(IF(ISNUMBER(SEARCH("Var", D466)), 1, IF(ISNUMBER(SEARCH("Gri", D466)), -1, 0)))=1, VERI_TABANI!E24*(1-0.928)*0.00206091519919798*VERI_TABANI!G24, 0)) + ((MIN(VERI_TABANI!D25, VERI_TABANI!D25*B466)*VERI_TABANI!$B$7 + MAX(0, VERI_TABANI!D25*B466-VERI_TABANI!D25)*VERI_TABANI!$B$8) + (MIN(MAX(0, VERI_TABANI!D25-VERI_TABANI!D25*B466), VERI_TABANI!D25*C466)*VERI_TABANI!$B$7 + MAX(0, VERI_TABANI!D25*C466-MAX(0, VERI_TABANI!D25-VERI_TABANI!D25*B466))*VERI_TABANI!$B$8) + IF(ABS(IF(ISNUMBER(SEARCH("Var", D466)), 1, IF(ISNUMBER(SEARCH("Gri", D466)), -1, 0)))=1, VERI_TABANI!E25*(1-0.928)*VERI_TABANI!$B$9, 0) + (VERI_TABANI!D25*B466*(VERI_TABANI!$B$13-VERI_TABANI!$B$14)*VERI_TABANI!G25) + (VERI_TABANI!D25*C466*(VERI_TABANI!$B$13-VERI_TABANI!$B$15)*VERI_TABANI!G25) + IF(ABS(IF(ISNUMBER(SEARCH("Var", D466)), 1, IF(ISNUMBER(SEARCH("Gri", D466)), -1, 0)))=1, VERI_TABANI!E25*(1-0.928)*0.00206091519919798*VERI_TABANI!G25, 0)) + ((MIN(VERI_TABANI!D26, VERI_TABANI!D26*B466)*VERI_TABANI!$B$7 + MAX(0, VERI_TABANI!D26*B466-VERI_TABANI!D26)*VERI_TABANI!$B$8) + (MIN(MAX(0, VERI_TABANI!D26-VERI_TABANI!D26*B466), VERI_TABANI!D26*C466)*VERI_TABANI!$B$7 + MAX(0, VERI_TABANI!D26*C466-MAX(0, VERI_TABANI!D26-VERI_TABANI!D26*B466))*VERI_TABANI!$B$8) + IF(ABS(IF(ISNUMBER(SEARCH("Var", D466)), 1, IF(ISNUMBER(SEARCH("Gri", D466)), -1, 0)))=1, VERI_TABANI!E26*(1-0.928)*VERI_TABANI!$B$9, 0) + (VERI_TABANI!D26*B466*(VERI_TABANI!$B$13-VERI_TABANI!$B$14)*VERI_TABANI!G26) + (VERI_TABANI!D26*C466*(VERI_TABANI!$B$13-VERI_TABANI!$B$15)*VERI_TABANI!G26) + IF(ABS(IF(ISNUMBER(SEARCH("Var", D466)), 1, IF(ISNUMBER(SEARCH("Gri", D466)), -1, 0)))=1, VERI_TABANI!E26*(1-0.928)*0.00206091519919798*VERI_TABANI!G26, 0)) + ((MIN(VERI_TABANI!D27, VERI_TABANI!D27*B466)*VERI_TABANI!$B$7 + MAX(0, VERI_TABANI!D27*B466-VERI_TABANI!D27)*VERI_TABANI!$B$8) + (MIN(MAX(0, VERI_TABANI!D27-VERI_TABANI!D27*B466), VERI_TABANI!D27*C466)*VERI_TABANI!$B$7 + MAX(0, VERI_TABANI!D27*C466-MAX(0, VERI_TABANI!D27-VERI_TABANI!D27*B466))*VERI_TABANI!$B$8) + IF(ABS(IF(ISNUMBER(SEARCH("Var", D466)), 1, IF(ISNUMBER(SEARCH("Gri", D466)), -1, 0)))=1, VERI_TABANI!E27*(1-0.928)*VERI_TABANI!$B$9, 0) + (VERI_TABANI!D27*B466*(VERI_TABANI!$B$13-VERI_TABANI!$B$14)*VERI_TABANI!G27) + (VERI_TABANI!D27*C466*(VERI_TABANI!$B$13-VERI_TABANI!$B$15)*VERI_TABANI!G27) + IF(ABS(IF(ISNUMBER(SEARCH("Var", D466)), 1, IF(ISNUMBER(SEARCH("Gri", D466)), -1, 0)))=1, VERI_TABANI!E27*(1-0.928)*0.00206091519919798*VERI_TABANI!G27, 0)) + ((MIN(VERI_TABANI!D28, VERI_TABANI!D28*B466)*VERI_TABANI!$B$7 + MAX(0, VERI_TABANI!D28*B466-VERI_TABANI!D28)*VERI_TABANI!$B$8) + (MIN(MAX(0, VERI_TABANI!D28-VERI_TABANI!D28*B466), VERI_TABANI!D28*C466)*VERI_TABANI!$B$7 + MAX(0, VERI_TABANI!D28*C466-MAX(0, VERI_TABANI!D28-VERI_TABANI!D28*B466))*VERI_TABANI!$B$8) + IF(ABS(IF(ISNUMBER(SEARCH("Var", D466)), 1, IF(ISNUMBER(SEARCH("Gri", D466)), -1, 0)))=1, VERI_TABANI!E28*(1-0.928)*VERI_TABANI!$B$9, 0) + (VERI_TABANI!D28*B466*(VERI_TABANI!$B$13-VERI_TABANI!$B$14)*VERI_TABANI!G28) + (VERI_TABANI!D28*C466*(VERI_TABANI!$B$13-VERI_TABANI!$B$15)*VERI_TABANI!G28) + IF(ABS(IF(ISNUMBER(SEARCH("Var", D466)), 1, IF(ISNUMBER(SEARCH("Gri", D466)), -1, 0)))=1, VERI_TABANI!E28*(1-0.928)*0.00206091519919798*VERI_TABANI!G28, 0)))</f>
        <v/>
      </c>
      <c r="H466" s="169">
        <f>(((VERI_TABANI!D23*B466*(VERI_TABANI!$B$13-VERI_TABANI!$B$14)) + (VERI_TABANI!D23*C466*(VERI_TABANI!$B$13-VERI_TABANI!$B$15)) + IF(ISNUMBER(SEARCH("Var", D466)), VERI_TABANI!F23*(0.00202-VERI_TABANI!$B$16), IF(ISNUMBER(SEARCH("Gri", D466)), VERI_TABANI!F23*(0.00202-VERI_TABANI!$B$17), 0))) + ((VERI_TABANI!D24*B466*(VERI_TABANI!$B$13-VERI_TABANI!$B$14)) + (VERI_TABANI!D24*C466*(VERI_TABANI!$B$13-VERI_TABANI!$B$15)) + IF(ISNUMBER(SEARCH("Var", D466)), VERI_TABANI!F24*(0.00202-VERI_TABANI!$B$16), IF(ISNUMBER(SEARCH("Gri", D466)), VERI_TABANI!F24*(0.00202-VERI_TABANI!$B$17), 0))) + ((VERI_TABANI!D25*B466*(VERI_TABANI!$B$13-VERI_TABANI!$B$14)) + (VERI_TABANI!D25*C466*(VERI_TABANI!$B$13-VERI_TABANI!$B$15)) + IF(ISNUMBER(SEARCH("Var", D466)), VERI_TABANI!F25*(0.00202-VERI_TABANI!$B$16), IF(ISNUMBER(SEARCH("Gri", D466)), VERI_TABANI!F25*(0.00202-VERI_TABANI!$B$17), 0))) + ((VERI_TABANI!D26*B466*(VERI_TABANI!$B$13-VERI_TABANI!$B$14)) + (VERI_TABANI!D26*C466*(VERI_TABANI!$B$13-VERI_TABANI!$B$15)) + IF(ISNUMBER(SEARCH("Var", D466)), VERI_TABANI!F26*(0.00202-VERI_TABANI!$B$16), IF(ISNUMBER(SEARCH("Gri", D466)), VERI_TABANI!F26*(0.00202-VERI_TABANI!$B$17), 0))) + ((VERI_TABANI!D27*B466*(VERI_TABANI!$B$13-VERI_TABANI!$B$14)) + (VERI_TABANI!D27*C466*(VERI_TABANI!$B$13-VERI_TABANI!$B$15)) + IF(ISNUMBER(SEARCH("Var", D466)), VERI_TABANI!F27*(0.00202-VERI_TABANI!$B$16), IF(ISNUMBER(SEARCH("Gri", D466)), VERI_TABANI!F27*(0.00202-VERI_TABANI!$B$17), 0))) + ((VERI_TABANI!D28*B466*(VERI_TABANI!$B$13-VERI_TABANI!$B$14)) + (VERI_TABANI!D28*C466*(VERI_TABANI!$B$13-VERI_TABANI!$B$15)) + IF(ISNUMBER(SEARCH("Var", D466)), VERI_TABANI!F28*(0.00202-VERI_TABANI!$B$16), IF(ISNUMBER(SEARCH("Gri", D466)), VERI_TABANI!F28*(0.00202-VERI_TABANI!$B$17), 0))))</f>
        <v/>
      </c>
      <c r="I466" s="170">
        <f>IFERROR(((VERI_TABANI!$D$29*B466*VERI_TABANI!$B$14 + VERI_TABANI!$D$29*C466*VERI_TABANI!$B$15 + IF(ISNUMBER(SEARCH("Var", D466)), VERI_TABANI!$F$29*VERI_TABANI!$B$16, 0))) / (((VERI_TABANI!$D$29*B466 + VERI_TABANI!$D$29*C466)*VERI_TABANI!$B$13 + IF(ISNUMBER(SEARCH("Var", D466)), VERI_TABANI!$E$29*(1-0.928)*VERI_TABANI!$B$18, 0))), 0)</f>
        <v/>
      </c>
      <c r="J466" s="171">
        <f>IFERROR(F466/(G466/29), 0)</f>
        <v/>
      </c>
      <c r="K466" s="172">
        <f>IF(F466&gt;0, H466/F466, 0)</f>
        <v/>
      </c>
      <c r="L466" s="170">
        <f>IF(F466&gt;0, I466, 1000000000)</f>
        <v/>
      </c>
      <c r="M466" s="171">
        <f>ABS((B466+C466)-1)</f>
        <v/>
      </c>
      <c r="N466" s="170">
        <f>IF(F466&gt;0, (G466/29)/F466, 0)</f>
        <v/>
      </c>
      <c r="O466" s="168">
        <f>IF(AND((B466+C466)&gt;=1, ISNUMBER(SEARCH("Var", D466))), F466, 1000000000)</f>
        <v/>
      </c>
      <c r="P466" s="172">
        <f>IF(F466&gt;0, SQRT((F466/MAX(F$5:F$886))^2 + (1 - H466/MAX(H$5:H$886))^2 + (J466/MAX(J$5:J$886))^2), 1000000000)</f>
        <v/>
      </c>
      <c r="Q466" s="166">
        <f>IF(AND(ABS(B466-0.5)&lt;0.01, ABS(C466-0.5)&lt;0.01, ISNUMBER(SEARCH("Var", D466))), 1, 0)</f>
        <v/>
      </c>
      <c r="R466" s="171">
        <f>IF(F466&gt;0, J466, 1000000000)</f>
        <v/>
      </c>
      <c r="S466" s="101">
        <f>IF(AND(F466&lt;=DASHBOARD!$B$11, H466&gt;=DASHBOARD!$B$13), G466, -1000000000000)</f>
        <v/>
      </c>
      <c r="T466" s="101">
        <f>IF(AND(F466&lt;=DASHBOARD!$B$11, H466&gt;=DASHBOARD!$B$13), R466, 1000000000000)</f>
        <v/>
      </c>
      <c r="U466" s="101">
        <f>IF(AND(F466&lt;=DASHBOARD!$B$11, H466&gt;=DASHBOARD!$B$13), N466, -1000000000000)</f>
        <v/>
      </c>
      <c r="V466" s="101">
        <f>IF(AND(F466&lt;=DASHBOARD!$B$11, H466&gt;=DASHBOARD!$B$13), H466, -1000000000000)</f>
        <v/>
      </c>
      <c r="W466" s="101">
        <f>IF(AND(F466&lt;=DASHBOARD!$B$11, H466&gt;=DASHBOARD!$B$13), K466, -1000000000000)</f>
        <v/>
      </c>
      <c r="X466" s="101">
        <f>IF(AND(F466&lt;=DASHBOARD!$B$11, H466&gt;=DASHBOARD!$B$13), M466, 1000000000000)</f>
        <v/>
      </c>
      <c r="Y466" s="101">
        <f>IF(AND(F466&lt;=DASHBOARD!$B$10, H466&gt;=DASHBOARD!$B$11), L466, 1000000000000)</f>
        <v/>
      </c>
      <c r="Z466" s="101">
        <f>IF(AND(F466&lt;=DASHBOARD!$B$10, H466&gt;=DASHBOARD!$B$11), O466, 1000000000000)</f>
        <v/>
      </c>
      <c r="AA466" s="101">
        <f>IF(AND(F466&lt;=DASHBOARD!$B$10, H466&gt;=DASHBOARD!$B$11), P466, 1000000000000)</f>
        <v/>
      </c>
      <c r="AB466" s="101">
        <f>IF(AND(F466&lt;=DASHBOARD!$B$10, H466&gt;=DASHBOARD!$B$11), Q466, -1000000000000)</f>
        <v/>
      </c>
    </row>
    <row r="467" ht="15" customHeight="1" s="102">
      <c r="A467" s="166" t="n">
        <v>463</v>
      </c>
      <c r="B467" s="167" t="n">
        <v>1.1</v>
      </c>
      <c r="C467" s="167" t="n">
        <v>0</v>
      </c>
      <c r="D467" s="110" t="inlineStr">
        <is>
          <t>Yok (%0)</t>
        </is>
      </c>
      <c r="E467" s="110">
        <f>IF((B467+C467)&lt;=1, "Tam Mahsuplaşma (≤%100)", "Kısmi Satış (&gt;%100)")</f>
        <v/>
      </c>
      <c r="F467" s="168">
        <f>((VERI_TABANI!$D$29*B467/VERI_TABANI!$B$29)/VERI_TABANI!$B$3)*VERI_TABANI!$B$5 + ((VERI_TABANI!$D$29*C467/VERI_TABANI!$B$29)/VERI_TABANI!$B$4)*VERI_TABANI!$B$6 + IF(ISNUMBER(SEARCH("Var", D467)), (VERI_TABANI!$F$29/VERI_TABANI!$B$29)*(VERI_TABANI!$B$10+VERI_TABANI!$B$12), 0)</f>
        <v/>
      </c>
      <c r="G467" s="168">
        <f>(((MIN(VERI_TABANI!D23, VERI_TABANI!D23*B467)*VERI_TABANI!$B$7 + MAX(0, VERI_TABANI!D23*B467-VERI_TABANI!D23)*VERI_TABANI!$B$8) + (MIN(MAX(0, VERI_TABANI!D23-VERI_TABANI!D23*B467), VERI_TABANI!D23*C467)*VERI_TABANI!$B$7 + MAX(0, VERI_TABANI!D23*C467-MAX(0, VERI_TABANI!D23-VERI_TABANI!D23*B467))*VERI_TABANI!$B$8) + IF(ABS(IF(ISNUMBER(SEARCH("Var", D467)), 1, IF(ISNUMBER(SEARCH("Gri", D467)), -1, 0)))=1, VERI_TABANI!E23*(1-0.928)*VERI_TABANI!$B$9, 0) + (VERI_TABANI!D23*B467*(VERI_TABANI!$B$13-VERI_TABANI!$B$14)*VERI_TABANI!G23) + (VERI_TABANI!D23*C467*(VERI_TABANI!$B$13-VERI_TABANI!$B$15)*VERI_TABANI!G23) + IF(ABS(IF(ISNUMBER(SEARCH("Var", D467)), 1, IF(ISNUMBER(SEARCH("Gri", D467)), -1, 0)))=1, VERI_TABANI!E23*(1-0.928)*0.00206091519919798*VERI_TABANI!G23, 0)) + ((MIN(VERI_TABANI!D24, VERI_TABANI!D24*B467)*VERI_TABANI!$B$7 + MAX(0, VERI_TABANI!D24*B467-VERI_TABANI!D24)*VERI_TABANI!$B$8) + (MIN(MAX(0, VERI_TABANI!D24-VERI_TABANI!D24*B467), VERI_TABANI!D24*C467)*VERI_TABANI!$B$7 + MAX(0, VERI_TABANI!D24*C467-MAX(0, VERI_TABANI!D24-VERI_TABANI!D24*B467))*VERI_TABANI!$B$8) + IF(ABS(IF(ISNUMBER(SEARCH("Var", D467)), 1, IF(ISNUMBER(SEARCH("Gri", D467)), -1, 0)))=1, VERI_TABANI!E24*(1-0.928)*VERI_TABANI!$B$9, 0) + (VERI_TABANI!D24*B467*(VERI_TABANI!$B$13-VERI_TABANI!$B$14)*VERI_TABANI!G24) + (VERI_TABANI!D24*C467*(VERI_TABANI!$B$13-VERI_TABANI!$B$15)*VERI_TABANI!G24) + IF(ABS(IF(ISNUMBER(SEARCH("Var", D467)), 1, IF(ISNUMBER(SEARCH("Gri", D467)), -1, 0)))=1, VERI_TABANI!E24*(1-0.928)*0.00206091519919798*VERI_TABANI!G24, 0)) + ((MIN(VERI_TABANI!D25, VERI_TABANI!D25*B467)*VERI_TABANI!$B$7 + MAX(0, VERI_TABANI!D25*B467-VERI_TABANI!D25)*VERI_TABANI!$B$8) + (MIN(MAX(0, VERI_TABANI!D25-VERI_TABANI!D25*B467), VERI_TABANI!D25*C467)*VERI_TABANI!$B$7 + MAX(0, VERI_TABANI!D25*C467-MAX(0, VERI_TABANI!D25-VERI_TABANI!D25*B467))*VERI_TABANI!$B$8) + IF(ABS(IF(ISNUMBER(SEARCH("Var", D467)), 1, IF(ISNUMBER(SEARCH("Gri", D467)), -1, 0)))=1, VERI_TABANI!E25*(1-0.928)*VERI_TABANI!$B$9, 0) + (VERI_TABANI!D25*B467*(VERI_TABANI!$B$13-VERI_TABANI!$B$14)*VERI_TABANI!G25) + (VERI_TABANI!D25*C467*(VERI_TABANI!$B$13-VERI_TABANI!$B$15)*VERI_TABANI!G25) + IF(ABS(IF(ISNUMBER(SEARCH("Var", D467)), 1, IF(ISNUMBER(SEARCH("Gri", D467)), -1, 0)))=1, VERI_TABANI!E25*(1-0.928)*0.00206091519919798*VERI_TABANI!G25, 0)) + ((MIN(VERI_TABANI!D26, VERI_TABANI!D26*B467)*VERI_TABANI!$B$7 + MAX(0, VERI_TABANI!D26*B467-VERI_TABANI!D26)*VERI_TABANI!$B$8) + (MIN(MAX(0, VERI_TABANI!D26-VERI_TABANI!D26*B467), VERI_TABANI!D26*C467)*VERI_TABANI!$B$7 + MAX(0, VERI_TABANI!D26*C467-MAX(0, VERI_TABANI!D26-VERI_TABANI!D26*B467))*VERI_TABANI!$B$8) + IF(ABS(IF(ISNUMBER(SEARCH("Var", D467)), 1, IF(ISNUMBER(SEARCH("Gri", D467)), -1, 0)))=1, VERI_TABANI!E26*(1-0.928)*VERI_TABANI!$B$9, 0) + (VERI_TABANI!D26*B467*(VERI_TABANI!$B$13-VERI_TABANI!$B$14)*VERI_TABANI!G26) + (VERI_TABANI!D26*C467*(VERI_TABANI!$B$13-VERI_TABANI!$B$15)*VERI_TABANI!G26) + IF(ABS(IF(ISNUMBER(SEARCH("Var", D467)), 1, IF(ISNUMBER(SEARCH("Gri", D467)), -1, 0)))=1, VERI_TABANI!E26*(1-0.928)*0.00206091519919798*VERI_TABANI!G26, 0)) + ((MIN(VERI_TABANI!D27, VERI_TABANI!D27*B467)*VERI_TABANI!$B$7 + MAX(0, VERI_TABANI!D27*B467-VERI_TABANI!D27)*VERI_TABANI!$B$8) + (MIN(MAX(0, VERI_TABANI!D27-VERI_TABANI!D27*B467), VERI_TABANI!D27*C467)*VERI_TABANI!$B$7 + MAX(0, VERI_TABANI!D27*C467-MAX(0, VERI_TABANI!D27-VERI_TABANI!D27*B467))*VERI_TABANI!$B$8) + IF(ABS(IF(ISNUMBER(SEARCH("Var", D467)), 1, IF(ISNUMBER(SEARCH("Gri", D467)), -1, 0)))=1, VERI_TABANI!E27*(1-0.928)*VERI_TABANI!$B$9, 0) + (VERI_TABANI!D27*B467*(VERI_TABANI!$B$13-VERI_TABANI!$B$14)*VERI_TABANI!G27) + (VERI_TABANI!D27*C467*(VERI_TABANI!$B$13-VERI_TABANI!$B$15)*VERI_TABANI!G27) + IF(ABS(IF(ISNUMBER(SEARCH("Var", D467)), 1, IF(ISNUMBER(SEARCH("Gri", D467)), -1, 0)))=1, VERI_TABANI!E27*(1-0.928)*0.00206091519919798*VERI_TABANI!G27, 0)) + ((MIN(VERI_TABANI!D28, VERI_TABANI!D28*B467)*VERI_TABANI!$B$7 + MAX(0, VERI_TABANI!D28*B467-VERI_TABANI!D28)*VERI_TABANI!$B$8) + (MIN(MAX(0, VERI_TABANI!D28-VERI_TABANI!D28*B467), VERI_TABANI!D28*C467)*VERI_TABANI!$B$7 + MAX(0, VERI_TABANI!D28*C467-MAX(0, VERI_TABANI!D28-VERI_TABANI!D28*B467))*VERI_TABANI!$B$8) + IF(ABS(IF(ISNUMBER(SEARCH("Var", D467)), 1, IF(ISNUMBER(SEARCH("Gri", D467)), -1, 0)))=1, VERI_TABANI!E28*(1-0.928)*VERI_TABANI!$B$9, 0) + (VERI_TABANI!D28*B467*(VERI_TABANI!$B$13-VERI_TABANI!$B$14)*VERI_TABANI!G28) + (VERI_TABANI!D28*C467*(VERI_TABANI!$B$13-VERI_TABANI!$B$15)*VERI_TABANI!G28) + IF(ABS(IF(ISNUMBER(SEARCH("Var", D467)), 1, IF(ISNUMBER(SEARCH("Gri", D467)), -1, 0)))=1, VERI_TABANI!E28*(1-0.928)*0.00206091519919798*VERI_TABANI!G28, 0)))</f>
        <v/>
      </c>
      <c r="H467" s="169">
        <f>(((VERI_TABANI!D23*B467*(VERI_TABANI!$B$13-VERI_TABANI!$B$14)) + (VERI_TABANI!D23*C467*(VERI_TABANI!$B$13-VERI_TABANI!$B$15)) + IF(ISNUMBER(SEARCH("Var", D467)), VERI_TABANI!F23*(0.00202-VERI_TABANI!$B$16), IF(ISNUMBER(SEARCH("Gri", D467)), VERI_TABANI!F23*(0.00202-VERI_TABANI!$B$17), 0))) + ((VERI_TABANI!D24*B467*(VERI_TABANI!$B$13-VERI_TABANI!$B$14)) + (VERI_TABANI!D24*C467*(VERI_TABANI!$B$13-VERI_TABANI!$B$15)) + IF(ISNUMBER(SEARCH("Var", D467)), VERI_TABANI!F24*(0.00202-VERI_TABANI!$B$16), IF(ISNUMBER(SEARCH("Gri", D467)), VERI_TABANI!F24*(0.00202-VERI_TABANI!$B$17), 0))) + ((VERI_TABANI!D25*B467*(VERI_TABANI!$B$13-VERI_TABANI!$B$14)) + (VERI_TABANI!D25*C467*(VERI_TABANI!$B$13-VERI_TABANI!$B$15)) + IF(ISNUMBER(SEARCH("Var", D467)), VERI_TABANI!F25*(0.00202-VERI_TABANI!$B$16), IF(ISNUMBER(SEARCH("Gri", D467)), VERI_TABANI!F25*(0.00202-VERI_TABANI!$B$17), 0))) + ((VERI_TABANI!D26*B467*(VERI_TABANI!$B$13-VERI_TABANI!$B$14)) + (VERI_TABANI!D26*C467*(VERI_TABANI!$B$13-VERI_TABANI!$B$15)) + IF(ISNUMBER(SEARCH("Var", D467)), VERI_TABANI!F26*(0.00202-VERI_TABANI!$B$16), IF(ISNUMBER(SEARCH("Gri", D467)), VERI_TABANI!F26*(0.00202-VERI_TABANI!$B$17), 0))) + ((VERI_TABANI!D27*B467*(VERI_TABANI!$B$13-VERI_TABANI!$B$14)) + (VERI_TABANI!D27*C467*(VERI_TABANI!$B$13-VERI_TABANI!$B$15)) + IF(ISNUMBER(SEARCH("Var", D467)), VERI_TABANI!F27*(0.00202-VERI_TABANI!$B$16), IF(ISNUMBER(SEARCH("Gri", D467)), VERI_TABANI!F27*(0.00202-VERI_TABANI!$B$17), 0))) + ((VERI_TABANI!D28*B467*(VERI_TABANI!$B$13-VERI_TABANI!$B$14)) + (VERI_TABANI!D28*C467*(VERI_TABANI!$B$13-VERI_TABANI!$B$15)) + IF(ISNUMBER(SEARCH("Var", D467)), VERI_TABANI!F28*(0.00202-VERI_TABANI!$B$16), IF(ISNUMBER(SEARCH("Gri", D467)), VERI_TABANI!F28*(0.00202-VERI_TABANI!$B$17), 0))))</f>
        <v/>
      </c>
      <c r="I467" s="170">
        <f>IFERROR(((VERI_TABANI!$D$29*B467*VERI_TABANI!$B$14 + VERI_TABANI!$D$29*C467*VERI_TABANI!$B$15 + IF(ISNUMBER(SEARCH("Var", D467)), VERI_TABANI!$F$29*VERI_TABANI!$B$16, 0))) / (((VERI_TABANI!$D$29*B467 + VERI_TABANI!$D$29*C467)*VERI_TABANI!$B$13 + IF(ISNUMBER(SEARCH("Var", D467)), VERI_TABANI!$E$29*(1-0.928)*VERI_TABANI!$B$18, 0))), 0)</f>
        <v/>
      </c>
      <c r="J467" s="171">
        <f>IFERROR(F467/(G467/29), 0)</f>
        <v/>
      </c>
      <c r="K467" s="172">
        <f>IF(F467&gt;0, H467/F467, 0)</f>
        <v/>
      </c>
      <c r="L467" s="170">
        <f>IF(F467&gt;0, I467, 1000000000)</f>
        <v/>
      </c>
      <c r="M467" s="171">
        <f>ABS((B467+C467)-1)</f>
        <v/>
      </c>
      <c r="N467" s="170">
        <f>IF(F467&gt;0, (G467/29)/F467, 0)</f>
        <v/>
      </c>
      <c r="O467" s="168">
        <f>IF(AND((B467+C467)&gt;=1, ISNUMBER(SEARCH("Var", D467))), F467, 1000000000)</f>
        <v/>
      </c>
      <c r="P467" s="172">
        <f>IF(F467&gt;0, SQRT((F467/MAX(F$5:F$886))^2 + (1 - H467/MAX(H$5:H$886))^2 + (J467/MAX(J$5:J$886))^2), 1000000000)</f>
        <v/>
      </c>
      <c r="Q467" s="166">
        <f>IF(AND(ABS(B467-0.5)&lt;0.01, ABS(C467-0.5)&lt;0.01, ISNUMBER(SEARCH("Var", D467))), 1, 0)</f>
        <v/>
      </c>
      <c r="R467" s="171">
        <f>IF(F467&gt;0, J467, 1000000000)</f>
        <v/>
      </c>
      <c r="S467" s="101">
        <f>IF(AND(F467&lt;=DASHBOARD!$B$11, H467&gt;=DASHBOARD!$B$13), G467, -1000000000000)</f>
        <v/>
      </c>
      <c r="T467" s="101">
        <f>IF(AND(F467&lt;=DASHBOARD!$B$11, H467&gt;=DASHBOARD!$B$13), R467, 1000000000000)</f>
        <v/>
      </c>
      <c r="U467" s="101">
        <f>IF(AND(F467&lt;=DASHBOARD!$B$11, H467&gt;=DASHBOARD!$B$13), N467, -1000000000000)</f>
        <v/>
      </c>
      <c r="V467" s="101">
        <f>IF(AND(F467&lt;=DASHBOARD!$B$11, H467&gt;=DASHBOARD!$B$13), H467, -1000000000000)</f>
        <v/>
      </c>
      <c r="W467" s="101">
        <f>IF(AND(F467&lt;=DASHBOARD!$B$11, H467&gt;=DASHBOARD!$B$13), K467, -1000000000000)</f>
        <v/>
      </c>
      <c r="X467" s="101">
        <f>IF(AND(F467&lt;=DASHBOARD!$B$11, H467&gt;=DASHBOARD!$B$13), M467, 1000000000000)</f>
        <v/>
      </c>
      <c r="Y467" s="101">
        <f>IF(AND(F467&lt;=DASHBOARD!$B$10, H467&gt;=DASHBOARD!$B$11), L467, 1000000000000)</f>
        <v/>
      </c>
      <c r="Z467" s="101">
        <f>IF(AND(F467&lt;=DASHBOARD!$B$10, H467&gt;=DASHBOARD!$B$11), O467, 1000000000000)</f>
        <v/>
      </c>
      <c r="AA467" s="101">
        <f>IF(AND(F467&lt;=DASHBOARD!$B$10, H467&gt;=DASHBOARD!$B$11), P467, 1000000000000)</f>
        <v/>
      </c>
      <c r="AB467" s="101">
        <f>IF(AND(F467&lt;=DASHBOARD!$B$10, H467&gt;=DASHBOARD!$B$11), Q467, -1000000000000)</f>
        <v/>
      </c>
    </row>
    <row r="468" ht="15" customHeight="1" s="102">
      <c r="A468" s="166" t="n">
        <v>464</v>
      </c>
      <c r="B468" s="167" t="n">
        <v>1.1</v>
      </c>
      <c r="C468" s="167" t="n">
        <v>0</v>
      </c>
      <c r="D468" s="110" t="inlineStr">
        <is>
          <t>Var (%20)</t>
        </is>
      </c>
      <c r="E468" s="110">
        <f>IF((B468+C468)&lt;=1, "Tam Mahsuplaşma (≤%100)", "Kısmi Satış (&gt;%100)")</f>
        <v/>
      </c>
      <c r="F468" s="168">
        <f>((VERI_TABANI!$D$29*B468/VERI_TABANI!$B$29)/VERI_TABANI!$B$3)*VERI_TABANI!$B$5 + ((VERI_TABANI!$D$29*C468/VERI_TABANI!$B$29)/VERI_TABANI!$B$4)*VERI_TABANI!$B$6 + IF(ISNUMBER(SEARCH("Var", D468)), (VERI_TABANI!$F$29/VERI_TABANI!$B$29)*(VERI_TABANI!$B$10+VERI_TABANI!$B$12), 0)</f>
        <v/>
      </c>
      <c r="G468" s="168">
        <f>(((MIN(VERI_TABANI!D23, VERI_TABANI!D23*B468)*VERI_TABANI!$B$7 + MAX(0, VERI_TABANI!D23*B468-VERI_TABANI!D23)*VERI_TABANI!$B$8) + (MIN(MAX(0, VERI_TABANI!D23-VERI_TABANI!D23*B468), VERI_TABANI!D23*C468)*VERI_TABANI!$B$7 + MAX(0, VERI_TABANI!D23*C468-MAX(0, VERI_TABANI!D23-VERI_TABANI!D23*B468))*VERI_TABANI!$B$8) + IF(ABS(IF(ISNUMBER(SEARCH("Var", D468)), 1, IF(ISNUMBER(SEARCH("Gri", D468)), -1, 0)))=1, VERI_TABANI!E23*(1-0.928)*VERI_TABANI!$B$9, 0) + (VERI_TABANI!D23*B468*(VERI_TABANI!$B$13-VERI_TABANI!$B$14)*VERI_TABANI!G23) + (VERI_TABANI!D23*C468*(VERI_TABANI!$B$13-VERI_TABANI!$B$15)*VERI_TABANI!G23) + IF(ABS(IF(ISNUMBER(SEARCH("Var", D468)), 1, IF(ISNUMBER(SEARCH("Gri", D468)), -1, 0)))=1, VERI_TABANI!E23*(1-0.928)*0.00206091519919798*VERI_TABANI!G23, 0)) + ((MIN(VERI_TABANI!D24, VERI_TABANI!D24*B468)*VERI_TABANI!$B$7 + MAX(0, VERI_TABANI!D24*B468-VERI_TABANI!D24)*VERI_TABANI!$B$8) + (MIN(MAX(0, VERI_TABANI!D24-VERI_TABANI!D24*B468), VERI_TABANI!D24*C468)*VERI_TABANI!$B$7 + MAX(0, VERI_TABANI!D24*C468-MAX(0, VERI_TABANI!D24-VERI_TABANI!D24*B468))*VERI_TABANI!$B$8) + IF(ABS(IF(ISNUMBER(SEARCH("Var", D468)), 1, IF(ISNUMBER(SEARCH("Gri", D468)), -1, 0)))=1, VERI_TABANI!E24*(1-0.928)*VERI_TABANI!$B$9, 0) + (VERI_TABANI!D24*B468*(VERI_TABANI!$B$13-VERI_TABANI!$B$14)*VERI_TABANI!G24) + (VERI_TABANI!D24*C468*(VERI_TABANI!$B$13-VERI_TABANI!$B$15)*VERI_TABANI!G24) + IF(ABS(IF(ISNUMBER(SEARCH("Var", D468)), 1, IF(ISNUMBER(SEARCH("Gri", D468)), -1, 0)))=1, VERI_TABANI!E24*(1-0.928)*0.00206091519919798*VERI_TABANI!G24, 0)) + ((MIN(VERI_TABANI!D25, VERI_TABANI!D25*B468)*VERI_TABANI!$B$7 + MAX(0, VERI_TABANI!D25*B468-VERI_TABANI!D25)*VERI_TABANI!$B$8) + (MIN(MAX(0, VERI_TABANI!D25-VERI_TABANI!D25*B468), VERI_TABANI!D25*C468)*VERI_TABANI!$B$7 + MAX(0, VERI_TABANI!D25*C468-MAX(0, VERI_TABANI!D25-VERI_TABANI!D25*B468))*VERI_TABANI!$B$8) + IF(ABS(IF(ISNUMBER(SEARCH("Var", D468)), 1, IF(ISNUMBER(SEARCH("Gri", D468)), -1, 0)))=1, VERI_TABANI!E25*(1-0.928)*VERI_TABANI!$B$9, 0) + (VERI_TABANI!D25*B468*(VERI_TABANI!$B$13-VERI_TABANI!$B$14)*VERI_TABANI!G25) + (VERI_TABANI!D25*C468*(VERI_TABANI!$B$13-VERI_TABANI!$B$15)*VERI_TABANI!G25) + IF(ABS(IF(ISNUMBER(SEARCH("Var", D468)), 1, IF(ISNUMBER(SEARCH("Gri", D468)), -1, 0)))=1, VERI_TABANI!E25*(1-0.928)*0.00206091519919798*VERI_TABANI!G25, 0)) + ((MIN(VERI_TABANI!D26, VERI_TABANI!D26*B468)*VERI_TABANI!$B$7 + MAX(0, VERI_TABANI!D26*B468-VERI_TABANI!D26)*VERI_TABANI!$B$8) + (MIN(MAX(0, VERI_TABANI!D26-VERI_TABANI!D26*B468), VERI_TABANI!D26*C468)*VERI_TABANI!$B$7 + MAX(0, VERI_TABANI!D26*C468-MAX(0, VERI_TABANI!D26-VERI_TABANI!D26*B468))*VERI_TABANI!$B$8) + IF(ABS(IF(ISNUMBER(SEARCH("Var", D468)), 1, IF(ISNUMBER(SEARCH("Gri", D468)), -1, 0)))=1, VERI_TABANI!E26*(1-0.928)*VERI_TABANI!$B$9, 0) + (VERI_TABANI!D26*B468*(VERI_TABANI!$B$13-VERI_TABANI!$B$14)*VERI_TABANI!G26) + (VERI_TABANI!D26*C468*(VERI_TABANI!$B$13-VERI_TABANI!$B$15)*VERI_TABANI!G26) + IF(ABS(IF(ISNUMBER(SEARCH("Var", D468)), 1, IF(ISNUMBER(SEARCH("Gri", D468)), -1, 0)))=1, VERI_TABANI!E26*(1-0.928)*0.00206091519919798*VERI_TABANI!G26, 0)) + ((MIN(VERI_TABANI!D27, VERI_TABANI!D27*B468)*VERI_TABANI!$B$7 + MAX(0, VERI_TABANI!D27*B468-VERI_TABANI!D27)*VERI_TABANI!$B$8) + (MIN(MAX(0, VERI_TABANI!D27-VERI_TABANI!D27*B468), VERI_TABANI!D27*C468)*VERI_TABANI!$B$7 + MAX(0, VERI_TABANI!D27*C468-MAX(0, VERI_TABANI!D27-VERI_TABANI!D27*B468))*VERI_TABANI!$B$8) + IF(ABS(IF(ISNUMBER(SEARCH("Var", D468)), 1, IF(ISNUMBER(SEARCH("Gri", D468)), -1, 0)))=1, VERI_TABANI!E27*(1-0.928)*VERI_TABANI!$B$9, 0) + (VERI_TABANI!D27*B468*(VERI_TABANI!$B$13-VERI_TABANI!$B$14)*VERI_TABANI!G27) + (VERI_TABANI!D27*C468*(VERI_TABANI!$B$13-VERI_TABANI!$B$15)*VERI_TABANI!G27) + IF(ABS(IF(ISNUMBER(SEARCH("Var", D468)), 1, IF(ISNUMBER(SEARCH("Gri", D468)), -1, 0)))=1, VERI_TABANI!E27*(1-0.928)*0.00206091519919798*VERI_TABANI!G27, 0)) + ((MIN(VERI_TABANI!D28, VERI_TABANI!D28*B468)*VERI_TABANI!$B$7 + MAX(0, VERI_TABANI!D28*B468-VERI_TABANI!D28)*VERI_TABANI!$B$8) + (MIN(MAX(0, VERI_TABANI!D28-VERI_TABANI!D28*B468), VERI_TABANI!D28*C468)*VERI_TABANI!$B$7 + MAX(0, VERI_TABANI!D28*C468-MAX(0, VERI_TABANI!D28-VERI_TABANI!D28*B468))*VERI_TABANI!$B$8) + IF(ABS(IF(ISNUMBER(SEARCH("Var", D468)), 1, IF(ISNUMBER(SEARCH("Gri", D468)), -1, 0)))=1, VERI_TABANI!E28*(1-0.928)*VERI_TABANI!$B$9, 0) + (VERI_TABANI!D28*B468*(VERI_TABANI!$B$13-VERI_TABANI!$B$14)*VERI_TABANI!G28) + (VERI_TABANI!D28*C468*(VERI_TABANI!$B$13-VERI_TABANI!$B$15)*VERI_TABANI!G28) + IF(ABS(IF(ISNUMBER(SEARCH("Var", D468)), 1, IF(ISNUMBER(SEARCH("Gri", D468)), -1, 0)))=1, VERI_TABANI!E28*(1-0.928)*0.00206091519919798*VERI_TABANI!G28, 0)))</f>
        <v/>
      </c>
      <c r="H468" s="169">
        <f>(((VERI_TABANI!D23*B468*(VERI_TABANI!$B$13-VERI_TABANI!$B$14)) + (VERI_TABANI!D23*C468*(VERI_TABANI!$B$13-VERI_TABANI!$B$15)) + IF(ISNUMBER(SEARCH("Var", D468)), VERI_TABANI!F23*(0.00202-VERI_TABANI!$B$16), IF(ISNUMBER(SEARCH("Gri", D468)), VERI_TABANI!F23*(0.00202-VERI_TABANI!$B$17), 0))) + ((VERI_TABANI!D24*B468*(VERI_TABANI!$B$13-VERI_TABANI!$B$14)) + (VERI_TABANI!D24*C468*(VERI_TABANI!$B$13-VERI_TABANI!$B$15)) + IF(ISNUMBER(SEARCH("Var", D468)), VERI_TABANI!F24*(0.00202-VERI_TABANI!$B$16), IF(ISNUMBER(SEARCH("Gri", D468)), VERI_TABANI!F24*(0.00202-VERI_TABANI!$B$17), 0))) + ((VERI_TABANI!D25*B468*(VERI_TABANI!$B$13-VERI_TABANI!$B$14)) + (VERI_TABANI!D25*C468*(VERI_TABANI!$B$13-VERI_TABANI!$B$15)) + IF(ISNUMBER(SEARCH("Var", D468)), VERI_TABANI!F25*(0.00202-VERI_TABANI!$B$16), IF(ISNUMBER(SEARCH("Gri", D468)), VERI_TABANI!F25*(0.00202-VERI_TABANI!$B$17), 0))) + ((VERI_TABANI!D26*B468*(VERI_TABANI!$B$13-VERI_TABANI!$B$14)) + (VERI_TABANI!D26*C468*(VERI_TABANI!$B$13-VERI_TABANI!$B$15)) + IF(ISNUMBER(SEARCH("Var", D468)), VERI_TABANI!F26*(0.00202-VERI_TABANI!$B$16), IF(ISNUMBER(SEARCH("Gri", D468)), VERI_TABANI!F26*(0.00202-VERI_TABANI!$B$17), 0))) + ((VERI_TABANI!D27*B468*(VERI_TABANI!$B$13-VERI_TABANI!$B$14)) + (VERI_TABANI!D27*C468*(VERI_TABANI!$B$13-VERI_TABANI!$B$15)) + IF(ISNUMBER(SEARCH("Var", D468)), VERI_TABANI!F27*(0.00202-VERI_TABANI!$B$16), IF(ISNUMBER(SEARCH("Gri", D468)), VERI_TABANI!F27*(0.00202-VERI_TABANI!$B$17), 0))) + ((VERI_TABANI!D28*B468*(VERI_TABANI!$B$13-VERI_TABANI!$B$14)) + (VERI_TABANI!D28*C468*(VERI_TABANI!$B$13-VERI_TABANI!$B$15)) + IF(ISNUMBER(SEARCH("Var", D468)), VERI_TABANI!F28*(0.00202-VERI_TABANI!$B$16), IF(ISNUMBER(SEARCH("Gri", D468)), VERI_TABANI!F28*(0.00202-VERI_TABANI!$B$17), 0))))</f>
        <v/>
      </c>
      <c r="I468" s="170">
        <f>IFERROR(((VERI_TABANI!$D$29*B468*VERI_TABANI!$B$14 + VERI_TABANI!$D$29*C468*VERI_TABANI!$B$15 + IF(ISNUMBER(SEARCH("Var", D468)), VERI_TABANI!$F$29*VERI_TABANI!$B$16, 0))) / (((VERI_TABANI!$D$29*B468 + VERI_TABANI!$D$29*C468)*VERI_TABANI!$B$13 + IF(ISNUMBER(SEARCH("Var", D468)), VERI_TABANI!$E$29*(1-0.928)*VERI_TABANI!$B$18, 0))), 0)</f>
        <v/>
      </c>
      <c r="J468" s="171">
        <f>IFERROR(F468/(G468/29), 0)</f>
        <v/>
      </c>
      <c r="K468" s="172">
        <f>IF(F468&gt;0, H468/F468, 0)</f>
        <v/>
      </c>
      <c r="L468" s="170">
        <f>IF(F468&gt;0, I468, 1000000000)</f>
        <v/>
      </c>
      <c r="M468" s="171">
        <f>ABS((B468+C468)-1)</f>
        <v/>
      </c>
      <c r="N468" s="170">
        <f>IF(F468&gt;0, (G468/29)/F468, 0)</f>
        <v/>
      </c>
      <c r="O468" s="168">
        <f>IF(AND((B468+C468)&gt;=1, ISNUMBER(SEARCH("Var", D468))), F468, 1000000000)</f>
        <v/>
      </c>
      <c r="P468" s="172">
        <f>IF(F468&gt;0, SQRT((F468/MAX(F$5:F$886))^2 + (1 - H468/MAX(H$5:H$886))^2 + (J468/MAX(J$5:J$886))^2), 1000000000)</f>
        <v/>
      </c>
      <c r="Q468" s="166">
        <f>IF(AND(ABS(B468-0.5)&lt;0.01, ABS(C468-0.5)&lt;0.01, ISNUMBER(SEARCH("Var", D468))), 1, 0)</f>
        <v/>
      </c>
      <c r="R468" s="171">
        <f>IF(F468&gt;0, J468, 1000000000)</f>
        <v/>
      </c>
      <c r="S468" s="101">
        <f>IF(AND(F468&lt;=DASHBOARD!$B$11, H468&gt;=DASHBOARD!$B$13), G468, -1000000000000)</f>
        <v/>
      </c>
      <c r="T468" s="101">
        <f>IF(AND(F468&lt;=DASHBOARD!$B$11, H468&gt;=DASHBOARD!$B$13), R468, 1000000000000)</f>
        <v/>
      </c>
      <c r="U468" s="101">
        <f>IF(AND(F468&lt;=DASHBOARD!$B$11, H468&gt;=DASHBOARD!$B$13), N468, -1000000000000)</f>
        <v/>
      </c>
      <c r="V468" s="101">
        <f>IF(AND(F468&lt;=DASHBOARD!$B$11, H468&gt;=DASHBOARD!$B$13), H468, -1000000000000)</f>
        <v/>
      </c>
      <c r="W468" s="101">
        <f>IF(AND(F468&lt;=DASHBOARD!$B$11, H468&gt;=DASHBOARD!$B$13), K468, -1000000000000)</f>
        <v/>
      </c>
      <c r="X468" s="101">
        <f>IF(AND(F468&lt;=DASHBOARD!$B$11, H468&gt;=DASHBOARD!$B$13), M468, 1000000000000)</f>
        <v/>
      </c>
      <c r="Y468" s="101">
        <f>IF(AND(F468&lt;=DASHBOARD!$B$10, H468&gt;=DASHBOARD!$B$11), L468, 1000000000000)</f>
        <v/>
      </c>
      <c r="Z468" s="101">
        <f>IF(AND(F468&lt;=DASHBOARD!$B$10, H468&gt;=DASHBOARD!$B$11), O468, 1000000000000)</f>
        <v/>
      </c>
      <c r="AA468" s="101">
        <f>IF(AND(F468&lt;=DASHBOARD!$B$10, H468&gt;=DASHBOARD!$B$11), P468, 1000000000000)</f>
        <v/>
      </c>
      <c r="AB468" s="101">
        <f>IF(AND(F468&lt;=DASHBOARD!$B$10, H468&gt;=DASHBOARD!$B$11), Q468, -1000000000000)</f>
        <v/>
      </c>
    </row>
    <row r="469" ht="15" customHeight="1" s="102">
      <c r="A469" s="166" t="n">
        <v>465</v>
      </c>
      <c r="B469" s="167" t="n">
        <v>1.1</v>
      </c>
      <c r="C469" s="167" t="n">
        <v>0.1</v>
      </c>
      <c r="D469" s="110" t="inlineStr">
        <is>
          <t>Yok (%0)</t>
        </is>
      </c>
      <c r="E469" s="110">
        <f>IF((B469+C469)&lt;=1, "Tam Mahsuplaşma (≤%100)", "Kısmi Satış (&gt;%100)")</f>
        <v/>
      </c>
      <c r="F469" s="168">
        <f>((VERI_TABANI!$D$29*B469/VERI_TABANI!$B$29)/VERI_TABANI!$B$3)*VERI_TABANI!$B$5 + ((VERI_TABANI!$D$29*C469/VERI_TABANI!$B$29)/VERI_TABANI!$B$4)*VERI_TABANI!$B$6 + IF(ISNUMBER(SEARCH("Var", D469)), (VERI_TABANI!$F$29/VERI_TABANI!$B$29)*(VERI_TABANI!$B$10+VERI_TABANI!$B$12), 0)</f>
        <v/>
      </c>
      <c r="G469" s="168">
        <f>(((MIN(VERI_TABANI!D23, VERI_TABANI!D23*B469)*VERI_TABANI!$B$7 + MAX(0, VERI_TABANI!D23*B469-VERI_TABANI!D23)*VERI_TABANI!$B$8) + (MIN(MAX(0, VERI_TABANI!D23-VERI_TABANI!D23*B469), VERI_TABANI!D23*C469)*VERI_TABANI!$B$7 + MAX(0, VERI_TABANI!D23*C469-MAX(0, VERI_TABANI!D23-VERI_TABANI!D23*B469))*VERI_TABANI!$B$8) + IF(ABS(IF(ISNUMBER(SEARCH("Var", D469)), 1, IF(ISNUMBER(SEARCH("Gri", D469)), -1, 0)))=1, VERI_TABANI!E23*(1-0.928)*VERI_TABANI!$B$9, 0) + (VERI_TABANI!D23*B469*(VERI_TABANI!$B$13-VERI_TABANI!$B$14)*VERI_TABANI!G23) + (VERI_TABANI!D23*C469*(VERI_TABANI!$B$13-VERI_TABANI!$B$15)*VERI_TABANI!G23) + IF(ABS(IF(ISNUMBER(SEARCH("Var", D469)), 1, IF(ISNUMBER(SEARCH("Gri", D469)), -1, 0)))=1, VERI_TABANI!E23*(1-0.928)*0.00206091519919798*VERI_TABANI!G23, 0)) + ((MIN(VERI_TABANI!D24, VERI_TABANI!D24*B469)*VERI_TABANI!$B$7 + MAX(0, VERI_TABANI!D24*B469-VERI_TABANI!D24)*VERI_TABANI!$B$8) + (MIN(MAX(0, VERI_TABANI!D24-VERI_TABANI!D24*B469), VERI_TABANI!D24*C469)*VERI_TABANI!$B$7 + MAX(0, VERI_TABANI!D24*C469-MAX(0, VERI_TABANI!D24-VERI_TABANI!D24*B469))*VERI_TABANI!$B$8) + IF(ABS(IF(ISNUMBER(SEARCH("Var", D469)), 1, IF(ISNUMBER(SEARCH("Gri", D469)), -1, 0)))=1, VERI_TABANI!E24*(1-0.928)*VERI_TABANI!$B$9, 0) + (VERI_TABANI!D24*B469*(VERI_TABANI!$B$13-VERI_TABANI!$B$14)*VERI_TABANI!G24) + (VERI_TABANI!D24*C469*(VERI_TABANI!$B$13-VERI_TABANI!$B$15)*VERI_TABANI!G24) + IF(ABS(IF(ISNUMBER(SEARCH("Var", D469)), 1, IF(ISNUMBER(SEARCH("Gri", D469)), -1, 0)))=1, VERI_TABANI!E24*(1-0.928)*0.00206091519919798*VERI_TABANI!G24, 0)) + ((MIN(VERI_TABANI!D25, VERI_TABANI!D25*B469)*VERI_TABANI!$B$7 + MAX(0, VERI_TABANI!D25*B469-VERI_TABANI!D25)*VERI_TABANI!$B$8) + (MIN(MAX(0, VERI_TABANI!D25-VERI_TABANI!D25*B469), VERI_TABANI!D25*C469)*VERI_TABANI!$B$7 + MAX(0, VERI_TABANI!D25*C469-MAX(0, VERI_TABANI!D25-VERI_TABANI!D25*B469))*VERI_TABANI!$B$8) + IF(ABS(IF(ISNUMBER(SEARCH("Var", D469)), 1, IF(ISNUMBER(SEARCH("Gri", D469)), -1, 0)))=1, VERI_TABANI!E25*(1-0.928)*VERI_TABANI!$B$9, 0) + (VERI_TABANI!D25*B469*(VERI_TABANI!$B$13-VERI_TABANI!$B$14)*VERI_TABANI!G25) + (VERI_TABANI!D25*C469*(VERI_TABANI!$B$13-VERI_TABANI!$B$15)*VERI_TABANI!G25) + IF(ABS(IF(ISNUMBER(SEARCH("Var", D469)), 1, IF(ISNUMBER(SEARCH("Gri", D469)), -1, 0)))=1, VERI_TABANI!E25*(1-0.928)*0.00206091519919798*VERI_TABANI!G25, 0)) + ((MIN(VERI_TABANI!D26, VERI_TABANI!D26*B469)*VERI_TABANI!$B$7 + MAX(0, VERI_TABANI!D26*B469-VERI_TABANI!D26)*VERI_TABANI!$B$8) + (MIN(MAX(0, VERI_TABANI!D26-VERI_TABANI!D26*B469), VERI_TABANI!D26*C469)*VERI_TABANI!$B$7 + MAX(0, VERI_TABANI!D26*C469-MAX(0, VERI_TABANI!D26-VERI_TABANI!D26*B469))*VERI_TABANI!$B$8) + IF(ABS(IF(ISNUMBER(SEARCH("Var", D469)), 1, IF(ISNUMBER(SEARCH("Gri", D469)), -1, 0)))=1, VERI_TABANI!E26*(1-0.928)*VERI_TABANI!$B$9, 0) + (VERI_TABANI!D26*B469*(VERI_TABANI!$B$13-VERI_TABANI!$B$14)*VERI_TABANI!G26) + (VERI_TABANI!D26*C469*(VERI_TABANI!$B$13-VERI_TABANI!$B$15)*VERI_TABANI!G26) + IF(ABS(IF(ISNUMBER(SEARCH("Var", D469)), 1, IF(ISNUMBER(SEARCH("Gri", D469)), -1, 0)))=1, VERI_TABANI!E26*(1-0.928)*0.00206091519919798*VERI_TABANI!G26, 0)) + ((MIN(VERI_TABANI!D27, VERI_TABANI!D27*B469)*VERI_TABANI!$B$7 + MAX(0, VERI_TABANI!D27*B469-VERI_TABANI!D27)*VERI_TABANI!$B$8) + (MIN(MAX(0, VERI_TABANI!D27-VERI_TABANI!D27*B469), VERI_TABANI!D27*C469)*VERI_TABANI!$B$7 + MAX(0, VERI_TABANI!D27*C469-MAX(0, VERI_TABANI!D27-VERI_TABANI!D27*B469))*VERI_TABANI!$B$8) + IF(ABS(IF(ISNUMBER(SEARCH("Var", D469)), 1, IF(ISNUMBER(SEARCH("Gri", D469)), -1, 0)))=1, VERI_TABANI!E27*(1-0.928)*VERI_TABANI!$B$9, 0) + (VERI_TABANI!D27*B469*(VERI_TABANI!$B$13-VERI_TABANI!$B$14)*VERI_TABANI!G27) + (VERI_TABANI!D27*C469*(VERI_TABANI!$B$13-VERI_TABANI!$B$15)*VERI_TABANI!G27) + IF(ABS(IF(ISNUMBER(SEARCH("Var", D469)), 1, IF(ISNUMBER(SEARCH("Gri", D469)), -1, 0)))=1, VERI_TABANI!E27*(1-0.928)*0.00206091519919798*VERI_TABANI!G27, 0)) + ((MIN(VERI_TABANI!D28, VERI_TABANI!D28*B469)*VERI_TABANI!$B$7 + MAX(0, VERI_TABANI!D28*B469-VERI_TABANI!D28)*VERI_TABANI!$B$8) + (MIN(MAX(0, VERI_TABANI!D28-VERI_TABANI!D28*B469), VERI_TABANI!D28*C469)*VERI_TABANI!$B$7 + MAX(0, VERI_TABANI!D28*C469-MAX(0, VERI_TABANI!D28-VERI_TABANI!D28*B469))*VERI_TABANI!$B$8) + IF(ABS(IF(ISNUMBER(SEARCH("Var", D469)), 1, IF(ISNUMBER(SEARCH("Gri", D469)), -1, 0)))=1, VERI_TABANI!E28*(1-0.928)*VERI_TABANI!$B$9, 0) + (VERI_TABANI!D28*B469*(VERI_TABANI!$B$13-VERI_TABANI!$B$14)*VERI_TABANI!G28) + (VERI_TABANI!D28*C469*(VERI_TABANI!$B$13-VERI_TABANI!$B$15)*VERI_TABANI!G28) + IF(ABS(IF(ISNUMBER(SEARCH("Var", D469)), 1, IF(ISNUMBER(SEARCH("Gri", D469)), -1, 0)))=1, VERI_TABANI!E28*(1-0.928)*0.00206091519919798*VERI_TABANI!G28, 0)))</f>
        <v/>
      </c>
      <c r="H469" s="169">
        <f>(((VERI_TABANI!D23*B469*(VERI_TABANI!$B$13-VERI_TABANI!$B$14)) + (VERI_TABANI!D23*C469*(VERI_TABANI!$B$13-VERI_TABANI!$B$15)) + IF(ISNUMBER(SEARCH("Var", D469)), VERI_TABANI!F23*(0.00202-VERI_TABANI!$B$16), IF(ISNUMBER(SEARCH("Gri", D469)), VERI_TABANI!F23*(0.00202-VERI_TABANI!$B$17), 0))) + ((VERI_TABANI!D24*B469*(VERI_TABANI!$B$13-VERI_TABANI!$B$14)) + (VERI_TABANI!D24*C469*(VERI_TABANI!$B$13-VERI_TABANI!$B$15)) + IF(ISNUMBER(SEARCH("Var", D469)), VERI_TABANI!F24*(0.00202-VERI_TABANI!$B$16), IF(ISNUMBER(SEARCH("Gri", D469)), VERI_TABANI!F24*(0.00202-VERI_TABANI!$B$17), 0))) + ((VERI_TABANI!D25*B469*(VERI_TABANI!$B$13-VERI_TABANI!$B$14)) + (VERI_TABANI!D25*C469*(VERI_TABANI!$B$13-VERI_TABANI!$B$15)) + IF(ISNUMBER(SEARCH("Var", D469)), VERI_TABANI!F25*(0.00202-VERI_TABANI!$B$16), IF(ISNUMBER(SEARCH("Gri", D469)), VERI_TABANI!F25*(0.00202-VERI_TABANI!$B$17), 0))) + ((VERI_TABANI!D26*B469*(VERI_TABANI!$B$13-VERI_TABANI!$B$14)) + (VERI_TABANI!D26*C469*(VERI_TABANI!$B$13-VERI_TABANI!$B$15)) + IF(ISNUMBER(SEARCH("Var", D469)), VERI_TABANI!F26*(0.00202-VERI_TABANI!$B$16), IF(ISNUMBER(SEARCH("Gri", D469)), VERI_TABANI!F26*(0.00202-VERI_TABANI!$B$17), 0))) + ((VERI_TABANI!D27*B469*(VERI_TABANI!$B$13-VERI_TABANI!$B$14)) + (VERI_TABANI!D27*C469*(VERI_TABANI!$B$13-VERI_TABANI!$B$15)) + IF(ISNUMBER(SEARCH("Var", D469)), VERI_TABANI!F27*(0.00202-VERI_TABANI!$B$16), IF(ISNUMBER(SEARCH("Gri", D469)), VERI_TABANI!F27*(0.00202-VERI_TABANI!$B$17), 0))) + ((VERI_TABANI!D28*B469*(VERI_TABANI!$B$13-VERI_TABANI!$B$14)) + (VERI_TABANI!D28*C469*(VERI_TABANI!$B$13-VERI_TABANI!$B$15)) + IF(ISNUMBER(SEARCH("Var", D469)), VERI_TABANI!F28*(0.00202-VERI_TABANI!$B$16), IF(ISNUMBER(SEARCH("Gri", D469)), VERI_TABANI!F28*(0.00202-VERI_TABANI!$B$17), 0))))</f>
        <v/>
      </c>
      <c r="I469" s="170">
        <f>IFERROR(((VERI_TABANI!$D$29*B469*VERI_TABANI!$B$14 + VERI_TABANI!$D$29*C469*VERI_TABANI!$B$15 + IF(ISNUMBER(SEARCH("Var", D469)), VERI_TABANI!$F$29*VERI_TABANI!$B$16, 0))) / (((VERI_TABANI!$D$29*B469 + VERI_TABANI!$D$29*C469)*VERI_TABANI!$B$13 + IF(ISNUMBER(SEARCH("Var", D469)), VERI_TABANI!$E$29*(1-0.928)*VERI_TABANI!$B$18, 0))), 0)</f>
        <v/>
      </c>
      <c r="J469" s="171">
        <f>IFERROR(F469/(G469/29), 0)</f>
        <v/>
      </c>
      <c r="K469" s="172">
        <f>IF(F469&gt;0, H469/F469, 0)</f>
        <v/>
      </c>
      <c r="L469" s="170">
        <f>IF(F469&gt;0, I469, 1000000000)</f>
        <v/>
      </c>
      <c r="M469" s="171">
        <f>ABS((B469+C469)-1)</f>
        <v/>
      </c>
      <c r="N469" s="170">
        <f>IF(F469&gt;0, (G469/29)/F469, 0)</f>
        <v/>
      </c>
      <c r="O469" s="168">
        <f>IF(AND((B469+C469)&gt;=1, ISNUMBER(SEARCH("Var", D469))), F469, 1000000000)</f>
        <v/>
      </c>
      <c r="P469" s="172">
        <f>IF(F469&gt;0, SQRT((F469/MAX(F$5:F$886))^2 + (1 - H469/MAX(H$5:H$886))^2 + (J469/MAX(J$5:J$886))^2), 1000000000)</f>
        <v/>
      </c>
      <c r="Q469" s="166">
        <f>IF(AND(ABS(B469-0.5)&lt;0.01, ABS(C469-0.5)&lt;0.01, ISNUMBER(SEARCH("Var", D469))), 1, 0)</f>
        <v/>
      </c>
      <c r="R469" s="171">
        <f>IF(F469&gt;0, J469, 1000000000)</f>
        <v/>
      </c>
      <c r="S469" s="101">
        <f>IF(AND(F469&lt;=DASHBOARD!$B$11, H469&gt;=DASHBOARD!$B$13), G469, -1000000000000)</f>
        <v/>
      </c>
      <c r="T469" s="101">
        <f>IF(AND(F469&lt;=DASHBOARD!$B$11, H469&gt;=DASHBOARD!$B$13), R469, 1000000000000)</f>
        <v/>
      </c>
      <c r="U469" s="101">
        <f>IF(AND(F469&lt;=DASHBOARD!$B$11, H469&gt;=DASHBOARD!$B$13), N469, -1000000000000)</f>
        <v/>
      </c>
      <c r="V469" s="101">
        <f>IF(AND(F469&lt;=DASHBOARD!$B$11, H469&gt;=DASHBOARD!$B$13), H469, -1000000000000)</f>
        <v/>
      </c>
      <c r="W469" s="101">
        <f>IF(AND(F469&lt;=DASHBOARD!$B$11, H469&gt;=DASHBOARD!$B$13), K469, -1000000000000)</f>
        <v/>
      </c>
      <c r="X469" s="101">
        <f>IF(AND(F469&lt;=DASHBOARD!$B$11, H469&gt;=DASHBOARD!$B$13), M469, 1000000000000)</f>
        <v/>
      </c>
      <c r="Y469" s="101">
        <f>IF(AND(F469&lt;=DASHBOARD!$B$10, H469&gt;=DASHBOARD!$B$11), L469, 1000000000000)</f>
        <v/>
      </c>
      <c r="Z469" s="101">
        <f>IF(AND(F469&lt;=DASHBOARD!$B$10, H469&gt;=DASHBOARD!$B$11), O469, 1000000000000)</f>
        <v/>
      </c>
      <c r="AA469" s="101">
        <f>IF(AND(F469&lt;=DASHBOARD!$B$10, H469&gt;=DASHBOARD!$B$11), P469, 1000000000000)</f>
        <v/>
      </c>
      <c r="AB469" s="101">
        <f>IF(AND(F469&lt;=DASHBOARD!$B$10, H469&gt;=DASHBOARD!$B$11), Q469, -1000000000000)</f>
        <v/>
      </c>
    </row>
    <row r="470" ht="15" customHeight="1" s="102">
      <c r="A470" s="166" t="n">
        <v>466</v>
      </c>
      <c r="B470" s="167" t="n">
        <v>1.1</v>
      </c>
      <c r="C470" s="167" t="n">
        <v>0.1</v>
      </c>
      <c r="D470" s="110" t="inlineStr">
        <is>
          <t>Var (%20)</t>
        </is>
      </c>
      <c r="E470" s="110">
        <f>IF((B470+C470)&lt;=1, "Tam Mahsuplaşma (≤%100)", "Kısmi Satış (&gt;%100)")</f>
        <v/>
      </c>
      <c r="F470" s="168">
        <f>((VERI_TABANI!$D$29*B470/VERI_TABANI!$B$29)/VERI_TABANI!$B$3)*VERI_TABANI!$B$5 + ((VERI_TABANI!$D$29*C470/VERI_TABANI!$B$29)/VERI_TABANI!$B$4)*VERI_TABANI!$B$6 + IF(ISNUMBER(SEARCH("Var", D470)), (VERI_TABANI!$F$29/VERI_TABANI!$B$29)*(VERI_TABANI!$B$10+VERI_TABANI!$B$12), 0)</f>
        <v/>
      </c>
      <c r="G470" s="168">
        <f>(((MIN(VERI_TABANI!D23, VERI_TABANI!D23*B470)*VERI_TABANI!$B$7 + MAX(0, VERI_TABANI!D23*B470-VERI_TABANI!D23)*VERI_TABANI!$B$8) + (MIN(MAX(0, VERI_TABANI!D23-VERI_TABANI!D23*B470), VERI_TABANI!D23*C470)*VERI_TABANI!$B$7 + MAX(0, VERI_TABANI!D23*C470-MAX(0, VERI_TABANI!D23-VERI_TABANI!D23*B470))*VERI_TABANI!$B$8) + IF(ABS(IF(ISNUMBER(SEARCH("Var", D470)), 1, IF(ISNUMBER(SEARCH("Gri", D470)), -1, 0)))=1, VERI_TABANI!E23*(1-0.928)*VERI_TABANI!$B$9, 0) + (VERI_TABANI!D23*B470*(VERI_TABANI!$B$13-VERI_TABANI!$B$14)*VERI_TABANI!G23) + (VERI_TABANI!D23*C470*(VERI_TABANI!$B$13-VERI_TABANI!$B$15)*VERI_TABANI!G23) + IF(ABS(IF(ISNUMBER(SEARCH("Var", D470)), 1, IF(ISNUMBER(SEARCH("Gri", D470)), -1, 0)))=1, VERI_TABANI!E23*(1-0.928)*0.00206091519919798*VERI_TABANI!G23, 0)) + ((MIN(VERI_TABANI!D24, VERI_TABANI!D24*B470)*VERI_TABANI!$B$7 + MAX(0, VERI_TABANI!D24*B470-VERI_TABANI!D24)*VERI_TABANI!$B$8) + (MIN(MAX(0, VERI_TABANI!D24-VERI_TABANI!D24*B470), VERI_TABANI!D24*C470)*VERI_TABANI!$B$7 + MAX(0, VERI_TABANI!D24*C470-MAX(0, VERI_TABANI!D24-VERI_TABANI!D24*B470))*VERI_TABANI!$B$8) + IF(ABS(IF(ISNUMBER(SEARCH("Var", D470)), 1, IF(ISNUMBER(SEARCH("Gri", D470)), -1, 0)))=1, VERI_TABANI!E24*(1-0.928)*VERI_TABANI!$B$9, 0) + (VERI_TABANI!D24*B470*(VERI_TABANI!$B$13-VERI_TABANI!$B$14)*VERI_TABANI!G24) + (VERI_TABANI!D24*C470*(VERI_TABANI!$B$13-VERI_TABANI!$B$15)*VERI_TABANI!G24) + IF(ABS(IF(ISNUMBER(SEARCH("Var", D470)), 1, IF(ISNUMBER(SEARCH("Gri", D470)), -1, 0)))=1, VERI_TABANI!E24*(1-0.928)*0.00206091519919798*VERI_TABANI!G24, 0)) + ((MIN(VERI_TABANI!D25, VERI_TABANI!D25*B470)*VERI_TABANI!$B$7 + MAX(0, VERI_TABANI!D25*B470-VERI_TABANI!D25)*VERI_TABANI!$B$8) + (MIN(MAX(0, VERI_TABANI!D25-VERI_TABANI!D25*B470), VERI_TABANI!D25*C470)*VERI_TABANI!$B$7 + MAX(0, VERI_TABANI!D25*C470-MAX(0, VERI_TABANI!D25-VERI_TABANI!D25*B470))*VERI_TABANI!$B$8) + IF(ABS(IF(ISNUMBER(SEARCH("Var", D470)), 1, IF(ISNUMBER(SEARCH("Gri", D470)), -1, 0)))=1, VERI_TABANI!E25*(1-0.928)*VERI_TABANI!$B$9, 0) + (VERI_TABANI!D25*B470*(VERI_TABANI!$B$13-VERI_TABANI!$B$14)*VERI_TABANI!G25) + (VERI_TABANI!D25*C470*(VERI_TABANI!$B$13-VERI_TABANI!$B$15)*VERI_TABANI!G25) + IF(ABS(IF(ISNUMBER(SEARCH("Var", D470)), 1, IF(ISNUMBER(SEARCH("Gri", D470)), -1, 0)))=1, VERI_TABANI!E25*(1-0.928)*0.00206091519919798*VERI_TABANI!G25, 0)) + ((MIN(VERI_TABANI!D26, VERI_TABANI!D26*B470)*VERI_TABANI!$B$7 + MAX(0, VERI_TABANI!D26*B470-VERI_TABANI!D26)*VERI_TABANI!$B$8) + (MIN(MAX(0, VERI_TABANI!D26-VERI_TABANI!D26*B470), VERI_TABANI!D26*C470)*VERI_TABANI!$B$7 + MAX(0, VERI_TABANI!D26*C470-MAX(0, VERI_TABANI!D26-VERI_TABANI!D26*B470))*VERI_TABANI!$B$8) + IF(ABS(IF(ISNUMBER(SEARCH("Var", D470)), 1, IF(ISNUMBER(SEARCH("Gri", D470)), -1, 0)))=1, VERI_TABANI!E26*(1-0.928)*VERI_TABANI!$B$9, 0) + (VERI_TABANI!D26*B470*(VERI_TABANI!$B$13-VERI_TABANI!$B$14)*VERI_TABANI!G26) + (VERI_TABANI!D26*C470*(VERI_TABANI!$B$13-VERI_TABANI!$B$15)*VERI_TABANI!G26) + IF(ABS(IF(ISNUMBER(SEARCH("Var", D470)), 1, IF(ISNUMBER(SEARCH("Gri", D470)), -1, 0)))=1, VERI_TABANI!E26*(1-0.928)*0.00206091519919798*VERI_TABANI!G26, 0)) + ((MIN(VERI_TABANI!D27, VERI_TABANI!D27*B470)*VERI_TABANI!$B$7 + MAX(0, VERI_TABANI!D27*B470-VERI_TABANI!D27)*VERI_TABANI!$B$8) + (MIN(MAX(0, VERI_TABANI!D27-VERI_TABANI!D27*B470), VERI_TABANI!D27*C470)*VERI_TABANI!$B$7 + MAX(0, VERI_TABANI!D27*C470-MAX(0, VERI_TABANI!D27-VERI_TABANI!D27*B470))*VERI_TABANI!$B$8) + IF(ABS(IF(ISNUMBER(SEARCH("Var", D470)), 1, IF(ISNUMBER(SEARCH("Gri", D470)), -1, 0)))=1, VERI_TABANI!E27*(1-0.928)*VERI_TABANI!$B$9, 0) + (VERI_TABANI!D27*B470*(VERI_TABANI!$B$13-VERI_TABANI!$B$14)*VERI_TABANI!G27) + (VERI_TABANI!D27*C470*(VERI_TABANI!$B$13-VERI_TABANI!$B$15)*VERI_TABANI!G27) + IF(ABS(IF(ISNUMBER(SEARCH("Var", D470)), 1, IF(ISNUMBER(SEARCH("Gri", D470)), -1, 0)))=1, VERI_TABANI!E27*(1-0.928)*0.00206091519919798*VERI_TABANI!G27, 0)) + ((MIN(VERI_TABANI!D28, VERI_TABANI!D28*B470)*VERI_TABANI!$B$7 + MAX(0, VERI_TABANI!D28*B470-VERI_TABANI!D28)*VERI_TABANI!$B$8) + (MIN(MAX(0, VERI_TABANI!D28-VERI_TABANI!D28*B470), VERI_TABANI!D28*C470)*VERI_TABANI!$B$7 + MAX(0, VERI_TABANI!D28*C470-MAX(0, VERI_TABANI!D28-VERI_TABANI!D28*B470))*VERI_TABANI!$B$8) + IF(ABS(IF(ISNUMBER(SEARCH("Var", D470)), 1, IF(ISNUMBER(SEARCH("Gri", D470)), -1, 0)))=1, VERI_TABANI!E28*(1-0.928)*VERI_TABANI!$B$9, 0) + (VERI_TABANI!D28*B470*(VERI_TABANI!$B$13-VERI_TABANI!$B$14)*VERI_TABANI!G28) + (VERI_TABANI!D28*C470*(VERI_TABANI!$B$13-VERI_TABANI!$B$15)*VERI_TABANI!G28) + IF(ABS(IF(ISNUMBER(SEARCH("Var", D470)), 1, IF(ISNUMBER(SEARCH("Gri", D470)), -1, 0)))=1, VERI_TABANI!E28*(1-0.928)*0.00206091519919798*VERI_TABANI!G28, 0)))</f>
        <v/>
      </c>
      <c r="H470" s="169">
        <f>(((VERI_TABANI!D23*B470*(VERI_TABANI!$B$13-VERI_TABANI!$B$14)) + (VERI_TABANI!D23*C470*(VERI_TABANI!$B$13-VERI_TABANI!$B$15)) + IF(ISNUMBER(SEARCH("Var", D470)), VERI_TABANI!F23*(0.00202-VERI_TABANI!$B$16), IF(ISNUMBER(SEARCH("Gri", D470)), VERI_TABANI!F23*(0.00202-VERI_TABANI!$B$17), 0))) + ((VERI_TABANI!D24*B470*(VERI_TABANI!$B$13-VERI_TABANI!$B$14)) + (VERI_TABANI!D24*C470*(VERI_TABANI!$B$13-VERI_TABANI!$B$15)) + IF(ISNUMBER(SEARCH("Var", D470)), VERI_TABANI!F24*(0.00202-VERI_TABANI!$B$16), IF(ISNUMBER(SEARCH("Gri", D470)), VERI_TABANI!F24*(0.00202-VERI_TABANI!$B$17), 0))) + ((VERI_TABANI!D25*B470*(VERI_TABANI!$B$13-VERI_TABANI!$B$14)) + (VERI_TABANI!D25*C470*(VERI_TABANI!$B$13-VERI_TABANI!$B$15)) + IF(ISNUMBER(SEARCH("Var", D470)), VERI_TABANI!F25*(0.00202-VERI_TABANI!$B$16), IF(ISNUMBER(SEARCH("Gri", D470)), VERI_TABANI!F25*(0.00202-VERI_TABANI!$B$17), 0))) + ((VERI_TABANI!D26*B470*(VERI_TABANI!$B$13-VERI_TABANI!$B$14)) + (VERI_TABANI!D26*C470*(VERI_TABANI!$B$13-VERI_TABANI!$B$15)) + IF(ISNUMBER(SEARCH("Var", D470)), VERI_TABANI!F26*(0.00202-VERI_TABANI!$B$16), IF(ISNUMBER(SEARCH("Gri", D470)), VERI_TABANI!F26*(0.00202-VERI_TABANI!$B$17), 0))) + ((VERI_TABANI!D27*B470*(VERI_TABANI!$B$13-VERI_TABANI!$B$14)) + (VERI_TABANI!D27*C470*(VERI_TABANI!$B$13-VERI_TABANI!$B$15)) + IF(ISNUMBER(SEARCH("Var", D470)), VERI_TABANI!F27*(0.00202-VERI_TABANI!$B$16), IF(ISNUMBER(SEARCH("Gri", D470)), VERI_TABANI!F27*(0.00202-VERI_TABANI!$B$17), 0))) + ((VERI_TABANI!D28*B470*(VERI_TABANI!$B$13-VERI_TABANI!$B$14)) + (VERI_TABANI!D28*C470*(VERI_TABANI!$B$13-VERI_TABANI!$B$15)) + IF(ISNUMBER(SEARCH("Var", D470)), VERI_TABANI!F28*(0.00202-VERI_TABANI!$B$16), IF(ISNUMBER(SEARCH("Gri", D470)), VERI_TABANI!F28*(0.00202-VERI_TABANI!$B$17), 0))))</f>
        <v/>
      </c>
      <c r="I470" s="170">
        <f>IFERROR(((VERI_TABANI!$D$29*B470*VERI_TABANI!$B$14 + VERI_TABANI!$D$29*C470*VERI_TABANI!$B$15 + IF(ISNUMBER(SEARCH("Var", D470)), VERI_TABANI!$F$29*VERI_TABANI!$B$16, 0))) / (((VERI_TABANI!$D$29*B470 + VERI_TABANI!$D$29*C470)*VERI_TABANI!$B$13 + IF(ISNUMBER(SEARCH("Var", D470)), VERI_TABANI!$E$29*(1-0.928)*VERI_TABANI!$B$18, 0))), 0)</f>
        <v/>
      </c>
      <c r="J470" s="171">
        <f>IFERROR(F470/(G470/29), 0)</f>
        <v/>
      </c>
      <c r="K470" s="172">
        <f>IF(F470&gt;0, H470/F470, 0)</f>
        <v/>
      </c>
      <c r="L470" s="170">
        <f>IF(F470&gt;0, I470, 1000000000)</f>
        <v/>
      </c>
      <c r="M470" s="171">
        <f>ABS((B470+C470)-1)</f>
        <v/>
      </c>
      <c r="N470" s="170">
        <f>IF(F470&gt;0, (G470/29)/F470, 0)</f>
        <v/>
      </c>
      <c r="O470" s="168">
        <f>IF(AND((B470+C470)&gt;=1, ISNUMBER(SEARCH("Var", D470))), F470, 1000000000)</f>
        <v/>
      </c>
      <c r="P470" s="172">
        <f>IF(F470&gt;0, SQRT((F470/MAX(F$5:F$886))^2 + (1 - H470/MAX(H$5:H$886))^2 + (J470/MAX(J$5:J$886))^2), 1000000000)</f>
        <v/>
      </c>
      <c r="Q470" s="166">
        <f>IF(AND(ABS(B470-0.5)&lt;0.01, ABS(C470-0.5)&lt;0.01, ISNUMBER(SEARCH("Var", D470))), 1, 0)</f>
        <v/>
      </c>
      <c r="R470" s="171">
        <f>IF(F470&gt;0, J470, 1000000000)</f>
        <v/>
      </c>
      <c r="S470" s="101">
        <f>IF(AND(F470&lt;=DASHBOARD!$B$11, H470&gt;=DASHBOARD!$B$13), G470, -1000000000000)</f>
        <v/>
      </c>
      <c r="T470" s="101">
        <f>IF(AND(F470&lt;=DASHBOARD!$B$11, H470&gt;=DASHBOARD!$B$13), R470, 1000000000000)</f>
        <v/>
      </c>
      <c r="U470" s="101">
        <f>IF(AND(F470&lt;=DASHBOARD!$B$11, H470&gt;=DASHBOARD!$B$13), N470, -1000000000000)</f>
        <v/>
      </c>
      <c r="V470" s="101">
        <f>IF(AND(F470&lt;=DASHBOARD!$B$11, H470&gt;=DASHBOARD!$B$13), H470, -1000000000000)</f>
        <v/>
      </c>
      <c r="W470" s="101">
        <f>IF(AND(F470&lt;=DASHBOARD!$B$11, H470&gt;=DASHBOARD!$B$13), K470, -1000000000000)</f>
        <v/>
      </c>
      <c r="X470" s="101">
        <f>IF(AND(F470&lt;=DASHBOARD!$B$11, H470&gt;=DASHBOARD!$B$13), M470, 1000000000000)</f>
        <v/>
      </c>
      <c r="Y470" s="101">
        <f>IF(AND(F470&lt;=DASHBOARD!$B$10, H470&gt;=DASHBOARD!$B$11), L470, 1000000000000)</f>
        <v/>
      </c>
      <c r="Z470" s="101">
        <f>IF(AND(F470&lt;=DASHBOARD!$B$10, H470&gt;=DASHBOARD!$B$11), O470, 1000000000000)</f>
        <v/>
      </c>
      <c r="AA470" s="101">
        <f>IF(AND(F470&lt;=DASHBOARD!$B$10, H470&gt;=DASHBOARD!$B$11), P470, 1000000000000)</f>
        <v/>
      </c>
      <c r="AB470" s="101">
        <f>IF(AND(F470&lt;=DASHBOARD!$B$10, H470&gt;=DASHBOARD!$B$11), Q470, -1000000000000)</f>
        <v/>
      </c>
    </row>
    <row r="471" ht="15" customHeight="1" s="102">
      <c r="A471" s="166" t="n">
        <v>467</v>
      </c>
      <c r="B471" s="167" t="n">
        <v>1.1</v>
      </c>
      <c r="C471" s="167" t="n">
        <v>0.2</v>
      </c>
      <c r="D471" s="110" t="inlineStr">
        <is>
          <t>Yok (%0)</t>
        </is>
      </c>
      <c r="E471" s="110">
        <f>IF((B471+C471)&lt;=1, "Tam Mahsuplaşma (≤%100)", "Kısmi Satış (&gt;%100)")</f>
        <v/>
      </c>
      <c r="F471" s="168">
        <f>((VERI_TABANI!$D$29*B471/VERI_TABANI!$B$29)/VERI_TABANI!$B$3)*VERI_TABANI!$B$5 + ((VERI_TABANI!$D$29*C471/VERI_TABANI!$B$29)/VERI_TABANI!$B$4)*VERI_TABANI!$B$6 + IF(ISNUMBER(SEARCH("Var", D471)), (VERI_TABANI!$F$29/VERI_TABANI!$B$29)*(VERI_TABANI!$B$10+VERI_TABANI!$B$12), 0)</f>
        <v/>
      </c>
      <c r="G471" s="168">
        <f>(((MIN(VERI_TABANI!D23, VERI_TABANI!D23*B471)*VERI_TABANI!$B$7 + MAX(0, VERI_TABANI!D23*B471-VERI_TABANI!D23)*VERI_TABANI!$B$8) + (MIN(MAX(0, VERI_TABANI!D23-VERI_TABANI!D23*B471), VERI_TABANI!D23*C471)*VERI_TABANI!$B$7 + MAX(0, VERI_TABANI!D23*C471-MAX(0, VERI_TABANI!D23-VERI_TABANI!D23*B471))*VERI_TABANI!$B$8) + IF(ABS(IF(ISNUMBER(SEARCH("Var", D471)), 1, IF(ISNUMBER(SEARCH("Gri", D471)), -1, 0)))=1, VERI_TABANI!E23*(1-0.928)*VERI_TABANI!$B$9, 0) + (VERI_TABANI!D23*B471*(VERI_TABANI!$B$13-VERI_TABANI!$B$14)*VERI_TABANI!G23) + (VERI_TABANI!D23*C471*(VERI_TABANI!$B$13-VERI_TABANI!$B$15)*VERI_TABANI!G23) + IF(ABS(IF(ISNUMBER(SEARCH("Var", D471)), 1, IF(ISNUMBER(SEARCH("Gri", D471)), -1, 0)))=1, VERI_TABANI!E23*(1-0.928)*0.00206091519919798*VERI_TABANI!G23, 0)) + ((MIN(VERI_TABANI!D24, VERI_TABANI!D24*B471)*VERI_TABANI!$B$7 + MAX(0, VERI_TABANI!D24*B471-VERI_TABANI!D24)*VERI_TABANI!$B$8) + (MIN(MAX(0, VERI_TABANI!D24-VERI_TABANI!D24*B471), VERI_TABANI!D24*C471)*VERI_TABANI!$B$7 + MAX(0, VERI_TABANI!D24*C471-MAX(0, VERI_TABANI!D24-VERI_TABANI!D24*B471))*VERI_TABANI!$B$8) + IF(ABS(IF(ISNUMBER(SEARCH("Var", D471)), 1, IF(ISNUMBER(SEARCH("Gri", D471)), -1, 0)))=1, VERI_TABANI!E24*(1-0.928)*VERI_TABANI!$B$9, 0) + (VERI_TABANI!D24*B471*(VERI_TABANI!$B$13-VERI_TABANI!$B$14)*VERI_TABANI!G24) + (VERI_TABANI!D24*C471*(VERI_TABANI!$B$13-VERI_TABANI!$B$15)*VERI_TABANI!G24) + IF(ABS(IF(ISNUMBER(SEARCH("Var", D471)), 1, IF(ISNUMBER(SEARCH("Gri", D471)), -1, 0)))=1, VERI_TABANI!E24*(1-0.928)*0.00206091519919798*VERI_TABANI!G24, 0)) + ((MIN(VERI_TABANI!D25, VERI_TABANI!D25*B471)*VERI_TABANI!$B$7 + MAX(0, VERI_TABANI!D25*B471-VERI_TABANI!D25)*VERI_TABANI!$B$8) + (MIN(MAX(0, VERI_TABANI!D25-VERI_TABANI!D25*B471), VERI_TABANI!D25*C471)*VERI_TABANI!$B$7 + MAX(0, VERI_TABANI!D25*C471-MAX(0, VERI_TABANI!D25-VERI_TABANI!D25*B471))*VERI_TABANI!$B$8) + IF(ABS(IF(ISNUMBER(SEARCH("Var", D471)), 1, IF(ISNUMBER(SEARCH("Gri", D471)), -1, 0)))=1, VERI_TABANI!E25*(1-0.928)*VERI_TABANI!$B$9, 0) + (VERI_TABANI!D25*B471*(VERI_TABANI!$B$13-VERI_TABANI!$B$14)*VERI_TABANI!G25) + (VERI_TABANI!D25*C471*(VERI_TABANI!$B$13-VERI_TABANI!$B$15)*VERI_TABANI!G25) + IF(ABS(IF(ISNUMBER(SEARCH("Var", D471)), 1, IF(ISNUMBER(SEARCH("Gri", D471)), -1, 0)))=1, VERI_TABANI!E25*(1-0.928)*0.00206091519919798*VERI_TABANI!G25, 0)) + ((MIN(VERI_TABANI!D26, VERI_TABANI!D26*B471)*VERI_TABANI!$B$7 + MAX(0, VERI_TABANI!D26*B471-VERI_TABANI!D26)*VERI_TABANI!$B$8) + (MIN(MAX(0, VERI_TABANI!D26-VERI_TABANI!D26*B471), VERI_TABANI!D26*C471)*VERI_TABANI!$B$7 + MAX(0, VERI_TABANI!D26*C471-MAX(0, VERI_TABANI!D26-VERI_TABANI!D26*B471))*VERI_TABANI!$B$8) + IF(ABS(IF(ISNUMBER(SEARCH("Var", D471)), 1, IF(ISNUMBER(SEARCH("Gri", D471)), -1, 0)))=1, VERI_TABANI!E26*(1-0.928)*VERI_TABANI!$B$9, 0) + (VERI_TABANI!D26*B471*(VERI_TABANI!$B$13-VERI_TABANI!$B$14)*VERI_TABANI!G26) + (VERI_TABANI!D26*C471*(VERI_TABANI!$B$13-VERI_TABANI!$B$15)*VERI_TABANI!G26) + IF(ABS(IF(ISNUMBER(SEARCH("Var", D471)), 1, IF(ISNUMBER(SEARCH("Gri", D471)), -1, 0)))=1, VERI_TABANI!E26*(1-0.928)*0.00206091519919798*VERI_TABANI!G26, 0)) + ((MIN(VERI_TABANI!D27, VERI_TABANI!D27*B471)*VERI_TABANI!$B$7 + MAX(0, VERI_TABANI!D27*B471-VERI_TABANI!D27)*VERI_TABANI!$B$8) + (MIN(MAX(0, VERI_TABANI!D27-VERI_TABANI!D27*B471), VERI_TABANI!D27*C471)*VERI_TABANI!$B$7 + MAX(0, VERI_TABANI!D27*C471-MAX(0, VERI_TABANI!D27-VERI_TABANI!D27*B471))*VERI_TABANI!$B$8) + IF(ABS(IF(ISNUMBER(SEARCH("Var", D471)), 1, IF(ISNUMBER(SEARCH("Gri", D471)), -1, 0)))=1, VERI_TABANI!E27*(1-0.928)*VERI_TABANI!$B$9, 0) + (VERI_TABANI!D27*B471*(VERI_TABANI!$B$13-VERI_TABANI!$B$14)*VERI_TABANI!G27) + (VERI_TABANI!D27*C471*(VERI_TABANI!$B$13-VERI_TABANI!$B$15)*VERI_TABANI!G27) + IF(ABS(IF(ISNUMBER(SEARCH("Var", D471)), 1, IF(ISNUMBER(SEARCH("Gri", D471)), -1, 0)))=1, VERI_TABANI!E27*(1-0.928)*0.00206091519919798*VERI_TABANI!G27, 0)) + ((MIN(VERI_TABANI!D28, VERI_TABANI!D28*B471)*VERI_TABANI!$B$7 + MAX(0, VERI_TABANI!D28*B471-VERI_TABANI!D28)*VERI_TABANI!$B$8) + (MIN(MAX(0, VERI_TABANI!D28-VERI_TABANI!D28*B471), VERI_TABANI!D28*C471)*VERI_TABANI!$B$7 + MAX(0, VERI_TABANI!D28*C471-MAX(0, VERI_TABANI!D28-VERI_TABANI!D28*B471))*VERI_TABANI!$B$8) + IF(ABS(IF(ISNUMBER(SEARCH("Var", D471)), 1, IF(ISNUMBER(SEARCH("Gri", D471)), -1, 0)))=1, VERI_TABANI!E28*(1-0.928)*VERI_TABANI!$B$9, 0) + (VERI_TABANI!D28*B471*(VERI_TABANI!$B$13-VERI_TABANI!$B$14)*VERI_TABANI!G28) + (VERI_TABANI!D28*C471*(VERI_TABANI!$B$13-VERI_TABANI!$B$15)*VERI_TABANI!G28) + IF(ABS(IF(ISNUMBER(SEARCH("Var", D471)), 1, IF(ISNUMBER(SEARCH("Gri", D471)), -1, 0)))=1, VERI_TABANI!E28*(1-0.928)*0.00206091519919798*VERI_TABANI!G28, 0)))</f>
        <v/>
      </c>
      <c r="H471" s="169">
        <f>(((VERI_TABANI!D23*B471*(VERI_TABANI!$B$13-VERI_TABANI!$B$14)) + (VERI_TABANI!D23*C471*(VERI_TABANI!$B$13-VERI_TABANI!$B$15)) + IF(ISNUMBER(SEARCH("Var", D471)), VERI_TABANI!F23*(0.00202-VERI_TABANI!$B$16), IF(ISNUMBER(SEARCH("Gri", D471)), VERI_TABANI!F23*(0.00202-VERI_TABANI!$B$17), 0))) + ((VERI_TABANI!D24*B471*(VERI_TABANI!$B$13-VERI_TABANI!$B$14)) + (VERI_TABANI!D24*C471*(VERI_TABANI!$B$13-VERI_TABANI!$B$15)) + IF(ISNUMBER(SEARCH("Var", D471)), VERI_TABANI!F24*(0.00202-VERI_TABANI!$B$16), IF(ISNUMBER(SEARCH("Gri", D471)), VERI_TABANI!F24*(0.00202-VERI_TABANI!$B$17), 0))) + ((VERI_TABANI!D25*B471*(VERI_TABANI!$B$13-VERI_TABANI!$B$14)) + (VERI_TABANI!D25*C471*(VERI_TABANI!$B$13-VERI_TABANI!$B$15)) + IF(ISNUMBER(SEARCH("Var", D471)), VERI_TABANI!F25*(0.00202-VERI_TABANI!$B$16), IF(ISNUMBER(SEARCH("Gri", D471)), VERI_TABANI!F25*(0.00202-VERI_TABANI!$B$17), 0))) + ((VERI_TABANI!D26*B471*(VERI_TABANI!$B$13-VERI_TABANI!$B$14)) + (VERI_TABANI!D26*C471*(VERI_TABANI!$B$13-VERI_TABANI!$B$15)) + IF(ISNUMBER(SEARCH("Var", D471)), VERI_TABANI!F26*(0.00202-VERI_TABANI!$B$16), IF(ISNUMBER(SEARCH("Gri", D471)), VERI_TABANI!F26*(0.00202-VERI_TABANI!$B$17), 0))) + ((VERI_TABANI!D27*B471*(VERI_TABANI!$B$13-VERI_TABANI!$B$14)) + (VERI_TABANI!D27*C471*(VERI_TABANI!$B$13-VERI_TABANI!$B$15)) + IF(ISNUMBER(SEARCH("Var", D471)), VERI_TABANI!F27*(0.00202-VERI_TABANI!$B$16), IF(ISNUMBER(SEARCH("Gri", D471)), VERI_TABANI!F27*(0.00202-VERI_TABANI!$B$17), 0))) + ((VERI_TABANI!D28*B471*(VERI_TABANI!$B$13-VERI_TABANI!$B$14)) + (VERI_TABANI!D28*C471*(VERI_TABANI!$B$13-VERI_TABANI!$B$15)) + IF(ISNUMBER(SEARCH("Var", D471)), VERI_TABANI!F28*(0.00202-VERI_TABANI!$B$16), IF(ISNUMBER(SEARCH("Gri", D471)), VERI_TABANI!F28*(0.00202-VERI_TABANI!$B$17), 0))))</f>
        <v/>
      </c>
      <c r="I471" s="170">
        <f>IFERROR(((VERI_TABANI!$D$29*B471*VERI_TABANI!$B$14 + VERI_TABANI!$D$29*C471*VERI_TABANI!$B$15 + IF(ISNUMBER(SEARCH("Var", D471)), VERI_TABANI!$F$29*VERI_TABANI!$B$16, 0))) / (((VERI_TABANI!$D$29*B471 + VERI_TABANI!$D$29*C471)*VERI_TABANI!$B$13 + IF(ISNUMBER(SEARCH("Var", D471)), VERI_TABANI!$E$29*(1-0.928)*VERI_TABANI!$B$18, 0))), 0)</f>
        <v/>
      </c>
      <c r="J471" s="171">
        <f>IFERROR(F471/(G471/29), 0)</f>
        <v/>
      </c>
      <c r="K471" s="172">
        <f>IF(F471&gt;0, H471/F471, 0)</f>
        <v/>
      </c>
      <c r="L471" s="170">
        <f>IF(F471&gt;0, I471, 1000000000)</f>
        <v/>
      </c>
      <c r="M471" s="171">
        <f>ABS((B471+C471)-1)</f>
        <v/>
      </c>
      <c r="N471" s="170">
        <f>IF(F471&gt;0, (G471/29)/F471, 0)</f>
        <v/>
      </c>
      <c r="O471" s="168">
        <f>IF(AND((B471+C471)&gt;=1, ISNUMBER(SEARCH("Var", D471))), F471, 1000000000)</f>
        <v/>
      </c>
      <c r="P471" s="172">
        <f>IF(F471&gt;0, SQRT((F471/MAX(F$5:F$886))^2 + (1 - H471/MAX(H$5:H$886))^2 + (J471/MAX(J$5:J$886))^2), 1000000000)</f>
        <v/>
      </c>
      <c r="Q471" s="166">
        <f>IF(AND(ABS(B471-0.5)&lt;0.01, ABS(C471-0.5)&lt;0.01, ISNUMBER(SEARCH("Var", D471))), 1, 0)</f>
        <v/>
      </c>
      <c r="R471" s="171">
        <f>IF(F471&gt;0, J471, 1000000000)</f>
        <v/>
      </c>
      <c r="S471" s="101">
        <f>IF(AND(F471&lt;=DASHBOARD!$B$11, H471&gt;=DASHBOARD!$B$13), G471, -1000000000000)</f>
        <v/>
      </c>
      <c r="T471" s="101">
        <f>IF(AND(F471&lt;=DASHBOARD!$B$11, H471&gt;=DASHBOARD!$B$13), R471, 1000000000000)</f>
        <v/>
      </c>
      <c r="U471" s="101">
        <f>IF(AND(F471&lt;=DASHBOARD!$B$11, H471&gt;=DASHBOARD!$B$13), N471, -1000000000000)</f>
        <v/>
      </c>
      <c r="V471" s="101">
        <f>IF(AND(F471&lt;=DASHBOARD!$B$11, H471&gt;=DASHBOARD!$B$13), H471, -1000000000000)</f>
        <v/>
      </c>
      <c r="W471" s="101">
        <f>IF(AND(F471&lt;=DASHBOARD!$B$11, H471&gt;=DASHBOARD!$B$13), K471, -1000000000000)</f>
        <v/>
      </c>
      <c r="X471" s="101">
        <f>IF(AND(F471&lt;=DASHBOARD!$B$11, H471&gt;=DASHBOARD!$B$13), M471, 1000000000000)</f>
        <v/>
      </c>
      <c r="Y471" s="101">
        <f>IF(AND(F471&lt;=DASHBOARD!$B$10, H471&gt;=DASHBOARD!$B$11), L471, 1000000000000)</f>
        <v/>
      </c>
      <c r="Z471" s="101">
        <f>IF(AND(F471&lt;=DASHBOARD!$B$10, H471&gt;=DASHBOARD!$B$11), O471, 1000000000000)</f>
        <v/>
      </c>
      <c r="AA471" s="101">
        <f>IF(AND(F471&lt;=DASHBOARD!$B$10, H471&gt;=DASHBOARD!$B$11), P471, 1000000000000)</f>
        <v/>
      </c>
      <c r="AB471" s="101">
        <f>IF(AND(F471&lt;=DASHBOARD!$B$10, H471&gt;=DASHBOARD!$B$11), Q471, -1000000000000)</f>
        <v/>
      </c>
    </row>
    <row r="472" ht="15" customHeight="1" s="102">
      <c r="A472" s="166" t="n">
        <v>468</v>
      </c>
      <c r="B472" s="167" t="n">
        <v>1.1</v>
      </c>
      <c r="C472" s="167" t="n">
        <v>0.2</v>
      </c>
      <c r="D472" s="110" t="inlineStr">
        <is>
          <t>Var (%20)</t>
        </is>
      </c>
      <c r="E472" s="110">
        <f>IF((B472+C472)&lt;=1, "Tam Mahsuplaşma (≤%100)", "Kısmi Satış (&gt;%100)")</f>
        <v/>
      </c>
      <c r="F472" s="168">
        <f>((VERI_TABANI!$D$29*B472/VERI_TABANI!$B$29)/VERI_TABANI!$B$3)*VERI_TABANI!$B$5 + ((VERI_TABANI!$D$29*C472/VERI_TABANI!$B$29)/VERI_TABANI!$B$4)*VERI_TABANI!$B$6 + IF(ISNUMBER(SEARCH("Var", D472)), (VERI_TABANI!$F$29/VERI_TABANI!$B$29)*(VERI_TABANI!$B$10+VERI_TABANI!$B$12), 0)</f>
        <v/>
      </c>
      <c r="G472" s="168">
        <f>(((MIN(VERI_TABANI!D23, VERI_TABANI!D23*B472)*VERI_TABANI!$B$7 + MAX(0, VERI_TABANI!D23*B472-VERI_TABANI!D23)*VERI_TABANI!$B$8) + (MIN(MAX(0, VERI_TABANI!D23-VERI_TABANI!D23*B472), VERI_TABANI!D23*C472)*VERI_TABANI!$B$7 + MAX(0, VERI_TABANI!D23*C472-MAX(0, VERI_TABANI!D23-VERI_TABANI!D23*B472))*VERI_TABANI!$B$8) + IF(ABS(IF(ISNUMBER(SEARCH("Var", D472)), 1, IF(ISNUMBER(SEARCH("Gri", D472)), -1, 0)))=1, VERI_TABANI!E23*(1-0.928)*VERI_TABANI!$B$9, 0) + (VERI_TABANI!D23*B472*(VERI_TABANI!$B$13-VERI_TABANI!$B$14)*VERI_TABANI!G23) + (VERI_TABANI!D23*C472*(VERI_TABANI!$B$13-VERI_TABANI!$B$15)*VERI_TABANI!G23) + IF(ABS(IF(ISNUMBER(SEARCH("Var", D472)), 1, IF(ISNUMBER(SEARCH("Gri", D472)), -1, 0)))=1, VERI_TABANI!E23*(1-0.928)*0.00206091519919798*VERI_TABANI!G23, 0)) + ((MIN(VERI_TABANI!D24, VERI_TABANI!D24*B472)*VERI_TABANI!$B$7 + MAX(0, VERI_TABANI!D24*B472-VERI_TABANI!D24)*VERI_TABANI!$B$8) + (MIN(MAX(0, VERI_TABANI!D24-VERI_TABANI!D24*B472), VERI_TABANI!D24*C472)*VERI_TABANI!$B$7 + MAX(0, VERI_TABANI!D24*C472-MAX(0, VERI_TABANI!D24-VERI_TABANI!D24*B472))*VERI_TABANI!$B$8) + IF(ABS(IF(ISNUMBER(SEARCH("Var", D472)), 1, IF(ISNUMBER(SEARCH("Gri", D472)), -1, 0)))=1, VERI_TABANI!E24*(1-0.928)*VERI_TABANI!$B$9, 0) + (VERI_TABANI!D24*B472*(VERI_TABANI!$B$13-VERI_TABANI!$B$14)*VERI_TABANI!G24) + (VERI_TABANI!D24*C472*(VERI_TABANI!$B$13-VERI_TABANI!$B$15)*VERI_TABANI!G24) + IF(ABS(IF(ISNUMBER(SEARCH("Var", D472)), 1, IF(ISNUMBER(SEARCH("Gri", D472)), -1, 0)))=1, VERI_TABANI!E24*(1-0.928)*0.00206091519919798*VERI_TABANI!G24, 0)) + ((MIN(VERI_TABANI!D25, VERI_TABANI!D25*B472)*VERI_TABANI!$B$7 + MAX(0, VERI_TABANI!D25*B472-VERI_TABANI!D25)*VERI_TABANI!$B$8) + (MIN(MAX(0, VERI_TABANI!D25-VERI_TABANI!D25*B472), VERI_TABANI!D25*C472)*VERI_TABANI!$B$7 + MAX(0, VERI_TABANI!D25*C472-MAX(0, VERI_TABANI!D25-VERI_TABANI!D25*B472))*VERI_TABANI!$B$8) + IF(ABS(IF(ISNUMBER(SEARCH("Var", D472)), 1, IF(ISNUMBER(SEARCH("Gri", D472)), -1, 0)))=1, VERI_TABANI!E25*(1-0.928)*VERI_TABANI!$B$9, 0) + (VERI_TABANI!D25*B472*(VERI_TABANI!$B$13-VERI_TABANI!$B$14)*VERI_TABANI!G25) + (VERI_TABANI!D25*C472*(VERI_TABANI!$B$13-VERI_TABANI!$B$15)*VERI_TABANI!G25) + IF(ABS(IF(ISNUMBER(SEARCH("Var", D472)), 1, IF(ISNUMBER(SEARCH("Gri", D472)), -1, 0)))=1, VERI_TABANI!E25*(1-0.928)*0.00206091519919798*VERI_TABANI!G25, 0)) + ((MIN(VERI_TABANI!D26, VERI_TABANI!D26*B472)*VERI_TABANI!$B$7 + MAX(0, VERI_TABANI!D26*B472-VERI_TABANI!D26)*VERI_TABANI!$B$8) + (MIN(MAX(0, VERI_TABANI!D26-VERI_TABANI!D26*B472), VERI_TABANI!D26*C472)*VERI_TABANI!$B$7 + MAX(0, VERI_TABANI!D26*C472-MAX(0, VERI_TABANI!D26-VERI_TABANI!D26*B472))*VERI_TABANI!$B$8) + IF(ABS(IF(ISNUMBER(SEARCH("Var", D472)), 1, IF(ISNUMBER(SEARCH("Gri", D472)), -1, 0)))=1, VERI_TABANI!E26*(1-0.928)*VERI_TABANI!$B$9, 0) + (VERI_TABANI!D26*B472*(VERI_TABANI!$B$13-VERI_TABANI!$B$14)*VERI_TABANI!G26) + (VERI_TABANI!D26*C472*(VERI_TABANI!$B$13-VERI_TABANI!$B$15)*VERI_TABANI!G26) + IF(ABS(IF(ISNUMBER(SEARCH("Var", D472)), 1, IF(ISNUMBER(SEARCH("Gri", D472)), -1, 0)))=1, VERI_TABANI!E26*(1-0.928)*0.00206091519919798*VERI_TABANI!G26, 0)) + ((MIN(VERI_TABANI!D27, VERI_TABANI!D27*B472)*VERI_TABANI!$B$7 + MAX(0, VERI_TABANI!D27*B472-VERI_TABANI!D27)*VERI_TABANI!$B$8) + (MIN(MAX(0, VERI_TABANI!D27-VERI_TABANI!D27*B472), VERI_TABANI!D27*C472)*VERI_TABANI!$B$7 + MAX(0, VERI_TABANI!D27*C472-MAX(0, VERI_TABANI!D27-VERI_TABANI!D27*B472))*VERI_TABANI!$B$8) + IF(ABS(IF(ISNUMBER(SEARCH("Var", D472)), 1, IF(ISNUMBER(SEARCH("Gri", D472)), -1, 0)))=1, VERI_TABANI!E27*(1-0.928)*VERI_TABANI!$B$9, 0) + (VERI_TABANI!D27*B472*(VERI_TABANI!$B$13-VERI_TABANI!$B$14)*VERI_TABANI!G27) + (VERI_TABANI!D27*C472*(VERI_TABANI!$B$13-VERI_TABANI!$B$15)*VERI_TABANI!G27) + IF(ABS(IF(ISNUMBER(SEARCH("Var", D472)), 1, IF(ISNUMBER(SEARCH("Gri", D472)), -1, 0)))=1, VERI_TABANI!E27*(1-0.928)*0.00206091519919798*VERI_TABANI!G27, 0)) + ((MIN(VERI_TABANI!D28, VERI_TABANI!D28*B472)*VERI_TABANI!$B$7 + MAX(0, VERI_TABANI!D28*B472-VERI_TABANI!D28)*VERI_TABANI!$B$8) + (MIN(MAX(0, VERI_TABANI!D28-VERI_TABANI!D28*B472), VERI_TABANI!D28*C472)*VERI_TABANI!$B$7 + MAX(0, VERI_TABANI!D28*C472-MAX(0, VERI_TABANI!D28-VERI_TABANI!D28*B472))*VERI_TABANI!$B$8) + IF(ABS(IF(ISNUMBER(SEARCH("Var", D472)), 1, IF(ISNUMBER(SEARCH("Gri", D472)), -1, 0)))=1, VERI_TABANI!E28*(1-0.928)*VERI_TABANI!$B$9, 0) + (VERI_TABANI!D28*B472*(VERI_TABANI!$B$13-VERI_TABANI!$B$14)*VERI_TABANI!G28) + (VERI_TABANI!D28*C472*(VERI_TABANI!$B$13-VERI_TABANI!$B$15)*VERI_TABANI!G28) + IF(ABS(IF(ISNUMBER(SEARCH("Var", D472)), 1, IF(ISNUMBER(SEARCH("Gri", D472)), -1, 0)))=1, VERI_TABANI!E28*(1-0.928)*0.00206091519919798*VERI_TABANI!G28, 0)))</f>
        <v/>
      </c>
      <c r="H472" s="169">
        <f>(((VERI_TABANI!D23*B472*(VERI_TABANI!$B$13-VERI_TABANI!$B$14)) + (VERI_TABANI!D23*C472*(VERI_TABANI!$B$13-VERI_TABANI!$B$15)) + IF(ISNUMBER(SEARCH("Var", D472)), VERI_TABANI!F23*(0.00202-VERI_TABANI!$B$16), IF(ISNUMBER(SEARCH("Gri", D472)), VERI_TABANI!F23*(0.00202-VERI_TABANI!$B$17), 0))) + ((VERI_TABANI!D24*B472*(VERI_TABANI!$B$13-VERI_TABANI!$B$14)) + (VERI_TABANI!D24*C472*(VERI_TABANI!$B$13-VERI_TABANI!$B$15)) + IF(ISNUMBER(SEARCH("Var", D472)), VERI_TABANI!F24*(0.00202-VERI_TABANI!$B$16), IF(ISNUMBER(SEARCH("Gri", D472)), VERI_TABANI!F24*(0.00202-VERI_TABANI!$B$17), 0))) + ((VERI_TABANI!D25*B472*(VERI_TABANI!$B$13-VERI_TABANI!$B$14)) + (VERI_TABANI!D25*C472*(VERI_TABANI!$B$13-VERI_TABANI!$B$15)) + IF(ISNUMBER(SEARCH("Var", D472)), VERI_TABANI!F25*(0.00202-VERI_TABANI!$B$16), IF(ISNUMBER(SEARCH("Gri", D472)), VERI_TABANI!F25*(0.00202-VERI_TABANI!$B$17), 0))) + ((VERI_TABANI!D26*B472*(VERI_TABANI!$B$13-VERI_TABANI!$B$14)) + (VERI_TABANI!D26*C472*(VERI_TABANI!$B$13-VERI_TABANI!$B$15)) + IF(ISNUMBER(SEARCH("Var", D472)), VERI_TABANI!F26*(0.00202-VERI_TABANI!$B$16), IF(ISNUMBER(SEARCH("Gri", D472)), VERI_TABANI!F26*(0.00202-VERI_TABANI!$B$17), 0))) + ((VERI_TABANI!D27*B472*(VERI_TABANI!$B$13-VERI_TABANI!$B$14)) + (VERI_TABANI!D27*C472*(VERI_TABANI!$B$13-VERI_TABANI!$B$15)) + IF(ISNUMBER(SEARCH("Var", D472)), VERI_TABANI!F27*(0.00202-VERI_TABANI!$B$16), IF(ISNUMBER(SEARCH("Gri", D472)), VERI_TABANI!F27*(0.00202-VERI_TABANI!$B$17), 0))) + ((VERI_TABANI!D28*B472*(VERI_TABANI!$B$13-VERI_TABANI!$B$14)) + (VERI_TABANI!D28*C472*(VERI_TABANI!$B$13-VERI_TABANI!$B$15)) + IF(ISNUMBER(SEARCH("Var", D472)), VERI_TABANI!F28*(0.00202-VERI_TABANI!$B$16), IF(ISNUMBER(SEARCH("Gri", D472)), VERI_TABANI!F28*(0.00202-VERI_TABANI!$B$17), 0))))</f>
        <v/>
      </c>
      <c r="I472" s="170">
        <f>IFERROR(((VERI_TABANI!$D$29*B472*VERI_TABANI!$B$14 + VERI_TABANI!$D$29*C472*VERI_TABANI!$B$15 + IF(ISNUMBER(SEARCH("Var", D472)), VERI_TABANI!$F$29*VERI_TABANI!$B$16, 0))) / (((VERI_TABANI!$D$29*B472 + VERI_TABANI!$D$29*C472)*VERI_TABANI!$B$13 + IF(ISNUMBER(SEARCH("Var", D472)), VERI_TABANI!$E$29*(1-0.928)*VERI_TABANI!$B$18, 0))), 0)</f>
        <v/>
      </c>
      <c r="J472" s="171">
        <f>IFERROR(F472/(G472/29), 0)</f>
        <v/>
      </c>
      <c r="K472" s="172">
        <f>IF(F472&gt;0, H472/F472, 0)</f>
        <v/>
      </c>
      <c r="L472" s="170">
        <f>IF(F472&gt;0, I472, 1000000000)</f>
        <v/>
      </c>
      <c r="M472" s="171">
        <f>ABS((B472+C472)-1)</f>
        <v/>
      </c>
      <c r="N472" s="170">
        <f>IF(F472&gt;0, (G472/29)/F472, 0)</f>
        <v/>
      </c>
      <c r="O472" s="168">
        <f>IF(AND((B472+C472)&gt;=1, ISNUMBER(SEARCH("Var", D472))), F472, 1000000000)</f>
        <v/>
      </c>
      <c r="P472" s="172">
        <f>IF(F472&gt;0, SQRT((F472/MAX(F$5:F$886))^2 + (1 - H472/MAX(H$5:H$886))^2 + (J472/MAX(J$5:J$886))^2), 1000000000)</f>
        <v/>
      </c>
      <c r="Q472" s="166">
        <f>IF(AND(ABS(B472-0.5)&lt;0.01, ABS(C472-0.5)&lt;0.01, ISNUMBER(SEARCH("Var", D472))), 1, 0)</f>
        <v/>
      </c>
      <c r="R472" s="171">
        <f>IF(F472&gt;0, J472, 1000000000)</f>
        <v/>
      </c>
      <c r="S472" s="101">
        <f>IF(AND(F472&lt;=DASHBOARD!$B$11, H472&gt;=DASHBOARD!$B$13), G472, -1000000000000)</f>
        <v/>
      </c>
      <c r="T472" s="101">
        <f>IF(AND(F472&lt;=DASHBOARD!$B$11, H472&gt;=DASHBOARD!$B$13), R472, 1000000000000)</f>
        <v/>
      </c>
      <c r="U472" s="101">
        <f>IF(AND(F472&lt;=DASHBOARD!$B$11, H472&gt;=DASHBOARD!$B$13), N472, -1000000000000)</f>
        <v/>
      </c>
      <c r="V472" s="101">
        <f>IF(AND(F472&lt;=DASHBOARD!$B$11, H472&gt;=DASHBOARD!$B$13), H472, -1000000000000)</f>
        <v/>
      </c>
      <c r="W472" s="101">
        <f>IF(AND(F472&lt;=DASHBOARD!$B$11, H472&gt;=DASHBOARD!$B$13), K472, -1000000000000)</f>
        <v/>
      </c>
      <c r="X472" s="101">
        <f>IF(AND(F472&lt;=DASHBOARD!$B$11, H472&gt;=DASHBOARD!$B$13), M472, 1000000000000)</f>
        <v/>
      </c>
      <c r="Y472" s="101">
        <f>IF(AND(F472&lt;=DASHBOARD!$B$10, H472&gt;=DASHBOARD!$B$11), L472, 1000000000000)</f>
        <v/>
      </c>
      <c r="Z472" s="101">
        <f>IF(AND(F472&lt;=DASHBOARD!$B$10, H472&gt;=DASHBOARD!$B$11), O472, 1000000000000)</f>
        <v/>
      </c>
      <c r="AA472" s="101">
        <f>IF(AND(F472&lt;=DASHBOARD!$B$10, H472&gt;=DASHBOARD!$B$11), P472, 1000000000000)</f>
        <v/>
      </c>
      <c r="AB472" s="101">
        <f>IF(AND(F472&lt;=DASHBOARD!$B$10, H472&gt;=DASHBOARD!$B$11), Q472, -1000000000000)</f>
        <v/>
      </c>
    </row>
    <row r="473" ht="15" customHeight="1" s="102">
      <c r="A473" s="166" t="n">
        <v>469</v>
      </c>
      <c r="B473" s="167" t="n">
        <v>1.1</v>
      </c>
      <c r="C473" s="167" t="n">
        <v>0.3</v>
      </c>
      <c r="D473" s="110" t="inlineStr">
        <is>
          <t>Yok (%0)</t>
        </is>
      </c>
      <c r="E473" s="110">
        <f>IF((B473+C473)&lt;=1, "Tam Mahsuplaşma (≤%100)", "Kısmi Satış (&gt;%100)")</f>
        <v/>
      </c>
      <c r="F473" s="168">
        <f>((VERI_TABANI!$D$29*B473/VERI_TABANI!$B$29)/VERI_TABANI!$B$3)*VERI_TABANI!$B$5 + ((VERI_TABANI!$D$29*C473/VERI_TABANI!$B$29)/VERI_TABANI!$B$4)*VERI_TABANI!$B$6 + IF(ISNUMBER(SEARCH("Var", D473)), (VERI_TABANI!$F$29/VERI_TABANI!$B$29)*(VERI_TABANI!$B$10+VERI_TABANI!$B$12), 0)</f>
        <v/>
      </c>
      <c r="G473" s="168">
        <f>(((MIN(VERI_TABANI!D23, VERI_TABANI!D23*B473)*VERI_TABANI!$B$7 + MAX(0, VERI_TABANI!D23*B473-VERI_TABANI!D23)*VERI_TABANI!$B$8) + (MIN(MAX(0, VERI_TABANI!D23-VERI_TABANI!D23*B473), VERI_TABANI!D23*C473)*VERI_TABANI!$B$7 + MAX(0, VERI_TABANI!D23*C473-MAX(0, VERI_TABANI!D23-VERI_TABANI!D23*B473))*VERI_TABANI!$B$8) + IF(ABS(IF(ISNUMBER(SEARCH("Var", D473)), 1, IF(ISNUMBER(SEARCH("Gri", D473)), -1, 0)))=1, VERI_TABANI!E23*(1-0.928)*VERI_TABANI!$B$9, 0) + (VERI_TABANI!D23*B473*(VERI_TABANI!$B$13-VERI_TABANI!$B$14)*VERI_TABANI!G23) + (VERI_TABANI!D23*C473*(VERI_TABANI!$B$13-VERI_TABANI!$B$15)*VERI_TABANI!G23) + IF(ABS(IF(ISNUMBER(SEARCH("Var", D473)), 1, IF(ISNUMBER(SEARCH("Gri", D473)), -1, 0)))=1, VERI_TABANI!E23*(1-0.928)*0.00206091519919798*VERI_TABANI!G23, 0)) + ((MIN(VERI_TABANI!D24, VERI_TABANI!D24*B473)*VERI_TABANI!$B$7 + MAX(0, VERI_TABANI!D24*B473-VERI_TABANI!D24)*VERI_TABANI!$B$8) + (MIN(MAX(0, VERI_TABANI!D24-VERI_TABANI!D24*B473), VERI_TABANI!D24*C473)*VERI_TABANI!$B$7 + MAX(0, VERI_TABANI!D24*C473-MAX(0, VERI_TABANI!D24-VERI_TABANI!D24*B473))*VERI_TABANI!$B$8) + IF(ABS(IF(ISNUMBER(SEARCH("Var", D473)), 1, IF(ISNUMBER(SEARCH("Gri", D473)), -1, 0)))=1, VERI_TABANI!E24*(1-0.928)*VERI_TABANI!$B$9, 0) + (VERI_TABANI!D24*B473*(VERI_TABANI!$B$13-VERI_TABANI!$B$14)*VERI_TABANI!G24) + (VERI_TABANI!D24*C473*(VERI_TABANI!$B$13-VERI_TABANI!$B$15)*VERI_TABANI!G24) + IF(ABS(IF(ISNUMBER(SEARCH("Var", D473)), 1, IF(ISNUMBER(SEARCH("Gri", D473)), -1, 0)))=1, VERI_TABANI!E24*(1-0.928)*0.00206091519919798*VERI_TABANI!G24, 0)) + ((MIN(VERI_TABANI!D25, VERI_TABANI!D25*B473)*VERI_TABANI!$B$7 + MAX(0, VERI_TABANI!D25*B473-VERI_TABANI!D25)*VERI_TABANI!$B$8) + (MIN(MAX(0, VERI_TABANI!D25-VERI_TABANI!D25*B473), VERI_TABANI!D25*C473)*VERI_TABANI!$B$7 + MAX(0, VERI_TABANI!D25*C473-MAX(0, VERI_TABANI!D25-VERI_TABANI!D25*B473))*VERI_TABANI!$B$8) + IF(ABS(IF(ISNUMBER(SEARCH("Var", D473)), 1, IF(ISNUMBER(SEARCH("Gri", D473)), -1, 0)))=1, VERI_TABANI!E25*(1-0.928)*VERI_TABANI!$B$9, 0) + (VERI_TABANI!D25*B473*(VERI_TABANI!$B$13-VERI_TABANI!$B$14)*VERI_TABANI!G25) + (VERI_TABANI!D25*C473*(VERI_TABANI!$B$13-VERI_TABANI!$B$15)*VERI_TABANI!G25) + IF(ABS(IF(ISNUMBER(SEARCH("Var", D473)), 1, IF(ISNUMBER(SEARCH("Gri", D473)), -1, 0)))=1, VERI_TABANI!E25*(1-0.928)*0.00206091519919798*VERI_TABANI!G25, 0)) + ((MIN(VERI_TABANI!D26, VERI_TABANI!D26*B473)*VERI_TABANI!$B$7 + MAX(0, VERI_TABANI!D26*B473-VERI_TABANI!D26)*VERI_TABANI!$B$8) + (MIN(MAX(0, VERI_TABANI!D26-VERI_TABANI!D26*B473), VERI_TABANI!D26*C473)*VERI_TABANI!$B$7 + MAX(0, VERI_TABANI!D26*C473-MAX(0, VERI_TABANI!D26-VERI_TABANI!D26*B473))*VERI_TABANI!$B$8) + IF(ABS(IF(ISNUMBER(SEARCH("Var", D473)), 1, IF(ISNUMBER(SEARCH("Gri", D473)), -1, 0)))=1, VERI_TABANI!E26*(1-0.928)*VERI_TABANI!$B$9, 0) + (VERI_TABANI!D26*B473*(VERI_TABANI!$B$13-VERI_TABANI!$B$14)*VERI_TABANI!G26) + (VERI_TABANI!D26*C473*(VERI_TABANI!$B$13-VERI_TABANI!$B$15)*VERI_TABANI!G26) + IF(ABS(IF(ISNUMBER(SEARCH("Var", D473)), 1, IF(ISNUMBER(SEARCH("Gri", D473)), -1, 0)))=1, VERI_TABANI!E26*(1-0.928)*0.00206091519919798*VERI_TABANI!G26, 0)) + ((MIN(VERI_TABANI!D27, VERI_TABANI!D27*B473)*VERI_TABANI!$B$7 + MAX(0, VERI_TABANI!D27*B473-VERI_TABANI!D27)*VERI_TABANI!$B$8) + (MIN(MAX(0, VERI_TABANI!D27-VERI_TABANI!D27*B473), VERI_TABANI!D27*C473)*VERI_TABANI!$B$7 + MAX(0, VERI_TABANI!D27*C473-MAX(0, VERI_TABANI!D27-VERI_TABANI!D27*B473))*VERI_TABANI!$B$8) + IF(ABS(IF(ISNUMBER(SEARCH("Var", D473)), 1, IF(ISNUMBER(SEARCH("Gri", D473)), -1, 0)))=1, VERI_TABANI!E27*(1-0.928)*VERI_TABANI!$B$9, 0) + (VERI_TABANI!D27*B473*(VERI_TABANI!$B$13-VERI_TABANI!$B$14)*VERI_TABANI!G27) + (VERI_TABANI!D27*C473*(VERI_TABANI!$B$13-VERI_TABANI!$B$15)*VERI_TABANI!G27) + IF(ABS(IF(ISNUMBER(SEARCH("Var", D473)), 1, IF(ISNUMBER(SEARCH("Gri", D473)), -1, 0)))=1, VERI_TABANI!E27*(1-0.928)*0.00206091519919798*VERI_TABANI!G27, 0)) + ((MIN(VERI_TABANI!D28, VERI_TABANI!D28*B473)*VERI_TABANI!$B$7 + MAX(0, VERI_TABANI!D28*B473-VERI_TABANI!D28)*VERI_TABANI!$B$8) + (MIN(MAX(0, VERI_TABANI!D28-VERI_TABANI!D28*B473), VERI_TABANI!D28*C473)*VERI_TABANI!$B$7 + MAX(0, VERI_TABANI!D28*C473-MAX(0, VERI_TABANI!D28-VERI_TABANI!D28*B473))*VERI_TABANI!$B$8) + IF(ABS(IF(ISNUMBER(SEARCH("Var", D473)), 1, IF(ISNUMBER(SEARCH("Gri", D473)), -1, 0)))=1, VERI_TABANI!E28*(1-0.928)*VERI_TABANI!$B$9, 0) + (VERI_TABANI!D28*B473*(VERI_TABANI!$B$13-VERI_TABANI!$B$14)*VERI_TABANI!G28) + (VERI_TABANI!D28*C473*(VERI_TABANI!$B$13-VERI_TABANI!$B$15)*VERI_TABANI!G28) + IF(ABS(IF(ISNUMBER(SEARCH("Var", D473)), 1, IF(ISNUMBER(SEARCH("Gri", D473)), -1, 0)))=1, VERI_TABANI!E28*(1-0.928)*0.00206091519919798*VERI_TABANI!G28, 0)))</f>
        <v/>
      </c>
      <c r="H473" s="169">
        <f>(((VERI_TABANI!D23*B473*(VERI_TABANI!$B$13-VERI_TABANI!$B$14)) + (VERI_TABANI!D23*C473*(VERI_TABANI!$B$13-VERI_TABANI!$B$15)) + IF(ISNUMBER(SEARCH("Var", D473)), VERI_TABANI!F23*(0.00202-VERI_TABANI!$B$16), IF(ISNUMBER(SEARCH("Gri", D473)), VERI_TABANI!F23*(0.00202-VERI_TABANI!$B$17), 0))) + ((VERI_TABANI!D24*B473*(VERI_TABANI!$B$13-VERI_TABANI!$B$14)) + (VERI_TABANI!D24*C473*(VERI_TABANI!$B$13-VERI_TABANI!$B$15)) + IF(ISNUMBER(SEARCH("Var", D473)), VERI_TABANI!F24*(0.00202-VERI_TABANI!$B$16), IF(ISNUMBER(SEARCH("Gri", D473)), VERI_TABANI!F24*(0.00202-VERI_TABANI!$B$17), 0))) + ((VERI_TABANI!D25*B473*(VERI_TABANI!$B$13-VERI_TABANI!$B$14)) + (VERI_TABANI!D25*C473*(VERI_TABANI!$B$13-VERI_TABANI!$B$15)) + IF(ISNUMBER(SEARCH("Var", D473)), VERI_TABANI!F25*(0.00202-VERI_TABANI!$B$16), IF(ISNUMBER(SEARCH("Gri", D473)), VERI_TABANI!F25*(0.00202-VERI_TABANI!$B$17), 0))) + ((VERI_TABANI!D26*B473*(VERI_TABANI!$B$13-VERI_TABANI!$B$14)) + (VERI_TABANI!D26*C473*(VERI_TABANI!$B$13-VERI_TABANI!$B$15)) + IF(ISNUMBER(SEARCH("Var", D473)), VERI_TABANI!F26*(0.00202-VERI_TABANI!$B$16), IF(ISNUMBER(SEARCH("Gri", D473)), VERI_TABANI!F26*(0.00202-VERI_TABANI!$B$17), 0))) + ((VERI_TABANI!D27*B473*(VERI_TABANI!$B$13-VERI_TABANI!$B$14)) + (VERI_TABANI!D27*C473*(VERI_TABANI!$B$13-VERI_TABANI!$B$15)) + IF(ISNUMBER(SEARCH("Var", D473)), VERI_TABANI!F27*(0.00202-VERI_TABANI!$B$16), IF(ISNUMBER(SEARCH("Gri", D473)), VERI_TABANI!F27*(0.00202-VERI_TABANI!$B$17), 0))) + ((VERI_TABANI!D28*B473*(VERI_TABANI!$B$13-VERI_TABANI!$B$14)) + (VERI_TABANI!D28*C473*(VERI_TABANI!$B$13-VERI_TABANI!$B$15)) + IF(ISNUMBER(SEARCH("Var", D473)), VERI_TABANI!F28*(0.00202-VERI_TABANI!$B$16), IF(ISNUMBER(SEARCH("Gri", D473)), VERI_TABANI!F28*(0.00202-VERI_TABANI!$B$17), 0))))</f>
        <v/>
      </c>
      <c r="I473" s="170">
        <f>IFERROR(((VERI_TABANI!$D$29*B473*VERI_TABANI!$B$14 + VERI_TABANI!$D$29*C473*VERI_TABANI!$B$15 + IF(ISNUMBER(SEARCH("Var", D473)), VERI_TABANI!$F$29*VERI_TABANI!$B$16, 0))) / (((VERI_TABANI!$D$29*B473 + VERI_TABANI!$D$29*C473)*VERI_TABANI!$B$13 + IF(ISNUMBER(SEARCH("Var", D473)), VERI_TABANI!$E$29*(1-0.928)*VERI_TABANI!$B$18, 0))), 0)</f>
        <v/>
      </c>
      <c r="J473" s="171">
        <f>IFERROR(F473/(G473/29), 0)</f>
        <v/>
      </c>
      <c r="K473" s="172">
        <f>IF(F473&gt;0, H473/F473, 0)</f>
        <v/>
      </c>
      <c r="L473" s="170">
        <f>IF(F473&gt;0, I473, 1000000000)</f>
        <v/>
      </c>
      <c r="M473" s="171">
        <f>ABS((B473+C473)-1)</f>
        <v/>
      </c>
      <c r="N473" s="170">
        <f>IF(F473&gt;0, (G473/29)/F473, 0)</f>
        <v/>
      </c>
      <c r="O473" s="168">
        <f>IF(AND((B473+C473)&gt;=1, ISNUMBER(SEARCH("Var", D473))), F473, 1000000000)</f>
        <v/>
      </c>
      <c r="P473" s="172">
        <f>IF(F473&gt;0, SQRT((F473/MAX(F$5:F$886))^2 + (1 - H473/MAX(H$5:H$886))^2 + (J473/MAX(J$5:J$886))^2), 1000000000)</f>
        <v/>
      </c>
      <c r="Q473" s="166">
        <f>IF(AND(ABS(B473-0.5)&lt;0.01, ABS(C473-0.5)&lt;0.01, ISNUMBER(SEARCH("Var", D473))), 1, 0)</f>
        <v/>
      </c>
      <c r="R473" s="171">
        <f>IF(F473&gt;0, J473, 1000000000)</f>
        <v/>
      </c>
      <c r="S473" s="101">
        <f>IF(AND(F473&lt;=DASHBOARD!$B$11, H473&gt;=DASHBOARD!$B$13), G473, -1000000000000)</f>
        <v/>
      </c>
      <c r="T473" s="101">
        <f>IF(AND(F473&lt;=DASHBOARD!$B$11, H473&gt;=DASHBOARD!$B$13), R473, 1000000000000)</f>
        <v/>
      </c>
      <c r="U473" s="101">
        <f>IF(AND(F473&lt;=DASHBOARD!$B$11, H473&gt;=DASHBOARD!$B$13), N473, -1000000000000)</f>
        <v/>
      </c>
      <c r="V473" s="101">
        <f>IF(AND(F473&lt;=DASHBOARD!$B$11, H473&gt;=DASHBOARD!$B$13), H473, -1000000000000)</f>
        <v/>
      </c>
      <c r="W473" s="101">
        <f>IF(AND(F473&lt;=DASHBOARD!$B$11, H473&gt;=DASHBOARD!$B$13), K473, -1000000000000)</f>
        <v/>
      </c>
      <c r="X473" s="101">
        <f>IF(AND(F473&lt;=DASHBOARD!$B$11, H473&gt;=DASHBOARD!$B$13), M473, 1000000000000)</f>
        <v/>
      </c>
      <c r="Y473" s="101">
        <f>IF(AND(F473&lt;=DASHBOARD!$B$10, H473&gt;=DASHBOARD!$B$11), L473, 1000000000000)</f>
        <v/>
      </c>
      <c r="Z473" s="101">
        <f>IF(AND(F473&lt;=DASHBOARD!$B$10, H473&gt;=DASHBOARD!$B$11), O473, 1000000000000)</f>
        <v/>
      </c>
      <c r="AA473" s="101">
        <f>IF(AND(F473&lt;=DASHBOARD!$B$10, H473&gt;=DASHBOARD!$B$11), P473, 1000000000000)</f>
        <v/>
      </c>
      <c r="AB473" s="101">
        <f>IF(AND(F473&lt;=DASHBOARD!$B$10, H473&gt;=DASHBOARD!$B$11), Q473, -1000000000000)</f>
        <v/>
      </c>
    </row>
    <row r="474" ht="15" customHeight="1" s="102">
      <c r="A474" s="166" t="n">
        <v>470</v>
      </c>
      <c r="B474" s="167" t="n">
        <v>1.1</v>
      </c>
      <c r="C474" s="167" t="n">
        <v>0.3</v>
      </c>
      <c r="D474" s="110" t="inlineStr">
        <is>
          <t>Var (%20)</t>
        </is>
      </c>
      <c r="E474" s="110">
        <f>IF((B474+C474)&lt;=1, "Tam Mahsuplaşma (≤%100)", "Kısmi Satış (&gt;%100)")</f>
        <v/>
      </c>
      <c r="F474" s="168">
        <f>((VERI_TABANI!$D$29*B474/VERI_TABANI!$B$29)/VERI_TABANI!$B$3)*VERI_TABANI!$B$5 + ((VERI_TABANI!$D$29*C474/VERI_TABANI!$B$29)/VERI_TABANI!$B$4)*VERI_TABANI!$B$6 + IF(ISNUMBER(SEARCH("Var", D474)), (VERI_TABANI!$F$29/VERI_TABANI!$B$29)*(VERI_TABANI!$B$10+VERI_TABANI!$B$12), 0)</f>
        <v/>
      </c>
      <c r="G474" s="168">
        <f>(((MIN(VERI_TABANI!D23, VERI_TABANI!D23*B474)*VERI_TABANI!$B$7 + MAX(0, VERI_TABANI!D23*B474-VERI_TABANI!D23)*VERI_TABANI!$B$8) + (MIN(MAX(0, VERI_TABANI!D23-VERI_TABANI!D23*B474), VERI_TABANI!D23*C474)*VERI_TABANI!$B$7 + MAX(0, VERI_TABANI!D23*C474-MAX(0, VERI_TABANI!D23-VERI_TABANI!D23*B474))*VERI_TABANI!$B$8) + IF(ABS(IF(ISNUMBER(SEARCH("Var", D474)), 1, IF(ISNUMBER(SEARCH("Gri", D474)), -1, 0)))=1, VERI_TABANI!E23*(1-0.928)*VERI_TABANI!$B$9, 0) + (VERI_TABANI!D23*B474*(VERI_TABANI!$B$13-VERI_TABANI!$B$14)*VERI_TABANI!G23) + (VERI_TABANI!D23*C474*(VERI_TABANI!$B$13-VERI_TABANI!$B$15)*VERI_TABANI!G23) + IF(ABS(IF(ISNUMBER(SEARCH("Var", D474)), 1, IF(ISNUMBER(SEARCH("Gri", D474)), -1, 0)))=1, VERI_TABANI!E23*(1-0.928)*0.00206091519919798*VERI_TABANI!G23, 0)) + ((MIN(VERI_TABANI!D24, VERI_TABANI!D24*B474)*VERI_TABANI!$B$7 + MAX(0, VERI_TABANI!D24*B474-VERI_TABANI!D24)*VERI_TABANI!$B$8) + (MIN(MAX(0, VERI_TABANI!D24-VERI_TABANI!D24*B474), VERI_TABANI!D24*C474)*VERI_TABANI!$B$7 + MAX(0, VERI_TABANI!D24*C474-MAX(0, VERI_TABANI!D24-VERI_TABANI!D24*B474))*VERI_TABANI!$B$8) + IF(ABS(IF(ISNUMBER(SEARCH("Var", D474)), 1, IF(ISNUMBER(SEARCH("Gri", D474)), -1, 0)))=1, VERI_TABANI!E24*(1-0.928)*VERI_TABANI!$B$9, 0) + (VERI_TABANI!D24*B474*(VERI_TABANI!$B$13-VERI_TABANI!$B$14)*VERI_TABANI!G24) + (VERI_TABANI!D24*C474*(VERI_TABANI!$B$13-VERI_TABANI!$B$15)*VERI_TABANI!G24) + IF(ABS(IF(ISNUMBER(SEARCH("Var", D474)), 1, IF(ISNUMBER(SEARCH("Gri", D474)), -1, 0)))=1, VERI_TABANI!E24*(1-0.928)*0.00206091519919798*VERI_TABANI!G24, 0)) + ((MIN(VERI_TABANI!D25, VERI_TABANI!D25*B474)*VERI_TABANI!$B$7 + MAX(0, VERI_TABANI!D25*B474-VERI_TABANI!D25)*VERI_TABANI!$B$8) + (MIN(MAX(0, VERI_TABANI!D25-VERI_TABANI!D25*B474), VERI_TABANI!D25*C474)*VERI_TABANI!$B$7 + MAX(0, VERI_TABANI!D25*C474-MAX(0, VERI_TABANI!D25-VERI_TABANI!D25*B474))*VERI_TABANI!$B$8) + IF(ABS(IF(ISNUMBER(SEARCH("Var", D474)), 1, IF(ISNUMBER(SEARCH("Gri", D474)), -1, 0)))=1, VERI_TABANI!E25*(1-0.928)*VERI_TABANI!$B$9, 0) + (VERI_TABANI!D25*B474*(VERI_TABANI!$B$13-VERI_TABANI!$B$14)*VERI_TABANI!G25) + (VERI_TABANI!D25*C474*(VERI_TABANI!$B$13-VERI_TABANI!$B$15)*VERI_TABANI!G25) + IF(ABS(IF(ISNUMBER(SEARCH("Var", D474)), 1, IF(ISNUMBER(SEARCH("Gri", D474)), -1, 0)))=1, VERI_TABANI!E25*(1-0.928)*0.00206091519919798*VERI_TABANI!G25, 0)) + ((MIN(VERI_TABANI!D26, VERI_TABANI!D26*B474)*VERI_TABANI!$B$7 + MAX(0, VERI_TABANI!D26*B474-VERI_TABANI!D26)*VERI_TABANI!$B$8) + (MIN(MAX(0, VERI_TABANI!D26-VERI_TABANI!D26*B474), VERI_TABANI!D26*C474)*VERI_TABANI!$B$7 + MAX(0, VERI_TABANI!D26*C474-MAX(0, VERI_TABANI!D26-VERI_TABANI!D26*B474))*VERI_TABANI!$B$8) + IF(ABS(IF(ISNUMBER(SEARCH("Var", D474)), 1, IF(ISNUMBER(SEARCH("Gri", D474)), -1, 0)))=1, VERI_TABANI!E26*(1-0.928)*VERI_TABANI!$B$9, 0) + (VERI_TABANI!D26*B474*(VERI_TABANI!$B$13-VERI_TABANI!$B$14)*VERI_TABANI!G26) + (VERI_TABANI!D26*C474*(VERI_TABANI!$B$13-VERI_TABANI!$B$15)*VERI_TABANI!G26) + IF(ABS(IF(ISNUMBER(SEARCH("Var", D474)), 1, IF(ISNUMBER(SEARCH("Gri", D474)), -1, 0)))=1, VERI_TABANI!E26*(1-0.928)*0.00206091519919798*VERI_TABANI!G26, 0)) + ((MIN(VERI_TABANI!D27, VERI_TABANI!D27*B474)*VERI_TABANI!$B$7 + MAX(0, VERI_TABANI!D27*B474-VERI_TABANI!D27)*VERI_TABANI!$B$8) + (MIN(MAX(0, VERI_TABANI!D27-VERI_TABANI!D27*B474), VERI_TABANI!D27*C474)*VERI_TABANI!$B$7 + MAX(0, VERI_TABANI!D27*C474-MAX(0, VERI_TABANI!D27-VERI_TABANI!D27*B474))*VERI_TABANI!$B$8) + IF(ABS(IF(ISNUMBER(SEARCH("Var", D474)), 1, IF(ISNUMBER(SEARCH("Gri", D474)), -1, 0)))=1, VERI_TABANI!E27*(1-0.928)*VERI_TABANI!$B$9, 0) + (VERI_TABANI!D27*B474*(VERI_TABANI!$B$13-VERI_TABANI!$B$14)*VERI_TABANI!G27) + (VERI_TABANI!D27*C474*(VERI_TABANI!$B$13-VERI_TABANI!$B$15)*VERI_TABANI!G27) + IF(ABS(IF(ISNUMBER(SEARCH("Var", D474)), 1, IF(ISNUMBER(SEARCH("Gri", D474)), -1, 0)))=1, VERI_TABANI!E27*(1-0.928)*0.00206091519919798*VERI_TABANI!G27, 0)) + ((MIN(VERI_TABANI!D28, VERI_TABANI!D28*B474)*VERI_TABANI!$B$7 + MAX(0, VERI_TABANI!D28*B474-VERI_TABANI!D28)*VERI_TABANI!$B$8) + (MIN(MAX(0, VERI_TABANI!D28-VERI_TABANI!D28*B474), VERI_TABANI!D28*C474)*VERI_TABANI!$B$7 + MAX(0, VERI_TABANI!D28*C474-MAX(0, VERI_TABANI!D28-VERI_TABANI!D28*B474))*VERI_TABANI!$B$8) + IF(ABS(IF(ISNUMBER(SEARCH("Var", D474)), 1, IF(ISNUMBER(SEARCH("Gri", D474)), -1, 0)))=1, VERI_TABANI!E28*(1-0.928)*VERI_TABANI!$B$9, 0) + (VERI_TABANI!D28*B474*(VERI_TABANI!$B$13-VERI_TABANI!$B$14)*VERI_TABANI!G28) + (VERI_TABANI!D28*C474*(VERI_TABANI!$B$13-VERI_TABANI!$B$15)*VERI_TABANI!G28) + IF(ABS(IF(ISNUMBER(SEARCH("Var", D474)), 1, IF(ISNUMBER(SEARCH("Gri", D474)), -1, 0)))=1, VERI_TABANI!E28*(1-0.928)*0.00206091519919798*VERI_TABANI!G28, 0)))</f>
        <v/>
      </c>
      <c r="H474" s="169">
        <f>(((VERI_TABANI!D23*B474*(VERI_TABANI!$B$13-VERI_TABANI!$B$14)) + (VERI_TABANI!D23*C474*(VERI_TABANI!$B$13-VERI_TABANI!$B$15)) + IF(ISNUMBER(SEARCH("Var", D474)), VERI_TABANI!F23*(0.00202-VERI_TABANI!$B$16), IF(ISNUMBER(SEARCH("Gri", D474)), VERI_TABANI!F23*(0.00202-VERI_TABANI!$B$17), 0))) + ((VERI_TABANI!D24*B474*(VERI_TABANI!$B$13-VERI_TABANI!$B$14)) + (VERI_TABANI!D24*C474*(VERI_TABANI!$B$13-VERI_TABANI!$B$15)) + IF(ISNUMBER(SEARCH("Var", D474)), VERI_TABANI!F24*(0.00202-VERI_TABANI!$B$16), IF(ISNUMBER(SEARCH("Gri", D474)), VERI_TABANI!F24*(0.00202-VERI_TABANI!$B$17), 0))) + ((VERI_TABANI!D25*B474*(VERI_TABANI!$B$13-VERI_TABANI!$B$14)) + (VERI_TABANI!D25*C474*(VERI_TABANI!$B$13-VERI_TABANI!$B$15)) + IF(ISNUMBER(SEARCH("Var", D474)), VERI_TABANI!F25*(0.00202-VERI_TABANI!$B$16), IF(ISNUMBER(SEARCH("Gri", D474)), VERI_TABANI!F25*(0.00202-VERI_TABANI!$B$17), 0))) + ((VERI_TABANI!D26*B474*(VERI_TABANI!$B$13-VERI_TABANI!$B$14)) + (VERI_TABANI!D26*C474*(VERI_TABANI!$B$13-VERI_TABANI!$B$15)) + IF(ISNUMBER(SEARCH("Var", D474)), VERI_TABANI!F26*(0.00202-VERI_TABANI!$B$16), IF(ISNUMBER(SEARCH("Gri", D474)), VERI_TABANI!F26*(0.00202-VERI_TABANI!$B$17), 0))) + ((VERI_TABANI!D27*B474*(VERI_TABANI!$B$13-VERI_TABANI!$B$14)) + (VERI_TABANI!D27*C474*(VERI_TABANI!$B$13-VERI_TABANI!$B$15)) + IF(ISNUMBER(SEARCH("Var", D474)), VERI_TABANI!F27*(0.00202-VERI_TABANI!$B$16), IF(ISNUMBER(SEARCH("Gri", D474)), VERI_TABANI!F27*(0.00202-VERI_TABANI!$B$17), 0))) + ((VERI_TABANI!D28*B474*(VERI_TABANI!$B$13-VERI_TABANI!$B$14)) + (VERI_TABANI!D28*C474*(VERI_TABANI!$B$13-VERI_TABANI!$B$15)) + IF(ISNUMBER(SEARCH("Var", D474)), VERI_TABANI!F28*(0.00202-VERI_TABANI!$B$16), IF(ISNUMBER(SEARCH("Gri", D474)), VERI_TABANI!F28*(0.00202-VERI_TABANI!$B$17), 0))))</f>
        <v/>
      </c>
      <c r="I474" s="170">
        <f>IFERROR(((VERI_TABANI!$D$29*B474*VERI_TABANI!$B$14 + VERI_TABANI!$D$29*C474*VERI_TABANI!$B$15 + IF(ISNUMBER(SEARCH("Var", D474)), VERI_TABANI!$F$29*VERI_TABANI!$B$16, 0))) / (((VERI_TABANI!$D$29*B474 + VERI_TABANI!$D$29*C474)*VERI_TABANI!$B$13 + IF(ISNUMBER(SEARCH("Var", D474)), VERI_TABANI!$E$29*(1-0.928)*VERI_TABANI!$B$18, 0))), 0)</f>
        <v/>
      </c>
      <c r="J474" s="171">
        <f>IFERROR(F474/(G474/29), 0)</f>
        <v/>
      </c>
      <c r="K474" s="172">
        <f>IF(F474&gt;0, H474/F474, 0)</f>
        <v/>
      </c>
      <c r="L474" s="170">
        <f>IF(F474&gt;0, I474, 1000000000)</f>
        <v/>
      </c>
      <c r="M474" s="171">
        <f>ABS((B474+C474)-1)</f>
        <v/>
      </c>
      <c r="N474" s="170">
        <f>IF(F474&gt;0, (G474/29)/F474, 0)</f>
        <v/>
      </c>
      <c r="O474" s="168">
        <f>IF(AND((B474+C474)&gt;=1, ISNUMBER(SEARCH("Var", D474))), F474, 1000000000)</f>
        <v/>
      </c>
      <c r="P474" s="172">
        <f>IF(F474&gt;0, SQRT((F474/MAX(F$5:F$886))^2 + (1 - H474/MAX(H$5:H$886))^2 + (J474/MAX(J$5:J$886))^2), 1000000000)</f>
        <v/>
      </c>
      <c r="Q474" s="166">
        <f>IF(AND(ABS(B474-0.5)&lt;0.01, ABS(C474-0.5)&lt;0.01, ISNUMBER(SEARCH("Var", D474))), 1, 0)</f>
        <v/>
      </c>
      <c r="R474" s="171">
        <f>IF(F474&gt;0, J474, 1000000000)</f>
        <v/>
      </c>
      <c r="S474" s="101">
        <f>IF(AND(F474&lt;=DASHBOARD!$B$11, H474&gt;=DASHBOARD!$B$13), G474, -1000000000000)</f>
        <v/>
      </c>
      <c r="T474" s="101">
        <f>IF(AND(F474&lt;=DASHBOARD!$B$11, H474&gt;=DASHBOARD!$B$13), R474, 1000000000000)</f>
        <v/>
      </c>
      <c r="U474" s="101">
        <f>IF(AND(F474&lt;=DASHBOARD!$B$11, H474&gt;=DASHBOARD!$B$13), N474, -1000000000000)</f>
        <v/>
      </c>
      <c r="V474" s="101">
        <f>IF(AND(F474&lt;=DASHBOARD!$B$11, H474&gt;=DASHBOARD!$B$13), H474, -1000000000000)</f>
        <v/>
      </c>
      <c r="W474" s="101">
        <f>IF(AND(F474&lt;=DASHBOARD!$B$11, H474&gt;=DASHBOARD!$B$13), K474, -1000000000000)</f>
        <v/>
      </c>
      <c r="X474" s="101">
        <f>IF(AND(F474&lt;=DASHBOARD!$B$11, H474&gt;=DASHBOARD!$B$13), M474, 1000000000000)</f>
        <v/>
      </c>
      <c r="Y474" s="101">
        <f>IF(AND(F474&lt;=DASHBOARD!$B$10, H474&gt;=DASHBOARD!$B$11), L474, 1000000000000)</f>
        <v/>
      </c>
      <c r="Z474" s="101">
        <f>IF(AND(F474&lt;=DASHBOARD!$B$10, H474&gt;=DASHBOARD!$B$11), O474, 1000000000000)</f>
        <v/>
      </c>
      <c r="AA474" s="101">
        <f>IF(AND(F474&lt;=DASHBOARD!$B$10, H474&gt;=DASHBOARD!$B$11), P474, 1000000000000)</f>
        <v/>
      </c>
      <c r="AB474" s="101">
        <f>IF(AND(F474&lt;=DASHBOARD!$B$10, H474&gt;=DASHBOARD!$B$11), Q474, -1000000000000)</f>
        <v/>
      </c>
    </row>
    <row r="475" ht="15" customHeight="1" s="102">
      <c r="A475" s="166" t="n">
        <v>471</v>
      </c>
      <c r="B475" s="167" t="n">
        <v>1.1</v>
      </c>
      <c r="C475" s="167" t="n">
        <v>0.4</v>
      </c>
      <c r="D475" s="110" t="inlineStr">
        <is>
          <t>Yok (%0)</t>
        </is>
      </c>
      <c r="E475" s="110">
        <f>IF((B475+C475)&lt;=1, "Tam Mahsuplaşma (≤%100)", "Kısmi Satış (&gt;%100)")</f>
        <v/>
      </c>
      <c r="F475" s="168">
        <f>((VERI_TABANI!$D$29*B475/VERI_TABANI!$B$29)/VERI_TABANI!$B$3)*VERI_TABANI!$B$5 + ((VERI_TABANI!$D$29*C475/VERI_TABANI!$B$29)/VERI_TABANI!$B$4)*VERI_TABANI!$B$6 + IF(ISNUMBER(SEARCH("Var", D475)), (VERI_TABANI!$F$29/VERI_TABANI!$B$29)*(VERI_TABANI!$B$10+VERI_TABANI!$B$12), 0)</f>
        <v/>
      </c>
      <c r="G475" s="168">
        <f>(((MIN(VERI_TABANI!D23, VERI_TABANI!D23*B475)*VERI_TABANI!$B$7 + MAX(0, VERI_TABANI!D23*B475-VERI_TABANI!D23)*VERI_TABANI!$B$8) + (MIN(MAX(0, VERI_TABANI!D23-VERI_TABANI!D23*B475), VERI_TABANI!D23*C475)*VERI_TABANI!$B$7 + MAX(0, VERI_TABANI!D23*C475-MAX(0, VERI_TABANI!D23-VERI_TABANI!D23*B475))*VERI_TABANI!$B$8) + IF(ABS(IF(ISNUMBER(SEARCH("Var", D475)), 1, IF(ISNUMBER(SEARCH("Gri", D475)), -1, 0)))=1, VERI_TABANI!E23*(1-0.928)*VERI_TABANI!$B$9, 0) + (VERI_TABANI!D23*B475*(VERI_TABANI!$B$13-VERI_TABANI!$B$14)*VERI_TABANI!G23) + (VERI_TABANI!D23*C475*(VERI_TABANI!$B$13-VERI_TABANI!$B$15)*VERI_TABANI!G23) + IF(ABS(IF(ISNUMBER(SEARCH("Var", D475)), 1, IF(ISNUMBER(SEARCH("Gri", D475)), -1, 0)))=1, VERI_TABANI!E23*(1-0.928)*0.00206091519919798*VERI_TABANI!G23, 0)) + ((MIN(VERI_TABANI!D24, VERI_TABANI!D24*B475)*VERI_TABANI!$B$7 + MAX(0, VERI_TABANI!D24*B475-VERI_TABANI!D24)*VERI_TABANI!$B$8) + (MIN(MAX(0, VERI_TABANI!D24-VERI_TABANI!D24*B475), VERI_TABANI!D24*C475)*VERI_TABANI!$B$7 + MAX(0, VERI_TABANI!D24*C475-MAX(0, VERI_TABANI!D24-VERI_TABANI!D24*B475))*VERI_TABANI!$B$8) + IF(ABS(IF(ISNUMBER(SEARCH("Var", D475)), 1, IF(ISNUMBER(SEARCH("Gri", D475)), -1, 0)))=1, VERI_TABANI!E24*(1-0.928)*VERI_TABANI!$B$9, 0) + (VERI_TABANI!D24*B475*(VERI_TABANI!$B$13-VERI_TABANI!$B$14)*VERI_TABANI!G24) + (VERI_TABANI!D24*C475*(VERI_TABANI!$B$13-VERI_TABANI!$B$15)*VERI_TABANI!G24) + IF(ABS(IF(ISNUMBER(SEARCH("Var", D475)), 1, IF(ISNUMBER(SEARCH("Gri", D475)), -1, 0)))=1, VERI_TABANI!E24*(1-0.928)*0.00206091519919798*VERI_TABANI!G24, 0)) + ((MIN(VERI_TABANI!D25, VERI_TABANI!D25*B475)*VERI_TABANI!$B$7 + MAX(0, VERI_TABANI!D25*B475-VERI_TABANI!D25)*VERI_TABANI!$B$8) + (MIN(MAX(0, VERI_TABANI!D25-VERI_TABANI!D25*B475), VERI_TABANI!D25*C475)*VERI_TABANI!$B$7 + MAX(0, VERI_TABANI!D25*C475-MAX(0, VERI_TABANI!D25-VERI_TABANI!D25*B475))*VERI_TABANI!$B$8) + IF(ABS(IF(ISNUMBER(SEARCH("Var", D475)), 1, IF(ISNUMBER(SEARCH("Gri", D475)), -1, 0)))=1, VERI_TABANI!E25*(1-0.928)*VERI_TABANI!$B$9, 0) + (VERI_TABANI!D25*B475*(VERI_TABANI!$B$13-VERI_TABANI!$B$14)*VERI_TABANI!G25) + (VERI_TABANI!D25*C475*(VERI_TABANI!$B$13-VERI_TABANI!$B$15)*VERI_TABANI!G25) + IF(ABS(IF(ISNUMBER(SEARCH("Var", D475)), 1, IF(ISNUMBER(SEARCH("Gri", D475)), -1, 0)))=1, VERI_TABANI!E25*(1-0.928)*0.00206091519919798*VERI_TABANI!G25, 0)) + ((MIN(VERI_TABANI!D26, VERI_TABANI!D26*B475)*VERI_TABANI!$B$7 + MAX(0, VERI_TABANI!D26*B475-VERI_TABANI!D26)*VERI_TABANI!$B$8) + (MIN(MAX(0, VERI_TABANI!D26-VERI_TABANI!D26*B475), VERI_TABANI!D26*C475)*VERI_TABANI!$B$7 + MAX(0, VERI_TABANI!D26*C475-MAX(0, VERI_TABANI!D26-VERI_TABANI!D26*B475))*VERI_TABANI!$B$8) + IF(ABS(IF(ISNUMBER(SEARCH("Var", D475)), 1, IF(ISNUMBER(SEARCH("Gri", D475)), -1, 0)))=1, VERI_TABANI!E26*(1-0.928)*VERI_TABANI!$B$9, 0) + (VERI_TABANI!D26*B475*(VERI_TABANI!$B$13-VERI_TABANI!$B$14)*VERI_TABANI!G26) + (VERI_TABANI!D26*C475*(VERI_TABANI!$B$13-VERI_TABANI!$B$15)*VERI_TABANI!G26) + IF(ABS(IF(ISNUMBER(SEARCH("Var", D475)), 1, IF(ISNUMBER(SEARCH("Gri", D475)), -1, 0)))=1, VERI_TABANI!E26*(1-0.928)*0.00206091519919798*VERI_TABANI!G26, 0)) + ((MIN(VERI_TABANI!D27, VERI_TABANI!D27*B475)*VERI_TABANI!$B$7 + MAX(0, VERI_TABANI!D27*B475-VERI_TABANI!D27)*VERI_TABANI!$B$8) + (MIN(MAX(0, VERI_TABANI!D27-VERI_TABANI!D27*B475), VERI_TABANI!D27*C475)*VERI_TABANI!$B$7 + MAX(0, VERI_TABANI!D27*C475-MAX(0, VERI_TABANI!D27-VERI_TABANI!D27*B475))*VERI_TABANI!$B$8) + IF(ABS(IF(ISNUMBER(SEARCH("Var", D475)), 1, IF(ISNUMBER(SEARCH("Gri", D475)), -1, 0)))=1, VERI_TABANI!E27*(1-0.928)*VERI_TABANI!$B$9, 0) + (VERI_TABANI!D27*B475*(VERI_TABANI!$B$13-VERI_TABANI!$B$14)*VERI_TABANI!G27) + (VERI_TABANI!D27*C475*(VERI_TABANI!$B$13-VERI_TABANI!$B$15)*VERI_TABANI!G27) + IF(ABS(IF(ISNUMBER(SEARCH("Var", D475)), 1, IF(ISNUMBER(SEARCH("Gri", D475)), -1, 0)))=1, VERI_TABANI!E27*(1-0.928)*0.00206091519919798*VERI_TABANI!G27, 0)) + ((MIN(VERI_TABANI!D28, VERI_TABANI!D28*B475)*VERI_TABANI!$B$7 + MAX(0, VERI_TABANI!D28*B475-VERI_TABANI!D28)*VERI_TABANI!$B$8) + (MIN(MAX(0, VERI_TABANI!D28-VERI_TABANI!D28*B475), VERI_TABANI!D28*C475)*VERI_TABANI!$B$7 + MAX(0, VERI_TABANI!D28*C475-MAX(0, VERI_TABANI!D28-VERI_TABANI!D28*B475))*VERI_TABANI!$B$8) + IF(ABS(IF(ISNUMBER(SEARCH("Var", D475)), 1, IF(ISNUMBER(SEARCH("Gri", D475)), -1, 0)))=1, VERI_TABANI!E28*(1-0.928)*VERI_TABANI!$B$9, 0) + (VERI_TABANI!D28*B475*(VERI_TABANI!$B$13-VERI_TABANI!$B$14)*VERI_TABANI!G28) + (VERI_TABANI!D28*C475*(VERI_TABANI!$B$13-VERI_TABANI!$B$15)*VERI_TABANI!G28) + IF(ABS(IF(ISNUMBER(SEARCH("Var", D475)), 1, IF(ISNUMBER(SEARCH("Gri", D475)), -1, 0)))=1, VERI_TABANI!E28*(1-0.928)*0.00206091519919798*VERI_TABANI!G28, 0)))</f>
        <v/>
      </c>
      <c r="H475" s="169">
        <f>(((VERI_TABANI!D23*B475*(VERI_TABANI!$B$13-VERI_TABANI!$B$14)) + (VERI_TABANI!D23*C475*(VERI_TABANI!$B$13-VERI_TABANI!$B$15)) + IF(ISNUMBER(SEARCH("Var", D475)), VERI_TABANI!F23*(0.00202-VERI_TABANI!$B$16), IF(ISNUMBER(SEARCH("Gri", D475)), VERI_TABANI!F23*(0.00202-VERI_TABANI!$B$17), 0))) + ((VERI_TABANI!D24*B475*(VERI_TABANI!$B$13-VERI_TABANI!$B$14)) + (VERI_TABANI!D24*C475*(VERI_TABANI!$B$13-VERI_TABANI!$B$15)) + IF(ISNUMBER(SEARCH("Var", D475)), VERI_TABANI!F24*(0.00202-VERI_TABANI!$B$16), IF(ISNUMBER(SEARCH("Gri", D475)), VERI_TABANI!F24*(0.00202-VERI_TABANI!$B$17), 0))) + ((VERI_TABANI!D25*B475*(VERI_TABANI!$B$13-VERI_TABANI!$B$14)) + (VERI_TABANI!D25*C475*(VERI_TABANI!$B$13-VERI_TABANI!$B$15)) + IF(ISNUMBER(SEARCH("Var", D475)), VERI_TABANI!F25*(0.00202-VERI_TABANI!$B$16), IF(ISNUMBER(SEARCH("Gri", D475)), VERI_TABANI!F25*(0.00202-VERI_TABANI!$B$17), 0))) + ((VERI_TABANI!D26*B475*(VERI_TABANI!$B$13-VERI_TABANI!$B$14)) + (VERI_TABANI!D26*C475*(VERI_TABANI!$B$13-VERI_TABANI!$B$15)) + IF(ISNUMBER(SEARCH("Var", D475)), VERI_TABANI!F26*(0.00202-VERI_TABANI!$B$16), IF(ISNUMBER(SEARCH("Gri", D475)), VERI_TABANI!F26*(0.00202-VERI_TABANI!$B$17), 0))) + ((VERI_TABANI!D27*B475*(VERI_TABANI!$B$13-VERI_TABANI!$B$14)) + (VERI_TABANI!D27*C475*(VERI_TABANI!$B$13-VERI_TABANI!$B$15)) + IF(ISNUMBER(SEARCH("Var", D475)), VERI_TABANI!F27*(0.00202-VERI_TABANI!$B$16), IF(ISNUMBER(SEARCH("Gri", D475)), VERI_TABANI!F27*(0.00202-VERI_TABANI!$B$17), 0))) + ((VERI_TABANI!D28*B475*(VERI_TABANI!$B$13-VERI_TABANI!$B$14)) + (VERI_TABANI!D28*C475*(VERI_TABANI!$B$13-VERI_TABANI!$B$15)) + IF(ISNUMBER(SEARCH("Var", D475)), VERI_TABANI!F28*(0.00202-VERI_TABANI!$B$16), IF(ISNUMBER(SEARCH("Gri", D475)), VERI_TABANI!F28*(0.00202-VERI_TABANI!$B$17), 0))))</f>
        <v/>
      </c>
      <c r="I475" s="170">
        <f>IFERROR(((VERI_TABANI!$D$29*B475*VERI_TABANI!$B$14 + VERI_TABANI!$D$29*C475*VERI_TABANI!$B$15 + IF(ISNUMBER(SEARCH("Var", D475)), VERI_TABANI!$F$29*VERI_TABANI!$B$16, 0))) / (((VERI_TABANI!$D$29*B475 + VERI_TABANI!$D$29*C475)*VERI_TABANI!$B$13 + IF(ISNUMBER(SEARCH("Var", D475)), VERI_TABANI!$E$29*(1-0.928)*VERI_TABANI!$B$18, 0))), 0)</f>
        <v/>
      </c>
      <c r="J475" s="171">
        <f>IFERROR(F475/(G475/29), 0)</f>
        <v/>
      </c>
      <c r="K475" s="172">
        <f>IF(F475&gt;0, H475/F475, 0)</f>
        <v/>
      </c>
      <c r="L475" s="170">
        <f>IF(F475&gt;0, I475, 1000000000)</f>
        <v/>
      </c>
      <c r="M475" s="171">
        <f>ABS((B475+C475)-1)</f>
        <v/>
      </c>
      <c r="N475" s="170">
        <f>IF(F475&gt;0, (G475/29)/F475, 0)</f>
        <v/>
      </c>
      <c r="O475" s="168">
        <f>IF(AND((B475+C475)&gt;=1, ISNUMBER(SEARCH("Var", D475))), F475, 1000000000)</f>
        <v/>
      </c>
      <c r="P475" s="172">
        <f>IF(F475&gt;0, SQRT((F475/MAX(F$5:F$886))^2 + (1 - H475/MAX(H$5:H$886))^2 + (J475/MAX(J$5:J$886))^2), 1000000000)</f>
        <v/>
      </c>
      <c r="Q475" s="166">
        <f>IF(AND(ABS(B475-0.5)&lt;0.01, ABS(C475-0.5)&lt;0.01, ISNUMBER(SEARCH("Var", D475))), 1, 0)</f>
        <v/>
      </c>
      <c r="R475" s="171">
        <f>IF(F475&gt;0, J475, 1000000000)</f>
        <v/>
      </c>
      <c r="S475" s="101">
        <f>IF(AND(F475&lt;=DASHBOARD!$B$11, H475&gt;=DASHBOARD!$B$13), G475, -1000000000000)</f>
        <v/>
      </c>
      <c r="T475" s="101">
        <f>IF(AND(F475&lt;=DASHBOARD!$B$11, H475&gt;=DASHBOARD!$B$13), R475, 1000000000000)</f>
        <v/>
      </c>
      <c r="U475" s="101">
        <f>IF(AND(F475&lt;=DASHBOARD!$B$11, H475&gt;=DASHBOARD!$B$13), N475, -1000000000000)</f>
        <v/>
      </c>
      <c r="V475" s="101">
        <f>IF(AND(F475&lt;=DASHBOARD!$B$11, H475&gt;=DASHBOARD!$B$13), H475, -1000000000000)</f>
        <v/>
      </c>
      <c r="W475" s="101">
        <f>IF(AND(F475&lt;=DASHBOARD!$B$11, H475&gt;=DASHBOARD!$B$13), K475, -1000000000000)</f>
        <v/>
      </c>
      <c r="X475" s="101">
        <f>IF(AND(F475&lt;=DASHBOARD!$B$11, H475&gt;=DASHBOARD!$B$13), M475, 1000000000000)</f>
        <v/>
      </c>
      <c r="Y475" s="101">
        <f>IF(AND(F475&lt;=DASHBOARD!$B$10, H475&gt;=DASHBOARD!$B$11), L475, 1000000000000)</f>
        <v/>
      </c>
      <c r="Z475" s="101">
        <f>IF(AND(F475&lt;=DASHBOARD!$B$10, H475&gt;=DASHBOARD!$B$11), O475, 1000000000000)</f>
        <v/>
      </c>
      <c r="AA475" s="101">
        <f>IF(AND(F475&lt;=DASHBOARD!$B$10, H475&gt;=DASHBOARD!$B$11), P475, 1000000000000)</f>
        <v/>
      </c>
      <c r="AB475" s="101">
        <f>IF(AND(F475&lt;=DASHBOARD!$B$10, H475&gt;=DASHBOARD!$B$11), Q475, -1000000000000)</f>
        <v/>
      </c>
    </row>
    <row r="476" ht="15" customHeight="1" s="102">
      <c r="A476" s="166" t="n">
        <v>472</v>
      </c>
      <c r="B476" s="167" t="n">
        <v>1.1</v>
      </c>
      <c r="C476" s="167" t="n">
        <v>0.4</v>
      </c>
      <c r="D476" s="110" t="inlineStr">
        <is>
          <t>Var (%20)</t>
        </is>
      </c>
      <c r="E476" s="110">
        <f>IF((B476+C476)&lt;=1, "Tam Mahsuplaşma (≤%100)", "Kısmi Satış (&gt;%100)")</f>
        <v/>
      </c>
      <c r="F476" s="168">
        <f>((VERI_TABANI!$D$29*B476/VERI_TABANI!$B$29)/VERI_TABANI!$B$3)*VERI_TABANI!$B$5 + ((VERI_TABANI!$D$29*C476/VERI_TABANI!$B$29)/VERI_TABANI!$B$4)*VERI_TABANI!$B$6 + IF(ISNUMBER(SEARCH("Var", D476)), (VERI_TABANI!$F$29/VERI_TABANI!$B$29)*(VERI_TABANI!$B$10+VERI_TABANI!$B$12), 0)</f>
        <v/>
      </c>
      <c r="G476" s="168">
        <f>(((MIN(VERI_TABANI!D23, VERI_TABANI!D23*B476)*VERI_TABANI!$B$7 + MAX(0, VERI_TABANI!D23*B476-VERI_TABANI!D23)*VERI_TABANI!$B$8) + (MIN(MAX(0, VERI_TABANI!D23-VERI_TABANI!D23*B476), VERI_TABANI!D23*C476)*VERI_TABANI!$B$7 + MAX(0, VERI_TABANI!D23*C476-MAX(0, VERI_TABANI!D23-VERI_TABANI!D23*B476))*VERI_TABANI!$B$8) + IF(ABS(IF(ISNUMBER(SEARCH("Var", D476)), 1, IF(ISNUMBER(SEARCH("Gri", D476)), -1, 0)))=1, VERI_TABANI!E23*(1-0.928)*VERI_TABANI!$B$9, 0) + (VERI_TABANI!D23*B476*(VERI_TABANI!$B$13-VERI_TABANI!$B$14)*VERI_TABANI!G23) + (VERI_TABANI!D23*C476*(VERI_TABANI!$B$13-VERI_TABANI!$B$15)*VERI_TABANI!G23) + IF(ABS(IF(ISNUMBER(SEARCH("Var", D476)), 1, IF(ISNUMBER(SEARCH("Gri", D476)), -1, 0)))=1, VERI_TABANI!E23*(1-0.928)*0.00206091519919798*VERI_TABANI!G23, 0)) + ((MIN(VERI_TABANI!D24, VERI_TABANI!D24*B476)*VERI_TABANI!$B$7 + MAX(0, VERI_TABANI!D24*B476-VERI_TABANI!D24)*VERI_TABANI!$B$8) + (MIN(MAX(0, VERI_TABANI!D24-VERI_TABANI!D24*B476), VERI_TABANI!D24*C476)*VERI_TABANI!$B$7 + MAX(0, VERI_TABANI!D24*C476-MAX(0, VERI_TABANI!D24-VERI_TABANI!D24*B476))*VERI_TABANI!$B$8) + IF(ABS(IF(ISNUMBER(SEARCH("Var", D476)), 1, IF(ISNUMBER(SEARCH("Gri", D476)), -1, 0)))=1, VERI_TABANI!E24*(1-0.928)*VERI_TABANI!$B$9, 0) + (VERI_TABANI!D24*B476*(VERI_TABANI!$B$13-VERI_TABANI!$B$14)*VERI_TABANI!G24) + (VERI_TABANI!D24*C476*(VERI_TABANI!$B$13-VERI_TABANI!$B$15)*VERI_TABANI!G24) + IF(ABS(IF(ISNUMBER(SEARCH("Var", D476)), 1, IF(ISNUMBER(SEARCH("Gri", D476)), -1, 0)))=1, VERI_TABANI!E24*(1-0.928)*0.00206091519919798*VERI_TABANI!G24, 0)) + ((MIN(VERI_TABANI!D25, VERI_TABANI!D25*B476)*VERI_TABANI!$B$7 + MAX(0, VERI_TABANI!D25*B476-VERI_TABANI!D25)*VERI_TABANI!$B$8) + (MIN(MAX(0, VERI_TABANI!D25-VERI_TABANI!D25*B476), VERI_TABANI!D25*C476)*VERI_TABANI!$B$7 + MAX(0, VERI_TABANI!D25*C476-MAX(0, VERI_TABANI!D25-VERI_TABANI!D25*B476))*VERI_TABANI!$B$8) + IF(ABS(IF(ISNUMBER(SEARCH("Var", D476)), 1, IF(ISNUMBER(SEARCH("Gri", D476)), -1, 0)))=1, VERI_TABANI!E25*(1-0.928)*VERI_TABANI!$B$9, 0) + (VERI_TABANI!D25*B476*(VERI_TABANI!$B$13-VERI_TABANI!$B$14)*VERI_TABANI!G25) + (VERI_TABANI!D25*C476*(VERI_TABANI!$B$13-VERI_TABANI!$B$15)*VERI_TABANI!G25) + IF(ABS(IF(ISNUMBER(SEARCH("Var", D476)), 1, IF(ISNUMBER(SEARCH("Gri", D476)), -1, 0)))=1, VERI_TABANI!E25*(1-0.928)*0.00206091519919798*VERI_TABANI!G25, 0)) + ((MIN(VERI_TABANI!D26, VERI_TABANI!D26*B476)*VERI_TABANI!$B$7 + MAX(0, VERI_TABANI!D26*B476-VERI_TABANI!D26)*VERI_TABANI!$B$8) + (MIN(MAX(0, VERI_TABANI!D26-VERI_TABANI!D26*B476), VERI_TABANI!D26*C476)*VERI_TABANI!$B$7 + MAX(0, VERI_TABANI!D26*C476-MAX(0, VERI_TABANI!D26-VERI_TABANI!D26*B476))*VERI_TABANI!$B$8) + IF(ABS(IF(ISNUMBER(SEARCH("Var", D476)), 1, IF(ISNUMBER(SEARCH("Gri", D476)), -1, 0)))=1, VERI_TABANI!E26*(1-0.928)*VERI_TABANI!$B$9, 0) + (VERI_TABANI!D26*B476*(VERI_TABANI!$B$13-VERI_TABANI!$B$14)*VERI_TABANI!G26) + (VERI_TABANI!D26*C476*(VERI_TABANI!$B$13-VERI_TABANI!$B$15)*VERI_TABANI!G26) + IF(ABS(IF(ISNUMBER(SEARCH("Var", D476)), 1, IF(ISNUMBER(SEARCH("Gri", D476)), -1, 0)))=1, VERI_TABANI!E26*(1-0.928)*0.00206091519919798*VERI_TABANI!G26, 0)) + ((MIN(VERI_TABANI!D27, VERI_TABANI!D27*B476)*VERI_TABANI!$B$7 + MAX(0, VERI_TABANI!D27*B476-VERI_TABANI!D27)*VERI_TABANI!$B$8) + (MIN(MAX(0, VERI_TABANI!D27-VERI_TABANI!D27*B476), VERI_TABANI!D27*C476)*VERI_TABANI!$B$7 + MAX(0, VERI_TABANI!D27*C476-MAX(0, VERI_TABANI!D27-VERI_TABANI!D27*B476))*VERI_TABANI!$B$8) + IF(ABS(IF(ISNUMBER(SEARCH("Var", D476)), 1, IF(ISNUMBER(SEARCH("Gri", D476)), -1, 0)))=1, VERI_TABANI!E27*(1-0.928)*VERI_TABANI!$B$9, 0) + (VERI_TABANI!D27*B476*(VERI_TABANI!$B$13-VERI_TABANI!$B$14)*VERI_TABANI!G27) + (VERI_TABANI!D27*C476*(VERI_TABANI!$B$13-VERI_TABANI!$B$15)*VERI_TABANI!G27) + IF(ABS(IF(ISNUMBER(SEARCH("Var", D476)), 1, IF(ISNUMBER(SEARCH("Gri", D476)), -1, 0)))=1, VERI_TABANI!E27*(1-0.928)*0.00206091519919798*VERI_TABANI!G27, 0)) + ((MIN(VERI_TABANI!D28, VERI_TABANI!D28*B476)*VERI_TABANI!$B$7 + MAX(0, VERI_TABANI!D28*B476-VERI_TABANI!D28)*VERI_TABANI!$B$8) + (MIN(MAX(0, VERI_TABANI!D28-VERI_TABANI!D28*B476), VERI_TABANI!D28*C476)*VERI_TABANI!$B$7 + MAX(0, VERI_TABANI!D28*C476-MAX(0, VERI_TABANI!D28-VERI_TABANI!D28*B476))*VERI_TABANI!$B$8) + IF(ABS(IF(ISNUMBER(SEARCH("Var", D476)), 1, IF(ISNUMBER(SEARCH("Gri", D476)), -1, 0)))=1, VERI_TABANI!E28*(1-0.928)*VERI_TABANI!$B$9, 0) + (VERI_TABANI!D28*B476*(VERI_TABANI!$B$13-VERI_TABANI!$B$14)*VERI_TABANI!G28) + (VERI_TABANI!D28*C476*(VERI_TABANI!$B$13-VERI_TABANI!$B$15)*VERI_TABANI!G28) + IF(ABS(IF(ISNUMBER(SEARCH("Var", D476)), 1, IF(ISNUMBER(SEARCH("Gri", D476)), -1, 0)))=1, VERI_TABANI!E28*(1-0.928)*0.00206091519919798*VERI_TABANI!G28, 0)))</f>
        <v/>
      </c>
      <c r="H476" s="169">
        <f>(((VERI_TABANI!D23*B476*(VERI_TABANI!$B$13-VERI_TABANI!$B$14)) + (VERI_TABANI!D23*C476*(VERI_TABANI!$B$13-VERI_TABANI!$B$15)) + IF(ISNUMBER(SEARCH("Var", D476)), VERI_TABANI!F23*(0.00202-VERI_TABANI!$B$16), IF(ISNUMBER(SEARCH("Gri", D476)), VERI_TABANI!F23*(0.00202-VERI_TABANI!$B$17), 0))) + ((VERI_TABANI!D24*B476*(VERI_TABANI!$B$13-VERI_TABANI!$B$14)) + (VERI_TABANI!D24*C476*(VERI_TABANI!$B$13-VERI_TABANI!$B$15)) + IF(ISNUMBER(SEARCH("Var", D476)), VERI_TABANI!F24*(0.00202-VERI_TABANI!$B$16), IF(ISNUMBER(SEARCH("Gri", D476)), VERI_TABANI!F24*(0.00202-VERI_TABANI!$B$17), 0))) + ((VERI_TABANI!D25*B476*(VERI_TABANI!$B$13-VERI_TABANI!$B$14)) + (VERI_TABANI!D25*C476*(VERI_TABANI!$B$13-VERI_TABANI!$B$15)) + IF(ISNUMBER(SEARCH("Var", D476)), VERI_TABANI!F25*(0.00202-VERI_TABANI!$B$16), IF(ISNUMBER(SEARCH("Gri", D476)), VERI_TABANI!F25*(0.00202-VERI_TABANI!$B$17), 0))) + ((VERI_TABANI!D26*B476*(VERI_TABANI!$B$13-VERI_TABANI!$B$14)) + (VERI_TABANI!D26*C476*(VERI_TABANI!$B$13-VERI_TABANI!$B$15)) + IF(ISNUMBER(SEARCH("Var", D476)), VERI_TABANI!F26*(0.00202-VERI_TABANI!$B$16), IF(ISNUMBER(SEARCH("Gri", D476)), VERI_TABANI!F26*(0.00202-VERI_TABANI!$B$17), 0))) + ((VERI_TABANI!D27*B476*(VERI_TABANI!$B$13-VERI_TABANI!$B$14)) + (VERI_TABANI!D27*C476*(VERI_TABANI!$B$13-VERI_TABANI!$B$15)) + IF(ISNUMBER(SEARCH("Var", D476)), VERI_TABANI!F27*(0.00202-VERI_TABANI!$B$16), IF(ISNUMBER(SEARCH("Gri", D476)), VERI_TABANI!F27*(0.00202-VERI_TABANI!$B$17), 0))) + ((VERI_TABANI!D28*B476*(VERI_TABANI!$B$13-VERI_TABANI!$B$14)) + (VERI_TABANI!D28*C476*(VERI_TABANI!$B$13-VERI_TABANI!$B$15)) + IF(ISNUMBER(SEARCH("Var", D476)), VERI_TABANI!F28*(0.00202-VERI_TABANI!$B$16), IF(ISNUMBER(SEARCH("Gri", D476)), VERI_TABANI!F28*(0.00202-VERI_TABANI!$B$17), 0))))</f>
        <v/>
      </c>
      <c r="I476" s="170">
        <f>IFERROR(((VERI_TABANI!$D$29*B476*VERI_TABANI!$B$14 + VERI_TABANI!$D$29*C476*VERI_TABANI!$B$15 + IF(ISNUMBER(SEARCH("Var", D476)), VERI_TABANI!$F$29*VERI_TABANI!$B$16, 0))) / (((VERI_TABANI!$D$29*B476 + VERI_TABANI!$D$29*C476)*VERI_TABANI!$B$13 + IF(ISNUMBER(SEARCH("Var", D476)), VERI_TABANI!$E$29*(1-0.928)*VERI_TABANI!$B$18, 0))), 0)</f>
        <v/>
      </c>
      <c r="J476" s="171">
        <f>IFERROR(F476/(G476/29), 0)</f>
        <v/>
      </c>
      <c r="K476" s="172">
        <f>IF(F476&gt;0, H476/F476, 0)</f>
        <v/>
      </c>
      <c r="L476" s="170">
        <f>IF(F476&gt;0, I476, 1000000000)</f>
        <v/>
      </c>
      <c r="M476" s="171">
        <f>ABS((B476+C476)-1)</f>
        <v/>
      </c>
      <c r="N476" s="170">
        <f>IF(F476&gt;0, (G476/29)/F476, 0)</f>
        <v/>
      </c>
      <c r="O476" s="168">
        <f>IF(AND((B476+C476)&gt;=1, ISNUMBER(SEARCH("Var", D476))), F476, 1000000000)</f>
        <v/>
      </c>
      <c r="P476" s="172">
        <f>IF(F476&gt;0, SQRT((F476/MAX(F$5:F$886))^2 + (1 - H476/MAX(H$5:H$886))^2 + (J476/MAX(J$5:J$886))^2), 1000000000)</f>
        <v/>
      </c>
      <c r="Q476" s="166">
        <f>IF(AND(ABS(B476-0.5)&lt;0.01, ABS(C476-0.5)&lt;0.01, ISNUMBER(SEARCH("Var", D476))), 1, 0)</f>
        <v/>
      </c>
      <c r="R476" s="171">
        <f>IF(F476&gt;0, J476, 1000000000)</f>
        <v/>
      </c>
      <c r="S476" s="101">
        <f>IF(AND(F476&lt;=DASHBOARD!$B$11, H476&gt;=DASHBOARD!$B$13), G476, -1000000000000)</f>
        <v/>
      </c>
      <c r="T476" s="101">
        <f>IF(AND(F476&lt;=DASHBOARD!$B$11, H476&gt;=DASHBOARD!$B$13), R476, 1000000000000)</f>
        <v/>
      </c>
      <c r="U476" s="101">
        <f>IF(AND(F476&lt;=DASHBOARD!$B$11, H476&gt;=DASHBOARD!$B$13), N476, -1000000000000)</f>
        <v/>
      </c>
      <c r="V476" s="101">
        <f>IF(AND(F476&lt;=DASHBOARD!$B$11, H476&gt;=DASHBOARD!$B$13), H476, -1000000000000)</f>
        <v/>
      </c>
      <c r="W476" s="101">
        <f>IF(AND(F476&lt;=DASHBOARD!$B$11, H476&gt;=DASHBOARD!$B$13), K476, -1000000000000)</f>
        <v/>
      </c>
      <c r="X476" s="101">
        <f>IF(AND(F476&lt;=DASHBOARD!$B$11, H476&gt;=DASHBOARD!$B$13), M476, 1000000000000)</f>
        <v/>
      </c>
      <c r="Y476" s="101">
        <f>IF(AND(F476&lt;=DASHBOARD!$B$10, H476&gt;=DASHBOARD!$B$11), L476, 1000000000000)</f>
        <v/>
      </c>
      <c r="Z476" s="101">
        <f>IF(AND(F476&lt;=DASHBOARD!$B$10, H476&gt;=DASHBOARD!$B$11), O476, 1000000000000)</f>
        <v/>
      </c>
      <c r="AA476" s="101">
        <f>IF(AND(F476&lt;=DASHBOARD!$B$10, H476&gt;=DASHBOARD!$B$11), P476, 1000000000000)</f>
        <v/>
      </c>
      <c r="AB476" s="101">
        <f>IF(AND(F476&lt;=DASHBOARD!$B$10, H476&gt;=DASHBOARD!$B$11), Q476, -1000000000000)</f>
        <v/>
      </c>
    </row>
    <row r="477" ht="15" customHeight="1" s="102">
      <c r="A477" s="166" t="n">
        <v>473</v>
      </c>
      <c r="B477" s="167" t="n">
        <v>1.1</v>
      </c>
      <c r="C477" s="167" t="n">
        <v>0.5</v>
      </c>
      <c r="D477" s="110" t="inlineStr">
        <is>
          <t>Yok (%0)</t>
        </is>
      </c>
      <c r="E477" s="110">
        <f>IF((B477+C477)&lt;=1, "Tam Mahsuplaşma (≤%100)", "Kısmi Satış (&gt;%100)")</f>
        <v/>
      </c>
      <c r="F477" s="168">
        <f>((VERI_TABANI!$D$29*B477/VERI_TABANI!$B$29)/VERI_TABANI!$B$3)*VERI_TABANI!$B$5 + ((VERI_TABANI!$D$29*C477/VERI_TABANI!$B$29)/VERI_TABANI!$B$4)*VERI_TABANI!$B$6 + IF(ISNUMBER(SEARCH("Var", D477)), (VERI_TABANI!$F$29/VERI_TABANI!$B$29)*(VERI_TABANI!$B$10+VERI_TABANI!$B$12), 0)</f>
        <v/>
      </c>
      <c r="G477" s="168">
        <f>(((MIN(VERI_TABANI!D23, VERI_TABANI!D23*B477)*VERI_TABANI!$B$7 + MAX(0, VERI_TABANI!D23*B477-VERI_TABANI!D23)*VERI_TABANI!$B$8) + (MIN(MAX(0, VERI_TABANI!D23-VERI_TABANI!D23*B477), VERI_TABANI!D23*C477)*VERI_TABANI!$B$7 + MAX(0, VERI_TABANI!D23*C477-MAX(0, VERI_TABANI!D23-VERI_TABANI!D23*B477))*VERI_TABANI!$B$8) + IF(ABS(IF(ISNUMBER(SEARCH("Var", D477)), 1, IF(ISNUMBER(SEARCH("Gri", D477)), -1, 0)))=1, VERI_TABANI!E23*(1-0.928)*VERI_TABANI!$B$9, 0) + (VERI_TABANI!D23*B477*(VERI_TABANI!$B$13-VERI_TABANI!$B$14)*VERI_TABANI!G23) + (VERI_TABANI!D23*C477*(VERI_TABANI!$B$13-VERI_TABANI!$B$15)*VERI_TABANI!G23) + IF(ABS(IF(ISNUMBER(SEARCH("Var", D477)), 1, IF(ISNUMBER(SEARCH("Gri", D477)), -1, 0)))=1, VERI_TABANI!E23*(1-0.928)*0.00206091519919798*VERI_TABANI!G23, 0)) + ((MIN(VERI_TABANI!D24, VERI_TABANI!D24*B477)*VERI_TABANI!$B$7 + MAX(0, VERI_TABANI!D24*B477-VERI_TABANI!D24)*VERI_TABANI!$B$8) + (MIN(MAX(0, VERI_TABANI!D24-VERI_TABANI!D24*B477), VERI_TABANI!D24*C477)*VERI_TABANI!$B$7 + MAX(0, VERI_TABANI!D24*C477-MAX(0, VERI_TABANI!D24-VERI_TABANI!D24*B477))*VERI_TABANI!$B$8) + IF(ABS(IF(ISNUMBER(SEARCH("Var", D477)), 1, IF(ISNUMBER(SEARCH("Gri", D477)), -1, 0)))=1, VERI_TABANI!E24*(1-0.928)*VERI_TABANI!$B$9, 0) + (VERI_TABANI!D24*B477*(VERI_TABANI!$B$13-VERI_TABANI!$B$14)*VERI_TABANI!G24) + (VERI_TABANI!D24*C477*(VERI_TABANI!$B$13-VERI_TABANI!$B$15)*VERI_TABANI!G24) + IF(ABS(IF(ISNUMBER(SEARCH("Var", D477)), 1, IF(ISNUMBER(SEARCH("Gri", D477)), -1, 0)))=1, VERI_TABANI!E24*(1-0.928)*0.00206091519919798*VERI_TABANI!G24, 0)) + ((MIN(VERI_TABANI!D25, VERI_TABANI!D25*B477)*VERI_TABANI!$B$7 + MAX(0, VERI_TABANI!D25*B477-VERI_TABANI!D25)*VERI_TABANI!$B$8) + (MIN(MAX(0, VERI_TABANI!D25-VERI_TABANI!D25*B477), VERI_TABANI!D25*C477)*VERI_TABANI!$B$7 + MAX(0, VERI_TABANI!D25*C477-MAX(0, VERI_TABANI!D25-VERI_TABANI!D25*B477))*VERI_TABANI!$B$8) + IF(ABS(IF(ISNUMBER(SEARCH("Var", D477)), 1, IF(ISNUMBER(SEARCH("Gri", D477)), -1, 0)))=1, VERI_TABANI!E25*(1-0.928)*VERI_TABANI!$B$9, 0) + (VERI_TABANI!D25*B477*(VERI_TABANI!$B$13-VERI_TABANI!$B$14)*VERI_TABANI!G25) + (VERI_TABANI!D25*C477*(VERI_TABANI!$B$13-VERI_TABANI!$B$15)*VERI_TABANI!G25) + IF(ABS(IF(ISNUMBER(SEARCH("Var", D477)), 1, IF(ISNUMBER(SEARCH("Gri", D477)), -1, 0)))=1, VERI_TABANI!E25*(1-0.928)*0.00206091519919798*VERI_TABANI!G25, 0)) + ((MIN(VERI_TABANI!D26, VERI_TABANI!D26*B477)*VERI_TABANI!$B$7 + MAX(0, VERI_TABANI!D26*B477-VERI_TABANI!D26)*VERI_TABANI!$B$8) + (MIN(MAX(0, VERI_TABANI!D26-VERI_TABANI!D26*B477), VERI_TABANI!D26*C477)*VERI_TABANI!$B$7 + MAX(0, VERI_TABANI!D26*C477-MAX(0, VERI_TABANI!D26-VERI_TABANI!D26*B477))*VERI_TABANI!$B$8) + IF(ABS(IF(ISNUMBER(SEARCH("Var", D477)), 1, IF(ISNUMBER(SEARCH("Gri", D477)), -1, 0)))=1, VERI_TABANI!E26*(1-0.928)*VERI_TABANI!$B$9, 0) + (VERI_TABANI!D26*B477*(VERI_TABANI!$B$13-VERI_TABANI!$B$14)*VERI_TABANI!G26) + (VERI_TABANI!D26*C477*(VERI_TABANI!$B$13-VERI_TABANI!$B$15)*VERI_TABANI!G26) + IF(ABS(IF(ISNUMBER(SEARCH("Var", D477)), 1, IF(ISNUMBER(SEARCH("Gri", D477)), -1, 0)))=1, VERI_TABANI!E26*(1-0.928)*0.00206091519919798*VERI_TABANI!G26, 0)) + ((MIN(VERI_TABANI!D27, VERI_TABANI!D27*B477)*VERI_TABANI!$B$7 + MAX(0, VERI_TABANI!D27*B477-VERI_TABANI!D27)*VERI_TABANI!$B$8) + (MIN(MAX(0, VERI_TABANI!D27-VERI_TABANI!D27*B477), VERI_TABANI!D27*C477)*VERI_TABANI!$B$7 + MAX(0, VERI_TABANI!D27*C477-MAX(0, VERI_TABANI!D27-VERI_TABANI!D27*B477))*VERI_TABANI!$B$8) + IF(ABS(IF(ISNUMBER(SEARCH("Var", D477)), 1, IF(ISNUMBER(SEARCH("Gri", D477)), -1, 0)))=1, VERI_TABANI!E27*(1-0.928)*VERI_TABANI!$B$9, 0) + (VERI_TABANI!D27*B477*(VERI_TABANI!$B$13-VERI_TABANI!$B$14)*VERI_TABANI!G27) + (VERI_TABANI!D27*C477*(VERI_TABANI!$B$13-VERI_TABANI!$B$15)*VERI_TABANI!G27) + IF(ABS(IF(ISNUMBER(SEARCH("Var", D477)), 1, IF(ISNUMBER(SEARCH("Gri", D477)), -1, 0)))=1, VERI_TABANI!E27*(1-0.928)*0.00206091519919798*VERI_TABANI!G27, 0)) + ((MIN(VERI_TABANI!D28, VERI_TABANI!D28*B477)*VERI_TABANI!$B$7 + MAX(0, VERI_TABANI!D28*B477-VERI_TABANI!D28)*VERI_TABANI!$B$8) + (MIN(MAX(0, VERI_TABANI!D28-VERI_TABANI!D28*B477), VERI_TABANI!D28*C477)*VERI_TABANI!$B$7 + MAX(0, VERI_TABANI!D28*C477-MAX(0, VERI_TABANI!D28-VERI_TABANI!D28*B477))*VERI_TABANI!$B$8) + IF(ABS(IF(ISNUMBER(SEARCH("Var", D477)), 1, IF(ISNUMBER(SEARCH("Gri", D477)), -1, 0)))=1, VERI_TABANI!E28*(1-0.928)*VERI_TABANI!$B$9, 0) + (VERI_TABANI!D28*B477*(VERI_TABANI!$B$13-VERI_TABANI!$B$14)*VERI_TABANI!G28) + (VERI_TABANI!D28*C477*(VERI_TABANI!$B$13-VERI_TABANI!$B$15)*VERI_TABANI!G28) + IF(ABS(IF(ISNUMBER(SEARCH("Var", D477)), 1, IF(ISNUMBER(SEARCH("Gri", D477)), -1, 0)))=1, VERI_TABANI!E28*(1-0.928)*0.00206091519919798*VERI_TABANI!G28, 0)))</f>
        <v/>
      </c>
      <c r="H477" s="169">
        <f>(((VERI_TABANI!D23*B477*(VERI_TABANI!$B$13-VERI_TABANI!$B$14)) + (VERI_TABANI!D23*C477*(VERI_TABANI!$B$13-VERI_TABANI!$B$15)) + IF(ISNUMBER(SEARCH("Var", D477)), VERI_TABANI!F23*(0.00202-VERI_TABANI!$B$16), IF(ISNUMBER(SEARCH("Gri", D477)), VERI_TABANI!F23*(0.00202-VERI_TABANI!$B$17), 0))) + ((VERI_TABANI!D24*B477*(VERI_TABANI!$B$13-VERI_TABANI!$B$14)) + (VERI_TABANI!D24*C477*(VERI_TABANI!$B$13-VERI_TABANI!$B$15)) + IF(ISNUMBER(SEARCH("Var", D477)), VERI_TABANI!F24*(0.00202-VERI_TABANI!$B$16), IF(ISNUMBER(SEARCH("Gri", D477)), VERI_TABANI!F24*(0.00202-VERI_TABANI!$B$17), 0))) + ((VERI_TABANI!D25*B477*(VERI_TABANI!$B$13-VERI_TABANI!$B$14)) + (VERI_TABANI!D25*C477*(VERI_TABANI!$B$13-VERI_TABANI!$B$15)) + IF(ISNUMBER(SEARCH("Var", D477)), VERI_TABANI!F25*(0.00202-VERI_TABANI!$B$16), IF(ISNUMBER(SEARCH("Gri", D477)), VERI_TABANI!F25*(0.00202-VERI_TABANI!$B$17), 0))) + ((VERI_TABANI!D26*B477*(VERI_TABANI!$B$13-VERI_TABANI!$B$14)) + (VERI_TABANI!D26*C477*(VERI_TABANI!$B$13-VERI_TABANI!$B$15)) + IF(ISNUMBER(SEARCH("Var", D477)), VERI_TABANI!F26*(0.00202-VERI_TABANI!$B$16), IF(ISNUMBER(SEARCH("Gri", D477)), VERI_TABANI!F26*(0.00202-VERI_TABANI!$B$17), 0))) + ((VERI_TABANI!D27*B477*(VERI_TABANI!$B$13-VERI_TABANI!$B$14)) + (VERI_TABANI!D27*C477*(VERI_TABANI!$B$13-VERI_TABANI!$B$15)) + IF(ISNUMBER(SEARCH("Var", D477)), VERI_TABANI!F27*(0.00202-VERI_TABANI!$B$16), IF(ISNUMBER(SEARCH("Gri", D477)), VERI_TABANI!F27*(0.00202-VERI_TABANI!$B$17), 0))) + ((VERI_TABANI!D28*B477*(VERI_TABANI!$B$13-VERI_TABANI!$B$14)) + (VERI_TABANI!D28*C477*(VERI_TABANI!$B$13-VERI_TABANI!$B$15)) + IF(ISNUMBER(SEARCH("Var", D477)), VERI_TABANI!F28*(0.00202-VERI_TABANI!$B$16), IF(ISNUMBER(SEARCH("Gri", D477)), VERI_TABANI!F28*(0.00202-VERI_TABANI!$B$17), 0))))</f>
        <v/>
      </c>
      <c r="I477" s="170">
        <f>IFERROR(((VERI_TABANI!$D$29*B477*VERI_TABANI!$B$14 + VERI_TABANI!$D$29*C477*VERI_TABANI!$B$15 + IF(ISNUMBER(SEARCH("Var", D477)), VERI_TABANI!$F$29*VERI_TABANI!$B$16, 0))) / (((VERI_TABANI!$D$29*B477 + VERI_TABANI!$D$29*C477)*VERI_TABANI!$B$13 + IF(ISNUMBER(SEARCH("Var", D477)), VERI_TABANI!$E$29*(1-0.928)*VERI_TABANI!$B$18, 0))), 0)</f>
        <v/>
      </c>
      <c r="J477" s="171">
        <f>IFERROR(F477/(G477/29), 0)</f>
        <v/>
      </c>
      <c r="K477" s="172">
        <f>IF(F477&gt;0, H477/F477, 0)</f>
        <v/>
      </c>
      <c r="L477" s="170">
        <f>IF(F477&gt;0, I477, 1000000000)</f>
        <v/>
      </c>
      <c r="M477" s="171">
        <f>ABS((B477+C477)-1)</f>
        <v/>
      </c>
      <c r="N477" s="170">
        <f>IF(F477&gt;0, (G477/29)/F477, 0)</f>
        <v/>
      </c>
      <c r="O477" s="168">
        <f>IF(AND((B477+C477)&gt;=1, ISNUMBER(SEARCH("Var", D477))), F477, 1000000000)</f>
        <v/>
      </c>
      <c r="P477" s="172">
        <f>IF(F477&gt;0, SQRT((F477/MAX(F$5:F$886))^2 + (1 - H477/MAX(H$5:H$886))^2 + (J477/MAX(J$5:J$886))^2), 1000000000)</f>
        <v/>
      </c>
      <c r="Q477" s="166">
        <f>IF(AND(ABS(B477-0.5)&lt;0.01, ABS(C477-0.5)&lt;0.01, ISNUMBER(SEARCH("Var", D477))), 1, 0)</f>
        <v/>
      </c>
      <c r="R477" s="171">
        <f>IF(F477&gt;0, J477, 1000000000)</f>
        <v/>
      </c>
      <c r="S477" s="101">
        <f>IF(AND(F477&lt;=DASHBOARD!$B$11, H477&gt;=DASHBOARD!$B$13), G477, -1000000000000)</f>
        <v/>
      </c>
      <c r="T477" s="101">
        <f>IF(AND(F477&lt;=DASHBOARD!$B$11, H477&gt;=DASHBOARD!$B$13), R477, 1000000000000)</f>
        <v/>
      </c>
      <c r="U477" s="101">
        <f>IF(AND(F477&lt;=DASHBOARD!$B$11, H477&gt;=DASHBOARD!$B$13), N477, -1000000000000)</f>
        <v/>
      </c>
      <c r="V477" s="101">
        <f>IF(AND(F477&lt;=DASHBOARD!$B$11, H477&gt;=DASHBOARD!$B$13), H477, -1000000000000)</f>
        <v/>
      </c>
      <c r="W477" s="101">
        <f>IF(AND(F477&lt;=DASHBOARD!$B$11, H477&gt;=DASHBOARD!$B$13), K477, -1000000000000)</f>
        <v/>
      </c>
      <c r="X477" s="101">
        <f>IF(AND(F477&lt;=DASHBOARD!$B$11, H477&gt;=DASHBOARD!$B$13), M477, 1000000000000)</f>
        <v/>
      </c>
      <c r="Y477" s="101">
        <f>IF(AND(F477&lt;=DASHBOARD!$B$10, H477&gt;=DASHBOARD!$B$11), L477, 1000000000000)</f>
        <v/>
      </c>
      <c r="Z477" s="101">
        <f>IF(AND(F477&lt;=DASHBOARD!$B$10, H477&gt;=DASHBOARD!$B$11), O477, 1000000000000)</f>
        <v/>
      </c>
      <c r="AA477" s="101">
        <f>IF(AND(F477&lt;=DASHBOARD!$B$10, H477&gt;=DASHBOARD!$B$11), P477, 1000000000000)</f>
        <v/>
      </c>
      <c r="AB477" s="101">
        <f>IF(AND(F477&lt;=DASHBOARD!$B$10, H477&gt;=DASHBOARD!$B$11), Q477, -1000000000000)</f>
        <v/>
      </c>
    </row>
    <row r="478" ht="15" customHeight="1" s="102">
      <c r="A478" s="166" t="n">
        <v>474</v>
      </c>
      <c r="B478" s="167" t="n">
        <v>1.1</v>
      </c>
      <c r="C478" s="167" t="n">
        <v>0.5</v>
      </c>
      <c r="D478" s="110" t="inlineStr">
        <is>
          <t>Var (%20)</t>
        </is>
      </c>
      <c r="E478" s="110">
        <f>IF((B478+C478)&lt;=1, "Tam Mahsuplaşma (≤%100)", "Kısmi Satış (&gt;%100)")</f>
        <v/>
      </c>
      <c r="F478" s="168">
        <f>((VERI_TABANI!$D$29*B478/VERI_TABANI!$B$29)/VERI_TABANI!$B$3)*VERI_TABANI!$B$5 + ((VERI_TABANI!$D$29*C478/VERI_TABANI!$B$29)/VERI_TABANI!$B$4)*VERI_TABANI!$B$6 + IF(ISNUMBER(SEARCH("Var", D478)), (VERI_TABANI!$F$29/VERI_TABANI!$B$29)*(VERI_TABANI!$B$10+VERI_TABANI!$B$12), 0)</f>
        <v/>
      </c>
      <c r="G478" s="168">
        <f>(((MIN(VERI_TABANI!D23, VERI_TABANI!D23*B478)*VERI_TABANI!$B$7 + MAX(0, VERI_TABANI!D23*B478-VERI_TABANI!D23)*VERI_TABANI!$B$8) + (MIN(MAX(0, VERI_TABANI!D23-VERI_TABANI!D23*B478), VERI_TABANI!D23*C478)*VERI_TABANI!$B$7 + MAX(0, VERI_TABANI!D23*C478-MAX(0, VERI_TABANI!D23-VERI_TABANI!D23*B478))*VERI_TABANI!$B$8) + IF(ABS(IF(ISNUMBER(SEARCH("Var", D478)), 1, IF(ISNUMBER(SEARCH("Gri", D478)), -1, 0)))=1, VERI_TABANI!E23*(1-0.928)*VERI_TABANI!$B$9, 0) + (VERI_TABANI!D23*B478*(VERI_TABANI!$B$13-VERI_TABANI!$B$14)*VERI_TABANI!G23) + (VERI_TABANI!D23*C478*(VERI_TABANI!$B$13-VERI_TABANI!$B$15)*VERI_TABANI!G23) + IF(ABS(IF(ISNUMBER(SEARCH("Var", D478)), 1, IF(ISNUMBER(SEARCH("Gri", D478)), -1, 0)))=1, VERI_TABANI!E23*(1-0.928)*0.00206091519919798*VERI_TABANI!G23, 0)) + ((MIN(VERI_TABANI!D24, VERI_TABANI!D24*B478)*VERI_TABANI!$B$7 + MAX(0, VERI_TABANI!D24*B478-VERI_TABANI!D24)*VERI_TABANI!$B$8) + (MIN(MAX(0, VERI_TABANI!D24-VERI_TABANI!D24*B478), VERI_TABANI!D24*C478)*VERI_TABANI!$B$7 + MAX(0, VERI_TABANI!D24*C478-MAX(0, VERI_TABANI!D24-VERI_TABANI!D24*B478))*VERI_TABANI!$B$8) + IF(ABS(IF(ISNUMBER(SEARCH("Var", D478)), 1, IF(ISNUMBER(SEARCH("Gri", D478)), -1, 0)))=1, VERI_TABANI!E24*(1-0.928)*VERI_TABANI!$B$9, 0) + (VERI_TABANI!D24*B478*(VERI_TABANI!$B$13-VERI_TABANI!$B$14)*VERI_TABANI!G24) + (VERI_TABANI!D24*C478*(VERI_TABANI!$B$13-VERI_TABANI!$B$15)*VERI_TABANI!G24) + IF(ABS(IF(ISNUMBER(SEARCH("Var", D478)), 1, IF(ISNUMBER(SEARCH("Gri", D478)), -1, 0)))=1, VERI_TABANI!E24*(1-0.928)*0.00206091519919798*VERI_TABANI!G24, 0)) + ((MIN(VERI_TABANI!D25, VERI_TABANI!D25*B478)*VERI_TABANI!$B$7 + MAX(0, VERI_TABANI!D25*B478-VERI_TABANI!D25)*VERI_TABANI!$B$8) + (MIN(MAX(0, VERI_TABANI!D25-VERI_TABANI!D25*B478), VERI_TABANI!D25*C478)*VERI_TABANI!$B$7 + MAX(0, VERI_TABANI!D25*C478-MAX(0, VERI_TABANI!D25-VERI_TABANI!D25*B478))*VERI_TABANI!$B$8) + IF(ABS(IF(ISNUMBER(SEARCH("Var", D478)), 1, IF(ISNUMBER(SEARCH("Gri", D478)), -1, 0)))=1, VERI_TABANI!E25*(1-0.928)*VERI_TABANI!$B$9, 0) + (VERI_TABANI!D25*B478*(VERI_TABANI!$B$13-VERI_TABANI!$B$14)*VERI_TABANI!G25) + (VERI_TABANI!D25*C478*(VERI_TABANI!$B$13-VERI_TABANI!$B$15)*VERI_TABANI!G25) + IF(ABS(IF(ISNUMBER(SEARCH("Var", D478)), 1, IF(ISNUMBER(SEARCH("Gri", D478)), -1, 0)))=1, VERI_TABANI!E25*(1-0.928)*0.00206091519919798*VERI_TABANI!G25, 0)) + ((MIN(VERI_TABANI!D26, VERI_TABANI!D26*B478)*VERI_TABANI!$B$7 + MAX(0, VERI_TABANI!D26*B478-VERI_TABANI!D26)*VERI_TABANI!$B$8) + (MIN(MAX(0, VERI_TABANI!D26-VERI_TABANI!D26*B478), VERI_TABANI!D26*C478)*VERI_TABANI!$B$7 + MAX(0, VERI_TABANI!D26*C478-MAX(0, VERI_TABANI!D26-VERI_TABANI!D26*B478))*VERI_TABANI!$B$8) + IF(ABS(IF(ISNUMBER(SEARCH("Var", D478)), 1, IF(ISNUMBER(SEARCH("Gri", D478)), -1, 0)))=1, VERI_TABANI!E26*(1-0.928)*VERI_TABANI!$B$9, 0) + (VERI_TABANI!D26*B478*(VERI_TABANI!$B$13-VERI_TABANI!$B$14)*VERI_TABANI!G26) + (VERI_TABANI!D26*C478*(VERI_TABANI!$B$13-VERI_TABANI!$B$15)*VERI_TABANI!G26) + IF(ABS(IF(ISNUMBER(SEARCH("Var", D478)), 1, IF(ISNUMBER(SEARCH("Gri", D478)), -1, 0)))=1, VERI_TABANI!E26*(1-0.928)*0.00206091519919798*VERI_TABANI!G26, 0)) + ((MIN(VERI_TABANI!D27, VERI_TABANI!D27*B478)*VERI_TABANI!$B$7 + MAX(0, VERI_TABANI!D27*B478-VERI_TABANI!D27)*VERI_TABANI!$B$8) + (MIN(MAX(0, VERI_TABANI!D27-VERI_TABANI!D27*B478), VERI_TABANI!D27*C478)*VERI_TABANI!$B$7 + MAX(0, VERI_TABANI!D27*C478-MAX(0, VERI_TABANI!D27-VERI_TABANI!D27*B478))*VERI_TABANI!$B$8) + IF(ABS(IF(ISNUMBER(SEARCH("Var", D478)), 1, IF(ISNUMBER(SEARCH("Gri", D478)), -1, 0)))=1, VERI_TABANI!E27*(1-0.928)*VERI_TABANI!$B$9, 0) + (VERI_TABANI!D27*B478*(VERI_TABANI!$B$13-VERI_TABANI!$B$14)*VERI_TABANI!G27) + (VERI_TABANI!D27*C478*(VERI_TABANI!$B$13-VERI_TABANI!$B$15)*VERI_TABANI!G27) + IF(ABS(IF(ISNUMBER(SEARCH("Var", D478)), 1, IF(ISNUMBER(SEARCH("Gri", D478)), -1, 0)))=1, VERI_TABANI!E27*(1-0.928)*0.00206091519919798*VERI_TABANI!G27, 0)) + ((MIN(VERI_TABANI!D28, VERI_TABANI!D28*B478)*VERI_TABANI!$B$7 + MAX(0, VERI_TABANI!D28*B478-VERI_TABANI!D28)*VERI_TABANI!$B$8) + (MIN(MAX(0, VERI_TABANI!D28-VERI_TABANI!D28*B478), VERI_TABANI!D28*C478)*VERI_TABANI!$B$7 + MAX(0, VERI_TABANI!D28*C478-MAX(0, VERI_TABANI!D28-VERI_TABANI!D28*B478))*VERI_TABANI!$B$8) + IF(ABS(IF(ISNUMBER(SEARCH("Var", D478)), 1, IF(ISNUMBER(SEARCH("Gri", D478)), -1, 0)))=1, VERI_TABANI!E28*(1-0.928)*VERI_TABANI!$B$9, 0) + (VERI_TABANI!D28*B478*(VERI_TABANI!$B$13-VERI_TABANI!$B$14)*VERI_TABANI!G28) + (VERI_TABANI!D28*C478*(VERI_TABANI!$B$13-VERI_TABANI!$B$15)*VERI_TABANI!G28) + IF(ABS(IF(ISNUMBER(SEARCH("Var", D478)), 1, IF(ISNUMBER(SEARCH("Gri", D478)), -1, 0)))=1, VERI_TABANI!E28*(1-0.928)*0.00206091519919798*VERI_TABANI!G28, 0)))</f>
        <v/>
      </c>
      <c r="H478" s="169">
        <f>(((VERI_TABANI!D23*B478*(VERI_TABANI!$B$13-VERI_TABANI!$B$14)) + (VERI_TABANI!D23*C478*(VERI_TABANI!$B$13-VERI_TABANI!$B$15)) + IF(ISNUMBER(SEARCH("Var", D478)), VERI_TABANI!F23*(0.00202-VERI_TABANI!$B$16), IF(ISNUMBER(SEARCH("Gri", D478)), VERI_TABANI!F23*(0.00202-VERI_TABANI!$B$17), 0))) + ((VERI_TABANI!D24*B478*(VERI_TABANI!$B$13-VERI_TABANI!$B$14)) + (VERI_TABANI!D24*C478*(VERI_TABANI!$B$13-VERI_TABANI!$B$15)) + IF(ISNUMBER(SEARCH("Var", D478)), VERI_TABANI!F24*(0.00202-VERI_TABANI!$B$16), IF(ISNUMBER(SEARCH("Gri", D478)), VERI_TABANI!F24*(0.00202-VERI_TABANI!$B$17), 0))) + ((VERI_TABANI!D25*B478*(VERI_TABANI!$B$13-VERI_TABANI!$B$14)) + (VERI_TABANI!D25*C478*(VERI_TABANI!$B$13-VERI_TABANI!$B$15)) + IF(ISNUMBER(SEARCH("Var", D478)), VERI_TABANI!F25*(0.00202-VERI_TABANI!$B$16), IF(ISNUMBER(SEARCH("Gri", D478)), VERI_TABANI!F25*(0.00202-VERI_TABANI!$B$17), 0))) + ((VERI_TABANI!D26*B478*(VERI_TABANI!$B$13-VERI_TABANI!$B$14)) + (VERI_TABANI!D26*C478*(VERI_TABANI!$B$13-VERI_TABANI!$B$15)) + IF(ISNUMBER(SEARCH("Var", D478)), VERI_TABANI!F26*(0.00202-VERI_TABANI!$B$16), IF(ISNUMBER(SEARCH("Gri", D478)), VERI_TABANI!F26*(0.00202-VERI_TABANI!$B$17), 0))) + ((VERI_TABANI!D27*B478*(VERI_TABANI!$B$13-VERI_TABANI!$B$14)) + (VERI_TABANI!D27*C478*(VERI_TABANI!$B$13-VERI_TABANI!$B$15)) + IF(ISNUMBER(SEARCH("Var", D478)), VERI_TABANI!F27*(0.00202-VERI_TABANI!$B$16), IF(ISNUMBER(SEARCH("Gri", D478)), VERI_TABANI!F27*(0.00202-VERI_TABANI!$B$17), 0))) + ((VERI_TABANI!D28*B478*(VERI_TABANI!$B$13-VERI_TABANI!$B$14)) + (VERI_TABANI!D28*C478*(VERI_TABANI!$B$13-VERI_TABANI!$B$15)) + IF(ISNUMBER(SEARCH("Var", D478)), VERI_TABANI!F28*(0.00202-VERI_TABANI!$B$16), IF(ISNUMBER(SEARCH("Gri", D478)), VERI_TABANI!F28*(0.00202-VERI_TABANI!$B$17), 0))))</f>
        <v/>
      </c>
      <c r="I478" s="170">
        <f>IFERROR(((VERI_TABANI!$D$29*B478*VERI_TABANI!$B$14 + VERI_TABANI!$D$29*C478*VERI_TABANI!$B$15 + IF(ISNUMBER(SEARCH("Var", D478)), VERI_TABANI!$F$29*VERI_TABANI!$B$16, 0))) / (((VERI_TABANI!$D$29*B478 + VERI_TABANI!$D$29*C478)*VERI_TABANI!$B$13 + IF(ISNUMBER(SEARCH("Var", D478)), VERI_TABANI!$E$29*(1-0.928)*VERI_TABANI!$B$18, 0))), 0)</f>
        <v/>
      </c>
      <c r="J478" s="171">
        <f>IFERROR(F478/(G478/29), 0)</f>
        <v/>
      </c>
      <c r="K478" s="172">
        <f>IF(F478&gt;0, H478/F478, 0)</f>
        <v/>
      </c>
      <c r="L478" s="170">
        <f>IF(F478&gt;0, I478, 1000000000)</f>
        <v/>
      </c>
      <c r="M478" s="171">
        <f>ABS((B478+C478)-1)</f>
        <v/>
      </c>
      <c r="N478" s="170">
        <f>IF(F478&gt;0, (G478/29)/F478, 0)</f>
        <v/>
      </c>
      <c r="O478" s="168">
        <f>IF(AND((B478+C478)&gt;=1, ISNUMBER(SEARCH("Var", D478))), F478, 1000000000)</f>
        <v/>
      </c>
      <c r="P478" s="172">
        <f>IF(F478&gt;0, SQRT((F478/MAX(F$5:F$886))^2 + (1 - H478/MAX(H$5:H$886))^2 + (J478/MAX(J$5:J$886))^2), 1000000000)</f>
        <v/>
      </c>
      <c r="Q478" s="166">
        <f>IF(AND(ABS(B478-0.5)&lt;0.01, ABS(C478-0.5)&lt;0.01, ISNUMBER(SEARCH("Var", D478))), 1, 0)</f>
        <v/>
      </c>
      <c r="R478" s="171">
        <f>IF(F478&gt;0, J478, 1000000000)</f>
        <v/>
      </c>
      <c r="S478" s="101">
        <f>IF(AND(F478&lt;=DASHBOARD!$B$11, H478&gt;=DASHBOARD!$B$13), G478, -1000000000000)</f>
        <v/>
      </c>
      <c r="T478" s="101">
        <f>IF(AND(F478&lt;=DASHBOARD!$B$11, H478&gt;=DASHBOARD!$B$13), R478, 1000000000000)</f>
        <v/>
      </c>
      <c r="U478" s="101">
        <f>IF(AND(F478&lt;=DASHBOARD!$B$11, H478&gt;=DASHBOARD!$B$13), N478, -1000000000000)</f>
        <v/>
      </c>
      <c r="V478" s="101">
        <f>IF(AND(F478&lt;=DASHBOARD!$B$11, H478&gt;=DASHBOARD!$B$13), H478, -1000000000000)</f>
        <v/>
      </c>
      <c r="W478" s="101">
        <f>IF(AND(F478&lt;=DASHBOARD!$B$11, H478&gt;=DASHBOARD!$B$13), K478, -1000000000000)</f>
        <v/>
      </c>
      <c r="X478" s="101">
        <f>IF(AND(F478&lt;=DASHBOARD!$B$11, H478&gt;=DASHBOARD!$B$13), M478, 1000000000000)</f>
        <v/>
      </c>
      <c r="Y478" s="101">
        <f>IF(AND(F478&lt;=DASHBOARD!$B$10, H478&gt;=DASHBOARD!$B$11), L478, 1000000000000)</f>
        <v/>
      </c>
      <c r="Z478" s="101">
        <f>IF(AND(F478&lt;=DASHBOARD!$B$10, H478&gt;=DASHBOARD!$B$11), O478, 1000000000000)</f>
        <v/>
      </c>
      <c r="AA478" s="101">
        <f>IF(AND(F478&lt;=DASHBOARD!$B$10, H478&gt;=DASHBOARD!$B$11), P478, 1000000000000)</f>
        <v/>
      </c>
      <c r="AB478" s="101">
        <f>IF(AND(F478&lt;=DASHBOARD!$B$10, H478&gt;=DASHBOARD!$B$11), Q478, -1000000000000)</f>
        <v/>
      </c>
    </row>
    <row r="479" ht="15" customHeight="1" s="102">
      <c r="A479" s="166" t="n">
        <v>475</v>
      </c>
      <c r="B479" s="167" t="n">
        <v>1.1</v>
      </c>
      <c r="C479" s="167" t="n">
        <v>0.6</v>
      </c>
      <c r="D479" s="110" t="inlineStr">
        <is>
          <t>Yok (%0)</t>
        </is>
      </c>
      <c r="E479" s="110">
        <f>IF((B479+C479)&lt;=1, "Tam Mahsuplaşma (≤%100)", "Kısmi Satış (&gt;%100)")</f>
        <v/>
      </c>
      <c r="F479" s="168">
        <f>((VERI_TABANI!$D$29*B479/VERI_TABANI!$B$29)/VERI_TABANI!$B$3)*VERI_TABANI!$B$5 + ((VERI_TABANI!$D$29*C479/VERI_TABANI!$B$29)/VERI_TABANI!$B$4)*VERI_TABANI!$B$6 + IF(ISNUMBER(SEARCH("Var", D479)), (VERI_TABANI!$F$29/VERI_TABANI!$B$29)*(VERI_TABANI!$B$10+VERI_TABANI!$B$12), 0)</f>
        <v/>
      </c>
      <c r="G479" s="168">
        <f>(((MIN(VERI_TABANI!D23, VERI_TABANI!D23*B479)*VERI_TABANI!$B$7 + MAX(0, VERI_TABANI!D23*B479-VERI_TABANI!D23)*VERI_TABANI!$B$8) + (MIN(MAX(0, VERI_TABANI!D23-VERI_TABANI!D23*B479), VERI_TABANI!D23*C479)*VERI_TABANI!$B$7 + MAX(0, VERI_TABANI!D23*C479-MAX(0, VERI_TABANI!D23-VERI_TABANI!D23*B479))*VERI_TABANI!$B$8) + IF(ABS(IF(ISNUMBER(SEARCH("Var", D479)), 1, IF(ISNUMBER(SEARCH("Gri", D479)), -1, 0)))=1, VERI_TABANI!E23*(1-0.928)*VERI_TABANI!$B$9, 0) + (VERI_TABANI!D23*B479*(VERI_TABANI!$B$13-VERI_TABANI!$B$14)*VERI_TABANI!G23) + (VERI_TABANI!D23*C479*(VERI_TABANI!$B$13-VERI_TABANI!$B$15)*VERI_TABANI!G23) + IF(ABS(IF(ISNUMBER(SEARCH("Var", D479)), 1, IF(ISNUMBER(SEARCH("Gri", D479)), -1, 0)))=1, VERI_TABANI!E23*(1-0.928)*0.00206091519919798*VERI_TABANI!G23, 0)) + ((MIN(VERI_TABANI!D24, VERI_TABANI!D24*B479)*VERI_TABANI!$B$7 + MAX(0, VERI_TABANI!D24*B479-VERI_TABANI!D24)*VERI_TABANI!$B$8) + (MIN(MAX(0, VERI_TABANI!D24-VERI_TABANI!D24*B479), VERI_TABANI!D24*C479)*VERI_TABANI!$B$7 + MAX(0, VERI_TABANI!D24*C479-MAX(0, VERI_TABANI!D24-VERI_TABANI!D24*B479))*VERI_TABANI!$B$8) + IF(ABS(IF(ISNUMBER(SEARCH("Var", D479)), 1, IF(ISNUMBER(SEARCH("Gri", D479)), -1, 0)))=1, VERI_TABANI!E24*(1-0.928)*VERI_TABANI!$B$9, 0) + (VERI_TABANI!D24*B479*(VERI_TABANI!$B$13-VERI_TABANI!$B$14)*VERI_TABANI!G24) + (VERI_TABANI!D24*C479*(VERI_TABANI!$B$13-VERI_TABANI!$B$15)*VERI_TABANI!G24) + IF(ABS(IF(ISNUMBER(SEARCH("Var", D479)), 1, IF(ISNUMBER(SEARCH("Gri", D479)), -1, 0)))=1, VERI_TABANI!E24*(1-0.928)*0.00206091519919798*VERI_TABANI!G24, 0)) + ((MIN(VERI_TABANI!D25, VERI_TABANI!D25*B479)*VERI_TABANI!$B$7 + MAX(0, VERI_TABANI!D25*B479-VERI_TABANI!D25)*VERI_TABANI!$B$8) + (MIN(MAX(0, VERI_TABANI!D25-VERI_TABANI!D25*B479), VERI_TABANI!D25*C479)*VERI_TABANI!$B$7 + MAX(0, VERI_TABANI!D25*C479-MAX(0, VERI_TABANI!D25-VERI_TABANI!D25*B479))*VERI_TABANI!$B$8) + IF(ABS(IF(ISNUMBER(SEARCH("Var", D479)), 1, IF(ISNUMBER(SEARCH("Gri", D479)), -1, 0)))=1, VERI_TABANI!E25*(1-0.928)*VERI_TABANI!$B$9, 0) + (VERI_TABANI!D25*B479*(VERI_TABANI!$B$13-VERI_TABANI!$B$14)*VERI_TABANI!G25) + (VERI_TABANI!D25*C479*(VERI_TABANI!$B$13-VERI_TABANI!$B$15)*VERI_TABANI!G25) + IF(ABS(IF(ISNUMBER(SEARCH("Var", D479)), 1, IF(ISNUMBER(SEARCH("Gri", D479)), -1, 0)))=1, VERI_TABANI!E25*(1-0.928)*0.00206091519919798*VERI_TABANI!G25, 0)) + ((MIN(VERI_TABANI!D26, VERI_TABANI!D26*B479)*VERI_TABANI!$B$7 + MAX(0, VERI_TABANI!D26*B479-VERI_TABANI!D26)*VERI_TABANI!$B$8) + (MIN(MAX(0, VERI_TABANI!D26-VERI_TABANI!D26*B479), VERI_TABANI!D26*C479)*VERI_TABANI!$B$7 + MAX(0, VERI_TABANI!D26*C479-MAX(0, VERI_TABANI!D26-VERI_TABANI!D26*B479))*VERI_TABANI!$B$8) + IF(ABS(IF(ISNUMBER(SEARCH("Var", D479)), 1, IF(ISNUMBER(SEARCH("Gri", D479)), -1, 0)))=1, VERI_TABANI!E26*(1-0.928)*VERI_TABANI!$B$9, 0) + (VERI_TABANI!D26*B479*(VERI_TABANI!$B$13-VERI_TABANI!$B$14)*VERI_TABANI!G26) + (VERI_TABANI!D26*C479*(VERI_TABANI!$B$13-VERI_TABANI!$B$15)*VERI_TABANI!G26) + IF(ABS(IF(ISNUMBER(SEARCH("Var", D479)), 1, IF(ISNUMBER(SEARCH("Gri", D479)), -1, 0)))=1, VERI_TABANI!E26*(1-0.928)*0.00206091519919798*VERI_TABANI!G26, 0)) + ((MIN(VERI_TABANI!D27, VERI_TABANI!D27*B479)*VERI_TABANI!$B$7 + MAX(0, VERI_TABANI!D27*B479-VERI_TABANI!D27)*VERI_TABANI!$B$8) + (MIN(MAX(0, VERI_TABANI!D27-VERI_TABANI!D27*B479), VERI_TABANI!D27*C479)*VERI_TABANI!$B$7 + MAX(0, VERI_TABANI!D27*C479-MAX(0, VERI_TABANI!D27-VERI_TABANI!D27*B479))*VERI_TABANI!$B$8) + IF(ABS(IF(ISNUMBER(SEARCH("Var", D479)), 1, IF(ISNUMBER(SEARCH("Gri", D479)), -1, 0)))=1, VERI_TABANI!E27*(1-0.928)*VERI_TABANI!$B$9, 0) + (VERI_TABANI!D27*B479*(VERI_TABANI!$B$13-VERI_TABANI!$B$14)*VERI_TABANI!G27) + (VERI_TABANI!D27*C479*(VERI_TABANI!$B$13-VERI_TABANI!$B$15)*VERI_TABANI!G27) + IF(ABS(IF(ISNUMBER(SEARCH("Var", D479)), 1, IF(ISNUMBER(SEARCH("Gri", D479)), -1, 0)))=1, VERI_TABANI!E27*(1-0.928)*0.00206091519919798*VERI_TABANI!G27, 0)) + ((MIN(VERI_TABANI!D28, VERI_TABANI!D28*B479)*VERI_TABANI!$B$7 + MAX(0, VERI_TABANI!D28*B479-VERI_TABANI!D28)*VERI_TABANI!$B$8) + (MIN(MAX(0, VERI_TABANI!D28-VERI_TABANI!D28*B479), VERI_TABANI!D28*C479)*VERI_TABANI!$B$7 + MAX(0, VERI_TABANI!D28*C479-MAX(0, VERI_TABANI!D28-VERI_TABANI!D28*B479))*VERI_TABANI!$B$8) + IF(ABS(IF(ISNUMBER(SEARCH("Var", D479)), 1, IF(ISNUMBER(SEARCH("Gri", D479)), -1, 0)))=1, VERI_TABANI!E28*(1-0.928)*VERI_TABANI!$B$9, 0) + (VERI_TABANI!D28*B479*(VERI_TABANI!$B$13-VERI_TABANI!$B$14)*VERI_TABANI!G28) + (VERI_TABANI!D28*C479*(VERI_TABANI!$B$13-VERI_TABANI!$B$15)*VERI_TABANI!G28) + IF(ABS(IF(ISNUMBER(SEARCH("Var", D479)), 1, IF(ISNUMBER(SEARCH("Gri", D479)), -1, 0)))=1, VERI_TABANI!E28*(1-0.928)*0.00206091519919798*VERI_TABANI!G28, 0)))</f>
        <v/>
      </c>
      <c r="H479" s="169">
        <f>(((VERI_TABANI!D23*B479*(VERI_TABANI!$B$13-VERI_TABANI!$B$14)) + (VERI_TABANI!D23*C479*(VERI_TABANI!$B$13-VERI_TABANI!$B$15)) + IF(ISNUMBER(SEARCH("Var", D479)), VERI_TABANI!F23*(0.00202-VERI_TABANI!$B$16), IF(ISNUMBER(SEARCH("Gri", D479)), VERI_TABANI!F23*(0.00202-VERI_TABANI!$B$17), 0))) + ((VERI_TABANI!D24*B479*(VERI_TABANI!$B$13-VERI_TABANI!$B$14)) + (VERI_TABANI!D24*C479*(VERI_TABANI!$B$13-VERI_TABANI!$B$15)) + IF(ISNUMBER(SEARCH("Var", D479)), VERI_TABANI!F24*(0.00202-VERI_TABANI!$B$16), IF(ISNUMBER(SEARCH("Gri", D479)), VERI_TABANI!F24*(0.00202-VERI_TABANI!$B$17), 0))) + ((VERI_TABANI!D25*B479*(VERI_TABANI!$B$13-VERI_TABANI!$B$14)) + (VERI_TABANI!D25*C479*(VERI_TABANI!$B$13-VERI_TABANI!$B$15)) + IF(ISNUMBER(SEARCH("Var", D479)), VERI_TABANI!F25*(0.00202-VERI_TABANI!$B$16), IF(ISNUMBER(SEARCH("Gri", D479)), VERI_TABANI!F25*(0.00202-VERI_TABANI!$B$17), 0))) + ((VERI_TABANI!D26*B479*(VERI_TABANI!$B$13-VERI_TABANI!$B$14)) + (VERI_TABANI!D26*C479*(VERI_TABANI!$B$13-VERI_TABANI!$B$15)) + IF(ISNUMBER(SEARCH("Var", D479)), VERI_TABANI!F26*(0.00202-VERI_TABANI!$B$16), IF(ISNUMBER(SEARCH("Gri", D479)), VERI_TABANI!F26*(0.00202-VERI_TABANI!$B$17), 0))) + ((VERI_TABANI!D27*B479*(VERI_TABANI!$B$13-VERI_TABANI!$B$14)) + (VERI_TABANI!D27*C479*(VERI_TABANI!$B$13-VERI_TABANI!$B$15)) + IF(ISNUMBER(SEARCH("Var", D479)), VERI_TABANI!F27*(0.00202-VERI_TABANI!$B$16), IF(ISNUMBER(SEARCH("Gri", D479)), VERI_TABANI!F27*(0.00202-VERI_TABANI!$B$17), 0))) + ((VERI_TABANI!D28*B479*(VERI_TABANI!$B$13-VERI_TABANI!$B$14)) + (VERI_TABANI!D28*C479*(VERI_TABANI!$B$13-VERI_TABANI!$B$15)) + IF(ISNUMBER(SEARCH("Var", D479)), VERI_TABANI!F28*(0.00202-VERI_TABANI!$B$16), IF(ISNUMBER(SEARCH("Gri", D479)), VERI_TABANI!F28*(0.00202-VERI_TABANI!$B$17), 0))))</f>
        <v/>
      </c>
      <c r="I479" s="170">
        <f>IFERROR(((VERI_TABANI!$D$29*B479*VERI_TABANI!$B$14 + VERI_TABANI!$D$29*C479*VERI_TABANI!$B$15 + IF(ISNUMBER(SEARCH("Var", D479)), VERI_TABANI!$F$29*VERI_TABANI!$B$16, 0))) / (((VERI_TABANI!$D$29*B479 + VERI_TABANI!$D$29*C479)*VERI_TABANI!$B$13 + IF(ISNUMBER(SEARCH("Var", D479)), VERI_TABANI!$E$29*(1-0.928)*VERI_TABANI!$B$18, 0))), 0)</f>
        <v/>
      </c>
      <c r="J479" s="171">
        <f>IFERROR(F479/(G479/29), 0)</f>
        <v/>
      </c>
      <c r="K479" s="172">
        <f>IF(F479&gt;0, H479/F479, 0)</f>
        <v/>
      </c>
      <c r="L479" s="170">
        <f>IF(F479&gt;0, I479, 1000000000)</f>
        <v/>
      </c>
      <c r="M479" s="171">
        <f>ABS((B479+C479)-1)</f>
        <v/>
      </c>
      <c r="N479" s="170">
        <f>IF(F479&gt;0, (G479/29)/F479, 0)</f>
        <v/>
      </c>
      <c r="O479" s="168">
        <f>IF(AND((B479+C479)&gt;=1, ISNUMBER(SEARCH("Var", D479))), F479, 1000000000)</f>
        <v/>
      </c>
      <c r="P479" s="172">
        <f>IF(F479&gt;0, SQRT((F479/MAX(F$5:F$886))^2 + (1 - H479/MAX(H$5:H$886))^2 + (J479/MAX(J$5:J$886))^2), 1000000000)</f>
        <v/>
      </c>
      <c r="Q479" s="166">
        <f>IF(AND(ABS(B479-0.5)&lt;0.01, ABS(C479-0.5)&lt;0.01, ISNUMBER(SEARCH("Var", D479))), 1, 0)</f>
        <v/>
      </c>
      <c r="R479" s="171">
        <f>IF(F479&gt;0, J479, 1000000000)</f>
        <v/>
      </c>
      <c r="S479" s="101">
        <f>IF(AND(F479&lt;=DASHBOARD!$B$11, H479&gt;=DASHBOARD!$B$13), G479, -1000000000000)</f>
        <v/>
      </c>
      <c r="T479" s="101">
        <f>IF(AND(F479&lt;=DASHBOARD!$B$11, H479&gt;=DASHBOARD!$B$13), R479, 1000000000000)</f>
        <v/>
      </c>
      <c r="U479" s="101">
        <f>IF(AND(F479&lt;=DASHBOARD!$B$11, H479&gt;=DASHBOARD!$B$13), N479, -1000000000000)</f>
        <v/>
      </c>
      <c r="V479" s="101">
        <f>IF(AND(F479&lt;=DASHBOARD!$B$11, H479&gt;=DASHBOARD!$B$13), H479, -1000000000000)</f>
        <v/>
      </c>
      <c r="W479" s="101">
        <f>IF(AND(F479&lt;=DASHBOARD!$B$11, H479&gt;=DASHBOARD!$B$13), K479, -1000000000000)</f>
        <v/>
      </c>
      <c r="X479" s="101">
        <f>IF(AND(F479&lt;=DASHBOARD!$B$11, H479&gt;=DASHBOARD!$B$13), M479, 1000000000000)</f>
        <v/>
      </c>
      <c r="Y479" s="101">
        <f>IF(AND(F479&lt;=DASHBOARD!$B$10, H479&gt;=DASHBOARD!$B$11), L479, 1000000000000)</f>
        <v/>
      </c>
      <c r="Z479" s="101">
        <f>IF(AND(F479&lt;=DASHBOARD!$B$10, H479&gt;=DASHBOARD!$B$11), O479, 1000000000000)</f>
        <v/>
      </c>
      <c r="AA479" s="101">
        <f>IF(AND(F479&lt;=DASHBOARD!$B$10, H479&gt;=DASHBOARD!$B$11), P479, 1000000000000)</f>
        <v/>
      </c>
      <c r="AB479" s="101">
        <f>IF(AND(F479&lt;=DASHBOARD!$B$10, H479&gt;=DASHBOARD!$B$11), Q479, -1000000000000)</f>
        <v/>
      </c>
    </row>
    <row r="480" ht="15" customHeight="1" s="102">
      <c r="A480" s="166" t="n">
        <v>476</v>
      </c>
      <c r="B480" s="167" t="n">
        <v>1.1</v>
      </c>
      <c r="C480" s="167" t="n">
        <v>0.6</v>
      </c>
      <c r="D480" s="110" t="inlineStr">
        <is>
          <t>Var (%20)</t>
        </is>
      </c>
      <c r="E480" s="110">
        <f>IF((B480+C480)&lt;=1, "Tam Mahsuplaşma (≤%100)", "Kısmi Satış (&gt;%100)")</f>
        <v/>
      </c>
      <c r="F480" s="168">
        <f>((VERI_TABANI!$D$29*B480/VERI_TABANI!$B$29)/VERI_TABANI!$B$3)*VERI_TABANI!$B$5 + ((VERI_TABANI!$D$29*C480/VERI_TABANI!$B$29)/VERI_TABANI!$B$4)*VERI_TABANI!$B$6 + IF(ISNUMBER(SEARCH("Var", D480)), (VERI_TABANI!$F$29/VERI_TABANI!$B$29)*(VERI_TABANI!$B$10+VERI_TABANI!$B$12), 0)</f>
        <v/>
      </c>
      <c r="G480" s="168">
        <f>(((MIN(VERI_TABANI!D23, VERI_TABANI!D23*B480)*VERI_TABANI!$B$7 + MAX(0, VERI_TABANI!D23*B480-VERI_TABANI!D23)*VERI_TABANI!$B$8) + (MIN(MAX(0, VERI_TABANI!D23-VERI_TABANI!D23*B480), VERI_TABANI!D23*C480)*VERI_TABANI!$B$7 + MAX(0, VERI_TABANI!D23*C480-MAX(0, VERI_TABANI!D23-VERI_TABANI!D23*B480))*VERI_TABANI!$B$8) + IF(ABS(IF(ISNUMBER(SEARCH("Var", D480)), 1, IF(ISNUMBER(SEARCH("Gri", D480)), -1, 0)))=1, VERI_TABANI!E23*(1-0.928)*VERI_TABANI!$B$9, 0) + (VERI_TABANI!D23*B480*(VERI_TABANI!$B$13-VERI_TABANI!$B$14)*VERI_TABANI!G23) + (VERI_TABANI!D23*C480*(VERI_TABANI!$B$13-VERI_TABANI!$B$15)*VERI_TABANI!G23) + IF(ABS(IF(ISNUMBER(SEARCH("Var", D480)), 1, IF(ISNUMBER(SEARCH("Gri", D480)), -1, 0)))=1, VERI_TABANI!E23*(1-0.928)*0.00206091519919798*VERI_TABANI!G23, 0)) + ((MIN(VERI_TABANI!D24, VERI_TABANI!D24*B480)*VERI_TABANI!$B$7 + MAX(0, VERI_TABANI!D24*B480-VERI_TABANI!D24)*VERI_TABANI!$B$8) + (MIN(MAX(0, VERI_TABANI!D24-VERI_TABANI!D24*B480), VERI_TABANI!D24*C480)*VERI_TABANI!$B$7 + MAX(0, VERI_TABANI!D24*C480-MAX(0, VERI_TABANI!D24-VERI_TABANI!D24*B480))*VERI_TABANI!$B$8) + IF(ABS(IF(ISNUMBER(SEARCH("Var", D480)), 1, IF(ISNUMBER(SEARCH("Gri", D480)), -1, 0)))=1, VERI_TABANI!E24*(1-0.928)*VERI_TABANI!$B$9, 0) + (VERI_TABANI!D24*B480*(VERI_TABANI!$B$13-VERI_TABANI!$B$14)*VERI_TABANI!G24) + (VERI_TABANI!D24*C480*(VERI_TABANI!$B$13-VERI_TABANI!$B$15)*VERI_TABANI!G24) + IF(ABS(IF(ISNUMBER(SEARCH("Var", D480)), 1, IF(ISNUMBER(SEARCH("Gri", D480)), -1, 0)))=1, VERI_TABANI!E24*(1-0.928)*0.00206091519919798*VERI_TABANI!G24, 0)) + ((MIN(VERI_TABANI!D25, VERI_TABANI!D25*B480)*VERI_TABANI!$B$7 + MAX(0, VERI_TABANI!D25*B480-VERI_TABANI!D25)*VERI_TABANI!$B$8) + (MIN(MAX(0, VERI_TABANI!D25-VERI_TABANI!D25*B480), VERI_TABANI!D25*C480)*VERI_TABANI!$B$7 + MAX(0, VERI_TABANI!D25*C480-MAX(0, VERI_TABANI!D25-VERI_TABANI!D25*B480))*VERI_TABANI!$B$8) + IF(ABS(IF(ISNUMBER(SEARCH("Var", D480)), 1, IF(ISNUMBER(SEARCH("Gri", D480)), -1, 0)))=1, VERI_TABANI!E25*(1-0.928)*VERI_TABANI!$B$9, 0) + (VERI_TABANI!D25*B480*(VERI_TABANI!$B$13-VERI_TABANI!$B$14)*VERI_TABANI!G25) + (VERI_TABANI!D25*C480*(VERI_TABANI!$B$13-VERI_TABANI!$B$15)*VERI_TABANI!G25) + IF(ABS(IF(ISNUMBER(SEARCH("Var", D480)), 1, IF(ISNUMBER(SEARCH("Gri", D480)), -1, 0)))=1, VERI_TABANI!E25*(1-0.928)*0.00206091519919798*VERI_TABANI!G25, 0)) + ((MIN(VERI_TABANI!D26, VERI_TABANI!D26*B480)*VERI_TABANI!$B$7 + MAX(0, VERI_TABANI!D26*B480-VERI_TABANI!D26)*VERI_TABANI!$B$8) + (MIN(MAX(0, VERI_TABANI!D26-VERI_TABANI!D26*B480), VERI_TABANI!D26*C480)*VERI_TABANI!$B$7 + MAX(0, VERI_TABANI!D26*C480-MAX(0, VERI_TABANI!D26-VERI_TABANI!D26*B480))*VERI_TABANI!$B$8) + IF(ABS(IF(ISNUMBER(SEARCH("Var", D480)), 1, IF(ISNUMBER(SEARCH("Gri", D480)), -1, 0)))=1, VERI_TABANI!E26*(1-0.928)*VERI_TABANI!$B$9, 0) + (VERI_TABANI!D26*B480*(VERI_TABANI!$B$13-VERI_TABANI!$B$14)*VERI_TABANI!G26) + (VERI_TABANI!D26*C480*(VERI_TABANI!$B$13-VERI_TABANI!$B$15)*VERI_TABANI!G26) + IF(ABS(IF(ISNUMBER(SEARCH("Var", D480)), 1, IF(ISNUMBER(SEARCH("Gri", D480)), -1, 0)))=1, VERI_TABANI!E26*(1-0.928)*0.00206091519919798*VERI_TABANI!G26, 0)) + ((MIN(VERI_TABANI!D27, VERI_TABANI!D27*B480)*VERI_TABANI!$B$7 + MAX(0, VERI_TABANI!D27*B480-VERI_TABANI!D27)*VERI_TABANI!$B$8) + (MIN(MAX(0, VERI_TABANI!D27-VERI_TABANI!D27*B480), VERI_TABANI!D27*C480)*VERI_TABANI!$B$7 + MAX(0, VERI_TABANI!D27*C480-MAX(0, VERI_TABANI!D27-VERI_TABANI!D27*B480))*VERI_TABANI!$B$8) + IF(ABS(IF(ISNUMBER(SEARCH("Var", D480)), 1, IF(ISNUMBER(SEARCH("Gri", D480)), -1, 0)))=1, VERI_TABANI!E27*(1-0.928)*VERI_TABANI!$B$9, 0) + (VERI_TABANI!D27*B480*(VERI_TABANI!$B$13-VERI_TABANI!$B$14)*VERI_TABANI!G27) + (VERI_TABANI!D27*C480*(VERI_TABANI!$B$13-VERI_TABANI!$B$15)*VERI_TABANI!G27) + IF(ABS(IF(ISNUMBER(SEARCH("Var", D480)), 1, IF(ISNUMBER(SEARCH("Gri", D480)), -1, 0)))=1, VERI_TABANI!E27*(1-0.928)*0.00206091519919798*VERI_TABANI!G27, 0)) + ((MIN(VERI_TABANI!D28, VERI_TABANI!D28*B480)*VERI_TABANI!$B$7 + MAX(0, VERI_TABANI!D28*B480-VERI_TABANI!D28)*VERI_TABANI!$B$8) + (MIN(MAX(0, VERI_TABANI!D28-VERI_TABANI!D28*B480), VERI_TABANI!D28*C480)*VERI_TABANI!$B$7 + MAX(0, VERI_TABANI!D28*C480-MAX(0, VERI_TABANI!D28-VERI_TABANI!D28*B480))*VERI_TABANI!$B$8) + IF(ABS(IF(ISNUMBER(SEARCH("Var", D480)), 1, IF(ISNUMBER(SEARCH("Gri", D480)), -1, 0)))=1, VERI_TABANI!E28*(1-0.928)*VERI_TABANI!$B$9, 0) + (VERI_TABANI!D28*B480*(VERI_TABANI!$B$13-VERI_TABANI!$B$14)*VERI_TABANI!G28) + (VERI_TABANI!D28*C480*(VERI_TABANI!$B$13-VERI_TABANI!$B$15)*VERI_TABANI!G28) + IF(ABS(IF(ISNUMBER(SEARCH("Var", D480)), 1, IF(ISNUMBER(SEARCH("Gri", D480)), -1, 0)))=1, VERI_TABANI!E28*(1-0.928)*0.00206091519919798*VERI_TABANI!G28, 0)))</f>
        <v/>
      </c>
      <c r="H480" s="169">
        <f>(((VERI_TABANI!D23*B480*(VERI_TABANI!$B$13-VERI_TABANI!$B$14)) + (VERI_TABANI!D23*C480*(VERI_TABANI!$B$13-VERI_TABANI!$B$15)) + IF(ISNUMBER(SEARCH("Var", D480)), VERI_TABANI!F23*(0.00202-VERI_TABANI!$B$16), IF(ISNUMBER(SEARCH("Gri", D480)), VERI_TABANI!F23*(0.00202-VERI_TABANI!$B$17), 0))) + ((VERI_TABANI!D24*B480*(VERI_TABANI!$B$13-VERI_TABANI!$B$14)) + (VERI_TABANI!D24*C480*(VERI_TABANI!$B$13-VERI_TABANI!$B$15)) + IF(ISNUMBER(SEARCH("Var", D480)), VERI_TABANI!F24*(0.00202-VERI_TABANI!$B$16), IF(ISNUMBER(SEARCH("Gri", D480)), VERI_TABANI!F24*(0.00202-VERI_TABANI!$B$17), 0))) + ((VERI_TABANI!D25*B480*(VERI_TABANI!$B$13-VERI_TABANI!$B$14)) + (VERI_TABANI!D25*C480*(VERI_TABANI!$B$13-VERI_TABANI!$B$15)) + IF(ISNUMBER(SEARCH("Var", D480)), VERI_TABANI!F25*(0.00202-VERI_TABANI!$B$16), IF(ISNUMBER(SEARCH("Gri", D480)), VERI_TABANI!F25*(0.00202-VERI_TABANI!$B$17), 0))) + ((VERI_TABANI!D26*B480*(VERI_TABANI!$B$13-VERI_TABANI!$B$14)) + (VERI_TABANI!D26*C480*(VERI_TABANI!$B$13-VERI_TABANI!$B$15)) + IF(ISNUMBER(SEARCH("Var", D480)), VERI_TABANI!F26*(0.00202-VERI_TABANI!$B$16), IF(ISNUMBER(SEARCH("Gri", D480)), VERI_TABANI!F26*(0.00202-VERI_TABANI!$B$17), 0))) + ((VERI_TABANI!D27*B480*(VERI_TABANI!$B$13-VERI_TABANI!$B$14)) + (VERI_TABANI!D27*C480*(VERI_TABANI!$B$13-VERI_TABANI!$B$15)) + IF(ISNUMBER(SEARCH("Var", D480)), VERI_TABANI!F27*(0.00202-VERI_TABANI!$B$16), IF(ISNUMBER(SEARCH("Gri", D480)), VERI_TABANI!F27*(0.00202-VERI_TABANI!$B$17), 0))) + ((VERI_TABANI!D28*B480*(VERI_TABANI!$B$13-VERI_TABANI!$B$14)) + (VERI_TABANI!D28*C480*(VERI_TABANI!$B$13-VERI_TABANI!$B$15)) + IF(ISNUMBER(SEARCH("Var", D480)), VERI_TABANI!F28*(0.00202-VERI_TABANI!$B$16), IF(ISNUMBER(SEARCH("Gri", D480)), VERI_TABANI!F28*(0.00202-VERI_TABANI!$B$17), 0))))</f>
        <v/>
      </c>
      <c r="I480" s="170">
        <f>IFERROR(((VERI_TABANI!$D$29*B480*VERI_TABANI!$B$14 + VERI_TABANI!$D$29*C480*VERI_TABANI!$B$15 + IF(ISNUMBER(SEARCH("Var", D480)), VERI_TABANI!$F$29*VERI_TABANI!$B$16, 0))) / (((VERI_TABANI!$D$29*B480 + VERI_TABANI!$D$29*C480)*VERI_TABANI!$B$13 + IF(ISNUMBER(SEARCH("Var", D480)), VERI_TABANI!$E$29*(1-0.928)*VERI_TABANI!$B$18, 0))), 0)</f>
        <v/>
      </c>
      <c r="J480" s="171">
        <f>IFERROR(F480/(G480/29), 0)</f>
        <v/>
      </c>
      <c r="K480" s="172">
        <f>IF(F480&gt;0, H480/F480, 0)</f>
        <v/>
      </c>
      <c r="L480" s="170">
        <f>IF(F480&gt;0, I480, 1000000000)</f>
        <v/>
      </c>
      <c r="M480" s="171">
        <f>ABS((B480+C480)-1)</f>
        <v/>
      </c>
      <c r="N480" s="170">
        <f>IF(F480&gt;0, (G480/29)/F480, 0)</f>
        <v/>
      </c>
      <c r="O480" s="168">
        <f>IF(AND((B480+C480)&gt;=1, ISNUMBER(SEARCH("Var", D480))), F480, 1000000000)</f>
        <v/>
      </c>
      <c r="P480" s="172">
        <f>IF(F480&gt;0, SQRT((F480/MAX(F$5:F$886))^2 + (1 - H480/MAX(H$5:H$886))^2 + (J480/MAX(J$5:J$886))^2), 1000000000)</f>
        <v/>
      </c>
      <c r="Q480" s="166">
        <f>IF(AND(ABS(B480-0.5)&lt;0.01, ABS(C480-0.5)&lt;0.01, ISNUMBER(SEARCH("Var", D480))), 1, 0)</f>
        <v/>
      </c>
      <c r="R480" s="171">
        <f>IF(F480&gt;0, J480, 1000000000)</f>
        <v/>
      </c>
      <c r="S480" s="101">
        <f>IF(AND(F480&lt;=DASHBOARD!$B$11, H480&gt;=DASHBOARD!$B$13), G480, -1000000000000)</f>
        <v/>
      </c>
      <c r="T480" s="101">
        <f>IF(AND(F480&lt;=DASHBOARD!$B$11, H480&gt;=DASHBOARD!$B$13), R480, 1000000000000)</f>
        <v/>
      </c>
      <c r="U480" s="101">
        <f>IF(AND(F480&lt;=DASHBOARD!$B$11, H480&gt;=DASHBOARD!$B$13), N480, -1000000000000)</f>
        <v/>
      </c>
      <c r="V480" s="101">
        <f>IF(AND(F480&lt;=DASHBOARD!$B$11, H480&gt;=DASHBOARD!$B$13), H480, -1000000000000)</f>
        <v/>
      </c>
      <c r="W480" s="101">
        <f>IF(AND(F480&lt;=DASHBOARD!$B$11, H480&gt;=DASHBOARD!$B$13), K480, -1000000000000)</f>
        <v/>
      </c>
      <c r="X480" s="101">
        <f>IF(AND(F480&lt;=DASHBOARD!$B$11, H480&gt;=DASHBOARD!$B$13), M480, 1000000000000)</f>
        <v/>
      </c>
      <c r="Y480" s="101">
        <f>IF(AND(F480&lt;=DASHBOARD!$B$10, H480&gt;=DASHBOARD!$B$11), L480, 1000000000000)</f>
        <v/>
      </c>
      <c r="Z480" s="101">
        <f>IF(AND(F480&lt;=DASHBOARD!$B$10, H480&gt;=DASHBOARD!$B$11), O480, 1000000000000)</f>
        <v/>
      </c>
      <c r="AA480" s="101">
        <f>IF(AND(F480&lt;=DASHBOARD!$B$10, H480&gt;=DASHBOARD!$B$11), P480, 1000000000000)</f>
        <v/>
      </c>
      <c r="AB480" s="101">
        <f>IF(AND(F480&lt;=DASHBOARD!$B$10, H480&gt;=DASHBOARD!$B$11), Q480, -1000000000000)</f>
        <v/>
      </c>
    </row>
    <row r="481" ht="15" customHeight="1" s="102">
      <c r="A481" s="166" t="n">
        <v>477</v>
      </c>
      <c r="B481" s="167" t="n">
        <v>1.1</v>
      </c>
      <c r="C481" s="167" t="n">
        <v>0.7</v>
      </c>
      <c r="D481" s="110" t="inlineStr">
        <is>
          <t>Yok (%0)</t>
        </is>
      </c>
      <c r="E481" s="110">
        <f>IF((B481+C481)&lt;=1, "Tam Mahsuplaşma (≤%100)", "Kısmi Satış (&gt;%100)")</f>
        <v/>
      </c>
      <c r="F481" s="168">
        <f>((VERI_TABANI!$D$29*B481/VERI_TABANI!$B$29)/VERI_TABANI!$B$3)*VERI_TABANI!$B$5 + ((VERI_TABANI!$D$29*C481/VERI_TABANI!$B$29)/VERI_TABANI!$B$4)*VERI_TABANI!$B$6 + IF(ISNUMBER(SEARCH("Var", D481)), (VERI_TABANI!$F$29/VERI_TABANI!$B$29)*(VERI_TABANI!$B$10+VERI_TABANI!$B$12), 0)</f>
        <v/>
      </c>
      <c r="G481" s="168">
        <f>(((MIN(VERI_TABANI!D23, VERI_TABANI!D23*B481)*VERI_TABANI!$B$7 + MAX(0, VERI_TABANI!D23*B481-VERI_TABANI!D23)*VERI_TABANI!$B$8) + (MIN(MAX(0, VERI_TABANI!D23-VERI_TABANI!D23*B481), VERI_TABANI!D23*C481)*VERI_TABANI!$B$7 + MAX(0, VERI_TABANI!D23*C481-MAX(0, VERI_TABANI!D23-VERI_TABANI!D23*B481))*VERI_TABANI!$B$8) + IF(ABS(IF(ISNUMBER(SEARCH("Var", D481)), 1, IF(ISNUMBER(SEARCH("Gri", D481)), -1, 0)))=1, VERI_TABANI!E23*(1-0.928)*VERI_TABANI!$B$9, 0) + (VERI_TABANI!D23*B481*(VERI_TABANI!$B$13-VERI_TABANI!$B$14)*VERI_TABANI!G23) + (VERI_TABANI!D23*C481*(VERI_TABANI!$B$13-VERI_TABANI!$B$15)*VERI_TABANI!G23) + IF(ABS(IF(ISNUMBER(SEARCH("Var", D481)), 1, IF(ISNUMBER(SEARCH("Gri", D481)), -1, 0)))=1, VERI_TABANI!E23*(1-0.928)*0.00206091519919798*VERI_TABANI!G23, 0)) + ((MIN(VERI_TABANI!D24, VERI_TABANI!D24*B481)*VERI_TABANI!$B$7 + MAX(0, VERI_TABANI!D24*B481-VERI_TABANI!D24)*VERI_TABANI!$B$8) + (MIN(MAX(0, VERI_TABANI!D24-VERI_TABANI!D24*B481), VERI_TABANI!D24*C481)*VERI_TABANI!$B$7 + MAX(0, VERI_TABANI!D24*C481-MAX(0, VERI_TABANI!D24-VERI_TABANI!D24*B481))*VERI_TABANI!$B$8) + IF(ABS(IF(ISNUMBER(SEARCH("Var", D481)), 1, IF(ISNUMBER(SEARCH("Gri", D481)), -1, 0)))=1, VERI_TABANI!E24*(1-0.928)*VERI_TABANI!$B$9, 0) + (VERI_TABANI!D24*B481*(VERI_TABANI!$B$13-VERI_TABANI!$B$14)*VERI_TABANI!G24) + (VERI_TABANI!D24*C481*(VERI_TABANI!$B$13-VERI_TABANI!$B$15)*VERI_TABANI!G24) + IF(ABS(IF(ISNUMBER(SEARCH("Var", D481)), 1, IF(ISNUMBER(SEARCH("Gri", D481)), -1, 0)))=1, VERI_TABANI!E24*(1-0.928)*0.00206091519919798*VERI_TABANI!G24, 0)) + ((MIN(VERI_TABANI!D25, VERI_TABANI!D25*B481)*VERI_TABANI!$B$7 + MAX(0, VERI_TABANI!D25*B481-VERI_TABANI!D25)*VERI_TABANI!$B$8) + (MIN(MAX(0, VERI_TABANI!D25-VERI_TABANI!D25*B481), VERI_TABANI!D25*C481)*VERI_TABANI!$B$7 + MAX(0, VERI_TABANI!D25*C481-MAX(0, VERI_TABANI!D25-VERI_TABANI!D25*B481))*VERI_TABANI!$B$8) + IF(ABS(IF(ISNUMBER(SEARCH("Var", D481)), 1, IF(ISNUMBER(SEARCH("Gri", D481)), -1, 0)))=1, VERI_TABANI!E25*(1-0.928)*VERI_TABANI!$B$9, 0) + (VERI_TABANI!D25*B481*(VERI_TABANI!$B$13-VERI_TABANI!$B$14)*VERI_TABANI!G25) + (VERI_TABANI!D25*C481*(VERI_TABANI!$B$13-VERI_TABANI!$B$15)*VERI_TABANI!G25) + IF(ABS(IF(ISNUMBER(SEARCH("Var", D481)), 1, IF(ISNUMBER(SEARCH("Gri", D481)), -1, 0)))=1, VERI_TABANI!E25*(1-0.928)*0.00206091519919798*VERI_TABANI!G25, 0)) + ((MIN(VERI_TABANI!D26, VERI_TABANI!D26*B481)*VERI_TABANI!$B$7 + MAX(0, VERI_TABANI!D26*B481-VERI_TABANI!D26)*VERI_TABANI!$B$8) + (MIN(MAX(0, VERI_TABANI!D26-VERI_TABANI!D26*B481), VERI_TABANI!D26*C481)*VERI_TABANI!$B$7 + MAX(0, VERI_TABANI!D26*C481-MAX(0, VERI_TABANI!D26-VERI_TABANI!D26*B481))*VERI_TABANI!$B$8) + IF(ABS(IF(ISNUMBER(SEARCH("Var", D481)), 1, IF(ISNUMBER(SEARCH("Gri", D481)), -1, 0)))=1, VERI_TABANI!E26*(1-0.928)*VERI_TABANI!$B$9, 0) + (VERI_TABANI!D26*B481*(VERI_TABANI!$B$13-VERI_TABANI!$B$14)*VERI_TABANI!G26) + (VERI_TABANI!D26*C481*(VERI_TABANI!$B$13-VERI_TABANI!$B$15)*VERI_TABANI!G26) + IF(ABS(IF(ISNUMBER(SEARCH("Var", D481)), 1, IF(ISNUMBER(SEARCH("Gri", D481)), -1, 0)))=1, VERI_TABANI!E26*(1-0.928)*0.00206091519919798*VERI_TABANI!G26, 0)) + ((MIN(VERI_TABANI!D27, VERI_TABANI!D27*B481)*VERI_TABANI!$B$7 + MAX(0, VERI_TABANI!D27*B481-VERI_TABANI!D27)*VERI_TABANI!$B$8) + (MIN(MAX(0, VERI_TABANI!D27-VERI_TABANI!D27*B481), VERI_TABANI!D27*C481)*VERI_TABANI!$B$7 + MAX(0, VERI_TABANI!D27*C481-MAX(0, VERI_TABANI!D27-VERI_TABANI!D27*B481))*VERI_TABANI!$B$8) + IF(ABS(IF(ISNUMBER(SEARCH("Var", D481)), 1, IF(ISNUMBER(SEARCH("Gri", D481)), -1, 0)))=1, VERI_TABANI!E27*(1-0.928)*VERI_TABANI!$B$9, 0) + (VERI_TABANI!D27*B481*(VERI_TABANI!$B$13-VERI_TABANI!$B$14)*VERI_TABANI!G27) + (VERI_TABANI!D27*C481*(VERI_TABANI!$B$13-VERI_TABANI!$B$15)*VERI_TABANI!G27) + IF(ABS(IF(ISNUMBER(SEARCH("Var", D481)), 1, IF(ISNUMBER(SEARCH("Gri", D481)), -1, 0)))=1, VERI_TABANI!E27*(1-0.928)*0.00206091519919798*VERI_TABANI!G27, 0)) + ((MIN(VERI_TABANI!D28, VERI_TABANI!D28*B481)*VERI_TABANI!$B$7 + MAX(0, VERI_TABANI!D28*B481-VERI_TABANI!D28)*VERI_TABANI!$B$8) + (MIN(MAX(0, VERI_TABANI!D28-VERI_TABANI!D28*B481), VERI_TABANI!D28*C481)*VERI_TABANI!$B$7 + MAX(0, VERI_TABANI!D28*C481-MAX(0, VERI_TABANI!D28-VERI_TABANI!D28*B481))*VERI_TABANI!$B$8) + IF(ABS(IF(ISNUMBER(SEARCH("Var", D481)), 1, IF(ISNUMBER(SEARCH("Gri", D481)), -1, 0)))=1, VERI_TABANI!E28*(1-0.928)*VERI_TABANI!$B$9, 0) + (VERI_TABANI!D28*B481*(VERI_TABANI!$B$13-VERI_TABANI!$B$14)*VERI_TABANI!G28) + (VERI_TABANI!D28*C481*(VERI_TABANI!$B$13-VERI_TABANI!$B$15)*VERI_TABANI!G28) + IF(ABS(IF(ISNUMBER(SEARCH("Var", D481)), 1, IF(ISNUMBER(SEARCH("Gri", D481)), -1, 0)))=1, VERI_TABANI!E28*(1-0.928)*0.00206091519919798*VERI_TABANI!G28, 0)))</f>
        <v/>
      </c>
      <c r="H481" s="169">
        <f>(((VERI_TABANI!D23*B481*(VERI_TABANI!$B$13-VERI_TABANI!$B$14)) + (VERI_TABANI!D23*C481*(VERI_TABANI!$B$13-VERI_TABANI!$B$15)) + IF(ISNUMBER(SEARCH("Var", D481)), VERI_TABANI!F23*(0.00202-VERI_TABANI!$B$16), IF(ISNUMBER(SEARCH("Gri", D481)), VERI_TABANI!F23*(0.00202-VERI_TABANI!$B$17), 0))) + ((VERI_TABANI!D24*B481*(VERI_TABANI!$B$13-VERI_TABANI!$B$14)) + (VERI_TABANI!D24*C481*(VERI_TABANI!$B$13-VERI_TABANI!$B$15)) + IF(ISNUMBER(SEARCH("Var", D481)), VERI_TABANI!F24*(0.00202-VERI_TABANI!$B$16), IF(ISNUMBER(SEARCH("Gri", D481)), VERI_TABANI!F24*(0.00202-VERI_TABANI!$B$17), 0))) + ((VERI_TABANI!D25*B481*(VERI_TABANI!$B$13-VERI_TABANI!$B$14)) + (VERI_TABANI!D25*C481*(VERI_TABANI!$B$13-VERI_TABANI!$B$15)) + IF(ISNUMBER(SEARCH("Var", D481)), VERI_TABANI!F25*(0.00202-VERI_TABANI!$B$16), IF(ISNUMBER(SEARCH("Gri", D481)), VERI_TABANI!F25*(0.00202-VERI_TABANI!$B$17), 0))) + ((VERI_TABANI!D26*B481*(VERI_TABANI!$B$13-VERI_TABANI!$B$14)) + (VERI_TABANI!D26*C481*(VERI_TABANI!$B$13-VERI_TABANI!$B$15)) + IF(ISNUMBER(SEARCH("Var", D481)), VERI_TABANI!F26*(0.00202-VERI_TABANI!$B$16), IF(ISNUMBER(SEARCH("Gri", D481)), VERI_TABANI!F26*(0.00202-VERI_TABANI!$B$17), 0))) + ((VERI_TABANI!D27*B481*(VERI_TABANI!$B$13-VERI_TABANI!$B$14)) + (VERI_TABANI!D27*C481*(VERI_TABANI!$B$13-VERI_TABANI!$B$15)) + IF(ISNUMBER(SEARCH("Var", D481)), VERI_TABANI!F27*(0.00202-VERI_TABANI!$B$16), IF(ISNUMBER(SEARCH("Gri", D481)), VERI_TABANI!F27*(0.00202-VERI_TABANI!$B$17), 0))) + ((VERI_TABANI!D28*B481*(VERI_TABANI!$B$13-VERI_TABANI!$B$14)) + (VERI_TABANI!D28*C481*(VERI_TABANI!$B$13-VERI_TABANI!$B$15)) + IF(ISNUMBER(SEARCH("Var", D481)), VERI_TABANI!F28*(0.00202-VERI_TABANI!$B$16), IF(ISNUMBER(SEARCH("Gri", D481)), VERI_TABANI!F28*(0.00202-VERI_TABANI!$B$17), 0))))</f>
        <v/>
      </c>
      <c r="I481" s="170">
        <f>IFERROR(((VERI_TABANI!$D$29*B481*VERI_TABANI!$B$14 + VERI_TABANI!$D$29*C481*VERI_TABANI!$B$15 + IF(ISNUMBER(SEARCH("Var", D481)), VERI_TABANI!$F$29*VERI_TABANI!$B$16, 0))) / (((VERI_TABANI!$D$29*B481 + VERI_TABANI!$D$29*C481)*VERI_TABANI!$B$13 + IF(ISNUMBER(SEARCH("Var", D481)), VERI_TABANI!$E$29*(1-0.928)*VERI_TABANI!$B$18, 0))), 0)</f>
        <v/>
      </c>
      <c r="J481" s="171">
        <f>IFERROR(F481/(G481/29), 0)</f>
        <v/>
      </c>
      <c r="K481" s="172">
        <f>IF(F481&gt;0, H481/F481, 0)</f>
        <v/>
      </c>
      <c r="L481" s="170">
        <f>IF(F481&gt;0, I481, 1000000000)</f>
        <v/>
      </c>
      <c r="M481" s="171">
        <f>ABS((B481+C481)-1)</f>
        <v/>
      </c>
      <c r="N481" s="170">
        <f>IF(F481&gt;0, (G481/29)/F481, 0)</f>
        <v/>
      </c>
      <c r="O481" s="168">
        <f>IF(AND((B481+C481)&gt;=1, ISNUMBER(SEARCH("Var", D481))), F481, 1000000000)</f>
        <v/>
      </c>
      <c r="P481" s="172">
        <f>IF(F481&gt;0, SQRT((F481/MAX(F$5:F$886))^2 + (1 - H481/MAX(H$5:H$886))^2 + (J481/MAX(J$5:J$886))^2), 1000000000)</f>
        <v/>
      </c>
      <c r="Q481" s="166">
        <f>IF(AND(ABS(B481-0.5)&lt;0.01, ABS(C481-0.5)&lt;0.01, ISNUMBER(SEARCH("Var", D481))), 1, 0)</f>
        <v/>
      </c>
      <c r="R481" s="171">
        <f>IF(F481&gt;0, J481, 1000000000)</f>
        <v/>
      </c>
      <c r="S481" s="101">
        <f>IF(AND(F481&lt;=DASHBOARD!$B$11, H481&gt;=DASHBOARD!$B$13), G481, -1000000000000)</f>
        <v/>
      </c>
      <c r="T481" s="101">
        <f>IF(AND(F481&lt;=DASHBOARD!$B$11, H481&gt;=DASHBOARD!$B$13), R481, 1000000000000)</f>
        <v/>
      </c>
      <c r="U481" s="101">
        <f>IF(AND(F481&lt;=DASHBOARD!$B$11, H481&gt;=DASHBOARD!$B$13), N481, -1000000000000)</f>
        <v/>
      </c>
      <c r="V481" s="101">
        <f>IF(AND(F481&lt;=DASHBOARD!$B$11, H481&gt;=DASHBOARD!$B$13), H481, -1000000000000)</f>
        <v/>
      </c>
      <c r="W481" s="101">
        <f>IF(AND(F481&lt;=DASHBOARD!$B$11, H481&gt;=DASHBOARD!$B$13), K481, -1000000000000)</f>
        <v/>
      </c>
      <c r="X481" s="101">
        <f>IF(AND(F481&lt;=DASHBOARD!$B$11, H481&gt;=DASHBOARD!$B$13), M481, 1000000000000)</f>
        <v/>
      </c>
      <c r="Y481" s="101">
        <f>IF(AND(F481&lt;=DASHBOARD!$B$10, H481&gt;=DASHBOARD!$B$11), L481, 1000000000000)</f>
        <v/>
      </c>
      <c r="Z481" s="101">
        <f>IF(AND(F481&lt;=DASHBOARD!$B$10, H481&gt;=DASHBOARD!$B$11), O481, 1000000000000)</f>
        <v/>
      </c>
      <c r="AA481" s="101">
        <f>IF(AND(F481&lt;=DASHBOARD!$B$10, H481&gt;=DASHBOARD!$B$11), P481, 1000000000000)</f>
        <v/>
      </c>
      <c r="AB481" s="101">
        <f>IF(AND(F481&lt;=DASHBOARD!$B$10, H481&gt;=DASHBOARD!$B$11), Q481, -1000000000000)</f>
        <v/>
      </c>
    </row>
    <row r="482" ht="15" customHeight="1" s="102">
      <c r="A482" s="166" t="n">
        <v>478</v>
      </c>
      <c r="B482" s="167" t="n">
        <v>1.1</v>
      </c>
      <c r="C482" s="167" t="n">
        <v>0.7</v>
      </c>
      <c r="D482" s="110" t="inlineStr">
        <is>
          <t>Var (%20)</t>
        </is>
      </c>
      <c r="E482" s="110">
        <f>IF((B482+C482)&lt;=1, "Tam Mahsuplaşma (≤%100)", "Kısmi Satış (&gt;%100)")</f>
        <v/>
      </c>
      <c r="F482" s="168">
        <f>((VERI_TABANI!$D$29*B482/VERI_TABANI!$B$29)/VERI_TABANI!$B$3)*VERI_TABANI!$B$5 + ((VERI_TABANI!$D$29*C482/VERI_TABANI!$B$29)/VERI_TABANI!$B$4)*VERI_TABANI!$B$6 + IF(ISNUMBER(SEARCH("Var", D482)), (VERI_TABANI!$F$29/VERI_TABANI!$B$29)*(VERI_TABANI!$B$10+VERI_TABANI!$B$12), 0)</f>
        <v/>
      </c>
      <c r="G482" s="168">
        <f>(((MIN(VERI_TABANI!D23, VERI_TABANI!D23*B482)*VERI_TABANI!$B$7 + MAX(0, VERI_TABANI!D23*B482-VERI_TABANI!D23)*VERI_TABANI!$B$8) + (MIN(MAX(0, VERI_TABANI!D23-VERI_TABANI!D23*B482), VERI_TABANI!D23*C482)*VERI_TABANI!$B$7 + MAX(0, VERI_TABANI!D23*C482-MAX(0, VERI_TABANI!D23-VERI_TABANI!D23*B482))*VERI_TABANI!$B$8) + IF(ABS(IF(ISNUMBER(SEARCH("Var", D482)), 1, IF(ISNUMBER(SEARCH("Gri", D482)), -1, 0)))=1, VERI_TABANI!E23*(1-0.928)*VERI_TABANI!$B$9, 0) + (VERI_TABANI!D23*B482*(VERI_TABANI!$B$13-VERI_TABANI!$B$14)*VERI_TABANI!G23) + (VERI_TABANI!D23*C482*(VERI_TABANI!$B$13-VERI_TABANI!$B$15)*VERI_TABANI!G23) + IF(ABS(IF(ISNUMBER(SEARCH("Var", D482)), 1, IF(ISNUMBER(SEARCH("Gri", D482)), -1, 0)))=1, VERI_TABANI!E23*(1-0.928)*0.00206091519919798*VERI_TABANI!G23, 0)) + ((MIN(VERI_TABANI!D24, VERI_TABANI!D24*B482)*VERI_TABANI!$B$7 + MAX(0, VERI_TABANI!D24*B482-VERI_TABANI!D24)*VERI_TABANI!$B$8) + (MIN(MAX(0, VERI_TABANI!D24-VERI_TABANI!D24*B482), VERI_TABANI!D24*C482)*VERI_TABANI!$B$7 + MAX(0, VERI_TABANI!D24*C482-MAX(0, VERI_TABANI!D24-VERI_TABANI!D24*B482))*VERI_TABANI!$B$8) + IF(ABS(IF(ISNUMBER(SEARCH("Var", D482)), 1, IF(ISNUMBER(SEARCH("Gri", D482)), -1, 0)))=1, VERI_TABANI!E24*(1-0.928)*VERI_TABANI!$B$9, 0) + (VERI_TABANI!D24*B482*(VERI_TABANI!$B$13-VERI_TABANI!$B$14)*VERI_TABANI!G24) + (VERI_TABANI!D24*C482*(VERI_TABANI!$B$13-VERI_TABANI!$B$15)*VERI_TABANI!G24) + IF(ABS(IF(ISNUMBER(SEARCH("Var", D482)), 1, IF(ISNUMBER(SEARCH("Gri", D482)), -1, 0)))=1, VERI_TABANI!E24*(1-0.928)*0.00206091519919798*VERI_TABANI!G24, 0)) + ((MIN(VERI_TABANI!D25, VERI_TABANI!D25*B482)*VERI_TABANI!$B$7 + MAX(0, VERI_TABANI!D25*B482-VERI_TABANI!D25)*VERI_TABANI!$B$8) + (MIN(MAX(0, VERI_TABANI!D25-VERI_TABANI!D25*B482), VERI_TABANI!D25*C482)*VERI_TABANI!$B$7 + MAX(0, VERI_TABANI!D25*C482-MAX(0, VERI_TABANI!D25-VERI_TABANI!D25*B482))*VERI_TABANI!$B$8) + IF(ABS(IF(ISNUMBER(SEARCH("Var", D482)), 1, IF(ISNUMBER(SEARCH("Gri", D482)), -1, 0)))=1, VERI_TABANI!E25*(1-0.928)*VERI_TABANI!$B$9, 0) + (VERI_TABANI!D25*B482*(VERI_TABANI!$B$13-VERI_TABANI!$B$14)*VERI_TABANI!G25) + (VERI_TABANI!D25*C482*(VERI_TABANI!$B$13-VERI_TABANI!$B$15)*VERI_TABANI!G25) + IF(ABS(IF(ISNUMBER(SEARCH("Var", D482)), 1, IF(ISNUMBER(SEARCH("Gri", D482)), -1, 0)))=1, VERI_TABANI!E25*(1-0.928)*0.00206091519919798*VERI_TABANI!G25, 0)) + ((MIN(VERI_TABANI!D26, VERI_TABANI!D26*B482)*VERI_TABANI!$B$7 + MAX(0, VERI_TABANI!D26*B482-VERI_TABANI!D26)*VERI_TABANI!$B$8) + (MIN(MAX(0, VERI_TABANI!D26-VERI_TABANI!D26*B482), VERI_TABANI!D26*C482)*VERI_TABANI!$B$7 + MAX(0, VERI_TABANI!D26*C482-MAX(0, VERI_TABANI!D26-VERI_TABANI!D26*B482))*VERI_TABANI!$B$8) + IF(ABS(IF(ISNUMBER(SEARCH("Var", D482)), 1, IF(ISNUMBER(SEARCH("Gri", D482)), -1, 0)))=1, VERI_TABANI!E26*(1-0.928)*VERI_TABANI!$B$9, 0) + (VERI_TABANI!D26*B482*(VERI_TABANI!$B$13-VERI_TABANI!$B$14)*VERI_TABANI!G26) + (VERI_TABANI!D26*C482*(VERI_TABANI!$B$13-VERI_TABANI!$B$15)*VERI_TABANI!G26) + IF(ABS(IF(ISNUMBER(SEARCH("Var", D482)), 1, IF(ISNUMBER(SEARCH("Gri", D482)), -1, 0)))=1, VERI_TABANI!E26*(1-0.928)*0.00206091519919798*VERI_TABANI!G26, 0)) + ((MIN(VERI_TABANI!D27, VERI_TABANI!D27*B482)*VERI_TABANI!$B$7 + MAX(0, VERI_TABANI!D27*B482-VERI_TABANI!D27)*VERI_TABANI!$B$8) + (MIN(MAX(0, VERI_TABANI!D27-VERI_TABANI!D27*B482), VERI_TABANI!D27*C482)*VERI_TABANI!$B$7 + MAX(0, VERI_TABANI!D27*C482-MAX(0, VERI_TABANI!D27-VERI_TABANI!D27*B482))*VERI_TABANI!$B$8) + IF(ABS(IF(ISNUMBER(SEARCH("Var", D482)), 1, IF(ISNUMBER(SEARCH("Gri", D482)), -1, 0)))=1, VERI_TABANI!E27*(1-0.928)*VERI_TABANI!$B$9, 0) + (VERI_TABANI!D27*B482*(VERI_TABANI!$B$13-VERI_TABANI!$B$14)*VERI_TABANI!G27) + (VERI_TABANI!D27*C482*(VERI_TABANI!$B$13-VERI_TABANI!$B$15)*VERI_TABANI!G27) + IF(ABS(IF(ISNUMBER(SEARCH("Var", D482)), 1, IF(ISNUMBER(SEARCH("Gri", D482)), -1, 0)))=1, VERI_TABANI!E27*(1-0.928)*0.00206091519919798*VERI_TABANI!G27, 0)) + ((MIN(VERI_TABANI!D28, VERI_TABANI!D28*B482)*VERI_TABANI!$B$7 + MAX(0, VERI_TABANI!D28*B482-VERI_TABANI!D28)*VERI_TABANI!$B$8) + (MIN(MAX(0, VERI_TABANI!D28-VERI_TABANI!D28*B482), VERI_TABANI!D28*C482)*VERI_TABANI!$B$7 + MAX(0, VERI_TABANI!D28*C482-MAX(0, VERI_TABANI!D28-VERI_TABANI!D28*B482))*VERI_TABANI!$B$8) + IF(ABS(IF(ISNUMBER(SEARCH("Var", D482)), 1, IF(ISNUMBER(SEARCH("Gri", D482)), -1, 0)))=1, VERI_TABANI!E28*(1-0.928)*VERI_TABANI!$B$9, 0) + (VERI_TABANI!D28*B482*(VERI_TABANI!$B$13-VERI_TABANI!$B$14)*VERI_TABANI!G28) + (VERI_TABANI!D28*C482*(VERI_TABANI!$B$13-VERI_TABANI!$B$15)*VERI_TABANI!G28) + IF(ABS(IF(ISNUMBER(SEARCH("Var", D482)), 1, IF(ISNUMBER(SEARCH("Gri", D482)), -1, 0)))=1, VERI_TABANI!E28*(1-0.928)*0.00206091519919798*VERI_TABANI!G28, 0)))</f>
        <v/>
      </c>
      <c r="H482" s="169">
        <f>(((VERI_TABANI!D23*B482*(VERI_TABANI!$B$13-VERI_TABANI!$B$14)) + (VERI_TABANI!D23*C482*(VERI_TABANI!$B$13-VERI_TABANI!$B$15)) + IF(ISNUMBER(SEARCH("Var", D482)), VERI_TABANI!F23*(0.00202-VERI_TABANI!$B$16), IF(ISNUMBER(SEARCH("Gri", D482)), VERI_TABANI!F23*(0.00202-VERI_TABANI!$B$17), 0))) + ((VERI_TABANI!D24*B482*(VERI_TABANI!$B$13-VERI_TABANI!$B$14)) + (VERI_TABANI!D24*C482*(VERI_TABANI!$B$13-VERI_TABANI!$B$15)) + IF(ISNUMBER(SEARCH("Var", D482)), VERI_TABANI!F24*(0.00202-VERI_TABANI!$B$16), IF(ISNUMBER(SEARCH("Gri", D482)), VERI_TABANI!F24*(0.00202-VERI_TABANI!$B$17), 0))) + ((VERI_TABANI!D25*B482*(VERI_TABANI!$B$13-VERI_TABANI!$B$14)) + (VERI_TABANI!D25*C482*(VERI_TABANI!$B$13-VERI_TABANI!$B$15)) + IF(ISNUMBER(SEARCH("Var", D482)), VERI_TABANI!F25*(0.00202-VERI_TABANI!$B$16), IF(ISNUMBER(SEARCH("Gri", D482)), VERI_TABANI!F25*(0.00202-VERI_TABANI!$B$17), 0))) + ((VERI_TABANI!D26*B482*(VERI_TABANI!$B$13-VERI_TABANI!$B$14)) + (VERI_TABANI!D26*C482*(VERI_TABANI!$B$13-VERI_TABANI!$B$15)) + IF(ISNUMBER(SEARCH("Var", D482)), VERI_TABANI!F26*(0.00202-VERI_TABANI!$B$16), IF(ISNUMBER(SEARCH("Gri", D482)), VERI_TABANI!F26*(0.00202-VERI_TABANI!$B$17), 0))) + ((VERI_TABANI!D27*B482*(VERI_TABANI!$B$13-VERI_TABANI!$B$14)) + (VERI_TABANI!D27*C482*(VERI_TABANI!$B$13-VERI_TABANI!$B$15)) + IF(ISNUMBER(SEARCH("Var", D482)), VERI_TABANI!F27*(0.00202-VERI_TABANI!$B$16), IF(ISNUMBER(SEARCH("Gri", D482)), VERI_TABANI!F27*(0.00202-VERI_TABANI!$B$17), 0))) + ((VERI_TABANI!D28*B482*(VERI_TABANI!$B$13-VERI_TABANI!$B$14)) + (VERI_TABANI!D28*C482*(VERI_TABANI!$B$13-VERI_TABANI!$B$15)) + IF(ISNUMBER(SEARCH("Var", D482)), VERI_TABANI!F28*(0.00202-VERI_TABANI!$B$16), IF(ISNUMBER(SEARCH("Gri", D482)), VERI_TABANI!F28*(0.00202-VERI_TABANI!$B$17), 0))))</f>
        <v/>
      </c>
      <c r="I482" s="170">
        <f>IFERROR(((VERI_TABANI!$D$29*B482*VERI_TABANI!$B$14 + VERI_TABANI!$D$29*C482*VERI_TABANI!$B$15 + IF(ISNUMBER(SEARCH("Var", D482)), VERI_TABANI!$F$29*VERI_TABANI!$B$16, 0))) / (((VERI_TABANI!$D$29*B482 + VERI_TABANI!$D$29*C482)*VERI_TABANI!$B$13 + IF(ISNUMBER(SEARCH("Var", D482)), VERI_TABANI!$E$29*(1-0.928)*VERI_TABANI!$B$18, 0))), 0)</f>
        <v/>
      </c>
      <c r="J482" s="171">
        <f>IFERROR(F482/(G482/29), 0)</f>
        <v/>
      </c>
      <c r="K482" s="172">
        <f>IF(F482&gt;0, H482/F482, 0)</f>
        <v/>
      </c>
      <c r="L482" s="170">
        <f>IF(F482&gt;0, I482, 1000000000)</f>
        <v/>
      </c>
      <c r="M482" s="171">
        <f>ABS((B482+C482)-1)</f>
        <v/>
      </c>
      <c r="N482" s="170">
        <f>IF(F482&gt;0, (G482/29)/F482, 0)</f>
        <v/>
      </c>
      <c r="O482" s="168">
        <f>IF(AND((B482+C482)&gt;=1, ISNUMBER(SEARCH("Var", D482))), F482, 1000000000)</f>
        <v/>
      </c>
      <c r="P482" s="172">
        <f>IF(F482&gt;0, SQRT((F482/MAX(F$5:F$886))^2 + (1 - H482/MAX(H$5:H$886))^2 + (J482/MAX(J$5:J$886))^2), 1000000000)</f>
        <v/>
      </c>
      <c r="Q482" s="166">
        <f>IF(AND(ABS(B482-0.5)&lt;0.01, ABS(C482-0.5)&lt;0.01, ISNUMBER(SEARCH("Var", D482))), 1, 0)</f>
        <v/>
      </c>
      <c r="R482" s="171">
        <f>IF(F482&gt;0, J482, 1000000000)</f>
        <v/>
      </c>
      <c r="S482" s="101">
        <f>IF(AND(F482&lt;=DASHBOARD!$B$11, H482&gt;=DASHBOARD!$B$13), G482, -1000000000000)</f>
        <v/>
      </c>
      <c r="T482" s="101">
        <f>IF(AND(F482&lt;=DASHBOARD!$B$11, H482&gt;=DASHBOARD!$B$13), R482, 1000000000000)</f>
        <v/>
      </c>
      <c r="U482" s="101">
        <f>IF(AND(F482&lt;=DASHBOARD!$B$11, H482&gt;=DASHBOARD!$B$13), N482, -1000000000000)</f>
        <v/>
      </c>
      <c r="V482" s="101">
        <f>IF(AND(F482&lt;=DASHBOARD!$B$11, H482&gt;=DASHBOARD!$B$13), H482, -1000000000000)</f>
        <v/>
      </c>
      <c r="W482" s="101">
        <f>IF(AND(F482&lt;=DASHBOARD!$B$11, H482&gt;=DASHBOARD!$B$13), K482, -1000000000000)</f>
        <v/>
      </c>
      <c r="X482" s="101">
        <f>IF(AND(F482&lt;=DASHBOARD!$B$11, H482&gt;=DASHBOARD!$B$13), M482, 1000000000000)</f>
        <v/>
      </c>
      <c r="Y482" s="101">
        <f>IF(AND(F482&lt;=DASHBOARD!$B$10, H482&gt;=DASHBOARD!$B$11), L482, 1000000000000)</f>
        <v/>
      </c>
      <c r="Z482" s="101">
        <f>IF(AND(F482&lt;=DASHBOARD!$B$10, H482&gt;=DASHBOARD!$B$11), O482, 1000000000000)</f>
        <v/>
      </c>
      <c r="AA482" s="101">
        <f>IF(AND(F482&lt;=DASHBOARD!$B$10, H482&gt;=DASHBOARD!$B$11), P482, 1000000000000)</f>
        <v/>
      </c>
      <c r="AB482" s="101">
        <f>IF(AND(F482&lt;=DASHBOARD!$B$10, H482&gt;=DASHBOARD!$B$11), Q482, -1000000000000)</f>
        <v/>
      </c>
    </row>
    <row r="483" ht="15" customHeight="1" s="102">
      <c r="A483" s="166" t="n">
        <v>479</v>
      </c>
      <c r="B483" s="167" t="n">
        <v>1.1</v>
      </c>
      <c r="C483" s="167" t="n">
        <v>0.8</v>
      </c>
      <c r="D483" s="110" t="inlineStr">
        <is>
          <t>Yok (%0)</t>
        </is>
      </c>
      <c r="E483" s="110">
        <f>IF((B483+C483)&lt;=1, "Tam Mahsuplaşma (≤%100)", "Kısmi Satış (&gt;%100)")</f>
        <v/>
      </c>
      <c r="F483" s="168">
        <f>((VERI_TABANI!$D$29*B483/VERI_TABANI!$B$29)/VERI_TABANI!$B$3)*VERI_TABANI!$B$5 + ((VERI_TABANI!$D$29*C483/VERI_TABANI!$B$29)/VERI_TABANI!$B$4)*VERI_TABANI!$B$6 + IF(ISNUMBER(SEARCH("Var", D483)), (VERI_TABANI!$F$29/VERI_TABANI!$B$29)*(VERI_TABANI!$B$10+VERI_TABANI!$B$12), 0)</f>
        <v/>
      </c>
      <c r="G483" s="168">
        <f>(((MIN(VERI_TABANI!D23, VERI_TABANI!D23*B483)*VERI_TABANI!$B$7 + MAX(0, VERI_TABANI!D23*B483-VERI_TABANI!D23)*VERI_TABANI!$B$8) + (MIN(MAX(0, VERI_TABANI!D23-VERI_TABANI!D23*B483), VERI_TABANI!D23*C483)*VERI_TABANI!$B$7 + MAX(0, VERI_TABANI!D23*C483-MAX(0, VERI_TABANI!D23-VERI_TABANI!D23*B483))*VERI_TABANI!$B$8) + IF(ABS(IF(ISNUMBER(SEARCH("Var", D483)), 1, IF(ISNUMBER(SEARCH("Gri", D483)), -1, 0)))=1, VERI_TABANI!E23*(1-0.928)*VERI_TABANI!$B$9, 0) + (VERI_TABANI!D23*B483*(VERI_TABANI!$B$13-VERI_TABANI!$B$14)*VERI_TABANI!G23) + (VERI_TABANI!D23*C483*(VERI_TABANI!$B$13-VERI_TABANI!$B$15)*VERI_TABANI!G23) + IF(ABS(IF(ISNUMBER(SEARCH("Var", D483)), 1, IF(ISNUMBER(SEARCH("Gri", D483)), -1, 0)))=1, VERI_TABANI!E23*(1-0.928)*0.00206091519919798*VERI_TABANI!G23, 0)) + ((MIN(VERI_TABANI!D24, VERI_TABANI!D24*B483)*VERI_TABANI!$B$7 + MAX(0, VERI_TABANI!D24*B483-VERI_TABANI!D24)*VERI_TABANI!$B$8) + (MIN(MAX(0, VERI_TABANI!D24-VERI_TABANI!D24*B483), VERI_TABANI!D24*C483)*VERI_TABANI!$B$7 + MAX(0, VERI_TABANI!D24*C483-MAX(0, VERI_TABANI!D24-VERI_TABANI!D24*B483))*VERI_TABANI!$B$8) + IF(ABS(IF(ISNUMBER(SEARCH("Var", D483)), 1, IF(ISNUMBER(SEARCH("Gri", D483)), -1, 0)))=1, VERI_TABANI!E24*(1-0.928)*VERI_TABANI!$B$9, 0) + (VERI_TABANI!D24*B483*(VERI_TABANI!$B$13-VERI_TABANI!$B$14)*VERI_TABANI!G24) + (VERI_TABANI!D24*C483*(VERI_TABANI!$B$13-VERI_TABANI!$B$15)*VERI_TABANI!G24) + IF(ABS(IF(ISNUMBER(SEARCH("Var", D483)), 1, IF(ISNUMBER(SEARCH("Gri", D483)), -1, 0)))=1, VERI_TABANI!E24*(1-0.928)*0.00206091519919798*VERI_TABANI!G24, 0)) + ((MIN(VERI_TABANI!D25, VERI_TABANI!D25*B483)*VERI_TABANI!$B$7 + MAX(0, VERI_TABANI!D25*B483-VERI_TABANI!D25)*VERI_TABANI!$B$8) + (MIN(MAX(0, VERI_TABANI!D25-VERI_TABANI!D25*B483), VERI_TABANI!D25*C483)*VERI_TABANI!$B$7 + MAX(0, VERI_TABANI!D25*C483-MAX(0, VERI_TABANI!D25-VERI_TABANI!D25*B483))*VERI_TABANI!$B$8) + IF(ABS(IF(ISNUMBER(SEARCH("Var", D483)), 1, IF(ISNUMBER(SEARCH("Gri", D483)), -1, 0)))=1, VERI_TABANI!E25*(1-0.928)*VERI_TABANI!$B$9, 0) + (VERI_TABANI!D25*B483*(VERI_TABANI!$B$13-VERI_TABANI!$B$14)*VERI_TABANI!G25) + (VERI_TABANI!D25*C483*(VERI_TABANI!$B$13-VERI_TABANI!$B$15)*VERI_TABANI!G25) + IF(ABS(IF(ISNUMBER(SEARCH("Var", D483)), 1, IF(ISNUMBER(SEARCH("Gri", D483)), -1, 0)))=1, VERI_TABANI!E25*(1-0.928)*0.00206091519919798*VERI_TABANI!G25, 0)) + ((MIN(VERI_TABANI!D26, VERI_TABANI!D26*B483)*VERI_TABANI!$B$7 + MAX(0, VERI_TABANI!D26*B483-VERI_TABANI!D26)*VERI_TABANI!$B$8) + (MIN(MAX(0, VERI_TABANI!D26-VERI_TABANI!D26*B483), VERI_TABANI!D26*C483)*VERI_TABANI!$B$7 + MAX(0, VERI_TABANI!D26*C483-MAX(0, VERI_TABANI!D26-VERI_TABANI!D26*B483))*VERI_TABANI!$B$8) + IF(ABS(IF(ISNUMBER(SEARCH("Var", D483)), 1, IF(ISNUMBER(SEARCH("Gri", D483)), -1, 0)))=1, VERI_TABANI!E26*(1-0.928)*VERI_TABANI!$B$9, 0) + (VERI_TABANI!D26*B483*(VERI_TABANI!$B$13-VERI_TABANI!$B$14)*VERI_TABANI!G26) + (VERI_TABANI!D26*C483*(VERI_TABANI!$B$13-VERI_TABANI!$B$15)*VERI_TABANI!G26) + IF(ABS(IF(ISNUMBER(SEARCH("Var", D483)), 1, IF(ISNUMBER(SEARCH("Gri", D483)), -1, 0)))=1, VERI_TABANI!E26*(1-0.928)*0.00206091519919798*VERI_TABANI!G26, 0)) + ((MIN(VERI_TABANI!D27, VERI_TABANI!D27*B483)*VERI_TABANI!$B$7 + MAX(0, VERI_TABANI!D27*B483-VERI_TABANI!D27)*VERI_TABANI!$B$8) + (MIN(MAX(0, VERI_TABANI!D27-VERI_TABANI!D27*B483), VERI_TABANI!D27*C483)*VERI_TABANI!$B$7 + MAX(0, VERI_TABANI!D27*C483-MAX(0, VERI_TABANI!D27-VERI_TABANI!D27*B483))*VERI_TABANI!$B$8) + IF(ABS(IF(ISNUMBER(SEARCH("Var", D483)), 1, IF(ISNUMBER(SEARCH("Gri", D483)), -1, 0)))=1, VERI_TABANI!E27*(1-0.928)*VERI_TABANI!$B$9, 0) + (VERI_TABANI!D27*B483*(VERI_TABANI!$B$13-VERI_TABANI!$B$14)*VERI_TABANI!G27) + (VERI_TABANI!D27*C483*(VERI_TABANI!$B$13-VERI_TABANI!$B$15)*VERI_TABANI!G27) + IF(ABS(IF(ISNUMBER(SEARCH("Var", D483)), 1, IF(ISNUMBER(SEARCH("Gri", D483)), -1, 0)))=1, VERI_TABANI!E27*(1-0.928)*0.00206091519919798*VERI_TABANI!G27, 0)) + ((MIN(VERI_TABANI!D28, VERI_TABANI!D28*B483)*VERI_TABANI!$B$7 + MAX(0, VERI_TABANI!D28*B483-VERI_TABANI!D28)*VERI_TABANI!$B$8) + (MIN(MAX(0, VERI_TABANI!D28-VERI_TABANI!D28*B483), VERI_TABANI!D28*C483)*VERI_TABANI!$B$7 + MAX(0, VERI_TABANI!D28*C483-MAX(0, VERI_TABANI!D28-VERI_TABANI!D28*B483))*VERI_TABANI!$B$8) + IF(ABS(IF(ISNUMBER(SEARCH("Var", D483)), 1, IF(ISNUMBER(SEARCH("Gri", D483)), -1, 0)))=1, VERI_TABANI!E28*(1-0.928)*VERI_TABANI!$B$9, 0) + (VERI_TABANI!D28*B483*(VERI_TABANI!$B$13-VERI_TABANI!$B$14)*VERI_TABANI!G28) + (VERI_TABANI!D28*C483*(VERI_TABANI!$B$13-VERI_TABANI!$B$15)*VERI_TABANI!G28) + IF(ABS(IF(ISNUMBER(SEARCH("Var", D483)), 1, IF(ISNUMBER(SEARCH("Gri", D483)), -1, 0)))=1, VERI_TABANI!E28*(1-0.928)*0.00206091519919798*VERI_TABANI!G28, 0)))</f>
        <v/>
      </c>
      <c r="H483" s="169">
        <f>(((VERI_TABANI!D23*B483*(VERI_TABANI!$B$13-VERI_TABANI!$B$14)) + (VERI_TABANI!D23*C483*(VERI_TABANI!$B$13-VERI_TABANI!$B$15)) + IF(ISNUMBER(SEARCH("Var", D483)), VERI_TABANI!F23*(0.00202-VERI_TABANI!$B$16), IF(ISNUMBER(SEARCH("Gri", D483)), VERI_TABANI!F23*(0.00202-VERI_TABANI!$B$17), 0))) + ((VERI_TABANI!D24*B483*(VERI_TABANI!$B$13-VERI_TABANI!$B$14)) + (VERI_TABANI!D24*C483*(VERI_TABANI!$B$13-VERI_TABANI!$B$15)) + IF(ISNUMBER(SEARCH("Var", D483)), VERI_TABANI!F24*(0.00202-VERI_TABANI!$B$16), IF(ISNUMBER(SEARCH("Gri", D483)), VERI_TABANI!F24*(0.00202-VERI_TABANI!$B$17), 0))) + ((VERI_TABANI!D25*B483*(VERI_TABANI!$B$13-VERI_TABANI!$B$14)) + (VERI_TABANI!D25*C483*(VERI_TABANI!$B$13-VERI_TABANI!$B$15)) + IF(ISNUMBER(SEARCH("Var", D483)), VERI_TABANI!F25*(0.00202-VERI_TABANI!$B$16), IF(ISNUMBER(SEARCH("Gri", D483)), VERI_TABANI!F25*(0.00202-VERI_TABANI!$B$17), 0))) + ((VERI_TABANI!D26*B483*(VERI_TABANI!$B$13-VERI_TABANI!$B$14)) + (VERI_TABANI!D26*C483*(VERI_TABANI!$B$13-VERI_TABANI!$B$15)) + IF(ISNUMBER(SEARCH("Var", D483)), VERI_TABANI!F26*(0.00202-VERI_TABANI!$B$16), IF(ISNUMBER(SEARCH("Gri", D483)), VERI_TABANI!F26*(0.00202-VERI_TABANI!$B$17), 0))) + ((VERI_TABANI!D27*B483*(VERI_TABANI!$B$13-VERI_TABANI!$B$14)) + (VERI_TABANI!D27*C483*(VERI_TABANI!$B$13-VERI_TABANI!$B$15)) + IF(ISNUMBER(SEARCH("Var", D483)), VERI_TABANI!F27*(0.00202-VERI_TABANI!$B$16), IF(ISNUMBER(SEARCH("Gri", D483)), VERI_TABANI!F27*(0.00202-VERI_TABANI!$B$17), 0))) + ((VERI_TABANI!D28*B483*(VERI_TABANI!$B$13-VERI_TABANI!$B$14)) + (VERI_TABANI!D28*C483*(VERI_TABANI!$B$13-VERI_TABANI!$B$15)) + IF(ISNUMBER(SEARCH("Var", D483)), VERI_TABANI!F28*(0.00202-VERI_TABANI!$B$16), IF(ISNUMBER(SEARCH("Gri", D483)), VERI_TABANI!F28*(0.00202-VERI_TABANI!$B$17), 0))))</f>
        <v/>
      </c>
      <c r="I483" s="170">
        <f>IFERROR(((VERI_TABANI!$D$29*B483*VERI_TABANI!$B$14 + VERI_TABANI!$D$29*C483*VERI_TABANI!$B$15 + IF(ISNUMBER(SEARCH("Var", D483)), VERI_TABANI!$F$29*VERI_TABANI!$B$16, 0))) / (((VERI_TABANI!$D$29*B483 + VERI_TABANI!$D$29*C483)*VERI_TABANI!$B$13 + IF(ISNUMBER(SEARCH("Var", D483)), VERI_TABANI!$E$29*(1-0.928)*VERI_TABANI!$B$18, 0))), 0)</f>
        <v/>
      </c>
      <c r="J483" s="171">
        <f>IFERROR(F483/(G483/29), 0)</f>
        <v/>
      </c>
      <c r="K483" s="172">
        <f>IF(F483&gt;0, H483/F483, 0)</f>
        <v/>
      </c>
      <c r="L483" s="170">
        <f>IF(F483&gt;0, I483, 1000000000)</f>
        <v/>
      </c>
      <c r="M483" s="171">
        <f>ABS((B483+C483)-1)</f>
        <v/>
      </c>
      <c r="N483" s="170">
        <f>IF(F483&gt;0, (G483/29)/F483, 0)</f>
        <v/>
      </c>
      <c r="O483" s="168">
        <f>IF(AND((B483+C483)&gt;=1, ISNUMBER(SEARCH("Var", D483))), F483, 1000000000)</f>
        <v/>
      </c>
      <c r="P483" s="172">
        <f>IF(F483&gt;0, SQRT((F483/MAX(F$5:F$886))^2 + (1 - H483/MAX(H$5:H$886))^2 + (J483/MAX(J$5:J$886))^2), 1000000000)</f>
        <v/>
      </c>
      <c r="Q483" s="166">
        <f>IF(AND(ABS(B483-0.5)&lt;0.01, ABS(C483-0.5)&lt;0.01, ISNUMBER(SEARCH("Var", D483))), 1, 0)</f>
        <v/>
      </c>
      <c r="R483" s="171">
        <f>IF(F483&gt;0, J483, 1000000000)</f>
        <v/>
      </c>
      <c r="S483" s="101">
        <f>IF(AND(F483&lt;=DASHBOARD!$B$11, H483&gt;=DASHBOARD!$B$13), G483, -1000000000000)</f>
        <v/>
      </c>
      <c r="T483" s="101">
        <f>IF(AND(F483&lt;=DASHBOARD!$B$11, H483&gt;=DASHBOARD!$B$13), R483, 1000000000000)</f>
        <v/>
      </c>
      <c r="U483" s="101">
        <f>IF(AND(F483&lt;=DASHBOARD!$B$11, H483&gt;=DASHBOARD!$B$13), N483, -1000000000000)</f>
        <v/>
      </c>
      <c r="V483" s="101">
        <f>IF(AND(F483&lt;=DASHBOARD!$B$11, H483&gt;=DASHBOARD!$B$13), H483, -1000000000000)</f>
        <v/>
      </c>
      <c r="W483" s="101">
        <f>IF(AND(F483&lt;=DASHBOARD!$B$11, H483&gt;=DASHBOARD!$B$13), K483, -1000000000000)</f>
        <v/>
      </c>
      <c r="X483" s="101">
        <f>IF(AND(F483&lt;=DASHBOARD!$B$11, H483&gt;=DASHBOARD!$B$13), M483, 1000000000000)</f>
        <v/>
      </c>
      <c r="Y483" s="101">
        <f>IF(AND(F483&lt;=DASHBOARD!$B$10, H483&gt;=DASHBOARD!$B$11), L483, 1000000000000)</f>
        <v/>
      </c>
      <c r="Z483" s="101">
        <f>IF(AND(F483&lt;=DASHBOARD!$B$10, H483&gt;=DASHBOARD!$B$11), O483, 1000000000000)</f>
        <v/>
      </c>
      <c r="AA483" s="101">
        <f>IF(AND(F483&lt;=DASHBOARD!$B$10, H483&gt;=DASHBOARD!$B$11), P483, 1000000000000)</f>
        <v/>
      </c>
      <c r="AB483" s="101">
        <f>IF(AND(F483&lt;=DASHBOARD!$B$10, H483&gt;=DASHBOARD!$B$11), Q483, -1000000000000)</f>
        <v/>
      </c>
    </row>
    <row r="484" ht="15" customHeight="1" s="102">
      <c r="A484" s="166" t="n">
        <v>480</v>
      </c>
      <c r="B484" s="167" t="n">
        <v>1.1</v>
      </c>
      <c r="C484" s="167" t="n">
        <v>0.8</v>
      </c>
      <c r="D484" s="110" t="inlineStr">
        <is>
          <t>Var (%20)</t>
        </is>
      </c>
      <c r="E484" s="110">
        <f>IF((B484+C484)&lt;=1, "Tam Mahsuplaşma (≤%100)", "Kısmi Satış (&gt;%100)")</f>
        <v/>
      </c>
      <c r="F484" s="168">
        <f>((VERI_TABANI!$D$29*B484/VERI_TABANI!$B$29)/VERI_TABANI!$B$3)*VERI_TABANI!$B$5 + ((VERI_TABANI!$D$29*C484/VERI_TABANI!$B$29)/VERI_TABANI!$B$4)*VERI_TABANI!$B$6 + IF(ISNUMBER(SEARCH("Var", D484)), (VERI_TABANI!$F$29/VERI_TABANI!$B$29)*(VERI_TABANI!$B$10+VERI_TABANI!$B$12), 0)</f>
        <v/>
      </c>
      <c r="G484" s="168">
        <f>(((MIN(VERI_TABANI!D23, VERI_TABANI!D23*B484)*VERI_TABANI!$B$7 + MAX(0, VERI_TABANI!D23*B484-VERI_TABANI!D23)*VERI_TABANI!$B$8) + (MIN(MAX(0, VERI_TABANI!D23-VERI_TABANI!D23*B484), VERI_TABANI!D23*C484)*VERI_TABANI!$B$7 + MAX(0, VERI_TABANI!D23*C484-MAX(0, VERI_TABANI!D23-VERI_TABANI!D23*B484))*VERI_TABANI!$B$8) + IF(ABS(IF(ISNUMBER(SEARCH("Var", D484)), 1, IF(ISNUMBER(SEARCH("Gri", D484)), -1, 0)))=1, VERI_TABANI!E23*(1-0.928)*VERI_TABANI!$B$9, 0) + (VERI_TABANI!D23*B484*(VERI_TABANI!$B$13-VERI_TABANI!$B$14)*VERI_TABANI!G23) + (VERI_TABANI!D23*C484*(VERI_TABANI!$B$13-VERI_TABANI!$B$15)*VERI_TABANI!G23) + IF(ABS(IF(ISNUMBER(SEARCH("Var", D484)), 1, IF(ISNUMBER(SEARCH("Gri", D484)), -1, 0)))=1, VERI_TABANI!E23*(1-0.928)*0.00206091519919798*VERI_TABANI!G23, 0)) + ((MIN(VERI_TABANI!D24, VERI_TABANI!D24*B484)*VERI_TABANI!$B$7 + MAX(0, VERI_TABANI!D24*B484-VERI_TABANI!D24)*VERI_TABANI!$B$8) + (MIN(MAX(0, VERI_TABANI!D24-VERI_TABANI!D24*B484), VERI_TABANI!D24*C484)*VERI_TABANI!$B$7 + MAX(0, VERI_TABANI!D24*C484-MAX(0, VERI_TABANI!D24-VERI_TABANI!D24*B484))*VERI_TABANI!$B$8) + IF(ABS(IF(ISNUMBER(SEARCH("Var", D484)), 1, IF(ISNUMBER(SEARCH("Gri", D484)), -1, 0)))=1, VERI_TABANI!E24*(1-0.928)*VERI_TABANI!$B$9, 0) + (VERI_TABANI!D24*B484*(VERI_TABANI!$B$13-VERI_TABANI!$B$14)*VERI_TABANI!G24) + (VERI_TABANI!D24*C484*(VERI_TABANI!$B$13-VERI_TABANI!$B$15)*VERI_TABANI!G24) + IF(ABS(IF(ISNUMBER(SEARCH("Var", D484)), 1, IF(ISNUMBER(SEARCH("Gri", D484)), -1, 0)))=1, VERI_TABANI!E24*(1-0.928)*0.00206091519919798*VERI_TABANI!G24, 0)) + ((MIN(VERI_TABANI!D25, VERI_TABANI!D25*B484)*VERI_TABANI!$B$7 + MAX(0, VERI_TABANI!D25*B484-VERI_TABANI!D25)*VERI_TABANI!$B$8) + (MIN(MAX(0, VERI_TABANI!D25-VERI_TABANI!D25*B484), VERI_TABANI!D25*C484)*VERI_TABANI!$B$7 + MAX(0, VERI_TABANI!D25*C484-MAX(0, VERI_TABANI!D25-VERI_TABANI!D25*B484))*VERI_TABANI!$B$8) + IF(ABS(IF(ISNUMBER(SEARCH("Var", D484)), 1, IF(ISNUMBER(SEARCH("Gri", D484)), -1, 0)))=1, VERI_TABANI!E25*(1-0.928)*VERI_TABANI!$B$9, 0) + (VERI_TABANI!D25*B484*(VERI_TABANI!$B$13-VERI_TABANI!$B$14)*VERI_TABANI!G25) + (VERI_TABANI!D25*C484*(VERI_TABANI!$B$13-VERI_TABANI!$B$15)*VERI_TABANI!G25) + IF(ABS(IF(ISNUMBER(SEARCH("Var", D484)), 1, IF(ISNUMBER(SEARCH("Gri", D484)), -1, 0)))=1, VERI_TABANI!E25*(1-0.928)*0.00206091519919798*VERI_TABANI!G25, 0)) + ((MIN(VERI_TABANI!D26, VERI_TABANI!D26*B484)*VERI_TABANI!$B$7 + MAX(0, VERI_TABANI!D26*B484-VERI_TABANI!D26)*VERI_TABANI!$B$8) + (MIN(MAX(0, VERI_TABANI!D26-VERI_TABANI!D26*B484), VERI_TABANI!D26*C484)*VERI_TABANI!$B$7 + MAX(0, VERI_TABANI!D26*C484-MAX(0, VERI_TABANI!D26-VERI_TABANI!D26*B484))*VERI_TABANI!$B$8) + IF(ABS(IF(ISNUMBER(SEARCH("Var", D484)), 1, IF(ISNUMBER(SEARCH("Gri", D484)), -1, 0)))=1, VERI_TABANI!E26*(1-0.928)*VERI_TABANI!$B$9, 0) + (VERI_TABANI!D26*B484*(VERI_TABANI!$B$13-VERI_TABANI!$B$14)*VERI_TABANI!G26) + (VERI_TABANI!D26*C484*(VERI_TABANI!$B$13-VERI_TABANI!$B$15)*VERI_TABANI!G26) + IF(ABS(IF(ISNUMBER(SEARCH("Var", D484)), 1, IF(ISNUMBER(SEARCH("Gri", D484)), -1, 0)))=1, VERI_TABANI!E26*(1-0.928)*0.00206091519919798*VERI_TABANI!G26, 0)) + ((MIN(VERI_TABANI!D27, VERI_TABANI!D27*B484)*VERI_TABANI!$B$7 + MAX(0, VERI_TABANI!D27*B484-VERI_TABANI!D27)*VERI_TABANI!$B$8) + (MIN(MAX(0, VERI_TABANI!D27-VERI_TABANI!D27*B484), VERI_TABANI!D27*C484)*VERI_TABANI!$B$7 + MAX(0, VERI_TABANI!D27*C484-MAX(0, VERI_TABANI!D27-VERI_TABANI!D27*B484))*VERI_TABANI!$B$8) + IF(ABS(IF(ISNUMBER(SEARCH("Var", D484)), 1, IF(ISNUMBER(SEARCH("Gri", D484)), -1, 0)))=1, VERI_TABANI!E27*(1-0.928)*VERI_TABANI!$B$9, 0) + (VERI_TABANI!D27*B484*(VERI_TABANI!$B$13-VERI_TABANI!$B$14)*VERI_TABANI!G27) + (VERI_TABANI!D27*C484*(VERI_TABANI!$B$13-VERI_TABANI!$B$15)*VERI_TABANI!G27) + IF(ABS(IF(ISNUMBER(SEARCH("Var", D484)), 1, IF(ISNUMBER(SEARCH("Gri", D484)), -1, 0)))=1, VERI_TABANI!E27*(1-0.928)*0.00206091519919798*VERI_TABANI!G27, 0)) + ((MIN(VERI_TABANI!D28, VERI_TABANI!D28*B484)*VERI_TABANI!$B$7 + MAX(0, VERI_TABANI!D28*B484-VERI_TABANI!D28)*VERI_TABANI!$B$8) + (MIN(MAX(0, VERI_TABANI!D28-VERI_TABANI!D28*B484), VERI_TABANI!D28*C484)*VERI_TABANI!$B$7 + MAX(0, VERI_TABANI!D28*C484-MAX(0, VERI_TABANI!D28-VERI_TABANI!D28*B484))*VERI_TABANI!$B$8) + IF(ABS(IF(ISNUMBER(SEARCH("Var", D484)), 1, IF(ISNUMBER(SEARCH("Gri", D484)), -1, 0)))=1, VERI_TABANI!E28*(1-0.928)*VERI_TABANI!$B$9, 0) + (VERI_TABANI!D28*B484*(VERI_TABANI!$B$13-VERI_TABANI!$B$14)*VERI_TABANI!G28) + (VERI_TABANI!D28*C484*(VERI_TABANI!$B$13-VERI_TABANI!$B$15)*VERI_TABANI!G28) + IF(ABS(IF(ISNUMBER(SEARCH("Var", D484)), 1, IF(ISNUMBER(SEARCH("Gri", D484)), -1, 0)))=1, VERI_TABANI!E28*(1-0.928)*0.00206091519919798*VERI_TABANI!G28, 0)))</f>
        <v/>
      </c>
      <c r="H484" s="169">
        <f>(((VERI_TABANI!D23*B484*(VERI_TABANI!$B$13-VERI_TABANI!$B$14)) + (VERI_TABANI!D23*C484*(VERI_TABANI!$B$13-VERI_TABANI!$B$15)) + IF(ISNUMBER(SEARCH("Var", D484)), VERI_TABANI!F23*(0.00202-VERI_TABANI!$B$16), IF(ISNUMBER(SEARCH("Gri", D484)), VERI_TABANI!F23*(0.00202-VERI_TABANI!$B$17), 0))) + ((VERI_TABANI!D24*B484*(VERI_TABANI!$B$13-VERI_TABANI!$B$14)) + (VERI_TABANI!D24*C484*(VERI_TABANI!$B$13-VERI_TABANI!$B$15)) + IF(ISNUMBER(SEARCH("Var", D484)), VERI_TABANI!F24*(0.00202-VERI_TABANI!$B$16), IF(ISNUMBER(SEARCH("Gri", D484)), VERI_TABANI!F24*(0.00202-VERI_TABANI!$B$17), 0))) + ((VERI_TABANI!D25*B484*(VERI_TABANI!$B$13-VERI_TABANI!$B$14)) + (VERI_TABANI!D25*C484*(VERI_TABANI!$B$13-VERI_TABANI!$B$15)) + IF(ISNUMBER(SEARCH("Var", D484)), VERI_TABANI!F25*(0.00202-VERI_TABANI!$B$16), IF(ISNUMBER(SEARCH("Gri", D484)), VERI_TABANI!F25*(0.00202-VERI_TABANI!$B$17), 0))) + ((VERI_TABANI!D26*B484*(VERI_TABANI!$B$13-VERI_TABANI!$B$14)) + (VERI_TABANI!D26*C484*(VERI_TABANI!$B$13-VERI_TABANI!$B$15)) + IF(ISNUMBER(SEARCH("Var", D484)), VERI_TABANI!F26*(0.00202-VERI_TABANI!$B$16), IF(ISNUMBER(SEARCH("Gri", D484)), VERI_TABANI!F26*(0.00202-VERI_TABANI!$B$17), 0))) + ((VERI_TABANI!D27*B484*(VERI_TABANI!$B$13-VERI_TABANI!$B$14)) + (VERI_TABANI!D27*C484*(VERI_TABANI!$B$13-VERI_TABANI!$B$15)) + IF(ISNUMBER(SEARCH("Var", D484)), VERI_TABANI!F27*(0.00202-VERI_TABANI!$B$16), IF(ISNUMBER(SEARCH("Gri", D484)), VERI_TABANI!F27*(0.00202-VERI_TABANI!$B$17), 0))) + ((VERI_TABANI!D28*B484*(VERI_TABANI!$B$13-VERI_TABANI!$B$14)) + (VERI_TABANI!D28*C484*(VERI_TABANI!$B$13-VERI_TABANI!$B$15)) + IF(ISNUMBER(SEARCH("Var", D484)), VERI_TABANI!F28*(0.00202-VERI_TABANI!$B$16), IF(ISNUMBER(SEARCH("Gri", D484)), VERI_TABANI!F28*(0.00202-VERI_TABANI!$B$17), 0))))</f>
        <v/>
      </c>
      <c r="I484" s="170">
        <f>IFERROR(((VERI_TABANI!$D$29*B484*VERI_TABANI!$B$14 + VERI_TABANI!$D$29*C484*VERI_TABANI!$B$15 + IF(ISNUMBER(SEARCH("Var", D484)), VERI_TABANI!$F$29*VERI_TABANI!$B$16, 0))) / (((VERI_TABANI!$D$29*B484 + VERI_TABANI!$D$29*C484)*VERI_TABANI!$B$13 + IF(ISNUMBER(SEARCH("Var", D484)), VERI_TABANI!$E$29*(1-0.928)*VERI_TABANI!$B$18, 0))), 0)</f>
        <v/>
      </c>
      <c r="J484" s="171">
        <f>IFERROR(F484/(G484/29), 0)</f>
        <v/>
      </c>
      <c r="K484" s="172">
        <f>IF(F484&gt;0, H484/F484, 0)</f>
        <v/>
      </c>
      <c r="L484" s="170">
        <f>IF(F484&gt;0, I484, 1000000000)</f>
        <v/>
      </c>
      <c r="M484" s="171">
        <f>ABS((B484+C484)-1)</f>
        <v/>
      </c>
      <c r="N484" s="170">
        <f>IF(F484&gt;0, (G484/29)/F484, 0)</f>
        <v/>
      </c>
      <c r="O484" s="168">
        <f>IF(AND((B484+C484)&gt;=1, ISNUMBER(SEARCH("Var", D484))), F484, 1000000000)</f>
        <v/>
      </c>
      <c r="P484" s="172">
        <f>IF(F484&gt;0, SQRT((F484/MAX(F$5:F$886))^2 + (1 - H484/MAX(H$5:H$886))^2 + (J484/MAX(J$5:J$886))^2), 1000000000)</f>
        <v/>
      </c>
      <c r="Q484" s="166">
        <f>IF(AND(ABS(B484-0.5)&lt;0.01, ABS(C484-0.5)&lt;0.01, ISNUMBER(SEARCH("Var", D484))), 1, 0)</f>
        <v/>
      </c>
      <c r="R484" s="171">
        <f>IF(F484&gt;0, J484, 1000000000)</f>
        <v/>
      </c>
      <c r="S484" s="101">
        <f>IF(AND(F484&lt;=DASHBOARD!$B$11, H484&gt;=DASHBOARD!$B$13), G484, -1000000000000)</f>
        <v/>
      </c>
      <c r="T484" s="101">
        <f>IF(AND(F484&lt;=DASHBOARD!$B$11, H484&gt;=DASHBOARD!$B$13), R484, 1000000000000)</f>
        <v/>
      </c>
      <c r="U484" s="101">
        <f>IF(AND(F484&lt;=DASHBOARD!$B$11, H484&gt;=DASHBOARD!$B$13), N484, -1000000000000)</f>
        <v/>
      </c>
      <c r="V484" s="101">
        <f>IF(AND(F484&lt;=DASHBOARD!$B$11, H484&gt;=DASHBOARD!$B$13), H484, -1000000000000)</f>
        <v/>
      </c>
      <c r="W484" s="101">
        <f>IF(AND(F484&lt;=DASHBOARD!$B$11, H484&gt;=DASHBOARD!$B$13), K484, -1000000000000)</f>
        <v/>
      </c>
      <c r="X484" s="101">
        <f>IF(AND(F484&lt;=DASHBOARD!$B$11, H484&gt;=DASHBOARD!$B$13), M484, 1000000000000)</f>
        <v/>
      </c>
      <c r="Y484" s="101">
        <f>IF(AND(F484&lt;=DASHBOARD!$B$10, H484&gt;=DASHBOARD!$B$11), L484, 1000000000000)</f>
        <v/>
      </c>
      <c r="Z484" s="101">
        <f>IF(AND(F484&lt;=DASHBOARD!$B$10, H484&gt;=DASHBOARD!$B$11), O484, 1000000000000)</f>
        <v/>
      </c>
      <c r="AA484" s="101">
        <f>IF(AND(F484&lt;=DASHBOARD!$B$10, H484&gt;=DASHBOARD!$B$11), P484, 1000000000000)</f>
        <v/>
      </c>
      <c r="AB484" s="101">
        <f>IF(AND(F484&lt;=DASHBOARD!$B$10, H484&gt;=DASHBOARD!$B$11), Q484, -1000000000000)</f>
        <v/>
      </c>
    </row>
    <row r="485" ht="15" customHeight="1" s="102">
      <c r="A485" s="166" t="n">
        <v>481</v>
      </c>
      <c r="B485" s="167" t="n">
        <v>1.1</v>
      </c>
      <c r="C485" s="167" t="n">
        <v>0.9</v>
      </c>
      <c r="D485" s="110" t="inlineStr">
        <is>
          <t>Yok (%0)</t>
        </is>
      </c>
      <c r="E485" s="110">
        <f>IF((B485+C485)&lt;=1, "Tam Mahsuplaşma (≤%100)", "Kısmi Satış (&gt;%100)")</f>
        <v/>
      </c>
      <c r="F485" s="168">
        <f>((VERI_TABANI!$D$29*B485/VERI_TABANI!$B$29)/VERI_TABANI!$B$3)*VERI_TABANI!$B$5 + ((VERI_TABANI!$D$29*C485/VERI_TABANI!$B$29)/VERI_TABANI!$B$4)*VERI_TABANI!$B$6 + IF(ISNUMBER(SEARCH("Var", D485)), (VERI_TABANI!$F$29/VERI_TABANI!$B$29)*(VERI_TABANI!$B$10+VERI_TABANI!$B$12), 0)</f>
        <v/>
      </c>
      <c r="G485" s="168">
        <f>(((MIN(VERI_TABANI!D23, VERI_TABANI!D23*B485)*VERI_TABANI!$B$7 + MAX(0, VERI_TABANI!D23*B485-VERI_TABANI!D23)*VERI_TABANI!$B$8) + (MIN(MAX(0, VERI_TABANI!D23-VERI_TABANI!D23*B485), VERI_TABANI!D23*C485)*VERI_TABANI!$B$7 + MAX(0, VERI_TABANI!D23*C485-MAX(0, VERI_TABANI!D23-VERI_TABANI!D23*B485))*VERI_TABANI!$B$8) + IF(ABS(IF(ISNUMBER(SEARCH("Var", D485)), 1, IF(ISNUMBER(SEARCH("Gri", D485)), -1, 0)))=1, VERI_TABANI!E23*(1-0.928)*VERI_TABANI!$B$9, 0) + (VERI_TABANI!D23*B485*(VERI_TABANI!$B$13-VERI_TABANI!$B$14)*VERI_TABANI!G23) + (VERI_TABANI!D23*C485*(VERI_TABANI!$B$13-VERI_TABANI!$B$15)*VERI_TABANI!G23) + IF(ABS(IF(ISNUMBER(SEARCH("Var", D485)), 1, IF(ISNUMBER(SEARCH("Gri", D485)), -1, 0)))=1, VERI_TABANI!E23*(1-0.928)*0.00206091519919798*VERI_TABANI!G23, 0)) + ((MIN(VERI_TABANI!D24, VERI_TABANI!D24*B485)*VERI_TABANI!$B$7 + MAX(0, VERI_TABANI!D24*B485-VERI_TABANI!D24)*VERI_TABANI!$B$8) + (MIN(MAX(0, VERI_TABANI!D24-VERI_TABANI!D24*B485), VERI_TABANI!D24*C485)*VERI_TABANI!$B$7 + MAX(0, VERI_TABANI!D24*C485-MAX(0, VERI_TABANI!D24-VERI_TABANI!D24*B485))*VERI_TABANI!$B$8) + IF(ABS(IF(ISNUMBER(SEARCH("Var", D485)), 1, IF(ISNUMBER(SEARCH("Gri", D485)), -1, 0)))=1, VERI_TABANI!E24*(1-0.928)*VERI_TABANI!$B$9, 0) + (VERI_TABANI!D24*B485*(VERI_TABANI!$B$13-VERI_TABANI!$B$14)*VERI_TABANI!G24) + (VERI_TABANI!D24*C485*(VERI_TABANI!$B$13-VERI_TABANI!$B$15)*VERI_TABANI!G24) + IF(ABS(IF(ISNUMBER(SEARCH("Var", D485)), 1, IF(ISNUMBER(SEARCH("Gri", D485)), -1, 0)))=1, VERI_TABANI!E24*(1-0.928)*0.00206091519919798*VERI_TABANI!G24, 0)) + ((MIN(VERI_TABANI!D25, VERI_TABANI!D25*B485)*VERI_TABANI!$B$7 + MAX(0, VERI_TABANI!D25*B485-VERI_TABANI!D25)*VERI_TABANI!$B$8) + (MIN(MAX(0, VERI_TABANI!D25-VERI_TABANI!D25*B485), VERI_TABANI!D25*C485)*VERI_TABANI!$B$7 + MAX(0, VERI_TABANI!D25*C485-MAX(0, VERI_TABANI!D25-VERI_TABANI!D25*B485))*VERI_TABANI!$B$8) + IF(ABS(IF(ISNUMBER(SEARCH("Var", D485)), 1, IF(ISNUMBER(SEARCH("Gri", D485)), -1, 0)))=1, VERI_TABANI!E25*(1-0.928)*VERI_TABANI!$B$9, 0) + (VERI_TABANI!D25*B485*(VERI_TABANI!$B$13-VERI_TABANI!$B$14)*VERI_TABANI!G25) + (VERI_TABANI!D25*C485*(VERI_TABANI!$B$13-VERI_TABANI!$B$15)*VERI_TABANI!G25) + IF(ABS(IF(ISNUMBER(SEARCH("Var", D485)), 1, IF(ISNUMBER(SEARCH("Gri", D485)), -1, 0)))=1, VERI_TABANI!E25*(1-0.928)*0.00206091519919798*VERI_TABANI!G25, 0)) + ((MIN(VERI_TABANI!D26, VERI_TABANI!D26*B485)*VERI_TABANI!$B$7 + MAX(0, VERI_TABANI!D26*B485-VERI_TABANI!D26)*VERI_TABANI!$B$8) + (MIN(MAX(0, VERI_TABANI!D26-VERI_TABANI!D26*B485), VERI_TABANI!D26*C485)*VERI_TABANI!$B$7 + MAX(0, VERI_TABANI!D26*C485-MAX(0, VERI_TABANI!D26-VERI_TABANI!D26*B485))*VERI_TABANI!$B$8) + IF(ABS(IF(ISNUMBER(SEARCH("Var", D485)), 1, IF(ISNUMBER(SEARCH("Gri", D485)), -1, 0)))=1, VERI_TABANI!E26*(1-0.928)*VERI_TABANI!$B$9, 0) + (VERI_TABANI!D26*B485*(VERI_TABANI!$B$13-VERI_TABANI!$B$14)*VERI_TABANI!G26) + (VERI_TABANI!D26*C485*(VERI_TABANI!$B$13-VERI_TABANI!$B$15)*VERI_TABANI!G26) + IF(ABS(IF(ISNUMBER(SEARCH("Var", D485)), 1, IF(ISNUMBER(SEARCH("Gri", D485)), -1, 0)))=1, VERI_TABANI!E26*(1-0.928)*0.00206091519919798*VERI_TABANI!G26, 0)) + ((MIN(VERI_TABANI!D27, VERI_TABANI!D27*B485)*VERI_TABANI!$B$7 + MAX(0, VERI_TABANI!D27*B485-VERI_TABANI!D27)*VERI_TABANI!$B$8) + (MIN(MAX(0, VERI_TABANI!D27-VERI_TABANI!D27*B485), VERI_TABANI!D27*C485)*VERI_TABANI!$B$7 + MAX(0, VERI_TABANI!D27*C485-MAX(0, VERI_TABANI!D27-VERI_TABANI!D27*B485))*VERI_TABANI!$B$8) + IF(ABS(IF(ISNUMBER(SEARCH("Var", D485)), 1, IF(ISNUMBER(SEARCH("Gri", D485)), -1, 0)))=1, VERI_TABANI!E27*(1-0.928)*VERI_TABANI!$B$9, 0) + (VERI_TABANI!D27*B485*(VERI_TABANI!$B$13-VERI_TABANI!$B$14)*VERI_TABANI!G27) + (VERI_TABANI!D27*C485*(VERI_TABANI!$B$13-VERI_TABANI!$B$15)*VERI_TABANI!G27) + IF(ABS(IF(ISNUMBER(SEARCH("Var", D485)), 1, IF(ISNUMBER(SEARCH("Gri", D485)), -1, 0)))=1, VERI_TABANI!E27*(1-0.928)*0.00206091519919798*VERI_TABANI!G27, 0)) + ((MIN(VERI_TABANI!D28, VERI_TABANI!D28*B485)*VERI_TABANI!$B$7 + MAX(0, VERI_TABANI!D28*B485-VERI_TABANI!D28)*VERI_TABANI!$B$8) + (MIN(MAX(0, VERI_TABANI!D28-VERI_TABANI!D28*B485), VERI_TABANI!D28*C485)*VERI_TABANI!$B$7 + MAX(0, VERI_TABANI!D28*C485-MAX(0, VERI_TABANI!D28-VERI_TABANI!D28*B485))*VERI_TABANI!$B$8) + IF(ABS(IF(ISNUMBER(SEARCH("Var", D485)), 1, IF(ISNUMBER(SEARCH("Gri", D485)), -1, 0)))=1, VERI_TABANI!E28*(1-0.928)*VERI_TABANI!$B$9, 0) + (VERI_TABANI!D28*B485*(VERI_TABANI!$B$13-VERI_TABANI!$B$14)*VERI_TABANI!G28) + (VERI_TABANI!D28*C485*(VERI_TABANI!$B$13-VERI_TABANI!$B$15)*VERI_TABANI!G28) + IF(ABS(IF(ISNUMBER(SEARCH("Var", D485)), 1, IF(ISNUMBER(SEARCH("Gri", D485)), -1, 0)))=1, VERI_TABANI!E28*(1-0.928)*0.00206091519919798*VERI_TABANI!G28, 0)))</f>
        <v/>
      </c>
      <c r="H485" s="169">
        <f>(((VERI_TABANI!D23*B485*(VERI_TABANI!$B$13-VERI_TABANI!$B$14)) + (VERI_TABANI!D23*C485*(VERI_TABANI!$B$13-VERI_TABANI!$B$15)) + IF(ISNUMBER(SEARCH("Var", D485)), VERI_TABANI!F23*(0.00202-VERI_TABANI!$B$16), IF(ISNUMBER(SEARCH("Gri", D485)), VERI_TABANI!F23*(0.00202-VERI_TABANI!$B$17), 0))) + ((VERI_TABANI!D24*B485*(VERI_TABANI!$B$13-VERI_TABANI!$B$14)) + (VERI_TABANI!D24*C485*(VERI_TABANI!$B$13-VERI_TABANI!$B$15)) + IF(ISNUMBER(SEARCH("Var", D485)), VERI_TABANI!F24*(0.00202-VERI_TABANI!$B$16), IF(ISNUMBER(SEARCH("Gri", D485)), VERI_TABANI!F24*(0.00202-VERI_TABANI!$B$17), 0))) + ((VERI_TABANI!D25*B485*(VERI_TABANI!$B$13-VERI_TABANI!$B$14)) + (VERI_TABANI!D25*C485*(VERI_TABANI!$B$13-VERI_TABANI!$B$15)) + IF(ISNUMBER(SEARCH("Var", D485)), VERI_TABANI!F25*(0.00202-VERI_TABANI!$B$16), IF(ISNUMBER(SEARCH("Gri", D485)), VERI_TABANI!F25*(0.00202-VERI_TABANI!$B$17), 0))) + ((VERI_TABANI!D26*B485*(VERI_TABANI!$B$13-VERI_TABANI!$B$14)) + (VERI_TABANI!D26*C485*(VERI_TABANI!$B$13-VERI_TABANI!$B$15)) + IF(ISNUMBER(SEARCH("Var", D485)), VERI_TABANI!F26*(0.00202-VERI_TABANI!$B$16), IF(ISNUMBER(SEARCH("Gri", D485)), VERI_TABANI!F26*(0.00202-VERI_TABANI!$B$17), 0))) + ((VERI_TABANI!D27*B485*(VERI_TABANI!$B$13-VERI_TABANI!$B$14)) + (VERI_TABANI!D27*C485*(VERI_TABANI!$B$13-VERI_TABANI!$B$15)) + IF(ISNUMBER(SEARCH("Var", D485)), VERI_TABANI!F27*(0.00202-VERI_TABANI!$B$16), IF(ISNUMBER(SEARCH("Gri", D485)), VERI_TABANI!F27*(0.00202-VERI_TABANI!$B$17), 0))) + ((VERI_TABANI!D28*B485*(VERI_TABANI!$B$13-VERI_TABANI!$B$14)) + (VERI_TABANI!D28*C485*(VERI_TABANI!$B$13-VERI_TABANI!$B$15)) + IF(ISNUMBER(SEARCH("Var", D485)), VERI_TABANI!F28*(0.00202-VERI_TABANI!$B$16), IF(ISNUMBER(SEARCH("Gri", D485)), VERI_TABANI!F28*(0.00202-VERI_TABANI!$B$17), 0))))</f>
        <v/>
      </c>
      <c r="I485" s="170">
        <f>IFERROR(((VERI_TABANI!$D$29*B485*VERI_TABANI!$B$14 + VERI_TABANI!$D$29*C485*VERI_TABANI!$B$15 + IF(ISNUMBER(SEARCH("Var", D485)), VERI_TABANI!$F$29*VERI_TABANI!$B$16, 0))) / (((VERI_TABANI!$D$29*B485 + VERI_TABANI!$D$29*C485)*VERI_TABANI!$B$13 + IF(ISNUMBER(SEARCH("Var", D485)), VERI_TABANI!$E$29*(1-0.928)*VERI_TABANI!$B$18, 0))), 0)</f>
        <v/>
      </c>
      <c r="J485" s="171">
        <f>IFERROR(F485/(G485/29), 0)</f>
        <v/>
      </c>
      <c r="K485" s="172">
        <f>IF(F485&gt;0, H485/F485, 0)</f>
        <v/>
      </c>
      <c r="L485" s="170">
        <f>IF(F485&gt;0, I485, 1000000000)</f>
        <v/>
      </c>
      <c r="M485" s="171">
        <f>ABS((B485+C485)-1)</f>
        <v/>
      </c>
      <c r="N485" s="170">
        <f>IF(F485&gt;0, (G485/29)/F485, 0)</f>
        <v/>
      </c>
      <c r="O485" s="168">
        <f>IF(AND((B485+C485)&gt;=1, ISNUMBER(SEARCH("Var", D485))), F485, 1000000000)</f>
        <v/>
      </c>
      <c r="P485" s="172">
        <f>IF(F485&gt;0, SQRT((F485/MAX(F$5:F$886))^2 + (1 - H485/MAX(H$5:H$886))^2 + (J485/MAX(J$5:J$886))^2), 1000000000)</f>
        <v/>
      </c>
      <c r="Q485" s="166">
        <f>IF(AND(ABS(B485-0.5)&lt;0.01, ABS(C485-0.5)&lt;0.01, ISNUMBER(SEARCH("Var", D485))), 1, 0)</f>
        <v/>
      </c>
      <c r="R485" s="171">
        <f>IF(F485&gt;0, J485, 1000000000)</f>
        <v/>
      </c>
      <c r="S485" s="101">
        <f>IF(AND(F485&lt;=DASHBOARD!$B$11, H485&gt;=DASHBOARD!$B$13), G485, -1000000000000)</f>
        <v/>
      </c>
      <c r="T485" s="101">
        <f>IF(AND(F485&lt;=DASHBOARD!$B$11, H485&gt;=DASHBOARD!$B$13), R485, 1000000000000)</f>
        <v/>
      </c>
      <c r="U485" s="101">
        <f>IF(AND(F485&lt;=DASHBOARD!$B$11, H485&gt;=DASHBOARD!$B$13), N485, -1000000000000)</f>
        <v/>
      </c>
      <c r="V485" s="101">
        <f>IF(AND(F485&lt;=DASHBOARD!$B$11, H485&gt;=DASHBOARD!$B$13), H485, -1000000000000)</f>
        <v/>
      </c>
      <c r="W485" s="101">
        <f>IF(AND(F485&lt;=DASHBOARD!$B$11, H485&gt;=DASHBOARD!$B$13), K485, -1000000000000)</f>
        <v/>
      </c>
      <c r="X485" s="101">
        <f>IF(AND(F485&lt;=DASHBOARD!$B$11, H485&gt;=DASHBOARD!$B$13), M485, 1000000000000)</f>
        <v/>
      </c>
      <c r="Y485" s="101">
        <f>IF(AND(F485&lt;=DASHBOARD!$B$10, H485&gt;=DASHBOARD!$B$11), L485, 1000000000000)</f>
        <v/>
      </c>
      <c r="Z485" s="101">
        <f>IF(AND(F485&lt;=DASHBOARD!$B$10, H485&gt;=DASHBOARD!$B$11), O485, 1000000000000)</f>
        <v/>
      </c>
      <c r="AA485" s="101">
        <f>IF(AND(F485&lt;=DASHBOARD!$B$10, H485&gt;=DASHBOARD!$B$11), P485, 1000000000000)</f>
        <v/>
      </c>
      <c r="AB485" s="101">
        <f>IF(AND(F485&lt;=DASHBOARD!$B$10, H485&gt;=DASHBOARD!$B$11), Q485, -1000000000000)</f>
        <v/>
      </c>
    </row>
    <row r="486" ht="15" customHeight="1" s="102">
      <c r="A486" s="166" t="n">
        <v>482</v>
      </c>
      <c r="B486" s="167" t="n">
        <v>1.1</v>
      </c>
      <c r="C486" s="167" t="n">
        <v>0.9</v>
      </c>
      <c r="D486" s="110" t="inlineStr">
        <is>
          <t>Var (%20)</t>
        </is>
      </c>
      <c r="E486" s="110">
        <f>IF((B486+C486)&lt;=1, "Tam Mahsuplaşma (≤%100)", "Kısmi Satış (&gt;%100)")</f>
        <v/>
      </c>
      <c r="F486" s="168">
        <f>((VERI_TABANI!$D$29*B486/VERI_TABANI!$B$29)/VERI_TABANI!$B$3)*VERI_TABANI!$B$5 + ((VERI_TABANI!$D$29*C486/VERI_TABANI!$B$29)/VERI_TABANI!$B$4)*VERI_TABANI!$B$6 + IF(ISNUMBER(SEARCH("Var", D486)), (VERI_TABANI!$F$29/VERI_TABANI!$B$29)*(VERI_TABANI!$B$10+VERI_TABANI!$B$12), 0)</f>
        <v/>
      </c>
      <c r="G486" s="168">
        <f>(((MIN(VERI_TABANI!D23, VERI_TABANI!D23*B486)*VERI_TABANI!$B$7 + MAX(0, VERI_TABANI!D23*B486-VERI_TABANI!D23)*VERI_TABANI!$B$8) + (MIN(MAX(0, VERI_TABANI!D23-VERI_TABANI!D23*B486), VERI_TABANI!D23*C486)*VERI_TABANI!$B$7 + MAX(0, VERI_TABANI!D23*C486-MAX(0, VERI_TABANI!D23-VERI_TABANI!D23*B486))*VERI_TABANI!$B$8) + IF(ABS(IF(ISNUMBER(SEARCH("Var", D486)), 1, IF(ISNUMBER(SEARCH("Gri", D486)), -1, 0)))=1, VERI_TABANI!E23*(1-0.928)*VERI_TABANI!$B$9, 0) + (VERI_TABANI!D23*B486*(VERI_TABANI!$B$13-VERI_TABANI!$B$14)*VERI_TABANI!G23) + (VERI_TABANI!D23*C486*(VERI_TABANI!$B$13-VERI_TABANI!$B$15)*VERI_TABANI!G23) + IF(ABS(IF(ISNUMBER(SEARCH("Var", D486)), 1, IF(ISNUMBER(SEARCH("Gri", D486)), -1, 0)))=1, VERI_TABANI!E23*(1-0.928)*0.00206091519919798*VERI_TABANI!G23, 0)) + ((MIN(VERI_TABANI!D24, VERI_TABANI!D24*B486)*VERI_TABANI!$B$7 + MAX(0, VERI_TABANI!D24*B486-VERI_TABANI!D24)*VERI_TABANI!$B$8) + (MIN(MAX(0, VERI_TABANI!D24-VERI_TABANI!D24*B486), VERI_TABANI!D24*C486)*VERI_TABANI!$B$7 + MAX(0, VERI_TABANI!D24*C486-MAX(0, VERI_TABANI!D24-VERI_TABANI!D24*B486))*VERI_TABANI!$B$8) + IF(ABS(IF(ISNUMBER(SEARCH("Var", D486)), 1, IF(ISNUMBER(SEARCH("Gri", D486)), -1, 0)))=1, VERI_TABANI!E24*(1-0.928)*VERI_TABANI!$B$9, 0) + (VERI_TABANI!D24*B486*(VERI_TABANI!$B$13-VERI_TABANI!$B$14)*VERI_TABANI!G24) + (VERI_TABANI!D24*C486*(VERI_TABANI!$B$13-VERI_TABANI!$B$15)*VERI_TABANI!G24) + IF(ABS(IF(ISNUMBER(SEARCH("Var", D486)), 1, IF(ISNUMBER(SEARCH("Gri", D486)), -1, 0)))=1, VERI_TABANI!E24*(1-0.928)*0.00206091519919798*VERI_TABANI!G24, 0)) + ((MIN(VERI_TABANI!D25, VERI_TABANI!D25*B486)*VERI_TABANI!$B$7 + MAX(0, VERI_TABANI!D25*B486-VERI_TABANI!D25)*VERI_TABANI!$B$8) + (MIN(MAX(0, VERI_TABANI!D25-VERI_TABANI!D25*B486), VERI_TABANI!D25*C486)*VERI_TABANI!$B$7 + MAX(0, VERI_TABANI!D25*C486-MAX(0, VERI_TABANI!D25-VERI_TABANI!D25*B486))*VERI_TABANI!$B$8) + IF(ABS(IF(ISNUMBER(SEARCH("Var", D486)), 1, IF(ISNUMBER(SEARCH("Gri", D486)), -1, 0)))=1, VERI_TABANI!E25*(1-0.928)*VERI_TABANI!$B$9, 0) + (VERI_TABANI!D25*B486*(VERI_TABANI!$B$13-VERI_TABANI!$B$14)*VERI_TABANI!G25) + (VERI_TABANI!D25*C486*(VERI_TABANI!$B$13-VERI_TABANI!$B$15)*VERI_TABANI!G25) + IF(ABS(IF(ISNUMBER(SEARCH("Var", D486)), 1, IF(ISNUMBER(SEARCH("Gri", D486)), -1, 0)))=1, VERI_TABANI!E25*(1-0.928)*0.00206091519919798*VERI_TABANI!G25, 0)) + ((MIN(VERI_TABANI!D26, VERI_TABANI!D26*B486)*VERI_TABANI!$B$7 + MAX(0, VERI_TABANI!D26*B486-VERI_TABANI!D26)*VERI_TABANI!$B$8) + (MIN(MAX(0, VERI_TABANI!D26-VERI_TABANI!D26*B486), VERI_TABANI!D26*C486)*VERI_TABANI!$B$7 + MAX(0, VERI_TABANI!D26*C486-MAX(0, VERI_TABANI!D26-VERI_TABANI!D26*B486))*VERI_TABANI!$B$8) + IF(ABS(IF(ISNUMBER(SEARCH("Var", D486)), 1, IF(ISNUMBER(SEARCH("Gri", D486)), -1, 0)))=1, VERI_TABANI!E26*(1-0.928)*VERI_TABANI!$B$9, 0) + (VERI_TABANI!D26*B486*(VERI_TABANI!$B$13-VERI_TABANI!$B$14)*VERI_TABANI!G26) + (VERI_TABANI!D26*C486*(VERI_TABANI!$B$13-VERI_TABANI!$B$15)*VERI_TABANI!G26) + IF(ABS(IF(ISNUMBER(SEARCH("Var", D486)), 1, IF(ISNUMBER(SEARCH("Gri", D486)), -1, 0)))=1, VERI_TABANI!E26*(1-0.928)*0.00206091519919798*VERI_TABANI!G26, 0)) + ((MIN(VERI_TABANI!D27, VERI_TABANI!D27*B486)*VERI_TABANI!$B$7 + MAX(0, VERI_TABANI!D27*B486-VERI_TABANI!D27)*VERI_TABANI!$B$8) + (MIN(MAX(0, VERI_TABANI!D27-VERI_TABANI!D27*B486), VERI_TABANI!D27*C486)*VERI_TABANI!$B$7 + MAX(0, VERI_TABANI!D27*C486-MAX(0, VERI_TABANI!D27-VERI_TABANI!D27*B486))*VERI_TABANI!$B$8) + IF(ABS(IF(ISNUMBER(SEARCH("Var", D486)), 1, IF(ISNUMBER(SEARCH("Gri", D486)), -1, 0)))=1, VERI_TABANI!E27*(1-0.928)*VERI_TABANI!$B$9, 0) + (VERI_TABANI!D27*B486*(VERI_TABANI!$B$13-VERI_TABANI!$B$14)*VERI_TABANI!G27) + (VERI_TABANI!D27*C486*(VERI_TABANI!$B$13-VERI_TABANI!$B$15)*VERI_TABANI!G27) + IF(ABS(IF(ISNUMBER(SEARCH("Var", D486)), 1, IF(ISNUMBER(SEARCH("Gri", D486)), -1, 0)))=1, VERI_TABANI!E27*(1-0.928)*0.00206091519919798*VERI_TABANI!G27, 0)) + ((MIN(VERI_TABANI!D28, VERI_TABANI!D28*B486)*VERI_TABANI!$B$7 + MAX(0, VERI_TABANI!D28*B486-VERI_TABANI!D28)*VERI_TABANI!$B$8) + (MIN(MAX(0, VERI_TABANI!D28-VERI_TABANI!D28*B486), VERI_TABANI!D28*C486)*VERI_TABANI!$B$7 + MAX(0, VERI_TABANI!D28*C486-MAX(0, VERI_TABANI!D28-VERI_TABANI!D28*B486))*VERI_TABANI!$B$8) + IF(ABS(IF(ISNUMBER(SEARCH("Var", D486)), 1, IF(ISNUMBER(SEARCH("Gri", D486)), -1, 0)))=1, VERI_TABANI!E28*(1-0.928)*VERI_TABANI!$B$9, 0) + (VERI_TABANI!D28*B486*(VERI_TABANI!$B$13-VERI_TABANI!$B$14)*VERI_TABANI!G28) + (VERI_TABANI!D28*C486*(VERI_TABANI!$B$13-VERI_TABANI!$B$15)*VERI_TABANI!G28) + IF(ABS(IF(ISNUMBER(SEARCH("Var", D486)), 1, IF(ISNUMBER(SEARCH("Gri", D486)), -1, 0)))=1, VERI_TABANI!E28*(1-0.928)*0.00206091519919798*VERI_TABANI!G28, 0)))</f>
        <v/>
      </c>
      <c r="H486" s="169">
        <f>(((VERI_TABANI!D23*B486*(VERI_TABANI!$B$13-VERI_TABANI!$B$14)) + (VERI_TABANI!D23*C486*(VERI_TABANI!$B$13-VERI_TABANI!$B$15)) + IF(ISNUMBER(SEARCH("Var", D486)), VERI_TABANI!F23*(0.00202-VERI_TABANI!$B$16), IF(ISNUMBER(SEARCH("Gri", D486)), VERI_TABANI!F23*(0.00202-VERI_TABANI!$B$17), 0))) + ((VERI_TABANI!D24*B486*(VERI_TABANI!$B$13-VERI_TABANI!$B$14)) + (VERI_TABANI!D24*C486*(VERI_TABANI!$B$13-VERI_TABANI!$B$15)) + IF(ISNUMBER(SEARCH("Var", D486)), VERI_TABANI!F24*(0.00202-VERI_TABANI!$B$16), IF(ISNUMBER(SEARCH("Gri", D486)), VERI_TABANI!F24*(0.00202-VERI_TABANI!$B$17), 0))) + ((VERI_TABANI!D25*B486*(VERI_TABANI!$B$13-VERI_TABANI!$B$14)) + (VERI_TABANI!D25*C486*(VERI_TABANI!$B$13-VERI_TABANI!$B$15)) + IF(ISNUMBER(SEARCH("Var", D486)), VERI_TABANI!F25*(0.00202-VERI_TABANI!$B$16), IF(ISNUMBER(SEARCH("Gri", D486)), VERI_TABANI!F25*(0.00202-VERI_TABANI!$B$17), 0))) + ((VERI_TABANI!D26*B486*(VERI_TABANI!$B$13-VERI_TABANI!$B$14)) + (VERI_TABANI!D26*C486*(VERI_TABANI!$B$13-VERI_TABANI!$B$15)) + IF(ISNUMBER(SEARCH("Var", D486)), VERI_TABANI!F26*(0.00202-VERI_TABANI!$B$16), IF(ISNUMBER(SEARCH("Gri", D486)), VERI_TABANI!F26*(0.00202-VERI_TABANI!$B$17), 0))) + ((VERI_TABANI!D27*B486*(VERI_TABANI!$B$13-VERI_TABANI!$B$14)) + (VERI_TABANI!D27*C486*(VERI_TABANI!$B$13-VERI_TABANI!$B$15)) + IF(ISNUMBER(SEARCH("Var", D486)), VERI_TABANI!F27*(0.00202-VERI_TABANI!$B$16), IF(ISNUMBER(SEARCH("Gri", D486)), VERI_TABANI!F27*(0.00202-VERI_TABANI!$B$17), 0))) + ((VERI_TABANI!D28*B486*(VERI_TABANI!$B$13-VERI_TABANI!$B$14)) + (VERI_TABANI!D28*C486*(VERI_TABANI!$B$13-VERI_TABANI!$B$15)) + IF(ISNUMBER(SEARCH("Var", D486)), VERI_TABANI!F28*(0.00202-VERI_TABANI!$B$16), IF(ISNUMBER(SEARCH("Gri", D486)), VERI_TABANI!F28*(0.00202-VERI_TABANI!$B$17), 0))))</f>
        <v/>
      </c>
      <c r="I486" s="170">
        <f>IFERROR(((VERI_TABANI!$D$29*B486*VERI_TABANI!$B$14 + VERI_TABANI!$D$29*C486*VERI_TABANI!$B$15 + IF(ISNUMBER(SEARCH("Var", D486)), VERI_TABANI!$F$29*VERI_TABANI!$B$16, 0))) / (((VERI_TABANI!$D$29*B486 + VERI_TABANI!$D$29*C486)*VERI_TABANI!$B$13 + IF(ISNUMBER(SEARCH("Var", D486)), VERI_TABANI!$E$29*(1-0.928)*VERI_TABANI!$B$18, 0))), 0)</f>
        <v/>
      </c>
      <c r="J486" s="171">
        <f>IFERROR(F486/(G486/29), 0)</f>
        <v/>
      </c>
      <c r="K486" s="172">
        <f>IF(F486&gt;0, H486/F486, 0)</f>
        <v/>
      </c>
      <c r="L486" s="170">
        <f>IF(F486&gt;0, I486, 1000000000)</f>
        <v/>
      </c>
      <c r="M486" s="171">
        <f>ABS((B486+C486)-1)</f>
        <v/>
      </c>
      <c r="N486" s="170">
        <f>IF(F486&gt;0, (G486/29)/F486, 0)</f>
        <v/>
      </c>
      <c r="O486" s="168">
        <f>IF(AND((B486+C486)&gt;=1, ISNUMBER(SEARCH("Var", D486))), F486, 1000000000)</f>
        <v/>
      </c>
      <c r="P486" s="172">
        <f>IF(F486&gt;0, SQRT((F486/MAX(F$5:F$886))^2 + (1 - H486/MAX(H$5:H$886))^2 + (J486/MAX(J$5:J$886))^2), 1000000000)</f>
        <v/>
      </c>
      <c r="Q486" s="166">
        <f>IF(AND(ABS(B486-0.5)&lt;0.01, ABS(C486-0.5)&lt;0.01, ISNUMBER(SEARCH("Var", D486))), 1, 0)</f>
        <v/>
      </c>
      <c r="R486" s="171">
        <f>IF(F486&gt;0, J486, 1000000000)</f>
        <v/>
      </c>
      <c r="S486" s="101">
        <f>IF(AND(F486&lt;=DASHBOARD!$B$11, H486&gt;=DASHBOARD!$B$13), G486, -1000000000000)</f>
        <v/>
      </c>
      <c r="T486" s="101">
        <f>IF(AND(F486&lt;=DASHBOARD!$B$11, H486&gt;=DASHBOARD!$B$13), R486, 1000000000000)</f>
        <v/>
      </c>
      <c r="U486" s="101">
        <f>IF(AND(F486&lt;=DASHBOARD!$B$11, H486&gt;=DASHBOARD!$B$13), N486, -1000000000000)</f>
        <v/>
      </c>
      <c r="V486" s="101">
        <f>IF(AND(F486&lt;=DASHBOARD!$B$11, H486&gt;=DASHBOARD!$B$13), H486, -1000000000000)</f>
        <v/>
      </c>
      <c r="W486" s="101">
        <f>IF(AND(F486&lt;=DASHBOARD!$B$11, H486&gt;=DASHBOARD!$B$13), K486, -1000000000000)</f>
        <v/>
      </c>
      <c r="X486" s="101">
        <f>IF(AND(F486&lt;=DASHBOARD!$B$11, H486&gt;=DASHBOARD!$B$13), M486, 1000000000000)</f>
        <v/>
      </c>
      <c r="Y486" s="101">
        <f>IF(AND(F486&lt;=DASHBOARD!$B$10, H486&gt;=DASHBOARD!$B$11), L486, 1000000000000)</f>
        <v/>
      </c>
      <c r="Z486" s="101">
        <f>IF(AND(F486&lt;=DASHBOARD!$B$10, H486&gt;=DASHBOARD!$B$11), O486, 1000000000000)</f>
        <v/>
      </c>
      <c r="AA486" s="101">
        <f>IF(AND(F486&lt;=DASHBOARD!$B$10, H486&gt;=DASHBOARD!$B$11), P486, 1000000000000)</f>
        <v/>
      </c>
      <c r="AB486" s="101">
        <f>IF(AND(F486&lt;=DASHBOARD!$B$10, H486&gt;=DASHBOARD!$B$11), Q486, -1000000000000)</f>
        <v/>
      </c>
    </row>
    <row r="487" ht="15" customHeight="1" s="102">
      <c r="A487" s="166" t="n">
        <v>483</v>
      </c>
      <c r="B487" s="167" t="n">
        <v>1.1</v>
      </c>
      <c r="C487" s="167" t="n">
        <v>1</v>
      </c>
      <c r="D487" s="110" t="inlineStr">
        <is>
          <t>Yok (%0)</t>
        </is>
      </c>
      <c r="E487" s="110">
        <f>IF((B487+C487)&lt;=1, "Tam Mahsuplaşma (≤%100)", "Kısmi Satış (&gt;%100)")</f>
        <v/>
      </c>
      <c r="F487" s="168">
        <f>((VERI_TABANI!$D$29*B487/VERI_TABANI!$B$29)/VERI_TABANI!$B$3)*VERI_TABANI!$B$5 + ((VERI_TABANI!$D$29*C487/VERI_TABANI!$B$29)/VERI_TABANI!$B$4)*VERI_TABANI!$B$6 + IF(ISNUMBER(SEARCH("Var", D487)), (VERI_TABANI!$F$29/VERI_TABANI!$B$29)*(VERI_TABANI!$B$10+VERI_TABANI!$B$12), 0)</f>
        <v/>
      </c>
      <c r="G487" s="168">
        <f>(((MIN(VERI_TABANI!D23, VERI_TABANI!D23*B487)*VERI_TABANI!$B$7 + MAX(0, VERI_TABANI!D23*B487-VERI_TABANI!D23)*VERI_TABANI!$B$8) + (MIN(MAX(0, VERI_TABANI!D23-VERI_TABANI!D23*B487), VERI_TABANI!D23*C487)*VERI_TABANI!$B$7 + MAX(0, VERI_TABANI!D23*C487-MAX(0, VERI_TABANI!D23-VERI_TABANI!D23*B487))*VERI_TABANI!$B$8) + IF(ABS(IF(ISNUMBER(SEARCH("Var", D487)), 1, IF(ISNUMBER(SEARCH("Gri", D487)), -1, 0)))=1, VERI_TABANI!E23*(1-0.928)*VERI_TABANI!$B$9, 0) + (VERI_TABANI!D23*B487*(VERI_TABANI!$B$13-VERI_TABANI!$B$14)*VERI_TABANI!G23) + (VERI_TABANI!D23*C487*(VERI_TABANI!$B$13-VERI_TABANI!$B$15)*VERI_TABANI!G23) + IF(ABS(IF(ISNUMBER(SEARCH("Var", D487)), 1, IF(ISNUMBER(SEARCH("Gri", D487)), -1, 0)))=1, VERI_TABANI!E23*(1-0.928)*0.00206091519919798*VERI_TABANI!G23, 0)) + ((MIN(VERI_TABANI!D24, VERI_TABANI!D24*B487)*VERI_TABANI!$B$7 + MAX(0, VERI_TABANI!D24*B487-VERI_TABANI!D24)*VERI_TABANI!$B$8) + (MIN(MAX(0, VERI_TABANI!D24-VERI_TABANI!D24*B487), VERI_TABANI!D24*C487)*VERI_TABANI!$B$7 + MAX(0, VERI_TABANI!D24*C487-MAX(0, VERI_TABANI!D24-VERI_TABANI!D24*B487))*VERI_TABANI!$B$8) + IF(ABS(IF(ISNUMBER(SEARCH("Var", D487)), 1, IF(ISNUMBER(SEARCH("Gri", D487)), -1, 0)))=1, VERI_TABANI!E24*(1-0.928)*VERI_TABANI!$B$9, 0) + (VERI_TABANI!D24*B487*(VERI_TABANI!$B$13-VERI_TABANI!$B$14)*VERI_TABANI!G24) + (VERI_TABANI!D24*C487*(VERI_TABANI!$B$13-VERI_TABANI!$B$15)*VERI_TABANI!G24) + IF(ABS(IF(ISNUMBER(SEARCH("Var", D487)), 1, IF(ISNUMBER(SEARCH("Gri", D487)), -1, 0)))=1, VERI_TABANI!E24*(1-0.928)*0.00206091519919798*VERI_TABANI!G24, 0)) + ((MIN(VERI_TABANI!D25, VERI_TABANI!D25*B487)*VERI_TABANI!$B$7 + MAX(0, VERI_TABANI!D25*B487-VERI_TABANI!D25)*VERI_TABANI!$B$8) + (MIN(MAX(0, VERI_TABANI!D25-VERI_TABANI!D25*B487), VERI_TABANI!D25*C487)*VERI_TABANI!$B$7 + MAX(0, VERI_TABANI!D25*C487-MAX(0, VERI_TABANI!D25-VERI_TABANI!D25*B487))*VERI_TABANI!$B$8) + IF(ABS(IF(ISNUMBER(SEARCH("Var", D487)), 1, IF(ISNUMBER(SEARCH("Gri", D487)), -1, 0)))=1, VERI_TABANI!E25*(1-0.928)*VERI_TABANI!$B$9, 0) + (VERI_TABANI!D25*B487*(VERI_TABANI!$B$13-VERI_TABANI!$B$14)*VERI_TABANI!G25) + (VERI_TABANI!D25*C487*(VERI_TABANI!$B$13-VERI_TABANI!$B$15)*VERI_TABANI!G25) + IF(ABS(IF(ISNUMBER(SEARCH("Var", D487)), 1, IF(ISNUMBER(SEARCH("Gri", D487)), -1, 0)))=1, VERI_TABANI!E25*(1-0.928)*0.00206091519919798*VERI_TABANI!G25, 0)) + ((MIN(VERI_TABANI!D26, VERI_TABANI!D26*B487)*VERI_TABANI!$B$7 + MAX(0, VERI_TABANI!D26*B487-VERI_TABANI!D26)*VERI_TABANI!$B$8) + (MIN(MAX(0, VERI_TABANI!D26-VERI_TABANI!D26*B487), VERI_TABANI!D26*C487)*VERI_TABANI!$B$7 + MAX(0, VERI_TABANI!D26*C487-MAX(0, VERI_TABANI!D26-VERI_TABANI!D26*B487))*VERI_TABANI!$B$8) + IF(ABS(IF(ISNUMBER(SEARCH("Var", D487)), 1, IF(ISNUMBER(SEARCH("Gri", D487)), -1, 0)))=1, VERI_TABANI!E26*(1-0.928)*VERI_TABANI!$B$9, 0) + (VERI_TABANI!D26*B487*(VERI_TABANI!$B$13-VERI_TABANI!$B$14)*VERI_TABANI!G26) + (VERI_TABANI!D26*C487*(VERI_TABANI!$B$13-VERI_TABANI!$B$15)*VERI_TABANI!G26) + IF(ABS(IF(ISNUMBER(SEARCH("Var", D487)), 1, IF(ISNUMBER(SEARCH("Gri", D487)), -1, 0)))=1, VERI_TABANI!E26*(1-0.928)*0.00206091519919798*VERI_TABANI!G26, 0)) + ((MIN(VERI_TABANI!D27, VERI_TABANI!D27*B487)*VERI_TABANI!$B$7 + MAX(0, VERI_TABANI!D27*B487-VERI_TABANI!D27)*VERI_TABANI!$B$8) + (MIN(MAX(0, VERI_TABANI!D27-VERI_TABANI!D27*B487), VERI_TABANI!D27*C487)*VERI_TABANI!$B$7 + MAX(0, VERI_TABANI!D27*C487-MAX(0, VERI_TABANI!D27-VERI_TABANI!D27*B487))*VERI_TABANI!$B$8) + IF(ABS(IF(ISNUMBER(SEARCH("Var", D487)), 1, IF(ISNUMBER(SEARCH("Gri", D487)), -1, 0)))=1, VERI_TABANI!E27*(1-0.928)*VERI_TABANI!$B$9, 0) + (VERI_TABANI!D27*B487*(VERI_TABANI!$B$13-VERI_TABANI!$B$14)*VERI_TABANI!G27) + (VERI_TABANI!D27*C487*(VERI_TABANI!$B$13-VERI_TABANI!$B$15)*VERI_TABANI!G27) + IF(ABS(IF(ISNUMBER(SEARCH("Var", D487)), 1, IF(ISNUMBER(SEARCH("Gri", D487)), -1, 0)))=1, VERI_TABANI!E27*(1-0.928)*0.00206091519919798*VERI_TABANI!G27, 0)) + ((MIN(VERI_TABANI!D28, VERI_TABANI!D28*B487)*VERI_TABANI!$B$7 + MAX(0, VERI_TABANI!D28*B487-VERI_TABANI!D28)*VERI_TABANI!$B$8) + (MIN(MAX(0, VERI_TABANI!D28-VERI_TABANI!D28*B487), VERI_TABANI!D28*C487)*VERI_TABANI!$B$7 + MAX(0, VERI_TABANI!D28*C487-MAX(0, VERI_TABANI!D28-VERI_TABANI!D28*B487))*VERI_TABANI!$B$8) + IF(ABS(IF(ISNUMBER(SEARCH("Var", D487)), 1, IF(ISNUMBER(SEARCH("Gri", D487)), -1, 0)))=1, VERI_TABANI!E28*(1-0.928)*VERI_TABANI!$B$9, 0) + (VERI_TABANI!D28*B487*(VERI_TABANI!$B$13-VERI_TABANI!$B$14)*VERI_TABANI!G28) + (VERI_TABANI!D28*C487*(VERI_TABANI!$B$13-VERI_TABANI!$B$15)*VERI_TABANI!G28) + IF(ABS(IF(ISNUMBER(SEARCH("Var", D487)), 1, IF(ISNUMBER(SEARCH("Gri", D487)), -1, 0)))=1, VERI_TABANI!E28*(1-0.928)*0.00206091519919798*VERI_TABANI!G28, 0)))</f>
        <v/>
      </c>
      <c r="H487" s="169">
        <f>(((VERI_TABANI!D23*B487*(VERI_TABANI!$B$13-VERI_TABANI!$B$14)) + (VERI_TABANI!D23*C487*(VERI_TABANI!$B$13-VERI_TABANI!$B$15)) + IF(ISNUMBER(SEARCH("Var", D487)), VERI_TABANI!F23*(0.00202-VERI_TABANI!$B$16), IF(ISNUMBER(SEARCH("Gri", D487)), VERI_TABANI!F23*(0.00202-VERI_TABANI!$B$17), 0))) + ((VERI_TABANI!D24*B487*(VERI_TABANI!$B$13-VERI_TABANI!$B$14)) + (VERI_TABANI!D24*C487*(VERI_TABANI!$B$13-VERI_TABANI!$B$15)) + IF(ISNUMBER(SEARCH("Var", D487)), VERI_TABANI!F24*(0.00202-VERI_TABANI!$B$16), IF(ISNUMBER(SEARCH("Gri", D487)), VERI_TABANI!F24*(0.00202-VERI_TABANI!$B$17), 0))) + ((VERI_TABANI!D25*B487*(VERI_TABANI!$B$13-VERI_TABANI!$B$14)) + (VERI_TABANI!D25*C487*(VERI_TABANI!$B$13-VERI_TABANI!$B$15)) + IF(ISNUMBER(SEARCH("Var", D487)), VERI_TABANI!F25*(0.00202-VERI_TABANI!$B$16), IF(ISNUMBER(SEARCH("Gri", D487)), VERI_TABANI!F25*(0.00202-VERI_TABANI!$B$17), 0))) + ((VERI_TABANI!D26*B487*(VERI_TABANI!$B$13-VERI_TABANI!$B$14)) + (VERI_TABANI!D26*C487*(VERI_TABANI!$B$13-VERI_TABANI!$B$15)) + IF(ISNUMBER(SEARCH("Var", D487)), VERI_TABANI!F26*(0.00202-VERI_TABANI!$B$16), IF(ISNUMBER(SEARCH("Gri", D487)), VERI_TABANI!F26*(0.00202-VERI_TABANI!$B$17), 0))) + ((VERI_TABANI!D27*B487*(VERI_TABANI!$B$13-VERI_TABANI!$B$14)) + (VERI_TABANI!D27*C487*(VERI_TABANI!$B$13-VERI_TABANI!$B$15)) + IF(ISNUMBER(SEARCH("Var", D487)), VERI_TABANI!F27*(0.00202-VERI_TABANI!$B$16), IF(ISNUMBER(SEARCH("Gri", D487)), VERI_TABANI!F27*(0.00202-VERI_TABANI!$B$17), 0))) + ((VERI_TABANI!D28*B487*(VERI_TABANI!$B$13-VERI_TABANI!$B$14)) + (VERI_TABANI!D28*C487*(VERI_TABANI!$B$13-VERI_TABANI!$B$15)) + IF(ISNUMBER(SEARCH("Var", D487)), VERI_TABANI!F28*(0.00202-VERI_TABANI!$B$16), IF(ISNUMBER(SEARCH("Gri", D487)), VERI_TABANI!F28*(0.00202-VERI_TABANI!$B$17), 0))))</f>
        <v/>
      </c>
      <c r="I487" s="170">
        <f>IFERROR(((VERI_TABANI!$D$29*B487*VERI_TABANI!$B$14 + VERI_TABANI!$D$29*C487*VERI_TABANI!$B$15 + IF(ISNUMBER(SEARCH("Var", D487)), VERI_TABANI!$F$29*VERI_TABANI!$B$16, 0))) / (((VERI_TABANI!$D$29*B487 + VERI_TABANI!$D$29*C487)*VERI_TABANI!$B$13 + IF(ISNUMBER(SEARCH("Var", D487)), VERI_TABANI!$E$29*(1-0.928)*VERI_TABANI!$B$18, 0))), 0)</f>
        <v/>
      </c>
      <c r="J487" s="171">
        <f>IFERROR(F487/(G487/29), 0)</f>
        <v/>
      </c>
      <c r="K487" s="172">
        <f>IF(F487&gt;0, H487/F487, 0)</f>
        <v/>
      </c>
      <c r="L487" s="170">
        <f>IF(F487&gt;0, I487, 1000000000)</f>
        <v/>
      </c>
      <c r="M487" s="171">
        <f>ABS((B487+C487)-1)</f>
        <v/>
      </c>
      <c r="N487" s="170">
        <f>IF(F487&gt;0, (G487/29)/F487, 0)</f>
        <v/>
      </c>
      <c r="O487" s="168">
        <f>IF(AND((B487+C487)&gt;=1, ISNUMBER(SEARCH("Var", D487))), F487, 1000000000)</f>
        <v/>
      </c>
      <c r="P487" s="172">
        <f>IF(F487&gt;0, SQRT((F487/MAX(F$5:F$886))^2 + (1 - H487/MAX(H$5:H$886))^2 + (J487/MAX(J$5:J$886))^2), 1000000000)</f>
        <v/>
      </c>
      <c r="Q487" s="166">
        <f>IF(AND(ABS(B487-0.5)&lt;0.01, ABS(C487-0.5)&lt;0.01, ISNUMBER(SEARCH("Var", D487))), 1, 0)</f>
        <v/>
      </c>
      <c r="R487" s="171">
        <f>IF(F487&gt;0, J487, 1000000000)</f>
        <v/>
      </c>
      <c r="S487" s="101">
        <f>IF(AND(F487&lt;=DASHBOARD!$B$11, H487&gt;=DASHBOARD!$B$13), G487, -1000000000000)</f>
        <v/>
      </c>
      <c r="T487" s="101">
        <f>IF(AND(F487&lt;=DASHBOARD!$B$11, H487&gt;=DASHBOARD!$B$13), R487, 1000000000000)</f>
        <v/>
      </c>
      <c r="U487" s="101">
        <f>IF(AND(F487&lt;=DASHBOARD!$B$11, H487&gt;=DASHBOARD!$B$13), N487, -1000000000000)</f>
        <v/>
      </c>
      <c r="V487" s="101">
        <f>IF(AND(F487&lt;=DASHBOARD!$B$11, H487&gt;=DASHBOARD!$B$13), H487, -1000000000000)</f>
        <v/>
      </c>
      <c r="W487" s="101">
        <f>IF(AND(F487&lt;=DASHBOARD!$B$11, H487&gt;=DASHBOARD!$B$13), K487, -1000000000000)</f>
        <v/>
      </c>
      <c r="X487" s="101">
        <f>IF(AND(F487&lt;=DASHBOARD!$B$11, H487&gt;=DASHBOARD!$B$13), M487, 1000000000000)</f>
        <v/>
      </c>
      <c r="Y487" s="101">
        <f>IF(AND(F487&lt;=DASHBOARD!$B$10, H487&gt;=DASHBOARD!$B$11), L487, 1000000000000)</f>
        <v/>
      </c>
      <c r="Z487" s="101">
        <f>IF(AND(F487&lt;=DASHBOARD!$B$10, H487&gt;=DASHBOARD!$B$11), O487, 1000000000000)</f>
        <v/>
      </c>
      <c r="AA487" s="101">
        <f>IF(AND(F487&lt;=DASHBOARD!$B$10, H487&gt;=DASHBOARD!$B$11), P487, 1000000000000)</f>
        <v/>
      </c>
      <c r="AB487" s="101">
        <f>IF(AND(F487&lt;=DASHBOARD!$B$10, H487&gt;=DASHBOARD!$B$11), Q487, -1000000000000)</f>
        <v/>
      </c>
    </row>
    <row r="488" ht="15" customHeight="1" s="102">
      <c r="A488" s="166" t="n">
        <v>484</v>
      </c>
      <c r="B488" s="167" t="n">
        <v>1.1</v>
      </c>
      <c r="C488" s="167" t="n">
        <v>1</v>
      </c>
      <c r="D488" s="110" t="inlineStr">
        <is>
          <t>Var (%20)</t>
        </is>
      </c>
      <c r="E488" s="110">
        <f>IF((B488+C488)&lt;=1, "Tam Mahsuplaşma (≤%100)", "Kısmi Satış (&gt;%100)")</f>
        <v/>
      </c>
      <c r="F488" s="168">
        <f>((VERI_TABANI!$D$29*B488/VERI_TABANI!$B$29)/VERI_TABANI!$B$3)*VERI_TABANI!$B$5 + ((VERI_TABANI!$D$29*C488/VERI_TABANI!$B$29)/VERI_TABANI!$B$4)*VERI_TABANI!$B$6 + IF(ISNUMBER(SEARCH("Var", D488)), (VERI_TABANI!$F$29/VERI_TABANI!$B$29)*(VERI_TABANI!$B$10+VERI_TABANI!$B$12), 0)</f>
        <v/>
      </c>
      <c r="G488" s="168">
        <f>(((MIN(VERI_TABANI!D23, VERI_TABANI!D23*B488)*VERI_TABANI!$B$7 + MAX(0, VERI_TABANI!D23*B488-VERI_TABANI!D23)*VERI_TABANI!$B$8) + (MIN(MAX(0, VERI_TABANI!D23-VERI_TABANI!D23*B488), VERI_TABANI!D23*C488)*VERI_TABANI!$B$7 + MAX(0, VERI_TABANI!D23*C488-MAX(0, VERI_TABANI!D23-VERI_TABANI!D23*B488))*VERI_TABANI!$B$8) + IF(ABS(IF(ISNUMBER(SEARCH("Var", D488)), 1, IF(ISNUMBER(SEARCH("Gri", D488)), -1, 0)))=1, VERI_TABANI!E23*(1-0.928)*VERI_TABANI!$B$9, 0) + (VERI_TABANI!D23*B488*(VERI_TABANI!$B$13-VERI_TABANI!$B$14)*VERI_TABANI!G23) + (VERI_TABANI!D23*C488*(VERI_TABANI!$B$13-VERI_TABANI!$B$15)*VERI_TABANI!G23) + IF(ABS(IF(ISNUMBER(SEARCH("Var", D488)), 1, IF(ISNUMBER(SEARCH("Gri", D488)), -1, 0)))=1, VERI_TABANI!E23*(1-0.928)*0.00206091519919798*VERI_TABANI!G23, 0)) + ((MIN(VERI_TABANI!D24, VERI_TABANI!D24*B488)*VERI_TABANI!$B$7 + MAX(0, VERI_TABANI!D24*B488-VERI_TABANI!D24)*VERI_TABANI!$B$8) + (MIN(MAX(0, VERI_TABANI!D24-VERI_TABANI!D24*B488), VERI_TABANI!D24*C488)*VERI_TABANI!$B$7 + MAX(0, VERI_TABANI!D24*C488-MAX(0, VERI_TABANI!D24-VERI_TABANI!D24*B488))*VERI_TABANI!$B$8) + IF(ABS(IF(ISNUMBER(SEARCH("Var", D488)), 1, IF(ISNUMBER(SEARCH("Gri", D488)), -1, 0)))=1, VERI_TABANI!E24*(1-0.928)*VERI_TABANI!$B$9, 0) + (VERI_TABANI!D24*B488*(VERI_TABANI!$B$13-VERI_TABANI!$B$14)*VERI_TABANI!G24) + (VERI_TABANI!D24*C488*(VERI_TABANI!$B$13-VERI_TABANI!$B$15)*VERI_TABANI!G24) + IF(ABS(IF(ISNUMBER(SEARCH("Var", D488)), 1, IF(ISNUMBER(SEARCH("Gri", D488)), -1, 0)))=1, VERI_TABANI!E24*(1-0.928)*0.00206091519919798*VERI_TABANI!G24, 0)) + ((MIN(VERI_TABANI!D25, VERI_TABANI!D25*B488)*VERI_TABANI!$B$7 + MAX(0, VERI_TABANI!D25*B488-VERI_TABANI!D25)*VERI_TABANI!$B$8) + (MIN(MAX(0, VERI_TABANI!D25-VERI_TABANI!D25*B488), VERI_TABANI!D25*C488)*VERI_TABANI!$B$7 + MAX(0, VERI_TABANI!D25*C488-MAX(0, VERI_TABANI!D25-VERI_TABANI!D25*B488))*VERI_TABANI!$B$8) + IF(ABS(IF(ISNUMBER(SEARCH("Var", D488)), 1, IF(ISNUMBER(SEARCH("Gri", D488)), -1, 0)))=1, VERI_TABANI!E25*(1-0.928)*VERI_TABANI!$B$9, 0) + (VERI_TABANI!D25*B488*(VERI_TABANI!$B$13-VERI_TABANI!$B$14)*VERI_TABANI!G25) + (VERI_TABANI!D25*C488*(VERI_TABANI!$B$13-VERI_TABANI!$B$15)*VERI_TABANI!G25) + IF(ABS(IF(ISNUMBER(SEARCH("Var", D488)), 1, IF(ISNUMBER(SEARCH("Gri", D488)), -1, 0)))=1, VERI_TABANI!E25*(1-0.928)*0.00206091519919798*VERI_TABANI!G25, 0)) + ((MIN(VERI_TABANI!D26, VERI_TABANI!D26*B488)*VERI_TABANI!$B$7 + MAX(0, VERI_TABANI!D26*B488-VERI_TABANI!D26)*VERI_TABANI!$B$8) + (MIN(MAX(0, VERI_TABANI!D26-VERI_TABANI!D26*B488), VERI_TABANI!D26*C488)*VERI_TABANI!$B$7 + MAX(0, VERI_TABANI!D26*C488-MAX(0, VERI_TABANI!D26-VERI_TABANI!D26*B488))*VERI_TABANI!$B$8) + IF(ABS(IF(ISNUMBER(SEARCH("Var", D488)), 1, IF(ISNUMBER(SEARCH("Gri", D488)), -1, 0)))=1, VERI_TABANI!E26*(1-0.928)*VERI_TABANI!$B$9, 0) + (VERI_TABANI!D26*B488*(VERI_TABANI!$B$13-VERI_TABANI!$B$14)*VERI_TABANI!G26) + (VERI_TABANI!D26*C488*(VERI_TABANI!$B$13-VERI_TABANI!$B$15)*VERI_TABANI!G26) + IF(ABS(IF(ISNUMBER(SEARCH("Var", D488)), 1, IF(ISNUMBER(SEARCH("Gri", D488)), -1, 0)))=1, VERI_TABANI!E26*(1-0.928)*0.00206091519919798*VERI_TABANI!G26, 0)) + ((MIN(VERI_TABANI!D27, VERI_TABANI!D27*B488)*VERI_TABANI!$B$7 + MAX(0, VERI_TABANI!D27*B488-VERI_TABANI!D27)*VERI_TABANI!$B$8) + (MIN(MAX(0, VERI_TABANI!D27-VERI_TABANI!D27*B488), VERI_TABANI!D27*C488)*VERI_TABANI!$B$7 + MAX(0, VERI_TABANI!D27*C488-MAX(0, VERI_TABANI!D27-VERI_TABANI!D27*B488))*VERI_TABANI!$B$8) + IF(ABS(IF(ISNUMBER(SEARCH("Var", D488)), 1, IF(ISNUMBER(SEARCH("Gri", D488)), -1, 0)))=1, VERI_TABANI!E27*(1-0.928)*VERI_TABANI!$B$9, 0) + (VERI_TABANI!D27*B488*(VERI_TABANI!$B$13-VERI_TABANI!$B$14)*VERI_TABANI!G27) + (VERI_TABANI!D27*C488*(VERI_TABANI!$B$13-VERI_TABANI!$B$15)*VERI_TABANI!G27) + IF(ABS(IF(ISNUMBER(SEARCH("Var", D488)), 1, IF(ISNUMBER(SEARCH("Gri", D488)), -1, 0)))=1, VERI_TABANI!E27*(1-0.928)*0.00206091519919798*VERI_TABANI!G27, 0)) + ((MIN(VERI_TABANI!D28, VERI_TABANI!D28*B488)*VERI_TABANI!$B$7 + MAX(0, VERI_TABANI!D28*B488-VERI_TABANI!D28)*VERI_TABANI!$B$8) + (MIN(MAX(0, VERI_TABANI!D28-VERI_TABANI!D28*B488), VERI_TABANI!D28*C488)*VERI_TABANI!$B$7 + MAX(0, VERI_TABANI!D28*C488-MAX(0, VERI_TABANI!D28-VERI_TABANI!D28*B488))*VERI_TABANI!$B$8) + IF(ABS(IF(ISNUMBER(SEARCH("Var", D488)), 1, IF(ISNUMBER(SEARCH("Gri", D488)), -1, 0)))=1, VERI_TABANI!E28*(1-0.928)*VERI_TABANI!$B$9, 0) + (VERI_TABANI!D28*B488*(VERI_TABANI!$B$13-VERI_TABANI!$B$14)*VERI_TABANI!G28) + (VERI_TABANI!D28*C488*(VERI_TABANI!$B$13-VERI_TABANI!$B$15)*VERI_TABANI!G28) + IF(ABS(IF(ISNUMBER(SEARCH("Var", D488)), 1, IF(ISNUMBER(SEARCH("Gri", D488)), -1, 0)))=1, VERI_TABANI!E28*(1-0.928)*0.00206091519919798*VERI_TABANI!G28, 0)))</f>
        <v/>
      </c>
      <c r="H488" s="169">
        <f>(((VERI_TABANI!D23*B488*(VERI_TABANI!$B$13-VERI_TABANI!$B$14)) + (VERI_TABANI!D23*C488*(VERI_TABANI!$B$13-VERI_TABANI!$B$15)) + IF(ISNUMBER(SEARCH("Var", D488)), VERI_TABANI!F23*(0.00202-VERI_TABANI!$B$16), IF(ISNUMBER(SEARCH("Gri", D488)), VERI_TABANI!F23*(0.00202-VERI_TABANI!$B$17), 0))) + ((VERI_TABANI!D24*B488*(VERI_TABANI!$B$13-VERI_TABANI!$B$14)) + (VERI_TABANI!D24*C488*(VERI_TABANI!$B$13-VERI_TABANI!$B$15)) + IF(ISNUMBER(SEARCH("Var", D488)), VERI_TABANI!F24*(0.00202-VERI_TABANI!$B$16), IF(ISNUMBER(SEARCH("Gri", D488)), VERI_TABANI!F24*(0.00202-VERI_TABANI!$B$17), 0))) + ((VERI_TABANI!D25*B488*(VERI_TABANI!$B$13-VERI_TABANI!$B$14)) + (VERI_TABANI!D25*C488*(VERI_TABANI!$B$13-VERI_TABANI!$B$15)) + IF(ISNUMBER(SEARCH("Var", D488)), VERI_TABANI!F25*(0.00202-VERI_TABANI!$B$16), IF(ISNUMBER(SEARCH("Gri", D488)), VERI_TABANI!F25*(0.00202-VERI_TABANI!$B$17), 0))) + ((VERI_TABANI!D26*B488*(VERI_TABANI!$B$13-VERI_TABANI!$B$14)) + (VERI_TABANI!D26*C488*(VERI_TABANI!$B$13-VERI_TABANI!$B$15)) + IF(ISNUMBER(SEARCH("Var", D488)), VERI_TABANI!F26*(0.00202-VERI_TABANI!$B$16), IF(ISNUMBER(SEARCH("Gri", D488)), VERI_TABANI!F26*(0.00202-VERI_TABANI!$B$17), 0))) + ((VERI_TABANI!D27*B488*(VERI_TABANI!$B$13-VERI_TABANI!$B$14)) + (VERI_TABANI!D27*C488*(VERI_TABANI!$B$13-VERI_TABANI!$B$15)) + IF(ISNUMBER(SEARCH("Var", D488)), VERI_TABANI!F27*(0.00202-VERI_TABANI!$B$16), IF(ISNUMBER(SEARCH("Gri", D488)), VERI_TABANI!F27*(0.00202-VERI_TABANI!$B$17), 0))) + ((VERI_TABANI!D28*B488*(VERI_TABANI!$B$13-VERI_TABANI!$B$14)) + (VERI_TABANI!D28*C488*(VERI_TABANI!$B$13-VERI_TABANI!$B$15)) + IF(ISNUMBER(SEARCH("Var", D488)), VERI_TABANI!F28*(0.00202-VERI_TABANI!$B$16), IF(ISNUMBER(SEARCH("Gri", D488)), VERI_TABANI!F28*(0.00202-VERI_TABANI!$B$17), 0))))</f>
        <v/>
      </c>
      <c r="I488" s="170">
        <f>IFERROR(((VERI_TABANI!$D$29*B488*VERI_TABANI!$B$14 + VERI_TABANI!$D$29*C488*VERI_TABANI!$B$15 + IF(ISNUMBER(SEARCH("Var", D488)), VERI_TABANI!$F$29*VERI_TABANI!$B$16, 0))) / (((VERI_TABANI!$D$29*B488 + VERI_TABANI!$D$29*C488)*VERI_TABANI!$B$13 + IF(ISNUMBER(SEARCH("Var", D488)), VERI_TABANI!$E$29*(1-0.928)*VERI_TABANI!$B$18, 0))), 0)</f>
        <v/>
      </c>
      <c r="J488" s="171">
        <f>IFERROR(F488/(G488/29), 0)</f>
        <v/>
      </c>
      <c r="K488" s="172">
        <f>IF(F488&gt;0, H488/F488, 0)</f>
        <v/>
      </c>
      <c r="L488" s="170">
        <f>IF(F488&gt;0, I488, 1000000000)</f>
        <v/>
      </c>
      <c r="M488" s="171">
        <f>ABS((B488+C488)-1)</f>
        <v/>
      </c>
      <c r="N488" s="170">
        <f>IF(F488&gt;0, (G488/29)/F488, 0)</f>
        <v/>
      </c>
      <c r="O488" s="168">
        <f>IF(AND((B488+C488)&gt;=1, ISNUMBER(SEARCH("Var", D488))), F488, 1000000000)</f>
        <v/>
      </c>
      <c r="P488" s="172">
        <f>IF(F488&gt;0, SQRT((F488/MAX(F$5:F$886))^2 + (1 - H488/MAX(H$5:H$886))^2 + (J488/MAX(J$5:J$886))^2), 1000000000)</f>
        <v/>
      </c>
      <c r="Q488" s="166">
        <f>IF(AND(ABS(B488-0.5)&lt;0.01, ABS(C488-0.5)&lt;0.01, ISNUMBER(SEARCH("Var", D488))), 1, 0)</f>
        <v/>
      </c>
      <c r="R488" s="171">
        <f>IF(F488&gt;0, J488, 1000000000)</f>
        <v/>
      </c>
      <c r="S488" s="101">
        <f>IF(AND(F488&lt;=DASHBOARD!$B$11, H488&gt;=DASHBOARD!$B$13), G488, -1000000000000)</f>
        <v/>
      </c>
      <c r="T488" s="101">
        <f>IF(AND(F488&lt;=DASHBOARD!$B$11, H488&gt;=DASHBOARD!$B$13), R488, 1000000000000)</f>
        <v/>
      </c>
      <c r="U488" s="101">
        <f>IF(AND(F488&lt;=DASHBOARD!$B$11, H488&gt;=DASHBOARD!$B$13), N488, -1000000000000)</f>
        <v/>
      </c>
      <c r="V488" s="101">
        <f>IF(AND(F488&lt;=DASHBOARD!$B$11, H488&gt;=DASHBOARD!$B$13), H488, -1000000000000)</f>
        <v/>
      </c>
      <c r="W488" s="101">
        <f>IF(AND(F488&lt;=DASHBOARD!$B$11, H488&gt;=DASHBOARD!$B$13), K488, -1000000000000)</f>
        <v/>
      </c>
      <c r="X488" s="101">
        <f>IF(AND(F488&lt;=DASHBOARD!$B$11, H488&gt;=DASHBOARD!$B$13), M488, 1000000000000)</f>
        <v/>
      </c>
      <c r="Y488" s="101">
        <f>IF(AND(F488&lt;=DASHBOARD!$B$10, H488&gt;=DASHBOARD!$B$11), L488, 1000000000000)</f>
        <v/>
      </c>
      <c r="Z488" s="101">
        <f>IF(AND(F488&lt;=DASHBOARD!$B$10, H488&gt;=DASHBOARD!$B$11), O488, 1000000000000)</f>
        <v/>
      </c>
      <c r="AA488" s="101">
        <f>IF(AND(F488&lt;=DASHBOARD!$B$10, H488&gt;=DASHBOARD!$B$11), P488, 1000000000000)</f>
        <v/>
      </c>
      <c r="AB488" s="101">
        <f>IF(AND(F488&lt;=DASHBOARD!$B$10, H488&gt;=DASHBOARD!$B$11), Q488, -1000000000000)</f>
        <v/>
      </c>
    </row>
    <row r="489" ht="15" customHeight="1" s="102">
      <c r="A489" s="166" t="n">
        <v>485</v>
      </c>
      <c r="B489" s="167" t="n">
        <v>1.1</v>
      </c>
      <c r="C489" s="167" t="n">
        <v>1.1</v>
      </c>
      <c r="D489" s="110" t="inlineStr">
        <is>
          <t>Yok (%0)</t>
        </is>
      </c>
      <c r="E489" s="110">
        <f>IF((B489+C489)&lt;=1, "Tam Mahsuplaşma (≤%100)", "Kısmi Satış (&gt;%100)")</f>
        <v/>
      </c>
      <c r="F489" s="168">
        <f>((VERI_TABANI!$D$29*B489/VERI_TABANI!$B$29)/VERI_TABANI!$B$3)*VERI_TABANI!$B$5 + ((VERI_TABANI!$D$29*C489/VERI_TABANI!$B$29)/VERI_TABANI!$B$4)*VERI_TABANI!$B$6 + IF(ISNUMBER(SEARCH("Var", D489)), (VERI_TABANI!$F$29/VERI_TABANI!$B$29)*(VERI_TABANI!$B$10+VERI_TABANI!$B$12), 0)</f>
        <v/>
      </c>
      <c r="G489" s="168">
        <f>(((MIN(VERI_TABANI!D23, VERI_TABANI!D23*B489)*VERI_TABANI!$B$7 + MAX(0, VERI_TABANI!D23*B489-VERI_TABANI!D23)*VERI_TABANI!$B$8) + (MIN(MAX(0, VERI_TABANI!D23-VERI_TABANI!D23*B489), VERI_TABANI!D23*C489)*VERI_TABANI!$B$7 + MAX(0, VERI_TABANI!D23*C489-MAX(0, VERI_TABANI!D23-VERI_TABANI!D23*B489))*VERI_TABANI!$B$8) + IF(ABS(IF(ISNUMBER(SEARCH("Var", D489)), 1, IF(ISNUMBER(SEARCH("Gri", D489)), -1, 0)))=1, VERI_TABANI!E23*(1-0.928)*VERI_TABANI!$B$9, 0) + (VERI_TABANI!D23*B489*(VERI_TABANI!$B$13-VERI_TABANI!$B$14)*VERI_TABANI!G23) + (VERI_TABANI!D23*C489*(VERI_TABANI!$B$13-VERI_TABANI!$B$15)*VERI_TABANI!G23) + IF(ABS(IF(ISNUMBER(SEARCH("Var", D489)), 1, IF(ISNUMBER(SEARCH("Gri", D489)), -1, 0)))=1, VERI_TABANI!E23*(1-0.928)*0.00206091519919798*VERI_TABANI!G23, 0)) + ((MIN(VERI_TABANI!D24, VERI_TABANI!D24*B489)*VERI_TABANI!$B$7 + MAX(0, VERI_TABANI!D24*B489-VERI_TABANI!D24)*VERI_TABANI!$B$8) + (MIN(MAX(0, VERI_TABANI!D24-VERI_TABANI!D24*B489), VERI_TABANI!D24*C489)*VERI_TABANI!$B$7 + MAX(0, VERI_TABANI!D24*C489-MAX(0, VERI_TABANI!D24-VERI_TABANI!D24*B489))*VERI_TABANI!$B$8) + IF(ABS(IF(ISNUMBER(SEARCH("Var", D489)), 1, IF(ISNUMBER(SEARCH("Gri", D489)), -1, 0)))=1, VERI_TABANI!E24*(1-0.928)*VERI_TABANI!$B$9, 0) + (VERI_TABANI!D24*B489*(VERI_TABANI!$B$13-VERI_TABANI!$B$14)*VERI_TABANI!G24) + (VERI_TABANI!D24*C489*(VERI_TABANI!$B$13-VERI_TABANI!$B$15)*VERI_TABANI!G24) + IF(ABS(IF(ISNUMBER(SEARCH("Var", D489)), 1, IF(ISNUMBER(SEARCH("Gri", D489)), -1, 0)))=1, VERI_TABANI!E24*(1-0.928)*0.00206091519919798*VERI_TABANI!G24, 0)) + ((MIN(VERI_TABANI!D25, VERI_TABANI!D25*B489)*VERI_TABANI!$B$7 + MAX(0, VERI_TABANI!D25*B489-VERI_TABANI!D25)*VERI_TABANI!$B$8) + (MIN(MAX(0, VERI_TABANI!D25-VERI_TABANI!D25*B489), VERI_TABANI!D25*C489)*VERI_TABANI!$B$7 + MAX(0, VERI_TABANI!D25*C489-MAX(0, VERI_TABANI!D25-VERI_TABANI!D25*B489))*VERI_TABANI!$B$8) + IF(ABS(IF(ISNUMBER(SEARCH("Var", D489)), 1, IF(ISNUMBER(SEARCH("Gri", D489)), -1, 0)))=1, VERI_TABANI!E25*(1-0.928)*VERI_TABANI!$B$9, 0) + (VERI_TABANI!D25*B489*(VERI_TABANI!$B$13-VERI_TABANI!$B$14)*VERI_TABANI!G25) + (VERI_TABANI!D25*C489*(VERI_TABANI!$B$13-VERI_TABANI!$B$15)*VERI_TABANI!G25) + IF(ABS(IF(ISNUMBER(SEARCH("Var", D489)), 1, IF(ISNUMBER(SEARCH("Gri", D489)), -1, 0)))=1, VERI_TABANI!E25*(1-0.928)*0.00206091519919798*VERI_TABANI!G25, 0)) + ((MIN(VERI_TABANI!D26, VERI_TABANI!D26*B489)*VERI_TABANI!$B$7 + MAX(0, VERI_TABANI!D26*B489-VERI_TABANI!D26)*VERI_TABANI!$B$8) + (MIN(MAX(0, VERI_TABANI!D26-VERI_TABANI!D26*B489), VERI_TABANI!D26*C489)*VERI_TABANI!$B$7 + MAX(0, VERI_TABANI!D26*C489-MAX(0, VERI_TABANI!D26-VERI_TABANI!D26*B489))*VERI_TABANI!$B$8) + IF(ABS(IF(ISNUMBER(SEARCH("Var", D489)), 1, IF(ISNUMBER(SEARCH("Gri", D489)), -1, 0)))=1, VERI_TABANI!E26*(1-0.928)*VERI_TABANI!$B$9, 0) + (VERI_TABANI!D26*B489*(VERI_TABANI!$B$13-VERI_TABANI!$B$14)*VERI_TABANI!G26) + (VERI_TABANI!D26*C489*(VERI_TABANI!$B$13-VERI_TABANI!$B$15)*VERI_TABANI!G26) + IF(ABS(IF(ISNUMBER(SEARCH("Var", D489)), 1, IF(ISNUMBER(SEARCH("Gri", D489)), -1, 0)))=1, VERI_TABANI!E26*(1-0.928)*0.00206091519919798*VERI_TABANI!G26, 0)) + ((MIN(VERI_TABANI!D27, VERI_TABANI!D27*B489)*VERI_TABANI!$B$7 + MAX(0, VERI_TABANI!D27*B489-VERI_TABANI!D27)*VERI_TABANI!$B$8) + (MIN(MAX(0, VERI_TABANI!D27-VERI_TABANI!D27*B489), VERI_TABANI!D27*C489)*VERI_TABANI!$B$7 + MAX(0, VERI_TABANI!D27*C489-MAX(0, VERI_TABANI!D27-VERI_TABANI!D27*B489))*VERI_TABANI!$B$8) + IF(ABS(IF(ISNUMBER(SEARCH("Var", D489)), 1, IF(ISNUMBER(SEARCH("Gri", D489)), -1, 0)))=1, VERI_TABANI!E27*(1-0.928)*VERI_TABANI!$B$9, 0) + (VERI_TABANI!D27*B489*(VERI_TABANI!$B$13-VERI_TABANI!$B$14)*VERI_TABANI!G27) + (VERI_TABANI!D27*C489*(VERI_TABANI!$B$13-VERI_TABANI!$B$15)*VERI_TABANI!G27) + IF(ABS(IF(ISNUMBER(SEARCH("Var", D489)), 1, IF(ISNUMBER(SEARCH("Gri", D489)), -1, 0)))=1, VERI_TABANI!E27*(1-0.928)*0.00206091519919798*VERI_TABANI!G27, 0)) + ((MIN(VERI_TABANI!D28, VERI_TABANI!D28*B489)*VERI_TABANI!$B$7 + MAX(0, VERI_TABANI!D28*B489-VERI_TABANI!D28)*VERI_TABANI!$B$8) + (MIN(MAX(0, VERI_TABANI!D28-VERI_TABANI!D28*B489), VERI_TABANI!D28*C489)*VERI_TABANI!$B$7 + MAX(0, VERI_TABANI!D28*C489-MAX(0, VERI_TABANI!D28-VERI_TABANI!D28*B489))*VERI_TABANI!$B$8) + IF(ABS(IF(ISNUMBER(SEARCH("Var", D489)), 1, IF(ISNUMBER(SEARCH("Gri", D489)), -1, 0)))=1, VERI_TABANI!E28*(1-0.928)*VERI_TABANI!$B$9, 0) + (VERI_TABANI!D28*B489*(VERI_TABANI!$B$13-VERI_TABANI!$B$14)*VERI_TABANI!G28) + (VERI_TABANI!D28*C489*(VERI_TABANI!$B$13-VERI_TABANI!$B$15)*VERI_TABANI!G28) + IF(ABS(IF(ISNUMBER(SEARCH("Var", D489)), 1, IF(ISNUMBER(SEARCH("Gri", D489)), -1, 0)))=1, VERI_TABANI!E28*(1-0.928)*0.00206091519919798*VERI_TABANI!G28, 0)))</f>
        <v/>
      </c>
      <c r="H489" s="169">
        <f>(((VERI_TABANI!D23*B489*(VERI_TABANI!$B$13-VERI_TABANI!$B$14)) + (VERI_TABANI!D23*C489*(VERI_TABANI!$B$13-VERI_TABANI!$B$15)) + IF(ISNUMBER(SEARCH("Var", D489)), VERI_TABANI!F23*(0.00202-VERI_TABANI!$B$16), IF(ISNUMBER(SEARCH("Gri", D489)), VERI_TABANI!F23*(0.00202-VERI_TABANI!$B$17), 0))) + ((VERI_TABANI!D24*B489*(VERI_TABANI!$B$13-VERI_TABANI!$B$14)) + (VERI_TABANI!D24*C489*(VERI_TABANI!$B$13-VERI_TABANI!$B$15)) + IF(ISNUMBER(SEARCH("Var", D489)), VERI_TABANI!F24*(0.00202-VERI_TABANI!$B$16), IF(ISNUMBER(SEARCH("Gri", D489)), VERI_TABANI!F24*(0.00202-VERI_TABANI!$B$17), 0))) + ((VERI_TABANI!D25*B489*(VERI_TABANI!$B$13-VERI_TABANI!$B$14)) + (VERI_TABANI!D25*C489*(VERI_TABANI!$B$13-VERI_TABANI!$B$15)) + IF(ISNUMBER(SEARCH("Var", D489)), VERI_TABANI!F25*(0.00202-VERI_TABANI!$B$16), IF(ISNUMBER(SEARCH("Gri", D489)), VERI_TABANI!F25*(0.00202-VERI_TABANI!$B$17), 0))) + ((VERI_TABANI!D26*B489*(VERI_TABANI!$B$13-VERI_TABANI!$B$14)) + (VERI_TABANI!D26*C489*(VERI_TABANI!$B$13-VERI_TABANI!$B$15)) + IF(ISNUMBER(SEARCH("Var", D489)), VERI_TABANI!F26*(0.00202-VERI_TABANI!$B$16), IF(ISNUMBER(SEARCH("Gri", D489)), VERI_TABANI!F26*(0.00202-VERI_TABANI!$B$17), 0))) + ((VERI_TABANI!D27*B489*(VERI_TABANI!$B$13-VERI_TABANI!$B$14)) + (VERI_TABANI!D27*C489*(VERI_TABANI!$B$13-VERI_TABANI!$B$15)) + IF(ISNUMBER(SEARCH("Var", D489)), VERI_TABANI!F27*(0.00202-VERI_TABANI!$B$16), IF(ISNUMBER(SEARCH("Gri", D489)), VERI_TABANI!F27*(0.00202-VERI_TABANI!$B$17), 0))) + ((VERI_TABANI!D28*B489*(VERI_TABANI!$B$13-VERI_TABANI!$B$14)) + (VERI_TABANI!D28*C489*(VERI_TABANI!$B$13-VERI_TABANI!$B$15)) + IF(ISNUMBER(SEARCH("Var", D489)), VERI_TABANI!F28*(0.00202-VERI_TABANI!$B$16), IF(ISNUMBER(SEARCH("Gri", D489)), VERI_TABANI!F28*(0.00202-VERI_TABANI!$B$17), 0))))</f>
        <v/>
      </c>
      <c r="I489" s="170">
        <f>IFERROR(((VERI_TABANI!$D$29*B489*VERI_TABANI!$B$14 + VERI_TABANI!$D$29*C489*VERI_TABANI!$B$15 + IF(ISNUMBER(SEARCH("Var", D489)), VERI_TABANI!$F$29*VERI_TABANI!$B$16, 0))) / (((VERI_TABANI!$D$29*B489 + VERI_TABANI!$D$29*C489)*VERI_TABANI!$B$13 + IF(ISNUMBER(SEARCH("Var", D489)), VERI_TABANI!$E$29*(1-0.928)*VERI_TABANI!$B$18, 0))), 0)</f>
        <v/>
      </c>
      <c r="J489" s="171">
        <f>IFERROR(F489/(G489/29), 0)</f>
        <v/>
      </c>
      <c r="K489" s="172">
        <f>IF(F489&gt;0, H489/F489, 0)</f>
        <v/>
      </c>
      <c r="L489" s="170">
        <f>IF(F489&gt;0, I489, 1000000000)</f>
        <v/>
      </c>
      <c r="M489" s="171">
        <f>ABS((B489+C489)-1)</f>
        <v/>
      </c>
      <c r="N489" s="170">
        <f>IF(F489&gt;0, (G489/29)/F489, 0)</f>
        <v/>
      </c>
      <c r="O489" s="168">
        <f>IF(AND((B489+C489)&gt;=1, ISNUMBER(SEARCH("Var", D489))), F489, 1000000000)</f>
        <v/>
      </c>
      <c r="P489" s="172">
        <f>IF(F489&gt;0, SQRT((F489/MAX(F$5:F$886))^2 + (1 - H489/MAX(H$5:H$886))^2 + (J489/MAX(J$5:J$886))^2), 1000000000)</f>
        <v/>
      </c>
      <c r="Q489" s="166">
        <f>IF(AND(ABS(B489-0.5)&lt;0.01, ABS(C489-0.5)&lt;0.01, ISNUMBER(SEARCH("Var", D489))), 1, 0)</f>
        <v/>
      </c>
      <c r="R489" s="171">
        <f>IF(F489&gt;0, J489, 1000000000)</f>
        <v/>
      </c>
      <c r="S489" s="101">
        <f>IF(AND(F489&lt;=DASHBOARD!$B$11, H489&gt;=DASHBOARD!$B$13), G489, -1000000000000)</f>
        <v/>
      </c>
      <c r="T489" s="101">
        <f>IF(AND(F489&lt;=DASHBOARD!$B$11, H489&gt;=DASHBOARD!$B$13), R489, 1000000000000)</f>
        <v/>
      </c>
      <c r="U489" s="101">
        <f>IF(AND(F489&lt;=DASHBOARD!$B$11, H489&gt;=DASHBOARD!$B$13), N489, -1000000000000)</f>
        <v/>
      </c>
      <c r="V489" s="101">
        <f>IF(AND(F489&lt;=DASHBOARD!$B$11, H489&gt;=DASHBOARD!$B$13), H489, -1000000000000)</f>
        <v/>
      </c>
      <c r="W489" s="101">
        <f>IF(AND(F489&lt;=DASHBOARD!$B$11, H489&gt;=DASHBOARD!$B$13), K489, -1000000000000)</f>
        <v/>
      </c>
      <c r="X489" s="101">
        <f>IF(AND(F489&lt;=DASHBOARD!$B$11, H489&gt;=DASHBOARD!$B$13), M489, 1000000000000)</f>
        <v/>
      </c>
      <c r="Y489" s="101">
        <f>IF(AND(F489&lt;=DASHBOARD!$B$10, H489&gt;=DASHBOARD!$B$11), L489, 1000000000000)</f>
        <v/>
      </c>
      <c r="Z489" s="101">
        <f>IF(AND(F489&lt;=DASHBOARD!$B$10, H489&gt;=DASHBOARD!$B$11), O489, 1000000000000)</f>
        <v/>
      </c>
      <c r="AA489" s="101">
        <f>IF(AND(F489&lt;=DASHBOARD!$B$10, H489&gt;=DASHBOARD!$B$11), P489, 1000000000000)</f>
        <v/>
      </c>
      <c r="AB489" s="101">
        <f>IF(AND(F489&lt;=DASHBOARD!$B$10, H489&gt;=DASHBOARD!$B$11), Q489, -1000000000000)</f>
        <v/>
      </c>
    </row>
    <row r="490" ht="15" customHeight="1" s="102">
      <c r="A490" s="166" t="n">
        <v>486</v>
      </c>
      <c r="B490" s="167" t="n">
        <v>1.1</v>
      </c>
      <c r="C490" s="167" t="n">
        <v>1.1</v>
      </c>
      <c r="D490" s="110" t="inlineStr">
        <is>
          <t>Var (%20)</t>
        </is>
      </c>
      <c r="E490" s="110">
        <f>IF((B490+C490)&lt;=1, "Tam Mahsuplaşma (≤%100)", "Kısmi Satış (&gt;%100)")</f>
        <v/>
      </c>
      <c r="F490" s="168">
        <f>((VERI_TABANI!$D$29*B490/VERI_TABANI!$B$29)/VERI_TABANI!$B$3)*VERI_TABANI!$B$5 + ((VERI_TABANI!$D$29*C490/VERI_TABANI!$B$29)/VERI_TABANI!$B$4)*VERI_TABANI!$B$6 + IF(ISNUMBER(SEARCH("Var", D490)), (VERI_TABANI!$F$29/VERI_TABANI!$B$29)*(VERI_TABANI!$B$10+VERI_TABANI!$B$12), 0)</f>
        <v/>
      </c>
      <c r="G490" s="168">
        <f>(((MIN(VERI_TABANI!D23, VERI_TABANI!D23*B490)*VERI_TABANI!$B$7 + MAX(0, VERI_TABANI!D23*B490-VERI_TABANI!D23)*VERI_TABANI!$B$8) + (MIN(MAX(0, VERI_TABANI!D23-VERI_TABANI!D23*B490), VERI_TABANI!D23*C490)*VERI_TABANI!$B$7 + MAX(0, VERI_TABANI!D23*C490-MAX(0, VERI_TABANI!D23-VERI_TABANI!D23*B490))*VERI_TABANI!$B$8) + IF(ABS(IF(ISNUMBER(SEARCH("Var", D490)), 1, IF(ISNUMBER(SEARCH("Gri", D490)), -1, 0)))=1, VERI_TABANI!E23*(1-0.928)*VERI_TABANI!$B$9, 0) + (VERI_TABANI!D23*B490*(VERI_TABANI!$B$13-VERI_TABANI!$B$14)*VERI_TABANI!G23) + (VERI_TABANI!D23*C490*(VERI_TABANI!$B$13-VERI_TABANI!$B$15)*VERI_TABANI!G23) + IF(ABS(IF(ISNUMBER(SEARCH("Var", D490)), 1, IF(ISNUMBER(SEARCH("Gri", D490)), -1, 0)))=1, VERI_TABANI!E23*(1-0.928)*0.00206091519919798*VERI_TABANI!G23, 0)) + ((MIN(VERI_TABANI!D24, VERI_TABANI!D24*B490)*VERI_TABANI!$B$7 + MAX(0, VERI_TABANI!D24*B490-VERI_TABANI!D24)*VERI_TABANI!$B$8) + (MIN(MAX(0, VERI_TABANI!D24-VERI_TABANI!D24*B490), VERI_TABANI!D24*C490)*VERI_TABANI!$B$7 + MAX(0, VERI_TABANI!D24*C490-MAX(0, VERI_TABANI!D24-VERI_TABANI!D24*B490))*VERI_TABANI!$B$8) + IF(ABS(IF(ISNUMBER(SEARCH("Var", D490)), 1, IF(ISNUMBER(SEARCH("Gri", D490)), -1, 0)))=1, VERI_TABANI!E24*(1-0.928)*VERI_TABANI!$B$9, 0) + (VERI_TABANI!D24*B490*(VERI_TABANI!$B$13-VERI_TABANI!$B$14)*VERI_TABANI!G24) + (VERI_TABANI!D24*C490*(VERI_TABANI!$B$13-VERI_TABANI!$B$15)*VERI_TABANI!G24) + IF(ABS(IF(ISNUMBER(SEARCH("Var", D490)), 1, IF(ISNUMBER(SEARCH("Gri", D490)), -1, 0)))=1, VERI_TABANI!E24*(1-0.928)*0.00206091519919798*VERI_TABANI!G24, 0)) + ((MIN(VERI_TABANI!D25, VERI_TABANI!D25*B490)*VERI_TABANI!$B$7 + MAX(0, VERI_TABANI!D25*B490-VERI_TABANI!D25)*VERI_TABANI!$B$8) + (MIN(MAX(0, VERI_TABANI!D25-VERI_TABANI!D25*B490), VERI_TABANI!D25*C490)*VERI_TABANI!$B$7 + MAX(0, VERI_TABANI!D25*C490-MAX(0, VERI_TABANI!D25-VERI_TABANI!D25*B490))*VERI_TABANI!$B$8) + IF(ABS(IF(ISNUMBER(SEARCH("Var", D490)), 1, IF(ISNUMBER(SEARCH("Gri", D490)), -1, 0)))=1, VERI_TABANI!E25*(1-0.928)*VERI_TABANI!$B$9, 0) + (VERI_TABANI!D25*B490*(VERI_TABANI!$B$13-VERI_TABANI!$B$14)*VERI_TABANI!G25) + (VERI_TABANI!D25*C490*(VERI_TABANI!$B$13-VERI_TABANI!$B$15)*VERI_TABANI!G25) + IF(ABS(IF(ISNUMBER(SEARCH("Var", D490)), 1, IF(ISNUMBER(SEARCH("Gri", D490)), -1, 0)))=1, VERI_TABANI!E25*(1-0.928)*0.00206091519919798*VERI_TABANI!G25, 0)) + ((MIN(VERI_TABANI!D26, VERI_TABANI!D26*B490)*VERI_TABANI!$B$7 + MAX(0, VERI_TABANI!D26*B490-VERI_TABANI!D26)*VERI_TABANI!$B$8) + (MIN(MAX(0, VERI_TABANI!D26-VERI_TABANI!D26*B490), VERI_TABANI!D26*C490)*VERI_TABANI!$B$7 + MAX(0, VERI_TABANI!D26*C490-MAX(0, VERI_TABANI!D26-VERI_TABANI!D26*B490))*VERI_TABANI!$B$8) + IF(ABS(IF(ISNUMBER(SEARCH("Var", D490)), 1, IF(ISNUMBER(SEARCH("Gri", D490)), -1, 0)))=1, VERI_TABANI!E26*(1-0.928)*VERI_TABANI!$B$9, 0) + (VERI_TABANI!D26*B490*(VERI_TABANI!$B$13-VERI_TABANI!$B$14)*VERI_TABANI!G26) + (VERI_TABANI!D26*C490*(VERI_TABANI!$B$13-VERI_TABANI!$B$15)*VERI_TABANI!G26) + IF(ABS(IF(ISNUMBER(SEARCH("Var", D490)), 1, IF(ISNUMBER(SEARCH("Gri", D490)), -1, 0)))=1, VERI_TABANI!E26*(1-0.928)*0.00206091519919798*VERI_TABANI!G26, 0)) + ((MIN(VERI_TABANI!D27, VERI_TABANI!D27*B490)*VERI_TABANI!$B$7 + MAX(0, VERI_TABANI!D27*B490-VERI_TABANI!D27)*VERI_TABANI!$B$8) + (MIN(MAX(0, VERI_TABANI!D27-VERI_TABANI!D27*B490), VERI_TABANI!D27*C490)*VERI_TABANI!$B$7 + MAX(0, VERI_TABANI!D27*C490-MAX(0, VERI_TABANI!D27-VERI_TABANI!D27*B490))*VERI_TABANI!$B$8) + IF(ABS(IF(ISNUMBER(SEARCH("Var", D490)), 1, IF(ISNUMBER(SEARCH("Gri", D490)), -1, 0)))=1, VERI_TABANI!E27*(1-0.928)*VERI_TABANI!$B$9, 0) + (VERI_TABANI!D27*B490*(VERI_TABANI!$B$13-VERI_TABANI!$B$14)*VERI_TABANI!G27) + (VERI_TABANI!D27*C490*(VERI_TABANI!$B$13-VERI_TABANI!$B$15)*VERI_TABANI!G27) + IF(ABS(IF(ISNUMBER(SEARCH("Var", D490)), 1, IF(ISNUMBER(SEARCH("Gri", D490)), -1, 0)))=1, VERI_TABANI!E27*(1-0.928)*0.00206091519919798*VERI_TABANI!G27, 0)) + ((MIN(VERI_TABANI!D28, VERI_TABANI!D28*B490)*VERI_TABANI!$B$7 + MAX(0, VERI_TABANI!D28*B490-VERI_TABANI!D28)*VERI_TABANI!$B$8) + (MIN(MAX(0, VERI_TABANI!D28-VERI_TABANI!D28*B490), VERI_TABANI!D28*C490)*VERI_TABANI!$B$7 + MAX(0, VERI_TABANI!D28*C490-MAX(0, VERI_TABANI!D28-VERI_TABANI!D28*B490))*VERI_TABANI!$B$8) + IF(ABS(IF(ISNUMBER(SEARCH("Var", D490)), 1, IF(ISNUMBER(SEARCH("Gri", D490)), -1, 0)))=1, VERI_TABANI!E28*(1-0.928)*VERI_TABANI!$B$9, 0) + (VERI_TABANI!D28*B490*(VERI_TABANI!$B$13-VERI_TABANI!$B$14)*VERI_TABANI!G28) + (VERI_TABANI!D28*C490*(VERI_TABANI!$B$13-VERI_TABANI!$B$15)*VERI_TABANI!G28) + IF(ABS(IF(ISNUMBER(SEARCH("Var", D490)), 1, IF(ISNUMBER(SEARCH("Gri", D490)), -1, 0)))=1, VERI_TABANI!E28*(1-0.928)*0.00206091519919798*VERI_TABANI!G28, 0)))</f>
        <v/>
      </c>
      <c r="H490" s="169">
        <f>(((VERI_TABANI!D23*B490*(VERI_TABANI!$B$13-VERI_TABANI!$B$14)) + (VERI_TABANI!D23*C490*(VERI_TABANI!$B$13-VERI_TABANI!$B$15)) + IF(ISNUMBER(SEARCH("Var", D490)), VERI_TABANI!F23*(0.00202-VERI_TABANI!$B$16), IF(ISNUMBER(SEARCH("Gri", D490)), VERI_TABANI!F23*(0.00202-VERI_TABANI!$B$17), 0))) + ((VERI_TABANI!D24*B490*(VERI_TABANI!$B$13-VERI_TABANI!$B$14)) + (VERI_TABANI!D24*C490*(VERI_TABANI!$B$13-VERI_TABANI!$B$15)) + IF(ISNUMBER(SEARCH("Var", D490)), VERI_TABANI!F24*(0.00202-VERI_TABANI!$B$16), IF(ISNUMBER(SEARCH("Gri", D490)), VERI_TABANI!F24*(0.00202-VERI_TABANI!$B$17), 0))) + ((VERI_TABANI!D25*B490*(VERI_TABANI!$B$13-VERI_TABANI!$B$14)) + (VERI_TABANI!D25*C490*(VERI_TABANI!$B$13-VERI_TABANI!$B$15)) + IF(ISNUMBER(SEARCH("Var", D490)), VERI_TABANI!F25*(0.00202-VERI_TABANI!$B$16), IF(ISNUMBER(SEARCH("Gri", D490)), VERI_TABANI!F25*(0.00202-VERI_TABANI!$B$17), 0))) + ((VERI_TABANI!D26*B490*(VERI_TABANI!$B$13-VERI_TABANI!$B$14)) + (VERI_TABANI!D26*C490*(VERI_TABANI!$B$13-VERI_TABANI!$B$15)) + IF(ISNUMBER(SEARCH("Var", D490)), VERI_TABANI!F26*(0.00202-VERI_TABANI!$B$16), IF(ISNUMBER(SEARCH("Gri", D490)), VERI_TABANI!F26*(0.00202-VERI_TABANI!$B$17), 0))) + ((VERI_TABANI!D27*B490*(VERI_TABANI!$B$13-VERI_TABANI!$B$14)) + (VERI_TABANI!D27*C490*(VERI_TABANI!$B$13-VERI_TABANI!$B$15)) + IF(ISNUMBER(SEARCH("Var", D490)), VERI_TABANI!F27*(0.00202-VERI_TABANI!$B$16), IF(ISNUMBER(SEARCH("Gri", D490)), VERI_TABANI!F27*(0.00202-VERI_TABANI!$B$17), 0))) + ((VERI_TABANI!D28*B490*(VERI_TABANI!$B$13-VERI_TABANI!$B$14)) + (VERI_TABANI!D28*C490*(VERI_TABANI!$B$13-VERI_TABANI!$B$15)) + IF(ISNUMBER(SEARCH("Var", D490)), VERI_TABANI!F28*(0.00202-VERI_TABANI!$B$16), IF(ISNUMBER(SEARCH("Gri", D490)), VERI_TABANI!F28*(0.00202-VERI_TABANI!$B$17), 0))))</f>
        <v/>
      </c>
      <c r="I490" s="170">
        <f>IFERROR(((VERI_TABANI!$D$29*B490*VERI_TABANI!$B$14 + VERI_TABANI!$D$29*C490*VERI_TABANI!$B$15 + IF(ISNUMBER(SEARCH("Var", D490)), VERI_TABANI!$F$29*VERI_TABANI!$B$16, 0))) / (((VERI_TABANI!$D$29*B490 + VERI_TABANI!$D$29*C490)*VERI_TABANI!$B$13 + IF(ISNUMBER(SEARCH("Var", D490)), VERI_TABANI!$E$29*(1-0.928)*VERI_TABANI!$B$18, 0))), 0)</f>
        <v/>
      </c>
      <c r="J490" s="171">
        <f>IFERROR(F490/(G490/29), 0)</f>
        <v/>
      </c>
      <c r="K490" s="172">
        <f>IF(F490&gt;0, H490/F490, 0)</f>
        <v/>
      </c>
      <c r="L490" s="170">
        <f>IF(F490&gt;0, I490, 1000000000)</f>
        <v/>
      </c>
      <c r="M490" s="171">
        <f>ABS((B490+C490)-1)</f>
        <v/>
      </c>
      <c r="N490" s="170">
        <f>IF(F490&gt;0, (G490/29)/F490, 0)</f>
        <v/>
      </c>
      <c r="O490" s="168">
        <f>IF(AND((B490+C490)&gt;=1, ISNUMBER(SEARCH("Var", D490))), F490, 1000000000)</f>
        <v/>
      </c>
      <c r="P490" s="172">
        <f>IF(F490&gt;0, SQRT((F490/MAX(F$5:F$886))^2 + (1 - H490/MAX(H$5:H$886))^2 + (J490/MAX(J$5:J$886))^2), 1000000000)</f>
        <v/>
      </c>
      <c r="Q490" s="166">
        <f>IF(AND(ABS(B490-0.5)&lt;0.01, ABS(C490-0.5)&lt;0.01, ISNUMBER(SEARCH("Var", D490))), 1, 0)</f>
        <v/>
      </c>
      <c r="R490" s="171">
        <f>IF(F490&gt;0, J490, 1000000000)</f>
        <v/>
      </c>
      <c r="S490" s="101">
        <f>IF(AND(F490&lt;=DASHBOARD!$B$11, H490&gt;=DASHBOARD!$B$13), G490, -1000000000000)</f>
        <v/>
      </c>
      <c r="T490" s="101">
        <f>IF(AND(F490&lt;=DASHBOARD!$B$11, H490&gt;=DASHBOARD!$B$13), R490, 1000000000000)</f>
        <v/>
      </c>
      <c r="U490" s="101">
        <f>IF(AND(F490&lt;=DASHBOARD!$B$11, H490&gt;=DASHBOARD!$B$13), N490, -1000000000000)</f>
        <v/>
      </c>
      <c r="V490" s="101">
        <f>IF(AND(F490&lt;=DASHBOARD!$B$11, H490&gt;=DASHBOARD!$B$13), H490, -1000000000000)</f>
        <v/>
      </c>
      <c r="W490" s="101">
        <f>IF(AND(F490&lt;=DASHBOARD!$B$11, H490&gt;=DASHBOARD!$B$13), K490, -1000000000000)</f>
        <v/>
      </c>
      <c r="X490" s="101">
        <f>IF(AND(F490&lt;=DASHBOARD!$B$11, H490&gt;=DASHBOARD!$B$13), M490, 1000000000000)</f>
        <v/>
      </c>
      <c r="Y490" s="101">
        <f>IF(AND(F490&lt;=DASHBOARD!$B$10, H490&gt;=DASHBOARD!$B$11), L490, 1000000000000)</f>
        <v/>
      </c>
      <c r="Z490" s="101">
        <f>IF(AND(F490&lt;=DASHBOARD!$B$10, H490&gt;=DASHBOARD!$B$11), O490, 1000000000000)</f>
        <v/>
      </c>
      <c r="AA490" s="101">
        <f>IF(AND(F490&lt;=DASHBOARD!$B$10, H490&gt;=DASHBOARD!$B$11), P490, 1000000000000)</f>
        <v/>
      </c>
      <c r="AB490" s="101">
        <f>IF(AND(F490&lt;=DASHBOARD!$B$10, H490&gt;=DASHBOARD!$B$11), Q490, -1000000000000)</f>
        <v/>
      </c>
    </row>
    <row r="491" ht="15" customHeight="1" s="102">
      <c r="A491" s="166" t="n">
        <v>487</v>
      </c>
      <c r="B491" s="167" t="n">
        <v>1.1</v>
      </c>
      <c r="C491" s="167" t="n">
        <v>1.2</v>
      </c>
      <c r="D491" s="110" t="inlineStr">
        <is>
          <t>Yok (%0)</t>
        </is>
      </c>
      <c r="E491" s="110">
        <f>IF((B491+C491)&lt;=1, "Tam Mahsuplaşma (≤%100)", "Kısmi Satış (&gt;%100)")</f>
        <v/>
      </c>
      <c r="F491" s="168">
        <f>((VERI_TABANI!$D$29*B491/VERI_TABANI!$B$29)/VERI_TABANI!$B$3)*VERI_TABANI!$B$5 + ((VERI_TABANI!$D$29*C491/VERI_TABANI!$B$29)/VERI_TABANI!$B$4)*VERI_TABANI!$B$6 + IF(ISNUMBER(SEARCH("Var", D491)), (VERI_TABANI!$F$29/VERI_TABANI!$B$29)*(VERI_TABANI!$B$10+VERI_TABANI!$B$12), 0)</f>
        <v/>
      </c>
      <c r="G491" s="168">
        <f>(((MIN(VERI_TABANI!D23, VERI_TABANI!D23*B491)*VERI_TABANI!$B$7 + MAX(0, VERI_TABANI!D23*B491-VERI_TABANI!D23)*VERI_TABANI!$B$8) + (MIN(MAX(0, VERI_TABANI!D23-VERI_TABANI!D23*B491), VERI_TABANI!D23*C491)*VERI_TABANI!$B$7 + MAX(0, VERI_TABANI!D23*C491-MAX(0, VERI_TABANI!D23-VERI_TABANI!D23*B491))*VERI_TABANI!$B$8) + IF(ABS(IF(ISNUMBER(SEARCH("Var", D491)), 1, IF(ISNUMBER(SEARCH("Gri", D491)), -1, 0)))=1, VERI_TABANI!E23*(1-0.928)*VERI_TABANI!$B$9, 0) + (VERI_TABANI!D23*B491*(VERI_TABANI!$B$13-VERI_TABANI!$B$14)*VERI_TABANI!G23) + (VERI_TABANI!D23*C491*(VERI_TABANI!$B$13-VERI_TABANI!$B$15)*VERI_TABANI!G23) + IF(ABS(IF(ISNUMBER(SEARCH("Var", D491)), 1, IF(ISNUMBER(SEARCH("Gri", D491)), -1, 0)))=1, VERI_TABANI!E23*(1-0.928)*0.00206091519919798*VERI_TABANI!G23, 0)) + ((MIN(VERI_TABANI!D24, VERI_TABANI!D24*B491)*VERI_TABANI!$B$7 + MAX(0, VERI_TABANI!D24*B491-VERI_TABANI!D24)*VERI_TABANI!$B$8) + (MIN(MAX(0, VERI_TABANI!D24-VERI_TABANI!D24*B491), VERI_TABANI!D24*C491)*VERI_TABANI!$B$7 + MAX(0, VERI_TABANI!D24*C491-MAX(0, VERI_TABANI!D24-VERI_TABANI!D24*B491))*VERI_TABANI!$B$8) + IF(ABS(IF(ISNUMBER(SEARCH("Var", D491)), 1, IF(ISNUMBER(SEARCH("Gri", D491)), -1, 0)))=1, VERI_TABANI!E24*(1-0.928)*VERI_TABANI!$B$9, 0) + (VERI_TABANI!D24*B491*(VERI_TABANI!$B$13-VERI_TABANI!$B$14)*VERI_TABANI!G24) + (VERI_TABANI!D24*C491*(VERI_TABANI!$B$13-VERI_TABANI!$B$15)*VERI_TABANI!G24) + IF(ABS(IF(ISNUMBER(SEARCH("Var", D491)), 1, IF(ISNUMBER(SEARCH("Gri", D491)), -1, 0)))=1, VERI_TABANI!E24*(1-0.928)*0.00206091519919798*VERI_TABANI!G24, 0)) + ((MIN(VERI_TABANI!D25, VERI_TABANI!D25*B491)*VERI_TABANI!$B$7 + MAX(0, VERI_TABANI!D25*B491-VERI_TABANI!D25)*VERI_TABANI!$B$8) + (MIN(MAX(0, VERI_TABANI!D25-VERI_TABANI!D25*B491), VERI_TABANI!D25*C491)*VERI_TABANI!$B$7 + MAX(0, VERI_TABANI!D25*C491-MAX(0, VERI_TABANI!D25-VERI_TABANI!D25*B491))*VERI_TABANI!$B$8) + IF(ABS(IF(ISNUMBER(SEARCH("Var", D491)), 1, IF(ISNUMBER(SEARCH("Gri", D491)), -1, 0)))=1, VERI_TABANI!E25*(1-0.928)*VERI_TABANI!$B$9, 0) + (VERI_TABANI!D25*B491*(VERI_TABANI!$B$13-VERI_TABANI!$B$14)*VERI_TABANI!G25) + (VERI_TABANI!D25*C491*(VERI_TABANI!$B$13-VERI_TABANI!$B$15)*VERI_TABANI!G25) + IF(ABS(IF(ISNUMBER(SEARCH("Var", D491)), 1, IF(ISNUMBER(SEARCH("Gri", D491)), -1, 0)))=1, VERI_TABANI!E25*(1-0.928)*0.00206091519919798*VERI_TABANI!G25, 0)) + ((MIN(VERI_TABANI!D26, VERI_TABANI!D26*B491)*VERI_TABANI!$B$7 + MAX(0, VERI_TABANI!D26*B491-VERI_TABANI!D26)*VERI_TABANI!$B$8) + (MIN(MAX(0, VERI_TABANI!D26-VERI_TABANI!D26*B491), VERI_TABANI!D26*C491)*VERI_TABANI!$B$7 + MAX(0, VERI_TABANI!D26*C491-MAX(0, VERI_TABANI!D26-VERI_TABANI!D26*B491))*VERI_TABANI!$B$8) + IF(ABS(IF(ISNUMBER(SEARCH("Var", D491)), 1, IF(ISNUMBER(SEARCH("Gri", D491)), -1, 0)))=1, VERI_TABANI!E26*(1-0.928)*VERI_TABANI!$B$9, 0) + (VERI_TABANI!D26*B491*(VERI_TABANI!$B$13-VERI_TABANI!$B$14)*VERI_TABANI!G26) + (VERI_TABANI!D26*C491*(VERI_TABANI!$B$13-VERI_TABANI!$B$15)*VERI_TABANI!G26) + IF(ABS(IF(ISNUMBER(SEARCH("Var", D491)), 1, IF(ISNUMBER(SEARCH("Gri", D491)), -1, 0)))=1, VERI_TABANI!E26*(1-0.928)*0.00206091519919798*VERI_TABANI!G26, 0)) + ((MIN(VERI_TABANI!D27, VERI_TABANI!D27*B491)*VERI_TABANI!$B$7 + MAX(0, VERI_TABANI!D27*B491-VERI_TABANI!D27)*VERI_TABANI!$B$8) + (MIN(MAX(0, VERI_TABANI!D27-VERI_TABANI!D27*B491), VERI_TABANI!D27*C491)*VERI_TABANI!$B$7 + MAX(0, VERI_TABANI!D27*C491-MAX(0, VERI_TABANI!D27-VERI_TABANI!D27*B491))*VERI_TABANI!$B$8) + IF(ABS(IF(ISNUMBER(SEARCH("Var", D491)), 1, IF(ISNUMBER(SEARCH("Gri", D491)), -1, 0)))=1, VERI_TABANI!E27*(1-0.928)*VERI_TABANI!$B$9, 0) + (VERI_TABANI!D27*B491*(VERI_TABANI!$B$13-VERI_TABANI!$B$14)*VERI_TABANI!G27) + (VERI_TABANI!D27*C491*(VERI_TABANI!$B$13-VERI_TABANI!$B$15)*VERI_TABANI!G27) + IF(ABS(IF(ISNUMBER(SEARCH("Var", D491)), 1, IF(ISNUMBER(SEARCH("Gri", D491)), -1, 0)))=1, VERI_TABANI!E27*(1-0.928)*0.00206091519919798*VERI_TABANI!G27, 0)) + ((MIN(VERI_TABANI!D28, VERI_TABANI!D28*B491)*VERI_TABANI!$B$7 + MAX(0, VERI_TABANI!D28*B491-VERI_TABANI!D28)*VERI_TABANI!$B$8) + (MIN(MAX(0, VERI_TABANI!D28-VERI_TABANI!D28*B491), VERI_TABANI!D28*C491)*VERI_TABANI!$B$7 + MAX(0, VERI_TABANI!D28*C491-MAX(0, VERI_TABANI!D28-VERI_TABANI!D28*B491))*VERI_TABANI!$B$8) + IF(ABS(IF(ISNUMBER(SEARCH("Var", D491)), 1, IF(ISNUMBER(SEARCH("Gri", D491)), -1, 0)))=1, VERI_TABANI!E28*(1-0.928)*VERI_TABANI!$B$9, 0) + (VERI_TABANI!D28*B491*(VERI_TABANI!$B$13-VERI_TABANI!$B$14)*VERI_TABANI!G28) + (VERI_TABANI!D28*C491*(VERI_TABANI!$B$13-VERI_TABANI!$B$15)*VERI_TABANI!G28) + IF(ABS(IF(ISNUMBER(SEARCH("Var", D491)), 1, IF(ISNUMBER(SEARCH("Gri", D491)), -1, 0)))=1, VERI_TABANI!E28*(1-0.928)*0.00206091519919798*VERI_TABANI!G28, 0)))</f>
        <v/>
      </c>
      <c r="H491" s="169">
        <f>(((VERI_TABANI!D23*B491*(VERI_TABANI!$B$13-VERI_TABANI!$B$14)) + (VERI_TABANI!D23*C491*(VERI_TABANI!$B$13-VERI_TABANI!$B$15)) + IF(ISNUMBER(SEARCH("Var", D491)), VERI_TABANI!F23*(0.00202-VERI_TABANI!$B$16), IF(ISNUMBER(SEARCH("Gri", D491)), VERI_TABANI!F23*(0.00202-VERI_TABANI!$B$17), 0))) + ((VERI_TABANI!D24*B491*(VERI_TABANI!$B$13-VERI_TABANI!$B$14)) + (VERI_TABANI!D24*C491*(VERI_TABANI!$B$13-VERI_TABANI!$B$15)) + IF(ISNUMBER(SEARCH("Var", D491)), VERI_TABANI!F24*(0.00202-VERI_TABANI!$B$16), IF(ISNUMBER(SEARCH("Gri", D491)), VERI_TABANI!F24*(0.00202-VERI_TABANI!$B$17), 0))) + ((VERI_TABANI!D25*B491*(VERI_TABANI!$B$13-VERI_TABANI!$B$14)) + (VERI_TABANI!D25*C491*(VERI_TABANI!$B$13-VERI_TABANI!$B$15)) + IF(ISNUMBER(SEARCH("Var", D491)), VERI_TABANI!F25*(0.00202-VERI_TABANI!$B$16), IF(ISNUMBER(SEARCH("Gri", D491)), VERI_TABANI!F25*(0.00202-VERI_TABANI!$B$17), 0))) + ((VERI_TABANI!D26*B491*(VERI_TABANI!$B$13-VERI_TABANI!$B$14)) + (VERI_TABANI!D26*C491*(VERI_TABANI!$B$13-VERI_TABANI!$B$15)) + IF(ISNUMBER(SEARCH("Var", D491)), VERI_TABANI!F26*(0.00202-VERI_TABANI!$B$16), IF(ISNUMBER(SEARCH("Gri", D491)), VERI_TABANI!F26*(0.00202-VERI_TABANI!$B$17), 0))) + ((VERI_TABANI!D27*B491*(VERI_TABANI!$B$13-VERI_TABANI!$B$14)) + (VERI_TABANI!D27*C491*(VERI_TABANI!$B$13-VERI_TABANI!$B$15)) + IF(ISNUMBER(SEARCH("Var", D491)), VERI_TABANI!F27*(0.00202-VERI_TABANI!$B$16), IF(ISNUMBER(SEARCH("Gri", D491)), VERI_TABANI!F27*(0.00202-VERI_TABANI!$B$17), 0))) + ((VERI_TABANI!D28*B491*(VERI_TABANI!$B$13-VERI_TABANI!$B$14)) + (VERI_TABANI!D28*C491*(VERI_TABANI!$B$13-VERI_TABANI!$B$15)) + IF(ISNUMBER(SEARCH("Var", D491)), VERI_TABANI!F28*(0.00202-VERI_TABANI!$B$16), IF(ISNUMBER(SEARCH("Gri", D491)), VERI_TABANI!F28*(0.00202-VERI_TABANI!$B$17), 0))))</f>
        <v/>
      </c>
      <c r="I491" s="170">
        <f>IFERROR(((VERI_TABANI!$D$29*B491*VERI_TABANI!$B$14 + VERI_TABANI!$D$29*C491*VERI_TABANI!$B$15 + IF(ISNUMBER(SEARCH("Var", D491)), VERI_TABANI!$F$29*VERI_TABANI!$B$16, 0))) / (((VERI_TABANI!$D$29*B491 + VERI_TABANI!$D$29*C491)*VERI_TABANI!$B$13 + IF(ISNUMBER(SEARCH("Var", D491)), VERI_TABANI!$E$29*(1-0.928)*VERI_TABANI!$B$18, 0))), 0)</f>
        <v/>
      </c>
      <c r="J491" s="171">
        <f>IFERROR(F491/(G491/29), 0)</f>
        <v/>
      </c>
      <c r="K491" s="172">
        <f>IF(F491&gt;0, H491/F491, 0)</f>
        <v/>
      </c>
      <c r="L491" s="170">
        <f>IF(F491&gt;0, I491, 1000000000)</f>
        <v/>
      </c>
      <c r="M491" s="171">
        <f>ABS((B491+C491)-1)</f>
        <v/>
      </c>
      <c r="N491" s="170">
        <f>IF(F491&gt;0, (G491/29)/F491, 0)</f>
        <v/>
      </c>
      <c r="O491" s="168">
        <f>IF(AND((B491+C491)&gt;=1, ISNUMBER(SEARCH("Var", D491))), F491, 1000000000)</f>
        <v/>
      </c>
      <c r="P491" s="172">
        <f>IF(F491&gt;0, SQRT((F491/MAX(F$5:F$886))^2 + (1 - H491/MAX(H$5:H$886))^2 + (J491/MAX(J$5:J$886))^2), 1000000000)</f>
        <v/>
      </c>
      <c r="Q491" s="166">
        <f>IF(AND(ABS(B491-0.5)&lt;0.01, ABS(C491-0.5)&lt;0.01, ISNUMBER(SEARCH("Var", D491))), 1, 0)</f>
        <v/>
      </c>
      <c r="R491" s="171">
        <f>IF(F491&gt;0, J491, 1000000000)</f>
        <v/>
      </c>
      <c r="S491" s="101">
        <f>IF(AND(F491&lt;=DASHBOARD!$B$11, H491&gt;=DASHBOARD!$B$13), G491, -1000000000000)</f>
        <v/>
      </c>
      <c r="T491" s="101">
        <f>IF(AND(F491&lt;=DASHBOARD!$B$11, H491&gt;=DASHBOARD!$B$13), R491, 1000000000000)</f>
        <v/>
      </c>
      <c r="U491" s="101">
        <f>IF(AND(F491&lt;=DASHBOARD!$B$11, H491&gt;=DASHBOARD!$B$13), N491, -1000000000000)</f>
        <v/>
      </c>
      <c r="V491" s="101">
        <f>IF(AND(F491&lt;=DASHBOARD!$B$11, H491&gt;=DASHBOARD!$B$13), H491, -1000000000000)</f>
        <v/>
      </c>
      <c r="W491" s="101">
        <f>IF(AND(F491&lt;=DASHBOARD!$B$11, H491&gt;=DASHBOARD!$B$13), K491, -1000000000000)</f>
        <v/>
      </c>
      <c r="X491" s="101">
        <f>IF(AND(F491&lt;=DASHBOARD!$B$11, H491&gt;=DASHBOARD!$B$13), M491, 1000000000000)</f>
        <v/>
      </c>
      <c r="Y491" s="101">
        <f>IF(AND(F491&lt;=DASHBOARD!$B$10, H491&gt;=DASHBOARD!$B$11), L491, 1000000000000)</f>
        <v/>
      </c>
      <c r="Z491" s="101">
        <f>IF(AND(F491&lt;=DASHBOARD!$B$10, H491&gt;=DASHBOARD!$B$11), O491, 1000000000000)</f>
        <v/>
      </c>
      <c r="AA491" s="101">
        <f>IF(AND(F491&lt;=DASHBOARD!$B$10, H491&gt;=DASHBOARD!$B$11), P491, 1000000000000)</f>
        <v/>
      </c>
      <c r="AB491" s="101">
        <f>IF(AND(F491&lt;=DASHBOARD!$B$10, H491&gt;=DASHBOARD!$B$11), Q491, -1000000000000)</f>
        <v/>
      </c>
    </row>
    <row r="492" ht="15" customHeight="1" s="102">
      <c r="A492" s="166" t="n">
        <v>488</v>
      </c>
      <c r="B492" s="167" t="n">
        <v>1.1</v>
      </c>
      <c r="C492" s="167" t="n">
        <v>1.2</v>
      </c>
      <c r="D492" s="110" t="inlineStr">
        <is>
          <t>Var (%20)</t>
        </is>
      </c>
      <c r="E492" s="110">
        <f>IF((B492+C492)&lt;=1, "Tam Mahsuplaşma (≤%100)", "Kısmi Satış (&gt;%100)")</f>
        <v/>
      </c>
      <c r="F492" s="168">
        <f>((VERI_TABANI!$D$29*B492/VERI_TABANI!$B$29)/VERI_TABANI!$B$3)*VERI_TABANI!$B$5 + ((VERI_TABANI!$D$29*C492/VERI_TABANI!$B$29)/VERI_TABANI!$B$4)*VERI_TABANI!$B$6 + IF(ISNUMBER(SEARCH("Var", D492)), (VERI_TABANI!$F$29/VERI_TABANI!$B$29)*(VERI_TABANI!$B$10+VERI_TABANI!$B$12), 0)</f>
        <v/>
      </c>
      <c r="G492" s="168">
        <f>(((MIN(VERI_TABANI!D23, VERI_TABANI!D23*B492)*VERI_TABANI!$B$7 + MAX(0, VERI_TABANI!D23*B492-VERI_TABANI!D23)*VERI_TABANI!$B$8) + (MIN(MAX(0, VERI_TABANI!D23-VERI_TABANI!D23*B492), VERI_TABANI!D23*C492)*VERI_TABANI!$B$7 + MAX(0, VERI_TABANI!D23*C492-MAX(0, VERI_TABANI!D23-VERI_TABANI!D23*B492))*VERI_TABANI!$B$8) + IF(ABS(IF(ISNUMBER(SEARCH("Var", D492)), 1, IF(ISNUMBER(SEARCH("Gri", D492)), -1, 0)))=1, VERI_TABANI!E23*(1-0.928)*VERI_TABANI!$B$9, 0) + (VERI_TABANI!D23*B492*(VERI_TABANI!$B$13-VERI_TABANI!$B$14)*VERI_TABANI!G23) + (VERI_TABANI!D23*C492*(VERI_TABANI!$B$13-VERI_TABANI!$B$15)*VERI_TABANI!G23) + IF(ABS(IF(ISNUMBER(SEARCH("Var", D492)), 1, IF(ISNUMBER(SEARCH("Gri", D492)), -1, 0)))=1, VERI_TABANI!E23*(1-0.928)*0.00206091519919798*VERI_TABANI!G23, 0)) + ((MIN(VERI_TABANI!D24, VERI_TABANI!D24*B492)*VERI_TABANI!$B$7 + MAX(0, VERI_TABANI!D24*B492-VERI_TABANI!D24)*VERI_TABANI!$B$8) + (MIN(MAX(0, VERI_TABANI!D24-VERI_TABANI!D24*B492), VERI_TABANI!D24*C492)*VERI_TABANI!$B$7 + MAX(0, VERI_TABANI!D24*C492-MAX(0, VERI_TABANI!D24-VERI_TABANI!D24*B492))*VERI_TABANI!$B$8) + IF(ABS(IF(ISNUMBER(SEARCH("Var", D492)), 1, IF(ISNUMBER(SEARCH("Gri", D492)), -1, 0)))=1, VERI_TABANI!E24*(1-0.928)*VERI_TABANI!$B$9, 0) + (VERI_TABANI!D24*B492*(VERI_TABANI!$B$13-VERI_TABANI!$B$14)*VERI_TABANI!G24) + (VERI_TABANI!D24*C492*(VERI_TABANI!$B$13-VERI_TABANI!$B$15)*VERI_TABANI!G24) + IF(ABS(IF(ISNUMBER(SEARCH("Var", D492)), 1, IF(ISNUMBER(SEARCH("Gri", D492)), -1, 0)))=1, VERI_TABANI!E24*(1-0.928)*0.00206091519919798*VERI_TABANI!G24, 0)) + ((MIN(VERI_TABANI!D25, VERI_TABANI!D25*B492)*VERI_TABANI!$B$7 + MAX(0, VERI_TABANI!D25*B492-VERI_TABANI!D25)*VERI_TABANI!$B$8) + (MIN(MAX(0, VERI_TABANI!D25-VERI_TABANI!D25*B492), VERI_TABANI!D25*C492)*VERI_TABANI!$B$7 + MAX(0, VERI_TABANI!D25*C492-MAX(0, VERI_TABANI!D25-VERI_TABANI!D25*B492))*VERI_TABANI!$B$8) + IF(ABS(IF(ISNUMBER(SEARCH("Var", D492)), 1, IF(ISNUMBER(SEARCH("Gri", D492)), -1, 0)))=1, VERI_TABANI!E25*(1-0.928)*VERI_TABANI!$B$9, 0) + (VERI_TABANI!D25*B492*(VERI_TABANI!$B$13-VERI_TABANI!$B$14)*VERI_TABANI!G25) + (VERI_TABANI!D25*C492*(VERI_TABANI!$B$13-VERI_TABANI!$B$15)*VERI_TABANI!G25) + IF(ABS(IF(ISNUMBER(SEARCH("Var", D492)), 1, IF(ISNUMBER(SEARCH("Gri", D492)), -1, 0)))=1, VERI_TABANI!E25*(1-0.928)*0.00206091519919798*VERI_TABANI!G25, 0)) + ((MIN(VERI_TABANI!D26, VERI_TABANI!D26*B492)*VERI_TABANI!$B$7 + MAX(0, VERI_TABANI!D26*B492-VERI_TABANI!D26)*VERI_TABANI!$B$8) + (MIN(MAX(0, VERI_TABANI!D26-VERI_TABANI!D26*B492), VERI_TABANI!D26*C492)*VERI_TABANI!$B$7 + MAX(0, VERI_TABANI!D26*C492-MAX(0, VERI_TABANI!D26-VERI_TABANI!D26*B492))*VERI_TABANI!$B$8) + IF(ABS(IF(ISNUMBER(SEARCH("Var", D492)), 1, IF(ISNUMBER(SEARCH("Gri", D492)), -1, 0)))=1, VERI_TABANI!E26*(1-0.928)*VERI_TABANI!$B$9, 0) + (VERI_TABANI!D26*B492*(VERI_TABANI!$B$13-VERI_TABANI!$B$14)*VERI_TABANI!G26) + (VERI_TABANI!D26*C492*(VERI_TABANI!$B$13-VERI_TABANI!$B$15)*VERI_TABANI!G26) + IF(ABS(IF(ISNUMBER(SEARCH("Var", D492)), 1, IF(ISNUMBER(SEARCH("Gri", D492)), -1, 0)))=1, VERI_TABANI!E26*(1-0.928)*0.00206091519919798*VERI_TABANI!G26, 0)) + ((MIN(VERI_TABANI!D27, VERI_TABANI!D27*B492)*VERI_TABANI!$B$7 + MAX(0, VERI_TABANI!D27*B492-VERI_TABANI!D27)*VERI_TABANI!$B$8) + (MIN(MAX(0, VERI_TABANI!D27-VERI_TABANI!D27*B492), VERI_TABANI!D27*C492)*VERI_TABANI!$B$7 + MAX(0, VERI_TABANI!D27*C492-MAX(0, VERI_TABANI!D27-VERI_TABANI!D27*B492))*VERI_TABANI!$B$8) + IF(ABS(IF(ISNUMBER(SEARCH("Var", D492)), 1, IF(ISNUMBER(SEARCH("Gri", D492)), -1, 0)))=1, VERI_TABANI!E27*(1-0.928)*VERI_TABANI!$B$9, 0) + (VERI_TABANI!D27*B492*(VERI_TABANI!$B$13-VERI_TABANI!$B$14)*VERI_TABANI!G27) + (VERI_TABANI!D27*C492*(VERI_TABANI!$B$13-VERI_TABANI!$B$15)*VERI_TABANI!G27) + IF(ABS(IF(ISNUMBER(SEARCH("Var", D492)), 1, IF(ISNUMBER(SEARCH("Gri", D492)), -1, 0)))=1, VERI_TABANI!E27*(1-0.928)*0.00206091519919798*VERI_TABANI!G27, 0)) + ((MIN(VERI_TABANI!D28, VERI_TABANI!D28*B492)*VERI_TABANI!$B$7 + MAX(0, VERI_TABANI!D28*B492-VERI_TABANI!D28)*VERI_TABANI!$B$8) + (MIN(MAX(0, VERI_TABANI!D28-VERI_TABANI!D28*B492), VERI_TABANI!D28*C492)*VERI_TABANI!$B$7 + MAX(0, VERI_TABANI!D28*C492-MAX(0, VERI_TABANI!D28-VERI_TABANI!D28*B492))*VERI_TABANI!$B$8) + IF(ABS(IF(ISNUMBER(SEARCH("Var", D492)), 1, IF(ISNUMBER(SEARCH("Gri", D492)), -1, 0)))=1, VERI_TABANI!E28*(1-0.928)*VERI_TABANI!$B$9, 0) + (VERI_TABANI!D28*B492*(VERI_TABANI!$B$13-VERI_TABANI!$B$14)*VERI_TABANI!G28) + (VERI_TABANI!D28*C492*(VERI_TABANI!$B$13-VERI_TABANI!$B$15)*VERI_TABANI!G28) + IF(ABS(IF(ISNUMBER(SEARCH("Var", D492)), 1, IF(ISNUMBER(SEARCH("Gri", D492)), -1, 0)))=1, VERI_TABANI!E28*(1-0.928)*0.00206091519919798*VERI_TABANI!G28, 0)))</f>
        <v/>
      </c>
      <c r="H492" s="169">
        <f>(((VERI_TABANI!D23*B492*(VERI_TABANI!$B$13-VERI_TABANI!$B$14)) + (VERI_TABANI!D23*C492*(VERI_TABANI!$B$13-VERI_TABANI!$B$15)) + IF(ISNUMBER(SEARCH("Var", D492)), VERI_TABANI!F23*(0.00202-VERI_TABANI!$B$16), IF(ISNUMBER(SEARCH("Gri", D492)), VERI_TABANI!F23*(0.00202-VERI_TABANI!$B$17), 0))) + ((VERI_TABANI!D24*B492*(VERI_TABANI!$B$13-VERI_TABANI!$B$14)) + (VERI_TABANI!D24*C492*(VERI_TABANI!$B$13-VERI_TABANI!$B$15)) + IF(ISNUMBER(SEARCH("Var", D492)), VERI_TABANI!F24*(0.00202-VERI_TABANI!$B$16), IF(ISNUMBER(SEARCH("Gri", D492)), VERI_TABANI!F24*(0.00202-VERI_TABANI!$B$17), 0))) + ((VERI_TABANI!D25*B492*(VERI_TABANI!$B$13-VERI_TABANI!$B$14)) + (VERI_TABANI!D25*C492*(VERI_TABANI!$B$13-VERI_TABANI!$B$15)) + IF(ISNUMBER(SEARCH("Var", D492)), VERI_TABANI!F25*(0.00202-VERI_TABANI!$B$16), IF(ISNUMBER(SEARCH("Gri", D492)), VERI_TABANI!F25*(0.00202-VERI_TABANI!$B$17), 0))) + ((VERI_TABANI!D26*B492*(VERI_TABANI!$B$13-VERI_TABANI!$B$14)) + (VERI_TABANI!D26*C492*(VERI_TABANI!$B$13-VERI_TABANI!$B$15)) + IF(ISNUMBER(SEARCH("Var", D492)), VERI_TABANI!F26*(0.00202-VERI_TABANI!$B$16), IF(ISNUMBER(SEARCH("Gri", D492)), VERI_TABANI!F26*(0.00202-VERI_TABANI!$B$17), 0))) + ((VERI_TABANI!D27*B492*(VERI_TABANI!$B$13-VERI_TABANI!$B$14)) + (VERI_TABANI!D27*C492*(VERI_TABANI!$B$13-VERI_TABANI!$B$15)) + IF(ISNUMBER(SEARCH("Var", D492)), VERI_TABANI!F27*(0.00202-VERI_TABANI!$B$16), IF(ISNUMBER(SEARCH("Gri", D492)), VERI_TABANI!F27*(0.00202-VERI_TABANI!$B$17), 0))) + ((VERI_TABANI!D28*B492*(VERI_TABANI!$B$13-VERI_TABANI!$B$14)) + (VERI_TABANI!D28*C492*(VERI_TABANI!$B$13-VERI_TABANI!$B$15)) + IF(ISNUMBER(SEARCH("Var", D492)), VERI_TABANI!F28*(0.00202-VERI_TABANI!$B$16), IF(ISNUMBER(SEARCH("Gri", D492)), VERI_TABANI!F28*(0.00202-VERI_TABANI!$B$17), 0))))</f>
        <v/>
      </c>
      <c r="I492" s="170">
        <f>IFERROR(((VERI_TABANI!$D$29*B492*VERI_TABANI!$B$14 + VERI_TABANI!$D$29*C492*VERI_TABANI!$B$15 + IF(ISNUMBER(SEARCH("Var", D492)), VERI_TABANI!$F$29*VERI_TABANI!$B$16, 0))) / (((VERI_TABANI!$D$29*B492 + VERI_TABANI!$D$29*C492)*VERI_TABANI!$B$13 + IF(ISNUMBER(SEARCH("Var", D492)), VERI_TABANI!$E$29*(1-0.928)*VERI_TABANI!$B$18, 0))), 0)</f>
        <v/>
      </c>
      <c r="J492" s="171">
        <f>IFERROR(F492/(G492/29), 0)</f>
        <v/>
      </c>
      <c r="K492" s="172">
        <f>IF(F492&gt;0, H492/F492, 0)</f>
        <v/>
      </c>
      <c r="L492" s="170">
        <f>IF(F492&gt;0, I492, 1000000000)</f>
        <v/>
      </c>
      <c r="M492" s="171">
        <f>ABS((B492+C492)-1)</f>
        <v/>
      </c>
      <c r="N492" s="170">
        <f>IF(F492&gt;0, (G492/29)/F492, 0)</f>
        <v/>
      </c>
      <c r="O492" s="168">
        <f>IF(AND((B492+C492)&gt;=1, ISNUMBER(SEARCH("Var", D492))), F492, 1000000000)</f>
        <v/>
      </c>
      <c r="P492" s="172">
        <f>IF(F492&gt;0, SQRT((F492/MAX(F$5:F$886))^2 + (1 - H492/MAX(H$5:H$886))^2 + (J492/MAX(J$5:J$886))^2), 1000000000)</f>
        <v/>
      </c>
      <c r="Q492" s="166">
        <f>IF(AND(ABS(B492-0.5)&lt;0.01, ABS(C492-0.5)&lt;0.01, ISNUMBER(SEARCH("Var", D492))), 1, 0)</f>
        <v/>
      </c>
      <c r="R492" s="171">
        <f>IF(F492&gt;0, J492, 1000000000)</f>
        <v/>
      </c>
      <c r="S492" s="101">
        <f>IF(AND(F492&lt;=DASHBOARD!$B$11, H492&gt;=DASHBOARD!$B$13), G492, -1000000000000)</f>
        <v/>
      </c>
      <c r="T492" s="101">
        <f>IF(AND(F492&lt;=DASHBOARD!$B$11, H492&gt;=DASHBOARD!$B$13), R492, 1000000000000)</f>
        <v/>
      </c>
      <c r="U492" s="101">
        <f>IF(AND(F492&lt;=DASHBOARD!$B$11, H492&gt;=DASHBOARD!$B$13), N492, -1000000000000)</f>
        <v/>
      </c>
      <c r="V492" s="101">
        <f>IF(AND(F492&lt;=DASHBOARD!$B$11, H492&gt;=DASHBOARD!$B$13), H492, -1000000000000)</f>
        <v/>
      </c>
      <c r="W492" s="101">
        <f>IF(AND(F492&lt;=DASHBOARD!$B$11, H492&gt;=DASHBOARD!$B$13), K492, -1000000000000)</f>
        <v/>
      </c>
      <c r="X492" s="101">
        <f>IF(AND(F492&lt;=DASHBOARD!$B$11, H492&gt;=DASHBOARD!$B$13), M492, 1000000000000)</f>
        <v/>
      </c>
      <c r="Y492" s="101">
        <f>IF(AND(F492&lt;=DASHBOARD!$B$10, H492&gt;=DASHBOARD!$B$11), L492, 1000000000000)</f>
        <v/>
      </c>
      <c r="Z492" s="101">
        <f>IF(AND(F492&lt;=DASHBOARD!$B$10, H492&gt;=DASHBOARD!$B$11), O492, 1000000000000)</f>
        <v/>
      </c>
      <c r="AA492" s="101">
        <f>IF(AND(F492&lt;=DASHBOARD!$B$10, H492&gt;=DASHBOARD!$B$11), P492, 1000000000000)</f>
        <v/>
      </c>
      <c r="AB492" s="101">
        <f>IF(AND(F492&lt;=DASHBOARD!$B$10, H492&gt;=DASHBOARD!$B$11), Q492, -1000000000000)</f>
        <v/>
      </c>
    </row>
    <row r="493" ht="15" customHeight="1" s="102">
      <c r="A493" s="166" t="n">
        <v>489</v>
      </c>
      <c r="B493" s="167" t="n">
        <v>1.1</v>
      </c>
      <c r="C493" s="167" t="n">
        <v>1.3</v>
      </c>
      <c r="D493" s="110" t="inlineStr">
        <is>
          <t>Yok (%0)</t>
        </is>
      </c>
      <c r="E493" s="110">
        <f>IF((B493+C493)&lt;=1, "Tam Mahsuplaşma (≤%100)", "Kısmi Satış (&gt;%100)")</f>
        <v/>
      </c>
      <c r="F493" s="168">
        <f>((VERI_TABANI!$D$29*B493/VERI_TABANI!$B$29)/VERI_TABANI!$B$3)*VERI_TABANI!$B$5 + ((VERI_TABANI!$D$29*C493/VERI_TABANI!$B$29)/VERI_TABANI!$B$4)*VERI_TABANI!$B$6 + IF(ISNUMBER(SEARCH("Var", D493)), (VERI_TABANI!$F$29/VERI_TABANI!$B$29)*(VERI_TABANI!$B$10+VERI_TABANI!$B$12), 0)</f>
        <v/>
      </c>
      <c r="G493" s="168">
        <f>(((MIN(VERI_TABANI!D23, VERI_TABANI!D23*B493)*VERI_TABANI!$B$7 + MAX(0, VERI_TABANI!D23*B493-VERI_TABANI!D23)*VERI_TABANI!$B$8) + (MIN(MAX(0, VERI_TABANI!D23-VERI_TABANI!D23*B493), VERI_TABANI!D23*C493)*VERI_TABANI!$B$7 + MAX(0, VERI_TABANI!D23*C493-MAX(0, VERI_TABANI!D23-VERI_TABANI!D23*B493))*VERI_TABANI!$B$8) + IF(ABS(IF(ISNUMBER(SEARCH("Var", D493)), 1, IF(ISNUMBER(SEARCH("Gri", D493)), -1, 0)))=1, VERI_TABANI!E23*(1-0.928)*VERI_TABANI!$B$9, 0) + (VERI_TABANI!D23*B493*(VERI_TABANI!$B$13-VERI_TABANI!$B$14)*VERI_TABANI!G23) + (VERI_TABANI!D23*C493*(VERI_TABANI!$B$13-VERI_TABANI!$B$15)*VERI_TABANI!G23) + IF(ABS(IF(ISNUMBER(SEARCH("Var", D493)), 1, IF(ISNUMBER(SEARCH("Gri", D493)), -1, 0)))=1, VERI_TABANI!E23*(1-0.928)*0.00206091519919798*VERI_TABANI!G23, 0)) + ((MIN(VERI_TABANI!D24, VERI_TABANI!D24*B493)*VERI_TABANI!$B$7 + MAX(0, VERI_TABANI!D24*B493-VERI_TABANI!D24)*VERI_TABANI!$B$8) + (MIN(MAX(0, VERI_TABANI!D24-VERI_TABANI!D24*B493), VERI_TABANI!D24*C493)*VERI_TABANI!$B$7 + MAX(0, VERI_TABANI!D24*C493-MAX(0, VERI_TABANI!D24-VERI_TABANI!D24*B493))*VERI_TABANI!$B$8) + IF(ABS(IF(ISNUMBER(SEARCH("Var", D493)), 1, IF(ISNUMBER(SEARCH("Gri", D493)), -1, 0)))=1, VERI_TABANI!E24*(1-0.928)*VERI_TABANI!$B$9, 0) + (VERI_TABANI!D24*B493*(VERI_TABANI!$B$13-VERI_TABANI!$B$14)*VERI_TABANI!G24) + (VERI_TABANI!D24*C493*(VERI_TABANI!$B$13-VERI_TABANI!$B$15)*VERI_TABANI!G24) + IF(ABS(IF(ISNUMBER(SEARCH("Var", D493)), 1, IF(ISNUMBER(SEARCH("Gri", D493)), -1, 0)))=1, VERI_TABANI!E24*(1-0.928)*0.00206091519919798*VERI_TABANI!G24, 0)) + ((MIN(VERI_TABANI!D25, VERI_TABANI!D25*B493)*VERI_TABANI!$B$7 + MAX(0, VERI_TABANI!D25*B493-VERI_TABANI!D25)*VERI_TABANI!$B$8) + (MIN(MAX(0, VERI_TABANI!D25-VERI_TABANI!D25*B493), VERI_TABANI!D25*C493)*VERI_TABANI!$B$7 + MAX(0, VERI_TABANI!D25*C493-MAX(0, VERI_TABANI!D25-VERI_TABANI!D25*B493))*VERI_TABANI!$B$8) + IF(ABS(IF(ISNUMBER(SEARCH("Var", D493)), 1, IF(ISNUMBER(SEARCH("Gri", D493)), -1, 0)))=1, VERI_TABANI!E25*(1-0.928)*VERI_TABANI!$B$9, 0) + (VERI_TABANI!D25*B493*(VERI_TABANI!$B$13-VERI_TABANI!$B$14)*VERI_TABANI!G25) + (VERI_TABANI!D25*C493*(VERI_TABANI!$B$13-VERI_TABANI!$B$15)*VERI_TABANI!G25) + IF(ABS(IF(ISNUMBER(SEARCH("Var", D493)), 1, IF(ISNUMBER(SEARCH("Gri", D493)), -1, 0)))=1, VERI_TABANI!E25*(1-0.928)*0.00206091519919798*VERI_TABANI!G25, 0)) + ((MIN(VERI_TABANI!D26, VERI_TABANI!D26*B493)*VERI_TABANI!$B$7 + MAX(0, VERI_TABANI!D26*B493-VERI_TABANI!D26)*VERI_TABANI!$B$8) + (MIN(MAX(0, VERI_TABANI!D26-VERI_TABANI!D26*B493), VERI_TABANI!D26*C493)*VERI_TABANI!$B$7 + MAX(0, VERI_TABANI!D26*C493-MAX(0, VERI_TABANI!D26-VERI_TABANI!D26*B493))*VERI_TABANI!$B$8) + IF(ABS(IF(ISNUMBER(SEARCH("Var", D493)), 1, IF(ISNUMBER(SEARCH("Gri", D493)), -1, 0)))=1, VERI_TABANI!E26*(1-0.928)*VERI_TABANI!$B$9, 0) + (VERI_TABANI!D26*B493*(VERI_TABANI!$B$13-VERI_TABANI!$B$14)*VERI_TABANI!G26) + (VERI_TABANI!D26*C493*(VERI_TABANI!$B$13-VERI_TABANI!$B$15)*VERI_TABANI!G26) + IF(ABS(IF(ISNUMBER(SEARCH("Var", D493)), 1, IF(ISNUMBER(SEARCH("Gri", D493)), -1, 0)))=1, VERI_TABANI!E26*(1-0.928)*0.00206091519919798*VERI_TABANI!G26, 0)) + ((MIN(VERI_TABANI!D27, VERI_TABANI!D27*B493)*VERI_TABANI!$B$7 + MAX(0, VERI_TABANI!D27*B493-VERI_TABANI!D27)*VERI_TABANI!$B$8) + (MIN(MAX(0, VERI_TABANI!D27-VERI_TABANI!D27*B493), VERI_TABANI!D27*C493)*VERI_TABANI!$B$7 + MAX(0, VERI_TABANI!D27*C493-MAX(0, VERI_TABANI!D27-VERI_TABANI!D27*B493))*VERI_TABANI!$B$8) + IF(ABS(IF(ISNUMBER(SEARCH("Var", D493)), 1, IF(ISNUMBER(SEARCH("Gri", D493)), -1, 0)))=1, VERI_TABANI!E27*(1-0.928)*VERI_TABANI!$B$9, 0) + (VERI_TABANI!D27*B493*(VERI_TABANI!$B$13-VERI_TABANI!$B$14)*VERI_TABANI!G27) + (VERI_TABANI!D27*C493*(VERI_TABANI!$B$13-VERI_TABANI!$B$15)*VERI_TABANI!G27) + IF(ABS(IF(ISNUMBER(SEARCH("Var", D493)), 1, IF(ISNUMBER(SEARCH("Gri", D493)), -1, 0)))=1, VERI_TABANI!E27*(1-0.928)*0.00206091519919798*VERI_TABANI!G27, 0)) + ((MIN(VERI_TABANI!D28, VERI_TABANI!D28*B493)*VERI_TABANI!$B$7 + MAX(0, VERI_TABANI!D28*B493-VERI_TABANI!D28)*VERI_TABANI!$B$8) + (MIN(MAX(0, VERI_TABANI!D28-VERI_TABANI!D28*B493), VERI_TABANI!D28*C493)*VERI_TABANI!$B$7 + MAX(0, VERI_TABANI!D28*C493-MAX(0, VERI_TABANI!D28-VERI_TABANI!D28*B493))*VERI_TABANI!$B$8) + IF(ABS(IF(ISNUMBER(SEARCH("Var", D493)), 1, IF(ISNUMBER(SEARCH("Gri", D493)), -1, 0)))=1, VERI_TABANI!E28*(1-0.928)*VERI_TABANI!$B$9, 0) + (VERI_TABANI!D28*B493*(VERI_TABANI!$B$13-VERI_TABANI!$B$14)*VERI_TABANI!G28) + (VERI_TABANI!D28*C493*(VERI_TABANI!$B$13-VERI_TABANI!$B$15)*VERI_TABANI!G28) + IF(ABS(IF(ISNUMBER(SEARCH("Var", D493)), 1, IF(ISNUMBER(SEARCH("Gri", D493)), -1, 0)))=1, VERI_TABANI!E28*(1-0.928)*0.00206091519919798*VERI_TABANI!G28, 0)))</f>
        <v/>
      </c>
      <c r="H493" s="169">
        <f>(((VERI_TABANI!D23*B493*(VERI_TABANI!$B$13-VERI_TABANI!$B$14)) + (VERI_TABANI!D23*C493*(VERI_TABANI!$B$13-VERI_TABANI!$B$15)) + IF(ISNUMBER(SEARCH("Var", D493)), VERI_TABANI!F23*(0.00202-VERI_TABANI!$B$16), IF(ISNUMBER(SEARCH("Gri", D493)), VERI_TABANI!F23*(0.00202-VERI_TABANI!$B$17), 0))) + ((VERI_TABANI!D24*B493*(VERI_TABANI!$B$13-VERI_TABANI!$B$14)) + (VERI_TABANI!D24*C493*(VERI_TABANI!$B$13-VERI_TABANI!$B$15)) + IF(ISNUMBER(SEARCH("Var", D493)), VERI_TABANI!F24*(0.00202-VERI_TABANI!$B$16), IF(ISNUMBER(SEARCH("Gri", D493)), VERI_TABANI!F24*(0.00202-VERI_TABANI!$B$17), 0))) + ((VERI_TABANI!D25*B493*(VERI_TABANI!$B$13-VERI_TABANI!$B$14)) + (VERI_TABANI!D25*C493*(VERI_TABANI!$B$13-VERI_TABANI!$B$15)) + IF(ISNUMBER(SEARCH("Var", D493)), VERI_TABANI!F25*(0.00202-VERI_TABANI!$B$16), IF(ISNUMBER(SEARCH("Gri", D493)), VERI_TABANI!F25*(0.00202-VERI_TABANI!$B$17), 0))) + ((VERI_TABANI!D26*B493*(VERI_TABANI!$B$13-VERI_TABANI!$B$14)) + (VERI_TABANI!D26*C493*(VERI_TABANI!$B$13-VERI_TABANI!$B$15)) + IF(ISNUMBER(SEARCH("Var", D493)), VERI_TABANI!F26*(0.00202-VERI_TABANI!$B$16), IF(ISNUMBER(SEARCH("Gri", D493)), VERI_TABANI!F26*(0.00202-VERI_TABANI!$B$17), 0))) + ((VERI_TABANI!D27*B493*(VERI_TABANI!$B$13-VERI_TABANI!$B$14)) + (VERI_TABANI!D27*C493*(VERI_TABANI!$B$13-VERI_TABANI!$B$15)) + IF(ISNUMBER(SEARCH("Var", D493)), VERI_TABANI!F27*(0.00202-VERI_TABANI!$B$16), IF(ISNUMBER(SEARCH("Gri", D493)), VERI_TABANI!F27*(0.00202-VERI_TABANI!$B$17), 0))) + ((VERI_TABANI!D28*B493*(VERI_TABANI!$B$13-VERI_TABANI!$B$14)) + (VERI_TABANI!D28*C493*(VERI_TABANI!$B$13-VERI_TABANI!$B$15)) + IF(ISNUMBER(SEARCH("Var", D493)), VERI_TABANI!F28*(0.00202-VERI_TABANI!$B$16), IF(ISNUMBER(SEARCH("Gri", D493)), VERI_TABANI!F28*(0.00202-VERI_TABANI!$B$17), 0))))</f>
        <v/>
      </c>
      <c r="I493" s="170">
        <f>IFERROR(((VERI_TABANI!$D$29*B493*VERI_TABANI!$B$14 + VERI_TABANI!$D$29*C493*VERI_TABANI!$B$15 + IF(ISNUMBER(SEARCH("Var", D493)), VERI_TABANI!$F$29*VERI_TABANI!$B$16, 0))) / (((VERI_TABANI!$D$29*B493 + VERI_TABANI!$D$29*C493)*VERI_TABANI!$B$13 + IF(ISNUMBER(SEARCH("Var", D493)), VERI_TABANI!$E$29*(1-0.928)*VERI_TABANI!$B$18, 0))), 0)</f>
        <v/>
      </c>
      <c r="J493" s="171">
        <f>IFERROR(F493/(G493/29), 0)</f>
        <v/>
      </c>
      <c r="K493" s="172">
        <f>IF(F493&gt;0, H493/F493, 0)</f>
        <v/>
      </c>
      <c r="L493" s="170">
        <f>IF(F493&gt;0, I493, 1000000000)</f>
        <v/>
      </c>
      <c r="M493" s="171">
        <f>ABS((B493+C493)-1)</f>
        <v/>
      </c>
      <c r="N493" s="170">
        <f>IF(F493&gt;0, (G493/29)/F493, 0)</f>
        <v/>
      </c>
      <c r="O493" s="168">
        <f>IF(AND((B493+C493)&gt;=1, ISNUMBER(SEARCH("Var", D493))), F493, 1000000000)</f>
        <v/>
      </c>
      <c r="P493" s="172">
        <f>IF(F493&gt;0, SQRT((F493/MAX(F$5:F$886))^2 + (1 - H493/MAX(H$5:H$886))^2 + (J493/MAX(J$5:J$886))^2), 1000000000)</f>
        <v/>
      </c>
      <c r="Q493" s="166">
        <f>IF(AND(ABS(B493-0.5)&lt;0.01, ABS(C493-0.5)&lt;0.01, ISNUMBER(SEARCH("Var", D493))), 1, 0)</f>
        <v/>
      </c>
      <c r="R493" s="171">
        <f>IF(F493&gt;0, J493, 1000000000)</f>
        <v/>
      </c>
      <c r="S493" s="101">
        <f>IF(AND(F493&lt;=DASHBOARD!$B$11, H493&gt;=DASHBOARD!$B$13), G493, -1000000000000)</f>
        <v/>
      </c>
      <c r="T493" s="101">
        <f>IF(AND(F493&lt;=DASHBOARD!$B$11, H493&gt;=DASHBOARD!$B$13), R493, 1000000000000)</f>
        <v/>
      </c>
      <c r="U493" s="101">
        <f>IF(AND(F493&lt;=DASHBOARD!$B$11, H493&gt;=DASHBOARD!$B$13), N493, -1000000000000)</f>
        <v/>
      </c>
      <c r="V493" s="101">
        <f>IF(AND(F493&lt;=DASHBOARD!$B$11, H493&gt;=DASHBOARD!$B$13), H493, -1000000000000)</f>
        <v/>
      </c>
      <c r="W493" s="101">
        <f>IF(AND(F493&lt;=DASHBOARD!$B$11, H493&gt;=DASHBOARD!$B$13), K493, -1000000000000)</f>
        <v/>
      </c>
      <c r="X493" s="101">
        <f>IF(AND(F493&lt;=DASHBOARD!$B$11, H493&gt;=DASHBOARD!$B$13), M493, 1000000000000)</f>
        <v/>
      </c>
      <c r="Y493" s="101">
        <f>IF(AND(F493&lt;=DASHBOARD!$B$10, H493&gt;=DASHBOARD!$B$11), L493, 1000000000000)</f>
        <v/>
      </c>
      <c r="Z493" s="101">
        <f>IF(AND(F493&lt;=DASHBOARD!$B$10, H493&gt;=DASHBOARD!$B$11), O493, 1000000000000)</f>
        <v/>
      </c>
      <c r="AA493" s="101">
        <f>IF(AND(F493&lt;=DASHBOARD!$B$10, H493&gt;=DASHBOARD!$B$11), P493, 1000000000000)</f>
        <v/>
      </c>
      <c r="AB493" s="101">
        <f>IF(AND(F493&lt;=DASHBOARD!$B$10, H493&gt;=DASHBOARD!$B$11), Q493, -1000000000000)</f>
        <v/>
      </c>
    </row>
    <row r="494" ht="15" customHeight="1" s="102">
      <c r="A494" s="166" t="n">
        <v>490</v>
      </c>
      <c r="B494" s="167" t="n">
        <v>1.1</v>
      </c>
      <c r="C494" s="167" t="n">
        <v>1.3</v>
      </c>
      <c r="D494" s="110" t="inlineStr">
        <is>
          <t>Var (%20)</t>
        </is>
      </c>
      <c r="E494" s="110">
        <f>IF((B494+C494)&lt;=1, "Tam Mahsuplaşma (≤%100)", "Kısmi Satış (&gt;%100)")</f>
        <v/>
      </c>
      <c r="F494" s="168">
        <f>((VERI_TABANI!$D$29*B494/VERI_TABANI!$B$29)/VERI_TABANI!$B$3)*VERI_TABANI!$B$5 + ((VERI_TABANI!$D$29*C494/VERI_TABANI!$B$29)/VERI_TABANI!$B$4)*VERI_TABANI!$B$6 + IF(ISNUMBER(SEARCH("Var", D494)), (VERI_TABANI!$F$29/VERI_TABANI!$B$29)*(VERI_TABANI!$B$10+VERI_TABANI!$B$12), 0)</f>
        <v/>
      </c>
      <c r="G494" s="168">
        <f>(((MIN(VERI_TABANI!D23, VERI_TABANI!D23*B494)*VERI_TABANI!$B$7 + MAX(0, VERI_TABANI!D23*B494-VERI_TABANI!D23)*VERI_TABANI!$B$8) + (MIN(MAX(0, VERI_TABANI!D23-VERI_TABANI!D23*B494), VERI_TABANI!D23*C494)*VERI_TABANI!$B$7 + MAX(0, VERI_TABANI!D23*C494-MAX(0, VERI_TABANI!D23-VERI_TABANI!D23*B494))*VERI_TABANI!$B$8) + IF(ABS(IF(ISNUMBER(SEARCH("Var", D494)), 1, IF(ISNUMBER(SEARCH("Gri", D494)), -1, 0)))=1, VERI_TABANI!E23*(1-0.928)*VERI_TABANI!$B$9, 0) + (VERI_TABANI!D23*B494*(VERI_TABANI!$B$13-VERI_TABANI!$B$14)*VERI_TABANI!G23) + (VERI_TABANI!D23*C494*(VERI_TABANI!$B$13-VERI_TABANI!$B$15)*VERI_TABANI!G23) + IF(ABS(IF(ISNUMBER(SEARCH("Var", D494)), 1, IF(ISNUMBER(SEARCH("Gri", D494)), -1, 0)))=1, VERI_TABANI!E23*(1-0.928)*0.00206091519919798*VERI_TABANI!G23, 0)) + ((MIN(VERI_TABANI!D24, VERI_TABANI!D24*B494)*VERI_TABANI!$B$7 + MAX(0, VERI_TABANI!D24*B494-VERI_TABANI!D24)*VERI_TABANI!$B$8) + (MIN(MAX(0, VERI_TABANI!D24-VERI_TABANI!D24*B494), VERI_TABANI!D24*C494)*VERI_TABANI!$B$7 + MAX(0, VERI_TABANI!D24*C494-MAX(0, VERI_TABANI!D24-VERI_TABANI!D24*B494))*VERI_TABANI!$B$8) + IF(ABS(IF(ISNUMBER(SEARCH("Var", D494)), 1, IF(ISNUMBER(SEARCH("Gri", D494)), -1, 0)))=1, VERI_TABANI!E24*(1-0.928)*VERI_TABANI!$B$9, 0) + (VERI_TABANI!D24*B494*(VERI_TABANI!$B$13-VERI_TABANI!$B$14)*VERI_TABANI!G24) + (VERI_TABANI!D24*C494*(VERI_TABANI!$B$13-VERI_TABANI!$B$15)*VERI_TABANI!G24) + IF(ABS(IF(ISNUMBER(SEARCH("Var", D494)), 1, IF(ISNUMBER(SEARCH("Gri", D494)), -1, 0)))=1, VERI_TABANI!E24*(1-0.928)*0.00206091519919798*VERI_TABANI!G24, 0)) + ((MIN(VERI_TABANI!D25, VERI_TABANI!D25*B494)*VERI_TABANI!$B$7 + MAX(0, VERI_TABANI!D25*B494-VERI_TABANI!D25)*VERI_TABANI!$B$8) + (MIN(MAX(0, VERI_TABANI!D25-VERI_TABANI!D25*B494), VERI_TABANI!D25*C494)*VERI_TABANI!$B$7 + MAX(0, VERI_TABANI!D25*C494-MAX(0, VERI_TABANI!D25-VERI_TABANI!D25*B494))*VERI_TABANI!$B$8) + IF(ABS(IF(ISNUMBER(SEARCH("Var", D494)), 1, IF(ISNUMBER(SEARCH("Gri", D494)), -1, 0)))=1, VERI_TABANI!E25*(1-0.928)*VERI_TABANI!$B$9, 0) + (VERI_TABANI!D25*B494*(VERI_TABANI!$B$13-VERI_TABANI!$B$14)*VERI_TABANI!G25) + (VERI_TABANI!D25*C494*(VERI_TABANI!$B$13-VERI_TABANI!$B$15)*VERI_TABANI!G25) + IF(ABS(IF(ISNUMBER(SEARCH("Var", D494)), 1, IF(ISNUMBER(SEARCH("Gri", D494)), -1, 0)))=1, VERI_TABANI!E25*(1-0.928)*0.00206091519919798*VERI_TABANI!G25, 0)) + ((MIN(VERI_TABANI!D26, VERI_TABANI!D26*B494)*VERI_TABANI!$B$7 + MAX(0, VERI_TABANI!D26*B494-VERI_TABANI!D26)*VERI_TABANI!$B$8) + (MIN(MAX(0, VERI_TABANI!D26-VERI_TABANI!D26*B494), VERI_TABANI!D26*C494)*VERI_TABANI!$B$7 + MAX(0, VERI_TABANI!D26*C494-MAX(0, VERI_TABANI!D26-VERI_TABANI!D26*B494))*VERI_TABANI!$B$8) + IF(ABS(IF(ISNUMBER(SEARCH("Var", D494)), 1, IF(ISNUMBER(SEARCH("Gri", D494)), -1, 0)))=1, VERI_TABANI!E26*(1-0.928)*VERI_TABANI!$B$9, 0) + (VERI_TABANI!D26*B494*(VERI_TABANI!$B$13-VERI_TABANI!$B$14)*VERI_TABANI!G26) + (VERI_TABANI!D26*C494*(VERI_TABANI!$B$13-VERI_TABANI!$B$15)*VERI_TABANI!G26) + IF(ABS(IF(ISNUMBER(SEARCH("Var", D494)), 1, IF(ISNUMBER(SEARCH("Gri", D494)), -1, 0)))=1, VERI_TABANI!E26*(1-0.928)*0.00206091519919798*VERI_TABANI!G26, 0)) + ((MIN(VERI_TABANI!D27, VERI_TABANI!D27*B494)*VERI_TABANI!$B$7 + MAX(0, VERI_TABANI!D27*B494-VERI_TABANI!D27)*VERI_TABANI!$B$8) + (MIN(MAX(0, VERI_TABANI!D27-VERI_TABANI!D27*B494), VERI_TABANI!D27*C494)*VERI_TABANI!$B$7 + MAX(0, VERI_TABANI!D27*C494-MAX(0, VERI_TABANI!D27-VERI_TABANI!D27*B494))*VERI_TABANI!$B$8) + IF(ABS(IF(ISNUMBER(SEARCH("Var", D494)), 1, IF(ISNUMBER(SEARCH("Gri", D494)), -1, 0)))=1, VERI_TABANI!E27*(1-0.928)*VERI_TABANI!$B$9, 0) + (VERI_TABANI!D27*B494*(VERI_TABANI!$B$13-VERI_TABANI!$B$14)*VERI_TABANI!G27) + (VERI_TABANI!D27*C494*(VERI_TABANI!$B$13-VERI_TABANI!$B$15)*VERI_TABANI!G27) + IF(ABS(IF(ISNUMBER(SEARCH("Var", D494)), 1, IF(ISNUMBER(SEARCH("Gri", D494)), -1, 0)))=1, VERI_TABANI!E27*(1-0.928)*0.00206091519919798*VERI_TABANI!G27, 0)) + ((MIN(VERI_TABANI!D28, VERI_TABANI!D28*B494)*VERI_TABANI!$B$7 + MAX(0, VERI_TABANI!D28*B494-VERI_TABANI!D28)*VERI_TABANI!$B$8) + (MIN(MAX(0, VERI_TABANI!D28-VERI_TABANI!D28*B494), VERI_TABANI!D28*C494)*VERI_TABANI!$B$7 + MAX(0, VERI_TABANI!D28*C494-MAX(0, VERI_TABANI!D28-VERI_TABANI!D28*B494))*VERI_TABANI!$B$8) + IF(ABS(IF(ISNUMBER(SEARCH("Var", D494)), 1, IF(ISNUMBER(SEARCH("Gri", D494)), -1, 0)))=1, VERI_TABANI!E28*(1-0.928)*VERI_TABANI!$B$9, 0) + (VERI_TABANI!D28*B494*(VERI_TABANI!$B$13-VERI_TABANI!$B$14)*VERI_TABANI!G28) + (VERI_TABANI!D28*C494*(VERI_TABANI!$B$13-VERI_TABANI!$B$15)*VERI_TABANI!G28) + IF(ABS(IF(ISNUMBER(SEARCH("Var", D494)), 1, IF(ISNUMBER(SEARCH("Gri", D494)), -1, 0)))=1, VERI_TABANI!E28*(1-0.928)*0.00206091519919798*VERI_TABANI!G28, 0)))</f>
        <v/>
      </c>
      <c r="H494" s="169">
        <f>(((VERI_TABANI!D23*B494*(VERI_TABANI!$B$13-VERI_TABANI!$B$14)) + (VERI_TABANI!D23*C494*(VERI_TABANI!$B$13-VERI_TABANI!$B$15)) + IF(ISNUMBER(SEARCH("Var", D494)), VERI_TABANI!F23*(0.00202-VERI_TABANI!$B$16), IF(ISNUMBER(SEARCH("Gri", D494)), VERI_TABANI!F23*(0.00202-VERI_TABANI!$B$17), 0))) + ((VERI_TABANI!D24*B494*(VERI_TABANI!$B$13-VERI_TABANI!$B$14)) + (VERI_TABANI!D24*C494*(VERI_TABANI!$B$13-VERI_TABANI!$B$15)) + IF(ISNUMBER(SEARCH("Var", D494)), VERI_TABANI!F24*(0.00202-VERI_TABANI!$B$16), IF(ISNUMBER(SEARCH("Gri", D494)), VERI_TABANI!F24*(0.00202-VERI_TABANI!$B$17), 0))) + ((VERI_TABANI!D25*B494*(VERI_TABANI!$B$13-VERI_TABANI!$B$14)) + (VERI_TABANI!D25*C494*(VERI_TABANI!$B$13-VERI_TABANI!$B$15)) + IF(ISNUMBER(SEARCH("Var", D494)), VERI_TABANI!F25*(0.00202-VERI_TABANI!$B$16), IF(ISNUMBER(SEARCH("Gri", D494)), VERI_TABANI!F25*(0.00202-VERI_TABANI!$B$17), 0))) + ((VERI_TABANI!D26*B494*(VERI_TABANI!$B$13-VERI_TABANI!$B$14)) + (VERI_TABANI!D26*C494*(VERI_TABANI!$B$13-VERI_TABANI!$B$15)) + IF(ISNUMBER(SEARCH("Var", D494)), VERI_TABANI!F26*(0.00202-VERI_TABANI!$B$16), IF(ISNUMBER(SEARCH("Gri", D494)), VERI_TABANI!F26*(0.00202-VERI_TABANI!$B$17), 0))) + ((VERI_TABANI!D27*B494*(VERI_TABANI!$B$13-VERI_TABANI!$B$14)) + (VERI_TABANI!D27*C494*(VERI_TABANI!$B$13-VERI_TABANI!$B$15)) + IF(ISNUMBER(SEARCH("Var", D494)), VERI_TABANI!F27*(0.00202-VERI_TABANI!$B$16), IF(ISNUMBER(SEARCH("Gri", D494)), VERI_TABANI!F27*(0.00202-VERI_TABANI!$B$17), 0))) + ((VERI_TABANI!D28*B494*(VERI_TABANI!$B$13-VERI_TABANI!$B$14)) + (VERI_TABANI!D28*C494*(VERI_TABANI!$B$13-VERI_TABANI!$B$15)) + IF(ISNUMBER(SEARCH("Var", D494)), VERI_TABANI!F28*(0.00202-VERI_TABANI!$B$16), IF(ISNUMBER(SEARCH("Gri", D494)), VERI_TABANI!F28*(0.00202-VERI_TABANI!$B$17), 0))))</f>
        <v/>
      </c>
      <c r="I494" s="170">
        <f>IFERROR(((VERI_TABANI!$D$29*B494*VERI_TABANI!$B$14 + VERI_TABANI!$D$29*C494*VERI_TABANI!$B$15 + IF(ISNUMBER(SEARCH("Var", D494)), VERI_TABANI!$F$29*VERI_TABANI!$B$16, 0))) / (((VERI_TABANI!$D$29*B494 + VERI_TABANI!$D$29*C494)*VERI_TABANI!$B$13 + IF(ISNUMBER(SEARCH("Var", D494)), VERI_TABANI!$E$29*(1-0.928)*VERI_TABANI!$B$18, 0))), 0)</f>
        <v/>
      </c>
      <c r="J494" s="171">
        <f>IFERROR(F494/(G494/29), 0)</f>
        <v/>
      </c>
      <c r="K494" s="172">
        <f>IF(F494&gt;0, H494/F494, 0)</f>
        <v/>
      </c>
      <c r="L494" s="170">
        <f>IF(F494&gt;0, I494, 1000000000)</f>
        <v/>
      </c>
      <c r="M494" s="171">
        <f>ABS((B494+C494)-1)</f>
        <v/>
      </c>
      <c r="N494" s="170">
        <f>IF(F494&gt;0, (G494/29)/F494, 0)</f>
        <v/>
      </c>
      <c r="O494" s="168">
        <f>IF(AND((B494+C494)&gt;=1, ISNUMBER(SEARCH("Var", D494))), F494, 1000000000)</f>
        <v/>
      </c>
      <c r="P494" s="172">
        <f>IF(F494&gt;0, SQRT((F494/MAX(F$5:F$886))^2 + (1 - H494/MAX(H$5:H$886))^2 + (J494/MAX(J$5:J$886))^2), 1000000000)</f>
        <v/>
      </c>
      <c r="Q494" s="166">
        <f>IF(AND(ABS(B494-0.5)&lt;0.01, ABS(C494-0.5)&lt;0.01, ISNUMBER(SEARCH("Var", D494))), 1, 0)</f>
        <v/>
      </c>
      <c r="R494" s="171">
        <f>IF(F494&gt;0, J494, 1000000000)</f>
        <v/>
      </c>
      <c r="S494" s="101">
        <f>IF(AND(F494&lt;=DASHBOARD!$B$11, H494&gt;=DASHBOARD!$B$13), G494, -1000000000000)</f>
        <v/>
      </c>
      <c r="T494" s="101">
        <f>IF(AND(F494&lt;=DASHBOARD!$B$11, H494&gt;=DASHBOARD!$B$13), R494, 1000000000000)</f>
        <v/>
      </c>
      <c r="U494" s="101">
        <f>IF(AND(F494&lt;=DASHBOARD!$B$11, H494&gt;=DASHBOARD!$B$13), N494, -1000000000000)</f>
        <v/>
      </c>
      <c r="V494" s="101">
        <f>IF(AND(F494&lt;=DASHBOARD!$B$11, H494&gt;=DASHBOARD!$B$13), H494, -1000000000000)</f>
        <v/>
      </c>
      <c r="W494" s="101">
        <f>IF(AND(F494&lt;=DASHBOARD!$B$11, H494&gt;=DASHBOARD!$B$13), K494, -1000000000000)</f>
        <v/>
      </c>
      <c r="X494" s="101">
        <f>IF(AND(F494&lt;=DASHBOARD!$B$11, H494&gt;=DASHBOARD!$B$13), M494, 1000000000000)</f>
        <v/>
      </c>
      <c r="Y494" s="101">
        <f>IF(AND(F494&lt;=DASHBOARD!$B$10, H494&gt;=DASHBOARD!$B$11), L494, 1000000000000)</f>
        <v/>
      </c>
      <c r="Z494" s="101">
        <f>IF(AND(F494&lt;=DASHBOARD!$B$10, H494&gt;=DASHBOARD!$B$11), O494, 1000000000000)</f>
        <v/>
      </c>
      <c r="AA494" s="101">
        <f>IF(AND(F494&lt;=DASHBOARD!$B$10, H494&gt;=DASHBOARD!$B$11), P494, 1000000000000)</f>
        <v/>
      </c>
      <c r="AB494" s="101">
        <f>IF(AND(F494&lt;=DASHBOARD!$B$10, H494&gt;=DASHBOARD!$B$11), Q494, -1000000000000)</f>
        <v/>
      </c>
    </row>
    <row r="495" ht="15" customHeight="1" s="102">
      <c r="A495" s="166" t="n">
        <v>491</v>
      </c>
      <c r="B495" s="167" t="n">
        <v>1.1</v>
      </c>
      <c r="C495" s="167" t="n">
        <v>1.4</v>
      </c>
      <c r="D495" s="110" t="inlineStr">
        <is>
          <t>Yok (%0)</t>
        </is>
      </c>
      <c r="E495" s="110">
        <f>IF((B495+C495)&lt;=1, "Tam Mahsuplaşma (≤%100)", "Kısmi Satış (&gt;%100)")</f>
        <v/>
      </c>
      <c r="F495" s="168">
        <f>((VERI_TABANI!$D$29*B495/VERI_TABANI!$B$29)/VERI_TABANI!$B$3)*VERI_TABANI!$B$5 + ((VERI_TABANI!$D$29*C495/VERI_TABANI!$B$29)/VERI_TABANI!$B$4)*VERI_TABANI!$B$6 + IF(ISNUMBER(SEARCH("Var", D495)), (VERI_TABANI!$F$29/VERI_TABANI!$B$29)*(VERI_TABANI!$B$10+VERI_TABANI!$B$12), 0)</f>
        <v/>
      </c>
      <c r="G495" s="168">
        <f>(((MIN(VERI_TABANI!D23, VERI_TABANI!D23*B495)*VERI_TABANI!$B$7 + MAX(0, VERI_TABANI!D23*B495-VERI_TABANI!D23)*VERI_TABANI!$B$8) + (MIN(MAX(0, VERI_TABANI!D23-VERI_TABANI!D23*B495), VERI_TABANI!D23*C495)*VERI_TABANI!$B$7 + MAX(0, VERI_TABANI!D23*C495-MAX(0, VERI_TABANI!D23-VERI_TABANI!D23*B495))*VERI_TABANI!$B$8) + IF(ABS(IF(ISNUMBER(SEARCH("Var", D495)), 1, IF(ISNUMBER(SEARCH("Gri", D495)), -1, 0)))=1, VERI_TABANI!E23*(1-0.928)*VERI_TABANI!$B$9, 0) + (VERI_TABANI!D23*B495*(VERI_TABANI!$B$13-VERI_TABANI!$B$14)*VERI_TABANI!G23) + (VERI_TABANI!D23*C495*(VERI_TABANI!$B$13-VERI_TABANI!$B$15)*VERI_TABANI!G23) + IF(ABS(IF(ISNUMBER(SEARCH("Var", D495)), 1, IF(ISNUMBER(SEARCH("Gri", D495)), -1, 0)))=1, VERI_TABANI!E23*(1-0.928)*0.00206091519919798*VERI_TABANI!G23, 0)) + ((MIN(VERI_TABANI!D24, VERI_TABANI!D24*B495)*VERI_TABANI!$B$7 + MAX(0, VERI_TABANI!D24*B495-VERI_TABANI!D24)*VERI_TABANI!$B$8) + (MIN(MAX(0, VERI_TABANI!D24-VERI_TABANI!D24*B495), VERI_TABANI!D24*C495)*VERI_TABANI!$B$7 + MAX(0, VERI_TABANI!D24*C495-MAX(0, VERI_TABANI!D24-VERI_TABANI!D24*B495))*VERI_TABANI!$B$8) + IF(ABS(IF(ISNUMBER(SEARCH("Var", D495)), 1, IF(ISNUMBER(SEARCH("Gri", D495)), -1, 0)))=1, VERI_TABANI!E24*(1-0.928)*VERI_TABANI!$B$9, 0) + (VERI_TABANI!D24*B495*(VERI_TABANI!$B$13-VERI_TABANI!$B$14)*VERI_TABANI!G24) + (VERI_TABANI!D24*C495*(VERI_TABANI!$B$13-VERI_TABANI!$B$15)*VERI_TABANI!G24) + IF(ABS(IF(ISNUMBER(SEARCH("Var", D495)), 1, IF(ISNUMBER(SEARCH("Gri", D495)), -1, 0)))=1, VERI_TABANI!E24*(1-0.928)*0.00206091519919798*VERI_TABANI!G24, 0)) + ((MIN(VERI_TABANI!D25, VERI_TABANI!D25*B495)*VERI_TABANI!$B$7 + MAX(0, VERI_TABANI!D25*B495-VERI_TABANI!D25)*VERI_TABANI!$B$8) + (MIN(MAX(0, VERI_TABANI!D25-VERI_TABANI!D25*B495), VERI_TABANI!D25*C495)*VERI_TABANI!$B$7 + MAX(0, VERI_TABANI!D25*C495-MAX(0, VERI_TABANI!D25-VERI_TABANI!D25*B495))*VERI_TABANI!$B$8) + IF(ABS(IF(ISNUMBER(SEARCH("Var", D495)), 1, IF(ISNUMBER(SEARCH("Gri", D495)), -1, 0)))=1, VERI_TABANI!E25*(1-0.928)*VERI_TABANI!$B$9, 0) + (VERI_TABANI!D25*B495*(VERI_TABANI!$B$13-VERI_TABANI!$B$14)*VERI_TABANI!G25) + (VERI_TABANI!D25*C495*(VERI_TABANI!$B$13-VERI_TABANI!$B$15)*VERI_TABANI!G25) + IF(ABS(IF(ISNUMBER(SEARCH("Var", D495)), 1, IF(ISNUMBER(SEARCH("Gri", D495)), -1, 0)))=1, VERI_TABANI!E25*(1-0.928)*0.00206091519919798*VERI_TABANI!G25, 0)) + ((MIN(VERI_TABANI!D26, VERI_TABANI!D26*B495)*VERI_TABANI!$B$7 + MAX(0, VERI_TABANI!D26*B495-VERI_TABANI!D26)*VERI_TABANI!$B$8) + (MIN(MAX(0, VERI_TABANI!D26-VERI_TABANI!D26*B495), VERI_TABANI!D26*C495)*VERI_TABANI!$B$7 + MAX(0, VERI_TABANI!D26*C495-MAX(0, VERI_TABANI!D26-VERI_TABANI!D26*B495))*VERI_TABANI!$B$8) + IF(ABS(IF(ISNUMBER(SEARCH("Var", D495)), 1, IF(ISNUMBER(SEARCH("Gri", D495)), -1, 0)))=1, VERI_TABANI!E26*(1-0.928)*VERI_TABANI!$B$9, 0) + (VERI_TABANI!D26*B495*(VERI_TABANI!$B$13-VERI_TABANI!$B$14)*VERI_TABANI!G26) + (VERI_TABANI!D26*C495*(VERI_TABANI!$B$13-VERI_TABANI!$B$15)*VERI_TABANI!G26) + IF(ABS(IF(ISNUMBER(SEARCH("Var", D495)), 1, IF(ISNUMBER(SEARCH("Gri", D495)), -1, 0)))=1, VERI_TABANI!E26*(1-0.928)*0.00206091519919798*VERI_TABANI!G26, 0)) + ((MIN(VERI_TABANI!D27, VERI_TABANI!D27*B495)*VERI_TABANI!$B$7 + MAX(0, VERI_TABANI!D27*B495-VERI_TABANI!D27)*VERI_TABANI!$B$8) + (MIN(MAX(0, VERI_TABANI!D27-VERI_TABANI!D27*B495), VERI_TABANI!D27*C495)*VERI_TABANI!$B$7 + MAX(0, VERI_TABANI!D27*C495-MAX(0, VERI_TABANI!D27-VERI_TABANI!D27*B495))*VERI_TABANI!$B$8) + IF(ABS(IF(ISNUMBER(SEARCH("Var", D495)), 1, IF(ISNUMBER(SEARCH("Gri", D495)), -1, 0)))=1, VERI_TABANI!E27*(1-0.928)*VERI_TABANI!$B$9, 0) + (VERI_TABANI!D27*B495*(VERI_TABANI!$B$13-VERI_TABANI!$B$14)*VERI_TABANI!G27) + (VERI_TABANI!D27*C495*(VERI_TABANI!$B$13-VERI_TABANI!$B$15)*VERI_TABANI!G27) + IF(ABS(IF(ISNUMBER(SEARCH("Var", D495)), 1, IF(ISNUMBER(SEARCH("Gri", D495)), -1, 0)))=1, VERI_TABANI!E27*(1-0.928)*0.00206091519919798*VERI_TABANI!G27, 0)) + ((MIN(VERI_TABANI!D28, VERI_TABANI!D28*B495)*VERI_TABANI!$B$7 + MAX(0, VERI_TABANI!D28*B495-VERI_TABANI!D28)*VERI_TABANI!$B$8) + (MIN(MAX(0, VERI_TABANI!D28-VERI_TABANI!D28*B495), VERI_TABANI!D28*C495)*VERI_TABANI!$B$7 + MAX(0, VERI_TABANI!D28*C495-MAX(0, VERI_TABANI!D28-VERI_TABANI!D28*B495))*VERI_TABANI!$B$8) + IF(ABS(IF(ISNUMBER(SEARCH("Var", D495)), 1, IF(ISNUMBER(SEARCH("Gri", D495)), -1, 0)))=1, VERI_TABANI!E28*(1-0.928)*VERI_TABANI!$B$9, 0) + (VERI_TABANI!D28*B495*(VERI_TABANI!$B$13-VERI_TABANI!$B$14)*VERI_TABANI!G28) + (VERI_TABANI!D28*C495*(VERI_TABANI!$B$13-VERI_TABANI!$B$15)*VERI_TABANI!G28) + IF(ABS(IF(ISNUMBER(SEARCH("Var", D495)), 1, IF(ISNUMBER(SEARCH("Gri", D495)), -1, 0)))=1, VERI_TABANI!E28*(1-0.928)*0.00206091519919798*VERI_TABANI!G28, 0)))</f>
        <v/>
      </c>
      <c r="H495" s="169">
        <f>(((VERI_TABANI!D23*B495*(VERI_TABANI!$B$13-VERI_TABANI!$B$14)) + (VERI_TABANI!D23*C495*(VERI_TABANI!$B$13-VERI_TABANI!$B$15)) + IF(ISNUMBER(SEARCH("Var", D495)), VERI_TABANI!F23*(0.00202-VERI_TABANI!$B$16), IF(ISNUMBER(SEARCH("Gri", D495)), VERI_TABANI!F23*(0.00202-VERI_TABANI!$B$17), 0))) + ((VERI_TABANI!D24*B495*(VERI_TABANI!$B$13-VERI_TABANI!$B$14)) + (VERI_TABANI!D24*C495*(VERI_TABANI!$B$13-VERI_TABANI!$B$15)) + IF(ISNUMBER(SEARCH("Var", D495)), VERI_TABANI!F24*(0.00202-VERI_TABANI!$B$16), IF(ISNUMBER(SEARCH("Gri", D495)), VERI_TABANI!F24*(0.00202-VERI_TABANI!$B$17), 0))) + ((VERI_TABANI!D25*B495*(VERI_TABANI!$B$13-VERI_TABANI!$B$14)) + (VERI_TABANI!D25*C495*(VERI_TABANI!$B$13-VERI_TABANI!$B$15)) + IF(ISNUMBER(SEARCH("Var", D495)), VERI_TABANI!F25*(0.00202-VERI_TABANI!$B$16), IF(ISNUMBER(SEARCH("Gri", D495)), VERI_TABANI!F25*(0.00202-VERI_TABANI!$B$17), 0))) + ((VERI_TABANI!D26*B495*(VERI_TABANI!$B$13-VERI_TABANI!$B$14)) + (VERI_TABANI!D26*C495*(VERI_TABANI!$B$13-VERI_TABANI!$B$15)) + IF(ISNUMBER(SEARCH("Var", D495)), VERI_TABANI!F26*(0.00202-VERI_TABANI!$B$16), IF(ISNUMBER(SEARCH("Gri", D495)), VERI_TABANI!F26*(0.00202-VERI_TABANI!$B$17), 0))) + ((VERI_TABANI!D27*B495*(VERI_TABANI!$B$13-VERI_TABANI!$B$14)) + (VERI_TABANI!D27*C495*(VERI_TABANI!$B$13-VERI_TABANI!$B$15)) + IF(ISNUMBER(SEARCH("Var", D495)), VERI_TABANI!F27*(0.00202-VERI_TABANI!$B$16), IF(ISNUMBER(SEARCH("Gri", D495)), VERI_TABANI!F27*(0.00202-VERI_TABANI!$B$17), 0))) + ((VERI_TABANI!D28*B495*(VERI_TABANI!$B$13-VERI_TABANI!$B$14)) + (VERI_TABANI!D28*C495*(VERI_TABANI!$B$13-VERI_TABANI!$B$15)) + IF(ISNUMBER(SEARCH("Var", D495)), VERI_TABANI!F28*(0.00202-VERI_TABANI!$B$16), IF(ISNUMBER(SEARCH("Gri", D495)), VERI_TABANI!F28*(0.00202-VERI_TABANI!$B$17), 0))))</f>
        <v/>
      </c>
      <c r="I495" s="170">
        <f>IFERROR(((VERI_TABANI!$D$29*B495*VERI_TABANI!$B$14 + VERI_TABANI!$D$29*C495*VERI_TABANI!$B$15 + IF(ISNUMBER(SEARCH("Var", D495)), VERI_TABANI!$F$29*VERI_TABANI!$B$16, 0))) / (((VERI_TABANI!$D$29*B495 + VERI_TABANI!$D$29*C495)*VERI_TABANI!$B$13 + IF(ISNUMBER(SEARCH("Var", D495)), VERI_TABANI!$E$29*(1-0.928)*VERI_TABANI!$B$18, 0))), 0)</f>
        <v/>
      </c>
      <c r="J495" s="171">
        <f>IFERROR(F495/(G495/29), 0)</f>
        <v/>
      </c>
      <c r="K495" s="172">
        <f>IF(F495&gt;0, H495/F495, 0)</f>
        <v/>
      </c>
      <c r="L495" s="170">
        <f>IF(F495&gt;0, I495, 1000000000)</f>
        <v/>
      </c>
      <c r="M495" s="171">
        <f>ABS((B495+C495)-1)</f>
        <v/>
      </c>
      <c r="N495" s="170">
        <f>IF(F495&gt;0, (G495/29)/F495, 0)</f>
        <v/>
      </c>
      <c r="O495" s="168">
        <f>IF(AND((B495+C495)&gt;=1, ISNUMBER(SEARCH("Var", D495))), F495, 1000000000)</f>
        <v/>
      </c>
      <c r="P495" s="172">
        <f>IF(F495&gt;0, SQRT((F495/MAX(F$5:F$886))^2 + (1 - H495/MAX(H$5:H$886))^2 + (J495/MAX(J$5:J$886))^2), 1000000000)</f>
        <v/>
      </c>
      <c r="Q495" s="166">
        <f>IF(AND(ABS(B495-0.5)&lt;0.01, ABS(C495-0.5)&lt;0.01, ISNUMBER(SEARCH("Var", D495))), 1, 0)</f>
        <v/>
      </c>
      <c r="R495" s="171">
        <f>IF(F495&gt;0, J495, 1000000000)</f>
        <v/>
      </c>
      <c r="S495" s="101">
        <f>IF(AND(F495&lt;=DASHBOARD!$B$11, H495&gt;=DASHBOARD!$B$13), G495, -1000000000000)</f>
        <v/>
      </c>
      <c r="T495" s="101">
        <f>IF(AND(F495&lt;=DASHBOARD!$B$11, H495&gt;=DASHBOARD!$B$13), R495, 1000000000000)</f>
        <v/>
      </c>
      <c r="U495" s="101">
        <f>IF(AND(F495&lt;=DASHBOARD!$B$11, H495&gt;=DASHBOARD!$B$13), N495, -1000000000000)</f>
        <v/>
      </c>
      <c r="V495" s="101">
        <f>IF(AND(F495&lt;=DASHBOARD!$B$11, H495&gt;=DASHBOARD!$B$13), H495, -1000000000000)</f>
        <v/>
      </c>
      <c r="W495" s="101">
        <f>IF(AND(F495&lt;=DASHBOARD!$B$11, H495&gt;=DASHBOARD!$B$13), K495, -1000000000000)</f>
        <v/>
      </c>
      <c r="X495" s="101">
        <f>IF(AND(F495&lt;=DASHBOARD!$B$11, H495&gt;=DASHBOARD!$B$13), M495, 1000000000000)</f>
        <v/>
      </c>
      <c r="Y495" s="101">
        <f>IF(AND(F495&lt;=DASHBOARD!$B$10, H495&gt;=DASHBOARD!$B$11), L495, 1000000000000)</f>
        <v/>
      </c>
      <c r="Z495" s="101">
        <f>IF(AND(F495&lt;=DASHBOARD!$B$10, H495&gt;=DASHBOARD!$B$11), O495, 1000000000000)</f>
        <v/>
      </c>
      <c r="AA495" s="101">
        <f>IF(AND(F495&lt;=DASHBOARD!$B$10, H495&gt;=DASHBOARD!$B$11), P495, 1000000000000)</f>
        <v/>
      </c>
      <c r="AB495" s="101">
        <f>IF(AND(F495&lt;=DASHBOARD!$B$10, H495&gt;=DASHBOARD!$B$11), Q495, -1000000000000)</f>
        <v/>
      </c>
    </row>
    <row r="496" ht="15" customHeight="1" s="102">
      <c r="A496" s="166" t="n">
        <v>492</v>
      </c>
      <c r="B496" s="167" t="n">
        <v>1.1</v>
      </c>
      <c r="C496" s="167" t="n">
        <v>1.4</v>
      </c>
      <c r="D496" s="110" t="inlineStr">
        <is>
          <t>Var (%20)</t>
        </is>
      </c>
      <c r="E496" s="110">
        <f>IF((B496+C496)&lt;=1, "Tam Mahsuplaşma (≤%100)", "Kısmi Satış (&gt;%100)")</f>
        <v/>
      </c>
      <c r="F496" s="168">
        <f>((VERI_TABANI!$D$29*B496/VERI_TABANI!$B$29)/VERI_TABANI!$B$3)*VERI_TABANI!$B$5 + ((VERI_TABANI!$D$29*C496/VERI_TABANI!$B$29)/VERI_TABANI!$B$4)*VERI_TABANI!$B$6 + IF(ISNUMBER(SEARCH("Var", D496)), (VERI_TABANI!$F$29/VERI_TABANI!$B$29)*(VERI_TABANI!$B$10+VERI_TABANI!$B$12), 0)</f>
        <v/>
      </c>
      <c r="G496" s="168">
        <f>(((MIN(VERI_TABANI!D23, VERI_TABANI!D23*B496)*VERI_TABANI!$B$7 + MAX(0, VERI_TABANI!D23*B496-VERI_TABANI!D23)*VERI_TABANI!$B$8) + (MIN(MAX(0, VERI_TABANI!D23-VERI_TABANI!D23*B496), VERI_TABANI!D23*C496)*VERI_TABANI!$B$7 + MAX(0, VERI_TABANI!D23*C496-MAX(0, VERI_TABANI!D23-VERI_TABANI!D23*B496))*VERI_TABANI!$B$8) + IF(ABS(IF(ISNUMBER(SEARCH("Var", D496)), 1, IF(ISNUMBER(SEARCH("Gri", D496)), -1, 0)))=1, VERI_TABANI!E23*(1-0.928)*VERI_TABANI!$B$9, 0) + (VERI_TABANI!D23*B496*(VERI_TABANI!$B$13-VERI_TABANI!$B$14)*VERI_TABANI!G23) + (VERI_TABANI!D23*C496*(VERI_TABANI!$B$13-VERI_TABANI!$B$15)*VERI_TABANI!G23) + IF(ABS(IF(ISNUMBER(SEARCH("Var", D496)), 1, IF(ISNUMBER(SEARCH("Gri", D496)), -1, 0)))=1, VERI_TABANI!E23*(1-0.928)*0.00206091519919798*VERI_TABANI!G23, 0)) + ((MIN(VERI_TABANI!D24, VERI_TABANI!D24*B496)*VERI_TABANI!$B$7 + MAX(0, VERI_TABANI!D24*B496-VERI_TABANI!D24)*VERI_TABANI!$B$8) + (MIN(MAX(0, VERI_TABANI!D24-VERI_TABANI!D24*B496), VERI_TABANI!D24*C496)*VERI_TABANI!$B$7 + MAX(0, VERI_TABANI!D24*C496-MAX(0, VERI_TABANI!D24-VERI_TABANI!D24*B496))*VERI_TABANI!$B$8) + IF(ABS(IF(ISNUMBER(SEARCH("Var", D496)), 1, IF(ISNUMBER(SEARCH("Gri", D496)), -1, 0)))=1, VERI_TABANI!E24*(1-0.928)*VERI_TABANI!$B$9, 0) + (VERI_TABANI!D24*B496*(VERI_TABANI!$B$13-VERI_TABANI!$B$14)*VERI_TABANI!G24) + (VERI_TABANI!D24*C496*(VERI_TABANI!$B$13-VERI_TABANI!$B$15)*VERI_TABANI!G24) + IF(ABS(IF(ISNUMBER(SEARCH("Var", D496)), 1, IF(ISNUMBER(SEARCH("Gri", D496)), -1, 0)))=1, VERI_TABANI!E24*(1-0.928)*0.00206091519919798*VERI_TABANI!G24, 0)) + ((MIN(VERI_TABANI!D25, VERI_TABANI!D25*B496)*VERI_TABANI!$B$7 + MAX(0, VERI_TABANI!D25*B496-VERI_TABANI!D25)*VERI_TABANI!$B$8) + (MIN(MAX(0, VERI_TABANI!D25-VERI_TABANI!D25*B496), VERI_TABANI!D25*C496)*VERI_TABANI!$B$7 + MAX(0, VERI_TABANI!D25*C496-MAX(0, VERI_TABANI!D25-VERI_TABANI!D25*B496))*VERI_TABANI!$B$8) + IF(ABS(IF(ISNUMBER(SEARCH("Var", D496)), 1, IF(ISNUMBER(SEARCH("Gri", D496)), -1, 0)))=1, VERI_TABANI!E25*(1-0.928)*VERI_TABANI!$B$9, 0) + (VERI_TABANI!D25*B496*(VERI_TABANI!$B$13-VERI_TABANI!$B$14)*VERI_TABANI!G25) + (VERI_TABANI!D25*C496*(VERI_TABANI!$B$13-VERI_TABANI!$B$15)*VERI_TABANI!G25) + IF(ABS(IF(ISNUMBER(SEARCH("Var", D496)), 1, IF(ISNUMBER(SEARCH("Gri", D496)), -1, 0)))=1, VERI_TABANI!E25*(1-0.928)*0.00206091519919798*VERI_TABANI!G25, 0)) + ((MIN(VERI_TABANI!D26, VERI_TABANI!D26*B496)*VERI_TABANI!$B$7 + MAX(0, VERI_TABANI!D26*B496-VERI_TABANI!D26)*VERI_TABANI!$B$8) + (MIN(MAX(0, VERI_TABANI!D26-VERI_TABANI!D26*B496), VERI_TABANI!D26*C496)*VERI_TABANI!$B$7 + MAX(0, VERI_TABANI!D26*C496-MAX(0, VERI_TABANI!D26-VERI_TABANI!D26*B496))*VERI_TABANI!$B$8) + IF(ABS(IF(ISNUMBER(SEARCH("Var", D496)), 1, IF(ISNUMBER(SEARCH("Gri", D496)), -1, 0)))=1, VERI_TABANI!E26*(1-0.928)*VERI_TABANI!$B$9, 0) + (VERI_TABANI!D26*B496*(VERI_TABANI!$B$13-VERI_TABANI!$B$14)*VERI_TABANI!G26) + (VERI_TABANI!D26*C496*(VERI_TABANI!$B$13-VERI_TABANI!$B$15)*VERI_TABANI!G26) + IF(ABS(IF(ISNUMBER(SEARCH("Var", D496)), 1, IF(ISNUMBER(SEARCH("Gri", D496)), -1, 0)))=1, VERI_TABANI!E26*(1-0.928)*0.00206091519919798*VERI_TABANI!G26, 0)) + ((MIN(VERI_TABANI!D27, VERI_TABANI!D27*B496)*VERI_TABANI!$B$7 + MAX(0, VERI_TABANI!D27*B496-VERI_TABANI!D27)*VERI_TABANI!$B$8) + (MIN(MAX(0, VERI_TABANI!D27-VERI_TABANI!D27*B496), VERI_TABANI!D27*C496)*VERI_TABANI!$B$7 + MAX(0, VERI_TABANI!D27*C496-MAX(0, VERI_TABANI!D27-VERI_TABANI!D27*B496))*VERI_TABANI!$B$8) + IF(ABS(IF(ISNUMBER(SEARCH("Var", D496)), 1, IF(ISNUMBER(SEARCH("Gri", D496)), -1, 0)))=1, VERI_TABANI!E27*(1-0.928)*VERI_TABANI!$B$9, 0) + (VERI_TABANI!D27*B496*(VERI_TABANI!$B$13-VERI_TABANI!$B$14)*VERI_TABANI!G27) + (VERI_TABANI!D27*C496*(VERI_TABANI!$B$13-VERI_TABANI!$B$15)*VERI_TABANI!G27) + IF(ABS(IF(ISNUMBER(SEARCH("Var", D496)), 1, IF(ISNUMBER(SEARCH("Gri", D496)), -1, 0)))=1, VERI_TABANI!E27*(1-0.928)*0.00206091519919798*VERI_TABANI!G27, 0)) + ((MIN(VERI_TABANI!D28, VERI_TABANI!D28*B496)*VERI_TABANI!$B$7 + MAX(0, VERI_TABANI!D28*B496-VERI_TABANI!D28)*VERI_TABANI!$B$8) + (MIN(MAX(0, VERI_TABANI!D28-VERI_TABANI!D28*B496), VERI_TABANI!D28*C496)*VERI_TABANI!$B$7 + MAX(0, VERI_TABANI!D28*C496-MAX(0, VERI_TABANI!D28-VERI_TABANI!D28*B496))*VERI_TABANI!$B$8) + IF(ABS(IF(ISNUMBER(SEARCH("Var", D496)), 1, IF(ISNUMBER(SEARCH("Gri", D496)), -1, 0)))=1, VERI_TABANI!E28*(1-0.928)*VERI_TABANI!$B$9, 0) + (VERI_TABANI!D28*B496*(VERI_TABANI!$B$13-VERI_TABANI!$B$14)*VERI_TABANI!G28) + (VERI_TABANI!D28*C496*(VERI_TABANI!$B$13-VERI_TABANI!$B$15)*VERI_TABANI!G28) + IF(ABS(IF(ISNUMBER(SEARCH("Var", D496)), 1, IF(ISNUMBER(SEARCH("Gri", D496)), -1, 0)))=1, VERI_TABANI!E28*(1-0.928)*0.00206091519919798*VERI_TABANI!G28, 0)))</f>
        <v/>
      </c>
      <c r="H496" s="169">
        <f>(((VERI_TABANI!D23*B496*(VERI_TABANI!$B$13-VERI_TABANI!$B$14)) + (VERI_TABANI!D23*C496*(VERI_TABANI!$B$13-VERI_TABANI!$B$15)) + IF(ISNUMBER(SEARCH("Var", D496)), VERI_TABANI!F23*(0.00202-VERI_TABANI!$B$16), IF(ISNUMBER(SEARCH("Gri", D496)), VERI_TABANI!F23*(0.00202-VERI_TABANI!$B$17), 0))) + ((VERI_TABANI!D24*B496*(VERI_TABANI!$B$13-VERI_TABANI!$B$14)) + (VERI_TABANI!D24*C496*(VERI_TABANI!$B$13-VERI_TABANI!$B$15)) + IF(ISNUMBER(SEARCH("Var", D496)), VERI_TABANI!F24*(0.00202-VERI_TABANI!$B$16), IF(ISNUMBER(SEARCH("Gri", D496)), VERI_TABANI!F24*(0.00202-VERI_TABANI!$B$17), 0))) + ((VERI_TABANI!D25*B496*(VERI_TABANI!$B$13-VERI_TABANI!$B$14)) + (VERI_TABANI!D25*C496*(VERI_TABANI!$B$13-VERI_TABANI!$B$15)) + IF(ISNUMBER(SEARCH("Var", D496)), VERI_TABANI!F25*(0.00202-VERI_TABANI!$B$16), IF(ISNUMBER(SEARCH("Gri", D496)), VERI_TABANI!F25*(0.00202-VERI_TABANI!$B$17), 0))) + ((VERI_TABANI!D26*B496*(VERI_TABANI!$B$13-VERI_TABANI!$B$14)) + (VERI_TABANI!D26*C496*(VERI_TABANI!$B$13-VERI_TABANI!$B$15)) + IF(ISNUMBER(SEARCH("Var", D496)), VERI_TABANI!F26*(0.00202-VERI_TABANI!$B$16), IF(ISNUMBER(SEARCH("Gri", D496)), VERI_TABANI!F26*(0.00202-VERI_TABANI!$B$17), 0))) + ((VERI_TABANI!D27*B496*(VERI_TABANI!$B$13-VERI_TABANI!$B$14)) + (VERI_TABANI!D27*C496*(VERI_TABANI!$B$13-VERI_TABANI!$B$15)) + IF(ISNUMBER(SEARCH("Var", D496)), VERI_TABANI!F27*(0.00202-VERI_TABANI!$B$16), IF(ISNUMBER(SEARCH("Gri", D496)), VERI_TABANI!F27*(0.00202-VERI_TABANI!$B$17), 0))) + ((VERI_TABANI!D28*B496*(VERI_TABANI!$B$13-VERI_TABANI!$B$14)) + (VERI_TABANI!D28*C496*(VERI_TABANI!$B$13-VERI_TABANI!$B$15)) + IF(ISNUMBER(SEARCH("Var", D496)), VERI_TABANI!F28*(0.00202-VERI_TABANI!$B$16), IF(ISNUMBER(SEARCH("Gri", D496)), VERI_TABANI!F28*(0.00202-VERI_TABANI!$B$17), 0))))</f>
        <v/>
      </c>
      <c r="I496" s="170">
        <f>IFERROR(((VERI_TABANI!$D$29*B496*VERI_TABANI!$B$14 + VERI_TABANI!$D$29*C496*VERI_TABANI!$B$15 + IF(ISNUMBER(SEARCH("Var", D496)), VERI_TABANI!$F$29*VERI_TABANI!$B$16, 0))) / (((VERI_TABANI!$D$29*B496 + VERI_TABANI!$D$29*C496)*VERI_TABANI!$B$13 + IF(ISNUMBER(SEARCH("Var", D496)), VERI_TABANI!$E$29*(1-0.928)*VERI_TABANI!$B$18, 0))), 0)</f>
        <v/>
      </c>
      <c r="J496" s="171">
        <f>IFERROR(F496/(G496/29), 0)</f>
        <v/>
      </c>
      <c r="K496" s="172">
        <f>IF(F496&gt;0, H496/F496, 0)</f>
        <v/>
      </c>
      <c r="L496" s="170">
        <f>IF(F496&gt;0, I496, 1000000000)</f>
        <v/>
      </c>
      <c r="M496" s="171">
        <f>ABS((B496+C496)-1)</f>
        <v/>
      </c>
      <c r="N496" s="170">
        <f>IF(F496&gt;0, (G496/29)/F496, 0)</f>
        <v/>
      </c>
      <c r="O496" s="168">
        <f>IF(AND((B496+C496)&gt;=1, ISNUMBER(SEARCH("Var", D496))), F496, 1000000000)</f>
        <v/>
      </c>
      <c r="P496" s="172">
        <f>IF(F496&gt;0, SQRT((F496/MAX(F$5:F$886))^2 + (1 - H496/MAX(H$5:H$886))^2 + (J496/MAX(J$5:J$886))^2), 1000000000)</f>
        <v/>
      </c>
      <c r="Q496" s="166">
        <f>IF(AND(ABS(B496-0.5)&lt;0.01, ABS(C496-0.5)&lt;0.01, ISNUMBER(SEARCH("Var", D496))), 1, 0)</f>
        <v/>
      </c>
      <c r="R496" s="171">
        <f>IF(F496&gt;0, J496, 1000000000)</f>
        <v/>
      </c>
      <c r="S496" s="101">
        <f>IF(AND(F496&lt;=DASHBOARD!$B$11, H496&gt;=DASHBOARD!$B$13), G496, -1000000000000)</f>
        <v/>
      </c>
      <c r="T496" s="101">
        <f>IF(AND(F496&lt;=DASHBOARD!$B$11, H496&gt;=DASHBOARD!$B$13), R496, 1000000000000)</f>
        <v/>
      </c>
      <c r="U496" s="101">
        <f>IF(AND(F496&lt;=DASHBOARD!$B$11, H496&gt;=DASHBOARD!$B$13), N496, -1000000000000)</f>
        <v/>
      </c>
      <c r="V496" s="101">
        <f>IF(AND(F496&lt;=DASHBOARD!$B$11, H496&gt;=DASHBOARD!$B$13), H496, -1000000000000)</f>
        <v/>
      </c>
      <c r="W496" s="101">
        <f>IF(AND(F496&lt;=DASHBOARD!$B$11, H496&gt;=DASHBOARD!$B$13), K496, -1000000000000)</f>
        <v/>
      </c>
      <c r="X496" s="101">
        <f>IF(AND(F496&lt;=DASHBOARD!$B$11, H496&gt;=DASHBOARD!$B$13), M496, 1000000000000)</f>
        <v/>
      </c>
      <c r="Y496" s="101">
        <f>IF(AND(F496&lt;=DASHBOARD!$B$10, H496&gt;=DASHBOARD!$B$11), L496, 1000000000000)</f>
        <v/>
      </c>
      <c r="Z496" s="101">
        <f>IF(AND(F496&lt;=DASHBOARD!$B$10, H496&gt;=DASHBOARD!$B$11), O496, 1000000000000)</f>
        <v/>
      </c>
      <c r="AA496" s="101">
        <f>IF(AND(F496&lt;=DASHBOARD!$B$10, H496&gt;=DASHBOARD!$B$11), P496, 1000000000000)</f>
        <v/>
      </c>
      <c r="AB496" s="101">
        <f>IF(AND(F496&lt;=DASHBOARD!$B$10, H496&gt;=DASHBOARD!$B$11), Q496, -1000000000000)</f>
        <v/>
      </c>
    </row>
    <row r="497" ht="15" customHeight="1" s="102">
      <c r="A497" s="166" t="n">
        <v>493</v>
      </c>
      <c r="B497" s="167" t="n">
        <v>1.1</v>
      </c>
      <c r="C497" s="167" t="n">
        <v>1.5</v>
      </c>
      <c r="D497" s="110" t="inlineStr">
        <is>
          <t>Yok (%0)</t>
        </is>
      </c>
      <c r="E497" s="110">
        <f>IF((B497+C497)&lt;=1, "Tam Mahsuplaşma (≤%100)", "Kısmi Satış (&gt;%100)")</f>
        <v/>
      </c>
      <c r="F497" s="168">
        <f>((VERI_TABANI!$D$29*B497/VERI_TABANI!$B$29)/VERI_TABANI!$B$3)*VERI_TABANI!$B$5 + ((VERI_TABANI!$D$29*C497/VERI_TABANI!$B$29)/VERI_TABANI!$B$4)*VERI_TABANI!$B$6 + IF(ISNUMBER(SEARCH("Var", D497)), (VERI_TABANI!$F$29/VERI_TABANI!$B$29)*(VERI_TABANI!$B$10+VERI_TABANI!$B$12), 0)</f>
        <v/>
      </c>
      <c r="G497" s="168">
        <f>(((MIN(VERI_TABANI!D23, VERI_TABANI!D23*B497)*VERI_TABANI!$B$7 + MAX(0, VERI_TABANI!D23*B497-VERI_TABANI!D23)*VERI_TABANI!$B$8) + (MIN(MAX(0, VERI_TABANI!D23-VERI_TABANI!D23*B497), VERI_TABANI!D23*C497)*VERI_TABANI!$B$7 + MAX(0, VERI_TABANI!D23*C497-MAX(0, VERI_TABANI!D23-VERI_TABANI!D23*B497))*VERI_TABANI!$B$8) + IF(ABS(IF(ISNUMBER(SEARCH("Var", D497)), 1, IF(ISNUMBER(SEARCH("Gri", D497)), -1, 0)))=1, VERI_TABANI!E23*(1-0.928)*VERI_TABANI!$B$9, 0) + (VERI_TABANI!D23*B497*(VERI_TABANI!$B$13-VERI_TABANI!$B$14)*VERI_TABANI!G23) + (VERI_TABANI!D23*C497*(VERI_TABANI!$B$13-VERI_TABANI!$B$15)*VERI_TABANI!G23) + IF(ABS(IF(ISNUMBER(SEARCH("Var", D497)), 1, IF(ISNUMBER(SEARCH("Gri", D497)), -1, 0)))=1, VERI_TABANI!E23*(1-0.928)*0.00206091519919798*VERI_TABANI!G23, 0)) + ((MIN(VERI_TABANI!D24, VERI_TABANI!D24*B497)*VERI_TABANI!$B$7 + MAX(0, VERI_TABANI!D24*B497-VERI_TABANI!D24)*VERI_TABANI!$B$8) + (MIN(MAX(0, VERI_TABANI!D24-VERI_TABANI!D24*B497), VERI_TABANI!D24*C497)*VERI_TABANI!$B$7 + MAX(0, VERI_TABANI!D24*C497-MAX(0, VERI_TABANI!D24-VERI_TABANI!D24*B497))*VERI_TABANI!$B$8) + IF(ABS(IF(ISNUMBER(SEARCH("Var", D497)), 1, IF(ISNUMBER(SEARCH("Gri", D497)), -1, 0)))=1, VERI_TABANI!E24*(1-0.928)*VERI_TABANI!$B$9, 0) + (VERI_TABANI!D24*B497*(VERI_TABANI!$B$13-VERI_TABANI!$B$14)*VERI_TABANI!G24) + (VERI_TABANI!D24*C497*(VERI_TABANI!$B$13-VERI_TABANI!$B$15)*VERI_TABANI!G24) + IF(ABS(IF(ISNUMBER(SEARCH("Var", D497)), 1, IF(ISNUMBER(SEARCH("Gri", D497)), -1, 0)))=1, VERI_TABANI!E24*(1-0.928)*0.00206091519919798*VERI_TABANI!G24, 0)) + ((MIN(VERI_TABANI!D25, VERI_TABANI!D25*B497)*VERI_TABANI!$B$7 + MAX(0, VERI_TABANI!D25*B497-VERI_TABANI!D25)*VERI_TABANI!$B$8) + (MIN(MAX(0, VERI_TABANI!D25-VERI_TABANI!D25*B497), VERI_TABANI!D25*C497)*VERI_TABANI!$B$7 + MAX(0, VERI_TABANI!D25*C497-MAX(0, VERI_TABANI!D25-VERI_TABANI!D25*B497))*VERI_TABANI!$B$8) + IF(ABS(IF(ISNUMBER(SEARCH("Var", D497)), 1, IF(ISNUMBER(SEARCH("Gri", D497)), -1, 0)))=1, VERI_TABANI!E25*(1-0.928)*VERI_TABANI!$B$9, 0) + (VERI_TABANI!D25*B497*(VERI_TABANI!$B$13-VERI_TABANI!$B$14)*VERI_TABANI!G25) + (VERI_TABANI!D25*C497*(VERI_TABANI!$B$13-VERI_TABANI!$B$15)*VERI_TABANI!G25) + IF(ABS(IF(ISNUMBER(SEARCH("Var", D497)), 1, IF(ISNUMBER(SEARCH("Gri", D497)), -1, 0)))=1, VERI_TABANI!E25*(1-0.928)*0.00206091519919798*VERI_TABANI!G25, 0)) + ((MIN(VERI_TABANI!D26, VERI_TABANI!D26*B497)*VERI_TABANI!$B$7 + MAX(0, VERI_TABANI!D26*B497-VERI_TABANI!D26)*VERI_TABANI!$B$8) + (MIN(MAX(0, VERI_TABANI!D26-VERI_TABANI!D26*B497), VERI_TABANI!D26*C497)*VERI_TABANI!$B$7 + MAX(0, VERI_TABANI!D26*C497-MAX(0, VERI_TABANI!D26-VERI_TABANI!D26*B497))*VERI_TABANI!$B$8) + IF(ABS(IF(ISNUMBER(SEARCH("Var", D497)), 1, IF(ISNUMBER(SEARCH("Gri", D497)), -1, 0)))=1, VERI_TABANI!E26*(1-0.928)*VERI_TABANI!$B$9, 0) + (VERI_TABANI!D26*B497*(VERI_TABANI!$B$13-VERI_TABANI!$B$14)*VERI_TABANI!G26) + (VERI_TABANI!D26*C497*(VERI_TABANI!$B$13-VERI_TABANI!$B$15)*VERI_TABANI!G26) + IF(ABS(IF(ISNUMBER(SEARCH("Var", D497)), 1, IF(ISNUMBER(SEARCH("Gri", D497)), -1, 0)))=1, VERI_TABANI!E26*(1-0.928)*0.00206091519919798*VERI_TABANI!G26, 0)) + ((MIN(VERI_TABANI!D27, VERI_TABANI!D27*B497)*VERI_TABANI!$B$7 + MAX(0, VERI_TABANI!D27*B497-VERI_TABANI!D27)*VERI_TABANI!$B$8) + (MIN(MAX(0, VERI_TABANI!D27-VERI_TABANI!D27*B497), VERI_TABANI!D27*C497)*VERI_TABANI!$B$7 + MAX(0, VERI_TABANI!D27*C497-MAX(0, VERI_TABANI!D27-VERI_TABANI!D27*B497))*VERI_TABANI!$B$8) + IF(ABS(IF(ISNUMBER(SEARCH("Var", D497)), 1, IF(ISNUMBER(SEARCH("Gri", D497)), -1, 0)))=1, VERI_TABANI!E27*(1-0.928)*VERI_TABANI!$B$9, 0) + (VERI_TABANI!D27*B497*(VERI_TABANI!$B$13-VERI_TABANI!$B$14)*VERI_TABANI!G27) + (VERI_TABANI!D27*C497*(VERI_TABANI!$B$13-VERI_TABANI!$B$15)*VERI_TABANI!G27) + IF(ABS(IF(ISNUMBER(SEARCH("Var", D497)), 1, IF(ISNUMBER(SEARCH("Gri", D497)), -1, 0)))=1, VERI_TABANI!E27*(1-0.928)*0.00206091519919798*VERI_TABANI!G27, 0)) + ((MIN(VERI_TABANI!D28, VERI_TABANI!D28*B497)*VERI_TABANI!$B$7 + MAX(0, VERI_TABANI!D28*B497-VERI_TABANI!D28)*VERI_TABANI!$B$8) + (MIN(MAX(0, VERI_TABANI!D28-VERI_TABANI!D28*B497), VERI_TABANI!D28*C497)*VERI_TABANI!$B$7 + MAX(0, VERI_TABANI!D28*C497-MAX(0, VERI_TABANI!D28-VERI_TABANI!D28*B497))*VERI_TABANI!$B$8) + IF(ABS(IF(ISNUMBER(SEARCH("Var", D497)), 1, IF(ISNUMBER(SEARCH("Gri", D497)), -1, 0)))=1, VERI_TABANI!E28*(1-0.928)*VERI_TABANI!$B$9, 0) + (VERI_TABANI!D28*B497*(VERI_TABANI!$B$13-VERI_TABANI!$B$14)*VERI_TABANI!G28) + (VERI_TABANI!D28*C497*(VERI_TABANI!$B$13-VERI_TABANI!$B$15)*VERI_TABANI!G28) + IF(ABS(IF(ISNUMBER(SEARCH("Var", D497)), 1, IF(ISNUMBER(SEARCH("Gri", D497)), -1, 0)))=1, VERI_TABANI!E28*(1-0.928)*0.00206091519919798*VERI_TABANI!G28, 0)))</f>
        <v/>
      </c>
      <c r="H497" s="169">
        <f>(((VERI_TABANI!D23*B497*(VERI_TABANI!$B$13-VERI_TABANI!$B$14)) + (VERI_TABANI!D23*C497*(VERI_TABANI!$B$13-VERI_TABANI!$B$15)) + IF(ISNUMBER(SEARCH("Var", D497)), VERI_TABANI!F23*(0.00202-VERI_TABANI!$B$16), IF(ISNUMBER(SEARCH("Gri", D497)), VERI_TABANI!F23*(0.00202-VERI_TABANI!$B$17), 0))) + ((VERI_TABANI!D24*B497*(VERI_TABANI!$B$13-VERI_TABANI!$B$14)) + (VERI_TABANI!D24*C497*(VERI_TABANI!$B$13-VERI_TABANI!$B$15)) + IF(ISNUMBER(SEARCH("Var", D497)), VERI_TABANI!F24*(0.00202-VERI_TABANI!$B$16), IF(ISNUMBER(SEARCH("Gri", D497)), VERI_TABANI!F24*(0.00202-VERI_TABANI!$B$17), 0))) + ((VERI_TABANI!D25*B497*(VERI_TABANI!$B$13-VERI_TABANI!$B$14)) + (VERI_TABANI!D25*C497*(VERI_TABANI!$B$13-VERI_TABANI!$B$15)) + IF(ISNUMBER(SEARCH("Var", D497)), VERI_TABANI!F25*(0.00202-VERI_TABANI!$B$16), IF(ISNUMBER(SEARCH("Gri", D497)), VERI_TABANI!F25*(0.00202-VERI_TABANI!$B$17), 0))) + ((VERI_TABANI!D26*B497*(VERI_TABANI!$B$13-VERI_TABANI!$B$14)) + (VERI_TABANI!D26*C497*(VERI_TABANI!$B$13-VERI_TABANI!$B$15)) + IF(ISNUMBER(SEARCH("Var", D497)), VERI_TABANI!F26*(0.00202-VERI_TABANI!$B$16), IF(ISNUMBER(SEARCH("Gri", D497)), VERI_TABANI!F26*(0.00202-VERI_TABANI!$B$17), 0))) + ((VERI_TABANI!D27*B497*(VERI_TABANI!$B$13-VERI_TABANI!$B$14)) + (VERI_TABANI!D27*C497*(VERI_TABANI!$B$13-VERI_TABANI!$B$15)) + IF(ISNUMBER(SEARCH("Var", D497)), VERI_TABANI!F27*(0.00202-VERI_TABANI!$B$16), IF(ISNUMBER(SEARCH("Gri", D497)), VERI_TABANI!F27*(0.00202-VERI_TABANI!$B$17), 0))) + ((VERI_TABANI!D28*B497*(VERI_TABANI!$B$13-VERI_TABANI!$B$14)) + (VERI_TABANI!D28*C497*(VERI_TABANI!$B$13-VERI_TABANI!$B$15)) + IF(ISNUMBER(SEARCH("Var", D497)), VERI_TABANI!F28*(0.00202-VERI_TABANI!$B$16), IF(ISNUMBER(SEARCH("Gri", D497)), VERI_TABANI!F28*(0.00202-VERI_TABANI!$B$17), 0))))</f>
        <v/>
      </c>
      <c r="I497" s="170">
        <f>IFERROR(((VERI_TABANI!$D$29*B497*VERI_TABANI!$B$14 + VERI_TABANI!$D$29*C497*VERI_TABANI!$B$15 + IF(ISNUMBER(SEARCH("Var", D497)), VERI_TABANI!$F$29*VERI_TABANI!$B$16, 0))) / (((VERI_TABANI!$D$29*B497 + VERI_TABANI!$D$29*C497)*VERI_TABANI!$B$13 + IF(ISNUMBER(SEARCH("Var", D497)), VERI_TABANI!$E$29*(1-0.928)*VERI_TABANI!$B$18, 0))), 0)</f>
        <v/>
      </c>
      <c r="J497" s="171">
        <f>IFERROR(F497/(G497/29), 0)</f>
        <v/>
      </c>
      <c r="K497" s="172">
        <f>IF(F497&gt;0, H497/F497, 0)</f>
        <v/>
      </c>
      <c r="L497" s="170">
        <f>IF(F497&gt;0, I497, 1000000000)</f>
        <v/>
      </c>
      <c r="M497" s="171">
        <f>ABS((B497+C497)-1)</f>
        <v/>
      </c>
      <c r="N497" s="170">
        <f>IF(F497&gt;0, (G497/29)/F497, 0)</f>
        <v/>
      </c>
      <c r="O497" s="168">
        <f>IF(AND((B497+C497)&gt;=1, ISNUMBER(SEARCH("Var", D497))), F497, 1000000000)</f>
        <v/>
      </c>
      <c r="P497" s="172">
        <f>IF(F497&gt;0, SQRT((F497/MAX(F$5:F$886))^2 + (1 - H497/MAX(H$5:H$886))^2 + (J497/MAX(J$5:J$886))^2), 1000000000)</f>
        <v/>
      </c>
      <c r="Q497" s="166">
        <f>IF(AND(ABS(B497-0.5)&lt;0.01, ABS(C497-0.5)&lt;0.01, ISNUMBER(SEARCH("Var", D497))), 1, 0)</f>
        <v/>
      </c>
      <c r="R497" s="171">
        <f>IF(F497&gt;0, J497, 1000000000)</f>
        <v/>
      </c>
      <c r="S497" s="101">
        <f>IF(AND(F497&lt;=DASHBOARD!$B$11, H497&gt;=DASHBOARD!$B$13), G497, -1000000000000)</f>
        <v/>
      </c>
      <c r="T497" s="101">
        <f>IF(AND(F497&lt;=DASHBOARD!$B$11, H497&gt;=DASHBOARD!$B$13), R497, 1000000000000)</f>
        <v/>
      </c>
      <c r="U497" s="101">
        <f>IF(AND(F497&lt;=DASHBOARD!$B$11, H497&gt;=DASHBOARD!$B$13), N497, -1000000000000)</f>
        <v/>
      </c>
      <c r="V497" s="101">
        <f>IF(AND(F497&lt;=DASHBOARD!$B$11, H497&gt;=DASHBOARD!$B$13), H497, -1000000000000)</f>
        <v/>
      </c>
      <c r="W497" s="101">
        <f>IF(AND(F497&lt;=DASHBOARD!$B$11, H497&gt;=DASHBOARD!$B$13), K497, -1000000000000)</f>
        <v/>
      </c>
      <c r="X497" s="101">
        <f>IF(AND(F497&lt;=DASHBOARD!$B$11, H497&gt;=DASHBOARD!$B$13), M497, 1000000000000)</f>
        <v/>
      </c>
      <c r="Y497" s="101">
        <f>IF(AND(F497&lt;=DASHBOARD!$B$10, H497&gt;=DASHBOARD!$B$11), L497, 1000000000000)</f>
        <v/>
      </c>
      <c r="Z497" s="101">
        <f>IF(AND(F497&lt;=DASHBOARD!$B$10, H497&gt;=DASHBOARD!$B$11), O497, 1000000000000)</f>
        <v/>
      </c>
      <c r="AA497" s="101">
        <f>IF(AND(F497&lt;=DASHBOARD!$B$10, H497&gt;=DASHBOARD!$B$11), P497, 1000000000000)</f>
        <v/>
      </c>
      <c r="AB497" s="101">
        <f>IF(AND(F497&lt;=DASHBOARD!$B$10, H497&gt;=DASHBOARD!$B$11), Q497, -1000000000000)</f>
        <v/>
      </c>
    </row>
    <row r="498" ht="15" customHeight="1" s="102">
      <c r="A498" s="166" t="n">
        <v>494</v>
      </c>
      <c r="B498" s="167" t="n">
        <v>1.1</v>
      </c>
      <c r="C498" s="167" t="n">
        <v>1.5</v>
      </c>
      <c r="D498" s="110" t="inlineStr">
        <is>
          <t>Var (%20)</t>
        </is>
      </c>
      <c r="E498" s="110">
        <f>IF((B498+C498)&lt;=1, "Tam Mahsuplaşma (≤%100)", "Kısmi Satış (&gt;%100)")</f>
        <v/>
      </c>
      <c r="F498" s="168">
        <f>((VERI_TABANI!$D$29*B498/VERI_TABANI!$B$29)/VERI_TABANI!$B$3)*VERI_TABANI!$B$5 + ((VERI_TABANI!$D$29*C498/VERI_TABANI!$B$29)/VERI_TABANI!$B$4)*VERI_TABANI!$B$6 + IF(ISNUMBER(SEARCH("Var", D498)), (VERI_TABANI!$F$29/VERI_TABANI!$B$29)*(VERI_TABANI!$B$10+VERI_TABANI!$B$12), 0)</f>
        <v/>
      </c>
      <c r="G498" s="168">
        <f>(((MIN(VERI_TABANI!D23, VERI_TABANI!D23*B498)*VERI_TABANI!$B$7 + MAX(0, VERI_TABANI!D23*B498-VERI_TABANI!D23)*VERI_TABANI!$B$8) + (MIN(MAX(0, VERI_TABANI!D23-VERI_TABANI!D23*B498), VERI_TABANI!D23*C498)*VERI_TABANI!$B$7 + MAX(0, VERI_TABANI!D23*C498-MAX(0, VERI_TABANI!D23-VERI_TABANI!D23*B498))*VERI_TABANI!$B$8) + IF(ABS(IF(ISNUMBER(SEARCH("Var", D498)), 1, IF(ISNUMBER(SEARCH("Gri", D498)), -1, 0)))=1, VERI_TABANI!E23*(1-0.928)*VERI_TABANI!$B$9, 0) + (VERI_TABANI!D23*B498*(VERI_TABANI!$B$13-VERI_TABANI!$B$14)*VERI_TABANI!G23) + (VERI_TABANI!D23*C498*(VERI_TABANI!$B$13-VERI_TABANI!$B$15)*VERI_TABANI!G23) + IF(ABS(IF(ISNUMBER(SEARCH("Var", D498)), 1, IF(ISNUMBER(SEARCH("Gri", D498)), -1, 0)))=1, VERI_TABANI!E23*(1-0.928)*0.00206091519919798*VERI_TABANI!G23, 0)) + ((MIN(VERI_TABANI!D24, VERI_TABANI!D24*B498)*VERI_TABANI!$B$7 + MAX(0, VERI_TABANI!D24*B498-VERI_TABANI!D24)*VERI_TABANI!$B$8) + (MIN(MAX(0, VERI_TABANI!D24-VERI_TABANI!D24*B498), VERI_TABANI!D24*C498)*VERI_TABANI!$B$7 + MAX(0, VERI_TABANI!D24*C498-MAX(0, VERI_TABANI!D24-VERI_TABANI!D24*B498))*VERI_TABANI!$B$8) + IF(ABS(IF(ISNUMBER(SEARCH("Var", D498)), 1, IF(ISNUMBER(SEARCH("Gri", D498)), -1, 0)))=1, VERI_TABANI!E24*(1-0.928)*VERI_TABANI!$B$9, 0) + (VERI_TABANI!D24*B498*(VERI_TABANI!$B$13-VERI_TABANI!$B$14)*VERI_TABANI!G24) + (VERI_TABANI!D24*C498*(VERI_TABANI!$B$13-VERI_TABANI!$B$15)*VERI_TABANI!G24) + IF(ABS(IF(ISNUMBER(SEARCH("Var", D498)), 1, IF(ISNUMBER(SEARCH("Gri", D498)), -1, 0)))=1, VERI_TABANI!E24*(1-0.928)*0.00206091519919798*VERI_TABANI!G24, 0)) + ((MIN(VERI_TABANI!D25, VERI_TABANI!D25*B498)*VERI_TABANI!$B$7 + MAX(0, VERI_TABANI!D25*B498-VERI_TABANI!D25)*VERI_TABANI!$B$8) + (MIN(MAX(0, VERI_TABANI!D25-VERI_TABANI!D25*B498), VERI_TABANI!D25*C498)*VERI_TABANI!$B$7 + MAX(0, VERI_TABANI!D25*C498-MAX(0, VERI_TABANI!D25-VERI_TABANI!D25*B498))*VERI_TABANI!$B$8) + IF(ABS(IF(ISNUMBER(SEARCH("Var", D498)), 1, IF(ISNUMBER(SEARCH("Gri", D498)), -1, 0)))=1, VERI_TABANI!E25*(1-0.928)*VERI_TABANI!$B$9, 0) + (VERI_TABANI!D25*B498*(VERI_TABANI!$B$13-VERI_TABANI!$B$14)*VERI_TABANI!G25) + (VERI_TABANI!D25*C498*(VERI_TABANI!$B$13-VERI_TABANI!$B$15)*VERI_TABANI!G25) + IF(ABS(IF(ISNUMBER(SEARCH("Var", D498)), 1, IF(ISNUMBER(SEARCH("Gri", D498)), -1, 0)))=1, VERI_TABANI!E25*(1-0.928)*0.00206091519919798*VERI_TABANI!G25, 0)) + ((MIN(VERI_TABANI!D26, VERI_TABANI!D26*B498)*VERI_TABANI!$B$7 + MAX(0, VERI_TABANI!D26*B498-VERI_TABANI!D26)*VERI_TABANI!$B$8) + (MIN(MAX(0, VERI_TABANI!D26-VERI_TABANI!D26*B498), VERI_TABANI!D26*C498)*VERI_TABANI!$B$7 + MAX(0, VERI_TABANI!D26*C498-MAX(0, VERI_TABANI!D26-VERI_TABANI!D26*B498))*VERI_TABANI!$B$8) + IF(ABS(IF(ISNUMBER(SEARCH("Var", D498)), 1, IF(ISNUMBER(SEARCH("Gri", D498)), -1, 0)))=1, VERI_TABANI!E26*(1-0.928)*VERI_TABANI!$B$9, 0) + (VERI_TABANI!D26*B498*(VERI_TABANI!$B$13-VERI_TABANI!$B$14)*VERI_TABANI!G26) + (VERI_TABANI!D26*C498*(VERI_TABANI!$B$13-VERI_TABANI!$B$15)*VERI_TABANI!G26) + IF(ABS(IF(ISNUMBER(SEARCH("Var", D498)), 1, IF(ISNUMBER(SEARCH("Gri", D498)), -1, 0)))=1, VERI_TABANI!E26*(1-0.928)*0.00206091519919798*VERI_TABANI!G26, 0)) + ((MIN(VERI_TABANI!D27, VERI_TABANI!D27*B498)*VERI_TABANI!$B$7 + MAX(0, VERI_TABANI!D27*B498-VERI_TABANI!D27)*VERI_TABANI!$B$8) + (MIN(MAX(0, VERI_TABANI!D27-VERI_TABANI!D27*B498), VERI_TABANI!D27*C498)*VERI_TABANI!$B$7 + MAX(0, VERI_TABANI!D27*C498-MAX(0, VERI_TABANI!D27-VERI_TABANI!D27*B498))*VERI_TABANI!$B$8) + IF(ABS(IF(ISNUMBER(SEARCH("Var", D498)), 1, IF(ISNUMBER(SEARCH("Gri", D498)), -1, 0)))=1, VERI_TABANI!E27*(1-0.928)*VERI_TABANI!$B$9, 0) + (VERI_TABANI!D27*B498*(VERI_TABANI!$B$13-VERI_TABANI!$B$14)*VERI_TABANI!G27) + (VERI_TABANI!D27*C498*(VERI_TABANI!$B$13-VERI_TABANI!$B$15)*VERI_TABANI!G27) + IF(ABS(IF(ISNUMBER(SEARCH("Var", D498)), 1, IF(ISNUMBER(SEARCH("Gri", D498)), -1, 0)))=1, VERI_TABANI!E27*(1-0.928)*0.00206091519919798*VERI_TABANI!G27, 0)) + ((MIN(VERI_TABANI!D28, VERI_TABANI!D28*B498)*VERI_TABANI!$B$7 + MAX(0, VERI_TABANI!D28*B498-VERI_TABANI!D28)*VERI_TABANI!$B$8) + (MIN(MAX(0, VERI_TABANI!D28-VERI_TABANI!D28*B498), VERI_TABANI!D28*C498)*VERI_TABANI!$B$7 + MAX(0, VERI_TABANI!D28*C498-MAX(0, VERI_TABANI!D28-VERI_TABANI!D28*B498))*VERI_TABANI!$B$8) + IF(ABS(IF(ISNUMBER(SEARCH("Var", D498)), 1, IF(ISNUMBER(SEARCH("Gri", D498)), -1, 0)))=1, VERI_TABANI!E28*(1-0.928)*VERI_TABANI!$B$9, 0) + (VERI_TABANI!D28*B498*(VERI_TABANI!$B$13-VERI_TABANI!$B$14)*VERI_TABANI!G28) + (VERI_TABANI!D28*C498*(VERI_TABANI!$B$13-VERI_TABANI!$B$15)*VERI_TABANI!G28) + IF(ABS(IF(ISNUMBER(SEARCH("Var", D498)), 1, IF(ISNUMBER(SEARCH("Gri", D498)), -1, 0)))=1, VERI_TABANI!E28*(1-0.928)*0.00206091519919798*VERI_TABANI!G28, 0)))</f>
        <v/>
      </c>
      <c r="H498" s="169">
        <f>(((VERI_TABANI!D23*B498*(VERI_TABANI!$B$13-VERI_TABANI!$B$14)) + (VERI_TABANI!D23*C498*(VERI_TABANI!$B$13-VERI_TABANI!$B$15)) + IF(ISNUMBER(SEARCH("Var", D498)), VERI_TABANI!F23*(0.00202-VERI_TABANI!$B$16), IF(ISNUMBER(SEARCH("Gri", D498)), VERI_TABANI!F23*(0.00202-VERI_TABANI!$B$17), 0))) + ((VERI_TABANI!D24*B498*(VERI_TABANI!$B$13-VERI_TABANI!$B$14)) + (VERI_TABANI!D24*C498*(VERI_TABANI!$B$13-VERI_TABANI!$B$15)) + IF(ISNUMBER(SEARCH("Var", D498)), VERI_TABANI!F24*(0.00202-VERI_TABANI!$B$16), IF(ISNUMBER(SEARCH("Gri", D498)), VERI_TABANI!F24*(0.00202-VERI_TABANI!$B$17), 0))) + ((VERI_TABANI!D25*B498*(VERI_TABANI!$B$13-VERI_TABANI!$B$14)) + (VERI_TABANI!D25*C498*(VERI_TABANI!$B$13-VERI_TABANI!$B$15)) + IF(ISNUMBER(SEARCH("Var", D498)), VERI_TABANI!F25*(0.00202-VERI_TABANI!$B$16), IF(ISNUMBER(SEARCH("Gri", D498)), VERI_TABANI!F25*(0.00202-VERI_TABANI!$B$17), 0))) + ((VERI_TABANI!D26*B498*(VERI_TABANI!$B$13-VERI_TABANI!$B$14)) + (VERI_TABANI!D26*C498*(VERI_TABANI!$B$13-VERI_TABANI!$B$15)) + IF(ISNUMBER(SEARCH("Var", D498)), VERI_TABANI!F26*(0.00202-VERI_TABANI!$B$16), IF(ISNUMBER(SEARCH("Gri", D498)), VERI_TABANI!F26*(0.00202-VERI_TABANI!$B$17), 0))) + ((VERI_TABANI!D27*B498*(VERI_TABANI!$B$13-VERI_TABANI!$B$14)) + (VERI_TABANI!D27*C498*(VERI_TABANI!$B$13-VERI_TABANI!$B$15)) + IF(ISNUMBER(SEARCH("Var", D498)), VERI_TABANI!F27*(0.00202-VERI_TABANI!$B$16), IF(ISNUMBER(SEARCH("Gri", D498)), VERI_TABANI!F27*(0.00202-VERI_TABANI!$B$17), 0))) + ((VERI_TABANI!D28*B498*(VERI_TABANI!$B$13-VERI_TABANI!$B$14)) + (VERI_TABANI!D28*C498*(VERI_TABANI!$B$13-VERI_TABANI!$B$15)) + IF(ISNUMBER(SEARCH("Var", D498)), VERI_TABANI!F28*(0.00202-VERI_TABANI!$B$16), IF(ISNUMBER(SEARCH("Gri", D498)), VERI_TABANI!F28*(0.00202-VERI_TABANI!$B$17), 0))))</f>
        <v/>
      </c>
      <c r="I498" s="170">
        <f>IFERROR(((VERI_TABANI!$D$29*B498*VERI_TABANI!$B$14 + VERI_TABANI!$D$29*C498*VERI_TABANI!$B$15 + IF(ISNUMBER(SEARCH("Var", D498)), VERI_TABANI!$F$29*VERI_TABANI!$B$16, 0))) / (((VERI_TABANI!$D$29*B498 + VERI_TABANI!$D$29*C498)*VERI_TABANI!$B$13 + IF(ISNUMBER(SEARCH("Var", D498)), VERI_TABANI!$E$29*(1-0.928)*VERI_TABANI!$B$18, 0))), 0)</f>
        <v/>
      </c>
      <c r="J498" s="171">
        <f>IFERROR(F498/(G498/29), 0)</f>
        <v/>
      </c>
      <c r="K498" s="172">
        <f>IF(F498&gt;0, H498/F498, 0)</f>
        <v/>
      </c>
      <c r="L498" s="170">
        <f>IF(F498&gt;0, I498, 1000000000)</f>
        <v/>
      </c>
      <c r="M498" s="171">
        <f>ABS((B498+C498)-1)</f>
        <v/>
      </c>
      <c r="N498" s="170">
        <f>IF(F498&gt;0, (G498/29)/F498, 0)</f>
        <v/>
      </c>
      <c r="O498" s="168">
        <f>IF(AND((B498+C498)&gt;=1, ISNUMBER(SEARCH("Var", D498))), F498, 1000000000)</f>
        <v/>
      </c>
      <c r="P498" s="172">
        <f>IF(F498&gt;0, SQRT((F498/MAX(F$5:F$886))^2 + (1 - H498/MAX(H$5:H$886))^2 + (J498/MAX(J$5:J$886))^2), 1000000000)</f>
        <v/>
      </c>
      <c r="Q498" s="166">
        <f>IF(AND(ABS(B498-0.5)&lt;0.01, ABS(C498-0.5)&lt;0.01, ISNUMBER(SEARCH("Var", D498))), 1, 0)</f>
        <v/>
      </c>
      <c r="R498" s="171">
        <f>IF(F498&gt;0, J498, 1000000000)</f>
        <v/>
      </c>
      <c r="S498" s="101">
        <f>IF(AND(F498&lt;=DASHBOARD!$B$11, H498&gt;=DASHBOARD!$B$13), G498, -1000000000000)</f>
        <v/>
      </c>
      <c r="T498" s="101">
        <f>IF(AND(F498&lt;=DASHBOARD!$B$11, H498&gt;=DASHBOARD!$B$13), R498, 1000000000000)</f>
        <v/>
      </c>
      <c r="U498" s="101">
        <f>IF(AND(F498&lt;=DASHBOARD!$B$11, H498&gt;=DASHBOARD!$B$13), N498, -1000000000000)</f>
        <v/>
      </c>
      <c r="V498" s="101">
        <f>IF(AND(F498&lt;=DASHBOARD!$B$11, H498&gt;=DASHBOARD!$B$13), H498, -1000000000000)</f>
        <v/>
      </c>
      <c r="W498" s="101">
        <f>IF(AND(F498&lt;=DASHBOARD!$B$11, H498&gt;=DASHBOARD!$B$13), K498, -1000000000000)</f>
        <v/>
      </c>
      <c r="X498" s="101">
        <f>IF(AND(F498&lt;=DASHBOARD!$B$11, H498&gt;=DASHBOARD!$B$13), M498, 1000000000000)</f>
        <v/>
      </c>
      <c r="Y498" s="101">
        <f>IF(AND(F498&lt;=DASHBOARD!$B$10, H498&gt;=DASHBOARD!$B$11), L498, 1000000000000)</f>
        <v/>
      </c>
      <c r="Z498" s="101">
        <f>IF(AND(F498&lt;=DASHBOARD!$B$10, H498&gt;=DASHBOARD!$B$11), O498, 1000000000000)</f>
        <v/>
      </c>
      <c r="AA498" s="101">
        <f>IF(AND(F498&lt;=DASHBOARD!$B$10, H498&gt;=DASHBOARD!$B$11), P498, 1000000000000)</f>
        <v/>
      </c>
      <c r="AB498" s="101">
        <f>IF(AND(F498&lt;=DASHBOARD!$B$10, H498&gt;=DASHBOARD!$B$11), Q498, -1000000000000)</f>
        <v/>
      </c>
    </row>
    <row r="499" ht="15" customHeight="1" s="102">
      <c r="A499" s="166" t="n">
        <v>495</v>
      </c>
      <c r="B499" s="167" t="n">
        <v>1.1</v>
      </c>
      <c r="C499" s="167" t="n">
        <v>1.6</v>
      </c>
      <c r="D499" s="110" t="inlineStr">
        <is>
          <t>Yok (%0)</t>
        </is>
      </c>
      <c r="E499" s="110">
        <f>IF((B499+C499)&lt;=1, "Tam Mahsuplaşma (≤%100)", "Kısmi Satış (&gt;%100)")</f>
        <v/>
      </c>
      <c r="F499" s="168">
        <f>((VERI_TABANI!$D$29*B499/VERI_TABANI!$B$29)/VERI_TABANI!$B$3)*VERI_TABANI!$B$5 + ((VERI_TABANI!$D$29*C499/VERI_TABANI!$B$29)/VERI_TABANI!$B$4)*VERI_TABANI!$B$6 + IF(ISNUMBER(SEARCH("Var", D499)), (VERI_TABANI!$F$29/VERI_TABANI!$B$29)*(VERI_TABANI!$B$10+VERI_TABANI!$B$12), 0)</f>
        <v/>
      </c>
      <c r="G499" s="168">
        <f>(((MIN(VERI_TABANI!D23, VERI_TABANI!D23*B499)*VERI_TABANI!$B$7 + MAX(0, VERI_TABANI!D23*B499-VERI_TABANI!D23)*VERI_TABANI!$B$8) + (MIN(MAX(0, VERI_TABANI!D23-VERI_TABANI!D23*B499), VERI_TABANI!D23*C499)*VERI_TABANI!$B$7 + MAX(0, VERI_TABANI!D23*C499-MAX(0, VERI_TABANI!D23-VERI_TABANI!D23*B499))*VERI_TABANI!$B$8) + IF(ABS(IF(ISNUMBER(SEARCH("Var", D499)), 1, IF(ISNUMBER(SEARCH("Gri", D499)), -1, 0)))=1, VERI_TABANI!E23*(1-0.928)*VERI_TABANI!$B$9, 0) + (VERI_TABANI!D23*B499*(VERI_TABANI!$B$13-VERI_TABANI!$B$14)*VERI_TABANI!G23) + (VERI_TABANI!D23*C499*(VERI_TABANI!$B$13-VERI_TABANI!$B$15)*VERI_TABANI!G23) + IF(ABS(IF(ISNUMBER(SEARCH("Var", D499)), 1, IF(ISNUMBER(SEARCH("Gri", D499)), -1, 0)))=1, VERI_TABANI!E23*(1-0.928)*0.00206091519919798*VERI_TABANI!G23, 0)) + ((MIN(VERI_TABANI!D24, VERI_TABANI!D24*B499)*VERI_TABANI!$B$7 + MAX(0, VERI_TABANI!D24*B499-VERI_TABANI!D24)*VERI_TABANI!$B$8) + (MIN(MAX(0, VERI_TABANI!D24-VERI_TABANI!D24*B499), VERI_TABANI!D24*C499)*VERI_TABANI!$B$7 + MAX(0, VERI_TABANI!D24*C499-MAX(0, VERI_TABANI!D24-VERI_TABANI!D24*B499))*VERI_TABANI!$B$8) + IF(ABS(IF(ISNUMBER(SEARCH("Var", D499)), 1, IF(ISNUMBER(SEARCH("Gri", D499)), -1, 0)))=1, VERI_TABANI!E24*(1-0.928)*VERI_TABANI!$B$9, 0) + (VERI_TABANI!D24*B499*(VERI_TABANI!$B$13-VERI_TABANI!$B$14)*VERI_TABANI!G24) + (VERI_TABANI!D24*C499*(VERI_TABANI!$B$13-VERI_TABANI!$B$15)*VERI_TABANI!G24) + IF(ABS(IF(ISNUMBER(SEARCH("Var", D499)), 1, IF(ISNUMBER(SEARCH("Gri", D499)), -1, 0)))=1, VERI_TABANI!E24*(1-0.928)*0.00206091519919798*VERI_TABANI!G24, 0)) + ((MIN(VERI_TABANI!D25, VERI_TABANI!D25*B499)*VERI_TABANI!$B$7 + MAX(0, VERI_TABANI!D25*B499-VERI_TABANI!D25)*VERI_TABANI!$B$8) + (MIN(MAX(0, VERI_TABANI!D25-VERI_TABANI!D25*B499), VERI_TABANI!D25*C499)*VERI_TABANI!$B$7 + MAX(0, VERI_TABANI!D25*C499-MAX(0, VERI_TABANI!D25-VERI_TABANI!D25*B499))*VERI_TABANI!$B$8) + IF(ABS(IF(ISNUMBER(SEARCH("Var", D499)), 1, IF(ISNUMBER(SEARCH("Gri", D499)), -1, 0)))=1, VERI_TABANI!E25*(1-0.928)*VERI_TABANI!$B$9, 0) + (VERI_TABANI!D25*B499*(VERI_TABANI!$B$13-VERI_TABANI!$B$14)*VERI_TABANI!G25) + (VERI_TABANI!D25*C499*(VERI_TABANI!$B$13-VERI_TABANI!$B$15)*VERI_TABANI!G25) + IF(ABS(IF(ISNUMBER(SEARCH("Var", D499)), 1, IF(ISNUMBER(SEARCH("Gri", D499)), -1, 0)))=1, VERI_TABANI!E25*(1-0.928)*0.00206091519919798*VERI_TABANI!G25, 0)) + ((MIN(VERI_TABANI!D26, VERI_TABANI!D26*B499)*VERI_TABANI!$B$7 + MAX(0, VERI_TABANI!D26*B499-VERI_TABANI!D26)*VERI_TABANI!$B$8) + (MIN(MAX(0, VERI_TABANI!D26-VERI_TABANI!D26*B499), VERI_TABANI!D26*C499)*VERI_TABANI!$B$7 + MAX(0, VERI_TABANI!D26*C499-MAX(0, VERI_TABANI!D26-VERI_TABANI!D26*B499))*VERI_TABANI!$B$8) + IF(ABS(IF(ISNUMBER(SEARCH("Var", D499)), 1, IF(ISNUMBER(SEARCH("Gri", D499)), -1, 0)))=1, VERI_TABANI!E26*(1-0.928)*VERI_TABANI!$B$9, 0) + (VERI_TABANI!D26*B499*(VERI_TABANI!$B$13-VERI_TABANI!$B$14)*VERI_TABANI!G26) + (VERI_TABANI!D26*C499*(VERI_TABANI!$B$13-VERI_TABANI!$B$15)*VERI_TABANI!G26) + IF(ABS(IF(ISNUMBER(SEARCH("Var", D499)), 1, IF(ISNUMBER(SEARCH("Gri", D499)), -1, 0)))=1, VERI_TABANI!E26*(1-0.928)*0.00206091519919798*VERI_TABANI!G26, 0)) + ((MIN(VERI_TABANI!D27, VERI_TABANI!D27*B499)*VERI_TABANI!$B$7 + MAX(0, VERI_TABANI!D27*B499-VERI_TABANI!D27)*VERI_TABANI!$B$8) + (MIN(MAX(0, VERI_TABANI!D27-VERI_TABANI!D27*B499), VERI_TABANI!D27*C499)*VERI_TABANI!$B$7 + MAX(0, VERI_TABANI!D27*C499-MAX(0, VERI_TABANI!D27-VERI_TABANI!D27*B499))*VERI_TABANI!$B$8) + IF(ABS(IF(ISNUMBER(SEARCH("Var", D499)), 1, IF(ISNUMBER(SEARCH("Gri", D499)), -1, 0)))=1, VERI_TABANI!E27*(1-0.928)*VERI_TABANI!$B$9, 0) + (VERI_TABANI!D27*B499*(VERI_TABANI!$B$13-VERI_TABANI!$B$14)*VERI_TABANI!G27) + (VERI_TABANI!D27*C499*(VERI_TABANI!$B$13-VERI_TABANI!$B$15)*VERI_TABANI!G27) + IF(ABS(IF(ISNUMBER(SEARCH("Var", D499)), 1, IF(ISNUMBER(SEARCH("Gri", D499)), -1, 0)))=1, VERI_TABANI!E27*(1-0.928)*0.00206091519919798*VERI_TABANI!G27, 0)) + ((MIN(VERI_TABANI!D28, VERI_TABANI!D28*B499)*VERI_TABANI!$B$7 + MAX(0, VERI_TABANI!D28*B499-VERI_TABANI!D28)*VERI_TABANI!$B$8) + (MIN(MAX(0, VERI_TABANI!D28-VERI_TABANI!D28*B499), VERI_TABANI!D28*C499)*VERI_TABANI!$B$7 + MAX(0, VERI_TABANI!D28*C499-MAX(0, VERI_TABANI!D28-VERI_TABANI!D28*B499))*VERI_TABANI!$B$8) + IF(ABS(IF(ISNUMBER(SEARCH("Var", D499)), 1, IF(ISNUMBER(SEARCH("Gri", D499)), -1, 0)))=1, VERI_TABANI!E28*(1-0.928)*VERI_TABANI!$B$9, 0) + (VERI_TABANI!D28*B499*(VERI_TABANI!$B$13-VERI_TABANI!$B$14)*VERI_TABANI!G28) + (VERI_TABANI!D28*C499*(VERI_TABANI!$B$13-VERI_TABANI!$B$15)*VERI_TABANI!G28) + IF(ABS(IF(ISNUMBER(SEARCH("Var", D499)), 1, IF(ISNUMBER(SEARCH("Gri", D499)), -1, 0)))=1, VERI_TABANI!E28*(1-0.928)*0.00206091519919798*VERI_TABANI!G28, 0)))</f>
        <v/>
      </c>
      <c r="H499" s="169">
        <f>(((VERI_TABANI!D23*B499*(VERI_TABANI!$B$13-VERI_TABANI!$B$14)) + (VERI_TABANI!D23*C499*(VERI_TABANI!$B$13-VERI_TABANI!$B$15)) + IF(ISNUMBER(SEARCH("Var", D499)), VERI_TABANI!F23*(0.00202-VERI_TABANI!$B$16), IF(ISNUMBER(SEARCH("Gri", D499)), VERI_TABANI!F23*(0.00202-VERI_TABANI!$B$17), 0))) + ((VERI_TABANI!D24*B499*(VERI_TABANI!$B$13-VERI_TABANI!$B$14)) + (VERI_TABANI!D24*C499*(VERI_TABANI!$B$13-VERI_TABANI!$B$15)) + IF(ISNUMBER(SEARCH("Var", D499)), VERI_TABANI!F24*(0.00202-VERI_TABANI!$B$16), IF(ISNUMBER(SEARCH("Gri", D499)), VERI_TABANI!F24*(0.00202-VERI_TABANI!$B$17), 0))) + ((VERI_TABANI!D25*B499*(VERI_TABANI!$B$13-VERI_TABANI!$B$14)) + (VERI_TABANI!D25*C499*(VERI_TABANI!$B$13-VERI_TABANI!$B$15)) + IF(ISNUMBER(SEARCH("Var", D499)), VERI_TABANI!F25*(0.00202-VERI_TABANI!$B$16), IF(ISNUMBER(SEARCH("Gri", D499)), VERI_TABANI!F25*(0.00202-VERI_TABANI!$B$17), 0))) + ((VERI_TABANI!D26*B499*(VERI_TABANI!$B$13-VERI_TABANI!$B$14)) + (VERI_TABANI!D26*C499*(VERI_TABANI!$B$13-VERI_TABANI!$B$15)) + IF(ISNUMBER(SEARCH("Var", D499)), VERI_TABANI!F26*(0.00202-VERI_TABANI!$B$16), IF(ISNUMBER(SEARCH("Gri", D499)), VERI_TABANI!F26*(0.00202-VERI_TABANI!$B$17), 0))) + ((VERI_TABANI!D27*B499*(VERI_TABANI!$B$13-VERI_TABANI!$B$14)) + (VERI_TABANI!D27*C499*(VERI_TABANI!$B$13-VERI_TABANI!$B$15)) + IF(ISNUMBER(SEARCH("Var", D499)), VERI_TABANI!F27*(0.00202-VERI_TABANI!$B$16), IF(ISNUMBER(SEARCH("Gri", D499)), VERI_TABANI!F27*(0.00202-VERI_TABANI!$B$17), 0))) + ((VERI_TABANI!D28*B499*(VERI_TABANI!$B$13-VERI_TABANI!$B$14)) + (VERI_TABANI!D28*C499*(VERI_TABANI!$B$13-VERI_TABANI!$B$15)) + IF(ISNUMBER(SEARCH("Var", D499)), VERI_TABANI!F28*(0.00202-VERI_TABANI!$B$16), IF(ISNUMBER(SEARCH("Gri", D499)), VERI_TABANI!F28*(0.00202-VERI_TABANI!$B$17), 0))))</f>
        <v/>
      </c>
      <c r="I499" s="170">
        <f>IFERROR(((VERI_TABANI!$D$29*B499*VERI_TABANI!$B$14 + VERI_TABANI!$D$29*C499*VERI_TABANI!$B$15 + IF(ISNUMBER(SEARCH("Var", D499)), VERI_TABANI!$F$29*VERI_TABANI!$B$16, 0))) / (((VERI_TABANI!$D$29*B499 + VERI_TABANI!$D$29*C499)*VERI_TABANI!$B$13 + IF(ISNUMBER(SEARCH("Var", D499)), VERI_TABANI!$E$29*(1-0.928)*VERI_TABANI!$B$18, 0))), 0)</f>
        <v/>
      </c>
      <c r="J499" s="171">
        <f>IFERROR(F499/(G499/29), 0)</f>
        <v/>
      </c>
      <c r="K499" s="172">
        <f>IF(F499&gt;0, H499/F499, 0)</f>
        <v/>
      </c>
      <c r="L499" s="170">
        <f>IF(F499&gt;0, I499, 1000000000)</f>
        <v/>
      </c>
      <c r="M499" s="171">
        <f>ABS((B499+C499)-1)</f>
        <v/>
      </c>
      <c r="N499" s="170">
        <f>IF(F499&gt;0, (G499/29)/F499, 0)</f>
        <v/>
      </c>
      <c r="O499" s="168">
        <f>IF(AND((B499+C499)&gt;=1, ISNUMBER(SEARCH("Var", D499))), F499, 1000000000)</f>
        <v/>
      </c>
      <c r="P499" s="172">
        <f>IF(F499&gt;0, SQRT((F499/MAX(F$5:F$886))^2 + (1 - H499/MAX(H$5:H$886))^2 + (J499/MAX(J$5:J$886))^2), 1000000000)</f>
        <v/>
      </c>
      <c r="Q499" s="166">
        <f>IF(AND(ABS(B499-0.5)&lt;0.01, ABS(C499-0.5)&lt;0.01, ISNUMBER(SEARCH("Var", D499))), 1, 0)</f>
        <v/>
      </c>
      <c r="R499" s="171">
        <f>IF(F499&gt;0, J499, 1000000000)</f>
        <v/>
      </c>
      <c r="S499" s="101">
        <f>IF(AND(F499&lt;=DASHBOARD!$B$11, H499&gt;=DASHBOARD!$B$13), G499, -1000000000000)</f>
        <v/>
      </c>
      <c r="T499" s="101">
        <f>IF(AND(F499&lt;=DASHBOARD!$B$11, H499&gt;=DASHBOARD!$B$13), R499, 1000000000000)</f>
        <v/>
      </c>
      <c r="U499" s="101">
        <f>IF(AND(F499&lt;=DASHBOARD!$B$11, H499&gt;=DASHBOARD!$B$13), N499, -1000000000000)</f>
        <v/>
      </c>
      <c r="V499" s="101">
        <f>IF(AND(F499&lt;=DASHBOARD!$B$11, H499&gt;=DASHBOARD!$B$13), H499, -1000000000000)</f>
        <v/>
      </c>
      <c r="W499" s="101">
        <f>IF(AND(F499&lt;=DASHBOARD!$B$11, H499&gt;=DASHBOARD!$B$13), K499, -1000000000000)</f>
        <v/>
      </c>
      <c r="X499" s="101">
        <f>IF(AND(F499&lt;=DASHBOARD!$B$11, H499&gt;=DASHBOARD!$B$13), M499, 1000000000000)</f>
        <v/>
      </c>
      <c r="Y499" s="101">
        <f>IF(AND(F499&lt;=DASHBOARD!$B$10, H499&gt;=DASHBOARD!$B$11), L499, 1000000000000)</f>
        <v/>
      </c>
      <c r="Z499" s="101">
        <f>IF(AND(F499&lt;=DASHBOARD!$B$10, H499&gt;=DASHBOARD!$B$11), O499, 1000000000000)</f>
        <v/>
      </c>
      <c r="AA499" s="101">
        <f>IF(AND(F499&lt;=DASHBOARD!$B$10, H499&gt;=DASHBOARD!$B$11), P499, 1000000000000)</f>
        <v/>
      </c>
      <c r="AB499" s="101">
        <f>IF(AND(F499&lt;=DASHBOARD!$B$10, H499&gt;=DASHBOARD!$B$11), Q499, -1000000000000)</f>
        <v/>
      </c>
    </row>
    <row r="500" ht="15" customHeight="1" s="102">
      <c r="A500" s="166" t="n">
        <v>496</v>
      </c>
      <c r="B500" s="167" t="n">
        <v>1.1</v>
      </c>
      <c r="C500" s="167" t="n">
        <v>1.6</v>
      </c>
      <c r="D500" s="110" t="inlineStr">
        <is>
          <t>Var (%20)</t>
        </is>
      </c>
      <c r="E500" s="110">
        <f>IF((B500+C500)&lt;=1, "Tam Mahsuplaşma (≤%100)", "Kısmi Satış (&gt;%100)")</f>
        <v/>
      </c>
      <c r="F500" s="168">
        <f>((VERI_TABANI!$D$29*B500/VERI_TABANI!$B$29)/VERI_TABANI!$B$3)*VERI_TABANI!$B$5 + ((VERI_TABANI!$D$29*C500/VERI_TABANI!$B$29)/VERI_TABANI!$B$4)*VERI_TABANI!$B$6 + IF(ISNUMBER(SEARCH("Var", D500)), (VERI_TABANI!$F$29/VERI_TABANI!$B$29)*(VERI_TABANI!$B$10+VERI_TABANI!$B$12), 0)</f>
        <v/>
      </c>
      <c r="G500" s="168">
        <f>(((MIN(VERI_TABANI!D23, VERI_TABANI!D23*B500)*VERI_TABANI!$B$7 + MAX(0, VERI_TABANI!D23*B500-VERI_TABANI!D23)*VERI_TABANI!$B$8) + (MIN(MAX(0, VERI_TABANI!D23-VERI_TABANI!D23*B500), VERI_TABANI!D23*C500)*VERI_TABANI!$B$7 + MAX(0, VERI_TABANI!D23*C500-MAX(0, VERI_TABANI!D23-VERI_TABANI!D23*B500))*VERI_TABANI!$B$8) + IF(ABS(IF(ISNUMBER(SEARCH("Var", D500)), 1, IF(ISNUMBER(SEARCH("Gri", D500)), -1, 0)))=1, VERI_TABANI!E23*(1-0.928)*VERI_TABANI!$B$9, 0) + (VERI_TABANI!D23*B500*(VERI_TABANI!$B$13-VERI_TABANI!$B$14)*VERI_TABANI!G23) + (VERI_TABANI!D23*C500*(VERI_TABANI!$B$13-VERI_TABANI!$B$15)*VERI_TABANI!G23) + IF(ABS(IF(ISNUMBER(SEARCH("Var", D500)), 1, IF(ISNUMBER(SEARCH("Gri", D500)), -1, 0)))=1, VERI_TABANI!E23*(1-0.928)*0.00206091519919798*VERI_TABANI!G23, 0)) + ((MIN(VERI_TABANI!D24, VERI_TABANI!D24*B500)*VERI_TABANI!$B$7 + MAX(0, VERI_TABANI!D24*B500-VERI_TABANI!D24)*VERI_TABANI!$B$8) + (MIN(MAX(0, VERI_TABANI!D24-VERI_TABANI!D24*B500), VERI_TABANI!D24*C500)*VERI_TABANI!$B$7 + MAX(0, VERI_TABANI!D24*C500-MAX(0, VERI_TABANI!D24-VERI_TABANI!D24*B500))*VERI_TABANI!$B$8) + IF(ABS(IF(ISNUMBER(SEARCH("Var", D500)), 1, IF(ISNUMBER(SEARCH("Gri", D500)), -1, 0)))=1, VERI_TABANI!E24*(1-0.928)*VERI_TABANI!$B$9, 0) + (VERI_TABANI!D24*B500*(VERI_TABANI!$B$13-VERI_TABANI!$B$14)*VERI_TABANI!G24) + (VERI_TABANI!D24*C500*(VERI_TABANI!$B$13-VERI_TABANI!$B$15)*VERI_TABANI!G24) + IF(ABS(IF(ISNUMBER(SEARCH("Var", D500)), 1, IF(ISNUMBER(SEARCH("Gri", D500)), -1, 0)))=1, VERI_TABANI!E24*(1-0.928)*0.00206091519919798*VERI_TABANI!G24, 0)) + ((MIN(VERI_TABANI!D25, VERI_TABANI!D25*B500)*VERI_TABANI!$B$7 + MAX(0, VERI_TABANI!D25*B500-VERI_TABANI!D25)*VERI_TABANI!$B$8) + (MIN(MAX(0, VERI_TABANI!D25-VERI_TABANI!D25*B500), VERI_TABANI!D25*C500)*VERI_TABANI!$B$7 + MAX(0, VERI_TABANI!D25*C500-MAX(0, VERI_TABANI!D25-VERI_TABANI!D25*B500))*VERI_TABANI!$B$8) + IF(ABS(IF(ISNUMBER(SEARCH("Var", D500)), 1, IF(ISNUMBER(SEARCH("Gri", D500)), -1, 0)))=1, VERI_TABANI!E25*(1-0.928)*VERI_TABANI!$B$9, 0) + (VERI_TABANI!D25*B500*(VERI_TABANI!$B$13-VERI_TABANI!$B$14)*VERI_TABANI!G25) + (VERI_TABANI!D25*C500*(VERI_TABANI!$B$13-VERI_TABANI!$B$15)*VERI_TABANI!G25) + IF(ABS(IF(ISNUMBER(SEARCH("Var", D500)), 1, IF(ISNUMBER(SEARCH("Gri", D500)), -1, 0)))=1, VERI_TABANI!E25*(1-0.928)*0.00206091519919798*VERI_TABANI!G25, 0)) + ((MIN(VERI_TABANI!D26, VERI_TABANI!D26*B500)*VERI_TABANI!$B$7 + MAX(0, VERI_TABANI!D26*B500-VERI_TABANI!D26)*VERI_TABANI!$B$8) + (MIN(MAX(0, VERI_TABANI!D26-VERI_TABANI!D26*B500), VERI_TABANI!D26*C500)*VERI_TABANI!$B$7 + MAX(0, VERI_TABANI!D26*C500-MAX(0, VERI_TABANI!D26-VERI_TABANI!D26*B500))*VERI_TABANI!$B$8) + IF(ABS(IF(ISNUMBER(SEARCH("Var", D500)), 1, IF(ISNUMBER(SEARCH("Gri", D500)), -1, 0)))=1, VERI_TABANI!E26*(1-0.928)*VERI_TABANI!$B$9, 0) + (VERI_TABANI!D26*B500*(VERI_TABANI!$B$13-VERI_TABANI!$B$14)*VERI_TABANI!G26) + (VERI_TABANI!D26*C500*(VERI_TABANI!$B$13-VERI_TABANI!$B$15)*VERI_TABANI!G26) + IF(ABS(IF(ISNUMBER(SEARCH("Var", D500)), 1, IF(ISNUMBER(SEARCH("Gri", D500)), -1, 0)))=1, VERI_TABANI!E26*(1-0.928)*0.00206091519919798*VERI_TABANI!G26, 0)) + ((MIN(VERI_TABANI!D27, VERI_TABANI!D27*B500)*VERI_TABANI!$B$7 + MAX(0, VERI_TABANI!D27*B500-VERI_TABANI!D27)*VERI_TABANI!$B$8) + (MIN(MAX(0, VERI_TABANI!D27-VERI_TABANI!D27*B500), VERI_TABANI!D27*C500)*VERI_TABANI!$B$7 + MAX(0, VERI_TABANI!D27*C500-MAX(0, VERI_TABANI!D27-VERI_TABANI!D27*B500))*VERI_TABANI!$B$8) + IF(ABS(IF(ISNUMBER(SEARCH("Var", D500)), 1, IF(ISNUMBER(SEARCH("Gri", D500)), -1, 0)))=1, VERI_TABANI!E27*(1-0.928)*VERI_TABANI!$B$9, 0) + (VERI_TABANI!D27*B500*(VERI_TABANI!$B$13-VERI_TABANI!$B$14)*VERI_TABANI!G27) + (VERI_TABANI!D27*C500*(VERI_TABANI!$B$13-VERI_TABANI!$B$15)*VERI_TABANI!G27) + IF(ABS(IF(ISNUMBER(SEARCH("Var", D500)), 1, IF(ISNUMBER(SEARCH("Gri", D500)), -1, 0)))=1, VERI_TABANI!E27*(1-0.928)*0.00206091519919798*VERI_TABANI!G27, 0)) + ((MIN(VERI_TABANI!D28, VERI_TABANI!D28*B500)*VERI_TABANI!$B$7 + MAX(0, VERI_TABANI!D28*B500-VERI_TABANI!D28)*VERI_TABANI!$B$8) + (MIN(MAX(0, VERI_TABANI!D28-VERI_TABANI!D28*B500), VERI_TABANI!D28*C500)*VERI_TABANI!$B$7 + MAX(0, VERI_TABANI!D28*C500-MAX(0, VERI_TABANI!D28-VERI_TABANI!D28*B500))*VERI_TABANI!$B$8) + IF(ABS(IF(ISNUMBER(SEARCH("Var", D500)), 1, IF(ISNUMBER(SEARCH("Gri", D500)), -1, 0)))=1, VERI_TABANI!E28*(1-0.928)*VERI_TABANI!$B$9, 0) + (VERI_TABANI!D28*B500*(VERI_TABANI!$B$13-VERI_TABANI!$B$14)*VERI_TABANI!G28) + (VERI_TABANI!D28*C500*(VERI_TABANI!$B$13-VERI_TABANI!$B$15)*VERI_TABANI!G28) + IF(ABS(IF(ISNUMBER(SEARCH("Var", D500)), 1, IF(ISNUMBER(SEARCH("Gri", D500)), -1, 0)))=1, VERI_TABANI!E28*(1-0.928)*0.00206091519919798*VERI_TABANI!G28, 0)))</f>
        <v/>
      </c>
      <c r="H500" s="169">
        <f>(((VERI_TABANI!D23*B500*(VERI_TABANI!$B$13-VERI_TABANI!$B$14)) + (VERI_TABANI!D23*C500*(VERI_TABANI!$B$13-VERI_TABANI!$B$15)) + IF(ISNUMBER(SEARCH("Var", D500)), VERI_TABANI!F23*(0.00202-VERI_TABANI!$B$16), IF(ISNUMBER(SEARCH("Gri", D500)), VERI_TABANI!F23*(0.00202-VERI_TABANI!$B$17), 0))) + ((VERI_TABANI!D24*B500*(VERI_TABANI!$B$13-VERI_TABANI!$B$14)) + (VERI_TABANI!D24*C500*(VERI_TABANI!$B$13-VERI_TABANI!$B$15)) + IF(ISNUMBER(SEARCH("Var", D500)), VERI_TABANI!F24*(0.00202-VERI_TABANI!$B$16), IF(ISNUMBER(SEARCH("Gri", D500)), VERI_TABANI!F24*(0.00202-VERI_TABANI!$B$17), 0))) + ((VERI_TABANI!D25*B500*(VERI_TABANI!$B$13-VERI_TABANI!$B$14)) + (VERI_TABANI!D25*C500*(VERI_TABANI!$B$13-VERI_TABANI!$B$15)) + IF(ISNUMBER(SEARCH("Var", D500)), VERI_TABANI!F25*(0.00202-VERI_TABANI!$B$16), IF(ISNUMBER(SEARCH("Gri", D500)), VERI_TABANI!F25*(0.00202-VERI_TABANI!$B$17), 0))) + ((VERI_TABANI!D26*B500*(VERI_TABANI!$B$13-VERI_TABANI!$B$14)) + (VERI_TABANI!D26*C500*(VERI_TABANI!$B$13-VERI_TABANI!$B$15)) + IF(ISNUMBER(SEARCH("Var", D500)), VERI_TABANI!F26*(0.00202-VERI_TABANI!$B$16), IF(ISNUMBER(SEARCH("Gri", D500)), VERI_TABANI!F26*(0.00202-VERI_TABANI!$B$17), 0))) + ((VERI_TABANI!D27*B500*(VERI_TABANI!$B$13-VERI_TABANI!$B$14)) + (VERI_TABANI!D27*C500*(VERI_TABANI!$B$13-VERI_TABANI!$B$15)) + IF(ISNUMBER(SEARCH("Var", D500)), VERI_TABANI!F27*(0.00202-VERI_TABANI!$B$16), IF(ISNUMBER(SEARCH("Gri", D500)), VERI_TABANI!F27*(0.00202-VERI_TABANI!$B$17), 0))) + ((VERI_TABANI!D28*B500*(VERI_TABANI!$B$13-VERI_TABANI!$B$14)) + (VERI_TABANI!D28*C500*(VERI_TABANI!$B$13-VERI_TABANI!$B$15)) + IF(ISNUMBER(SEARCH("Var", D500)), VERI_TABANI!F28*(0.00202-VERI_TABANI!$B$16), IF(ISNUMBER(SEARCH("Gri", D500)), VERI_TABANI!F28*(0.00202-VERI_TABANI!$B$17), 0))))</f>
        <v/>
      </c>
      <c r="I500" s="170">
        <f>IFERROR(((VERI_TABANI!$D$29*B500*VERI_TABANI!$B$14 + VERI_TABANI!$D$29*C500*VERI_TABANI!$B$15 + IF(ISNUMBER(SEARCH("Var", D500)), VERI_TABANI!$F$29*VERI_TABANI!$B$16, 0))) / (((VERI_TABANI!$D$29*B500 + VERI_TABANI!$D$29*C500)*VERI_TABANI!$B$13 + IF(ISNUMBER(SEARCH("Var", D500)), VERI_TABANI!$E$29*(1-0.928)*VERI_TABANI!$B$18, 0))), 0)</f>
        <v/>
      </c>
      <c r="J500" s="171">
        <f>IFERROR(F500/(G500/29), 0)</f>
        <v/>
      </c>
      <c r="K500" s="172">
        <f>IF(F500&gt;0, H500/F500, 0)</f>
        <v/>
      </c>
      <c r="L500" s="170">
        <f>IF(F500&gt;0, I500, 1000000000)</f>
        <v/>
      </c>
      <c r="M500" s="171">
        <f>ABS((B500+C500)-1)</f>
        <v/>
      </c>
      <c r="N500" s="170">
        <f>IF(F500&gt;0, (G500/29)/F500, 0)</f>
        <v/>
      </c>
      <c r="O500" s="168">
        <f>IF(AND((B500+C500)&gt;=1, ISNUMBER(SEARCH("Var", D500))), F500, 1000000000)</f>
        <v/>
      </c>
      <c r="P500" s="172">
        <f>IF(F500&gt;0, SQRT((F500/MAX(F$5:F$886))^2 + (1 - H500/MAX(H$5:H$886))^2 + (J500/MAX(J$5:J$886))^2), 1000000000)</f>
        <v/>
      </c>
      <c r="Q500" s="166">
        <f>IF(AND(ABS(B500-0.5)&lt;0.01, ABS(C500-0.5)&lt;0.01, ISNUMBER(SEARCH("Var", D500))), 1, 0)</f>
        <v/>
      </c>
      <c r="R500" s="171">
        <f>IF(F500&gt;0, J500, 1000000000)</f>
        <v/>
      </c>
      <c r="S500" s="101">
        <f>IF(AND(F500&lt;=DASHBOARD!$B$11, H500&gt;=DASHBOARD!$B$13), G500, -1000000000000)</f>
        <v/>
      </c>
      <c r="T500" s="101">
        <f>IF(AND(F500&lt;=DASHBOARD!$B$11, H500&gt;=DASHBOARD!$B$13), R500, 1000000000000)</f>
        <v/>
      </c>
      <c r="U500" s="101">
        <f>IF(AND(F500&lt;=DASHBOARD!$B$11, H500&gt;=DASHBOARD!$B$13), N500, -1000000000000)</f>
        <v/>
      </c>
      <c r="V500" s="101">
        <f>IF(AND(F500&lt;=DASHBOARD!$B$11, H500&gt;=DASHBOARD!$B$13), H500, -1000000000000)</f>
        <v/>
      </c>
      <c r="W500" s="101">
        <f>IF(AND(F500&lt;=DASHBOARD!$B$11, H500&gt;=DASHBOARD!$B$13), K500, -1000000000000)</f>
        <v/>
      </c>
      <c r="X500" s="101">
        <f>IF(AND(F500&lt;=DASHBOARD!$B$11, H500&gt;=DASHBOARD!$B$13), M500, 1000000000000)</f>
        <v/>
      </c>
      <c r="Y500" s="101">
        <f>IF(AND(F500&lt;=DASHBOARD!$B$10, H500&gt;=DASHBOARD!$B$11), L500, 1000000000000)</f>
        <v/>
      </c>
      <c r="Z500" s="101">
        <f>IF(AND(F500&lt;=DASHBOARD!$B$10, H500&gt;=DASHBOARD!$B$11), O500, 1000000000000)</f>
        <v/>
      </c>
      <c r="AA500" s="101">
        <f>IF(AND(F500&lt;=DASHBOARD!$B$10, H500&gt;=DASHBOARD!$B$11), P500, 1000000000000)</f>
        <v/>
      </c>
      <c r="AB500" s="101">
        <f>IF(AND(F500&lt;=DASHBOARD!$B$10, H500&gt;=DASHBOARD!$B$11), Q500, -1000000000000)</f>
        <v/>
      </c>
    </row>
    <row r="501" ht="15" customHeight="1" s="102">
      <c r="A501" s="166" t="n">
        <v>497</v>
      </c>
      <c r="B501" s="167" t="n">
        <v>1.1</v>
      </c>
      <c r="C501" s="167" t="n">
        <v>1.7</v>
      </c>
      <c r="D501" s="110" t="inlineStr">
        <is>
          <t>Yok (%0)</t>
        </is>
      </c>
      <c r="E501" s="110">
        <f>IF((B501+C501)&lt;=1, "Tam Mahsuplaşma (≤%100)", "Kısmi Satış (&gt;%100)")</f>
        <v/>
      </c>
      <c r="F501" s="168">
        <f>((VERI_TABANI!$D$29*B501/VERI_TABANI!$B$29)/VERI_TABANI!$B$3)*VERI_TABANI!$B$5 + ((VERI_TABANI!$D$29*C501/VERI_TABANI!$B$29)/VERI_TABANI!$B$4)*VERI_TABANI!$B$6 + IF(ISNUMBER(SEARCH("Var", D501)), (VERI_TABANI!$F$29/VERI_TABANI!$B$29)*(VERI_TABANI!$B$10+VERI_TABANI!$B$12), 0)</f>
        <v/>
      </c>
      <c r="G501" s="168">
        <f>(((MIN(VERI_TABANI!D23, VERI_TABANI!D23*B501)*VERI_TABANI!$B$7 + MAX(0, VERI_TABANI!D23*B501-VERI_TABANI!D23)*VERI_TABANI!$B$8) + (MIN(MAX(0, VERI_TABANI!D23-VERI_TABANI!D23*B501), VERI_TABANI!D23*C501)*VERI_TABANI!$B$7 + MAX(0, VERI_TABANI!D23*C501-MAX(0, VERI_TABANI!D23-VERI_TABANI!D23*B501))*VERI_TABANI!$B$8) + IF(ABS(IF(ISNUMBER(SEARCH("Var", D501)), 1, IF(ISNUMBER(SEARCH("Gri", D501)), -1, 0)))=1, VERI_TABANI!E23*(1-0.928)*VERI_TABANI!$B$9, 0) + (VERI_TABANI!D23*B501*(VERI_TABANI!$B$13-VERI_TABANI!$B$14)*VERI_TABANI!G23) + (VERI_TABANI!D23*C501*(VERI_TABANI!$B$13-VERI_TABANI!$B$15)*VERI_TABANI!G23) + IF(ABS(IF(ISNUMBER(SEARCH("Var", D501)), 1, IF(ISNUMBER(SEARCH("Gri", D501)), -1, 0)))=1, VERI_TABANI!E23*(1-0.928)*0.00206091519919798*VERI_TABANI!G23, 0)) + ((MIN(VERI_TABANI!D24, VERI_TABANI!D24*B501)*VERI_TABANI!$B$7 + MAX(0, VERI_TABANI!D24*B501-VERI_TABANI!D24)*VERI_TABANI!$B$8) + (MIN(MAX(0, VERI_TABANI!D24-VERI_TABANI!D24*B501), VERI_TABANI!D24*C501)*VERI_TABANI!$B$7 + MAX(0, VERI_TABANI!D24*C501-MAX(0, VERI_TABANI!D24-VERI_TABANI!D24*B501))*VERI_TABANI!$B$8) + IF(ABS(IF(ISNUMBER(SEARCH("Var", D501)), 1, IF(ISNUMBER(SEARCH("Gri", D501)), -1, 0)))=1, VERI_TABANI!E24*(1-0.928)*VERI_TABANI!$B$9, 0) + (VERI_TABANI!D24*B501*(VERI_TABANI!$B$13-VERI_TABANI!$B$14)*VERI_TABANI!G24) + (VERI_TABANI!D24*C501*(VERI_TABANI!$B$13-VERI_TABANI!$B$15)*VERI_TABANI!G24) + IF(ABS(IF(ISNUMBER(SEARCH("Var", D501)), 1, IF(ISNUMBER(SEARCH("Gri", D501)), -1, 0)))=1, VERI_TABANI!E24*(1-0.928)*0.00206091519919798*VERI_TABANI!G24, 0)) + ((MIN(VERI_TABANI!D25, VERI_TABANI!D25*B501)*VERI_TABANI!$B$7 + MAX(0, VERI_TABANI!D25*B501-VERI_TABANI!D25)*VERI_TABANI!$B$8) + (MIN(MAX(0, VERI_TABANI!D25-VERI_TABANI!D25*B501), VERI_TABANI!D25*C501)*VERI_TABANI!$B$7 + MAX(0, VERI_TABANI!D25*C501-MAX(0, VERI_TABANI!D25-VERI_TABANI!D25*B501))*VERI_TABANI!$B$8) + IF(ABS(IF(ISNUMBER(SEARCH("Var", D501)), 1, IF(ISNUMBER(SEARCH("Gri", D501)), -1, 0)))=1, VERI_TABANI!E25*(1-0.928)*VERI_TABANI!$B$9, 0) + (VERI_TABANI!D25*B501*(VERI_TABANI!$B$13-VERI_TABANI!$B$14)*VERI_TABANI!G25) + (VERI_TABANI!D25*C501*(VERI_TABANI!$B$13-VERI_TABANI!$B$15)*VERI_TABANI!G25) + IF(ABS(IF(ISNUMBER(SEARCH("Var", D501)), 1, IF(ISNUMBER(SEARCH("Gri", D501)), -1, 0)))=1, VERI_TABANI!E25*(1-0.928)*0.00206091519919798*VERI_TABANI!G25, 0)) + ((MIN(VERI_TABANI!D26, VERI_TABANI!D26*B501)*VERI_TABANI!$B$7 + MAX(0, VERI_TABANI!D26*B501-VERI_TABANI!D26)*VERI_TABANI!$B$8) + (MIN(MAX(0, VERI_TABANI!D26-VERI_TABANI!D26*B501), VERI_TABANI!D26*C501)*VERI_TABANI!$B$7 + MAX(0, VERI_TABANI!D26*C501-MAX(0, VERI_TABANI!D26-VERI_TABANI!D26*B501))*VERI_TABANI!$B$8) + IF(ABS(IF(ISNUMBER(SEARCH("Var", D501)), 1, IF(ISNUMBER(SEARCH("Gri", D501)), -1, 0)))=1, VERI_TABANI!E26*(1-0.928)*VERI_TABANI!$B$9, 0) + (VERI_TABANI!D26*B501*(VERI_TABANI!$B$13-VERI_TABANI!$B$14)*VERI_TABANI!G26) + (VERI_TABANI!D26*C501*(VERI_TABANI!$B$13-VERI_TABANI!$B$15)*VERI_TABANI!G26) + IF(ABS(IF(ISNUMBER(SEARCH("Var", D501)), 1, IF(ISNUMBER(SEARCH("Gri", D501)), -1, 0)))=1, VERI_TABANI!E26*(1-0.928)*0.00206091519919798*VERI_TABANI!G26, 0)) + ((MIN(VERI_TABANI!D27, VERI_TABANI!D27*B501)*VERI_TABANI!$B$7 + MAX(0, VERI_TABANI!D27*B501-VERI_TABANI!D27)*VERI_TABANI!$B$8) + (MIN(MAX(0, VERI_TABANI!D27-VERI_TABANI!D27*B501), VERI_TABANI!D27*C501)*VERI_TABANI!$B$7 + MAX(0, VERI_TABANI!D27*C501-MAX(0, VERI_TABANI!D27-VERI_TABANI!D27*B501))*VERI_TABANI!$B$8) + IF(ABS(IF(ISNUMBER(SEARCH("Var", D501)), 1, IF(ISNUMBER(SEARCH("Gri", D501)), -1, 0)))=1, VERI_TABANI!E27*(1-0.928)*VERI_TABANI!$B$9, 0) + (VERI_TABANI!D27*B501*(VERI_TABANI!$B$13-VERI_TABANI!$B$14)*VERI_TABANI!G27) + (VERI_TABANI!D27*C501*(VERI_TABANI!$B$13-VERI_TABANI!$B$15)*VERI_TABANI!G27) + IF(ABS(IF(ISNUMBER(SEARCH("Var", D501)), 1, IF(ISNUMBER(SEARCH("Gri", D501)), -1, 0)))=1, VERI_TABANI!E27*(1-0.928)*0.00206091519919798*VERI_TABANI!G27, 0)) + ((MIN(VERI_TABANI!D28, VERI_TABANI!D28*B501)*VERI_TABANI!$B$7 + MAX(0, VERI_TABANI!D28*B501-VERI_TABANI!D28)*VERI_TABANI!$B$8) + (MIN(MAX(0, VERI_TABANI!D28-VERI_TABANI!D28*B501), VERI_TABANI!D28*C501)*VERI_TABANI!$B$7 + MAX(0, VERI_TABANI!D28*C501-MAX(0, VERI_TABANI!D28-VERI_TABANI!D28*B501))*VERI_TABANI!$B$8) + IF(ABS(IF(ISNUMBER(SEARCH("Var", D501)), 1, IF(ISNUMBER(SEARCH("Gri", D501)), -1, 0)))=1, VERI_TABANI!E28*(1-0.928)*VERI_TABANI!$B$9, 0) + (VERI_TABANI!D28*B501*(VERI_TABANI!$B$13-VERI_TABANI!$B$14)*VERI_TABANI!G28) + (VERI_TABANI!D28*C501*(VERI_TABANI!$B$13-VERI_TABANI!$B$15)*VERI_TABANI!G28) + IF(ABS(IF(ISNUMBER(SEARCH("Var", D501)), 1, IF(ISNUMBER(SEARCH("Gri", D501)), -1, 0)))=1, VERI_TABANI!E28*(1-0.928)*0.00206091519919798*VERI_TABANI!G28, 0)))</f>
        <v/>
      </c>
      <c r="H501" s="169">
        <f>(((VERI_TABANI!D23*B501*(VERI_TABANI!$B$13-VERI_TABANI!$B$14)) + (VERI_TABANI!D23*C501*(VERI_TABANI!$B$13-VERI_TABANI!$B$15)) + IF(ISNUMBER(SEARCH("Var", D501)), VERI_TABANI!F23*(0.00202-VERI_TABANI!$B$16), IF(ISNUMBER(SEARCH("Gri", D501)), VERI_TABANI!F23*(0.00202-VERI_TABANI!$B$17), 0))) + ((VERI_TABANI!D24*B501*(VERI_TABANI!$B$13-VERI_TABANI!$B$14)) + (VERI_TABANI!D24*C501*(VERI_TABANI!$B$13-VERI_TABANI!$B$15)) + IF(ISNUMBER(SEARCH("Var", D501)), VERI_TABANI!F24*(0.00202-VERI_TABANI!$B$16), IF(ISNUMBER(SEARCH("Gri", D501)), VERI_TABANI!F24*(0.00202-VERI_TABANI!$B$17), 0))) + ((VERI_TABANI!D25*B501*(VERI_TABANI!$B$13-VERI_TABANI!$B$14)) + (VERI_TABANI!D25*C501*(VERI_TABANI!$B$13-VERI_TABANI!$B$15)) + IF(ISNUMBER(SEARCH("Var", D501)), VERI_TABANI!F25*(0.00202-VERI_TABANI!$B$16), IF(ISNUMBER(SEARCH("Gri", D501)), VERI_TABANI!F25*(0.00202-VERI_TABANI!$B$17), 0))) + ((VERI_TABANI!D26*B501*(VERI_TABANI!$B$13-VERI_TABANI!$B$14)) + (VERI_TABANI!D26*C501*(VERI_TABANI!$B$13-VERI_TABANI!$B$15)) + IF(ISNUMBER(SEARCH("Var", D501)), VERI_TABANI!F26*(0.00202-VERI_TABANI!$B$16), IF(ISNUMBER(SEARCH("Gri", D501)), VERI_TABANI!F26*(0.00202-VERI_TABANI!$B$17), 0))) + ((VERI_TABANI!D27*B501*(VERI_TABANI!$B$13-VERI_TABANI!$B$14)) + (VERI_TABANI!D27*C501*(VERI_TABANI!$B$13-VERI_TABANI!$B$15)) + IF(ISNUMBER(SEARCH("Var", D501)), VERI_TABANI!F27*(0.00202-VERI_TABANI!$B$16), IF(ISNUMBER(SEARCH("Gri", D501)), VERI_TABANI!F27*(0.00202-VERI_TABANI!$B$17), 0))) + ((VERI_TABANI!D28*B501*(VERI_TABANI!$B$13-VERI_TABANI!$B$14)) + (VERI_TABANI!D28*C501*(VERI_TABANI!$B$13-VERI_TABANI!$B$15)) + IF(ISNUMBER(SEARCH("Var", D501)), VERI_TABANI!F28*(0.00202-VERI_TABANI!$B$16), IF(ISNUMBER(SEARCH("Gri", D501)), VERI_TABANI!F28*(0.00202-VERI_TABANI!$B$17), 0))))</f>
        <v/>
      </c>
      <c r="I501" s="170">
        <f>IFERROR(((VERI_TABANI!$D$29*B501*VERI_TABANI!$B$14 + VERI_TABANI!$D$29*C501*VERI_TABANI!$B$15 + IF(ISNUMBER(SEARCH("Var", D501)), VERI_TABANI!$F$29*VERI_TABANI!$B$16, 0))) / (((VERI_TABANI!$D$29*B501 + VERI_TABANI!$D$29*C501)*VERI_TABANI!$B$13 + IF(ISNUMBER(SEARCH("Var", D501)), VERI_TABANI!$E$29*(1-0.928)*VERI_TABANI!$B$18, 0))), 0)</f>
        <v/>
      </c>
      <c r="J501" s="171">
        <f>IFERROR(F501/(G501/29), 0)</f>
        <v/>
      </c>
      <c r="K501" s="172">
        <f>IF(F501&gt;0, H501/F501, 0)</f>
        <v/>
      </c>
      <c r="L501" s="170">
        <f>IF(F501&gt;0, I501, 1000000000)</f>
        <v/>
      </c>
      <c r="M501" s="171">
        <f>ABS((B501+C501)-1)</f>
        <v/>
      </c>
      <c r="N501" s="170">
        <f>IF(F501&gt;0, (G501/29)/F501, 0)</f>
        <v/>
      </c>
      <c r="O501" s="168">
        <f>IF(AND((B501+C501)&gt;=1, ISNUMBER(SEARCH("Var", D501))), F501, 1000000000)</f>
        <v/>
      </c>
      <c r="P501" s="172">
        <f>IF(F501&gt;0, SQRT((F501/MAX(F$5:F$886))^2 + (1 - H501/MAX(H$5:H$886))^2 + (J501/MAX(J$5:J$886))^2), 1000000000)</f>
        <v/>
      </c>
      <c r="Q501" s="166">
        <f>IF(AND(ABS(B501-0.5)&lt;0.01, ABS(C501-0.5)&lt;0.01, ISNUMBER(SEARCH("Var", D501))), 1, 0)</f>
        <v/>
      </c>
      <c r="R501" s="171">
        <f>IF(F501&gt;0, J501, 1000000000)</f>
        <v/>
      </c>
      <c r="S501" s="101">
        <f>IF(AND(F501&lt;=DASHBOARD!$B$11, H501&gt;=DASHBOARD!$B$13), G501, -1000000000000)</f>
        <v/>
      </c>
      <c r="T501" s="101">
        <f>IF(AND(F501&lt;=DASHBOARD!$B$11, H501&gt;=DASHBOARD!$B$13), R501, 1000000000000)</f>
        <v/>
      </c>
      <c r="U501" s="101">
        <f>IF(AND(F501&lt;=DASHBOARD!$B$11, H501&gt;=DASHBOARD!$B$13), N501, -1000000000000)</f>
        <v/>
      </c>
      <c r="V501" s="101">
        <f>IF(AND(F501&lt;=DASHBOARD!$B$11, H501&gt;=DASHBOARD!$B$13), H501, -1000000000000)</f>
        <v/>
      </c>
      <c r="W501" s="101">
        <f>IF(AND(F501&lt;=DASHBOARD!$B$11, H501&gt;=DASHBOARD!$B$13), K501, -1000000000000)</f>
        <v/>
      </c>
      <c r="X501" s="101">
        <f>IF(AND(F501&lt;=DASHBOARD!$B$11, H501&gt;=DASHBOARD!$B$13), M501, 1000000000000)</f>
        <v/>
      </c>
      <c r="Y501" s="101">
        <f>IF(AND(F501&lt;=DASHBOARD!$B$10, H501&gt;=DASHBOARD!$B$11), L501, 1000000000000)</f>
        <v/>
      </c>
      <c r="Z501" s="101">
        <f>IF(AND(F501&lt;=DASHBOARD!$B$10, H501&gt;=DASHBOARD!$B$11), O501, 1000000000000)</f>
        <v/>
      </c>
      <c r="AA501" s="101">
        <f>IF(AND(F501&lt;=DASHBOARD!$B$10, H501&gt;=DASHBOARD!$B$11), P501, 1000000000000)</f>
        <v/>
      </c>
      <c r="AB501" s="101">
        <f>IF(AND(F501&lt;=DASHBOARD!$B$10, H501&gt;=DASHBOARD!$B$11), Q501, -1000000000000)</f>
        <v/>
      </c>
    </row>
    <row r="502" ht="15" customHeight="1" s="102">
      <c r="A502" s="166" t="n">
        <v>498</v>
      </c>
      <c r="B502" s="167" t="n">
        <v>1.1</v>
      </c>
      <c r="C502" s="167" t="n">
        <v>1.7</v>
      </c>
      <c r="D502" s="110" t="inlineStr">
        <is>
          <t>Var (%20)</t>
        </is>
      </c>
      <c r="E502" s="110">
        <f>IF((B502+C502)&lt;=1, "Tam Mahsuplaşma (≤%100)", "Kısmi Satış (&gt;%100)")</f>
        <v/>
      </c>
      <c r="F502" s="168">
        <f>((VERI_TABANI!$D$29*B502/VERI_TABANI!$B$29)/VERI_TABANI!$B$3)*VERI_TABANI!$B$5 + ((VERI_TABANI!$D$29*C502/VERI_TABANI!$B$29)/VERI_TABANI!$B$4)*VERI_TABANI!$B$6 + IF(ISNUMBER(SEARCH("Var", D502)), (VERI_TABANI!$F$29/VERI_TABANI!$B$29)*(VERI_TABANI!$B$10+VERI_TABANI!$B$12), 0)</f>
        <v/>
      </c>
      <c r="G502" s="168">
        <f>(((MIN(VERI_TABANI!D23, VERI_TABANI!D23*B502)*VERI_TABANI!$B$7 + MAX(0, VERI_TABANI!D23*B502-VERI_TABANI!D23)*VERI_TABANI!$B$8) + (MIN(MAX(0, VERI_TABANI!D23-VERI_TABANI!D23*B502), VERI_TABANI!D23*C502)*VERI_TABANI!$B$7 + MAX(0, VERI_TABANI!D23*C502-MAX(0, VERI_TABANI!D23-VERI_TABANI!D23*B502))*VERI_TABANI!$B$8) + IF(ABS(IF(ISNUMBER(SEARCH("Var", D502)), 1, IF(ISNUMBER(SEARCH("Gri", D502)), -1, 0)))=1, VERI_TABANI!E23*(1-0.928)*VERI_TABANI!$B$9, 0) + (VERI_TABANI!D23*B502*(VERI_TABANI!$B$13-VERI_TABANI!$B$14)*VERI_TABANI!G23) + (VERI_TABANI!D23*C502*(VERI_TABANI!$B$13-VERI_TABANI!$B$15)*VERI_TABANI!G23) + IF(ABS(IF(ISNUMBER(SEARCH("Var", D502)), 1, IF(ISNUMBER(SEARCH("Gri", D502)), -1, 0)))=1, VERI_TABANI!E23*(1-0.928)*0.00206091519919798*VERI_TABANI!G23, 0)) + ((MIN(VERI_TABANI!D24, VERI_TABANI!D24*B502)*VERI_TABANI!$B$7 + MAX(0, VERI_TABANI!D24*B502-VERI_TABANI!D24)*VERI_TABANI!$B$8) + (MIN(MAX(0, VERI_TABANI!D24-VERI_TABANI!D24*B502), VERI_TABANI!D24*C502)*VERI_TABANI!$B$7 + MAX(0, VERI_TABANI!D24*C502-MAX(0, VERI_TABANI!D24-VERI_TABANI!D24*B502))*VERI_TABANI!$B$8) + IF(ABS(IF(ISNUMBER(SEARCH("Var", D502)), 1, IF(ISNUMBER(SEARCH("Gri", D502)), -1, 0)))=1, VERI_TABANI!E24*(1-0.928)*VERI_TABANI!$B$9, 0) + (VERI_TABANI!D24*B502*(VERI_TABANI!$B$13-VERI_TABANI!$B$14)*VERI_TABANI!G24) + (VERI_TABANI!D24*C502*(VERI_TABANI!$B$13-VERI_TABANI!$B$15)*VERI_TABANI!G24) + IF(ABS(IF(ISNUMBER(SEARCH("Var", D502)), 1, IF(ISNUMBER(SEARCH("Gri", D502)), -1, 0)))=1, VERI_TABANI!E24*(1-0.928)*0.00206091519919798*VERI_TABANI!G24, 0)) + ((MIN(VERI_TABANI!D25, VERI_TABANI!D25*B502)*VERI_TABANI!$B$7 + MAX(0, VERI_TABANI!D25*B502-VERI_TABANI!D25)*VERI_TABANI!$B$8) + (MIN(MAX(0, VERI_TABANI!D25-VERI_TABANI!D25*B502), VERI_TABANI!D25*C502)*VERI_TABANI!$B$7 + MAX(0, VERI_TABANI!D25*C502-MAX(0, VERI_TABANI!D25-VERI_TABANI!D25*B502))*VERI_TABANI!$B$8) + IF(ABS(IF(ISNUMBER(SEARCH("Var", D502)), 1, IF(ISNUMBER(SEARCH("Gri", D502)), -1, 0)))=1, VERI_TABANI!E25*(1-0.928)*VERI_TABANI!$B$9, 0) + (VERI_TABANI!D25*B502*(VERI_TABANI!$B$13-VERI_TABANI!$B$14)*VERI_TABANI!G25) + (VERI_TABANI!D25*C502*(VERI_TABANI!$B$13-VERI_TABANI!$B$15)*VERI_TABANI!G25) + IF(ABS(IF(ISNUMBER(SEARCH("Var", D502)), 1, IF(ISNUMBER(SEARCH("Gri", D502)), -1, 0)))=1, VERI_TABANI!E25*(1-0.928)*0.00206091519919798*VERI_TABANI!G25, 0)) + ((MIN(VERI_TABANI!D26, VERI_TABANI!D26*B502)*VERI_TABANI!$B$7 + MAX(0, VERI_TABANI!D26*B502-VERI_TABANI!D26)*VERI_TABANI!$B$8) + (MIN(MAX(0, VERI_TABANI!D26-VERI_TABANI!D26*B502), VERI_TABANI!D26*C502)*VERI_TABANI!$B$7 + MAX(0, VERI_TABANI!D26*C502-MAX(0, VERI_TABANI!D26-VERI_TABANI!D26*B502))*VERI_TABANI!$B$8) + IF(ABS(IF(ISNUMBER(SEARCH("Var", D502)), 1, IF(ISNUMBER(SEARCH("Gri", D502)), -1, 0)))=1, VERI_TABANI!E26*(1-0.928)*VERI_TABANI!$B$9, 0) + (VERI_TABANI!D26*B502*(VERI_TABANI!$B$13-VERI_TABANI!$B$14)*VERI_TABANI!G26) + (VERI_TABANI!D26*C502*(VERI_TABANI!$B$13-VERI_TABANI!$B$15)*VERI_TABANI!G26) + IF(ABS(IF(ISNUMBER(SEARCH("Var", D502)), 1, IF(ISNUMBER(SEARCH("Gri", D502)), -1, 0)))=1, VERI_TABANI!E26*(1-0.928)*0.00206091519919798*VERI_TABANI!G26, 0)) + ((MIN(VERI_TABANI!D27, VERI_TABANI!D27*B502)*VERI_TABANI!$B$7 + MAX(0, VERI_TABANI!D27*B502-VERI_TABANI!D27)*VERI_TABANI!$B$8) + (MIN(MAX(0, VERI_TABANI!D27-VERI_TABANI!D27*B502), VERI_TABANI!D27*C502)*VERI_TABANI!$B$7 + MAX(0, VERI_TABANI!D27*C502-MAX(0, VERI_TABANI!D27-VERI_TABANI!D27*B502))*VERI_TABANI!$B$8) + IF(ABS(IF(ISNUMBER(SEARCH("Var", D502)), 1, IF(ISNUMBER(SEARCH("Gri", D502)), -1, 0)))=1, VERI_TABANI!E27*(1-0.928)*VERI_TABANI!$B$9, 0) + (VERI_TABANI!D27*B502*(VERI_TABANI!$B$13-VERI_TABANI!$B$14)*VERI_TABANI!G27) + (VERI_TABANI!D27*C502*(VERI_TABANI!$B$13-VERI_TABANI!$B$15)*VERI_TABANI!G27) + IF(ABS(IF(ISNUMBER(SEARCH("Var", D502)), 1, IF(ISNUMBER(SEARCH("Gri", D502)), -1, 0)))=1, VERI_TABANI!E27*(1-0.928)*0.00206091519919798*VERI_TABANI!G27, 0)) + ((MIN(VERI_TABANI!D28, VERI_TABANI!D28*B502)*VERI_TABANI!$B$7 + MAX(0, VERI_TABANI!D28*B502-VERI_TABANI!D28)*VERI_TABANI!$B$8) + (MIN(MAX(0, VERI_TABANI!D28-VERI_TABANI!D28*B502), VERI_TABANI!D28*C502)*VERI_TABANI!$B$7 + MAX(0, VERI_TABANI!D28*C502-MAX(0, VERI_TABANI!D28-VERI_TABANI!D28*B502))*VERI_TABANI!$B$8) + IF(ABS(IF(ISNUMBER(SEARCH("Var", D502)), 1, IF(ISNUMBER(SEARCH("Gri", D502)), -1, 0)))=1, VERI_TABANI!E28*(1-0.928)*VERI_TABANI!$B$9, 0) + (VERI_TABANI!D28*B502*(VERI_TABANI!$B$13-VERI_TABANI!$B$14)*VERI_TABANI!G28) + (VERI_TABANI!D28*C502*(VERI_TABANI!$B$13-VERI_TABANI!$B$15)*VERI_TABANI!G28) + IF(ABS(IF(ISNUMBER(SEARCH("Var", D502)), 1, IF(ISNUMBER(SEARCH("Gri", D502)), -1, 0)))=1, VERI_TABANI!E28*(1-0.928)*0.00206091519919798*VERI_TABANI!G28, 0)))</f>
        <v/>
      </c>
      <c r="H502" s="169">
        <f>(((VERI_TABANI!D23*B502*(VERI_TABANI!$B$13-VERI_TABANI!$B$14)) + (VERI_TABANI!D23*C502*(VERI_TABANI!$B$13-VERI_TABANI!$B$15)) + IF(ISNUMBER(SEARCH("Var", D502)), VERI_TABANI!F23*(0.00202-VERI_TABANI!$B$16), IF(ISNUMBER(SEARCH("Gri", D502)), VERI_TABANI!F23*(0.00202-VERI_TABANI!$B$17), 0))) + ((VERI_TABANI!D24*B502*(VERI_TABANI!$B$13-VERI_TABANI!$B$14)) + (VERI_TABANI!D24*C502*(VERI_TABANI!$B$13-VERI_TABANI!$B$15)) + IF(ISNUMBER(SEARCH("Var", D502)), VERI_TABANI!F24*(0.00202-VERI_TABANI!$B$16), IF(ISNUMBER(SEARCH("Gri", D502)), VERI_TABANI!F24*(0.00202-VERI_TABANI!$B$17), 0))) + ((VERI_TABANI!D25*B502*(VERI_TABANI!$B$13-VERI_TABANI!$B$14)) + (VERI_TABANI!D25*C502*(VERI_TABANI!$B$13-VERI_TABANI!$B$15)) + IF(ISNUMBER(SEARCH("Var", D502)), VERI_TABANI!F25*(0.00202-VERI_TABANI!$B$16), IF(ISNUMBER(SEARCH("Gri", D502)), VERI_TABANI!F25*(0.00202-VERI_TABANI!$B$17), 0))) + ((VERI_TABANI!D26*B502*(VERI_TABANI!$B$13-VERI_TABANI!$B$14)) + (VERI_TABANI!D26*C502*(VERI_TABANI!$B$13-VERI_TABANI!$B$15)) + IF(ISNUMBER(SEARCH("Var", D502)), VERI_TABANI!F26*(0.00202-VERI_TABANI!$B$16), IF(ISNUMBER(SEARCH("Gri", D502)), VERI_TABANI!F26*(0.00202-VERI_TABANI!$B$17), 0))) + ((VERI_TABANI!D27*B502*(VERI_TABANI!$B$13-VERI_TABANI!$B$14)) + (VERI_TABANI!D27*C502*(VERI_TABANI!$B$13-VERI_TABANI!$B$15)) + IF(ISNUMBER(SEARCH("Var", D502)), VERI_TABANI!F27*(0.00202-VERI_TABANI!$B$16), IF(ISNUMBER(SEARCH("Gri", D502)), VERI_TABANI!F27*(0.00202-VERI_TABANI!$B$17), 0))) + ((VERI_TABANI!D28*B502*(VERI_TABANI!$B$13-VERI_TABANI!$B$14)) + (VERI_TABANI!D28*C502*(VERI_TABANI!$B$13-VERI_TABANI!$B$15)) + IF(ISNUMBER(SEARCH("Var", D502)), VERI_TABANI!F28*(0.00202-VERI_TABANI!$B$16), IF(ISNUMBER(SEARCH("Gri", D502)), VERI_TABANI!F28*(0.00202-VERI_TABANI!$B$17), 0))))</f>
        <v/>
      </c>
      <c r="I502" s="170">
        <f>IFERROR(((VERI_TABANI!$D$29*B502*VERI_TABANI!$B$14 + VERI_TABANI!$D$29*C502*VERI_TABANI!$B$15 + IF(ISNUMBER(SEARCH("Var", D502)), VERI_TABANI!$F$29*VERI_TABANI!$B$16, 0))) / (((VERI_TABANI!$D$29*B502 + VERI_TABANI!$D$29*C502)*VERI_TABANI!$B$13 + IF(ISNUMBER(SEARCH("Var", D502)), VERI_TABANI!$E$29*(1-0.928)*VERI_TABANI!$B$18, 0))), 0)</f>
        <v/>
      </c>
      <c r="J502" s="171">
        <f>IFERROR(F502/(G502/29), 0)</f>
        <v/>
      </c>
      <c r="K502" s="172">
        <f>IF(F502&gt;0, H502/F502, 0)</f>
        <v/>
      </c>
      <c r="L502" s="170">
        <f>IF(F502&gt;0, I502, 1000000000)</f>
        <v/>
      </c>
      <c r="M502" s="171">
        <f>ABS((B502+C502)-1)</f>
        <v/>
      </c>
      <c r="N502" s="170">
        <f>IF(F502&gt;0, (G502/29)/F502, 0)</f>
        <v/>
      </c>
      <c r="O502" s="168">
        <f>IF(AND((B502+C502)&gt;=1, ISNUMBER(SEARCH("Var", D502))), F502, 1000000000)</f>
        <v/>
      </c>
      <c r="P502" s="172">
        <f>IF(F502&gt;0, SQRT((F502/MAX(F$5:F$886))^2 + (1 - H502/MAX(H$5:H$886))^2 + (J502/MAX(J$5:J$886))^2), 1000000000)</f>
        <v/>
      </c>
      <c r="Q502" s="166">
        <f>IF(AND(ABS(B502-0.5)&lt;0.01, ABS(C502-0.5)&lt;0.01, ISNUMBER(SEARCH("Var", D502))), 1, 0)</f>
        <v/>
      </c>
      <c r="R502" s="171">
        <f>IF(F502&gt;0, J502, 1000000000)</f>
        <v/>
      </c>
      <c r="S502" s="101">
        <f>IF(AND(F502&lt;=DASHBOARD!$B$11, H502&gt;=DASHBOARD!$B$13), G502, -1000000000000)</f>
        <v/>
      </c>
      <c r="T502" s="101">
        <f>IF(AND(F502&lt;=DASHBOARD!$B$11, H502&gt;=DASHBOARD!$B$13), R502, 1000000000000)</f>
        <v/>
      </c>
      <c r="U502" s="101">
        <f>IF(AND(F502&lt;=DASHBOARD!$B$11, H502&gt;=DASHBOARD!$B$13), N502, -1000000000000)</f>
        <v/>
      </c>
      <c r="V502" s="101">
        <f>IF(AND(F502&lt;=DASHBOARD!$B$11, H502&gt;=DASHBOARD!$B$13), H502, -1000000000000)</f>
        <v/>
      </c>
      <c r="W502" s="101">
        <f>IF(AND(F502&lt;=DASHBOARD!$B$11, H502&gt;=DASHBOARD!$B$13), K502, -1000000000000)</f>
        <v/>
      </c>
      <c r="X502" s="101">
        <f>IF(AND(F502&lt;=DASHBOARD!$B$11, H502&gt;=DASHBOARD!$B$13), M502, 1000000000000)</f>
        <v/>
      </c>
      <c r="Y502" s="101">
        <f>IF(AND(F502&lt;=DASHBOARD!$B$10, H502&gt;=DASHBOARD!$B$11), L502, 1000000000000)</f>
        <v/>
      </c>
      <c r="Z502" s="101">
        <f>IF(AND(F502&lt;=DASHBOARD!$B$10, H502&gt;=DASHBOARD!$B$11), O502, 1000000000000)</f>
        <v/>
      </c>
      <c r="AA502" s="101">
        <f>IF(AND(F502&lt;=DASHBOARD!$B$10, H502&gt;=DASHBOARD!$B$11), P502, 1000000000000)</f>
        <v/>
      </c>
      <c r="AB502" s="101">
        <f>IF(AND(F502&lt;=DASHBOARD!$B$10, H502&gt;=DASHBOARD!$B$11), Q502, -1000000000000)</f>
        <v/>
      </c>
    </row>
    <row r="503" ht="15" customHeight="1" s="102">
      <c r="A503" s="166" t="n">
        <v>499</v>
      </c>
      <c r="B503" s="167" t="n">
        <v>1.1</v>
      </c>
      <c r="C503" s="167" t="n">
        <v>1.8</v>
      </c>
      <c r="D503" s="110" t="inlineStr">
        <is>
          <t>Yok (%0)</t>
        </is>
      </c>
      <c r="E503" s="110">
        <f>IF((B503+C503)&lt;=1, "Tam Mahsuplaşma (≤%100)", "Kısmi Satış (&gt;%100)")</f>
        <v/>
      </c>
      <c r="F503" s="168">
        <f>((VERI_TABANI!$D$29*B503/VERI_TABANI!$B$29)/VERI_TABANI!$B$3)*VERI_TABANI!$B$5 + ((VERI_TABANI!$D$29*C503/VERI_TABANI!$B$29)/VERI_TABANI!$B$4)*VERI_TABANI!$B$6 + IF(ISNUMBER(SEARCH("Var", D503)), (VERI_TABANI!$F$29/VERI_TABANI!$B$29)*(VERI_TABANI!$B$10+VERI_TABANI!$B$12), 0)</f>
        <v/>
      </c>
      <c r="G503" s="168">
        <f>(((MIN(VERI_TABANI!D23, VERI_TABANI!D23*B503)*VERI_TABANI!$B$7 + MAX(0, VERI_TABANI!D23*B503-VERI_TABANI!D23)*VERI_TABANI!$B$8) + (MIN(MAX(0, VERI_TABANI!D23-VERI_TABANI!D23*B503), VERI_TABANI!D23*C503)*VERI_TABANI!$B$7 + MAX(0, VERI_TABANI!D23*C503-MAX(0, VERI_TABANI!D23-VERI_TABANI!D23*B503))*VERI_TABANI!$B$8) + IF(ABS(IF(ISNUMBER(SEARCH("Var", D503)), 1, IF(ISNUMBER(SEARCH("Gri", D503)), -1, 0)))=1, VERI_TABANI!E23*(1-0.928)*VERI_TABANI!$B$9, 0) + (VERI_TABANI!D23*B503*(VERI_TABANI!$B$13-VERI_TABANI!$B$14)*VERI_TABANI!G23) + (VERI_TABANI!D23*C503*(VERI_TABANI!$B$13-VERI_TABANI!$B$15)*VERI_TABANI!G23) + IF(ABS(IF(ISNUMBER(SEARCH("Var", D503)), 1, IF(ISNUMBER(SEARCH("Gri", D503)), -1, 0)))=1, VERI_TABANI!E23*(1-0.928)*0.00206091519919798*VERI_TABANI!G23, 0)) + ((MIN(VERI_TABANI!D24, VERI_TABANI!D24*B503)*VERI_TABANI!$B$7 + MAX(0, VERI_TABANI!D24*B503-VERI_TABANI!D24)*VERI_TABANI!$B$8) + (MIN(MAX(0, VERI_TABANI!D24-VERI_TABANI!D24*B503), VERI_TABANI!D24*C503)*VERI_TABANI!$B$7 + MAX(0, VERI_TABANI!D24*C503-MAX(0, VERI_TABANI!D24-VERI_TABANI!D24*B503))*VERI_TABANI!$B$8) + IF(ABS(IF(ISNUMBER(SEARCH("Var", D503)), 1, IF(ISNUMBER(SEARCH("Gri", D503)), -1, 0)))=1, VERI_TABANI!E24*(1-0.928)*VERI_TABANI!$B$9, 0) + (VERI_TABANI!D24*B503*(VERI_TABANI!$B$13-VERI_TABANI!$B$14)*VERI_TABANI!G24) + (VERI_TABANI!D24*C503*(VERI_TABANI!$B$13-VERI_TABANI!$B$15)*VERI_TABANI!G24) + IF(ABS(IF(ISNUMBER(SEARCH("Var", D503)), 1, IF(ISNUMBER(SEARCH("Gri", D503)), -1, 0)))=1, VERI_TABANI!E24*(1-0.928)*0.00206091519919798*VERI_TABANI!G24, 0)) + ((MIN(VERI_TABANI!D25, VERI_TABANI!D25*B503)*VERI_TABANI!$B$7 + MAX(0, VERI_TABANI!D25*B503-VERI_TABANI!D25)*VERI_TABANI!$B$8) + (MIN(MAX(0, VERI_TABANI!D25-VERI_TABANI!D25*B503), VERI_TABANI!D25*C503)*VERI_TABANI!$B$7 + MAX(0, VERI_TABANI!D25*C503-MAX(0, VERI_TABANI!D25-VERI_TABANI!D25*B503))*VERI_TABANI!$B$8) + IF(ABS(IF(ISNUMBER(SEARCH("Var", D503)), 1, IF(ISNUMBER(SEARCH("Gri", D503)), -1, 0)))=1, VERI_TABANI!E25*(1-0.928)*VERI_TABANI!$B$9, 0) + (VERI_TABANI!D25*B503*(VERI_TABANI!$B$13-VERI_TABANI!$B$14)*VERI_TABANI!G25) + (VERI_TABANI!D25*C503*(VERI_TABANI!$B$13-VERI_TABANI!$B$15)*VERI_TABANI!G25) + IF(ABS(IF(ISNUMBER(SEARCH("Var", D503)), 1, IF(ISNUMBER(SEARCH("Gri", D503)), -1, 0)))=1, VERI_TABANI!E25*(1-0.928)*0.00206091519919798*VERI_TABANI!G25, 0)) + ((MIN(VERI_TABANI!D26, VERI_TABANI!D26*B503)*VERI_TABANI!$B$7 + MAX(0, VERI_TABANI!D26*B503-VERI_TABANI!D26)*VERI_TABANI!$B$8) + (MIN(MAX(0, VERI_TABANI!D26-VERI_TABANI!D26*B503), VERI_TABANI!D26*C503)*VERI_TABANI!$B$7 + MAX(0, VERI_TABANI!D26*C503-MAX(0, VERI_TABANI!D26-VERI_TABANI!D26*B503))*VERI_TABANI!$B$8) + IF(ABS(IF(ISNUMBER(SEARCH("Var", D503)), 1, IF(ISNUMBER(SEARCH("Gri", D503)), -1, 0)))=1, VERI_TABANI!E26*(1-0.928)*VERI_TABANI!$B$9, 0) + (VERI_TABANI!D26*B503*(VERI_TABANI!$B$13-VERI_TABANI!$B$14)*VERI_TABANI!G26) + (VERI_TABANI!D26*C503*(VERI_TABANI!$B$13-VERI_TABANI!$B$15)*VERI_TABANI!G26) + IF(ABS(IF(ISNUMBER(SEARCH("Var", D503)), 1, IF(ISNUMBER(SEARCH("Gri", D503)), -1, 0)))=1, VERI_TABANI!E26*(1-0.928)*0.00206091519919798*VERI_TABANI!G26, 0)) + ((MIN(VERI_TABANI!D27, VERI_TABANI!D27*B503)*VERI_TABANI!$B$7 + MAX(0, VERI_TABANI!D27*B503-VERI_TABANI!D27)*VERI_TABANI!$B$8) + (MIN(MAX(0, VERI_TABANI!D27-VERI_TABANI!D27*B503), VERI_TABANI!D27*C503)*VERI_TABANI!$B$7 + MAX(0, VERI_TABANI!D27*C503-MAX(0, VERI_TABANI!D27-VERI_TABANI!D27*B503))*VERI_TABANI!$B$8) + IF(ABS(IF(ISNUMBER(SEARCH("Var", D503)), 1, IF(ISNUMBER(SEARCH("Gri", D503)), -1, 0)))=1, VERI_TABANI!E27*(1-0.928)*VERI_TABANI!$B$9, 0) + (VERI_TABANI!D27*B503*(VERI_TABANI!$B$13-VERI_TABANI!$B$14)*VERI_TABANI!G27) + (VERI_TABANI!D27*C503*(VERI_TABANI!$B$13-VERI_TABANI!$B$15)*VERI_TABANI!G27) + IF(ABS(IF(ISNUMBER(SEARCH("Var", D503)), 1, IF(ISNUMBER(SEARCH("Gri", D503)), -1, 0)))=1, VERI_TABANI!E27*(1-0.928)*0.00206091519919798*VERI_TABANI!G27, 0)) + ((MIN(VERI_TABANI!D28, VERI_TABANI!D28*B503)*VERI_TABANI!$B$7 + MAX(0, VERI_TABANI!D28*B503-VERI_TABANI!D28)*VERI_TABANI!$B$8) + (MIN(MAX(0, VERI_TABANI!D28-VERI_TABANI!D28*B503), VERI_TABANI!D28*C503)*VERI_TABANI!$B$7 + MAX(0, VERI_TABANI!D28*C503-MAX(0, VERI_TABANI!D28-VERI_TABANI!D28*B503))*VERI_TABANI!$B$8) + IF(ABS(IF(ISNUMBER(SEARCH("Var", D503)), 1, IF(ISNUMBER(SEARCH("Gri", D503)), -1, 0)))=1, VERI_TABANI!E28*(1-0.928)*VERI_TABANI!$B$9, 0) + (VERI_TABANI!D28*B503*(VERI_TABANI!$B$13-VERI_TABANI!$B$14)*VERI_TABANI!G28) + (VERI_TABANI!D28*C503*(VERI_TABANI!$B$13-VERI_TABANI!$B$15)*VERI_TABANI!G28) + IF(ABS(IF(ISNUMBER(SEARCH("Var", D503)), 1, IF(ISNUMBER(SEARCH("Gri", D503)), -1, 0)))=1, VERI_TABANI!E28*(1-0.928)*0.00206091519919798*VERI_TABANI!G28, 0)))</f>
        <v/>
      </c>
      <c r="H503" s="169">
        <f>(((VERI_TABANI!D23*B503*(VERI_TABANI!$B$13-VERI_TABANI!$B$14)) + (VERI_TABANI!D23*C503*(VERI_TABANI!$B$13-VERI_TABANI!$B$15)) + IF(ISNUMBER(SEARCH("Var", D503)), VERI_TABANI!F23*(0.00202-VERI_TABANI!$B$16), IF(ISNUMBER(SEARCH("Gri", D503)), VERI_TABANI!F23*(0.00202-VERI_TABANI!$B$17), 0))) + ((VERI_TABANI!D24*B503*(VERI_TABANI!$B$13-VERI_TABANI!$B$14)) + (VERI_TABANI!D24*C503*(VERI_TABANI!$B$13-VERI_TABANI!$B$15)) + IF(ISNUMBER(SEARCH("Var", D503)), VERI_TABANI!F24*(0.00202-VERI_TABANI!$B$16), IF(ISNUMBER(SEARCH("Gri", D503)), VERI_TABANI!F24*(0.00202-VERI_TABANI!$B$17), 0))) + ((VERI_TABANI!D25*B503*(VERI_TABANI!$B$13-VERI_TABANI!$B$14)) + (VERI_TABANI!D25*C503*(VERI_TABANI!$B$13-VERI_TABANI!$B$15)) + IF(ISNUMBER(SEARCH("Var", D503)), VERI_TABANI!F25*(0.00202-VERI_TABANI!$B$16), IF(ISNUMBER(SEARCH("Gri", D503)), VERI_TABANI!F25*(0.00202-VERI_TABANI!$B$17), 0))) + ((VERI_TABANI!D26*B503*(VERI_TABANI!$B$13-VERI_TABANI!$B$14)) + (VERI_TABANI!D26*C503*(VERI_TABANI!$B$13-VERI_TABANI!$B$15)) + IF(ISNUMBER(SEARCH("Var", D503)), VERI_TABANI!F26*(0.00202-VERI_TABANI!$B$16), IF(ISNUMBER(SEARCH("Gri", D503)), VERI_TABANI!F26*(0.00202-VERI_TABANI!$B$17), 0))) + ((VERI_TABANI!D27*B503*(VERI_TABANI!$B$13-VERI_TABANI!$B$14)) + (VERI_TABANI!D27*C503*(VERI_TABANI!$B$13-VERI_TABANI!$B$15)) + IF(ISNUMBER(SEARCH("Var", D503)), VERI_TABANI!F27*(0.00202-VERI_TABANI!$B$16), IF(ISNUMBER(SEARCH("Gri", D503)), VERI_TABANI!F27*(0.00202-VERI_TABANI!$B$17), 0))) + ((VERI_TABANI!D28*B503*(VERI_TABANI!$B$13-VERI_TABANI!$B$14)) + (VERI_TABANI!D28*C503*(VERI_TABANI!$B$13-VERI_TABANI!$B$15)) + IF(ISNUMBER(SEARCH("Var", D503)), VERI_TABANI!F28*(0.00202-VERI_TABANI!$B$16), IF(ISNUMBER(SEARCH("Gri", D503)), VERI_TABANI!F28*(0.00202-VERI_TABANI!$B$17), 0))))</f>
        <v/>
      </c>
      <c r="I503" s="170">
        <f>IFERROR(((VERI_TABANI!$D$29*B503*VERI_TABANI!$B$14 + VERI_TABANI!$D$29*C503*VERI_TABANI!$B$15 + IF(ISNUMBER(SEARCH("Var", D503)), VERI_TABANI!$F$29*VERI_TABANI!$B$16, 0))) / (((VERI_TABANI!$D$29*B503 + VERI_TABANI!$D$29*C503)*VERI_TABANI!$B$13 + IF(ISNUMBER(SEARCH("Var", D503)), VERI_TABANI!$E$29*(1-0.928)*VERI_TABANI!$B$18, 0))), 0)</f>
        <v/>
      </c>
      <c r="J503" s="171">
        <f>IFERROR(F503/(G503/29), 0)</f>
        <v/>
      </c>
      <c r="K503" s="172">
        <f>IF(F503&gt;0, H503/F503, 0)</f>
        <v/>
      </c>
      <c r="L503" s="170">
        <f>IF(F503&gt;0, I503, 1000000000)</f>
        <v/>
      </c>
      <c r="M503" s="171">
        <f>ABS((B503+C503)-1)</f>
        <v/>
      </c>
      <c r="N503" s="170">
        <f>IF(F503&gt;0, (G503/29)/F503, 0)</f>
        <v/>
      </c>
      <c r="O503" s="168">
        <f>IF(AND((B503+C503)&gt;=1, ISNUMBER(SEARCH("Var", D503))), F503, 1000000000)</f>
        <v/>
      </c>
      <c r="P503" s="172">
        <f>IF(F503&gt;0, SQRT((F503/MAX(F$5:F$886))^2 + (1 - H503/MAX(H$5:H$886))^2 + (J503/MAX(J$5:J$886))^2), 1000000000)</f>
        <v/>
      </c>
      <c r="Q503" s="166">
        <f>IF(AND(ABS(B503-0.5)&lt;0.01, ABS(C503-0.5)&lt;0.01, ISNUMBER(SEARCH("Var", D503))), 1, 0)</f>
        <v/>
      </c>
      <c r="R503" s="171">
        <f>IF(F503&gt;0, J503, 1000000000)</f>
        <v/>
      </c>
      <c r="S503" s="101">
        <f>IF(AND(F503&lt;=DASHBOARD!$B$11, H503&gt;=DASHBOARD!$B$13), G503, -1000000000000)</f>
        <v/>
      </c>
      <c r="T503" s="101">
        <f>IF(AND(F503&lt;=DASHBOARD!$B$11, H503&gt;=DASHBOARD!$B$13), R503, 1000000000000)</f>
        <v/>
      </c>
      <c r="U503" s="101">
        <f>IF(AND(F503&lt;=DASHBOARD!$B$11, H503&gt;=DASHBOARD!$B$13), N503, -1000000000000)</f>
        <v/>
      </c>
      <c r="V503" s="101">
        <f>IF(AND(F503&lt;=DASHBOARD!$B$11, H503&gt;=DASHBOARD!$B$13), H503, -1000000000000)</f>
        <v/>
      </c>
      <c r="W503" s="101">
        <f>IF(AND(F503&lt;=DASHBOARD!$B$11, H503&gt;=DASHBOARD!$B$13), K503, -1000000000000)</f>
        <v/>
      </c>
      <c r="X503" s="101">
        <f>IF(AND(F503&lt;=DASHBOARD!$B$11, H503&gt;=DASHBOARD!$B$13), M503, 1000000000000)</f>
        <v/>
      </c>
      <c r="Y503" s="101">
        <f>IF(AND(F503&lt;=DASHBOARD!$B$10, H503&gt;=DASHBOARD!$B$11), L503, 1000000000000)</f>
        <v/>
      </c>
      <c r="Z503" s="101">
        <f>IF(AND(F503&lt;=DASHBOARD!$B$10, H503&gt;=DASHBOARD!$B$11), O503, 1000000000000)</f>
        <v/>
      </c>
      <c r="AA503" s="101">
        <f>IF(AND(F503&lt;=DASHBOARD!$B$10, H503&gt;=DASHBOARD!$B$11), P503, 1000000000000)</f>
        <v/>
      </c>
      <c r="AB503" s="101">
        <f>IF(AND(F503&lt;=DASHBOARD!$B$10, H503&gt;=DASHBOARD!$B$11), Q503, -1000000000000)</f>
        <v/>
      </c>
    </row>
    <row r="504" ht="15" customHeight="1" s="102">
      <c r="A504" s="166" t="n">
        <v>500</v>
      </c>
      <c r="B504" s="167" t="n">
        <v>1.1</v>
      </c>
      <c r="C504" s="167" t="n">
        <v>1.8</v>
      </c>
      <c r="D504" s="110" t="inlineStr">
        <is>
          <t>Var (%20)</t>
        </is>
      </c>
      <c r="E504" s="110">
        <f>IF((B504+C504)&lt;=1, "Tam Mahsuplaşma (≤%100)", "Kısmi Satış (&gt;%100)")</f>
        <v/>
      </c>
      <c r="F504" s="168">
        <f>((VERI_TABANI!$D$29*B504/VERI_TABANI!$B$29)/VERI_TABANI!$B$3)*VERI_TABANI!$B$5 + ((VERI_TABANI!$D$29*C504/VERI_TABANI!$B$29)/VERI_TABANI!$B$4)*VERI_TABANI!$B$6 + IF(ISNUMBER(SEARCH("Var", D504)), (VERI_TABANI!$F$29/VERI_TABANI!$B$29)*(VERI_TABANI!$B$10+VERI_TABANI!$B$12), 0)</f>
        <v/>
      </c>
      <c r="G504" s="168">
        <f>(((MIN(VERI_TABANI!D23, VERI_TABANI!D23*B504)*VERI_TABANI!$B$7 + MAX(0, VERI_TABANI!D23*B504-VERI_TABANI!D23)*VERI_TABANI!$B$8) + (MIN(MAX(0, VERI_TABANI!D23-VERI_TABANI!D23*B504), VERI_TABANI!D23*C504)*VERI_TABANI!$B$7 + MAX(0, VERI_TABANI!D23*C504-MAX(0, VERI_TABANI!D23-VERI_TABANI!D23*B504))*VERI_TABANI!$B$8) + IF(ABS(IF(ISNUMBER(SEARCH("Var", D504)), 1, IF(ISNUMBER(SEARCH("Gri", D504)), -1, 0)))=1, VERI_TABANI!E23*(1-0.928)*VERI_TABANI!$B$9, 0) + (VERI_TABANI!D23*B504*(VERI_TABANI!$B$13-VERI_TABANI!$B$14)*VERI_TABANI!G23) + (VERI_TABANI!D23*C504*(VERI_TABANI!$B$13-VERI_TABANI!$B$15)*VERI_TABANI!G23) + IF(ABS(IF(ISNUMBER(SEARCH("Var", D504)), 1, IF(ISNUMBER(SEARCH("Gri", D504)), -1, 0)))=1, VERI_TABANI!E23*(1-0.928)*0.00206091519919798*VERI_TABANI!G23, 0)) + ((MIN(VERI_TABANI!D24, VERI_TABANI!D24*B504)*VERI_TABANI!$B$7 + MAX(0, VERI_TABANI!D24*B504-VERI_TABANI!D24)*VERI_TABANI!$B$8) + (MIN(MAX(0, VERI_TABANI!D24-VERI_TABANI!D24*B504), VERI_TABANI!D24*C504)*VERI_TABANI!$B$7 + MAX(0, VERI_TABANI!D24*C504-MAX(0, VERI_TABANI!D24-VERI_TABANI!D24*B504))*VERI_TABANI!$B$8) + IF(ABS(IF(ISNUMBER(SEARCH("Var", D504)), 1, IF(ISNUMBER(SEARCH("Gri", D504)), -1, 0)))=1, VERI_TABANI!E24*(1-0.928)*VERI_TABANI!$B$9, 0) + (VERI_TABANI!D24*B504*(VERI_TABANI!$B$13-VERI_TABANI!$B$14)*VERI_TABANI!G24) + (VERI_TABANI!D24*C504*(VERI_TABANI!$B$13-VERI_TABANI!$B$15)*VERI_TABANI!G24) + IF(ABS(IF(ISNUMBER(SEARCH("Var", D504)), 1, IF(ISNUMBER(SEARCH("Gri", D504)), -1, 0)))=1, VERI_TABANI!E24*(1-0.928)*0.00206091519919798*VERI_TABANI!G24, 0)) + ((MIN(VERI_TABANI!D25, VERI_TABANI!D25*B504)*VERI_TABANI!$B$7 + MAX(0, VERI_TABANI!D25*B504-VERI_TABANI!D25)*VERI_TABANI!$B$8) + (MIN(MAX(0, VERI_TABANI!D25-VERI_TABANI!D25*B504), VERI_TABANI!D25*C504)*VERI_TABANI!$B$7 + MAX(0, VERI_TABANI!D25*C504-MAX(0, VERI_TABANI!D25-VERI_TABANI!D25*B504))*VERI_TABANI!$B$8) + IF(ABS(IF(ISNUMBER(SEARCH("Var", D504)), 1, IF(ISNUMBER(SEARCH("Gri", D504)), -1, 0)))=1, VERI_TABANI!E25*(1-0.928)*VERI_TABANI!$B$9, 0) + (VERI_TABANI!D25*B504*(VERI_TABANI!$B$13-VERI_TABANI!$B$14)*VERI_TABANI!G25) + (VERI_TABANI!D25*C504*(VERI_TABANI!$B$13-VERI_TABANI!$B$15)*VERI_TABANI!G25) + IF(ABS(IF(ISNUMBER(SEARCH("Var", D504)), 1, IF(ISNUMBER(SEARCH("Gri", D504)), -1, 0)))=1, VERI_TABANI!E25*(1-0.928)*0.00206091519919798*VERI_TABANI!G25, 0)) + ((MIN(VERI_TABANI!D26, VERI_TABANI!D26*B504)*VERI_TABANI!$B$7 + MAX(0, VERI_TABANI!D26*B504-VERI_TABANI!D26)*VERI_TABANI!$B$8) + (MIN(MAX(0, VERI_TABANI!D26-VERI_TABANI!D26*B504), VERI_TABANI!D26*C504)*VERI_TABANI!$B$7 + MAX(0, VERI_TABANI!D26*C504-MAX(0, VERI_TABANI!D26-VERI_TABANI!D26*B504))*VERI_TABANI!$B$8) + IF(ABS(IF(ISNUMBER(SEARCH("Var", D504)), 1, IF(ISNUMBER(SEARCH("Gri", D504)), -1, 0)))=1, VERI_TABANI!E26*(1-0.928)*VERI_TABANI!$B$9, 0) + (VERI_TABANI!D26*B504*(VERI_TABANI!$B$13-VERI_TABANI!$B$14)*VERI_TABANI!G26) + (VERI_TABANI!D26*C504*(VERI_TABANI!$B$13-VERI_TABANI!$B$15)*VERI_TABANI!G26) + IF(ABS(IF(ISNUMBER(SEARCH("Var", D504)), 1, IF(ISNUMBER(SEARCH("Gri", D504)), -1, 0)))=1, VERI_TABANI!E26*(1-0.928)*0.00206091519919798*VERI_TABANI!G26, 0)) + ((MIN(VERI_TABANI!D27, VERI_TABANI!D27*B504)*VERI_TABANI!$B$7 + MAX(0, VERI_TABANI!D27*B504-VERI_TABANI!D27)*VERI_TABANI!$B$8) + (MIN(MAX(0, VERI_TABANI!D27-VERI_TABANI!D27*B504), VERI_TABANI!D27*C504)*VERI_TABANI!$B$7 + MAX(0, VERI_TABANI!D27*C504-MAX(0, VERI_TABANI!D27-VERI_TABANI!D27*B504))*VERI_TABANI!$B$8) + IF(ABS(IF(ISNUMBER(SEARCH("Var", D504)), 1, IF(ISNUMBER(SEARCH("Gri", D504)), -1, 0)))=1, VERI_TABANI!E27*(1-0.928)*VERI_TABANI!$B$9, 0) + (VERI_TABANI!D27*B504*(VERI_TABANI!$B$13-VERI_TABANI!$B$14)*VERI_TABANI!G27) + (VERI_TABANI!D27*C504*(VERI_TABANI!$B$13-VERI_TABANI!$B$15)*VERI_TABANI!G27) + IF(ABS(IF(ISNUMBER(SEARCH("Var", D504)), 1, IF(ISNUMBER(SEARCH("Gri", D504)), -1, 0)))=1, VERI_TABANI!E27*(1-0.928)*0.00206091519919798*VERI_TABANI!G27, 0)) + ((MIN(VERI_TABANI!D28, VERI_TABANI!D28*B504)*VERI_TABANI!$B$7 + MAX(0, VERI_TABANI!D28*B504-VERI_TABANI!D28)*VERI_TABANI!$B$8) + (MIN(MAX(0, VERI_TABANI!D28-VERI_TABANI!D28*B504), VERI_TABANI!D28*C504)*VERI_TABANI!$B$7 + MAX(0, VERI_TABANI!D28*C504-MAX(0, VERI_TABANI!D28-VERI_TABANI!D28*B504))*VERI_TABANI!$B$8) + IF(ABS(IF(ISNUMBER(SEARCH("Var", D504)), 1, IF(ISNUMBER(SEARCH("Gri", D504)), -1, 0)))=1, VERI_TABANI!E28*(1-0.928)*VERI_TABANI!$B$9, 0) + (VERI_TABANI!D28*B504*(VERI_TABANI!$B$13-VERI_TABANI!$B$14)*VERI_TABANI!G28) + (VERI_TABANI!D28*C504*(VERI_TABANI!$B$13-VERI_TABANI!$B$15)*VERI_TABANI!G28) + IF(ABS(IF(ISNUMBER(SEARCH("Var", D504)), 1, IF(ISNUMBER(SEARCH("Gri", D504)), -1, 0)))=1, VERI_TABANI!E28*(1-0.928)*0.00206091519919798*VERI_TABANI!G28, 0)))</f>
        <v/>
      </c>
      <c r="H504" s="169">
        <f>(((VERI_TABANI!D23*B504*(VERI_TABANI!$B$13-VERI_TABANI!$B$14)) + (VERI_TABANI!D23*C504*(VERI_TABANI!$B$13-VERI_TABANI!$B$15)) + IF(ISNUMBER(SEARCH("Var", D504)), VERI_TABANI!F23*(0.00202-VERI_TABANI!$B$16), IF(ISNUMBER(SEARCH("Gri", D504)), VERI_TABANI!F23*(0.00202-VERI_TABANI!$B$17), 0))) + ((VERI_TABANI!D24*B504*(VERI_TABANI!$B$13-VERI_TABANI!$B$14)) + (VERI_TABANI!D24*C504*(VERI_TABANI!$B$13-VERI_TABANI!$B$15)) + IF(ISNUMBER(SEARCH("Var", D504)), VERI_TABANI!F24*(0.00202-VERI_TABANI!$B$16), IF(ISNUMBER(SEARCH("Gri", D504)), VERI_TABANI!F24*(0.00202-VERI_TABANI!$B$17), 0))) + ((VERI_TABANI!D25*B504*(VERI_TABANI!$B$13-VERI_TABANI!$B$14)) + (VERI_TABANI!D25*C504*(VERI_TABANI!$B$13-VERI_TABANI!$B$15)) + IF(ISNUMBER(SEARCH("Var", D504)), VERI_TABANI!F25*(0.00202-VERI_TABANI!$B$16), IF(ISNUMBER(SEARCH("Gri", D504)), VERI_TABANI!F25*(0.00202-VERI_TABANI!$B$17), 0))) + ((VERI_TABANI!D26*B504*(VERI_TABANI!$B$13-VERI_TABANI!$B$14)) + (VERI_TABANI!D26*C504*(VERI_TABANI!$B$13-VERI_TABANI!$B$15)) + IF(ISNUMBER(SEARCH("Var", D504)), VERI_TABANI!F26*(0.00202-VERI_TABANI!$B$16), IF(ISNUMBER(SEARCH("Gri", D504)), VERI_TABANI!F26*(0.00202-VERI_TABANI!$B$17), 0))) + ((VERI_TABANI!D27*B504*(VERI_TABANI!$B$13-VERI_TABANI!$B$14)) + (VERI_TABANI!D27*C504*(VERI_TABANI!$B$13-VERI_TABANI!$B$15)) + IF(ISNUMBER(SEARCH("Var", D504)), VERI_TABANI!F27*(0.00202-VERI_TABANI!$B$16), IF(ISNUMBER(SEARCH("Gri", D504)), VERI_TABANI!F27*(0.00202-VERI_TABANI!$B$17), 0))) + ((VERI_TABANI!D28*B504*(VERI_TABANI!$B$13-VERI_TABANI!$B$14)) + (VERI_TABANI!D28*C504*(VERI_TABANI!$B$13-VERI_TABANI!$B$15)) + IF(ISNUMBER(SEARCH("Var", D504)), VERI_TABANI!F28*(0.00202-VERI_TABANI!$B$16), IF(ISNUMBER(SEARCH("Gri", D504)), VERI_TABANI!F28*(0.00202-VERI_TABANI!$B$17), 0))))</f>
        <v/>
      </c>
      <c r="I504" s="170">
        <f>IFERROR(((VERI_TABANI!$D$29*B504*VERI_TABANI!$B$14 + VERI_TABANI!$D$29*C504*VERI_TABANI!$B$15 + IF(ISNUMBER(SEARCH("Var", D504)), VERI_TABANI!$F$29*VERI_TABANI!$B$16, 0))) / (((VERI_TABANI!$D$29*B504 + VERI_TABANI!$D$29*C504)*VERI_TABANI!$B$13 + IF(ISNUMBER(SEARCH("Var", D504)), VERI_TABANI!$E$29*(1-0.928)*VERI_TABANI!$B$18, 0))), 0)</f>
        <v/>
      </c>
      <c r="J504" s="171">
        <f>IFERROR(F504/(G504/29), 0)</f>
        <v/>
      </c>
      <c r="K504" s="172">
        <f>IF(F504&gt;0, H504/F504, 0)</f>
        <v/>
      </c>
      <c r="L504" s="170">
        <f>IF(F504&gt;0, I504, 1000000000)</f>
        <v/>
      </c>
      <c r="M504" s="171">
        <f>ABS((B504+C504)-1)</f>
        <v/>
      </c>
      <c r="N504" s="170">
        <f>IF(F504&gt;0, (G504/29)/F504, 0)</f>
        <v/>
      </c>
      <c r="O504" s="168">
        <f>IF(AND((B504+C504)&gt;=1, ISNUMBER(SEARCH("Var", D504))), F504, 1000000000)</f>
        <v/>
      </c>
      <c r="P504" s="172">
        <f>IF(F504&gt;0, SQRT((F504/MAX(F$5:F$886))^2 + (1 - H504/MAX(H$5:H$886))^2 + (J504/MAX(J$5:J$886))^2), 1000000000)</f>
        <v/>
      </c>
      <c r="Q504" s="166">
        <f>IF(AND(ABS(B504-0.5)&lt;0.01, ABS(C504-0.5)&lt;0.01, ISNUMBER(SEARCH("Var", D504))), 1, 0)</f>
        <v/>
      </c>
      <c r="R504" s="171">
        <f>IF(F504&gt;0, J504, 1000000000)</f>
        <v/>
      </c>
      <c r="S504" s="101">
        <f>IF(AND(F504&lt;=DASHBOARD!$B$11, H504&gt;=DASHBOARD!$B$13), G504, -1000000000000)</f>
        <v/>
      </c>
      <c r="T504" s="101">
        <f>IF(AND(F504&lt;=DASHBOARD!$B$11, H504&gt;=DASHBOARD!$B$13), R504, 1000000000000)</f>
        <v/>
      </c>
      <c r="U504" s="101">
        <f>IF(AND(F504&lt;=DASHBOARD!$B$11, H504&gt;=DASHBOARD!$B$13), N504, -1000000000000)</f>
        <v/>
      </c>
      <c r="V504" s="101">
        <f>IF(AND(F504&lt;=DASHBOARD!$B$11, H504&gt;=DASHBOARD!$B$13), H504, -1000000000000)</f>
        <v/>
      </c>
      <c r="W504" s="101">
        <f>IF(AND(F504&lt;=DASHBOARD!$B$11, H504&gt;=DASHBOARD!$B$13), K504, -1000000000000)</f>
        <v/>
      </c>
      <c r="X504" s="101">
        <f>IF(AND(F504&lt;=DASHBOARD!$B$11, H504&gt;=DASHBOARD!$B$13), M504, 1000000000000)</f>
        <v/>
      </c>
      <c r="Y504" s="101">
        <f>IF(AND(F504&lt;=DASHBOARD!$B$10, H504&gt;=DASHBOARD!$B$11), L504, 1000000000000)</f>
        <v/>
      </c>
      <c r="Z504" s="101">
        <f>IF(AND(F504&lt;=DASHBOARD!$B$10, H504&gt;=DASHBOARD!$B$11), O504, 1000000000000)</f>
        <v/>
      </c>
      <c r="AA504" s="101">
        <f>IF(AND(F504&lt;=DASHBOARD!$B$10, H504&gt;=DASHBOARD!$B$11), P504, 1000000000000)</f>
        <v/>
      </c>
      <c r="AB504" s="101">
        <f>IF(AND(F504&lt;=DASHBOARD!$B$10, H504&gt;=DASHBOARD!$B$11), Q504, -1000000000000)</f>
        <v/>
      </c>
    </row>
    <row r="505" ht="15" customHeight="1" s="102">
      <c r="A505" s="166" t="n">
        <v>501</v>
      </c>
      <c r="B505" s="167" t="n">
        <v>1.1</v>
      </c>
      <c r="C505" s="167" t="n">
        <v>1.9</v>
      </c>
      <c r="D505" s="110" t="inlineStr">
        <is>
          <t>Yok (%0)</t>
        </is>
      </c>
      <c r="E505" s="110">
        <f>IF((B505+C505)&lt;=1, "Tam Mahsuplaşma (≤%100)", "Kısmi Satış (&gt;%100)")</f>
        <v/>
      </c>
      <c r="F505" s="168">
        <f>((VERI_TABANI!$D$29*B505/VERI_TABANI!$B$29)/VERI_TABANI!$B$3)*VERI_TABANI!$B$5 + ((VERI_TABANI!$D$29*C505/VERI_TABANI!$B$29)/VERI_TABANI!$B$4)*VERI_TABANI!$B$6 + IF(ISNUMBER(SEARCH("Var", D505)), (VERI_TABANI!$F$29/VERI_TABANI!$B$29)*(VERI_TABANI!$B$10+VERI_TABANI!$B$12), 0)</f>
        <v/>
      </c>
      <c r="G505" s="168">
        <f>(((MIN(VERI_TABANI!D23, VERI_TABANI!D23*B505)*VERI_TABANI!$B$7 + MAX(0, VERI_TABANI!D23*B505-VERI_TABANI!D23)*VERI_TABANI!$B$8) + (MIN(MAX(0, VERI_TABANI!D23-VERI_TABANI!D23*B505), VERI_TABANI!D23*C505)*VERI_TABANI!$B$7 + MAX(0, VERI_TABANI!D23*C505-MAX(0, VERI_TABANI!D23-VERI_TABANI!D23*B505))*VERI_TABANI!$B$8) + IF(ABS(IF(ISNUMBER(SEARCH("Var", D505)), 1, IF(ISNUMBER(SEARCH("Gri", D505)), -1, 0)))=1, VERI_TABANI!E23*(1-0.928)*VERI_TABANI!$B$9, 0) + (VERI_TABANI!D23*B505*(VERI_TABANI!$B$13-VERI_TABANI!$B$14)*VERI_TABANI!G23) + (VERI_TABANI!D23*C505*(VERI_TABANI!$B$13-VERI_TABANI!$B$15)*VERI_TABANI!G23) + IF(ABS(IF(ISNUMBER(SEARCH("Var", D505)), 1, IF(ISNUMBER(SEARCH("Gri", D505)), -1, 0)))=1, VERI_TABANI!E23*(1-0.928)*0.00206091519919798*VERI_TABANI!G23, 0)) + ((MIN(VERI_TABANI!D24, VERI_TABANI!D24*B505)*VERI_TABANI!$B$7 + MAX(0, VERI_TABANI!D24*B505-VERI_TABANI!D24)*VERI_TABANI!$B$8) + (MIN(MAX(0, VERI_TABANI!D24-VERI_TABANI!D24*B505), VERI_TABANI!D24*C505)*VERI_TABANI!$B$7 + MAX(0, VERI_TABANI!D24*C505-MAX(0, VERI_TABANI!D24-VERI_TABANI!D24*B505))*VERI_TABANI!$B$8) + IF(ABS(IF(ISNUMBER(SEARCH("Var", D505)), 1, IF(ISNUMBER(SEARCH("Gri", D505)), -1, 0)))=1, VERI_TABANI!E24*(1-0.928)*VERI_TABANI!$B$9, 0) + (VERI_TABANI!D24*B505*(VERI_TABANI!$B$13-VERI_TABANI!$B$14)*VERI_TABANI!G24) + (VERI_TABANI!D24*C505*(VERI_TABANI!$B$13-VERI_TABANI!$B$15)*VERI_TABANI!G24) + IF(ABS(IF(ISNUMBER(SEARCH("Var", D505)), 1, IF(ISNUMBER(SEARCH("Gri", D505)), -1, 0)))=1, VERI_TABANI!E24*(1-0.928)*0.00206091519919798*VERI_TABANI!G24, 0)) + ((MIN(VERI_TABANI!D25, VERI_TABANI!D25*B505)*VERI_TABANI!$B$7 + MAX(0, VERI_TABANI!D25*B505-VERI_TABANI!D25)*VERI_TABANI!$B$8) + (MIN(MAX(0, VERI_TABANI!D25-VERI_TABANI!D25*B505), VERI_TABANI!D25*C505)*VERI_TABANI!$B$7 + MAX(0, VERI_TABANI!D25*C505-MAX(0, VERI_TABANI!D25-VERI_TABANI!D25*B505))*VERI_TABANI!$B$8) + IF(ABS(IF(ISNUMBER(SEARCH("Var", D505)), 1, IF(ISNUMBER(SEARCH("Gri", D505)), -1, 0)))=1, VERI_TABANI!E25*(1-0.928)*VERI_TABANI!$B$9, 0) + (VERI_TABANI!D25*B505*(VERI_TABANI!$B$13-VERI_TABANI!$B$14)*VERI_TABANI!G25) + (VERI_TABANI!D25*C505*(VERI_TABANI!$B$13-VERI_TABANI!$B$15)*VERI_TABANI!G25) + IF(ABS(IF(ISNUMBER(SEARCH("Var", D505)), 1, IF(ISNUMBER(SEARCH("Gri", D505)), -1, 0)))=1, VERI_TABANI!E25*(1-0.928)*0.00206091519919798*VERI_TABANI!G25, 0)) + ((MIN(VERI_TABANI!D26, VERI_TABANI!D26*B505)*VERI_TABANI!$B$7 + MAX(0, VERI_TABANI!D26*B505-VERI_TABANI!D26)*VERI_TABANI!$B$8) + (MIN(MAX(0, VERI_TABANI!D26-VERI_TABANI!D26*B505), VERI_TABANI!D26*C505)*VERI_TABANI!$B$7 + MAX(0, VERI_TABANI!D26*C505-MAX(0, VERI_TABANI!D26-VERI_TABANI!D26*B505))*VERI_TABANI!$B$8) + IF(ABS(IF(ISNUMBER(SEARCH("Var", D505)), 1, IF(ISNUMBER(SEARCH("Gri", D505)), -1, 0)))=1, VERI_TABANI!E26*(1-0.928)*VERI_TABANI!$B$9, 0) + (VERI_TABANI!D26*B505*(VERI_TABANI!$B$13-VERI_TABANI!$B$14)*VERI_TABANI!G26) + (VERI_TABANI!D26*C505*(VERI_TABANI!$B$13-VERI_TABANI!$B$15)*VERI_TABANI!G26) + IF(ABS(IF(ISNUMBER(SEARCH("Var", D505)), 1, IF(ISNUMBER(SEARCH("Gri", D505)), -1, 0)))=1, VERI_TABANI!E26*(1-0.928)*0.00206091519919798*VERI_TABANI!G26, 0)) + ((MIN(VERI_TABANI!D27, VERI_TABANI!D27*B505)*VERI_TABANI!$B$7 + MAX(0, VERI_TABANI!D27*B505-VERI_TABANI!D27)*VERI_TABANI!$B$8) + (MIN(MAX(0, VERI_TABANI!D27-VERI_TABANI!D27*B505), VERI_TABANI!D27*C505)*VERI_TABANI!$B$7 + MAX(0, VERI_TABANI!D27*C505-MAX(0, VERI_TABANI!D27-VERI_TABANI!D27*B505))*VERI_TABANI!$B$8) + IF(ABS(IF(ISNUMBER(SEARCH("Var", D505)), 1, IF(ISNUMBER(SEARCH("Gri", D505)), -1, 0)))=1, VERI_TABANI!E27*(1-0.928)*VERI_TABANI!$B$9, 0) + (VERI_TABANI!D27*B505*(VERI_TABANI!$B$13-VERI_TABANI!$B$14)*VERI_TABANI!G27) + (VERI_TABANI!D27*C505*(VERI_TABANI!$B$13-VERI_TABANI!$B$15)*VERI_TABANI!G27) + IF(ABS(IF(ISNUMBER(SEARCH("Var", D505)), 1, IF(ISNUMBER(SEARCH("Gri", D505)), -1, 0)))=1, VERI_TABANI!E27*(1-0.928)*0.00206091519919798*VERI_TABANI!G27, 0)) + ((MIN(VERI_TABANI!D28, VERI_TABANI!D28*B505)*VERI_TABANI!$B$7 + MAX(0, VERI_TABANI!D28*B505-VERI_TABANI!D28)*VERI_TABANI!$B$8) + (MIN(MAX(0, VERI_TABANI!D28-VERI_TABANI!D28*B505), VERI_TABANI!D28*C505)*VERI_TABANI!$B$7 + MAX(0, VERI_TABANI!D28*C505-MAX(0, VERI_TABANI!D28-VERI_TABANI!D28*B505))*VERI_TABANI!$B$8) + IF(ABS(IF(ISNUMBER(SEARCH("Var", D505)), 1, IF(ISNUMBER(SEARCH("Gri", D505)), -1, 0)))=1, VERI_TABANI!E28*(1-0.928)*VERI_TABANI!$B$9, 0) + (VERI_TABANI!D28*B505*(VERI_TABANI!$B$13-VERI_TABANI!$B$14)*VERI_TABANI!G28) + (VERI_TABANI!D28*C505*(VERI_TABANI!$B$13-VERI_TABANI!$B$15)*VERI_TABANI!G28) + IF(ABS(IF(ISNUMBER(SEARCH("Var", D505)), 1, IF(ISNUMBER(SEARCH("Gri", D505)), -1, 0)))=1, VERI_TABANI!E28*(1-0.928)*0.00206091519919798*VERI_TABANI!G28, 0)))</f>
        <v/>
      </c>
      <c r="H505" s="169">
        <f>(((VERI_TABANI!D23*B505*(VERI_TABANI!$B$13-VERI_TABANI!$B$14)) + (VERI_TABANI!D23*C505*(VERI_TABANI!$B$13-VERI_TABANI!$B$15)) + IF(ISNUMBER(SEARCH("Var", D505)), VERI_TABANI!F23*(0.00202-VERI_TABANI!$B$16), IF(ISNUMBER(SEARCH("Gri", D505)), VERI_TABANI!F23*(0.00202-VERI_TABANI!$B$17), 0))) + ((VERI_TABANI!D24*B505*(VERI_TABANI!$B$13-VERI_TABANI!$B$14)) + (VERI_TABANI!D24*C505*(VERI_TABANI!$B$13-VERI_TABANI!$B$15)) + IF(ISNUMBER(SEARCH("Var", D505)), VERI_TABANI!F24*(0.00202-VERI_TABANI!$B$16), IF(ISNUMBER(SEARCH("Gri", D505)), VERI_TABANI!F24*(0.00202-VERI_TABANI!$B$17), 0))) + ((VERI_TABANI!D25*B505*(VERI_TABANI!$B$13-VERI_TABANI!$B$14)) + (VERI_TABANI!D25*C505*(VERI_TABANI!$B$13-VERI_TABANI!$B$15)) + IF(ISNUMBER(SEARCH("Var", D505)), VERI_TABANI!F25*(0.00202-VERI_TABANI!$B$16), IF(ISNUMBER(SEARCH("Gri", D505)), VERI_TABANI!F25*(0.00202-VERI_TABANI!$B$17), 0))) + ((VERI_TABANI!D26*B505*(VERI_TABANI!$B$13-VERI_TABANI!$B$14)) + (VERI_TABANI!D26*C505*(VERI_TABANI!$B$13-VERI_TABANI!$B$15)) + IF(ISNUMBER(SEARCH("Var", D505)), VERI_TABANI!F26*(0.00202-VERI_TABANI!$B$16), IF(ISNUMBER(SEARCH("Gri", D505)), VERI_TABANI!F26*(0.00202-VERI_TABANI!$B$17), 0))) + ((VERI_TABANI!D27*B505*(VERI_TABANI!$B$13-VERI_TABANI!$B$14)) + (VERI_TABANI!D27*C505*(VERI_TABANI!$B$13-VERI_TABANI!$B$15)) + IF(ISNUMBER(SEARCH("Var", D505)), VERI_TABANI!F27*(0.00202-VERI_TABANI!$B$16), IF(ISNUMBER(SEARCH("Gri", D505)), VERI_TABANI!F27*(0.00202-VERI_TABANI!$B$17), 0))) + ((VERI_TABANI!D28*B505*(VERI_TABANI!$B$13-VERI_TABANI!$B$14)) + (VERI_TABANI!D28*C505*(VERI_TABANI!$B$13-VERI_TABANI!$B$15)) + IF(ISNUMBER(SEARCH("Var", D505)), VERI_TABANI!F28*(0.00202-VERI_TABANI!$B$16), IF(ISNUMBER(SEARCH("Gri", D505)), VERI_TABANI!F28*(0.00202-VERI_TABANI!$B$17), 0))))</f>
        <v/>
      </c>
      <c r="I505" s="170">
        <f>IFERROR(((VERI_TABANI!$D$29*B505*VERI_TABANI!$B$14 + VERI_TABANI!$D$29*C505*VERI_TABANI!$B$15 + IF(ISNUMBER(SEARCH("Var", D505)), VERI_TABANI!$F$29*VERI_TABANI!$B$16, 0))) / (((VERI_TABANI!$D$29*B505 + VERI_TABANI!$D$29*C505)*VERI_TABANI!$B$13 + IF(ISNUMBER(SEARCH("Var", D505)), VERI_TABANI!$E$29*(1-0.928)*VERI_TABANI!$B$18, 0))), 0)</f>
        <v/>
      </c>
      <c r="J505" s="171">
        <f>IFERROR(F505/(G505/29), 0)</f>
        <v/>
      </c>
      <c r="K505" s="172">
        <f>IF(F505&gt;0, H505/F505, 0)</f>
        <v/>
      </c>
      <c r="L505" s="170">
        <f>IF(F505&gt;0, I505, 1000000000)</f>
        <v/>
      </c>
      <c r="M505" s="171">
        <f>ABS((B505+C505)-1)</f>
        <v/>
      </c>
      <c r="N505" s="170">
        <f>IF(F505&gt;0, (G505/29)/F505, 0)</f>
        <v/>
      </c>
      <c r="O505" s="168">
        <f>IF(AND((B505+C505)&gt;=1, ISNUMBER(SEARCH("Var", D505))), F505, 1000000000)</f>
        <v/>
      </c>
      <c r="P505" s="172">
        <f>IF(F505&gt;0, SQRT((F505/MAX(F$5:F$886))^2 + (1 - H505/MAX(H$5:H$886))^2 + (J505/MAX(J$5:J$886))^2), 1000000000)</f>
        <v/>
      </c>
      <c r="Q505" s="166">
        <f>IF(AND(ABS(B505-0.5)&lt;0.01, ABS(C505-0.5)&lt;0.01, ISNUMBER(SEARCH("Var", D505))), 1, 0)</f>
        <v/>
      </c>
      <c r="R505" s="171">
        <f>IF(F505&gt;0, J505, 1000000000)</f>
        <v/>
      </c>
      <c r="S505" s="101">
        <f>IF(AND(F505&lt;=DASHBOARD!$B$11, H505&gt;=DASHBOARD!$B$13), G505, -1000000000000)</f>
        <v/>
      </c>
      <c r="T505" s="101">
        <f>IF(AND(F505&lt;=DASHBOARD!$B$11, H505&gt;=DASHBOARD!$B$13), R505, 1000000000000)</f>
        <v/>
      </c>
      <c r="U505" s="101">
        <f>IF(AND(F505&lt;=DASHBOARD!$B$11, H505&gt;=DASHBOARD!$B$13), N505, -1000000000000)</f>
        <v/>
      </c>
      <c r="V505" s="101">
        <f>IF(AND(F505&lt;=DASHBOARD!$B$11, H505&gt;=DASHBOARD!$B$13), H505, -1000000000000)</f>
        <v/>
      </c>
      <c r="W505" s="101">
        <f>IF(AND(F505&lt;=DASHBOARD!$B$11, H505&gt;=DASHBOARD!$B$13), K505, -1000000000000)</f>
        <v/>
      </c>
      <c r="X505" s="101">
        <f>IF(AND(F505&lt;=DASHBOARD!$B$11, H505&gt;=DASHBOARD!$B$13), M505, 1000000000000)</f>
        <v/>
      </c>
      <c r="Y505" s="101">
        <f>IF(AND(F505&lt;=DASHBOARD!$B$10, H505&gt;=DASHBOARD!$B$11), L505, 1000000000000)</f>
        <v/>
      </c>
      <c r="Z505" s="101">
        <f>IF(AND(F505&lt;=DASHBOARD!$B$10, H505&gt;=DASHBOARD!$B$11), O505, 1000000000000)</f>
        <v/>
      </c>
      <c r="AA505" s="101">
        <f>IF(AND(F505&lt;=DASHBOARD!$B$10, H505&gt;=DASHBOARD!$B$11), P505, 1000000000000)</f>
        <v/>
      </c>
      <c r="AB505" s="101">
        <f>IF(AND(F505&lt;=DASHBOARD!$B$10, H505&gt;=DASHBOARD!$B$11), Q505, -1000000000000)</f>
        <v/>
      </c>
    </row>
    <row r="506" ht="15" customHeight="1" s="102">
      <c r="A506" s="166" t="n">
        <v>502</v>
      </c>
      <c r="B506" s="167" t="n">
        <v>1.1</v>
      </c>
      <c r="C506" s="167" t="n">
        <v>1.9</v>
      </c>
      <c r="D506" s="110" t="inlineStr">
        <is>
          <t>Var (%20)</t>
        </is>
      </c>
      <c r="E506" s="110">
        <f>IF((B506+C506)&lt;=1, "Tam Mahsuplaşma (≤%100)", "Kısmi Satış (&gt;%100)")</f>
        <v/>
      </c>
      <c r="F506" s="168">
        <f>((VERI_TABANI!$D$29*B506/VERI_TABANI!$B$29)/VERI_TABANI!$B$3)*VERI_TABANI!$B$5 + ((VERI_TABANI!$D$29*C506/VERI_TABANI!$B$29)/VERI_TABANI!$B$4)*VERI_TABANI!$B$6 + IF(ISNUMBER(SEARCH("Var", D506)), (VERI_TABANI!$F$29/VERI_TABANI!$B$29)*(VERI_TABANI!$B$10+VERI_TABANI!$B$12), 0)</f>
        <v/>
      </c>
      <c r="G506" s="168">
        <f>(((MIN(VERI_TABANI!D23, VERI_TABANI!D23*B506)*VERI_TABANI!$B$7 + MAX(0, VERI_TABANI!D23*B506-VERI_TABANI!D23)*VERI_TABANI!$B$8) + (MIN(MAX(0, VERI_TABANI!D23-VERI_TABANI!D23*B506), VERI_TABANI!D23*C506)*VERI_TABANI!$B$7 + MAX(0, VERI_TABANI!D23*C506-MAX(0, VERI_TABANI!D23-VERI_TABANI!D23*B506))*VERI_TABANI!$B$8) + IF(ABS(IF(ISNUMBER(SEARCH("Var", D506)), 1, IF(ISNUMBER(SEARCH("Gri", D506)), -1, 0)))=1, VERI_TABANI!E23*(1-0.928)*VERI_TABANI!$B$9, 0) + (VERI_TABANI!D23*B506*(VERI_TABANI!$B$13-VERI_TABANI!$B$14)*VERI_TABANI!G23) + (VERI_TABANI!D23*C506*(VERI_TABANI!$B$13-VERI_TABANI!$B$15)*VERI_TABANI!G23) + IF(ABS(IF(ISNUMBER(SEARCH("Var", D506)), 1, IF(ISNUMBER(SEARCH("Gri", D506)), -1, 0)))=1, VERI_TABANI!E23*(1-0.928)*0.00206091519919798*VERI_TABANI!G23, 0)) + ((MIN(VERI_TABANI!D24, VERI_TABANI!D24*B506)*VERI_TABANI!$B$7 + MAX(0, VERI_TABANI!D24*B506-VERI_TABANI!D24)*VERI_TABANI!$B$8) + (MIN(MAX(0, VERI_TABANI!D24-VERI_TABANI!D24*B506), VERI_TABANI!D24*C506)*VERI_TABANI!$B$7 + MAX(0, VERI_TABANI!D24*C506-MAX(0, VERI_TABANI!D24-VERI_TABANI!D24*B506))*VERI_TABANI!$B$8) + IF(ABS(IF(ISNUMBER(SEARCH("Var", D506)), 1, IF(ISNUMBER(SEARCH("Gri", D506)), -1, 0)))=1, VERI_TABANI!E24*(1-0.928)*VERI_TABANI!$B$9, 0) + (VERI_TABANI!D24*B506*(VERI_TABANI!$B$13-VERI_TABANI!$B$14)*VERI_TABANI!G24) + (VERI_TABANI!D24*C506*(VERI_TABANI!$B$13-VERI_TABANI!$B$15)*VERI_TABANI!G24) + IF(ABS(IF(ISNUMBER(SEARCH("Var", D506)), 1, IF(ISNUMBER(SEARCH("Gri", D506)), -1, 0)))=1, VERI_TABANI!E24*(1-0.928)*0.00206091519919798*VERI_TABANI!G24, 0)) + ((MIN(VERI_TABANI!D25, VERI_TABANI!D25*B506)*VERI_TABANI!$B$7 + MAX(0, VERI_TABANI!D25*B506-VERI_TABANI!D25)*VERI_TABANI!$B$8) + (MIN(MAX(0, VERI_TABANI!D25-VERI_TABANI!D25*B506), VERI_TABANI!D25*C506)*VERI_TABANI!$B$7 + MAX(0, VERI_TABANI!D25*C506-MAX(0, VERI_TABANI!D25-VERI_TABANI!D25*B506))*VERI_TABANI!$B$8) + IF(ABS(IF(ISNUMBER(SEARCH("Var", D506)), 1, IF(ISNUMBER(SEARCH("Gri", D506)), -1, 0)))=1, VERI_TABANI!E25*(1-0.928)*VERI_TABANI!$B$9, 0) + (VERI_TABANI!D25*B506*(VERI_TABANI!$B$13-VERI_TABANI!$B$14)*VERI_TABANI!G25) + (VERI_TABANI!D25*C506*(VERI_TABANI!$B$13-VERI_TABANI!$B$15)*VERI_TABANI!G25) + IF(ABS(IF(ISNUMBER(SEARCH("Var", D506)), 1, IF(ISNUMBER(SEARCH("Gri", D506)), -1, 0)))=1, VERI_TABANI!E25*(1-0.928)*0.00206091519919798*VERI_TABANI!G25, 0)) + ((MIN(VERI_TABANI!D26, VERI_TABANI!D26*B506)*VERI_TABANI!$B$7 + MAX(0, VERI_TABANI!D26*B506-VERI_TABANI!D26)*VERI_TABANI!$B$8) + (MIN(MAX(0, VERI_TABANI!D26-VERI_TABANI!D26*B506), VERI_TABANI!D26*C506)*VERI_TABANI!$B$7 + MAX(0, VERI_TABANI!D26*C506-MAX(0, VERI_TABANI!D26-VERI_TABANI!D26*B506))*VERI_TABANI!$B$8) + IF(ABS(IF(ISNUMBER(SEARCH("Var", D506)), 1, IF(ISNUMBER(SEARCH("Gri", D506)), -1, 0)))=1, VERI_TABANI!E26*(1-0.928)*VERI_TABANI!$B$9, 0) + (VERI_TABANI!D26*B506*(VERI_TABANI!$B$13-VERI_TABANI!$B$14)*VERI_TABANI!G26) + (VERI_TABANI!D26*C506*(VERI_TABANI!$B$13-VERI_TABANI!$B$15)*VERI_TABANI!G26) + IF(ABS(IF(ISNUMBER(SEARCH("Var", D506)), 1, IF(ISNUMBER(SEARCH("Gri", D506)), -1, 0)))=1, VERI_TABANI!E26*(1-0.928)*0.00206091519919798*VERI_TABANI!G26, 0)) + ((MIN(VERI_TABANI!D27, VERI_TABANI!D27*B506)*VERI_TABANI!$B$7 + MAX(0, VERI_TABANI!D27*B506-VERI_TABANI!D27)*VERI_TABANI!$B$8) + (MIN(MAX(0, VERI_TABANI!D27-VERI_TABANI!D27*B506), VERI_TABANI!D27*C506)*VERI_TABANI!$B$7 + MAX(0, VERI_TABANI!D27*C506-MAX(0, VERI_TABANI!D27-VERI_TABANI!D27*B506))*VERI_TABANI!$B$8) + IF(ABS(IF(ISNUMBER(SEARCH("Var", D506)), 1, IF(ISNUMBER(SEARCH("Gri", D506)), -1, 0)))=1, VERI_TABANI!E27*(1-0.928)*VERI_TABANI!$B$9, 0) + (VERI_TABANI!D27*B506*(VERI_TABANI!$B$13-VERI_TABANI!$B$14)*VERI_TABANI!G27) + (VERI_TABANI!D27*C506*(VERI_TABANI!$B$13-VERI_TABANI!$B$15)*VERI_TABANI!G27) + IF(ABS(IF(ISNUMBER(SEARCH("Var", D506)), 1, IF(ISNUMBER(SEARCH("Gri", D506)), -1, 0)))=1, VERI_TABANI!E27*(1-0.928)*0.00206091519919798*VERI_TABANI!G27, 0)) + ((MIN(VERI_TABANI!D28, VERI_TABANI!D28*B506)*VERI_TABANI!$B$7 + MAX(0, VERI_TABANI!D28*B506-VERI_TABANI!D28)*VERI_TABANI!$B$8) + (MIN(MAX(0, VERI_TABANI!D28-VERI_TABANI!D28*B506), VERI_TABANI!D28*C506)*VERI_TABANI!$B$7 + MAX(0, VERI_TABANI!D28*C506-MAX(0, VERI_TABANI!D28-VERI_TABANI!D28*B506))*VERI_TABANI!$B$8) + IF(ABS(IF(ISNUMBER(SEARCH("Var", D506)), 1, IF(ISNUMBER(SEARCH("Gri", D506)), -1, 0)))=1, VERI_TABANI!E28*(1-0.928)*VERI_TABANI!$B$9, 0) + (VERI_TABANI!D28*B506*(VERI_TABANI!$B$13-VERI_TABANI!$B$14)*VERI_TABANI!G28) + (VERI_TABANI!D28*C506*(VERI_TABANI!$B$13-VERI_TABANI!$B$15)*VERI_TABANI!G28) + IF(ABS(IF(ISNUMBER(SEARCH("Var", D506)), 1, IF(ISNUMBER(SEARCH("Gri", D506)), -1, 0)))=1, VERI_TABANI!E28*(1-0.928)*0.00206091519919798*VERI_TABANI!G28, 0)))</f>
        <v/>
      </c>
      <c r="H506" s="169">
        <f>(((VERI_TABANI!D23*B506*(VERI_TABANI!$B$13-VERI_TABANI!$B$14)) + (VERI_TABANI!D23*C506*(VERI_TABANI!$B$13-VERI_TABANI!$B$15)) + IF(ISNUMBER(SEARCH("Var", D506)), VERI_TABANI!F23*(0.00202-VERI_TABANI!$B$16), IF(ISNUMBER(SEARCH("Gri", D506)), VERI_TABANI!F23*(0.00202-VERI_TABANI!$B$17), 0))) + ((VERI_TABANI!D24*B506*(VERI_TABANI!$B$13-VERI_TABANI!$B$14)) + (VERI_TABANI!D24*C506*(VERI_TABANI!$B$13-VERI_TABANI!$B$15)) + IF(ISNUMBER(SEARCH("Var", D506)), VERI_TABANI!F24*(0.00202-VERI_TABANI!$B$16), IF(ISNUMBER(SEARCH("Gri", D506)), VERI_TABANI!F24*(0.00202-VERI_TABANI!$B$17), 0))) + ((VERI_TABANI!D25*B506*(VERI_TABANI!$B$13-VERI_TABANI!$B$14)) + (VERI_TABANI!D25*C506*(VERI_TABANI!$B$13-VERI_TABANI!$B$15)) + IF(ISNUMBER(SEARCH("Var", D506)), VERI_TABANI!F25*(0.00202-VERI_TABANI!$B$16), IF(ISNUMBER(SEARCH("Gri", D506)), VERI_TABANI!F25*(0.00202-VERI_TABANI!$B$17), 0))) + ((VERI_TABANI!D26*B506*(VERI_TABANI!$B$13-VERI_TABANI!$B$14)) + (VERI_TABANI!D26*C506*(VERI_TABANI!$B$13-VERI_TABANI!$B$15)) + IF(ISNUMBER(SEARCH("Var", D506)), VERI_TABANI!F26*(0.00202-VERI_TABANI!$B$16), IF(ISNUMBER(SEARCH("Gri", D506)), VERI_TABANI!F26*(0.00202-VERI_TABANI!$B$17), 0))) + ((VERI_TABANI!D27*B506*(VERI_TABANI!$B$13-VERI_TABANI!$B$14)) + (VERI_TABANI!D27*C506*(VERI_TABANI!$B$13-VERI_TABANI!$B$15)) + IF(ISNUMBER(SEARCH("Var", D506)), VERI_TABANI!F27*(0.00202-VERI_TABANI!$B$16), IF(ISNUMBER(SEARCH("Gri", D506)), VERI_TABANI!F27*(0.00202-VERI_TABANI!$B$17), 0))) + ((VERI_TABANI!D28*B506*(VERI_TABANI!$B$13-VERI_TABANI!$B$14)) + (VERI_TABANI!D28*C506*(VERI_TABANI!$B$13-VERI_TABANI!$B$15)) + IF(ISNUMBER(SEARCH("Var", D506)), VERI_TABANI!F28*(0.00202-VERI_TABANI!$B$16), IF(ISNUMBER(SEARCH("Gri", D506)), VERI_TABANI!F28*(0.00202-VERI_TABANI!$B$17), 0))))</f>
        <v/>
      </c>
      <c r="I506" s="170">
        <f>IFERROR(((VERI_TABANI!$D$29*B506*VERI_TABANI!$B$14 + VERI_TABANI!$D$29*C506*VERI_TABANI!$B$15 + IF(ISNUMBER(SEARCH("Var", D506)), VERI_TABANI!$F$29*VERI_TABANI!$B$16, 0))) / (((VERI_TABANI!$D$29*B506 + VERI_TABANI!$D$29*C506)*VERI_TABANI!$B$13 + IF(ISNUMBER(SEARCH("Var", D506)), VERI_TABANI!$E$29*(1-0.928)*VERI_TABANI!$B$18, 0))), 0)</f>
        <v/>
      </c>
      <c r="J506" s="171">
        <f>IFERROR(F506/(G506/29), 0)</f>
        <v/>
      </c>
      <c r="K506" s="172">
        <f>IF(F506&gt;0, H506/F506, 0)</f>
        <v/>
      </c>
      <c r="L506" s="170">
        <f>IF(F506&gt;0, I506, 1000000000)</f>
        <v/>
      </c>
      <c r="M506" s="171">
        <f>ABS((B506+C506)-1)</f>
        <v/>
      </c>
      <c r="N506" s="170">
        <f>IF(F506&gt;0, (G506/29)/F506, 0)</f>
        <v/>
      </c>
      <c r="O506" s="168">
        <f>IF(AND((B506+C506)&gt;=1, ISNUMBER(SEARCH("Var", D506))), F506, 1000000000)</f>
        <v/>
      </c>
      <c r="P506" s="172">
        <f>IF(F506&gt;0, SQRT((F506/MAX(F$5:F$886))^2 + (1 - H506/MAX(H$5:H$886))^2 + (J506/MAX(J$5:J$886))^2), 1000000000)</f>
        <v/>
      </c>
      <c r="Q506" s="166">
        <f>IF(AND(ABS(B506-0.5)&lt;0.01, ABS(C506-0.5)&lt;0.01, ISNUMBER(SEARCH("Var", D506))), 1, 0)</f>
        <v/>
      </c>
      <c r="R506" s="171">
        <f>IF(F506&gt;0, J506, 1000000000)</f>
        <v/>
      </c>
      <c r="S506" s="101">
        <f>IF(AND(F506&lt;=DASHBOARD!$B$11, H506&gt;=DASHBOARD!$B$13), G506, -1000000000000)</f>
        <v/>
      </c>
      <c r="T506" s="101">
        <f>IF(AND(F506&lt;=DASHBOARD!$B$11, H506&gt;=DASHBOARD!$B$13), R506, 1000000000000)</f>
        <v/>
      </c>
      <c r="U506" s="101">
        <f>IF(AND(F506&lt;=DASHBOARD!$B$11, H506&gt;=DASHBOARD!$B$13), N506, -1000000000000)</f>
        <v/>
      </c>
      <c r="V506" s="101">
        <f>IF(AND(F506&lt;=DASHBOARD!$B$11, H506&gt;=DASHBOARD!$B$13), H506, -1000000000000)</f>
        <v/>
      </c>
      <c r="W506" s="101">
        <f>IF(AND(F506&lt;=DASHBOARD!$B$11, H506&gt;=DASHBOARD!$B$13), K506, -1000000000000)</f>
        <v/>
      </c>
      <c r="X506" s="101">
        <f>IF(AND(F506&lt;=DASHBOARD!$B$11, H506&gt;=DASHBOARD!$B$13), M506, 1000000000000)</f>
        <v/>
      </c>
      <c r="Y506" s="101">
        <f>IF(AND(F506&lt;=DASHBOARD!$B$10, H506&gt;=DASHBOARD!$B$11), L506, 1000000000000)</f>
        <v/>
      </c>
      <c r="Z506" s="101">
        <f>IF(AND(F506&lt;=DASHBOARD!$B$10, H506&gt;=DASHBOARD!$B$11), O506, 1000000000000)</f>
        <v/>
      </c>
      <c r="AA506" s="101">
        <f>IF(AND(F506&lt;=DASHBOARD!$B$10, H506&gt;=DASHBOARD!$B$11), P506, 1000000000000)</f>
        <v/>
      </c>
      <c r="AB506" s="101">
        <f>IF(AND(F506&lt;=DASHBOARD!$B$10, H506&gt;=DASHBOARD!$B$11), Q506, -1000000000000)</f>
        <v/>
      </c>
    </row>
    <row r="507" ht="15" customHeight="1" s="102">
      <c r="A507" s="166" t="n">
        <v>503</v>
      </c>
      <c r="B507" s="167" t="n">
        <v>1.1</v>
      </c>
      <c r="C507" s="167" t="n">
        <v>2</v>
      </c>
      <c r="D507" s="110" t="inlineStr">
        <is>
          <t>Yok (%0)</t>
        </is>
      </c>
      <c r="E507" s="110">
        <f>IF((B507+C507)&lt;=1, "Tam Mahsuplaşma (≤%100)", "Kısmi Satış (&gt;%100)")</f>
        <v/>
      </c>
      <c r="F507" s="168">
        <f>((VERI_TABANI!$D$29*B507/VERI_TABANI!$B$29)/VERI_TABANI!$B$3)*VERI_TABANI!$B$5 + ((VERI_TABANI!$D$29*C507/VERI_TABANI!$B$29)/VERI_TABANI!$B$4)*VERI_TABANI!$B$6 + IF(ISNUMBER(SEARCH("Var", D507)), (VERI_TABANI!$F$29/VERI_TABANI!$B$29)*(VERI_TABANI!$B$10+VERI_TABANI!$B$12), 0)</f>
        <v/>
      </c>
      <c r="G507" s="168">
        <f>(((MIN(VERI_TABANI!D23, VERI_TABANI!D23*B507)*VERI_TABANI!$B$7 + MAX(0, VERI_TABANI!D23*B507-VERI_TABANI!D23)*VERI_TABANI!$B$8) + (MIN(MAX(0, VERI_TABANI!D23-VERI_TABANI!D23*B507), VERI_TABANI!D23*C507)*VERI_TABANI!$B$7 + MAX(0, VERI_TABANI!D23*C507-MAX(0, VERI_TABANI!D23-VERI_TABANI!D23*B507))*VERI_TABANI!$B$8) + IF(ABS(IF(ISNUMBER(SEARCH("Var", D507)), 1, IF(ISNUMBER(SEARCH("Gri", D507)), -1, 0)))=1, VERI_TABANI!E23*(1-0.928)*VERI_TABANI!$B$9, 0) + (VERI_TABANI!D23*B507*(VERI_TABANI!$B$13-VERI_TABANI!$B$14)*VERI_TABANI!G23) + (VERI_TABANI!D23*C507*(VERI_TABANI!$B$13-VERI_TABANI!$B$15)*VERI_TABANI!G23) + IF(ABS(IF(ISNUMBER(SEARCH("Var", D507)), 1, IF(ISNUMBER(SEARCH("Gri", D507)), -1, 0)))=1, VERI_TABANI!E23*(1-0.928)*0.00206091519919798*VERI_TABANI!G23, 0)) + ((MIN(VERI_TABANI!D24, VERI_TABANI!D24*B507)*VERI_TABANI!$B$7 + MAX(0, VERI_TABANI!D24*B507-VERI_TABANI!D24)*VERI_TABANI!$B$8) + (MIN(MAX(0, VERI_TABANI!D24-VERI_TABANI!D24*B507), VERI_TABANI!D24*C507)*VERI_TABANI!$B$7 + MAX(0, VERI_TABANI!D24*C507-MAX(0, VERI_TABANI!D24-VERI_TABANI!D24*B507))*VERI_TABANI!$B$8) + IF(ABS(IF(ISNUMBER(SEARCH("Var", D507)), 1, IF(ISNUMBER(SEARCH("Gri", D507)), -1, 0)))=1, VERI_TABANI!E24*(1-0.928)*VERI_TABANI!$B$9, 0) + (VERI_TABANI!D24*B507*(VERI_TABANI!$B$13-VERI_TABANI!$B$14)*VERI_TABANI!G24) + (VERI_TABANI!D24*C507*(VERI_TABANI!$B$13-VERI_TABANI!$B$15)*VERI_TABANI!G24) + IF(ABS(IF(ISNUMBER(SEARCH("Var", D507)), 1, IF(ISNUMBER(SEARCH("Gri", D507)), -1, 0)))=1, VERI_TABANI!E24*(1-0.928)*0.00206091519919798*VERI_TABANI!G24, 0)) + ((MIN(VERI_TABANI!D25, VERI_TABANI!D25*B507)*VERI_TABANI!$B$7 + MAX(0, VERI_TABANI!D25*B507-VERI_TABANI!D25)*VERI_TABANI!$B$8) + (MIN(MAX(0, VERI_TABANI!D25-VERI_TABANI!D25*B507), VERI_TABANI!D25*C507)*VERI_TABANI!$B$7 + MAX(0, VERI_TABANI!D25*C507-MAX(0, VERI_TABANI!D25-VERI_TABANI!D25*B507))*VERI_TABANI!$B$8) + IF(ABS(IF(ISNUMBER(SEARCH("Var", D507)), 1, IF(ISNUMBER(SEARCH("Gri", D507)), -1, 0)))=1, VERI_TABANI!E25*(1-0.928)*VERI_TABANI!$B$9, 0) + (VERI_TABANI!D25*B507*(VERI_TABANI!$B$13-VERI_TABANI!$B$14)*VERI_TABANI!G25) + (VERI_TABANI!D25*C507*(VERI_TABANI!$B$13-VERI_TABANI!$B$15)*VERI_TABANI!G25) + IF(ABS(IF(ISNUMBER(SEARCH("Var", D507)), 1, IF(ISNUMBER(SEARCH("Gri", D507)), -1, 0)))=1, VERI_TABANI!E25*(1-0.928)*0.00206091519919798*VERI_TABANI!G25, 0)) + ((MIN(VERI_TABANI!D26, VERI_TABANI!D26*B507)*VERI_TABANI!$B$7 + MAX(0, VERI_TABANI!D26*B507-VERI_TABANI!D26)*VERI_TABANI!$B$8) + (MIN(MAX(0, VERI_TABANI!D26-VERI_TABANI!D26*B507), VERI_TABANI!D26*C507)*VERI_TABANI!$B$7 + MAX(0, VERI_TABANI!D26*C507-MAX(0, VERI_TABANI!D26-VERI_TABANI!D26*B507))*VERI_TABANI!$B$8) + IF(ABS(IF(ISNUMBER(SEARCH("Var", D507)), 1, IF(ISNUMBER(SEARCH("Gri", D507)), -1, 0)))=1, VERI_TABANI!E26*(1-0.928)*VERI_TABANI!$B$9, 0) + (VERI_TABANI!D26*B507*(VERI_TABANI!$B$13-VERI_TABANI!$B$14)*VERI_TABANI!G26) + (VERI_TABANI!D26*C507*(VERI_TABANI!$B$13-VERI_TABANI!$B$15)*VERI_TABANI!G26) + IF(ABS(IF(ISNUMBER(SEARCH("Var", D507)), 1, IF(ISNUMBER(SEARCH("Gri", D507)), -1, 0)))=1, VERI_TABANI!E26*(1-0.928)*0.00206091519919798*VERI_TABANI!G26, 0)) + ((MIN(VERI_TABANI!D27, VERI_TABANI!D27*B507)*VERI_TABANI!$B$7 + MAX(0, VERI_TABANI!D27*B507-VERI_TABANI!D27)*VERI_TABANI!$B$8) + (MIN(MAX(0, VERI_TABANI!D27-VERI_TABANI!D27*B507), VERI_TABANI!D27*C507)*VERI_TABANI!$B$7 + MAX(0, VERI_TABANI!D27*C507-MAX(0, VERI_TABANI!D27-VERI_TABANI!D27*B507))*VERI_TABANI!$B$8) + IF(ABS(IF(ISNUMBER(SEARCH("Var", D507)), 1, IF(ISNUMBER(SEARCH("Gri", D507)), -1, 0)))=1, VERI_TABANI!E27*(1-0.928)*VERI_TABANI!$B$9, 0) + (VERI_TABANI!D27*B507*(VERI_TABANI!$B$13-VERI_TABANI!$B$14)*VERI_TABANI!G27) + (VERI_TABANI!D27*C507*(VERI_TABANI!$B$13-VERI_TABANI!$B$15)*VERI_TABANI!G27) + IF(ABS(IF(ISNUMBER(SEARCH("Var", D507)), 1, IF(ISNUMBER(SEARCH("Gri", D507)), -1, 0)))=1, VERI_TABANI!E27*(1-0.928)*0.00206091519919798*VERI_TABANI!G27, 0)) + ((MIN(VERI_TABANI!D28, VERI_TABANI!D28*B507)*VERI_TABANI!$B$7 + MAX(0, VERI_TABANI!D28*B507-VERI_TABANI!D28)*VERI_TABANI!$B$8) + (MIN(MAX(0, VERI_TABANI!D28-VERI_TABANI!D28*B507), VERI_TABANI!D28*C507)*VERI_TABANI!$B$7 + MAX(0, VERI_TABANI!D28*C507-MAX(0, VERI_TABANI!D28-VERI_TABANI!D28*B507))*VERI_TABANI!$B$8) + IF(ABS(IF(ISNUMBER(SEARCH("Var", D507)), 1, IF(ISNUMBER(SEARCH("Gri", D507)), -1, 0)))=1, VERI_TABANI!E28*(1-0.928)*VERI_TABANI!$B$9, 0) + (VERI_TABANI!D28*B507*(VERI_TABANI!$B$13-VERI_TABANI!$B$14)*VERI_TABANI!G28) + (VERI_TABANI!D28*C507*(VERI_TABANI!$B$13-VERI_TABANI!$B$15)*VERI_TABANI!G28) + IF(ABS(IF(ISNUMBER(SEARCH("Var", D507)), 1, IF(ISNUMBER(SEARCH("Gri", D507)), -1, 0)))=1, VERI_TABANI!E28*(1-0.928)*0.00206091519919798*VERI_TABANI!G28, 0)))</f>
        <v/>
      </c>
      <c r="H507" s="169">
        <f>(((VERI_TABANI!D23*B507*(VERI_TABANI!$B$13-VERI_TABANI!$B$14)) + (VERI_TABANI!D23*C507*(VERI_TABANI!$B$13-VERI_TABANI!$B$15)) + IF(ISNUMBER(SEARCH("Var", D507)), VERI_TABANI!F23*(0.00202-VERI_TABANI!$B$16), IF(ISNUMBER(SEARCH("Gri", D507)), VERI_TABANI!F23*(0.00202-VERI_TABANI!$B$17), 0))) + ((VERI_TABANI!D24*B507*(VERI_TABANI!$B$13-VERI_TABANI!$B$14)) + (VERI_TABANI!D24*C507*(VERI_TABANI!$B$13-VERI_TABANI!$B$15)) + IF(ISNUMBER(SEARCH("Var", D507)), VERI_TABANI!F24*(0.00202-VERI_TABANI!$B$16), IF(ISNUMBER(SEARCH("Gri", D507)), VERI_TABANI!F24*(0.00202-VERI_TABANI!$B$17), 0))) + ((VERI_TABANI!D25*B507*(VERI_TABANI!$B$13-VERI_TABANI!$B$14)) + (VERI_TABANI!D25*C507*(VERI_TABANI!$B$13-VERI_TABANI!$B$15)) + IF(ISNUMBER(SEARCH("Var", D507)), VERI_TABANI!F25*(0.00202-VERI_TABANI!$B$16), IF(ISNUMBER(SEARCH("Gri", D507)), VERI_TABANI!F25*(0.00202-VERI_TABANI!$B$17), 0))) + ((VERI_TABANI!D26*B507*(VERI_TABANI!$B$13-VERI_TABANI!$B$14)) + (VERI_TABANI!D26*C507*(VERI_TABANI!$B$13-VERI_TABANI!$B$15)) + IF(ISNUMBER(SEARCH("Var", D507)), VERI_TABANI!F26*(0.00202-VERI_TABANI!$B$16), IF(ISNUMBER(SEARCH("Gri", D507)), VERI_TABANI!F26*(0.00202-VERI_TABANI!$B$17), 0))) + ((VERI_TABANI!D27*B507*(VERI_TABANI!$B$13-VERI_TABANI!$B$14)) + (VERI_TABANI!D27*C507*(VERI_TABANI!$B$13-VERI_TABANI!$B$15)) + IF(ISNUMBER(SEARCH("Var", D507)), VERI_TABANI!F27*(0.00202-VERI_TABANI!$B$16), IF(ISNUMBER(SEARCH("Gri", D507)), VERI_TABANI!F27*(0.00202-VERI_TABANI!$B$17), 0))) + ((VERI_TABANI!D28*B507*(VERI_TABANI!$B$13-VERI_TABANI!$B$14)) + (VERI_TABANI!D28*C507*(VERI_TABANI!$B$13-VERI_TABANI!$B$15)) + IF(ISNUMBER(SEARCH("Var", D507)), VERI_TABANI!F28*(0.00202-VERI_TABANI!$B$16), IF(ISNUMBER(SEARCH("Gri", D507)), VERI_TABANI!F28*(0.00202-VERI_TABANI!$B$17), 0))))</f>
        <v/>
      </c>
      <c r="I507" s="170">
        <f>IFERROR(((VERI_TABANI!$D$29*B507*VERI_TABANI!$B$14 + VERI_TABANI!$D$29*C507*VERI_TABANI!$B$15 + IF(ISNUMBER(SEARCH("Var", D507)), VERI_TABANI!$F$29*VERI_TABANI!$B$16, 0))) / (((VERI_TABANI!$D$29*B507 + VERI_TABANI!$D$29*C507)*VERI_TABANI!$B$13 + IF(ISNUMBER(SEARCH("Var", D507)), VERI_TABANI!$E$29*(1-0.928)*VERI_TABANI!$B$18, 0))), 0)</f>
        <v/>
      </c>
      <c r="J507" s="171">
        <f>IFERROR(F507/(G507/29), 0)</f>
        <v/>
      </c>
      <c r="K507" s="172">
        <f>IF(F507&gt;0, H507/F507, 0)</f>
        <v/>
      </c>
      <c r="L507" s="170">
        <f>IF(F507&gt;0, I507, 1000000000)</f>
        <v/>
      </c>
      <c r="M507" s="171">
        <f>ABS((B507+C507)-1)</f>
        <v/>
      </c>
      <c r="N507" s="170">
        <f>IF(F507&gt;0, (G507/29)/F507, 0)</f>
        <v/>
      </c>
      <c r="O507" s="168">
        <f>IF(AND((B507+C507)&gt;=1, ISNUMBER(SEARCH("Var", D507))), F507, 1000000000)</f>
        <v/>
      </c>
      <c r="P507" s="172">
        <f>IF(F507&gt;0, SQRT((F507/MAX(F$5:F$886))^2 + (1 - H507/MAX(H$5:H$886))^2 + (J507/MAX(J$5:J$886))^2), 1000000000)</f>
        <v/>
      </c>
      <c r="Q507" s="166">
        <f>IF(AND(ABS(B507-0.5)&lt;0.01, ABS(C507-0.5)&lt;0.01, ISNUMBER(SEARCH("Var", D507))), 1, 0)</f>
        <v/>
      </c>
      <c r="R507" s="171">
        <f>IF(F507&gt;0, J507, 1000000000)</f>
        <v/>
      </c>
      <c r="S507" s="101">
        <f>IF(AND(F507&lt;=DASHBOARD!$B$11, H507&gt;=DASHBOARD!$B$13), G507, -1000000000000)</f>
        <v/>
      </c>
      <c r="T507" s="101">
        <f>IF(AND(F507&lt;=DASHBOARD!$B$11, H507&gt;=DASHBOARD!$B$13), R507, 1000000000000)</f>
        <v/>
      </c>
      <c r="U507" s="101">
        <f>IF(AND(F507&lt;=DASHBOARD!$B$11, H507&gt;=DASHBOARD!$B$13), N507, -1000000000000)</f>
        <v/>
      </c>
      <c r="V507" s="101">
        <f>IF(AND(F507&lt;=DASHBOARD!$B$11, H507&gt;=DASHBOARD!$B$13), H507, -1000000000000)</f>
        <v/>
      </c>
      <c r="W507" s="101">
        <f>IF(AND(F507&lt;=DASHBOARD!$B$11, H507&gt;=DASHBOARD!$B$13), K507, -1000000000000)</f>
        <v/>
      </c>
      <c r="X507" s="101">
        <f>IF(AND(F507&lt;=DASHBOARD!$B$11, H507&gt;=DASHBOARD!$B$13), M507, 1000000000000)</f>
        <v/>
      </c>
      <c r="Y507" s="101">
        <f>IF(AND(F507&lt;=DASHBOARD!$B$10, H507&gt;=DASHBOARD!$B$11), L507, 1000000000000)</f>
        <v/>
      </c>
      <c r="Z507" s="101">
        <f>IF(AND(F507&lt;=DASHBOARD!$B$10, H507&gt;=DASHBOARD!$B$11), O507, 1000000000000)</f>
        <v/>
      </c>
      <c r="AA507" s="101">
        <f>IF(AND(F507&lt;=DASHBOARD!$B$10, H507&gt;=DASHBOARD!$B$11), P507, 1000000000000)</f>
        <v/>
      </c>
      <c r="AB507" s="101">
        <f>IF(AND(F507&lt;=DASHBOARD!$B$10, H507&gt;=DASHBOARD!$B$11), Q507, -1000000000000)</f>
        <v/>
      </c>
    </row>
    <row r="508" ht="15" customHeight="1" s="102">
      <c r="A508" s="166" t="n">
        <v>504</v>
      </c>
      <c r="B508" s="167" t="n">
        <v>1.1</v>
      </c>
      <c r="C508" s="167" t="n">
        <v>2</v>
      </c>
      <c r="D508" s="110" t="inlineStr">
        <is>
          <t>Var (%20)</t>
        </is>
      </c>
      <c r="E508" s="110">
        <f>IF((B508+C508)&lt;=1, "Tam Mahsuplaşma (≤%100)", "Kısmi Satış (&gt;%100)")</f>
        <v/>
      </c>
      <c r="F508" s="168">
        <f>((VERI_TABANI!$D$29*B508/VERI_TABANI!$B$29)/VERI_TABANI!$B$3)*VERI_TABANI!$B$5 + ((VERI_TABANI!$D$29*C508/VERI_TABANI!$B$29)/VERI_TABANI!$B$4)*VERI_TABANI!$B$6 + IF(ISNUMBER(SEARCH("Var", D508)), (VERI_TABANI!$F$29/VERI_TABANI!$B$29)*(VERI_TABANI!$B$10+VERI_TABANI!$B$12), 0)</f>
        <v/>
      </c>
      <c r="G508" s="168">
        <f>(((MIN(VERI_TABANI!D23, VERI_TABANI!D23*B508)*VERI_TABANI!$B$7 + MAX(0, VERI_TABANI!D23*B508-VERI_TABANI!D23)*VERI_TABANI!$B$8) + (MIN(MAX(0, VERI_TABANI!D23-VERI_TABANI!D23*B508), VERI_TABANI!D23*C508)*VERI_TABANI!$B$7 + MAX(0, VERI_TABANI!D23*C508-MAX(0, VERI_TABANI!D23-VERI_TABANI!D23*B508))*VERI_TABANI!$B$8) + IF(ABS(IF(ISNUMBER(SEARCH("Var", D508)), 1, IF(ISNUMBER(SEARCH("Gri", D508)), -1, 0)))=1, VERI_TABANI!E23*(1-0.928)*VERI_TABANI!$B$9, 0) + (VERI_TABANI!D23*B508*(VERI_TABANI!$B$13-VERI_TABANI!$B$14)*VERI_TABANI!G23) + (VERI_TABANI!D23*C508*(VERI_TABANI!$B$13-VERI_TABANI!$B$15)*VERI_TABANI!G23) + IF(ABS(IF(ISNUMBER(SEARCH("Var", D508)), 1, IF(ISNUMBER(SEARCH("Gri", D508)), -1, 0)))=1, VERI_TABANI!E23*(1-0.928)*0.00206091519919798*VERI_TABANI!G23, 0)) + ((MIN(VERI_TABANI!D24, VERI_TABANI!D24*B508)*VERI_TABANI!$B$7 + MAX(0, VERI_TABANI!D24*B508-VERI_TABANI!D24)*VERI_TABANI!$B$8) + (MIN(MAX(0, VERI_TABANI!D24-VERI_TABANI!D24*B508), VERI_TABANI!D24*C508)*VERI_TABANI!$B$7 + MAX(0, VERI_TABANI!D24*C508-MAX(0, VERI_TABANI!D24-VERI_TABANI!D24*B508))*VERI_TABANI!$B$8) + IF(ABS(IF(ISNUMBER(SEARCH("Var", D508)), 1, IF(ISNUMBER(SEARCH("Gri", D508)), -1, 0)))=1, VERI_TABANI!E24*(1-0.928)*VERI_TABANI!$B$9, 0) + (VERI_TABANI!D24*B508*(VERI_TABANI!$B$13-VERI_TABANI!$B$14)*VERI_TABANI!G24) + (VERI_TABANI!D24*C508*(VERI_TABANI!$B$13-VERI_TABANI!$B$15)*VERI_TABANI!G24) + IF(ABS(IF(ISNUMBER(SEARCH("Var", D508)), 1, IF(ISNUMBER(SEARCH("Gri", D508)), -1, 0)))=1, VERI_TABANI!E24*(1-0.928)*0.00206091519919798*VERI_TABANI!G24, 0)) + ((MIN(VERI_TABANI!D25, VERI_TABANI!D25*B508)*VERI_TABANI!$B$7 + MAX(0, VERI_TABANI!D25*B508-VERI_TABANI!D25)*VERI_TABANI!$B$8) + (MIN(MAX(0, VERI_TABANI!D25-VERI_TABANI!D25*B508), VERI_TABANI!D25*C508)*VERI_TABANI!$B$7 + MAX(0, VERI_TABANI!D25*C508-MAX(0, VERI_TABANI!D25-VERI_TABANI!D25*B508))*VERI_TABANI!$B$8) + IF(ABS(IF(ISNUMBER(SEARCH("Var", D508)), 1, IF(ISNUMBER(SEARCH("Gri", D508)), -1, 0)))=1, VERI_TABANI!E25*(1-0.928)*VERI_TABANI!$B$9, 0) + (VERI_TABANI!D25*B508*(VERI_TABANI!$B$13-VERI_TABANI!$B$14)*VERI_TABANI!G25) + (VERI_TABANI!D25*C508*(VERI_TABANI!$B$13-VERI_TABANI!$B$15)*VERI_TABANI!G25) + IF(ABS(IF(ISNUMBER(SEARCH("Var", D508)), 1, IF(ISNUMBER(SEARCH("Gri", D508)), -1, 0)))=1, VERI_TABANI!E25*(1-0.928)*0.00206091519919798*VERI_TABANI!G25, 0)) + ((MIN(VERI_TABANI!D26, VERI_TABANI!D26*B508)*VERI_TABANI!$B$7 + MAX(0, VERI_TABANI!D26*B508-VERI_TABANI!D26)*VERI_TABANI!$B$8) + (MIN(MAX(0, VERI_TABANI!D26-VERI_TABANI!D26*B508), VERI_TABANI!D26*C508)*VERI_TABANI!$B$7 + MAX(0, VERI_TABANI!D26*C508-MAX(0, VERI_TABANI!D26-VERI_TABANI!D26*B508))*VERI_TABANI!$B$8) + IF(ABS(IF(ISNUMBER(SEARCH("Var", D508)), 1, IF(ISNUMBER(SEARCH("Gri", D508)), -1, 0)))=1, VERI_TABANI!E26*(1-0.928)*VERI_TABANI!$B$9, 0) + (VERI_TABANI!D26*B508*(VERI_TABANI!$B$13-VERI_TABANI!$B$14)*VERI_TABANI!G26) + (VERI_TABANI!D26*C508*(VERI_TABANI!$B$13-VERI_TABANI!$B$15)*VERI_TABANI!G26) + IF(ABS(IF(ISNUMBER(SEARCH("Var", D508)), 1, IF(ISNUMBER(SEARCH("Gri", D508)), -1, 0)))=1, VERI_TABANI!E26*(1-0.928)*0.00206091519919798*VERI_TABANI!G26, 0)) + ((MIN(VERI_TABANI!D27, VERI_TABANI!D27*B508)*VERI_TABANI!$B$7 + MAX(0, VERI_TABANI!D27*B508-VERI_TABANI!D27)*VERI_TABANI!$B$8) + (MIN(MAX(0, VERI_TABANI!D27-VERI_TABANI!D27*B508), VERI_TABANI!D27*C508)*VERI_TABANI!$B$7 + MAX(0, VERI_TABANI!D27*C508-MAX(0, VERI_TABANI!D27-VERI_TABANI!D27*B508))*VERI_TABANI!$B$8) + IF(ABS(IF(ISNUMBER(SEARCH("Var", D508)), 1, IF(ISNUMBER(SEARCH("Gri", D508)), -1, 0)))=1, VERI_TABANI!E27*(1-0.928)*VERI_TABANI!$B$9, 0) + (VERI_TABANI!D27*B508*(VERI_TABANI!$B$13-VERI_TABANI!$B$14)*VERI_TABANI!G27) + (VERI_TABANI!D27*C508*(VERI_TABANI!$B$13-VERI_TABANI!$B$15)*VERI_TABANI!G27) + IF(ABS(IF(ISNUMBER(SEARCH("Var", D508)), 1, IF(ISNUMBER(SEARCH("Gri", D508)), -1, 0)))=1, VERI_TABANI!E27*(1-0.928)*0.00206091519919798*VERI_TABANI!G27, 0)) + ((MIN(VERI_TABANI!D28, VERI_TABANI!D28*B508)*VERI_TABANI!$B$7 + MAX(0, VERI_TABANI!D28*B508-VERI_TABANI!D28)*VERI_TABANI!$B$8) + (MIN(MAX(0, VERI_TABANI!D28-VERI_TABANI!D28*B508), VERI_TABANI!D28*C508)*VERI_TABANI!$B$7 + MAX(0, VERI_TABANI!D28*C508-MAX(0, VERI_TABANI!D28-VERI_TABANI!D28*B508))*VERI_TABANI!$B$8) + IF(ABS(IF(ISNUMBER(SEARCH("Var", D508)), 1, IF(ISNUMBER(SEARCH("Gri", D508)), -1, 0)))=1, VERI_TABANI!E28*(1-0.928)*VERI_TABANI!$B$9, 0) + (VERI_TABANI!D28*B508*(VERI_TABANI!$B$13-VERI_TABANI!$B$14)*VERI_TABANI!G28) + (VERI_TABANI!D28*C508*(VERI_TABANI!$B$13-VERI_TABANI!$B$15)*VERI_TABANI!G28) + IF(ABS(IF(ISNUMBER(SEARCH("Var", D508)), 1, IF(ISNUMBER(SEARCH("Gri", D508)), -1, 0)))=1, VERI_TABANI!E28*(1-0.928)*0.00206091519919798*VERI_TABANI!G28, 0)))</f>
        <v/>
      </c>
      <c r="H508" s="169">
        <f>(((VERI_TABANI!D23*B508*(VERI_TABANI!$B$13-VERI_TABANI!$B$14)) + (VERI_TABANI!D23*C508*(VERI_TABANI!$B$13-VERI_TABANI!$B$15)) + IF(ISNUMBER(SEARCH("Var", D508)), VERI_TABANI!F23*(0.00202-VERI_TABANI!$B$16), IF(ISNUMBER(SEARCH("Gri", D508)), VERI_TABANI!F23*(0.00202-VERI_TABANI!$B$17), 0))) + ((VERI_TABANI!D24*B508*(VERI_TABANI!$B$13-VERI_TABANI!$B$14)) + (VERI_TABANI!D24*C508*(VERI_TABANI!$B$13-VERI_TABANI!$B$15)) + IF(ISNUMBER(SEARCH("Var", D508)), VERI_TABANI!F24*(0.00202-VERI_TABANI!$B$16), IF(ISNUMBER(SEARCH("Gri", D508)), VERI_TABANI!F24*(0.00202-VERI_TABANI!$B$17), 0))) + ((VERI_TABANI!D25*B508*(VERI_TABANI!$B$13-VERI_TABANI!$B$14)) + (VERI_TABANI!D25*C508*(VERI_TABANI!$B$13-VERI_TABANI!$B$15)) + IF(ISNUMBER(SEARCH("Var", D508)), VERI_TABANI!F25*(0.00202-VERI_TABANI!$B$16), IF(ISNUMBER(SEARCH("Gri", D508)), VERI_TABANI!F25*(0.00202-VERI_TABANI!$B$17), 0))) + ((VERI_TABANI!D26*B508*(VERI_TABANI!$B$13-VERI_TABANI!$B$14)) + (VERI_TABANI!D26*C508*(VERI_TABANI!$B$13-VERI_TABANI!$B$15)) + IF(ISNUMBER(SEARCH("Var", D508)), VERI_TABANI!F26*(0.00202-VERI_TABANI!$B$16), IF(ISNUMBER(SEARCH("Gri", D508)), VERI_TABANI!F26*(0.00202-VERI_TABANI!$B$17), 0))) + ((VERI_TABANI!D27*B508*(VERI_TABANI!$B$13-VERI_TABANI!$B$14)) + (VERI_TABANI!D27*C508*(VERI_TABANI!$B$13-VERI_TABANI!$B$15)) + IF(ISNUMBER(SEARCH("Var", D508)), VERI_TABANI!F27*(0.00202-VERI_TABANI!$B$16), IF(ISNUMBER(SEARCH("Gri", D508)), VERI_TABANI!F27*(0.00202-VERI_TABANI!$B$17), 0))) + ((VERI_TABANI!D28*B508*(VERI_TABANI!$B$13-VERI_TABANI!$B$14)) + (VERI_TABANI!D28*C508*(VERI_TABANI!$B$13-VERI_TABANI!$B$15)) + IF(ISNUMBER(SEARCH("Var", D508)), VERI_TABANI!F28*(0.00202-VERI_TABANI!$B$16), IF(ISNUMBER(SEARCH("Gri", D508)), VERI_TABANI!F28*(0.00202-VERI_TABANI!$B$17), 0))))</f>
        <v/>
      </c>
      <c r="I508" s="170">
        <f>IFERROR(((VERI_TABANI!$D$29*B508*VERI_TABANI!$B$14 + VERI_TABANI!$D$29*C508*VERI_TABANI!$B$15 + IF(ISNUMBER(SEARCH("Var", D508)), VERI_TABANI!$F$29*VERI_TABANI!$B$16, 0))) / (((VERI_TABANI!$D$29*B508 + VERI_TABANI!$D$29*C508)*VERI_TABANI!$B$13 + IF(ISNUMBER(SEARCH("Var", D508)), VERI_TABANI!$E$29*(1-0.928)*VERI_TABANI!$B$18, 0))), 0)</f>
        <v/>
      </c>
      <c r="J508" s="171">
        <f>IFERROR(F508/(G508/29), 0)</f>
        <v/>
      </c>
      <c r="K508" s="172">
        <f>IF(F508&gt;0, H508/F508, 0)</f>
        <v/>
      </c>
      <c r="L508" s="170">
        <f>IF(F508&gt;0, I508, 1000000000)</f>
        <v/>
      </c>
      <c r="M508" s="171">
        <f>ABS((B508+C508)-1)</f>
        <v/>
      </c>
      <c r="N508" s="170">
        <f>IF(F508&gt;0, (G508/29)/F508, 0)</f>
        <v/>
      </c>
      <c r="O508" s="168">
        <f>IF(AND((B508+C508)&gt;=1, ISNUMBER(SEARCH("Var", D508))), F508, 1000000000)</f>
        <v/>
      </c>
      <c r="P508" s="172">
        <f>IF(F508&gt;0, SQRT((F508/MAX(F$5:F$886))^2 + (1 - H508/MAX(H$5:H$886))^2 + (J508/MAX(J$5:J$886))^2), 1000000000)</f>
        <v/>
      </c>
      <c r="Q508" s="166">
        <f>IF(AND(ABS(B508-0.5)&lt;0.01, ABS(C508-0.5)&lt;0.01, ISNUMBER(SEARCH("Var", D508))), 1, 0)</f>
        <v/>
      </c>
      <c r="R508" s="171">
        <f>IF(F508&gt;0, J508, 1000000000)</f>
        <v/>
      </c>
      <c r="S508" s="101">
        <f>IF(AND(F508&lt;=DASHBOARD!$B$11, H508&gt;=DASHBOARD!$B$13), G508, -1000000000000)</f>
        <v/>
      </c>
      <c r="T508" s="101">
        <f>IF(AND(F508&lt;=DASHBOARD!$B$11, H508&gt;=DASHBOARD!$B$13), R508, 1000000000000)</f>
        <v/>
      </c>
      <c r="U508" s="101">
        <f>IF(AND(F508&lt;=DASHBOARD!$B$11, H508&gt;=DASHBOARD!$B$13), N508, -1000000000000)</f>
        <v/>
      </c>
      <c r="V508" s="101">
        <f>IF(AND(F508&lt;=DASHBOARD!$B$11, H508&gt;=DASHBOARD!$B$13), H508, -1000000000000)</f>
        <v/>
      </c>
      <c r="W508" s="101">
        <f>IF(AND(F508&lt;=DASHBOARD!$B$11, H508&gt;=DASHBOARD!$B$13), K508, -1000000000000)</f>
        <v/>
      </c>
      <c r="X508" s="101">
        <f>IF(AND(F508&lt;=DASHBOARD!$B$11, H508&gt;=DASHBOARD!$B$13), M508, 1000000000000)</f>
        <v/>
      </c>
      <c r="Y508" s="101">
        <f>IF(AND(F508&lt;=DASHBOARD!$B$10, H508&gt;=DASHBOARD!$B$11), L508, 1000000000000)</f>
        <v/>
      </c>
      <c r="Z508" s="101">
        <f>IF(AND(F508&lt;=DASHBOARD!$B$10, H508&gt;=DASHBOARD!$B$11), O508, 1000000000000)</f>
        <v/>
      </c>
      <c r="AA508" s="101">
        <f>IF(AND(F508&lt;=DASHBOARD!$B$10, H508&gt;=DASHBOARD!$B$11), P508, 1000000000000)</f>
        <v/>
      </c>
      <c r="AB508" s="101">
        <f>IF(AND(F508&lt;=DASHBOARD!$B$10, H508&gt;=DASHBOARD!$B$11), Q508, -1000000000000)</f>
        <v/>
      </c>
    </row>
    <row r="509" ht="15" customHeight="1" s="102">
      <c r="A509" s="166" t="n">
        <v>505</v>
      </c>
      <c r="B509" s="167" t="n">
        <v>1.2</v>
      </c>
      <c r="C509" s="167" t="n">
        <v>0</v>
      </c>
      <c r="D509" s="110" t="inlineStr">
        <is>
          <t>Yok (%0)</t>
        </is>
      </c>
      <c r="E509" s="110">
        <f>IF((B509+C509)&lt;=1, "Tam Mahsuplaşma (≤%100)", "Kısmi Satış (&gt;%100)")</f>
        <v/>
      </c>
      <c r="F509" s="168">
        <f>((VERI_TABANI!$D$29*B509/VERI_TABANI!$B$29)/VERI_TABANI!$B$3)*VERI_TABANI!$B$5 + ((VERI_TABANI!$D$29*C509/VERI_TABANI!$B$29)/VERI_TABANI!$B$4)*VERI_TABANI!$B$6 + IF(ISNUMBER(SEARCH("Var", D509)), (VERI_TABANI!$F$29/VERI_TABANI!$B$29)*(VERI_TABANI!$B$10+VERI_TABANI!$B$12), 0)</f>
        <v/>
      </c>
      <c r="G509" s="168">
        <f>(((MIN(VERI_TABANI!D23, VERI_TABANI!D23*B509)*VERI_TABANI!$B$7 + MAX(0, VERI_TABANI!D23*B509-VERI_TABANI!D23)*VERI_TABANI!$B$8) + (MIN(MAX(0, VERI_TABANI!D23-VERI_TABANI!D23*B509), VERI_TABANI!D23*C509)*VERI_TABANI!$B$7 + MAX(0, VERI_TABANI!D23*C509-MAX(0, VERI_TABANI!D23-VERI_TABANI!D23*B509))*VERI_TABANI!$B$8) + IF(ABS(IF(ISNUMBER(SEARCH("Var", D509)), 1, IF(ISNUMBER(SEARCH("Gri", D509)), -1, 0)))=1, VERI_TABANI!E23*(1-0.928)*VERI_TABANI!$B$9, 0) + (VERI_TABANI!D23*B509*(VERI_TABANI!$B$13-VERI_TABANI!$B$14)*VERI_TABANI!G23) + (VERI_TABANI!D23*C509*(VERI_TABANI!$B$13-VERI_TABANI!$B$15)*VERI_TABANI!G23) + IF(ABS(IF(ISNUMBER(SEARCH("Var", D509)), 1, IF(ISNUMBER(SEARCH("Gri", D509)), -1, 0)))=1, VERI_TABANI!E23*(1-0.928)*0.00206091519919798*VERI_TABANI!G23, 0)) + ((MIN(VERI_TABANI!D24, VERI_TABANI!D24*B509)*VERI_TABANI!$B$7 + MAX(0, VERI_TABANI!D24*B509-VERI_TABANI!D24)*VERI_TABANI!$B$8) + (MIN(MAX(0, VERI_TABANI!D24-VERI_TABANI!D24*B509), VERI_TABANI!D24*C509)*VERI_TABANI!$B$7 + MAX(0, VERI_TABANI!D24*C509-MAX(0, VERI_TABANI!D24-VERI_TABANI!D24*B509))*VERI_TABANI!$B$8) + IF(ABS(IF(ISNUMBER(SEARCH("Var", D509)), 1, IF(ISNUMBER(SEARCH("Gri", D509)), -1, 0)))=1, VERI_TABANI!E24*(1-0.928)*VERI_TABANI!$B$9, 0) + (VERI_TABANI!D24*B509*(VERI_TABANI!$B$13-VERI_TABANI!$B$14)*VERI_TABANI!G24) + (VERI_TABANI!D24*C509*(VERI_TABANI!$B$13-VERI_TABANI!$B$15)*VERI_TABANI!G24) + IF(ABS(IF(ISNUMBER(SEARCH("Var", D509)), 1, IF(ISNUMBER(SEARCH("Gri", D509)), -1, 0)))=1, VERI_TABANI!E24*(1-0.928)*0.00206091519919798*VERI_TABANI!G24, 0)) + ((MIN(VERI_TABANI!D25, VERI_TABANI!D25*B509)*VERI_TABANI!$B$7 + MAX(0, VERI_TABANI!D25*B509-VERI_TABANI!D25)*VERI_TABANI!$B$8) + (MIN(MAX(0, VERI_TABANI!D25-VERI_TABANI!D25*B509), VERI_TABANI!D25*C509)*VERI_TABANI!$B$7 + MAX(0, VERI_TABANI!D25*C509-MAX(0, VERI_TABANI!D25-VERI_TABANI!D25*B509))*VERI_TABANI!$B$8) + IF(ABS(IF(ISNUMBER(SEARCH("Var", D509)), 1, IF(ISNUMBER(SEARCH("Gri", D509)), -1, 0)))=1, VERI_TABANI!E25*(1-0.928)*VERI_TABANI!$B$9, 0) + (VERI_TABANI!D25*B509*(VERI_TABANI!$B$13-VERI_TABANI!$B$14)*VERI_TABANI!G25) + (VERI_TABANI!D25*C509*(VERI_TABANI!$B$13-VERI_TABANI!$B$15)*VERI_TABANI!G25) + IF(ABS(IF(ISNUMBER(SEARCH("Var", D509)), 1, IF(ISNUMBER(SEARCH("Gri", D509)), -1, 0)))=1, VERI_TABANI!E25*(1-0.928)*0.00206091519919798*VERI_TABANI!G25, 0)) + ((MIN(VERI_TABANI!D26, VERI_TABANI!D26*B509)*VERI_TABANI!$B$7 + MAX(0, VERI_TABANI!D26*B509-VERI_TABANI!D26)*VERI_TABANI!$B$8) + (MIN(MAX(0, VERI_TABANI!D26-VERI_TABANI!D26*B509), VERI_TABANI!D26*C509)*VERI_TABANI!$B$7 + MAX(0, VERI_TABANI!D26*C509-MAX(0, VERI_TABANI!D26-VERI_TABANI!D26*B509))*VERI_TABANI!$B$8) + IF(ABS(IF(ISNUMBER(SEARCH("Var", D509)), 1, IF(ISNUMBER(SEARCH("Gri", D509)), -1, 0)))=1, VERI_TABANI!E26*(1-0.928)*VERI_TABANI!$B$9, 0) + (VERI_TABANI!D26*B509*(VERI_TABANI!$B$13-VERI_TABANI!$B$14)*VERI_TABANI!G26) + (VERI_TABANI!D26*C509*(VERI_TABANI!$B$13-VERI_TABANI!$B$15)*VERI_TABANI!G26) + IF(ABS(IF(ISNUMBER(SEARCH("Var", D509)), 1, IF(ISNUMBER(SEARCH("Gri", D509)), -1, 0)))=1, VERI_TABANI!E26*(1-0.928)*0.00206091519919798*VERI_TABANI!G26, 0)) + ((MIN(VERI_TABANI!D27, VERI_TABANI!D27*B509)*VERI_TABANI!$B$7 + MAX(0, VERI_TABANI!D27*B509-VERI_TABANI!D27)*VERI_TABANI!$B$8) + (MIN(MAX(0, VERI_TABANI!D27-VERI_TABANI!D27*B509), VERI_TABANI!D27*C509)*VERI_TABANI!$B$7 + MAX(0, VERI_TABANI!D27*C509-MAX(0, VERI_TABANI!D27-VERI_TABANI!D27*B509))*VERI_TABANI!$B$8) + IF(ABS(IF(ISNUMBER(SEARCH("Var", D509)), 1, IF(ISNUMBER(SEARCH("Gri", D509)), -1, 0)))=1, VERI_TABANI!E27*(1-0.928)*VERI_TABANI!$B$9, 0) + (VERI_TABANI!D27*B509*(VERI_TABANI!$B$13-VERI_TABANI!$B$14)*VERI_TABANI!G27) + (VERI_TABANI!D27*C509*(VERI_TABANI!$B$13-VERI_TABANI!$B$15)*VERI_TABANI!G27) + IF(ABS(IF(ISNUMBER(SEARCH("Var", D509)), 1, IF(ISNUMBER(SEARCH("Gri", D509)), -1, 0)))=1, VERI_TABANI!E27*(1-0.928)*0.00206091519919798*VERI_TABANI!G27, 0)) + ((MIN(VERI_TABANI!D28, VERI_TABANI!D28*B509)*VERI_TABANI!$B$7 + MAX(0, VERI_TABANI!D28*B509-VERI_TABANI!D28)*VERI_TABANI!$B$8) + (MIN(MAX(0, VERI_TABANI!D28-VERI_TABANI!D28*B509), VERI_TABANI!D28*C509)*VERI_TABANI!$B$7 + MAX(0, VERI_TABANI!D28*C509-MAX(0, VERI_TABANI!D28-VERI_TABANI!D28*B509))*VERI_TABANI!$B$8) + IF(ABS(IF(ISNUMBER(SEARCH("Var", D509)), 1, IF(ISNUMBER(SEARCH("Gri", D509)), -1, 0)))=1, VERI_TABANI!E28*(1-0.928)*VERI_TABANI!$B$9, 0) + (VERI_TABANI!D28*B509*(VERI_TABANI!$B$13-VERI_TABANI!$B$14)*VERI_TABANI!G28) + (VERI_TABANI!D28*C509*(VERI_TABANI!$B$13-VERI_TABANI!$B$15)*VERI_TABANI!G28) + IF(ABS(IF(ISNUMBER(SEARCH("Var", D509)), 1, IF(ISNUMBER(SEARCH("Gri", D509)), -1, 0)))=1, VERI_TABANI!E28*(1-0.928)*0.00206091519919798*VERI_TABANI!G28, 0)))</f>
        <v/>
      </c>
      <c r="H509" s="169">
        <f>(((VERI_TABANI!D23*B509*(VERI_TABANI!$B$13-VERI_TABANI!$B$14)) + (VERI_TABANI!D23*C509*(VERI_TABANI!$B$13-VERI_TABANI!$B$15)) + IF(ISNUMBER(SEARCH("Var", D509)), VERI_TABANI!F23*(0.00202-VERI_TABANI!$B$16), IF(ISNUMBER(SEARCH("Gri", D509)), VERI_TABANI!F23*(0.00202-VERI_TABANI!$B$17), 0))) + ((VERI_TABANI!D24*B509*(VERI_TABANI!$B$13-VERI_TABANI!$B$14)) + (VERI_TABANI!D24*C509*(VERI_TABANI!$B$13-VERI_TABANI!$B$15)) + IF(ISNUMBER(SEARCH("Var", D509)), VERI_TABANI!F24*(0.00202-VERI_TABANI!$B$16), IF(ISNUMBER(SEARCH("Gri", D509)), VERI_TABANI!F24*(0.00202-VERI_TABANI!$B$17), 0))) + ((VERI_TABANI!D25*B509*(VERI_TABANI!$B$13-VERI_TABANI!$B$14)) + (VERI_TABANI!D25*C509*(VERI_TABANI!$B$13-VERI_TABANI!$B$15)) + IF(ISNUMBER(SEARCH("Var", D509)), VERI_TABANI!F25*(0.00202-VERI_TABANI!$B$16), IF(ISNUMBER(SEARCH("Gri", D509)), VERI_TABANI!F25*(0.00202-VERI_TABANI!$B$17), 0))) + ((VERI_TABANI!D26*B509*(VERI_TABANI!$B$13-VERI_TABANI!$B$14)) + (VERI_TABANI!D26*C509*(VERI_TABANI!$B$13-VERI_TABANI!$B$15)) + IF(ISNUMBER(SEARCH("Var", D509)), VERI_TABANI!F26*(0.00202-VERI_TABANI!$B$16), IF(ISNUMBER(SEARCH("Gri", D509)), VERI_TABANI!F26*(0.00202-VERI_TABANI!$B$17), 0))) + ((VERI_TABANI!D27*B509*(VERI_TABANI!$B$13-VERI_TABANI!$B$14)) + (VERI_TABANI!D27*C509*(VERI_TABANI!$B$13-VERI_TABANI!$B$15)) + IF(ISNUMBER(SEARCH("Var", D509)), VERI_TABANI!F27*(0.00202-VERI_TABANI!$B$16), IF(ISNUMBER(SEARCH("Gri", D509)), VERI_TABANI!F27*(0.00202-VERI_TABANI!$B$17), 0))) + ((VERI_TABANI!D28*B509*(VERI_TABANI!$B$13-VERI_TABANI!$B$14)) + (VERI_TABANI!D28*C509*(VERI_TABANI!$B$13-VERI_TABANI!$B$15)) + IF(ISNUMBER(SEARCH("Var", D509)), VERI_TABANI!F28*(0.00202-VERI_TABANI!$B$16), IF(ISNUMBER(SEARCH("Gri", D509)), VERI_TABANI!F28*(0.00202-VERI_TABANI!$B$17), 0))))</f>
        <v/>
      </c>
      <c r="I509" s="170">
        <f>IFERROR(((VERI_TABANI!$D$29*B509*VERI_TABANI!$B$14 + VERI_TABANI!$D$29*C509*VERI_TABANI!$B$15 + IF(ISNUMBER(SEARCH("Var", D509)), VERI_TABANI!$F$29*VERI_TABANI!$B$16, 0))) / (((VERI_TABANI!$D$29*B509 + VERI_TABANI!$D$29*C509)*VERI_TABANI!$B$13 + IF(ISNUMBER(SEARCH("Var", D509)), VERI_TABANI!$E$29*(1-0.928)*VERI_TABANI!$B$18, 0))), 0)</f>
        <v/>
      </c>
      <c r="J509" s="171">
        <f>IFERROR(F509/(G509/29), 0)</f>
        <v/>
      </c>
      <c r="K509" s="172">
        <f>IF(F509&gt;0, H509/F509, 0)</f>
        <v/>
      </c>
      <c r="L509" s="170">
        <f>IF(F509&gt;0, I509, 1000000000)</f>
        <v/>
      </c>
      <c r="M509" s="171">
        <f>ABS((B509+C509)-1)</f>
        <v/>
      </c>
      <c r="N509" s="170">
        <f>IF(F509&gt;0, (G509/29)/F509, 0)</f>
        <v/>
      </c>
      <c r="O509" s="168">
        <f>IF(AND((B509+C509)&gt;=1, ISNUMBER(SEARCH("Var", D509))), F509, 1000000000)</f>
        <v/>
      </c>
      <c r="P509" s="172">
        <f>IF(F509&gt;0, SQRT((F509/MAX(F$5:F$886))^2 + (1 - H509/MAX(H$5:H$886))^2 + (J509/MAX(J$5:J$886))^2), 1000000000)</f>
        <v/>
      </c>
      <c r="Q509" s="166">
        <f>IF(AND(ABS(B509-0.5)&lt;0.01, ABS(C509-0.5)&lt;0.01, ISNUMBER(SEARCH("Var", D509))), 1, 0)</f>
        <v/>
      </c>
      <c r="R509" s="171">
        <f>IF(F509&gt;0, J509, 1000000000)</f>
        <v/>
      </c>
      <c r="S509" s="101">
        <f>IF(AND(F509&lt;=DASHBOARD!$B$11, H509&gt;=DASHBOARD!$B$13), G509, -1000000000000)</f>
        <v/>
      </c>
      <c r="T509" s="101">
        <f>IF(AND(F509&lt;=DASHBOARD!$B$11, H509&gt;=DASHBOARD!$B$13), R509, 1000000000000)</f>
        <v/>
      </c>
      <c r="U509" s="101">
        <f>IF(AND(F509&lt;=DASHBOARD!$B$11, H509&gt;=DASHBOARD!$B$13), N509, -1000000000000)</f>
        <v/>
      </c>
      <c r="V509" s="101">
        <f>IF(AND(F509&lt;=DASHBOARD!$B$11, H509&gt;=DASHBOARD!$B$13), H509, -1000000000000)</f>
        <v/>
      </c>
      <c r="W509" s="101">
        <f>IF(AND(F509&lt;=DASHBOARD!$B$11, H509&gt;=DASHBOARD!$B$13), K509, -1000000000000)</f>
        <v/>
      </c>
      <c r="X509" s="101">
        <f>IF(AND(F509&lt;=DASHBOARD!$B$11, H509&gt;=DASHBOARD!$B$13), M509, 1000000000000)</f>
        <v/>
      </c>
      <c r="Y509" s="101">
        <f>IF(AND(F509&lt;=DASHBOARD!$B$10, H509&gt;=DASHBOARD!$B$11), L509, 1000000000000)</f>
        <v/>
      </c>
      <c r="Z509" s="101">
        <f>IF(AND(F509&lt;=DASHBOARD!$B$10, H509&gt;=DASHBOARD!$B$11), O509, 1000000000000)</f>
        <v/>
      </c>
      <c r="AA509" s="101">
        <f>IF(AND(F509&lt;=DASHBOARD!$B$10, H509&gt;=DASHBOARD!$B$11), P509, 1000000000000)</f>
        <v/>
      </c>
      <c r="AB509" s="101">
        <f>IF(AND(F509&lt;=DASHBOARD!$B$10, H509&gt;=DASHBOARD!$B$11), Q509, -1000000000000)</f>
        <v/>
      </c>
    </row>
    <row r="510" ht="15" customHeight="1" s="102">
      <c r="A510" s="166" t="n">
        <v>506</v>
      </c>
      <c r="B510" s="167" t="n">
        <v>1.2</v>
      </c>
      <c r="C510" s="167" t="n">
        <v>0</v>
      </c>
      <c r="D510" s="110" t="inlineStr">
        <is>
          <t>Var (%20)</t>
        </is>
      </c>
      <c r="E510" s="110">
        <f>IF((B510+C510)&lt;=1, "Tam Mahsuplaşma (≤%100)", "Kısmi Satış (&gt;%100)")</f>
        <v/>
      </c>
      <c r="F510" s="168">
        <f>((VERI_TABANI!$D$29*B510/VERI_TABANI!$B$29)/VERI_TABANI!$B$3)*VERI_TABANI!$B$5 + ((VERI_TABANI!$D$29*C510/VERI_TABANI!$B$29)/VERI_TABANI!$B$4)*VERI_TABANI!$B$6 + IF(ISNUMBER(SEARCH("Var", D510)), (VERI_TABANI!$F$29/VERI_TABANI!$B$29)*(VERI_TABANI!$B$10+VERI_TABANI!$B$12), 0)</f>
        <v/>
      </c>
      <c r="G510" s="168">
        <f>(((MIN(VERI_TABANI!D23, VERI_TABANI!D23*B510)*VERI_TABANI!$B$7 + MAX(0, VERI_TABANI!D23*B510-VERI_TABANI!D23)*VERI_TABANI!$B$8) + (MIN(MAX(0, VERI_TABANI!D23-VERI_TABANI!D23*B510), VERI_TABANI!D23*C510)*VERI_TABANI!$B$7 + MAX(0, VERI_TABANI!D23*C510-MAX(0, VERI_TABANI!D23-VERI_TABANI!D23*B510))*VERI_TABANI!$B$8) + IF(ABS(IF(ISNUMBER(SEARCH("Var", D510)), 1, IF(ISNUMBER(SEARCH("Gri", D510)), -1, 0)))=1, VERI_TABANI!E23*(1-0.928)*VERI_TABANI!$B$9, 0) + (VERI_TABANI!D23*B510*(VERI_TABANI!$B$13-VERI_TABANI!$B$14)*VERI_TABANI!G23) + (VERI_TABANI!D23*C510*(VERI_TABANI!$B$13-VERI_TABANI!$B$15)*VERI_TABANI!G23) + IF(ABS(IF(ISNUMBER(SEARCH("Var", D510)), 1, IF(ISNUMBER(SEARCH("Gri", D510)), -1, 0)))=1, VERI_TABANI!E23*(1-0.928)*0.00206091519919798*VERI_TABANI!G23, 0)) + ((MIN(VERI_TABANI!D24, VERI_TABANI!D24*B510)*VERI_TABANI!$B$7 + MAX(0, VERI_TABANI!D24*B510-VERI_TABANI!D24)*VERI_TABANI!$B$8) + (MIN(MAX(0, VERI_TABANI!D24-VERI_TABANI!D24*B510), VERI_TABANI!D24*C510)*VERI_TABANI!$B$7 + MAX(0, VERI_TABANI!D24*C510-MAX(0, VERI_TABANI!D24-VERI_TABANI!D24*B510))*VERI_TABANI!$B$8) + IF(ABS(IF(ISNUMBER(SEARCH("Var", D510)), 1, IF(ISNUMBER(SEARCH("Gri", D510)), -1, 0)))=1, VERI_TABANI!E24*(1-0.928)*VERI_TABANI!$B$9, 0) + (VERI_TABANI!D24*B510*(VERI_TABANI!$B$13-VERI_TABANI!$B$14)*VERI_TABANI!G24) + (VERI_TABANI!D24*C510*(VERI_TABANI!$B$13-VERI_TABANI!$B$15)*VERI_TABANI!G24) + IF(ABS(IF(ISNUMBER(SEARCH("Var", D510)), 1, IF(ISNUMBER(SEARCH("Gri", D510)), -1, 0)))=1, VERI_TABANI!E24*(1-0.928)*0.00206091519919798*VERI_TABANI!G24, 0)) + ((MIN(VERI_TABANI!D25, VERI_TABANI!D25*B510)*VERI_TABANI!$B$7 + MAX(0, VERI_TABANI!D25*B510-VERI_TABANI!D25)*VERI_TABANI!$B$8) + (MIN(MAX(0, VERI_TABANI!D25-VERI_TABANI!D25*B510), VERI_TABANI!D25*C510)*VERI_TABANI!$B$7 + MAX(0, VERI_TABANI!D25*C510-MAX(0, VERI_TABANI!D25-VERI_TABANI!D25*B510))*VERI_TABANI!$B$8) + IF(ABS(IF(ISNUMBER(SEARCH("Var", D510)), 1, IF(ISNUMBER(SEARCH("Gri", D510)), -1, 0)))=1, VERI_TABANI!E25*(1-0.928)*VERI_TABANI!$B$9, 0) + (VERI_TABANI!D25*B510*(VERI_TABANI!$B$13-VERI_TABANI!$B$14)*VERI_TABANI!G25) + (VERI_TABANI!D25*C510*(VERI_TABANI!$B$13-VERI_TABANI!$B$15)*VERI_TABANI!G25) + IF(ABS(IF(ISNUMBER(SEARCH("Var", D510)), 1, IF(ISNUMBER(SEARCH("Gri", D510)), -1, 0)))=1, VERI_TABANI!E25*(1-0.928)*0.00206091519919798*VERI_TABANI!G25, 0)) + ((MIN(VERI_TABANI!D26, VERI_TABANI!D26*B510)*VERI_TABANI!$B$7 + MAX(0, VERI_TABANI!D26*B510-VERI_TABANI!D26)*VERI_TABANI!$B$8) + (MIN(MAX(0, VERI_TABANI!D26-VERI_TABANI!D26*B510), VERI_TABANI!D26*C510)*VERI_TABANI!$B$7 + MAX(0, VERI_TABANI!D26*C510-MAX(0, VERI_TABANI!D26-VERI_TABANI!D26*B510))*VERI_TABANI!$B$8) + IF(ABS(IF(ISNUMBER(SEARCH("Var", D510)), 1, IF(ISNUMBER(SEARCH("Gri", D510)), -1, 0)))=1, VERI_TABANI!E26*(1-0.928)*VERI_TABANI!$B$9, 0) + (VERI_TABANI!D26*B510*(VERI_TABANI!$B$13-VERI_TABANI!$B$14)*VERI_TABANI!G26) + (VERI_TABANI!D26*C510*(VERI_TABANI!$B$13-VERI_TABANI!$B$15)*VERI_TABANI!G26) + IF(ABS(IF(ISNUMBER(SEARCH("Var", D510)), 1, IF(ISNUMBER(SEARCH("Gri", D510)), -1, 0)))=1, VERI_TABANI!E26*(1-0.928)*0.00206091519919798*VERI_TABANI!G26, 0)) + ((MIN(VERI_TABANI!D27, VERI_TABANI!D27*B510)*VERI_TABANI!$B$7 + MAX(0, VERI_TABANI!D27*B510-VERI_TABANI!D27)*VERI_TABANI!$B$8) + (MIN(MAX(0, VERI_TABANI!D27-VERI_TABANI!D27*B510), VERI_TABANI!D27*C510)*VERI_TABANI!$B$7 + MAX(0, VERI_TABANI!D27*C510-MAX(0, VERI_TABANI!D27-VERI_TABANI!D27*B510))*VERI_TABANI!$B$8) + IF(ABS(IF(ISNUMBER(SEARCH("Var", D510)), 1, IF(ISNUMBER(SEARCH("Gri", D510)), -1, 0)))=1, VERI_TABANI!E27*(1-0.928)*VERI_TABANI!$B$9, 0) + (VERI_TABANI!D27*B510*(VERI_TABANI!$B$13-VERI_TABANI!$B$14)*VERI_TABANI!G27) + (VERI_TABANI!D27*C510*(VERI_TABANI!$B$13-VERI_TABANI!$B$15)*VERI_TABANI!G27) + IF(ABS(IF(ISNUMBER(SEARCH("Var", D510)), 1, IF(ISNUMBER(SEARCH("Gri", D510)), -1, 0)))=1, VERI_TABANI!E27*(1-0.928)*0.00206091519919798*VERI_TABANI!G27, 0)) + ((MIN(VERI_TABANI!D28, VERI_TABANI!D28*B510)*VERI_TABANI!$B$7 + MAX(0, VERI_TABANI!D28*B510-VERI_TABANI!D28)*VERI_TABANI!$B$8) + (MIN(MAX(0, VERI_TABANI!D28-VERI_TABANI!D28*B510), VERI_TABANI!D28*C510)*VERI_TABANI!$B$7 + MAX(0, VERI_TABANI!D28*C510-MAX(0, VERI_TABANI!D28-VERI_TABANI!D28*B510))*VERI_TABANI!$B$8) + IF(ABS(IF(ISNUMBER(SEARCH("Var", D510)), 1, IF(ISNUMBER(SEARCH("Gri", D510)), -1, 0)))=1, VERI_TABANI!E28*(1-0.928)*VERI_TABANI!$B$9, 0) + (VERI_TABANI!D28*B510*(VERI_TABANI!$B$13-VERI_TABANI!$B$14)*VERI_TABANI!G28) + (VERI_TABANI!D28*C510*(VERI_TABANI!$B$13-VERI_TABANI!$B$15)*VERI_TABANI!G28) + IF(ABS(IF(ISNUMBER(SEARCH("Var", D510)), 1, IF(ISNUMBER(SEARCH("Gri", D510)), -1, 0)))=1, VERI_TABANI!E28*(1-0.928)*0.00206091519919798*VERI_TABANI!G28, 0)))</f>
        <v/>
      </c>
      <c r="H510" s="169">
        <f>(((VERI_TABANI!D23*B510*(VERI_TABANI!$B$13-VERI_TABANI!$B$14)) + (VERI_TABANI!D23*C510*(VERI_TABANI!$B$13-VERI_TABANI!$B$15)) + IF(ISNUMBER(SEARCH("Var", D510)), VERI_TABANI!F23*(0.00202-VERI_TABANI!$B$16), IF(ISNUMBER(SEARCH("Gri", D510)), VERI_TABANI!F23*(0.00202-VERI_TABANI!$B$17), 0))) + ((VERI_TABANI!D24*B510*(VERI_TABANI!$B$13-VERI_TABANI!$B$14)) + (VERI_TABANI!D24*C510*(VERI_TABANI!$B$13-VERI_TABANI!$B$15)) + IF(ISNUMBER(SEARCH("Var", D510)), VERI_TABANI!F24*(0.00202-VERI_TABANI!$B$16), IF(ISNUMBER(SEARCH("Gri", D510)), VERI_TABANI!F24*(0.00202-VERI_TABANI!$B$17), 0))) + ((VERI_TABANI!D25*B510*(VERI_TABANI!$B$13-VERI_TABANI!$B$14)) + (VERI_TABANI!D25*C510*(VERI_TABANI!$B$13-VERI_TABANI!$B$15)) + IF(ISNUMBER(SEARCH("Var", D510)), VERI_TABANI!F25*(0.00202-VERI_TABANI!$B$16), IF(ISNUMBER(SEARCH("Gri", D510)), VERI_TABANI!F25*(0.00202-VERI_TABANI!$B$17), 0))) + ((VERI_TABANI!D26*B510*(VERI_TABANI!$B$13-VERI_TABANI!$B$14)) + (VERI_TABANI!D26*C510*(VERI_TABANI!$B$13-VERI_TABANI!$B$15)) + IF(ISNUMBER(SEARCH("Var", D510)), VERI_TABANI!F26*(0.00202-VERI_TABANI!$B$16), IF(ISNUMBER(SEARCH("Gri", D510)), VERI_TABANI!F26*(0.00202-VERI_TABANI!$B$17), 0))) + ((VERI_TABANI!D27*B510*(VERI_TABANI!$B$13-VERI_TABANI!$B$14)) + (VERI_TABANI!D27*C510*(VERI_TABANI!$B$13-VERI_TABANI!$B$15)) + IF(ISNUMBER(SEARCH("Var", D510)), VERI_TABANI!F27*(0.00202-VERI_TABANI!$B$16), IF(ISNUMBER(SEARCH("Gri", D510)), VERI_TABANI!F27*(0.00202-VERI_TABANI!$B$17), 0))) + ((VERI_TABANI!D28*B510*(VERI_TABANI!$B$13-VERI_TABANI!$B$14)) + (VERI_TABANI!D28*C510*(VERI_TABANI!$B$13-VERI_TABANI!$B$15)) + IF(ISNUMBER(SEARCH("Var", D510)), VERI_TABANI!F28*(0.00202-VERI_TABANI!$B$16), IF(ISNUMBER(SEARCH("Gri", D510)), VERI_TABANI!F28*(0.00202-VERI_TABANI!$B$17), 0))))</f>
        <v/>
      </c>
      <c r="I510" s="170">
        <f>IFERROR(((VERI_TABANI!$D$29*B510*VERI_TABANI!$B$14 + VERI_TABANI!$D$29*C510*VERI_TABANI!$B$15 + IF(ISNUMBER(SEARCH("Var", D510)), VERI_TABANI!$F$29*VERI_TABANI!$B$16, 0))) / (((VERI_TABANI!$D$29*B510 + VERI_TABANI!$D$29*C510)*VERI_TABANI!$B$13 + IF(ISNUMBER(SEARCH("Var", D510)), VERI_TABANI!$E$29*(1-0.928)*VERI_TABANI!$B$18, 0))), 0)</f>
        <v/>
      </c>
      <c r="J510" s="171">
        <f>IFERROR(F510/(G510/29), 0)</f>
        <v/>
      </c>
      <c r="K510" s="172">
        <f>IF(F510&gt;0, H510/F510, 0)</f>
        <v/>
      </c>
      <c r="L510" s="170">
        <f>IF(F510&gt;0, I510, 1000000000)</f>
        <v/>
      </c>
      <c r="M510" s="171">
        <f>ABS((B510+C510)-1)</f>
        <v/>
      </c>
      <c r="N510" s="170">
        <f>IF(F510&gt;0, (G510/29)/F510, 0)</f>
        <v/>
      </c>
      <c r="O510" s="168">
        <f>IF(AND((B510+C510)&gt;=1, ISNUMBER(SEARCH("Var", D510))), F510, 1000000000)</f>
        <v/>
      </c>
      <c r="P510" s="172">
        <f>IF(F510&gt;0, SQRT((F510/MAX(F$5:F$886))^2 + (1 - H510/MAX(H$5:H$886))^2 + (J510/MAX(J$5:J$886))^2), 1000000000)</f>
        <v/>
      </c>
      <c r="Q510" s="166">
        <f>IF(AND(ABS(B510-0.5)&lt;0.01, ABS(C510-0.5)&lt;0.01, ISNUMBER(SEARCH("Var", D510))), 1, 0)</f>
        <v/>
      </c>
      <c r="R510" s="171">
        <f>IF(F510&gt;0, J510, 1000000000)</f>
        <v/>
      </c>
      <c r="S510" s="101">
        <f>IF(AND(F510&lt;=DASHBOARD!$B$11, H510&gt;=DASHBOARD!$B$13), G510, -1000000000000)</f>
        <v/>
      </c>
      <c r="T510" s="101">
        <f>IF(AND(F510&lt;=DASHBOARD!$B$11, H510&gt;=DASHBOARD!$B$13), R510, 1000000000000)</f>
        <v/>
      </c>
      <c r="U510" s="101">
        <f>IF(AND(F510&lt;=DASHBOARD!$B$11, H510&gt;=DASHBOARD!$B$13), N510, -1000000000000)</f>
        <v/>
      </c>
      <c r="V510" s="101">
        <f>IF(AND(F510&lt;=DASHBOARD!$B$11, H510&gt;=DASHBOARD!$B$13), H510, -1000000000000)</f>
        <v/>
      </c>
      <c r="W510" s="101">
        <f>IF(AND(F510&lt;=DASHBOARD!$B$11, H510&gt;=DASHBOARD!$B$13), K510, -1000000000000)</f>
        <v/>
      </c>
      <c r="X510" s="101">
        <f>IF(AND(F510&lt;=DASHBOARD!$B$11, H510&gt;=DASHBOARD!$B$13), M510, 1000000000000)</f>
        <v/>
      </c>
      <c r="Y510" s="101">
        <f>IF(AND(F510&lt;=DASHBOARD!$B$10, H510&gt;=DASHBOARD!$B$11), L510, 1000000000000)</f>
        <v/>
      </c>
      <c r="Z510" s="101">
        <f>IF(AND(F510&lt;=DASHBOARD!$B$10, H510&gt;=DASHBOARD!$B$11), O510, 1000000000000)</f>
        <v/>
      </c>
      <c r="AA510" s="101">
        <f>IF(AND(F510&lt;=DASHBOARD!$B$10, H510&gt;=DASHBOARD!$B$11), P510, 1000000000000)</f>
        <v/>
      </c>
      <c r="AB510" s="101">
        <f>IF(AND(F510&lt;=DASHBOARD!$B$10, H510&gt;=DASHBOARD!$B$11), Q510, -1000000000000)</f>
        <v/>
      </c>
    </row>
    <row r="511" ht="15" customHeight="1" s="102">
      <c r="A511" s="166" t="n">
        <v>507</v>
      </c>
      <c r="B511" s="167" t="n">
        <v>1.2</v>
      </c>
      <c r="C511" s="167" t="n">
        <v>0.1</v>
      </c>
      <c r="D511" s="110" t="inlineStr">
        <is>
          <t>Yok (%0)</t>
        </is>
      </c>
      <c r="E511" s="110">
        <f>IF((B511+C511)&lt;=1, "Tam Mahsuplaşma (≤%100)", "Kısmi Satış (&gt;%100)")</f>
        <v/>
      </c>
      <c r="F511" s="168">
        <f>((VERI_TABANI!$D$29*B511/VERI_TABANI!$B$29)/VERI_TABANI!$B$3)*VERI_TABANI!$B$5 + ((VERI_TABANI!$D$29*C511/VERI_TABANI!$B$29)/VERI_TABANI!$B$4)*VERI_TABANI!$B$6 + IF(ISNUMBER(SEARCH("Var", D511)), (VERI_TABANI!$F$29/VERI_TABANI!$B$29)*(VERI_TABANI!$B$10+VERI_TABANI!$B$12), 0)</f>
        <v/>
      </c>
      <c r="G511" s="168">
        <f>(((MIN(VERI_TABANI!D23, VERI_TABANI!D23*B511)*VERI_TABANI!$B$7 + MAX(0, VERI_TABANI!D23*B511-VERI_TABANI!D23)*VERI_TABANI!$B$8) + (MIN(MAX(0, VERI_TABANI!D23-VERI_TABANI!D23*B511), VERI_TABANI!D23*C511)*VERI_TABANI!$B$7 + MAX(0, VERI_TABANI!D23*C511-MAX(0, VERI_TABANI!D23-VERI_TABANI!D23*B511))*VERI_TABANI!$B$8) + IF(ABS(IF(ISNUMBER(SEARCH("Var", D511)), 1, IF(ISNUMBER(SEARCH("Gri", D511)), -1, 0)))=1, VERI_TABANI!E23*(1-0.928)*VERI_TABANI!$B$9, 0) + (VERI_TABANI!D23*B511*(VERI_TABANI!$B$13-VERI_TABANI!$B$14)*VERI_TABANI!G23) + (VERI_TABANI!D23*C511*(VERI_TABANI!$B$13-VERI_TABANI!$B$15)*VERI_TABANI!G23) + IF(ABS(IF(ISNUMBER(SEARCH("Var", D511)), 1, IF(ISNUMBER(SEARCH("Gri", D511)), -1, 0)))=1, VERI_TABANI!E23*(1-0.928)*0.00206091519919798*VERI_TABANI!G23, 0)) + ((MIN(VERI_TABANI!D24, VERI_TABANI!D24*B511)*VERI_TABANI!$B$7 + MAX(0, VERI_TABANI!D24*B511-VERI_TABANI!D24)*VERI_TABANI!$B$8) + (MIN(MAX(0, VERI_TABANI!D24-VERI_TABANI!D24*B511), VERI_TABANI!D24*C511)*VERI_TABANI!$B$7 + MAX(0, VERI_TABANI!D24*C511-MAX(0, VERI_TABANI!D24-VERI_TABANI!D24*B511))*VERI_TABANI!$B$8) + IF(ABS(IF(ISNUMBER(SEARCH("Var", D511)), 1, IF(ISNUMBER(SEARCH("Gri", D511)), -1, 0)))=1, VERI_TABANI!E24*(1-0.928)*VERI_TABANI!$B$9, 0) + (VERI_TABANI!D24*B511*(VERI_TABANI!$B$13-VERI_TABANI!$B$14)*VERI_TABANI!G24) + (VERI_TABANI!D24*C511*(VERI_TABANI!$B$13-VERI_TABANI!$B$15)*VERI_TABANI!G24) + IF(ABS(IF(ISNUMBER(SEARCH("Var", D511)), 1, IF(ISNUMBER(SEARCH("Gri", D511)), -1, 0)))=1, VERI_TABANI!E24*(1-0.928)*0.00206091519919798*VERI_TABANI!G24, 0)) + ((MIN(VERI_TABANI!D25, VERI_TABANI!D25*B511)*VERI_TABANI!$B$7 + MAX(0, VERI_TABANI!D25*B511-VERI_TABANI!D25)*VERI_TABANI!$B$8) + (MIN(MAX(0, VERI_TABANI!D25-VERI_TABANI!D25*B511), VERI_TABANI!D25*C511)*VERI_TABANI!$B$7 + MAX(0, VERI_TABANI!D25*C511-MAX(0, VERI_TABANI!D25-VERI_TABANI!D25*B511))*VERI_TABANI!$B$8) + IF(ABS(IF(ISNUMBER(SEARCH("Var", D511)), 1, IF(ISNUMBER(SEARCH("Gri", D511)), -1, 0)))=1, VERI_TABANI!E25*(1-0.928)*VERI_TABANI!$B$9, 0) + (VERI_TABANI!D25*B511*(VERI_TABANI!$B$13-VERI_TABANI!$B$14)*VERI_TABANI!G25) + (VERI_TABANI!D25*C511*(VERI_TABANI!$B$13-VERI_TABANI!$B$15)*VERI_TABANI!G25) + IF(ABS(IF(ISNUMBER(SEARCH("Var", D511)), 1, IF(ISNUMBER(SEARCH("Gri", D511)), -1, 0)))=1, VERI_TABANI!E25*(1-0.928)*0.00206091519919798*VERI_TABANI!G25, 0)) + ((MIN(VERI_TABANI!D26, VERI_TABANI!D26*B511)*VERI_TABANI!$B$7 + MAX(0, VERI_TABANI!D26*B511-VERI_TABANI!D26)*VERI_TABANI!$B$8) + (MIN(MAX(0, VERI_TABANI!D26-VERI_TABANI!D26*B511), VERI_TABANI!D26*C511)*VERI_TABANI!$B$7 + MAX(0, VERI_TABANI!D26*C511-MAX(0, VERI_TABANI!D26-VERI_TABANI!D26*B511))*VERI_TABANI!$B$8) + IF(ABS(IF(ISNUMBER(SEARCH("Var", D511)), 1, IF(ISNUMBER(SEARCH("Gri", D511)), -1, 0)))=1, VERI_TABANI!E26*(1-0.928)*VERI_TABANI!$B$9, 0) + (VERI_TABANI!D26*B511*(VERI_TABANI!$B$13-VERI_TABANI!$B$14)*VERI_TABANI!G26) + (VERI_TABANI!D26*C511*(VERI_TABANI!$B$13-VERI_TABANI!$B$15)*VERI_TABANI!G26) + IF(ABS(IF(ISNUMBER(SEARCH("Var", D511)), 1, IF(ISNUMBER(SEARCH("Gri", D511)), -1, 0)))=1, VERI_TABANI!E26*(1-0.928)*0.00206091519919798*VERI_TABANI!G26, 0)) + ((MIN(VERI_TABANI!D27, VERI_TABANI!D27*B511)*VERI_TABANI!$B$7 + MAX(0, VERI_TABANI!D27*B511-VERI_TABANI!D27)*VERI_TABANI!$B$8) + (MIN(MAX(0, VERI_TABANI!D27-VERI_TABANI!D27*B511), VERI_TABANI!D27*C511)*VERI_TABANI!$B$7 + MAX(0, VERI_TABANI!D27*C511-MAX(0, VERI_TABANI!D27-VERI_TABANI!D27*B511))*VERI_TABANI!$B$8) + IF(ABS(IF(ISNUMBER(SEARCH("Var", D511)), 1, IF(ISNUMBER(SEARCH("Gri", D511)), -1, 0)))=1, VERI_TABANI!E27*(1-0.928)*VERI_TABANI!$B$9, 0) + (VERI_TABANI!D27*B511*(VERI_TABANI!$B$13-VERI_TABANI!$B$14)*VERI_TABANI!G27) + (VERI_TABANI!D27*C511*(VERI_TABANI!$B$13-VERI_TABANI!$B$15)*VERI_TABANI!G27) + IF(ABS(IF(ISNUMBER(SEARCH("Var", D511)), 1, IF(ISNUMBER(SEARCH("Gri", D511)), -1, 0)))=1, VERI_TABANI!E27*(1-0.928)*0.00206091519919798*VERI_TABANI!G27, 0)) + ((MIN(VERI_TABANI!D28, VERI_TABANI!D28*B511)*VERI_TABANI!$B$7 + MAX(0, VERI_TABANI!D28*B511-VERI_TABANI!D28)*VERI_TABANI!$B$8) + (MIN(MAX(0, VERI_TABANI!D28-VERI_TABANI!D28*B511), VERI_TABANI!D28*C511)*VERI_TABANI!$B$7 + MAX(0, VERI_TABANI!D28*C511-MAX(0, VERI_TABANI!D28-VERI_TABANI!D28*B511))*VERI_TABANI!$B$8) + IF(ABS(IF(ISNUMBER(SEARCH("Var", D511)), 1, IF(ISNUMBER(SEARCH("Gri", D511)), -1, 0)))=1, VERI_TABANI!E28*(1-0.928)*VERI_TABANI!$B$9, 0) + (VERI_TABANI!D28*B511*(VERI_TABANI!$B$13-VERI_TABANI!$B$14)*VERI_TABANI!G28) + (VERI_TABANI!D28*C511*(VERI_TABANI!$B$13-VERI_TABANI!$B$15)*VERI_TABANI!G28) + IF(ABS(IF(ISNUMBER(SEARCH("Var", D511)), 1, IF(ISNUMBER(SEARCH("Gri", D511)), -1, 0)))=1, VERI_TABANI!E28*(1-0.928)*0.00206091519919798*VERI_TABANI!G28, 0)))</f>
        <v/>
      </c>
      <c r="H511" s="169">
        <f>(((VERI_TABANI!D23*B511*(VERI_TABANI!$B$13-VERI_TABANI!$B$14)) + (VERI_TABANI!D23*C511*(VERI_TABANI!$B$13-VERI_TABANI!$B$15)) + IF(ISNUMBER(SEARCH("Var", D511)), VERI_TABANI!F23*(0.00202-VERI_TABANI!$B$16), IF(ISNUMBER(SEARCH("Gri", D511)), VERI_TABANI!F23*(0.00202-VERI_TABANI!$B$17), 0))) + ((VERI_TABANI!D24*B511*(VERI_TABANI!$B$13-VERI_TABANI!$B$14)) + (VERI_TABANI!D24*C511*(VERI_TABANI!$B$13-VERI_TABANI!$B$15)) + IF(ISNUMBER(SEARCH("Var", D511)), VERI_TABANI!F24*(0.00202-VERI_TABANI!$B$16), IF(ISNUMBER(SEARCH("Gri", D511)), VERI_TABANI!F24*(0.00202-VERI_TABANI!$B$17), 0))) + ((VERI_TABANI!D25*B511*(VERI_TABANI!$B$13-VERI_TABANI!$B$14)) + (VERI_TABANI!D25*C511*(VERI_TABANI!$B$13-VERI_TABANI!$B$15)) + IF(ISNUMBER(SEARCH("Var", D511)), VERI_TABANI!F25*(0.00202-VERI_TABANI!$B$16), IF(ISNUMBER(SEARCH("Gri", D511)), VERI_TABANI!F25*(0.00202-VERI_TABANI!$B$17), 0))) + ((VERI_TABANI!D26*B511*(VERI_TABANI!$B$13-VERI_TABANI!$B$14)) + (VERI_TABANI!D26*C511*(VERI_TABANI!$B$13-VERI_TABANI!$B$15)) + IF(ISNUMBER(SEARCH("Var", D511)), VERI_TABANI!F26*(0.00202-VERI_TABANI!$B$16), IF(ISNUMBER(SEARCH("Gri", D511)), VERI_TABANI!F26*(0.00202-VERI_TABANI!$B$17), 0))) + ((VERI_TABANI!D27*B511*(VERI_TABANI!$B$13-VERI_TABANI!$B$14)) + (VERI_TABANI!D27*C511*(VERI_TABANI!$B$13-VERI_TABANI!$B$15)) + IF(ISNUMBER(SEARCH("Var", D511)), VERI_TABANI!F27*(0.00202-VERI_TABANI!$B$16), IF(ISNUMBER(SEARCH("Gri", D511)), VERI_TABANI!F27*(0.00202-VERI_TABANI!$B$17), 0))) + ((VERI_TABANI!D28*B511*(VERI_TABANI!$B$13-VERI_TABANI!$B$14)) + (VERI_TABANI!D28*C511*(VERI_TABANI!$B$13-VERI_TABANI!$B$15)) + IF(ISNUMBER(SEARCH("Var", D511)), VERI_TABANI!F28*(0.00202-VERI_TABANI!$B$16), IF(ISNUMBER(SEARCH("Gri", D511)), VERI_TABANI!F28*(0.00202-VERI_TABANI!$B$17), 0))))</f>
        <v/>
      </c>
      <c r="I511" s="170">
        <f>IFERROR(((VERI_TABANI!$D$29*B511*VERI_TABANI!$B$14 + VERI_TABANI!$D$29*C511*VERI_TABANI!$B$15 + IF(ISNUMBER(SEARCH("Var", D511)), VERI_TABANI!$F$29*VERI_TABANI!$B$16, 0))) / (((VERI_TABANI!$D$29*B511 + VERI_TABANI!$D$29*C511)*VERI_TABANI!$B$13 + IF(ISNUMBER(SEARCH("Var", D511)), VERI_TABANI!$E$29*(1-0.928)*VERI_TABANI!$B$18, 0))), 0)</f>
        <v/>
      </c>
      <c r="J511" s="171">
        <f>IFERROR(F511/(G511/29), 0)</f>
        <v/>
      </c>
      <c r="K511" s="172">
        <f>IF(F511&gt;0, H511/F511, 0)</f>
        <v/>
      </c>
      <c r="L511" s="170">
        <f>IF(F511&gt;0, I511, 1000000000)</f>
        <v/>
      </c>
      <c r="M511" s="171">
        <f>ABS((B511+C511)-1)</f>
        <v/>
      </c>
      <c r="N511" s="170">
        <f>IF(F511&gt;0, (G511/29)/F511, 0)</f>
        <v/>
      </c>
      <c r="O511" s="168">
        <f>IF(AND((B511+C511)&gt;=1, ISNUMBER(SEARCH("Var", D511))), F511, 1000000000)</f>
        <v/>
      </c>
      <c r="P511" s="172">
        <f>IF(F511&gt;0, SQRT((F511/MAX(F$5:F$886))^2 + (1 - H511/MAX(H$5:H$886))^2 + (J511/MAX(J$5:J$886))^2), 1000000000)</f>
        <v/>
      </c>
      <c r="Q511" s="166">
        <f>IF(AND(ABS(B511-0.5)&lt;0.01, ABS(C511-0.5)&lt;0.01, ISNUMBER(SEARCH("Var", D511))), 1, 0)</f>
        <v/>
      </c>
      <c r="R511" s="171">
        <f>IF(F511&gt;0, J511, 1000000000)</f>
        <v/>
      </c>
      <c r="S511" s="101">
        <f>IF(AND(F511&lt;=DASHBOARD!$B$11, H511&gt;=DASHBOARD!$B$13), G511, -1000000000000)</f>
        <v/>
      </c>
      <c r="T511" s="101">
        <f>IF(AND(F511&lt;=DASHBOARD!$B$11, H511&gt;=DASHBOARD!$B$13), R511, 1000000000000)</f>
        <v/>
      </c>
      <c r="U511" s="101">
        <f>IF(AND(F511&lt;=DASHBOARD!$B$11, H511&gt;=DASHBOARD!$B$13), N511, -1000000000000)</f>
        <v/>
      </c>
      <c r="V511" s="101">
        <f>IF(AND(F511&lt;=DASHBOARD!$B$11, H511&gt;=DASHBOARD!$B$13), H511, -1000000000000)</f>
        <v/>
      </c>
      <c r="W511" s="101">
        <f>IF(AND(F511&lt;=DASHBOARD!$B$11, H511&gt;=DASHBOARD!$B$13), K511, -1000000000000)</f>
        <v/>
      </c>
      <c r="X511" s="101">
        <f>IF(AND(F511&lt;=DASHBOARD!$B$11, H511&gt;=DASHBOARD!$B$13), M511, 1000000000000)</f>
        <v/>
      </c>
      <c r="Y511" s="101">
        <f>IF(AND(F511&lt;=DASHBOARD!$B$10, H511&gt;=DASHBOARD!$B$11), L511, 1000000000000)</f>
        <v/>
      </c>
      <c r="Z511" s="101">
        <f>IF(AND(F511&lt;=DASHBOARD!$B$10, H511&gt;=DASHBOARD!$B$11), O511, 1000000000000)</f>
        <v/>
      </c>
      <c r="AA511" s="101">
        <f>IF(AND(F511&lt;=DASHBOARD!$B$10, H511&gt;=DASHBOARD!$B$11), P511, 1000000000000)</f>
        <v/>
      </c>
      <c r="AB511" s="101">
        <f>IF(AND(F511&lt;=DASHBOARD!$B$10, H511&gt;=DASHBOARD!$B$11), Q511, -1000000000000)</f>
        <v/>
      </c>
    </row>
    <row r="512" ht="15" customHeight="1" s="102">
      <c r="A512" s="166" t="n">
        <v>508</v>
      </c>
      <c r="B512" s="167" t="n">
        <v>1.2</v>
      </c>
      <c r="C512" s="167" t="n">
        <v>0.1</v>
      </c>
      <c r="D512" s="110" t="inlineStr">
        <is>
          <t>Var (%20)</t>
        </is>
      </c>
      <c r="E512" s="110">
        <f>IF((B512+C512)&lt;=1, "Tam Mahsuplaşma (≤%100)", "Kısmi Satış (&gt;%100)")</f>
        <v/>
      </c>
      <c r="F512" s="168">
        <f>((VERI_TABANI!$D$29*B512/VERI_TABANI!$B$29)/VERI_TABANI!$B$3)*VERI_TABANI!$B$5 + ((VERI_TABANI!$D$29*C512/VERI_TABANI!$B$29)/VERI_TABANI!$B$4)*VERI_TABANI!$B$6 + IF(ISNUMBER(SEARCH("Var", D512)), (VERI_TABANI!$F$29/VERI_TABANI!$B$29)*(VERI_TABANI!$B$10+VERI_TABANI!$B$12), 0)</f>
        <v/>
      </c>
      <c r="G512" s="168">
        <f>(((MIN(VERI_TABANI!D23, VERI_TABANI!D23*B512)*VERI_TABANI!$B$7 + MAX(0, VERI_TABANI!D23*B512-VERI_TABANI!D23)*VERI_TABANI!$B$8) + (MIN(MAX(0, VERI_TABANI!D23-VERI_TABANI!D23*B512), VERI_TABANI!D23*C512)*VERI_TABANI!$B$7 + MAX(0, VERI_TABANI!D23*C512-MAX(0, VERI_TABANI!D23-VERI_TABANI!D23*B512))*VERI_TABANI!$B$8) + IF(ABS(IF(ISNUMBER(SEARCH("Var", D512)), 1, IF(ISNUMBER(SEARCH("Gri", D512)), -1, 0)))=1, VERI_TABANI!E23*(1-0.928)*VERI_TABANI!$B$9, 0) + (VERI_TABANI!D23*B512*(VERI_TABANI!$B$13-VERI_TABANI!$B$14)*VERI_TABANI!G23) + (VERI_TABANI!D23*C512*(VERI_TABANI!$B$13-VERI_TABANI!$B$15)*VERI_TABANI!G23) + IF(ABS(IF(ISNUMBER(SEARCH("Var", D512)), 1, IF(ISNUMBER(SEARCH("Gri", D512)), -1, 0)))=1, VERI_TABANI!E23*(1-0.928)*0.00206091519919798*VERI_TABANI!G23, 0)) + ((MIN(VERI_TABANI!D24, VERI_TABANI!D24*B512)*VERI_TABANI!$B$7 + MAX(0, VERI_TABANI!D24*B512-VERI_TABANI!D24)*VERI_TABANI!$B$8) + (MIN(MAX(0, VERI_TABANI!D24-VERI_TABANI!D24*B512), VERI_TABANI!D24*C512)*VERI_TABANI!$B$7 + MAX(0, VERI_TABANI!D24*C512-MAX(0, VERI_TABANI!D24-VERI_TABANI!D24*B512))*VERI_TABANI!$B$8) + IF(ABS(IF(ISNUMBER(SEARCH("Var", D512)), 1, IF(ISNUMBER(SEARCH("Gri", D512)), -1, 0)))=1, VERI_TABANI!E24*(1-0.928)*VERI_TABANI!$B$9, 0) + (VERI_TABANI!D24*B512*(VERI_TABANI!$B$13-VERI_TABANI!$B$14)*VERI_TABANI!G24) + (VERI_TABANI!D24*C512*(VERI_TABANI!$B$13-VERI_TABANI!$B$15)*VERI_TABANI!G24) + IF(ABS(IF(ISNUMBER(SEARCH("Var", D512)), 1, IF(ISNUMBER(SEARCH("Gri", D512)), -1, 0)))=1, VERI_TABANI!E24*(1-0.928)*0.00206091519919798*VERI_TABANI!G24, 0)) + ((MIN(VERI_TABANI!D25, VERI_TABANI!D25*B512)*VERI_TABANI!$B$7 + MAX(0, VERI_TABANI!D25*B512-VERI_TABANI!D25)*VERI_TABANI!$B$8) + (MIN(MAX(0, VERI_TABANI!D25-VERI_TABANI!D25*B512), VERI_TABANI!D25*C512)*VERI_TABANI!$B$7 + MAX(0, VERI_TABANI!D25*C512-MAX(0, VERI_TABANI!D25-VERI_TABANI!D25*B512))*VERI_TABANI!$B$8) + IF(ABS(IF(ISNUMBER(SEARCH("Var", D512)), 1, IF(ISNUMBER(SEARCH("Gri", D512)), -1, 0)))=1, VERI_TABANI!E25*(1-0.928)*VERI_TABANI!$B$9, 0) + (VERI_TABANI!D25*B512*(VERI_TABANI!$B$13-VERI_TABANI!$B$14)*VERI_TABANI!G25) + (VERI_TABANI!D25*C512*(VERI_TABANI!$B$13-VERI_TABANI!$B$15)*VERI_TABANI!G25) + IF(ABS(IF(ISNUMBER(SEARCH("Var", D512)), 1, IF(ISNUMBER(SEARCH("Gri", D512)), -1, 0)))=1, VERI_TABANI!E25*(1-0.928)*0.00206091519919798*VERI_TABANI!G25, 0)) + ((MIN(VERI_TABANI!D26, VERI_TABANI!D26*B512)*VERI_TABANI!$B$7 + MAX(0, VERI_TABANI!D26*B512-VERI_TABANI!D26)*VERI_TABANI!$B$8) + (MIN(MAX(0, VERI_TABANI!D26-VERI_TABANI!D26*B512), VERI_TABANI!D26*C512)*VERI_TABANI!$B$7 + MAX(0, VERI_TABANI!D26*C512-MAX(0, VERI_TABANI!D26-VERI_TABANI!D26*B512))*VERI_TABANI!$B$8) + IF(ABS(IF(ISNUMBER(SEARCH("Var", D512)), 1, IF(ISNUMBER(SEARCH("Gri", D512)), -1, 0)))=1, VERI_TABANI!E26*(1-0.928)*VERI_TABANI!$B$9, 0) + (VERI_TABANI!D26*B512*(VERI_TABANI!$B$13-VERI_TABANI!$B$14)*VERI_TABANI!G26) + (VERI_TABANI!D26*C512*(VERI_TABANI!$B$13-VERI_TABANI!$B$15)*VERI_TABANI!G26) + IF(ABS(IF(ISNUMBER(SEARCH("Var", D512)), 1, IF(ISNUMBER(SEARCH("Gri", D512)), -1, 0)))=1, VERI_TABANI!E26*(1-0.928)*0.00206091519919798*VERI_TABANI!G26, 0)) + ((MIN(VERI_TABANI!D27, VERI_TABANI!D27*B512)*VERI_TABANI!$B$7 + MAX(0, VERI_TABANI!D27*B512-VERI_TABANI!D27)*VERI_TABANI!$B$8) + (MIN(MAX(0, VERI_TABANI!D27-VERI_TABANI!D27*B512), VERI_TABANI!D27*C512)*VERI_TABANI!$B$7 + MAX(0, VERI_TABANI!D27*C512-MAX(0, VERI_TABANI!D27-VERI_TABANI!D27*B512))*VERI_TABANI!$B$8) + IF(ABS(IF(ISNUMBER(SEARCH("Var", D512)), 1, IF(ISNUMBER(SEARCH("Gri", D512)), -1, 0)))=1, VERI_TABANI!E27*(1-0.928)*VERI_TABANI!$B$9, 0) + (VERI_TABANI!D27*B512*(VERI_TABANI!$B$13-VERI_TABANI!$B$14)*VERI_TABANI!G27) + (VERI_TABANI!D27*C512*(VERI_TABANI!$B$13-VERI_TABANI!$B$15)*VERI_TABANI!G27) + IF(ABS(IF(ISNUMBER(SEARCH("Var", D512)), 1, IF(ISNUMBER(SEARCH("Gri", D512)), -1, 0)))=1, VERI_TABANI!E27*(1-0.928)*0.00206091519919798*VERI_TABANI!G27, 0)) + ((MIN(VERI_TABANI!D28, VERI_TABANI!D28*B512)*VERI_TABANI!$B$7 + MAX(0, VERI_TABANI!D28*B512-VERI_TABANI!D28)*VERI_TABANI!$B$8) + (MIN(MAX(0, VERI_TABANI!D28-VERI_TABANI!D28*B512), VERI_TABANI!D28*C512)*VERI_TABANI!$B$7 + MAX(0, VERI_TABANI!D28*C512-MAX(0, VERI_TABANI!D28-VERI_TABANI!D28*B512))*VERI_TABANI!$B$8) + IF(ABS(IF(ISNUMBER(SEARCH("Var", D512)), 1, IF(ISNUMBER(SEARCH("Gri", D512)), -1, 0)))=1, VERI_TABANI!E28*(1-0.928)*VERI_TABANI!$B$9, 0) + (VERI_TABANI!D28*B512*(VERI_TABANI!$B$13-VERI_TABANI!$B$14)*VERI_TABANI!G28) + (VERI_TABANI!D28*C512*(VERI_TABANI!$B$13-VERI_TABANI!$B$15)*VERI_TABANI!G28) + IF(ABS(IF(ISNUMBER(SEARCH("Var", D512)), 1, IF(ISNUMBER(SEARCH("Gri", D512)), -1, 0)))=1, VERI_TABANI!E28*(1-0.928)*0.00206091519919798*VERI_TABANI!G28, 0)))</f>
        <v/>
      </c>
      <c r="H512" s="169">
        <f>(((VERI_TABANI!D23*B512*(VERI_TABANI!$B$13-VERI_TABANI!$B$14)) + (VERI_TABANI!D23*C512*(VERI_TABANI!$B$13-VERI_TABANI!$B$15)) + IF(ISNUMBER(SEARCH("Var", D512)), VERI_TABANI!F23*(0.00202-VERI_TABANI!$B$16), IF(ISNUMBER(SEARCH("Gri", D512)), VERI_TABANI!F23*(0.00202-VERI_TABANI!$B$17), 0))) + ((VERI_TABANI!D24*B512*(VERI_TABANI!$B$13-VERI_TABANI!$B$14)) + (VERI_TABANI!D24*C512*(VERI_TABANI!$B$13-VERI_TABANI!$B$15)) + IF(ISNUMBER(SEARCH("Var", D512)), VERI_TABANI!F24*(0.00202-VERI_TABANI!$B$16), IF(ISNUMBER(SEARCH("Gri", D512)), VERI_TABANI!F24*(0.00202-VERI_TABANI!$B$17), 0))) + ((VERI_TABANI!D25*B512*(VERI_TABANI!$B$13-VERI_TABANI!$B$14)) + (VERI_TABANI!D25*C512*(VERI_TABANI!$B$13-VERI_TABANI!$B$15)) + IF(ISNUMBER(SEARCH("Var", D512)), VERI_TABANI!F25*(0.00202-VERI_TABANI!$B$16), IF(ISNUMBER(SEARCH("Gri", D512)), VERI_TABANI!F25*(0.00202-VERI_TABANI!$B$17), 0))) + ((VERI_TABANI!D26*B512*(VERI_TABANI!$B$13-VERI_TABANI!$B$14)) + (VERI_TABANI!D26*C512*(VERI_TABANI!$B$13-VERI_TABANI!$B$15)) + IF(ISNUMBER(SEARCH("Var", D512)), VERI_TABANI!F26*(0.00202-VERI_TABANI!$B$16), IF(ISNUMBER(SEARCH("Gri", D512)), VERI_TABANI!F26*(0.00202-VERI_TABANI!$B$17), 0))) + ((VERI_TABANI!D27*B512*(VERI_TABANI!$B$13-VERI_TABANI!$B$14)) + (VERI_TABANI!D27*C512*(VERI_TABANI!$B$13-VERI_TABANI!$B$15)) + IF(ISNUMBER(SEARCH("Var", D512)), VERI_TABANI!F27*(0.00202-VERI_TABANI!$B$16), IF(ISNUMBER(SEARCH("Gri", D512)), VERI_TABANI!F27*(0.00202-VERI_TABANI!$B$17), 0))) + ((VERI_TABANI!D28*B512*(VERI_TABANI!$B$13-VERI_TABANI!$B$14)) + (VERI_TABANI!D28*C512*(VERI_TABANI!$B$13-VERI_TABANI!$B$15)) + IF(ISNUMBER(SEARCH("Var", D512)), VERI_TABANI!F28*(0.00202-VERI_TABANI!$B$16), IF(ISNUMBER(SEARCH("Gri", D512)), VERI_TABANI!F28*(0.00202-VERI_TABANI!$B$17), 0))))</f>
        <v/>
      </c>
      <c r="I512" s="170">
        <f>IFERROR(((VERI_TABANI!$D$29*B512*VERI_TABANI!$B$14 + VERI_TABANI!$D$29*C512*VERI_TABANI!$B$15 + IF(ISNUMBER(SEARCH("Var", D512)), VERI_TABANI!$F$29*VERI_TABANI!$B$16, 0))) / (((VERI_TABANI!$D$29*B512 + VERI_TABANI!$D$29*C512)*VERI_TABANI!$B$13 + IF(ISNUMBER(SEARCH("Var", D512)), VERI_TABANI!$E$29*(1-0.928)*VERI_TABANI!$B$18, 0))), 0)</f>
        <v/>
      </c>
      <c r="J512" s="171">
        <f>IFERROR(F512/(G512/29), 0)</f>
        <v/>
      </c>
      <c r="K512" s="172">
        <f>IF(F512&gt;0, H512/F512, 0)</f>
        <v/>
      </c>
      <c r="L512" s="170">
        <f>IF(F512&gt;0, I512, 1000000000)</f>
        <v/>
      </c>
      <c r="M512" s="171">
        <f>ABS((B512+C512)-1)</f>
        <v/>
      </c>
      <c r="N512" s="170">
        <f>IF(F512&gt;0, (G512/29)/F512, 0)</f>
        <v/>
      </c>
      <c r="O512" s="168">
        <f>IF(AND((B512+C512)&gt;=1, ISNUMBER(SEARCH("Var", D512))), F512, 1000000000)</f>
        <v/>
      </c>
      <c r="P512" s="172">
        <f>IF(F512&gt;0, SQRT((F512/MAX(F$5:F$886))^2 + (1 - H512/MAX(H$5:H$886))^2 + (J512/MAX(J$5:J$886))^2), 1000000000)</f>
        <v/>
      </c>
      <c r="Q512" s="166">
        <f>IF(AND(ABS(B512-0.5)&lt;0.01, ABS(C512-0.5)&lt;0.01, ISNUMBER(SEARCH("Var", D512))), 1, 0)</f>
        <v/>
      </c>
      <c r="R512" s="171">
        <f>IF(F512&gt;0, J512, 1000000000)</f>
        <v/>
      </c>
      <c r="S512" s="101">
        <f>IF(AND(F512&lt;=DASHBOARD!$B$11, H512&gt;=DASHBOARD!$B$13), G512, -1000000000000)</f>
        <v/>
      </c>
      <c r="T512" s="101">
        <f>IF(AND(F512&lt;=DASHBOARD!$B$11, H512&gt;=DASHBOARD!$B$13), R512, 1000000000000)</f>
        <v/>
      </c>
      <c r="U512" s="101">
        <f>IF(AND(F512&lt;=DASHBOARD!$B$11, H512&gt;=DASHBOARD!$B$13), N512, -1000000000000)</f>
        <v/>
      </c>
      <c r="V512" s="101">
        <f>IF(AND(F512&lt;=DASHBOARD!$B$11, H512&gt;=DASHBOARD!$B$13), H512, -1000000000000)</f>
        <v/>
      </c>
      <c r="W512" s="101">
        <f>IF(AND(F512&lt;=DASHBOARD!$B$11, H512&gt;=DASHBOARD!$B$13), K512, -1000000000000)</f>
        <v/>
      </c>
      <c r="X512" s="101">
        <f>IF(AND(F512&lt;=DASHBOARD!$B$11, H512&gt;=DASHBOARD!$B$13), M512, 1000000000000)</f>
        <v/>
      </c>
      <c r="Y512" s="101">
        <f>IF(AND(F512&lt;=DASHBOARD!$B$10, H512&gt;=DASHBOARD!$B$11), L512, 1000000000000)</f>
        <v/>
      </c>
      <c r="Z512" s="101">
        <f>IF(AND(F512&lt;=DASHBOARD!$B$10, H512&gt;=DASHBOARD!$B$11), O512, 1000000000000)</f>
        <v/>
      </c>
      <c r="AA512" s="101">
        <f>IF(AND(F512&lt;=DASHBOARD!$B$10, H512&gt;=DASHBOARD!$B$11), P512, 1000000000000)</f>
        <v/>
      </c>
      <c r="AB512" s="101">
        <f>IF(AND(F512&lt;=DASHBOARD!$B$10, H512&gt;=DASHBOARD!$B$11), Q512, -1000000000000)</f>
        <v/>
      </c>
    </row>
    <row r="513" ht="15" customHeight="1" s="102">
      <c r="A513" s="166" t="n">
        <v>509</v>
      </c>
      <c r="B513" s="167" t="n">
        <v>1.2</v>
      </c>
      <c r="C513" s="167" t="n">
        <v>0.2</v>
      </c>
      <c r="D513" s="110" t="inlineStr">
        <is>
          <t>Yok (%0)</t>
        </is>
      </c>
      <c r="E513" s="110">
        <f>IF((B513+C513)&lt;=1, "Tam Mahsuplaşma (≤%100)", "Kısmi Satış (&gt;%100)")</f>
        <v/>
      </c>
      <c r="F513" s="168">
        <f>((VERI_TABANI!$D$29*B513/VERI_TABANI!$B$29)/VERI_TABANI!$B$3)*VERI_TABANI!$B$5 + ((VERI_TABANI!$D$29*C513/VERI_TABANI!$B$29)/VERI_TABANI!$B$4)*VERI_TABANI!$B$6 + IF(ISNUMBER(SEARCH("Var", D513)), (VERI_TABANI!$F$29/VERI_TABANI!$B$29)*(VERI_TABANI!$B$10+VERI_TABANI!$B$12), 0)</f>
        <v/>
      </c>
      <c r="G513" s="168">
        <f>(((MIN(VERI_TABANI!D23, VERI_TABANI!D23*B513)*VERI_TABANI!$B$7 + MAX(0, VERI_TABANI!D23*B513-VERI_TABANI!D23)*VERI_TABANI!$B$8) + (MIN(MAX(0, VERI_TABANI!D23-VERI_TABANI!D23*B513), VERI_TABANI!D23*C513)*VERI_TABANI!$B$7 + MAX(0, VERI_TABANI!D23*C513-MAX(0, VERI_TABANI!D23-VERI_TABANI!D23*B513))*VERI_TABANI!$B$8) + IF(ABS(IF(ISNUMBER(SEARCH("Var", D513)), 1, IF(ISNUMBER(SEARCH("Gri", D513)), -1, 0)))=1, VERI_TABANI!E23*(1-0.928)*VERI_TABANI!$B$9, 0) + (VERI_TABANI!D23*B513*(VERI_TABANI!$B$13-VERI_TABANI!$B$14)*VERI_TABANI!G23) + (VERI_TABANI!D23*C513*(VERI_TABANI!$B$13-VERI_TABANI!$B$15)*VERI_TABANI!G23) + IF(ABS(IF(ISNUMBER(SEARCH("Var", D513)), 1, IF(ISNUMBER(SEARCH("Gri", D513)), -1, 0)))=1, VERI_TABANI!E23*(1-0.928)*0.00206091519919798*VERI_TABANI!G23, 0)) + ((MIN(VERI_TABANI!D24, VERI_TABANI!D24*B513)*VERI_TABANI!$B$7 + MAX(0, VERI_TABANI!D24*B513-VERI_TABANI!D24)*VERI_TABANI!$B$8) + (MIN(MAX(0, VERI_TABANI!D24-VERI_TABANI!D24*B513), VERI_TABANI!D24*C513)*VERI_TABANI!$B$7 + MAX(0, VERI_TABANI!D24*C513-MAX(0, VERI_TABANI!D24-VERI_TABANI!D24*B513))*VERI_TABANI!$B$8) + IF(ABS(IF(ISNUMBER(SEARCH("Var", D513)), 1, IF(ISNUMBER(SEARCH("Gri", D513)), -1, 0)))=1, VERI_TABANI!E24*(1-0.928)*VERI_TABANI!$B$9, 0) + (VERI_TABANI!D24*B513*(VERI_TABANI!$B$13-VERI_TABANI!$B$14)*VERI_TABANI!G24) + (VERI_TABANI!D24*C513*(VERI_TABANI!$B$13-VERI_TABANI!$B$15)*VERI_TABANI!G24) + IF(ABS(IF(ISNUMBER(SEARCH("Var", D513)), 1, IF(ISNUMBER(SEARCH("Gri", D513)), -1, 0)))=1, VERI_TABANI!E24*(1-0.928)*0.00206091519919798*VERI_TABANI!G24, 0)) + ((MIN(VERI_TABANI!D25, VERI_TABANI!D25*B513)*VERI_TABANI!$B$7 + MAX(0, VERI_TABANI!D25*B513-VERI_TABANI!D25)*VERI_TABANI!$B$8) + (MIN(MAX(0, VERI_TABANI!D25-VERI_TABANI!D25*B513), VERI_TABANI!D25*C513)*VERI_TABANI!$B$7 + MAX(0, VERI_TABANI!D25*C513-MAX(0, VERI_TABANI!D25-VERI_TABANI!D25*B513))*VERI_TABANI!$B$8) + IF(ABS(IF(ISNUMBER(SEARCH("Var", D513)), 1, IF(ISNUMBER(SEARCH("Gri", D513)), -1, 0)))=1, VERI_TABANI!E25*(1-0.928)*VERI_TABANI!$B$9, 0) + (VERI_TABANI!D25*B513*(VERI_TABANI!$B$13-VERI_TABANI!$B$14)*VERI_TABANI!G25) + (VERI_TABANI!D25*C513*(VERI_TABANI!$B$13-VERI_TABANI!$B$15)*VERI_TABANI!G25) + IF(ABS(IF(ISNUMBER(SEARCH("Var", D513)), 1, IF(ISNUMBER(SEARCH("Gri", D513)), -1, 0)))=1, VERI_TABANI!E25*(1-0.928)*0.00206091519919798*VERI_TABANI!G25, 0)) + ((MIN(VERI_TABANI!D26, VERI_TABANI!D26*B513)*VERI_TABANI!$B$7 + MAX(0, VERI_TABANI!D26*B513-VERI_TABANI!D26)*VERI_TABANI!$B$8) + (MIN(MAX(0, VERI_TABANI!D26-VERI_TABANI!D26*B513), VERI_TABANI!D26*C513)*VERI_TABANI!$B$7 + MAX(0, VERI_TABANI!D26*C513-MAX(0, VERI_TABANI!D26-VERI_TABANI!D26*B513))*VERI_TABANI!$B$8) + IF(ABS(IF(ISNUMBER(SEARCH("Var", D513)), 1, IF(ISNUMBER(SEARCH("Gri", D513)), -1, 0)))=1, VERI_TABANI!E26*(1-0.928)*VERI_TABANI!$B$9, 0) + (VERI_TABANI!D26*B513*(VERI_TABANI!$B$13-VERI_TABANI!$B$14)*VERI_TABANI!G26) + (VERI_TABANI!D26*C513*(VERI_TABANI!$B$13-VERI_TABANI!$B$15)*VERI_TABANI!G26) + IF(ABS(IF(ISNUMBER(SEARCH("Var", D513)), 1, IF(ISNUMBER(SEARCH("Gri", D513)), -1, 0)))=1, VERI_TABANI!E26*(1-0.928)*0.00206091519919798*VERI_TABANI!G26, 0)) + ((MIN(VERI_TABANI!D27, VERI_TABANI!D27*B513)*VERI_TABANI!$B$7 + MAX(0, VERI_TABANI!D27*B513-VERI_TABANI!D27)*VERI_TABANI!$B$8) + (MIN(MAX(0, VERI_TABANI!D27-VERI_TABANI!D27*B513), VERI_TABANI!D27*C513)*VERI_TABANI!$B$7 + MAX(0, VERI_TABANI!D27*C513-MAX(0, VERI_TABANI!D27-VERI_TABANI!D27*B513))*VERI_TABANI!$B$8) + IF(ABS(IF(ISNUMBER(SEARCH("Var", D513)), 1, IF(ISNUMBER(SEARCH("Gri", D513)), -1, 0)))=1, VERI_TABANI!E27*(1-0.928)*VERI_TABANI!$B$9, 0) + (VERI_TABANI!D27*B513*(VERI_TABANI!$B$13-VERI_TABANI!$B$14)*VERI_TABANI!G27) + (VERI_TABANI!D27*C513*(VERI_TABANI!$B$13-VERI_TABANI!$B$15)*VERI_TABANI!G27) + IF(ABS(IF(ISNUMBER(SEARCH("Var", D513)), 1, IF(ISNUMBER(SEARCH("Gri", D513)), -1, 0)))=1, VERI_TABANI!E27*(1-0.928)*0.00206091519919798*VERI_TABANI!G27, 0)) + ((MIN(VERI_TABANI!D28, VERI_TABANI!D28*B513)*VERI_TABANI!$B$7 + MAX(0, VERI_TABANI!D28*B513-VERI_TABANI!D28)*VERI_TABANI!$B$8) + (MIN(MAX(0, VERI_TABANI!D28-VERI_TABANI!D28*B513), VERI_TABANI!D28*C513)*VERI_TABANI!$B$7 + MAX(0, VERI_TABANI!D28*C513-MAX(0, VERI_TABANI!D28-VERI_TABANI!D28*B513))*VERI_TABANI!$B$8) + IF(ABS(IF(ISNUMBER(SEARCH("Var", D513)), 1, IF(ISNUMBER(SEARCH("Gri", D513)), -1, 0)))=1, VERI_TABANI!E28*(1-0.928)*VERI_TABANI!$B$9, 0) + (VERI_TABANI!D28*B513*(VERI_TABANI!$B$13-VERI_TABANI!$B$14)*VERI_TABANI!G28) + (VERI_TABANI!D28*C513*(VERI_TABANI!$B$13-VERI_TABANI!$B$15)*VERI_TABANI!G28) + IF(ABS(IF(ISNUMBER(SEARCH("Var", D513)), 1, IF(ISNUMBER(SEARCH("Gri", D513)), -1, 0)))=1, VERI_TABANI!E28*(1-0.928)*0.00206091519919798*VERI_TABANI!G28, 0)))</f>
        <v/>
      </c>
      <c r="H513" s="169">
        <f>(((VERI_TABANI!D23*B513*(VERI_TABANI!$B$13-VERI_TABANI!$B$14)) + (VERI_TABANI!D23*C513*(VERI_TABANI!$B$13-VERI_TABANI!$B$15)) + IF(ISNUMBER(SEARCH("Var", D513)), VERI_TABANI!F23*(0.00202-VERI_TABANI!$B$16), IF(ISNUMBER(SEARCH("Gri", D513)), VERI_TABANI!F23*(0.00202-VERI_TABANI!$B$17), 0))) + ((VERI_TABANI!D24*B513*(VERI_TABANI!$B$13-VERI_TABANI!$B$14)) + (VERI_TABANI!D24*C513*(VERI_TABANI!$B$13-VERI_TABANI!$B$15)) + IF(ISNUMBER(SEARCH("Var", D513)), VERI_TABANI!F24*(0.00202-VERI_TABANI!$B$16), IF(ISNUMBER(SEARCH("Gri", D513)), VERI_TABANI!F24*(0.00202-VERI_TABANI!$B$17), 0))) + ((VERI_TABANI!D25*B513*(VERI_TABANI!$B$13-VERI_TABANI!$B$14)) + (VERI_TABANI!D25*C513*(VERI_TABANI!$B$13-VERI_TABANI!$B$15)) + IF(ISNUMBER(SEARCH("Var", D513)), VERI_TABANI!F25*(0.00202-VERI_TABANI!$B$16), IF(ISNUMBER(SEARCH("Gri", D513)), VERI_TABANI!F25*(0.00202-VERI_TABANI!$B$17), 0))) + ((VERI_TABANI!D26*B513*(VERI_TABANI!$B$13-VERI_TABANI!$B$14)) + (VERI_TABANI!D26*C513*(VERI_TABANI!$B$13-VERI_TABANI!$B$15)) + IF(ISNUMBER(SEARCH("Var", D513)), VERI_TABANI!F26*(0.00202-VERI_TABANI!$B$16), IF(ISNUMBER(SEARCH("Gri", D513)), VERI_TABANI!F26*(0.00202-VERI_TABANI!$B$17), 0))) + ((VERI_TABANI!D27*B513*(VERI_TABANI!$B$13-VERI_TABANI!$B$14)) + (VERI_TABANI!D27*C513*(VERI_TABANI!$B$13-VERI_TABANI!$B$15)) + IF(ISNUMBER(SEARCH("Var", D513)), VERI_TABANI!F27*(0.00202-VERI_TABANI!$B$16), IF(ISNUMBER(SEARCH("Gri", D513)), VERI_TABANI!F27*(0.00202-VERI_TABANI!$B$17), 0))) + ((VERI_TABANI!D28*B513*(VERI_TABANI!$B$13-VERI_TABANI!$B$14)) + (VERI_TABANI!D28*C513*(VERI_TABANI!$B$13-VERI_TABANI!$B$15)) + IF(ISNUMBER(SEARCH("Var", D513)), VERI_TABANI!F28*(0.00202-VERI_TABANI!$B$16), IF(ISNUMBER(SEARCH("Gri", D513)), VERI_TABANI!F28*(0.00202-VERI_TABANI!$B$17), 0))))</f>
        <v/>
      </c>
      <c r="I513" s="170">
        <f>IFERROR(((VERI_TABANI!$D$29*B513*VERI_TABANI!$B$14 + VERI_TABANI!$D$29*C513*VERI_TABANI!$B$15 + IF(ISNUMBER(SEARCH("Var", D513)), VERI_TABANI!$F$29*VERI_TABANI!$B$16, 0))) / (((VERI_TABANI!$D$29*B513 + VERI_TABANI!$D$29*C513)*VERI_TABANI!$B$13 + IF(ISNUMBER(SEARCH("Var", D513)), VERI_TABANI!$E$29*(1-0.928)*VERI_TABANI!$B$18, 0))), 0)</f>
        <v/>
      </c>
      <c r="J513" s="171">
        <f>IFERROR(F513/(G513/29), 0)</f>
        <v/>
      </c>
      <c r="K513" s="172">
        <f>IF(F513&gt;0, H513/F513, 0)</f>
        <v/>
      </c>
      <c r="L513" s="170">
        <f>IF(F513&gt;0, I513, 1000000000)</f>
        <v/>
      </c>
      <c r="M513" s="171">
        <f>ABS((B513+C513)-1)</f>
        <v/>
      </c>
      <c r="N513" s="170">
        <f>IF(F513&gt;0, (G513/29)/F513, 0)</f>
        <v/>
      </c>
      <c r="O513" s="168">
        <f>IF(AND((B513+C513)&gt;=1, ISNUMBER(SEARCH("Var", D513))), F513, 1000000000)</f>
        <v/>
      </c>
      <c r="P513" s="172">
        <f>IF(F513&gt;0, SQRT((F513/MAX(F$5:F$886))^2 + (1 - H513/MAX(H$5:H$886))^2 + (J513/MAX(J$5:J$886))^2), 1000000000)</f>
        <v/>
      </c>
      <c r="Q513" s="166">
        <f>IF(AND(ABS(B513-0.5)&lt;0.01, ABS(C513-0.5)&lt;0.01, ISNUMBER(SEARCH("Var", D513))), 1, 0)</f>
        <v/>
      </c>
      <c r="R513" s="171">
        <f>IF(F513&gt;0, J513, 1000000000)</f>
        <v/>
      </c>
      <c r="S513" s="101">
        <f>IF(AND(F513&lt;=DASHBOARD!$B$11, H513&gt;=DASHBOARD!$B$13), G513, -1000000000000)</f>
        <v/>
      </c>
      <c r="T513" s="101">
        <f>IF(AND(F513&lt;=DASHBOARD!$B$11, H513&gt;=DASHBOARD!$B$13), R513, 1000000000000)</f>
        <v/>
      </c>
      <c r="U513" s="101">
        <f>IF(AND(F513&lt;=DASHBOARD!$B$11, H513&gt;=DASHBOARD!$B$13), N513, -1000000000000)</f>
        <v/>
      </c>
      <c r="V513" s="101">
        <f>IF(AND(F513&lt;=DASHBOARD!$B$11, H513&gt;=DASHBOARD!$B$13), H513, -1000000000000)</f>
        <v/>
      </c>
      <c r="W513" s="101">
        <f>IF(AND(F513&lt;=DASHBOARD!$B$11, H513&gt;=DASHBOARD!$B$13), K513, -1000000000000)</f>
        <v/>
      </c>
      <c r="X513" s="101">
        <f>IF(AND(F513&lt;=DASHBOARD!$B$11, H513&gt;=DASHBOARD!$B$13), M513, 1000000000000)</f>
        <v/>
      </c>
      <c r="Y513" s="101">
        <f>IF(AND(F513&lt;=DASHBOARD!$B$10, H513&gt;=DASHBOARD!$B$11), L513, 1000000000000)</f>
        <v/>
      </c>
      <c r="Z513" s="101">
        <f>IF(AND(F513&lt;=DASHBOARD!$B$10, H513&gt;=DASHBOARD!$B$11), O513, 1000000000000)</f>
        <v/>
      </c>
      <c r="AA513" s="101">
        <f>IF(AND(F513&lt;=DASHBOARD!$B$10, H513&gt;=DASHBOARD!$B$11), P513, 1000000000000)</f>
        <v/>
      </c>
      <c r="AB513" s="101">
        <f>IF(AND(F513&lt;=DASHBOARD!$B$10, H513&gt;=DASHBOARD!$B$11), Q513, -1000000000000)</f>
        <v/>
      </c>
    </row>
    <row r="514" ht="15" customHeight="1" s="102">
      <c r="A514" s="166" t="n">
        <v>510</v>
      </c>
      <c r="B514" s="167" t="n">
        <v>1.2</v>
      </c>
      <c r="C514" s="167" t="n">
        <v>0.2</v>
      </c>
      <c r="D514" s="110" t="inlineStr">
        <is>
          <t>Var (%20)</t>
        </is>
      </c>
      <c r="E514" s="110">
        <f>IF((B514+C514)&lt;=1, "Tam Mahsuplaşma (≤%100)", "Kısmi Satış (&gt;%100)")</f>
        <v/>
      </c>
      <c r="F514" s="168">
        <f>((VERI_TABANI!$D$29*B514/VERI_TABANI!$B$29)/VERI_TABANI!$B$3)*VERI_TABANI!$B$5 + ((VERI_TABANI!$D$29*C514/VERI_TABANI!$B$29)/VERI_TABANI!$B$4)*VERI_TABANI!$B$6 + IF(ISNUMBER(SEARCH("Var", D514)), (VERI_TABANI!$F$29/VERI_TABANI!$B$29)*(VERI_TABANI!$B$10+VERI_TABANI!$B$12), 0)</f>
        <v/>
      </c>
      <c r="G514" s="168">
        <f>(((MIN(VERI_TABANI!D23, VERI_TABANI!D23*B514)*VERI_TABANI!$B$7 + MAX(0, VERI_TABANI!D23*B514-VERI_TABANI!D23)*VERI_TABANI!$B$8) + (MIN(MAX(0, VERI_TABANI!D23-VERI_TABANI!D23*B514), VERI_TABANI!D23*C514)*VERI_TABANI!$B$7 + MAX(0, VERI_TABANI!D23*C514-MAX(0, VERI_TABANI!D23-VERI_TABANI!D23*B514))*VERI_TABANI!$B$8) + IF(ABS(IF(ISNUMBER(SEARCH("Var", D514)), 1, IF(ISNUMBER(SEARCH("Gri", D514)), -1, 0)))=1, VERI_TABANI!E23*(1-0.928)*VERI_TABANI!$B$9, 0) + (VERI_TABANI!D23*B514*(VERI_TABANI!$B$13-VERI_TABANI!$B$14)*VERI_TABANI!G23) + (VERI_TABANI!D23*C514*(VERI_TABANI!$B$13-VERI_TABANI!$B$15)*VERI_TABANI!G23) + IF(ABS(IF(ISNUMBER(SEARCH("Var", D514)), 1, IF(ISNUMBER(SEARCH("Gri", D514)), -1, 0)))=1, VERI_TABANI!E23*(1-0.928)*0.00206091519919798*VERI_TABANI!G23, 0)) + ((MIN(VERI_TABANI!D24, VERI_TABANI!D24*B514)*VERI_TABANI!$B$7 + MAX(0, VERI_TABANI!D24*B514-VERI_TABANI!D24)*VERI_TABANI!$B$8) + (MIN(MAX(0, VERI_TABANI!D24-VERI_TABANI!D24*B514), VERI_TABANI!D24*C514)*VERI_TABANI!$B$7 + MAX(0, VERI_TABANI!D24*C514-MAX(0, VERI_TABANI!D24-VERI_TABANI!D24*B514))*VERI_TABANI!$B$8) + IF(ABS(IF(ISNUMBER(SEARCH("Var", D514)), 1, IF(ISNUMBER(SEARCH("Gri", D514)), -1, 0)))=1, VERI_TABANI!E24*(1-0.928)*VERI_TABANI!$B$9, 0) + (VERI_TABANI!D24*B514*(VERI_TABANI!$B$13-VERI_TABANI!$B$14)*VERI_TABANI!G24) + (VERI_TABANI!D24*C514*(VERI_TABANI!$B$13-VERI_TABANI!$B$15)*VERI_TABANI!G24) + IF(ABS(IF(ISNUMBER(SEARCH("Var", D514)), 1, IF(ISNUMBER(SEARCH("Gri", D514)), -1, 0)))=1, VERI_TABANI!E24*(1-0.928)*0.00206091519919798*VERI_TABANI!G24, 0)) + ((MIN(VERI_TABANI!D25, VERI_TABANI!D25*B514)*VERI_TABANI!$B$7 + MAX(0, VERI_TABANI!D25*B514-VERI_TABANI!D25)*VERI_TABANI!$B$8) + (MIN(MAX(0, VERI_TABANI!D25-VERI_TABANI!D25*B514), VERI_TABANI!D25*C514)*VERI_TABANI!$B$7 + MAX(0, VERI_TABANI!D25*C514-MAX(0, VERI_TABANI!D25-VERI_TABANI!D25*B514))*VERI_TABANI!$B$8) + IF(ABS(IF(ISNUMBER(SEARCH("Var", D514)), 1, IF(ISNUMBER(SEARCH("Gri", D514)), -1, 0)))=1, VERI_TABANI!E25*(1-0.928)*VERI_TABANI!$B$9, 0) + (VERI_TABANI!D25*B514*(VERI_TABANI!$B$13-VERI_TABANI!$B$14)*VERI_TABANI!G25) + (VERI_TABANI!D25*C514*(VERI_TABANI!$B$13-VERI_TABANI!$B$15)*VERI_TABANI!G25) + IF(ABS(IF(ISNUMBER(SEARCH("Var", D514)), 1, IF(ISNUMBER(SEARCH("Gri", D514)), -1, 0)))=1, VERI_TABANI!E25*(1-0.928)*0.00206091519919798*VERI_TABANI!G25, 0)) + ((MIN(VERI_TABANI!D26, VERI_TABANI!D26*B514)*VERI_TABANI!$B$7 + MAX(0, VERI_TABANI!D26*B514-VERI_TABANI!D26)*VERI_TABANI!$B$8) + (MIN(MAX(0, VERI_TABANI!D26-VERI_TABANI!D26*B514), VERI_TABANI!D26*C514)*VERI_TABANI!$B$7 + MAX(0, VERI_TABANI!D26*C514-MAX(0, VERI_TABANI!D26-VERI_TABANI!D26*B514))*VERI_TABANI!$B$8) + IF(ABS(IF(ISNUMBER(SEARCH("Var", D514)), 1, IF(ISNUMBER(SEARCH("Gri", D514)), -1, 0)))=1, VERI_TABANI!E26*(1-0.928)*VERI_TABANI!$B$9, 0) + (VERI_TABANI!D26*B514*(VERI_TABANI!$B$13-VERI_TABANI!$B$14)*VERI_TABANI!G26) + (VERI_TABANI!D26*C514*(VERI_TABANI!$B$13-VERI_TABANI!$B$15)*VERI_TABANI!G26) + IF(ABS(IF(ISNUMBER(SEARCH("Var", D514)), 1, IF(ISNUMBER(SEARCH("Gri", D514)), -1, 0)))=1, VERI_TABANI!E26*(1-0.928)*0.00206091519919798*VERI_TABANI!G26, 0)) + ((MIN(VERI_TABANI!D27, VERI_TABANI!D27*B514)*VERI_TABANI!$B$7 + MAX(0, VERI_TABANI!D27*B514-VERI_TABANI!D27)*VERI_TABANI!$B$8) + (MIN(MAX(0, VERI_TABANI!D27-VERI_TABANI!D27*B514), VERI_TABANI!D27*C514)*VERI_TABANI!$B$7 + MAX(0, VERI_TABANI!D27*C514-MAX(0, VERI_TABANI!D27-VERI_TABANI!D27*B514))*VERI_TABANI!$B$8) + IF(ABS(IF(ISNUMBER(SEARCH("Var", D514)), 1, IF(ISNUMBER(SEARCH("Gri", D514)), -1, 0)))=1, VERI_TABANI!E27*(1-0.928)*VERI_TABANI!$B$9, 0) + (VERI_TABANI!D27*B514*(VERI_TABANI!$B$13-VERI_TABANI!$B$14)*VERI_TABANI!G27) + (VERI_TABANI!D27*C514*(VERI_TABANI!$B$13-VERI_TABANI!$B$15)*VERI_TABANI!G27) + IF(ABS(IF(ISNUMBER(SEARCH("Var", D514)), 1, IF(ISNUMBER(SEARCH("Gri", D514)), -1, 0)))=1, VERI_TABANI!E27*(1-0.928)*0.00206091519919798*VERI_TABANI!G27, 0)) + ((MIN(VERI_TABANI!D28, VERI_TABANI!D28*B514)*VERI_TABANI!$B$7 + MAX(0, VERI_TABANI!D28*B514-VERI_TABANI!D28)*VERI_TABANI!$B$8) + (MIN(MAX(0, VERI_TABANI!D28-VERI_TABANI!D28*B514), VERI_TABANI!D28*C514)*VERI_TABANI!$B$7 + MAX(0, VERI_TABANI!D28*C514-MAX(0, VERI_TABANI!D28-VERI_TABANI!D28*B514))*VERI_TABANI!$B$8) + IF(ABS(IF(ISNUMBER(SEARCH("Var", D514)), 1, IF(ISNUMBER(SEARCH("Gri", D514)), -1, 0)))=1, VERI_TABANI!E28*(1-0.928)*VERI_TABANI!$B$9, 0) + (VERI_TABANI!D28*B514*(VERI_TABANI!$B$13-VERI_TABANI!$B$14)*VERI_TABANI!G28) + (VERI_TABANI!D28*C514*(VERI_TABANI!$B$13-VERI_TABANI!$B$15)*VERI_TABANI!G28) + IF(ABS(IF(ISNUMBER(SEARCH("Var", D514)), 1, IF(ISNUMBER(SEARCH("Gri", D514)), -1, 0)))=1, VERI_TABANI!E28*(1-0.928)*0.00206091519919798*VERI_TABANI!G28, 0)))</f>
        <v/>
      </c>
      <c r="H514" s="169">
        <f>(((VERI_TABANI!D23*B514*(VERI_TABANI!$B$13-VERI_TABANI!$B$14)) + (VERI_TABANI!D23*C514*(VERI_TABANI!$B$13-VERI_TABANI!$B$15)) + IF(ISNUMBER(SEARCH("Var", D514)), VERI_TABANI!F23*(0.00202-VERI_TABANI!$B$16), IF(ISNUMBER(SEARCH("Gri", D514)), VERI_TABANI!F23*(0.00202-VERI_TABANI!$B$17), 0))) + ((VERI_TABANI!D24*B514*(VERI_TABANI!$B$13-VERI_TABANI!$B$14)) + (VERI_TABANI!D24*C514*(VERI_TABANI!$B$13-VERI_TABANI!$B$15)) + IF(ISNUMBER(SEARCH("Var", D514)), VERI_TABANI!F24*(0.00202-VERI_TABANI!$B$16), IF(ISNUMBER(SEARCH("Gri", D514)), VERI_TABANI!F24*(0.00202-VERI_TABANI!$B$17), 0))) + ((VERI_TABANI!D25*B514*(VERI_TABANI!$B$13-VERI_TABANI!$B$14)) + (VERI_TABANI!D25*C514*(VERI_TABANI!$B$13-VERI_TABANI!$B$15)) + IF(ISNUMBER(SEARCH("Var", D514)), VERI_TABANI!F25*(0.00202-VERI_TABANI!$B$16), IF(ISNUMBER(SEARCH("Gri", D514)), VERI_TABANI!F25*(0.00202-VERI_TABANI!$B$17), 0))) + ((VERI_TABANI!D26*B514*(VERI_TABANI!$B$13-VERI_TABANI!$B$14)) + (VERI_TABANI!D26*C514*(VERI_TABANI!$B$13-VERI_TABANI!$B$15)) + IF(ISNUMBER(SEARCH("Var", D514)), VERI_TABANI!F26*(0.00202-VERI_TABANI!$B$16), IF(ISNUMBER(SEARCH("Gri", D514)), VERI_TABANI!F26*(0.00202-VERI_TABANI!$B$17), 0))) + ((VERI_TABANI!D27*B514*(VERI_TABANI!$B$13-VERI_TABANI!$B$14)) + (VERI_TABANI!D27*C514*(VERI_TABANI!$B$13-VERI_TABANI!$B$15)) + IF(ISNUMBER(SEARCH("Var", D514)), VERI_TABANI!F27*(0.00202-VERI_TABANI!$B$16), IF(ISNUMBER(SEARCH("Gri", D514)), VERI_TABANI!F27*(0.00202-VERI_TABANI!$B$17), 0))) + ((VERI_TABANI!D28*B514*(VERI_TABANI!$B$13-VERI_TABANI!$B$14)) + (VERI_TABANI!D28*C514*(VERI_TABANI!$B$13-VERI_TABANI!$B$15)) + IF(ISNUMBER(SEARCH("Var", D514)), VERI_TABANI!F28*(0.00202-VERI_TABANI!$B$16), IF(ISNUMBER(SEARCH("Gri", D514)), VERI_TABANI!F28*(0.00202-VERI_TABANI!$B$17), 0))))</f>
        <v/>
      </c>
      <c r="I514" s="170">
        <f>IFERROR(((VERI_TABANI!$D$29*B514*VERI_TABANI!$B$14 + VERI_TABANI!$D$29*C514*VERI_TABANI!$B$15 + IF(ISNUMBER(SEARCH("Var", D514)), VERI_TABANI!$F$29*VERI_TABANI!$B$16, 0))) / (((VERI_TABANI!$D$29*B514 + VERI_TABANI!$D$29*C514)*VERI_TABANI!$B$13 + IF(ISNUMBER(SEARCH("Var", D514)), VERI_TABANI!$E$29*(1-0.928)*VERI_TABANI!$B$18, 0))), 0)</f>
        <v/>
      </c>
      <c r="J514" s="171">
        <f>IFERROR(F514/(G514/29), 0)</f>
        <v/>
      </c>
      <c r="K514" s="172">
        <f>IF(F514&gt;0, H514/F514, 0)</f>
        <v/>
      </c>
      <c r="L514" s="170">
        <f>IF(F514&gt;0, I514, 1000000000)</f>
        <v/>
      </c>
      <c r="M514" s="171">
        <f>ABS((B514+C514)-1)</f>
        <v/>
      </c>
      <c r="N514" s="170">
        <f>IF(F514&gt;0, (G514/29)/F514, 0)</f>
        <v/>
      </c>
      <c r="O514" s="168">
        <f>IF(AND((B514+C514)&gt;=1, ISNUMBER(SEARCH("Var", D514))), F514, 1000000000)</f>
        <v/>
      </c>
      <c r="P514" s="172">
        <f>IF(F514&gt;0, SQRT((F514/MAX(F$5:F$886))^2 + (1 - H514/MAX(H$5:H$886))^2 + (J514/MAX(J$5:J$886))^2), 1000000000)</f>
        <v/>
      </c>
      <c r="Q514" s="166">
        <f>IF(AND(ABS(B514-0.5)&lt;0.01, ABS(C514-0.5)&lt;0.01, ISNUMBER(SEARCH("Var", D514))), 1, 0)</f>
        <v/>
      </c>
      <c r="R514" s="171">
        <f>IF(F514&gt;0, J514, 1000000000)</f>
        <v/>
      </c>
      <c r="S514" s="101">
        <f>IF(AND(F514&lt;=DASHBOARD!$B$11, H514&gt;=DASHBOARD!$B$13), G514, -1000000000000)</f>
        <v/>
      </c>
      <c r="T514" s="101">
        <f>IF(AND(F514&lt;=DASHBOARD!$B$11, H514&gt;=DASHBOARD!$B$13), R514, 1000000000000)</f>
        <v/>
      </c>
      <c r="U514" s="101">
        <f>IF(AND(F514&lt;=DASHBOARD!$B$11, H514&gt;=DASHBOARD!$B$13), N514, -1000000000000)</f>
        <v/>
      </c>
      <c r="V514" s="101">
        <f>IF(AND(F514&lt;=DASHBOARD!$B$11, H514&gt;=DASHBOARD!$B$13), H514, -1000000000000)</f>
        <v/>
      </c>
      <c r="W514" s="101">
        <f>IF(AND(F514&lt;=DASHBOARD!$B$11, H514&gt;=DASHBOARD!$B$13), K514, -1000000000000)</f>
        <v/>
      </c>
      <c r="X514" s="101">
        <f>IF(AND(F514&lt;=DASHBOARD!$B$11, H514&gt;=DASHBOARD!$B$13), M514, 1000000000000)</f>
        <v/>
      </c>
      <c r="Y514" s="101">
        <f>IF(AND(F514&lt;=DASHBOARD!$B$10, H514&gt;=DASHBOARD!$B$11), L514, 1000000000000)</f>
        <v/>
      </c>
      <c r="Z514" s="101">
        <f>IF(AND(F514&lt;=DASHBOARD!$B$10, H514&gt;=DASHBOARD!$B$11), O514, 1000000000000)</f>
        <v/>
      </c>
      <c r="AA514" s="101">
        <f>IF(AND(F514&lt;=DASHBOARD!$B$10, H514&gt;=DASHBOARD!$B$11), P514, 1000000000000)</f>
        <v/>
      </c>
      <c r="AB514" s="101">
        <f>IF(AND(F514&lt;=DASHBOARD!$B$10, H514&gt;=DASHBOARD!$B$11), Q514, -1000000000000)</f>
        <v/>
      </c>
    </row>
    <row r="515" ht="15" customHeight="1" s="102">
      <c r="A515" s="166" t="n">
        <v>511</v>
      </c>
      <c r="B515" s="167" t="n">
        <v>1.2</v>
      </c>
      <c r="C515" s="167" t="n">
        <v>0.3</v>
      </c>
      <c r="D515" s="110" t="inlineStr">
        <is>
          <t>Yok (%0)</t>
        </is>
      </c>
      <c r="E515" s="110">
        <f>IF((B515+C515)&lt;=1, "Tam Mahsuplaşma (≤%100)", "Kısmi Satış (&gt;%100)")</f>
        <v/>
      </c>
      <c r="F515" s="168">
        <f>((VERI_TABANI!$D$29*B515/VERI_TABANI!$B$29)/VERI_TABANI!$B$3)*VERI_TABANI!$B$5 + ((VERI_TABANI!$D$29*C515/VERI_TABANI!$B$29)/VERI_TABANI!$B$4)*VERI_TABANI!$B$6 + IF(ISNUMBER(SEARCH("Var", D515)), (VERI_TABANI!$F$29/VERI_TABANI!$B$29)*(VERI_TABANI!$B$10+VERI_TABANI!$B$12), 0)</f>
        <v/>
      </c>
      <c r="G515" s="168">
        <f>(((MIN(VERI_TABANI!D23, VERI_TABANI!D23*B515)*VERI_TABANI!$B$7 + MAX(0, VERI_TABANI!D23*B515-VERI_TABANI!D23)*VERI_TABANI!$B$8) + (MIN(MAX(0, VERI_TABANI!D23-VERI_TABANI!D23*B515), VERI_TABANI!D23*C515)*VERI_TABANI!$B$7 + MAX(0, VERI_TABANI!D23*C515-MAX(0, VERI_TABANI!D23-VERI_TABANI!D23*B515))*VERI_TABANI!$B$8) + IF(ABS(IF(ISNUMBER(SEARCH("Var", D515)), 1, IF(ISNUMBER(SEARCH("Gri", D515)), -1, 0)))=1, VERI_TABANI!E23*(1-0.928)*VERI_TABANI!$B$9, 0) + (VERI_TABANI!D23*B515*(VERI_TABANI!$B$13-VERI_TABANI!$B$14)*VERI_TABANI!G23) + (VERI_TABANI!D23*C515*(VERI_TABANI!$B$13-VERI_TABANI!$B$15)*VERI_TABANI!G23) + IF(ABS(IF(ISNUMBER(SEARCH("Var", D515)), 1, IF(ISNUMBER(SEARCH("Gri", D515)), -1, 0)))=1, VERI_TABANI!E23*(1-0.928)*0.00206091519919798*VERI_TABANI!G23, 0)) + ((MIN(VERI_TABANI!D24, VERI_TABANI!D24*B515)*VERI_TABANI!$B$7 + MAX(0, VERI_TABANI!D24*B515-VERI_TABANI!D24)*VERI_TABANI!$B$8) + (MIN(MAX(0, VERI_TABANI!D24-VERI_TABANI!D24*B515), VERI_TABANI!D24*C515)*VERI_TABANI!$B$7 + MAX(0, VERI_TABANI!D24*C515-MAX(0, VERI_TABANI!D24-VERI_TABANI!D24*B515))*VERI_TABANI!$B$8) + IF(ABS(IF(ISNUMBER(SEARCH("Var", D515)), 1, IF(ISNUMBER(SEARCH("Gri", D515)), -1, 0)))=1, VERI_TABANI!E24*(1-0.928)*VERI_TABANI!$B$9, 0) + (VERI_TABANI!D24*B515*(VERI_TABANI!$B$13-VERI_TABANI!$B$14)*VERI_TABANI!G24) + (VERI_TABANI!D24*C515*(VERI_TABANI!$B$13-VERI_TABANI!$B$15)*VERI_TABANI!G24) + IF(ABS(IF(ISNUMBER(SEARCH("Var", D515)), 1, IF(ISNUMBER(SEARCH("Gri", D515)), -1, 0)))=1, VERI_TABANI!E24*(1-0.928)*0.00206091519919798*VERI_TABANI!G24, 0)) + ((MIN(VERI_TABANI!D25, VERI_TABANI!D25*B515)*VERI_TABANI!$B$7 + MAX(0, VERI_TABANI!D25*B515-VERI_TABANI!D25)*VERI_TABANI!$B$8) + (MIN(MAX(0, VERI_TABANI!D25-VERI_TABANI!D25*B515), VERI_TABANI!D25*C515)*VERI_TABANI!$B$7 + MAX(0, VERI_TABANI!D25*C515-MAX(0, VERI_TABANI!D25-VERI_TABANI!D25*B515))*VERI_TABANI!$B$8) + IF(ABS(IF(ISNUMBER(SEARCH("Var", D515)), 1, IF(ISNUMBER(SEARCH("Gri", D515)), -1, 0)))=1, VERI_TABANI!E25*(1-0.928)*VERI_TABANI!$B$9, 0) + (VERI_TABANI!D25*B515*(VERI_TABANI!$B$13-VERI_TABANI!$B$14)*VERI_TABANI!G25) + (VERI_TABANI!D25*C515*(VERI_TABANI!$B$13-VERI_TABANI!$B$15)*VERI_TABANI!G25) + IF(ABS(IF(ISNUMBER(SEARCH("Var", D515)), 1, IF(ISNUMBER(SEARCH("Gri", D515)), -1, 0)))=1, VERI_TABANI!E25*(1-0.928)*0.00206091519919798*VERI_TABANI!G25, 0)) + ((MIN(VERI_TABANI!D26, VERI_TABANI!D26*B515)*VERI_TABANI!$B$7 + MAX(0, VERI_TABANI!D26*B515-VERI_TABANI!D26)*VERI_TABANI!$B$8) + (MIN(MAX(0, VERI_TABANI!D26-VERI_TABANI!D26*B515), VERI_TABANI!D26*C515)*VERI_TABANI!$B$7 + MAX(0, VERI_TABANI!D26*C515-MAX(0, VERI_TABANI!D26-VERI_TABANI!D26*B515))*VERI_TABANI!$B$8) + IF(ABS(IF(ISNUMBER(SEARCH("Var", D515)), 1, IF(ISNUMBER(SEARCH("Gri", D515)), -1, 0)))=1, VERI_TABANI!E26*(1-0.928)*VERI_TABANI!$B$9, 0) + (VERI_TABANI!D26*B515*(VERI_TABANI!$B$13-VERI_TABANI!$B$14)*VERI_TABANI!G26) + (VERI_TABANI!D26*C515*(VERI_TABANI!$B$13-VERI_TABANI!$B$15)*VERI_TABANI!G26) + IF(ABS(IF(ISNUMBER(SEARCH("Var", D515)), 1, IF(ISNUMBER(SEARCH("Gri", D515)), -1, 0)))=1, VERI_TABANI!E26*(1-0.928)*0.00206091519919798*VERI_TABANI!G26, 0)) + ((MIN(VERI_TABANI!D27, VERI_TABANI!D27*B515)*VERI_TABANI!$B$7 + MAX(0, VERI_TABANI!D27*B515-VERI_TABANI!D27)*VERI_TABANI!$B$8) + (MIN(MAX(0, VERI_TABANI!D27-VERI_TABANI!D27*B515), VERI_TABANI!D27*C515)*VERI_TABANI!$B$7 + MAX(0, VERI_TABANI!D27*C515-MAX(0, VERI_TABANI!D27-VERI_TABANI!D27*B515))*VERI_TABANI!$B$8) + IF(ABS(IF(ISNUMBER(SEARCH("Var", D515)), 1, IF(ISNUMBER(SEARCH("Gri", D515)), -1, 0)))=1, VERI_TABANI!E27*(1-0.928)*VERI_TABANI!$B$9, 0) + (VERI_TABANI!D27*B515*(VERI_TABANI!$B$13-VERI_TABANI!$B$14)*VERI_TABANI!G27) + (VERI_TABANI!D27*C515*(VERI_TABANI!$B$13-VERI_TABANI!$B$15)*VERI_TABANI!G27) + IF(ABS(IF(ISNUMBER(SEARCH("Var", D515)), 1, IF(ISNUMBER(SEARCH("Gri", D515)), -1, 0)))=1, VERI_TABANI!E27*(1-0.928)*0.00206091519919798*VERI_TABANI!G27, 0)) + ((MIN(VERI_TABANI!D28, VERI_TABANI!D28*B515)*VERI_TABANI!$B$7 + MAX(0, VERI_TABANI!D28*B515-VERI_TABANI!D28)*VERI_TABANI!$B$8) + (MIN(MAX(0, VERI_TABANI!D28-VERI_TABANI!D28*B515), VERI_TABANI!D28*C515)*VERI_TABANI!$B$7 + MAX(0, VERI_TABANI!D28*C515-MAX(0, VERI_TABANI!D28-VERI_TABANI!D28*B515))*VERI_TABANI!$B$8) + IF(ABS(IF(ISNUMBER(SEARCH("Var", D515)), 1, IF(ISNUMBER(SEARCH("Gri", D515)), -1, 0)))=1, VERI_TABANI!E28*(1-0.928)*VERI_TABANI!$B$9, 0) + (VERI_TABANI!D28*B515*(VERI_TABANI!$B$13-VERI_TABANI!$B$14)*VERI_TABANI!G28) + (VERI_TABANI!D28*C515*(VERI_TABANI!$B$13-VERI_TABANI!$B$15)*VERI_TABANI!G28) + IF(ABS(IF(ISNUMBER(SEARCH("Var", D515)), 1, IF(ISNUMBER(SEARCH("Gri", D515)), -1, 0)))=1, VERI_TABANI!E28*(1-0.928)*0.00206091519919798*VERI_TABANI!G28, 0)))</f>
        <v/>
      </c>
      <c r="H515" s="169">
        <f>(((VERI_TABANI!D23*B515*(VERI_TABANI!$B$13-VERI_TABANI!$B$14)) + (VERI_TABANI!D23*C515*(VERI_TABANI!$B$13-VERI_TABANI!$B$15)) + IF(ISNUMBER(SEARCH("Var", D515)), VERI_TABANI!F23*(0.00202-VERI_TABANI!$B$16), IF(ISNUMBER(SEARCH("Gri", D515)), VERI_TABANI!F23*(0.00202-VERI_TABANI!$B$17), 0))) + ((VERI_TABANI!D24*B515*(VERI_TABANI!$B$13-VERI_TABANI!$B$14)) + (VERI_TABANI!D24*C515*(VERI_TABANI!$B$13-VERI_TABANI!$B$15)) + IF(ISNUMBER(SEARCH("Var", D515)), VERI_TABANI!F24*(0.00202-VERI_TABANI!$B$16), IF(ISNUMBER(SEARCH("Gri", D515)), VERI_TABANI!F24*(0.00202-VERI_TABANI!$B$17), 0))) + ((VERI_TABANI!D25*B515*(VERI_TABANI!$B$13-VERI_TABANI!$B$14)) + (VERI_TABANI!D25*C515*(VERI_TABANI!$B$13-VERI_TABANI!$B$15)) + IF(ISNUMBER(SEARCH("Var", D515)), VERI_TABANI!F25*(0.00202-VERI_TABANI!$B$16), IF(ISNUMBER(SEARCH("Gri", D515)), VERI_TABANI!F25*(0.00202-VERI_TABANI!$B$17), 0))) + ((VERI_TABANI!D26*B515*(VERI_TABANI!$B$13-VERI_TABANI!$B$14)) + (VERI_TABANI!D26*C515*(VERI_TABANI!$B$13-VERI_TABANI!$B$15)) + IF(ISNUMBER(SEARCH("Var", D515)), VERI_TABANI!F26*(0.00202-VERI_TABANI!$B$16), IF(ISNUMBER(SEARCH("Gri", D515)), VERI_TABANI!F26*(0.00202-VERI_TABANI!$B$17), 0))) + ((VERI_TABANI!D27*B515*(VERI_TABANI!$B$13-VERI_TABANI!$B$14)) + (VERI_TABANI!D27*C515*(VERI_TABANI!$B$13-VERI_TABANI!$B$15)) + IF(ISNUMBER(SEARCH("Var", D515)), VERI_TABANI!F27*(0.00202-VERI_TABANI!$B$16), IF(ISNUMBER(SEARCH("Gri", D515)), VERI_TABANI!F27*(0.00202-VERI_TABANI!$B$17), 0))) + ((VERI_TABANI!D28*B515*(VERI_TABANI!$B$13-VERI_TABANI!$B$14)) + (VERI_TABANI!D28*C515*(VERI_TABANI!$B$13-VERI_TABANI!$B$15)) + IF(ISNUMBER(SEARCH("Var", D515)), VERI_TABANI!F28*(0.00202-VERI_TABANI!$B$16), IF(ISNUMBER(SEARCH("Gri", D515)), VERI_TABANI!F28*(0.00202-VERI_TABANI!$B$17), 0))))</f>
        <v/>
      </c>
      <c r="I515" s="170">
        <f>IFERROR(((VERI_TABANI!$D$29*B515*VERI_TABANI!$B$14 + VERI_TABANI!$D$29*C515*VERI_TABANI!$B$15 + IF(ISNUMBER(SEARCH("Var", D515)), VERI_TABANI!$F$29*VERI_TABANI!$B$16, 0))) / (((VERI_TABANI!$D$29*B515 + VERI_TABANI!$D$29*C515)*VERI_TABANI!$B$13 + IF(ISNUMBER(SEARCH("Var", D515)), VERI_TABANI!$E$29*(1-0.928)*VERI_TABANI!$B$18, 0))), 0)</f>
        <v/>
      </c>
      <c r="J515" s="171">
        <f>IFERROR(F515/(G515/29), 0)</f>
        <v/>
      </c>
      <c r="K515" s="172">
        <f>IF(F515&gt;0, H515/F515, 0)</f>
        <v/>
      </c>
      <c r="L515" s="170">
        <f>IF(F515&gt;0, I515, 1000000000)</f>
        <v/>
      </c>
      <c r="M515" s="171">
        <f>ABS((B515+C515)-1)</f>
        <v/>
      </c>
      <c r="N515" s="170">
        <f>IF(F515&gt;0, (G515/29)/F515, 0)</f>
        <v/>
      </c>
      <c r="O515" s="168">
        <f>IF(AND((B515+C515)&gt;=1, ISNUMBER(SEARCH("Var", D515))), F515, 1000000000)</f>
        <v/>
      </c>
      <c r="P515" s="172">
        <f>IF(F515&gt;0, SQRT((F515/MAX(F$5:F$886))^2 + (1 - H515/MAX(H$5:H$886))^2 + (J515/MAX(J$5:J$886))^2), 1000000000)</f>
        <v/>
      </c>
      <c r="Q515" s="166">
        <f>IF(AND(ABS(B515-0.5)&lt;0.01, ABS(C515-0.5)&lt;0.01, ISNUMBER(SEARCH("Var", D515))), 1, 0)</f>
        <v/>
      </c>
      <c r="R515" s="171">
        <f>IF(F515&gt;0, J515, 1000000000)</f>
        <v/>
      </c>
      <c r="S515" s="101">
        <f>IF(AND(F515&lt;=DASHBOARD!$B$11, H515&gt;=DASHBOARD!$B$13), G515, -1000000000000)</f>
        <v/>
      </c>
      <c r="T515" s="101">
        <f>IF(AND(F515&lt;=DASHBOARD!$B$11, H515&gt;=DASHBOARD!$B$13), R515, 1000000000000)</f>
        <v/>
      </c>
      <c r="U515" s="101">
        <f>IF(AND(F515&lt;=DASHBOARD!$B$11, H515&gt;=DASHBOARD!$B$13), N515, -1000000000000)</f>
        <v/>
      </c>
      <c r="V515" s="101">
        <f>IF(AND(F515&lt;=DASHBOARD!$B$11, H515&gt;=DASHBOARD!$B$13), H515, -1000000000000)</f>
        <v/>
      </c>
      <c r="W515" s="101">
        <f>IF(AND(F515&lt;=DASHBOARD!$B$11, H515&gt;=DASHBOARD!$B$13), K515, -1000000000000)</f>
        <v/>
      </c>
      <c r="X515" s="101">
        <f>IF(AND(F515&lt;=DASHBOARD!$B$11, H515&gt;=DASHBOARD!$B$13), M515, 1000000000000)</f>
        <v/>
      </c>
      <c r="Y515" s="101">
        <f>IF(AND(F515&lt;=DASHBOARD!$B$10, H515&gt;=DASHBOARD!$B$11), L515, 1000000000000)</f>
        <v/>
      </c>
      <c r="Z515" s="101">
        <f>IF(AND(F515&lt;=DASHBOARD!$B$10, H515&gt;=DASHBOARD!$B$11), O515, 1000000000000)</f>
        <v/>
      </c>
      <c r="AA515" s="101">
        <f>IF(AND(F515&lt;=DASHBOARD!$B$10, H515&gt;=DASHBOARD!$B$11), P515, 1000000000000)</f>
        <v/>
      </c>
      <c r="AB515" s="101">
        <f>IF(AND(F515&lt;=DASHBOARD!$B$10, H515&gt;=DASHBOARD!$B$11), Q515, -1000000000000)</f>
        <v/>
      </c>
    </row>
    <row r="516" ht="15" customHeight="1" s="102">
      <c r="A516" s="166" t="n">
        <v>512</v>
      </c>
      <c r="B516" s="167" t="n">
        <v>1.2</v>
      </c>
      <c r="C516" s="167" t="n">
        <v>0.3</v>
      </c>
      <c r="D516" s="110" t="inlineStr">
        <is>
          <t>Var (%20)</t>
        </is>
      </c>
      <c r="E516" s="110">
        <f>IF((B516+C516)&lt;=1, "Tam Mahsuplaşma (≤%100)", "Kısmi Satış (&gt;%100)")</f>
        <v/>
      </c>
      <c r="F516" s="168">
        <f>((VERI_TABANI!$D$29*B516/VERI_TABANI!$B$29)/VERI_TABANI!$B$3)*VERI_TABANI!$B$5 + ((VERI_TABANI!$D$29*C516/VERI_TABANI!$B$29)/VERI_TABANI!$B$4)*VERI_TABANI!$B$6 + IF(ISNUMBER(SEARCH("Var", D516)), (VERI_TABANI!$F$29/VERI_TABANI!$B$29)*(VERI_TABANI!$B$10+VERI_TABANI!$B$12), 0)</f>
        <v/>
      </c>
      <c r="G516" s="168">
        <f>(((MIN(VERI_TABANI!D23, VERI_TABANI!D23*B516)*VERI_TABANI!$B$7 + MAX(0, VERI_TABANI!D23*B516-VERI_TABANI!D23)*VERI_TABANI!$B$8) + (MIN(MAX(0, VERI_TABANI!D23-VERI_TABANI!D23*B516), VERI_TABANI!D23*C516)*VERI_TABANI!$B$7 + MAX(0, VERI_TABANI!D23*C516-MAX(0, VERI_TABANI!D23-VERI_TABANI!D23*B516))*VERI_TABANI!$B$8) + IF(ABS(IF(ISNUMBER(SEARCH("Var", D516)), 1, IF(ISNUMBER(SEARCH("Gri", D516)), -1, 0)))=1, VERI_TABANI!E23*(1-0.928)*VERI_TABANI!$B$9, 0) + (VERI_TABANI!D23*B516*(VERI_TABANI!$B$13-VERI_TABANI!$B$14)*VERI_TABANI!G23) + (VERI_TABANI!D23*C516*(VERI_TABANI!$B$13-VERI_TABANI!$B$15)*VERI_TABANI!G23) + IF(ABS(IF(ISNUMBER(SEARCH("Var", D516)), 1, IF(ISNUMBER(SEARCH("Gri", D516)), -1, 0)))=1, VERI_TABANI!E23*(1-0.928)*0.00206091519919798*VERI_TABANI!G23, 0)) + ((MIN(VERI_TABANI!D24, VERI_TABANI!D24*B516)*VERI_TABANI!$B$7 + MAX(0, VERI_TABANI!D24*B516-VERI_TABANI!D24)*VERI_TABANI!$B$8) + (MIN(MAX(0, VERI_TABANI!D24-VERI_TABANI!D24*B516), VERI_TABANI!D24*C516)*VERI_TABANI!$B$7 + MAX(0, VERI_TABANI!D24*C516-MAX(0, VERI_TABANI!D24-VERI_TABANI!D24*B516))*VERI_TABANI!$B$8) + IF(ABS(IF(ISNUMBER(SEARCH("Var", D516)), 1, IF(ISNUMBER(SEARCH("Gri", D516)), -1, 0)))=1, VERI_TABANI!E24*(1-0.928)*VERI_TABANI!$B$9, 0) + (VERI_TABANI!D24*B516*(VERI_TABANI!$B$13-VERI_TABANI!$B$14)*VERI_TABANI!G24) + (VERI_TABANI!D24*C516*(VERI_TABANI!$B$13-VERI_TABANI!$B$15)*VERI_TABANI!G24) + IF(ABS(IF(ISNUMBER(SEARCH("Var", D516)), 1, IF(ISNUMBER(SEARCH("Gri", D516)), -1, 0)))=1, VERI_TABANI!E24*(1-0.928)*0.00206091519919798*VERI_TABANI!G24, 0)) + ((MIN(VERI_TABANI!D25, VERI_TABANI!D25*B516)*VERI_TABANI!$B$7 + MAX(0, VERI_TABANI!D25*B516-VERI_TABANI!D25)*VERI_TABANI!$B$8) + (MIN(MAX(0, VERI_TABANI!D25-VERI_TABANI!D25*B516), VERI_TABANI!D25*C516)*VERI_TABANI!$B$7 + MAX(0, VERI_TABANI!D25*C516-MAX(0, VERI_TABANI!D25-VERI_TABANI!D25*B516))*VERI_TABANI!$B$8) + IF(ABS(IF(ISNUMBER(SEARCH("Var", D516)), 1, IF(ISNUMBER(SEARCH("Gri", D516)), -1, 0)))=1, VERI_TABANI!E25*(1-0.928)*VERI_TABANI!$B$9, 0) + (VERI_TABANI!D25*B516*(VERI_TABANI!$B$13-VERI_TABANI!$B$14)*VERI_TABANI!G25) + (VERI_TABANI!D25*C516*(VERI_TABANI!$B$13-VERI_TABANI!$B$15)*VERI_TABANI!G25) + IF(ABS(IF(ISNUMBER(SEARCH("Var", D516)), 1, IF(ISNUMBER(SEARCH("Gri", D516)), -1, 0)))=1, VERI_TABANI!E25*(1-0.928)*0.00206091519919798*VERI_TABANI!G25, 0)) + ((MIN(VERI_TABANI!D26, VERI_TABANI!D26*B516)*VERI_TABANI!$B$7 + MAX(0, VERI_TABANI!D26*B516-VERI_TABANI!D26)*VERI_TABANI!$B$8) + (MIN(MAX(0, VERI_TABANI!D26-VERI_TABANI!D26*B516), VERI_TABANI!D26*C516)*VERI_TABANI!$B$7 + MAX(0, VERI_TABANI!D26*C516-MAX(0, VERI_TABANI!D26-VERI_TABANI!D26*B516))*VERI_TABANI!$B$8) + IF(ABS(IF(ISNUMBER(SEARCH("Var", D516)), 1, IF(ISNUMBER(SEARCH("Gri", D516)), -1, 0)))=1, VERI_TABANI!E26*(1-0.928)*VERI_TABANI!$B$9, 0) + (VERI_TABANI!D26*B516*(VERI_TABANI!$B$13-VERI_TABANI!$B$14)*VERI_TABANI!G26) + (VERI_TABANI!D26*C516*(VERI_TABANI!$B$13-VERI_TABANI!$B$15)*VERI_TABANI!G26) + IF(ABS(IF(ISNUMBER(SEARCH("Var", D516)), 1, IF(ISNUMBER(SEARCH("Gri", D516)), -1, 0)))=1, VERI_TABANI!E26*(1-0.928)*0.00206091519919798*VERI_TABANI!G26, 0)) + ((MIN(VERI_TABANI!D27, VERI_TABANI!D27*B516)*VERI_TABANI!$B$7 + MAX(0, VERI_TABANI!D27*B516-VERI_TABANI!D27)*VERI_TABANI!$B$8) + (MIN(MAX(0, VERI_TABANI!D27-VERI_TABANI!D27*B516), VERI_TABANI!D27*C516)*VERI_TABANI!$B$7 + MAX(0, VERI_TABANI!D27*C516-MAX(0, VERI_TABANI!D27-VERI_TABANI!D27*B516))*VERI_TABANI!$B$8) + IF(ABS(IF(ISNUMBER(SEARCH("Var", D516)), 1, IF(ISNUMBER(SEARCH("Gri", D516)), -1, 0)))=1, VERI_TABANI!E27*(1-0.928)*VERI_TABANI!$B$9, 0) + (VERI_TABANI!D27*B516*(VERI_TABANI!$B$13-VERI_TABANI!$B$14)*VERI_TABANI!G27) + (VERI_TABANI!D27*C516*(VERI_TABANI!$B$13-VERI_TABANI!$B$15)*VERI_TABANI!G27) + IF(ABS(IF(ISNUMBER(SEARCH("Var", D516)), 1, IF(ISNUMBER(SEARCH("Gri", D516)), -1, 0)))=1, VERI_TABANI!E27*(1-0.928)*0.00206091519919798*VERI_TABANI!G27, 0)) + ((MIN(VERI_TABANI!D28, VERI_TABANI!D28*B516)*VERI_TABANI!$B$7 + MAX(0, VERI_TABANI!D28*B516-VERI_TABANI!D28)*VERI_TABANI!$B$8) + (MIN(MAX(0, VERI_TABANI!D28-VERI_TABANI!D28*B516), VERI_TABANI!D28*C516)*VERI_TABANI!$B$7 + MAX(0, VERI_TABANI!D28*C516-MAX(0, VERI_TABANI!D28-VERI_TABANI!D28*B516))*VERI_TABANI!$B$8) + IF(ABS(IF(ISNUMBER(SEARCH("Var", D516)), 1, IF(ISNUMBER(SEARCH("Gri", D516)), -1, 0)))=1, VERI_TABANI!E28*(1-0.928)*VERI_TABANI!$B$9, 0) + (VERI_TABANI!D28*B516*(VERI_TABANI!$B$13-VERI_TABANI!$B$14)*VERI_TABANI!G28) + (VERI_TABANI!D28*C516*(VERI_TABANI!$B$13-VERI_TABANI!$B$15)*VERI_TABANI!G28) + IF(ABS(IF(ISNUMBER(SEARCH("Var", D516)), 1, IF(ISNUMBER(SEARCH("Gri", D516)), -1, 0)))=1, VERI_TABANI!E28*(1-0.928)*0.00206091519919798*VERI_TABANI!G28, 0)))</f>
        <v/>
      </c>
      <c r="H516" s="169">
        <f>(((VERI_TABANI!D23*B516*(VERI_TABANI!$B$13-VERI_TABANI!$B$14)) + (VERI_TABANI!D23*C516*(VERI_TABANI!$B$13-VERI_TABANI!$B$15)) + IF(ISNUMBER(SEARCH("Var", D516)), VERI_TABANI!F23*(0.00202-VERI_TABANI!$B$16), IF(ISNUMBER(SEARCH("Gri", D516)), VERI_TABANI!F23*(0.00202-VERI_TABANI!$B$17), 0))) + ((VERI_TABANI!D24*B516*(VERI_TABANI!$B$13-VERI_TABANI!$B$14)) + (VERI_TABANI!D24*C516*(VERI_TABANI!$B$13-VERI_TABANI!$B$15)) + IF(ISNUMBER(SEARCH("Var", D516)), VERI_TABANI!F24*(0.00202-VERI_TABANI!$B$16), IF(ISNUMBER(SEARCH("Gri", D516)), VERI_TABANI!F24*(0.00202-VERI_TABANI!$B$17), 0))) + ((VERI_TABANI!D25*B516*(VERI_TABANI!$B$13-VERI_TABANI!$B$14)) + (VERI_TABANI!D25*C516*(VERI_TABANI!$B$13-VERI_TABANI!$B$15)) + IF(ISNUMBER(SEARCH("Var", D516)), VERI_TABANI!F25*(0.00202-VERI_TABANI!$B$16), IF(ISNUMBER(SEARCH("Gri", D516)), VERI_TABANI!F25*(0.00202-VERI_TABANI!$B$17), 0))) + ((VERI_TABANI!D26*B516*(VERI_TABANI!$B$13-VERI_TABANI!$B$14)) + (VERI_TABANI!D26*C516*(VERI_TABANI!$B$13-VERI_TABANI!$B$15)) + IF(ISNUMBER(SEARCH("Var", D516)), VERI_TABANI!F26*(0.00202-VERI_TABANI!$B$16), IF(ISNUMBER(SEARCH("Gri", D516)), VERI_TABANI!F26*(0.00202-VERI_TABANI!$B$17), 0))) + ((VERI_TABANI!D27*B516*(VERI_TABANI!$B$13-VERI_TABANI!$B$14)) + (VERI_TABANI!D27*C516*(VERI_TABANI!$B$13-VERI_TABANI!$B$15)) + IF(ISNUMBER(SEARCH("Var", D516)), VERI_TABANI!F27*(0.00202-VERI_TABANI!$B$16), IF(ISNUMBER(SEARCH("Gri", D516)), VERI_TABANI!F27*(0.00202-VERI_TABANI!$B$17), 0))) + ((VERI_TABANI!D28*B516*(VERI_TABANI!$B$13-VERI_TABANI!$B$14)) + (VERI_TABANI!D28*C516*(VERI_TABANI!$B$13-VERI_TABANI!$B$15)) + IF(ISNUMBER(SEARCH("Var", D516)), VERI_TABANI!F28*(0.00202-VERI_TABANI!$B$16), IF(ISNUMBER(SEARCH("Gri", D516)), VERI_TABANI!F28*(0.00202-VERI_TABANI!$B$17), 0))))</f>
        <v/>
      </c>
      <c r="I516" s="170">
        <f>IFERROR(((VERI_TABANI!$D$29*B516*VERI_TABANI!$B$14 + VERI_TABANI!$D$29*C516*VERI_TABANI!$B$15 + IF(ISNUMBER(SEARCH("Var", D516)), VERI_TABANI!$F$29*VERI_TABANI!$B$16, 0))) / (((VERI_TABANI!$D$29*B516 + VERI_TABANI!$D$29*C516)*VERI_TABANI!$B$13 + IF(ISNUMBER(SEARCH("Var", D516)), VERI_TABANI!$E$29*(1-0.928)*VERI_TABANI!$B$18, 0))), 0)</f>
        <v/>
      </c>
      <c r="J516" s="171">
        <f>IFERROR(F516/(G516/29), 0)</f>
        <v/>
      </c>
      <c r="K516" s="172">
        <f>IF(F516&gt;0, H516/F516, 0)</f>
        <v/>
      </c>
      <c r="L516" s="170">
        <f>IF(F516&gt;0, I516, 1000000000)</f>
        <v/>
      </c>
      <c r="M516" s="171">
        <f>ABS((B516+C516)-1)</f>
        <v/>
      </c>
      <c r="N516" s="170">
        <f>IF(F516&gt;0, (G516/29)/F516, 0)</f>
        <v/>
      </c>
      <c r="O516" s="168">
        <f>IF(AND((B516+C516)&gt;=1, ISNUMBER(SEARCH("Var", D516))), F516, 1000000000)</f>
        <v/>
      </c>
      <c r="P516" s="172">
        <f>IF(F516&gt;0, SQRT((F516/MAX(F$5:F$886))^2 + (1 - H516/MAX(H$5:H$886))^2 + (J516/MAX(J$5:J$886))^2), 1000000000)</f>
        <v/>
      </c>
      <c r="Q516" s="166">
        <f>IF(AND(ABS(B516-0.5)&lt;0.01, ABS(C516-0.5)&lt;0.01, ISNUMBER(SEARCH("Var", D516))), 1, 0)</f>
        <v/>
      </c>
      <c r="R516" s="171">
        <f>IF(F516&gt;0, J516, 1000000000)</f>
        <v/>
      </c>
      <c r="S516" s="101">
        <f>IF(AND(F516&lt;=DASHBOARD!$B$11, H516&gt;=DASHBOARD!$B$13), G516, -1000000000000)</f>
        <v/>
      </c>
      <c r="T516" s="101">
        <f>IF(AND(F516&lt;=DASHBOARD!$B$11, H516&gt;=DASHBOARD!$B$13), R516, 1000000000000)</f>
        <v/>
      </c>
      <c r="U516" s="101">
        <f>IF(AND(F516&lt;=DASHBOARD!$B$11, H516&gt;=DASHBOARD!$B$13), N516, -1000000000000)</f>
        <v/>
      </c>
      <c r="V516" s="101">
        <f>IF(AND(F516&lt;=DASHBOARD!$B$11, H516&gt;=DASHBOARD!$B$13), H516, -1000000000000)</f>
        <v/>
      </c>
      <c r="W516" s="101">
        <f>IF(AND(F516&lt;=DASHBOARD!$B$11, H516&gt;=DASHBOARD!$B$13), K516, -1000000000000)</f>
        <v/>
      </c>
      <c r="X516" s="101">
        <f>IF(AND(F516&lt;=DASHBOARD!$B$11, H516&gt;=DASHBOARD!$B$13), M516, 1000000000000)</f>
        <v/>
      </c>
      <c r="Y516" s="101">
        <f>IF(AND(F516&lt;=DASHBOARD!$B$10, H516&gt;=DASHBOARD!$B$11), L516, 1000000000000)</f>
        <v/>
      </c>
      <c r="Z516" s="101">
        <f>IF(AND(F516&lt;=DASHBOARD!$B$10, H516&gt;=DASHBOARD!$B$11), O516, 1000000000000)</f>
        <v/>
      </c>
      <c r="AA516" s="101">
        <f>IF(AND(F516&lt;=DASHBOARD!$B$10, H516&gt;=DASHBOARD!$B$11), P516, 1000000000000)</f>
        <v/>
      </c>
      <c r="AB516" s="101">
        <f>IF(AND(F516&lt;=DASHBOARD!$B$10, H516&gt;=DASHBOARD!$B$11), Q516, -1000000000000)</f>
        <v/>
      </c>
    </row>
    <row r="517" ht="15" customHeight="1" s="102">
      <c r="A517" s="166" t="n">
        <v>513</v>
      </c>
      <c r="B517" s="167" t="n">
        <v>1.2</v>
      </c>
      <c r="C517" s="167" t="n">
        <v>0.4</v>
      </c>
      <c r="D517" s="110" t="inlineStr">
        <is>
          <t>Yok (%0)</t>
        </is>
      </c>
      <c r="E517" s="110">
        <f>IF((B517+C517)&lt;=1, "Tam Mahsuplaşma (≤%100)", "Kısmi Satış (&gt;%100)")</f>
        <v/>
      </c>
      <c r="F517" s="168">
        <f>((VERI_TABANI!$D$29*B517/VERI_TABANI!$B$29)/VERI_TABANI!$B$3)*VERI_TABANI!$B$5 + ((VERI_TABANI!$D$29*C517/VERI_TABANI!$B$29)/VERI_TABANI!$B$4)*VERI_TABANI!$B$6 + IF(ISNUMBER(SEARCH("Var", D517)), (VERI_TABANI!$F$29/VERI_TABANI!$B$29)*(VERI_TABANI!$B$10+VERI_TABANI!$B$12), 0)</f>
        <v/>
      </c>
      <c r="G517" s="168">
        <f>(((MIN(VERI_TABANI!D23, VERI_TABANI!D23*B517)*VERI_TABANI!$B$7 + MAX(0, VERI_TABANI!D23*B517-VERI_TABANI!D23)*VERI_TABANI!$B$8) + (MIN(MAX(0, VERI_TABANI!D23-VERI_TABANI!D23*B517), VERI_TABANI!D23*C517)*VERI_TABANI!$B$7 + MAX(0, VERI_TABANI!D23*C517-MAX(0, VERI_TABANI!D23-VERI_TABANI!D23*B517))*VERI_TABANI!$B$8) + IF(ABS(IF(ISNUMBER(SEARCH("Var", D517)), 1, IF(ISNUMBER(SEARCH("Gri", D517)), -1, 0)))=1, VERI_TABANI!E23*(1-0.928)*VERI_TABANI!$B$9, 0) + (VERI_TABANI!D23*B517*(VERI_TABANI!$B$13-VERI_TABANI!$B$14)*VERI_TABANI!G23) + (VERI_TABANI!D23*C517*(VERI_TABANI!$B$13-VERI_TABANI!$B$15)*VERI_TABANI!G23) + IF(ABS(IF(ISNUMBER(SEARCH("Var", D517)), 1, IF(ISNUMBER(SEARCH("Gri", D517)), -1, 0)))=1, VERI_TABANI!E23*(1-0.928)*0.00206091519919798*VERI_TABANI!G23, 0)) + ((MIN(VERI_TABANI!D24, VERI_TABANI!D24*B517)*VERI_TABANI!$B$7 + MAX(0, VERI_TABANI!D24*B517-VERI_TABANI!D24)*VERI_TABANI!$B$8) + (MIN(MAX(0, VERI_TABANI!D24-VERI_TABANI!D24*B517), VERI_TABANI!D24*C517)*VERI_TABANI!$B$7 + MAX(0, VERI_TABANI!D24*C517-MAX(0, VERI_TABANI!D24-VERI_TABANI!D24*B517))*VERI_TABANI!$B$8) + IF(ABS(IF(ISNUMBER(SEARCH("Var", D517)), 1, IF(ISNUMBER(SEARCH("Gri", D517)), -1, 0)))=1, VERI_TABANI!E24*(1-0.928)*VERI_TABANI!$B$9, 0) + (VERI_TABANI!D24*B517*(VERI_TABANI!$B$13-VERI_TABANI!$B$14)*VERI_TABANI!G24) + (VERI_TABANI!D24*C517*(VERI_TABANI!$B$13-VERI_TABANI!$B$15)*VERI_TABANI!G24) + IF(ABS(IF(ISNUMBER(SEARCH("Var", D517)), 1, IF(ISNUMBER(SEARCH("Gri", D517)), -1, 0)))=1, VERI_TABANI!E24*(1-0.928)*0.00206091519919798*VERI_TABANI!G24, 0)) + ((MIN(VERI_TABANI!D25, VERI_TABANI!D25*B517)*VERI_TABANI!$B$7 + MAX(0, VERI_TABANI!D25*B517-VERI_TABANI!D25)*VERI_TABANI!$B$8) + (MIN(MAX(0, VERI_TABANI!D25-VERI_TABANI!D25*B517), VERI_TABANI!D25*C517)*VERI_TABANI!$B$7 + MAX(0, VERI_TABANI!D25*C517-MAX(0, VERI_TABANI!D25-VERI_TABANI!D25*B517))*VERI_TABANI!$B$8) + IF(ABS(IF(ISNUMBER(SEARCH("Var", D517)), 1, IF(ISNUMBER(SEARCH("Gri", D517)), -1, 0)))=1, VERI_TABANI!E25*(1-0.928)*VERI_TABANI!$B$9, 0) + (VERI_TABANI!D25*B517*(VERI_TABANI!$B$13-VERI_TABANI!$B$14)*VERI_TABANI!G25) + (VERI_TABANI!D25*C517*(VERI_TABANI!$B$13-VERI_TABANI!$B$15)*VERI_TABANI!G25) + IF(ABS(IF(ISNUMBER(SEARCH("Var", D517)), 1, IF(ISNUMBER(SEARCH("Gri", D517)), -1, 0)))=1, VERI_TABANI!E25*(1-0.928)*0.00206091519919798*VERI_TABANI!G25, 0)) + ((MIN(VERI_TABANI!D26, VERI_TABANI!D26*B517)*VERI_TABANI!$B$7 + MAX(0, VERI_TABANI!D26*B517-VERI_TABANI!D26)*VERI_TABANI!$B$8) + (MIN(MAX(0, VERI_TABANI!D26-VERI_TABANI!D26*B517), VERI_TABANI!D26*C517)*VERI_TABANI!$B$7 + MAX(0, VERI_TABANI!D26*C517-MAX(0, VERI_TABANI!D26-VERI_TABANI!D26*B517))*VERI_TABANI!$B$8) + IF(ABS(IF(ISNUMBER(SEARCH("Var", D517)), 1, IF(ISNUMBER(SEARCH("Gri", D517)), -1, 0)))=1, VERI_TABANI!E26*(1-0.928)*VERI_TABANI!$B$9, 0) + (VERI_TABANI!D26*B517*(VERI_TABANI!$B$13-VERI_TABANI!$B$14)*VERI_TABANI!G26) + (VERI_TABANI!D26*C517*(VERI_TABANI!$B$13-VERI_TABANI!$B$15)*VERI_TABANI!G26) + IF(ABS(IF(ISNUMBER(SEARCH("Var", D517)), 1, IF(ISNUMBER(SEARCH("Gri", D517)), -1, 0)))=1, VERI_TABANI!E26*(1-0.928)*0.00206091519919798*VERI_TABANI!G26, 0)) + ((MIN(VERI_TABANI!D27, VERI_TABANI!D27*B517)*VERI_TABANI!$B$7 + MAX(0, VERI_TABANI!D27*B517-VERI_TABANI!D27)*VERI_TABANI!$B$8) + (MIN(MAX(0, VERI_TABANI!D27-VERI_TABANI!D27*B517), VERI_TABANI!D27*C517)*VERI_TABANI!$B$7 + MAX(0, VERI_TABANI!D27*C517-MAX(0, VERI_TABANI!D27-VERI_TABANI!D27*B517))*VERI_TABANI!$B$8) + IF(ABS(IF(ISNUMBER(SEARCH("Var", D517)), 1, IF(ISNUMBER(SEARCH("Gri", D517)), -1, 0)))=1, VERI_TABANI!E27*(1-0.928)*VERI_TABANI!$B$9, 0) + (VERI_TABANI!D27*B517*(VERI_TABANI!$B$13-VERI_TABANI!$B$14)*VERI_TABANI!G27) + (VERI_TABANI!D27*C517*(VERI_TABANI!$B$13-VERI_TABANI!$B$15)*VERI_TABANI!G27) + IF(ABS(IF(ISNUMBER(SEARCH("Var", D517)), 1, IF(ISNUMBER(SEARCH("Gri", D517)), -1, 0)))=1, VERI_TABANI!E27*(1-0.928)*0.00206091519919798*VERI_TABANI!G27, 0)) + ((MIN(VERI_TABANI!D28, VERI_TABANI!D28*B517)*VERI_TABANI!$B$7 + MAX(0, VERI_TABANI!D28*B517-VERI_TABANI!D28)*VERI_TABANI!$B$8) + (MIN(MAX(0, VERI_TABANI!D28-VERI_TABANI!D28*B517), VERI_TABANI!D28*C517)*VERI_TABANI!$B$7 + MAX(0, VERI_TABANI!D28*C517-MAX(0, VERI_TABANI!D28-VERI_TABANI!D28*B517))*VERI_TABANI!$B$8) + IF(ABS(IF(ISNUMBER(SEARCH("Var", D517)), 1, IF(ISNUMBER(SEARCH("Gri", D517)), -1, 0)))=1, VERI_TABANI!E28*(1-0.928)*VERI_TABANI!$B$9, 0) + (VERI_TABANI!D28*B517*(VERI_TABANI!$B$13-VERI_TABANI!$B$14)*VERI_TABANI!G28) + (VERI_TABANI!D28*C517*(VERI_TABANI!$B$13-VERI_TABANI!$B$15)*VERI_TABANI!G28) + IF(ABS(IF(ISNUMBER(SEARCH("Var", D517)), 1, IF(ISNUMBER(SEARCH("Gri", D517)), -1, 0)))=1, VERI_TABANI!E28*(1-0.928)*0.00206091519919798*VERI_TABANI!G28, 0)))</f>
        <v/>
      </c>
      <c r="H517" s="169">
        <f>(((VERI_TABANI!D23*B517*(VERI_TABANI!$B$13-VERI_TABANI!$B$14)) + (VERI_TABANI!D23*C517*(VERI_TABANI!$B$13-VERI_TABANI!$B$15)) + IF(ISNUMBER(SEARCH("Var", D517)), VERI_TABANI!F23*(0.00202-VERI_TABANI!$B$16), IF(ISNUMBER(SEARCH("Gri", D517)), VERI_TABANI!F23*(0.00202-VERI_TABANI!$B$17), 0))) + ((VERI_TABANI!D24*B517*(VERI_TABANI!$B$13-VERI_TABANI!$B$14)) + (VERI_TABANI!D24*C517*(VERI_TABANI!$B$13-VERI_TABANI!$B$15)) + IF(ISNUMBER(SEARCH("Var", D517)), VERI_TABANI!F24*(0.00202-VERI_TABANI!$B$16), IF(ISNUMBER(SEARCH("Gri", D517)), VERI_TABANI!F24*(0.00202-VERI_TABANI!$B$17), 0))) + ((VERI_TABANI!D25*B517*(VERI_TABANI!$B$13-VERI_TABANI!$B$14)) + (VERI_TABANI!D25*C517*(VERI_TABANI!$B$13-VERI_TABANI!$B$15)) + IF(ISNUMBER(SEARCH("Var", D517)), VERI_TABANI!F25*(0.00202-VERI_TABANI!$B$16), IF(ISNUMBER(SEARCH("Gri", D517)), VERI_TABANI!F25*(0.00202-VERI_TABANI!$B$17), 0))) + ((VERI_TABANI!D26*B517*(VERI_TABANI!$B$13-VERI_TABANI!$B$14)) + (VERI_TABANI!D26*C517*(VERI_TABANI!$B$13-VERI_TABANI!$B$15)) + IF(ISNUMBER(SEARCH("Var", D517)), VERI_TABANI!F26*(0.00202-VERI_TABANI!$B$16), IF(ISNUMBER(SEARCH("Gri", D517)), VERI_TABANI!F26*(0.00202-VERI_TABANI!$B$17), 0))) + ((VERI_TABANI!D27*B517*(VERI_TABANI!$B$13-VERI_TABANI!$B$14)) + (VERI_TABANI!D27*C517*(VERI_TABANI!$B$13-VERI_TABANI!$B$15)) + IF(ISNUMBER(SEARCH("Var", D517)), VERI_TABANI!F27*(0.00202-VERI_TABANI!$B$16), IF(ISNUMBER(SEARCH("Gri", D517)), VERI_TABANI!F27*(0.00202-VERI_TABANI!$B$17), 0))) + ((VERI_TABANI!D28*B517*(VERI_TABANI!$B$13-VERI_TABANI!$B$14)) + (VERI_TABANI!D28*C517*(VERI_TABANI!$B$13-VERI_TABANI!$B$15)) + IF(ISNUMBER(SEARCH("Var", D517)), VERI_TABANI!F28*(0.00202-VERI_TABANI!$B$16), IF(ISNUMBER(SEARCH("Gri", D517)), VERI_TABANI!F28*(0.00202-VERI_TABANI!$B$17), 0))))</f>
        <v/>
      </c>
      <c r="I517" s="170">
        <f>IFERROR(((VERI_TABANI!$D$29*B517*VERI_TABANI!$B$14 + VERI_TABANI!$D$29*C517*VERI_TABANI!$B$15 + IF(ISNUMBER(SEARCH("Var", D517)), VERI_TABANI!$F$29*VERI_TABANI!$B$16, 0))) / (((VERI_TABANI!$D$29*B517 + VERI_TABANI!$D$29*C517)*VERI_TABANI!$B$13 + IF(ISNUMBER(SEARCH("Var", D517)), VERI_TABANI!$E$29*(1-0.928)*VERI_TABANI!$B$18, 0))), 0)</f>
        <v/>
      </c>
      <c r="J517" s="171">
        <f>IFERROR(F517/(G517/29), 0)</f>
        <v/>
      </c>
      <c r="K517" s="172">
        <f>IF(F517&gt;0, H517/F517, 0)</f>
        <v/>
      </c>
      <c r="L517" s="170">
        <f>IF(F517&gt;0, I517, 1000000000)</f>
        <v/>
      </c>
      <c r="M517" s="171">
        <f>ABS((B517+C517)-1)</f>
        <v/>
      </c>
      <c r="N517" s="170">
        <f>IF(F517&gt;0, (G517/29)/F517, 0)</f>
        <v/>
      </c>
      <c r="O517" s="168">
        <f>IF(AND((B517+C517)&gt;=1, ISNUMBER(SEARCH("Var", D517))), F517, 1000000000)</f>
        <v/>
      </c>
      <c r="P517" s="172">
        <f>IF(F517&gt;0, SQRT((F517/MAX(F$5:F$886))^2 + (1 - H517/MAX(H$5:H$886))^2 + (J517/MAX(J$5:J$886))^2), 1000000000)</f>
        <v/>
      </c>
      <c r="Q517" s="166">
        <f>IF(AND(ABS(B517-0.5)&lt;0.01, ABS(C517-0.5)&lt;0.01, ISNUMBER(SEARCH("Var", D517))), 1, 0)</f>
        <v/>
      </c>
      <c r="R517" s="171">
        <f>IF(F517&gt;0, J517, 1000000000)</f>
        <v/>
      </c>
      <c r="S517" s="101">
        <f>IF(AND(F517&lt;=DASHBOARD!$B$11, H517&gt;=DASHBOARD!$B$13), G517, -1000000000000)</f>
        <v/>
      </c>
      <c r="T517" s="101">
        <f>IF(AND(F517&lt;=DASHBOARD!$B$11, H517&gt;=DASHBOARD!$B$13), R517, 1000000000000)</f>
        <v/>
      </c>
      <c r="U517" s="101">
        <f>IF(AND(F517&lt;=DASHBOARD!$B$11, H517&gt;=DASHBOARD!$B$13), N517, -1000000000000)</f>
        <v/>
      </c>
      <c r="V517" s="101">
        <f>IF(AND(F517&lt;=DASHBOARD!$B$11, H517&gt;=DASHBOARD!$B$13), H517, -1000000000000)</f>
        <v/>
      </c>
      <c r="W517" s="101">
        <f>IF(AND(F517&lt;=DASHBOARD!$B$11, H517&gt;=DASHBOARD!$B$13), K517, -1000000000000)</f>
        <v/>
      </c>
      <c r="X517" s="101">
        <f>IF(AND(F517&lt;=DASHBOARD!$B$11, H517&gt;=DASHBOARD!$B$13), M517, 1000000000000)</f>
        <v/>
      </c>
      <c r="Y517" s="101">
        <f>IF(AND(F517&lt;=DASHBOARD!$B$10, H517&gt;=DASHBOARD!$B$11), L517, 1000000000000)</f>
        <v/>
      </c>
      <c r="Z517" s="101">
        <f>IF(AND(F517&lt;=DASHBOARD!$B$10, H517&gt;=DASHBOARD!$B$11), O517, 1000000000000)</f>
        <v/>
      </c>
      <c r="AA517" s="101">
        <f>IF(AND(F517&lt;=DASHBOARD!$B$10, H517&gt;=DASHBOARD!$B$11), P517, 1000000000000)</f>
        <v/>
      </c>
      <c r="AB517" s="101">
        <f>IF(AND(F517&lt;=DASHBOARD!$B$10, H517&gt;=DASHBOARD!$B$11), Q517, -1000000000000)</f>
        <v/>
      </c>
    </row>
    <row r="518" ht="15" customHeight="1" s="102">
      <c r="A518" s="166" t="n">
        <v>514</v>
      </c>
      <c r="B518" s="167" t="n">
        <v>1.2</v>
      </c>
      <c r="C518" s="167" t="n">
        <v>0.4</v>
      </c>
      <c r="D518" s="110" t="inlineStr">
        <is>
          <t>Var (%20)</t>
        </is>
      </c>
      <c r="E518" s="110">
        <f>IF((B518+C518)&lt;=1, "Tam Mahsuplaşma (≤%100)", "Kısmi Satış (&gt;%100)")</f>
        <v/>
      </c>
      <c r="F518" s="168">
        <f>((VERI_TABANI!$D$29*B518/VERI_TABANI!$B$29)/VERI_TABANI!$B$3)*VERI_TABANI!$B$5 + ((VERI_TABANI!$D$29*C518/VERI_TABANI!$B$29)/VERI_TABANI!$B$4)*VERI_TABANI!$B$6 + IF(ISNUMBER(SEARCH("Var", D518)), (VERI_TABANI!$F$29/VERI_TABANI!$B$29)*(VERI_TABANI!$B$10+VERI_TABANI!$B$12), 0)</f>
        <v/>
      </c>
      <c r="G518" s="168">
        <f>(((MIN(VERI_TABANI!D23, VERI_TABANI!D23*B518)*VERI_TABANI!$B$7 + MAX(0, VERI_TABANI!D23*B518-VERI_TABANI!D23)*VERI_TABANI!$B$8) + (MIN(MAX(0, VERI_TABANI!D23-VERI_TABANI!D23*B518), VERI_TABANI!D23*C518)*VERI_TABANI!$B$7 + MAX(0, VERI_TABANI!D23*C518-MAX(0, VERI_TABANI!D23-VERI_TABANI!D23*B518))*VERI_TABANI!$B$8) + IF(ABS(IF(ISNUMBER(SEARCH("Var", D518)), 1, IF(ISNUMBER(SEARCH("Gri", D518)), -1, 0)))=1, VERI_TABANI!E23*(1-0.928)*VERI_TABANI!$B$9, 0) + (VERI_TABANI!D23*B518*(VERI_TABANI!$B$13-VERI_TABANI!$B$14)*VERI_TABANI!G23) + (VERI_TABANI!D23*C518*(VERI_TABANI!$B$13-VERI_TABANI!$B$15)*VERI_TABANI!G23) + IF(ABS(IF(ISNUMBER(SEARCH("Var", D518)), 1, IF(ISNUMBER(SEARCH("Gri", D518)), -1, 0)))=1, VERI_TABANI!E23*(1-0.928)*0.00206091519919798*VERI_TABANI!G23, 0)) + ((MIN(VERI_TABANI!D24, VERI_TABANI!D24*B518)*VERI_TABANI!$B$7 + MAX(0, VERI_TABANI!D24*B518-VERI_TABANI!D24)*VERI_TABANI!$B$8) + (MIN(MAX(0, VERI_TABANI!D24-VERI_TABANI!D24*B518), VERI_TABANI!D24*C518)*VERI_TABANI!$B$7 + MAX(0, VERI_TABANI!D24*C518-MAX(0, VERI_TABANI!D24-VERI_TABANI!D24*B518))*VERI_TABANI!$B$8) + IF(ABS(IF(ISNUMBER(SEARCH("Var", D518)), 1, IF(ISNUMBER(SEARCH("Gri", D518)), -1, 0)))=1, VERI_TABANI!E24*(1-0.928)*VERI_TABANI!$B$9, 0) + (VERI_TABANI!D24*B518*(VERI_TABANI!$B$13-VERI_TABANI!$B$14)*VERI_TABANI!G24) + (VERI_TABANI!D24*C518*(VERI_TABANI!$B$13-VERI_TABANI!$B$15)*VERI_TABANI!G24) + IF(ABS(IF(ISNUMBER(SEARCH("Var", D518)), 1, IF(ISNUMBER(SEARCH("Gri", D518)), -1, 0)))=1, VERI_TABANI!E24*(1-0.928)*0.00206091519919798*VERI_TABANI!G24, 0)) + ((MIN(VERI_TABANI!D25, VERI_TABANI!D25*B518)*VERI_TABANI!$B$7 + MAX(0, VERI_TABANI!D25*B518-VERI_TABANI!D25)*VERI_TABANI!$B$8) + (MIN(MAX(0, VERI_TABANI!D25-VERI_TABANI!D25*B518), VERI_TABANI!D25*C518)*VERI_TABANI!$B$7 + MAX(0, VERI_TABANI!D25*C518-MAX(0, VERI_TABANI!D25-VERI_TABANI!D25*B518))*VERI_TABANI!$B$8) + IF(ABS(IF(ISNUMBER(SEARCH("Var", D518)), 1, IF(ISNUMBER(SEARCH("Gri", D518)), -1, 0)))=1, VERI_TABANI!E25*(1-0.928)*VERI_TABANI!$B$9, 0) + (VERI_TABANI!D25*B518*(VERI_TABANI!$B$13-VERI_TABANI!$B$14)*VERI_TABANI!G25) + (VERI_TABANI!D25*C518*(VERI_TABANI!$B$13-VERI_TABANI!$B$15)*VERI_TABANI!G25) + IF(ABS(IF(ISNUMBER(SEARCH("Var", D518)), 1, IF(ISNUMBER(SEARCH("Gri", D518)), -1, 0)))=1, VERI_TABANI!E25*(1-0.928)*0.00206091519919798*VERI_TABANI!G25, 0)) + ((MIN(VERI_TABANI!D26, VERI_TABANI!D26*B518)*VERI_TABANI!$B$7 + MAX(0, VERI_TABANI!D26*B518-VERI_TABANI!D26)*VERI_TABANI!$B$8) + (MIN(MAX(0, VERI_TABANI!D26-VERI_TABANI!D26*B518), VERI_TABANI!D26*C518)*VERI_TABANI!$B$7 + MAX(0, VERI_TABANI!D26*C518-MAX(0, VERI_TABANI!D26-VERI_TABANI!D26*B518))*VERI_TABANI!$B$8) + IF(ABS(IF(ISNUMBER(SEARCH("Var", D518)), 1, IF(ISNUMBER(SEARCH("Gri", D518)), -1, 0)))=1, VERI_TABANI!E26*(1-0.928)*VERI_TABANI!$B$9, 0) + (VERI_TABANI!D26*B518*(VERI_TABANI!$B$13-VERI_TABANI!$B$14)*VERI_TABANI!G26) + (VERI_TABANI!D26*C518*(VERI_TABANI!$B$13-VERI_TABANI!$B$15)*VERI_TABANI!G26) + IF(ABS(IF(ISNUMBER(SEARCH("Var", D518)), 1, IF(ISNUMBER(SEARCH("Gri", D518)), -1, 0)))=1, VERI_TABANI!E26*(1-0.928)*0.00206091519919798*VERI_TABANI!G26, 0)) + ((MIN(VERI_TABANI!D27, VERI_TABANI!D27*B518)*VERI_TABANI!$B$7 + MAX(0, VERI_TABANI!D27*B518-VERI_TABANI!D27)*VERI_TABANI!$B$8) + (MIN(MAX(0, VERI_TABANI!D27-VERI_TABANI!D27*B518), VERI_TABANI!D27*C518)*VERI_TABANI!$B$7 + MAX(0, VERI_TABANI!D27*C518-MAX(0, VERI_TABANI!D27-VERI_TABANI!D27*B518))*VERI_TABANI!$B$8) + IF(ABS(IF(ISNUMBER(SEARCH("Var", D518)), 1, IF(ISNUMBER(SEARCH("Gri", D518)), -1, 0)))=1, VERI_TABANI!E27*(1-0.928)*VERI_TABANI!$B$9, 0) + (VERI_TABANI!D27*B518*(VERI_TABANI!$B$13-VERI_TABANI!$B$14)*VERI_TABANI!G27) + (VERI_TABANI!D27*C518*(VERI_TABANI!$B$13-VERI_TABANI!$B$15)*VERI_TABANI!G27) + IF(ABS(IF(ISNUMBER(SEARCH("Var", D518)), 1, IF(ISNUMBER(SEARCH("Gri", D518)), -1, 0)))=1, VERI_TABANI!E27*(1-0.928)*0.00206091519919798*VERI_TABANI!G27, 0)) + ((MIN(VERI_TABANI!D28, VERI_TABANI!D28*B518)*VERI_TABANI!$B$7 + MAX(0, VERI_TABANI!D28*B518-VERI_TABANI!D28)*VERI_TABANI!$B$8) + (MIN(MAX(0, VERI_TABANI!D28-VERI_TABANI!D28*B518), VERI_TABANI!D28*C518)*VERI_TABANI!$B$7 + MAX(0, VERI_TABANI!D28*C518-MAX(0, VERI_TABANI!D28-VERI_TABANI!D28*B518))*VERI_TABANI!$B$8) + IF(ABS(IF(ISNUMBER(SEARCH("Var", D518)), 1, IF(ISNUMBER(SEARCH("Gri", D518)), -1, 0)))=1, VERI_TABANI!E28*(1-0.928)*VERI_TABANI!$B$9, 0) + (VERI_TABANI!D28*B518*(VERI_TABANI!$B$13-VERI_TABANI!$B$14)*VERI_TABANI!G28) + (VERI_TABANI!D28*C518*(VERI_TABANI!$B$13-VERI_TABANI!$B$15)*VERI_TABANI!G28) + IF(ABS(IF(ISNUMBER(SEARCH("Var", D518)), 1, IF(ISNUMBER(SEARCH("Gri", D518)), -1, 0)))=1, VERI_TABANI!E28*(1-0.928)*0.00206091519919798*VERI_TABANI!G28, 0)))</f>
        <v/>
      </c>
      <c r="H518" s="169">
        <f>(((VERI_TABANI!D23*B518*(VERI_TABANI!$B$13-VERI_TABANI!$B$14)) + (VERI_TABANI!D23*C518*(VERI_TABANI!$B$13-VERI_TABANI!$B$15)) + IF(ISNUMBER(SEARCH("Var", D518)), VERI_TABANI!F23*(0.00202-VERI_TABANI!$B$16), IF(ISNUMBER(SEARCH("Gri", D518)), VERI_TABANI!F23*(0.00202-VERI_TABANI!$B$17), 0))) + ((VERI_TABANI!D24*B518*(VERI_TABANI!$B$13-VERI_TABANI!$B$14)) + (VERI_TABANI!D24*C518*(VERI_TABANI!$B$13-VERI_TABANI!$B$15)) + IF(ISNUMBER(SEARCH("Var", D518)), VERI_TABANI!F24*(0.00202-VERI_TABANI!$B$16), IF(ISNUMBER(SEARCH("Gri", D518)), VERI_TABANI!F24*(0.00202-VERI_TABANI!$B$17), 0))) + ((VERI_TABANI!D25*B518*(VERI_TABANI!$B$13-VERI_TABANI!$B$14)) + (VERI_TABANI!D25*C518*(VERI_TABANI!$B$13-VERI_TABANI!$B$15)) + IF(ISNUMBER(SEARCH("Var", D518)), VERI_TABANI!F25*(0.00202-VERI_TABANI!$B$16), IF(ISNUMBER(SEARCH("Gri", D518)), VERI_TABANI!F25*(0.00202-VERI_TABANI!$B$17), 0))) + ((VERI_TABANI!D26*B518*(VERI_TABANI!$B$13-VERI_TABANI!$B$14)) + (VERI_TABANI!D26*C518*(VERI_TABANI!$B$13-VERI_TABANI!$B$15)) + IF(ISNUMBER(SEARCH("Var", D518)), VERI_TABANI!F26*(0.00202-VERI_TABANI!$B$16), IF(ISNUMBER(SEARCH("Gri", D518)), VERI_TABANI!F26*(0.00202-VERI_TABANI!$B$17), 0))) + ((VERI_TABANI!D27*B518*(VERI_TABANI!$B$13-VERI_TABANI!$B$14)) + (VERI_TABANI!D27*C518*(VERI_TABANI!$B$13-VERI_TABANI!$B$15)) + IF(ISNUMBER(SEARCH("Var", D518)), VERI_TABANI!F27*(0.00202-VERI_TABANI!$B$16), IF(ISNUMBER(SEARCH("Gri", D518)), VERI_TABANI!F27*(0.00202-VERI_TABANI!$B$17), 0))) + ((VERI_TABANI!D28*B518*(VERI_TABANI!$B$13-VERI_TABANI!$B$14)) + (VERI_TABANI!D28*C518*(VERI_TABANI!$B$13-VERI_TABANI!$B$15)) + IF(ISNUMBER(SEARCH("Var", D518)), VERI_TABANI!F28*(0.00202-VERI_TABANI!$B$16), IF(ISNUMBER(SEARCH("Gri", D518)), VERI_TABANI!F28*(0.00202-VERI_TABANI!$B$17), 0))))</f>
        <v/>
      </c>
      <c r="I518" s="170">
        <f>IFERROR(((VERI_TABANI!$D$29*B518*VERI_TABANI!$B$14 + VERI_TABANI!$D$29*C518*VERI_TABANI!$B$15 + IF(ISNUMBER(SEARCH("Var", D518)), VERI_TABANI!$F$29*VERI_TABANI!$B$16, 0))) / (((VERI_TABANI!$D$29*B518 + VERI_TABANI!$D$29*C518)*VERI_TABANI!$B$13 + IF(ISNUMBER(SEARCH("Var", D518)), VERI_TABANI!$E$29*(1-0.928)*VERI_TABANI!$B$18, 0))), 0)</f>
        <v/>
      </c>
      <c r="J518" s="171">
        <f>IFERROR(F518/(G518/29), 0)</f>
        <v/>
      </c>
      <c r="K518" s="172">
        <f>IF(F518&gt;0, H518/F518, 0)</f>
        <v/>
      </c>
      <c r="L518" s="170">
        <f>IF(F518&gt;0, I518, 1000000000)</f>
        <v/>
      </c>
      <c r="M518" s="171">
        <f>ABS((B518+C518)-1)</f>
        <v/>
      </c>
      <c r="N518" s="170">
        <f>IF(F518&gt;0, (G518/29)/F518, 0)</f>
        <v/>
      </c>
      <c r="O518" s="168">
        <f>IF(AND((B518+C518)&gt;=1, ISNUMBER(SEARCH("Var", D518))), F518, 1000000000)</f>
        <v/>
      </c>
      <c r="P518" s="172">
        <f>IF(F518&gt;0, SQRT((F518/MAX(F$5:F$886))^2 + (1 - H518/MAX(H$5:H$886))^2 + (J518/MAX(J$5:J$886))^2), 1000000000)</f>
        <v/>
      </c>
      <c r="Q518" s="166">
        <f>IF(AND(ABS(B518-0.5)&lt;0.01, ABS(C518-0.5)&lt;0.01, ISNUMBER(SEARCH("Var", D518))), 1, 0)</f>
        <v/>
      </c>
      <c r="R518" s="171">
        <f>IF(F518&gt;0, J518, 1000000000)</f>
        <v/>
      </c>
      <c r="S518" s="101">
        <f>IF(AND(F518&lt;=DASHBOARD!$B$11, H518&gt;=DASHBOARD!$B$13), G518, -1000000000000)</f>
        <v/>
      </c>
      <c r="T518" s="101">
        <f>IF(AND(F518&lt;=DASHBOARD!$B$11, H518&gt;=DASHBOARD!$B$13), R518, 1000000000000)</f>
        <v/>
      </c>
      <c r="U518" s="101">
        <f>IF(AND(F518&lt;=DASHBOARD!$B$11, H518&gt;=DASHBOARD!$B$13), N518, -1000000000000)</f>
        <v/>
      </c>
      <c r="V518" s="101">
        <f>IF(AND(F518&lt;=DASHBOARD!$B$11, H518&gt;=DASHBOARD!$B$13), H518, -1000000000000)</f>
        <v/>
      </c>
      <c r="W518" s="101">
        <f>IF(AND(F518&lt;=DASHBOARD!$B$11, H518&gt;=DASHBOARD!$B$13), K518, -1000000000000)</f>
        <v/>
      </c>
      <c r="X518" s="101">
        <f>IF(AND(F518&lt;=DASHBOARD!$B$11, H518&gt;=DASHBOARD!$B$13), M518, 1000000000000)</f>
        <v/>
      </c>
      <c r="Y518" s="101">
        <f>IF(AND(F518&lt;=DASHBOARD!$B$10, H518&gt;=DASHBOARD!$B$11), L518, 1000000000000)</f>
        <v/>
      </c>
      <c r="Z518" s="101">
        <f>IF(AND(F518&lt;=DASHBOARD!$B$10, H518&gt;=DASHBOARD!$B$11), O518, 1000000000000)</f>
        <v/>
      </c>
      <c r="AA518" s="101">
        <f>IF(AND(F518&lt;=DASHBOARD!$B$10, H518&gt;=DASHBOARD!$B$11), P518, 1000000000000)</f>
        <v/>
      </c>
      <c r="AB518" s="101">
        <f>IF(AND(F518&lt;=DASHBOARD!$B$10, H518&gt;=DASHBOARD!$B$11), Q518, -1000000000000)</f>
        <v/>
      </c>
    </row>
    <row r="519" ht="15" customHeight="1" s="102">
      <c r="A519" s="166" t="n">
        <v>515</v>
      </c>
      <c r="B519" s="167" t="n">
        <v>1.2</v>
      </c>
      <c r="C519" s="167" t="n">
        <v>0.5</v>
      </c>
      <c r="D519" s="110" t="inlineStr">
        <is>
          <t>Yok (%0)</t>
        </is>
      </c>
      <c r="E519" s="110">
        <f>IF((B519+C519)&lt;=1, "Tam Mahsuplaşma (≤%100)", "Kısmi Satış (&gt;%100)")</f>
        <v/>
      </c>
      <c r="F519" s="168">
        <f>((VERI_TABANI!$D$29*B519/VERI_TABANI!$B$29)/VERI_TABANI!$B$3)*VERI_TABANI!$B$5 + ((VERI_TABANI!$D$29*C519/VERI_TABANI!$B$29)/VERI_TABANI!$B$4)*VERI_TABANI!$B$6 + IF(ISNUMBER(SEARCH("Var", D519)), (VERI_TABANI!$F$29/VERI_TABANI!$B$29)*(VERI_TABANI!$B$10+VERI_TABANI!$B$12), 0)</f>
        <v/>
      </c>
      <c r="G519" s="168">
        <f>(((MIN(VERI_TABANI!D23, VERI_TABANI!D23*B519)*VERI_TABANI!$B$7 + MAX(0, VERI_TABANI!D23*B519-VERI_TABANI!D23)*VERI_TABANI!$B$8) + (MIN(MAX(0, VERI_TABANI!D23-VERI_TABANI!D23*B519), VERI_TABANI!D23*C519)*VERI_TABANI!$B$7 + MAX(0, VERI_TABANI!D23*C519-MAX(0, VERI_TABANI!D23-VERI_TABANI!D23*B519))*VERI_TABANI!$B$8) + IF(ABS(IF(ISNUMBER(SEARCH("Var", D519)), 1, IF(ISNUMBER(SEARCH("Gri", D519)), -1, 0)))=1, VERI_TABANI!E23*(1-0.928)*VERI_TABANI!$B$9, 0) + (VERI_TABANI!D23*B519*(VERI_TABANI!$B$13-VERI_TABANI!$B$14)*VERI_TABANI!G23) + (VERI_TABANI!D23*C519*(VERI_TABANI!$B$13-VERI_TABANI!$B$15)*VERI_TABANI!G23) + IF(ABS(IF(ISNUMBER(SEARCH("Var", D519)), 1, IF(ISNUMBER(SEARCH("Gri", D519)), -1, 0)))=1, VERI_TABANI!E23*(1-0.928)*0.00206091519919798*VERI_TABANI!G23, 0)) + ((MIN(VERI_TABANI!D24, VERI_TABANI!D24*B519)*VERI_TABANI!$B$7 + MAX(0, VERI_TABANI!D24*B519-VERI_TABANI!D24)*VERI_TABANI!$B$8) + (MIN(MAX(0, VERI_TABANI!D24-VERI_TABANI!D24*B519), VERI_TABANI!D24*C519)*VERI_TABANI!$B$7 + MAX(0, VERI_TABANI!D24*C519-MAX(0, VERI_TABANI!D24-VERI_TABANI!D24*B519))*VERI_TABANI!$B$8) + IF(ABS(IF(ISNUMBER(SEARCH("Var", D519)), 1, IF(ISNUMBER(SEARCH("Gri", D519)), -1, 0)))=1, VERI_TABANI!E24*(1-0.928)*VERI_TABANI!$B$9, 0) + (VERI_TABANI!D24*B519*(VERI_TABANI!$B$13-VERI_TABANI!$B$14)*VERI_TABANI!G24) + (VERI_TABANI!D24*C519*(VERI_TABANI!$B$13-VERI_TABANI!$B$15)*VERI_TABANI!G24) + IF(ABS(IF(ISNUMBER(SEARCH("Var", D519)), 1, IF(ISNUMBER(SEARCH("Gri", D519)), -1, 0)))=1, VERI_TABANI!E24*(1-0.928)*0.00206091519919798*VERI_TABANI!G24, 0)) + ((MIN(VERI_TABANI!D25, VERI_TABANI!D25*B519)*VERI_TABANI!$B$7 + MAX(0, VERI_TABANI!D25*B519-VERI_TABANI!D25)*VERI_TABANI!$B$8) + (MIN(MAX(0, VERI_TABANI!D25-VERI_TABANI!D25*B519), VERI_TABANI!D25*C519)*VERI_TABANI!$B$7 + MAX(0, VERI_TABANI!D25*C519-MAX(0, VERI_TABANI!D25-VERI_TABANI!D25*B519))*VERI_TABANI!$B$8) + IF(ABS(IF(ISNUMBER(SEARCH("Var", D519)), 1, IF(ISNUMBER(SEARCH("Gri", D519)), -1, 0)))=1, VERI_TABANI!E25*(1-0.928)*VERI_TABANI!$B$9, 0) + (VERI_TABANI!D25*B519*(VERI_TABANI!$B$13-VERI_TABANI!$B$14)*VERI_TABANI!G25) + (VERI_TABANI!D25*C519*(VERI_TABANI!$B$13-VERI_TABANI!$B$15)*VERI_TABANI!G25) + IF(ABS(IF(ISNUMBER(SEARCH("Var", D519)), 1, IF(ISNUMBER(SEARCH("Gri", D519)), -1, 0)))=1, VERI_TABANI!E25*(1-0.928)*0.00206091519919798*VERI_TABANI!G25, 0)) + ((MIN(VERI_TABANI!D26, VERI_TABANI!D26*B519)*VERI_TABANI!$B$7 + MAX(0, VERI_TABANI!D26*B519-VERI_TABANI!D26)*VERI_TABANI!$B$8) + (MIN(MAX(0, VERI_TABANI!D26-VERI_TABANI!D26*B519), VERI_TABANI!D26*C519)*VERI_TABANI!$B$7 + MAX(0, VERI_TABANI!D26*C519-MAX(0, VERI_TABANI!D26-VERI_TABANI!D26*B519))*VERI_TABANI!$B$8) + IF(ABS(IF(ISNUMBER(SEARCH("Var", D519)), 1, IF(ISNUMBER(SEARCH("Gri", D519)), -1, 0)))=1, VERI_TABANI!E26*(1-0.928)*VERI_TABANI!$B$9, 0) + (VERI_TABANI!D26*B519*(VERI_TABANI!$B$13-VERI_TABANI!$B$14)*VERI_TABANI!G26) + (VERI_TABANI!D26*C519*(VERI_TABANI!$B$13-VERI_TABANI!$B$15)*VERI_TABANI!G26) + IF(ABS(IF(ISNUMBER(SEARCH("Var", D519)), 1, IF(ISNUMBER(SEARCH("Gri", D519)), -1, 0)))=1, VERI_TABANI!E26*(1-0.928)*0.00206091519919798*VERI_TABANI!G26, 0)) + ((MIN(VERI_TABANI!D27, VERI_TABANI!D27*B519)*VERI_TABANI!$B$7 + MAX(0, VERI_TABANI!D27*B519-VERI_TABANI!D27)*VERI_TABANI!$B$8) + (MIN(MAX(0, VERI_TABANI!D27-VERI_TABANI!D27*B519), VERI_TABANI!D27*C519)*VERI_TABANI!$B$7 + MAX(0, VERI_TABANI!D27*C519-MAX(0, VERI_TABANI!D27-VERI_TABANI!D27*B519))*VERI_TABANI!$B$8) + IF(ABS(IF(ISNUMBER(SEARCH("Var", D519)), 1, IF(ISNUMBER(SEARCH("Gri", D519)), -1, 0)))=1, VERI_TABANI!E27*(1-0.928)*VERI_TABANI!$B$9, 0) + (VERI_TABANI!D27*B519*(VERI_TABANI!$B$13-VERI_TABANI!$B$14)*VERI_TABANI!G27) + (VERI_TABANI!D27*C519*(VERI_TABANI!$B$13-VERI_TABANI!$B$15)*VERI_TABANI!G27) + IF(ABS(IF(ISNUMBER(SEARCH("Var", D519)), 1, IF(ISNUMBER(SEARCH("Gri", D519)), -1, 0)))=1, VERI_TABANI!E27*(1-0.928)*0.00206091519919798*VERI_TABANI!G27, 0)) + ((MIN(VERI_TABANI!D28, VERI_TABANI!D28*B519)*VERI_TABANI!$B$7 + MAX(0, VERI_TABANI!D28*B519-VERI_TABANI!D28)*VERI_TABANI!$B$8) + (MIN(MAX(0, VERI_TABANI!D28-VERI_TABANI!D28*B519), VERI_TABANI!D28*C519)*VERI_TABANI!$B$7 + MAX(0, VERI_TABANI!D28*C519-MAX(0, VERI_TABANI!D28-VERI_TABANI!D28*B519))*VERI_TABANI!$B$8) + IF(ABS(IF(ISNUMBER(SEARCH("Var", D519)), 1, IF(ISNUMBER(SEARCH("Gri", D519)), -1, 0)))=1, VERI_TABANI!E28*(1-0.928)*VERI_TABANI!$B$9, 0) + (VERI_TABANI!D28*B519*(VERI_TABANI!$B$13-VERI_TABANI!$B$14)*VERI_TABANI!G28) + (VERI_TABANI!D28*C519*(VERI_TABANI!$B$13-VERI_TABANI!$B$15)*VERI_TABANI!G28) + IF(ABS(IF(ISNUMBER(SEARCH("Var", D519)), 1, IF(ISNUMBER(SEARCH("Gri", D519)), -1, 0)))=1, VERI_TABANI!E28*(1-0.928)*0.00206091519919798*VERI_TABANI!G28, 0)))</f>
        <v/>
      </c>
      <c r="H519" s="169">
        <f>(((VERI_TABANI!D23*B519*(VERI_TABANI!$B$13-VERI_TABANI!$B$14)) + (VERI_TABANI!D23*C519*(VERI_TABANI!$B$13-VERI_TABANI!$B$15)) + IF(ISNUMBER(SEARCH("Var", D519)), VERI_TABANI!F23*(0.00202-VERI_TABANI!$B$16), IF(ISNUMBER(SEARCH("Gri", D519)), VERI_TABANI!F23*(0.00202-VERI_TABANI!$B$17), 0))) + ((VERI_TABANI!D24*B519*(VERI_TABANI!$B$13-VERI_TABANI!$B$14)) + (VERI_TABANI!D24*C519*(VERI_TABANI!$B$13-VERI_TABANI!$B$15)) + IF(ISNUMBER(SEARCH("Var", D519)), VERI_TABANI!F24*(0.00202-VERI_TABANI!$B$16), IF(ISNUMBER(SEARCH("Gri", D519)), VERI_TABANI!F24*(0.00202-VERI_TABANI!$B$17), 0))) + ((VERI_TABANI!D25*B519*(VERI_TABANI!$B$13-VERI_TABANI!$B$14)) + (VERI_TABANI!D25*C519*(VERI_TABANI!$B$13-VERI_TABANI!$B$15)) + IF(ISNUMBER(SEARCH("Var", D519)), VERI_TABANI!F25*(0.00202-VERI_TABANI!$B$16), IF(ISNUMBER(SEARCH("Gri", D519)), VERI_TABANI!F25*(0.00202-VERI_TABANI!$B$17), 0))) + ((VERI_TABANI!D26*B519*(VERI_TABANI!$B$13-VERI_TABANI!$B$14)) + (VERI_TABANI!D26*C519*(VERI_TABANI!$B$13-VERI_TABANI!$B$15)) + IF(ISNUMBER(SEARCH("Var", D519)), VERI_TABANI!F26*(0.00202-VERI_TABANI!$B$16), IF(ISNUMBER(SEARCH("Gri", D519)), VERI_TABANI!F26*(0.00202-VERI_TABANI!$B$17), 0))) + ((VERI_TABANI!D27*B519*(VERI_TABANI!$B$13-VERI_TABANI!$B$14)) + (VERI_TABANI!D27*C519*(VERI_TABANI!$B$13-VERI_TABANI!$B$15)) + IF(ISNUMBER(SEARCH("Var", D519)), VERI_TABANI!F27*(0.00202-VERI_TABANI!$B$16), IF(ISNUMBER(SEARCH("Gri", D519)), VERI_TABANI!F27*(0.00202-VERI_TABANI!$B$17), 0))) + ((VERI_TABANI!D28*B519*(VERI_TABANI!$B$13-VERI_TABANI!$B$14)) + (VERI_TABANI!D28*C519*(VERI_TABANI!$B$13-VERI_TABANI!$B$15)) + IF(ISNUMBER(SEARCH("Var", D519)), VERI_TABANI!F28*(0.00202-VERI_TABANI!$B$16), IF(ISNUMBER(SEARCH("Gri", D519)), VERI_TABANI!F28*(0.00202-VERI_TABANI!$B$17), 0))))</f>
        <v/>
      </c>
      <c r="I519" s="170">
        <f>IFERROR(((VERI_TABANI!$D$29*B519*VERI_TABANI!$B$14 + VERI_TABANI!$D$29*C519*VERI_TABANI!$B$15 + IF(ISNUMBER(SEARCH("Var", D519)), VERI_TABANI!$F$29*VERI_TABANI!$B$16, 0))) / (((VERI_TABANI!$D$29*B519 + VERI_TABANI!$D$29*C519)*VERI_TABANI!$B$13 + IF(ISNUMBER(SEARCH("Var", D519)), VERI_TABANI!$E$29*(1-0.928)*VERI_TABANI!$B$18, 0))), 0)</f>
        <v/>
      </c>
      <c r="J519" s="171">
        <f>IFERROR(F519/(G519/29), 0)</f>
        <v/>
      </c>
      <c r="K519" s="172">
        <f>IF(F519&gt;0, H519/F519, 0)</f>
        <v/>
      </c>
      <c r="L519" s="170">
        <f>IF(F519&gt;0, I519, 1000000000)</f>
        <v/>
      </c>
      <c r="M519" s="171">
        <f>ABS((B519+C519)-1)</f>
        <v/>
      </c>
      <c r="N519" s="170">
        <f>IF(F519&gt;0, (G519/29)/F519, 0)</f>
        <v/>
      </c>
      <c r="O519" s="168">
        <f>IF(AND((B519+C519)&gt;=1, ISNUMBER(SEARCH("Var", D519))), F519, 1000000000)</f>
        <v/>
      </c>
      <c r="P519" s="172">
        <f>IF(F519&gt;0, SQRT((F519/MAX(F$5:F$886))^2 + (1 - H519/MAX(H$5:H$886))^2 + (J519/MAX(J$5:J$886))^2), 1000000000)</f>
        <v/>
      </c>
      <c r="Q519" s="166">
        <f>IF(AND(ABS(B519-0.5)&lt;0.01, ABS(C519-0.5)&lt;0.01, ISNUMBER(SEARCH("Var", D519))), 1, 0)</f>
        <v/>
      </c>
      <c r="R519" s="171">
        <f>IF(F519&gt;0, J519, 1000000000)</f>
        <v/>
      </c>
      <c r="S519" s="101">
        <f>IF(AND(F519&lt;=DASHBOARD!$B$11, H519&gt;=DASHBOARD!$B$13), G519, -1000000000000)</f>
        <v/>
      </c>
      <c r="T519" s="101">
        <f>IF(AND(F519&lt;=DASHBOARD!$B$11, H519&gt;=DASHBOARD!$B$13), R519, 1000000000000)</f>
        <v/>
      </c>
      <c r="U519" s="101">
        <f>IF(AND(F519&lt;=DASHBOARD!$B$11, H519&gt;=DASHBOARD!$B$13), N519, -1000000000000)</f>
        <v/>
      </c>
      <c r="V519" s="101">
        <f>IF(AND(F519&lt;=DASHBOARD!$B$11, H519&gt;=DASHBOARD!$B$13), H519, -1000000000000)</f>
        <v/>
      </c>
      <c r="W519" s="101">
        <f>IF(AND(F519&lt;=DASHBOARD!$B$11, H519&gt;=DASHBOARD!$B$13), K519, -1000000000000)</f>
        <v/>
      </c>
      <c r="X519" s="101">
        <f>IF(AND(F519&lt;=DASHBOARD!$B$11, H519&gt;=DASHBOARD!$B$13), M519, 1000000000000)</f>
        <v/>
      </c>
      <c r="Y519" s="101">
        <f>IF(AND(F519&lt;=DASHBOARD!$B$10, H519&gt;=DASHBOARD!$B$11), L519, 1000000000000)</f>
        <v/>
      </c>
      <c r="Z519" s="101">
        <f>IF(AND(F519&lt;=DASHBOARD!$B$10, H519&gt;=DASHBOARD!$B$11), O519, 1000000000000)</f>
        <v/>
      </c>
      <c r="AA519" s="101">
        <f>IF(AND(F519&lt;=DASHBOARD!$B$10, H519&gt;=DASHBOARD!$B$11), P519, 1000000000000)</f>
        <v/>
      </c>
      <c r="AB519" s="101">
        <f>IF(AND(F519&lt;=DASHBOARD!$B$10, H519&gt;=DASHBOARD!$B$11), Q519, -1000000000000)</f>
        <v/>
      </c>
    </row>
    <row r="520" ht="15" customHeight="1" s="102">
      <c r="A520" s="166" t="n">
        <v>516</v>
      </c>
      <c r="B520" s="167" t="n">
        <v>1.2</v>
      </c>
      <c r="C520" s="167" t="n">
        <v>0.5</v>
      </c>
      <c r="D520" s="110" t="inlineStr">
        <is>
          <t>Var (%20)</t>
        </is>
      </c>
      <c r="E520" s="110">
        <f>IF((B520+C520)&lt;=1, "Tam Mahsuplaşma (≤%100)", "Kısmi Satış (&gt;%100)")</f>
        <v/>
      </c>
      <c r="F520" s="168">
        <f>((VERI_TABANI!$D$29*B520/VERI_TABANI!$B$29)/VERI_TABANI!$B$3)*VERI_TABANI!$B$5 + ((VERI_TABANI!$D$29*C520/VERI_TABANI!$B$29)/VERI_TABANI!$B$4)*VERI_TABANI!$B$6 + IF(ISNUMBER(SEARCH("Var", D520)), (VERI_TABANI!$F$29/VERI_TABANI!$B$29)*(VERI_TABANI!$B$10+VERI_TABANI!$B$12), 0)</f>
        <v/>
      </c>
      <c r="G520" s="168">
        <f>(((MIN(VERI_TABANI!D23, VERI_TABANI!D23*B520)*VERI_TABANI!$B$7 + MAX(0, VERI_TABANI!D23*B520-VERI_TABANI!D23)*VERI_TABANI!$B$8) + (MIN(MAX(0, VERI_TABANI!D23-VERI_TABANI!D23*B520), VERI_TABANI!D23*C520)*VERI_TABANI!$B$7 + MAX(0, VERI_TABANI!D23*C520-MAX(0, VERI_TABANI!D23-VERI_TABANI!D23*B520))*VERI_TABANI!$B$8) + IF(ABS(IF(ISNUMBER(SEARCH("Var", D520)), 1, IF(ISNUMBER(SEARCH("Gri", D520)), -1, 0)))=1, VERI_TABANI!E23*(1-0.928)*VERI_TABANI!$B$9, 0) + (VERI_TABANI!D23*B520*(VERI_TABANI!$B$13-VERI_TABANI!$B$14)*VERI_TABANI!G23) + (VERI_TABANI!D23*C520*(VERI_TABANI!$B$13-VERI_TABANI!$B$15)*VERI_TABANI!G23) + IF(ABS(IF(ISNUMBER(SEARCH("Var", D520)), 1, IF(ISNUMBER(SEARCH("Gri", D520)), -1, 0)))=1, VERI_TABANI!E23*(1-0.928)*0.00206091519919798*VERI_TABANI!G23, 0)) + ((MIN(VERI_TABANI!D24, VERI_TABANI!D24*B520)*VERI_TABANI!$B$7 + MAX(0, VERI_TABANI!D24*B520-VERI_TABANI!D24)*VERI_TABANI!$B$8) + (MIN(MAX(0, VERI_TABANI!D24-VERI_TABANI!D24*B520), VERI_TABANI!D24*C520)*VERI_TABANI!$B$7 + MAX(0, VERI_TABANI!D24*C520-MAX(0, VERI_TABANI!D24-VERI_TABANI!D24*B520))*VERI_TABANI!$B$8) + IF(ABS(IF(ISNUMBER(SEARCH("Var", D520)), 1, IF(ISNUMBER(SEARCH("Gri", D520)), -1, 0)))=1, VERI_TABANI!E24*(1-0.928)*VERI_TABANI!$B$9, 0) + (VERI_TABANI!D24*B520*(VERI_TABANI!$B$13-VERI_TABANI!$B$14)*VERI_TABANI!G24) + (VERI_TABANI!D24*C520*(VERI_TABANI!$B$13-VERI_TABANI!$B$15)*VERI_TABANI!G24) + IF(ABS(IF(ISNUMBER(SEARCH("Var", D520)), 1, IF(ISNUMBER(SEARCH("Gri", D520)), -1, 0)))=1, VERI_TABANI!E24*(1-0.928)*0.00206091519919798*VERI_TABANI!G24, 0)) + ((MIN(VERI_TABANI!D25, VERI_TABANI!D25*B520)*VERI_TABANI!$B$7 + MAX(0, VERI_TABANI!D25*B520-VERI_TABANI!D25)*VERI_TABANI!$B$8) + (MIN(MAX(0, VERI_TABANI!D25-VERI_TABANI!D25*B520), VERI_TABANI!D25*C520)*VERI_TABANI!$B$7 + MAX(0, VERI_TABANI!D25*C520-MAX(0, VERI_TABANI!D25-VERI_TABANI!D25*B520))*VERI_TABANI!$B$8) + IF(ABS(IF(ISNUMBER(SEARCH("Var", D520)), 1, IF(ISNUMBER(SEARCH("Gri", D520)), -1, 0)))=1, VERI_TABANI!E25*(1-0.928)*VERI_TABANI!$B$9, 0) + (VERI_TABANI!D25*B520*(VERI_TABANI!$B$13-VERI_TABANI!$B$14)*VERI_TABANI!G25) + (VERI_TABANI!D25*C520*(VERI_TABANI!$B$13-VERI_TABANI!$B$15)*VERI_TABANI!G25) + IF(ABS(IF(ISNUMBER(SEARCH("Var", D520)), 1, IF(ISNUMBER(SEARCH("Gri", D520)), -1, 0)))=1, VERI_TABANI!E25*(1-0.928)*0.00206091519919798*VERI_TABANI!G25, 0)) + ((MIN(VERI_TABANI!D26, VERI_TABANI!D26*B520)*VERI_TABANI!$B$7 + MAX(0, VERI_TABANI!D26*B520-VERI_TABANI!D26)*VERI_TABANI!$B$8) + (MIN(MAX(0, VERI_TABANI!D26-VERI_TABANI!D26*B520), VERI_TABANI!D26*C520)*VERI_TABANI!$B$7 + MAX(0, VERI_TABANI!D26*C520-MAX(0, VERI_TABANI!D26-VERI_TABANI!D26*B520))*VERI_TABANI!$B$8) + IF(ABS(IF(ISNUMBER(SEARCH("Var", D520)), 1, IF(ISNUMBER(SEARCH("Gri", D520)), -1, 0)))=1, VERI_TABANI!E26*(1-0.928)*VERI_TABANI!$B$9, 0) + (VERI_TABANI!D26*B520*(VERI_TABANI!$B$13-VERI_TABANI!$B$14)*VERI_TABANI!G26) + (VERI_TABANI!D26*C520*(VERI_TABANI!$B$13-VERI_TABANI!$B$15)*VERI_TABANI!G26) + IF(ABS(IF(ISNUMBER(SEARCH("Var", D520)), 1, IF(ISNUMBER(SEARCH("Gri", D520)), -1, 0)))=1, VERI_TABANI!E26*(1-0.928)*0.00206091519919798*VERI_TABANI!G26, 0)) + ((MIN(VERI_TABANI!D27, VERI_TABANI!D27*B520)*VERI_TABANI!$B$7 + MAX(0, VERI_TABANI!D27*B520-VERI_TABANI!D27)*VERI_TABANI!$B$8) + (MIN(MAX(0, VERI_TABANI!D27-VERI_TABANI!D27*B520), VERI_TABANI!D27*C520)*VERI_TABANI!$B$7 + MAX(0, VERI_TABANI!D27*C520-MAX(0, VERI_TABANI!D27-VERI_TABANI!D27*B520))*VERI_TABANI!$B$8) + IF(ABS(IF(ISNUMBER(SEARCH("Var", D520)), 1, IF(ISNUMBER(SEARCH("Gri", D520)), -1, 0)))=1, VERI_TABANI!E27*(1-0.928)*VERI_TABANI!$B$9, 0) + (VERI_TABANI!D27*B520*(VERI_TABANI!$B$13-VERI_TABANI!$B$14)*VERI_TABANI!G27) + (VERI_TABANI!D27*C520*(VERI_TABANI!$B$13-VERI_TABANI!$B$15)*VERI_TABANI!G27) + IF(ABS(IF(ISNUMBER(SEARCH("Var", D520)), 1, IF(ISNUMBER(SEARCH("Gri", D520)), -1, 0)))=1, VERI_TABANI!E27*(1-0.928)*0.00206091519919798*VERI_TABANI!G27, 0)) + ((MIN(VERI_TABANI!D28, VERI_TABANI!D28*B520)*VERI_TABANI!$B$7 + MAX(0, VERI_TABANI!D28*B520-VERI_TABANI!D28)*VERI_TABANI!$B$8) + (MIN(MAX(0, VERI_TABANI!D28-VERI_TABANI!D28*B520), VERI_TABANI!D28*C520)*VERI_TABANI!$B$7 + MAX(0, VERI_TABANI!D28*C520-MAX(0, VERI_TABANI!D28-VERI_TABANI!D28*B520))*VERI_TABANI!$B$8) + IF(ABS(IF(ISNUMBER(SEARCH("Var", D520)), 1, IF(ISNUMBER(SEARCH("Gri", D520)), -1, 0)))=1, VERI_TABANI!E28*(1-0.928)*VERI_TABANI!$B$9, 0) + (VERI_TABANI!D28*B520*(VERI_TABANI!$B$13-VERI_TABANI!$B$14)*VERI_TABANI!G28) + (VERI_TABANI!D28*C520*(VERI_TABANI!$B$13-VERI_TABANI!$B$15)*VERI_TABANI!G28) + IF(ABS(IF(ISNUMBER(SEARCH("Var", D520)), 1, IF(ISNUMBER(SEARCH("Gri", D520)), -1, 0)))=1, VERI_TABANI!E28*(1-0.928)*0.00206091519919798*VERI_TABANI!G28, 0)))</f>
        <v/>
      </c>
      <c r="H520" s="169">
        <f>(((VERI_TABANI!D23*B520*(VERI_TABANI!$B$13-VERI_TABANI!$B$14)) + (VERI_TABANI!D23*C520*(VERI_TABANI!$B$13-VERI_TABANI!$B$15)) + IF(ISNUMBER(SEARCH("Var", D520)), VERI_TABANI!F23*(0.00202-VERI_TABANI!$B$16), IF(ISNUMBER(SEARCH("Gri", D520)), VERI_TABANI!F23*(0.00202-VERI_TABANI!$B$17), 0))) + ((VERI_TABANI!D24*B520*(VERI_TABANI!$B$13-VERI_TABANI!$B$14)) + (VERI_TABANI!D24*C520*(VERI_TABANI!$B$13-VERI_TABANI!$B$15)) + IF(ISNUMBER(SEARCH("Var", D520)), VERI_TABANI!F24*(0.00202-VERI_TABANI!$B$16), IF(ISNUMBER(SEARCH("Gri", D520)), VERI_TABANI!F24*(0.00202-VERI_TABANI!$B$17), 0))) + ((VERI_TABANI!D25*B520*(VERI_TABANI!$B$13-VERI_TABANI!$B$14)) + (VERI_TABANI!D25*C520*(VERI_TABANI!$B$13-VERI_TABANI!$B$15)) + IF(ISNUMBER(SEARCH("Var", D520)), VERI_TABANI!F25*(0.00202-VERI_TABANI!$B$16), IF(ISNUMBER(SEARCH("Gri", D520)), VERI_TABANI!F25*(0.00202-VERI_TABANI!$B$17), 0))) + ((VERI_TABANI!D26*B520*(VERI_TABANI!$B$13-VERI_TABANI!$B$14)) + (VERI_TABANI!D26*C520*(VERI_TABANI!$B$13-VERI_TABANI!$B$15)) + IF(ISNUMBER(SEARCH("Var", D520)), VERI_TABANI!F26*(0.00202-VERI_TABANI!$B$16), IF(ISNUMBER(SEARCH("Gri", D520)), VERI_TABANI!F26*(0.00202-VERI_TABANI!$B$17), 0))) + ((VERI_TABANI!D27*B520*(VERI_TABANI!$B$13-VERI_TABANI!$B$14)) + (VERI_TABANI!D27*C520*(VERI_TABANI!$B$13-VERI_TABANI!$B$15)) + IF(ISNUMBER(SEARCH("Var", D520)), VERI_TABANI!F27*(0.00202-VERI_TABANI!$B$16), IF(ISNUMBER(SEARCH("Gri", D520)), VERI_TABANI!F27*(0.00202-VERI_TABANI!$B$17), 0))) + ((VERI_TABANI!D28*B520*(VERI_TABANI!$B$13-VERI_TABANI!$B$14)) + (VERI_TABANI!D28*C520*(VERI_TABANI!$B$13-VERI_TABANI!$B$15)) + IF(ISNUMBER(SEARCH("Var", D520)), VERI_TABANI!F28*(0.00202-VERI_TABANI!$B$16), IF(ISNUMBER(SEARCH("Gri", D520)), VERI_TABANI!F28*(0.00202-VERI_TABANI!$B$17), 0))))</f>
        <v/>
      </c>
      <c r="I520" s="170">
        <f>IFERROR(((VERI_TABANI!$D$29*B520*VERI_TABANI!$B$14 + VERI_TABANI!$D$29*C520*VERI_TABANI!$B$15 + IF(ISNUMBER(SEARCH("Var", D520)), VERI_TABANI!$F$29*VERI_TABANI!$B$16, 0))) / (((VERI_TABANI!$D$29*B520 + VERI_TABANI!$D$29*C520)*VERI_TABANI!$B$13 + IF(ISNUMBER(SEARCH("Var", D520)), VERI_TABANI!$E$29*(1-0.928)*VERI_TABANI!$B$18, 0))), 0)</f>
        <v/>
      </c>
      <c r="J520" s="171">
        <f>IFERROR(F520/(G520/29), 0)</f>
        <v/>
      </c>
      <c r="K520" s="172">
        <f>IF(F520&gt;0, H520/F520, 0)</f>
        <v/>
      </c>
      <c r="L520" s="170">
        <f>IF(F520&gt;0, I520, 1000000000)</f>
        <v/>
      </c>
      <c r="M520" s="171">
        <f>ABS((B520+C520)-1)</f>
        <v/>
      </c>
      <c r="N520" s="170">
        <f>IF(F520&gt;0, (G520/29)/F520, 0)</f>
        <v/>
      </c>
      <c r="O520" s="168">
        <f>IF(AND((B520+C520)&gt;=1, ISNUMBER(SEARCH("Var", D520))), F520, 1000000000)</f>
        <v/>
      </c>
      <c r="P520" s="172">
        <f>IF(F520&gt;0, SQRT((F520/MAX(F$5:F$886))^2 + (1 - H520/MAX(H$5:H$886))^2 + (J520/MAX(J$5:J$886))^2), 1000000000)</f>
        <v/>
      </c>
      <c r="Q520" s="166">
        <f>IF(AND(ABS(B520-0.5)&lt;0.01, ABS(C520-0.5)&lt;0.01, ISNUMBER(SEARCH("Var", D520))), 1, 0)</f>
        <v/>
      </c>
      <c r="R520" s="171">
        <f>IF(F520&gt;0, J520, 1000000000)</f>
        <v/>
      </c>
      <c r="S520" s="101">
        <f>IF(AND(F520&lt;=DASHBOARD!$B$11, H520&gt;=DASHBOARD!$B$13), G520, -1000000000000)</f>
        <v/>
      </c>
      <c r="T520" s="101">
        <f>IF(AND(F520&lt;=DASHBOARD!$B$11, H520&gt;=DASHBOARD!$B$13), R520, 1000000000000)</f>
        <v/>
      </c>
      <c r="U520" s="101">
        <f>IF(AND(F520&lt;=DASHBOARD!$B$11, H520&gt;=DASHBOARD!$B$13), N520, -1000000000000)</f>
        <v/>
      </c>
      <c r="V520" s="101">
        <f>IF(AND(F520&lt;=DASHBOARD!$B$11, H520&gt;=DASHBOARD!$B$13), H520, -1000000000000)</f>
        <v/>
      </c>
      <c r="W520" s="101">
        <f>IF(AND(F520&lt;=DASHBOARD!$B$11, H520&gt;=DASHBOARD!$B$13), K520, -1000000000000)</f>
        <v/>
      </c>
      <c r="X520" s="101">
        <f>IF(AND(F520&lt;=DASHBOARD!$B$11, H520&gt;=DASHBOARD!$B$13), M520, 1000000000000)</f>
        <v/>
      </c>
      <c r="Y520" s="101">
        <f>IF(AND(F520&lt;=DASHBOARD!$B$10, H520&gt;=DASHBOARD!$B$11), L520, 1000000000000)</f>
        <v/>
      </c>
      <c r="Z520" s="101">
        <f>IF(AND(F520&lt;=DASHBOARD!$B$10, H520&gt;=DASHBOARD!$B$11), O520, 1000000000000)</f>
        <v/>
      </c>
      <c r="AA520" s="101">
        <f>IF(AND(F520&lt;=DASHBOARD!$B$10, H520&gt;=DASHBOARD!$B$11), P520, 1000000000000)</f>
        <v/>
      </c>
      <c r="AB520" s="101">
        <f>IF(AND(F520&lt;=DASHBOARD!$B$10, H520&gt;=DASHBOARD!$B$11), Q520, -1000000000000)</f>
        <v/>
      </c>
    </row>
    <row r="521" ht="15" customHeight="1" s="102">
      <c r="A521" s="166" t="n">
        <v>517</v>
      </c>
      <c r="B521" s="167" t="n">
        <v>1.2</v>
      </c>
      <c r="C521" s="167" t="n">
        <v>0.6</v>
      </c>
      <c r="D521" s="110" t="inlineStr">
        <is>
          <t>Yok (%0)</t>
        </is>
      </c>
      <c r="E521" s="110">
        <f>IF((B521+C521)&lt;=1, "Tam Mahsuplaşma (≤%100)", "Kısmi Satış (&gt;%100)")</f>
        <v/>
      </c>
      <c r="F521" s="168">
        <f>((VERI_TABANI!$D$29*B521/VERI_TABANI!$B$29)/VERI_TABANI!$B$3)*VERI_TABANI!$B$5 + ((VERI_TABANI!$D$29*C521/VERI_TABANI!$B$29)/VERI_TABANI!$B$4)*VERI_TABANI!$B$6 + IF(ISNUMBER(SEARCH("Var", D521)), (VERI_TABANI!$F$29/VERI_TABANI!$B$29)*(VERI_TABANI!$B$10+VERI_TABANI!$B$12), 0)</f>
        <v/>
      </c>
      <c r="G521" s="168">
        <f>(((MIN(VERI_TABANI!D23, VERI_TABANI!D23*B521)*VERI_TABANI!$B$7 + MAX(0, VERI_TABANI!D23*B521-VERI_TABANI!D23)*VERI_TABANI!$B$8) + (MIN(MAX(0, VERI_TABANI!D23-VERI_TABANI!D23*B521), VERI_TABANI!D23*C521)*VERI_TABANI!$B$7 + MAX(0, VERI_TABANI!D23*C521-MAX(0, VERI_TABANI!D23-VERI_TABANI!D23*B521))*VERI_TABANI!$B$8) + IF(ABS(IF(ISNUMBER(SEARCH("Var", D521)), 1, IF(ISNUMBER(SEARCH("Gri", D521)), -1, 0)))=1, VERI_TABANI!E23*(1-0.928)*VERI_TABANI!$B$9, 0) + (VERI_TABANI!D23*B521*(VERI_TABANI!$B$13-VERI_TABANI!$B$14)*VERI_TABANI!G23) + (VERI_TABANI!D23*C521*(VERI_TABANI!$B$13-VERI_TABANI!$B$15)*VERI_TABANI!G23) + IF(ABS(IF(ISNUMBER(SEARCH("Var", D521)), 1, IF(ISNUMBER(SEARCH("Gri", D521)), -1, 0)))=1, VERI_TABANI!E23*(1-0.928)*0.00206091519919798*VERI_TABANI!G23, 0)) + ((MIN(VERI_TABANI!D24, VERI_TABANI!D24*B521)*VERI_TABANI!$B$7 + MAX(0, VERI_TABANI!D24*B521-VERI_TABANI!D24)*VERI_TABANI!$B$8) + (MIN(MAX(0, VERI_TABANI!D24-VERI_TABANI!D24*B521), VERI_TABANI!D24*C521)*VERI_TABANI!$B$7 + MAX(0, VERI_TABANI!D24*C521-MAX(0, VERI_TABANI!D24-VERI_TABANI!D24*B521))*VERI_TABANI!$B$8) + IF(ABS(IF(ISNUMBER(SEARCH("Var", D521)), 1, IF(ISNUMBER(SEARCH("Gri", D521)), -1, 0)))=1, VERI_TABANI!E24*(1-0.928)*VERI_TABANI!$B$9, 0) + (VERI_TABANI!D24*B521*(VERI_TABANI!$B$13-VERI_TABANI!$B$14)*VERI_TABANI!G24) + (VERI_TABANI!D24*C521*(VERI_TABANI!$B$13-VERI_TABANI!$B$15)*VERI_TABANI!G24) + IF(ABS(IF(ISNUMBER(SEARCH("Var", D521)), 1, IF(ISNUMBER(SEARCH("Gri", D521)), -1, 0)))=1, VERI_TABANI!E24*(1-0.928)*0.00206091519919798*VERI_TABANI!G24, 0)) + ((MIN(VERI_TABANI!D25, VERI_TABANI!D25*B521)*VERI_TABANI!$B$7 + MAX(0, VERI_TABANI!D25*B521-VERI_TABANI!D25)*VERI_TABANI!$B$8) + (MIN(MAX(0, VERI_TABANI!D25-VERI_TABANI!D25*B521), VERI_TABANI!D25*C521)*VERI_TABANI!$B$7 + MAX(0, VERI_TABANI!D25*C521-MAX(0, VERI_TABANI!D25-VERI_TABANI!D25*B521))*VERI_TABANI!$B$8) + IF(ABS(IF(ISNUMBER(SEARCH("Var", D521)), 1, IF(ISNUMBER(SEARCH("Gri", D521)), -1, 0)))=1, VERI_TABANI!E25*(1-0.928)*VERI_TABANI!$B$9, 0) + (VERI_TABANI!D25*B521*(VERI_TABANI!$B$13-VERI_TABANI!$B$14)*VERI_TABANI!G25) + (VERI_TABANI!D25*C521*(VERI_TABANI!$B$13-VERI_TABANI!$B$15)*VERI_TABANI!G25) + IF(ABS(IF(ISNUMBER(SEARCH("Var", D521)), 1, IF(ISNUMBER(SEARCH("Gri", D521)), -1, 0)))=1, VERI_TABANI!E25*(1-0.928)*0.00206091519919798*VERI_TABANI!G25, 0)) + ((MIN(VERI_TABANI!D26, VERI_TABANI!D26*B521)*VERI_TABANI!$B$7 + MAX(0, VERI_TABANI!D26*B521-VERI_TABANI!D26)*VERI_TABANI!$B$8) + (MIN(MAX(0, VERI_TABANI!D26-VERI_TABANI!D26*B521), VERI_TABANI!D26*C521)*VERI_TABANI!$B$7 + MAX(0, VERI_TABANI!D26*C521-MAX(0, VERI_TABANI!D26-VERI_TABANI!D26*B521))*VERI_TABANI!$B$8) + IF(ABS(IF(ISNUMBER(SEARCH("Var", D521)), 1, IF(ISNUMBER(SEARCH("Gri", D521)), -1, 0)))=1, VERI_TABANI!E26*(1-0.928)*VERI_TABANI!$B$9, 0) + (VERI_TABANI!D26*B521*(VERI_TABANI!$B$13-VERI_TABANI!$B$14)*VERI_TABANI!G26) + (VERI_TABANI!D26*C521*(VERI_TABANI!$B$13-VERI_TABANI!$B$15)*VERI_TABANI!G26) + IF(ABS(IF(ISNUMBER(SEARCH("Var", D521)), 1, IF(ISNUMBER(SEARCH("Gri", D521)), -1, 0)))=1, VERI_TABANI!E26*(1-0.928)*0.00206091519919798*VERI_TABANI!G26, 0)) + ((MIN(VERI_TABANI!D27, VERI_TABANI!D27*B521)*VERI_TABANI!$B$7 + MAX(0, VERI_TABANI!D27*B521-VERI_TABANI!D27)*VERI_TABANI!$B$8) + (MIN(MAX(0, VERI_TABANI!D27-VERI_TABANI!D27*B521), VERI_TABANI!D27*C521)*VERI_TABANI!$B$7 + MAX(0, VERI_TABANI!D27*C521-MAX(0, VERI_TABANI!D27-VERI_TABANI!D27*B521))*VERI_TABANI!$B$8) + IF(ABS(IF(ISNUMBER(SEARCH("Var", D521)), 1, IF(ISNUMBER(SEARCH("Gri", D521)), -1, 0)))=1, VERI_TABANI!E27*(1-0.928)*VERI_TABANI!$B$9, 0) + (VERI_TABANI!D27*B521*(VERI_TABANI!$B$13-VERI_TABANI!$B$14)*VERI_TABANI!G27) + (VERI_TABANI!D27*C521*(VERI_TABANI!$B$13-VERI_TABANI!$B$15)*VERI_TABANI!G27) + IF(ABS(IF(ISNUMBER(SEARCH("Var", D521)), 1, IF(ISNUMBER(SEARCH("Gri", D521)), -1, 0)))=1, VERI_TABANI!E27*(1-0.928)*0.00206091519919798*VERI_TABANI!G27, 0)) + ((MIN(VERI_TABANI!D28, VERI_TABANI!D28*B521)*VERI_TABANI!$B$7 + MAX(0, VERI_TABANI!D28*B521-VERI_TABANI!D28)*VERI_TABANI!$B$8) + (MIN(MAX(0, VERI_TABANI!D28-VERI_TABANI!D28*B521), VERI_TABANI!D28*C521)*VERI_TABANI!$B$7 + MAX(0, VERI_TABANI!D28*C521-MAX(0, VERI_TABANI!D28-VERI_TABANI!D28*B521))*VERI_TABANI!$B$8) + IF(ABS(IF(ISNUMBER(SEARCH("Var", D521)), 1, IF(ISNUMBER(SEARCH("Gri", D521)), -1, 0)))=1, VERI_TABANI!E28*(1-0.928)*VERI_TABANI!$B$9, 0) + (VERI_TABANI!D28*B521*(VERI_TABANI!$B$13-VERI_TABANI!$B$14)*VERI_TABANI!G28) + (VERI_TABANI!D28*C521*(VERI_TABANI!$B$13-VERI_TABANI!$B$15)*VERI_TABANI!G28) + IF(ABS(IF(ISNUMBER(SEARCH("Var", D521)), 1, IF(ISNUMBER(SEARCH("Gri", D521)), -1, 0)))=1, VERI_TABANI!E28*(1-0.928)*0.00206091519919798*VERI_TABANI!G28, 0)))</f>
        <v/>
      </c>
      <c r="H521" s="169">
        <f>(((VERI_TABANI!D23*B521*(VERI_TABANI!$B$13-VERI_TABANI!$B$14)) + (VERI_TABANI!D23*C521*(VERI_TABANI!$B$13-VERI_TABANI!$B$15)) + IF(ISNUMBER(SEARCH("Var", D521)), VERI_TABANI!F23*(0.00202-VERI_TABANI!$B$16), IF(ISNUMBER(SEARCH("Gri", D521)), VERI_TABANI!F23*(0.00202-VERI_TABANI!$B$17), 0))) + ((VERI_TABANI!D24*B521*(VERI_TABANI!$B$13-VERI_TABANI!$B$14)) + (VERI_TABANI!D24*C521*(VERI_TABANI!$B$13-VERI_TABANI!$B$15)) + IF(ISNUMBER(SEARCH("Var", D521)), VERI_TABANI!F24*(0.00202-VERI_TABANI!$B$16), IF(ISNUMBER(SEARCH("Gri", D521)), VERI_TABANI!F24*(0.00202-VERI_TABANI!$B$17), 0))) + ((VERI_TABANI!D25*B521*(VERI_TABANI!$B$13-VERI_TABANI!$B$14)) + (VERI_TABANI!D25*C521*(VERI_TABANI!$B$13-VERI_TABANI!$B$15)) + IF(ISNUMBER(SEARCH("Var", D521)), VERI_TABANI!F25*(0.00202-VERI_TABANI!$B$16), IF(ISNUMBER(SEARCH("Gri", D521)), VERI_TABANI!F25*(0.00202-VERI_TABANI!$B$17), 0))) + ((VERI_TABANI!D26*B521*(VERI_TABANI!$B$13-VERI_TABANI!$B$14)) + (VERI_TABANI!D26*C521*(VERI_TABANI!$B$13-VERI_TABANI!$B$15)) + IF(ISNUMBER(SEARCH("Var", D521)), VERI_TABANI!F26*(0.00202-VERI_TABANI!$B$16), IF(ISNUMBER(SEARCH("Gri", D521)), VERI_TABANI!F26*(0.00202-VERI_TABANI!$B$17), 0))) + ((VERI_TABANI!D27*B521*(VERI_TABANI!$B$13-VERI_TABANI!$B$14)) + (VERI_TABANI!D27*C521*(VERI_TABANI!$B$13-VERI_TABANI!$B$15)) + IF(ISNUMBER(SEARCH("Var", D521)), VERI_TABANI!F27*(0.00202-VERI_TABANI!$B$16), IF(ISNUMBER(SEARCH("Gri", D521)), VERI_TABANI!F27*(0.00202-VERI_TABANI!$B$17), 0))) + ((VERI_TABANI!D28*B521*(VERI_TABANI!$B$13-VERI_TABANI!$B$14)) + (VERI_TABANI!D28*C521*(VERI_TABANI!$B$13-VERI_TABANI!$B$15)) + IF(ISNUMBER(SEARCH("Var", D521)), VERI_TABANI!F28*(0.00202-VERI_TABANI!$B$16), IF(ISNUMBER(SEARCH("Gri", D521)), VERI_TABANI!F28*(0.00202-VERI_TABANI!$B$17), 0))))</f>
        <v/>
      </c>
      <c r="I521" s="170">
        <f>IFERROR(((VERI_TABANI!$D$29*B521*VERI_TABANI!$B$14 + VERI_TABANI!$D$29*C521*VERI_TABANI!$B$15 + IF(ISNUMBER(SEARCH("Var", D521)), VERI_TABANI!$F$29*VERI_TABANI!$B$16, 0))) / (((VERI_TABANI!$D$29*B521 + VERI_TABANI!$D$29*C521)*VERI_TABANI!$B$13 + IF(ISNUMBER(SEARCH("Var", D521)), VERI_TABANI!$E$29*(1-0.928)*VERI_TABANI!$B$18, 0))), 0)</f>
        <v/>
      </c>
      <c r="J521" s="171">
        <f>IFERROR(F521/(G521/29), 0)</f>
        <v/>
      </c>
      <c r="K521" s="172">
        <f>IF(F521&gt;0, H521/F521, 0)</f>
        <v/>
      </c>
      <c r="L521" s="170">
        <f>IF(F521&gt;0, I521, 1000000000)</f>
        <v/>
      </c>
      <c r="M521" s="171">
        <f>ABS((B521+C521)-1)</f>
        <v/>
      </c>
      <c r="N521" s="170">
        <f>IF(F521&gt;0, (G521/29)/F521, 0)</f>
        <v/>
      </c>
      <c r="O521" s="168">
        <f>IF(AND((B521+C521)&gt;=1, ISNUMBER(SEARCH("Var", D521))), F521, 1000000000)</f>
        <v/>
      </c>
      <c r="P521" s="172">
        <f>IF(F521&gt;0, SQRT((F521/MAX(F$5:F$886))^2 + (1 - H521/MAX(H$5:H$886))^2 + (J521/MAX(J$5:J$886))^2), 1000000000)</f>
        <v/>
      </c>
      <c r="Q521" s="166">
        <f>IF(AND(ABS(B521-0.5)&lt;0.01, ABS(C521-0.5)&lt;0.01, ISNUMBER(SEARCH("Var", D521))), 1, 0)</f>
        <v/>
      </c>
      <c r="R521" s="171">
        <f>IF(F521&gt;0, J521, 1000000000)</f>
        <v/>
      </c>
      <c r="S521" s="101">
        <f>IF(AND(F521&lt;=DASHBOARD!$B$11, H521&gt;=DASHBOARD!$B$13), G521, -1000000000000)</f>
        <v/>
      </c>
      <c r="T521" s="101">
        <f>IF(AND(F521&lt;=DASHBOARD!$B$11, H521&gt;=DASHBOARD!$B$13), R521, 1000000000000)</f>
        <v/>
      </c>
      <c r="U521" s="101">
        <f>IF(AND(F521&lt;=DASHBOARD!$B$11, H521&gt;=DASHBOARD!$B$13), N521, -1000000000000)</f>
        <v/>
      </c>
      <c r="V521" s="101">
        <f>IF(AND(F521&lt;=DASHBOARD!$B$11, H521&gt;=DASHBOARD!$B$13), H521, -1000000000000)</f>
        <v/>
      </c>
      <c r="W521" s="101">
        <f>IF(AND(F521&lt;=DASHBOARD!$B$11, H521&gt;=DASHBOARD!$B$13), K521, -1000000000000)</f>
        <v/>
      </c>
      <c r="X521" s="101">
        <f>IF(AND(F521&lt;=DASHBOARD!$B$11, H521&gt;=DASHBOARD!$B$13), M521, 1000000000000)</f>
        <v/>
      </c>
      <c r="Y521" s="101">
        <f>IF(AND(F521&lt;=DASHBOARD!$B$10, H521&gt;=DASHBOARD!$B$11), L521, 1000000000000)</f>
        <v/>
      </c>
      <c r="Z521" s="101">
        <f>IF(AND(F521&lt;=DASHBOARD!$B$10, H521&gt;=DASHBOARD!$B$11), O521, 1000000000000)</f>
        <v/>
      </c>
      <c r="AA521" s="101">
        <f>IF(AND(F521&lt;=DASHBOARD!$B$10, H521&gt;=DASHBOARD!$B$11), P521, 1000000000000)</f>
        <v/>
      </c>
      <c r="AB521" s="101">
        <f>IF(AND(F521&lt;=DASHBOARD!$B$10, H521&gt;=DASHBOARD!$B$11), Q521, -1000000000000)</f>
        <v/>
      </c>
    </row>
    <row r="522" ht="15" customHeight="1" s="102">
      <c r="A522" s="166" t="n">
        <v>518</v>
      </c>
      <c r="B522" s="167" t="n">
        <v>1.2</v>
      </c>
      <c r="C522" s="167" t="n">
        <v>0.6</v>
      </c>
      <c r="D522" s="110" t="inlineStr">
        <is>
          <t>Var (%20)</t>
        </is>
      </c>
      <c r="E522" s="110">
        <f>IF((B522+C522)&lt;=1, "Tam Mahsuplaşma (≤%100)", "Kısmi Satış (&gt;%100)")</f>
        <v/>
      </c>
      <c r="F522" s="168">
        <f>((VERI_TABANI!$D$29*B522/VERI_TABANI!$B$29)/VERI_TABANI!$B$3)*VERI_TABANI!$B$5 + ((VERI_TABANI!$D$29*C522/VERI_TABANI!$B$29)/VERI_TABANI!$B$4)*VERI_TABANI!$B$6 + IF(ISNUMBER(SEARCH("Var", D522)), (VERI_TABANI!$F$29/VERI_TABANI!$B$29)*(VERI_TABANI!$B$10+VERI_TABANI!$B$12), 0)</f>
        <v/>
      </c>
      <c r="G522" s="168">
        <f>(((MIN(VERI_TABANI!D23, VERI_TABANI!D23*B522)*VERI_TABANI!$B$7 + MAX(0, VERI_TABANI!D23*B522-VERI_TABANI!D23)*VERI_TABANI!$B$8) + (MIN(MAX(0, VERI_TABANI!D23-VERI_TABANI!D23*B522), VERI_TABANI!D23*C522)*VERI_TABANI!$B$7 + MAX(0, VERI_TABANI!D23*C522-MAX(0, VERI_TABANI!D23-VERI_TABANI!D23*B522))*VERI_TABANI!$B$8) + IF(ABS(IF(ISNUMBER(SEARCH("Var", D522)), 1, IF(ISNUMBER(SEARCH("Gri", D522)), -1, 0)))=1, VERI_TABANI!E23*(1-0.928)*VERI_TABANI!$B$9, 0) + (VERI_TABANI!D23*B522*(VERI_TABANI!$B$13-VERI_TABANI!$B$14)*VERI_TABANI!G23) + (VERI_TABANI!D23*C522*(VERI_TABANI!$B$13-VERI_TABANI!$B$15)*VERI_TABANI!G23) + IF(ABS(IF(ISNUMBER(SEARCH("Var", D522)), 1, IF(ISNUMBER(SEARCH("Gri", D522)), -1, 0)))=1, VERI_TABANI!E23*(1-0.928)*0.00206091519919798*VERI_TABANI!G23, 0)) + ((MIN(VERI_TABANI!D24, VERI_TABANI!D24*B522)*VERI_TABANI!$B$7 + MAX(0, VERI_TABANI!D24*B522-VERI_TABANI!D24)*VERI_TABANI!$B$8) + (MIN(MAX(0, VERI_TABANI!D24-VERI_TABANI!D24*B522), VERI_TABANI!D24*C522)*VERI_TABANI!$B$7 + MAX(0, VERI_TABANI!D24*C522-MAX(0, VERI_TABANI!D24-VERI_TABANI!D24*B522))*VERI_TABANI!$B$8) + IF(ABS(IF(ISNUMBER(SEARCH("Var", D522)), 1, IF(ISNUMBER(SEARCH("Gri", D522)), -1, 0)))=1, VERI_TABANI!E24*(1-0.928)*VERI_TABANI!$B$9, 0) + (VERI_TABANI!D24*B522*(VERI_TABANI!$B$13-VERI_TABANI!$B$14)*VERI_TABANI!G24) + (VERI_TABANI!D24*C522*(VERI_TABANI!$B$13-VERI_TABANI!$B$15)*VERI_TABANI!G24) + IF(ABS(IF(ISNUMBER(SEARCH("Var", D522)), 1, IF(ISNUMBER(SEARCH("Gri", D522)), -1, 0)))=1, VERI_TABANI!E24*(1-0.928)*0.00206091519919798*VERI_TABANI!G24, 0)) + ((MIN(VERI_TABANI!D25, VERI_TABANI!D25*B522)*VERI_TABANI!$B$7 + MAX(0, VERI_TABANI!D25*B522-VERI_TABANI!D25)*VERI_TABANI!$B$8) + (MIN(MAX(0, VERI_TABANI!D25-VERI_TABANI!D25*B522), VERI_TABANI!D25*C522)*VERI_TABANI!$B$7 + MAX(0, VERI_TABANI!D25*C522-MAX(0, VERI_TABANI!D25-VERI_TABANI!D25*B522))*VERI_TABANI!$B$8) + IF(ABS(IF(ISNUMBER(SEARCH("Var", D522)), 1, IF(ISNUMBER(SEARCH("Gri", D522)), -1, 0)))=1, VERI_TABANI!E25*(1-0.928)*VERI_TABANI!$B$9, 0) + (VERI_TABANI!D25*B522*(VERI_TABANI!$B$13-VERI_TABANI!$B$14)*VERI_TABANI!G25) + (VERI_TABANI!D25*C522*(VERI_TABANI!$B$13-VERI_TABANI!$B$15)*VERI_TABANI!G25) + IF(ABS(IF(ISNUMBER(SEARCH("Var", D522)), 1, IF(ISNUMBER(SEARCH("Gri", D522)), -1, 0)))=1, VERI_TABANI!E25*(1-0.928)*0.00206091519919798*VERI_TABANI!G25, 0)) + ((MIN(VERI_TABANI!D26, VERI_TABANI!D26*B522)*VERI_TABANI!$B$7 + MAX(0, VERI_TABANI!D26*B522-VERI_TABANI!D26)*VERI_TABANI!$B$8) + (MIN(MAX(0, VERI_TABANI!D26-VERI_TABANI!D26*B522), VERI_TABANI!D26*C522)*VERI_TABANI!$B$7 + MAX(0, VERI_TABANI!D26*C522-MAX(0, VERI_TABANI!D26-VERI_TABANI!D26*B522))*VERI_TABANI!$B$8) + IF(ABS(IF(ISNUMBER(SEARCH("Var", D522)), 1, IF(ISNUMBER(SEARCH("Gri", D522)), -1, 0)))=1, VERI_TABANI!E26*(1-0.928)*VERI_TABANI!$B$9, 0) + (VERI_TABANI!D26*B522*(VERI_TABANI!$B$13-VERI_TABANI!$B$14)*VERI_TABANI!G26) + (VERI_TABANI!D26*C522*(VERI_TABANI!$B$13-VERI_TABANI!$B$15)*VERI_TABANI!G26) + IF(ABS(IF(ISNUMBER(SEARCH("Var", D522)), 1, IF(ISNUMBER(SEARCH("Gri", D522)), -1, 0)))=1, VERI_TABANI!E26*(1-0.928)*0.00206091519919798*VERI_TABANI!G26, 0)) + ((MIN(VERI_TABANI!D27, VERI_TABANI!D27*B522)*VERI_TABANI!$B$7 + MAX(0, VERI_TABANI!D27*B522-VERI_TABANI!D27)*VERI_TABANI!$B$8) + (MIN(MAX(0, VERI_TABANI!D27-VERI_TABANI!D27*B522), VERI_TABANI!D27*C522)*VERI_TABANI!$B$7 + MAX(0, VERI_TABANI!D27*C522-MAX(0, VERI_TABANI!D27-VERI_TABANI!D27*B522))*VERI_TABANI!$B$8) + IF(ABS(IF(ISNUMBER(SEARCH("Var", D522)), 1, IF(ISNUMBER(SEARCH("Gri", D522)), -1, 0)))=1, VERI_TABANI!E27*(1-0.928)*VERI_TABANI!$B$9, 0) + (VERI_TABANI!D27*B522*(VERI_TABANI!$B$13-VERI_TABANI!$B$14)*VERI_TABANI!G27) + (VERI_TABANI!D27*C522*(VERI_TABANI!$B$13-VERI_TABANI!$B$15)*VERI_TABANI!G27) + IF(ABS(IF(ISNUMBER(SEARCH("Var", D522)), 1, IF(ISNUMBER(SEARCH("Gri", D522)), -1, 0)))=1, VERI_TABANI!E27*(1-0.928)*0.00206091519919798*VERI_TABANI!G27, 0)) + ((MIN(VERI_TABANI!D28, VERI_TABANI!D28*B522)*VERI_TABANI!$B$7 + MAX(0, VERI_TABANI!D28*B522-VERI_TABANI!D28)*VERI_TABANI!$B$8) + (MIN(MAX(0, VERI_TABANI!D28-VERI_TABANI!D28*B522), VERI_TABANI!D28*C522)*VERI_TABANI!$B$7 + MAX(0, VERI_TABANI!D28*C522-MAX(0, VERI_TABANI!D28-VERI_TABANI!D28*B522))*VERI_TABANI!$B$8) + IF(ABS(IF(ISNUMBER(SEARCH("Var", D522)), 1, IF(ISNUMBER(SEARCH("Gri", D522)), -1, 0)))=1, VERI_TABANI!E28*(1-0.928)*VERI_TABANI!$B$9, 0) + (VERI_TABANI!D28*B522*(VERI_TABANI!$B$13-VERI_TABANI!$B$14)*VERI_TABANI!G28) + (VERI_TABANI!D28*C522*(VERI_TABANI!$B$13-VERI_TABANI!$B$15)*VERI_TABANI!G28) + IF(ABS(IF(ISNUMBER(SEARCH("Var", D522)), 1, IF(ISNUMBER(SEARCH("Gri", D522)), -1, 0)))=1, VERI_TABANI!E28*(1-0.928)*0.00206091519919798*VERI_TABANI!G28, 0)))</f>
        <v/>
      </c>
      <c r="H522" s="169">
        <f>(((VERI_TABANI!D23*B522*(VERI_TABANI!$B$13-VERI_TABANI!$B$14)) + (VERI_TABANI!D23*C522*(VERI_TABANI!$B$13-VERI_TABANI!$B$15)) + IF(ISNUMBER(SEARCH("Var", D522)), VERI_TABANI!F23*(0.00202-VERI_TABANI!$B$16), IF(ISNUMBER(SEARCH("Gri", D522)), VERI_TABANI!F23*(0.00202-VERI_TABANI!$B$17), 0))) + ((VERI_TABANI!D24*B522*(VERI_TABANI!$B$13-VERI_TABANI!$B$14)) + (VERI_TABANI!D24*C522*(VERI_TABANI!$B$13-VERI_TABANI!$B$15)) + IF(ISNUMBER(SEARCH("Var", D522)), VERI_TABANI!F24*(0.00202-VERI_TABANI!$B$16), IF(ISNUMBER(SEARCH("Gri", D522)), VERI_TABANI!F24*(0.00202-VERI_TABANI!$B$17), 0))) + ((VERI_TABANI!D25*B522*(VERI_TABANI!$B$13-VERI_TABANI!$B$14)) + (VERI_TABANI!D25*C522*(VERI_TABANI!$B$13-VERI_TABANI!$B$15)) + IF(ISNUMBER(SEARCH("Var", D522)), VERI_TABANI!F25*(0.00202-VERI_TABANI!$B$16), IF(ISNUMBER(SEARCH("Gri", D522)), VERI_TABANI!F25*(0.00202-VERI_TABANI!$B$17), 0))) + ((VERI_TABANI!D26*B522*(VERI_TABANI!$B$13-VERI_TABANI!$B$14)) + (VERI_TABANI!D26*C522*(VERI_TABANI!$B$13-VERI_TABANI!$B$15)) + IF(ISNUMBER(SEARCH("Var", D522)), VERI_TABANI!F26*(0.00202-VERI_TABANI!$B$16), IF(ISNUMBER(SEARCH("Gri", D522)), VERI_TABANI!F26*(0.00202-VERI_TABANI!$B$17), 0))) + ((VERI_TABANI!D27*B522*(VERI_TABANI!$B$13-VERI_TABANI!$B$14)) + (VERI_TABANI!D27*C522*(VERI_TABANI!$B$13-VERI_TABANI!$B$15)) + IF(ISNUMBER(SEARCH("Var", D522)), VERI_TABANI!F27*(0.00202-VERI_TABANI!$B$16), IF(ISNUMBER(SEARCH("Gri", D522)), VERI_TABANI!F27*(0.00202-VERI_TABANI!$B$17), 0))) + ((VERI_TABANI!D28*B522*(VERI_TABANI!$B$13-VERI_TABANI!$B$14)) + (VERI_TABANI!D28*C522*(VERI_TABANI!$B$13-VERI_TABANI!$B$15)) + IF(ISNUMBER(SEARCH("Var", D522)), VERI_TABANI!F28*(0.00202-VERI_TABANI!$B$16), IF(ISNUMBER(SEARCH("Gri", D522)), VERI_TABANI!F28*(0.00202-VERI_TABANI!$B$17), 0))))</f>
        <v/>
      </c>
      <c r="I522" s="170">
        <f>IFERROR(((VERI_TABANI!$D$29*B522*VERI_TABANI!$B$14 + VERI_TABANI!$D$29*C522*VERI_TABANI!$B$15 + IF(ISNUMBER(SEARCH("Var", D522)), VERI_TABANI!$F$29*VERI_TABANI!$B$16, 0))) / (((VERI_TABANI!$D$29*B522 + VERI_TABANI!$D$29*C522)*VERI_TABANI!$B$13 + IF(ISNUMBER(SEARCH("Var", D522)), VERI_TABANI!$E$29*(1-0.928)*VERI_TABANI!$B$18, 0))), 0)</f>
        <v/>
      </c>
      <c r="J522" s="171">
        <f>IFERROR(F522/(G522/29), 0)</f>
        <v/>
      </c>
      <c r="K522" s="172">
        <f>IF(F522&gt;0, H522/F522, 0)</f>
        <v/>
      </c>
      <c r="L522" s="170">
        <f>IF(F522&gt;0, I522, 1000000000)</f>
        <v/>
      </c>
      <c r="M522" s="171">
        <f>ABS((B522+C522)-1)</f>
        <v/>
      </c>
      <c r="N522" s="170">
        <f>IF(F522&gt;0, (G522/29)/F522, 0)</f>
        <v/>
      </c>
      <c r="O522" s="168">
        <f>IF(AND((B522+C522)&gt;=1, ISNUMBER(SEARCH("Var", D522))), F522, 1000000000)</f>
        <v/>
      </c>
      <c r="P522" s="172">
        <f>IF(F522&gt;0, SQRT((F522/MAX(F$5:F$886))^2 + (1 - H522/MAX(H$5:H$886))^2 + (J522/MAX(J$5:J$886))^2), 1000000000)</f>
        <v/>
      </c>
      <c r="Q522" s="166">
        <f>IF(AND(ABS(B522-0.5)&lt;0.01, ABS(C522-0.5)&lt;0.01, ISNUMBER(SEARCH("Var", D522))), 1, 0)</f>
        <v/>
      </c>
      <c r="R522" s="171">
        <f>IF(F522&gt;0, J522, 1000000000)</f>
        <v/>
      </c>
      <c r="S522" s="101">
        <f>IF(AND(F522&lt;=DASHBOARD!$B$11, H522&gt;=DASHBOARD!$B$13), G522, -1000000000000)</f>
        <v/>
      </c>
      <c r="T522" s="101">
        <f>IF(AND(F522&lt;=DASHBOARD!$B$11, H522&gt;=DASHBOARD!$B$13), R522, 1000000000000)</f>
        <v/>
      </c>
      <c r="U522" s="101">
        <f>IF(AND(F522&lt;=DASHBOARD!$B$11, H522&gt;=DASHBOARD!$B$13), N522, -1000000000000)</f>
        <v/>
      </c>
      <c r="V522" s="101">
        <f>IF(AND(F522&lt;=DASHBOARD!$B$11, H522&gt;=DASHBOARD!$B$13), H522, -1000000000000)</f>
        <v/>
      </c>
      <c r="W522" s="101">
        <f>IF(AND(F522&lt;=DASHBOARD!$B$11, H522&gt;=DASHBOARD!$B$13), K522, -1000000000000)</f>
        <v/>
      </c>
      <c r="X522" s="101">
        <f>IF(AND(F522&lt;=DASHBOARD!$B$11, H522&gt;=DASHBOARD!$B$13), M522, 1000000000000)</f>
        <v/>
      </c>
      <c r="Y522" s="101">
        <f>IF(AND(F522&lt;=DASHBOARD!$B$10, H522&gt;=DASHBOARD!$B$11), L522, 1000000000000)</f>
        <v/>
      </c>
      <c r="Z522" s="101">
        <f>IF(AND(F522&lt;=DASHBOARD!$B$10, H522&gt;=DASHBOARD!$B$11), O522, 1000000000000)</f>
        <v/>
      </c>
      <c r="AA522" s="101">
        <f>IF(AND(F522&lt;=DASHBOARD!$B$10, H522&gt;=DASHBOARD!$B$11), P522, 1000000000000)</f>
        <v/>
      </c>
      <c r="AB522" s="101">
        <f>IF(AND(F522&lt;=DASHBOARD!$B$10, H522&gt;=DASHBOARD!$B$11), Q522, -1000000000000)</f>
        <v/>
      </c>
    </row>
    <row r="523" ht="15" customHeight="1" s="102">
      <c r="A523" s="166" t="n">
        <v>519</v>
      </c>
      <c r="B523" s="167" t="n">
        <v>1.2</v>
      </c>
      <c r="C523" s="167" t="n">
        <v>0.7</v>
      </c>
      <c r="D523" s="110" t="inlineStr">
        <is>
          <t>Yok (%0)</t>
        </is>
      </c>
      <c r="E523" s="110">
        <f>IF((B523+C523)&lt;=1, "Tam Mahsuplaşma (≤%100)", "Kısmi Satış (&gt;%100)")</f>
        <v/>
      </c>
      <c r="F523" s="168">
        <f>((VERI_TABANI!$D$29*B523/VERI_TABANI!$B$29)/VERI_TABANI!$B$3)*VERI_TABANI!$B$5 + ((VERI_TABANI!$D$29*C523/VERI_TABANI!$B$29)/VERI_TABANI!$B$4)*VERI_TABANI!$B$6 + IF(ISNUMBER(SEARCH("Var", D523)), (VERI_TABANI!$F$29/VERI_TABANI!$B$29)*(VERI_TABANI!$B$10+VERI_TABANI!$B$12), 0)</f>
        <v/>
      </c>
      <c r="G523" s="168">
        <f>(((MIN(VERI_TABANI!D23, VERI_TABANI!D23*B523)*VERI_TABANI!$B$7 + MAX(0, VERI_TABANI!D23*B523-VERI_TABANI!D23)*VERI_TABANI!$B$8) + (MIN(MAX(0, VERI_TABANI!D23-VERI_TABANI!D23*B523), VERI_TABANI!D23*C523)*VERI_TABANI!$B$7 + MAX(0, VERI_TABANI!D23*C523-MAX(0, VERI_TABANI!D23-VERI_TABANI!D23*B523))*VERI_TABANI!$B$8) + IF(ABS(IF(ISNUMBER(SEARCH("Var", D523)), 1, IF(ISNUMBER(SEARCH("Gri", D523)), -1, 0)))=1, VERI_TABANI!E23*(1-0.928)*VERI_TABANI!$B$9, 0) + (VERI_TABANI!D23*B523*(VERI_TABANI!$B$13-VERI_TABANI!$B$14)*VERI_TABANI!G23) + (VERI_TABANI!D23*C523*(VERI_TABANI!$B$13-VERI_TABANI!$B$15)*VERI_TABANI!G23) + IF(ABS(IF(ISNUMBER(SEARCH("Var", D523)), 1, IF(ISNUMBER(SEARCH("Gri", D523)), -1, 0)))=1, VERI_TABANI!E23*(1-0.928)*0.00206091519919798*VERI_TABANI!G23, 0)) + ((MIN(VERI_TABANI!D24, VERI_TABANI!D24*B523)*VERI_TABANI!$B$7 + MAX(0, VERI_TABANI!D24*B523-VERI_TABANI!D24)*VERI_TABANI!$B$8) + (MIN(MAX(0, VERI_TABANI!D24-VERI_TABANI!D24*B523), VERI_TABANI!D24*C523)*VERI_TABANI!$B$7 + MAX(0, VERI_TABANI!D24*C523-MAX(0, VERI_TABANI!D24-VERI_TABANI!D24*B523))*VERI_TABANI!$B$8) + IF(ABS(IF(ISNUMBER(SEARCH("Var", D523)), 1, IF(ISNUMBER(SEARCH("Gri", D523)), -1, 0)))=1, VERI_TABANI!E24*(1-0.928)*VERI_TABANI!$B$9, 0) + (VERI_TABANI!D24*B523*(VERI_TABANI!$B$13-VERI_TABANI!$B$14)*VERI_TABANI!G24) + (VERI_TABANI!D24*C523*(VERI_TABANI!$B$13-VERI_TABANI!$B$15)*VERI_TABANI!G24) + IF(ABS(IF(ISNUMBER(SEARCH("Var", D523)), 1, IF(ISNUMBER(SEARCH("Gri", D523)), -1, 0)))=1, VERI_TABANI!E24*(1-0.928)*0.00206091519919798*VERI_TABANI!G24, 0)) + ((MIN(VERI_TABANI!D25, VERI_TABANI!D25*B523)*VERI_TABANI!$B$7 + MAX(0, VERI_TABANI!D25*B523-VERI_TABANI!D25)*VERI_TABANI!$B$8) + (MIN(MAX(0, VERI_TABANI!D25-VERI_TABANI!D25*B523), VERI_TABANI!D25*C523)*VERI_TABANI!$B$7 + MAX(0, VERI_TABANI!D25*C523-MAX(0, VERI_TABANI!D25-VERI_TABANI!D25*B523))*VERI_TABANI!$B$8) + IF(ABS(IF(ISNUMBER(SEARCH("Var", D523)), 1, IF(ISNUMBER(SEARCH("Gri", D523)), -1, 0)))=1, VERI_TABANI!E25*(1-0.928)*VERI_TABANI!$B$9, 0) + (VERI_TABANI!D25*B523*(VERI_TABANI!$B$13-VERI_TABANI!$B$14)*VERI_TABANI!G25) + (VERI_TABANI!D25*C523*(VERI_TABANI!$B$13-VERI_TABANI!$B$15)*VERI_TABANI!G25) + IF(ABS(IF(ISNUMBER(SEARCH("Var", D523)), 1, IF(ISNUMBER(SEARCH("Gri", D523)), -1, 0)))=1, VERI_TABANI!E25*(1-0.928)*0.00206091519919798*VERI_TABANI!G25, 0)) + ((MIN(VERI_TABANI!D26, VERI_TABANI!D26*B523)*VERI_TABANI!$B$7 + MAX(0, VERI_TABANI!D26*B523-VERI_TABANI!D26)*VERI_TABANI!$B$8) + (MIN(MAX(0, VERI_TABANI!D26-VERI_TABANI!D26*B523), VERI_TABANI!D26*C523)*VERI_TABANI!$B$7 + MAX(0, VERI_TABANI!D26*C523-MAX(0, VERI_TABANI!D26-VERI_TABANI!D26*B523))*VERI_TABANI!$B$8) + IF(ABS(IF(ISNUMBER(SEARCH("Var", D523)), 1, IF(ISNUMBER(SEARCH("Gri", D523)), -1, 0)))=1, VERI_TABANI!E26*(1-0.928)*VERI_TABANI!$B$9, 0) + (VERI_TABANI!D26*B523*(VERI_TABANI!$B$13-VERI_TABANI!$B$14)*VERI_TABANI!G26) + (VERI_TABANI!D26*C523*(VERI_TABANI!$B$13-VERI_TABANI!$B$15)*VERI_TABANI!G26) + IF(ABS(IF(ISNUMBER(SEARCH("Var", D523)), 1, IF(ISNUMBER(SEARCH("Gri", D523)), -1, 0)))=1, VERI_TABANI!E26*(1-0.928)*0.00206091519919798*VERI_TABANI!G26, 0)) + ((MIN(VERI_TABANI!D27, VERI_TABANI!D27*B523)*VERI_TABANI!$B$7 + MAX(0, VERI_TABANI!D27*B523-VERI_TABANI!D27)*VERI_TABANI!$B$8) + (MIN(MAX(0, VERI_TABANI!D27-VERI_TABANI!D27*B523), VERI_TABANI!D27*C523)*VERI_TABANI!$B$7 + MAX(0, VERI_TABANI!D27*C523-MAX(0, VERI_TABANI!D27-VERI_TABANI!D27*B523))*VERI_TABANI!$B$8) + IF(ABS(IF(ISNUMBER(SEARCH("Var", D523)), 1, IF(ISNUMBER(SEARCH("Gri", D523)), -1, 0)))=1, VERI_TABANI!E27*(1-0.928)*VERI_TABANI!$B$9, 0) + (VERI_TABANI!D27*B523*(VERI_TABANI!$B$13-VERI_TABANI!$B$14)*VERI_TABANI!G27) + (VERI_TABANI!D27*C523*(VERI_TABANI!$B$13-VERI_TABANI!$B$15)*VERI_TABANI!G27) + IF(ABS(IF(ISNUMBER(SEARCH("Var", D523)), 1, IF(ISNUMBER(SEARCH("Gri", D523)), -1, 0)))=1, VERI_TABANI!E27*(1-0.928)*0.00206091519919798*VERI_TABANI!G27, 0)) + ((MIN(VERI_TABANI!D28, VERI_TABANI!D28*B523)*VERI_TABANI!$B$7 + MAX(0, VERI_TABANI!D28*B523-VERI_TABANI!D28)*VERI_TABANI!$B$8) + (MIN(MAX(0, VERI_TABANI!D28-VERI_TABANI!D28*B523), VERI_TABANI!D28*C523)*VERI_TABANI!$B$7 + MAX(0, VERI_TABANI!D28*C523-MAX(0, VERI_TABANI!D28-VERI_TABANI!D28*B523))*VERI_TABANI!$B$8) + IF(ABS(IF(ISNUMBER(SEARCH("Var", D523)), 1, IF(ISNUMBER(SEARCH("Gri", D523)), -1, 0)))=1, VERI_TABANI!E28*(1-0.928)*VERI_TABANI!$B$9, 0) + (VERI_TABANI!D28*B523*(VERI_TABANI!$B$13-VERI_TABANI!$B$14)*VERI_TABANI!G28) + (VERI_TABANI!D28*C523*(VERI_TABANI!$B$13-VERI_TABANI!$B$15)*VERI_TABANI!G28) + IF(ABS(IF(ISNUMBER(SEARCH("Var", D523)), 1, IF(ISNUMBER(SEARCH("Gri", D523)), -1, 0)))=1, VERI_TABANI!E28*(1-0.928)*0.00206091519919798*VERI_TABANI!G28, 0)))</f>
        <v/>
      </c>
      <c r="H523" s="169">
        <f>(((VERI_TABANI!D23*B523*(VERI_TABANI!$B$13-VERI_TABANI!$B$14)) + (VERI_TABANI!D23*C523*(VERI_TABANI!$B$13-VERI_TABANI!$B$15)) + IF(ISNUMBER(SEARCH("Var", D523)), VERI_TABANI!F23*(0.00202-VERI_TABANI!$B$16), IF(ISNUMBER(SEARCH("Gri", D523)), VERI_TABANI!F23*(0.00202-VERI_TABANI!$B$17), 0))) + ((VERI_TABANI!D24*B523*(VERI_TABANI!$B$13-VERI_TABANI!$B$14)) + (VERI_TABANI!D24*C523*(VERI_TABANI!$B$13-VERI_TABANI!$B$15)) + IF(ISNUMBER(SEARCH("Var", D523)), VERI_TABANI!F24*(0.00202-VERI_TABANI!$B$16), IF(ISNUMBER(SEARCH("Gri", D523)), VERI_TABANI!F24*(0.00202-VERI_TABANI!$B$17), 0))) + ((VERI_TABANI!D25*B523*(VERI_TABANI!$B$13-VERI_TABANI!$B$14)) + (VERI_TABANI!D25*C523*(VERI_TABANI!$B$13-VERI_TABANI!$B$15)) + IF(ISNUMBER(SEARCH("Var", D523)), VERI_TABANI!F25*(0.00202-VERI_TABANI!$B$16), IF(ISNUMBER(SEARCH("Gri", D523)), VERI_TABANI!F25*(0.00202-VERI_TABANI!$B$17), 0))) + ((VERI_TABANI!D26*B523*(VERI_TABANI!$B$13-VERI_TABANI!$B$14)) + (VERI_TABANI!D26*C523*(VERI_TABANI!$B$13-VERI_TABANI!$B$15)) + IF(ISNUMBER(SEARCH("Var", D523)), VERI_TABANI!F26*(0.00202-VERI_TABANI!$B$16), IF(ISNUMBER(SEARCH("Gri", D523)), VERI_TABANI!F26*(0.00202-VERI_TABANI!$B$17), 0))) + ((VERI_TABANI!D27*B523*(VERI_TABANI!$B$13-VERI_TABANI!$B$14)) + (VERI_TABANI!D27*C523*(VERI_TABANI!$B$13-VERI_TABANI!$B$15)) + IF(ISNUMBER(SEARCH("Var", D523)), VERI_TABANI!F27*(0.00202-VERI_TABANI!$B$16), IF(ISNUMBER(SEARCH("Gri", D523)), VERI_TABANI!F27*(0.00202-VERI_TABANI!$B$17), 0))) + ((VERI_TABANI!D28*B523*(VERI_TABANI!$B$13-VERI_TABANI!$B$14)) + (VERI_TABANI!D28*C523*(VERI_TABANI!$B$13-VERI_TABANI!$B$15)) + IF(ISNUMBER(SEARCH("Var", D523)), VERI_TABANI!F28*(0.00202-VERI_TABANI!$B$16), IF(ISNUMBER(SEARCH("Gri", D523)), VERI_TABANI!F28*(0.00202-VERI_TABANI!$B$17), 0))))</f>
        <v/>
      </c>
      <c r="I523" s="170">
        <f>IFERROR(((VERI_TABANI!$D$29*B523*VERI_TABANI!$B$14 + VERI_TABANI!$D$29*C523*VERI_TABANI!$B$15 + IF(ISNUMBER(SEARCH("Var", D523)), VERI_TABANI!$F$29*VERI_TABANI!$B$16, 0))) / (((VERI_TABANI!$D$29*B523 + VERI_TABANI!$D$29*C523)*VERI_TABANI!$B$13 + IF(ISNUMBER(SEARCH("Var", D523)), VERI_TABANI!$E$29*(1-0.928)*VERI_TABANI!$B$18, 0))), 0)</f>
        <v/>
      </c>
      <c r="J523" s="171">
        <f>IFERROR(F523/(G523/29), 0)</f>
        <v/>
      </c>
      <c r="K523" s="172">
        <f>IF(F523&gt;0, H523/F523, 0)</f>
        <v/>
      </c>
      <c r="L523" s="170">
        <f>IF(F523&gt;0, I523, 1000000000)</f>
        <v/>
      </c>
      <c r="M523" s="171">
        <f>ABS((B523+C523)-1)</f>
        <v/>
      </c>
      <c r="N523" s="170">
        <f>IF(F523&gt;0, (G523/29)/F523, 0)</f>
        <v/>
      </c>
      <c r="O523" s="168">
        <f>IF(AND((B523+C523)&gt;=1, ISNUMBER(SEARCH("Var", D523))), F523, 1000000000)</f>
        <v/>
      </c>
      <c r="P523" s="172">
        <f>IF(F523&gt;0, SQRT((F523/MAX(F$5:F$886))^2 + (1 - H523/MAX(H$5:H$886))^2 + (J523/MAX(J$5:J$886))^2), 1000000000)</f>
        <v/>
      </c>
      <c r="Q523" s="166">
        <f>IF(AND(ABS(B523-0.5)&lt;0.01, ABS(C523-0.5)&lt;0.01, ISNUMBER(SEARCH("Var", D523))), 1, 0)</f>
        <v/>
      </c>
      <c r="R523" s="171">
        <f>IF(F523&gt;0, J523, 1000000000)</f>
        <v/>
      </c>
      <c r="S523" s="101">
        <f>IF(AND(F523&lt;=DASHBOARD!$B$11, H523&gt;=DASHBOARD!$B$13), G523, -1000000000000)</f>
        <v/>
      </c>
      <c r="T523" s="101">
        <f>IF(AND(F523&lt;=DASHBOARD!$B$11, H523&gt;=DASHBOARD!$B$13), R523, 1000000000000)</f>
        <v/>
      </c>
      <c r="U523" s="101">
        <f>IF(AND(F523&lt;=DASHBOARD!$B$11, H523&gt;=DASHBOARD!$B$13), N523, -1000000000000)</f>
        <v/>
      </c>
      <c r="V523" s="101">
        <f>IF(AND(F523&lt;=DASHBOARD!$B$11, H523&gt;=DASHBOARD!$B$13), H523, -1000000000000)</f>
        <v/>
      </c>
      <c r="W523" s="101">
        <f>IF(AND(F523&lt;=DASHBOARD!$B$11, H523&gt;=DASHBOARD!$B$13), K523, -1000000000000)</f>
        <v/>
      </c>
      <c r="X523" s="101">
        <f>IF(AND(F523&lt;=DASHBOARD!$B$11, H523&gt;=DASHBOARD!$B$13), M523, 1000000000000)</f>
        <v/>
      </c>
      <c r="Y523" s="101">
        <f>IF(AND(F523&lt;=DASHBOARD!$B$10, H523&gt;=DASHBOARD!$B$11), L523, 1000000000000)</f>
        <v/>
      </c>
      <c r="Z523" s="101">
        <f>IF(AND(F523&lt;=DASHBOARD!$B$10, H523&gt;=DASHBOARD!$B$11), O523, 1000000000000)</f>
        <v/>
      </c>
      <c r="AA523" s="101">
        <f>IF(AND(F523&lt;=DASHBOARD!$B$10, H523&gt;=DASHBOARD!$B$11), P523, 1000000000000)</f>
        <v/>
      </c>
      <c r="AB523" s="101">
        <f>IF(AND(F523&lt;=DASHBOARD!$B$10, H523&gt;=DASHBOARD!$B$11), Q523, -1000000000000)</f>
        <v/>
      </c>
    </row>
    <row r="524" ht="15" customHeight="1" s="102">
      <c r="A524" s="166" t="n">
        <v>520</v>
      </c>
      <c r="B524" s="167" t="n">
        <v>1.2</v>
      </c>
      <c r="C524" s="167" t="n">
        <v>0.7</v>
      </c>
      <c r="D524" s="110" t="inlineStr">
        <is>
          <t>Var (%20)</t>
        </is>
      </c>
      <c r="E524" s="110">
        <f>IF((B524+C524)&lt;=1, "Tam Mahsuplaşma (≤%100)", "Kısmi Satış (&gt;%100)")</f>
        <v/>
      </c>
      <c r="F524" s="168">
        <f>((VERI_TABANI!$D$29*B524/VERI_TABANI!$B$29)/VERI_TABANI!$B$3)*VERI_TABANI!$B$5 + ((VERI_TABANI!$D$29*C524/VERI_TABANI!$B$29)/VERI_TABANI!$B$4)*VERI_TABANI!$B$6 + IF(ISNUMBER(SEARCH("Var", D524)), (VERI_TABANI!$F$29/VERI_TABANI!$B$29)*(VERI_TABANI!$B$10+VERI_TABANI!$B$12), 0)</f>
        <v/>
      </c>
      <c r="G524" s="168">
        <f>(((MIN(VERI_TABANI!D23, VERI_TABANI!D23*B524)*VERI_TABANI!$B$7 + MAX(0, VERI_TABANI!D23*B524-VERI_TABANI!D23)*VERI_TABANI!$B$8) + (MIN(MAX(0, VERI_TABANI!D23-VERI_TABANI!D23*B524), VERI_TABANI!D23*C524)*VERI_TABANI!$B$7 + MAX(0, VERI_TABANI!D23*C524-MAX(0, VERI_TABANI!D23-VERI_TABANI!D23*B524))*VERI_TABANI!$B$8) + IF(ABS(IF(ISNUMBER(SEARCH("Var", D524)), 1, IF(ISNUMBER(SEARCH("Gri", D524)), -1, 0)))=1, VERI_TABANI!E23*(1-0.928)*VERI_TABANI!$B$9, 0) + (VERI_TABANI!D23*B524*(VERI_TABANI!$B$13-VERI_TABANI!$B$14)*VERI_TABANI!G23) + (VERI_TABANI!D23*C524*(VERI_TABANI!$B$13-VERI_TABANI!$B$15)*VERI_TABANI!G23) + IF(ABS(IF(ISNUMBER(SEARCH("Var", D524)), 1, IF(ISNUMBER(SEARCH("Gri", D524)), -1, 0)))=1, VERI_TABANI!E23*(1-0.928)*0.00206091519919798*VERI_TABANI!G23, 0)) + ((MIN(VERI_TABANI!D24, VERI_TABANI!D24*B524)*VERI_TABANI!$B$7 + MAX(0, VERI_TABANI!D24*B524-VERI_TABANI!D24)*VERI_TABANI!$B$8) + (MIN(MAX(0, VERI_TABANI!D24-VERI_TABANI!D24*B524), VERI_TABANI!D24*C524)*VERI_TABANI!$B$7 + MAX(0, VERI_TABANI!D24*C524-MAX(0, VERI_TABANI!D24-VERI_TABANI!D24*B524))*VERI_TABANI!$B$8) + IF(ABS(IF(ISNUMBER(SEARCH("Var", D524)), 1, IF(ISNUMBER(SEARCH("Gri", D524)), -1, 0)))=1, VERI_TABANI!E24*(1-0.928)*VERI_TABANI!$B$9, 0) + (VERI_TABANI!D24*B524*(VERI_TABANI!$B$13-VERI_TABANI!$B$14)*VERI_TABANI!G24) + (VERI_TABANI!D24*C524*(VERI_TABANI!$B$13-VERI_TABANI!$B$15)*VERI_TABANI!G24) + IF(ABS(IF(ISNUMBER(SEARCH("Var", D524)), 1, IF(ISNUMBER(SEARCH("Gri", D524)), -1, 0)))=1, VERI_TABANI!E24*(1-0.928)*0.00206091519919798*VERI_TABANI!G24, 0)) + ((MIN(VERI_TABANI!D25, VERI_TABANI!D25*B524)*VERI_TABANI!$B$7 + MAX(0, VERI_TABANI!D25*B524-VERI_TABANI!D25)*VERI_TABANI!$B$8) + (MIN(MAX(0, VERI_TABANI!D25-VERI_TABANI!D25*B524), VERI_TABANI!D25*C524)*VERI_TABANI!$B$7 + MAX(0, VERI_TABANI!D25*C524-MAX(0, VERI_TABANI!D25-VERI_TABANI!D25*B524))*VERI_TABANI!$B$8) + IF(ABS(IF(ISNUMBER(SEARCH("Var", D524)), 1, IF(ISNUMBER(SEARCH("Gri", D524)), -1, 0)))=1, VERI_TABANI!E25*(1-0.928)*VERI_TABANI!$B$9, 0) + (VERI_TABANI!D25*B524*(VERI_TABANI!$B$13-VERI_TABANI!$B$14)*VERI_TABANI!G25) + (VERI_TABANI!D25*C524*(VERI_TABANI!$B$13-VERI_TABANI!$B$15)*VERI_TABANI!G25) + IF(ABS(IF(ISNUMBER(SEARCH("Var", D524)), 1, IF(ISNUMBER(SEARCH("Gri", D524)), -1, 0)))=1, VERI_TABANI!E25*(1-0.928)*0.00206091519919798*VERI_TABANI!G25, 0)) + ((MIN(VERI_TABANI!D26, VERI_TABANI!D26*B524)*VERI_TABANI!$B$7 + MAX(0, VERI_TABANI!D26*B524-VERI_TABANI!D26)*VERI_TABANI!$B$8) + (MIN(MAX(0, VERI_TABANI!D26-VERI_TABANI!D26*B524), VERI_TABANI!D26*C524)*VERI_TABANI!$B$7 + MAX(0, VERI_TABANI!D26*C524-MAX(0, VERI_TABANI!D26-VERI_TABANI!D26*B524))*VERI_TABANI!$B$8) + IF(ABS(IF(ISNUMBER(SEARCH("Var", D524)), 1, IF(ISNUMBER(SEARCH("Gri", D524)), -1, 0)))=1, VERI_TABANI!E26*(1-0.928)*VERI_TABANI!$B$9, 0) + (VERI_TABANI!D26*B524*(VERI_TABANI!$B$13-VERI_TABANI!$B$14)*VERI_TABANI!G26) + (VERI_TABANI!D26*C524*(VERI_TABANI!$B$13-VERI_TABANI!$B$15)*VERI_TABANI!G26) + IF(ABS(IF(ISNUMBER(SEARCH("Var", D524)), 1, IF(ISNUMBER(SEARCH("Gri", D524)), -1, 0)))=1, VERI_TABANI!E26*(1-0.928)*0.00206091519919798*VERI_TABANI!G26, 0)) + ((MIN(VERI_TABANI!D27, VERI_TABANI!D27*B524)*VERI_TABANI!$B$7 + MAX(0, VERI_TABANI!D27*B524-VERI_TABANI!D27)*VERI_TABANI!$B$8) + (MIN(MAX(0, VERI_TABANI!D27-VERI_TABANI!D27*B524), VERI_TABANI!D27*C524)*VERI_TABANI!$B$7 + MAX(0, VERI_TABANI!D27*C524-MAX(0, VERI_TABANI!D27-VERI_TABANI!D27*B524))*VERI_TABANI!$B$8) + IF(ABS(IF(ISNUMBER(SEARCH("Var", D524)), 1, IF(ISNUMBER(SEARCH("Gri", D524)), -1, 0)))=1, VERI_TABANI!E27*(1-0.928)*VERI_TABANI!$B$9, 0) + (VERI_TABANI!D27*B524*(VERI_TABANI!$B$13-VERI_TABANI!$B$14)*VERI_TABANI!G27) + (VERI_TABANI!D27*C524*(VERI_TABANI!$B$13-VERI_TABANI!$B$15)*VERI_TABANI!G27) + IF(ABS(IF(ISNUMBER(SEARCH("Var", D524)), 1, IF(ISNUMBER(SEARCH("Gri", D524)), -1, 0)))=1, VERI_TABANI!E27*(1-0.928)*0.00206091519919798*VERI_TABANI!G27, 0)) + ((MIN(VERI_TABANI!D28, VERI_TABANI!D28*B524)*VERI_TABANI!$B$7 + MAX(0, VERI_TABANI!D28*B524-VERI_TABANI!D28)*VERI_TABANI!$B$8) + (MIN(MAX(0, VERI_TABANI!D28-VERI_TABANI!D28*B524), VERI_TABANI!D28*C524)*VERI_TABANI!$B$7 + MAX(0, VERI_TABANI!D28*C524-MAX(0, VERI_TABANI!D28-VERI_TABANI!D28*B524))*VERI_TABANI!$B$8) + IF(ABS(IF(ISNUMBER(SEARCH("Var", D524)), 1, IF(ISNUMBER(SEARCH("Gri", D524)), -1, 0)))=1, VERI_TABANI!E28*(1-0.928)*VERI_TABANI!$B$9, 0) + (VERI_TABANI!D28*B524*(VERI_TABANI!$B$13-VERI_TABANI!$B$14)*VERI_TABANI!G28) + (VERI_TABANI!D28*C524*(VERI_TABANI!$B$13-VERI_TABANI!$B$15)*VERI_TABANI!G28) + IF(ABS(IF(ISNUMBER(SEARCH("Var", D524)), 1, IF(ISNUMBER(SEARCH("Gri", D524)), -1, 0)))=1, VERI_TABANI!E28*(1-0.928)*0.00206091519919798*VERI_TABANI!G28, 0)))</f>
        <v/>
      </c>
      <c r="H524" s="169">
        <f>(((VERI_TABANI!D23*B524*(VERI_TABANI!$B$13-VERI_TABANI!$B$14)) + (VERI_TABANI!D23*C524*(VERI_TABANI!$B$13-VERI_TABANI!$B$15)) + IF(ISNUMBER(SEARCH("Var", D524)), VERI_TABANI!F23*(0.00202-VERI_TABANI!$B$16), IF(ISNUMBER(SEARCH("Gri", D524)), VERI_TABANI!F23*(0.00202-VERI_TABANI!$B$17), 0))) + ((VERI_TABANI!D24*B524*(VERI_TABANI!$B$13-VERI_TABANI!$B$14)) + (VERI_TABANI!D24*C524*(VERI_TABANI!$B$13-VERI_TABANI!$B$15)) + IF(ISNUMBER(SEARCH("Var", D524)), VERI_TABANI!F24*(0.00202-VERI_TABANI!$B$16), IF(ISNUMBER(SEARCH("Gri", D524)), VERI_TABANI!F24*(0.00202-VERI_TABANI!$B$17), 0))) + ((VERI_TABANI!D25*B524*(VERI_TABANI!$B$13-VERI_TABANI!$B$14)) + (VERI_TABANI!D25*C524*(VERI_TABANI!$B$13-VERI_TABANI!$B$15)) + IF(ISNUMBER(SEARCH("Var", D524)), VERI_TABANI!F25*(0.00202-VERI_TABANI!$B$16), IF(ISNUMBER(SEARCH("Gri", D524)), VERI_TABANI!F25*(0.00202-VERI_TABANI!$B$17), 0))) + ((VERI_TABANI!D26*B524*(VERI_TABANI!$B$13-VERI_TABANI!$B$14)) + (VERI_TABANI!D26*C524*(VERI_TABANI!$B$13-VERI_TABANI!$B$15)) + IF(ISNUMBER(SEARCH("Var", D524)), VERI_TABANI!F26*(0.00202-VERI_TABANI!$B$16), IF(ISNUMBER(SEARCH("Gri", D524)), VERI_TABANI!F26*(0.00202-VERI_TABANI!$B$17), 0))) + ((VERI_TABANI!D27*B524*(VERI_TABANI!$B$13-VERI_TABANI!$B$14)) + (VERI_TABANI!D27*C524*(VERI_TABANI!$B$13-VERI_TABANI!$B$15)) + IF(ISNUMBER(SEARCH("Var", D524)), VERI_TABANI!F27*(0.00202-VERI_TABANI!$B$16), IF(ISNUMBER(SEARCH("Gri", D524)), VERI_TABANI!F27*(0.00202-VERI_TABANI!$B$17), 0))) + ((VERI_TABANI!D28*B524*(VERI_TABANI!$B$13-VERI_TABANI!$B$14)) + (VERI_TABANI!D28*C524*(VERI_TABANI!$B$13-VERI_TABANI!$B$15)) + IF(ISNUMBER(SEARCH("Var", D524)), VERI_TABANI!F28*(0.00202-VERI_TABANI!$B$16), IF(ISNUMBER(SEARCH("Gri", D524)), VERI_TABANI!F28*(0.00202-VERI_TABANI!$B$17), 0))))</f>
        <v/>
      </c>
      <c r="I524" s="170">
        <f>IFERROR(((VERI_TABANI!$D$29*B524*VERI_TABANI!$B$14 + VERI_TABANI!$D$29*C524*VERI_TABANI!$B$15 + IF(ISNUMBER(SEARCH("Var", D524)), VERI_TABANI!$F$29*VERI_TABANI!$B$16, 0))) / (((VERI_TABANI!$D$29*B524 + VERI_TABANI!$D$29*C524)*VERI_TABANI!$B$13 + IF(ISNUMBER(SEARCH("Var", D524)), VERI_TABANI!$E$29*(1-0.928)*VERI_TABANI!$B$18, 0))), 0)</f>
        <v/>
      </c>
      <c r="J524" s="171">
        <f>IFERROR(F524/(G524/29), 0)</f>
        <v/>
      </c>
      <c r="K524" s="172">
        <f>IF(F524&gt;0, H524/F524, 0)</f>
        <v/>
      </c>
      <c r="L524" s="170">
        <f>IF(F524&gt;0, I524, 1000000000)</f>
        <v/>
      </c>
      <c r="M524" s="171">
        <f>ABS((B524+C524)-1)</f>
        <v/>
      </c>
      <c r="N524" s="170">
        <f>IF(F524&gt;0, (G524/29)/F524, 0)</f>
        <v/>
      </c>
      <c r="O524" s="168">
        <f>IF(AND((B524+C524)&gt;=1, ISNUMBER(SEARCH("Var", D524))), F524, 1000000000)</f>
        <v/>
      </c>
      <c r="P524" s="172">
        <f>IF(F524&gt;0, SQRT((F524/MAX(F$5:F$886))^2 + (1 - H524/MAX(H$5:H$886))^2 + (J524/MAX(J$5:J$886))^2), 1000000000)</f>
        <v/>
      </c>
      <c r="Q524" s="166">
        <f>IF(AND(ABS(B524-0.5)&lt;0.01, ABS(C524-0.5)&lt;0.01, ISNUMBER(SEARCH("Var", D524))), 1, 0)</f>
        <v/>
      </c>
      <c r="R524" s="171">
        <f>IF(F524&gt;0, J524, 1000000000)</f>
        <v/>
      </c>
      <c r="S524" s="101">
        <f>IF(AND(F524&lt;=DASHBOARD!$B$11, H524&gt;=DASHBOARD!$B$13), G524, -1000000000000)</f>
        <v/>
      </c>
      <c r="T524" s="101">
        <f>IF(AND(F524&lt;=DASHBOARD!$B$11, H524&gt;=DASHBOARD!$B$13), R524, 1000000000000)</f>
        <v/>
      </c>
      <c r="U524" s="101">
        <f>IF(AND(F524&lt;=DASHBOARD!$B$11, H524&gt;=DASHBOARD!$B$13), N524, -1000000000000)</f>
        <v/>
      </c>
      <c r="V524" s="101">
        <f>IF(AND(F524&lt;=DASHBOARD!$B$11, H524&gt;=DASHBOARD!$B$13), H524, -1000000000000)</f>
        <v/>
      </c>
      <c r="W524" s="101">
        <f>IF(AND(F524&lt;=DASHBOARD!$B$11, H524&gt;=DASHBOARD!$B$13), K524, -1000000000000)</f>
        <v/>
      </c>
      <c r="X524" s="101">
        <f>IF(AND(F524&lt;=DASHBOARD!$B$11, H524&gt;=DASHBOARD!$B$13), M524, 1000000000000)</f>
        <v/>
      </c>
      <c r="Y524" s="101">
        <f>IF(AND(F524&lt;=DASHBOARD!$B$10, H524&gt;=DASHBOARD!$B$11), L524, 1000000000000)</f>
        <v/>
      </c>
      <c r="Z524" s="101">
        <f>IF(AND(F524&lt;=DASHBOARD!$B$10, H524&gt;=DASHBOARD!$B$11), O524, 1000000000000)</f>
        <v/>
      </c>
      <c r="AA524" s="101">
        <f>IF(AND(F524&lt;=DASHBOARD!$B$10, H524&gt;=DASHBOARD!$B$11), P524, 1000000000000)</f>
        <v/>
      </c>
      <c r="AB524" s="101">
        <f>IF(AND(F524&lt;=DASHBOARD!$B$10, H524&gt;=DASHBOARD!$B$11), Q524, -1000000000000)</f>
        <v/>
      </c>
    </row>
    <row r="525" ht="15" customHeight="1" s="102">
      <c r="A525" s="166" t="n">
        <v>521</v>
      </c>
      <c r="B525" s="167" t="n">
        <v>1.2</v>
      </c>
      <c r="C525" s="167" t="n">
        <v>0.8</v>
      </c>
      <c r="D525" s="110" t="inlineStr">
        <is>
          <t>Yok (%0)</t>
        </is>
      </c>
      <c r="E525" s="110">
        <f>IF((B525+C525)&lt;=1, "Tam Mahsuplaşma (≤%100)", "Kısmi Satış (&gt;%100)")</f>
        <v/>
      </c>
      <c r="F525" s="168">
        <f>((VERI_TABANI!$D$29*B525/VERI_TABANI!$B$29)/VERI_TABANI!$B$3)*VERI_TABANI!$B$5 + ((VERI_TABANI!$D$29*C525/VERI_TABANI!$B$29)/VERI_TABANI!$B$4)*VERI_TABANI!$B$6 + IF(ISNUMBER(SEARCH("Var", D525)), (VERI_TABANI!$F$29/VERI_TABANI!$B$29)*(VERI_TABANI!$B$10+VERI_TABANI!$B$12), 0)</f>
        <v/>
      </c>
      <c r="G525" s="168">
        <f>(((MIN(VERI_TABANI!D23, VERI_TABANI!D23*B525)*VERI_TABANI!$B$7 + MAX(0, VERI_TABANI!D23*B525-VERI_TABANI!D23)*VERI_TABANI!$B$8) + (MIN(MAX(0, VERI_TABANI!D23-VERI_TABANI!D23*B525), VERI_TABANI!D23*C525)*VERI_TABANI!$B$7 + MAX(0, VERI_TABANI!D23*C525-MAX(0, VERI_TABANI!D23-VERI_TABANI!D23*B525))*VERI_TABANI!$B$8) + IF(ABS(IF(ISNUMBER(SEARCH("Var", D525)), 1, IF(ISNUMBER(SEARCH("Gri", D525)), -1, 0)))=1, VERI_TABANI!E23*(1-0.928)*VERI_TABANI!$B$9, 0) + (VERI_TABANI!D23*B525*(VERI_TABANI!$B$13-VERI_TABANI!$B$14)*VERI_TABANI!G23) + (VERI_TABANI!D23*C525*(VERI_TABANI!$B$13-VERI_TABANI!$B$15)*VERI_TABANI!G23) + IF(ABS(IF(ISNUMBER(SEARCH("Var", D525)), 1, IF(ISNUMBER(SEARCH("Gri", D525)), -1, 0)))=1, VERI_TABANI!E23*(1-0.928)*0.00206091519919798*VERI_TABANI!G23, 0)) + ((MIN(VERI_TABANI!D24, VERI_TABANI!D24*B525)*VERI_TABANI!$B$7 + MAX(0, VERI_TABANI!D24*B525-VERI_TABANI!D24)*VERI_TABANI!$B$8) + (MIN(MAX(0, VERI_TABANI!D24-VERI_TABANI!D24*B525), VERI_TABANI!D24*C525)*VERI_TABANI!$B$7 + MAX(0, VERI_TABANI!D24*C525-MAX(0, VERI_TABANI!D24-VERI_TABANI!D24*B525))*VERI_TABANI!$B$8) + IF(ABS(IF(ISNUMBER(SEARCH("Var", D525)), 1, IF(ISNUMBER(SEARCH("Gri", D525)), -1, 0)))=1, VERI_TABANI!E24*(1-0.928)*VERI_TABANI!$B$9, 0) + (VERI_TABANI!D24*B525*(VERI_TABANI!$B$13-VERI_TABANI!$B$14)*VERI_TABANI!G24) + (VERI_TABANI!D24*C525*(VERI_TABANI!$B$13-VERI_TABANI!$B$15)*VERI_TABANI!G24) + IF(ABS(IF(ISNUMBER(SEARCH("Var", D525)), 1, IF(ISNUMBER(SEARCH("Gri", D525)), -1, 0)))=1, VERI_TABANI!E24*(1-0.928)*0.00206091519919798*VERI_TABANI!G24, 0)) + ((MIN(VERI_TABANI!D25, VERI_TABANI!D25*B525)*VERI_TABANI!$B$7 + MAX(0, VERI_TABANI!D25*B525-VERI_TABANI!D25)*VERI_TABANI!$B$8) + (MIN(MAX(0, VERI_TABANI!D25-VERI_TABANI!D25*B525), VERI_TABANI!D25*C525)*VERI_TABANI!$B$7 + MAX(0, VERI_TABANI!D25*C525-MAX(0, VERI_TABANI!D25-VERI_TABANI!D25*B525))*VERI_TABANI!$B$8) + IF(ABS(IF(ISNUMBER(SEARCH("Var", D525)), 1, IF(ISNUMBER(SEARCH("Gri", D525)), -1, 0)))=1, VERI_TABANI!E25*(1-0.928)*VERI_TABANI!$B$9, 0) + (VERI_TABANI!D25*B525*(VERI_TABANI!$B$13-VERI_TABANI!$B$14)*VERI_TABANI!G25) + (VERI_TABANI!D25*C525*(VERI_TABANI!$B$13-VERI_TABANI!$B$15)*VERI_TABANI!G25) + IF(ABS(IF(ISNUMBER(SEARCH("Var", D525)), 1, IF(ISNUMBER(SEARCH("Gri", D525)), -1, 0)))=1, VERI_TABANI!E25*(1-0.928)*0.00206091519919798*VERI_TABANI!G25, 0)) + ((MIN(VERI_TABANI!D26, VERI_TABANI!D26*B525)*VERI_TABANI!$B$7 + MAX(0, VERI_TABANI!D26*B525-VERI_TABANI!D26)*VERI_TABANI!$B$8) + (MIN(MAX(0, VERI_TABANI!D26-VERI_TABANI!D26*B525), VERI_TABANI!D26*C525)*VERI_TABANI!$B$7 + MAX(0, VERI_TABANI!D26*C525-MAX(0, VERI_TABANI!D26-VERI_TABANI!D26*B525))*VERI_TABANI!$B$8) + IF(ABS(IF(ISNUMBER(SEARCH("Var", D525)), 1, IF(ISNUMBER(SEARCH("Gri", D525)), -1, 0)))=1, VERI_TABANI!E26*(1-0.928)*VERI_TABANI!$B$9, 0) + (VERI_TABANI!D26*B525*(VERI_TABANI!$B$13-VERI_TABANI!$B$14)*VERI_TABANI!G26) + (VERI_TABANI!D26*C525*(VERI_TABANI!$B$13-VERI_TABANI!$B$15)*VERI_TABANI!G26) + IF(ABS(IF(ISNUMBER(SEARCH("Var", D525)), 1, IF(ISNUMBER(SEARCH("Gri", D525)), -1, 0)))=1, VERI_TABANI!E26*(1-0.928)*0.00206091519919798*VERI_TABANI!G26, 0)) + ((MIN(VERI_TABANI!D27, VERI_TABANI!D27*B525)*VERI_TABANI!$B$7 + MAX(0, VERI_TABANI!D27*B525-VERI_TABANI!D27)*VERI_TABANI!$B$8) + (MIN(MAX(0, VERI_TABANI!D27-VERI_TABANI!D27*B525), VERI_TABANI!D27*C525)*VERI_TABANI!$B$7 + MAX(0, VERI_TABANI!D27*C525-MAX(0, VERI_TABANI!D27-VERI_TABANI!D27*B525))*VERI_TABANI!$B$8) + IF(ABS(IF(ISNUMBER(SEARCH("Var", D525)), 1, IF(ISNUMBER(SEARCH("Gri", D525)), -1, 0)))=1, VERI_TABANI!E27*(1-0.928)*VERI_TABANI!$B$9, 0) + (VERI_TABANI!D27*B525*(VERI_TABANI!$B$13-VERI_TABANI!$B$14)*VERI_TABANI!G27) + (VERI_TABANI!D27*C525*(VERI_TABANI!$B$13-VERI_TABANI!$B$15)*VERI_TABANI!G27) + IF(ABS(IF(ISNUMBER(SEARCH("Var", D525)), 1, IF(ISNUMBER(SEARCH("Gri", D525)), -1, 0)))=1, VERI_TABANI!E27*(1-0.928)*0.00206091519919798*VERI_TABANI!G27, 0)) + ((MIN(VERI_TABANI!D28, VERI_TABANI!D28*B525)*VERI_TABANI!$B$7 + MAX(0, VERI_TABANI!D28*B525-VERI_TABANI!D28)*VERI_TABANI!$B$8) + (MIN(MAX(0, VERI_TABANI!D28-VERI_TABANI!D28*B525), VERI_TABANI!D28*C525)*VERI_TABANI!$B$7 + MAX(0, VERI_TABANI!D28*C525-MAX(0, VERI_TABANI!D28-VERI_TABANI!D28*B525))*VERI_TABANI!$B$8) + IF(ABS(IF(ISNUMBER(SEARCH("Var", D525)), 1, IF(ISNUMBER(SEARCH("Gri", D525)), -1, 0)))=1, VERI_TABANI!E28*(1-0.928)*VERI_TABANI!$B$9, 0) + (VERI_TABANI!D28*B525*(VERI_TABANI!$B$13-VERI_TABANI!$B$14)*VERI_TABANI!G28) + (VERI_TABANI!D28*C525*(VERI_TABANI!$B$13-VERI_TABANI!$B$15)*VERI_TABANI!G28) + IF(ABS(IF(ISNUMBER(SEARCH("Var", D525)), 1, IF(ISNUMBER(SEARCH("Gri", D525)), -1, 0)))=1, VERI_TABANI!E28*(1-0.928)*0.00206091519919798*VERI_TABANI!G28, 0)))</f>
        <v/>
      </c>
      <c r="H525" s="169">
        <f>(((VERI_TABANI!D23*B525*(VERI_TABANI!$B$13-VERI_TABANI!$B$14)) + (VERI_TABANI!D23*C525*(VERI_TABANI!$B$13-VERI_TABANI!$B$15)) + IF(ISNUMBER(SEARCH("Var", D525)), VERI_TABANI!F23*(0.00202-VERI_TABANI!$B$16), IF(ISNUMBER(SEARCH("Gri", D525)), VERI_TABANI!F23*(0.00202-VERI_TABANI!$B$17), 0))) + ((VERI_TABANI!D24*B525*(VERI_TABANI!$B$13-VERI_TABANI!$B$14)) + (VERI_TABANI!D24*C525*(VERI_TABANI!$B$13-VERI_TABANI!$B$15)) + IF(ISNUMBER(SEARCH("Var", D525)), VERI_TABANI!F24*(0.00202-VERI_TABANI!$B$16), IF(ISNUMBER(SEARCH("Gri", D525)), VERI_TABANI!F24*(0.00202-VERI_TABANI!$B$17), 0))) + ((VERI_TABANI!D25*B525*(VERI_TABANI!$B$13-VERI_TABANI!$B$14)) + (VERI_TABANI!D25*C525*(VERI_TABANI!$B$13-VERI_TABANI!$B$15)) + IF(ISNUMBER(SEARCH("Var", D525)), VERI_TABANI!F25*(0.00202-VERI_TABANI!$B$16), IF(ISNUMBER(SEARCH("Gri", D525)), VERI_TABANI!F25*(0.00202-VERI_TABANI!$B$17), 0))) + ((VERI_TABANI!D26*B525*(VERI_TABANI!$B$13-VERI_TABANI!$B$14)) + (VERI_TABANI!D26*C525*(VERI_TABANI!$B$13-VERI_TABANI!$B$15)) + IF(ISNUMBER(SEARCH("Var", D525)), VERI_TABANI!F26*(0.00202-VERI_TABANI!$B$16), IF(ISNUMBER(SEARCH("Gri", D525)), VERI_TABANI!F26*(0.00202-VERI_TABANI!$B$17), 0))) + ((VERI_TABANI!D27*B525*(VERI_TABANI!$B$13-VERI_TABANI!$B$14)) + (VERI_TABANI!D27*C525*(VERI_TABANI!$B$13-VERI_TABANI!$B$15)) + IF(ISNUMBER(SEARCH("Var", D525)), VERI_TABANI!F27*(0.00202-VERI_TABANI!$B$16), IF(ISNUMBER(SEARCH("Gri", D525)), VERI_TABANI!F27*(0.00202-VERI_TABANI!$B$17), 0))) + ((VERI_TABANI!D28*B525*(VERI_TABANI!$B$13-VERI_TABANI!$B$14)) + (VERI_TABANI!D28*C525*(VERI_TABANI!$B$13-VERI_TABANI!$B$15)) + IF(ISNUMBER(SEARCH("Var", D525)), VERI_TABANI!F28*(0.00202-VERI_TABANI!$B$16), IF(ISNUMBER(SEARCH("Gri", D525)), VERI_TABANI!F28*(0.00202-VERI_TABANI!$B$17), 0))))</f>
        <v/>
      </c>
      <c r="I525" s="170">
        <f>IFERROR(((VERI_TABANI!$D$29*B525*VERI_TABANI!$B$14 + VERI_TABANI!$D$29*C525*VERI_TABANI!$B$15 + IF(ISNUMBER(SEARCH("Var", D525)), VERI_TABANI!$F$29*VERI_TABANI!$B$16, 0))) / (((VERI_TABANI!$D$29*B525 + VERI_TABANI!$D$29*C525)*VERI_TABANI!$B$13 + IF(ISNUMBER(SEARCH("Var", D525)), VERI_TABANI!$E$29*(1-0.928)*VERI_TABANI!$B$18, 0))), 0)</f>
        <v/>
      </c>
      <c r="J525" s="171">
        <f>IFERROR(F525/(G525/29), 0)</f>
        <v/>
      </c>
      <c r="K525" s="172">
        <f>IF(F525&gt;0, H525/F525, 0)</f>
        <v/>
      </c>
      <c r="L525" s="170">
        <f>IF(F525&gt;0, I525, 1000000000)</f>
        <v/>
      </c>
      <c r="M525" s="171">
        <f>ABS((B525+C525)-1)</f>
        <v/>
      </c>
      <c r="N525" s="170">
        <f>IF(F525&gt;0, (G525/29)/F525, 0)</f>
        <v/>
      </c>
      <c r="O525" s="168">
        <f>IF(AND((B525+C525)&gt;=1, ISNUMBER(SEARCH("Var", D525))), F525, 1000000000)</f>
        <v/>
      </c>
      <c r="P525" s="172">
        <f>IF(F525&gt;0, SQRT((F525/MAX(F$5:F$886))^2 + (1 - H525/MAX(H$5:H$886))^2 + (J525/MAX(J$5:J$886))^2), 1000000000)</f>
        <v/>
      </c>
      <c r="Q525" s="166">
        <f>IF(AND(ABS(B525-0.5)&lt;0.01, ABS(C525-0.5)&lt;0.01, ISNUMBER(SEARCH("Var", D525))), 1, 0)</f>
        <v/>
      </c>
      <c r="R525" s="171">
        <f>IF(F525&gt;0, J525, 1000000000)</f>
        <v/>
      </c>
      <c r="S525" s="101">
        <f>IF(AND(F525&lt;=DASHBOARD!$B$11, H525&gt;=DASHBOARD!$B$13), G525, -1000000000000)</f>
        <v/>
      </c>
      <c r="T525" s="101">
        <f>IF(AND(F525&lt;=DASHBOARD!$B$11, H525&gt;=DASHBOARD!$B$13), R525, 1000000000000)</f>
        <v/>
      </c>
      <c r="U525" s="101">
        <f>IF(AND(F525&lt;=DASHBOARD!$B$11, H525&gt;=DASHBOARD!$B$13), N525, -1000000000000)</f>
        <v/>
      </c>
      <c r="V525" s="101">
        <f>IF(AND(F525&lt;=DASHBOARD!$B$11, H525&gt;=DASHBOARD!$B$13), H525, -1000000000000)</f>
        <v/>
      </c>
      <c r="W525" s="101">
        <f>IF(AND(F525&lt;=DASHBOARD!$B$11, H525&gt;=DASHBOARD!$B$13), K525, -1000000000000)</f>
        <v/>
      </c>
      <c r="X525" s="101">
        <f>IF(AND(F525&lt;=DASHBOARD!$B$11, H525&gt;=DASHBOARD!$B$13), M525, 1000000000000)</f>
        <v/>
      </c>
      <c r="Y525" s="101">
        <f>IF(AND(F525&lt;=DASHBOARD!$B$10, H525&gt;=DASHBOARD!$B$11), L525, 1000000000000)</f>
        <v/>
      </c>
      <c r="Z525" s="101">
        <f>IF(AND(F525&lt;=DASHBOARD!$B$10, H525&gt;=DASHBOARD!$B$11), O525, 1000000000000)</f>
        <v/>
      </c>
      <c r="AA525" s="101">
        <f>IF(AND(F525&lt;=DASHBOARD!$B$10, H525&gt;=DASHBOARD!$B$11), P525, 1000000000000)</f>
        <v/>
      </c>
      <c r="AB525" s="101">
        <f>IF(AND(F525&lt;=DASHBOARD!$B$10, H525&gt;=DASHBOARD!$B$11), Q525, -1000000000000)</f>
        <v/>
      </c>
    </row>
    <row r="526" ht="15" customHeight="1" s="102">
      <c r="A526" s="166" t="n">
        <v>522</v>
      </c>
      <c r="B526" s="167" t="n">
        <v>1.2</v>
      </c>
      <c r="C526" s="167" t="n">
        <v>0.8</v>
      </c>
      <c r="D526" s="110" t="inlineStr">
        <is>
          <t>Var (%20)</t>
        </is>
      </c>
      <c r="E526" s="110">
        <f>IF((B526+C526)&lt;=1, "Tam Mahsuplaşma (≤%100)", "Kısmi Satış (&gt;%100)")</f>
        <v/>
      </c>
      <c r="F526" s="168">
        <f>((VERI_TABANI!$D$29*B526/VERI_TABANI!$B$29)/VERI_TABANI!$B$3)*VERI_TABANI!$B$5 + ((VERI_TABANI!$D$29*C526/VERI_TABANI!$B$29)/VERI_TABANI!$B$4)*VERI_TABANI!$B$6 + IF(ISNUMBER(SEARCH("Var", D526)), (VERI_TABANI!$F$29/VERI_TABANI!$B$29)*(VERI_TABANI!$B$10+VERI_TABANI!$B$12), 0)</f>
        <v/>
      </c>
      <c r="G526" s="168">
        <f>(((MIN(VERI_TABANI!D23, VERI_TABANI!D23*B526)*VERI_TABANI!$B$7 + MAX(0, VERI_TABANI!D23*B526-VERI_TABANI!D23)*VERI_TABANI!$B$8) + (MIN(MAX(0, VERI_TABANI!D23-VERI_TABANI!D23*B526), VERI_TABANI!D23*C526)*VERI_TABANI!$B$7 + MAX(0, VERI_TABANI!D23*C526-MAX(0, VERI_TABANI!D23-VERI_TABANI!D23*B526))*VERI_TABANI!$B$8) + IF(ABS(IF(ISNUMBER(SEARCH("Var", D526)), 1, IF(ISNUMBER(SEARCH("Gri", D526)), -1, 0)))=1, VERI_TABANI!E23*(1-0.928)*VERI_TABANI!$B$9, 0) + (VERI_TABANI!D23*B526*(VERI_TABANI!$B$13-VERI_TABANI!$B$14)*VERI_TABANI!G23) + (VERI_TABANI!D23*C526*(VERI_TABANI!$B$13-VERI_TABANI!$B$15)*VERI_TABANI!G23) + IF(ABS(IF(ISNUMBER(SEARCH("Var", D526)), 1, IF(ISNUMBER(SEARCH("Gri", D526)), -1, 0)))=1, VERI_TABANI!E23*(1-0.928)*0.00206091519919798*VERI_TABANI!G23, 0)) + ((MIN(VERI_TABANI!D24, VERI_TABANI!D24*B526)*VERI_TABANI!$B$7 + MAX(0, VERI_TABANI!D24*B526-VERI_TABANI!D24)*VERI_TABANI!$B$8) + (MIN(MAX(0, VERI_TABANI!D24-VERI_TABANI!D24*B526), VERI_TABANI!D24*C526)*VERI_TABANI!$B$7 + MAX(0, VERI_TABANI!D24*C526-MAX(0, VERI_TABANI!D24-VERI_TABANI!D24*B526))*VERI_TABANI!$B$8) + IF(ABS(IF(ISNUMBER(SEARCH("Var", D526)), 1, IF(ISNUMBER(SEARCH("Gri", D526)), -1, 0)))=1, VERI_TABANI!E24*(1-0.928)*VERI_TABANI!$B$9, 0) + (VERI_TABANI!D24*B526*(VERI_TABANI!$B$13-VERI_TABANI!$B$14)*VERI_TABANI!G24) + (VERI_TABANI!D24*C526*(VERI_TABANI!$B$13-VERI_TABANI!$B$15)*VERI_TABANI!G24) + IF(ABS(IF(ISNUMBER(SEARCH("Var", D526)), 1, IF(ISNUMBER(SEARCH("Gri", D526)), -1, 0)))=1, VERI_TABANI!E24*(1-0.928)*0.00206091519919798*VERI_TABANI!G24, 0)) + ((MIN(VERI_TABANI!D25, VERI_TABANI!D25*B526)*VERI_TABANI!$B$7 + MAX(0, VERI_TABANI!D25*B526-VERI_TABANI!D25)*VERI_TABANI!$B$8) + (MIN(MAX(0, VERI_TABANI!D25-VERI_TABANI!D25*B526), VERI_TABANI!D25*C526)*VERI_TABANI!$B$7 + MAX(0, VERI_TABANI!D25*C526-MAX(0, VERI_TABANI!D25-VERI_TABANI!D25*B526))*VERI_TABANI!$B$8) + IF(ABS(IF(ISNUMBER(SEARCH("Var", D526)), 1, IF(ISNUMBER(SEARCH("Gri", D526)), -1, 0)))=1, VERI_TABANI!E25*(1-0.928)*VERI_TABANI!$B$9, 0) + (VERI_TABANI!D25*B526*(VERI_TABANI!$B$13-VERI_TABANI!$B$14)*VERI_TABANI!G25) + (VERI_TABANI!D25*C526*(VERI_TABANI!$B$13-VERI_TABANI!$B$15)*VERI_TABANI!G25) + IF(ABS(IF(ISNUMBER(SEARCH("Var", D526)), 1, IF(ISNUMBER(SEARCH("Gri", D526)), -1, 0)))=1, VERI_TABANI!E25*(1-0.928)*0.00206091519919798*VERI_TABANI!G25, 0)) + ((MIN(VERI_TABANI!D26, VERI_TABANI!D26*B526)*VERI_TABANI!$B$7 + MAX(0, VERI_TABANI!D26*B526-VERI_TABANI!D26)*VERI_TABANI!$B$8) + (MIN(MAX(0, VERI_TABANI!D26-VERI_TABANI!D26*B526), VERI_TABANI!D26*C526)*VERI_TABANI!$B$7 + MAX(0, VERI_TABANI!D26*C526-MAX(0, VERI_TABANI!D26-VERI_TABANI!D26*B526))*VERI_TABANI!$B$8) + IF(ABS(IF(ISNUMBER(SEARCH("Var", D526)), 1, IF(ISNUMBER(SEARCH("Gri", D526)), -1, 0)))=1, VERI_TABANI!E26*(1-0.928)*VERI_TABANI!$B$9, 0) + (VERI_TABANI!D26*B526*(VERI_TABANI!$B$13-VERI_TABANI!$B$14)*VERI_TABANI!G26) + (VERI_TABANI!D26*C526*(VERI_TABANI!$B$13-VERI_TABANI!$B$15)*VERI_TABANI!G26) + IF(ABS(IF(ISNUMBER(SEARCH("Var", D526)), 1, IF(ISNUMBER(SEARCH("Gri", D526)), -1, 0)))=1, VERI_TABANI!E26*(1-0.928)*0.00206091519919798*VERI_TABANI!G26, 0)) + ((MIN(VERI_TABANI!D27, VERI_TABANI!D27*B526)*VERI_TABANI!$B$7 + MAX(0, VERI_TABANI!D27*B526-VERI_TABANI!D27)*VERI_TABANI!$B$8) + (MIN(MAX(0, VERI_TABANI!D27-VERI_TABANI!D27*B526), VERI_TABANI!D27*C526)*VERI_TABANI!$B$7 + MAX(0, VERI_TABANI!D27*C526-MAX(0, VERI_TABANI!D27-VERI_TABANI!D27*B526))*VERI_TABANI!$B$8) + IF(ABS(IF(ISNUMBER(SEARCH("Var", D526)), 1, IF(ISNUMBER(SEARCH("Gri", D526)), -1, 0)))=1, VERI_TABANI!E27*(1-0.928)*VERI_TABANI!$B$9, 0) + (VERI_TABANI!D27*B526*(VERI_TABANI!$B$13-VERI_TABANI!$B$14)*VERI_TABANI!G27) + (VERI_TABANI!D27*C526*(VERI_TABANI!$B$13-VERI_TABANI!$B$15)*VERI_TABANI!G27) + IF(ABS(IF(ISNUMBER(SEARCH("Var", D526)), 1, IF(ISNUMBER(SEARCH("Gri", D526)), -1, 0)))=1, VERI_TABANI!E27*(1-0.928)*0.00206091519919798*VERI_TABANI!G27, 0)) + ((MIN(VERI_TABANI!D28, VERI_TABANI!D28*B526)*VERI_TABANI!$B$7 + MAX(0, VERI_TABANI!D28*B526-VERI_TABANI!D28)*VERI_TABANI!$B$8) + (MIN(MAX(0, VERI_TABANI!D28-VERI_TABANI!D28*B526), VERI_TABANI!D28*C526)*VERI_TABANI!$B$7 + MAX(0, VERI_TABANI!D28*C526-MAX(0, VERI_TABANI!D28-VERI_TABANI!D28*B526))*VERI_TABANI!$B$8) + IF(ABS(IF(ISNUMBER(SEARCH("Var", D526)), 1, IF(ISNUMBER(SEARCH("Gri", D526)), -1, 0)))=1, VERI_TABANI!E28*(1-0.928)*VERI_TABANI!$B$9, 0) + (VERI_TABANI!D28*B526*(VERI_TABANI!$B$13-VERI_TABANI!$B$14)*VERI_TABANI!G28) + (VERI_TABANI!D28*C526*(VERI_TABANI!$B$13-VERI_TABANI!$B$15)*VERI_TABANI!G28) + IF(ABS(IF(ISNUMBER(SEARCH("Var", D526)), 1, IF(ISNUMBER(SEARCH("Gri", D526)), -1, 0)))=1, VERI_TABANI!E28*(1-0.928)*0.00206091519919798*VERI_TABANI!G28, 0)))</f>
        <v/>
      </c>
      <c r="H526" s="169">
        <f>(((VERI_TABANI!D23*B526*(VERI_TABANI!$B$13-VERI_TABANI!$B$14)) + (VERI_TABANI!D23*C526*(VERI_TABANI!$B$13-VERI_TABANI!$B$15)) + IF(ISNUMBER(SEARCH("Var", D526)), VERI_TABANI!F23*(0.00202-VERI_TABANI!$B$16), IF(ISNUMBER(SEARCH("Gri", D526)), VERI_TABANI!F23*(0.00202-VERI_TABANI!$B$17), 0))) + ((VERI_TABANI!D24*B526*(VERI_TABANI!$B$13-VERI_TABANI!$B$14)) + (VERI_TABANI!D24*C526*(VERI_TABANI!$B$13-VERI_TABANI!$B$15)) + IF(ISNUMBER(SEARCH("Var", D526)), VERI_TABANI!F24*(0.00202-VERI_TABANI!$B$16), IF(ISNUMBER(SEARCH("Gri", D526)), VERI_TABANI!F24*(0.00202-VERI_TABANI!$B$17), 0))) + ((VERI_TABANI!D25*B526*(VERI_TABANI!$B$13-VERI_TABANI!$B$14)) + (VERI_TABANI!D25*C526*(VERI_TABANI!$B$13-VERI_TABANI!$B$15)) + IF(ISNUMBER(SEARCH("Var", D526)), VERI_TABANI!F25*(0.00202-VERI_TABANI!$B$16), IF(ISNUMBER(SEARCH("Gri", D526)), VERI_TABANI!F25*(0.00202-VERI_TABANI!$B$17), 0))) + ((VERI_TABANI!D26*B526*(VERI_TABANI!$B$13-VERI_TABANI!$B$14)) + (VERI_TABANI!D26*C526*(VERI_TABANI!$B$13-VERI_TABANI!$B$15)) + IF(ISNUMBER(SEARCH("Var", D526)), VERI_TABANI!F26*(0.00202-VERI_TABANI!$B$16), IF(ISNUMBER(SEARCH("Gri", D526)), VERI_TABANI!F26*(0.00202-VERI_TABANI!$B$17), 0))) + ((VERI_TABANI!D27*B526*(VERI_TABANI!$B$13-VERI_TABANI!$B$14)) + (VERI_TABANI!D27*C526*(VERI_TABANI!$B$13-VERI_TABANI!$B$15)) + IF(ISNUMBER(SEARCH("Var", D526)), VERI_TABANI!F27*(0.00202-VERI_TABANI!$B$16), IF(ISNUMBER(SEARCH("Gri", D526)), VERI_TABANI!F27*(0.00202-VERI_TABANI!$B$17), 0))) + ((VERI_TABANI!D28*B526*(VERI_TABANI!$B$13-VERI_TABANI!$B$14)) + (VERI_TABANI!D28*C526*(VERI_TABANI!$B$13-VERI_TABANI!$B$15)) + IF(ISNUMBER(SEARCH("Var", D526)), VERI_TABANI!F28*(0.00202-VERI_TABANI!$B$16), IF(ISNUMBER(SEARCH("Gri", D526)), VERI_TABANI!F28*(0.00202-VERI_TABANI!$B$17), 0))))</f>
        <v/>
      </c>
      <c r="I526" s="170">
        <f>IFERROR(((VERI_TABANI!$D$29*B526*VERI_TABANI!$B$14 + VERI_TABANI!$D$29*C526*VERI_TABANI!$B$15 + IF(ISNUMBER(SEARCH("Var", D526)), VERI_TABANI!$F$29*VERI_TABANI!$B$16, 0))) / (((VERI_TABANI!$D$29*B526 + VERI_TABANI!$D$29*C526)*VERI_TABANI!$B$13 + IF(ISNUMBER(SEARCH("Var", D526)), VERI_TABANI!$E$29*(1-0.928)*VERI_TABANI!$B$18, 0))), 0)</f>
        <v/>
      </c>
      <c r="J526" s="171">
        <f>IFERROR(F526/(G526/29), 0)</f>
        <v/>
      </c>
      <c r="K526" s="172">
        <f>IF(F526&gt;0, H526/F526, 0)</f>
        <v/>
      </c>
      <c r="L526" s="170">
        <f>IF(F526&gt;0, I526, 1000000000)</f>
        <v/>
      </c>
      <c r="M526" s="171">
        <f>ABS((B526+C526)-1)</f>
        <v/>
      </c>
      <c r="N526" s="170">
        <f>IF(F526&gt;0, (G526/29)/F526, 0)</f>
        <v/>
      </c>
      <c r="O526" s="168">
        <f>IF(AND((B526+C526)&gt;=1, ISNUMBER(SEARCH("Var", D526))), F526, 1000000000)</f>
        <v/>
      </c>
      <c r="P526" s="172">
        <f>IF(F526&gt;0, SQRT((F526/MAX(F$5:F$886))^2 + (1 - H526/MAX(H$5:H$886))^2 + (J526/MAX(J$5:J$886))^2), 1000000000)</f>
        <v/>
      </c>
      <c r="Q526" s="166">
        <f>IF(AND(ABS(B526-0.5)&lt;0.01, ABS(C526-0.5)&lt;0.01, ISNUMBER(SEARCH("Var", D526))), 1, 0)</f>
        <v/>
      </c>
      <c r="R526" s="171">
        <f>IF(F526&gt;0, J526, 1000000000)</f>
        <v/>
      </c>
      <c r="S526" s="101">
        <f>IF(AND(F526&lt;=DASHBOARD!$B$11, H526&gt;=DASHBOARD!$B$13), G526, -1000000000000)</f>
        <v/>
      </c>
      <c r="T526" s="101">
        <f>IF(AND(F526&lt;=DASHBOARD!$B$11, H526&gt;=DASHBOARD!$B$13), R526, 1000000000000)</f>
        <v/>
      </c>
      <c r="U526" s="101">
        <f>IF(AND(F526&lt;=DASHBOARD!$B$11, H526&gt;=DASHBOARD!$B$13), N526, -1000000000000)</f>
        <v/>
      </c>
      <c r="V526" s="101">
        <f>IF(AND(F526&lt;=DASHBOARD!$B$11, H526&gt;=DASHBOARD!$B$13), H526, -1000000000000)</f>
        <v/>
      </c>
      <c r="W526" s="101">
        <f>IF(AND(F526&lt;=DASHBOARD!$B$11, H526&gt;=DASHBOARD!$B$13), K526, -1000000000000)</f>
        <v/>
      </c>
      <c r="X526" s="101">
        <f>IF(AND(F526&lt;=DASHBOARD!$B$11, H526&gt;=DASHBOARD!$B$13), M526, 1000000000000)</f>
        <v/>
      </c>
      <c r="Y526" s="101">
        <f>IF(AND(F526&lt;=DASHBOARD!$B$10, H526&gt;=DASHBOARD!$B$11), L526, 1000000000000)</f>
        <v/>
      </c>
      <c r="Z526" s="101">
        <f>IF(AND(F526&lt;=DASHBOARD!$B$10, H526&gt;=DASHBOARD!$B$11), O526, 1000000000000)</f>
        <v/>
      </c>
      <c r="AA526" s="101">
        <f>IF(AND(F526&lt;=DASHBOARD!$B$10, H526&gt;=DASHBOARD!$B$11), P526, 1000000000000)</f>
        <v/>
      </c>
      <c r="AB526" s="101">
        <f>IF(AND(F526&lt;=DASHBOARD!$B$10, H526&gt;=DASHBOARD!$B$11), Q526, -1000000000000)</f>
        <v/>
      </c>
    </row>
    <row r="527" ht="15" customHeight="1" s="102">
      <c r="A527" s="166" t="n">
        <v>523</v>
      </c>
      <c r="B527" s="167" t="n">
        <v>1.2</v>
      </c>
      <c r="C527" s="167" t="n">
        <v>0.9</v>
      </c>
      <c r="D527" s="110" t="inlineStr">
        <is>
          <t>Yok (%0)</t>
        </is>
      </c>
      <c r="E527" s="110">
        <f>IF((B527+C527)&lt;=1, "Tam Mahsuplaşma (≤%100)", "Kısmi Satış (&gt;%100)")</f>
        <v/>
      </c>
      <c r="F527" s="168">
        <f>((VERI_TABANI!$D$29*B527/VERI_TABANI!$B$29)/VERI_TABANI!$B$3)*VERI_TABANI!$B$5 + ((VERI_TABANI!$D$29*C527/VERI_TABANI!$B$29)/VERI_TABANI!$B$4)*VERI_TABANI!$B$6 + IF(ISNUMBER(SEARCH("Var", D527)), (VERI_TABANI!$F$29/VERI_TABANI!$B$29)*(VERI_TABANI!$B$10+VERI_TABANI!$B$12), 0)</f>
        <v/>
      </c>
      <c r="G527" s="168">
        <f>(((MIN(VERI_TABANI!D23, VERI_TABANI!D23*B527)*VERI_TABANI!$B$7 + MAX(0, VERI_TABANI!D23*B527-VERI_TABANI!D23)*VERI_TABANI!$B$8) + (MIN(MAX(0, VERI_TABANI!D23-VERI_TABANI!D23*B527), VERI_TABANI!D23*C527)*VERI_TABANI!$B$7 + MAX(0, VERI_TABANI!D23*C527-MAX(0, VERI_TABANI!D23-VERI_TABANI!D23*B527))*VERI_TABANI!$B$8) + IF(ABS(IF(ISNUMBER(SEARCH("Var", D527)), 1, IF(ISNUMBER(SEARCH("Gri", D527)), -1, 0)))=1, VERI_TABANI!E23*(1-0.928)*VERI_TABANI!$B$9, 0) + (VERI_TABANI!D23*B527*(VERI_TABANI!$B$13-VERI_TABANI!$B$14)*VERI_TABANI!G23) + (VERI_TABANI!D23*C527*(VERI_TABANI!$B$13-VERI_TABANI!$B$15)*VERI_TABANI!G23) + IF(ABS(IF(ISNUMBER(SEARCH("Var", D527)), 1, IF(ISNUMBER(SEARCH("Gri", D527)), -1, 0)))=1, VERI_TABANI!E23*(1-0.928)*0.00206091519919798*VERI_TABANI!G23, 0)) + ((MIN(VERI_TABANI!D24, VERI_TABANI!D24*B527)*VERI_TABANI!$B$7 + MAX(0, VERI_TABANI!D24*B527-VERI_TABANI!D24)*VERI_TABANI!$B$8) + (MIN(MAX(0, VERI_TABANI!D24-VERI_TABANI!D24*B527), VERI_TABANI!D24*C527)*VERI_TABANI!$B$7 + MAX(0, VERI_TABANI!D24*C527-MAX(0, VERI_TABANI!D24-VERI_TABANI!D24*B527))*VERI_TABANI!$B$8) + IF(ABS(IF(ISNUMBER(SEARCH("Var", D527)), 1, IF(ISNUMBER(SEARCH("Gri", D527)), -1, 0)))=1, VERI_TABANI!E24*(1-0.928)*VERI_TABANI!$B$9, 0) + (VERI_TABANI!D24*B527*(VERI_TABANI!$B$13-VERI_TABANI!$B$14)*VERI_TABANI!G24) + (VERI_TABANI!D24*C527*(VERI_TABANI!$B$13-VERI_TABANI!$B$15)*VERI_TABANI!G24) + IF(ABS(IF(ISNUMBER(SEARCH("Var", D527)), 1, IF(ISNUMBER(SEARCH("Gri", D527)), -1, 0)))=1, VERI_TABANI!E24*(1-0.928)*0.00206091519919798*VERI_TABANI!G24, 0)) + ((MIN(VERI_TABANI!D25, VERI_TABANI!D25*B527)*VERI_TABANI!$B$7 + MAX(0, VERI_TABANI!D25*B527-VERI_TABANI!D25)*VERI_TABANI!$B$8) + (MIN(MAX(0, VERI_TABANI!D25-VERI_TABANI!D25*B527), VERI_TABANI!D25*C527)*VERI_TABANI!$B$7 + MAX(0, VERI_TABANI!D25*C527-MAX(0, VERI_TABANI!D25-VERI_TABANI!D25*B527))*VERI_TABANI!$B$8) + IF(ABS(IF(ISNUMBER(SEARCH("Var", D527)), 1, IF(ISNUMBER(SEARCH("Gri", D527)), -1, 0)))=1, VERI_TABANI!E25*(1-0.928)*VERI_TABANI!$B$9, 0) + (VERI_TABANI!D25*B527*(VERI_TABANI!$B$13-VERI_TABANI!$B$14)*VERI_TABANI!G25) + (VERI_TABANI!D25*C527*(VERI_TABANI!$B$13-VERI_TABANI!$B$15)*VERI_TABANI!G25) + IF(ABS(IF(ISNUMBER(SEARCH("Var", D527)), 1, IF(ISNUMBER(SEARCH("Gri", D527)), -1, 0)))=1, VERI_TABANI!E25*(1-0.928)*0.00206091519919798*VERI_TABANI!G25, 0)) + ((MIN(VERI_TABANI!D26, VERI_TABANI!D26*B527)*VERI_TABANI!$B$7 + MAX(0, VERI_TABANI!D26*B527-VERI_TABANI!D26)*VERI_TABANI!$B$8) + (MIN(MAX(0, VERI_TABANI!D26-VERI_TABANI!D26*B527), VERI_TABANI!D26*C527)*VERI_TABANI!$B$7 + MAX(0, VERI_TABANI!D26*C527-MAX(0, VERI_TABANI!D26-VERI_TABANI!D26*B527))*VERI_TABANI!$B$8) + IF(ABS(IF(ISNUMBER(SEARCH("Var", D527)), 1, IF(ISNUMBER(SEARCH("Gri", D527)), -1, 0)))=1, VERI_TABANI!E26*(1-0.928)*VERI_TABANI!$B$9, 0) + (VERI_TABANI!D26*B527*(VERI_TABANI!$B$13-VERI_TABANI!$B$14)*VERI_TABANI!G26) + (VERI_TABANI!D26*C527*(VERI_TABANI!$B$13-VERI_TABANI!$B$15)*VERI_TABANI!G26) + IF(ABS(IF(ISNUMBER(SEARCH("Var", D527)), 1, IF(ISNUMBER(SEARCH("Gri", D527)), -1, 0)))=1, VERI_TABANI!E26*(1-0.928)*0.00206091519919798*VERI_TABANI!G26, 0)) + ((MIN(VERI_TABANI!D27, VERI_TABANI!D27*B527)*VERI_TABANI!$B$7 + MAX(0, VERI_TABANI!D27*B527-VERI_TABANI!D27)*VERI_TABANI!$B$8) + (MIN(MAX(0, VERI_TABANI!D27-VERI_TABANI!D27*B527), VERI_TABANI!D27*C527)*VERI_TABANI!$B$7 + MAX(0, VERI_TABANI!D27*C527-MAX(0, VERI_TABANI!D27-VERI_TABANI!D27*B527))*VERI_TABANI!$B$8) + IF(ABS(IF(ISNUMBER(SEARCH("Var", D527)), 1, IF(ISNUMBER(SEARCH("Gri", D527)), -1, 0)))=1, VERI_TABANI!E27*(1-0.928)*VERI_TABANI!$B$9, 0) + (VERI_TABANI!D27*B527*(VERI_TABANI!$B$13-VERI_TABANI!$B$14)*VERI_TABANI!G27) + (VERI_TABANI!D27*C527*(VERI_TABANI!$B$13-VERI_TABANI!$B$15)*VERI_TABANI!G27) + IF(ABS(IF(ISNUMBER(SEARCH("Var", D527)), 1, IF(ISNUMBER(SEARCH("Gri", D527)), -1, 0)))=1, VERI_TABANI!E27*(1-0.928)*0.00206091519919798*VERI_TABANI!G27, 0)) + ((MIN(VERI_TABANI!D28, VERI_TABANI!D28*B527)*VERI_TABANI!$B$7 + MAX(0, VERI_TABANI!D28*B527-VERI_TABANI!D28)*VERI_TABANI!$B$8) + (MIN(MAX(0, VERI_TABANI!D28-VERI_TABANI!D28*B527), VERI_TABANI!D28*C527)*VERI_TABANI!$B$7 + MAX(0, VERI_TABANI!D28*C527-MAX(0, VERI_TABANI!D28-VERI_TABANI!D28*B527))*VERI_TABANI!$B$8) + IF(ABS(IF(ISNUMBER(SEARCH("Var", D527)), 1, IF(ISNUMBER(SEARCH("Gri", D527)), -1, 0)))=1, VERI_TABANI!E28*(1-0.928)*VERI_TABANI!$B$9, 0) + (VERI_TABANI!D28*B527*(VERI_TABANI!$B$13-VERI_TABANI!$B$14)*VERI_TABANI!G28) + (VERI_TABANI!D28*C527*(VERI_TABANI!$B$13-VERI_TABANI!$B$15)*VERI_TABANI!G28) + IF(ABS(IF(ISNUMBER(SEARCH("Var", D527)), 1, IF(ISNUMBER(SEARCH("Gri", D527)), -1, 0)))=1, VERI_TABANI!E28*(1-0.928)*0.00206091519919798*VERI_TABANI!G28, 0)))</f>
        <v/>
      </c>
      <c r="H527" s="169">
        <f>(((VERI_TABANI!D23*B527*(VERI_TABANI!$B$13-VERI_TABANI!$B$14)) + (VERI_TABANI!D23*C527*(VERI_TABANI!$B$13-VERI_TABANI!$B$15)) + IF(ISNUMBER(SEARCH("Var", D527)), VERI_TABANI!F23*(0.00202-VERI_TABANI!$B$16), IF(ISNUMBER(SEARCH("Gri", D527)), VERI_TABANI!F23*(0.00202-VERI_TABANI!$B$17), 0))) + ((VERI_TABANI!D24*B527*(VERI_TABANI!$B$13-VERI_TABANI!$B$14)) + (VERI_TABANI!D24*C527*(VERI_TABANI!$B$13-VERI_TABANI!$B$15)) + IF(ISNUMBER(SEARCH("Var", D527)), VERI_TABANI!F24*(0.00202-VERI_TABANI!$B$16), IF(ISNUMBER(SEARCH("Gri", D527)), VERI_TABANI!F24*(0.00202-VERI_TABANI!$B$17), 0))) + ((VERI_TABANI!D25*B527*(VERI_TABANI!$B$13-VERI_TABANI!$B$14)) + (VERI_TABANI!D25*C527*(VERI_TABANI!$B$13-VERI_TABANI!$B$15)) + IF(ISNUMBER(SEARCH("Var", D527)), VERI_TABANI!F25*(0.00202-VERI_TABANI!$B$16), IF(ISNUMBER(SEARCH("Gri", D527)), VERI_TABANI!F25*(0.00202-VERI_TABANI!$B$17), 0))) + ((VERI_TABANI!D26*B527*(VERI_TABANI!$B$13-VERI_TABANI!$B$14)) + (VERI_TABANI!D26*C527*(VERI_TABANI!$B$13-VERI_TABANI!$B$15)) + IF(ISNUMBER(SEARCH("Var", D527)), VERI_TABANI!F26*(0.00202-VERI_TABANI!$B$16), IF(ISNUMBER(SEARCH("Gri", D527)), VERI_TABANI!F26*(0.00202-VERI_TABANI!$B$17), 0))) + ((VERI_TABANI!D27*B527*(VERI_TABANI!$B$13-VERI_TABANI!$B$14)) + (VERI_TABANI!D27*C527*(VERI_TABANI!$B$13-VERI_TABANI!$B$15)) + IF(ISNUMBER(SEARCH("Var", D527)), VERI_TABANI!F27*(0.00202-VERI_TABANI!$B$16), IF(ISNUMBER(SEARCH("Gri", D527)), VERI_TABANI!F27*(0.00202-VERI_TABANI!$B$17), 0))) + ((VERI_TABANI!D28*B527*(VERI_TABANI!$B$13-VERI_TABANI!$B$14)) + (VERI_TABANI!D28*C527*(VERI_TABANI!$B$13-VERI_TABANI!$B$15)) + IF(ISNUMBER(SEARCH("Var", D527)), VERI_TABANI!F28*(0.00202-VERI_TABANI!$B$16), IF(ISNUMBER(SEARCH("Gri", D527)), VERI_TABANI!F28*(0.00202-VERI_TABANI!$B$17), 0))))</f>
        <v/>
      </c>
      <c r="I527" s="170">
        <f>IFERROR(((VERI_TABANI!$D$29*B527*VERI_TABANI!$B$14 + VERI_TABANI!$D$29*C527*VERI_TABANI!$B$15 + IF(ISNUMBER(SEARCH("Var", D527)), VERI_TABANI!$F$29*VERI_TABANI!$B$16, 0))) / (((VERI_TABANI!$D$29*B527 + VERI_TABANI!$D$29*C527)*VERI_TABANI!$B$13 + IF(ISNUMBER(SEARCH("Var", D527)), VERI_TABANI!$E$29*(1-0.928)*VERI_TABANI!$B$18, 0))), 0)</f>
        <v/>
      </c>
      <c r="J527" s="171">
        <f>IFERROR(F527/(G527/29), 0)</f>
        <v/>
      </c>
      <c r="K527" s="172">
        <f>IF(F527&gt;0, H527/F527, 0)</f>
        <v/>
      </c>
      <c r="L527" s="170">
        <f>IF(F527&gt;0, I527, 1000000000)</f>
        <v/>
      </c>
      <c r="M527" s="171">
        <f>ABS((B527+C527)-1)</f>
        <v/>
      </c>
      <c r="N527" s="170">
        <f>IF(F527&gt;0, (G527/29)/F527, 0)</f>
        <v/>
      </c>
      <c r="O527" s="168">
        <f>IF(AND((B527+C527)&gt;=1, ISNUMBER(SEARCH("Var", D527))), F527, 1000000000)</f>
        <v/>
      </c>
      <c r="P527" s="172">
        <f>IF(F527&gt;0, SQRT((F527/MAX(F$5:F$886))^2 + (1 - H527/MAX(H$5:H$886))^2 + (J527/MAX(J$5:J$886))^2), 1000000000)</f>
        <v/>
      </c>
      <c r="Q527" s="166">
        <f>IF(AND(ABS(B527-0.5)&lt;0.01, ABS(C527-0.5)&lt;0.01, ISNUMBER(SEARCH("Var", D527))), 1, 0)</f>
        <v/>
      </c>
      <c r="R527" s="171">
        <f>IF(F527&gt;0, J527, 1000000000)</f>
        <v/>
      </c>
      <c r="S527" s="101">
        <f>IF(AND(F527&lt;=DASHBOARD!$B$11, H527&gt;=DASHBOARD!$B$13), G527, -1000000000000)</f>
        <v/>
      </c>
      <c r="T527" s="101">
        <f>IF(AND(F527&lt;=DASHBOARD!$B$11, H527&gt;=DASHBOARD!$B$13), R527, 1000000000000)</f>
        <v/>
      </c>
      <c r="U527" s="101">
        <f>IF(AND(F527&lt;=DASHBOARD!$B$11, H527&gt;=DASHBOARD!$B$13), N527, -1000000000000)</f>
        <v/>
      </c>
      <c r="V527" s="101">
        <f>IF(AND(F527&lt;=DASHBOARD!$B$11, H527&gt;=DASHBOARD!$B$13), H527, -1000000000000)</f>
        <v/>
      </c>
      <c r="W527" s="101">
        <f>IF(AND(F527&lt;=DASHBOARD!$B$11, H527&gt;=DASHBOARD!$B$13), K527, -1000000000000)</f>
        <v/>
      </c>
      <c r="X527" s="101">
        <f>IF(AND(F527&lt;=DASHBOARD!$B$11, H527&gt;=DASHBOARD!$B$13), M527, 1000000000000)</f>
        <v/>
      </c>
      <c r="Y527" s="101">
        <f>IF(AND(F527&lt;=DASHBOARD!$B$10, H527&gt;=DASHBOARD!$B$11), L527, 1000000000000)</f>
        <v/>
      </c>
      <c r="Z527" s="101">
        <f>IF(AND(F527&lt;=DASHBOARD!$B$10, H527&gt;=DASHBOARD!$B$11), O527, 1000000000000)</f>
        <v/>
      </c>
      <c r="AA527" s="101">
        <f>IF(AND(F527&lt;=DASHBOARD!$B$10, H527&gt;=DASHBOARD!$B$11), P527, 1000000000000)</f>
        <v/>
      </c>
      <c r="AB527" s="101">
        <f>IF(AND(F527&lt;=DASHBOARD!$B$10, H527&gt;=DASHBOARD!$B$11), Q527, -1000000000000)</f>
        <v/>
      </c>
    </row>
    <row r="528" ht="15" customHeight="1" s="102">
      <c r="A528" s="166" t="n">
        <v>524</v>
      </c>
      <c r="B528" s="167" t="n">
        <v>1.2</v>
      </c>
      <c r="C528" s="167" t="n">
        <v>0.9</v>
      </c>
      <c r="D528" s="110" t="inlineStr">
        <is>
          <t>Var (%20)</t>
        </is>
      </c>
      <c r="E528" s="110">
        <f>IF((B528+C528)&lt;=1, "Tam Mahsuplaşma (≤%100)", "Kısmi Satış (&gt;%100)")</f>
        <v/>
      </c>
      <c r="F528" s="168">
        <f>((VERI_TABANI!$D$29*B528/VERI_TABANI!$B$29)/VERI_TABANI!$B$3)*VERI_TABANI!$B$5 + ((VERI_TABANI!$D$29*C528/VERI_TABANI!$B$29)/VERI_TABANI!$B$4)*VERI_TABANI!$B$6 + IF(ISNUMBER(SEARCH("Var", D528)), (VERI_TABANI!$F$29/VERI_TABANI!$B$29)*(VERI_TABANI!$B$10+VERI_TABANI!$B$12), 0)</f>
        <v/>
      </c>
      <c r="G528" s="168">
        <f>(((MIN(VERI_TABANI!D23, VERI_TABANI!D23*B528)*VERI_TABANI!$B$7 + MAX(0, VERI_TABANI!D23*B528-VERI_TABANI!D23)*VERI_TABANI!$B$8) + (MIN(MAX(0, VERI_TABANI!D23-VERI_TABANI!D23*B528), VERI_TABANI!D23*C528)*VERI_TABANI!$B$7 + MAX(0, VERI_TABANI!D23*C528-MAX(0, VERI_TABANI!D23-VERI_TABANI!D23*B528))*VERI_TABANI!$B$8) + IF(ABS(IF(ISNUMBER(SEARCH("Var", D528)), 1, IF(ISNUMBER(SEARCH("Gri", D528)), -1, 0)))=1, VERI_TABANI!E23*(1-0.928)*VERI_TABANI!$B$9, 0) + (VERI_TABANI!D23*B528*(VERI_TABANI!$B$13-VERI_TABANI!$B$14)*VERI_TABANI!G23) + (VERI_TABANI!D23*C528*(VERI_TABANI!$B$13-VERI_TABANI!$B$15)*VERI_TABANI!G23) + IF(ABS(IF(ISNUMBER(SEARCH("Var", D528)), 1, IF(ISNUMBER(SEARCH("Gri", D528)), -1, 0)))=1, VERI_TABANI!E23*(1-0.928)*0.00206091519919798*VERI_TABANI!G23, 0)) + ((MIN(VERI_TABANI!D24, VERI_TABANI!D24*B528)*VERI_TABANI!$B$7 + MAX(0, VERI_TABANI!D24*B528-VERI_TABANI!D24)*VERI_TABANI!$B$8) + (MIN(MAX(0, VERI_TABANI!D24-VERI_TABANI!D24*B528), VERI_TABANI!D24*C528)*VERI_TABANI!$B$7 + MAX(0, VERI_TABANI!D24*C528-MAX(0, VERI_TABANI!D24-VERI_TABANI!D24*B528))*VERI_TABANI!$B$8) + IF(ABS(IF(ISNUMBER(SEARCH("Var", D528)), 1, IF(ISNUMBER(SEARCH("Gri", D528)), -1, 0)))=1, VERI_TABANI!E24*(1-0.928)*VERI_TABANI!$B$9, 0) + (VERI_TABANI!D24*B528*(VERI_TABANI!$B$13-VERI_TABANI!$B$14)*VERI_TABANI!G24) + (VERI_TABANI!D24*C528*(VERI_TABANI!$B$13-VERI_TABANI!$B$15)*VERI_TABANI!G24) + IF(ABS(IF(ISNUMBER(SEARCH("Var", D528)), 1, IF(ISNUMBER(SEARCH("Gri", D528)), -1, 0)))=1, VERI_TABANI!E24*(1-0.928)*0.00206091519919798*VERI_TABANI!G24, 0)) + ((MIN(VERI_TABANI!D25, VERI_TABANI!D25*B528)*VERI_TABANI!$B$7 + MAX(0, VERI_TABANI!D25*B528-VERI_TABANI!D25)*VERI_TABANI!$B$8) + (MIN(MAX(0, VERI_TABANI!D25-VERI_TABANI!D25*B528), VERI_TABANI!D25*C528)*VERI_TABANI!$B$7 + MAX(0, VERI_TABANI!D25*C528-MAX(0, VERI_TABANI!D25-VERI_TABANI!D25*B528))*VERI_TABANI!$B$8) + IF(ABS(IF(ISNUMBER(SEARCH("Var", D528)), 1, IF(ISNUMBER(SEARCH("Gri", D528)), -1, 0)))=1, VERI_TABANI!E25*(1-0.928)*VERI_TABANI!$B$9, 0) + (VERI_TABANI!D25*B528*(VERI_TABANI!$B$13-VERI_TABANI!$B$14)*VERI_TABANI!G25) + (VERI_TABANI!D25*C528*(VERI_TABANI!$B$13-VERI_TABANI!$B$15)*VERI_TABANI!G25) + IF(ABS(IF(ISNUMBER(SEARCH("Var", D528)), 1, IF(ISNUMBER(SEARCH("Gri", D528)), -1, 0)))=1, VERI_TABANI!E25*(1-0.928)*0.00206091519919798*VERI_TABANI!G25, 0)) + ((MIN(VERI_TABANI!D26, VERI_TABANI!D26*B528)*VERI_TABANI!$B$7 + MAX(0, VERI_TABANI!D26*B528-VERI_TABANI!D26)*VERI_TABANI!$B$8) + (MIN(MAX(0, VERI_TABANI!D26-VERI_TABANI!D26*B528), VERI_TABANI!D26*C528)*VERI_TABANI!$B$7 + MAX(0, VERI_TABANI!D26*C528-MAX(0, VERI_TABANI!D26-VERI_TABANI!D26*B528))*VERI_TABANI!$B$8) + IF(ABS(IF(ISNUMBER(SEARCH("Var", D528)), 1, IF(ISNUMBER(SEARCH("Gri", D528)), -1, 0)))=1, VERI_TABANI!E26*(1-0.928)*VERI_TABANI!$B$9, 0) + (VERI_TABANI!D26*B528*(VERI_TABANI!$B$13-VERI_TABANI!$B$14)*VERI_TABANI!G26) + (VERI_TABANI!D26*C528*(VERI_TABANI!$B$13-VERI_TABANI!$B$15)*VERI_TABANI!G26) + IF(ABS(IF(ISNUMBER(SEARCH("Var", D528)), 1, IF(ISNUMBER(SEARCH("Gri", D528)), -1, 0)))=1, VERI_TABANI!E26*(1-0.928)*0.00206091519919798*VERI_TABANI!G26, 0)) + ((MIN(VERI_TABANI!D27, VERI_TABANI!D27*B528)*VERI_TABANI!$B$7 + MAX(0, VERI_TABANI!D27*B528-VERI_TABANI!D27)*VERI_TABANI!$B$8) + (MIN(MAX(0, VERI_TABANI!D27-VERI_TABANI!D27*B528), VERI_TABANI!D27*C528)*VERI_TABANI!$B$7 + MAX(0, VERI_TABANI!D27*C528-MAX(0, VERI_TABANI!D27-VERI_TABANI!D27*B528))*VERI_TABANI!$B$8) + IF(ABS(IF(ISNUMBER(SEARCH("Var", D528)), 1, IF(ISNUMBER(SEARCH("Gri", D528)), -1, 0)))=1, VERI_TABANI!E27*(1-0.928)*VERI_TABANI!$B$9, 0) + (VERI_TABANI!D27*B528*(VERI_TABANI!$B$13-VERI_TABANI!$B$14)*VERI_TABANI!G27) + (VERI_TABANI!D27*C528*(VERI_TABANI!$B$13-VERI_TABANI!$B$15)*VERI_TABANI!G27) + IF(ABS(IF(ISNUMBER(SEARCH("Var", D528)), 1, IF(ISNUMBER(SEARCH("Gri", D528)), -1, 0)))=1, VERI_TABANI!E27*(1-0.928)*0.00206091519919798*VERI_TABANI!G27, 0)) + ((MIN(VERI_TABANI!D28, VERI_TABANI!D28*B528)*VERI_TABANI!$B$7 + MAX(0, VERI_TABANI!D28*B528-VERI_TABANI!D28)*VERI_TABANI!$B$8) + (MIN(MAX(0, VERI_TABANI!D28-VERI_TABANI!D28*B528), VERI_TABANI!D28*C528)*VERI_TABANI!$B$7 + MAX(0, VERI_TABANI!D28*C528-MAX(0, VERI_TABANI!D28-VERI_TABANI!D28*B528))*VERI_TABANI!$B$8) + IF(ABS(IF(ISNUMBER(SEARCH("Var", D528)), 1, IF(ISNUMBER(SEARCH("Gri", D528)), -1, 0)))=1, VERI_TABANI!E28*(1-0.928)*VERI_TABANI!$B$9, 0) + (VERI_TABANI!D28*B528*(VERI_TABANI!$B$13-VERI_TABANI!$B$14)*VERI_TABANI!G28) + (VERI_TABANI!D28*C528*(VERI_TABANI!$B$13-VERI_TABANI!$B$15)*VERI_TABANI!G28) + IF(ABS(IF(ISNUMBER(SEARCH("Var", D528)), 1, IF(ISNUMBER(SEARCH("Gri", D528)), -1, 0)))=1, VERI_TABANI!E28*(1-0.928)*0.00206091519919798*VERI_TABANI!G28, 0)))</f>
        <v/>
      </c>
      <c r="H528" s="169">
        <f>(((VERI_TABANI!D23*B528*(VERI_TABANI!$B$13-VERI_TABANI!$B$14)) + (VERI_TABANI!D23*C528*(VERI_TABANI!$B$13-VERI_TABANI!$B$15)) + IF(ISNUMBER(SEARCH("Var", D528)), VERI_TABANI!F23*(0.00202-VERI_TABANI!$B$16), IF(ISNUMBER(SEARCH("Gri", D528)), VERI_TABANI!F23*(0.00202-VERI_TABANI!$B$17), 0))) + ((VERI_TABANI!D24*B528*(VERI_TABANI!$B$13-VERI_TABANI!$B$14)) + (VERI_TABANI!D24*C528*(VERI_TABANI!$B$13-VERI_TABANI!$B$15)) + IF(ISNUMBER(SEARCH("Var", D528)), VERI_TABANI!F24*(0.00202-VERI_TABANI!$B$16), IF(ISNUMBER(SEARCH("Gri", D528)), VERI_TABANI!F24*(0.00202-VERI_TABANI!$B$17), 0))) + ((VERI_TABANI!D25*B528*(VERI_TABANI!$B$13-VERI_TABANI!$B$14)) + (VERI_TABANI!D25*C528*(VERI_TABANI!$B$13-VERI_TABANI!$B$15)) + IF(ISNUMBER(SEARCH("Var", D528)), VERI_TABANI!F25*(0.00202-VERI_TABANI!$B$16), IF(ISNUMBER(SEARCH("Gri", D528)), VERI_TABANI!F25*(0.00202-VERI_TABANI!$B$17), 0))) + ((VERI_TABANI!D26*B528*(VERI_TABANI!$B$13-VERI_TABANI!$B$14)) + (VERI_TABANI!D26*C528*(VERI_TABANI!$B$13-VERI_TABANI!$B$15)) + IF(ISNUMBER(SEARCH("Var", D528)), VERI_TABANI!F26*(0.00202-VERI_TABANI!$B$16), IF(ISNUMBER(SEARCH("Gri", D528)), VERI_TABANI!F26*(0.00202-VERI_TABANI!$B$17), 0))) + ((VERI_TABANI!D27*B528*(VERI_TABANI!$B$13-VERI_TABANI!$B$14)) + (VERI_TABANI!D27*C528*(VERI_TABANI!$B$13-VERI_TABANI!$B$15)) + IF(ISNUMBER(SEARCH("Var", D528)), VERI_TABANI!F27*(0.00202-VERI_TABANI!$B$16), IF(ISNUMBER(SEARCH("Gri", D528)), VERI_TABANI!F27*(0.00202-VERI_TABANI!$B$17), 0))) + ((VERI_TABANI!D28*B528*(VERI_TABANI!$B$13-VERI_TABANI!$B$14)) + (VERI_TABANI!D28*C528*(VERI_TABANI!$B$13-VERI_TABANI!$B$15)) + IF(ISNUMBER(SEARCH("Var", D528)), VERI_TABANI!F28*(0.00202-VERI_TABANI!$B$16), IF(ISNUMBER(SEARCH("Gri", D528)), VERI_TABANI!F28*(0.00202-VERI_TABANI!$B$17), 0))))</f>
        <v/>
      </c>
      <c r="I528" s="170">
        <f>IFERROR(((VERI_TABANI!$D$29*B528*VERI_TABANI!$B$14 + VERI_TABANI!$D$29*C528*VERI_TABANI!$B$15 + IF(ISNUMBER(SEARCH("Var", D528)), VERI_TABANI!$F$29*VERI_TABANI!$B$16, 0))) / (((VERI_TABANI!$D$29*B528 + VERI_TABANI!$D$29*C528)*VERI_TABANI!$B$13 + IF(ISNUMBER(SEARCH("Var", D528)), VERI_TABANI!$E$29*(1-0.928)*VERI_TABANI!$B$18, 0))), 0)</f>
        <v/>
      </c>
      <c r="J528" s="171">
        <f>IFERROR(F528/(G528/29), 0)</f>
        <v/>
      </c>
      <c r="K528" s="172">
        <f>IF(F528&gt;0, H528/F528, 0)</f>
        <v/>
      </c>
      <c r="L528" s="170">
        <f>IF(F528&gt;0, I528, 1000000000)</f>
        <v/>
      </c>
      <c r="M528" s="171">
        <f>ABS((B528+C528)-1)</f>
        <v/>
      </c>
      <c r="N528" s="170">
        <f>IF(F528&gt;0, (G528/29)/F528, 0)</f>
        <v/>
      </c>
      <c r="O528" s="168">
        <f>IF(AND((B528+C528)&gt;=1, ISNUMBER(SEARCH("Var", D528))), F528, 1000000000)</f>
        <v/>
      </c>
      <c r="P528" s="172">
        <f>IF(F528&gt;0, SQRT((F528/MAX(F$5:F$886))^2 + (1 - H528/MAX(H$5:H$886))^2 + (J528/MAX(J$5:J$886))^2), 1000000000)</f>
        <v/>
      </c>
      <c r="Q528" s="166">
        <f>IF(AND(ABS(B528-0.5)&lt;0.01, ABS(C528-0.5)&lt;0.01, ISNUMBER(SEARCH("Var", D528))), 1, 0)</f>
        <v/>
      </c>
      <c r="R528" s="171">
        <f>IF(F528&gt;0, J528, 1000000000)</f>
        <v/>
      </c>
      <c r="S528" s="101">
        <f>IF(AND(F528&lt;=DASHBOARD!$B$11, H528&gt;=DASHBOARD!$B$13), G528, -1000000000000)</f>
        <v/>
      </c>
      <c r="T528" s="101">
        <f>IF(AND(F528&lt;=DASHBOARD!$B$11, H528&gt;=DASHBOARD!$B$13), R528, 1000000000000)</f>
        <v/>
      </c>
      <c r="U528" s="101">
        <f>IF(AND(F528&lt;=DASHBOARD!$B$11, H528&gt;=DASHBOARD!$B$13), N528, -1000000000000)</f>
        <v/>
      </c>
      <c r="V528" s="101">
        <f>IF(AND(F528&lt;=DASHBOARD!$B$11, H528&gt;=DASHBOARD!$B$13), H528, -1000000000000)</f>
        <v/>
      </c>
      <c r="W528" s="101">
        <f>IF(AND(F528&lt;=DASHBOARD!$B$11, H528&gt;=DASHBOARD!$B$13), K528, -1000000000000)</f>
        <v/>
      </c>
      <c r="X528" s="101">
        <f>IF(AND(F528&lt;=DASHBOARD!$B$11, H528&gt;=DASHBOARD!$B$13), M528, 1000000000000)</f>
        <v/>
      </c>
      <c r="Y528" s="101">
        <f>IF(AND(F528&lt;=DASHBOARD!$B$10, H528&gt;=DASHBOARD!$B$11), L528, 1000000000000)</f>
        <v/>
      </c>
      <c r="Z528" s="101">
        <f>IF(AND(F528&lt;=DASHBOARD!$B$10, H528&gt;=DASHBOARD!$B$11), O528, 1000000000000)</f>
        <v/>
      </c>
      <c r="AA528" s="101">
        <f>IF(AND(F528&lt;=DASHBOARD!$B$10, H528&gt;=DASHBOARD!$B$11), P528, 1000000000000)</f>
        <v/>
      </c>
      <c r="AB528" s="101">
        <f>IF(AND(F528&lt;=DASHBOARD!$B$10, H528&gt;=DASHBOARD!$B$11), Q528, -1000000000000)</f>
        <v/>
      </c>
    </row>
    <row r="529" ht="15" customHeight="1" s="102">
      <c r="A529" s="166" t="n">
        <v>525</v>
      </c>
      <c r="B529" s="167" t="n">
        <v>1.2</v>
      </c>
      <c r="C529" s="167" t="n">
        <v>1</v>
      </c>
      <c r="D529" s="110" t="inlineStr">
        <is>
          <t>Yok (%0)</t>
        </is>
      </c>
      <c r="E529" s="110">
        <f>IF((B529+C529)&lt;=1, "Tam Mahsuplaşma (≤%100)", "Kısmi Satış (&gt;%100)")</f>
        <v/>
      </c>
      <c r="F529" s="168">
        <f>((VERI_TABANI!$D$29*B529/VERI_TABANI!$B$29)/VERI_TABANI!$B$3)*VERI_TABANI!$B$5 + ((VERI_TABANI!$D$29*C529/VERI_TABANI!$B$29)/VERI_TABANI!$B$4)*VERI_TABANI!$B$6 + IF(ISNUMBER(SEARCH("Var", D529)), (VERI_TABANI!$F$29/VERI_TABANI!$B$29)*(VERI_TABANI!$B$10+VERI_TABANI!$B$12), 0)</f>
        <v/>
      </c>
      <c r="G529" s="168">
        <f>(((MIN(VERI_TABANI!D23, VERI_TABANI!D23*B529)*VERI_TABANI!$B$7 + MAX(0, VERI_TABANI!D23*B529-VERI_TABANI!D23)*VERI_TABANI!$B$8) + (MIN(MAX(0, VERI_TABANI!D23-VERI_TABANI!D23*B529), VERI_TABANI!D23*C529)*VERI_TABANI!$B$7 + MAX(0, VERI_TABANI!D23*C529-MAX(0, VERI_TABANI!D23-VERI_TABANI!D23*B529))*VERI_TABANI!$B$8) + IF(ABS(IF(ISNUMBER(SEARCH("Var", D529)), 1, IF(ISNUMBER(SEARCH("Gri", D529)), -1, 0)))=1, VERI_TABANI!E23*(1-0.928)*VERI_TABANI!$B$9, 0) + (VERI_TABANI!D23*B529*(VERI_TABANI!$B$13-VERI_TABANI!$B$14)*VERI_TABANI!G23) + (VERI_TABANI!D23*C529*(VERI_TABANI!$B$13-VERI_TABANI!$B$15)*VERI_TABANI!G23) + IF(ABS(IF(ISNUMBER(SEARCH("Var", D529)), 1, IF(ISNUMBER(SEARCH("Gri", D529)), -1, 0)))=1, VERI_TABANI!E23*(1-0.928)*0.00206091519919798*VERI_TABANI!G23, 0)) + ((MIN(VERI_TABANI!D24, VERI_TABANI!D24*B529)*VERI_TABANI!$B$7 + MAX(0, VERI_TABANI!D24*B529-VERI_TABANI!D24)*VERI_TABANI!$B$8) + (MIN(MAX(0, VERI_TABANI!D24-VERI_TABANI!D24*B529), VERI_TABANI!D24*C529)*VERI_TABANI!$B$7 + MAX(0, VERI_TABANI!D24*C529-MAX(0, VERI_TABANI!D24-VERI_TABANI!D24*B529))*VERI_TABANI!$B$8) + IF(ABS(IF(ISNUMBER(SEARCH("Var", D529)), 1, IF(ISNUMBER(SEARCH("Gri", D529)), -1, 0)))=1, VERI_TABANI!E24*(1-0.928)*VERI_TABANI!$B$9, 0) + (VERI_TABANI!D24*B529*(VERI_TABANI!$B$13-VERI_TABANI!$B$14)*VERI_TABANI!G24) + (VERI_TABANI!D24*C529*(VERI_TABANI!$B$13-VERI_TABANI!$B$15)*VERI_TABANI!G24) + IF(ABS(IF(ISNUMBER(SEARCH("Var", D529)), 1, IF(ISNUMBER(SEARCH("Gri", D529)), -1, 0)))=1, VERI_TABANI!E24*(1-0.928)*0.00206091519919798*VERI_TABANI!G24, 0)) + ((MIN(VERI_TABANI!D25, VERI_TABANI!D25*B529)*VERI_TABANI!$B$7 + MAX(0, VERI_TABANI!D25*B529-VERI_TABANI!D25)*VERI_TABANI!$B$8) + (MIN(MAX(0, VERI_TABANI!D25-VERI_TABANI!D25*B529), VERI_TABANI!D25*C529)*VERI_TABANI!$B$7 + MAX(0, VERI_TABANI!D25*C529-MAX(0, VERI_TABANI!D25-VERI_TABANI!D25*B529))*VERI_TABANI!$B$8) + IF(ABS(IF(ISNUMBER(SEARCH("Var", D529)), 1, IF(ISNUMBER(SEARCH("Gri", D529)), -1, 0)))=1, VERI_TABANI!E25*(1-0.928)*VERI_TABANI!$B$9, 0) + (VERI_TABANI!D25*B529*(VERI_TABANI!$B$13-VERI_TABANI!$B$14)*VERI_TABANI!G25) + (VERI_TABANI!D25*C529*(VERI_TABANI!$B$13-VERI_TABANI!$B$15)*VERI_TABANI!G25) + IF(ABS(IF(ISNUMBER(SEARCH("Var", D529)), 1, IF(ISNUMBER(SEARCH("Gri", D529)), -1, 0)))=1, VERI_TABANI!E25*(1-0.928)*0.00206091519919798*VERI_TABANI!G25, 0)) + ((MIN(VERI_TABANI!D26, VERI_TABANI!D26*B529)*VERI_TABANI!$B$7 + MAX(0, VERI_TABANI!D26*B529-VERI_TABANI!D26)*VERI_TABANI!$B$8) + (MIN(MAX(0, VERI_TABANI!D26-VERI_TABANI!D26*B529), VERI_TABANI!D26*C529)*VERI_TABANI!$B$7 + MAX(0, VERI_TABANI!D26*C529-MAX(0, VERI_TABANI!D26-VERI_TABANI!D26*B529))*VERI_TABANI!$B$8) + IF(ABS(IF(ISNUMBER(SEARCH("Var", D529)), 1, IF(ISNUMBER(SEARCH("Gri", D529)), -1, 0)))=1, VERI_TABANI!E26*(1-0.928)*VERI_TABANI!$B$9, 0) + (VERI_TABANI!D26*B529*(VERI_TABANI!$B$13-VERI_TABANI!$B$14)*VERI_TABANI!G26) + (VERI_TABANI!D26*C529*(VERI_TABANI!$B$13-VERI_TABANI!$B$15)*VERI_TABANI!G26) + IF(ABS(IF(ISNUMBER(SEARCH("Var", D529)), 1, IF(ISNUMBER(SEARCH("Gri", D529)), -1, 0)))=1, VERI_TABANI!E26*(1-0.928)*0.00206091519919798*VERI_TABANI!G26, 0)) + ((MIN(VERI_TABANI!D27, VERI_TABANI!D27*B529)*VERI_TABANI!$B$7 + MAX(0, VERI_TABANI!D27*B529-VERI_TABANI!D27)*VERI_TABANI!$B$8) + (MIN(MAX(0, VERI_TABANI!D27-VERI_TABANI!D27*B529), VERI_TABANI!D27*C529)*VERI_TABANI!$B$7 + MAX(0, VERI_TABANI!D27*C529-MAX(0, VERI_TABANI!D27-VERI_TABANI!D27*B529))*VERI_TABANI!$B$8) + IF(ABS(IF(ISNUMBER(SEARCH("Var", D529)), 1, IF(ISNUMBER(SEARCH("Gri", D529)), -1, 0)))=1, VERI_TABANI!E27*(1-0.928)*VERI_TABANI!$B$9, 0) + (VERI_TABANI!D27*B529*(VERI_TABANI!$B$13-VERI_TABANI!$B$14)*VERI_TABANI!G27) + (VERI_TABANI!D27*C529*(VERI_TABANI!$B$13-VERI_TABANI!$B$15)*VERI_TABANI!G27) + IF(ABS(IF(ISNUMBER(SEARCH("Var", D529)), 1, IF(ISNUMBER(SEARCH("Gri", D529)), -1, 0)))=1, VERI_TABANI!E27*(1-0.928)*0.00206091519919798*VERI_TABANI!G27, 0)) + ((MIN(VERI_TABANI!D28, VERI_TABANI!D28*B529)*VERI_TABANI!$B$7 + MAX(0, VERI_TABANI!D28*B529-VERI_TABANI!D28)*VERI_TABANI!$B$8) + (MIN(MAX(0, VERI_TABANI!D28-VERI_TABANI!D28*B529), VERI_TABANI!D28*C529)*VERI_TABANI!$B$7 + MAX(0, VERI_TABANI!D28*C529-MAX(0, VERI_TABANI!D28-VERI_TABANI!D28*B529))*VERI_TABANI!$B$8) + IF(ABS(IF(ISNUMBER(SEARCH("Var", D529)), 1, IF(ISNUMBER(SEARCH("Gri", D529)), -1, 0)))=1, VERI_TABANI!E28*(1-0.928)*VERI_TABANI!$B$9, 0) + (VERI_TABANI!D28*B529*(VERI_TABANI!$B$13-VERI_TABANI!$B$14)*VERI_TABANI!G28) + (VERI_TABANI!D28*C529*(VERI_TABANI!$B$13-VERI_TABANI!$B$15)*VERI_TABANI!G28) + IF(ABS(IF(ISNUMBER(SEARCH("Var", D529)), 1, IF(ISNUMBER(SEARCH("Gri", D529)), -1, 0)))=1, VERI_TABANI!E28*(1-0.928)*0.00206091519919798*VERI_TABANI!G28, 0)))</f>
        <v/>
      </c>
      <c r="H529" s="169">
        <f>(((VERI_TABANI!D23*B529*(VERI_TABANI!$B$13-VERI_TABANI!$B$14)) + (VERI_TABANI!D23*C529*(VERI_TABANI!$B$13-VERI_TABANI!$B$15)) + IF(ISNUMBER(SEARCH("Var", D529)), VERI_TABANI!F23*(0.00202-VERI_TABANI!$B$16), IF(ISNUMBER(SEARCH("Gri", D529)), VERI_TABANI!F23*(0.00202-VERI_TABANI!$B$17), 0))) + ((VERI_TABANI!D24*B529*(VERI_TABANI!$B$13-VERI_TABANI!$B$14)) + (VERI_TABANI!D24*C529*(VERI_TABANI!$B$13-VERI_TABANI!$B$15)) + IF(ISNUMBER(SEARCH("Var", D529)), VERI_TABANI!F24*(0.00202-VERI_TABANI!$B$16), IF(ISNUMBER(SEARCH("Gri", D529)), VERI_TABANI!F24*(0.00202-VERI_TABANI!$B$17), 0))) + ((VERI_TABANI!D25*B529*(VERI_TABANI!$B$13-VERI_TABANI!$B$14)) + (VERI_TABANI!D25*C529*(VERI_TABANI!$B$13-VERI_TABANI!$B$15)) + IF(ISNUMBER(SEARCH("Var", D529)), VERI_TABANI!F25*(0.00202-VERI_TABANI!$B$16), IF(ISNUMBER(SEARCH("Gri", D529)), VERI_TABANI!F25*(0.00202-VERI_TABANI!$B$17), 0))) + ((VERI_TABANI!D26*B529*(VERI_TABANI!$B$13-VERI_TABANI!$B$14)) + (VERI_TABANI!D26*C529*(VERI_TABANI!$B$13-VERI_TABANI!$B$15)) + IF(ISNUMBER(SEARCH("Var", D529)), VERI_TABANI!F26*(0.00202-VERI_TABANI!$B$16), IF(ISNUMBER(SEARCH("Gri", D529)), VERI_TABANI!F26*(0.00202-VERI_TABANI!$B$17), 0))) + ((VERI_TABANI!D27*B529*(VERI_TABANI!$B$13-VERI_TABANI!$B$14)) + (VERI_TABANI!D27*C529*(VERI_TABANI!$B$13-VERI_TABANI!$B$15)) + IF(ISNUMBER(SEARCH("Var", D529)), VERI_TABANI!F27*(0.00202-VERI_TABANI!$B$16), IF(ISNUMBER(SEARCH("Gri", D529)), VERI_TABANI!F27*(0.00202-VERI_TABANI!$B$17), 0))) + ((VERI_TABANI!D28*B529*(VERI_TABANI!$B$13-VERI_TABANI!$B$14)) + (VERI_TABANI!D28*C529*(VERI_TABANI!$B$13-VERI_TABANI!$B$15)) + IF(ISNUMBER(SEARCH("Var", D529)), VERI_TABANI!F28*(0.00202-VERI_TABANI!$B$16), IF(ISNUMBER(SEARCH("Gri", D529)), VERI_TABANI!F28*(0.00202-VERI_TABANI!$B$17), 0))))</f>
        <v/>
      </c>
      <c r="I529" s="170">
        <f>IFERROR(((VERI_TABANI!$D$29*B529*VERI_TABANI!$B$14 + VERI_TABANI!$D$29*C529*VERI_TABANI!$B$15 + IF(ISNUMBER(SEARCH("Var", D529)), VERI_TABANI!$F$29*VERI_TABANI!$B$16, 0))) / (((VERI_TABANI!$D$29*B529 + VERI_TABANI!$D$29*C529)*VERI_TABANI!$B$13 + IF(ISNUMBER(SEARCH("Var", D529)), VERI_TABANI!$E$29*(1-0.928)*VERI_TABANI!$B$18, 0))), 0)</f>
        <v/>
      </c>
      <c r="J529" s="171">
        <f>IFERROR(F529/(G529/29), 0)</f>
        <v/>
      </c>
      <c r="K529" s="172">
        <f>IF(F529&gt;0, H529/F529, 0)</f>
        <v/>
      </c>
      <c r="L529" s="170">
        <f>IF(F529&gt;0, I529, 1000000000)</f>
        <v/>
      </c>
      <c r="M529" s="171">
        <f>ABS((B529+C529)-1)</f>
        <v/>
      </c>
      <c r="N529" s="170">
        <f>IF(F529&gt;0, (G529/29)/F529, 0)</f>
        <v/>
      </c>
      <c r="O529" s="168">
        <f>IF(AND((B529+C529)&gt;=1, ISNUMBER(SEARCH("Var", D529))), F529, 1000000000)</f>
        <v/>
      </c>
      <c r="P529" s="172">
        <f>IF(F529&gt;0, SQRT((F529/MAX(F$5:F$886))^2 + (1 - H529/MAX(H$5:H$886))^2 + (J529/MAX(J$5:J$886))^2), 1000000000)</f>
        <v/>
      </c>
      <c r="Q529" s="166">
        <f>IF(AND(ABS(B529-0.5)&lt;0.01, ABS(C529-0.5)&lt;0.01, ISNUMBER(SEARCH("Var", D529))), 1, 0)</f>
        <v/>
      </c>
      <c r="R529" s="171">
        <f>IF(F529&gt;0, J529, 1000000000)</f>
        <v/>
      </c>
      <c r="S529" s="101">
        <f>IF(AND(F529&lt;=DASHBOARD!$B$11, H529&gt;=DASHBOARD!$B$13), G529, -1000000000000)</f>
        <v/>
      </c>
      <c r="T529" s="101">
        <f>IF(AND(F529&lt;=DASHBOARD!$B$11, H529&gt;=DASHBOARD!$B$13), R529, 1000000000000)</f>
        <v/>
      </c>
      <c r="U529" s="101">
        <f>IF(AND(F529&lt;=DASHBOARD!$B$11, H529&gt;=DASHBOARD!$B$13), N529, -1000000000000)</f>
        <v/>
      </c>
      <c r="V529" s="101">
        <f>IF(AND(F529&lt;=DASHBOARD!$B$11, H529&gt;=DASHBOARD!$B$13), H529, -1000000000000)</f>
        <v/>
      </c>
      <c r="W529" s="101">
        <f>IF(AND(F529&lt;=DASHBOARD!$B$11, H529&gt;=DASHBOARD!$B$13), K529, -1000000000000)</f>
        <v/>
      </c>
      <c r="X529" s="101">
        <f>IF(AND(F529&lt;=DASHBOARD!$B$11, H529&gt;=DASHBOARD!$B$13), M529, 1000000000000)</f>
        <v/>
      </c>
      <c r="Y529" s="101">
        <f>IF(AND(F529&lt;=DASHBOARD!$B$10, H529&gt;=DASHBOARD!$B$11), L529, 1000000000000)</f>
        <v/>
      </c>
      <c r="Z529" s="101">
        <f>IF(AND(F529&lt;=DASHBOARD!$B$10, H529&gt;=DASHBOARD!$B$11), O529, 1000000000000)</f>
        <v/>
      </c>
      <c r="AA529" s="101">
        <f>IF(AND(F529&lt;=DASHBOARD!$B$10, H529&gt;=DASHBOARD!$B$11), P529, 1000000000000)</f>
        <v/>
      </c>
      <c r="AB529" s="101">
        <f>IF(AND(F529&lt;=DASHBOARD!$B$10, H529&gt;=DASHBOARD!$B$11), Q529, -1000000000000)</f>
        <v/>
      </c>
    </row>
    <row r="530" ht="15" customHeight="1" s="102">
      <c r="A530" s="166" t="n">
        <v>526</v>
      </c>
      <c r="B530" s="167" t="n">
        <v>1.2</v>
      </c>
      <c r="C530" s="167" t="n">
        <v>1</v>
      </c>
      <c r="D530" s="110" t="inlineStr">
        <is>
          <t>Var (%20)</t>
        </is>
      </c>
      <c r="E530" s="110">
        <f>IF((B530+C530)&lt;=1, "Tam Mahsuplaşma (≤%100)", "Kısmi Satış (&gt;%100)")</f>
        <v/>
      </c>
      <c r="F530" s="168">
        <f>((VERI_TABANI!$D$29*B530/VERI_TABANI!$B$29)/VERI_TABANI!$B$3)*VERI_TABANI!$B$5 + ((VERI_TABANI!$D$29*C530/VERI_TABANI!$B$29)/VERI_TABANI!$B$4)*VERI_TABANI!$B$6 + IF(ISNUMBER(SEARCH("Var", D530)), (VERI_TABANI!$F$29/VERI_TABANI!$B$29)*(VERI_TABANI!$B$10+VERI_TABANI!$B$12), 0)</f>
        <v/>
      </c>
      <c r="G530" s="168">
        <f>(((MIN(VERI_TABANI!D23, VERI_TABANI!D23*B530)*VERI_TABANI!$B$7 + MAX(0, VERI_TABANI!D23*B530-VERI_TABANI!D23)*VERI_TABANI!$B$8) + (MIN(MAX(0, VERI_TABANI!D23-VERI_TABANI!D23*B530), VERI_TABANI!D23*C530)*VERI_TABANI!$B$7 + MAX(0, VERI_TABANI!D23*C530-MAX(0, VERI_TABANI!D23-VERI_TABANI!D23*B530))*VERI_TABANI!$B$8) + IF(ABS(IF(ISNUMBER(SEARCH("Var", D530)), 1, IF(ISNUMBER(SEARCH("Gri", D530)), -1, 0)))=1, VERI_TABANI!E23*(1-0.928)*VERI_TABANI!$B$9, 0) + (VERI_TABANI!D23*B530*(VERI_TABANI!$B$13-VERI_TABANI!$B$14)*VERI_TABANI!G23) + (VERI_TABANI!D23*C530*(VERI_TABANI!$B$13-VERI_TABANI!$B$15)*VERI_TABANI!G23) + IF(ABS(IF(ISNUMBER(SEARCH("Var", D530)), 1, IF(ISNUMBER(SEARCH("Gri", D530)), -1, 0)))=1, VERI_TABANI!E23*(1-0.928)*0.00206091519919798*VERI_TABANI!G23, 0)) + ((MIN(VERI_TABANI!D24, VERI_TABANI!D24*B530)*VERI_TABANI!$B$7 + MAX(0, VERI_TABANI!D24*B530-VERI_TABANI!D24)*VERI_TABANI!$B$8) + (MIN(MAX(0, VERI_TABANI!D24-VERI_TABANI!D24*B530), VERI_TABANI!D24*C530)*VERI_TABANI!$B$7 + MAX(0, VERI_TABANI!D24*C530-MAX(0, VERI_TABANI!D24-VERI_TABANI!D24*B530))*VERI_TABANI!$B$8) + IF(ABS(IF(ISNUMBER(SEARCH("Var", D530)), 1, IF(ISNUMBER(SEARCH("Gri", D530)), -1, 0)))=1, VERI_TABANI!E24*(1-0.928)*VERI_TABANI!$B$9, 0) + (VERI_TABANI!D24*B530*(VERI_TABANI!$B$13-VERI_TABANI!$B$14)*VERI_TABANI!G24) + (VERI_TABANI!D24*C530*(VERI_TABANI!$B$13-VERI_TABANI!$B$15)*VERI_TABANI!G24) + IF(ABS(IF(ISNUMBER(SEARCH("Var", D530)), 1, IF(ISNUMBER(SEARCH("Gri", D530)), -1, 0)))=1, VERI_TABANI!E24*(1-0.928)*0.00206091519919798*VERI_TABANI!G24, 0)) + ((MIN(VERI_TABANI!D25, VERI_TABANI!D25*B530)*VERI_TABANI!$B$7 + MAX(0, VERI_TABANI!D25*B530-VERI_TABANI!D25)*VERI_TABANI!$B$8) + (MIN(MAX(0, VERI_TABANI!D25-VERI_TABANI!D25*B530), VERI_TABANI!D25*C530)*VERI_TABANI!$B$7 + MAX(0, VERI_TABANI!D25*C530-MAX(0, VERI_TABANI!D25-VERI_TABANI!D25*B530))*VERI_TABANI!$B$8) + IF(ABS(IF(ISNUMBER(SEARCH("Var", D530)), 1, IF(ISNUMBER(SEARCH("Gri", D530)), -1, 0)))=1, VERI_TABANI!E25*(1-0.928)*VERI_TABANI!$B$9, 0) + (VERI_TABANI!D25*B530*(VERI_TABANI!$B$13-VERI_TABANI!$B$14)*VERI_TABANI!G25) + (VERI_TABANI!D25*C530*(VERI_TABANI!$B$13-VERI_TABANI!$B$15)*VERI_TABANI!G25) + IF(ABS(IF(ISNUMBER(SEARCH("Var", D530)), 1, IF(ISNUMBER(SEARCH("Gri", D530)), -1, 0)))=1, VERI_TABANI!E25*(1-0.928)*0.00206091519919798*VERI_TABANI!G25, 0)) + ((MIN(VERI_TABANI!D26, VERI_TABANI!D26*B530)*VERI_TABANI!$B$7 + MAX(0, VERI_TABANI!D26*B530-VERI_TABANI!D26)*VERI_TABANI!$B$8) + (MIN(MAX(0, VERI_TABANI!D26-VERI_TABANI!D26*B530), VERI_TABANI!D26*C530)*VERI_TABANI!$B$7 + MAX(0, VERI_TABANI!D26*C530-MAX(0, VERI_TABANI!D26-VERI_TABANI!D26*B530))*VERI_TABANI!$B$8) + IF(ABS(IF(ISNUMBER(SEARCH("Var", D530)), 1, IF(ISNUMBER(SEARCH("Gri", D530)), -1, 0)))=1, VERI_TABANI!E26*(1-0.928)*VERI_TABANI!$B$9, 0) + (VERI_TABANI!D26*B530*(VERI_TABANI!$B$13-VERI_TABANI!$B$14)*VERI_TABANI!G26) + (VERI_TABANI!D26*C530*(VERI_TABANI!$B$13-VERI_TABANI!$B$15)*VERI_TABANI!G26) + IF(ABS(IF(ISNUMBER(SEARCH("Var", D530)), 1, IF(ISNUMBER(SEARCH("Gri", D530)), -1, 0)))=1, VERI_TABANI!E26*(1-0.928)*0.00206091519919798*VERI_TABANI!G26, 0)) + ((MIN(VERI_TABANI!D27, VERI_TABANI!D27*B530)*VERI_TABANI!$B$7 + MAX(0, VERI_TABANI!D27*B530-VERI_TABANI!D27)*VERI_TABANI!$B$8) + (MIN(MAX(0, VERI_TABANI!D27-VERI_TABANI!D27*B530), VERI_TABANI!D27*C530)*VERI_TABANI!$B$7 + MAX(0, VERI_TABANI!D27*C530-MAX(0, VERI_TABANI!D27-VERI_TABANI!D27*B530))*VERI_TABANI!$B$8) + IF(ABS(IF(ISNUMBER(SEARCH("Var", D530)), 1, IF(ISNUMBER(SEARCH("Gri", D530)), -1, 0)))=1, VERI_TABANI!E27*(1-0.928)*VERI_TABANI!$B$9, 0) + (VERI_TABANI!D27*B530*(VERI_TABANI!$B$13-VERI_TABANI!$B$14)*VERI_TABANI!G27) + (VERI_TABANI!D27*C530*(VERI_TABANI!$B$13-VERI_TABANI!$B$15)*VERI_TABANI!G27) + IF(ABS(IF(ISNUMBER(SEARCH("Var", D530)), 1, IF(ISNUMBER(SEARCH("Gri", D530)), -1, 0)))=1, VERI_TABANI!E27*(1-0.928)*0.00206091519919798*VERI_TABANI!G27, 0)) + ((MIN(VERI_TABANI!D28, VERI_TABANI!D28*B530)*VERI_TABANI!$B$7 + MAX(0, VERI_TABANI!D28*B530-VERI_TABANI!D28)*VERI_TABANI!$B$8) + (MIN(MAX(0, VERI_TABANI!D28-VERI_TABANI!D28*B530), VERI_TABANI!D28*C530)*VERI_TABANI!$B$7 + MAX(0, VERI_TABANI!D28*C530-MAX(0, VERI_TABANI!D28-VERI_TABANI!D28*B530))*VERI_TABANI!$B$8) + IF(ABS(IF(ISNUMBER(SEARCH("Var", D530)), 1, IF(ISNUMBER(SEARCH("Gri", D530)), -1, 0)))=1, VERI_TABANI!E28*(1-0.928)*VERI_TABANI!$B$9, 0) + (VERI_TABANI!D28*B530*(VERI_TABANI!$B$13-VERI_TABANI!$B$14)*VERI_TABANI!G28) + (VERI_TABANI!D28*C530*(VERI_TABANI!$B$13-VERI_TABANI!$B$15)*VERI_TABANI!G28) + IF(ABS(IF(ISNUMBER(SEARCH("Var", D530)), 1, IF(ISNUMBER(SEARCH("Gri", D530)), -1, 0)))=1, VERI_TABANI!E28*(1-0.928)*0.00206091519919798*VERI_TABANI!G28, 0)))</f>
        <v/>
      </c>
      <c r="H530" s="169">
        <f>(((VERI_TABANI!D23*B530*(VERI_TABANI!$B$13-VERI_TABANI!$B$14)) + (VERI_TABANI!D23*C530*(VERI_TABANI!$B$13-VERI_TABANI!$B$15)) + IF(ISNUMBER(SEARCH("Var", D530)), VERI_TABANI!F23*(0.00202-VERI_TABANI!$B$16), IF(ISNUMBER(SEARCH("Gri", D530)), VERI_TABANI!F23*(0.00202-VERI_TABANI!$B$17), 0))) + ((VERI_TABANI!D24*B530*(VERI_TABANI!$B$13-VERI_TABANI!$B$14)) + (VERI_TABANI!D24*C530*(VERI_TABANI!$B$13-VERI_TABANI!$B$15)) + IF(ISNUMBER(SEARCH("Var", D530)), VERI_TABANI!F24*(0.00202-VERI_TABANI!$B$16), IF(ISNUMBER(SEARCH("Gri", D530)), VERI_TABANI!F24*(0.00202-VERI_TABANI!$B$17), 0))) + ((VERI_TABANI!D25*B530*(VERI_TABANI!$B$13-VERI_TABANI!$B$14)) + (VERI_TABANI!D25*C530*(VERI_TABANI!$B$13-VERI_TABANI!$B$15)) + IF(ISNUMBER(SEARCH("Var", D530)), VERI_TABANI!F25*(0.00202-VERI_TABANI!$B$16), IF(ISNUMBER(SEARCH("Gri", D530)), VERI_TABANI!F25*(0.00202-VERI_TABANI!$B$17), 0))) + ((VERI_TABANI!D26*B530*(VERI_TABANI!$B$13-VERI_TABANI!$B$14)) + (VERI_TABANI!D26*C530*(VERI_TABANI!$B$13-VERI_TABANI!$B$15)) + IF(ISNUMBER(SEARCH("Var", D530)), VERI_TABANI!F26*(0.00202-VERI_TABANI!$B$16), IF(ISNUMBER(SEARCH("Gri", D530)), VERI_TABANI!F26*(0.00202-VERI_TABANI!$B$17), 0))) + ((VERI_TABANI!D27*B530*(VERI_TABANI!$B$13-VERI_TABANI!$B$14)) + (VERI_TABANI!D27*C530*(VERI_TABANI!$B$13-VERI_TABANI!$B$15)) + IF(ISNUMBER(SEARCH("Var", D530)), VERI_TABANI!F27*(0.00202-VERI_TABANI!$B$16), IF(ISNUMBER(SEARCH("Gri", D530)), VERI_TABANI!F27*(0.00202-VERI_TABANI!$B$17), 0))) + ((VERI_TABANI!D28*B530*(VERI_TABANI!$B$13-VERI_TABANI!$B$14)) + (VERI_TABANI!D28*C530*(VERI_TABANI!$B$13-VERI_TABANI!$B$15)) + IF(ISNUMBER(SEARCH("Var", D530)), VERI_TABANI!F28*(0.00202-VERI_TABANI!$B$16), IF(ISNUMBER(SEARCH("Gri", D530)), VERI_TABANI!F28*(0.00202-VERI_TABANI!$B$17), 0))))</f>
        <v/>
      </c>
      <c r="I530" s="170">
        <f>IFERROR(((VERI_TABANI!$D$29*B530*VERI_TABANI!$B$14 + VERI_TABANI!$D$29*C530*VERI_TABANI!$B$15 + IF(ISNUMBER(SEARCH("Var", D530)), VERI_TABANI!$F$29*VERI_TABANI!$B$16, 0))) / (((VERI_TABANI!$D$29*B530 + VERI_TABANI!$D$29*C530)*VERI_TABANI!$B$13 + IF(ISNUMBER(SEARCH("Var", D530)), VERI_TABANI!$E$29*(1-0.928)*VERI_TABANI!$B$18, 0))), 0)</f>
        <v/>
      </c>
      <c r="J530" s="171">
        <f>IFERROR(F530/(G530/29), 0)</f>
        <v/>
      </c>
      <c r="K530" s="172">
        <f>IF(F530&gt;0, H530/F530, 0)</f>
        <v/>
      </c>
      <c r="L530" s="170">
        <f>IF(F530&gt;0, I530, 1000000000)</f>
        <v/>
      </c>
      <c r="M530" s="171">
        <f>ABS((B530+C530)-1)</f>
        <v/>
      </c>
      <c r="N530" s="170">
        <f>IF(F530&gt;0, (G530/29)/F530, 0)</f>
        <v/>
      </c>
      <c r="O530" s="168">
        <f>IF(AND((B530+C530)&gt;=1, ISNUMBER(SEARCH("Var", D530))), F530, 1000000000)</f>
        <v/>
      </c>
      <c r="P530" s="172">
        <f>IF(F530&gt;0, SQRT((F530/MAX(F$5:F$886))^2 + (1 - H530/MAX(H$5:H$886))^2 + (J530/MAX(J$5:J$886))^2), 1000000000)</f>
        <v/>
      </c>
      <c r="Q530" s="166">
        <f>IF(AND(ABS(B530-0.5)&lt;0.01, ABS(C530-0.5)&lt;0.01, ISNUMBER(SEARCH("Var", D530))), 1, 0)</f>
        <v/>
      </c>
      <c r="R530" s="171">
        <f>IF(F530&gt;0, J530, 1000000000)</f>
        <v/>
      </c>
      <c r="S530" s="101">
        <f>IF(AND(F530&lt;=DASHBOARD!$B$11, H530&gt;=DASHBOARD!$B$13), G530, -1000000000000)</f>
        <v/>
      </c>
      <c r="T530" s="101">
        <f>IF(AND(F530&lt;=DASHBOARD!$B$11, H530&gt;=DASHBOARD!$B$13), R530, 1000000000000)</f>
        <v/>
      </c>
      <c r="U530" s="101">
        <f>IF(AND(F530&lt;=DASHBOARD!$B$11, H530&gt;=DASHBOARD!$B$13), N530, -1000000000000)</f>
        <v/>
      </c>
      <c r="V530" s="101">
        <f>IF(AND(F530&lt;=DASHBOARD!$B$11, H530&gt;=DASHBOARD!$B$13), H530, -1000000000000)</f>
        <v/>
      </c>
      <c r="W530" s="101">
        <f>IF(AND(F530&lt;=DASHBOARD!$B$11, H530&gt;=DASHBOARD!$B$13), K530, -1000000000000)</f>
        <v/>
      </c>
      <c r="X530" s="101">
        <f>IF(AND(F530&lt;=DASHBOARD!$B$11, H530&gt;=DASHBOARD!$B$13), M530, 1000000000000)</f>
        <v/>
      </c>
      <c r="Y530" s="101">
        <f>IF(AND(F530&lt;=DASHBOARD!$B$10, H530&gt;=DASHBOARD!$B$11), L530, 1000000000000)</f>
        <v/>
      </c>
      <c r="Z530" s="101">
        <f>IF(AND(F530&lt;=DASHBOARD!$B$10, H530&gt;=DASHBOARD!$B$11), O530, 1000000000000)</f>
        <v/>
      </c>
      <c r="AA530" s="101">
        <f>IF(AND(F530&lt;=DASHBOARD!$B$10, H530&gt;=DASHBOARD!$B$11), P530, 1000000000000)</f>
        <v/>
      </c>
      <c r="AB530" s="101">
        <f>IF(AND(F530&lt;=DASHBOARD!$B$10, H530&gt;=DASHBOARD!$B$11), Q530, -1000000000000)</f>
        <v/>
      </c>
    </row>
    <row r="531" ht="15" customHeight="1" s="102">
      <c r="A531" s="166" t="n">
        <v>527</v>
      </c>
      <c r="B531" s="167" t="n">
        <v>1.2</v>
      </c>
      <c r="C531" s="167" t="n">
        <v>1.1</v>
      </c>
      <c r="D531" s="110" t="inlineStr">
        <is>
          <t>Yok (%0)</t>
        </is>
      </c>
      <c r="E531" s="110">
        <f>IF((B531+C531)&lt;=1, "Tam Mahsuplaşma (≤%100)", "Kısmi Satış (&gt;%100)")</f>
        <v/>
      </c>
      <c r="F531" s="168">
        <f>((VERI_TABANI!$D$29*B531/VERI_TABANI!$B$29)/VERI_TABANI!$B$3)*VERI_TABANI!$B$5 + ((VERI_TABANI!$D$29*C531/VERI_TABANI!$B$29)/VERI_TABANI!$B$4)*VERI_TABANI!$B$6 + IF(ISNUMBER(SEARCH("Var", D531)), (VERI_TABANI!$F$29/VERI_TABANI!$B$29)*(VERI_TABANI!$B$10+VERI_TABANI!$B$12), 0)</f>
        <v/>
      </c>
      <c r="G531" s="168">
        <f>(((MIN(VERI_TABANI!D23, VERI_TABANI!D23*B531)*VERI_TABANI!$B$7 + MAX(0, VERI_TABANI!D23*B531-VERI_TABANI!D23)*VERI_TABANI!$B$8) + (MIN(MAX(0, VERI_TABANI!D23-VERI_TABANI!D23*B531), VERI_TABANI!D23*C531)*VERI_TABANI!$B$7 + MAX(0, VERI_TABANI!D23*C531-MAX(0, VERI_TABANI!D23-VERI_TABANI!D23*B531))*VERI_TABANI!$B$8) + IF(ABS(IF(ISNUMBER(SEARCH("Var", D531)), 1, IF(ISNUMBER(SEARCH("Gri", D531)), -1, 0)))=1, VERI_TABANI!E23*(1-0.928)*VERI_TABANI!$B$9, 0) + (VERI_TABANI!D23*B531*(VERI_TABANI!$B$13-VERI_TABANI!$B$14)*VERI_TABANI!G23) + (VERI_TABANI!D23*C531*(VERI_TABANI!$B$13-VERI_TABANI!$B$15)*VERI_TABANI!G23) + IF(ABS(IF(ISNUMBER(SEARCH("Var", D531)), 1, IF(ISNUMBER(SEARCH("Gri", D531)), -1, 0)))=1, VERI_TABANI!E23*(1-0.928)*0.00206091519919798*VERI_TABANI!G23, 0)) + ((MIN(VERI_TABANI!D24, VERI_TABANI!D24*B531)*VERI_TABANI!$B$7 + MAX(0, VERI_TABANI!D24*B531-VERI_TABANI!D24)*VERI_TABANI!$B$8) + (MIN(MAX(0, VERI_TABANI!D24-VERI_TABANI!D24*B531), VERI_TABANI!D24*C531)*VERI_TABANI!$B$7 + MAX(0, VERI_TABANI!D24*C531-MAX(0, VERI_TABANI!D24-VERI_TABANI!D24*B531))*VERI_TABANI!$B$8) + IF(ABS(IF(ISNUMBER(SEARCH("Var", D531)), 1, IF(ISNUMBER(SEARCH("Gri", D531)), -1, 0)))=1, VERI_TABANI!E24*(1-0.928)*VERI_TABANI!$B$9, 0) + (VERI_TABANI!D24*B531*(VERI_TABANI!$B$13-VERI_TABANI!$B$14)*VERI_TABANI!G24) + (VERI_TABANI!D24*C531*(VERI_TABANI!$B$13-VERI_TABANI!$B$15)*VERI_TABANI!G24) + IF(ABS(IF(ISNUMBER(SEARCH("Var", D531)), 1, IF(ISNUMBER(SEARCH("Gri", D531)), -1, 0)))=1, VERI_TABANI!E24*(1-0.928)*0.00206091519919798*VERI_TABANI!G24, 0)) + ((MIN(VERI_TABANI!D25, VERI_TABANI!D25*B531)*VERI_TABANI!$B$7 + MAX(0, VERI_TABANI!D25*B531-VERI_TABANI!D25)*VERI_TABANI!$B$8) + (MIN(MAX(0, VERI_TABANI!D25-VERI_TABANI!D25*B531), VERI_TABANI!D25*C531)*VERI_TABANI!$B$7 + MAX(0, VERI_TABANI!D25*C531-MAX(0, VERI_TABANI!D25-VERI_TABANI!D25*B531))*VERI_TABANI!$B$8) + IF(ABS(IF(ISNUMBER(SEARCH("Var", D531)), 1, IF(ISNUMBER(SEARCH("Gri", D531)), -1, 0)))=1, VERI_TABANI!E25*(1-0.928)*VERI_TABANI!$B$9, 0) + (VERI_TABANI!D25*B531*(VERI_TABANI!$B$13-VERI_TABANI!$B$14)*VERI_TABANI!G25) + (VERI_TABANI!D25*C531*(VERI_TABANI!$B$13-VERI_TABANI!$B$15)*VERI_TABANI!G25) + IF(ABS(IF(ISNUMBER(SEARCH("Var", D531)), 1, IF(ISNUMBER(SEARCH("Gri", D531)), -1, 0)))=1, VERI_TABANI!E25*(1-0.928)*0.00206091519919798*VERI_TABANI!G25, 0)) + ((MIN(VERI_TABANI!D26, VERI_TABANI!D26*B531)*VERI_TABANI!$B$7 + MAX(0, VERI_TABANI!D26*B531-VERI_TABANI!D26)*VERI_TABANI!$B$8) + (MIN(MAX(0, VERI_TABANI!D26-VERI_TABANI!D26*B531), VERI_TABANI!D26*C531)*VERI_TABANI!$B$7 + MAX(0, VERI_TABANI!D26*C531-MAX(0, VERI_TABANI!D26-VERI_TABANI!D26*B531))*VERI_TABANI!$B$8) + IF(ABS(IF(ISNUMBER(SEARCH("Var", D531)), 1, IF(ISNUMBER(SEARCH("Gri", D531)), -1, 0)))=1, VERI_TABANI!E26*(1-0.928)*VERI_TABANI!$B$9, 0) + (VERI_TABANI!D26*B531*(VERI_TABANI!$B$13-VERI_TABANI!$B$14)*VERI_TABANI!G26) + (VERI_TABANI!D26*C531*(VERI_TABANI!$B$13-VERI_TABANI!$B$15)*VERI_TABANI!G26) + IF(ABS(IF(ISNUMBER(SEARCH("Var", D531)), 1, IF(ISNUMBER(SEARCH("Gri", D531)), -1, 0)))=1, VERI_TABANI!E26*(1-0.928)*0.00206091519919798*VERI_TABANI!G26, 0)) + ((MIN(VERI_TABANI!D27, VERI_TABANI!D27*B531)*VERI_TABANI!$B$7 + MAX(0, VERI_TABANI!D27*B531-VERI_TABANI!D27)*VERI_TABANI!$B$8) + (MIN(MAX(0, VERI_TABANI!D27-VERI_TABANI!D27*B531), VERI_TABANI!D27*C531)*VERI_TABANI!$B$7 + MAX(0, VERI_TABANI!D27*C531-MAX(0, VERI_TABANI!D27-VERI_TABANI!D27*B531))*VERI_TABANI!$B$8) + IF(ABS(IF(ISNUMBER(SEARCH("Var", D531)), 1, IF(ISNUMBER(SEARCH("Gri", D531)), -1, 0)))=1, VERI_TABANI!E27*(1-0.928)*VERI_TABANI!$B$9, 0) + (VERI_TABANI!D27*B531*(VERI_TABANI!$B$13-VERI_TABANI!$B$14)*VERI_TABANI!G27) + (VERI_TABANI!D27*C531*(VERI_TABANI!$B$13-VERI_TABANI!$B$15)*VERI_TABANI!G27) + IF(ABS(IF(ISNUMBER(SEARCH("Var", D531)), 1, IF(ISNUMBER(SEARCH("Gri", D531)), -1, 0)))=1, VERI_TABANI!E27*(1-0.928)*0.00206091519919798*VERI_TABANI!G27, 0)) + ((MIN(VERI_TABANI!D28, VERI_TABANI!D28*B531)*VERI_TABANI!$B$7 + MAX(0, VERI_TABANI!D28*B531-VERI_TABANI!D28)*VERI_TABANI!$B$8) + (MIN(MAX(0, VERI_TABANI!D28-VERI_TABANI!D28*B531), VERI_TABANI!D28*C531)*VERI_TABANI!$B$7 + MAX(0, VERI_TABANI!D28*C531-MAX(0, VERI_TABANI!D28-VERI_TABANI!D28*B531))*VERI_TABANI!$B$8) + IF(ABS(IF(ISNUMBER(SEARCH("Var", D531)), 1, IF(ISNUMBER(SEARCH("Gri", D531)), -1, 0)))=1, VERI_TABANI!E28*(1-0.928)*VERI_TABANI!$B$9, 0) + (VERI_TABANI!D28*B531*(VERI_TABANI!$B$13-VERI_TABANI!$B$14)*VERI_TABANI!G28) + (VERI_TABANI!D28*C531*(VERI_TABANI!$B$13-VERI_TABANI!$B$15)*VERI_TABANI!G28) + IF(ABS(IF(ISNUMBER(SEARCH("Var", D531)), 1, IF(ISNUMBER(SEARCH("Gri", D531)), -1, 0)))=1, VERI_TABANI!E28*(1-0.928)*0.00206091519919798*VERI_TABANI!G28, 0)))</f>
        <v/>
      </c>
      <c r="H531" s="169">
        <f>(((VERI_TABANI!D23*B531*(VERI_TABANI!$B$13-VERI_TABANI!$B$14)) + (VERI_TABANI!D23*C531*(VERI_TABANI!$B$13-VERI_TABANI!$B$15)) + IF(ISNUMBER(SEARCH("Var", D531)), VERI_TABANI!F23*(0.00202-VERI_TABANI!$B$16), IF(ISNUMBER(SEARCH("Gri", D531)), VERI_TABANI!F23*(0.00202-VERI_TABANI!$B$17), 0))) + ((VERI_TABANI!D24*B531*(VERI_TABANI!$B$13-VERI_TABANI!$B$14)) + (VERI_TABANI!D24*C531*(VERI_TABANI!$B$13-VERI_TABANI!$B$15)) + IF(ISNUMBER(SEARCH("Var", D531)), VERI_TABANI!F24*(0.00202-VERI_TABANI!$B$16), IF(ISNUMBER(SEARCH("Gri", D531)), VERI_TABANI!F24*(0.00202-VERI_TABANI!$B$17), 0))) + ((VERI_TABANI!D25*B531*(VERI_TABANI!$B$13-VERI_TABANI!$B$14)) + (VERI_TABANI!D25*C531*(VERI_TABANI!$B$13-VERI_TABANI!$B$15)) + IF(ISNUMBER(SEARCH("Var", D531)), VERI_TABANI!F25*(0.00202-VERI_TABANI!$B$16), IF(ISNUMBER(SEARCH("Gri", D531)), VERI_TABANI!F25*(0.00202-VERI_TABANI!$B$17), 0))) + ((VERI_TABANI!D26*B531*(VERI_TABANI!$B$13-VERI_TABANI!$B$14)) + (VERI_TABANI!D26*C531*(VERI_TABANI!$B$13-VERI_TABANI!$B$15)) + IF(ISNUMBER(SEARCH("Var", D531)), VERI_TABANI!F26*(0.00202-VERI_TABANI!$B$16), IF(ISNUMBER(SEARCH("Gri", D531)), VERI_TABANI!F26*(0.00202-VERI_TABANI!$B$17), 0))) + ((VERI_TABANI!D27*B531*(VERI_TABANI!$B$13-VERI_TABANI!$B$14)) + (VERI_TABANI!D27*C531*(VERI_TABANI!$B$13-VERI_TABANI!$B$15)) + IF(ISNUMBER(SEARCH("Var", D531)), VERI_TABANI!F27*(0.00202-VERI_TABANI!$B$16), IF(ISNUMBER(SEARCH("Gri", D531)), VERI_TABANI!F27*(0.00202-VERI_TABANI!$B$17), 0))) + ((VERI_TABANI!D28*B531*(VERI_TABANI!$B$13-VERI_TABANI!$B$14)) + (VERI_TABANI!D28*C531*(VERI_TABANI!$B$13-VERI_TABANI!$B$15)) + IF(ISNUMBER(SEARCH("Var", D531)), VERI_TABANI!F28*(0.00202-VERI_TABANI!$B$16), IF(ISNUMBER(SEARCH("Gri", D531)), VERI_TABANI!F28*(0.00202-VERI_TABANI!$B$17), 0))))</f>
        <v/>
      </c>
      <c r="I531" s="170">
        <f>IFERROR(((VERI_TABANI!$D$29*B531*VERI_TABANI!$B$14 + VERI_TABANI!$D$29*C531*VERI_TABANI!$B$15 + IF(ISNUMBER(SEARCH("Var", D531)), VERI_TABANI!$F$29*VERI_TABANI!$B$16, 0))) / (((VERI_TABANI!$D$29*B531 + VERI_TABANI!$D$29*C531)*VERI_TABANI!$B$13 + IF(ISNUMBER(SEARCH("Var", D531)), VERI_TABANI!$E$29*(1-0.928)*VERI_TABANI!$B$18, 0))), 0)</f>
        <v/>
      </c>
      <c r="J531" s="171">
        <f>IFERROR(F531/(G531/29), 0)</f>
        <v/>
      </c>
      <c r="K531" s="172">
        <f>IF(F531&gt;0, H531/F531, 0)</f>
        <v/>
      </c>
      <c r="L531" s="170">
        <f>IF(F531&gt;0, I531, 1000000000)</f>
        <v/>
      </c>
      <c r="M531" s="171">
        <f>ABS((B531+C531)-1)</f>
        <v/>
      </c>
      <c r="N531" s="170">
        <f>IF(F531&gt;0, (G531/29)/F531, 0)</f>
        <v/>
      </c>
      <c r="O531" s="168">
        <f>IF(AND((B531+C531)&gt;=1, ISNUMBER(SEARCH("Var", D531))), F531, 1000000000)</f>
        <v/>
      </c>
      <c r="P531" s="172">
        <f>IF(F531&gt;0, SQRT((F531/MAX(F$5:F$886))^2 + (1 - H531/MAX(H$5:H$886))^2 + (J531/MAX(J$5:J$886))^2), 1000000000)</f>
        <v/>
      </c>
      <c r="Q531" s="166">
        <f>IF(AND(ABS(B531-0.5)&lt;0.01, ABS(C531-0.5)&lt;0.01, ISNUMBER(SEARCH("Var", D531))), 1, 0)</f>
        <v/>
      </c>
      <c r="R531" s="171">
        <f>IF(F531&gt;0, J531, 1000000000)</f>
        <v/>
      </c>
      <c r="S531" s="101">
        <f>IF(AND(F531&lt;=DASHBOARD!$B$11, H531&gt;=DASHBOARD!$B$13), G531, -1000000000000)</f>
        <v/>
      </c>
      <c r="T531" s="101">
        <f>IF(AND(F531&lt;=DASHBOARD!$B$11, H531&gt;=DASHBOARD!$B$13), R531, 1000000000000)</f>
        <v/>
      </c>
      <c r="U531" s="101">
        <f>IF(AND(F531&lt;=DASHBOARD!$B$11, H531&gt;=DASHBOARD!$B$13), N531, -1000000000000)</f>
        <v/>
      </c>
      <c r="V531" s="101">
        <f>IF(AND(F531&lt;=DASHBOARD!$B$11, H531&gt;=DASHBOARD!$B$13), H531, -1000000000000)</f>
        <v/>
      </c>
      <c r="W531" s="101">
        <f>IF(AND(F531&lt;=DASHBOARD!$B$11, H531&gt;=DASHBOARD!$B$13), K531, -1000000000000)</f>
        <v/>
      </c>
      <c r="X531" s="101">
        <f>IF(AND(F531&lt;=DASHBOARD!$B$11, H531&gt;=DASHBOARD!$B$13), M531, 1000000000000)</f>
        <v/>
      </c>
      <c r="Y531" s="101">
        <f>IF(AND(F531&lt;=DASHBOARD!$B$10, H531&gt;=DASHBOARD!$B$11), L531, 1000000000000)</f>
        <v/>
      </c>
      <c r="Z531" s="101">
        <f>IF(AND(F531&lt;=DASHBOARD!$B$10, H531&gt;=DASHBOARD!$B$11), O531, 1000000000000)</f>
        <v/>
      </c>
      <c r="AA531" s="101">
        <f>IF(AND(F531&lt;=DASHBOARD!$B$10, H531&gt;=DASHBOARD!$B$11), P531, 1000000000000)</f>
        <v/>
      </c>
      <c r="AB531" s="101">
        <f>IF(AND(F531&lt;=DASHBOARD!$B$10, H531&gt;=DASHBOARD!$B$11), Q531, -1000000000000)</f>
        <v/>
      </c>
    </row>
    <row r="532" ht="15" customHeight="1" s="102">
      <c r="A532" s="166" t="n">
        <v>528</v>
      </c>
      <c r="B532" s="167" t="n">
        <v>1.2</v>
      </c>
      <c r="C532" s="167" t="n">
        <v>1.1</v>
      </c>
      <c r="D532" s="110" t="inlineStr">
        <is>
          <t>Var (%20)</t>
        </is>
      </c>
      <c r="E532" s="110">
        <f>IF((B532+C532)&lt;=1, "Tam Mahsuplaşma (≤%100)", "Kısmi Satış (&gt;%100)")</f>
        <v/>
      </c>
      <c r="F532" s="168">
        <f>((VERI_TABANI!$D$29*B532/VERI_TABANI!$B$29)/VERI_TABANI!$B$3)*VERI_TABANI!$B$5 + ((VERI_TABANI!$D$29*C532/VERI_TABANI!$B$29)/VERI_TABANI!$B$4)*VERI_TABANI!$B$6 + IF(ISNUMBER(SEARCH("Var", D532)), (VERI_TABANI!$F$29/VERI_TABANI!$B$29)*(VERI_TABANI!$B$10+VERI_TABANI!$B$12), 0)</f>
        <v/>
      </c>
      <c r="G532" s="168">
        <f>(((MIN(VERI_TABANI!D23, VERI_TABANI!D23*B532)*VERI_TABANI!$B$7 + MAX(0, VERI_TABANI!D23*B532-VERI_TABANI!D23)*VERI_TABANI!$B$8) + (MIN(MAX(0, VERI_TABANI!D23-VERI_TABANI!D23*B532), VERI_TABANI!D23*C532)*VERI_TABANI!$B$7 + MAX(0, VERI_TABANI!D23*C532-MAX(0, VERI_TABANI!D23-VERI_TABANI!D23*B532))*VERI_TABANI!$B$8) + IF(ABS(IF(ISNUMBER(SEARCH("Var", D532)), 1, IF(ISNUMBER(SEARCH("Gri", D532)), -1, 0)))=1, VERI_TABANI!E23*(1-0.928)*VERI_TABANI!$B$9, 0) + (VERI_TABANI!D23*B532*(VERI_TABANI!$B$13-VERI_TABANI!$B$14)*VERI_TABANI!G23) + (VERI_TABANI!D23*C532*(VERI_TABANI!$B$13-VERI_TABANI!$B$15)*VERI_TABANI!G23) + IF(ABS(IF(ISNUMBER(SEARCH("Var", D532)), 1, IF(ISNUMBER(SEARCH("Gri", D532)), -1, 0)))=1, VERI_TABANI!E23*(1-0.928)*0.00206091519919798*VERI_TABANI!G23, 0)) + ((MIN(VERI_TABANI!D24, VERI_TABANI!D24*B532)*VERI_TABANI!$B$7 + MAX(0, VERI_TABANI!D24*B532-VERI_TABANI!D24)*VERI_TABANI!$B$8) + (MIN(MAX(0, VERI_TABANI!D24-VERI_TABANI!D24*B532), VERI_TABANI!D24*C532)*VERI_TABANI!$B$7 + MAX(0, VERI_TABANI!D24*C532-MAX(0, VERI_TABANI!D24-VERI_TABANI!D24*B532))*VERI_TABANI!$B$8) + IF(ABS(IF(ISNUMBER(SEARCH("Var", D532)), 1, IF(ISNUMBER(SEARCH("Gri", D532)), -1, 0)))=1, VERI_TABANI!E24*(1-0.928)*VERI_TABANI!$B$9, 0) + (VERI_TABANI!D24*B532*(VERI_TABANI!$B$13-VERI_TABANI!$B$14)*VERI_TABANI!G24) + (VERI_TABANI!D24*C532*(VERI_TABANI!$B$13-VERI_TABANI!$B$15)*VERI_TABANI!G24) + IF(ABS(IF(ISNUMBER(SEARCH("Var", D532)), 1, IF(ISNUMBER(SEARCH("Gri", D532)), -1, 0)))=1, VERI_TABANI!E24*(1-0.928)*0.00206091519919798*VERI_TABANI!G24, 0)) + ((MIN(VERI_TABANI!D25, VERI_TABANI!D25*B532)*VERI_TABANI!$B$7 + MAX(0, VERI_TABANI!D25*B532-VERI_TABANI!D25)*VERI_TABANI!$B$8) + (MIN(MAX(0, VERI_TABANI!D25-VERI_TABANI!D25*B532), VERI_TABANI!D25*C532)*VERI_TABANI!$B$7 + MAX(0, VERI_TABANI!D25*C532-MAX(0, VERI_TABANI!D25-VERI_TABANI!D25*B532))*VERI_TABANI!$B$8) + IF(ABS(IF(ISNUMBER(SEARCH("Var", D532)), 1, IF(ISNUMBER(SEARCH("Gri", D532)), -1, 0)))=1, VERI_TABANI!E25*(1-0.928)*VERI_TABANI!$B$9, 0) + (VERI_TABANI!D25*B532*(VERI_TABANI!$B$13-VERI_TABANI!$B$14)*VERI_TABANI!G25) + (VERI_TABANI!D25*C532*(VERI_TABANI!$B$13-VERI_TABANI!$B$15)*VERI_TABANI!G25) + IF(ABS(IF(ISNUMBER(SEARCH("Var", D532)), 1, IF(ISNUMBER(SEARCH("Gri", D532)), -1, 0)))=1, VERI_TABANI!E25*(1-0.928)*0.00206091519919798*VERI_TABANI!G25, 0)) + ((MIN(VERI_TABANI!D26, VERI_TABANI!D26*B532)*VERI_TABANI!$B$7 + MAX(0, VERI_TABANI!D26*B532-VERI_TABANI!D26)*VERI_TABANI!$B$8) + (MIN(MAX(0, VERI_TABANI!D26-VERI_TABANI!D26*B532), VERI_TABANI!D26*C532)*VERI_TABANI!$B$7 + MAX(0, VERI_TABANI!D26*C532-MAX(0, VERI_TABANI!D26-VERI_TABANI!D26*B532))*VERI_TABANI!$B$8) + IF(ABS(IF(ISNUMBER(SEARCH("Var", D532)), 1, IF(ISNUMBER(SEARCH("Gri", D532)), -1, 0)))=1, VERI_TABANI!E26*(1-0.928)*VERI_TABANI!$B$9, 0) + (VERI_TABANI!D26*B532*(VERI_TABANI!$B$13-VERI_TABANI!$B$14)*VERI_TABANI!G26) + (VERI_TABANI!D26*C532*(VERI_TABANI!$B$13-VERI_TABANI!$B$15)*VERI_TABANI!G26) + IF(ABS(IF(ISNUMBER(SEARCH("Var", D532)), 1, IF(ISNUMBER(SEARCH("Gri", D532)), -1, 0)))=1, VERI_TABANI!E26*(1-0.928)*0.00206091519919798*VERI_TABANI!G26, 0)) + ((MIN(VERI_TABANI!D27, VERI_TABANI!D27*B532)*VERI_TABANI!$B$7 + MAX(0, VERI_TABANI!D27*B532-VERI_TABANI!D27)*VERI_TABANI!$B$8) + (MIN(MAX(0, VERI_TABANI!D27-VERI_TABANI!D27*B532), VERI_TABANI!D27*C532)*VERI_TABANI!$B$7 + MAX(0, VERI_TABANI!D27*C532-MAX(0, VERI_TABANI!D27-VERI_TABANI!D27*B532))*VERI_TABANI!$B$8) + IF(ABS(IF(ISNUMBER(SEARCH("Var", D532)), 1, IF(ISNUMBER(SEARCH("Gri", D532)), -1, 0)))=1, VERI_TABANI!E27*(1-0.928)*VERI_TABANI!$B$9, 0) + (VERI_TABANI!D27*B532*(VERI_TABANI!$B$13-VERI_TABANI!$B$14)*VERI_TABANI!G27) + (VERI_TABANI!D27*C532*(VERI_TABANI!$B$13-VERI_TABANI!$B$15)*VERI_TABANI!G27) + IF(ABS(IF(ISNUMBER(SEARCH("Var", D532)), 1, IF(ISNUMBER(SEARCH("Gri", D532)), -1, 0)))=1, VERI_TABANI!E27*(1-0.928)*0.00206091519919798*VERI_TABANI!G27, 0)) + ((MIN(VERI_TABANI!D28, VERI_TABANI!D28*B532)*VERI_TABANI!$B$7 + MAX(0, VERI_TABANI!D28*B532-VERI_TABANI!D28)*VERI_TABANI!$B$8) + (MIN(MAX(0, VERI_TABANI!D28-VERI_TABANI!D28*B532), VERI_TABANI!D28*C532)*VERI_TABANI!$B$7 + MAX(0, VERI_TABANI!D28*C532-MAX(0, VERI_TABANI!D28-VERI_TABANI!D28*B532))*VERI_TABANI!$B$8) + IF(ABS(IF(ISNUMBER(SEARCH("Var", D532)), 1, IF(ISNUMBER(SEARCH("Gri", D532)), -1, 0)))=1, VERI_TABANI!E28*(1-0.928)*VERI_TABANI!$B$9, 0) + (VERI_TABANI!D28*B532*(VERI_TABANI!$B$13-VERI_TABANI!$B$14)*VERI_TABANI!G28) + (VERI_TABANI!D28*C532*(VERI_TABANI!$B$13-VERI_TABANI!$B$15)*VERI_TABANI!G28) + IF(ABS(IF(ISNUMBER(SEARCH("Var", D532)), 1, IF(ISNUMBER(SEARCH("Gri", D532)), -1, 0)))=1, VERI_TABANI!E28*(1-0.928)*0.00206091519919798*VERI_TABANI!G28, 0)))</f>
        <v/>
      </c>
      <c r="H532" s="169">
        <f>(((VERI_TABANI!D23*B532*(VERI_TABANI!$B$13-VERI_TABANI!$B$14)) + (VERI_TABANI!D23*C532*(VERI_TABANI!$B$13-VERI_TABANI!$B$15)) + IF(ISNUMBER(SEARCH("Var", D532)), VERI_TABANI!F23*(0.00202-VERI_TABANI!$B$16), IF(ISNUMBER(SEARCH("Gri", D532)), VERI_TABANI!F23*(0.00202-VERI_TABANI!$B$17), 0))) + ((VERI_TABANI!D24*B532*(VERI_TABANI!$B$13-VERI_TABANI!$B$14)) + (VERI_TABANI!D24*C532*(VERI_TABANI!$B$13-VERI_TABANI!$B$15)) + IF(ISNUMBER(SEARCH("Var", D532)), VERI_TABANI!F24*(0.00202-VERI_TABANI!$B$16), IF(ISNUMBER(SEARCH("Gri", D532)), VERI_TABANI!F24*(0.00202-VERI_TABANI!$B$17), 0))) + ((VERI_TABANI!D25*B532*(VERI_TABANI!$B$13-VERI_TABANI!$B$14)) + (VERI_TABANI!D25*C532*(VERI_TABANI!$B$13-VERI_TABANI!$B$15)) + IF(ISNUMBER(SEARCH("Var", D532)), VERI_TABANI!F25*(0.00202-VERI_TABANI!$B$16), IF(ISNUMBER(SEARCH("Gri", D532)), VERI_TABANI!F25*(0.00202-VERI_TABANI!$B$17), 0))) + ((VERI_TABANI!D26*B532*(VERI_TABANI!$B$13-VERI_TABANI!$B$14)) + (VERI_TABANI!D26*C532*(VERI_TABANI!$B$13-VERI_TABANI!$B$15)) + IF(ISNUMBER(SEARCH("Var", D532)), VERI_TABANI!F26*(0.00202-VERI_TABANI!$B$16), IF(ISNUMBER(SEARCH("Gri", D532)), VERI_TABANI!F26*(0.00202-VERI_TABANI!$B$17), 0))) + ((VERI_TABANI!D27*B532*(VERI_TABANI!$B$13-VERI_TABANI!$B$14)) + (VERI_TABANI!D27*C532*(VERI_TABANI!$B$13-VERI_TABANI!$B$15)) + IF(ISNUMBER(SEARCH("Var", D532)), VERI_TABANI!F27*(0.00202-VERI_TABANI!$B$16), IF(ISNUMBER(SEARCH("Gri", D532)), VERI_TABANI!F27*(0.00202-VERI_TABANI!$B$17), 0))) + ((VERI_TABANI!D28*B532*(VERI_TABANI!$B$13-VERI_TABANI!$B$14)) + (VERI_TABANI!D28*C532*(VERI_TABANI!$B$13-VERI_TABANI!$B$15)) + IF(ISNUMBER(SEARCH("Var", D532)), VERI_TABANI!F28*(0.00202-VERI_TABANI!$B$16), IF(ISNUMBER(SEARCH("Gri", D532)), VERI_TABANI!F28*(0.00202-VERI_TABANI!$B$17), 0))))</f>
        <v/>
      </c>
      <c r="I532" s="170">
        <f>IFERROR(((VERI_TABANI!$D$29*B532*VERI_TABANI!$B$14 + VERI_TABANI!$D$29*C532*VERI_TABANI!$B$15 + IF(ISNUMBER(SEARCH("Var", D532)), VERI_TABANI!$F$29*VERI_TABANI!$B$16, 0))) / (((VERI_TABANI!$D$29*B532 + VERI_TABANI!$D$29*C532)*VERI_TABANI!$B$13 + IF(ISNUMBER(SEARCH("Var", D532)), VERI_TABANI!$E$29*(1-0.928)*VERI_TABANI!$B$18, 0))), 0)</f>
        <v/>
      </c>
      <c r="J532" s="171">
        <f>IFERROR(F532/(G532/29), 0)</f>
        <v/>
      </c>
      <c r="K532" s="172">
        <f>IF(F532&gt;0, H532/F532, 0)</f>
        <v/>
      </c>
      <c r="L532" s="170">
        <f>IF(F532&gt;0, I532, 1000000000)</f>
        <v/>
      </c>
      <c r="M532" s="171">
        <f>ABS((B532+C532)-1)</f>
        <v/>
      </c>
      <c r="N532" s="170">
        <f>IF(F532&gt;0, (G532/29)/F532, 0)</f>
        <v/>
      </c>
      <c r="O532" s="168">
        <f>IF(AND((B532+C532)&gt;=1, ISNUMBER(SEARCH("Var", D532))), F532, 1000000000)</f>
        <v/>
      </c>
      <c r="P532" s="172">
        <f>IF(F532&gt;0, SQRT((F532/MAX(F$5:F$886))^2 + (1 - H532/MAX(H$5:H$886))^2 + (J532/MAX(J$5:J$886))^2), 1000000000)</f>
        <v/>
      </c>
      <c r="Q532" s="166">
        <f>IF(AND(ABS(B532-0.5)&lt;0.01, ABS(C532-0.5)&lt;0.01, ISNUMBER(SEARCH("Var", D532))), 1, 0)</f>
        <v/>
      </c>
      <c r="R532" s="171">
        <f>IF(F532&gt;0, J532, 1000000000)</f>
        <v/>
      </c>
      <c r="S532" s="101">
        <f>IF(AND(F532&lt;=DASHBOARD!$B$11, H532&gt;=DASHBOARD!$B$13), G532, -1000000000000)</f>
        <v/>
      </c>
      <c r="T532" s="101">
        <f>IF(AND(F532&lt;=DASHBOARD!$B$11, H532&gt;=DASHBOARD!$B$13), R532, 1000000000000)</f>
        <v/>
      </c>
      <c r="U532" s="101">
        <f>IF(AND(F532&lt;=DASHBOARD!$B$11, H532&gt;=DASHBOARD!$B$13), N532, -1000000000000)</f>
        <v/>
      </c>
      <c r="V532" s="101">
        <f>IF(AND(F532&lt;=DASHBOARD!$B$11, H532&gt;=DASHBOARD!$B$13), H532, -1000000000000)</f>
        <v/>
      </c>
      <c r="W532" s="101">
        <f>IF(AND(F532&lt;=DASHBOARD!$B$11, H532&gt;=DASHBOARD!$B$13), K532, -1000000000000)</f>
        <v/>
      </c>
      <c r="X532" s="101">
        <f>IF(AND(F532&lt;=DASHBOARD!$B$11, H532&gt;=DASHBOARD!$B$13), M532, 1000000000000)</f>
        <v/>
      </c>
      <c r="Y532" s="101">
        <f>IF(AND(F532&lt;=DASHBOARD!$B$10, H532&gt;=DASHBOARD!$B$11), L532, 1000000000000)</f>
        <v/>
      </c>
      <c r="Z532" s="101">
        <f>IF(AND(F532&lt;=DASHBOARD!$B$10, H532&gt;=DASHBOARD!$B$11), O532, 1000000000000)</f>
        <v/>
      </c>
      <c r="AA532" s="101">
        <f>IF(AND(F532&lt;=DASHBOARD!$B$10, H532&gt;=DASHBOARD!$B$11), P532, 1000000000000)</f>
        <v/>
      </c>
      <c r="AB532" s="101">
        <f>IF(AND(F532&lt;=DASHBOARD!$B$10, H532&gt;=DASHBOARD!$B$11), Q532, -1000000000000)</f>
        <v/>
      </c>
    </row>
    <row r="533" ht="15" customHeight="1" s="102">
      <c r="A533" s="166" t="n">
        <v>529</v>
      </c>
      <c r="B533" s="167" t="n">
        <v>1.2</v>
      </c>
      <c r="C533" s="167" t="n">
        <v>1.2</v>
      </c>
      <c r="D533" s="110" t="inlineStr">
        <is>
          <t>Yok (%0)</t>
        </is>
      </c>
      <c r="E533" s="110">
        <f>IF((B533+C533)&lt;=1, "Tam Mahsuplaşma (≤%100)", "Kısmi Satış (&gt;%100)")</f>
        <v/>
      </c>
      <c r="F533" s="168">
        <f>((VERI_TABANI!$D$29*B533/VERI_TABANI!$B$29)/VERI_TABANI!$B$3)*VERI_TABANI!$B$5 + ((VERI_TABANI!$D$29*C533/VERI_TABANI!$B$29)/VERI_TABANI!$B$4)*VERI_TABANI!$B$6 + IF(ISNUMBER(SEARCH("Var", D533)), (VERI_TABANI!$F$29/VERI_TABANI!$B$29)*(VERI_TABANI!$B$10+VERI_TABANI!$B$12), 0)</f>
        <v/>
      </c>
      <c r="G533" s="168">
        <f>(((MIN(VERI_TABANI!D23, VERI_TABANI!D23*B533)*VERI_TABANI!$B$7 + MAX(0, VERI_TABANI!D23*B533-VERI_TABANI!D23)*VERI_TABANI!$B$8) + (MIN(MAX(0, VERI_TABANI!D23-VERI_TABANI!D23*B533), VERI_TABANI!D23*C533)*VERI_TABANI!$B$7 + MAX(0, VERI_TABANI!D23*C533-MAX(0, VERI_TABANI!D23-VERI_TABANI!D23*B533))*VERI_TABANI!$B$8) + IF(ABS(IF(ISNUMBER(SEARCH("Var", D533)), 1, IF(ISNUMBER(SEARCH("Gri", D533)), -1, 0)))=1, VERI_TABANI!E23*(1-0.928)*VERI_TABANI!$B$9, 0) + (VERI_TABANI!D23*B533*(VERI_TABANI!$B$13-VERI_TABANI!$B$14)*VERI_TABANI!G23) + (VERI_TABANI!D23*C533*(VERI_TABANI!$B$13-VERI_TABANI!$B$15)*VERI_TABANI!G23) + IF(ABS(IF(ISNUMBER(SEARCH("Var", D533)), 1, IF(ISNUMBER(SEARCH("Gri", D533)), -1, 0)))=1, VERI_TABANI!E23*(1-0.928)*0.00206091519919798*VERI_TABANI!G23, 0)) + ((MIN(VERI_TABANI!D24, VERI_TABANI!D24*B533)*VERI_TABANI!$B$7 + MAX(0, VERI_TABANI!D24*B533-VERI_TABANI!D24)*VERI_TABANI!$B$8) + (MIN(MAX(0, VERI_TABANI!D24-VERI_TABANI!D24*B533), VERI_TABANI!D24*C533)*VERI_TABANI!$B$7 + MAX(0, VERI_TABANI!D24*C533-MAX(0, VERI_TABANI!D24-VERI_TABANI!D24*B533))*VERI_TABANI!$B$8) + IF(ABS(IF(ISNUMBER(SEARCH("Var", D533)), 1, IF(ISNUMBER(SEARCH("Gri", D533)), -1, 0)))=1, VERI_TABANI!E24*(1-0.928)*VERI_TABANI!$B$9, 0) + (VERI_TABANI!D24*B533*(VERI_TABANI!$B$13-VERI_TABANI!$B$14)*VERI_TABANI!G24) + (VERI_TABANI!D24*C533*(VERI_TABANI!$B$13-VERI_TABANI!$B$15)*VERI_TABANI!G24) + IF(ABS(IF(ISNUMBER(SEARCH("Var", D533)), 1, IF(ISNUMBER(SEARCH("Gri", D533)), -1, 0)))=1, VERI_TABANI!E24*(1-0.928)*0.00206091519919798*VERI_TABANI!G24, 0)) + ((MIN(VERI_TABANI!D25, VERI_TABANI!D25*B533)*VERI_TABANI!$B$7 + MAX(0, VERI_TABANI!D25*B533-VERI_TABANI!D25)*VERI_TABANI!$B$8) + (MIN(MAX(0, VERI_TABANI!D25-VERI_TABANI!D25*B533), VERI_TABANI!D25*C533)*VERI_TABANI!$B$7 + MAX(0, VERI_TABANI!D25*C533-MAX(0, VERI_TABANI!D25-VERI_TABANI!D25*B533))*VERI_TABANI!$B$8) + IF(ABS(IF(ISNUMBER(SEARCH("Var", D533)), 1, IF(ISNUMBER(SEARCH("Gri", D533)), -1, 0)))=1, VERI_TABANI!E25*(1-0.928)*VERI_TABANI!$B$9, 0) + (VERI_TABANI!D25*B533*(VERI_TABANI!$B$13-VERI_TABANI!$B$14)*VERI_TABANI!G25) + (VERI_TABANI!D25*C533*(VERI_TABANI!$B$13-VERI_TABANI!$B$15)*VERI_TABANI!G25) + IF(ABS(IF(ISNUMBER(SEARCH("Var", D533)), 1, IF(ISNUMBER(SEARCH("Gri", D533)), -1, 0)))=1, VERI_TABANI!E25*(1-0.928)*0.00206091519919798*VERI_TABANI!G25, 0)) + ((MIN(VERI_TABANI!D26, VERI_TABANI!D26*B533)*VERI_TABANI!$B$7 + MAX(0, VERI_TABANI!D26*B533-VERI_TABANI!D26)*VERI_TABANI!$B$8) + (MIN(MAX(0, VERI_TABANI!D26-VERI_TABANI!D26*B533), VERI_TABANI!D26*C533)*VERI_TABANI!$B$7 + MAX(0, VERI_TABANI!D26*C533-MAX(0, VERI_TABANI!D26-VERI_TABANI!D26*B533))*VERI_TABANI!$B$8) + IF(ABS(IF(ISNUMBER(SEARCH("Var", D533)), 1, IF(ISNUMBER(SEARCH("Gri", D533)), -1, 0)))=1, VERI_TABANI!E26*(1-0.928)*VERI_TABANI!$B$9, 0) + (VERI_TABANI!D26*B533*(VERI_TABANI!$B$13-VERI_TABANI!$B$14)*VERI_TABANI!G26) + (VERI_TABANI!D26*C533*(VERI_TABANI!$B$13-VERI_TABANI!$B$15)*VERI_TABANI!G26) + IF(ABS(IF(ISNUMBER(SEARCH("Var", D533)), 1, IF(ISNUMBER(SEARCH("Gri", D533)), -1, 0)))=1, VERI_TABANI!E26*(1-0.928)*0.00206091519919798*VERI_TABANI!G26, 0)) + ((MIN(VERI_TABANI!D27, VERI_TABANI!D27*B533)*VERI_TABANI!$B$7 + MAX(0, VERI_TABANI!D27*B533-VERI_TABANI!D27)*VERI_TABANI!$B$8) + (MIN(MAX(0, VERI_TABANI!D27-VERI_TABANI!D27*B533), VERI_TABANI!D27*C533)*VERI_TABANI!$B$7 + MAX(0, VERI_TABANI!D27*C533-MAX(0, VERI_TABANI!D27-VERI_TABANI!D27*B533))*VERI_TABANI!$B$8) + IF(ABS(IF(ISNUMBER(SEARCH("Var", D533)), 1, IF(ISNUMBER(SEARCH("Gri", D533)), -1, 0)))=1, VERI_TABANI!E27*(1-0.928)*VERI_TABANI!$B$9, 0) + (VERI_TABANI!D27*B533*(VERI_TABANI!$B$13-VERI_TABANI!$B$14)*VERI_TABANI!G27) + (VERI_TABANI!D27*C533*(VERI_TABANI!$B$13-VERI_TABANI!$B$15)*VERI_TABANI!G27) + IF(ABS(IF(ISNUMBER(SEARCH("Var", D533)), 1, IF(ISNUMBER(SEARCH("Gri", D533)), -1, 0)))=1, VERI_TABANI!E27*(1-0.928)*0.00206091519919798*VERI_TABANI!G27, 0)) + ((MIN(VERI_TABANI!D28, VERI_TABANI!D28*B533)*VERI_TABANI!$B$7 + MAX(0, VERI_TABANI!D28*B533-VERI_TABANI!D28)*VERI_TABANI!$B$8) + (MIN(MAX(0, VERI_TABANI!D28-VERI_TABANI!D28*B533), VERI_TABANI!D28*C533)*VERI_TABANI!$B$7 + MAX(0, VERI_TABANI!D28*C533-MAX(0, VERI_TABANI!D28-VERI_TABANI!D28*B533))*VERI_TABANI!$B$8) + IF(ABS(IF(ISNUMBER(SEARCH("Var", D533)), 1, IF(ISNUMBER(SEARCH("Gri", D533)), -1, 0)))=1, VERI_TABANI!E28*(1-0.928)*VERI_TABANI!$B$9, 0) + (VERI_TABANI!D28*B533*(VERI_TABANI!$B$13-VERI_TABANI!$B$14)*VERI_TABANI!G28) + (VERI_TABANI!D28*C533*(VERI_TABANI!$B$13-VERI_TABANI!$B$15)*VERI_TABANI!G28) + IF(ABS(IF(ISNUMBER(SEARCH("Var", D533)), 1, IF(ISNUMBER(SEARCH("Gri", D533)), -1, 0)))=1, VERI_TABANI!E28*(1-0.928)*0.00206091519919798*VERI_TABANI!G28, 0)))</f>
        <v/>
      </c>
      <c r="H533" s="169">
        <f>(((VERI_TABANI!D23*B533*(VERI_TABANI!$B$13-VERI_TABANI!$B$14)) + (VERI_TABANI!D23*C533*(VERI_TABANI!$B$13-VERI_TABANI!$B$15)) + IF(ISNUMBER(SEARCH("Var", D533)), VERI_TABANI!F23*(0.00202-VERI_TABANI!$B$16), IF(ISNUMBER(SEARCH("Gri", D533)), VERI_TABANI!F23*(0.00202-VERI_TABANI!$B$17), 0))) + ((VERI_TABANI!D24*B533*(VERI_TABANI!$B$13-VERI_TABANI!$B$14)) + (VERI_TABANI!D24*C533*(VERI_TABANI!$B$13-VERI_TABANI!$B$15)) + IF(ISNUMBER(SEARCH("Var", D533)), VERI_TABANI!F24*(0.00202-VERI_TABANI!$B$16), IF(ISNUMBER(SEARCH("Gri", D533)), VERI_TABANI!F24*(0.00202-VERI_TABANI!$B$17), 0))) + ((VERI_TABANI!D25*B533*(VERI_TABANI!$B$13-VERI_TABANI!$B$14)) + (VERI_TABANI!D25*C533*(VERI_TABANI!$B$13-VERI_TABANI!$B$15)) + IF(ISNUMBER(SEARCH("Var", D533)), VERI_TABANI!F25*(0.00202-VERI_TABANI!$B$16), IF(ISNUMBER(SEARCH("Gri", D533)), VERI_TABANI!F25*(0.00202-VERI_TABANI!$B$17), 0))) + ((VERI_TABANI!D26*B533*(VERI_TABANI!$B$13-VERI_TABANI!$B$14)) + (VERI_TABANI!D26*C533*(VERI_TABANI!$B$13-VERI_TABANI!$B$15)) + IF(ISNUMBER(SEARCH("Var", D533)), VERI_TABANI!F26*(0.00202-VERI_TABANI!$B$16), IF(ISNUMBER(SEARCH("Gri", D533)), VERI_TABANI!F26*(0.00202-VERI_TABANI!$B$17), 0))) + ((VERI_TABANI!D27*B533*(VERI_TABANI!$B$13-VERI_TABANI!$B$14)) + (VERI_TABANI!D27*C533*(VERI_TABANI!$B$13-VERI_TABANI!$B$15)) + IF(ISNUMBER(SEARCH("Var", D533)), VERI_TABANI!F27*(0.00202-VERI_TABANI!$B$16), IF(ISNUMBER(SEARCH("Gri", D533)), VERI_TABANI!F27*(0.00202-VERI_TABANI!$B$17), 0))) + ((VERI_TABANI!D28*B533*(VERI_TABANI!$B$13-VERI_TABANI!$B$14)) + (VERI_TABANI!D28*C533*(VERI_TABANI!$B$13-VERI_TABANI!$B$15)) + IF(ISNUMBER(SEARCH("Var", D533)), VERI_TABANI!F28*(0.00202-VERI_TABANI!$B$16), IF(ISNUMBER(SEARCH("Gri", D533)), VERI_TABANI!F28*(0.00202-VERI_TABANI!$B$17), 0))))</f>
        <v/>
      </c>
      <c r="I533" s="170">
        <f>IFERROR(((VERI_TABANI!$D$29*B533*VERI_TABANI!$B$14 + VERI_TABANI!$D$29*C533*VERI_TABANI!$B$15 + IF(ISNUMBER(SEARCH("Var", D533)), VERI_TABANI!$F$29*VERI_TABANI!$B$16, 0))) / (((VERI_TABANI!$D$29*B533 + VERI_TABANI!$D$29*C533)*VERI_TABANI!$B$13 + IF(ISNUMBER(SEARCH("Var", D533)), VERI_TABANI!$E$29*(1-0.928)*VERI_TABANI!$B$18, 0))), 0)</f>
        <v/>
      </c>
      <c r="J533" s="171">
        <f>IFERROR(F533/(G533/29), 0)</f>
        <v/>
      </c>
      <c r="K533" s="172">
        <f>IF(F533&gt;0, H533/F533, 0)</f>
        <v/>
      </c>
      <c r="L533" s="170">
        <f>IF(F533&gt;0, I533, 1000000000)</f>
        <v/>
      </c>
      <c r="M533" s="171">
        <f>ABS((B533+C533)-1)</f>
        <v/>
      </c>
      <c r="N533" s="170">
        <f>IF(F533&gt;0, (G533/29)/F533, 0)</f>
        <v/>
      </c>
      <c r="O533" s="168">
        <f>IF(AND((B533+C533)&gt;=1, ISNUMBER(SEARCH("Var", D533))), F533, 1000000000)</f>
        <v/>
      </c>
      <c r="P533" s="172">
        <f>IF(F533&gt;0, SQRT((F533/MAX(F$5:F$886))^2 + (1 - H533/MAX(H$5:H$886))^2 + (J533/MAX(J$5:J$886))^2), 1000000000)</f>
        <v/>
      </c>
      <c r="Q533" s="166">
        <f>IF(AND(ABS(B533-0.5)&lt;0.01, ABS(C533-0.5)&lt;0.01, ISNUMBER(SEARCH("Var", D533))), 1, 0)</f>
        <v/>
      </c>
      <c r="R533" s="171">
        <f>IF(F533&gt;0, J533, 1000000000)</f>
        <v/>
      </c>
      <c r="S533" s="101">
        <f>IF(AND(F533&lt;=DASHBOARD!$B$11, H533&gt;=DASHBOARD!$B$13), G533, -1000000000000)</f>
        <v/>
      </c>
      <c r="T533" s="101">
        <f>IF(AND(F533&lt;=DASHBOARD!$B$11, H533&gt;=DASHBOARD!$B$13), R533, 1000000000000)</f>
        <v/>
      </c>
      <c r="U533" s="101">
        <f>IF(AND(F533&lt;=DASHBOARD!$B$11, H533&gt;=DASHBOARD!$B$13), N533, -1000000000000)</f>
        <v/>
      </c>
      <c r="V533" s="101">
        <f>IF(AND(F533&lt;=DASHBOARD!$B$11, H533&gt;=DASHBOARD!$B$13), H533, -1000000000000)</f>
        <v/>
      </c>
      <c r="W533" s="101">
        <f>IF(AND(F533&lt;=DASHBOARD!$B$11, H533&gt;=DASHBOARD!$B$13), K533, -1000000000000)</f>
        <v/>
      </c>
      <c r="X533" s="101">
        <f>IF(AND(F533&lt;=DASHBOARD!$B$11, H533&gt;=DASHBOARD!$B$13), M533, 1000000000000)</f>
        <v/>
      </c>
      <c r="Y533" s="101">
        <f>IF(AND(F533&lt;=DASHBOARD!$B$10, H533&gt;=DASHBOARD!$B$11), L533, 1000000000000)</f>
        <v/>
      </c>
      <c r="Z533" s="101">
        <f>IF(AND(F533&lt;=DASHBOARD!$B$10, H533&gt;=DASHBOARD!$B$11), O533, 1000000000000)</f>
        <v/>
      </c>
      <c r="AA533" s="101">
        <f>IF(AND(F533&lt;=DASHBOARD!$B$10, H533&gt;=DASHBOARD!$B$11), P533, 1000000000000)</f>
        <v/>
      </c>
      <c r="AB533" s="101">
        <f>IF(AND(F533&lt;=DASHBOARD!$B$10, H533&gt;=DASHBOARD!$B$11), Q533, -1000000000000)</f>
        <v/>
      </c>
    </row>
    <row r="534" ht="15" customHeight="1" s="102">
      <c r="A534" s="166" t="n">
        <v>530</v>
      </c>
      <c r="B534" s="167" t="n">
        <v>1.2</v>
      </c>
      <c r="C534" s="167" t="n">
        <v>1.2</v>
      </c>
      <c r="D534" s="110" t="inlineStr">
        <is>
          <t>Var (%20)</t>
        </is>
      </c>
      <c r="E534" s="110">
        <f>IF((B534+C534)&lt;=1, "Tam Mahsuplaşma (≤%100)", "Kısmi Satış (&gt;%100)")</f>
        <v/>
      </c>
      <c r="F534" s="168">
        <f>((VERI_TABANI!$D$29*B534/VERI_TABANI!$B$29)/VERI_TABANI!$B$3)*VERI_TABANI!$B$5 + ((VERI_TABANI!$D$29*C534/VERI_TABANI!$B$29)/VERI_TABANI!$B$4)*VERI_TABANI!$B$6 + IF(ISNUMBER(SEARCH("Var", D534)), (VERI_TABANI!$F$29/VERI_TABANI!$B$29)*(VERI_TABANI!$B$10+VERI_TABANI!$B$12), 0)</f>
        <v/>
      </c>
      <c r="G534" s="168">
        <f>(((MIN(VERI_TABANI!D23, VERI_TABANI!D23*B534)*VERI_TABANI!$B$7 + MAX(0, VERI_TABANI!D23*B534-VERI_TABANI!D23)*VERI_TABANI!$B$8) + (MIN(MAX(0, VERI_TABANI!D23-VERI_TABANI!D23*B534), VERI_TABANI!D23*C534)*VERI_TABANI!$B$7 + MAX(0, VERI_TABANI!D23*C534-MAX(0, VERI_TABANI!D23-VERI_TABANI!D23*B534))*VERI_TABANI!$B$8) + IF(ABS(IF(ISNUMBER(SEARCH("Var", D534)), 1, IF(ISNUMBER(SEARCH("Gri", D534)), -1, 0)))=1, VERI_TABANI!E23*(1-0.928)*VERI_TABANI!$B$9, 0) + (VERI_TABANI!D23*B534*(VERI_TABANI!$B$13-VERI_TABANI!$B$14)*VERI_TABANI!G23) + (VERI_TABANI!D23*C534*(VERI_TABANI!$B$13-VERI_TABANI!$B$15)*VERI_TABANI!G23) + IF(ABS(IF(ISNUMBER(SEARCH("Var", D534)), 1, IF(ISNUMBER(SEARCH("Gri", D534)), -1, 0)))=1, VERI_TABANI!E23*(1-0.928)*0.00206091519919798*VERI_TABANI!G23, 0)) + ((MIN(VERI_TABANI!D24, VERI_TABANI!D24*B534)*VERI_TABANI!$B$7 + MAX(0, VERI_TABANI!D24*B534-VERI_TABANI!D24)*VERI_TABANI!$B$8) + (MIN(MAX(0, VERI_TABANI!D24-VERI_TABANI!D24*B534), VERI_TABANI!D24*C534)*VERI_TABANI!$B$7 + MAX(0, VERI_TABANI!D24*C534-MAX(0, VERI_TABANI!D24-VERI_TABANI!D24*B534))*VERI_TABANI!$B$8) + IF(ABS(IF(ISNUMBER(SEARCH("Var", D534)), 1, IF(ISNUMBER(SEARCH("Gri", D534)), -1, 0)))=1, VERI_TABANI!E24*(1-0.928)*VERI_TABANI!$B$9, 0) + (VERI_TABANI!D24*B534*(VERI_TABANI!$B$13-VERI_TABANI!$B$14)*VERI_TABANI!G24) + (VERI_TABANI!D24*C534*(VERI_TABANI!$B$13-VERI_TABANI!$B$15)*VERI_TABANI!G24) + IF(ABS(IF(ISNUMBER(SEARCH("Var", D534)), 1, IF(ISNUMBER(SEARCH("Gri", D534)), -1, 0)))=1, VERI_TABANI!E24*(1-0.928)*0.00206091519919798*VERI_TABANI!G24, 0)) + ((MIN(VERI_TABANI!D25, VERI_TABANI!D25*B534)*VERI_TABANI!$B$7 + MAX(0, VERI_TABANI!D25*B534-VERI_TABANI!D25)*VERI_TABANI!$B$8) + (MIN(MAX(0, VERI_TABANI!D25-VERI_TABANI!D25*B534), VERI_TABANI!D25*C534)*VERI_TABANI!$B$7 + MAX(0, VERI_TABANI!D25*C534-MAX(0, VERI_TABANI!D25-VERI_TABANI!D25*B534))*VERI_TABANI!$B$8) + IF(ABS(IF(ISNUMBER(SEARCH("Var", D534)), 1, IF(ISNUMBER(SEARCH("Gri", D534)), -1, 0)))=1, VERI_TABANI!E25*(1-0.928)*VERI_TABANI!$B$9, 0) + (VERI_TABANI!D25*B534*(VERI_TABANI!$B$13-VERI_TABANI!$B$14)*VERI_TABANI!G25) + (VERI_TABANI!D25*C534*(VERI_TABANI!$B$13-VERI_TABANI!$B$15)*VERI_TABANI!G25) + IF(ABS(IF(ISNUMBER(SEARCH("Var", D534)), 1, IF(ISNUMBER(SEARCH("Gri", D534)), -1, 0)))=1, VERI_TABANI!E25*(1-0.928)*0.00206091519919798*VERI_TABANI!G25, 0)) + ((MIN(VERI_TABANI!D26, VERI_TABANI!D26*B534)*VERI_TABANI!$B$7 + MAX(0, VERI_TABANI!D26*B534-VERI_TABANI!D26)*VERI_TABANI!$B$8) + (MIN(MAX(0, VERI_TABANI!D26-VERI_TABANI!D26*B534), VERI_TABANI!D26*C534)*VERI_TABANI!$B$7 + MAX(0, VERI_TABANI!D26*C534-MAX(0, VERI_TABANI!D26-VERI_TABANI!D26*B534))*VERI_TABANI!$B$8) + IF(ABS(IF(ISNUMBER(SEARCH("Var", D534)), 1, IF(ISNUMBER(SEARCH("Gri", D534)), -1, 0)))=1, VERI_TABANI!E26*(1-0.928)*VERI_TABANI!$B$9, 0) + (VERI_TABANI!D26*B534*(VERI_TABANI!$B$13-VERI_TABANI!$B$14)*VERI_TABANI!G26) + (VERI_TABANI!D26*C534*(VERI_TABANI!$B$13-VERI_TABANI!$B$15)*VERI_TABANI!G26) + IF(ABS(IF(ISNUMBER(SEARCH("Var", D534)), 1, IF(ISNUMBER(SEARCH("Gri", D534)), -1, 0)))=1, VERI_TABANI!E26*(1-0.928)*0.00206091519919798*VERI_TABANI!G26, 0)) + ((MIN(VERI_TABANI!D27, VERI_TABANI!D27*B534)*VERI_TABANI!$B$7 + MAX(0, VERI_TABANI!D27*B534-VERI_TABANI!D27)*VERI_TABANI!$B$8) + (MIN(MAX(0, VERI_TABANI!D27-VERI_TABANI!D27*B534), VERI_TABANI!D27*C534)*VERI_TABANI!$B$7 + MAX(0, VERI_TABANI!D27*C534-MAX(0, VERI_TABANI!D27-VERI_TABANI!D27*B534))*VERI_TABANI!$B$8) + IF(ABS(IF(ISNUMBER(SEARCH("Var", D534)), 1, IF(ISNUMBER(SEARCH("Gri", D534)), -1, 0)))=1, VERI_TABANI!E27*(1-0.928)*VERI_TABANI!$B$9, 0) + (VERI_TABANI!D27*B534*(VERI_TABANI!$B$13-VERI_TABANI!$B$14)*VERI_TABANI!G27) + (VERI_TABANI!D27*C534*(VERI_TABANI!$B$13-VERI_TABANI!$B$15)*VERI_TABANI!G27) + IF(ABS(IF(ISNUMBER(SEARCH("Var", D534)), 1, IF(ISNUMBER(SEARCH("Gri", D534)), -1, 0)))=1, VERI_TABANI!E27*(1-0.928)*0.00206091519919798*VERI_TABANI!G27, 0)) + ((MIN(VERI_TABANI!D28, VERI_TABANI!D28*B534)*VERI_TABANI!$B$7 + MAX(0, VERI_TABANI!D28*B534-VERI_TABANI!D28)*VERI_TABANI!$B$8) + (MIN(MAX(0, VERI_TABANI!D28-VERI_TABANI!D28*B534), VERI_TABANI!D28*C534)*VERI_TABANI!$B$7 + MAX(0, VERI_TABANI!D28*C534-MAX(0, VERI_TABANI!D28-VERI_TABANI!D28*B534))*VERI_TABANI!$B$8) + IF(ABS(IF(ISNUMBER(SEARCH("Var", D534)), 1, IF(ISNUMBER(SEARCH("Gri", D534)), -1, 0)))=1, VERI_TABANI!E28*(1-0.928)*VERI_TABANI!$B$9, 0) + (VERI_TABANI!D28*B534*(VERI_TABANI!$B$13-VERI_TABANI!$B$14)*VERI_TABANI!G28) + (VERI_TABANI!D28*C534*(VERI_TABANI!$B$13-VERI_TABANI!$B$15)*VERI_TABANI!G28) + IF(ABS(IF(ISNUMBER(SEARCH("Var", D534)), 1, IF(ISNUMBER(SEARCH("Gri", D534)), -1, 0)))=1, VERI_TABANI!E28*(1-0.928)*0.00206091519919798*VERI_TABANI!G28, 0)))</f>
        <v/>
      </c>
      <c r="H534" s="169">
        <f>(((VERI_TABANI!D23*B534*(VERI_TABANI!$B$13-VERI_TABANI!$B$14)) + (VERI_TABANI!D23*C534*(VERI_TABANI!$B$13-VERI_TABANI!$B$15)) + IF(ISNUMBER(SEARCH("Var", D534)), VERI_TABANI!F23*(0.00202-VERI_TABANI!$B$16), IF(ISNUMBER(SEARCH("Gri", D534)), VERI_TABANI!F23*(0.00202-VERI_TABANI!$B$17), 0))) + ((VERI_TABANI!D24*B534*(VERI_TABANI!$B$13-VERI_TABANI!$B$14)) + (VERI_TABANI!D24*C534*(VERI_TABANI!$B$13-VERI_TABANI!$B$15)) + IF(ISNUMBER(SEARCH("Var", D534)), VERI_TABANI!F24*(0.00202-VERI_TABANI!$B$16), IF(ISNUMBER(SEARCH("Gri", D534)), VERI_TABANI!F24*(0.00202-VERI_TABANI!$B$17), 0))) + ((VERI_TABANI!D25*B534*(VERI_TABANI!$B$13-VERI_TABANI!$B$14)) + (VERI_TABANI!D25*C534*(VERI_TABANI!$B$13-VERI_TABANI!$B$15)) + IF(ISNUMBER(SEARCH("Var", D534)), VERI_TABANI!F25*(0.00202-VERI_TABANI!$B$16), IF(ISNUMBER(SEARCH("Gri", D534)), VERI_TABANI!F25*(0.00202-VERI_TABANI!$B$17), 0))) + ((VERI_TABANI!D26*B534*(VERI_TABANI!$B$13-VERI_TABANI!$B$14)) + (VERI_TABANI!D26*C534*(VERI_TABANI!$B$13-VERI_TABANI!$B$15)) + IF(ISNUMBER(SEARCH("Var", D534)), VERI_TABANI!F26*(0.00202-VERI_TABANI!$B$16), IF(ISNUMBER(SEARCH("Gri", D534)), VERI_TABANI!F26*(0.00202-VERI_TABANI!$B$17), 0))) + ((VERI_TABANI!D27*B534*(VERI_TABANI!$B$13-VERI_TABANI!$B$14)) + (VERI_TABANI!D27*C534*(VERI_TABANI!$B$13-VERI_TABANI!$B$15)) + IF(ISNUMBER(SEARCH("Var", D534)), VERI_TABANI!F27*(0.00202-VERI_TABANI!$B$16), IF(ISNUMBER(SEARCH("Gri", D534)), VERI_TABANI!F27*(0.00202-VERI_TABANI!$B$17), 0))) + ((VERI_TABANI!D28*B534*(VERI_TABANI!$B$13-VERI_TABANI!$B$14)) + (VERI_TABANI!D28*C534*(VERI_TABANI!$B$13-VERI_TABANI!$B$15)) + IF(ISNUMBER(SEARCH("Var", D534)), VERI_TABANI!F28*(0.00202-VERI_TABANI!$B$16), IF(ISNUMBER(SEARCH("Gri", D534)), VERI_TABANI!F28*(0.00202-VERI_TABANI!$B$17), 0))))</f>
        <v/>
      </c>
      <c r="I534" s="170">
        <f>IFERROR(((VERI_TABANI!$D$29*B534*VERI_TABANI!$B$14 + VERI_TABANI!$D$29*C534*VERI_TABANI!$B$15 + IF(ISNUMBER(SEARCH("Var", D534)), VERI_TABANI!$F$29*VERI_TABANI!$B$16, 0))) / (((VERI_TABANI!$D$29*B534 + VERI_TABANI!$D$29*C534)*VERI_TABANI!$B$13 + IF(ISNUMBER(SEARCH("Var", D534)), VERI_TABANI!$E$29*(1-0.928)*VERI_TABANI!$B$18, 0))), 0)</f>
        <v/>
      </c>
      <c r="J534" s="171">
        <f>IFERROR(F534/(G534/29), 0)</f>
        <v/>
      </c>
      <c r="K534" s="172">
        <f>IF(F534&gt;0, H534/F534, 0)</f>
        <v/>
      </c>
      <c r="L534" s="170">
        <f>IF(F534&gt;0, I534, 1000000000)</f>
        <v/>
      </c>
      <c r="M534" s="171">
        <f>ABS((B534+C534)-1)</f>
        <v/>
      </c>
      <c r="N534" s="170">
        <f>IF(F534&gt;0, (G534/29)/F534, 0)</f>
        <v/>
      </c>
      <c r="O534" s="168">
        <f>IF(AND((B534+C534)&gt;=1, ISNUMBER(SEARCH("Var", D534))), F534, 1000000000)</f>
        <v/>
      </c>
      <c r="P534" s="172">
        <f>IF(F534&gt;0, SQRT((F534/MAX(F$5:F$886))^2 + (1 - H534/MAX(H$5:H$886))^2 + (J534/MAX(J$5:J$886))^2), 1000000000)</f>
        <v/>
      </c>
      <c r="Q534" s="166">
        <f>IF(AND(ABS(B534-0.5)&lt;0.01, ABS(C534-0.5)&lt;0.01, ISNUMBER(SEARCH("Var", D534))), 1, 0)</f>
        <v/>
      </c>
      <c r="R534" s="171">
        <f>IF(F534&gt;0, J534, 1000000000)</f>
        <v/>
      </c>
      <c r="S534" s="101">
        <f>IF(AND(F534&lt;=DASHBOARD!$B$11, H534&gt;=DASHBOARD!$B$13), G534, -1000000000000)</f>
        <v/>
      </c>
      <c r="T534" s="101">
        <f>IF(AND(F534&lt;=DASHBOARD!$B$11, H534&gt;=DASHBOARD!$B$13), R534, 1000000000000)</f>
        <v/>
      </c>
      <c r="U534" s="101">
        <f>IF(AND(F534&lt;=DASHBOARD!$B$11, H534&gt;=DASHBOARD!$B$13), N534, -1000000000000)</f>
        <v/>
      </c>
      <c r="V534" s="101">
        <f>IF(AND(F534&lt;=DASHBOARD!$B$11, H534&gt;=DASHBOARD!$B$13), H534, -1000000000000)</f>
        <v/>
      </c>
      <c r="W534" s="101">
        <f>IF(AND(F534&lt;=DASHBOARD!$B$11, H534&gt;=DASHBOARD!$B$13), K534, -1000000000000)</f>
        <v/>
      </c>
      <c r="X534" s="101">
        <f>IF(AND(F534&lt;=DASHBOARD!$B$11, H534&gt;=DASHBOARD!$B$13), M534, 1000000000000)</f>
        <v/>
      </c>
      <c r="Y534" s="101">
        <f>IF(AND(F534&lt;=DASHBOARD!$B$10, H534&gt;=DASHBOARD!$B$11), L534, 1000000000000)</f>
        <v/>
      </c>
      <c r="Z534" s="101">
        <f>IF(AND(F534&lt;=DASHBOARD!$B$10, H534&gt;=DASHBOARD!$B$11), O534, 1000000000000)</f>
        <v/>
      </c>
      <c r="AA534" s="101">
        <f>IF(AND(F534&lt;=DASHBOARD!$B$10, H534&gt;=DASHBOARD!$B$11), P534, 1000000000000)</f>
        <v/>
      </c>
      <c r="AB534" s="101">
        <f>IF(AND(F534&lt;=DASHBOARD!$B$10, H534&gt;=DASHBOARD!$B$11), Q534, -1000000000000)</f>
        <v/>
      </c>
    </row>
    <row r="535" ht="15" customHeight="1" s="102">
      <c r="A535" s="166" t="n">
        <v>531</v>
      </c>
      <c r="B535" s="167" t="n">
        <v>1.2</v>
      </c>
      <c r="C535" s="167" t="n">
        <v>1.3</v>
      </c>
      <c r="D535" s="110" t="inlineStr">
        <is>
          <t>Yok (%0)</t>
        </is>
      </c>
      <c r="E535" s="110">
        <f>IF((B535+C535)&lt;=1, "Tam Mahsuplaşma (≤%100)", "Kısmi Satış (&gt;%100)")</f>
        <v/>
      </c>
      <c r="F535" s="168">
        <f>((VERI_TABANI!$D$29*B535/VERI_TABANI!$B$29)/VERI_TABANI!$B$3)*VERI_TABANI!$B$5 + ((VERI_TABANI!$D$29*C535/VERI_TABANI!$B$29)/VERI_TABANI!$B$4)*VERI_TABANI!$B$6 + IF(ISNUMBER(SEARCH("Var", D535)), (VERI_TABANI!$F$29/VERI_TABANI!$B$29)*(VERI_TABANI!$B$10+VERI_TABANI!$B$12), 0)</f>
        <v/>
      </c>
      <c r="G535" s="168">
        <f>(((MIN(VERI_TABANI!D23, VERI_TABANI!D23*B535)*VERI_TABANI!$B$7 + MAX(0, VERI_TABANI!D23*B535-VERI_TABANI!D23)*VERI_TABANI!$B$8) + (MIN(MAX(0, VERI_TABANI!D23-VERI_TABANI!D23*B535), VERI_TABANI!D23*C535)*VERI_TABANI!$B$7 + MAX(0, VERI_TABANI!D23*C535-MAX(0, VERI_TABANI!D23-VERI_TABANI!D23*B535))*VERI_TABANI!$B$8) + IF(ABS(IF(ISNUMBER(SEARCH("Var", D535)), 1, IF(ISNUMBER(SEARCH("Gri", D535)), -1, 0)))=1, VERI_TABANI!E23*(1-0.928)*VERI_TABANI!$B$9, 0) + (VERI_TABANI!D23*B535*(VERI_TABANI!$B$13-VERI_TABANI!$B$14)*VERI_TABANI!G23) + (VERI_TABANI!D23*C535*(VERI_TABANI!$B$13-VERI_TABANI!$B$15)*VERI_TABANI!G23) + IF(ABS(IF(ISNUMBER(SEARCH("Var", D535)), 1, IF(ISNUMBER(SEARCH("Gri", D535)), -1, 0)))=1, VERI_TABANI!E23*(1-0.928)*0.00206091519919798*VERI_TABANI!G23, 0)) + ((MIN(VERI_TABANI!D24, VERI_TABANI!D24*B535)*VERI_TABANI!$B$7 + MAX(0, VERI_TABANI!D24*B535-VERI_TABANI!D24)*VERI_TABANI!$B$8) + (MIN(MAX(0, VERI_TABANI!D24-VERI_TABANI!D24*B535), VERI_TABANI!D24*C535)*VERI_TABANI!$B$7 + MAX(0, VERI_TABANI!D24*C535-MAX(0, VERI_TABANI!D24-VERI_TABANI!D24*B535))*VERI_TABANI!$B$8) + IF(ABS(IF(ISNUMBER(SEARCH("Var", D535)), 1, IF(ISNUMBER(SEARCH("Gri", D535)), -1, 0)))=1, VERI_TABANI!E24*(1-0.928)*VERI_TABANI!$B$9, 0) + (VERI_TABANI!D24*B535*(VERI_TABANI!$B$13-VERI_TABANI!$B$14)*VERI_TABANI!G24) + (VERI_TABANI!D24*C535*(VERI_TABANI!$B$13-VERI_TABANI!$B$15)*VERI_TABANI!G24) + IF(ABS(IF(ISNUMBER(SEARCH("Var", D535)), 1, IF(ISNUMBER(SEARCH("Gri", D535)), -1, 0)))=1, VERI_TABANI!E24*(1-0.928)*0.00206091519919798*VERI_TABANI!G24, 0)) + ((MIN(VERI_TABANI!D25, VERI_TABANI!D25*B535)*VERI_TABANI!$B$7 + MAX(0, VERI_TABANI!D25*B535-VERI_TABANI!D25)*VERI_TABANI!$B$8) + (MIN(MAX(0, VERI_TABANI!D25-VERI_TABANI!D25*B535), VERI_TABANI!D25*C535)*VERI_TABANI!$B$7 + MAX(0, VERI_TABANI!D25*C535-MAX(0, VERI_TABANI!D25-VERI_TABANI!D25*B535))*VERI_TABANI!$B$8) + IF(ABS(IF(ISNUMBER(SEARCH("Var", D535)), 1, IF(ISNUMBER(SEARCH("Gri", D535)), -1, 0)))=1, VERI_TABANI!E25*(1-0.928)*VERI_TABANI!$B$9, 0) + (VERI_TABANI!D25*B535*(VERI_TABANI!$B$13-VERI_TABANI!$B$14)*VERI_TABANI!G25) + (VERI_TABANI!D25*C535*(VERI_TABANI!$B$13-VERI_TABANI!$B$15)*VERI_TABANI!G25) + IF(ABS(IF(ISNUMBER(SEARCH("Var", D535)), 1, IF(ISNUMBER(SEARCH("Gri", D535)), -1, 0)))=1, VERI_TABANI!E25*(1-0.928)*0.00206091519919798*VERI_TABANI!G25, 0)) + ((MIN(VERI_TABANI!D26, VERI_TABANI!D26*B535)*VERI_TABANI!$B$7 + MAX(0, VERI_TABANI!D26*B535-VERI_TABANI!D26)*VERI_TABANI!$B$8) + (MIN(MAX(0, VERI_TABANI!D26-VERI_TABANI!D26*B535), VERI_TABANI!D26*C535)*VERI_TABANI!$B$7 + MAX(0, VERI_TABANI!D26*C535-MAX(0, VERI_TABANI!D26-VERI_TABANI!D26*B535))*VERI_TABANI!$B$8) + IF(ABS(IF(ISNUMBER(SEARCH("Var", D535)), 1, IF(ISNUMBER(SEARCH("Gri", D535)), -1, 0)))=1, VERI_TABANI!E26*(1-0.928)*VERI_TABANI!$B$9, 0) + (VERI_TABANI!D26*B535*(VERI_TABANI!$B$13-VERI_TABANI!$B$14)*VERI_TABANI!G26) + (VERI_TABANI!D26*C535*(VERI_TABANI!$B$13-VERI_TABANI!$B$15)*VERI_TABANI!G26) + IF(ABS(IF(ISNUMBER(SEARCH("Var", D535)), 1, IF(ISNUMBER(SEARCH("Gri", D535)), -1, 0)))=1, VERI_TABANI!E26*(1-0.928)*0.00206091519919798*VERI_TABANI!G26, 0)) + ((MIN(VERI_TABANI!D27, VERI_TABANI!D27*B535)*VERI_TABANI!$B$7 + MAX(0, VERI_TABANI!D27*B535-VERI_TABANI!D27)*VERI_TABANI!$B$8) + (MIN(MAX(0, VERI_TABANI!D27-VERI_TABANI!D27*B535), VERI_TABANI!D27*C535)*VERI_TABANI!$B$7 + MAX(0, VERI_TABANI!D27*C535-MAX(0, VERI_TABANI!D27-VERI_TABANI!D27*B535))*VERI_TABANI!$B$8) + IF(ABS(IF(ISNUMBER(SEARCH("Var", D535)), 1, IF(ISNUMBER(SEARCH("Gri", D535)), -1, 0)))=1, VERI_TABANI!E27*(1-0.928)*VERI_TABANI!$B$9, 0) + (VERI_TABANI!D27*B535*(VERI_TABANI!$B$13-VERI_TABANI!$B$14)*VERI_TABANI!G27) + (VERI_TABANI!D27*C535*(VERI_TABANI!$B$13-VERI_TABANI!$B$15)*VERI_TABANI!G27) + IF(ABS(IF(ISNUMBER(SEARCH("Var", D535)), 1, IF(ISNUMBER(SEARCH("Gri", D535)), -1, 0)))=1, VERI_TABANI!E27*(1-0.928)*0.00206091519919798*VERI_TABANI!G27, 0)) + ((MIN(VERI_TABANI!D28, VERI_TABANI!D28*B535)*VERI_TABANI!$B$7 + MAX(0, VERI_TABANI!D28*B535-VERI_TABANI!D28)*VERI_TABANI!$B$8) + (MIN(MAX(0, VERI_TABANI!D28-VERI_TABANI!D28*B535), VERI_TABANI!D28*C535)*VERI_TABANI!$B$7 + MAX(0, VERI_TABANI!D28*C535-MAX(0, VERI_TABANI!D28-VERI_TABANI!D28*B535))*VERI_TABANI!$B$8) + IF(ABS(IF(ISNUMBER(SEARCH("Var", D535)), 1, IF(ISNUMBER(SEARCH("Gri", D535)), -1, 0)))=1, VERI_TABANI!E28*(1-0.928)*VERI_TABANI!$B$9, 0) + (VERI_TABANI!D28*B535*(VERI_TABANI!$B$13-VERI_TABANI!$B$14)*VERI_TABANI!G28) + (VERI_TABANI!D28*C535*(VERI_TABANI!$B$13-VERI_TABANI!$B$15)*VERI_TABANI!G28) + IF(ABS(IF(ISNUMBER(SEARCH("Var", D535)), 1, IF(ISNUMBER(SEARCH("Gri", D535)), -1, 0)))=1, VERI_TABANI!E28*(1-0.928)*0.00206091519919798*VERI_TABANI!G28, 0)))</f>
        <v/>
      </c>
      <c r="H535" s="169">
        <f>(((VERI_TABANI!D23*B535*(VERI_TABANI!$B$13-VERI_TABANI!$B$14)) + (VERI_TABANI!D23*C535*(VERI_TABANI!$B$13-VERI_TABANI!$B$15)) + IF(ISNUMBER(SEARCH("Var", D535)), VERI_TABANI!F23*(0.00202-VERI_TABANI!$B$16), IF(ISNUMBER(SEARCH("Gri", D535)), VERI_TABANI!F23*(0.00202-VERI_TABANI!$B$17), 0))) + ((VERI_TABANI!D24*B535*(VERI_TABANI!$B$13-VERI_TABANI!$B$14)) + (VERI_TABANI!D24*C535*(VERI_TABANI!$B$13-VERI_TABANI!$B$15)) + IF(ISNUMBER(SEARCH("Var", D535)), VERI_TABANI!F24*(0.00202-VERI_TABANI!$B$16), IF(ISNUMBER(SEARCH("Gri", D535)), VERI_TABANI!F24*(0.00202-VERI_TABANI!$B$17), 0))) + ((VERI_TABANI!D25*B535*(VERI_TABANI!$B$13-VERI_TABANI!$B$14)) + (VERI_TABANI!D25*C535*(VERI_TABANI!$B$13-VERI_TABANI!$B$15)) + IF(ISNUMBER(SEARCH("Var", D535)), VERI_TABANI!F25*(0.00202-VERI_TABANI!$B$16), IF(ISNUMBER(SEARCH("Gri", D535)), VERI_TABANI!F25*(0.00202-VERI_TABANI!$B$17), 0))) + ((VERI_TABANI!D26*B535*(VERI_TABANI!$B$13-VERI_TABANI!$B$14)) + (VERI_TABANI!D26*C535*(VERI_TABANI!$B$13-VERI_TABANI!$B$15)) + IF(ISNUMBER(SEARCH("Var", D535)), VERI_TABANI!F26*(0.00202-VERI_TABANI!$B$16), IF(ISNUMBER(SEARCH("Gri", D535)), VERI_TABANI!F26*(0.00202-VERI_TABANI!$B$17), 0))) + ((VERI_TABANI!D27*B535*(VERI_TABANI!$B$13-VERI_TABANI!$B$14)) + (VERI_TABANI!D27*C535*(VERI_TABANI!$B$13-VERI_TABANI!$B$15)) + IF(ISNUMBER(SEARCH("Var", D535)), VERI_TABANI!F27*(0.00202-VERI_TABANI!$B$16), IF(ISNUMBER(SEARCH("Gri", D535)), VERI_TABANI!F27*(0.00202-VERI_TABANI!$B$17), 0))) + ((VERI_TABANI!D28*B535*(VERI_TABANI!$B$13-VERI_TABANI!$B$14)) + (VERI_TABANI!D28*C535*(VERI_TABANI!$B$13-VERI_TABANI!$B$15)) + IF(ISNUMBER(SEARCH("Var", D535)), VERI_TABANI!F28*(0.00202-VERI_TABANI!$B$16), IF(ISNUMBER(SEARCH("Gri", D535)), VERI_TABANI!F28*(0.00202-VERI_TABANI!$B$17), 0))))</f>
        <v/>
      </c>
      <c r="I535" s="170">
        <f>IFERROR(((VERI_TABANI!$D$29*B535*VERI_TABANI!$B$14 + VERI_TABANI!$D$29*C535*VERI_TABANI!$B$15 + IF(ISNUMBER(SEARCH("Var", D535)), VERI_TABANI!$F$29*VERI_TABANI!$B$16, 0))) / (((VERI_TABANI!$D$29*B535 + VERI_TABANI!$D$29*C535)*VERI_TABANI!$B$13 + IF(ISNUMBER(SEARCH("Var", D535)), VERI_TABANI!$E$29*(1-0.928)*VERI_TABANI!$B$18, 0))), 0)</f>
        <v/>
      </c>
      <c r="J535" s="171">
        <f>IFERROR(F535/(G535/29), 0)</f>
        <v/>
      </c>
      <c r="K535" s="172">
        <f>IF(F535&gt;0, H535/F535, 0)</f>
        <v/>
      </c>
      <c r="L535" s="170">
        <f>IF(F535&gt;0, I535, 1000000000)</f>
        <v/>
      </c>
      <c r="M535" s="171">
        <f>ABS((B535+C535)-1)</f>
        <v/>
      </c>
      <c r="N535" s="170">
        <f>IF(F535&gt;0, (G535/29)/F535, 0)</f>
        <v/>
      </c>
      <c r="O535" s="168">
        <f>IF(AND((B535+C535)&gt;=1, ISNUMBER(SEARCH("Var", D535))), F535, 1000000000)</f>
        <v/>
      </c>
      <c r="P535" s="172">
        <f>IF(F535&gt;0, SQRT((F535/MAX(F$5:F$886))^2 + (1 - H535/MAX(H$5:H$886))^2 + (J535/MAX(J$5:J$886))^2), 1000000000)</f>
        <v/>
      </c>
      <c r="Q535" s="166">
        <f>IF(AND(ABS(B535-0.5)&lt;0.01, ABS(C535-0.5)&lt;0.01, ISNUMBER(SEARCH("Var", D535))), 1, 0)</f>
        <v/>
      </c>
      <c r="R535" s="171">
        <f>IF(F535&gt;0, J535, 1000000000)</f>
        <v/>
      </c>
      <c r="S535" s="101">
        <f>IF(AND(F535&lt;=DASHBOARD!$B$11, H535&gt;=DASHBOARD!$B$13), G535, -1000000000000)</f>
        <v/>
      </c>
      <c r="T535" s="101">
        <f>IF(AND(F535&lt;=DASHBOARD!$B$11, H535&gt;=DASHBOARD!$B$13), R535, 1000000000000)</f>
        <v/>
      </c>
      <c r="U535" s="101">
        <f>IF(AND(F535&lt;=DASHBOARD!$B$11, H535&gt;=DASHBOARD!$B$13), N535, -1000000000000)</f>
        <v/>
      </c>
      <c r="V535" s="101">
        <f>IF(AND(F535&lt;=DASHBOARD!$B$11, H535&gt;=DASHBOARD!$B$13), H535, -1000000000000)</f>
        <v/>
      </c>
      <c r="W535" s="101">
        <f>IF(AND(F535&lt;=DASHBOARD!$B$11, H535&gt;=DASHBOARD!$B$13), K535, -1000000000000)</f>
        <v/>
      </c>
      <c r="X535" s="101">
        <f>IF(AND(F535&lt;=DASHBOARD!$B$11, H535&gt;=DASHBOARD!$B$13), M535, 1000000000000)</f>
        <v/>
      </c>
      <c r="Y535" s="101">
        <f>IF(AND(F535&lt;=DASHBOARD!$B$10, H535&gt;=DASHBOARD!$B$11), L535, 1000000000000)</f>
        <v/>
      </c>
      <c r="Z535" s="101">
        <f>IF(AND(F535&lt;=DASHBOARD!$B$10, H535&gt;=DASHBOARD!$B$11), O535, 1000000000000)</f>
        <v/>
      </c>
      <c r="AA535" s="101">
        <f>IF(AND(F535&lt;=DASHBOARD!$B$10, H535&gt;=DASHBOARD!$B$11), P535, 1000000000000)</f>
        <v/>
      </c>
      <c r="AB535" s="101">
        <f>IF(AND(F535&lt;=DASHBOARD!$B$10, H535&gt;=DASHBOARD!$B$11), Q535, -1000000000000)</f>
        <v/>
      </c>
    </row>
    <row r="536" ht="15" customHeight="1" s="102">
      <c r="A536" s="166" t="n">
        <v>532</v>
      </c>
      <c r="B536" s="167" t="n">
        <v>1.2</v>
      </c>
      <c r="C536" s="167" t="n">
        <v>1.3</v>
      </c>
      <c r="D536" s="110" t="inlineStr">
        <is>
          <t>Var (%20)</t>
        </is>
      </c>
      <c r="E536" s="110">
        <f>IF((B536+C536)&lt;=1, "Tam Mahsuplaşma (≤%100)", "Kısmi Satış (&gt;%100)")</f>
        <v/>
      </c>
      <c r="F536" s="168">
        <f>((VERI_TABANI!$D$29*B536/VERI_TABANI!$B$29)/VERI_TABANI!$B$3)*VERI_TABANI!$B$5 + ((VERI_TABANI!$D$29*C536/VERI_TABANI!$B$29)/VERI_TABANI!$B$4)*VERI_TABANI!$B$6 + IF(ISNUMBER(SEARCH("Var", D536)), (VERI_TABANI!$F$29/VERI_TABANI!$B$29)*(VERI_TABANI!$B$10+VERI_TABANI!$B$12), 0)</f>
        <v/>
      </c>
      <c r="G536" s="168">
        <f>(((MIN(VERI_TABANI!D23, VERI_TABANI!D23*B536)*VERI_TABANI!$B$7 + MAX(0, VERI_TABANI!D23*B536-VERI_TABANI!D23)*VERI_TABANI!$B$8) + (MIN(MAX(0, VERI_TABANI!D23-VERI_TABANI!D23*B536), VERI_TABANI!D23*C536)*VERI_TABANI!$B$7 + MAX(0, VERI_TABANI!D23*C536-MAX(0, VERI_TABANI!D23-VERI_TABANI!D23*B536))*VERI_TABANI!$B$8) + IF(ABS(IF(ISNUMBER(SEARCH("Var", D536)), 1, IF(ISNUMBER(SEARCH("Gri", D536)), -1, 0)))=1, VERI_TABANI!E23*(1-0.928)*VERI_TABANI!$B$9, 0) + (VERI_TABANI!D23*B536*(VERI_TABANI!$B$13-VERI_TABANI!$B$14)*VERI_TABANI!G23) + (VERI_TABANI!D23*C536*(VERI_TABANI!$B$13-VERI_TABANI!$B$15)*VERI_TABANI!G23) + IF(ABS(IF(ISNUMBER(SEARCH("Var", D536)), 1, IF(ISNUMBER(SEARCH("Gri", D536)), -1, 0)))=1, VERI_TABANI!E23*(1-0.928)*0.00206091519919798*VERI_TABANI!G23, 0)) + ((MIN(VERI_TABANI!D24, VERI_TABANI!D24*B536)*VERI_TABANI!$B$7 + MAX(0, VERI_TABANI!D24*B536-VERI_TABANI!D24)*VERI_TABANI!$B$8) + (MIN(MAX(0, VERI_TABANI!D24-VERI_TABANI!D24*B536), VERI_TABANI!D24*C536)*VERI_TABANI!$B$7 + MAX(0, VERI_TABANI!D24*C536-MAX(0, VERI_TABANI!D24-VERI_TABANI!D24*B536))*VERI_TABANI!$B$8) + IF(ABS(IF(ISNUMBER(SEARCH("Var", D536)), 1, IF(ISNUMBER(SEARCH("Gri", D536)), -1, 0)))=1, VERI_TABANI!E24*(1-0.928)*VERI_TABANI!$B$9, 0) + (VERI_TABANI!D24*B536*(VERI_TABANI!$B$13-VERI_TABANI!$B$14)*VERI_TABANI!G24) + (VERI_TABANI!D24*C536*(VERI_TABANI!$B$13-VERI_TABANI!$B$15)*VERI_TABANI!G24) + IF(ABS(IF(ISNUMBER(SEARCH("Var", D536)), 1, IF(ISNUMBER(SEARCH("Gri", D536)), -1, 0)))=1, VERI_TABANI!E24*(1-0.928)*0.00206091519919798*VERI_TABANI!G24, 0)) + ((MIN(VERI_TABANI!D25, VERI_TABANI!D25*B536)*VERI_TABANI!$B$7 + MAX(0, VERI_TABANI!D25*B536-VERI_TABANI!D25)*VERI_TABANI!$B$8) + (MIN(MAX(0, VERI_TABANI!D25-VERI_TABANI!D25*B536), VERI_TABANI!D25*C536)*VERI_TABANI!$B$7 + MAX(0, VERI_TABANI!D25*C536-MAX(0, VERI_TABANI!D25-VERI_TABANI!D25*B536))*VERI_TABANI!$B$8) + IF(ABS(IF(ISNUMBER(SEARCH("Var", D536)), 1, IF(ISNUMBER(SEARCH("Gri", D536)), -1, 0)))=1, VERI_TABANI!E25*(1-0.928)*VERI_TABANI!$B$9, 0) + (VERI_TABANI!D25*B536*(VERI_TABANI!$B$13-VERI_TABANI!$B$14)*VERI_TABANI!G25) + (VERI_TABANI!D25*C536*(VERI_TABANI!$B$13-VERI_TABANI!$B$15)*VERI_TABANI!G25) + IF(ABS(IF(ISNUMBER(SEARCH("Var", D536)), 1, IF(ISNUMBER(SEARCH("Gri", D536)), -1, 0)))=1, VERI_TABANI!E25*(1-0.928)*0.00206091519919798*VERI_TABANI!G25, 0)) + ((MIN(VERI_TABANI!D26, VERI_TABANI!D26*B536)*VERI_TABANI!$B$7 + MAX(0, VERI_TABANI!D26*B536-VERI_TABANI!D26)*VERI_TABANI!$B$8) + (MIN(MAX(0, VERI_TABANI!D26-VERI_TABANI!D26*B536), VERI_TABANI!D26*C536)*VERI_TABANI!$B$7 + MAX(0, VERI_TABANI!D26*C536-MAX(0, VERI_TABANI!D26-VERI_TABANI!D26*B536))*VERI_TABANI!$B$8) + IF(ABS(IF(ISNUMBER(SEARCH("Var", D536)), 1, IF(ISNUMBER(SEARCH("Gri", D536)), -1, 0)))=1, VERI_TABANI!E26*(1-0.928)*VERI_TABANI!$B$9, 0) + (VERI_TABANI!D26*B536*(VERI_TABANI!$B$13-VERI_TABANI!$B$14)*VERI_TABANI!G26) + (VERI_TABANI!D26*C536*(VERI_TABANI!$B$13-VERI_TABANI!$B$15)*VERI_TABANI!G26) + IF(ABS(IF(ISNUMBER(SEARCH("Var", D536)), 1, IF(ISNUMBER(SEARCH("Gri", D536)), -1, 0)))=1, VERI_TABANI!E26*(1-0.928)*0.00206091519919798*VERI_TABANI!G26, 0)) + ((MIN(VERI_TABANI!D27, VERI_TABANI!D27*B536)*VERI_TABANI!$B$7 + MAX(0, VERI_TABANI!D27*B536-VERI_TABANI!D27)*VERI_TABANI!$B$8) + (MIN(MAX(0, VERI_TABANI!D27-VERI_TABANI!D27*B536), VERI_TABANI!D27*C536)*VERI_TABANI!$B$7 + MAX(0, VERI_TABANI!D27*C536-MAX(0, VERI_TABANI!D27-VERI_TABANI!D27*B536))*VERI_TABANI!$B$8) + IF(ABS(IF(ISNUMBER(SEARCH("Var", D536)), 1, IF(ISNUMBER(SEARCH("Gri", D536)), -1, 0)))=1, VERI_TABANI!E27*(1-0.928)*VERI_TABANI!$B$9, 0) + (VERI_TABANI!D27*B536*(VERI_TABANI!$B$13-VERI_TABANI!$B$14)*VERI_TABANI!G27) + (VERI_TABANI!D27*C536*(VERI_TABANI!$B$13-VERI_TABANI!$B$15)*VERI_TABANI!G27) + IF(ABS(IF(ISNUMBER(SEARCH("Var", D536)), 1, IF(ISNUMBER(SEARCH("Gri", D536)), -1, 0)))=1, VERI_TABANI!E27*(1-0.928)*0.00206091519919798*VERI_TABANI!G27, 0)) + ((MIN(VERI_TABANI!D28, VERI_TABANI!D28*B536)*VERI_TABANI!$B$7 + MAX(0, VERI_TABANI!D28*B536-VERI_TABANI!D28)*VERI_TABANI!$B$8) + (MIN(MAX(0, VERI_TABANI!D28-VERI_TABANI!D28*B536), VERI_TABANI!D28*C536)*VERI_TABANI!$B$7 + MAX(0, VERI_TABANI!D28*C536-MAX(0, VERI_TABANI!D28-VERI_TABANI!D28*B536))*VERI_TABANI!$B$8) + IF(ABS(IF(ISNUMBER(SEARCH("Var", D536)), 1, IF(ISNUMBER(SEARCH("Gri", D536)), -1, 0)))=1, VERI_TABANI!E28*(1-0.928)*VERI_TABANI!$B$9, 0) + (VERI_TABANI!D28*B536*(VERI_TABANI!$B$13-VERI_TABANI!$B$14)*VERI_TABANI!G28) + (VERI_TABANI!D28*C536*(VERI_TABANI!$B$13-VERI_TABANI!$B$15)*VERI_TABANI!G28) + IF(ABS(IF(ISNUMBER(SEARCH("Var", D536)), 1, IF(ISNUMBER(SEARCH("Gri", D536)), -1, 0)))=1, VERI_TABANI!E28*(1-0.928)*0.00206091519919798*VERI_TABANI!G28, 0)))</f>
        <v/>
      </c>
      <c r="H536" s="169">
        <f>(((VERI_TABANI!D23*B536*(VERI_TABANI!$B$13-VERI_TABANI!$B$14)) + (VERI_TABANI!D23*C536*(VERI_TABANI!$B$13-VERI_TABANI!$B$15)) + IF(ISNUMBER(SEARCH("Var", D536)), VERI_TABANI!F23*(0.00202-VERI_TABANI!$B$16), IF(ISNUMBER(SEARCH("Gri", D536)), VERI_TABANI!F23*(0.00202-VERI_TABANI!$B$17), 0))) + ((VERI_TABANI!D24*B536*(VERI_TABANI!$B$13-VERI_TABANI!$B$14)) + (VERI_TABANI!D24*C536*(VERI_TABANI!$B$13-VERI_TABANI!$B$15)) + IF(ISNUMBER(SEARCH("Var", D536)), VERI_TABANI!F24*(0.00202-VERI_TABANI!$B$16), IF(ISNUMBER(SEARCH("Gri", D536)), VERI_TABANI!F24*(0.00202-VERI_TABANI!$B$17), 0))) + ((VERI_TABANI!D25*B536*(VERI_TABANI!$B$13-VERI_TABANI!$B$14)) + (VERI_TABANI!D25*C536*(VERI_TABANI!$B$13-VERI_TABANI!$B$15)) + IF(ISNUMBER(SEARCH("Var", D536)), VERI_TABANI!F25*(0.00202-VERI_TABANI!$B$16), IF(ISNUMBER(SEARCH("Gri", D536)), VERI_TABANI!F25*(0.00202-VERI_TABANI!$B$17), 0))) + ((VERI_TABANI!D26*B536*(VERI_TABANI!$B$13-VERI_TABANI!$B$14)) + (VERI_TABANI!D26*C536*(VERI_TABANI!$B$13-VERI_TABANI!$B$15)) + IF(ISNUMBER(SEARCH("Var", D536)), VERI_TABANI!F26*(0.00202-VERI_TABANI!$B$16), IF(ISNUMBER(SEARCH("Gri", D536)), VERI_TABANI!F26*(0.00202-VERI_TABANI!$B$17), 0))) + ((VERI_TABANI!D27*B536*(VERI_TABANI!$B$13-VERI_TABANI!$B$14)) + (VERI_TABANI!D27*C536*(VERI_TABANI!$B$13-VERI_TABANI!$B$15)) + IF(ISNUMBER(SEARCH("Var", D536)), VERI_TABANI!F27*(0.00202-VERI_TABANI!$B$16), IF(ISNUMBER(SEARCH("Gri", D536)), VERI_TABANI!F27*(0.00202-VERI_TABANI!$B$17), 0))) + ((VERI_TABANI!D28*B536*(VERI_TABANI!$B$13-VERI_TABANI!$B$14)) + (VERI_TABANI!D28*C536*(VERI_TABANI!$B$13-VERI_TABANI!$B$15)) + IF(ISNUMBER(SEARCH("Var", D536)), VERI_TABANI!F28*(0.00202-VERI_TABANI!$B$16), IF(ISNUMBER(SEARCH("Gri", D536)), VERI_TABANI!F28*(0.00202-VERI_TABANI!$B$17), 0))))</f>
        <v/>
      </c>
      <c r="I536" s="170">
        <f>IFERROR(((VERI_TABANI!$D$29*B536*VERI_TABANI!$B$14 + VERI_TABANI!$D$29*C536*VERI_TABANI!$B$15 + IF(ISNUMBER(SEARCH("Var", D536)), VERI_TABANI!$F$29*VERI_TABANI!$B$16, 0))) / (((VERI_TABANI!$D$29*B536 + VERI_TABANI!$D$29*C536)*VERI_TABANI!$B$13 + IF(ISNUMBER(SEARCH("Var", D536)), VERI_TABANI!$E$29*(1-0.928)*VERI_TABANI!$B$18, 0))), 0)</f>
        <v/>
      </c>
      <c r="J536" s="171">
        <f>IFERROR(F536/(G536/29), 0)</f>
        <v/>
      </c>
      <c r="K536" s="172">
        <f>IF(F536&gt;0, H536/F536, 0)</f>
        <v/>
      </c>
      <c r="L536" s="170">
        <f>IF(F536&gt;0, I536, 1000000000)</f>
        <v/>
      </c>
      <c r="M536" s="171">
        <f>ABS((B536+C536)-1)</f>
        <v/>
      </c>
      <c r="N536" s="170">
        <f>IF(F536&gt;0, (G536/29)/F536, 0)</f>
        <v/>
      </c>
      <c r="O536" s="168">
        <f>IF(AND((B536+C536)&gt;=1, ISNUMBER(SEARCH("Var", D536))), F536, 1000000000)</f>
        <v/>
      </c>
      <c r="P536" s="172">
        <f>IF(F536&gt;0, SQRT((F536/MAX(F$5:F$886))^2 + (1 - H536/MAX(H$5:H$886))^2 + (J536/MAX(J$5:J$886))^2), 1000000000)</f>
        <v/>
      </c>
      <c r="Q536" s="166">
        <f>IF(AND(ABS(B536-0.5)&lt;0.01, ABS(C536-0.5)&lt;0.01, ISNUMBER(SEARCH("Var", D536))), 1, 0)</f>
        <v/>
      </c>
      <c r="R536" s="171">
        <f>IF(F536&gt;0, J536, 1000000000)</f>
        <v/>
      </c>
      <c r="S536" s="101">
        <f>IF(AND(F536&lt;=DASHBOARD!$B$11, H536&gt;=DASHBOARD!$B$13), G536, -1000000000000)</f>
        <v/>
      </c>
      <c r="T536" s="101">
        <f>IF(AND(F536&lt;=DASHBOARD!$B$11, H536&gt;=DASHBOARD!$B$13), R536, 1000000000000)</f>
        <v/>
      </c>
      <c r="U536" s="101">
        <f>IF(AND(F536&lt;=DASHBOARD!$B$11, H536&gt;=DASHBOARD!$B$13), N536, -1000000000000)</f>
        <v/>
      </c>
      <c r="V536" s="101">
        <f>IF(AND(F536&lt;=DASHBOARD!$B$11, H536&gt;=DASHBOARD!$B$13), H536, -1000000000000)</f>
        <v/>
      </c>
      <c r="W536" s="101">
        <f>IF(AND(F536&lt;=DASHBOARD!$B$11, H536&gt;=DASHBOARD!$B$13), K536, -1000000000000)</f>
        <v/>
      </c>
      <c r="X536" s="101">
        <f>IF(AND(F536&lt;=DASHBOARD!$B$11, H536&gt;=DASHBOARD!$B$13), M536, 1000000000000)</f>
        <v/>
      </c>
      <c r="Y536" s="101">
        <f>IF(AND(F536&lt;=DASHBOARD!$B$10, H536&gt;=DASHBOARD!$B$11), L536, 1000000000000)</f>
        <v/>
      </c>
      <c r="Z536" s="101">
        <f>IF(AND(F536&lt;=DASHBOARD!$B$10, H536&gt;=DASHBOARD!$B$11), O536, 1000000000000)</f>
        <v/>
      </c>
      <c r="AA536" s="101">
        <f>IF(AND(F536&lt;=DASHBOARD!$B$10, H536&gt;=DASHBOARD!$B$11), P536, 1000000000000)</f>
        <v/>
      </c>
      <c r="AB536" s="101">
        <f>IF(AND(F536&lt;=DASHBOARD!$B$10, H536&gt;=DASHBOARD!$B$11), Q536, -1000000000000)</f>
        <v/>
      </c>
    </row>
    <row r="537" ht="15" customHeight="1" s="102">
      <c r="A537" s="166" t="n">
        <v>533</v>
      </c>
      <c r="B537" s="167" t="n">
        <v>1.2</v>
      </c>
      <c r="C537" s="167" t="n">
        <v>1.4</v>
      </c>
      <c r="D537" s="110" t="inlineStr">
        <is>
          <t>Yok (%0)</t>
        </is>
      </c>
      <c r="E537" s="110">
        <f>IF((B537+C537)&lt;=1, "Tam Mahsuplaşma (≤%100)", "Kısmi Satış (&gt;%100)")</f>
        <v/>
      </c>
      <c r="F537" s="168">
        <f>((VERI_TABANI!$D$29*B537/VERI_TABANI!$B$29)/VERI_TABANI!$B$3)*VERI_TABANI!$B$5 + ((VERI_TABANI!$D$29*C537/VERI_TABANI!$B$29)/VERI_TABANI!$B$4)*VERI_TABANI!$B$6 + IF(ISNUMBER(SEARCH("Var", D537)), (VERI_TABANI!$F$29/VERI_TABANI!$B$29)*(VERI_TABANI!$B$10+VERI_TABANI!$B$12), 0)</f>
        <v/>
      </c>
      <c r="G537" s="168">
        <f>(((MIN(VERI_TABANI!D23, VERI_TABANI!D23*B537)*VERI_TABANI!$B$7 + MAX(0, VERI_TABANI!D23*B537-VERI_TABANI!D23)*VERI_TABANI!$B$8) + (MIN(MAX(0, VERI_TABANI!D23-VERI_TABANI!D23*B537), VERI_TABANI!D23*C537)*VERI_TABANI!$B$7 + MAX(0, VERI_TABANI!D23*C537-MAX(0, VERI_TABANI!D23-VERI_TABANI!D23*B537))*VERI_TABANI!$B$8) + IF(ABS(IF(ISNUMBER(SEARCH("Var", D537)), 1, IF(ISNUMBER(SEARCH("Gri", D537)), -1, 0)))=1, VERI_TABANI!E23*(1-0.928)*VERI_TABANI!$B$9, 0) + (VERI_TABANI!D23*B537*(VERI_TABANI!$B$13-VERI_TABANI!$B$14)*VERI_TABANI!G23) + (VERI_TABANI!D23*C537*(VERI_TABANI!$B$13-VERI_TABANI!$B$15)*VERI_TABANI!G23) + IF(ABS(IF(ISNUMBER(SEARCH("Var", D537)), 1, IF(ISNUMBER(SEARCH("Gri", D537)), -1, 0)))=1, VERI_TABANI!E23*(1-0.928)*0.00206091519919798*VERI_TABANI!G23, 0)) + ((MIN(VERI_TABANI!D24, VERI_TABANI!D24*B537)*VERI_TABANI!$B$7 + MAX(0, VERI_TABANI!D24*B537-VERI_TABANI!D24)*VERI_TABANI!$B$8) + (MIN(MAX(0, VERI_TABANI!D24-VERI_TABANI!D24*B537), VERI_TABANI!D24*C537)*VERI_TABANI!$B$7 + MAX(0, VERI_TABANI!D24*C537-MAX(0, VERI_TABANI!D24-VERI_TABANI!D24*B537))*VERI_TABANI!$B$8) + IF(ABS(IF(ISNUMBER(SEARCH("Var", D537)), 1, IF(ISNUMBER(SEARCH("Gri", D537)), -1, 0)))=1, VERI_TABANI!E24*(1-0.928)*VERI_TABANI!$B$9, 0) + (VERI_TABANI!D24*B537*(VERI_TABANI!$B$13-VERI_TABANI!$B$14)*VERI_TABANI!G24) + (VERI_TABANI!D24*C537*(VERI_TABANI!$B$13-VERI_TABANI!$B$15)*VERI_TABANI!G24) + IF(ABS(IF(ISNUMBER(SEARCH("Var", D537)), 1, IF(ISNUMBER(SEARCH("Gri", D537)), -1, 0)))=1, VERI_TABANI!E24*(1-0.928)*0.00206091519919798*VERI_TABANI!G24, 0)) + ((MIN(VERI_TABANI!D25, VERI_TABANI!D25*B537)*VERI_TABANI!$B$7 + MAX(0, VERI_TABANI!D25*B537-VERI_TABANI!D25)*VERI_TABANI!$B$8) + (MIN(MAX(0, VERI_TABANI!D25-VERI_TABANI!D25*B537), VERI_TABANI!D25*C537)*VERI_TABANI!$B$7 + MAX(0, VERI_TABANI!D25*C537-MAX(0, VERI_TABANI!D25-VERI_TABANI!D25*B537))*VERI_TABANI!$B$8) + IF(ABS(IF(ISNUMBER(SEARCH("Var", D537)), 1, IF(ISNUMBER(SEARCH("Gri", D537)), -1, 0)))=1, VERI_TABANI!E25*(1-0.928)*VERI_TABANI!$B$9, 0) + (VERI_TABANI!D25*B537*(VERI_TABANI!$B$13-VERI_TABANI!$B$14)*VERI_TABANI!G25) + (VERI_TABANI!D25*C537*(VERI_TABANI!$B$13-VERI_TABANI!$B$15)*VERI_TABANI!G25) + IF(ABS(IF(ISNUMBER(SEARCH("Var", D537)), 1, IF(ISNUMBER(SEARCH("Gri", D537)), -1, 0)))=1, VERI_TABANI!E25*(1-0.928)*0.00206091519919798*VERI_TABANI!G25, 0)) + ((MIN(VERI_TABANI!D26, VERI_TABANI!D26*B537)*VERI_TABANI!$B$7 + MAX(0, VERI_TABANI!D26*B537-VERI_TABANI!D26)*VERI_TABANI!$B$8) + (MIN(MAX(0, VERI_TABANI!D26-VERI_TABANI!D26*B537), VERI_TABANI!D26*C537)*VERI_TABANI!$B$7 + MAX(0, VERI_TABANI!D26*C537-MAX(0, VERI_TABANI!D26-VERI_TABANI!D26*B537))*VERI_TABANI!$B$8) + IF(ABS(IF(ISNUMBER(SEARCH("Var", D537)), 1, IF(ISNUMBER(SEARCH("Gri", D537)), -1, 0)))=1, VERI_TABANI!E26*(1-0.928)*VERI_TABANI!$B$9, 0) + (VERI_TABANI!D26*B537*(VERI_TABANI!$B$13-VERI_TABANI!$B$14)*VERI_TABANI!G26) + (VERI_TABANI!D26*C537*(VERI_TABANI!$B$13-VERI_TABANI!$B$15)*VERI_TABANI!G26) + IF(ABS(IF(ISNUMBER(SEARCH("Var", D537)), 1, IF(ISNUMBER(SEARCH("Gri", D537)), -1, 0)))=1, VERI_TABANI!E26*(1-0.928)*0.00206091519919798*VERI_TABANI!G26, 0)) + ((MIN(VERI_TABANI!D27, VERI_TABANI!D27*B537)*VERI_TABANI!$B$7 + MAX(0, VERI_TABANI!D27*B537-VERI_TABANI!D27)*VERI_TABANI!$B$8) + (MIN(MAX(0, VERI_TABANI!D27-VERI_TABANI!D27*B537), VERI_TABANI!D27*C537)*VERI_TABANI!$B$7 + MAX(0, VERI_TABANI!D27*C537-MAX(0, VERI_TABANI!D27-VERI_TABANI!D27*B537))*VERI_TABANI!$B$8) + IF(ABS(IF(ISNUMBER(SEARCH("Var", D537)), 1, IF(ISNUMBER(SEARCH("Gri", D537)), -1, 0)))=1, VERI_TABANI!E27*(1-0.928)*VERI_TABANI!$B$9, 0) + (VERI_TABANI!D27*B537*(VERI_TABANI!$B$13-VERI_TABANI!$B$14)*VERI_TABANI!G27) + (VERI_TABANI!D27*C537*(VERI_TABANI!$B$13-VERI_TABANI!$B$15)*VERI_TABANI!G27) + IF(ABS(IF(ISNUMBER(SEARCH("Var", D537)), 1, IF(ISNUMBER(SEARCH("Gri", D537)), -1, 0)))=1, VERI_TABANI!E27*(1-0.928)*0.00206091519919798*VERI_TABANI!G27, 0)) + ((MIN(VERI_TABANI!D28, VERI_TABANI!D28*B537)*VERI_TABANI!$B$7 + MAX(0, VERI_TABANI!D28*B537-VERI_TABANI!D28)*VERI_TABANI!$B$8) + (MIN(MAX(0, VERI_TABANI!D28-VERI_TABANI!D28*B537), VERI_TABANI!D28*C537)*VERI_TABANI!$B$7 + MAX(0, VERI_TABANI!D28*C537-MAX(0, VERI_TABANI!D28-VERI_TABANI!D28*B537))*VERI_TABANI!$B$8) + IF(ABS(IF(ISNUMBER(SEARCH("Var", D537)), 1, IF(ISNUMBER(SEARCH("Gri", D537)), -1, 0)))=1, VERI_TABANI!E28*(1-0.928)*VERI_TABANI!$B$9, 0) + (VERI_TABANI!D28*B537*(VERI_TABANI!$B$13-VERI_TABANI!$B$14)*VERI_TABANI!G28) + (VERI_TABANI!D28*C537*(VERI_TABANI!$B$13-VERI_TABANI!$B$15)*VERI_TABANI!G28) + IF(ABS(IF(ISNUMBER(SEARCH("Var", D537)), 1, IF(ISNUMBER(SEARCH("Gri", D537)), -1, 0)))=1, VERI_TABANI!E28*(1-0.928)*0.00206091519919798*VERI_TABANI!G28, 0)))</f>
        <v/>
      </c>
      <c r="H537" s="169">
        <f>(((VERI_TABANI!D23*B537*(VERI_TABANI!$B$13-VERI_TABANI!$B$14)) + (VERI_TABANI!D23*C537*(VERI_TABANI!$B$13-VERI_TABANI!$B$15)) + IF(ISNUMBER(SEARCH("Var", D537)), VERI_TABANI!F23*(0.00202-VERI_TABANI!$B$16), IF(ISNUMBER(SEARCH("Gri", D537)), VERI_TABANI!F23*(0.00202-VERI_TABANI!$B$17), 0))) + ((VERI_TABANI!D24*B537*(VERI_TABANI!$B$13-VERI_TABANI!$B$14)) + (VERI_TABANI!D24*C537*(VERI_TABANI!$B$13-VERI_TABANI!$B$15)) + IF(ISNUMBER(SEARCH("Var", D537)), VERI_TABANI!F24*(0.00202-VERI_TABANI!$B$16), IF(ISNUMBER(SEARCH("Gri", D537)), VERI_TABANI!F24*(0.00202-VERI_TABANI!$B$17), 0))) + ((VERI_TABANI!D25*B537*(VERI_TABANI!$B$13-VERI_TABANI!$B$14)) + (VERI_TABANI!D25*C537*(VERI_TABANI!$B$13-VERI_TABANI!$B$15)) + IF(ISNUMBER(SEARCH("Var", D537)), VERI_TABANI!F25*(0.00202-VERI_TABANI!$B$16), IF(ISNUMBER(SEARCH("Gri", D537)), VERI_TABANI!F25*(0.00202-VERI_TABANI!$B$17), 0))) + ((VERI_TABANI!D26*B537*(VERI_TABANI!$B$13-VERI_TABANI!$B$14)) + (VERI_TABANI!D26*C537*(VERI_TABANI!$B$13-VERI_TABANI!$B$15)) + IF(ISNUMBER(SEARCH("Var", D537)), VERI_TABANI!F26*(0.00202-VERI_TABANI!$B$16), IF(ISNUMBER(SEARCH("Gri", D537)), VERI_TABANI!F26*(0.00202-VERI_TABANI!$B$17), 0))) + ((VERI_TABANI!D27*B537*(VERI_TABANI!$B$13-VERI_TABANI!$B$14)) + (VERI_TABANI!D27*C537*(VERI_TABANI!$B$13-VERI_TABANI!$B$15)) + IF(ISNUMBER(SEARCH("Var", D537)), VERI_TABANI!F27*(0.00202-VERI_TABANI!$B$16), IF(ISNUMBER(SEARCH("Gri", D537)), VERI_TABANI!F27*(0.00202-VERI_TABANI!$B$17), 0))) + ((VERI_TABANI!D28*B537*(VERI_TABANI!$B$13-VERI_TABANI!$B$14)) + (VERI_TABANI!D28*C537*(VERI_TABANI!$B$13-VERI_TABANI!$B$15)) + IF(ISNUMBER(SEARCH("Var", D537)), VERI_TABANI!F28*(0.00202-VERI_TABANI!$B$16), IF(ISNUMBER(SEARCH("Gri", D537)), VERI_TABANI!F28*(0.00202-VERI_TABANI!$B$17), 0))))</f>
        <v/>
      </c>
      <c r="I537" s="170">
        <f>IFERROR(((VERI_TABANI!$D$29*B537*VERI_TABANI!$B$14 + VERI_TABANI!$D$29*C537*VERI_TABANI!$B$15 + IF(ISNUMBER(SEARCH("Var", D537)), VERI_TABANI!$F$29*VERI_TABANI!$B$16, 0))) / (((VERI_TABANI!$D$29*B537 + VERI_TABANI!$D$29*C537)*VERI_TABANI!$B$13 + IF(ISNUMBER(SEARCH("Var", D537)), VERI_TABANI!$E$29*(1-0.928)*VERI_TABANI!$B$18, 0))), 0)</f>
        <v/>
      </c>
      <c r="J537" s="171">
        <f>IFERROR(F537/(G537/29), 0)</f>
        <v/>
      </c>
      <c r="K537" s="172">
        <f>IF(F537&gt;0, H537/F537, 0)</f>
        <v/>
      </c>
      <c r="L537" s="170">
        <f>IF(F537&gt;0, I537, 1000000000)</f>
        <v/>
      </c>
      <c r="M537" s="171">
        <f>ABS((B537+C537)-1)</f>
        <v/>
      </c>
      <c r="N537" s="170">
        <f>IF(F537&gt;0, (G537/29)/F537, 0)</f>
        <v/>
      </c>
      <c r="O537" s="168">
        <f>IF(AND((B537+C537)&gt;=1, ISNUMBER(SEARCH("Var", D537))), F537, 1000000000)</f>
        <v/>
      </c>
      <c r="P537" s="172">
        <f>IF(F537&gt;0, SQRT((F537/MAX(F$5:F$886))^2 + (1 - H537/MAX(H$5:H$886))^2 + (J537/MAX(J$5:J$886))^2), 1000000000)</f>
        <v/>
      </c>
      <c r="Q537" s="166">
        <f>IF(AND(ABS(B537-0.5)&lt;0.01, ABS(C537-0.5)&lt;0.01, ISNUMBER(SEARCH("Var", D537))), 1, 0)</f>
        <v/>
      </c>
      <c r="R537" s="171">
        <f>IF(F537&gt;0, J537, 1000000000)</f>
        <v/>
      </c>
      <c r="S537" s="101">
        <f>IF(AND(F537&lt;=DASHBOARD!$B$11, H537&gt;=DASHBOARD!$B$13), G537, -1000000000000)</f>
        <v/>
      </c>
      <c r="T537" s="101">
        <f>IF(AND(F537&lt;=DASHBOARD!$B$11, H537&gt;=DASHBOARD!$B$13), R537, 1000000000000)</f>
        <v/>
      </c>
      <c r="U537" s="101">
        <f>IF(AND(F537&lt;=DASHBOARD!$B$11, H537&gt;=DASHBOARD!$B$13), N537, -1000000000000)</f>
        <v/>
      </c>
      <c r="V537" s="101">
        <f>IF(AND(F537&lt;=DASHBOARD!$B$11, H537&gt;=DASHBOARD!$B$13), H537, -1000000000000)</f>
        <v/>
      </c>
      <c r="W537" s="101">
        <f>IF(AND(F537&lt;=DASHBOARD!$B$11, H537&gt;=DASHBOARD!$B$13), K537, -1000000000000)</f>
        <v/>
      </c>
      <c r="X537" s="101">
        <f>IF(AND(F537&lt;=DASHBOARD!$B$11, H537&gt;=DASHBOARD!$B$13), M537, 1000000000000)</f>
        <v/>
      </c>
      <c r="Y537" s="101">
        <f>IF(AND(F537&lt;=DASHBOARD!$B$10, H537&gt;=DASHBOARD!$B$11), L537, 1000000000000)</f>
        <v/>
      </c>
      <c r="Z537" s="101">
        <f>IF(AND(F537&lt;=DASHBOARD!$B$10, H537&gt;=DASHBOARD!$B$11), O537, 1000000000000)</f>
        <v/>
      </c>
      <c r="AA537" s="101">
        <f>IF(AND(F537&lt;=DASHBOARD!$B$10, H537&gt;=DASHBOARD!$B$11), P537, 1000000000000)</f>
        <v/>
      </c>
      <c r="AB537" s="101">
        <f>IF(AND(F537&lt;=DASHBOARD!$B$10, H537&gt;=DASHBOARD!$B$11), Q537, -1000000000000)</f>
        <v/>
      </c>
    </row>
    <row r="538" ht="15" customHeight="1" s="102">
      <c r="A538" s="166" t="n">
        <v>534</v>
      </c>
      <c r="B538" s="167" t="n">
        <v>1.2</v>
      </c>
      <c r="C538" s="167" t="n">
        <v>1.4</v>
      </c>
      <c r="D538" s="110" t="inlineStr">
        <is>
          <t>Var (%20)</t>
        </is>
      </c>
      <c r="E538" s="110">
        <f>IF((B538+C538)&lt;=1, "Tam Mahsuplaşma (≤%100)", "Kısmi Satış (&gt;%100)")</f>
        <v/>
      </c>
      <c r="F538" s="168">
        <f>((VERI_TABANI!$D$29*B538/VERI_TABANI!$B$29)/VERI_TABANI!$B$3)*VERI_TABANI!$B$5 + ((VERI_TABANI!$D$29*C538/VERI_TABANI!$B$29)/VERI_TABANI!$B$4)*VERI_TABANI!$B$6 + IF(ISNUMBER(SEARCH("Var", D538)), (VERI_TABANI!$F$29/VERI_TABANI!$B$29)*(VERI_TABANI!$B$10+VERI_TABANI!$B$12), 0)</f>
        <v/>
      </c>
      <c r="G538" s="168">
        <f>(((MIN(VERI_TABANI!D23, VERI_TABANI!D23*B538)*VERI_TABANI!$B$7 + MAX(0, VERI_TABANI!D23*B538-VERI_TABANI!D23)*VERI_TABANI!$B$8) + (MIN(MAX(0, VERI_TABANI!D23-VERI_TABANI!D23*B538), VERI_TABANI!D23*C538)*VERI_TABANI!$B$7 + MAX(0, VERI_TABANI!D23*C538-MAX(0, VERI_TABANI!D23-VERI_TABANI!D23*B538))*VERI_TABANI!$B$8) + IF(ABS(IF(ISNUMBER(SEARCH("Var", D538)), 1, IF(ISNUMBER(SEARCH("Gri", D538)), -1, 0)))=1, VERI_TABANI!E23*(1-0.928)*VERI_TABANI!$B$9, 0) + (VERI_TABANI!D23*B538*(VERI_TABANI!$B$13-VERI_TABANI!$B$14)*VERI_TABANI!G23) + (VERI_TABANI!D23*C538*(VERI_TABANI!$B$13-VERI_TABANI!$B$15)*VERI_TABANI!G23) + IF(ABS(IF(ISNUMBER(SEARCH("Var", D538)), 1, IF(ISNUMBER(SEARCH("Gri", D538)), -1, 0)))=1, VERI_TABANI!E23*(1-0.928)*0.00206091519919798*VERI_TABANI!G23, 0)) + ((MIN(VERI_TABANI!D24, VERI_TABANI!D24*B538)*VERI_TABANI!$B$7 + MAX(0, VERI_TABANI!D24*B538-VERI_TABANI!D24)*VERI_TABANI!$B$8) + (MIN(MAX(0, VERI_TABANI!D24-VERI_TABANI!D24*B538), VERI_TABANI!D24*C538)*VERI_TABANI!$B$7 + MAX(0, VERI_TABANI!D24*C538-MAX(0, VERI_TABANI!D24-VERI_TABANI!D24*B538))*VERI_TABANI!$B$8) + IF(ABS(IF(ISNUMBER(SEARCH("Var", D538)), 1, IF(ISNUMBER(SEARCH("Gri", D538)), -1, 0)))=1, VERI_TABANI!E24*(1-0.928)*VERI_TABANI!$B$9, 0) + (VERI_TABANI!D24*B538*(VERI_TABANI!$B$13-VERI_TABANI!$B$14)*VERI_TABANI!G24) + (VERI_TABANI!D24*C538*(VERI_TABANI!$B$13-VERI_TABANI!$B$15)*VERI_TABANI!G24) + IF(ABS(IF(ISNUMBER(SEARCH("Var", D538)), 1, IF(ISNUMBER(SEARCH("Gri", D538)), -1, 0)))=1, VERI_TABANI!E24*(1-0.928)*0.00206091519919798*VERI_TABANI!G24, 0)) + ((MIN(VERI_TABANI!D25, VERI_TABANI!D25*B538)*VERI_TABANI!$B$7 + MAX(0, VERI_TABANI!D25*B538-VERI_TABANI!D25)*VERI_TABANI!$B$8) + (MIN(MAX(0, VERI_TABANI!D25-VERI_TABANI!D25*B538), VERI_TABANI!D25*C538)*VERI_TABANI!$B$7 + MAX(0, VERI_TABANI!D25*C538-MAX(0, VERI_TABANI!D25-VERI_TABANI!D25*B538))*VERI_TABANI!$B$8) + IF(ABS(IF(ISNUMBER(SEARCH("Var", D538)), 1, IF(ISNUMBER(SEARCH("Gri", D538)), -1, 0)))=1, VERI_TABANI!E25*(1-0.928)*VERI_TABANI!$B$9, 0) + (VERI_TABANI!D25*B538*(VERI_TABANI!$B$13-VERI_TABANI!$B$14)*VERI_TABANI!G25) + (VERI_TABANI!D25*C538*(VERI_TABANI!$B$13-VERI_TABANI!$B$15)*VERI_TABANI!G25) + IF(ABS(IF(ISNUMBER(SEARCH("Var", D538)), 1, IF(ISNUMBER(SEARCH("Gri", D538)), -1, 0)))=1, VERI_TABANI!E25*(1-0.928)*0.00206091519919798*VERI_TABANI!G25, 0)) + ((MIN(VERI_TABANI!D26, VERI_TABANI!D26*B538)*VERI_TABANI!$B$7 + MAX(0, VERI_TABANI!D26*B538-VERI_TABANI!D26)*VERI_TABANI!$B$8) + (MIN(MAX(0, VERI_TABANI!D26-VERI_TABANI!D26*B538), VERI_TABANI!D26*C538)*VERI_TABANI!$B$7 + MAX(0, VERI_TABANI!D26*C538-MAX(0, VERI_TABANI!D26-VERI_TABANI!D26*B538))*VERI_TABANI!$B$8) + IF(ABS(IF(ISNUMBER(SEARCH("Var", D538)), 1, IF(ISNUMBER(SEARCH("Gri", D538)), -1, 0)))=1, VERI_TABANI!E26*(1-0.928)*VERI_TABANI!$B$9, 0) + (VERI_TABANI!D26*B538*(VERI_TABANI!$B$13-VERI_TABANI!$B$14)*VERI_TABANI!G26) + (VERI_TABANI!D26*C538*(VERI_TABANI!$B$13-VERI_TABANI!$B$15)*VERI_TABANI!G26) + IF(ABS(IF(ISNUMBER(SEARCH("Var", D538)), 1, IF(ISNUMBER(SEARCH("Gri", D538)), -1, 0)))=1, VERI_TABANI!E26*(1-0.928)*0.00206091519919798*VERI_TABANI!G26, 0)) + ((MIN(VERI_TABANI!D27, VERI_TABANI!D27*B538)*VERI_TABANI!$B$7 + MAX(0, VERI_TABANI!D27*B538-VERI_TABANI!D27)*VERI_TABANI!$B$8) + (MIN(MAX(0, VERI_TABANI!D27-VERI_TABANI!D27*B538), VERI_TABANI!D27*C538)*VERI_TABANI!$B$7 + MAX(0, VERI_TABANI!D27*C538-MAX(0, VERI_TABANI!D27-VERI_TABANI!D27*B538))*VERI_TABANI!$B$8) + IF(ABS(IF(ISNUMBER(SEARCH("Var", D538)), 1, IF(ISNUMBER(SEARCH("Gri", D538)), -1, 0)))=1, VERI_TABANI!E27*(1-0.928)*VERI_TABANI!$B$9, 0) + (VERI_TABANI!D27*B538*(VERI_TABANI!$B$13-VERI_TABANI!$B$14)*VERI_TABANI!G27) + (VERI_TABANI!D27*C538*(VERI_TABANI!$B$13-VERI_TABANI!$B$15)*VERI_TABANI!G27) + IF(ABS(IF(ISNUMBER(SEARCH("Var", D538)), 1, IF(ISNUMBER(SEARCH("Gri", D538)), -1, 0)))=1, VERI_TABANI!E27*(1-0.928)*0.00206091519919798*VERI_TABANI!G27, 0)) + ((MIN(VERI_TABANI!D28, VERI_TABANI!D28*B538)*VERI_TABANI!$B$7 + MAX(0, VERI_TABANI!D28*B538-VERI_TABANI!D28)*VERI_TABANI!$B$8) + (MIN(MAX(0, VERI_TABANI!D28-VERI_TABANI!D28*B538), VERI_TABANI!D28*C538)*VERI_TABANI!$B$7 + MAX(0, VERI_TABANI!D28*C538-MAX(0, VERI_TABANI!D28-VERI_TABANI!D28*B538))*VERI_TABANI!$B$8) + IF(ABS(IF(ISNUMBER(SEARCH("Var", D538)), 1, IF(ISNUMBER(SEARCH("Gri", D538)), -1, 0)))=1, VERI_TABANI!E28*(1-0.928)*VERI_TABANI!$B$9, 0) + (VERI_TABANI!D28*B538*(VERI_TABANI!$B$13-VERI_TABANI!$B$14)*VERI_TABANI!G28) + (VERI_TABANI!D28*C538*(VERI_TABANI!$B$13-VERI_TABANI!$B$15)*VERI_TABANI!G28) + IF(ABS(IF(ISNUMBER(SEARCH("Var", D538)), 1, IF(ISNUMBER(SEARCH("Gri", D538)), -1, 0)))=1, VERI_TABANI!E28*(1-0.928)*0.00206091519919798*VERI_TABANI!G28, 0)))</f>
        <v/>
      </c>
      <c r="H538" s="169">
        <f>(((VERI_TABANI!D23*B538*(VERI_TABANI!$B$13-VERI_TABANI!$B$14)) + (VERI_TABANI!D23*C538*(VERI_TABANI!$B$13-VERI_TABANI!$B$15)) + IF(ISNUMBER(SEARCH("Var", D538)), VERI_TABANI!F23*(0.00202-VERI_TABANI!$B$16), IF(ISNUMBER(SEARCH("Gri", D538)), VERI_TABANI!F23*(0.00202-VERI_TABANI!$B$17), 0))) + ((VERI_TABANI!D24*B538*(VERI_TABANI!$B$13-VERI_TABANI!$B$14)) + (VERI_TABANI!D24*C538*(VERI_TABANI!$B$13-VERI_TABANI!$B$15)) + IF(ISNUMBER(SEARCH("Var", D538)), VERI_TABANI!F24*(0.00202-VERI_TABANI!$B$16), IF(ISNUMBER(SEARCH("Gri", D538)), VERI_TABANI!F24*(0.00202-VERI_TABANI!$B$17), 0))) + ((VERI_TABANI!D25*B538*(VERI_TABANI!$B$13-VERI_TABANI!$B$14)) + (VERI_TABANI!D25*C538*(VERI_TABANI!$B$13-VERI_TABANI!$B$15)) + IF(ISNUMBER(SEARCH("Var", D538)), VERI_TABANI!F25*(0.00202-VERI_TABANI!$B$16), IF(ISNUMBER(SEARCH("Gri", D538)), VERI_TABANI!F25*(0.00202-VERI_TABANI!$B$17), 0))) + ((VERI_TABANI!D26*B538*(VERI_TABANI!$B$13-VERI_TABANI!$B$14)) + (VERI_TABANI!D26*C538*(VERI_TABANI!$B$13-VERI_TABANI!$B$15)) + IF(ISNUMBER(SEARCH("Var", D538)), VERI_TABANI!F26*(0.00202-VERI_TABANI!$B$16), IF(ISNUMBER(SEARCH("Gri", D538)), VERI_TABANI!F26*(0.00202-VERI_TABANI!$B$17), 0))) + ((VERI_TABANI!D27*B538*(VERI_TABANI!$B$13-VERI_TABANI!$B$14)) + (VERI_TABANI!D27*C538*(VERI_TABANI!$B$13-VERI_TABANI!$B$15)) + IF(ISNUMBER(SEARCH("Var", D538)), VERI_TABANI!F27*(0.00202-VERI_TABANI!$B$16), IF(ISNUMBER(SEARCH("Gri", D538)), VERI_TABANI!F27*(0.00202-VERI_TABANI!$B$17), 0))) + ((VERI_TABANI!D28*B538*(VERI_TABANI!$B$13-VERI_TABANI!$B$14)) + (VERI_TABANI!D28*C538*(VERI_TABANI!$B$13-VERI_TABANI!$B$15)) + IF(ISNUMBER(SEARCH("Var", D538)), VERI_TABANI!F28*(0.00202-VERI_TABANI!$B$16), IF(ISNUMBER(SEARCH("Gri", D538)), VERI_TABANI!F28*(0.00202-VERI_TABANI!$B$17), 0))))</f>
        <v/>
      </c>
      <c r="I538" s="170">
        <f>IFERROR(((VERI_TABANI!$D$29*B538*VERI_TABANI!$B$14 + VERI_TABANI!$D$29*C538*VERI_TABANI!$B$15 + IF(ISNUMBER(SEARCH("Var", D538)), VERI_TABANI!$F$29*VERI_TABANI!$B$16, 0))) / (((VERI_TABANI!$D$29*B538 + VERI_TABANI!$D$29*C538)*VERI_TABANI!$B$13 + IF(ISNUMBER(SEARCH("Var", D538)), VERI_TABANI!$E$29*(1-0.928)*VERI_TABANI!$B$18, 0))), 0)</f>
        <v/>
      </c>
      <c r="J538" s="171">
        <f>IFERROR(F538/(G538/29), 0)</f>
        <v/>
      </c>
      <c r="K538" s="172">
        <f>IF(F538&gt;0, H538/F538, 0)</f>
        <v/>
      </c>
      <c r="L538" s="170">
        <f>IF(F538&gt;0, I538, 1000000000)</f>
        <v/>
      </c>
      <c r="M538" s="171">
        <f>ABS((B538+C538)-1)</f>
        <v/>
      </c>
      <c r="N538" s="170">
        <f>IF(F538&gt;0, (G538/29)/F538, 0)</f>
        <v/>
      </c>
      <c r="O538" s="168">
        <f>IF(AND((B538+C538)&gt;=1, ISNUMBER(SEARCH("Var", D538))), F538, 1000000000)</f>
        <v/>
      </c>
      <c r="P538" s="172">
        <f>IF(F538&gt;0, SQRT((F538/MAX(F$5:F$886))^2 + (1 - H538/MAX(H$5:H$886))^2 + (J538/MAX(J$5:J$886))^2), 1000000000)</f>
        <v/>
      </c>
      <c r="Q538" s="166">
        <f>IF(AND(ABS(B538-0.5)&lt;0.01, ABS(C538-0.5)&lt;0.01, ISNUMBER(SEARCH("Var", D538))), 1, 0)</f>
        <v/>
      </c>
      <c r="R538" s="171">
        <f>IF(F538&gt;0, J538, 1000000000)</f>
        <v/>
      </c>
      <c r="S538" s="101">
        <f>IF(AND(F538&lt;=DASHBOARD!$B$11, H538&gt;=DASHBOARD!$B$13), G538, -1000000000000)</f>
        <v/>
      </c>
      <c r="T538" s="101">
        <f>IF(AND(F538&lt;=DASHBOARD!$B$11, H538&gt;=DASHBOARD!$B$13), R538, 1000000000000)</f>
        <v/>
      </c>
      <c r="U538" s="101">
        <f>IF(AND(F538&lt;=DASHBOARD!$B$11, H538&gt;=DASHBOARD!$B$13), N538, -1000000000000)</f>
        <v/>
      </c>
      <c r="V538" s="101">
        <f>IF(AND(F538&lt;=DASHBOARD!$B$11, H538&gt;=DASHBOARD!$B$13), H538, -1000000000000)</f>
        <v/>
      </c>
      <c r="W538" s="101">
        <f>IF(AND(F538&lt;=DASHBOARD!$B$11, H538&gt;=DASHBOARD!$B$13), K538, -1000000000000)</f>
        <v/>
      </c>
      <c r="X538" s="101">
        <f>IF(AND(F538&lt;=DASHBOARD!$B$11, H538&gt;=DASHBOARD!$B$13), M538, 1000000000000)</f>
        <v/>
      </c>
      <c r="Y538" s="101">
        <f>IF(AND(F538&lt;=DASHBOARD!$B$10, H538&gt;=DASHBOARD!$B$11), L538, 1000000000000)</f>
        <v/>
      </c>
      <c r="Z538" s="101">
        <f>IF(AND(F538&lt;=DASHBOARD!$B$10, H538&gt;=DASHBOARD!$B$11), O538, 1000000000000)</f>
        <v/>
      </c>
      <c r="AA538" s="101">
        <f>IF(AND(F538&lt;=DASHBOARD!$B$10, H538&gt;=DASHBOARD!$B$11), P538, 1000000000000)</f>
        <v/>
      </c>
      <c r="AB538" s="101">
        <f>IF(AND(F538&lt;=DASHBOARD!$B$10, H538&gt;=DASHBOARD!$B$11), Q538, -1000000000000)</f>
        <v/>
      </c>
    </row>
    <row r="539" ht="15" customHeight="1" s="102">
      <c r="A539" s="166" t="n">
        <v>535</v>
      </c>
      <c r="B539" s="167" t="n">
        <v>1.2</v>
      </c>
      <c r="C539" s="167" t="n">
        <v>1.5</v>
      </c>
      <c r="D539" s="110" t="inlineStr">
        <is>
          <t>Yok (%0)</t>
        </is>
      </c>
      <c r="E539" s="110">
        <f>IF((B539+C539)&lt;=1, "Tam Mahsuplaşma (≤%100)", "Kısmi Satış (&gt;%100)")</f>
        <v/>
      </c>
      <c r="F539" s="168">
        <f>((VERI_TABANI!$D$29*B539/VERI_TABANI!$B$29)/VERI_TABANI!$B$3)*VERI_TABANI!$B$5 + ((VERI_TABANI!$D$29*C539/VERI_TABANI!$B$29)/VERI_TABANI!$B$4)*VERI_TABANI!$B$6 + IF(ISNUMBER(SEARCH("Var", D539)), (VERI_TABANI!$F$29/VERI_TABANI!$B$29)*(VERI_TABANI!$B$10+VERI_TABANI!$B$12), 0)</f>
        <v/>
      </c>
      <c r="G539" s="168">
        <f>(((MIN(VERI_TABANI!D23, VERI_TABANI!D23*B539)*VERI_TABANI!$B$7 + MAX(0, VERI_TABANI!D23*B539-VERI_TABANI!D23)*VERI_TABANI!$B$8) + (MIN(MAX(0, VERI_TABANI!D23-VERI_TABANI!D23*B539), VERI_TABANI!D23*C539)*VERI_TABANI!$B$7 + MAX(0, VERI_TABANI!D23*C539-MAX(0, VERI_TABANI!D23-VERI_TABANI!D23*B539))*VERI_TABANI!$B$8) + IF(ABS(IF(ISNUMBER(SEARCH("Var", D539)), 1, IF(ISNUMBER(SEARCH("Gri", D539)), -1, 0)))=1, VERI_TABANI!E23*(1-0.928)*VERI_TABANI!$B$9, 0) + (VERI_TABANI!D23*B539*(VERI_TABANI!$B$13-VERI_TABANI!$B$14)*VERI_TABANI!G23) + (VERI_TABANI!D23*C539*(VERI_TABANI!$B$13-VERI_TABANI!$B$15)*VERI_TABANI!G23) + IF(ABS(IF(ISNUMBER(SEARCH("Var", D539)), 1, IF(ISNUMBER(SEARCH("Gri", D539)), -1, 0)))=1, VERI_TABANI!E23*(1-0.928)*0.00206091519919798*VERI_TABANI!G23, 0)) + ((MIN(VERI_TABANI!D24, VERI_TABANI!D24*B539)*VERI_TABANI!$B$7 + MAX(0, VERI_TABANI!D24*B539-VERI_TABANI!D24)*VERI_TABANI!$B$8) + (MIN(MAX(0, VERI_TABANI!D24-VERI_TABANI!D24*B539), VERI_TABANI!D24*C539)*VERI_TABANI!$B$7 + MAX(0, VERI_TABANI!D24*C539-MAX(0, VERI_TABANI!D24-VERI_TABANI!D24*B539))*VERI_TABANI!$B$8) + IF(ABS(IF(ISNUMBER(SEARCH("Var", D539)), 1, IF(ISNUMBER(SEARCH("Gri", D539)), -1, 0)))=1, VERI_TABANI!E24*(1-0.928)*VERI_TABANI!$B$9, 0) + (VERI_TABANI!D24*B539*(VERI_TABANI!$B$13-VERI_TABANI!$B$14)*VERI_TABANI!G24) + (VERI_TABANI!D24*C539*(VERI_TABANI!$B$13-VERI_TABANI!$B$15)*VERI_TABANI!G24) + IF(ABS(IF(ISNUMBER(SEARCH("Var", D539)), 1, IF(ISNUMBER(SEARCH("Gri", D539)), -1, 0)))=1, VERI_TABANI!E24*(1-0.928)*0.00206091519919798*VERI_TABANI!G24, 0)) + ((MIN(VERI_TABANI!D25, VERI_TABANI!D25*B539)*VERI_TABANI!$B$7 + MAX(0, VERI_TABANI!D25*B539-VERI_TABANI!D25)*VERI_TABANI!$B$8) + (MIN(MAX(0, VERI_TABANI!D25-VERI_TABANI!D25*B539), VERI_TABANI!D25*C539)*VERI_TABANI!$B$7 + MAX(0, VERI_TABANI!D25*C539-MAX(0, VERI_TABANI!D25-VERI_TABANI!D25*B539))*VERI_TABANI!$B$8) + IF(ABS(IF(ISNUMBER(SEARCH("Var", D539)), 1, IF(ISNUMBER(SEARCH("Gri", D539)), -1, 0)))=1, VERI_TABANI!E25*(1-0.928)*VERI_TABANI!$B$9, 0) + (VERI_TABANI!D25*B539*(VERI_TABANI!$B$13-VERI_TABANI!$B$14)*VERI_TABANI!G25) + (VERI_TABANI!D25*C539*(VERI_TABANI!$B$13-VERI_TABANI!$B$15)*VERI_TABANI!G25) + IF(ABS(IF(ISNUMBER(SEARCH("Var", D539)), 1, IF(ISNUMBER(SEARCH("Gri", D539)), -1, 0)))=1, VERI_TABANI!E25*(1-0.928)*0.00206091519919798*VERI_TABANI!G25, 0)) + ((MIN(VERI_TABANI!D26, VERI_TABANI!D26*B539)*VERI_TABANI!$B$7 + MAX(0, VERI_TABANI!D26*B539-VERI_TABANI!D26)*VERI_TABANI!$B$8) + (MIN(MAX(0, VERI_TABANI!D26-VERI_TABANI!D26*B539), VERI_TABANI!D26*C539)*VERI_TABANI!$B$7 + MAX(0, VERI_TABANI!D26*C539-MAX(0, VERI_TABANI!D26-VERI_TABANI!D26*B539))*VERI_TABANI!$B$8) + IF(ABS(IF(ISNUMBER(SEARCH("Var", D539)), 1, IF(ISNUMBER(SEARCH("Gri", D539)), -1, 0)))=1, VERI_TABANI!E26*(1-0.928)*VERI_TABANI!$B$9, 0) + (VERI_TABANI!D26*B539*(VERI_TABANI!$B$13-VERI_TABANI!$B$14)*VERI_TABANI!G26) + (VERI_TABANI!D26*C539*(VERI_TABANI!$B$13-VERI_TABANI!$B$15)*VERI_TABANI!G26) + IF(ABS(IF(ISNUMBER(SEARCH("Var", D539)), 1, IF(ISNUMBER(SEARCH("Gri", D539)), -1, 0)))=1, VERI_TABANI!E26*(1-0.928)*0.00206091519919798*VERI_TABANI!G26, 0)) + ((MIN(VERI_TABANI!D27, VERI_TABANI!D27*B539)*VERI_TABANI!$B$7 + MAX(0, VERI_TABANI!D27*B539-VERI_TABANI!D27)*VERI_TABANI!$B$8) + (MIN(MAX(0, VERI_TABANI!D27-VERI_TABANI!D27*B539), VERI_TABANI!D27*C539)*VERI_TABANI!$B$7 + MAX(0, VERI_TABANI!D27*C539-MAX(0, VERI_TABANI!D27-VERI_TABANI!D27*B539))*VERI_TABANI!$B$8) + IF(ABS(IF(ISNUMBER(SEARCH("Var", D539)), 1, IF(ISNUMBER(SEARCH("Gri", D539)), -1, 0)))=1, VERI_TABANI!E27*(1-0.928)*VERI_TABANI!$B$9, 0) + (VERI_TABANI!D27*B539*(VERI_TABANI!$B$13-VERI_TABANI!$B$14)*VERI_TABANI!G27) + (VERI_TABANI!D27*C539*(VERI_TABANI!$B$13-VERI_TABANI!$B$15)*VERI_TABANI!G27) + IF(ABS(IF(ISNUMBER(SEARCH("Var", D539)), 1, IF(ISNUMBER(SEARCH("Gri", D539)), -1, 0)))=1, VERI_TABANI!E27*(1-0.928)*0.00206091519919798*VERI_TABANI!G27, 0)) + ((MIN(VERI_TABANI!D28, VERI_TABANI!D28*B539)*VERI_TABANI!$B$7 + MAX(0, VERI_TABANI!D28*B539-VERI_TABANI!D28)*VERI_TABANI!$B$8) + (MIN(MAX(0, VERI_TABANI!D28-VERI_TABANI!D28*B539), VERI_TABANI!D28*C539)*VERI_TABANI!$B$7 + MAX(0, VERI_TABANI!D28*C539-MAX(0, VERI_TABANI!D28-VERI_TABANI!D28*B539))*VERI_TABANI!$B$8) + IF(ABS(IF(ISNUMBER(SEARCH("Var", D539)), 1, IF(ISNUMBER(SEARCH("Gri", D539)), -1, 0)))=1, VERI_TABANI!E28*(1-0.928)*VERI_TABANI!$B$9, 0) + (VERI_TABANI!D28*B539*(VERI_TABANI!$B$13-VERI_TABANI!$B$14)*VERI_TABANI!G28) + (VERI_TABANI!D28*C539*(VERI_TABANI!$B$13-VERI_TABANI!$B$15)*VERI_TABANI!G28) + IF(ABS(IF(ISNUMBER(SEARCH("Var", D539)), 1, IF(ISNUMBER(SEARCH("Gri", D539)), -1, 0)))=1, VERI_TABANI!E28*(1-0.928)*0.00206091519919798*VERI_TABANI!G28, 0)))</f>
        <v/>
      </c>
      <c r="H539" s="169">
        <f>(((VERI_TABANI!D23*B539*(VERI_TABANI!$B$13-VERI_TABANI!$B$14)) + (VERI_TABANI!D23*C539*(VERI_TABANI!$B$13-VERI_TABANI!$B$15)) + IF(ISNUMBER(SEARCH("Var", D539)), VERI_TABANI!F23*(0.00202-VERI_TABANI!$B$16), IF(ISNUMBER(SEARCH("Gri", D539)), VERI_TABANI!F23*(0.00202-VERI_TABANI!$B$17), 0))) + ((VERI_TABANI!D24*B539*(VERI_TABANI!$B$13-VERI_TABANI!$B$14)) + (VERI_TABANI!D24*C539*(VERI_TABANI!$B$13-VERI_TABANI!$B$15)) + IF(ISNUMBER(SEARCH("Var", D539)), VERI_TABANI!F24*(0.00202-VERI_TABANI!$B$16), IF(ISNUMBER(SEARCH("Gri", D539)), VERI_TABANI!F24*(0.00202-VERI_TABANI!$B$17), 0))) + ((VERI_TABANI!D25*B539*(VERI_TABANI!$B$13-VERI_TABANI!$B$14)) + (VERI_TABANI!D25*C539*(VERI_TABANI!$B$13-VERI_TABANI!$B$15)) + IF(ISNUMBER(SEARCH("Var", D539)), VERI_TABANI!F25*(0.00202-VERI_TABANI!$B$16), IF(ISNUMBER(SEARCH("Gri", D539)), VERI_TABANI!F25*(0.00202-VERI_TABANI!$B$17), 0))) + ((VERI_TABANI!D26*B539*(VERI_TABANI!$B$13-VERI_TABANI!$B$14)) + (VERI_TABANI!D26*C539*(VERI_TABANI!$B$13-VERI_TABANI!$B$15)) + IF(ISNUMBER(SEARCH("Var", D539)), VERI_TABANI!F26*(0.00202-VERI_TABANI!$B$16), IF(ISNUMBER(SEARCH("Gri", D539)), VERI_TABANI!F26*(0.00202-VERI_TABANI!$B$17), 0))) + ((VERI_TABANI!D27*B539*(VERI_TABANI!$B$13-VERI_TABANI!$B$14)) + (VERI_TABANI!D27*C539*(VERI_TABANI!$B$13-VERI_TABANI!$B$15)) + IF(ISNUMBER(SEARCH("Var", D539)), VERI_TABANI!F27*(0.00202-VERI_TABANI!$B$16), IF(ISNUMBER(SEARCH("Gri", D539)), VERI_TABANI!F27*(0.00202-VERI_TABANI!$B$17), 0))) + ((VERI_TABANI!D28*B539*(VERI_TABANI!$B$13-VERI_TABANI!$B$14)) + (VERI_TABANI!D28*C539*(VERI_TABANI!$B$13-VERI_TABANI!$B$15)) + IF(ISNUMBER(SEARCH("Var", D539)), VERI_TABANI!F28*(0.00202-VERI_TABANI!$B$16), IF(ISNUMBER(SEARCH("Gri", D539)), VERI_TABANI!F28*(0.00202-VERI_TABANI!$B$17), 0))))</f>
        <v/>
      </c>
      <c r="I539" s="170">
        <f>IFERROR(((VERI_TABANI!$D$29*B539*VERI_TABANI!$B$14 + VERI_TABANI!$D$29*C539*VERI_TABANI!$B$15 + IF(ISNUMBER(SEARCH("Var", D539)), VERI_TABANI!$F$29*VERI_TABANI!$B$16, 0))) / (((VERI_TABANI!$D$29*B539 + VERI_TABANI!$D$29*C539)*VERI_TABANI!$B$13 + IF(ISNUMBER(SEARCH("Var", D539)), VERI_TABANI!$E$29*(1-0.928)*VERI_TABANI!$B$18, 0))), 0)</f>
        <v/>
      </c>
      <c r="J539" s="171">
        <f>IFERROR(F539/(G539/29), 0)</f>
        <v/>
      </c>
      <c r="K539" s="172">
        <f>IF(F539&gt;0, H539/F539, 0)</f>
        <v/>
      </c>
      <c r="L539" s="170">
        <f>IF(F539&gt;0, I539, 1000000000)</f>
        <v/>
      </c>
      <c r="M539" s="171">
        <f>ABS((B539+C539)-1)</f>
        <v/>
      </c>
      <c r="N539" s="170">
        <f>IF(F539&gt;0, (G539/29)/F539, 0)</f>
        <v/>
      </c>
      <c r="O539" s="168">
        <f>IF(AND((B539+C539)&gt;=1, ISNUMBER(SEARCH("Var", D539))), F539, 1000000000)</f>
        <v/>
      </c>
      <c r="P539" s="172">
        <f>IF(F539&gt;0, SQRT((F539/MAX(F$5:F$886))^2 + (1 - H539/MAX(H$5:H$886))^2 + (J539/MAX(J$5:J$886))^2), 1000000000)</f>
        <v/>
      </c>
      <c r="Q539" s="166">
        <f>IF(AND(ABS(B539-0.5)&lt;0.01, ABS(C539-0.5)&lt;0.01, ISNUMBER(SEARCH("Var", D539))), 1, 0)</f>
        <v/>
      </c>
      <c r="R539" s="171">
        <f>IF(F539&gt;0, J539, 1000000000)</f>
        <v/>
      </c>
      <c r="S539" s="101">
        <f>IF(AND(F539&lt;=DASHBOARD!$B$11, H539&gt;=DASHBOARD!$B$13), G539, -1000000000000)</f>
        <v/>
      </c>
      <c r="T539" s="101">
        <f>IF(AND(F539&lt;=DASHBOARD!$B$11, H539&gt;=DASHBOARD!$B$13), R539, 1000000000000)</f>
        <v/>
      </c>
      <c r="U539" s="101">
        <f>IF(AND(F539&lt;=DASHBOARD!$B$11, H539&gt;=DASHBOARD!$B$13), N539, -1000000000000)</f>
        <v/>
      </c>
      <c r="V539" s="101">
        <f>IF(AND(F539&lt;=DASHBOARD!$B$11, H539&gt;=DASHBOARD!$B$13), H539, -1000000000000)</f>
        <v/>
      </c>
      <c r="W539" s="101">
        <f>IF(AND(F539&lt;=DASHBOARD!$B$11, H539&gt;=DASHBOARD!$B$13), K539, -1000000000000)</f>
        <v/>
      </c>
      <c r="X539" s="101">
        <f>IF(AND(F539&lt;=DASHBOARD!$B$11, H539&gt;=DASHBOARD!$B$13), M539, 1000000000000)</f>
        <v/>
      </c>
      <c r="Y539" s="101">
        <f>IF(AND(F539&lt;=DASHBOARD!$B$10, H539&gt;=DASHBOARD!$B$11), L539, 1000000000000)</f>
        <v/>
      </c>
      <c r="Z539" s="101">
        <f>IF(AND(F539&lt;=DASHBOARD!$B$10, H539&gt;=DASHBOARD!$B$11), O539, 1000000000000)</f>
        <v/>
      </c>
      <c r="AA539" s="101">
        <f>IF(AND(F539&lt;=DASHBOARD!$B$10, H539&gt;=DASHBOARD!$B$11), P539, 1000000000000)</f>
        <v/>
      </c>
      <c r="AB539" s="101">
        <f>IF(AND(F539&lt;=DASHBOARD!$B$10, H539&gt;=DASHBOARD!$B$11), Q539, -1000000000000)</f>
        <v/>
      </c>
    </row>
    <row r="540" ht="15" customHeight="1" s="102">
      <c r="A540" s="166" t="n">
        <v>536</v>
      </c>
      <c r="B540" s="167" t="n">
        <v>1.2</v>
      </c>
      <c r="C540" s="167" t="n">
        <v>1.5</v>
      </c>
      <c r="D540" s="110" t="inlineStr">
        <is>
          <t>Var (%20)</t>
        </is>
      </c>
      <c r="E540" s="110">
        <f>IF((B540+C540)&lt;=1, "Tam Mahsuplaşma (≤%100)", "Kısmi Satış (&gt;%100)")</f>
        <v/>
      </c>
      <c r="F540" s="168">
        <f>((VERI_TABANI!$D$29*B540/VERI_TABANI!$B$29)/VERI_TABANI!$B$3)*VERI_TABANI!$B$5 + ((VERI_TABANI!$D$29*C540/VERI_TABANI!$B$29)/VERI_TABANI!$B$4)*VERI_TABANI!$B$6 + IF(ISNUMBER(SEARCH("Var", D540)), (VERI_TABANI!$F$29/VERI_TABANI!$B$29)*(VERI_TABANI!$B$10+VERI_TABANI!$B$12), 0)</f>
        <v/>
      </c>
      <c r="G540" s="168">
        <f>(((MIN(VERI_TABANI!D23, VERI_TABANI!D23*B540)*VERI_TABANI!$B$7 + MAX(0, VERI_TABANI!D23*B540-VERI_TABANI!D23)*VERI_TABANI!$B$8) + (MIN(MAX(0, VERI_TABANI!D23-VERI_TABANI!D23*B540), VERI_TABANI!D23*C540)*VERI_TABANI!$B$7 + MAX(0, VERI_TABANI!D23*C540-MAX(0, VERI_TABANI!D23-VERI_TABANI!D23*B540))*VERI_TABANI!$B$8) + IF(ABS(IF(ISNUMBER(SEARCH("Var", D540)), 1, IF(ISNUMBER(SEARCH("Gri", D540)), -1, 0)))=1, VERI_TABANI!E23*(1-0.928)*VERI_TABANI!$B$9, 0) + (VERI_TABANI!D23*B540*(VERI_TABANI!$B$13-VERI_TABANI!$B$14)*VERI_TABANI!G23) + (VERI_TABANI!D23*C540*(VERI_TABANI!$B$13-VERI_TABANI!$B$15)*VERI_TABANI!G23) + IF(ABS(IF(ISNUMBER(SEARCH("Var", D540)), 1, IF(ISNUMBER(SEARCH("Gri", D540)), -1, 0)))=1, VERI_TABANI!E23*(1-0.928)*0.00206091519919798*VERI_TABANI!G23, 0)) + ((MIN(VERI_TABANI!D24, VERI_TABANI!D24*B540)*VERI_TABANI!$B$7 + MAX(0, VERI_TABANI!D24*B540-VERI_TABANI!D24)*VERI_TABANI!$B$8) + (MIN(MAX(0, VERI_TABANI!D24-VERI_TABANI!D24*B540), VERI_TABANI!D24*C540)*VERI_TABANI!$B$7 + MAX(0, VERI_TABANI!D24*C540-MAX(0, VERI_TABANI!D24-VERI_TABANI!D24*B540))*VERI_TABANI!$B$8) + IF(ABS(IF(ISNUMBER(SEARCH("Var", D540)), 1, IF(ISNUMBER(SEARCH("Gri", D540)), -1, 0)))=1, VERI_TABANI!E24*(1-0.928)*VERI_TABANI!$B$9, 0) + (VERI_TABANI!D24*B540*(VERI_TABANI!$B$13-VERI_TABANI!$B$14)*VERI_TABANI!G24) + (VERI_TABANI!D24*C540*(VERI_TABANI!$B$13-VERI_TABANI!$B$15)*VERI_TABANI!G24) + IF(ABS(IF(ISNUMBER(SEARCH("Var", D540)), 1, IF(ISNUMBER(SEARCH("Gri", D540)), -1, 0)))=1, VERI_TABANI!E24*(1-0.928)*0.00206091519919798*VERI_TABANI!G24, 0)) + ((MIN(VERI_TABANI!D25, VERI_TABANI!D25*B540)*VERI_TABANI!$B$7 + MAX(0, VERI_TABANI!D25*B540-VERI_TABANI!D25)*VERI_TABANI!$B$8) + (MIN(MAX(0, VERI_TABANI!D25-VERI_TABANI!D25*B540), VERI_TABANI!D25*C540)*VERI_TABANI!$B$7 + MAX(0, VERI_TABANI!D25*C540-MAX(0, VERI_TABANI!D25-VERI_TABANI!D25*B540))*VERI_TABANI!$B$8) + IF(ABS(IF(ISNUMBER(SEARCH("Var", D540)), 1, IF(ISNUMBER(SEARCH("Gri", D540)), -1, 0)))=1, VERI_TABANI!E25*(1-0.928)*VERI_TABANI!$B$9, 0) + (VERI_TABANI!D25*B540*(VERI_TABANI!$B$13-VERI_TABANI!$B$14)*VERI_TABANI!G25) + (VERI_TABANI!D25*C540*(VERI_TABANI!$B$13-VERI_TABANI!$B$15)*VERI_TABANI!G25) + IF(ABS(IF(ISNUMBER(SEARCH("Var", D540)), 1, IF(ISNUMBER(SEARCH("Gri", D540)), -1, 0)))=1, VERI_TABANI!E25*(1-0.928)*0.00206091519919798*VERI_TABANI!G25, 0)) + ((MIN(VERI_TABANI!D26, VERI_TABANI!D26*B540)*VERI_TABANI!$B$7 + MAX(0, VERI_TABANI!D26*B540-VERI_TABANI!D26)*VERI_TABANI!$B$8) + (MIN(MAX(0, VERI_TABANI!D26-VERI_TABANI!D26*B540), VERI_TABANI!D26*C540)*VERI_TABANI!$B$7 + MAX(0, VERI_TABANI!D26*C540-MAX(0, VERI_TABANI!D26-VERI_TABANI!D26*B540))*VERI_TABANI!$B$8) + IF(ABS(IF(ISNUMBER(SEARCH("Var", D540)), 1, IF(ISNUMBER(SEARCH("Gri", D540)), -1, 0)))=1, VERI_TABANI!E26*(1-0.928)*VERI_TABANI!$B$9, 0) + (VERI_TABANI!D26*B540*(VERI_TABANI!$B$13-VERI_TABANI!$B$14)*VERI_TABANI!G26) + (VERI_TABANI!D26*C540*(VERI_TABANI!$B$13-VERI_TABANI!$B$15)*VERI_TABANI!G26) + IF(ABS(IF(ISNUMBER(SEARCH("Var", D540)), 1, IF(ISNUMBER(SEARCH("Gri", D540)), -1, 0)))=1, VERI_TABANI!E26*(1-0.928)*0.00206091519919798*VERI_TABANI!G26, 0)) + ((MIN(VERI_TABANI!D27, VERI_TABANI!D27*B540)*VERI_TABANI!$B$7 + MAX(0, VERI_TABANI!D27*B540-VERI_TABANI!D27)*VERI_TABANI!$B$8) + (MIN(MAX(0, VERI_TABANI!D27-VERI_TABANI!D27*B540), VERI_TABANI!D27*C540)*VERI_TABANI!$B$7 + MAX(0, VERI_TABANI!D27*C540-MAX(0, VERI_TABANI!D27-VERI_TABANI!D27*B540))*VERI_TABANI!$B$8) + IF(ABS(IF(ISNUMBER(SEARCH("Var", D540)), 1, IF(ISNUMBER(SEARCH("Gri", D540)), -1, 0)))=1, VERI_TABANI!E27*(1-0.928)*VERI_TABANI!$B$9, 0) + (VERI_TABANI!D27*B540*(VERI_TABANI!$B$13-VERI_TABANI!$B$14)*VERI_TABANI!G27) + (VERI_TABANI!D27*C540*(VERI_TABANI!$B$13-VERI_TABANI!$B$15)*VERI_TABANI!G27) + IF(ABS(IF(ISNUMBER(SEARCH("Var", D540)), 1, IF(ISNUMBER(SEARCH("Gri", D540)), -1, 0)))=1, VERI_TABANI!E27*(1-0.928)*0.00206091519919798*VERI_TABANI!G27, 0)) + ((MIN(VERI_TABANI!D28, VERI_TABANI!D28*B540)*VERI_TABANI!$B$7 + MAX(0, VERI_TABANI!D28*B540-VERI_TABANI!D28)*VERI_TABANI!$B$8) + (MIN(MAX(0, VERI_TABANI!D28-VERI_TABANI!D28*B540), VERI_TABANI!D28*C540)*VERI_TABANI!$B$7 + MAX(0, VERI_TABANI!D28*C540-MAX(0, VERI_TABANI!D28-VERI_TABANI!D28*B540))*VERI_TABANI!$B$8) + IF(ABS(IF(ISNUMBER(SEARCH("Var", D540)), 1, IF(ISNUMBER(SEARCH("Gri", D540)), -1, 0)))=1, VERI_TABANI!E28*(1-0.928)*VERI_TABANI!$B$9, 0) + (VERI_TABANI!D28*B540*(VERI_TABANI!$B$13-VERI_TABANI!$B$14)*VERI_TABANI!G28) + (VERI_TABANI!D28*C540*(VERI_TABANI!$B$13-VERI_TABANI!$B$15)*VERI_TABANI!G28) + IF(ABS(IF(ISNUMBER(SEARCH("Var", D540)), 1, IF(ISNUMBER(SEARCH("Gri", D540)), -1, 0)))=1, VERI_TABANI!E28*(1-0.928)*0.00206091519919798*VERI_TABANI!G28, 0)))</f>
        <v/>
      </c>
      <c r="H540" s="169">
        <f>(((VERI_TABANI!D23*B540*(VERI_TABANI!$B$13-VERI_TABANI!$B$14)) + (VERI_TABANI!D23*C540*(VERI_TABANI!$B$13-VERI_TABANI!$B$15)) + IF(ISNUMBER(SEARCH("Var", D540)), VERI_TABANI!F23*(0.00202-VERI_TABANI!$B$16), IF(ISNUMBER(SEARCH("Gri", D540)), VERI_TABANI!F23*(0.00202-VERI_TABANI!$B$17), 0))) + ((VERI_TABANI!D24*B540*(VERI_TABANI!$B$13-VERI_TABANI!$B$14)) + (VERI_TABANI!D24*C540*(VERI_TABANI!$B$13-VERI_TABANI!$B$15)) + IF(ISNUMBER(SEARCH("Var", D540)), VERI_TABANI!F24*(0.00202-VERI_TABANI!$B$16), IF(ISNUMBER(SEARCH("Gri", D540)), VERI_TABANI!F24*(0.00202-VERI_TABANI!$B$17), 0))) + ((VERI_TABANI!D25*B540*(VERI_TABANI!$B$13-VERI_TABANI!$B$14)) + (VERI_TABANI!D25*C540*(VERI_TABANI!$B$13-VERI_TABANI!$B$15)) + IF(ISNUMBER(SEARCH("Var", D540)), VERI_TABANI!F25*(0.00202-VERI_TABANI!$B$16), IF(ISNUMBER(SEARCH("Gri", D540)), VERI_TABANI!F25*(0.00202-VERI_TABANI!$B$17), 0))) + ((VERI_TABANI!D26*B540*(VERI_TABANI!$B$13-VERI_TABANI!$B$14)) + (VERI_TABANI!D26*C540*(VERI_TABANI!$B$13-VERI_TABANI!$B$15)) + IF(ISNUMBER(SEARCH("Var", D540)), VERI_TABANI!F26*(0.00202-VERI_TABANI!$B$16), IF(ISNUMBER(SEARCH("Gri", D540)), VERI_TABANI!F26*(0.00202-VERI_TABANI!$B$17), 0))) + ((VERI_TABANI!D27*B540*(VERI_TABANI!$B$13-VERI_TABANI!$B$14)) + (VERI_TABANI!D27*C540*(VERI_TABANI!$B$13-VERI_TABANI!$B$15)) + IF(ISNUMBER(SEARCH("Var", D540)), VERI_TABANI!F27*(0.00202-VERI_TABANI!$B$16), IF(ISNUMBER(SEARCH("Gri", D540)), VERI_TABANI!F27*(0.00202-VERI_TABANI!$B$17), 0))) + ((VERI_TABANI!D28*B540*(VERI_TABANI!$B$13-VERI_TABANI!$B$14)) + (VERI_TABANI!D28*C540*(VERI_TABANI!$B$13-VERI_TABANI!$B$15)) + IF(ISNUMBER(SEARCH("Var", D540)), VERI_TABANI!F28*(0.00202-VERI_TABANI!$B$16), IF(ISNUMBER(SEARCH("Gri", D540)), VERI_TABANI!F28*(0.00202-VERI_TABANI!$B$17), 0))))</f>
        <v/>
      </c>
      <c r="I540" s="170">
        <f>IFERROR(((VERI_TABANI!$D$29*B540*VERI_TABANI!$B$14 + VERI_TABANI!$D$29*C540*VERI_TABANI!$B$15 + IF(ISNUMBER(SEARCH("Var", D540)), VERI_TABANI!$F$29*VERI_TABANI!$B$16, 0))) / (((VERI_TABANI!$D$29*B540 + VERI_TABANI!$D$29*C540)*VERI_TABANI!$B$13 + IF(ISNUMBER(SEARCH("Var", D540)), VERI_TABANI!$E$29*(1-0.928)*VERI_TABANI!$B$18, 0))), 0)</f>
        <v/>
      </c>
      <c r="J540" s="171">
        <f>IFERROR(F540/(G540/29), 0)</f>
        <v/>
      </c>
      <c r="K540" s="172">
        <f>IF(F540&gt;0, H540/F540, 0)</f>
        <v/>
      </c>
      <c r="L540" s="170">
        <f>IF(F540&gt;0, I540, 1000000000)</f>
        <v/>
      </c>
      <c r="M540" s="171">
        <f>ABS((B540+C540)-1)</f>
        <v/>
      </c>
      <c r="N540" s="170">
        <f>IF(F540&gt;0, (G540/29)/F540, 0)</f>
        <v/>
      </c>
      <c r="O540" s="168">
        <f>IF(AND((B540+C540)&gt;=1, ISNUMBER(SEARCH("Var", D540))), F540, 1000000000)</f>
        <v/>
      </c>
      <c r="P540" s="172">
        <f>IF(F540&gt;0, SQRT((F540/MAX(F$5:F$886))^2 + (1 - H540/MAX(H$5:H$886))^2 + (J540/MAX(J$5:J$886))^2), 1000000000)</f>
        <v/>
      </c>
      <c r="Q540" s="166">
        <f>IF(AND(ABS(B540-0.5)&lt;0.01, ABS(C540-0.5)&lt;0.01, ISNUMBER(SEARCH("Var", D540))), 1, 0)</f>
        <v/>
      </c>
      <c r="R540" s="171">
        <f>IF(F540&gt;0, J540, 1000000000)</f>
        <v/>
      </c>
      <c r="S540" s="101">
        <f>IF(AND(F540&lt;=DASHBOARD!$B$11, H540&gt;=DASHBOARD!$B$13), G540, -1000000000000)</f>
        <v/>
      </c>
      <c r="T540" s="101">
        <f>IF(AND(F540&lt;=DASHBOARD!$B$11, H540&gt;=DASHBOARD!$B$13), R540, 1000000000000)</f>
        <v/>
      </c>
      <c r="U540" s="101">
        <f>IF(AND(F540&lt;=DASHBOARD!$B$11, H540&gt;=DASHBOARD!$B$13), N540, -1000000000000)</f>
        <v/>
      </c>
      <c r="V540" s="101">
        <f>IF(AND(F540&lt;=DASHBOARD!$B$11, H540&gt;=DASHBOARD!$B$13), H540, -1000000000000)</f>
        <v/>
      </c>
      <c r="W540" s="101">
        <f>IF(AND(F540&lt;=DASHBOARD!$B$11, H540&gt;=DASHBOARD!$B$13), K540, -1000000000000)</f>
        <v/>
      </c>
      <c r="X540" s="101">
        <f>IF(AND(F540&lt;=DASHBOARD!$B$11, H540&gt;=DASHBOARD!$B$13), M540, 1000000000000)</f>
        <v/>
      </c>
      <c r="Y540" s="101">
        <f>IF(AND(F540&lt;=DASHBOARD!$B$10, H540&gt;=DASHBOARD!$B$11), L540, 1000000000000)</f>
        <v/>
      </c>
      <c r="Z540" s="101">
        <f>IF(AND(F540&lt;=DASHBOARD!$B$10, H540&gt;=DASHBOARD!$B$11), O540, 1000000000000)</f>
        <v/>
      </c>
      <c r="AA540" s="101">
        <f>IF(AND(F540&lt;=DASHBOARD!$B$10, H540&gt;=DASHBOARD!$B$11), P540, 1000000000000)</f>
        <v/>
      </c>
      <c r="AB540" s="101">
        <f>IF(AND(F540&lt;=DASHBOARD!$B$10, H540&gt;=DASHBOARD!$B$11), Q540, -1000000000000)</f>
        <v/>
      </c>
    </row>
    <row r="541" ht="15" customHeight="1" s="102">
      <c r="A541" s="166" t="n">
        <v>537</v>
      </c>
      <c r="B541" s="167" t="n">
        <v>1.2</v>
      </c>
      <c r="C541" s="167" t="n">
        <v>1.6</v>
      </c>
      <c r="D541" s="110" t="inlineStr">
        <is>
          <t>Yok (%0)</t>
        </is>
      </c>
      <c r="E541" s="110">
        <f>IF((B541+C541)&lt;=1, "Tam Mahsuplaşma (≤%100)", "Kısmi Satış (&gt;%100)")</f>
        <v/>
      </c>
      <c r="F541" s="168">
        <f>((VERI_TABANI!$D$29*B541/VERI_TABANI!$B$29)/VERI_TABANI!$B$3)*VERI_TABANI!$B$5 + ((VERI_TABANI!$D$29*C541/VERI_TABANI!$B$29)/VERI_TABANI!$B$4)*VERI_TABANI!$B$6 + IF(ISNUMBER(SEARCH("Var", D541)), (VERI_TABANI!$F$29/VERI_TABANI!$B$29)*(VERI_TABANI!$B$10+VERI_TABANI!$B$12), 0)</f>
        <v/>
      </c>
      <c r="G541" s="168">
        <f>(((MIN(VERI_TABANI!D23, VERI_TABANI!D23*B541)*VERI_TABANI!$B$7 + MAX(0, VERI_TABANI!D23*B541-VERI_TABANI!D23)*VERI_TABANI!$B$8) + (MIN(MAX(0, VERI_TABANI!D23-VERI_TABANI!D23*B541), VERI_TABANI!D23*C541)*VERI_TABANI!$B$7 + MAX(0, VERI_TABANI!D23*C541-MAX(0, VERI_TABANI!D23-VERI_TABANI!D23*B541))*VERI_TABANI!$B$8) + IF(ABS(IF(ISNUMBER(SEARCH("Var", D541)), 1, IF(ISNUMBER(SEARCH("Gri", D541)), -1, 0)))=1, VERI_TABANI!E23*(1-0.928)*VERI_TABANI!$B$9, 0) + (VERI_TABANI!D23*B541*(VERI_TABANI!$B$13-VERI_TABANI!$B$14)*VERI_TABANI!G23) + (VERI_TABANI!D23*C541*(VERI_TABANI!$B$13-VERI_TABANI!$B$15)*VERI_TABANI!G23) + IF(ABS(IF(ISNUMBER(SEARCH("Var", D541)), 1, IF(ISNUMBER(SEARCH("Gri", D541)), -1, 0)))=1, VERI_TABANI!E23*(1-0.928)*0.00206091519919798*VERI_TABANI!G23, 0)) + ((MIN(VERI_TABANI!D24, VERI_TABANI!D24*B541)*VERI_TABANI!$B$7 + MAX(0, VERI_TABANI!D24*B541-VERI_TABANI!D24)*VERI_TABANI!$B$8) + (MIN(MAX(0, VERI_TABANI!D24-VERI_TABANI!D24*B541), VERI_TABANI!D24*C541)*VERI_TABANI!$B$7 + MAX(0, VERI_TABANI!D24*C541-MAX(0, VERI_TABANI!D24-VERI_TABANI!D24*B541))*VERI_TABANI!$B$8) + IF(ABS(IF(ISNUMBER(SEARCH("Var", D541)), 1, IF(ISNUMBER(SEARCH("Gri", D541)), -1, 0)))=1, VERI_TABANI!E24*(1-0.928)*VERI_TABANI!$B$9, 0) + (VERI_TABANI!D24*B541*(VERI_TABANI!$B$13-VERI_TABANI!$B$14)*VERI_TABANI!G24) + (VERI_TABANI!D24*C541*(VERI_TABANI!$B$13-VERI_TABANI!$B$15)*VERI_TABANI!G24) + IF(ABS(IF(ISNUMBER(SEARCH("Var", D541)), 1, IF(ISNUMBER(SEARCH("Gri", D541)), -1, 0)))=1, VERI_TABANI!E24*(1-0.928)*0.00206091519919798*VERI_TABANI!G24, 0)) + ((MIN(VERI_TABANI!D25, VERI_TABANI!D25*B541)*VERI_TABANI!$B$7 + MAX(0, VERI_TABANI!D25*B541-VERI_TABANI!D25)*VERI_TABANI!$B$8) + (MIN(MAX(0, VERI_TABANI!D25-VERI_TABANI!D25*B541), VERI_TABANI!D25*C541)*VERI_TABANI!$B$7 + MAX(0, VERI_TABANI!D25*C541-MAX(0, VERI_TABANI!D25-VERI_TABANI!D25*B541))*VERI_TABANI!$B$8) + IF(ABS(IF(ISNUMBER(SEARCH("Var", D541)), 1, IF(ISNUMBER(SEARCH("Gri", D541)), -1, 0)))=1, VERI_TABANI!E25*(1-0.928)*VERI_TABANI!$B$9, 0) + (VERI_TABANI!D25*B541*(VERI_TABANI!$B$13-VERI_TABANI!$B$14)*VERI_TABANI!G25) + (VERI_TABANI!D25*C541*(VERI_TABANI!$B$13-VERI_TABANI!$B$15)*VERI_TABANI!G25) + IF(ABS(IF(ISNUMBER(SEARCH("Var", D541)), 1, IF(ISNUMBER(SEARCH("Gri", D541)), -1, 0)))=1, VERI_TABANI!E25*(1-0.928)*0.00206091519919798*VERI_TABANI!G25, 0)) + ((MIN(VERI_TABANI!D26, VERI_TABANI!D26*B541)*VERI_TABANI!$B$7 + MAX(0, VERI_TABANI!D26*B541-VERI_TABANI!D26)*VERI_TABANI!$B$8) + (MIN(MAX(0, VERI_TABANI!D26-VERI_TABANI!D26*B541), VERI_TABANI!D26*C541)*VERI_TABANI!$B$7 + MAX(0, VERI_TABANI!D26*C541-MAX(0, VERI_TABANI!D26-VERI_TABANI!D26*B541))*VERI_TABANI!$B$8) + IF(ABS(IF(ISNUMBER(SEARCH("Var", D541)), 1, IF(ISNUMBER(SEARCH("Gri", D541)), -1, 0)))=1, VERI_TABANI!E26*(1-0.928)*VERI_TABANI!$B$9, 0) + (VERI_TABANI!D26*B541*(VERI_TABANI!$B$13-VERI_TABANI!$B$14)*VERI_TABANI!G26) + (VERI_TABANI!D26*C541*(VERI_TABANI!$B$13-VERI_TABANI!$B$15)*VERI_TABANI!G26) + IF(ABS(IF(ISNUMBER(SEARCH("Var", D541)), 1, IF(ISNUMBER(SEARCH("Gri", D541)), -1, 0)))=1, VERI_TABANI!E26*(1-0.928)*0.00206091519919798*VERI_TABANI!G26, 0)) + ((MIN(VERI_TABANI!D27, VERI_TABANI!D27*B541)*VERI_TABANI!$B$7 + MAX(0, VERI_TABANI!D27*B541-VERI_TABANI!D27)*VERI_TABANI!$B$8) + (MIN(MAX(0, VERI_TABANI!D27-VERI_TABANI!D27*B541), VERI_TABANI!D27*C541)*VERI_TABANI!$B$7 + MAX(0, VERI_TABANI!D27*C541-MAX(0, VERI_TABANI!D27-VERI_TABANI!D27*B541))*VERI_TABANI!$B$8) + IF(ABS(IF(ISNUMBER(SEARCH("Var", D541)), 1, IF(ISNUMBER(SEARCH("Gri", D541)), -1, 0)))=1, VERI_TABANI!E27*(1-0.928)*VERI_TABANI!$B$9, 0) + (VERI_TABANI!D27*B541*(VERI_TABANI!$B$13-VERI_TABANI!$B$14)*VERI_TABANI!G27) + (VERI_TABANI!D27*C541*(VERI_TABANI!$B$13-VERI_TABANI!$B$15)*VERI_TABANI!G27) + IF(ABS(IF(ISNUMBER(SEARCH("Var", D541)), 1, IF(ISNUMBER(SEARCH("Gri", D541)), -1, 0)))=1, VERI_TABANI!E27*(1-0.928)*0.00206091519919798*VERI_TABANI!G27, 0)) + ((MIN(VERI_TABANI!D28, VERI_TABANI!D28*B541)*VERI_TABANI!$B$7 + MAX(0, VERI_TABANI!D28*B541-VERI_TABANI!D28)*VERI_TABANI!$B$8) + (MIN(MAX(0, VERI_TABANI!D28-VERI_TABANI!D28*B541), VERI_TABANI!D28*C541)*VERI_TABANI!$B$7 + MAX(0, VERI_TABANI!D28*C541-MAX(0, VERI_TABANI!D28-VERI_TABANI!D28*B541))*VERI_TABANI!$B$8) + IF(ABS(IF(ISNUMBER(SEARCH("Var", D541)), 1, IF(ISNUMBER(SEARCH("Gri", D541)), -1, 0)))=1, VERI_TABANI!E28*(1-0.928)*VERI_TABANI!$B$9, 0) + (VERI_TABANI!D28*B541*(VERI_TABANI!$B$13-VERI_TABANI!$B$14)*VERI_TABANI!G28) + (VERI_TABANI!D28*C541*(VERI_TABANI!$B$13-VERI_TABANI!$B$15)*VERI_TABANI!G28) + IF(ABS(IF(ISNUMBER(SEARCH("Var", D541)), 1, IF(ISNUMBER(SEARCH("Gri", D541)), -1, 0)))=1, VERI_TABANI!E28*(1-0.928)*0.00206091519919798*VERI_TABANI!G28, 0)))</f>
        <v/>
      </c>
      <c r="H541" s="169">
        <f>(((VERI_TABANI!D23*B541*(VERI_TABANI!$B$13-VERI_TABANI!$B$14)) + (VERI_TABANI!D23*C541*(VERI_TABANI!$B$13-VERI_TABANI!$B$15)) + IF(ISNUMBER(SEARCH("Var", D541)), VERI_TABANI!F23*(0.00202-VERI_TABANI!$B$16), IF(ISNUMBER(SEARCH("Gri", D541)), VERI_TABANI!F23*(0.00202-VERI_TABANI!$B$17), 0))) + ((VERI_TABANI!D24*B541*(VERI_TABANI!$B$13-VERI_TABANI!$B$14)) + (VERI_TABANI!D24*C541*(VERI_TABANI!$B$13-VERI_TABANI!$B$15)) + IF(ISNUMBER(SEARCH("Var", D541)), VERI_TABANI!F24*(0.00202-VERI_TABANI!$B$16), IF(ISNUMBER(SEARCH("Gri", D541)), VERI_TABANI!F24*(0.00202-VERI_TABANI!$B$17), 0))) + ((VERI_TABANI!D25*B541*(VERI_TABANI!$B$13-VERI_TABANI!$B$14)) + (VERI_TABANI!D25*C541*(VERI_TABANI!$B$13-VERI_TABANI!$B$15)) + IF(ISNUMBER(SEARCH("Var", D541)), VERI_TABANI!F25*(0.00202-VERI_TABANI!$B$16), IF(ISNUMBER(SEARCH("Gri", D541)), VERI_TABANI!F25*(0.00202-VERI_TABANI!$B$17), 0))) + ((VERI_TABANI!D26*B541*(VERI_TABANI!$B$13-VERI_TABANI!$B$14)) + (VERI_TABANI!D26*C541*(VERI_TABANI!$B$13-VERI_TABANI!$B$15)) + IF(ISNUMBER(SEARCH("Var", D541)), VERI_TABANI!F26*(0.00202-VERI_TABANI!$B$16), IF(ISNUMBER(SEARCH("Gri", D541)), VERI_TABANI!F26*(0.00202-VERI_TABANI!$B$17), 0))) + ((VERI_TABANI!D27*B541*(VERI_TABANI!$B$13-VERI_TABANI!$B$14)) + (VERI_TABANI!D27*C541*(VERI_TABANI!$B$13-VERI_TABANI!$B$15)) + IF(ISNUMBER(SEARCH("Var", D541)), VERI_TABANI!F27*(0.00202-VERI_TABANI!$B$16), IF(ISNUMBER(SEARCH("Gri", D541)), VERI_TABANI!F27*(0.00202-VERI_TABANI!$B$17), 0))) + ((VERI_TABANI!D28*B541*(VERI_TABANI!$B$13-VERI_TABANI!$B$14)) + (VERI_TABANI!D28*C541*(VERI_TABANI!$B$13-VERI_TABANI!$B$15)) + IF(ISNUMBER(SEARCH("Var", D541)), VERI_TABANI!F28*(0.00202-VERI_TABANI!$B$16), IF(ISNUMBER(SEARCH("Gri", D541)), VERI_TABANI!F28*(0.00202-VERI_TABANI!$B$17), 0))))</f>
        <v/>
      </c>
      <c r="I541" s="170">
        <f>IFERROR(((VERI_TABANI!$D$29*B541*VERI_TABANI!$B$14 + VERI_TABANI!$D$29*C541*VERI_TABANI!$B$15 + IF(ISNUMBER(SEARCH("Var", D541)), VERI_TABANI!$F$29*VERI_TABANI!$B$16, 0))) / (((VERI_TABANI!$D$29*B541 + VERI_TABANI!$D$29*C541)*VERI_TABANI!$B$13 + IF(ISNUMBER(SEARCH("Var", D541)), VERI_TABANI!$E$29*(1-0.928)*VERI_TABANI!$B$18, 0))), 0)</f>
        <v/>
      </c>
      <c r="J541" s="171">
        <f>IFERROR(F541/(G541/29), 0)</f>
        <v/>
      </c>
      <c r="K541" s="172">
        <f>IF(F541&gt;0, H541/F541, 0)</f>
        <v/>
      </c>
      <c r="L541" s="170">
        <f>IF(F541&gt;0, I541, 1000000000)</f>
        <v/>
      </c>
      <c r="M541" s="171">
        <f>ABS((B541+C541)-1)</f>
        <v/>
      </c>
      <c r="N541" s="170">
        <f>IF(F541&gt;0, (G541/29)/F541, 0)</f>
        <v/>
      </c>
      <c r="O541" s="168">
        <f>IF(AND((B541+C541)&gt;=1, ISNUMBER(SEARCH("Var", D541))), F541, 1000000000)</f>
        <v/>
      </c>
      <c r="P541" s="172">
        <f>IF(F541&gt;0, SQRT((F541/MAX(F$5:F$886))^2 + (1 - H541/MAX(H$5:H$886))^2 + (J541/MAX(J$5:J$886))^2), 1000000000)</f>
        <v/>
      </c>
      <c r="Q541" s="166">
        <f>IF(AND(ABS(B541-0.5)&lt;0.01, ABS(C541-0.5)&lt;0.01, ISNUMBER(SEARCH("Var", D541))), 1, 0)</f>
        <v/>
      </c>
      <c r="R541" s="171">
        <f>IF(F541&gt;0, J541, 1000000000)</f>
        <v/>
      </c>
      <c r="S541" s="101">
        <f>IF(AND(F541&lt;=DASHBOARD!$B$11, H541&gt;=DASHBOARD!$B$13), G541, -1000000000000)</f>
        <v/>
      </c>
      <c r="T541" s="101">
        <f>IF(AND(F541&lt;=DASHBOARD!$B$11, H541&gt;=DASHBOARD!$B$13), R541, 1000000000000)</f>
        <v/>
      </c>
      <c r="U541" s="101">
        <f>IF(AND(F541&lt;=DASHBOARD!$B$11, H541&gt;=DASHBOARD!$B$13), N541, -1000000000000)</f>
        <v/>
      </c>
      <c r="V541" s="101">
        <f>IF(AND(F541&lt;=DASHBOARD!$B$11, H541&gt;=DASHBOARD!$B$13), H541, -1000000000000)</f>
        <v/>
      </c>
      <c r="W541" s="101">
        <f>IF(AND(F541&lt;=DASHBOARD!$B$11, H541&gt;=DASHBOARD!$B$13), K541, -1000000000000)</f>
        <v/>
      </c>
      <c r="X541" s="101">
        <f>IF(AND(F541&lt;=DASHBOARD!$B$11, H541&gt;=DASHBOARD!$B$13), M541, 1000000000000)</f>
        <v/>
      </c>
      <c r="Y541" s="101">
        <f>IF(AND(F541&lt;=DASHBOARD!$B$10, H541&gt;=DASHBOARD!$B$11), L541, 1000000000000)</f>
        <v/>
      </c>
      <c r="Z541" s="101">
        <f>IF(AND(F541&lt;=DASHBOARD!$B$10, H541&gt;=DASHBOARD!$B$11), O541, 1000000000000)</f>
        <v/>
      </c>
      <c r="AA541" s="101">
        <f>IF(AND(F541&lt;=DASHBOARD!$B$10, H541&gt;=DASHBOARD!$B$11), P541, 1000000000000)</f>
        <v/>
      </c>
      <c r="AB541" s="101">
        <f>IF(AND(F541&lt;=DASHBOARD!$B$10, H541&gt;=DASHBOARD!$B$11), Q541, -1000000000000)</f>
        <v/>
      </c>
    </row>
    <row r="542" ht="15" customHeight="1" s="102">
      <c r="A542" s="166" t="n">
        <v>538</v>
      </c>
      <c r="B542" s="167" t="n">
        <v>1.2</v>
      </c>
      <c r="C542" s="167" t="n">
        <v>1.6</v>
      </c>
      <c r="D542" s="110" t="inlineStr">
        <is>
          <t>Var (%20)</t>
        </is>
      </c>
      <c r="E542" s="110">
        <f>IF((B542+C542)&lt;=1, "Tam Mahsuplaşma (≤%100)", "Kısmi Satış (&gt;%100)")</f>
        <v/>
      </c>
      <c r="F542" s="168">
        <f>((VERI_TABANI!$D$29*B542/VERI_TABANI!$B$29)/VERI_TABANI!$B$3)*VERI_TABANI!$B$5 + ((VERI_TABANI!$D$29*C542/VERI_TABANI!$B$29)/VERI_TABANI!$B$4)*VERI_TABANI!$B$6 + IF(ISNUMBER(SEARCH("Var", D542)), (VERI_TABANI!$F$29/VERI_TABANI!$B$29)*(VERI_TABANI!$B$10+VERI_TABANI!$B$12), 0)</f>
        <v/>
      </c>
      <c r="G542" s="168">
        <f>(((MIN(VERI_TABANI!D23, VERI_TABANI!D23*B542)*VERI_TABANI!$B$7 + MAX(0, VERI_TABANI!D23*B542-VERI_TABANI!D23)*VERI_TABANI!$B$8) + (MIN(MAX(0, VERI_TABANI!D23-VERI_TABANI!D23*B542), VERI_TABANI!D23*C542)*VERI_TABANI!$B$7 + MAX(0, VERI_TABANI!D23*C542-MAX(0, VERI_TABANI!D23-VERI_TABANI!D23*B542))*VERI_TABANI!$B$8) + IF(ABS(IF(ISNUMBER(SEARCH("Var", D542)), 1, IF(ISNUMBER(SEARCH("Gri", D542)), -1, 0)))=1, VERI_TABANI!E23*(1-0.928)*VERI_TABANI!$B$9, 0) + (VERI_TABANI!D23*B542*(VERI_TABANI!$B$13-VERI_TABANI!$B$14)*VERI_TABANI!G23) + (VERI_TABANI!D23*C542*(VERI_TABANI!$B$13-VERI_TABANI!$B$15)*VERI_TABANI!G23) + IF(ABS(IF(ISNUMBER(SEARCH("Var", D542)), 1, IF(ISNUMBER(SEARCH("Gri", D542)), -1, 0)))=1, VERI_TABANI!E23*(1-0.928)*0.00206091519919798*VERI_TABANI!G23, 0)) + ((MIN(VERI_TABANI!D24, VERI_TABANI!D24*B542)*VERI_TABANI!$B$7 + MAX(0, VERI_TABANI!D24*B542-VERI_TABANI!D24)*VERI_TABANI!$B$8) + (MIN(MAX(0, VERI_TABANI!D24-VERI_TABANI!D24*B542), VERI_TABANI!D24*C542)*VERI_TABANI!$B$7 + MAX(0, VERI_TABANI!D24*C542-MAX(0, VERI_TABANI!D24-VERI_TABANI!D24*B542))*VERI_TABANI!$B$8) + IF(ABS(IF(ISNUMBER(SEARCH("Var", D542)), 1, IF(ISNUMBER(SEARCH("Gri", D542)), -1, 0)))=1, VERI_TABANI!E24*(1-0.928)*VERI_TABANI!$B$9, 0) + (VERI_TABANI!D24*B542*(VERI_TABANI!$B$13-VERI_TABANI!$B$14)*VERI_TABANI!G24) + (VERI_TABANI!D24*C542*(VERI_TABANI!$B$13-VERI_TABANI!$B$15)*VERI_TABANI!G24) + IF(ABS(IF(ISNUMBER(SEARCH("Var", D542)), 1, IF(ISNUMBER(SEARCH("Gri", D542)), -1, 0)))=1, VERI_TABANI!E24*(1-0.928)*0.00206091519919798*VERI_TABANI!G24, 0)) + ((MIN(VERI_TABANI!D25, VERI_TABANI!D25*B542)*VERI_TABANI!$B$7 + MAX(0, VERI_TABANI!D25*B542-VERI_TABANI!D25)*VERI_TABANI!$B$8) + (MIN(MAX(0, VERI_TABANI!D25-VERI_TABANI!D25*B542), VERI_TABANI!D25*C542)*VERI_TABANI!$B$7 + MAX(0, VERI_TABANI!D25*C542-MAX(0, VERI_TABANI!D25-VERI_TABANI!D25*B542))*VERI_TABANI!$B$8) + IF(ABS(IF(ISNUMBER(SEARCH("Var", D542)), 1, IF(ISNUMBER(SEARCH("Gri", D542)), -1, 0)))=1, VERI_TABANI!E25*(1-0.928)*VERI_TABANI!$B$9, 0) + (VERI_TABANI!D25*B542*(VERI_TABANI!$B$13-VERI_TABANI!$B$14)*VERI_TABANI!G25) + (VERI_TABANI!D25*C542*(VERI_TABANI!$B$13-VERI_TABANI!$B$15)*VERI_TABANI!G25) + IF(ABS(IF(ISNUMBER(SEARCH("Var", D542)), 1, IF(ISNUMBER(SEARCH("Gri", D542)), -1, 0)))=1, VERI_TABANI!E25*(1-0.928)*0.00206091519919798*VERI_TABANI!G25, 0)) + ((MIN(VERI_TABANI!D26, VERI_TABANI!D26*B542)*VERI_TABANI!$B$7 + MAX(0, VERI_TABANI!D26*B542-VERI_TABANI!D26)*VERI_TABANI!$B$8) + (MIN(MAX(0, VERI_TABANI!D26-VERI_TABANI!D26*B542), VERI_TABANI!D26*C542)*VERI_TABANI!$B$7 + MAX(0, VERI_TABANI!D26*C542-MAX(0, VERI_TABANI!D26-VERI_TABANI!D26*B542))*VERI_TABANI!$B$8) + IF(ABS(IF(ISNUMBER(SEARCH("Var", D542)), 1, IF(ISNUMBER(SEARCH("Gri", D542)), -1, 0)))=1, VERI_TABANI!E26*(1-0.928)*VERI_TABANI!$B$9, 0) + (VERI_TABANI!D26*B542*(VERI_TABANI!$B$13-VERI_TABANI!$B$14)*VERI_TABANI!G26) + (VERI_TABANI!D26*C542*(VERI_TABANI!$B$13-VERI_TABANI!$B$15)*VERI_TABANI!G26) + IF(ABS(IF(ISNUMBER(SEARCH("Var", D542)), 1, IF(ISNUMBER(SEARCH("Gri", D542)), -1, 0)))=1, VERI_TABANI!E26*(1-0.928)*0.00206091519919798*VERI_TABANI!G26, 0)) + ((MIN(VERI_TABANI!D27, VERI_TABANI!D27*B542)*VERI_TABANI!$B$7 + MAX(0, VERI_TABANI!D27*B542-VERI_TABANI!D27)*VERI_TABANI!$B$8) + (MIN(MAX(0, VERI_TABANI!D27-VERI_TABANI!D27*B542), VERI_TABANI!D27*C542)*VERI_TABANI!$B$7 + MAX(0, VERI_TABANI!D27*C542-MAX(0, VERI_TABANI!D27-VERI_TABANI!D27*B542))*VERI_TABANI!$B$8) + IF(ABS(IF(ISNUMBER(SEARCH("Var", D542)), 1, IF(ISNUMBER(SEARCH("Gri", D542)), -1, 0)))=1, VERI_TABANI!E27*(1-0.928)*VERI_TABANI!$B$9, 0) + (VERI_TABANI!D27*B542*(VERI_TABANI!$B$13-VERI_TABANI!$B$14)*VERI_TABANI!G27) + (VERI_TABANI!D27*C542*(VERI_TABANI!$B$13-VERI_TABANI!$B$15)*VERI_TABANI!G27) + IF(ABS(IF(ISNUMBER(SEARCH("Var", D542)), 1, IF(ISNUMBER(SEARCH("Gri", D542)), -1, 0)))=1, VERI_TABANI!E27*(1-0.928)*0.00206091519919798*VERI_TABANI!G27, 0)) + ((MIN(VERI_TABANI!D28, VERI_TABANI!D28*B542)*VERI_TABANI!$B$7 + MAX(0, VERI_TABANI!D28*B542-VERI_TABANI!D28)*VERI_TABANI!$B$8) + (MIN(MAX(0, VERI_TABANI!D28-VERI_TABANI!D28*B542), VERI_TABANI!D28*C542)*VERI_TABANI!$B$7 + MAX(0, VERI_TABANI!D28*C542-MAX(0, VERI_TABANI!D28-VERI_TABANI!D28*B542))*VERI_TABANI!$B$8) + IF(ABS(IF(ISNUMBER(SEARCH("Var", D542)), 1, IF(ISNUMBER(SEARCH("Gri", D542)), -1, 0)))=1, VERI_TABANI!E28*(1-0.928)*VERI_TABANI!$B$9, 0) + (VERI_TABANI!D28*B542*(VERI_TABANI!$B$13-VERI_TABANI!$B$14)*VERI_TABANI!G28) + (VERI_TABANI!D28*C542*(VERI_TABANI!$B$13-VERI_TABANI!$B$15)*VERI_TABANI!G28) + IF(ABS(IF(ISNUMBER(SEARCH("Var", D542)), 1, IF(ISNUMBER(SEARCH("Gri", D542)), -1, 0)))=1, VERI_TABANI!E28*(1-0.928)*0.00206091519919798*VERI_TABANI!G28, 0)))</f>
        <v/>
      </c>
      <c r="H542" s="169">
        <f>(((VERI_TABANI!D23*B542*(VERI_TABANI!$B$13-VERI_TABANI!$B$14)) + (VERI_TABANI!D23*C542*(VERI_TABANI!$B$13-VERI_TABANI!$B$15)) + IF(ISNUMBER(SEARCH("Var", D542)), VERI_TABANI!F23*(0.00202-VERI_TABANI!$B$16), IF(ISNUMBER(SEARCH("Gri", D542)), VERI_TABANI!F23*(0.00202-VERI_TABANI!$B$17), 0))) + ((VERI_TABANI!D24*B542*(VERI_TABANI!$B$13-VERI_TABANI!$B$14)) + (VERI_TABANI!D24*C542*(VERI_TABANI!$B$13-VERI_TABANI!$B$15)) + IF(ISNUMBER(SEARCH("Var", D542)), VERI_TABANI!F24*(0.00202-VERI_TABANI!$B$16), IF(ISNUMBER(SEARCH("Gri", D542)), VERI_TABANI!F24*(0.00202-VERI_TABANI!$B$17), 0))) + ((VERI_TABANI!D25*B542*(VERI_TABANI!$B$13-VERI_TABANI!$B$14)) + (VERI_TABANI!D25*C542*(VERI_TABANI!$B$13-VERI_TABANI!$B$15)) + IF(ISNUMBER(SEARCH("Var", D542)), VERI_TABANI!F25*(0.00202-VERI_TABANI!$B$16), IF(ISNUMBER(SEARCH("Gri", D542)), VERI_TABANI!F25*(0.00202-VERI_TABANI!$B$17), 0))) + ((VERI_TABANI!D26*B542*(VERI_TABANI!$B$13-VERI_TABANI!$B$14)) + (VERI_TABANI!D26*C542*(VERI_TABANI!$B$13-VERI_TABANI!$B$15)) + IF(ISNUMBER(SEARCH("Var", D542)), VERI_TABANI!F26*(0.00202-VERI_TABANI!$B$16), IF(ISNUMBER(SEARCH("Gri", D542)), VERI_TABANI!F26*(0.00202-VERI_TABANI!$B$17), 0))) + ((VERI_TABANI!D27*B542*(VERI_TABANI!$B$13-VERI_TABANI!$B$14)) + (VERI_TABANI!D27*C542*(VERI_TABANI!$B$13-VERI_TABANI!$B$15)) + IF(ISNUMBER(SEARCH("Var", D542)), VERI_TABANI!F27*(0.00202-VERI_TABANI!$B$16), IF(ISNUMBER(SEARCH("Gri", D542)), VERI_TABANI!F27*(0.00202-VERI_TABANI!$B$17), 0))) + ((VERI_TABANI!D28*B542*(VERI_TABANI!$B$13-VERI_TABANI!$B$14)) + (VERI_TABANI!D28*C542*(VERI_TABANI!$B$13-VERI_TABANI!$B$15)) + IF(ISNUMBER(SEARCH("Var", D542)), VERI_TABANI!F28*(0.00202-VERI_TABANI!$B$16), IF(ISNUMBER(SEARCH("Gri", D542)), VERI_TABANI!F28*(0.00202-VERI_TABANI!$B$17), 0))))</f>
        <v/>
      </c>
      <c r="I542" s="170">
        <f>IFERROR(((VERI_TABANI!$D$29*B542*VERI_TABANI!$B$14 + VERI_TABANI!$D$29*C542*VERI_TABANI!$B$15 + IF(ISNUMBER(SEARCH("Var", D542)), VERI_TABANI!$F$29*VERI_TABANI!$B$16, 0))) / (((VERI_TABANI!$D$29*B542 + VERI_TABANI!$D$29*C542)*VERI_TABANI!$B$13 + IF(ISNUMBER(SEARCH("Var", D542)), VERI_TABANI!$E$29*(1-0.928)*VERI_TABANI!$B$18, 0))), 0)</f>
        <v/>
      </c>
      <c r="J542" s="171">
        <f>IFERROR(F542/(G542/29), 0)</f>
        <v/>
      </c>
      <c r="K542" s="172">
        <f>IF(F542&gt;0, H542/F542, 0)</f>
        <v/>
      </c>
      <c r="L542" s="170">
        <f>IF(F542&gt;0, I542, 1000000000)</f>
        <v/>
      </c>
      <c r="M542" s="171">
        <f>ABS((B542+C542)-1)</f>
        <v/>
      </c>
      <c r="N542" s="170">
        <f>IF(F542&gt;0, (G542/29)/F542, 0)</f>
        <v/>
      </c>
      <c r="O542" s="168">
        <f>IF(AND((B542+C542)&gt;=1, ISNUMBER(SEARCH("Var", D542))), F542, 1000000000)</f>
        <v/>
      </c>
      <c r="P542" s="172">
        <f>IF(F542&gt;0, SQRT((F542/MAX(F$5:F$886))^2 + (1 - H542/MAX(H$5:H$886))^2 + (J542/MAX(J$5:J$886))^2), 1000000000)</f>
        <v/>
      </c>
      <c r="Q542" s="166">
        <f>IF(AND(ABS(B542-0.5)&lt;0.01, ABS(C542-0.5)&lt;0.01, ISNUMBER(SEARCH("Var", D542))), 1, 0)</f>
        <v/>
      </c>
      <c r="R542" s="171">
        <f>IF(F542&gt;0, J542, 1000000000)</f>
        <v/>
      </c>
      <c r="S542" s="101">
        <f>IF(AND(F542&lt;=DASHBOARD!$B$11, H542&gt;=DASHBOARD!$B$13), G542, -1000000000000)</f>
        <v/>
      </c>
      <c r="T542" s="101">
        <f>IF(AND(F542&lt;=DASHBOARD!$B$11, H542&gt;=DASHBOARD!$B$13), R542, 1000000000000)</f>
        <v/>
      </c>
      <c r="U542" s="101">
        <f>IF(AND(F542&lt;=DASHBOARD!$B$11, H542&gt;=DASHBOARD!$B$13), N542, -1000000000000)</f>
        <v/>
      </c>
      <c r="V542" s="101">
        <f>IF(AND(F542&lt;=DASHBOARD!$B$11, H542&gt;=DASHBOARD!$B$13), H542, -1000000000000)</f>
        <v/>
      </c>
      <c r="W542" s="101">
        <f>IF(AND(F542&lt;=DASHBOARD!$B$11, H542&gt;=DASHBOARD!$B$13), K542, -1000000000000)</f>
        <v/>
      </c>
      <c r="X542" s="101">
        <f>IF(AND(F542&lt;=DASHBOARD!$B$11, H542&gt;=DASHBOARD!$B$13), M542, 1000000000000)</f>
        <v/>
      </c>
      <c r="Y542" s="101">
        <f>IF(AND(F542&lt;=DASHBOARD!$B$10, H542&gt;=DASHBOARD!$B$11), L542, 1000000000000)</f>
        <v/>
      </c>
      <c r="Z542" s="101">
        <f>IF(AND(F542&lt;=DASHBOARD!$B$10, H542&gt;=DASHBOARD!$B$11), O542, 1000000000000)</f>
        <v/>
      </c>
      <c r="AA542" s="101">
        <f>IF(AND(F542&lt;=DASHBOARD!$B$10, H542&gt;=DASHBOARD!$B$11), P542, 1000000000000)</f>
        <v/>
      </c>
      <c r="AB542" s="101">
        <f>IF(AND(F542&lt;=DASHBOARD!$B$10, H542&gt;=DASHBOARD!$B$11), Q542, -1000000000000)</f>
        <v/>
      </c>
    </row>
    <row r="543" ht="15" customHeight="1" s="102">
      <c r="A543" s="166" t="n">
        <v>539</v>
      </c>
      <c r="B543" s="167" t="n">
        <v>1.2</v>
      </c>
      <c r="C543" s="167" t="n">
        <v>1.7</v>
      </c>
      <c r="D543" s="110" t="inlineStr">
        <is>
          <t>Yok (%0)</t>
        </is>
      </c>
      <c r="E543" s="110">
        <f>IF((B543+C543)&lt;=1, "Tam Mahsuplaşma (≤%100)", "Kısmi Satış (&gt;%100)")</f>
        <v/>
      </c>
      <c r="F543" s="168">
        <f>((VERI_TABANI!$D$29*B543/VERI_TABANI!$B$29)/VERI_TABANI!$B$3)*VERI_TABANI!$B$5 + ((VERI_TABANI!$D$29*C543/VERI_TABANI!$B$29)/VERI_TABANI!$B$4)*VERI_TABANI!$B$6 + IF(ISNUMBER(SEARCH("Var", D543)), (VERI_TABANI!$F$29/VERI_TABANI!$B$29)*(VERI_TABANI!$B$10+VERI_TABANI!$B$12), 0)</f>
        <v/>
      </c>
      <c r="G543" s="168">
        <f>(((MIN(VERI_TABANI!D23, VERI_TABANI!D23*B543)*VERI_TABANI!$B$7 + MAX(0, VERI_TABANI!D23*B543-VERI_TABANI!D23)*VERI_TABANI!$B$8) + (MIN(MAX(0, VERI_TABANI!D23-VERI_TABANI!D23*B543), VERI_TABANI!D23*C543)*VERI_TABANI!$B$7 + MAX(0, VERI_TABANI!D23*C543-MAX(0, VERI_TABANI!D23-VERI_TABANI!D23*B543))*VERI_TABANI!$B$8) + IF(ABS(IF(ISNUMBER(SEARCH("Var", D543)), 1, IF(ISNUMBER(SEARCH("Gri", D543)), -1, 0)))=1, VERI_TABANI!E23*(1-0.928)*VERI_TABANI!$B$9, 0) + (VERI_TABANI!D23*B543*(VERI_TABANI!$B$13-VERI_TABANI!$B$14)*VERI_TABANI!G23) + (VERI_TABANI!D23*C543*(VERI_TABANI!$B$13-VERI_TABANI!$B$15)*VERI_TABANI!G23) + IF(ABS(IF(ISNUMBER(SEARCH("Var", D543)), 1, IF(ISNUMBER(SEARCH("Gri", D543)), -1, 0)))=1, VERI_TABANI!E23*(1-0.928)*0.00206091519919798*VERI_TABANI!G23, 0)) + ((MIN(VERI_TABANI!D24, VERI_TABANI!D24*B543)*VERI_TABANI!$B$7 + MAX(0, VERI_TABANI!D24*B543-VERI_TABANI!D24)*VERI_TABANI!$B$8) + (MIN(MAX(0, VERI_TABANI!D24-VERI_TABANI!D24*B543), VERI_TABANI!D24*C543)*VERI_TABANI!$B$7 + MAX(0, VERI_TABANI!D24*C543-MAX(0, VERI_TABANI!D24-VERI_TABANI!D24*B543))*VERI_TABANI!$B$8) + IF(ABS(IF(ISNUMBER(SEARCH("Var", D543)), 1, IF(ISNUMBER(SEARCH("Gri", D543)), -1, 0)))=1, VERI_TABANI!E24*(1-0.928)*VERI_TABANI!$B$9, 0) + (VERI_TABANI!D24*B543*(VERI_TABANI!$B$13-VERI_TABANI!$B$14)*VERI_TABANI!G24) + (VERI_TABANI!D24*C543*(VERI_TABANI!$B$13-VERI_TABANI!$B$15)*VERI_TABANI!G24) + IF(ABS(IF(ISNUMBER(SEARCH("Var", D543)), 1, IF(ISNUMBER(SEARCH("Gri", D543)), -1, 0)))=1, VERI_TABANI!E24*(1-0.928)*0.00206091519919798*VERI_TABANI!G24, 0)) + ((MIN(VERI_TABANI!D25, VERI_TABANI!D25*B543)*VERI_TABANI!$B$7 + MAX(0, VERI_TABANI!D25*B543-VERI_TABANI!D25)*VERI_TABANI!$B$8) + (MIN(MAX(0, VERI_TABANI!D25-VERI_TABANI!D25*B543), VERI_TABANI!D25*C543)*VERI_TABANI!$B$7 + MAX(0, VERI_TABANI!D25*C543-MAX(0, VERI_TABANI!D25-VERI_TABANI!D25*B543))*VERI_TABANI!$B$8) + IF(ABS(IF(ISNUMBER(SEARCH("Var", D543)), 1, IF(ISNUMBER(SEARCH("Gri", D543)), -1, 0)))=1, VERI_TABANI!E25*(1-0.928)*VERI_TABANI!$B$9, 0) + (VERI_TABANI!D25*B543*(VERI_TABANI!$B$13-VERI_TABANI!$B$14)*VERI_TABANI!G25) + (VERI_TABANI!D25*C543*(VERI_TABANI!$B$13-VERI_TABANI!$B$15)*VERI_TABANI!G25) + IF(ABS(IF(ISNUMBER(SEARCH("Var", D543)), 1, IF(ISNUMBER(SEARCH("Gri", D543)), -1, 0)))=1, VERI_TABANI!E25*(1-0.928)*0.00206091519919798*VERI_TABANI!G25, 0)) + ((MIN(VERI_TABANI!D26, VERI_TABANI!D26*B543)*VERI_TABANI!$B$7 + MAX(0, VERI_TABANI!D26*B543-VERI_TABANI!D26)*VERI_TABANI!$B$8) + (MIN(MAX(0, VERI_TABANI!D26-VERI_TABANI!D26*B543), VERI_TABANI!D26*C543)*VERI_TABANI!$B$7 + MAX(0, VERI_TABANI!D26*C543-MAX(0, VERI_TABANI!D26-VERI_TABANI!D26*B543))*VERI_TABANI!$B$8) + IF(ABS(IF(ISNUMBER(SEARCH("Var", D543)), 1, IF(ISNUMBER(SEARCH("Gri", D543)), -1, 0)))=1, VERI_TABANI!E26*(1-0.928)*VERI_TABANI!$B$9, 0) + (VERI_TABANI!D26*B543*(VERI_TABANI!$B$13-VERI_TABANI!$B$14)*VERI_TABANI!G26) + (VERI_TABANI!D26*C543*(VERI_TABANI!$B$13-VERI_TABANI!$B$15)*VERI_TABANI!G26) + IF(ABS(IF(ISNUMBER(SEARCH("Var", D543)), 1, IF(ISNUMBER(SEARCH("Gri", D543)), -1, 0)))=1, VERI_TABANI!E26*(1-0.928)*0.00206091519919798*VERI_TABANI!G26, 0)) + ((MIN(VERI_TABANI!D27, VERI_TABANI!D27*B543)*VERI_TABANI!$B$7 + MAX(0, VERI_TABANI!D27*B543-VERI_TABANI!D27)*VERI_TABANI!$B$8) + (MIN(MAX(0, VERI_TABANI!D27-VERI_TABANI!D27*B543), VERI_TABANI!D27*C543)*VERI_TABANI!$B$7 + MAX(0, VERI_TABANI!D27*C543-MAX(0, VERI_TABANI!D27-VERI_TABANI!D27*B543))*VERI_TABANI!$B$8) + IF(ABS(IF(ISNUMBER(SEARCH("Var", D543)), 1, IF(ISNUMBER(SEARCH("Gri", D543)), -1, 0)))=1, VERI_TABANI!E27*(1-0.928)*VERI_TABANI!$B$9, 0) + (VERI_TABANI!D27*B543*(VERI_TABANI!$B$13-VERI_TABANI!$B$14)*VERI_TABANI!G27) + (VERI_TABANI!D27*C543*(VERI_TABANI!$B$13-VERI_TABANI!$B$15)*VERI_TABANI!G27) + IF(ABS(IF(ISNUMBER(SEARCH("Var", D543)), 1, IF(ISNUMBER(SEARCH("Gri", D543)), -1, 0)))=1, VERI_TABANI!E27*(1-0.928)*0.00206091519919798*VERI_TABANI!G27, 0)) + ((MIN(VERI_TABANI!D28, VERI_TABANI!D28*B543)*VERI_TABANI!$B$7 + MAX(0, VERI_TABANI!D28*B543-VERI_TABANI!D28)*VERI_TABANI!$B$8) + (MIN(MAX(0, VERI_TABANI!D28-VERI_TABANI!D28*B543), VERI_TABANI!D28*C543)*VERI_TABANI!$B$7 + MAX(0, VERI_TABANI!D28*C543-MAX(0, VERI_TABANI!D28-VERI_TABANI!D28*B543))*VERI_TABANI!$B$8) + IF(ABS(IF(ISNUMBER(SEARCH("Var", D543)), 1, IF(ISNUMBER(SEARCH("Gri", D543)), -1, 0)))=1, VERI_TABANI!E28*(1-0.928)*VERI_TABANI!$B$9, 0) + (VERI_TABANI!D28*B543*(VERI_TABANI!$B$13-VERI_TABANI!$B$14)*VERI_TABANI!G28) + (VERI_TABANI!D28*C543*(VERI_TABANI!$B$13-VERI_TABANI!$B$15)*VERI_TABANI!G28) + IF(ABS(IF(ISNUMBER(SEARCH("Var", D543)), 1, IF(ISNUMBER(SEARCH("Gri", D543)), -1, 0)))=1, VERI_TABANI!E28*(1-0.928)*0.00206091519919798*VERI_TABANI!G28, 0)))</f>
        <v/>
      </c>
      <c r="H543" s="169">
        <f>(((VERI_TABANI!D23*B543*(VERI_TABANI!$B$13-VERI_TABANI!$B$14)) + (VERI_TABANI!D23*C543*(VERI_TABANI!$B$13-VERI_TABANI!$B$15)) + IF(ISNUMBER(SEARCH("Var", D543)), VERI_TABANI!F23*(0.00202-VERI_TABANI!$B$16), IF(ISNUMBER(SEARCH("Gri", D543)), VERI_TABANI!F23*(0.00202-VERI_TABANI!$B$17), 0))) + ((VERI_TABANI!D24*B543*(VERI_TABANI!$B$13-VERI_TABANI!$B$14)) + (VERI_TABANI!D24*C543*(VERI_TABANI!$B$13-VERI_TABANI!$B$15)) + IF(ISNUMBER(SEARCH("Var", D543)), VERI_TABANI!F24*(0.00202-VERI_TABANI!$B$16), IF(ISNUMBER(SEARCH("Gri", D543)), VERI_TABANI!F24*(0.00202-VERI_TABANI!$B$17), 0))) + ((VERI_TABANI!D25*B543*(VERI_TABANI!$B$13-VERI_TABANI!$B$14)) + (VERI_TABANI!D25*C543*(VERI_TABANI!$B$13-VERI_TABANI!$B$15)) + IF(ISNUMBER(SEARCH("Var", D543)), VERI_TABANI!F25*(0.00202-VERI_TABANI!$B$16), IF(ISNUMBER(SEARCH("Gri", D543)), VERI_TABANI!F25*(0.00202-VERI_TABANI!$B$17), 0))) + ((VERI_TABANI!D26*B543*(VERI_TABANI!$B$13-VERI_TABANI!$B$14)) + (VERI_TABANI!D26*C543*(VERI_TABANI!$B$13-VERI_TABANI!$B$15)) + IF(ISNUMBER(SEARCH("Var", D543)), VERI_TABANI!F26*(0.00202-VERI_TABANI!$B$16), IF(ISNUMBER(SEARCH("Gri", D543)), VERI_TABANI!F26*(0.00202-VERI_TABANI!$B$17), 0))) + ((VERI_TABANI!D27*B543*(VERI_TABANI!$B$13-VERI_TABANI!$B$14)) + (VERI_TABANI!D27*C543*(VERI_TABANI!$B$13-VERI_TABANI!$B$15)) + IF(ISNUMBER(SEARCH("Var", D543)), VERI_TABANI!F27*(0.00202-VERI_TABANI!$B$16), IF(ISNUMBER(SEARCH("Gri", D543)), VERI_TABANI!F27*(0.00202-VERI_TABANI!$B$17), 0))) + ((VERI_TABANI!D28*B543*(VERI_TABANI!$B$13-VERI_TABANI!$B$14)) + (VERI_TABANI!D28*C543*(VERI_TABANI!$B$13-VERI_TABANI!$B$15)) + IF(ISNUMBER(SEARCH("Var", D543)), VERI_TABANI!F28*(0.00202-VERI_TABANI!$B$16), IF(ISNUMBER(SEARCH("Gri", D543)), VERI_TABANI!F28*(0.00202-VERI_TABANI!$B$17), 0))))</f>
        <v/>
      </c>
      <c r="I543" s="170">
        <f>IFERROR(((VERI_TABANI!$D$29*B543*VERI_TABANI!$B$14 + VERI_TABANI!$D$29*C543*VERI_TABANI!$B$15 + IF(ISNUMBER(SEARCH("Var", D543)), VERI_TABANI!$F$29*VERI_TABANI!$B$16, 0))) / (((VERI_TABANI!$D$29*B543 + VERI_TABANI!$D$29*C543)*VERI_TABANI!$B$13 + IF(ISNUMBER(SEARCH("Var", D543)), VERI_TABANI!$E$29*(1-0.928)*VERI_TABANI!$B$18, 0))), 0)</f>
        <v/>
      </c>
      <c r="J543" s="171">
        <f>IFERROR(F543/(G543/29), 0)</f>
        <v/>
      </c>
      <c r="K543" s="172">
        <f>IF(F543&gt;0, H543/F543, 0)</f>
        <v/>
      </c>
      <c r="L543" s="170">
        <f>IF(F543&gt;0, I543, 1000000000)</f>
        <v/>
      </c>
      <c r="M543" s="171">
        <f>ABS((B543+C543)-1)</f>
        <v/>
      </c>
      <c r="N543" s="170">
        <f>IF(F543&gt;0, (G543/29)/F543, 0)</f>
        <v/>
      </c>
      <c r="O543" s="168">
        <f>IF(AND((B543+C543)&gt;=1, ISNUMBER(SEARCH("Var", D543))), F543, 1000000000)</f>
        <v/>
      </c>
      <c r="P543" s="172">
        <f>IF(F543&gt;0, SQRT((F543/MAX(F$5:F$886))^2 + (1 - H543/MAX(H$5:H$886))^2 + (J543/MAX(J$5:J$886))^2), 1000000000)</f>
        <v/>
      </c>
      <c r="Q543" s="166">
        <f>IF(AND(ABS(B543-0.5)&lt;0.01, ABS(C543-0.5)&lt;0.01, ISNUMBER(SEARCH("Var", D543))), 1, 0)</f>
        <v/>
      </c>
      <c r="R543" s="171">
        <f>IF(F543&gt;0, J543, 1000000000)</f>
        <v/>
      </c>
      <c r="S543" s="101">
        <f>IF(AND(F543&lt;=DASHBOARD!$B$11, H543&gt;=DASHBOARD!$B$13), G543, -1000000000000)</f>
        <v/>
      </c>
      <c r="T543" s="101">
        <f>IF(AND(F543&lt;=DASHBOARD!$B$11, H543&gt;=DASHBOARD!$B$13), R543, 1000000000000)</f>
        <v/>
      </c>
      <c r="U543" s="101">
        <f>IF(AND(F543&lt;=DASHBOARD!$B$11, H543&gt;=DASHBOARD!$B$13), N543, -1000000000000)</f>
        <v/>
      </c>
      <c r="V543" s="101">
        <f>IF(AND(F543&lt;=DASHBOARD!$B$11, H543&gt;=DASHBOARD!$B$13), H543, -1000000000000)</f>
        <v/>
      </c>
      <c r="W543" s="101">
        <f>IF(AND(F543&lt;=DASHBOARD!$B$11, H543&gt;=DASHBOARD!$B$13), K543, -1000000000000)</f>
        <v/>
      </c>
      <c r="X543" s="101">
        <f>IF(AND(F543&lt;=DASHBOARD!$B$11, H543&gt;=DASHBOARD!$B$13), M543, 1000000000000)</f>
        <v/>
      </c>
      <c r="Y543" s="101">
        <f>IF(AND(F543&lt;=DASHBOARD!$B$10, H543&gt;=DASHBOARD!$B$11), L543, 1000000000000)</f>
        <v/>
      </c>
      <c r="Z543" s="101">
        <f>IF(AND(F543&lt;=DASHBOARD!$B$10, H543&gt;=DASHBOARD!$B$11), O543, 1000000000000)</f>
        <v/>
      </c>
      <c r="AA543" s="101">
        <f>IF(AND(F543&lt;=DASHBOARD!$B$10, H543&gt;=DASHBOARD!$B$11), P543, 1000000000000)</f>
        <v/>
      </c>
      <c r="AB543" s="101">
        <f>IF(AND(F543&lt;=DASHBOARD!$B$10, H543&gt;=DASHBOARD!$B$11), Q543, -1000000000000)</f>
        <v/>
      </c>
    </row>
    <row r="544" ht="15" customHeight="1" s="102">
      <c r="A544" s="166" t="n">
        <v>540</v>
      </c>
      <c r="B544" s="167" t="n">
        <v>1.2</v>
      </c>
      <c r="C544" s="167" t="n">
        <v>1.7</v>
      </c>
      <c r="D544" s="110" t="inlineStr">
        <is>
          <t>Var (%20)</t>
        </is>
      </c>
      <c r="E544" s="110">
        <f>IF((B544+C544)&lt;=1, "Tam Mahsuplaşma (≤%100)", "Kısmi Satış (&gt;%100)")</f>
        <v/>
      </c>
      <c r="F544" s="168">
        <f>((VERI_TABANI!$D$29*B544/VERI_TABANI!$B$29)/VERI_TABANI!$B$3)*VERI_TABANI!$B$5 + ((VERI_TABANI!$D$29*C544/VERI_TABANI!$B$29)/VERI_TABANI!$B$4)*VERI_TABANI!$B$6 + IF(ISNUMBER(SEARCH("Var", D544)), (VERI_TABANI!$F$29/VERI_TABANI!$B$29)*(VERI_TABANI!$B$10+VERI_TABANI!$B$12), 0)</f>
        <v/>
      </c>
      <c r="G544" s="168">
        <f>(((MIN(VERI_TABANI!D23, VERI_TABANI!D23*B544)*VERI_TABANI!$B$7 + MAX(0, VERI_TABANI!D23*B544-VERI_TABANI!D23)*VERI_TABANI!$B$8) + (MIN(MAX(0, VERI_TABANI!D23-VERI_TABANI!D23*B544), VERI_TABANI!D23*C544)*VERI_TABANI!$B$7 + MAX(0, VERI_TABANI!D23*C544-MAX(0, VERI_TABANI!D23-VERI_TABANI!D23*B544))*VERI_TABANI!$B$8) + IF(ABS(IF(ISNUMBER(SEARCH("Var", D544)), 1, IF(ISNUMBER(SEARCH("Gri", D544)), -1, 0)))=1, VERI_TABANI!E23*(1-0.928)*VERI_TABANI!$B$9, 0) + (VERI_TABANI!D23*B544*(VERI_TABANI!$B$13-VERI_TABANI!$B$14)*VERI_TABANI!G23) + (VERI_TABANI!D23*C544*(VERI_TABANI!$B$13-VERI_TABANI!$B$15)*VERI_TABANI!G23) + IF(ABS(IF(ISNUMBER(SEARCH("Var", D544)), 1, IF(ISNUMBER(SEARCH("Gri", D544)), -1, 0)))=1, VERI_TABANI!E23*(1-0.928)*0.00206091519919798*VERI_TABANI!G23, 0)) + ((MIN(VERI_TABANI!D24, VERI_TABANI!D24*B544)*VERI_TABANI!$B$7 + MAX(0, VERI_TABANI!D24*B544-VERI_TABANI!D24)*VERI_TABANI!$B$8) + (MIN(MAX(0, VERI_TABANI!D24-VERI_TABANI!D24*B544), VERI_TABANI!D24*C544)*VERI_TABANI!$B$7 + MAX(0, VERI_TABANI!D24*C544-MAX(0, VERI_TABANI!D24-VERI_TABANI!D24*B544))*VERI_TABANI!$B$8) + IF(ABS(IF(ISNUMBER(SEARCH("Var", D544)), 1, IF(ISNUMBER(SEARCH("Gri", D544)), -1, 0)))=1, VERI_TABANI!E24*(1-0.928)*VERI_TABANI!$B$9, 0) + (VERI_TABANI!D24*B544*(VERI_TABANI!$B$13-VERI_TABANI!$B$14)*VERI_TABANI!G24) + (VERI_TABANI!D24*C544*(VERI_TABANI!$B$13-VERI_TABANI!$B$15)*VERI_TABANI!G24) + IF(ABS(IF(ISNUMBER(SEARCH("Var", D544)), 1, IF(ISNUMBER(SEARCH("Gri", D544)), -1, 0)))=1, VERI_TABANI!E24*(1-0.928)*0.00206091519919798*VERI_TABANI!G24, 0)) + ((MIN(VERI_TABANI!D25, VERI_TABANI!D25*B544)*VERI_TABANI!$B$7 + MAX(0, VERI_TABANI!D25*B544-VERI_TABANI!D25)*VERI_TABANI!$B$8) + (MIN(MAX(0, VERI_TABANI!D25-VERI_TABANI!D25*B544), VERI_TABANI!D25*C544)*VERI_TABANI!$B$7 + MAX(0, VERI_TABANI!D25*C544-MAX(0, VERI_TABANI!D25-VERI_TABANI!D25*B544))*VERI_TABANI!$B$8) + IF(ABS(IF(ISNUMBER(SEARCH("Var", D544)), 1, IF(ISNUMBER(SEARCH("Gri", D544)), -1, 0)))=1, VERI_TABANI!E25*(1-0.928)*VERI_TABANI!$B$9, 0) + (VERI_TABANI!D25*B544*(VERI_TABANI!$B$13-VERI_TABANI!$B$14)*VERI_TABANI!G25) + (VERI_TABANI!D25*C544*(VERI_TABANI!$B$13-VERI_TABANI!$B$15)*VERI_TABANI!G25) + IF(ABS(IF(ISNUMBER(SEARCH("Var", D544)), 1, IF(ISNUMBER(SEARCH("Gri", D544)), -1, 0)))=1, VERI_TABANI!E25*(1-0.928)*0.00206091519919798*VERI_TABANI!G25, 0)) + ((MIN(VERI_TABANI!D26, VERI_TABANI!D26*B544)*VERI_TABANI!$B$7 + MAX(0, VERI_TABANI!D26*B544-VERI_TABANI!D26)*VERI_TABANI!$B$8) + (MIN(MAX(0, VERI_TABANI!D26-VERI_TABANI!D26*B544), VERI_TABANI!D26*C544)*VERI_TABANI!$B$7 + MAX(0, VERI_TABANI!D26*C544-MAX(0, VERI_TABANI!D26-VERI_TABANI!D26*B544))*VERI_TABANI!$B$8) + IF(ABS(IF(ISNUMBER(SEARCH("Var", D544)), 1, IF(ISNUMBER(SEARCH("Gri", D544)), -1, 0)))=1, VERI_TABANI!E26*(1-0.928)*VERI_TABANI!$B$9, 0) + (VERI_TABANI!D26*B544*(VERI_TABANI!$B$13-VERI_TABANI!$B$14)*VERI_TABANI!G26) + (VERI_TABANI!D26*C544*(VERI_TABANI!$B$13-VERI_TABANI!$B$15)*VERI_TABANI!G26) + IF(ABS(IF(ISNUMBER(SEARCH("Var", D544)), 1, IF(ISNUMBER(SEARCH("Gri", D544)), -1, 0)))=1, VERI_TABANI!E26*(1-0.928)*0.00206091519919798*VERI_TABANI!G26, 0)) + ((MIN(VERI_TABANI!D27, VERI_TABANI!D27*B544)*VERI_TABANI!$B$7 + MAX(0, VERI_TABANI!D27*B544-VERI_TABANI!D27)*VERI_TABANI!$B$8) + (MIN(MAX(0, VERI_TABANI!D27-VERI_TABANI!D27*B544), VERI_TABANI!D27*C544)*VERI_TABANI!$B$7 + MAX(0, VERI_TABANI!D27*C544-MAX(0, VERI_TABANI!D27-VERI_TABANI!D27*B544))*VERI_TABANI!$B$8) + IF(ABS(IF(ISNUMBER(SEARCH("Var", D544)), 1, IF(ISNUMBER(SEARCH("Gri", D544)), -1, 0)))=1, VERI_TABANI!E27*(1-0.928)*VERI_TABANI!$B$9, 0) + (VERI_TABANI!D27*B544*(VERI_TABANI!$B$13-VERI_TABANI!$B$14)*VERI_TABANI!G27) + (VERI_TABANI!D27*C544*(VERI_TABANI!$B$13-VERI_TABANI!$B$15)*VERI_TABANI!G27) + IF(ABS(IF(ISNUMBER(SEARCH("Var", D544)), 1, IF(ISNUMBER(SEARCH("Gri", D544)), -1, 0)))=1, VERI_TABANI!E27*(1-0.928)*0.00206091519919798*VERI_TABANI!G27, 0)) + ((MIN(VERI_TABANI!D28, VERI_TABANI!D28*B544)*VERI_TABANI!$B$7 + MAX(0, VERI_TABANI!D28*B544-VERI_TABANI!D28)*VERI_TABANI!$B$8) + (MIN(MAX(0, VERI_TABANI!D28-VERI_TABANI!D28*B544), VERI_TABANI!D28*C544)*VERI_TABANI!$B$7 + MAX(0, VERI_TABANI!D28*C544-MAX(0, VERI_TABANI!D28-VERI_TABANI!D28*B544))*VERI_TABANI!$B$8) + IF(ABS(IF(ISNUMBER(SEARCH("Var", D544)), 1, IF(ISNUMBER(SEARCH("Gri", D544)), -1, 0)))=1, VERI_TABANI!E28*(1-0.928)*VERI_TABANI!$B$9, 0) + (VERI_TABANI!D28*B544*(VERI_TABANI!$B$13-VERI_TABANI!$B$14)*VERI_TABANI!G28) + (VERI_TABANI!D28*C544*(VERI_TABANI!$B$13-VERI_TABANI!$B$15)*VERI_TABANI!G28) + IF(ABS(IF(ISNUMBER(SEARCH("Var", D544)), 1, IF(ISNUMBER(SEARCH("Gri", D544)), -1, 0)))=1, VERI_TABANI!E28*(1-0.928)*0.00206091519919798*VERI_TABANI!G28, 0)))</f>
        <v/>
      </c>
      <c r="H544" s="169">
        <f>(((VERI_TABANI!D23*B544*(VERI_TABANI!$B$13-VERI_TABANI!$B$14)) + (VERI_TABANI!D23*C544*(VERI_TABANI!$B$13-VERI_TABANI!$B$15)) + IF(ISNUMBER(SEARCH("Var", D544)), VERI_TABANI!F23*(0.00202-VERI_TABANI!$B$16), IF(ISNUMBER(SEARCH("Gri", D544)), VERI_TABANI!F23*(0.00202-VERI_TABANI!$B$17), 0))) + ((VERI_TABANI!D24*B544*(VERI_TABANI!$B$13-VERI_TABANI!$B$14)) + (VERI_TABANI!D24*C544*(VERI_TABANI!$B$13-VERI_TABANI!$B$15)) + IF(ISNUMBER(SEARCH("Var", D544)), VERI_TABANI!F24*(0.00202-VERI_TABANI!$B$16), IF(ISNUMBER(SEARCH("Gri", D544)), VERI_TABANI!F24*(0.00202-VERI_TABANI!$B$17), 0))) + ((VERI_TABANI!D25*B544*(VERI_TABANI!$B$13-VERI_TABANI!$B$14)) + (VERI_TABANI!D25*C544*(VERI_TABANI!$B$13-VERI_TABANI!$B$15)) + IF(ISNUMBER(SEARCH("Var", D544)), VERI_TABANI!F25*(0.00202-VERI_TABANI!$B$16), IF(ISNUMBER(SEARCH("Gri", D544)), VERI_TABANI!F25*(0.00202-VERI_TABANI!$B$17), 0))) + ((VERI_TABANI!D26*B544*(VERI_TABANI!$B$13-VERI_TABANI!$B$14)) + (VERI_TABANI!D26*C544*(VERI_TABANI!$B$13-VERI_TABANI!$B$15)) + IF(ISNUMBER(SEARCH("Var", D544)), VERI_TABANI!F26*(0.00202-VERI_TABANI!$B$16), IF(ISNUMBER(SEARCH("Gri", D544)), VERI_TABANI!F26*(0.00202-VERI_TABANI!$B$17), 0))) + ((VERI_TABANI!D27*B544*(VERI_TABANI!$B$13-VERI_TABANI!$B$14)) + (VERI_TABANI!D27*C544*(VERI_TABANI!$B$13-VERI_TABANI!$B$15)) + IF(ISNUMBER(SEARCH("Var", D544)), VERI_TABANI!F27*(0.00202-VERI_TABANI!$B$16), IF(ISNUMBER(SEARCH("Gri", D544)), VERI_TABANI!F27*(0.00202-VERI_TABANI!$B$17), 0))) + ((VERI_TABANI!D28*B544*(VERI_TABANI!$B$13-VERI_TABANI!$B$14)) + (VERI_TABANI!D28*C544*(VERI_TABANI!$B$13-VERI_TABANI!$B$15)) + IF(ISNUMBER(SEARCH("Var", D544)), VERI_TABANI!F28*(0.00202-VERI_TABANI!$B$16), IF(ISNUMBER(SEARCH("Gri", D544)), VERI_TABANI!F28*(0.00202-VERI_TABANI!$B$17), 0))))</f>
        <v/>
      </c>
      <c r="I544" s="170">
        <f>IFERROR(((VERI_TABANI!$D$29*B544*VERI_TABANI!$B$14 + VERI_TABANI!$D$29*C544*VERI_TABANI!$B$15 + IF(ISNUMBER(SEARCH("Var", D544)), VERI_TABANI!$F$29*VERI_TABANI!$B$16, 0))) / (((VERI_TABANI!$D$29*B544 + VERI_TABANI!$D$29*C544)*VERI_TABANI!$B$13 + IF(ISNUMBER(SEARCH("Var", D544)), VERI_TABANI!$E$29*(1-0.928)*VERI_TABANI!$B$18, 0))), 0)</f>
        <v/>
      </c>
      <c r="J544" s="171">
        <f>IFERROR(F544/(G544/29), 0)</f>
        <v/>
      </c>
      <c r="K544" s="172">
        <f>IF(F544&gt;0, H544/F544, 0)</f>
        <v/>
      </c>
      <c r="L544" s="170">
        <f>IF(F544&gt;0, I544, 1000000000)</f>
        <v/>
      </c>
      <c r="M544" s="171">
        <f>ABS((B544+C544)-1)</f>
        <v/>
      </c>
      <c r="N544" s="170">
        <f>IF(F544&gt;0, (G544/29)/F544, 0)</f>
        <v/>
      </c>
      <c r="O544" s="168">
        <f>IF(AND((B544+C544)&gt;=1, ISNUMBER(SEARCH("Var", D544))), F544, 1000000000)</f>
        <v/>
      </c>
      <c r="P544" s="172">
        <f>IF(F544&gt;0, SQRT((F544/MAX(F$5:F$886))^2 + (1 - H544/MAX(H$5:H$886))^2 + (J544/MAX(J$5:J$886))^2), 1000000000)</f>
        <v/>
      </c>
      <c r="Q544" s="166">
        <f>IF(AND(ABS(B544-0.5)&lt;0.01, ABS(C544-0.5)&lt;0.01, ISNUMBER(SEARCH("Var", D544))), 1, 0)</f>
        <v/>
      </c>
      <c r="R544" s="171">
        <f>IF(F544&gt;0, J544, 1000000000)</f>
        <v/>
      </c>
      <c r="S544" s="101">
        <f>IF(AND(F544&lt;=DASHBOARD!$B$11, H544&gt;=DASHBOARD!$B$13), G544, -1000000000000)</f>
        <v/>
      </c>
      <c r="T544" s="101">
        <f>IF(AND(F544&lt;=DASHBOARD!$B$11, H544&gt;=DASHBOARD!$B$13), R544, 1000000000000)</f>
        <v/>
      </c>
      <c r="U544" s="101">
        <f>IF(AND(F544&lt;=DASHBOARD!$B$11, H544&gt;=DASHBOARD!$B$13), N544, -1000000000000)</f>
        <v/>
      </c>
      <c r="V544" s="101">
        <f>IF(AND(F544&lt;=DASHBOARD!$B$11, H544&gt;=DASHBOARD!$B$13), H544, -1000000000000)</f>
        <v/>
      </c>
      <c r="W544" s="101">
        <f>IF(AND(F544&lt;=DASHBOARD!$B$11, H544&gt;=DASHBOARD!$B$13), K544, -1000000000000)</f>
        <v/>
      </c>
      <c r="X544" s="101">
        <f>IF(AND(F544&lt;=DASHBOARD!$B$11, H544&gt;=DASHBOARD!$B$13), M544, 1000000000000)</f>
        <v/>
      </c>
      <c r="Y544" s="101">
        <f>IF(AND(F544&lt;=DASHBOARD!$B$10, H544&gt;=DASHBOARD!$B$11), L544, 1000000000000)</f>
        <v/>
      </c>
      <c r="Z544" s="101">
        <f>IF(AND(F544&lt;=DASHBOARD!$B$10, H544&gt;=DASHBOARD!$B$11), O544, 1000000000000)</f>
        <v/>
      </c>
      <c r="AA544" s="101">
        <f>IF(AND(F544&lt;=DASHBOARD!$B$10, H544&gt;=DASHBOARD!$B$11), P544, 1000000000000)</f>
        <v/>
      </c>
      <c r="AB544" s="101">
        <f>IF(AND(F544&lt;=DASHBOARD!$B$10, H544&gt;=DASHBOARD!$B$11), Q544, -1000000000000)</f>
        <v/>
      </c>
    </row>
    <row r="545" ht="15" customHeight="1" s="102">
      <c r="A545" s="166" t="n">
        <v>541</v>
      </c>
      <c r="B545" s="167" t="n">
        <v>1.2</v>
      </c>
      <c r="C545" s="167" t="n">
        <v>1.8</v>
      </c>
      <c r="D545" s="110" t="inlineStr">
        <is>
          <t>Yok (%0)</t>
        </is>
      </c>
      <c r="E545" s="110">
        <f>IF((B545+C545)&lt;=1, "Tam Mahsuplaşma (≤%100)", "Kısmi Satış (&gt;%100)")</f>
        <v/>
      </c>
      <c r="F545" s="168">
        <f>((VERI_TABANI!$D$29*B545/VERI_TABANI!$B$29)/VERI_TABANI!$B$3)*VERI_TABANI!$B$5 + ((VERI_TABANI!$D$29*C545/VERI_TABANI!$B$29)/VERI_TABANI!$B$4)*VERI_TABANI!$B$6 + IF(ISNUMBER(SEARCH("Var", D545)), (VERI_TABANI!$F$29/VERI_TABANI!$B$29)*(VERI_TABANI!$B$10+VERI_TABANI!$B$12), 0)</f>
        <v/>
      </c>
      <c r="G545" s="168">
        <f>(((MIN(VERI_TABANI!D23, VERI_TABANI!D23*B545)*VERI_TABANI!$B$7 + MAX(0, VERI_TABANI!D23*B545-VERI_TABANI!D23)*VERI_TABANI!$B$8) + (MIN(MAX(0, VERI_TABANI!D23-VERI_TABANI!D23*B545), VERI_TABANI!D23*C545)*VERI_TABANI!$B$7 + MAX(0, VERI_TABANI!D23*C545-MAX(0, VERI_TABANI!D23-VERI_TABANI!D23*B545))*VERI_TABANI!$B$8) + IF(ABS(IF(ISNUMBER(SEARCH("Var", D545)), 1, IF(ISNUMBER(SEARCH("Gri", D545)), -1, 0)))=1, VERI_TABANI!E23*(1-0.928)*VERI_TABANI!$B$9, 0) + (VERI_TABANI!D23*B545*(VERI_TABANI!$B$13-VERI_TABANI!$B$14)*VERI_TABANI!G23) + (VERI_TABANI!D23*C545*(VERI_TABANI!$B$13-VERI_TABANI!$B$15)*VERI_TABANI!G23) + IF(ABS(IF(ISNUMBER(SEARCH("Var", D545)), 1, IF(ISNUMBER(SEARCH("Gri", D545)), -1, 0)))=1, VERI_TABANI!E23*(1-0.928)*0.00206091519919798*VERI_TABANI!G23, 0)) + ((MIN(VERI_TABANI!D24, VERI_TABANI!D24*B545)*VERI_TABANI!$B$7 + MAX(0, VERI_TABANI!D24*B545-VERI_TABANI!D24)*VERI_TABANI!$B$8) + (MIN(MAX(0, VERI_TABANI!D24-VERI_TABANI!D24*B545), VERI_TABANI!D24*C545)*VERI_TABANI!$B$7 + MAX(0, VERI_TABANI!D24*C545-MAX(0, VERI_TABANI!D24-VERI_TABANI!D24*B545))*VERI_TABANI!$B$8) + IF(ABS(IF(ISNUMBER(SEARCH("Var", D545)), 1, IF(ISNUMBER(SEARCH("Gri", D545)), -1, 0)))=1, VERI_TABANI!E24*(1-0.928)*VERI_TABANI!$B$9, 0) + (VERI_TABANI!D24*B545*(VERI_TABANI!$B$13-VERI_TABANI!$B$14)*VERI_TABANI!G24) + (VERI_TABANI!D24*C545*(VERI_TABANI!$B$13-VERI_TABANI!$B$15)*VERI_TABANI!G24) + IF(ABS(IF(ISNUMBER(SEARCH("Var", D545)), 1, IF(ISNUMBER(SEARCH("Gri", D545)), -1, 0)))=1, VERI_TABANI!E24*(1-0.928)*0.00206091519919798*VERI_TABANI!G24, 0)) + ((MIN(VERI_TABANI!D25, VERI_TABANI!D25*B545)*VERI_TABANI!$B$7 + MAX(0, VERI_TABANI!D25*B545-VERI_TABANI!D25)*VERI_TABANI!$B$8) + (MIN(MAX(0, VERI_TABANI!D25-VERI_TABANI!D25*B545), VERI_TABANI!D25*C545)*VERI_TABANI!$B$7 + MAX(0, VERI_TABANI!D25*C545-MAX(0, VERI_TABANI!D25-VERI_TABANI!D25*B545))*VERI_TABANI!$B$8) + IF(ABS(IF(ISNUMBER(SEARCH("Var", D545)), 1, IF(ISNUMBER(SEARCH("Gri", D545)), -1, 0)))=1, VERI_TABANI!E25*(1-0.928)*VERI_TABANI!$B$9, 0) + (VERI_TABANI!D25*B545*(VERI_TABANI!$B$13-VERI_TABANI!$B$14)*VERI_TABANI!G25) + (VERI_TABANI!D25*C545*(VERI_TABANI!$B$13-VERI_TABANI!$B$15)*VERI_TABANI!G25) + IF(ABS(IF(ISNUMBER(SEARCH("Var", D545)), 1, IF(ISNUMBER(SEARCH("Gri", D545)), -1, 0)))=1, VERI_TABANI!E25*(1-0.928)*0.00206091519919798*VERI_TABANI!G25, 0)) + ((MIN(VERI_TABANI!D26, VERI_TABANI!D26*B545)*VERI_TABANI!$B$7 + MAX(0, VERI_TABANI!D26*B545-VERI_TABANI!D26)*VERI_TABANI!$B$8) + (MIN(MAX(0, VERI_TABANI!D26-VERI_TABANI!D26*B545), VERI_TABANI!D26*C545)*VERI_TABANI!$B$7 + MAX(0, VERI_TABANI!D26*C545-MAX(0, VERI_TABANI!D26-VERI_TABANI!D26*B545))*VERI_TABANI!$B$8) + IF(ABS(IF(ISNUMBER(SEARCH("Var", D545)), 1, IF(ISNUMBER(SEARCH("Gri", D545)), -1, 0)))=1, VERI_TABANI!E26*(1-0.928)*VERI_TABANI!$B$9, 0) + (VERI_TABANI!D26*B545*(VERI_TABANI!$B$13-VERI_TABANI!$B$14)*VERI_TABANI!G26) + (VERI_TABANI!D26*C545*(VERI_TABANI!$B$13-VERI_TABANI!$B$15)*VERI_TABANI!G26) + IF(ABS(IF(ISNUMBER(SEARCH("Var", D545)), 1, IF(ISNUMBER(SEARCH("Gri", D545)), -1, 0)))=1, VERI_TABANI!E26*(1-0.928)*0.00206091519919798*VERI_TABANI!G26, 0)) + ((MIN(VERI_TABANI!D27, VERI_TABANI!D27*B545)*VERI_TABANI!$B$7 + MAX(0, VERI_TABANI!D27*B545-VERI_TABANI!D27)*VERI_TABANI!$B$8) + (MIN(MAX(0, VERI_TABANI!D27-VERI_TABANI!D27*B545), VERI_TABANI!D27*C545)*VERI_TABANI!$B$7 + MAX(0, VERI_TABANI!D27*C545-MAX(0, VERI_TABANI!D27-VERI_TABANI!D27*B545))*VERI_TABANI!$B$8) + IF(ABS(IF(ISNUMBER(SEARCH("Var", D545)), 1, IF(ISNUMBER(SEARCH("Gri", D545)), -1, 0)))=1, VERI_TABANI!E27*(1-0.928)*VERI_TABANI!$B$9, 0) + (VERI_TABANI!D27*B545*(VERI_TABANI!$B$13-VERI_TABANI!$B$14)*VERI_TABANI!G27) + (VERI_TABANI!D27*C545*(VERI_TABANI!$B$13-VERI_TABANI!$B$15)*VERI_TABANI!G27) + IF(ABS(IF(ISNUMBER(SEARCH("Var", D545)), 1, IF(ISNUMBER(SEARCH("Gri", D545)), -1, 0)))=1, VERI_TABANI!E27*(1-0.928)*0.00206091519919798*VERI_TABANI!G27, 0)) + ((MIN(VERI_TABANI!D28, VERI_TABANI!D28*B545)*VERI_TABANI!$B$7 + MAX(0, VERI_TABANI!D28*B545-VERI_TABANI!D28)*VERI_TABANI!$B$8) + (MIN(MAX(0, VERI_TABANI!D28-VERI_TABANI!D28*B545), VERI_TABANI!D28*C545)*VERI_TABANI!$B$7 + MAX(0, VERI_TABANI!D28*C545-MAX(0, VERI_TABANI!D28-VERI_TABANI!D28*B545))*VERI_TABANI!$B$8) + IF(ABS(IF(ISNUMBER(SEARCH("Var", D545)), 1, IF(ISNUMBER(SEARCH("Gri", D545)), -1, 0)))=1, VERI_TABANI!E28*(1-0.928)*VERI_TABANI!$B$9, 0) + (VERI_TABANI!D28*B545*(VERI_TABANI!$B$13-VERI_TABANI!$B$14)*VERI_TABANI!G28) + (VERI_TABANI!D28*C545*(VERI_TABANI!$B$13-VERI_TABANI!$B$15)*VERI_TABANI!G28) + IF(ABS(IF(ISNUMBER(SEARCH("Var", D545)), 1, IF(ISNUMBER(SEARCH("Gri", D545)), -1, 0)))=1, VERI_TABANI!E28*(1-0.928)*0.00206091519919798*VERI_TABANI!G28, 0)))</f>
        <v/>
      </c>
      <c r="H545" s="169">
        <f>(((VERI_TABANI!D23*B545*(VERI_TABANI!$B$13-VERI_TABANI!$B$14)) + (VERI_TABANI!D23*C545*(VERI_TABANI!$B$13-VERI_TABANI!$B$15)) + IF(ISNUMBER(SEARCH("Var", D545)), VERI_TABANI!F23*(0.00202-VERI_TABANI!$B$16), IF(ISNUMBER(SEARCH("Gri", D545)), VERI_TABANI!F23*(0.00202-VERI_TABANI!$B$17), 0))) + ((VERI_TABANI!D24*B545*(VERI_TABANI!$B$13-VERI_TABANI!$B$14)) + (VERI_TABANI!D24*C545*(VERI_TABANI!$B$13-VERI_TABANI!$B$15)) + IF(ISNUMBER(SEARCH("Var", D545)), VERI_TABANI!F24*(0.00202-VERI_TABANI!$B$16), IF(ISNUMBER(SEARCH("Gri", D545)), VERI_TABANI!F24*(0.00202-VERI_TABANI!$B$17), 0))) + ((VERI_TABANI!D25*B545*(VERI_TABANI!$B$13-VERI_TABANI!$B$14)) + (VERI_TABANI!D25*C545*(VERI_TABANI!$B$13-VERI_TABANI!$B$15)) + IF(ISNUMBER(SEARCH("Var", D545)), VERI_TABANI!F25*(0.00202-VERI_TABANI!$B$16), IF(ISNUMBER(SEARCH("Gri", D545)), VERI_TABANI!F25*(0.00202-VERI_TABANI!$B$17), 0))) + ((VERI_TABANI!D26*B545*(VERI_TABANI!$B$13-VERI_TABANI!$B$14)) + (VERI_TABANI!D26*C545*(VERI_TABANI!$B$13-VERI_TABANI!$B$15)) + IF(ISNUMBER(SEARCH("Var", D545)), VERI_TABANI!F26*(0.00202-VERI_TABANI!$B$16), IF(ISNUMBER(SEARCH("Gri", D545)), VERI_TABANI!F26*(0.00202-VERI_TABANI!$B$17), 0))) + ((VERI_TABANI!D27*B545*(VERI_TABANI!$B$13-VERI_TABANI!$B$14)) + (VERI_TABANI!D27*C545*(VERI_TABANI!$B$13-VERI_TABANI!$B$15)) + IF(ISNUMBER(SEARCH("Var", D545)), VERI_TABANI!F27*(0.00202-VERI_TABANI!$B$16), IF(ISNUMBER(SEARCH("Gri", D545)), VERI_TABANI!F27*(0.00202-VERI_TABANI!$B$17), 0))) + ((VERI_TABANI!D28*B545*(VERI_TABANI!$B$13-VERI_TABANI!$B$14)) + (VERI_TABANI!D28*C545*(VERI_TABANI!$B$13-VERI_TABANI!$B$15)) + IF(ISNUMBER(SEARCH("Var", D545)), VERI_TABANI!F28*(0.00202-VERI_TABANI!$B$16), IF(ISNUMBER(SEARCH("Gri", D545)), VERI_TABANI!F28*(0.00202-VERI_TABANI!$B$17), 0))))</f>
        <v/>
      </c>
      <c r="I545" s="170">
        <f>IFERROR(((VERI_TABANI!$D$29*B545*VERI_TABANI!$B$14 + VERI_TABANI!$D$29*C545*VERI_TABANI!$B$15 + IF(ISNUMBER(SEARCH("Var", D545)), VERI_TABANI!$F$29*VERI_TABANI!$B$16, 0))) / (((VERI_TABANI!$D$29*B545 + VERI_TABANI!$D$29*C545)*VERI_TABANI!$B$13 + IF(ISNUMBER(SEARCH("Var", D545)), VERI_TABANI!$E$29*(1-0.928)*VERI_TABANI!$B$18, 0))), 0)</f>
        <v/>
      </c>
      <c r="J545" s="171">
        <f>IFERROR(F545/(G545/29), 0)</f>
        <v/>
      </c>
      <c r="K545" s="172">
        <f>IF(F545&gt;0, H545/F545, 0)</f>
        <v/>
      </c>
      <c r="L545" s="170">
        <f>IF(F545&gt;0, I545, 1000000000)</f>
        <v/>
      </c>
      <c r="M545" s="171">
        <f>ABS((B545+C545)-1)</f>
        <v/>
      </c>
      <c r="N545" s="170">
        <f>IF(F545&gt;0, (G545/29)/F545, 0)</f>
        <v/>
      </c>
      <c r="O545" s="168">
        <f>IF(AND((B545+C545)&gt;=1, ISNUMBER(SEARCH("Var", D545))), F545, 1000000000)</f>
        <v/>
      </c>
      <c r="P545" s="172">
        <f>IF(F545&gt;0, SQRT((F545/MAX(F$5:F$886))^2 + (1 - H545/MAX(H$5:H$886))^2 + (J545/MAX(J$5:J$886))^2), 1000000000)</f>
        <v/>
      </c>
      <c r="Q545" s="166">
        <f>IF(AND(ABS(B545-0.5)&lt;0.01, ABS(C545-0.5)&lt;0.01, ISNUMBER(SEARCH("Var", D545))), 1, 0)</f>
        <v/>
      </c>
      <c r="R545" s="171">
        <f>IF(F545&gt;0, J545, 1000000000)</f>
        <v/>
      </c>
      <c r="S545" s="101">
        <f>IF(AND(F545&lt;=DASHBOARD!$B$11, H545&gt;=DASHBOARD!$B$13), G545, -1000000000000)</f>
        <v/>
      </c>
      <c r="T545" s="101">
        <f>IF(AND(F545&lt;=DASHBOARD!$B$11, H545&gt;=DASHBOARD!$B$13), R545, 1000000000000)</f>
        <v/>
      </c>
      <c r="U545" s="101">
        <f>IF(AND(F545&lt;=DASHBOARD!$B$11, H545&gt;=DASHBOARD!$B$13), N545, -1000000000000)</f>
        <v/>
      </c>
      <c r="V545" s="101">
        <f>IF(AND(F545&lt;=DASHBOARD!$B$11, H545&gt;=DASHBOARD!$B$13), H545, -1000000000000)</f>
        <v/>
      </c>
      <c r="W545" s="101">
        <f>IF(AND(F545&lt;=DASHBOARD!$B$11, H545&gt;=DASHBOARD!$B$13), K545, -1000000000000)</f>
        <v/>
      </c>
      <c r="X545" s="101">
        <f>IF(AND(F545&lt;=DASHBOARD!$B$11, H545&gt;=DASHBOARD!$B$13), M545, 1000000000000)</f>
        <v/>
      </c>
      <c r="Y545" s="101">
        <f>IF(AND(F545&lt;=DASHBOARD!$B$10, H545&gt;=DASHBOARD!$B$11), L545, 1000000000000)</f>
        <v/>
      </c>
      <c r="Z545" s="101">
        <f>IF(AND(F545&lt;=DASHBOARD!$B$10, H545&gt;=DASHBOARD!$B$11), O545, 1000000000000)</f>
        <v/>
      </c>
      <c r="AA545" s="101">
        <f>IF(AND(F545&lt;=DASHBOARD!$B$10, H545&gt;=DASHBOARD!$B$11), P545, 1000000000000)</f>
        <v/>
      </c>
      <c r="AB545" s="101">
        <f>IF(AND(F545&lt;=DASHBOARD!$B$10, H545&gt;=DASHBOARD!$B$11), Q545, -1000000000000)</f>
        <v/>
      </c>
    </row>
    <row r="546" ht="15" customHeight="1" s="102">
      <c r="A546" s="166" t="n">
        <v>542</v>
      </c>
      <c r="B546" s="167" t="n">
        <v>1.2</v>
      </c>
      <c r="C546" s="167" t="n">
        <v>1.8</v>
      </c>
      <c r="D546" s="110" t="inlineStr">
        <is>
          <t>Var (%20)</t>
        </is>
      </c>
      <c r="E546" s="110">
        <f>IF((B546+C546)&lt;=1, "Tam Mahsuplaşma (≤%100)", "Kısmi Satış (&gt;%100)")</f>
        <v/>
      </c>
      <c r="F546" s="168">
        <f>((VERI_TABANI!$D$29*B546/VERI_TABANI!$B$29)/VERI_TABANI!$B$3)*VERI_TABANI!$B$5 + ((VERI_TABANI!$D$29*C546/VERI_TABANI!$B$29)/VERI_TABANI!$B$4)*VERI_TABANI!$B$6 + IF(ISNUMBER(SEARCH("Var", D546)), (VERI_TABANI!$F$29/VERI_TABANI!$B$29)*(VERI_TABANI!$B$10+VERI_TABANI!$B$12), 0)</f>
        <v/>
      </c>
      <c r="G546" s="168">
        <f>(((MIN(VERI_TABANI!D23, VERI_TABANI!D23*B546)*VERI_TABANI!$B$7 + MAX(0, VERI_TABANI!D23*B546-VERI_TABANI!D23)*VERI_TABANI!$B$8) + (MIN(MAX(0, VERI_TABANI!D23-VERI_TABANI!D23*B546), VERI_TABANI!D23*C546)*VERI_TABANI!$B$7 + MAX(0, VERI_TABANI!D23*C546-MAX(0, VERI_TABANI!D23-VERI_TABANI!D23*B546))*VERI_TABANI!$B$8) + IF(ABS(IF(ISNUMBER(SEARCH("Var", D546)), 1, IF(ISNUMBER(SEARCH("Gri", D546)), -1, 0)))=1, VERI_TABANI!E23*(1-0.928)*VERI_TABANI!$B$9, 0) + (VERI_TABANI!D23*B546*(VERI_TABANI!$B$13-VERI_TABANI!$B$14)*VERI_TABANI!G23) + (VERI_TABANI!D23*C546*(VERI_TABANI!$B$13-VERI_TABANI!$B$15)*VERI_TABANI!G23) + IF(ABS(IF(ISNUMBER(SEARCH("Var", D546)), 1, IF(ISNUMBER(SEARCH("Gri", D546)), -1, 0)))=1, VERI_TABANI!E23*(1-0.928)*0.00206091519919798*VERI_TABANI!G23, 0)) + ((MIN(VERI_TABANI!D24, VERI_TABANI!D24*B546)*VERI_TABANI!$B$7 + MAX(0, VERI_TABANI!D24*B546-VERI_TABANI!D24)*VERI_TABANI!$B$8) + (MIN(MAX(0, VERI_TABANI!D24-VERI_TABANI!D24*B546), VERI_TABANI!D24*C546)*VERI_TABANI!$B$7 + MAX(0, VERI_TABANI!D24*C546-MAX(0, VERI_TABANI!D24-VERI_TABANI!D24*B546))*VERI_TABANI!$B$8) + IF(ABS(IF(ISNUMBER(SEARCH("Var", D546)), 1, IF(ISNUMBER(SEARCH("Gri", D546)), -1, 0)))=1, VERI_TABANI!E24*(1-0.928)*VERI_TABANI!$B$9, 0) + (VERI_TABANI!D24*B546*(VERI_TABANI!$B$13-VERI_TABANI!$B$14)*VERI_TABANI!G24) + (VERI_TABANI!D24*C546*(VERI_TABANI!$B$13-VERI_TABANI!$B$15)*VERI_TABANI!G24) + IF(ABS(IF(ISNUMBER(SEARCH("Var", D546)), 1, IF(ISNUMBER(SEARCH("Gri", D546)), -1, 0)))=1, VERI_TABANI!E24*(1-0.928)*0.00206091519919798*VERI_TABANI!G24, 0)) + ((MIN(VERI_TABANI!D25, VERI_TABANI!D25*B546)*VERI_TABANI!$B$7 + MAX(0, VERI_TABANI!D25*B546-VERI_TABANI!D25)*VERI_TABANI!$B$8) + (MIN(MAX(0, VERI_TABANI!D25-VERI_TABANI!D25*B546), VERI_TABANI!D25*C546)*VERI_TABANI!$B$7 + MAX(0, VERI_TABANI!D25*C546-MAX(0, VERI_TABANI!D25-VERI_TABANI!D25*B546))*VERI_TABANI!$B$8) + IF(ABS(IF(ISNUMBER(SEARCH("Var", D546)), 1, IF(ISNUMBER(SEARCH("Gri", D546)), -1, 0)))=1, VERI_TABANI!E25*(1-0.928)*VERI_TABANI!$B$9, 0) + (VERI_TABANI!D25*B546*(VERI_TABANI!$B$13-VERI_TABANI!$B$14)*VERI_TABANI!G25) + (VERI_TABANI!D25*C546*(VERI_TABANI!$B$13-VERI_TABANI!$B$15)*VERI_TABANI!G25) + IF(ABS(IF(ISNUMBER(SEARCH("Var", D546)), 1, IF(ISNUMBER(SEARCH("Gri", D546)), -1, 0)))=1, VERI_TABANI!E25*(1-0.928)*0.00206091519919798*VERI_TABANI!G25, 0)) + ((MIN(VERI_TABANI!D26, VERI_TABANI!D26*B546)*VERI_TABANI!$B$7 + MAX(0, VERI_TABANI!D26*B546-VERI_TABANI!D26)*VERI_TABANI!$B$8) + (MIN(MAX(0, VERI_TABANI!D26-VERI_TABANI!D26*B546), VERI_TABANI!D26*C546)*VERI_TABANI!$B$7 + MAX(0, VERI_TABANI!D26*C546-MAX(0, VERI_TABANI!D26-VERI_TABANI!D26*B546))*VERI_TABANI!$B$8) + IF(ABS(IF(ISNUMBER(SEARCH("Var", D546)), 1, IF(ISNUMBER(SEARCH("Gri", D546)), -1, 0)))=1, VERI_TABANI!E26*(1-0.928)*VERI_TABANI!$B$9, 0) + (VERI_TABANI!D26*B546*(VERI_TABANI!$B$13-VERI_TABANI!$B$14)*VERI_TABANI!G26) + (VERI_TABANI!D26*C546*(VERI_TABANI!$B$13-VERI_TABANI!$B$15)*VERI_TABANI!G26) + IF(ABS(IF(ISNUMBER(SEARCH("Var", D546)), 1, IF(ISNUMBER(SEARCH("Gri", D546)), -1, 0)))=1, VERI_TABANI!E26*(1-0.928)*0.00206091519919798*VERI_TABANI!G26, 0)) + ((MIN(VERI_TABANI!D27, VERI_TABANI!D27*B546)*VERI_TABANI!$B$7 + MAX(0, VERI_TABANI!D27*B546-VERI_TABANI!D27)*VERI_TABANI!$B$8) + (MIN(MAX(0, VERI_TABANI!D27-VERI_TABANI!D27*B546), VERI_TABANI!D27*C546)*VERI_TABANI!$B$7 + MAX(0, VERI_TABANI!D27*C546-MAX(0, VERI_TABANI!D27-VERI_TABANI!D27*B546))*VERI_TABANI!$B$8) + IF(ABS(IF(ISNUMBER(SEARCH("Var", D546)), 1, IF(ISNUMBER(SEARCH("Gri", D546)), -1, 0)))=1, VERI_TABANI!E27*(1-0.928)*VERI_TABANI!$B$9, 0) + (VERI_TABANI!D27*B546*(VERI_TABANI!$B$13-VERI_TABANI!$B$14)*VERI_TABANI!G27) + (VERI_TABANI!D27*C546*(VERI_TABANI!$B$13-VERI_TABANI!$B$15)*VERI_TABANI!G27) + IF(ABS(IF(ISNUMBER(SEARCH("Var", D546)), 1, IF(ISNUMBER(SEARCH("Gri", D546)), -1, 0)))=1, VERI_TABANI!E27*(1-0.928)*0.00206091519919798*VERI_TABANI!G27, 0)) + ((MIN(VERI_TABANI!D28, VERI_TABANI!D28*B546)*VERI_TABANI!$B$7 + MAX(0, VERI_TABANI!D28*B546-VERI_TABANI!D28)*VERI_TABANI!$B$8) + (MIN(MAX(0, VERI_TABANI!D28-VERI_TABANI!D28*B546), VERI_TABANI!D28*C546)*VERI_TABANI!$B$7 + MAX(0, VERI_TABANI!D28*C546-MAX(0, VERI_TABANI!D28-VERI_TABANI!D28*B546))*VERI_TABANI!$B$8) + IF(ABS(IF(ISNUMBER(SEARCH("Var", D546)), 1, IF(ISNUMBER(SEARCH("Gri", D546)), -1, 0)))=1, VERI_TABANI!E28*(1-0.928)*VERI_TABANI!$B$9, 0) + (VERI_TABANI!D28*B546*(VERI_TABANI!$B$13-VERI_TABANI!$B$14)*VERI_TABANI!G28) + (VERI_TABANI!D28*C546*(VERI_TABANI!$B$13-VERI_TABANI!$B$15)*VERI_TABANI!G28) + IF(ABS(IF(ISNUMBER(SEARCH("Var", D546)), 1, IF(ISNUMBER(SEARCH("Gri", D546)), -1, 0)))=1, VERI_TABANI!E28*(1-0.928)*0.00206091519919798*VERI_TABANI!G28, 0)))</f>
        <v/>
      </c>
      <c r="H546" s="169">
        <f>(((VERI_TABANI!D23*B546*(VERI_TABANI!$B$13-VERI_TABANI!$B$14)) + (VERI_TABANI!D23*C546*(VERI_TABANI!$B$13-VERI_TABANI!$B$15)) + IF(ISNUMBER(SEARCH("Var", D546)), VERI_TABANI!F23*(0.00202-VERI_TABANI!$B$16), IF(ISNUMBER(SEARCH("Gri", D546)), VERI_TABANI!F23*(0.00202-VERI_TABANI!$B$17), 0))) + ((VERI_TABANI!D24*B546*(VERI_TABANI!$B$13-VERI_TABANI!$B$14)) + (VERI_TABANI!D24*C546*(VERI_TABANI!$B$13-VERI_TABANI!$B$15)) + IF(ISNUMBER(SEARCH("Var", D546)), VERI_TABANI!F24*(0.00202-VERI_TABANI!$B$16), IF(ISNUMBER(SEARCH("Gri", D546)), VERI_TABANI!F24*(0.00202-VERI_TABANI!$B$17), 0))) + ((VERI_TABANI!D25*B546*(VERI_TABANI!$B$13-VERI_TABANI!$B$14)) + (VERI_TABANI!D25*C546*(VERI_TABANI!$B$13-VERI_TABANI!$B$15)) + IF(ISNUMBER(SEARCH("Var", D546)), VERI_TABANI!F25*(0.00202-VERI_TABANI!$B$16), IF(ISNUMBER(SEARCH("Gri", D546)), VERI_TABANI!F25*(0.00202-VERI_TABANI!$B$17), 0))) + ((VERI_TABANI!D26*B546*(VERI_TABANI!$B$13-VERI_TABANI!$B$14)) + (VERI_TABANI!D26*C546*(VERI_TABANI!$B$13-VERI_TABANI!$B$15)) + IF(ISNUMBER(SEARCH("Var", D546)), VERI_TABANI!F26*(0.00202-VERI_TABANI!$B$16), IF(ISNUMBER(SEARCH("Gri", D546)), VERI_TABANI!F26*(0.00202-VERI_TABANI!$B$17), 0))) + ((VERI_TABANI!D27*B546*(VERI_TABANI!$B$13-VERI_TABANI!$B$14)) + (VERI_TABANI!D27*C546*(VERI_TABANI!$B$13-VERI_TABANI!$B$15)) + IF(ISNUMBER(SEARCH("Var", D546)), VERI_TABANI!F27*(0.00202-VERI_TABANI!$B$16), IF(ISNUMBER(SEARCH("Gri", D546)), VERI_TABANI!F27*(0.00202-VERI_TABANI!$B$17), 0))) + ((VERI_TABANI!D28*B546*(VERI_TABANI!$B$13-VERI_TABANI!$B$14)) + (VERI_TABANI!D28*C546*(VERI_TABANI!$B$13-VERI_TABANI!$B$15)) + IF(ISNUMBER(SEARCH("Var", D546)), VERI_TABANI!F28*(0.00202-VERI_TABANI!$B$16), IF(ISNUMBER(SEARCH("Gri", D546)), VERI_TABANI!F28*(0.00202-VERI_TABANI!$B$17), 0))))</f>
        <v/>
      </c>
      <c r="I546" s="170">
        <f>IFERROR(((VERI_TABANI!$D$29*B546*VERI_TABANI!$B$14 + VERI_TABANI!$D$29*C546*VERI_TABANI!$B$15 + IF(ISNUMBER(SEARCH("Var", D546)), VERI_TABANI!$F$29*VERI_TABANI!$B$16, 0))) / (((VERI_TABANI!$D$29*B546 + VERI_TABANI!$D$29*C546)*VERI_TABANI!$B$13 + IF(ISNUMBER(SEARCH("Var", D546)), VERI_TABANI!$E$29*(1-0.928)*VERI_TABANI!$B$18, 0))), 0)</f>
        <v/>
      </c>
      <c r="J546" s="171">
        <f>IFERROR(F546/(G546/29), 0)</f>
        <v/>
      </c>
      <c r="K546" s="172">
        <f>IF(F546&gt;0, H546/F546, 0)</f>
        <v/>
      </c>
      <c r="L546" s="170">
        <f>IF(F546&gt;0, I546, 1000000000)</f>
        <v/>
      </c>
      <c r="M546" s="171">
        <f>ABS((B546+C546)-1)</f>
        <v/>
      </c>
      <c r="N546" s="170">
        <f>IF(F546&gt;0, (G546/29)/F546, 0)</f>
        <v/>
      </c>
      <c r="O546" s="168">
        <f>IF(AND((B546+C546)&gt;=1, ISNUMBER(SEARCH("Var", D546))), F546, 1000000000)</f>
        <v/>
      </c>
      <c r="P546" s="172">
        <f>IF(F546&gt;0, SQRT((F546/MAX(F$5:F$886))^2 + (1 - H546/MAX(H$5:H$886))^2 + (J546/MAX(J$5:J$886))^2), 1000000000)</f>
        <v/>
      </c>
      <c r="Q546" s="166">
        <f>IF(AND(ABS(B546-0.5)&lt;0.01, ABS(C546-0.5)&lt;0.01, ISNUMBER(SEARCH("Var", D546))), 1, 0)</f>
        <v/>
      </c>
      <c r="R546" s="171">
        <f>IF(F546&gt;0, J546, 1000000000)</f>
        <v/>
      </c>
      <c r="S546" s="101">
        <f>IF(AND(F546&lt;=DASHBOARD!$B$11, H546&gt;=DASHBOARD!$B$13), G546, -1000000000000)</f>
        <v/>
      </c>
      <c r="T546" s="101">
        <f>IF(AND(F546&lt;=DASHBOARD!$B$11, H546&gt;=DASHBOARD!$B$13), R546, 1000000000000)</f>
        <v/>
      </c>
      <c r="U546" s="101">
        <f>IF(AND(F546&lt;=DASHBOARD!$B$11, H546&gt;=DASHBOARD!$B$13), N546, -1000000000000)</f>
        <v/>
      </c>
      <c r="V546" s="101">
        <f>IF(AND(F546&lt;=DASHBOARD!$B$11, H546&gt;=DASHBOARD!$B$13), H546, -1000000000000)</f>
        <v/>
      </c>
      <c r="W546" s="101">
        <f>IF(AND(F546&lt;=DASHBOARD!$B$11, H546&gt;=DASHBOARD!$B$13), K546, -1000000000000)</f>
        <v/>
      </c>
      <c r="X546" s="101">
        <f>IF(AND(F546&lt;=DASHBOARD!$B$11, H546&gt;=DASHBOARD!$B$13), M546, 1000000000000)</f>
        <v/>
      </c>
      <c r="Y546" s="101">
        <f>IF(AND(F546&lt;=DASHBOARD!$B$10, H546&gt;=DASHBOARD!$B$11), L546, 1000000000000)</f>
        <v/>
      </c>
      <c r="Z546" s="101">
        <f>IF(AND(F546&lt;=DASHBOARD!$B$10, H546&gt;=DASHBOARD!$B$11), O546, 1000000000000)</f>
        <v/>
      </c>
      <c r="AA546" s="101">
        <f>IF(AND(F546&lt;=DASHBOARD!$B$10, H546&gt;=DASHBOARD!$B$11), P546, 1000000000000)</f>
        <v/>
      </c>
      <c r="AB546" s="101">
        <f>IF(AND(F546&lt;=DASHBOARD!$B$10, H546&gt;=DASHBOARD!$B$11), Q546, -1000000000000)</f>
        <v/>
      </c>
    </row>
    <row r="547" ht="15" customHeight="1" s="102">
      <c r="A547" s="166" t="n">
        <v>543</v>
      </c>
      <c r="B547" s="167" t="n">
        <v>1.2</v>
      </c>
      <c r="C547" s="167" t="n">
        <v>1.9</v>
      </c>
      <c r="D547" s="110" t="inlineStr">
        <is>
          <t>Yok (%0)</t>
        </is>
      </c>
      <c r="E547" s="110">
        <f>IF((B547+C547)&lt;=1, "Tam Mahsuplaşma (≤%100)", "Kısmi Satış (&gt;%100)")</f>
        <v/>
      </c>
      <c r="F547" s="168">
        <f>((VERI_TABANI!$D$29*B547/VERI_TABANI!$B$29)/VERI_TABANI!$B$3)*VERI_TABANI!$B$5 + ((VERI_TABANI!$D$29*C547/VERI_TABANI!$B$29)/VERI_TABANI!$B$4)*VERI_TABANI!$B$6 + IF(ISNUMBER(SEARCH("Var", D547)), (VERI_TABANI!$F$29/VERI_TABANI!$B$29)*(VERI_TABANI!$B$10+VERI_TABANI!$B$12), 0)</f>
        <v/>
      </c>
      <c r="G547" s="168">
        <f>(((MIN(VERI_TABANI!D23, VERI_TABANI!D23*B547)*VERI_TABANI!$B$7 + MAX(0, VERI_TABANI!D23*B547-VERI_TABANI!D23)*VERI_TABANI!$B$8) + (MIN(MAX(0, VERI_TABANI!D23-VERI_TABANI!D23*B547), VERI_TABANI!D23*C547)*VERI_TABANI!$B$7 + MAX(0, VERI_TABANI!D23*C547-MAX(0, VERI_TABANI!D23-VERI_TABANI!D23*B547))*VERI_TABANI!$B$8) + IF(ABS(IF(ISNUMBER(SEARCH("Var", D547)), 1, IF(ISNUMBER(SEARCH("Gri", D547)), -1, 0)))=1, VERI_TABANI!E23*(1-0.928)*VERI_TABANI!$B$9, 0) + (VERI_TABANI!D23*B547*(VERI_TABANI!$B$13-VERI_TABANI!$B$14)*VERI_TABANI!G23) + (VERI_TABANI!D23*C547*(VERI_TABANI!$B$13-VERI_TABANI!$B$15)*VERI_TABANI!G23) + IF(ABS(IF(ISNUMBER(SEARCH("Var", D547)), 1, IF(ISNUMBER(SEARCH("Gri", D547)), -1, 0)))=1, VERI_TABANI!E23*(1-0.928)*0.00206091519919798*VERI_TABANI!G23, 0)) + ((MIN(VERI_TABANI!D24, VERI_TABANI!D24*B547)*VERI_TABANI!$B$7 + MAX(0, VERI_TABANI!D24*B547-VERI_TABANI!D24)*VERI_TABANI!$B$8) + (MIN(MAX(0, VERI_TABANI!D24-VERI_TABANI!D24*B547), VERI_TABANI!D24*C547)*VERI_TABANI!$B$7 + MAX(0, VERI_TABANI!D24*C547-MAX(0, VERI_TABANI!D24-VERI_TABANI!D24*B547))*VERI_TABANI!$B$8) + IF(ABS(IF(ISNUMBER(SEARCH("Var", D547)), 1, IF(ISNUMBER(SEARCH("Gri", D547)), -1, 0)))=1, VERI_TABANI!E24*(1-0.928)*VERI_TABANI!$B$9, 0) + (VERI_TABANI!D24*B547*(VERI_TABANI!$B$13-VERI_TABANI!$B$14)*VERI_TABANI!G24) + (VERI_TABANI!D24*C547*(VERI_TABANI!$B$13-VERI_TABANI!$B$15)*VERI_TABANI!G24) + IF(ABS(IF(ISNUMBER(SEARCH("Var", D547)), 1, IF(ISNUMBER(SEARCH("Gri", D547)), -1, 0)))=1, VERI_TABANI!E24*(1-0.928)*0.00206091519919798*VERI_TABANI!G24, 0)) + ((MIN(VERI_TABANI!D25, VERI_TABANI!D25*B547)*VERI_TABANI!$B$7 + MAX(0, VERI_TABANI!D25*B547-VERI_TABANI!D25)*VERI_TABANI!$B$8) + (MIN(MAX(0, VERI_TABANI!D25-VERI_TABANI!D25*B547), VERI_TABANI!D25*C547)*VERI_TABANI!$B$7 + MAX(0, VERI_TABANI!D25*C547-MAX(0, VERI_TABANI!D25-VERI_TABANI!D25*B547))*VERI_TABANI!$B$8) + IF(ABS(IF(ISNUMBER(SEARCH("Var", D547)), 1, IF(ISNUMBER(SEARCH("Gri", D547)), -1, 0)))=1, VERI_TABANI!E25*(1-0.928)*VERI_TABANI!$B$9, 0) + (VERI_TABANI!D25*B547*(VERI_TABANI!$B$13-VERI_TABANI!$B$14)*VERI_TABANI!G25) + (VERI_TABANI!D25*C547*(VERI_TABANI!$B$13-VERI_TABANI!$B$15)*VERI_TABANI!G25) + IF(ABS(IF(ISNUMBER(SEARCH("Var", D547)), 1, IF(ISNUMBER(SEARCH("Gri", D547)), -1, 0)))=1, VERI_TABANI!E25*(1-0.928)*0.00206091519919798*VERI_TABANI!G25, 0)) + ((MIN(VERI_TABANI!D26, VERI_TABANI!D26*B547)*VERI_TABANI!$B$7 + MAX(0, VERI_TABANI!D26*B547-VERI_TABANI!D26)*VERI_TABANI!$B$8) + (MIN(MAX(0, VERI_TABANI!D26-VERI_TABANI!D26*B547), VERI_TABANI!D26*C547)*VERI_TABANI!$B$7 + MAX(0, VERI_TABANI!D26*C547-MAX(0, VERI_TABANI!D26-VERI_TABANI!D26*B547))*VERI_TABANI!$B$8) + IF(ABS(IF(ISNUMBER(SEARCH("Var", D547)), 1, IF(ISNUMBER(SEARCH("Gri", D547)), -1, 0)))=1, VERI_TABANI!E26*(1-0.928)*VERI_TABANI!$B$9, 0) + (VERI_TABANI!D26*B547*(VERI_TABANI!$B$13-VERI_TABANI!$B$14)*VERI_TABANI!G26) + (VERI_TABANI!D26*C547*(VERI_TABANI!$B$13-VERI_TABANI!$B$15)*VERI_TABANI!G26) + IF(ABS(IF(ISNUMBER(SEARCH("Var", D547)), 1, IF(ISNUMBER(SEARCH("Gri", D547)), -1, 0)))=1, VERI_TABANI!E26*(1-0.928)*0.00206091519919798*VERI_TABANI!G26, 0)) + ((MIN(VERI_TABANI!D27, VERI_TABANI!D27*B547)*VERI_TABANI!$B$7 + MAX(0, VERI_TABANI!D27*B547-VERI_TABANI!D27)*VERI_TABANI!$B$8) + (MIN(MAX(0, VERI_TABANI!D27-VERI_TABANI!D27*B547), VERI_TABANI!D27*C547)*VERI_TABANI!$B$7 + MAX(0, VERI_TABANI!D27*C547-MAX(0, VERI_TABANI!D27-VERI_TABANI!D27*B547))*VERI_TABANI!$B$8) + IF(ABS(IF(ISNUMBER(SEARCH("Var", D547)), 1, IF(ISNUMBER(SEARCH("Gri", D547)), -1, 0)))=1, VERI_TABANI!E27*(1-0.928)*VERI_TABANI!$B$9, 0) + (VERI_TABANI!D27*B547*(VERI_TABANI!$B$13-VERI_TABANI!$B$14)*VERI_TABANI!G27) + (VERI_TABANI!D27*C547*(VERI_TABANI!$B$13-VERI_TABANI!$B$15)*VERI_TABANI!G27) + IF(ABS(IF(ISNUMBER(SEARCH("Var", D547)), 1, IF(ISNUMBER(SEARCH("Gri", D547)), -1, 0)))=1, VERI_TABANI!E27*(1-0.928)*0.00206091519919798*VERI_TABANI!G27, 0)) + ((MIN(VERI_TABANI!D28, VERI_TABANI!D28*B547)*VERI_TABANI!$B$7 + MAX(0, VERI_TABANI!D28*B547-VERI_TABANI!D28)*VERI_TABANI!$B$8) + (MIN(MAX(0, VERI_TABANI!D28-VERI_TABANI!D28*B547), VERI_TABANI!D28*C547)*VERI_TABANI!$B$7 + MAX(0, VERI_TABANI!D28*C547-MAX(0, VERI_TABANI!D28-VERI_TABANI!D28*B547))*VERI_TABANI!$B$8) + IF(ABS(IF(ISNUMBER(SEARCH("Var", D547)), 1, IF(ISNUMBER(SEARCH("Gri", D547)), -1, 0)))=1, VERI_TABANI!E28*(1-0.928)*VERI_TABANI!$B$9, 0) + (VERI_TABANI!D28*B547*(VERI_TABANI!$B$13-VERI_TABANI!$B$14)*VERI_TABANI!G28) + (VERI_TABANI!D28*C547*(VERI_TABANI!$B$13-VERI_TABANI!$B$15)*VERI_TABANI!G28) + IF(ABS(IF(ISNUMBER(SEARCH("Var", D547)), 1, IF(ISNUMBER(SEARCH("Gri", D547)), -1, 0)))=1, VERI_TABANI!E28*(1-0.928)*0.00206091519919798*VERI_TABANI!G28, 0)))</f>
        <v/>
      </c>
      <c r="H547" s="169">
        <f>(((VERI_TABANI!D23*B547*(VERI_TABANI!$B$13-VERI_TABANI!$B$14)) + (VERI_TABANI!D23*C547*(VERI_TABANI!$B$13-VERI_TABANI!$B$15)) + IF(ISNUMBER(SEARCH("Var", D547)), VERI_TABANI!F23*(0.00202-VERI_TABANI!$B$16), IF(ISNUMBER(SEARCH("Gri", D547)), VERI_TABANI!F23*(0.00202-VERI_TABANI!$B$17), 0))) + ((VERI_TABANI!D24*B547*(VERI_TABANI!$B$13-VERI_TABANI!$B$14)) + (VERI_TABANI!D24*C547*(VERI_TABANI!$B$13-VERI_TABANI!$B$15)) + IF(ISNUMBER(SEARCH("Var", D547)), VERI_TABANI!F24*(0.00202-VERI_TABANI!$B$16), IF(ISNUMBER(SEARCH("Gri", D547)), VERI_TABANI!F24*(0.00202-VERI_TABANI!$B$17), 0))) + ((VERI_TABANI!D25*B547*(VERI_TABANI!$B$13-VERI_TABANI!$B$14)) + (VERI_TABANI!D25*C547*(VERI_TABANI!$B$13-VERI_TABANI!$B$15)) + IF(ISNUMBER(SEARCH("Var", D547)), VERI_TABANI!F25*(0.00202-VERI_TABANI!$B$16), IF(ISNUMBER(SEARCH("Gri", D547)), VERI_TABANI!F25*(0.00202-VERI_TABANI!$B$17), 0))) + ((VERI_TABANI!D26*B547*(VERI_TABANI!$B$13-VERI_TABANI!$B$14)) + (VERI_TABANI!D26*C547*(VERI_TABANI!$B$13-VERI_TABANI!$B$15)) + IF(ISNUMBER(SEARCH("Var", D547)), VERI_TABANI!F26*(0.00202-VERI_TABANI!$B$16), IF(ISNUMBER(SEARCH("Gri", D547)), VERI_TABANI!F26*(0.00202-VERI_TABANI!$B$17), 0))) + ((VERI_TABANI!D27*B547*(VERI_TABANI!$B$13-VERI_TABANI!$B$14)) + (VERI_TABANI!D27*C547*(VERI_TABANI!$B$13-VERI_TABANI!$B$15)) + IF(ISNUMBER(SEARCH("Var", D547)), VERI_TABANI!F27*(0.00202-VERI_TABANI!$B$16), IF(ISNUMBER(SEARCH("Gri", D547)), VERI_TABANI!F27*(0.00202-VERI_TABANI!$B$17), 0))) + ((VERI_TABANI!D28*B547*(VERI_TABANI!$B$13-VERI_TABANI!$B$14)) + (VERI_TABANI!D28*C547*(VERI_TABANI!$B$13-VERI_TABANI!$B$15)) + IF(ISNUMBER(SEARCH("Var", D547)), VERI_TABANI!F28*(0.00202-VERI_TABANI!$B$16), IF(ISNUMBER(SEARCH("Gri", D547)), VERI_TABANI!F28*(0.00202-VERI_TABANI!$B$17), 0))))</f>
        <v/>
      </c>
      <c r="I547" s="170">
        <f>IFERROR(((VERI_TABANI!$D$29*B547*VERI_TABANI!$B$14 + VERI_TABANI!$D$29*C547*VERI_TABANI!$B$15 + IF(ISNUMBER(SEARCH("Var", D547)), VERI_TABANI!$F$29*VERI_TABANI!$B$16, 0))) / (((VERI_TABANI!$D$29*B547 + VERI_TABANI!$D$29*C547)*VERI_TABANI!$B$13 + IF(ISNUMBER(SEARCH("Var", D547)), VERI_TABANI!$E$29*(1-0.928)*VERI_TABANI!$B$18, 0))), 0)</f>
        <v/>
      </c>
      <c r="J547" s="171">
        <f>IFERROR(F547/(G547/29), 0)</f>
        <v/>
      </c>
      <c r="K547" s="172">
        <f>IF(F547&gt;0, H547/F547, 0)</f>
        <v/>
      </c>
      <c r="L547" s="170">
        <f>IF(F547&gt;0, I547, 1000000000)</f>
        <v/>
      </c>
      <c r="M547" s="171">
        <f>ABS((B547+C547)-1)</f>
        <v/>
      </c>
      <c r="N547" s="170">
        <f>IF(F547&gt;0, (G547/29)/F547, 0)</f>
        <v/>
      </c>
      <c r="O547" s="168">
        <f>IF(AND((B547+C547)&gt;=1, ISNUMBER(SEARCH("Var", D547))), F547, 1000000000)</f>
        <v/>
      </c>
      <c r="P547" s="172">
        <f>IF(F547&gt;0, SQRT((F547/MAX(F$5:F$886))^2 + (1 - H547/MAX(H$5:H$886))^2 + (J547/MAX(J$5:J$886))^2), 1000000000)</f>
        <v/>
      </c>
      <c r="Q547" s="166">
        <f>IF(AND(ABS(B547-0.5)&lt;0.01, ABS(C547-0.5)&lt;0.01, ISNUMBER(SEARCH("Var", D547))), 1, 0)</f>
        <v/>
      </c>
      <c r="R547" s="171">
        <f>IF(F547&gt;0, J547, 1000000000)</f>
        <v/>
      </c>
      <c r="S547" s="101">
        <f>IF(AND(F547&lt;=DASHBOARD!$B$11, H547&gt;=DASHBOARD!$B$13), G547, -1000000000000)</f>
        <v/>
      </c>
      <c r="T547" s="101">
        <f>IF(AND(F547&lt;=DASHBOARD!$B$11, H547&gt;=DASHBOARD!$B$13), R547, 1000000000000)</f>
        <v/>
      </c>
      <c r="U547" s="101">
        <f>IF(AND(F547&lt;=DASHBOARD!$B$11, H547&gt;=DASHBOARD!$B$13), N547, -1000000000000)</f>
        <v/>
      </c>
      <c r="V547" s="101">
        <f>IF(AND(F547&lt;=DASHBOARD!$B$11, H547&gt;=DASHBOARD!$B$13), H547, -1000000000000)</f>
        <v/>
      </c>
      <c r="W547" s="101">
        <f>IF(AND(F547&lt;=DASHBOARD!$B$11, H547&gt;=DASHBOARD!$B$13), K547, -1000000000000)</f>
        <v/>
      </c>
      <c r="X547" s="101">
        <f>IF(AND(F547&lt;=DASHBOARD!$B$11, H547&gt;=DASHBOARD!$B$13), M547, 1000000000000)</f>
        <v/>
      </c>
      <c r="Y547" s="101">
        <f>IF(AND(F547&lt;=DASHBOARD!$B$10, H547&gt;=DASHBOARD!$B$11), L547, 1000000000000)</f>
        <v/>
      </c>
      <c r="Z547" s="101">
        <f>IF(AND(F547&lt;=DASHBOARD!$B$10, H547&gt;=DASHBOARD!$B$11), O547, 1000000000000)</f>
        <v/>
      </c>
      <c r="AA547" s="101">
        <f>IF(AND(F547&lt;=DASHBOARD!$B$10, H547&gt;=DASHBOARD!$B$11), P547, 1000000000000)</f>
        <v/>
      </c>
      <c r="AB547" s="101">
        <f>IF(AND(F547&lt;=DASHBOARD!$B$10, H547&gt;=DASHBOARD!$B$11), Q547, -1000000000000)</f>
        <v/>
      </c>
    </row>
    <row r="548" ht="15" customHeight="1" s="102">
      <c r="A548" s="166" t="n">
        <v>544</v>
      </c>
      <c r="B548" s="167" t="n">
        <v>1.2</v>
      </c>
      <c r="C548" s="167" t="n">
        <v>1.9</v>
      </c>
      <c r="D548" s="110" t="inlineStr">
        <is>
          <t>Var (%20)</t>
        </is>
      </c>
      <c r="E548" s="110">
        <f>IF((B548+C548)&lt;=1, "Tam Mahsuplaşma (≤%100)", "Kısmi Satış (&gt;%100)")</f>
        <v/>
      </c>
      <c r="F548" s="168">
        <f>((VERI_TABANI!$D$29*B548/VERI_TABANI!$B$29)/VERI_TABANI!$B$3)*VERI_TABANI!$B$5 + ((VERI_TABANI!$D$29*C548/VERI_TABANI!$B$29)/VERI_TABANI!$B$4)*VERI_TABANI!$B$6 + IF(ISNUMBER(SEARCH("Var", D548)), (VERI_TABANI!$F$29/VERI_TABANI!$B$29)*(VERI_TABANI!$B$10+VERI_TABANI!$B$12), 0)</f>
        <v/>
      </c>
      <c r="G548" s="168">
        <f>(((MIN(VERI_TABANI!D23, VERI_TABANI!D23*B548)*VERI_TABANI!$B$7 + MAX(0, VERI_TABANI!D23*B548-VERI_TABANI!D23)*VERI_TABANI!$B$8) + (MIN(MAX(0, VERI_TABANI!D23-VERI_TABANI!D23*B548), VERI_TABANI!D23*C548)*VERI_TABANI!$B$7 + MAX(0, VERI_TABANI!D23*C548-MAX(0, VERI_TABANI!D23-VERI_TABANI!D23*B548))*VERI_TABANI!$B$8) + IF(ABS(IF(ISNUMBER(SEARCH("Var", D548)), 1, IF(ISNUMBER(SEARCH("Gri", D548)), -1, 0)))=1, VERI_TABANI!E23*(1-0.928)*VERI_TABANI!$B$9, 0) + (VERI_TABANI!D23*B548*(VERI_TABANI!$B$13-VERI_TABANI!$B$14)*VERI_TABANI!G23) + (VERI_TABANI!D23*C548*(VERI_TABANI!$B$13-VERI_TABANI!$B$15)*VERI_TABANI!G23) + IF(ABS(IF(ISNUMBER(SEARCH("Var", D548)), 1, IF(ISNUMBER(SEARCH("Gri", D548)), -1, 0)))=1, VERI_TABANI!E23*(1-0.928)*0.00206091519919798*VERI_TABANI!G23, 0)) + ((MIN(VERI_TABANI!D24, VERI_TABANI!D24*B548)*VERI_TABANI!$B$7 + MAX(0, VERI_TABANI!D24*B548-VERI_TABANI!D24)*VERI_TABANI!$B$8) + (MIN(MAX(0, VERI_TABANI!D24-VERI_TABANI!D24*B548), VERI_TABANI!D24*C548)*VERI_TABANI!$B$7 + MAX(0, VERI_TABANI!D24*C548-MAX(0, VERI_TABANI!D24-VERI_TABANI!D24*B548))*VERI_TABANI!$B$8) + IF(ABS(IF(ISNUMBER(SEARCH("Var", D548)), 1, IF(ISNUMBER(SEARCH("Gri", D548)), -1, 0)))=1, VERI_TABANI!E24*(1-0.928)*VERI_TABANI!$B$9, 0) + (VERI_TABANI!D24*B548*(VERI_TABANI!$B$13-VERI_TABANI!$B$14)*VERI_TABANI!G24) + (VERI_TABANI!D24*C548*(VERI_TABANI!$B$13-VERI_TABANI!$B$15)*VERI_TABANI!G24) + IF(ABS(IF(ISNUMBER(SEARCH("Var", D548)), 1, IF(ISNUMBER(SEARCH("Gri", D548)), -1, 0)))=1, VERI_TABANI!E24*(1-0.928)*0.00206091519919798*VERI_TABANI!G24, 0)) + ((MIN(VERI_TABANI!D25, VERI_TABANI!D25*B548)*VERI_TABANI!$B$7 + MAX(0, VERI_TABANI!D25*B548-VERI_TABANI!D25)*VERI_TABANI!$B$8) + (MIN(MAX(0, VERI_TABANI!D25-VERI_TABANI!D25*B548), VERI_TABANI!D25*C548)*VERI_TABANI!$B$7 + MAX(0, VERI_TABANI!D25*C548-MAX(0, VERI_TABANI!D25-VERI_TABANI!D25*B548))*VERI_TABANI!$B$8) + IF(ABS(IF(ISNUMBER(SEARCH("Var", D548)), 1, IF(ISNUMBER(SEARCH("Gri", D548)), -1, 0)))=1, VERI_TABANI!E25*(1-0.928)*VERI_TABANI!$B$9, 0) + (VERI_TABANI!D25*B548*(VERI_TABANI!$B$13-VERI_TABANI!$B$14)*VERI_TABANI!G25) + (VERI_TABANI!D25*C548*(VERI_TABANI!$B$13-VERI_TABANI!$B$15)*VERI_TABANI!G25) + IF(ABS(IF(ISNUMBER(SEARCH("Var", D548)), 1, IF(ISNUMBER(SEARCH("Gri", D548)), -1, 0)))=1, VERI_TABANI!E25*(1-0.928)*0.00206091519919798*VERI_TABANI!G25, 0)) + ((MIN(VERI_TABANI!D26, VERI_TABANI!D26*B548)*VERI_TABANI!$B$7 + MAX(0, VERI_TABANI!D26*B548-VERI_TABANI!D26)*VERI_TABANI!$B$8) + (MIN(MAX(0, VERI_TABANI!D26-VERI_TABANI!D26*B548), VERI_TABANI!D26*C548)*VERI_TABANI!$B$7 + MAX(0, VERI_TABANI!D26*C548-MAX(0, VERI_TABANI!D26-VERI_TABANI!D26*B548))*VERI_TABANI!$B$8) + IF(ABS(IF(ISNUMBER(SEARCH("Var", D548)), 1, IF(ISNUMBER(SEARCH("Gri", D548)), -1, 0)))=1, VERI_TABANI!E26*(1-0.928)*VERI_TABANI!$B$9, 0) + (VERI_TABANI!D26*B548*(VERI_TABANI!$B$13-VERI_TABANI!$B$14)*VERI_TABANI!G26) + (VERI_TABANI!D26*C548*(VERI_TABANI!$B$13-VERI_TABANI!$B$15)*VERI_TABANI!G26) + IF(ABS(IF(ISNUMBER(SEARCH("Var", D548)), 1, IF(ISNUMBER(SEARCH("Gri", D548)), -1, 0)))=1, VERI_TABANI!E26*(1-0.928)*0.00206091519919798*VERI_TABANI!G26, 0)) + ((MIN(VERI_TABANI!D27, VERI_TABANI!D27*B548)*VERI_TABANI!$B$7 + MAX(0, VERI_TABANI!D27*B548-VERI_TABANI!D27)*VERI_TABANI!$B$8) + (MIN(MAX(0, VERI_TABANI!D27-VERI_TABANI!D27*B548), VERI_TABANI!D27*C548)*VERI_TABANI!$B$7 + MAX(0, VERI_TABANI!D27*C548-MAX(0, VERI_TABANI!D27-VERI_TABANI!D27*B548))*VERI_TABANI!$B$8) + IF(ABS(IF(ISNUMBER(SEARCH("Var", D548)), 1, IF(ISNUMBER(SEARCH("Gri", D548)), -1, 0)))=1, VERI_TABANI!E27*(1-0.928)*VERI_TABANI!$B$9, 0) + (VERI_TABANI!D27*B548*(VERI_TABANI!$B$13-VERI_TABANI!$B$14)*VERI_TABANI!G27) + (VERI_TABANI!D27*C548*(VERI_TABANI!$B$13-VERI_TABANI!$B$15)*VERI_TABANI!G27) + IF(ABS(IF(ISNUMBER(SEARCH("Var", D548)), 1, IF(ISNUMBER(SEARCH("Gri", D548)), -1, 0)))=1, VERI_TABANI!E27*(1-0.928)*0.00206091519919798*VERI_TABANI!G27, 0)) + ((MIN(VERI_TABANI!D28, VERI_TABANI!D28*B548)*VERI_TABANI!$B$7 + MAX(0, VERI_TABANI!D28*B548-VERI_TABANI!D28)*VERI_TABANI!$B$8) + (MIN(MAX(0, VERI_TABANI!D28-VERI_TABANI!D28*B548), VERI_TABANI!D28*C548)*VERI_TABANI!$B$7 + MAX(0, VERI_TABANI!D28*C548-MAX(0, VERI_TABANI!D28-VERI_TABANI!D28*B548))*VERI_TABANI!$B$8) + IF(ABS(IF(ISNUMBER(SEARCH("Var", D548)), 1, IF(ISNUMBER(SEARCH("Gri", D548)), -1, 0)))=1, VERI_TABANI!E28*(1-0.928)*VERI_TABANI!$B$9, 0) + (VERI_TABANI!D28*B548*(VERI_TABANI!$B$13-VERI_TABANI!$B$14)*VERI_TABANI!G28) + (VERI_TABANI!D28*C548*(VERI_TABANI!$B$13-VERI_TABANI!$B$15)*VERI_TABANI!G28) + IF(ABS(IF(ISNUMBER(SEARCH("Var", D548)), 1, IF(ISNUMBER(SEARCH("Gri", D548)), -1, 0)))=1, VERI_TABANI!E28*(1-0.928)*0.00206091519919798*VERI_TABANI!G28, 0)))</f>
        <v/>
      </c>
      <c r="H548" s="169">
        <f>(((VERI_TABANI!D23*B548*(VERI_TABANI!$B$13-VERI_TABANI!$B$14)) + (VERI_TABANI!D23*C548*(VERI_TABANI!$B$13-VERI_TABANI!$B$15)) + IF(ISNUMBER(SEARCH("Var", D548)), VERI_TABANI!F23*(0.00202-VERI_TABANI!$B$16), IF(ISNUMBER(SEARCH("Gri", D548)), VERI_TABANI!F23*(0.00202-VERI_TABANI!$B$17), 0))) + ((VERI_TABANI!D24*B548*(VERI_TABANI!$B$13-VERI_TABANI!$B$14)) + (VERI_TABANI!D24*C548*(VERI_TABANI!$B$13-VERI_TABANI!$B$15)) + IF(ISNUMBER(SEARCH("Var", D548)), VERI_TABANI!F24*(0.00202-VERI_TABANI!$B$16), IF(ISNUMBER(SEARCH("Gri", D548)), VERI_TABANI!F24*(0.00202-VERI_TABANI!$B$17), 0))) + ((VERI_TABANI!D25*B548*(VERI_TABANI!$B$13-VERI_TABANI!$B$14)) + (VERI_TABANI!D25*C548*(VERI_TABANI!$B$13-VERI_TABANI!$B$15)) + IF(ISNUMBER(SEARCH("Var", D548)), VERI_TABANI!F25*(0.00202-VERI_TABANI!$B$16), IF(ISNUMBER(SEARCH("Gri", D548)), VERI_TABANI!F25*(0.00202-VERI_TABANI!$B$17), 0))) + ((VERI_TABANI!D26*B548*(VERI_TABANI!$B$13-VERI_TABANI!$B$14)) + (VERI_TABANI!D26*C548*(VERI_TABANI!$B$13-VERI_TABANI!$B$15)) + IF(ISNUMBER(SEARCH("Var", D548)), VERI_TABANI!F26*(0.00202-VERI_TABANI!$B$16), IF(ISNUMBER(SEARCH("Gri", D548)), VERI_TABANI!F26*(0.00202-VERI_TABANI!$B$17), 0))) + ((VERI_TABANI!D27*B548*(VERI_TABANI!$B$13-VERI_TABANI!$B$14)) + (VERI_TABANI!D27*C548*(VERI_TABANI!$B$13-VERI_TABANI!$B$15)) + IF(ISNUMBER(SEARCH("Var", D548)), VERI_TABANI!F27*(0.00202-VERI_TABANI!$B$16), IF(ISNUMBER(SEARCH("Gri", D548)), VERI_TABANI!F27*(0.00202-VERI_TABANI!$B$17), 0))) + ((VERI_TABANI!D28*B548*(VERI_TABANI!$B$13-VERI_TABANI!$B$14)) + (VERI_TABANI!D28*C548*(VERI_TABANI!$B$13-VERI_TABANI!$B$15)) + IF(ISNUMBER(SEARCH("Var", D548)), VERI_TABANI!F28*(0.00202-VERI_TABANI!$B$16), IF(ISNUMBER(SEARCH("Gri", D548)), VERI_TABANI!F28*(0.00202-VERI_TABANI!$B$17), 0))))</f>
        <v/>
      </c>
      <c r="I548" s="170">
        <f>IFERROR(((VERI_TABANI!$D$29*B548*VERI_TABANI!$B$14 + VERI_TABANI!$D$29*C548*VERI_TABANI!$B$15 + IF(ISNUMBER(SEARCH("Var", D548)), VERI_TABANI!$F$29*VERI_TABANI!$B$16, 0))) / (((VERI_TABANI!$D$29*B548 + VERI_TABANI!$D$29*C548)*VERI_TABANI!$B$13 + IF(ISNUMBER(SEARCH("Var", D548)), VERI_TABANI!$E$29*(1-0.928)*VERI_TABANI!$B$18, 0))), 0)</f>
        <v/>
      </c>
      <c r="J548" s="171">
        <f>IFERROR(F548/(G548/29), 0)</f>
        <v/>
      </c>
      <c r="K548" s="172">
        <f>IF(F548&gt;0, H548/F548, 0)</f>
        <v/>
      </c>
      <c r="L548" s="170">
        <f>IF(F548&gt;0, I548, 1000000000)</f>
        <v/>
      </c>
      <c r="M548" s="171">
        <f>ABS((B548+C548)-1)</f>
        <v/>
      </c>
      <c r="N548" s="170">
        <f>IF(F548&gt;0, (G548/29)/F548, 0)</f>
        <v/>
      </c>
      <c r="O548" s="168">
        <f>IF(AND((B548+C548)&gt;=1, ISNUMBER(SEARCH("Var", D548))), F548, 1000000000)</f>
        <v/>
      </c>
      <c r="P548" s="172">
        <f>IF(F548&gt;0, SQRT((F548/MAX(F$5:F$886))^2 + (1 - H548/MAX(H$5:H$886))^2 + (J548/MAX(J$5:J$886))^2), 1000000000)</f>
        <v/>
      </c>
      <c r="Q548" s="166">
        <f>IF(AND(ABS(B548-0.5)&lt;0.01, ABS(C548-0.5)&lt;0.01, ISNUMBER(SEARCH("Var", D548))), 1, 0)</f>
        <v/>
      </c>
      <c r="R548" s="171">
        <f>IF(F548&gt;0, J548, 1000000000)</f>
        <v/>
      </c>
      <c r="S548" s="101">
        <f>IF(AND(F548&lt;=DASHBOARD!$B$11, H548&gt;=DASHBOARD!$B$13), G548, -1000000000000)</f>
        <v/>
      </c>
      <c r="T548" s="101">
        <f>IF(AND(F548&lt;=DASHBOARD!$B$11, H548&gt;=DASHBOARD!$B$13), R548, 1000000000000)</f>
        <v/>
      </c>
      <c r="U548" s="101">
        <f>IF(AND(F548&lt;=DASHBOARD!$B$11, H548&gt;=DASHBOARD!$B$13), N548, -1000000000000)</f>
        <v/>
      </c>
      <c r="V548" s="101">
        <f>IF(AND(F548&lt;=DASHBOARD!$B$11, H548&gt;=DASHBOARD!$B$13), H548, -1000000000000)</f>
        <v/>
      </c>
      <c r="W548" s="101">
        <f>IF(AND(F548&lt;=DASHBOARD!$B$11, H548&gt;=DASHBOARD!$B$13), K548, -1000000000000)</f>
        <v/>
      </c>
      <c r="X548" s="101">
        <f>IF(AND(F548&lt;=DASHBOARD!$B$11, H548&gt;=DASHBOARD!$B$13), M548, 1000000000000)</f>
        <v/>
      </c>
      <c r="Y548" s="101">
        <f>IF(AND(F548&lt;=DASHBOARD!$B$10, H548&gt;=DASHBOARD!$B$11), L548, 1000000000000)</f>
        <v/>
      </c>
      <c r="Z548" s="101">
        <f>IF(AND(F548&lt;=DASHBOARD!$B$10, H548&gt;=DASHBOARD!$B$11), O548, 1000000000000)</f>
        <v/>
      </c>
      <c r="AA548" s="101">
        <f>IF(AND(F548&lt;=DASHBOARD!$B$10, H548&gt;=DASHBOARD!$B$11), P548, 1000000000000)</f>
        <v/>
      </c>
      <c r="AB548" s="101">
        <f>IF(AND(F548&lt;=DASHBOARD!$B$10, H548&gt;=DASHBOARD!$B$11), Q548, -1000000000000)</f>
        <v/>
      </c>
    </row>
    <row r="549" ht="15" customHeight="1" s="102">
      <c r="A549" s="166" t="n">
        <v>545</v>
      </c>
      <c r="B549" s="167" t="n">
        <v>1.2</v>
      </c>
      <c r="C549" s="167" t="n">
        <v>2</v>
      </c>
      <c r="D549" s="110" t="inlineStr">
        <is>
          <t>Yok (%0)</t>
        </is>
      </c>
      <c r="E549" s="110">
        <f>IF((B549+C549)&lt;=1, "Tam Mahsuplaşma (≤%100)", "Kısmi Satış (&gt;%100)")</f>
        <v/>
      </c>
      <c r="F549" s="168">
        <f>((VERI_TABANI!$D$29*B549/VERI_TABANI!$B$29)/VERI_TABANI!$B$3)*VERI_TABANI!$B$5 + ((VERI_TABANI!$D$29*C549/VERI_TABANI!$B$29)/VERI_TABANI!$B$4)*VERI_TABANI!$B$6 + IF(ISNUMBER(SEARCH("Var", D549)), (VERI_TABANI!$F$29/VERI_TABANI!$B$29)*(VERI_TABANI!$B$10+VERI_TABANI!$B$12), 0)</f>
        <v/>
      </c>
      <c r="G549" s="168">
        <f>(((MIN(VERI_TABANI!D23, VERI_TABANI!D23*B549)*VERI_TABANI!$B$7 + MAX(0, VERI_TABANI!D23*B549-VERI_TABANI!D23)*VERI_TABANI!$B$8) + (MIN(MAX(0, VERI_TABANI!D23-VERI_TABANI!D23*B549), VERI_TABANI!D23*C549)*VERI_TABANI!$B$7 + MAX(0, VERI_TABANI!D23*C549-MAX(0, VERI_TABANI!D23-VERI_TABANI!D23*B549))*VERI_TABANI!$B$8) + IF(ABS(IF(ISNUMBER(SEARCH("Var", D549)), 1, IF(ISNUMBER(SEARCH("Gri", D549)), -1, 0)))=1, VERI_TABANI!E23*(1-0.928)*VERI_TABANI!$B$9, 0) + (VERI_TABANI!D23*B549*(VERI_TABANI!$B$13-VERI_TABANI!$B$14)*VERI_TABANI!G23) + (VERI_TABANI!D23*C549*(VERI_TABANI!$B$13-VERI_TABANI!$B$15)*VERI_TABANI!G23) + IF(ABS(IF(ISNUMBER(SEARCH("Var", D549)), 1, IF(ISNUMBER(SEARCH("Gri", D549)), -1, 0)))=1, VERI_TABANI!E23*(1-0.928)*0.00206091519919798*VERI_TABANI!G23, 0)) + ((MIN(VERI_TABANI!D24, VERI_TABANI!D24*B549)*VERI_TABANI!$B$7 + MAX(0, VERI_TABANI!D24*B549-VERI_TABANI!D24)*VERI_TABANI!$B$8) + (MIN(MAX(0, VERI_TABANI!D24-VERI_TABANI!D24*B549), VERI_TABANI!D24*C549)*VERI_TABANI!$B$7 + MAX(0, VERI_TABANI!D24*C549-MAX(0, VERI_TABANI!D24-VERI_TABANI!D24*B549))*VERI_TABANI!$B$8) + IF(ABS(IF(ISNUMBER(SEARCH("Var", D549)), 1, IF(ISNUMBER(SEARCH("Gri", D549)), -1, 0)))=1, VERI_TABANI!E24*(1-0.928)*VERI_TABANI!$B$9, 0) + (VERI_TABANI!D24*B549*(VERI_TABANI!$B$13-VERI_TABANI!$B$14)*VERI_TABANI!G24) + (VERI_TABANI!D24*C549*(VERI_TABANI!$B$13-VERI_TABANI!$B$15)*VERI_TABANI!G24) + IF(ABS(IF(ISNUMBER(SEARCH("Var", D549)), 1, IF(ISNUMBER(SEARCH("Gri", D549)), -1, 0)))=1, VERI_TABANI!E24*(1-0.928)*0.00206091519919798*VERI_TABANI!G24, 0)) + ((MIN(VERI_TABANI!D25, VERI_TABANI!D25*B549)*VERI_TABANI!$B$7 + MAX(0, VERI_TABANI!D25*B549-VERI_TABANI!D25)*VERI_TABANI!$B$8) + (MIN(MAX(0, VERI_TABANI!D25-VERI_TABANI!D25*B549), VERI_TABANI!D25*C549)*VERI_TABANI!$B$7 + MAX(0, VERI_TABANI!D25*C549-MAX(0, VERI_TABANI!D25-VERI_TABANI!D25*B549))*VERI_TABANI!$B$8) + IF(ABS(IF(ISNUMBER(SEARCH("Var", D549)), 1, IF(ISNUMBER(SEARCH("Gri", D549)), -1, 0)))=1, VERI_TABANI!E25*(1-0.928)*VERI_TABANI!$B$9, 0) + (VERI_TABANI!D25*B549*(VERI_TABANI!$B$13-VERI_TABANI!$B$14)*VERI_TABANI!G25) + (VERI_TABANI!D25*C549*(VERI_TABANI!$B$13-VERI_TABANI!$B$15)*VERI_TABANI!G25) + IF(ABS(IF(ISNUMBER(SEARCH("Var", D549)), 1, IF(ISNUMBER(SEARCH("Gri", D549)), -1, 0)))=1, VERI_TABANI!E25*(1-0.928)*0.00206091519919798*VERI_TABANI!G25, 0)) + ((MIN(VERI_TABANI!D26, VERI_TABANI!D26*B549)*VERI_TABANI!$B$7 + MAX(0, VERI_TABANI!D26*B549-VERI_TABANI!D26)*VERI_TABANI!$B$8) + (MIN(MAX(0, VERI_TABANI!D26-VERI_TABANI!D26*B549), VERI_TABANI!D26*C549)*VERI_TABANI!$B$7 + MAX(0, VERI_TABANI!D26*C549-MAX(0, VERI_TABANI!D26-VERI_TABANI!D26*B549))*VERI_TABANI!$B$8) + IF(ABS(IF(ISNUMBER(SEARCH("Var", D549)), 1, IF(ISNUMBER(SEARCH("Gri", D549)), -1, 0)))=1, VERI_TABANI!E26*(1-0.928)*VERI_TABANI!$B$9, 0) + (VERI_TABANI!D26*B549*(VERI_TABANI!$B$13-VERI_TABANI!$B$14)*VERI_TABANI!G26) + (VERI_TABANI!D26*C549*(VERI_TABANI!$B$13-VERI_TABANI!$B$15)*VERI_TABANI!G26) + IF(ABS(IF(ISNUMBER(SEARCH("Var", D549)), 1, IF(ISNUMBER(SEARCH("Gri", D549)), -1, 0)))=1, VERI_TABANI!E26*(1-0.928)*0.00206091519919798*VERI_TABANI!G26, 0)) + ((MIN(VERI_TABANI!D27, VERI_TABANI!D27*B549)*VERI_TABANI!$B$7 + MAX(0, VERI_TABANI!D27*B549-VERI_TABANI!D27)*VERI_TABANI!$B$8) + (MIN(MAX(0, VERI_TABANI!D27-VERI_TABANI!D27*B549), VERI_TABANI!D27*C549)*VERI_TABANI!$B$7 + MAX(0, VERI_TABANI!D27*C549-MAX(0, VERI_TABANI!D27-VERI_TABANI!D27*B549))*VERI_TABANI!$B$8) + IF(ABS(IF(ISNUMBER(SEARCH("Var", D549)), 1, IF(ISNUMBER(SEARCH("Gri", D549)), -1, 0)))=1, VERI_TABANI!E27*(1-0.928)*VERI_TABANI!$B$9, 0) + (VERI_TABANI!D27*B549*(VERI_TABANI!$B$13-VERI_TABANI!$B$14)*VERI_TABANI!G27) + (VERI_TABANI!D27*C549*(VERI_TABANI!$B$13-VERI_TABANI!$B$15)*VERI_TABANI!G27) + IF(ABS(IF(ISNUMBER(SEARCH("Var", D549)), 1, IF(ISNUMBER(SEARCH("Gri", D549)), -1, 0)))=1, VERI_TABANI!E27*(1-0.928)*0.00206091519919798*VERI_TABANI!G27, 0)) + ((MIN(VERI_TABANI!D28, VERI_TABANI!D28*B549)*VERI_TABANI!$B$7 + MAX(0, VERI_TABANI!D28*B549-VERI_TABANI!D28)*VERI_TABANI!$B$8) + (MIN(MAX(0, VERI_TABANI!D28-VERI_TABANI!D28*B549), VERI_TABANI!D28*C549)*VERI_TABANI!$B$7 + MAX(0, VERI_TABANI!D28*C549-MAX(0, VERI_TABANI!D28-VERI_TABANI!D28*B549))*VERI_TABANI!$B$8) + IF(ABS(IF(ISNUMBER(SEARCH("Var", D549)), 1, IF(ISNUMBER(SEARCH("Gri", D549)), -1, 0)))=1, VERI_TABANI!E28*(1-0.928)*VERI_TABANI!$B$9, 0) + (VERI_TABANI!D28*B549*(VERI_TABANI!$B$13-VERI_TABANI!$B$14)*VERI_TABANI!G28) + (VERI_TABANI!D28*C549*(VERI_TABANI!$B$13-VERI_TABANI!$B$15)*VERI_TABANI!G28) + IF(ABS(IF(ISNUMBER(SEARCH("Var", D549)), 1, IF(ISNUMBER(SEARCH("Gri", D549)), -1, 0)))=1, VERI_TABANI!E28*(1-0.928)*0.00206091519919798*VERI_TABANI!G28, 0)))</f>
        <v/>
      </c>
      <c r="H549" s="169">
        <f>(((VERI_TABANI!D23*B549*(VERI_TABANI!$B$13-VERI_TABANI!$B$14)) + (VERI_TABANI!D23*C549*(VERI_TABANI!$B$13-VERI_TABANI!$B$15)) + IF(ISNUMBER(SEARCH("Var", D549)), VERI_TABANI!F23*(0.00202-VERI_TABANI!$B$16), IF(ISNUMBER(SEARCH("Gri", D549)), VERI_TABANI!F23*(0.00202-VERI_TABANI!$B$17), 0))) + ((VERI_TABANI!D24*B549*(VERI_TABANI!$B$13-VERI_TABANI!$B$14)) + (VERI_TABANI!D24*C549*(VERI_TABANI!$B$13-VERI_TABANI!$B$15)) + IF(ISNUMBER(SEARCH("Var", D549)), VERI_TABANI!F24*(0.00202-VERI_TABANI!$B$16), IF(ISNUMBER(SEARCH("Gri", D549)), VERI_TABANI!F24*(0.00202-VERI_TABANI!$B$17), 0))) + ((VERI_TABANI!D25*B549*(VERI_TABANI!$B$13-VERI_TABANI!$B$14)) + (VERI_TABANI!D25*C549*(VERI_TABANI!$B$13-VERI_TABANI!$B$15)) + IF(ISNUMBER(SEARCH("Var", D549)), VERI_TABANI!F25*(0.00202-VERI_TABANI!$B$16), IF(ISNUMBER(SEARCH("Gri", D549)), VERI_TABANI!F25*(0.00202-VERI_TABANI!$B$17), 0))) + ((VERI_TABANI!D26*B549*(VERI_TABANI!$B$13-VERI_TABANI!$B$14)) + (VERI_TABANI!D26*C549*(VERI_TABANI!$B$13-VERI_TABANI!$B$15)) + IF(ISNUMBER(SEARCH("Var", D549)), VERI_TABANI!F26*(0.00202-VERI_TABANI!$B$16), IF(ISNUMBER(SEARCH("Gri", D549)), VERI_TABANI!F26*(0.00202-VERI_TABANI!$B$17), 0))) + ((VERI_TABANI!D27*B549*(VERI_TABANI!$B$13-VERI_TABANI!$B$14)) + (VERI_TABANI!D27*C549*(VERI_TABANI!$B$13-VERI_TABANI!$B$15)) + IF(ISNUMBER(SEARCH("Var", D549)), VERI_TABANI!F27*(0.00202-VERI_TABANI!$B$16), IF(ISNUMBER(SEARCH("Gri", D549)), VERI_TABANI!F27*(0.00202-VERI_TABANI!$B$17), 0))) + ((VERI_TABANI!D28*B549*(VERI_TABANI!$B$13-VERI_TABANI!$B$14)) + (VERI_TABANI!D28*C549*(VERI_TABANI!$B$13-VERI_TABANI!$B$15)) + IF(ISNUMBER(SEARCH("Var", D549)), VERI_TABANI!F28*(0.00202-VERI_TABANI!$B$16), IF(ISNUMBER(SEARCH("Gri", D549)), VERI_TABANI!F28*(0.00202-VERI_TABANI!$B$17), 0))))</f>
        <v/>
      </c>
      <c r="I549" s="170">
        <f>IFERROR(((VERI_TABANI!$D$29*B549*VERI_TABANI!$B$14 + VERI_TABANI!$D$29*C549*VERI_TABANI!$B$15 + IF(ISNUMBER(SEARCH("Var", D549)), VERI_TABANI!$F$29*VERI_TABANI!$B$16, 0))) / (((VERI_TABANI!$D$29*B549 + VERI_TABANI!$D$29*C549)*VERI_TABANI!$B$13 + IF(ISNUMBER(SEARCH("Var", D549)), VERI_TABANI!$E$29*(1-0.928)*VERI_TABANI!$B$18, 0))), 0)</f>
        <v/>
      </c>
      <c r="J549" s="171">
        <f>IFERROR(F549/(G549/29), 0)</f>
        <v/>
      </c>
      <c r="K549" s="172">
        <f>IF(F549&gt;0, H549/F549, 0)</f>
        <v/>
      </c>
      <c r="L549" s="170">
        <f>IF(F549&gt;0, I549, 1000000000)</f>
        <v/>
      </c>
      <c r="M549" s="171">
        <f>ABS((B549+C549)-1)</f>
        <v/>
      </c>
      <c r="N549" s="170">
        <f>IF(F549&gt;0, (G549/29)/F549, 0)</f>
        <v/>
      </c>
      <c r="O549" s="168">
        <f>IF(AND((B549+C549)&gt;=1, ISNUMBER(SEARCH("Var", D549))), F549, 1000000000)</f>
        <v/>
      </c>
      <c r="P549" s="172">
        <f>IF(F549&gt;0, SQRT((F549/MAX(F$5:F$886))^2 + (1 - H549/MAX(H$5:H$886))^2 + (J549/MAX(J$5:J$886))^2), 1000000000)</f>
        <v/>
      </c>
      <c r="Q549" s="166">
        <f>IF(AND(ABS(B549-0.5)&lt;0.01, ABS(C549-0.5)&lt;0.01, ISNUMBER(SEARCH("Var", D549))), 1, 0)</f>
        <v/>
      </c>
      <c r="R549" s="171">
        <f>IF(F549&gt;0, J549, 1000000000)</f>
        <v/>
      </c>
      <c r="S549" s="101">
        <f>IF(AND(F549&lt;=DASHBOARD!$B$11, H549&gt;=DASHBOARD!$B$13), G549, -1000000000000)</f>
        <v/>
      </c>
      <c r="T549" s="101">
        <f>IF(AND(F549&lt;=DASHBOARD!$B$11, H549&gt;=DASHBOARD!$B$13), R549, 1000000000000)</f>
        <v/>
      </c>
      <c r="U549" s="101">
        <f>IF(AND(F549&lt;=DASHBOARD!$B$11, H549&gt;=DASHBOARD!$B$13), N549, -1000000000000)</f>
        <v/>
      </c>
      <c r="V549" s="101">
        <f>IF(AND(F549&lt;=DASHBOARD!$B$11, H549&gt;=DASHBOARD!$B$13), H549, -1000000000000)</f>
        <v/>
      </c>
      <c r="W549" s="101">
        <f>IF(AND(F549&lt;=DASHBOARD!$B$11, H549&gt;=DASHBOARD!$B$13), K549, -1000000000000)</f>
        <v/>
      </c>
      <c r="X549" s="101">
        <f>IF(AND(F549&lt;=DASHBOARD!$B$11, H549&gt;=DASHBOARD!$B$13), M549, 1000000000000)</f>
        <v/>
      </c>
      <c r="Y549" s="101">
        <f>IF(AND(F549&lt;=DASHBOARD!$B$10, H549&gt;=DASHBOARD!$B$11), L549, 1000000000000)</f>
        <v/>
      </c>
      <c r="Z549" s="101">
        <f>IF(AND(F549&lt;=DASHBOARD!$B$10, H549&gt;=DASHBOARD!$B$11), O549, 1000000000000)</f>
        <v/>
      </c>
      <c r="AA549" s="101">
        <f>IF(AND(F549&lt;=DASHBOARD!$B$10, H549&gt;=DASHBOARD!$B$11), P549, 1000000000000)</f>
        <v/>
      </c>
      <c r="AB549" s="101">
        <f>IF(AND(F549&lt;=DASHBOARD!$B$10, H549&gt;=DASHBOARD!$B$11), Q549, -1000000000000)</f>
        <v/>
      </c>
    </row>
    <row r="550" ht="15" customHeight="1" s="102">
      <c r="A550" s="166" t="n">
        <v>546</v>
      </c>
      <c r="B550" s="167" t="n">
        <v>1.2</v>
      </c>
      <c r="C550" s="167" t="n">
        <v>2</v>
      </c>
      <c r="D550" s="110" t="inlineStr">
        <is>
          <t>Var (%20)</t>
        </is>
      </c>
      <c r="E550" s="110">
        <f>IF((B550+C550)&lt;=1, "Tam Mahsuplaşma (≤%100)", "Kısmi Satış (&gt;%100)")</f>
        <v/>
      </c>
      <c r="F550" s="168">
        <f>((VERI_TABANI!$D$29*B550/VERI_TABANI!$B$29)/VERI_TABANI!$B$3)*VERI_TABANI!$B$5 + ((VERI_TABANI!$D$29*C550/VERI_TABANI!$B$29)/VERI_TABANI!$B$4)*VERI_TABANI!$B$6 + IF(ISNUMBER(SEARCH("Var", D550)), (VERI_TABANI!$F$29/VERI_TABANI!$B$29)*(VERI_TABANI!$B$10+VERI_TABANI!$B$12), 0)</f>
        <v/>
      </c>
      <c r="G550" s="168">
        <f>(((MIN(VERI_TABANI!D23, VERI_TABANI!D23*B550)*VERI_TABANI!$B$7 + MAX(0, VERI_TABANI!D23*B550-VERI_TABANI!D23)*VERI_TABANI!$B$8) + (MIN(MAX(0, VERI_TABANI!D23-VERI_TABANI!D23*B550), VERI_TABANI!D23*C550)*VERI_TABANI!$B$7 + MAX(0, VERI_TABANI!D23*C550-MAX(0, VERI_TABANI!D23-VERI_TABANI!D23*B550))*VERI_TABANI!$B$8) + IF(ABS(IF(ISNUMBER(SEARCH("Var", D550)), 1, IF(ISNUMBER(SEARCH("Gri", D550)), -1, 0)))=1, VERI_TABANI!E23*(1-0.928)*VERI_TABANI!$B$9, 0) + (VERI_TABANI!D23*B550*(VERI_TABANI!$B$13-VERI_TABANI!$B$14)*VERI_TABANI!G23) + (VERI_TABANI!D23*C550*(VERI_TABANI!$B$13-VERI_TABANI!$B$15)*VERI_TABANI!G23) + IF(ABS(IF(ISNUMBER(SEARCH("Var", D550)), 1, IF(ISNUMBER(SEARCH("Gri", D550)), -1, 0)))=1, VERI_TABANI!E23*(1-0.928)*0.00206091519919798*VERI_TABANI!G23, 0)) + ((MIN(VERI_TABANI!D24, VERI_TABANI!D24*B550)*VERI_TABANI!$B$7 + MAX(0, VERI_TABANI!D24*B550-VERI_TABANI!D24)*VERI_TABANI!$B$8) + (MIN(MAX(0, VERI_TABANI!D24-VERI_TABANI!D24*B550), VERI_TABANI!D24*C550)*VERI_TABANI!$B$7 + MAX(0, VERI_TABANI!D24*C550-MAX(0, VERI_TABANI!D24-VERI_TABANI!D24*B550))*VERI_TABANI!$B$8) + IF(ABS(IF(ISNUMBER(SEARCH("Var", D550)), 1, IF(ISNUMBER(SEARCH("Gri", D550)), -1, 0)))=1, VERI_TABANI!E24*(1-0.928)*VERI_TABANI!$B$9, 0) + (VERI_TABANI!D24*B550*(VERI_TABANI!$B$13-VERI_TABANI!$B$14)*VERI_TABANI!G24) + (VERI_TABANI!D24*C550*(VERI_TABANI!$B$13-VERI_TABANI!$B$15)*VERI_TABANI!G24) + IF(ABS(IF(ISNUMBER(SEARCH("Var", D550)), 1, IF(ISNUMBER(SEARCH("Gri", D550)), -1, 0)))=1, VERI_TABANI!E24*(1-0.928)*0.00206091519919798*VERI_TABANI!G24, 0)) + ((MIN(VERI_TABANI!D25, VERI_TABANI!D25*B550)*VERI_TABANI!$B$7 + MAX(0, VERI_TABANI!D25*B550-VERI_TABANI!D25)*VERI_TABANI!$B$8) + (MIN(MAX(0, VERI_TABANI!D25-VERI_TABANI!D25*B550), VERI_TABANI!D25*C550)*VERI_TABANI!$B$7 + MAX(0, VERI_TABANI!D25*C550-MAX(0, VERI_TABANI!D25-VERI_TABANI!D25*B550))*VERI_TABANI!$B$8) + IF(ABS(IF(ISNUMBER(SEARCH("Var", D550)), 1, IF(ISNUMBER(SEARCH("Gri", D550)), -1, 0)))=1, VERI_TABANI!E25*(1-0.928)*VERI_TABANI!$B$9, 0) + (VERI_TABANI!D25*B550*(VERI_TABANI!$B$13-VERI_TABANI!$B$14)*VERI_TABANI!G25) + (VERI_TABANI!D25*C550*(VERI_TABANI!$B$13-VERI_TABANI!$B$15)*VERI_TABANI!G25) + IF(ABS(IF(ISNUMBER(SEARCH("Var", D550)), 1, IF(ISNUMBER(SEARCH("Gri", D550)), -1, 0)))=1, VERI_TABANI!E25*(1-0.928)*0.00206091519919798*VERI_TABANI!G25, 0)) + ((MIN(VERI_TABANI!D26, VERI_TABANI!D26*B550)*VERI_TABANI!$B$7 + MAX(0, VERI_TABANI!D26*B550-VERI_TABANI!D26)*VERI_TABANI!$B$8) + (MIN(MAX(0, VERI_TABANI!D26-VERI_TABANI!D26*B550), VERI_TABANI!D26*C550)*VERI_TABANI!$B$7 + MAX(0, VERI_TABANI!D26*C550-MAX(0, VERI_TABANI!D26-VERI_TABANI!D26*B550))*VERI_TABANI!$B$8) + IF(ABS(IF(ISNUMBER(SEARCH("Var", D550)), 1, IF(ISNUMBER(SEARCH("Gri", D550)), -1, 0)))=1, VERI_TABANI!E26*(1-0.928)*VERI_TABANI!$B$9, 0) + (VERI_TABANI!D26*B550*(VERI_TABANI!$B$13-VERI_TABANI!$B$14)*VERI_TABANI!G26) + (VERI_TABANI!D26*C550*(VERI_TABANI!$B$13-VERI_TABANI!$B$15)*VERI_TABANI!G26) + IF(ABS(IF(ISNUMBER(SEARCH("Var", D550)), 1, IF(ISNUMBER(SEARCH("Gri", D550)), -1, 0)))=1, VERI_TABANI!E26*(1-0.928)*0.00206091519919798*VERI_TABANI!G26, 0)) + ((MIN(VERI_TABANI!D27, VERI_TABANI!D27*B550)*VERI_TABANI!$B$7 + MAX(0, VERI_TABANI!D27*B550-VERI_TABANI!D27)*VERI_TABANI!$B$8) + (MIN(MAX(0, VERI_TABANI!D27-VERI_TABANI!D27*B550), VERI_TABANI!D27*C550)*VERI_TABANI!$B$7 + MAX(0, VERI_TABANI!D27*C550-MAX(0, VERI_TABANI!D27-VERI_TABANI!D27*B550))*VERI_TABANI!$B$8) + IF(ABS(IF(ISNUMBER(SEARCH("Var", D550)), 1, IF(ISNUMBER(SEARCH("Gri", D550)), -1, 0)))=1, VERI_TABANI!E27*(1-0.928)*VERI_TABANI!$B$9, 0) + (VERI_TABANI!D27*B550*(VERI_TABANI!$B$13-VERI_TABANI!$B$14)*VERI_TABANI!G27) + (VERI_TABANI!D27*C550*(VERI_TABANI!$B$13-VERI_TABANI!$B$15)*VERI_TABANI!G27) + IF(ABS(IF(ISNUMBER(SEARCH("Var", D550)), 1, IF(ISNUMBER(SEARCH("Gri", D550)), -1, 0)))=1, VERI_TABANI!E27*(1-0.928)*0.00206091519919798*VERI_TABANI!G27, 0)) + ((MIN(VERI_TABANI!D28, VERI_TABANI!D28*B550)*VERI_TABANI!$B$7 + MAX(0, VERI_TABANI!D28*B550-VERI_TABANI!D28)*VERI_TABANI!$B$8) + (MIN(MAX(0, VERI_TABANI!D28-VERI_TABANI!D28*B550), VERI_TABANI!D28*C550)*VERI_TABANI!$B$7 + MAX(0, VERI_TABANI!D28*C550-MAX(0, VERI_TABANI!D28-VERI_TABANI!D28*B550))*VERI_TABANI!$B$8) + IF(ABS(IF(ISNUMBER(SEARCH("Var", D550)), 1, IF(ISNUMBER(SEARCH("Gri", D550)), -1, 0)))=1, VERI_TABANI!E28*(1-0.928)*VERI_TABANI!$B$9, 0) + (VERI_TABANI!D28*B550*(VERI_TABANI!$B$13-VERI_TABANI!$B$14)*VERI_TABANI!G28) + (VERI_TABANI!D28*C550*(VERI_TABANI!$B$13-VERI_TABANI!$B$15)*VERI_TABANI!G28) + IF(ABS(IF(ISNUMBER(SEARCH("Var", D550)), 1, IF(ISNUMBER(SEARCH("Gri", D550)), -1, 0)))=1, VERI_TABANI!E28*(1-0.928)*0.00206091519919798*VERI_TABANI!G28, 0)))</f>
        <v/>
      </c>
      <c r="H550" s="169">
        <f>(((VERI_TABANI!D23*B550*(VERI_TABANI!$B$13-VERI_TABANI!$B$14)) + (VERI_TABANI!D23*C550*(VERI_TABANI!$B$13-VERI_TABANI!$B$15)) + IF(ISNUMBER(SEARCH("Var", D550)), VERI_TABANI!F23*(0.00202-VERI_TABANI!$B$16), IF(ISNUMBER(SEARCH("Gri", D550)), VERI_TABANI!F23*(0.00202-VERI_TABANI!$B$17), 0))) + ((VERI_TABANI!D24*B550*(VERI_TABANI!$B$13-VERI_TABANI!$B$14)) + (VERI_TABANI!D24*C550*(VERI_TABANI!$B$13-VERI_TABANI!$B$15)) + IF(ISNUMBER(SEARCH("Var", D550)), VERI_TABANI!F24*(0.00202-VERI_TABANI!$B$16), IF(ISNUMBER(SEARCH("Gri", D550)), VERI_TABANI!F24*(0.00202-VERI_TABANI!$B$17), 0))) + ((VERI_TABANI!D25*B550*(VERI_TABANI!$B$13-VERI_TABANI!$B$14)) + (VERI_TABANI!D25*C550*(VERI_TABANI!$B$13-VERI_TABANI!$B$15)) + IF(ISNUMBER(SEARCH("Var", D550)), VERI_TABANI!F25*(0.00202-VERI_TABANI!$B$16), IF(ISNUMBER(SEARCH("Gri", D550)), VERI_TABANI!F25*(0.00202-VERI_TABANI!$B$17), 0))) + ((VERI_TABANI!D26*B550*(VERI_TABANI!$B$13-VERI_TABANI!$B$14)) + (VERI_TABANI!D26*C550*(VERI_TABANI!$B$13-VERI_TABANI!$B$15)) + IF(ISNUMBER(SEARCH("Var", D550)), VERI_TABANI!F26*(0.00202-VERI_TABANI!$B$16), IF(ISNUMBER(SEARCH("Gri", D550)), VERI_TABANI!F26*(0.00202-VERI_TABANI!$B$17), 0))) + ((VERI_TABANI!D27*B550*(VERI_TABANI!$B$13-VERI_TABANI!$B$14)) + (VERI_TABANI!D27*C550*(VERI_TABANI!$B$13-VERI_TABANI!$B$15)) + IF(ISNUMBER(SEARCH("Var", D550)), VERI_TABANI!F27*(0.00202-VERI_TABANI!$B$16), IF(ISNUMBER(SEARCH("Gri", D550)), VERI_TABANI!F27*(0.00202-VERI_TABANI!$B$17), 0))) + ((VERI_TABANI!D28*B550*(VERI_TABANI!$B$13-VERI_TABANI!$B$14)) + (VERI_TABANI!D28*C550*(VERI_TABANI!$B$13-VERI_TABANI!$B$15)) + IF(ISNUMBER(SEARCH("Var", D550)), VERI_TABANI!F28*(0.00202-VERI_TABANI!$B$16), IF(ISNUMBER(SEARCH("Gri", D550)), VERI_TABANI!F28*(0.00202-VERI_TABANI!$B$17), 0))))</f>
        <v/>
      </c>
      <c r="I550" s="170">
        <f>IFERROR(((VERI_TABANI!$D$29*B550*VERI_TABANI!$B$14 + VERI_TABANI!$D$29*C550*VERI_TABANI!$B$15 + IF(ISNUMBER(SEARCH("Var", D550)), VERI_TABANI!$F$29*VERI_TABANI!$B$16, 0))) / (((VERI_TABANI!$D$29*B550 + VERI_TABANI!$D$29*C550)*VERI_TABANI!$B$13 + IF(ISNUMBER(SEARCH("Var", D550)), VERI_TABANI!$E$29*(1-0.928)*VERI_TABANI!$B$18, 0))), 0)</f>
        <v/>
      </c>
      <c r="J550" s="171">
        <f>IFERROR(F550/(G550/29), 0)</f>
        <v/>
      </c>
      <c r="K550" s="172">
        <f>IF(F550&gt;0, H550/F550, 0)</f>
        <v/>
      </c>
      <c r="L550" s="170">
        <f>IF(F550&gt;0, I550, 1000000000)</f>
        <v/>
      </c>
      <c r="M550" s="171">
        <f>ABS((B550+C550)-1)</f>
        <v/>
      </c>
      <c r="N550" s="170">
        <f>IF(F550&gt;0, (G550/29)/F550, 0)</f>
        <v/>
      </c>
      <c r="O550" s="168">
        <f>IF(AND((B550+C550)&gt;=1, ISNUMBER(SEARCH("Var", D550))), F550, 1000000000)</f>
        <v/>
      </c>
      <c r="P550" s="172">
        <f>IF(F550&gt;0, SQRT((F550/MAX(F$5:F$886))^2 + (1 - H550/MAX(H$5:H$886))^2 + (J550/MAX(J$5:J$886))^2), 1000000000)</f>
        <v/>
      </c>
      <c r="Q550" s="166">
        <f>IF(AND(ABS(B550-0.5)&lt;0.01, ABS(C550-0.5)&lt;0.01, ISNUMBER(SEARCH("Var", D550))), 1, 0)</f>
        <v/>
      </c>
      <c r="R550" s="171">
        <f>IF(F550&gt;0, J550, 1000000000)</f>
        <v/>
      </c>
      <c r="S550" s="101">
        <f>IF(AND(F550&lt;=DASHBOARD!$B$11, H550&gt;=DASHBOARD!$B$13), G550, -1000000000000)</f>
        <v/>
      </c>
      <c r="T550" s="101">
        <f>IF(AND(F550&lt;=DASHBOARD!$B$11, H550&gt;=DASHBOARD!$B$13), R550, 1000000000000)</f>
        <v/>
      </c>
      <c r="U550" s="101">
        <f>IF(AND(F550&lt;=DASHBOARD!$B$11, H550&gt;=DASHBOARD!$B$13), N550, -1000000000000)</f>
        <v/>
      </c>
      <c r="V550" s="101">
        <f>IF(AND(F550&lt;=DASHBOARD!$B$11, H550&gt;=DASHBOARD!$B$13), H550, -1000000000000)</f>
        <v/>
      </c>
      <c r="W550" s="101">
        <f>IF(AND(F550&lt;=DASHBOARD!$B$11, H550&gt;=DASHBOARD!$B$13), K550, -1000000000000)</f>
        <v/>
      </c>
      <c r="X550" s="101">
        <f>IF(AND(F550&lt;=DASHBOARD!$B$11, H550&gt;=DASHBOARD!$B$13), M550, 1000000000000)</f>
        <v/>
      </c>
      <c r="Y550" s="101">
        <f>IF(AND(F550&lt;=DASHBOARD!$B$10, H550&gt;=DASHBOARD!$B$11), L550, 1000000000000)</f>
        <v/>
      </c>
      <c r="Z550" s="101">
        <f>IF(AND(F550&lt;=DASHBOARD!$B$10, H550&gt;=DASHBOARD!$B$11), O550, 1000000000000)</f>
        <v/>
      </c>
      <c r="AA550" s="101">
        <f>IF(AND(F550&lt;=DASHBOARD!$B$10, H550&gt;=DASHBOARD!$B$11), P550, 1000000000000)</f>
        <v/>
      </c>
      <c r="AB550" s="101">
        <f>IF(AND(F550&lt;=DASHBOARD!$B$10, H550&gt;=DASHBOARD!$B$11), Q550, -1000000000000)</f>
        <v/>
      </c>
    </row>
    <row r="551" ht="15" customHeight="1" s="102">
      <c r="A551" s="166" t="n">
        <v>547</v>
      </c>
      <c r="B551" s="167" t="n">
        <v>1.3</v>
      </c>
      <c r="C551" s="167" t="n">
        <v>0</v>
      </c>
      <c r="D551" s="110" t="inlineStr">
        <is>
          <t>Yok (%0)</t>
        </is>
      </c>
      <c r="E551" s="110">
        <f>IF((B551+C551)&lt;=1, "Tam Mahsuplaşma (≤%100)", "Kısmi Satış (&gt;%100)")</f>
        <v/>
      </c>
      <c r="F551" s="168">
        <f>((VERI_TABANI!$D$29*B551/VERI_TABANI!$B$29)/VERI_TABANI!$B$3)*VERI_TABANI!$B$5 + ((VERI_TABANI!$D$29*C551/VERI_TABANI!$B$29)/VERI_TABANI!$B$4)*VERI_TABANI!$B$6 + IF(ISNUMBER(SEARCH("Var", D551)), (VERI_TABANI!$F$29/VERI_TABANI!$B$29)*(VERI_TABANI!$B$10+VERI_TABANI!$B$12), 0)</f>
        <v/>
      </c>
      <c r="G551" s="168">
        <f>(((MIN(VERI_TABANI!D23, VERI_TABANI!D23*B551)*VERI_TABANI!$B$7 + MAX(0, VERI_TABANI!D23*B551-VERI_TABANI!D23)*VERI_TABANI!$B$8) + (MIN(MAX(0, VERI_TABANI!D23-VERI_TABANI!D23*B551), VERI_TABANI!D23*C551)*VERI_TABANI!$B$7 + MAX(0, VERI_TABANI!D23*C551-MAX(0, VERI_TABANI!D23-VERI_TABANI!D23*B551))*VERI_TABANI!$B$8) + IF(ABS(IF(ISNUMBER(SEARCH("Var", D551)), 1, IF(ISNUMBER(SEARCH("Gri", D551)), -1, 0)))=1, VERI_TABANI!E23*(1-0.928)*VERI_TABANI!$B$9, 0) + (VERI_TABANI!D23*B551*(VERI_TABANI!$B$13-VERI_TABANI!$B$14)*VERI_TABANI!G23) + (VERI_TABANI!D23*C551*(VERI_TABANI!$B$13-VERI_TABANI!$B$15)*VERI_TABANI!G23) + IF(ABS(IF(ISNUMBER(SEARCH("Var", D551)), 1, IF(ISNUMBER(SEARCH("Gri", D551)), -1, 0)))=1, VERI_TABANI!E23*(1-0.928)*0.00206091519919798*VERI_TABANI!G23, 0)) + ((MIN(VERI_TABANI!D24, VERI_TABANI!D24*B551)*VERI_TABANI!$B$7 + MAX(0, VERI_TABANI!D24*B551-VERI_TABANI!D24)*VERI_TABANI!$B$8) + (MIN(MAX(0, VERI_TABANI!D24-VERI_TABANI!D24*B551), VERI_TABANI!D24*C551)*VERI_TABANI!$B$7 + MAX(0, VERI_TABANI!D24*C551-MAX(0, VERI_TABANI!D24-VERI_TABANI!D24*B551))*VERI_TABANI!$B$8) + IF(ABS(IF(ISNUMBER(SEARCH("Var", D551)), 1, IF(ISNUMBER(SEARCH("Gri", D551)), -1, 0)))=1, VERI_TABANI!E24*(1-0.928)*VERI_TABANI!$B$9, 0) + (VERI_TABANI!D24*B551*(VERI_TABANI!$B$13-VERI_TABANI!$B$14)*VERI_TABANI!G24) + (VERI_TABANI!D24*C551*(VERI_TABANI!$B$13-VERI_TABANI!$B$15)*VERI_TABANI!G24) + IF(ABS(IF(ISNUMBER(SEARCH("Var", D551)), 1, IF(ISNUMBER(SEARCH("Gri", D551)), -1, 0)))=1, VERI_TABANI!E24*(1-0.928)*0.00206091519919798*VERI_TABANI!G24, 0)) + ((MIN(VERI_TABANI!D25, VERI_TABANI!D25*B551)*VERI_TABANI!$B$7 + MAX(0, VERI_TABANI!D25*B551-VERI_TABANI!D25)*VERI_TABANI!$B$8) + (MIN(MAX(0, VERI_TABANI!D25-VERI_TABANI!D25*B551), VERI_TABANI!D25*C551)*VERI_TABANI!$B$7 + MAX(0, VERI_TABANI!D25*C551-MAX(0, VERI_TABANI!D25-VERI_TABANI!D25*B551))*VERI_TABANI!$B$8) + IF(ABS(IF(ISNUMBER(SEARCH("Var", D551)), 1, IF(ISNUMBER(SEARCH("Gri", D551)), -1, 0)))=1, VERI_TABANI!E25*(1-0.928)*VERI_TABANI!$B$9, 0) + (VERI_TABANI!D25*B551*(VERI_TABANI!$B$13-VERI_TABANI!$B$14)*VERI_TABANI!G25) + (VERI_TABANI!D25*C551*(VERI_TABANI!$B$13-VERI_TABANI!$B$15)*VERI_TABANI!G25) + IF(ABS(IF(ISNUMBER(SEARCH("Var", D551)), 1, IF(ISNUMBER(SEARCH("Gri", D551)), -1, 0)))=1, VERI_TABANI!E25*(1-0.928)*0.00206091519919798*VERI_TABANI!G25, 0)) + ((MIN(VERI_TABANI!D26, VERI_TABANI!D26*B551)*VERI_TABANI!$B$7 + MAX(0, VERI_TABANI!D26*B551-VERI_TABANI!D26)*VERI_TABANI!$B$8) + (MIN(MAX(0, VERI_TABANI!D26-VERI_TABANI!D26*B551), VERI_TABANI!D26*C551)*VERI_TABANI!$B$7 + MAX(0, VERI_TABANI!D26*C551-MAX(0, VERI_TABANI!D26-VERI_TABANI!D26*B551))*VERI_TABANI!$B$8) + IF(ABS(IF(ISNUMBER(SEARCH("Var", D551)), 1, IF(ISNUMBER(SEARCH("Gri", D551)), -1, 0)))=1, VERI_TABANI!E26*(1-0.928)*VERI_TABANI!$B$9, 0) + (VERI_TABANI!D26*B551*(VERI_TABANI!$B$13-VERI_TABANI!$B$14)*VERI_TABANI!G26) + (VERI_TABANI!D26*C551*(VERI_TABANI!$B$13-VERI_TABANI!$B$15)*VERI_TABANI!G26) + IF(ABS(IF(ISNUMBER(SEARCH("Var", D551)), 1, IF(ISNUMBER(SEARCH("Gri", D551)), -1, 0)))=1, VERI_TABANI!E26*(1-0.928)*0.00206091519919798*VERI_TABANI!G26, 0)) + ((MIN(VERI_TABANI!D27, VERI_TABANI!D27*B551)*VERI_TABANI!$B$7 + MAX(0, VERI_TABANI!D27*B551-VERI_TABANI!D27)*VERI_TABANI!$B$8) + (MIN(MAX(0, VERI_TABANI!D27-VERI_TABANI!D27*B551), VERI_TABANI!D27*C551)*VERI_TABANI!$B$7 + MAX(0, VERI_TABANI!D27*C551-MAX(0, VERI_TABANI!D27-VERI_TABANI!D27*B551))*VERI_TABANI!$B$8) + IF(ABS(IF(ISNUMBER(SEARCH("Var", D551)), 1, IF(ISNUMBER(SEARCH("Gri", D551)), -1, 0)))=1, VERI_TABANI!E27*(1-0.928)*VERI_TABANI!$B$9, 0) + (VERI_TABANI!D27*B551*(VERI_TABANI!$B$13-VERI_TABANI!$B$14)*VERI_TABANI!G27) + (VERI_TABANI!D27*C551*(VERI_TABANI!$B$13-VERI_TABANI!$B$15)*VERI_TABANI!G27) + IF(ABS(IF(ISNUMBER(SEARCH("Var", D551)), 1, IF(ISNUMBER(SEARCH("Gri", D551)), -1, 0)))=1, VERI_TABANI!E27*(1-0.928)*0.00206091519919798*VERI_TABANI!G27, 0)) + ((MIN(VERI_TABANI!D28, VERI_TABANI!D28*B551)*VERI_TABANI!$B$7 + MAX(0, VERI_TABANI!D28*B551-VERI_TABANI!D28)*VERI_TABANI!$B$8) + (MIN(MAX(0, VERI_TABANI!D28-VERI_TABANI!D28*B551), VERI_TABANI!D28*C551)*VERI_TABANI!$B$7 + MAX(0, VERI_TABANI!D28*C551-MAX(0, VERI_TABANI!D28-VERI_TABANI!D28*B551))*VERI_TABANI!$B$8) + IF(ABS(IF(ISNUMBER(SEARCH("Var", D551)), 1, IF(ISNUMBER(SEARCH("Gri", D551)), -1, 0)))=1, VERI_TABANI!E28*(1-0.928)*VERI_TABANI!$B$9, 0) + (VERI_TABANI!D28*B551*(VERI_TABANI!$B$13-VERI_TABANI!$B$14)*VERI_TABANI!G28) + (VERI_TABANI!D28*C551*(VERI_TABANI!$B$13-VERI_TABANI!$B$15)*VERI_TABANI!G28) + IF(ABS(IF(ISNUMBER(SEARCH("Var", D551)), 1, IF(ISNUMBER(SEARCH("Gri", D551)), -1, 0)))=1, VERI_TABANI!E28*(1-0.928)*0.00206091519919798*VERI_TABANI!G28, 0)))</f>
        <v/>
      </c>
      <c r="H551" s="169">
        <f>(((VERI_TABANI!D23*B551*(VERI_TABANI!$B$13-VERI_TABANI!$B$14)) + (VERI_TABANI!D23*C551*(VERI_TABANI!$B$13-VERI_TABANI!$B$15)) + IF(ISNUMBER(SEARCH("Var", D551)), VERI_TABANI!F23*(0.00202-VERI_TABANI!$B$16), IF(ISNUMBER(SEARCH("Gri", D551)), VERI_TABANI!F23*(0.00202-VERI_TABANI!$B$17), 0))) + ((VERI_TABANI!D24*B551*(VERI_TABANI!$B$13-VERI_TABANI!$B$14)) + (VERI_TABANI!D24*C551*(VERI_TABANI!$B$13-VERI_TABANI!$B$15)) + IF(ISNUMBER(SEARCH("Var", D551)), VERI_TABANI!F24*(0.00202-VERI_TABANI!$B$16), IF(ISNUMBER(SEARCH("Gri", D551)), VERI_TABANI!F24*(0.00202-VERI_TABANI!$B$17), 0))) + ((VERI_TABANI!D25*B551*(VERI_TABANI!$B$13-VERI_TABANI!$B$14)) + (VERI_TABANI!D25*C551*(VERI_TABANI!$B$13-VERI_TABANI!$B$15)) + IF(ISNUMBER(SEARCH("Var", D551)), VERI_TABANI!F25*(0.00202-VERI_TABANI!$B$16), IF(ISNUMBER(SEARCH("Gri", D551)), VERI_TABANI!F25*(0.00202-VERI_TABANI!$B$17), 0))) + ((VERI_TABANI!D26*B551*(VERI_TABANI!$B$13-VERI_TABANI!$B$14)) + (VERI_TABANI!D26*C551*(VERI_TABANI!$B$13-VERI_TABANI!$B$15)) + IF(ISNUMBER(SEARCH("Var", D551)), VERI_TABANI!F26*(0.00202-VERI_TABANI!$B$16), IF(ISNUMBER(SEARCH("Gri", D551)), VERI_TABANI!F26*(0.00202-VERI_TABANI!$B$17), 0))) + ((VERI_TABANI!D27*B551*(VERI_TABANI!$B$13-VERI_TABANI!$B$14)) + (VERI_TABANI!D27*C551*(VERI_TABANI!$B$13-VERI_TABANI!$B$15)) + IF(ISNUMBER(SEARCH("Var", D551)), VERI_TABANI!F27*(0.00202-VERI_TABANI!$B$16), IF(ISNUMBER(SEARCH("Gri", D551)), VERI_TABANI!F27*(0.00202-VERI_TABANI!$B$17), 0))) + ((VERI_TABANI!D28*B551*(VERI_TABANI!$B$13-VERI_TABANI!$B$14)) + (VERI_TABANI!D28*C551*(VERI_TABANI!$B$13-VERI_TABANI!$B$15)) + IF(ISNUMBER(SEARCH("Var", D551)), VERI_TABANI!F28*(0.00202-VERI_TABANI!$B$16), IF(ISNUMBER(SEARCH("Gri", D551)), VERI_TABANI!F28*(0.00202-VERI_TABANI!$B$17), 0))))</f>
        <v/>
      </c>
      <c r="I551" s="170">
        <f>IFERROR(((VERI_TABANI!$D$29*B551*VERI_TABANI!$B$14 + VERI_TABANI!$D$29*C551*VERI_TABANI!$B$15 + IF(ISNUMBER(SEARCH("Var", D551)), VERI_TABANI!$F$29*VERI_TABANI!$B$16, 0))) / (((VERI_TABANI!$D$29*B551 + VERI_TABANI!$D$29*C551)*VERI_TABANI!$B$13 + IF(ISNUMBER(SEARCH("Var", D551)), VERI_TABANI!$E$29*(1-0.928)*VERI_TABANI!$B$18, 0))), 0)</f>
        <v/>
      </c>
      <c r="J551" s="171">
        <f>IFERROR(F551/(G551/29), 0)</f>
        <v/>
      </c>
      <c r="K551" s="172">
        <f>IF(F551&gt;0, H551/F551, 0)</f>
        <v/>
      </c>
      <c r="L551" s="170">
        <f>IF(F551&gt;0, I551, 1000000000)</f>
        <v/>
      </c>
      <c r="M551" s="171">
        <f>ABS((B551+C551)-1)</f>
        <v/>
      </c>
      <c r="N551" s="170">
        <f>IF(F551&gt;0, (G551/29)/F551, 0)</f>
        <v/>
      </c>
      <c r="O551" s="168">
        <f>IF(AND((B551+C551)&gt;=1, ISNUMBER(SEARCH("Var", D551))), F551, 1000000000)</f>
        <v/>
      </c>
      <c r="P551" s="172">
        <f>IF(F551&gt;0, SQRT((F551/MAX(F$5:F$886))^2 + (1 - H551/MAX(H$5:H$886))^2 + (J551/MAX(J$5:J$886))^2), 1000000000)</f>
        <v/>
      </c>
      <c r="Q551" s="166">
        <f>IF(AND(ABS(B551-0.5)&lt;0.01, ABS(C551-0.5)&lt;0.01, ISNUMBER(SEARCH("Var", D551))), 1, 0)</f>
        <v/>
      </c>
      <c r="R551" s="171">
        <f>IF(F551&gt;0, J551, 1000000000)</f>
        <v/>
      </c>
      <c r="S551" s="101">
        <f>IF(AND(F551&lt;=DASHBOARD!$B$11, H551&gt;=DASHBOARD!$B$13), G551, -1000000000000)</f>
        <v/>
      </c>
      <c r="T551" s="101">
        <f>IF(AND(F551&lt;=DASHBOARD!$B$11, H551&gt;=DASHBOARD!$B$13), R551, 1000000000000)</f>
        <v/>
      </c>
      <c r="U551" s="101">
        <f>IF(AND(F551&lt;=DASHBOARD!$B$11, H551&gt;=DASHBOARD!$B$13), N551, -1000000000000)</f>
        <v/>
      </c>
      <c r="V551" s="101">
        <f>IF(AND(F551&lt;=DASHBOARD!$B$11, H551&gt;=DASHBOARD!$B$13), H551, -1000000000000)</f>
        <v/>
      </c>
      <c r="W551" s="101">
        <f>IF(AND(F551&lt;=DASHBOARD!$B$11, H551&gt;=DASHBOARD!$B$13), K551, -1000000000000)</f>
        <v/>
      </c>
      <c r="X551" s="101">
        <f>IF(AND(F551&lt;=DASHBOARD!$B$11, H551&gt;=DASHBOARD!$B$13), M551, 1000000000000)</f>
        <v/>
      </c>
      <c r="Y551" s="101">
        <f>IF(AND(F551&lt;=DASHBOARD!$B$10, H551&gt;=DASHBOARD!$B$11), L551, 1000000000000)</f>
        <v/>
      </c>
      <c r="Z551" s="101">
        <f>IF(AND(F551&lt;=DASHBOARD!$B$10, H551&gt;=DASHBOARD!$B$11), O551, 1000000000000)</f>
        <v/>
      </c>
      <c r="AA551" s="101">
        <f>IF(AND(F551&lt;=DASHBOARD!$B$10, H551&gt;=DASHBOARD!$B$11), P551, 1000000000000)</f>
        <v/>
      </c>
      <c r="AB551" s="101">
        <f>IF(AND(F551&lt;=DASHBOARD!$B$10, H551&gt;=DASHBOARD!$B$11), Q551, -1000000000000)</f>
        <v/>
      </c>
    </row>
    <row r="552" ht="15" customHeight="1" s="102">
      <c r="A552" s="166" t="n">
        <v>548</v>
      </c>
      <c r="B552" s="167" t="n">
        <v>1.3</v>
      </c>
      <c r="C552" s="167" t="n">
        <v>0</v>
      </c>
      <c r="D552" s="110" t="inlineStr">
        <is>
          <t>Var (%20)</t>
        </is>
      </c>
      <c r="E552" s="110">
        <f>IF((B552+C552)&lt;=1, "Tam Mahsuplaşma (≤%100)", "Kısmi Satış (&gt;%100)")</f>
        <v/>
      </c>
      <c r="F552" s="168">
        <f>((VERI_TABANI!$D$29*B552/VERI_TABANI!$B$29)/VERI_TABANI!$B$3)*VERI_TABANI!$B$5 + ((VERI_TABANI!$D$29*C552/VERI_TABANI!$B$29)/VERI_TABANI!$B$4)*VERI_TABANI!$B$6 + IF(ISNUMBER(SEARCH("Var", D552)), (VERI_TABANI!$F$29/VERI_TABANI!$B$29)*(VERI_TABANI!$B$10+VERI_TABANI!$B$12), 0)</f>
        <v/>
      </c>
      <c r="G552" s="168">
        <f>(((MIN(VERI_TABANI!D23, VERI_TABANI!D23*B552)*VERI_TABANI!$B$7 + MAX(0, VERI_TABANI!D23*B552-VERI_TABANI!D23)*VERI_TABANI!$B$8) + (MIN(MAX(0, VERI_TABANI!D23-VERI_TABANI!D23*B552), VERI_TABANI!D23*C552)*VERI_TABANI!$B$7 + MAX(0, VERI_TABANI!D23*C552-MAX(0, VERI_TABANI!D23-VERI_TABANI!D23*B552))*VERI_TABANI!$B$8) + IF(ABS(IF(ISNUMBER(SEARCH("Var", D552)), 1, IF(ISNUMBER(SEARCH("Gri", D552)), -1, 0)))=1, VERI_TABANI!E23*(1-0.928)*VERI_TABANI!$B$9, 0) + (VERI_TABANI!D23*B552*(VERI_TABANI!$B$13-VERI_TABANI!$B$14)*VERI_TABANI!G23) + (VERI_TABANI!D23*C552*(VERI_TABANI!$B$13-VERI_TABANI!$B$15)*VERI_TABANI!G23) + IF(ABS(IF(ISNUMBER(SEARCH("Var", D552)), 1, IF(ISNUMBER(SEARCH("Gri", D552)), -1, 0)))=1, VERI_TABANI!E23*(1-0.928)*0.00206091519919798*VERI_TABANI!G23, 0)) + ((MIN(VERI_TABANI!D24, VERI_TABANI!D24*B552)*VERI_TABANI!$B$7 + MAX(0, VERI_TABANI!D24*B552-VERI_TABANI!D24)*VERI_TABANI!$B$8) + (MIN(MAX(0, VERI_TABANI!D24-VERI_TABANI!D24*B552), VERI_TABANI!D24*C552)*VERI_TABANI!$B$7 + MAX(0, VERI_TABANI!D24*C552-MAX(0, VERI_TABANI!D24-VERI_TABANI!D24*B552))*VERI_TABANI!$B$8) + IF(ABS(IF(ISNUMBER(SEARCH("Var", D552)), 1, IF(ISNUMBER(SEARCH("Gri", D552)), -1, 0)))=1, VERI_TABANI!E24*(1-0.928)*VERI_TABANI!$B$9, 0) + (VERI_TABANI!D24*B552*(VERI_TABANI!$B$13-VERI_TABANI!$B$14)*VERI_TABANI!G24) + (VERI_TABANI!D24*C552*(VERI_TABANI!$B$13-VERI_TABANI!$B$15)*VERI_TABANI!G24) + IF(ABS(IF(ISNUMBER(SEARCH("Var", D552)), 1, IF(ISNUMBER(SEARCH("Gri", D552)), -1, 0)))=1, VERI_TABANI!E24*(1-0.928)*0.00206091519919798*VERI_TABANI!G24, 0)) + ((MIN(VERI_TABANI!D25, VERI_TABANI!D25*B552)*VERI_TABANI!$B$7 + MAX(0, VERI_TABANI!D25*B552-VERI_TABANI!D25)*VERI_TABANI!$B$8) + (MIN(MAX(0, VERI_TABANI!D25-VERI_TABANI!D25*B552), VERI_TABANI!D25*C552)*VERI_TABANI!$B$7 + MAX(0, VERI_TABANI!D25*C552-MAX(0, VERI_TABANI!D25-VERI_TABANI!D25*B552))*VERI_TABANI!$B$8) + IF(ABS(IF(ISNUMBER(SEARCH("Var", D552)), 1, IF(ISNUMBER(SEARCH("Gri", D552)), -1, 0)))=1, VERI_TABANI!E25*(1-0.928)*VERI_TABANI!$B$9, 0) + (VERI_TABANI!D25*B552*(VERI_TABANI!$B$13-VERI_TABANI!$B$14)*VERI_TABANI!G25) + (VERI_TABANI!D25*C552*(VERI_TABANI!$B$13-VERI_TABANI!$B$15)*VERI_TABANI!G25) + IF(ABS(IF(ISNUMBER(SEARCH("Var", D552)), 1, IF(ISNUMBER(SEARCH("Gri", D552)), -1, 0)))=1, VERI_TABANI!E25*(1-0.928)*0.00206091519919798*VERI_TABANI!G25, 0)) + ((MIN(VERI_TABANI!D26, VERI_TABANI!D26*B552)*VERI_TABANI!$B$7 + MAX(0, VERI_TABANI!D26*B552-VERI_TABANI!D26)*VERI_TABANI!$B$8) + (MIN(MAX(0, VERI_TABANI!D26-VERI_TABANI!D26*B552), VERI_TABANI!D26*C552)*VERI_TABANI!$B$7 + MAX(0, VERI_TABANI!D26*C552-MAX(0, VERI_TABANI!D26-VERI_TABANI!D26*B552))*VERI_TABANI!$B$8) + IF(ABS(IF(ISNUMBER(SEARCH("Var", D552)), 1, IF(ISNUMBER(SEARCH("Gri", D552)), -1, 0)))=1, VERI_TABANI!E26*(1-0.928)*VERI_TABANI!$B$9, 0) + (VERI_TABANI!D26*B552*(VERI_TABANI!$B$13-VERI_TABANI!$B$14)*VERI_TABANI!G26) + (VERI_TABANI!D26*C552*(VERI_TABANI!$B$13-VERI_TABANI!$B$15)*VERI_TABANI!G26) + IF(ABS(IF(ISNUMBER(SEARCH("Var", D552)), 1, IF(ISNUMBER(SEARCH("Gri", D552)), -1, 0)))=1, VERI_TABANI!E26*(1-0.928)*0.00206091519919798*VERI_TABANI!G26, 0)) + ((MIN(VERI_TABANI!D27, VERI_TABANI!D27*B552)*VERI_TABANI!$B$7 + MAX(0, VERI_TABANI!D27*B552-VERI_TABANI!D27)*VERI_TABANI!$B$8) + (MIN(MAX(0, VERI_TABANI!D27-VERI_TABANI!D27*B552), VERI_TABANI!D27*C552)*VERI_TABANI!$B$7 + MAX(0, VERI_TABANI!D27*C552-MAX(0, VERI_TABANI!D27-VERI_TABANI!D27*B552))*VERI_TABANI!$B$8) + IF(ABS(IF(ISNUMBER(SEARCH("Var", D552)), 1, IF(ISNUMBER(SEARCH("Gri", D552)), -1, 0)))=1, VERI_TABANI!E27*(1-0.928)*VERI_TABANI!$B$9, 0) + (VERI_TABANI!D27*B552*(VERI_TABANI!$B$13-VERI_TABANI!$B$14)*VERI_TABANI!G27) + (VERI_TABANI!D27*C552*(VERI_TABANI!$B$13-VERI_TABANI!$B$15)*VERI_TABANI!G27) + IF(ABS(IF(ISNUMBER(SEARCH("Var", D552)), 1, IF(ISNUMBER(SEARCH("Gri", D552)), -1, 0)))=1, VERI_TABANI!E27*(1-0.928)*0.00206091519919798*VERI_TABANI!G27, 0)) + ((MIN(VERI_TABANI!D28, VERI_TABANI!D28*B552)*VERI_TABANI!$B$7 + MAX(0, VERI_TABANI!D28*B552-VERI_TABANI!D28)*VERI_TABANI!$B$8) + (MIN(MAX(0, VERI_TABANI!D28-VERI_TABANI!D28*B552), VERI_TABANI!D28*C552)*VERI_TABANI!$B$7 + MAX(0, VERI_TABANI!D28*C552-MAX(0, VERI_TABANI!D28-VERI_TABANI!D28*B552))*VERI_TABANI!$B$8) + IF(ABS(IF(ISNUMBER(SEARCH("Var", D552)), 1, IF(ISNUMBER(SEARCH("Gri", D552)), -1, 0)))=1, VERI_TABANI!E28*(1-0.928)*VERI_TABANI!$B$9, 0) + (VERI_TABANI!D28*B552*(VERI_TABANI!$B$13-VERI_TABANI!$B$14)*VERI_TABANI!G28) + (VERI_TABANI!D28*C552*(VERI_TABANI!$B$13-VERI_TABANI!$B$15)*VERI_TABANI!G28) + IF(ABS(IF(ISNUMBER(SEARCH("Var", D552)), 1, IF(ISNUMBER(SEARCH("Gri", D552)), -1, 0)))=1, VERI_TABANI!E28*(1-0.928)*0.00206091519919798*VERI_TABANI!G28, 0)))</f>
        <v/>
      </c>
      <c r="H552" s="169">
        <f>(((VERI_TABANI!D23*B552*(VERI_TABANI!$B$13-VERI_TABANI!$B$14)) + (VERI_TABANI!D23*C552*(VERI_TABANI!$B$13-VERI_TABANI!$B$15)) + IF(ISNUMBER(SEARCH("Var", D552)), VERI_TABANI!F23*(0.00202-VERI_TABANI!$B$16), IF(ISNUMBER(SEARCH("Gri", D552)), VERI_TABANI!F23*(0.00202-VERI_TABANI!$B$17), 0))) + ((VERI_TABANI!D24*B552*(VERI_TABANI!$B$13-VERI_TABANI!$B$14)) + (VERI_TABANI!D24*C552*(VERI_TABANI!$B$13-VERI_TABANI!$B$15)) + IF(ISNUMBER(SEARCH("Var", D552)), VERI_TABANI!F24*(0.00202-VERI_TABANI!$B$16), IF(ISNUMBER(SEARCH("Gri", D552)), VERI_TABANI!F24*(0.00202-VERI_TABANI!$B$17), 0))) + ((VERI_TABANI!D25*B552*(VERI_TABANI!$B$13-VERI_TABANI!$B$14)) + (VERI_TABANI!D25*C552*(VERI_TABANI!$B$13-VERI_TABANI!$B$15)) + IF(ISNUMBER(SEARCH("Var", D552)), VERI_TABANI!F25*(0.00202-VERI_TABANI!$B$16), IF(ISNUMBER(SEARCH("Gri", D552)), VERI_TABANI!F25*(0.00202-VERI_TABANI!$B$17), 0))) + ((VERI_TABANI!D26*B552*(VERI_TABANI!$B$13-VERI_TABANI!$B$14)) + (VERI_TABANI!D26*C552*(VERI_TABANI!$B$13-VERI_TABANI!$B$15)) + IF(ISNUMBER(SEARCH("Var", D552)), VERI_TABANI!F26*(0.00202-VERI_TABANI!$B$16), IF(ISNUMBER(SEARCH("Gri", D552)), VERI_TABANI!F26*(0.00202-VERI_TABANI!$B$17), 0))) + ((VERI_TABANI!D27*B552*(VERI_TABANI!$B$13-VERI_TABANI!$B$14)) + (VERI_TABANI!D27*C552*(VERI_TABANI!$B$13-VERI_TABANI!$B$15)) + IF(ISNUMBER(SEARCH("Var", D552)), VERI_TABANI!F27*(0.00202-VERI_TABANI!$B$16), IF(ISNUMBER(SEARCH("Gri", D552)), VERI_TABANI!F27*(0.00202-VERI_TABANI!$B$17), 0))) + ((VERI_TABANI!D28*B552*(VERI_TABANI!$B$13-VERI_TABANI!$B$14)) + (VERI_TABANI!D28*C552*(VERI_TABANI!$B$13-VERI_TABANI!$B$15)) + IF(ISNUMBER(SEARCH("Var", D552)), VERI_TABANI!F28*(0.00202-VERI_TABANI!$B$16), IF(ISNUMBER(SEARCH("Gri", D552)), VERI_TABANI!F28*(0.00202-VERI_TABANI!$B$17), 0))))</f>
        <v/>
      </c>
      <c r="I552" s="170">
        <f>IFERROR(((VERI_TABANI!$D$29*B552*VERI_TABANI!$B$14 + VERI_TABANI!$D$29*C552*VERI_TABANI!$B$15 + IF(ISNUMBER(SEARCH("Var", D552)), VERI_TABANI!$F$29*VERI_TABANI!$B$16, 0))) / (((VERI_TABANI!$D$29*B552 + VERI_TABANI!$D$29*C552)*VERI_TABANI!$B$13 + IF(ISNUMBER(SEARCH("Var", D552)), VERI_TABANI!$E$29*(1-0.928)*VERI_TABANI!$B$18, 0))), 0)</f>
        <v/>
      </c>
      <c r="J552" s="171">
        <f>IFERROR(F552/(G552/29), 0)</f>
        <v/>
      </c>
      <c r="K552" s="172">
        <f>IF(F552&gt;0, H552/F552, 0)</f>
        <v/>
      </c>
      <c r="L552" s="170">
        <f>IF(F552&gt;0, I552, 1000000000)</f>
        <v/>
      </c>
      <c r="M552" s="171">
        <f>ABS((B552+C552)-1)</f>
        <v/>
      </c>
      <c r="N552" s="170">
        <f>IF(F552&gt;0, (G552/29)/F552, 0)</f>
        <v/>
      </c>
      <c r="O552" s="168">
        <f>IF(AND((B552+C552)&gt;=1, ISNUMBER(SEARCH("Var", D552))), F552, 1000000000)</f>
        <v/>
      </c>
      <c r="P552" s="172">
        <f>IF(F552&gt;0, SQRT((F552/MAX(F$5:F$886))^2 + (1 - H552/MAX(H$5:H$886))^2 + (J552/MAX(J$5:J$886))^2), 1000000000)</f>
        <v/>
      </c>
      <c r="Q552" s="166">
        <f>IF(AND(ABS(B552-0.5)&lt;0.01, ABS(C552-0.5)&lt;0.01, ISNUMBER(SEARCH("Var", D552))), 1, 0)</f>
        <v/>
      </c>
      <c r="R552" s="171">
        <f>IF(F552&gt;0, J552, 1000000000)</f>
        <v/>
      </c>
      <c r="S552" s="101">
        <f>IF(AND(F552&lt;=DASHBOARD!$B$11, H552&gt;=DASHBOARD!$B$13), G552, -1000000000000)</f>
        <v/>
      </c>
      <c r="T552" s="101">
        <f>IF(AND(F552&lt;=DASHBOARD!$B$11, H552&gt;=DASHBOARD!$B$13), R552, 1000000000000)</f>
        <v/>
      </c>
      <c r="U552" s="101">
        <f>IF(AND(F552&lt;=DASHBOARD!$B$11, H552&gt;=DASHBOARD!$B$13), N552, -1000000000000)</f>
        <v/>
      </c>
      <c r="V552" s="101">
        <f>IF(AND(F552&lt;=DASHBOARD!$B$11, H552&gt;=DASHBOARD!$B$13), H552, -1000000000000)</f>
        <v/>
      </c>
      <c r="W552" s="101">
        <f>IF(AND(F552&lt;=DASHBOARD!$B$11, H552&gt;=DASHBOARD!$B$13), K552, -1000000000000)</f>
        <v/>
      </c>
      <c r="X552" s="101">
        <f>IF(AND(F552&lt;=DASHBOARD!$B$11, H552&gt;=DASHBOARD!$B$13), M552, 1000000000000)</f>
        <v/>
      </c>
      <c r="Y552" s="101">
        <f>IF(AND(F552&lt;=DASHBOARD!$B$10, H552&gt;=DASHBOARD!$B$11), L552, 1000000000000)</f>
        <v/>
      </c>
      <c r="Z552" s="101">
        <f>IF(AND(F552&lt;=DASHBOARD!$B$10, H552&gt;=DASHBOARD!$B$11), O552, 1000000000000)</f>
        <v/>
      </c>
      <c r="AA552" s="101">
        <f>IF(AND(F552&lt;=DASHBOARD!$B$10, H552&gt;=DASHBOARD!$B$11), P552, 1000000000000)</f>
        <v/>
      </c>
      <c r="AB552" s="101">
        <f>IF(AND(F552&lt;=DASHBOARD!$B$10, H552&gt;=DASHBOARD!$B$11), Q552, -1000000000000)</f>
        <v/>
      </c>
    </row>
    <row r="553" ht="15" customHeight="1" s="102">
      <c r="A553" s="166" t="n">
        <v>549</v>
      </c>
      <c r="B553" s="167" t="n">
        <v>1.3</v>
      </c>
      <c r="C553" s="167" t="n">
        <v>0.1</v>
      </c>
      <c r="D553" s="110" t="inlineStr">
        <is>
          <t>Yok (%0)</t>
        </is>
      </c>
      <c r="E553" s="110">
        <f>IF((B553+C553)&lt;=1, "Tam Mahsuplaşma (≤%100)", "Kısmi Satış (&gt;%100)")</f>
        <v/>
      </c>
      <c r="F553" s="168">
        <f>((VERI_TABANI!$D$29*B553/VERI_TABANI!$B$29)/VERI_TABANI!$B$3)*VERI_TABANI!$B$5 + ((VERI_TABANI!$D$29*C553/VERI_TABANI!$B$29)/VERI_TABANI!$B$4)*VERI_TABANI!$B$6 + IF(ISNUMBER(SEARCH("Var", D553)), (VERI_TABANI!$F$29/VERI_TABANI!$B$29)*(VERI_TABANI!$B$10+VERI_TABANI!$B$12), 0)</f>
        <v/>
      </c>
      <c r="G553" s="168">
        <f>(((MIN(VERI_TABANI!D23, VERI_TABANI!D23*B553)*VERI_TABANI!$B$7 + MAX(0, VERI_TABANI!D23*B553-VERI_TABANI!D23)*VERI_TABANI!$B$8) + (MIN(MAX(0, VERI_TABANI!D23-VERI_TABANI!D23*B553), VERI_TABANI!D23*C553)*VERI_TABANI!$B$7 + MAX(0, VERI_TABANI!D23*C553-MAX(0, VERI_TABANI!D23-VERI_TABANI!D23*B553))*VERI_TABANI!$B$8) + IF(ABS(IF(ISNUMBER(SEARCH("Var", D553)), 1, IF(ISNUMBER(SEARCH("Gri", D553)), -1, 0)))=1, VERI_TABANI!E23*(1-0.928)*VERI_TABANI!$B$9, 0) + (VERI_TABANI!D23*B553*(VERI_TABANI!$B$13-VERI_TABANI!$B$14)*VERI_TABANI!G23) + (VERI_TABANI!D23*C553*(VERI_TABANI!$B$13-VERI_TABANI!$B$15)*VERI_TABANI!G23) + IF(ABS(IF(ISNUMBER(SEARCH("Var", D553)), 1, IF(ISNUMBER(SEARCH("Gri", D553)), -1, 0)))=1, VERI_TABANI!E23*(1-0.928)*0.00206091519919798*VERI_TABANI!G23, 0)) + ((MIN(VERI_TABANI!D24, VERI_TABANI!D24*B553)*VERI_TABANI!$B$7 + MAX(0, VERI_TABANI!D24*B553-VERI_TABANI!D24)*VERI_TABANI!$B$8) + (MIN(MAX(0, VERI_TABANI!D24-VERI_TABANI!D24*B553), VERI_TABANI!D24*C553)*VERI_TABANI!$B$7 + MAX(0, VERI_TABANI!D24*C553-MAX(0, VERI_TABANI!D24-VERI_TABANI!D24*B553))*VERI_TABANI!$B$8) + IF(ABS(IF(ISNUMBER(SEARCH("Var", D553)), 1, IF(ISNUMBER(SEARCH("Gri", D553)), -1, 0)))=1, VERI_TABANI!E24*(1-0.928)*VERI_TABANI!$B$9, 0) + (VERI_TABANI!D24*B553*(VERI_TABANI!$B$13-VERI_TABANI!$B$14)*VERI_TABANI!G24) + (VERI_TABANI!D24*C553*(VERI_TABANI!$B$13-VERI_TABANI!$B$15)*VERI_TABANI!G24) + IF(ABS(IF(ISNUMBER(SEARCH("Var", D553)), 1, IF(ISNUMBER(SEARCH("Gri", D553)), -1, 0)))=1, VERI_TABANI!E24*(1-0.928)*0.00206091519919798*VERI_TABANI!G24, 0)) + ((MIN(VERI_TABANI!D25, VERI_TABANI!D25*B553)*VERI_TABANI!$B$7 + MAX(0, VERI_TABANI!D25*B553-VERI_TABANI!D25)*VERI_TABANI!$B$8) + (MIN(MAX(0, VERI_TABANI!D25-VERI_TABANI!D25*B553), VERI_TABANI!D25*C553)*VERI_TABANI!$B$7 + MAX(0, VERI_TABANI!D25*C553-MAX(0, VERI_TABANI!D25-VERI_TABANI!D25*B553))*VERI_TABANI!$B$8) + IF(ABS(IF(ISNUMBER(SEARCH("Var", D553)), 1, IF(ISNUMBER(SEARCH("Gri", D553)), -1, 0)))=1, VERI_TABANI!E25*(1-0.928)*VERI_TABANI!$B$9, 0) + (VERI_TABANI!D25*B553*(VERI_TABANI!$B$13-VERI_TABANI!$B$14)*VERI_TABANI!G25) + (VERI_TABANI!D25*C553*(VERI_TABANI!$B$13-VERI_TABANI!$B$15)*VERI_TABANI!G25) + IF(ABS(IF(ISNUMBER(SEARCH("Var", D553)), 1, IF(ISNUMBER(SEARCH("Gri", D553)), -1, 0)))=1, VERI_TABANI!E25*(1-0.928)*0.00206091519919798*VERI_TABANI!G25, 0)) + ((MIN(VERI_TABANI!D26, VERI_TABANI!D26*B553)*VERI_TABANI!$B$7 + MAX(0, VERI_TABANI!D26*B553-VERI_TABANI!D26)*VERI_TABANI!$B$8) + (MIN(MAX(0, VERI_TABANI!D26-VERI_TABANI!D26*B553), VERI_TABANI!D26*C553)*VERI_TABANI!$B$7 + MAX(0, VERI_TABANI!D26*C553-MAX(0, VERI_TABANI!D26-VERI_TABANI!D26*B553))*VERI_TABANI!$B$8) + IF(ABS(IF(ISNUMBER(SEARCH("Var", D553)), 1, IF(ISNUMBER(SEARCH("Gri", D553)), -1, 0)))=1, VERI_TABANI!E26*(1-0.928)*VERI_TABANI!$B$9, 0) + (VERI_TABANI!D26*B553*(VERI_TABANI!$B$13-VERI_TABANI!$B$14)*VERI_TABANI!G26) + (VERI_TABANI!D26*C553*(VERI_TABANI!$B$13-VERI_TABANI!$B$15)*VERI_TABANI!G26) + IF(ABS(IF(ISNUMBER(SEARCH("Var", D553)), 1, IF(ISNUMBER(SEARCH("Gri", D553)), -1, 0)))=1, VERI_TABANI!E26*(1-0.928)*0.00206091519919798*VERI_TABANI!G26, 0)) + ((MIN(VERI_TABANI!D27, VERI_TABANI!D27*B553)*VERI_TABANI!$B$7 + MAX(0, VERI_TABANI!D27*B553-VERI_TABANI!D27)*VERI_TABANI!$B$8) + (MIN(MAX(0, VERI_TABANI!D27-VERI_TABANI!D27*B553), VERI_TABANI!D27*C553)*VERI_TABANI!$B$7 + MAX(0, VERI_TABANI!D27*C553-MAX(0, VERI_TABANI!D27-VERI_TABANI!D27*B553))*VERI_TABANI!$B$8) + IF(ABS(IF(ISNUMBER(SEARCH("Var", D553)), 1, IF(ISNUMBER(SEARCH("Gri", D553)), -1, 0)))=1, VERI_TABANI!E27*(1-0.928)*VERI_TABANI!$B$9, 0) + (VERI_TABANI!D27*B553*(VERI_TABANI!$B$13-VERI_TABANI!$B$14)*VERI_TABANI!G27) + (VERI_TABANI!D27*C553*(VERI_TABANI!$B$13-VERI_TABANI!$B$15)*VERI_TABANI!G27) + IF(ABS(IF(ISNUMBER(SEARCH("Var", D553)), 1, IF(ISNUMBER(SEARCH("Gri", D553)), -1, 0)))=1, VERI_TABANI!E27*(1-0.928)*0.00206091519919798*VERI_TABANI!G27, 0)) + ((MIN(VERI_TABANI!D28, VERI_TABANI!D28*B553)*VERI_TABANI!$B$7 + MAX(0, VERI_TABANI!D28*B553-VERI_TABANI!D28)*VERI_TABANI!$B$8) + (MIN(MAX(0, VERI_TABANI!D28-VERI_TABANI!D28*B553), VERI_TABANI!D28*C553)*VERI_TABANI!$B$7 + MAX(0, VERI_TABANI!D28*C553-MAX(0, VERI_TABANI!D28-VERI_TABANI!D28*B553))*VERI_TABANI!$B$8) + IF(ABS(IF(ISNUMBER(SEARCH("Var", D553)), 1, IF(ISNUMBER(SEARCH("Gri", D553)), -1, 0)))=1, VERI_TABANI!E28*(1-0.928)*VERI_TABANI!$B$9, 0) + (VERI_TABANI!D28*B553*(VERI_TABANI!$B$13-VERI_TABANI!$B$14)*VERI_TABANI!G28) + (VERI_TABANI!D28*C553*(VERI_TABANI!$B$13-VERI_TABANI!$B$15)*VERI_TABANI!G28) + IF(ABS(IF(ISNUMBER(SEARCH("Var", D553)), 1, IF(ISNUMBER(SEARCH("Gri", D553)), -1, 0)))=1, VERI_TABANI!E28*(1-0.928)*0.00206091519919798*VERI_TABANI!G28, 0)))</f>
        <v/>
      </c>
      <c r="H553" s="169">
        <f>(((VERI_TABANI!D23*B553*(VERI_TABANI!$B$13-VERI_TABANI!$B$14)) + (VERI_TABANI!D23*C553*(VERI_TABANI!$B$13-VERI_TABANI!$B$15)) + IF(ISNUMBER(SEARCH("Var", D553)), VERI_TABANI!F23*(0.00202-VERI_TABANI!$B$16), IF(ISNUMBER(SEARCH("Gri", D553)), VERI_TABANI!F23*(0.00202-VERI_TABANI!$B$17), 0))) + ((VERI_TABANI!D24*B553*(VERI_TABANI!$B$13-VERI_TABANI!$B$14)) + (VERI_TABANI!D24*C553*(VERI_TABANI!$B$13-VERI_TABANI!$B$15)) + IF(ISNUMBER(SEARCH("Var", D553)), VERI_TABANI!F24*(0.00202-VERI_TABANI!$B$16), IF(ISNUMBER(SEARCH("Gri", D553)), VERI_TABANI!F24*(0.00202-VERI_TABANI!$B$17), 0))) + ((VERI_TABANI!D25*B553*(VERI_TABANI!$B$13-VERI_TABANI!$B$14)) + (VERI_TABANI!D25*C553*(VERI_TABANI!$B$13-VERI_TABANI!$B$15)) + IF(ISNUMBER(SEARCH("Var", D553)), VERI_TABANI!F25*(0.00202-VERI_TABANI!$B$16), IF(ISNUMBER(SEARCH("Gri", D553)), VERI_TABANI!F25*(0.00202-VERI_TABANI!$B$17), 0))) + ((VERI_TABANI!D26*B553*(VERI_TABANI!$B$13-VERI_TABANI!$B$14)) + (VERI_TABANI!D26*C553*(VERI_TABANI!$B$13-VERI_TABANI!$B$15)) + IF(ISNUMBER(SEARCH("Var", D553)), VERI_TABANI!F26*(0.00202-VERI_TABANI!$B$16), IF(ISNUMBER(SEARCH("Gri", D553)), VERI_TABANI!F26*(0.00202-VERI_TABANI!$B$17), 0))) + ((VERI_TABANI!D27*B553*(VERI_TABANI!$B$13-VERI_TABANI!$B$14)) + (VERI_TABANI!D27*C553*(VERI_TABANI!$B$13-VERI_TABANI!$B$15)) + IF(ISNUMBER(SEARCH("Var", D553)), VERI_TABANI!F27*(0.00202-VERI_TABANI!$B$16), IF(ISNUMBER(SEARCH("Gri", D553)), VERI_TABANI!F27*(0.00202-VERI_TABANI!$B$17), 0))) + ((VERI_TABANI!D28*B553*(VERI_TABANI!$B$13-VERI_TABANI!$B$14)) + (VERI_TABANI!D28*C553*(VERI_TABANI!$B$13-VERI_TABANI!$B$15)) + IF(ISNUMBER(SEARCH("Var", D553)), VERI_TABANI!F28*(0.00202-VERI_TABANI!$B$16), IF(ISNUMBER(SEARCH("Gri", D553)), VERI_TABANI!F28*(0.00202-VERI_TABANI!$B$17), 0))))</f>
        <v/>
      </c>
      <c r="I553" s="170">
        <f>IFERROR(((VERI_TABANI!$D$29*B553*VERI_TABANI!$B$14 + VERI_TABANI!$D$29*C553*VERI_TABANI!$B$15 + IF(ISNUMBER(SEARCH("Var", D553)), VERI_TABANI!$F$29*VERI_TABANI!$B$16, 0))) / (((VERI_TABANI!$D$29*B553 + VERI_TABANI!$D$29*C553)*VERI_TABANI!$B$13 + IF(ISNUMBER(SEARCH("Var", D553)), VERI_TABANI!$E$29*(1-0.928)*VERI_TABANI!$B$18, 0))), 0)</f>
        <v/>
      </c>
      <c r="J553" s="171">
        <f>IFERROR(F553/(G553/29), 0)</f>
        <v/>
      </c>
      <c r="K553" s="172">
        <f>IF(F553&gt;0, H553/F553, 0)</f>
        <v/>
      </c>
      <c r="L553" s="170">
        <f>IF(F553&gt;0, I553, 1000000000)</f>
        <v/>
      </c>
      <c r="M553" s="171">
        <f>ABS((B553+C553)-1)</f>
        <v/>
      </c>
      <c r="N553" s="170">
        <f>IF(F553&gt;0, (G553/29)/F553, 0)</f>
        <v/>
      </c>
      <c r="O553" s="168">
        <f>IF(AND((B553+C553)&gt;=1, ISNUMBER(SEARCH("Var", D553))), F553, 1000000000)</f>
        <v/>
      </c>
      <c r="P553" s="172">
        <f>IF(F553&gt;0, SQRT((F553/MAX(F$5:F$886))^2 + (1 - H553/MAX(H$5:H$886))^2 + (J553/MAX(J$5:J$886))^2), 1000000000)</f>
        <v/>
      </c>
      <c r="Q553" s="166">
        <f>IF(AND(ABS(B553-0.5)&lt;0.01, ABS(C553-0.5)&lt;0.01, ISNUMBER(SEARCH("Var", D553))), 1, 0)</f>
        <v/>
      </c>
      <c r="R553" s="171">
        <f>IF(F553&gt;0, J553, 1000000000)</f>
        <v/>
      </c>
      <c r="S553" s="101">
        <f>IF(AND(F553&lt;=DASHBOARD!$B$11, H553&gt;=DASHBOARD!$B$13), G553, -1000000000000)</f>
        <v/>
      </c>
      <c r="T553" s="101">
        <f>IF(AND(F553&lt;=DASHBOARD!$B$11, H553&gt;=DASHBOARD!$B$13), R553, 1000000000000)</f>
        <v/>
      </c>
      <c r="U553" s="101">
        <f>IF(AND(F553&lt;=DASHBOARD!$B$11, H553&gt;=DASHBOARD!$B$13), N553, -1000000000000)</f>
        <v/>
      </c>
      <c r="V553" s="101">
        <f>IF(AND(F553&lt;=DASHBOARD!$B$11, H553&gt;=DASHBOARD!$B$13), H553, -1000000000000)</f>
        <v/>
      </c>
      <c r="W553" s="101">
        <f>IF(AND(F553&lt;=DASHBOARD!$B$11, H553&gt;=DASHBOARD!$B$13), K553, -1000000000000)</f>
        <v/>
      </c>
      <c r="X553" s="101">
        <f>IF(AND(F553&lt;=DASHBOARD!$B$11, H553&gt;=DASHBOARD!$B$13), M553, 1000000000000)</f>
        <v/>
      </c>
      <c r="Y553" s="101">
        <f>IF(AND(F553&lt;=DASHBOARD!$B$10, H553&gt;=DASHBOARD!$B$11), L553, 1000000000000)</f>
        <v/>
      </c>
      <c r="Z553" s="101">
        <f>IF(AND(F553&lt;=DASHBOARD!$B$10, H553&gt;=DASHBOARD!$B$11), O553, 1000000000000)</f>
        <v/>
      </c>
      <c r="AA553" s="101">
        <f>IF(AND(F553&lt;=DASHBOARD!$B$10, H553&gt;=DASHBOARD!$B$11), P553, 1000000000000)</f>
        <v/>
      </c>
      <c r="AB553" s="101">
        <f>IF(AND(F553&lt;=DASHBOARD!$B$10, H553&gt;=DASHBOARD!$B$11), Q553, -1000000000000)</f>
        <v/>
      </c>
    </row>
    <row r="554" ht="15" customHeight="1" s="102">
      <c r="A554" s="166" t="n">
        <v>550</v>
      </c>
      <c r="B554" s="167" t="n">
        <v>1.3</v>
      </c>
      <c r="C554" s="167" t="n">
        <v>0.1</v>
      </c>
      <c r="D554" s="110" t="inlineStr">
        <is>
          <t>Var (%20)</t>
        </is>
      </c>
      <c r="E554" s="110">
        <f>IF((B554+C554)&lt;=1, "Tam Mahsuplaşma (≤%100)", "Kısmi Satış (&gt;%100)")</f>
        <v/>
      </c>
      <c r="F554" s="168">
        <f>((VERI_TABANI!$D$29*B554/VERI_TABANI!$B$29)/VERI_TABANI!$B$3)*VERI_TABANI!$B$5 + ((VERI_TABANI!$D$29*C554/VERI_TABANI!$B$29)/VERI_TABANI!$B$4)*VERI_TABANI!$B$6 + IF(ISNUMBER(SEARCH("Var", D554)), (VERI_TABANI!$F$29/VERI_TABANI!$B$29)*(VERI_TABANI!$B$10+VERI_TABANI!$B$12), 0)</f>
        <v/>
      </c>
      <c r="G554" s="168">
        <f>(((MIN(VERI_TABANI!D23, VERI_TABANI!D23*B554)*VERI_TABANI!$B$7 + MAX(0, VERI_TABANI!D23*B554-VERI_TABANI!D23)*VERI_TABANI!$B$8) + (MIN(MAX(0, VERI_TABANI!D23-VERI_TABANI!D23*B554), VERI_TABANI!D23*C554)*VERI_TABANI!$B$7 + MAX(0, VERI_TABANI!D23*C554-MAX(0, VERI_TABANI!D23-VERI_TABANI!D23*B554))*VERI_TABANI!$B$8) + IF(ABS(IF(ISNUMBER(SEARCH("Var", D554)), 1, IF(ISNUMBER(SEARCH("Gri", D554)), -1, 0)))=1, VERI_TABANI!E23*(1-0.928)*VERI_TABANI!$B$9, 0) + (VERI_TABANI!D23*B554*(VERI_TABANI!$B$13-VERI_TABANI!$B$14)*VERI_TABANI!G23) + (VERI_TABANI!D23*C554*(VERI_TABANI!$B$13-VERI_TABANI!$B$15)*VERI_TABANI!G23) + IF(ABS(IF(ISNUMBER(SEARCH("Var", D554)), 1, IF(ISNUMBER(SEARCH("Gri", D554)), -1, 0)))=1, VERI_TABANI!E23*(1-0.928)*0.00206091519919798*VERI_TABANI!G23, 0)) + ((MIN(VERI_TABANI!D24, VERI_TABANI!D24*B554)*VERI_TABANI!$B$7 + MAX(0, VERI_TABANI!D24*B554-VERI_TABANI!D24)*VERI_TABANI!$B$8) + (MIN(MAX(0, VERI_TABANI!D24-VERI_TABANI!D24*B554), VERI_TABANI!D24*C554)*VERI_TABANI!$B$7 + MAX(0, VERI_TABANI!D24*C554-MAX(0, VERI_TABANI!D24-VERI_TABANI!D24*B554))*VERI_TABANI!$B$8) + IF(ABS(IF(ISNUMBER(SEARCH("Var", D554)), 1, IF(ISNUMBER(SEARCH("Gri", D554)), -1, 0)))=1, VERI_TABANI!E24*(1-0.928)*VERI_TABANI!$B$9, 0) + (VERI_TABANI!D24*B554*(VERI_TABANI!$B$13-VERI_TABANI!$B$14)*VERI_TABANI!G24) + (VERI_TABANI!D24*C554*(VERI_TABANI!$B$13-VERI_TABANI!$B$15)*VERI_TABANI!G24) + IF(ABS(IF(ISNUMBER(SEARCH("Var", D554)), 1, IF(ISNUMBER(SEARCH("Gri", D554)), -1, 0)))=1, VERI_TABANI!E24*(1-0.928)*0.00206091519919798*VERI_TABANI!G24, 0)) + ((MIN(VERI_TABANI!D25, VERI_TABANI!D25*B554)*VERI_TABANI!$B$7 + MAX(0, VERI_TABANI!D25*B554-VERI_TABANI!D25)*VERI_TABANI!$B$8) + (MIN(MAX(0, VERI_TABANI!D25-VERI_TABANI!D25*B554), VERI_TABANI!D25*C554)*VERI_TABANI!$B$7 + MAX(0, VERI_TABANI!D25*C554-MAX(0, VERI_TABANI!D25-VERI_TABANI!D25*B554))*VERI_TABANI!$B$8) + IF(ABS(IF(ISNUMBER(SEARCH("Var", D554)), 1, IF(ISNUMBER(SEARCH("Gri", D554)), -1, 0)))=1, VERI_TABANI!E25*(1-0.928)*VERI_TABANI!$B$9, 0) + (VERI_TABANI!D25*B554*(VERI_TABANI!$B$13-VERI_TABANI!$B$14)*VERI_TABANI!G25) + (VERI_TABANI!D25*C554*(VERI_TABANI!$B$13-VERI_TABANI!$B$15)*VERI_TABANI!G25) + IF(ABS(IF(ISNUMBER(SEARCH("Var", D554)), 1, IF(ISNUMBER(SEARCH("Gri", D554)), -1, 0)))=1, VERI_TABANI!E25*(1-0.928)*0.00206091519919798*VERI_TABANI!G25, 0)) + ((MIN(VERI_TABANI!D26, VERI_TABANI!D26*B554)*VERI_TABANI!$B$7 + MAX(0, VERI_TABANI!D26*B554-VERI_TABANI!D26)*VERI_TABANI!$B$8) + (MIN(MAX(0, VERI_TABANI!D26-VERI_TABANI!D26*B554), VERI_TABANI!D26*C554)*VERI_TABANI!$B$7 + MAX(0, VERI_TABANI!D26*C554-MAX(0, VERI_TABANI!D26-VERI_TABANI!D26*B554))*VERI_TABANI!$B$8) + IF(ABS(IF(ISNUMBER(SEARCH("Var", D554)), 1, IF(ISNUMBER(SEARCH("Gri", D554)), -1, 0)))=1, VERI_TABANI!E26*(1-0.928)*VERI_TABANI!$B$9, 0) + (VERI_TABANI!D26*B554*(VERI_TABANI!$B$13-VERI_TABANI!$B$14)*VERI_TABANI!G26) + (VERI_TABANI!D26*C554*(VERI_TABANI!$B$13-VERI_TABANI!$B$15)*VERI_TABANI!G26) + IF(ABS(IF(ISNUMBER(SEARCH("Var", D554)), 1, IF(ISNUMBER(SEARCH("Gri", D554)), -1, 0)))=1, VERI_TABANI!E26*(1-0.928)*0.00206091519919798*VERI_TABANI!G26, 0)) + ((MIN(VERI_TABANI!D27, VERI_TABANI!D27*B554)*VERI_TABANI!$B$7 + MAX(0, VERI_TABANI!D27*B554-VERI_TABANI!D27)*VERI_TABANI!$B$8) + (MIN(MAX(0, VERI_TABANI!D27-VERI_TABANI!D27*B554), VERI_TABANI!D27*C554)*VERI_TABANI!$B$7 + MAX(0, VERI_TABANI!D27*C554-MAX(0, VERI_TABANI!D27-VERI_TABANI!D27*B554))*VERI_TABANI!$B$8) + IF(ABS(IF(ISNUMBER(SEARCH("Var", D554)), 1, IF(ISNUMBER(SEARCH("Gri", D554)), -1, 0)))=1, VERI_TABANI!E27*(1-0.928)*VERI_TABANI!$B$9, 0) + (VERI_TABANI!D27*B554*(VERI_TABANI!$B$13-VERI_TABANI!$B$14)*VERI_TABANI!G27) + (VERI_TABANI!D27*C554*(VERI_TABANI!$B$13-VERI_TABANI!$B$15)*VERI_TABANI!G27) + IF(ABS(IF(ISNUMBER(SEARCH("Var", D554)), 1, IF(ISNUMBER(SEARCH("Gri", D554)), -1, 0)))=1, VERI_TABANI!E27*(1-0.928)*0.00206091519919798*VERI_TABANI!G27, 0)) + ((MIN(VERI_TABANI!D28, VERI_TABANI!D28*B554)*VERI_TABANI!$B$7 + MAX(0, VERI_TABANI!D28*B554-VERI_TABANI!D28)*VERI_TABANI!$B$8) + (MIN(MAX(0, VERI_TABANI!D28-VERI_TABANI!D28*B554), VERI_TABANI!D28*C554)*VERI_TABANI!$B$7 + MAX(0, VERI_TABANI!D28*C554-MAX(0, VERI_TABANI!D28-VERI_TABANI!D28*B554))*VERI_TABANI!$B$8) + IF(ABS(IF(ISNUMBER(SEARCH("Var", D554)), 1, IF(ISNUMBER(SEARCH("Gri", D554)), -1, 0)))=1, VERI_TABANI!E28*(1-0.928)*VERI_TABANI!$B$9, 0) + (VERI_TABANI!D28*B554*(VERI_TABANI!$B$13-VERI_TABANI!$B$14)*VERI_TABANI!G28) + (VERI_TABANI!D28*C554*(VERI_TABANI!$B$13-VERI_TABANI!$B$15)*VERI_TABANI!G28) + IF(ABS(IF(ISNUMBER(SEARCH("Var", D554)), 1, IF(ISNUMBER(SEARCH("Gri", D554)), -1, 0)))=1, VERI_TABANI!E28*(1-0.928)*0.00206091519919798*VERI_TABANI!G28, 0)))</f>
        <v/>
      </c>
      <c r="H554" s="169">
        <f>(((VERI_TABANI!D23*B554*(VERI_TABANI!$B$13-VERI_TABANI!$B$14)) + (VERI_TABANI!D23*C554*(VERI_TABANI!$B$13-VERI_TABANI!$B$15)) + IF(ISNUMBER(SEARCH("Var", D554)), VERI_TABANI!F23*(0.00202-VERI_TABANI!$B$16), IF(ISNUMBER(SEARCH("Gri", D554)), VERI_TABANI!F23*(0.00202-VERI_TABANI!$B$17), 0))) + ((VERI_TABANI!D24*B554*(VERI_TABANI!$B$13-VERI_TABANI!$B$14)) + (VERI_TABANI!D24*C554*(VERI_TABANI!$B$13-VERI_TABANI!$B$15)) + IF(ISNUMBER(SEARCH("Var", D554)), VERI_TABANI!F24*(0.00202-VERI_TABANI!$B$16), IF(ISNUMBER(SEARCH("Gri", D554)), VERI_TABANI!F24*(0.00202-VERI_TABANI!$B$17), 0))) + ((VERI_TABANI!D25*B554*(VERI_TABANI!$B$13-VERI_TABANI!$B$14)) + (VERI_TABANI!D25*C554*(VERI_TABANI!$B$13-VERI_TABANI!$B$15)) + IF(ISNUMBER(SEARCH("Var", D554)), VERI_TABANI!F25*(0.00202-VERI_TABANI!$B$16), IF(ISNUMBER(SEARCH("Gri", D554)), VERI_TABANI!F25*(0.00202-VERI_TABANI!$B$17), 0))) + ((VERI_TABANI!D26*B554*(VERI_TABANI!$B$13-VERI_TABANI!$B$14)) + (VERI_TABANI!D26*C554*(VERI_TABANI!$B$13-VERI_TABANI!$B$15)) + IF(ISNUMBER(SEARCH("Var", D554)), VERI_TABANI!F26*(0.00202-VERI_TABANI!$B$16), IF(ISNUMBER(SEARCH("Gri", D554)), VERI_TABANI!F26*(0.00202-VERI_TABANI!$B$17), 0))) + ((VERI_TABANI!D27*B554*(VERI_TABANI!$B$13-VERI_TABANI!$B$14)) + (VERI_TABANI!D27*C554*(VERI_TABANI!$B$13-VERI_TABANI!$B$15)) + IF(ISNUMBER(SEARCH("Var", D554)), VERI_TABANI!F27*(0.00202-VERI_TABANI!$B$16), IF(ISNUMBER(SEARCH("Gri", D554)), VERI_TABANI!F27*(0.00202-VERI_TABANI!$B$17), 0))) + ((VERI_TABANI!D28*B554*(VERI_TABANI!$B$13-VERI_TABANI!$B$14)) + (VERI_TABANI!D28*C554*(VERI_TABANI!$B$13-VERI_TABANI!$B$15)) + IF(ISNUMBER(SEARCH("Var", D554)), VERI_TABANI!F28*(0.00202-VERI_TABANI!$B$16), IF(ISNUMBER(SEARCH("Gri", D554)), VERI_TABANI!F28*(0.00202-VERI_TABANI!$B$17), 0))))</f>
        <v/>
      </c>
      <c r="I554" s="170">
        <f>IFERROR(((VERI_TABANI!$D$29*B554*VERI_TABANI!$B$14 + VERI_TABANI!$D$29*C554*VERI_TABANI!$B$15 + IF(ISNUMBER(SEARCH("Var", D554)), VERI_TABANI!$F$29*VERI_TABANI!$B$16, 0))) / (((VERI_TABANI!$D$29*B554 + VERI_TABANI!$D$29*C554)*VERI_TABANI!$B$13 + IF(ISNUMBER(SEARCH("Var", D554)), VERI_TABANI!$E$29*(1-0.928)*VERI_TABANI!$B$18, 0))), 0)</f>
        <v/>
      </c>
      <c r="J554" s="171">
        <f>IFERROR(F554/(G554/29), 0)</f>
        <v/>
      </c>
      <c r="K554" s="172">
        <f>IF(F554&gt;0, H554/F554, 0)</f>
        <v/>
      </c>
      <c r="L554" s="170">
        <f>IF(F554&gt;0, I554, 1000000000)</f>
        <v/>
      </c>
      <c r="M554" s="171">
        <f>ABS((B554+C554)-1)</f>
        <v/>
      </c>
      <c r="N554" s="170">
        <f>IF(F554&gt;0, (G554/29)/F554, 0)</f>
        <v/>
      </c>
      <c r="O554" s="168">
        <f>IF(AND((B554+C554)&gt;=1, ISNUMBER(SEARCH("Var", D554))), F554, 1000000000)</f>
        <v/>
      </c>
      <c r="P554" s="172">
        <f>IF(F554&gt;0, SQRT((F554/MAX(F$5:F$886))^2 + (1 - H554/MAX(H$5:H$886))^2 + (J554/MAX(J$5:J$886))^2), 1000000000)</f>
        <v/>
      </c>
      <c r="Q554" s="166">
        <f>IF(AND(ABS(B554-0.5)&lt;0.01, ABS(C554-0.5)&lt;0.01, ISNUMBER(SEARCH("Var", D554))), 1, 0)</f>
        <v/>
      </c>
      <c r="R554" s="171">
        <f>IF(F554&gt;0, J554, 1000000000)</f>
        <v/>
      </c>
      <c r="S554" s="101">
        <f>IF(AND(F554&lt;=DASHBOARD!$B$11, H554&gt;=DASHBOARD!$B$13), G554, -1000000000000)</f>
        <v/>
      </c>
      <c r="T554" s="101">
        <f>IF(AND(F554&lt;=DASHBOARD!$B$11, H554&gt;=DASHBOARD!$B$13), R554, 1000000000000)</f>
        <v/>
      </c>
      <c r="U554" s="101">
        <f>IF(AND(F554&lt;=DASHBOARD!$B$11, H554&gt;=DASHBOARD!$B$13), N554, -1000000000000)</f>
        <v/>
      </c>
      <c r="V554" s="101">
        <f>IF(AND(F554&lt;=DASHBOARD!$B$11, H554&gt;=DASHBOARD!$B$13), H554, -1000000000000)</f>
        <v/>
      </c>
      <c r="W554" s="101">
        <f>IF(AND(F554&lt;=DASHBOARD!$B$11, H554&gt;=DASHBOARD!$B$13), K554, -1000000000000)</f>
        <v/>
      </c>
      <c r="X554" s="101">
        <f>IF(AND(F554&lt;=DASHBOARD!$B$11, H554&gt;=DASHBOARD!$B$13), M554, 1000000000000)</f>
        <v/>
      </c>
      <c r="Y554" s="101">
        <f>IF(AND(F554&lt;=DASHBOARD!$B$10, H554&gt;=DASHBOARD!$B$11), L554, 1000000000000)</f>
        <v/>
      </c>
      <c r="Z554" s="101">
        <f>IF(AND(F554&lt;=DASHBOARD!$B$10, H554&gt;=DASHBOARD!$B$11), O554, 1000000000000)</f>
        <v/>
      </c>
      <c r="AA554" s="101">
        <f>IF(AND(F554&lt;=DASHBOARD!$B$10, H554&gt;=DASHBOARD!$B$11), P554, 1000000000000)</f>
        <v/>
      </c>
      <c r="AB554" s="101">
        <f>IF(AND(F554&lt;=DASHBOARD!$B$10, H554&gt;=DASHBOARD!$B$11), Q554, -1000000000000)</f>
        <v/>
      </c>
    </row>
    <row r="555" ht="15" customHeight="1" s="102">
      <c r="A555" s="166" t="n">
        <v>551</v>
      </c>
      <c r="B555" s="167" t="n">
        <v>1.3</v>
      </c>
      <c r="C555" s="167" t="n">
        <v>0.2</v>
      </c>
      <c r="D555" s="110" t="inlineStr">
        <is>
          <t>Yok (%0)</t>
        </is>
      </c>
      <c r="E555" s="110">
        <f>IF((B555+C555)&lt;=1, "Tam Mahsuplaşma (≤%100)", "Kısmi Satış (&gt;%100)")</f>
        <v/>
      </c>
      <c r="F555" s="168">
        <f>((VERI_TABANI!$D$29*B555/VERI_TABANI!$B$29)/VERI_TABANI!$B$3)*VERI_TABANI!$B$5 + ((VERI_TABANI!$D$29*C555/VERI_TABANI!$B$29)/VERI_TABANI!$B$4)*VERI_TABANI!$B$6 + IF(ISNUMBER(SEARCH("Var", D555)), (VERI_TABANI!$F$29/VERI_TABANI!$B$29)*(VERI_TABANI!$B$10+VERI_TABANI!$B$12), 0)</f>
        <v/>
      </c>
      <c r="G555" s="168">
        <f>(((MIN(VERI_TABANI!D23, VERI_TABANI!D23*B555)*VERI_TABANI!$B$7 + MAX(0, VERI_TABANI!D23*B555-VERI_TABANI!D23)*VERI_TABANI!$B$8) + (MIN(MAX(0, VERI_TABANI!D23-VERI_TABANI!D23*B555), VERI_TABANI!D23*C555)*VERI_TABANI!$B$7 + MAX(0, VERI_TABANI!D23*C555-MAX(0, VERI_TABANI!D23-VERI_TABANI!D23*B555))*VERI_TABANI!$B$8) + IF(ABS(IF(ISNUMBER(SEARCH("Var", D555)), 1, IF(ISNUMBER(SEARCH("Gri", D555)), -1, 0)))=1, VERI_TABANI!E23*(1-0.928)*VERI_TABANI!$B$9, 0) + (VERI_TABANI!D23*B555*(VERI_TABANI!$B$13-VERI_TABANI!$B$14)*VERI_TABANI!G23) + (VERI_TABANI!D23*C555*(VERI_TABANI!$B$13-VERI_TABANI!$B$15)*VERI_TABANI!G23) + IF(ABS(IF(ISNUMBER(SEARCH("Var", D555)), 1, IF(ISNUMBER(SEARCH("Gri", D555)), -1, 0)))=1, VERI_TABANI!E23*(1-0.928)*0.00206091519919798*VERI_TABANI!G23, 0)) + ((MIN(VERI_TABANI!D24, VERI_TABANI!D24*B555)*VERI_TABANI!$B$7 + MAX(0, VERI_TABANI!D24*B555-VERI_TABANI!D24)*VERI_TABANI!$B$8) + (MIN(MAX(0, VERI_TABANI!D24-VERI_TABANI!D24*B555), VERI_TABANI!D24*C555)*VERI_TABANI!$B$7 + MAX(0, VERI_TABANI!D24*C555-MAX(0, VERI_TABANI!D24-VERI_TABANI!D24*B555))*VERI_TABANI!$B$8) + IF(ABS(IF(ISNUMBER(SEARCH("Var", D555)), 1, IF(ISNUMBER(SEARCH("Gri", D555)), -1, 0)))=1, VERI_TABANI!E24*(1-0.928)*VERI_TABANI!$B$9, 0) + (VERI_TABANI!D24*B555*(VERI_TABANI!$B$13-VERI_TABANI!$B$14)*VERI_TABANI!G24) + (VERI_TABANI!D24*C555*(VERI_TABANI!$B$13-VERI_TABANI!$B$15)*VERI_TABANI!G24) + IF(ABS(IF(ISNUMBER(SEARCH("Var", D555)), 1, IF(ISNUMBER(SEARCH("Gri", D555)), -1, 0)))=1, VERI_TABANI!E24*(1-0.928)*0.00206091519919798*VERI_TABANI!G24, 0)) + ((MIN(VERI_TABANI!D25, VERI_TABANI!D25*B555)*VERI_TABANI!$B$7 + MAX(0, VERI_TABANI!D25*B555-VERI_TABANI!D25)*VERI_TABANI!$B$8) + (MIN(MAX(0, VERI_TABANI!D25-VERI_TABANI!D25*B555), VERI_TABANI!D25*C555)*VERI_TABANI!$B$7 + MAX(0, VERI_TABANI!D25*C555-MAX(0, VERI_TABANI!D25-VERI_TABANI!D25*B555))*VERI_TABANI!$B$8) + IF(ABS(IF(ISNUMBER(SEARCH("Var", D555)), 1, IF(ISNUMBER(SEARCH("Gri", D555)), -1, 0)))=1, VERI_TABANI!E25*(1-0.928)*VERI_TABANI!$B$9, 0) + (VERI_TABANI!D25*B555*(VERI_TABANI!$B$13-VERI_TABANI!$B$14)*VERI_TABANI!G25) + (VERI_TABANI!D25*C555*(VERI_TABANI!$B$13-VERI_TABANI!$B$15)*VERI_TABANI!G25) + IF(ABS(IF(ISNUMBER(SEARCH("Var", D555)), 1, IF(ISNUMBER(SEARCH("Gri", D555)), -1, 0)))=1, VERI_TABANI!E25*(1-0.928)*0.00206091519919798*VERI_TABANI!G25, 0)) + ((MIN(VERI_TABANI!D26, VERI_TABANI!D26*B555)*VERI_TABANI!$B$7 + MAX(0, VERI_TABANI!D26*B555-VERI_TABANI!D26)*VERI_TABANI!$B$8) + (MIN(MAX(0, VERI_TABANI!D26-VERI_TABANI!D26*B555), VERI_TABANI!D26*C555)*VERI_TABANI!$B$7 + MAX(0, VERI_TABANI!D26*C555-MAX(0, VERI_TABANI!D26-VERI_TABANI!D26*B555))*VERI_TABANI!$B$8) + IF(ABS(IF(ISNUMBER(SEARCH("Var", D555)), 1, IF(ISNUMBER(SEARCH("Gri", D555)), -1, 0)))=1, VERI_TABANI!E26*(1-0.928)*VERI_TABANI!$B$9, 0) + (VERI_TABANI!D26*B555*(VERI_TABANI!$B$13-VERI_TABANI!$B$14)*VERI_TABANI!G26) + (VERI_TABANI!D26*C555*(VERI_TABANI!$B$13-VERI_TABANI!$B$15)*VERI_TABANI!G26) + IF(ABS(IF(ISNUMBER(SEARCH("Var", D555)), 1, IF(ISNUMBER(SEARCH("Gri", D555)), -1, 0)))=1, VERI_TABANI!E26*(1-0.928)*0.00206091519919798*VERI_TABANI!G26, 0)) + ((MIN(VERI_TABANI!D27, VERI_TABANI!D27*B555)*VERI_TABANI!$B$7 + MAX(0, VERI_TABANI!D27*B555-VERI_TABANI!D27)*VERI_TABANI!$B$8) + (MIN(MAX(0, VERI_TABANI!D27-VERI_TABANI!D27*B555), VERI_TABANI!D27*C555)*VERI_TABANI!$B$7 + MAX(0, VERI_TABANI!D27*C555-MAX(0, VERI_TABANI!D27-VERI_TABANI!D27*B555))*VERI_TABANI!$B$8) + IF(ABS(IF(ISNUMBER(SEARCH("Var", D555)), 1, IF(ISNUMBER(SEARCH("Gri", D555)), -1, 0)))=1, VERI_TABANI!E27*(1-0.928)*VERI_TABANI!$B$9, 0) + (VERI_TABANI!D27*B555*(VERI_TABANI!$B$13-VERI_TABANI!$B$14)*VERI_TABANI!G27) + (VERI_TABANI!D27*C555*(VERI_TABANI!$B$13-VERI_TABANI!$B$15)*VERI_TABANI!G27) + IF(ABS(IF(ISNUMBER(SEARCH("Var", D555)), 1, IF(ISNUMBER(SEARCH("Gri", D555)), -1, 0)))=1, VERI_TABANI!E27*(1-0.928)*0.00206091519919798*VERI_TABANI!G27, 0)) + ((MIN(VERI_TABANI!D28, VERI_TABANI!D28*B555)*VERI_TABANI!$B$7 + MAX(0, VERI_TABANI!D28*B555-VERI_TABANI!D28)*VERI_TABANI!$B$8) + (MIN(MAX(0, VERI_TABANI!D28-VERI_TABANI!D28*B555), VERI_TABANI!D28*C555)*VERI_TABANI!$B$7 + MAX(0, VERI_TABANI!D28*C555-MAX(0, VERI_TABANI!D28-VERI_TABANI!D28*B555))*VERI_TABANI!$B$8) + IF(ABS(IF(ISNUMBER(SEARCH("Var", D555)), 1, IF(ISNUMBER(SEARCH("Gri", D555)), -1, 0)))=1, VERI_TABANI!E28*(1-0.928)*VERI_TABANI!$B$9, 0) + (VERI_TABANI!D28*B555*(VERI_TABANI!$B$13-VERI_TABANI!$B$14)*VERI_TABANI!G28) + (VERI_TABANI!D28*C555*(VERI_TABANI!$B$13-VERI_TABANI!$B$15)*VERI_TABANI!G28) + IF(ABS(IF(ISNUMBER(SEARCH("Var", D555)), 1, IF(ISNUMBER(SEARCH("Gri", D555)), -1, 0)))=1, VERI_TABANI!E28*(1-0.928)*0.00206091519919798*VERI_TABANI!G28, 0)))</f>
        <v/>
      </c>
      <c r="H555" s="169">
        <f>(((VERI_TABANI!D23*B555*(VERI_TABANI!$B$13-VERI_TABANI!$B$14)) + (VERI_TABANI!D23*C555*(VERI_TABANI!$B$13-VERI_TABANI!$B$15)) + IF(ISNUMBER(SEARCH("Var", D555)), VERI_TABANI!F23*(0.00202-VERI_TABANI!$B$16), IF(ISNUMBER(SEARCH("Gri", D555)), VERI_TABANI!F23*(0.00202-VERI_TABANI!$B$17), 0))) + ((VERI_TABANI!D24*B555*(VERI_TABANI!$B$13-VERI_TABANI!$B$14)) + (VERI_TABANI!D24*C555*(VERI_TABANI!$B$13-VERI_TABANI!$B$15)) + IF(ISNUMBER(SEARCH("Var", D555)), VERI_TABANI!F24*(0.00202-VERI_TABANI!$B$16), IF(ISNUMBER(SEARCH("Gri", D555)), VERI_TABANI!F24*(0.00202-VERI_TABANI!$B$17), 0))) + ((VERI_TABANI!D25*B555*(VERI_TABANI!$B$13-VERI_TABANI!$B$14)) + (VERI_TABANI!D25*C555*(VERI_TABANI!$B$13-VERI_TABANI!$B$15)) + IF(ISNUMBER(SEARCH("Var", D555)), VERI_TABANI!F25*(0.00202-VERI_TABANI!$B$16), IF(ISNUMBER(SEARCH("Gri", D555)), VERI_TABANI!F25*(0.00202-VERI_TABANI!$B$17), 0))) + ((VERI_TABANI!D26*B555*(VERI_TABANI!$B$13-VERI_TABANI!$B$14)) + (VERI_TABANI!D26*C555*(VERI_TABANI!$B$13-VERI_TABANI!$B$15)) + IF(ISNUMBER(SEARCH("Var", D555)), VERI_TABANI!F26*(0.00202-VERI_TABANI!$B$16), IF(ISNUMBER(SEARCH("Gri", D555)), VERI_TABANI!F26*(0.00202-VERI_TABANI!$B$17), 0))) + ((VERI_TABANI!D27*B555*(VERI_TABANI!$B$13-VERI_TABANI!$B$14)) + (VERI_TABANI!D27*C555*(VERI_TABANI!$B$13-VERI_TABANI!$B$15)) + IF(ISNUMBER(SEARCH("Var", D555)), VERI_TABANI!F27*(0.00202-VERI_TABANI!$B$16), IF(ISNUMBER(SEARCH("Gri", D555)), VERI_TABANI!F27*(0.00202-VERI_TABANI!$B$17), 0))) + ((VERI_TABANI!D28*B555*(VERI_TABANI!$B$13-VERI_TABANI!$B$14)) + (VERI_TABANI!D28*C555*(VERI_TABANI!$B$13-VERI_TABANI!$B$15)) + IF(ISNUMBER(SEARCH("Var", D555)), VERI_TABANI!F28*(0.00202-VERI_TABANI!$B$16), IF(ISNUMBER(SEARCH("Gri", D555)), VERI_TABANI!F28*(0.00202-VERI_TABANI!$B$17), 0))))</f>
        <v/>
      </c>
      <c r="I555" s="170">
        <f>IFERROR(((VERI_TABANI!$D$29*B555*VERI_TABANI!$B$14 + VERI_TABANI!$D$29*C555*VERI_TABANI!$B$15 + IF(ISNUMBER(SEARCH("Var", D555)), VERI_TABANI!$F$29*VERI_TABANI!$B$16, 0))) / (((VERI_TABANI!$D$29*B555 + VERI_TABANI!$D$29*C555)*VERI_TABANI!$B$13 + IF(ISNUMBER(SEARCH("Var", D555)), VERI_TABANI!$E$29*(1-0.928)*VERI_TABANI!$B$18, 0))), 0)</f>
        <v/>
      </c>
      <c r="J555" s="171">
        <f>IFERROR(F555/(G555/29), 0)</f>
        <v/>
      </c>
      <c r="K555" s="172">
        <f>IF(F555&gt;0, H555/F555, 0)</f>
        <v/>
      </c>
      <c r="L555" s="170">
        <f>IF(F555&gt;0, I555, 1000000000)</f>
        <v/>
      </c>
      <c r="M555" s="171">
        <f>ABS((B555+C555)-1)</f>
        <v/>
      </c>
      <c r="N555" s="170">
        <f>IF(F555&gt;0, (G555/29)/F555, 0)</f>
        <v/>
      </c>
      <c r="O555" s="168">
        <f>IF(AND((B555+C555)&gt;=1, ISNUMBER(SEARCH("Var", D555))), F555, 1000000000)</f>
        <v/>
      </c>
      <c r="P555" s="172">
        <f>IF(F555&gt;0, SQRT((F555/MAX(F$5:F$886))^2 + (1 - H555/MAX(H$5:H$886))^2 + (J555/MAX(J$5:J$886))^2), 1000000000)</f>
        <v/>
      </c>
      <c r="Q555" s="166">
        <f>IF(AND(ABS(B555-0.5)&lt;0.01, ABS(C555-0.5)&lt;0.01, ISNUMBER(SEARCH("Var", D555))), 1, 0)</f>
        <v/>
      </c>
      <c r="R555" s="171">
        <f>IF(F555&gt;0, J555, 1000000000)</f>
        <v/>
      </c>
      <c r="S555" s="101">
        <f>IF(AND(F555&lt;=DASHBOARD!$B$11, H555&gt;=DASHBOARD!$B$13), G555, -1000000000000)</f>
        <v/>
      </c>
      <c r="T555" s="101">
        <f>IF(AND(F555&lt;=DASHBOARD!$B$11, H555&gt;=DASHBOARD!$B$13), R555, 1000000000000)</f>
        <v/>
      </c>
      <c r="U555" s="101">
        <f>IF(AND(F555&lt;=DASHBOARD!$B$11, H555&gt;=DASHBOARD!$B$13), N555, -1000000000000)</f>
        <v/>
      </c>
      <c r="V555" s="101">
        <f>IF(AND(F555&lt;=DASHBOARD!$B$11, H555&gt;=DASHBOARD!$B$13), H555, -1000000000000)</f>
        <v/>
      </c>
      <c r="W555" s="101">
        <f>IF(AND(F555&lt;=DASHBOARD!$B$11, H555&gt;=DASHBOARD!$B$13), K555, -1000000000000)</f>
        <v/>
      </c>
      <c r="X555" s="101">
        <f>IF(AND(F555&lt;=DASHBOARD!$B$11, H555&gt;=DASHBOARD!$B$13), M555, 1000000000000)</f>
        <v/>
      </c>
      <c r="Y555" s="101">
        <f>IF(AND(F555&lt;=DASHBOARD!$B$10, H555&gt;=DASHBOARD!$B$11), L555, 1000000000000)</f>
        <v/>
      </c>
      <c r="Z555" s="101">
        <f>IF(AND(F555&lt;=DASHBOARD!$B$10, H555&gt;=DASHBOARD!$B$11), O555, 1000000000000)</f>
        <v/>
      </c>
      <c r="AA555" s="101">
        <f>IF(AND(F555&lt;=DASHBOARD!$B$10, H555&gt;=DASHBOARD!$B$11), P555, 1000000000000)</f>
        <v/>
      </c>
      <c r="AB555" s="101">
        <f>IF(AND(F555&lt;=DASHBOARD!$B$10, H555&gt;=DASHBOARD!$B$11), Q555, -1000000000000)</f>
        <v/>
      </c>
    </row>
    <row r="556" ht="15" customHeight="1" s="102">
      <c r="A556" s="166" t="n">
        <v>552</v>
      </c>
      <c r="B556" s="167" t="n">
        <v>1.3</v>
      </c>
      <c r="C556" s="167" t="n">
        <v>0.2</v>
      </c>
      <c r="D556" s="110" t="inlineStr">
        <is>
          <t>Var (%20)</t>
        </is>
      </c>
      <c r="E556" s="110">
        <f>IF((B556+C556)&lt;=1, "Tam Mahsuplaşma (≤%100)", "Kısmi Satış (&gt;%100)")</f>
        <v/>
      </c>
      <c r="F556" s="168">
        <f>((VERI_TABANI!$D$29*B556/VERI_TABANI!$B$29)/VERI_TABANI!$B$3)*VERI_TABANI!$B$5 + ((VERI_TABANI!$D$29*C556/VERI_TABANI!$B$29)/VERI_TABANI!$B$4)*VERI_TABANI!$B$6 + IF(ISNUMBER(SEARCH("Var", D556)), (VERI_TABANI!$F$29/VERI_TABANI!$B$29)*(VERI_TABANI!$B$10+VERI_TABANI!$B$12), 0)</f>
        <v/>
      </c>
      <c r="G556" s="168">
        <f>(((MIN(VERI_TABANI!D23, VERI_TABANI!D23*B556)*VERI_TABANI!$B$7 + MAX(0, VERI_TABANI!D23*B556-VERI_TABANI!D23)*VERI_TABANI!$B$8) + (MIN(MAX(0, VERI_TABANI!D23-VERI_TABANI!D23*B556), VERI_TABANI!D23*C556)*VERI_TABANI!$B$7 + MAX(0, VERI_TABANI!D23*C556-MAX(0, VERI_TABANI!D23-VERI_TABANI!D23*B556))*VERI_TABANI!$B$8) + IF(ABS(IF(ISNUMBER(SEARCH("Var", D556)), 1, IF(ISNUMBER(SEARCH("Gri", D556)), -1, 0)))=1, VERI_TABANI!E23*(1-0.928)*VERI_TABANI!$B$9, 0) + (VERI_TABANI!D23*B556*(VERI_TABANI!$B$13-VERI_TABANI!$B$14)*VERI_TABANI!G23) + (VERI_TABANI!D23*C556*(VERI_TABANI!$B$13-VERI_TABANI!$B$15)*VERI_TABANI!G23) + IF(ABS(IF(ISNUMBER(SEARCH("Var", D556)), 1, IF(ISNUMBER(SEARCH("Gri", D556)), -1, 0)))=1, VERI_TABANI!E23*(1-0.928)*0.00206091519919798*VERI_TABANI!G23, 0)) + ((MIN(VERI_TABANI!D24, VERI_TABANI!D24*B556)*VERI_TABANI!$B$7 + MAX(0, VERI_TABANI!D24*B556-VERI_TABANI!D24)*VERI_TABANI!$B$8) + (MIN(MAX(0, VERI_TABANI!D24-VERI_TABANI!D24*B556), VERI_TABANI!D24*C556)*VERI_TABANI!$B$7 + MAX(0, VERI_TABANI!D24*C556-MAX(0, VERI_TABANI!D24-VERI_TABANI!D24*B556))*VERI_TABANI!$B$8) + IF(ABS(IF(ISNUMBER(SEARCH("Var", D556)), 1, IF(ISNUMBER(SEARCH("Gri", D556)), -1, 0)))=1, VERI_TABANI!E24*(1-0.928)*VERI_TABANI!$B$9, 0) + (VERI_TABANI!D24*B556*(VERI_TABANI!$B$13-VERI_TABANI!$B$14)*VERI_TABANI!G24) + (VERI_TABANI!D24*C556*(VERI_TABANI!$B$13-VERI_TABANI!$B$15)*VERI_TABANI!G24) + IF(ABS(IF(ISNUMBER(SEARCH("Var", D556)), 1, IF(ISNUMBER(SEARCH("Gri", D556)), -1, 0)))=1, VERI_TABANI!E24*(1-0.928)*0.00206091519919798*VERI_TABANI!G24, 0)) + ((MIN(VERI_TABANI!D25, VERI_TABANI!D25*B556)*VERI_TABANI!$B$7 + MAX(0, VERI_TABANI!D25*B556-VERI_TABANI!D25)*VERI_TABANI!$B$8) + (MIN(MAX(0, VERI_TABANI!D25-VERI_TABANI!D25*B556), VERI_TABANI!D25*C556)*VERI_TABANI!$B$7 + MAX(0, VERI_TABANI!D25*C556-MAX(0, VERI_TABANI!D25-VERI_TABANI!D25*B556))*VERI_TABANI!$B$8) + IF(ABS(IF(ISNUMBER(SEARCH("Var", D556)), 1, IF(ISNUMBER(SEARCH("Gri", D556)), -1, 0)))=1, VERI_TABANI!E25*(1-0.928)*VERI_TABANI!$B$9, 0) + (VERI_TABANI!D25*B556*(VERI_TABANI!$B$13-VERI_TABANI!$B$14)*VERI_TABANI!G25) + (VERI_TABANI!D25*C556*(VERI_TABANI!$B$13-VERI_TABANI!$B$15)*VERI_TABANI!G25) + IF(ABS(IF(ISNUMBER(SEARCH("Var", D556)), 1, IF(ISNUMBER(SEARCH("Gri", D556)), -1, 0)))=1, VERI_TABANI!E25*(1-0.928)*0.00206091519919798*VERI_TABANI!G25, 0)) + ((MIN(VERI_TABANI!D26, VERI_TABANI!D26*B556)*VERI_TABANI!$B$7 + MAX(0, VERI_TABANI!D26*B556-VERI_TABANI!D26)*VERI_TABANI!$B$8) + (MIN(MAX(0, VERI_TABANI!D26-VERI_TABANI!D26*B556), VERI_TABANI!D26*C556)*VERI_TABANI!$B$7 + MAX(0, VERI_TABANI!D26*C556-MAX(0, VERI_TABANI!D26-VERI_TABANI!D26*B556))*VERI_TABANI!$B$8) + IF(ABS(IF(ISNUMBER(SEARCH("Var", D556)), 1, IF(ISNUMBER(SEARCH("Gri", D556)), -1, 0)))=1, VERI_TABANI!E26*(1-0.928)*VERI_TABANI!$B$9, 0) + (VERI_TABANI!D26*B556*(VERI_TABANI!$B$13-VERI_TABANI!$B$14)*VERI_TABANI!G26) + (VERI_TABANI!D26*C556*(VERI_TABANI!$B$13-VERI_TABANI!$B$15)*VERI_TABANI!G26) + IF(ABS(IF(ISNUMBER(SEARCH("Var", D556)), 1, IF(ISNUMBER(SEARCH("Gri", D556)), -1, 0)))=1, VERI_TABANI!E26*(1-0.928)*0.00206091519919798*VERI_TABANI!G26, 0)) + ((MIN(VERI_TABANI!D27, VERI_TABANI!D27*B556)*VERI_TABANI!$B$7 + MAX(0, VERI_TABANI!D27*B556-VERI_TABANI!D27)*VERI_TABANI!$B$8) + (MIN(MAX(0, VERI_TABANI!D27-VERI_TABANI!D27*B556), VERI_TABANI!D27*C556)*VERI_TABANI!$B$7 + MAX(0, VERI_TABANI!D27*C556-MAX(0, VERI_TABANI!D27-VERI_TABANI!D27*B556))*VERI_TABANI!$B$8) + IF(ABS(IF(ISNUMBER(SEARCH("Var", D556)), 1, IF(ISNUMBER(SEARCH("Gri", D556)), -1, 0)))=1, VERI_TABANI!E27*(1-0.928)*VERI_TABANI!$B$9, 0) + (VERI_TABANI!D27*B556*(VERI_TABANI!$B$13-VERI_TABANI!$B$14)*VERI_TABANI!G27) + (VERI_TABANI!D27*C556*(VERI_TABANI!$B$13-VERI_TABANI!$B$15)*VERI_TABANI!G27) + IF(ABS(IF(ISNUMBER(SEARCH("Var", D556)), 1, IF(ISNUMBER(SEARCH("Gri", D556)), -1, 0)))=1, VERI_TABANI!E27*(1-0.928)*0.00206091519919798*VERI_TABANI!G27, 0)) + ((MIN(VERI_TABANI!D28, VERI_TABANI!D28*B556)*VERI_TABANI!$B$7 + MAX(0, VERI_TABANI!D28*B556-VERI_TABANI!D28)*VERI_TABANI!$B$8) + (MIN(MAX(0, VERI_TABANI!D28-VERI_TABANI!D28*B556), VERI_TABANI!D28*C556)*VERI_TABANI!$B$7 + MAX(0, VERI_TABANI!D28*C556-MAX(0, VERI_TABANI!D28-VERI_TABANI!D28*B556))*VERI_TABANI!$B$8) + IF(ABS(IF(ISNUMBER(SEARCH("Var", D556)), 1, IF(ISNUMBER(SEARCH("Gri", D556)), -1, 0)))=1, VERI_TABANI!E28*(1-0.928)*VERI_TABANI!$B$9, 0) + (VERI_TABANI!D28*B556*(VERI_TABANI!$B$13-VERI_TABANI!$B$14)*VERI_TABANI!G28) + (VERI_TABANI!D28*C556*(VERI_TABANI!$B$13-VERI_TABANI!$B$15)*VERI_TABANI!G28) + IF(ABS(IF(ISNUMBER(SEARCH("Var", D556)), 1, IF(ISNUMBER(SEARCH("Gri", D556)), -1, 0)))=1, VERI_TABANI!E28*(1-0.928)*0.00206091519919798*VERI_TABANI!G28, 0)))</f>
        <v/>
      </c>
      <c r="H556" s="169">
        <f>(((VERI_TABANI!D23*B556*(VERI_TABANI!$B$13-VERI_TABANI!$B$14)) + (VERI_TABANI!D23*C556*(VERI_TABANI!$B$13-VERI_TABANI!$B$15)) + IF(ISNUMBER(SEARCH("Var", D556)), VERI_TABANI!F23*(0.00202-VERI_TABANI!$B$16), IF(ISNUMBER(SEARCH("Gri", D556)), VERI_TABANI!F23*(0.00202-VERI_TABANI!$B$17), 0))) + ((VERI_TABANI!D24*B556*(VERI_TABANI!$B$13-VERI_TABANI!$B$14)) + (VERI_TABANI!D24*C556*(VERI_TABANI!$B$13-VERI_TABANI!$B$15)) + IF(ISNUMBER(SEARCH("Var", D556)), VERI_TABANI!F24*(0.00202-VERI_TABANI!$B$16), IF(ISNUMBER(SEARCH("Gri", D556)), VERI_TABANI!F24*(0.00202-VERI_TABANI!$B$17), 0))) + ((VERI_TABANI!D25*B556*(VERI_TABANI!$B$13-VERI_TABANI!$B$14)) + (VERI_TABANI!D25*C556*(VERI_TABANI!$B$13-VERI_TABANI!$B$15)) + IF(ISNUMBER(SEARCH("Var", D556)), VERI_TABANI!F25*(0.00202-VERI_TABANI!$B$16), IF(ISNUMBER(SEARCH("Gri", D556)), VERI_TABANI!F25*(0.00202-VERI_TABANI!$B$17), 0))) + ((VERI_TABANI!D26*B556*(VERI_TABANI!$B$13-VERI_TABANI!$B$14)) + (VERI_TABANI!D26*C556*(VERI_TABANI!$B$13-VERI_TABANI!$B$15)) + IF(ISNUMBER(SEARCH("Var", D556)), VERI_TABANI!F26*(0.00202-VERI_TABANI!$B$16), IF(ISNUMBER(SEARCH("Gri", D556)), VERI_TABANI!F26*(0.00202-VERI_TABANI!$B$17), 0))) + ((VERI_TABANI!D27*B556*(VERI_TABANI!$B$13-VERI_TABANI!$B$14)) + (VERI_TABANI!D27*C556*(VERI_TABANI!$B$13-VERI_TABANI!$B$15)) + IF(ISNUMBER(SEARCH("Var", D556)), VERI_TABANI!F27*(0.00202-VERI_TABANI!$B$16), IF(ISNUMBER(SEARCH("Gri", D556)), VERI_TABANI!F27*(0.00202-VERI_TABANI!$B$17), 0))) + ((VERI_TABANI!D28*B556*(VERI_TABANI!$B$13-VERI_TABANI!$B$14)) + (VERI_TABANI!D28*C556*(VERI_TABANI!$B$13-VERI_TABANI!$B$15)) + IF(ISNUMBER(SEARCH("Var", D556)), VERI_TABANI!F28*(0.00202-VERI_TABANI!$B$16), IF(ISNUMBER(SEARCH("Gri", D556)), VERI_TABANI!F28*(0.00202-VERI_TABANI!$B$17), 0))))</f>
        <v/>
      </c>
      <c r="I556" s="170">
        <f>IFERROR(((VERI_TABANI!$D$29*B556*VERI_TABANI!$B$14 + VERI_TABANI!$D$29*C556*VERI_TABANI!$B$15 + IF(ISNUMBER(SEARCH("Var", D556)), VERI_TABANI!$F$29*VERI_TABANI!$B$16, 0))) / (((VERI_TABANI!$D$29*B556 + VERI_TABANI!$D$29*C556)*VERI_TABANI!$B$13 + IF(ISNUMBER(SEARCH("Var", D556)), VERI_TABANI!$E$29*(1-0.928)*VERI_TABANI!$B$18, 0))), 0)</f>
        <v/>
      </c>
      <c r="J556" s="171">
        <f>IFERROR(F556/(G556/29), 0)</f>
        <v/>
      </c>
      <c r="K556" s="172">
        <f>IF(F556&gt;0, H556/F556, 0)</f>
        <v/>
      </c>
      <c r="L556" s="170">
        <f>IF(F556&gt;0, I556, 1000000000)</f>
        <v/>
      </c>
      <c r="M556" s="171">
        <f>ABS((B556+C556)-1)</f>
        <v/>
      </c>
      <c r="N556" s="170">
        <f>IF(F556&gt;0, (G556/29)/F556, 0)</f>
        <v/>
      </c>
      <c r="O556" s="168">
        <f>IF(AND((B556+C556)&gt;=1, ISNUMBER(SEARCH("Var", D556))), F556, 1000000000)</f>
        <v/>
      </c>
      <c r="P556" s="172">
        <f>IF(F556&gt;0, SQRT((F556/MAX(F$5:F$886))^2 + (1 - H556/MAX(H$5:H$886))^2 + (J556/MAX(J$5:J$886))^2), 1000000000)</f>
        <v/>
      </c>
      <c r="Q556" s="166">
        <f>IF(AND(ABS(B556-0.5)&lt;0.01, ABS(C556-0.5)&lt;0.01, ISNUMBER(SEARCH("Var", D556))), 1, 0)</f>
        <v/>
      </c>
      <c r="R556" s="171">
        <f>IF(F556&gt;0, J556, 1000000000)</f>
        <v/>
      </c>
      <c r="S556" s="101">
        <f>IF(AND(F556&lt;=DASHBOARD!$B$11, H556&gt;=DASHBOARD!$B$13), G556, -1000000000000)</f>
        <v/>
      </c>
      <c r="T556" s="101">
        <f>IF(AND(F556&lt;=DASHBOARD!$B$11, H556&gt;=DASHBOARD!$B$13), R556, 1000000000000)</f>
        <v/>
      </c>
      <c r="U556" s="101">
        <f>IF(AND(F556&lt;=DASHBOARD!$B$11, H556&gt;=DASHBOARD!$B$13), N556, -1000000000000)</f>
        <v/>
      </c>
      <c r="V556" s="101">
        <f>IF(AND(F556&lt;=DASHBOARD!$B$11, H556&gt;=DASHBOARD!$B$13), H556, -1000000000000)</f>
        <v/>
      </c>
      <c r="W556" s="101">
        <f>IF(AND(F556&lt;=DASHBOARD!$B$11, H556&gt;=DASHBOARD!$B$13), K556, -1000000000000)</f>
        <v/>
      </c>
      <c r="X556" s="101">
        <f>IF(AND(F556&lt;=DASHBOARD!$B$11, H556&gt;=DASHBOARD!$B$13), M556, 1000000000000)</f>
        <v/>
      </c>
      <c r="Y556" s="101">
        <f>IF(AND(F556&lt;=DASHBOARD!$B$10, H556&gt;=DASHBOARD!$B$11), L556, 1000000000000)</f>
        <v/>
      </c>
      <c r="Z556" s="101">
        <f>IF(AND(F556&lt;=DASHBOARD!$B$10, H556&gt;=DASHBOARD!$B$11), O556, 1000000000000)</f>
        <v/>
      </c>
      <c r="AA556" s="101">
        <f>IF(AND(F556&lt;=DASHBOARD!$B$10, H556&gt;=DASHBOARD!$B$11), P556, 1000000000000)</f>
        <v/>
      </c>
      <c r="AB556" s="101">
        <f>IF(AND(F556&lt;=DASHBOARD!$B$10, H556&gt;=DASHBOARD!$B$11), Q556, -1000000000000)</f>
        <v/>
      </c>
    </row>
    <row r="557" ht="15" customHeight="1" s="102">
      <c r="A557" s="166" t="n">
        <v>553</v>
      </c>
      <c r="B557" s="167" t="n">
        <v>1.3</v>
      </c>
      <c r="C557" s="167" t="n">
        <v>0.3</v>
      </c>
      <c r="D557" s="110" t="inlineStr">
        <is>
          <t>Yok (%0)</t>
        </is>
      </c>
      <c r="E557" s="110">
        <f>IF((B557+C557)&lt;=1, "Tam Mahsuplaşma (≤%100)", "Kısmi Satış (&gt;%100)")</f>
        <v/>
      </c>
      <c r="F557" s="168">
        <f>((VERI_TABANI!$D$29*B557/VERI_TABANI!$B$29)/VERI_TABANI!$B$3)*VERI_TABANI!$B$5 + ((VERI_TABANI!$D$29*C557/VERI_TABANI!$B$29)/VERI_TABANI!$B$4)*VERI_TABANI!$B$6 + IF(ISNUMBER(SEARCH("Var", D557)), (VERI_TABANI!$F$29/VERI_TABANI!$B$29)*(VERI_TABANI!$B$10+VERI_TABANI!$B$12), 0)</f>
        <v/>
      </c>
      <c r="G557" s="168">
        <f>(((MIN(VERI_TABANI!D23, VERI_TABANI!D23*B557)*VERI_TABANI!$B$7 + MAX(0, VERI_TABANI!D23*B557-VERI_TABANI!D23)*VERI_TABANI!$B$8) + (MIN(MAX(0, VERI_TABANI!D23-VERI_TABANI!D23*B557), VERI_TABANI!D23*C557)*VERI_TABANI!$B$7 + MAX(0, VERI_TABANI!D23*C557-MAX(0, VERI_TABANI!D23-VERI_TABANI!D23*B557))*VERI_TABANI!$B$8) + IF(ABS(IF(ISNUMBER(SEARCH("Var", D557)), 1, IF(ISNUMBER(SEARCH("Gri", D557)), -1, 0)))=1, VERI_TABANI!E23*(1-0.928)*VERI_TABANI!$B$9, 0) + (VERI_TABANI!D23*B557*(VERI_TABANI!$B$13-VERI_TABANI!$B$14)*VERI_TABANI!G23) + (VERI_TABANI!D23*C557*(VERI_TABANI!$B$13-VERI_TABANI!$B$15)*VERI_TABANI!G23) + IF(ABS(IF(ISNUMBER(SEARCH("Var", D557)), 1, IF(ISNUMBER(SEARCH("Gri", D557)), -1, 0)))=1, VERI_TABANI!E23*(1-0.928)*0.00206091519919798*VERI_TABANI!G23, 0)) + ((MIN(VERI_TABANI!D24, VERI_TABANI!D24*B557)*VERI_TABANI!$B$7 + MAX(0, VERI_TABANI!D24*B557-VERI_TABANI!D24)*VERI_TABANI!$B$8) + (MIN(MAX(0, VERI_TABANI!D24-VERI_TABANI!D24*B557), VERI_TABANI!D24*C557)*VERI_TABANI!$B$7 + MAX(0, VERI_TABANI!D24*C557-MAX(0, VERI_TABANI!D24-VERI_TABANI!D24*B557))*VERI_TABANI!$B$8) + IF(ABS(IF(ISNUMBER(SEARCH("Var", D557)), 1, IF(ISNUMBER(SEARCH("Gri", D557)), -1, 0)))=1, VERI_TABANI!E24*(1-0.928)*VERI_TABANI!$B$9, 0) + (VERI_TABANI!D24*B557*(VERI_TABANI!$B$13-VERI_TABANI!$B$14)*VERI_TABANI!G24) + (VERI_TABANI!D24*C557*(VERI_TABANI!$B$13-VERI_TABANI!$B$15)*VERI_TABANI!G24) + IF(ABS(IF(ISNUMBER(SEARCH("Var", D557)), 1, IF(ISNUMBER(SEARCH("Gri", D557)), -1, 0)))=1, VERI_TABANI!E24*(1-0.928)*0.00206091519919798*VERI_TABANI!G24, 0)) + ((MIN(VERI_TABANI!D25, VERI_TABANI!D25*B557)*VERI_TABANI!$B$7 + MAX(0, VERI_TABANI!D25*B557-VERI_TABANI!D25)*VERI_TABANI!$B$8) + (MIN(MAX(0, VERI_TABANI!D25-VERI_TABANI!D25*B557), VERI_TABANI!D25*C557)*VERI_TABANI!$B$7 + MAX(0, VERI_TABANI!D25*C557-MAX(0, VERI_TABANI!D25-VERI_TABANI!D25*B557))*VERI_TABANI!$B$8) + IF(ABS(IF(ISNUMBER(SEARCH("Var", D557)), 1, IF(ISNUMBER(SEARCH("Gri", D557)), -1, 0)))=1, VERI_TABANI!E25*(1-0.928)*VERI_TABANI!$B$9, 0) + (VERI_TABANI!D25*B557*(VERI_TABANI!$B$13-VERI_TABANI!$B$14)*VERI_TABANI!G25) + (VERI_TABANI!D25*C557*(VERI_TABANI!$B$13-VERI_TABANI!$B$15)*VERI_TABANI!G25) + IF(ABS(IF(ISNUMBER(SEARCH("Var", D557)), 1, IF(ISNUMBER(SEARCH("Gri", D557)), -1, 0)))=1, VERI_TABANI!E25*(1-0.928)*0.00206091519919798*VERI_TABANI!G25, 0)) + ((MIN(VERI_TABANI!D26, VERI_TABANI!D26*B557)*VERI_TABANI!$B$7 + MAX(0, VERI_TABANI!D26*B557-VERI_TABANI!D26)*VERI_TABANI!$B$8) + (MIN(MAX(0, VERI_TABANI!D26-VERI_TABANI!D26*B557), VERI_TABANI!D26*C557)*VERI_TABANI!$B$7 + MAX(0, VERI_TABANI!D26*C557-MAX(0, VERI_TABANI!D26-VERI_TABANI!D26*B557))*VERI_TABANI!$B$8) + IF(ABS(IF(ISNUMBER(SEARCH("Var", D557)), 1, IF(ISNUMBER(SEARCH("Gri", D557)), -1, 0)))=1, VERI_TABANI!E26*(1-0.928)*VERI_TABANI!$B$9, 0) + (VERI_TABANI!D26*B557*(VERI_TABANI!$B$13-VERI_TABANI!$B$14)*VERI_TABANI!G26) + (VERI_TABANI!D26*C557*(VERI_TABANI!$B$13-VERI_TABANI!$B$15)*VERI_TABANI!G26) + IF(ABS(IF(ISNUMBER(SEARCH("Var", D557)), 1, IF(ISNUMBER(SEARCH("Gri", D557)), -1, 0)))=1, VERI_TABANI!E26*(1-0.928)*0.00206091519919798*VERI_TABANI!G26, 0)) + ((MIN(VERI_TABANI!D27, VERI_TABANI!D27*B557)*VERI_TABANI!$B$7 + MAX(0, VERI_TABANI!D27*B557-VERI_TABANI!D27)*VERI_TABANI!$B$8) + (MIN(MAX(0, VERI_TABANI!D27-VERI_TABANI!D27*B557), VERI_TABANI!D27*C557)*VERI_TABANI!$B$7 + MAX(0, VERI_TABANI!D27*C557-MAX(0, VERI_TABANI!D27-VERI_TABANI!D27*B557))*VERI_TABANI!$B$8) + IF(ABS(IF(ISNUMBER(SEARCH("Var", D557)), 1, IF(ISNUMBER(SEARCH("Gri", D557)), -1, 0)))=1, VERI_TABANI!E27*(1-0.928)*VERI_TABANI!$B$9, 0) + (VERI_TABANI!D27*B557*(VERI_TABANI!$B$13-VERI_TABANI!$B$14)*VERI_TABANI!G27) + (VERI_TABANI!D27*C557*(VERI_TABANI!$B$13-VERI_TABANI!$B$15)*VERI_TABANI!G27) + IF(ABS(IF(ISNUMBER(SEARCH("Var", D557)), 1, IF(ISNUMBER(SEARCH("Gri", D557)), -1, 0)))=1, VERI_TABANI!E27*(1-0.928)*0.00206091519919798*VERI_TABANI!G27, 0)) + ((MIN(VERI_TABANI!D28, VERI_TABANI!D28*B557)*VERI_TABANI!$B$7 + MAX(0, VERI_TABANI!D28*B557-VERI_TABANI!D28)*VERI_TABANI!$B$8) + (MIN(MAX(0, VERI_TABANI!D28-VERI_TABANI!D28*B557), VERI_TABANI!D28*C557)*VERI_TABANI!$B$7 + MAX(0, VERI_TABANI!D28*C557-MAX(0, VERI_TABANI!D28-VERI_TABANI!D28*B557))*VERI_TABANI!$B$8) + IF(ABS(IF(ISNUMBER(SEARCH("Var", D557)), 1, IF(ISNUMBER(SEARCH("Gri", D557)), -1, 0)))=1, VERI_TABANI!E28*(1-0.928)*VERI_TABANI!$B$9, 0) + (VERI_TABANI!D28*B557*(VERI_TABANI!$B$13-VERI_TABANI!$B$14)*VERI_TABANI!G28) + (VERI_TABANI!D28*C557*(VERI_TABANI!$B$13-VERI_TABANI!$B$15)*VERI_TABANI!G28) + IF(ABS(IF(ISNUMBER(SEARCH("Var", D557)), 1, IF(ISNUMBER(SEARCH("Gri", D557)), -1, 0)))=1, VERI_TABANI!E28*(1-0.928)*0.00206091519919798*VERI_TABANI!G28, 0)))</f>
        <v/>
      </c>
      <c r="H557" s="169">
        <f>(((VERI_TABANI!D23*B557*(VERI_TABANI!$B$13-VERI_TABANI!$B$14)) + (VERI_TABANI!D23*C557*(VERI_TABANI!$B$13-VERI_TABANI!$B$15)) + IF(ISNUMBER(SEARCH("Var", D557)), VERI_TABANI!F23*(0.00202-VERI_TABANI!$B$16), IF(ISNUMBER(SEARCH("Gri", D557)), VERI_TABANI!F23*(0.00202-VERI_TABANI!$B$17), 0))) + ((VERI_TABANI!D24*B557*(VERI_TABANI!$B$13-VERI_TABANI!$B$14)) + (VERI_TABANI!D24*C557*(VERI_TABANI!$B$13-VERI_TABANI!$B$15)) + IF(ISNUMBER(SEARCH("Var", D557)), VERI_TABANI!F24*(0.00202-VERI_TABANI!$B$16), IF(ISNUMBER(SEARCH("Gri", D557)), VERI_TABANI!F24*(0.00202-VERI_TABANI!$B$17), 0))) + ((VERI_TABANI!D25*B557*(VERI_TABANI!$B$13-VERI_TABANI!$B$14)) + (VERI_TABANI!D25*C557*(VERI_TABANI!$B$13-VERI_TABANI!$B$15)) + IF(ISNUMBER(SEARCH("Var", D557)), VERI_TABANI!F25*(0.00202-VERI_TABANI!$B$16), IF(ISNUMBER(SEARCH("Gri", D557)), VERI_TABANI!F25*(0.00202-VERI_TABANI!$B$17), 0))) + ((VERI_TABANI!D26*B557*(VERI_TABANI!$B$13-VERI_TABANI!$B$14)) + (VERI_TABANI!D26*C557*(VERI_TABANI!$B$13-VERI_TABANI!$B$15)) + IF(ISNUMBER(SEARCH("Var", D557)), VERI_TABANI!F26*(0.00202-VERI_TABANI!$B$16), IF(ISNUMBER(SEARCH("Gri", D557)), VERI_TABANI!F26*(0.00202-VERI_TABANI!$B$17), 0))) + ((VERI_TABANI!D27*B557*(VERI_TABANI!$B$13-VERI_TABANI!$B$14)) + (VERI_TABANI!D27*C557*(VERI_TABANI!$B$13-VERI_TABANI!$B$15)) + IF(ISNUMBER(SEARCH("Var", D557)), VERI_TABANI!F27*(0.00202-VERI_TABANI!$B$16), IF(ISNUMBER(SEARCH("Gri", D557)), VERI_TABANI!F27*(0.00202-VERI_TABANI!$B$17), 0))) + ((VERI_TABANI!D28*B557*(VERI_TABANI!$B$13-VERI_TABANI!$B$14)) + (VERI_TABANI!D28*C557*(VERI_TABANI!$B$13-VERI_TABANI!$B$15)) + IF(ISNUMBER(SEARCH("Var", D557)), VERI_TABANI!F28*(0.00202-VERI_TABANI!$B$16), IF(ISNUMBER(SEARCH("Gri", D557)), VERI_TABANI!F28*(0.00202-VERI_TABANI!$B$17), 0))))</f>
        <v/>
      </c>
      <c r="I557" s="170">
        <f>IFERROR(((VERI_TABANI!$D$29*B557*VERI_TABANI!$B$14 + VERI_TABANI!$D$29*C557*VERI_TABANI!$B$15 + IF(ISNUMBER(SEARCH("Var", D557)), VERI_TABANI!$F$29*VERI_TABANI!$B$16, 0))) / (((VERI_TABANI!$D$29*B557 + VERI_TABANI!$D$29*C557)*VERI_TABANI!$B$13 + IF(ISNUMBER(SEARCH("Var", D557)), VERI_TABANI!$E$29*(1-0.928)*VERI_TABANI!$B$18, 0))), 0)</f>
        <v/>
      </c>
      <c r="J557" s="171">
        <f>IFERROR(F557/(G557/29), 0)</f>
        <v/>
      </c>
      <c r="K557" s="172">
        <f>IF(F557&gt;0, H557/F557, 0)</f>
        <v/>
      </c>
      <c r="L557" s="170">
        <f>IF(F557&gt;0, I557, 1000000000)</f>
        <v/>
      </c>
      <c r="M557" s="171">
        <f>ABS((B557+C557)-1)</f>
        <v/>
      </c>
      <c r="N557" s="170">
        <f>IF(F557&gt;0, (G557/29)/F557, 0)</f>
        <v/>
      </c>
      <c r="O557" s="168">
        <f>IF(AND((B557+C557)&gt;=1, ISNUMBER(SEARCH("Var", D557))), F557, 1000000000)</f>
        <v/>
      </c>
      <c r="P557" s="172">
        <f>IF(F557&gt;0, SQRT((F557/MAX(F$5:F$886))^2 + (1 - H557/MAX(H$5:H$886))^2 + (J557/MAX(J$5:J$886))^2), 1000000000)</f>
        <v/>
      </c>
      <c r="Q557" s="166">
        <f>IF(AND(ABS(B557-0.5)&lt;0.01, ABS(C557-0.5)&lt;0.01, ISNUMBER(SEARCH("Var", D557))), 1, 0)</f>
        <v/>
      </c>
      <c r="R557" s="171">
        <f>IF(F557&gt;0, J557, 1000000000)</f>
        <v/>
      </c>
      <c r="S557" s="101">
        <f>IF(AND(F557&lt;=DASHBOARD!$B$11, H557&gt;=DASHBOARD!$B$13), G557, -1000000000000)</f>
        <v/>
      </c>
      <c r="T557" s="101">
        <f>IF(AND(F557&lt;=DASHBOARD!$B$11, H557&gt;=DASHBOARD!$B$13), R557, 1000000000000)</f>
        <v/>
      </c>
      <c r="U557" s="101">
        <f>IF(AND(F557&lt;=DASHBOARD!$B$11, H557&gt;=DASHBOARD!$B$13), N557, -1000000000000)</f>
        <v/>
      </c>
      <c r="V557" s="101">
        <f>IF(AND(F557&lt;=DASHBOARD!$B$11, H557&gt;=DASHBOARD!$B$13), H557, -1000000000000)</f>
        <v/>
      </c>
      <c r="W557" s="101">
        <f>IF(AND(F557&lt;=DASHBOARD!$B$11, H557&gt;=DASHBOARD!$B$13), K557, -1000000000000)</f>
        <v/>
      </c>
      <c r="X557" s="101">
        <f>IF(AND(F557&lt;=DASHBOARD!$B$11, H557&gt;=DASHBOARD!$B$13), M557, 1000000000000)</f>
        <v/>
      </c>
      <c r="Y557" s="101">
        <f>IF(AND(F557&lt;=DASHBOARD!$B$10, H557&gt;=DASHBOARD!$B$11), L557, 1000000000000)</f>
        <v/>
      </c>
      <c r="Z557" s="101">
        <f>IF(AND(F557&lt;=DASHBOARD!$B$10, H557&gt;=DASHBOARD!$B$11), O557, 1000000000000)</f>
        <v/>
      </c>
      <c r="AA557" s="101">
        <f>IF(AND(F557&lt;=DASHBOARD!$B$10, H557&gt;=DASHBOARD!$B$11), P557, 1000000000000)</f>
        <v/>
      </c>
      <c r="AB557" s="101">
        <f>IF(AND(F557&lt;=DASHBOARD!$B$10, H557&gt;=DASHBOARD!$B$11), Q557, -1000000000000)</f>
        <v/>
      </c>
    </row>
    <row r="558" ht="15" customHeight="1" s="102">
      <c r="A558" s="166" t="n">
        <v>554</v>
      </c>
      <c r="B558" s="167" t="n">
        <v>1.3</v>
      </c>
      <c r="C558" s="167" t="n">
        <v>0.3</v>
      </c>
      <c r="D558" s="110" t="inlineStr">
        <is>
          <t>Var (%20)</t>
        </is>
      </c>
      <c r="E558" s="110">
        <f>IF((B558+C558)&lt;=1, "Tam Mahsuplaşma (≤%100)", "Kısmi Satış (&gt;%100)")</f>
        <v/>
      </c>
      <c r="F558" s="168">
        <f>((VERI_TABANI!$D$29*B558/VERI_TABANI!$B$29)/VERI_TABANI!$B$3)*VERI_TABANI!$B$5 + ((VERI_TABANI!$D$29*C558/VERI_TABANI!$B$29)/VERI_TABANI!$B$4)*VERI_TABANI!$B$6 + IF(ISNUMBER(SEARCH("Var", D558)), (VERI_TABANI!$F$29/VERI_TABANI!$B$29)*(VERI_TABANI!$B$10+VERI_TABANI!$B$12), 0)</f>
        <v/>
      </c>
      <c r="G558" s="168">
        <f>(((MIN(VERI_TABANI!D23, VERI_TABANI!D23*B558)*VERI_TABANI!$B$7 + MAX(0, VERI_TABANI!D23*B558-VERI_TABANI!D23)*VERI_TABANI!$B$8) + (MIN(MAX(0, VERI_TABANI!D23-VERI_TABANI!D23*B558), VERI_TABANI!D23*C558)*VERI_TABANI!$B$7 + MAX(0, VERI_TABANI!D23*C558-MAX(0, VERI_TABANI!D23-VERI_TABANI!D23*B558))*VERI_TABANI!$B$8) + IF(ABS(IF(ISNUMBER(SEARCH("Var", D558)), 1, IF(ISNUMBER(SEARCH("Gri", D558)), -1, 0)))=1, VERI_TABANI!E23*(1-0.928)*VERI_TABANI!$B$9, 0) + (VERI_TABANI!D23*B558*(VERI_TABANI!$B$13-VERI_TABANI!$B$14)*VERI_TABANI!G23) + (VERI_TABANI!D23*C558*(VERI_TABANI!$B$13-VERI_TABANI!$B$15)*VERI_TABANI!G23) + IF(ABS(IF(ISNUMBER(SEARCH("Var", D558)), 1, IF(ISNUMBER(SEARCH("Gri", D558)), -1, 0)))=1, VERI_TABANI!E23*(1-0.928)*0.00206091519919798*VERI_TABANI!G23, 0)) + ((MIN(VERI_TABANI!D24, VERI_TABANI!D24*B558)*VERI_TABANI!$B$7 + MAX(0, VERI_TABANI!D24*B558-VERI_TABANI!D24)*VERI_TABANI!$B$8) + (MIN(MAX(0, VERI_TABANI!D24-VERI_TABANI!D24*B558), VERI_TABANI!D24*C558)*VERI_TABANI!$B$7 + MAX(0, VERI_TABANI!D24*C558-MAX(0, VERI_TABANI!D24-VERI_TABANI!D24*B558))*VERI_TABANI!$B$8) + IF(ABS(IF(ISNUMBER(SEARCH("Var", D558)), 1, IF(ISNUMBER(SEARCH("Gri", D558)), -1, 0)))=1, VERI_TABANI!E24*(1-0.928)*VERI_TABANI!$B$9, 0) + (VERI_TABANI!D24*B558*(VERI_TABANI!$B$13-VERI_TABANI!$B$14)*VERI_TABANI!G24) + (VERI_TABANI!D24*C558*(VERI_TABANI!$B$13-VERI_TABANI!$B$15)*VERI_TABANI!G24) + IF(ABS(IF(ISNUMBER(SEARCH("Var", D558)), 1, IF(ISNUMBER(SEARCH("Gri", D558)), -1, 0)))=1, VERI_TABANI!E24*(1-0.928)*0.00206091519919798*VERI_TABANI!G24, 0)) + ((MIN(VERI_TABANI!D25, VERI_TABANI!D25*B558)*VERI_TABANI!$B$7 + MAX(0, VERI_TABANI!D25*B558-VERI_TABANI!D25)*VERI_TABANI!$B$8) + (MIN(MAX(0, VERI_TABANI!D25-VERI_TABANI!D25*B558), VERI_TABANI!D25*C558)*VERI_TABANI!$B$7 + MAX(0, VERI_TABANI!D25*C558-MAX(0, VERI_TABANI!D25-VERI_TABANI!D25*B558))*VERI_TABANI!$B$8) + IF(ABS(IF(ISNUMBER(SEARCH("Var", D558)), 1, IF(ISNUMBER(SEARCH("Gri", D558)), -1, 0)))=1, VERI_TABANI!E25*(1-0.928)*VERI_TABANI!$B$9, 0) + (VERI_TABANI!D25*B558*(VERI_TABANI!$B$13-VERI_TABANI!$B$14)*VERI_TABANI!G25) + (VERI_TABANI!D25*C558*(VERI_TABANI!$B$13-VERI_TABANI!$B$15)*VERI_TABANI!G25) + IF(ABS(IF(ISNUMBER(SEARCH("Var", D558)), 1, IF(ISNUMBER(SEARCH("Gri", D558)), -1, 0)))=1, VERI_TABANI!E25*(1-0.928)*0.00206091519919798*VERI_TABANI!G25, 0)) + ((MIN(VERI_TABANI!D26, VERI_TABANI!D26*B558)*VERI_TABANI!$B$7 + MAX(0, VERI_TABANI!D26*B558-VERI_TABANI!D26)*VERI_TABANI!$B$8) + (MIN(MAX(0, VERI_TABANI!D26-VERI_TABANI!D26*B558), VERI_TABANI!D26*C558)*VERI_TABANI!$B$7 + MAX(0, VERI_TABANI!D26*C558-MAX(0, VERI_TABANI!D26-VERI_TABANI!D26*B558))*VERI_TABANI!$B$8) + IF(ABS(IF(ISNUMBER(SEARCH("Var", D558)), 1, IF(ISNUMBER(SEARCH("Gri", D558)), -1, 0)))=1, VERI_TABANI!E26*(1-0.928)*VERI_TABANI!$B$9, 0) + (VERI_TABANI!D26*B558*(VERI_TABANI!$B$13-VERI_TABANI!$B$14)*VERI_TABANI!G26) + (VERI_TABANI!D26*C558*(VERI_TABANI!$B$13-VERI_TABANI!$B$15)*VERI_TABANI!G26) + IF(ABS(IF(ISNUMBER(SEARCH("Var", D558)), 1, IF(ISNUMBER(SEARCH("Gri", D558)), -1, 0)))=1, VERI_TABANI!E26*(1-0.928)*0.00206091519919798*VERI_TABANI!G26, 0)) + ((MIN(VERI_TABANI!D27, VERI_TABANI!D27*B558)*VERI_TABANI!$B$7 + MAX(0, VERI_TABANI!D27*B558-VERI_TABANI!D27)*VERI_TABANI!$B$8) + (MIN(MAX(0, VERI_TABANI!D27-VERI_TABANI!D27*B558), VERI_TABANI!D27*C558)*VERI_TABANI!$B$7 + MAX(0, VERI_TABANI!D27*C558-MAX(0, VERI_TABANI!D27-VERI_TABANI!D27*B558))*VERI_TABANI!$B$8) + IF(ABS(IF(ISNUMBER(SEARCH("Var", D558)), 1, IF(ISNUMBER(SEARCH("Gri", D558)), -1, 0)))=1, VERI_TABANI!E27*(1-0.928)*VERI_TABANI!$B$9, 0) + (VERI_TABANI!D27*B558*(VERI_TABANI!$B$13-VERI_TABANI!$B$14)*VERI_TABANI!G27) + (VERI_TABANI!D27*C558*(VERI_TABANI!$B$13-VERI_TABANI!$B$15)*VERI_TABANI!G27) + IF(ABS(IF(ISNUMBER(SEARCH("Var", D558)), 1, IF(ISNUMBER(SEARCH("Gri", D558)), -1, 0)))=1, VERI_TABANI!E27*(1-0.928)*0.00206091519919798*VERI_TABANI!G27, 0)) + ((MIN(VERI_TABANI!D28, VERI_TABANI!D28*B558)*VERI_TABANI!$B$7 + MAX(0, VERI_TABANI!D28*B558-VERI_TABANI!D28)*VERI_TABANI!$B$8) + (MIN(MAX(0, VERI_TABANI!D28-VERI_TABANI!D28*B558), VERI_TABANI!D28*C558)*VERI_TABANI!$B$7 + MAX(0, VERI_TABANI!D28*C558-MAX(0, VERI_TABANI!D28-VERI_TABANI!D28*B558))*VERI_TABANI!$B$8) + IF(ABS(IF(ISNUMBER(SEARCH("Var", D558)), 1, IF(ISNUMBER(SEARCH("Gri", D558)), -1, 0)))=1, VERI_TABANI!E28*(1-0.928)*VERI_TABANI!$B$9, 0) + (VERI_TABANI!D28*B558*(VERI_TABANI!$B$13-VERI_TABANI!$B$14)*VERI_TABANI!G28) + (VERI_TABANI!D28*C558*(VERI_TABANI!$B$13-VERI_TABANI!$B$15)*VERI_TABANI!G28) + IF(ABS(IF(ISNUMBER(SEARCH("Var", D558)), 1, IF(ISNUMBER(SEARCH("Gri", D558)), -1, 0)))=1, VERI_TABANI!E28*(1-0.928)*0.00206091519919798*VERI_TABANI!G28, 0)))</f>
        <v/>
      </c>
      <c r="H558" s="169">
        <f>(((VERI_TABANI!D23*B558*(VERI_TABANI!$B$13-VERI_TABANI!$B$14)) + (VERI_TABANI!D23*C558*(VERI_TABANI!$B$13-VERI_TABANI!$B$15)) + IF(ISNUMBER(SEARCH("Var", D558)), VERI_TABANI!F23*(0.00202-VERI_TABANI!$B$16), IF(ISNUMBER(SEARCH("Gri", D558)), VERI_TABANI!F23*(0.00202-VERI_TABANI!$B$17), 0))) + ((VERI_TABANI!D24*B558*(VERI_TABANI!$B$13-VERI_TABANI!$B$14)) + (VERI_TABANI!D24*C558*(VERI_TABANI!$B$13-VERI_TABANI!$B$15)) + IF(ISNUMBER(SEARCH("Var", D558)), VERI_TABANI!F24*(0.00202-VERI_TABANI!$B$16), IF(ISNUMBER(SEARCH("Gri", D558)), VERI_TABANI!F24*(0.00202-VERI_TABANI!$B$17), 0))) + ((VERI_TABANI!D25*B558*(VERI_TABANI!$B$13-VERI_TABANI!$B$14)) + (VERI_TABANI!D25*C558*(VERI_TABANI!$B$13-VERI_TABANI!$B$15)) + IF(ISNUMBER(SEARCH("Var", D558)), VERI_TABANI!F25*(0.00202-VERI_TABANI!$B$16), IF(ISNUMBER(SEARCH("Gri", D558)), VERI_TABANI!F25*(0.00202-VERI_TABANI!$B$17), 0))) + ((VERI_TABANI!D26*B558*(VERI_TABANI!$B$13-VERI_TABANI!$B$14)) + (VERI_TABANI!D26*C558*(VERI_TABANI!$B$13-VERI_TABANI!$B$15)) + IF(ISNUMBER(SEARCH("Var", D558)), VERI_TABANI!F26*(0.00202-VERI_TABANI!$B$16), IF(ISNUMBER(SEARCH("Gri", D558)), VERI_TABANI!F26*(0.00202-VERI_TABANI!$B$17), 0))) + ((VERI_TABANI!D27*B558*(VERI_TABANI!$B$13-VERI_TABANI!$B$14)) + (VERI_TABANI!D27*C558*(VERI_TABANI!$B$13-VERI_TABANI!$B$15)) + IF(ISNUMBER(SEARCH("Var", D558)), VERI_TABANI!F27*(0.00202-VERI_TABANI!$B$16), IF(ISNUMBER(SEARCH("Gri", D558)), VERI_TABANI!F27*(0.00202-VERI_TABANI!$B$17), 0))) + ((VERI_TABANI!D28*B558*(VERI_TABANI!$B$13-VERI_TABANI!$B$14)) + (VERI_TABANI!D28*C558*(VERI_TABANI!$B$13-VERI_TABANI!$B$15)) + IF(ISNUMBER(SEARCH("Var", D558)), VERI_TABANI!F28*(0.00202-VERI_TABANI!$B$16), IF(ISNUMBER(SEARCH("Gri", D558)), VERI_TABANI!F28*(0.00202-VERI_TABANI!$B$17), 0))))</f>
        <v/>
      </c>
      <c r="I558" s="170">
        <f>IFERROR(((VERI_TABANI!$D$29*B558*VERI_TABANI!$B$14 + VERI_TABANI!$D$29*C558*VERI_TABANI!$B$15 + IF(ISNUMBER(SEARCH("Var", D558)), VERI_TABANI!$F$29*VERI_TABANI!$B$16, 0))) / (((VERI_TABANI!$D$29*B558 + VERI_TABANI!$D$29*C558)*VERI_TABANI!$B$13 + IF(ISNUMBER(SEARCH("Var", D558)), VERI_TABANI!$E$29*(1-0.928)*VERI_TABANI!$B$18, 0))), 0)</f>
        <v/>
      </c>
      <c r="J558" s="171">
        <f>IFERROR(F558/(G558/29), 0)</f>
        <v/>
      </c>
      <c r="K558" s="172">
        <f>IF(F558&gt;0, H558/F558, 0)</f>
        <v/>
      </c>
      <c r="L558" s="170">
        <f>IF(F558&gt;0, I558, 1000000000)</f>
        <v/>
      </c>
      <c r="M558" s="171">
        <f>ABS((B558+C558)-1)</f>
        <v/>
      </c>
      <c r="N558" s="170">
        <f>IF(F558&gt;0, (G558/29)/F558, 0)</f>
        <v/>
      </c>
      <c r="O558" s="168">
        <f>IF(AND((B558+C558)&gt;=1, ISNUMBER(SEARCH("Var", D558))), F558, 1000000000)</f>
        <v/>
      </c>
      <c r="P558" s="172">
        <f>IF(F558&gt;0, SQRT((F558/MAX(F$5:F$886))^2 + (1 - H558/MAX(H$5:H$886))^2 + (J558/MAX(J$5:J$886))^2), 1000000000)</f>
        <v/>
      </c>
      <c r="Q558" s="166">
        <f>IF(AND(ABS(B558-0.5)&lt;0.01, ABS(C558-0.5)&lt;0.01, ISNUMBER(SEARCH("Var", D558))), 1, 0)</f>
        <v/>
      </c>
      <c r="R558" s="171">
        <f>IF(F558&gt;0, J558, 1000000000)</f>
        <v/>
      </c>
      <c r="S558" s="101">
        <f>IF(AND(F558&lt;=DASHBOARD!$B$11, H558&gt;=DASHBOARD!$B$13), G558, -1000000000000)</f>
        <v/>
      </c>
      <c r="T558" s="101">
        <f>IF(AND(F558&lt;=DASHBOARD!$B$11, H558&gt;=DASHBOARD!$B$13), R558, 1000000000000)</f>
        <v/>
      </c>
      <c r="U558" s="101">
        <f>IF(AND(F558&lt;=DASHBOARD!$B$11, H558&gt;=DASHBOARD!$B$13), N558, -1000000000000)</f>
        <v/>
      </c>
      <c r="V558" s="101">
        <f>IF(AND(F558&lt;=DASHBOARD!$B$11, H558&gt;=DASHBOARD!$B$13), H558, -1000000000000)</f>
        <v/>
      </c>
      <c r="W558" s="101">
        <f>IF(AND(F558&lt;=DASHBOARD!$B$11, H558&gt;=DASHBOARD!$B$13), K558, -1000000000000)</f>
        <v/>
      </c>
      <c r="X558" s="101">
        <f>IF(AND(F558&lt;=DASHBOARD!$B$11, H558&gt;=DASHBOARD!$B$13), M558, 1000000000000)</f>
        <v/>
      </c>
      <c r="Y558" s="101">
        <f>IF(AND(F558&lt;=DASHBOARD!$B$10, H558&gt;=DASHBOARD!$B$11), L558, 1000000000000)</f>
        <v/>
      </c>
      <c r="Z558" s="101">
        <f>IF(AND(F558&lt;=DASHBOARD!$B$10, H558&gt;=DASHBOARD!$B$11), O558, 1000000000000)</f>
        <v/>
      </c>
      <c r="AA558" s="101">
        <f>IF(AND(F558&lt;=DASHBOARD!$B$10, H558&gt;=DASHBOARD!$B$11), P558, 1000000000000)</f>
        <v/>
      </c>
      <c r="AB558" s="101">
        <f>IF(AND(F558&lt;=DASHBOARD!$B$10, H558&gt;=DASHBOARD!$B$11), Q558, -1000000000000)</f>
        <v/>
      </c>
    </row>
    <row r="559" ht="15" customHeight="1" s="102">
      <c r="A559" s="166" t="n">
        <v>555</v>
      </c>
      <c r="B559" s="167" t="n">
        <v>1.3</v>
      </c>
      <c r="C559" s="167" t="n">
        <v>0.4</v>
      </c>
      <c r="D559" s="110" t="inlineStr">
        <is>
          <t>Yok (%0)</t>
        </is>
      </c>
      <c r="E559" s="110">
        <f>IF((B559+C559)&lt;=1, "Tam Mahsuplaşma (≤%100)", "Kısmi Satış (&gt;%100)")</f>
        <v/>
      </c>
      <c r="F559" s="168">
        <f>((VERI_TABANI!$D$29*B559/VERI_TABANI!$B$29)/VERI_TABANI!$B$3)*VERI_TABANI!$B$5 + ((VERI_TABANI!$D$29*C559/VERI_TABANI!$B$29)/VERI_TABANI!$B$4)*VERI_TABANI!$B$6 + IF(ISNUMBER(SEARCH("Var", D559)), (VERI_TABANI!$F$29/VERI_TABANI!$B$29)*(VERI_TABANI!$B$10+VERI_TABANI!$B$12), 0)</f>
        <v/>
      </c>
      <c r="G559" s="168">
        <f>(((MIN(VERI_TABANI!D23, VERI_TABANI!D23*B559)*VERI_TABANI!$B$7 + MAX(0, VERI_TABANI!D23*B559-VERI_TABANI!D23)*VERI_TABANI!$B$8) + (MIN(MAX(0, VERI_TABANI!D23-VERI_TABANI!D23*B559), VERI_TABANI!D23*C559)*VERI_TABANI!$B$7 + MAX(0, VERI_TABANI!D23*C559-MAX(0, VERI_TABANI!D23-VERI_TABANI!D23*B559))*VERI_TABANI!$B$8) + IF(ABS(IF(ISNUMBER(SEARCH("Var", D559)), 1, IF(ISNUMBER(SEARCH("Gri", D559)), -1, 0)))=1, VERI_TABANI!E23*(1-0.928)*VERI_TABANI!$B$9, 0) + (VERI_TABANI!D23*B559*(VERI_TABANI!$B$13-VERI_TABANI!$B$14)*VERI_TABANI!G23) + (VERI_TABANI!D23*C559*(VERI_TABANI!$B$13-VERI_TABANI!$B$15)*VERI_TABANI!G23) + IF(ABS(IF(ISNUMBER(SEARCH("Var", D559)), 1, IF(ISNUMBER(SEARCH("Gri", D559)), -1, 0)))=1, VERI_TABANI!E23*(1-0.928)*0.00206091519919798*VERI_TABANI!G23, 0)) + ((MIN(VERI_TABANI!D24, VERI_TABANI!D24*B559)*VERI_TABANI!$B$7 + MAX(0, VERI_TABANI!D24*B559-VERI_TABANI!D24)*VERI_TABANI!$B$8) + (MIN(MAX(0, VERI_TABANI!D24-VERI_TABANI!D24*B559), VERI_TABANI!D24*C559)*VERI_TABANI!$B$7 + MAX(0, VERI_TABANI!D24*C559-MAX(0, VERI_TABANI!D24-VERI_TABANI!D24*B559))*VERI_TABANI!$B$8) + IF(ABS(IF(ISNUMBER(SEARCH("Var", D559)), 1, IF(ISNUMBER(SEARCH("Gri", D559)), -1, 0)))=1, VERI_TABANI!E24*(1-0.928)*VERI_TABANI!$B$9, 0) + (VERI_TABANI!D24*B559*(VERI_TABANI!$B$13-VERI_TABANI!$B$14)*VERI_TABANI!G24) + (VERI_TABANI!D24*C559*(VERI_TABANI!$B$13-VERI_TABANI!$B$15)*VERI_TABANI!G24) + IF(ABS(IF(ISNUMBER(SEARCH("Var", D559)), 1, IF(ISNUMBER(SEARCH("Gri", D559)), -1, 0)))=1, VERI_TABANI!E24*(1-0.928)*0.00206091519919798*VERI_TABANI!G24, 0)) + ((MIN(VERI_TABANI!D25, VERI_TABANI!D25*B559)*VERI_TABANI!$B$7 + MAX(0, VERI_TABANI!D25*B559-VERI_TABANI!D25)*VERI_TABANI!$B$8) + (MIN(MAX(0, VERI_TABANI!D25-VERI_TABANI!D25*B559), VERI_TABANI!D25*C559)*VERI_TABANI!$B$7 + MAX(0, VERI_TABANI!D25*C559-MAX(0, VERI_TABANI!D25-VERI_TABANI!D25*B559))*VERI_TABANI!$B$8) + IF(ABS(IF(ISNUMBER(SEARCH("Var", D559)), 1, IF(ISNUMBER(SEARCH("Gri", D559)), -1, 0)))=1, VERI_TABANI!E25*(1-0.928)*VERI_TABANI!$B$9, 0) + (VERI_TABANI!D25*B559*(VERI_TABANI!$B$13-VERI_TABANI!$B$14)*VERI_TABANI!G25) + (VERI_TABANI!D25*C559*(VERI_TABANI!$B$13-VERI_TABANI!$B$15)*VERI_TABANI!G25) + IF(ABS(IF(ISNUMBER(SEARCH("Var", D559)), 1, IF(ISNUMBER(SEARCH("Gri", D559)), -1, 0)))=1, VERI_TABANI!E25*(1-0.928)*0.00206091519919798*VERI_TABANI!G25, 0)) + ((MIN(VERI_TABANI!D26, VERI_TABANI!D26*B559)*VERI_TABANI!$B$7 + MAX(0, VERI_TABANI!D26*B559-VERI_TABANI!D26)*VERI_TABANI!$B$8) + (MIN(MAX(0, VERI_TABANI!D26-VERI_TABANI!D26*B559), VERI_TABANI!D26*C559)*VERI_TABANI!$B$7 + MAX(0, VERI_TABANI!D26*C559-MAX(0, VERI_TABANI!D26-VERI_TABANI!D26*B559))*VERI_TABANI!$B$8) + IF(ABS(IF(ISNUMBER(SEARCH("Var", D559)), 1, IF(ISNUMBER(SEARCH("Gri", D559)), -1, 0)))=1, VERI_TABANI!E26*(1-0.928)*VERI_TABANI!$B$9, 0) + (VERI_TABANI!D26*B559*(VERI_TABANI!$B$13-VERI_TABANI!$B$14)*VERI_TABANI!G26) + (VERI_TABANI!D26*C559*(VERI_TABANI!$B$13-VERI_TABANI!$B$15)*VERI_TABANI!G26) + IF(ABS(IF(ISNUMBER(SEARCH("Var", D559)), 1, IF(ISNUMBER(SEARCH("Gri", D559)), -1, 0)))=1, VERI_TABANI!E26*(1-0.928)*0.00206091519919798*VERI_TABANI!G26, 0)) + ((MIN(VERI_TABANI!D27, VERI_TABANI!D27*B559)*VERI_TABANI!$B$7 + MAX(0, VERI_TABANI!D27*B559-VERI_TABANI!D27)*VERI_TABANI!$B$8) + (MIN(MAX(0, VERI_TABANI!D27-VERI_TABANI!D27*B559), VERI_TABANI!D27*C559)*VERI_TABANI!$B$7 + MAX(0, VERI_TABANI!D27*C559-MAX(0, VERI_TABANI!D27-VERI_TABANI!D27*B559))*VERI_TABANI!$B$8) + IF(ABS(IF(ISNUMBER(SEARCH("Var", D559)), 1, IF(ISNUMBER(SEARCH("Gri", D559)), -1, 0)))=1, VERI_TABANI!E27*(1-0.928)*VERI_TABANI!$B$9, 0) + (VERI_TABANI!D27*B559*(VERI_TABANI!$B$13-VERI_TABANI!$B$14)*VERI_TABANI!G27) + (VERI_TABANI!D27*C559*(VERI_TABANI!$B$13-VERI_TABANI!$B$15)*VERI_TABANI!G27) + IF(ABS(IF(ISNUMBER(SEARCH("Var", D559)), 1, IF(ISNUMBER(SEARCH("Gri", D559)), -1, 0)))=1, VERI_TABANI!E27*(1-0.928)*0.00206091519919798*VERI_TABANI!G27, 0)) + ((MIN(VERI_TABANI!D28, VERI_TABANI!D28*B559)*VERI_TABANI!$B$7 + MAX(0, VERI_TABANI!D28*B559-VERI_TABANI!D28)*VERI_TABANI!$B$8) + (MIN(MAX(0, VERI_TABANI!D28-VERI_TABANI!D28*B559), VERI_TABANI!D28*C559)*VERI_TABANI!$B$7 + MAX(0, VERI_TABANI!D28*C559-MAX(0, VERI_TABANI!D28-VERI_TABANI!D28*B559))*VERI_TABANI!$B$8) + IF(ABS(IF(ISNUMBER(SEARCH("Var", D559)), 1, IF(ISNUMBER(SEARCH("Gri", D559)), -1, 0)))=1, VERI_TABANI!E28*(1-0.928)*VERI_TABANI!$B$9, 0) + (VERI_TABANI!D28*B559*(VERI_TABANI!$B$13-VERI_TABANI!$B$14)*VERI_TABANI!G28) + (VERI_TABANI!D28*C559*(VERI_TABANI!$B$13-VERI_TABANI!$B$15)*VERI_TABANI!G28) + IF(ABS(IF(ISNUMBER(SEARCH("Var", D559)), 1, IF(ISNUMBER(SEARCH("Gri", D559)), -1, 0)))=1, VERI_TABANI!E28*(1-0.928)*0.00206091519919798*VERI_TABANI!G28, 0)))</f>
        <v/>
      </c>
      <c r="H559" s="169">
        <f>(((VERI_TABANI!D23*B559*(VERI_TABANI!$B$13-VERI_TABANI!$B$14)) + (VERI_TABANI!D23*C559*(VERI_TABANI!$B$13-VERI_TABANI!$B$15)) + IF(ISNUMBER(SEARCH("Var", D559)), VERI_TABANI!F23*(0.00202-VERI_TABANI!$B$16), IF(ISNUMBER(SEARCH("Gri", D559)), VERI_TABANI!F23*(0.00202-VERI_TABANI!$B$17), 0))) + ((VERI_TABANI!D24*B559*(VERI_TABANI!$B$13-VERI_TABANI!$B$14)) + (VERI_TABANI!D24*C559*(VERI_TABANI!$B$13-VERI_TABANI!$B$15)) + IF(ISNUMBER(SEARCH("Var", D559)), VERI_TABANI!F24*(0.00202-VERI_TABANI!$B$16), IF(ISNUMBER(SEARCH("Gri", D559)), VERI_TABANI!F24*(0.00202-VERI_TABANI!$B$17), 0))) + ((VERI_TABANI!D25*B559*(VERI_TABANI!$B$13-VERI_TABANI!$B$14)) + (VERI_TABANI!D25*C559*(VERI_TABANI!$B$13-VERI_TABANI!$B$15)) + IF(ISNUMBER(SEARCH("Var", D559)), VERI_TABANI!F25*(0.00202-VERI_TABANI!$B$16), IF(ISNUMBER(SEARCH("Gri", D559)), VERI_TABANI!F25*(0.00202-VERI_TABANI!$B$17), 0))) + ((VERI_TABANI!D26*B559*(VERI_TABANI!$B$13-VERI_TABANI!$B$14)) + (VERI_TABANI!D26*C559*(VERI_TABANI!$B$13-VERI_TABANI!$B$15)) + IF(ISNUMBER(SEARCH("Var", D559)), VERI_TABANI!F26*(0.00202-VERI_TABANI!$B$16), IF(ISNUMBER(SEARCH("Gri", D559)), VERI_TABANI!F26*(0.00202-VERI_TABANI!$B$17), 0))) + ((VERI_TABANI!D27*B559*(VERI_TABANI!$B$13-VERI_TABANI!$B$14)) + (VERI_TABANI!D27*C559*(VERI_TABANI!$B$13-VERI_TABANI!$B$15)) + IF(ISNUMBER(SEARCH("Var", D559)), VERI_TABANI!F27*(0.00202-VERI_TABANI!$B$16), IF(ISNUMBER(SEARCH("Gri", D559)), VERI_TABANI!F27*(0.00202-VERI_TABANI!$B$17), 0))) + ((VERI_TABANI!D28*B559*(VERI_TABANI!$B$13-VERI_TABANI!$B$14)) + (VERI_TABANI!D28*C559*(VERI_TABANI!$B$13-VERI_TABANI!$B$15)) + IF(ISNUMBER(SEARCH("Var", D559)), VERI_TABANI!F28*(0.00202-VERI_TABANI!$B$16), IF(ISNUMBER(SEARCH("Gri", D559)), VERI_TABANI!F28*(0.00202-VERI_TABANI!$B$17), 0))))</f>
        <v/>
      </c>
      <c r="I559" s="170">
        <f>IFERROR(((VERI_TABANI!$D$29*B559*VERI_TABANI!$B$14 + VERI_TABANI!$D$29*C559*VERI_TABANI!$B$15 + IF(ISNUMBER(SEARCH("Var", D559)), VERI_TABANI!$F$29*VERI_TABANI!$B$16, 0))) / (((VERI_TABANI!$D$29*B559 + VERI_TABANI!$D$29*C559)*VERI_TABANI!$B$13 + IF(ISNUMBER(SEARCH("Var", D559)), VERI_TABANI!$E$29*(1-0.928)*VERI_TABANI!$B$18, 0))), 0)</f>
        <v/>
      </c>
      <c r="J559" s="171">
        <f>IFERROR(F559/(G559/29), 0)</f>
        <v/>
      </c>
      <c r="K559" s="172">
        <f>IF(F559&gt;0, H559/F559, 0)</f>
        <v/>
      </c>
      <c r="L559" s="170">
        <f>IF(F559&gt;0, I559, 1000000000)</f>
        <v/>
      </c>
      <c r="M559" s="171">
        <f>ABS((B559+C559)-1)</f>
        <v/>
      </c>
      <c r="N559" s="170">
        <f>IF(F559&gt;0, (G559/29)/F559, 0)</f>
        <v/>
      </c>
      <c r="O559" s="168">
        <f>IF(AND((B559+C559)&gt;=1, ISNUMBER(SEARCH("Var", D559))), F559, 1000000000)</f>
        <v/>
      </c>
      <c r="P559" s="172">
        <f>IF(F559&gt;0, SQRT((F559/MAX(F$5:F$886))^2 + (1 - H559/MAX(H$5:H$886))^2 + (J559/MAX(J$5:J$886))^2), 1000000000)</f>
        <v/>
      </c>
      <c r="Q559" s="166">
        <f>IF(AND(ABS(B559-0.5)&lt;0.01, ABS(C559-0.5)&lt;0.01, ISNUMBER(SEARCH("Var", D559))), 1, 0)</f>
        <v/>
      </c>
      <c r="R559" s="171">
        <f>IF(F559&gt;0, J559, 1000000000)</f>
        <v/>
      </c>
      <c r="S559" s="101">
        <f>IF(AND(F559&lt;=DASHBOARD!$B$11, H559&gt;=DASHBOARD!$B$13), G559, -1000000000000)</f>
        <v/>
      </c>
      <c r="T559" s="101">
        <f>IF(AND(F559&lt;=DASHBOARD!$B$11, H559&gt;=DASHBOARD!$B$13), R559, 1000000000000)</f>
        <v/>
      </c>
      <c r="U559" s="101">
        <f>IF(AND(F559&lt;=DASHBOARD!$B$11, H559&gt;=DASHBOARD!$B$13), N559, -1000000000000)</f>
        <v/>
      </c>
      <c r="V559" s="101">
        <f>IF(AND(F559&lt;=DASHBOARD!$B$11, H559&gt;=DASHBOARD!$B$13), H559, -1000000000000)</f>
        <v/>
      </c>
      <c r="W559" s="101">
        <f>IF(AND(F559&lt;=DASHBOARD!$B$11, H559&gt;=DASHBOARD!$B$13), K559, -1000000000000)</f>
        <v/>
      </c>
      <c r="X559" s="101">
        <f>IF(AND(F559&lt;=DASHBOARD!$B$11, H559&gt;=DASHBOARD!$B$13), M559, 1000000000000)</f>
        <v/>
      </c>
      <c r="Y559" s="101">
        <f>IF(AND(F559&lt;=DASHBOARD!$B$10, H559&gt;=DASHBOARD!$B$11), L559, 1000000000000)</f>
        <v/>
      </c>
      <c r="Z559" s="101">
        <f>IF(AND(F559&lt;=DASHBOARD!$B$10, H559&gt;=DASHBOARD!$B$11), O559, 1000000000000)</f>
        <v/>
      </c>
      <c r="AA559" s="101">
        <f>IF(AND(F559&lt;=DASHBOARD!$B$10, H559&gt;=DASHBOARD!$B$11), P559, 1000000000000)</f>
        <v/>
      </c>
      <c r="AB559" s="101">
        <f>IF(AND(F559&lt;=DASHBOARD!$B$10, H559&gt;=DASHBOARD!$B$11), Q559, -1000000000000)</f>
        <v/>
      </c>
    </row>
    <row r="560" ht="15" customHeight="1" s="102">
      <c r="A560" s="166" t="n">
        <v>556</v>
      </c>
      <c r="B560" s="167" t="n">
        <v>1.3</v>
      </c>
      <c r="C560" s="167" t="n">
        <v>0.4</v>
      </c>
      <c r="D560" s="110" t="inlineStr">
        <is>
          <t>Var (%20)</t>
        </is>
      </c>
      <c r="E560" s="110">
        <f>IF((B560+C560)&lt;=1, "Tam Mahsuplaşma (≤%100)", "Kısmi Satış (&gt;%100)")</f>
        <v/>
      </c>
      <c r="F560" s="168">
        <f>((VERI_TABANI!$D$29*B560/VERI_TABANI!$B$29)/VERI_TABANI!$B$3)*VERI_TABANI!$B$5 + ((VERI_TABANI!$D$29*C560/VERI_TABANI!$B$29)/VERI_TABANI!$B$4)*VERI_TABANI!$B$6 + IF(ISNUMBER(SEARCH("Var", D560)), (VERI_TABANI!$F$29/VERI_TABANI!$B$29)*(VERI_TABANI!$B$10+VERI_TABANI!$B$12), 0)</f>
        <v/>
      </c>
      <c r="G560" s="168">
        <f>(((MIN(VERI_TABANI!D23, VERI_TABANI!D23*B560)*VERI_TABANI!$B$7 + MAX(0, VERI_TABANI!D23*B560-VERI_TABANI!D23)*VERI_TABANI!$B$8) + (MIN(MAX(0, VERI_TABANI!D23-VERI_TABANI!D23*B560), VERI_TABANI!D23*C560)*VERI_TABANI!$B$7 + MAX(0, VERI_TABANI!D23*C560-MAX(0, VERI_TABANI!D23-VERI_TABANI!D23*B560))*VERI_TABANI!$B$8) + IF(ABS(IF(ISNUMBER(SEARCH("Var", D560)), 1, IF(ISNUMBER(SEARCH("Gri", D560)), -1, 0)))=1, VERI_TABANI!E23*(1-0.928)*VERI_TABANI!$B$9, 0) + (VERI_TABANI!D23*B560*(VERI_TABANI!$B$13-VERI_TABANI!$B$14)*VERI_TABANI!G23) + (VERI_TABANI!D23*C560*(VERI_TABANI!$B$13-VERI_TABANI!$B$15)*VERI_TABANI!G23) + IF(ABS(IF(ISNUMBER(SEARCH("Var", D560)), 1, IF(ISNUMBER(SEARCH("Gri", D560)), -1, 0)))=1, VERI_TABANI!E23*(1-0.928)*0.00206091519919798*VERI_TABANI!G23, 0)) + ((MIN(VERI_TABANI!D24, VERI_TABANI!D24*B560)*VERI_TABANI!$B$7 + MAX(0, VERI_TABANI!D24*B560-VERI_TABANI!D24)*VERI_TABANI!$B$8) + (MIN(MAX(0, VERI_TABANI!D24-VERI_TABANI!D24*B560), VERI_TABANI!D24*C560)*VERI_TABANI!$B$7 + MAX(0, VERI_TABANI!D24*C560-MAX(0, VERI_TABANI!D24-VERI_TABANI!D24*B560))*VERI_TABANI!$B$8) + IF(ABS(IF(ISNUMBER(SEARCH("Var", D560)), 1, IF(ISNUMBER(SEARCH("Gri", D560)), -1, 0)))=1, VERI_TABANI!E24*(1-0.928)*VERI_TABANI!$B$9, 0) + (VERI_TABANI!D24*B560*(VERI_TABANI!$B$13-VERI_TABANI!$B$14)*VERI_TABANI!G24) + (VERI_TABANI!D24*C560*(VERI_TABANI!$B$13-VERI_TABANI!$B$15)*VERI_TABANI!G24) + IF(ABS(IF(ISNUMBER(SEARCH("Var", D560)), 1, IF(ISNUMBER(SEARCH("Gri", D560)), -1, 0)))=1, VERI_TABANI!E24*(1-0.928)*0.00206091519919798*VERI_TABANI!G24, 0)) + ((MIN(VERI_TABANI!D25, VERI_TABANI!D25*B560)*VERI_TABANI!$B$7 + MAX(0, VERI_TABANI!D25*B560-VERI_TABANI!D25)*VERI_TABANI!$B$8) + (MIN(MAX(0, VERI_TABANI!D25-VERI_TABANI!D25*B560), VERI_TABANI!D25*C560)*VERI_TABANI!$B$7 + MAX(0, VERI_TABANI!D25*C560-MAX(0, VERI_TABANI!D25-VERI_TABANI!D25*B560))*VERI_TABANI!$B$8) + IF(ABS(IF(ISNUMBER(SEARCH("Var", D560)), 1, IF(ISNUMBER(SEARCH("Gri", D560)), -1, 0)))=1, VERI_TABANI!E25*(1-0.928)*VERI_TABANI!$B$9, 0) + (VERI_TABANI!D25*B560*(VERI_TABANI!$B$13-VERI_TABANI!$B$14)*VERI_TABANI!G25) + (VERI_TABANI!D25*C560*(VERI_TABANI!$B$13-VERI_TABANI!$B$15)*VERI_TABANI!G25) + IF(ABS(IF(ISNUMBER(SEARCH("Var", D560)), 1, IF(ISNUMBER(SEARCH("Gri", D560)), -1, 0)))=1, VERI_TABANI!E25*(1-0.928)*0.00206091519919798*VERI_TABANI!G25, 0)) + ((MIN(VERI_TABANI!D26, VERI_TABANI!D26*B560)*VERI_TABANI!$B$7 + MAX(0, VERI_TABANI!D26*B560-VERI_TABANI!D26)*VERI_TABANI!$B$8) + (MIN(MAX(0, VERI_TABANI!D26-VERI_TABANI!D26*B560), VERI_TABANI!D26*C560)*VERI_TABANI!$B$7 + MAX(0, VERI_TABANI!D26*C560-MAX(0, VERI_TABANI!D26-VERI_TABANI!D26*B560))*VERI_TABANI!$B$8) + IF(ABS(IF(ISNUMBER(SEARCH("Var", D560)), 1, IF(ISNUMBER(SEARCH("Gri", D560)), -1, 0)))=1, VERI_TABANI!E26*(1-0.928)*VERI_TABANI!$B$9, 0) + (VERI_TABANI!D26*B560*(VERI_TABANI!$B$13-VERI_TABANI!$B$14)*VERI_TABANI!G26) + (VERI_TABANI!D26*C560*(VERI_TABANI!$B$13-VERI_TABANI!$B$15)*VERI_TABANI!G26) + IF(ABS(IF(ISNUMBER(SEARCH("Var", D560)), 1, IF(ISNUMBER(SEARCH("Gri", D560)), -1, 0)))=1, VERI_TABANI!E26*(1-0.928)*0.00206091519919798*VERI_TABANI!G26, 0)) + ((MIN(VERI_TABANI!D27, VERI_TABANI!D27*B560)*VERI_TABANI!$B$7 + MAX(0, VERI_TABANI!D27*B560-VERI_TABANI!D27)*VERI_TABANI!$B$8) + (MIN(MAX(0, VERI_TABANI!D27-VERI_TABANI!D27*B560), VERI_TABANI!D27*C560)*VERI_TABANI!$B$7 + MAX(0, VERI_TABANI!D27*C560-MAX(0, VERI_TABANI!D27-VERI_TABANI!D27*B560))*VERI_TABANI!$B$8) + IF(ABS(IF(ISNUMBER(SEARCH("Var", D560)), 1, IF(ISNUMBER(SEARCH("Gri", D560)), -1, 0)))=1, VERI_TABANI!E27*(1-0.928)*VERI_TABANI!$B$9, 0) + (VERI_TABANI!D27*B560*(VERI_TABANI!$B$13-VERI_TABANI!$B$14)*VERI_TABANI!G27) + (VERI_TABANI!D27*C560*(VERI_TABANI!$B$13-VERI_TABANI!$B$15)*VERI_TABANI!G27) + IF(ABS(IF(ISNUMBER(SEARCH("Var", D560)), 1, IF(ISNUMBER(SEARCH("Gri", D560)), -1, 0)))=1, VERI_TABANI!E27*(1-0.928)*0.00206091519919798*VERI_TABANI!G27, 0)) + ((MIN(VERI_TABANI!D28, VERI_TABANI!D28*B560)*VERI_TABANI!$B$7 + MAX(0, VERI_TABANI!D28*B560-VERI_TABANI!D28)*VERI_TABANI!$B$8) + (MIN(MAX(0, VERI_TABANI!D28-VERI_TABANI!D28*B560), VERI_TABANI!D28*C560)*VERI_TABANI!$B$7 + MAX(0, VERI_TABANI!D28*C560-MAX(0, VERI_TABANI!D28-VERI_TABANI!D28*B560))*VERI_TABANI!$B$8) + IF(ABS(IF(ISNUMBER(SEARCH("Var", D560)), 1, IF(ISNUMBER(SEARCH("Gri", D560)), -1, 0)))=1, VERI_TABANI!E28*(1-0.928)*VERI_TABANI!$B$9, 0) + (VERI_TABANI!D28*B560*(VERI_TABANI!$B$13-VERI_TABANI!$B$14)*VERI_TABANI!G28) + (VERI_TABANI!D28*C560*(VERI_TABANI!$B$13-VERI_TABANI!$B$15)*VERI_TABANI!G28) + IF(ABS(IF(ISNUMBER(SEARCH("Var", D560)), 1, IF(ISNUMBER(SEARCH("Gri", D560)), -1, 0)))=1, VERI_TABANI!E28*(1-0.928)*0.00206091519919798*VERI_TABANI!G28, 0)))</f>
        <v/>
      </c>
      <c r="H560" s="169">
        <f>(((VERI_TABANI!D23*B560*(VERI_TABANI!$B$13-VERI_TABANI!$B$14)) + (VERI_TABANI!D23*C560*(VERI_TABANI!$B$13-VERI_TABANI!$B$15)) + IF(ISNUMBER(SEARCH("Var", D560)), VERI_TABANI!F23*(0.00202-VERI_TABANI!$B$16), IF(ISNUMBER(SEARCH("Gri", D560)), VERI_TABANI!F23*(0.00202-VERI_TABANI!$B$17), 0))) + ((VERI_TABANI!D24*B560*(VERI_TABANI!$B$13-VERI_TABANI!$B$14)) + (VERI_TABANI!D24*C560*(VERI_TABANI!$B$13-VERI_TABANI!$B$15)) + IF(ISNUMBER(SEARCH("Var", D560)), VERI_TABANI!F24*(0.00202-VERI_TABANI!$B$16), IF(ISNUMBER(SEARCH("Gri", D560)), VERI_TABANI!F24*(0.00202-VERI_TABANI!$B$17), 0))) + ((VERI_TABANI!D25*B560*(VERI_TABANI!$B$13-VERI_TABANI!$B$14)) + (VERI_TABANI!D25*C560*(VERI_TABANI!$B$13-VERI_TABANI!$B$15)) + IF(ISNUMBER(SEARCH("Var", D560)), VERI_TABANI!F25*(0.00202-VERI_TABANI!$B$16), IF(ISNUMBER(SEARCH("Gri", D560)), VERI_TABANI!F25*(0.00202-VERI_TABANI!$B$17), 0))) + ((VERI_TABANI!D26*B560*(VERI_TABANI!$B$13-VERI_TABANI!$B$14)) + (VERI_TABANI!D26*C560*(VERI_TABANI!$B$13-VERI_TABANI!$B$15)) + IF(ISNUMBER(SEARCH("Var", D560)), VERI_TABANI!F26*(0.00202-VERI_TABANI!$B$16), IF(ISNUMBER(SEARCH("Gri", D560)), VERI_TABANI!F26*(0.00202-VERI_TABANI!$B$17), 0))) + ((VERI_TABANI!D27*B560*(VERI_TABANI!$B$13-VERI_TABANI!$B$14)) + (VERI_TABANI!D27*C560*(VERI_TABANI!$B$13-VERI_TABANI!$B$15)) + IF(ISNUMBER(SEARCH("Var", D560)), VERI_TABANI!F27*(0.00202-VERI_TABANI!$B$16), IF(ISNUMBER(SEARCH("Gri", D560)), VERI_TABANI!F27*(0.00202-VERI_TABANI!$B$17), 0))) + ((VERI_TABANI!D28*B560*(VERI_TABANI!$B$13-VERI_TABANI!$B$14)) + (VERI_TABANI!D28*C560*(VERI_TABANI!$B$13-VERI_TABANI!$B$15)) + IF(ISNUMBER(SEARCH("Var", D560)), VERI_TABANI!F28*(0.00202-VERI_TABANI!$B$16), IF(ISNUMBER(SEARCH("Gri", D560)), VERI_TABANI!F28*(0.00202-VERI_TABANI!$B$17), 0))))</f>
        <v/>
      </c>
      <c r="I560" s="170">
        <f>IFERROR(((VERI_TABANI!$D$29*B560*VERI_TABANI!$B$14 + VERI_TABANI!$D$29*C560*VERI_TABANI!$B$15 + IF(ISNUMBER(SEARCH("Var", D560)), VERI_TABANI!$F$29*VERI_TABANI!$B$16, 0))) / (((VERI_TABANI!$D$29*B560 + VERI_TABANI!$D$29*C560)*VERI_TABANI!$B$13 + IF(ISNUMBER(SEARCH("Var", D560)), VERI_TABANI!$E$29*(1-0.928)*VERI_TABANI!$B$18, 0))), 0)</f>
        <v/>
      </c>
      <c r="J560" s="171">
        <f>IFERROR(F560/(G560/29), 0)</f>
        <v/>
      </c>
      <c r="K560" s="172">
        <f>IF(F560&gt;0, H560/F560, 0)</f>
        <v/>
      </c>
      <c r="L560" s="170">
        <f>IF(F560&gt;0, I560, 1000000000)</f>
        <v/>
      </c>
      <c r="M560" s="171">
        <f>ABS((B560+C560)-1)</f>
        <v/>
      </c>
      <c r="N560" s="170">
        <f>IF(F560&gt;0, (G560/29)/F560, 0)</f>
        <v/>
      </c>
      <c r="O560" s="168">
        <f>IF(AND((B560+C560)&gt;=1, ISNUMBER(SEARCH("Var", D560))), F560, 1000000000)</f>
        <v/>
      </c>
      <c r="P560" s="172">
        <f>IF(F560&gt;0, SQRT((F560/MAX(F$5:F$886))^2 + (1 - H560/MAX(H$5:H$886))^2 + (J560/MAX(J$5:J$886))^2), 1000000000)</f>
        <v/>
      </c>
      <c r="Q560" s="166">
        <f>IF(AND(ABS(B560-0.5)&lt;0.01, ABS(C560-0.5)&lt;0.01, ISNUMBER(SEARCH("Var", D560))), 1, 0)</f>
        <v/>
      </c>
      <c r="R560" s="171">
        <f>IF(F560&gt;0, J560, 1000000000)</f>
        <v/>
      </c>
      <c r="S560" s="101">
        <f>IF(AND(F560&lt;=DASHBOARD!$B$11, H560&gt;=DASHBOARD!$B$13), G560, -1000000000000)</f>
        <v/>
      </c>
      <c r="T560" s="101">
        <f>IF(AND(F560&lt;=DASHBOARD!$B$11, H560&gt;=DASHBOARD!$B$13), R560, 1000000000000)</f>
        <v/>
      </c>
      <c r="U560" s="101">
        <f>IF(AND(F560&lt;=DASHBOARD!$B$11, H560&gt;=DASHBOARD!$B$13), N560, -1000000000000)</f>
        <v/>
      </c>
      <c r="V560" s="101">
        <f>IF(AND(F560&lt;=DASHBOARD!$B$11, H560&gt;=DASHBOARD!$B$13), H560, -1000000000000)</f>
        <v/>
      </c>
      <c r="W560" s="101">
        <f>IF(AND(F560&lt;=DASHBOARD!$B$11, H560&gt;=DASHBOARD!$B$13), K560, -1000000000000)</f>
        <v/>
      </c>
      <c r="X560" s="101">
        <f>IF(AND(F560&lt;=DASHBOARD!$B$11, H560&gt;=DASHBOARD!$B$13), M560, 1000000000000)</f>
        <v/>
      </c>
      <c r="Y560" s="101">
        <f>IF(AND(F560&lt;=DASHBOARD!$B$10, H560&gt;=DASHBOARD!$B$11), L560, 1000000000000)</f>
        <v/>
      </c>
      <c r="Z560" s="101">
        <f>IF(AND(F560&lt;=DASHBOARD!$B$10, H560&gt;=DASHBOARD!$B$11), O560, 1000000000000)</f>
        <v/>
      </c>
      <c r="AA560" s="101">
        <f>IF(AND(F560&lt;=DASHBOARD!$B$10, H560&gt;=DASHBOARD!$B$11), P560, 1000000000000)</f>
        <v/>
      </c>
      <c r="AB560" s="101">
        <f>IF(AND(F560&lt;=DASHBOARD!$B$10, H560&gt;=DASHBOARD!$B$11), Q560, -1000000000000)</f>
        <v/>
      </c>
    </row>
    <row r="561" ht="15" customHeight="1" s="102">
      <c r="A561" s="166" t="n">
        <v>557</v>
      </c>
      <c r="B561" s="167" t="n">
        <v>1.3</v>
      </c>
      <c r="C561" s="167" t="n">
        <v>0.5</v>
      </c>
      <c r="D561" s="110" t="inlineStr">
        <is>
          <t>Yok (%0)</t>
        </is>
      </c>
      <c r="E561" s="110">
        <f>IF((B561+C561)&lt;=1, "Tam Mahsuplaşma (≤%100)", "Kısmi Satış (&gt;%100)")</f>
        <v/>
      </c>
      <c r="F561" s="168">
        <f>((VERI_TABANI!$D$29*B561/VERI_TABANI!$B$29)/VERI_TABANI!$B$3)*VERI_TABANI!$B$5 + ((VERI_TABANI!$D$29*C561/VERI_TABANI!$B$29)/VERI_TABANI!$B$4)*VERI_TABANI!$B$6 + IF(ISNUMBER(SEARCH("Var", D561)), (VERI_TABANI!$F$29/VERI_TABANI!$B$29)*(VERI_TABANI!$B$10+VERI_TABANI!$B$12), 0)</f>
        <v/>
      </c>
      <c r="G561" s="168">
        <f>(((MIN(VERI_TABANI!D23, VERI_TABANI!D23*B561)*VERI_TABANI!$B$7 + MAX(0, VERI_TABANI!D23*B561-VERI_TABANI!D23)*VERI_TABANI!$B$8) + (MIN(MAX(0, VERI_TABANI!D23-VERI_TABANI!D23*B561), VERI_TABANI!D23*C561)*VERI_TABANI!$B$7 + MAX(0, VERI_TABANI!D23*C561-MAX(0, VERI_TABANI!D23-VERI_TABANI!D23*B561))*VERI_TABANI!$B$8) + IF(ABS(IF(ISNUMBER(SEARCH("Var", D561)), 1, IF(ISNUMBER(SEARCH("Gri", D561)), -1, 0)))=1, VERI_TABANI!E23*(1-0.928)*VERI_TABANI!$B$9, 0) + (VERI_TABANI!D23*B561*(VERI_TABANI!$B$13-VERI_TABANI!$B$14)*VERI_TABANI!G23) + (VERI_TABANI!D23*C561*(VERI_TABANI!$B$13-VERI_TABANI!$B$15)*VERI_TABANI!G23) + IF(ABS(IF(ISNUMBER(SEARCH("Var", D561)), 1, IF(ISNUMBER(SEARCH("Gri", D561)), -1, 0)))=1, VERI_TABANI!E23*(1-0.928)*0.00206091519919798*VERI_TABANI!G23, 0)) + ((MIN(VERI_TABANI!D24, VERI_TABANI!D24*B561)*VERI_TABANI!$B$7 + MAX(0, VERI_TABANI!D24*B561-VERI_TABANI!D24)*VERI_TABANI!$B$8) + (MIN(MAX(0, VERI_TABANI!D24-VERI_TABANI!D24*B561), VERI_TABANI!D24*C561)*VERI_TABANI!$B$7 + MAX(0, VERI_TABANI!D24*C561-MAX(0, VERI_TABANI!D24-VERI_TABANI!D24*B561))*VERI_TABANI!$B$8) + IF(ABS(IF(ISNUMBER(SEARCH("Var", D561)), 1, IF(ISNUMBER(SEARCH("Gri", D561)), -1, 0)))=1, VERI_TABANI!E24*(1-0.928)*VERI_TABANI!$B$9, 0) + (VERI_TABANI!D24*B561*(VERI_TABANI!$B$13-VERI_TABANI!$B$14)*VERI_TABANI!G24) + (VERI_TABANI!D24*C561*(VERI_TABANI!$B$13-VERI_TABANI!$B$15)*VERI_TABANI!G24) + IF(ABS(IF(ISNUMBER(SEARCH("Var", D561)), 1, IF(ISNUMBER(SEARCH("Gri", D561)), -1, 0)))=1, VERI_TABANI!E24*(1-0.928)*0.00206091519919798*VERI_TABANI!G24, 0)) + ((MIN(VERI_TABANI!D25, VERI_TABANI!D25*B561)*VERI_TABANI!$B$7 + MAX(0, VERI_TABANI!D25*B561-VERI_TABANI!D25)*VERI_TABANI!$B$8) + (MIN(MAX(0, VERI_TABANI!D25-VERI_TABANI!D25*B561), VERI_TABANI!D25*C561)*VERI_TABANI!$B$7 + MAX(0, VERI_TABANI!D25*C561-MAX(0, VERI_TABANI!D25-VERI_TABANI!D25*B561))*VERI_TABANI!$B$8) + IF(ABS(IF(ISNUMBER(SEARCH("Var", D561)), 1, IF(ISNUMBER(SEARCH("Gri", D561)), -1, 0)))=1, VERI_TABANI!E25*(1-0.928)*VERI_TABANI!$B$9, 0) + (VERI_TABANI!D25*B561*(VERI_TABANI!$B$13-VERI_TABANI!$B$14)*VERI_TABANI!G25) + (VERI_TABANI!D25*C561*(VERI_TABANI!$B$13-VERI_TABANI!$B$15)*VERI_TABANI!G25) + IF(ABS(IF(ISNUMBER(SEARCH("Var", D561)), 1, IF(ISNUMBER(SEARCH("Gri", D561)), -1, 0)))=1, VERI_TABANI!E25*(1-0.928)*0.00206091519919798*VERI_TABANI!G25, 0)) + ((MIN(VERI_TABANI!D26, VERI_TABANI!D26*B561)*VERI_TABANI!$B$7 + MAX(0, VERI_TABANI!D26*B561-VERI_TABANI!D26)*VERI_TABANI!$B$8) + (MIN(MAX(0, VERI_TABANI!D26-VERI_TABANI!D26*B561), VERI_TABANI!D26*C561)*VERI_TABANI!$B$7 + MAX(0, VERI_TABANI!D26*C561-MAX(0, VERI_TABANI!D26-VERI_TABANI!D26*B561))*VERI_TABANI!$B$8) + IF(ABS(IF(ISNUMBER(SEARCH("Var", D561)), 1, IF(ISNUMBER(SEARCH("Gri", D561)), -1, 0)))=1, VERI_TABANI!E26*(1-0.928)*VERI_TABANI!$B$9, 0) + (VERI_TABANI!D26*B561*(VERI_TABANI!$B$13-VERI_TABANI!$B$14)*VERI_TABANI!G26) + (VERI_TABANI!D26*C561*(VERI_TABANI!$B$13-VERI_TABANI!$B$15)*VERI_TABANI!G26) + IF(ABS(IF(ISNUMBER(SEARCH("Var", D561)), 1, IF(ISNUMBER(SEARCH("Gri", D561)), -1, 0)))=1, VERI_TABANI!E26*(1-0.928)*0.00206091519919798*VERI_TABANI!G26, 0)) + ((MIN(VERI_TABANI!D27, VERI_TABANI!D27*B561)*VERI_TABANI!$B$7 + MAX(0, VERI_TABANI!D27*B561-VERI_TABANI!D27)*VERI_TABANI!$B$8) + (MIN(MAX(0, VERI_TABANI!D27-VERI_TABANI!D27*B561), VERI_TABANI!D27*C561)*VERI_TABANI!$B$7 + MAX(0, VERI_TABANI!D27*C561-MAX(0, VERI_TABANI!D27-VERI_TABANI!D27*B561))*VERI_TABANI!$B$8) + IF(ABS(IF(ISNUMBER(SEARCH("Var", D561)), 1, IF(ISNUMBER(SEARCH("Gri", D561)), -1, 0)))=1, VERI_TABANI!E27*(1-0.928)*VERI_TABANI!$B$9, 0) + (VERI_TABANI!D27*B561*(VERI_TABANI!$B$13-VERI_TABANI!$B$14)*VERI_TABANI!G27) + (VERI_TABANI!D27*C561*(VERI_TABANI!$B$13-VERI_TABANI!$B$15)*VERI_TABANI!G27) + IF(ABS(IF(ISNUMBER(SEARCH("Var", D561)), 1, IF(ISNUMBER(SEARCH("Gri", D561)), -1, 0)))=1, VERI_TABANI!E27*(1-0.928)*0.00206091519919798*VERI_TABANI!G27, 0)) + ((MIN(VERI_TABANI!D28, VERI_TABANI!D28*B561)*VERI_TABANI!$B$7 + MAX(0, VERI_TABANI!D28*B561-VERI_TABANI!D28)*VERI_TABANI!$B$8) + (MIN(MAX(0, VERI_TABANI!D28-VERI_TABANI!D28*B561), VERI_TABANI!D28*C561)*VERI_TABANI!$B$7 + MAX(0, VERI_TABANI!D28*C561-MAX(0, VERI_TABANI!D28-VERI_TABANI!D28*B561))*VERI_TABANI!$B$8) + IF(ABS(IF(ISNUMBER(SEARCH("Var", D561)), 1, IF(ISNUMBER(SEARCH("Gri", D561)), -1, 0)))=1, VERI_TABANI!E28*(1-0.928)*VERI_TABANI!$B$9, 0) + (VERI_TABANI!D28*B561*(VERI_TABANI!$B$13-VERI_TABANI!$B$14)*VERI_TABANI!G28) + (VERI_TABANI!D28*C561*(VERI_TABANI!$B$13-VERI_TABANI!$B$15)*VERI_TABANI!G28) + IF(ABS(IF(ISNUMBER(SEARCH("Var", D561)), 1, IF(ISNUMBER(SEARCH("Gri", D561)), -1, 0)))=1, VERI_TABANI!E28*(1-0.928)*0.00206091519919798*VERI_TABANI!G28, 0)))</f>
        <v/>
      </c>
      <c r="H561" s="169">
        <f>(((VERI_TABANI!D23*B561*(VERI_TABANI!$B$13-VERI_TABANI!$B$14)) + (VERI_TABANI!D23*C561*(VERI_TABANI!$B$13-VERI_TABANI!$B$15)) + IF(ISNUMBER(SEARCH("Var", D561)), VERI_TABANI!F23*(0.00202-VERI_TABANI!$B$16), IF(ISNUMBER(SEARCH("Gri", D561)), VERI_TABANI!F23*(0.00202-VERI_TABANI!$B$17), 0))) + ((VERI_TABANI!D24*B561*(VERI_TABANI!$B$13-VERI_TABANI!$B$14)) + (VERI_TABANI!D24*C561*(VERI_TABANI!$B$13-VERI_TABANI!$B$15)) + IF(ISNUMBER(SEARCH("Var", D561)), VERI_TABANI!F24*(0.00202-VERI_TABANI!$B$16), IF(ISNUMBER(SEARCH("Gri", D561)), VERI_TABANI!F24*(0.00202-VERI_TABANI!$B$17), 0))) + ((VERI_TABANI!D25*B561*(VERI_TABANI!$B$13-VERI_TABANI!$B$14)) + (VERI_TABANI!D25*C561*(VERI_TABANI!$B$13-VERI_TABANI!$B$15)) + IF(ISNUMBER(SEARCH("Var", D561)), VERI_TABANI!F25*(0.00202-VERI_TABANI!$B$16), IF(ISNUMBER(SEARCH("Gri", D561)), VERI_TABANI!F25*(0.00202-VERI_TABANI!$B$17), 0))) + ((VERI_TABANI!D26*B561*(VERI_TABANI!$B$13-VERI_TABANI!$B$14)) + (VERI_TABANI!D26*C561*(VERI_TABANI!$B$13-VERI_TABANI!$B$15)) + IF(ISNUMBER(SEARCH("Var", D561)), VERI_TABANI!F26*(0.00202-VERI_TABANI!$B$16), IF(ISNUMBER(SEARCH("Gri", D561)), VERI_TABANI!F26*(0.00202-VERI_TABANI!$B$17), 0))) + ((VERI_TABANI!D27*B561*(VERI_TABANI!$B$13-VERI_TABANI!$B$14)) + (VERI_TABANI!D27*C561*(VERI_TABANI!$B$13-VERI_TABANI!$B$15)) + IF(ISNUMBER(SEARCH("Var", D561)), VERI_TABANI!F27*(0.00202-VERI_TABANI!$B$16), IF(ISNUMBER(SEARCH("Gri", D561)), VERI_TABANI!F27*(0.00202-VERI_TABANI!$B$17), 0))) + ((VERI_TABANI!D28*B561*(VERI_TABANI!$B$13-VERI_TABANI!$B$14)) + (VERI_TABANI!D28*C561*(VERI_TABANI!$B$13-VERI_TABANI!$B$15)) + IF(ISNUMBER(SEARCH("Var", D561)), VERI_TABANI!F28*(0.00202-VERI_TABANI!$B$16), IF(ISNUMBER(SEARCH("Gri", D561)), VERI_TABANI!F28*(0.00202-VERI_TABANI!$B$17), 0))))</f>
        <v/>
      </c>
      <c r="I561" s="170">
        <f>IFERROR(((VERI_TABANI!$D$29*B561*VERI_TABANI!$B$14 + VERI_TABANI!$D$29*C561*VERI_TABANI!$B$15 + IF(ISNUMBER(SEARCH("Var", D561)), VERI_TABANI!$F$29*VERI_TABANI!$B$16, 0))) / (((VERI_TABANI!$D$29*B561 + VERI_TABANI!$D$29*C561)*VERI_TABANI!$B$13 + IF(ISNUMBER(SEARCH("Var", D561)), VERI_TABANI!$E$29*(1-0.928)*VERI_TABANI!$B$18, 0))), 0)</f>
        <v/>
      </c>
      <c r="J561" s="171">
        <f>IFERROR(F561/(G561/29), 0)</f>
        <v/>
      </c>
      <c r="K561" s="172">
        <f>IF(F561&gt;0, H561/F561, 0)</f>
        <v/>
      </c>
      <c r="L561" s="170">
        <f>IF(F561&gt;0, I561, 1000000000)</f>
        <v/>
      </c>
      <c r="M561" s="171">
        <f>ABS((B561+C561)-1)</f>
        <v/>
      </c>
      <c r="N561" s="170">
        <f>IF(F561&gt;0, (G561/29)/F561, 0)</f>
        <v/>
      </c>
      <c r="O561" s="168">
        <f>IF(AND((B561+C561)&gt;=1, ISNUMBER(SEARCH("Var", D561))), F561, 1000000000)</f>
        <v/>
      </c>
      <c r="P561" s="172">
        <f>IF(F561&gt;0, SQRT((F561/MAX(F$5:F$886))^2 + (1 - H561/MAX(H$5:H$886))^2 + (J561/MAX(J$5:J$886))^2), 1000000000)</f>
        <v/>
      </c>
      <c r="Q561" s="166">
        <f>IF(AND(ABS(B561-0.5)&lt;0.01, ABS(C561-0.5)&lt;0.01, ISNUMBER(SEARCH("Var", D561))), 1, 0)</f>
        <v/>
      </c>
      <c r="R561" s="171">
        <f>IF(F561&gt;0, J561, 1000000000)</f>
        <v/>
      </c>
      <c r="S561" s="101">
        <f>IF(AND(F561&lt;=DASHBOARD!$B$11, H561&gt;=DASHBOARD!$B$13), G561, -1000000000000)</f>
        <v/>
      </c>
      <c r="T561" s="101">
        <f>IF(AND(F561&lt;=DASHBOARD!$B$11, H561&gt;=DASHBOARD!$B$13), R561, 1000000000000)</f>
        <v/>
      </c>
      <c r="U561" s="101">
        <f>IF(AND(F561&lt;=DASHBOARD!$B$11, H561&gt;=DASHBOARD!$B$13), N561, -1000000000000)</f>
        <v/>
      </c>
      <c r="V561" s="101">
        <f>IF(AND(F561&lt;=DASHBOARD!$B$11, H561&gt;=DASHBOARD!$B$13), H561, -1000000000000)</f>
        <v/>
      </c>
      <c r="W561" s="101">
        <f>IF(AND(F561&lt;=DASHBOARD!$B$11, H561&gt;=DASHBOARD!$B$13), K561, -1000000000000)</f>
        <v/>
      </c>
      <c r="X561" s="101">
        <f>IF(AND(F561&lt;=DASHBOARD!$B$11, H561&gt;=DASHBOARD!$B$13), M561, 1000000000000)</f>
        <v/>
      </c>
      <c r="Y561" s="101">
        <f>IF(AND(F561&lt;=DASHBOARD!$B$10, H561&gt;=DASHBOARD!$B$11), L561, 1000000000000)</f>
        <v/>
      </c>
      <c r="Z561" s="101">
        <f>IF(AND(F561&lt;=DASHBOARD!$B$10, H561&gt;=DASHBOARD!$B$11), O561, 1000000000000)</f>
        <v/>
      </c>
      <c r="AA561" s="101">
        <f>IF(AND(F561&lt;=DASHBOARD!$B$10, H561&gt;=DASHBOARD!$B$11), P561, 1000000000000)</f>
        <v/>
      </c>
      <c r="AB561" s="101">
        <f>IF(AND(F561&lt;=DASHBOARD!$B$10, H561&gt;=DASHBOARD!$B$11), Q561, -1000000000000)</f>
        <v/>
      </c>
    </row>
    <row r="562" ht="15" customHeight="1" s="102">
      <c r="A562" s="166" t="n">
        <v>558</v>
      </c>
      <c r="B562" s="167" t="n">
        <v>1.3</v>
      </c>
      <c r="C562" s="167" t="n">
        <v>0.5</v>
      </c>
      <c r="D562" s="110" t="inlineStr">
        <is>
          <t>Var (%20)</t>
        </is>
      </c>
      <c r="E562" s="110">
        <f>IF((B562+C562)&lt;=1, "Tam Mahsuplaşma (≤%100)", "Kısmi Satış (&gt;%100)")</f>
        <v/>
      </c>
      <c r="F562" s="168">
        <f>((VERI_TABANI!$D$29*B562/VERI_TABANI!$B$29)/VERI_TABANI!$B$3)*VERI_TABANI!$B$5 + ((VERI_TABANI!$D$29*C562/VERI_TABANI!$B$29)/VERI_TABANI!$B$4)*VERI_TABANI!$B$6 + IF(ISNUMBER(SEARCH("Var", D562)), (VERI_TABANI!$F$29/VERI_TABANI!$B$29)*(VERI_TABANI!$B$10+VERI_TABANI!$B$12), 0)</f>
        <v/>
      </c>
      <c r="G562" s="168">
        <f>(((MIN(VERI_TABANI!D23, VERI_TABANI!D23*B562)*VERI_TABANI!$B$7 + MAX(0, VERI_TABANI!D23*B562-VERI_TABANI!D23)*VERI_TABANI!$B$8) + (MIN(MAX(0, VERI_TABANI!D23-VERI_TABANI!D23*B562), VERI_TABANI!D23*C562)*VERI_TABANI!$B$7 + MAX(0, VERI_TABANI!D23*C562-MAX(0, VERI_TABANI!D23-VERI_TABANI!D23*B562))*VERI_TABANI!$B$8) + IF(ABS(IF(ISNUMBER(SEARCH("Var", D562)), 1, IF(ISNUMBER(SEARCH("Gri", D562)), -1, 0)))=1, VERI_TABANI!E23*(1-0.928)*VERI_TABANI!$B$9, 0) + (VERI_TABANI!D23*B562*(VERI_TABANI!$B$13-VERI_TABANI!$B$14)*VERI_TABANI!G23) + (VERI_TABANI!D23*C562*(VERI_TABANI!$B$13-VERI_TABANI!$B$15)*VERI_TABANI!G23) + IF(ABS(IF(ISNUMBER(SEARCH("Var", D562)), 1, IF(ISNUMBER(SEARCH("Gri", D562)), -1, 0)))=1, VERI_TABANI!E23*(1-0.928)*0.00206091519919798*VERI_TABANI!G23, 0)) + ((MIN(VERI_TABANI!D24, VERI_TABANI!D24*B562)*VERI_TABANI!$B$7 + MAX(0, VERI_TABANI!D24*B562-VERI_TABANI!D24)*VERI_TABANI!$B$8) + (MIN(MAX(0, VERI_TABANI!D24-VERI_TABANI!D24*B562), VERI_TABANI!D24*C562)*VERI_TABANI!$B$7 + MAX(0, VERI_TABANI!D24*C562-MAX(0, VERI_TABANI!D24-VERI_TABANI!D24*B562))*VERI_TABANI!$B$8) + IF(ABS(IF(ISNUMBER(SEARCH("Var", D562)), 1, IF(ISNUMBER(SEARCH("Gri", D562)), -1, 0)))=1, VERI_TABANI!E24*(1-0.928)*VERI_TABANI!$B$9, 0) + (VERI_TABANI!D24*B562*(VERI_TABANI!$B$13-VERI_TABANI!$B$14)*VERI_TABANI!G24) + (VERI_TABANI!D24*C562*(VERI_TABANI!$B$13-VERI_TABANI!$B$15)*VERI_TABANI!G24) + IF(ABS(IF(ISNUMBER(SEARCH("Var", D562)), 1, IF(ISNUMBER(SEARCH("Gri", D562)), -1, 0)))=1, VERI_TABANI!E24*(1-0.928)*0.00206091519919798*VERI_TABANI!G24, 0)) + ((MIN(VERI_TABANI!D25, VERI_TABANI!D25*B562)*VERI_TABANI!$B$7 + MAX(0, VERI_TABANI!D25*B562-VERI_TABANI!D25)*VERI_TABANI!$B$8) + (MIN(MAX(0, VERI_TABANI!D25-VERI_TABANI!D25*B562), VERI_TABANI!D25*C562)*VERI_TABANI!$B$7 + MAX(0, VERI_TABANI!D25*C562-MAX(0, VERI_TABANI!D25-VERI_TABANI!D25*B562))*VERI_TABANI!$B$8) + IF(ABS(IF(ISNUMBER(SEARCH("Var", D562)), 1, IF(ISNUMBER(SEARCH("Gri", D562)), -1, 0)))=1, VERI_TABANI!E25*(1-0.928)*VERI_TABANI!$B$9, 0) + (VERI_TABANI!D25*B562*(VERI_TABANI!$B$13-VERI_TABANI!$B$14)*VERI_TABANI!G25) + (VERI_TABANI!D25*C562*(VERI_TABANI!$B$13-VERI_TABANI!$B$15)*VERI_TABANI!G25) + IF(ABS(IF(ISNUMBER(SEARCH("Var", D562)), 1, IF(ISNUMBER(SEARCH("Gri", D562)), -1, 0)))=1, VERI_TABANI!E25*(1-0.928)*0.00206091519919798*VERI_TABANI!G25, 0)) + ((MIN(VERI_TABANI!D26, VERI_TABANI!D26*B562)*VERI_TABANI!$B$7 + MAX(0, VERI_TABANI!D26*B562-VERI_TABANI!D26)*VERI_TABANI!$B$8) + (MIN(MAX(0, VERI_TABANI!D26-VERI_TABANI!D26*B562), VERI_TABANI!D26*C562)*VERI_TABANI!$B$7 + MAX(0, VERI_TABANI!D26*C562-MAX(0, VERI_TABANI!D26-VERI_TABANI!D26*B562))*VERI_TABANI!$B$8) + IF(ABS(IF(ISNUMBER(SEARCH("Var", D562)), 1, IF(ISNUMBER(SEARCH("Gri", D562)), -1, 0)))=1, VERI_TABANI!E26*(1-0.928)*VERI_TABANI!$B$9, 0) + (VERI_TABANI!D26*B562*(VERI_TABANI!$B$13-VERI_TABANI!$B$14)*VERI_TABANI!G26) + (VERI_TABANI!D26*C562*(VERI_TABANI!$B$13-VERI_TABANI!$B$15)*VERI_TABANI!G26) + IF(ABS(IF(ISNUMBER(SEARCH("Var", D562)), 1, IF(ISNUMBER(SEARCH("Gri", D562)), -1, 0)))=1, VERI_TABANI!E26*(1-0.928)*0.00206091519919798*VERI_TABANI!G26, 0)) + ((MIN(VERI_TABANI!D27, VERI_TABANI!D27*B562)*VERI_TABANI!$B$7 + MAX(0, VERI_TABANI!D27*B562-VERI_TABANI!D27)*VERI_TABANI!$B$8) + (MIN(MAX(0, VERI_TABANI!D27-VERI_TABANI!D27*B562), VERI_TABANI!D27*C562)*VERI_TABANI!$B$7 + MAX(0, VERI_TABANI!D27*C562-MAX(0, VERI_TABANI!D27-VERI_TABANI!D27*B562))*VERI_TABANI!$B$8) + IF(ABS(IF(ISNUMBER(SEARCH("Var", D562)), 1, IF(ISNUMBER(SEARCH("Gri", D562)), -1, 0)))=1, VERI_TABANI!E27*(1-0.928)*VERI_TABANI!$B$9, 0) + (VERI_TABANI!D27*B562*(VERI_TABANI!$B$13-VERI_TABANI!$B$14)*VERI_TABANI!G27) + (VERI_TABANI!D27*C562*(VERI_TABANI!$B$13-VERI_TABANI!$B$15)*VERI_TABANI!G27) + IF(ABS(IF(ISNUMBER(SEARCH("Var", D562)), 1, IF(ISNUMBER(SEARCH("Gri", D562)), -1, 0)))=1, VERI_TABANI!E27*(1-0.928)*0.00206091519919798*VERI_TABANI!G27, 0)) + ((MIN(VERI_TABANI!D28, VERI_TABANI!D28*B562)*VERI_TABANI!$B$7 + MAX(0, VERI_TABANI!D28*B562-VERI_TABANI!D28)*VERI_TABANI!$B$8) + (MIN(MAX(0, VERI_TABANI!D28-VERI_TABANI!D28*B562), VERI_TABANI!D28*C562)*VERI_TABANI!$B$7 + MAX(0, VERI_TABANI!D28*C562-MAX(0, VERI_TABANI!D28-VERI_TABANI!D28*B562))*VERI_TABANI!$B$8) + IF(ABS(IF(ISNUMBER(SEARCH("Var", D562)), 1, IF(ISNUMBER(SEARCH("Gri", D562)), -1, 0)))=1, VERI_TABANI!E28*(1-0.928)*VERI_TABANI!$B$9, 0) + (VERI_TABANI!D28*B562*(VERI_TABANI!$B$13-VERI_TABANI!$B$14)*VERI_TABANI!G28) + (VERI_TABANI!D28*C562*(VERI_TABANI!$B$13-VERI_TABANI!$B$15)*VERI_TABANI!G28) + IF(ABS(IF(ISNUMBER(SEARCH("Var", D562)), 1, IF(ISNUMBER(SEARCH("Gri", D562)), -1, 0)))=1, VERI_TABANI!E28*(1-0.928)*0.00206091519919798*VERI_TABANI!G28, 0)))</f>
        <v/>
      </c>
      <c r="H562" s="169">
        <f>(((VERI_TABANI!D23*B562*(VERI_TABANI!$B$13-VERI_TABANI!$B$14)) + (VERI_TABANI!D23*C562*(VERI_TABANI!$B$13-VERI_TABANI!$B$15)) + IF(ISNUMBER(SEARCH("Var", D562)), VERI_TABANI!F23*(0.00202-VERI_TABANI!$B$16), IF(ISNUMBER(SEARCH("Gri", D562)), VERI_TABANI!F23*(0.00202-VERI_TABANI!$B$17), 0))) + ((VERI_TABANI!D24*B562*(VERI_TABANI!$B$13-VERI_TABANI!$B$14)) + (VERI_TABANI!D24*C562*(VERI_TABANI!$B$13-VERI_TABANI!$B$15)) + IF(ISNUMBER(SEARCH("Var", D562)), VERI_TABANI!F24*(0.00202-VERI_TABANI!$B$16), IF(ISNUMBER(SEARCH("Gri", D562)), VERI_TABANI!F24*(0.00202-VERI_TABANI!$B$17), 0))) + ((VERI_TABANI!D25*B562*(VERI_TABANI!$B$13-VERI_TABANI!$B$14)) + (VERI_TABANI!D25*C562*(VERI_TABANI!$B$13-VERI_TABANI!$B$15)) + IF(ISNUMBER(SEARCH("Var", D562)), VERI_TABANI!F25*(0.00202-VERI_TABANI!$B$16), IF(ISNUMBER(SEARCH("Gri", D562)), VERI_TABANI!F25*(0.00202-VERI_TABANI!$B$17), 0))) + ((VERI_TABANI!D26*B562*(VERI_TABANI!$B$13-VERI_TABANI!$B$14)) + (VERI_TABANI!D26*C562*(VERI_TABANI!$B$13-VERI_TABANI!$B$15)) + IF(ISNUMBER(SEARCH("Var", D562)), VERI_TABANI!F26*(0.00202-VERI_TABANI!$B$16), IF(ISNUMBER(SEARCH("Gri", D562)), VERI_TABANI!F26*(0.00202-VERI_TABANI!$B$17), 0))) + ((VERI_TABANI!D27*B562*(VERI_TABANI!$B$13-VERI_TABANI!$B$14)) + (VERI_TABANI!D27*C562*(VERI_TABANI!$B$13-VERI_TABANI!$B$15)) + IF(ISNUMBER(SEARCH("Var", D562)), VERI_TABANI!F27*(0.00202-VERI_TABANI!$B$16), IF(ISNUMBER(SEARCH("Gri", D562)), VERI_TABANI!F27*(0.00202-VERI_TABANI!$B$17), 0))) + ((VERI_TABANI!D28*B562*(VERI_TABANI!$B$13-VERI_TABANI!$B$14)) + (VERI_TABANI!D28*C562*(VERI_TABANI!$B$13-VERI_TABANI!$B$15)) + IF(ISNUMBER(SEARCH("Var", D562)), VERI_TABANI!F28*(0.00202-VERI_TABANI!$B$16), IF(ISNUMBER(SEARCH("Gri", D562)), VERI_TABANI!F28*(0.00202-VERI_TABANI!$B$17), 0))))</f>
        <v/>
      </c>
      <c r="I562" s="170">
        <f>IFERROR(((VERI_TABANI!$D$29*B562*VERI_TABANI!$B$14 + VERI_TABANI!$D$29*C562*VERI_TABANI!$B$15 + IF(ISNUMBER(SEARCH("Var", D562)), VERI_TABANI!$F$29*VERI_TABANI!$B$16, 0))) / (((VERI_TABANI!$D$29*B562 + VERI_TABANI!$D$29*C562)*VERI_TABANI!$B$13 + IF(ISNUMBER(SEARCH("Var", D562)), VERI_TABANI!$E$29*(1-0.928)*VERI_TABANI!$B$18, 0))), 0)</f>
        <v/>
      </c>
      <c r="J562" s="171">
        <f>IFERROR(F562/(G562/29), 0)</f>
        <v/>
      </c>
      <c r="K562" s="172">
        <f>IF(F562&gt;0, H562/F562, 0)</f>
        <v/>
      </c>
      <c r="L562" s="170">
        <f>IF(F562&gt;0, I562, 1000000000)</f>
        <v/>
      </c>
      <c r="M562" s="171">
        <f>ABS((B562+C562)-1)</f>
        <v/>
      </c>
      <c r="N562" s="170">
        <f>IF(F562&gt;0, (G562/29)/F562, 0)</f>
        <v/>
      </c>
      <c r="O562" s="168">
        <f>IF(AND((B562+C562)&gt;=1, ISNUMBER(SEARCH("Var", D562))), F562, 1000000000)</f>
        <v/>
      </c>
      <c r="P562" s="172">
        <f>IF(F562&gt;0, SQRT((F562/MAX(F$5:F$886))^2 + (1 - H562/MAX(H$5:H$886))^2 + (J562/MAX(J$5:J$886))^2), 1000000000)</f>
        <v/>
      </c>
      <c r="Q562" s="166">
        <f>IF(AND(ABS(B562-0.5)&lt;0.01, ABS(C562-0.5)&lt;0.01, ISNUMBER(SEARCH("Var", D562))), 1, 0)</f>
        <v/>
      </c>
      <c r="R562" s="171">
        <f>IF(F562&gt;0, J562, 1000000000)</f>
        <v/>
      </c>
      <c r="S562" s="101">
        <f>IF(AND(F562&lt;=DASHBOARD!$B$11, H562&gt;=DASHBOARD!$B$13), G562, -1000000000000)</f>
        <v/>
      </c>
      <c r="T562" s="101">
        <f>IF(AND(F562&lt;=DASHBOARD!$B$11, H562&gt;=DASHBOARD!$B$13), R562, 1000000000000)</f>
        <v/>
      </c>
      <c r="U562" s="101">
        <f>IF(AND(F562&lt;=DASHBOARD!$B$11, H562&gt;=DASHBOARD!$B$13), N562, -1000000000000)</f>
        <v/>
      </c>
      <c r="V562" s="101">
        <f>IF(AND(F562&lt;=DASHBOARD!$B$11, H562&gt;=DASHBOARD!$B$13), H562, -1000000000000)</f>
        <v/>
      </c>
      <c r="W562" s="101">
        <f>IF(AND(F562&lt;=DASHBOARD!$B$11, H562&gt;=DASHBOARD!$B$13), K562, -1000000000000)</f>
        <v/>
      </c>
      <c r="X562" s="101">
        <f>IF(AND(F562&lt;=DASHBOARD!$B$11, H562&gt;=DASHBOARD!$B$13), M562, 1000000000000)</f>
        <v/>
      </c>
      <c r="Y562" s="101">
        <f>IF(AND(F562&lt;=DASHBOARD!$B$10, H562&gt;=DASHBOARD!$B$11), L562, 1000000000000)</f>
        <v/>
      </c>
      <c r="Z562" s="101">
        <f>IF(AND(F562&lt;=DASHBOARD!$B$10, H562&gt;=DASHBOARD!$B$11), O562, 1000000000000)</f>
        <v/>
      </c>
      <c r="AA562" s="101">
        <f>IF(AND(F562&lt;=DASHBOARD!$B$10, H562&gt;=DASHBOARD!$B$11), P562, 1000000000000)</f>
        <v/>
      </c>
      <c r="AB562" s="101">
        <f>IF(AND(F562&lt;=DASHBOARD!$B$10, H562&gt;=DASHBOARD!$B$11), Q562, -1000000000000)</f>
        <v/>
      </c>
    </row>
    <row r="563" ht="15" customHeight="1" s="102">
      <c r="A563" s="166" t="n">
        <v>559</v>
      </c>
      <c r="B563" s="167" t="n">
        <v>1.3</v>
      </c>
      <c r="C563" s="167" t="n">
        <v>0.6</v>
      </c>
      <c r="D563" s="110" t="inlineStr">
        <is>
          <t>Yok (%0)</t>
        </is>
      </c>
      <c r="E563" s="110">
        <f>IF((B563+C563)&lt;=1, "Tam Mahsuplaşma (≤%100)", "Kısmi Satış (&gt;%100)")</f>
        <v/>
      </c>
      <c r="F563" s="168">
        <f>((VERI_TABANI!$D$29*B563/VERI_TABANI!$B$29)/VERI_TABANI!$B$3)*VERI_TABANI!$B$5 + ((VERI_TABANI!$D$29*C563/VERI_TABANI!$B$29)/VERI_TABANI!$B$4)*VERI_TABANI!$B$6 + IF(ISNUMBER(SEARCH("Var", D563)), (VERI_TABANI!$F$29/VERI_TABANI!$B$29)*(VERI_TABANI!$B$10+VERI_TABANI!$B$12), 0)</f>
        <v/>
      </c>
      <c r="G563" s="168">
        <f>(((MIN(VERI_TABANI!D23, VERI_TABANI!D23*B563)*VERI_TABANI!$B$7 + MAX(0, VERI_TABANI!D23*B563-VERI_TABANI!D23)*VERI_TABANI!$B$8) + (MIN(MAX(0, VERI_TABANI!D23-VERI_TABANI!D23*B563), VERI_TABANI!D23*C563)*VERI_TABANI!$B$7 + MAX(0, VERI_TABANI!D23*C563-MAX(0, VERI_TABANI!D23-VERI_TABANI!D23*B563))*VERI_TABANI!$B$8) + IF(ABS(IF(ISNUMBER(SEARCH("Var", D563)), 1, IF(ISNUMBER(SEARCH("Gri", D563)), -1, 0)))=1, VERI_TABANI!E23*(1-0.928)*VERI_TABANI!$B$9, 0) + (VERI_TABANI!D23*B563*(VERI_TABANI!$B$13-VERI_TABANI!$B$14)*VERI_TABANI!G23) + (VERI_TABANI!D23*C563*(VERI_TABANI!$B$13-VERI_TABANI!$B$15)*VERI_TABANI!G23) + IF(ABS(IF(ISNUMBER(SEARCH("Var", D563)), 1, IF(ISNUMBER(SEARCH("Gri", D563)), -1, 0)))=1, VERI_TABANI!E23*(1-0.928)*0.00206091519919798*VERI_TABANI!G23, 0)) + ((MIN(VERI_TABANI!D24, VERI_TABANI!D24*B563)*VERI_TABANI!$B$7 + MAX(0, VERI_TABANI!D24*B563-VERI_TABANI!D24)*VERI_TABANI!$B$8) + (MIN(MAX(0, VERI_TABANI!D24-VERI_TABANI!D24*B563), VERI_TABANI!D24*C563)*VERI_TABANI!$B$7 + MAX(0, VERI_TABANI!D24*C563-MAX(0, VERI_TABANI!D24-VERI_TABANI!D24*B563))*VERI_TABANI!$B$8) + IF(ABS(IF(ISNUMBER(SEARCH("Var", D563)), 1, IF(ISNUMBER(SEARCH("Gri", D563)), -1, 0)))=1, VERI_TABANI!E24*(1-0.928)*VERI_TABANI!$B$9, 0) + (VERI_TABANI!D24*B563*(VERI_TABANI!$B$13-VERI_TABANI!$B$14)*VERI_TABANI!G24) + (VERI_TABANI!D24*C563*(VERI_TABANI!$B$13-VERI_TABANI!$B$15)*VERI_TABANI!G24) + IF(ABS(IF(ISNUMBER(SEARCH("Var", D563)), 1, IF(ISNUMBER(SEARCH("Gri", D563)), -1, 0)))=1, VERI_TABANI!E24*(1-0.928)*0.00206091519919798*VERI_TABANI!G24, 0)) + ((MIN(VERI_TABANI!D25, VERI_TABANI!D25*B563)*VERI_TABANI!$B$7 + MAX(0, VERI_TABANI!D25*B563-VERI_TABANI!D25)*VERI_TABANI!$B$8) + (MIN(MAX(0, VERI_TABANI!D25-VERI_TABANI!D25*B563), VERI_TABANI!D25*C563)*VERI_TABANI!$B$7 + MAX(0, VERI_TABANI!D25*C563-MAX(0, VERI_TABANI!D25-VERI_TABANI!D25*B563))*VERI_TABANI!$B$8) + IF(ABS(IF(ISNUMBER(SEARCH("Var", D563)), 1, IF(ISNUMBER(SEARCH("Gri", D563)), -1, 0)))=1, VERI_TABANI!E25*(1-0.928)*VERI_TABANI!$B$9, 0) + (VERI_TABANI!D25*B563*(VERI_TABANI!$B$13-VERI_TABANI!$B$14)*VERI_TABANI!G25) + (VERI_TABANI!D25*C563*(VERI_TABANI!$B$13-VERI_TABANI!$B$15)*VERI_TABANI!G25) + IF(ABS(IF(ISNUMBER(SEARCH("Var", D563)), 1, IF(ISNUMBER(SEARCH("Gri", D563)), -1, 0)))=1, VERI_TABANI!E25*(1-0.928)*0.00206091519919798*VERI_TABANI!G25, 0)) + ((MIN(VERI_TABANI!D26, VERI_TABANI!D26*B563)*VERI_TABANI!$B$7 + MAX(0, VERI_TABANI!D26*B563-VERI_TABANI!D26)*VERI_TABANI!$B$8) + (MIN(MAX(0, VERI_TABANI!D26-VERI_TABANI!D26*B563), VERI_TABANI!D26*C563)*VERI_TABANI!$B$7 + MAX(0, VERI_TABANI!D26*C563-MAX(0, VERI_TABANI!D26-VERI_TABANI!D26*B563))*VERI_TABANI!$B$8) + IF(ABS(IF(ISNUMBER(SEARCH("Var", D563)), 1, IF(ISNUMBER(SEARCH("Gri", D563)), -1, 0)))=1, VERI_TABANI!E26*(1-0.928)*VERI_TABANI!$B$9, 0) + (VERI_TABANI!D26*B563*(VERI_TABANI!$B$13-VERI_TABANI!$B$14)*VERI_TABANI!G26) + (VERI_TABANI!D26*C563*(VERI_TABANI!$B$13-VERI_TABANI!$B$15)*VERI_TABANI!G26) + IF(ABS(IF(ISNUMBER(SEARCH("Var", D563)), 1, IF(ISNUMBER(SEARCH("Gri", D563)), -1, 0)))=1, VERI_TABANI!E26*(1-0.928)*0.00206091519919798*VERI_TABANI!G26, 0)) + ((MIN(VERI_TABANI!D27, VERI_TABANI!D27*B563)*VERI_TABANI!$B$7 + MAX(0, VERI_TABANI!D27*B563-VERI_TABANI!D27)*VERI_TABANI!$B$8) + (MIN(MAX(0, VERI_TABANI!D27-VERI_TABANI!D27*B563), VERI_TABANI!D27*C563)*VERI_TABANI!$B$7 + MAX(0, VERI_TABANI!D27*C563-MAX(0, VERI_TABANI!D27-VERI_TABANI!D27*B563))*VERI_TABANI!$B$8) + IF(ABS(IF(ISNUMBER(SEARCH("Var", D563)), 1, IF(ISNUMBER(SEARCH("Gri", D563)), -1, 0)))=1, VERI_TABANI!E27*(1-0.928)*VERI_TABANI!$B$9, 0) + (VERI_TABANI!D27*B563*(VERI_TABANI!$B$13-VERI_TABANI!$B$14)*VERI_TABANI!G27) + (VERI_TABANI!D27*C563*(VERI_TABANI!$B$13-VERI_TABANI!$B$15)*VERI_TABANI!G27) + IF(ABS(IF(ISNUMBER(SEARCH("Var", D563)), 1, IF(ISNUMBER(SEARCH("Gri", D563)), -1, 0)))=1, VERI_TABANI!E27*(1-0.928)*0.00206091519919798*VERI_TABANI!G27, 0)) + ((MIN(VERI_TABANI!D28, VERI_TABANI!D28*B563)*VERI_TABANI!$B$7 + MAX(0, VERI_TABANI!D28*B563-VERI_TABANI!D28)*VERI_TABANI!$B$8) + (MIN(MAX(0, VERI_TABANI!D28-VERI_TABANI!D28*B563), VERI_TABANI!D28*C563)*VERI_TABANI!$B$7 + MAX(0, VERI_TABANI!D28*C563-MAX(0, VERI_TABANI!D28-VERI_TABANI!D28*B563))*VERI_TABANI!$B$8) + IF(ABS(IF(ISNUMBER(SEARCH("Var", D563)), 1, IF(ISNUMBER(SEARCH("Gri", D563)), -1, 0)))=1, VERI_TABANI!E28*(1-0.928)*VERI_TABANI!$B$9, 0) + (VERI_TABANI!D28*B563*(VERI_TABANI!$B$13-VERI_TABANI!$B$14)*VERI_TABANI!G28) + (VERI_TABANI!D28*C563*(VERI_TABANI!$B$13-VERI_TABANI!$B$15)*VERI_TABANI!G28) + IF(ABS(IF(ISNUMBER(SEARCH("Var", D563)), 1, IF(ISNUMBER(SEARCH("Gri", D563)), -1, 0)))=1, VERI_TABANI!E28*(1-0.928)*0.00206091519919798*VERI_TABANI!G28, 0)))</f>
        <v/>
      </c>
      <c r="H563" s="169">
        <f>(((VERI_TABANI!D23*B563*(VERI_TABANI!$B$13-VERI_TABANI!$B$14)) + (VERI_TABANI!D23*C563*(VERI_TABANI!$B$13-VERI_TABANI!$B$15)) + IF(ISNUMBER(SEARCH("Var", D563)), VERI_TABANI!F23*(0.00202-VERI_TABANI!$B$16), IF(ISNUMBER(SEARCH("Gri", D563)), VERI_TABANI!F23*(0.00202-VERI_TABANI!$B$17), 0))) + ((VERI_TABANI!D24*B563*(VERI_TABANI!$B$13-VERI_TABANI!$B$14)) + (VERI_TABANI!D24*C563*(VERI_TABANI!$B$13-VERI_TABANI!$B$15)) + IF(ISNUMBER(SEARCH("Var", D563)), VERI_TABANI!F24*(0.00202-VERI_TABANI!$B$16), IF(ISNUMBER(SEARCH("Gri", D563)), VERI_TABANI!F24*(0.00202-VERI_TABANI!$B$17), 0))) + ((VERI_TABANI!D25*B563*(VERI_TABANI!$B$13-VERI_TABANI!$B$14)) + (VERI_TABANI!D25*C563*(VERI_TABANI!$B$13-VERI_TABANI!$B$15)) + IF(ISNUMBER(SEARCH("Var", D563)), VERI_TABANI!F25*(0.00202-VERI_TABANI!$B$16), IF(ISNUMBER(SEARCH("Gri", D563)), VERI_TABANI!F25*(0.00202-VERI_TABANI!$B$17), 0))) + ((VERI_TABANI!D26*B563*(VERI_TABANI!$B$13-VERI_TABANI!$B$14)) + (VERI_TABANI!D26*C563*(VERI_TABANI!$B$13-VERI_TABANI!$B$15)) + IF(ISNUMBER(SEARCH("Var", D563)), VERI_TABANI!F26*(0.00202-VERI_TABANI!$B$16), IF(ISNUMBER(SEARCH("Gri", D563)), VERI_TABANI!F26*(0.00202-VERI_TABANI!$B$17), 0))) + ((VERI_TABANI!D27*B563*(VERI_TABANI!$B$13-VERI_TABANI!$B$14)) + (VERI_TABANI!D27*C563*(VERI_TABANI!$B$13-VERI_TABANI!$B$15)) + IF(ISNUMBER(SEARCH("Var", D563)), VERI_TABANI!F27*(0.00202-VERI_TABANI!$B$16), IF(ISNUMBER(SEARCH("Gri", D563)), VERI_TABANI!F27*(0.00202-VERI_TABANI!$B$17), 0))) + ((VERI_TABANI!D28*B563*(VERI_TABANI!$B$13-VERI_TABANI!$B$14)) + (VERI_TABANI!D28*C563*(VERI_TABANI!$B$13-VERI_TABANI!$B$15)) + IF(ISNUMBER(SEARCH("Var", D563)), VERI_TABANI!F28*(0.00202-VERI_TABANI!$B$16), IF(ISNUMBER(SEARCH("Gri", D563)), VERI_TABANI!F28*(0.00202-VERI_TABANI!$B$17), 0))))</f>
        <v/>
      </c>
      <c r="I563" s="170">
        <f>IFERROR(((VERI_TABANI!$D$29*B563*VERI_TABANI!$B$14 + VERI_TABANI!$D$29*C563*VERI_TABANI!$B$15 + IF(ISNUMBER(SEARCH("Var", D563)), VERI_TABANI!$F$29*VERI_TABANI!$B$16, 0))) / (((VERI_TABANI!$D$29*B563 + VERI_TABANI!$D$29*C563)*VERI_TABANI!$B$13 + IF(ISNUMBER(SEARCH("Var", D563)), VERI_TABANI!$E$29*(1-0.928)*VERI_TABANI!$B$18, 0))), 0)</f>
        <v/>
      </c>
      <c r="J563" s="171">
        <f>IFERROR(F563/(G563/29), 0)</f>
        <v/>
      </c>
      <c r="K563" s="172">
        <f>IF(F563&gt;0, H563/F563, 0)</f>
        <v/>
      </c>
      <c r="L563" s="170">
        <f>IF(F563&gt;0, I563, 1000000000)</f>
        <v/>
      </c>
      <c r="M563" s="171">
        <f>ABS((B563+C563)-1)</f>
        <v/>
      </c>
      <c r="N563" s="170">
        <f>IF(F563&gt;0, (G563/29)/F563, 0)</f>
        <v/>
      </c>
      <c r="O563" s="168">
        <f>IF(AND((B563+C563)&gt;=1, ISNUMBER(SEARCH("Var", D563))), F563, 1000000000)</f>
        <v/>
      </c>
      <c r="P563" s="172">
        <f>IF(F563&gt;0, SQRT((F563/MAX(F$5:F$886))^2 + (1 - H563/MAX(H$5:H$886))^2 + (J563/MAX(J$5:J$886))^2), 1000000000)</f>
        <v/>
      </c>
      <c r="Q563" s="166">
        <f>IF(AND(ABS(B563-0.5)&lt;0.01, ABS(C563-0.5)&lt;0.01, ISNUMBER(SEARCH("Var", D563))), 1, 0)</f>
        <v/>
      </c>
      <c r="R563" s="171">
        <f>IF(F563&gt;0, J563, 1000000000)</f>
        <v/>
      </c>
      <c r="S563" s="101">
        <f>IF(AND(F563&lt;=DASHBOARD!$B$11, H563&gt;=DASHBOARD!$B$13), G563, -1000000000000)</f>
        <v/>
      </c>
      <c r="T563" s="101">
        <f>IF(AND(F563&lt;=DASHBOARD!$B$11, H563&gt;=DASHBOARD!$B$13), R563, 1000000000000)</f>
        <v/>
      </c>
      <c r="U563" s="101">
        <f>IF(AND(F563&lt;=DASHBOARD!$B$11, H563&gt;=DASHBOARD!$B$13), N563, -1000000000000)</f>
        <v/>
      </c>
      <c r="V563" s="101">
        <f>IF(AND(F563&lt;=DASHBOARD!$B$11, H563&gt;=DASHBOARD!$B$13), H563, -1000000000000)</f>
        <v/>
      </c>
      <c r="W563" s="101">
        <f>IF(AND(F563&lt;=DASHBOARD!$B$11, H563&gt;=DASHBOARD!$B$13), K563, -1000000000000)</f>
        <v/>
      </c>
      <c r="X563" s="101">
        <f>IF(AND(F563&lt;=DASHBOARD!$B$11, H563&gt;=DASHBOARD!$B$13), M563, 1000000000000)</f>
        <v/>
      </c>
      <c r="Y563" s="101">
        <f>IF(AND(F563&lt;=DASHBOARD!$B$10, H563&gt;=DASHBOARD!$B$11), L563, 1000000000000)</f>
        <v/>
      </c>
      <c r="Z563" s="101">
        <f>IF(AND(F563&lt;=DASHBOARD!$B$10, H563&gt;=DASHBOARD!$B$11), O563, 1000000000000)</f>
        <v/>
      </c>
      <c r="AA563" s="101">
        <f>IF(AND(F563&lt;=DASHBOARD!$B$10, H563&gt;=DASHBOARD!$B$11), P563, 1000000000000)</f>
        <v/>
      </c>
      <c r="AB563" s="101">
        <f>IF(AND(F563&lt;=DASHBOARD!$B$10, H563&gt;=DASHBOARD!$B$11), Q563, -1000000000000)</f>
        <v/>
      </c>
    </row>
    <row r="564" ht="15" customHeight="1" s="102">
      <c r="A564" s="166" t="n">
        <v>560</v>
      </c>
      <c r="B564" s="167" t="n">
        <v>1.3</v>
      </c>
      <c r="C564" s="167" t="n">
        <v>0.6</v>
      </c>
      <c r="D564" s="110" t="inlineStr">
        <is>
          <t>Var (%20)</t>
        </is>
      </c>
      <c r="E564" s="110">
        <f>IF((B564+C564)&lt;=1, "Tam Mahsuplaşma (≤%100)", "Kısmi Satış (&gt;%100)")</f>
        <v/>
      </c>
      <c r="F564" s="168">
        <f>((VERI_TABANI!$D$29*B564/VERI_TABANI!$B$29)/VERI_TABANI!$B$3)*VERI_TABANI!$B$5 + ((VERI_TABANI!$D$29*C564/VERI_TABANI!$B$29)/VERI_TABANI!$B$4)*VERI_TABANI!$B$6 + IF(ISNUMBER(SEARCH("Var", D564)), (VERI_TABANI!$F$29/VERI_TABANI!$B$29)*(VERI_TABANI!$B$10+VERI_TABANI!$B$12), 0)</f>
        <v/>
      </c>
      <c r="G564" s="168">
        <f>(((MIN(VERI_TABANI!D23, VERI_TABANI!D23*B564)*VERI_TABANI!$B$7 + MAX(0, VERI_TABANI!D23*B564-VERI_TABANI!D23)*VERI_TABANI!$B$8) + (MIN(MAX(0, VERI_TABANI!D23-VERI_TABANI!D23*B564), VERI_TABANI!D23*C564)*VERI_TABANI!$B$7 + MAX(0, VERI_TABANI!D23*C564-MAX(0, VERI_TABANI!D23-VERI_TABANI!D23*B564))*VERI_TABANI!$B$8) + IF(ABS(IF(ISNUMBER(SEARCH("Var", D564)), 1, IF(ISNUMBER(SEARCH("Gri", D564)), -1, 0)))=1, VERI_TABANI!E23*(1-0.928)*VERI_TABANI!$B$9, 0) + (VERI_TABANI!D23*B564*(VERI_TABANI!$B$13-VERI_TABANI!$B$14)*VERI_TABANI!G23) + (VERI_TABANI!D23*C564*(VERI_TABANI!$B$13-VERI_TABANI!$B$15)*VERI_TABANI!G23) + IF(ABS(IF(ISNUMBER(SEARCH("Var", D564)), 1, IF(ISNUMBER(SEARCH("Gri", D564)), -1, 0)))=1, VERI_TABANI!E23*(1-0.928)*0.00206091519919798*VERI_TABANI!G23, 0)) + ((MIN(VERI_TABANI!D24, VERI_TABANI!D24*B564)*VERI_TABANI!$B$7 + MAX(0, VERI_TABANI!D24*B564-VERI_TABANI!D24)*VERI_TABANI!$B$8) + (MIN(MAX(0, VERI_TABANI!D24-VERI_TABANI!D24*B564), VERI_TABANI!D24*C564)*VERI_TABANI!$B$7 + MAX(0, VERI_TABANI!D24*C564-MAX(0, VERI_TABANI!D24-VERI_TABANI!D24*B564))*VERI_TABANI!$B$8) + IF(ABS(IF(ISNUMBER(SEARCH("Var", D564)), 1, IF(ISNUMBER(SEARCH("Gri", D564)), -1, 0)))=1, VERI_TABANI!E24*(1-0.928)*VERI_TABANI!$B$9, 0) + (VERI_TABANI!D24*B564*(VERI_TABANI!$B$13-VERI_TABANI!$B$14)*VERI_TABANI!G24) + (VERI_TABANI!D24*C564*(VERI_TABANI!$B$13-VERI_TABANI!$B$15)*VERI_TABANI!G24) + IF(ABS(IF(ISNUMBER(SEARCH("Var", D564)), 1, IF(ISNUMBER(SEARCH("Gri", D564)), -1, 0)))=1, VERI_TABANI!E24*(1-0.928)*0.00206091519919798*VERI_TABANI!G24, 0)) + ((MIN(VERI_TABANI!D25, VERI_TABANI!D25*B564)*VERI_TABANI!$B$7 + MAX(0, VERI_TABANI!D25*B564-VERI_TABANI!D25)*VERI_TABANI!$B$8) + (MIN(MAX(0, VERI_TABANI!D25-VERI_TABANI!D25*B564), VERI_TABANI!D25*C564)*VERI_TABANI!$B$7 + MAX(0, VERI_TABANI!D25*C564-MAX(0, VERI_TABANI!D25-VERI_TABANI!D25*B564))*VERI_TABANI!$B$8) + IF(ABS(IF(ISNUMBER(SEARCH("Var", D564)), 1, IF(ISNUMBER(SEARCH("Gri", D564)), -1, 0)))=1, VERI_TABANI!E25*(1-0.928)*VERI_TABANI!$B$9, 0) + (VERI_TABANI!D25*B564*(VERI_TABANI!$B$13-VERI_TABANI!$B$14)*VERI_TABANI!G25) + (VERI_TABANI!D25*C564*(VERI_TABANI!$B$13-VERI_TABANI!$B$15)*VERI_TABANI!G25) + IF(ABS(IF(ISNUMBER(SEARCH("Var", D564)), 1, IF(ISNUMBER(SEARCH("Gri", D564)), -1, 0)))=1, VERI_TABANI!E25*(1-0.928)*0.00206091519919798*VERI_TABANI!G25, 0)) + ((MIN(VERI_TABANI!D26, VERI_TABANI!D26*B564)*VERI_TABANI!$B$7 + MAX(0, VERI_TABANI!D26*B564-VERI_TABANI!D26)*VERI_TABANI!$B$8) + (MIN(MAX(0, VERI_TABANI!D26-VERI_TABANI!D26*B564), VERI_TABANI!D26*C564)*VERI_TABANI!$B$7 + MAX(0, VERI_TABANI!D26*C564-MAX(0, VERI_TABANI!D26-VERI_TABANI!D26*B564))*VERI_TABANI!$B$8) + IF(ABS(IF(ISNUMBER(SEARCH("Var", D564)), 1, IF(ISNUMBER(SEARCH("Gri", D564)), -1, 0)))=1, VERI_TABANI!E26*(1-0.928)*VERI_TABANI!$B$9, 0) + (VERI_TABANI!D26*B564*(VERI_TABANI!$B$13-VERI_TABANI!$B$14)*VERI_TABANI!G26) + (VERI_TABANI!D26*C564*(VERI_TABANI!$B$13-VERI_TABANI!$B$15)*VERI_TABANI!G26) + IF(ABS(IF(ISNUMBER(SEARCH("Var", D564)), 1, IF(ISNUMBER(SEARCH("Gri", D564)), -1, 0)))=1, VERI_TABANI!E26*(1-0.928)*0.00206091519919798*VERI_TABANI!G26, 0)) + ((MIN(VERI_TABANI!D27, VERI_TABANI!D27*B564)*VERI_TABANI!$B$7 + MAX(0, VERI_TABANI!D27*B564-VERI_TABANI!D27)*VERI_TABANI!$B$8) + (MIN(MAX(0, VERI_TABANI!D27-VERI_TABANI!D27*B564), VERI_TABANI!D27*C564)*VERI_TABANI!$B$7 + MAX(0, VERI_TABANI!D27*C564-MAX(0, VERI_TABANI!D27-VERI_TABANI!D27*B564))*VERI_TABANI!$B$8) + IF(ABS(IF(ISNUMBER(SEARCH("Var", D564)), 1, IF(ISNUMBER(SEARCH("Gri", D564)), -1, 0)))=1, VERI_TABANI!E27*(1-0.928)*VERI_TABANI!$B$9, 0) + (VERI_TABANI!D27*B564*(VERI_TABANI!$B$13-VERI_TABANI!$B$14)*VERI_TABANI!G27) + (VERI_TABANI!D27*C564*(VERI_TABANI!$B$13-VERI_TABANI!$B$15)*VERI_TABANI!G27) + IF(ABS(IF(ISNUMBER(SEARCH("Var", D564)), 1, IF(ISNUMBER(SEARCH("Gri", D564)), -1, 0)))=1, VERI_TABANI!E27*(1-0.928)*0.00206091519919798*VERI_TABANI!G27, 0)) + ((MIN(VERI_TABANI!D28, VERI_TABANI!D28*B564)*VERI_TABANI!$B$7 + MAX(0, VERI_TABANI!D28*B564-VERI_TABANI!D28)*VERI_TABANI!$B$8) + (MIN(MAX(0, VERI_TABANI!D28-VERI_TABANI!D28*B564), VERI_TABANI!D28*C564)*VERI_TABANI!$B$7 + MAX(0, VERI_TABANI!D28*C564-MAX(0, VERI_TABANI!D28-VERI_TABANI!D28*B564))*VERI_TABANI!$B$8) + IF(ABS(IF(ISNUMBER(SEARCH("Var", D564)), 1, IF(ISNUMBER(SEARCH("Gri", D564)), -1, 0)))=1, VERI_TABANI!E28*(1-0.928)*VERI_TABANI!$B$9, 0) + (VERI_TABANI!D28*B564*(VERI_TABANI!$B$13-VERI_TABANI!$B$14)*VERI_TABANI!G28) + (VERI_TABANI!D28*C564*(VERI_TABANI!$B$13-VERI_TABANI!$B$15)*VERI_TABANI!G28) + IF(ABS(IF(ISNUMBER(SEARCH("Var", D564)), 1, IF(ISNUMBER(SEARCH("Gri", D564)), -1, 0)))=1, VERI_TABANI!E28*(1-0.928)*0.00206091519919798*VERI_TABANI!G28, 0)))</f>
        <v/>
      </c>
      <c r="H564" s="169">
        <f>(((VERI_TABANI!D23*B564*(VERI_TABANI!$B$13-VERI_TABANI!$B$14)) + (VERI_TABANI!D23*C564*(VERI_TABANI!$B$13-VERI_TABANI!$B$15)) + IF(ISNUMBER(SEARCH("Var", D564)), VERI_TABANI!F23*(0.00202-VERI_TABANI!$B$16), IF(ISNUMBER(SEARCH("Gri", D564)), VERI_TABANI!F23*(0.00202-VERI_TABANI!$B$17), 0))) + ((VERI_TABANI!D24*B564*(VERI_TABANI!$B$13-VERI_TABANI!$B$14)) + (VERI_TABANI!D24*C564*(VERI_TABANI!$B$13-VERI_TABANI!$B$15)) + IF(ISNUMBER(SEARCH("Var", D564)), VERI_TABANI!F24*(0.00202-VERI_TABANI!$B$16), IF(ISNUMBER(SEARCH("Gri", D564)), VERI_TABANI!F24*(0.00202-VERI_TABANI!$B$17), 0))) + ((VERI_TABANI!D25*B564*(VERI_TABANI!$B$13-VERI_TABANI!$B$14)) + (VERI_TABANI!D25*C564*(VERI_TABANI!$B$13-VERI_TABANI!$B$15)) + IF(ISNUMBER(SEARCH("Var", D564)), VERI_TABANI!F25*(0.00202-VERI_TABANI!$B$16), IF(ISNUMBER(SEARCH("Gri", D564)), VERI_TABANI!F25*(0.00202-VERI_TABANI!$B$17), 0))) + ((VERI_TABANI!D26*B564*(VERI_TABANI!$B$13-VERI_TABANI!$B$14)) + (VERI_TABANI!D26*C564*(VERI_TABANI!$B$13-VERI_TABANI!$B$15)) + IF(ISNUMBER(SEARCH("Var", D564)), VERI_TABANI!F26*(0.00202-VERI_TABANI!$B$16), IF(ISNUMBER(SEARCH("Gri", D564)), VERI_TABANI!F26*(0.00202-VERI_TABANI!$B$17), 0))) + ((VERI_TABANI!D27*B564*(VERI_TABANI!$B$13-VERI_TABANI!$B$14)) + (VERI_TABANI!D27*C564*(VERI_TABANI!$B$13-VERI_TABANI!$B$15)) + IF(ISNUMBER(SEARCH("Var", D564)), VERI_TABANI!F27*(0.00202-VERI_TABANI!$B$16), IF(ISNUMBER(SEARCH("Gri", D564)), VERI_TABANI!F27*(0.00202-VERI_TABANI!$B$17), 0))) + ((VERI_TABANI!D28*B564*(VERI_TABANI!$B$13-VERI_TABANI!$B$14)) + (VERI_TABANI!D28*C564*(VERI_TABANI!$B$13-VERI_TABANI!$B$15)) + IF(ISNUMBER(SEARCH("Var", D564)), VERI_TABANI!F28*(0.00202-VERI_TABANI!$B$16), IF(ISNUMBER(SEARCH("Gri", D564)), VERI_TABANI!F28*(0.00202-VERI_TABANI!$B$17), 0))))</f>
        <v/>
      </c>
      <c r="I564" s="170">
        <f>IFERROR(((VERI_TABANI!$D$29*B564*VERI_TABANI!$B$14 + VERI_TABANI!$D$29*C564*VERI_TABANI!$B$15 + IF(ISNUMBER(SEARCH("Var", D564)), VERI_TABANI!$F$29*VERI_TABANI!$B$16, 0))) / (((VERI_TABANI!$D$29*B564 + VERI_TABANI!$D$29*C564)*VERI_TABANI!$B$13 + IF(ISNUMBER(SEARCH("Var", D564)), VERI_TABANI!$E$29*(1-0.928)*VERI_TABANI!$B$18, 0))), 0)</f>
        <v/>
      </c>
      <c r="J564" s="171">
        <f>IFERROR(F564/(G564/29), 0)</f>
        <v/>
      </c>
      <c r="K564" s="172">
        <f>IF(F564&gt;0, H564/F564, 0)</f>
        <v/>
      </c>
      <c r="L564" s="170">
        <f>IF(F564&gt;0, I564, 1000000000)</f>
        <v/>
      </c>
      <c r="M564" s="171">
        <f>ABS((B564+C564)-1)</f>
        <v/>
      </c>
      <c r="N564" s="170">
        <f>IF(F564&gt;0, (G564/29)/F564, 0)</f>
        <v/>
      </c>
      <c r="O564" s="168">
        <f>IF(AND((B564+C564)&gt;=1, ISNUMBER(SEARCH("Var", D564))), F564, 1000000000)</f>
        <v/>
      </c>
      <c r="P564" s="172">
        <f>IF(F564&gt;0, SQRT((F564/MAX(F$5:F$886))^2 + (1 - H564/MAX(H$5:H$886))^2 + (J564/MAX(J$5:J$886))^2), 1000000000)</f>
        <v/>
      </c>
      <c r="Q564" s="166">
        <f>IF(AND(ABS(B564-0.5)&lt;0.01, ABS(C564-0.5)&lt;0.01, ISNUMBER(SEARCH("Var", D564))), 1, 0)</f>
        <v/>
      </c>
      <c r="R564" s="171">
        <f>IF(F564&gt;0, J564, 1000000000)</f>
        <v/>
      </c>
      <c r="S564" s="101">
        <f>IF(AND(F564&lt;=DASHBOARD!$B$11, H564&gt;=DASHBOARD!$B$13), G564, -1000000000000)</f>
        <v/>
      </c>
      <c r="T564" s="101">
        <f>IF(AND(F564&lt;=DASHBOARD!$B$11, H564&gt;=DASHBOARD!$B$13), R564, 1000000000000)</f>
        <v/>
      </c>
      <c r="U564" s="101">
        <f>IF(AND(F564&lt;=DASHBOARD!$B$11, H564&gt;=DASHBOARD!$B$13), N564, -1000000000000)</f>
        <v/>
      </c>
      <c r="V564" s="101">
        <f>IF(AND(F564&lt;=DASHBOARD!$B$11, H564&gt;=DASHBOARD!$B$13), H564, -1000000000000)</f>
        <v/>
      </c>
      <c r="W564" s="101">
        <f>IF(AND(F564&lt;=DASHBOARD!$B$11, H564&gt;=DASHBOARD!$B$13), K564, -1000000000000)</f>
        <v/>
      </c>
      <c r="X564" s="101">
        <f>IF(AND(F564&lt;=DASHBOARD!$B$11, H564&gt;=DASHBOARD!$B$13), M564, 1000000000000)</f>
        <v/>
      </c>
      <c r="Y564" s="101">
        <f>IF(AND(F564&lt;=DASHBOARD!$B$10, H564&gt;=DASHBOARD!$B$11), L564, 1000000000000)</f>
        <v/>
      </c>
      <c r="Z564" s="101">
        <f>IF(AND(F564&lt;=DASHBOARD!$B$10, H564&gt;=DASHBOARD!$B$11), O564, 1000000000000)</f>
        <v/>
      </c>
      <c r="AA564" s="101">
        <f>IF(AND(F564&lt;=DASHBOARD!$B$10, H564&gt;=DASHBOARD!$B$11), P564, 1000000000000)</f>
        <v/>
      </c>
      <c r="AB564" s="101">
        <f>IF(AND(F564&lt;=DASHBOARD!$B$10, H564&gt;=DASHBOARD!$B$11), Q564, -1000000000000)</f>
        <v/>
      </c>
    </row>
    <row r="565" ht="15" customHeight="1" s="102">
      <c r="A565" s="166" t="n">
        <v>561</v>
      </c>
      <c r="B565" s="167" t="n">
        <v>1.3</v>
      </c>
      <c r="C565" s="167" t="n">
        <v>0.7</v>
      </c>
      <c r="D565" s="110" t="inlineStr">
        <is>
          <t>Yok (%0)</t>
        </is>
      </c>
      <c r="E565" s="110">
        <f>IF((B565+C565)&lt;=1, "Tam Mahsuplaşma (≤%100)", "Kısmi Satış (&gt;%100)")</f>
        <v/>
      </c>
      <c r="F565" s="168">
        <f>((VERI_TABANI!$D$29*B565/VERI_TABANI!$B$29)/VERI_TABANI!$B$3)*VERI_TABANI!$B$5 + ((VERI_TABANI!$D$29*C565/VERI_TABANI!$B$29)/VERI_TABANI!$B$4)*VERI_TABANI!$B$6 + IF(ISNUMBER(SEARCH("Var", D565)), (VERI_TABANI!$F$29/VERI_TABANI!$B$29)*(VERI_TABANI!$B$10+VERI_TABANI!$B$12), 0)</f>
        <v/>
      </c>
      <c r="G565" s="168">
        <f>(((MIN(VERI_TABANI!D23, VERI_TABANI!D23*B565)*VERI_TABANI!$B$7 + MAX(0, VERI_TABANI!D23*B565-VERI_TABANI!D23)*VERI_TABANI!$B$8) + (MIN(MAX(0, VERI_TABANI!D23-VERI_TABANI!D23*B565), VERI_TABANI!D23*C565)*VERI_TABANI!$B$7 + MAX(0, VERI_TABANI!D23*C565-MAX(0, VERI_TABANI!D23-VERI_TABANI!D23*B565))*VERI_TABANI!$B$8) + IF(ABS(IF(ISNUMBER(SEARCH("Var", D565)), 1, IF(ISNUMBER(SEARCH("Gri", D565)), -1, 0)))=1, VERI_TABANI!E23*(1-0.928)*VERI_TABANI!$B$9, 0) + (VERI_TABANI!D23*B565*(VERI_TABANI!$B$13-VERI_TABANI!$B$14)*VERI_TABANI!G23) + (VERI_TABANI!D23*C565*(VERI_TABANI!$B$13-VERI_TABANI!$B$15)*VERI_TABANI!G23) + IF(ABS(IF(ISNUMBER(SEARCH("Var", D565)), 1, IF(ISNUMBER(SEARCH("Gri", D565)), -1, 0)))=1, VERI_TABANI!E23*(1-0.928)*0.00206091519919798*VERI_TABANI!G23, 0)) + ((MIN(VERI_TABANI!D24, VERI_TABANI!D24*B565)*VERI_TABANI!$B$7 + MAX(0, VERI_TABANI!D24*B565-VERI_TABANI!D24)*VERI_TABANI!$B$8) + (MIN(MAX(0, VERI_TABANI!D24-VERI_TABANI!D24*B565), VERI_TABANI!D24*C565)*VERI_TABANI!$B$7 + MAX(0, VERI_TABANI!D24*C565-MAX(0, VERI_TABANI!D24-VERI_TABANI!D24*B565))*VERI_TABANI!$B$8) + IF(ABS(IF(ISNUMBER(SEARCH("Var", D565)), 1, IF(ISNUMBER(SEARCH("Gri", D565)), -1, 0)))=1, VERI_TABANI!E24*(1-0.928)*VERI_TABANI!$B$9, 0) + (VERI_TABANI!D24*B565*(VERI_TABANI!$B$13-VERI_TABANI!$B$14)*VERI_TABANI!G24) + (VERI_TABANI!D24*C565*(VERI_TABANI!$B$13-VERI_TABANI!$B$15)*VERI_TABANI!G24) + IF(ABS(IF(ISNUMBER(SEARCH("Var", D565)), 1, IF(ISNUMBER(SEARCH("Gri", D565)), -1, 0)))=1, VERI_TABANI!E24*(1-0.928)*0.00206091519919798*VERI_TABANI!G24, 0)) + ((MIN(VERI_TABANI!D25, VERI_TABANI!D25*B565)*VERI_TABANI!$B$7 + MAX(0, VERI_TABANI!D25*B565-VERI_TABANI!D25)*VERI_TABANI!$B$8) + (MIN(MAX(0, VERI_TABANI!D25-VERI_TABANI!D25*B565), VERI_TABANI!D25*C565)*VERI_TABANI!$B$7 + MAX(0, VERI_TABANI!D25*C565-MAX(0, VERI_TABANI!D25-VERI_TABANI!D25*B565))*VERI_TABANI!$B$8) + IF(ABS(IF(ISNUMBER(SEARCH("Var", D565)), 1, IF(ISNUMBER(SEARCH("Gri", D565)), -1, 0)))=1, VERI_TABANI!E25*(1-0.928)*VERI_TABANI!$B$9, 0) + (VERI_TABANI!D25*B565*(VERI_TABANI!$B$13-VERI_TABANI!$B$14)*VERI_TABANI!G25) + (VERI_TABANI!D25*C565*(VERI_TABANI!$B$13-VERI_TABANI!$B$15)*VERI_TABANI!G25) + IF(ABS(IF(ISNUMBER(SEARCH("Var", D565)), 1, IF(ISNUMBER(SEARCH("Gri", D565)), -1, 0)))=1, VERI_TABANI!E25*(1-0.928)*0.00206091519919798*VERI_TABANI!G25, 0)) + ((MIN(VERI_TABANI!D26, VERI_TABANI!D26*B565)*VERI_TABANI!$B$7 + MAX(0, VERI_TABANI!D26*B565-VERI_TABANI!D26)*VERI_TABANI!$B$8) + (MIN(MAX(0, VERI_TABANI!D26-VERI_TABANI!D26*B565), VERI_TABANI!D26*C565)*VERI_TABANI!$B$7 + MAX(0, VERI_TABANI!D26*C565-MAX(0, VERI_TABANI!D26-VERI_TABANI!D26*B565))*VERI_TABANI!$B$8) + IF(ABS(IF(ISNUMBER(SEARCH("Var", D565)), 1, IF(ISNUMBER(SEARCH("Gri", D565)), -1, 0)))=1, VERI_TABANI!E26*(1-0.928)*VERI_TABANI!$B$9, 0) + (VERI_TABANI!D26*B565*(VERI_TABANI!$B$13-VERI_TABANI!$B$14)*VERI_TABANI!G26) + (VERI_TABANI!D26*C565*(VERI_TABANI!$B$13-VERI_TABANI!$B$15)*VERI_TABANI!G26) + IF(ABS(IF(ISNUMBER(SEARCH("Var", D565)), 1, IF(ISNUMBER(SEARCH("Gri", D565)), -1, 0)))=1, VERI_TABANI!E26*(1-0.928)*0.00206091519919798*VERI_TABANI!G26, 0)) + ((MIN(VERI_TABANI!D27, VERI_TABANI!D27*B565)*VERI_TABANI!$B$7 + MAX(0, VERI_TABANI!D27*B565-VERI_TABANI!D27)*VERI_TABANI!$B$8) + (MIN(MAX(0, VERI_TABANI!D27-VERI_TABANI!D27*B565), VERI_TABANI!D27*C565)*VERI_TABANI!$B$7 + MAX(0, VERI_TABANI!D27*C565-MAX(0, VERI_TABANI!D27-VERI_TABANI!D27*B565))*VERI_TABANI!$B$8) + IF(ABS(IF(ISNUMBER(SEARCH("Var", D565)), 1, IF(ISNUMBER(SEARCH("Gri", D565)), -1, 0)))=1, VERI_TABANI!E27*(1-0.928)*VERI_TABANI!$B$9, 0) + (VERI_TABANI!D27*B565*(VERI_TABANI!$B$13-VERI_TABANI!$B$14)*VERI_TABANI!G27) + (VERI_TABANI!D27*C565*(VERI_TABANI!$B$13-VERI_TABANI!$B$15)*VERI_TABANI!G27) + IF(ABS(IF(ISNUMBER(SEARCH("Var", D565)), 1, IF(ISNUMBER(SEARCH("Gri", D565)), -1, 0)))=1, VERI_TABANI!E27*(1-0.928)*0.00206091519919798*VERI_TABANI!G27, 0)) + ((MIN(VERI_TABANI!D28, VERI_TABANI!D28*B565)*VERI_TABANI!$B$7 + MAX(0, VERI_TABANI!D28*B565-VERI_TABANI!D28)*VERI_TABANI!$B$8) + (MIN(MAX(0, VERI_TABANI!D28-VERI_TABANI!D28*B565), VERI_TABANI!D28*C565)*VERI_TABANI!$B$7 + MAX(0, VERI_TABANI!D28*C565-MAX(0, VERI_TABANI!D28-VERI_TABANI!D28*B565))*VERI_TABANI!$B$8) + IF(ABS(IF(ISNUMBER(SEARCH("Var", D565)), 1, IF(ISNUMBER(SEARCH("Gri", D565)), -1, 0)))=1, VERI_TABANI!E28*(1-0.928)*VERI_TABANI!$B$9, 0) + (VERI_TABANI!D28*B565*(VERI_TABANI!$B$13-VERI_TABANI!$B$14)*VERI_TABANI!G28) + (VERI_TABANI!D28*C565*(VERI_TABANI!$B$13-VERI_TABANI!$B$15)*VERI_TABANI!G28) + IF(ABS(IF(ISNUMBER(SEARCH("Var", D565)), 1, IF(ISNUMBER(SEARCH("Gri", D565)), -1, 0)))=1, VERI_TABANI!E28*(1-0.928)*0.00206091519919798*VERI_TABANI!G28, 0)))</f>
        <v/>
      </c>
      <c r="H565" s="169">
        <f>(((VERI_TABANI!D23*B565*(VERI_TABANI!$B$13-VERI_TABANI!$B$14)) + (VERI_TABANI!D23*C565*(VERI_TABANI!$B$13-VERI_TABANI!$B$15)) + IF(ISNUMBER(SEARCH("Var", D565)), VERI_TABANI!F23*(0.00202-VERI_TABANI!$B$16), IF(ISNUMBER(SEARCH("Gri", D565)), VERI_TABANI!F23*(0.00202-VERI_TABANI!$B$17), 0))) + ((VERI_TABANI!D24*B565*(VERI_TABANI!$B$13-VERI_TABANI!$B$14)) + (VERI_TABANI!D24*C565*(VERI_TABANI!$B$13-VERI_TABANI!$B$15)) + IF(ISNUMBER(SEARCH("Var", D565)), VERI_TABANI!F24*(0.00202-VERI_TABANI!$B$16), IF(ISNUMBER(SEARCH("Gri", D565)), VERI_TABANI!F24*(0.00202-VERI_TABANI!$B$17), 0))) + ((VERI_TABANI!D25*B565*(VERI_TABANI!$B$13-VERI_TABANI!$B$14)) + (VERI_TABANI!D25*C565*(VERI_TABANI!$B$13-VERI_TABANI!$B$15)) + IF(ISNUMBER(SEARCH("Var", D565)), VERI_TABANI!F25*(0.00202-VERI_TABANI!$B$16), IF(ISNUMBER(SEARCH("Gri", D565)), VERI_TABANI!F25*(0.00202-VERI_TABANI!$B$17), 0))) + ((VERI_TABANI!D26*B565*(VERI_TABANI!$B$13-VERI_TABANI!$B$14)) + (VERI_TABANI!D26*C565*(VERI_TABANI!$B$13-VERI_TABANI!$B$15)) + IF(ISNUMBER(SEARCH("Var", D565)), VERI_TABANI!F26*(0.00202-VERI_TABANI!$B$16), IF(ISNUMBER(SEARCH("Gri", D565)), VERI_TABANI!F26*(0.00202-VERI_TABANI!$B$17), 0))) + ((VERI_TABANI!D27*B565*(VERI_TABANI!$B$13-VERI_TABANI!$B$14)) + (VERI_TABANI!D27*C565*(VERI_TABANI!$B$13-VERI_TABANI!$B$15)) + IF(ISNUMBER(SEARCH("Var", D565)), VERI_TABANI!F27*(0.00202-VERI_TABANI!$B$16), IF(ISNUMBER(SEARCH("Gri", D565)), VERI_TABANI!F27*(0.00202-VERI_TABANI!$B$17), 0))) + ((VERI_TABANI!D28*B565*(VERI_TABANI!$B$13-VERI_TABANI!$B$14)) + (VERI_TABANI!D28*C565*(VERI_TABANI!$B$13-VERI_TABANI!$B$15)) + IF(ISNUMBER(SEARCH("Var", D565)), VERI_TABANI!F28*(0.00202-VERI_TABANI!$B$16), IF(ISNUMBER(SEARCH("Gri", D565)), VERI_TABANI!F28*(0.00202-VERI_TABANI!$B$17), 0))))</f>
        <v/>
      </c>
      <c r="I565" s="170">
        <f>IFERROR(((VERI_TABANI!$D$29*B565*VERI_TABANI!$B$14 + VERI_TABANI!$D$29*C565*VERI_TABANI!$B$15 + IF(ISNUMBER(SEARCH("Var", D565)), VERI_TABANI!$F$29*VERI_TABANI!$B$16, 0))) / (((VERI_TABANI!$D$29*B565 + VERI_TABANI!$D$29*C565)*VERI_TABANI!$B$13 + IF(ISNUMBER(SEARCH("Var", D565)), VERI_TABANI!$E$29*(1-0.928)*VERI_TABANI!$B$18, 0))), 0)</f>
        <v/>
      </c>
      <c r="J565" s="171">
        <f>IFERROR(F565/(G565/29), 0)</f>
        <v/>
      </c>
      <c r="K565" s="172">
        <f>IF(F565&gt;0, H565/F565, 0)</f>
        <v/>
      </c>
      <c r="L565" s="170">
        <f>IF(F565&gt;0, I565, 1000000000)</f>
        <v/>
      </c>
      <c r="M565" s="171">
        <f>ABS((B565+C565)-1)</f>
        <v/>
      </c>
      <c r="N565" s="170">
        <f>IF(F565&gt;0, (G565/29)/F565, 0)</f>
        <v/>
      </c>
      <c r="O565" s="168">
        <f>IF(AND((B565+C565)&gt;=1, ISNUMBER(SEARCH("Var", D565))), F565, 1000000000)</f>
        <v/>
      </c>
      <c r="P565" s="172">
        <f>IF(F565&gt;0, SQRT((F565/MAX(F$5:F$886))^2 + (1 - H565/MAX(H$5:H$886))^2 + (J565/MAX(J$5:J$886))^2), 1000000000)</f>
        <v/>
      </c>
      <c r="Q565" s="166">
        <f>IF(AND(ABS(B565-0.5)&lt;0.01, ABS(C565-0.5)&lt;0.01, ISNUMBER(SEARCH("Var", D565))), 1, 0)</f>
        <v/>
      </c>
      <c r="R565" s="171">
        <f>IF(F565&gt;0, J565, 1000000000)</f>
        <v/>
      </c>
      <c r="S565" s="101">
        <f>IF(AND(F565&lt;=DASHBOARD!$B$11, H565&gt;=DASHBOARD!$B$13), G565, -1000000000000)</f>
        <v/>
      </c>
      <c r="T565" s="101">
        <f>IF(AND(F565&lt;=DASHBOARD!$B$11, H565&gt;=DASHBOARD!$B$13), R565, 1000000000000)</f>
        <v/>
      </c>
      <c r="U565" s="101">
        <f>IF(AND(F565&lt;=DASHBOARD!$B$11, H565&gt;=DASHBOARD!$B$13), N565, -1000000000000)</f>
        <v/>
      </c>
      <c r="V565" s="101">
        <f>IF(AND(F565&lt;=DASHBOARD!$B$11, H565&gt;=DASHBOARD!$B$13), H565, -1000000000000)</f>
        <v/>
      </c>
      <c r="W565" s="101">
        <f>IF(AND(F565&lt;=DASHBOARD!$B$11, H565&gt;=DASHBOARD!$B$13), K565, -1000000000000)</f>
        <v/>
      </c>
      <c r="X565" s="101">
        <f>IF(AND(F565&lt;=DASHBOARD!$B$11, H565&gt;=DASHBOARD!$B$13), M565, 1000000000000)</f>
        <v/>
      </c>
      <c r="Y565" s="101">
        <f>IF(AND(F565&lt;=DASHBOARD!$B$10, H565&gt;=DASHBOARD!$B$11), L565, 1000000000000)</f>
        <v/>
      </c>
      <c r="Z565" s="101">
        <f>IF(AND(F565&lt;=DASHBOARD!$B$10, H565&gt;=DASHBOARD!$B$11), O565, 1000000000000)</f>
        <v/>
      </c>
      <c r="AA565" s="101">
        <f>IF(AND(F565&lt;=DASHBOARD!$B$10, H565&gt;=DASHBOARD!$B$11), P565, 1000000000000)</f>
        <v/>
      </c>
      <c r="AB565" s="101">
        <f>IF(AND(F565&lt;=DASHBOARD!$B$10, H565&gt;=DASHBOARD!$B$11), Q565, -1000000000000)</f>
        <v/>
      </c>
    </row>
    <row r="566" ht="15" customHeight="1" s="102">
      <c r="A566" s="166" t="n">
        <v>562</v>
      </c>
      <c r="B566" s="167" t="n">
        <v>1.3</v>
      </c>
      <c r="C566" s="167" t="n">
        <v>0.7</v>
      </c>
      <c r="D566" s="110" t="inlineStr">
        <is>
          <t>Var (%20)</t>
        </is>
      </c>
      <c r="E566" s="110">
        <f>IF((B566+C566)&lt;=1, "Tam Mahsuplaşma (≤%100)", "Kısmi Satış (&gt;%100)")</f>
        <v/>
      </c>
      <c r="F566" s="168">
        <f>((VERI_TABANI!$D$29*B566/VERI_TABANI!$B$29)/VERI_TABANI!$B$3)*VERI_TABANI!$B$5 + ((VERI_TABANI!$D$29*C566/VERI_TABANI!$B$29)/VERI_TABANI!$B$4)*VERI_TABANI!$B$6 + IF(ISNUMBER(SEARCH("Var", D566)), (VERI_TABANI!$F$29/VERI_TABANI!$B$29)*(VERI_TABANI!$B$10+VERI_TABANI!$B$12), 0)</f>
        <v/>
      </c>
      <c r="G566" s="168">
        <f>(((MIN(VERI_TABANI!D23, VERI_TABANI!D23*B566)*VERI_TABANI!$B$7 + MAX(0, VERI_TABANI!D23*B566-VERI_TABANI!D23)*VERI_TABANI!$B$8) + (MIN(MAX(0, VERI_TABANI!D23-VERI_TABANI!D23*B566), VERI_TABANI!D23*C566)*VERI_TABANI!$B$7 + MAX(0, VERI_TABANI!D23*C566-MAX(0, VERI_TABANI!D23-VERI_TABANI!D23*B566))*VERI_TABANI!$B$8) + IF(ABS(IF(ISNUMBER(SEARCH("Var", D566)), 1, IF(ISNUMBER(SEARCH("Gri", D566)), -1, 0)))=1, VERI_TABANI!E23*(1-0.928)*VERI_TABANI!$B$9, 0) + (VERI_TABANI!D23*B566*(VERI_TABANI!$B$13-VERI_TABANI!$B$14)*VERI_TABANI!G23) + (VERI_TABANI!D23*C566*(VERI_TABANI!$B$13-VERI_TABANI!$B$15)*VERI_TABANI!G23) + IF(ABS(IF(ISNUMBER(SEARCH("Var", D566)), 1, IF(ISNUMBER(SEARCH("Gri", D566)), -1, 0)))=1, VERI_TABANI!E23*(1-0.928)*0.00206091519919798*VERI_TABANI!G23, 0)) + ((MIN(VERI_TABANI!D24, VERI_TABANI!D24*B566)*VERI_TABANI!$B$7 + MAX(0, VERI_TABANI!D24*B566-VERI_TABANI!D24)*VERI_TABANI!$B$8) + (MIN(MAX(0, VERI_TABANI!D24-VERI_TABANI!D24*B566), VERI_TABANI!D24*C566)*VERI_TABANI!$B$7 + MAX(0, VERI_TABANI!D24*C566-MAX(0, VERI_TABANI!D24-VERI_TABANI!D24*B566))*VERI_TABANI!$B$8) + IF(ABS(IF(ISNUMBER(SEARCH("Var", D566)), 1, IF(ISNUMBER(SEARCH("Gri", D566)), -1, 0)))=1, VERI_TABANI!E24*(1-0.928)*VERI_TABANI!$B$9, 0) + (VERI_TABANI!D24*B566*(VERI_TABANI!$B$13-VERI_TABANI!$B$14)*VERI_TABANI!G24) + (VERI_TABANI!D24*C566*(VERI_TABANI!$B$13-VERI_TABANI!$B$15)*VERI_TABANI!G24) + IF(ABS(IF(ISNUMBER(SEARCH("Var", D566)), 1, IF(ISNUMBER(SEARCH("Gri", D566)), -1, 0)))=1, VERI_TABANI!E24*(1-0.928)*0.00206091519919798*VERI_TABANI!G24, 0)) + ((MIN(VERI_TABANI!D25, VERI_TABANI!D25*B566)*VERI_TABANI!$B$7 + MAX(0, VERI_TABANI!D25*B566-VERI_TABANI!D25)*VERI_TABANI!$B$8) + (MIN(MAX(0, VERI_TABANI!D25-VERI_TABANI!D25*B566), VERI_TABANI!D25*C566)*VERI_TABANI!$B$7 + MAX(0, VERI_TABANI!D25*C566-MAX(0, VERI_TABANI!D25-VERI_TABANI!D25*B566))*VERI_TABANI!$B$8) + IF(ABS(IF(ISNUMBER(SEARCH("Var", D566)), 1, IF(ISNUMBER(SEARCH("Gri", D566)), -1, 0)))=1, VERI_TABANI!E25*(1-0.928)*VERI_TABANI!$B$9, 0) + (VERI_TABANI!D25*B566*(VERI_TABANI!$B$13-VERI_TABANI!$B$14)*VERI_TABANI!G25) + (VERI_TABANI!D25*C566*(VERI_TABANI!$B$13-VERI_TABANI!$B$15)*VERI_TABANI!G25) + IF(ABS(IF(ISNUMBER(SEARCH("Var", D566)), 1, IF(ISNUMBER(SEARCH("Gri", D566)), -1, 0)))=1, VERI_TABANI!E25*(1-0.928)*0.00206091519919798*VERI_TABANI!G25, 0)) + ((MIN(VERI_TABANI!D26, VERI_TABANI!D26*B566)*VERI_TABANI!$B$7 + MAX(0, VERI_TABANI!D26*B566-VERI_TABANI!D26)*VERI_TABANI!$B$8) + (MIN(MAX(0, VERI_TABANI!D26-VERI_TABANI!D26*B566), VERI_TABANI!D26*C566)*VERI_TABANI!$B$7 + MAX(0, VERI_TABANI!D26*C566-MAX(0, VERI_TABANI!D26-VERI_TABANI!D26*B566))*VERI_TABANI!$B$8) + IF(ABS(IF(ISNUMBER(SEARCH("Var", D566)), 1, IF(ISNUMBER(SEARCH("Gri", D566)), -1, 0)))=1, VERI_TABANI!E26*(1-0.928)*VERI_TABANI!$B$9, 0) + (VERI_TABANI!D26*B566*(VERI_TABANI!$B$13-VERI_TABANI!$B$14)*VERI_TABANI!G26) + (VERI_TABANI!D26*C566*(VERI_TABANI!$B$13-VERI_TABANI!$B$15)*VERI_TABANI!G26) + IF(ABS(IF(ISNUMBER(SEARCH("Var", D566)), 1, IF(ISNUMBER(SEARCH("Gri", D566)), -1, 0)))=1, VERI_TABANI!E26*(1-0.928)*0.00206091519919798*VERI_TABANI!G26, 0)) + ((MIN(VERI_TABANI!D27, VERI_TABANI!D27*B566)*VERI_TABANI!$B$7 + MAX(0, VERI_TABANI!D27*B566-VERI_TABANI!D27)*VERI_TABANI!$B$8) + (MIN(MAX(0, VERI_TABANI!D27-VERI_TABANI!D27*B566), VERI_TABANI!D27*C566)*VERI_TABANI!$B$7 + MAX(0, VERI_TABANI!D27*C566-MAX(0, VERI_TABANI!D27-VERI_TABANI!D27*B566))*VERI_TABANI!$B$8) + IF(ABS(IF(ISNUMBER(SEARCH("Var", D566)), 1, IF(ISNUMBER(SEARCH("Gri", D566)), -1, 0)))=1, VERI_TABANI!E27*(1-0.928)*VERI_TABANI!$B$9, 0) + (VERI_TABANI!D27*B566*(VERI_TABANI!$B$13-VERI_TABANI!$B$14)*VERI_TABANI!G27) + (VERI_TABANI!D27*C566*(VERI_TABANI!$B$13-VERI_TABANI!$B$15)*VERI_TABANI!G27) + IF(ABS(IF(ISNUMBER(SEARCH("Var", D566)), 1, IF(ISNUMBER(SEARCH("Gri", D566)), -1, 0)))=1, VERI_TABANI!E27*(1-0.928)*0.00206091519919798*VERI_TABANI!G27, 0)) + ((MIN(VERI_TABANI!D28, VERI_TABANI!D28*B566)*VERI_TABANI!$B$7 + MAX(0, VERI_TABANI!D28*B566-VERI_TABANI!D28)*VERI_TABANI!$B$8) + (MIN(MAX(0, VERI_TABANI!D28-VERI_TABANI!D28*B566), VERI_TABANI!D28*C566)*VERI_TABANI!$B$7 + MAX(0, VERI_TABANI!D28*C566-MAX(0, VERI_TABANI!D28-VERI_TABANI!D28*B566))*VERI_TABANI!$B$8) + IF(ABS(IF(ISNUMBER(SEARCH("Var", D566)), 1, IF(ISNUMBER(SEARCH("Gri", D566)), -1, 0)))=1, VERI_TABANI!E28*(1-0.928)*VERI_TABANI!$B$9, 0) + (VERI_TABANI!D28*B566*(VERI_TABANI!$B$13-VERI_TABANI!$B$14)*VERI_TABANI!G28) + (VERI_TABANI!D28*C566*(VERI_TABANI!$B$13-VERI_TABANI!$B$15)*VERI_TABANI!G28) + IF(ABS(IF(ISNUMBER(SEARCH("Var", D566)), 1, IF(ISNUMBER(SEARCH("Gri", D566)), -1, 0)))=1, VERI_TABANI!E28*(1-0.928)*0.00206091519919798*VERI_TABANI!G28, 0)))</f>
        <v/>
      </c>
      <c r="H566" s="169">
        <f>(((VERI_TABANI!D23*B566*(VERI_TABANI!$B$13-VERI_TABANI!$B$14)) + (VERI_TABANI!D23*C566*(VERI_TABANI!$B$13-VERI_TABANI!$B$15)) + IF(ISNUMBER(SEARCH("Var", D566)), VERI_TABANI!F23*(0.00202-VERI_TABANI!$B$16), IF(ISNUMBER(SEARCH("Gri", D566)), VERI_TABANI!F23*(0.00202-VERI_TABANI!$B$17), 0))) + ((VERI_TABANI!D24*B566*(VERI_TABANI!$B$13-VERI_TABANI!$B$14)) + (VERI_TABANI!D24*C566*(VERI_TABANI!$B$13-VERI_TABANI!$B$15)) + IF(ISNUMBER(SEARCH("Var", D566)), VERI_TABANI!F24*(0.00202-VERI_TABANI!$B$16), IF(ISNUMBER(SEARCH("Gri", D566)), VERI_TABANI!F24*(0.00202-VERI_TABANI!$B$17), 0))) + ((VERI_TABANI!D25*B566*(VERI_TABANI!$B$13-VERI_TABANI!$B$14)) + (VERI_TABANI!D25*C566*(VERI_TABANI!$B$13-VERI_TABANI!$B$15)) + IF(ISNUMBER(SEARCH("Var", D566)), VERI_TABANI!F25*(0.00202-VERI_TABANI!$B$16), IF(ISNUMBER(SEARCH("Gri", D566)), VERI_TABANI!F25*(0.00202-VERI_TABANI!$B$17), 0))) + ((VERI_TABANI!D26*B566*(VERI_TABANI!$B$13-VERI_TABANI!$B$14)) + (VERI_TABANI!D26*C566*(VERI_TABANI!$B$13-VERI_TABANI!$B$15)) + IF(ISNUMBER(SEARCH("Var", D566)), VERI_TABANI!F26*(0.00202-VERI_TABANI!$B$16), IF(ISNUMBER(SEARCH("Gri", D566)), VERI_TABANI!F26*(0.00202-VERI_TABANI!$B$17), 0))) + ((VERI_TABANI!D27*B566*(VERI_TABANI!$B$13-VERI_TABANI!$B$14)) + (VERI_TABANI!D27*C566*(VERI_TABANI!$B$13-VERI_TABANI!$B$15)) + IF(ISNUMBER(SEARCH("Var", D566)), VERI_TABANI!F27*(0.00202-VERI_TABANI!$B$16), IF(ISNUMBER(SEARCH("Gri", D566)), VERI_TABANI!F27*(0.00202-VERI_TABANI!$B$17), 0))) + ((VERI_TABANI!D28*B566*(VERI_TABANI!$B$13-VERI_TABANI!$B$14)) + (VERI_TABANI!D28*C566*(VERI_TABANI!$B$13-VERI_TABANI!$B$15)) + IF(ISNUMBER(SEARCH("Var", D566)), VERI_TABANI!F28*(0.00202-VERI_TABANI!$B$16), IF(ISNUMBER(SEARCH("Gri", D566)), VERI_TABANI!F28*(0.00202-VERI_TABANI!$B$17), 0))))</f>
        <v/>
      </c>
      <c r="I566" s="170">
        <f>IFERROR(((VERI_TABANI!$D$29*B566*VERI_TABANI!$B$14 + VERI_TABANI!$D$29*C566*VERI_TABANI!$B$15 + IF(ISNUMBER(SEARCH("Var", D566)), VERI_TABANI!$F$29*VERI_TABANI!$B$16, 0))) / (((VERI_TABANI!$D$29*B566 + VERI_TABANI!$D$29*C566)*VERI_TABANI!$B$13 + IF(ISNUMBER(SEARCH("Var", D566)), VERI_TABANI!$E$29*(1-0.928)*VERI_TABANI!$B$18, 0))), 0)</f>
        <v/>
      </c>
      <c r="J566" s="171">
        <f>IFERROR(F566/(G566/29), 0)</f>
        <v/>
      </c>
      <c r="K566" s="172">
        <f>IF(F566&gt;0, H566/F566, 0)</f>
        <v/>
      </c>
      <c r="L566" s="170">
        <f>IF(F566&gt;0, I566, 1000000000)</f>
        <v/>
      </c>
      <c r="M566" s="171">
        <f>ABS((B566+C566)-1)</f>
        <v/>
      </c>
      <c r="N566" s="170">
        <f>IF(F566&gt;0, (G566/29)/F566, 0)</f>
        <v/>
      </c>
      <c r="O566" s="168">
        <f>IF(AND((B566+C566)&gt;=1, ISNUMBER(SEARCH("Var", D566))), F566, 1000000000)</f>
        <v/>
      </c>
      <c r="P566" s="172">
        <f>IF(F566&gt;0, SQRT((F566/MAX(F$5:F$886))^2 + (1 - H566/MAX(H$5:H$886))^2 + (J566/MAX(J$5:J$886))^2), 1000000000)</f>
        <v/>
      </c>
      <c r="Q566" s="166">
        <f>IF(AND(ABS(B566-0.5)&lt;0.01, ABS(C566-0.5)&lt;0.01, ISNUMBER(SEARCH("Var", D566))), 1, 0)</f>
        <v/>
      </c>
      <c r="R566" s="171">
        <f>IF(F566&gt;0, J566, 1000000000)</f>
        <v/>
      </c>
      <c r="S566" s="101">
        <f>IF(AND(F566&lt;=DASHBOARD!$B$11, H566&gt;=DASHBOARD!$B$13), G566, -1000000000000)</f>
        <v/>
      </c>
      <c r="T566" s="101">
        <f>IF(AND(F566&lt;=DASHBOARD!$B$11, H566&gt;=DASHBOARD!$B$13), R566, 1000000000000)</f>
        <v/>
      </c>
      <c r="U566" s="101">
        <f>IF(AND(F566&lt;=DASHBOARD!$B$11, H566&gt;=DASHBOARD!$B$13), N566, -1000000000000)</f>
        <v/>
      </c>
      <c r="V566" s="101">
        <f>IF(AND(F566&lt;=DASHBOARD!$B$11, H566&gt;=DASHBOARD!$B$13), H566, -1000000000000)</f>
        <v/>
      </c>
      <c r="W566" s="101">
        <f>IF(AND(F566&lt;=DASHBOARD!$B$11, H566&gt;=DASHBOARD!$B$13), K566, -1000000000000)</f>
        <v/>
      </c>
      <c r="X566" s="101">
        <f>IF(AND(F566&lt;=DASHBOARD!$B$11, H566&gt;=DASHBOARD!$B$13), M566, 1000000000000)</f>
        <v/>
      </c>
      <c r="Y566" s="101">
        <f>IF(AND(F566&lt;=DASHBOARD!$B$10, H566&gt;=DASHBOARD!$B$11), L566, 1000000000000)</f>
        <v/>
      </c>
      <c r="Z566" s="101">
        <f>IF(AND(F566&lt;=DASHBOARD!$B$10, H566&gt;=DASHBOARD!$B$11), O566, 1000000000000)</f>
        <v/>
      </c>
      <c r="AA566" s="101">
        <f>IF(AND(F566&lt;=DASHBOARD!$B$10, H566&gt;=DASHBOARD!$B$11), P566, 1000000000000)</f>
        <v/>
      </c>
      <c r="AB566" s="101">
        <f>IF(AND(F566&lt;=DASHBOARD!$B$10, H566&gt;=DASHBOARD!$B$11), Q566, -1000000000000)</f>
        <v/>
      </c>
    </row>
    <row r="567" ht="15" customHeight="1" s="102">
      <c r="A567" s="166" t="n">
        <v>563</v>
      </c>
      <c r="B567" s="167" t="n">
        <v>1.3</v>
      </c>
      <c r="C567" s="167" t="n">
        <v>0.8</v>
      </c>
      <c r="D567" s="110" t="inlineStr">
        <is>
          <t>Yok (%0)</t>
        </is>
      </c>
      <c r="E567" s="110">
        <f>IF((B567+C567)&lt;=1, "Tam Mahsuplaşma (≤%100)", "Kısmi Satış (&gt;%100)")</f>
        <v/>
      </c>
      <c r="F567" s="168">
        <f>((VERI_TABANI!$D$29*B567/VERI_TABANI!$B$29)/VERI_TABANI!$B$3)*VERI_TABANI!$B$5 + ((VERI_TABANI!$D$29*C567/VERI_TABANI!$B$29)/VERI_TABANI!$B$4)*VERI_TABANI!$B$6 + IF(ISNUMBER(SEARCH("Var", D567)), (VERI_TABANI!$F$29/VERI_TABANI!$B$29)*(VERI_TABANI!$B$10+VERI_TABANI!$B$12), 0)</f>
        <v/>
      </c>
      <c r="G567" s="168">
        <f>(((MIN(VERI_TABANI!D23, VERI_TABANI!D23*B567)*VERI_TABANI!$B$7 + MAX(0, VERI_TABANI!D23*B567-VERI_TABANI!D23)*VERI_TABANI!$B$8) + (MIN(MAX(0, VERI_TABANI!D23-VERI_TABANI!D23*B567), VERI_TABANI!D23*C567)*VERI_TABANI!$B$7 + MAX(0, VERI_TABANI!D23*C567-MAX(0, VERI_TABANI!D23-VERI_TABANI!D23*B567))*VERI_TABANI!$B$8) + IF(ABS(IF(ISNUMBER(SEARCH("Var", D567)), 1, IF(ISNUMBER(SEARCH("Gri", D567)), -1, 0)))=1, VERI_TABANI!E23*(1-0.928)*VERI_TABANI!$B$9, 0) + (VERI_TABANI!D23*B567*(VERI_TABANI!$B$13-VERI_TABANI!$B$14)*VERI_TABANI!G23) + (VERI_TABANI!D23*C567*(VERI_TABANI!$B$13-VERI_TABANI!$B$15)*VERI_TABANI!G23) + IF(ABS(IF(ISNUMBER(SEARCH("Var", D567)), 1, IF(ISNUMBER(SEARCH("Gri", D567)), -1, 0)))=1, VERI_TABANI!E23*(1-0.928)*0.00206091519919798*VERI_TABANI!G23, 0)) + ((MIN(VERI_TABANI!D24, VERI_TABANI!D24*B567)*VERI_TABANI!$B$7 + MAX(0, VERI_TABANI!D24*B567-VERI_TABANI!D24)*VERI_TABANI!$B$8) + (MIN(MAX(0, VERI_TABANI!D24-VERI_TABANI!D24*B567), VERI_TABANI!D24*C567)*VERI_TABANI!$B$7 + MAX(0, VERI_TABANI!D24*C567-MAX(0, VERI_TABANI!D24-VERI_TABANI!D24*B567))*VERI_TABANI!$B$8) + IF(ABS(IF(ISNUMBER(SEARCH("Var", D567)), 1, IF(ISNUMBER(SEARCH("Gri", D567)), -1, 0)))=1, VERI_TABANI!E24*(1-0.928)*VERI_TABANI!$B$9, 0) + (VERI_TABANI!D24*B567*(VERI_TABANI!$B$13-VERI_TABANI!$B$14)*VERI_TABANI!G24) + (VERI_TABANI!D24*C567*(VERI_TABANI!$B$13-VERI_TABANI!$B$15)*VERI_TABANI!G24) + IF(ABS(IF(ISNUMBER(SEARCH("Var", D567)), 1, IF(ISNUMBER(SEARCH("Gri", D567)), -1, 0)))=1, VERI_TABANI!E24*(1-0.928)*0.00206091519919798*VERI_TABANI!G24, 0)) + ((MIN(VERI_TABANI!D25, VERI_TABANI!D25*B567)*VERI_TABANI!$B$7 + MAX(0, VERI_TABANI!D25*B567-VERI_TABANI!D25)*VERI_TABANI!$B$8) + (MIN(MAX(0, VERI_TABANI!D25-VERI_TABANI!D25*B567), VERI_TABANI!D25*C567)*VERI_TABANI!$B$7 + MAX(0, VERI_TABANI!D25*C567-MAX(0, VERI_TABANI!D25-VERI_TABANI!D25*B567))*VERI_TABANI!$B$8) + IF(ABS(IF(ISNUMBER(SEARCH("Var", D567)), 1, IF(ISNUMBER(SEARCH("Gri", D567)), -1, 0)))=1, VERI_TABANI!E25*(1-0.928)*VERI_TABANI!$B$9, 0) + (VERI_TABANI!D25*B567*(VERI_TABANI!$B$13-VERI_TABANI!$B$14)*VERI_TABANI!G25) + (VERI_TABANI!D25*C567*(VERI_TABANI!$B$13-VERI_TABANI!$B$15)*VERI_TABANI!G25) + IF(ABS(IF(ISNUMBER(SEARCH("Var", D567)), 1, IF(ISNUMBER(SEARCH("Gri", D567)), -1, 0)))=1, VERI_TABANI!E25*(1-0.928)*0.00206091519919798*VERI_TABANI!G25, 0)) + ((MIN(VERI_TABANI!D26, VERI_TABANI!D26*B567)*VERI_TABANI!$B$7 + MAX(0, VERI_TABANI!D26*B567-VERI_TABANI!D26)*VERI_TABANI!$B$8) + (MIN(MAX(0, VERI_TABANI!D26-VERI_TABANI!D26*B567), VERI_TABANI!D26*C567)*VERI_TABANI!$B$7 + MAX(0, VERI_TABANI!D26*C567-MAX(0, VERI_TABANI!D26-VERI_TABANI!D26*B567))*VERI_TABANI!$B$8) + IF(ABS(IF(ISNUMBER(SEARCH("Var", D567)), 1, IF(ISNUMBER(SEARCH("Gri", D567)), -1, 0)))=1, VERI_TABANI!E26*(1-0.928)*VERI_TABANI!$B$9, 0) + (VERI_TABANI!D26*B567*(VERI_TABANI!$B$13-VERI_TABANI!$B$14)*VERI_TABANI!G26) + (VERI_TABANI!D26*C567*(VERI_TABANI!$B$13-VERI_TABANI!$B$15)*VERI_TABANI!G26) + IF(ABS(IF(ISNUMBER(SEARCH("Var", D567)), 1, IF(ISNUMBER(SEARCH("Gri", D567)), -1, 0)))=1, VERI_TABANI!E26*(1-0.928)*0.00206091519919798*VERI_TABANI!G26, 0)) + ((MIN(VERI_TABANI!D27, VERI_TABANI!D27*B567)*VERI_TABANI!$B$7 + MAX(0, VERI_TABANI!D27*B567-VERI_TABANI!D27)*VERI_TABANI!$B$8) + (MIN(MAX(0, VERI_TABANI!D27-VERI_TABANI!D27*B567), VERI_TABANI!D27*C567)*VERI_TABANI!$B$7 + MAX(0, VERI_TABANI!D27*C567-MAX(0, VERI_TABANI!D27-VERI_TABANI!D27*B567))*VERI_TABANI!$B$8) + IF(ABS(IF(ISNUMBER(SEARCH("Var", D567)), 1, IF(ISNUMBER(SEARCH("Gri", D567)), -1, 0)))=1, VERI_TABANI!E27*(1-0.928)*VERI_TABANI!$B$9, 0) + (VERI_TABANI!D27*B567*(VERI_TABANI!$B$13-VERI_TABANI!$B$14)*VERI_TABANI!G27) + (VERI_TABANI!D27*C567*(VERI_TABANI!$B$13-VERI_TABANI!$B$15)*VERI_TABANI!G27) + IF(ABS(IF(ISNUMBER(SEARCH("Var", D567)), 1, IF(ISNUMBER(SEARCH("Gri", D567)), -1, 0)))=1, VERI_TABANI!E27*(1-0.928)*0.00206091519919798*VERI_TABANI!G27, 0)) + ((MIN(VERI_TABANI!D28, VERI_TABANI!D28*B567)*VERI_TABANI!$B$7 + MAX(0, VERI_TABANI!D28*B567-VERI_TABANI!D28)*VERI_TABANI!$B$8) + (MIN(MAX(0, VERI_TABANI!D28-VERI_TABANI!D28*B567), VERI_TABANI!D28*C567)*VERI_TABANI!$B$7 + MAX(0, VERI_TABANI!D28*C567-MAX(0, VERI_TABANI!D28-VERI_TABANI!D28*B567))*VERI_TABANI!$B$8) + IF(ABS(IF(ISNUMBER(SEARCH("Var", D567)), 1, IF(ISNUMBER(SEARCH("Gri", D567)), -1, 0)))=1, VERI_TABANI!E28*(1-0.928)*VERI_TABANI!$B$9, 0) + (VERI_TABANI!D28*B567*(VERI_TABANI!$B$13-VERI_TABANI!$B$14)*VERI_TABANI!G28) + (VERI_TABANI!D28*C567*(VERI_TABANI!$B$13-VERI_TABANI!$B$15)*VERI_TABANI!G28) + IF(ABS(IF(ISNUMBER(SEARCH("Var", D567)), 1, IF(ISNUMBER(SEARCH("Gri", D567)), -1, 0)))=1, VERI_TABANI!E28*(1-0.928)*0.00206091519919798*VERI_TABANI!G28, 0)))</f>
        <v/>
      </c>
      <c r="H567" s="169">
        <f>(((VERI_TABANI!D23*B567*(VERI_TABANI!$B$13-VERI_TABANI!$B$14)) + (VERI_TABANI!D23*C567*(VERI_TABANI!$B$13-VERI_TABANI!$B$15)) + IF(ISNUMBER(SEARCH("Var", D567)), VERI_TABANI!F23*(0.00202-VERI_TABANI!$B$16), IF(ISNUMBER(SEARCH("Gri", D567)), VERI_TABANI!F23*(0.00202-VERI_TABANI!$B$17), 0))) + ((VERI_TABANI!D24*B567*(VERI_TABANI!$B$13-VERI_TABANI!$B$14)) + (VERI_TABANI!D24*C567*(VERI_TABANI!$B$13-VERI_TABANI!$B$15)) + IF(ISNUMBER(SEARCH("Var", D567)), VERI_TABANI!F24*(0.00202-VERI_TABANI!$B$16), IF(ISNUMBER(SEARCH("Gri", D567)), VERI_TABANI!F24*(0.00202-VERI_TABANI!$B$17), 0))) + ((VERI_TABANI!D25*B567*(VERI_TABANI!$B$13-VERI_TABANI!$B$14)) + (VERI_TABANI!D25*C567*(VERI_TABANI!$B$13-VERI_TABANI!$B$15)) + IF(ISNUMBER(SEARCH("Var", D567)), VERI_TABANI!F25*(0.00202-VERI_TABANI!$B$16), IF(ISNUMBER(SEARCH("Gri", D567)), VERI_TABANI!F25*(0.00202-VERI_TABANI!$B$17), 0))) + ((VERI_TABANI!D26*B567*(VERI_TABANI!$B$13-VERI_TABANI!$B$14)) + (VERI_TABANI!D26*C567*(VERI_TABANI!$B$13-VERI_TABANI!$B$15)) + IF(ISNUMBER(SEARCH("Var", D567)), VERI_TABANI!F26*(0.00202-VERI_TABANI!$B$16), IF(ISNUMBER(SEARCH("Gri", D567)), VERI_TABANI!F26*(0.00202-VERI_TABANI!$B$17), 0))) + ((VERI_TABANI!D27*B567*(VERI_TABANI!$B$13-VERI_TABANI!$B$14)) + (VERI_TABANI!D27*C567*(VERI_TABANI!$B$13-VERI_TABANI!$B$15)) + IF(ISNUMBER(SEARCH("Var", D567)), VERI_TABANI!F27*(0.00202-VERI_TABANI!$B$16), IF(ISNUMBER(SEARCH("Gri", D567)), VERI_TABANI!F27*(0.00202-VERI_TABANI!$B$17), 0))) + ((VERI_TABANI!D28*B567*(VERI_TABANI!$B$13-VERI_TABANI!$B$14)) + (VERI_TABANI!D28*C567*(VERI_TABANI!$B$13-VERI_TABANI!$B$15)) + IF(ISNUMBER(SEARCH("Var", D567)), VERI_TABANI!F28*(0.00202-VERI_TABANI!$B$16), IF(ISNUMBER(SEARCH("Gri", D567)), VERI_TABANI!F28*(0.00202-VERI_TABANI!$B$17), 0))))</f>
        <v/>
      </c>
      <c r="I567" s="170">
        <f>IFERROR(((VERI_TABANI!$D$29*B567*VERI_TABANI!$B$14 + VERI_TABANI!$D$29*C567*VERI_TABANI!$B$15 + IF(ISNUMBER(SEARCH("Var", D567)), VERI_TABANI!$F$29*VERI_TABANI!$B$16, 0))) / (((VERI_TABANI!$D$29*B567 + VERI_TABANI!$D$29*C567)*VERI_TABANI!$B$13 + IF(ISNUMBER(SEARCH("Var", D567)), VERI_TABANI!$E$29*(1-0.928)*VERI_TABANI!$B$18, 0))), 0)</f>
        <v/>
      </c>
      <c r="J567" s="171">
        <f>IFERROR(F567/(G567/29), 0)</f>
        <v/>
      </c>
      <c r="K567" s="172">
        <f>IF(F567&gt;0, H567/F567, 0)</f>
        <v/>
      </c>
      <c r="L567" s="170">
        <f>IF(F567&gt;0, I567, 1000000000)</f>
        <v/>
      </c>
      <c r="M567" s="171">
        <f>ABS((B567+C567)-1)</f>
        <v/>
      </c>
      <c r="N567" s="170">
        <f>IF(F567&gt;0, (G567/29)/F567, 0)</f>
        <v/>
      </c>
      <c r="O567" s="168">
        <f>IF(AND((B567+C567)&gt;=1, ISNUMBER(SEARCH("Var", D567))), F567, 1000000000)</f>
        <v/>
      </c>
      <c r="P567" s="172">
        <f>IF(F567&gt;0, SQRT((F567/MAX(F$5:F$886))^2 + (1 - H567/MAX(H$5:H$886))^2 + (J567/MAX(J$5:J$886))^2), 1000000000)</f>
        <v/>
      </c>
      <c r="Q567" s="166">
        <f>IF(AND(ABS(B567-0.5)&lt;0.01, ABS(C567-0.5)&lt;0.01, ISNUMBER(SEARCH("Var", D567))), 1, 0)</f>
        <v/>
      </c>
      <c r="R567" s="171">
        <f>IF(F567&gt;0, J567, 1000000000)</f>
        <v/>
      </c>
      <c r="S567" s="101">
        <f>IF(AND(F567&lt;=DASHBOARD!$B$11, H567&gt;=DASHBOARD!$B$13), G567, -1000000000000)</f>
        <v/>
      </c>
      <c r="T567" s="101">
        <f>IF(AND(F567&lt;=DASHBOARD!$B$11, H567&gt;=DASHBOARD!$B$13), R567, 1000000000000)</f>
        <v/>
      </c>
      <c r="U567" s="101">
        <f>IF(AND(F567&lt;=DASHBOARD!$B$11, H567&gt;=DASHBOARD!$B$13), N567, -1000000000000)</f>
        <v/>
      </c>
      <c r="V567" s="101">
        <f>IF(AND(F567&lt;=DASHBOARD!$B$11, H567&gt;=DASHBOARD!$B$13), H567, -1000000000000)</f>
        <v/>
      </c>
      <c r="W567" s="101">
        <f>IF(AND(F567&lt;=DASHBOARD!$B$11, H567&gt;=DASHBOARD!$B$13), K567, -1000000000000)</f>
        <v/>
      </c>
      <c r="X567" s="101">
        <f>IF(AND(F567&lt;=DASHBOARD!$B$11, H567&gt;=DASHBOARD!$B$13), M567, 1000000000000)</f>
        <v/>
      </c>
      <c r="Y567" s="101">
        <f>IF(AND(F567&lt;=DASHBOARD!$B$10, H567&gt;=DASHBOARD!$B$11), L567, 1000000000000)</f>
        <v/>
      </c>
      <c r="Z567" s="101">
        <f>IF(AND(F567&lt;=DASHBOARD!$B$10, H567&gt;=DASHBOARD!$B$11), O567, 1000000000000)</f>
        <v/>
      </c>
      <c r="AA567" s="101">
        <f>IF(AND(F567&lt;=DASHBOARD!$B$10, H567&gt;=DASHBOARD!$B$11), P567, 1000000000000)</f>
        <v/>
      </c>
      <c r="AB567" s="101">
        <f>IF(AND(F567&lt;=DASHBOARD!$B$10, H567&gt;=DASHBOARD!$B$11), Q567, -1000000000000)</f>
        <v/>
      </c>
    </row>
    <row r="568" ht="15" customHeight="1" s="102">
      <c r="A568" s="166" t="n">
        <v>564</v>
      </c>
      <c r="B568" s="167" t="n">
        <v>1.3</v>
      </c>
      <c r="C568" s="167" t="n">
        <v>0.8</v>
      </c>
      <c r="D568" s="110" t="inlineStr">
        <is>
          <t>Var (%20)</t>
        </is>
      </c>
      <c r="E568" s="110">
        <f>IF((B568+C568)&lt;=1, "Tam Mahsuplaşma (≤%100)", "Kısmi Satış (&gt;%100)")</f>
        <v/>
      </c>
      <c r="F568" s="168">
        <f>((VERI_TABANI!$D$29*B568/VERI_TABANI!$B$29)/VERI_TABANI!$B$3)*VERI_TABANI!$B$5 + ((VERI_TABANI!$D$29*C568/VERI_TABANI!$B$29)/VERI_TABANI!$B$4)*VERI_TABANI!$B$6 + IF(ISNUMBER(SEARCH("Var", D568)), (VERI_TABANI!$F$29/VERI_TABANI!$B$29)*(VERI_TABANI!$B$10+VERI_TABANI!$B$12), 0)</f>
        <v/>
      </c>
      <c r="G568" s="168">
        <f>(((MIN(VERI_TABANI!D23, VERI_TABANI!D23*B568)*VERI_TABANI!$B$7 + MAX(0, VERI_TABANI!D23*B568-VERI_TABANI!D23)*VERI_TABANI!$B$8) + (MIN(MAX(0, VERI_TABANI!D23-VERI_TABANI!D23*B568), VERI_TABANI!D23*C568)*VERI_TABANI!$B$7 + MAX(0, VERI_TABANI!D23*C568-MAX(0, VERI_TABANI!D23-VERI_TABANI!D23*B568))*VERI_TABANI!$B$8) + IF(ABS(IF(ISNUMBER(SEARCH("Var", D568)), 1, IF(ISNUMBER(SEARCH("Gri", D568)), -1, 0)))=1, VERI_TABANI!E23*(1-0.928)*VERI_TABANI!$B$9, 0) + (VERI_TABANI!D23*B568*(VERI_TABANI!$B$13-VERI_TABANI!$B$14)*VERI_TABANI!G23) + (VERI_TABANI!D23*C568*(VERI_TABANI!$B$13-VERI_TABANI!$B$15)*VERI_TABANI!G23) + IF(ABS(IF(ISNUMBER(SEARCH("Var", D568)), 1, IF(ISNUMBER(SEARCH("Gri", D568)), -1, 0)))=1, VERI_TABANI!E23*(1-0.928)*0.00206091519919798*VERI_TABANI!G23, 0)) + ((MIN(VERI_TABANI!D24, VERI_TABANI!D24*B568)*VERI_TABANI!$B$7 + MAX(0, VERI_TABANI!D24*B568-VERI_TABANI!D24)*VERI_TABANI!$B$8) + (MIN(MAX(0, VERI_TABANI!D24-VERI_TABANI!D24*B568), VERI_TABANI!D24*C568)*VERI_TABANI!$B$7 + MAX(0, VERI_TABANI!D24*C568-MAX(0, VERI_TABANI!D24-VERI_TABANI!D24*B568))*VERI_TABANI!$B$8) + IF(ABS(IF(ISNUMBER(SEARCH("Var", D568)), 1, IF(ISNUMBER(SEARCH("Gri", D568)), -1, 0)))=1, VERI_TABANI!E24*(1-0.928)*VERI_TABANI!$B$9, 0) + (VERI_TABANI!D24*B568*(VERI_TABANI!$B$13-VERI_TABANI!$B$14)*VERI_TABANI!G24) + (VERI_TABANI!D24*C568*(VERI_TABANI!$B$13-VERI_TABANI!$B$15)*VERI_TABANI!G24) + IF(ABS(IF(ISNUMBER(SEARCH("Var", D568)), 1, IF(ISNUMBER(SEARCH("Gri", D568)), -1, 0)))=1, VERI_TABANI!E24*(1-0.928)*0.00206091519919798*VERI_TABANI!G24, 0)) + ((MIN(VERI_TABANI!D25, VERI_TABANI!D25*B568)*VERI_TABANI!$B$7 + MAX(0, VERI_TABANI!D25*B568-VERI_TABANI!D25)*VERI_TABANI!$B$8) + (MIN(MAX(0, VERI_TABANI!D25-VERI_TABANI!D25*B568), VERI_TABANI!D25*C568)*VERI_TABANI!$B$7 + MAX(0, VERI_TABANI!D25*C568-MAX(0, VERI_TABANI!D25-VERI_TABANI!D25*B568))*VERI_TABANI!$B$8) + IF(ABS(IF(ISNUMBER(SEARCH("Var", D568)), 1, IF(ISNUMBER(SEARCH("Gri", D568)), -1, 0)))=1, VERI_TABANI!E25*(1-0.928)*VERI_TABANI!$B$9, 0) + (VERI_TABANI!D25*B568*(VERI_TABANI!$B$13-VERI_TABANI!$B$14)*VERI_TABANI!G25) + (VERI_TABANI!D25*C568*(VERI_TABANI!$B$13-VERI_TABANI!$B$15)*VERI_TABANI!G25) + IF(ABS(IF(ISNUMBER(SEARCH("Var", D568)), 1, IF(ISNUMBER(SEARCH("Gri", D568)), -1, 0)))=1, VERI_TABANI!E25*(1-0.928)*0.00206091519919798*VERI_TABANI!G25, 0)) + ((MIN(VERI_TABANI!D26, VERI_TABANI!D26*B568)*VERI_TABANI!$B$7 + MAX(0, VERI_TABANI!D26*B568-VERI_TABANI!D26)*VERI_TABANI!$B$8) + (MIN(MAX(0, VERI_TABANI!D26-VERI_TABANI!D26*B568), VERI_TABANI!D26*C568)*VERI_TABANI!$B$7 + MAX(0, VERI_TABANI!D26*C568-MAX(0, VERI_TABANI!D26-VERI_TABANI!D26*B568))*VERI_TABANI!$B$8) + IF(ABS(IF(ISNUMBER(SEARCH("Var", D568)), 1, IF(ISNUMBER(SEARCH("Gri", D568)), -1, 0)))=1, VERI_TABANI!E26*(1-0.928)*VERI_TABANI!$B$9, 0) + (VERI_TABANI!D26*B568*(VERI_TABANI!$B$13-VERI_TABANI!$B$14)*VERI_TABANI!G26) + (VERI_TABANI!D26*C568*(VERI_TABANI!$B$13-VERI_TABANI!$B$15)*VERI_TABANI!G26) + IF(ABS(IF(ISNUMBER(SEARCH("Var", D568)), 1, IF(ISNUMBER(SEARCH("Gri", D568)), -1, 0)))=1, VERI_TABANI!E26*(1-0.928)*0.00206091519919798*VERI_TABANI!G26, 0)) + ((MIN(VERI_TABANI!D27, VERI_TABANI!D27*B568)*VERI_TABANI!$B$7 + MAX(0, VERI_TABANI!D27*B568-VERI_TABANI!D27)*VERI_TABANI!$B$8) + (MIN(MAX(0, VERI_TABANI!D27-VERI_TABANI!D27*B568), VERI_TABANI!D27*C568)*VERI_TABANI!$B$7 + MAX(0, VERI_TABANI!D27*C568-MAX(0, VERI_TABANI!D27-VERI_TABANI!D27*B568))*VERI_TABANI!$B$8) + IF(ABS(IF(ISNUMBER(SEARCH("Var", D568)), 1, IF(ISNUMBER(SEARCH("Gri", D568)), -1, 0)))=1, VERI_TABANI!E27*(1-0.928)*VERI_TABANI!$B$9, 0) + (VERI_TABANI!D27*B568*(VERI_TABANI!$B$13-VERI_TABANI!$B$14)*VERI_TABANI!G27) + (VERI_TABANI!D27*C568*(VERI_TABANI!$B$13-VERI_TABANI!$B$15)*VERI_TABANI!G27) + IF(ABS(IF(ISNUMBER(SEARCH("Var", D568)), 1, IF(ISNUMBER(SEARCH("Gri", D568)), -1, 0)))=1, VERI_TABANI!E27*(1-0.928)*0.00206091519919798*VERI_TABANI!G27, 0)) + ((MIN(VERI_TABANI!D28, VERI_TABANI!D28*B568)*VERI_TABANI!$B$7 + MAX(0, VERI_TABANI!D28*B568-VERI_TABANI!D28)*VERI_TABANI!$B$8) + (MIN(MAX(0, VERI_TABANI!D28-VERI_TABANI!D28*B568), VERI_TABANI!D28*C568)*VERI_TABANI!$B$7 + MAX(0, VERI_TABANI!D28*C568-MAX(0, VERI_TABANI!D28-VERI_TABANI!D28*B568))*VERI_TABANI!$B$8) + IF(ABS(IF(ISNUMBER(SEARCH("Var", D568)), 1, IF(ISNUMBER(SEARCH("Gri", D568)), -1, 0)))=1, VERI_TABANI!E28*(1-0.928)*VERI_TABANI!$B$9, 0) + (VERI_TABANI!D28*B568*(VERI_TABANI!$B$13-VERI_TABANI!$B$14)*VERI_TABANI!G28) + (VERI_TABANI!D28*C568*(VERI_TABANI!$B$13-VERI_TABANI!$B$15)*VERI_TABANI!G28) + IF(ABS(IF(ISNUMBER(SEARCH("Var", D568)), 1, IF(ISNUMBER(SEARCH("Gri", D568)), -1, 0)))=1, VERI_TABANI!E28*(1-0.928)*0.00206091519919798*VERI_TABANI!G28, 0)))</f>
        <v/>
      </c>
      <c r="H568" s="169">
        <f>(((VERI_TABANI!D23*B568*(VERI_TABANI!$B$13-VERI_TABANI!$B$14)) + (VERI_TABANI!D23*C568*(VERI_TABANI!$B$13-VERI_TABANI!$B$15)) + IF(ISNUMBER(SEARCH("Var", D568)), VERI_TABANI!F23*(0.00202-VERI_TABANI!$B$16), IF(ISNUMBER(SEARCH("Gri", D568)), VERI_TABANI!F23*(0.00202-VERI_TABANI!$B$17), 0))) + ((VERI_TABANI!D24*B568*(VERI_TABANI!$B$13-VERI_TABANI!$B$14)) + (VERI_TABANI!D24*C568*(VERI_TABANI!$B$13-VERI_TABANI!$B$15)) + IF(ISNUMBER(SEARCH("Var", D568)), VERI_TABANI!F24*(0.00202-VERI_TABANI!$B$16), IF(ISNUMBER(SEARCH("Gri", D568)), VERI_TABANI!F24*(0.00202-VERI_TABANI!$B$17), 0))) + ((VERI_TABANI!D25*B568*(VERI_TABANI!$B$13-VERI_TABANI!$B$14)) + (VERI_TABANI!D25*C568*(VERI_TABANI!$B$13-VERI_TABANI!$B$15)) + IF(ISNUMBER(SEARCH("Var", D568)), VERI_TABANI!F25*(0.00202-VERI_TABANI!$B$16), IF(ISNUMBER(SEARCH("Gri", D568)), VERI_TABANI!F25*(0.00202-VERI_TABANI!$B$17), 0))) + ((VERI_TABANI!D26*B568*(VERI_TABANI!$B$13-VERI_TABANI!$B$14)) + (VERI_TABANI!D26*C568*(VERI_TABANI!$B$13-VERI_TABANI!$B$15)) + IF(ISNUMBER(SEARCH("Var", D568)), VERI_TABANI!F26*(0.00202-VERI_TABANI!$B$16), IF(ISNUMBER(SEARCH("Gri", D568)), VERI_TABANI!F26*(0.00202-VERI_TABANI!$B$17), 0))) + ((VERI_TABANI!D27*B568*(VERI_TABANI!$B$13-VERI_TABANI!$B$14)) + (VERI_TABANI!D27*C568*(VERI_TABANI!$B$13-VERI_TABANI!$B$15)) + IF(ISNUMBER(SEARCH("Var", D568)), VERI_TABANI!F27*(0.00202-VERI_TABANI!$B$16), IF(ISNUMBER(SEARCH("Gri", D568)), VERI_TABANI!F27*(0.00202-VERI_TABANI!$B$17), 0))) + ((VERI_TABANI!D28*B568*(VERI_TABANI!$B$13-VERI_TABANI!$B$14)) + (VERI_TABANI!D28*C568*(VERI_TABANI!$B$13-VERI_TABANI!$B$15)) + IF(ISNUMBER(SEARCH("Var", D568)), VERI_TABANI!F28*(0.00202-VERI_TABANI!$B$16), IF(ISNUMBER(SEARCH("Gri", D568)), VERI_TABANI!F28*(0.00202-VERI_TABANI!$B$17), 0))))</f>
        <v/>
      </c>
      <c r="I568" s="170">
        <f>IFERROR(((VERI_TABANI!$D$29*B568*VERI_TABANI!$B$14 + VERI_TABANI!$D$29*C568*VERI_TABANI!$B$15 + IF(ISNUMBER(SEARCH("Var", D568)), VERI_TABANI!$F$29*VERI_TABANI!$B$16, 0))) / (((VERI_TABANI!$D$29*B568 + VERI_TABANI!$D$29*C568)*VERI_TABANI!$B$13 + IF(ISNUMBER(SEARCH("Var", D568)), VERI_TABANI!$E$29*(1-0.928)*VERI_TABANI!$B$18, 0))), 0)</f>
        <v/>
      </c>
      <c r="J568" s="171">
        <f>IFERROR(F568/(G568/29), 0)</f>
        <v/>
      </c>
      <c r="K568" s="172">
        <f>IF(F568&gt;0, H568/F568, 0)</f>
        <v/>
      </c>
      <c r="L568" s="170">
        <f>IF(F568&gt;0, I568, 1000000000)</f>
        <v/>
      </c>
      <c r="M568" s="171">
        <f>ABS((B568+C568)-1)</f>
        <v/>
      </c>
      <c r="N568" s="170">
        <f>IF(F568&gt;0, (G568/29)/F568, 0)</f>
        <v/>
      </c>
      <c r="O568" s="168">
        <f>IF(AND((B568+C568)&gt;=1, ISNUMBER(SEARCH("Var", D568))), F568, 1000000000)</f>
        <v/>
      </c>
      <c r="P568" s="172">
        <f>IF(F568&gt;0, SQRT((F568/MAX(F$5:F$886))^2 + (1 - H568/MAX(H$5:H$886))^2 + (J568/MAX(J$5:J$886))^2), 1000000000)</f>
        <v/>
      </c>
      <c r="Q568" s="166">
        <f>IF(AND(ABS(B568-0.5)&lt;0.01, ABS(C568-0.5)&lt;0.01, ISNUMBER(SEARCH("Var", D568))), 1, 0)</f>
        <v/>
      </c>
      <c r="R568" s="171">
        <f>IF(F568&gt;0, J568, 1000000000)</f>
        <v/>
      </c>
      <c r="S568" s="101">
        <f>IF(AND(F568&lt;=DASHBOARD!$B$11, H568&gt;=DASHBOARD!$B$13), G568, -1000000000000)</f>
        <v/>
      </c>
      <c r="T568" s="101">
        <f>IF(AND(F568&lt;=DASHBOARD!$B$11, H568&gt;=DASHBOARD!$B$13), R568, 1000000000000)</f>
        <v/>
      </c>
      <c r="U568" s="101">
        <f>IF(AND(F568&lt;=DASHBOARD!$B$11, H568&gt;=DASHBOARD!$B$13), N568, -1000000000000)</f>
        <v/>
      </c>
      <c r="V568" s="101">
        <f>IF(AND(F568&lt;=DASHBOARD!$B$11, H568&gt;=DASHBOARD!$B$13), H568, -1000000000000)</f>
        <v/>
      </c>
      <c r="W568" s="101">
        <f>IF(AND(F568&lt;=DASHBOARD!$B$11, H568&gt;=DASHBOARD!$B$13), K568, -1000000000000)</f>
        <v/>
      </c>
      <c r="X568" s="101">
        <f>IF(AND(F568&lt;=DASHBOARD!$B$11, H568&gt;=DASHBOARD!$B$13), M568, 1000000000000)</f>
        <v/>
      </c>
      <c r="Y568" s="101">
        <f>IF(AND(F568&lt;=DASHBOARD!$B$10, H568&gt;=DASHBOARD!$B$11), L568, 1000000000000)</f>
        <v/>
      </c>
      <c r="Z568" s="101">
        <f>IF(AND(F568&lt;=DASHBOARD!$B$10, H568&gt;=DASHBOARD!$B$11), O568, 1000000000000)</f>
        <v/>
      </c>
      <c r="AA568" s="101">
        <f>IF(AND(F568&lt;=DASHBOARD!$B$10, H568&gt;=DASHBOARD!$B$11), P568, 1000000000000)</f>
        <v/>
      </c>
      <c r="AB568" s="101">
        <f>IF(AND(F568&lt;=DASHBOARD!$B$10, H568&gt;=DASHBOARD!$B$11), Q568, -1000000000000)</f>
        <v/>
      </c>
    </row>
    <row r="569" ht="15" customHeight="1" s="102">
      <c r="A569" s="166" t="n">
        <v>565</v>
      </c>
      <c r="B569" s="167" t="n">
        <v>1.3</v>
      </c>
      <c r="C569" s="167" t="n">
        <v>0.9</v>
      </c>
      <c r="D569" s="110" t="inlineStr">
        <is>
          <t>Yok (%0)</t>
        </is>
      </c>
      <c r="E569" s="110">
        <f>IF((B569+C569)&lt;=1, "Tam Mahsuplaşma (≤%100)", "Kısmi Satış (&gt;%100)")</f>
        <v/>
      </c>
      <c r="F569" s="168">
        <f>((VERI_TABANI!$D$29*B569/VERI_TABANI!$B$29)/VERI_TABANI!$B$3)*VERI_TABANI!$B$5 + ((VERI_TABANI!$D$29*C569/VERI_TABANI!$B$29)/VERI_TABANI!$B$4)*VERI_TABANI!$B$6 + IF(ISNUMBER(SEARCH("Var", D569)), (VERI_TABANI!$F$29/VERI_TABANI!$B$29)*(VERI_TABANI!$B$10+VERI_TABANI!$B$12), 0)</f>
        <v/>
      </c>
      <c r="G569" s="168">
        <f>(((MIN(VERI_TABANI!D23, VERI_TABANI!D23*B569)*VERI_TABANI!$B$7 + MAX(0, VERI_TABANI!D23*B569-VERI_TABANI!D23)*VERI_TABANI!$B$8) + (MIN(MAX(0, VERI_TABANI!D23-VERI_TABANI!D23*B569), VERI_TABANI!D23*C569)*VERI_TABANI!$B$7 + MAX(0, VERI_TABANI!D23*C569-MAX(0, VERI_TABANI!D23-VERI_TABANI!D23*B569))*VERI_TABANI!$B$8) + IF(ABS(IF(ISNUMBER(SEARCH("Var", D569)), 1, IF(ISNUMBER(SEARCH("Gri", D569)), -1, 0)))=1, VERI_TABANI!E23*(1-0.928)*VERI_TABANI!$B$9, 0) + (VERI_TABANI!D23*B569*(VERI_TABANI!$B$13-VERI_TABANI!$B$14)*VERI_TABANI!G23) + (VERI_TABANI!D23*C569*(VERI_TABANI!$B$13-VERI_TABANI!$B$15)*VERI_TABANI!G23) + IF(ABS(IF(ISNUMBER(SEARCH("Var", D569)), 1, IF(ISNUMBER(SEARCH("Gri", D569)), -1, 0)))=1, VERI_TABANI!E23*(1-0.928)*0.00206091519919798*VERI_TABANI!G23, 0)) + ((MIN(VERI_TABANI!D24, VERI_TABANI!D24*B569)*VERI_TABANI!$B$7 + MAX(0, VERI_TABANI!D24*B569-VERI_TABANI!D24)*VERI_TABANI!$B$8) + (MIN(MAX(0, VERI_TABANI!D24-VERI_TABANI!D24*B569), VERI_TABANI!D24*C569)*VERI_TABANI!$B$7 + MAX(0, VERI_TABANI!D24*C569-MAX(0, VERI_TABANI!D24-VERI_TABANI!D24*B569))*VERI_TABANI!$B$8) + IF(ABS(IF(ISNUMBER(SEARCH("Var", D569)), 1, IF(ISNUMBER(SEARCH("Gri", D569)), -1, 0)))=1, VERI_TABANI!E24*(1-0.928)*VERI_TABANI!$B$9, 0) + (VERI_TABANI!D24*B569*(VERI_TABANI!$B$13-VERI_TABANI!$B$14)*VERI_TABANI!G24) + (VERI_TABANI!D24*C569*(VERI_TABANI!$B$13-VERI_TABANI!$B$15)*VERI_TABANI!G24) + IF(ABS(IF(ISNUMBER(SEARCH("Var", D569)), 1, IF(ISNUMBER(SEARCH("Gri", D569)), -1, 0)))=1, VERI_TABANI!E24*(1-0.928)*0.00206091519919798*VERI_TABANI!G24, 0)) + ((MIN(VERI_TABANI!D25, VERI_TABANI!D25*B569)*VERI_TABANI!$B$7 + MAX(0, VERI_TABANI!D25*B569-VERI_TABANI!D25)*VERI_TABANI!$B$8) + (MIN(MAX(0, VERI_TABANI!D25-VERI_TABANI!D25*B569), VERI_TABANI!D25*C569)*VERI_TABANI!$B$7 + MAX(0, VERI_TABANI!D25*C569-MAX(0, VERI_TABANI!D25-VERI_TABANI!D25*B569))*VERI_TABANI!$B$8) + IF(ABS(IF(ISNUMBER(SEARCH("Var", D569)), 1, IF(ISNUMBER(SEARCH("Gri", D569)), -1, 0)))=1, VERI_TABANI!E25*(1-0.928)*VERI_TABANI!$B$9, 0) + (VERI_TABANI!D25*B569*(VERI_TABANI!$B$13-VERI_TABANI!$B$14)*VERI_TABANI!G25) + (VERI_TABANI!D25*C569*(VERI_TABANI!$B$13-VERI_TABANI!$B$15)*VERI_TABANI!G25) + IF(ABS(IF(ISNUMBER(SEARCH("Var", D569)), 1, IF(ISNUMBER(SEARCH("Gri", D569)), -1, 0)))=1, VERI_TABANI!E25*(1-0.928)*0.00206091519919798*VERI_TABANI!G25, 0)) + ((MIN(VERI_TABANI!D26, VERI_TABANI!D26*B569)*VERI_TABANI!$B$7 + MAX(0, VERI_TABANI!D26*B569-VERI_TABANI!D26)*VERI_TABANI!$B$8) + (MIN(MAX(0, VERI_TABANI!D26-VERI_TABANI!D26*B569), VERI_TABANI!D26*C569)*VERI_TABANI!$B$7 + MAX(0, VERI_TABANI!D26*C569-MAX(0, VERI_TABANI!D26-VERI_TABANI!D26*B569))*VERI_TABANI!$B$8) + IF(ABS(IF(ISNUMBER(SEARCH("Var", D569)), 1, IF(ISNUMBER(SEARCH("Gri", D569)), -1, 0)))=1, VERI_TABANI!E26*(1-0.928)*VERI_TABANI!$B$9, 0) + (VERI_TABANI!D26*B569*(VERI_TABANI!$B$13-VERI_TABANI!$B$14)*VERI_TABANI!G26) + (VERI_TABANI!D26*C569*(VERI_TABANI!$B$13-VERI_TABANI!$B$15)*VERI_TABANI!G26) + IF(ABS(IF(ISNUMBER(SEARCH("Var", D569)), 1, IF(ISNUMBER(SEARCH("Gri", D569)), -1, 0)))=1, VERI_TABANI!E26*(1-0.928)*0.00206091519919798*VERI_TABANI!G26, 0)) + ((MIN(VERI_TABANI!D27, VERI_TABANI!D27*B569)*VERI_TABANI!$B$7 + MAX(0, VERI_TABANI!D27*B569-VERI_TABANI!D27)*VERI_TABANI!$B$8) + (MIN(MAX(0, VERI_TABANI!D27-VERI_TABANI!D27*B569), VERI_TABANI!D27*C569)*VERI_TABANI!$B$7 + MAX(0, VERI_TABANI!D27*C569-MAX(0, VERI_TABANI!D27-VERI_TABANI!D27*B569))*VERI_TABANI!$B$8) + IF(ABS(IF(ISNUMBER(SEARCH("Var", D569)), 1, IF(ISNUMBER(SEARCH("Gri", D569)), -1, 0)))=1, VERI_TABANI!E27*(1-0.928)*VERI_TABANI!$B$9, 0) + (VERI_TABANI!D27*B569*(VERI_TABANI!$B$13-VERI_TABANI!$B$14)*VERI_TABANI!G27) + (VERI_TABANI!D27*C569*(VERI_TABANI!$B$13-VERI_TABANI!$B$15)*VERI_TABANI!G27) + IF(ABS(IF(ISNUMBER(SEARCH("Var", D569)), 1, IF(ISNUMBER(SEARCH("Gri", D569)), -1, 0)))=1, VERI_TABANI!E27*(1-0.928)*0.00206091519919798*VERI_TABANI!G27, 0)) + ((MIN(VERI_TABANI!D28, VERI_TABANI!D28*B569)*VERI_TABANI!$B$7 + MAX(0, VERI_TABANI!D28*B569-VERI_TABANI!D28)*VERI_TABANI!$B$8) + (MIN(MAX(0, VERI_TABANI!D28-VERI_TABANI!D28*B569), VERI_TABANI!D28*C569)*VERI_TABANI!$B$7 + MAX(0, VERI_TABANI!D28*C569-MAX(0, VERI_TABANI!D28-VERI_TABANI!D28*B569))*VERI_TABANI!$B$8) + IF(ABS(IF(ISNUMBER(SEARCH("Var", D569)), 1, IF(ISNUMBER(SEARCH("Gri", D569)), -1, 0)))=1, VERI_TABANI!E28*(1-0.928)*VERI_TABANI!$B$9, 0) + (VERI_TABANI!D28*B569*(VERI_TABANI!$B$13-VERI_TABANI!$B$14)*VERI_TABANI!G28) + (VERI_TABANI!D28*C569*(VERI_TABANI!$B$13-VERI_TABANI!$B$15)*VERI_TABANI!G28) + IF(ABS(IF(ISNUMBER(SEARCH("Var", D569)), 1, IF(ISNUMBER(SEARCH("Gri", D569)), -1, 0)))=1, VERI_TABANI!E28*(1-0.928)*0.00206091519919798*VERI_TABANI!G28, 0)))</f>
        <v/>
      </c>
      <c r="H569" s="169">
        <f>(((VERI_TABANI!D23*B569*(VERI_TABANI!$B$13-VERI_TABANI!$B$14)) + (VERI_TABANI!D23*C569*(VERI_TABANI!$B$13-VERI_TABANI!$B$15)) + IF(ISNUMBER(SEARCH("Var", D569)), VERI_TABANI!F23*(0.00202-VERI_TABANI!$B$16), IF(ISNUMBER(SEARCH("Gri", D569)), VERI_TABANI!F23*(0.00202-VERI_TABANI!$B$17), 0))) + ((VERI_TABANI!D24*B569*(VERI_TABANI!$B$13-VERI_TABANI!$B$14)) + (VERI_TABANI!D24*C569*(VERI_TABANI!$B$13-VERI_TABANI!$B$15)) + IF(ISNUMBER(SEARCH("Var", D569)), VERI_TABANI!F24*(0.00202-VERI_TABANI!$B$16), IF(ISNUMBER(SEARCH("Gri", D569)), VERI_TABANI!F24*(0.00202-VERI_TABANI!$B$17), 0))) + ((VERI_TABANI!D25*B569*(VERI_TABANI!$B$13-VERI_TABANI!$B$14)) + (VERI_TABANI!D25*C569*(VERI_TABANI!$B$13-VERI_TABANI!$B$15)) + IF(ISNUMBER(SEARCH("Var", D569)), VERI_TABANI!F25*(0.00202-VERI_TABANI!$B$16), IF(ISNUMBER(SEARCH("Gri", D569)), VERI_TABANI!F25*(0.00202-VERI_TABANI!$B$17), 0))) + ((VERI_TABANI!D26*B569*(VERI_TABANI!$B$13-VERI_TABANI!$B$14)) + (VERI_TABANI!D26*C569*(VERI_TABANI!$B$13-VERI_TABANI!$B$15)) + IF(ISNUMBER(SEARCH("Var", D569)), VERI_TABANI!F26*(0.00202-VERI_TABANI!$B$16), IF(ISNUMBER(SEARCH("Gri", D569)), VERI_TABANI!F26*(0.00202-VERI_TABANI!$B$17), 0))) + ((VERI_TABANI!D27*B569*(VERI_TABANI!$B$13-VERI_TABANI!$B$14)) + (VERI_TABANI!D27*C569*(VERI_TABANI!$B$13-VERI_TABANI!$B$15)) + IF(ISNUMBER(SEARCH("Var", D569)), VERI_TABANI!F27*(0.00202-VERI_TABANI!$B$16), IF(ISNUMBER(SEARCH("Gri", D569)), VERI_TABANI!F27*(0.00202-VERI_TABANI!$B$17), 0))) + ((VERI_TABANI!D28*B569*(VERI_TABANI!$B$13-VERI_TABANI!$B$14)) + (VERI_TABANI!D28*C569*(VERI_TABANI!$B$13-VERI_TABANI!$B$15)) + IF(ISNUMBER(SEARCH("Var", D569)), VERI_TABANI!F28*(0.00202-VERI_TABANI!$B$16), IF(ISNUMBER(SEARCH("Gri", D569)), VERI_TABANI!F28*(0.00202-VERI_TABANI!$B$17), 0))))</f>
        <v/>
      </c>
      <c r="I569" s="170">
        <f>IFERROR(((VERI_TABANI!$D$29*B569*VERI_TABANI!$B$14 + VERI_TABANI!$D$29*C569*VERI_TABANI!$B$15 + IF(ISNUMBER(SEARCH("Var", D569)), VERI_TABANI!$F$29*VERI_TABANI!$B$16, 0))) / (((VERI_TABANI!$D$29*B569 + VERI_TABANI!$D$29*C569)*VERI_TABANI!$B$13 + IF(ISNUMBER(SEARCH("Var", D569)), VERI_TABANI!$E$29*(1-0.928)*VERI_TABANI!$B$18, 0))), 0)</f>
        <v/>
      </c>
      <c r="J569" s="171">
        <f>IFERROR(F569/(G569/29), 0)</f>
        <v/>
      </c>
      <c r="K569" s="172">
        <f>IF(F569&gt;0, H569/F569, 0)</f>
        <v/>
      </c>
      <c r="L569" s="170">
        <f>IF(F569&gt;0, I569, 1000000000)</f>
        <v/>
      </c>
      <c r="M569" s="171">
        <f>ABS((B569+C569)-1)</f>
        <v/>
      </c>
      <c r="N569" s="170">
        <f>IF(F569&gt;0, (G569/29)/F569, 0)</f>
        <v/>
      </c>
      <c r="O569" s="168">
        <f>IF(AND((B569+C569)&gt;=1, ISNUMBER(SEARCH("Var", D569))), F569, 1000000000)</f>
        <v/>
      </c>
      <c r="P569" s="172">
        <f>IF(F569&gt;0, SQRT((F569/MAX(F$5:F$886))^2 + (1 - H569/MAX(H$5:H$886))^2 + (J569/MAX(J$5:J$886))^2), 1000000000)</f>
        <v/>
      </c>
      <c r="Q569" s="166">
        <f>IF(AND(ABS(B569-0.5)&lt;0.01, ABS(C569-0.5)&lt;0.01, ISNUMBER(SEARCH("Var", D569))), 1, 0)</f>
        <v/>
      </c>
      <c r="R569" s="171">
        <f>IF(F569&gt;0, J569, 1000000000)</f>
        <v/>
      </c>
      <c r="S569" s="101">
        <f>IF(AND(F569&lt;=DASHBOARD!$B$11, H569&gt;=DASHBOARD!$B$13), G569, -1000000000000)</f>
        <v/>
      </c>
      <c r="T569" s="101">
        <f>IF(AND(F569&lt;=DASHBOARD!$B$11, H569&gt;=DASHBOARD!$B$13), R569, 1000000000000)</f>
        <v/>
      </c>
      <c r="U569" s="101">
        <f>IF(AND(F569&lt;=DASHBOARD!$B$11, H569&gt;=DASHBOARD!$B$13), N569, -1000000000000)</f>
        <v/>
      </c>
      <c r="V569" s="101">
        <f>IF(AND(F569&lt;=DASHBOARD!$B$11, H569&gt;=DASHBOARD!$B$13), H569, -1000000000000)</f>
        <v/>
      </c>
      <c r="W569" s="101">
        <f>IF(AND(F569&lt;=DASHBOARD!$B$11, H569&gt;=DASHBOARD!$B$13), K569, -1000000000000)</f>
        <v/>
      </c>
      <c r="X569" s="101">
        <f>IF(AND(F569&lt;=DASHBOARD!$B$11, H569&gt;=DASHBOARD!$B$13), M569, 1000000000000)</f>
        <v/>
      </c>
      <c r="Y569" s="101">
        <f>IF(AND(F569&lt;=DASHBOARD!$B$10, H569&gt;=DASHBOARD!$B$11), L569, 1000000000000)</f>
        <v/>
      </c>
      <c r="Z569" s="101">
        <f>IF(AND(F569&lt;=DASHBOARD!$B$10, H569&gt;=DASHBOARD!$B$11), O569, 1000000000000)</f>
        <v/>
      </c>
      <c r="AA569" s="101">
        <f>IF(AND(F569&lt;=DASHBOARD!$B$10, H569&gt;=DASHBOARD!$B$11), P569, 1000000000000)</f>
        <v/>
      </c>
      <c r="AB569" s="101">
        <f>IF(AND(F569&lt;=DASHBOARD!$B$10, H569&gt;=DASHBOARD!$B$11), Q569, -1000000000000)</f>
        <v/>
      </c>
    </row>
    <row r="570" ht="15" customHeight="1" s="102">
      <c r="A570" s="166" t="n">
        <v>566</v>
      </c>
      <c r="B570" s="167" t="n">
        <v>1.3</v>
      </c>
      <c r="C570" s="167" t="n">
        <v>0.9</v>
      </c>
      <c r="D570" s="110" t="inlineStr">
        <is>
          <t>Var (%20)</t>
        </is>
      </c>
      <c r="E570" s="110">
        <f>IF((B570+C570)&lt;=1, "Tam Mahsuplaşma (≤%100)", "Kısmi Satış (&gt;%100)")</f>
        <v/>
      </c>
      <c r="F570" s="168">
        <f>((VERI_TABANI!$D$29*B570/VERI_TABANI!$B$29)/VERI_TABANI!$B$3)*VERI_TABANI!$B$5 + ((VERI_TABANI!$D$29*C570/VERI_TABANI!$B$29)/VERI_TABANI!$B$4)*VERI_TABANI!$B$6 + IF(ISNUMBER(SEARCH("Var", D570)), (VERI_TABANI!$F$29/VERI_TABANI!$B$29)*(VERI_TABANI!$B$10+VERI_TABANI!$B$12), 0)</f>
        <v/>
      </c>
      <c r="G570" s="168">
        <f>(((MIN(VERI_TABANI!D23, VERI_TABANI!D23*B570)*VERI_TABANI!$B$7 + MAX(0, VERI_TABANI!D23*B570-VERI_TABANI!D23)*VERI_TABANI!$B$8) + (MIN(MAX(0, VERI_TABANI!D23-VERI_TABANI!D23*B570), VERI_TABANI!D23*C570)*VERI_TABANI!$B$7 + MAX(0, VERI_TABANI!D23*C570-MAX(0, VERI_TABANI!D23-VERI_TABANI!D23*B570))*VERI_TABANI!$B$8) + IF(ABS(IF(ISNUMBER(SEARCH("Var", D570)), 1, IF(ISNUMBER(SEARCH("Gri", D570)), -1, 0)))=1, VERI_TABANI!E23*(1-0.928)*VERI_TABANI!$B$9, 0) + (VERI_TABANI!D23*B570*(VERI_TABANI!$B$13-VERI_TABANI!$B$14)*VERI_TABANI!G23) + (VERI_TABANI!D23*C570*(VERI_TABANI!$B$13-VERI_TABANI!$B$15)*VERI_TABANI!G23) + IF(ABS(IF(ISNUMBER(SEARCH("Var", D570)), 1, IF(ISNUMBER(SEARCH("Gri", D570)), -1, 0)))=1, VERI_TABANI!E23*(1-0.928)*0.00206091519919798*VERI_TABANI!G23, 0)) + ((MIN(VERI_TABANI!D24, VERI_TABANI!D24*B570)*VERI_TABANI!$B$7 + MAX(0, VERI_TABANI!D24*B570-VERI_TABANI!D24)*VERI_TABANI!$B$8) + (MIN(MAX(0, VERI_TABANI!D24-VERI_TABANI!D24*B570), VERI_TABANI!D24*C570)*VERI_TABANI!$B$7 + MAX(0, VERI_TABANI!D24*C570-MAX(0, VERI_TABANI!D24-VERI_TABANI!D24*B570))*VERI_TABANI!$B$8) + IF(ABS(IF(ISNUMBER(SEARCH("Var", D570)), 1, IF(ISNUMBER(SEARCH("Gri", D570)), -1, 0)))=1, VERI_TABANI!E24*(1-0.928)*VERI_TABANI!$B$9, 0) + (VERI_TABANI!D24*B570*(VERI_TABANI!$B$13-VERI_TABANI!$B$14)*VERI_TABANI!G24) + (VERI_TABANI!D24*C570*(VERI_TABANI!$B$13-VERI_TABANI!$B$15)*VERI_TABANI!G24) + IF(ABS(IF(ISNUMBER(SEARCH("Var", D570)), 1, IF(ISNUMBER(SEARCH("Gri", D570)), -1, 0)))=1, VERI_TABANI!E24*(1-0.928)*0.00206091519919798*VERI_TABANI!G24, 0)) + ((MIN(VERI_TABANI!D25, VERI_TABANI!D25*B570)*VERI_TABANI!$B$7 + MAX(0, VERI_TABANI!D25*B570-VERI_TABANI!D25)*VERI_TABANI!$B$8) + (MIN(MAX(0, VERI_TABANI!D25-VERI_TABANI!D25*B570), VERI_TABANI!D25*C570)*VERI_TABANI!$B$7 + MAX(0, VERI_TABANI!D25*C570-MAX(0, VERI_TABANI!D25-VERI_TABANI!D25*B570))*VERI_TABANI!$B$8) + IF(ABS(IF(ISNUMBER(SEARCH("Var", D570)), 1, IF(ISNUMBER(SEARCH("Gri", D570)), -1, 0)))=1, VERI_TABANI!E25*(1-0.928)*VERI_TABANI!$B$9, 0) + (VERI_TABANI!D25*B570*(VERI_TABANI!$B$13-VERI_TABANI!$B$14)*VERI_TABANI!G25) + (VERI_TABANI!D25*C570*(VERI_TABANI!$B$13-VERI_TABANI!$B$15)*VERI_TABANI!G25) + IF(ABS(IF(ISNUMBER(SEARCH("Var", D570)), 1, IF(ISNUMBER(SEARCH("Gri", D570)), -1, 0)))=1, VERI_TABANI!E25*(1-0.928)*0.00206091519919798*VERI_TABANI!G25, 0)) + ((MIN(VERI_TABANI!D26, VERI_TABANI!D26*B570)*VERI_TABANI!$B$7 + MAX(0, VERI_TABANI!D26*B570-VERI_TABANI!D26)*VERI_TABANI!$B$8) + (MIN(MAX(0, VERI_TABANI!D26-VERI_TABANI!D26*B570), VERI_TABANI!D26*C570)*VERI_TABANI!$B$7 + MAX(0, VERI_TABANI!D26*C570-MAX(0, VERI_TABANI!D26-VERI_TABANI!D26*B570))*VERI_TABANI!$B$8) + IF(ABS(IF(ISNUMBER(SEARCH("Var", D570)), 1, IF(ISNUMBER(SEARCH("Gri", D570)), -1, 0)))=1, VERI_TABANI!E26*(1-0.928)*VERI_TABANI!$B$9, 0) + (VERI_TABANI!D26*B570*(VERI_TABANI!$B$13-VERI_TABANI!$B$14)*VERI_TABANI!G26) + (VERI_TABANI!D26*C570*(VERI_TABANI!$B$13-VERI_TABANI!$B$15)*VERI_TABANI!G26) + IF(ABS(IF(ISNUMBER(SEARCH("Var", D570)), 1, IF(ISNUMBER(SEARCH("Gri", D570)), -1, 0)))=1, VERI_TABANI!E26*(1-0.928)*0.00206091519919798*VERI_TABANI!G26, 0)) + ((MIN(VERI_TABANI!D27, VERI_TABANI!D27*B570)*VERI_TABANI!$B$7 + MAX(0, VERI_TABANI!D27*B570-VERI_TABANI!D27)*VERI_TABANI!$B$8) + (MIN(MAX(0, VERI_TABANI!D27-VERI_TABANI!D27*B570), VERI_TABANI!D27*C570)*VERI_TABANI!$B$7 + MAX(0, VERI_TABANI!D27*C570-MAX(0, VERI_TABANI!D27-VERI_TABANI!D27*B570))*VERI_TABANI!$B$8) + IF(ABS(IF(ISNUMBER(SEARCH("Var", D570)), 1, IF(ISNUMBER(SEARCH("Gri", D570)), -1, 0)))=1, VERI_TABANI!E27*(1-0.928)*VERI_TABANI!$B$9, 0) + (VERI_TABANI!D27*B570*(VERI_TABANI!$B$13-VERI_TABANI!$B$14)*VERI_TABANI!G27) + (VERI_TABANI!D27*C570*(VERI_TABANI!$B$13-VERI_TABANI!$B$15)*VERI_TABANI!G27) + IF(ABS(IF(ISNUMBER(SEARCH("Var", D570)), 1, IF(ISNUMBER(SEARCH("Gri", D570)), -1, 0)))=1, VERI_TABANI!E27*(1-0.928)*0.00206091519919798*VERI_TABANI!G27, 0)) + ((MIN(VERI_TABANI!D28, VERI_TABANI!D28*B570)*VERI_TABANI!$B$7 + MAX(0, VERI_TABANI!D28*B570-VERI_TABANI!D28)*VERI_TABANI!$B$8) + (MIN(MAX(0, VERI_TABANI!D28-VERI_TABANI!D28*B570), VERI_TABANI!D28*C570)*VERI_TABANI!$B$7 + MAX(0, VERI_TABANI!D28*C570-MAX(0, VERI_TABANI!D28-VERI_TABANI!D28*B570))*VERI_TABANI!$B$8) + IF(ABS(IF(ISNUMBER(SEARCH("Var", D570)), 1, IF(ISNUMBER(SEARCH("Gri", D570)), -1, 0)))=1, VERI_TABANI!E28*(1-0.928)*VERI_TABANI!$B$9, 0) + (VERI_TABANI!D28*B570*(VERI_TABANI!$B$13-VERI_TABANI!$B$14)*VERI_TABANI!G28) + (VERI_TABANI!D28*C570*(VERI_TABANI!$B$13-VERI_TABANI!$B$15)*VERI_TABANI!G28) + IF(ABS(IF(ISNUMBER(SEARCH("Var", D570)), 1, IF(ISNUMBER(SEARCH("Gri", D570)), -1, 0)))=1, VERI_TABANI!E28*(1-0.928)*0.00206091519919798*VERI_TABANI!G28, 0)))</f>
        <v/>
      </c>
      <c r="H570" s="169">
        <f>(((VERI_TABANI!D23*B570*(VERI_TABANI!$B$13-VERI_TABANI!$B$14)) + (VERI_TABANI!D23*C570*(VERI_TABANI!$B$13-VERI_TABANI!$B$15)) + IF(ISNUMBER(SEARCH("Var", D570)), VERI_TABANI!F23*(0.00202-VERI_TABANI!$B$16), IF(ISNUMBER(SEARCH("Gri", D570)), VERI_TABANI!F23*(0.00202-VERI_TABANI!$B$17), 0))) + ((VERI_TABANI!D24*B570*(VERI_TABANI!$B$13-VERI_TABANI!$B$14)) + (VERI_TABANI!D24*C570*(VERI_TABANI!$B$13-VERI_TABANI!$B$15)) + IF(ISNUMBER(SEARCH("Var", D570)), VERI_TABANI!F24*(0.00202-VERI_TABANI!$B$16), IF(ISNUMBER(SEARCH("Gri", D570)), VERI_TABANI!F24*(0.00202-VERI_TABANI!$B$17), 0))) + ((VERI_TABANI!D25*B570*(VERI_TABANI!$B$13-VERI_TABANI!$B$14)) + (VERI_TABANI!D25*C570*(VERI_TABANI!$B$13-VERI_TABANI!$B$15)) + IF(ISNUMBER(SEARCH("Var", D570)), VERI_TABANI!F25*(0.00202-VERI_TABANI!$B$16), IF(ISNUMBER(SEARCH("Gri", D570)), VERI_TABANI!F25*(0.00202-VERI_TABANI!$B$17), 0))) + ((VERI_TABANI!D26*B570*(VERI_TABANI!$B$13-VERI_TABANI!$B$14)) + (VERI_TABANI!D26*C570*(VERI_TABANI!$B$13-VERI_TABANI!$B$15)) + IF(ISNUMBER(SEARCH("Var", D570)), VERI_TABANI!F26*(0.00202-VERI_TABANI!$B$16), IF(ISNUMBER(SEARCH("Gri", D570)), VERI_TABANI!F26*(0.00202-VERI_TABANI!$B$17), 0))) + ((VERI_TABANI!D27*B570*(VERI_TABANI!$B$13-VERI_TABANI!$B$14)) + (VERI_TABANI!D27*C570*(VERI_TABANI!$B$13-VERI_TABANI!$B$15)) + IF(ISNUMBER(SEARCH("Var", D570)), VERI_TABANI!F27*(0.00202-VERI_TABANI!$B$16), IF(ISNUMBER(SEARCH("Gri", D570)), VERI_TABANI!F27*(0.00202-VERI_TABANI!$B$17), 0))) + ((VERI_TABANI!D28*B570*(VERI_TABANI!$B$13-VERI_TABANI!$B$14)) + (VERI_TABANI!D28*C570*(VERI_TABANI!$B$13-VERI_TABANI!$B$15)) + IF(ISNUMBER(SEARCH("Var", D570)), VERI_TABANI!F28*(0.00202-VERI_TABANI!$B$16), IF(ISNUMBER(SEARCH("Gri", D570)), VERI_TABANI!F28*(0.00202-VERI_TABANI!$B$17), 0))))</f>
        <v/>
      </c>
      <c r="I570" s="170">
        <f>IFERROR(((VERI_TABANI!$D$29*B570*VERI_TABANI!$B$14 + VERI_TABANI!$D$29*C570*VERI_TABANI!$B$15 + IF(ISNUMBER(SEARCH("Var", D570)), VERI_TABANI!$F$29*VERI_TABANI!$B$16, 0))) / (((VERI_TABANI!$D$29*B570 + VERI_TABANI!$D$29*C570)*VERI_TABANI!$B$13 + IF(ISNUMBER(SEARCH("Var", D570)), VERI_TABANI!$E$29*(1-0.928)*VERI_TABANI!$B$18, 0))), 0)</f>
        <v/>
      </c>
      <c r="J570" s="171">
        <f>IFERROR(F570/(G570/29), 0)</f>
        <v/>
      </c>
      <c r="K570" s="172">
        <f>IF(F570&gt;0, H570/F570, 0)</f>
        <v/>
      </c>
      <c r="L570" s="170">
        <f>IF(F570&gt;0, I570, 1000000000)</f>
        <v/>
      </c>
      <c r="M570" s="171">
        <f>ABS((B570+C570)-1)</f>
        <v/>
      </c>
      <c r="N570" s="170">
        <f>IF(F570&gt;0, (G570/29)/F570, 0)</f>
        <v/>
      </c>
      <c r="O570" s="168">
        <f>IF(AND((B570+C570)&gt;=1, ISNUMBER(SEARCH("Var", D570))), F570, 1000000000)</f>
        <v/>
      </c>
      <c r="P570" s="172">
        <f>IF(F570&gt;0, SQRT((F570/MAX(F$5:F$886))^2 + (1 - H570/MAX(H$5:H$886))^2 + (J570/MAX(J$5:J$886))^2), 1000000000)</f>
        <v/>
      </c>
      <c r="Q570" s="166">
        <f>IF(AND(ABS(B570-0.5)&lt;0.01, ABS(C570-0.5)&lt;0.01, ISNUMBER(SEARCH("Var", D570))), 1, 0)</f>
        <v/>
      </c>
      <c r="R570" s="171">
        <f>IF(F570&gt;0, J570, 1000000000)</f>
        <v/>
      </c>
      <c r="S570" s="101">
        <f>IF(AND(F570&lt;=DASHBOARD!$B$11, H570&gt;=DASHBOARD!$B$13), G570, -1000000000000)</f>
        <v/>
      </c>
      <c r="T570" s="101">
        <f>IF(AND(F570&lt;=DASHBOARD!$B$11, H570&gt;=DASHBOARD!$B$13), R570, 1000000000000)</f>
        <v/>
      </c>
      <c r="U570" s="101">
        <f>IF(AND(F570&lt;=DASHBOARD!$B$11, H570&gt;=DASHBOARD!$B$13), N570, -1000000000000)</f>
        <v/>
      </c>
      <c r="V570" s="101">
        <f>IF(AND(F570&lt;=DASHBOARD!$B$11, H570&gt;=DASHBOARD!$B$13), H570, -1000000000000)</f>
        <v/>
      </c>
      <c r="W570" s="101">
        <f>IF(AND(F570&lt;=DASHBOARD!$B$11, H570&gt;=DASHBOARD!$B$13), K570, -1000000000000)</f>
        <v/>
      </c>
      <c r="X570" s="101">
        <f>IF(AND(F570&lt;=DASHBOARD!$B$11, H570&gt;=DASHBOARD!$B$13), M570, 1000000000000)</f>
        <v/>
      </c>
      <c r="Y570" s="101">
        <f>IF(AND(F570&lt;=DASHBOARD!$B$10, H570&gt;=DASHBOARD!$B$11), L570, 1000000000000)</f>
        <v/>
      </c>
      <c r="Z570" s="101">
        <f>IF(AND(F570&lt;=DASHBOARD!$B$10, H570&gt;=DASHBOARD!$B$11), O570, 1000000000000)</f>
        <v/>
      </c>
      <c r="AA570" s="101">
        <f>IF(AND(F570&lt;=DASHBOARD!$B$10, H570&gt;=DASHBOARD!$B$11), P570, 1000000000000)</f>
        <v/>
      </c>
      <c r="AB570" s="101">
        <f>IF(AND(F570&lt;=DASHBOARD!$B$10, H570&gt;=DASHBOARD!$B$11), Q570, -1000000000000)</f>
        <v/>
      </c>
    </row>
    <row r="571" ht="15" customHeight="1" s="102">
      <c r="A571" s="166" t="n">
        <v>567</v>
      </c>
      <c r="B571" s="167" t="n">
        <v>1.3</v>
      </c>
      <c r="C571" s="167" t="n">
        <v>1</v>
      </c>
      <c r="D571" s="110" t="inlineStr">
        <is>
          <t>Yok (%0)</t>
        </is>
      </c>
      <c r="E571" s="110">
        <f>IF((B571+C571)&lt;=1, "Tam Mahsuplaşma (≤%100)", "Kısmi Satış (&gt;%100)")</f>
        <v/>
      </c>
      <c r="F571" s="168">
        <f>((VERI_TABANI!$D$29*B571/VERI_TABANI!$B$29)/VERI_TABANI!$B$3)*VERI_TABANI!$B$5 + ((VERI_TABANI!$D$29*C571/VERI_TABANI!$B$29)/VERI_TABANI!$B$4)*VERI_TABANI!$B$6 + IF(ISNUMBER(SEARCH("Var", D571)), (VERI_TABANI!$F$29/VERI_TABANI!$B$29)*(VERI_TABANI!$B$10+VERI_TABANI!$B$12), 0)</f>
        <v/>
      </c>
      <c r="G571" s="168">
        <f>(((MIN(VERI_TABANI!D23, VERI_TABANI!D23*B571)*VERI_TABANI!$B$7 + MAX(0, VERI_TABANI!D23*B571-VERI_TABANI!D23)*VERI_TABANI!$B$8) + (MIN(MAX(0, VERI_TABANI!D23-VERI_TABANI!D23*B571), VERI_TABANI!D23*C571)*VERI_TABANI!$B$7 + MAX(0, VERI_TABANI!D23*C571-MAX(0, VERI_TABANI!D23-VERI_TABANI!D23*B571))*VERI_TABANI!$B$8) + IF(ABS(IF(ISNUMBER(SEARCH("Var", D571)), 1, IF(ISNUMBER(SEARCH("Gri", D571)), -1, 0)))=1, VERI_TABANI!E23*(1-0.928)*VERI_TABANI!$B$9, 0) + (VERI_TABANI!D23*B571*(VERI_TABANI!$B$13-VERI_TABANI!$B$14)*VERI_TABANI!G23) + (VERI_TABANI!D23*C571*(VERI_TABANI!$B$13-VERI_TABANI!$B$15)*VERI_TABANI!G23) + IF(ABS(IF(ISNUMBER(SEARCH("Var", D571)), 1, IF(ISNUMBER(SEARCH("Gri", D571)), -1, 0)))=1, VERI_TABANI!E23*(1-0.928)*0.00206091519919798*VERI_TABANI!G23, 0)) + ((MIN(VERI_TABANI!D24, VERI_TABANI!D24*B571)*VERI_TABANI!$B$7 + MAX(0, VERI_TABANI!D24*B571-VERI_TABANI!D24)*VERI_TABANI!$B$8) + (MIN(MAX(0, VERI_TABANI!D24-VERI_TABANI!D24*B571), VERI_TABANI!D24*C571)*VERI_TABANI!$B$7 + MAX(0, VERI_TABANI!D24*C571-MAX(0, VERI_TABANI!D24-VERI_TABANI!D24*B571))*VERI_TABANI!$B$8) + IF(ABS(IF(ISNUMBER(SEARCH("Var", D571)), 1, IF(ISNUMBER(SEARCH("Gri", D571)), -1, 0)))=1, VERI_TABANI!E24*(1-0.928)*VERI_TABANI!$B$9, 0) + (VERI_TABANI!D24*B571*(VERI_TABANI!$B$13-VERI_TABANI!$B$14)*VERI_TABANI!G24) + (VERI_TABANI!D24*C571*(VERI_TABANI!$B$13-VERI_TABANI!$B$15)*VERI_TABANI!G24) + IF(ABS(IF(ISNUMBER(SEARCH("Var", D571)), 1, IF(ISNUMBER(SEARCH("Gri", D571)), -1, 0)))=1, VERI_TABANI!E24*(1-0.928)*0.00206091519919798*VERI_TABANI!G24, 0)) + ((MIN(VERI_TABANI!D25, VERI_TABANI!D25*B571)*VERI_TABANI!$B$7 + MAX(0, VERI_TABANI!D25*B571-VERI_TABANI!D25)*VERI_TABANI!$B$8) + (MIN(MAX(0, VERI_TABANI!D25-VERI_TABANI!D25*B571), VERI_TABANI!D25*C571)*VERI_TABANI!$B$7 + MAX(0, VERI_TABANI!D25*C571-MAX(0, VERI_TABANI!D25-VERI_TABANI!D25*B571))*VERI_TABANI!$B$8) + IF(ABS(IF(ISNUMBER(SEARCH("Var", D571)), 1, IF(ISNUMBER(SEARCH("Gri", D571)), -1, 0)))=1, VERI_TABANI!E25*(1-0.928)*VERI_TABANI!$B$9, 0) + (VERI_TABANI!D25*B571*(VERI_TABANI!$B$13-VERI_TABANI!$B$14)*VERI_TABANI!G25) + (VERI_TABANI!D25*C571*(VERI_TABANI!$B$13-VERI_TABANI!$B$15)*VERI_TABANI!G25) + IF(ABS(IF(ISNUMBER(SEARCH("Var", D571)), 1, IF(ISNUMBER(SEARCH("Gri", D571)), -1, 0)))=1, VERI_TABANI!E25*(1-0.928)*0.00206091519919798*VERI_TABANI!G25, 0)) + ((MIN(VERI_TABANI!D26, VERI_TABANI!D26*B571)*VERI_TABANI!$B$7 + MAX(0, VERI_TABANI!D26*B571-VERI_TABANI!D26)*VERI_TABANI!$B$8) + (MIN(MAX(0, VERI_TABANI!D26-VERI_TABANI!D26*B571), VERI_TABANI!D26*C571)*VERI_TABANI!$B$7 + MAX(0, VERI_TABANI!D26*C571-MAX(0, VERI_TABANI!D26-VERI_TABANI!D26*B571))*VERI_TABANI!$B$8) + IF(ABS(IF(ISNUMBER(SEARCH("Var", D571)), 1, IF(ISNUMBER(SEARCH("Gri", D571)), -1, 0)))=1, VERI_TABANI!E26*(1-0.928)*VERI_TABANI!$B$9, 0) + (VERI_TABANI!D26*B571*(VERI_TABANI!$B$13-VERI_TABANI!$B$14)*VERI_TABANI!G26) + (VERI_TABANI!D26*C571*(VERI_TABANI!$B$13-VERI_TABANI!$B$15)*VERI_TABANI!G26) + IF(ABS(IF(ISNUMBER(SEARCH("Var", D571)), 1, IF(ISNUMBER(SEARCH("Gri", D571)), -1, 0)))=1, VERI_TABANI!E26*(1-0.928)*0.00206091519919798*VERI_TABANI!G26, 0)) + ((MIN(VERI_TABANI!D27, VERI_TABANI!D27*B571)*VERI_TABANI!$B$7 + MAX(0, VERI_TABANI!D27*B571-VERI_TABANI!D27)*VERI_TABANI!$B$8) + (MIN(MAX(0, VERI_TABANI!D27-VERI_TABANI!D27*B571), VERI_TABANI!D27*C571)*VERI_TABANI!$B$7 + MAX(0, VERI_TABANI!D27*C571-MAX(0, VERI_TABANI!D27-VERI_TABANI!D27*B571))*VERI_TABANI!$B$8) + IF(ABS(IF(ISNUMBER(SEARCH("Var", D571)), 1, IF(ISNUMBER(SEARCH("Gri", D571)), -1, 0)))=1, VERI_TABANI!E27*(1-0.928)*VERI_TABANI!$B$9, 0) + (VERI_TABANI!D27*B571*(VERI_TABANI!$B$13-VERI_TABANI!$B$14)*VERI_TABANI!G27) + (VERI_TABANI!D27*C571*(VERI_TABANI!$B$13-VERI_TABANI!$B$15)*VERI_TABANI!G27) + IF(ABS(IF(ISNUMBER(SEARCH("Var", D571)), 1, IF(ISNUMBER(SEARCH("Gri", D571)), -1, 0)))=1, VERI_TABANI!E27*(1-0.928)*0.00206091519919798*VERI_TABANI!G27, 0)) + ((MIN(VERI_TABANI!D28, VERI_TABANI!D28*B571)*VERI_TABANI!$B$7 + MAX(0, VERI_TABANI!D28*B571-VERI_TABANI!D28)*VERI_TABANI!$B$8) + (MIN(MAX(0, VERI_TABANI!D28-VERI_TABANI!D28*B571), VERI_TABANI!D28*C571)*VERI_TABANI!$B$7 + MAX(0, VERI_TABANI!D28*C571-MAX(0, VERI_TABANI!D28-VERI_TABANI!D28*B571))*VERI_TABANI!$B$8) + IF(ABS(IF(ISNUMBER(SEARCH("Var", D571)), 1, IF(ISNUMBER(SEARCH("Gri", D571)), -1, 0)))=1, VERI_TABANI!E28*(1-0.928)*VERI_TABANI!$B$9, 0) + (VERI_TABANI!D28*B571*(VERI_TABANI!$B$13-VERI_TABANI!$B$14)*VERI_TABANI!G28) + (VERI_TABANI!D28*C571*(VERI_TABANI!$B$13-VERI_TABANI!$B$15)*VERI_TABANI!G28) + IF(ABS(IF(ISNUMBER(SEARCH("Var", D571)), 1, IF(ISNUMBER(SEARCH("Gri", D571)), -1, 0)))=1, VERI_TABANI!E28*(1-0.928)*0.00206091519919798*VERI_TABANI!G28, 0)))</f>
        <v/>
      </c>
      <c r="H571" s="169">
        <f>(((VERI_TABANI!D23*B571*(VERI_TABANI!$B$13-VERI_TABANI!$B$14)) + (VERI_TABANI!D23*C571*(VERI_TABANI!$B$13-VERI_TABANI!$B$15)) + IF(ISNUMBER(SEARCH("Var", D571)), VERI_TABANI!F23*(0.00202-VERI_TABANI!$B$16), IF(ISNUMBER(SEARCH("Gri", D571)), VERI_TABANI!F23*(0.00202-VERI_TABANI!$B$17), 0))) + ((VERI_TABANI!D24*B571*(VERI_TABANI!$B$13-VERI_TABANI!$B$14)) + (VERI_TABANI!D24*C571*(VERI_TABANI!$B$13-VERI_TABANI!$B$15)) + IF(ISNUMBER(SEARCH("Var", D571)), VERI_TABANI!F24*(0.00202-VERI_TABANI!$B$16), IF(ISNUMBER(SEARCH("Gri", D571)), VERI_TABANI!F24*(0.00202-VERI_TABANI!$B$17), 0))) + ((VERI_TABANI!D25*B571*(VERI_TABANI!$B$13-VERI_TABANI!$B$14)) + (VERI_TABANI!D25*C571*(VERI_TABANI!$B$13-VERI_TABANI!$B$15)) + IF(ISNUMBER(SEARCH("Var", D571)), VERI_TABANI!F25*(0.00202-VERI_TABANI!$B$16), IF(ISNUMBER(SEARCH("Gri", D571)), VERI_TABANI!F25*(0.00202-VERI_TABANI!$B$17), 0))) + ((VERI_TABANI!D26*B571*(VERI_TABANI!$B$13-VERI_TABANI!$B$14)) + (VERI_TABANI!D26*C571*(VERI_TABANI!$B$13-VERI_TABANI!$B$15)) + IF(ISNUMBER(SEARCH("Var", D571)), VERI_TABANI!F26*(0.00202-VERI_TABANI!$B$16), IF(ISNUMBER(SEARCH("Gri", D571)), VERI_TABANI!F26*(0.00202-VERI_TABANI!$B$17), 0))) + ((VERI_TABANI!D27*B571*(VERI_TABANI!$B$13-VERI_TABANI!$B$14)) + (VERI_TABANI!D27*C571*(VERI_TABANI!$B$13-VERI_TABANI!$B$15)) + IF(ISNUMBER(SEARCH("Var", D571)), VERI_TABANI!F27*(0.00202-VERI_TABANI!$B$16), IF(ISNUMBER(SEARCH("Gri", D571)), VERI_TABANI!F27*(0.00202-VERI_TABANI!$B$17), 0))) + ((VERI_TABANI!D28*B571*(VERI_TABANI!$B$13-VERI_TABANI!$B$14)) + (VERI_TABANI!D28*C571*(VERI_TABANI!$B$13-VERI_TABANI!$B$15)) + IF(ISNUMBER(SEARCH("Var", D571)), VERI_TABANI!F28*(0.00202-VERI_TABANI!$B$16), IF(ISNUMBER(SEARCH("Gri", D571)), VERI_TABANI!F28*(0.00202-VERI_TABANI!$B$17), 0))))</f>
        <v/>
      </c>
      <c r="I571" s="170">
        <f>IFERROR(((VERI_TABANI!$D$29*B571*VERI_TABANI!$B$14 + VERI_TABANI!$D$29*C571*VERI_TABANI!$B$15 + IF(ISNUMBER(SEARCH("Var", D571)), VERI_TABANI!$F$29*VERI_TABANI!$B$16, 0))) / (((VERI_TABANI!$D$29*B571 + VERI_TABANI!$D$29*C571)*VERI_TABANI!$B$13 + IF(ISNUMBER(SEARCH("Var", D571)), VERI_TABANI!$E$29*(1-0.928)*VERI_TABANI!$B$18, 0))), 0)</f>
        <v/>
      </c>
      <c r="J571" s="171">
        <f>IFERROR(F571/(G571/29), 0)</f>
        <v/>
      </c>
      <c r="K571" s="172">
        <f>IF(F571&gt;0, H571/F571, 0)</f>
        <v/>
      </c>
      <c r="L571" s="170">
        <f>IF(F571&gt;0, I571, 1000000000)</f>
        <v/>
      </c>
      <c r="M571" s="171">
        <f>ABS((B571+C571)-1)</f>
        <v/>
      </c>
      <c r="N571" s="170">
        <f>IF(F571&gt;0, (G571/29)/F571, 0)</f>
        <v/>
      </c>
      <c r="O571" s="168">
        <f>IF(AND((B571+C571)&gt;=1, ISNUMBER(SEARCH("Var", D571))), F571, 1000000000)</f>
        <v/>
      </c>
      <c r="P571" s="172">
        <f>IF(F571&gt;0, SQRT((F571/MAX(F$5:F$886))^2 + (1 - H571/MAX(H$5:H$886))^2 + (J571/MAX(J$5:J$886))^2), 1000000000)</f>
        <v/>
      </c>
      <c r="Q571" s="166">
        <f>IF(AND(ABS(B571-0.5)&lt;0.01, ABS(C571-0.5)&lt;0.01, ISNUMBER(SEARCH("Var", D571))), 1, 0)</f>
        <v/>
      </c>
      <c r="R571" s="171">
        <f>IF(F571&gt;0, J571, 1000000000)</f>
        <v/>
      </c>
      <c r="S571" s="101">
        <f>IF(AND(F571&lt;=DASHBOARD!$B$11, H571&gt;=DASHBOARD!$B$13), G571, -1000000000000)</f>
        <v/>
      </c>
      <c r="T571" s="101">
        <f>IF(AND(F571&lt;=DASHBOARD!$B$11, H571&gt;=DASHBOARD!$B$13), R571, 1000000000000)</f>
        <v/>
      </c>
      <c r="U571" s="101">
        <f>IF(AND(F571&lt;=DASHBOARD!$B$11, H571&gt;=DASHBOARD!$B$13), N571, -1000000000000)</f>
        <v/>
      </c>
      <c r="V571" s="101">
        <f>IF(AND(F571&lt;=DASHBOARD!$B$11, H571&gt;=DASHBOARD!$B$13), H571, -1000000000000)</f>
        <v/>
      </c>
      <c r="W571" s="101">
        <f>IF(AND(F571&lt;=DASHBOARD!$B$11, H571&gt;=DASHBOARD!$B$13), K571, -1000000000000)</f>
        <v/>
      </c>
      <c r="X571" s="101">
        <f>IF(AND(F571&lt;=DASHBOARD!$B$11, H571&gt;=DASHBOARD!$B$13), M571, 1000000000000)</f>
        <v/>
      </c>
      <c r="Y571" s="101">
        <f>IF(AND(F571&lt;=DASHBOARD!$B$10, H571&gt;=DASHBOARD!$B$11), L571, 1000000000000)</f>
        <v/>
      </c>
      <c r="Z571" s="101">
        <f>IF(AND(F571&lt;=DASHBOARD!$B$10, H571&gt;=DASHBOARD!$B$11), O571, 1000000000000)</f>
        <v/>
      </c>
      <c r="AA571" s="101">
        <f>IF(AND(F571&lt;=DASHBOARD!$B$10, H571&gt;=DASHBOARD!$B$11), P571, 1000000000000)</f>
        <v/>
      </c>
      <c r="AB571" s="101">
        <f>IF(AND(F571&lt;=DASHBOARD!$B$10, H571&gt;=DASHBOARD!$B$11), Q571, -1000000000000)</f>
        <v/>
      </c>
    </row>
    <row r="572" ht="15" customHeight="1" s="102">
      <c r="A572" s="166" t="n">
        <v>568</v>
      </c>
      <c r="B572" s="167" t="n">
        <v>1.3</v>
      </c>
      <c r="C572" s="167" t="n">
        <v>1</v>
      </c>
      <c r="D572" s="110" t="inlineStr">
        <is>
          <t>Var (%20)</t>
        </is>
      </c>
      <c r="E572" s="110">
        <f>IF((B572+C572)&lt;=1, "Tam Mahsuplaşma (≤%100)", "Kısmi Satış (&gt;%100)")</f>
        <v/>
      </c>
      <c r="F572" s="168">
        <f>((VERI_TABANI!$D$29*B572/VERI_TABANI!$B$29)/VERI_TABANI!$B$3)*VERI_TABANI!$B$5 + ((VERI_TABANI!$D$29*C572/VERI_TABANI!$B$29)/VERI_TABANI!$B$4)*VERI_TABANI!$B$6 + IF(ISNUMBER(SEARCH("Var", D572)), (VERI_TABANI!$F$29/VERI_TABANI!$B$29)*(VERI_TABANI!$B$10+VERI_TABANI!$B$12), 0)</f>
        <v/>
      </c>
      <c r="G572" s="168">
        <f>(((MIN(VERI_TABANI!D23, VERI_TABANI!D23*B572)*VERI_TABANI!$B$7 + MAX(0, VERI_TABANI!D23*B572-VERI_TABANI!D23)*VERI_TABANI!$B$8) + (MIN(MAX(0, VERI_TABANI!D23-VERI_TABANI!D23*B572), VERI_TABANI!D23*C572)*VERI_TABANI!$B$7 + MAX(0, VERI_TABANI!D23*C572-MAX(0, VERI_TABANI!D23-VERI_TABANI!D23*B572))*VERI_TABANI!$B$8) + IF(ABS(IF(ISNUMBER(SEARCH("Var", D572)), 1, IF(ISNUMBER(SEARCH("Gri", D572)), -1, 0)))=1, VERI_TABANI!E23*(1-0.928)*VERI_TABANI!$B$9, 0) + (VERI_TABANI!D23*B572*(VERI_TABANI!$B$13-VERI_TABANI!$B$14)*VERI_TABANI!G23) + (VERI_TABANI!D23*C572*(VERI_TABANI!$B$13-VERI_TABANI!$B$15)*VERI_TABANI!G23) + IF(ABS(IF(ISNUMBER(SEARCH("Var", D572)), 1, IF(ISNUMBER(SEARCH("Gri", D572)), -1, 0)))=1, VERI_TABANI!E23*(1-0.928)*0.00206091519919798*VERI_TABANI!G23, 0)) + ((MIN(VERI_TABANI!D24, VERI_TABANI!D24*B572)*VERI_TABANI!$B$7 + MAX(0, VERI_TABANI!D24*B572-VERI_TABANI!D24)*VERI_TABANI!$B$8) + (MIN(MAX(0, VERI_TABANI!D24-VERI_TABANI!D24*B572), VERI_TABANI!D24*C572)*VERI_TABANI!$B$7 + MAX(0, VERI_TABANI!D24*C572-MAX(0, VERI_TABANI!D24-VERI_TABANI!D24*B572))*VERI_TABANI!$B$8) + IF(ABS(IF(ISNUMBER(SEARCH("Var", D572)), 1, IF(ISNUMBER(SEARCH("Gri", D572)), -1, 0)))=1, VERI_TABANI!E24*(1-0.928)*VERI_TABANI!$B$9, 0) + (VERI_TABANI!D24*B572*(VERI_TABANI!$B$13-VERI_TABANI!$B$14)*VERI_TABANI!G24) + (VERI_TABANI!D24*C572*(VERI_TABANI!$B$13-VERI_TABANI!$B$15)*VERI_TABANI!G24) + IF(ABS(IF(ISNUMBER(SEARCH("Var", D572)), 1, IF(ISNUMBER(SEARCH("Gri", D572)), -1, 0)))=1, VERI_TABANI!E24*(1-0.928)*0.00206091519919798*VERI_TABANI!G24, 0)) + ((MIN(VERI_TABANI!D25, VERI_TABANI!D25*B572)*VERI_TABANI!$B$7 + MAX(0, VERI_TABANI!D25*B572-VERI_TABANI!D25)*VERI_TABANI!$B$8) + (MIN(MAX(0, VERI_TABANI!D25-VERI_TABANI!D25*B572), VERI_TABANI!D25*C572)*VERI_TABANI!$B$7 + MAX(0, VERI_TABANI!D25*C572-MAX(0, VERI_TABANI!D25-VERI_TABANI!D25*B572))*VERI_TABANI!$B$8) + IF(ABS(IF(ISNUMBER(SEARCH("Var", D572)), 1, IF(ISNUMBER(SEARCH("Gri", D572)), -1, 0)))=1, VERI_TABANI!E25*(1-0.928)*VERI_TABANI!$B$9, 0) + (VERI_TABANI!D25*B572*(VERI_TABANI!$B$13-VERI_TABANI!$B$14)*VERI_TABANI!G25) + (VERI_TABANI!D25*C572*(VERI_TABANI!$B$13-VERI_TABANI!$B$15)*VERI_TABANI!G25) + IF(ABS(IF(ISNUMBER(SEARCH("Var", D572)), 1, IF(ISNUMBER(SEARCH("Gri", D572)), -1, 0)))=1, VERI_TABANI!E25*(1-0.928)*0.00206091519919798*VERI_TABANI!G25, 0)) + ((MIN(VERI_TABANI!D26, VERI_TABANI!D26*B572)*VERI_TABANI!$B$7 + MAX(0, VERI_TABANI!D26*B572-VERI_TABANI!D26)*VERI_TABANI!$B$8) + (MIN(MAX(0, VERI_TABANI!D26-VERI_TABANI!D26*B572), VERI_TABANI!D26*C572)*VERI_TABANI!$B$7 + MAX(0, VERI_TABANI!D26*C572-MAX(0, VERI_TABANI!D26-VERI_TABANI!D26*B572))*VERI_TABANI!$B$8) + IF(ABS(IF(ISNUMBER(SEARCH("Var", D572)), 1, IF(ISNUMBER(SEARCH("Gri", D572)), -1, 0)))=1, VERI_TABANI!E26*(1-0.928)*VERI_TABANI!$B$9, 0) + (VERI_TABANI!D26*B572*(VERI_TABANI!$B$13-VERI_TABANI!$B$14)*VERI_TABANI!G26) + (VERI_TABANI!D26*C572*(VERI_TABANI!$B$13-VERI_TABANI!$B$15)*VERI_TABANI!G26) + IF(ABS(IF(ISNUMBER(SEARCH("Var", D572)), 1, IF(ISNUMBER(SEARCH("Gri", D572)), -1, 0)))=1, VERI_TABANI!E26*(1-0.928)*0.00206091519919798*VERI_TABANI!G26, 0)) + ((MIN(VERI_TABANI!D27, VERI_TABANI!D27*B572)*VERI_TABANI!$B$7 + MAX(0, VERI_TABANI!D27*B572-VERI_TABANI!D27)*VERI_TABANI!$B$8) + (MIN(MAX(0, VERI_TABANI!D27-VERI_TABANI!D27*B572), VERI_TABANI!D27*C572)*VERI_TABANI!$B$7 + MAX(0, VERI_TABANI!D27*C572-MAX(0, VERI_TABANI!D27-VERI_TABANI!D27*B572))*VERI_TABANI!$B$8) + IF(ABS(IF(ISNUMBER(SEARCH("Var", D572)), 1, IF(ISNUMBER(SEARCH("Gri", D572)), -1, 0)))=1, VERI_TABANI!E27*(1-0.928)*VERI_TABANI!$B$9, 0) + (VERI_TABANI!D27*B572*(VERI_TABANI!$B$13-VERI_TABANI!$B$14)*VERI_TABANI!G27) + (VERI_TABANI!D27*C572*(VERI_TABANI!$B$13-VERI_TABANI!$B$15)*VERI_TABANI!G27) + IF(ABS(IF(ISNUMBER(SEARCH("Var", D572)), 1, IF(ISNUMBER(SEARCH("Gri", D572)), -1, 0)))=1, VERI_TABANI!E27*(1-0.928)*0.00206091519919798*VERI_TABANI!G27, 0)) + ((MIN(VERI_TABANI!D28, VERI_TABANI!D28*B572)*VERI_TABANI!$B$7 + MAX(0, VERI_TABANI!D28*B572-VERI_TABANI!D28)*VERI_TABANI!$B$8) + (MIN(MAX(0, VERI_TABANI!D28-VERI_TABANI!D28*B572), VERI_TABANI!D28*C572)*VERI_TABANI!$B$7 + MAX(0, VERI_TABANI!D28*C572-MAX(0, VERI_TABANI!D28-VERI_TABANI!D28*B572))*VERI_TABANI!$B$8) + IF(ABS(IF(ISNUMBER(SEARCH("Var", D572)), 1, IF(ISNUMBER(SEARCH("Gri", D572)), -1, 0)))=1, VERI_TABANI!E28*(1-0.928)*VERI_TABANI!$B$9, 0) + (VERI_TABANI!D28*B572*(VERI_TABANI!$B$13-VERI_TABANI!$B$14)*VERI_TABANI!G28) + (VERI_TABANI!D28*C572*(VERI_TABANI!$B$13-VERI_TABANI!$B$15)*VERI_TABANI!G28) + IF(ABS(IF(ISNUMBER(SEARCH("Var", D572)), 1, IF(ISNUMBER(SEARCH("Gri", D572)), -1, 0)))=1, VERI_TABANI!E28*(1-0.928)*0.00206091519919798*VERI_TABANI!G28, 0)))</f>
        <v/>
      </c>
      <c r="H572" s="169">
        <f>(((VERI_TABANI!D23*B572*(VERI_TABANI!$B$13-VERI_TABANI!$B$14)) + (VERI_TABANI!D23*C572*(VERI_TABANI!$B$13-VERI_TABANI!$B$15)) + IF(ISNUMBER(SEARCH("Var", D572)), VERI_TABANI!F23*(0.00202-VERI_TABANI!$B$16), IF(ISNUMBER(SEARCH("Gri", D572)), VERI_TABANI!F23*(0.00202-VERI_TABANI!$B$17), 0))) + ((VERI_TABANI!D24*B572*(VERI_TABANI!$B$13-VERI_TABANI!$B$14)) + (VERI_TABANI!D24*C572*(VERI_TABANI!$B$13-VERI_TABANI!$B$15)) + IF(ISNUMBER(SEARCH("Var", D572)), VERI_TABANI!F24*(0.00202-VERI_TABANI!$B$16), IF(ISNUMBER(SEARCH("Gri", D572)), VERI_TABANI!F24*(0.00202-VERI_TABANI!$B$17), 0))) + ((VERI_TABANI!D25*B572*(VERI_TABANI!$B$13-VERI_TABANI!$B$14)) + (VERI_TABANI!D25*C572*(VERI_TABANI!$B$13-VERI_TABANI!$B$15)) + IF(ISNUMBER(SEARCH("Var", D572)), VERI_TABANI!F25*(0.00202-VERI_TABANI!$B$16), IF(ISNUMBER(SEARCH("Gri", D572)), VERI_TABANI!F25*(0.00202-VERI_TABANI!$B$17), 0))) + ((VERI_TABANI!D26*B572*(VERI_TABANI!$B$13-VERI_TABANI!$B$14)) + (VERI_TABANI!D26*C572*(VERI_TABANI!$B$13-VERI_TABANI!$B$15)) + IF(ISNUMBER(SEARCH("Var", D572)), VERI_TABANI!F26*(0.00202-VERI_TABANI!$B$16), IF(ISNUMBER(SEARCH("Gri", D572)), VERI_TABANI!F26*(0.00202-VERI_TABANI!$B$17), 0))) + ((VERI_TABANI!D27*B572*(VERI_TABANI!$B$13-VERI_TABANI!$B$14)) + (VERI_TABANI!D27*C572*(VERI_TABANI!$B$13-VERI_TABANI!$B$15)) + IF(ISNUMBER(SEARCH("Var", D572)), VERI_TABANI!F27*(0.00202-VERI_TABANI!$B$16), IF(ISNUMBER(SEARCH("Gri", D572)), VERI_TABANI!F27*(0.00202-VERI_TABANI!$B$17), 0))) + ((VERI_TABANI!D28*B572*(VERI_TABANI!$B$13-VERI_TABANI!$B$14)) + (VERI_TABANI!D28*C572*(VERI_TABANI!$B$13-VERI_TABANI!$B$15)) + IF(ISNUMBER(SEARCH("Var", D572)), VERI_TABANI!F28*(0.00202-VERI_TABANI!$B$16), IF(ISNUMBER(SEARCH("Gri", D572)), VERI_TABANI!F28*(0.00202-VERI_TABANI!$B$17), 0))))</f>
        <v/>
      </c>
      <c r="I572" s="170">
        <f>IFERROR(((VERI_TABANI!$D$29*B572*VERI_TABANI!$B$14 + VERI_TABANI!$D$29*C572*VERI_TABANI!$B$15 + IF(ISNUMBER(SEARCH("Var", D572)), VERI_TABANI!$F$29*VERI_TABANI!$B$16, 0))) / (((VERI_TABANI!$D$29*B572 + VERI_TABANI!$D$29*C572)*VERI_TABANI!$B$13 + IF(ISNUMBER(SEARCH("Var", D572)), VERI_TABANI!$E$29*(1-0.928)*VERI_TABANI!$B$18, 0))), 0)</f>
        <v/>
      </c>
      <c r="J572" s="171">
        <f>IFERROR(F572/(G572/29), 0)</f>
        <v/>
      </c>
      <c r="K572" s="172">
        <f>IF(F572&gt;0, H572/F572, 0)</f>
        <v/>
      </c>
      <c r="L572" s="170">
        <f>IF(F572&gt;0, I572, 1000000000)</f>
        <v/>
      </c>
      <c r="M572" s="171">
        <f>ABS((B572+C572)-1)</f>
        <v/>
      </c>
      <c r="N572" s="170">
        <f>IF(F572&gt;0, (G572/29)/F572, 0)</f>
        <v/>
      </c>
      <c r="O572" s="168">
        <f>IF(AND((B572+C572)&gt;=1, ISNUMBER(SEARCH("Var", D572))), F572, 1000000000)</f>
        <v/>
      </c>
      <c r="P572" s="172">
        <f>IF(F572&gt;0, SQRT((F572/MAX(F$5:F$886))^2 + (1 - H572/MAX(H$5:H$886))^2 + (J572/MAX(J$5:J$886))^2), 1000000000)</f>
        <v/>
      </c>
      <c r="Q572" s="166">
        <f>IF(AND(ABS(B572-0.5)&lt;0.01, ABS(C572-0.5)&lt;0.01, ISNUMBER(SEARCH("Var", D572))), 1, 0)</f>
        <v/>
      </c>
      <c r="R572" s="171">
        <f>IF(F572&gt;0, J572, 1000000000)</f>
        <v/>
      </c>
      <c r="S572" s="101">
        <f>IF(AND(F572&lt;=DASHBOARD!$B$11, H572&gt;=DASHBOARD!$B$13), G572, -1000000000000)</f>
        <v/>
      </c>
      <c r="T572" s="101">
        <f>IF(AND(F572&lt;=DASHBOARD!$B$11, H572&gt;=DASHBOARD!$B$13), R572, 1000000000000)</f>
        <v/>
      </c>
      <c r="U572" s="101">
        <f>IF(AND(F572&lt;=DASHBOARD!$B$11, H572&gt;=DASHBOARD!$B$13), N572, -1000000000000)</f>
        <v/>
      </c>
      <c r="V572" s="101">
        <f>IF(AND(F572&lt;=DASHBOARD!$B$11, H572&gt;=DASHBOARD!$B$13), H572, -1000000000000)</f>
        <v/>
      </c>
      <c r="W572" s="101">
        <f>IF(AND(F572&lt;=DASHBOARD!$B$11, H572&gt;=DASHBOARD!$B$13), K572, -1000000000000)</f>
        <v/>
      </c>
      <c r="X572" s="101">
        <f>IF(AND(F572&lt;=DASHBOARD!$B$11, H572&gt;=DASHBOARD!$B$13), M572, 1000000000000)</f>
        <v/>
      </c>
      <c r="Y572" s="101">
        <f>IF(AND(F572&lt;=DASHBOARD!$B$10, H572&gt;=DASHBOARD!$B$11), L572, 1000000000000)</f>
        <v/>
      </c>
      <c r="Z572" s="101">
        <f>IF(AND(F572&lt;=DASHBOARD!$B$10, H572&gt;=DASHBOARD!$B$11), O572, 1000000000000)</f>
        <v/>
      </c>
      <c r="AA572" s="101">
        <f>IF(AND(F572&lt;=DASHBOARD!$B$10, H572&gt;=DASHBOARD!$B$11), P572, 1000000000000)</f>
        <v/>
      </c>
      <c r="AB572" s="101">
        <f>IF(AND(F572&lt;=DASHBOARD!$B$10, H572&gt;=DASHBOARD!$B$11), Q572, -1000000000000)</f>
        <v/>
      </c>
    </row>
    <row r="573" ht="15" customHeight="1" s="102">
      <c r="A573" s="166" t="n">
        <v>569</v>
      </c>
      <c r="B573" s="167" t="n">
        <v>1.3</v>
      </c>
      <c r="C573" s="167" t="n">
        <v>1.1</v>
      </c>
      <c r="D573" s="110" t="inlineStr">
        <is>
          <t>Yok (%0)</t>
        </is>
      </c>
      <c r="E573" s="110">
        <f>IF((B573+C573)&lt;=1, "Tam Mahsuplaşma (≤%100)", "Kısmi Satış (&gt;%100)")</f>
        <v/>
      </c>
      <c r="F573" s="168">
        <f>((VERI_TABANI!$D$29*B573/VERI_TABANI!$B$29)/VERI_TABANI!$B$3)*VERI_TABANI!$B$5 + ((VERI_TABANI!$D$29*C573/VERI_TABANI!$B$29)/VERI_TABANI!$B$4)*VERI_TABANI!$B$6 + IF(ISNUMBER(SEARCH("Var", D573)), (VERI_TABANI!$F$29/VERI_TABANI!$B$29)*(VERI_TABANI!$B$10+VERI_TABANI!$B$12), 0)</f>
        <v/>
      </c>
      <c r="G573" s="168">
        <f>(((MIN(VERI_TABANI!D23, VERI_TABANI!D23*B573)*VERI_TABANI!$B$7 + MAX(0, VERI_TABANI!D23*B573-VERI_TABANI!D23)*VERI_TABANI!$B$8) + (MIN(MAX(0, VERI_TABANI!D23-VERI_TABANI!D23*B573), VERI_TABANI!D23*C573)*VERI_TABANI!$B$7 + MAX(0, VERI_TABANI!D23*C573-MAX(0, VERI_TABANI!D23-VERI_TABANI!D23*B573))*VERI_TABANI!$B$8) + IF(ABS(IF(ISNUMBER(SEARCH("Var", D573)), 1, IF(ISNUMBER(SEARCH("Gri", D573)), -1, 0)))=1, VERI_TABANI!E23*(1-0.928)*VERI_TABANI!$B$9, 0) + (VERI_TABANI!D23*B573*(VERI_TABANI!$B$13-VERI_TABANI!$B$14)*VERI_TABANI!G23) + (VERI_TABANI!D23*C573*(VERI_TABANI!$B$13-VERI_TABANI!$B$15)*VERI_TABANI!G23) + IF(ABS(IF(ISNUMBER(SEARCH("Var", D573)), 1, IF(ISNUMBER(SEARCH("Gri", D573)), -1, 0)))=1, VERI_TABANI!E23*(1-0.928)*0.00206091519919798*VERI_TABANI!G23, 0)) + ((MIN(VERI_TABANI!D24, VERI_TABANI!D24*B573)*VERI_TABANI!$B$7 + MAX(0, VERI_TABANI!D24*B573-VERI_TABANI!D24)*VERI_TABANI!$B$8) + (MIN(MAX(0, VERI_TABANI!D24-VERI_TABANI!D24*B573), VERI_TABANI!D24*C573)*VERI_TABANI!$B$7 + MAX(0, VERI_TABANI!D24*C573-MAX(0, VERI_TABANI!D24-VERI_TABANI!D24*B573))*VERI_TABANI!$B$8) + IF(ABS(IF(ISNUMBER(SEARCH("Var", D573)), 1, IF(ISNUMBER(SEARCH("Gri", D573)), -1, 0)))=1, VERI_TABANI!E24*(1-0.928)*VERI_TABANI!$B$9, 0) + (VERI_TABANI!D24*B573*(VERI_TABANI!$B$13-VERI_TABANI!$B$14)*VERI_TABANI!G24) + (VERI_TABANI!D24*C573*(VERI_TABANI!$B$13-VERI_TABANI!$B$15)*VERI_TABANI!G24) + IF(ABS(IF(ISNUMBER(SEARCH("Var", D573)), 1, IF(ISNUMBER(SEARCH("Gri", D573)), -1, 0)))=1, VERI_TABANI!E24*(1-0.928)*0.00206091519919798*VERI_TABANI!G24, 0)) + ((MIN(VERI_TABANI!D25, VERI_TABANI!D25*B573)*VERI_TABANI!$B$7 + MAX(0, VERI_TABANI!D25*B573-VERI_TABANI!D25)*VERI_TABANI!$B$8) + (MIN(MAX(0, VERI_TABANI!D25-VERI_TABANI!D25*B573), VERI_TABANI!D25*C573)*VERI_TABANI!$B$7 + MAX(0, VERI_TABANI!D25*C573-MAX(0, VERI_TABANI!D25-VERI_TABANI!D25*B573))*VERI_TABANI!$B$8) + IF(ABS(IF(ISNUMBER(SEARCH("Var", D573)), 1, IF(ISNUMBER(SEARCH("Gri", D573)), -1, 0)))=1, VERI_TABANI!E25*(1-0.928)*VERI_TABANI!$B$9, 0) + (VERI_TABANI!D25*B573*(VERI_TABANI!$B$13-VERI_TABANI!$B$14)*VERI_TABANI!G25) + (VERI_TABANI!D25*C573*(VERI_TABANI!$B$13-VERI_TABANI!$B$15)*VERI_TABANI!G25) + IF(ABS(IF(ISNUMBER(SEARCH("Var", D573)), 1, IF(ISNUMBER(SEARCH("Gri", D573)), -1, 0)))=1, VERI_TABANI!E25*(1-0.928)*0.00206091519919798*VERI_TABANI!G25, 0)) + ((MIN(VERI_TABANI!D26, VERI_TABANI!D26*B573)*VERI_TABANI!$B$7 + MAX(0, VERI_TABANI!D26*B573-VERI_TABANI!D26)*VERI_TABANI!$B$8) + (MIN(MAX(0, VERI_TABANI!D26-VERI_TABANI!D26*B573), VERI_TABANI!D26*C573)*VERI_TABANI!$B$7 + MAX(0, VERI_TABANI!D26*C573-MAX(0, VERI_TABANI!D26-VERI_TABANI!D26*B573))*VERI_TABANI!$B$8) + IF(ABS(IF(ISNUMBER(SEARCH("Var", D573)), 1, IF(ISNUMBER(SEARCH("Gri", D573)), -1, 0)))=1, VERI_TABANI!E26*(1-0.928)*VERI_TABANI!$B$9, 0) + (VERI_TABANI!D26*B573*(VERI_TABANI!$B$13-VERI_TABANI!$B$14)*VERI_TABANI!G26) + (VERI_TABANI!D26*C573*(VERI_TABANI!$B$13-VERI_TABANI!$B$15)*VERI_TABANI!G26) + IF(ABS(IF(ISNUMBER(SEARCH("Var", D573)), 1, IF(ISNUMBER(SEARCH("Gri", D573)), -1, 0)))=1, VERI_TABANI!E26*(1-0.928)*0.00206091519919798*VERI_TABANI!G26, 0)) + ((MIN(VERI_TABANI!D27, VERI_TABANI!D27*B573)*VERI_TABANI!$B$7 + MAX(0, VERI_TABANI!D27*B573-VERI_TABANI!D27)*VERI_TABANI!$B$8) + (MIN(MAX(0, VERI_TABANI!D27-VERI_TABANI!D27*B573), VERI_TABANI!D27*C573)*VERI_TABANI!$B$7 + MAX(0, VERI_TABANI!D27*C573-MAX(0, VERI_TABANI!D27-VERI_TABANI!D27*B573))*VERI_TABANI!$B$8) + IF(ABS(IF(ISNUMBER(SEARCH("Var", D573)), 1, IF(ISNUMBER(SEARCH("Gri", D573)), -1, 0)))=1, VERI_TABANI!E27*(1-0.928)*VERI_TABANI!$B$9, 0) + (VERI_TABANI!D27*B573*(VERI_TABANI!$B$13-VERI_TABANI!$B$14)*VERI_TABANI!G27) + (VERI_TABANI!D27*C573*(VERI_TABANI!$B$13-VERI_TABANI!$B$15)*VERI_TABANI!G27) + IF(ABS(IF(ISNUMBER(SEARCH("Var", D573)), 1, IF(ISNUMBER(SEARCH("Gri", D573)), -1, 0)))=1, VERI_TABANI!E27*(1-0.928)*0.00206091519919798*VERI_TABANI!G27, 0)) + ((MIN(VERI_TABANI!D28, VERI_TABANI!D28*B573)*VERI_TABANI!$B$7 + MAX(0, VERI_TABANI!D28*B573-VERI_TABANI!D28)*VERI_TABANI!$B$8) + (MIN(MAX(0, VERI_TABANI!D28-VERI_TABANI!D28*B573), VERI_TABANI!D28*C573)*VERI_TABANI!$B$7 + MAX(0, VERI_TABANI!D28*C573-MAX(0, VERI_TABANI!D28-VERI_TABANI!D28*B573))*VERI_TABANI!$B$8) + IF(ABS(IF(ISNUMBER(SEARCH("Var", D573)), 1, IF(ISNUMBER(SEARCH("Gri", D573)), -1, 0)))=1, VERI_TABANI!E28*(1-0.928)*VERI_TABANI!$B$9, 0) + (VERI_TABANI!D28*B573*(VERI_TABANI!$B$13-VERI_TABANI!$B$14)*VERI_TABANI!G28) + (VERI_TABANI!D28*C573*(VERI_TABANI!$B$13-VERI_TABANI!$B$15)*VERI_TABANI!G28) + IF(ABS(IF(ISNUMBER(SEARCH("Var", D573)), 1, IF(ISNUMBER(SEARCH("Gri", D573)), -1, 0)))=1, VERI_TABANI!E28*(1-0.928)*0.00206091519919798*VERI_TABANI!G28, 0)))</f>
        <v/>
      </c>
      <c r="H573" s="169">
        <f>(((VERI_TABANI!D23*B573*(VERI_TABANI!$B$13-VERI_TABANI!$B$14)) + (VERI_TABANI!D23*C573*(VERI_TABANI!$B$13-VERI_TABANI!$B$15)) + IF(ISNUMBER(SEARCH("Var", D573)), VERI_TABANI!F23*(0.00202-VERI_TABANI!$B$16), IF(ISNUMBER(SEARCH("Gri", D573)), VERI_TABANI!F23*(0.00202-VERI_TABANI!$B$17), 0))) + ((VERI_TABANI!D24*B573*(VERI_TABANI!$B$13-VERI_TABANI!$B$14)) + (VERI_TABANI!D24*C573*(VERI_TABANI!$B$13-VERI_TABANI!$B$15)) + IF(ISNUMBER(SEARCH("Var", D573)), VERI_TABANI!F24*(0.00202-VERI_TABANI!$B$16), IF(ISNUMBER(SEARCH("Gri", D573)), VERI_TABANI!F24*(0.00202-VERI_TABANI!$B$17), 0))) + ((VERI_TABANI!D25*B573*(VERI_TABANI!$B$13-VERI_TABANI!$B$14)) + (VERI_TABANI!D25*C573*(VERI_TABANI!$B$13-VERI_TABANI!$B$15)) + IF(ISNUMBER(SEARCH("Var", D573)), VERI_TABANI!F25*(0.00202-VERI_TABANI!$B$16), IF(ISNUMBER(SEARCH("Gri", D573)), VERI_TABANI!F25*(0.00202-VERI_TABANI!$B$17), 0))) + ((VERI_TABANI!D26*B573*(VERI_TABANI!$B$13-VERI_TABANI!$B$14)) + (VERI_TABANI!D26*C573*(VERI_TABANI!$B$13-VERI_TABANI!$B$15)) + IF(ISNUMBER(SEARCH("Var", D573)), VERI_TABANI!F26*(0.00202-VERI_TABANI!$B$16), IF(ISNUMBER(SEARCH("Gri", D573)), VERI_TABANI!F26*(0.00202-VERI_TABANI!$B$17), 0))) + ((VERI_TABANI!D27*B573*(VERI_TABANI!$B$13-VERI_TABANI!$B$14)) + (VERI_TABANI!D27*C573*(VERI_TABANI!$B$13-VERI_TABANI!$B$15)) + IF(ISNUMBER(SEARCH("Var", D573)), VERI_TABANI!F27*(0.00202-VERI_TABANI!$B$16), IF(ISNUMBER(SEARCH("Gri", D573)), VERI_TABANI!F27*(0.00202-VERI_TABANI!$B$17), 0))) + ((VERI_TABANI!D28*B573*(VERI_TABANI!$B$13-VERI_TABANI!$B$14)) + (VERI_TABANI!D28*C573*(VERI_TABANI!$B$13-VERI_TABANI!$B$15)) + IF(ISNUMBER(SEARCH("Var", D573)), VERI_TABANI!F28*(0.00202-VERI_TABANI!$B$16), IF(ISNUMBER(SEARCH("Gri", D573)), VERI_TABANI!F28*(0.00202-VERI_TABANI!$B$17), 0))))</f>
        <v/>
      </c>
      <c r="I573" s="170">
        <f>IFERROR(((VERI_TABANI!$D$29*B573*VERI_TABANI!$B$14 + VERI_TABANI!$D$29*C573*VERI_TABANI!$B$15 + IF(ISNUMBER(SEARCH("Var", D573)), VERI_TABANI!$F$29*VERI_TABANI!$B$16, 0))) / (((VERI_TABANI!$D$29*B573 + VERI_TABANI!$D$29*C573)*VERI_TABANI!$B$13 + IF(ISNUMBER(SEARCH("Var", D573)), VERI_TABANI!$E$29*(1-0.928)*VERI_TABANI!$B$18, 0))), 0)</f>
        <v/>
      </c>
      <c r="J573" s="171">
        <f>IFERROR(F573/(G573/29), 0)</f>
        <v/>
      </c>
      <c r="K573" s="172">
        <f>IF(F573&gt;0, H573/F573, 0)</f>
        <v/>
      </c>
      <c r="L573" s="170">
        <f>IF(F573&gt;0, I573, 1000000000)</f>
        <v/>
      </c>
      <c r="M573" s="171">
        <f>ABS((B573+C573)-1)</f>
        <v/>
      </c>
      <c r="N573" s="170">
        <f>IF(F573&gt;0, (G573/29)/F573, 0)</f>
        <v/>
      </c>
      <c r="O573" s="168">
        <f>IF(AND((B573+C573)&gt;=1, ISNUMBER(SEARCH("Var", D573))), F573, 1000000000)</f>
        <v/>
      </c>
      <c r="P573" s="172">
        <f>IF(F573&gt;0, SQRT((F573/MAX(F$5:F$886))^2 + (1 - H573/MAX(H$5:H$886))^2 + (J573/MAX(J$5:J$886))^2), 1000000000)</f>
        <v/>
      </c>
      <c r="Q573" s="166">
        <f>IF(AND(ABS(B573-0.5)&lt;0.01, ABS(C573-0.5)&lt;0.01, ISNUMBER(SEARCH("Var", D573))), 1, 0)</f>
        <v/>
      </c>
      <c r="R573" s="171">
        <f>IF(F573&gt;0, J573, 1000000000)</f>
        <v/>
      </c>
      <c r="S573" s="101">
        <f>IF(AND(F573&lt;=DASHBOARD!$B$11, H573&gt;=DASHBOARD!$B$13), G573, -1000000000000)</f>
        <v/>
      </c>
      <c r="T573" s="101">
        <f>IF(AND(F573&lt;=DASHBOARD!$B$11, H573&gt;=DASHBOARD!$B$13), R573, 1000000000000)</f>
        <v/>
      </c>
      <c r="U573" s="101">
        <f>IF(AND(F573&lt;=DASHBOARD!$B$11, H573&gt;=DASHBOARD!$B$13), N573, -1000000000000)</f>
        <v/>
      </c>
      <c r="V573" s="101">
        <f>IF(AND(F573&lt;=DASHBOARD!$B$11, H573&gt;=DASHBOARD!$B$13), H573, -1000000000000)</f>
        <v/>
      </c>
      <c r="W573" s="101">
        <f>IF(AND(F573&lt;=DASHBOARD!$B$11, H573&gt;=DASHBOARD!$B$13), K573, -1000000000000)</f>
        <v/>
      </c>
      <c r="X573" s="101">
        <f>IF(AND(F573&lt;=DASHBOARD!$B$11, H573&gt;=DASHBOARD!$B$13), M573, 1000000000000)</f>
        <v/>
      </c>
      <c r="Y573" s="101">
        <f>IF(AND(F573&lt;=DASHBOARD!$B$10, H573&gt;=DASHBOARD!$B$11), L573, 1000000000000)</f>
        <v/>
      </c>
      <c r="Z573" s="101">
        <f>IF(AND(F573&lt;=DASHBOARD!$B$10, H573&gt;=DASHBOARD!$B$11), O573, 1000000000000)</f>
        <v/>
      </c>
      <c r="AA573" s="101">
        <f>IF(AND(F573&lt;=DASHBOARD!$B$10, H573&gt;=DASHBOARD!$B$11), P573, 1000000000000)</f>
        <v/>
      </c>
      <c r="AB573" s="101">
        <f>IF(AND(F573&lt;=DASHBOARD!$B$10, H573&gt;=DASHBOARD!$B$11), Q573, -1000000000000)</f>
        <v/>
      </c>
    </row>
    <row r="574" ht="15" customHeight="1" s="102">
      <c r="A574" s="166" t="n">
        <v>570</v>
      </c>
      <c r="B574" s="167" t="n">
        <v>1.3</v>
      </c>
      <c r="C574" s="167" t="n">
        <v>1.1</v>
      </c>
      <c r="D574" s="110" t="inlineStr">
        <is>
          <t>Var (%20)</t>
        </is>
      </c>
      <c r="E574" s="110">
        <f>IF((B574+C574)&lt;=1, "Tam Mahsuplaşma (≤%100)", "Kısmi Satış (&gt;%100)")</f>
        <v/>
      </c>
      <c r="F574" s="168">
        <f>((VERI_TABANI!$D$29*B574/VERI_TABANI!$B$29)/VERI_TABANI!$B$3)*VERI_TABANI!$B$5 + ((VERI_TABANI!$D$29*C574/VERI_TABANI!$B$29)/VERI_TABANI!$B$4)*VERI_TABANI!$B$6 + IF(ISNUMBER(SEARCH("Var", D574)), (VERI_TABANI!$F$29/VERI_TABANI!$B$29)*(VERI_TABANI!$B$10+VERI_TABANI!$B$12), 0)</f>
        <v/>
      </c>
      <c r="G574" s="168">
        <f>(((MIN(VERI_TABANI!D23, VERI_TABANI!D23*B574)*VERI_TABANI!$B$7 + MAX(0, VERI_TABANI!D23*B574-VERI_TABANI!D23)*VERI_TABANI!$B$8) + (MIN(MAX(0, VERI_TABANI!D23-VERI_TABANI!D23*B574), VERI_TABANI!D23*C574)*VERI_TABANI!$B$7 + MAX(0, VERI_TABANI!D23*C574-MAX(0, VERI_TABANI!D23-VERI_TABANI!D23*B574))*VERI_TABANI!$B$8) + IF(ABS(IF(ISNUMBER(SEARCH("Var", D574)), 1, IF(ISNUMBER(SEARCH("Gri", D574)), -1, 0)))=1, VERI_TABANI!E23*(1-0.928)*VERI_TABANI!$B$9, 0) + (VERI_TABANI!D23*B574*(VERI_TABANI!$B$13-VERI_TABANI!$B$14)*VERI_TABANI!G23) + (VERI_TABANI!D23*C574*(VERI_TABANI!$B$13-VERI_TABANI!$B$15)*VERI_TABANI!G23) + IF(ABS(IF(ISNUMBER(SEARCH("Var", D574)), 1, IF(ISNUMBER(SEARCH("Gri", D574)), -1, 0)))=1, VERI_TABANI!E23*(1-0.928)*0.00206091519919798*VERI_TABANI!G23, 0)) + ((MIN(VERI_TABANI!D24, VERI_TABANI!D24*B574)*VERI_TABANI!$B$7 + MAX(0, VERI_TABANI!D24*B574-VERI_TABANI!D24)*VERI_TABANI!$B$8) + (MIN(MAX(0, VERI_TABANI!D24-VERI_TABANI!D24*B574), VERI_TABANI!D24*C574)*VERI_TABANI!$B$7 + MAX(0, VERI_TABANI!D24*C574-MAX(0, VERI_TABANI!D24-VERI_TABANI!D24*B574))*VERI_TABANI!$B$8) + IF(ABS(IF(ISNUMBER(SEARCH("Var", D574)), 1, IF(ISNUMBER(SEARCH("Gri", D574)), -1, 0)))=1, VERI_TABANI!E24*(1-0.928)*VERI_TABANI!$B$9, 0) + (VERI_TABANI!D24*B574*(VERI_TABANI!$B$13-VERI_TABANI!$B$14)*VERI_TABANI!G24) + (VERI_TABANI!D24*C574*(VERI_TABANI!$B$13-VERI_TABANI!$B$15)*VERI_TABANI!G24) + IF(ABS(IF(ISNUMBER(SEARCH("Var", D574)), 1, IF(ISNUMBER(SEARCH("Gri", D574)), -1, 0)))=1, VERI_TABANI!E24*(1-0.928)*0.00206091519919798*VERI_TABANI!G24, 0)) + ((MIN(VERI_TABANI!D25, VERI_TABANI!D25*B574)*VERI_TABANI!$B$7 + MAX(0, VERI_TABANI!D25*B574-VERI_TABANI!D25)*VERI_TABANI!$B$8) + (MIN(MAX(0, VERI_TABANI!D25-VERI_TABANI!D25*B574), VERI_TABANI!D25*C574)*VERI_TABANI!$B$7 + MAX(0, VERI_TABANI!D25*C574-MAX(0, VERI_TABANI!D25-VERI_TABANI!D25*B574))*VERI_TABANI!$B$8) + IF(ABS(IF(ISNUMBER(SEARCH("Var", D574)), 1, IF(ISNUMBER(SEARCH("Gri", D574)), -1, 0)))=1, VERI_TABANI!E25*(1-0.928)*VERI_TABANI!$B$9, 0) + (VERI_TABANI!D25*B574*(VERI_TABANI!$B$13-VERI_TABANI!$B$14)*VERI_TABANI!G25) + (VERI_TABANI!D25*C574*(VERI_TABANI!$B$13-VERI_TABANI!$B$15)*VERI_TABANI!G25) + IF(ABS(IF(ISNUMBER(SEARCH("Var", D574)), 1, IF(ISNUMBER(SEARCH("Gri", D574)), -1, 0)))=1, VERI_TABANI!E25*(1-0.928)*0.00206091519919798*VERI_TABANI!G25, 0)) + ((MIN(VERI_TABANI!D26, VERI_TABANI!D26*B574)*VERI_TABANI!$B$7 + MAX(0, VERI_TABANI!D26*B574-VERI_TABANI!D26)*VERI_TABANI!$B$8) + (MIN(MAX(0, VERI_TABANI!D26-VERI_TABANI!D26*B574), VERI_TABANI!D26*C574)*VERI_TABANI!$B$7 + MAX(0, VERI_TABANI!D26*C574-MAX(0, VERI_TABANI!D26-VERI_TABANI!D26*B574))*VERI_TABANI!$B$8) + IF(ABS(IF(ISNUMBER(SEARCH("Var", D574)), 1, IF(ISNUMBER(SEARCH("Gri", D574)), -1, 0)))=1, VERI_TABANI!E26*(1-0.928)*VERI_TABANI!$B$9, 0) + (VERI_TABANI!D26*B574*(VERI_TABANI!$B$13-VERI_TABANI!$B$14)*VERI_TABANI!G26) + (VERI_TABANI!D26*C574*(VERI_TABANI!$B$13-VERI_TABANI!$B$15)*VERI_TABANI!G26) + IF(ABS(IF(ISNUMBER(SEARCH("Var", D574)), 1, IF(ISNUMBER(SEARCH("Gri", D574)), -1, 0)))=1, VERI_TABANI!E26*(1-0.928)*0.00206091519919798*VERI_TABANI!G26, 0)) + ((MIN(VERI_TABANI!D27, VERI_TABANI!D27*B574)*VERI_TABANI!$B$7 + MAX(0, VERI_TABANI!D27*B574-VERI_TABANI!D27)*VERI_TABANI!$B$8) + (MIN(MAX(0, VERI_TABANI!D27-VERI_TABANI!D27*B574), VERI_TABANI!D27*C574)*VERI_TABANI!$B$7 + MAX(0, VERI_TABANI!D27*C574-MAX(0, VERI_TABANI!D27-VERI_TABANI!D27*B574))*VERI_TABANI!$B$8) + IF(ABS(IF(ISNUMBER(SEARCH("Var", D574)), 1, IF(ISNUMBER(SEARCH("Gri", D574)), -1, 0)))=1, VERI_TABANI!E27*(1-0.928)*VERI_TABANI!$B$9, 0) + (VERI_TABANI!D27*B574*(VERI_TABANI!$B$13-VERI_TABANI!$B$14)*VERI_TABANI!G27) + (VERI_TABANI!D27*C574*(VERI_TABANI!$B$13-VERI_TABANI!$B$15)*VERI_TABANI!G27) + IF(ABS(IF(ISNUMBER(SEARCH("Var", D574)), 1, IF(ISNUMBER(SEARCH("Gri", D574)), -1, 0)))=1, VERI_TABANI!E27*(1-0.928)*0.00206091519919798*VERI_TABANI!G27, 0)) + ((MIN(VERI_TABANI!D28, VERI_TABANI!D28*B574)*VERI_TABANI!$B$7 + MAX(0, VERI_TABANI!D28*B574-VERI_TABANI!D28)*VERI_TABANI!$B$8) + (MIN(MAX(0, VERI_TABANI!D28-VERI_TABANI!D28*B574), VERI_TABANI!D28*C574)*VERI_TABANI!$B$7 + MAX(0, VERI_TABANI!D28*C574-MAX(0, VERI_TABANI!D28-VERI_TABANI!D28*B574))*VERI_TABANI!$B$8) + IF(ABS(IF(ISNUMBER(SEARCH("Var", D574)), 1, IF(ISNUMBER(SEARCH("Gri", D574)), -1, 0)))=1, VERI_TABANI!E28*(1-0.928)*VERI_TABANI!$B$9, 0) + (VERI_TABANI!D28*B574*(VERI_TABANI!$B$13-VERI_TABANI!$B$14)*VERI_TABANI!G28) + (VERI_TABANI!D28*C574*(VERI_TABANI!$B$13-VERI_TABANI!$B$15)*VERI_TABANI!G28) + IF(ABS(IF(ISNUMBER(SEARCH("Var", D574)), 1, IF(ISNUMBER(SEARCH("Gri", D574)), -1, 0)))=1, VERI_TABANI!E28*(1-0.928)*0.00206091519919798*VERI_TABANI!G28, 0)))</f>
        <v/>
      </c>
      <c r="H574" s="169">
        <f>(((VERI_TABANI!D23*B574*(VERI_TABANI!$B$13-VERI_TABANI!$B$14)) + (VERI_TABANI!D23*C574*(VERI_TABANI!$B$13-VERI_TABANI!$B$15)) + IF(ISNUMBER(SEARCH("Var", D574)), VERI_TABANI!F23*(0.00202-VERI_TABANI!$B$16), IF(ISNUMBER(SEARCH("Gri", D574)), VERI_TABANI!F23*(0.00202-VERI_TABANI!$B$17), 0))) + ((VERI_TABANI!D24*B574*(VERI_TABANI!$B$13-VERI_TABANI!$B$14)) + (VERI_TABANI!D24*C574*(VERI_TABANI!$B$13-VERI_TABANI!$B$15)) + IF(ISNUMBER(SEARCH("Var", D574)), VERI_TABANI!F24*(0.00202-VERI_TABANI!$B$16), IF(ISNUMBER(SEARCH("Gri", D574)), VERI_TABANI!F24*(0.00202-VERI_TABANI!$B$17), 0))) + ((VERI_TABANI!D25*B574*(VERI_TABANI!$B$13-VERI_TABANI!$B$14)) + (VERI_TABANI!D25*C574*(VERI_TABANI!$B$13-VERI_TABANI!$B$15)) + IF(ISNUMBER(SEARCH("Var", D574)), VERI_TABANI!F25*(0.00202-VERI_TABANI!$B$16), IF(ISNUMBER(SEARCH("Gri", D574)), VERI_TABANI!F25*(0.00202-VERI_TABANI!$B$17), 0))) + ((VERI_TABANI!D26*B574*(VERI_TABANI!$B$13-VERI_TABANI!$B$14)) + (VERI_TABANI!D26*C574*(VERI_TABANI!$B$13-VERI_TABANI!$B$15)) + IF(ISNUMBER(SEARCH("Var", D574)), VERI_TABANI!F26*(0.00202-VERI_TABANI!$B$16), IF(ISNUMBER(SEARCH("Gri", D574)), VERI_TABANI!F26*(0.00202-VERI_TABANI!$B$17), 0))) + ((VERI_TABANI!D27*B574*(VERI_TABANI!$B$13-VERI_TABANI!$B$14)) + (VERI_TABANI!D27*C574*(VERI_TABANI!$B$13-VERI_TABANI!$B$15)) + IF(ISNUMBER(SEARCH("Var", D574)), VERI_TABANI!F27*(0.00202-VERI_TABANI!$B$16), IF(ISNUMBER(SEARCH("Gri", D574)), VERI_TABANI!F27*(0.00202-VERI_TABANI!$B$17), 0))) + ((VERI_TABANI!D28*B574*(VERI_TABANI!$B$13-VERI_TABANI!$B$14)) + (VERI_TABANI!D28*C574*(VERI_TABANI!$B$13-VERI_TABANI!$B$15)) + IF(ISNUMBER(SEARCH("Var", D574)), VERI_TABANI!F28*(0.00202-VERI_TABANI!$B$16), IF(ISNUMBER(SEARCH("Gri", D574)), VERI_TABANI!F28*(0.00202-VERI_TABANI!$B$17), 0))))</f>
        <v/>
      </c>
      <c r="I574" s="170">
        <f>IFERROR(((VERI_TABANI!$D$29*B574*VERI_TABANI!$B$14 + VERI_TABANI!$D$29*C574*VERI_TABANI!$B$15 + IF(ISNUMBER(SEARCH("Var", D574)), VERI_TABANI!$F$29*VERI_TABANI!$B$16, 0))) / (((VERI_TABANI!$D$29*B574 + VERI_TABANI!$D$29*C574)*VERI_TABANI!$B$13 + IF(ISNUMBER(SEARCH("Var", D574)), VERI_TABANI!$E$29*(1-0.928)*VERI_TABANI!$B$18, 0))), 0)</f>
        <v/>
      </c>
      <c r="J574" s="171">
        <f>IFERROR(F574/(G574/29), 0)</f>
        <v/>
      </c>
      <c r="K574" s="172">
        <f>IF(F574&gt;0, H574/F574, 0)</f>
        <v/>
      </c>
      <c r="L574" s="170">
        <f>IF(F574&gt;0, I574, 1000000000)</f>
        <v/>
      </c>
      <c r="M574" s="171">
        <f>ABS((B574+C574)-1)</f>
        <v/>
      </c>
      <c r="N574" s="170">
        <f>IF(F574&gt;0, (G574/29)/F574, 0)</f>
        <v/>
      </c>
      <c r="O574" s="168">
        <f>IF(AND((B574+C574)&gt;=1, ISNUMBER(SEARCH("Var", D574))), F574, 1000000000)</f>
        <v/>
      </c>
      <c r="P574" s="172">
        <f>IF(F574&gt;0, SQRT((F574/MAX(F$5:F$886))^2 + (1 - H574/MAX(H$5:H$886))^2 + (J574/MAX(J$5:J$886))^2), 1000000000)</f>
        <v/>
      </c>
      <c r="Q574" s="166">
        <f>IF(AND(ABS(B574-0.5)&lt;0.01, ABS(C574-0.5)&lt;0.01, ISNUMBER(SEARCH("Var", D574))), 1, 0)</f>
        <v/>
      </c>
      <c r="R574" s="171">
        <f>IF(F574&gt;0, J574, 1000000000)</f>
        <v/>
      </c>
      <c r="S574" s="101">
        <f>IF(AND(F574&lt;=DASHBOARD!$B$11, H574&gt;=DASHBOARD!$B$13), G574, -1000000000000)</f>
        <v/>
      </c>
      <c r="T574" s="101">
        <f>IF(AND(F574&lt;=DASHBOARD!$B$11, H574&gt;=DASHBOARD!$B$13), R574, 1000000000000)</f>
        <v/>
      </c>
      <c r="U574" s="101">
        <f>IF(AND(F574&lt;=DASHBOARD!$B$11, H574&gt;=DASHBOARD!$B$13), N574, -1000000000000)</f>
        <v/>
      </c>
      <c r="V574" s="101">
        <f>IF(AND(F574&lt;=DASHBOARD!$B$11, H574&gt;=DASHBOARD!$B$13), H574, -1000000000000)</f>
        <v/>
      </c>
      <c r="W574" s="101">
        <f>IF(AND(F574&lt;=DASHBOARD!$B$11, H574&gt;=DASHBOARD!$B$13), K574, -1000000000000)</f>
        <v/>
      </c>
      <c r="X574" s="101">
        <f>IF(AND(F574&lt;=DASHBOARD!$B$11, H574&gt;=DASHBOARD!$B$13), M574, 1000000000000)</f>
        <v/>
      </c>
      <c r="Y574" s="101">
        <f>IF(AND(F574&lt;=DASHBOARD!$B$10, H574&gt;=DASHBOARD!$B$11), L574, 1000000000000)</f>
        <v/>
      </c>
      <c r="Z574" s="101">
        <f>IF(AND(F574&lt;=DASHBOARD!$B$10, H574&gt;=DASHBOARD!$B$11), O574, 1000000000000)</f>
        <v/>
      </c>
      <c r="AA574" s="101">
        <f>IF(AND(F574&lt;=DASHBOARD!$B$10, H574&gt;=DASHBOARD!$B$11), P574, 1000000000000)</f>
        <v/>
      </c>
      <c r="AB574" s="101">
        <f>IF(AND(F574&lt;=DASHBOARD!$B$10, H574&gt;=DASHBOARD!$B$11), Q574, -1000000000000)</f>
        <v/>
      </c>
    </row>
    <row r="575" ht="15" customHeight="1" s="102">
      <c r="A575" s="166" t="n">
        <v>571</v>
      </c>
      <c r="B575" s="167" t="n">
        <v>1.3</v>
      </c>
      <c r="C575" s="167" t="n">
        <v>1.2</v>
      </c>
      <c r="D575" s="110" t="inlineStr">
        <is>
          <t>Yok (%0)</t>
        </is>
      </c>
      <c r="E575" s="110">
        <f>IF((B575+C575)&lt;=1, "Tam Mahsuplaşma (≤%100)", "Kısmi Satış (&gt;%100)")</f>
        <v/>
      </c>
      <c r="F575" s="168">
        <f>((VERI_TABANI!$D$29*B575/VERI_TABANI!$B$29)/VERI_TABANI!$B$3)*VERI_TABANI!$B$5 + ((VERI_TABANI!$D$29*C575/VERI_TABANI!$B$29)/VERI_TABANI!$B$4)*VERI_TABANI!$B$6 + IF(ISNUMBER(SEARCH("Var", D575)), (VERI_TABANI!$F$29/VERI_TABANI!$B$29)*(VERI_TABANI!$B$10+VERI_TABANI!$B$12), 0)</f>
        <v/>
      </c>
      <c r="G575" s="168">
        <f>(((MIN(VERI_TABANI!D23, VERI_TABANI!D23*B575)*VERI_TABANI!$B$7 + MAX(0, VERI_TABANI!D23*B575-VERI_TABANI!D23)*VERI_TABANI!$B$8) + (MIN(MAX(0, VERI_TABANI!D23-VERI_TABANI!D23*B575), VERI_TABANI!D23*C575)*VERI_TABANI!$B$7 + MAX(0, VERI_TABANI!D23*C575-MAX(0, VERI_TABANI!D23-VERI_TABANI!D23*B575))*VERI_TABANI!$B$8) + IF(ABS(IF(ISNUMBER(SEARCH("Var", D575)), 1, IF(ISNUMBER(SEARCH("Gri", D575)), -1, 0)))=1, VERI_TABANI!E23*(1-0.928)*VERI_TABANI!$B$9, 0) + (VERI_TABANI!D23*B575*(VERI_TABANI!$B$13-VERI_TABANI!$B$14)*VERI_TABANI!G23) + (VERI_TABANI!D23*C575*(VERI_TABANI!$B$13-VERI_TABANI!$B$15)*VERI_TABANI!G23) + IF(ABS(IF(ISNUMBER(SEARCH("Var", D575)), 1, IF(ISNUMBER(SEARCH("Gri", D575)), -1, 0)))=1, VERI_TABANI!E23*(1-0.928)*0.00206091519919798*VERI_TABANI!G23, 0)) + ((MIN(VERI_TABANI!D24, VERI_TABANI!D24*B575)*VERI_TABANI!$B$7 + MAX(0, VERI_TABANI!D24*B575-VERI_TABANI!D24)*VERI_TABANI!$B$8) + (MIN(MAX(0, VERI_TABANI!D24-VERI_TABANI!D24*B575), VERI_TABANI!D24*C575)*VERI_TABANI!$B$7 + MAX(0, VERI_TABANI!D24*C575-MAX(0, VERI_TABANI!D24-VERI_TABANI!D24*B575))*VERI_TABANI!$B$8) + IF(ABS(IF(ISNUMBER(SEARCH("Var", D575)), 1, IF(ISNUMBER(SEARCH("Gri", D575)), -1, 0)))=1, VERI_TABANI!E24*(1-0.928)*VERI_TABANI!$B$9, 0) + (VERI_TABANI!D24*B575*(VERI_TABANI!$B$13-VERI_TABANI!$B$14)*VERI_TABANI!G24) + (VERI_TABANI!D24*C575*(VERI_TABANI!$B$13-VERI_TABANI!$B$15)*VERI_TABANI!G24) + IF(ABS(IF(ISNUMBER(SEARCH("Var", D575)), 1, IF(ISNUMBER(SEARCH("Gri", D575)), -1, 0)))=1, VERI_TABANI!E24*(1-0.928)*0.00206091519919798*VERI_TABANI!G24, 0)) + ((MIN(VERI_TABANI!D25, VERI_TABANI!D25*B575)*VERI_TABANI!$B$7 + MAX(0, VERI_TABANI!D25*B575-VERI_TABANI!D25)*VERI_TABANI!$B$8) + (MIN(MAX(0, VERI_TABANI!D25-VERI_TABANI!D25*B575), VERI_TABANI!D25*C575)*VERI_TABANI!$B$7 + MAX(0, VERI_TABANI!D25*C575-MAX(0, VERI_TABANI!D25-VERI_TABANI!D25*B575))*VERI_TABANI!$B$8) + IF(ABS(IF(ISNUMBER(SEARCH("Var", D575)), 1, IF(ISNUMBER(SEARCH("Gri", D575)), -1, 0)))=1, VERI_TABANI!E25*(1-0.928)*VERI_TABANI!$B$9, 0) + (VERI_TABANI!D25*B575*(VERI_TABANI!$B$13-VERI_TABANI!$B$14)*VERI_TABANI!G25) + (VERI_TABANI!D25*C575*(VERI_TABANI!$B$13-VERI_TABANI!$B$15)*VERI_TABANI!G25) + IF(ABS(IF(ISNUMBER(SEARCH("Var", D575)), 1, IF(ISNUMBER(SEARCH("Gri", D575)), -1, 0)))=1, VERI_TABANI!E25*(1-0.928)*0.00206091519919798*VERI_TABANI!G25, 0)) + ((MIN(VERI_TABANI!D26, VERI_TABANI!D26*B575)*VERI_TABANI!$B$7 + MAX(0, VERI_TABANI!D26*B575-VERI_TABANI!D26)*VERI_TABANI!$B$8) + (MIN(MAX(0, VERI_TABANI!D26-VERI_TABANI!D26*B575), VERI_TABANI!D26*C575)*VERI_TABANI!$B$7 + MAX(0, VERI_TABANI!D26*C575-MAX(0, VERI_TABANI!D26-VERI_TABANI!D26*B575))*VERI_TABANI!$B$8) + IF(ABS(IF(ISNUMBER(SEARCH("Var", D575)), 1, IF(ISNUMBER(SEARCH("Gri", D575)), -1, 0)))=1, VERI_TABANI!E26*(1-0.928)*VERI_TABANI!$B$9, 0) + (VERI_TABANI!D26*B575*(VERI_TABANI!$B$13-VERI_TABANI!$B$14)*VERI_TABANI!G26) + (VERI_TABANI!D26*C575*(VERI_TABANI!$B$13-VERI_TABANI!$B$15)*VERI_TABANI!G26) + IF(ABS(IF(ISNUMBER(SEARCH("Var", D575)), 1, IF(ISNUMBER(SEARCH("Gri", D575)), -1, 0)))=1, VERI_TABANI!E26*(1-0.928)*0.00206091519919798*VERI_TABANI!G26, 0)) + ((MIN(VERI_TABANI!D27, VERI_TABANI!D27*B575)*VERI_TABANI!$B$7 + MAX(0, VERI_TABANI!D27*B575-VERI_TABANI!D27)*VERI_TABANI!$B$8) + (MIN(MAX(0, VERI_TABANI!D27-VERI_TABANI!D27*B575), VERI_TABANI!D27*C575)*VERI_TABANI!$B$7 + MAX(0, VERI_TABANI!D27*C575-MAX(0, VERI_TABANI!D27-VERI_TABANI!D27*B575))*VERI_TABANI!$B$8) + IF(ABS(IF(ISNUMBER(SEARCH("Var", D575)), 1, IF(ISNUMBER(SEARCH("Gri", D575)), -1, 0)))=1, VERI_TABANI!E27*(1-0.928)*VERI_TABANI!$B$9, 0) + (VERI_TABANI!D27*B575*(VERI_TABANI!$B$13-VERI_TABANI!$B$14)*VERI_TABANI!G27) + (VERI_TABANI!D27*C575*(VERI_TABANI!$B$13-VERI_TABANI!$B$15)*VERI_TABANI!G27) + IF(ABS(IF(ISNUMBER(SEARCH("Var", D575)), 1, IF(ISNUMBER(SEARCH("Gri", D575)), -1, 0)))=1, VERI_TABANI!E27*(1-0.928)*0.00206091519919798*VERI_TABANI!G27, 0)) + ((MIN(VERI_TABANI!D28, VERI_TABANI!D28*B575)*VERI_TABANI!$B$7 + MAX(0, VERI_TABANI!D28*B575-VERI_TABANI!D28)*VERI_TABANI!$B$8) + (MIN(MAX(0, VERI_TABANI!D28-VERI_TABANI!D28*B575), VERI_TABANI!D28*C575)*VERI_TABANI!$B$7 + MAX(0, VERI_TABANI!D28*C575-MAX(0, VERI_TABANI!D28-VERI_TABANI!D28*B575))*VERI_TABANI!$B$8) + IF(ABS(IF(ISNUMBER(SEARCH("Var", D575)), 1, IF(ISNUMBER(SEARCH("Gri", D575)), -1, 0)))=1, VERI_TABANI!E28*(1-0.928)*VERI_TABANI!$B$9, 0) + (VERI_TABANI!D28*B575*(VERI_TABANI!$B$13-VERI_TABANI!$B$14)*VERI_TABANI!G28) + (VERI_TABANI!D28*C575*(VERI_TABANI!$B$13-VERI_TABANI!$B$15)*VERI_TABANI!G28) + IF(ABS(IF(ISNUMBER(SEARCH("Var", D575)), 1, IF(ISNUMBER(SEARCH("Gri", D575)), -1, 0)))=1, VERI_TABANI!E28*(1-0.928)*0.00206091519919798*VERI_TABANI!G28, 0)))</f>
        <v/>
      </c>
      <c r="H575" s="169">
        <f>(((VERI_TABANI!D23*B575*(VERI_TABANI!$B$13-VERI_TABANI!$B$14)) + (VERI_TABANI!D23*C575*(VERI_TABANI!$B$13-VERI_TABANI!$B$15)) + IF(ISNUMBER(SEARCH("Var", D575)), VERI_TABANI!F23*(0.00202-VERI_TABANI!$B$16), IF(ISNUMBER(SEARCH("Gri", D575)), VERI_TABANI!F23*(0.00202-VERI_TABANI!$B$17), 0))) + ((VERI_TABANI!D24*B575*(VERI_TABANI!$B$13-VERI_TABANI!$B$14)) + (VERI_TABANI!D24*C575*(VERI_TABANI!$B$13-VERI_TABANI!$B$15)) + IF(ISNUMBER(SEARCH("Var", D575)), VERI_TABANI!F24*(0.00202-VERI_TABANI!$B$16), IF(ISNUMBER(SEARCH("Gri", D575)), VERI_TABANI!F24*(0.00202-VERI_TABANI!$B$17), 0))) + ((VERI_TABANI!D25*B575*(VERI_TABANI!$B$13-VERI_TABANI!$B$14)) + (VERI_TABANI!D25*C575*(VERI_TABANI!$B$13-VERI_TABANI!$B$15)) + IF(ISNUMBER(SEARCH("Var", D575)), VERI_TABANI!F25*(0.00202-VERI_TABANI!$B$16), IF(ISNUMBER(SEARCH("Gri", D575)), VERI_TABANI!F25*(0.00202-VERI_TABANI!$B$17), 0))) + ((VERI_TABANI!D26*B575*(VERI_TABANI!$B$13-VERI_TABANI!$B$14)) + (VERI_TABANI!D26*C575*(VERI_TABANI!$B$13-VERI_TABANI!$B$15)) + IF(ISNUMBER(SEARCH("Var", D575)), VERI_TABANI!F26*(0.00202-VERI_TABANI!$B$16), IF(ISNUMBER(SEARCH("Gri", D575)), VERI_TABANI!F26*(0.00202-VERI_TABANI!$B$17), 0))) + ((VERI_TABANI!D27*B575*(VERI_TABANI!$B$13-VERI_TABANI!$B$14)) + (VERI_TABANI!D27*C575*(VERI_TABANI!$B$13-VERI_TABANI!$B$15)) + IF(ISNUMBER(SEARCH("Var", D575)), VERI_TABANI!F27*(0.00202-VERI_TABANI!$B$16), IF(ISNUMBER(SEARCH("Gri", D575)), VERI_TABANI!F27*(0.00202-VERI_TABANI!$B$17), 0))) + ((VERI_TABANI!D28*B575*(VERI_TABANI!$B$13-VERI_TABANI!$B$14)) + (VERI_TABANI!D28*C575*(VERI_TABANI!$B$13-VERI_TABANI!$B$15)) + IF(ISNUMBER(SEARCH("Var", D575)), VERI_TABANI!F28*(0.00202-VERI_TABANI!$B$16), IF(ISNUMBER(SEARCH("Gri", D575)), VERI_TABANI!F28*(0.00202-VERI_TABANI!$B$17), 0))))</f>
        <v/>
      </c>
      <c r="I575" s="170">
        <f>IFERROR(((VERI_TABANI!$D$29*B575*VERI_TABANI!$B$14 + VERI_TABANI!$D$29*C575*VERI_TABANI!$B$15 + IF(ISNUMBER(SEARCH("Var", D575)), VERI_TABANI!$F$29*VERI_TABANI!$B$16, 0))) / (((VERI_TABANI!$D$29*B575 + VERI_TABANI!$D$29*C575)*VERI_TABANI!$B$13 + IF(ISNUMBER(SEARCH("Var", D575)), VERI_TABANI!$E$29*(1-0.928)*VERI_TABANI!$B$18, 0))), 0)</f>
        <v/>
      </c>
      <c r="J575" s="171">
        <f>IFERROR(F575/(G575/29), 0)</f>
        <v/>
      </c>
      <c r="K575" s="172">
        <f>IF(F575&gt;0, H575/F575, 0)</f>
        <v/>
      </c>
      <c r="L575" s="170">
        <f>IF(F575&gt;0, I575, 1000000000)</f>
        <v/>
      </c>
      <c r="M575" s="171">
        <f>ABS((B575+C575)-1)</f>
        <v/>
      </c>
      <c r="N575" s="170">
        <f>IF(F575&gt;0, (G575/29)/F575, 0)</f>
        <v/>
      </c>
      <c r="O575" s="168">
        <f>IF(AND((B575+C575)&gt;=1, ISNUMBER(SEARCH("Var", D575))), F575, 1000000000)</f>
        <v/>
      </c>
      <c r="P575" s="172">
        <f>IF(F575&gt;0, SQRT((F575/MAX(F$5:F$886))^2 + (1 - H575/MAX(H$5:H$886))^2 + (J575/MAX(J$5:J$886))^2), 1000000000)</f>
        <v/>
      </c>
      <c r="Q575" s="166">
        <f>IF(AND(ABS(B575-0.5)&lt;0.01, ABS(C575-0.5)&lt;0.01, ISNUMBER(SEARCH("Var", D575))), 1, 0)</f>
        <v/>
      </c>
      <c r="R575" s="171">
        <f>IF(F575&gt;0, J575, 1000000000)</f>
        <v/>
      </c>
      <c r="S575" s="101">
        <f>IF(AND(F575&lt;=DASHBOARD!$B$11, H575&gt;=DASHBOARD!$B$13), G575, -1000000000000)</f>
        <v/>
      </c>
      <c r="T575" s="101">
        <f>IF(AND(F575&lt;=DASHBOARD!$B$11, H575&gt;=DASHBOARD!$B$13), R575, 1000000000000)</f>
        <v/>
      </c>
      <c r="U575" s="101">
        <f>IF(AND(F575&lt;=DASHBOARD!$B$11, H575&gt;=DASHBOARD!$B$13), N575, -1000000000000)</f>
        <v/>
      </c>
      <c r="V575" s="101">
        <f>IF(AND(F575&lt;=DASHBOARD!$B$11, H575&gt;=DASHBOARD!$B$13), H575, -1000000000000)</f>
        <v/>
      </c>
      <c r="W575" s="101">
        <f>IF(AND(F575&lt;=DASHBOARD!$B$11, H575&gt;=DASHBOARD!$B$13), K575, -1000000000000)</f>
        <v/>
      </c>
      <c r="X575" s="101">
        <f>IF(AND(F575&lt;=DASHBOARD!$B$11, H575&gt;=DASHBOARD!$B$13), M575, 1000000000000)</f>
        <v/>
      </c>
      <c r="Y575" s="101">
        <f>IF(AND(F575&lt;=DASHBOARD!$B$10, H575&gt;=DASHBOARD!$B$11), L575, 1000000000000)</f>
        <v/>
      </c>
      <c r="Z575" s="101">
        <f>IF(AND(F575&lt;=DASHBOARD!$B$10, H575&gt;=DASHBOARD!$B$11), O575, 1000000000000)</f>
        <v/>
      </c>
      <c r="AA575" s="101">
        <f>IF(AND(F575&lt;=DASHBOARD!$B$10, H575&gt;=DASHBOARD!$B$11), P575, 1000000000000)</f>
        <v/>
      </c>
      <c r="AB575" s="101">
        <f>IF(AND(F575&lt;=DASHBOARD!$B$10, H575&gt;=DASHBOARD!$B$11), Q575, -1000000000000)</f>
        <v/>
      </c>
    </row>
    <row r="576" ht="15" customHeight="1" s="102">
      <c r="A576" s="166" t="n">
        <v>572</v>
      </c>
      <c r="B576" s="167" t="n">
        <v>1.3</v>
      </c>
      <c r="C576" s="167" t="n">
        <v>1.2</v>
      </c>
      <c r="D576" s="110" t="inlineStr">
        <is>
          <t>Var (%20)</t>
        </is>
      </c>
      <c r="E576" s="110">
        <f>IF((B576+C576)&lt;=1, "Tam Mahsuplaşma (≤%100)", "Kısmi Satış (&gt;%100)")</f>
        <v/>
      </c>
      <c r="F576" s="168">
        <f>((VERI_TABANI!$D$29*B576/VERI_TABANI!$B$29)/VERI_TABANI!$B$3)*VERI_TABANI!$B$5 + ((VERI_TABANI!$D$29*C576/VERI_TABANI!$B$29)/VERI_TABANI!$B$4)*VERI_TABANI!$B$6 + IF(ISNUMBER(SEARCH("Var", D576)), (VERI_TABANI!$F$29/VERI_TABANI!$B$29)*(VERI_TABANI!$B$10+VERI_TABANI!$B$12), 0)</f>
        <v/>
      </c>
      <c r="G576" s="168">
        <f>(((MIN(VERI_TABANI!D23, VERI_TABANI!D23*B576)*VERI_TABANI!$B$7 + MAX(0, VERI_TABANI!D23*B576-VERI_TABANI!D23)*VERI_TABANI!$B$8) + (MIN(MAX(0, VERI_TABANI!D23-VERI_TABANI!D23*B576), VERI_TABANI!D23*C576)*VERI_TABANI!$B$7 + MAX(0, VERI_TABANI!D23*C576-MAX(0, VERI_TABANI!D23-VERI_TABANI!D23*B576))*VERI_TABANI!$B$8) + IF(ABS(IF(ISNUMBER(SEARCH("Var", D576)), 1, IF(ISNUMBER(SEARCH("Gri", D576)), -1, 0)))=1, VERI_TABANI!E23*(1-0.928)*VERI_TABANI!$B$9, 0) + (VERI_TABANI!D23*B576*(VERI_TABANI!$B$13-VERI_TABANI!$B$14)*VERI_TABANI!G23) + (VERI_TABANI!D23*C576*(VERI_TABANI!$B$13-VERI_TABANI!$B$15)*VERI_TABANI!G23) + IF(ABS(IF(ISNUMBER(SEARCH("Var", D576)), 1, IF(ISNUMBER(SEARCH("Gri", D576)), -1, 0)))=1, VERI_TABANI!E23*(1-0.928)*0.00206091519919798*VERI_TABANI!G23, 0)) + ((MIN(VERI_TABANI!D24, VERI_TABANI!D24*B576)*VERI_TABANI!$B$7 + MAX(0, VERI_TABANI!D24*B576-VERI_TABANI!D24)*VERI_TABANI!$B$8) + (MIN(MAX(0, VERI_TABANI!D24-VERI_TABANI!D24*B576), VERI_TABANI!D24*C576)*VERI_TABANI!$B$7 + MAX(0, VERI_TABANI!D24*C576-MAX(0, VERI_TABANI!D24-VERI_TABANI!D24*B576))*VERI_TABANI!$B$8) + IF(ABS(IF(ISNUMBER(SEARCH("Var", D576)), 1, IF(ISNUMBER(SEARCH("Gri", D576)), -1, 0)))=1, VERI_TABANI!E24*(1-0.928)*VERI_TABANI!$B$9, 0) + (VERI_TABANI!D24*B576*(VERI_TABANI!$B$13-VERI_TABANI!$B$14)*VERI_TABANI!G24) + (VERI_TABANI!D24*C576*(VERI_TABANI!$B$13-VERI_TABANI!$B$15)*VERI_TABANI!G24) + IF(ABS(IF(ISNUMBER(SEARCH("Var", D576)), 1, IF(ISNUMBER(SEARCH("Gri", D576)), -1, 0)))=1, VERI_TABANI!E24*(1-0.928)*0.00206091519919798*VERI_TABANI!G24, 0)) + ((MIN(VERI_TABANI!D25, VERI_TABANI!D25*B576)*VERI_TABANI!$B$7 + MAX(0, VERI_TABANI!D25*B576-VERI_TABANI!D25)*VERI_TABANI!$B$8) + (MIN(MAX(0, VERI_TABANI!D25-VERI_TABANI!D25*B576), VERI_TABANI!D25*C576)*VERI_TABANI!$B$7 + MAX(0, VERI_TABANI!D25*C576-MAX(0, VERI_TABANI!D25-VERI_TABANI!D25*B576))*VERI_TABANI!$B$8) + IF(ABS(IF(ISNUMBER(SEARCH("Var", D576)), 1, IF(ISNUMBER(SEARCH("Gri", D576)), -1, 0)))=1, VERI_TABANI!E25*(1-0.928)*VERI_TABANI!$B$9, 0) + (VERI_TABANI!D25*B576*(VERI_TABANI!$B$13-VERI_TABANI!$B$14)*VERI_TABANI!G25) + (VERI_TABANI!D25*C576*(VERI_TABANI!$B$13-VERI_TABANI!$B$15)*VERI_TABANI!G25) + IF(ABS(IF(ISNUMBER(SEARCH("Var", D576)), 1, IF(ISNUMBER(SEARCH("Gri", D576)), -1, 0)))=1, VERI_TABANI!E25*(1-0.928)*0.00206091519919798*VERI_TABANI!G25, 0)) + ((MIN(VERI_TABANI!D26, VERI_TABANI!D26*B576)*VERI_TABANI!$B$7 + MAX(0, VERI_TABANI!D26*B576-VERI_TABANI!D26)*VERI_TABANI!$B$8) + (MIN(MAX(0, VERI_TABANI!D26-VERI_TABANI!D26*B576), VERI_TABANI!D26*C576)*VERI_TABANI!$B$7 + MAX(0, VERI_TABANI!D26*C576-MAX(0, VERI_TABANI!D26-VERI_TABANI!D26*B576))*VERI_TABANI!$B$8) + IF(ABS(IF(ISNUMBER(SEARCH("Var", D576)), 1, IF(ISNUMBER(SEARCH("Gri", D576)), -1, 0)))=1, VERI_TABANI!E26*(1-0.928)*VERI_TABANI!$B$9, 0) + (VERI_TABANI!D26*B576*(VERI_TABANI!$B$13-VERI_TABANI!$B$14)*VERI_TABANI!G26) + (VERI_TABANI!D26*C576*(VERI_TABANI!$B$13-VERI_TABANI!$B$15)*VERI_TABANI!G26) + IF(ABS(IF(ISNUMBER(SEARCH("Var", D576)), 1, IF(ISNUMBER(SEARCH("Gri", D576)), -1, 0)))=1, VERI_TABANI!E26*(1-0.928)*0.00206091519919798*VERI_TABANI!G26, 0)) + ((MIN(VERI_TABANI!D27, VERI_TABANI!D27*B576)*VERI_TABANI!$B$7 + MAX(0, VERI_TABANI!D27*B576-VERI_TABANI!D27)*VERI_TABANI!$B$8) + (MIN(MAX(0, VERI_TABANI!D27-VERI_TABANI!D27*B576), VERI_TABANI!D27*C576)*VERI_TABANI!$B$7 + MAX(0, VERI_TABANI!D27*C576-MAX(0, VERI_TABANI!D27-VERI_TABANI!D27*B576))*VERI_TABANI!$B$8) + IF(ABS(IF(ISNUMBER(SEARCH("Var", D576)), 1, IF(ISNUMBER(SEARCH("Gri", D576)), -1, 0)))=1, VERI_TABANI!E27*(1-0.928)*VERI_TABANI!$B$9, 0) + (VERI_TABANI!D27*B576*(VERI_TABANI!$B$13-VERI_TABANI!$B$14)*VERI_TABANI!G27) + (VERI_TABANI!D27*C576*(VERI_TABANI!$B$13-VERI_TABANI!$B$15)*VERI_TABANI!G27) + IF(ABS(IF(ISNUMBER(SEARCH("Var", D576)), 1, IF(ISNUMBER(SEARCH("Gri", D576)), -1, 0)))=1, VERI_TABANI!E27*(1-0.928)*0.00206091519919798*VERI_TABANI!G27, 0)) + ((MIN(VERI_TABANI!D28, VERI_TABANI!D28*B576)*VERI_TABANI!$B$7 + MAX(0, VERI_TABANI!D28*B576-VERI_TABANI!D28)*VERI_TABANI!$B$8) + (MIN(MAX(0, VERI_TABANI!D28-VERI_TABANI!D28*B576), VERI_TABANI!D28*C576)*VERI_TABANI!$B$7 + MAX(0, VERI_TABANI!D28*C576-MAX(0, VERI_TABANI!D28-VERI_TABANI!D28*B576))*VERI_TABANI!$B$8) + IF(ABS(IF(ISNUMBER(SEARCH("Var", D576)), 1, IF(ISNUMBER(SEARCH("Gri", D576)), -1, 0)))=1, VERI_TABANI!E28*(1-0.928)*VERI_TABANI!$B$9, 0) + (VERI_TABANI!D28*B576*(VERI_TABANI!$B$13-VERI_TABANI!$B$14)*VERI_TABANI!G28) + (VERI_TABANI!D28*C576*(VERI_TABANI!$B$13-VERI_TABANI!$B$15)*VERI_TABANI!G28) + IF(ABS(IF(ISNUMBER(SEARCH("Var", D576)), 1, IF(ISNUMBER(SEARCH("Gri", D576)), -1, 0)))=1, VERI_TABANI!E28*(1-0.928)*0.00206091519919798*VERI_TABANI!G28, 0)))</f>
        <v/>
      </c>
      <c r="H576" s="169">
        <f>(((VERI_TABANI!D23*B576*(VERI_TABANI!$B$13-VERI_TABANI!$B$14)) + (VERI_TABANI!D23*C576*(VERI_TABANI!$B$13-VERI_TABANI!$B$15)) + IF(ISNUMBER(SEARCH("Var", D576)), VERI_TABANI!F23*(0.00202-VERI_TABANI!$B$16), IF(ISNUMBER(SEARCH("Gri", D576)), VERI_TABANI!F23*(0.00202-VERI_TABANI!$B$17), 0))) + ((VERI_TABANI!D24*B576*(VERI_TABANI!$B$13-VERI_TABANI!$B$14)) + (VERI_TABANI!D24*C576*(VERI_TABANI!$B$13-VERI_TABANI!$B$15)) + IF(ISNUMBER(SEARCH("Var", D576)), VERI_TABANI!F24*(0.00202-VERI_TABANI!$B$16), IF(ISNUMBER(SEARCH("Gri", D576)), VERI_TABANI!F24*(0.00202-VERI_TABANI!$B$17), 0))) + ((VERI_TABANI!D25*B576*(VERI_TABANI!$B$13-VERI_TABANI!$B$14)) + (VERI_TABANI!D25*C576*(VERI_TABANI!$B$13-VERI_TABANI!$B$15)) + IF(ISNUMBER(SEARCH("Var", D576)), VERI_TABANI!F25*(0.00202-VERI_TABANI!$B$16), IF(ISNUMBER(SEARCH("Gri", D576)), VERI_TABANI!F25*(0.00202-VERI_TABANI!$B$17), 0))) + ((VERI_TABANI!D26*B576*(VERI_TABANI!$B$13-VERI_TABANI!$B$14)) + (VERI_TABANI!D26*C576*(VERI_TABANI!$B$13-VERI_TABANI!$B$15)) + IF(ISNUMBER(SEARCH("Var", D576)), VERI_TABANI!F26*(0.00202-VERI_TABANI!$B$16), IF(ISNUMBER(SEARCH("Gri", D576)), VERI_TABANI!F26*(0.00202-VERI_TABANI!$B$17), 0))) + ((VERI_TABANI!D27*B576*(VERI_TABANI!$B$13-VERI_TABANI!$B$14)) + (VERI_TABANI!D27*C576*(VERI_TABANI!$B$13-VERI_TABANI!$B$15)) + IF(ISNUMBER(SEARCH("Var", D576)), VERI_TABANI!F27*(0.00202-VERI_TABANI!$B$16), IF(ISNUMBER(SEARCH("Gri", D576)), VERI_TABANI!F27*(0.00202-VERI_TABANI!$B$17), 0))) + ((VERI_TABANI!D28*B576*(VERI_TABANI!$B$13-VERI_TABANI!$B$14)) + (VERI_TABANI!D28*C576*(VERI_TABANI!$B$13-VERI_TABANI!$B$15)) + IF(ISNUMBER(SEARCH("Var", D576)), VERI_TABANI!F28*(0.00202-VERI_TABANI!$B$16), IF(ISNUMBER(SEARCH("Gri", D576)), VERI_TABANI!F28*(0.00202-VERI_TABANI!$B$17), 0))))</f>
        <v/>
      </c>
      <c r="I576" s="170">
        <f>IFERROR(((VERI_TABANI!$D$29*B576*VERI_TABANI!$B$14 + VERI_TABANI!$D$29*C576*VERI_TABANI!$B$15 + IF(ISNUMBER(SEARCH("Var", D576)), VERI_TABANI!$F$29*VERI_TABANI!$B$16, 0))) / (((VERI_TABANI!$D$29*B576 + VERI_TABANI!$D$29*C576)*VERI_TABANI!$B$13 + IF(ISNUMBER(SEARCH("Var", D576)), VERI_TABANI!$E$29*(1-0.928)*VERI_TABANI!$B$18, 0))), 0)</f>
        <v/>
      </c>
      <c r="J576" s="171">
        <f>IFERROR(F576/(G576/29), 0)</f>
        <v/>
      </c>
      <c r="K576" s="172">
        <f>IF(F576&gt;0, H576/F576, 0)</f>
        <v/>
      </c>
      <c r="L576" s="170">
        <f>IF(F576&gt;0, I576, 1000000000)</f>
        <v/>
      </c>
      <c r="M576" s="171">
        <f>ABS((B576+C576)-1)</f>
        <v/>
      </c>
      <c r="N576" s="170">
        <f>IF(F576&gt;0, (G576/29)/F576, 0)</f>
        <v/>
      </c>
      <c r="O576" s="168">
        <f>IF(AND((B576+C576)&gt;=1, ISNUMBER(SEARCH("Var", D576))), F576, 1000000000)</f>
        <v/>
      </c>
      <c r="P576" s="172">
        <f>IF(F576&gt;0, SQRT((F576/MAX(F$5:F$886))^2 + (1 - H576/MAX(H$5:H$886))^2 + (J576/MAX(J$5:J$886))^2), 1000000000)</f>
        <v/>
      </c>
      <c r="Q576" s="166">
        <f>IF(AND(ABS(B576-0.5)&lt;0.01, ABS(C576-0.5)&lt;0.01, ISNUMBER(SEARCH("Var", D576))), 1, 0)</f>
        <v/>
      </c>
      <c r="R576" s="171">
        <f>IF(F576&gt;0, J576, 1000000000)</f>
        <v/>
      </c>
      <c r="S576" s="101">
        <f>IF(AND(F576&lt;=DASHBOARD!$B$11, H576&gt;=DASHBOARD!$B$13), G576, -1000000000000)</f>
        <v/>
      </c>
      <c r="T576" s="101">
        <f>IF(AND(F576&lt;=DASHBOARD!$B$11, H576&gt;=DASHBOARD!$B$13), R576, 1000000000000)</f>
        <v/>
      </c>
      <c r="U576" s="101">
        <f>IF(AND(F576&lt;=DASHBOARD!$B$11, H576&gt;=DASHBOARD!$B$13), N576, -1000000000000)</f>
        <v/>
      </c>
      <c r="V576" s="101">
        <f>IF(AND(F576&lt;=DASHBOARD!$B$11, H576&gt;=DASHBOARD!$B$13), H576, -1000000000000)</f>
        <v/>
      </c>
      <c r="W576" s="101">
        <f>IF(AND(F576&lt;=DASHBOARD!$B$11, H576&gt;=DASHBOARD!$B$13), K576, -1000000000000)</f>
        <v/>
      </c>
      <c r="X576" s="101">
        <f>IF(AND(F576&lt;=DASHBOARD!$B$11, H576&gt;=DASHBOARD!$B$13), M576, 1000000000000)</f>
        <v/>
      </c>
      <c r="Y576" s="101">
        <f>IF(AND(F576&lt;=DASHBOARD!$B$10, H576&gt;=DASHBOARD!$B$11), L576, 1000000000000)</f>
        <v/>
      </c>
      <c r="Z576" s="101">
        <f>IF(AND(F576&lt;=DASHBOARD!$B$10, H576&gt;=DASHBOARD!$B$11), O576, 1000000000000)</f>
        <v/>
      </c>
      <c r="AA576" s="101">
        <f>IF(AND(F576&lt;=DASHBOARD!$B$10, H576&gt;=DASHBOARD!$B$11), P576, 1000000000000)</f>
        <v/>
      </c>
      <c r="AB576" s="101">
        <f>IF(AND(F576&lt;=DASHBOARD!$B$10, H576&gt;=DASHBOARD!$B$11), Q576, -1000000000000)</f>
        <v/>
      </c>
    </row>
    <row r="577" ht="15" customHeight="1" s="102">
      <c r="A577" s="166" t="n">
        <v>573</v>
      </c>
      <c r="B577" s="167" t="n">
        <v>1.3</v>
      </c>
      <c r="C577" s="167" t="n">
        <v>1.3</v>
      </c>
      <c r="D577" s="110" t="inlineStr">
        <is>
          <t>Yok (%0)</t>
        </is>
      </c>
      <c r="E577" s="110">
        <f>IF((B577+C577)&lt;=1, "Tam Mahsuplaşma (≤%100)", "Kısmi Satış (&gt;%100)")</f>
        <v/>
      </c>
      <c r="F577" s="168">
        <f>((VERI_TABANI!$D$29*B577/VERI_TABANI!$B$29)/VERI_TABANI!$B$3)*VERI_TABANI!$B$5 + ((VERI_TABANI!$D$29*C577/VERI_TABANI!$B$29)/VERI_TABANI!$B$4)*VERI_TABANI!$B$6 + IF(ISNUMBER(SEARCH("Var", D577)), (VERI_TABANI!$F$29/VERI_TABANI!$B$29)*(VERI_TABANI!$B$10+VERI_TABANI!$B$12), 0)</f>
        <v/>
      </c>
      <c r="G577" s="168">
        <f>(((MIN(VERI_TABANI!D23, VERI_TABANI!D23*B577)*VERI_TABANI!$B$7 + MAX(0, VERI_TABANI!D23*B577-VERI_TABANI!D23)*VERI_TABANI!$B$8) + (MIN(MAX(0, VERI_TABANI!D23-VERI_TABANI!D23*B577), VERI_TABANI!D23*C577)*VERI_TABANI!$B$7 + MAX(0, VERI_TABANI!D23*C577-MAX(0, VERI_TABANI!D23-VERI_TABANI!D23*B577))*VERI_TABANI!$B$8) + IF(ABS(IF(ISNUMBER(SEARCH("Var", D577)), 1, IF(ISNUMBER(SEARCH("Gri", D577)), -1, 0)))=1, VERI_TABANI!E23*(1-0.928)*VERI_TABANI!$B$9, 0) + (VERI_TABANI!D23*B577*(VERI_TABANI!$B$13-VERI_TABANI!$B$14)*VERI_TABANI!G23) + (VERI_TABANI!D23*C577*(VERI_TABANI!$B$13-VERI_TABANI!$B$15)*VERI_TABANI!G23) + IF(ABS(IF(ISNUMBER(SEARCH("Var", D577)), 1, IF(ISNUMBER(SEARCH("Gri", D577)), -1, 0)))=1, VERI_TABANI!E23*(1-0.928)*0.00206091519919798*VERI_TABANI!G23, 0)) + ((MIN(VERI_TABANI!D24, VERI_TABANI!D24*B577)*VERI_TABANI!$B$7 + MAX(0, VERI_TABANI!D24*B577-VERI_TABANI!D24)*VERI_TABANI!$B$8) + (MIN(MAX(0, VERI_TABANI!D24-VERI_TABANI!D24*B577), VERI_TABANI!D24*C577)*VERI_TABANI!$B$7 + MAX(0, VERI_TABANI!D24*C577-MAX(0, VERI_TABANI!D24-VERI_TABANI!D24*B577))*VERI_TABANI!$B$8) + IF(ABS(IF(ISNUMBER(SEARCH("Var", D577)), 1, IF(ISNUMBER(SEARCH("Gri", D577)), -1, 0)))=1, VERI_TABANI!E24*(1-0.928)*VERI_TABANI!$B$9, 0) + (VERI_TABANI!D24*B577*(VERI_TABANI!$B$13-VERI_TABANI!$B$14)*VERI_TABANI!G24) + (VERI_TABANI!D24*C577*(VERI_TABANI!$B$13-VERI_TABANI!$B$15)*VERI_TABANI!G24) + IF(ABS(IF(ISNUMBER(SEARCH("Var", D577)), 1, IF(ISNUMBER(SEARCH("Gri", D577)), -1, 0)))=1, VERI_TABANI!E24*(1-0.928)*0.00206091519919798*VERI_TABANI!G24, 0)) + ((MIN(VERI_TABANI!D25, VERI_TABANI!D25*B577)*VERI_TABANI!$B$7 + MAX(0, VERI_TABANI!D25*B577-VERI_TABANI!D25)*VERI_TABANI!$B$8) + (MIN(MAX(0, VERI_TABANI!D25-VERI_TABANI!D25*B577), VERI_TABANI!D25*C577)*VERI_TABANI!$B$7 + MAX(0, VERI_TABANI!D25*C577-MAX(0, VERI_TABANI!D25-VERI_TABANI!D25*B577))*VERI_TABANI!$B$8) + IF(ABS(IF(ISNUMBER(SEARCH("Var", D577)), 1, IF(ISNUMBER(SEARCH("Gri", D577)), -1, 0)))=1, VERI_TABANI!E25*(1-0.928)*VERI_TABANI!$B$9, 0) + (VERI_TABANI!D25*B577*(VERI_TABANI!$B$13-VERI_TABANI!$B$14)*VERI_TABANI!G25) + (VERI_TABANI!D25*C577*(VERI_TABANI!$B$13-VERI_TABANI!$B$15)*VERI_TABANI!G25) + IF(ABS(IF(ISNUMBER(SEARCH("Var", D577)), 1, IF(ISNUMBER(SEARCH("Gri", D577)), -1, 0)))=1, VERI_TABANI!E25*(1-0.928)*0.00206091519919798*VERI_TABANI!G25, 0)) + ((MIN(VERI_TABANI!D26, VERI_TABANI!D26*B577)*VERI_TABANI!$B$7 + MAX(0, VERI_TABANI!D26*B577-VERI_TABANI!D26)*VERI_TABANI!$B$8) + (MIN(MAX(0, VERI_TABANI!D26-VERI_TABANI!D26*B577), VERI_TABANI!D26*C577)*VERI_TABANI!$B$7 + MAX(0, VERI_TABANI!D26*C577-MAX(0, VERI_TABANI!D26-VERI_TABANI!D26*B577))*VERI_TABANI!$B$8) + IF(ABS(IF(ISNUMBER(SEARCH("Var", D577)), 1, IF(ISNUMBER(SEARCH("Gri", D577)), -1, 0)))=1, VERI_TABANI!E26*(1-0.928)*VERI_TABANI!$B$9, 0) + (VERI_TABANI!D26*B577*(VERI_TABANI!$B$13-VERI_TABANI!$B$14)*VERI_TABANI!G26) + (VERI_TABANI!D26*C577*(VERI_TABANI!$B$13-VERI_TABANI!$B$15)*VERI_TABANI!G26) + IF(ABS(IF(ISNUMBER(SEARCH("Var", D577)), 1, IF(ISNUMBER(SEARCH("Gri", D577)), -1, 0)))=1, VERI_TABANI!E26*(1-0.928)*0.00206091519919798*VERI_TABANI!G26, 0)) + ((MIN(VERI_TABANI!D27, VERI_TABANI!D27*B577)*VERI_TABANI!$B$7 + MAX(0, VERI_TABANI!D27*B577-VERI_TABANI!D27)*VERI_TABANI!$B$8) + (MIN(MAX(0, VERI_TABANI!D27-VERI_TABANI!D27*B577), VERI_TABANI!D27*C577)*VERI_TABANI!$B$7 + MAX(0, VERI_TABANI!D27*C577-MAX(0, VERI_TABANI!D27-VERI_TABANI!D27*B577))*VERI_TABANI!$B$8) + IF(ABS(IF(ISNUMBER(SEARCH("Var", D577)), 1, IF(ISNUMBER(SEARCH("Gri", D577)), -1, 0)))=1, VERI_TABANI!E27*(1-0.928)*VERI_TABANI!$B$9, 0) + (VERI_TABANI!D27*B577*(VERI_TABANI!$B$13-VERI_TABANI!$B$14)*VERI_TABANI!G27) + (VERI_TABANI!D27*C577*(VERI_TABANI!$B$13-VERI_TABANI!$B$15)*VERI_TABANI!G27) + IF(ABS(IF(ISNUMBER(SEARCH("Var", D577)), 1, IF(ISNUMBER(SEARCH("Gri", D577)), -1, 0)))=1, VERI_TABANI!E27*(1-0.928)*0.00206091519919798*VERI_TABANI!G27, 0)) + ((MIN(VERI_TABANI!D28, VERI_TABANI!D28*B577)*VERI_TABANI!$B$7 + MAX(0, VERI_TABANI!D28*B577-VERI_TABANI!D28)*VERI_TABANI!$B$8) + (MIN(MAX(0, VERI_TABANI!D28-VERI_TABANI!D28*B577), VERI_TABANI!D28*C577)*VERI_TABANI!$B$7 + MAX(0, VERI_TABANI!D28*C577-MAX(0, VERI_TABANI!D28-VERI_TABANI!D28*B577))*VERI_TABANI!$B$8) + IF(ABS(IF(ISNUMBER(SEARCH("Var", D577)), 1, IF(ISNUMBER(SEARCH("Gri", D577)), -1, 0)))=1, VERI_TABANI!E28*(1-0.928)*VERI_TABANI!$B$9, 0) + (VERI_TABANI!D28*B577*(VERI_TABANI!$B$13-VERI_TABANI!$B$14)*VERI_TABANI!G28) + (VERI_TABANI!D28*C577*(VERI_TABANI!$B$13-VERI_TABANI!$B$15)*VERI_TABANI!G28) + IF(ABS(IF(ISNUMBER(SEARCH("Var", D577)), 1, IF(ISNUMBER(SEARCH("Gri", D577)), -1, 0)))=1, VERI_TABANI!E28*(1-0.928)*0.00206091519919798*VERI_TABANI!G28, 0)))</f>
        <v/>
      </c>
      <c r="H577" s="169">
        <f>(((VERI_TABANI!D23*B577*(VERI_TABANI!$B$13-VERI_TABANI!$B$14)) + (VERI_TABANI!D23*C577*(VERI_TABANI!$B$13-VERI_TABANI!$B$15)) + IF(ISNUMBER(SEARCH("Var", D577)), VERI_TABANI!F23*(0.00202-VERI_TABANI!$B$16), IF(ISNUMBER(SEARCH("Gri", D577)), VERI_TABANI!F23*(0.00202-VERI_TABANI!$B$17), 0))) + ((VERI_TABANI!D24*B577*(VERI_TABANI!$B$13-VERI_TABANI!$B$14)) + (VERI_TABANI!D24*C577*(VERI_TABANI!$B$13-VERI_TABANI!$B$15)) + IF(ISNUMBER(SEARCH("Var", D577)), VERI_TABANI!F24*(0.00202-VERI_TABANI!$B$16), IF(ISNUMBER(SEARCH("Gri", D577)), VERI_TABANI!F24*(0.00202-VERI_TABANI!$B$17), 0))) + ((VERI_TABANI!D25*B577*(VERI_TABANI!$B$13-VERI_TABANI!$B$14)) + (VERI_TABANI!D25*C577*(VERI_TABANI!$B$13-VERI_TABANI!$B$15)) + IF(ISNUMBER(SEARCH("Var", D577)), VERI_TABANI!F25*(0.00202-VERI_TABANI!$B$16), IF(ISNUMBER(SEARCH("Gri", D577)), VERI_TABANI!F25*(0.00202-VERI_TABANI!$B$17), 0))) + ((VERI_TABANI!D26*B577*(VERI_TABANI!$B$13-VERI_TABANI!$B$14)) + (VERI_TABANI!D26*C577*(VERI_TABANI!$B$13-VERI_TABANI!$B$15)) + IF(ISNUMBER(SEARCH("Var", D577)), VERI_TABANI!F26*(0.00202-VERI_TABANI!$B$16), IF(ISNUMBER(SEARCH("Gri", D577)), VERI_TABANI!F26*(0.00202-VERI_TABANI!$B$17), 0))) + ((VERI_TABANI!D27*B577*(VERI_TABANI!$B$13-VERI_TABANI!$B$14)) + (VERI_TABANI!D27*C577*(VERI_TABANI!$B$13-VERI_TABANI!$B$15)) + IF(ISNUMBER(SEARCH("Var", D577)), VERI_TABANI!F27*(0.00202-VERI_TABANI!$B$16), IF(ISNUMBER(SEARCH("Gri", D577)), VERI_TABANI!F27*(0.00202-VERI_TABANI!$B$17), 0))) + ((VERI_TABANI!D28*B577*(VERI_TABANI!$B$13-VERI_TABANI!$B$14)) + (VERI_TABANI!D28*C577*(VERI_TABANI!$B$13-VERI_TABANI!$B$15)) + IF(ISNUMBER(SEARCH("Var", D577)), VERI_TABANI!F28*(0.00202-VERI_TABANI!$B$16), IF(ISNUMBER(SEARCH("Gri", D577)), VERI_TABANI!F28*(0.00202-VERI_TABANI!$B$17), 0))))</f>
        <v/>
      </c>
      <c r="I577" s="170">
        <f>IFERROR(((VERI_TABANI!$D$29*B577*VERI_TABANI!$B$14 + VERI_TABANI!$D$29*C577*VERI_TABANI!$B$15 + IF(ISNUMBER(SEARCH("Var", D577)), VERI_TABANI!$F$29*VERI_TABANI!$B$16, 0))) / (((VERI_TABANI!$D$29*B577 + VERI_TABANI!$D$29*C577)*VERI_TABANI!$B$13 + IF(ISNUMBER(SEARCH("Var", D577)), VERI_TABANI!$E$29*(1-0.928)*VERI_TABANI!$B$18, 0))), 0)</f>
        <v/>
      </c>
      <c r="J577" s="171">
        <f>IFERROR(F577/(G577/29), 0)</f>
        <v/>
      </c>
      <c r="K577" s="172">
        <f>IF(F577&gt;0, H577/F577, 0)</f>
        <v/>
      </c>
      <c r="L577" s="170">
        <f>IF(F577&gt;0, I577, 1000000000)</f>
        <v/>
      </c>
      <c r="M577" s="171">
        <f>ABS((B577+C577)-1)</f>
        <v/>
      </c>
      <c r="N577" s="170">
        <f>IF(F577&gt;0, (G577/29)/F577, 0)</f>
        <v/>
      </c>
      <c r="O577" s="168">
        <f>IF(AND((B577+C577)&gt;=1, ISNUMBER(SEARCH("Var", D577))), F577, 1000000000)</f>
        <v/>
      </c>
      <c r="P577" s="172">
        <f>IF(F577&gt;0, SQRT((F577/MAX(F$5:F$886))^2 + (1 - H577/MAX(H$5:H$886))^2 + (J577/MAX(J$5:J$886))^2), 1000000000)</f>
        <v/>
      </c>
      <c r="Q577" s="166">
        <f>IF(AND(ABS(B577-0.5)&lt;0.01, ABS(C577-0.5)&lt;0.01, ISNUMBER(SEARCH("Var", D577))), 1, 0)</f>
        <v/>
      </c>
      <c r="R577" s="171">
        <f>IF(F577&gt;0, J577, 1000000000)</f>
        <v/>
      </c>
      <c r="S577" s="101">
        <f>IF(AND(F577&lt;=DASHBOARD!$B$11, H577&gt;=DASHBOARD!$B$13), G577, -1000000000000)</f>
        <v/>
      </c>
      <c r="T577" s="101">
        <f>IF(AND(F577&lt;=DASHBOARD!$B$11, H577&gt;=DASHBOARD!$B$13), R577, 1000000000000)</f>
        <v/>
      </c>
      <c r="U577" s="101">
        <f>IF(AND(F577&lt;=DASHBOARD!$B$11, H577&gt;=DASHBOARD!$B$13), N577, -1000000000000)</f>
        <v/>
      </c>
      <c r="V577" s="101">
        <f>IF(AND(F577&lt;=DASHBOARD!$B$11, H577&gt;=DASHBOARD!$B$13), H577, -1000000000000)</f>
        <v/>
      </c>
      <c r="W577" s="101">
        <f>IF(AND(F577&lt;=DASHBOARD!$B$11, H577&gt;=DASHBOARD!$B$13), K577, -1000000000000)</f>
        <v/>
      </c>
      <c r="X577" s="101">
        <f>IF(AND(F577&lt;=DASHBOARD!$B$11, H577&gt;=DASHBOARD!$B$13), M577, 1000000000000)</f>
        <v/>
      </c>
      <c r="Y577" s="101">
        <f>IF(AND(F577&lt;=DASHBOARD!$B$10, H577&gt;=DASHBOARD!$B$11), L577, 1000000000000)</f>
        <v/>
      </c>
      <c r="Z577" s="101">
        <f>IF(AND(F577&lt;=DASHBOARD!$B$10, H577&gt;=DASHBOARD!$B$11), O577, 1000000000000)</f>
        <v/>
      </c>
      <c r="AA577" s="101">
        <f>IF(AND(F577&lt;=DASHBOARD!$B$10, H577&gt;=DASHBOARD!$B$11), P577, 1000000000000)</f>
        <v/>
      </c>
      <c r="AB577" s="101">
        <f>IF(AND(F577&lt;=DASHBOARD!$B$10, H577&gt;=DASHBOARD!$B$11), Q577, -1000000000000)</f>
        <v/>
      </c>
    </row>
    <row r="578" ht="15" customHeight="1" s="102">
      <c r="A578" s="166" t="n">
        <v>574</v>
      </c>
      <c r="B578" s="167" t="n">
        <v>1.3</v>
      </c>
      <c r="C578" s="167" t="n">
        <v>1.3</v>
      </c>
      <c r="D578" s="110" t="inlineStr">
        <is>
          <t>Var (%20)</t>
        </is>
      </c>
      <c r="E578" s="110">
        <f>IF((B578+C578)&lt;=1, "Tam Mahsuplaşma (≤%100)", "Kısmi Satış (&gt;%100)")</f>
        <v/>
      </c>
      <c r="F578" s="168">
        <f>((VERI_TABANI!$D$29*B578/VERI_TABANI!$B$29)/VERI_TABANI!$B$3)*VERI_TABANI!$B$5 + ((VERI_TABANI!$D$29*C578/VERI_TABANI!$B$29)/VERI_TABANI!$B$4)*VERI_TABANI!$B$6 + IF(ISNUMBER(SEARCH("Var", D578)), (VERI_TABANI!$F$29/VERI_TABANI!$B$29)*(VERI_TABANI!$B$10+VERI_TABANI!$B$12), 0)</f>
        <v/>
      </c>
      <c r="G578" s="168">
        <f>(((MIN(VERI_TABANI!D23, VERI_TABANI!D23*B578)*VERI_TABANI!$B$7 + MAX(0, VERI_TABANI!D23*B578-VERI_TABANI!D23)*VERI_TABANI!$B$8) + (MIN(MAX(0, VERI_TABANI!D23-VERI_TABANI!D23*B578), VERI_TABANI!D23*C578)*VERI_TABANI!$B$7 + MAX(0, VERI_TABANI!D23*C578-MAX(0, VERI_TABANI!D23-VERI_TABANI!D23*B578))*VERI_TABANI!$B$8) + IF(ABS(IF(ISNUMBER(SEARCH("Var", D578)), 1, IF(ISNUMBER(SEARCH("Gri", D578)), -1, 0)))=1, VERI_TABANI!E23*(1-0.928)*VERI_TABANI!$B$9, 0) + (VERI_TABANI!D23*B578*(VERI_TABANI!$B$13-VERI_TABANI!$B$14)*VERI_TABANI!G23) + (VERI_TABANI!D23*C578*(VERI_TABANI!$B$13-VERI_TABANI!$B$15)*VERI_TABANI!G23) + IF(ABS(IF(ISNUMBER(SEARCH("Var", D578)), 1, IF(ISNUMBER(SEARCH("Gri", D578)), -1, 0)))=1, VERI_TABANI!E23*(1-0.928)*0.00206091519919798*VERI_TABANI!G23, 0)) + ((MIN(VERI_TABANI!D24, VERI_TABANI!D24*B578)*VERI_TABANI!$B$7 + MAX(0, VERI_TABANI!D24*B578-VERI_TABANI!D24)*VERI_TABANI!$B$8) + (MIN(MAX(0, VERI_TABANI!D24-VERI_TABANI!D24*B578), VERI_TABANI!D24*C578)*VERI_TABANI!$B$7 + MAX(0, VERI_TABANI!D24*C578-MAX(0, VERI_TABANI!D24-VERI_TABANI!D24*B578))*VERI_TABANI!$B$8) + IF(ABS(IF(ISNUMBER(SEARCH("Var", D578)), 1, IF(ISNUMBER(SEARCH("Gri", D578)), -1, 0)))=1, VERI_TABANI!E24*(1-0.928)*VERI_TABANI!$B$9, 0) + (VERI_TABANI!D24*B578*(VERI_TABANI!$B$13-VERI_TABANI!$B$14)*VERI_TABANI!G24) + (VERI_TABANI!D24*C578*(VERI_TABANI!$B$13-VERI_TABANI!$B$15)*VERI_TABANI!G24) + IF(ABS(IF(ISNUMBER(SEARCH("Var", D578)), 1, IF(ISNUMBER(SEARCH("Gri", D578)), -1, 0)))=1, VERI_TABANI!E24*(1-0.928)*0.00206091519919798*VERI_TABANI!G24, 0)) + ((MIN(VERI_TABANI!D25, VERI_TABANI!D25*B578)*VERI_TABANI!$B$7 + MAX(0, VERI_TABANI!D25*B578-VERI_TABANI!D25)*VERI_TABANI!$B$8) + (MIN(MAX(0, VERI_TABANI!D25-VERI_TABANI!D25*B578), VERI_TABANI!D25*C578)*VERI_TABANI!$B$7 + MAX(0, VERI_TABANI!D25*C578-MAX(0, VERI_TABANI!D25-VERI_TABANI!D25*B578))*VERI_TABANI!$B$8) + IF(ABS(IF(ISNUMBER(SEARCH("Var", D578)), 1, IF(ISNUMBER(SEARCH("Gri", D578)), -1, 0)))=1, VERI_TABANI!E25*(1-0.928)*VERI_TABANI!$B$9, 0) + (VERI_TABANI!D25*B578*(VERI_TABANI!$B$13-VERI_TABANI!$B$14)*VERI_TABANI!G25) + (VERI_TABANI!D25*C578*(VERI_TABANI!$B$13-VERI_TABANI!$B$15)*VERI_TABANI!G25) + IF(ABS(IF(ISNUMBER(SEARCH("Var", D578)), 1, IF(ISNUMBER(SEARCH("Gri", D578)), -1, 0)))=1, VERI_TABANI!E25*(1-0.928)*0.00206091519919798*VERI_TABANI!G25, 0)) + ((MIN(VERI_TABANI!D26, VERI_TABANI!D26*B578)*VERI_TABANI!$B$7 + MAX(0, VERI_TABANI!D26*B578-VERI_TABANI!D26)*VERI_TABANI!$B$8) + (MIN(MAX(0, VERI_TABANI!D26-VERI_TABANI!D26*B578), VERI_TABANI!D26*C578)*VERI_TABANI!$B$7 + MAX(0, VERI_TABANI!D26*C578-MAX(0, VERI_TABANI!D26-VERI_TABANI!D26*B578))*VERI_TABANI!$B$8) + IF(ABS(IF(ISNUMBER(SEARCH("Var", D578)), 1, IF(ISNUMBER(SEARCH("Gri", D578)), -1, 0)))=1, VERI_TABANI!E26*(1-0.928)*VERI_TABANI!$B$9, 0) + (VERI_TABANI!D26*B578*(VERI_TABANI!$B$13-VERI_TABANI!$B$14)*VERI_TABANI!G26) + (VERI_TABANI!D26*C578*(VERI_TABANI!$B$13-VERI_TABANI!$B$15)*VERI_TABANI!G26) + IF(ABS(IF(ISNUMBER(SEARCH("Var", D578)), 1, IF(ISNUMBER(SEARCH("Gri", D578)), -1, 0)))=1, VERI_TABANI!E26*(1-0.928)*0.00206091519919798*VERI_TABANI!G26, 0)) + ((MIN(VERI_TABANI!D27, VERI_TABANI!D27*B578)*VERI_TABANI!$B$7 + MAX(0, VERI_TABANI!D27*B578-VERI_TABANI!D27)*VERI_TABANI!$B$8) + (MIN(MAX(0, VERI_TABANI!D27-VERI_TABANI!D27*B578), VERI_TABANI!D27*C578)*VERI_TABANI!$B$7 + MAX(0, VERI_TABANI!D27*C578-MAX(0, VERI_TABANI!D27-VERI_TABANI!D27*B578))*VERI_TABANI!$B$8) + IF(ABS(IF(ISNUMBER(SEARCH("Var", D578)), 1, IF(ISNUMBER(SEARCH("Gri", D578)), -1, 0)))=1, VERI_TABANI!E27*(1-0.928)*VERI_TABANI!$B$9, 0) + (VERI_TABANI!D27*B578*(VERI_TABANI!$B$13-VERI_TABANI!$B$14)*VERI_TABANI!G27) + (VERI_TABANI!D27*C578*(VERI_TABANI!$B$13-VERI_TABANI!$B$15)*VERI_TABANI!G27) + IF(ABS(IF(ISNUMBER(SEARCH("Var", D578)), 1, IF(ISNUMBER(SEARCH("Gri", D578)), -1, 0)))=1, VERI_TABANI!E27*(1-0.928)*0.00206091519919798*VERI_TABANI!G27, 0)) + ((MIN(VERI_TABANI!D28, VERI_TABANI!D28*B578)*VERI_TABANI!$B$7 + MAX(0, VERI_TABANI!D28*B578-VERI_TABANI!D28)*VERI_TABANI!$B$8) + (MIN(MAX(0, VERI_TABANI!D28-VERI_TABANI!D28*B578), VERI_TABANI!D28*C578)*VERI_TABANI!$B$7 + MAX(0, VERI_TABANI!D28*C578-MAX(0, VERI_TABANI!D28-VERI_TABANI!D28*B578))*VERI_TABANI!$B$8) + IF(ABS(IF(ISNUMBER(SEARCH("Var", D578)), 1, IF(ISNUMBER(SEARCH("Gri", D578)), -1, 0)))=1, VERI_TABANI!E28*(1-0.928)*VERI_TABANI!$B$9, 0) + (VERI_TABANI!D28*B578*(VERI_TABANI!$B$13-VERI_TABANI!$B$14)*VERI_TABANI!G28) + (VERI_TABANI!D28*C578*(VERI_TABANI!$B$13-VERI_TABANI!$B$15)*VERI_TABANI!G28) + IF(ABS(IF(ISNUMBER(SEARCH("Var", D578)), 1, IF(ISNUMBER(SEARCH("Gri", D578)), -1, 0)))=1, VERI_TABANI!E28*(1-0.928)*0.00206091519919798*VERI_TABANI!G28, 0)))</f>
        <v/>
      </c>
      <c r="H578" s="169">
        <f>(((VERI_TABANI!D23*B578*(VERI_TABANI!$B$13-VERI_TABANI!$B$14)) + (VERI_TABANI!D23*C578*(VERI_TABANI!$B$13-VERI_TABANI!$B$15)) + IF(ISNUMBER(SEARCH("Var", D578)), VERI_TABANI!F23*(0.00202-VERI_TABANI!$B$16), IF(ISNUMBER(SEARCH("Gri", D578)), VERI_TABANI!F23*(0.00202-VERI_TABANI!$B$17), 0))) + ((VERI_TABANI!D24*B578*(VERI_TABANI!$B$13-VERI_TABANI!$B$14)) + (VERI_TABANI!D24*C578*(VERI_TABANI!$B$13-VERI_TABANI!$B$15)) + IF(ISNUMBER(SEARCH("Var", D578)), VERI_TABANI!F24*(0.00202-VERI_TABANI!$B$16), IF(ISNUMBER(SEARCH("Gri", D578)), VERI_TABANI!F24*(0.00202-VERI_TABANI!$B$17), 0))) + ((VERI_TABANI!D25*B578*(VERI_TABANI!$B$13-VERI_TABANI!$B$14)) + (VERI_TABANI!D25*C578*(VERI_TABANI!$B$13-VERI_TABANI!$B$15)) + IF(ISNUMBER(SEARCH("Var", D578)), VERI_TABANI!F25*(0.00202-VERI_TABANI!$B$16), IF(ISNUMBER(SEARCH("Gri", D578)), VERI_TABANI!F25*(0.00202-VERI_TABANI!$B$17), 0))) + ((VERI_TABANI!D26*B578*(VERI_TABANI!$B$13-VERI_TABANI!$B$14)) + (VERI_TABANI!D26*C578*(VERI_TABANI!$B$13-VERI_TABANI!$B$15)) + IF(ISNUMBER(SEARCH("Var", D578)), VERI_TABANI!F26*(0.00202-VERI_TABANI!$B$16), IF(ISNUMBER(SEARCH("Gri", D578)), VERI_TABANI!F26*(0.00202-VERI_TABANI!$B$17), 0))) + ((VERI_TABANI!D27*B578*(VERI_TABANI!$B$13-VERI_TABANI!$B$14)) + (VERI_TABANI!D27*C578*(VERI_TABANI!$B$13-VERI_TABANI!$B$15)) + IF(ISNUMBER(SEARCH("Var", D578)), VERI_TABANI!F27*(0.00202-VERI_TABANI!$B$16), IF(ISNUMBER(SEARCH("Gri", D578)), VERI_TABANI!F27*(0.00202-VERI_TABANI!$B$17), 0))) + ((VERI_TABANI!D28*B578*(VERI_TABANI!$B$13-VERI_TABANI!$B$14)) + (VERI_TABANI!D28*C578*(VERI_TABANI!$B$13-VERI_TABANI!$B$15)) + IF(ISNUMBER(SEARCH("Var", D578)), VERI_TABANI!F28*(0.00202-VERI_TABANI!$B$16), IF(ISNUMBER(SEARCH("Gri", D578)), VERI_TABANI!F28*(0.00202-VERI_TABANI!$B$17), 0))))</f>
        <v/>
      </c>
      <c r="I578" s="170">
        <f>IFERROR(((VERI_TABANI!$D$29*B578*VERI_TABANI!$B$14 + VERI_TABANI!$D$29*C578*VERI_TABANI!$B$15 + IF(ISNUMBER(SEARCH("Var", D578)), VERI_TABANI!$F$29*VERI_TABANI!$B$16, 0))) / (((VERI_TABANI!$D$29*B578 + VERI_TABANI!$D$29*C578)*VERI_TABANI!$B$13 + IF(ISNUMBER(SEARCH("Var", D578)), VERI_TABANI!$E$29*(1-0.928)*VERI_TABANI!$B$18, 0))), 0)</f>
        <v/>
      </c>
      <c r="J578" s="171">
        <f>IFERROR(F578/(G578/29), 0)</f>
        <v/>
      </c>
      <c r="K578" s="172">
        <f>IF(F578&gt;0, H578/F578, 0)</f>
        <v/>
      </c>
      <c r="L578" s="170">
        <f>IF(F578&gt;0, I578, 1000000000)</f>
        <v/>
      </c>
      <c r="M578" s="171">
        <f>ABS((B578+C578)-1)</f>
        <v/>
      </c>
      <c r="N578" s="170">
        <f>IF(F578&gt;0, (G578/29)/F578, 0)</f>
        <v/>
      </c>
      <c r="O578" s="168">
        <f>IF(AND((B578+C578)&gt;=1, ISNUMBER(SEARCH("Var", D578))), F578, 1000000000)</f>
        <v/>
      </c>
      <c r="P578" s="172">
        <f>IF(F578&gt;0, SQRT((F578/MAX(F$5:F$886))^2 + (1 - H578/MAX(H$5:H$886))^2 + (J578/MAX(J$5:J$886))^2), 1000000000)</f>
        <v/>
      </c>
      <c r="Q578" s="166">
        <f>IF(AND(ABS(B578-0.5)&lt;0.01, ABS(C578-0.5)&lt;0.01, ISNUMBER(SEARCH("Var", D578))), 1, 0)</f>
        <v/>
      </c>
      <c r="R578" s="171">
        <f>IF(F578&gt;0, J578, 1000000000)</f>
        <v/>
      </c>
      <c r="S578" s="101">
        <f>IF(AND(F578&lt;=DASHBOARD!$B$11, H578&gt;=DASHBOARD!$B$13), G578, -1000000000000)</f>
        <v/>
      </c>
      <c r="T578" s="101">
        <f>IF(AND(F578&lt;=DASHBOARD!$B$11, H578&gt;=DASHBOARD!$B$13), R578, 1000000000000)</f>
        <v/>
      </c>
      <c r="U578" s="101">
        <f>IF(AND(F578&lt;=DASHBOARD!$B$11, H578&gt;=DASHBOARD!$B$13), N578, -1000000000000)</f>
        <v/>
      </c>
      <c r="V578" s="101">
        <f>IF(AND(F578&lt;=DASHBOARD!$B$11, H578&gt;=DASHBOARD!$B$13), H578, -1000000000000)</f>
        <v/>
      </c>
      <c r="W578" s="101">
        <f>IF(AND(F578&lt;=DASHBOARD!$B$11, H578&gt;=DASHBOARD!$B$13), K578, -1000000000000)</f>
        <v/>
      </c>
      <c r="X578" s="101">
        <f>IF(AND(F578&lt;=DASHBOARD!$B$11, H578&gt;=DASHBOARD!$B$13), M578, 1000000000000)</f>
        <v/>
      </c>
      <c r="Y578" s="101">
        <f>IF(AND(F578&lt;=DASHBOARD!$B$10, H578&gt;=DASHBOARD!$B$11), L578, 1000000000000)</f>
        <v/>
      </c>
      <c r="Z578" s="101">
        <f>IF(AND(F578&lt;=DASHBOARD!$B$10, H578&gt;=DASHBOARD!$B$11), O578, 1000000000000)</f>
        <v/>
      </c>
      <c r="AA578" s="101">
        <f>IF(AND(F578&lt;=DASHBOARD!$B$10, H578&gt;=DASHBOARD!$B$11), P578, 1000000000000)</f>
        <v/>
      </c>
      <c r="AB578" s="101">
        <f>IF(AND(F578&lt;=DASHBOARD!$B$10, H578&gt;=DASHBOARD!$B$11), Q578, -1000000000000)</f>
        <v/>
      </c>
    </row>
    <row r="579" ht="15" customHeight="1" s="102">
      <c r="A579" s="166" t="n">
        <v>575</v>
      </c>
      <c r="B579" s="167" t="n">
        <v>1.3</v>
      </c>
      <c r="C579" s="167" t="n">
        <v>1.4</v>
      </c>
      <c r="D579" s="110" t="inlineStr">
        <is>
          <t>Yok (%0)</t>
        </is>
      </c>
      <c r="E579" s="110">
        <f>IF((B579+C579)&lt;=1, "Tam Mahsuplaşma (≤%100)", "Kısmi Satış (&gt;%100)")</f>
        <v/>
      </c>
      <c r="F579" s="168">
        <f>((VERI_TABANI!$D$29*B579/VERI_TABANI!$B$29)/VERI_TABANI!$B$3)*VERI_TABANI!$B$5 + ((VERI_TABANI!$D$29*C579/VERI_TABANI!$B$29)/VERI_TABANI!$B$4)*VERI_TABANI!$B$6 + IF(ISNUMBER(SEARCH("Var", D579)), (VERI_TABANI!$F$29/VERI_TABANI!$B$29)*(VERI_TABANI!$B$10+VERI_TABANI!$B$12), 0)</f>
        <v/>
      </c>
      <c r="G579" s="168">
        <f>(((MIN(VERI_TABANI!D23, VERI_TABANI!D23*B579)*VERI_TABANI!$B$7 + MAX(0, VERI_TABANI!D23*B579-VERI_TABANI!D23)*VERI_TABANI!$B$8) + (MIN(MAX(0, VERI_TABANI!D23-VERI_TABANI!D23*B579), VERI_TABANI!D23*C579)*VERI_TABANI!$B$7 + MAX(0, VERI_TABANI!D23*C579-MAX(0, VERI_TABANI!D23-VERI_TABANI!D23*B579))*VERI_TABANI!$B$8) + IF(ABS(IF(ISNUMBER(SEARCH("Var", D579)), 1, IF(ISNUMBER(SEARCH("Gri", D579)), -1, 0)))=1, VERI_TABANI!E23*(1-0.928)*VERI_TABANI!$B$9, 0) + (VERI_TABANI!D23*B579*(VERI_TABANI!$B$13-VERI_TABANI!$B$14)*VERI_TABANI!G23) + (VERI_TABANI!D23*C579*(VERI_TABANI!$B$13-VERI_TABANI!$B$15)*VERI_TABANI!G23) + IF(ABS(IF(ISNUMBER(SEARCH("Var", D579)), 1, IF(ISNUMBER(SEARCH("Gri", D579)), -1, 0)))=1, VERI_TABANI!E23*(1-0.928)*0.00206091519919798*VERI_TABANI!G23, 0)) + ((MIN(VERI_TABANI!D24, VERI_TABANI!D24*B579)*VERI_TABANI!$B$7 + MAX(0, VERI_TABANI!D24*B579-VERI_TABANI!D24)*VERI_TABANI!$B$8) + (MIN(MAX(0, VERI_TABANI!D24-VERI_TABANI!D24*B579), VERI_TABANI!D24*C579)*VERI_TABANI!$B$7 + MAX(0, VERI_TABANI!D24*C579-MAX(0, VERI_TABANI!D24-VERI_TABANI!D24*B579))*VERI_TABANI!$B$8) + IF(ABS(IF(ISNUMBER(SEARCH("Var", D579)), 1, IF(ISNUMBER(SEARCH("Gri", D579)), -1, 0)))=1, VERI_TABANI!E24*(1-0.928)*VERI_TABANI!$B$9, 0) + (VERI_TABANI!D24*B579*(VERI_TABANI!$B$13-VERI_TABANI!$B$14)*VERI_TABANI!G24) + (VERI_TABANI!D24*C579*(VERI_TABANI!$B$13-VERI_TABANI!$B$15)*VERI_TABANI!G24) + IF(ABS(IF(ISNUMBER(SEARCH("Var", D579)), 1, IF(ISNUMBER(SEARCH("Gri", D579)), -1, 0)))=1, VERI_TABANI!E24*(1-0.928)*0.00206091519919798*VERI_TABANI!G24, 0)) + ((MIN(VERI_TABANI!D25, VERI_TABANI!D25*B579)*VERI_TABANI!$B$7 + MAX(0, VERI_TABANI!D25*B579-VERI_TABANI!D25)*VERI_TABANI!$B$8) + (MIN(MAX(0, VERI_TABANI!D25-VERI_TABANI!D25*B579), VERI_TABANI!D25*C579)*VERI_TABANI!$B$7 + MAX(0, VERI_TABANI!D25*C579-MAX(0, VERI_TABANI!D25-VERI_TABANI!D25*B579))*VERI_TABANI!$B$8) + IF(ABS(IF(ISNUMBER(SEARCH("Var", D579)), 1, IF(ISNUMBER(SEARCH("Gri", D579)), -1, 0)))=1, VERI_TABANI!E25*(1-0.928)*VERI_TABANI!$B$9, 0) + (VERI_TABANI!D25*B579*(VERI_TABANI!$B$13-VERI_TABANI!$B$14)*VERI_TABANI!G25) + (VERI_TABANI!D25*C579*(VERI_TABANI!$B$13-VERI_TABANI!$B$15)*VERI_TABANI!G25) + IF(ABS(IF(ISNUMBER(SEARCH("Var", D579)), 1, IF(ISNUMBER(SEARCH("Gri", D579)), -1, 0)))=1, VERI_TABANI!E25*(1-0.928)*0.00206091519919798*VERI_TABANI!G25, 0)) + ((MIN(VERI_TABANI!D26, VERI_TABANI!D26*B579)*VERI_TABANI!$B$7 + MAX(0, VERI_TABANI!D26*B579-VERI_TABANI!D26)*VERI_TABANI!$B$8) + (MIN(MAX(0, VERI_TABANI!D26-VERI_TABANI!D26*B579), VERI_TABANI!D26*C579)*VERI_TABANI!$B$7 + MAX(0, VERI_TABANI!D26*C579-MAX(0, VERI_TABANI!D26-VERI_TABANI!D26*B579))*VERI_TABANI!$B$8) + IF(ABS(IF(ISNUMBER(SEARCH("Var", D579)), 1, IF(ISNUMBER(SEARCH("Gri", D579)), -1, 0)))=1, VERI_TABANI!E26*(1-0.928)*VERI_TABANI!$B$9, 0) + (VERI_TABANI!D26*B579*(VERI_TABANI!$B$13-VERI_TABANI!$B$14)*VERI_TABANI!G26) + (VERI_TABANI!D26*C579*(VERI_TABANI!$B$13-VERI_TABANI!$B$15)*VERI_TABANI!G26) + IF(ABS(IF(ISNUMBER(SEARCH("Var", D579)), 1, IF(ISNUMBER(SEARCH("Gri", D579)), -1, 0)))=1, VERI_TABANI!E26*(1-0.928)*0.00206091519919798*VERI_TABANI!G26, 0)) + ((MIN(VERI_TABANI!D27, VERI_TABANI!D27*B579)*VERI_TABANI!$B$7 + MAX(0, VERI_TABANI!D27*B579-VERI_TABANI!D27)*VERI_TABANI!$B$8) + (MIN(MAX(0, VERI_TABANI!D27-VERI_TABANI!D27*B579), VERI_TABANI!D27*C579)*VERI_TABANI!$B$7 + MAX(0, VERI_TABANI!D27*C579-MAX(0, VERI_TABANI!D27-VERI_TABANI!D27*B579))*VERI_TABANI!$B$8) + IF(ABS(IF(ISNUMBER(SEARCH("Var", D579)), 1, IF(ISNUMBER(SEARCH("Gri", D579)), -1, 0)))=1, VERI_TABANI!E27*(1-0.928)*VERI_TABANI!$B$9, 0) + (VERI_TABANI!D27*B579*(VERI_TABANI!$B$13-VERI_TABANI!$B$14)*VERI_TABANI!G27) + (VERI_TABANI!D27*C579*(VERI_TABANI!$B$13-VERI_TABANI!$B$15)*VERI_TABANI!G27) + IF(ABS(IF(ISNUMBER(SEARCH("Var", D579)), 1, IF(ISNUMBER(SEARCH("Gri", D579)), -1, 0)))=1, VERI_TABANI!E27*(1-0.928)*0.00206091519919798*VERI_TABANI!G27, 0)) + ((MIN(VERI_TABANI!D28, VERI_TABANI!D28*B579)*VERI_TABANI!$B$7 + MAX(0, VERI_TABANI!D28*B579-VERI_TABANI!D28)*VERI_TABANI!$B$8) + (MIN(MAX(0, VERI_TABANI!D28-VERI_TABANI!D28*B579), VERI_TABANI!D28*C579)*VERI_TABANI!$B$7 + MAX(0, VERI_TABANI!D28*C579-MAX(0, VERI_TABANI!D28-VERI_TABANI!D28*B579))*VERI_TABANI!$B$8) + IF(ABS(IF(ISNUMBER(SEARCH("Var", D579)), 1, IF(ISNUMBER(SEARCH("Gri", D579)), -1, 0)))=1, VERI_TABANI!E28*(1-0.928)*VERI_TABANI!$B$9, 0) + (VERI_TABANI!D28*B579*(VERI_TABANI!$B$13-VERI_TABANI!$B$14)*VERI_TABANI!G28) + (VERI_TABANI!D28*C579*(VERI_TABANI!$B$13-VERI_TABANI!$B$15)*VERI_TABANI!G28) + IF(ABS(IF(ISNUMBER(SEARCH("Var", D579)), 1, IF(ISNUMBER(SEARCH("Gri", D579)), -1, 0)))=1, VERI_TABANI!E28*(1-0.928)*0.00206091519919798*VERI_TABANI!G28, 0)))</f>
        <v/>
      </c>
      <c r="H579" s="169">
        <f>(((VERI_TABANI!D23*B579*(VERI_TABANI!$B$13-VERI_TABANI!$B$14)) + (VERI_TABANI!D23*C579*(VERI_TABANI!$B$13-VERI_TABANI!$B$15)) + IF(ISNUMBER(SEARCH("Var", D579)), VERI_TABANI!F23*(0.00202-VERI_TABANI!$B$16), IF(ISNUMBER(SEARCH("Gri", D579)), VERI_TABANI!F23*(0.00202-VERI_TABANI!$B$17), 0))) + ((VERI_TABANI!D24*B579*(VERI_TABANI!$B$13-VERI_TABANI!$B$14)) + (VERI_TABANI!D24*C579*(VERI_TABANI!$B$13-VERI_TABANI!$B$15)) + IF(ISNUMBER(SEARCH("Var", D579)), VERI_TABANI!F24*(0.00202-VERI_TABANI!$B$16), IF(ISNUMBER(SEARCH("Gri", D579)), VERI_TABANI!F24*(0.00202-VERI_TABANI!$B$17), 0))) + ((VERI_TABANI!D25*B579*(VERI_TABANI!$B$13-VERI_TABANI!$B$14)) + (VERI_TABANI!D25*C579*(VERI_TABANI!$B$13-VERI_TABANI!$B$15)) + IF(ISNUMBER(SEARCH("Var", D579)), VERI_TABANI!F25*(0.00202-VERI_TABANI!$B$16), IF(ISNUMBER(SEARCH("Gri", D579)), VERI_TABANI!F25*(0.00202-VERI_TABANI!$B$17), 0))) + ((VERI_TABANI!D26*B579*(VERI_TABANI!$B$13-VERI_TABANI!$B$14)) + (VERI_TABANI!D26*C579*(VERI_TABANI!$B$13-VERI_TABANI!$B$15)) + IF(ISNUMBER(SEARCH("Var", D579)), VERI_TABANI!F26*(0.00202-VERI_TABANI!$B$16), IF(ISNUMBER(SEARCH("Gri", D579)), VERI_TABANI!F26*(0.00202-VERI_TABANI!$B$17), 0))) + ((VERI_TABANI!D27*B579*(VERI_TABANI!$B$13-VERI_TABANI!$B$14)) + (VERI_TABANI!D27*C579*(VERI_TABANI!$B$13-VERI_TABANI!$B$15)) + IF(ISNUMBER(SEARCH("Var", D579)), VERI_TABANI!F27*(0.00202-VERI_TABANI!$B$16), IF(ISNUMBER(SEARCH("Gri", D579)), VERI_TABANI!F27*(0.00202-VERI_TABANI!$B$17), 0))) + ((VERI_TABANI!D28*B579*(VERI_TABANI!$B$13-VERI_TABANI!$B$14)) + (VERI_TABANI!D28*C579*(VERI_TABANI!$B$13-VERI_TABANI!$B$15)) + IF(ISNUMBER(SEARCH("Var", D579)), VERI_TABANI!F28*(0.00202-VERI_TABANI!$B$16), IF(ISNUMBER(SEARCH("Gri", D579)), VERI_TABANI!F28*(0.00202-VERI_TABANI!$B$17), 0))))</f>
        <v/>
      </c>
      <c r="I579" s="170">
        <f>IFERROR(((VERI_TABANI!$D$29*B579*VERI_TABANI!$B$14 + VERI_TABANI!$D$29*C579*VERI_TABANI!$B$15 + IF(ISNUMBER(SEARCH("Var", D579)), VERI_TABANI!$F$29*VERI_TABANI!$B$16, 0))) / (((VERI_TABANI!$D$29*B579 + VERI_TABANI!$D$29*C579)*VERI_TABANI!$B$13 + IF(ISNUMBER(SEARCH("Var", D579)), VERI_TABANI!$E$29*(1-0.928)*VERI_TABANI!$B$18, 0))), 0)</f>
        <v/>
      </c>
      <c r="J579" s="171">
        <f>IFERROR(F579/(G579/29), 0)</f>
        <v/>
      </c>
      <c r="K579" s="172">
        <f>IF(F579&gt;0, H579/F579, 0)</f>
        <v/>
      </c>
      <c r="L579" s="170">
        <f>IF(F579&gt;0, I579, 1000000000)</f>
        <v/>
      </c>
      <c r="M579" s="171">
        <f>ABS((B579+C579)-1)</f>
        <v/>
      </c>
      <c r="N579" s="170">
        <f>IF(F579&gt;0, (G579/29)/F579, 0)</f>
        <v/>
      </c>
      <c r="O579" s="168">
        <f>IF(AND((B579+C579)&gt;=1, ISNUMBER(SEARCH("Var", D579))), F579, 1000000000)</f>
        <v/>
      </c>
      <c r="P579" s="172">
        <f>IF(F579&gt;0, SQRT((F579/MAX(F$5:F$886))^2 + (1 - H579/MAX(H$5:H$886))^2 + (J579/MAX(J$5:J$886))^2), 1000000000)</f>
        <v/>
      </c>
      <c r="Q579" s="166">
        <f>IF(AND(ABS(B579-0.5)&lt;0.01, ABS(C579-0.5)&lt;0.01, ISNUMBER(SEARCH("Var", D579))), 1, 0)</f>
        <v/>
      </c>
      <c r="R579" s="171">
        <f>IF(F579&gt;0, J579, 1000000000)</f>
        <v/>
      </c>
      <c r="S579" s="101">
        <f>IF(AND(F579&lt;=DASHBOARD!$B$11, H579&gt;=DASHBOARD!$B$13), G579, -1000000000000)</f>
        <v/>
      </c>
      <c r="T579" s="101">
        <f>IF(AND(F579&lt;=DASHBOARD!$B$11, H579&gt;=DASHBOARD!$B$13), R579, 1000000000000)</f>
        <v/>
      </c>
      <c r="U579" s="101">
        <f>IF(AND(F579&lt;=DASHBOARD!$B$11, H579&gt;=DASHBOARD!$B$13), N579, -1000000000000)</f>
        <v/>
      </c>
      <c r="V579" s="101">
        <f>IF(AND(F579&lt;=DASHBOARD!$B$11, H579&gt;=DASHBOARD!$B$13), H579, -1000000000000)</f>
        <v/>
      </c>
      <c r="W579" s="101">
        <f>IF(AND(F579&lt;=DASHBOARD!$B$11, H579&gt;=DASHBOARD!$B$13), K579, -1000000000000)</f>
        <v/>
      </c>
      <c r="X579" s="101">
        <f>IF(AND(F579&lt;=DASHBOARD!$B$11, H579&gt;=DASHBOARD!$B$13), M579, 1000000000000)</f>
        <v/>
      </c>
      <c r="Y579" s="101">
        <f>IF(AND(F579&lt;=DASHBOARD!$B$10, H579&gt;=DASHBOARD!$B$11), L579, 1000000000000)</f>
        <v/>
      </c>
      <c r="Z579" s="101">
        <f>IF(AND(F579&lt;=DASHBOARD!$B$10, H579&gt;=DASHBOARD!$B$11), O579, 1000000000000)</f>
        <v/>
      </c>
      <c r="AA579" s="101">
        <f>IF(AND(F579&lt;=DASHBOARD!$B$10, H579&gt;=DASHBOARD!$B$11), P579, 1000000000000)</f>
        <v/>
      </c>
      <c r="AB579" s="101">
        <f>IF(AND(F579&lt;=DASHBOARD!$B$10, H579&gt;=DASHBOARD!$B$11), Q579, -1000000000000)</f>
        <v/>
      </c>
    </row>
    <row r="580" ht="15" customHeight="1" s="102">
      <c r="A580" s="166" t="n">
        <v>576</v>
      </c>
      <c r="B580" s="167" t="n">
        <v>1.3</v>
      </c>
      <c r="C580" s="167" t="n">
        <v>1.4</v>
      </c>
      <c r="D580" s="110" t="inlineStr">
        <is>
          <t>Var (%20)</t>
        </is>
      </c>
      <c r="E580" s="110">
        <f>IF((B580+C580)&lt;=1, "Tam Mahsuplaşma (≤%100)", "Kısmi Satış (&gt;%100)")</f>
        <v/>
      </c>
      <c r="F580" s="168">
        <f>((VERI_TABANI!$D$29*B580/VERI_TABANI!$B$29)/VERI_TABANI!$B$3)*VERI_TABANI!$B$5 + ((VERI_TABANI!$D$29*C580/VERI_TABANI!$B$29)/VERI_TABANI!$B$4)*VERI_TABANI!$B$6 + IF(ISNUMBER(SEARCH("Var", D580)), (VERI_TABANI!$F$29/VERI_TABANI!$B$29)*(VERI_TABANI!$B$10+VERI_TABANI!$B$12), 0)</f>
        <v/>
      </c>
      <c r="G580" s="168">
        <f>(((MIN(VERI_TABANI!D23, VERI_TABANI!D23*B580)*VERI_TABANI!$B$7 + MAX(0, VERI_TABANI!D23*B580-VERI_TABANI!D23)*VERI_TABANI!$B$8) + (MIN(MAX(0, VERI_TABANI!D23-VERI_TABANI!D23*B580), VERI_TABANI!D23*C580)*VERI_TABANI!$B$7 + MAX(0, VERI_TABANI!D23*C580-MAX(0, VERI_TABANI!D23-VERI_TABANI!D23*B580))*VERI_TABANI!$B$8) + IF(ABS(IF(ISNUMBER(SEARCH("Var", D580)), 1, IF(ISNUMBER(SEARCH("Gri", D580)), -1, 0)))=1, VERI_TABANI!E23*(1-0.928)*VERI_TABANI!$B$9, 0) + (VERI_TABANI!D23*B580*(VERI_TABANI!$B$13-VERI_TABANI!$B$14)*VERI_TABANI!G23) + (VERI_TABANI!D23*C580*(VERI_TABANI!$B$13-VERI_TABANI!$B$15)*VERI_TABANI!G23) + IF(ABS(IF(ISNUMBER(SEARCH("Var", D580)), 1, IF(ISNUMBER(SEARCH("Gri", D580)), -1, 0)))=1, VERI_TABANI!E23*(1-0.928)*0.00206091519919798*VERI_TABANI!G23, 0)) + ((MIN(VERI_TABANI!D24, VERI_TABANI!D24*B580)*VERI_TABANI!$B$7 + MAX(0, VERI_TABANI!D24*B580-VERI_TABANI!D24)*VERI_TABANI!$B$8) + (MIN(MAX(0, VERI_TABANI!D24-VERI_TABANI!D24*B580), VERI_TABANI!D24*C580)*VERI_TABANI!$B$7 + MAX(0, VERI_TABANI!D24*C580-MAX(0, VERI_TABANI!D24-VERI_TABANI!D24*B580))*VERI_TABANI!$B$8) + IF(ABS(IF(ISNUMBER(SEARCH("Var", D580)), 1, IF(ISNUMBER(SEARCH("Gri", D580)), -1, 0)))=1, VERI_TABANI!E24*(1-0.928)*VERI_TABANI!$B$9, 0) + (VERI_TABANI!D24*B580*(VERI_TABANI!$B$13-VERI_TABANI!$B$14)*VERI_TABANI!G24) + (VERI_TABANI!D24*C580*(VERI_TABANI!$B$13-VERI_TABANI!$B$15)*VERI_TABANI!G24) + IF(ABS(IF(ISNUMBER(SEARCH("Var", D580)), 1, IF(ISNUMBER(SEARCH("Gri", D580)), -1, 0)))=1, VERI_TABANI!E24*(1-0.928)*0.00206091519919798*VERI_TABANI!G24, 0)) + ((MIN(VERI_TABANI!D25, VERI_TABANI!D25*B580)*VERI_TABANI!$B$7 + MAX(0, VERI_TABANI!D25*B580-VERI_TABANI!D25)*VERI_TABANI!$B$8) + (MIN(MAX(0, VERI_TABANI!D25-VERI_TABANI!D25*B580), VERI_TABANI!D25*C580)*VERI_TABANI!$B$7 + MAX(0, VERI_TABANI!D25*C580-MAX(0, VERI_TABANI!D25-VERI_TABANI!D25*B580))*VERI_TABANI!$B$8) + IF(ABS(IF(ISNUMBER(SEARCH("Var", D580)), 1, IF(ISNUMBER(SEARCH("Gri", D580)), -1, 0)))=1, VERI_TABANI!E25*(1-0.928)*VERI_TABANI!$B$9, 0) + (VERI_TABANI!D25*B580*(VERI_TABANI!$B$13-VERI_TABANI!$B$14)*VERI_TABANI!G25) + (VERI_TABANI!D25*C580*(VERI_TABANI!$B$13-VERI_TABANI!$B$15)*VERI_TABANI!G25) + IF(ABS(IF(ISNUMBER(SEARCH("Var", D580)), 1, IF(ISNUMBER(SEARCH("Gri", D580)), -1, 0)))=1, VERI_TABANI!E25*(1-0.928)*0.00206091519919798*VERI_TABANI!G25, 0)) + ((MIN(VERI_TABANI!D26, VERI_TABANI!D26*B580)*VERI_TABANI!$B$7 + MAX(0, VERI_TABANI!D26*B580-VERI_TABANI!D26)*VERI_TABANI!$B$8) + (MIN(MAX(0, VERI_TABANI!D26-VERI_TABANI!D26*B580), VERI_TABANI!D26*C580)*VERI_TABANI!$B$7 + MAX(0, VERI_TABANI!D26*C580-MAX(0, VERI_TABANI!D26-VERI_TABANI!D26*B580))*VERI_TABANI!$B$8) + IF(ABS(IF(ISNUMBER(SEARCH("Var", D580)), 1, IF(ISNUMBER(SEARCH("Gri", D580)), -1, 0)))=1, VERI_TABANI!E26*(1-0.928)*VERI_TABANI!$B$9, 0) + (VERI_TABANI!D26*B580*(VERI_TABANI!$B$13-VERI_TABANI!$B$14)*VERI_TABANI!G26) + (VERI_TABANI!D26*C580*(VERI_TABANI!$B$13-VERI_TABANI!$B$15)*VERI_TABANI!G26) + IF(ABS(IF(ISNUMBER(SEARCH("Var", D580)), 1, IF(ISNUMBER(SEARCH("Gri", D580)), -1, 0)))=1, VERI_TABANI!E26*(1-0.928)*0.00206091519919798*VERI_TABANI!G26, 0)) + ((MIN(VERI_TABANI!D27, VERI_TABANI!D27*B580)*VERI_TABANI!$B$7 + MAX(0, VERI_TABANI!D27*B580-VERI_TABANI!D27)*VERI_TABANI!$B$8) + (MIN(MAX(0, VERI_TABANI!D27-VERI_TABANI!D27*B580), VERI_TABANI!D27*C580)*VERI_TABANI!$B$7 + MAX(0, VERI_TABANI!D27*C580-MAX(0, VERI_TABANI!D27-VERI_TABANI!D27*B580))*VERI_TABANI!$B$8) + IF(ABS(IF(ISNUMBER(SEARCH("Var", D580)), 1, IF(ISNUMBER(SEARCH("Gri", D580)), -1, 0)))=1, VERI_TABANI!E27*(1-0.928)*VERI_TABANI!$B$9, 0) + (VERI_TABANI!D27*B580*(VERI_TABANI!$B$13-VERI_TABANI!$B$14)*VERI_TABANI!G27) + (VERI_TABANI!D27*C580*(VERI_TABANI!$B$13-VERI_TABANI!$B$15)*VERI_TABANI!G27) + IF(ABS(IF(ISNUMBER(SEARCH("Var", D580)), 1, IF(ISNUMBER(SEARCH("Gri", D580)), -1, 0)))=1, VERI_TABANI!E27*(1-0.928)*0.00206091519919798*VERI_TABANI!G27, 0)) + ((MIN(VERI_TABANI!D28, VERI_TABANI!D28*B580)*VERI_TABANI!$B$7 + MAX(0, VERI_TABANI!D28*B580-VERI_TABANI!D28)*VERI_TABANI!$B$8) + (MIN(MAX(0, VERI_TABANI!D28-VERI_TABANI!D28*B580), VERI_TABANI!D28*C580)*VERI_TABANI!$B$7 + MAX(0, VERI_TABANI!D28*C580-MAX(0, VERI_TABANI!D28-VERI_TABANI!D28*B580))*VERI_TABANI!$B$8) + IF(ABS(IF(ISNUMBER(SEARCH("Var", D580)), 1, IF(ISNUMBER(SEARCH("Gri", D580)), -1, 0)))=1, VERI_TABANI!E28*(1-0.928)*VERI_TABANI!$B$9, 0) + (VERI_TABANI!D28*B580*(VERI_TABANI!$B$13-VERI_TABANI!$B$14)*VERI_TABANI!G28) + (VERI_TABANI!D28*C580*(VERI_TABANI!$B$13-VERI_TABANI!$B$15)*VERI_TABANI!G28) + IF(ABS(IF(ISNUMBER(SEARCH("Var", D580)), 1, IF(ISNUMBER(SEARCH("Gri", D580)), -1, 0)))=1, VERI_TABANI!E28*(1-0.928)*0.00206091519919798*VERI_TABANI!G28, 0)))</f>
        <v/>
      </c>
      <c r="H580" s="169">
        <f>(((VERI_TABANI!D23*B580*(VERI_TABANI!$B$13-VERI_TABANI!$B$14)) + (VERI_TABANI!D23*C580*(VERI_TABANI!$B$13-VERI_TABANI!$B$15)) + IF(ISNUMBER(SEARCH("Var", D580)), VERI_TABANI!F23*(0.00202-VERI_TABANI!$B$16), IF(ISNUMBER(SEARCH("Gri", D580)), VERI_TABANI!F23*(0.00202-VERI_TABANI!$B$17), 0))) + ((VERI_TABANI!D24*B580*(VERI_TABANI!$B$13-VERI_TABANI!$B$14)) + (VERI_TABANI!D24*C580*(VERI_TABANI!$B$13-VERI_TABANI!$B$15)) + IF(ISNUMBER(SEARCH("Var", D580)), VERI_TABANI!F24*(0.00202-VERI_TABANI!$B$16), IF(ISNUMBER(SEARCH("Gri", D580)), VERI_TABANI!F24*(0.00202-VERI_TABANI!$B$17), 0))) + ((VERI_TABANI!D25*B580*(VERI_TABANI!$B$13-VERI_TABANI!$B$14)) + (VERI_TABANI!D25*C580*(VERI_TABANI!$B$13-VERI_TABANI!$B$15)) + IF(ISNUMBER(SEARCH("Var", D580)), VERI_TABANI!F25*(0.00202-VERI_TABANI!$B$16), IF(ISNUMBER(SEARCH("Gri", D580)), VERI_TABANI!F25*(0.00202-VERI_TABANI!$B$17), 0))) + ((VERI_TABANI!D26*B580*(VERI_TABANI!$B$13-VERI_TABANI!$B$14)) + (VERI_TABANI!D26*C580*(VERI_TABANI!$B$13-VERI_TABANI!$B$15)) + IF(ISNUMBER(SEARCH("Var", D580)), VERI_TABANI!F26*(0.00202-VERI_TABANI!$B$16), IF(ISNUMBER(SEARCH("Gri", D580)), VERI_TABANI!F26*(0.00202-VERI_TABANI!$B$17), 0))) + ((VERI_TABANI!D27*B580*(VERI_TABANI!$B$13-VERI_TABANI!$B$14)) + (VERI_TABANI!D27*C580*(VERI_TABANI!$B$13-VERI_TABANI!$B$15)) + IF(ISNUMBER(SEARCH("Var", D580)), VERI_TABANI!F27*(0.00202-VERI_TABANI!$B$16), IF(ISNUMBER(SEARCH("Gri", D580)), VERI_TABANI!F27*(0.00202-VERI_TABANI!$B$17), 0))) + ((VERI_TABANI!D28*B580*(VERI_TABANI!$B$13-VERI_TABANI!$B$14)) + (VERI_TABANI!D28*C580*(VERI_TABANI!$B$13-VERI_TABANI!$B$15)) + IF(ISNUMBER(SEARCH("Var", D580)), VERI_TABANI!F28*(0.00202-VERI_TABANI!$B$16), IF(ISNUMBER(SEARCH("Gri", D580)), VERI_TABANI!F28*(0.00202-VERI_TABANI!$B$17), 0))))</f>
        <v/>
      </c>
      <c r="I580" s="170">
        <f>IFERROR(((VERI_TABANI!$D$29*B580*VERI_TABANI!$B$14 + VERI_TABANI!$D$29*C580*VERI_TABANI!$B$15 + IF(ISNUMBER(SEARCH("Var", D580)), VERI_TABANI!$F$29*VERI_TABANI!$B$16, 0))) / (((VERI_TABANI!$D$29*B580 + VERI_TABANI!$D$29*C580)*VERI_TABANI!$B$13 + IF(ISNUMBER(SEARCH("Var", D580)), VERI_TABANI!$E$29*(1-0.928)*VERI_TABANI!$B$18, 0))), 0)</f>
        <v/>
      </c>
      <c r="J580" s="171">
        <f>IFERROR(F580/(G580/29), 0)</f>
        <v/>
      </c>
      <c r="K580" s="172">
        <f>IF(F580&gt;0, H580/F580, 0)</f>
        <v/>
      </c>
      <c r="L580" s="170">
        <f>IF(F580&gt;0, I580, 1000000000)</f>
        <v/>
      </c>
      <c r="M580" s="171">
        <f>ABS((B580+C580)-1)</f>
        <v/>
      </c>
      <c r="N580" s="170">
        <f>IF(F580&gt;0, (G580/29)/F580, 0)</f>
        <v/>
      </c>
      <c r="O580" s="168">
        <f>IF(AND((B580+C580)&gt;=1, ISNUMBER(SEARCH("Var", D580))), F580, 1000000000)</f>
        <v/>
      </c>
      <c r="P580" s="172">
        <f>IF(F580&gt;0, SQRT((F580/MAX(F$5:F$886))^2 + (1 - H580/MAX(H$5:H$886))^2 + (J580/MAX(J$5:J$886))^2), 1000000000)</f>
        <v/>
      </c>
      <c r="Q580" s="166">
        <f>IF(AND(ABS(B580-0.5)&lt;0.01, ABS(C580-0.5)&lt;0.01, ISNUMBER(SEARCH("Var", D580))), 1, 0)</f>
        <v/>
      </c>
      <c r="R580" s="171">
        <f>IF(F580&gt;0, J580, 1000000000)</f>
        <v/>
      </c>
      <c r="S580" s="101">
        <f>IF(AND(F580&lt;=DASHBOARD!$B$11, H580&gt;=DASHBOARD!$B$13), G580, -1000000000000)</f>
        <v/>
      </c>
      <c r="T580" s="101">
        <f>IF(AND(F580&lt;=DASHBOARD!$B$11, H580&gt;=DASHBOARD!$B$13), R580, 1000000000000)</f>
        <v/>
      </c>
      <c r="U580" s="101">
        <f>IF(AND(F580&lt;=DASHBOARD!$B$11, H580&gt;=DASHBOARD!$B$13), N580, -1000000000000)</f>
        <v/>
      </c>
      <c r="V580" s="101">
        <f>IF(AND(F580&lt;=DASHBOARD!$B$11, H580&gt;=DASHBOARD!$B$13), H580, -1000000000000)</f>
        <v/>
      </c>
      <c r="W580" s="101">
        <f>IF(AND(F580&lt;=DASHBOARD!$B$11, H580&gt;=DASHBOARD!$B$13), K580, -1000000000000)</f>
        <v/>
      </c>
      <c r="X580" s="101">
        <f>IF(AND(F580&lt;=DASHBOARD!$B$11, H580&gt;=DASHBOARD!$B$13), M580, 1000000000000)</f>
        <v/>
      </c>
      <c r="Y580" s="101">
        <f>IF(AND(F580&lt;=DASHBOARD!$B$10, H580&gt;=DASHBOARD!$B$11), L580, 1000000000000)</f>
        <v/>
      </c>
      <c r="Z580" s="101">
        <f>IF(AND(F580&lt;=DASHBOARD!$B$10, H580&gt;=DASHBOARD!$B$11), O580, 1000000000000)</f>
        <v/>
      </c>
      <c r="AA580" s="101">
        <f>IF(AND(F580&lt;=DASHBOARD!$B$10, H580&gt;=DASHBOARD!$B$11), P580, 1000000000000)</f>
        <v/>
      </c>
      <c r="AB580" s="101">
        <f>IF(AND(F580&lt;=DASHBOARD!$B$10, H580&gt;=DASHBOARD!$B$11), Q580, -1000000000000)</f>
        <v/>
      </c>
    </row>
    <row r="581" ht="15" customHeight="1" s="102">
      <c r="A581" s="166" t="n">
        <v>577</v>
      </c>
      <c r="B581" s="167" t="n">
        <v>1.3</v>
      </c>
      <c r="C581" s="167" t="n">
        <v>1.5</v>
      </c>
      <c r="D581" s="110" t="inlineStr">
        <is>
          <t>Yok (%0)</t>
        </is>
      </c>
      <c r="E581" s="110">
        <f>IF((B581+C581)&lt;=1, "Tam Mahsuplaşma (≤%100)", "Kısmi Satış (&gt;%100)")</f>
        <v/>
      </c>
      <c r="F581" s="168">
        <f>((VERI_TABANI!$D$29*B581/VERI_TABANI!$B$29)/VERI_TABANI!$B$3)*VERI_TABANI!$B$5 + ((VERI_TABANI!$D$29*C581/VERI_TABANI!$B$29)/VERI_TABANI!$B$4)*VERI_TABANI!$B$6 + IF(ISNUMBER(SEARCH("Var", D581)), (VERI_TABANI!$F$29/VERI_TABANI!$B$29)*(VERI_TABANI!$B$10+VERI_TABANI!$B$12), 0)</f>
        <v/>
      </c>
      <c r="G581" s="168">
        <f>(((MIN(VERI_TABANI!D23, VERI_TABANI!D23*B581)*VERI_TABANI!$B$7 + MAX(0, VERI_TABANI!D23*B581-VERI_TABANI!D23)*VERI_TABANI!$B$8) + (MIN(MAX(0, VERI_TABANI!D23-VERI_TABANI!D23*B581), VERI_TABANI!D23*C581)*VERI_TABANI!$B$7 + MAX(0, VERI_TABANI!D23*C581-MAX(0, VERI_TABANI!D23-VERI_TABANI!D23*B581))*VERI_TABANI!$B$8) + IF(ABS(IF(ISNUMBER(SEARCH("Var", D581)), 1, IF(ISNUMBER(SEARCH("Gri", D581)), -1, 0)))=1, VERI_TABANI!E23*(1-0.928)*VERI_TABANI!$B$9, 0) + (VERI_TABANI!D23*B581*(VERI_TABANI!$B$13-VERI_TABANI!$B$14)*VERI_TABANI!G23) + (VERI_TABANI!D23*C581*(VERI_TABANI!$B$13-VERI_TABANI!$B$15)*VERI_TABANI!G23) + IF(ABS(IF(ISNUMBER(SEARCH("Var", D581)), 1, IF(ISNUMBER(SEARCH("Gri", D581)), -1, 0)))=1, VERI_TABANI!E23*(1-0.928)*0.00206091519919798*VERI_TABANI!G23, 0)) + ((MIN(VERI_TABANI!D24, VERI_TABANI!D24*B581)*VERI_TABANI!$B$7 + MAX(0, VERI_TABANI!D24*B581-VERI_TABANI!D24)*VERI_TABANI!$B$8) + (MIN(MAX(0, VERI_TABANI!D24-VERI_TABANI!D24*B581), VERI_TABANI!D24*C581)*VERI_TABANI!$B$7 + MAX(0, VERI_TABANI!D24*C581-MAX(0, VERI_TABANI!D24-VERI_TABANI!D24*B581))*VERI_TABANI!$B$8) + IF(ABS(IF(ISNUMBER(SEARCH("Var", D581)), 1, IF(ISNUMBER(SEARCH("Gri", D581)), -1, 0)))=1, VERI_TABANI!E24*(1-0.928)*VERI_TABANI!$B$9, 0) + (VERI_TABANI!D24*B581*(VERI_TABANI!$B$13-VERI_TABANI!$B$14)*VERI_TABANI!G24) + (VERI_TABANI!D24*C581*(VERI_TABANI!$B$13-VERI_TABANI!$B$15)*VERI_TABANI!G24) + IF(ABS(IF(ISNUMBER(SEARCH("Var", D581)), 1, IF(ISNUMBER(SEARCH("Gri", D581)), -1, 0)))=1, VERI_TABANI!E24*(1-0.928)*0.00206091519919798*VERI_TABANI!G24, 0)) + ((MIN(VERI_TABANI!D25, VERI_TABANI!D25*B581)*VERI_TABANI!$B$7 + MAX(0, VERI_TABANI!D25*B581-VERI_TABANI!D25)*VERI_TABANI!$B$8) + (MIN(MAX(0, VERI_TABANI!D25-VERI_TABANI!D25*B581), VERI_TABANI!D25*C581)*VERI_TABANI!$B$7 + MAX(0, VERI_TABANI!D25*C581-MAX(0, VERI_TABANI!D25-VERI_TABANI!D25*B581))*VERI_TABANI!$B$8) + IF(ABS(IF(ISNUMBER(SEARCH("Var", D581)), 1, IF(ISNUMBER(SEARCH("Gri", D581)), -1, 0)))=1, VERI_TABANI!E25*(1-0.928)*VERI_TABANI!$B$9, 0) + (VERI_TABANI!D25*B581*(VERI_TABANI!$B$13-VERI_TABANI!$B$14)*VERI_TABANI!G25) + (VERI_TABANI!D25*C581*(VERI_TABANI!$B$13-VERI_TABANI!$B$15)*VERI_TABANI!G25) + IF(ABS(IF(ISNUMBER(SEARCH("Var", D581)), 1, IF(ISNUMBER(SEARCH("Gri", D581)), -1, 0)))=1, VERI_TABANI!E25*(1-0.928)*0.00206091519919798*VERI_TABANI!G25, 0)) + ((MIN(VERI_TABANI!D26, VERI_TABANI!D26*B581)*VERI_TABANI!$B$7 + MAX(0, VERI_TABANI!D26*B581-VERI_TABANI!D26)*VERI_TABANI!$B$8) + (MIN(MAX(0, VERI_TABANI!D26-VERI_TABANI!D26*B581), VERI_TABANI!D26*C581)*VERI_TABANI!$B$7 + MAX(0, VERI_TABANI!D26*C581-MAX(0, VERI_TABANI!D26-VERI_TABANI!D26*B581))*VERI_TABANI!$B$8) + IF(ABS(IF(ISNUMBER(SEARCH("Var", D581)), 1, IF(ISNUMBER(SEARCH("Gri", D581)), -1, 0)))=1, VERI_TABANI!E26*(1-0.928)*VERI_TABANI!$B$9, 0) + (VERI_TABANI!D26*B581*(VERI_TABANI!$B$13-VERI_TABANI!$B$14)*VERI_TABANI!G26) + (VERI_TABANI!D26*C581*(VERI_TABANI!$B$13-VERI_TABANI!$B$15)*VERI_TABANI!G26) + IF(ABS(IF(ISNUMBER(SEARCH("Var", D581)), 1, IF(ISNUMBER(SEARCH("Gri", D581)), -1, 0)))=1, VERI_TABANI!E26*(1-0.928)*0.00206091519919798*VERI_TABANI!G26, 0)) + ((MIN(VERI_TABANI!D27, VERI_TABANI!D27*B581)*VERI_TABANI!$B$7 + MAX(0, VERI_TABANI!D27*B581-VERI_TABANI!D27)*VERI_TABANI!$B$8) + (MIN(MAX(0, VERI_TABANI!D27-VERI_TABANI!D27*B581), VERI_TABANI!D27*C581)*VERI_TABANI!$B$7 + MAX(0, VERI_TABANI!D27*C581-MAX(0, VERI_TABANI!D27-VERI_TABANI!D27*B581))*VERI_TABANI!$B$8) + IF(ABS(IF(ISNUMBER(SEARCH("Var", D581)), 1, IF(ISNUMBER(SEARCH("Gri", D581)), -1, 0)))=1, VERI_TABANI!E27*(1-0.928)*VERI_TABANI!$B$9, 0) + (VERI_TABANI!D27*B581*(VERI_TABANI!$B$13-VERI_TABANI!$B$14)*VERI_TABANI!G27) + (VERI_TABANI!D27*C581*(VERI_TABANI!$B$13-VERI_TABANI!$B$15)*VERI_TABANI!G27) + IF(ABS(IF(ISNUMBER(SEARCH("Var", D581)), 1, IF(ISNUMBER(SEARCH("Gri", D581)), -1, 0)))=1, VERI_TABANI!E27*(1-0.928)*0.00206091519919798*VERI_TABANI!G27, 0)) + ((MIN(VERI_TABANI!D28, VERI_TABANI!D28*B581)*VERI_TABANI!$B$7 + MAX(0, VERI_TABANI!D28*B581-VERI_TABANI!D28)*VERI_TABANI!$B$8) + (MIN(MAX(0, VERI_TABANI!D28-VERI_TABANI!D28*B581), VERI_TABANI!D28*C581)*VERI_TABANI!$B$7 + MAX(0, VERI_TABANI!D28*C581-MAX(0, VERI_TABANI!D28-VERI_TABANI!D28*B581))*VERI_TABANI!$B$8) + IF(ABS(IF(ISNUMBER(SEARCH("Var", D581)), 1, IF(ISNUMBER(SEARCH("Gri", D581)), -1, 0)))=1, VERI_TABANI!E28*(1-0.928)*VERI_TABANI!$B$9, 0) + (VERI_TABANI!D28*B581*(VERI_TABANI!$B$13-VERI_TABANI!$B$14)*VERI_TABANI!G28) + (VERI_TABANI!D28*C581*(VERI_TABANI!$B$13-VERI_TABANI!$B$15)*VERI_TABANI!G28) + IF(ABS(IF(ISNUMBER(SEARCH("Var", D581)), 1, IF(ISNUMBER(SEARCH("Gri", D581)), -1, 0)))=1, VERI_TABANI!E28*(1-0.928)*0.00206091519919798*VERI_TABANI!G28, 0)))</f>
        <v/>
      </c>
      <c r="H581" s="169">
        <f>(((VERI_TABANI!D23*B581*(VERI_TABANI!$B$13-VERI_TABANI!$B$14)) + (VERI_TABANI!D23*C581*(VERI_TABANI!$B$13-VERI_TABANI!$B$15)) + IF(ISNUMBER(SEARCH("Var", D581)), VERI_TABANI!F23*(0.00202-VERI_TABANI!$B$16), IF(ISNUMBER(SEARCH("Gri", D581)), VERI_TABANI!F23*(0.00202-VERI_TABANI!$B$17), 0))) + ((VERI_TABANI!D24*B581*(VERI_TABANI!$B$13-VERI_TABANI!$B$14)) + (VERI_TABANI!D24*C581*(VERI_TABANI!$B$13-VERI_TABANI!$B$15)) + IF(ISNUMBER(SEARCH("Var", D581)), VERI_TABANI!F24*(0.00202-VERI_TABANI!$B$16), IF(ISNUMBER(SEARCH("Gri", D581)), VERI_TABANI!F24*(0.00202-VERI_TABANI!$B$17), 0))) + ((VERI_TABANI!D25*B581*(VERI_TABANI!$B$13-VERI_TABANI!$B$14)) + (VERI_TABANI!D25*C581*(VERI_TABANI!$B$13-VERI_TABANI!$B$15)) + IF(ISNUMBER(SEARCH("Var", D581)), VERI_TABANI!F25*(0.00202-VERI_TABANI!$B$16), IF(ISNUMBER(SEARCH("Gri", D581)), VERI_TABANI!F25*(0.00202-VERI_TABANI!$B$17), 0))) + ((VERI_TABANI!D26*B581*(VERI_TABANI!$B$13-VERI_TABANI!$B$14)) + (VERI_TABANI!D26*C581*(VERI_TABANI!$B$13-VERI_TABANI!$B$15)) + IF(ISNUMBER(SEARCH("Var", D581)), VERI_TABANI!F26*(0.00202-VERI_TABANI!$B$16), IF(ISNUMBER(SEARCH("Gri", D581)), VERI_TABANI!F26*(0.00202-VERI_TABANI!$B$17), 0))) + ((VERI_TABANI!D27*B581*(VERI_TABANI!$B$13-VERI_TABANI!$B$14)) + (VERI_TABANI!D27*C581*(VERI_TABANI!$B$13-VERI_TABANI!$B$15)) + IF(ISNUMBER(SEARCH("Var", D581)), VERI_TABANI!F27*(0.00202-VERI_TABANI!$B$16), IF(ISNUMBER(SEARCH("Gri", D581)), VERI_TABANI!F27*(0.00202-VERI_TABANI!$B$17), 0))) + ((VERI_TABANI!D28*B581*(VERI_TABANI!$B$13-VERI_TABANI!$B$14)) + (VERI_TABANI!D28*C581*(VERI_TABANI!$B$13-VERI_TABANI!$B$15)) + IF(ISNUMBER(SEARCH("Var", D581)), VERI_TABANI!F28*(0.00202-VERI_TABANI!$B$16), IF(ISNUMBER(SEARCH("Gri", D581)), VERI_TABANI!F28*(0.00202-VERI_TABANI!$B$17), 0))))</f>
        <v/>
      </c>
      <c r="I581" s="170">
        <f>IFERROR(((VERI_TABANI!$D$29*B581*VERI_TABANI!$B$14 + VERI_TABANI!$D$29*C581*VERI_TABANI!$B$15 + IF(ISNUMBER(SEARCH("Var", D581)), VERI_TABANI!$F$29*VERI_TABANI!$B$16, 0))) / (((VERI_TABANI!$D$29*B581 + VERI_TABANI!$D$29*C581)*VERI_TABANI!$B$13 + IF(ISNUMBER(SEARCH("Var", D581)), VERI_TABANI!$E$29*(1-0.928)*VERI_TABANI!$B$18, 0))), 0)</f>
        <v/>
      </c>
      <c r="J581" s="171">
        <f>IFERROR(F581/(G581/29), 0)</f>
        <v/>
      </c>
      <c r="K581" s="172">
        <f>IF(F581&gt;0, H581/F581, 0)</f>
        <v/>
      </c>
      <c r="L581" s="170">
        <f>IF(F581&gt;0, I581, 1000000000)</f>
        <v/>
      </c>
      <c r="M581" s="171">
        <f>ABS((B581+C581)-1)</f>
        <v/>
      </c>
      <c r="N581" s="170">
        <f>IF(F581&gt;0, (G581/29)/F581, 0)</f>
        <v/>
      </c>
      <c r="O581" s="168">
        <f>IF(AND((B581+C581)&gt;=1, ISNUMBER(SEARCH("Var", D581))), F581, 1000000000)</f>
        <v/>
      </c>
      <c r="P581" s="172">
        <f>IF(F581&gt;0, SQRT((F581/MAX(F$5:F$886))^2 + (1 - H581/MAX(H$5:H$886))^2 + (J581/MAX(J$5:J$886))^2), 1000000000)</f>
        <v/>
      </c>
      <c r="Q581" s="166">
        <f>IF(AND(ABS(B581-0.5)&lt;0.01, ABS(C581-0.5)&lt;0.01, ISNUMBER(SEARCH("Var", D581))), 1, 0)</f>
        <v/>
      </c>
      <c r="R581" s="171">
        <f>IF(F581&gt;0, J581, 1000000000)</f>
        <v/>
      </c>
      <c r="S581" s="101">
        <f>IF(AND(F581&lt;=DASHBOARD!$B$11, H581&gt;=DASHBOARD!$B$13), G581, -1000000000000)</f>
        <v/>
      </c>
      <c r="T581" s="101">
        <f>IF(AND(F581&lt;=DASHBOARD!$B$11, H581&gt;=DASHBOARD!$B$13), R581, 1000000000000)</f>
        <v/>
      </c>
      <c r="U581" s="101">
        <f>IF(AND(F581&lt;=DASHBOARD!$B$11, H581&gt;=DASHBOARD!$B$13), N581, -1000000000000)</f>
        <v/>
      </c>
      <c r="V581" s="101">
        <f>IF(AND(F581&lt;=DASHBOARD!$B$11, H581&gt;=DASHBOARD!$B$13), H581, -1000000000000)</f>
        <v/>
      </c>
      <c r="W581" s="101">
        <f>IF(AND(F581&lt;=DASHBOARD!$B$11, H581&gt;=DASHBOARD!$B$13), K581, -1000000000000)</f>
        <v/>
      </c>
      <c r="X581" s="101">
        <f>IF(AND(F581&lt;=DASHBOARD!$B$11, H581&gt;=DASHBOARD!$B$13), M581, 1000000000000)</f>
        <v/>
      </c>
      <c r="Y581" s="101">
        <f>IF(AND(F581&lt;=DASHBOARD!$B$10, H581&gt;=DASHBOARD!$B$11), L581, 1000000000000)</f>
        <v/>
      </c>
      <c r="Z581" s="101">
        <f>IF(AND(F581&lt;=DASHBOARD!$B$10, H581&gt;=DASHBOARD!$B$11), O581, 1000000000000)</f>
        <v/>
      </c>
      <c r="AA581" s="101">
        <f>IF(AND(F581&lt;=DASHBOARD!$B$10, H581&gt;=DASHBOARD!$B$11), P581, 1000000000000)</f>
        <v/>
      </c>
      <c r="AB581" s="101">
        <f>IF(AND(F581&lt;=DASHBOARD!$B$10, H581&gt;=DASHBOARD!$B$11), Q581, -1000000000000)</f>
        <v/>
      </c>
    </row>
    <row r="582" ht="15" customHeight="1" s="102">
      <c r="A582" s="166" t="n">
        <v>578</v>
      </c>
      <c r="B582" s="167" t="n">
        <v>1.3</v>
      </c>
      <c r="C582" s="167" t="n">
        <v>1.5</v>
      </c>
      <c r="D582" s="110" t="inlineStr">
        <is>
          <t>Var (%20)</t>
        </is>
      </c>
      <c r="E582" s="110">
        <f>IF((B582+C582)&lt;=1, "Tam Mahsuplaşma (≤%100)", "Kısmi Satış (&gt;%100)")</f>
        <v/>
      </c>
      <c r="F582" s="168">
        <f>((VERI_TABANI!$D$29*B582/VERI_TABANI!$B$29)/VERI_TABANI!$B$3)*VERI_TABANI!$B$5 + ((VERI_TABANI!$D$29*C582/VERI_TABANI!$B$29)/VERI_TABANI!$B$4)*VERI_TABANI!$B$6 + IF(ISNUMBER(SEARCH("Var", D582)), (VERI_TABANI!$F$29/VERI_TABANI!$B$29)*(VERI_TABANI!$B$10+VERI_TABANI!$B$12), 0)</f>
        <v/>
      </c>
      <c r="G582" s="168">
        <f>(((MIN(VERI_TABANI!D23, VERI_TABANI!D23*B582)*VERI_TABANI!$B$7 + MAX(0, VERI_TABANI!D23*B582-VERI_TABANI!D23)*VERI_TABANI!$B$8) + (MIN(MAX(0, VERI_TABANI!D23-VERI_TABANI!D23*B582), VERI_TABANI!D23*C582)*VERI_TABANI!$B$7 + MAX(0, VERI_TABANI!D23*C582-MAX(0, VERI_TABANI!D23-VERI_TABANI!D23*B582))*VERI_TABANI!$B$8) + IF(ABS(IF(ISNUMBER(SEARCH("Var", D582)), 1, IF(ISNUMBER(SEARCH("Gri", D582)), -1, 0)))=1, VERI_TABANI!E23*(1-0.928)*VERI_TABANI!$B$9, 0) + (VERI_TABANI!D23*B582*(VERI_TABANI!$B$13-VERI_TABANI!$B$14)*VERI_TABANI!G23) + (VERI_TABANI!D23*C582*(VERI_TABANI!$B$13-VERI_TABANI!$B$15)*VERI_TABANI!G23) + IF(ABS(IF(ISNUMBER(SEARCH("Var", D582)), 1, IF(ISNUMBER(SEARCH("Gri", D582)), -1, 0)))=1, VERI_TABANI!E23*(1-0.928)*0.00206091519919798*VERI_TABANI!G23, 0)) + ((MIN(VERI_TABANI!D24, VERI_TABANI!D24*B582)*VERI_TABANI!$B$7 + MAX(0, VERI_TABANI!D24*B582-VERI_TABANI!D24)*VERI_TABANI!$B$8) + (MIN(MAX(0, VERI_TABANI!D24-VERI_TABANI!D24*B582), VERI_TABANI!D24*C582)*VERI_TABANI!$B$7 + MAX(0, VERI_TABANI!D24*C582-MAX(0, VERI_TABANI!D24-VERI_TABANI!D24*B582))*VERI_TABANI!$B$8) + IF(ABS(IF(ISNUMBER(SEARCH("Var", D582)), 1, IF(ISNUMBER(SEARCH("Gri", D582)), -1, 0)))=1, VERI_TABANI!E24*(1-0.928)*VERI_TABANI!$B$9, 0) + (VERI_TABANI!D24*B582*(VERI_TABANI!$B$13-VERI_TABANI!$B$14)*VERI_TABANI!G24) + (VERI_TABANI!D24*C582*(VERI_TABANI!$B$13-VERI_TABANI!$B$15)*VERI_TABANI!G24) + IF(ABS(IF(ISNUMBER(SEARCH("Var", D582)), 1, IF(ISNUMBER(SEARCH("Gri", D582)), -1, 0)))=1, VERI_TABANI!E24*(1-0.928)*0.00206091519919798*VERI_TABANI!G24, 0)) + ((MIN(VERI_TABANI!D25, VERI_TABANI!D25*B582)*VERI_TABANI!$B$7 + MAX(0, VERI_TABANI!D25*B582-VERI_TABANI!D25)*VERI_TABANI!$B$8) + (MIN(MAX(0, VERI_TABANI!D25-VERI_TABANI!D25*B582), VERI_TABANI!D25*C582)*VERI_TABANI!$B$7 + MAX(0, VERI_TABANI!D25*C582-MAX(0, VERI_TABANI!D25-VERI_TABANI!D25*B582))*VERI_TABANI!$B$8) + IF(ABS(IF(ISNUMBER(SEARCH("Var", D582)), 1, IF(ISNUMBER(SEARCH("Gri", D582)), -1, 0)))=1, VERI_TABANI!E25*(1-0.928)*VERI_TABANI!$B$9, 0) + (VERI_TABANI!D25*B582*(VERI_TABANI!$B$13-VERI_TABANI!$B$14)*VERI_TABANI!G25) + (VERI_TABANI!D25*C582*(VERI_TABANI!$B$13-VERI_TABANI!$B$15)*VERI_TABANI!G25) + IF(ABS(IF(ISNUMBER(SEARCH("Var", D582)), 1, IF(ISNUMBER(SEARCH("Gri", D582)), -1, 0)))=1, VERI_TABANI!E25*(1-0.928)*0.00206091519919798*VERI_TABANI!G25, 0)) + ((MIN(VERI_TABANI!D26, VERI_TABANI!D26*B582)*VERI_TABANI!$B$7 + MAX(0, VERI_TABANI!D26*B582-VERI_TABANI!D26)*VERI_TABANI!$B$8) + (MIN(MAX(0, VERI_TABANI!D26-VERI_TABANI!D26*B582), VERI_TABANI!D26*C582)*VERI_TABANI!$B$7 + MAX(0, VERI_TABANI!D26*C582-MAX(0, VERI_TABANI!D26-VERI_TABANI!D26*B582))*VERI_TABANI!$B$8) + IF(ABS(IF(ISNUMBER(SEARCH("Var", D582)), 1, IF(ISNUMBER(SEARCH("Gri", D582)), -1, 0)))=1, VERI_TABANI!E26*(1-0.928)*VERI_TABANI!$B$9, 0) + (VERI_TABANI!D26*B582*(VERI_TABANI!$B$13-VERI_TABANI!$B$14)*VERI_TABANI!G26) + (VERI_TABANI!D26*C582*(VERI_TABANI!$B$13-VERI_TABANI!$B$15)*VERI_TABANI!G26) + IF(ABS(IF(ISNUMBER(SEARCH("Var", D582)), 1, IF(ISNUMBER(SEARCH("Gri", D582)), -1, 0)))=1, VERI_TABANI!E26*(1-0.928)*0.00206091519919798*VERI_TABANI!G26, 0)) + ((MIN(VERI_TABANI!D27, VERI_TABANI!D27*B582)*VERI_TABANI!$B$7 + MAX(0, VERI_TABANI!D27*B582-VERI_TABANI!D27)*VERI_TABANI!$B$8) + (MIN(MAX(0, VERI_TABANI!D27-VERI_TABANI!D27*B582), VERI_TABANI!D27*C582)*VERI_TABANI!$B$7 + MAX(0, VERI_TABANI!D27*C582-MAX(0, VERI_TABANI!D27-VERI_TABANI!D27*B582))*VERI_TABANI!$B$8) + IF(ABS(IF(ISNUMBER(SEARCH("Var", D582)), 1, IF(ISNUMBER(SEARCH("Gri", D582)), -1, 0)))=1, VERI_TABANI!E27*(1-0.928)*VERI_TABANI!$B$9, 0) + (VERI_TABANI!D27*B582*(VERI_TABANI!$B$13-VERI_TABANI!$B$14)*VERI_TABANI!G27) + (VERI_TABANI!D27*C582*(VERI_TABANI!$B$13-VERI_TABANI!$B$15)*VERI_TABANI!G27) + IF(ABS(IF(ISNUMBER(SEARCH("Var", D582)), 1, IF(ISNUMBER(SEARCH("Gri", D582)), -1, 0)))=1, VERI_TABANI!E27*(1-0.928)*0.00206091519919798*VERI_TABANI!G27, 0)) + ((MIN(VERI_TABANI!D28, VERI_TABANI!D28*B582)*VERI_TABANI!$B$7 + MAX(0, VERI_TABANI!D28*B582-VERI_TABANI!D28)*VERI_TABANI!$B$8) + (MIN(MAX(0, VERI_TABANI!D28-VERI_TABANI!D28*B582), VERI_TABANI!D28*C582)*VERI_TABANI!$B$7 + MAX(0, VERI_TABANI!D28*C582-MAX(0, VERI_TABANI!D28-VERI_TABANI!D28*B582))*VERI_TABANI!$B$8) + IF(ABS(IF(ISNUMBER(SEARCH("Var", D582)), 1, IF(ISNUMBER(SEARCH("Gri", D582)), -1, 0)))=1, VERI_TABANI!E28*(1-0.928)*VERI_TABANI!$B$9, 0) + (VERI_TABANI!D28*B582*(VERI_TABANI!$B$13-VERI_TABANI!$B$14)*VERI_TABANI!G28) + (VERI_TABANI!D28*C582*(VERI_TABANI!$B$13-VERI_TABANI!$B$15)*VERI_TABANI!G28) + IF(ABS(IF(ISNUMBER(SEARCH("Var", D582)), 1, IF(ISNUMBER(SEARCH("Gri", D582)), -1, 0)))=1, VERI_TABANI!E28*(1-0.928)*0.00206091519919798*VERI_TABANI!G28, 0)))</f>
        <v/>
      </c>
      <c r="H582" s="169">
        <f>(((VERI_TABANI!D23*B582*(VERI_TABANI!$B$13-VERI_TABANI!$B$14)) + (VERI_TABANI!D23*C582*(VERI_TABANI!$B$13-VERI_TABANI!$B$15)) + IF(ISNUMBER(SEARCH("Var", D582)), VERI_TABANI!F23*(0.00202-VERI_TABANI!$B$16), IF(ISNUMBER(SEARCH("Gri", D582)), VERI_TABANI!F23*(0.00202-VERI_TABANI!$B$17), 0))) + ((VERI_TABANI!D24*B582*(VERI_TABANI!$B$13-VERI_TABANI!$B$14)) + (VERI_TABANI!D24*C582*(VERI_TABANI!$B$13-VERI_TABANI!$B$15)) + IF(ISNUMBER(SEARCH("Var", D582)), VERI_TABANI!F24*(0.00202-VERI_TABANI!$B$16), IF(ISNUMBER(SEARCH("Gri", D582)), VERI_TABANI!F24*(0.00202-VERI_TABANI!$B$17), 0))) + ((VERI_TABANI!D25*B582*(VERI_TABANI!$B$13-VERI_TABANI!$B$14)) + (VERI_TABANI!D25*C582*(VERI_TABANI!$B$13-VERI_TABANI!$B$15)) + IF(ISNUMBER(SEARCH("Var", D582)), VERI_TABANI!F25*(0.00202-VERI_TABANI!$B$16), IF(ISNUMBER(SEARCH("Gri", D582)), VERI_TABANI!F25*(0.00202-VERI_TABANI!$B$17), 0))) + ((VERI_TABANI!D26*B582*(VERI_TABANI!$B$13-VERI_TABANI!$B$14)) + (VERI_TABANI!D26*C582*(VERI_TABANI!$B$13-VERI_TABANI!$B$15)) + IF(ISNUMBER(SEARCH("Var", D582)), VERI_TABANI!F26*(0.00202-VERI_TABANI!$B$16), IF(ISNUMBER(SEARCH("Gri", D582)), VERI_TABANI!F26*(0.00202-VERI_TABANI!$B$17), 0))) + ((VERI_TABANI!D27*B582*(VERI_TABANI!$B$13-VERI_TABANI!$B$14)) + (VERI_TABANI!D27*C582*(VERI_TABANI!$B$13-VERI_TABANI!$B$15)) + IF(ISNUMBER(SEARCH("Var", D582)), VERI_TABANI!F27*(0.00202-VERI_TABANI!$B$16), IF(ISNUMBER(SEARCH("Gri", D582)), VERI_TABANI!F27*(0.00202-VERI_TABANI!$B$17), 0))) + ((VERI_TABANI!D28*B582*(VERI_TABANI!$B$13-VERI_TABANI!$B$14)) + (VERI_TABANI!D28*C582*(VERI_TABANI!$B$13-VERI_TABANI!$B$15)) + IF(ISNUMBER(SEARCH("Var", D582)), VERI_TABANI!F28*(0.00202-VERI_TABANI!$B$16), IF(ISNUMBER(SEARCH("Gri", D582)), VERI_TABANI!F28*(0.00202-VERI_TABANI!$B$17), 0))))</f>
        <v/>
      </c>
      <c r="I582" s="170">
        <f>IFERROR(((VERI_TABANI!$D$29*B582*VERI_TABANI!$B$14 + VERI_TABANI!$D$29*C582*VERI_TABANI!$B$15 + IF(ISNUMBER(SEARCH("Var", D582)), VERI_TABANI!$F$29*VERI_TABANI!$B$16, 0))) / (((VERI_TABANI!$D$29*B582 + VERI_TABANI!$D$29*C582)*VERI_TABANI!$B$13 + IF(ISNUMBER(SEARCH("Var", D582)), VERI_TABANI!$E$29*(1-0.928)*VERI_TABANI!$B$18, 0))), 0)</f>
        <v/>
      </c>
      <c r="J582" s="171">
        <f>IFERROR(F582/(G582/29), 0)</f>
        <v/>
      </c>
      <c r="K582" s="172">
        <f>IF(F582&gt;0, H582/F582, 0)</f>
        <v/>
      </c>
      <c r="L582" s="170">
        <f>IF(F582&gt;0, I582, 1000000000)</f>
        <v/>
      </c>
      <c r="M582" s="171">
        <f>ABS((B582+C582)-1)</f>
        <v/>
      </c>
      <c r="N582" s="170">
        <f>IF(F582&gt;0, (G582/29)/F582, 0)</f>
        <v/>
      </c>
      <c r="O582" s="168">
        <f>IF(AND((B582+C582)&gt;=1, ISNUMBER(SEARCH("Var", D582))), F582, 1000000000)</f>
        <v/>
      </c>
      <c r="P582" s="172">
        <f>IF(F582&gt;0, SQRT((F582/MAX(F$5:F$886))^2 + (1 - H582/MAX(H$5:H$886))^2 + (J582/MAX(J$5:J$886))^2), 1000000000)</f>
        <v/>
      </c>
      <c r="Q582" s="166">
        <f>IF(AND(ABS(B582-0.5)&lt;0.01, ABS(C582-0.5)&lt;0.01, ISNUMBER(SEARCH("Var", D582))), 1, 0)</f>
        <v/>
      </c>
      <c r="R582" s="171">
        <f>IF(F582&gt;0, J582, 1000000000)</f>
        <v/>
      </c>
      <c r="S582" s="101">
        <f>IF(AND(F582&lt;=DASHBOARD!$B$11, H582&gt;=DASHBOARD!$B$13), G582, -1000000000000)</f>
        <v/>
      </c>
      <c r="T582" s="101">
        <f>IF(AND(F582&lt;=DASHBOARD!$B$11, H582&gt;=DASHBOARD!$B$13), R582, 1000000000000)</f>
        <v/>
      </c>
      <c r="U582" s="101">
        <f>IF(AND(F582&lt;=DASHBOARD!$B$11, H582&gt;=DASHBOARD!$B$13), N582, -1000000000000)</f>
        <v/>
      </c>
      <c r="V582" s="101">
        <f>IF(AND(F582&lt;=DASHBOARD!$B$11, H582&gt;=DASHBOARD!$B$13), H582, -1000000000000)</f>
        <v/>
      </c>
      <c r="W582" s="101">
        <f>IF(AND(F582&lt;=DASHBOARD!$B$11, H582&gt;=DASHBOARD!$B$13), K582, -1000000000000)</f>
        <v/>
      </c>
      <c r="X582" s="101">
        <f>IF(AND(F582&lt;=DASHBOARD!$B$11, H582&gt;=DASHBOARD!$B$13), M582, 1000000000000)</f>
        <v/>
      </c>
      <c r="Y582" s="101">
        <f>IF(AND(F582&lt;=DASHBOARD!$B$10, H582&gt;=DASHBOARD!$B$11), L582, 1000000000000)</f>
        <v/>
      </c>
      <c r="Z582" s="101">
        <f>IF(AND(F582&lt;=DASHBOARD!$B$10, H582&gt;=DASHBOARD!$B$11), O582, 1000000000000)</f>
        <v/>
      </c>
      <c r="AA582" s="101">
        <f>IF(AND(F582&lt;=DASHBOARD!$B$10, H582&gt;=DASHBOARD!$B$11), P582, 1000000000000)</f>
        <v/>
      </c>
      <c r="AB582" s="101">
        <f>IF(AND(F582&lt;=DASHBOARD!$B$10, H582&gt;=DASHBOARD!$B$11), Q582, -1000000000000)</f>
        <v/>
      </c>
    </row>
    <row r="583" ht="15" customHeight="1" s="102">
      <c r="A583" s="166" t="n">
        <v>579</v>
      </c>
      <c r="B583" s="167" t="n">
        <v>1.3</v>
      </c>
      <c r="C583" s="167" t="n">
        <v>1.6</v>
      </c>
      <c r="D583" s="110" t="inlineStr">
        <is>
          <t>Yok (%0)</t>
        </is>
      </c>
      <c r="E583" s="110">
        <f>IF((B583+C583)&lt;=1, "Tam Mahsuplaşma (≤%100)", "Kısmi Satış (&gt;%100)")</f>
        <v/>
      </c>
      <c r="F583" s="168">
        <f>((VERI_TABANI!$D$29*B583/VERI_TABANI!$B$29)/VERI_TABANI!$B$3)*VERI_TABANI!$B$5 + ((VERI_TABANI!$D$29*C583/VERI_TABANI!$B$29)/VERI_TABANI!$B$4)*VERI_TABANI!$B$6 + IF(ISNUMBER(SEARCH("Var", D583)), (VERI_TABANI!$F$29/VERI_TABANI!$B$29)*(VERI_TABANI!$B$10+VERI_TABANI!$B$12), 0)</f>
        <v/>
      </c>
      <c r="G583" s="168">
        <f>(((MIN(VERI_TABANI!D23, VERI_TABANI!D23*B583)*VERI_TABANI!$B$7 + MAX(0, VERI_TABANI!D23*B583-VERI_TABANI!D23)*VERI_TABANI!$B$8) + (MIN(MAX(0, VERI_TABANI!D23-VERI_TABANI!D23*B583), VERI_TABANI!D23*C583)*VERI_TABANI!$B$7 + MAX(0, VERI_TABANI!D23*C583-MAX(0, VERI_TABANI!D23-VERI_TABANI!D23*B583))*VERI_TABANI!$B$8) + IF(ABS(IF(ISNUMBER(SEARCH("Var", D583)), 1, IF(ISNUMBER(SEARCH("Gri", D583)), -1, 0)))=1, VERI_TABANI!E23*(1-0.928)*VERI_TABANI!$B$9, 0) + (VERI_TABANI!D23*B583*(VERI_TABANI!$B$13-VERI_TABANI!$B$14)*VERI_TABANI!G23) + (VERI_TABANI!D23*C583*(VERI_TABANI!$B$13-VERI_TABANI!$B$15)*VERI_TABANI!G23) + IF(ABS(IF(ISNUMBER(SEARCH("Var", D583)), 1, IF(ISNUMBER(SEARCH("Gri", D583)), -1, 0)))=1, VERI_TABANI!E23*(1-0.928)*0.00206091519919798*VERI_TABANI!G23, 0)) + ((MIN(VERI_TABANI!D24, VERI_TABANI!D24*B583)*VERI_TABANI!$B$7 + MAX(0, VERI_TABANI!D24*B583-VERI_TABANI!D24)*VERI_TABANI!$B$8) + (MIN(MAX(0, VERI_TABANI!D24-VERI_TABANI!D24*B583), VERI_TABANI!D24*C583)*VERI_TABANI!$B$7 + MAX(0, VERI_TABANI!D24*C583-MAX(0, VERI_TABANI!D24-VERI_TABANI!D24*B583))*VERI_TABANI!$B$8) + IF(ABS(IF(ISNUMBER(SEARCH("Var", D583)), 1, IF(ISNUMBER(SEARCH("Gri", D583)), -1, 0)))=1, VERI_TABANI!E24*(1-0.928)*VERI_TABANI!$B$9, 0) + (VERI_TABANI!D24*B583*(VERI_TABANI!$B$13-VERI_TABANI!$B$14)*VERI_TABANI!G24) + (VERI_TABANI!D24*C583*(VERI_TABANI!$B$13-VERI_TABANI!$B$15)*VERI_TABANI!G24) + IF(ABS(IF(ISNUMBER(SEARCH("Var", D583)), 1, IF(ISNUMBER(SEARCH("Gri", D583)), -1, 0)))=1, VERI_TABANI!E24*(1-0.928)*0.00206091519919798*VERI_TABANI!G24, 0)) + ((MIN(VERI_TABANI!D25, VERI_TABANI!D25*B583)*VERI_TABANI!$B$7 + MAX(0, VERI_TABANI!D25*B583-VERI_TABANI!D25)*VERI_TABANI!$B$8) + (MIN(MAX(0, VERI_TABANI!D25-VERI_TABANI!D25*B583), VERI_TABANI!D25*C583)*VERI_TABANI!$B$7 + MAX(0, VERI_TABANI!D25*C583-MAX(0, VERI_TABANI!D25-VERI_TABANI!D25*B583))*VERI_TABANI!$B$8) + IF(ABS(IF(ISNUMBER(SEARCH("Var", D583)), 1, IF(ISNUMBER(SEARCH("Gri", D583)), -1, 0)))=1, VERI_TABANI!E25*(1-0.928)*VERI_TABANI!$B$9, 0) + (VERI_TABANI!D25*B583*(VERI_TABANI!$B$13-VERI_TABANI!$B$14)*VERI_TABANI!G25) + (VERI_TABANI!D25*C583*(VERI_TABANI!$B$13-VERI_TABANI!$B$15)*VERI_TABANI!G25) + IF(ABS(IF(ISNUMBER(SEARCH("Var", D583)), 1, IF(ISNUMBER(SEARCH("Gri", D583)), -1, 0)))=1, VERI_TABANI!E25*(1-0.928)*0.00206091519919798*VERI_TABANI!G25, 0)) + ((MIN(VERI_TABANI!D26, VERI_TABANI!D26*B583)*VERI_TABANI!$B$7 + MAX(0, VERI_TABANI!D26*B583-VERI_TABANI!D26)*VERI_TABANI!$B$8) + (MIN(MAX(0, VERI_TABANI!D26-VERI_TABANI!D26*B583), VERI_TABANI!D26*C583)*VERI_TABANI!$B$7 + MAX(0, VERI_TABANI!D26*C583-MAX(0, VERI_TABANI!D26-VERI_TABANI!D26*B583))*VERI_TABANI!$B$8) + IF(ABS(IF(ISNUMBER(SEARCH("Var", D583)), 1, IF(ISNUMBER(SEARCH("Gri", D583)), -1, 0)))=1, VERI_TABANI!E26*(1-0.928)*VERI_TABANI!$B$9, 0) + (VERI_TABANI!D26*B583*(VERI_TABANI!$B$13-VERI_TABANI!$B$14)*VERI_TABANI!G26) + (VERI_TABANI!D26*C583*(VERI_TABANI!$B$13-VERI_TABANI!$B$15)*VERI_TABANI!G26) + IF(ABS(IF(ISNUMBER(SEARCH("Var", D583)), 1, IF(ISNUMBER(SEARCH("Gri", D583)), -1, 0)))=1, VERI_TABANI!E26*(1-0.928)*0.00206091519919798*VERI_TABANI!G26, 0)) + ((MIN(VERI_TABANI!D27, VERI_TABANI!D27*B583)*VERI_TABANI!$B$7 + MAX(0, VERI_TABANI!D27*B583-VERI_TABANI!D27)*VERI_TABANI!$B$8) + (MIN(MAX(0, VERI_TABANI!D27-VERI_TABANI!D27*B583), VERI_TABANI!D27*C583)*VERI_TABANI!$B$7 + MAX(0, VERI_TABANI!D27*C583-MAX(0, VERI_TABANI!D27-VERI_TABANI!D27*B583))*VERI_TABANI!$B$8) + IF(ABS(IF(ISNUMBER(SEARCH("Var", D583)), 1, IF(ISNUMBER(SEARCH("Gri", D583)), -1, 0)))=1, VERI_TABANI!E27*(1-0.928)*VERI_TABANI!$B$9, 0) + (VERI_TABANI!D27*B583*(VERI_TABANI!$B$13-VERI_TABANI!$B$14)*VERI_TABANI!G27) + (VERI_TABANI!D27*C583*(VERI_TABANI!$B$13-VERI_TABANI!$B$15)*VERI_TABANI!G27) + IF(ABS(IF(ISNUMBER(SEARCH("Var", D583)), 1, IF(ISNUMBER(SEARCH("Gri", D583)), -1, 0)))=1, VERI_TABANI!E27*(1-0.928)*0.00206091519919798*VERI_TABANI!G27, 0)) + ((MIN(VERI_TABANI!D28, VERI_TABANI!D28*B583)*VERI_TABANI!$B$7 + MAX(0, VERI_TABANI!D28*B583-VERI_TABANI!D28)*VERI_TABANI!$B$8) + (MIN(MAX(0, VERI_TABANI!D28-VERI_TABANI!D28*B583), VERI_TABANI!D28*C583)*VERI_TABANI!$B$7 + MAX(0, VERI_TABANI!D28*C583-MAX(0, VERI_TABANI!D28-VERI_TABANI!D28*B583))*VERI_TABANI!$B$8) + IF(ABS(IF(ISNUMBER(SEARCH("Var", D583)), 1, IF(ISNUMBER(SEARCH("Gri", D583)), -1, 0)))=1, VERI_TABANI!E28*(1-0.928)*VERI_TABANI!$B$9, 0) + (VERI_TABANI!D28*B583*(VERI_TABANI!$B$13-VERI_TABANI!$B$14)*VERI_TABANI!G28) + (VERI_TABANI!D28*C583*(VERI_TABANI!$B$13-VERI_TABANI!$B$15)*VERI_TABANI!G28) + IF(ABS(IF(ISNUMBER(SEARCH("Var", D583)), 1, IF(ISNUMBER(SEARCH("Gri", D583)), -1, 0)))=1, VERI_TABANI!E28*(1-0.928)*0.00206091519919798*VERI_TABANI!G28, 0)))</f>
        <v/>
      </c>
      <c r="H583" s="169">
        <f>(((VERI_TABANI!D23*B583*(VERI_TABANI!$B$13-VERI_TABANI!$B$14)) + (VERI_TABANI!D23*C583*(VERI_TABANI!$B$13-VERI_TABANI!$B$15)) + IF(ISNUMBER(SEARCH("Var", D583)), VERI_TABANI!F23*(0.00202-VERI_TABANI!$B$16), IF(ISNUMBER(SEARCH("Gri", D583)), VERI_TABANI!F23*(0.00202-VERI_TABANI!$B$17), 0))) + ((VERI_TABANI!D24*B583*(VERI_TABANI!$B$13-VERI_TABANI!$B$14)) + (VERI_TABANI!D24*C583*(VERI_TABANI!$B$13-VERI_TABANI!$B$15)) + IF(ISNUMBER(SEARCH("Var", D583)), VERI_TABANI!F24*(0.00202-VERI_TABANI!$B$16), IF(ISNUMBER(SEARCH("Gri", D583)), VERI_TABANI!F24*(0.00202-VERI_TABANI!$B$17), 0))) + ((VERI_TABANI!D25*B583*(VERI_TABANI!$B$13-VERI_TABANI!$B$14)) + (VERI_TABANI!D25*C583*(VERI_TABANI!$B$13-VERI_TABANI!$B$15)) + IF(ISNUMBER(SEARCH("Var", D583)), VERI_TABANI!F25*(0.00202-VERI_TABANI!$B$16), IF(ISNUMBER(SEARCH("Gri", D583)), VERI_TABANI!F25*(0.00202-VERI_TABANI!$B$17), 0))) + ((VERI_TABANI!D26*B583*(VERI_TABANI!$B$13-VERI_TABANI!$B$14)) + (VERI_TABANI!D26*C583*(VERI_TABANI!$B$13-VERI_TABANI!$B$15)) + IF(ISNUMBER(SEARCH("Var", D583)), VERI_TABANI!F26*(0.00202-VERI_TABANI!$B$16), IF(ISNUMBER(SEARCH("Gri", D583)), VERI_TABANI!F26*(0.00202-VERI_TABANI!$B$17), 0))) + ((VERI_TABANI!D27*B583*(VERI_TABANI!$B$13-VERI_TABANI!$B$14)) + (VERI_TABANI!D27*C583*(VERI_TABANI!$B$13-VERI_TABANI!$B$15)) + IF(ISNUMBER(SEARCH("Var", D583)), VERI_TABANI!F27*(0.00202-VERI_TABANI!$B$16), IF(ISNUMBER(SEARCH("Gri", D583)), VERI_TABANI!F27*(0.00202-VERI_TABANI!$B$17), 0))) + ((VERI_TABANI!D28*B583*(VERI_TABANI!$B$13-VERI_TABANI!$B$14)) + (VERI_TABANI!D28*C583*(VERI_TABANI!$B$13-VERI_TABANI!$B$15)) + IF(ISNUMBER(SEARCH("Var", D583)), VERI_TABANI!F28*(0.00202-VERI_TABANI!$B$16), IF(ISNUMBER(SEARCH("Gri", D583)), VERI_TABANI!F28*(0.00202-VERI_TABANI!$B$17), 0))))</f>
        <v/>
      </c>
      <c r="I583" s="170">
        <f>IFERROR(((VERI_TABANI!$D$29*B583*VERI_TABANI!$B$14 + VERI_TABANI!$D$29*C583*VERI_TABANI!$B$15 + IF(ISNUMBER(SEARCH("Var", D583)), VERI_TABANI!$F$29*VERI_TABANI!$B$16, 0))) / (((VERI_TABANI!$D$29*B583 + VERI_TABANI!$D$29*C583)*VERI_TABANI!$B$13 + IF(ISNUMBER(SEARCH("Var", D583)), VERI_TABANI!$E$29*(1-0.928)*VERI_TABANI!$B$18, 0))), 0)</f>
        <v/>
      </c>
      <c r="J583" s="171">
        <f>IFERROR(F583/(G583/29), 0)</f>
        <v/>
      </c>
      <c r="K583" s="172">
        <f>IF(F583&gt;0, H583/F583, 0)</f>
        <v/>
      </c>
      <c r="L583" s="170">
        <f>IF(F583&gt;0, I583, 1000000000)</f>
        <v/>
      </c>
      <c r="M583" s="171">
        <f>ABS((B583+C583)-1)</f>
        <v/>
      </c>
      <c r="N583" s="170">
        <f>IF(F583&gt;0, (G583/29)/F583, 0)</f>
        <v/>
      </c>
      <c r="O583" s="168">
        <f>IF(AND((B583+C583)&gt;=1, ISNUMBER(SEARCH("Var", D583))), F583, 1000000000)</f>
        <v/>
      </c>
      <c r="P583" s="172">
        <f>IF(F583&gt;0, SQRT((F583/MAX(F$5:F$886))^2 + (1 - H583/MAX(H$5:H$886))^2 + (J583/MAX(J$5:J$886))^2), 1000000000)</f>
        <v/>
      </c>
      <c r="Q583" s="166">
        <f>IF(AND(ABS(B583-0.5)&lt;0.01, ABS(C583-0.5)&lt;0.01, ISNUMBER(SEARCH("Var", D583))), 1, 0)</f>
        <v/>
      </c>
      <c r="R583" s="171">
        <f>IF(F583&gt;0, J583, 1000000000)</f>
        <v/>
      </c>
      <c r="S583" s="101">
        <f>IF(AND(F583&lt;=DASHBOARD!$B$11, H583&gt;=DASHBOARD!$B$13), G583, -1000000000000)</f>
        <v/>
      </c>
      <c r="T583" s="101">
        <f>IF(AND(F583&lt;=DASHBOARD!$B$11, H583&gt;=DASHBOARD!$B$13), R583, 1000000000000)</f>
        <v/>
      </c>
      <c r="U583" s="101">
        <f>IF(AND(F583&lt;=DASHBOARD!$B$11, H583&gt;=DASHBOARD!$B$13), N583, -1000000000000)</f>
        <v/>
      </c>
      <c r="V583" s="101">
        <f>IF(AND(F583&lt;=DASHBOARD!$B$11, H583&gt;=DASHBOARD!$B$13), H583, -1000000000000)</f>
        <v/>
      </c>
      <c r="W583" s="101">
        <f>IF(AND(F583&lt;=DASHBOARD!$B$11, H583&gt;=DASHBOARD!$B$13), K583, -1000000000000)</f>
        <v/>
      </c>
      <c r="X583" s="101">
        <f>IF(AND(F583&lt;=DASHBOARD!$B$11, H583&gt;=DASHBOARD!$B$13), M583, 1000000000000)</f>
        <v/>
      </c>
      <c r="Y583" s="101">
        <f>IF(AND(F583&lt;=DASHBOARD!$B$10, H583&gt;=DASHBOARD!$B$11), L583, 1000000000000)</f>
        <v/>
      </c>
      <c r="Z583" s="101">
        <f>IF(AND(F583&lt;=DASHBOARD!$B$10, H583&gt;=DASHBOARD!$B$11), O583, 1000000000000)</f>
        <v/>
      </c>
      <c r="AA583" s="101">
        <f>IF(AND(F583&lt;=DASHBOARD!$B$10, H583&gt;=DASHBOARD!$B$11), P583, 1000000000000)</f>
        <v/>
      </c>
      <c r="AB583" s="101">
        <f>IF(AND(F583&lt;=DASHBOARD!$B$10, H583&gt;=DASHBOARD!$B$11), Q583, -1000000000000)</f>
        <v/>
      </c>
    </row>
    <row r="584" ht="15" customHeight="1" s="102">
      <c r="A584" s="166" t="n">
        <v>580</v>
      </c>
      <c r="B584" s="167" t="n">
        <v>1.3</v>
      </c>
      <c r="C584" s="167" t="n">
        <v>1.6</v>
      </c>
      <c r="D584" s="110" t="inlineStr">
        <is>
          <t>Var (%20)</t>
        </is>
      </c>
      <c r="E584" s="110">
        <f>IF((B584+C584)&lt;=1, "Tam Mahsuplaşma (≤%100)", "Kısmi Satış (&gt;%100)")</f>
        <v/>
      </c>
      <c r="F584" s="168">
        <f>((VERI_TABANI!$D$29*B584/VERI_TABANI!$B$29)/VERI_TABANI!$B$3)*VERI_TABANI!$B$5 + ((VERI_TABANI!$D$29*C584/VERI_TABANI!$B$29)/VERI_TABANI!$B$4)*VERI_TABANI!$B$6 + IF(ISNUMBER(SEARCH("Var", D584)), (VERI_TABANI!$F$29/VERI_TABANI!$B$29)*(VERI_TABANI!$B$10+VERI_TABANI!$B$12), 0)</f>
        <v/>
      </c>
      <c r="G584" s="168">
        <f>(((MIN(VERI_TABANI!D23, VERI_TABANI!D23*B584)*VERI_TABANI!$B$7 + MAX(0, VERI_TABANI!D23*B584-VERI_TABANI!D23)*VERI_TABANI!$B$8) + (MIN(MAX(0, VERI_TABANI!D23-VERI_TABANI!D23*B584), VERI_TABANI!D23*C584)*VERI_TABANI!$B$7 + MAX(0, VERI_TABANI!D23*C584-MAX(0, VERI_TABANI!D23-VERI_TABANI!D23*B584))*VERI_TABANI!$B$8) + IF(ABS(IF(ISNUMBER(SEARCH("Var", D584)), 1, IF(ISNUMBER(SEARCH("Gri", D584)), -1, 0)))=1, VERI_TABANI!E23*(1-0.928)*VERI_TABANI!$B$9, 0) + (VERI_TABANI!D23*B584*(VERI_TABANI!$B$13-VERI_TABANI!$B$14)*VERI_TABANI!G23) + (VERI_TABANI!D23*C584*(VERI_TABANI!$B$13-VERI_TABANI!$B$15)*VERI_TABANI!G23) + IF(ABS(IF(ISNUMBER(SEARCH("Var", D584)), 1, IF(ISNUMBER(SEARCH("Gri", D584)), -1, 0)))=1, VERI_TABANI!E23*(1-0.928)*0.00206091519919798*VERI_TABANI!G23, 0)) + ((MIN(VERI_TABANI!D24, VERI_TABANI!D24*B584)*VERI_TABANI!$B$7 + MAX(0, VERI_TABANI!D24*B584-VERI_TABANI!D24)*VERI_TABANI!$B$8) + (MIN(MAX(0, VERI_TABANI!D24-VERI_TABANI!D24*B584), VERI_TABANI!D24*C584)*VERI_TABANI!$B$7 + MAX(0, VERI_TABANI!D24*C584-MAX(0, VERI_TABANI!D24-VERI_TABANI!D24*B584))*VERI_TABANI!$B$8) + IF(ABS(IF(ISNUMBER(SEARCH("Var", D584)), 1, IF(ISNUMBER(SEARCH("Gri", D584)), -1, 0)))=1, VERI_TABANI!E24*(1-0.928)*VERI_TABANI!$B$9, 0) + (VERI_TABANI!D24*B584*(VERI_TABANI!$B$13-VERI_TABANI!$B$14)*VERI_TABANI!G24) + (VERI_TABANI!D24*C584*(VERI_TABANI!$B$13-VERI_TABANI!$B$15)*VERI_TABANI!G24) + IF(ABS(IF(ISNUMBER(SEARCH("Var", D584)), 1, IF(ISNUMBER(SEARCH("Gri", D584)), -1, 0)))=1, VERI_TABANI!E24*(1-0.928)*0.00206091519919798*VERI_TABANI!G24, 0)) + ((MIN(VERI_TABANI!D25, VERI_TABANI!D25*B584)*VERI_TABANI!$B$7 + MAX(0, VERI_TABANI!D25*B584-VERI_TABANI!D25)*VERI_TABANI!$B$8) + (MIN(MAX(0, VERI_TABANI!D25-VERI_TABANI!D25*B584), VERI_TABANI!D25*C584)*VERI_TABANI!$B$7 + MAX(0, VERI_TABANI!D25*C584-MAX(0, VERI_TABANI!D25-VERI_TABANI!D25*B584))*VERI_TABANI!$B$8) + IF(ABS(IF(ISNUMBER(SEARCH("Var", D584)), 1, IF(ISNUMBER(SEARCH("Gri", D584)), -1, 0)))=1, VERI_TABANI!E25*(1-0.928)*VERI_TABANI!$B$9, 0) + (VERI_TABANI!D25*B584*(VERI_TABANI!$B$13-VERI_TABANI!$B$14)*VERI_TABANI!G25) + (VERI_TABANI!D25*C584*(VERI_TABANI!$B$13-VERI_TABANI!$B$15)*VERI_TABANI!G25) + IF(ABS(IF(ISNUMBER(SEARCH("Var", D584)), 1, IF(ISNUMBER(SEARCH("Gri", D584)), -1, 0)))=1, VERI_TABANI!E25*(1-0.928)*0.00206091519919798*VERI_TABANI!G25, 0)) + ((MIN(VERI_TABANI!D26, VERI_TABANI!D26*B584)*VERI_TABANI!$B$7 + MAX(0, VERI_TABANI!D26*B584-VERI_TABANI!D26)*VERI_TABANI!$B$8) + (MIN(MAX(0, VERI_TABANI!D26-VERI_TABANI!D26*B584), VERI_TABANI!D26*C584)*VERI_TABANI!$B$7 + MAX(0, VERI_TABANI!D26*C584-MAX(0, VERI_TABANI!D26-VERI_TABANI!D26*B584))*VERI_TABANI!$B$8) + IF(ABS(IF(ISNUMBER(SEARCH("Var", D584)), 1, IF(ISNUMBER(SEARCH("Gri", D584)), -1, 0)))=1, VERI_TABANI!E26*(1-0.928)*VERI_TABANI!$B$9, 0) + (VERI_TABANI!D26*B584*(VERI_TABANI!$B$13-VERI_TABANI!$B$14)*VERI_TABANI!G26) + (VERI_TABANI!D26*C584*(VERI_TABANI!$B$13-VERI_TABANI!$B$15)*VERI_TABANI!G26) + IF(ABS(IF(ISNUMBER(SEARCH("Var", D584)), 1, IF(ISNUMBER(SEARCH("Gri", D584)), -1, 0)))=1, VERI_TABANI!E26*(1-0.928)*0.00206091519919798*VERI_TABANI!G26, 0)) + ((MIN(VERI_TABANI!D27, VERI_TABANI!D27*B584)*VERI_TABANI!$B$7 + MAX(0, VERI_TABANI!D27*B584-VERI_TABANI!D27)*VERI_TABANI!$B$8) + (MIN(MAX(0, VERI_TABANI!D27-VERI_TABANI!D27*B584), VERI_TABANI!D27*C584)*VERI_TABANI!$B$7 + MAX(0, VERI_TABANI!D27*C584-MAX(0, VERI_TABANI!D27-VERI_TABANI!D27*B584))*VERI_TABANI!$B$8) + IF(ABS(IF(ISNUMBER(SEARCH("Var", D584)), 1, IF(ISNUMBER(SEARCH("Gri", D584)), -1, 0)))=1, VERI_TABANI!E27*(1-0.928)*VERI_TABANI!$B$9, 0) + (VERI_TABANI!D27*B584*(VERI_TABANI!$B$13-VERI_TABANI!$B$14)*VERI_TABANI!G27) + (VERI_TABANI!D27*C584*(VERI_TABANI!$B$13-VERI_TABANI!$B$15)*VERI_TABANI!G27) + IF(ABS(IF(ISNUMBER(SEARCH("Var", D584)), 1, IF(ISNUMBER(SEARCH("Gri", D584)), -1, 0)))=1, VERI_TABANI!E27*(1-0.928)*0.00206091519919798*VERI_TABANI!G27, 0)) + ((MIN(VERI_TABANI!D28, VERI_TABANI!D28*B584)*VERI_TABANI!$B$7 + MAX(0, VERI_TABANI!D28*B584-VERI_TABANI!D28)*VERI_TABANI!$B$8) + (MIN(MAX(0, VERI_TABANI!D28-VERI_TABANI!D28*B584), VERI_TABANI!D28*C584)*VERI_TABANI!$B$7 + MAX(0, VERI_TABANI!D28*C584-MAX(0, VERI_TABANI!D28-VERI_TABANI!D28*B584))*VERI_TABANI!$B$8) + IF(ABS(IF(ISNUMBER(SEARCH("Var", D584)), 1, IF(ISNUMBER(SEARCH("Gri", D584)), -1, 0)))=1, VERI_TABANI!E28*(1-0.928)*VERI_TABANI!$B$9, 0) + (VERI_TABANI!D28*B584*(VERI_TABANI!$B$13-VERI_TABANI!$B$14)*VERI_TABANI!G28) + (VERI_TABANI!D28*C584*(VERI_TABANI!$B$13-VERI_TABANI!$B$15)*VERI_TABANI!G28) + IF(ABS(IF(ISNUMBER(SEARCH("Var", D584)), 1, IF(ISNUMBER(SEARCH("Gri", D584)), -1, 0)))=1, VERI_TABANI!E28*(1-0.928)*0.00206091519919798*VERI_TABANI!G28, 0)))</f>
        <v/>
      </c>
      <c r="H584" s="169">
        <f>(((VERI_TABANI!D23*B584*(VERI_TABANI!$B$13-VERI_TABANI!$B$14)) + (VERI_TABANI!D23*C584*(VERI_TABANI!$B$13-VERI_TABANI!$B$15)) + IF(ISNUMBER(SEARCH("Var", D584)), VERI_TABANI!F23*(0.00202-VERI_TABANI!$B$16), IF(ISNUMBER(SEARCH("Gri", D584)), VERI_TABANI!F23*(0.00202-VERI_TABANI!$B$17), 0))) + ((VERI_TABANI!D24*B584*(VERI_TABANI!$B$13-VERI_TABANI!$B$14)) + (VERI_TABANI!D24*C584*(VERI_TABANI!$B$13-VERI_TABANI!$B$15)) + IF(ISNUMBER(SEARCH("Var", D584)), VERI_TABANI!F24*(0.00202-VERI_TABANI!$B$16), IF(ISNUMBER(SEARCH("Gri", D584)), VERI_TABANI!F24*(0.00202-VERI_TABANI!$B$17), 0))) + ((VERI_TABANI!D25*B584*(VERI_TABANI!$B$13-VERI_TABANI!$B$14)) + (VERI_TABANI!D25*C584*(VERI_TABANI!$B$13-VERI_TABANI!$B$15)) + IF(ISNUMBER(SEARCH("Var", D584)), VERI_TABANI!F25*(0.00202-VERI_TABANI!$B$16), IF(ISNUMBER(SEARCH("Gri", D584)), VERI_TABANI!F25*(0.00202-VERI_TABANI!$B$17), 0))) + ((VERI_TABANI!D26*B584*(VERI_TABANI!$B$13-VERI_TABANI!$B$14)) + (VERI_TABANI!D26*C584*(VERI_TABANI!$B$13-VERI_TABANI!$B$15)) + IF(ISNUMBER(SEARCH("Var", D584)), VERI_TABANI!F26*(0.00202-VERI_TABANI!$B$16), IF(ISNUMBER(SEARCH("Gri", D584)), VERI_TABANI!F26*(0.00202-VERI_TABANI!$B$17), 0))) + ((VERI_TABANI!D27*B584*(VERI_TABANI!$B$13-VERI_TABANI!$B$14)) + (VERI_TABANI!D27*C584*(VERI_TABANI!$B$13-VERI_TABANI!$B$15)) + IF(ISNUMBER(SEARCH("Var", D584)), VERI_TABANI!F27*(0.00202-VERI_TABANI!$B$16), IF(ISNUMBER(SEARCH("Gri", D584)), VERI_TABANI!F27*(0.00202-VERI_TABANI!$B$17), 0))) + ((VERI_TABANI!D28*B584*(VERI_TABANI!$B$13-VERI_TABANI!$B$14)) + (VERI_TABANI!D28*C584*(VERI_TABANI!$B$13-VERI_TABANI!$B$15)) + IF(ISNUMBER(SEARCH("Var", D584)), VERI_TABANI!F28*(0.00202-VERI_TABANI!$B$16), IF(ISNUMBER(SEARCH("Gri", D584)), VERI_TABANI!F28*(0.00202-VERI_TABANI!$B$17), 0))))</f>
        <v/>
      </c>
      <c r="I584" s="170">
        <f>IFERROR(((VERI_TABANI!$D$29*B584*VERI_TABANI!$B$14 + VERI_TABANI!$D$29*C584*VERI_TABANI!$B$15 + IF(ISNUMBER(SEARCH("Var", D584)), VERI_TABANI!$F$29*VERI_TABANI!$B$16, 0))) / (((VERI_TABANI!$D$29*B584 + VERI_TABANI!$D$29*C584)*VERI_TABANI!$B$13 + IF(ISNUMBER(SEARCH("Var", D584)), VERI_TABANI!$E$29*(1-0.928)*VERI_TABANI!$B$18, 0))), 0)</f>
        <v/>
      </c>
      <c r="J584" s="171">
        <f>IFERROR(F584/(G584/29), 0)</f>
        <v/>
      </c>
      <c r="K584" s="172">
        <f>IF(F584&gt;0, H584/F584, 0)</f>
        <v/>
      </c>
      <c r="L584" s="170">
        <f>IF(F584&gt;0, I584, 1000000000)</f>
        <v/>
      </c>
      <c r="M584" s="171">
        <f>ABS((B584+C584)-1)</f>
        <v/>
      </c>
      <c r="N584" s="170">
        <f>IF(F584&gt;0, (G584/29)/F584, 0)</f>
        <v/>
      </c>
      <c r="O584" s="168">
        <f>IF(AND((B584+C584)&gt;=1, ISNUMBER(SEARCH("Var", D584))), F584, 1000000000)</f>
        <v/>
      </c>
      <c r="P584" s="172">
        <f>IF(F584&gt;0, SQRT((F584/MAX(F$5:F$886))^2 + (1 - H584/MAX(H$5:H$886))^2 + (J584/MAX(J$5:J$886))^2), 1000000000)</f>
        <v/>
      </c>
      <c r="Q584" s="166">
        <f>IF(AND(ABS(B584-0.5)&lt;0.01, ABS(C584-0.5)&lt;0.01, ISNUMBER(SEARCH("Var", D584))), 1, 0)</f>
        <v/>
      </c>
      <c r="R584" s="171">
        <f>IF(F584&gt;0, J584, 1000000000)</f>
        <v/>
      </c>
      <c r="S584" s="101">
        <f>IF(AND(F584&lt;=DASHBOARD!$B$11, H584&gt;=DASHBOARD!$B$13), G584, -1000000000000)</f>
        <v/>
      </c>
      <c r="T584" s="101">
        <f>IF(AND(F584&lt;=DASHBOARD!$B$11, H584&gt;=DASHBOARD!$B$13), R584, 1000000000000)</f>
        <v/>
      </c>
      <c r="U584" s="101">
        <f>IF(AND(F584&lt;=DASHBOARD!$B$11, H584&gt;=DASHBOARD!$B$13), N584, -1000000000000)</f>
        <v/>
      </c>
      <c r="V584" s="101">
        <f>IF(AND(F584&lt;=DASHBOARD!$B$11, H584&gt;=DASHBOARD!$B$13), H584, -1000000000000)</f>
        <v/>
      </c>
      <c r="W584" s="101">
        <f>IF(AND(F584&lt;=DASHBOARD!$B$11, H584&gt;=DASHBOARD!$B$13), K584, -1000000000000)</f>
        <v/>
      </c>
      <c r="X584" s="101">
        <f>IF(AND(F584&lt;=DASHBOARD!$B$11, H584&gt;=DASHBOARD!$B$13), M584, 1000000000000)</f>
        <v/>
      </c>
      <c r="Y584" s="101">
        <f>IF(AND(F584&lt;=DASHBOARD!$B$10, H584&gt;=DASHBOARD!$B$11), L584, 1000000000000)</f>
        <v/>
      </c>
      <c r="Z584" s="101">
        <f>IF(AND(F584&lt;=DASHBOARD!$B$10, H584&gt;=DASHBOARD!$B$11), O584, 1000000000000)</f>
        <v/>
      </c>
      <c r="AA584" s="101">
        <f>IF(AND(F584&lt;=DASHBOARD!$B$10, H584&gt;=DASHBOARD!$B$11), P584, 1000000000000)</f>
        <v/>
      </c>
      <c r="AB584" s="101">
        <f>IF(AND(F584&lt;=DASHBOARD!$B$10, H584&gt;=DASHBOARD!$B$11), Q584, -1000000000000)</f>
        <v/>
      </c>
    </row>
    <row r="585" ht="15" customHeight="1" s="102">
      <c r="A585" s="166" t="n">
        <v>581</v>
      </c>
      <c r="B585" s="167" t="n">
        <v>1.3</v>
      </c>
      <c r="C585" s="167" t="n">
        <v>1.7</v>
      </c>
      <c r="D585" s="110" t="inlineStr">
        <is>
          <t>Yok (%0)</t>
        </is>
      </c>
      <c r="E585" s="110">
        <f>IF((B585+C585)&lt;=1, "Tam Mahsuplaşma (≤%100)", "Kısmi Satış (&gt;%100)")</f>
        <v/>
      </c>
      <c r="F585" s="168">
        <f>((VERI_TABANI!$D$29*B585/VERI_TABANI!$B$29)/VERI_TABANI!$B$3)*VERI_TABANI!$B$5 + ((VERI_TABANI!$D$29*C585/VERI_TABANI!$B$29)/VERI_TABANI!$B$4)*VERI_TABANI!$B$6 + IF(ISNUMBER(SEARCH("Var", D585)), (VERI_TABANI!$F$29/VERI_TABANI!$B$29)*(VERI_TABANI!$B$10+VERI_TABANI!$B$12), 0)</f>
        <v/>
      </c>
      <c r="G585" s="168">
        <f>(((MIN(VERI_TABANI!D23, VERI_TABANI!D23*B585)*VERI_TABANI!$B$7 + MAX(0, VERI_TABANI!D23*B585-VERI_TABANI!D23)*VERI_TABANI!$B$8) + (MIN(MAX(0, VERI_TABANI!D23-VERI_TABANI!D23*B585), VERI_TABANI!D23*C585)*VERI_TABANI!$B$7 + MAX(0, VERI_TABANI!D23*C585-MAX(0, VERI_TABANI!D23-VERI_TABANI!D23*B585))*VERI_TABANI!$B$8) + IF(ABS(IF(ISNUMBER(SEARCH("Var", D585)), 1, IF(ISNUMBER(SEARCH("Gri", D585)), -1, 0)))=1, VERI_TABANI!E23*(1-0.928)*VERI_TABANI!$B$9, 0) + (VERI_TABANI!D23*B585*(VERI_TABANI!$B$13-VERI_TABANI!$B$14)*VERI_TABANI!G23) + (VERI_TABANI!D23*C585*(VERI_TABANI!$B$13-VERI_TABANI!$B$15)*VERI_TABANI!G23) + IF(ABS(IF(ISNUMBER(SEARCH("Var", D585)), 1, IF(ISNUMBER(SEARCH("Gri", D585)), -1, 0)))=1, VERI_TABANI!E23*(1-0.928)*0.00206091519919798*VERI_TABANI!G23, 0)) + ((MIN(VERI_TABANI!D24, VERI_TABANI!D24*B585)*VERI_TABANI!$B$7 + MAX(0, VERI_TABANI!D24*B585-VERI_TABANI!D24)*VERI_TABANI!$B$8) + (MIN(MAX(0, VERI_TABANI!D24-VERI_TABANI!D24*B585), VERI_TABANI!D24*C585)*VERI_TABANI!$B$7 + MAX(0, VERI_TABANI!D24*C585-MAX(0, VERI_TABANI!D24-VERI_TABANI!D24*B585))*VERI_TABANI!$B$8) + IF(ABS(IF(ISNUMBER(SEARCH("Var", D585)), 1, IF(ISNUMBER(SEARCH("Gri", D585)), -1, 0)))=1, VERI_TABANI!E24*(1-0.928)*VERI_TABANI!$B$9, 0) + (VERI_TABANI!D24*B585*(VERI_TABANI!$B$13-VERI_TABANI!$B$14)*VERI_TABANI!G24) + (VERI_TABANI!D24*C585*(VERI_TABANI!$B$13-VERI_TABANI!$B$15)*VERI_TABANI!G24) + IF(ABS(IF(ISNUMBER(SEARCH("Var", D585)), 1, IF(ISNUMBER(SEARCH("Gri", D585)), -1, 0)))=1, VERI_TABANI!E24*(1-0.928)*0.00206091519919798*VERI_TABANI!G24, 0)) + ((MIN(VERI_TABANI!D25, VERI_TABANI!D25*B585)*VERI_TABANI!$B$7 + MAX(0, VERI_TABANI!D25*B585-VERI_TABANI!D25)*VERI_TABANI!$B$8) + (MIN(MAX(0, VERI_TABANI!D25-VERI_TABANI!D25*B585), VERI_TABANI!D25*C585)*VERI_TABANI!$B$7 + MAX(0, VERI_TABANI!D25*C585-MAX(0, VERI_TABANI!D25-VERI_TABANI!D25*B585))*VERI_TABANI!$B$8) + IF(ABS(IF(ISNUMBER(SEARCH("Var", D585)), 1, IF(ISNUMBER(SEARCH("Gri", D585)), -1, 0)))=1, VERI_TABANI!E25*(1-0.928)*VERI_TABANI!$B$9, 0) + (VERI_TABANI!D25*B585*(VERI_TABANI!$B$13-VERI_TABANI!$B$14)*VERI_TABANI!G25) + (VERI_TABANI!D25*C585*(VERI_TABANI!$B$13-VERI_TABANI!$B$15)*VERI_TABANI!G25) + IF(ABS(IF(ISNUMBER(SEARCH("Var", D585)), 1, IF(ISNUMBER(SEARCH("Gri", D585)), -1, 0)))=1, VERI_TABANI!E25*(1-0.928)*0.00206091519919798*VERI_TABANI!G25, 0)) + ((MIN(VERI_TABANI!D26, VERI_TABANI!D26*B585)*VERI_TABANI!$B$7 + MAX(0, VERI_TABANI!D26*B585-VERI_TABANI!D26)*VERI_TABANI!$B$8) + (MIN(MAX(0, VERI_TABANI!D26-VERI_TABANI!D26*B585), VERI_TABANI!D26*C585)*VERI_TABANI!$B$7 + MAX(0, VERI_TABANI!D26*C585-MAX(0, VERI_TABANI!D26-VERI_TABANI!D26*B585))*VERI_TABANI!$B$8) + IF(ABS(IF(ISNUMBER(SEARCH("Var", D585)), 1, IF(ISNUMBER(SEARCH("Gri", D585)), -1, 0)))=1, VERI_TABANI!E26*(1-0.928)*VERI_TABANI!$B$9, 0) + (VERI_TABANI!D26*B585*(VERI_TABANI!$B$13-VERI_TABANI!$B$14)*VERI_TABANI!G26) + (VERI_TABANI!D26*C585*(VERI_TABANI!$B$13-VERI_TABANI!$B$15)*VERI_TABANI!G26) + IF(ABS(IF(ISNUMBER(SEARCH("Var", D585)), 1, IF(ISNUMBER(SEARCH("Gri", D585)), -1, 0)))=1, VERI_TABANI!E26*(1-0.928)*0.00206091519919798*VERI_TABANI!G26, 0)) + ((MIN(VERI_TABANI!D27, VERI_TABANI!D27*B585)*VERI_TABANI!$B$7 + MAX(0, VERI_TABANI!D27*B585-VERI_TABANI!D27)*VERI_TABANI!$B$8) + (MIN(MAX(0, VERI_TABANI!D27-VERI_TABANI!D27*B585), VERI_TABANI!D27*C585)*VERI_TABANI!$B$7 + MAX(0, VERI_TABANI!D27*C585-MAX(0, VERI_TABANI!D27-VERI_TABANI!D27*B585))*VERI_TABANI!$B$8) + IF(ABS(IF(ISNUMBER(SEARCH("Var", D585)), 1, IF(ISNUMBER(SEARCH("Gri", D585)), -1, 0)))=1, VERI_TABANI!E27*(1-0.928)*VERI_TABANI!$B$9, 0) + (VERI_TABANI!D27*B585*(VERI_TABANI!$B$13-VERI_TABANI!$B$14)*VERI_TABANI!G27) + (VERI_TABANI!D27*C585*(VERI_TABANI!$B$13-VERI_TABANI!$B$15)*VERI_TABANI!G27) + IF(ABS(IF(ISNUMBER(SEARCH("Var", D585)), 1, IF(ISNUMBER(SEARCH("Gri", D585)), -1, 0)))=1, VERI_TABANI!E27*(1-0.928)*0.00206091519919798*VERI_TABANI!G27, 0)) + ((MIN(VERI_TABANI!D28, VERI_TABANI!D28*B585)*VERI_TABANI!$B$7 + MAX(0, VERI_TABANI!D28*B585-VERI_TABANI!D28)*VERI_TABANI!$B$8) + (MIN(MAX(0, VERI_TABANI!D28-VERI_TABANI!D28*B585), VERI_TABANI!D28*C585)*VERI_TABANI!$B$7 + MAX(0, VERI_TABANI!D28*C585-MAX(0, VERI_TABANI!D28-VERI_TABANI!D28*B585))*VERI_TABANI!$B$8) + IF(ABS(IF(ISNUMBER(SEARCH("Var", D585)), 1, IF(ISNUMBER(SEARCH("Gri", D585)), -1, 0)))=1, VERI_TABANI!E28*(1-0.928)*VERI_TABANI!$B$9, 0) + (VERI_TABANI!D28*B585*(VERI_TABANI!$B$13-VERI_TABANI!$B$14)*VERI_TABANI!G28) + (VERI_TABANI!D28*C585*(VERI_TABANI!$B$13-VERI_TABANI!$B$15)*VERI_TABANI!G28) + IF(ABS(IF(ISNUMBER(SEARCH("Var", D585)), 1, IF(ISNUMBER(SEARCH("Gri", D585)), -1, 0)))=1, VERI_TABANI!E28*(1-0.928)*0.00206091519919798*VERI_TABANI!G28, 0)))</f>
        <v/>
      </c>
      <c r="H585" s="169">
        <f>(((VERI_TABANI!D23*B585*(VERI_TABANI!$B$13-VERI_TABANI!$B$14)) + (VERI_TABANI!D23*C585*(VERI_TABANI!$B$13-VERI_TABANI!$B$15)) + IF(ISNUMBER(SEARCH("Var", D585)), VERI_TABANI!F23*(0.00202-VERI_TABANI!$B$16), IF(ISNUMBER(SEARCH("Gri", D585)), VERI_TABANI!F23*(0.00202-VERI_TABANI!$B$17), 0))) + ((VERI_TABANI!D24*B585*(VERI_TABANI!$B$13-VERI_TABANI!$B$14)) + (VERI_TABANI!D24*C585*(VERI_TABANI!$B$13-VERI_TABANI!$B$15)) + IF(ISNUMBER(SEARCH("Var", D585)), VERI_TABANI!F24*(0.00202-VERI_TABANI!$B$16), IF(ISNUMBER(SEARCH("Gri", D585)), VERI_TABANI!F24*(0.00202-VERI_TABANI!$B$17), 0))) + ((VERI_TABANI!D25*B585*(VERI_TABANI!$B$13-VERI_TABANI!$B$14)) + (VERI_TABANI!D25*C585*(VERI_TABANI!$B$13-VERI_TABANI!$B$15)) + IF(ISNUMBER(SEARCH("Var", D585)), VERI_TABANI!F25*(0.00202-VERI_TABANI!$B$16), IF(ISNUMBER(SEARCH("Gri", D585)), VERI_TABANI!F25*(0.00202-VERI_TABANI!$B$17), 0))) + ((VERI_TABANI!D26*B585*(VERI_TABANI!$B$13-VERI_TABANI!$B$14)) + (VERI_TABANI!D26*C585*(VERI_TABANI!$B$13-VERI_TABANI!$B$15)) + IF(ISNUMBER(SEARCH("Var", D585)), VERI_TABANI!F26*(0.00202-VERI_TABANI!$B$16), IF(ISNUMBER(SEARCH("Gri", D585)), VERI_TABANI!F26*(0.00202-VERI_TABANI!$B$17), 0))) + ((VERI_TABANI!D27*B585*(VERI_TABANI!$B$13-VERI_TABANI!$B$14)) + (VERI_TABANI!D27*C585*(VERI_TABANI!$B$13-VERI_TABANI!$B$15)) + IF(ISNUMBER(SEARCH("Var", D585)), VERI_TABANI!F27*(0.00202-VERI_TABANI!$B$16), IF(ISNUMBER(SEARCH("Gri", D585)), VERI_TABANI!F27*(0.00202-VERI_TABANI!$B$17), 0))) + ((VERI_TABANI!D28*B585*(VERI_TABANI!$B$13-VERI_TABANI!$B$14)) + (VERI_TABANI!D28*C585*(VERI_TABANI!$B$13-VERI_TABANI!$B$15)) + IF(ISNUMBER(SEARCH("Var", D585)), VERI_TABANI!F28*(0.00202-VERI_TABANI!$B$16), IF(ISNUMBER(SEARCH("Gri", D585)), VERI_TABANI!F28*(0.00202-VERI_TABANI!$B$17), 0))))</f>
        <v/>
      </c>
      <c r="I585" s="170">
        <f>IFERROR(((VERI_TABANI!$D$29*B585*VERI_TABANI!$B$14 + VERI_TABANI!$D$29*C585*VERI_TABANI!$B$15 + IF(ISNUMBER(SEARCH("Var", D585)), VERI_TABANI!$F$29*VERI_TABANI!$B$16, 0))) / (((VERI_TABANI!$D$29*B585 + VERI_TABANI!$D$29*C585)*VERI_TABANI!$B$13 + IF(ISNUMBER(SEARCH("Var", D585)), VERI_TABANI!$E$29*(1-0.928)*VERI_TABANI!$B$18, 0))), 0)</f>
        <v/>
      </c>
      <c r="J585" s="171">
        <f>IFERROR(F585/(G585/29), 0)</f>
        <v/>
      </c>
      <c r="K585" s="172">
        <f>IF(F585&gt;0, H585/F585, 0)</f>
        <v/>
      </c>
      <c r="L585" s="170">
        <f>IF(F585&gt;0, I585, 1000000000)</f>
        <v/>
      </c>
      <c r="M585" s="171">
        <f>ABS((B585+C585)-1)</f>
        <v/>
      </c>
      <c r="N585" s="170">
        <f>IF(F585&gt;0, (G585/29)/F585, 0)</f>
        <v/>
      </c>
      <c r="O585" s="168">
        <f>IF(AND((B585+C585)&gt;=1, ISNUMBER(SEARCH("Var", D585))), F585, 1000000000)</f>
        <v/>
      </c>
      <c r="P585" s="172">
        <f>IF(F585&gt;0, SQRT((F585/MAX(F$5:F$886))^2 + (1 - H585/MAX(H$5:H$886))^2 + (J585/MAX(J$5:J$886))^2), 1000000000)</f>
        <v/>
      </c>
      <c r="Q585" s="166">
        <f>IF(AND(ABS(B585-0.5)&lt;0.01, ABS(C585-0.5)&lt;0.01, ISNUMBER(SEARCH("Var", D585))), 1, 0)</f>
        <v/>
      </c>
      <c r="R585" s="171">
        <f>IF(F585&gt;0, J585, 1000000000)</f>
        <v/>
      </c>
      <c r="S585" s="101">
        <f>IF(AND(F585&lt;=DASHBOARD!$B$11, H585&gt;=DASHBOARD!$B$13), G585, -1000000000000)</f>
        <v/>
      </c>
      <c r="T585" s="101">
        <f>IF(AND(F585&lt;=DASHBOARD!$B$11, H585&gt;=DASHBOARD!$B$13), R585, 1000000000000)</f>
        <v/>
      </c>
      <c r="U585" s="101">
        <f>IF(AND(F585&lt;=DASHBOARD!$B$11, H585&gt;=DASHBOARD!$B$13), N585, -1000000000000)</f>
        <v/>
      </c>
      <c r="V585" s="101">
        <f>IF(AND(F585&lt;=DASHBOARD!$B$11, H585&gt;=DASHBOARD!$B$13), H585, -1000000000000)</f>
        <v/>
      </c>
      <c r="W585" s="101">
        <f>IF(AND(F585&lt;=DASHBOARD!$B$11, H585&gt;=DASHBOARD!$B$13), K585, -1000000000000)</f>
        <v/>
      </c>
      <c r="X585" s="101">
        <f>IF(AND(F585&lt;=DASHBOARD!$B$11, H585&gt;=DASHBOARD!$B$13), M585, 1000000000000)</f>
        <v/>
      </c>
      <c r="Y585" s="101">
        <f>IF(AND(F585&lt;=DASHBOARD!$B$10, H585&gt;=DASHBOARD!$B$11), L585, 1000000000000)</f>
        <v/>
      </c>
      <c r="Z585" s="101">
        <f>IF(AND(F585&lt;=DASHBOARD!$B$10, H585&gt;=DASHBOARD!$B$11), O585, 1000000000000)</f>
        <v/>
      </c>
      <c r="AA585" s="101">
        <f>IF(AND(F585&lt;=DASHBOARD!$B$10, H585&gt;=DASHBOARD!$B$11), P585, 1000000000000)</f>
        <v/>
      </c>
      <c r="AB585" s="101">
        <f>IF(AND(F585&lt;=DASHBOARD!$B$10, H585&gt;=DASHBOARD!$B$11), Q585, -1000000000000)</f>
        <v/>
      </c>
    </row>
    <row r="586" ht="15" customHeight="1" s="102">
      <c r="A586" s="166" t="n">
        <v>582</v>
      </c>
      <c r="B586" s="167" t="n">
        <v>1.3</v>
      </c>
      <c r="C586" s="167" t="n">
        <v>1.7</v>
      </c>
      <c r="D586" s="110" t="inlineStr">
        <is>
          <t>Var (%20)</t>
        </is>
      </c>
      <c r="E586" s="110">
        <f>IF((B586+C586)&lt;=1, "Tam Mahsuplaşma (≤%100)", "Kısmi Satış (&gt;%100)")</f>
        <v/>
      </c>
      <c r="F586" s="168">
        <f>((VERI_TABANI!$D$29*B586/VERI_TABANI!$B$29)/VERI_TABANI!$B$3)*VERI_TABANI!$B$5 + ((VERI_TABANI!$D$29*C586/VERI_TABANI!$B$29)/VERI_TABANI!$B$4)*VERI_TABANI!$B$6 + IF(ISNUMBER(SEARCH("Var", D586)), (VERI_TABANI!$F$29/VERI_TABANI!$B$29)*(VERI_TABANI!$B$10+VERI_TABANI!$B$12), 0)</f>
        <v/>
      </c>
      <c r="G586" s="168">
        <f>(((MIN(VERI_TABANI!D23, VERI_TABANI!D23*B586)*VERI_TABANI!$B$7 + MAX(0, VERI_TABANI!D23*B586-VERI_TABANI!D23)*VERI_TABANI!$B$8) + (MIN(MAX(0, VERI_TABANI!D23-VERI_TABANI!D23*B586), VERI_TABANI!D23*C586)*VERI_TABANI!$B$7 + MAX(0, VERI_TABANI!D23*C586-MAX(0, VERI_TABANI!D23-VERI_TABANI!D23*B586))*VERI_TABANI!$B$8) + IF(ABS(IF(ISNUMBER(SEARCH("Var", D586)), 1, IF(ISNUMBER(SEARCH("Gri", D586)), -1, 0)))=1, VERI_TABANI!E23*(1-0.928)*VERI_TABANI!$B$9, 0) + (VERI_TABANI!D23*B586*(VERI_TABANI!$B$13-VERI_TABANI!$B$14)*VERI_TABANI!G23) + (VERI_TABANI!D23*C586*(VERI_TABANI!$B$13-VERI_TABANI!$B$15)*VERI_TABANI!G23) + IF(ABS(IF(ISNUMBER(SEARCH("Var", D586)), 1, IF(ISNUMBER(SEARCH("Gri", D586)), -1, 0)))=1, VERI_TABANI!E23*(1-0.928)*0.00206091519919798*VERI_TABANI!G23, 0)) + ((MIN(VERI_TABANI!D24, VERI_TABANI!D24*B586)*VERI_TABANI!$B$7 + MAX(0, VERI_TABANI!D24*B586-VERI_TABANI!D24)*VERI_TABANI!$B$8) + (MIN(MAX(0, VERI_TABANI!D24-VERI_TABANI!D24*B586), VERI_TABANI!D24*C586)*VERI_TABANI!$B$7 + MAX(0, VERI_TABANI!D24*C586-MAX(0, VERI_TABANI!D24-VERI_TABANI!D24*B586))*VERI_TABANI!$B$8) + IF(ABS(IF(ISNUMBER(SEARCH("Var", D586)), 1, IF(ISNUMBER(SEARCH("Gri", D586)), -1, 0)))=1, VERI_TABANI!E24*(1-0.928)*VERI_TABANI!$B$9, 0) + (VERI_TABANI!D24*B586*(VERI_TABANI!$B$13-VERI_TABANI!$B$14)*VERI_TABANI!G24) + (VERI_TABANI!D24*C586*(VERI_TABANI!$B$13-VERI_TABANI!$B$15)*VERI_TABANI!G24) + IF(ABS(IF(ISNUMBER(SEARCH("Var", D586)), 1, IF(ISNUMBER(SEARCH("Gri", D586)), -1, 0)))=1, VERI_TABANI!E24*(1-0.928)*0.00206091519919798*VERI_TABANI!G24, 0)) + ((MIN(VERI_TABANI!D25, VERI_TABANI!D25*B586)*VERI_TABANI!$B$7 + MAX(0, VERI_TABANI!D25*B586-VERI_TABANI!D25)*VERI_TABANI!$B$8) + (MIN(MAX(0, VERI_TABANI!D25-VERI_TABANI!D25*B586), VERI_TABANI!D25*C586)*VERI_TABANI!$B$7 + MAX(0, VERI_TABANI!D25*C586-MAX(0, VERI_TABANI!D25-VERI_TABANI!D25*B586))*VERI_TABANI!$B$8) + IF(ABS(IF(ISNUMBER(SEARCH("Var", D586)), 1, IF(ISNUMBER(SEARCH("Gri", D586)), -1, 0)))=1, VERI_TABANI!E25*(1-0.928)*VERI_TABANI!$B$9, 0) + (VERI_TABANI!D25*B586*(VERI_TABANI!$B$13-VERI_TABANI!$B$14)*VERI_TABANI!G25) + (VERI_TABANI!D25*C586*(VERI_TABANI!$B$13-VERI_TABANI!$B$15)*VERI_TABANI!G25) + IF(ABS(IF(ISNUMBER(SEARCH("Var", D586)), 1, IF(ISNUMBER(SEARCH("Gri", D586)), -1, 0)))=1, VERI_TABANI!E25*(1-0.928)*0.00206091519919798*VERI_TABANI!G25, 0)) + ((MIN(VERI_TABANI!D26, VERI_TABANI!D26*B586)*VERI_TABANI!$B$7 + MAX(0, VERI_TABANI!D26*B586-VERI_TABANI!D26)*VERI_TABANI!$B$8) + (MIN(MAX(0, VERI_TABANI!D26-VERI_TABANI!D26*B586), VERI_TABANI!D26*C586)*VERI_TABANI!$B$7 + MAX(0, VERI_TABANI!D26*C586-MAX(0, VERI_TABANI!D26-VERI_TABANI!D26*B586))*VERI_TABANI!$B$8) + IF(ABS(IF(ISNUMBER(SEARCH("Var", D586)), 1, IF(ISNUMBER(SEARCH("Gri", D586)), -1, 0)))=1, VERI_TABANI!E26*(1-0.928)*VERI_TABANI!$B$9, 0) + (VERI_TABANI!D26*B586*(VERI_TABANI!$B$13-VERI_TABANI!$B$14)*VERI_TABANI!G26) + (VERI_TABANI!D26*C586*(VERI_TABANI!$B$13-VERI_TABANI!$B$15)*VERI_TABANI!G26) + IF(ABS(IF(ISNUMBER(SEARCH("Var", D586)), 1, IF(ISNUMBER(SEARCH("Gri", D586)), -1, 0)))=1, VERI_TABANI!E26*(1-0.928)*0.00206091519919798*VERI_TABANI!G26, 0)) + ((MIN(VERI_TABANI!D27, VERI_TABANI!D27*B586)*VERI_TABANI!$B$7 + MAX(0, VERI_TABANI!D27*B586-VERI_TABANI!D27)*VERI_TABANI!$B$8) + (MIN(MAX(0, VERI_TABANI!D27-VERI_TABANI!D27*B586), VERI_TABANI!D27*C586)*VERI_TABANI!$B$7 + MAX(0, VERI_TABANI!D27*C586-MAX(0, VERI_TABANI!D27-VERI_TABANI!D27*B586))*VERI_TABANI!$B$8) + IF(ABS(IF(ISNUMBER(SEARCH("Var", D586)), 1, IF(ISNUMBER(SEARCH("Gri", D586)), -1, 0)))=1, VERI_TABANI!E27*(1-0.928)*VERI_TABANI!$B$9, 0) + (VERI_TABANI!D27*B586*(VERI_TABANI!$B$13-VERI_TABANI!$B$14)*VERI_TABANI!G27) + (VERI_TABANI!D27*C586*(VERI_TABANI!$B$13-VERI_TABANI!$B$15)*VERI_TABANI!G27) + IF(ABS(IF(ISNUMBER(SEARCH("Var", D586)), 1, IF(ISNUMBER(SEARCH("Gri", D586)), -1, 0)))=1, VERI_TABANI!E27*(1-0.928)*0.00206091519919798*VERI_TABANI!G27, 0)) + ((MIN(VERI_TABANI!D28, VERI_TABANI!D28*B586)*VERI_TABANI!$B$7 + MAX(0, VERI_TABANI!D28*B586-VERI_TABANI!D28)*VERI_TABANI!$B$8) + (MIN(MAX(0, VERI_TABANI!D28-VERI_TABANI!D28*B586), VERI_TABANI!D28*C586)*VERI_TABANI!$B$7 + MAX(0, VERI_TABANI!D28*C586-MAX(0, VERI_TABANI!D28-VERI_TABANI!D28*B586))*VERI_TABANI!$B$8) + IF(ABS(IF(ISNUMBER(SEARCH("Var", D586)), 1, IF(ISNUMBER(SEARCH("Gri", D586)), -1, 0)))=1, VERI_TABANI!E28*(1-0.928)*VERI_TABANI!$B$9, 0) + (VERI_TABANI!D28*B586*(VERI_TABANI!$B$13-VERI_TABANI!$B$14)*VERI_TABANI!G28) + (VERI_TABANI!D28*C586*(VERI_TABANI!$B$13-VERI_TABANI!$B$15)*VERI_TABANI!G28) + IF(ABS(IF(ISNUMBER(SEARCH("Var", D586)), 1, IF(ISNUMBER(SEARCH("Gri", D586)), -1, 0)))=1, VERI_TABANI!E28*(1-0.928)*0.00206091519919798*VERI_TABANI!G28, 0)))</f>
        <v/>
      </c>
      <c r="H586" s="169">
        <f>(((VERI_TABANI!D23*B586*(VERI_TABANI!$B$13-VERI_TABANI!$B$14)) + (VERI_TABANI!D23*C586*(VERI_TABANI!$B$13-VERI_TABANI!$B$15)) + IF(ISNUMBER(SEARCH("Var", D586)), VERI_TABANI!F23*(0.00202-VERI_TABANI!$B$16), IF(ISNUMBER(SEARCH("Gri", D586)), VERI_TABANI!F23*(0.00202-VERI_TABANI!$B$17), 0))) + ((VERI_TABANI!D24*B586*(VERI_TABANI!$B$13-VERI_TABANI!$B$14)) + (VERI_TABANI!D24*C586*(VERI_TABANI!$B$13-VERI_TABANI!$B$15)) + IF(ISNUMBER(SEARCH("Var", D586)), VERI_TABANI!F24*(0.00202-VERI_TABANI!$B$16), IF(ISNUMBER(SEARCH("Gri", D586)), VERI_TABANI!F24*(0.00202-VERI_TABANI!$B$17), 0))) + ((VERI_TABANI!D25*B586*(VERI_TABANI!$B$13-VERI_TABANI!$B$14)) + (VERI_TABANI!D25*C586*(VERI_TABANI!$B$13-VERI_TABANI!$B$15)) + IF(ISNUMBER(SEARCH("Var", D586)), VERI_TABANI!F25*(0.00202-VERI_TABANI!$B$16), IF(ISNUMBER(SEARCH("Gri", D586)), VERI_TABANI!F25*(0.00202-VERI_TABANI!$B$17), 0))) + ((VERI_TABANI!D26*B586*(VERI_TABANI!$B$13-VERI_TABANI!$B$14)) + (VERI_TABANI!D26*C586*(VERI_TABANI!$B$13-VERI_TABANI!$B$15)) + IF(ISNUMBER(SEARCH("Var", D586)), VERI_TABANI!F26*(0.00202-VERI_TABANI!$B$16), IF(ISNUMBER(SEARCH("Gri", D586)), VERI_TABANI!F26*(0.00202-VERI_TABANI!$B$17), 0))) + ((VERI_TABANI!D27*B586*(VERI_TABANI!$B$13-VERI_TABANI!$B$14)) + (VERI_TABANI!D27*C586*(VERI_TABANI!$B$13-VERI_TABANI!$B$15)) + IF(ISNUMBER(SEARCH("Var", D586)), VERI_TABANI!F27*(0.00202-VERI_TABANI!$B$16), IF(ISNUMBER(SEARCH("Gri", D586)), VERI_TABANI!F27*(0.00202-VERI_TABANI!$B$17), 0))) + ((VERI_TABANI!D28*B586*(VERI_TABANI!$B$13-VERI_TABANI!$B$14)) + (VERI_TABANI!D28*C586*(VERI_TABANI!$B$13-VERI_TABANI!$B$15)) + IF(ISNUMBER(SEARCH("Var", D586)), VERI_TABANI!F28*(0.00202-VERI_TABANI!$B$16), IF(ISNUMBER(SEARCH("Gri", D586)), VERI_TABANI!F28*(0.00202-VERI_TABANI!$B$17), 0))))</f>
        <v/>
      </c>
      <c r="I586" s="170">
        <f>IFERROR(((VERI_TABANI!$D$29*B586*VERI_TABANI!$B$14 + VERI_TABANI!$D$29*C586*VERI_TABANI!$B$15 + IF(ISNUMBER(SEARCH("Var", D586)), VERI_TABANI!$F$29*VERI_TABANI!$B$16, 0))) / (((VERI_TABANI!$D$29*B586 + VERI_TABANI!$D$29*C586)*VERI_TABANI!$B$13 + IF(ISNUMBER(SEARCH("Var", D586)), VERI_TABANI!$E$29*(1-0.928)*VERI_TABANI!$B$18, 0))), 0)</f>
        <v/>
      </c>
      <c r="J586" s="171">
        <f>IFERROR(F586/(G586/29), 0)</f>
        <v/>
      </c>
      <c r="K586" s="172">
        <f>IF(F586&gt;0, H586/F586, 0)</f>
        <v/>
      </c>
      <c r="L586" s="170">
        <f>IF(F586&gt;0, I586, 1000000000)</f>
        <v/>
      </c>
      <c r="M586" s="171">
        <f>ABS((B586+C586)-1)</f>
        <v/>
      </c>
      <c r="N586" s="170">
        <f>IF(F586&gt;0, (G586/29)/F586, 0)</f>
        <v/>
      </c>
      <c r="O586" s="168">
        <f>IF(AND((B586+C586)&gt;=1, ISNUMBER(SEARCH("Var", D586))), F586, 1000000000)</f>
        <v/>
      </c>
      <c r="P586" s="172">
        <f>IF(F586&gt;0, SQRT((F586/MAX(F$5:F$886))^2 + (1 - H586/MAX(H$5:H$886))^2 + (J586/MAX(J$5:J$886))^2), 1000000000)</f>
        <v/>
      </c>
      <c r="Q586" s="166">
        <f>IF(AND(ABS(B586-0.5)&lt;0.01, ABS(C586-0.5)&lt;0.01, ISNUMBER(SEARCH("Var", D586))), 1, 0)</f>
        <v/>
      </c>
      <c r="R586" s="171">
        <f>IF(F586&gt;0, J586, 1000000000)</f>
        <v/>
      </c>
      <c r="S586" s="101">
        <f>IF(AND(F586&lt;=DASHBOARD!$B$11, H586&gt;=DASHBOARD!$B$13), G586, -1000000000000)</f>
        <v/>
      </c>
      <c r="T586" s="101">
        <f>IF(AND(F586&lt;=DASHBOARD!$B$11, H586&gt;=DASHBOARD!$B$13), R586, 1000000000000)</f>
        <v/>
      </c>
      <c r="U586" s="101">
        <f>IF(AND(F586&lt;=DASHBOARD!$B$11, H586&gt;=DASHBOARD!$B$13), N586, -1000000000000)</f>
        <v/>
      </c>
      <c r="V586" s="101">
        <f>IF(AND(F586&lt;=DASHBOARD!$B$11, H586&gt;=DASHBOARD!$B$13), H586, -1000000000000)</f>
        <v/>
      </c>
      <c r="W586" s="101">
        <f>IF(AND(F586&lt;=DASHBOARD!$B$11, H586&gt;=DASHBOARD!$B$13), K586, -1000000000000)</f>
        <v/>
      </c>
      <c r="X586" s="101">
        <f>IF(AND(F586&lt;=DASHBOARD!$B$11, H586&gt;=DASHBOARD!$B$13), M586, 1000000000000)</f>
        <v/>
      </c>
      <c r="Y586" s="101">
        <f>IF(AND(F586&lt;=DASHBOARD!$B$10, H586&gt;=DASHBOARD!$B$11), L586, 1000000000000)</f>
        <v/>
      </c>
      <c r="Z586" s="101">
        <f>IF(AND(F586&lt;=DASHBOARD!$B$10, H586&gt;=DASHBOARD!$B$11), O586, 1000000000000)</f>
        <v/>
      </c>
      <c r="AA586" s="101">
        <f>IF(AND(F586&lt;=DASHBOARD!$B$10, H586&gt;=DASHBOARD!$B$11), P586, 1000000000000)</f>
        <v/>
      </c>
      <c r="AB586" s="101">
        <f>IF(AND(F586&lt;=DASHBOARD!$B$10, H586&gt;=DASHBOARD!$B$11), Q586, -1000000000000)</f>
        <v/>
      </c>
    </row>
    <row r="587" ht="15" customHeight="1" s="102">
      <c r="A587" s="166" t="n">
        <v>583</v>
      </c>
      <c r="B587" s="167" t="n">
        <v>1.3</v>
      </c>
      <c r="C587" s="167" t="n">
        <v>1.8</v>
      </c>
      <c r="D587" s="110" t="inlineStr">
        <is>
          <t>Yok (%0)</t>
        </is>
      </c>
      <c r="E587" s="110">
        <f>IF((B587+C587)&lt;=1, "Tam Mahsuplaşma (≤%100)", "Kısmi Satış (&gt;%100)")</f>
        <v/>
      </c>
      <c r="F587" s="168">
        <f>((VERI_TABANI!$D$29*B587/VERI_TABANI!$B$29)/VERI_TABANI!$B$3)*VERI_TABANI!$B$5 + ((VERI_TABANI!$D$29*C587/VERI_TABANI!$B$29)/VERI_TABANI!$B$4)*VERI_TABANI!$B$6 + IF(ISNUMBER(SEARCH("Var", D587)), (VERI_TABANI!$F$29/VERI_TABANI!$B$29)*(VERI_TABANI!$B$10+VERI_TABANI!$B$12), 0)</f>
        <v/>
      </c>
      <c r="G587" s="168">
        <f>(((MIN(VERI_TABANI!D23, VERI_TABANI!D23*B587)*VERI_TABANI!$B$7 + MAX(0, VERI_TABANI!D23*B587-VERI_TABANI!D23)*VERI_TABANI!$B$8) + (MIN(MAX(0, VERI_TABANI!D23-VERI_TABANI!D23*B587), VERI_TABANI!D23*C587)*VERI_TABANI!$B$7 + MAX(0, VERI_TABANI!D23*C587-MAX(0, VERI_TABANI!D23-VERI_TABANI!D23*B587))*VERI_TABANI!$B$8) + IF(ABS(IF(ISNUMBER(SEARCH("Var", D587)), 1, IF(ISNUMBER(SEARCH("Gri", D587)), -1, 0)))=1, VERI_TABANI!E23*(1-0.928)*VERI_TABANI!$B$9, 0) + (VERI_TABANI!D23*B587*(VERI_TABANI!$B$13-VERI_TABANI!$B$14)*VERI_TABANI!G23) + (VERI_TABANI!D23*C587*(VERI_TABANI!$B$13-VERI_TABANI!$B$15)*VERI_TABANI!G23) + IF(ABS(IF(ISNUMBER(SEARCH("Var", D587)), 1, IF(ISNUMBER(SEARCH("Gri", D587)), -1, 0)))=1, VERI_TABANI!E23*(1-0.928)*0.00206091519919798*VERI_TABANI!G23, 0)) + ((MIN(VERI_TABANI!D24, VERI_TABANI!D24*B587)*VERI_TABANI!$B$7 + MAX(0, VERI_TABANI!D24*B587-VERI_TABANI!D24)*VERI_TABANI!$B$8) + (MIN(MAX(0, VERI_TABANI!D24-VERI_TABANI!D24*B587), VERI_TABANI!D24*C587)*VERI_TABANI!$B$7 + MAX(0, VERI_TABANI!D24*C587-MAX(0, VERI_TABANI!D24-VERI_TABANI!D24*B587))*VERI_TABANI!$B$8) + IF(ABS(IF(ISNUMBER(SEARCH("Var", D587)), 1, IF(ISNUMBER(SEARCH("Gri", D587)), -1, 0)))=1, VERI_TABANI!E24*(1-0.928)*VERI_TABANI!$B$9, 0) + (VERI_TABANI!D24*B587*(VERI_TABANI!$B$13-VERI_TABANI!$B$14)*VERI_TABANI!G24) + (VERI_TABANI!D24*C587*(VERI_TABANI!$B$13-VERI_TABANI!$B$15)*VERI_TABANI!G24) + IF(ABS(IF(ISNUMBER(SEARCH("Var", D587)), 1, IF(ISNUMBER(SEARCH("Gri", D587)), -1, 0)))=1, VERI_TABANI!E24*(1-0.928)*0.00206091519919798*VERI_TABANI!G24, 0)) + ((MIN(VERI_TABANI!D25, VERI_TABANI!D25*B587)*VERI_TABANI!$B$7 + MAX(0, VERI_TABANI!D25*B587-VERI_TABANI!D25)*VERI_TABANI!$B$8) + (MIN(MAX(0, VERI_TABANI!D25-VERI_TABANI!D25*B587), VERI_TABANI!D25*C587)*VERI_TABANI!$B$7 + MAX(0, VERI_TABANI!D25*C587-MAX(0, VERI_TABANI!D25-VERI_TABANI!D25*B587))*VERI_TABANI!$B$8) + IF(ABS(IF(ISNUMBER(SEARCH("Var", D587)), 1, IF(ISNUMBER(SEARCH("Gri", D587)), -1, 0)))=1, VERI_TABANI!E25*(1-0.928)*VERI_TABANI!$B$9, 0) + (VERI_TABANI!D25*B587*(VERI_TABANI!$B$13-VERI_TABANI!$B$14)*VERI_TABANI!G25) + (VERI_TABANI!D25*C587*(VERI_TABANI!$B$13-VERI_TABANI!$B$15)*VERI_TABANI!G25) + IF(ABS(IF(ISNUMBER(SEARCH("Var", D587)), 1, IF(ISNUMBER(SEARCH("Gri", D587)), -1, 0)))=1, VERI_TABANI!E25*(1-0.928)*0.00206091519919798*VERI_TABANI!G25, 0)) + ((MIN(VERI_TABANI!D26, VERI_TABANI!D26*B587)*VERI_TABANI!$B$7 + MAX(0, VERI_TABANI!D26*B587-VERI_TABANI!D26)*VERI_TABANI!$B$8) + (MIN(MAX(0, VERI_TABANI!D26-VERI_TABANI!D26*B587), VERI_TABANI!D26*C587)*VERI_TABANI!$B$7 + MAX(0, VERI_TABANI!D26*C587-MAX(0, VERI_TABANI!D26-VERI_TABANI!D26*B587))*VERI_TABANI!$B$8) + IF(ABS(IF(ISNUMBER(SEARCH("Var", D587)), 1, IF(ISNUMBER(SEARCH("Gri", D587)), -1, 0)))=1, VERI_TABANI!E26*(1-0.928)*VERI_TABANI!$B$9, 0) + (VERI_TABANI!D26*B587*(VERI_TABANI!$B$13-VERI_TABANI!$B$14)*VERI_TABANI!G26) + (VERI_TABANI!D26*C587*(VERI_TABANI!$B$13-VERI_TABANI!$B$15)*VERI_TABANI!G26) + IF(ABS(IF(ISNUMBER(SEARCH("Var", D587)), 1, IF(ISNUMBER(SEARCH("Gri", D587)), -1, 0)))=1, VERI_TABANI!E26*(1-0.928)*0.00206091519919798*VERI_TABANI!G26, 0)) + ((MIN(VERI_TABANI!D27, VERI_TABANI!D27*B587)*VERI_TABANI!$B$7 + MAX(0, VERI_TABANI!D27*B587-VERI_TABANI!D27)*VERI_TABANI!$B$8) + (MIN(MAX(0, VERI_TABANI!D27-VERI_TABANI!D27*B587), VERI_TABANI!D27*C587)*VERI_TABANI!$B$7 + MAX(0, VERI_TABANI!D27*C587-MAX(0, VERI_TABANI!D27-VERI_TABANI!D27*B587))*VERI_TABANI!$B$8) + IF(ABS(IF(ISNUMBER(SEARCH("Var", D587)), 1, IF(ISNUMBER(SEARCH("Gri", D587)), -1, 0)))=1, VERI_TABANI!E27*(1-0.928)*VERI_TABANI!$B$9, 0) + (VERI_TABANI!D27*B587*(VERI_TABANI!$B$13-VERI_TABANI!$B$14)*VERI_TABANI!G27) + (VERI_TABANI!D27*C587*(VERI_TABANI!$B$13-VERI_TABANI!$B$15)*VERI_TABANI!G27) + IF(ABS(IF(ISNUMBER(SEARCH("Var", D587)), 1, IF(ISNUMBER(SEARCH("Gri", D587)), -1, 0)))=1, VERI_TABANI!E27*(1-0.928)*0.00206091519919798*VERI_TABANI!G27, 0)) + ((MIN(VERI_TABANI!D28, VERI_TABANI!D28*B587)*VERI_TABANI!$B$7 + MAX(0, VERI_TABANI!D28*B587-VERI_TABANI!D28)*VERI_TABANI!$B$8) + (MIN(MAX(0, VERI_TABANI!D28-VERI_TABANI!D28*B587), VERI_TABANI!D28*C587)*VERI_TABANI!$B$7 + MAX(0, VERI_TABANI!D28*C587-MAX(0, VERI_TABANI!D28-VERI_TABANI!D28*B587))*VERI_TABANI!$B$8) + IF(ABS(IF(ISNUMBER(SEARCH("Var", D587)), 1, IF(ISNUMBER(SEARCH("Gri", D587)), -1, 0)))=1, VERI_TABANI!E28*(1-0.928)*VERI_TABANI!$B$9, 0) + (VERI_TABANI!D28*B587*(VERI_TABANI!$B$13-VERI_TABANI!$B$14)*VERI_TABANI!G28) + (VERI_TABANI!D28*C587*(VERI_TABANI!$B$13-VERI_TABANI!$B$15)*VERI_TABANI!G28) + IF(ABS(IF(ISNUMBER(SEARCH("Var", D587)), 1, IF(ISNUMBER(SEARCH("Gri", D587)), -1, 0)))=1, VERI_TABANI!E28*(1-0.928)*0.00206091519919798*VERI_TABANI!G28, 0)))</f>
        <v/>
      </c>
      <c r="H587" s="169">
        <f>(((VERI_TABANI!D23*B587*(VERI_TABANI!$B$13-VERI_TABANI!$B$14)) + (VERI_TABANI!D23*C587*(VERI_TABANI!$B$13-VERI_TABANI!$B$15)) + IF(ISNUMBER(SEARCH("Var", D587)), VERI_TABANI!F23*(0.00202-VERI_TABANI!$B$16), IF(ISNUMBER(SEARCH("Gri", D587)), VERI_TABANI!F23*(0.00202-VERI_TABANI!$B$17), 0))) + ((VERI_TABANI!D24*B587*(VERI_TABANI!$B$13-VERI_TABANI!$B$14)) + (VERI_TABANI!D24*C587*(VERI_TABANI!$B$13-VERI_TABANI!$B$15)) + IF(ISNUMBER(SEARCH("Var", D587)), VERI_TABANI!F24*(0.00202-VERI_TABANI!$B$16), IF(ISNUMBER(SEARCH("Gri", D587)), VERI_TABANI!F24*(0.00202-VERI_TABANI!$B$17), 0))) + ((VERI_TABANI!D25*B587*(VERI_TABANI!$B$13-VERI_TABANI!$B$14)) + (VERI_TABANI!D25*C587*(VERI_TABANI!$B$13-VERI_TABANI!$B$15)) + IF(ISNUMBER(SEARCH("Var", D587)), VERI_TABANI!F25*(0.00202-VERI_TABANI!$B$16), IF(ISNUMBER(SEARCH("Gri", D587)), VERI_TABANI!F25*(0.00202-VERI_TABANI!$B$17), 0))) + ((VERI_TABANI!D26*B587*(VERI_TABANI!$B$13-VERI_TABANI!$B$14)) + (VERI_TABANI!D26*C587*(VERI_TABANI!$B$13-VERI_TABANI!$B$15)) + IF(ISNUMBER(SEARCH("Var", D587)), VERI_TABANI!F26*(0.00202-VERI_TABANI!$B$16), IF(ISNUMBER(SEARCH("Gri", D587)), VERI_TABANI!F26*(0.00202-VERI_TABANI!$B$17), 0))) + ((VERI_TABANI!D27*B587*(VERI_TABANI!$B$13-VERI_TABANI!$B$14)) + (VERI_TABANI!D27*C587*(VERI_TABANI!$B$13-VERI_TABANI!$B$15)) + IF(ISNUMBER(SEARCH("Var", D587)), VERI_TABANI!F27*(0.00202-VERI_TABANI!$B$16), IF(ISNUMBER(SEARCH("Gri", D587)), VERI_TABANI!F27*(0.00202-VERI_TABANI!$B$17), 0))) + ((VERI_TABANI!D28*B587*(VERI_TABANI!$B$13-VERI_TABANI!$B$14)) + (VERI_TABANI!D28*C587*(VERI_TABANI!$B$13-VERI_TABANI!$B$15)) + IF(ISNUMBER(SEARCH("Var", D587)), VERI_TABANI!F28*(0.00202-VERI_TABANI!$B$16), IF(ISNUMBER(SEARCH("Gri", D587)), VERI_TABANI!F28*(0.00202-VERI_TABANI!$B$17), 0))))</f>
        <v/>
      </c>
      <c r="I587" s="170">
        <f>IFERROR(((VERI_TABANI!$D$29*B587*VERI_TABANI!$B$14 + VERI_TABANI!$D$29*C587*VERI_TABANI!$B$15 + IF(ISNUMBER(SEARCH("Var", D587)), VERI_TABANI!$F$29*VERI_TABANI!$B$16, 0))) / (((VERI_TABANI!$D$29*B587 + VERI_TABANI!$D$29*C587)*VERI_TABANI!$B$13 + IF(ISNUMBER(SEARCH("Var", D587)), VERI_TABANI!$E$29*(1-0.928)*VERI_TABANI!$B$18, 0))), 0)</f>
        <v/>
      </c>
      <c r="J587" s="171">
        <f>IFERROR(F587/(G587/29), 0)</f>
        <v/>
      </c>
      <c r="K587" s="172">
        <f>IF(F587&gt;0, H587/F587, 0)</f>
        <v/>
      </c>
      <c r="L587" s="170">
        <f>IF(F587&gt;0, I587, 1000000000)</f>
        <v/>
      </c>
      <c r="M587" s="171">
        <f>ABS((B587+C587)-1)</f>
        <v/>
      </c>
      <c r="N587" s="170">
        <f>IF(F587&gt;0, (G587/29)/F587, 0)</f>
        <v/>
      </c>
      <c r="O587" s="168">
        <f>IF(AND((B587+C587)&gt;=1, ISNUMBER(SEARCH("Var", D587))), F587, 1000000000)</f>
        <v/>
      </c>
      <c r="P587" s="172">
        <f>IF(F587&gt;0, SQRT((F587/MAX(F$5:F$886))^2 + (1 - H587/MAX(H$5:H$886))^2 + (J587/MAX(J$5:J$886))^2), 1000000000)</f>
        <v/>
      </c>
      <c r="Q587" s="166">
        <f>IF(AND(ABS(B587-0.5)&lt;0.01, ABS(C587-0.5)&lt;0.01, ISNUMBER(SEARCH("Var", D587))), 1, 0)</f>
        <v/>
      </c>
      <c r="R587" s="171">
        <f>IF(F587&gt;0, J587, 1000000000)</f>
        <v/>
      </c>
      <c r="S587" s="101">
        <f>IF(AND(F587&lt;=DASHBOARD!$B$11, H587&gt;=DASHBOARD!$B$13), G587, -1000000000000)</f>
        <v/>
      </c>
      <c r="T587" s="101">
        <f>IF(AND(F587&lt;=DASHBOARD!$B$11, H587&gt;=DASHBOARD!$B$13), R587, 1000000000000)</f>
        <v/>
      </c>
      <c r="U587" s="101">
        <f>IF(AND(F587&lt;=DASHBOARD!$B$11, H587&gt;=DASHBOARD!$B$13), N587, -1000000000000)</f>
        <v/>
      </c>
      <c r="V587" s="101">
        <f>IF(AND(F587&lt;=DASHBOARD!$B$11, H587&gt;=DASHBOARD!$B$13), H587, -1000000000000)</f>
        <v/>
      </c>
      <c r="W587" s="101">
        <f>IF(AND(F587&lt;=DASHBOARD!$B$11, H587&gt;=DASHBOARD!$B$13), K587, -1000000000000)</f>
        <v/>
      </c>
      <c r="X587" s="101">
        <f>IF(AND(F587&lt;=DASHBOARD!$B$11, H587&gt;=DASHBOARD!$B$13), M587, 1000000000000)</f>
        <v/>
      </c>
      <c r="Y587" s="101">
        <f>IF(AND(F587&lt;=DASHBOARD!$B$10, H587&gt;=DASHBOARD!$B$11), L587, 1000000000000)</f>
        <v/>
      </c>
      <c r="Z587" s="101">
        <f>IF(AND(F587&lt;=DASHBOARD!$B$10, H587&gt;=DASHBOARD!$B$11), O587, 1000000000000)</f>
        <v/>
      </c>
      <c r="AA587" s="101">
        <f>IF(AND(F587&lt;=DASHBOARD!$B$10, H587&gt;=DASHBOARD!$B$11), P587, 1000000000000)</f>
        <v/>
      </c>
      <c r="AB587" s="101">
        <f>IF(AND(F587&lt;=DASHBOARD!$B$10, H587&gt;=DASHBOARD!$B$11), Q587, -1000000000000)</f>
        <v/>
      </c>
    </row>
    <row r="588" ht="15" customHeight="1" s="102">
      <c r="A588" s="166" t="n">
        <v>584</v>
      </c>
      <c r="B588" s="167" t="n">
        <v>1.3</v>
      </c>
      <c r="C588" s="167" t="n">
        <v>1.8</v>
      </c>
      <c r="D588" s="110" t="inlineStr">
        <is>
          <t>Var (%20)</t>
        </is>
      </c>
      <c r="E588" s="110">
        <f>IF((B588+C588)&lt;=1, "Tam Mahsuplaşma (≤%100)", "Kısmi Satış (&gt;%100)")</f>
        <v/>
      </c>
      <c r="F588" s="168">
        <f>((VERI_TABANI!$D$29*B588/VERI_TABANI!$B$29)/VERI_TABANI!$B$3)*VERI_TABANI!$B$5 + ((VERI_TABANI!$D$29*C588/VERI_TABANI!$B$29)/VERI_TABANI!$B$4)*VERI_TABANI!$B$6 + IF(ISNUMBER(SEARCH("Var", D588)), (VERI_TABANI!$F$29/VERI_TABANI!$B$29)*(VERI_TABANI!$B$10+VERI_TABANI!$B$12), 0)</f>
        <v/>
      </c>
      <c r="G588" s="168">
        <f>(((MIN(VERI_TABANI!D23, VERI_TABANI!D23*B588)*VERI_TABANI!$B$7 + MAX(0, VERI_TABANI!D23*B588-VERI_TABANI!D23)*VERI_TABANI!$B$8) + (MIN(MAX(0, VERI_TABANI!D23-VERI_TABANI!D23*B588), VERI_TABANI!D23*C588)*VERI_TABANI!$B$7 + MAX(0, VERI_TABANI!D23*C588-MAX(0, VERI_TABANI!D23-VERI_TABANI!D23*B588))*VERI_TABANI!$B$8) + IF(ABS(IF(ISNUMBER(SEARCH("Var", D588)), 1, IF(ISNUMBER(SEARCH("Gri", D588)), -1, 0)))=1, VERI_TABANI!E23*(1-0.928)*VERI_TABANI!$B$9, 0) + (VERI_TABANI!D23*B588*(VERI_TABANI!$B$13-VERI_TABANI!$B$14)*VERI_TABANI!G23) + (VERI_TABANI!D23*C588*(VERI_TABANI!$B$13-VERI_TABANI!$B$15)*VERI_TABANI!G23) + IF(ABS(IF(ISNUMBER(SEARCH("Var", D588)), 1, IF(ISNUMBER(SEARCH("Gri", D588)), -1, 0)))=1, VERI_TABANI!E23*(1-0.928)*0.00206091519919798*VERI_TABANI!G23, 0)) + ((MIN(VERI_TABANI!D24, VERI_TABANI!D24*B588)*VERI_TABANI!$B$7 + MAX(0, VERI_TABANI!D24*B588-VERI_TABANI!D24)*VERI_TABANI!$B$8) + (MIN(MAX(0, VERI_TABANI!D24-VERI_TABANI!D24*B588), VERI_TABANI!D24*C588)*VERI_TABANI!$B$7 + MAX(0, VERI_TABANI!D24*C588-MAX(0, VERI_TABANI!D24-VERI_TABANI!D24*B588))*VERI_TABANI!$B$8) + IF(ABS(IF(ISNUMBER(SEARCH("Var", D588)), 1, IF(ISNUMBER(SEARCH("Gri", D588)), -1, 0)))=1, VERI_TABANI!E24*(1-0.928)*VERI_TABANI!$B$9, 0) + (VERI_TABANI!D24*B588*(VERI_TABANI!$B$13-VERI_TABANI!$B$14)*VERI_TABANI!G24) + (VERI_TABANI!D24*C588*(VERI_TABANI!$B$13-VERI_TABANI!$B$15)*VERI_TABANI!G24) + IF(ABS(IF(ISNUMBER(SEARCH("Var", D588)), 1, IF(ISNUMBER(SEARCH("Gri", D588)), -1, 0)))=1, VERI_TABANI!E24*(1-0.928)*0.00206091519919798*VERI_TABANI!G24, 0)) + ((MIN(VERI_TABANI!D25, VERI_TABANI!D25*B588)*VERI_TABANI!$B$7 + MAX(0, VERI_TABANI!D25*B588-VERI_TABANI!D25)*VERI_TABANI!$B$8) + (MIN(MAX(0, VERI_TABANI!D25-VERI_TABANI!D25*B588), VERI_TABANI!D25*C588)*VERI_TABANI!$B$7 + MAX(0, VERI_TABANI!D25*C588-MAX(0, VERI_TABANI!D25-VERI_TABANI!D25*B588))*VERI_TABANI!$B$8) + IF(ABS(IF(ISNUMBER(SEARCH("Var", D588)), 1, IF(ISNUMBER(SEARCH("Gri", D588)), -1, 0)))=1, VERI_TABANI!E25*(1-0.928)*VERI_TABANI!$B$9, 0) + (VERI_TABANI!D25*B588*(VERI_TABANI!$B$13-VERI_TABANI!$B$14)*VERI_TABANI!G25) + (VERI_TABANI!D25*C588*(VERI_TABANI!$B$13-VERI_TABANI!$B$15)*VERI_TABANI!G25) + IF(ABS(IF(ISNUMBER(SEARCH("Var", D588)), 1, IF(ISNUMBER(SEARCH("Gri", D588)), -1, 0)))=1, VERI_TABANI!E25*(1-0.928)*0.00206091519919798*VERI_TABANI!G25, 0)) + ((MIN(VERI_TABANI!D26, VERI_TABANI!D26*B588)*VERI_TABANI!$B$7 + MAX(0, VERI_TABANI!D26*B588-VERI_TABANI!D26)*VERI_TABANI!$B$8) + (MIN(MAX(0, VERI_TABANI!D26-VERI_TABANI!D26*B588), VERI_TABANI!D26*C588)*VERI_TABANI!$B$7 + MAX(0, VERI_TABANI!D26*C588-MAX(0, VERI_TABANI!D26-VERI_TABANI!D26*B588))*VERI_TABANI!$B$8) + IF(ABS(IF(ISNUMBER(SEARCH("Var", D588)), 1, IF(ISNUMBER(SEARCH("Gri", D588)), -1, 0)))=1, VERI_TABANI!E26*(1-0.928)*VERI_TABANI!$B$9, 0) + (VERI_TABANI!D26*B588*(VERI_TABANI!$B$13-VERI_TABANI!$B$14)*VERI_TABANI!G26) + (VERI_TABANI!D26*C588*(VERI_TABANI!$B$13-VERI_TABANI!$B$15)*VERI_TABANI!G26) + IF(ABS(IF(ISNUMBER(SEARCH("Var", D588)), 1, IF(ISNUMBER(SEARCH("Gri", D588)), -1, 0)))=1, VERI_TABANI!E26*(1-0.928)*0.00206091519919798*VERI_TABANI!G26, 0)) + ((MIN(VERI_TABANI!D27, VERI_TABANI!D27*B588)*VERI_TABANI!$B$7 + MAX(0, VERI_TABANI!D27*B588-VERI_TABANI!D27)*VERI_TABANI!$B$8) + (MIN(MAX(0, VERI_TABANI!D27-VERI_TABANI!D27*B588), VERI_TABANI!D27*C588)*VERI_TABANI!$B$7 + MAX(0, VERI_TABANI!D27*C588-MAX(0, VERI_TABANI!D27-VERI_TABANI!D27*B588))*VERI_TABANI!$B$8) + IF(ABS(IF(ISNUMBER(SEARCH("Var", D588)), 1, IF(ISNUMBER(SEARCH("Gri", D588)), -1, 0)))=1, VERI_TABANI!E27*(1-0.928)*VERI_TABANI!$B$9, 0) + (VERI_TABANI!D27*B588*(VERI_TABANI!$B$13-VERI_TABANI!$B$14)*VERI_TABANI!G27) + (VERI_TABANI!D27*C588*(VERI_TABANI!$B$13-VERI_TABANI!$B$15)*VERI_TABANI!G27) + IF(ABS(IF(ISNUMBER(SEARCH("Var", D588)), 1, IF(ISNUMBER(SEARCH("Gri", D588)), -1, 0)))=1, VERI_TABANI!E27*(1-0.928)*0.00206091519919798*VERI_TABANI!G27, 0)) + ((MIN(VERI_TABANI!D28, VERI_TABANI!D28*B588)*VERI_TABANI!$B$7 + MAX(0, VERI_TABANI!D28*B588-VERI_TABANI!D28)*VERI_TABANI!$B$8) + (MIN(MAX(0, VERI_TABANI!D28-VERI_TABANI!D28*B588), VERI_TABANI!D28*C588)*VERI_TABANI!$B$7 + MAX(0, VERI_TABANI!D28*C588-MAX(0, VERI_TABANI!D28-VERI_TABANI!D28*B588))*VERI_TABANI!$B$8) + IF(ABS(IF(ISNUMBER(SEARCH("Var", D588)), 1, IF(ISNUMBER(SEARCH("Gri", D588)), -1, 0)))=1, VERI_TABANI!E28*(1-0.928)*VERI_TABANI!$B$9, 0) + (VERI_TABANI!D28*B588*(VERI_TABANI!$B$13-VERI_TABANI!$B$14)*VERI_TABANI!G28) + (VERI_TABANI!D28*C588*(VERI_TABANI!$B$13-VERI_TABANI!$B$15)*VERI_TABANI!G28) + IF(ABS(IF(ISNUMBER(SEARCH("Var", D588)), 1, IF(ISNUMBER(SEARCH("Gri", D588)), -1, 0)))=1, VERI_TABANI!E28*(1-0.928)*0.00206091519919798*VERI_TABANI!G28, 0)))</f>
        <v/>
      </c>
      <c r="H588" s="169">
        <f>(((VERI_TABANI!D23*B588*(VERI_TABANI!$B$13-VERI_TABANI!$B$14)) + (VERI_TABANI!D23*C588*(VERI_TABANI!$B$13-VERI_TABANI!$B$15)) + IF(ISNUMBER(SEARCH("Var", D588)), VERI_TABANI!F23*(0.00202-VERI_TABANI!$B$16), IF(ISNUMBER(SEARCH("Gri", D588)), VERI_TABANI!F23*(0.00202-VERI_TABANI!$B$17), 0))) + ((VERI_TABANI!D24*B588*(VERI_TABANI!$B$13-VERI_TABANI!$B$14)) + (VERI_TABANI!D24*C588*(VERI_TABANI!$B$13-VERI_TABANI!$B$15)) + IF(ISNUMBER(SEARCH("Var", D588)), VERI_TABANI!F24*(0.00202-VERI_TABANI!$B$16), IF(ISNUMBER(SEARCH("Gri", D588)), VERI_TABANI!F24*(0.00202-VERI_TABANI!$B$17), 0))) + ((VERI_TABANI!D25*B588*(VERI_TABANI!$B$13-VERI_TABANI!$B$14)) + (VERI_TABANI!D25*C588*(VERI_TABANI!$B$13-VERI_TABANI!$B$15)) + IF(ISNUMBER(SEARCH("Var", D588)), VERI_TABANI!F25*(0.00202-VERI_TABANI!$B$16), IF(ISNUMBER(SEARCH("Gri", D588)), VERI_TABANI!F25*(0.00202-VERI_TABANI!$B$17), 0))) + ((VERI_TABANI!D26*B588*(VERI_TABANI!$B$13-VERI_TABANI!$B$14)) + (VERI_TABANI!D26*C588*(VERI_TABANI!$B$13-VERI_TABANI!$B$15)) + IF(ISNUMBER(SEARCH("Var", D588)), VERI_TABANI!F26*(0.00202-VERI_TABANI!$B$16), IF(ISNUMBER(SEARCH("Gri", D588)), VERI_TABANI!F26*(0.00202-VERI_TABANI!$B$17), 0))) + ((VERI_TABANI!D27*B588*(VERI_TABANI!$B$13-VERI_TABANI!$B$14)) + (VERI_TABANI!D27*C588*(VERI_TABANI!$B$13-VERI_TABANI!$B$15)) + IF(ISNUMBER(SEARCH("Var", D588)), VERI_TABANI!F27*(0.00202-VERI_TABANI!$B$16), IF(ISNUMBER(SEARCH("Gri", D588)), VERI_TABANI!F27*(0.00202-VERI_TABANI!$B$17), 0))) + ((VERI_TABANI!D28*B588*(VERI_TABANI!$B$13-VERI_TABANI!$B$14)) + (VERI_TABANI!D28*C588*(VERI_TABANI!$B$13-VERI_TABANI!$B$15)) + IF(ISNUMBER(SEARCH("Var", D588)), VERI_TABANI!F28*(0.00202-VERI_TABANI!$B$16), IF(ISNUMBER(SEARCH("Gri", D588)), VERI_TABANI!F28*(0.00202-VERI_TABANI!$B$17), 0))))</f>
        <v/>
      </c>
      <c r="I588" s="170">
        <f>IFERROR(((VERI_TABANI!$D$29*B588*VERI_TABANI!$B$14 + VERI_TABANI!$D$29*C588*VERI_TABANI!$B$15 + IF(ISNUMBER(SEARCH("Var", D588)), VERI_TABANI!$F$29*VERI_TABANI!$B$16, 0))) / (((VERI_TABANI!$D$29*B588 + VERI_TABANI!$D$29*C588)*VERI_TABANI!$B$13 + IF(ISNUMBER(SEARCH("Var", D588)), VERI_TABANI!$E$29*(1-0.928)*VERI_TABANI!$B$18, 0))), 0)</f>
        <v/>
      </c>
      <c r="J588" s="171">
        <f>IFERROR(F588/(G588/29), 0)</f>
        <v/>
      </c>
      <c r="K588" s="172">
        <f>IF(F588&gt;0, H588/F588, 0)</f>
        <v/>
      </c>
      <c r="L588" s="170">
        <f>IF(F588&gt;0, I588, 1000000000)</f>
        <v/>
      </c>
      <c r="M588" s="171">
        <f>ABS((B588+C588)-1)</f>
        <v/>
      </c>
      <c r="N588" s="170">
        <f>IF(F588&gt;0, (G588/29)/F588, 0)</f>
        <v/>
      </c>
      <c r="O588" s="168">
        <f>IF(AND((B588+C588)&gt;=1, ISNUMBER(SEARCH("Var", D588))), F588, 1000000000)</f>
        <v/>
      </c>
      <c r="P588" s="172">
        <f>IF(F588&gt;0, SQRT((F588/MAX(F$5:F$886))^2 + (1 - H588/MAX(H$5:H$886))^2 + (J588/MAX(J$5:J$886))^2), 1000000000)</f>
        <v/>
      </c>
      <c r="Q588" s="166">
        <f>IF(AND(ABS(B588-0.5)&lt;0.01, ABS(C588-0.5)&lt;0.01, ISNUMBER(SEARCH("Var", D588))), 1, 0)</f>
        <v/>
      </c>
      <c r="R588" s="171">
        <f>IF(F588&gt;0, J588, 1000000000)</f>
        <v/>
      </c>
      <c r="S588" s="101">
        <f>IF(AND(F588&lt;=DASHBOARD!$B$11, H588&gt;=DASHBOARD!$B$13), G588, -1000000000000)</f>
        <v/>
      </c>
      <c r="T588" s="101">
        <f>IF(AND(F588&lt;=DASHBOARD!$B$11, H588&gt;=DASHBOARD!$B$13), R588, 1000000000000)</f>
        <v/>
      </c>
      <c r="U588" s="101">
        <f>IF(AND(F588&lt;=DASHBOARD!$B$11, H588&gt;=DASHBOARD!$B$13), N588, -1000000000000)</f>
        <v/>
      </c>
      <c r="V588" s="101">
        <f>IF(AND(F588&lt;=DASHBOARD!$B$11, H588&gt;=DASHBOARD!$B$13), H588, -1000000000000)</f>
        <v/>
      </c>
      <c r="W588" s="101">
        <f>IF(AND(F588&lt;=DASHBOARD!$B$11, H588&gt;=DASHBOARD!$B$13), K588, -1000000000000)</f>
        <v/>
      </c>
      <c r="X588" s="101">
        <f>IF(AND(F588&lt;=DASHBOARD!$B$11, H588&gt;=DASHBOARD!$B$13), M588, 1000000000000)</f>
        <v/>
      </c>
      <c r="Y588" s="101">
        <f>IF(AND(F588&lt;=DASHBOARD!$B$10, H588&gt;=DASHBOARD!$B$11), L588, 1000000000000)</f>
        <v/>
      </c>
      <c r="Z588" s="101">
        <f>IF(AND(F588&lt;=DASHBOARD!$B$10, H588&gt;=DASHBOARD!$B$11), O588, 1000000000000)</f>
        <v/>
      </c>
      <c r="AA588" s="101">
        <f>IF(AND(F588&lt;=DASHBOARD!$B$10, H588&gt;=DASHBOARD!$B$11), P588, 1000000000000)</f>
        <v/>
      </c>
      <c r="AB588" s="101">
        <f>IF(AND(F588&lt;=DASHBOARD!$B$10, H588&gt;=DASHBOARD!$B$11), Q588, -1000000000000)</f>
        <v/>
      </c>
    </row>
    <row r="589" ht="15" customHeight="1" s="102">
      <c r="A589" s="166" t="n">
        <v>585</v>
      </c>
      <c r="B589" s="167" t="n">
        <v>1.3</v>
      </c>
      <c r="C589" s="167" t="n">
        <v>1.9</v>
      </c>
      <c r="D589" s="110" t="inlineStr">
        <is>
          <t>Yok (%0)</t>
        </is>
      </c>
      <c r="E589" s="110">
        <f>IF((B589+C589)&lt;=1, "Tam Mahsuplaşma (≤%100)", "Kısmi Satış (&gt;%100)")</f>
        <v/>
      </c>
      <c r="F589" s="168">
        <f>((VERI_TABANI!$D$29*B589/VERI_TABANI!$B$29)/VERI_TABANI!$B$3)*VERI_TABANI!$B$5 + ((VERI_TABANI!$D$29*C589/VERI_TABANI!$B$29)/VERI_TABANI!$B$4)*VERI_TABANI!$B$6 + IF(ISNUMBER(SEARCH("Var", D589)), (VERI_TABANI!$F$29/VERI_TABANI!$B$29)*(VERI_TABANI!$B$10+VERI_TABANI!$B$12), 0)</f>
        <v/>
      </c>
      <c r="G589" s="168">
        <f>(((MIN(VERI_TABANI!D23, VERI_TABANI!D23*B589)*VERI_TABANI!$B$7 + MAX(0, VERI_TABANI!D23*B589-VERI_TABANI!D23)*VERI_TABANI!$B$8) + (MIN(MAX(0, VERI_TABANI!D23-VERI_TABANI!D23*B589), VERI_TABANI!D23*C589)*VERI_TABANI!$B$7 + MAX(0, VERI_TABANI!D23*C589-MAX(0, VERI_TABANI!D23-VERI_TABANI!D23*B589))*VERI_TABANI!$B$8) + IF(ABS(IF(ISNUMBER(SEARCH("Var", D589)), 1, IF(ISNUMBER(SEARCH("Gri", D589)), -1, 0)))=1, VERI_TABANI!E23*(1-0.928)*VERI_TABANI!$B$9, 0) + (VERI_TABANI!D23*B589*(VERI_TABANI!$B$13-VERI_TABANI!$B$14)*VERI_TABANI!G23) + (VERI_TABANI!D23*C589*(VERI_TABANI!$B$13-VERI_TABANI!$B$15)*VERI_TABANI!G23) + IF(ABS(IF(ISNUMBER(SEARCH("Var", D589)), 1, IF(ISNUMBER(SEARCH("Gri", D589)), -1, 0)))=1, VERI_TABANI!E23*(1-0.928)*0.00206091519919798*VERI_TABANI!G23, 0)) + ((MIN(VERI_TABANI!D24, VERI_TABANI!D24*B589)*VERI_TABANI!$B$7 + MAX(0, VERI_TABANI!D24*B589-VERI_TABANI!D24)*VERI_TABANI!$B$8) + (MIN(MAX(0, VERI_TABANI!D24-VERI_TABANI!D24*B589), VERI_TABANI!D24*C589)*VERI_TABANI!$B$7 + MAX(0, VERI_TABANI!D24*C589-MAX(0, VERI_TABANI!D24-VERI_TABANI!D24*B589))*VERI_TABANI!$B$8) + IF(ABS(IF(ISNUMBER(SEARCH("Var", D589)), 1, IF(ISNUMBER(SEARCH("Gri", D589)), -1, 0)))=1, VERI_TABANI!E24*(1-0.928)*VERI_TABANI!$B$9, 0) + (VERI_TABANI!D24*B589*(VERI_TABANI!$B$13-VERI_TABANI!$B$14)*VERI_TABANI!G24) + (VERI_TABANI!D24*C589*(VERI_TABANI!$B$13-VERI_TABANI!$B$15)*VERI_TABANI!G24) + IF(ABS(IF(ISNUMBER(SEARCH("Var", D589)), 1, IF(ISNUMBER(SEARCH("Gri", D589)), -1, 0)))=1, VERI_TABANI!E24*(1-0.928)*0.00206091519919798*VERI_TABANI!G24, 0)) + ((MIN(VERI_TABANI!D25, VERI_TABANI!D25*B589)*VERI_TABANI!$B$7 + MAX(0, VERI_TABANI!D25*B589-VERI_TABANI!D25)*VERI_TABANI!$B$8) + (MIN(MAX(0, VERI_TABANI!D25-VERI_TABANI!D25*B589), VERI_TABANI!D25*C589)*VERI_TABANI!$B$7 + MAX(0, VERI_TABANI!D25*C589-MAX(0, VERI_TABANI!D25-VERI_TABANI!D25*B589))*VERI_TABANI!$B$8) + IF(ABS(IF(ISNUMBER(SEARCH("Var", D589)), 1, IF(ISNUMBER(SEARCH("Gri", D589)), -1, 0)))=1, VERI_TABANI!E25*(1-0.928)*VERI_TABANI!$B$9, 0) + (VERI_TABANI!D25*B589*(VERI_TABANI!$B$13-VERI_TABANI!$B$14)*VERI_TABANI!G25) + (VERI_TABANI!D25*C589*(VERI_TABANI!$B$13-VERI_TABANI!$B$15)*VERI_TABANI!G25) + IF(ABS(IF(ISNUMBER(SEARCH("Var", D589)), 1, IF(ISNUMBER(SEARCH("Gri", D589)), -1, 0)))=1, VERI_TABANI!E25*(1-0.928)*0.00206091519919798*VERI_TABANI!G25, 0)) + ((MIN(VERI_TABANI!D26, VERI_TABANI!D26*B589)*VERI_TABANI!$B$7 + MAX(0, VERI_TABANI!D26*B589-VERI_TABANI!D26)*VERI_TABANI!$B$8) + (MIN(MAX(0, VERI_TABANI!D26-VERI_TABANI!D26*B589), VERI_TABANI!D26*C589)*VERI_TABANI!$B$7 + MAX(0, VERI_TABANI!D26*C589-MAX(0, VERI_TABANI!D26-VERI_TABANI!D26*B589))*VERI_TABANI!$B$8) + IF(ABS(IF(ISNUMBER(SEARCH("Var", D589)), 1, IF(ISNUMBER(SEARCH("Gri", D589)), -1, 0)))=1, VERI_TABANI!E26*(1-0.928)*VERI_TABANI!$B$9, 0) + (VERI_TABANI!D26*B589*(VERI_TABANI!$B$13-VERI_TABANI!$B$14)*VERI_TABANI!G26) + (VERI_TABANI!D26*C589*(VERI_TABANI!$B$13-VERI_TABANI!$B$15)*VERI_TABANI!G26) + IF(ABS(IF(ISNUMBER(SEARCH("Var", D589)), 1, IF(ISNUMBER(SEARCH("Gri", D589)), -1, 0)))=1, VERI_TABANI!E26*(1-0.928)*0.00206091519919798*VERI_TABANI!G26, 0)) + ((MIN(VERI_TABANI!D27, VERI_TABANI!D27*B589)*VERI_TABANI!$B$7 + MAX(0, VERI_TABANI!D27*B589-VERI_TABANI!D27)*VERI_TABANI!$B$8) + (MIN(MAX(0, VERI_TABANI!D27-VERI_TABANI!D27*B589), VERI_TABANI!D27*C589)*VERI_TABANI!$B$7 + MAX(0, VERI_TABANI!D27*C589-MAX(0, VERI_TABANI!D27-VERI_TABANI!D27*B589))*VERI_TABANI!$B$8) + IF(ABS(IF(ISNUMBER(SEARCH("Var", D589)), 1, IF(ISNUMBER(SEARCH("Gri", D589)), -1, 0)))=1, VERI_TABANI!E27*(1-0.928)*VERI_TABANI!$B$9, 0) + (VERI_TABANI!D27*B589*(VERI_TABANI!$B$13-VERI_TABANI!$B$14)*VERI_TABANI!G27) + (VERI_TABANI!D27*C589*(VERI_TABANI!$B$13-VERI_TABANI!$B$15)*VERI_TABANI!G27) + IF(ABS(IF(ISNUMBER(SEARCH("Var", D589)), 1, IF(ISNUMBER(SEARCH("Gri", D589)), -1, 0)))=1, VERI_TABANI!E27*(1-0.928)*0.00206091519919798*VERI_TABANI!G27, 0)) + ((MIN(VERI_TABANI!D28, VERI_TABANI!D28*B589)*VERI_TABANI!$B$7 + MAX(0, VERI_TABANI!D28*B589-VERI_TABANI!D28)*VERI_TABANI!$B$8) + (MIN(MAX(0, VERI_TABANI!D28-VERI_TABANI!D28*B589), VERI_TABANI!D28*C589)*VERI_TABANI!$B$7 + MAX(0, VERI_TABANI!D28*C589-MAX(0, VERI_TABANI!D28-VERI_TABANI!D28*B589))*VERI_TABANI!$B$8) + IF(ABS(IF(ISNUMBER(SEARCH("Var", D589)), 1, IF(ISNUMBER(SEARCH("Gri", D589)), -1, 0)))=1, VERI_TABANI!E28*(1-0.928)*VERI_TABANI!$B$9, 0) + (VERI_TABANI!D28*B589*(VERI_TABANI!$B$13-VERI_TABANI!$B$14)*VERI_TABANI!G28) + (VERI_TABANI!D28*C589*(VERI_TABANI!$B$13-VERI_TABANI!$B$15)*VERI_TABANI!G28) + IF(ABS(IF(ISNUMBER(SEARCH("Var", D589)), 1, IF(ISNUMBER(SEARCH("Gri", D589)), -1, 0)))=1, VERI_TABANI!E28*(1-0.928)*0.00206091519919798*VERI_TABANI!G28, 0)))</f>
        <v/>
      </c>
      <c r="H589" s="169">
        <f>(((VERI_TABANI!D23*B589*(VERI_TABANI!$B$13-VERI_TABANI!$B$14)) + (VERI_TABANI!D23*C589*(VERI_TABANI!$B$13-VERI_TABANI!$B$15)) + IF(ISNUMBER(SEARCH("Var", D589)), VERI_TABANI!F23*(0.00202-VERI_TABANI!$B$16), IF(ISNUMBER(SEARCH("Gri", D589)), VERI_TABANI!F23*(0.00202-VERI_TABANI!$B$17), 0))) + ((VERI_TABANI!D24*B589*(VERI_TABANI!$B$13-VERI_TABANI!$B$14)) + (VERI_TABANI!D24*C589*(VERI_TABANI!$B$13-VERI_TABANI!$B$15)) + IF(ISNUMBER(SEARCH("Var", D589)), VERI_TABANI!F24*(0.00202-VERI_TABANI!$B$16), IF(ISNUMBER(SEARCH("Gri", D589)), VERI_TABANI!F24*(0.00202-VERI_TABANI!$B$17), 0))) + ((VERI_TABANI!D25*B589*(VERI_TABANI!$B$13-VERI_TABANI!$B$14)) + (VERI_TABANI!D25*C589*(VERI_TABANI!$B$13-VERI_TABANI!$B$15)) + IF(ISNUMBER(SEARCH("Var", D589)), VERI_TABANI!F25*(0.00202-VERI_TABANI!$B$16), IF(ISNUMBER(SEARCH("Gri", D589)), VERI_TABANI!F25*(0.00202-VERI_TABANI!$B$17), 0))) + ((VERI_TABANI!D26*B589*(VERI_TABANI!$B$13-VERI_TABANI!$B$14)) + (VERI_TABANI!D26*C589*(VERI_TABANI!$B$13-VERI_TABANI!$B$15)) + IF(ISNUMBER(SEARCH("Var", D589)), VERI_TABANI!F26*(0.00202-VERI_TABANI!$B$16), IF(ISNUMBER(SEARCH("Gri", D589)), VERI_TABANI!F26*(0.00202-VERI_TABANI!$B$17), 0))) + ((VERI_TABANI!D27*B589*(VERI_TABANI!$B$13-VERI_TABANI!$B$14)) + (VERI_TABANI!D27*C589*(VERI_TABANI!$B$13-VERI_TABANI!$B$15)) + IF(ISNUMBER(SEARCH("Var", D589)), VERI_TABANI!F27*(0.00202-VERI_TABANI!$B$16), IF(ISNUMBER(SEARCH("Gri", D589)), VERI_TABANI!F27*(0.00202-VERI_TABANI!$B$17), 0))) + ((VERI_TABANI!D28*B589*(VERI_TABANI!$B$13-VERI_TABANI!$B$14)) + (VERI_TABANI!D28*C589*(VERI_TABANI!$B$13-VERI_TABANI!$B$15)) + IF(ISNUMBER(SEARCH("Var", D589)), VERI_TABANI!F28*(0.00202-VERI_TABANI!$B$16), IF(ISNUMBER(SEARCH("Gri", D589)), VERI_TABANI!F28*(0.00202-VERI_TABANI!$B$17), 0))))</f>
        <v/>
      </c>
      <c r="I589" s="170">
        <f>IFERROR(((VERI_TABANI!$D$29*B589*VERI_TABANI!$B$14 + VERI_TABANI!$D$29*C589*VERI_TABANI!$B$15 + IF(ISNUMBER(SEARCH("Var", D589)), VERI_TABANI!$F$29*VERI_TABANI!$B$16, 0))) / (((VERI_TABANI!$D$29*B589 + VERI_TABANI!$D$29*C589)*VERI_TABANI!$B$13 + IF(ISNUMBER(SEARCH("Var", D589)), VERI_TABANI!$E$29*(1-0.928)*VERI_TABANI!$B$18, 0))), 0)</f>
        <v/>
      </c>
      <c r="J589" s="171">
        <f>IFERROR(F589/(G589/29), 0)</f>
        <v/>
      </c>
      <c r="K589" s="172">
        <f>IF(F589&gt;0, H589/F589, 0)</f>
        <v/>
      </c>
      <c r="L589" s="170">
        <f>IF(F589&gt;0, I589, 1000000000)</f>
        <v/>
      </c>
      <c r="M589" s="171">
        <f>ABS((B589+C589)-1)</f>
        <v/>
      </c>
      <c r="N589" s="170">
        <f>IF(F589&gt;0, (G589/29)/F589, 0)</f>
        <v/>
      </c>
      <c r="O589" s="168">
        <f>IF(AND((B589+C589)&gt;=1, ISNUMBER(SEARCH("Var", D589))), F589, 1000000000)</f>
        <v/>
      </c>
      <c r="P589" s="172">
        <f>IF(F589&gt;0, SQRT((F589/MAX(F$5:F$886))^2 + (1 - H589/MAX(H$5:H$886))^2 + (J589/MAX(J$5:J$886))^2), 1000000000)</f>
        <v/>
      </c>
      <c r="Q589" s="166">
        <f>IF(AND(ABS(B589-0.5)&lt;0.01, ABS(C589-0.5)&lt;0.01, ISNUMBER(SEARCH("Var", D589))), 1, 0)</f>
        <v/>
      </c>
      <c r="R589" s="171">
        <f>IF(F589&gt;0, J589, 1000000000)</f>
        <v/>
      </c>
      <c r="S589" s="101">
        <f>IF(AND(F589&lt;=DASHBOARD!$B$11, H589&gt;=DASHBOARD!$B$13), G589, -1000000000000)</f>
        <v/>
      </c>
      <c r="T589" s="101">
        <f>IF(AND(F589&lt;=DASHBOARD!$B$11, H589&gt;=DASHBOARD!$B$13), R589, 1000000000000)</f>
        <v/>
      </c>
      <c r="U589" s="101">
        <f>IF(AND(F589&lt;=DASHBOARD!$B$11, H589&gt;=DASHBOARD!$B$13), N589, -1000000000000)</f>
        <v/>
      </c>
      <c r="V589" s="101">
        <f>IF(AND(F589&lt;=DASHBOARD!$B$11, H589&gt;=DASHBOARD!$B$13), H589, -1000000000000)</f>
        <v/>
      </c>
      <c r="W589" s="101">
        <f>IF(AND(F589&lt;=DASHBOARD!$B$11, H589&gt;=DASHBOARD!$B$13), K589, -1000000000000)</f>
        <v/>
      </c>
      <c r="X589" s="101">
        <f>IF(AND(F589&lt;=DASHBOARD!$B$11, H589&gt;=DASHBOARD!$B$13), M589, 1000000000000)</f>
        <v/>
      </c>
      <c r="Y589" s="101">
        <f>IF(AND(F589&lt;=DASHBOARD!$B$10, H589&gt;=DASHBOARD!$B$11), L589, 1000000000000)</f>
        <v/>
      </c>
      <c r="Z589" s="101">
        <f>IF(AND(F589&lt;=DASHBOARD!$B$10, H589&gt;=DASHBOARD!$B$11), O589, 1000000000000)</f>
        <v/>
      </c>
      <c r="AA589" s="101">
        <f>IF(AND(F589&lt;=DASHBOARD!$B$10, H589&gt;=DASHBOARD!$B$11), P589, 1000000000000)</f>
        <v/>
      </c>
      <c r="AB589" s="101">
        <f>IF(AND(F589&lt;=DASHBOARD!$B$10, H589&gt;=DASHBOARD!$B$11), Q589, -1000000000000)</f>
        <v/>
      </c>
    </row>
    <row r="590" ht="15" customHeight="1" s="102">
      <c r="A590" s="166" t="n">
        <v>586</v>
      </c>
      <c r="B590" s="167" t="n">
        <v>1.3</v>
      </c>
      <c r="C590" s="167" t="n">
        <v>1.9</v>
      </c>
      <c r="D590" s="110" t="inlineStr">
        <is>
          <t>Var (%20)</t>
        </is>
      </c>
      <c r="E590" s="110">
        <f>IF((B590+C590)&lt;=1, "Tam Mahsuplaşma (≤%100)", "Kısmi Satış (&gt;%100)")</f>
        <v/>
      </c>
      <c r="F590" s="168">
        <f>((VERI_TABANI!$D$29*B590/VERI_TABANI!$B$29)/VERI_TABANI!$B$3)*VERI_TABANI!$B$5 + ((VERI_TABANI!$D$29*C590/VERI_TABANI!$B$29)/VERI_TABANI!$B$4)*VERI_TABANI!$B$6 + IF(ISNUMBER(SEARCH("Var", D590)), (VERI_TABANI!$F$29/VERI_TABANI!$B$29)*(VERI_TABANI!$B$10+VERI_TABANI!$B$12), 0)</f>
        <v/>
      </c>
      <c r="G590" s="168">
        <f>(((MIN(VERI_TABANI!D23, VERI_TABANI!D23*B590)*VERI_TABANI!$B$7 + MAX(0, VERI_TABANI!D23*B590-VERI_TABANI!D23)*VERI_TABANI!$B$8) + (MIN(MAX(0, VERI_TABANI!D23-VERI_TABANI!D23*B590), VERI_TABANI!D23*C590)*VERI_TABANI!$B$7 + MAX(0, VERI_TABANI!D23*C590-MAX(0, VERI_TABANI!D23-VERI_TABANI!D23*B590))*VERI_TABANI!$B$8) + IF(ABS(IF(ISNUMBER(SEARCH("Var", D590)), 1, IF(ISNUMBER(SEARCH("Gri", D590)), -1, 0)))=1, VERI_TABANI!E23*(1-0.928)*VERI_TABANI!$B$9, 0) + (VERI_TABANI!D23*B590*(VERI_TABANI!$B$13-VERI_TABANI!$B$14)*VERI_TABANI!G23) + (VERI_TABANI!D23*C590*(VERI_TABANI!$B$13-VERI_TABANI!$B$15)*VERI_TABANI!G23) + IF(ABS(IF(ISNUMBER(SEARCH("Var", D590)), 1, IF(ISNUMBER(SEARCH("Gri", D590)), -1, 0)))=1, VERI_TABANI!E23*(1-0.928)*0.00206091519919798*VERI_TABANI!G23, 0)) + ((MIN(VERI_TABANI!D24, VERI_TABANI!D24*B590)*VERI_TABANI!$B$7 + MAX(0, VERI_TABANI!D24*B590-VERI_TABANI!D24)*VERI_TABANI!$B$8) + (MIN(MAX(0, VERI_TABANI!D24-VERI_TABANI!D24*B590), VERI_TABANI!D24*C590)*VERI_TABANI!$B$7 + MAX(0, VERI_TABANI!D24*C590-MAX(0, VERI_TABANI!D24-VERI_TABANI!D24*B590))*VERI_TABANI!$B$8) + IF(ABS(IF(ISNUMBER(SEARCH("Var", D590)), 1, IF(ISNUMBER(SEARCH("Gri", D590)), -1, 0)))=1, VERI_TABANI!E24*(1-0.928)*VERI_TABANI!$B$9, 0) + (VERI_TABANI!D24*B590*(VERI_TABANI!$B$13-VERI_TABANI!$B$14)*VERI_TABANI!G24) + (VERI_TABANI!D24*C590*(VERI_TABANI!$B$13-VERI_TABANI!$B$15)*VERI_TABANI!G24) + IF(ABS(IF(ISNUMBER(SEARCH("Var", D590)), 1, IF(ISNUMBER(SEARCH("Gri", D590)), -1, 0)))=1, VERI_TABANI!E24*(1-0.928)*0.00206091519919798*VERI_TABANI!G24, 0)) + ((MIN(VERI_TABANI!D25, VERI_TABANI!D25*B590)*VERI_TABANI!$B$7 + MAX(0, VERI_TABANI!D25*B590-VERI_TABANI!D25)*VERI_TABANI!$B$8) + (MIN(MAX(0, VERI_TABANI!D25-VERI_TABANI!D25*B590), VERI_TABANI!D25*C590)*VERI_TABANI!$B$7 + MAX(0, VERI_TABANI!D25*C590-MAX(0, VERI_TABANI!D25-VERI_TABANI!D25*B590))*VERI_TABANI!$B$8) + IF(ABS(IF(ISNUMBER(SEARCH("Var", D590)), 1, IF(ISNUMBER(SEARCH("Gri", D590)), -1, 0)))=1, VERI_TABANI!E25*(1-0.928)*VERI_TABANI!$B$9, 0) + (VERI_TABANI!D25*B590*(VERI_TABANI!$B$13-VERI_TABANI!$B$14)*VERI_TABANI!G25) + (VERI_TABANI!D25*C590*(VERI_TABANI!$B$13-VERI_TABANI!$B$15)*VERI_TABANI!G25) + IF(ABS(IF(ISNUMBER(SEARCH("Var", D590)), 1, IF(ISNUMBER(SEARCH("Gri", D590)), -1, 0)))=1, VERI_TABANI!E25*(1-0.928)*0.00206091519919798*VERI_TABANI!G25, 0)) + ((MIN(VERI_TABANI!D26, VERI_TABANI!D26*B590)*VERI_TABANI!$B$7 + MAX(0, VERI_TABANI!D26*B590-VERI_TABANI!D26)*VERI_TABANI!$B$8) + (MIN(MAX(0, VERI_TABANI!D26-VERI_TABANI!D26*B590), VERI_TABANI!D26*C590)*VERI_TABANI!$B$7 + MAX(0, VERI_TABANI!D26*C590-MAX(0, VERI_TABANI!D26-VERI_TABANI!D26*B590))*VERI_TABANI!$B$8) + IF(ABS(IF(ISNUMBER(SEARCH("Var", D590)), 1, IF(ISNUMBER(SEARCH("Gri", D590)), -1, 0)))=1, VERI_TABANI!E26*(1-0.928)*VERI_TABANI!$B$9, 0) + (VERI_TABANI!D26*B590*(VERI_TABANI!$B$13-VERI_TABANI!$B$14)*VERI_TABANI!G26) + (VERI_TABANI!D26*C590*(VERI_TABANI!$B$13-VERI_TABANI!$B$15)*VERI_TABANI!G26) + IF(ABS(IF(ISNUMBER(SEARCH("Var", D590)), 1, IF(ISNUMBER(SEARCH("Gri", D590)), -1, 0)))=1, VERI_TABANI!E26*(1-0.928)*0.00206091519919798*VERI_TABANI!G26, 0)) + ((MIN(VERI_TABANI!D27, VERI_TABANI!D27*B590)*VERI_TABANI!$B$7 + MAX(0, VERI_TABANI!D27*B590-VERI_TABANI!D27)*VERI_TABANI!$B$8) + (MIN(MAX(0, VERI_TABANI!D27-VERI_TABANI!D27*B590), VERI_TABANI!D27*C590)*VERI_TABANI!$B$7 + MAX(0, VERI_TABANI!D27*C590-MAX(0, VERI_TABANI!D27-VERI_TABANI!D27*B590))*VERI_TABANI!$B$8) + IF(ABS(IF(ISNUMBER(SEARCH("Var", D590)), 1, IF(ISNUMBER(SEARCH("Gri", D590)), -1, 0)))=1, VERI_TABANI!E27*(1-0.928)*VERI_TABANI!$B$9, 0) + (VERI_TABANI!D27*B590*(VERI_TABANI!$B$13-VERI_TABANI!$B$14)*VERI_TABANI!G27) + (VERI_TABANI!D27*C590*(VERI_TABANI!$B$13-VERI_TABANI!$B$15)*VERI_TABANI!G27) + IF(ABS(IF(ISNUMBER(SEARCH("Var", D590)), 1, IF(ISNUMBER(SEARCH("Gri", D590)), -1, 0)))=1, VERI_TABANI!E27*(1-0.928)*0.00206091519919798*VERI_TABANI!G27, 0)) + ((MIN(VERI_TABANI!D28, VERI_TABANI!D28*B590)*VERI_TABANI!$B$7 + MAX(0, VERI_TABANI!D28*B590-VERI_TABANI!D28)*VERI_TABANI!$B$8) + (MIN(MAX(0, VERI_TABANI!D28-VERI_TABANI!D28*B590), VERI_TABANI!D28*C590)*VERI_TABANI!$B$7 + MAX(0, VERI_TABANI!D28*C590-MAX(0, VERI_TABANI!D28-VERI_TABANI!D28*B590))*VERI_TABANI!$B$8) + IF(ABS(IF(ISNUMBER(SEARCH("Var", D590)), 1, IF(ISNUMBER(SEARCH("Gri", D590)), -1, 0)))=1, VERI_TABANI!E28*(1-0.928)*VERI_TABANI!$B$9, 0) + (VERI_TABANI!D28*B590*(VERI_TABANI!$B$13-VERI_TABANI!$B$14)*VERI_TABANI!G28) + (VERI_TABANI!D28*C590*(VERI_TABANI!$B$13-VERI_TABANI!$B$15)*VERI_TABANI!G28) + IF(ABS(IF(ISNUMBER(SEARCH("Var", D590)), 1, IF(ISNUMBER(SEARCH("Gri", D590)), -1, 0)))=1, VERI_TABANI!E28*(1-0.928)*0.00206091519919798*VERI_TABANI!G28, 0)))</f>
        <v/>
      </c>
      <c r="H590" s="169">
        <f>(((VERI_TABANI!D23*B590*(VERI_TABANI!$B$13-VERI_TABANI!$B$14)) + (VERI_TABANI!D23*C590*(VERI_TABANI!$B$13-VERI_TABANI!$B$15)) + IF(ISNUMBER(SEARCH("Var", D590)), VERI_TABANI!F23*(0.00202-VERI_TABANI!$B$16), IF(ISNUMBER(SEARCH("Gri", D590)), VERI_TABANI!F23*(0.00202-VERI_TABANI!$B$17), 0))) + ((VERI_TABANI!D24*B590*(VERI_TABANI!$B$13-VERI_TABANI!$B$14)) + (VERI_TABANI!D24*C590*(VERI_TABANI!$B$13-VERI_TABANI!$B$15)) + IF(ISNUMBER(SEARCH("Var", D590)), VERI_TABANI!F24*(0.00202-VERI_TABANI!$B$16), IF(ISNUMBER(SEARCH("Gri", D590)), VERI_TABANI!F24*(0.00202-VERI_TABANI!$B$17), 0))) + ((VERI_TABANI!D25*B590*(VERI_TABANI!$B$13-VERI_TABANI!$B$14)) + (VERI_TABANI!D25*C590*(VERI_TABANI!$B$13-VERI_TABANI!$B$15)) + IF(ISNUMBER(SEARCH("Var", D590)), VERI_TABANI!F25*(0.00202-VERI_TABANI!$B$16), IF(ISNUMBER(SEARCH("Gri", D590)), VERI_TABANI!F25*(0.00202-VERI_TABANI!$B$17), 0))) + ((VERI_TABANI!D26*B590*(VERI_TABANI!$B$13-VERI_TABANI!$B$14)) + (VERI_TABANI!D26*C590*(VERI_TABANI!$B$13-VERI_TABANI!$B$15)) + IF(ISNUMBER(SEARCH("Var", D590)), VERI_TABANI!F26*(0.00202-VERI_TABANI!$B$16), IF(ISNUMBER(SEARCH("Gri", D590)), VERI_TABANI!F26*(0.00202-VERI_TABANI!$B$17), 0))) + ((VERI_TABANI!D27*B590*(VERI_TABANI!$B$13-VERI_TABANI!$B$14)) + (VERI_TABANI!D27*C590*(VERI_TABANI!$B$13-VERI_TABANI!$B$15)) + IF(ISNUMBER(SEARCH("Var", D590)), VERI_TABANI!F27*(0.00202-VERI_TABANI!$B$16), IF(ISNUMBER(SEARCH("Gri", D590)), VERI_TABANI!F27*(0.00202-VERI_TABANI!$B$17), 0))) + ((VERI_TABANI!D28*B590*(VERI_TABANI!$B$13-VERI_TABANI!$B$14)) + (VERI_TABANI!D28*C590*(VERI_TABANI!$B$13-VERI_TABANI!$B$15)) + IF(ISNUMBER(SEARCH("Var", D590)), VERI_TABANI!F28*(0.00202-VERI_TABANI!$B$16), IF(ISNUMBER(SEARCH("Gri", D590)), VERI_TABANI!F28*(0.00202-VERI_TABANI!$B$17), 0))))</f>
        <v/>
      </c>
      <c r="I590" s="170">
        <f>IFERROR(((VERI_TABANI!$D$29*B590*VERI_TABANI!$B$14 + VERI_TABANI!$D$29*C590*VERI_TABANI!$B$15 + IF(ISNUMBER(SEARCH("Var", D590)), VERI_TABANI!$F$29*VERI_TABANI!$B$16, 0))) / (((VERI_TABANI!$D$29*B590 + VERI_TABANI!$D$29*C590)*VERI_TABANI!$B$13 + IF(ISNUMBER(SEARCH("Var", D590)), VERI_TABANI!$E$29*(1-0.928)*VERI_TABANI!$B$18, 0))), 0)</f>
        <v/>
      </c>
      <c r="J590" s="171">
        <f>IFERROR(F590/(G590/29), 0)</f>
        <v/>
      </c>
      <c r="K590" s="172">
        <f>IF(F590&gt;0, H590/F590, 0)</f>
        <v/>
      </c>
      <c r="L590" s="170">
        <f>IF(F590&gt;0, I590, 1000000000)</f>
        <v/>
      </c>
      <c r="M590" s="171">
        <f>ABS((B590+C590)-1)</f>
        <v/>
      </c>
      <c r="N590" s="170">
        <f>IF(F590&gt;0, (G590/29)/F590, 0)</f>
        <v/>
      </c>
      <c r="O590" s="168">
        <f>IF(AND((B590+C590)&gt;=1, ISNUMBER(SEARCH("Var", D590))), F590, 1000000000)</f>
        <v/>
      </c>
      <c r="P590" s="172">
        <f>IF(F590&gt;0, SQRT((F590/MAX(F$5:F$886))^2 + (1 - H590/MAX(H$5:H$886))^2 + (J590/MAX(J$5:J$886))^2), 1000000000)</f>
        <v/>
      </c>
      <c r="Q590" s="166">
        <f>IF(AND(ABS(B590-0.5)&lt;0.01, ABS(C590-0.5)&lt;0.01, ISNUMBER(SEARCH("Var", D590))), 1, 0)</f>
        <v/>
      </c>
      <c r="R590" s="171">
        <f>IF(F590&gt;0, J590, 1000000000)</f>
        <v/>
      </c>
      <c r="S590" s="101">
        <f>IF(AND(F590&lt;=DASHBOARD!$B$11, H590&gt;=DASHBOARD!$B$13), G590, -1000000000000)</f>
        <v/>
      </c>
      <c r="T590" s="101">
        <f>IF(AND(F590&lt;=DASHBOARD!$B$11, H590&gt;=DASHBOARD!$B$13), R590, 1000000000000)</f>
        <v/>
      </c>
      <c r="U590" s="101">
        <f>IF(AND(F590&lt;=DASHBOARD!$B$11, H590&gt;=DASHBOARD!$B$13), N590, -1000000000000)</f>
        <v/>
      </c>
      <c r="V590" s="101">
        <f>IF(AND(F590&lt;=DASHBOARD!$B$11, H590&gt;=DASHBOARD!$B$13), H590, -1000000000000)</f>
        <v/>
      </c>
      <c r="W590" s="101">
        <f>IF(AND(F590&lt;=DASHBOARD!$B$11, H590&gt;=DASHBOARD!$B$13), K590, -1000000000000)</f>
        <v/>
      </c>
      <c r="X590" s="101">
        <f>IF(AND(F590&lt;=DASHBOARD!$B$11, H590&gt;=DASHBOARD!$B$13), M590, 1000000000000)</f>
        <v/>
      </c>
      <c r="Y590" s="101">
        <f>IF(AND(F590&lt;=DASHBOARD!$B$10, H590&gt;=DASHBOARD!$B$11), L590, 1000000000000)</f>
        <v/>
      </c>
      <c r="Z590" s="101">
        <f>IF(AND(F590&lt;=DASHBOARD!$B$10, H590&gt;=DASHBOARD!$B$11), O590, 1000000000000)</f>
        <v/>
      </c>
      <c r="AA590" s="101">
        <f>IF(AND(F590&lt;=DASHBOARD!$B$10, H590&gt;=DASHBOARD!$B$11), P590, 1000000000000)</f>
        <v/>
      </c>
      <c r="AB590" s="101">
        <f>IF(AND(F590&lt;=DASHBOARD!$B$10, H590&gt;=DASHBOARD!$B$11), Q590, -1000000000000)</f>
        <v/>
      </c>
    </row>
    <row r="591" ht="15" customHeight="1" s="102">
      <c r="A591" s="166" t="n">
        <v>587</v>
      </c>
      <c r="B591" s="167" t="n">
        <v>1.3</v>
      </c>
      <c r="C591" s="167" t="n">
        <v>2</v>
      </c>
      <c r="D591" s="110" t="inlineStr">
        <is>
          <t>Yok (%0)</t>
        </is>
      </c>
      <c r="E591" s="110">
        <f>IF((B591+C591)&lt;=1, "Tam Mahsuplaşma (≤%100)", "Kısmi Satış (&gt;%100)")</f>
        <v/>
      </c>
      <c r="F591" s="168">
        <f>((VERI_TABANI!$D$29*B591/VERI_TABANI!$B$29)/VERI_TABANI!$B$3)*VERI_TABANI!$B$5 + ((VERI_TABANI!$D$29*C591/VERI_TABANI!$B$29)/VERI_TABANI!$B$4)*VERI_TABANI!$B$6 + IF(ISNUMBER(SEARCH("Var", D591)), (VERI_TABANI!$F$29/VERI_TABANI!$B$29)*(VERI_TABANI!$B$10+VERI_TABANI!$B$12), 0)</f>
        <v/>
      </c>
      <c r="G591" s="168">
        <f>(((MIN(VERI_TABANI!D23, VERI_TABANI!D23*B591)*VERI_TABANI!$B$7 + MAX(0, VERI_TABANI!D23*B591-VERI_TABANI!D23)*VERI_TABANI!$B$8) + (MIN(MAX(0, VERI_TABANI!D23-VERI_TABANI!D23*B591), VERI_TABANI!D23*C591)*VERI_TABANI!$B$7 + MAX(0, VERI_TABANI!D23*C591-MAX(0, VERI_TABANI!D23-VERI_TABANI!D23*B591))*VERI_TABANI!$B$8) + IF(ABS(IF(ISNUMBER(SEARCH("Var", D591)), 1, IF(ISNUMBER(SEARCH("Gri", D591)), -1, 0)))=1, VERI_TABANI!E23*(1-0.928)*VERI_TABANI!$B$9, 0) + (VERI_TABANI!D23*B591*(VERI_TABANI!$B$13-VERI_TABANI!$B$14)*VERI_TABANI!G23) + (VERI_TABANI!D23*C591*(VERI_TABANI!$B$13-VERI_TABANI!$B$15)*VERI_TABANI!G23) + IF(ABS(IF(ISNUMBER(SEARCH("Var", D591)), 1, IF(ISNUMBER(SEARCH("Gri", D591)), -1, 0)))=1, VERI_TABANI!E23*(1-0.928)*0.00206091519919798*VERI_TABANI!G23, 0)) + ((MIN(VERI_TABANI!D24, VERI_TABANI!D24*B591)*VERI_TABANI!$B$7 + MAX(0, VERI_TABANI!D24*B591-VERI_TABANI!D24)*VERI_TABANI!$B$8) + (MIN(MAX(0, VERI_TABANI!D24-VERI_TABANI!D24*B591), VERI_TABANI!D24*C591)*VERI_TABANI!$B$7 + MAX(0, VERI_TABANI!D24*C591-MAX(0, VERI_TABANI!D24-VERI_TABANI!D24*B591))*VERI_TABANI!$B$8) + IF(ABS(IF(ISNUMBER(SEARCH("Var", D591)), 1, IF(ISNUMBER(SEARCH("Gri", D591)), -1, 0)))=1, VERI_TABANI!E24*(1-0.928)*VERI_TABANI!$B$9, 0) + (VERI_TABANI!D24*B591*(VERI_TABANI!$B$13-VERI_TABANI!$B$14)*VERI_TABANI!G24) + (VERI_TABANI!D24*C591*(VERI_TABANI!$B$13-VERI_TABANI!$B$15)*VERI_TABANI!G24) + IF(ABS(IF(ISNUMBER(SEARCH("Var", D591)), 1, IF(ISNUMBER(SEARCH("Gri", D591)), -1, 0)))=1, VERI_TABANI!E24*(1-0.928)*0.00206091519919798*VERI_TABANI!G24, 0)) + ((MIN(VERI_TABANI!D25, VERI_TABANI!D25*B591)*VERI_TABANI!$B$7 + MAX(0, VERI_TABANI!D25*B591-VERI_TABANI!D25)*VERI_TABANI!$B$8) + (MIN(MAX(0, VERI_TABANI!D25-VERI_TABANI!D25*B591), VERI_TABANI!D25*C591)*VERI_TABANI!$B$7 + MAX(0, VERI_TABANI!D25*C591-MAX(0, VERI_TABANI!D25-VERI_TABANI!D25*B591))*VERI_TABANI!$B$8) + IF(ABS(IF(ISNUMBER(SEARCH("Var", D591)), 1, IF(ISNUMBER(SEARCH("Gri", D591)), -1, 0)))=1, VERI_TABANI!E25*(1-0.928)*VERI_TABANI!$B$9, 0) + (VERI_TABANI!D25*B591*(VERI_TABANI!$B$13-VERI_TABANI!$B$14)*VERI_TABANI!G25) + (VERI_TABANI!D25*C591*(VERI_TABANI!$B$13-VERI_TABANI!$B$15)*VERI_TABANI!G25) + IF(ABS(IF(ISNUMBER(SEARCH("Var", D591)), 1, IF(ISNUMBER(SEARCH("Gri", D591)), -1, 0)))=1, VERI_TABANI!E25*(1-0.928)*0.00206091519919798*VERI_TABANI!G25, 0)) + ((MIN(VERI_TABANI!D26, VERI_TABANI!D26*B591)*VERI_TABANI!$B$7 + MAX(0, VERI_TABANI!D26*B591-VERI_TABANI!D26)*VERI_TABANI!$B$8) + (MIN(MAX(0, VERI_TABANI!D26-VERI_TABANI!D26*B591), VERI_TABANI!D26*C591)*VERI_TABANI!$B$7 + MAX(0, VERI_TABANI!D26*C591-MAX(0, VERI_TABANI!D26-VERI_TABANI!D26*B591))*VERI_TABANI!$B$8) + IF(ABS(IF(ISNUMBER(SEARCH("Var", D591)), 1, IF(ISNUMBER(SEARCH("Gri", D591)), -1, 0)))=1, VERI_TABANI!E26*(1-0.928)*VERI_TABANI!$B$9, 0) + (VERI_TABANI!D26*B591*(VERI_TABANI!$B$13-VERI_TABANI!$B$14)*VERI_TABANI!G26) + (VERI_TABANI!D26*C591*(VERI_TABANI!$B$13-VERI_TABANI!$B$15)*VERI_TABANI!G26) + IF(ABS(IF(ISNUMBER(SEARCH("Var", D591)), 1, IF(ISNUMBER(SEARCH("Gri", D591)), -1, 0)))=1, VERI_TABANI!E26*(1-0.928)*0.00206091519919798*VERI_TABANI!G26, 0)) + ((MIN(VERI_TABANI!D27, VERI_TABANI!D27*B591)*VERI_TABANI!$B$7 + MAX(0, VERI_TABANI!D27*B591-VERI_TABANI!D27)*VERI_TABANI!$B$8) + (MIN(MAX(0, VERI_TABANI!D27-VERI_TABANI!D27*B591), VERI_TABANI!D27*C591)*VERI_TABANI!$B$7 + MAX(0, VERI_TABANI!D27*C591-MAX(0, VERI_TABANI!D27-VERI_TABANI!D27*B591))*VERI_TABANI!$B$8) + IF(ABS(IF(ISNUMBER(SEARCH("Var", D591)), 1, IF(ISNUMBER(SEARCH("Gri", D591)), -1, 0)))=1, VERI_TABANI!E27*(1-0.928)*VERI_TABANI!$B$9, 0) + (VERI_TABANI!D27*B591*(VERI_TABANI!$B$13-VERI_TABANI!$B$14)*VERI_TABANI!G27) + (VERI_TABANI!D27*C591*(VERI_TABANI!$B$13-VERI_TABANI!$B$15)*VERI_TABANI!G27) + IF(ABS(IF(ISNUMBER(SEARCH("Var", D591)), 1, IF(ISNUMBER(SEARCH("Gri", D591)), -1, 0)))=1, VERI_TABANI!E27*(1-0.928)*0.00206091519919798*VERI_TABANI!G27, 0)) + ((MIN(VERI_TABANI!D28, VERI_TABANI!D28*B591)*VERI_TABANI!$B$7 + MAX(0, VERI_TABANI!D28*B591-VERI_TABANI!D28)*VERI_TABANI!$B$8) + (MIN(MAX(0, VERI_TABANI!D28-VERI_TABANI!D28*B591), VERI_TABANI!D28*C591)*VERI_TABANI!$B$7 + MAX(0, VERI_TABANI!D28*C591-MAX(0, VERI_TABANI!D28-VERI_TABANI!D28*B591))*VERI_TABANI!$B$8) + IF(ABS(IF(ISNUMBER(SEARCH("Var", D591)), 1, IF(ISNUMBER(SEARCH("Gri", D591)), -1, 0)))=1, VERI_TABANI!E28*(1-0.928)*VERI_TABANI!$B$9, 0) + (VERI_TABANI!D28*B591*(VERI_TABANI!$B$13-VERI_TABANI!$B$14)*VERI_TABANI!G28) + (VERI_TABANI!D28*C591*(VERI_TABANI!$B$13-VERI_TABANI!$B$15)*VERI_TABANI!G28) + IF(ABS(IF(ISNUMBER(SEARCH("Var", D591)), 1, IF(ISNUMBER(SEARCH("Gri", D591)), -1, 0)))=1, VERI_TABANI!E28*(1-0.928)*0.00206091519919798*VERI_TABANI!G28, 0)))</f>
        <v/>
      </c>
      <c r="H591" s="169">
        <f>(((VERI_TABANI!D23*B591*(VERI_TABANI!$B$13-VERI_TABANI!$B$14)) + (VERI_TABANI!D23*C591*(VERI_TABANI!$B$13-VERI_TABANI!$B$15)) + IF(ISNUMBER(SEARCH("Var", D591)), VERI_TABANI!F23*(0.00202-VERI_TABANI!$B$16), IF(ISNUMBER(SEARCH("Gri", D591)), VERI_TABANI!F23*(0.00202-VERI_TABANI!$B$17), 0))) + ((VERI_TABANI!D24*B591*(VERI_TABANI!$B$13-VERI_TABANI!$B$14)) + (VERI_TABANI!D24*C591*(VERI_TABANI!$B$13-VERI_TABANI!$B$15)) + IF(ISNUMBER(SEARCH("Var", D591)), VERI_TABANI!F24*(0.00202-VERI_TABANI!$B$16), IF(ISNUMBER(SEARCH("Gri", D591)), VERI_TABANI!F24*(0.00202-VERI_TABANI!$B$17), 0))) + ((VERI_TABANI!D25*B591*(VERI_TABANI!$B$13-VERI_TABANI!$B$14)) + (VERI_TABANI!D25*C591*(VERI_TABANI!$B$13-VERI_TABANI!$B$15)) + IF(ISNUMBER(SEARCH("Var", D591)), VERI_TABANI!F25*(0.00202-VERI_TABANI!$B$16), IF(ISNUMBER(SEARCH("Gri", D591)), VERI_TABANI!F25*(0.00202-VERI_TABANI!$B$17), 0))) + ((VERI_TABANI!D26*B591*(VERI_TABANI!$B$13-VERI_TABANI!$B$14)) + (VERI_TABANI!D26*C591*(VERI_TABANI!$B$13-VERI_TABANI!$B$15)) + IF(ISNUMBER(SEARCH("Var", D591)), VERI_TABANI!F26*(0.00202-VERI_TABANI!$B$16), IF(ISNUMBER(SEARCH("Gri", D591)), VERI_TABANI!F26*(0.00202-VERI_TABANI!$B$17), 0))) + ((VERI_TABANI!D27*B591*(VERI_TABANI!$B$13-VERI_TABANI!$B$14)) + (VERI_TABANI!D27*C591*(VERI_TABANI!$B$13-VERI_TABANI!$B$15)) + IF(ISNUMBER(SEARCH("Var", D591)), VERI_TABANI!F27*(0.00202-VERI_TABANI!$B$16), IF(ISNUMBER(SEARCH("Gri", D591)), VERI_TABANI!F27*(0.00202-VERI_TABANI!$B$17), 0))) + ((VERI_TABANI!D28*B591*(VERI_TABANI!$B$13-VERI_TABANI!$B$14)) + (VERI_TABANI!D28*C591*(VERI_TABANI!$B$13-VERI_TABANI!$B$15)) + IF(ISNUMBER(SEARCH("Var", D591)), VERI_TABANI!F28*(0.00202-VERI_TABANI!$B$16), IF(ISNUMBER(SEARCH("Gri", D591)), VERI_TABANI!F28*(0.00202-VERI_TABANI!$B$17), 0))))</f>
        <v/>
      </c>
      <c r="I591" s="170">
        <f>IFERROR(((VERI_TABANI!$D$29*B591*VERI_TABANI!$B$14 + VERI_TABANI!$D$29*C591*VERI_TABANI!$B$15 + IF(ISNUMBER(SEARCH("Var", D591)), VERI_TABANI!$F$29*VERI_TABANI!$B$16, 0))) / (((VERI_TABANI!$D$29*B591 + VERI_TABANI!$D$29*C591)*VERI_TABANI!$B$13 + IF(ISNUMBER(SEARCH("Var", D591)), VERI_TABANI!$E$29*(1-0.928)*VERI_TABANI!$B$18, 0))), 0)</f>
        <v/>
      </c>
      <c r="J591" s="171">
        <f>IFERROR(F591/(G591/29), 0)</f>
        <v/>
      </c>
      <c r="K591" s="172">
        <f>IF(F591&gt;0, H591/F591, 0)</f>
        <v/>
      </c>
      <c r="L591" s="170">
        <f>IF(F591&gt;0, I591, 1000000000)</f>
        <v/>
      </c>
      <c r="M591" s="171">
        <f>ABS((B591+C591)-1)</f>
        <v/>
      </c>
      <c r="N591" s="170">
        <f>IF(F591&gt;0, (G591/29)/F591, 0)</f>
        <v/>
      </c>
      <c r="O591" s="168">
        <f>IF(AND((B591+C591)&gt;=1, ISNUMBER(SEARCH("Var", D591))), F591, 1000000000)</f>
        <v/>
      </c>
      <c r="P591" s="172">
        <f>IF(F591&gt;0, SQRT((F591/MAX(F$5:F$886))^2 + (1 - H591/MAX(H$5:H$886))^2 + (J591/MAX(J$5:J$886))^2), 1000000000)</f>
        <v/>
      </c>
      <c r="Q591" s="166">
        <f>IF(AND(ABS(B591-0.5)&lt;0.01, ABS(C591-0.5)&lt;0.01, ISNUMBER(SEARCH("Var", D591))), 1, 0)</f>
        <v/>
      </c>
      <c r="R591" s="171">
        <f>IF(F591&gt;0, J591, 1000000000)</f>
        <v/>
      </c>
      <c r="S591" s="101">
        <f>IF(AND(F591&lt;=DASHBOARD!$B$11, H591&gt;=DASHBOARD!$B$13), G591, -1000000000000)</f>
        <v/>
      </c>
      <c r="T591" s="101">
        <f>IF(AND(F591&lt;=DASHBOARD!$B$11, H591&gt;=DASHBOARD!$B$13), R591, 1000000000000)</f>
        <v/>
      </c>
      <c r="U591" s="101">
        <f>IF(AND(F591&lt;=DASHBOARD!$B$11, H591&gt;=DASHBOARD!$B$13), N591, -1000000000000)</f>
        <v/>
      </c>
      <c r="V591" s="101">
        <f>IF(AND(F591&lt;=DASHBOARD!$B$11, H591&gt;=DASHBOARD!$B$13), H591, -1000000000000)</f>
        <v/>
      </c>
      <c r="W591" s="101">
        <f>IF(AND(F591&lt;=DASHBOARD!$B$11, H591&gt;=DASHBOARD!$B$13), K591, -1000000000000)</f>
        <v/>
      </c>
      <c r="X591" s="101">
        <f>IF(AND(F591&lt;=DASHBOARD!$B$11, H591&gt;=DASHBOARD!$B$13), M591, 1000000000000)</f>
        <v/>
      </c>
      <c r="Y591" s="101">
        <f>IF(AND(F591&lt;=DASHBOARD!$B$10, H591&gt;=DASHBOARD!$B$11), L591, 1000000000000)</f>
        <v/>
      </c>
      <c r="Z591" s="101">
        <f>IF(AND(F591&lt;=DASHBOARD!$B$10, H591&gt;=DASHBOARD!$B$11), O591, 1000000000000)</f>
        <v/>
      </c>
      <c r="AA591" s="101">
        <f>IF(AND(F591&lt;=DASHBOARD!$B$10, H591&gt;=DASHBOARD!$B$11), P591, 1000000000000)</f>
        <v/>
      </c>
      <c r="AB591" s="101">
        <f>IF(AND(F591&lt;=DASHBOARD!$B$10, H591&gt;=DASHBOARD!$B$11), Q591, -1000000000000)</f>
        <v/>
      </c>
    </row>
    <row r="592" ht="15" customHeight="1" s="102">
      <c r="A592" s="166" t="n">
        <v>588</v>
      </c>
      <c r="B592" s="167" t="n">
        <v>1.3</v>
      </c>
      <c r="C592" s="167" t="n">
        <v>2</v>
      </c>
      <c r="D592" s="110" t="inlineStr">
        <is>
          <t>Var (%20)</t>
        </is>
      </c>
      <c r="E592" s="110">
        <f>IF((B592+C592)&lt;=1, "Tam Mahsuplaşma (≤%100)", "Kısmi Satış (&gt;%100)")</f>
        <v/>
      </c>
      <c r="F592" s="168">
        <f>((VERI_TABANI!$D$29*B592/VERI_TABANI!$B$29)/VERI_TABANI!$B$3)*VERI_TABANI!$B$5 + ((VERI_TABANI!$D$29*C592/VERI_TABANI!$B$29)/VERI_TABANI!$B$4)*VERI_TABANI!$B$6 + IF(ISNUMBER(SEARCH("Var", D592)), (VERI_TABANI!$F$29/VERI_TABANI!$B$29)*(VERI_TABANI!$B$10+VERI_TABANI!$B$12), 0)</f>
        <v/>
      </c>
      <c r="G592" s="168">
        <f>(((MIN(VERI_TABANI!D23, VERI_TABANI!D23*B592)*VERI_TABANI!$B$7 + MAX(0, VERI_TABANI!D23*B592-VERI_TABANI!D23)*VERI_TABANI!$B$8) + (MIN(MAX(0, VERI_TABANI!D23-VERI_TABANI!D23*B592), VERI_TABANI!D23*C592)*VERI_TABANI!$B$7 + MAX(0, VERI_TABANI!D23*C592-MAX(0, VERI_TABANI!D23-VERI_TABANI!D23*B592))*VERI_TABANI!$B$8) + IF(ABS(IF(ISNUMBER(SEARCH("Var", D592)), 1, IF(ISNUMBER(SEARCH("Gri", D592)), -1, 0)))=1, VERI_TABANI!E23*(1-0.928)*VERI_TABANI!$B$9, 0) + (VERI_TABANI!D23*B592*(VERI_TABANI!$B$13-VERI_TABANI!$B$14)*VERI_TABANI!G23) + (VERI_TABANI!D23*C592*(VERI_TABANI!$B$13-VERI_TABANI!$B$15)*VERI_TABANI!G23) + IF(ABS(IF(ISNUMBER(SEARCH("Var", D592)), 1, IF(ISNUMBER(SEARCH("Gri", D592)), -1, 0)))=1, VERI_TABANI!E23*(1-0.928)*0.00206091519919798*VERI_TABANI!G23, 0)) + ((MIN(VERI_TABANI!D24, VERI_TABANI!D24*B592)*VERI_TABANI!$B$7 + MAX(0, VERI_TABANI!D24*B592-VERI_TABANI!D24)*VERI_TABANI!$B$8) + (MIN(MAX(0, VERI_TABANI!D24-VERI_TABANI!D24*B592), VERI_TABANI!D24*C592)*VERI_TABANI!$B$7 + MAX(0, VERI_TABANI!D24*C592-MAX(0, VERI_TABANI!D24-VERI_TABANI!D24*B592))*VERI_TABANI!$B$8) + IF(ABS(IF(ISNUMBER(SEARCH("Var", D592)), 1, IF(ISNUMBER(SEARCH("Gri", D592)), -1, 0)))=1, VERI_TABANI!E24*(1-0.928)*VERI_TABANI!$B$9, 0) + (VERI_TABANI!D24*B592*(VERI_TABANI!$B$13-VERI_TABANI!$B$14)*VERI_TABANI!G24) + (VERI_TABANI!D24*C592*(VERI_TABANI!$B$13-VERI_TABANI!$B$15)*VERI_TABANI!G24) + IF(ABS(IF(ISNUMBER(SEARCH("Var", D592)), 1, IF(ISNUMBER(SEARCH("Gri", D592)), -1, 0)))=1, VERI_TABANI!E24*(1-0.928)*0.00206091519919798*VERI_TABANI!G24, 0)) + ((MIN(VERI_TABANI!D25, VERI_TABANI!D25*B592)*VERI_TABANI!$B$7 + MAX(0, VERI_TABANI!D25*B592-VERI_TABANI!D25)*VERI_TABANI!$B$8) + (MIN(MAX(0, VERI_TABANI!D25-VERI_TABANI!D25*B592), VERI_TABANI!D25*C592)*VERI_TABANI!$B$7 + MAX(0, VERI_TABANI!D25*C592-MAX(0, VERI_TABANI!D25-VERI_TABANI!D25*B592))*VERI_TABANI!$B$8) + IF(ABS(IF(ISNUMBER(SEARCH("Var", D592)), 1, IF(ISNUMBER(SEARCH("Gri", D592)), -1, 0)))=1, VERI_TABANI!E25*(1-0.928)*VERI_TABANI!$B$9, 0) + (VERI_TABANI!D25*B592*(VERI_TABANI!$B$13-VERI_TABANI!$B$14)*VERI_TABANI!G25) + (VERI_TABANI!D25*C592*(VERI_TABANI!$B$13-VERI_TABANI!$B$15)*VERI_TABANI!G25) + IF(ABS(IF(ISNUMBER(SEARCH("Var", D592)), 1, IF(ISNUMBER(SEARCH("Gri", D592)), -1, 0)))=1, VERI_TABANI!E25*(1-0.928)*0.00206091519919798*VERI_TABANI!G25, 0)) + ((MIN(VERI_TABANI!D26, VERI_TABANI!D26*B592)*VERI_TABANI!$B$7 + MAX(0, VERI_TABANI!D26*B592-VERI_TABANI!D26)*VERI_TABANI!$B$8) + (MIN(MAX(0, VERI_TABANI!D26-VERI_TABANI!D26*B592), VERI_TABANI!D26*C592)*VERI_TABANI!$B$7 + MAX(0, VERI_TABANI!D26*C592-MAX(0, VERI_TABANI!D26-VERI_TABANI!D26*B592))*VERI_TABANI!$B$8) + IF(ABS(IF(ISNUMBER(SEARCH("Var", D592)), 1, IF(ISNUMBER(SEARCH("Gri", D592)), -1, 0)))=1, VERI_TABANI!E26*(1-0.928)*VERI_TABANI!$B$9, 0) + (VERI_TABANI!D26*B592*(VERI_TABANI!$B$13-VERI_TABANI!$B$14)*VERI_TABANI!G26) + (VERI_TABANI!D26*C592*(VERI_TABANI!$B$13-VERI_TABANI!$B$15)*VERI_TABANI!G26) + IF(ABS(IF(ISNUMBER(SEARCH("Var", D592)), 1, IF(ISNUMBER(SEARCH("Gri", D592)), -1, 0)))=1, VERI_TABANI!E26*(1-0.928)*0.00206091519919798*VERI_TABANI!G26, 0)) + ((MIN(VERI_TABANI!D27, VERI_TABANI!D27*B592)*VERI_TABANI!$B$7 + MAX(0, VERI_TABANI!D27*B592-VERI_TABANI!D27)*VERI_TABANI!$B$8) + (MIN(MAX(0, VERI_TABANI!D27-VERI_TABANI!D27*B592), VERI_TABANI!D27*C592)*VERI_TABANI!$B$7 + MAX(0, VERI_TABANI!D27*C592-MAX(0, VERI_TABANI!D27-VERI_TABANI!D27*B592))*VERI_TABANI!$B$8) + IF(ABS(IF(ISNUMBER(SEARCH("Var", D592)), 1, IF(ISNUMBER(SEARCH("Gri", D592)), -1, 0)))=1, VERI_TABANI!E27*(1-0.928)*VERI_TABANI!$B$9, 0) + (VERI_TABANI!D27*B592*(VERI_TABANI!$B$13-VERI_TABANI!$B$14)*VERI_TABANI!G27) + (VERI_TABANI!D27*C592*(VERI_TABANI!$B$13-VERI_TABANI!$B$15)*VERI_TABANI!G27) + IF(ABS(IF(ISNUMBER(SEARCH("Var", D592)), 1, IF(ISNUMBER(SEARCH("Gri", D592)), -1, 0)))=1, VERI_TABANI!E27*(1-0.928)*0.00206091519919798*VERI_TABANI!G27, 0)) + ((MIN(VERI_TABANI!D28, VERI_TABANI!D28*B592)*VERI_TABANI!$B$7 + MAX(0, VERI_TABANI!D28*B592-VERI_TABANI!D28)*VERI_TABANI!$B$8) + (MIN(MAX(0, VERI_TABANI!D28-VERI_TABANI!D28*B592), VERI_TABANI!D28*C592)*VERI_TABANI!$B$7 + MAX(0, VERI_TABANI!D28*C592-MAX(0, VERI_TABANI!D28-VERI_TABANI!D28*B592))*VERI_TABANI!$B$8) + IF(ABS(IF(ISNUMBER(SEARCH("Var", D592)), 1, IF(ISNUMBER(SEARCH("Gri", D592)), -1, 0)))=1, VERI_TABANI!E28*(1-0.928)*VERI_TABANI!$B$9, 0) + (VERI_TABANI!D28*B592*(VERI_TABANI!$B$13-VERI_TABANI!$B$14)*VERI_TABANI!G28) + (VERI_TABANI!D28*C592*(VERI_TABANI!$B$13-VERI_TABANI!$B$15)*VERI_TABANI!G28) + IF(ABS(IF(ISNUMBER(SEARCH("Var", D592)), 1, IF(ISNUMBER(SEARCH("Gri", D592)), -1, 0)))=1, VERI_TABANI!E28*(1-0.928)*0.00206091519919798*VERI_TABANI!G28, 0)))</f>
        <v/>
      </c>
      <c r="H592" s="169">
        <f>(((VERI_TABANI!D23*B592*(VERI_TABANI!$B$13-VERI_TABANI!$B$14)) + (VERI_TABANI!D23*C592*(VERI_TABANI!$B$13-VERI_TABANI!$B$15)) + IF(ISNUMBER(SEARCH("Var", D592)), VERI_TABANI!F23*(0.00202-VERI_TABANI!$B$16), IF(ISNUMBER(SEARCH("Gri", D592)), VERI_TABANI!F23*(0.00202-VERI_TABANI!$B$17), 0))) + ((VERI_TABANI!D24*B592*(VERI_TABANI!$B$13-VERI_TABANI!$B$14)) + (VERI_TABANI!D24*C592*(VERI_TABANI!$B$13-VERI_TABANI!$B$15)) + IF(ISNUMBER(SEARCH("Var", D592)), VERI_TABANI!F24*(0.00202-VERI_TABANI!$B$16), IF(ISNUMBER(SEARCH("Gri", D592)), VERI_TABANI!F24*(0.00202-VERI_TABANI!$B$17), 0))) + ((VERI_TABANI!D25*B592*(VERI_TABANI!$B$13-VERI_TABANI!$B$14)) + (VERI_TABANI!D25*C592*(VERI_TABANI!$B$13-VERI_TABANI!$B$15)) + IF(ISNUMBER(SEARCH("Var", D592)), VERI_TABANI!F25*(0.00202-VERI_TABANI!$B$16), IF(ISNUMBER(SEARCH("Gri", D592)), VERI_TABANI!F25*(0.00202-VERI_TABANI!$B$17), 0))) + ((VERI_TABANI!D26*B592*(VERI_TABANI!$B$13-VERI_TABANI!$B$14)) + (VERI_TABANI!D26*C592*(VERI_TABANI!$B$13-VERI_TABANI!$B$15)) + IF(ISNUMBER(SEARCH("Var", D592)), VERI_TABANI!F26*(0.00202-VERI_TABANI!$B$16), IF(ISNUMBER(SEARCH("Gri", D592)), VERI_TABANI!F26*(0.00202-VERI_TABANI!$B$17), 0))) + ((VERI_TABANI!D27*B592*(VERI_TABANI!$B$13-VERI_TABANI!$B$14)) + (VERI_TABANI!D27*C592*(VERI_TABANI!$B$13-VERI_TABANI!$B$15)) + IF(ISNUMBER(SEARCH("Var", D592)), VERI_TABANI!F27*(0.00202-VERI_TABANI!$B$16), IF(ISNUMBER(SEARCH("Gri", D592)), VERI_TABANI!F27*(0.00202-VERI_TABANI!$B$17), 0))) + ((VERI_TABANI!D28*B592*(VERI_TABANI!$B$13-VERI_TABANI!$B$14)) + (VERI_TABANI!D28*C592*(VERI_TABANI!$B$13-VERI_TABANI!$B$15)) + IF(ISNUMBER(SEARCH("Var", D592)), VERI_TABANI!F28*(0.00202-VERI_TABANI!$B$16), IF(ISNUMBER(SEARCH("Gri", D592)), VERI_TABANI!F28*(0.00202-VERI_TABANI!$B$17), 0))))</f>
        <v/>
      </c>
      <c r="I592" s="170">
        <f>IFERROR(((VERI_TABANI!$D$29*B592*VERI_TABANI!$B$14 + VERI_TABANI!$D$29*C592*VERI_TABANI!$B$15 + IF(ISNUMBER(SEARCH("Var", D592)), VERI_TABANI!$F$29*VERI_TABANI!$B$16, 0))) / (((VERI_TABANI!$D$29*B592 + VERI_TABANI!$D$29*C592)*VERI_TABANI!$B$13 + IF(ISNUMBER(SEARCH("Var", D592)), VERI_TABANI!$E$29*(1-0.928)*VERI_TABANI!$B$18, 0))), 0)</f>
        <v/>
      </c>
      <c r="J592" s="171">
        <f>IFERROR(F592/(G592/29), 0)</f>
        <v/>
      </c>
      <c r="K592" s="172">
        <f>IF(F592&gt;0, H592/F592, 0)</f>
        <v/>
      </c>
      <c r="L592" s="170">
        <f>IF(F592&gt;0, I592, 1000000000)</f>
        <v/>
      </c>
      <c r="M592" s="171">
        <f>ABS((B592+C592)-1)</f>
        <v/>
      </c>
      <c r="N592" s="170">
        <f>IF(F592&gt;0, (G592/29)/F592, 0)</f>
        <v/>
      </c>
      <c r="O592" s="168">
        <f>IF(AND((B592+C592)&gt;=1, ISNUMBER(SEARCH("Var", D592))), F592, 1000000000)</f>
        <v/>
      </c>
      <c r="P592" s="172">
        <f>IF(F592&gt;0, SQRT((F592/MAX(F$5:F$886))^2 + (1 - H592/MAX(H$5:H$886))^2 + (J592/MAX(J$5:J$886))^2), 1000000000)</f>
        <v/>
      </c>
      <c r="Q592" s="166">
        <f>IF(AND(ABS(B592-0.5)&lt;0.01, ABS(C592-0.5)&lt;0.01, ISNUMBER(SEARCH("Var", D592))), 1, 0)</f>
        <v/>
      </c>
      <c r="R592" s="171">
        <f>IF(F592&gt;0, J592, 1000000000)</f>
        <v/>
      </c>
      <c r="S592" s="101">
        <f>IF(AND(F592&lt;=DASHBOARD!$B$11, H592&gt;=DASHBOARD!$B$13), G592, -1000000000000)</f>
        <v/>
      </c>
      <c r="T592" s="101">
        <f>IF(AND(F592&lt;=DASHBOARD!$B$11, H592&gt;=DASHBOARD!$B$13), R592, 1000000000000)</f>
        <v/>
      </c>
      <c r="U592" s="101">
        <f>IF(AND(F592&lt;=DASHBOARD!$B$11, H592&gt;=DASHBOARD!$B$13), N592, -1000000000000)</f>
        <v/>
      </c>
      <c r="V592" s="101">
        <f>IF(AND(F592&lt;=DASHBOARD!$B$11, H592&gt;=DASHBOARD!$B$13), H592, -1000000000000)</f>
        <v/>
      </c>
      <c r="W592" s="101">
        <f>IF(AND(F592&lt;=DASHBOARD!$B$11, H592&gt;=DASHBOARD!$B$13), K592, -1000000000000)</f>
        <v/>
      </c>
      <c r="X592" s="101">
        <f>IF(AND(F592&lt;=DASHBOARD!$B$11, H592&gt;=DASHBOARD!$B$13), M592, 1000000000000)</f>
        <v/>
      </c>
      <c r="Y592" s="101">
        <f>IF(AND(F592&lt;=DASHBOARD!$B$10, H592&gt;=DASHBOARD!$B$11), L592, 1000000000000)</f>
        <v/>
      </c>
      <c r="Z592" s="101">
        <f>IF(AND(F592&lt;=DASHBOARD!$B$10, H592&gt;=DASHBOARD!$B$11), O592, 1000000000000)</f>
        <v/>
      </c>
      <c r="AA592" s="101">
        <f>IF(AND(F592&lt;=DASHBOARD!$B$10, H592&gt;=DASHBOARD!$B$11), P592, 1000000000000)</f>
        <v/>
      </c>
      <c r="AB592" s="101">
        <f>IF(AND(F592&lt;=DASHBOARD!$B$10, H592&gt;=DASHBOARD!$B$11), Q592, -1000000000000)</f>
        <v/>
      </c>
    </row>
    <row r="593" ht="15" customHeight="1" s="102">
      <c r="A593" s="166" t="n">
        <v>589</v>
      </c>
      <c r="B593" s="167" t="n">
        <v>1.4</v>
      </c>
      <c r="C593" s="167" t="n">
        <v>0</v>
      </c>
      <c r="D593" s="110" t="inlineStr">
        <is>
          <t>Yok (%0)</t>
        </is>
      </c>
      <c r="E593" s="110">
        <f>IF((B593+C593)&lt;=1, "Tam Mahsuplaşma (≤%100)", "Kısmi Satış (&gt;%100)")</f>
        <v/>
      </c>
      <c r="F593" s="168">
        <f>((VERI_TABANI!$D$29*B593/VERI_TABANI!$B$29)/VERI_TABANI!$B$3)*VERI_TABANI!$B$5 + ((VERI_TABANI!$D$29*C593/VERI_TABANI!$B$29)/VERI_TABANI!$B$4)*VERI_TABANI!$B$6 + IF(ISNUMBER(SEARCH("Var", D593)), (VERI_TABANI!$F$29/VERI_TABANI!$B$29)*(VERI_TABANI!$B$10+VERI_TABANI!$B$12), 0)</f>
        <v/>
      </c>
      <c r="G593" s="168">
        <f>(((MIN(VERI_TABANI!D23, VERI_TABANI!D23*B593)*VERI_TABANI!$B$7 + MAX(0, VERI_TABANI!D23*B593-VERI_TABANI!D23)*VERI_TABANI!$B$8) + (MIN(MAX(0, VERI_TABANI!D23-VERI_TABANI!D23*B593), VERI_TABANI!D23*C593)*VERI_TABANI!$B$7 + MAX(0, VERI_TABANI!D23*C593-MAX(0, VERI_TABANI!D23-VERI_TABANI!D23*B593))*VERI_TABANI!$B$8) + IF(ABS(IF(ISNUMBER(SEARCH("Var", D593)), 1, IF(ISNUMBER(SEARCH("Gri", D593)), -1, 0)))=1, VERI_TABANI!E23*(1-0.928)*VERI_TABANI!$B$9, 0) + (VERI_TABANI!D23*B593*(VERI_TABANI!$B$13-VERI_TABANI!$B$14)*VERI_TABANI!G23) + (VERI_TABANI!D23*C593*(VERI_TABANI!$B$13-VERI_TABANI!$B$15)*VERI_TABANI!G23) + IF(ABS(IF(ISNUMBER(SEARCH("Var", D593)), 1, IF(ISNUMBER(SEARCH("Gri", D593)), -1, 0)))=1, VERI_TABANI!E23*(1-0.928)*0.00206091519919798*VERI_TABANI!G23, 0)) + ((MIN(VERI_TABANI!D24, VERI_TABANI!D24*B593)*VERI_TABANI!$B$7 + MAX(0, VERI_TABANI!D24*B593-VERI_TABANI!D24)*VERI_TABANI!$B$8) + (MIN(MAX(0, VERI_TABANI!D24-VERI_TABANI!D24*B593), VERI_TABANI!D24*C593)*VERI_TABANI!$B$7 + MAX(0, VERI_TABANI!D24*C593-MAX(0, VERI_TABANI!D24-VERI_TABANI!D24*B593))*VERI_TABANI!$B$8) + IF(ABS(IF(ISNUMBER(SEARCH("Var", D593)), 1, IF(ISNUMBER(SEARCH("Gri", D593)), -1, 0)))=1, VERI_TABANI!E24*(1-0.928)*VERI_TABANI!$B$9, 0) + (VERI_TABANI!D24*B593*(VERI_TABANI!$B$13-VERI_TABANI!$B$14)*VERI_TABANI!G24) + (VERI_TABANI!D24*C593*(VERI_TABANI!$B$13-VERI_TABANI!$B$15)*VERI_TABANI!G24) + IF(ABS(IF(ISNUMBER(SEARCH("Var", D593)), 1, IF(ISNUMBER(SEARCH("Gri", D593)), -1, 0)))=1, VERI_TABANI!E24*(1-0.928)*0.00206091519919798*VERI_TABANI!G24, 0)) + ((MIN(VERI_TABANI!D25, VERI_TABANI!D25*B593)*VERI_TABANI!$B$7 + MAX(0, VERI_TABANI!D25*B593-VERI_TABANI!D25)*VERI_TABANI!$B$8) + (MIN(MAX(0, VERI_TABANI!D25-VERI_TABANI!D25*B593), VERI_TABANI!D25*C593)*VERI_TABANI!$B$7 + MAX(0, VERI_TABANI!D25*C593-MAX(0, VERI_TABANI!D25-VERI_TABANI!D25*B593))*VERI_TABANI!$B$8) + IF(ABS(IF(ISNUMBER(SEARCH("Var", D593)), 1, IF(ISNUMBER(SEARCH("Gri", D593)), -1, 0)))=1, VERI_TABANI!E25*(1-0.928)*VERI_TABANI!$B$9, 0) + (VERI_TABANI!D25*B593*(VERI_TABANI!$B$13-VERI_TABANI!$B$14)*VERI_TABANI!G25) + (VERI_TABANI!D25*C593*(VERI_TABANI!$B$13-VERI_TABANI!$B$15)*VERI_TABANI!G25) + IF(ABS(IF(ISNUMBER(SEARCH("Var", D593)), 1, IF(ISNUMBER(SEARCH("Gri", D593)), -1, 0)))=1, VERI_TABANI!E25*(1-0.928)*0.00206091519919798*VERI_TABANI!G25, 0)) + ((MIN(VERI_TABANI!D26, VERI_TABANI!D26*B593)*VERI_TABANI!$B$7 + MAX(0, VERI_TABANI!D26*B593-VERI_TABANI!D26)*VERI_TABANI!$B$8) + (MIN(MAX(0, VERI_TABANI!D26-VERI_TABANI!D26*B593), VERI_TABANI!D26*C593)*VERI_TABANI!$B$7 + MAX(0, VERI_TABANI!D26*C593-MAX(0, VERI_TABANI!D26-VERI_TABANI!D26*B593))*VERI_TABANI!$B$8) + IF(ABS(IF(ISNUMBER(SEARCH("Var", D593)), 1, IF(ISNUMBER(SEARCH("Gri", D593)), -1, 0)))=1, VERI_TABANI!E26*(1-0.928)*VERI_TABANI!$B$9, 0) + (VERI_TABANI!D26*B593*(VERI_TABANI!$B$13-VERI_TABANI!$B$14)*VERI_TABANI!G26) + (VERI_TABANI!D26*C593*(VERI_TABANI!$B$13-VERI_TABANI!$B$15)*VERI_TABANI!G26) + IF(ABS(IF(ISNUMBER(SEARCH("Var", D593)), 1, IF(ISNUMBER(SEARCH("Gri", D593)), -1, 0)))=1, VERI_TABANI!E26*(1-0.928)*0.00206091519919798*VERI_TABANI!G26, 0)) + ((MIN(VERI_TABANI!D27, VERI_TABANI!D27*B593)*VERI_TABANI!$B$7 + MAX(0, VERI_TABANI!D27*B593-VERI_TABANI!D27)*VERI_TABANI!$B$8) + (MIN(MAX(0, VERI_TABANI!D27-VERI_TABANI!D27*B593), VERI_TABANI!D27*C593)*VERI_TABANI!$B$7 + MAX(0, VERI_TABANI!D27*C593-MAX(0, VERI_TABANI!D27-VERI_TABANI!D27*B593))*VERI_TABANI!$B$8) + IF(ABS(IF(ISNUMBER(SEARCH("Var", D593)), 1, IF(ISNUMBER(SEARCH("Gri", D593)), -1, 0)))=1, VERI_TABANI!E27*(1-0.928)*VERI_TABANI!$B$9, 0) + (VERI_TABANI!D27*B593*(VERI_TABANI!$B$13-VERI_TABANI!$B$14)*VERI_TABANI!G27) + (VERI_TABANI!D27*C593*(VERI_TABANI!$B$13-VERI_TABANI!$B$15)*VERI_TABANI!G27) + IF(ABS(IF(ISNUMBER(SEARCH("Var", D593)), 1, IF(ISNUMBER(SEARCH("Gri", D593)), -1, 0)))=1, VERI_TABANI!E27*(1-0.928)*0.00206091519919798*VERI_TABANI!G27, 0)) + ((MIN(VERI_TABANI!D28, VERI_TABANI!D28*B593)*VERI_TABANI!$B$7 + MAX(0, VERI_TABANI!D28*B593-VERI_TABANI!D28)*VERI_TABANI!$B$8) + (MIN(MAX(0, VERI_TABANI!D28-VERI_TABANI!D28*B593), VERI_TABANI!D28*C593)*VERI_TABANI!$B$7 + MAX(0, VERI_TABANI!D28*C593-MAX(0, VERI_TABANI!D28-VERI_TABANI!D28*B593))*VERI_TABANI!$B$8) + IF(ABS(IF(ISNUMBER(SEARCH("Var", D593)), 1, IF(ISNUMBER(SEARCH("Gri", D593)), -1, 0)))=1, VERI_TABANI!E28*(1-0.928)*VERI_TABANI!$B$9, 0) + (VERI_TABANI!D28*B593*(VERI_TABANI!$B$13-VERI_TABANI!$B$14)*VERI_TABANI!G28) + (VERI_TABANI!D28*C593*(VERI_TABANI!$B$13-VERI_TABANI!$B$15)*VERI_TABANI!G28) + IF(ABS(IF(ISNUMBER(SEARCH("Var", D593)), 1, IF(ISNUMBER(SEARCH("Gri", D593)), -1, 0)))=1, VERI_TABANI!E28*(1-0.928)*0.00206091519919798*VERI_TABANI!G28, 0)))</f>
        <v/>
      </c>
      <c r="H593" s="169">
        <f>(((VERI_TABANI!D23*B593*(VERI_TABANI!$B$13-VERI_TABANI!$B$14)) + (VERI_TABANI!D23*C593*(VERI_TABANI!$B$13-VERI_TABANI!$B$15)) + IF(ISNUMBER(SEARCH("Var", D593)), VERI_TABANI!F23*(0.00202-VERI_TABANI!$B$16), IF(ISNUMBER(SEARCH("Gri", D593)), VERI_TABANI!F23*(0.00202-VERI_TABANI!$B$17), 0))) + ((VERI_TABANI!D24*B593*(VERI_TABANI!$B$13-VERI_TABANI!$B$14)) + (VERI_TABANI!D24*C593*(VERI_TABANI!$B$13-VERI_TABANI!$B$15)) + IF(ISNUMBER(SEARCH("Var", D593)), VERI_TABANI!F24*(0.00202-VERI_TABANI!$B$16), IF(ISNUMBER(SEARCH("Gri", D593)), VERI_TABANI!F24*(0.00202-VERI_TABANI!$B$17), 0))) + ((VERI_TABANI!D25*B593*(VERI_TABANI!$B$13-VERI_TABANI!$B$14)) + (VERI_TABANI!D25*C593*(VERI_TABANI!$B$13-VERI_TABANI!$B$15)) + IF(ISNUMBER(SEARCH("Var", D593)), VERI_TABANI!F25*(0.00202-VERI_TABANI!$B$16), IF(ISNUMBER(SEARCH("Gri", D593)), VERI_TABANI!F25*(0.00202-VERI_TABANI!$B$17), 0))) + ((VERI_TABANI!D26*B593*(VERI_TABANI!$B$13-VERI_TABANI!$B$14)) + (VERI_TABANI!D26*C593*(VERI_TABANI!$B$13-VERI_TABANI!$B$15)) + IF(ISNUMBER(SEARCH("Var", D593)), VERI_TABANI!F26*(0.00202-VERI_TABANI!$B$16), IF(ISNUMBER(SEARCH("Gri", D593)), VERI_TABANI!F26*(0.00202-VERI_TABANI!$B$17), 0))) + ((VERI_TABANI!D27*B593*(VERI_TABANI!$B$13-VERI_TABANI!$B$14)) + (VERI_TABANI!D27*C593*(VERI_TABANI!$B$13-VERI_TABANI!$B$15)) + IF(ISNUMBER(SEARCH("Var", D593)), VERI_TABANI!F27*(0.00202-VERI_TABANI!$B$16), IF(ISNUMBER(SEARCH("Gri", D593)), VERI_TABANI!F27*(0.00202-VERI_TABANI!$B$17), 0))) + ((VERI_TABANI!D28*B593*(VERI_TABANI!$B$13-VERI_TABANI!$B$14)) + (VERI_TABANI!D28*C593*(VERI_TABANI!$B$13-VERI_TABANI!$B$15)) + IF(ISNUMBER(SEARCH("Var", D593)), VERI_TABANI!F28*(0.00202-VERI_TABANI!$B$16), IF(ISNUMBER(SEARCH("Gri", D593)), VERI_TABANI!F28*(0.00202-VERI_TABANI!$B$17), 0))))</f>
        <v/>
      </c>
      <c r="I593" s="170">
        <f>IFERROR(((VERI_TABANI!$D$29*B593*VERI_TABANI!$B$14 + VERI_TABANI!$D$29*C593*VERI_TABANI!$B$15 + IF(ISNUMBER(SEARCH("Var", D593)), VERI_TABANI!$F$29*VERI_TABANI!$B$16, 0))) / (((VERI_TABANI!$D$29*B593 + VERI_TABANI!$D$29*C593)*VERI_TABANI!$B$13 + IF(ISNUMBER(SEARCH("Var", D593)), VERI_TABANI!$E$29*(1-0.928)*VERI_TABANI!$B$18, 0))), 0)</f>
        <v/>
      </c>
      <c r="J593" s="171">
        <f>IFERROR(F593/(G593/29), 0)</f>
        <v/>
      </c>
      <c r="K593" s="172">
        <f>IF(F593&gt;0, H593/F593, 0)</f>
        <v/>
      </c>
      <c r="L593" s="170">
        <f>IF(F593&gt;0, I593, 1000000000)</f>
        <v/>
      </c>
      <c r="M593" s="171">
        <f>ABS((B593+C593)-1)</f>
        <v/>
      </c>
      <c r="N593" s="170">
        <f>IF(F593&gt;0, (G593/29)/F593, 0)</f>
        <v/>
      </c>
      <c r="O593" s="168">
        <f>IF(AND((B593+C593)&gt;=1, ISNUMBER(SEARCH("Var", D593))), F593, 1000000000)</f>
        <v/>
      </c>
      <c r="P593" s="172">
        <f>IF(F593&gt;0, SQRT((F593/MAX(F$5:F$886))^2 + (1 - H593/MAX(H$5:H$886))^2 + (J593/MAX(J$5:J$886))^2), 1000000000)</f>
        <v/>
      </c>
      <c r="Q593" s="166">
        <f>IF(AND(ABS(B593-0.5)&lt;0.01, ABS(C593-0.5)&lt;0.01, ISNUMBER(SEARCH("Var", D593))), 1, 0)</f>
        <v/>
      </c>
      <c r="R593" s="171">
        <f>IF(F593&gt;0, J593, 1000000000)</f>
        <v/>
      </c>
      <c r="S593" s="101">
        <f>IF(AND(F593&lt;=DASHBOARD!$B$11, H593&gt;=DASHBOARD!$B$13), G593, -1000000000000)</f>
        <v/>
      </c>
      <c r="T593" s="101">
        <f>IF(AND(F593&lt;=DASHBOARD!$B$11, H593&gt;=DASHBOARD!$B$13), R593, 1000000000000)</f>
        <v/>
      </c>
      <c r="U593" s="101">
        <f>IF(AND(F593&lt;=DASHBOARD!$B$11, H593&gt;=DASHBOARD!$B$13), N593, -1000000000000)</f>
        <v/>
      </c>
      <c r="V593" s="101">
        <f>IF(AND(F593&lt;=DASHBOARD!$B$11, H593&gt;=DASHBOARD!$B$13), H593, -1000000000000)</f>
        <v/>
      </c>
      <c r="W593" s="101">
        <f>IF(AND(F593&lt;=DASHBOARD!$B$11, H593&gt;=DASHBOARD!$B$13), K593, -1000000000000)</f>
        <v/>
      </c>
      <c r="X593" s="101">
        <f>IF(AND(F593&lt;=DASHBOARD!$B$11, H593&gt;=DASHBOARD!$B$13), M593, 1000000000000)</f>
        <v/>
      </c>
      <c r="Y593" s="101">
        <f>IF(AND(F593&lt;=DASHBOARD!$B$10, H593&gt;=DASHBOARD!$B$11), L593, 1000000000000)</f>
        <v/>
      </c>
      <c r="Z593" s="101">
        <f>IF(AND(F593&lt;=DASHBOARD!$B$10, H593&gt;=DASHBOARD!$B$11), O593, 1000000000000)</f>
        <v/>
      </c>
      <c r="AA593" s="101">
        <f>IF(AND(F593&lt;=DASHBOARD!$B$10, H593&gt;=DASHBOARD!$B$11), P593, 1000000000000)</f>
        <v/>
      </c>
      <c r="AB593" s="101">
        <f>IF(AND(F593&lt;=DASHBOARD!$B$10, H593&gt;=DASHBOARD!$B$11), Q593, -1000000000000)</f>
        <v/>
      </c>
    </row>
    <row r="594" ht="15" customHeight="1" s="102">
      <c r="A594" s="166" t="n">
        <v>590</v>
      </c>
      <c r="B594" s="167" t="n">
        <v>1.4</v>
      </c>
      <c r="C594" s="167" t="n">
        <v>0</v>
      </c>
      <c r="D594" s="110" t="inlineStr">
        <is>
          <t>Var (%20)</t>
        </is>
      </c>
      <c r="E594" s="110">
        <f>IF((B594+C594)&lt;=1, "Tam Mahsuplaşma (≤%100)", "Kısmi Satış (&gt;%100)")</f>
        <v/>
      </c>
      <c r="F594" s="168">
        <f>((VERI_TABANI!$D$29*B594/VERI_TABANI!$B$29)/VERI_TABANI!$B$3)*VERI_TABANI!$B$5 + ((VERI_TABANI!$D$29*C594/VERI_TABANI!$B$29)/VERI_TABANI!$B$4)*VERI_TABANI!$B$6 + IF(ISNUMBER(SEARCH("Var", D594)), (VERI_TABANI!$F$29/VERI_TABANI!$B$29)*(VERI_TABANI!$B$10+VERI_TABANI!$B$12), 0)</f>
        <v/>
      </c>
      <c r="G594" s="168">
        <f>(((MIN(VERI_TABANI!D23, VERI_TABANI!D23*B594)*VERI_TABANI!$B$7 + MAX(0, VERI_TABANI!D23*B594-VERI_TABANI!D23)*VERI_TABANI!$B$8) + (MIN(MAX(0, VERI_TABANI!D23-VERI_TABANI!D23*B594), VERI_TABANI!D23*C594)*VERI_TABANI!$B$7 + MAX(0, VERI_TABANI!D23*C594-MAX(0, VERI_TABANI!D23-VERI_TABANI!D23*B594))*VERI_TABANI!$B$8) + IF(ABS(IF(ISNUMBER(SEARCH("Var", D594)), 1, IF(ISNUMBER(SEARCH("Gri", D594)), -1, 0)))=1, VERI_TABANI!E23*(1-0.928)*VERI_TABANI!$B$9, 0) + (VERI_TABANI!D23*B594*(VERI_TABANI!$B$13-VERI_TABANI!$B$14)*VERI_TABANI!G23) + (VERI_TABANI!D23*C594*(VERI_TABANI!$B$13-VERI_TABANI!$B$15)*VERI_TABANI!G23) + IF(ABS(IF(ISNUMBER(SEARCH("Var", D594)), 1, IF(ISNUMBER(SEARCH("Gri", D594)), -1, 0)))=1, VERI_TABANI!E23*(1-0.928)*0.00206091519919798*VERI_TABANI!G23, 0)) + ((MIN(VERI_TABANI!D24, VERI_TABANI!D24*B594)*VERI_TABANI!$B$7 + MAX(0, VERI_TABANI!D24*B594-VERI_TABANI!D24)*VERI_TABANI!$B$8) + (MIN(MAX(0, VERI_TABANI!D24-VERI_TABANI!D24*B594), VERI_TABANI!D24*C594)*VERI_TABANI!$B$7 + MAX(0, VERI_TABANI!D24*C594-MAX(0, VERI_TABANI!D24-VERI_TABANI!D24*B594))*VERI_TABANI!$B$8) + IF(ABS(IF(ISNUMBER(SEARCH("Var", D594)), 1, IF(ISNUMBER(SEARCH("Gri", D594)), -1, 0)))=1, VERI_TABANI!E24*(1-0.928)*VERI_TABANI!$B$9, 0) + (VERI_TABANI!D24*B594*(VERI_TABANI!$B$13-VERI_TABANI!$B$14)*VERI_TABANI!G24) + (VERI_TABANI!D24*C594*(VERI_TABANI!$B$13-VERI_TABANI!$B$15)*VERI_TABANI!G24) + IF(ABS(IF(ISNUMBER(SEARCH("Var", D594)), 1, IF(ISNUMBER(SEARCH("Gri", D594)), -1, 0)))=1, VERI_TABANI!E24*(1-0.928)*0.00206091519919798*VERI_TABANI!G24, 0)) + ((MIN(VERI_TABANI!D25, VERI_TABANI!D25*B594)*VERI_TABANI!$B$7 + MAX(0, VERI_TABANI!D25*B594-VERI_TABANI!D25)*VERI_TABANI!$B$8) + (MIN(MAX(0, VERI_TABANI!D25-VERI_TABANI!D25*B594), VERI_TABANI!D25*C594)*VERI_TABANI!$B$7 + MAX(0, VERI_TABANI!D25*C594-MAX(0, VERI_TABANI!D25-VERI_TABANI!D25*B594))*VERI_TABANI!$B$8) + IF(ABS(IF(ISNUMBER(SEARCH("Var", D594)), 1, IF(ISNUMBER(SEARCH("Gri", D594)), -1, 0)))=1, VERI_TABANI!E25*(1-0.928)*VERI_TABANI!$B$9, 0) + (VERI_TABANI!D25*B594*(VERI_TABANI!$B$13-VERI_TABANI!$B$14)*VERI_TABANI!G25) + (VERI_TABANI!D25*C594*(VERI_TABANI!$B$13-VERI_TABANI!$B$15)*VERI_TABANI!G25) + IF(ABS(IF(ISNUMBER(SEARCH("Var", D594)), 1, IF(ISNUMBER(SEARCH("Gri", D594)), -1, 0)))=1, VERI_TABANI!E25*(1-0.928)*0.00206091519919798*VERI_TABANI!G25, 0)) + ((MIN(VERI_TABANI!D26, VERI_TABANI!D26*B594)*VERI_TABANI!$B$7 + MAX(0, VERI_TABANI!D26*B594-VERI_TABANI!D26)*VERI_TABANI!$B$8) + (MIN(MAX(0, VERI_TABANI!D26-VERI_TABANI!D26*B594), VERI_TABANI!D26*C594)*VERI_TABANI!$B$7 + MAX(0, VERI_TABANI!D26*C594-MAX(0, VERI_TABANI!D26-VERI_TABANI!D26*B594))*VERI_TABANI!$B$8) + IF(ABS(IF(ISNUMBER(SEARCH("Var", D594)), 1, IF(ISNUMBER(SEARCH("Gri", D594)), -1, 0)))=1, VERI_TABANI!E26*(1-0.928)*VERI_TABANI!$B$9, 0) + (VERI_TABANI!D26*B594*(VERI_TABANI!$B$13-VERI_TABANI!$B$14)*VERI_TABANI!G26) + (VERI_TABANI!D26*C594*(VERI_TABANI!$B$13-VERI_TABANI!$B$15)*VERI_TABANI!G26) + IF(ABS(IF(ISNUMBER(SEARCH("Var", D594)), 1, IF(ISNUMBER(SEARCH("Gri", D594)), -1, 0)))=1, VERI_TABANI!E26*(1-0.928)*0.00206091519919798*VERI_TABANI!G26, 0)) + ((MIN(VERI_TABANI!D27, VERI_TABANI!D27*B594)*VERI_TABANI!$B$7 + MAX(0, VERI_TABANI!D27*B594-VERI_TABANI!D27)*VERI_TABANI!$B$8) + (MIN(MAX(0, VERI_TABANI!D27-VERI_TABANI!D27*B594), VERI_TABANI!D27*C594)*VERI_TABANI!$B$7 + MAX(0, VERI_TABANI!D27*C594-MAX(0, VERI_TABANI!D27-VERI_TABANI!D27*B594))*VERI_TABANI!$B$8) + IF(ABS(IF(ISNUMBER(SEARCH("Var", D594)), 1, IF(ISNUMBER(SEARCH("Gri", D594)), -1, 0)))=1, VERI_TABANI!E27*(1-0.928)*VERI_TABANI!$B$9, 0) + (VERI_TABANI!D27*B594*(VERI_TABANI!$B$13-VERI_TABANI!$B$14)*VERI_TABANI!G27) + (VERI_TABANI!D27*C594*(VERI_TABANI!$B$13-VERI_TABANI!$B$15)*VERI_TABANI!G27) + IF(ABS(IF(ISNUMBER(SEARCH("Var", D594)), 1, IF(ISNUMBER(SEARCH("Gri", D594)), -1, 0)))=1, VERI_TABANI!E27*(1-0.928)*0.00206091519919798*VERI_TABANI!G27, 0)) + ((MIN(VERI_TABANI!D28, VERI_TABANI!D28*B594)*VERI_TABANI!$B$7 + MAX(0, VERI_TABANI!D28*B594-VERI_TABANI!D28)*VERI_TABANI!$B$8) + (MIN(MAX(0, VERI_TABANI!D28-VERI_TABANI!D28*B594), VERI_TABANI!D28*C594)*VERI_TABANI!$B$7 + MAX(0, VERI_TABANI!D28*C594-MAX(0, VERI_TABANI!D28-VERI_TABANI!D28*B594))*VERI_TABANI!$B$8) + IF(ABS(IF(ISNUMBER(SEARCH("Var", D594)), 1, IF(ISNUMBER(SEARCH("Gri", D594)), -1, 0)))=1, VERI_TABANI!E28*(1-0.928)*VERI_TABANI!$B$9, 0) + (VERI_TABANI!D28*B594*(VERI_TABANI!$B$13-VERI_TABANI!$B$14)*VERI_TABANI!G28) + (VERI_TABANI!D28*C594*(VERI_TABANI!$B$13-VERI_TABANI!$B$15)*VERI_TABANI!G28) + IF(ABS(IF(ISNUMBER(SEARCH("Var", D594)), 1, IF(ISNUMBER(SEARCH("Gri", D594)), -1, 0)))=1, VERI_TABANI!E28*(1-0.928)*0.00206091519919798*VERI_TABANI!G28, 0)))</f>
        <v/>
      </c>
      <c r="H594" s="169">
        <f>(((VERI_TABANI!D23*B594*(VERI_TABANI!$B$13-VERI_TABANI!$B$14)) + (VERI_TABANI!D23*C594*(VERI_TABANI!$B$13-VERI_TABANI!$B$15)) + IF(ISNUMBER(SEARCH("Var", D594)), VERI_TABANI!F23*(0.00202-VERI_TABANI!$B$16), IF(ISNUMBER(SEARCH("Gri", D594)), VERI_TABANI!F23*(0.00202-VERI_TABANI!$B$17), 0))) + ((VERI_TABANI!D24*B594*(VERI_TABANI!$B$13-VERI_TABANI!$B$14)) + (VERI_TABANI!D24*C594*(VERI_TABANI!$B$13-VERI_TABANI!$B$15)) + IF(ISNUMBER(SEARCH("Var", D594)), VERI_TABANI!F24*(0.00202-VERI_TABANI!$B$16), IF(ISNUMBER(SEARCH("Gri", D594)), VERI_TABANI!F24*(0.00202-VERI_TABANI!$B$17), 0))) + ((VERI_TABANI!D25*B594*(VERI_TABANI!$B$13-VERI_TABANI!$B$14)) + (VERI_TABANI!D25*C594*(VERI_TABANI!$B$13-VERI_TABANI!$B$15)) + IF(ISNUMBER(SEARCH("Var", D594)), VERI_TABANI!F25*(0.00202-VERI_TABANI!$B$16), IF(ISNUMBER(SEARCH("Gri", D594)), VERI_TABANI!F25*(0.00202-VERI_TABANI!$B$17), 0))) + ((VERI_TABANI!D26*B594*(VERI_TABANI!$B$13-VERI_TABANI!$B$14)) + (VERI_TABANI!D26*C594*(VERI_TABANI!$B$13-VERI_TABANI!$B$15)) + IF(ISNUMBER(SEARCH("Var", D594)), VERI_TABANI!F26*(0.00202-VERI_TABANI!$B$16), IF(ISNUMBER(SEARCH("Gri", D594)), VERI_TABANI!F26*(0.00202-VERI_TABANI!$B$17), 0))) + ((VERI_TABANI!D27*B594*(VERI_TABANI!$B$13-VERI_TABANI!$B$14)) + (VERI_TABANI!D27*C594*(VERI_TABANI!$B$13-VERI_TABANI!$B$15)) + IF(ISNUMBER(SEARCH("Var", D594)), VERI_TABANI!F27*(0.00202-VERI_TABANI!$B$16), IF(ISNUMBER(SEARCH("Gri", D594)), VERI_TABANI!F27*(0.00202-VERI_TABANI!$B$17), 0))) + ((VERI_TABANI!D28*B594*(VERI_TABANI!$B$13-VERI_TABANI!$B$14)) + (VERI_TABANI!D28*C594*(VERI_TABANI!$B$13-VERI_TABANI!$B$15)) + IF(ISNUMBER(SEARCH("Var", D594)), VERI_TABANI!F28*(0.00202-VERI_TABANI!$B$16), IF(ISNUMBER(SEARCH("Gri", D594)), VERI_TABANI!F28*(0.00202-VERI_TABANI!$B$17), 0))))</f>
        <v/>
      </c>
      <c r="I594" s="170">
        <f>IFERROR(((VERI_TABANI!$D$29*B594*VERI_TABANI!$B$14 + VERI_TABANI!$D$29*C594*VERI_TABANI!$B$15 + IF(ISNUMBER(SEARCH("Var", D594)), VERI_TABANI!$F$29*VERI_TABANI!$B$16, 0))) / (((VERI_TABANI!$D$29*B594 + VERI_TABANI!$D$29*C594)*VERI_TABANI!$B$13 + IF(ISNUMBER(SEARCH("Var", D594)), VERI_TABANI!$E$29*(1-0.928)*VERI_TABANI!$B$18, 0))), 0)</f>
        <v/>
      </c>
      <c r="J594" s="171">
        <f>IFERROR(F594/(G594/29), 0)</f>
        <v/>
      </c>
      <c r="K594" s="172">
        <f>IF(F594&gt;0, H594/F594, 0)</f>
        <v/>
      </c>
      <c r="L594" s="170">
        <f>IF(F594&gt;0, I594, 1000000000)</f>
        <v/>
      </c>
      <c r="M594" s="171">
        <f>ABS((B594+C594)-1)</f>
        <v/>
      </c>
      <c r="N594" s="170">
        <f>IF(F594&gt;0, (G594/29)/F594, 0)</f>
        <v/>
      </c>
      <c r="O594" s="168">
        <f>IF(AND((B594+C594)&gt;=1, ISNUMBER(SEARCH("Var", D594))), F594, 1000000000)</f>
        <v/>
      </c>
      <c r="P594" s="172">
        <f>IF(F594&gt;0, SQRT((F594/MAX(F$5:F$886))^2 + (1 - H594/MAX(H$5:H$886))^2 + (J594/MAX(J$5:J$886))^2), 1000000000)</f>
        <v/>
      </c>
      <c r="Q594" s="166">
        <f>IF(AND(ABS(B594-0.5)&lt;0.01, ABS(C594-0.5)&lt;0.01, ISNUMBER(SEARCH("Var", D594))), 1, 0)</f>
        <v/>
      </c>
      <c r="R594" s="171">
        <f>IF(F594&gt;0, J594, 1000000000)</f>
        <v/>
      </c>
      <c r="S594" s="101">
        <f>IF(AND(F594&lt;=DASHBOARD!$B$11, H594&gt;=DASHBOARD!$B$13), G594, -1000000000000)</f>
        <v/>
      </c>
      <c r="T594" s="101">
        <f>IF(AND(F594&lt;=DASHBOARD!$B$11, H594&gt;=DASHBOARD!$B$13), R594, 1000000000000)</f>
        <v/>
      </c>
      <c r="U594" s="101">
        <f>IF(AND(F594&lt;=DASHBOARD!$B$11, H594&gt;=DASHBOARD!$B$13), N594, -1000000000000)</f>
        <v/>
      </c>
      <c r="V594" s="101">
        <f>IF(AND(F594&lt;=DASHBOARD!$B$11, H594&gt;=DASHBOARD!$B$13), H594, -1000000000000)</f>
        <v/>
      </c>
      <c r="W594" s="101">
        <f>IF(AND(F594&lt;=DASHBOARD!$B$11, H594&gt;=DASHBOARD!$B$13), K594, -1000000000000)</f>
        <v/>
      </c>
      <c r="X594" s="101">
        <f>IF(AND(F594&lt;=DASHBOARD!$B$11, H594&gt;=DASHBOARD!$B$13), M594, 1000000000000)</f>
        <v/>
      </c>
      <c r="Y594" s="101">
        <f>IF(AND(F594&lt;=DASHBOARD!$B$10, H594&gt;=DASHBOARD!$B$11), L594, 1000000000000)</f>
        <v/>
      </c>
      <c r="Z594" s="101">
        <f>IF(AND(F594&lt;=DASHBOARD!$B$10, H594&gt;=DASHBOARD!$B$11), O594, 1000000000000)</f>
        <v/>
      </c>
      <c r="AA594" s="101">
        <f>IF(AND(F594&lt;=DASHBOARD!$B$10, H594&gt;=DASHBOARD!$B$11), P594, 1000000000000)</f>
        <v/>
      </c>
      <c r="AB594" s="101">
        <f>IF(AND(F594&lt;=DASHBOARD!$B$10, H594&gt;=DASHBOARD!$B$11), Q594, -1000000000000)</f>
        <v/>
      </c>
    </row>
    <row r="595" ht="15" customHeight="1" s="102">
      <c r="A595" s="166" t="n">
        <v>591</v>
      </c>
      <c r="B595" s="167" t="n">
        <v>1.4</v>
      </c>
      <c r="C595" s="167" t="n">
        <v>0.1</v>
      </c>
      <c r="D595" s="110" t="inlineStr">
        <is>
          <t>Yok (%0)</t>
        </is>
      </c>
      <c r="E595" s="110">
        <f>IF((B595+C595)&lt;=1, "Tam Mahsuplaşma (≤%100)", "Kısmi Satış (&gt;%100)")</f>
        <v/>
      </c>
      <c r="F595" s="168">
        <f>((VERI_TABANI!$D$29*B595/VERI_TABANI!$B$29)/VERI_TABANI!$B$3)*VERI_TABANI!$B$5 + ((VERI_TABANI!$D$29*C595/VERI_TABANI!$B$29)/VERI_TABANI!$B$4)*VERI_TABANI!$B$6 + IF(ISNUMBER(SEARCH("Var", D595)), (VERI_TABANI!$F$29/VERI_TABANI!$B$29)*(VERI_TABANI!$B$10+VERI_TABANI!$B$12), 0)</f>
        <v/>
      </c>
      <c r="G595" s="168">
        <f>(((MIN(VERI_TABANI!D23, VERI_TABANI!D23*B595)*VERI_TABANI!$B$7 + MAX(0, VERI_TABANI!D23*B595-VERI_TABANI!D23)*VERI_TABANI!$B$8) + (MIN(MAX(0, VERI_TABANI!D23-VERI_TABANI!D23*B595), VERI_TABANI!D23*C595)*VERI_TABANI!$B$7 + MAX(0, VERI_TABANI!D23*C595-MAX(0, VERI_TABANI!D23-VERI_TABANI!D23*B595))*VERI_TABANI!$B$8) + IF(ABS(IF(ISNUMBER(SEARCH("Var", D595)), 1, IF(ISNUMBER(SEARCH("Gri", D595)), -1, 0)))=1, VERI_TABANI!E23*(1-0.928)*VERI_TABANI!$B$9, 0) + (VERI_TABANI!D23*B595*(VERI_TABANI!$B$13-VERI_TABANI!$B$14)*VERI_TABANI!G23) + (VERI_TABANI!D23*C595*(VERI_TABANI!$B$13-VERI_TABANI!$B$15)*VERI_TABANI!G23) + IF(ABS(IF(ISNUMBER(SEARCH("Var", D595)), 1, IF(ISNUMBER(SEARCH("Gri", D595)), -1, 0)))=1, VERI_TABANI!E23*(1-0.928)*0.00206091519919798*VERI_TABANI!G23, 0)) + ((MIN(VERI_TABANI!D24, VERI_TABANI!D24*B595)*VERI_TABANI!$B$7 + MAX(0, VERI_TABANI!D24*B595-VERI_TABANI!D24)*VERI_TABANI!$B$8) + (MIN(MAX(0, VERI_TABANI!D24-VERI_TABANI!D24*B595), VERI_TABANI!D24*C595)*VERI_TABANI!$B$7 + MAX(0, VERI_TABANI!D24*C595-MAX(0, VERI_TABANI!D24-VERI_TABANI!D24*B595))*VERI_TABANI!$B$8) + IF(ABS(IF(ISNUMBER(SEARCH("Var", D595)), 1, IF(ISNUMBER(SEARCH("Gri", D595)), -1, 0)))=1, VERI_TABANI!E24*(1-0.928)*VERI_TABANI!$B$9, 0) + (VERI_TABANI!D24*B595*(VERI_TABANI!$B$13-VERI_TABANI!$B$14)*VERI_TABANI!G24) + (VERI_TABANI!D24*C595*(VERI_TABANI!$B$13-VERI_TABANI!$B$15)*VERI_TABANI!G24) + IF(ABS(IF(ISNUMBER(SEARCH("Var", D595)), 1, IF(ISNUMBER(SEARCH("Gri", D595)), -1, 0)))=1, VERI_TABANI!E24*(1-0.928)*0.00206091519919798*VERI_TABANI!G24, 0)) + ((MIN(VERI_TABANI!D25, VERI_TABANI!D25*B595)*VERI_TABANI!$B$7 + MAX(0, VERI_TABANI!D25*B595-VERI_TABANI!D25)*VERI_TABANI!$B$8) + (MIN(MAX(0, VERI_TABANI!D25-VERI_TABANI!D25*B595), VERI_TABANI!D25*C595)*VERI_TABANI!$B$7 + MAX(0, VERI_TABANI!D25*C595-MAX(0, VERI_TABANI!D25-VERI_TABANI!D25*B595))*VERI_TABANI!$B$8) + IF(ABS(IF(ISNUMBER(SEARCH("Var", D595)), 1, IF(ISNUMBER(SEARCH("Gri", D595)), -1, 0)))=1, VERI_TABANI!E25*(1-0.928)*VERI_TABANI!$B$9, 0) + (VERI_TABANI!D25*B595*(VERI_TABANI!$B$13-VERI_TABANI!$B$14)*VERI_TABANI!G25) + (VERI_TABANI!D25*C595*(VERI_TABANI!$B$13-VERI_TABANI!$B$15)*VERI_TABANI!G25) + IF(ABS(IF(ISNUMBER(SEARCH("Var", D595)), 1, IF(ISNUMBER(SEARCH("Gri", D595)), -1, 0)))=1, VERI_TABANI!E25*(1-0.928)*0.00206091519919798*VERI_TABANI!G25, 0)) + ((MIN(VERI_TABANI!D26, VERI_TABANI!D26*B595)*VERI_TABANI!$B$7 + MAX(0, VERI_TABANI!D26*B595-VERI_TABANI!D26)*VERI_TABANI!$B$8) + (MIN(MAX(0, VERI_TABANI!D26-VERI_TABANI!D26*B595), VERI_TABANI!D26*C595)*VERI_TABANI!$B$7 + MAX(0, VERI_TABANI!D26*C595-MAX(0, VERI_TABANI!D26-VERI_TABANI!D26*B595))*VERI_TABANI!$B$8) + IF(ABS(IF(ISNUMBER(SEARCH("Var", D595)), 1, IF(ISNUMBER(SEARCH("Gri", D595)), -1, 0)))=1, VERI_TABANI!E26*(1-0.928)*VERI_TABANI!$B$9, 0) + (VERI_TABANI!D26*B595*(VERI_TABANI!$B$13-VERI_TABANI!$B$14)*VERI_TABANI!G26) + (VERI_TABANI!D26*C595*(VERI_TABANI!$B$13-VERI_TABANI!$B$15)*VERI_TABANI!G26) + IF(ABS(IF(ISNUMBER(SEARCH("Var", D595)), 1, IF(ISNUMBER(SEARCH("Gri", D595)), -1, 0)))=1, VERI_TABANI!E26*(1-0.928)*0.00206091519919798*VERI_TABANI!G26, 0)) + ((MIN(VERI_TABANI!D27, VERI_TABANI!D27*B595)*VERI_TABANI!$B$7 + MAX(0, VERI_TABANI!D27*B595-VERI_TABANI!D27)*VERI_TABANI!$B$8) + (MIN(MAX(0, VERI_TABANI!D27-VERI_TABANI!D27*B595), VERI_TABANI!D27*C595)*VERI_TABANI!$B$7 + MAX(0, VERI_TABANI!D27*C595-MAX(0, VERI_TABANI!D27-VERI_TABANI!D27*B595))*VERI_TABANI!$B$8) + IF(ABS(IF(ISNUMBER(SEARCH("Var", D595)), 1, IF(ISNUMBER(SEARCH("Gri", D595)), -1, 0)))=1, VERI_TABANI!E27*(1-0.928)*VERI_TABANI!$B$9, 0) + (VERI_TABANI!D27*B595*(VERI_TABANI!$B$13-VERI_TABANI!$B$14)*VERI_TABANI!G27) + (VERI_TABANI!D27*C595*(VERI_TABANI!$B$13-VERI_TABANI!$B$15)*VERI_TABANI!G27) + IF(ABS(IF(ISNUMBER(SEARCH("Var", D595)), 1, IF(ISNUMBER(SEARCH("Gri", D595)), -1, 0)))=1, VERI_TABANI!E27*(1-0.928)*0.00206091519919798*VERI_TABANI!G27, 0)) + ((MIN(VERI_TABANI!D28, VERI_TABANI!D28*B595)*VERI_TABANI!$B$7 + MAX(0, VERI_TABANI!D28*B595-VERI_TABANI!D28)*VERI_TABANI!$B$8) + (MIN(MAX(0, VERI_TABANI!D28-VERI_TABANI!D28*B595), VERI_TABANI!D28*C595)*VERI_TABANI!$B$7 + MAX(0, VERI_TABANI!D28*C595-MAX(0, VERI_TABANI!D28-VERI_TABANI!D28*B595))*VERI_TABANI!$B$8) + IF(ABS(IF(ISNUMBER(SEARCH("Var", D595)), 1, IF(ISNUMBER(SEARCH("Gri", D595)), -1, 0)))=1, VERI_TABANI!E28*(1-0.928)*VERI_TABANI!$B$9, 0) + (VERI_TABANI!D28*B595*(VERI_TABANI!$B$13-VERI_TABANI!$B$14)*VERI_TABANI!G28) + (VERI_TABANI!D28*C595*(VERI_TABANI!$B$13-VERI_TABANI!$B$15)*VERI_TABANI!G28) + IF(ABS(IF(ISNUMBER(SEARCH("Var", D595)), 1, IF(ISNUMBER(SEARCH("Gri", D595)), -1, 0)))=1, VERI_TABANI!E28*(1-0.928)*0.00206091519919798*VERI_TABANI!G28, 0)))</f>
        <v/>
      </c>
      <c r="H595" s="169">
        <f>(((VERI_TABANI!D23*B595*(VERI_TABANI!$B$13-VERI_TABANI!$B$14)) + (VERI_TABANI!D23*C595*(VERI_TABANI!$B$13-VERI_TABANI!$B$15)) + IF(ISNUMBER(SEARCH("Var", D595)), VERI_TABANI!F23*(0.00202-VERI_TABANI!$B$16), IF(ISNUMBER(SEARCH("Gri", D595)), VERI_TABANI!F23*(0.00202-VERI_TABANI!$B$17), 0))) + ((VERI_TABANI!D24*B595*(VERI_TABANI!$B$13-VERI_TABANI!$B$14)) + (VERI_TABANI!D24*C595*(VERI_TABANI!$B$13-VERI_TABANI!$B$15)) + IF(ISNUMBER(SEARCH("Var", D595)), VERI_TABANI!F24*(0.00202-VERI_TABANI!$B$16), IF(ISNUMBER(SEARCH("Gri", D595)), VERI_TABANI!F24*(0.00202-VERI_TABANI!$B$17), 0))) + ((VERI_TABANI!D25*B595*(VERI_TABANI!$B$13-VERI_TABANI!$B$14)) + (VERI_TABANI!D25*C595*(VERI_TABANI!$B$13-VERI_TABANI!$B$15)) + IF(ISNUMBER(SEARCH("Var", D595)), VERI_TABANI!F25*(0.00202-VERI_TABANI!$B$16), IF(ISNUMBER(SEARCH("Gri", D595)), VERI_TABANI!F25*(0.00202-VERI_TABANI!$B$17), 0))) + ((VERI_TABANI!D26*B595*(VERI_TABANI!$B$13-VERI_TABANI!$B$14)) + (VERI_TABANI!D26*C595*(VERI_TABANI!$B$13-VERI_TABANI!$B$15)) + IF(ISNUMBER(SEARCH("Var", D595)), VERI_TABANI!F26*(0.00202-VERI_TABANI!$B$16), IF(ISNUMBER(SEARCH("Gri", D595)), VERI_TABANI!F26*(0.00202-VERI_TABANI!$B$17), 0))) + ((VERI_TABANI!D27*B595*(VERI_TABANI!$B$13-VERI_TABANI!$B$14)) + (VERI_TABANI!D27*C595*(VERI_TABANI!$B$13-VERI_TABANI!$B$15)) + IF(ISNUMBER(SEARCH("Var", D595)), VERI_TABANI!F27*(0.00202-VERI_TABANI!$B$16), IF(ISNUMBER(SEARCH("Gri", D595)), VERI_TABANI!F27*(0.00202-VERI_TABANI!$B$17), 0))) + ((VERI_TABANI!D28*B595*(VERI_TABANI!$B$13-VERI_TABANI!$B$14)) + (VERI_TABANI!D28*C595*(VERI_TABANI!$B$13-VERI_TABANI!$B$15)) + IF(ISNUMBER(SEARCH("Var", D595)), VERI_TABANI!F28*(0.00202-VERI_TABANI!$B$16), IF(ISNUMBER(SEARCH("Gri", D595)), VERI_TABANI!F28*(0.00202-VERI_TABANI!$B$17), 0))))</f>
        <v/>
      </c>
      <c r="I595" s="170">
        <f>IFERROR(((VERI_TABANI!$D$29*B595*VERI_TABANI!$B$14 + VERI_TABANI!$D$29*C595*VERI_TABANI!$B$15 + IF(ISNUMBER(SEARCH("Var", D595)), VERI_TABANI!$F$29*VERI_TABANI!$B$16, 0))) / (((VERI_TABANI!$D$29*B595 + VERI_TABANI!$D$29*C595)*VERI_TABANI!$B$13 + IF(ISNUMBER(SEARCH("Var", D595)), VERI_TABANI!$E$29*(1-0.928)*VERI_TABANI!$B$18, 0))), 0)</f>
        <v/>
      </c>
      <c r="J595" s="171">
        <f>IFERROR(F595/(G595/29), 0)</f>
        <v/>
      </c>
      <c r="K595" s="172">
        <f>IF(F595&gt;0, H595/F595, 0)</f>
        <v/>
      </c>
      <c r="L595" s="170">
        <f>IF(F595&gt;0, I595, 1000000000)</f>
        <v/>
      </c>
      <c r="M595" s="171">
        <f>ABS((B595+C595)-1)</f>
        <v/>
      </c>
      <c r="N595" s="170">
        <f>IF(F595&gt;0, (G595/29)/F595, 0)</f>
        <v/>
      </c>
      <c r="O595" s="168">
        <f>IF(AND((B595+C595)&gt;=1, ISNUMBER(SEARCH("Var", D595))), F595, 1000000000)</f>
        <v/>
      </c>
      <c r="P595" s="172">
        <f>IF(F595&gt;0, SQRT((F595/MAX(F$5:F$886))^2 + (1 - H595/MAX(H$5:H$886))^2 + (J595/MAX(J$5:J$886))^2), 1000000000)</f>
        <v/>
      </c>
      <c r="Q595" s="166">
        <f>IF(AND(ABS(B595-0.5)&lt;0.01, ABS(C595-0.5)&lt;0.01, ISNUMBER(SEARCH("Var", D595))), 1, 0)</f>
        <v/>
      </c>
      <c r="R595" s="171">
        <f>IF(F595&gt;0, J595, 1000000000)</f>
        <v/>
      </c>
      <c r="S595" s="101">
        <f>IF(AND(F595&lt;=DASHBOARD!$B$11, H595&gt;=DASHBOARD!$B$13), G595, -1000000000000)</f>
        <v/>
      </c>
      <c r="T595" s="101">
        <f>IF(AND(F595&lt;=DASHBOARD!$B$11, H595&gt;=DASHBOARD!$B$13), R595, 1000000000000)</f>
        <v/>
      </c>
      <c r="U595" s="101">
        <f>IF(AND(F595&lt;=DASHBOARD!$B$11, H595&gt;=DASHBOARD!$B$13), N595, -1000000000000)</f>
        <v/>
      </c>
      <c r="V595" s="101">
        <f>IF(AND(F595&lt;=DASHBOARD!$B$11, H595&gt;=DASHBOARD!$B$13), H595, -1000000000000)</f>
        <v/>
      </c>
      <c r="W595" s="101">
        <f>IF(AND(F595&lt;=DASHBOARD!$B$11, H595&gt;=DASHBOARD!$B$13), K595, -1000000000000)</f>
        <v/>
      </c>
      <c r="X595" s="101">
        <f>IF(AND(F595&lt;=DASHBOARD!$B$11, H595&gt;=DASHBOARD!$B$13), M595, 1000000000000)</f>
        <v/>
      </c>
      <c r="Y595" s="101">
        <f>IF(AND(F595&lt;=DASHBOARD!$B$10, H595&gt;=DASHBOARD!$B$11), L595, 1000000000000)</f>
        <v/>
      </c>
      <c r="Z595" s="101">
        <f>IF(AND(F595&lt;=DASHBOARD!$B$10, H595&gt;=DASHBOARD!$B$11), O595, 1000000000000)</f>
        <v/>
      </c>
      <c r="AA595" s="101">
        <f>IF(AND(F595&lt;=DASHBOARD!$B$10, H595&gt;=DASHBOARD!$B$11), P595, 1000000000000)</f>
        <v/>
      </c>
      <c r="AB595" s="101">
        <f>IF(AND(F595&lt;=DASHBOARD!$B$10, H595&gt;=DASHBOARD!$B$11), Q595, -1000000000000)</f>
        <v/>
      </c>
    </row>
    <row r="596" ht="15" customHeight="1" s="102">
      <c r="A596" s="166" t="n">
        <v>592</v>
      </c>
      <c r="B596" s="167" t="n">
        <v>1.4</v>
      </c>
      <c r="C596" s="167" t="n">
        <v>0.1</v>
      </c>
      <c r="D596" s="110" t="inlineStr">
        <is>
          <t>Var (%20)</t>
        </is>
      </c>
      <c r="E596" s="110">
        <f>IF((B596+C596)&lt;=1, "Tam Mahsuplaşma (≤%100)", "Kısmi Satış (&gt;%100)")</f>
        <v/>
      </c>
      <c r="F596" s="168">
        <f>((VERI_TABANI!$D$29*B596/VERI_TABANI!$B$29)/VERI_TABANI!$B$3)*VERI_TABANI!$B$5 + ((VERI_TABANI!$D$29*C596/VERI_TABANI!$B$29)/VERI_TABANI!$B$4)*VERI_TABANI!$B$6 + IF(ISNUMBER(SEARCH("Var", D596)), (VERI_TABANI!$F$29/VERI_TABANI!$B$29)*(VERI_TABANI!$B$10+VERI_TABANI!$B$12), 0)</f>
        <v/>
      </c>
      <c r="G596" s="168">
        <f>(((MIN(VERI_TABANI!D23, VERI_TABANI!D23*B596)*VERI_TABANI!$B$7 + MAX(0, VERI_TABANI!D23*B596-VERI_TABANI!D23)*VERI_TABANI!$B$8) + (MIN(MAX(0, VERI_TABANI!D23-VERI_TABANI!D23*B596), VERI_TABANI!D23*C596)*VERI_TABANI!$B$7 + MAX(0, VERI_TABANI!D23*C596-MAX(0, VERI_TABANI!D23-VERI_TABANI!D23*B596))*VERI_TABANI!$B$8) + IF(ABS(IF(ISNUMBER(SEARCH("Var", D596)), 1, IF(ISNUMBER(SEARCH("Gri", D596)), -1, 0)))=1, VERI_TABANI!E23*(1-0.928)*VERI_TABANI!$B$9, 0) + (VERI_TABANI!D23*B596*(VERI_TABANI!$B$13-VERI_TABANI!$B$14)*VERI_TABANI!G23) + (VERI_TABANI!D23*C596*(VERI_TABANI!$B$13-VERI_TABANI!$B$15)*VERI_TABANI!G23) + IF(ABS(IF(ISNUMBER(SEARCH("Var", D596)), 1, IF(ISNUMBER(SEARCH("Gri", D596)), -1, 0)))=1, VERI_TABANI!E23*(1-0.928)*0.00206091519919798*VERI_TABANI!G23, 0)) + ((MIN(VERI_TABANI!D24, VERI_TABANI!D24*B596)*VERI_TABANI!$B$7 + MAX(0, VERI_TABANI!D24*B596-VERI_TABANI!D24)*VERI_TABANI!$B$8) + (MIN(MAX(0, VERI_TABANI!D24-VERI_TABANI!D24*B596), VERI_TABANI!D24*C596)*VERI_TABANI!$B$7 + MAX(0, VERI_TABANI!D24*C596-MAX(0, VERI_TABANI!D24-VERI_TABANI!D24*B596))*VERI_TABANI!$B$8) + IF(ABS(IF(ISNUMBER(SEARCH("Var", D596)), 1, IF(ISNUMBER(SEARCH("Gri", D596)), -1, 0)))=1, VERI_TABANI!E24*(1-0.928)*VERI_TABANI!$B$9, 0) + (VERI_TABANI!D24*B596*(VERI_TABANI!$B$13-VERI_TABANI!$B$14)*VERI_TABANI!G24) + (VERI_TABANI!D24*C596*(VERI_TABANI!$B$13-VERI_TABANI!$B$15)*VERI_TABANI!G24) + IF(ABS(IF(ISNUMBER(SEARCH("Var", D596)), 1, IF(ISNUMBER(SEARCH("Gri", D596)), -1, 0)))=1, VERI_TABANI!E24*(1-0.928)*0.00206091519919798*VERI_TABANI!G24, 0)) + ((MIN(VERI_TABANI!D25, VERI_TABANI!D25*B596)*VERI_TABANI!$B$7 + MAX(0, VERI_TABANI!D25*B596-VERI_TABANI!D25)*VERI_TABANI!$B$8) + (MIN(MAX(0, VERI_TABANI!D25-VERI_TABANI!D25*B596), VERI_TABANI!D25*C596)*VERI_TABANI!$B$7 + MAX(0, VERI_TABANI!D25*C596-MAX(0, VERI_TABANI!D25-VERI_TABANI!D25*B596))*VERI_TABANI!$B$8) + IF(ABS(IF(ISNUMBER(SEARCH("Var", D596)), 1, IF(ISNUMBER(SEARCH("Gri", D596)), -1, 0)))=1, VERI_TABANI!E25*(1-0.928)*VERI_TABANI!$B$9, 0) + (VERI_TABANI!D25*B596*(VERI_TABANI!$B$13-VERI_TABANI!$B$14)*VERI_TABANI!G25) + (VERI_TABANI!D25*C596*(VERI_TABANI!$B$13-VERI_TABANI!$B$15)*VERI_TABANI!G25) + IF(ABS(IF(ISNUMBER(SEARCH("Var", D596)), 1, IF(ISNUMBER(SEARCH("Gri", D596)), -1, 0)))=1, VERI_TABANI!E25*(1-0.928)*0.00206091519919798*VERI_TABANI!G25, 0)) + ((MIN(VERI_TABANI!D26, VERI_TABANI!D26*B596)*VERI_TABANI!$B$7 + MAX(0, VERI_TABANI!D26*B596-VERI_TABANI!D26)*VERI_TABANI!$B$8) + (MIN(MAX(0, VERI_TABANI!D26-VERI_TABANI!D26*B596), VERI_TABANI!D26*C596)*VERI_TABANI!$B$7 + MAX(0, VERI_TABANI!D26*C596-MAX(0, VERI_TABANI!D26-VERI_TABANI!D26*B596))*VERI_TABANI!$B$8) + IF(ABS(IF(ISNUMBER(SEARCH("Var", D596)), 1, IF(ISNUMBER(SEARCH("Gri", D596)), -1, 0)))=1, VERI_TABANI!E26*(1-0.928)*VERI_TABANI!$B$9, 0) + (VERI_TABANI!D26*B596*(VERI_TABANI!$B$13-VERI_TABANI!$B$14)*VERI_TABANI!G26) + (VERI_TABANI!D26*C596*(VERI_TABANI!$B$13-VERI_TABANI!$B$15)*VERI_TABANI!G26) + IF(ABS(IF(ISNUMBER(SEARCH("Var", D596)), 1, IF(ISNUMBER(SEARCH("Gri", D596)), -1, 0)))=1, VERI_TABANI!E26*(1-0.928)*0.00206091519919798*VERI_TABANI!G26, 0)) + ((MIN(VERI_TABANI!D27, VERI_TABANI!D27*B596)*VERI_TABANI!$B$7 + MAX(0, VERI_TABANI!D27*B596-VERI_TABANI!D27)*VERI_TABANI!$B$8) + (MIN(MAX(0, VERI_TABANI!D27-VERI_TABANI!D27*B596), VERI_TABANI!D27*C596)*VERI_TABANI!$B$7 + MAX(0, VERI_TABANI!D27*C596-MAX(0, VERI_TABANI!D27-VERI_TABANI!D27*B596))*VERI_TABANI!$B$8) + IF(ABS(IF(ISNUMBER(SEARCH("Var", D596)), 1, IF(ISNUMBER(SEARCH("Gri", D596)), -1, 0)))=1, VERI_TABANI!E27*(1-0.928)*VERI_TABANI!$B$9, 0) + (VERI_TABANI!D27*B596*(VERI_TABANI!$B$13-VERI_TABANI!$B$14)*VERI_TABANI!G27) + (VERI_TABANI!D27*C596*(VERI_TABANI!$B$13-VERI_TABANI!$B$15)*VERI_TABANI!G27) + IF(ABS(IF(ISNUMBER(SEARCH("Var", D596)), 1, IF(ISNUMBER(SEARCH("Gri", D596)), -1, 0)))=1, VERI_TABANI!E27*(1-0.928)*0.00206091519919798*VERI_TABANI!G27, 0)) + ((MIN(VERI_TABANI!D28, VERI_TABANI!D28*B596)*VERI_TABANI!$B$7 + MAX(0, VERI_TABANI!D28*B596-VERI_TABANI!D28)*VERI_TABANI!$B$8) + (MIN(MAX(0, VERI_TABANI!D28-VERI_TABANI!D28*B596), VERI_TABANI!D28*C596)*VERI_TABANI!$B$7 + MAX(0, VERI_TABANI!D28*C596-MAX(0, VERI_TABANI!D28-VERI_TABANI!D28*B596))*VERI_TABANI!$B$8) + IF(ABS(IF(ISNUMBER(SEARCH("Var", D596)), 1, IF(ISNUMBER(SEARCH("Gri", D596)), -1, 0)))=1, VERI_TABANI!E28*(1-0.928)*VERI_TABANI!$B$9, 0) + (VERI_TABANI!D28*B596*(VERI_TABANI!$B$13-VERI_TABANI!$B$14)*VERI_TABANI!G28) + (VERI_TABANI!D28*C596*(VERI_TABANI!$B$13-VERI_TABANI!$B$15)*VERI_TABANI!G28) + IF(ABS(IF(ISNUMBER(SEARCH("Var", D596)), 1, IF(ISNUMBER(SEARCH("Gri", D596)), -1, 0)))=1, VERI_TABANI!E28*(1-0.928)*0.00206091519919798*VERI_TABANI!G28, 0)))</f>
        <v/>
      </c>
      <c r="H596" s="169">
        <f>(((VERI_TABANI!D23*B596*(VERI_TABANI!$B$13-VERI_TABANI!$B$14)) + (VERI_TABANI!D23*C596*(VERI_TABANI!$B$13-VERI_TABANI!$B$15)) + IF(ISNUMBER(SEARCH("Var", D596)), VERI_TABANI!F23*(0.00202-VERI_TABANI!$B$16), IF(ISNUMBER(SEARCH("Gri", D596)), VERI_TABANI!F23*(0.00202-VERI_TABANI!$B$17), 0))) + ((VERI_TABANI!D24*B596*(VERI_TABANI!$B$13-VERI_TABANI!$B$14)) + (VERI_TABANI!D24*C596*(VERI_TABANI!$B$13-VERI_TABANI!$B$15)) + IF(ISNUMBER(SEARCH("Var", D596)), VERI_TABANI!F24*(0.00202-VERI_TABANI!$B$16), IF(ISNUMBER(SEARCH("Gri", D596)), VERI_TABANI!F24*(0.00202-VERI_TABANI!$B$17), 0))) + ((VERI_TABANI!D25*B596*(VERI_TABANI!$B$13-VERI_TABANI!$B$14)) + (VERI_TABANI!D25*C596*(VERI_TABANI!$B$13-VERI_TABANI!$B$15)) + IF(ISNUMBER(SEARCH("Var", D596)), VERI_TABANI!F25*(0.00202-VERI_TABANI!$B$16), IF(ISNUMBER(SEARCH("Gri", D596)), VERI_TABANI!F25*(0.00202-VERI_TABANI!$B$17), 0))) + ((VERI_TABANI!D26*B596*(VERI_TABANI!$B$13-VERI_TABANI!$B$14)) + (VERI_TABANI!D26*C596*(VERI_TABANI!$B$13-VERI_TABANI!$B$15)) + IF(ISNUMBER(SEARCH("Var", D596)), VERI_TABANI!F26*(0.00202-VERI_TABANI!$B$16), IF(ISNUMBER(SEARCH("Gri", D596)), VERI_TABANI!F26*(0.00202-VERI_TABANI!$B$17), 0))) + ((VERI_TABANI!D27*B596*(VERI_TABANI!$B$13-VERI_TABANI!$B$14)) + (VERI_TABANI!D27*C596*(VERI_TABANI!$B$13-VERI_TABANI!$B$15)) + IF(ISNUMBER(SEARCH("Var", D596)), VERI_TABANI!F27*(0.00202-VERI_TABANI!$B$16), IF(ISNUMBER(SEARCH("Gri", D596)), VERI_TABANI!F27*(0.00202-VERI_TABANI!$B$17), 0))) + ((VERI_TABANI!D28*B596*(VERI_TABANI!$B$13-VERI_TABANI!$B$14)) + (VERI_TABANI!D28*C596*(VERI_TABANI!$B$13-VERI_TABANI!$B$15)) + IF(ISNUMBER(SEARCH("Var", D596)), VERI_TABANI!F28*(0.00202-VERI_TABANI!$B$16), IF(ISNUMBER(SEARCH("Gri", D596)), VERI_TABANI!F28*(0.00202-VERI_TABANI!$B$17), 0))))</f>
        <v/>
      </c>
      <c r="I596" s="170">
        <f>IFERROR(((VERI_TABANI!$D$29*B596*VERI_TABANI!$B$14 + VERI_TABANI!$D$29*C596*VERI_TABANI!$B$15 + IF(ISNUMBER(SEARCH("Var", D596)), VERI_TABANI!$F$29*VERI_TABANI!$B$16, 0))) / (((VERI_TABANI!$D$29*B596 + VERI_TABANI!$D$29*C596)*VERI_TABANI!$B$13 + IF(ISNUMBER(SEARCH("Var", D596)), VERI_TABANI!$E$29*(1-0.928)*VERI_TABANI!$B$18, 0))), 0)</f>
        <v/>
      </c>
      <c r="J596" s="171">
        <f>IFERROR(F596/(G596/29), 0)</f>
        <v/>
      </c>
      <c r="K596" s="172">
        <f>IF(F596&gt;0, H596/F596, 0)</f>
        <v/>
      </c>
      <c r="L596" s="170">
        <f>IF(F596&gt;0, I596, 1000000000)</f>
        <v/>
      </c>
      <c r="M596" s="171">
        <f>ABS((B596+C596)-1)</f>
        <v/>
      </c>
      <c r="N596" s="170">
        <f>IF(F596&gt;0, (G596/29)/F596, 0)</f>
        <v/>
      </c>
      <c r="O596" s="168">
        <f>IF(AND((B596+C596)&gt;=1, ISNUMBER(SEARCH("Var", D596))), F596, 1000000000)</f>
        <v/>
      </c>
      <c r="P596" s="172">
        <f>IF(F596&gt;0, SQRT((F596/MAX(F$5:F$886))^2 + (1 - H596/MAX(H$5:H$886))^2 + (J596/MAX(J$5:J$886))^2), 1000000000)</f>
        <v/>
      </c>
      <c r="Q596" s="166">
        <f>IF(AND(ABS(B596-0.5)&lt;0.01, ABS(C596-0.5)&lt;0.01, ISNUMBER(SEARCH("Var", D596))), 1, 0)</f>
        <v/>
      </c>
      <c r="R596" s="171">
        <f>IF(F596&gt;0, J596, 1000000000)</f>
        <v/>
      </c>
      <c r="S596" s="101">
        <f>IF(AND(F596&lt;=DASHBOARD!$B$11, H596&gt;=DASHBOARD!$B$13), G596, -1000000000000)</f>
        <v/>
      </c>
      <c r="T596" s="101">
        <f>IF(AND(F596&lt;=DASHBOARD!$B$11, H596&gt;=DASHBOARD!$B$13), R596, 1000000000000)</f>
        <v/>
      </c>
      <c r="U596" s="101">
        <f>IF(AND(F596&lt;=DASHBOARD!$B$11, H596&gt;=DASHBOARD!$B$13), N596, -1000000000000)</f>
        <v/>
      </c>
      <c r="V596" s="101">
        <f>IF(AND(F596&lt;=DASHBOARD!$B$11, H596&gt;=DASHBOARD!$B$13), H596, -1000000000000)</f>
        <v/>
      </c>
      <c r="W596" s="101">
        <f>IF(AND(F596&lt;=DASHBOARD!$B$11, H596&gt;=DASHBOARD!$B$13), K596, -1000000000000)</f>
        <v/>
      </c>
      <c r="X596" s="101">
        <f>IF(AND(F596&lt;=DASHBOARD!$B$11, H596&gt;=DASHBOARD!$B$13), M596, 1000000000000)</f>
        <v/>
      </c>
      <c r="Y596" s="101">
        <f>IF(AND(F596&lt;=DASHBOARD!$B$10, H596&gt;=DASHBOARD!$B$11), L596, 1000000000000)</f>
        <v/>
      </c>
      <c r="Z596" s="101">
        <f>IF(AND(F596&lt;=DASHBOARD!$B$10, H596&gt;=DASHBOARD!$B$11), O596, 1000000000000)</f>
        <v/>
      </c>
      <c r="AA596" s="101">
        <f>IF(AND(F596&lt;=DASHBOARD!$B$10, H596&gt;=DASHBOARD!$B$11), P596, 1000000000000)</f>
        <v/>
      </c>
      <c r="AB596" s="101">
        <f>IF(AND(F596&lt;=DASHBOARD!$B$10, H596&gt;=DASHBOARD!$B$11), Q596, -1000000000000)</f>
        <v/>
      </c>
    </row>
    <row r="597" ht="15" customHeight="1" s="102">
      <c r="A597" s="166" t="n">
        <v>593</v>
      </c>
      <c r="B597" s="167" t="n">
        <v>1.4</v>
      </c>
      <c r="C597" s="167" t="n">
        <v>0.2</v>
      </c>
      <c r="D597" s="110" t="inlineStr">
        <is>
          <t>Yok (%0)</t>
        </is>
      </c>
      <c r="E597" s="110">
        <f>IF((B597+C597)&lt;=1, "Tam Mahsuplaşma (≤%100)", "Kısmi Satış (&gt;%100)")</f>
        <v/>
      </c>
      <c r="F597" s="168">
        <f>((VERI_TABANI!$D$29*B597/VERI_TABANI!$B$29)/VERI_TABANI!$B$3)*VERI_TABANI!$B$5 + ((VERI_TABANI!$D$29*C597/VERI_TABANI!$B$29)/VERI_TABANI!$B$4)*VERI_TABANI!$B$6 + IF(ISNUMBER(SEARCH("Var", D597)), (VERI_TABANI!$F$29/VERI_TABANI!$B$29)*(VERI_TABANI!$B$10+VERI_TABANI!$B$12), 0)</f>
        <v/>
      </c>
      <c r="G597" s="168">
        <f>(((MIN(VERI_TABANI!D23, VERI_TABANI!D23*B597)*VERI_TABANI!$B$7 + MAX(0, VERI_TABANI!D23*B597-VERI_TABANI!D23)*VERI_TABANI!$B$8) + (MIN(MAX(0, VERI_TABANI!D23-VERI_TABANI!D23*B597), VERI_TABANI!D23*C597)*VERI_TABANI!$B$7 + MAX(0, VERI_TABANI!D23*C597-MAX(0, VERI_TABANI!D23-VERI_TABANI!D23*B597))*VERI_TABANI!$B$8) + IF(ABS(IF(ISNUMBER(SEARCH("Var", D597)), 1, IF(ISNUMBER(SEARCH("Gri", D597)), -1, 0)))=1, VERI_TABANI!E23*(1-0.928)*VERI_TABANI!$B$9, 0) + (VERI_TABANI!D23*B597*(VERI_TABANI!$B$13-VERI_TABANI!$B$14)*VERI_TABANI!G23) + (VERI_TABANI!D23*C597*(VERI_TABANI!$B$13-VERI_TABANI!$B$15)*VERI_TABANI!G23) + IF(ABS(IF(ISNUMBER(SEARCH("Var", D597)), 1, IF(ISNUMBER(SEARCH("Gri", D597)), -1, 0)))=1, VERI_TABANI!E23*(1-0.928)*0.00206091519919798*VERI_TABANI!G23, 0)) + ((MIN(VERI_TABANI!D24, VERI_TABANI!D24*B597)*VERI_TABANI!$B$7 + MAX(0, VERI_TABANI!D24*B597-VERI_TABANI!D24)*VERI_TABANI!$B$8) + (MIN(MAX(0, VERI_TABANI!D24-VERI_TABANI!D24*B597), VERI_TABANI!D24*C597)*VERI_TABANI!$B$7 + MAX(0, VERI_TABANI!D24*C597-MAX(0, VERI_TABANI!D24-VERI_TABANI!D24*B597))*VERI_TABANI!$B$8) + IF(ABS(IF(ISNUMBER(SEARCH("Var", D597)), 1, IF(ISNUMBER(SEARCH("Gri", D597)), -1, 0)))=1, VERI_TABANI!E24*(1-0.928)*VERI_TABANI!$B$9, 0) + (VERI_TABANI!D24*B597*(VERI_TABANI!$B$13-VERI_TABANI!$B$14)*VERI_TABANI!G24) + (VERI_TABANI!D24*C597*(VERI_TABANI!$B$13-VERI_TABANI!$B$15)*VERI_TABANI!G24) + IF(ABS(IF(ISNUMBER(SEARCH("Var", D597)), 1, IF(ISNUMBER(SEARCH("Gri", D597)), -1, 0)))=1, VERI_TABANI!E24*(1-0.928)*0.00206091519919798*VERI_TABANI!G24, 0)) + ((MIN(VERI_TABANI!D25, VERI_TABANI!D25*B597)*VERI_TABANI!$B$7 + MAX(0, VERI_TABANI!D25*B597-VERI_TABANI!D25)*VERI_TABANI!$B$8) + (MIN(MAX(0, VERI_TABANI!D25-VERI_TABANI!D25*B597), VERI_TABANI!D25*C597)*VERI_TABANI!$B$7 + MAX(0, VERI_TABANI!D25*C597-MAX(0, VERI_TABANI!D25-VERI_TABANI!D25*B597))*VERI_TABANI!$B$8) + IF(ABS(IF(ISNUMBER(SEARCH("Var", D597)), 1, IF(ISNUMBER(SEARCH("Gri", D597)), -1, 0)))=1, VERI_TABANI!E25*(1-0.928)*VERI_TABANI!$B$9, 0) + (VERI_TABANI!D25*B597*(VERI_TABANI!$B$13-VERI_TABANI!$B$14)*VERI_TABANI!G25) + (VERI_TABANI!D25*C597*(VERI_TABANI!$B$13-VERI_TABANI!$B$15)*VERI_TABANI!G25) + IF(ABS(IF(ISNUMBER(SEARCH("Var", D597)), 1, IF(ISNUMBER(SEARCH("Gri", D597)), -1, 0)))=1, VERI_TABANI!E25*(1-0.928)*0.00206091519919798*VERI_TABANI!G25, 0)) + ((MIN(VERI_TABANI!D26, VERI_TABANI!D26*B597)*VERI_TABANI!$B$7 + MAX(0, VERI_TABANI!D26*B597-VERI_TABANI!D26)*VERI_TABANI!$B$8) + (MIN(MAX(0, VERI_TABANI!D26-VERI_TABANI!D26*B597), VERI_TABANI!D26*C597)*VERI_TABANI!$B$7 + MAX(0, VERI_TABANI!D26*C597-MAX(0, VERI_TABANI!D26-VERI_TABANI!D26*B597))*VERI_TABANI!$B$8) + IF(ABS(IF(ISNUMBER(SEARCH("Var", D597)), 1, IF(ISNUMBER(SEARCH("Gri", D597)), -1, 0)))=1, VERI_TABANI!E26*(1-0.928)*VERI_TABANI!$B$9, 0) + (VERI_TABANI!D26*B597*(VERI_TABANI!$B$13-VERI_TABANI!$B$14)*VERI_TABANI!G26) + (VERI_TABANI!D26*C597*(VERI_TABANI!$B$13-VERI_TABANI!$B$15)*VERI_TABANI!G26) + IF(ABS(IF(ISNUMBER(SEARCH("Var", D597)), 1, IF(ISNUMBER(SEARCH("Gri", D597)), -1, 0)))=1, VERI_TABANI!E26*(1-0.928)*0.00206091519919798*VERI_TABANI!G26, 0)) + ((MIN(VERI_TABANI!D27, VERI_TABANI!D27*B597)*VERI_TABANI!$B$7 + MAX(0, VERI_TABANI!D27*B597-VERI_TABANI!D27)*VERI_TABANI!$B$8) + (MIN(MAX(0, VERI_TABANI!D27-VERI_TABANI!D27*B597), VERI_TABANI!D27*C597)*VERI_TABANI!$B$7 + MAX(0, VERI_TABANI!D27*C597-MAX(0, VERI_TABANI!D27-VERI_TABANI!D27*B597))*VERI_TABANI!$B$8) + IF(ABS(IF(ISNUMBER(SEARCH("Var", D597)), 1, IF(ISNUMBER(SEARCH("Gri", D597)), -1, 0)))=1, VERI_TABANI!E27*(1-0.928)*VERI_TABANI!$B$9, 0) + (VERI_TABANI!D27*B597*(VERI_TABANI!$B$13-VERI_TABANI!$B$14)*VERI_TABANI!G27) + (VERI_TABANI!D27*C597*(VERI_TABANI!$B$13-VERI_TABANI!$B$15)*VERI_TABANI!G27) + IF(ABS(IF(ISNUMBER(SEARCH("Var", D597)), 1, IF(ISNUMBER(SEARCH("Gri", D597)), -1, 0)))=1, VERI_TABANI!E27*(1-0.928)*0.00206091519919798*VERI_TABANI!G27, 0)) + ((MIN(VERI_TABANI!D28, VERI_TABANI!D28*B597)*VERI_TABANI!$B$7 + MAX(0, VERI_TABANI!D28*B597-VERI_TABANI!D28)*VERI_TABANI!$B$8) + (MIN(MAX(0, VERI_TABANI!D28-VERI_TABANI!D28*B597), VERI_TABANI!D28*C597)*VERI_TABANI!$B$7 + MAX(0, VERI_TABANI!D28*C597-MAX(0, VERI_TABANI!D28-VERI_TABANI!D28*B597))*VERI_TABANI!$B$8) + IF(ABS(IF(ISNUMBER(SEARCH("Var", D597)), 1, IF(ISNUMBER(SEARCH("Gri", D597)), -1, 0)))=1, VERI_TABANI!E28*(1-0.928)*VERI_TABANI!$B$9, 0) + (VERI_TABANI!D28*B597*(VERI_TABANI!$B$13-VERI_TABANI!$B$14)*VERI_TABANI!G28) + (VERI_TABANI!D28*C597*(VERI_TABANI!$B$13-VERI_TABANI!$B$15)*VERI_TABANI!G28) + IF(ABS(IF(ISNUMBER(SEARCH("Var", D597)), 1, IF(ISNUMBER(SEARCH("Gri", D597)), -1, 0)))=1, VERI_TABANI!E28*(1-0.928)*0.00206091519919798*VERI_TABANI!G28, 0)))</f>
        <v/>
      </c>
      <c r="H597" s="169">
        <f>(((VERI_TABANI!D23*B597*(VERI_TABANI!$B$13-VERI_TABANI!$B$14)) + (VERI_TABANI!D23*C597*(VERI_TABANI!$B$13-VERI_TABANI!$B$15)) + IF(ISNUMBER(SEARCH("Var", D597)), VERI_TABANI!F23*(0.00202-VERI_TABANI!$B$16), IF(ISNUMBER(SEARCH("Gri", D597)), VERI_TABANI!F23*(0.00202-VERI_TABANI!$B$17), 0))) + ((VERI_TABANI!D24*B597*(VERI_TABANI!$B$13-VERI_TABANI!$B$14)) + (VERI_TABANI!D24*C597*(VERI_TABANI!$B$13-VERI_TABANI!$B$15)) + IF(ISNUMBER(SEARCH("Var", D597)), VERI_TABANI!F24*(0.00202-VERI_TABANI!$B$16), IF(ISNUMBER(SEARCH("Gri", D597)), VERI_TABANI!F24*(0.00202-VERI_TABANI!$B$17), 0))) + ((VERI_TABANI!D25*B597*(VERI_TABANI!$B$13-VERI_TABANI!$B$14)) + (VERI_TABANI!D25*C597*(VERI_TABANI!$B$13-VERI_TABANI!$B$15)) + IF(ISNUMBER(SEARCH("Var", D597)), VERI_TABANI!F25*(0.00202-VERI_TABANI!$B$16), IF(ISNUMBER(SEARCH("Gri", D597)), VERI_TABANI!F25*(0.00202-VERI_TABANI!$B$17), 0))) + ((VERI_TABANI!D26*B597*(VERI_TABANI!$B$13-VERI_TABANI!$B$14)) + (VERI_TABANI!D26*C597*(VERI_TABANI!$B$13-VERI_TABANI!$B$15)) + IF(ISNUMBER(SEARCH("Var", D597)), VERI_TABANI!F26*(0.00202-VERI_TABANI!$B$16), IF(ISNUMBER(SEARCH("Gri", D597)), VERI_TABANI!F26*(0.00202-VERI_TABANI!$B$17), 0))) + ((VERI_TABANI!D27*B597*(VERI_TABANI!$B$13-VERI_TABANI!$B$14)) + (VERI_TABANI!D27*C597*(VERI_TABANI!$B$13-VERI_TABANI!$B$15)) + IF(ISNUMBER(SEARCH("Var", D597)), VERI_TABANI!F27*(0.00202-VERI_TABANI!$B$16), IF(ISNUMBER(SEARCH("Gri", D597)), VERI_TABANI!F27*(0.00202-VERI_TABANI!$B$17), 0))) + ((VERI_TABANI!D28*B597*(VERI_TABANI!$B$13-VERI_TABANI!$B$14)) + (VERI_TABANI!D28*C597*(VERI_TABANI!$B$13-VERI_TABANI!$B$15)) + IF(ISNUMBER(SEARCH("Var", D597)), VERI_TABANI!F28*(0.00202-VERI_TABANI!$B$16), IF(ISNUMBER(SEARCH("Gri", D597)), VERI_TABANI!F28*(0.00202-VERI_TABANI!$B$17), 0))))</f>
        <v/>
      </c>
      <c r="I597" s="170">
        <f>IFERROR(((VERI_TABANI!$D$29*B597*VERI_TABANI!$B$14 + VERI_TABANI!$D$29*C597*VERI_TABANI!$B$15 + IF(ISNUMBER(SEARCH("Var", D597)), VERI_TABANI!$F$29*VERI_TABANI!$B$16, 0))) / (((VERI_TABANI!$D$29*B597 + VERI_TABANI!$D$29*C597)*VERI_TABANI!$B$13 + IF(ISNUMBER(SEARCH("Var", D597)), VERI_TABANI!$E$29*(1-0.928)*VERI_TABANI!$B$18, 0))), 0)</f>
        <v/>
      </c>
      <c r="J597" s="171">
        <f>IFERROR(F597/(G597/29), 0)</f>
        <v/>
      </c>
      <c r="K597" s="172">
        <f>IF(F597&gt;0, H597/F597, 0)</f>
        <v/>
      </c>
      <c r="L597" s="170">
        <f>IF(F597&gt;0, I597, 1000000000)</f>
        <v/>
      </c>
      <c r="M597" s="171">
        <f>ABS((B597+C597)-1)</f>
        <v/>
      </c>
      <c r="N597" s="170">
        <f>IF(F597&gt;0, (G597/29)/F597, 0)</f>
        <v/>
      </c>
      <c r="O597" s="168">
        <f>IF(AND((B597+C597)&gt;=1, ISNUMBER(SEARCH("Var", D597))), F597, 1000000000)</f>
        <v/>
      </c>
      <c r="P597" s="172">
        <f>IF(F597&gt;0, SQRT((F597/MAX(F$5:F$886))^2 + (1 - H597/MAX(H$5:H$886))^2 + (J597/MAX(J$5:J$886))^2), 1000000000)</f>
        <v/>
      </c>
      <c r="Q597" s="166">
        <f>IF(AND(ABS(B597-0.5)&lt;0.01, ABS(C597-0.5)&lt;0.01, ISNUMBER(SEARCH("Var", D597))), 1, 0)</f>
        <v/>
      </c>
      <c r="R597" s="171">
        <f>IF(F597&gt;0, J597, 1000000000)</f>
        <v/>
      </c>
      <c r="S597" s="101">
        <f>IF(AND(F597&lt;=DASHBOARD!$B$11, H597&gt;=DASHBOARD!$B$13), G597, -1000000000000)</f>
        <v/>
      </c>
      <c r="T597" s="101">
        <f>IF(AND(F597&lt;=DASHBOARD!$B$11, H597&gt;=DASHBOARD!$B$13), R597, 1000000000000)</f>
        <v/>
      </c>
      <c r="U597" s="101">
        <f>IF(AND(F597&lt;=DASHBOARD!$B$11, H597&gt;=DASHBOARD!$B$13), N597, -1000000000000)</f>
        <v/>
      </c>
      <c r="V597" s="101">
        <f>IF(AND(F597&lt;=DASHBOARD!$B$11, H597&gt;=DASHBOARD!$B$13), H597, -1000000000000)</f>
        <v/>
      </c>
      <c r="W597" s="101">
        <f>IF(AND(F597&lt;=DASHBOARD!$B$11, H597&gt;=DASHBOARD!$B$13), K597, -1000000000000)</f>
        <v/>
      </c>
      <c r="X597" s="101">
        <f>IF(AND(F597&lt;=DASHBOARD!$B$11, H597&gt;=DASHBOARD!$B$13), M597, 1000000000000)</f>
        <v/>
      </c>
      <c r="Y597" s="101">
        <f>IF(AND(F597&lt;=DASHBOARD!$B$10, H597&gt;=DASHBOARD!$B$11), L597, 1000000000000)</f>
        <v/>
      </c>
      <c r="Z597" s="101">
        <f>IF(AND(F597&lt;=DASHBOARD!$B$10, H597&gt;=DASHBOARD!$B$11), O597, 1000000000000)</f>
        <v/>
      </c>
      <c r="AA597" s="101">
        <f>IF(AND(F597&lt;=DASHBOARD!$B$10, H597&gt;=DASHBOARD!$B$11), P597, 1000000000000)</f>
        <v/>
      </c>
      <c r="AB597" s="101">
        <f>IF(AND(F597&lt;=DASHBOARD!$B$10, H597&gt;=DASHBOARD!$B$11), Q597, -1000000000000)</f>
        <v/>
      </c>
    </row>
    <row r="598" ht="15" customHeight="1" s="102">
      <c r="A598" s="166" t="n">
        <v>594</v>
      </c>
      <c r="B598" s="167" t="n">
        <v>1.4</v>
      </c>
      <c r="C598" s="167" t="n">
        <v>0.2</v>
      </c>
      <c r="D598" s="110" t="inlineStr">
        <is>
          <t>Var (%20)</t>
        </is>
      </c>
      <c r="E598" s="110">
        <f>IF((B598+C598)&lt;=1, "Tam Mahsuplaşma (≤%100)", "Kısmi Satış (&gt;%100)")</f>
        <v/>
      </c>
      <c r="F598" s="168">
        <f>((VERI_TABANI!$D$29*B598/VERI_TABANI!$B$29)/VERI_TABANI!$B$3)*VERI_TABANI!$B$5 + ((VERI_TABANI!$D$29*C598/VERI_TABANI!$B$29)/VERI_TABANI!$B$4)*VERI_TABANI!$B$6 + IF(ISNUMBER(SEARCH("Var", D598)), (VERI_TABANI!$F$29/VERI_TABANI!$B$29)*(VERI_TABANI!$B$10+VERI_TABANI!$B$12), 0)</f>
        <v/>
      </c>
      <c r="G598" s="168">
        <f>(((MIN(VERI_TABANI!D23, VERI_TABANI!D23*B598)*VERI_TABANI!$B$7 + MAX(0, VERI_TABANI!D23*B598-VERI_TABANI!D23)*VERI_TABANI!$B$8) + (MIN(MAX(0, VERI_TABANI!D23-VERI_TABANI!D23*B598), VERI_TABANI!D23*C598)*VERI_TABANI!$B$7 + MAX(0, VERI_TABANI!D23*C598-MAX(0, VERI_TABANI!D23-VERI_TABANI!D23*B598))*VERI_TABANI!$B$8) + IF(ABS(IF(ISNUMBER(SEARCH("Var", D598)), 1, IF(ISNUMBER(SEARCH("Gri", D598)), -1, 0)))=1, VERI_TABANI!E23*(1-0.928)*VERI_TABANI!$B$9, 0) + (VERI_TABANI!D23*B598*(VERI_TABANI!$B$13-VERI_TABANI!$B$14)*VERI_TABANI!G23) + (VERI_TABANI!D23*C598*(VERI_TABANI!$B$13-VERI_TABANI!$B$15)*VERI_TABANI!G23) + IF(ABS(IF(ISNUMBER(SEARCH("Var", D598)), 1, IF(ISNUMBER(SEARCH("Gri", D598)), -1, 0)))=1, VERI_TABANI!E23*(1-0.928)*0.00206091519919798*VERI_TABANI!G23, 0)) + ((MIN(VERI_TABANI!D24, VERI_TABANI!D24*B598)*VERI_TABANI!$B$7 + MAX(0, VERI_TABANI!D24*B598-VERI_TABANI!D24)*VERI_TABANI!$B$8) + (MIN(MAX(0, VERI_TABANI!D24-VERI_TABANI!D24*B598), VERI_TABANI!D24*C598)*VERI_TABANI!$B$7 + MAX(0, VERI_TABANI!D24*C598-MAX(0, VERI_TABANI!D24-VERI_TABANI!D24*B598))*VERI_TABANI!$B$8) + IF(ABS(IF(ISNUMBER(SEARCH("Var", D598)), 1, IF(ISNUMBER(SEARCH("Gri", D598)), -1, 0)))=1, VERI_TABANI!E24*(1-0.928)*VERI_TABANI!$B$9, 0) + (VERI_TABANI!D24*B598*(VERI_TABANI!$B$13-VERI_TABANI!$B$14)*VERI_TABANI!G24) + (VERI_TABANI!D24*C598*(VERI_TABANI!$B$13-VERI_TABANI!$B$15)*VERI_TABANI!G24) + IF(ABS(IF(ISNUMBER(SEARCH("Var", D598)), 1, IF(ISNUMBER(SEARCH("Gri", D598)), -1, 0)))=1, VERI_TABANI!E24*(1-0.928)*0.00206091519919798*VERI_TABANI!G24, 0)) + ((MIN(VERI_TABANI!D25, VERI_TABANI!D25*B598)*VERI_TABANI!$B$7 + MAX(0, VERI_TABANI!D25*B598-VERI_TABANI!D25)*VERI_TABANI!$B$8) + (MIN(MAX(0, VERI_TABANI!D25-VERI_TABANI!D25*B598), VERI_TABANI!D25*C598)*VERI_TABANI!$B$7 + MAX(0, VERI_TABANI!D25*C598-MAX(0, VERI_TABANI!D25-VERI_TABANI!D25*B598))*VERI_TABANI!$B$8) + IF(ABS(IF(ISNUMBER(SEARCH("Var", D598)), 1, IF(ISNUMBER(SEARCH("Gri", D598)), -1, 0)))=1, VERI_TABANI!E25*(1-0.928)*VERI_TABANI!$B$9, 0) + (VERI_TABANI!D25*B598*(VERI_TABANI!$B$13-VERI_TABANI!$B$14)*VERI_TABANI!G25) + (VERI_TABANI!D25*C598*(VERI_TABANI!$B$13-VERI_TABANI!$B$15)*VERI_TABANI!G25) + IF(ABS(IF(ISNUMBER(SEARCH("Var", D598)), 1, IF(ISNUMBER(SEARCH("Gri", D598)), -1, 0)))=1, VERI_TABANI!E25*(1-0.928)*0.00206091519919798*VERI_TABANI!G25, 0)) + ((MIN(VERI_TABANI!D26, VERI_TABANI!D26*B598)*VERI_TABANI!$B$7 + MAX(0, VERI_TABANI!D26*B598-VERI_TABANI!D26)*VERI_TABANI!$B$8) + (MIN(MAX(0, VERI_TABANI!D26-VERI_TABANI!D26*B598), VERI_TABANI!D26*C598)*VERI_TABANI!$B$7 + MAX(0, VERI_TABANI!D26*C598-MAX(0, VERI_TABANI!D26-VERI_TABANI!D26*B598))*VERI_TABANI!$B$8) + IF(ABS(IF(ISNUMBER(SEARCH("Var", D598)), 1, IF(ISNUMBER(SEARCH("Gri", D598)), -1, 0)))=1, VERI_TABANI!E26*(1-0.928)*VERI_TABANI!$B$9, 0) + (VERI_TABANI!D26*B598*(VERI_TABANI!$B$13-VERI_TABANI!$B$14)*VERI_TABANI!G26) + (VERI_TABANI!D26*C598*(VERI_TABANI!$B$13-VERI_TABANI!$B$15)*VERI_TABANI!G26) + IF(ABS(IF(ISNUMBER(SEARCH("Var", D598)), 1, IF(ISNUMBER(SEARCH("Gri", D598)), -1, 0)))=1, VERI_TABANI!E26*(1-0.928)*0.00206091519919798*VERI_TABANI!G26, 0)) + ((MIN(VERI_TABANI!D27, VERI_TABANI!D27*B598)*VERI_TABANI!$B$7 + MAX(0, VERI_TABANI!D27*B598-VERI_TABANI!D27)*VERI_TABANI!$B$8) + (MIN(MAX(0, VERI_TABANI!D27-VERI_TABANI!D27*B598), VERI_TABANI!D27*C598)*VERI_TABANI!$B$7 + MAX(0, VERI_TABANI!D27*C598-MAX(0, VERI_TABANI!D27-VERI_TABANI!D27*B598))*VERI_TABANI!$B$8) + IF(ABS(IF(ISNUMBER(SEARCH("Var", D598)), 1, IF(ISNUMBER(SEARCH("Gri", D598)), -1, 0)))=1, VERI_TABANI!E27*(1-0.928)*VERI_TABANI!$B$9, 0) + (VERI_TABANI!D27*B598*(VERI_TABANI!$B$13-VERI_TABANI!$B$14)*VERI_TABANI!G27) + (VERI_TABANI!D27*C598*(VERI_TABANI!$B$13-VERI_TABANI!$B$15)*VERI_TABANI!G27) + IF(ABS(IF(ISNUMBER(SEARCH("Var", D598)), 1, IF(ISNUMBER(SEARCH("Gri", D598)), -1, 0)))=1, VERI_TABANI!E27*(1-0.928)*0.00206091519919798*VERI_TABANI!G27, 0)) + ((MIN(VERI_TABANI!D28, VERI_TABANI!D28*B598)*VERI_TABANI!$B$7 + MAX(0, VERI_TABANI!D28*B598-VERI_TABANI!D28)*VERI_TABANI!$B$8) + (MIN(MAX(0, VERI_TABANI!D28-VERI_TABANI!D28*B598), VERI_TABANI!D28*C598)*VERI_TABANI!$B$7 + MAX(0, VERI_TABANI!D28*C598-MAX(0, VERI_TABANI!D28-VERI_TABANI!D28*B598))*VERI_TABANI!$B$8) + IF(ABS(IF(ISNUMBER(SEARCH("Var", D598)), 1, IF(ISNUMBER(SEARCH("Gri", D598)), -1, 0)))=1, VERI_TABANI!E28*(1-0.928)*VERI_TABANI!$B$9, 0) + (VERI_TABANI!D28*B598*(VERI_TABANI!$B$13-VERI_TABANI!$B$14)*VERI_TABANI!G28) + (VERI_TABANI!D28*C598*(VERI_TABANI!$B$13-VERI_TABANI!$B$15)*VERI_TABANI!G28) + IF(ABS(IF(ISNUMBER(SEARCH("Var", D598)), 1, IF(ISNUMBER(SEARCH("Gri", D598)), -1, 0)))=1, VERI_TABANI!E28*(1-0.928)*0.00206091519919798*VERI_TABANI!G28, 0)))</f>
        <v/>
      </c>
      <c r="H598" s="169">
        <f>(((VERI_TABANI!D23*B598*(VERI_TABANI!$B$13-VERI_TABANI!$B$14)) + (VERI_TABANI!D23*C598*(VERI_TABANI!$B$13-VERI_TABANI!$B$15)) + IF(ISNUMBER(SEARCH("Var", D598)), VERI_TABANI!F23*(0.00202-VERI_TABANI!$B$16), IF(ISNUMBER(SEARCH("Gri", D598)), VERI_TABANI!F23*(0.00202-VERI_TABANI!$B$17), 0))) + ((VERI_TABANI!D24*B598*(VERI_TABANI!$B$13-VERI_TABANI!$B$14)) + (VERI_TABANI!D24*C598*(VERI_TABANI!$B$13-VERI_TABANI!$B$15)) + IF(ISNUMBER(SEARCH("Var", D598)), VERI_TABANI!F24*(0.00202-VERI_TABANI!$B$16), IF(ISNUMBER(SEARCH("Gri", D598)), VERI_TABANI!F24*(0.00202-VERI_TABANI!$B$17), 0))) + ((VERI_TABANI!D25*B598*(VERI_TABANI!$B$13-VERI_TABANI!$B$14)) + (VERI_TABANI!D25*C598*(VERI_TABANI!$B$13-VERI_TABANI!$B$15)) + IF(ISNUMBER(SEARCH("Var", D598)), VERI_TABANI!F25*(0.00202-VERI_TABANI!$B$16), IF(ISNUMBER(SEARCH("Gri", D598)), VERI_TABANI!F25*(0.00202-VERI_TABANI!$B$17), 0))) + ((VERI_TABANI!D26*B598*(VERI_TABANI!$B$13-VERI_TABANI!$B$14)) + (VERI_TABANI!D26*C598*(VERI_TABANI!$B$13-VERI_TABANI!$B$15)) + IF(ISNUMBER(SEARCH("Var", D598)), VERI_TABANI!F26*(0.00202-VERI_TABANI!$B$16), IF(ISNUMBER(SEARCH("Gri", D598)), VERI_TABANI!F26*(0.00202-VERI_TABANI!$B$17), 0))) + ((VERI_TABANI!D27*B598*(VERI_TABANI!$B$13-VERI_TABANI!$B$14)) + (VERI_TABANI!D27*C598*(VERI_TABANI!$B$13-VERI_TABANI!$B$15)) + IF(ISNUMBER(SEARCH("Var", D598)), VERI_TABANI!F27*(0.00202-VERI_TABANI!$B$16), IF(ISNUMBER(SEARCH("Gri", D598)), VERI_TABANI!F27*(0.00202-VERI_TABANI!$B$17), 0))) + ((VERI_TABANI!D28*B598*(VERI_TABANI!$B$13-VERI_TABANI!$B$14)) + (VERI_TABANI!D28*C598*(VERI_TABANI!$B$13-VERI_TABANI!$B$15)) + IF(ISNUMBER(SEARCH("Var", D598)), VERI_TABANI!F28*(0.00202-VERI_TABANI!$B$16), IF(ISNUMBER(SEARCH("Gri", D598)), VERI_TABANI!F28*(0.00202-VERI_TABANI!$B$17), 0))))</f>
        <v/>
      </c>
      <c r="I598" s="170">
        <f>IFERROR(((VERI_TABANI!$D$29*B598*VERI_TABANI!$B$14 + VERI_TABANI!$D$29*C598*VERI_TABANI!$B$15 + IF(ISNUMBER(SEARCH("Var", D598)), VERI_TABANI!$F$29*VERI_TABANI!$B$16, 0))) / (((VERI_TABANI!$D$29*B598 + VERI_TABANI!$D$29*C598)*VERI_TABANI!$B$13 + IF(ISNUMBER(SEARCH("Var", D598)), VERI_TABANI!$E$29*(1-0.928)*VERI_TABANI!$B$18, 0))), 0)</f>
        <v/>
      </c>
      <c r="J598" s="171">
        <f>IFERROR(F598/(G598/29), 0)</f>
        <v/>
      </c>
      <c r="K598" s="172">
        <f>IF(F598&gt;0, H598/F598, 0)</f>
        <v/>
      </c>
      <c r="L598" s="170">
        <f>IF(F598&gt;0, I598, 1000000000)</f>
        <v/>
      </c>
      <c r="M598" s="171">
        <f>ABS((B598+C598)-1)</f>
        <v/>
      </c>
      <c r="N598" s="170">
        <f>IF(F598&gt;0, (G598/29)/F598, 0)</f>
        <v/>
      </c>
      <c r="O598" s="168">
        <f>IF(AND((B598+C598)&gt;=1, ISNUMBER(SEARCH("Var", D598))), F598, 1000000000)</f>
        <v/>
      </c>
      <c r="P598" s="172">
        <f>IF(F598&gt;0, SQRT((F598/MAX(F$5:F$886))^2 + (1 - H598/MAX(H$5:H$886))^2 + (J598/MAX(J$5:J$886))^2), 1000000000)</f>
        <v/>
      </c>
      <c r="Q598" s="166">
        <f>IF(AND(ABS(B598-0.5)&lt;0.01, ABS(C598-0.5)&lt;0.01, ISNUMBER(SEARCH("Var", D598))), 1, 0)</f>
        <v/>
      </c>
      <c r="R598" s="171">
        <f>IF(F598&gt;0, J598, 1000000000)</f>
        <v/>
      </c>
      <c r="S598" s="101">
        <f>IF(AND(F598&lt;=DASHBOARD!$B$11, H598&gt;=DASHBOARD!$B$13), G598, -1000000000000)</f>
        <v/>
      </c>
      <c r="T598" s="101">
        <f>IF(AND(F598&lt;=DASHBOARD!$B$11, H598&gt;=DASHBOARD!$B$13), R598, 1000000000000)</f>
        <v/>
      </c>
      <c r="U598" s="101">
        <f>IF(AND(F598&lt;=DASHBOARD!$B$11, H598&gt;=DASHBOARD!$B$13), N598, -1000000000000)</f>
        <v/>
      </c>
      <c r="V598" s="101">
        <f>IF(AND(F598&lt;=DASHBOARD!$B$11, H598&gt;=DASHBOARD!$B$13), H598, -1000000000000)</f>
        <v/>
      </c>
      <c r="W598" s="101">
        <f>IF(AND(F598&lt;=DASHBOARD!$B$11, H598&gt;=DASHBOARD!$B$13), K598, -1000000000000)</f>
        <v/>
      </c>
      <c r="X598" s="101">
        <f>IF(AND(F598&lt;=DASHBOARD!$B$11, H598&gt;=DASHBOARD!$B$13), M598, 1000000000000)</f>
        <v/>
      </c>
      <c r="Y598" s="101">
        <f>IF(AND(F598&lt;=DASHBOARD!$B$10, H598&gt;=DASHBOARD!$B$11), L598, 1000000000000)</f>
        <v/>
      </c>
      <c r="Z598" s="101">
        <f>IF(AND(F598&lt;=DASHBOARD!$B$10, H598&gt;=DASHBOARD!$B$11), O598, 1000000000000)</f>
        <v/>
      </c>
      <c r="AA598" s="101">
        <f>IF(AND(F598&lt;=DASHBOARD!$B$10, H598&gt;=DASHBOARD!$B$11), P598, 1000000000000)</f>
        <v/>
      </c>
      <c r="AB598" s="101">
        <f>IF(AND(F598&lt;=DASHBOARD!$B$10, H598&gt;=DASHBOARD!$B$11), Q598, -1000000000000)</f>
        <v/>
      </c>
    </row>
    <row r="599" ht="15" customHeight="1" s="102">
      <c r="A599" s="166" t="n">
        <v>595</v>
      </c>
      <c r="B599" s="167" t="n">
        <v>1.4</v>
      </c>
      <c r="C599" s="167" t="n">
        <v>0.3</v>
      </c>
      <c r="D599" s="110" t="inlineStr">
        <is>
          <t>Yok (%0)</t>
        </is>
      </c>
      <c r="E599" s="110">
        <f>IF((B599+C599)&lt;=1, "Tam Mahsuplaşma (≤%100)", "Kısmi Satış (&gt;%100)")</f>
        <v/>
      </c>
      <c r="F599" s="168">
        <f>((VERI_TABANI!$D$29*B599/VERI_TABANI!$B$29)/VERI_TABANI!$B$3)*VERI_TABANI!$B$5 + ((VERI_TABANI!$D$29*C599/VERI_TABANI!$B$29)/VERI_TABANI!$B$4)*VERI_TABANI!$B$6 + IF(ISNUMBER(SEARCH("Var", D599)), (VERI_TABANI!$F$29/VERI_TABANI!$B$29)*(VERI_TABANI!$B$10+VERI_TABANI!$B$12), 0)</f>
        <v/>
      </c>
      <c r="G599" s="168">
        <f>(((MIN(VERI_TABANI!D23, VERI_TABANI!D23*B599)*VERI_TABANI!$B$7 + MAX(0, VERI_TABANI!D23*B599-VERI_TABANI!D23)*VERI_TABANI!$B$8) + (MIN(MAX(0, VERI_TABANI!D23-VERI_TABANI!D23*B599), VERI_TABANI!D23*C599)*VERI_TABANI!$B$7 + MAX(0, VERI_TABANI!D23*C599-MAX(0, VERI_TABANI!D23-VERI_TABANI!D23*B599))*VERI_TABANI!$B$8) + IF(ABS(IF(ISNUMBER(SEARCH("Var", D599)), 1, IF(ISNUMBER(SEARCH("Gri", D599)), -1, 0)))=1, VERI_TABANI!E23*(1-0.928)*VERI_TABANI!$B$9, 0) + (VERI_TABANI!D23*B599*(VERI_TABANI!$B$13-VERI_TABANI!$B$14)*VERI_TABANI!G23) + (VERI_TABANI!D23*C599*(VERI_TABANI!$B$13-VERI_TABANI!$B$15)*VERI_TABANI!G23) + IF(ABS(IF(ISNUMBER(SEARCH("Var", D599)), 1, IF(ISNUMBER(SEARCH("Gri", D599)), -1, 0)))=1, VERI_TABANI!E23*(1-0.928)*0.00206091519919798*VERI_TABANI!G23, 0)) + ((MIN(VERI_TABANI!D24, VERI_TABANI!D24*B599)*VERI_TABANI!$B$7 + MAX(0, VERI_TABANI!D24*B599-VERI_TABANI!D24)*VERI_TABANI!$B$8) + (MIN(MAX(0, VERI_TABANI!D24-VERI_TABANI!D24*B599), VERI_TABANI!D24*C599)*VERI_TABANI!$B$7 + MAX(0, VERI_TABANI!D24*C599-MAX(0, VERI_TABANI!D24-VERI_TABANI!D24*B599))*VERI_TABANI!$B$8) + IF(ABS(IF(ISNUMBER(SEARCH("Var", D599)), 1, IF(ISNUMBER(SEARCH("Gri", D599)), -1, 0)))=1, VERI_TABANI!E24*(1-0.928)*VERI_TABANI!$B$9, 0) + (VERI_TABANI!D24*B599*(VERI_TABANI!$B$13-VERI_TABANI!$B$14)*VERI_TABANI!G24) + (VERI_TABANI!D24*C599*(VERI_TABANI!$B$13-VERI_TABANI!$B$15)*VERI_TABANI!G24) + IF(ABS(IF(ISNUMBER(SEARCH("Var", D599)), 1, IF(ISNUMBER(SEARCH("Gri", D599)), -1, 0)))=1, VERI_TABANI!E24*(1-0.928)*0.00206091519919798*VERI_TABANI!G24, 0)) + ((MIN(VERI_TABANI!D25, VERI_TABANI!D25*B599)*VERI_TABANI!$B$7 + MAX(0, VERI_TABANI!D25*B599-VERI_TABANI!D25)*VERI_TABANI!$B$8) + (MIN(MAX(0, VERI_TABANI!D25-VERI_TABANI!D25*B599), VERI_TABANI!D25*C599)*VERI_TABANI!$B$7 + MAX(0, VERI_TABANI!D25*C599-MAX(0, VERI_TABANI!D25-VERI_TABANI!D25*B599))*VERI_TABANI!$B$8) + IF(ABS(IF(ISNUMBER(SEARCH("Var", D599)), 1, IF(ISNUMBER(SEARCH("Gri", D599)), -1, 0)))=1, VERI_TABANI!E25*(1-0.928)*VERI_TABANI!$B$9, 0) + (VERI_TABANI!D25*B599*(VERI_TABANI!$B$13-VERI_TABANI!$B$14)*VERI_TABANI!G25) + (VERI_TABANI!D25*C599*(VERI_TABANI!$B$13-VERI_TABANI!$B$15)*VERI_TABANI!G25) + IF(ABS(IF(ISNUMBER(SEARCH("Var", D599)), 1, IF(ISNUMBER(SEARCH("Gri", D599)), -1, 0)))=1, VERI_TABANI!E25*(1-0.928)*0.00206091519919798*VERI_TABANI!G25, 0)) + ((MIN(VERI_TABANI!D26, VERI_TABANI!D26*B599)*VERI_TABANI!$B$7 + MAX(0, VERI_TABANI!D26*B599-VERI_TABANI!D26)*VERI_TABANI!$B$8) + (MIN(MAX(0, VERI_TABANI!D26-VERI_TABANI!D26*B599), VERI_TABANI!D26*C599)*VERI_TABANI!$B$7 + MAX(0, VERI_TABANI!D26*C599-MAX(0, VERI_TABANI!D26-VERI_TABANI!D26*B599))*VERI_TABANI!$B$8) + IF(ABS(IF(ISNUMBER(SEARCH("Var", D599)), 1, IF(ISNUMBER(SEARCH("Gri", D599)), -1, 0)))=1, VERI_TABANI!E26*(1-0.928)*VERI_TABANI!$B$9, 0) + (VERI_TABANI!D26*B599*(VERI_TABANI!$B$13-VERI_TABANI!$B$14)*VERI_TABANI!G26) + (VERI_TABANI!D26*C599*(VERI_TABANI!$B$13-VERI_TABANI!$B$15)*VERI_TABANI!G26) + IF(ABS(IF(ISNUMBER(SEARCH("Var", D599)), 1, IF(ISNUMBER(SEARCH("Gri", D599)), -1, 0)))=1, VERI_TABANI!E26*(1-0.928)*0.00206091519919798*VERI_TABANI!G26, 0)) + ((MIN(VERI_TABANI!D27, VERI_TABANI!D27*B599)*VERI_TABANI!$B$7 + MAX(0, VERI_TABANI!D27*B599-VERI_TABANI!D27)*VERI_TABANI!$B$8) + (MIN(MAX(0, VERI_TABANI!D27-VERI_TABANI!D27*B599), VERI_TABANI!D27*C599)*VERI_TABANI!$B$7 + MAX(0, VERI_TABANI!D27*C599-MAX(0, VERI_TABANI!D27-VERI_TABANI!D27*B599))*VERI_TABANI!$B$8) + IF(ABS(IF(ISNUMBER(SEARCH("Var", D599)), 1, IF(ISNUMBER(SEARCH("Gri", D599)), -1, 0)))=1, VERI_TABANI!E27*(1-0.928)*VERI_TABANI!$B$9, 0) + (VERI_TABANI!D27*B599*(VERI_TABANI!$B$13-VERI_TABANI!$B$14)*VERI_TABANI!G27) + (VERI_TABANI!D27*C599*(VERI_TABANI!$B$13-VERI_TABANI!$B$15)*VERI_TABANI!G27) + IF(ABS(IF(ISNUMBER(SEARCH("Var", D599)), 1, IF(ISNUMBER(SEARCH("Gri", D599)), -1, 0)))=1, VERI_TABANI!E27*(1-0.928)*0.00206091519919798*VERI_TABANI!G27, 0)) + ((MIN(VERI_TABANI!D28, VERI_TABANI!D28*B599)*VERI_TABANI!$B$7 + MAX(0, VERI_TABANI!D28*B599-VERI_TABANI!D28)*VERI_TABANI!$B$8) + (MIN(MAX(0, VERI_TABANI!D28-VERI_TABANI!D28*B599), VERI_TABANI!D28*C599)*VERI_TABANI!$B$7 + MAX(0, VERI_TABANI!D28*C599-MAX(0, VERI_TABANI!D28-VERI_TABANI!D28*B599))*VERI_TABANI!$B$8) + IF(ABS(IF(ISNUMBER(SEARCH("Var", D599)), 1, IF(ISNUMBER(SEARCH("Gri", D599)), -1, 0)))=1, VERI_TABANI!E28*(1-0.928)*VERI_TABANI!$B$9, 0) + (VERI_TABANI!D28*B599*(VERI_TABANI!$B$13-VERI_TABANI!$B$14)*VERI_TABANI!G28) + (VERI_TABANI!D28*C599*(VERI_TABANI!$B$13-VERI_TABANI!$B$15)*VERI_TABANI!G28) + IF(ABS(IF(ISNUMBER(SEARCH("Var", D599)), 1, IF(ISNUMBER(SEARCH("Gri", D599)), -1, 0)))=1, VERI_TABANI!E28*(1-0.928)*0.00206091519919798*VERI_TABANI!G28, 0)))</f>
        <v/>
      </c>
      <c r="H599" s="169">
        <f>(((VERI_TABANI!D23*B599*(VERI_TABANI!$B$13-VERI_TABANI!$B$14)) + (VERI_TABANI!D23*C599*(VERI_TABANI!$B$13-VERI_TABANI!$B$15)) + IF(ISNUMBER(SEARCH("Var", D599)), VERI_TABANI!F23*(0.00202-VERI_TABANI!$B$16), IF(ISNUMBER(SEARCH("Gri", D599)), VERI_TABANI!F23*(0.00202-VERI_TABANI!$B$17), 0))) + ((VERI_TABANI!D24*B599*(VERI_TABANI!$B$13-VERI_TABANI!$B$14)) + (VERI_TABANI!D24*C599*(VERI_TABANI!$B$13-VERI_TABANI!$B$15)) + IF(ISNUMBER(SEARCH("Var", D599)), VERI_TABANI!F24*(0.00202-VERI_TABANI!$B$16), IF(ISNUMBER(SEARCH("Gri", D599)), VERI_TABANI!F24*(0.00202-VERI_TABANI!$B$17), 0))) + ((VERI_TABANI!D25*B599*(VERI_TABANI!$B$13-VERI_TABANI!$B$14)) + (VERI_TABANI!D25*C599*(VERI_TABANI!$B$13-VERI_TABANI!$B$15)) + IF(ISNUMBER(SEARCH("Var", D599)), VERI_TABANI!F25*(0.00202-VERI_TABANI!$B$16), IF(ISNUMBER(SEARCH("Gri", D599)), VERI_TABANI!F25*(0.00202-VERI_TABANI!$B$17), 0))) + ((VERI_TABANI!D26*B599*(VERI_TABANI!$B$13-VERI_TABANI!$B$14)) + (VERI_TABANI!D26*C599*(VERI_TABANI!$B$13-VERI_TABANI!$B$15)) + IF(ISNUMBER(SEARCH("Var", D599)), VERI_TABANI!F26*(0.00202-VERI_TABANI!$B$16), IF(ISNUMBER(SEARCH("Gri", D599)), VERI_TABANI!F26*(0.00202-VERI_TABANI!$B$17), 0))) + ((VERI_TABANI!D27*B599*(VERI_TABANI!$B$13-VERI_TABANI!$B$14)) + (VERI_TABANI!D27*C599*(VERI_TABANI!$B$13-VERI_TABANI!$B$15)) + IF(ISNUMBER(SEARCH("Var", D599)), VERI_TABANI!F27*(0.00202-VERI_TABANI!$B$16), IF(ISNUMBER(SEARCH("Gri", D599)), VERI_TABANI!F27*(0.00202-VERI_TABANI!$B$17), 0))) + ((VERI_TABANI!D28*B599*(VERI_TABANI!$B$13-VERI_TABANI!$B$14)) + (VERI_TABANI!D28*C599*(VERI_TABANI!$B$13-VERI_TABANI!$B$15)) + IF(ISNUMBER(SEARCH("Var", D599)), VERI_TABANI!F28*(0.00202-VERI_TABANI!$B$16), IF(ISNUMBER(SEARCH("Gri", D599)), VERI_TABANI!F28*(0.00202-VERI_TABANI!$B$17), 0))))</f>
        <v/>
      </c>
      <c r="I599" s="170">
        <f>IFERROR(((VERI_TABANI!$D$29*B599*VERI_TABANI!$B$14 + VERI_TABANI!$D$29*C599*VERI_TABANI!$B$15 + IF(ISNUMBER(SEARCH("Var", D599)), VERI_TABANI!$F$29*VERI_TABANI!$B$16, 0))) / (((VERI_TABANI!$D$29*B599 + VERI_TABANI!$D$29*C599)*VERI_TABANI!$B$13 + IF(ISNUMBER(SEARCH("Var", D599)), VERI_TABANI!$E$29*(1-0.928)*VERI_TABANI!$B$18, 0))), 0)</f>
        <v/>
      </c>
      <c r="J599" s="171">
        <f>IFERROR(F599/(G599/29), 0)</f>
        <v/>
      </c>
      <c r="K599" s="172">
        <f>IF(F599&gt;0, H599/F599, 0)</f>
        <v/>
      </c>
      <c r="L599" s="170">
        <f>IF(F599&gt;0, I599, 1000000000)</f>
        <v/>
      </c>
      <c r="M599" s="171">
        <f>ABS((B599+C599)-1)</f>
        <v/>
      </c>
      <c r="N599" s="170">
        <f>IF(F599&gt;0, (G599/29)/F599, 0)</f>
        <v/>
      </c>
      <c r="O599" s="168">
        <f>IF(AND((B599+C599)&gt;=1, ISNUMBER(SEARCH("Var", D599))), F599, 1000000000)</f>
        <v/>
      </c>
      <c r="P599" s="172">
        <f>IF(F599&gt;0, SQRT((F599/MAX(F$5:F$886))^2 + (1 - H599/MAX(H$5:H$886))^2 + (J599/MAX(J$5:J$886))^2), 1000000000)</f>
        <v/>
      </c>
      <c r="Q599" s="166">
        <f>IF(AND(ABS(B599-0.5)&lt;0.01, ABS(C599-0.5)&lt;0.01, ISNUMBER(SEARCH("Var", D599))), 1, 0)</f>
        <v/>
      </c>
      <c r="R599" s="171">
        <f>IF(F599&gt;0, J599, 1000000000)</f>
        <v/>
      </c>
      <c r="S599" s="101">
        <f>IF(AND(F599&lt;=DASHBOARD!$B$11, H599&gt;=DASHBOARD!$B$13), G599, -1000000000000)</f>
        <v/>
      </c>
      <c r="T599" s="101">
        <f>IF(AND(F599&lt;=DASHBOARD!$B$11, H599&gt;=DASHBOARD!$B$13), R599, 1000000000000)</f>
        <v/>
      </c>
      <c r="U599" s="101">
        <f>IF(AND(F599&lt;=DASHBOARD!$B$11, H599&gt;=DASHBOARD!$B$13), N599, -1000000000000)</f>
        <v/>
      </c>
      <c r="V599" s="101">
        <f>IF(AND(F599&lt;=DASHBOARD!$B$11, H599&gt;=DASHBOARD!$B$13), H599, -1000000000000)</f>
        <v/>
      </c>
      <c r="W599" s="101">
        <f>IF(AND(F599&lt;=DASHBOARD!$B$11, H599&gt;=DASHBOARD!$B$13), K599, -1000000000000)</f>
        <v/>
      </c>
      <c r="X599" s="101">
        <f>IF(AND(F599&lt;=DASHBOARD!$B$11, H599&gt;=DASHBOARD!$B$13), M599, 1000000000000)</f>
        <v/>
      </c>
      <c r="Y599" s="101">
        <f>IF(AND(F599&lt;=DASHBOARD!$B$10, H599&gt;=DASHBOARD!$B$11), L599, 1000000000000)</f>
        <v/>
      </c>
      <c r="Z599" s="101">
        <f>IF(AND(F599&lt;=DASHBOARD!$B$10, H599&gt;=DASHBOARD!$B$11), O599, 1000000000000)</f>
        <v/>
      </c>
      <c r="AA599" s="101">
        <f>IF(AND(F599&lt;=DASHBOARD!$B$10, H599&gt;=DASHBOARD!$B$11), P599, 1000000000000)</f>
        <v/>
      </c>
      <c r="AB599" s="101">
        <f>IF(AND(F599&lt;=DASHBOARD!$B$10, H599&gt;=DASHBOARD!$B$11), Q599, -1000000000000)</f>
        <v/>
      </c>
    </row>
    <row r="600" ht="15" customHeight="1" s="102">
      <c r="A600" s="166" t="n">
        <v>596</v>
      </c>
      <c r="B600" s="167" t="n">
        <v>1.4</v>
      </c>
      <c r="C600" s="167" t="n">
        <v>0.3</v>
      </c>
      <c r="D600" s="110" t="inlineStr">
        <is>
          <t>Var (%20)</t>
        </is>
      </c>
      <c r="E600" s="110">
        <f>IF((B600+C600)&lt;=1, "Tam Mahsuplaşma (≤%100)", "Kısmi Satış (&gt;%100)")</f>
        <v/>
      </c>
      <c r="F600" s="168">
        <f>((VERI_TABANI!$D$29*B600/VERI_TABANI!$B$29)/VERI_TABANI!$B$3)*VERI_TABANI!$B$5 + ((VERI_TABANI!$D$29*C600/VERI_TABANI!$B$29)/VERI_TABANI!$B$4)*VERI_TABANI!$B$6 + IF(ISNUMBER(SEARCH("Var", D600)), (VERI_TABANI!$F$29/VERI_TABANI!$B$29)*(VERI_TABANI!$B$10+VERI_TABANI!$B$12), 0)</f>
        <v/>
      </c>
      <c r="G600" s="168">
        <f>(((MIN(VERI_TABANI!D23, VERI_TABANI!D23*B600)*VERI_TABANI!$B$7 + MAX(0, VERI_TABANI!D23*B600-VERI_TABANI!D23)*VERI_TABANI!$B$8) + (MIN(MAX(0, VERI_TABANI!D23-VERI_TABANI!D23*B600), VERI_TABANI!D23*C600)*VERI_TABANI!$B$7 + MAX(0, VERI_TABANI!D23*C600-MAX(0, VERI_TABANI!D23-VERI_TABANI!D23*B600))*VERI_TABANI!$B$8) + IF(ABS(IF(ISNUMBER(SEARCH("Var", D600)), 1, IF(ISNUMBER(SEARCH("Gri", D600)), -1, 0)))=1, VERI_TABANI!E23*(1-0.928)*VERI_TABANI!$B$9, 0) + (VERI_TABANI!D23*B600*(VERI_TABANI!$B$13-VERI_TABANI!$B$14)*VERI_TABANI!G23) + (VERI_TABANI!D23*C600*(VERI_TABANI!$B$13-VERI_TABANI!$B$15)*VERI_TABANI!G23) + IF(ABS(IF(ISNUMBER(SEARCH("Var", D600)), 1, IF(ISNUMBER(SEARCH("Gri", D600)), -1, 0)))=1, VERI_TABANI!E23*(1-0.928)*0.00206091519919798*VERI_TABANI!G23, 0)) + ((MIN(VERI_TABANI!D24, VERI_TABANI!D24*B600)*VERI_TABANI!$B$7 + MAX(0, VERI_TABANI!D24*B600-VERI_TABANI!D24)*VERI_TABANI!$B$8) + (MIN(MAX(0, VERI_TABANI!D24-VERI_TABANI!D24*B600), VERI_TABANI!D24*C600)*VERI_TABANI!$B$7 + MAX(0, VERI_TABANI!D24*C600-MAX(0, VERI_TABANI!D24-VERI_TABANI!D24*B600))*VERI_TABANI!$B$8) + IF(ABS(IF(ISNUMBER(SEARCH("Var", D600)), 1, IF(ISNUMBER(SEARCH("Gri", D600)), -1, 0)))=1, VERI_TABANI!E24*(1-0.928)*VERI_TABANI!$B$9, 0) + (VERI_TABANI!D24*B600*(VERI_TABANI!$B$13-VERI_TABANI!$B$14)*VERI_TABANI!G24) + (VERI_TABANI!D24*C600*(VERI_TABANI!$B$13-VERI_TABANI!$B$15)*VERI_TABANI!G24) + IF(ABS(IF(ISNUMBER(SEARCH("Var", D600)), 1, IF(ISNUMBER(SEARCH("Gri", D600)), -1, 0)))=1, VERI_TABANI!E24*(1-0.928)*0.00206091519919798*VERI_TABANI!G24, 0)) + ((MIN(VERI_TABANI!D25, VERI_TABANI!D25*B600)*VERI_TABANI!$B$7 + MAX(0, VERI_TABANI!D25*B600-VERI_TABANI!D25)*VERI_TABANI!$B$8) + (MIN(MAX(0, VERI_TABANI!D25-VERI_TABANI!D25*B600), VERI_TABANI!D25*C600)*VERI_TABANI!$B$7 + MAX(0, VERI_TABANI!D25*C600-MAX(0, VERI_TABANI!D25-VERI_TABANI!D25*B600))*VERI_TABANI!$B$8) + IF(ABS(IF(ISNUMBER(SEARCH("Var", D600)), 1, IF(ISNUMBER(SEARCH("Gri", D600)), -1, 0)))=1, VERI_TABANI!E25*(1-0.928)*VERI_TABANI!$B$9, 0) + (VERI_TABANI!D25*B600*(VERI_TABANI!$B$13-VERI_TABANI!$B$14)*VERI_TABANI!G25) + (VERI_TABANI!D25*C600*(VERI_TABANI!$B$13-VERI_TABANI!$B$15)*VERI_TABANI!G25) + IF(ABS(IF(ISNUMBER(SEARCH("Var", D600)), 1, IF(ISNUMBER(SEARCH("Gri", D600)), -1, 0)))=1, VERI_TABANI!E25*(1-0.928)*0.00206091519919798*VERI_TABANI!G25, 0)) + ((MIN(VERI_TABANI!D26, VERI_TABANI!D26*B600)*VERI_TABANI!$B$7 + MAX(0, VERI_TABANI!D26*B600-VERI_TABANI!D26)*VERI_TABANI!$B$8) + (MIN(MAX(0, VERI_TABANI!D26-VERI_TABANI!D26*B600), VERI_TABANI!D26*C600)*VERI_TABANI!$B$7 + MAX(0, VERI_TABANI!D26*C600-MAX(0, VERI_TABANI!D26-VERI_TABANI!D26*B600))*VERI_TABANI!$B$8) + IF(ABS(IF(ISNUMBER(SEARCH("Var", D600)), 1, IF(ISNUMBER(SEARCH("Gri", D600)), -1, 0)))=1, VERI_TABANI!E26*(1-0.928)*VERI_TABANI!$B$9, 0) + (VERI_TABANI!D26*B600*(VERI_TABANI!$B$13-VERI_TABANI!$B$14)*VERI_TABANI!G26) + (VERI_TABANI!D26*C600*(VERI_TABANI!$B$13-VERI_TABANI!$B$15)*VERI_TABANI!G26) + IF(ABS(IF(ISNUMBER(SEARCH("Var", D600)), 1, IF(ISNUMBER(SEARCH("Gri", D600)), -1, 0)))=1, VERI_TABANI!E26*(1-0.928)*0.00206091519919798*VERI_TABANI!G26, 0)) + ((MIN(VERI_TABANI!D27, VERI_TABANI!D27*B600)*VERI_TABANI!$B$7 + MAX(0, VERI_TABANI!D27*B600-VERI_TABANI!D27)*VERI_TABANI!$B$8) + (MIN(MAX(0, VERI_TABANI!D27-VERI_TABANI!D27*B600), VERI_TABANI!D27*C600)*VERI_TABANI!$B$7 + MAX(0, VERI_TABANI!D27*C600-MAX(0, VERI_TABANI!D27-VERI_TABANI!D27*B600))*VERI_TABANI!$B$8) + IF(ABS(IF(ISNUMBER(SEARCH("Var", D600)), 1, IF(ISNUMBER(SEARCH("Gri", D600)), -1, 0)))=1, VERI_TABANI!E27*(1-0.928)*VERI_TABANI!$B$9, 0) + (VERI_TABANI!D27*B600*(VERI_TABANI!$B$13-VERI_TABANI!$B$14)*VERI_TABANI!G27) + (VERI_TABANI!D27*C600*(VERI_TABANI!$B$13-VERI_TABANI!$B$15)*VERI_TABANI!G27) + IF(ABS(IF(ISNUMBER(SEARCH("Var", D600)), 1, IF(ISNUMBER(SEARCH("Gri", D600)), -1, 0)))=1, VERI_TABANI!E27*(1-0.928)*0.00206091519919798*VERI_TABANI!G27, 0)) + ((MIN(VERI_TABANI!D28, VERI_TABANI!D28*B600)*VERI_TABANI!$B$7 + MAX(0, VERI_TABANI!D28*B600-VERI_TABANI!D28)*VERI_TABANI!$B$8) + (MIN(MAX(0, VERI_TABANI!D28-VERI_TABANI!D28*B600), VERI_TABANI!D28*C600)*VERI_TABANI!$B$7 + MAX(0, VERI_TABANI!D28*C600-MAX(0, VERI_TABANI!D28-VERI_TABANI!D28*B600))*VERI_TABANI!$B$8) + IF(ABS(IF(ISNUMBER(SEARCH("Var", D600)), 1, IF(ISNUMBER(SEARCH("Gri", D600)), -1, 0)))=1, VERI_TABANI!E28*(1-0.928)*VERI_TABANI!$B$9, 0) + (VERI_TABANI!D28*B600*(VERI_TABANI!$B$13-VERI_TABANI!$B$14)*VERI_TABANI!G28) + (VERI_TABANI!D28*C600*(VERI_TABANI!$B$13-VERI_TABANI!$B$15)*VERI_TABANI!G28) + IF(ABS(IF(ISNUMBER(SEARCH("Var", D600)), 1, IF(ISNUMBER(SEARCH("Gri", D600)), -1, 0)))=1, VERI_TABANI!E28*(1-0.928)*0.00206091519919798*VERI_TABANI!G28, 0)))</f>
        <v/>
      </c>
      <c r="H600" s="169">
        <f>(((VERI_TABANI!D23*B600*(VERI_TABANI!$B$13-VERI_TABANI!$B$14)) + (VERI_TABANI!D23*C600*(VERI_TABANI!$B$13-VERI_TABANI!$B$15)) + IF(ISNUMBER(SEARCH("Var", D600)), VERI_TABANI!F23*(0.00202-VERI_TABANI!$B$16), IF(ISNUMBER(SEARCH("Gri", D600)), VERI_TABANI!F23*(0.00202-VERI_TABANI!$B$17), 0))) + ((VERI_TABANI!D24*B600*(VERI_TABANI!$B$13-VERI_TABANI!$B$14)) + (VERI_TABANI!D24*C600*(VERI_TABANI!$B$13-VERI_TABANI!$B$15)) + IF(ISNUMBER(SEARCH("Var", D600)), VERI_TABANI!F24*(0.00202-VERI_TABANI!$B$16), IF(ISNUMBER(SEARCH("Gri", D600)), VERI_TABANI!F24*(0.00202-VERI_TABANI!$B$17), 0))) + ((VERI_TABANI!D25*B600*(VERI_TABANI!$B$13-VERI_TABANI!$B$14)) + (VERI_TABANI!D25*C600*(VERI_TABANI!$B$13-VERI_TABANI!$B$15)) + IF(ISNUMBER(SEARCH("Var", D600)), VERI_TABANI!F25*(0.00202-VERI_TABANI!$B$16), IF(ISNUMBER(SEARCH("Gri", D600)), VERI_TABANI!F25*(0.00202-VERI_TABANI!$B$17), 0))) + ((VERI_TABANI!D26*B600*(VERI_TABANI!$B$13-VERI_TABANI!$B$14)) + (VERI_TABANI!D26*C600*(VERI_TABANI!$B$13-VERI_TABANI!$B$15)) + IF(ISNUMBER(SEARCH("Var", D600)), VERI_TABANI!F26*(0.00202-VERI_TABANI!$B$16), IF(ISNUMBER(SEARCH("Gri", D600)), VERI_TABANI!F26*(0.00202-VERI_TABANI!$B$17), 0))) + ((VERI_TABANI!D27*B600*(VERI_TABANI!$B$13-VERI_TABANI!$B$14)) + (VERI_TABANI!D27*C600*(VERI_TABANI!$B$13-VERI_TABANI!$B$15)) + IF(ISNUMBER(SEARCH("Var", D600)), VERI_TABANI!F27*(0.00202-VERI_TABANI!$B$16), IF(ISNUMBER(SEARCH("Gri", D600)), VERI_TABANI!F27*(0.00202-VERI_TABANI!$B$17), 0))) + ((VERI_TABANI!D28*B600*(VERI_TABANI!$B$13-VERI_TABANI!$B$14)) + (VERI_TABANI!D28*C600*(VERI_TABANI!$B$13-VERI_TABANI!$B$15)) + IF(ISNUMBER(SEARCH("Var", D600)), VERI_TABANI!F28*(0.00202-VERI_TABANI!$B$16), IF(ISNUMBER(SEARCH("Gri", D600)), VERI_TABANI!F28*(0.00202-VERI_TABANI!$B$17), 0))))</f>
        <v/>
      </c>
      <c r="I600" s="170">
        <f>IFERROR(((VERI_TABANI!$D$29*B600*VERI_TABANI!$B$14 + VERI_TABANI!$D$29*C600*VERI_TABANI!$B$15 + IF(ISNUMBER(SEARCH("Var", D600)), VERI_TABANI!$F$29*VERI_TABANI!$B$16, 0))) / (((VERI_TABANI!$D$29*B600 + VERI_TABANI!$D$29*C600)*VERI_TABANI!$B$13 + IF(ISNUMBER(SEARCH("Var", D600)), VERI_TABANI!$E$29*(1-0.928)*VERI_TABANI!$B$18, 0))), 0)</f>
        <v/>
      </c>
      <c r="J600" s="171">
        <f>IFERROR(F600/(G600/29), 0)</f>
        <v/>
      </c>
      <c r="K600" s="172">
        <f>IF(F600&gt;0, H600/F600, 0)</f>
        <v/>
      </c>
      <c r="L600" s="170">
        <f>IF(F600&gt;0, I600, 1000000000)</f>
        <v/>
      </c>
      <c r="M600" s="171">
        <f>ABS((B600+C600)-1)</f>
        <v/>
      </c>
      <c r="N600" s="170">
        <f>IF(F600&gt;0, (G600/29)/F600, 0)</f>
        <v/>
      </c>
      <c r="O600" s="168">
        <f>IF(AND((B600+C600)&gt;=1, ISNUMBER(SEARCH("Var", D600))), F600, 1000000000)</f>
        <v/>
      </c>
      <c r="P600" s="172">
        <f>IF(F600&gt;0, SQRT((F600/MAX(F$5:F$886))^2 + (1 - H600/MAX(H$5:H$886))^2 + (J600/MAX(J$5:J$886))^2), 1000000000)</f>
        <v/>
      </c>
      <c r="Q600" s="166">
        <f>IF(AND(ABS(B600-0.5)&lt;0.01, ABS(C600-0.5)&lt;0.01, ISNUMBER(SEARCH("Var", D600))), 1, 0)</f>
        <v/>
      </c>
      <c r="R600" s="171">
        <f>IF(F600&gt;0, J600, 1000000000)</f>
        <v/>
      </c>
      <c r="S600" s="101">
        <f>IF(AND(F600&lt;=DASHBOARD!$B$11, H600&gt;=DASHBOARD!$B$13), G600, -1000000000000)</f>
        <v/>
      </c>
      <c r="T600" s="101">
        <f>IF(AND(F600&lt;=DASHBOARD!$B$11, H600&gt;=DASHBOARD!$B$13), R600, 1000000000000)</f>
        <v/>
      </c>
      <c r="U600" s="101">
        <f>IF(AND(F600&lt;=DASHBOARD!$B$11, H600&gt;=DASHBOARD!$B$13), N600, -1000000000000)</f>
        <v/>
      </c>
      <c r="V600" s="101">
        <f>IF(AND(F600&lt;=DASHBOARD!$B$11, H600&gt;=DASHBOARD!$B$13), H600, -1000000000000)</f>
        <v/>
      </c>
      <c r="W600" s="101">
        <f>IF(AND(F600&lt;=DASHBOARD!$B$11, H600&gt;=DASHBOARD!$B$13), K600, -1000000000000)</f>
        <v/>
      </c>
      <c r="X600" s="101">
        <f>IF(AND(F600&lt;=DASHBOARD!$B$11, H600&gt;=DASHBOARD!$B$13), M600, 1000000000000)</f>
        <v/>
      </c>
      <c r="Y600" s="101">
        <f>IF(AND(F600&lt;=DASHBOARD!$B$10, H600&gt;=DASHBOARD!$B$11), L600, 1000000000000)</f>
        <v/>
      </c>
      <c r="Z600" s="101">
        <f>IF(AND(F600&lt;=DASHBOARD!$B$10, H600&gt;=DASHBOARD!$B$11), O600, 1000000000000)</f>
        <v/>
      </c>
      <c r="AA600" s="101">
        <f>IF(AND(F600&lt;=DASHBOARD!$B$10, H600&gt;=DASHBOARD!$B$11), P600, 1000000000000)</f>
        <v/>
      </c>
      <c r="AB600" s="101">
        <f>IF(AND(F600&lt;=DASHBOARD!$B$10, H600&gt;=DASHBOARD!$B$11), Q600, -1000000000000)</f>
        <v/>
      </c>
    </row>
    <row r="601" ht="15" customHeight="1" s="102">
      <c r="A601" s="166" t="n">
        <v>597</v>
      </c>
      <c r="B601" s="167" t="n">
        <v>1.4</v>
      </c>
      <c r="C601" s="167" t="n">
        <v>0.4</v>
      </c>
      <c r="D601" s="110" t="inlineStr">
        <is>
          <t>Yok (%0)</t>
        </is>
      </c>
      <c r="E601" s="110">
        <f>IF((B601+C601)&lt;=1, "Tam Mahsuplaşma (≤%100)", "Kısmi Satış (&gt;%100)")</f>
        <v/>
      </c>
      <c r="F601" s="168">
        <f>((VERI_TABANI!$D$29*B601/VERI_TABANI!$B$29)/VERI_TABANI!$B$3)*VERI_TABANI!$B$5 + ((VERI_TABANI!$D$29*C601/VERI_TABANI!$B$29)/VERI_TABANI!$B$4)*VERI_TABANI!$B$6 + IF(ISNUMBER(SEARCH("Var", D601)), (VERI_TABANI!$F$29/VERI_TABANI!$B$29)*(VERI_TABANI!$B$10+VERI_TABANI!$B$12), 0)</f>
        <v/>
      </c>
      <c r="G601" s="168">
        <f>(((MIN(VERI_TABANI!D23, VERI_TABANI!D23*B601)*VERI_TABANI!$B$7 + MAX(0, VERI_TABANI!D23*B601-VERI_TABANI!D23)*VERI_TABANI!$B$8) + (MIN(MAX(0, VERI_TABANI!D23-VERI_TABANI!D23*B601), VERI_TABANI!D23*C601)*VERI_TABANI!$B$7 + MAX(0, VERI_TABANI!D23*C601-MAX(0, VERI_TABANI!D23-VERI_TABANI!D23*B601))*VERI_TABANI!$B$8) + IF(ABS(IF(ISNUMBER(SEARCH("Var", D601)), 1, IF(ISNUMBER(SEARCH("Gri", D601)), -1, 0)))=1, VERI_TABANI!E23*(1-0.928)*VERI_TABANI!$B$9, 0) + (VERI_TABANI!D23*B601*(VERI_TABANI!$B$13-VERI_TABANI!$B$14)*VERI_TABANI!G23) + (VERI_TABANI!D23*C601*(VERI_TABANI!$B$13-VERI_TABANI!$B$15)*VERI_TABANI!G23) + IF(ABS(IF(ISNUMBER(SEARCH("Var", D601)), 1, IF(ISNUMBER(SEARCH("Gri", D601)), -1, 0)))=1, VERI_TABANI!E23*(1-0.928)*0.00206091519919798*VERI_TABANI!G23, 0)) + ((MIN(VERI_TABANI!D24, VERI_TABANI!D24*B601)*VERI_TABANI!$B$7 + MAX(0, VERI_TABANI!D24*B601-VERI_TABANI!D24)*VERI_TABANI!$B$8) + (MIN(MAX(0, VERI_TABANI!D24-VERI_TABANI!D24*B601), VERI_TABANI!D24*C601)*VERI_TABANI!$B$7 + MAX(0, VERI_TABANI!D24*C601-MAX(0, VERI_TABANI!D24-VERI_TABANI!D24*B601))*VERI_TABANI!$B$8) + IF(ABS(IF(ISNUMBER(SEARCH("Var", D601)), 1, IF(ISNUMBER(SEARCH("Gri", D601)), -1, 0)))=1, VERI_TABANI!E24*(1-0.928)*VERI_TABANI!$B$9, 0) + (VERI_TABANI!D24*B601*(VERI_TABANI!$B$13-VERI_TABANI!$B$14)*VERI_TABANI!G24) + (VERI_TABANI!D24*C601*(VERI_TABANI!$B$13-VERI_TABANI!$B$15)*VERI_TABANI!G24) + IF(ABS(IF(ISNUMBER(SEARCH("Var", D601)), 1, IF(ISNUMBER(SEARCH("Gri", D601)), -1, 0)))=1, VERI_TABANI!E24*(1-0.928)*0.00206091519919798*VERI_TABANI!G24, 0)) + ((MIN(VERI_TABANI!D25, VERI_TABANI!D25*B601)*VERI_TABANI!$B$7 + MAX(0, VERI_TABANI!D25*B601-VERI_TABANI!D25)*VERI_TABANI!$B$8) + (MIN(MAX(0, VERI_TABANI!D25-VERI_TABANI!D25*B601), VERI_TABANI!D25*C601)*VERI_TABANI!$B$7 + MAX(0, VERI_TABANI!D25*C601-MAX(0, VERI_TABANI!D25-VERI_TABANI!D25*B601))*VERI_TABANI!$B$8) + IF(ABS(IF(ISNUMBER(SEARCH("Var", D601)), 1, IF(ISNUMBER(SEARCH("Gri", D601)), -1, 0)))=1, VERI_TABANI!E25*(1-0.928)*VERI_TABANI!$B$9, 0) + (VERI_TABANI!D25*B601*(VERI_TABANI!$B$13-VERI_TABANI!$B$14)*VERI_TABANI!G25) + (VERI_TABANI!D25*C601*(VERI_TABANI!$B$13-VERI_TABANI!$B$15)*VERI_TABANI!G25) + IF(ABS(IF(ISNUMBER(SEARCH("Var", D601)), 1, IF(ISNUMBER(SEARCH("Gri", D601)), -1, 0)))=1, VERI_TABANI!E25*(1-0.928)*0.00206091519919798*VERI_TABANI!G25, 0)) + ((MIN(VERI_TABANI!D26, VERI_TABANI!D26*B601)*VERI_TABANI!$B$7 + MAX(0, VERI_TABANI!D26*B601-VERI_TABANI!D26)*VERI_TABANI!$B$8) + (MIN(MAX(0, VERI_TABANI!D26-VERI_TABANI!D26*B601), VERI_TABANI!D26*C601)*VERI_TABANI!$B$7 + MAX(0, VERI_TABANI!D26*C601-MAX(0, VERI_TABANI!D26-VERI_TABANI!D26*B601))*VERI_TABANI!$B$8) + IF(ABS(IF(ISNUMBER(SEARCH("Var", D601)), 1, IF(ISNUMBER(SEARCH("Gri", D601)), -1, 0)))=1, VERI_TABANI!E26*(1-0.928)*VERI_TABANI!$B$9, 0) + (VERI_TABANI!D26*B601*(VERI_TABANI!$B$13-VERI_TABANI!$B$14)*VERI_TABANI!G26) + (VERI_TABANI!D26*C601*(VERI_TABANI!$B$13-VERI_TABANI!$B$15)*VERI_TABANI!G26) + IF(ABS(IF(ISNUMBER(SEARCH("Var", D601)), 1, IF(ISNUMBER(SEARCH("Gri", D601)), -1, 0)))=1, VERI_TABANI!E26*(1-0.928)*0.00206091519919798*VERI_TABANI!G26, 0)) + ((MIN(VERI_TABANI!D27, VERI_TABANI!D27*B601)*VERI_TABANI!$B$7 + MAX(0, VERI_TABANI!D27*B601-VERI_TABANI!D27)*VERI_TABANI!$B$8) + (MIN(MAX(0, VERI_TABANI!D27-VERI_TABANI!D27*B601), VERI_TABANI!D27*C601)*VERI_TABANI!$B$7 + MAX(0, VERI_TABANI!D27*C601-MAX(0, VERI_TABANI!D27-VERI_TABANI!D27*B601))*VERI_TABANI!$B$8) + IF(ABS(IF(ISNUMBER(SEARCH("Var", D601)), 1, IF(ISNUMBER(SEARCH("Gri", D601)), -1, 0)))=1, VERI_TABANI!E27*(1-0.928)*VERI_TABANI!$B$9, 0) + (VERI_TABANI!D27*B601*(VERI_TABANI!$B$13-VERI_TABANI!$B$14)*VERI_TABANI!G27) + (VERI_TABANI!D27*C601*(VERI_TABANI!$B$13-VERI_TABANI!$B$15)*VERI_TABANI!G27) + IF(ABS(IF(ISNUMBER(SEARCH("Var", D601)), 1, IF(ISNUMBER(SEARCH("Gri", D601)), -1, 0)))=1, VERI_TABANI!E27*(1-0.928)*0.00206091519919798*VERI_TABANI!G27, 0)) + ((MIN(VERI_TABANI!D28, VERI_TABANI!D28*B601)*VERI_TABANI!$B$7 + MAX(0, VERI_TABANI!D28*B601-VERI_TABANI!D28)*VERI_TABANI!$B$8) + (MIN(MAX(0, VERI_TABANI!D28-VERI_TABANI!D28*B601), VERI_TABANI!D28*C601)*VERI_TABANI!$B$7 + MAX(0, VERI_TABANI!D28*C601-MAX(0, VERI_TABANI!D28-VERI_TABANI!D28*B601))*VERI_TABANI!$B$8) + IF(ABS(IF(ISNUMBER(SEARCH("Var", D601)), 1, IF(ISNUMBER(SEARCH("Gri", D601)), -1, 0)))=1, VERI_TABANI!E28*(1-0.928)*VERI_TABANI!$B$9, 0) + (VERI_TABANI!D28*B601*(VERI_TABANI!$B$13-VERI_TABANI!$B$14)*VERI_TABANI!G28) + (VERI_TABANI!D28*C601*(VERI_TABANI!$B$13-VERI_TABANI!$B$15)*VERI_TABANI!G28) + IF(ABS(IF(ISNUMBER(SEARCH("Var", D601)), 1, IF(ISNUMBER(SEARCH("Gri", D601)), -1, 0)))=1, VERI_TABANI!E28*(1-0.928)*0.00206091519919798*VERI_TABANI!G28, 0)))</f>
        <v/>
      </c>
      <c r="H601" s="169">
        <f>(((VERI_TABANI!D23*B601*(VERI_TABANI!$B$13-VERI_TABANI!$B$14)) + (VERI_TABANI!D23*C601*(VERI_TABANI!$B$13-VERI_TABANI!$B$15)) + IF(ISNUMBER(SEARCH("Var", D601)), VERI_TABANI!F23*(0.00202-VERI_TABANI!$B$16), IF(ISNUMBER(SEARCH("Gri", D601)), VERI_TABANI!F23*(0.00202-VERI_TABANI!$B$17), 0))) + ((VERI_TABANI!D24*B601*(VERI_TABANI!$B$13-VERI_TABANI!$B$14)) + (VERI_TABANI!D24*C601*(VERI_TABANI!$B$13-VERI_TABANI!$B$15)) + IF(ISNUMBER(SEARCH("Var", D601)), VERI_TABANI!F24*(0.00202-VERI_TABANI!$B$16), IF(ISNUMBER(SEARCH("Gri", D601)), VERI_TABANI!F24*(0.00202-VERI_TABANI!$B$17), 0))) + ((VERI_TABANI!D25*B601*(VERI_TABANI!$B$13-VERI_TABANI!$B$14)) + (VERI_TABANI!D25*C601*(VERI_TABANI!$B$13-VERI_TABANI!$B$15)) + IF(ISNUMBER(SEARCH("Var", D601)), VERI_TABANI!F25*(0.00202-VERI_TABANI!$B$16), IF(ISNUMBER(SEARCH("Gri", D601)), VERI_TABANI!F25*(0.00202-VERI_TABANI!$B$17), 0))) + ((VERI_TABANI!D26*B601*(VERI_TABANI!$B$13-VERI_TABANI!$B$14)) + (VERI_TABANI!D26*C601*(VERI_TABANI!$B$13-VERI_TABANI!$B$15)) + IF(ISNUMBER(SEARCH("Var", D601)), VERI_TABANI!F26*(0.00202-VERI_TABANI!$B$16), IF(ISNUMBER(SEARCH("Gri", D601)), VERI_TABANI!F26*(0.00202-VERI_TABANI!$B$17), 0))) + ((VERI_TABANI!D27*B601*(VERI_TABANI!$B$13-VERI_TABANI!$B$14)) + (VERI_TABANI!D27*C601*(VERI_TABANI!$B$13-VERI_TABANI!$B$15)) + IF(ISNUMBER(SEARCH("Var", D601)), VERI_TABANI!F27*(0.00202-VERI_TABANI!$B$16), IF(ISNUMBER(SEARCH("Gri", D601)), VERI_TABANI!F27*(0.00202-VERI_TABANI!$B$17), 0))) + ((VERI_TABANI!D28*B601*(VERI_TABANI!$B$13-VERI_TABANI!$B$14)) + (VERI_TABANI!D28*C601*(VERI_TABANI!$B$13-VERI_TABANI!$B$15)) + IF(ISNUMBER(SEARCH("Var", D601)), VERI_TABANI!F28*(0.00202-VERI_TABANI!$B$16), IF(ISNUMBER(SEARCH("Gri", D601)), VERI_TABANI!F28*(0.00202-VERI_TABANI!$B$17), 0))))</f>
        <v/>
      </c>
      <c r="I601" s="170">
        <f>IFERROR(((VERI_TABANI!$D$29*B601*VERI_TABANI!$B$14 + VERI_TABANI!$D$29*C601*VERI_TABANI!$B$15 + IF(ISNUMBER(SEARCH("Var", D601)), VERI_TABANI!$F$29*VERI_TABANI!$B$16, 0))) / (((VERI_TABANI!$D$29*B601 + VERI_TABANI!$D$29*C601)*VERI_TABANI!$B$13 + IF(ISNUMBER(SEARCH("Var", D601)), VERI_TABANI!$E$29*(1-0.928)*VERI_TABANI!$B$18, 0))), 0)</f>
        <v/>
      </c>
      <c r="J601" s="171">
        <f>IFERROR(F601/(G601/29), 0)</f>
        <v/>
      </c>
      <c r="K601" s="172">
        <f>IF(F601&gt;0, H601/F601, 0)</f>
        <v/>
      </c>
      <c r="L601" s="170">
        <f>IF(F601&gt;0, I601, 1000000000)</f>
        <v/>
      </c>
      <c r="M601" s="171">
        <f>ABS((B601+C601)-1)</f>
        <v/>
      </c>
      <c r="N601" s="170">
        <f>IF(F601&gt;0, (G601/29)/F601, 0)</f>
        <v/>
      </c>
      <c r="O601" s="168">
        <f>IF(AND((B601+C601)&gt;=1, ISNUMBER(SEARCH("Var", D601))), F601, 1000000000)</f>
        <v/>
      </c>
      <c r="P601" s="172">
        <f>IF(F601&gt;0, SQRT((F601/MAX(F$5:F$886))^2 + (1 - H601/MAX(H$5:H$886))^2 + (J601/MAX(J$5:J$886))^2), 1000000000)</f>
        <v/>
      </c>
      <c r="Q601" s="166">
        <f>IF(AND(ABS(B601-0.5)&lt;0.01, ABS(C601-0.5)&lt;0.01, ISNUMBER(SEARCH("Var", D601))), 1, 0)</f>
        <v/>
      </c>
      <c r="R601" s="171">
        <f>IF(F601&gt;0, J601, 1000000000)</f>
        <v/>
      </c>
      <c r="S601" s="101">
        <f>IF(AND(F601&lt;=DASHBOARD!$B$11, H601&gt;=DASHBOARD!$B$13), G601, -1000000000000)</f>
        <v/>
      </c>
      <c r="T601" s="101">
        <f>IF(AND(F601&lt;=DASHBOARD!$B$11, H601&gt;=DASHBOARD!$B$13), R601, 1000000000000)</f>
        <v/>
      </c>
      <c r="U601" s="101">
        <f>IF(AND(F601&lt;=DASHBOARD!$B$11, H601&gt;=DASHBOARD!$B$13), N601, -1000000000000)</f>
        <v/>
      </c>
      <c r="V601" s="101">
        <f>IF(AND(F601&lt;=DASHBOARD!$B$11, H601&gt;=DASHBOARD!$B$13), H601, -1000000000000)</f>
        <v/>
      </c>
      <c r="W601" s="101">
        <f>IF(AND(F601&lt;=DASHBOARD!$B$11, H601&gt;=DASHBOARD!$B$13), K601, -1000000000000)</f>
        <v/>
      </c>
      <c r="X601" s="101">
        <f>IF(AND(F601&lt;=DASHBOARD!$B$11, H601&gt;=DASHBOARD!$B$13), M601, 1000000000000)</f>
        <v/>
      </c>
      <c r="Y601" s="101">
        <f>IF(AND(F601&lt;=DASHBOARD!$B$10, H601&gt;=DASHBOARD!$B$11), L601, 1000000000000)</f>
        <v/>
      </c>
      <c r="Z601" s="101">
        <f>IF(AND(F601&lt;=DASHBOARD!$B$10, H601&gt;=DASHBOARD!$B$11), O601, 1000000000000)</f>
        <v/>
      </c>
      <c r="AA601" s="101">
        <f>IF(AND(F601&lt;=DASHBOARD!$B$10, H601&gt;=DASHBOARD!$B$11), P601, 1000000000000)</f>
        <v/>
      </c>
      <c r="AB601" s="101">
        <f>IF(AND(F601&lt;=DASHBOARD!$B$10, H601&gt;=DASHBOARD!$B$11), Q601, -1000000000000)</f>
        <v/>
      </c>
    </row>
    <row r="602" ht="15" customHeight="1" s="102">
      <c r="A602" s="166" t="n">
        <v>598</v>
      </c>
      <c r="B602" s="167" t="n">
        <v>1.4</v>
      </c>
      <c r="C602" s="167" t="n">
        <v>0.4</v>
      </c>
      <c r="D602" s="110" t="inlineStr">
        <is>
          <t>Var (%20)</t>
        </is>
      </c>
      <c r="E602" s="110">
        <f>IF((B602+C602)&lt;=1, "Tam Mahsuplaşma (≤%100)", "Kısmi Satış (&gt;%100)")</f>
        <v/>
      </c>
      <c r="F602" s="168">
        <f>((VERI_TABANI!$D$29*B602/VERI_TABANI!$B$29)/VERI_TABANI!$B$3)*VERI_TABANI!$B$5 + ((VERI_TABANI!$D$29*C602/VERI_TABANI!$B$29)/VERI_TABANI!$B$4)*VERI_TABANI!$B$6 + IF(ISNUMBER(SEARCH("Var", D602)), (VERI_TABANI!$F$29/VERI_TABANI!$B$29)*(VERI_TABANI!$B$10+VERI_TABANI!$B$12), 0)</f>
        <v/>
      </c>
      <c r="G602" s="168">
        <f>(((MIN(VERI_TABANI!D23, VERI_TABANI!D23*B602)*VERI_TABANI!$B$7 + MAX(0, VERI_TABANI!D23*B602-VERI_TABANI!D23)*VERI_TABANI!$B$8) + (MIN(MAX(0, VERI_TABANI!D23-VERI_TABANI!D23*B602), VERI_TABANI!D23*C602)*VERI_TABANI!$B$7 + MAX(0, VERI_TABANI!D23*C602-MAX(0, VERI_TABANI!D23-VERI_TABANI!D23*B602))*VERI_TABANI!$B$8) + IF(ABS(IF(ISNUMBER(SEARCH("Var", D602)), 1, IF(ISNUMBER(SEARCH("Gri", D602)), -1, 0)))=1, VERI_TABANI!E23*(1-0.928)*VERI_TABANI!$B$9, 0) + (VERI_TABANI!D23*B602*(VERI_TABANI!$B$13-VERI_TABANI!$B$14)*VERI_TABANI!G23) + (VERI_TABANI!D23*C602*(VERI_TABANI!$B$13-VERI_TABANI!$B$15)*VERI_TABANI!G23) + IF(ABS(IF(ISNUMBER(SEARCH("Var", D602)), 1, IF(ISNUMBER(SEARCH("Gri", D602)), -1, 0)))=1, VERI_TABANI!E23*(1-0.928)*0.00206091519919798*VERI_TABANI!G23, 0)) + ((MIN(VERI_TABANI!D24, VERI_TABANI!D24*B602)*VERI_TABANI!$B$7 + MAX(0, VERI_TABANI!D24*B602-VERI_TABANI!D24)*VERI_TABANI!$B$8) + (MIN(MAX(0, VERI_TABANI!D24-VERI_TABANI!D24*B602), VERI_TABANI!D24*C602)*VERI_TABANI!$B$7 + MAX(0, VERI_TABANI!D24*C602-MAX(0, VERI_TABANI!D24-VERI_TABANI!D24*B602))*VERI_TABANI!$B$8) + IF(ABS(IF(ISNUMBER(SEARCH("Var", D602)), 1, IF(ISNUMBER(SEARCH("Gri", D602)), -1, 0)))=1, VERI_TABANI!E24*(1-0.928)*VERI_TABANI!$B$9, 0) + (VERI_TABANI!D24*B602*(VERI_TABANI!$B$13-VERI_TABANI!$B$14)*VERI_TABANI!G24) + (VERI_TABANI!D24*C602*(VERI_TABANI!$B$13-VERI_TABANI!$B$15)*VERI_TABANI!G24) + IF(ABS(IF(ISNUMBER(SEARCH("Var", D602)), 1, IF(ISNUMBER(SEARCH("Gri", D602)), -1, 0)))=1, VERI_TABANI!E24*(1-0.928)*0.00206091519919798*VERI_TABANI!G24, 0)) + ((MIN(VERI_TABANI!D25, VERI_TABANI!D25*B602)*VERI_TABANI!$B$7 + MAX(0, VERI_TABANI!D25*B602-VERI_TABANI!D25)*VERI_TABANI!$B$8) + (MIN(MAX(0, VERI_TABANI!D25-VERI_TABANI!D25*B602), VERI_TABANI!D25*C602)*VERI_TABANI!$B$7 + MAX(0, VERI_TABANI!D25*C602-MAX(0, VERI_TABANI!D25-VERI_TABANI!D25*B602))*VERI_TABANI!$B$8) + IF(ABS(IF(ISNUMBER(SEARCH("Var", D602)), 1, IF(ISNUMBER(SEARCH("Gri", D602)), -1, 0)))=1, VERI_TABANI!E25*(1-0.928)*VERI_TABANI!$B$9, 0) + (VERI_TABANI!D25*B602*(VERI_TABANI!$B$13-VERI_TABANI!$B$14)*VERI_TABANI!G25) + (VERI_TABANI!D25*C602*(VERI_TABANI!$B$13-VERI_TABANI!$B$15)*VERI_TABANI!G25) + IF(ABS(IF(ISNUMBER(SEARCH("Var", D602)), 1, IF(ISNUMBER(SEARCH("Gri", D602)), -1, 0)))=1, VERI_TABANI!E25*(1-0.928)*0.00206091519919798*VERI_TABANI!G25, 0)) + ((MIN(VERI_TABANI!D26, VERI_TABANI!D26*B602)*VERI_TABANI!$B$7 + MAX(0, VERI_TABANI!D26*B602-VERI_TABANI!D26)*VERI_TABANI!$B$8) + (MIN(MAX(0, VERI_TABANI!D26-VERI_TABANI!D26*B602), VERI_TABANI!D26*C602)*VERI_TABANI!$B$7 + MAX(0, VERI_TABANI!D26*C602-MAX(0, VERI_TABANI!D26-VERI_TABANI!D26*B602))*VERI_TABANI!$B$8) + IF(ABS(IF(ISNUMBER(SEARCH("Var", D602)), 1, IF(ISNUMBER(SEARCH("Gri", D602)), -1, 0)))=1, VERI_TABANI!E26*(1-0.928)*VERI_TABANI!$B$9, 0) + (VERI_TABANI!D26*B602*(VERI_TABANI!$B$13-VERI_TABANI!$B$14)*VERI_TABANI!G26) + (VERI_TABANI!D26*C602*(VERI_TABANI!$B$13-VERI_TABANI!$B$15)*VERI_TABANI!G26) + IF(ABS(IF(ISNUMBER(SEARCH("Var", D602)), 1, IF(ISNUMBER(SEARCH("Gri", D602)), -1, 0)))=1, VERI_TABANI!E26*(1-0.928)*0.00206091519919798*VERI_TABANI!G26, 0)) + ((MIN(VERI_TABANI!D27, VERI_TABANI!D27*B602)*VERI_TABANI!$B$7 + MAX(0, VERI_TABANI!D27*B602-VERI_TABANI!D27)*VERI_TABANI!$B$8) + (MIN(MAX(0, VERI_TABANI!D27-VERI_TABANI!D27*B602), VERI_TABANI!D27*C602)*VERI_TABANI!$B$7 + MAX(0, VERI_TABANI!D27*C602-MAX(0, VERI_TABANI!D27-VERI_TABANI!D27*B602))*VERI_TABANI!$B$8) + IF(ABS(IF(ISNUMBER(SEARCH("Var", D602)), 1, IF(ISNUMBER(SEARCH("Gri", D602)), -1, 0)))=1, VERI_TABANI!E27*(1-0.928)*VERI_TABANI!$B$9, 0) + (VERI_TABANI!D27*B602*(VERI_TABANI!$B$13-VERI_TABANI!$B$14)*VERI_TABANI!G27) + (VERI_TABANI!D27*C602*(VERI_TABANI!$B$13-VERI_TABANI!$B$15)*VERI_TABANI!G27) + IF(ABS(IF(ISNUMBER(SEARCH("Var", D602)), 1, IF(ISNUMBER(SEARCH("Gri", D602)), -1, 0)))=1, VERI_TABANI!E27*(1-0.928)*0.00206091519919798*VERI_TABANI!G27, 0)) + ((MIN(VERI_TABANI!D28, VERI_TABANI!D28*B602)*VERI_TABANI!$B$7 + MAX(0, VERI_TABANI!D28*B602-VERI_TABANI!D28)*VERI_TABANI!$B$8) + (MIN(MAX(0, VERI_TABANI!D28-VERI_TABANI!D28*B602), VERI_TABANI!D28*C602)*VERI_TABANI!$B$7 + MAX(0, VERI_TABANI!D28*C602-MAX(0, VERI_TABANI!D28-VERI_TABANI!D28*B602))*VERI_TABANI!$B$8) + IF(ABS(IF(ISNUMBER(SEARCH("Var", D602)), 1, IF(ISNUMBER(SEARCH("Gri", D602)), -1, 0)))=1, VERI_TABANI!E28*(1-0.928)*VERI_TABANI!$B$9, 0) + (VERI_TABANI!D28*B602*(VERI_TABANI!$B$13-VERI_TABANI!$B$14)*VERI_TABANI!G28) + (VERI_TABANI!D28*C602*(VERI_TABANI!$B$13-VERI_TABANI!$B$15)*VERI_TABANI!G28) + IF(ABS(IF(ISNUMBER(SEARCH("Var", D602)), 1, IF(ISNUMBER(SEARCH("Gri", D602)), -1, 0)))=1, VERI_TABANI!E28*(1-0.928)*0.00206091519919798*VERI_TABANI!G28, 0)))</f>
        <v/>
      </c>
      <c r="H602" s="169">
        <f>(((VERI_TABANI!D23*B602*(VERI_TABANI!$B$13-VERI_TABANI!$B$14)) + (VERI_TABANI!D23*C602*(VERI_TABANI!$B$13-VERI_TABANI!$B$15)) + IF(ISNUMBER(SEARCH("Var", D602)), VERI_TABANI!F23*(0.00202-VERI_TABANI!$B$16), IF(ISNUMBER(SEARCH("Gri", D602)), VERI_TABANI!F23*(0.00202-VERI_TABANI!$B$17), 0))) + ((VERI_TABANI!D24*B602*(VERI_TABANI!$B$13-VERI_TABANI!$B$14)) + (VERI_TABANI!D24*C602*(VERI_TABANI!$B$13-VERI_TABANI!$B$15)) + IF(ISNUMBER(SEARCH("Var", D602)), VERI_TABANI!F24*(0.00202-VERI_TABANI!$B$16), IF(ISNUMBER(SEARCH("Gri", D602)), VERI_TABANI!F24*(0.00202-VERI_TABANI!$B$17), 0))) + ((VERI_TABANI!D25*B602*(VERI_TABANI!$B$13-VERI_TABANI!$B$14)) + (VERI_TABANI!D25*C602*(VERI_TABANI!$B$13-VERI_TABANI!$B$15)) + IF(ISNUMBER(SEARCH("Var", D602)), VERI_TABANI!F25*(0.00202-VERI_TABANI!$B$16), IF(ISNUMBER(SEARCH("Gri", D602)), VERI_TABANI!F25*(0.00202-VERI_TABANI!$B$17), 0))) + ((VERI_TABANI!D26*B602*(VERI_TABANI!$B$13-VERI_TABANI!$B$14)) + (VERI_TABANI!D26*C602*(VERI_TABANI!$B$13-VERI_TABANI!$B$15)) + IF(ISNUMBER(SEARCH("Var", D602)), VERI_TABANI!F26*(0.00202-VERI_TABANI!$B$16), IF(ISNUMBER(SEARCH("Gri", D602)), VERI_TABANI!F26*(0.00202-VERI_TABANI!$B$17), 0))) + ((VERI_TABANI!D27*B602*(VERI_TABANI!$B$13-VERI_TABANI!$B$14)) + (VERI_TABANI!D27*C602*(VERI_TABANI!$B$13-VERI_TABANI!$B$15)) + IF(ISNUMBER(SEARCH("Var", D602)), VERI_TABANI!F27*(0.00202-VERI_TABANI!$B$16), IF(ISNUMBER(SEARCH("Gri", D602)), VERI_TABANI!F27*(0.00202-VERI_TABANI!$B$17), 0))) + ((VERI_TABANI!D28*B602*(VERI_TABANI!$B$13-VERI_TABANI!$B$14)) + (VERI_TABANI!D28*C602*(VERI_TABANI!$B$13-VERI_TABANI!$B$15)) + IF(ISNUMBER(SEARCH("Var", D602)), VERI_TABANI!F28*(0.00202-VERI_TABANI!$B$16), IF(ISNUMBER(SEARCH("Gri", D602)), VERI_TABANI!F28*(0.00202-VERI_TABANI!$B$17), 0))))</f>
        <v/>
      </c>
      <c r="I602" s="170">
        <f>IFERROR(((VERI_TABANI!$D$29*B602*VERI_TABANI!$B$14 + VERI_TABANI!$D$29*C602*VERI_TABANI!$B$15 + IF(ISNUMBER(SEARCH("Var", D602)), VERI_TABANI!$F$29*VERI_TABANI!$B$16, 0))) / (((VERI_TABANI!$D$29*B602 + VERI_TABANI!$D$29*C602)*VERI_TABANI!$B$13 + IF(ISNUMBER(SEARCH("Var", D602)), VERI_TABANI!$E$29*(1-0.928)*VERI_TABANI!$B$18, 0))), 0)</f>
        <v/>
      </c>
      <c r="J602" s="171">
        <f>IFERROR(F602/(G602/29), 0)</f>
        <v/>
      </c>
      <c r="K602" s="172">
        <f>IF(F602&gt;0, H602/F602, 0)</f>
        <v/>
      </c>
      <c r="L602" s="170">
        <f>IF(F602&gt;0, I602, 1000000000)</f>
        <v/>
      </c>
      <c r="M602" s="171">
        <f>ABS((B602+C602)-1)</f>
        <v/>
      </c>
      <c r="N602" s="170">
        <f>IF(F602&gt;0, (G602/29)/F602, 0)</f>
        <v/>
      </c>
      <c r="O602" s="168">
        <f>IF(AND((B602+C602)&gt;=1, ISNUMBER(SEARCH("Var", D602))), F602, 1000000000)</f>
        <v/>
      </c>
      <c r="P602" s="172">
        <f>IF(F602&gt;0, SQRT((F602/MAX(F$5:F$886))^2 + (1 - H602/MAX(H$5:H$886))^2 + (J602/MAX(J$5:J$886))^2), 1000000000)</f>
        <v/>
      </c>
      <c r="Q602" s="166">
        <f>IF(AND(ABS(B602-0.5)&lt;0.01, ABS(C602-0.5)&lt;0.01, ISNUMBER(SEARCH("Var", D602))), 1, 0)</f>
        <v/>
      </c>
      <c r="R602" s="171">
        <f>IF(F602&gt;0, J602, 1000000000)</f>
        <v/>
      </c>
      <c r="S602" s="101">
        <f>IF(AND(F602&lt;=DASHBOARD!$B$11, H602&gt;=DASHBOARD!$B$13), G602, -1000000000000)</f>
        <v/>
      </c>
      <c r="T602" s="101">
        <f>IF(AND(F602&lt;=DASHBOARD!$B$11, H602&gt;=DASHBOARD!$B$13), R602, 1000000000000)</f>
        <v/>
      </c>
      <c r="U602" s="101">
        <f>IF(AND(F602&lt;=DASHBOARD!$B$11, H602&gt;=DASHBOARD!$B$13), N602, -1000000000000)</f>
        <v/>
      </c>
      <c r="V602" s="101">
        <f>IF(AND(F602&lt;=DASHBOARD!$B$11, H602&gt;=DASHBOARD!$B$13), H602, -1000000000000)</f>
        <v/>
      </c>
      <c r="W602" s="101">
        <f>IF(AND(F602&lt;=DASHBOARD!$B$11, H602&gt;=DASHBOARD!$B$13), K602, -1000000000000)</f>
        <v/>
      </c>
      <c r="X602" s="101">
        <f>IF(AND(F602&lt;=DASHBOARD!$B$11, H602&gt;=DASHBOARD!$B$13), M602, 1000000000000)</f>
        <v/>
      </c>
      <c r="Y602" s="101">
        <f>IF(AND(F602&lt;=DASHBOARD!$B$10, H602&gt;=DASHBOARD!$B$11), L602, 1000000000000)</f>
        <v/>
      </c>
      <c r="Z602" s="101">
        <f>IF(AND(F602&lt;=DASHBOARD!$B$10, H602&gt;=DASHBOARD!$B$11), O602, 1000000000000)</f>
        <v/>
      </c>
      <c r="AA602" s="101">
        <f>IF(AND(F602&lt;=DASHBOARD!$B$10, H602&gt;=DASHBOARD!$B$11), P602, 1000000000000)</f>
        <v/>
      </c>
      <c r="AB602" s="101">
        <f>IF(AND(F602&lt;=DASHBOARD!$B$10, H602&gt;=DASHBOARD!$B$11), Q602, -1000000000000)</f>
        <v/>
      </c>
    </row>
    <row r="603" ht="15" customHeight="1" s="102">
      <c r="A603" s="166" t="n">
        <v>599</v>
      </c>
      <c r="B603" s="167" t="n">
        <v>1.4</v>
      </c>
      <c r="C603" s="167" t="n">
        <v>0.5</v>
      </c>
      <c r="D603" s="110" t="inlineStr">
        <is>
          <t>Yok (%0)</t>
        </is>
      </c>
      <c r="E603" s="110">
        <f>IF((B603+C603)&lt;=1, "Tam Mahsuplaşma (≤%100)", "Kısmi Satış (&gt;%100)")</f>
        <v/>
      </c>
      <c r="F603" s="168">
        <f>((VERI_TABANI!$D$29*B603/VERI_TABANI!$B$29)/VERI_TABANI!$B$3)*VERI_TABANI!$B$5 + ((VERI_TABANI!$D$29*C603/VERI_TABANI!$B$29)/VERI_TABANI!$B$4)*VERI_TABANI!$B$6 + IF(ISNUMBER(SEARCH("Var", D603)), (VERI_TABANI!$F$29/VERI_TABANI!$B$29)*(VERI_TABANI!$B$10+VERI_TABANI!$B$12), 0)</f>
        <v/>
      </c>
      <c r="G603" s="168">
        <f>(((MIN(VERI_TABANI!D23, VERI_TABANI!D23*B603)*VERI_TABANI!$B$7 + MAX(0, VERI_TABANI!D23*B603-VERI_TABANI!D23)*VERI_TABANI!$B$8) + (MIN(MAX(0, VERI_TABANI!D23-VERI_TABANI!D23*B603), VERI_TABANI!D23*C603)*VERI_TABANI!$B$7 + MAX(0, VERI_TABANI!D23*C603-MAX(0, VERI_TABANI!D23-VERI_TABANI!D23*B603))*VERI_TABANI!$B$8) + IF(ABS(IF(ISNUMBER(SEARCH("Var", D603)), 1, IF(ISNUMBER(SEARCH("Gri", D603)), -1, 0)))=1, VERI_TABANI!E23*(1-0.928)*VERI_TABANI!$B$9, 0) + (VERI_TABANI!D23*B603*(VERI_TABANI!$B$13-VERI_TABANI!$B$14)*VERI_TABANI!G23) + (VERI_TABANI!D23*C603*(VERI_TABANI!$B$13-VERI_TABANI!$B$15)*VERI_TABANI!G23) + IF(ABS(IF(ISNUMBER(SEARCH("Var", D603)), 1, IF(ISNUMBER(SEARCH("Gri", D603)), -1, 0)))=1, VERI_TABANI!E23*(1-0.928)*0.00206091519919798*VERI_TABANI!G23, 0)) + ((MIN(VERI_TABANI!D24, VERI_TABANI!D24*B603)*VERI_TABANI!$B$7 + MAX(0, VERI_TABANI!D24*B603-VERI_TABANI!D24)*VERI_TABANI!$B$8) + (MIN(MAX(0, VERI_TABANI!D24-VERI_TABANI!D24*B603), VERI_TABANI!D24*C603)*VERI_TABANI!$B$7 + MAX(0, VERI_TABANI!D24*C603-MAX(0, VERI_TABANI!D24-VERI_TABANI!D24*B603))*VERI_TABANI!$B$8) + IF(ABS(IF(ISNUMBER(SEARCH("Var", D603)), 1, IF(ISNUMBER(SEARCH("Gri", D603)), -1, 0)))=1, VERI_TABANI!E24*(1-0.928)*VERI_TABANI!$B$9, 0) + (VERI_TABANI!D24*B603*(VERI_TABANI!$B$13-VERI_TABANI!$B$14)*VERI_TABANI!G24) + (VERI_TABANI!D24*C603*(VERI_TABANI!$B$13-VERI_TABANI!$B$15)*VERI_TABANI!G24) + IF(ABS(IF(ISNUMBER(SEARCH("Var", D603)), 1, IF(ISNUMBER(SEARCH("Gri", D603)), -1, 0)))=1, VERI_TABANI!E24*(1-0.928)*0.00206091519919798*VERI_TABANI!G24, 0)) + ((MIN(VERI_TABANI!D25, VERI_TABANI!D25*B603)*VERI_TABANI!$B$7 + MAX(0, VERI_TABANI!D25*B603-VERI_TABANI!D25)*VERI_TABANI!$B$8) + (MIN(MAX(0, VERI_TABANI!D25-VERI_TABANI!D25*B603), VERI_TABANI!D25*C603)*VERI_TABANI!$B$7 + MAX(0, VERI_TABANI!D25*C603-MAX(0, VERI_TABANI!D25-VERI_TABANI!D25*B603))*VERI_TABANI!$B$8) + IF(ABS(IF(ISNUMBER(SEARCH("Var", D603)), 1, IF(ISNUMBER(SEARCH("Gri", D603)), -1, 0)))=1, VERI_TABANI!E25*(1-0.928)*VERI_TABANI!$B$9, 0) + (VERI_TABANI!D25*B603*(VERI_TABANI!$B$13-VERI_TABANI!$B$14)*VERI_TABANI!G25) + (VERI_TABANI!D25*C603*(VERI_TABANI!$B$13-VERI_TABANI!$B$15)*VERI_TABANI!G25) + IF(ABS(IF(ISNUMBER(SEARCH("Var", D603)), 1, IF(ISNUMBER(SEARCH("Gri", D603)), -1, 0)))=1, VERI_TABANI!E25*(1-0.928)*0.00206091519919798*VERI_TABANI!G25, 0)) + ((MIN(VERI_TABANI!D26, VERI_TABANI!D26*B603)*VERI_TABANI!$B$7 + MAX(0, VERI_TABANI!D26*B603-VERI_TABANI!D26)*VERI_TABANI!$B$8) + (MIN(MAX(0, VERI_TABANI!D26-VERI_TABANI!D26*B603), VERI_TABANI!D26*C603)*VERI_TABANI!$B$7 + MAX(0, VERI_TABANI!D26*C603-MAX(0, VERI_TABANI!D26-VERI_TABANI!D26*B603))*VERI_TABANI!$B$8) + IF(ABS(IF(ISNUMBER(SEARCH("Var", D603)), 1, IF(ISNUMBER(SEARCH("Gri", D603)), -1, 0)))=1, VERI_TABANI!E26*(1-0.928)*VERI_TABANI!$B$9, 0) + (VERI_TABANI!D26*B603*(VERI_TABANI!$B$13-VERI_TABANI!$B$14)*VERI_TABANI!G26) + (VERI_TABANI!D26*C603*(VERI_TABANI!$B$13-VERI_TABANI!$B$15)*VERI_TABANI!G26) + IF(ABS(IF(ISNUMBER(SEARCH("Var", D603)), 1, IF(ISNUMBER(SEARCH("Gri", D603)), -1, 0)))=1, VERI_TABANI!E26*(1-0.928)*0.00206091519919798*VERI_TABANI!G26, 0)) + ((MIN(VERI_TABANI!D27, VERI_TABANI!D27*B603)*VERI_TABANI!$B$7 + MAX(0, VERI_TABANI!D27*B603-VERI_TABANI!D27)*VERI_TABANI!$B$8) + (MIN(MAX(0, VERI_TABANI!D27-VERI_TABANI!D27*B603), VERI_TABANI!D27*C603)*VERI_TABANI!$B$7 + MAX(0, VERI_TABANI!D27*C603-MAX(0, VERI_TABANI!D27-VERI_TABANI!D27*B603))*VERI_TABANI!$B$8) + IF(ABS(IF(ISNUMBER(SEARCH("Var", D603)), 1, IF(ISNUMBER(SEARCH("Gri", D603)), -1, 0)))=1, VERI_TABANI!E27*(1-0.928)*VERI_TABANI!$B$9, 0) + (VERI_TABANI!D27*B603*(VERI_TABANI!$B$13-VERI_TABANI!$B$14)*VERI_TABANI!G27) + (VERI_TABANI!D27*C603*(VERI_TABANI!$B$13-VERI_TABANI!$B$15)*VERI_TABANI!G27) + IF(ABS(IF(ISNUMBER(SEARCH("Var", D603)), 1, IF(ISNUMBER(SEARCH("Gri", D603)), -1, 0)))=1, VERI_TABANI!E27*(1-0.928)*0.00206091519919798*VERI_TABANI!G27, 0)) + ((MIN(VERI_TABANI!D28, VERI_TABANI!D28*B603)*VERI_TABANI!$B$7 + MAX(0, VERI_TABANI!D28*B603-VERI_TABANI!D28)*VERI_TABANI!$B$8) + (MIN(MAX(0, VERI_TABANI!D28-VERI_TABANI!D28*B603), VERI_TABANI!D28*C603)*VERI_TABANI!$B$7 + MAX(0, VERI_TABANI!D28*C603-MAX(0, VERI_TABANI!D28-VERI_TABANI!D28*B603))*VERI_TABANI!$B$8) + IF(ABS(IF(ISNUMBER(SEARCH("Var", D603)), 1, IF(ISNUMBER(SEARCH("Gri", D603)), -1, 0)))=1, VERI_TABANI!E28*(1-0.928)*VERI_TABANI!$B$9, 0) + (VERI_TABANI!D28*B603*(VERI_TABANI!$B$13-VERI_TABANI!$B$14)*VERI_TABANI!G28) + (VERI_TABANI!D28*C603*(VERI_TABANI!$B$13-VERI_TABANI!$B$15)*VERI_TABANI!G28) + IF(ABS(IF(ISNUMBER(SEARCH("Var", D603)), 1, IF(ISNUMBER(SEARCH("Gri", D603)), -1, 0)))=1, VERI_TABANI!E28*(1-0.928)*0.00206091519919798*VERI_TABANI!G28, 0)))</f>
        <v/>
      </c>
      <c r="H603" s="169">
        <f>(((VERI_TABANI!D23*B603*(VERI_TABANI!$B$13-VERI_TABANI!$B$14)) + (VERI_TABANI!D23*C603*(VERI_TABANI!$B$13-VERI_TABANI!$B$15)) + IF(ISNUMBER(SEARCH("Var", D603)), VERI_TABANI!F23*(0.00202-VERI_TABANI!$B$16), IF(ISNUMBER(SEARCH("Gri", D603)), VERI_TABANI!F23*(0.00202-VERI_TABANI!$B$17), 0))) + ((VERI_TABANI!D24*B603*(VERI_TABANI!$B$13-VERI_TABANI!$B$14)) + (VERI_TABANI!D24*C603*(VERI_TABANI!$B$13-VERI_TABANI!$B$15)) + IF(ISNUMBER(SEARCH("Var", D603)), VERI_TABANI!F24*(0.00202-VERI_TABANI!$B$16), IF(ISNUMBER(SEARCH("Gri", D603)), VERI_TABANI!F24*(0.00202-VERI_TABANI!$B$17), 0))) + ((VERI_TABANI!D25*B603*(VERI_TABANI!$B$13-VERI_TABANI!$B$14)) + (VERI_TABANI!D25*C603*(VERI_TABANI!$B$13-VERI_TABANI!$B$15)) + IF(ISNUMBER(SEARCH("Var", D603)), VERI_TABANI!F25*(0.00202-VERI_TABANI!$B$16), IF(ISNUMBER(SEARCH("Gri", D603)), VERI_TABANI!F25*(0.00202-VERI_TABANI!$B$17), 0))) + ((VERI_TABANI!D26*B603*(VERI_TABANI!$B$13-VERI_TABANI!$B$14)) + (VERI_TABANI!D26*C603*(VERI_TABANI!$B$13-VERI_TABANI!$B$15)) + IF(ISNUMBER(SEARCH("Var", D603)), VERI_TABANI!F26*(0.00202-VERI_TABANI!$B$16), IF(ISNUMBER(SEARCH("Gri", D603)), VERI_TABANI!F26*(0.00202-VERI_TABANI!$B$17), 0))) + ((VERI_TABANI!D27*B603*(VERI_TABANI!$B$13-VERI_TABANI!$B$14)) + (VERI_TABANI!D27*C603*(VERI_TABANI!$B$13-VERI_TABANI!$B$15)) + IF(ISNUMBER(SEARCH("Var", D603)), VERI_TABANI!F27*(0.00202-VERI_TABANI!$B$16), IF(ISNUMBER(SEARCH("Gri", D603)), VERI_TABANI!F27*(0.00202-VERI_TABANI!$B$17), 0))) + ((VERI_TABANI!D28*B603*(VERI_TABANI!$B$13-VERI_TABANI!$B$14)) + (VERI_TABANI!D28*C603*(VERI_TABANI!$B$13-VERI_TABANI!$B$15)) + IF(ISNUMBER(SEARCH("Var", D603)), VERI_TABANI!F28*(0.00202-VERI_TABANI!$B$16), IF(ISNUMBER(SEARCH("Gri", D603)), VERI_TABANI!F28*(0.00202-VERI_TABANI!$B$17), 0))))</f>
        <v/>
      </c>
      <c r="I603" s="170">
        <f>IFERROR(((VERI_TABANI!$D$29*B603*VERI_TABANI!$B$14 + VERI_TABANI!$D$29*C603*VERI_TABANI!$B$15 + IF(ISNUMBER(SEARCH("Var", D603)), VERI_TABANI!$F$29*VERI_TABANI!$B$16, 0))) / (((VERI_TABANI!$D$29*B603 + VERI_TABANI!$D$29*C603)*VERI_TABANI!$B$13 + IF(ISNUMBER(SEARCH("Var", D603)), VERI_TABANI!$E$29*(1-0.928)*VERI_TABANI!$B$18, 0))), 0)</f>
        <v/>
      </c>
      <c r="J603" s="171">
        <f>IFERROR(F603/(G603/29), 0)</f>
        <v/>
      </c>
      <c r="K603" s="172">
        <f>IF(F603&gt;0, H603/F603, 0)</f>
        <v/>
      </c>
      <c r="L603" s="170">
        <f>IF(F603&gt;0, I603, 1000000000)</f>
        <v/>
      </c>
      <c r="M603" s="171">
        <f>ABS((B603+C603)-1)</f>
        <v/>
      </c>
      <c r="N603" s="170">
        <f>IF(F603&gt;0, (G603/29)/F603, 0)</f>
        <v/>
      </c>
      <c r="O603" s="168">
        <f>IF(AND((B603+C603)&gt;=1, ISNUMBER(SEARCH("Var", D603))), F603, 1000000000)</f>
        <v/>
      </c>
      <c r="P603" s="172">
        <f>IF(F603&gt;0, SQRT((F603/MAX(F$5:F$886))^2 + (1 - H603/MAX(H$5:H$886))^2 + (J603/MAX(J$5:J$886))^2), 1000000000)</f>
        <v/>
      </c>
      <c r="Q603" s="166">
        <f>IF(AND(ABS(B603-0.5)&lt;0.01, ABS(C603-0.5)&lt;0.01, ISNUMBER(SEARCH("Var", D603))), 1, 0)</f>
        <v/>
      </c>
      <c r="R603" s="171">
        <f>IF(F603&gt;0, J603, 1000000000)</f>
        <v/>
      </c>
      <c r="S603" s="101">
        <f>IF(AND(F603&lt;=DASHBOARD!$B$11, H603&gt;=DASHBOARD!$B$13), G603, -1000000000000)</f>
        <v/>
      </c>
      <c r="T603" s="101">
        <f>IF(AND(F603&lt;=DASHBOARD!$B$11, H603&gt;=DASHBOARD!$B$13), R603, 1000000000000)</f>
        <v/>
      </c>
      <c r="U603" s="101">
        <f>IF(AND(F603&lt;=DASHBOARD!$B$11, H603&gt;=DASHBOARD!$B$13), N603, -1000000000000)</f>
        <v/>
      </c>
      <c r="V603" s="101">
        <f>IF(AND(F603&lt;=DASHBOARD!$B$11, H603&gt;=DASHBOARD!$B$13), H603, -1000000000000)</f>
        <v/>
      </c>
      <c r="W603" s="101">
        <f>IF(AND(F603&lt;=DASHBOARD!$B$11, H603&gt;=DASHBOARD!$B$13), K603, -1000000000000)</f>
        <v/>
      </c>
      <c r="X603" s="101">
        <f>IF(AND(F603&lt;=DASHBOARD!$B$11, H603&gt;=DASHBOARD!$B$13), M603, 1000000000000)</f>
        <v/>
      </c>
      <c r="Y603" s="101">
        <f>IF(AND(F603&lt;=DASHBOARD!$B$10, H603&gt;=DASHBOARD!$B$11), L603, 1000000000000)</f>
        <v/>
      </c>
      <c r="Z603" s="101">
        <f>IF(AND(F603&lt;=DASHBOARD!$B$10, H603&gt;=DASHBOARD!$B$11), O603, 1000000000000)</f>
        <v/>
      </c>
      <c r="AA603" s="101">
        <f>IF(AND(F603&lt;=DASHBOARD!$B$10, H603&gt;=DASHBOARD!$B$11), P603, 1000000000000)</f>
        <v/>
      </c>
      <c r="AB603" s="101">
        <f>IF(AND(F603&lt;=DASHBOARD!$B$10, H603&gt;=DASHBOARD!$B$11), Q603, -1000000000000)</f>
        <v/>
      </c>
    </row>
    <row r="604" ht="15" customHeight="1" s="102">
      <c r="A604" s="166" t="n">
        <v>600</v>
      </c>
      <c r="B604" s="167" t="n">
        <v>1.4</v>
      </c>
      <c r="C604" s="167" t="n">
        <v>0.5</v>
      </c>
      <c r="D604" s="110" t="inlineStr">
        <is>
          <t>Var (%20)</t>
        </is>
      </c>
      <c r="E604" s="110">
        <f>IF((B604+C604)&lt;=1, "Tam Mahsuplaşma (≤%100)", "Kısmi Satış (&gt;%100)")</f>
        <v/>
      </c>
      <c r="F604" s="168">
        <f>((VERI_TABANI!$D$29*B604/VERI_TABANI!$B$29)/VERI_TABANI!$B$3)*VERI_TABANI!$B$5 + ((VERI_TABANI!$D$29*C604/VERI_TABANI!$B$29)/VERI_TABANI!$B$4)*VERI_TABANI!$B$6 + IF(ISNUMBER(SEARCH("Var", D604)), (VERI_TABANI!$F$29/VERI_TABANI!$B$29)*(VERI_TABANI!$B$10+VERI_TABANI!$B$12), 0)</f>
        <v/>
      </c>
      <c r="G604" s="168">
        <f>(((MIN(VERI_TABANI!D23, VERI_TABANI!D23*B604)*VERI_TABANI!$B$7 + MAX(0, VERI_TABANI!D23*B604-VERI_TABANI!D23)*VERI_TABANI!$B$8) + (MIN(MAX(0, VERI_TABANI!D23-VERI_TABANI!D23*B604), VERI_TABANI!D23*C604)*VERI_TABANI!$B$7 + MAX(0, VERI_TABANI!D23*C604-MAX(0, VERI_TABANI!D23-VERI_TABANI!D23*B604))*VERI_TABANI!$B$8) + IF(ABS(IF(ISNUMBER(SEARCH("Var", D604)), 1, IF(ISNUMBER(SEARCH("Gri", D604)), -1, 0)))=1, VERI_TABANI!E23*(1-0.928)*VERI_TABANI!$B$9, 0) + (VERI_TABANI!D23*B604*(VERI_TABANI!$B$13-VERI_TABANI!$B$14)*VERI_TABANI!G23) + (VERI_TABANI!D23*C604*(VERI_TABANI!$B$13-VERI_TABANI!$B$15)*VERI_TABANI!G23) + IF(ABS(IF(ISNUMBER(SEARCH("Var", D604)), 1, IF(ISNUMBER(SEARCH("Gri", D604)), -1, 0)))=1, VERI_TABANI!E23*(1-0.928)*0.00206091519919798*VERI_TABANI!G23, 0)) + ((MIN(VERI_TABANI!D24, VERI_TABANI!D24*B604)*VERI_TABANI!$B$7 + MAX(0, VERI_TABANI!D24*B604-VERI_TABANI!D24)*VERI_TABANI!$B$8) + (MIN(MAX(0, VERI_TABANI!D24-VERI_TABANI!D24*B604), VERI_TABANI!D24*C604)*VERI_TABANI!$B$7 + MAX(0, VERI_TABANI!D24*C604-MAX(0, VERI_TABANI!D24-VERI_TABANI!D24*B604))*VERI_TABANI!$B$8) + IF(ABS(IF(ISNUMBER(SEARCH("Var", D604)), 1, IF(ISNUMBER(SEARCH("Gri", D604)), -1, 0)))=1, VERI_TABANI!E24*(1-0.928)*VERI_TABANI!$B$9, 0) + (VERI_TABANI!D24*B604*(VERI_TABANI!$B$13-VERI_TABANI!$B$14)*VERI_TABANI!G24) + (VERI_TABANI!D24*C604*(VERI_TABANI!$B$13-VERI_TABANI!$B$15)*VERI_TABANI!G24) + IF(ABS(IF(ISNUMBER(SEARCH("Var", D604)), 1, IF(ISNUMBER(SEARCH("Gri", D604)), -1, 0)))=1, VERI_TABANI!E24*(1-0.928)*0.00206091519919798*VERI_TABANI!G24, 0)) + ((MIN(VERI_TABANI!D25, VERI_TABANI!D25*B604)*VERI_TABANI!$B$7 + MAX(0, VERI_TABANI!D25*B604-VERI_TABANI!D25)*VERI_TABANI!$B$8) + (MIN(MAX(0, VERI_TABANI!D25-VERI_TABANI!D25*B604), VERI_TABANI!D25*C604)*VERI_TABANI!$B$7 + MAX(0, VERI_TABANI!D25*C604-MAX(0, VERI_TABANI!D25-VERI_TABANI!D25*B604))*VERI_TABANI!$B$8) + IF(ABS(IF(ISNUMBER(SEARCH("Var", D604)), 1, IF(ISNUMBER(SEARCH("Gri", D604)), -1, 0)))=1, VERI_TABANI!E25*(1-0.928)*VERI_TABANI!$B$9, 0) + (VERI_TABANI!D25*B604*(VERI_TABANI!$B$13-VERI_TABANI!$B$14)*VERI_TABANI!G25) + (VERI_TABANI!D25*C604*(VERI_TABANI!$B$13-VERI_TABANI!$B$15)*VERI_TABANI!G25) + IF(ABS(IF(ISNUMBER(SEARCH("Var", D604)), 1, IF(ISNUMBER(SEARCH("Gri", D604)), -1, 0)))=1, VERI_TABANI!E25*(1-0.928)*0.00206091519919798*VERI_TABANI!G25, 0)) + ((MIN(VERI_TABANI!D26, VERI_TABANI!D26*B604)*VERI_TABANI!$B$7 + MAX(0, VERI_TABANI!D26*B604-VERI_TABANI!D26)*VERI_TABANI!$B$8) + (MIN(MAX(0, VERI_TABANI!D26-VERI_TABANI!D26*B604), VERI_TABANI!D26*C604)*VERI_TABANI!$B$7 + MAX(0, VERI_TABANI!D26*C604-MAX(0, VERI_TABANI!D26-VERI_TABANI!D26*B604))*VERI_TABANI!$B$8) + IF(ABS(IF(ISNUMBER(SEARCH("Var", D604)), 1, IF(ISNUMBER(SEARCH("Gri", D604)), -1, 0)))=1, VERI_TABANI!E26*(1-0.928)*VERI_TABANI!$B$9, 0) + (VERI_TABANI!D26*B604*(VERI_TABANI!$B$13-VERI_TABANI!$B$14)*VERI_TABANI!G26) + (VERI_TABANI!D26*C604*(VERI_TABANI!$B$13-VERI_TABANI!$B$15)*VERI_TABANI!G26) + IF(ABS(IF(ISNUMBER(SEARCH("Var", D604)), 1, IF(ISNUMBER(SEARCH("Gri", D604)), -1, 0)))=1, VERI_TABANI!E26*(1-0.928)*0.00206091519919798*VERI_TABANI!G26, 0)) + ((MIN(VERI_TABANI!D27, VERI_TABANI!D27*B604)*VERI_TABANI!$B$7 + MAX(0, VERI_TABANI!D27*B604-VERI_TABANI!D27)*VERI_TABANI!$B$8) + (MIN(MAX(0, VERI_TABANI!D27-VERI_TABANI!D27*B604), VERI_TABANI!D27*C604)*VERI_TABANI!$B$7 + MAX(0, VERI_TABANI!D27*C604-MAX(0, VERI_TABANI!D27-VERI_TABANI!D27*B604))*VERI_TABANI!$B$8) + IF(ABS(IF(ISNUMBER(SEARCH("Var", D604)), 1, IF(ISNUMBER(SEARCH("Gri", D604)), -1, 0)))=1, VERI_TABANI!E27*(1-0.928)*VERI_TABANI!$B$9, 0) + (VERI_TABANI!D27*B604*(VERI_TABANI!$B$13-VERI_TABANI!$B$14)*VERI_TABANI!G27) + (VERI_TABANI!D27*C604*(VERI_TABANI!$B$13-VERI_TABANI!$B$15)*VERI_TABANI!G27) + IF(ABS(IF(ISNUMBER(SEARCH("Var", D604)), 1, IF(ISNUMBER(SEARCH("Gri", D604)), -1, 0)))=1, VERI_TABANI!E27*(1-0.928)*0.00206091519919798*VERI_TABANI!G27, 0)) + ((MIN(VERI_TABANI!D28, VERI_TABANI!D28*B604)*VERI_TABANI!$B$7 + MAX(0, VERI_TABANI!D28*B604-VERI_TABANI!D28)*VERI_TABANI!$B$8) + (MIN(MAX(0, VERI_TABANI!D28-VERI_TABANI!D28*B604), VERI_TABANI!D28*C604)*VERI_TABANI!$B$7 + MAX(0, VERI_TABANI!D28*C604-MAX(0, VERI_TABANI!D28-VERI_TABANI!D28*B604))*VERI_TABANI!$B$8) + IF(ABS(IF(ISNUMBER(SEARCH("Var", D604)), 1, IF(ISNUMBER(SEARCH("Gri", D604)), -1, 0)))=1, VERI_TABANI!E28*(1-0.928)*VERI_TABANI!$B$9, 0) + (VERI_TABANI!D28*B604*(VERI_TABANI!$B$13-VERI_TABANI!$B$14)*VERI_TABANI!G28) + (VERI_TABANI!D28*C604*(VERI_TABANI!$B$13-VERI_TABANI!$B$15)*VERI_TABANI!G28) + IF(ABS(IF(ISNUMBER(SEARCH("Var", D604)), 1, IF(ISNUMBER(SEARCH("Gri", D604)), -1, 0)))=1, VERI_TABANI!E28*(1-0.928)*0.00206091519919798*VERI_TABANI!G28, 0)))</f>
        <v/>
      </c>
      <c r="H604" s="169">
        <f>(((VERI_TABANI!D23*B604*(VERI_TABANI!$B$13-VERI_TABANI!$B$14)) + (VERI_TABANI!D23*C604*(VERI_TABANI!$B$13-VERI_TABANI!$B$15)) + IF(ISNUMBER(SEARCH("Var", D604)), VERI_TABANI!F23*(0.00202-VERI_TABANI!$B$16), IF(ISNUMBER(SEARCH("Gri", D604)), VERI_TABANI!F23*(0.00202-VERI_TABANI!$B$17), 0))) + ((VERI_TABANI!D24*B604*(VERI_TABANI!$B$13-VERI_TABANI!$B$14)) + (VERI_TABANI!D24*C604*(VERI_TABANI!$B$13-VERI_TABANI!$B$15)) + IF(ISNUMBER(SEARCH("Var", D604)), VERI_TABANI!F24*(0.00202-VERI_TABANI!$B$16), IF(ISNUMBER(SEARCH("Gri", D604)), VERI_TABANI!F24*(0.00202-VERI_TABANI!$B$17), 0))) + ((VERI_TABANI!D25*B604*(VERI_TABANI!$B$13-VERI_TABANI!$B$14)) + (VERI_TABANI!D25*C604*(VERI_TABANI!$B$13-VERI_TABANI!$B$15)) + IF(ISNUMBER(SEARCH("Var", D604)), VERI_TABANI!F25*(0.00202-VERI_TABANI!$B$16), IF(ISNUMBER(SEARCH("Gri", D604)), VERI_TABANI!F25*(0.00202-VERI_TABANI!$B$17), 0))) + ((VERI_TABANI!D26*B604*(VERI_TABANI!$B$13-VERI_TABANI!$B$14)) + (VERI_TABANI!D26*C604*(VERI_TABANI!$B$13-VERI_TABANI!$B$15)) + IF(ISNUMBER(SEARCH("Var", D604)), VERI_TABANI!F26*(0.00202-VERI_TABANI!$B$16), IF(ISNUMBER(SEARCH("Gri", D604)), VERI_TABANI!F26*(0.00202-VERI_TABANI!$B$17), 0))) + ((VERI_TABANI!D27*B604*(VERI_TABANI!$B$13-VERI_TABANI!$B$14)) + (VERI_TABANI!D27*C604*(VERI_TABANI!$B$13-VERI_TABANI!$B$15)) + IF(ISNUMBER(SEARCH("Var", D604)), VERI_TABANI!F27*(0.00202-VERI_TABANI!$B$16), IF(ISNUMBER(SEARCH("Gri", D604)), VERI_TABANI!F27*(0.00202-VERI_TABANI!$B$17), 0))) + ((VERI_TABANI!D28*B604*(VERI_TABANI!$B$13-VERI_TABANI!$B$14)) + (VERI_TABANI!D28*C604*(VERI_TABANI!$B$13-VERI_TABANI!$B$15)) + IF(ISNUMBER(SEARCH("Var", D604)), VERI_TABANI!F28*(0.00202-VERI_TABANI!$B$16), IF(ISNUMBER(SEARCH("Gri", D604)), VERI_TABANI!F28*(0.00202-VERI_TABANI!$B$17), 0))))</f>
        <v/>
      </c>
      <c r="I604" s="170">
        <f>IFERROR(((VERI_TABANI!$D$29*B604*VERI_TABANI!$B$14 + VERI_TABANI!$D$29*C604*VERI_TABANI!$B$15 + IF(ISNUMBER(SEARCH("Var", D604)), VERI_TABANI!$F$29*VERI_TABANI!$B$16, 0))) / (((VERI_TABANI!$D$29*B604 + VERI_TABANI!$D$29*C604)*VERI_TABANI!$B$13 + IF(ISNUMBER(SEARCH("Var", D604)), VERI_TABANI!$E$29*(1-0.928)*VERI_TABANI!$B$18, 0))), 0)</f>
        <v/>
      </c>
      <c r="J604" s="171">
        <f>IFERROR(F604/(G604/29), 0)</f>
        <v/>
      </c>
      <c r="K604" s="172">
        <f>IF(F604&gt;0, H604/F604, 0)</f>
        <v/>
      </c>
      <c r="L604" s="170">
        <f>IF(F604&gt;0, I604, 1000000000)</f>
        <v/>
      </c>
      <c r="M604" s="171">
        <f>ABS((B604+C604)-1)</f>
        <v/>
      </c>
      <c r="N604" s="170">
        <f>IF(F604&gt;0, (G604/29)/F604, 0)</f>
        <v/>
      </c>
      <c r="O604" s="168">
        <f>IF(AND((B604+C604)&gt;=1, ISNUMBER(SEARCH("Var", D604))), F604, 1000000000)</f>
        <v/>
      </c>
      <c r="P604" s="172">
        <f>IF(F604&gt;0, SQRT((F604/MAX(F$5:F$886))^2 + (1 - H604/MAX(H$5:H$886))^2 + (J604/MAX(J$5:J$886))^2), 1000000000)</f>
        <v/>
      </c>
      <c r="Q604" s="166">
        <f>IF(AND(ABS(B604-0.5)&lt;0.01, ABS(C604-0.5)&lt;0.01, ISNUMBER(SEARCH("Var", D604))), 1, 0)</f>
        <v/>
      </c>
      <c r="R604" s="171">
        <f>IF(F604&gt;0, J604, 1000000000)</f>
        <v/>
      </c>
      <c r="S604" s="101">
        <f>IF(AND(F604&lt;=DASHBOARD!$B$11, H604&gt;=DASHBOARD!$B$13), G604, -1000000000000)</f>
        <v/>
      </c>
      <c r="T604" s="101">
        <f>IF(AND(F604&lt;=DASHBOARD!$B$11, H604&gt;=DASHBOARD!$B$13), R604, 1000000000000)</f>
        <v/>
      </c>
      <c r="U604" s="101">
        <f>IF(AND(F604&lt;=DASHBOARD!$B$11, H604&gt;=DASHBOARD!$B$13), N604, -1000000000000)</f>
        <v/>
      </c>
      <c r="V604" s="101">
        <f>IF(AND(F604&lt;=DASHBOARD!$B$11, H604&gt;=DASHBOARD!$B$13), H604, -1000000000000)</f>
        <v/>
      </c>
      <c r="W604" s="101">
        <f>IF(AND(F604&lt;=DASHBOARD!$B$11, H604&gt;=DASHBOARD!$B$13), K604, -1000000000000)</f>
        <v/>
      </c>
      <c r="X604" s="101">
        <f>IF(AND(F604&lt;=DASHBOARD!$B$11, H604&gt;=DASHBOARD!$B$13), M604, 1000000000000)</f>
        <v/>
      </c>
      <c r="Y604" s="101">
        <f>IF(AND(F604&lt;=DASHBOARD!$B$10, H604&gt;=DASHBOARD!$B$11), L604, 1000000000000)</f>
        <v/>
      </c>
      <c r="Z604" s="101">
        <f>IF(AND(F604&lt;=DASHBOARD!$B$10, H604&gt;=DASHBOARD!$B$11), O604, 1000000000000)</f>
        <v/>
      </c>
      <c r="AA604" s="101">
        <f>IF(AND(F604&lt;=DASHBOARD!$B$10, H604&gt;=DASHBOARD!$B$11), P604, 1000000000000)</f>
        <v/>
      </c>
      <c r="AB604" s="101">
        <f>IF(AND(F604&lt;=DASHBOARD!$B$10, H604&gt;=DASHBOARD!$B$11), Q604, -1000000000000)</f>
        <v/>
      </c>
    </row>
    <row r="605" ht="15" customHeight="1" s="102">
      <c r="A605" s="166" t="n">
        <v>601</v>
      </c>
      <c r="B605" s="167" t="n">
        <v>1.4</v>
      </c>
      <c r="C605" s="167" t="n">
        <v>0.6</v>
      </c>
      <c r="D605" s="110" t="inlineStr">
        <is>
          <t>Yok (%0)</t>
        </is>
      </c>
      <c r="E605" s="110">
        <f>IF((B605+C605)&lt;=1, "Tam Mahsuplaşma (≤%100)", "Kısmi Satış (&gt;%100)")</f>
        <v/>
      </c>
      <c r="F605" s="168">
        <f>((VERI_TABANI!$D$29*B605/VERI_TABANI!$B$29)/VERI_TABANI!$B$3)*VERI_TABANI!$B$5 + ((VERI_TABANI!$D$29*C605/VERI_TABANI!$B$29)/VERI_TABANI!$B$4)*VERI_TABANI!$B$6 + IF(ISNUMBER(SEARCH("Var", D605)), (VERI_TABANI!$F$29/VERI_TABANI!$B$29)*(VERI_TABANI!$B$10+VERI_TABANI!$B$12), 0)</f>
        <v/>
      </c>
      <c r="G605" s="168">
        <f>(((MIN(VERI_TABANI!D23, VERI_TABANI!D23*B605)*VERI_TABANI!$B$7 + MAX(0, VERI_TABANI!D23*B605-VERI_TABANI!D23)*VERI_TABANI!$B$8) + (MIN(MAX(0, VERI_TABANI!D23-VERI_TABANI!D23*B605), VERI_TABANI!D23*C605)*VERI_TABANI!$B$7 + MAX(0, VERI_TABANI!D23*C605-MAX(0, VERI_TABANI!D23-VERI_TABANI!D23*B605))*VERI_TABANI!$B$8) + IF(ABS(IF(ISNUMBER(SEARCH("Var", D605)), 1, IF(ISNUMBER(SEARCH("Gri", D605)), -1, 0)))=1, VERI_TABANI!E23*(1-0.928)*VERI_TABANI!$B$9, 0) + (VERI_TABANI!D23*B605*(VERI_TABANI!$B$13-VERI_TABANI!$B$14)*VERI_TABANI!G23) + (VERI_TABANI!D23*C605*(VERI_TABANI!$B$13-VERI_TABANI!$B$15)*VERI_TABANI!G23) + IF(ABS(IF(ISNUMBER(SEARCH("Var", D605)), 1, IF(ISNUMBER(SEARCH("Gri", D605)), -1, 0)))=1, VERI_TABANI!E23*(1-0.928)*0.00206091519919798*VERI_TABANI!G23, 0)) + ((MIN(VERI_TABANI!D24, VERI_TABANI!D24*B605)*VERI_TABANI!$B$7 + MAX(0, VERI_TABANI!D24*B605-VERI_TABANI!D24)*VERI_TABANI!$B$8) + (MIN(MAX(0, VERI_TABANI!D24-VERI_TABANI!D24*B605), VERI_TABANI!D24*C605)*VERI_TABANI!$B$7 + MAX(0, VERI_TABANI!D24*C605-MAX(0, VERI_TABANI!D24-VERI_TABANI!D24*B605))*VERI_TABANI!$B$8) + IF(ABS(IF(ISNUMBER(SEARCH("Var", D605)), 1, IF(ISNUMBER(SEARCH("Gri", D605)), -1, 0)))=1, VERI_TABANI!E24*(1-0.928)*VERI_TABANI!$B$9, 0) + (VERI_TABANI!D24*B605*(VERI_TABANI!$B$13-VERI_TABANI!$B$14)*VERI_TABANI!G24) + (VERI_TABANI!D24*C605*(VERI_TABANI!$B$13-VERI_TABANI!$B$15)*VERI_TABANI!G24) + IF(ABS(IF(ISNUMBER(SEARCH("Var", D605)), 1, IF(ISNUMBER(SEARCH("Gri", D605)), -1, 0)))=1, VERI_TABANI!E24*(1-0.928)*0.00206091519919798*VERI_TABANI!G24, 0)) + ((MIN(VERI_TABANI!D25, VERI_TABANI!D25*B605)*VERI_TABANI!$B$7 + MAX(0, VERI_TABANI!D25*B605-VERI_TABANI!D25)*VERI_TABANI!$B$8) + (MIN(MAX(0, VERI_TABANI!D25-VERI_TABANI!D25*B605), VERI_TABANI!D25*C605)*VERI_TABANI!$B$7 + MAX(0, VERI_TABANI!D25*C605-MAX(0, VERI_TABANI!D25-VERI_TABANI!D25*B605))*VERI_TABANI!$B$8) + IF(ABS(IF(ISNUMBER(SEARCH("Var", D605)), 1, IF(ISNUMBER(SEARCH("Gri", D605)), -1, 0)))=1, VERI_TABANI!E25*(1-0.928)*VERI_TABANI!$B$9, 0) + (VERI_TABANI!D25*B605*(VERI_TABANI!$B$13-VERI_TABANI!$B$14)*VERI_TABANI!G25) + (VERI_TABANI!D25*C605*(VERI_TABANI!$B$13-VERI_TABANI!$B$15)*VERI_TABANI!G25) + IF(ABS(IF(ISNUMBER(SEARCH("Var", D605)), 1, IF(ISNUMBER(SEARCH("Gri", D605)), -1, 0)))=1, VERI_TABANI!E25*(1-0.928)*0.00206091519919798*VERI_TABANI!G25, 0)) + ((MIN(VERI_TABANI!D26, VERI_TABANI!D26*B605)*VERI_TABANI!$B$7 + MAX(0, VERI_TABANI!D26*B605-VERI_TABANI!D26)*VERI_TABANI!$B$8) + (MIN(MAX(0, VERI_TABANI!D26-VERI_TABANI!D26*B605), VERI_TABANI!D26*C605)*VERI_TABANI!$B$7 + MAX(0, VERI_TABANI!D26*C605-MAX(0, VERI_TABANI!D26-VERI_TABANI!D26*B605))*VERI_TABANI!$B$8) + IF(ABS(IF(ISNUMBER(SEARCH("Var", D605)), 1, IF(ISNUMBER(SEARCH("Gri", D605)), -1, 0)))=1, VERI_TABANI!E26*(1-0.928)*VERI_TABANI!$B$9, 0) + (VERI_TABANI!D26*B605*(VERI_TABANI!$B$13-VERI_TABANI!$B$14)*VERI_TABANI!G26) + (VERI_TABANI!D26*C605*(VERI_TABANI!$B$13-VERI_TABANI!$B$15)*VERI_TABANI!G26) + IF(ABS(IF(ISNUMBER(SEARCH("Var", D605)), 1, IF(ISNUMBER(SEARCH("Gri", D605)), -1, 0)))=1, VERI_TABANI!E26*(1-0.928)*0.00206091519919798*VERI_TABANI!G26, 0)) + ((MIN(VERI_TABANI!D27, VERI_TABANI!D27*B605)*VERI_TABANI!$B$7 + MAX(0, VERI_TABANI!D27*B605-VERI_TABANI!D27)*VERI_TABANI!$B$8) + (MIN(MAX(0, VERI_TABANI!D27-VERI_TABANI!D27*B605), VERI_TABANI!D27*C605)*VERI_TABANI!$B$7 + MAX(0, VERI_TABANI!D27*C605-MAX(0, VERI_TABANI!D27-VERI_TABANI!D27*B605))*VERI_TABANI!$B$8) + IF(ABS(IF(ISNUMBER(SEARCH("Var", D605)), 1, IF(ISNUMBER(SEARCH("Gri", D605)), -1, 0)))=1, VERI_TABANI!E27*(1-0.928)*VERI_TABANI!$B$9, 0) + (VERI_TABANI!D27*B605*(VERI_TABANI!$B$13-VERI_TABANI!$B$14)*VERI_TABANI!G27) + (VERI_TABANI!D27*C605*(VERI_TABANI!$B$13-VERI_TABANI!$B$15)*VERI_TABANI!G27) + IF(ABS(IF(ISNUMBER(SEARCH("Var", D605)), 1, IF(ISNUMBER(SEARCH("Gri", D605)), -1, 0)))=1, VERI_TABANI!E27*(1-0.928)*0.00206091519919798*VERI_TABANI!G27, 0)) + ((MIN(VERI_TABANI!D28, VERI_TABANI!D28*B605)*VERI_TABANI!$B$7 + MAX(0, VERI_TABANI!D28*B605-VERI_TABANI!D28)*VERI_TABANI!$B$8) + (MIN(MAX(0, VERI_TABANI!D28-VERI_TABANI!D28*B605), VERI_TABANI!D28*C605)*VERI_TABANI!$B$7 + MAX(0, VERI_TABANI!D28*C605-MAX(0, VERI_TABANI!D28-VERI_TABANI!D28*B605))*VERI_TABANI!$B$8) + IF(ABS(IF(ISNUMBER(SEARCH("Var", D605)), 1, IF(ISNUMBER(SEARCH("Gri", D605)), -1, 0)))=1, VERI_TABANI!E28*(1-0.928)*VERI_TABANI!$B$9, 0) + (VERI_TABANI!D28*B605*(VERI_TABANI!$B$13-VERI_TABANI!$B$14)*VERI_TABANI!G28) + (VERI_TABANI!D28*C605*(VERI_TABANI!$B$13-VERI_TABANI!$B$15)*VERI_TABANI!G28) + IF(ABS(IF(ISNUMBER(SEARCH("Var", D605)), 1, IF(ISNUMBER(SEARCH("Gri", D605)), -1, 0)))=1, VERI_TABANI!E28*(1-0.928)*0.00206091519919798*VERI_TABANI!G28, 0)))</f>
        <v/>
      </c>
      <c r="H605" s="169">
        <f>(((VERI_TABANI!D23*B605*(VERI_TABANI!$B$13-VERI_TABANI!$B$14)) + (VERI_TABANI!D23*C605*(VERI_TABANI!$B$13-VERI_TABANI!$B$15)) + IF(ISNUMBER(SEARCH("Var", D605)), VERI_TABANI!F23*(0.00202-VERI_TABANI!$B$16), IF(ISNUMBER(SEARCH("Gri", D605)), VERI_TABANI!F23*(0.00202-VERI_TABANI!$B$17), 0))) + ((VERI_TABANI!D24*B605*(VERI_TABANI!$B$13-VERI_TABANI!$B$14)) + (VERI_TABANI!D24*C605*(VERI_TABANI!$B$13-VERI_TABANI!$B$15)) + IF(ISNUMBER(SEARCH("Var", D605)), VERI_TABANI!F24*(0.00202-VERI_TABANI!$B$16), IF(ISNUMBER(SEARCH("Gri", D605)), VERI_TABANI!F24*(0.00202-VERI_TABANI!$B$17), 0))) + ((VERI_TABANI!D25*B605*(VERI_TABANI!$B$13-VERI_TABANI!$B$14)) + (VERI_TABANI!D25*C605*(VERI_TABANI!$B$13-VERI_TABANI!$B$15)) + IF(ISNUMBER(SEARCH("Var", D605)), VERI_TABANI!F25*(0.00202-VERI_TABANI!$B$16), IF(ISNUMBER(SEARCH("Gri", D605)), VERI_TABANI!F25*(0.00202-VERI_TABANI!$B$17), 0))) + ((VERI_TABANI!D26*B605*(VERI_TABANI!$B$13-VERI_TABANI!$B$14)) + (VERI_TABANI!D26*C605*(VERI_TABANI!$B$13-VERI_TABANI!$B$15)) + IF(ISNUMBER(SEARCH("Var", D605)), VERI_TABANI!F26*(0.00202-VERI_TABANI!$B$16), IF(ISNUMBER(SEARCH("Gri", D605)), VERI_TABANI!F26*(0.00202-VERI_TABANI!$B$17), 0))) + ((VERI_TABANI!D27*B605*(VERI_TABANI!$B$13-VERI_TABANI!$B$14)) + (VERI_TABANI!D27*C605*(VERI_TABANI!$B$13-VERI_TABANI!$B$15)) + IF(ISNUMBER(SEARCH("Var", D605)), VERI_TABANI!F27*(0.00202-VERI_TABANI!$B$16), IF(ISNUMBER(SEARCH("Gri", D605)), VERI_TABANI!F27*(0.00202-VERI_TABANI!$B$17), 0))) + ((VERI_TABANI!D28*B605*(VERI_TABANI!$B$13-VERI_TABANI!$B$14)) + (VERI_TABANI!D28*C605*(VERI_TABANI!$B$13-VERI_TABANI!$B$15)) + IF(ISNUMBER(SEARCH("Var", D605)), VERI_TABANI!F28*(0.00202-VERI_TABANI!$B$16), IF(ISNUMBER(SEARCH("Gri", D605)), VERI_TABANI!F28*(0.00202-VERI_TABANI!$B$17), 0))))</f>
        <v/>
      </c>
      <c r="I605" s="170">
        <f>IFERROR(((VERI_TABANI!$D$29*B605*VERI_TABANI!$B$14 + VERI_TABANI!$D$29*C605*VERI_TABANI!$B$15 + IF(ISNUMBER(SEARCH("Var", D605)), VERI_TABANI!$F$29*VERI_TABANI!$B$16, 0))) / (((VERI_TABANI!$D$29*B605 + VERI_TABANI!$D$29*C605)*VERI_TABANI!$B$13 + IF(ISNUMBER(SEARCH("Var", D605)), VERI_TABANI!$E$29*(1-0.928)*VERI_TABANI!$B$18, 0))), 0)</f>
        <v/>
      </c>
      <c r="J605" s="171">
        <f>IFERROR(F605/(G605/29), 0)</f>
        <v/>
      </c>
      <c r="K605" s="172">
        <f>IF(F605&gt;0, H605/F605, 0)</f>
        <v/>
      </c>
      <c r="L605" s="170">
        <f>IF(F605&gt;0, I605, 1000000000)</f>
        <v/>
      </c>
      <c r="M605" s="171">
        <f>ABS((B605+C605)-1)</f>
        <v/>
      </c>
      <c r="N605" s="170">
        <f>IF(F605&gt;0, (G605/29)/F605, 0)</f>
        <v/>
      </c>
      <c r="O605" s="168">
        <f>IF(AND((B605+C605)&gt;=1, ISNUMBER(SEARCH("Var", D605))), F605, 1000000000)</f>
        <v/>
      </c>
      <c r="P605" s="172">
        <f>IF(F605&gt;0, SQRT((F605/MAX(F$5:F$886))^2 + (1 - H605/MAX(H$5:H$886))^2 + (J605/MAX(J$5:J$886))^2), 1000000000)</f>
        <v/>
      </c>
      <c r="Q605" s="166">
        <f>IF(AND(ABS(B605-0.5)&lt;0.01, ABS(C605-0.5)&lt;0.01, ISNUMBER(SEARCH("Var", D605))), 1, 0)</f>
        <v/>
      </c>
      <c r="R605" s="171">
        <f>IF(F605&gt;0, J605, 1000000000)</f>
        <v/>
      </c>
      <c r="S605" s="101">
        <f>IF(AND(F605&lt;=DASHBOARD!$B$11, H605&gt;=DASHBOARD!$B$13), G605, -1000000000000)</f>
        <v/>
      </c>
      <c r="T605" s="101">
        <f>IF(AND(F605&lt;=DASHBOARD!$B$11, H605&gt;=DASHBOARD!$B$13), R605, 1000000000000)</f>
        <v/>
      </c>
      <c r="U605" s="101">
        <f>IF(AND(F605&lt;=DASHBOARD!$B$11, H605&gt;=DASHBOARD!$B$13), N605, -1000000000000)</f>
        <v/>
      </c>
      <c r="V605" s="101">
        <f>IF(AND(F605&lt;=DASHBOARD!$B$11, H605&gt;=DASHBOARD!$B$13), H605, -1000000000000)</f>
        <v/>
      </c>
      <c r="W605" s="101">
        <f>IF(AND(F605&lt;=DASHBOARD!$B$11, H605&gt;=DASHBOARD!$B$13), K605, -1000000000000)</f>
        <v/>
      </c>
      <c r="X605" s="101">
        <f>IF(AND(F605&lt;=DASHBOARD!$B$11, H605&gt;=DASHBOARD!$B$13), M605, 1000000000000)</f>
        <v/>
      </c>
      <c r="Y605" s="101">
        <f>IF(AND(F605&lt;=DASHBOARD!$B$10, H605&gt;=DASHBOARD!$B$11), L605, 1000000000000)</f>
        <v/>
      </c>
      <c r="Z605" s="101">
        <f>IF(AND(F605&lt;=DASHBOARD!$B$10, H605&gt;=DASHBOARD!$B$11), O605, 1000000000000)</f>
        <v/>
      </c>
      <c r="AA605" s="101">
        <f>IF(AND(F605&lt;=DASHBOARD!$B$10, H605&gt;=DASHBOARD!$B$11), P605, 1000000000000)</f>
        <v/>
      </c>
      <c r="AB605" s="101">
        <f>IF(AND(F605&lt;=DASHBOARD!$B$10, H605&gt;=DASHBOARD!$B$11), Q605, -1000000000000)</f>
        <v/>
      </c>
    </row>
    <row r="606" ht="15" customHeight="1" s="102">
      <c r="A606" s="166" t="n">
        <v>602</v>
      </c>
      <c r="B606" s="167" t="n">
        <v>1.4</v>
      </c>
      <c r="C606" s="167" t="n">
        <v>0.6</v>
      </c>
      <c r="D606" s="110" t="inlineStr">
        <is>
          <t>Var (%20)</t>
        </is>
      </c>
      <c r="E606" s="110">
        <f>IF((B606+C606)&lt;=1, "Tam Mahsuplaşma (≤%100)", "Kısmi Satış (&gt;%100)")</f>
        <v/>
      </c>
      <c r="F606" s="168">
        <f>((VERI_TABANI!$D$29*B606/VERI_TABANI!$B$29)/VERI_TABANI!$B$3)*VERI_TABANI!$B$5 + ((VERI_TABANI!$D$29*C606/VERI_TABANI!$B$29)/VERI_TABANI!$B$4)*VERI_TABANI!$B$6 + IF(ISNUMBER(SEARCH("Var", D606)), (VERI_TABANI!$F$29/VERI_TABANI!$B$29)*(VERI_TABANI!$B$10+VERI_TABANI!$B$12), 0)</f>
        <v/>
      </c>
      <c r="G606" s="168">
        <f>(((MIN(VERI_TABANI!D23, VERI_TABANI!D23*B606)*VERI_TABANI!$B$7 + MAX(0, VERI_TABANI!D23*B606-VERI_TABANI!D23)*VERI_TABANI!$B$8) + (MIN(MAX(0, VERI_TABANI!D23-VERI_TABANI!D23*B606), VERI_TABANI!D23*C606)*VERI_TABANI!$B$7 + MAX(0, VERI_TABANI!D23*C606-MAX(0, VERI_TABANI!D23-VERI_TABANI!D23*B606))*VERI_TABANI!$B$8) + IF(ABS(IF(ISNUMBER(SEARCH("Var", D606)), 1, IF(ISNUMBER(SEARCH("Gri", D606)), -1, 0)))=1, VERI_TABANI!E23*(1-0.928)*VERI_TABANI!$B$9, 0) + (VERI_TABANI!D23*B606*(VERI_TABANI!$B$13-VERI_TABANI!$B$14)*VERI_TABANI!G23) + (VERI_TABANI!D23*C606*(VERI_TABANI!$B$13-VERI_TABANI!$B$15)*VERI_TABANI!G23) + IF(ABS(IF(ISNUMBER(SEARCH("Var", D606)), 1, IF(ISNUMBER(SEARCH("Gri", D606)), -1, 0)))=1, VERI_TABANI!E23*(1-0.928)*0.00206091519919798*VERI_TABANI!G23, 0)) + ((MIN(VERI_TABANI!D24, VERI_TABANI!D24*B606)*VERI_TABANI!$B$7 + MAX(0, VERI_TABANI!D24*B606-VERI_TABANI!D24)*VERI_TABANI!$B$8) + (MIN(MAX(0, VERI_TABANI!D24-VERI_TABANI!D24*B606), VERI_TABANI!D24*C606)*VERI_TABANI!$B$7 + MAX(0, VERI_TABANI!D24*C606-MAX(0, VERI_TABANI!D24-VERI_TABANI!D24*B606))*VERI_TABANI!$B$8) + IF(ABS(IF(ISNUMBER(SEARCH("Var", D606)), 1, IF(ISNUMBER(SEARCH("Gri", D606)), -1, 0)))=1, VERI_TABANI!E24*(1-0.928)*VERI_TABANI!$B$9, 0) + (VERI_TABANI!D24*B606*(VERI_TABANI!$B$13-VERI_TABANI!$B$14)*VERI_TABANI!G24) + (VERI_TABANI!D24*C606*(VERI_TABANI!$B$13-VERI_TABANI!$B$15)*VERI_TABANI!G24) + IF(ABS(IF(ISNUMBER(SEARCH("Var", D606)), 1, IF(ISNUMBER(SEARCH("Gri", D606)), -1, 0)))=1, VERI_TABANI!E24*(1-0.928)*0.00206091519919798*VERI_TABANI!G24, 0)) + ((MIN(VERI_TABANI!D25, VERI_TABANI!D25*B606)*VERI_TABANI!$B$7 + MAX(0, VERI_TABANI!D25*B606-VERI_TABANI!D25)*VERI_TABANI!$B$8) + (MIN(MAX(0, VERI_TABANI!D25-VERI_TABANI!D25*B606), VERI_TABANI!D25*C606)*VERI_TABANI!$B$7 + MAX(0, VERI_TABANI!D25*C606-MAX(0, VERI_TABANI!D25-VERI_TABANI!D25*B606))*VERI_TABANI!$B$8) + IF(ABS(IF(ISNUMBER(SEARCH("Var", D606)), 1, IF(ISNUMBER(SEARCH("Gri", D606)), -1, 0)))=1, VERI_TABANI!E25*(1-0.928)*VERI_TABANI!$B$9, 0) + (VERI_TABANI!D25*B606*(VERI_TABANI!$B$13-VERI_TABANI!$B$14)*VERI_TABANI!G25) + (VERI_TABANI!D25*C606*(VERI_TABANI!$B$13-VERI_TABANI!$B$15)*VERI_TABANI!G25) + IF(ABS(IF(ISNUMBER(SEARCH("Var", D606)), 1, IF(ISNUMBER(SEARCH("Gri", D606)), -1, 0)))=1, VERI_TABANI!E25*(1-0.928)*0.00206091519919798*VERI_TABANI!G25, 0)) + ((MIN(VERI_TABANI!D26, VERI_TABANI!D26*B606)*VERI_TABANI!$B$7 + MAX(0, VERI_TABANI!D26*B606-VERI_TABANI!D26)*VERI_TABANI!$B$8) + (MIN(MAX(0, VERI_TABANI!D26-VERI_TABANI!D26*B606), VERI_TABANI!D26*C606)*VERI_TABANI!$B$7 + MAX(0, VERI_TABANI!D26*C606-MAX(0, VERI_TABANI!D26-VERI_TABANI!D26*B606))*VERI_TABANI!$B$8) + IF(ABS(IF(ISNUMBER(SEARCH("Var", D606)), 1, IF(ISNUMBER(SEARCH("Gri", D606)), -1, 0)))=1, VERI_TABANI!E26*(1-0.928)*VERI_TABANI!$B$9, 0) + (VERI_TABANI!D26*B606*(VERI_TABANI!$B$13-VERI_TABANI!$B$14)*VERI_TABANI!G26) + (VERI_TABANI!D26*C606*(VERI_TABANI!$B$13-VERI_TABANI!$B$15)*VERI_TABANI!G26) + IF(ABS(IF(ISNUMBER(SEARCH("Var", D606)), 1, IF(ISNUMBER(SEARCH("Gri", D606)), -1, 0)))=1, VERI_TABANI!E26*(1-0.928)*0.00206091519919798*VERI_TABANI!G26, 0)) + ((MIN(VERI_TABANI!D27, VERI_TABANI!D27*B606)*VERI_TABANI!$B$7 + MAX(0, VERI_TABANI!D27*B606-VERI_TABANI!D27)*VERI_TABANI!$B$8) + (MIN(MAX(0, VERI_TABANI!D27-VERI_TABANI!D27*B606), VERI_TABANI!D27*C606)*VERI_TABANI!$B$7 + MAX(0, VERI_TABANI!D27*C606-MAX(0, VERI_TABANI!D27-VERI_TABANI!D27*B606))*VERI_TABANI!$B$8) + IF(ABS(IF(ISNUMBER(SEARCH("Var", D606)), 1, IF(ISNUMBER(SEARCH("Gri", D606)), -1, 0)))=1, VERI_TABANI!E27*(1-0.928)*VERI_TABANI!$B$9, 0) + (VERI_TABANI!D27*B606*(VERI_TABANI!$B$13-VERI_TABANI!$B$14)*VERI_TABANI!G27) + (VERI_TABANI!D27*C606*(VERI_TABANI!$B$13-VERI_TABANI!$B$15)*VERI_TABANI!G27) + IF(ABS(IF(ISNUMBER(SEARCH("Var", D606)), 1, IF(ISNUMBER(SEARCH("Gri", D606)), -1, 0)))=1, VERI_TABANI!E27*(1-0.928)*0.00206091519919798*VERI_TABANI!G27, 0)) + ((MIN(VERI_TABANI!D28, VERI_TABANI!D28*B606)*VERI_TABANI!$B$7 + MAX(0, VERI_TABANI!D28*B606-VERI_TABANI!D28)*VERI_TABANI!$B$8) + (MIN(MAX(0, VERI_TABANI!D28-VERI_TABANI!D28*B606), VERI_TABANI!D28*C606)*VERI_TABANI!$B$7 + MAX(0, VERI_TABANI!D28*C606-MAX(0, VERI_TABANI!D28-VERI_TABANI!D28*B606))*VERI_TABANI!$B$8) + IF(ABS(IF(ISNUMBER(SEARCH("Var", D606)), 1, IF(ISNUMBER(SEARCH("Gri", D606)), -1, 0)))=1, VERI_TABANI!E28*(1-0.928)*VERI_TABANI!$B$9, 0) + (VERI_TABANI!D28*B606*(VERI_TABANI!$B$13-VERI_TABANI!$B$14)*VERI_TABANI!G28) + (VERI_TABANI!D28*C606*(VERI_TABANI!$B$13-VERI_TABANI!$B$15)*VERI_TABANI!G28) + IF(ABS(IF(ISNUMBER(SEARCH("Var", D606)), 1, IF(ISNUMBER(SEARCH("Gri", D606)), -1, 0)))=1, VERI_TABANI!E28*(1-0.928)*0.00206091519919798*VERI_TABANI!G28, 0)))</f>
        <v/>
      </c>
      <c r="H606" s="169">
        <f>(((VERI_TABANI!D23*B606*(VERI_TABANI!$B$13-VERI_TABANI!$B$14)) + (VERI_TABANI!D23*C606*(VERI_TABANI!$B$13-VERI_TABANI!$B$15)) + IF(ISNUMBER(SEARCH("Var", D606)), VERI_TABANI!F23*(0.00202-VERI_TABANI!$B$16), IF(ISNUMBER(SEARCH("Gri", D606)), VERI_TABANI!F23*(0.00202-VERI_TABANI!$B$17), 0))) + ((VERI_TABANI!D24*B606*(VERI_TABANI!$B$13-VERI_TABANI!$B$14)) + (VERI_TABANI!D24*C606*(VERI_TABANI!$B$13-VERI_TABANI!$B$15)) + IF(ISNUMBER(SEARCH("Var", D606)), VERI_TABANI!F24*(0.00202-VERI_TABANI!$B$16), IF(ISNUMBER(SEARCH("Gri", D606)), VERI_TABANI!F24*(0.00202-VERI_TABANI!$B$17), 0))) + ((VERI_TABANI!D25*B606*(VERI_TABANI!$B$13-VERI_TABANI!$B$14)) + (VERI_TABANI!D25*C606*(VERI_TABANI!$B$13-VERI_TABANI!$B$15)) + IF(ISNUMBER(SEARCH("Var", D606)), VERI_TABANI!F25*(0.00202-VERI_TABANI!$B$16), IF(ISNUMBER(SEARCH("Gri", D606)), VERI_TABANI!F25*(0.00202-VERI_TABANI!$B$17), 0))) + ((VERI_TABANI!D26*B606*(VERI_TABANI!$B$13-VERI_TABANI!$B$14)) + (VERI_TABANI!D26*C606*(VERI_TABANI!$B$13-VERI_TABANI!$B$15)) + IF(ISNUMBER(SEARCH("Var", D606)), VERI_TABANI!F26*(0.00202-VERI_TABANI!$B$16), IF(ISNUMBER(SEARCH("Gri", D606)), VERI_TABANI!F26*(0.00202-VERI_TABANI!$B$17), 0))) + ((VERI_TABANI!D27*B606*(VERI_TABANI!$B$13-VERI_TABANI!$B$14)) + (VERI_TABANI!D27*C606*(VERI_TABANI!$B$13-VERI_TABANI!$B$15)) + IF(ISNUMBER(SEARCH("Var", D606)), VERI_TABANI!F27*(0.00202-VERI_TABANI!$B$16), IF(ISNUMBER(SEARCH("Gri", D606)), VERI_TABANI!F27*(0.00202-VERI_TABANI!$B$17), 0))) + ((VERI_TABANI!D28*B606*(VERI_TABANI!$B$13-VERI_TABANI!$B$14)) + (VERI_TABANI!D28*C606*(VERI_TABANI!$B$13-VERI_TABANI!$B$15)) + IF(ISNUMBER(SEARCH("Var", D606)), VERI_TABANI!F28*(0.00202-VERI_TABANI!$B$16), IF(ISNUMBER(SEARCH("Gri", D606)), VERI_TABANI!F28*(0.00202-VERI_TABANI!$B$17), 0))))</f>
        <v/>
      </c>
      <c r="I606" s="170">
        <f>IFERROR(((VERI_TABANI!$D$29*B606*VERI_TABANI!$B$14 + VERI_TABANI!$D$29*C606*VERI_TABANI!$B$15 + IF(ISNUMBER(SEARCH("Var", D606)), VERI_TABANI!$F$29*VERI_TABANI!$B$16, 0))) / (((VERI_TABANI!$D$29*B606 + VERI_TABANI!$D$29*C606)*VERI_TABANI!$B$13 + IF(ISNUMBER(SEARCH("Var", D606)), VERI_TABANI!$E$29*(1-0.928)*VERI_TABANI!$B$18, 0))), 0)</f>
        <v/>
      </c>
      <c r="J606" s="171">
        <f>IFERROR(F606/(G606/29), 0)</f>
        <v/>
      </c>
      <c r="K606" s="172">
        <f>IF(F606&gt;0, H606/F606, 0)</f>
        <v/>
      </c>
      <c r="L606" s="170">
        <f>IF(F606&gt;0, I606, 1000000000)</f>
        <v/>
      </c>
      <c r="M606" s="171">
        <f>ABS((B606+C606)-1)</f>
        <v/>
      </c>
      <c r="N606" s="170">
        <f>IF(F606&gt;0, (G606/29)/F606, 0)</f>
        <v/>
      </c>
      <c r="O606" s="168">
        <f>IF(AND((B606+C606)&gt;=1, ISNUMBER(SEARCH("Var", D606))), F606, 1000000000)</f>
        <v/>
      </c>
      <c r="P606" s="172">
        <f>IF(F606&gt;0, SQRT((F606/MAX(F$5:F$886))^2 + (1 - H606/MAX(H$5:H$886))^2 + (J606/MAX(J$5:J$886))^2), 1000000000)</f>
        <v/>
      </c>
      <c r="Q606" s="166">
        <f>IF(AND(ABS(B606-0.5)&lt;0.01, ABS(C606-0.5)&lt;0.01, ISNUMBER(SEARCH("Var", D606))), 1, 0)</f>
        <v/>
      </c>
      <c r="R606" s="171">
        <f>IF(F606&gt;0, J606, 1000000000)</f>
        <v/>
      </c>
      <c r="S606" s="101">
        <f>IF(AND(F606&lt;=DASHBOARD!$B$11, H606&gt;=DASHBOARD!$B$13), G606, -1000000000000)</f>
        <v/>
      </c>
      <c r="T606" s="101">
        <f>IF(AND(F606&lt;=DASHBOARD!$B$11, H606&gt;=DASHBOARD!$B$13), R606, 1000000000000)</f>
        <v/>
      </c>
      <c r="U606" s="101">
        <f>IF(AND(F606&lt;=DASHBOARD!$B$11, H606&gt;=DASHBOARD!$B$13), N606, -1000000000000)</f>
        <v/>
      </c>
      <c r="V606" s="101">
        <f>IF(AND(F606&lt;=DASHBOARD!$B$11, H606&gt;=DASHBOARD!$B$13), H606, -1000000000000)</f>
        <v/>
      </c>
      <c r="W606" s="101">
        <f>IF(AND(F606&lt;=DASHBOARD!$B$11, H606&gt;=DASHBOARD!$B$13), K606, -1000000000000)</f>
        <v/>
      </c>
      <c r="X606" s="101">
        <f>IF(AND(F606&lt;=DASHBOARD!$B$11, H606&gt;=DASHBOARD!$B$13), M606, 1000000000000)</f>
        <v/>
      </c>
      <c r="Y606" s="101">
        <f>IF(AND(F606&lt;=DASHBOARD!$B$10, H606&gt;=DASHBOARD!$B$11), L606, 1000000000000)</f>
        <v/>
      </c>
      <c r="Z606" s="101">
        <f>IF(AND(F606&lt;=DASHBOARD!$B$10, H606&gt;=DASHBOARD!$B$11), O606, 1000000000000)</f>
        <v/>
      </c>
      <c r="AA606" s="101">
        <f>IF(AND(F606&lt;=DASHBOARD!$B$10, H606&gt;=DASHBOARD!$B$11), P606, 1000000000000)</f>
        <v/>
      </c>
      <c r="AB606" s="101">
        <f>IF(AND(F606&lt;=DASHBOARD!$B$10, H606&gt;=DASHBOARD!$B$11), Q606, -1000000000000)</f>
        <v/>
      </c>
    </row>
    <row r="607" ht="15" customHeight="1" s="102">
      <c r="A607" s="166" t="n">
        <v>603</v>
      </c>
      <c r="B607" s="167" t="n">
        <v>1.4</v>
      </c>
      <c r="C607" s="167" t="n">
        <v>0.7</v>
      </c>
      <c r="D607" s="110" t="inlineStr">
        <is>
          <t>Yok (%0)</t>
        </is>
      </c>
      <c r="E607" s="110">
        <f>IF((B607+C607)&lt;=1, "Tam Mahsuplaşma (≤%100)", "Kısmi Satış (&gt;%100)")</f>
        <v/>
      </c>
      <c r="F607" s="168">
        <f>((VERI_TABANI!$D$29*B607/VERI_TABANI!$B$29)/VERI_TABANI!$B$3)*VERI_TABANI!$B$5 + ((VERI_TABANI!$D$29*C607/VERI_TABANI!$B$29)/VERI_TABANI!$B$4)*VERI_TABANI!$B$6 + IF(ISNUMBER(SEARCH("Var", D607)), (VERI_TABANI!$F$29/VERI_TABANI!$B$29)*(VERI_TABANI!$B$10+VERI_TABANI!$B$12), 0)</f>
        <v/>
      </c>
      <c r="G607" s="168">
        <f>(((MIN(VERI_TABANI!D23, VERI_TABANI!D23*B607)*VERI_TABANI!$B$7 + MAX(0, VERI_TABANI!D23*B607-VERI_TABANI!D23)*VERI_TABANI!$B$8) + (MIN(MAX(0, VERI_TABANI!D23-VERI_TABANI!D23*B607), VERI_TABANI!D23*C607)*VERI_TABANI!$B$7 + MAX(0, VERI_TABANI!D23*C607-MAX(0, VERI_TABANI!D23-VERI_TABANI!D23*B607))*VERI_TABANI!$B$8) + IF(ABS(IF(ISNUMBER(SEARCH("Var", D607)), 1, IF(ISNUMBER(SEARCH("Gri", D607)), -1, 0)))=1, VERI_TABANI!E23*(1-0.928)*VERI_TABANI!$B$9, 0) + (VERI_TABANI!D23*B607*(VERI_TABANI!$B$13-VERI_TABANI!$B$14)*VERI_TABANI!G23) + (VERI_TABANI!D23*C607*(VERI_TABANI!$B$13-VERI_TABANI!$B$15)*VERI_TABANI!G23) + IF(ABS(IF(ISNUMBER(SEARCH("Var", D607)), 1, IF(ISNUMBER(SEARCH("Gri", D607)), -1, 0)))=1, VERI_TABANI!E23*(1-0.928)*0.00206091519919798*VERI_TABANI!G23, 0)) + ((MIN(VERI_TABANI!D24, VERI_TABANI!D24*B607)*VERI_TABANI!$B$7 + MAX(0, VERI_TABANI!D24*B607-VERI_TABANI!D24)*VERI_TABANI!$B$8) + (MIN(MAX(0, VERI_TABANI!D24-VERI_TABANI!D24*B607), VERI_TABANI!D24*C607)*VERI_TABANI!$B$7 + MAX(0, VERI_TABANI!D24*C607-MAX(0, VERI_TABANI!D24-VERI_TABANI!D24*B607))*VERI_TABANI!$B$8) + IF(ABS(IF(ISNUMBER(SEARCH("Var", D607)), 1, IF(ISNUMBER(SEARCH("Gri", D607)), -1, 0)))=1, VERI_TABANI!E24*(1-0.928)*VERI_TABANI!$B$9, 0) + (VERI_TABANI!D24*B607*(VERI_TABANI!$B$13-VERI_TABANI!$B$14)*VERI_TABANI!G24) + (VERI_TABANI!D24*C607*(VERI_TABANI!$B$13-VERI_TABANI!$B$15)*VERI_TABANI!G24) + IF(ABS(IF(ISNUMBER(SEARCH("Var", D607)), 1, IF(ISNUMBER(SEARCH("Gri", D607)), -1, 0)))=1, VERI_TABANI!E24*(1-0.928)*0.00206091519919798*VERI_TABANI!G24, 0)) + ((MIN(VERI_TABANI!D25, VERI_TABANI!D25*B607)*VERI_TABANI!$B$7 + MAX(0, VERI_TABANI!D25*B607-VERI_TABANI!D25)*VERI_TABANI!$B$8) + (MIN(MAX(0, VERI_TABANI!D25-VERI_TABANI!D25*B607), VERI_TABANI!D25*C607)*VERI_TABANI!$B$7 + MAX(0, VERI_TABANI!D25*C607-MAX(0, VERI_TABANI!D25-VERI_TABANI!D25*B607))*VERI_TABANI!$B$8) + IF(ABS(IF(ISNUMBER(SEARCH("Var", D607)), 1, IF(ISNUMBER(SEARCH("Gri", D607)), -1, 0)))=1, VERI_TABANI!E25*(1-0.928)*VERI_TABANI!$B$9, 0) + (VERI_TABANI!D25*B607*(VERI_TABANI!$B$13-VERI_TABANI!$B$14)*VERI_TABANI!G25) + (VERI_TABANI!D25*C607*(VERI_TABANI!$B$13-VERI_TABANI!$B$15)*VERI_TABANI!G25) + IF(ABS(IF(ISNUMBER(SEARCH("Var", D607)), 1, IF(ISNUMBER(SEARCH("Gri", D607)), -1, 0)))=1, VERI_TABANI!E25*(1-0.928)*0.00206091519919798*VERI_TABANI!G25, 0)) + ((MIN(VERI_TABANI!D26, VERI_TABANI!D26*B607)*VERI_TABANI!$B$7 + MAX(0, VERI_TABANI!D26*B607-VERI_TABANI!D26)*VERI_TABANI!$B$8) + (MIN(MAX(0, VERI_TABANI!D26-VERI_TABANI!D26*B607), VERI_TABANI!D26*C607)*VERI_TABANI!$B$7 + MAX(0, VERI_TABANI!D26*C607-MAX(0, VERI_TABANI!D26-VERI_TABANI!D26*B607))*VERI_TABANI!$B$8) + IF(ABS(IF(ISNUMBER(SEARCH("Var", D607)), 1, IF(ISNUMBER(SEARCH("Gri", D607)), -1, 0)))=1, VERI_TABANI!E26*(1-0.928)*VERI_TABANI!$B$9, 0) + (VERI_TABANI!D26*B607*(VERI_TABANI!$B$13-VERI_TABANI!$B$14)*VERI_TABANI!G26) + (VERI_TABANI!D26*C607*(VERI_TABANI!$B$13-VERI_TABANI!$B$15)*VERI_TABANI!G26) + IF(ABS(IF(ISNUMBER(SEARCH("Var", D607)), 1, IF(ISNUMBER(SEARCH("Gri", D607)), -1, 0)))=1, VERI_TABANI!E26*(1-0.928)*0.00206091519919798*VERI_TABANI!G26, 0)) + ((MIN(VERI_TABANI!D27, VERI_TABANI!D27*B607)*VERI_TABANI!$B$7 + MAX(0, VERI_TABANI!D27*B607-VERI_TABANI!D27)*VERI_TABANI!$B$8) + (MIN(MAX(0, VERI_TABANI!D27-VERI_TABANI!D27*B607), VERI_TABANI!D27*C607)*VERI_TABANI!$B$7 + MAX(0, VERI_TABANI!D27*C607-MAX(0, VERI_TABANI!D27-VERI_TABANI!D27*B607))*VERI_TABANI!$B$8) + IF(ABS(IF(ISNUMBER(SEARCH("Var", D607)), 1, IF(ISNUMBER(SEARCH("Gri", D607)), -1, 0)))=1, VERI_TABANI!E27*(1-0.928)*VERI_TABANI!$B$9, 0) + (VERI_TABANI!D27*B607*(VERI_TABANI!$B$13-VERI_TABANI!$B$14)*VERI_TABANI!G27) + (VERI_TABANI!D27*C607*(VERI_TABANI!$B$13-VERI_TABANI!$B$15)*VERI_TABANI!G27) + IF(ABS(IF(ISNUMBER(SEARCH("Var", D607)), 1, IF(ISNUMBER(SEARCH("Gri", D607)), -1, 0)))=1, VERI_TABANI!E27*(1-0.928)*0.00206091519919798*VERI_TABANI!G27, 0)) + ((MIN(VERI_TABANI!D28, VERI_TABANI!D28*B607)*VERI_TABANI!$B$7 + MAX(0, VERI_TABANI!D28*B607-VERI_TABANI!D28)*VERI_TABANI!$B$8) + (MIN(MAX(0, VERI_TABANI!D28-VERI_TABANI!D28*B607), VERI_TABANI!D28*C607)*VERI_TABANI!$B$7 + MAX(0, VERI_TABANI!D28*C607-MAX(0, VERI_TABANI!D28-VERI_TABANI!D28*B607))*VERI_TABANI!$B$8) + IF(ABS(IF(ISNUMBER(SEARCH("Var", D607)), 1, IF(ISNUMBER(SEARCH("Gri", D607)), -1, 0)))=1, VERI_TABANI!E28*(1-0.928)*VERI_TABANI!$B$9, 0) + (VERI_TABANI!D28*B607*(VERI_TABANI!$B$13-VERI_TABANI!$B$14)*VERI_TABANI!G28) + (VERI_TABANI!D28*C607*(VERI_TABANI!$B$13-VERI_TABANI!$B$15)*VERI_TABANI!G28) + IF(ABS(IF(ISNUMBER(SEARCH("Var", D607)), 1, IF(ISNUMBER(SEARCH("Gri", D607)), -1, 0)))=1, VERI_TABANI!E28*(1-0.928)*0.00206091519919798*VERI_TABANI!G28, 0)))</f>
        <v/>
      </c>
      <c r="H607" s="169">
        <f>(((VERI_TABANI!D23*B607*(VERI_TABANI!$B$13-VERI_TABANI!$B$14)) + (VERI_TABANI!D23*C607*(VERI_TABANI!$B$13-VERI_TABANI!$B$15)) + IF(ISNUMBER(SEARCH("Var", D607)), VERI_TABANI!F23*(0.00202-VERI_TABANI!$B$16), IF(ISNUMBER(SEARCH("Gri", D607)), VERI_TABANI!F23*(0.00202-VERI_TABANI!$B$17), 0))) + ((VERI_TABANI!D24*B607*(VERI_TABANI!$B$13-VERI_TABANI!$B$14)) + (VERI_TABANI!D24*C607*(VERI_TABANI!$B$13-VERI_TABANI!$B$15)) + IF(ISNUMBER(SEARCH("Var", D607)), VERI_TABANI!F24*(0.00202-VERI_TABANI!$B$16), IF(ISNUMBER(SEARCH("Gri", D607)), VERI_TABANI!F24*(0.00202-VERI_TABANI!$B$17), 0))) + ((VERI_TABANI!D25*B607*(VERI_TABANI!$B$13-VERI_TABANI!$B$14)) + (VERI_TABANI!D25*C607*(VERI_TABANI!$B$13-VERI_TABANI!$B$15)) + IF(ISNUMBER(SEARCH("Var", D607)), VERI_TABANI!F25*(0.00202-VERI_TABANI!$B$16), IF(ISNUMBER(SEARCH("Gri", D607)), VERI_TABANI!F25*(0.00202-VERI_TABANI!$B$17), 0))) + ((VERI_TABANI!D26*B607*(VERI_TABANI!$B$13-VERI_TABANI!$B$14)) + (VERI_TABANI!D26*C607*(VERI_TABANI!$B$13-VERI_TABANI!$B$15)) + IF(ISNUMBER(SEARCH("Var", D607)), VERI_TABANI!F26*(0.00202-VERI_TABANI!$B$16), IF(ISNUMBER(SEARCH("Gri", D607)), VERI_TABANI!F26*(0.00202-VERI_TABANI!$B$17), 0))) + ((VERI_TABANI!D27*B607*(VERI_TABANI!$B$13-VERI_TABANI!$B$14)) + (VERI_TABANI!D27*C607*(VERI_TABANI!$B$13-VERI_TABANI!$B$15)) + IF(ISNUMBER(SEARCH("Var", D607)), VERI_TABANI!F27*(0.00202-VERI_TABANI!$B$16), IF(ISNUMBER(SEARCH("Gri", D607)), VERI_TABANI!F27*(0.00202-VERI_TABANI!$B$17), 0))) + ((VERI_TABANI!D28*B607*(VERI_TABANI!$B$13-VERI_TABANI!$B$14)) + (VERI_TABANI!D28*C607*(VERI_TABANI!$B$13-VERI_TABANI!$B$15)) + IF(ISNUMBER(SEARCH("Var", D607)), VERI_TABANI!F28*(0.00202-VERI_TABANI!$B$16), IF(ISNUMBER(SEARCH("Gri", D607)), VERI_TABANI!F28*(0.00202-VERI_TABANI!$B$17), 0))))</f>
        <v/>
      </c>
      <c r="I607" s="170">
        <f>IFERROR(((VERI_TABANI!$D$29*B607*VERI_TABANI!$B$14 + VERI_TABANI!$D$29*C607*VERI_TABANI!$B$15 + IF(ISNUMBER(SEARCH("Var", D607)), VERI_TABANI!$F$29*VERI_TABANI!$B$16, 0))) / (((VERI_TABANI!$D$29*B607 + VERI_TABANI!$D$29*C607)*VERI_TABANI!$B$13 + IF(ISNUMBER(SEARCH("Var", D607)), VERI_TABANI!$E$29*(1-0.928)*VERI_TABANI!$B$18, 0))), 0)</f>
        <v/>
      </c>
      <c r="J607" s="171">
        <f>IFERROR(F607/(G607/29), 0)</f>
        <v/>
      </c>
      <c r="K607" s="172">
        <f>IF(F607&gt;0, H607/F607, 0)</f>
        <v/>
      </c>
      <c r="L607" s="170">
        <f>IF(F607&gt;0, I607, 1000000000)</f>
        <v/>
      </c>
      <c r="M607" s="171">
        <f>ABS((B607+C607)-1)</f>
        <v/>
      </c>
      <c r="N607" s="170">
        <f>IF(F607&gt;0, (G607/29)/F607, 0)</f>
        <v/>
      </c>
      <c r="O607" s="168">
        <f>IF(AND((B607+C607)&gt;=1, ISNUMBER(SEARCH("Var", D607))), F607, 1000000000)</f>
        <v/>
      </c>
      <c r="P607" s="172">
        <f>IF(F607&gt;0, SQRT((F607/MAX(F$5:F$886))^2 + (1 - H607/MAX(H$5:H$886))^2 + (J607/MAX(J$5:J$886))^2), 1000000000)</f>
        <v/>
      </c>
      <c r="Q607" s="166">
        <f>IF(AND(ABS(B607-0.5)&lt;0.01, ABS(C607-0.5)&lt;0.01, ISNUMBER(SEARCH("Var", D607))), 1, 0)</f>
        <v/>
      </c>
      <c r="R607" s="171">
        <f>IF(F607&gt;0, J607, 1000000000)</f>
        <v/>
      </c>
      <c r="S607" s="101">
        <f>IF(AND(F607&lt;=DASHBOARD!$B$11, H607&gt;=DASHBOARD!$B$13), G607, -1000000000000)</f>
        <v/>
      </c>
      <c r="T607" s="101">
        <f>IF(AND(F607&lt;=DASHBOARD!$B$11, H607&gt;=DASHBOARD!$B$13), R607, 1000000000000)</f>
        <v/>
      </c>
      <c r="U607" s="101">
        <f>IF(AND(F607&lt;=DASHBOARD!$B$11, H607&gt;=DASHBOARD!$B$13), N607, -1000000000000)</f>
        <v/>
      </c>
      <c r="V607" s="101">
        <f>IF(AND(F607&lt;=DASHBOARD!$B$11, H607&gt;=DASHBOARD!$B$13), H607, -1000000000000)</f>
        <v/>
      </c>
      <c r="W607" s="101">
        <f>IF(AND(F607&lt;=DASHBOARD!$B$11, H607&gt;=DASHBOARD!$B$13), K607, -1000000000000)</f>
        <v/>
      </c>
      <c r="X607" s="101">
        <f>IF(AND(F607&lt;=DASHBOARD!$B$11, H607&gt;=DASHBOARD!$B$13), M607, 1000000000000)</f>
        <v/>
      </c>
      <c r="Y607" s="101">
        <f>IF(AND(F607&lt;=DASHBOARD!$B$10, H607&gt;=DASHBOARD!$B$11), L607, 1000000000000)</f>
        <v/>
      </c>
      <c r="Z607" s="101">
        <f>IF(AND(F607&lt;=DASHBOARD!$B$10, H607&gt;=DASHBOARD!$B$11), O607, 1000000000000)</f>
        <v/>
      </c>
      <c r="AA607" s="101">
        <f>IF(AND(F607&lt;=DASHBOARD!$B$10, H607&gt;=DASHBOARD!$B$11), P607, 1000000000000)</f>
        <v/>
      </c>
      <c r="AB607" s="101">
        <f>IF(AND(F607&lt;=DASHBOARD!$B$10, H607&gt;=DASHBOARD!$B$11), Q607, -1000000000000)</f>
        <v/>
      </c>
    </row>
    <row r="608" ht="15" customHeight="1" s="102">
      <c r="A608" s="166" t="n">
        <v>604</v>
      </c>
      <c r="B608" s="167" t="n">
        <v>1.4</v>
      </c>
      <c r="C608" s="167" t="n">
        <v>0.7</v>
      </c>
      <c r="D608" s="110" t="inlineStr">
        <is>
          <t>Var (%20)</t>
        </is>
      </c>
      <c r="E608" s="110">
        <f>IF((B608+C608)&lt;=1, "Tam Mahsuplaşma (≤%100)", "Kısmi Satış (&gt;%100)")</f>
        <v/>
      </c>
      <c r="F608" s="168">
        <f>((VERI_TABANI!$D$29*B608/VERI_TABANI!$B$29)/VERI_TABANI!$B$3)*VERI_TABANI!$B$5 + ((VERI_TABANI!$D$29*C608/VERI_TABANI!$B$29)/VERI_TABANI!$B$4)*VERI_TABANI!$B$6 + IF(ISNUMBER(SEARCH("Var", D608)), (VERI_TABANI!$F$29/VERI_TABANI!$B$29)*(VERI_TABANI!$B$10+VERI_TABANI!$B$12), 0)</f>
        <v/>
      </c>
      <c r="G608" s="168">
        <f>(((MIN(VERI_TABANI!D23, VERI_TABANI!D23*B608)*VERI_TABANI!$B$7 + MAX(0, VERI_TABANI!D23*B608-VERI_TABANI!D23)*VERI_TABANI!$B$8) + (MIN(MAX(0, VERI_TABANI!D23-VERI_TABANI!D23*B608), VERI_TABANI!D23*C608)*VERI_TABANI!$B$7 + MAX(0, VERI_TABANI!D23*C608-MAX(0, VERI_TABANI!D23-VERI_TABANI!D23*B608))*VERI_TABANI!$B$8) + IF(ABS(IF(ISNUMBER(SEARCH("Var", D608)), 1, IF(ISNUMBER(SEARCH("Gri", D608)), -1, 0)))=1, VERI_TABANI!E23*(1-0.928)*VERI_TABANI!$B$9, 0) + (VERI_TABANI!D23*B608*(VERI_TABANI!$B$13-VERI_TABANI!$B$14)*VERI_TABANI!G23) + (VERI_TABANI!D23*C608*(VERI_TABANI!$B$13-VERI_TABANI!$B$15)*VERI_TABANI!G23) + IF(ABS(IF(ISNUMBER(SEARCH("Var", D608)), 1, IF(ISNUMBER(SEARCH("Gri", D608)), -1, 0)))=1, VERI_TABANI!E23*(1-0.928)*0.00206091519919798*VERI_TABANI!G23, 0)) + ((MIN(VERI_TABANI!D24, VERI_TABANI!D24*B608)*VERI_TABANI!$B$7 + MAX(0, VERI_TABANI!D24*B608-VERI_TABANI!D24)*VERI_TABANI!$B$8) + (MIN(MAX(0, VERI_TABANI!D24-VERI_TABANI!D24*B608), VERI_TABANI!D24*C608)*VERI_TABANI!$B$7 + MAX(0, VERI_TABANI!D24*C608-MAX(0, VERI_TABANI!D24-VERI_TABANI!D24*B608))*VERI_TABANI!$B$8) + IF(ABS(IF(ISNUMBER(SEARCH("Var", D608)), 1, IF(ISNUMBER(SEARCH("Gri", D608)), -1, 0)))=1, VERI_TABANI!E24*(1-0.928)*VERI_TABANI!$B$9, 0) + (VERI_TABANI!D24*B608*(VERI_TABANI!$B$13-VERI_TABANI!$B$14)*VERI_TABANI!G24) + (VERI_TABANI!D24*C608*(VERI_TABANI!$B$13-VERI_TABANI!$B$15)*VERI_TABANI!G24) + IF(ABS(IF(ISNUMBER(SEARCH("Var", D608)), 1, IF(ISNUMBER(SEARCH("Gri", D608)), -1, 0)))=1, VERI_TABANI!E24*(1-0.928)*0.00206091519919798*VERI_TABANI!G24, 0)) + ((MIN(VERI_TABANI!D25, VERI_TABANI!D25*B608)*VERI_TABANI!$B$7 + MAX(0, VERI_TABANI!D25*B608-VERI_TABANI!D25)*VERI_TABANI!$B$8) + (MIN(MAX(0, VERI_TABANI!D25-VERI_TABANI!D25*B608), VERI_TABANI!D25*C608)*VERI_TABANI!$B$7 + MAX(0, VERI_TABANI!D25*C608-MAX(0, VERI_TABANI!D25-VERI_TABANI!D25*B608))*VERI_TABANI!$B$8) + IF(ABS(IF(ISNUMBER(SEARCH("Var", D608)), 1, IF(ISNUMBER(SEARCH("Gri", D608)), -1, 0)))=1, VERI_TABANI!E25*(1-0.928)*VERI_TABANI!$B$9, 0) + (VERI_TABANI!D25*B608*(VERI_TABANI!$B$13-VERI_TABANI!$B$14)*VERI_TABANI!G25) + (VERI_TABANI!D25*C608*(VERI_TABANI!$B$13-VERI_TABANI!$B$15)*VERI_TABANI!G25) + IF(ABS(IF(ISNUMBER(SEARCH("Var", D608)), 1, IF(ISNUMBER(SEARCH("Gri", D608)), -1, 0)))=1, VERI_TABANI!E25*(1-0.928)*0.00206091519919798*VERI_TABANI!G25, 0)) + ((MIN(VERI_TABANI!D26, VERI_TABANI!D26*B608)*VERI_TABANI!$B$7 + MAX(0, VERI_TABANI!D26*B608-VERI_TABANI!D26)*VERI_TABANI!$B$8) + (MIN(MAX(0, VERI_TABANI!D26-VERI_TABANI!D26*B608), VERI_TABANI!D26*C608)*VERI_TABANI!$B$7 + MAX(0, VERI_TABANI!D26*C608-MAX(0, VERI_TABANI!D26-VERI_TABANI!D26*B608))*VERI_TABANI!$B$8) + IF(ABS(IF(ISNUMBER(SEARCH("Var", D608)), 1, IF(ISNUMBER(SEARCH("Gri", D608)), -1, 0)))=1, VERI_TABANI!E26*(1-0.928)*VERI_TABANI!$B$9, 0) + (VERI_TABANI!D26*B608*(VERI_TABANI!$B$13-VERI_TABANI!$B$14)*VERI_TABANI!G26) + (VERI_TABANI!D26*C608*(VERI_TABANI!$B$13-VERI_TABANI!$B$15)*VERI_TABANI!G26) + IF(ABS(IF(ISNUMBER(SEARCH("Var", D608)), 1, IF(ISNUMBER(SEARCH("Gri", D608)), -1, 0)))=1, VERI_TABANI!E26*(1-0.928)*0.00206091519919798*VERI_TABANI!G26, 0)) + ((MIN(VERI_TABANI!D27, VERI_TABANI!D27*B608)*VERI_TABANI!$B$7 + MAX(0, VERI_TABANI!D27*B608-VERI_TABANI!D27)*VERI_TABANI!$B$8) + (MIN(MAX(0, VERI_TABANI!D27-VERI_TABANI!D27*B608), VERI_TABANI!D27*C608)*VERI_TABANI!$B$7 + MAX(0, VERI_TABANI!D27*C608-MAX(0, VERI_TABANI!D27-VERI_TABANI!D27*B608))*VERI_TABANI!$B$8) + IF(ABS(IF(ISNUMBER(SEARCH("Var", D608)), 1, IF(ISNUMBER(SEARCH("Gri", D608)), -1, 0)))=1, VERI_TABANI!E27*(1-0.928)*VERI_TABANI!$B$9, 0) + (VERI_TABANI!D27*B608*(VERI_TABANI!$B$13-VERI_TABANI!$B$14)*VERI_TABANI!G27) + (VERI_TABANI!D27*C608*(VERI_TABANI!$B$13-VERI_TABANI!$B$15)*VERI_TABANI!G27) + IF(ABS(IF(ISNUMBER(SEARCH("Var", D608)), 1, IF(ISNUMBER(SEARCH("Gri", D608)), -1, 0)))=1, VERI_TABANI!E27*(1-0.928)*0.00206091519919798*VERI_TABANI!G27, 0)) + ((MIN(VERI_TABANI!D28, VERI_TABANI!D28*B608)*VERI_TABANI!$B$7 + MAX(0, VERI_TABANI!D28*B608-VERI_TABANI!D28)*VERI_TABANI!$B$8) + (MIN(MAX(0, VERI_TABANI!D28-VERI_TABANI!D28*B608), VERI_TABANI!D28*C608)*VERI_TABANI!$B$7 + MAX(0, VERI_TABANI!D28*C608-MAX(0, VERI_TABANI!D28-VERI_TABANI!D28*B608))*VERI_TABANI!$B$8) + IF(ABS(IF(ISNUMBER(SEARCH("Var", D608)), 1, IF(ISNUMBER(SEARCH("Gri", D608)), -1, 0)))=1, VERI_TABANI!E28*(1-0.928)*VERI_TABANI!$B$9, 0) + (VERI_TABANI!D28*B608*(VERI_TABANI!$B$13-VERI_TABANI!$B$14)*VERI_TABANI!G28) + (VERI_TABANI!D28*C608*(VERI_TABANI!$B$13-VERI_TABANI!$B$15)*VERI_TABANI!G28) + IF(ABS(IF(ISNUMBER(SEARCH("Var", D608)), 1, IF(ISNUMBER(SEARCH("Gri", D608)), -1, 0)))=1, VERI_TABANI!E28*(1-0.928)*0.00206091519919798*VERI_TABANI!G28, 0)))</f>
        <v/>
      </c>
      <c r="H608" s="169">
        <f>(((VERI_TABANI!D23*B608*(VERI_TABANI!$B$13-VERI_TABANI!$B$14)) + (VERI_TABANI!D23*C608*(VERI_TABANI!$B$13-VERI_TABANI!$B$15)) + IF(ISNUMBER(SEARCH("Var", D608)), VERI_TABANI!F23*(0.00202-VERI_TABANI!$B$16), IF(ISNUMBER(SEARCH("Gri", D608)), VERI_TABANI!F23*(0.00202-VERI_TABANI!$B$17), 0))) + ((VERI_TABANI!D24*B608*(VERI_TABANI!$B$13-VERI_TABANI!$B$14)) + (VERI_TABANI!D24*C608*(VERI_TABANI!$B$13-VERI_TABANI!$B$15)) + IF(ISNUMBER(SEARCH("Var", D608)), VERI_TABANI!F24*(0.00202-VERI_TABANI!$B$16), IF(ISNUMBER(SEARCH("Gri", D608)), VERI_TABANI!F24*(0.00202-VERI_TABANI!$B$17), 0))) + ((VERI_TABANI!D25*B608*(VERI_TABANI!$B$13-VERI_TABANI!$B$14)) + (VERI_TABANI!D25*C608*(VERI_TABANI!$B$13-VERI_TABANI!$B$15)) + IF(ISNUMBER(SEARCH("Var", D608)), VERI_TABANI!F25*(0.00202-VERI_TABANI!$B$16), IF(ISNUMBER(SEARCH("Gri", D608)), VERI_TABANI!F25*(0.00202-VERI_TABANI!$B$17), 0))) + ((VERI_TABANI!D26*B608*(VERI_TABANI!$B$13-VERI_TABANI!$B$14)) + (VERI_TABANI!D26*C608*(VERI_TABANI!$B$13-VERI_TABANI!$B$15)) + IF(ISNUMBER(SEARCH("Var", D608)), VERI_TABANI!F26*(0.00202-VERI_TABANI!$B$16), IF(ISNUMBER(SEARCH("Gri", D608)), VERI_TABANI!F26*(0.00202-VERI_TABANI!$B$17), 0))) + ((VERI_TABANI!D27*B608*(VERI_TABANI!$B$13-VERI_TABANI!$B$14)) + (VERI_TABANI!D27*C608*(VERI_TABANI!$B$13-VERI_TABANI!$B$15)) + IF(ISNUMBER(SEARCH("Var", D608)), VERI_TABANI!F27*(0.00202-VERI_TABANI!$B$16), IF(ISNUMBER(SEARCH("Gri", D608)), VERI_TABANI!F27*(0.00202-VERI_TABANI!$B$17), 0))) + ((VERI_TABANI!D28*B608*(VERI_TABANI!$B$13-VERI_TABANI!$B$14)) + (VERI_TABANI!D28*C608*(VERI_TABANI!$B$13-VERI_TABANI!$B$15)) + IF(ISNUMBER(SEARCH("Var", D608)), VERI_TABANI!F28*(0.00202-VERI_TABANI!$B$16), IF(ISNUMBER(SEARCH("Gri", D608)), VERI_TABANI!F28*(0.00202-VERI_TABANI!$B$17), 0))))</f>
        <v/>
      </c>
      <c r="I608" s="170">
        <f>IFERROR(((VERI_TABANI!$D$29*B608*VERI_TABANI!$B$14 + VERI_TABANI!$D$29*C608*VERI_TABANI!$B$15 + IF(ISNUMBER(SEARCH("Var", D608)), VERI_TABANI!$F$29*VERI_TABANI!$B$16, 0))) / (((VERI_TABANI!$D$29*B608 + VERI_TABANI!$D$29*C608)*VERI_TABANI!$B$13 + IF(ISNUMBER(SEARCH("Var", D608)), VERI_TABANI!$E$29*(1-0.928)*VERI_TABANI!$B$18, 0))), 0)</f>
        <v/>
      </c>
      <c r="J608" s="171">
        <f>IFERROR(F608/(G608/29), 0)</f>
        <v/>
      </c>
      <c r="K608" s="172">
        <f>IF(F608&gt;0, H608/F608, 0)</f>
        <v/>
      </c>
      <c r="L608" s="170">
        <f>IF(F608&gt;0, I608, 1000000000)</f>
        <v/>
      </c>
      <c r="M608" s="171">
        <f>ABS((B608+C608)-1)</f>
        <v/>
      </c>
      <c r="N608" s="170">
        <f>IF(F608&gt;0, (G608/29)/F608, 0)</f>
        <v/>
      </c>
      <c r="O608" s="168">
        <f>IF(AND((B608+C608)&gt;=1, ISNUMBER(SEARCH("Var", D608))), F608, 1000000000)</f>
        <v/>
      </c>
      <c r="P608" s="172">
        <f>IF(F608&gt;0, SQRT((F608/MAX(F$5:F$886))^2 + (1 - H608/MAX(H$5:H$886))^2 + (J608/MAX(J$5:J$886))^2), 1000000000)</f>
        <v/>
      </c>
      <c r="Q608" s="166">
        <f>IF(AND(ABS(B608-0.5)&lt;0.01, ABS(C608-0.5)&lt;0.01, ISNUMBER(SEARCH("Var", D608))), 1, 0)</f>
        <v/>
      </c>
      <c r="R608" s="171">
        <f>IF(F608&gt;0, J608, 1000000000)</f>
        <v/>
      </c>
      <c r="S608" s="101">
        <f>IF(AND(F608&lt;=DASHBOARD!$B$11, H608&gt;=DASHBOARD!$B$13), G608, -1000000000000)</f>
        <v/>
      </c>
      <c r="T608" s="101">
        <f>IF(AND(F608&lt;=DASHBOARD!$B$11, H608&gt;=DASHBOARD!$B$13), R608, 1000000000000)</f>
        <v/>
      </c>
      <c r="U608" s="101">
        <f>IF(AND(F608&lt;=DASHBOARD!$B$11, H608&gt;=DASHBOARD!$B$13), N608, -1000000000000)</f>
        <v/>
      </c>
      <c r="V608" s="101">
        <f>IF(AND(F608&lt;=DASHBOARD!$B$11, H608&gt;=DASHBOARD!$B$13), H608, -1000000000000)</f>
        <v/>
      </c>
      <c r="W608" s="101">
        <f>IF(AND(F608&lt;=DASHBOARD!$B$11, H608&gt;=DASHBOARD!$B$13), K608, -1000000000000)</f>
        <v/>
      </c>
      <c r="X608" s="101">
        <f>IF(AND(F608&lt;=DASHBOARD!$B$11, H608&gt;=DASHBOARD!$B$13), M608, 1000000000000)</f>
        <v/>
      </c>
      <c r="Y608" s="101">
        <f>IF(AND(F608&lt;=DASHBOARD!$B$10, H608&gt;=DASHBOARD!$B$11), L608, 1000000000000)</f>
        <v/>
      </c>
      <c r="Z608" s="101">
        <f>IF(AND(F608&lt;=DASHBOARD!$B$10, H608&gt;=DASHBOARD!$B$11), O608, 1000000000000)</f>
        <v/>
      </c>
      <c r="AA608" s="101">
        <f>IF(AND(F608&lt;=DASHBOARD!$B$10, H608&gt;=DASHBOARD!$B$11), P608, 1000000000000)</f>
        <v/>
      </c>
      <c r="AB608" s="101">
        <f>IF(AND(F608&lt;=DASHBOARD!$B$10, H608&gt;=DASHBOARD!$B$11), Q608, -1000000000000)</f>
        <v/>
      </c>
    </row>
    <row r="609" ht="15" customHeight="1" s="102">
      <c r="A609" s="166" t="n">
        <v>605</v>
      </c>
      <c r="B609" s="167" t="n">
        <v>1.4</v>
      </c>
      <c r="C609" s="167" t="n">
        <v>0.8</v>
      </c>
      <c r="D609" s="110" t="inlineStr">
        <is>
          <t>Yok (%0)</t>
        </is>
      </c>
      <c r="E609" s="110">
        <f>IF((B609+C609)&lt;=1, "Tam Mahsuplaşma (≤%100)", "Kısmi Satış (&gt;%100)")</f>
        <v/>
      </c>
      <c r="F609" s="168">
        <f>((VERI_TABANI!$D$29*B609/VERI_TABANI!$B$29)/VERI_TABANI!$B$3)*VERI_TABANI!$B$5 + ((VERI_TABANI!$D$29*C609/VERI_TABANI!$B$29)/VERI_TABANI!$B$4)*VERI_TABANI!$B$6 + IF(ISNUMBER(SEARCH("Var", D609)), (VERI_TABANI!$F$29/VERI_TABANI!$B$29)*(VERI_TABANI!$B$10+VERI_TABANI!$B$12), 0)</f>
        <v/>
      </c>
      <c r="G609" s="168">
        <f>(((MIN(VERI_TABANI!D23, VERI_TABANI!D23*B609)*VERI_TABANI!$B$7 + MAX(0, VERI_TABANI!D23*B609-VERI_TABANI!D23)*VERI_TABANI!$B$8) + (MIN(MAX(0, VERI_TABANI!D23-VERI_TABANI!D23*B609), VERI_TABANI!D23*C609)*VERI_TABANI!$B$7 + MAX(0, VERI_TABANI!D23*C609-MAX(0, VERI_TABANI!D23-VERI_TABANI!D23*B609))*VERI_TABANI!$B$8) + IF(ABS(IF(ISNUMBER(SEARCH("Var", D609)), 1, IF(ISNUMBER(SEARCH("Gri", D609)), -1, 0)))=1, VERI_TABANI!E23*(1-0.928)*VERI_TABANI!$B$9, 0) + (VERI_TABANI!D23*B609*(VERI_TABANI!$B$13-VERI_TABANI!$B$14)*VERI_TABANI!G23) + (VERI_TABANI!D23*C609*(VERI_TABANI!$B$13-VERI_TABANI!$B$15)*VERI_TABANI!G23) + IF(ABS(IF(ISNUMBER(SEARCH("Var", D609)), 1, IF(ISNUMBER(SEARCH("Gri", D609)), -1, 0)))=1, VERI_TABANI!E23*(1-0.928)*0.00206091519919798*VERI_TABANI!G23, 0)) + ((MIN(VERI_TABANI!D24, VERI_TABANI!D24*B609)*VERI_TABANI!$B$7 + MAX(0, VERI_TABANI!D24*B609-VERI_TABANI!D24)*VERI_TABANI!$B$8) + (MIN(MAX(0, VERI_TABANI!D24-VERI_TABANI!D24*B609), VERI_TABANI!D24*C609)*VERI_TABANI!$B$7 + MAX(0, VERI_TABANI!D24*C609-MAX(0, VERI_TABANI!D24-VERI_TABANI!D24*B609))*VERI_TABANI!$B$8) + IF(ABS(IF(ISNUMBER(SEARCH("Var", D609)), 1, IF(ISNUMBER(SEARCH("Gri", D609)), -1, 0)))=1, VERI_TABANI!E24*(1-0.928)*VERI_TABANI!$B$9, 0) + (VERI_TABANI!D24*B609*(VERI_TABANI!$B$13-VERI_TABANI!$B$14)*VERI_TABANI!G24) + (VERI_TABANI!D24*C609*(VERI_TABANI!$B$13-VERI_TABANI!$B$15)*VERI_TABANI!G24) + IF(ABS(IF(ISNUMBER(SEARCH("Var", D609)), 1, IF(ISNUMBER(SEARCH("Gri", D609)), -1, 0)))=1, VERI_TABANI!E24*(1-0.928)*0.00206091519919798*VERI_TABANI!G24, 0)) + ((MIN(VERI_TABANI!D25, VERI_TABANI!D25*B609)*VERI_TABANI!$B$7 + MAX(0, VERI_TABANI!D25*B609-VERI_TABANI!D25)*VERI_TABANI!$B$8) + (MIN(MAX(0, VERI_TABANI!D25-VERI_TABANI!D25*B609), VERI_TABANI!D25*C609)*VERI_TABANI!$B$7 + MAX(0, VERI_TABANI!D25*C609-MAX(0, VERI_TABANI!D25-VERI_TABANI!D25*B609))*VERI_TABANI!$B$8) + IF(ABS(IF(ISNUMBER(SEARCH("Var", D609)), 1, IF(ISNUMBER(SEARCH("Gri", D609)), -1, 0)))=1, VERI_TABANI!E25*(1-0.928)*VERI_TABANI!$B$9, 0) + (VERI_TABANI!D25*B609*(VERI_TABANI!$B$13-VERI_TABANI!$B$14)*VERI_TABANI!G25) + (VERI_TABANI!D25*C609*(VERI_TABANI!$B$13-VERI_TABANI!$B$15)*VERI_TABANI!G25) + IF(ABS(IF(ISNUMBER(SEARCH("Var", D609)), 1, IF(ISNUMBER(SEARCH("Gri", D609)), -1, 0)))=1, VERI_TABANI!E25*(1-0.928)*0.00206091519919798*VERI_TABANI!G25, 0)) + ((MIN(VERI_TABANI!D26, VERI_TABANI!D26*B609)*VERI_TABANI!$B$7 + MAX(0, VERI_TABANI!D26*B609-VERI_TABANI!D26)*VERI_TABANI!$B$8) + (MIN(MAX(0, VERI_TABANI!D26-VERI_TABANI!D26*B609), VERI_TABANI!D26*C609)*VERI_TABANI!$B$7 + MAX(0, VERI_TABANI!D26*C609-MAX(0, VERI_TABANI!D26-VERI_TABANI!D26*B609))*VERI_TABANI!$B$8) + IF(ABS(IF(ISNUMBER(SEARCH("Var", D609)), 1, IF(ISNUMBER(SEARCH("Gri", D609)), -1, 0)))=1, VERI_TABANI!E26*(1-0.928)*VERI_TABANI!$B$9, 0) + (VERI_TABANI!D26*B609*(VERI_TABANI!$B$13-VERI_TABANI!$B$14)*VERI_TABANI!G26) + (VERI_TABANI!D26*C609*(VERI_TABANI!$B$13-VERI_TABANI!$B$15)*VERI_TABANI!G26) + IF(ABS(IF(ISNUMBER(SEARCH("Var", D609)), 1, IF(ISNUMBER(SEARCH("Gri", D609)), -1, 0)))=1, VERI_TABANI!E26*(1-0.928)*0.00206091519919798*VERI_TABANI!G26, 0)) + ((MIN(VERI_TABANI!D27, VERI_TABANI!D27*B609)*VERI_TABANI!$B$7 + MAX(0, VERI_TABANI!D27*B609-VERI_TABANI!D27)*VERI_TABANI!$B$8) + (MIN(MAX(0, VERI_TABANI!D27-VERI_TABANI!D27*B609), VERI_TABANI!D27*C609)*VERI_TABANI!$B$7 + MAX(0, VERI_TABANI!D27*C609-MAX(0, VERI_TABANI!D27-VERI_TABANI!D27*B609))*VERI_TABANI!$B$8) + IF(ABS(IF(ISNUMBER(SEARCH("Var", D609)), 1, IF(ISNUMBER(SEARCH("Gri", D609)), -1, 0)))=1, VERI_TABANI!E27*(1-0.928)*VERI_TABANI!$B$9, 0) + (VERI_TABANI!D27*B609*(VERI_TABANI!$B$13-VERI_TABANI!$B$14)*VERI_TABANI!G27) + (VERI_TABANI!D27*C609*(VERI_TABANI!$B$13-VERI_TABANI!$B$15)*VERI_TABANI!G27) + IF(ABS(IF(ISNUMBER(SEARCH("Var", D609)), 1, IF(ISNUMBER(SEARCH("Gri", D609)), -1, 0)))=1, VERI_TABANI!E27*(1-0.928)*0.00206091519919798*VERI_TABANI!G27, 0)) + ((MIN(VERI_TABANI!D28, VERI_TABANI!D28*B609)*VERI_TABANI!$B$7 + MAX(0, VERI_TABANI!D28*B609-VERI_TABANI!D28)*VERI_TABANI!$B$8) + (MIN(MAX(0, VERI_TABANI!D28-VERI_TABANI!D28*B609), VERI_TABANI!D28*C609)*VERI_TABANI!$B$7 + MAX(0, VERI_TABANI!D28*C609-MAX(0, VERI_TABANI!D28-VERI_TABANI!D28*B609))*VERI_TABANI!$B$8) + IF(ABS(IF(ISNUMBER(SEARCH("Var", D609)), 1, IF(ISNUMBER(SEARCH("Gri", D609)), -1, 0)))=1, VERI_TABANI!E28*(1-0.928)*VERI_TABANI!$B$9, 0) + (VERI_TABANI!D28*B609*(VERI_TABANI!$B$13-VERI_TABANI!$B$14)*VERI_TABANI!G28) + (VERI_TABANI!D28*C609*(VERI_TABANI!$B$13-VERI_TABANI!$B$15)*VERI_TABANI!G28) + IF(ABS(IF(ISNUMBER(SEARCH("Var", D609)), 1, IF(ISNUMBER(SEARCH("Gri", D609)), -1, 0)))=1, VERI_TABANI!E28*(1-0.928)*0.00206091519919798*VERI_TABANI!G28, 0)))</f>
        <v/>
      </c>
      <c r="H609" s="169">
        <f>(((VERI_TABANI!D23*B609*(VERI_TABANI!$B$13-VERI_TABANI!$B$14)) + (VERI_TABANI!D23*C609*(VERI_TABANI!$B$13-VERI_TABANI!$B$15)) + IF(ISNUMBER(SEARCH("Var", D609)), VERI_TABANI!F23*(0.00202-VERI_TABANI!$B$16), IF(ISNUMBER(SEARCH("Gri", D609)), VERI_TABANI!F23*(0.00202-VERI_TABANI!$B$17), 0))) + ((VERI_TABANI!D24*B609*(VERI_TABANI!$B$13-VERI_TABANI!$B$14)) + (VERI_TABANI!D24*C609*(VERI_TABANI!$B$13-VERI_TABANI!$B$15)) + IF(ISNUMBER(SEARCH("Var", D609)), VERI_TABANI!F24*(0.00202-VERI_TABANI!$B$16), IF(ISNUMBER(SEARCH("Gri", D609)), VERI_TABANI!F24*(0.00202-VERI_TABANI!$B$17), 0))) + ((VERI_TABANI!D25*B609*(VERI_TABANI!$B$13-VERI_TABANI!$B$14)) + (VERI_TABANI!D25*C609*(VERI_TABANI!$B$13-VERI_TABANI!$B$15)) + IF(ISNUMBER(SEARCH("Var", D609)), VERI_TABANI!F25*(0.00202-VERI_TABANI!$B$16), IF(ISNUMBER(SEARCH("Gri", D609)), VERI_TABANI!F25*(0.00202-VERI_TABANI!$B$17), 0))) + ((VERI_TABANI!D26*B609*(VERI_TABANI!$B$13-VERI_TABANI!$B$14)) + (VERI_TABANI!D26*C609*(VERI_TABANI!$B$13-VERI_TABANI!$B$15)) + IF(ISNUMBER(SEARCH("Var", D609)), VERI_TABANI!F26*(0.00202-VERI_TABANI!$B$16), IF(ISNUMBER(SEARCH("Gri", D609)), VERI_TABANI!F26*(0.00202-VERI_TABANI!$B$17), 0))) + ((VERI_TABANI!D27*B609*(VERI_TABANI!$B$13-VERI_TABANI!$B$14)) + (VERI_TABANI!D27*C609*(VERI_TABANI!$B$13-VERI_TABANI!$B$15)) + IF(ISNUMBER(SEARCH("Var", D609)), VERI_TABANI!F27*(0.00202-VERI_TABANI!$B$16), IF(ISNUMBER(SEARCH("Gri", D609)), VERI_TABANI!F27*(0.00202-VERI_TABANI!$B$17), 0))) + ((VERI_TABANI!D28*B609*(VERI_TABANI!$B$13-VERI_TABANI!$B$14)) + (VERI_TABANI!D28*C609*(VERI_TABANI!$B$13-VERI_TABANI!$B$15)) + IF(ISNUMBER(SEARCH("Var", D609)), VERI_TABANI!F28*(0.00202-VERI_TABANI!$B$16), IF(ISNUMBER(SEARCH("Gri", D609)), VERI_TABANI!F28*(0.00202-VERI_TABANI!$B$17), 0))))</f>
        <v/>
      </c>
      <c r="I609" s="170">
        <f>IFERROR(((VERI_TABANI!$D$29*B609*VERI_TABANI!$B$14 + VERI_TABANI!$D$29*C609*VERI_TABANI!$B$15 + IF(ISNUMBER(SEARCH("Var", D609)), VERI_TABANI!$F$29*VERI_TABANI!$B$16, 0))) / (((VERI_TABANI!$D$29*B609 + VERI_TABANI!$D$29*C609)*VERI_TABANI!$B$13 + IF(ISNUMBER(SEARCH("Var", D609)), VERI_TABANI!$E$29*(1-0.928)*VERI_TABANI!$B$18, 0))), 0)</f>
        <v/>
      </c>
      <c r="J609" s="171">
        <f>IFERROR(F609/(G609/29), 0)</f>
        <v/>
      </c>
      <c r="K609" s="172">
        <f>IF(F609&gt;0, H609/F609, 0)</f>
        <v/>
      </c>
      <c r="L609" s="170">
        <f>IF(F609&gt;0, I609, 1000000000)</f>
        <v/>
      </c>
      <c r="M609" s="171">
        <f>ABS((B609+C609)-1)</f>
        <v/>
      </c>
      <c r="N609" s="170">
        <f>IF(F609&gt;0, (G609/29)/F609, 0)</f>
        <v/>
      </c>
      <c r="O609" s="168">
        <f>IF(AND((B609+C609)&gt;=1, ISNUMBER(SEARCH("Var", D609))), F609, 1000000000)</f>
        <v/>
      </c>
      <c r="P609" s="172">
        <f>IF(F609&gt;0, SQRT((F609/MAX(F$5:F$886))^2 + (1 - H609/MAX(H$5:H$886))^2 + (J609/MAX(J$5:J$886))^2), 1000000000)</f>
        <v/>
      </c>
      <c r="Q609" s="166">
        <f>IF(AND(ABS(B609-0.5)&lt;0.01, ABS(C609-0.5)&lt;0.01, ISNUMBER(SEARCH("Var", D609))), 1, 0)</f>
        <v/>
      </c>
      <c r="R609" s="171">
        <f>IF(F609&gt;0, J609, 1000000000)</f>
        <v/>
      </c>
      <c r="S609" s="101">
        <f>IF(AND(F609&lt;=DASHBOARD!$B$11, H609&gt;=DASHBOARD!$B$13), G609, -1000000000000)</f>
        <v/>
      </c>
      <c r="T609" s="101">
        <f>IF(AND(F609&lt;=DASHBOARD!$B$11, H609&gt;=DASHBOARD!$B$13), R609, 1000000000000)</f>
        <v/>
      </c>
      <c r="U609" s="101">
        <f>IF(AND(F609&lt;=DASHBOARD!$B$11, H609&gt;=DASHBOARD!$B$13), N609, -1000000000000)</f>
        <v/>
      </c>
      <c r="V609" s="101">
        <f>IF(AND(F609&lt;=DASHBOARD!$B$11, H609&gt;=DASHBOARD!$B$13), H609, -1000000000000)</f>
        <v/>
      </c>
      <c r="W609" s="101">
        <f>IF(AND(F609&lt;=DASHBOARD!$B$11, H609&gt;=DASHBOARD!$B$13), K609, -1000000000000)</f>
        <v/>
      </c>
      <c r="X609" s="101">
        <f>IF(AND(F609&lt;=DASHBOARD!$B$11, H609&gt;=DASHBOARD!$B$13), M609, 1000000000000)</f>
        <v/>
      </c>
      <c r="Y609" s="101">
        <f>IF(AND(F609&lt;=DASHBOARD!$B$10, H609&gt;=DASHBOARD!$B$11), L609, 1000000000000)</f>
        <v/>
      </c>
      <c r="Z609" s="101">
        <f>IF(AND(F609&lt;=DASHBOARD!$B$10, H609&gt;=DASHBOARD!$B$11), O609, 1000000000000)</f>
        <v/>
      </c>
      <c r="AA609" s="101">
        <f>IF(AND(F609&lt;=DASHBOARD!$B$10, H609&gt;=DASHBOARD!$B$11), P609, 1000000000000)</f>
        <v/>
      </c>
      <c r="AB609" s="101">
        <f>IF(AND(F609&lt;=DASHBOARD!$B$10, H609&gt;=DASHBOARD!$B$11), Q609, -1000000000000)</f>
        <v/>
      </c>
    </row>
    <row r="610" ht="15" customHeight="1" s="102">
      <c r="A610" s="166" t="n">
        <v>606</v>
      </c>
      <c r="B610" s="167" t="n">
        <v>1.4</v>
      </c>
      <c r="C610" s="167" t="n">
        <v>0.8</v>
      </c>
      <c r="D610" s="110" t="inlineStr">
        <is>
          <t>Var (%20)</t>
        </is>
      </c>
      <c r="E610" s="110">
        <f>IF((B610+C610)&lt;=1, "Tam Mahsuplaşma (≤%100)", "Kısmi Satış (&gt;%100)")</f>
        <v/>
      </c>
      <c r="F610" s="168">
        <f>((VERI_TABANI!$D$29*B610/VERI_TABANI!$B$29)/VERI_TABANI!$B$3)*VERI_TABANI!$B$5 + ((VERI_TABANI!$D$29*C610/VERI_TABANI!$B$29)/VERI_TABANI!$B$4)*VERI_TABANI!$B$6 + IF(ISNUMBER(SEARCH("Var", D610)), (VERI_TABANI!$F$29/VERI_TABANI!$B$29)*(VERI_TABANI!$B$10+VERI_TABANI!$B$12), 0)</f>
        <v/>
      </c>
      <c r="G610" s="168">
        <f>(((MIN(VERI_TABANI!D23, VERI_TABANI!D23*B610)*VERI_TABANI!$B$7 + MAX(0, VERI_TABANI!D23*B610-VERI_TABANI!D23)*VERI_TABANI!$B$8) + (MIN(MAX(0, VERI_TABANI!D23-VERI_TABANI!D23*B610), VERI_TABANI!D23*C610)*VERI_TABANI!$B$7 + MAX(0, VERI_TABANI!D23*C610-MAX(0, VERI_TABANI!D23-VERI_TABANI!D23*B610))*VERI_TABANI!$B$8) + IF(ABS(IF(ISNUMBER(SEARCH("Var", D610)), 1, IF(ISNUMBER(SEARCH("Gri", D610)), -1, 0)))=1, VERI_TABANI!E23*(1-0.928)*VERI_TABANI!$B$9, 0) + (VERI_TABANI!D23*B610*(VERI_TABANI!$B$13-VERI_TABANI!$B$14)*VERI_TABANI!G23) + (VERI_TABANI!D23*C610*(VERI_TABANI!$B$13-VERI_TABANI!$B$15)*VERI_TABANI!G23) + IF(ABS(IF(ISNUMBER(SEARCH("Var", D610)), 1, IF(ISNUMBER(SEARCH("Gri", D610)), -1, 0)))=1, VERI_TABANI!E23*(1-0.928)*0.00206091519919798*VERI_TABANI!G23, 0)) + ((MIN(VERI_TABANI!D24, VERI_TABANI!D24*B610)*VERI_TABANI!$B$7 + MAX(0, VERI_TABANI!D24*B610-VERI_TABANI!D24)*VERI_TABANI!$B$8) + (MIN(MAX(0, VERI_TABANI!D24-VERI_TABANI!D24*B610), VERI_TABANI!D24*C610)*VERI_TABANI!$B$7 + MAX(0, VERI_TABANI!D24*C610-MAX(0, VERI_TABANI!D24-VERI_TABANI!D24*B610))*VERI_TABANI!$B$8) + IF(ABS(IF(ISNUMBER(SEARCH("Var", D610)), 1, IF(ISNUMBER(SEARCH("Gri", D610)), -1, 0)))=1, VERI_TABANI!E24*(1-0.928)*VERI_TABANI!$B$9, 0) + (VERI_TABANI!D24*B610*(VERI_TABANI!$B$13-VERI_TABANI!$B$14)*VERI_TABANI!G24) + (VERI_TABANI!D24*C610*(VERI_TABANI!$B$13-VERI_TABANI!$B$15)*VERI_TABANI!G24) + IF(ABS(IF(ISNUMBER(SEARCH("Var", D610)), 1, IF(ISNUMBER(SEARCH("Gri", D610)), -1, 0)))=1, VERI_TABANI!E24*(1-0.928)*0.00206091519919798*VERI_TABANI!G24, 0)) + ((MIN(VERI_TABANI!D25, VERI_TABANI!D25*B610)*VERI_TABANI!$B$7 + MAX(0, VERI_TABANI!D25*B610-VERI_TABANI!D25)*VERI_TABANI!$B$8) + (MIN(MAX(0, VERI_TABANI!D25-VERI_TABANI!D25*B610), VERI_TABANI!D25*C610)*VERI_TABANI!$B$7 + MAX(0, VERI_TABANI!D25*C610-MAX(0, VERI_TABANI!D25-VERI_TABANI!D25*B610))*VERI_TABANI!$B$8) + IF(ABS(IF(ISNUMBER(SEARCH("Var", D610)), 1, IF(ISNUMBER(SEARCH("Gri", D610)), -1, 0)))=1, VERI_TABANI!E25*(1-0.928)*VERI_TABANI!$B$9, 0) + (VERI_TABANI!D25*B610*(VERI_TABANI!$B$13-VERI_TABANI!$B$14)*VERI_TABANI!G25) + (VERI_TABANI!D25*C610*(VERI_TABANI!$B$13-VERI_TABANI!$B$15)*VERI_TABANI!G25) + IF(ABS(IF(ISNUMBER(SEARCH("Var", D610)), 1, IF(ISNUMBER(SEARCH("Gri", D610)), -1, 0)))=1, VERI_TABANI!E25*(1-0.928)*0.00206091519919798*VERI_TABANI!G25, 0)) + ((MIN(VERI_TABANI!D26, VERI_TABANI!D26*B610)*VERI_TABANI!$B$7 + MAX(0, VERI_TABANI!D26*B610-VERI_TABANI!D26)*VERI_TABANI!$B$8) + (MIN(MAX(0, VERI_TABANI!D26-VERI_TABANI!D26*B610), VERI_TABANI!D26*C610)*VERI_TABANI!$B$7 + MAX(0, VERI_TABANI!D26*C610-MAX(0, VERI_TABANI!D26-VERI_TABANI!D26*B610))*VERI_TABANI!$B$8) + IF(ABS(IF(ISNUMBER(SEARCH("Var", D610)), 1, IF(ISNUMBER(SEARCH("Gri", D610)), -1, 0)))=1, VERI_TABANI!E26*(1-0.928)*VERI_TABANI!$B$9, 0) + (VERI_TABANI!D26*B610*(VERI_TABANI!$B$13-VERI_TABANI!$B$14)*VERI_TABANI!G26) + (VERI_TABANI!D26*C610*(VERI_TABANI!$B$13-VERI_TABANI!$B$15)*VERI_TABANI!G26) + IF(ABS(IF(ISNUMBER(SEARCH("Var", D610)), 1, IF(ISNUMBER(SEARCH("Gri", D610)), -1, 0)))=1, VERI_TABANI!E26*(1-0.928)*0.00206091519919798*VERI_TABANI!G26, 0)) + ((MIN(VERI_TABANI!D27, VERI_TABANI!D27*B610)*VERI_TABANI!$B$7 + MAX(0, VERI_TABANI!D27*B610-VERI_TABANI!D27)*VERI_TABANI!$B$8) + (MIN(MAX(0, VERI_TABANI!D27-VERI_TABANI!D27*B610), VERI_TABANI!D27*C610)*VERI_TABANI!$B$7 + MAX(0, VERI_TABANI!D27*C610-MAX(0, VERI_TABANI!D27-VERI_TABANI!D27*B610))*VERI_TABANI!$B$8) + IF(ABS(IF(ISNUMBER(SEARCH("Var", D610)), 1, IF(ISNUMBER(SEARCH("Gri", D610)), -1, 0)))=1, VERI_TABANI!E27*(1-0.928)*VERI_TABANI!$B$9, 0) + (VERI_TABANI!D27*B610*(VERI_TABANI!$B$13-VERI_TABANI!$B$14)*VERI_TABANI!G27) + (VERI_TABANI!D27*C610*(VERI_TABANI!$B$13-VERI_TABANI!$B$15)*VERI_TABANI!G27) + IF(ABS(IF(ISNUMBER(SEARCH("Var", D610)), 1, IF(ISNUMBER(SEARCH("Gri", D610)), -1, 0)))=1, VERI_TABANI!E27*(1-0.928)*0.00206091519919798*VERI_TABANI!G27, 0)) + ((MIN(VERI_TABANI!D28, VERI_TABANI!D28*B610)*VERI_TABANI!$B$7 + MAX(0, VERI_TABANI!D28*B610-VERI_TABANI!D28)*VERI_TABANI!$B$8) + (MIN(MAX(0, VERI_TABANI!D28-VERI_TABANI!D28*B610), VERI_TABANI!D28*C610)*VERI_TABANI!$B$7 + MAX(0, VERI_TABANI!D28*C610-MAX(0, VERI_TABANI!D28-VERI_TABANI!D28*B610))*VERI_TABANI!$B$8) + IF(ABS(IF(ISNUMBER(SEARCH("Var", D610)), 1, IF(ISNUMBER(SEARCH("Gri", D610)), -1, 0)))=1, VERI_TABANI!E28*(1-0.928)*VERI_TABANI!$B$9, 0) + (VERI_TABANI!D28*B610*(VERI_TABANI!$B$13-VERI_TABANI!$B$14)*VERI_TABANI!G28) + (VERI_TABANI!D28*C610*(VERI_TABANI!$B$13-VERI_TABANI!$B$15)*VERI_TABANI!G28) + IF(ABS(IF(ISNUMBER(SEARCH("Var", D610)), 1, IF(ISNUMBER(SEARCH("Gri", D610)), -1, 0)))=1, VERI_TABANI!E28*(1-0.928)*0.00206091519919798*VERI_TABANI!G28, 0)))</f>
        <v/>
      </c>
      <c r="H610" s="169">
        <f>(((VERI_TABANI!D23*B610*(VERI_TABANI!$B$13-VERI_TABANI!$B$14)) + (VERI_TABANI!D23*C610*(VERI_TABANI!$B$13-VERI_TABANI!$B$15)) + IF(ISNUMBER(SEARCH("Var", D610)), VERI_TABANI!F23*(0.00202-VERI_TABANI!$B$16), IF(ISNUMBER(SEARCH("Gri", D610)), VERI_TABANI!F23*(0.00202-VERI_TABANI!$B$17), 0))) + ((VERI_TABANI!D24*B610*(VERI_TABANI!$B$13-VERI_TABANI!$B$14)) + (VERI_TABANI!D24*C610*(VERI_TABANI!$B$13-VERI_TABANI!$B$15)) + IF(ISNUMBER(SEARCH("Var", D610)), VERI_TABANI!F24*(0.00202-VERI_TABANI!$B$16), IF(ISNUMBER(SEARCH("Gri", D610)), VERI_TABANI!F24*(0.00202-VERI_TABANI!$B$17), 0))) + ((VERI_TABANI!D25*B610*(VERI_TABANI!$B$13-VERI_TABANI!$B$14)) + (VERI_TABANI!D25*C610*(VERI_TABANI!$B$13-VERI_TABANI!$B$15)) + IF(ISNUMBER(SEARCH("Var", D610)), VERI_TABANI!F25*(0.00202-VERI_TABANI!$B$16), IF(ISNUMBER(SEARCH("Gri", D610)), VERI_TABANI!F25*(0.00202-VERI_TABANI!$B$17), 0))) + ((VERI_TABANI!D26*B610*(VERI_TABANI!$B$13-VERI_TABANI!$B$14)) + (VERI_TABANI!D26*C610*(VERI_TABANI!$B$13-VERI_TABANI!$B$15)) + IF(ISNUMBER(SEARCH("Var", D610)), VERI_TABANI!F26*(0.00202-VERI_TABANI!$B$16), IF(ISNUMBER(SEARCH("Gri", D610)), VERI_TABANI!F26*(0.00202-VERI_TABANI!$B$17), 0))) + ((VERI_TABANI!D27*B610*(VERI_TABANI!$B$13-VERI_TABANI!$B$14)) + (VERI_TABANI!D27*C610*(VERI_TABANI!$B$13-VERI_TABANI!$B$15)) + IF(ISNUMBER(SEARCH("Var", D610)), VERI_TABANI!F27*(0.00202-VERI_TABANI!$B$16), IF(ISNUMBER(SEARCH("Gri", D610)), VERI_TABANI!F27*(0.00202-VERI_TABANI!$B$17), 0))) + ((VERI_TABANI!D28*B610*(VERI_TABANI!$B$13-VERI_TABANI!$B$14)) + (VERI_TABANI!D28*C610*(VERI_TABANI!$B$13-VERI_TABANI!$B$15)) + IF(ISNUMBER(SEARCH("Var", D610)), VERI_TABANI!F28*(0.00202-VERI_TABANI!$B$16), IF(ISNUMBER(SEARCH("Gri", D610)), VERI_TABANI!F28*(0.00202-VERI_TABANI!$B$17), 0))))</f>
        <v/>
      </c>
      <c r="I610" s="170">
        <f>IFERROR(((VERI_TABANI!$D$29*B610*VERI_TABANI!$B$14 + VERI_TABANI!$D$29*C610*VERI_TABANI!$B$15 + IF(ISNUMBER(SEARCH("Var", D610)), VERI_TABANI!$F$29*VERI_TABANI!$B$16, 0))) / (((VERI_TABANI!$D$29*B610 + VERI_TABANI!$D$29*C610)*VERI_TABANI!$B$13 + IF(ISNUMBER(SEARCH("Var", D610)), VERI_TABANI!$E$29*(1-0.928)*VERI_TABANI!$B$18, 0))), 0)</f>
        <v/>
      </c>
      <c r="J610" s="171">
        <f>IFERROR(F610/(G610/29), 0)</f>
        <v/>
      </c>
      <c r="K610" s="172">
        <f>IF(F610&gt;0, H610/F610, 0)</f>
        <v/>
      </c>
      <c r="L610" s="170">
        <f>IF(F610&gt;0, I610, 1000000000)</f>
        <v/>
      </c>
      <c r="M610" s="171">
        <f>ABS((B610+C610)-1)</f>
        <v/>
      </c>
      <c r="N610" s="170">
        <f>IF(F610&gt;0, (G610/29)/F610, 0)</f>
        <v/>
      </c>
      <c r="O610" s="168">
        <f>IF(AND((B610+C610)&gt;=1, ISNUMBER(SEARCH("Var", D610))), F610, 1000000000)</f>
        <v/>
      </c>
      <c r="P610" s="172">
        <f>IF(F610&gt;0, SQRT((F610/MAX(F$5:F$886))^2 + (1 - H610/MAX(H$5:H$886))^2 + (J610/MAX(J$5:J$886))^2), 1000000000)</f>
        <v/>
      </c>
      <c r="Q610" s="166">
        <f>IF(AND(ABS(B610-0.5)&lt;0.01, ABS(C610-0.5)&lt;0.01, ISNUMBER(SEARCH("Var", D610))), 1, 0)</f>
        <v/>
      </c>
      <c r="R610" s="171">
        <f>IF(F610&gt;0, J610, 1000000000)</f>
        <v/>
      </c>
      <c r="S610" s="101">
        <f>IF(AND(F610&lt;=DASHBOARD!$B$11, H610&gt;=DASHBOARD!$B$13), G610, -1000000000000)</f>
        <v/>
      </c>
      <c r="T610" s="101">
        <f>IF(AND(F610&lt;=DASHBOARD!$B$11, H610&gt;=DASHBOARD!$B$13), R610, 1000000000000)</f>
        <v/>
      </c>
      <c r="U610" s="101">
        <f>IF(AND(F610&lt;=DASHBOARD!$B$11, H610&gt;=DASHBOARD!$B$13), N610, -1000000000000)</f>
        <v/>
      </c>
      <c r="V610" s="101">
        <f>IF(AND(F610&lt;=DASHBOARD!$B$11, H610&gt;=DASHBOARD!$B$13), H610, -1000000000000)</f>
        <v/>
      </c>
      <c r="W610" s="101">
        <f>IF(AND(F610&lt;=DASHBOARD!$B$11, H610&gt;=DASHBOARD!$B$13), K610, -1000000000000)</f>
        <v/>
      </c>
      <c r="X610" s="101">
        <f>IF(AND(F610&lt;=DASHBOARD!$B$11, H610&gt;=DASHBOARD!$B$13), M610, 1000000000000)</f>
        <v/>
      </c>
      <c r="Y610" s="101">
        <f>IF(AND(F610&lt;=DASHBOARD!$B$10, H610&gt;=DASHBOARD!$B$11), L610, 1000000000000)</f>
        <v/>
      </c>
      <c r="Z610" s="101">
        <f>IF(AND(F610&lt;=DASHBOARD!$B$10, H610&gt;=DASHBOARD!$B$11), O610, 1000000000000)</f>
        <v/>
      </c>
      <c r="AA610" s="101">
        <f>IF(AND(F610&lt;=DASHBOARD!$B$10, H610&gt;=DASHBOARD!$B$11), P610, 1000000000000)</f>
        <v/>
      </c>
      <c r="AB610" s="101">
        <f>IF(AND(F610&lt;=DASHBOARD!$B$10, H610&gt;=DASHBOARD!$B$11), Q610, -1000000000000)</f>
        <v/>
      </c>
    </row>
    <row r="611" ht="15" customHeight="1" s="102">
      <c r="A611" s="166" t="n">
        <v>607</v>
      </c>
      <c r="B611" s="167" t="n">
        <v>1.4</v>
      </c>
      <c r="C611" s="167" t="n">
        <v>0.9</v>
      </c>
      <c r="D611" s="110" t="inlineStr">
        <is>
          <t>Yok (%0)</t>
        </is>
      </c>
      <c r="E611" s="110">
        <f>IF((B611+C611)&lt;=1, "Tam Mahsuplaşma (≤%100)", "Kısmi Satış (&gt;%100)")</f>
        <v/>
      </c>
      <c r="F611" s="168">
        <f>((VERI_TABANI!$D$29*B611/VERI_TABANI!$B$29)/VERI_TABANI!$B$3)*VERI_TABANI!$B$5 + ((VERI_TABANI!$D$29*C611/VERI_TABANI!$B$29)/VERI_TABANI!$B$4)*VERI_TABANI!$B$6 + IF(ISNUMBER(SEARCH("Var", D611)), (VERI_TABANI!$F$29/VERI_TABANI!$B$29)*(VERI_TABANI!$B$10+VERI_TABANI!$B$12), 0)</f>
        <v/>
      </c>
      <c r="G611" s="168">
        <f>(((MIN(VERI_TABANI!D23, VERI_TABANI!D23*B611)*VERI_TABANI!$B$7 + MAX(0, VERI_TABANI!D23*B611-VERI_TABANI!D23)*VERI_TABANI!$B$8) + (MIN(MAX(0, VERI_TABANI!D23-VERI_TABANI!D23*B611), VERI_TABANI!D23*C611)*VERI_TABANI!$B$7 + MAX(0, VERI_TABANI!D23*C611-MAX(0, VERI_TABANI!D23-VERI_TABANI!D23*B611))*VERI_TABANI!$B$8) + IF(ABS(IF(ISNUMBER(SEARCH("Var", D611)), 1, IF(ISNUMBER(SEARCH("Gri", D611)), -1, 0)))=1, VERI_TABANI!E23*(1-0.928)*VERI_TABANI!$B$9, 0) + (VERI_TABANI!D23*B611*(VERI_TABANI!$B$13-VERI_TABANI!$B$14)*VERI_TABANI!G23) + (VERI_TABANI!D23*C611*(VERI_TABANI!$B$13-VERI_TABANI!$B$15)*VERI_TABANI!G23) + IF(ABS(IF(ISNUMBER(SEARCH("Var", D611)), 1, IF(ISNUMBER(SEARCH("Gri", D611)), -1, 0)))=1, VERI_TABANI!E23*(1-0.928)*0.00206091519919798*VERI_TABANI!G23, 0)) + ((MIN(VERI_TABANI!D24, VERI_TABANI!D24*B611)*VERI_TABANI!$B$7 + MAX(0, VERI_TABANI!D24*B611-VERI_TABANI!D24)*VERI_TABANI!$B$8) + (MIN(MAX(0, VERI_TABANI!D24-VERI_TABANI!D24*B611), VERI_TABANI!D24*C611)*VERI_TABANI!$B$7 + MAX(0, VERI_TABANI!D24*C611-MAX(0, VERI_TABANI!D24-VERI_TABANI!D24*B611))*VERI_TABANI!$B$8) + IF(ABS(IF(ISNUMBER(SEARCH("Var", D611)), 1, IF(ISNUMBER(SEARCH("Gri", D611)), -1, 0)))=1, VERI_TABANI!E24*(1-0.928)*VERI_TABANI!$B$9, 0) + (VERI_TABANI!D24*B611*(VERI_TABANI!$B$13-VERI_TABANI!$B$14)*VERI_TABANI!G24) + (VERI_TABANI!D24*C611*(VERI_TABANI!$B$13-VERI_TABANI!$B$15)*VERI_TABANI!G24) + IF(ABS(IF(ISNUMBER(SEARCH("Var", D611)), 1, IF(ISNUMBER(SEARCH("Gri", D611)), -1, 0)))=1, VERI_TABANI!E24*(1-0.928)*0.00206091519919798*VERI_TABANI!G24, 0)) + ((MIN(VERI_TABANI!D25, VERI_TABANI!D25*B611)*VERI_TABANI!$B$7 + MAX(0, VERI_TABANI!D25*B611-VERI_TABANI!D25)*VERI_TABANI!$B$8) + (MIN(MAX(0, VERI_TABANI!D25-VERI_TABANI!D25*B611), VERI_TABANI!D25*C611)*VERI_TABANI!$B$7 + MAX(0, VERI_TABANI!D25*C611-MAX(0, VERI_TABANI!D25-VERI_TABANI!D25*B611))*VERI_TABANI!$B$8) + IF(ABS(IF(ISNUMBER(SEARCH("Var", D611)), 1, IF(ISNUMBER(SEARCH("Gri", D611)), -1, 0)))=1, VERI_TABANI!E25*(1-0.928)*VERI_TABANI!$B$9, 0) + (VERI_TABANI!D25*B611*(VERI_TABANI!$B$13-VERI_TABANI!$B$14)*VERI_TABANI!G25) + (VERI_TABANI!D25*C611*(VERI_TABANI!$B$13-VERI_TABANI!$B$15)*VERI_TABANI!G25) + IF(ABS(IF(ISNUMBER(SEARCH("Var", D611)), 1, IF(ISNUMBER(SEARCH("Gri", D611)), -1, 0)))=1, VERI_TABANI!E25*(1-0.928)*0.00206091519919798*VERI_TABANI!G25, 0)) + ((MIN(VERI_TABANI!D26, VERI_TABANI!D26*B611)*VERI_TABANI!$B$7 + MAX(0, VERI_TABANI!D26*B611-VERI_TABANI!D26)*VERI_TABANI!$B$8) + (MIN(MAX(0, VERI_TABANI!D26-VERI_TABANI!D26*B611), VERI_TABANI!D26*C611)*VERI_TABANI!$B$7 + MAX(0, VERI_TABANI!D26*C611-MAX(0, VERI_TABANI!D26-VERI_TABANI!D26*B611))*VERI_TABANI!$B$8) + IF(ABS(IF(ISNUMBER(SEARCH("Var", D611)), 1, IF(ISNUMBER(SEARCH("Gri", D611)), -1, 0)))=1, VERI_TABANI!E26*(1-0.928)*VERI_TABANI!$B$9, 0) + (VERI_TABANI!D26*B611*(VERI_TABANI!$B$13-VERI_TABANI!$B$14)*VERI_TABANI!G26) + (VERI_TABANI!D26*C611*(VERI_TABANI!$B$13-VERI_TABANI!$B$15)*VERI_TABANI!G26) + IF(ABS(IF(ISNUMBER(SEARCH("Var", D611)), 1, IF(ISNUMBER(SEARCH("Gri", D611)), -1, 0)))=1, VERI_TABANI!E26*(1-0.928)*0.00206091519919798*VERI_TABANI!G26, 0)) + ((MIN(VERI_TABANI!D27, VERI_TABANI!D27*B611)*VERI_TABANI!$B$7 + MAX(0, VERI_TABANI!D27*B611-VERI_TABANI!D27)*VERI_TABANI!$B$8) + (MIN(MAX(0, VERI_TABANI!D27-VERI_TABANI!D27*B611), VERI_TABANI!D27*C611)*VERI_TABANI!$B$7 + MAX(0, VERI_TABANI!D27*C611-MAX(0, VERI_TABANI!D27-VERI_TABANI!D27*B611))*VERI_TABANI!$B$8) + IF(ABS(IF(ISNUMBER(SEARCH("Var", D611)), 1, IF(ISNUMBER(SEARCH("Gri", D611)), -1, 0)))=1, VERI_TABANI!E27*(1-0.928)*VERI_TABANI!$B$9, 0) + (VERI_TABANI!D27*B611*(VERI_TABANI!$B$13-VERI_TABANI!$B$14)*VERI_TABANI!G27) + (VERI_TABANI!D27*C611*(VERI_TABANI!$B$13-VERI_TABANI!$B$15)*VERI_TABANI!G27) + IF(ABS(IF(ISNUMBER(SEARCH("Var", D611)), 1, IF(ISNUMBER(SEARCH("Gri", D611)), -1, 0)))=1, VERI_TABANI!E27*(1-0.928)*0.00206091519919798*VERI_TABANI!G27, 0)) + ((MIN(VERI_TABANI!D28, VERI_TABANI!D28*B611)*VERI_TABANI!$B$7 + MAX(0, VERI_TABANI!D28*B611-VERI_TABANI!D28)*VERI_TABANI!$B$8) + (MIN(MAX(0, VERI_TABANI!D28-VERI_TABANI!D28*B611), VERI_TABANI!D28*C611)*VERI_TABANI!$B$7 + MAX(0, VERI_TABANI!D28*C611-MAX(0, VERI_TABANI!D28-VERI_TABANI!D28*B611))*VERI_TABANI!$B$8) + IF(ABS(IF(ISNUMBER(SEARCH("Var", D611)), 1, IF(ISNUMBER(SEARCH("Gri", D611)), -1, 0)))=1, VERI_TABANI!E28*(1-0.928)*VERI_TABANI!$B$9, 0) + (VERI_TABANI!D28*B611*(VERI_TABANI!$B$13-VERI_TABANI!$B$14)*VERI_TABANI!G28) + (VERI_TABANI!D28*C611*(VERI_TABANI!$B$13-VERI_TABANI!$B$15)*VERI_TABANI!G28) + IF(ABS(IF(ISNUMBER(SEARCH("Var", D611)), 1, IF(ISNUMBER(SEARCH("Gri", D611)), -1, 0)))=1, VERI_TABANI!E28*(1-0.928)*0.00206091519919798*VERI_TABANI!G28, 0)))</f>
        <v/>
      </c>
      <c r="H611" s="169">
        <f>(((VERI_TABANI!D23*B611*(VERI_TABANI!$B$13-VERI_TABANI!$B$14)) + (VERI_TABANI!D23*C611*(VERI_TABANI!$B$13-VERI_TABANI!$B$15)) + IF(ISNUMBER(SEARCH("Var", D611)), VERI_TABANI!F23*(0.00202-VERI_TABANI!$B$16), IF(ISNUMBER(SEARCH("Gri", D611)), VERI_TABANI!F23*(0.00202-VERI_TABANI!$B$17), 0))) + ((VERI_TABANI!D24*B611*(VERI_TABANI!$B$13-VERI_TABANI!$B$14)) + (VERI_TABANI!D24*C611*(VERI_TABANI!$B$13-VERI_TABANI!$B$15)) + IF(ISNUMBER(SEARCH("Var", D611)), VERI_TABANI!F24*(0.00202-VERI_TABANI!$B$16), IF(ISNUMBER(SEARCH("Gri", D611)), VERI_TABANI!F24*(0.00202-VERI_TABANI!$B$17), 0))) + ((VERI_TABANI!D25*B611*(VERI_TABANI!$B$13-VERI_TABANI!$B$14)) + (VERI_TABANI!D25*C611*(VERI_TABANI!$B$13-VERI_TABANI!$B$15)) + IF(ISNUMBER(SEARCH("Var", D611)), VERI_TABANI!F25*(0.00202-VERI_TABANI!$B$16), IF(ISNUMBER(SEARCH("Gri", D611)), VERI_TABANI!F25*(0.00202-VERI_TABANI!$B$17), 0))) + ((VERI_TABANI!D26*B611*(VERI_TABANI!$B$13-VERI_TABANI!$B$14)) + (VERI_TABANI!D26*C611*(VERI_TABANI!$B$13-VERI_TABANI!$B$15)) + IF(ISNUMBER(SEARCH("Var", D611)), VERI_TABANI!F26*(0.00202-VERI_TABANI!$B$16), IF(ISNUMBER(SEARCH("Gri", D611)), VERI_TABANI!F26*(0.00202-VERI_TABANI!$B$17), 0))) + ((VERI_TABANI!D27*B611*(VERI_TABANI!$B$13-VERI_TABANI!$B$14)) + (VERI_TABANI!D27*C611*(VERI_TABANI!$B$13-VERI_TABANI!$B$15)) + IF(ISNUMBER(SEARCH("Var", D611)), VERI_TABANI!F27*(0.00202-VERI_TABANI!$B$16), IF(ISNUMBER(SEARCH("Gri", D611)), VERI_TABANI!F27*(0.00202-VERI_TABANI!$B$17), 0))) + ((VERI_TABANI!D28*B611*(VERI_TABANI!$B$13-VERI_TABANI!$B$14)) + (VERI_TABANI!D28*C611*(VERI_TABANI!$B$13-VERI_TABANI!$B$15)) + IF(ISNUMBER(SEARCH("Var", D611)), VERI_TABANI!F28*(0.00202-VERI_TABANI!$B$16), IF(ISNUMBER(SEARCH("Gri", D611)), VERI_TABANI!F28*(0.00202-VERI_TABANI!$B$17), 0))))</f>
        <v/>
      </c>
      <c r="I611" s="170">
        <f>IFERROR(((VERI_TABANI!$D$29*B611*VERI_TABANI!$B$14 + VERI_TABANI!$D$29*C611*VERI_TABANI!$B$15 + IF(ISNUMBER(SEARCH("Var", D611)), VERI_TABANI!$F$29*VERI_TABANI!$B$16, 0))) / (((VERI_TABANI!$D$29*B611 + VERI_TABANI!$D$29*C611)*VERI_TABANI!$B$13 + IF(ISNUMBER(SEARCH("Var", D611)), VERI_TABANI!$E$29*(1-0.928)*VERI_TABANI!$B$18, 0))), 0)</f>
        <v/>
      </c>
      <c r="J611" s="171">
        <f>IFERROR(F611/(G611/29), 0)</f>
        <v/>
      </c>
      <c r="K611" s="172">
        <f>IF(F611&gt;0, H611/F611, 0)</f>
        <v/>
      </c>
      <c r="L611" s="170">
        <f>IF(F611&gt;0, I611, 1000000000)</f>
        <v/>
      </c>
      <c r="M611" s="171">
        <f>ABS((B611+C611)-1)</f>
        <v/>
      </c>
      <c r="N611" s="170">
        <f>IF(F611&gt;0, (G611/29)/F611, 0)</f>
        <v/>
      </c>
      <c r="O611" s="168">
        <f>IF(AND((B611+C611)&gt;=1, ISNUMBER(SEARCH("Var", D611))), F611, 1000000000)</f>
        <v/>
      </c>
      <c r="P611" s="172">
        <f>IF(F611&gt;0, SQRT((F611/MAX(F$5:F$886))^2 + (1 - H611/MAX(H$5:H$886))^2 + (J611/MAX(J$5:J$886))^2), 1000000000)</f>
        <v/>
      </c>
      <c r="Q611" s="166">
        <f>IF(AND(ABS(B611-0.5)&lt;0.01, ABS(C611-0.5)&lt;0.01, ISNUMBER(SEARCH("Var", D611))), 1, 0)</f>
        <v/>
      </c>
      <c r="R611" s="171">
        <f>IF(F611&gt;0, J611, 1000000000)</f>
        <v/>
      </c>
      <c r="S611" s="101">
        <f>IF(AND(F611&lt;=DASHBOARD!$B$11, H611&gt;=DASHBOARD!$B$13), G611, -1000000000000)</f>
        <v/>
      </c>
      <c r="T611" s="101">
        <f>IF(AND(F611&lt;=DASHBOARD!$B$11, H611&gt;=DASHBOARD!$B$13), R611, 1000000000000)</f>
        <v/>
      </c>
      <c r="U611" s="101">
        <f>IF(AND(F611&lt;=DASHBOARD!$B$11, H611&gt;=DASHBOARD!$B$13), N611, -1000000000000)</f>
        <v/>
      </c>
      <c r="V611" s="101">
        <f>IF(AND(F611&lt;=DASHBOARD!$B$11, H611&gt;=DASHBOARD!$B$13), H611, -1000000000000)</f>
        <v/>
      </c>
      <c r="W611" s="101">
        <f>IF(AND(F611&lt;=DASHBOARD!$B$11, H611&gt;=DASHBOARD!$B$13), K611, -1000000000000)</f>
        <v/>
      </c>
      <c r="X611" s="101">
        <f>IF(AND(F611&lt;=DASHBOARD!$B$11, H611&gt;=DASHBOARD!$B$13), M611, 1000000000000)</f>
        <v/>
      </c>
      <c r="Y611" s="101">
        <f>IF(AND(F611&lt;=DASHBOARD!$B$10, H611&gt;=DASHBOARD!$B$11), L611, 1000000000000)</f>
        <v/>
      </c>
      <c r="Z611" s="101">
        <f>IF(AND(F611&lt;=DASHBOARD!$B$10, H611&gt;=DASHBOARD!$B$11), O611, 1000000000000)</f>
        <v/>
      </c>
      <c r="AA611" s="101">
        <f>IF(AND(F611&lt;=DASHBOARD!$B$10, H611&gt;=DASHBOARD!$B$11), P611, 1000000000000)</f>
        <v/>
      </c>
      <c r="AB611" s="101">
        <f>IF(AND(F611&lt;=DASHBOARD!$B$10, H611&gt;=DASHBOARD!$B$11), Q611, -1000000000000)</f>
        <v/>
      </c>
    </row>
    <row r="612" ht="15" customHeight="1" s="102">
      <c r="A612" s="166" t="n">
        <v>608</v>
      </c>
      <c r="B612" s="167" t="n">
        <v>1.4</v>
      </c>
      <c r="C612" s="167" t="n">
        <v>0.9</v>
      </c>
      <c r="D612" s="110" t="inlineStr">
        <is>
          <t>Var (%20)</t>
        </is>
      </c>
      <c r="E612" s="110">
        <f>IF((B612+C612)&lt;=1, "Tam Mahsuplaşma (≤%100)", "Kısmi Satış (&gt;%100)")</f>
        <v/>
      </c>
      <c r="F612" s="168">
        <f>((VERI_TABANI!$D$29*B612/VERI_TABANI!$B$29)/VERI_TABANI!$B$3)*VERI_TABANI!$B$5 + ((VERI_TABANI!$D$29*C612/VERI_TABANI!$B$29)/VERI_TABANI!$B$4)*VERI_TABANI!$B$6 + IF(ISNUMBER(SEARCH("Var", D612)), (VERI_TABANI!$F$29/VERI_TABANI!$B$29)*(VERI_TABANI!$B$10+VERI_TABANI!$B$12), 0)</f>
        <v/>
      </c>
      <c r="G612" s="168">
        <f>(((MIN(VERI_TABANI!D23, VERI_TABANI!D23*B612)*VERI_TABANI!$B$7 + MAX(0, VERI_TABANI!D23*B612-VERI_TABANI!D23)*VERI_TABANI!$B$8) + (MIN(MAX(0, VERI_TABANI!D23-VERI_TABANI!D23*B612), VERI_TABANI!D23*C612)*VERI_TABANI!$B$7 + MAX(0, VERI_TABANI!D23*C612-MAX(0, VERI_TABANI!D23-VERI_TABANI!D23*B612))*VERI_TABANI!$B$8) + IF(ABS(IF(ISNUMBER(SEARCH("Var", D612)), 1, IF(ISNUMBER(SEARCH("Gri", D612)), -1, 0)))=1, VERI_TABANI!E23*(1-0.928)*VERI_TABANI!$B$9, 0) + (VERI_TABANI!D23*B612*(VERI_TABANI!$B$13-VERI_TABANI!$B$14)*VERI_TABANI!G23) + (VERI_TABANI!D23*C612*(VERI_TABANI!$B$13-VERI_TABANI!$B$15)*VERI_TABANI!G23) + IF(ABS(IF(ISNUMBER(SEARCH("Var", D612)), 1, IF(ISNUMBER(SEARCH("Gri", D612)), -1, 0)))=1, VERI_TABANI!E23*(1-0.928)*0.00206091519919798*VERI_TABANI!G23, 0)) + ((MIN(VERI_TABANI!D24, VERI_TABANI!D24*B612)*VERI_TABANI!$B$7 + MAX(0, VERI_TABANI!D24*B612-VERI_TABANI!D24)*VERI_TABANI!$B$8) + (MIN(MAX(0, VERI_TABANI!D24-VERI_TABANI!D24*B612), VERI_TABANI!D24*C612)*VERI_TABANI!$B$7 + MAX(0, VERI_TABANI!D24*C612-MAX(0, VERI_TABANI!D24-VERI_TABANI!D24*B612))*VERI_TABANI!$B$8) + IF(ABS(IF(ISNUMBER(SEARCH("Var", D612)), 1, IF(ISNUMBER(SEARCH("Gri", D612)), -1, 0)))=1, VERI_TABANI!E24*(1-0.928)*VERI_TABANI!$B$9, 0) + (VERI_TABANI!D24*B612*(VERI_TABANI!$B$13-VERI_TABANI!$B$14)*VERI_TABANI!G24) + (VERI_TABANI!D24*C612*(VERI_TABANI!$B$13-VERI_TABANI!$B$15)*VERI_TABANI!G24) + IF(ABS(IF(ISNUMBER(SEARCH("Var", D612)), 1, IF(ISNUMBER(SEARCH("Gri", D612)), -1, 0)))=1, VERI_TABANI!E24*(1-0.928)*0.00206091519919798*VERI_TABANI!G24, 0)) + ((MIN(VERI_TABANI!D25, VERI_TABANI!D25*B612)*VERI_TABANI!$B$7 + MAX(0, VERI_TABANI!D25*B612-VERI_TABANI!D25)*VERI_TABANI!$B$8) + (MIN(MAX(0, VERI_TABANI!D25-VERI_TABANI!D25*B612), VERI_TABANI!D25*C612)*VERI_TABANI!$B$7 + MAX(0, VERI_TABANI!D25*C612-MAX(0, VERI_TABANI!D25-VERI_TABANI!D25*B612))*VERI_TABANI!$B$8) + IF(ABS(IF(ISNUMBER(SEARCH("Var", D612)), 1, IF(ISNUMBER(SEARCH("Gri", D612)), -1, 0)))=1, VERI_TABANI!E25*(1-0.928)*VERI_TABANI!$B$9, 0) + (VERI_TABANI!D25*B612*(VERI_TABANI!$B$13-VERI_TABANI!$B$14)*VERI_TABANI!G25) + (VERI_TABANI!D25*C612*(VERI_TABANI!$B$13-VERI_TABANI!$B$15)*VERI_TABANI!G25) + IF(ABS(IF(ISNUMBER(SEARCH("Var", D612)), 1, IF(ISNUMBER(SEARCH("Gri", D612)), -1, 0)))=1, VERI_TABANI!E25*(1-0.928)*0.00206091519919798*VERI_TABANI!G25, 0)) + ((MIN(VERI_TABANI!D26, VERI_TABANI!D26*B612)*VERI_TABANI!$B$7 + MAX(0, VERI_TABANI!D26*B612-VERI_TABANI!D26)*VERI_TABANI!$B$8) + (MIN(MAX(0, VERI_TABANI!D26-VERI_TABANI!D26*B612), VERI_TABANI!D26*C612)*VERI_TABANI!$B$7 + MAX(0, VERI_TABANI!D26*C612-MAX(0, VERI_TABANI!D26-VERI_TABANI!D26*B612))*VERI_TABANI!$B$8) + IF(ABS(IF(ISNUMBER(SEARCH("Var", D612)), 1, IF(ISNUMBER(SEARCH("Gri", D612)), -1, 0)))=1, VERI_TABANI!E26*(1-0.928)*VERI_TABANI!$B$9, 0) + (VERI_TABANI!D26*B612*(VERI_TABANI!$B$13-VERI_TABANI!$B$14)*VERI_TABANI!G26) + (VERI_TABANI!D26*C612*(VERI_TABANI!$B$13-VERI_TABANI!$B$15)*VERI_TABANI!G26) + IF(ABS(IF(ISNUMBER(SEARCH("Var", D612)), 1, IF(ISNUMBER(SEARCH("Gri", D612)), -1, 0)))=1, VERI_TABANI!E26*(1-0.928)*0.00206091519919798*VERI_TABANI!G26, 0)) + ((MIN(VERI_TABANI!D27, VERI_TABANI!D27*B612)*VERI_TABANI!$B$7 + MAX(0, VERI_TABANI!D27*B612-VERI_TABANI!D27)*VERI_TABANI!$B$8) + (MIN(MAX(0, VERI_TABANI!D27-VERI_TABANI!D27*B612), VERI_TABANI!D27*C612)*VERI_TABANI!$B$7 + MAX(0, VERI_TABANI!D27*C612-MAX(0, VERI_TABANI!D27-VERI_TABANI!D27*B612))*VERI_TABANI!$B$8) + IF(ABS(IF(ISNUMBER(SEARCH("Var", D612)), 1, IF(ISNUMBER(SEARCH("Gri", D612)), -1, 0)))=1, VERI_TABANI!E27*(1-0.928)*VERI_TABANI!$B$9, 0) + (VERI_TABANI!D27*B612*(VERI_TABANI!$B$13-VERI_TABANI!$B$14)*VERI_TABANI!G27) + (VERI_TABANI!D27*C612*(VERI_TABANI!$B$13-VERI_TABANI!$B$15)*VERI_TABANI!G27) + IF(ABS(IF(ISNUMBER(SEARCH("Var", D612)), 1, IF(ISNUMBER(SEARCH("Gri", D612)), -1, 0)))=1, VERI_TABANI!E27*(1-0.928)*0.00206091519919798*VERI_TABANI!G27, 0)) + ((MIN(VERI_TABANI!D28, VERI_TABANI!D28*B612)*VERI_TABANI!$B$7 + MAX(0, VERI_TABANI!D28*B612-VERI_TABANI!D28)*VERI_TABANI!$B$8) + (MIN(MAX(0, VERI_TABANI!D28-VERI_TABANI!D28*B612), VERI_TABANI!D28*C612)*VERI_TABANI!$B$7 + MAX(0, VERI_TABANI!D28*C612-MAX(0, VERI_TABANI!D28-VERI_TABANI!D28*B612))*VERI_TABANI!$B$8) + IF(ABS(IF(ISNUMBER(SEARCH("Var", D612)), 1, IF(ISNUMBER(SEARCH("Gri", D612)), -1, 0)))=1, VERI_TABANI!E28*(1-0.928)*VERI_TABANI!$B$9, 0) + (VERI_TABANI!D28*B612*(VERI_TABANI!$B$13-VERI_TABANI!$B$14)*VERI_TABANI!G28) + (VERI_TABANI!D28*C612*(VERI_TABANI!$B$13-VERI_TABANI!$B$15)*VERI_TABANI!G28) + IF(ABS(IF(ISNUMBER(SEARCH("Var", D612)), 1, IF(ISNUMBER(SEARCH("Gri", D612)), -1, 0)))=1, VERI_TABANI!E28*(1-0.928)*0.00206091519919798*VERI_TABANI!G28, 0)))</f>
        <v/>
      </c>
      <c r="H612" s="169">
        <f>(((VERI_TABANI!D23*B612*(VERI_TABANI!$B$13-VERI_TABANI!$B$14)) + (VERI_TABANI!D23*C612*(VERI_TABANI!$B$13-VERI_TABANI!$B$15)) + IF(ISNUMBER(SEARCH("Var", D612)), VERI_TABANI!F23*(0.00202-VERI_TABANI!$B$16), IF(ISNUMBER(SEARCH("Gri", D612)), VERI_TABANI!F23*(0.00202-VERI_TABANI!$B$17), 0))) + ((VERI_TABANI!D24*B612*(VERI_TABANI!$B$13-VERI_TABANI!$B$14)) + (VERI_TABANI!D24*C612*(VERI_TABANI!$B$13-VERI_TABANI!$B$15)) + IF(ISNUMBER(SEARCH("Var", D612)), VERI_TABANI!F24*(0.00202-VERI_TABANI!$B$16), IF(ISNUMBER(SEARCH("Gri", D612)), VERI_TABANI!F24*(0.00202-VERI_TABANI!$B$17), 0))) + ((VERI_TABANI!D25*B612*(VERI_TABANI!$B$13-VERI_TABANI!$B$14)) + (VERI_TABANI!D25*C612*(VERI_TABANI!$B$13-VERI_TABANI!$B$15)) + IF(ISNUMBER(SEARCH("Var", D612)), VERI_TABANI!F25*(0.00202-VERI_TABANI!$B$16), IF(ISNUMBER(SEARCH("Gri", D612)), VERI_TABANI!F25*(0.00202-VERI_TABANI!$B$17), 0))) + ((VERI_TABANI!D26*B612*(VERI_TABANI!$B$13-VERI_TABANI!$B$14)) + (VERI_TABANI!D26*C612*(VERI_TABANI!$B$13-VERI_TABANI!$B$15)) + IF(ISNUMBER(SEARCH("Var", D612)), VERI_TABANI!F26*(0.00202-VERI_TABANI!$B$16), IF(ISNUMBER(SEARCH("Gri", D612)), VERI_TABANI!F26*(0.00202-VERI_TABANI!$B$17), 0))) + ((VERI_TABANI!D27*B612*(VERI_TABANI!$B$13-VERI_TABANI!$B$14)) + (VERI_TABANI!D27*C612*(VERI_TABANI!$B$13-VERI_TABANI!$B$15)) + IF(ISNUMBER(SEARCH("Var", D612)), VERI_TABANI!F27*(0.00202-VERI_TABANI!$B$16), IF(ISNUMBER(SEARCH("Gri", D612)), VERI_TABANI!F27*(0.00202-VERI_TABANI!$B$17), 0))) + ((VERI_TABANI!D28*B612*(VERI_TABANI!$B$13-VERI_TABANI!$B$14)) + (VERI_TABANI!D28*C612*(VERI_TABANI!$B$13-VERI_TABANI!$B$15)) + IF(ISNUMBER(SEARCH("Var", D612)), VERI_TABANI!F28*(0.00202-VERI_TABANI!$B$16), IF(ISNUMBER(SEARCH("Gri", D612)), VERI_TABANI!F28*(0.00202-VERI_TABANI!$B$17), 0))))</f>
        <v/>
      </c>
      <c r="I612" s="170">
        <f>IFERROR(((VERI_TABANI!$D$29*B612*VERI_TABANI!$B$14 + VERI_TABANI!$D$29*C612*VERI_TABANI!$B$15 + IF(ISNUMBER(SEARCH("Var", D612)), VERI_TABANI!$F$29*VERI_TABANI!$B$16, 0))) / (((VERI_TABANI!$D$29*B612 + VERI_TABANI!$D$29*C612)*VERI_TABANI!$B$13 + IF(ISNUMBER(SEARCH("Var", D612)), VERI_TABANI!$E$29*(1-0.928)*VERI_TABANI!$B$18, 0))), 0)</f>
        <v/>
      </c>
      <c r="J612" s="171">
        <f>IFERROR(F612/(G612/29), 0)</f>
        <v/>
      </c>
      <c r="K612" s="172">
        <f>IF(F612&gt;0, H612/F612, 0)</f>
        <v/>
      </c>
      <c r="L612" s="170">
        <f>IF(F612&gt;0, I612, 1000000000)</f>
        <v/>
      </c>
      <c r="M612" s="171">
        <f>ABS((B612+C612)-1)</f>
        <v/>
      </c>
      <c r="N612" s="170">
        <f>IF(F612&gt;0, (G612/29)/F612, 0)</f>
        <v/>
      </c>
      <c r="O612" s="168">
        <f>IF(AND((B612+C612)&gt;=1, ISNUMBER(SEARCH("Var", D612))), F612, 1000000000)</f>
        <v/>
      </c>
      <c r="P612" s="172">
        <f>IF(F612&gt;0, SQRT((F612/MAX(F$5:F$886))^2 + (1 - H612/MAX(H$5:H$886))^2 + (J612/MAX(J$5:J$886))^2), 1000000000)</f>
        <v/>
      </c>
      <c r="Q612" s="166">
        <f>IF(AND(ABS(B612-0.5)&lt;0.01, ABS(C612-0.5)&lt;0.01, ISNUMBER(SEARCH("Var", D612))), 1, 0)</f>
        <v/>
      </c>
      <c r="R612" s="171">
        <f>IF(F612&gt;0, J612, 1000000000)</f>
        <v/>
      </c>
      <c r="S612" s="101">
        <f>IF(AND(F612&lt;=DASHBOARD!$B$11, H612&gt;=DASHBOARD!$B$13), G612, -1000000000000)</f>
        <v/>
      </c>
      <c r="T612" s="101">
        <f>IF(AND(F612&lt;=DASHBOARD!$B$11, H612&gt;=DASHBOARD!$B$13), R612, 1000000000000)</f>
        <v/>
      </c>
      <c r="U612" s="101">
        <f>IF(AND(F612&lt;=DASHBOARD!$B$11, H612&gt;=DASHBOARD!$B$13), N612, -1000000000000)</f>
        <v/>
      </c>
      <c r="V612" s="101">
        <f>IF(AND(F612&lt;=DASHBOARD!$B$11, H612&gt;=DASHBOARD!$B$13), H612, -1000000000000)</f>
        <v/>
      </c>
      <c r="W612" s="101">
        <f>IF(AND(F612&lt;=DASHBOARD!$B$11, H612&gt;=DASHBOARD!$B$13), K612, -1000000000000)</f>
        <v/>
      </c>
      <c r="X612" s="101">
        <f>IF(AND(F612&lt;=DASHBOARD!$B$11, H612&gt;=DASHBOARD!$B$13), M612, 1000000000000)</f>
        <v/>
      </c>
      <c r="Y612" s="101">
        <f>IF(AND(F612&lt;=DASHBOARD!$B$10, H612&gt;=DASHBOARD!$B$11), L612, 1000000000000)</f>
        <v/>
      </c>
      <c r="Z612" s="101">
        <f>IF(AND(F612&lt;=DASHBOARD!$B$10, H612&gt;=DASHBOARD!$B$11), O612, 1000000000000)</f>
        <v/>
      </c>
      <c r="AA612" s="101">
        <f>IF(AND(F612&lt;=DASHBOARD!$B$10, H612&gt;=DASHBOARD!$B$11), P612, 1000000000000)</f>
        <v/>
      </c>
      <c r="AB612" s="101">
        <f>IF(AND(F612&lt;=DASHBOARD!$B$10, H612&gt;=DASHBOARD!$B$11), Q612, -1000000000000)</f>
        <v/>
      </c>
    </row>
    <row r="613" ht="15" customHeight="1" s="102">
      <c r="A613" s="166" t="n">
        <v>609</v>
      </c>
      <c r="B613" s="167" t="n">
        <v>1.4</v>
      </c>
      <c r="C613" s="167" t="n">
        <v>1</v>
      </c>
      <c r="D613" s="110" t="inlineStr">
        <is>
          <t>Yok (%0)</t>
        </is>
      </c>
      <c r="E613" s="110">
        <f>IF((B613+C613)&lt;=1, "Tam Mahsuplaşma (≤%100)", "Kısmi Satış (&gt;%100)")</f>
        <v/>
      </c>
      <c r="F613" s="168">
        <f>((VERI_TABANI!$D$29*B613/VERI_TABANI!$B$29)/VERI_TABANI!$B$3)*VERI_TABANI!$B$5 + ((VERI_TABANI!$D$29*C613/VERI_TABANI!$B$29)/VERI_TABANI!$B$4)*VERI_TABANI!$B$6 + IF(ISNUMBER(SEARCH("Var", D613)), (VERI_TABANI!$F$29/VERI_TABANI!$B$29)*(VERI_TABANI!$B$10+VERI_TABANI!$B$12), 0)</f>
        <v/>
      </c>
      <c r="G613" s="168">
        <f>(((MIN(VERI_TABANI!D23, VERI_TABANI!D23*B613)*VERI_TABANI!$B$7 + MAX(0, VERI_TABANI!D23*B613-VERI_TABANI!D23)*VERI_TABANI!$B$8) + (MIN(MAX(0, VERI_TABANI!D23-VERI_TABANI!D23*B613), VERI_TABANI!D23*C613)*VERI_TABANI!$B$7 + MAX(0, VERI_TABANI!D23*C613-MAX(0, VERI_TABANI!D23-VERI_TABANI!D23*B613))*VERI_TABANI!$B$8) + IF(ABS(IF(ISNUMBER(SEARCH("Var", D613)), 1, IF(ISNUMBER(SEARCH("Gri", D613)), -1, 0)))=1, VERI_TABANI!E23*(1-0.928)*VERI_TABANI!$B$9, 0) + (VERI_TABANI!D23*B613*(VERI_TABANI!$B$13-VERI_TABANI!$B$14)*VERI_TABANI!G23) + (VERI_TABANI!D23*C613*(VERI_TABANI!$B$13-VERI_TABANI!$B$15)*VERI_TABANI!G23) + IF(ABS(IF(ISNUMBER(SEARCH("Var", D613)), 1, IF(ISNUMBER(SEARCH("Gri", D613)), -1, 0)))=1, VERI_TABANI!E23*(1-0.928)*0.00206091519919798*VERI_TABANI!G23, 0)) + ((MIN(VERI_TABANI!D24, VERI_TABANI!D24*B613)*VERI_TABANI!$B$7 + MAX(0, VERI_TABANI!D24*B613-VERI_TABANI!D24)*VERI_TABANI!$B$8) + (MIN(MAX(0, VERI_TABANI!D24-VERI_TABANI!D24*B613), VERI_TABANI!D24*C613)*VERI_TABANI!$B$7 + MAX(0, VERI_TABANI!D24*C613-MAX(0, VERI_TABANI!D24-VERI_TABANI!D24*B613))*VERI_TABANI!$B$8) + IF(ABS(IF(ISNUMBER(SEARCH("Var", D613)), 1, IF(ISNUMBER(SEARCH("Gri", D613)), -1, 0)))=1, VERI_TABANI!E24*(1-0.928)*VERI_TABANI!$B$9, 0) + (VERI_TABANI!D24*B613*(VERI_TABANI!$B$13-VERI_TABANI!$B$14)*VERI_TABANI!G24) + (VERI_TABANI!D24*C613*(VERI_TABANI!$B$13-VERI_TABANI!$B$15)*VERI_TABANI!G24) + IF(ABS(IF(ISNUMBER(SEARCH("Var", D613)), 1, IF(ISNUMBER(SEARCH("Gri", D613)), -1, 0)))=1, VERI_TABANI!E24*(1-0.928)*0.00206091519919798*VERI_TABANI!G24, 0)) + ((MIN(VERI_TABANI!D25, VERI_TABANI!D25*B613)*VERI_TABANI!$B$7 + MAX(0, VERI_TABANI!D25*B613-VERI_TABANI!D25)*VERI_TABANI!$B$8) + (MIN(MAX(0, VERI_TABANI!D25-VERI_TABANI!D25*B613), VERI_TABANI!D25*C613)*VERI_TABANI!$B$7 + MAX(0, VERI_TABANI!D25*C613-MAX(0, VERI_TABANI!D25-VERI_TABANI!D25*B613))*VERI_TABANI!$B$8) + IF(ABS(IF(ISNUMBER(SEARCH("Var", D613)), 1, IF(ISNUMBER(SEARCH("Gri", D613)), -1, 0)))=1, VERI_TABANI!E25*(1-0.928)*VERI_TABANI!$B$9, 0) + (VERI_TABANI!D25*B613*(VERI_TABANI!$B$13-VERI_TABANI!$B$14)*VERI_TABANI!G25) + (VERI_TABANI!D25*C613*(VERI_TABANI!$B$13-VERI_TABANI!$B$15)*VERI_TABANI!G25) + IF(ABS(IF(ISNUMBER(SEARCH("Var", D613)), 1, IF(ISNUMBER(SEARCH("Gri", D613)), -1, 0)))=1, VERI_TABANI!E25*(1-0.928)*0.00206091519919798*VERI_TABANI!G25, 0)) + ((MIN(VERI_TABANI!D26, VERI_TABANI!D26*B613)*VERI_TABANI!$B$7 + MAX(0, VERI_TABANI!D26*B613-VERI_TABANI!D26)*VERI_TABANI!$B$8) + (MIN(MAX(0, VERI_TABANI!D26-VERI_TABANI!D26*B613), VERI_TABANI!D26*C613)*VERI_TABANI!$B$7 + MAX(0, VERI_TABANI!D26*C613-MAX(0, VERI_TABANI!D26-VERI_TABANI!D26*B613))*VERI_TABANI!$B$8) + IF(ABS(IF(ISNUMBER(SEARCH("Var", D613)), 1, IF(ISNUMBER(SEARCH("Gri", D613)), -1, 0)))=1, VERI_TABANI!E26*(1-0.928)*VERI_TABANI!$B$9, 0) + (VERI_TABANI!D26*B613*(VERI_TABANI!$B$13-VERI_TABANI!$B$14)*VERI_TABANI!G26) + (VERI_TABANI!D26*C613*(VERI_TABANI!$B$13-VERI_TABANI!$B$15)*VERI_TABANI!G26) + IF(ABS(IF(ISNUMBER(SEARCH("Var", D613)), 1, IF(ISNUMBER(SEARCH("Gri", D613)), -1, 0)))=1, VERI_TABANI!E26*(1-0.928)*0.00206091519919798*VERI_TABANI!G26, 0)) + ((MIN(VERI_TABANI!D27, VERI_TABANI!D27*B613)*VERI_TABANI!$B$7 + MAX(0, VERI_TABANI!D27*B613-VERI_TABANI!D27)*VERI_TABANI!$B$8) + (MIN(MAX(0, VERI_TABANI!D27-VERI_TABANI!D27*B613), VERI_TABANI!D27*C613)*VERI_TABANI!$B$7 + MAX(0, VERI_TABANI!D27*C613-MAX(0, VERI_TABANI!D27-VERI_TABANI!D27*B613))*VERI_TABANI!$B$8) + IF(ABS(IF(ISNUMBER(SEARCH("Var", D613)), 1, IF(ISNUMBER(SEARCH("Gri", D613)), -1, 0)))=1, VERI_TABANI!E27*(1-0.928)*VERI_TABANI!$B$9, 0) + (VERI_TABANI!D27*B613*(VERI_TABANI!$B$13-VERI_TABANI!$B$14)*VERI_TABANI!G27) + (VERI_TABANI!D27*C613*(VERI_TABANI!$B$13-VERI_TABANI!$B$15)*VERI_TABANI!G27) + IF(ABS(IF(ISNUMBER(SEARCH("Var", D613)), 1, IF(ISNUMBER(SEARCH("Gri", D613)), -1, 0)))=1, VERI_TABANI!E27*(1-0.928)*0.00206091519919798*VERI_TABANI!G27, 0)) + ((MIN(VERI_TABANI!D28, VERI_TABANI!D28*B613)*VERI_TABANI!$B$7 + MAX(0, VERI_TABANI!D28*B613-VERI_TABANI!D28)*VERI_TABANI!$B$8) + (MIN(MAX(0, VERI_TABANI!D28-VERI_TABANI!D28*B613), VERI_TABANI!D28*C613)*VERI_TABANI!$B$7 + MAX(0, VERI_TABANI!D28*C613-MAX(0, VERI_TABANI!D28-VERI_TABANI!D28*B613))*VERI_TABANI!$B$8) + IF(ABS(IF(ISNUMBER(SEARCH("Var", D613)), 1, IF(ISNUMBER(SEARCH("Gri", D613)), -1, 0)))=1, VERI_TABANI!E28*(1-0.928)*VERI_TABANI!$B$9, 0) + (VERI_TABANI!D28*B613*(VERI_TABANI!$B$13-VERI_TABANI!$B$14)*VERI_TABANI!G28) + (VERI_TABANI!D28*C613*(VERI_TABANI!$B$13-VERI_TABANI!$B$15)*VERI_TABANI!G28) + IF(ABS(IF(ISNUMBER(SEARCH("Var", D613)), 1, IF(ISNUMBER(SEARCH("Gri", D613)), -1, 0)))=1, VERI_TABANI!E28*(1-0.928)*0.00206091519919798*VERI_TABANI!G28, 0)))</f>
        <v/>
      </c>
      <c r="H613" s="169">
        <f>(((VERI_TABANI!D23*B613*(VERI_TABANI!$B$13-VERI_TABANI!$B$14)) + (VERI_TABANI!D23*C613*(VERI_TABANI!$B$13-VERI_TABANI!$B$15)) + IF(ISNUMBER(SEARCH("Var", D613)), VERI_TABANI!F23*(0.00202-VERI_TABANI!$B$16), IF(ISNUMBER(SEARCH("Gri", D613)), VERI_TABANI!F23*(0.00202-VERI_TABANI!$B$17), 0))) + ((VERI_TABANI!D24*B613*(VERI_TABANI!$B$13-VERI_TABANI!$B$14)) + (VERI_TABANI!D24*C613*(VERI_TABANI!$B$13-VERI_TABANI!$B$15)) + IF(ISNUMBER(SEARCH("Var", D613)), VERI_TABANI!F24*(0.00202-VERI_TABANI!$B$16), IF(ISNUMBER(SEARCH("Gri", D613)), VERI_TABANI!F24*(0.00202-VERI_TABANI!$B$17), 0))) + ((VERI_TABANI!D25*B613*(VERI_TABANI!$B$13-VERI_TABANI!$B$14)) + (VERI_TABANI!D25*C613*(VERI_TABANI!$B$13-VERI_TABANI!$B$15)) + IF(ISNUMBER(SEARCH("Var", D613)), VERI_TABANI!F25*(0.00202-VERI_TABANI!$B$16), IF(ISNUMBER(SEARCH("Gri", D613)), VERI_TABANI!F25*(0.00202-VERI_TABANI!$B$17), 0))) + ((VERI_TABANI!D26*B613*(VERI_TABANI!$B$13-VERI_TABANI!$B$14)) + (VERI_TABANI!D26*C613*(VERI_TABANI!$B$13-VERI_TABANI!$B$15)) + IF(ISNUMBER(SEARCH("Var", D613)), VERI_TABANI!F26*(0.00202-VERI_TABANI!$B$16), IF(ISNUMBER(SEARCH("Gri", D613)), VERI_TABANI!F26*(0.00202-VERI_TABANI!$B$17), 0))) + ((VERI_TABANI!D27*B613*(VERI_TABANI!$B$13-VERI_TABANI!$B$14)) + (VERI_TABANI!D27*C613*(VERI_TABANI!$B$13-VERI_TABANI!$B$15)) + IF(ISNUMBER(SEARCH("Var", D613)), VERI_TABANI!F27*(0.00202-VERI_TABANI!$B$16), IF(ISNUMBER(SEARCH("Gri", D613)), VERI_TABANI!F27*(0.00202-VERI_TABANI!$B$17), 0))) + ((VERI_TABANI!D28*B613*(VERI_TABANI!$B$13-VERI_TABANI!$B$14)) + (VERI_TABANI!D28*C613*(VERI_TABANI!$B$13-VERI_TABANI!$B$15)) + IF(ISNUMBER(SEARCH("Var", D613)), VERI_TABANI!F28*(0.00202-VERI_TABANI!$B$16), IF(ISNUMBER(SEARCH("Gri", D613)), VERI_TABANI!F28*(0.00202-VERI_TABANI!$B$17), 0))))</f>
        <v/>
      </c>
      <c r="I613" s="170">
        <f>IFERROR(((VERI_TABANI!$D$29*B613*VERI_TABANI!$B$14 + VERI_TABANI!$D$29*C613*VERI_TABANI!$B$15 + IF(ISNUMBER(SEARCH("Var", D613)), VERI_TABANI!$F$29*VERI_TABANI!$B$16, 0))) / (((VERI_TABANI!$D$29*B613 + VERI_TABANI!$D$29*C613)*VERI_TABANI!$B$13 + IF(ISNUMBER(SEARCH("Var", D613)), VERI_TABANI!$E$29*(1-0.928)*VERI_TABANI!$B$18, 0))), 0)</f>
        <v/>
      </c>
      <c r="J613" s="171">
        <f>IFERROR(F613/(G613/29), 0)</f>
        <v/>
      </c>
      <c r="K613" s="172">
        <f>IF(F613&gt;0, H613/F613, 0)</f>
        <v/>
      </c>
      <c r="L613" s="170">
        <f>IF(F613&gt;0, I613, 1000000000)</f>
        <v/>
      </c>
      <c r="M613" s="171">
        <f>ABS((B613+C613)-1)</f>
        <v/>
      </c>
      <c r="N613" s="170">
        <f>IF(F613&gt;0, (G613/29)/F613, 0)</f>
        <v/>
      </c>
      <c r="O613" s="168">
        <f>IF(AND((B613+C613)&gt;=1, ISNUMBER(SEARCH("Var", D613))), F613, 1000000000)</f>
        <v/>
      </c>
      <c r="P613" s="172">
        <f>IF(F613&gt;0, SQRT((F613/MAX(F$5:F$886))^2 + (1 - H613/MAX(H$5:H$886))^2 + (J613/MAX(J$5:J$886))^2), 1000000000)</f>
        <v/>
      </c>
      <c r="Q613" s="166">
        <f>IF(AND(ABS(B613-0.5)&lt;0.01, ABS(C613-0.5)&lt;0.01, ISNUMBER(SEARCH("Var", D613))), 1, 0)</f>
        <v/>
      </c>
      <c r="R613" s="171">
        <f>IF(F613&gt;0, J613, 1000000000)</f>
        <v/>
      </c>
      <c r="S613" s="101">
        <f>IF(AND(F613&lt;=DASHBOARD!$B$11, H613&gt;=DASHBOARD!$B$13), G613, -1000000000000)</f>
        <v/>
      </c>
      <c r="T613" s="101">
        <f>IF(AND(F613&lt;=DASHBOARD!$B$11, H613&gt;=DASHBOARD!$B$13), R613, 1000000000000)</f>
        <v/>
      </c>
      <c r="U613" s="101">
        <f>IF(AND(F613&lt;=DASHBOARD!$B$11, H613&gt;=DASHBOARD!$B$13), N613, -1000000000000)</f>
        <v/>
      </c>
      <c r="V613" s="101">
        <f>IF(AND(F613&lt;=DASHBOARD!$B$11, H613&gt;=DASHBOARD!$B$13), H613, -1000000000000)</f>
        <v/>
      </c>
      <c r="W613" s="101">
        <f>IF(AND(F613&lt;=DASHBOARD!$B$11, H613&gt;=DASHBOARD!$B$13), K613, -1000000000000)</f>
        <v/>
      </c>
      <c r="X613" s="101">
        <f>IF(AND(F613&lt;=DASHBOARD!$B$11, H613&gt;=DASHBOARD!$B$13), M613, 1000000000000)</f>
        <v/>
      </c>
      <c r="Y613" s="101">
        <f>IF(AND(F613&lt;=DASHBOARD!$B$10, H613&gt;=DASHBOARD!$B$11), L613, 1000000000000)</f>
        <v/>
      </c>
      <c r="Z613" s="101">
        <f>IF(AND(F613&lt;=DASHBOARD!$B$10, H613&gt;=DASHBOARD!$B$11), O613, 1000000000000)</f>
        <v/>
      </c>
      <c r="AA613" s="101">
        <f>IF(AND(F613&lt;=DASHBOARD!$B$10, H613&gt;=DASHBOARD!$B$11), P613, 1000000000000)</f>
        <v/>
      </c>
      <c r="AB613" s="101">
        <f>IF(AND(F613&lt;=DASHBOARD!$B$10, H613&gt;=DASHBOARD!$B$11), Q613, -1000000000000)</f>
        <v/>
      </c>
    </row>
    <row r="614" ht="15" customHeight="1" s="102">
      <c r="A614" s="166" t="n">
        <v>610</v>
      </c>
      <c r="B614" s="167" t="n">
        <v>1.4</v>
      </c>
      <c r="C614" s="167" t="n">
        <v>1</v>
      </c>
      <c r="D614" s="110" t="inlineStr">
        <is>
          <t>Var (%20)</t>
        </is>
      </c>
      <c r="E614" s="110">
        <f>IF((B614+C614)&lt;=1, "Tam Mahsuplaşma (≤%100)", "Kısmi Satış (&gt;%100)")</f>
        <v/>
      </c>
      <c r="F614" s="168">
        <f>((VERI_TABANI!$D$29*B614/VERI_TABANI!$B$29)/VERI_TABANI!$B$3)*VERI_TABANI!$B$5 + ((VERI_TABANI!$D$29*C614/VERI_TABANI!$B$29)/VERI_TABANI!$B$4)*VERI_TABANI!$B$6 + IF(ISNUMBER(SEARCH("Var", D614)), (VERI_TABANI!$F$29/VERI_TABANI!$B$29)*(VERI_TABANI!$B$10+VERI_TABANI!$B$12), 0)</f>
        <v/>
      </c>
      <c r="G614" s="168">
        <f>(((MIN(VERI_TABANI!D23, VERI_TABANI!D23*B614)*VERI_TABANI!$B$7 + MAX(0, VERI_TABANI!D23*B614-VERI_TABANI!D23)*VERI_TABANI!$B$8) + (MIN(MAX(0, VERI_TABANI!D23-VERI_TABANI!D23*B614), VERI_TABANI!D23*C614)*VERI_TABANI!$B$7 + MAX(0, VERI_TABANI!D23*C614-MAX(0, VERI_TABANI!D23-VERI_TABANI!D23*B614))*VERI_TABANI!$B$8) + IF(ABS(IF(ISNUMBER(SEARCH("Var", D614)), 1, IF(ISNUMBER(SEARCH("Gri", D614)), -1, 0)))=1, VERI_TABANI!E23*(1-0.928)*VERI_TABANI!$B$9, 0) + (VERI_TABANI!D23*B614*(VERI_TABANI!$B$13-VERI_TABANI!$B$14)*VERI_TABANI!G23) + (VERI_TABANI!D23*C614*(VERI_TABANI!$B$13-VERI_TABANI!$B$15)*VERI_TABANI!G23) + IF(ABS(IF(ISNUMBER(SEARCH("Var", D614)), 1, IF(ISNUMBER(SEARCH("Gri", D614)), -1, 0)))=1, VERI_TABANI!E23*(1-0.928)*0.00206091519919798*VERI_TABANI!G23, 0)) + ((MIN(VERI_TABANI!D24, VERI_TABANI!D24*B614)*VERI_TABANI!$B$7 + MAX(0, VERI_TABANI!D24*B614-VERI_TABANI!D24)*VERI_TABANI!$B$8) + (MIN(MAX(0, VERI_TABANI!D24-VERI_TABANI!D24*B614), VERI_TABANI!D24*C614)*VERI_TABANI!$B$7 + MAX(0, VERI_TABANI!D24*C614-MAX(0, VERI_TABANI!D24-VERI_TABANI!D24*B614))*VERI_TABANI!$B$8) + IF(ABS(IF(ISNUMBER(SEARCH("Var", D614)), 1, IF(ISNUMBER(SEARCH("Gri", D614)), -1, 0)))=1, VERI_TABANI!E24*(1-0.928)*VERI_TABANI!$B$9, 0) + (VERI_TABANI!D24*B614*(VERI_TABANI!$B$13-VERI_TABANI!$B$14)*VERI_TABANI!G24) + (VERI_TABANI!D24*C614*(VERI_TABANI!$B$13-VERI_TABANI!$B$15)*VERI_TABANI!G24) + IF(ABS(IF(ISNUMBER(SEARCH("Var", D614)), 1, IF(ISNUMBER(SEARCH("Gri", D614)), -1, 0)))=1, VERI_TABANI!E24*(1-0.928)*0.00206091519919798*VERI_TABANI!G24, 0)) + ((MIN(VERI_TABANI!D25, VERI_TABANI!D25*B614)*VERI_TABANI!$B$7 + MAX(0, VERI_TABANI!D25*B614-VERI_TABANI!D25)*VERI_TABANI!$B$8) + (MIN(MAX(0, VERI_TABANI!D25-VERI_TABANI!D25*B614), VERI_TABANI!D25*C614)*VERI_TABANI!$B$7 + MAX(0, VERI_TABANI!D25*C614-MAX(0, VERI_TABANI!D25-VERI_TABANI!D25*B614))*VERI_TABANI!$B$8) + IF(ABS(IF(ISNUMBER(SEARCH("Var", D614)), 1, IF(ISNUMBER(SEARCH("Gri", D614)), -1, 0)))=1, VERI_TABANI!E25*(1-0.928)*VERI_TABANI!$B$9, 0) + (VERI_TABANI!D25*B614*(VERI_TABANI!$B$13-VERI_TABANI!$B$14)*VERI_TABANI!G25) + (VERI_TABANI!D25*C614*(VERI_TABANI!$B$13-VERI_TABANI!$B$15)*VERI_TABANI!G25) + IF(ABS(IF(ISNUMBER(SEARCH("Var", D614)), 1, IF(ISNUMBER(SEARCH("Gri", D614)), -1, 0)))=1, VERI_TABANI!E25*(1-0.928)*0.00206091519919798*VERI_TABANI!G25, 0)) + ((MIN(VERI_TABANI!D26, VERI_TABANI!D26*B614)*VERI_TABANI!$B$7 + MAX(0, VERI_TABANI!D26*B614-VERI_TABANI!D26)*VERI_TABANI!$B$8) + (MIN(MAX(0, VERI_TABANI!D26-VERI_TABANI!D26*B614), VERI_TABANI!D26*C614)*VERI_TABANI!$B$7 + MAX(0, VERI_TABANI!D26*C614-MAX(0, VERI_TABANI!D26-VERI_TABANI!D26*B614))*VERI_TABANI!$B$8) + IF(ABS(IF(ISNUMBER(SEARCH("Var", D614)), 1, IF(ISNUMBER(SEARCH("Gri", D614)), -1, 0)))=1, VERI_TABANI!E26*(1-0.928)*VERI_TABANI!$B$9, 0) + (VERI_TABANI!D26*B614*(VERI_TABANI!$B$13-VERI_TABANI!$B$14)*VERI_TABANI!G26) + (VERI_TABANI!D26*C614*(VERI_TABANI!$B$13-VERI_TABANI!$B$15)*VERI_TABANI!G26) + IF(ABS(IF(ISNUMBER(SEARCH("Var", D614)), 1, IF(ISNUMBER(SEARCH("Gri", D614)), -1, 0)))=1, VERI_TABANI!E26*(1-0.928)*0.00206091519919798*VERI_TABANI!G26, 0)) + ((MIN(VERI_TABANI!D27, VERI_TABANI!D27*B614)*VERI_TABANI!$B$7 + MAX(0, VERI_TABANI!D27*B614-VERI_TABANI!D27)*VERI_TABANI!$B$8) + (MIN(MAX(0, VERI_TABANI!D27-VERI_TABANI!D27*B614), VERI_TABANI!D27*C614)*VERI_TABANI!$B$7 + MAX(0, VERI_TABANI!D27*C614-MAX(0, VERI_TABANI!D27-VERI_TABANI!D27*B614))*VERI_TABANI!$B$8) + IF(ABS(IF(ISNUMBER(SEARCH("Var", D614)), 1, IF(ISNUMBER(SEARCH("Gri", D614)), -1, 0)))=1, VERI_TABANI!E27*(1-0.928)*VERI_TABANI!$B$9, 0) + (VERI_TABANI!D27*B614*(VERI_TABANI!$B$13-VERI_TABANI!$B$14)*VERI_TABANI!G27) + (VERI_TABANI!D27*C614*(VERI_TABANI!$B$13-VERI_TABANI!$B$15)*VERI_TABANI!G27) + IF(ABS(IF(ISNUMBER(SEARCH("Var", D614)), 1, IF(ISNUMBER(SEARCH("Gri", D614)), -1, 0)))=1, VERI_TABANI!E27*(1-0.928)*0.00206091519919798*VERI_TABANI!G27, 0)) + ((MIN(VERI_TABANI!D28, VERI_TABANI!D28*B614)*VERI_TABANI!$B$7 + MAX(0, VERI_TABANI!D28*B614-VERI_TABANI!D28)*VERI_TABANI!$B$8) + (MIN(MAX(0, VERI_TABANI!D28-VERI_TABANI!D28*B614), VERI_TABANI!D28*C614)*VERI_TABANI!$B$7 + MAX(0, VERI_TABANI!D28*C614-MAX(0, VERI_TABANI!D28-VERI_TABANI!D28*B614))*VERI_TABANI!$B$8) + IF(ABS(IF(ISNUMBER(SEARCH("Var", D614)), 1, IF(ISNUMBER(SEARCH("Gri", D614)), -1, 0)))=1, VERI_TABANI!E28*(1-0.928)*VERI_TABANI!$B$9, 0) + (VERI_TABANI!D28*B614*(VERI_TABANI!$B$13-VERI_TABANI!$B$14)*VERI_TABANI!G28) + (VERI_TABANI!D28*C614*(VERI_TABANI!$B$13-VERI_TABANI!$B$15)*VERI_TABANI!G28) + IF(ABS(IF(ISNUMBER(SEARCH("Var", D614)), 1, IF(ISNUMBER(SEARCH("Gri", D614)), -1, 0)))=1, VERI_TABANI!E28*(1-0.928)*0.00206091519919798*VERI_TABANI!G28, 0)))</f>
        <v/>
      </c>
      <c r="H614" s="169">
        <f>(((VERI_TABANI!D23*B614*(VERI_TABANI!$B$13-VERI_TABANI!$B$14)) + (VERI_TABANI!D23*C614*(VERI_TABANI!$B$13-VERI_TABANI!$B$15)) + IF(ISNUMBER(SEARCH("Var", D614)), VERI_TABANI!F23*(0.00202-VERI_TABANI!$B$16), IF(ISNUMBER(SEARCH("Gri", D614)), VERI_TABANI!F23*(0.00202-VERI_TABANI!$B$17), 0))) + ((VERI_TABANI!D24*B614*(VERI_TABANI!$B$13-VERI_TABANI!$B$14)) + (VERI_TABANI!D24*C614*(VERI_TABANI!$B$13-VERI_TABANI!$B$15)) + IF(ISNUMBER(SEARCH("Var", D614)), VERI_TABANI!F24*(0.00202-VERI_TABANI!$B$16), IF(ISNUMBER(SEARCH("Gri", D614)), VERI_TABANI!F24*(0.00202-VERI_TABANI!$B$17), 0))) + ((VERI_TABANI!D25*B614*(VERI_TABANI!$B$13-VERI_TABANI!$B$14)) + (VERI_TABANI!D25*C614*(VERI_TABANI!$B$13-VERI_TABANI!$B$15)) + IF(ISNUMBER(SEARCH("Var", D614)), VERI_TABANI!F25*(0.00202-VERI_TABANI!$B$16), IF(ISNUMBER(SEARCH("Gri", D614)), VERI_TABANI!F25*(0.00202-VERI_TABANI!$B$17), 0))) + ((VERI_TABANI!D26*B614*(VERI_TABANI!$B$13-VERI_TABANI!$B$14)) + (VERI_TABANI!D26*C614*(VERI_TABANI!$B$13-VERI_TABANI!$B$15)) + IF(ISNUMBER(SEARCH("Var", D614)), VERI_TABANI!F26*(0.00202-VERI_TABANI!$B$16), IF(ISNUMBER(SEARCH("Gri", D614)), VERI_TABANI!F26*(0.00202-VERI_TABANI!$B$17), 0))) + ((VERI_TABANI!D27*B614*(VERI_TABANI!$B$13-VERI_TABANI!$B$14)) + (VERI_TABANI!D27*C614*(VERI_TABANI!$B$13-VERI_TABANI!$B$15)) + IF(ISNUMBER(SEARCH("Var", D614)), VERI_TABANI!F27*(0.00202-VERI_TABANI!$B$16), IF(ISNUMBER(SEARCH("Gri", D614)), VERI_TABANI!F27*(0.00202-VERI_TABANI!$B$17), 0))) + ((VERI_TABANI!D28*B614*(VERI_TABANI!$B$13-VERI_TABANI!$B$14)) + (VERI_TABANI!D28*C614*(VERI_TABANI!$B$13-VERI_TABANI!$B$15)) + IF(ISNUMBER(SEARCH("Var", D614)), VERI_TABANI!F28*(0.00202-VERI_TABANI!$B$16), IF(ISNUMBER(SEARCH("Gri", D614)), VERI_TABANI!F28*(0.00202-VERI_TABANI!$B$17), 0))))</f>
        <v/>
      </c>
      <c r="I614" s="170">
        <f>IFERROR(((VERI_TABANI!$D$29*B614*VERI_TABANI!$B$14 + VERI_TABANI!$D$29*C614*VERI_TABANI!$B$15 + IF(ISNUMBER(SEARCH("Var", D614)), VERI_TABANI!$F$29*VERI_TABANI!$B$16, 0))) / (((VERI_TABANI!$D$29*B614 + VERI_TABANI!$D$29*C614)*VERI_TABANI!$B$13 + IF(ISNUMBER(SEARCH("Var", D614)), VERI_TABANI!$E$29*(1-0.928)*VERI_TABANI!$B$18, 0))), 0)</f>
        <v/>
      </c>
      <c r="J614" s="171">
        <f>IFERROR(F614/(G614/29), 0)</f>
        <v/>
      </c>
      <c r="K614" s="172">
        <f>IF(F614&gt;0, H614/F614, 0)</f>
        <v/>
      </c>
      <c r="L614" s="170">
        <f>IF(F614&gt;0, I614, 1000000000)</f>
        <v/>
      </c>
      <c r="M614" s="171">
        <f>ABS((B614+C614)-1)</f>
        <v/>
      </c>
      <c r="N614" s="170">
        <f>IF(F614&gt;0, (G614/29)/F614, 0)</f>
        <v/>
      </c>
      <c r="O614" s="168">
        <f>IF(AND((B614+C614)&gt;=1, ISNUMBER(SEARCH("Var", D614))), F614, 1000000000)</f>
        <v/>
      </c>
      <c r="P614" s="172">
        <f>IF(F614&gt;0, SQRT((F614/MAX(F$5:F$886))^2 + (1 - H614/MAX(H$5:H$886))^2 + (J614/MAX(J$5:J$886))^2), 1000000000)</f>
        <v/>
      </c>
      <c r="Q614" s="166">
        <f>IF(AND(ABS(B614-0.5)&lt;0.01, ABS(C614-0.5)&lt;0.01, ISNUMBER(SEARCH("Var", D614))), 1, 0)</f>
        <v/>
      </c>
      <c r="R614" s="171">
        <f>IF(F614&gt;0, J614, 1000000000)</f>
        <v/>
      </c>
      <c r="S614" s="101">
        <f>IF(AND(F614&lt;=DASHBOARD!$B$11, H614&gt;=DASHBOARD!$B$13), G614, -1000000000000)</f>
        <v/>
      </c>
      <c r="T614" s="101">
        <f>IF(AND(F614&lt;=DASHBOARD!$B$11, H614&gt;=DASHBOARD!$B$13), R614, 1000000000000)</f>
        <v/>
      </c>
      <c r="U614" s="101">
        <f>IF(AND(F614&lt;=DASHBOARD!$B$11, H614&gt;=DASHBOARD!$B$13), N614, -1000000000000)</f>
        <v/>
      </c>
      <c r="V614" s="101">
        <f>IF(AND(F614&lt;=DASHBOARD!$B$11, H614&gt;=DASHBOARD!$B$13), H614, -1000000000000)</f>
        <v/>
      </c>
      <c r="W614" s="101">
        <f>IF(AND(F614&lt;=DASHBOARD!$B$11, H614&gt;=DASHBOARD!$B$13), K614, -1000000000000)</f>
        <v/>
      </c>
      <c r="X614" s="101">
        <f>IF(AND(F614&lt;=DASHBOARD!$B$11, H614&gt;=DASHBOARD!$B$13), M614, 1000000000000)</f>
        <v/>
      </c>
      <c r="Y614" s="101">
        <f>IF(AND(F614&lt;=DASHBOARD!$B$10, H614&gt;=DASHBOARD!$B$11), L614, 1000000000000)</f>
        <v/>
      </c>
      <c r="Z614" s="101">
        <f>IF(AND(F614&lt;=DASHBOARD!$B$10, H614&gt;=DASHBOARD!$B$11), O614, 1000000000000)</f>
        <v/>
      </c>
      <c r="AA614" s="101">
        <f>IF(AND(F614&lt;=DASHBOARD!$B$10, H614&gt;=DASHBOARD!$B$11), P614, 1000000000000)</f>
        <v/>
      </c>
      <c r="AB614" s="101">
        <f>IF(AND(F614&lt;=DASHBOARD!$B$10, H614&gt;=DASHBOARD!$B$11), Q614, -1000000000000)</f>
        <v/>
      </c>
    </row>
    <row r="615" ht="15" customHeight="1" s="102">
      <c r="A615" s="166" t="n">
        <v>611</v>
      </c>
      <c r="B615" s="167" t="n">
        <v>1.4</v>
      </c>
      <c r="C615" s="167" t="n">
        <v>1.1</v>
      </c>
      <c r="D615" s="110" t="inlineStr">
        <is>
          <t>Yok (%0)</t>
        </is>
      </c>
      <c r="E615" s="110">
        <f>IF((B615+C615)&lt;=1, "Tam Mahsuplaşma (≤%100)", "Kısmi Satış (&gt;%100)")</f>
        <v/>
      </c>
      <c r="F615" s="168">
        <f>((VERI_TABANI!$D$29*B615/VERI_TABANI!$B$29)/VERI_TABANI!$B$3)*VERI_TABANI!$B$5 + ((VERI_TABANI!$D$29*C615/VERI_TABANI!$B$29)/VERI_TABANI!$B$4)*VERI_TABANI!$B$6 + IF(ISNUMBER(SEARCH("Var", D615)), (VERI_TABANI!$F$29/VERI_TABANI!$B$29)*(VERI_TABANI!$B$10+VERI_TABANI!$B$12), 0)</f>
        <v/>
      </c>
      <c r="G615" s="168">
        <f>(((MIN(VERI_TABANI!D23, VERI_TABANI!D23*B615)*VERI_TABANI!$B$7 + MAX(0, VERI_TABANI!D23*B615-VERI_TABANI!D23)*VERI_TABANI!$B$8) + (MIN(MAX(0, VERI_TABANI!D23-VERI_TABANI!D23*B615), VERI_TABANI!D23*C615)*VERI_TABANI!$B$7 + MAX(0, VERI_TABANI!D23*C615-MAX(0, VERI_TABANI!D23-VERI_TABANI!D23*B615))*VERI_TABANI!$B$8) + IF(ABS(IF(ISNUMBER(SEARCH("Var", D615)), 1, IF(ISNUMBER(SEARCH("Gri", D615)), -1, 0)))=1, VERI_TABANI!E23*(1-0.928)*VERI_TABANI!$B$9, 0) + (VERI_TABANI!D23*B615*(VERI_TABANI!$B$13-VERI_TABANI!$B$14)*VERI_TABANI!G23) + (VERI_TABANI!D23*C615*(VERI_TABANI!$B$13-VERI_TABANI!$B$15)*VERI_TABANI!G23) + IF(ABS(IF(ISNUMBER(SEARCH("Var", D615)), 1, IF(ISNUMBER(SEARCH("Gri", D615)), -1, 0)))=1, VERI_TABANI!E23*(1-0.928)*0.00206091519919798*VERI_TABANI!G23, 0)) + ((MIN(VERI_TABANI!D24, VERI_TABANI!D24*B615)*VERI_TABANI!$B$7 + MAX(0, VERI_TABANI!D24*B615-VERI_TABANI!D24)*VERI_TABANI!$B$8) + (MIN(MAX(0, VERI_TABANI!D24-VERI_TABANI!D24*B615), VERI_TABANI!D24*C615)*VERI_TABANI!$B$7 + MAX(0, VERI_TABANI!D24*C615-MAX(0, VERI_TABANI!D24-VERI_TABANI!D24*B615))*VERI_TABANI!$B$8) + IF(ABS(IF(ISNUMBER(SEARCH("Var", D615)), 1, IF(ISNUMBER(SEARCH("Gri", D615)), -1, 0)))=1, VERI_TABANI!E24*(1-0.928)*VERI_TABANI!$B$9, 0) + (VERI_TABANI!D24*B615*(VERI_TABANI!$B$13-VERI_TABANI!$B$14)*VERI_TABANI!G24) + (VERI_TABANI!D24*C615*(VERI_TABANI!$B$13-VERI_TABANI!$B$15)*VERI_TABANI!G24) + IF(ABS(IF(ISNUMBER(SEARCH("Var", D615)), 1, IF(ISNUMBER(SEARCH("Gri", D615)), -1, 0)))=1, VERI_TABANI!E24*(1-0.928)*0.00206091519919798*VERI_TABANI!G24, 0)) + ((MIN(VERI_TABANI!D25, VERI_TABANI!D25*B615)*VERI_TABANI!$B$7 + MAX(0, VERI_TABANI!D25*B615-VERI_TABANI!D25)*VERI_TABANI!$B$8) + (MIN(MAX(0, VERI_TABANI!D25-VERI_TABANI!D25*B615), VERI_TABANI!D25*C615)*VERI_TABANI!$B$7 + MAX(0, VERI_TABANI!D25*C615-MAX(0, VERI_TABANI!D25-VERI_TABANI!D25*B615))*VERI_TABANI!$B$8) + IF(ABS(IF(ISNUMBER(SEARCH("Var", D615)), 1, IF(ISNUMBER(SEARCH("Gri", D615)), -1, 0)))=1, VERI_TABANI!E25*(1-0.928)*VERI_TABANI!$B$9, 0) + (VERI_TABANI!D25*B615*(VERI_TABANI!$B$13-VERI_TABANI!$B$14)*VERI_TABANI!G25) + (VERI_TABANI!D25*C615*(VERI_TABANI!$B$13-VERI_TABANI!$B$15)*VERI_TABANI!G25) + IF(ABS(IF(ISNUMBER(SEARCH("Var", D615)), 1, IF(ISNUMBER(SEARCH("Gri", D615)), -1, 0)))=1, VERI_TABANI!E25*(1-0.928)*0.00206091519919798*VERI_TABANI!G25, 0)) + ((MIN(VERI_TABANI!D26, VERI_TABANI!D26*B615)*VERI_TABANI!$B$7 + MAX(0, VERI_TABANI!D26*B615-VERI_TABANI!D26)*VERI_TABANI!$B$8) + (MIN(MAX(0, VERI_TABANI!D26-VERI_TABANI!D26*B615), VERI_TABANI!D26*C615)*VERI_TABANI!$B$7 + MAX(0, VERI_TABANI!D26*C615-MAX(0, VERI_TABANI!D26-VERI_TABANI!D26*B615))*VERI_TABANI!$B$8) + IF(ABS(IF(ISNUMBER(SEARCH("Var", D615)), 1, IF(ISNUMBER(SEARCH("Gri", D615)), -1, 0)))=1, VERI_TABANI!E26*(1-0.928)*VERI_TABANI!$B$9, 0) + (VERI_TABANI!D26*B615*(VERI_TABANI!$B$13-VERI_TABANI!$B$14)*VERI_TABANI!G26) + (VERI_TABANI!D26*C615*(VERI_TABANI!$B$13-VERI_TABANI!$B$15)*VERI_TABANI!G26) + IF(ABS(IF(ISNUMBER(SEARCH("Var", D615)), 1, IF(ISNUMBER(SEARCH("Gri", D615)), -1, 0)))=1, VERI_TABANI!E26*(1-0.928)*0.00206091519919798*VERI_TABANI!G26, 0)) + ((MIN(VERI_TABANI!D27, VERI_TABANI!D27*B615)*VERI_TABANI!$B$7 + MAX(0, VERI_TABANI!D27*B615-VERI_TABANI!D27)*VERI_TABANI!$B$8) + (MIN(MAX(0, VERI_TABANI!D27-VERI_TABANI!D27*B615), VERI_TABANI!D27*C615)*VERI_TABANI!$B$7 + MAX(0, VERI_TABANI!D27*C615-MAX(0, VERI_TABANI!D27-VERI_TABANI!D27*B615))*VERI_TABANI!$B$8) + IF(ABS(IF(ISNUMBER(SEARCH("Var", D615)), 1, IF(ISNUMBER(SEARCH("Gri", D615)), -1, 0)))=1, VERI_TABANI!E27*(1-0.928)*VERI_TABANI!$B$9, 0) + (VERI_TABANI!D27*B615*(VERI_TABANI!$B$13-VERI_TABANI!$B$14)*VERI_TABANI!G27) + (VERI_TABANI!D27*C615*(VERI_TABANI!$B$13-VERI_TABANI!$B$15)*VERI_TABANI!G27) + IF(ABS(IF(ISNUMBER(SEARCH("Var", D615)), 1, IF(ISNUMBER(SEARCH("Gri", D615)), -1, 0)))=1, VERI_TABANI!E27*(1-0.928)*0.00206091519919798*VERI_TABANI!G27, 0)) + ((MIN(VERI_TABANI!D28, VERI_TABANI!D28*B615)*VERI_TABANI!$B$7 + MAX(0, VERI_TABANI!D28*B615-VERI_TABANI!D28)*VERI_TABANI!$B$8) + (MIN(MAX(0, VERI_TABANI!D28-VERI_TABANI!D28*B615), VERI_TABANI!D28*C615)*VERI_TABANI!$B$7 + MAX(0, VERI_TABANI!D28*C615-MAX(0, VERI_TABANI!D28-VERI_TABANI!D28*B615))*VERI_TABANI!$B$8) + IF(ABS(IF(ISNUMBER(SEARCH("Var", D615)), 1, IF(ISNUMBER(SEARCH("Gri", D615)), -1, 0)))=1, VERI_TABANI!E28*(1-0.928)*VERI_TABANI!$B$9, 0) + (VERI_TABANI!D28*B615*(VERI_TABANI!$B$13-VERI_TABANI!$B$14)*VERI_TABANI!G28) + (VERI_TABANI!D28*C615*(VERI_TABANI!$B$13-VERI_TABANI!$B$15)*VERI_TABANI!G28) + IF(ABS(IF(ISNUMBER(SEARCH("Var", D615)), 1, IF(ISNUMBER(SEARCH("Gri", D615)), -1, 0)))=1, VERI_TABANI!E28*(1-0.928)*0.00206091519919798*VERI_TABANI!G28, 0)))</f>
        <v/>
      </c>
      <c r="H615" s="169">
        <f>(((VERI_TABANI!D23*B615*(VERI_TABANI!$B$13-VERI_TABANI!$B$14)) + (VERI_TABANI!D23*C615*(VERI_TABANI!$B$13-VERI_TABANI!$B$15)) + IF(ISNUMBER(SEARCH("Var", D615)), VERI_TABANI!F23*(0.00202-VERI_TABANI!$B$16), IF(ISNUMBER(SEARCH("Gri", D615)), VERI_TABANI!F23*(0.00202-VERI_TABANI!$B$17), 0))) + ((VERI_TABANI!D24*B615*(VERI_TABANI!$B$13-VERI_TABANI!$B$14)) + (VERI_TABANI!D24*C615*(VERI_TABANI!$B$13-VERI_TABANI!$B$15)) + IF(ISNUMBER(SEARCH("Var", D615)), VERI_TABANI!F24*(0.00202-VERI_TABANI!$B$16), IF(ISNUMBER(SEARCH("Gri", D615)), VERI_TABANI!F24*(0.00202-VERI_TABANI!$B$17), 0))) + ((VERI_TABANI!D25*B615*(VERI_TABANI!$B$13-VERI_TABANI!$B$14)) + (VERI_TABANI!D25*C615*(VERI_TABANI!$B$13-VERI_TABANI!$B$15)) + IF(ISNUMBER(SEARCH("Var", D615)), VERI_TABANI!F25*(0.00202-VERI_TABANI!$B$16), IF(ISNUMBER(SEARCH("Gri", D615)), VERI_TABANI!F25*(0.00202-VERI_TABANI!$B$17), 0))) + ((VERI_TABANI!D26*B615*(VERI_TABANI!$B$13-VERI_TABANI!$B$14)) + (VERI_TABANI!D26*C615*(VERI_TABANI!$B$13-VERI_TABANI!$B$15)) + IF(ISNUMBER(SEARCH("Var", D615)), VERI_TABANI!F26*(0.00202-VERI_TABANI!$B$16), IF(ISNUMBER(SEARCH("Gri", D615)), VERI_TABANI!F26*(0.00202-VERI_TABANI!$B$17), 0))) + ((VERI_TABANI!D27*B615*(VERI_TABANI!$B$13-VERI_TABANI!$B$14)) + (VERI_TABANI!D27*C615*(VERI_TABANI!$B$13-VERI_TABANI!$B$15)) + IF(ISNUMBER(SEARCH("Var", D615)), VERI_TABANI!F27*(0.00202-VERI_TABANI!$B$16), IF(ISNUMBER(SEARCH("Gri", D615)), VERI_TABANI!F27*(0.00202-VERI_TABANI!$B$17), 0))) + ((VERI_TABANI!D28*B615*(VERI_TABANI!$B$13-VERI_TABANI!$B$14)) + (VERI_TABANI!D28*C615*(VERI_TABANI!$B$13-VERI_TABANI!$B$15)) + IF(ISNUMBER(SEARCH("Var", D615)), VERI_TABANI!F28*(0.00202-VERI_TABANI!$B$16), IF(ISNUMBER(SEARCH("Gri", D615)), VERI_TABANI!F28*(0.00202-VERI_TABANI!$B$17), 0))))</f>
        <v/>
      </c>
      <c r="I615" s="170">
        <f>IFERROR(((VERI_TABANI!$D$29*B615*VERI_TABANI!$B$14 + VERI_TABANI!$D$29*C615*VERI_TABANI!$B$15 + IF(ISNUMBER(SEARCH("Var", D615)), VERI_TABANI!$F$29*VERI_TABANI!$B$16, 0))) / (((VERI_TABANI!$D$29*B615 + VERI_TABANI!$D$29*C615)*VERI_TABANI!$B$13 + IF(ISNUMBER(SEARCH("Var", D615)), VERI_TABANI!$E$29*(1-0.928)*VERI_TABANI!$B$18, 0))), 0)</f>
        <v/>
      </c>
      <c r="J615" s="171">
        <f>IFERROR(F615/(G615/29), 0)</f>
        <v/>
      </c>
      <c r="K615" s="172">
        <f>IF(F615&gt;0, H615/F615, 0)</f>
        <v/>
      </c>
      <c r="L615" s="170">
        <f>IF(F615&gt;0, I615, 1000000000)</f>
        <v/>
      </c>
      <c r="M615" s="171">
        <f>ABS((B615+C615)-1)</f>
        <v/>
      </c>
      <c r="N615" s="170">
        <f>IF(F615&gt;0, (G615/29)/F615, 0)</f>
        <v/>
      </c>
      <c r="O615" s="168">
        <f>IF(AND((B615+C615)&gt;=1, ISNUMBER(SEARCH("Var", D615))), F615, 1000000000)</f>
        <v/>
      </c>
      <c r="P615" s="172">
        <f>IF(F615&gt;0, SQRT((F615/MAX(F$5:F$886))^2 + (1 - H615/MAX(H$5:H$886))^2 + (J615/MAX(J$5:J$886))^2), 1000000000)</f>
        <v/>
      </c>
      <c r="Q615" s="166">
        <f>IF(AND(ABS(B615-0.5)&lt;0.01, ABS(C615-0.5)&lt;0.01, ISNUMBER(SEARCH("Var", D615))), 1, 0)</f>
        <v/>
      </c>
      <c r="R615" s="171">
        <f>IF(F615&gt;0, J615, 1000000000)</f>
        <v/>
      </c>
      <c r="S615" s="101">
        <f>IF(AND(F615&lt;=DASHBOARD!$B$11, H615&gt;=DASHBOARD!$B$13), G615, -1000000000000)</f>
        <v/>
      </c>
      <c r="T615" s="101">
        <f>IF(AND(F615&lt;=DASHBOARD!$B$11, H615&gt;=DASHBOARD!$B$13), R615, 1000000000000)</f>
        <v/>
      </c>
      <c r="U615" s="101">
        <f>IF(AND(F615&lt;=DASHBOARD!$B$11, H615&gt;=DASHBOARD!$B$13), N615, -1000000000000)</f>
        <v/>
      </c>
      <c r="V615" s="101">
        <f>IF(AND(F615&lt;=DASHBOARD!$B$11, H615&gt;=DASHBOARD!$B$13), H615, -1000000000000)</f>
        <v/>
      </c>
      <c r="W615" s="101">
        <f>IF(AND(F615&lt;=DASHBOARD!$B$11, H615&gt;=DASHBOARD!$B$13), K615, -1000000000000)</f>
        <v/>
      </c>
      <c r="X615" s="101">
        <f>IF(AND(F615&lt;=DASHBOARD!$B$11, H615&gt;=DASHBOARD!$B$13), M615, 1000000000000)</f>
        <v/>
      </c>
      <c r="Y615" s="101">
        <f>IF(AND(F615&lt;=DASHBOARD!$B$10, H615&gt;=DASHBOARD!$B$11), L615, 1000000000000)</f>
        <v/>
      </c>
      <c r="Z615" s="101">
        <f>IF(AND(F615&lt;=DASHBOARD!$B$10, H615&gt;=DASHBOARD!$B$11), O615, 1000000000000)</f>
        <v/>
      </c>
      <c r="AA615" s="101">
        <f>IF(AND(F615&lt;=DASHBOARD!$B$10, H615&gt;=DASHBOARD!$B$11), P615, 1000000000000)</f>
        <v/>
      </c>
      <c r="AB615" s="101">
        <f>IF(AND(F615&lt;=DASHBOARD!$B$10, H615&gt;=DASHBOARD!$B$11), Q615, -1000000000000)</f>
        <v/>
      </c>
    </row>
    <row r="616" ht="15" customHeight="1" s="102">
      <c r="A616" s="166" t="n">
        <v>612</v>
      </c>
      <c r="B616" s="167" t="n">
        <v>1.4</v>
      </c>
      <c r="C616" s="167" t="n">
        <v>1.1</v>
      </c>
      <c r="D616" s="110" t="inlineStr">
        <is>
          <t>Var (%20)</t>
        </is>
      </c>
      <c r="E616" s="110">
        <f>IF((B616+C616)&lt;=1, "Tam Mahsuplaşma (≤%100)", "Kısmi Satış (&gt;%100)")</f>
        <v/>
      </c>
      <c r="F616" s="168">
        <f>((VERI_TABANI!$D$29*B616/VERI_TABANI!$B$29)/VERI_TABANI!$B$3)*VERI_TABANI!$B$5 + ((VERI_TABANI!$D$29*C616/VERI_TABANI!$B$29)/VERI_TABANI!$B$4)*VERI_TABANI!$B$6 + IF(ISNUMBER(SEARCH("Var", D616)), (VERI_TABANI!$F$29/VERI_TABANI!$B$29)*(VERI_TABANI!$B$10+VERI_TABANI!$B$12), 0)</f>
        <v/>
      </c>
      <c r="G616" s="168">
        <f>(((MIN(VERI_TABANI!D23, VERI_TABANI!D23*B616)*VERI_TABANI!$B$7 + MAX(0, VERI_TABANI!D23*B616-VERI_TABANI!D23)*VERI_TABANI!$B$8) + (MIN(MAX(0, VERI_TABANI!D23-VERI_TABANI!D23*B616), VERI_TABANI!D23*C616)*VERI_TABANI!$B$7 + MAX(0, VERI_TABANI!D23*C616-MAX(0, VERI_TABANI!D23-VERI_TABANI!D23*B616))*VERI_TABANI!$B$8) + IF(ABS(IF(ISNUMBER(SEARCH("Var", D616)), 1, IF(ISNUMBER(SEARCH("Gri", D616)), -1, 0)))=1, VERI_TABANI!E23*(1-0.928)*VERI_TABANI!$B$9, 0) + (VERI_TABANI!D23*B616*(VERI_TABANI!$B$13-VERI_TABANI!$B$14)*VERI_TABANI!G23) + (VERI_TABANI!D23*C616*(VERI_TABANI!$B$13-VERI_TABANI!$B$15)*VERI_TABANI!G23) + IF(ABS(IF(ISNUMBER(SEARCH("Var", D616)), 1, IF(ISNUMBER(SEARCH("Gri", D616)), -1, 0)))=1, VERI_TABANI!E23*(1-0.928)*0.00206091519919798*VERI_TABANI!G23, 0)) + ((MIN(VERI_TABANI!D24, VERI_TABANI!D24*B616)*VERI_TABANI!$B$7 + MAX(0, VERI_TABANI!D24*B616-VERI_TABANI!D24)*VERI_TABANI!$B$8) + (MIN(MAX(0, VERI_TABANI!D24-VERI_TABANI!D24*B616), VERI_TABANI!D24*C616)*VERI_TABANI!$B$7 + MAX(0, VERI_TABANI!D24*C616-MAX(0, VERI_TABANI!D24-VERI_TABANI!D24*B616))*VERI_TABANI!$B$8) + IF(ABS(IF(ISNUMBER(SEARCH("Var", D616)), 1, IF(ISNUMBER(SEARCH("Gri", D616)), -1, 0)))=1, VERI_TABANI!E24*(1-0.928)*VERI_TABANI!$B$9, 0) + (VERI_TABANI!D24*B616*(VERI_TABANI!$B$13-VERI_TABANI!$B$14)*VERI_TABANI!G24) + (VERI_TABANI!D24*C616*(VERI_TABANI!$B$13-VERI_TABANI!$B$15)*VERI_TABANI!G24) + IF(ABS(IF(ISNUMBER(SEARCH("Var", D616)), 1, IF(ISNUMBER(SEARCH("Gri", D616)), -1, 0)))=1, VERI_TABANI!E24*(1-0.928)*0.00206091519919798*VERI_TABANI!G24, 0)) + ((MIN(VERI_TABANI!D25, VERI_TABANI!D25*B616)*VERI_TABANI!$B$7 + MAX(0, VERI_TABANI!D25*B616-VERI_TABANI!D25)*VERI_TABANI!$B$8) + (MIN(MAX(0, VERI_TABANI!D25-VERI_TABANI!D25*B616), VERI_TABANI!D25*C616)*VERI_TABANI!$B$7 + MAX(0, VERI_TABANI!D25*C616-MAX(0, VERI_TABANI!D25-VERI_TABANI!D25*B616))*VERI_TABANI!$B$8) + IF(ABS(IF(ISNUMBER(SEARCH("Var", D616)), 1, IF(ISNUMBER(SEARCH("Gri", D616)), -1, 0)))=1, VERI_TABANI!E25*(1-0.928)*VERI_TABANI!$B$9, 0) + (VERI_TABANI!D25*B616*(VERI_TABANI!$B$13-VERI_TABANI!$B$14)*VERI_TABANI!G25) + (VERI_TABANI!D25*C616*(VERI_TABANI!$B$13-VERI_TABANI!$B$15)*VERI_TABANI!G25) + IF(ABS(IF(ISNUMBER(SEARCH("Var", D616)), 1, IF(ISNUMBER(SEARCH("Gri", D616)), -1, 0)))=1, VERI_TABANI!E25*(1-0.928)*0.00206091519919798*VERI_TABANI!G25, 0)) + ((MIN(VERI_TABANI!D26, VERI_TABANI!D26*B616)*VERI_TABANI!$B$7 + MAX(0, VERI_TABANI!D26*B616-VERI_TABANI!D26)*VERI_TABANI!$B$8) + (MIN(MAX(0, VERI_TABANI!D26-VERI_TABANI!D26*B616), VERI_TABANI!D26*C616)*VERI_TABANI!$B$7 + MAX(0, VERI_TABANI!D26*C616-MAX(0, VERI_TABANI!D26-VERI_TABANI!D26*B616))*VERI_TABANI!$B$8) + IF(ABS(IF(ISNUMBER(SEARCH("Var", D616)), 1, IF(ISNUMBER(SEARCH("Gri", D616)), -1, 0)))=1, VERI_TABANI!E26*(1-0.928)*VERI_TABANI!$B$9, 0) + (VERI_TABANI!D26*B616*(VERI_TABANI!$B$13-VERI_TABANI!$B$14)*VERI_TABANI!G26) + (VERI_TABANI!D26*C616*(VERI_TABANI!$B$13-VERI_TABANI!$B$15)*VERI_TABANI!G26) + IF(ABS(IF(ISNUMBER(SEARCH("Var", D616)), 1, IF(ISNUMBER(SEARCH("Gri", D616)), -1, 0)))=1, VERI_TABANI!E26*(1-0.928)*0.00206091519919798*VERI_TABANI!G26, 0)) + ((MIN(VERI_TABANI!D27, VERI_TABANI!D27*B616)*VERI_TABANI!$B$7 + MAX(0, VERI_TABANI!D27*B616-VERI_TABANI!D27)*VERI_TABANI!$B$8) + (MIN(MAX(0, VERI_TABANI!D27-VERI_TABANI!D27*B616), VERI_TABANI!D27*C616)*VERI_TABANI!$B$7 + MAX(0, VERI_TABANI!D27*C616-MAX(0, VERI_TABANI!D27-VERI_TABANI!D27*B616))*VERI_TABANI!$B$8) + IF(ABS(IF(ISNUMBER(SEARCH("Var", D616)), 1, IF(ISNUMBER(SEARCH("Gri", D616)), -1, 0)))=1, VERI_TABANI!E27*(1-0.928)*VERI_TABANI!$B$9, 0) + (VERI_TABANI!D27*B616*(VERI_TABANI!$B$13-VERI_TABANI!$B$14)*VERI_TABANI!G27) + (VERI_TABANI!D27*C616*(VERI_TABANI!$B$13-VERI_TABANI!$B$15)*VERI_TABANI!G27) + IF(ABS(IF(ISNUMBER(SEARCH("Var", D616)), 1, IF(ISNUMBER(SEARCH("Gri", D616)), -1, 0)))=1, VERI_TABANI!E27*(1-0.928)*0.00206091519919798*VERI_TABANI!G27, 0)) + ((MIN(VERI_TABANI!D28, VERI_TABANI!D28*B616)*VERI_TABANI!$B$7 + MAX(0, VERI_TABANI!D28*B616-VERI_TABANI!D28)*VERI_TABANI!$B$8) + (MIN(MAX(0, VERI_TABANI!D28-VERI_TABANI!D28*B616), VERI_TABANI!D28*C616)*VERI_TABANI!$B$7 + MAX(0, VERI_TABANI!D28*C616-MAX(0, VERI_TABANI!D28-VERI_TABANI!D28*B616))*VERI_TABANI!$B$8) + IF(ABS(IF(ISNUMBER(SEARCH("Var", D616)), 1, IF(ISNUMBER(SEARCH("Gri", D616)), -1, 0)))=1, VERI_TABANI!E28*(1-0.928)*VERI_TABANI!$B$9, 0) + (VERI_TABANI!D28*B616*(VERI_TABANI!$B$13-VERI_TABANI!$B$14)*VERI_TABANI!G28) + (VERI_TABANI!D28*C616*(VERI_TABANI!$B$13-VERI_TABANI!$B$15)*VERI_TABANI!G28) + IF(ABS(IF(ISNUMBER(SEARCH("Var", D616)), 1, IF(ISNUMBER(SEARCH("Gri", D616)), -1, 0)))=1, VERI_TABANI!E28*(1-0.928)*0.00206091519919798*VERI_TABANI!G28, 0)))</f>
        <v/>
      </c>
      <c r="H616" s="169">
        <f>(((VERI_TABANI!D23*B616*(VERI_TABANI!$B$13-VERI_TABANI!$B$14)) + (VERI_TABANI!D23*C616*(VERI_TABANI!$B$13-VERI_TABANI!$B$15)) + IF(ISNUMBER(SEARCH("Var", D616)), VERI_TABANI!F23*(0.00202-VERI_TABANI!$B$16), IF(ISNUMBER(SEARCH("Gri", D616)), VERI_TABANI!F23*(0.00202-VERI_TABANI!$B$17), 0))) + ((VERI_TABANI!D24*B616*(VERI_TABANI!$B$13-VERI_TABANI!$B$14)) + (VERI_TABANI!D24*C616*(VERI_TABANI!$B$13-VERI_TABANI!$B$15)) + IF(ISNUMBER(SEARCH("Var", D616)), VERI_TABANI!F24*(0.00202-VERI_TABANI!$B$16), IF(ISNUMBER(SEARCH("Gri", D616)), VERI_TABANI!F24*(0.00202-VERI_TABANI!$B$17), 0))) + ((VERI_TABANI!D25*B616*(VERI_TABANI!$B$13-VERI_TABANI!$B$14)) + (VERI_TABANI!D25*C616*(VERI_TABANI!$B$13-VERI_TABANI!$B$15)) + IF(ISNUMBER(SEARCH("Var", D616)), VERI_TABANI!F25*(0.00202-VERI_TABANI!$B$16), IF(ISNUMBER(SEARCH("Gri", D616)), VERI_TABANI!F25*(0.00202-VERI_TABANI!$B$17), 0))) + ((VERI_TABANI!D26*B616*(VERI_TABANI!$B$13-VERI_TABANI!$B$14)) + (VERI_TABANI!D26*C616*(VERI_TABANI!$B$13-VERI_TABANI!$B$15)) + IF(ISNUMBER(SEARCH("Var", D616)), VERI_TABANI!F26*(0.00202-VERI_TABANI!$B$16), IF(ISNUMBER(SEARCH("Gri", D616)), VERI_TABANI!F26*(0.00202-VERI_TABANI!$B$17), 0))) + ((VERI_TABANI!D27*B616*(VERI_TABANI!$B$13-VERI_TABANI!$B$14)) + (VERI_TABANI!D27*C616*(VERI_TABANI!$B$13-VERI_TABANI!$B$15)) + IF(ISNUMBER(SEARCH("Var", D616)), VERI_TABANI!F27*(0.00202-VERI_TABANI!$B$16), IF(ISNUMBER(SEARCH("Gri", D616)), VERI_TABANI!F27*(0.00202-VERI_TABANI!$B$17), 0))) + ((VERI_TABANI!D28*B616*(VERI_TABANI!$B$13-VERI_TABANI!$B$14)) + (VERI_TABANI!D28*C616*(VERI_TABANI!$B$13-VERI_TABANI!$B$15)) + IF(ISNUMBER(SEARCH("Var", D616)), VERI_TABANI!F28*(0.00202-VERI_TABANI!$B$16), IF(ISNUMBER(SEARCH("Gri", D616)), VERI_TABANI!F28*(0.00202-VERI_TABANI!$B$17), 0))))</f>
        <v/>
      </c>
      <c r="I616" s="170">
        <f>IFERROR(((VERI_TABANI!$D$29*B616*VERI_TABANI!$B$14 + VERI_TABANI!$D$29*C616*VERI_TABANI!$B$15 + IF(ISNUMBER(SEARCH("Var", D616)), VERI_TABANI!$F$29*VERI_TABANI!$B$16, 0))) / (((VERI_TABANI!$D$29*B616 + VERI_TABANI!$D$29*C616)*VERI_TABANI!$B$13 + IF(ISNUMBER(SEARCH("Var", D616)), VERI_TABANI!$E$29*(1-0.928)*VERI_TABANI!$B$18, 0))), 0)</f>
        <v/>
      </c>
      <c r="J616" s="171">
        <f>IFERROR(F616/(G616/29), 0)</f>
        <v/>
      </c>
      <c r="K616" s="172">
        <f>IF(F616&gt;0, H616/F616, 0)</f>
        <v/>
      </c>
      <c r="L616" s="170">
        <f>IF(F616&gt;0, I616, 1000000000)</f>
        <v/>
      </c>
      <c r="M616" s="171">
        <f>ABS((B616+C616)-1)</f>
        <v/>
      </c>
      <c r="N616" s="170">
        <f>IF(F616&gt;0, (G616/29)/F616, 0)</f>
        <v/>
      </c>
      <c r="O616" s="168">
        <f>IF(AND((B616+C616)&gt;=1, ISNUMBER(SEARCH("Var", D616))), F616, 1000000000)</f>
        <v/>
      </c>
      <c r="P616" s="172">
        <f>IF(F616&gt;0, SQRT((F616/MAX(F$5:F$886))^2 + (1 - H616/MAX(H$5:H$886))^2 + (J616/MAX(J$5:J$886))^2), 1000000000)</f>
        <v/>
      </c>
      <c r="Q616" s="166">
        <f>IF(AND(ABS(B616-0.5)&lt;0.01, ABS(C616-0.5)&lt;0.01, ISNUMBER(SEARCH("Var", D616))), 1, 0)</f>
        <v/>
      </c>
      <c r="R616" s="171">
        <f>IF(F616&gt;0, J616, 1000000000)</f>
        <v/>
      </c>
      <c r="S616" s="101">
        <f>IF(AND(F616&lt;=DASHBOARD!$B$11, H616&gt;=DASHBOARD!$B$13), G616, -1000000000000)</f>
        <v/>
      </c>
      <c r="T616" s="101">
        <f>IF(AND(F616&lt;=DASHBOARD!$B$11, H616&gt;=DASHBOARD!$B$13), R616, 1000000000000)</f>
        <v/>
      </c>
      <c r="U616" s="101">
        <f>IF(AND(F616&lt;=DASHBOARD!$B$11, H616&gt;=DASHBOARD!$B$13), N616, -1000000000000)</f>
        <v/>
      </c>
      <c r="V616" s="101">
        <f>IF(AND(F616&lt;=DASHBOARD!$B$11, H616&gt;=DASHBOARD!$B$13), H616, -1000000000000)</f>
        <v/>
      </c>
      <c r="W616" s="101">
        <f>IF(AND(F616&lt;=DASHBOARD!$B$11, H616&gt;=DASHBOARD!$B$13), K616, -1000000000000)</f>
        <v/>
      </c>
      <c r="X616" s="101">
        <f>IF(AND(F616&lt;=DASHBOARD!$B$11, H616&gt;=DASHBOARD!$B$13), M616, 1000000000000)</f>
        <v/>
      </c>
      <c r="Y616" s="101">
        <f>IF(AND(F616&lt;=DASHBOARD!$B$10, H616&gt;=DASHBOARD!$B$11), L616, 1000000000000)</f>
        <v/>
      </c>
      <c r="Z616" s="101">
        <f>IF(AND(F616&lt;=DASHBOARD!$B$10, H616&gt;=DASHBOARD!$B$11), O616, 1000000000000)</f>
        <v/>
      </c>
      <c r="AA616" s="101">
        <f>IF(AND(F616&lt;=DASHBOARD!$B$10, H616&gt;=DASHBOARD!$B$11), P616, 1000000000000)</f>
        <v/>
      </c>
      <c r="AB616" s="101">
        <f>IF(AND(F616&lt;=DASHBOARD!$B$10, H616&gt;=DASHBOARD!$B$11), Q616, -1000000000000)</f>
        <v/>
      </c>
    </row>
    <row r="617" ht="15" customHeight="1" s="102">
      <c r="A617" s="166" t="n">
        <v>613</v>
      </c>
      <c r="B617" s="167" t="n">
        <v>1.4</v>
      </c>
      <c r="C617" s="167" t="n">
        <v>1.2</v>
      </c>
      <c r="D617" s="110" t="inlineStr">
        <is>
          <t>Yok (%0)</t>
        </is>
      </c>
      <c r="E617" s="110">
        <f>IF((B617+C617)&lt;=1, "Tam Mahsuplaşma (≤%100)", "Kısmi Satış (&gt;%100)")</f>
        <v/>
      </c>
      <c r="F617" s="168">
        <f>((VERI_TABANI!$D$29*B617/VERI_TABANI!$B$29)/VERI_TABANI!$B$3)*VERI_TABANI!$B$5 + ((VERI_TABANI!$D$29*C617/VERI_TABANI!$B$29)/VERI_TABANI!$B$4)*VERI_TABANI!$B$6 + IF(ISNUMBER(SEARCH("Var", D617)), (VERI_TABANI!$F$29/VERI_TABANI!$B$29)*(VERI_TABANI!$B$10+VERI_TABANI!$B$12), 0)</f>
        <v/>
      </c>
      <c r="G617" s="168">
        <f>(((MIN(VERI_TABANI!D23, VERI_TABANI!D23*B617)*VERI_TABANI!$B$7 + MAX(0, VERI_TABANI!D23*B617-VERI_TABANI!D23)*VERI_TABANI!$B$8) + (MIN(MAX(0, VERI_TABANI!D23-VERI_TABANI!D23*B617), VERI_TABANI!D23*C617)*VERI_TABANI!$B$7 + MAX(0, VERI_TABANI!D23*C617-MAX(0, VERI_TABANI!D23-VERI_TABANI!D23*B617))*VERI_TABANI!$B$8) + IF(ABS(IF(ISNUMBER(SEARCH("Var", D617)), 1, IF(ISNUMBER(SEARCH("Gri", D617)), -1, 0)))=1, VERI_TABANI!E23*(1-0.928)*VERI_TABANI!$B$9, 0) + (VERI_TABANI!D23*B617*(VERI_TABANI!$B$13-VERI_TABANI!$B$14)*VERI_TABANI!G23) + (VERI_TABANI!D23*C617*(VERI_TABANI!$B$13-VERI_TABANI!$B$15)*VERI_TABANI!G23) + IF(ABS(IF(ISNUMBER(SEARCH("Var", D617)), 1, IF(ISNUMBER(SEARCH("Gri", D617)), -1, 0)))=1, VERI_TABANI!E23*(1-0.928)*0.00206091519919798*VERI_TABANI!G23, 0)) + ((MIN(VERI_TABANI!D24, VERI_TABANI!D24*B617)*VERI_TABANI!$B$7 + MAX(0, VERI_TABANI!D24*B617-VERI_TABANI!D24)*VERI_TABANI!$B$8) + (MIN(MAX(0, VERI_TABANI!D24-VERI_TABANI!D24*B617), VERI_TABANI!D24*C617)*VERI_TABANI!$B$7 + MAX(0, VERI_TABANI!D24*C617-MAX(0, VERI_TABANI!D24-VERI_TABANI!D24*B617))*VERI_TABANI!$B$8) + IF(ABS(IF(ISNUMBER(SEARCH("Var", D617)), 1, IF(ISNUMBER(SEARCH("Gri", D617)), -1, 0)))=1, VERI_TABANI!E24*(1-0.928)*VERI_TABANI!$B$9, 0) + (VERI_TABANI!D24*B617*(VERI_TABANI!$B$13-VERI_TABANI!$B$14)*VERI_TABANI!G24) + (VERI_TABANI!D24*C617*(VERI_TABANI!$B$13-VERI_TABANI!$B$15)*VERI_TABANI!G24) + IF(ABS(IF(ISNUMBER(SEARCH("Var", D617)), 1, IF(ISNUMBER(SEARCH("Gri", D617)), -1, 0)))=1, VERI_TABANI!E24*(1-0.928)*0.00206091519919798*VERI_TABANI!G24, 0)) + ((MIN(VERI_TABANI!D25, VERI_TABANI!D25*B617)*VERI_TABANI!$B$7 + MAX(0, VERI_TABANI!D25*B617-VERI_TABANI!D25)*VERI_TABANI!$B$8) + (MIN(MAX(0, VERI_TABANI!D25-VERI_TABANI!D25*B617), VERI_TABANI!D25*C617)*VERI_TABANI!$B$7 + MAX(0, VERI_TABANI!D25*C617-MAX(0, VERI_TABANI!D25-VERI_TABANI!D25*B617))*VERI_TABANI!$B$8) + IF(ABS(IF(ISNUMBER(SEARCH("Var", D617)), 1, IF(ISNUMBER(SEARCH("Gri", D617)), -1, 0)))=1, VERI_TABANI!E25*(1-0.928)*VERI_TABANI!$B$9, 0) + (VERI_TABANI!D25*B617*(VERI_TABANI!$B$13-VERI_TABANI!$B$14)*VERI_TABANI!G25) + (VERI_TABANI!D25*C617*(VERI_TABANI!$B$13-VERI_TABANI!$B$15)*VERI_TABANI!G25) + IF(ABS(IF(ISNUMBER(SEARCH("Var", D617)), 1, IF(ISNUMBER(SEARCH("Gri", D617)), -1, 0)))=1, VERI_TABANI!E25*(1-0.928)*0.00206091519919798*VERI_TABANI!G25, 0)) + ((MIN(VERI_TABANI!D26, VERI_TABANI!D26*B617)*VERI_TABANI!$B$7 + MAX(0, VERI_TABANI!D26*B617-VERI_TABANI!D26)*VERI_TABANI!$B$8) + (MIN(MAX(0, VERI_TABANI!D26-VERI_TABANI!D26*B617), VERI_TABANI!D26*C617)*VERI_TABANI!$B$7 + MAX(0, VERI_TABANI!D26*C617-MAX(0, VERI_TABANI!D26-VERI_TABANI!D26*B617))*VERI_TABANI!$B$8) + IF(ABS(IF(ISNUMBER(SEARCH("Var", D617)), 1, IF(ISNUMBER(SEARCH("Gri", D617)), -1, 0)))=1, VERI_TABANI!E26*(1-0.928)*VERI_TABANI!$B$9, 0) + (VERI_TABANI!D26*B617*(VERI_TABANI!$B$13-VERI_TABANI!$B$14)*VERI_TABANI!G26) + (VERI_TABANI!D26*C617*(VERI_TABANI!$B$13-VERI_TABANI!$B$15)*VERI_TABANI!G26) + IF(ABS(IF(ISNUMBER(SEARCH("Var", D617)), 1, IF(ISNUMBER(SEARCH("Gri", D617)), -1, 0)))=1, VERI_TABANI!E26*(1-0.928)*0.00206091519919798*VERI_TABANI!G26, 0)) + ((MIN(VERI_TABANI!D27, VERI_TABANI!D27*B617)*VERI_TABANI!$B$7 + MAX(0, VERI_TABANI!D27*B617-VERI_TABANI!D27)*VERI_TABANI!$B$8) + (MIN(MAX(0, VERI_TABANI!D27-VERI_TABANI!D27*B617), VERI_TABANI!D27*C617)*VERI_TABANI!$B$7 + MAX(0, VERI_TABANI!D27*C617-MAX(0, VERI_TABANI!D27-VERI_TABANI!D27*B617))*VERI_TABANI!$B$8) + IF(ABS(IF(ISNUMBER(SEARCH("Var", D617)), 1, IF(ISNUMBER(SEARCH("Gri", D617)), -1, 0)))=1, VERI_TABANI!E27*(1-0.928)*VERI_TABANI!$B$9, 0) + (VERI_TABANI!D27*B617*(VERI_TABANI!$B$13-VERI_TABANI!$B$14)*VERI_TABANI!G27) + (VERI_TABANI!D27*C617*(VERI_TABANI!$B$13-VERI_TABANI!$B$15)*VERI_TABANI!G27) + IF(ABS(IF(ISNUMBER(SEARCH("Var", D617)), 1, IF(ISNUMBER(SEARCH("Gri", D617)), -1, 0)))=1, VERI_TABANI!E27*(1-0.928)*0.00206091519919798*VERI_TABANI!G27, 0)) + ((MIN(VERI_TABANI!D28, VERI_TABANI!D28*B617)*VERI_TABANI!$B$7 + MAX(0, VERI_TABANI!D28*B617-VERI_TABANI!D28)*VERI_TABANI!$B$8) + (MIN(MAX(0, VERI_TABANI!D28-VERI_TABANI!D28*B617), VERI_TABANI!D28*C617)*VERI_TABANI!$B$7 + MAX(0, VERI_TABANI!D28*C617-MAX(0, VERI_TABANI!D28-VERI_TABANI!D28*B617))*VERI_TABANI!$B$8) + IF(ABS(IF(ISNUMBER(SEARCH("Var", D617)), 1, IF(ISNUMBER(SEARCH("Gri", D617)), -1, 0)))=1, VERI_TABANI!E28*(1-0.928)*VERI_TABANI!$B$9, 0) + (VERI_TABANI!D28*B617*(VERI_TABANI!$B$13-VERI_TABANI!$B$14)*VERI_TABANI!G28) + (VERI_TABANI!D28*C617*(VERI_TABANI!$B$13-VERI_TABANI!$B$15)*VERI_TABANI!G28) + IF(ABS(IF(ISNUMBER(SEARCH("Var", D617)), 1, IF(ISNUMBER(SEARCH("Gri", D617)), -1, 0)))=1, VERI_TABANI!E28*(1-0.928)*0.00206091519919798*VERI_TABANI!G28, 0)))</f>
        <v/>
      </c>
      <c r="H617" s="169">
        <f>(((VERI_TABANI!D23*B617*(VERI_TABANI!$B$13-VERI_TABANI!$B$14)) + (VERI_TABANI!D23*C617*(VERI_TABANI!$B$13-VERI_TABANI!$B$15)) + IF(ISNUMBER(SEARCH("Var", D617)), VERI_TABANI!F23*(0.00202-VERI_TABANI!$B$16), IF(ISNUMBER(SEARCH("Gri", D617)), VERI_TABANI!F23*(0.00202-VERI_TABANI!$B$17), 0))) + ((VERI_TABANI!D24*B617*(VERI_TABANI!$B$13-VERI_TABANI!$B$14)) + (VERI_TABANI!D24*C617*(VERI_TABANI!$B$13-VERI_TABANI!$B$15)) + IF(ISNUMBER(SEARCH("Var", D617)), VERI_TABANI!F24*(0.00202-VERI_TABANI!$B$16), IF(ISNUMBER(SEARCH("Gri", D617)), VERI_TABANI!F24*(0.00202-VERI_TABANI!$B$17), 0))) + ((VERI_TABANI!D25*B617*(VERI_TABANI!$B$13-VERI_TABANI!$B$14)) + (VERI_TABANI!D25*C617*(VERI_TABANI!$B$13-VERI_TABANI!$B$15)) + IF(ISNUMBER(SEARCH("Var", D617)), VERI_TABANI!F25*(0.00202-VERI_TABANI!$B$16), IF(ISNUMBER(SEARCH("Gri", D617)), VERI_TABANI!F25*(0.00202-VERI_TABANI!$B$17), 0))) + ((VERI_TABANI!D26*B617*(VERI_TABANI!$B$13-VERI_TABANI!$B$14)) + (VERI_TABANI!D26*C617*(VERI_TABANI!$B$13-VERI_TABANI!$B$15)) + IF(ISNUMBER(SEARCH("Var", D617)), VERI_TABANI!F26*(0.00202-VERI_TABANI!$B$16), IF(ISNUMBER(SEARCH("Gri", D617)), VERI_TABANI!F26*(0.00202-VERI_TABANI!$B$17), 0))) + ((VERI_TABANI!D27*B617*(VERI_TABANI!$B$13-VERI_TABANI!$B$14)) + (VERI_TABANI!D27*C617*(VERI_TABANI!$B$13-VERI_TABANI!$B$15)) + IF(ISNUMBER(SEARCH("Var", D617)), VERI_TABANI!F27*(0.00202-VERI_TABANI!$B$16), IF(ISNUMBER(SEARCH("Gri", D617)), VERI_TABANI!F27*(0.00202-VERI_TABANI!$B$17), 0))) + ((VERI_TABANI!D28*B617*(VERI_TABANI!$B$13-VERI_TABANI!$B$14)) + (VERI_TABANI!D28*C617*(VERI_TABANI!$B$13-VERI_TABANI!$B$15)) + IF(ISNUMBER(SEARCH("Var", D617)), VERI_TABANI!F28*(0.00202-VERI_TABANI!$B$16), IF(ISNUMBER(SEARCH("Gri", D617)), VERI_TABANI!F28*(0.00202-VERI_TABANI!$B$17), 0))))</f>
        <v/>
      </c>
      <c r="I617" s="170">
        <f>IFERROR(((VERI_TABANI!$D$29*B617*VERI_TABANI!$B$14 + VERI_TABANI!$D$29*C617*VERI_TABANI!$B$15 + IF(ISNUMBER(SEARCH("Var", D617)), VERI_TABANI!$F$29*VERI_TABANI!$B$16, 0))) / (((VERI_TABANI!$D$29*B617 + VERI_TABANI!$D$29*C617)*VERI_TABANI!$B$13 + IF(ISNUMBER(SEARCH("Var", D617)), VERI_TABANI!$E$29*(1-0.928)*VERI_TABANI!$B$18, 0))), 0)</f>
        <v/>
      </c>
      <c r="J617" s="171">
        <f>IFERROR(F617/(G617/29), 0)</f>
        <v/>
      </c>
      <c r="K617" s="172">
        <f>IF(F617&gt;0, H617/F617, 0)</f>
        <v/>
      </c>
      <c r="L617" s="170">
        <f>IF(F617&gt;0, I617, 1000000000)</f>
        <v/>
      </c>
      <c r="M617" s="171">
        <f>ABS((B617+C617)-1)</f>
        <v/>
      </c>
      <c r="N617" s="170">
        <f>IF(F617&gt;0, (G617/29)/F617, 0)</f>
        <v/>
      </c>
      <c r="O617" s="168">
        <f>IF(AND((B617+C617)&gt;=1, ISNUMBER(SEARCH("Var", D617))), F617, 1000000000)</f>
        <v/>
      </c>
      <c r="P617" s="172">
        <f>IF(F617&gt;0, SQRT((F617/MAX(F$5:F$886))^2 + (1 - H617/MAX(H$5:H$886))^2 + (J617/MAX(J$5:J$886))^2), 1000000000)</f>
        <v/>
      </c>
      <c r="Q617" s="166">
        <f>IF(AND(ABS(B617-0.5)&lt;0.01, ABS(C617-0.5)&lt;0.01, ISNUMBER(SEARCH("Var", D617))), 1, 0)</f>
        <v/>
      </c>
      <c r="R617" s="171">
        <f>IF(F617&gt;0, J617, 1000000000)</f>
        <v/>
      </c>
      <c r="S617" s="101">
        <f>IF(AND(F617&lt;=DASHBOARD!$B$11, H617&gt;=DASHBOARD!$B$13), G617, -1000000000000)</f>
        <v/>
      </c>
      <c r="T617" s="101">
        <f>IF(AND(F617&lt;=DASHBOARD!$B$11, H617&gt;=DASHBOARD!$B$13), R617, 1000000000000)</f>
        <v/>
      </c>
      <c r="U617" s="101">
        <f>IF(AND(F617&lt;=DASHBOARD!$B$11, H617&gt;=DASHBOARD!$B$13), N617, -1000000000000)</f>
        <v/>
      </c>
      <c r="V617" s="101">
        <f>IF(AND(F617&lt;=DASHBOARD!$B$11, H617&gt;=DASHBOARD!$B$13), H617, -1000000000000)</f>
        <v/>
      </c>
      <c r="W617" s="101">
        <f>IF(AND(F617&lt;=DASHBOARD!$B$11, H617&gt;=DASHBOARD!$B$13), K617, -1000000000000)</f>
        <v/>
      </c>
      <c r="X617" s="101">
        <f>IF(AND(F617&lt;=DASHBOARD!$B$11, H617&gt;=DASHBOARD!$B$13), M617, 1000000000000)</f>
        <v/>
      </c>
      <c r="Y617" s="101">
        <f>IF(AND(F617&lt;=DASHBOARD!$B$10, H617&gt;=DASHBOARD!$B$11), L617, 1000000000000)</f>
        <v/>
      </c>
      <c r="Z617" s="101">
        <f>IF(AND(F617&lt;=DASHBOARD!$B$10, H617&gt;=DASHBOARD!$B$11), O617, 1000000000000)</f>
        <v/>
      </c>
      <c r="AA617" s="101">
        <f>IF(AND(F617&lt;=DASHBOARD!$B$10, H617&gt;=DASHBOARD!$B$11), P617, 1000000000000)</f>
        <v/>
      </c>
      <c r="AB617" s="101">
        <f>IF(AND(F617&lt;=DASHBOARD!$B$10, H617&gt;=DASHBOARD!$B$11), Q617, -1000000000000)</f>
        <v/>
      </c>
    </row>
    <row r="618" ht="15" customHeight="1" s="102">
      <c r="A618" s="166" t="n">
        <v>614</v>
      </c>
      <c r="B618" s="167" t="n">
        <v>1.4</v>
      </c>
      <c r="C618" s="167" t="n">
        <v>1.2</v>
      </c>
      <c r="D618" s="110" t="inlineStr">
        <is>
          <t>Var (%20)</t>
        </is>
      </c>
      <c r="E618" s="110">
        <f>IF((B618+C618)&lt;=1, "Tam Mahsuplaşma (≤%100)", "Kısmi Satış (&gt;%100)")</f>
        <v/>
      </c>
      <c r="F618" s="168">
        <f>((VERI_TABANI!$D$29*B618/VERI_TABANI!$B$29)/VERI_TABANI!$B$3)*VERI_TABANI!$B$5 + ((VERI_TABANI!$D$29*C618/VERI_TABANI!$B$29)/VERI_TABANI!$B$4)*VERI_TABANI!$B$6 + IF(ISNUMBER(SEARCH("Var", D618)), (VERI_TABANI!$F$29/VERI_TABANI!$B$29)*(VERI_TABANI!$B$10+VERI_TABANI!$B$12), 0)</f>
        <v/>
      </c>
      <c r="G618" s="168">
        <f>(((MIN(VERI_TABANI!D23, VERI_TABANI!D23*B618)*VERI_TABANI!$B$7 + MAX(0, VERI_TABANI!D23*B618-VERI_TABANI!D23)*VERI_TABANI!$B$8) + (MIN(MAX(0, VERI_TABANI!D23-VERI_TABANI!D23*B618), VERI_TABANI!D23*C618)*VERI_TABANI!$B$7 + MAX(0, VERI_TABANI!D23*C618-MAX(0, VERI_TABANI!D23-VERI_TABANI!D23*B618))*VERI_TABANI!$B$8) + IF(ABS(IF(ISNUMBER(SEARCH("Var", D618)), 1, IF(ISNUMBER(SEARCH("Gri", D618)), -1, 0)))=1, VERI_TABANI!E23*(1-0.928)*VERI_TABANI!$B$9, 0) + (VERI_TABANI!D23*B618*(VERI_TABANI!$B$13-VERI_TABANI!$B$14)*VERI_TABANI!G23) + (VERI_TABANI!D23*C618*(VERI_TABANI!$B$13-VERI_TABANI!$B$15)*VERI_TABANI!G23) + IF(ABS(IF(ISNUMBER(SEARCH("Var", D618)), 1, IF(ISNUMBER(SEARCH("Gri", D618)), -1, 0)))=1, VERI_TABANI!E23*(1-0.928)*0.00206091519919798*VERI_TABANI!G23, 0)) + ((MIN(VERI_TABANI!D24, VERI_TABANI!D24*B618)*VERI_TABANI!$B$7 + MAX(0, VERI_TABANI!D24*B618-VERI_TABANI!D24)*VERI_TABANI!$B$8) + (MIN(MAX(0, VERI_TABANI!D24-VERI_TABANI!D24*B618), VERI_TABANI!D24*C618)*VERI_TABANI!$B$7 + MAX(0, VERI_TABANI!D24*C618-MAX(0, VERI_TABANI!D24-VERI_TABANI!D24*B618))*VERI_TABANI!$B$8) + IF(ABS(IF(ISNUMBER(SEARCH("Var", D618)), 1, IF(ISNUMBER(SEARCH("Gri", D618)), -1, 0)))=1, VERI_TABANI!E24*(1-0.928)*VERI_TABANI!$B$9, 0) + (VERI_TABANI!D24*B618*(VERI_TABANI!$B$13-VERI_TABANI!$B$14)*VERI_TABANI!G24) + (VERI_TABANI!D24*C618*(VERI_TABANI!$B$13-VERI_TABANI!$B$15)*VERI_TABANI!G24) + IF(ABS(IF(ISNUMBER(SEARCH("Var", D618)), 1, IF(ISNUMBER(SEARCH("Gri", D618)), -1, 0)))=1, VERI_TABANI!E24*(1-0.928)*0.00206091519919798*VERI_TABANI!G24, 0)) + ((MIN(VERI_TABANI!D25, VERI_TABANI!D25*B618)*VERI_TABANI!$B$7 + MAX(0, VERI_TABANI!D25*B618-VERI_TABANI!D25)*VERI_TABANI!$B$8) + (MIN(MAX(0, VERI_TABANI!D25-VERI_TABANI!D25*B618), VERI_TABANI!D25*C618)*VERI_TABANI!$B$7 + MAX(0, VERI_TABANI!D25*C618-MAX(0, VERI_TABANI!D25-VERI_TABANI!D25*B618))*VERI_TABANI!$B$8) + IF(ABS(IF(ISNUMBER(SEARCH("Var", D618)), 1, IF(ISNUMBER(SEARCH("Gri", D618)), -1, 0)))=1, VERI_TABANI!E25*(1-0.928)*VERI_TABANI!$B$9, 0) + (VERI_TABANI!D25*B618*(VERI_TABANI!$B$13-VERI_TABANI!$B$14)*VERI_TABANI!G25) + (VERI_TABANI!D25*C618*(VERI_TABANI!$B$13-VERI_TABANI!$B$15)*VERI_TABANI!G25) + IF(ABS(IF(ISNUMBER(SEARCH("Var", D618)), 1, IF(ISNUMBER(SEARCH("Gri", D618)), -1, 0)))=1, VERI_TABANI!E25*(1-0.928)*0.00206091519919798*VERI_TABANI!G25, 0)) + ((MIN(VERI_TABANI!D26, VERI_TABANI!D26*B618)*VERI_TABANI!$B$7 + MAX(0, VERI_TABANI!D26*B618-VERI_TABANI!D26)*VERI_TABANI!$B$8) + (MIN(MAX(0, VERI_TABANI!D26-VERI_TABANI!D26*B618), VERI_TABANI!D26*C618)*VERI_TABANI!$B$7 + MAX(0, VERI_TABANI!D26*C618-MAX(0, VERI_TABANI!D26-VERI_TABANI!D26*B618))*VERI_TABANI!$B$8) + IF(ABS(IF(ISNUMBER(SEARCH("Var", D618)), 1, IF(ISNUMBER(SEARCH("Gri", D618)), -1, 0)))=1, VERI_TABANI!E26*(1-0.928)*VERI_TABANI!$B$9, 0) + (VERI_TABANI!D26*B618*(VERI_TABANI!$B$13-VERI_TABANI!$B$14)*VERI_TABANI!G26) + (VERI_TABANI!D26*C618*(VERI_TABANI!$B$13-VERI_TABANI!$B$15)*VERI_TABANI!G26) + IF(ABS(IF(ISNUMBER(SEARCH("Var", D618)), 1, IF(ISNUMBER(SEARCH("Gri", D618)), -1, 0)))=1, VERI_TABANI!E26*(1-0.928)*0.00206091519919798*VERI_TABANI!G26, 0)) + ((MIN(VERI_TABANI!D27, VERI_TABANI!D27*B618)*VERI_TABANI!$B$7 + MAX(0, VERI_TABANI!D27*B618-VERI_TABANI!D27)*VERI_TABANI!$B$8) + (MIN(MAX(0, VERI_TABANI!D27-VERI_TABANI!D27*B618), VERI_TABANI!D27*C618)*VERI_TABANI!$B$7 + MAX(0, VERI_TABANI!D27*C618-MAX(0, VERI_TABANI!D27-VERI_TABANI!D27*B618))*VERI_TABANI!$B$8) + IF(ABS(IF(ISNUMBER(SEARCH("Var", D618)), 1, IF(ISNUMBER(SEARCH("Gri", D618)), -1, 0)))=1, VERI_TABANI!E27*(1-0.928)*VERI_TABANI!$B$9, 0) + (VERI_TABANI!D27*B618*(VERI_TABANI!$B$13-VERI_TABANI!$B$14)*VERI_TABANI!G27) + (VERI_TABANI!D27*C618*(VERI_TABANI!$B$13-VERI_TABANI!$B$15)*VERI_TABANI!G27) + IF(ABS(IF(ISNUMBER(SEARCH("Var", D618)), 1, IF(ISNUMBER(SEARCH("Gri", D618)), -1, 0)))=1, VERI_TABANI!E27*(1-0.928)*0.00206091519919798*VERI_TABANI!G27, 0)) + ((MIN(VERI_TABANI!D28, VERI_TABANI!D28*B618)*VERI_TABANI!$B$7 + MAX(0, VERI_TABANI!D28*B618-VERI_TABANI!D28)*VERI_TABANI!$B$8) + (MIN(MAX(0, VERI_TABANI!D28-VERI_TABANI!D28*B618), VERI_TABANI!D28*C618)*VERI_TABANI!$B$7 + MAX(0, VERI_TABANI!D28*C618-MAX(0, VERI_TABANI!D28-VERI_TABANI!D28*B618))*VERI_TABANI!$B$8) + IF(ABS(IF(ISNUMBER(SEARCH("Var", D618)), 1, IF(ISNUMBER(SEARCH("Gri", D618)), -1, 0)))=1, VERI_TABANI!E28*(1-0.928)*VERI_TABANI!$B$9, 0) + (VERI_TABANI!D28*B618*(VERI_TABANI!$B$13-VERI_TABANI!$B$14)*VERI_TABANI!G28) + (VERI_TABANI!D28*C618*(VERI_TABANI!$B$13-VERI_TABANI!$B$15)*VERI_TABANI!G28) + IF(ABS(IF(ISNUMBER(SEARCH("Var", D618)), 1, IF(ISNUMBER(SEARCH("Gri", D618)), -1, 0)))=1, VERI_TABANI!E28*(1-0.928)*0.00206091519919798*VERI_TABANI!G28, 0)))</f>
        <v/>
      </c>
      <c r="H618" s="169">
        <f>(((VERI_TABANI!D23*B618*(VERI_TABANI!$B$13-VERI_TABANI!$B$14)) + (VERI_TABANI!D23*C618*(VERI_TABANI!$B$13-VERI_TABANI!$B$15)) + IF(ISNUMBER(SEARCH("Var", D618)), VERI_TABANI!F23*(0.00202-VERI_TABANI!$B$16), IF(ISNUMBER(SEARCH("Gri", D618)), VERI_TABANI!F23*(0.00202-VERI_TABANI!$B$17), 0))) + ((VERI_TABANI!D24*B618*(VERI_TABANI!$B$13-VERI_TABANI!$B$14)) + (VERI_TABANI!D24*C618*(VERI_TABANI!$B$13-VERI_TABANI!$B$15)) + IF(ISNUMBER(SEARCH("Var", D618)), VERI_TABANI!F24*(0.00202-VERI_TABANI!$B$16), IF(ISNUMBER(SEARCH("Gri", D618)), VERI_TABANI!F24*(0.00202-VERI_TABANI!$B$17), 0))) + ((VERI_TABANI!D25*B618*(VERI_TABANI!$B$13-VERI_TABANI!$B$14)) + (VERI_TABANI!D25*C618*(VERI_TABANI!$B$13-VERI_TABANI!$B$15)) + IF(ISNUMBER(SEARCH("Var", D618)), VERI_TABANI!F25*(0.00202-VERI_TABANI!$B$16), IF(ISNUMBER(SEARCH("Gri", D618)), VERI_TABANI!F25*(0.00202-VERI_TABANI!$B$17), 0))) + ((VERI_TABANI!D26*B618*(VERI_TABANI!$B$13-VERI_TABANI!$B$14)) + (VERI_TABANI!D26*C618*(VERI_TABANI!$B$13-VERI_TABANI!$B$15)) + IF(ISNUMBER(SEARCH("Var", D618)), VERI_TABANI!F26*(0.00202-VERI_TABANI!$B$16), IF(ISNUMBER(SEARCH("Gri", D618)), VERI_TABANI!F26*(0.00202-VERI_TABANI!$B$17), 0))) + ((VERI_TABANI!D27*B618*(VERI_TABANI!$B$13-VERI_TABANI!$B$14)) + (VERI_TABANI!D27*C618*(VERI_TABANI!$B$13-VERI_TABANI!$B$15)) + IF(ISNUMBER(SEARCH("Var", D618)), VERI_TABANI!F27*(0.00202-VERI_TABANI!$B$16), IF(ISNUMBER(SEARCH("Gri", D618)), VERI_TABANI!F27*(0.00202-VERI_TABANI!$B$17), 0))) + ((VERI_TABANI!D28*B618*(VERI_TABANI!$B$13-VERI_TABANI!$B$14)) + (VERI_TABANI!D28*C618*(VERI_TABANI!$B$13-VERI_TABANI!$B$15)) + IF(ISNUMBER(SEARCH("Var", D618)), VERI_TABANI!F28*(0.00202-VERI_TABANI!$B$16), IF(ISNUMBER(SEARCH("Gri", D618)), VERI_TABANI!F28*(0.00202-VERI_TABANI!$B$17), 0))))</f>
        <v/>
      </c>
      <c r="I618" s="170">
        <f>IFERROR(((VERI_TABANI!$D$29*B618*VERI_TABANI!$B$14 + VERI_TABANI!$D$29*C618*VERI_TABANI!$B$15 + IF(ISNUMBER(SEARCH("Var", D618)), VERI_TABANI!$F$29*VERI_TABANI!$B$16, 0))) / (((VERI_TABANI!$D$29*B618 + VERI_TABANI!$D$29*C618)*VERI_TABANI!$B$13 + IF(ISNUMBER(SEARCH("Var", D618)), VERI_TABANI!$E$29*(1-0.928)*VERI_TABANI!$B$18, 0))), 0)</f>
        <v/>
      </c>
      <c r="J618" s="171">
        <f>IFERROR(F618/(G618/29), 0)</f>
        <v/>
      </c>
      <c r="K618" s="172">
        <f>IF(F618&gt;0, H618/F618, 0)</f>
        <v/>
      </c>
      <c r="L618" s="170">
        <f>IF(F618&gt;0, I618, 1000000000)</f>
        <v/>
      </c>
      <c r="M618" s="171">
        <f>ABS((B618+C618)-1)</f>
        <v/>
      </c>
      <c r="N618" s="170">
        <f>IF(F618&gt;0, (G618/29)/F618, 0)</f>
        <v/>
      </c>
      <c r="O618" s="168">
        <f>IF(AND((B618+C618)&gt;=1, ISNUMBER(SEARCH("Var", D618))), F618, 1000000000)</f>
        <v/>
      </c>
      <c r="P618" s="172">
        <f>IF(F618&gt;0, SQRT((F618/MAX(F$5:F$886))^2 + (1 - H618/MAX(H$5:H$886))^2 + (J618/MAX(J$5:J$886))^2), 1000000000)</f>
        <v/>
      </c>
      <c r="Q618" s="166">
        <f>IF(AND(ABS(B618-0.5)&lt;0.01, ABS(C618-0.5)&lt;0.01, ISNUMBER(SEARCH("Var", D618))), 1, 0)</f>
        <v/>
      </c>
      <c r="R618" s="171">
        <f>IF(F618&gt;0, J618, 1000000000)</f>
        <v/>
      </c>
      <c r="S618" s="101">
        <f>IF(AND(F618&lt;=DASHBOARD!$B$11, H618&gt;=DASHBOARD!$B$13), G618, -1000000000000)</f>
        <v/>
      </c>
      <c r="T618" s="101">
        <f>IF(AND(F618&lt;=DASHBOARD!$B$11, H618&gt;=DASHBOARD!$B$13), R618, 1000000000000)</f>
        <v/>
      </c>
      <c r="U618" s="101">
        <f>IF(AND(F618&lt;=DASHBOARD!$B$11, H618&gt;=DASHBOARD!$B$13), N618, -1000000000000)</f>
        <v/>
      </c>
      <c r="V618" s="101">
        <f>IF(AND(F618&lt;=DASHBOARD!$B$11, H618&gt;=DASHBOARD!$B$13), H618, -1000000000000)</f>
        <v/>
      </c>
      <c r="W618" s="101">
        <f>IF(AND(F618&lt;=DASHBOARD!$B$11, H618&gt;=DASHBOARD!$B$13), K618, -1000000000000)</f>
        <v/>
      </c>
      <c r="X618" s="101">
        <f>IF(AND(F618&lt;=DASHBOARD!$B$11, H618&gt;=DASHBOARD!$B$13), M618, 1000000000000)</f>
        <v/>
      </c>
      <c r="Y618" s="101">
        <f>IF(AND(F618&lt;=DASHBOARD!$B$10, H618&gt;=DASHBOARD!$B$11), L618, 1000000000000)</f>
        <v/>
      </c>
      <c r="Z618" s="101">
        <f>IF(AND(F618&lt;=DASHBOARD!$B$10, H618&gt;=DASHBOARD!$B$11), O618, 1000000000000)</f>
        <v/>
      </c>
      <c r="AA618" s="101">
        <f>IF(AND(F618&lt;=DASHBOARD!$B$10, H618&gt;=DASHBOARD!$B$11), P618, 1000000000000)</f>
        <v/>
      </c>
      <c r="AB618" s="101">
        <f>IF(AND(F618&lt;=DASHBOARD!$B$10, H618&gt;=DASHBOARD!$B$11), Q618, -1000000000000)</f>
        <v/>
      </c>
    </row>
    <row r="619" ht="15" customHeight="1" s="102">
      <c r="A619" s="166" t="n">
        <v>615</v>
      </c>
      <c r="B619" s="167" t="n">
        <v>1.4</v>
      </c>
      <c r="C619" s="167" t="n">
        <v>1.3</v>
      </c>
      <c r="D619" s="110" t="inlineStr">
        <is>
          <t>Yok (%0)</t>
        </is>
      </c>
      <c r="E619" s="110">
        <f>IF((B619+C619)&lt;=1, "Tam Mahsuplaşma (≤%100)", "Kısmi Satış (&gt;%100)")</f>
        <v/>
      </c>
      <c r="F619" s="168">
        <f>((VERI_TABANI!$D$29*B619/VERI_TABANI!$B$29)/VERI_TABANI!$B$3)*VERI_TABANI!$B$5 + ((VERI_TABANI!$D$29*C619/VERI_TABANI!$B$29)/VERI_TABANI!$B$4)*VERI_TABANI!$B$6 + IF(ISNUMBER(SEARCH("Var", D619)), (VERI_TABANI!$F$29/VERI_TABANI!$B$29)*(VERI_TABANI!$B$10+VERI_TABANI!$B$12), 0)</f>
        <v/>
      </c>
      <c r="G619" s="168">
        <f>(((MIN(VERI_TABANI!D23, VERI_TABANI!D23*B619)*VERI_TABANI!$B$7 + MAX(0, VERI_TABANI!D23*B619-VERI_TABANI!D23)*VERI_TABANI!$B$8) + (MIN(MAX(0, VERI_TABANI!D23-VERI_TABANI!D23*B619), VERI_TABANI!D23*C619)*VERI_TABANI!$B$7 + MAX(0, VERI_TABANI!D23*C619-MAX(0, VERI_TABANI!D23-VERI_TABANI!D23*B619))*VERI_TABANI!$B$8) + IF(ABS(IF(ISNUMBER(SEARCH("Var", D619)), 1, IF(ISNUMBER(SEARCH("Gri", D619)), -1, 0)))=1, VERI_TABANI!E23*(1-0.928)*VERI_TABANI!$B$9, 0) + (VERI_TABANI!D23*B619*(VERI_TABANI!$B$13-VERI_TABANI!$B$14)*VERI_TABANI!G23) + (VERI_TABANI!D23*C619*(VERI_TABANI!$B$13-VERI_TABANI!$B$15)*VERI_TABANI!G23) + IF(ABS(IF(ISNUMBER(SEARCH("Var", D619)), 1, IF(ISNUMBER(SEARCH("Gri", D619)), -1, 0)))=1, VERI_TABANI!E23*(1-0.928)*0.00206091519919798*VERI_TABANI!G23, 0)) + ((MIN(VERI_TABANI!D24, VERI_TABANI!D24*B619)*VERI_TABANI!$B$7 + MAX(0, VERI_TABANI!D24*B619-VERI_TABANI!D24)*VERI_TABANI!$B$8) + (MIN(MAX(0, VERI_TABANI!D24-VERI_TABANI!D24*B619), VERI_TABANI!D24*C619)*VERI_TABANI!$B$7 + MAX(0, VERI_TABANI!D24*C619-MAX(0, VERI_TABANI!D24-VERI_TABANI!D24*B619))*VERI_TABANI!$B$8) + IF(ABS(IF(ISNUMBER(SEARCH("Var", D619)), 1, IF(ISNUMBER(SEARCH("Gri", D619)), -1, 0)))=1, VERI_TABANI!E24*(1-0.928)*VERI_TABANI!$B$9, 0) + (VERI_TABANI!D24*B619*(VERI_TABANI!$B$13-VERI_TABANI!$B$14)*VERI_TABANI!G24) + (VERI_TABANI!D24*C619*(VERI_TABANI!$B$13-VERI_TABANI!$B$15)*VERI_TABANI!G24) + IF(ABS(IF(ISNUMBER(SEARCH("Var", D619)), 1, IF(ISNUMBER(SEARCH("Gri", D619)), -1, 0)))=1, VERI_TABANI!E24*(1-0.928)*0.00206091519919798*VERI_TABANI!G24, 0)) + ((MIN(VERI_TABANI!D25, VERI_TABANI!D25*B619)*VERI_TABANI!$B$7 + MAX(0, VERI_TABANI!D25*B619-VERI_TABANI!D25)*VERI_TABANI!$B$8) + (MIN(MAX(0, VERI_TABANI!D25-VERI_TABANI!D25*B619), VERI_TABANI!D25*C619)*VERI_TABANI!$B$7 + MAX(0, VERI_TABANI!D25*C619-MAX(0, VERI_TABANI!D25-VERI_TABANI!D25*B619))*VERI_TABANI!$B$8) + IF(ABS(IF(ISNUMBER(SEARCH("Var", D619)), 1, IF(ISNUMBER(SEARCH("Gri", D619)), -1, 0)))=1, VERI_TABANI!E25*(1-0.928)*VERI_TABANI!$B$9, 0) + (VERI_TABANI!D25*B619*(VERI_TABANI!$B$13-VERI_TABANI!$B$14)*VERI_TABANI!G25) + (VERI_TABANI!D25*C619*(VERI_TABANI!$B$13-VERI_TABANI!$B$15)*VERI_TABANI!G25) + IF(ABS(IF(ISNUMBER(SEARCH("Var", D619)), 1, IF(ISNUMBER(SEARCH("Gri", D619)), -1, 0)))=1, VERI_TABANI!E25*(1-0.928)*0.00206091519919798*VERI_TABANI!G25, 0)) + ((MIN(VERI_TABANI!D26, VERI_TABANI!D26*B619)*VERI_TABANI!$B$7 + MAX(0, VERI_TABANI!D26*B619-VERI_TABANI!D26)*VERI_TABANI!$B$8) + (MIN(MAX(0, VERI_TABANI!D26-VERI_TABANI!D26*B619), VERI_TABANI!D26*C619)*VERI_TABANI!$B$7 + MAX(0, VERI_TABANI!D26*C619-MAX(0, VERI_TABANI!D26-VERI_TABANI!D26*B619))*VERI_TABANI!$B$8) + IF(ABS(IF(ISNUMBER(SEARCH("Var", D619)), 1, IF(ISNUMBER(SEARCH("Gri", D619)), -1, 0)))=1, VERI_TABANI!E26*(1-0.928)*VERI_TABANI!$B$9, 0) + (VERI_TABANI!D26*B619*(VERI_TABANI!$B$13-VERI_TABANI!$B$14)*VERI_TABANI!G26) + (VERI_TABANI!D26*C619*(VERI_TABANI!$B$13-VERI_TABANI!$B$15)*VERI_TABANI!G26) + IF(ABS(IF(ISNUMBER(SEARCH("Var", D619)), 1, IF(ISNUMBER(SEARCH("Gri", D619)), -1, 0)))=1, VERI_TABANI!E26*(1-0.928)*0.00206091519919798*VERI_TABANI!G26, 0)) + ((MIN(VERI_TABANI!D27, VERI_TABANI!D27*B619)*VERI_TABANI!$B$7 + MAX(0, VERI_TABANI!D27*B619-VERI_TABANI!D27)*VERI_TABANI!$B$8) + (MIN(MAX(0, VERI_TABANI!D27-VERI_TABANI!D27*B619), VERI_TABANI!D27*C619)*VERI_TABANI!$B$7 + MAX(0, VERI_TABANI!D27*C619-MAX(0, VERI_TABANI!D27-VERI_TABANI!D27*B619))*VERI_TABANI!$B$8) + IF(ABS(IF(ISNUMBER(SEARCH("Var", D619)), 1, IF(ISNUMBER(SEARCH("Gri", D619)), -1, 0)))=1, VERI_TABANI!E27*(1-0.928)*VERI_TABANI!$B$9, 0) + (VERI_TABANI!D27*B619*(VERI_TABANI!$B$13-VERI_TABANI!$B$14)*VERI_TABANI!G27) + (VERI_TABANI!D27*C619*(VERI_TABANI!$B$13-VERI_TABANI!$B$15)*VERI_TABANI!G27) + IF(ABS(IF(ISNUMBER(SEARCH("Var", D619)), 1, IF(ISNUMBER(SEARCH("Gri", D619)), -1, 0)))=1, VERI_TABANI!E27*(1-0.928)*0.00206091519919798*VERI_TABANI!G27, 0)) + ((MIN(VERI_TABANI!D28, VERI_TABANI!D28*B619)*VERI_TABANI!$B$7 + MAX(0, VERI_TABANI!D28*B619-VERI_TABANI!D28)*VERI_TABANI!$B$8) + (MIN(MAX(0, VERI_TABANI!D28-VERI_TABANI!D28*B619), VERI_TABANI!D28*C619)*VERI_TABANI!$B$7 + MAX(0, VERI_TABANI!D28*C619-MAX(0, VERI_TABANI!D28-VERI_TABANI!D28*B619))*VERI_TABANI!$B$8) + IF(ABS(IF(ISNUMBER(SEARCH("Var", D619)), 1, IF(ISNUMBER(SEARCH("Gri", D619)), -1, 0)))=1, VERI_TABANI!E28*(1-0.928)*VERI_TABANI!$B$9, 0) + (VERI_TABANI!D28*B619*(VERI_TABANI!$B$13-VERI_TABANI!$B$14)*VERI_TABANI!G28) + (VERI_TABANI!D28*C619*(VERI_TABANI!$B$13-VERI_TABANI!$B$15)*VERI_TABANI!G28) + IF(ABS(IF(ISNUMBER(SEARCH("Var", D619)), 1, IF(ISNUMBER(SEARCH("Gri", D619)), -1, 0)))=1, VERI_TABANI!E28*(1-0.928)*0.00206091519919798*VERI_TABANI!G28, 0)))</f>
        <v/>
      </c>
      <c r="H619" s="169">
        <f>(((VERI_TABANI!D23*B619*(VERI_TABANI!$B$13-VERI_TABANI!$B$14)) + (VERI_TABANI!D23*C619*(VERI_TABANI!$B$13-VERI_TABANI!$B$15)) + IF(ISNUMBER(SEARCH("Var", D619)), VERI_TABANI!F23*(0.00202-VERI_TABANI!$B$16), IF(ISNUMBER(SEARCH("Gri", D619)), VERI_TABANI!F23*(0.00202-VERI_TABANI!$B$17), 0))) + ((VERI_TABANI!D24*B619*(VERI_TABANI!$B$13-VERI_TABANI!$B$14)) + (VERI_TABANI!D24*C619*(VERI_TABANI!$B$13-VERI_TABANI!$B$15)) + IF(ISNUMBER(SEARCH("Var", D619)), VERI_TABANI!F24*(0.00202-VERI_TABANI!$B$16), IF(ISNUMBER(SEARCH("Gri", D619)), VERI_TABANI!F24*(0.00202-VERI_TABANI!$B$17), 0))) + ((VERI_TABANI!D25*B619*(VERI_TABANI!$B$13-VERI_TABANI!$B$14)) + (VERI_TABANI!D25*C619*(VERI_TABANI!$B$13-VERI_TABANI!$B$15)) + IF(ISNUMBER(SEARCH("Var", D619)), VERI_TABANI!F25*(0.00202-VERI_TABANI!$B$16), IF(ISNUMBER(SEARCH("Gri", D619)), VERI_TABANI!F25*(0.00202-VERI_TABANI!$B$17), 0))) + ((VERI_TABANI!D26*B619*(VERI_TABANI!$B$13-VERI_TABANI!$B$14)) + (VERI_TABANI!D26*C619*(VERI_TABANI!$B$13-VERI_TABANI!$B$15)) + IF(ISNUMBER(SEARCH("Var", D619)), VERI_TABANI!F26*(0.00202-VERI_TABANI!$B$16), IF(ISNUMBER(SEARCH("Gri", D619)), VERI_TABANI!F26*(0.00202-VERI_TABANI!$B$17), 0))) + ((VERI_TABANI!D27*B619*(VERI_TABANI!$B$13-VERI_TABANI!$B$14)) + (VERI_TABANI!D27*C619*(VERI_TABANI!$B$13-VERI_TABANI!$B$15)) + IF(ISNUMBER(SEARCH("Var", D619)), VERI_TABANI!F27*(0.00202-VERI_TABANI!$B$16), IF(ISNUMBER(SEARCH("Gri", D619)), VERI_TABANI!F27*(0.00202-VERI_TABANI!$B$17), 0))) + ((VERI_TABANI!D28*B619*(VERI_TABANI!$B$13-VERI_TABANI!$B$14)) + (VERI_TABANI!D28*C619*(VERI_TABANI!$B$13-VERI_TABANI!$B$15)) + IF(ISNUMBER(SEARCH("Var", D619)), VERI_TABANI!F28*(0.00202-VERI_TABANI!$B$16), IF(ISNUMBER(SEARCH("Gri", D619)), VERI_TABANI!F28*(0.00202-VERI_TABANI!$B$17), 0))))</f>
        <v/>
      </c>
      <c r="I619" s="170">
        <f>IFERROR(((VERI_TABANI!$D$29*B619*VERI_TABANI!$B$14 + VERI_TABANI!$D$29*C619*VERI_TABANI!$B$15 + IF(ISNUMBER(SEARCH("Var", D619)), VERI_TABANI!$F$29*VERI_TABANI!$B$16, 0))) / (((VERI_TABANI!$D$29*B619 + VERI_TABANI!$D$29*C619)*VERI_TABANI!$B$13 + IF(ISNUMBER(SEARCH("Var", D619)), VERI_TABANI!$E$29*(1-0.928)*VERI_TABANI!$B$18, 0))), 0)</f>
        <v/>
      </c>
      <c r="J619" s="171">
        <f>IFERROR(F619/(G619/29), 0)</f>
        <v/>
      </c>
      <c r="K619" s="172">
        <f>IF(F619&gt;0, H619/F619, 0)</f>
        <v/>
      </c>
      <c r="L619" s="170">
        <f>IF(F619&gt;0, I619, 1000000000)</f>
        <v/>
      </c>
      <c r="M619" s="171">
        <f>ABS((B619+C619)-1)</f>
        <v/>
      </c>
      <c r="N619" s="170">
        <f>IF(F619&gt;0, (G619/29)/F619, 0)</f>
        <v/>
      </c>
      <c r="O619" s="168">
        <f>IF(AND((B619+C619)&gt;=1, ISNUMBER(SEARCH("Var", D619))), F619, 1000000000)</f>
        <v/>
      </c>
      <c r="P619" s="172">
        <f>IF(F619&gt;0, SQRT((F619/MAX(F$5:F$886))^2 + (1 - H619/MAX(H$5:H$886))^2 + (J619/MAX(J$5:J$886))^2), 1000000000)</f>
        <v/>
      </c>
      <c r="Q619" s="166">
        <f>IF(AND(ABS(B619-0.5)&lt;0.01, ABS(C619-0.5)&lt;0.01, ISNUMBER(SEARCH("Var", D619))), 1, 0)</f>
        <v/>
      </c>
      <c r="R619" s="171">
        <f>IF(F619&gt;0, J619, 1000000000)</f>
        <v/>
      </c>
      <c r="S619" s="101">
        <f>IF(AND(F619&lt;=DASHBOARD!$B$11, H619&gt;=DASHBOARD!$B$13), G619, -1000000000000)</f>
        <v/>
      </c>
      <c r="T619" s="101">
        <f>IF(AND(F619&lt;=DASHBOARD!$B$11, H619&gt;=DASHBOARD!$B$13), R619, 1000000000000)</f>
        <v/>
      </c>
      <c r="U619" s="101">
        <f>IF(AND(F619&lt;=DASHBOARD!$B$11, H619&gt;=DASHBOARD!$B$13), N619, -1000000000000)</f>
        <v/>
      </c>
      <c r="V619" s="101">
        <f>IF(AND(F619&lt;=DASHBOARD!$B$11, H619&gt;=DASHBOARD!$B$13), H619, -1000000000000)</f>
        <v/>
      </c>
      <c r="W619" s="101">
        <f>IF(AND(F619&lt;=DASHBOARD!$B$11, H619&gt;=DASHBOARD!$B$13), K619, -1000000000000)</f>
        <v/>
      </c>
      <c r="X619" s="101">
        <f>IF(AND(F619&lt;=DASHBOARD!$B$11, H619&gt;=DASHBOARD!$B$13), M619, 1000000000000)</f>
        <v/>
      </c>
      <c r="Y619" s="101">
        <f>IF(AND(F619&lt;=DASHBOARD!$B$10, H619&gt;=DASHBOARD!$B$11), L619, 1000000000000)</f>
        <v/>
      </c>
      <c r="Z619" s="101">
        <f>IF(AND(F619&lt;=DASHBOARD!$B$10, H619&gt;=DASHBOARD!$B$11), O619, 1000000000000)</f>
        <v/>
      </c>
      <c r="AA619" s="101">
        <f>IF(AND(F619&lt;=DASHBOARD!$B$10, H619&gt;=DASHBOARD!$B$11), P619, 1000000000000)</f>
        <v/>
      </c>
      <c r="AB619" s="101">
        <f>IF(AND(F619&lt;=DASHBOARD!$B$10, H619&gt;=DASHBOARD!$B$11), Q619, -1000000000000)</f>
        <v/>
      </c>
    </row>
    <row r="620" ht="15" customHeight="1" s="102">
      <c r="A620" s="166" t="n">
        <v>616</v>
      </c>
      <c r="B620" s="167" t="n">
        <v>1.4</v>
      </c>
      <c r="C620" s="167" t="n">
        <v>1.3</v>
      </c>
      <c r="D620" s="110" t="inlineStr">
        <is>
          <t>Var (%20)</t>
        </is>
      </c>
      <c r="E620" s="110">
        <f>IF((B620+C620)&lt;=1, "Tam Mahsuplaşma (≤%100)", "Kısmi Satış (&gt;%100)")</f>
        <v/>
      </c>
      <c r="F620" s="168">
        <f>((VERI_TABANI!$D$29*B620/VERI_TABANI!$B$29)/VERI_TABANI!$B$3)*VERI_TABANI!$B$5 + ((VERI_TABANI!$D$29*C620/VERI_TABANI!$B$29)/VERI_TABANI!$B$4)*VERI_TABANI!$B$6 + IF(ISNUMBER(SEARCH("Var", D620)), (VERI_TABANI!$F$29/VERI_TABANI!$B$29)*(VERI_TABANI!$B$10+VERI_TABANI!$B$12), 0)</f>
        <v/>
      </c>
      <c r="G620" s="168">
        <f>(((MIN(VERI_TABANI!D23, VERI_TABANI!D23*B620)*VERI_TABANI!$B$7 + MAX(0, VERI_TABANI!D23*B620-VERI_TABANI!D23)*VERI_TABANI!$B$8) + (MIN(MAX(0, VERI_TABANI!D23-VERI_TABANI!D23*B620), VERI_TABANI!D23*C620)*VERI_TABANI!$B$7 + MAX(0, VERI_TABANI!D23*C620-MAX(0, VERI_TABANI!D23-VERI_TABANI!D23*B620))*VERI_TABANI!$B$8) + IF(ABS(IF(ISNUMBER(SEARCH("Var", D620)), 1, IF(ISNUMBER(SEARCH("Gri", D620)), -1, 0)))=1, VERI_TABANI!E23*(1-0.928)*VERI_TABANI!$B$9, 0) + (VERI_TABANI!D23*B620*(VERI_TABANI!$B$13-VERI_TABANI!$B$14)*VERI_TABANI!G23) + (VERI_TABANI!D23*C620*(VERI_TABANI!$B$13-VERI_TABANI!$B$15)*VERI_TABANI!G23) + IF(ABS(IF(ISNUMBER(SEARCH("Var", D620)), 1, IF(ISNUMBER(SEARCH("Gri", D620)), -1, 0)))=1, VERI_TABANI!E23*(1-0.928)*0.00206091519919798*VERI_TABANI!G23, 0)) + ((MIN(VERI_TABANI!D24, VERI_TABANI!D24*B620)*VERI_TABANI!$B$7 + MAX(0, VERI_TABANI!D24*B620-VERI_TABANI!D24)*VERI_TABANI!$B$8) + (MIN(MAX(0, VERI_TABANI!D24-VERI_TABANI!D24*B620), VERI_TABANI!D24*C620)*VERI_TABANI!$B$7 + MAX(0, VERI_TABANI!D24*C620-MAX(0, VERI_TABANI!D24-VERI_TABANI!D24*B620))*VERI_TABANI!$B$8) + IF(ABS(IF(ISNUMBER(SEARCH("Var", D620)), 1, IF(ISNUMBER(SEARCH("Gri", D620)), -1, 0)))=1, VERI_TABANI!E24*(1-0.928)*VERI_TABANI!$B$9, 0) + (VERI_TABANI!D24*B620*(VERI_TABANI!$B$13-VERI_TABANI!$B$14)*VERI_TABANI!G24) + (VERI_TABANI!D24*C620*(VERI_TABANI!$B$13-VERI_TABANI!$B$15)*VERI_TABANI!G24) + IF(ABS(IF(ISNUMBER(SEARCH("Var", D620)), 1, IF(ISNUMBER(SEARCH("Gri", D620)), -1, 0)))=1, VERI_TABANI!E24*(1-0.928)*0.00206091519919798*VERI_TABANI!G24, 0)) + ((MIN(VERI_TABANI!D25, VERI_TABANI!D25*B620)*VERI_TABANI!$B$7 + MAX(0, VERI_TABANI!D25*B620-VERI_TABANI!D25)*VERI_TABANI!$B$8) + (MIN(MAX(0, VERI_TABANI!D25-VERI_TABANI!D25*B620), VERI_TABANI!D25*C620)*VERI_TABANI!$B$7 + MAX(0, VERI_TABANI!D25*C620-MAX(0, VERI_TABANI!D25-VERI_TABANI!D25*B620))*VERI_TABANI!$B$8) + IF(ABS(IF(ISNUMBER(SEARCH("Var", D620)), 1, IF(ISNUMBER(SEARCH("Gri", D620)), -1, 0)))=1, VERI_TABANI!E25*(1-0.928)*VERI_TABANI!$B$9, 0) + (VERI_TABANI!D25*B620*(VERI_TABANI!$B$13-VERI_TABANI!$B$14)*VERI_TABANI!G25) + (VERI_TABANI!D25*C620*(VERI_TABANI!$B$13-VERI_TABANI!$B$15)*VERI_TABANI!G25) + IF(ABS(IF(ISNUMBER(SEARCH("Var", D620)), 1, IF(ISNUMBER(SEARCH("Gri", D620)), -1, 0)))=1, VERI_TABANI!E25*(1-0.928)*0.00206091519919798*VERI_TABANI!G25, 0)) + ((MIN(VERI_TABANI!D26, VERI_TABANI!D26*B620)*VERI_TABANI!$B$7 + MAX(0, VERI_TABANI!D26*B620-VERI_TABANI!D26)*VERI_TABANI!$B$8) + (MIN(MAX(0, VERI_TABANI!D26-VERI_TABANI!D26*B620), VERI_TABANI!D26*C620)*VERI_TABANI!$B$7 + MAX(0, VERI_TABANI!D26*C620-MAX(0, VERI_TABANI!D26-VERI_TABANI!D26*B620))*VERI_TABANI!$B$8) + IF(ABS(IF(ISNUMBER(SEARCH("Var", D620)), 1, IF(ISNUMBER(SEARCH("Gri", D620)), -1, 0)))=1, VERI_TABANI!E26*(1-0.928)*VERI_TABANI!$B$9, 0) + (VERI_TABANI!D26*B620*(VERI_TABANI!$B$13-VERI_TABANI!$B$14)*VERI_TABANI!G26) + (VERI_TABANI!D26*C620*(VERI_TABANI!$B$13-VERI_TABANI!$B$15)*VERI_TABANI!G26) + IF(ABS(IF(ISNUMBER(SEARCH("Var", D620)), 1, IF(ISNUMBER(SEARCH("Gri", D620)), -1, 0)))=1, VERI_TABANI!E26*(1-0.928)*0.00206091519919798*VERI_TABANI!G26, 0)) + ((MIN(VERI_TABANI!D27, VERI_TABANI!D27*B620)*VERI_TABANI!$B$7 + MAX(0, VERI_TABANI!D27*B620-VERI_TABANI!D27)*VERI_TABANI!$B$8) + (MIN(MAX(0, VERI_TABANI!D27-VERI_TABANI!D27*B620), VERI_TABANI!D27*C620)*VERI_TABANI!$B$7 + MAX(0, VERI_TABANI!D27*C620-MAX(0, VERI_TABANI!D27-VERI_TABANI!D27*B620))*VERI_TABANI!$B$8) + IF(ABS(IF(ISNUMBER(SEARCH("Var", D620)), 1, IF(ISNUMBER(SEARCH("Gri", D620)), -1, 0)))=1, VERI_TABANI!E27*(1-0.928)*VERI_TABANI!$B$9, 0) + (VERI_TABANI!D27*B620*(VERI_TABANI!$B$13-VERI_TABANI!$B$14)*VERI_TABANI!G27) + (VERI_TABANI!D27*C620*(VERI_TABANI!$B$13-VERI_TABANI!$B$15)*VERI_TABANI!G27) + IF(ABS(IF(ISNUMBER(SEARCH("Var", D620)), 1, IF(ISNUMBER(SEARCH("Gri", D620)), -1, 0)))=1, VERI_TABANI!E27*(1-0.928)*0.00206091519919798*VERI_TABANI!G27, 0)) + ((MIN(VERI_TABANI!D28, VERI_TABANI!D28*B620)*VERI_TABANI!$B$7 + MAX(0, VERI_TABANI!D28*B620-VERI_TABANI!D28)*VERI_TABANI!$B$8) + (MIN(MAX(0, VERI_TABANI!D28-VERI_TABANI!D28*B620), VERI_TABANI!D28*C620)*VERI_TABANI!$B$7 + MAX(0, VERI_TABANI!D28*C620-MAX(0, VERI_TABANI!D28-VERI_TABANI!D28*B620))*VERI_TABANI!$B$8) + IF(ABS(IF(ISNUMBER(SEARCH("Var", D620)), 1, IF(ISNUMBER(SEARCH("Gri", D620)), -1, 0)))=1, VERI_TABANI!E28*(1-0.928)*VERI_TABANI!$B$9, 0) + (VERI_TABANI!D28*B620*(VERI_TABANI!$B$13-VERI_TABANI!$B$14)*VERI_TABANI!G28) + (VERI_TABANI!D28*C620*(VERI_TABANI!$B$13-VERI_TABANI!$B$15)*VERI_TABANI!G28) + IF(ABS(IF(ISNUMBER(SEARCH("Var", D620)), 1, IF(ISNUMBER(SEARCH("Gri", D620)), -1, 0)))=1, VERI_TABANI!E28*(1-0.928)*0.00206091519919798*VERI_TABANI!G28, 0)))</f>
        <v/>
      </c>
      <c r="H620" s="169">
        <f>(((VERI_TABANI!D23*B620*(VERI_TABANI!$B$13-VERI_TABANI!$B$14)) + (VERI_TABANI!D23*C620*(VERI_TABANI!$B$13-VERI_TABANI!$B$15)) + IF(ISNUMBER(SEARCH("Var", D620)), VERI_TABANI!F23*(0.00202-VERI_TABANI!$B$16), IF(ISNUMBER(SEARCH("Gri", D620)), VERI_TABANI!F23*(0.00202-VERI_TABANI!$B$17), 0))) + ((VERI_TABANI!D24*B620*(VERI_TABANI!$B$13-VERI_TABANI!$B$14)) + (VERI_TABANI!D24*C620*(VERI_TABANI!$B$13-VERI_TABANI!$B$15)) + IF(ISNUMBER(SEARCH("Var", D620)), VERI_TABANI!F24*(0.00202-VERI_TABANI!$B$16), IF(ISNUMBER(SEARCH("Gri", D620)), VERI_TABANI!F24*(0.00202-VERI_TABANI!$B$17), 0))) + ((VERI_TABANI!D25*B620*(VERI_TABANI!$B$13-VERI_TABANI!$B$14)) + (VERI_TABANI!D25*C620*(VERI_TABANI!$B$13-VERI_TABANI!$B$15)) + IF(ISNUMBER(SEARCH("Var", D620)), VERI_TABANI!F25*(0.00202-VERI_TABANI!$B$16), IF(ISNUMBER(SEARCH("Gri", D620)), VERI_TABANI!F25*(0.00202-VERI_TABANI!$B$17), 0))) + ((VERI_TABANI!D26*B620*(VERI_TABANI!$B$13-VERI_TABANI!$B$14)) + (VERI_TABANI!D26*C620*(VERI_TABANI!$B$13-VERI_TABANI!$B$15)) + IF(ISNUMBER(SEARCH("Var", D620)), VERI_TABANI!F26*(0.00202-VERI_TABANI!$B$16), IF(ISNUMBER(SEARCH("Gri", D620)), VERI_TABANI!F26*(0.00202-VERI_TABANI!$B$17), 0))) + ((VERI_TABANI!D27*B620*(VERI_TABANI!$B$13-VERI_TABANI!$B$14)) + (VERI_TABANI!D27*C620*(VERI_TABANI!$B$13-VERI_TABANI!$B$15)) + IF(ISNUMBER(SEARCH("Var", D620)), VERI_TABANI!F27*(0.00202-VERI_TABANI!$B$16), IF(ISNUMBER(SEARCH("Gri", D620)), VERI_TABANI!F27*(0.00202-VERI_TABANI!$B$17), 0))) + ((VERI_TABANI!D28*B620*(VERI_TABANI!$B$13-VERI_TABANI!$B$14)) + (VERI_TABANI!D28*C620*(VERI_TABANI!$B$13-VERI_TABANI!$B$15)) + IF(ISNUMBER(SEARCH("Var", D620)), VERI_TABANI!F28*(0.00202-VERI_TABANI!$B$16), IF(ISNUMBER(SEARCH("Gri", D620)), VERI_TABANI!F28*(0.00202-VERI_TABANI!$B$17), 0))))</f>
        <v/>
      </c>
      <c r="I620" s="170">
        <f>IFERROR(((VERI_TABANI!$D$29*B620*VERI_TABANI!$B$14 + VERI_TABANI!$D$29*C620*VERI_TABANI!$B$15 + IF(ISNUMBER(SEARCH("Var", D620)), VERI_TABANI!$F$29*VERI_TABANI!$B$16, 0))) / (((VERI_TABANI!$D$29*B620 + VERI_TABANI!$D$29*C620)*VERI_TABANI!$B$13 + IF(ISNUMBER(SEARCH("Var", D620)), VERI_TABANI!$E$29*(1-0.928)*VERI_TABANI!$B$18, 0))), 0)</f>
        <v/>
      </c>
      <c r="J620" s="171">
        <f>IFERROR(F620/(G620/29), 0)</f>
        <v/>
      </c>
      <c r="K620" s="172">
        <f>IF(F620&gt;0, H620/F620, 0)</f>
        <v/>
      </c>
      <c r="L620" s="170">
        <f>IF(F620&gt;0, I620, 1000000000)</f>
        <v/>
      </c>
      <c r="M620" s="171">
        <f>ABS((B620+C620)-1)</f>
        <v/>
      </c>
      <c r="N620" s="170">
        <f>IF(F620&gt;0, (G620/29)/F620, 0)</f>
        <v/>
      </c>
      <c r="O620" s="168">
        <f>IF(AND((B620+C620)&gt;=1, ISNUMBER(SEARCH("Var", D620))), F620, 1000000000)</f>
        <v/>
      </c>
      <c r="P620" s="172">
        <f>IF(F620&gt;0, SQRT((F620/MAX(F$5:F$886))^2 + (1 - H620/MAX(H$5:H$886))^2 + (J620/MAX(J$5:J$886))^2), 1000000000)</f>
        <v/>
      </c>
      <c r="Q620" s="166">
        <f>IF(AND(ABS(B620-0.5)&lt;0.01, ABS(C620-0.5)&lt;0.01, ISNUMBER(SEARCH("Var", D620))), 1, 0)</f>
        <v/>
      </c>
      <c r="R620" s="171">
        <f>IF(F620&gt;0, J620, 1000000000)</f>
        <v/>
      </c>
      <c r="S620" s="101">
        <f>IF(AND(F620&lt;=DASHBOARD!$B$11, H620&gt;=DASHBOARD!$B$13), G620, -1000000000000)</f>
        <v/>
      </c>
      <c r="T620" s="101">
        <f>IF(AND(F620&lt;=DASHBOARD!$B$11, H620&gt;=DASHBOARD!$B$13), R620, 1000000000000)</f>
        <v/>
      </c>
      <c r="U620" s="101">
        <f>IF(AND(F620&lt;=DASHBOARD!$B$11, H620&gt;=DASHBOARD!$B$13), N620, -1000000000000)</f>
        <v/>
      </c>
      <c r="V620" s="101">
        <f>IF(AND(F620&lt;=DASHBOARD!$B$11, H620&gt;=DASHBOARD!$B$13), H620, -1000000000000)</f>
        <v/>
      </c>
      <c r="W620" s="101">
        <f>IF(AND(F620&lt;=DASHBOARD!$B$11, H620&gt;=DASHBOARD!$B$13), K620, -1000000000000)</f>
        <v/>
      </c>
      <c r="X620" s="101">
        <f>IF(AND(F620&lt;=DASHBOARD!$B$11, H620&gt;=DASHBOARD!$B$13), M620, 1000000000000)</f>
        <v/>
      </c>
      <c r="Y620" s="101">
        <f>IF(AND(F620&lt;=DASHBOARD!$B$10, H620&gt;=DASHBOARD!$B$11), L620, 1000000000000)</f>
        <v/>
      </c>
      <c r="Z620" s="101">
        <f>IF(AND(F620&lt;=DASHBOARD!$B$10, H620&gt;=DASHBOARD!$B$11), O620, 1000000000000)</f>
        <v/>
      </c>
      <c r="AA620" s="101">
        <f>IF(AND(F620&lt;=DASHBOARD!$B$10, H620&gt;=DASHBOARD!$B$11), P620, 1000000000000)</f>
        <v/>
      </c>
      <c r="AB620" s="101">
        <f>IF(AND(F620&lt;=DASHBOARD!$B$10, H620&gt;=DASHBOARD!$B$11), Q620, -1000000000000)</f>
        <v/>
      </c>
    </row>
    <row r="621" ht="15" customHeight="1" s="102">
      <c r="A621" s="166" t="n">
        <v>617</v>
      </c>
      <c r="B621" s="167" t="n">
        <v>1.4</v>
      </c>
      <c r="C621" s="167" t="n">
        <v>1.4</v>
      </c>
      <c r="D621" s="110" t="inlineStr">
        <is>
          <t>Yok (%0)</t>
        </is>
      </c>
      <c r="E621" s="110">
        <f>IF((B621+C621)&lt;=1, "Tam Mahsuplaşma (≤%100)", "Kısmi Satış (&gt;%100)")</f>
        <v/>
      </c>
      <c r="F621" s="168">
        <f>((VERI_TABANI!$D$29*B621/VERI_TABANI!$B$29)/VERI_TABANI!$B$3)*VERI_TABANI!$B$5 + ((VERI_TABANI!$D$29*C621/VERI_TABANI!$B$29)/VERI_TABANI!$B$4)*VERI_TABANI!$B$6 + IF(ISNUMBER(SEARCH("Var", D621)), (VERI_TABANI!$F$29/VERI_TABANI!$B$29)*(VERI_TABANI!$B$10+VERI_TABANI!$B$12), 0)</f>
        <v/>
      </c>
      <c r="G621" s="168">
        <f>(((MIN(VERI_TABANI!D23, VERI_TABANI!D23*B621)*VERI_TABANI!$B$7 + MAX(0, VERI_TABANI!D23*B621-VERI_TABANI!D23)*VERI_TABANI!$B$8) + (MIN(MAX(0, VERI_TABANI!D23-VERI_TABANI!D23*B621), VERI_TABANI!D23*C621)*VERI_TABANI!$B$7 + MAX(0, VERI_TABANI!D23*C621-MAX(0, VERI_TABANI!D23-VERI_TABANI!D23*B621))*VERI_TABANI!$B$8) + IF(ABS(IF(ISNUMBER(SEARCH("Var", D621)), 1, IF(ISNUMBER(SEARCH("Gri", D621)), -1, 0)))=1, VERI_TABANI!E23*(1-0.928)*VERI_TABANI!$B$9, 0) + (VERI_TABANI!D23*B621*(VERI_TABANI!$B$13-VERI_TABANI!$B$14)*VERI_TABANI!G23) + (VERI_TABANI!D23*C621*(VERI_TABANI!$B$13-VERI_TABANI!$B$15)*VERI_TABANI!G23) + IF(ABS(IF(ISNUMBER(SEARCH("Var", D621)), 1, IF(ISNUMBER(SEARCH("Gri", D621)), -1, 0)))=1, VERI_TABANI!E23*(1-0.928)*0.00206091519919798*VERI_TABANI!G23, 0)) + ((MIN(VERI_TABANI!D24, VERI_TABANI!D24*B621)*VERI_TABANI!$B$7 + MAX(0, VERI_TABANI!D24*B621-VERI_TABANI!D24)*VERI_TABANI!$B$8) + (MIN(MAX(0, VERI_TABANI!D24-VERI_TABANI!D24*B621), VERI_TABANI!D24*C621)*VERI_TABANI!$B$7 + MAX(0, VERI_TABANI!D24*C621-MAX(0, VERI_TABANI!D24-VERI_TABANI!D24*B621))*VERI_TABANI!$B$8) + IF(ABS(IF(ISNUMBER(SEARCH("Var", D621)), 1, IF(ISNUMBER(SEARCH("Gri", D621)), -1, 0)))=1, VERI_TABANI!E24*(1-0.928)*VERI_TABANI!$B$9, 0) + (VERI_TABANI!D24*B621*(VERI_TABANI!$B$13-VERI_TABANI!$B$14)*VERI_TABANI!G24) + (VERI_TABANI!D24*C621*(VERI_TABANI!$B$13-VERI_TABANI!$B$15)*VERI_TABANI!G24) + IF(ABS(IF(ISNUMBER(SEARCH("Var", D621)), 1, IF(ISNUMBER(SEARCH("Gri", D621)), -1, 0)))=1, VERI_TABANI!E24*(1-0.928)*0.00206091519919798*VERI_TABANI!G24, 0)) + ((MIN(VERI_TABANI!D25, VERI_TABANI!D25*B621)*VERI_TABANI!$B$7 + MAX(0, VERI_TABANI!D25*B621-VERI_TABANI!D25)*VERI_TABANI!$B$8) + (MIN(MAX(0, VERI_TABANI!D25-VERI_TABANI!D25*B621), VERI_TABANI!D25*C621)*VERI_TABANI!$B$7 + MAX(0, VERI_TABANI!D25*C621-MAX(0, VERI_TABANI!D25-VERI_TABANI!D25*B621))*VERI_TABANI!$B$8) + IF(ABS(IF(ISNUMBER(SEARCH("Var", D621)), 1, IF(ISNUMBER(SEARCH("Gri", D621)), -1, 0)))=1, VERI_TABANI!E25*(1-0.928)*VERI_TABANI!$B$9, 0) + (VERI_TABANI!D25*B621*(VERI_TABANI!$B$13-VERI_TABANI!$B$14)*VERI_TABANI!G25) + (VERI_TABANI!D25*C621*(VERI_TABANI!$B$13-VERI_TABANI!$B$15)*VERI_TABANI!G25) + IF(ABS(IF(ISNUMBER(SEARCH("Var", D621)), 1, IF(ISNUMBER(SEARCH("Gri", D621)), -1, 0)))=1, VERI_TABANI!E25*(1-0.928)*0.00206091519919798*VERI_TABANI!G25, 0)) + ((MIN(VERI_TABANI!D26, VERI_TABANI!D26*B621)*VERI_TABANI!$B$7 + MAX(0, VERI_TABANI!D26*B621-VERI_TABANI!D26)*VERI_TABANI!$B$8) + (MIN(MAX(0, VERI_TABANI!D26-VERI_TABANI!D26*B621), VERI_TABANI!D26*C621)*VERI_TABANI!$B$7 + MAX(0, VERI_TABANI!D26*C621-MAX(0, VERI_TABANI!D26-VERI_TABANI!D26*B621))*VERI_TABANI!$B$8) + IF(ABS(IF(ISNUMBER(SEARCH("Var", D621)), 1, IF(ISNUMBER(SEARCH("Gri", D621)), -1, 0)))=1, VERI_TABANI!E26*(1-0.928)*VERI_TABANI!$B$9, 0) + (VERI_TABANI!D26*B621*(VERI_TABANI!$B$13-VERI_TABANI!$B$14)*VERI_TABANI!G26) + (VERI_TABANI!D26*C621*(VERI_TABANI!$B$13-VERI_TABANI!$B$15)*VERI_TABANI!G26) + IF(ABS(IF(ISNUMBER(SEARCH("Var", D621)), 1, IF(ISNUMBER(SEARCH("Gri", D621)), -1, 0)))=1, VERI_TABANI!E26*(1-0.928)*0.00206091519919798*VERI_TABANI!G26, 0)) + ((MIN(VERI_TABANI!D27, VERI_TABANI!D27*B621)*VERI_TABANI!$B$7 + MAX(0, VERI_TABANI!D27*B621-VERI_TABANI!D27)*VERI_TABANI!$B$8) + (MIN(MAX(0, VERI_TABANI!D27-VERI_TABANI!D27*B621), VERI_TABANI!D27*C621)*VERI_TABANI!$B$7 + MAX(0, VERI_TABANI!D27*C621-MAX(0, VERI_TABANI!D27-VERI_TABANI!D27*B621))*VERI_TABANI!$B$8) + IF(ABS(IF(ISNUMBER(SEARCH("Var", D621)), 1, IF(ISNUMBER(SEARCH("Gri", D621)), -1, 0)))=1, VERI_TABANI!E27*(1-0.928)*VERI_TABANI!$B$9, 0) + (VERI_TABANI!D27*B621*(VERI_TABANI!$B$13-VERI_TABANI!$B$14)*VERI_TABANI!G27) + (VERI_TABANI!D27*C621*(VERI_TABANI!$B$13-VERI_TABANI!$B$15)*VERI_TABANI!G27) + IF(ABS(IF(ISNUMBER(SEARCH("Var", D621)), 1, IF(ISNUMBER(SEARCH("Gri", D621)), -1, 0)))=1, VERI_TABANI!E27*(1-0.928)*0.00206091519919798*VERI_TABANI!G27, 0)) + ((MIN(VERI_TABANI!D28, VERI_TABANI!D28*B621)*VERI_TABANI!$B$7 + MAX(0, VERI_TABANI!D28*B621-VERI_TABANI!D28)*VERI_TABANI!$B$8) + (MIN(MAX(0, VERI_TABANI!D28-VERI_TABANI!D28*B621), VERI_TABANI!D28*C621)*VERI_TABANI!$B$7 + MAX(0, VERI_TABANI!D28*C621-MAX(0, VERI_TABANI!D28-VERI_TABANI!D28*B621))*VERI_TABANI!$B$8) + IF(ABS(IF(ISNUMBER(SEARCH("Var", D621)), 1, IF(ISNUMBER(SEARCH("Gri", D621)), -1, 0)))=1, VERI_TABANI!E28*(1-0.928)*VERI_TABANI!$B$9, 0) + (VERI_TABANI!D28*B621*(VERI_TABANI!$B$13-VERI_TABANI!$B$14)*VERI_TABANI!G28) + (VERI_TABANI!D28*C621*(VERI_TABANI!$B$13-VERI_TABANI!$B$15)*VERI_TABANI!G28) + IF(ABS(IF(ISNUMBER(SEARCH("Var", D621)), 1, IF(ISNUMBER(SEARCH("Gri", D621)), -1, 0)))=1, VERI_TABANI!E28*(1-0.928)*0.00206091519919798*VERI_TABANI!G28, 0)))</f>
        <v/>
      </c>
      <c r="H621" s="169">
        <f>(((VERI_TABANI!D23*B621*(VERI_TABANI!$B$13-VERI_TABANI!$B$14)) + (VERI_TABANI!D23*C621*(VERI_TABANI!$B$13-VERI_TABANI!$B$15)) + IF(ISNUMBER(SEARCH("Var", D621)), VERI_TABANI!F23*(0.00202-VERI_TABANI!$B$16), IF(ISNUMBER(SEARCH("Gri", D621)), VERI_TABANI!F23*(0.00202-VERI_TABANI!$B$17), 0))) + ((VERI_TABANI!D24*B621*(VERI_TABANI!$B$13-VERI_TABANI!$B$14)) + (VERI_TABANI!D24*C621*(VERI_TABANI!$B$13-VERI_TABANI!$B$15)) + IF(ISNUMBER(SEARCH("Var", D621)), VERI_TABANI!F24*(0.00202-VERI_TABANI!$B$16), IF(ISNUMBER(SEARCH("Gri", D621)), VERI_TABANI!F24*(0.00202-VERI_TABANI!$B$17), 0))) + ((VERI_TABANI!D25*B621*(VERI_TABANI!$B$13-VERI_TABANI!$B$14)) + (VERI_TABANI!D25*C621*(VERI_TABANI!$B$13-VERI_TABANI!$B$15)) + IF(ISNUMBER(SEARCH("Var", D621)), VERI_TABANI!F25*(0.00202-VERI_TABANI!$B$16), IF(ISNUMBER(SEARCH("Gri", D621)), VERI_TABANI!F25*(0.00202-VERI_TABANI!$B$17), 0))) + ((VERI_TABANI!D26*B621*(VERI_TABANI!$B$13-VERI_TABANI!$B$14)) + (VERI_TABANI!D26*C621*(VERI_TABANI!$B$13-VERI_TABANI!$B$15)) + IF(ISNUMBER(SEARCH("Var", D621)), VERI_TABANI!F26*(0.00202-VERI_TABANI!$B$16), IF(ISNUMBER(SEARCH("Gri", D621)), VERI_TABANI!F26*(0.00202-VERI_TABANI!$B$17), 0))) + ((VERI_TABANI!D27*B621*(VERI_TABANI!$B$13-VERI_TABANI!$B$14)) + (VERI_TABANI!D27*C621*(VERI_TABANI!$B$13-VERI_TABANI!$B$15)) + IF(ISNUMBER(SEARCH("Var", D621)), VERI_TABANI!F27*(0.00202-VERI_TABANI!$B$16), IF(ISNUMBER(SEARCH("Gri", D621)), VERI_TABANI!F27*(0.00202-VERI_TABANI!$B$17), 0))) + ((VERI_TABANI!D28*B621*(VERI_TABANI!$B$13-VERI_TABANI!$B$14)) + (VERI_TABANI!D28*C621*(VERI_TABANI!$B$13-VERI_TABANI!$B$15)) + IF(ISNUMBER(SEARCH("Var", D621)), VERI_TABANI!F28*(0.00202-VERI_TABANI!$B$16), IF(ISNUMBER(SEARCH("Gri", D621)), VERI_TABANI!F28*(0.00202-VERI_TABANI!$B$17), 0))))</f>
        <v/>
      </c>
      <c r="I621" s="170">
        <f>IFERROR(((VERI_TABANI!$D$29*B621*VERI_TABANI!$B$14 + VERI_TABANI!$D$29*C621*VERI_TABANI!$B$15 + IF(ISNUMBER(SEARCH("Var", D621)), VERI_TABANI!$F$29*VERI_TABANI!$B$16, 0))) / (((VERI_TABANI!$D$29*B621 + VERI_TABANI!$D$29*C621)*VERI_TABANI!$B$13 + IF(ISNUMBER(SEARCH("Var", D621)), VERI_TABANI!$E$29*(1-0.928)*VERI_TABANI!$B$18, 0))), 0)</f>
        <v/>
      </c>
      <c r="J621" s="171">
        <f>IFERROR(F621/(G621/29), 0)</f>
        <v/>
      </c>
      <c r="K621" s="172">
        <f>IF(F621&gt;0, H621/F621, 0)</f>
        <v/>
      </c>
      <c r="L621" s="170">
        <f>IF(F621&gt;0, I621, 1000000000)</f>
        <v/>
      </c>
      <c r="M621" s="171">
        <f>ABS((B621+C621)-1)</f>
        <v/>
      </c>
      <c r="N621" s="170">
        <f>IF(F621&gt;0, (G621/29)/F621, 0)</f>
        <v/>
      </c>
      <c r="O621" s="168">
        <f>IF(AND((B621+C621)&gt;=1, ISNUMBER(SEARCH("Var", D621))), F621, 1000000000)</f>
        <v/>
      </c>
      <c r="P621" s="172">
        <f>IF(F621&gt;0, SQRT((F621/MAX(F$5:F$886))^2 + (1 - H621/MAX(H$5:H$886))^2 + (J621/MAX(J$5:J$886))^2), 1000000000)</f>
        <v/>
      </c>
      <c r="Q621" s="166">
        <f>IF(AND(ABS(B621-0.5)&lt;0.01, ABS(C621-0.5)&lt;0.01, ISNUMBER(SEARCH("Var", D621))), 1, 0)</f>
        <v/>
      </c>
      <c r="R621" s="171">
        <f>IF(F621&gt;0, J621, 1000000000)</f>
        <v/>
      </c>
      <c r="S621" s="101">
        <f>IF(AND(F621&lt;=DASHBOARD!$B$11, H621&gt;=DASHBOARD!$B$13), G621, -1000000000000)</f>
        <v/>
      </c>
      <c r="T621" s="101">
        <f>IF(AND(F621&lt;=DASHBOARD!$B$11, H621&gt;=DASHBOARD!$B$13), R621, 1000000000000)</f>
        <v/>
      </c>
      <c r="U621" s="101">
        <f>IF(AND(F621&lt;=DASHBOARD!$B$11, H621&gt;=DASHBOARD!$B$13), N621, -1000000000000)</f>
        <v/>
      </c>
      <c r="V621" s="101">
        <f>IF(AND(F621&lt;=DASHBOARD!$B$11, H621&gt;=DASHBOARD!$B$13), H621, -1000000000000)</f>
        <v/>
      </c>
      <c r="W621" s="101">
        <f>IF(AND(F621&lt;=DASHBOARD!$B$11, H621&gt;=DASHBOARD!$B$13), K621, -1000000000000)</f>
        <v/>
      </c>
      <c r="X621" s="101">
        <f>IF(AND(F621&lt;=DASHBOARD!$B$11, H621&gt;=DASHBOARD!$B$13), M621, 1000000000000)</f>
        <v/>
      </c>
      <c r="Y621" s="101">
        <f>IF(AND(F621&lt;=DASHBOARD!$B$10, H621&gt;=DASHBOARD!$B$11), L621, 1000000000000)</f>
        <v/>
      </c>
      <c r="Z621" s="101">
        <f>IF(AND(F621&lt;=DASHBOARD!$B$10, H621&gt;=DASHBOARD!$B$11), O621, 1000000000000)</f>
        <v/>
      </c>
      <c r="AA621" s="101">
        <f>IF(AND(F621&lt;=DASHBOARD!$B$10, H621&gt;=DASHBOARD!$B$11), P621, 1000000000000)</f>
        <v/>
      </c>
      <c r="AB621" s="101">
        <f>IF(AND(F621&lt;=DASHBOARD!$B$10, H621&gt;=DASHBOARD!$B$11), Q621, -1000000000000)</f>
        <v/>
      </c>
    </row>
    <row r="622" ht="15" customHeight="1" s="102">
      <c r="A622" s="166" t="n">
        <v>618</v>
      </c>
      <c r="B622" s="167" t="n">
        <v>1.4</v>
      </c>
      <c r="C622" s="167" t="n">
        <v>1.4</v>
      </c>
      <c r="D622" s="110" t="inlineStr">
        <is>
          <t>Var (%20)</t>
        </is>
      </c>
      <c r="E622" s="110">
        <f>IF((B622+C622)&lt;=1, "Tam Mahsuplaşma (≤%100)", "Kısmi Satış (&gt;%100)")</f>
        <v/>
      </c>
      <c r="F622" s="168">
        <f>((VERI_TABANI!$D$29*B622/VERI_TABANI!$B$29)/VERI_TABANI!$B$3)*VERI_TABANI!$B$5 + ((VERI_TABANI!$D$29*C622/VERI_TABANI!$B$29)/VERI_TABANI!$B$4)*VERI_TABANI!$B$6 + IF(ISNUMBER(SEARCH("Var", D622)), (VERI_TABANI!$F$29/VERI_TABANI!$B$29)*(VERI_TABANI!$B$10+VERI_TABANI!$B$12), 0)</f>
        <v/>
      </c>
      <c r="G622" s="168">
        <f>(((MIN(VERI_TABANI!D23, VERI_TABANI!D23*B622)*VERI_TABANI!$B$7 + MAX(0, VERI_TABANI!D23*B622-VERI_TABANI!D23)*VERI_TABANI!$B$8) + (MIN(MAX(0, VERI_TABANI!D23-VERI_TABANI!D23*B622), VERI_TABANI!D23*C622)*VERI_TABANI!$B$7 + MAX(0, VERI_TABANI!D23*C622-MAX(0, VERI_TABANI!D23-VERI_TABANI!D23*B622))*VERI_TABANI!$B$8) + IF(ABS(IF(ISNUMBER(SEARCH("Var", D622)), 1, IF(ISNUMBER(SEARCH("Gri", D622)), -1, 0)))=1, VERI_TABANI!E23*(1-0.928)*VERI_TABANI!$B$9, 0) + (VERI_TABANI!D23*B622*(VERI_TABANI!$B$13-VERI_TABANI!$B$14)*VERI_TABANI!G23) + (VERI_TABANI!D23*C622*(VERI_TABANI!$B$13-VERI_TABANI!$B$15)*VERI_TABANI!G23) + IF(ABS(IF(ISNUMBER(SEARCH("Var", D622)), 1, IF(ISNUMBER(SEARCH("Gri", D622)), -1, 0)))=1, VERI_TABANI!E23*(1-0.928)*0.00206091519919798*VERI_TABANI!G23, 0)) + ((MIN(VERI_TABANI!D24, VERI_TABANI!D24*B622)*VERI_TABANI!$B$7 + MAX(0, VERI_TABANI!D24*B622-VERI_TABANI!D24)*VERI_TABANI!$B$8) + (MIN(MAX(0, VERI_TABANI!D24-VERI_TABANI!D24*B622), VERI_TABANI!D24*C622)*VERI_TABANI!$B$7 + MAX(0, VERI_TABANI!D24*C622-MAX(0, VERI_TABANI!D24-VERI_TABANI!D24*B622))*VERI_TABANI!$B$8) + IF(ABS(IF(ISNUMBER(SEARCH("Var", D622)), 1, IF(ISNUMBER(SEARCH("Gri", D622)), -1, 0)))=1, VERI_TABANI!E24*(1-0.928)*VERI_TABANI!$B$9, 0) + (VERI_TABANI!D24*B622*(VERI_TABANI!$B$13-VERI_TABANI!$B$14)*VERI_TABANI!G24) + (VERI_TABANI!D24*C622*(VERI_TABANI!$B$13-VERI_TABANI!$B$15)*VERI_TABANI!G24) + IF(ABS(IF(ISNUMBER(SEARCH("Var", D622)), 1, IF(ISNUMBER(SEARCH("Gri", D622)), -1, 0)))=1, VERI_TABANI!E24*(1-0.928)*0.00206091519919798*VERI_TABANI!G24, 0)) + ((MIN(VERI_TABANI!D25, VERI_TABANI!D25*B622)*VERI_TABANI!$B$7 + MAX(0, VERI_TABANI!D25*B622-VERI_TABANI!D25)*VERI_TABANI!$B$8) + (MIN(MAX(0, VERI_TABANI!D25-VERI_TABANI!D25*B622), VERI_TABANI!D25*C622)*VERI_TABANI!$B$7 + MAX(0, VERI_TABANI!D25*C622-MAX(0, VERI_TABANI!D25-VERI_TABANI!D25*B622))*VERI_TABANI!$B$8) + IF(ABS(IF(ISNUMBER(SEARCH("Var", D622)), 1, IF(ISNUMBER(SEARCH("Gri", D622)), -1, 0)))=1, VERI_TABANI!E25*(1-0.928)*VERI_TABANI!$B$9, 0) + (VERI_TABANI!D25*B622*(VERI_TABANI!$B$13-VERI_TABANI!$B$14)*VERI_TABANI!G25) + (VERI_TABANI!D25*C622*(VERI_TABANI!$B$13-VERI_TABANI!$B$15)*VERI_TABANI!G25) + IF(ABS(IF(ISNUMBER(SEARCH("Var", D622)), 1, IF(ISNUMBER(SEARCH("Gri", D622)), -1, 0)))=1, VERI_TABANI!E25*(1-0.928)*0.00206091519919798*VERI_TABANI!G25, 0)) + ((MIN(VERI_TABANI!D26, VERI_TABANI!D26*B622)*VERI_TABANI!$B$7 + MAX(0, VERI_TABANI!D26*B622-VERI_TABANI!D26)*VERI_TABANI!$B$8) + (MIN(MAX(0, VERI_TABANI!D26-VERI_TABANI!D26*B622), VERI_TABANI!D26*C622)*VERI_TABANI!$B$7 + MAX(0, VERI_TABANI!D26*C622-MAX(0, VERI_TABANI!D26-VERI_TABANI!D26*B622))*VERI_TABANI!$B$8) + IF(ABS(IF(ISNUMBER(SEARCH("Var", D622)), 1, IF(ISNUMBER(SEARCH("Gri", D622)), -1, 0)))=1, VERI_TABANI!E26*(1-0.928)*VERI_TABANI!$B$9, 0) + (VERI_TABANI!D26*B622*(VERI_TABANI!$B$13-VERI_TABANI!$B$14)*VERI_TABANI!G26) + (VERI_TABANI!D26*C622*(VERI_TABANI!$B$13-VERI_TABANI!$B$15)*VERI_TABANI!G26) + IF(ABS(IF(ISNUMBER(SEARCH("Var", D622)), 1, IF(ISNUMBER(SEARCH("Gri", D622)), -1, 0)))=1, VERI_TABANI!E26*(1-0.928)*0.00206091519919798*VERI_TABANI!G26, 0)) + ((MIN(VERI_TABANI!D27, VERI_TABANI!D27*B622)*VERI_TABANI!$B$7 + MAX(0, VERI_TABANI!D27*B622-VERI_TABANI!D27)*VERI_TABANI!$B$8) + (MIN(MAX(0, VERI_TABANI!D27-VERI_TABANI!D27*B622), VERI_TABANI!D27*C622)*VERI_TABANI!$B$7 + MAX(0, VERI_TABANI!D27*C622-MAX(0, VERI_TABANI!D27-VERI_TABANI!D27*B622))*VERI_TABANI!$B$8) + IF(ABS(IF(ISNUMBER(SEARCH("Var", D622)), 1, IF(ISNUMBER(SEARCH("Gri", D622)), -1, 0)))=1, VERI_TABANI!E27*(1-0.928)*VERI_TABANI!$B$9, 0) + (VERI_TABANI!D27*B622*(VERI_TABANI!$B$13-VERI_TABANI!$B$14)*VERI_TABANI!G27) + (VERI_TABANI!D27*C622*(VERI_TABANI!$B$13-VERI_TABANI!$B$15)*VERI_TABANI!G27) + IF(ABS(IF(ISNUMBER(SEARCH("Var", D622)), 1, IF(ISNUMBER(SEARCH("Gri", D622)), -1, 0)))=1, VERI_TABANI!E27*(1-0.928)*0.00206091519919798*VERI_TABANI!G27, 0)) + ((MIN(VERI_TABANI!D28, VERI_TABANI!D28*B622)*VERI_TABANI!$B$7 + MAX(0, VERI_TABANI!D28*B622-VERI_TABANI!D28)*VERI_TABANI!$B$8) + (MIN(MAX(0, VERI_TABANI!D28-VERI_TABANI!D28*B622), VERI_TABANI!D28*C622)*VERI_TABANI!$B$7 + MAX(0, VERI_TABANI!D28*C622-MAX(0, VERI_TABANI!D28-VERI_TABANI!D28*B622))*VERI_TABANI!$B$8) + IF(ABS(IF(ISNUMBER(SEARCH("Var", D622)), 1, IF(ISNUMBER(SEARCH("Gri", D622)), -1, 0)))=1, VERI_TABANI!E28*(1-0.928)*VERI_TABANI!$B$9, 0) + (VERI_TABANI!D28*B622*(VERI_TABANI!$B$13-VERI_TABANI!$B$14)*VERI_TABANI!G28) + (VERI_TABANI!D28*C622*(VERI_TABANI!$B$13-VERI_TABANI!$B$15)*VERI_TABANI!G28) + IF(ABS(IF(ISNUMBER(SEARCH("Var", D622)), 1, IF(ISNUMBER(SEARCH("Gri", D622)), -1, 0)))=1, VERI_TABANI!E28*(1-0.928)*0.00206091519919798*VERI_TABANI!G28, 0)))</f>
        <v/>
      </c>
      <c r="H622" s="169">
        <f>(((VERI_TABANI!D23*B622*(VERI_TABANI!$B$13-VERI_TABANI!$B$14)) + (VERI_TABANI!D23*C622*(VERI_TABANI!$B$13-VERI_TABANI!$B$15)) + IF(ISNUMBER(SEARCH("Var", D622)), VERI_TABANI!F23*(0.00202-VERI_TABANI!$B$16), IF(ISNUMBER(SEARCH("Gri", D622)), VERI_TABANI!F23*(0.00202-VERI_TABANI!$B$17), 0))) + ((VERI_TABANI!D24*B622*(VERI_TABANI!$B$13-VERI_TABANI!$B$14)) + (VERI_TABANI!D24*C622*(VERI_TABANI!$B$13-VERI_TABANI!$B$15)) + IF(ISNUMBER(SEARCH("Var", D622)), VERI_TABANI!F24*(0.00202-VERI_TABANI!$B$16), IF(ISNUMBER(SEARCH("Gri", D622)), VERI_TABANI!F24*(0.00202-VERI_TABANI!$B$17), 0))) + ((VERI_TABANI!D25*B622*(VERI_TABANI!$B$13-VERI_TABANI!$B$14)) + (VERI_TABANI!D25*C622*(VERI_TABANI!$B$13-VERI_TABANI!$B$15)) + IF(ISNUMBER(SEARCH("Var", D622)), VERI_TABANI!F25*(0.00202-VERI_TABANI!$B$16), IF(ISNUMBER(SEARCH("Gri", D622)), VERI_TABANI!F25*(0.00202-VERI_TABANI!$B$17), 0))) + ((VERI_TABANI!D26*B622*(VERI_TABANI!$B$13-VERI_TABANI!$B$14)) + (VERI_TABANI!D26*C622*(VERI_TABANI!$B$13-VERI_TABANI!$B$15)) + IF(ISNUMBER(SEARCH("Var", D622)), VERI_TABANI!F26*(0.00202-VERI_TABANI!$B$16), IF(ISNUMBER(SEARCH("Gri", D622)), VERI_TABANI!F26*(0.00202-VERI_TABANI!$B$17), 0))) + ((VERI_TABANI!D27*B622*(VERI_TABANI!$B$13-VERI_TABANI!$B$14)) + (VERI_TABANI!D27*C622*(VERI_TABANI!$B$13-VERI_TABANI!$B$15)) + IF(ISNUMBER(SEARCH("Var", D622)), VERI_TABANI!F27*(0.00202-VERI_TABANI!$B$16), IF(ISNUMBER(SEARCH("Gri", D622)), VERI_TABANI!F27*(0.00202-VERI_TABANI!$B$17), 0))) + ((VERI_TABANI!D28*B622*(VERI_TABANI!$B$13-VERI_TABANI!$B$14)) + (VERI_TABANI!D28*C622*(VERI_TABANI!$B$13-VERI_TABANI!$B$15)) + IF(ISNUMBER(SEARCH("Var", D622)), VERI_TABANI!F28*(0.00202-VERI_TABANI!$B$16), IF(ISNUMBER(SEARCH("Gri", D622)), VERI_TABANI!F28*(0.00202-VERI_TABANI!$B$17), 0))))</f>
        <v/>
      </c>
      <c r="I622" s="170">
        <f>IFERROR(((VERI_TABANI!$D$29*B622*VERI_TABANI!$B$14 + VERI_TABANI!$D$29*C622*VERI_TABANI!$B$15 + IF(ISNUMBER(SEARCH("Var", D622)), VERI_TABANI!$F$29*VERI_TABANI!$B$16, 0))) / (((VERI_TABANI!$D$29*B622 + VERI_TABANI!$D$29*C622)*VERI_TABANI!$B$13 + IF(ISNUMBER(SEARCH("Var", D622)), VERI_TABANI!$E$29*(1-0.928)*VERI_TABANI!$B$18, 0))), 0)</f>
        <v/>
      </c>
      <c r="J622" s="171">
        <f>IFERROR(F622/(G622/29), 0)</f>
        <v/>
      </c>
      <c r="K622" s="172">
        <f>IF(F622&gt;0, H622/F622, 0)</f>
        <v/>
      </c>
      <c r="L622" s="170">
        <f>IF(F622&gt;0, I622, 1000000000)</f>
        <v/>
      </c>
      <c r="M622" s="171">
        <f>ABS((B622+C622)-1)</f>
        <v/>
      </c>
      <c r="N622" s="170">
        <f>IF(F622&gt;0, (G622/29)/F622, 0)</f>
        <v/>
      </c>
      <c r="O622" s="168">
        <f>IF(AND((B622+C622)&gt;=1, ISNUMBER(SEARCH("Var", D622))), F622, 1000000000)</f>
        <v/>
      </c>
      <c r="P622" s="172">
        <f>IF(F622&gt;0, SQRT((F622/MAX(F$5:F$886))^2 + (1 - H622/MAX(H$5:H$886))^2 + (J622/MAX(J$5:J$886))^2), 1000000000)</f>
        <v/>
      </c>
      <c r="Q622" s="166">
        <f>IF(AND(ABS(B622-0.5)&lt;0.01, ABS(C622-0.5)&lt;0.01, ISNUMBER(SEARCH("Var", D622))), 1, 0)</f>
        <v/>
      </c>
      <c r="R622" s="171">
        <f>IF(F622&gt;0, J622, 1000000000)</f>
        <v/>
      </c>
      <c r="S622" s="101">
        <f>IF(AND(F622&lt;=DASHBOARD!$B$11, H622&gt;=DASHBOARD!$B$13), G622, -1000000000000)</f>
        <v/>
      </c>
      <c r="T622" s="101">
        <f>IF(AND(F622&lt;=DASHBOARD!$B$11, H622&gt;=DASHBOARD!$B$13), R622, 1000000000000)</f>
        <v/>
      </c>
      <c r="U622" s="101">
        <f>IF(AND(F622&lt;=DASHBOARD!$B$11, H622&gt;=DASHBOARD!$B$13), N622, -1000000000000)</f>
        <v/>
      </c>
      <c r="V622" s="101">
        <f>IF(AND(F622&lt;=DASHBOARD!$B$11, H622&gt;=DASHBOARD!$B$13), H622, -1000000000000)</f>
        <v/>
      </c>
      <c r="W622" s="101">
        <f>IF(AND(F622&lt;=DASHBOARD!$B$11, H622&gt;=DASHBOARD!$B$13), K622, -1000000000000)</f>
        <v/>
      </c>
      <c r="X622" s="101">
        <f>IF(AND(F622&lt;=DASHBOARD!$B$11, H622&gt;=DASHBOARD!$B$13), M622, 1000000000000)</f>
        <v/>
      </c>
      <c r="Y622" s="101">
        <f>IF(AND(F622&lt;=DASHBOARD!$B$10, H622&gt;=DASHBOARD!$B$11), L622, 1000000000000)</f>
        <v/>
      </c>
      <c r="Z622" s="101">
        <f>IF(AND(F622&lt;=DASHBOARD!$B$10, H622&gt;=DASHBOARD!$B$11), O622, 1000000000000)</f>
        <v/>
      </c>
      <c r="AA622" s="101">
        <f>IF(AND(F622&lt;=DASHBOARD!$B$10, H622&gt;=DASHBOARD!$B$11), P622, 1000000000000)</f>
        <v/>
      </c>
      <c r="AB622" s="101">
        <f>IF(AND(F622&lt;=DASHBOARD!$B$10, H622&gt;=DASHBOARD!$B$11), Q622, -1000000000000)</f>
        <v/>
      </c>
    </row>
    <row r="623" ht="15" customHeight="1" s="102">
      <c r="A623" s="166" t="n">
        <v>619</v>
      </c>
      <c r="B623" s="167" t="n">
        <v>1.4</v>
      </c>
      <c r="C623" s="167" t="n">
        <v>1.5</v>
      </c>
      <c r="D623" s="110" t="inlineStr">
        <is>
          <t>Yok (%0)</t>
        </is>
      </c>
      <c r="E623" s="110">
        <f>IF((B623+C623)&lt;=1, "Tam Mahsuplaşma (≤%100)", "Kısmi Satış (&gt;%100)")</f>
        <v/>
      </c>
      <c r="F623" s="168">
        <f>((VERI_TABANI!$D$29*B623/VERI_TABANI!$B$29)/VERI_TABANI!$B$3)*VERI_TABANI!$B$5 + ((VERI_TABANI!$D$29*C623/VERI_TABANI!$B$29)/VERI_TABANI!$B$4)*VERI_TABANI!$B$6 + IF(ISNUMBER(SEARCH("Var", D623)), (VERI_TABANI!$F$29/VERI_TABANI!$B$29)*(VERI_TABANI!$B$10+VERI_TABANI!$B$12), 0)</f>
        <v/>
      </c>
      <c r="G623" s="168">
        <f>(((MIN(VERI_TABANI!D23, VERI_TABANI!D23*B623)*VERI_TABANI!$B$7 + MAX(0, VERI_TABANI!D23*B623-VERI_TABANI!D23)*VERI_TABANI!$B$8) + (MIN(MAX(0, VERI_TABANI!D23-VERI_TABANI!D23*B623), VERI_TABANI!D23*C623)*VERI_TABANI!$B$7 + MAX(0, VERI_TABANI!D23*C623-MAX(0, VERI_TABANI!D23-VERI_TABANI!D23*B623))*VERI_TABANI!$B$8) + IF(ABS(IF(ISNUMBER(SEARCH("Var", D623)), 1, IF(ISNUMBER(SEARCH("Gri", D623)), -1, 0)))=1, VERI_TABANI!E23*(1-0.928)*VERI_TABANI!$B$9, 0) + (VERI_TABANI!D23*B623*(VERI_TABANI!$B$13-VERI_TABANI!$B$14)*VERI_TABANI!G23) + (VERI_TABANI!D23*C623*(VERI_TABANI!$B$13-VERI_TABANI!$B$15)*VERI_TABANI!G23) + IF(ABS(IF(ISNUMBER(SEARCH("Var", D623)), 1, IF(ISNUMBER(SEARCH("Gri", D623)), -1, 0)))=1, VERI_TABANI!E23*(1-0.928)*0.00206091519919798*VERI_TABANI!G23, 0)) + ((MIN(VERI_TABANI!D24, VERI_TABANI!D24*B623)*VERI_TABANI!$B$7 + MAX(0, VERI_TABANI!D24*B623-VERI_TABANI!D24)*VERI_TABANI!$B$8) + (MIN(MAX(0, VERI_TABANI!D24-VERI_TABANI!D24*B623), VERI_TABANI!D24*C623)*VERI_TABANI!$B$7 + MAX(0, VERI_TABANI!D24*C623-MAX(0, VERI_TABANI!D24-VERI_TABANI!D24*B623))*VERI_TABANI!$B$8) + IF(ABS(IF(ISNUMBER(SEARCH("Var", D623)), 1, IF(ISNUMBER(SEARCH("Gri", D623)), -1, 0)))=1, VERI_TABANI!E24*(1-0.928)*VERI_TABANI!$B$9, 0) + (VERI_TABANI!D24*B623*(VERI_TABANI!$B$13-VERI_TABANI!$B$14)*VERI_TABANI!G24) + (VERI_TABANI!D24*C623*(VERI_TABANI!$B$13-VERI_TABANI!$B$15)*VERI_TABANI!G24) + IF(ABS(IF(ISNUMBER(SEARCH("Var", D623)), 1, IF(ISNUMBER(SEARCH("Gri", D623)), -1, 0)))=1, VERI_TABANI!E24*(1-0.928)*0.00206091519919798*VERI_TABANI!G24, 0)) + ((MIN(VERI_TABANI!D25, VERI_TABANI!D25*B623)*VERI_TABANI!$B$7 + MAX(0, VERI_TABANI!D25*B623-VERI_TABANI!D25)*VERI_TABANI!$B$8) + (MIN(MAX(0, VERI_TABANI!D25-VERI_TABANI!D25*B623), VERI_TABANI!D25*C623)*VERI_TABANI!$B$7 + MAX(0, VERI_TABANI!D25*C623-MAX(0, VERI_TABANI!D25-VERI_TABANI!D25*B623))*VERI_TABANI!$B$8) + IF(ABS(IF(ISNUMBER(SEARCH("Var", D623)), 1, IF(ISNUMBER(SEARCH("Gri", D623)), -1, 0)))=1, VERI_TABANI!E25*(1-0.928)*VERI_TABANI!$B$9, 0) + (VERI_TABANI!D25*B623*(VERI_TABANI!$B$13-VERI_TABANI!$B$14)*VERI_TABANI!G25) + (VERI_TABANI!D25*C623*(VERI_TABANI!$B$13-VERI_TABANI!$B$15)*VERI_TABANI!G25) + IF(ABS(IF(ISNUMBER(SEARCH("Var", D623)), 1, IF(ISNUMBER(SEARCH("Gri", D623)), -1, 0)))=1, VERI_TABANI!E25*(1-0.928)*0.00206091519919798*VERI_TABANI!G25, 0)) + ((MIN(VERI_TABANI!D26, VERI_TABANI!D26*B623)*VERI_TABANI!$B$7 + MAX(0, VERI_TABANI!D26*B623-VERI_TABANI!D26)*VERI_TABANI!$B$8) + (MIN(MAX(0, VERI_TABANI!D26-VERI_TABANI!D26*B623), VERI_TABANI!D26*C623)*VERI_TABANI!$B$7 + MAX(0, VERI_TABANI!D26*C623-MAX(0, VERI_TABANI!D26-VERI_TABANI!D26*B623))*VERI_TABANI!$B$8) + IF(ABS(IF(ISNUMBER(SEARCH("Var", D623)), 1, IF(ISNUMBER(SEARCH("Gri", D623)), -1, 0)))=1, VERI_TABANI!E26*(1-0.928)*VERI_TABANI!$B$9, 0) + (VERI_TABANI!D26*B623*(VERI_TABANI!$B$13-VERI_TABANI!$B$14)*VERI_TABANI!G26) + (VERI_TABANI!D26*C623*(VERI_TABANI!$B$13-VERI_TABANI!$B$15)*VERI_TABANI!G26) + IF(ABS(IF(ISNUMBER(SEARCH("Var", D623)), 1, IF(ISNUMBER(SEARCH("Gri", D623)), -1, 0)))=1, VERI_TABANI!E26*(1-0.928)*0.00206091519919798*VERI_TABANI!G26, 0)) + ((MIN(VERI_TABANI!D27, VERI_TABANI!D27*B623)*VERI_TABANI!$B$7 + MAX(0, VERI_TABANI!D27*B623-VERI_TABANI!D27)*VERI_TABANI!$B$8) + (MIN(MAX(0, VERI_TABANI!D27-VERI_TABANI!D27*B623), VERI_TABANI!D27*C623)*VERI_TABANI!$B$7 + MAX(0, VERI_TABANI!D27*C623-MAX(0, VERI_TABANI!D27-VERI_TABANI!D27*B623))*VERI_TABANI!$B$8) + IF(ABS(IF(ISNUMBER(SEARCH("Var", D623)), 1, IF(ISNUMBER(SEARCH("Gri", D623)), -1, 0)))=1, VERI_TABANI!E27*(1-0.928)*VERI_TABANI!$B$9, 0) + (VERI_TABANI!D27*B623*(VERI_TABANI!$B$13-VERI_TABANI!$B$14)*VERI_TABANI!G27) + (VERI_TABANI!D27*C623*(VERI_TABANI!$B$13-VERI_TABANI!$B$15)*VERI_TABANI!G27) + IF(ABS(IF(ISNUMBER(SEARCH("Var", D623)), 1, IF(ISNUMBER(SEARCH("Gri", D623)), -1, 0)))=1, VERI_TABANI!E27*(1-0.928)*0.00206091519919798*VERI_TABANI!G27, 0)) + ((MIN(VERI_TABANI!D28, VERI_TABANI!D28*B623)*VERI_TABANI!$B$7 + MAX(0, VERI_TABANI!D28*B623-VERI_TABANI!D28)*VERI_TABANI!$B$8) + (MIN(MAX(0, VERI_TABANI!D28-VERI_TABANI!D28*B623), VERI_TABANI!D28*C623)*VERI_TABANI!$B$7 + MAX(0, VERI_TABANI!D28*C623-MAX(0, VERI_TABANI!D28-VERI_TABANI!D28*B623))*VERI_TABANI!$B$8) + IF(ABS(IF(ISNUMBER(SEARCH("Var", D623)), 1, IF(ISNUMBER(SEARCH("Gri", D623)), -1, 0)))=1, VERI_TABANI!E28*(1-0.928)*VERI_TABANI!$B$9, 0) + (VERI_TABANI!D28*B623*(VERI_TABANI!$B$13-VERI_TABANI!$B$14)*VERI_TABANI!G28) + (VERI_TABANI!D28*C623*(VERI_TABANI!$B$13-VERI_TABANI!$B$15)*VERI_TABANI!G28) + IF(ABS(IF(ISNUMBER(SEARCH("Var", D623)), 1, IF(ISNUMBER(SEARCH("Gri", D623)), -1, 0)))=1, VERI_TABANI!E28*(1-0.928)*0.00206091519919798*VERI_TABANI!G28, 0)))</f>
        <v/>
      </c>
      <c r="H623" s="169">
        <f>(((VERI_TABANI!D23*B623*(VERI_TABANI!$B$13-VERI_TABANI!$B$14)) + (VERI_TABANI!D23*C623*(VERI_TABANI!$B$13-VERI_TABANI!$B$15)) + IF(ISNUMBER(SEARCH("Var", D623)), VERI_TABANI!F23*(0.00202-VERI_TABANI!$B$16), IF(ISNUMBER(SEARCH("Gri", D623)), VERI_TABANI!F23*(0.00202-VERI_TABANI!$B$17), 0))) + ((VERI_TABANI!D24*B623*(VERI_TABANI!$B$13-VERI_TABANI!$B$14)) + (VERI_TABANI!D24*C623*(VERI_TABANI!$B$13-VERI_TABANI!$B$15)) + IF(ISNUMBER(SEARCH("Var", D623)), VERI_TABANI!F24*(0.00202-VERI_TABANI!$B$16), IF(ISNUMBER(SEARCH("Gri", D623)), VERI_TABANI!F24*(0.00202-VERI_TABANI!$B$17), 0))) + ((VERI_TABANI!D25*B623*(VERI_TABANI!$B$13-VERI_TABANI!$B$14)) + (VERI_TABANI!D25*C623*(VERI_TABANI!$B$13-VERI_TABANI!$B$15)) + IF(ISNUMBER(SEARCH("Var", D623)), VERI_TABANI!F25*(0.00202-VERI_TABANI!$B$16), IF(ISNUMBER(SEARCH("Gri", D623)), VERI_TABANI!F25*(0.00202-VERI_TABANI!$B$17), 0))) + ((VERI_TABANI!D26*B623*(VERI_TABANI!$B$13-VERI_TABANI!$B$14)) + (VERI_TABANI!D26*C623*(VERI_TABANI!$B$13-VERI_TABANI!$B$15)) + IF(ISNUMBER(SEARCH("Var", D623)), VERI_TABANI!F26*(0.00202-VERI_TABANI!$B$16), IF(ISNUMBER(SEARCH("Gri", D623)), VERI_TABANI!F26*(0.00202-VERI_TABANI!$B$17), 0))) + ((VERI_TABANI!D27*B623*(VERI_TABANI!$B$13-VERI_TABANI!$B$14)) + (VERI_TABANI!D27*C623*(VERI_TABANI!$B$13-VERI_TABANI!$B$15)) + IF(ISNUMBER(SEARCH("Var", D623)), VERI_TABANI!F27*(0.00202-VERI_TABANI!$B$16), IF(ISNUMBER(SEARCH("Gri", D623)), VERI_TABANI!F27*(0.00202-VERI_TABANI!$B$17), 0))) + ((VERI_TABANI!D28*B623*(VERI_TABANI!$B$13-VERI_TABANI!$B$14)) + (VERI_TABANI!D28*C623*(VERI_TABANI!$B$13-VERI_TABANI!$B$15)) + IF(ISNUMBER(SEARCH("Var", D623)), VERI_TABANI!F28*(0.00202-VERI_TABANI!$B$16), IF(ISNUMBER(SEARCH("Gri", D623)), VERI_TABANI!F28*(0.00202-VERI_TABANI!$B$17), 0))))</f>
        <v/>
      </c>
      <c r="I623" s="170">
        <f>IFERROR(((VERI_TABANI!$D$29*B623*VERI_TABANI!$B$14 + VERI_TABANI!$D$29*C623*VERI_TABANI!$B$15 + IF(ISNUMBER(SEARCH("Var", D623)), VERI_TABANI!$F$29*VERI_TABANI!$B$16, 0))) / (((VERI_TABANI!$D$29*B623 + VERI_TABANI!$D$29*C623)*VERI_TABANI!$B$13 + IF(ISNUMBER(SEARCH("Var", D623)), VERI_TABANI!$E$29*(1-0.928)*VERI_TABANI!$B$18, 0))), 0)</f>
        <v/>
      </c>
      <c r="J623" s="171">
        <f>IFERROR(F623/(G623/29), 0)</f>
        <v/>
      </c>
      <c r="K623" s="172">
        <f>IF(F623&gt;0, H623/F623, 0)</f>
        <v/>
      </c>
      <c r="L623" s="170">
        <f>IF(F623&gt;0, I623, 1000000000)</f>
        <v/>
      </c>
      <c r="M623" s="171">
        <f>ABS((B623+C623)-1)</f>
        <v/>
      </c>
      <c r="N623" s="170">
        <f>IF(F623&gt;0, (G623/29)/F623, 0)</f>
        <v/>
      </c>
      <c r="O623" s="168">
        <f>IF(AND((B623+C623)&gt;=1, ISNUMBER(SEARCH("Var", D623))), F623, 1000000000)</f>
        <v/>
      </c>
      <c r="P623" s="172">
        <f>IF(F623&gt;0, SQRT((F623/MAX(F$5:F$886))^2 + (1 - H623/MAX(H$5:H$886))^2 + (J623/MAX(J$5:J$886))^2), 1000000000)</f>
        <v/>
      </c>
      <c r="Q623" s="166">
        <f>IF(AND(ABS(B623-0.5)&lt;0.01, ABS(C623-0.5)&lt;0.01, ISNUMBER(SEARCH("Var", D623))), 1, 0)</f>
        <v/>
      </c>
      <c r="R623" s="171">
        <f>IF(F623&gt;0, J623, 1000000000)</f>
        <v/>
      </c>
      <c r="S623" s="101">
        <f>IF(AND(F623&lt;=DASHBOARD!$B$11, H623&gt;=DASHBOARD!$B$13), G623, -1000000000000)</f>
        <v/>
      </c>
      <c r="T623" s="101">
        <f>IF(AND(F623&lt;=DASHBOARD!$B$11, H623&gt;=DASHBOARD!$B$13), R623, 1000000000000)</f>
        <v/>
      </c>
      <c r="U623" s="101">
        <f>IF(AND(F623&lt;=DASHBOARD!$B$11, H623&gt;=DASHBOARD!$B$13), N623, -1000000000000)</f>
        <v/>
      </c>
      <c r="V623" s="101">
        <f>IF(AND(F623&lt;=DASHBOARD!$B$11, H623&gt;=DASHBOARD!$B$13), H623, -1000000000000)</f>
        <v/>
      </c>
      <c r="W623" s="101">
        <f>IF(AND(F623&lt;=DASHBOARD!$B$11, H623&gt;=DASHBOARD!$B$13), K623, -1000000000000)</f>
        <v/>
      </c>
      <c r="X623" s="101">
        <f>IF(AND(F623&lt;=DASHBOARD!$B$11, H623&gt;=DASHBOARD!$B$13), M623, 1000000000000)</f>
        <v/>
      </c>
      <c r="Y623" s="101">
        <f>IF(AND(F623&lt;=DASHBOARD!$B$10, H623&gt;=DASHBOARD!$B$11), L623, 1000000000000)</f>
        <v/>
      </c>
      <c r="Z623" s="101">
        <f>IF(AND(F623&lt;=DASHBOARD!$B$10, H623&gt;=DASHBOARD!$B$11), O623, 1000000000000)</f>
        <v/>
      </c>
      <c r="AA623" s="101">
        <f>IF(AND(F623&lt;=DASHBOARD!$B$10, H623&gt;=DASHBOARD!$B$11), P623, 1000000000000)</f>
        <v/>
      </c>
      <c r="AB623" s="101">
        <f>IF(AND(F623&lt;=DASHBOARD!$B$10, H623&gt;=DASHBOARD!$B$11), Q623, -1000000000000)</f>
        <v/>
      </c>
    </row>
    <row r="624" ht="15" customHeight="1" s="102">
      <c r="A624" s="166" t="n">
        <v>620</v>
      </c>
      <c r="B624" s="167" t="n">
        <v>1.4</v>
      </c>
      <c r="C624" s="167" t="n">
        <v>1.5</v>
      </c>
      <c r="D624" s="110" t="inlineStr">
        <is>
          <t>Var (%20)</t>
        </is>
      </c>
      <c r="E624" s="110">
        <f>IF((B624+C624)&lt;=1, "Tam Mahsuplaşma (≤%100)", "Kısmi Satış (&gt;%100)")</f>
        <v/>
      </c>
      <c r="F624" s="168">
        <f>((VERI_TABANI!$D$29*B624/VERI_TABANI!$B$29)/VERI_TABANI!$B$3)*VERI_TABANI!$B$5 + ((VERI_TABANI!$D$29*C624/VERI_TABANI!$B$29)/VERI_TABANI!$B$4)*VERI_TABANI!$B$6 + IF(ISNUMBER(SEARCH("Var", D624)), (VERI_TABANI!$F$29/VERI_TABANI!$B$29)*(VERI_TABANI!$B$10+VERI_TABANI!$B$12), 0)</f>
        <v/>
      </c>
      <c r="G624" s="168">
        <f>(((MIN(VERI_TABANI!D23, VERI_TABANI!D23*B624)*VERI_TABANI!$B$7 + MAX(0, VERI_TABANI!D23*B624-VERI_TABANI!D23)*VERI_TABANI!$B$8) + (MIN(MAX(0, VERI_TABANI!D23-VERI_TABANI!D23*B624), VERI_TABANI!D23*C624)*VERI_TABANI!$B$7 + MAX(0, VERI_TABANI!D23*C624-MAX(0, VERI_TABANI!D23-VERI_TABANI!D23*B624))*VERI_TABANI!$B$8) + IF(ABS(IF(ISNUMBER(SEARCH("Var", D624)), 1, IF(ISNUMBER(SEARCH("Gri", D624)), -1, 0)))=1, VERI_TABANI!E23*(1-0.928)*VERI_TABANI!$B$9, 0) + (VERI_TABANI!D23*B624*(VERI_TABANI!$B$13-VERI_TABANI!$B$14)*VERI_TABANI!G23) + (VERI_TABANI!D23*C624*(VERI_TABANI!$B$13-VERI_TABANI!$B$15)*VERI_TABANI!G23) + IF(ABS(IF(ISNUMBER(SEARCH("Var", D624)), 1, IF(ISNUMBER(SEARCH("Gri", D624)), -1, 0)))=1, VERI_TABANI!E23*(1-0.928)*0.00206091519919798*VERI_TABANI!G23, 0)) + ((MIN(VERI_TABANI!D24, VERI_TABANI!D24*B624)*VERI_TABANI!$B$7 + MAX(0, VERI_TABANI!D24*B624-VERI_TABANI!D24)*VERI_TABANI!$B$8) + (MIN(MAX(0, VERI_TABANI!D24-VERI_TABANI!D24*B624), VERI_TABANI!D24*C624)*VERI_TABANI!$B$7 + MAX(0, VERI_TABANI!D24*C624-MAX(0, VERI_TABANI!D24-VERI_TABANI!D24*B624))*VERI_TABANI!$B$8) + IF(ABS(IF(ISNUMBER(SEARCH("Var", D624)), 1, IF(ISNUMBER(SEARCH("Gri", D624)), -1, 0)))=1, VERI_TABANI!E24*(1-0.928)*VERI_TABANI!$B$9, 0) + (VERI_TABANI!D24*B624*(VERI_TABANI!$B$13-VERI_TABANI!$B$14)*VERI_TABANI!G24) + (VERI_TABANI!D24*C624*(VERI_TABANI!$B$13-VERI_TABANI!$B$15)*VERI_TABANI!G24) + IF(ABS(IF(ISNUMBER(SEARCH("Var", D624)), 1, IF(ISNUMBER(SEARCH("Gri", D624)), -1, 0)))=1, VERI_TABANI!E24*(1-0.928)*0.00206091519919798*VERI_TABANI!G24, 0)) + ((MIN(VERI_TABANI!D25, VERI_TABANI!D25*B624)*VERI_TABANI!$B$7 + MAX(0, VERI_TABANI!D25*B624-VERI_TABANI!D25)*VERI_TABANI!$B$8) + (MIN(MAX(0, VERI_TABANI!D25-VERI_TABANI!D25*B624), VERI_TABANI!D25*C624)*VERI_TABANI!$B$7 + MAX(0, VERI_TABANI!D25*C624-MAX(0, VERI_TABANI!D25-VERI_TABANI!D25*B624))*VERI_TABANI!$B$8) + IF(ABS(IF(ISNUMBER(SEARCH("Var", D624)), 1, IF(ISNUMBER(SEARCH("Gri", D624)), -1, 0)))=1, VERI_TABANI!E25*(1-0.928)*VERI_TABANI!$B$9, 0) + (VERI_TABANI!D25*B624*(VERI_TABANI!$B$13-VERI_TABANI!$B$14)*VERI_TABANI!G25) + (VERI_TABANI!D25*C624*(VERI_TABANI!$B$13-VERI_TABANI!$B$15)*VERI_TABANI!G25) + IF(ABS(IF(ISNUMBER(SEARCH("Var", D624)), 1, IF(ISNUMBER(SEARCH("Gri", D624)), -1, 0)))=1, VERI_TABANI!E25*(1-0.928)*0.00206091519919798*VERI_TABANI!G25, 0)) + ((MIN(VERI_TABANI!D26, VERI_TABANI!D26*B624)*VERI_TABANI!$B$7 + MAX(0, VERI_TABANI!D26*B624-VERI_TABANI!D26)*VERI_TABANI!$B$8) + (MIN(MAX(0, VERI_TABANI!D26-VERI_TABANI!D26*B624), VERI_TABANI!D26*C624)*VERI_TABANI!$B$7 + MAX(0, VERI_TABANI!D26*C624-MAX(0, VERI_TABANI!D26-VERI_TABANI!D26*B624))*VERI_TABANI!$B$8) + IF(ABS(IF(ISNUMBER(SEARCH("Var", D624)), 1, IF(ISNUMBER(SEARCH("Gri", D624)), -1, 0)))=1, VERI_TABANI!E26*(1-0.928)*VERI_TABANI!$B$9, 0) + (VERI_TABANI!D26*B624*(VERI_TABANI!$B$13-VERI_TABANI!$B$14)*VERI_TABANI!G26) + (VERI_TABANI!D26*C624*(VERI_TABANI!$B$13-VERI_TABANI!$B$15)*VERI_TABANI!G26) + IF(ABS(IF(ISNUMBER(SEARCH("Var", D624)), 1, IF(ISNUMBER(SEARCH("Gri", D624)), -1, 0)))=1, VERI_TABANI!E26*(1-0.928)*0.00206091519919798*VERI_TABANI!G26, 0)) + ((MIN(VERI_TABANI!D27, VERI_TABANI!D27*B624)*VERI_TABANI!$B$7 + MAX(0, VERI_TABANI!D27*B624-VERI_TABANI!D27)*VERI_TABANI!$B$8) + (MIN(MAX(0, VERI_TABANI!D27-VERI_TABANI!D27*B624), VERI_TABANI!D27*C624)*VERI_TABANI!$B$7 + MAX(0, VERI_TABANI!D27*C624-MAX(0, VERI_TABANI!D27-VERI_TABANI!D27*B624))*VERI_TABANI!$B$8) + IF(ABS(IF(ISNUMBER(SEARCH("Var", D624)), 1, IF(ISNUMBER(SEARCH("Gri", D624)), -1, 0)))=1, VERI_TABANI!E27*(1-0.928)*VERI_TABANI!$B$9, 0) + (VERI_TABANI!D27*B624*(VERI_TABANI!$B$13-VERI_TABANI!$B$14)*VERI_TABANI!G27) + (VERI_TABANI!D27*C624*(VERI_TABANI!$B$13-VERI_TABANI!$B$15)*VERI_TABANI!G27) + IF(ABS(IF(ISNUMBER(SEARCH("Var", D624)), 1, IF(ISNUMBER(SEARCH("Gri", D624)), -1, 0)))=1, VERI_TABANI!E27*(1-0.928)*0.00206091519919798*VERI_TABANI!G27, 0)) + ((MIN(VERI_TABANI!D28, VERI_TABANI!D28*B624)*VERI_TABANI!$B$7 + MAX(0, VERI_TABANI!D28*B624-VERI_TABANI!D28)*VERI_TABANI!$B$8) + (MIN(MAX(0, VERI_TABANI!D28-VERI_TABANI!D28*B624), VERI_TABANI!D28*C624)*VERI_TABANI!$B$7 + MAX(0, VERI_TABANI!D28*C624-MAX(0, VERI_TABANI!D28-VERI_TABANI!D28*B624))*VERI_TABANI!$B$8) + IF(ABS(IF(ISNUMBER(SEARCH("Var", D624)), 1, IF(ISNUMBER(SEARCH("Gri", D624)), -1, 0)))=1, VERI_TABANI!E28*(1-0.928)*VERI_TABANI!$B$9, 0) + (VERI_TABANI!D28*B624*(VERI_TABANI!$B$13-VERI_TABANI!$B$14)*VERI_TABANI!G28) + (VERI_TABANI!D28*C624*(VERI_TABANI!$B$13-VERI_TABANI!$B$15)*VERI_TABANI!G28) + IF(ABS(IF(ISNUMBER(SEARCH("Var", D624)), 1, IF(ISNUMBER(SEARCH("Gri", D624)), -1, 0)))=1, VERI_TABANI!E28*(1-0.928)*0.00206091519919798*VERI_TABANI!G28, 0)))</f>
        <v/>
      </c>
      <c r="H624" s="169">
        <f>(((VERI_TABANI!D23*B624*(VERI_TABANI!$B$13-VERI_TABANI!$B$14)) + (VERI_TABANI!D23*C624*(VERI_TABANI!$B$13-VERI_TABANI!$B$15)) + IF(ISNUMBER(SEARCH("Var", D624)), VERI_TABANI!F23*(0.00202-VERI_TABANI!$B$16), IF(ISNUMBER(SEARCH("Gri", D624)), VERI_TABANI!F23*(0.00202-VERI_TABANI!$B$17), 0))) + ((VERI_TABANI!D24*B624*(VERI_TABANI!$B$13-VERI_TABANI!$B$14)) + (VERI_TABANI!D24*C624*(VERI_TABANI!$B$13-VERI_TABANI!$B$15)) + IF(ISNUMBER(SEARCH("Var", D624)), VERI_TABANI!F24*(0.00202-VERI_TABANI!$B$16), IF(ISNUMBER(SEARCH("Gri", D624)), VERI_TABANI!F24*(0.00202-VERI_TABANI!$B$17), 0))) + ((VERI_TABANI!D25*B624*(VERI_TABANI!$B$13-VERI_TABANI!$B$14)) + (VERI_TABANI!D25*C624*(VERI_TABANI!$B$13-VERI_TABANI!$B$15)) + IF(ISNUMBER(SEARCH("Var", D624)), VERI_TABANI!F25*(0.00202-VERI_TABANI!$B$16), IF(ISNUMBER(SEARCH("Gri", D624)), VERI_TABANI!F25*(0.00202-VERI_TABANI!$B$17), 0))) + ((VERI_TABANI!D26*B624*(VERI_TABANI!$B$13-VERI_TABANI!$B$14)) + (VERI_TABANI!D26*C624*(VERI_TABANI!$B$13-VERI_TABANI!$B$15)) + IF(ISNUMBER(SEARCH("Var", D624)), VERI_TABANI!F26*(0.00202-VERI_TABANI!$B$16), IF(ISNUMBER(SEARCH("Gri", D624)), VERI_TABANI!F26*(0.00202-VERI_TABANI!$B$17), 0))) + ((VERI_TABANI!D27*B624*(VERI_TABANI!$B$13-VERI_TABANI!$B$14)) + (VERI_TABANI!D27*C624*(VERI_TABANI!$B$13-VERI_TABANI!$B$15)) + IF(ISNUMBER(SEARCH("Var", D624)), VERI_TABANI!F27*(0.00202-VERI_TABANI!$B$16), IF(ISNUMBER(SEARCH("Gri", D624)), VERI_TABANI!F27*(0.00202-VERI_TABANI!$B$17), 0))) + ((VERI_TABANI!D28*B624*(VERI_TABANI!$B$13-VERI_TABANI!$B$14)) + (VERI_TABANI!D28*C624*(VERI_TABANI!$B$13-VERI_TABANI!$B$15)) + IF(ISNUMBER(SEARCH("Var", D624)), VERI_TABANI!F28*(0.00202-VERI_TABANI!$B$16), IF(ISNUMBER(SEARCH("Gri", D624)), VERI_TABANI!F28*(0.00202-VERI_TABANI!$B$17), 0))))</f>
        <v/>
      </c>
      <c r="I624" s="170">
        <f>IFERROR(((VERI_TABANI!$D$29*B624*VERI_TABANI!$B$14 + VERI_TABANI!$D$29*C624*VERI_TABANI!$B$15 + IF(ISNUMBER(SEARCH("Var", D624)), VERI_TABANI!$F$29*VERI_TABANI!$B$16, 0))) / (((VERI_TABANI!$D$29*B624 + VERI_TABANI!$D$29*C624)*VERI_TABANI!$B$13 + IF(ISNUMBER(SEARCH("Var", D624)), VERI_TABANI!$E$29*(1-0.928)*VERI_TABANI!$B$18, 0))), 0)</f>
        <v/>
      </c>
      <c r="J624" s="171">
        <f>IFERROR(F624/(G624/29), 0)</f>
        <v/>
      </c>
      <c r="K624" s="172">
        <f>IF(F624&gt;0, H624/F624, 0)</f>
        <v/>
      </c>
      <c r="L624" s="170">
        <f>IF(F624&gt;0, I624, 1000000000)</f>
        <v/>
      </c>
      <c r="M624" s="171">
        <f>ABS((B624+C624)-1)</f>
        <v/>
      </c>
      <c r="N624" s="170">
        <f>IF(F624&gt;0, (G624/29)/F624, 0)</f>
        <v/>
      </c>
      <c r="O624" s="168">
        <f>IF(AND((B624+C624)&gt;=1, ISNUMBER(SEARCH("Var", D624))), F624, 1000000000)</f>
        <v/>
      </c>
      <c r="P624" s="172">
        <f>IF(F624&gt;0, SQRT((F624/MAX(F$5:F$886))^2 + (1 - H624/MAX(H$5:H$886))^2 + (J624/MAX(J$5:J$886))^2), 1000000000)</f>
        <v/>
      </c>
      <c r="Q624" s="166">
        <f>IF(AND(ABS(B624-0.5)&lt;0.01, ABS(C624-0.5)&lt;0.01, ISNUMBER(SEARCH("Var", D624))), 1, 0)</f>
        <v/>
      </c>
      <c r="R624" s="171">
        <f>IF(F624&gt;0, J624, 1000000000)</f>
        <v/>
      </c>
      <c r="S624" s="101">
        <f>IF(AND(F624&lt;=DASHBOARD!$B$11, H624&gt;=DASHBOARD!$B$13), G624, -1000000000000)</f>
        <v/>
      </c>
      <c r="T624" s="101">
        <f>IF(AND(F624&lt;=DASHBOARD!$B$11, H624&gt;=DASHBOARD!$B$13), R624, 1000000000000)</f>
        <v/>
      </c>
      <c r="U624" s="101">
        <f>IF(AND(F624&lt;=DASHBOARD!$B$11, H624&gt;=DASHBOARD!$B$13), N624, -1000000000000)</f>
        <v/>
      </c>
      <c r="V624" s="101">
        <f>IF(AND(F624&lt;=DASHBOARD!$B$11, H624&gt;=DASHBOARD!$B$13), H624, -1000000000000)</f>
        <v/>
      </c>
      <c r="W624" s="101">
        <f>IF(AND(F624&lt;=DASHBOARD!$B$11, H624&gt;=DASHBOARD!$B$13), K624, -1000000000000)</f>
        <v/>
      </c>
      <c r="X624" s="101">
        <f>IF(AND(F624&lt;=DASHBOARD!$B$11, H624&gt;=DASHBOARD!$B$13), M624, 1000000000000)</f>
        <v/>
      </c>
      <c r="Y624" s="101">
        <f>IF(AND(F624&lt;=DASHBOARD!$B$10, H624&gt;=DASHBOARD!$B$11), L624, 1000000000000)</f>
        <v/>
      </c>
      <c r="Z624" s="101">
        <f>IF(AND(F624&lt;=DASHBOARD!$B$10, H624&gt;=DASHBOARD!$B$11), O624, 1000000000000)</f>
        <v/>
      </c>
      <c r="AA624" s="101">
        <f>IF(AND(F624&lt;=DASHBOARD!$B$10, H624&gt;=DASHBOARD!$B$11), P624, 1000000000000)</f>
        <v/>
      </c>
      <c r="AB624" s="101">
        <f>IF(AND(F624&lt;=DASHBOARD!$B$10, H624&gt;=DASHBOARD!$B$11), Q624, -1000000000000)</f>
        <v/>
      </c>
    </row>
    <row r="625" ht="15" customHeight="1" s="102">
      <c r="A625" s="166" t="n">
        <v>621</v>
      </c>
      <c r="B625" s="167" t="n">
        <v>1.4</v>
      </c>
      <c r="C625" s="167" t="n">
        <v>1.6</v>
      </c>
      <c r="D625" s="110" t="inlineStr">
        <is>
          <t>Yok (%0)</t>
        </is>
      </c>
      <c r="E625" s="110">
        <f>IF((B625+C625)&lt;=1, "Tam Mahsuplaşma (≤%100)", "Kısmi Satış (&gt;%100)")</f>
        <v/>
      </c>
      <c r="F625" s="168">
        <f>((VERI_TABANI!$D$29*B625/VERI_TABANI!$B$29)/VERI_TABANI!$B$3)*VERI_TABANI!$B$5 + ((VERI_TABANI!$D$29*C625/VERI_TABANI!$B$29)/VERI_TABANI!$B$4)*VERI_TABANI!$B$6 + IF(ISNUMBER(SEARCH("Var", D625)), (VERI_TABANI!$F$29/VERI_TABANI!$B$29)*(VERI_TABANI!$B$10+VERI_TABANI!$B$12), 0)</f>
        <v/>
      </c>
      <c r="G625" s="168">
        <f>(((MIN(VERI_TABANI!D23, VERI_TABANI!D23*B625)*VERI_TABANI!$B$7 + MAX(0, VERI_TABANI!D23*B625-VERI_TABANI!D23)*VERI_TABANI!$B$8) + (MIN(MAX(0, VERI_TABANI!D23-VERI_TABANI!D23*B625), VERI_TABANI!D23*C625)*VERI_TABANI!$B$7 + MAX(0, VERI_TABANI!D23*C625-MAX(0, VERI_TABANI!D23-VERI_TABANI!D23*B625))*VERI_TABANI!$B$8) + IF(ABS(IF(ISNUMBER(SEARCH("Var", D625)), 1, IF(ISNUMBER(SEARCH("Gri", D625)), -1, 0)))=1, VERI_TABANI!E23*(1-0.928)*VERI_TABANI!$B$9, 0) + (VERI_TABANI!D23*B625*(VERI_TABANI!$B$13-VERI_TABANI!$B$14)*VERI_TABANI!G23) + (VERI_TABANI!D23*C625*(VERI_TABANI!$B$13-VERI_TABANI!$B$15)*VERI_TABANI!G23) + IF(ABS(IF(ISNUMBER(SEARCH("Var", D625)), 1, IF(ISNUMBER(SEARCH("Gri", D625)), -1, 0)))=1, VERI_TABANI!E23*(1-0.928)*0.00206091519919798*VERI_TABANI!G23, 0)) + ((MIN(VERI_TABANI!D24, VERI_TABANI!D24*B625)*VERI_TABANI!$B$7 + MAX(0, VERI_TABANI!D24*B625-VERI_TABANI!D24)*VERI_TABANI!$B$8) + (MIN(MAX(0, VERI_TABANI!D24-VERI_TABANI!D24*B625), VERI_TABANI!D24*C625)*VERI_TABANI!$B$7 + MAX(0, VERI_TABANI!D24*C625-MAX(0, VERI_TABANI!D24-VERI_TABANI!D24*B625))*VERI_TABANI!$B$8) + IF(ABS(IF(ISNUMBER(SEARCH("Var", D625)), 1, IF(ISNUMBER(SEARCH("Gri", D625)), -1, 0)))=1, VERI_TABANI!E24*(1-0.928)*VERI_TABANI!$B$9, 0) + (VERI_TABANI!D24*B625*(VERI_TABANI!$B$13-VERI_TABANI!$B$14)*VERI_TABANI!G24) + (VERI_TABANI!D24*C625*(VERI_TABANI!$B$13-VERI_TABANI!$B$15)*VERI_TABANI!G24) + IF(ABS(IF(ISNUMBER(SEARCH("Var", D625)), 1, IF(ISNUMBER(SEARCH("Gri", D625)), -1, 0)))=1, VERI_TABANI!E24*(1-0.928)*0.00206091519919798*VERI_TABANI!G24, 0)) + ((MIN(VERI_TABANI!D25, VERI_TABANI!D25*B625)*VERI_TABANI!$B$7 + MAX(0, VERI_TABANI!D25*B625-VERI_TABANI!D25)*VERI_TABANI!$B$8) + (MIN(MAX(0, VERI_TABANI!D25-VERI_TABANI!D25*B625), VERI_TABANI!D25*C625)*VERI_TABANI!$B$7 + MAX(0, VERI_TABANI!D25*C625-MAX(0, VERI_TABANI!D25-VERI_TABANI!D25*B625))*VERI_TABANI!$B$8) + IF(ABS(IF(ISNUMBER(SEARCH("Var", D625)), 1, IF(ISNUMBER(SEARCH("Gri", D625)), -1, 0)))=1, VERI_TABANI!E25*(1-0.928)*VERI_TABANI!$B$9, 0) + (VERI_TABANI!D25*B625*(VERI_TABANI!$B$13-VERI_TABANI!$B$14)*VERI_TABANI!G25) + (VERI_TABANI!D25*C625*(VERI_TABANI!$B$13-VERI_TABANI!$B$15)*VERI_TABANI!G25) + IF(ABS(IF(ISNUMBER(SEARCH("Var", D625)), 1, IF(ISNUMBER(SEARCH("Gri", D625)), -1, 0)))=1, VERI_TABANI!E25*(1-0.928)*0.00206091519919798*VERI_TABANI!G25, 0)) + ((MIN(VERI_TABANI!D26, VERI_TABANI!D26*B625)*VERI_TABANI!$B$7 + MAX(0, VERI_TABANI!D26*B625-VERI_TABANI!D26)*VERI_TABANI!$B$8) + (MIN(MAX(0, VERI_TABANI!D26-VERI_TABANI!D26*B625), VERI_TABANI!D26*C625)*VERI_TABANI!$B$7 + MAX(0, VERI_TABANI!D26*C625-MAX(0, VERI_TABANI!D26-VERI_TABANI!D26*B625))*VERI_TABANI!$B$8) + IF(ABS(IF(ISNUMBER(SEARCH("Var", D625)), 1, IF(ISNUMBER(SEARCH("Gri", D625)), -1, 0)))=1, VERI_TABANI!E26*(1-0.928)*VERI_TABANI!$B$9, 0) + (VERI_TABANI!D26*B625*(VERI_TABANI!$B$13-VERI_TABANI!$B$14)*VERI_TABANI!G26) + (VERI_TABANI!D26*C625*(VERI_TABANI!$B$13-VERI_TABANI!$B$15)*VERI_TABANI!G26) + IF(ABS(IF(ISNUMBER(SEARCH("Var", D625)), 1, IF(ISNUMBER(SEARCH("Gri", D625)), -1, 0)))=1, VERI_TABANI!E26*(1-0.928)*0.00206091519919798*VERI_TABANI!G26, 0)) + ((MIN(VERI_TABANI!D27, VERI_TABANI!D27*B625)*VERI_TABANI!$B$7 + MAX(0, VERI_TABANI!D27*B625-VERI_TABANI!D27)*VERI_TABANI!$B$8) + (MIN(MAX(0, VERI_TABANI!D27-VERI_TABANI!D27*B625), VERI_TABANI!D27*C625)*VERI_TABANI!$B$7 + MAX(0, VERI_TABANI!D27*C625-MAX(0, VERI_TABANI!D27-VERI_TABANI!D27*B625))*VERI_TABANI!$B$8) + IF(ABS(IF(ISNUMBER(SEARCH("Var", D625)), 1, IF(ISNUMBER(SEARCH("Gri", D625)), -1, 0)))=1, VERI_TABANI!E27*(1-0.928)*VERI_TABANI!$B$9, 0) + (VERI_TABANI!D27*B625*(VERI_TABANI!$B$13-VERI_TABANI!$B$14)*VERI_TABANI!G27) + (VERI_TABANI!D27*C625*(VERI_TABANI!$B$13-VERI_TABANI!$B$15)*VERI_TABANI!G27) + IF(ABS(IF(ISNUMBER(SEARCH("Var", D625)), 1, IF(ISNUMBER(SEARCH("Gri", D625)), -1, 0)))=1, VERI_TABANI!E27*(1-0.928)*0.00206091519919798*VERI_TABANI!G27, 0)) + ((MIN(VERI_TABANI!D28, VERI_TABANI!D28*B625)*VERI_TABANI!$B$7 + MAX(0, VERI_TABANI!D28*B625-VERI_TABANI!D28)*VERI_TABANI!$B$8) + (MIN(MAX(0, VERI_TABANI!D28-VERI_TABANI!D28*B625), VERI_TABANI!D28*C625)*VERI_TABANI!$B$7 + MAX(0, VERI_TABANI!D28*C625-MAX(0, VERI_TABANI!D28-VERI_TABANI!D28*B625))*VERI_TABANI!$B$8) + IF(ABS(IF(ISNUMBER(SEARCH("Var", D625)), 1, IF(ISNUMBER(SEARCH("Gri", D625)), -1, 0)))=1, VERI_TABANI!E28*(1-0.928)*VERI_TABANI!$B$9, 0) + (VERI_TABANI!D28*B625*(VERI_TABANI!$B$13-VERI_TABANI!$B$14)*VERI_TABANI!G28) + (VERI_TABANI!D28*C625*(VERI_TABANI!$B$13-VERI_TABANI!$B$15)*VERI_TABANI!G28) + IF(ABS(IF(ISNUMBER(SEARCH("Var", D625)), 1, IF(ISNUMBER(SEARCH("Gri", D625)), -1, 0)))=1, VERI_TABANI!E28*(1-0.928)*0.00206091519919798*VERI_TABANI!G28, 0)))</f>
        <v/>
      </c>
      <c r="H625" s="169">
        <f>(((VERI_TABANI!D23*B625*(VERI_TABANI!$B$13-VERI_TABANI!$B$14)) + (VERI_TABANI!D23*C625*(VERI_TABANI!$B$13-VERI_TABANI!$B$15)) + IF(ISNUMBER(SEARCH("Var", D625)), VERI_TABANI!F23*(0.00202-VERI_TABANI!$B$16), IF(ISNUMBER(SEARCH("Gri", D625)), VERI_TABANI!F23*(0.00202-VERI_TABANI!$B$17), 0))) + ((VERI_TABANI!D24*B625*(VERI_TABANI!$B$13-VERI_TABANI!$B$14)) + (VERI_TABANI!D24*C625*(VERI_TABANI!$B$13-VERI_TABANI!$B$15)) + IF(ISNUMBER(SEARCH("Var", D625)), VERI_TABANI!F24*(0.00202-VERI_TABANI!$B$16), IF(ISNUMBER(SEARCH("Gri", D625)), VERI_TABANI!F24*(0.00202-VERI_TABANI!$B$17), 0))) + ((VERI_TABANI!D25*B625*(VERI_TABANI!$B$13-VERI_TABANI!$B$14)) + (VERI_TABANI!D25*C625*(VERI_TABANI!$B$13-VERI_TABANI!$B$15)) + IF(ISNUMBER(SEARCH("Var", D625)), VERI_TABANI!F25*(0.00202-VERI_TABANI!$B$16), IF(ISNUMBER(SEARCH("Gri", D625)), VERI_TABANI!F25*(0.00202-VERI_TABANI!$B$17), 0))) + ((VERI_TABANI!D26*B625*(VERI_TABANI!$B$13-VERI_TABANI!$B$14)) + (VERI_TABANI!D26*C625*(VERI_TABANI!$B$13-VERI_TABANI!$B$15)) + IF(ISNUMBER(SEARCH("Var", D625)), VERI_TABANI!F26*(0.00202-VERI_TABANI!$B$16), IF(ISNUMBER(SEARCH("Gri", D625)), VERI_TABANI!F26*(0.00202-VERI_TABANI!$B$17), 0))) + ((VERI_TABANI!D27*B625*(VERI_TABANI!$B$13-VERI_TABANI!$B$14)) + (VERI_TABANI!D27*C625*(VERI_TABANI!$B$13-VERI_TABANI!$B$15)) + IF(ISNUMBER(SEARCH("Var", D625)), VERI_TABANI!F27*(0.00202-VERI_TABANI!$B$16), IF(ISNUMBER(SEARCH("Gri", D625)), VERI_TABANI!F27*(0.00202-VERI_TABANI!$B$17), 0))) + ((VERI_TABANI!D28*B625*(VERI_TABANI!$B$13-VERI_TABANI!$B$14)) + (VERI_TABANI!D28*C625*(VERI_TABANI!$B$13-VERI_TABANI!$B$15)) + IF(ISNUMBER(SEARCH("Var", D625)), VERI_TABANI!F28*(0.00202-VERI_TABANI!$B$16), IF(ISNUMBER(SEARCH("Gri", D625)), VERI_TABANI!F28*(0.00202-VERI_TABANI!$B$17), 0))))</f>
        <v/>
      </c>
      <c r="I625" s="170">
        <f>IFERROR(((VERI_TABANI!$D$29*B625*VERI_TABANI!$B$14 + VERI_TABANI!$D$29*C625*VERI_TABANI!$B$15 + IF(ISNUMBER(SEARCH("Var", D625)), VERI_TABANI!$F$29*VERI_TABANI!$B$16, 0))) / (((VERI_TABANI!$D$29*B625 + VERI_TABANI!$D$29*C625)*VERI_TABANI!$B$13 + IF(ISNUMBER(SEARCH("Var", D625)), VERI_TABANI!$E$29*(1-0.928)*VERI_TABANI!$B$18, 0))), 0)</f>
        <v/>
      </c>
      <c r="J625" s="171">
        <f>IFERROR(F625/(G625/29), 0)</f>
        <v/>
      </c>
      <c r="K625" s="172">
        <f>IF(F625&gt;0, H625/F625, 0)</f>
        <v/>
      </c>
      <c r="L625" s="170">
        <f>IF(F625&gt;0, I625, 1000000000)</f>
        <v/>
      </c>
      <c r="M625" s="171">
        <f>ABS((B625+C625)-1)</f>
        <v/>
      </c>
      <c r="N625" s="170">
        <f>IF(F625&gt;0, (G625/29)/F625, 0)</f>
        <v/>
      </c>
      <c r="O625" s="168">
        <f>IF(AND((B625+C625)&gt;=1, ISNUMBER(SEARCH("Var", D625))), F625, 1000000000)</f>
        <v/>
      </c>
      <c r="P625" s="172">
        <f>IF(F625&gt;0, SQRT((F625/MAX(F$5:F$886))^2 + (1 - H625/MAX(H$5:H$886))^2 + (J625/MAX(J$5:J$886))^2), 1000000000)</f>
        <v/>
      </c>
      <c r="Q625" s="166">
        <f>IF(AND(ABS(B625-0.5)&lt;0.01, ABS(C625-0.5)&lt;0.01, ISNUMBER(SEARCH("Var", D625))), 1, 0)</f>
        <v/>
      </c>
      <c r="R625" s="171">
        <f>IF(F625&gt;0, J625, 1000000000)</f>
        <v/>
      </c>
      <c r="S625" s="101">
        <f>IF(AND(F625&lt;=DASHBOARD!$B$11, H625&gt;=DASHBOARD!$B$13), G625, -1000000000000)</f>
        <v/>
      </c>
      <c r="T625" s="101">
        <f>IF(AND(F625&lt;=DASHBOARD!$B$11, H625&gt;=DASHBOARD!$B$13), R625, 1000000000000)</f>
        <v/>
      </c>
      <c r="U625" s="101">
        <f>IF(AND(F625&lt;=DASHBOARD!$B$11, H625&gt;=DASHBOARD!$B$13), N625, -1000000000000)</f>
        <v/>
      </c>
      <c r="V625" s="101">
        <f>IF(AND(F625&lt;=DASHBOARD!$B$11, H625&gt;=DASHBOARD!$B$13), H625, -1000000000000)</f>
        <v/>
      </c>
      <c r="W625" s="101">
        <f>IF(AND(F625&lt;=DASHBOARD!$B$11, H625&gt;=DASHBOARD!$B$13), K625, -1000000000000)</f>
        <v/>
      </c>
      <c r="X625" s="101">
        <f>IF(AND(F625&lt;=DASHBOARD!$B$11, H625&gt;=DASHBOARD!$B$13), M625, 1000000000000)</f>
        <v/>
      </c>
      <c r="Y625" s="101">
        <f>IF(AND(F625&lt;=DASHBOARD!$B$10, H625&gt;=DASHBOARD!$B$11), L625, 1000000000000)</f>
        <v/>
      </c>
      <c r="Z625" s="101">
        <f>IF(AND(F625&lt;=DASHBOARD!$B$10, H625&gt;=DASHBOARD!$B$11), O625, 1000000000000)</f>
        <v/>
      </c>
      <c r="AA625" s="101">
        <f>IF(AND(F625&lt;=DASHBOARD!$B$10, H625&gt;=DASHBOARD!$B$11), P625, 1000000000000)</f>
        <v/>
      </c>
      <c r="AB625" s="101">
        <f>IF(AND(F625&lt;=DASHBOARD!$B$10, H625&gt;=DASHBOARD!$B$11), Q625, -1000000000000)</f>
        <v/>
      </c>
    </row>
    <row r="626" ht="15" customHeight="1" s="102">
      <c r="A626" s="166" t="n">
        <v>622</v>
      </c>
      <c r="B626" s="167" t="n">
        <v>1.4</v>
      </c>
      <c r="C626" s="167" t="n">
        <v>1.6</v>
      </c>
      <c r="D626" s="110" t="inlineStr">
        <is>
          <t>Var (%20)</t>
        </is>
      </c>
      <c r="E626" s="110">
        <f>IF((B626+C626)&lt;=1, "Tam Mahsuplaşma (≤%100)", "Kısmi Satış (&gt;%100)")</f>
        <v/>
      </c>
      <c r="F626" s="168">
        <f>((VERI_TABANI!$D$29*B626/VERI_TABANI!$B$29)/VERI_TABANI!$B$3)*VERI_TABANI!$B$5 + ((VERI_TABANI!$D$29*C626/VERI_TABANI!$B$29)/VERI_TABANI!$B$4)*VERI_TABANI!$B$6 + IF(ISNUMBER(SEARCH("Var", D626)), (VERI_TABANI!$F$29/VERI_TABANI!$B$29)*(VERI_TABANI!$B$10+VERI_TABANI!$B$12), 0)</f>
        <v/>
      </c>
      <c r="G626" s="168">
        <f>(((MIN(VERI_TABANI!D23, VERI_TABANI!D23*B626)*VERI_TABANI!$B$7 + MAX(0, VERI_TABANI!D23*B626-VERI_TABANI!D23)*VERI_TABANI!$B$8) + (MIN(MAX(0, VERI_TABANI!D23-VERI_TABANI!D23*B626), VERI_TABANI!D23*C626)*VERI_TABANI!$B$7 + MAX(0, VERI_TABANI!D23*C626-MAX(0, VERI_TABANI!D23-VERI_TABANI!D23*B626))*VERI_TABANI!$B$8) + IF(ABS(IF(ISNUMBER(SEARCH("Var", D626)), 1, IF(ISNUMBER(SEARCH("Gri", D626)), -1, 0)))=1, VERI_TABANI!E23*(1-0.928)*VERI_TABANI!$B$9, 0) + (VERI_TABANI!D23*B626*(VERI_TABANI!$B$13-VERI_TABANI!$B$14)*VERI_TABANI!G23) + (VERI_TABANI!D23*C626*(VERI_TABANI!$B$13-VERI_TABANI!$B$15)*VERI_TABANI!G23) + IF(ABS(IF(ISNUMBER(SEARCH("Var", D626)), 1, IF(ISNUMBER(SEARCH("Gri", D626)), -1, 0)))=1, VERI_TABANI!E23*(1-0.928)*0.00206091519919798*VERI_TABANI!G23, 0)) + ((MIN(VERI_TABANI!D24, VERI_TABANI!D24*B626)*VERI_TABANI!$B$7 + MAX(0, VERI_TABANI!D24*B626-VERI_TABANI!D24)*VERI_TABANI!$B$8) + (MIN(MAX(0, VERI_TABANI!D24-VERI_TABANI!D24*B626), VERI_TABANI!D24*C626)*VERI_TABANI!$B$7 + MAX(0, VERI_TABANI!D24*C626-MAX(0, VERI_TABANI!D24-VERI_TABANI!D24*B626))*VERI_TABANI!$B$8) + IF(ABS(IF(ISNUMBER(SEARCH("Var", D626)), 1, IF(ISNUMBER(SEARCH("Gri", D626)), -1, 0)))=1, VERI_TABANI!E24*(1-0.928)*VERI_TABANI!$B$9, 0) + (VERI_TABANI!D24*B626*(VERI_TABANI!$B$13-VERI_TABANI!$B$14)*VERI_TABANI!G24) + (VERI_TABANI!D24*C626*(VERI_TABANI!$B$13-VERI_TABANI!$B$15)*VERI_TABANI!G24) + IF(ABS(IF(ISNUMBER(SEARCH("Var", D626)), 1, IF(ISNUMBER(SEARCH("Gri", D626)), -1, 0)))=1, VERI_TABANI!E24*(1-0.928)*0.00206091519919798*VERI_TABANI!G24, 0)) + ((MIN(VERI_TABANI!D25, VERI_TABANI!D25*B626)*VERI_TABANI!$B$7 + MAX(0, VERI_TABANI!D25*B626-VERI_TABANI!D25)*VERI_TABANI!$B$8) + (MIN(MAX(0, VERI_TABANI!D25-VERI_TABANI!D25*B626), VERI_TABANI!D25*C626)*VERI_TABANI!$B$7 + MAX(0, VERI_TABANI!D25*C626-MAX(0, VERI_TABANI!D25-VERI_TABANI!D25*B626))*VERI_TABANI!$B$8) + IF(ABS(IF(ISNUMBER(SEARCH("Var", D626)), 1, IF(ISNUMBER(SEARCH("Gri", D626)), -1, 0)))=1, VERI_TABANI!E25*(1-0.928)*VERI_TABANI!$B$9, 0) + (VERI_TABANI!D25*B626*(VERI_TABANI!$B$13-VERI_TABANI!$B$14)*VERI_TABANI!G25) + (VERI_TABANI!D25*C626*(VERI_TABANI!$B$13-VERI_TABANI!$B$15)*VERI_TABANI!G25) + IF(ABS(IF(ISNUMBER(SEARCH("Var", D626)), 1, IF(ISNUMBER(SEARCH("Gri", D626)), -1, 0)))=1, VERI_TABANI!E25*(1-0.928)*0.00206091519919798*VERI_TABANI!G25, 0)) + ((MIN(VERI_TABANI!D26, VERI_TABANI!D26*B626)*VERI_TABANI!$B$7 + MAX(0, VERI_TABANI!D26*B626-VERI_TABANI!D26)*VERI_TABANI!$B$8) + (MIN(MAX(0, VERI_TABANI!D26-VERI_TABANI!D26*B626), VERI_TABANI!D26*C626)*VERI_TABANI!$B$7 + MAX(0, VERI_TABANI!D26*C626-MAX(0, VERI_TABANI!D26-VERI_TABANI!D26*B626))*VERI_TABANI!$B$8) + IF(ABS(IF(ISNUMBER(SEARCH("Var", D626)), 1, IF(ISNUMBER(SEARCH("Gri", D626)), -1, 0)))=1, VERI_TABANI!E26*(1-0.928)*VERI_TABANI!$B$9, 0) + (VERI_TABANI!D26*B626*(VERI_TABANI!$B$13-VERI_TABANI!$B$14)*VERI_TABANI!G26) + (VERI_TABANI!D26*C626*(VERI_TABANI!$B$13-VERI_TABANI!$B$15)*VERI_TABANI!G26) + IF(ABS(IF(ISNUMBER(SEARCH("Var", D626)), 1, IF(ISNUMBER(SEARCH("Gri", D626)), -1, 0)))=1, VERI_TABANI!E26*(1-0.928)*0.00206091519919798*VERI_TABANI!G26, 0)) + ((MIN(VERI_TABANI!D27, VERI_TABANI!D27*B626)*VERI_TABANI!$B$7 + MAX(0, VERI_TABANI!D27*B626-VERI_TABANI!D27)*VERI_TABANI!$B$8) + (MIN(MAX(0, VERI_TABANI!D27-VERI_TABANI!D27*B626), VERI_TABANI!D27*C626)*VERI_TABANI!$B$7 + MAX(0, VERI_TABANI!D27*C626-MAX(0, VERI_TABANI!D27-VERI_TABANI!D27*B626))*VERI_TABANI!$B$8) + IF(ABS(IF(ISNUMBER(SEARCH("Var", D626)), 1, IF(ISNUMBER(SEARCH("Gri", D626)), -1, 0)))=1, VERI_TABANI!E27*(1-0.928)*VERI_TABANI!$B$9, 0) + (VERI_TABANI!D27*B626*(VERI_TABANI!$B$13-VERI_TABANI!$B$14)*VERI_TABANI!G27) + (VERI_TABANI!D27*C626*(VERI_TABANI!$B$13-VERI_TABANI!$B$15)*VERI_TABANI!G27) + IF(ABS(IF(ISNUMBER(SEARCH("Var", D626)), 1, IF(ISNUMBER(SEARCH("Gri", D626)), -1, 0)))=1, VERI_TABANI!E27*(1-0.928)*0.00206091519919798*VERI_TABANI!G27, 0)) + ((MIN(VERI_TABANI!D28, VERI_TABANI!D28*B626)*VERI_TABANI!$B$7 + MAX(0, VERI_TABANI!D28*B626-VERI_TABANI!D28)*VERI_TABANI!$B$8) + (MIN(MAX(0, VERI_TABANI!D28-VERI_TABANI!D28*B626), VERI_TABANI!D28*C626)*VERI_TABANI!$B$7 + MAX(0, VERI_TABANI!D28*C626-MAX(0, VERI_TABANI!D28-VERI_TABANI!D28*B626))*VERI_TABANI!$B$8) + IF(ABS(IF(ISNUMBER(SEARCH("Var", D626)), 1, IF(ISNUMBER(SEARCH("Gri", D626)), -1, 0)))=1, VERI_TABANI!E28*(1-0.928)*VERI_TABANI!$B$9, 0) + (VERI_TABANI!D28*B626*(VERI_TABANI!$B$13-VERI_TABANI!$B$14)*VERI_TABANI!G28) + (VERI_TABANI!D28*C626*(VERI_TABANI!$B$13-VERI_TABANI!$B$15)*VERI_TABANI!G28) + IF(ABS(IF(ISNUMBER(SEARCH("Var", D626)), 1, IF(ISNUMBER(SEARCH("Gri", D626)), -1, 0)))=1, VERI_TABANI!E28*(1-0.928)*0.00206091519919798*VERI_TABANI!G28, 0)))</f>
        <v/>
      </c>
      <c r="H626" s="169">
        <f>(((VERI_TABANI!D23*B626*(VERI_TABANI!$B$13-VERI_TABANI!$B$14)) + (VERI_TABANI!D23*C626*(VERI_TABANI!$B$13-VERI_TABANI!$B$15)) + IF(ISNUMBER(SEARCH("Var", D626)), VERI_TABANI!F23*(0.00202-VERI_TABANI!$B$16), IF(ISNUMBER(SEARCH("Gri", D626)), VERI_TABANI!F23*(0.00202-VERI_TABANI!$B$17), 0))) + ((VERI_TABANI!D24*B626*(VERI_TABANI!$B$13-VERI_TABANI!$B$14)) + (VERI_TABANI!D24*C626*(VERI_TABANI!$B$13-VERI_TABANI!$B$15)) + IF(ISNUMBER(SEARCH("Var", D626)), VERI_TABANI!F24*(0.00202-VERI_TABANI!$B$16), IF(ISNUMBER(SEARCH("Gri", D626)), VERI_TABANI!F24*(0.00202-VERI_TABANI!$B$17), 0))) + ((VERI_TABANI!D25*B626*(VERI_TABANI!$B$13-VERI_TABANI!$B$14)) + (VERI_TABANI!D25*C626*(VERI_TABANI!$B$13-VERI_TABANI!$B$15)) + IF(ISNUMBER(SEARCH("Var", D626)), VERI_TABANI!F25*(0.00202-VERI_TABANI!$B$16), IF(ISNUMBER(SEARCH("Gri", D626)), VERI_TABANI!F25*(0.00202-VERI_TABANI!$B$17), 0))) + ((VERI_TABANI!D26*B626*(VERI_TABANI!$B$13-VERI_TABANI!$B$14)) + (VERI_TABANI!D26*C626*(VERI_TABANI!$B$13-VERI_TABANI!$B$15)) + IF(ISNUMBER(SEARCH("Var", D626)), VERI_TABANI!F26*(0.00202-VERI_TABANI!$B$16), IF(ISNUMBER(SEARCH("Gri", D626)), VERI_TABANI!F26*(0.00202-VERI_TABANI!$B$17), 0))) + ((VERI_TABANI!D27*B626*(VERI_TABANI!$B$13-VERI_TABANI!$B$14)) + (VERI_TABANI!D27*C626*(VERI_TABANI!$B$13-VERI_TABANI!$B$15)) + IF(ISNUMBER(SEARCH("Var", D626)), VERI_TABANI!F27*(0.00202-VERI_TABANI!$B$16), IF(ISNUMBER(SEARCH("Gri", D626)), VERI_TABANI!F27*(0.00202-VERI_TABANI!$B$17), 0))) + ((VERI_TABANI!D28*B626*(VERI_TABANI!$B$13-VERI_TABANI!$B$14)) + (VERI_TABANI!D28*C626*(VERI_TABANI!$B$13-VERI_TABANI!$B$15)) + IF(ISNUMBER(SEARCH("Var", D626)), VERI_TABANI!F28*(0.00202-VERI_TABANI!$B$16), IF(ISNUMBER(SEARCH("Gri", D626)), VERI_TABANI!F28*(0.00202-VERI_TABANI!$B$17), 0))))</f>
        <v/>
      </c>
      <c r="I626" s="170">
        <f>IFERROR(((VERI_TABANI!$D$29*B626*VERI_TABANI!$B$14 + VERI_TABANI!$D$29*C626*VERI_TABANI!$B$15 + IF(ISNUMBER(SEARCH("Var", D626)), VERI_TABANI!$F$29*VERI_TABANI!$B$16, 0))) / (((VERI_TABANI!$D$29*B626 + VERI_TABANI!$D$29*C626)*VERI_TABANI!$B$13 + IF(ISNUMBER(SEARCH("Var", D626)), VERI_TABANI!$E$29*(1-0.928)*VERI_TABANI!$B$18, 0))), 0)</f>
        <v/>
      </c>
      <c r="J626" s="171">
        <f>IFERROR(F626/(G626/29), 0)</f>
        <v/>
      </c>
      <c r="K626" s="172">
        <f>IF(F626&gt;0, H626/F626, 0)</f>
        <v/>
      </c>
      <c r="L626" s="170">
        <f>IF(F626&gt;0, I626, 1000000000)</f>
        <v/>
      </c>
      <c r="M626" s="171">
        <f>ABS((B626+C626)-1)</f>
        <v/>
      </c>
      <c r="N626" s="170">
        <f>IF(F626&gt;0, (G626/29)/F626, 0)</f>
        <v/>
      </c>
      <c r="O626" s="168">
        <f>IF(AND((B626+C626)&gt;=1, ISNUMBER(SEARCH("Var", D626))), F626, 1000000000)</f>
        <v/>
      </c>
      <c r="P626" s="172">
        <f>IF(F626&gt;0, SQRT((F626/MAX(F$5:F$886))^2 + (1 - H626/MAX(H$5:H$886))^2 + (J626/MAX(J$5:J$886))^2), 1000000000)</f>
        <v/>
      </c>
      <c r="Q626" s="166">
        <f>IF(AND(ABS(B626-0.5)&lt;0.01, ABS(C626-0.5)&lt;0.01, ISNUMBER(SEARCH("Var", D626))), 1, 0)</f>
        <v/>
      </c>
      <c r="R626" s="171">
        <f>IF(F626&gt;0, J626, 1000000000)</f>
        <v/>
      </c>
      <c r="S626" s="101">
        <f>IF(AND(F626&lt;=DASHBOARD!$B$11, H626&gt;=DASHBOARD!$B$13), G626, -1000000000000)</f>
        <v/>
      </c>
      <c r="T626" s="101">
        <f>IF(AND(F626&lt;=DASHBOARD!$B$11, H626&gt;=DASHBOARD!$B$13), R626, 1000000000000)</f>
        <v/>
      </c>
      <c r="U626" s="101">
        <f>IF(AND(F626&lt;=DASHBOARD!$B$11, H626&gt;=DASHBOARD!$B$13), N626, -1000000000000)</f>
        <v/>
      </c>
      <c r="V626" s="101">
        <f>IF(AND(F626&lt;=DASHBOARD!$B$11, H626&gt;=DASHBOARD!$B$13), H626, -1000000000000)</f>
        <v/>
      </c>
      <c r="W626" s="101">
        <f>IF(AND(F626&lt;=DASHBOARD!$B$11, H626&gt;=DASHBOARD!$B$13), K626, -1000000000000)</f>
        <v/>
      </c>
      <c r="X626" s="101">
        <f>IF(AND(F626&lt;=DASHBOARD!$B$11, H626&gt;=DASHBOARD!$B$13), M626, 1000000000000)</f>
        <v/>
      </c>
      <c r="Y626" s="101">
        <f>IF(AND(F626&lt;=DASHBOARD!$B$10, H626&gt;=DASHBOARD!$B$11), L626, 1000000000000)</f>
        <v/>
      </c>
      <c r="Z626" s="101">
        <f>IF(AND(F626&lt;=DASHBOARD!$B$10, H626&gt;=DASHBOARD!$B$11), O626, 1000000000000)</f>
        <v/>
      </c>
      <c r="AA626" s="101">
        <f>IF(AND(F626&lt;=DASHBOARD!$B$10, H626&gt;=DASHBOARD!$B$11), P626, 1000000000000)</f>
        <v/>
      </c>
      <c r="AB626" s="101">
        <f>IF(AND(F626&lt;=DASHBOARD!$B$10, H626&gt;=DASHBOARD!$B$11), Q626, -1000000000000)</f>
        <v/>
      </c>
    </row>
    <row r="627" ht="15" customHeight="1" s="102">
      <c r="A627" s="166" t="n">
        <v>623</v>
      </c>
      <c r="B627" s="167" t="n">
        <v>1.4</v>
      </c>
      <c r="C627" s="167" t="n">
        <v>1.7</v>
      </c>
      <c r="D627" s="110" t="inlineStr">
        <is>
          <t>Yok (%0)</t>
        </is>
      </c>
      <c r="E627" s="110">
        <f>IF((B627+C627)&lt;=1, "Tam Mahsuplaşma (≤%100)", "Kısmi Satış (&gt;%100)")</f>
        <v/>
      </c>
      <c r="F627" s="168">
        <f>((VERI_TABANI!$D$29*B627/VERI_TABANI!$B$29)/VERI_TABANI!$B$3)*VERI_TABANI!$B$5 + ((VERI_TABANI!$D$29*C627/VERI_TABANI!$B$29)/VERI_TABANI!$B$4)*VERI_TABANI!$B$6 + IF(ISNUMBER(SEARCH("Var", D627)), (VERI_TABANI!$F$29/VERI_TABANI!$B$29)*(VERI_TABANI!$B$10+VERI_TABANI!$B$12), 0)</f>
        <v/>
      </c>
      <c r="G627" s="168">
        <f>(((MIN(VERI_TABANI!D23, VERI_TABANI!D23*B627)*VERI_TABANI!$B$7 + MAX(0, VERI_TABANI!D23*B627-VERI_TABANI!D23)*VERI_TABANI!$B$8) + (MIN(MAX(0, VERI_TABANI!D23-VERI_TABANI!D23*B627), VERI_TABANI!D23*C627)*VERI_TABANI!$B$7 + MAX(0, VERI_TABANI!D23*C627-MAX(0, VERI_TABANI!D23-VERI_TABANI!D23*B627))*VERI_TABANI!$B$8) + IF(ABS(IF(ISNUMBER(SEARCH("Var", D627)), 1, IF(ISNUMBER(SEARCH("Gri", D627)), -1, 0)))=1, VERI_TABANI!E23*(1-0.928)*VERI_TABANI!$B$9, 0) + (VERI_TABANI!D23*B627*(VERI_TABANI!$B$13-VERI_TABANI!$B$14)*VERI_TABANI!G23) + (VERI_TABANI!D23*C627*(VERI_TABANI!$B$13-VERI_TABANI!$B$15)*VERI_TABANI!G23) + IF(ABS(IF(ISNUMBER(SEARCH("Var", D627)), 1, IF(ISNUMBER(SEARCH("Gri", D627)), -1, 0)))=1, VERI_TABANI!E23*(1-0.928)*0.00206091519919798*VERI_TABANI!G23, 0)) + ((MIN(VERI_TABANI!D24, VERI_TABANI!D24*B627)*VERI_TABANI!$B$7 + MAX(0, VERI_TABANI!D24*B627-VERI_TABANI!D24)*VERI_TABANI!$B$8) + (MIN(MAX(0, VERI_TABANI!D24-VERI_TABANI!D24*B627), VERI_TABANI!D24*C627)*VERI_TABANI!$B$7 + MAX(0, VERI_TABANI!D24*C627-MAX(0, VERI_TABANI!D24-VERI_TABANI!D24*B627))*VERI_TABANI!$B$8) + IF(ABS(IF(ISNUMBER(SEARCH("Var", D627)), 1, IF(ISNUMBER(SEARCH("Gri", D627)), -1, 0)))=1, VERI_TABANI!E24*(1-0.928)*VERI_TABANI!$B$9, 0) + (VERI_TABANI!D24*B627*(VERI_TABANI!$B$13-VERI_TABANI!$B$14)*VERI_TABANI!G24) + (VERI_TABANI!D24*C627*(VERI_TABANI!$B$13-VERI_TABANI!$B$15)*VERI_TABANI!G24) + IF(ABS(IF(ISNUMBER(SEARCH("Var", D627)), 1, IF(ISNUMBER(SEARCH("Gri", D627)), -1, 0)))=1, VERI_TABANI!E24*(1-0.928)*0.00206091519919798*VERI_TABANI!G24, 0)) + ((MIN(VERI_TABANI!D25, VERI_TABANI!D25*B627)*VERI_TABANI!$B$7 + MAX(0, VERI_TABANI!D25*B627-VERI_TABANI!D25)*VERI_TABANI!$B$8) + (MIN(MAX(0, VERI_TABANI!D25-VERI_TABANI!D25*B627), VERI_TABANI!D25*C627)*VERI_TABANI!$B$7 + MAX(0, VERI_TABANI!D25*C627-MAX(0, VERI_TABANI!D25-VERI_TABANI!D25*B627))*VERI_TABANI!$B$8) + IF(ABS(IF(ISNUMBER(SEARCH("Var", D627)), 1, IF(ISNUMBER(SEARCH("Gri", D627)), -1, 0)))=1, VERI_TABANI!E25*(1-0.928)*VERI_TABANI!$B$9, 0) + (VERI_TABANI!D25*B627*(VERI_TABANI!$B$13-VERI_TABANI!$B$14)*VERI_TABANI!G25) + (VERI_TABANI!D25*C627*(VERI_TABANI!$B$13-VERI_TABANI!$B$15)*VERI_TABANI!G25) + IF(ABS(IF(ISNUMBER(SEARCH("Var", D627)), 1, IF(ISNUMBER(SEARCH("Gri", D627)), -1, 0)))=1, VERI_TABANI!E25*(1-0.928)*0.00206091519919798*VERI_TABANI!G25, 0)) + ((MIN(VERI_TABANI!D26, VERI_TABANI!D26*B627)*VERI_TABANI!$B$7 + MAX(0, VERI_TABANI!D26*B627-VERI_TABANI!D26)*VERI_TABANI!$B$8) + (MIN(MAX(0, VERI_TABANI!D26-VERI_TABANI!D26*B627), VERI_TABANI!D26*C627)*VERI_TABANI!$B$7 + MAX(0, VERI_TABANI!D26*C627-MAX(0, VERI_TABANI!D26-VERI_TABANI!D26*B627))*VERI_TABANI!$B$8) + IF(ABS(IF(ISNUMBER(SEARCH("Var", D627)), 1, IF(ISNUMBER(SEARCH("Gri", D627)), -1, 0)))=1, VERI_TABANI!E26*(1-0.928)*VERI_TABANI!$B$9, 0) + (VERI_TABANI!D26*B627*(VERI_TABANI!$B$13-VERI_TABANI!$B$14)*VERI_TABANI!G26) + (VERI_TABANI!D26*C627*(VERI_TABANI!$B$13-VERI_TABANI!$B$15)*VERI_TABANI!G26) + IF(ABS(IF(ISNUMBER(SEARCH("Var", D627)), 1, IF(ISNUMBER(SEARCH("Gri", D627)), -1, 0)))=1, VERI_TABANI!E26*(1-0.928)*0.00206091519919798*VERI_TABANI!G26, 0)) + ((MIN(VERI_TABANI!D27, VERI_TABANI!D27*B627)*VERI_TABANI!$B$7 + MAX(0, VERI_TABANI!D27*B627-VERI_TABANI!D27)*VERI_TABANI!$B$8) + (MIN(MAX(0, VERI_TABANI!D27-VERI_TABANI!D27*B627), VERI_TABANI!D27*C627)*VERI_TABANI!$B$7 + MAX(0, VERI_TABANI!D27*C627-MAX(0, VERI_TABANI!D27-VERI_TABANI!D27*B627))*VERI_TABANI!$B$8) + IF(ABS(IF(ISNUMBER(SEARCH("Var", D627)), 1, IF(ISNUMBER(SEARCH("Gri", D627)), -1, 0)))=1, VERI_TABANI!E27*(1-0.928)*VERI_TABANI!$B$9, 0) + (VERI_TABANI!D27*B627*(VERI_TABANI!$B$13-VERI_TABANI!$B$14)*VERI_TABANI!G27) + (VERI_TABANI!D27*C627*(VERI_TABANI!$B$13-VERI_TABANI!$B$15)*VERI_TABANI!G27) + IF(ABS(IF(ISNUMBER(SEARCH("Var", D627)), 1, IF(ISNUMBER(SEARCH("Gri", D627)), -1, 0)))=1, VERI_TABANI!E27*(1-0.928)*0.00206091519919798*VERI_TABANI!G27, 0)) + ((MIN(VERI_TABANI!D28, VERI_TABANI!D28*B627)*VERI_TABANI!$B$7 + MAX(0, VERI_TABANI!D28*B627-VERI_TABANI!D28)*VERI_TABANI!$B$8) + (MIN(MAX(0, VERI_TABANI!D28-VERI_TABANI!D28*B627), VERI_TABANI!D28*C627)*VERI_TABANI!$B$7 + MAX(0, VERI_TABANI!D28*C627-MAX(0, VERI_TABANI!D28-VERI_TABANI!D28*B627))*VERI_TABANI!$B$8) + IF(ABS(IF(ISNUMBER(SEARCH("Var", D627)), 1, IF(ISNUMBER(SEARCH("Gri", D627)), -1, 0)))=1, VERI_TABANI!E28*(1-0.928)*VERI_TABANI!$B$9, 0) + (VERI_TABANI!D28*B627*(VERI_TABANI!$B$13-VERI_TABANI!$B$14)*VERI_TABANI!G28) + (VERI_TABANI!D28*C627*(VERI_TABANI!$B$13-VERI_TABANI!$B$15)*VERI_TABANI!G28) + IF(ABS(IF(ISNUMBER(SEARCH("Var", D627)), 1, IF(ISNUMBER(SEARCH("Gri", D627)), -1, 0)))=1, VERI_TABANI!E28*(1-0.928)*0.00206091519919798*VERI_TABANI!G28, 0)))</f>
        <v/>
      </c>
      <c r="H627" s="169">
        <f>(((VERI_TABANI!D23*B627*(VERI_TABANI!$B$13-VERI_TABANI!$B$14)) + (VERI_TABANI!D23*C627*(VERI_TABANI!$B$13-VERI_TABANI!$B$15)) + IF(ISNUMBER(SEARCH("Var", D627)), VERI_TABANI!F23*(0.00202-VERI_TABANI!$B$16), IF(ISNUMBER(SEARCH("Gri", D627)), VERI_TABANI!F23*(0.00202-VERI_TABANI!$B$17), 0))) + ((VERI_TABANI!D24*B627*(VERI_TABANI!$B$13-VERI_TABANI!$B$14)) + (VERI_TABANI!D24*C627*(VERI_TABANI!$B$13-VERI_TABANI!$B$15)) + IF(ISNUMBER(SEARCH("Var", D627)), VERI_TABANI!F24*(0.00202-VERI_TABANI!$B$16), IF(ISNUMBER(SEARCH("Gri", D627)), VERI_TABANI!F24*(0.00202-VERI_TABANI!$B$17), 0))) + ((VERI_TABANI!D25*B627*(VERI_TABANI!$B$13-VERI_TABANI!$B$14)) + (VERI_TABANI!D25*C627*(VERI_TABANI!$B$13-VERI_TABANI!$B$15)) + IF(ISNUMBER(SEARCH("Var", D627)), VERI_TABANI!F25*(0.00202-VERI_TABANI!$B$16), IF(ISNUMBER(SEARCH("Gri", D627)), VERI_TABANI!F25*(0.00202-VERI_TABANI!$B$17), 0))) + ((VERI_TABANI!D26*B627*(VERI_TABANI!$B$13-VERI_TABANI!$B$14)) + (VERI_TABANI!D26*C627*(VERI_TABANI!$B$13-VERI_TABANI!$B$15)) + IF(ISNUMBER(SEARCH("Var", D627)), VERI_TABANI!F26*(0.00202-VERI_TABANI!$B$16), IF(ISNUMBER(SEARCH("Gri", D627)), VERI_TABANI!F26*(0.00202-VERI_TABANI!$B$17), 0))) + ((VERI_TABANI!D27*B627*(VERI_TABANI!$B$13-VERI_TABANI!$B$14)) + (VERI_TABANI!D27*C627*(VERI_TABANI!$B$13-VERI_TABANI!$B$15)) + IF(ISNUMBER(SEARCH("Var", D627)), VERI_TABANI!F27*(0.00202-VERI_TABANI!$B$16), IF(ISNUMBER(SEARCH("Gri", D627)), VERI_TABANI!F27*(0.00202-VERI_TABANI!$B$17), 0))) + ((VERI_TABANI!D28*B627*(VERI_TABANI!$B$13-VERI_TABANI!$B$14)) + (VERI_TABANI!D28*C627*(VERI_TABANI!$B$13-VERI_TABANI!$B$15)) + IF(ISNUMBER(SEARCH("Var", D627)), VERI_TABANI!F28*(0.00202-VERI_TABANI!$B$16), IF(ISNUMBER(SEARCH("Gri", D627)), VERI_TABANI!F28*(0.00202-VERI_TABANI!$B$17), 0))))</f>
        <v/>
      </c>
      <c r="I627" s="170">
        <f>IFERROR(((VERI_TABANI!$D$29*B627*VERI_TABANI!$B$14 + VERI_TABANI!$D$29*C627*VERI_TABANI!$B$15 + IF(ISNUMBER(SEARCH("Var", D627)), VERI_TABANI!$F$29*VERI_TABANI!$B$16, 0))) / (((VERI_TABANI!$D$29*B627 + VERI_TABANI!$D$29*C627)*VERI_TABANI!$B$13 + IF(ISNUMBER(SEARCH("Var", D627)), VERI_TABANI!$E$29*(1-0.928)*VERI_TABANI!$B$18, 0))), 0)</f>
        <v/>
      </c>
      <c r="J627" s="171">
        <f>IFERROR(F627/(G627/29), 0)</f>
        <v/>
      </c>
      <c r="K627" s="172">
        <f>IF(F627&gt;0, H627/F627, 0)</f>
        <v/>
      </c>
      <c r="L627" s="170">
        <f>IF(F627&gt;0, I627, 1000000000)</f>
        <v/>
      </c>
      <c r="M627" s="171">
        <f>ABS((B627+C627)-1)</f>
        <v/>
      </c>
      <c r="N627" s="170">
        <f>IF(F627&gt;0, (G627/29)/F627, 0)</f>
        <v/>
      </c>
      <c r="O627" s="168">
        <f>IF(AND((B627+C627)&gt;=1, ISNUMBER(SEARCH("Var", D627))), F627, 1000000000)</f>
        <v/>
      </c>
      <c r="P627" s="172">
        <f>IF(F627&gt;0, SQRT((F627/MAX(F$5:F$886))^2 + (1 - H627/MAX(H$5:H$886))^2 + (J627/MAX(J$5:J$886))^2), 1000000000)</f>
        <v/>
      </c>
      <c r="Q627" s="166">
        <f>IF(AND(ABS(B627-0.5)&lt;0.01, ABS(C627-0.5)&lt;0.01, ISNUMBER(SEARCH("Var", D627))), 1, 0)</f>
        <v/>
      </c>
      <c r="R627" s="171">
        <f>IF(F627&gt;0, J627, 1000000000)</f>
        <v/>
      </c>
      <c r="S627" s="101">
        <f>IF(AND(F627&lt;=DASHBOARD!$B$11, H627&gt;=DASHBOARD!$B$13), G627, -1000000000000)</f>
        <v/>
      </c>
      <c r="T627" s="101">
        <f>IF(AND(F627&lt;=DASHBOARD!$B$11, H627&gt;=DASHBOARD!$B$13), R627, 1000000000000)</f>
        <v/>
      </c>
      <c r="U627" s="101">
        <f>IF(AND(F627&lt;=DASHBOARD!$B$11, H627&gt;=DASHBOARD!$B$13), N627, -1000000000000)</f>
        <v/>
      </c>
      <c r="V627" s="101">
        <f>IF(AND(F627&lt;=DASHBOARD!$B$11, H627&gt;=DASHBOARD!$B$13), H627, -1000000000000)</f>
        <v/>
      </c>
      <c r="W627" s="101">
        <f>IF(AND(F627&lt;=DASHBOARD!$B$11, H627&gt;=DASHBOARD!$B$13), K627, -1000000000000)</f>
        <v/>
      </c>
      <c r="X627" s="101">
        <f>IF(AND(F627&lt;=DASHBOARD!$B$11, H627&gt;=DASHBOARD!$B$13), M627, 1000000000000)</f>
        <v/>
      </c>
      <c r="Y627" s="101">
        <f>IF(AND(F627&lt;=DASHBOARD!$B$10, H627&gt;=DASHBOARD!$B$11), L627, 1000000000000)</f>
        <v/>
      </c>
      <c r="Z627" s="101">
        <f>IF(AND(F627&lt;=DASHBOARD!$B$10, H627&gt;=DASHBOARD!$B$11), O627, 1000000000000)</f>
        <v/>
      </c>
      <c r="AA627" s="101">
        <f>IF(AND(F627&lt;=DASHBOARD!$B$10, H627&gt;=DASHBOARD!$B$11), P627, 1000000000000)</f>
        <v/>
      </c>
      <c r="AB627" s="101">
        <f>IF(AND(F627&lt;=DASHBOARD!$B$10, H627&gt;=DASHBOARD!$B$11), Q627, -1000000000000)</f>
        <v/>
      </c>
    </row>
    <row r="628" ht="15" customHeight="1" s="102">
      <c r="A628" s="166" t="n">
        <v>624</v>
      </c>
      <c r="B628" s="167" t="n">
        <v>1.4</v>
      </c>
      <c r="C628" s="167" t="n">
        <v>1.7</v>
      </c>
      <c r="D628" s="110" t="inlineStr">
        <is>
          <t>Var (%20)</t>
        </is>
      </c>
      <c r="E628" s="110">
        <f>IF((B628+C628)&lt;=1, "Tam Mahsuplaşma (≤%100)", "Kısmi Satış (&gt;%100)")</f>
        <v/>
      </c>
      <c r="F628" s="168">
        <f>((VERI_TABANI!$D$29*B628/VERI_TABANI!$B$29)/VERI_TABANI!$B$3)*VERI_TABANI!$B$5 + ((VERI_TABANI!$D$29*C628/VERI_TABANI!$B$29)/VERI_TABANI!$B$4)*VERI_TABANI!$B$6 + IF(ISNUMBER(SEARCH("Var", D628)), (VERI_TABANI!$F$29/VERI_TABANI!$B$29)*(VERI_TABANI!$B$10+VERI_TABANI!$B$12), 0)</f>
        <v/>
      </c>
      <c r="G628" s="168">
        <f>(((MIN(VERI_TABANI!D23, VERI_TABANI!D23*B628)*VERI_TABANI!$B$7 + MAX(0, VERI_TABANI!D23*B628-VERI_TABANI!D23)*VERI_TABANI!$B$8) + (MIN(MAX(0, VERI_TABANI!D23-VERI_TABANI!D23*B628), VERI_TABANI!D23*C628)*VERI_TABANI!$B$7 + MAX(0, VERI_TABANI!D23*C628-MAX(0, VERI_TABANI!D23-VERI_TABANI!D23*B628))*VERI_TABANI!$B$8) + IF(ABS(IF(ISNUMBER(SEARCH("Var", D628)), 1, IF(ISNUMBER(SEARCH("Gri", D628)), -1, 0)))=1, VERI_TABANI!E23*(1-0.928)*VERI_TABANI!$B$9, 0) + (VERI_TABANI!D23*B628*(VERI_TABANI!$B$13-VERI_TABANI!$B$14)*VERI_TABANI!G23) + (VERI_TABANI!D23*C628*(VERI_TABANI!$B$13-VERI_TABANI!$B$15)*VERI_TABANI!G23) + IF(ABS(IF(ISNUMBER(SEARCH("Var", D628)), 1, IF(ISNUMBER(SEARCH("Gri", D628)), -1, 0)))=1, VERI_TABANI!E23*(1-0.928)*0.00206091519919798*VERI_TABANI!G23, 0)) + ((MIN(VERI_TABANI!D24, VERI_TABANI!D24*B628)*VERI_TABANI!$B$7 + MAX(0, VERI_TABANI!D24*B628-VERI_TABANI!D24)*VERI_TABANI!$B$8) + (MIN(MAX(0, VERI_TABANI!D24-VERI_TABANI!D24*B628), VERI_TABANI!D24*C628)*VERI_TABANI!$B$7 + MAX(0, VERI_TABANI!D24*C628-MAX(0, VERI_TABANI!D24-VERI_TABANI!D24*B628))*VERI_TABANI!$B$8) + IF(ABS(IF(ISNUMBER(SEARCH("Var", D628)), 1, IF(ISNUMBER(SEARCH("Gri", D628)), -1, 0)))=1, VERI_TABANI!E24*(1-0.928)*VERI_TABANI!$B$9, 0) + (VERI_TABANI!D24*B628*(VERI_TABANI!$B$13-VERI_TABANI!$B$14)*VERI_TABANI!G24) + (VERI_TABANI!D24*C628*(VERI_TABANI!$B$13-VERI_TABANI!$B$15)*VERI_TABANI!G24) + IF(ABS(IF(ISNUMBER(SEARCH("Var", D628)), 1, IF(ISNUMBER(SEARCH("Gri", D628)), -1, 0)))=1, VERI_TABANI!E24*(1-0.928)*0.00206091519919798*VERI_TABANI!G24, 0)) + ((MIN(VERI_TABANI!D25, VERI_TABANI!D25*B628)*VERI_TABANI!$B$7 + MAX(0, VERI_TABANI!D25*B628-VERI_TABANI!D25)*VERI_TABANI!$B$8) + (MIN(MAX(0, VERI_TABANI!D25-VERI_TABANI!D25*B628), VERI_TABANI!D25*C628)*VERI_TABANI!$B$7 + MAX(0, VERI_TABANI!D25*C628-MAX(0, VERI_TABANI!D25-VERI_TABANI!D25*B628))*VERI_TABANI!$B$8) + IF(ABS(IF(ISNUMBER(SEARCH("Var", D628)), 1, IF(ISNUMBER(SEARCH("Gri", D628)), -1, 0)))=1, VERI_TABANI!E25*(1-0.928)*VERI_TABANI!$B$9, 0) + (VERI_TABANI!D25*B628*(VERI_TABANI!$B$13-VERI_TABANI!$B$14)*VERI_TABANI!G25) + (VERI_TABANI!D25*C628*(VERI_TABANI!$B$13-VERI_TABANI!$B$15)*VERI_TABANI!G25) + IF(ABS(IF(ISNUMBER(SEARCH("Var", D628)), 1, IF(ISNUMBER(SEARCH("Gri", D628)), -1, 0)))=1, VERI_TABANI!E25*(1-0.928)*0.00206091519919798*VERI_TABANI!G25, 0)) + ((MIN(VERI_TABANI!D26, VERI_TABANI!D26*B628)*VERI_TABANI!$B$7 + MAX(0, VERI_TABANI!D26*B628-VERI_TABANI!D26)*VERI_TABANI!$B$8) + (MIN(MAX(0, VERI_TABANI!D26-VERI_TABANI!D26*B628), VERI_TABANI!D26*C628)*VERI_TABANI!$B$7 + MAX(0, VERI_TABANI!D26*C628-MAX(0, VERI_TABANI!D26-VERI_TABANI!D26*B628))*VERI_TABANI!$B$8) + IF(ABS(IF(ISNUMBER(SEARCH("Var", D628)), 1, IF(ISNUMBER(SEARCH("Gri", D628)), -1, 0)))=1, VERI_TABANI!E26*(1-0.928)*VERI_TABANI!$B$9, 0) + (VERI_TABANI!D26*B628*(VERI_TABANI!$B$13-VERI_TABANI!$B$14)*VERI_TABANI!G26) + (VERI_TABANI!D26*C628*(VERI_TABANI!$B$13-VERI_TABANI!$B$15)*VERI_TABANI!G26) + IF(ABS(IF(ISNUMBER(SEARCH("Var", D628)), 1, IF(ISNUMBER(SEARCH("Gri", D628)), -1, 0)))=1, VERI_TABANI!E26*(1-0.928)*0.00206091519919798*VERI_TABANI!G26, 0)) + ((MIN(VERI_TABANI!D27, VERI_TABANI!D27*B628)*VERI_TABANI!$B$7 + MAX(0, VERI_TABANI!D27*B628-VERI_TABANI!D27)*VERI_TABANI!$B$8) + (MIN(MAX(0, VERI_TABANI!D27-VERI_TABANI!D27*B628), VERI_TABANI!D27*C628)*VERI_TABANI!$B$7 + MAX(0, VERI_TABANI!D27*C628-MAX(0, VERI_TABANI!D27-VERI_TABANI!D27*B628))*VERI_TABANI!$B$8) + IF(ABS(IF(ISNUMBER(SEARCH("Var", D628)), 1, IF(ISNUMBER(SEARCH("Gri", D628)), -1, 0)))=1, VERI_TABANI!E27*(1-0.928)*VERI_TABANI!$B$9, 0) + (VERI_TABANI!D27*B628*(VERI_TABANI!$B$13-VERI_TABANI!$B$14)*VERI_TABANI!G27) + (VERI_TABANI!D27*C628*(VERI_TABANI!$B$13-VERI_TABANI!$B$15)*VERI_TABANI!G27) + IF(ABS(IF(ISNUMBER(SEARCH("Var", D628)), 1, IF(ISNUMBER(SEARCH("Gri", D628)), -1, 0)))=1, VERI_TABANI!E27*(1-0.928)*0.00206091519919798*VERI_TABANI!G27, 0)) + ((MIN(VERI_TABANI!D28, VERI_TABANI!D28*B628)*VERI_TABANI!$B$7 + MAX(0, VERI_TABANI!D28*B628-VERI_TABANI!D28)*VERI_TABANI!$B$8) + (MIN(MAX(0, VERI_TABANI!D28-VERI_TABANI!D28*B628), VERI_TABANI!D28*C628)*VERI_TABANI!$B$7 + MAX(0, VERI_TABANI!D28*C628-MAX(0, VERI_TABANI!D28-VERI_TABANI!D28*B628))*VERI_TABANI!$B$8) + IF(ABS(IF(ISNUMBER(SEARCH("Var", D628)), 1, IF(ISNUMBER(SEARCH("Gri", D628)), -1, 0)))=1, VERI_TABANI!E28*(1-0.928)*VERI_TABANI!$B$9, 0) + (VERI_TABANI!D28*B628*(VERI_TABANI!$B$13-VERI_TABANI!$B$14)*VERI_TABANI!G28) + (VERI_TABANI!D28*C628*(VERI_TABANI!$B$13-VERI_TABANI!$B$15)*VERI_TABANI!G28) + IF(ABS(IF(ISNUMBER(SEARCH("Var", D628)), 1, IF(ISNUMBER(SEARCH("Gri", D628)), -1, 0)))=1, VERI_TABANI!E28*(1-0.928)*0.00206091519919798*VERI_TABANI!G28, 0)))</f>
        <v/>
      </c>
      <c r="H628" s="169">
        <f>(((VERI_TABANI!D23*B628*(VERI_TABANI!$B$13-VERI_TABANI!$B$14)) + (VERI_TABANI!D23*C628*(VERI_TABANI!$B$13-VERI_TABANI!$B$15)) + IF(ISNUMBER(SEARCH("Var", D628)), VERI_TABANI!F23*(0.00202-VERI_TABANI!$B$16), IF(ISNUMBER(SEARCH("Gri", D628)), VERI_TABANI!F23*(0.00202-VERI_TABANI!$B$17), 0))) + ((VERI_TABANI!D24*B628*(VERI_TABANI!$B$13-VERI_TABANI!$B$14)) + (VERI_TABANI!D24*C628*(VERI_TABANI!$B$13-VERI_TABANI!$B$15)) + IF(ISNUMBER(SEARCH("Var", D628)), VERI_TABANI!F24*(0.00202-VERI_TABANI!$B$16), IF(ISNUMBER(SEARCH("Gri", D628)), VERI_TABANI!F24*(0.00202-VERI_TABANI!$B$17), 0))) + ((VERI_TABANI!D25*B628*(VERI_TABANI!$B$13-VERI_TABANI!$B$14)) + (VERI_TABANI!D25*C628*(VERI_TABANI!$B$13-VERI_TABANI!$B$15)) + IF(ISNUMBER(SEARCH("Var", D628)), VERI_TABANI!F25*(0.00202-VERI_TABANI!$B$16), IF(ISNUMBER(SEARCH("Gri", D628)), VERI_TABANI!F25*(0.00202-VERI_TABANI!$B$17), 0))) + ((VERI_TABANI!D26*B628*(VERI_TABANI!$B$13-VERI_TABANI!$B$14)) + (VERI_TABANI!D26*C628*(VERI_TABANI!$B$13-VERI_TABANI!$B$15)) + IF(ISNUMBER(SEARCH("Var", D628)), VERI_TABANI!F26*(0.00202-VERI_TABANI!$B$16), IF(ISNUMBER(SEARCH("Gri", D628)), VERI_TABANI!F26*(0.00202-VERI_TABANI!$B$17), 0))) + ((VERI_TABANI!D27*B628*(VERI_TABANI!$B$13-VERI_TABANI!$B$14)) + (VERI_TABANI!D27*C628*(VERI_TABANI!$B$13-VERI_TABANI!$B$15)) + IF(ISNUMBER(SEARCH("Var", D628)), VERI_TABANI!F27*(0.00202-VERI_TABANI!$B$16), IF(ISNUMBER(SEARCH("Gri", D628)), VERI_TABANI!F27*(0.00202-VERI_TABANI!$B$17), 0))) + ((VERI_TABANI!D28*B628*(VERI_TABANI!$B$13-VERI_TABANI!$B$14)) + (VERI_TABANI!D28*C628*(VERI_TABANI!$B$13-VERI_TABANI!$B$15)) + IF(ISNUMBER(SEARCH("Var", D628)), VERI_TABANI!F28*(0.00202-VERI_TABANI!$B$16), IF(ISNUMBER(SEARCH("Gri", D628)), VERI_TABANI!F28*(0.00202-VERI_TABANI!$B$17), 0))))</f>
        <v/>
      </c>
      <c r="I628" s="170">
        <f>IFERROR(((VERI_TABANI!$D$29*B628*VERI_TABANI!$B$14 + VERI_TABANI!$D$29*C628*VERI_TABANI!$B$15 + IF(ISNUMBER(SEARCH("Var", D628)), VERI_TABANI!$F$29*VERI_TABANI!$B$16, 0))) / (((VERI_TABANI!$D$29*B628 + VERI_TABANI!$D$29*C628)*VERI_TABANI!$B$13 + IF(ISNUMBER(SEARCH("Var", D628)), VERI_TABANI!$E$29*(1-0.928)*VERI_TABANI!$B$18, 0))), 0)</f>
        <v/>
      </c>
      <c r="J628" s="171">
        <f>IFERROR(F628/(G628/29), 0)</f>
        <v/>
      </c>
      <c r="K628" s="172">
        <f>IF(F628&gt;0, H628/F628, 0)</f>
        <v/>
      </c>
      <c r="L628" s="170">
        <f>IF(F628&gt;0, I628, 1000000000)</f>
        <v/>
      </c>
      <c r="M628" s="171">
        <f>ABS((B628+C628)-1)</f>
        <v/>
      </c>
      <c r="N628" s="170">
        <f>IF(F628&gt;0, (G628/29)/F628, 0)</f>
        <v/>
      </c>
      <c r="O628" s="168">
        <f>IF(AND((B628+C628)&gt;=1, ISNUMBER(SEARCH("Var", D628))), F628, 1000000000)</f>
        <v/>
      </c>
      <c r="P628" s="172">
        <f>IF(F628&gt;0, SQRT((F628/MAX(F$5:F$886))^2 + (1 - H628/MAX(H$5:H$886))^2 + (J628/MAX(J$5:J$886))^2), 1000000000)</f>
        <v/>
      </c>
      <c r="Q628" s="166">
        <f>IF(AND(ABS(B628-0.5)&lt;0.01, ABS(C628-0.5)&lt;0.01, ISNUMBER(SEARCH("Var", D628))), 1, 0)</f>
        <v/>
      </c>
      <c r="R628" s="171">
        <f>IF(F628&gt;0, J628, 1000000000)</f>
        <v/>
      </c>
      <c r="S628" s="101">
        <f>IF(AND(F628&lt;=DASHBOARD!$B$11, H628&gt;=DASHBOARD!$B$13), G628, -1000000000000)</f>
        <v/>
      </c>
      <c r="T628" s="101">
        <f>IF(AND(F628&lt;=DASHBOARD!$B$11, H628&gt;=DASHBOARD!$B$13), R628, 1000000000000)</f>
        <v/>
      </c>
      <c r="U628" s="101">
        <f>IF(AND(F628&lt;=DASHBOARD!$B$11, H628&gt;=DASHBOARD!$B$13), N628, -1000000000000)</f>
        <v/>
      </c>
      <c r="V628" s="101">
        <f>IF(AND(F628&lt;=DASHBOARD!$B$11, H628&gt;=DASHBOARD!$B$13), H628, -1000000000000)</f>
        <v/>
      </c>
      <c r="W628" s="101">
        <f>IF(AND(F628&lt;=DASHBOARD!$B$11, H628&gt;=DASHBOARD!$B$13), K628, -1000000000000)</f>
        <v/>
      </c>
      <c r="X628" s="101">
        <f>IF(AND(F628&lt;=DASHBOARD!$B$11, H628&gt;=DASHBOARD!$B$13), M628, 1000000000000)</f>
        <v/>
      </c>
      <c r="Y628" s="101">
        <f>IF(AND(F628&lt;=DASHBOARD!$B$10, H628&gt;=DASHBOARD!$B$11), L628, 1000000000000)</f>
        <v/>
      </c>
      <c r="Z628" s="101">
        <f>IF(AND(F628&lt;=DASHBOARD!$B$10, H628&gt;=DASHBOARD!$B$11), O628, 1000000000000)</f>
        <v/>
      </c>
      <c r="AA628" s="101">
        <f>IF(AND(F628&lt;=DASHBOARD!$B$10, H628&gt;=DASHBOARD!$B$11), P628, 1000000000000)</f>
        <v/>
      </c>
      <c r="AB628" s="101">
        <f>IF(AND(F628&lt;=DASHBOARD!$B$10, H628&gt;=DASHBOARD!$B$11), Q628, -1000000000000)</f>
        <v/>
      </c>
    </row>
    <row r="629" ht="15" customHeight="1" s="102">
      <c r="A629" s="166" t="n">
        <v>625</v>
      </c>
      <c r="B629" s="167" t="n">
        <v>1.4</v>
      </c>
      <c r="C629" s="167" t="n">
        <v>1.8</v>
      </c>
      <c r="D629" s="110" t="inlineStr">
        <is>
          <t>Yok (%0)</t>
        </is>
      </c>
      <c r="E629" s="110">
        <f>IF((B629+C629)&lt;=1, "Tam Mahsuplaşma (≤%100)", "Kısmi Satış (&gt;%100)")</f>
        <v/>
      </c>
      <c r="F629" s="168">
        <f>((VERI_TABANI!$D$29*B629/VERI_TABANI!$B$29)/VERI_TABANI!$B$3)*VERI_TABANI!$B$5 + ((VERI_TABANI!$D$29*C629/VERI_TABANI!$B$29)/VERI_TABANI!$B$4)*VERI_TABANI!$B$6 + IF(ISNUMBER(SEARCH("Var", D629)), (VERI_TABANI!$F$29/VERI_TABANI!$B$29)*(VERI_TABANI!$B$10+VERI_TABANI!$B$12), 0)</f>
        <v/>
      </c>
      <c r="G629" s="168">
        <f>(((MIN(VERI_TABANI!D23, VERI_TABANI!D23*B629)*VERI_TABANI!$B$7 + MAX(0, VERI_TABANI!D23*B629-VERI_TABANI!D23)*VERI_TABANI!$B$8) + (MIN(MAX(0, VERI_TABANI!D23-VERI_TABANI!D23*B629), VERI_TABANI!D23*C629)*VERI_TABANI!$B$7 + MAX(0, VERI_TABANI!D23*C629-MAX(0, VERI_TABANI!D23-VERI_TABANI!D23*B629))*VERI_TABANI!$B$8) + IF(ABS(IF(ISNUMBER(SEARCH("Var", D629)), 1, IF(ISNUMBER(SEARCH("Gri", D629)), -1, 0)))=1, VERI_TABANI!E23*(1-0.928)*VERI_TABANI!$B$9, 0) + (VERI_TABANI!D23*B629*(VERI_TABANI!$B$13-VERI_TABANI!$B$14)*VERI_TABANI!G23) + (VERI_TABANI!D23*C629*(VERI_TABANI!$B$13-VERI_TABANI!$B$15)*VERI_TABANI!G23) + IF(ABS(IF(ISNUMBER(SEARCH("Var", D629)), 1, IF(ISNUMBER(SEARCH("Gri", D629)), -1, 0)))=1, VERI_TABANI!E23*(1-0.928)*0.00206091519919798*VERI_TABANI!G23, 0)) + ((MIN(VERI_TABANI!D24, VERI_TABANI!D24*B629)*VERI_TABANI!$B$7 + MAX(0, VERI_TABANI!D24*B629-VERI_TABANI!D24)*VERI_TABANI!$B$8) + (MIN(MAX(0, VERI_TABANI!D24-VERI_TABANI!D24*B629), VERI_TABANI!D24*C629)*VERI_TABANI!$B$7 + MAX(0, VERI_TABANI!D24*C629-MAX(0, VERI_TABANI!D24-VERI_TABANI!D24*B629))*VERI_TABANI!$B$8) + IF(ABS(IF(ISNUMBER(SEARCH("Var", D629)), 1, IF(ISNUMBER(SEARCH("Gri", D629)), -1, 0)))=1, VERI_TABANI!E24*(1-0.928)*VERI_TABANI!$B$9, 0) + (VERI_TABANI!D24*B629*(VERI_TABANI!$B$13-VERI_TABANI!$B$14)*VERI_TABANI!G24) + (VERI_TABANI!D24*C629*(VERI_TABANI!$B$13-VERI_TABANI!$B$15)*VERI_TABANI!G24) + IF(ABS(IF(ISNUMBER(SEARCH("Var", D629)), 1, IF(ISNUMBER(SEARCH("Gri", D629)), -1, 0)))=1, VERI_TABANI!E24*(1-0.928)*0.00206091519919798*VERI_TABANI!G24, 0)) + ((MIN(VERI_TABANI!D25, VERI_TABANI!D25*B629)*VERI_TABANI!$B$7 + MAX(0, VERI_TABANI!D25*B629-VERI_TABANI!D25)*VERI_TABANI!$B$8) + (MIN(MAX(0, VERI_TABANI!D25-VERI_TABANI!D25*B629), VERI_TABANI!D25*C629)*VERI_TABANI!$B$7 + MAX(0, VERI_TABANI!D25*C629-MAX(0, VERI_TABANI!D25-VERI_TABANI!D25*B629))*VERI_TABANI!$B$8) + IF(ABS(IF(ISNUMBER(SEARCH("Var", D629)), 1, IF(ISNUMBER(SEARCH("Gri", D629)), -1, 0)))=1, VERI_TABANI!E25*(1-0.928)*VERI_TABANI!$B$9, 0) + (VERI_TABANI!D25*B629*(VERI_TABANI!$B$13-VERI_TABANI!$B$14)*VERI_TABANI!G25) + (VERI_TABANI!D25*C629*(VERI_TABANI!$B$13-VERI_TABANI!$B$15)*VERI_TABANI!G25) + IF(ABS(IF(ISNUMBER(SEARCH("Var", D629)), 1, IF(ISNUMBER(SEARCH("Gri", D629)), -1, 0)))=1, VERI_TABANI!E25*(1-0.928)*0.00206091519919798*VERI_TABANI!G25, 0)) + ((MIN(VERI_TABANI!D26, VERI_TABANI!D26*B629)*VERI_TABANI!$B$7 + MAX(0, VERI_TABANI!D26*B629-VERI_TABANI!D26)*VERI_TABANI!$B$8) + (MIN(MAX(0, VERI_TABANI!D26-VERI_TABANI!D26*B629), VERI_TABANI!D26*C629)*VERI_TABANI!$B$7 + MAX(0, VERI_TABANI!D26*C629-MAX(0, VERI_TABANI!D26-VERI_TABANI!D26*B629))*VERI_TABANI!$B$8) + IF(ABS(IF(ISNUMBER(SEARCH("Var", D629)), 1, IF(ISNUMBER(SEARCH("Gri", D629)), -1, 0)))=1, VERI_TABANI!E26*(1-0.928)*VERI_TABANI!$B$9, 0) + (VERI_TABANI!D26*B629*(VERI_TABANI!$B$13-VERI_TABANI!$B$14)*VERI_TABANI!G26) + (VERI_TABANI!D26*C629*(VERI_TABANI!$B$13-VERI_TABANI!$B$15)*VERI_TABANI!G26) + IF(ABS(IF(ISNUMBER(SEARCH("Var", D629)), 1, IF(ISNUMBER(SEARCH("Gri", D629)), -1, 0)))=1, VERI_TABANI!E26*(1-0.928)*0.00206091519919798*VERI_TABANI!G26, 0)) + ((MIN(VERI_TABANI!D27, VERI_TABANI!D27*B629)*VERI_TABANI!$B$7 + MAX(0, VERI_TABANI!D27*B629-VERI_TABANI!D27)*VERI_TABANI!$B$8) + (MIN(MAX(0, VERI_TABANI!D27-VERI_TABANI!D27*B629), VERI_TABANI!D27*C629)*VERI_TABANI!$B$7 + MAX(0, VERI_TABANI!D27*C629-MAX(0, VERI_TABANI!D27-VERI_TABANI!D27*B629))*VERI_TABANI!$B$8) + IF(ABS(IF(ISNUMBER(SEARCH("Var", D629)), 1, IF(ISNUMBER(SEARCH("Gri", D629)), -1, 0)))=1, VERI_TABANI!E27*(1-0.928)*VERI_TABANI!$B$9, 0) + (VERI_TABANI!D27*B629*(VERI_TABANI!$B$13-VERI_TABANI!$B$14)*VERI_TABANI!G27) + (VERI_TABANI!D27*C629*(VERI_TABANI!$B$13-VERI_TABANI!$B$15)*VERI_TABANI!G27) + IF(ABS(IF(ISNUMBER(SEARCH("Var", D629)), 1, IF(ISNUMBER(SEARCH("Gri", D629)), -1, 0)))=1, VERI_TABANI!E27*(1-0.928)*0.00206091519919798*VERI_TABANI!G27, 0)) + ((MIN(VERI_TABANI!D28, VERI_TABANI!D28*B629)*VERI_TABANI!$B$7 + MAX(0, VERI_TABANI!D28*B629-VERI_TABANI!D28)*VERI_TABANI!$B$8) + (MIN(MAX(0, VERI_TABANI!D28-VERI_TABANI!D28*B629), VERI_TABANI!D28*C629)*VERI_TABANI!$B$7 + MAX(0, VERI_TABANI!D28*C629-MAX(0, VERI_TABANI!D28-VERI_TABANI!D28*B629))*VERI_TABANI!$B$8) + IF(ABS(IF(ISNUMBER(SEARCH("Var", D629)), 1, IF(ISNUMBER(SEARCH("Gri", D629)), -1, 0)))=1, VERI_TABANI!E28*(1-0.928)*VERI_TABANI!$B$9, 0) + (VERI_TABANI!D28*B629*(VERI_TABANI!$B$13-VERI_TABANI!$B$14)*VERI_TABANI!G28) + (VERI_TABANI!D28*C629*(VERI_TABANI!$B$13-VERI_TABANI!$B$15)*VERI_TABANI!G28) + IF(ABS(IF(ISNUMBER(SEARCH("Var", D629)), 1, IF(ISNUMBER(SEARCH("Gri", D629)), -1, 0)))=1, VERI_TABANI!E28*(1-0.928)*0.00206091519919798*VERI_TABANI!G28, 0)))</f>
        <v/>
      </c>
      <c r="H629" s="169">
        <f>(((VERI_TABANI!D23*B629*(VERI_TABANI!$B$13-VERI_TABANI!$B$14)) + (VERI_TABANI!D23*C629*(VERI_TABANI!$B$13-VERI_TABANI!$B$15)) + IF(ISNUMBER(SEARCH("Var", D629)), VERI_TABANI!F23*(0.00202-VERI_TABANI!$B$16), IF(ISNUMBER(SEARCH("Gri", D629)), VERI_TABANI!F23*(0.00202-VERI_TABANI!$B$17), 0))) + ((VERI_TABANI!D24*B629*(VERI_TABANI!$B$13-VERI_TABANI!$B$14)) + (VERI_TABANI!D24*C629*(VERI_TABANI!$B$13-VERI_TABANI!$B$15)) + IF(ISNUMBER(SEARCH("Var", D629)), VERI_TABANI!F24*(0.00202-VERI_TABANI!$B$16), IF(ISNUMBER(SEARCH("Gri", D629)), VERI_TABANI!F24*(0.00202-VERI_TABANI!$B$17), 0))) + ((VERI_TABANI!D25*B629*(VERI_TABANI!$B$13-VERI_TABANI!$B$14)) + (VERI_TABANI!D25*C629*(VERI_TABANI!$B$13-VERI_TABANI!$B$15)) + IF(ISNUMBER(SEARCH("Var", D629)), VERI_TABANI!F25*(0.00202-VERI_TABANI!$B$16), IF(ISNUMBER(SEARCH("Gri", D629)), VERI_TABANI!F25*(0.00202-VERI_TABANI!$B$17), 0))) + ((VERI_TABANI!D26*B629*(VERI_TABANI!$B$13-VERI_TABANI!$B$14)) + (VERI_TABANI!D26*C629*(VERI_TABANI!$B$13-VERI_TABANI!$B$15)) + IF(ISNUMBER(SEARCH("Var", D629)), VERI_TABANI!F26*(0.00202-VERI_TABANI!$B$16), IF(ISNUMBER(SEARCH("Gri", D629)), VERI_TABANI!F26*(0.00202-VERI_TABANI!$B$17), 0))) + ((VERI_TABANI!D27*B629*(VERI_TABANI!$B$13-VERI_TABANI!$B$14)) + (VERI_TABANI!D27*C629*(VERI_TABANI!$B$13-VERI_TABANI!$B$15)) + IF(ISNUMBER(SEARCH("Var", D629)), VERI_TABANI!F27*(0.00202-VERI_TABANI!$B$16), IF(ISNUMBER(SEARCH("Gri", D629)), VERI_TABANI!F27*(0.00202-VERI_TABANI!$B$17), 0))) + ((VERI_TABANI!D28*B629*(VERI_TABANI!$B$13-VERI_TABANI!$B$14)) + (VERI_TABANI!D28*C629*(VERI_TABANI!$B$13-VERI_TABANI!$B$15)) + IF(ISNUMBER(SEARCH("Var", D629)), VERI_TABANI!F28*(0.00202-VERI_TABANI!$B$16), IF(ISNUMBER(SEARCH("Gri", D629)), VERI_TABANI!F28*(0.00202-VERI_TABANI!$B$17), 0))))</f>
        <v/>
      </c>
      <c r="I629" s="170">
        <f>IFERROR(((VERI_TABANI!$D$29*B629*VERI_TABANI!$B$14 + VERI_TABANI!$D$29*C629*VERI_TABANI!$B$15 + IF(ISNUMBER(SEARCH("Var", D629)), VERI_TABANI!$F$29*VERI_TABANI!$B$16, 0))) / (((VERI_TABANI!$D$29*B629 + VERI_TABANI!$D$29*C629)*VERI_TABANI!$B$13 + IF(ISNUMBER(SEARCH("Var", D629)), VERI_TABANI!$E$29*(1-0.928)*VERI_TABANI!$B$18, 0))), 0)</f>
        <v/>
      </c>
      <c r="J629" s="171">
        <f>IFERROR(F629/(G629/29), 0)</f>
        <v/>
      </c>
      <c r="K629" s="172">
        <f>IF(F629&gt;0, H629/F629, 0)</f>
        <v/>
      </c>
      <c r="L629" s="170">
        <f>IF(F629&gt;0, I629, 1000000000)</f>
        <v/>
      </c>
      <c r="M629" s="171">
        <f>ABS((B629+C629)-1)</f>
        <v/>
      </c>
      <c r="N629" s="170">
        <f>IF(F629&gt;0, (G629/29)/F629, 0)</f>
        <v/>
      </c>
      <c r="O629" s="168">
        <f>IF(AND((B629+C629)&gt;=1, ISNUMBER(SEARCH("Var", D629))), F629, 1000000000)</f>
        <v/>
      </c>
      <c r="P629" s="172">
        <f>IF(F629&gt;0, SQRT((F629/MAX(F$5:F$886))^2 + (1 - H629/MAX(H$5:H$886))^2 + (J629/MAX(J$5:J$886))^2), 1000000000)</f>
        <v/>
      </c>
      <c r="Q629" s="166">
        <f>IF(AND(ABS(B629-0.5)&lt;0.01, ABS(C629-0.5)&lt;0.01, ISNUMBER(SEARCH("Var", D629))), 1, 0)</f>
        <v/>
      </c>
      <c r="R629" s="171">
        <f>IF(F629&gt;0, J629, 1000000000)</f>
        <v/>
      </c>
      <c r="S629" s="101">
        <f>IF(AND(F629&lt;=DASHBOARD!$B$11, H629&gt;=DASHBOARD!$B$13), G629, -1000000000000)</f>
        <v/>
      </c>
      <c r="T629" s="101">
        <f>IF(AND(F629&lt;=DASHBOARD!$B$11, H629&gt;=DASHBOARD!$B$13), R629, 1000000000000)</f>
        <v/>
      </c>
      <c r="U629" s="101">
        <f>IF(AND(F629&lt;=DASHBOARD!$B$11, H629&gt;=DASHBOARD!$B$13), N629, -1000000000000)</f>
        <v/>
      </c>
      <c r="V629" s="101">
        <f>IF(AND(F629&lt;=DASHBOARD!$B$11, H629&gt;=DASHBOARD!$B$13), H629, -1000000000000)</f>
        <v/>
      </c>
      <c r="W629" s="101">
        <f>IF(AND(F629&lt;=DASHBOARD!$B$11, H629&gt;=DASHBOARD!$B$13), K629, -1000000000000)</f>
        <v/>
      </c>
      <c r="X629" s="101">
        <f>IF(AND(F629&lt;=DASHBOARD!$B$11, H629&gt;=DASHBOARD!$B$13), M629, 1000000000000)</f>
        <v/>
      </c>
      <c r="Y629" s="101">
        <f>IF(AND(F629&lt;=DASHBOARD!$B$10, H629&gt;=DASHBOARD!$B$11), L629, 1000000000000)</f>
        <v/>
      </c>
      <c r="Z629" s="101">
        <f>IF(AND(F629&lt;=DASHBOARD!$B$10, H629&gt;=DASHBOARD!$B$11), O629, 1000000000000)</f>
        <v/>
      </c>
      <c r="AA629" s="101">
        <f>IF(AND(F629&lt;=DASHBOARD!$B$10, H629&gt;=DASHBOARD!$B$11), P629, 1000000000000)</f>
        <v/>
      </c>
      <c r="AB629" s="101">
        <f>IF(AND(F629&lt;=DASHBOARD!$B$10, H629&gt;=DASHBOARD!$B$11), Q629, -1000000000000)</f>
        <v/>
      </c>
    </row>
    <row r="630" ht="15" customHeight="1" s="102">
      <c r="A630" s="166" t="n">
        <v>626</v>
      </c>
      <c r="B630" s="167" t="n">
        <v>1.4</v>
      </c>
      <c r="C630" s="167" t="n">
        <v>1.8</v>
      </c>
      <c r="D630" s="110" t="inlineStr">
        <is>
          <t>Var (%20)</t>
        </is>
      </c>
      <c r="E630" s="110">
        <f>IF((B630+C630)&lt;=1, "Tam Mahsuplaşma (≤%100)", "Kısmi Satış (&gt;%100)")</f>
        <v/>
      </c>
      <c r="F630" s="168">
        <f>((VERI_TABANI!$D$29*B630/VERI_TABANI!$B$29)/VERI_TABANI!$B$3)*VERI_TABANI!$B$5 + ((VERI_TABANI!$D$29*C630/VERI_TABANI!$B$29)/VERI_TABANI!$B$4)*VERI_TABANI!$B$6 + IF(ISNUMBER(SEARCH("Var", D630)), (VERI_TABANI!$F$29/VERI_TABANI!$B$29)*(VERI_TABANI!$B$10+VERI_TABANI!$B$12), 0)</f>
        <v/>
      </c>
      <c r="G630" s="168">
        <f>(((MIN(VERI_TABANI!D23, VERI_TABANI!D23*B630)*VERI_TABANI!$B$7 + MAX(0, VERI_TABANI!D23*B630-VERI_TABANI!D23)*VERI_TABANI!$B$8) + (MIN(MAX(0, VERI_TABANI!D23-VERI_TABANI!D23*B630), VERI_TABANI!D23*C630)*VERI_TABANI!$B$7 + MAX(0, VERI_TABANI!D23*C630-MAX(0, VERI_TABANI!D23-VERI_TABANI!D23*B630))*VERI_TABANI!$B$8) + IF(ABS(IF(ISNUMBER(SEARCH("Var", D630)), 1, IF(ISNUMBER(SEARCH("Gri", D630)), -1, 0)))=1, VERI_TABANI!E23*(1-0.928)*VERI_TABANI!$B$9, 0) + (VERI_TABANI!D23*B630*(VERI_TABANI!$B$13-VERI_TABANI!$B$14)*VERI_TABANI!G23) + (VERI_TABANI!D23*C630*(VERI_TABANI!$B$13-VERI_TABANI!$B$15)*VERI_TABANI!G23) + IF(ABS(IF(ISNUMBER(SEARCH("Var", D630)), 1, IF(ISNUMBER(SEARCH("Gri", D630)), -1, 0)))=1, VERI_TABANI!E23*(1-0.928)*0.00206091519919798*VERI_TABANI!G23, 0)) + ((MIN(VERI_TABANI!D24, VERI_TABANI!D24*B630)*VERI_TABANI!$B$7 + MAX(0, VERI_TABANI!D24*B630-VERI_TABANI!D24)*VERI_TABANI!$B$8) + (MIN(MAX(0, VERI_TABANI!D24-VERI_TABANI!D24*B630), VERI_TABANI!D24*C630)*VERI_TABANI!$B$7 + MAX(0, VERI_TABANI!D24*C630-MAX(0, VERI_TABANI!D24-VERI_TABANI!D24*B630))*VERI_TABANI!$B$8) + IF(ABS(IF(ISNUMBER(SEARCH("Var", D630)), 1, IF(ISNUMBER(SEARCH("Gri", D630)), -1, 0)))=1, VERI_TABANI!E24*(1-0.928)*VERI_TABANI!$B$9, 0) + (VERI_TABANI!D24*B630*(VERI_TABANI!$B$13-VERI_TABANI!$B$14)*VERI_TABANI!G24) + (VERI_TABANI!D24*C630*(VERI_TABANI!$B$13-VERI_TABANI!$B$15)*VERI_TABANI!G24) + IF(ABS(IF(ISNUMBER(SEARCH("Var", D630)), 1, IF(ISNUMBER(SEARCH("Gri", D630)), -1, 0)))=1, VERI_TABANI!E24*(1-0.928)*0.00206091519919798*VERI_TABANI!G24, 0)) + ((MIN(VERI_TABANI!D25, VERI_TABANI!D25*B630)*VERI_TABANI!$B$7 + MAX(0, VERI_TABANI!D25*B630-VERI_TABANI!D25)*VERI_TABANI!$B$8) + (MIN(MAX(0, VERI_TABANI!D25-VERI_TABANI!D25*B630), VERI_TABANI!D25*C630)*VERI_TABANI!$B$7 + MAX(0, VERI_TABANI!D25*C630-MAX(0, VERI_TABANI!D25-VERI_TABANI!D25*B630))*VERI_TABANI!$B$8) + IF(ABS(IF(ISNUMBER(SEARCH("Var", D630)), 1, IF(ISNUMBER(SEARCH("Gri", D630)), -1, 0)))=1, VERI_TABANI!E25*(1-0.928)*VERI_TABANI!$B$9, 0) + (VERI_TABANI!D25*B630*(VERI_TABANI!$B$13-VERI_TABANI!$B$14)*VERI_TABANI!G25) + (VERI_TABANI!D25*C630*(VERI_TABANI!$B$13-VERI_TABANI!$B$15)*VERI_TABANI!G25) + IF(ABS(IF(ISNUMBER(SEARCH("Var", D630)), 1, IF(ISNUMBER(SEARCH("Gri", D630)), -1, 0)))=1, VERI_TABANI!E25*(1-0.928)*0.00206091519919798*VERI_TABANI!G25, 0)) + ((MIN(VERI_TABANI!D26, VERI_TABANI!D26*B630)*VERI_TABANI!$B$7 + MAX(0, VERI_TABANI!D26*B630-VERI_TABANI!D26)*VERI_TABANI!$B$8) + (MIN(MAX(0, VERI_TABANI!D26-VERI_TABANI!D26*B630), VERI_TABANI!D26*C630)*VERI_TABANI!$B$7 + MAX(0, VERI_TABANI!D26*C630-MAX(0, VERI_TABANI!D26-VERI_TABANI!D26*B630))*VERI_TABANI!$B$8) + IF(ABS(IF(ISNUMBER(SEARCH("Var", D630)), 1, IF(ISNUMBER(SEARCH("Gri", D630)), -1, 0)))=1, VERI_TABANI!E26*(1-0.928)*VERI_TABANI!$B$9, 0) + (VERI_TABANI!D26*B630*(VERI_TABANI!$B$13-VERI_TABANI!$B$14)*VERI_TABANI!G26) + (VERI_TABANI!D26*C630*(VERI_TABANI!$B$13-VERI_TABANI!$B$15)*VERI_TABANI!G26) + IF(ABS(IF(ISNUMBER(SEARCH("Var", D630)), 1, IF(ISNUMBER(SEARCH("Gri", D630)), -1, 0)))=1, VERI_TABANI!E26*(1-0.928)*0.00206091519919798*VERI_TABANI!G26, 0)) + ((MIN(VERI_TABANI!D27, VERI_TABANI!D27*B630)*VERI_TABANI!$B$7 + MAX(0, VERI_TABANI!D27*B630-VERI_TABANI!D27)*VERI_TABANI!$B$8) + (MIN(MAX(0, VERI_TABANI!D27-VERI_TABANI!D27*B630), VERI_TABANI!D27*C630)*VERI_TABANI!$B$7 + MAX(0, VERI_TABANI!D27*C630-MAX(0, VERI_TABANI!D27-VERI_TABANI!D27*B630))*VERI_TABANI!$B$8) + IF(ABS(IF(ISNUMBER(SEARCH("Var", D630)), 1, IF(ISNUMBER(SEARCH("Gri", D630)), -1, 0)))=1, VERI_TABANI!E27*(1-0.928)*VERI_TABANI!$B$9, 0) + (VERI_TABANI!D27*B630*(VERI_TABANI!$B$13-VERI_TABANI!$B$14)*VERI_TABANI!G27) + (VERI_TABANI!D27*C630*(VERI_TABANI!$B$13-VERI_TABANI!$B$15)*VERI_TABANI!G27) + IF(ABS(IF(ISNUMBER(SEARCH("Var", D630)), 1, IF(ISNUMBER(SEARCH("Gri", D630)), -1, 0)))=1, VERI_TABANI!E27*(1-0.928)*0.00206091519919798*VERI_TABANI!G27, 0)) + ((MIN(VERI_TABANI!D28, VERI_TABANI!D28*B630)*VERI_TABANI!$B$7 + MAX(0, VERI_TABANI!D28*B630-VERI_TABANI!D28)*VERI_TABANI!$B$8) + (MIN(MAX(0, VERI_TABANI!D28-VERI_TABANI!D28*B630), VERI_TABANI!D28*C630)*VERI_TABANI!$B$7 + MAX(0, VERI_TABANI!D28*C630-MAX(0, VERI_TABANI!D28-VERI_TABANI!D28*B630))*VERI_TABANI!$B$8) + IF(ABS(IF(ISNUMBER(SEARCH("Var", D630)), 1, IF(ISNUMBER(SEARCH("Gri", D630)), -1, 0)))=1, VERI_TABANI!E28*(1-0.928)*VERI_TABANI!$B$9, 0) + (VERI_TABANI!D28*B630*(VERI_TABANI!$B$13-VERI_TABANI!$B$14)*VERI_TABANI!G28) + (VERI_TABANI!D28*C630*(VERI_TABANI!$B$13-VERI_TABANI!$B$15)*VERI_TABANI!G28) + IF(ABS(IF(ISNUMBER(SEARCH("Var", D630)), 1, IF(ISNUMBER(SEARCH("Gri", D630)), -1, 0)))=1, VERI_TABANI!E28*(1-0.928)*0.00206091519919798*VERI_TABANI!G28, 0)))</f>
        <v/>
      </c>
      <c r="H630" s="169">
        <f>(((VERI_TABANI!D23*B630*(VERI_TABANI!$B$13-VERI_TABANI!$B$14)) + (VERI_TABANI!D23*C630*(VERI_TABANI!$B$13-VERI_TABANI!$B$15)) + IF(ISNUMBER(SEARCH("Var", D630)), VERI_TABANI!F23*(0.00202-VERI_TABANI!$B$16), IF(ISNUMBER(SEARCH("Gri", D630)), VERI_TABANI!F23*(0.00202-VERI_TABANI!$B$17), 0))) + ((VERI_TABANI!D24*B630*(VERI_TABANI!$B$13-VERI_TABANI!$B$14)) + (VERI_TABANI!D24*C630*(VERI_TABANI!$B$13-VERI_TABANI!$B$15)) + IF(ISNUMBER(SEARCH("Var", D630)), VERI_TABANI!F24*(0.00202-VERI_TABANI!$B$16), IF(ISNUMBER(SEARCH("Gri", D630)), VERI_TABANI!F24*(0.00202-VERI_TABANI!$B$17), 0))) + ((VERI_TABANI!D25*B630*(VERI_TABANI!$B$13-VERI_TABANI!$B$14)) + (VERI_TABANI!D25*C630*(VERI_TABANI!$B$13-VERI_TABANI!$B$15)) + IF(ISNUMBER(SEARCH("Var", D630)), VERI_TABANI!F25*(0.00202-VERI_TABANI!$B$16), IF(ISNUMBER(SEARCH("Gri", D630)), VERI_TABANI!F25*(0.00202-VERI_TABANI!$B$17), 0))) + ((VERI_TABANI!D26*B630*(VERI_TABANI!$B$13-VERI_TABANI!$B$14)) + (VERI_TABANI!D26*C630*(VERI_TABANI!$B$13-VERI_TABANI!$B$15)) + IF(ISNUMBER(SEARCH("Var", D630)), VERI_TABANI!F26*(0.00202-VERI_TABANI!$B$16), IF(ISNUMBER(SEARCH("Gri", D630)), VERI_TABANI!F26*(0.00202-VERI_TABANI!$B$17), 0))) + ((VERI_TABANI!D27*B630*(VERI_TABANI!$B$13-VERI_TABANI!$B$14)) + (VERI_TABANI!D27*C630*(VERI_TABANI!$B$13-VERI_TABANI!$B$15)) + IF(ISNUMBER(SEARCH("Var", D630)), VERI_TABANI!F27*(0.00202-VERI_TABANI!$B$16), IF(ISNUMBER(SEARCH("Gri", D630)), VERI_TABANI!F27*(0.00202-VERI_TABANI!$B$17), 0))) + ((VERI_TABANI!D28*B630*(VERI_TABANI!$B$13-VERI_TABANI!$B$14)) + (VERI_TABANI!D28*C630*(VERI_TABANI!$B$13-VERI_TABANI!$B$15)) + IF(ISNUMBER(SEARCH("Var", D630)), VERI_TABANI!F28*(0.00202-VERI_TABANI!$B$16), IF(ISNUMBER(SEARCH("Gri", D630)), VERI_TABANI!F28*(0.00202-VERI_TABANI!$B$17), 0))))</f>
        <v/>
      </c>
      <c r="I630" s="170">
        <f>IFERROR(((VERI_TABANI!$D$29*B630*VERI_TABANI!$B$14 + VERI_TABANI!$D$29*C630*VERI_TABANI!$B$15 + IF(ISNUMBER(SEARCH("Var", D630)), VERI_TABANI!$F$29*VERI_TABANI!$B$16, 0))) / (((VERI_TABANI!$D$29*B630 + VERI_TABANI!$D$29*C630)*VERI_TABANI!$B$13 + IF(ISNUMBER(SEARCH("Var", D630)), VERI_TABANI!$E$29*(1-0.928)*VERI_TABANI!$B$18, 0))), 0)</f>
        <v/>
      </c>
      <c r="J630" s="171">
        <f>IFERROR(F630/(G630/29), 0)</f>
        <v/>
      </c>
      <c r="K630" s="172">
        <f>IF(F630&gt;0, H630/F630, 0)</f>
        <v/>
      </c>
      <c r="L630" s="170">
        <f>IF(F630&gt;0, I630, 1000000000)</f>
        <v/>
      </c>
      <c r="M630" s="171">
        <f>ABS((B630+C630)-1)</f>
        <v/>
      </c>
      <c r="N630" s="170">
        <f>IF(F630&gt;0, (G630/29)/F630, 0)</f>
        <v/>
      </c>
      <c r="O630" s="168">
        <f>IF(AND((B630+C630)&gt;=1, ISNUMBER(SEARCH("Var", D630))), F630, 1000000000)</f>
        <v/>
      </c>
      <c r="P630" s="172">
        <f>IF(F630&gt;0, SQRT((F630/MAX(F$5:F$886))^2 + (1 - H630/MAX(H$5:H$886))^2 + (J630/MAX(J$5:J$886))^2), 1000000000)</f>
        <v/>
      </c>
      <c r="Q630" s="166">
        <f>IF(AND(ABS(B630-0.5)&lt;0.01, ABS(C630-0.5)&lt;0.01, ISNUMBER(SEARCH("Var", D630))), 1, 0)</f>
        <v/>
      </c>
      <c r="R630" s="171">
        <f>IF(F630&gt;0, J630, 1000000000)</f>
        <v/>
      </c>
      <c r="S630" s="101">
        <f>IF(AND(F630&lt;=DASHBOARD!$B$11, H630&gt;=DASHBOARD!$B$13), G630, -1000000000000)</f>
        <v/>
      </c>
      <c r="T630" s="101">
        <f>IF(AND(F630&lt;=DASHBOARD!$B$11, H630&gt;=DASHBOARD!$B$13), R630, 1000000000000)</f>
        <v/>
      </c>
      <c r="U630" s="101">
        <f>IF(AND(F630&lt;=DASHBOARD!$B$11, H630&gt;=DASHBOARD!$B$13), N630, -1000000000000)</f>
        <v/>
      </c>
      <c r="V630" s="101">
        <f>IF(AND(F630&lt;=DASHBOARD!$B$11, H630&gt;=DASHBOARD!$B$13), H630, -1000000000000)</f>
        <v/>
      </c>
      <c r="W630" s="101">
        <f>IF(AND(F630&lt;=DASHBOARD!$B$11, H630&gt;=DASHBOARD!$B$13), K630, -1000000000000)</f>
        <v/>
      </c>
      <c r="X630" s="101">
        <f>IF(AND(F630&lt;=DASHBOARD!$B$11, H630&gt;=DASHBOARD!$B$13), M630, 1000000000000)</f>
        <v/>
      </c>
      <c r="Y630" s="101">
        <f>IF(AND(F630&lt;=DASHBOARD!$B$10, H630&gt;=DASHBOARD!$B$11), L630, 1000000000000)</f>
        <v/>
      </c>
      <c r="Z630" s="101">
        <f>IF(AND(F630&lt;=DASHBOARD!$B$10, H630&gt;=DASHBOARD!$B$11), O630, 1000000000000)</f>
        <v/>
      </c>
      <c r="AA630" s="101">
        <f>IF(AND(F630&lt;=DASHBOARD!$B$10, H630&gt;=DASHBOARD!$B$11), P630, 1000000000000)</f>
        <v/>
      </c>
      <c r="AB630" s="101">
        <f>IF(AND(F630&lt;=DASHBOARD!$B$10, H630&gt;=DASHBOARD!$B$11), Q630, -1000000000000)</f>
        <v/>
      </c>
    </row>
    <row r="631" ht="15" customHeight="1" s="102">
      <c r="A631" s="166" t="n">
        <v>627</v>
      </c>
      <c r="B631" s="167" t="n">
        <v>1.4</v>
      </c>
      <c r="C631" s="167" t="n">
        <v>1.9</v>
      </c>
      <c r="D631" s="110" t="inlineStr">
        <is>
          <t>Yok (%0)</t>
        </is>
      </c>
      <c r="E631" s="110">
        <f>IF((B631+C631)&lt;=1, "Tam Mahsuplaşma (≤%100)", "Kısmi Satış (&gt;%100)")</f>
        <v/>
      </c>
      <c r="F631" s="168">
        <f>((VERI_TABANI!$D$29*B631/VERI_TABANI!$B$29)/VERI_TABANI!$B$3)*VERI_TABANI!$B$5 + ((VERI_TABANI!$D$29*C631/VERI_TABANI!$B$29)/VERI_TABANI!$B$4)*VERI_TABANI!$B$6 + IF(ISNUMBER(SEARCH("Var", D631)), (VERI_TABANI!$F$29/VERI_TABANI!$B$29)*(VERI_TABANI!$B$10+VERI_TABANI!$B$12), 0)</f>
        <v/>
      </c>
      <c r="G631" s="168">
        <f>(((MIN(VERI_TABANI!D23, VERI_TABANI!D23*B631)*VERI_TABANI!$B$7 + MAX(0, VERI_TABANI!D23*B631-VERI_TABANI!D23)*VERI_TABANI!$B$8) + (MIN(MAX(0, VERI_TABANI!D23-VERI_TABANI!D23*B631), VERI_TABANI!D23*C631)*VERI_TABANI!$B$7 + MAX(0, VERI_TABANI!D23*C631-MAX(0, VERI_TABANI!D23-VERI_TABANI!D23*B631))*VERI_TABANI!$B$8) + IF(ABS(IF(ISNUMBER(SEARCH("Var", D631)), 1, IF(ISNUMBER(SEARCH("Gri", D631)), -1, 0)))=1, VERI_TABANI!E23*(1-0.928)*VERI_TABANI!$B$9, 0) + (VERI_TABANI!D23*B631*(VERI_TABANI!$B$13-VERI_TABANI!$B$14)*VERI_TABANI!G23) + (VERI_TABANI!D23*C631*(VERI_TABANI!$B$13-VERI_TABANI!$B$15)*VERI_TABANI!G23) + IF(ABS(IF(ISNUMBER(SEARCH("Var", D631)), 1, IF(ISNUMBER(SEARCH("Gri", D631)), -1, 0)))=1, VERI_TABANI!E23*(1-0.928)*0.00206091519919798*VERI_TABANI!G23, 0)) + ((MIN(VERI_TABANI!D24, VERI_TABANI!D24*B631)*VERI_TABANI!$B$7 + MAX(0, VERI_TABANI!D24*B631-VERI_TABANI!D24)*VERI_TABANI!$B$8) + (MIN(MAX(0, VERI_TABANI!D24-VERI_TABANI!D24*B631), VERI_TABANI!D24*C631)*VERI_TABANI!$B$7 + MAX(0, VERI_TABANI!D24*C631-MAX(0, VERI_TABANI!D24-VERI_TABANI!D24*B631))*VERI_TABANI!$B$8) + IF(ABS(IF(ISNUMBER(SEARCH("Var", D631)), 1, IF(ISNUMBER(SEARCH("Gri", D631)), -1, 0)))=1, VERI_TABANI!E24*(1-0.928)*VERI_TABANI!$B$9, 0) + (VERI_TABANI!D24*B631*(VERI_TABANI!$B$13-VERI_TABANI!$B$14)*VERI_TABANI!G24) + (VERI_TABANI!D24*C631*(VERI_TABANI!$B$13-VERI_TABANI!$B$15)*VERI_TABANI!G24) + IF(ABS(IF(ISNUMBER(SEARCH("Var", D631)), 1, IF(ISNUMBER(SEARCH("Gri", D631)), -1, 0)))=1, VERI_TABANI!E24*(1-0.928)*0.00206091519919798*VERI_TABANI!G24, 0)) + ((MIN(VERI_TABANI!D25, VERI_TABANI!D25*B631)*VERI_TABANI!$B$7 + MAX(0, VERI_TABANI!D25*B631-VERI_TABANI!D25)*VERI_TABANI!$B$8) + (MIN(MAX(0, VERI_TABANI!D25-VERI_TABANI!D25*B631), VERI_TABANI!D25*C631)*VERI_TABANI!$B$7 + MAX(0, VERI_TABANI!D25*C631-MAX(0, VERI_TABANI!D25-VERI_TABANI!D25*B631))*VERI_TABANI!$B$8) + IF(ABS(IF(ISNUMBER(SEARCH("Var", D631)), 1, IF(ISNUMBER(SEARCH("Gri", D631)), -1, 0)))=1, VERI_TABANI!E25*(1-0.928)*VERI_TABANI!$B$9, 0) + (VERI_TABANI!D25*B631*(VERI_TABANI!$B$13-VERI_TABANI!$B$14)*VERI_TABANI!G25) + (VERI_TABANI!D25*C631*(VERI_TABANI!$B$13-VERI_TABANI!$B$15)*VERI_TABANI!G25) + IF(ABS(IF(ISNUMBER(SEARCH("Var", D631)), 1, IF(ISNUMBER(SEARCH("Gri", D631)), -1, 0)))=1, VERI_TABANI!E25*(1-0.928)*0.00206091519919798*VERI_TABANI!G25, 0)) + ((MIN(VERI_TABANI!D26, VERI_TABANI!D26*B631)*VERI_TABANI!$B$7 + MAX(0, VERI_TABANI!D26*B631-VERI_TABANI!D26)*VERI_TABANI!$B$8) + (MIN(MAX(0, VERI_TABANI!D26-VERI_TABANI!D26*B631), VERI_TABANI!D26*C631)*VERI_TABANI!$B$7 + MAX(0, VERI_TABANI!D26*C631-MAX(0, VERI_TABANI!D26-VERI_TABANI!D26*B631))*VERI_TABANI!$B$8) + IF(ABS(IF(ISNUMBER(SEARCH("Var", D631)), 1, IF(ISNUMBER(SEARCH("Gri", D631)), -1, 0)))=1, VERI_TABANI!E26*(1-0.928)*VERI_TABANI!$B$9, 0) + (VERI_TABANI!D26*B631*(VERI_TABANI!$B$13-VERI_TABANI!$B$14)*VERI_TABANI!G26) + (VERI_TABANI!D26*C631*(VERI_TABANI!$B$13-VERI_TABANI!$B$15)*VERI_TABANI!G26) + IF(ABS(IF(ISNUMBER(SEARCH("Var", D631)), 1, IF(ISNUMBER(SEARCH("Gri", D631)), -1, 0)))=1, VERI_TABANI!E26*(1-0.928)*0.00206091519919798*VERI_TABANI!G26, 0)) + ((MIN(VERI_TABANI!D27, VERI_TABANI!D27*B631)*VERI_TABANI!$B$7 + MAX(0, VERI_TABANI!D27*B631-VERI_TABANI!D27)*VERI_TABANI!$B$8) + (MIN(MAX(0, VERI_TABANI!D27-VERI_TABANI!D27*B631), VERI_TABANI!D27*C631)*VERI_TABANI!$B$7 + MAX(0, VERI_TABANI!D27*C631-MAX(0, VERI_TABANI!D27-VERI_TABANI!D27*B631))*VERI_TABANI!$B$8) + IF(ABS(IF(ISNUMBER(SEARCH("Var", D631)), 1, IF(ISNUMBER(SEARCH("Gri", D631)), -1, 0)))=1, VERI_TABANI!E27*(1-0.928)*VERI_TABANI!$B$9, 0) + (VERI_TABANI!D27*B631*(VERI_TABANI!$B$13-VERI_TABANI!$B$14)*VERI_TABANI!G27) + (VERI_TABANI!D27*C631*(VERI_TABANI!$B$13-VERI_TABANI!$B$15)*VERI_TABANI!G27) + IF(ABS(IF(ISNUMBER(SEARCH("Var", D631)), 1, IF(ISNUMBER(SEARCH("Gri", D631)), -1, 0)))=1, VERI_TABANI!E27*(1-0.928)*0.00206091519919798*VERI_TABANI!G27, 0)) + ((MIN(VERI_TABANI!D28, VERI_TABANI!D28*B631)*VERI_TABANI!$B$7 + MAX(0, VERI_TABANI!D28*B631-VERI_TABANI!D28)*VERI_TABANI!$B$8) + (MIN(MAX(0, VERI_TABANI!D28-VERI_TABANI!D28*B631), VERI_TABANI!D28*C631)*VERI_TABANI!$B$7 + MAX(0, VERI_TABANI!D28*C631-MAX(0, VERI_TABANI!D28-VERI_TABANI!D28*B631))*VERI_TABANI!$B$8) + IF(ABS(IF(ISNUMBER(SEARCH("Var", D631)), 1, IF(ISNUMBER(SEARCH("Gri", D631)), -1, 0)))=1, VERI_TABANI!E28*(1-0.928)*VERI_TABANI!$B$9, 0) + (VERI_TABANI!D28*B631*(VERI_TABANI!$B$13-VERI_TABANI!$B$14)*VERI_TABANI!G28) + (VERI_TABANI!D28*C631*(VERI_TABANI!$B$13-VERI_TABANI!$B$15)*VERI_TABANI!G28) + IF(ABS(IF(ISNUMBER(SEARCH("Var", D631)), 1, IF(ISNUMBER(SEARCH("Gri", D631)), -1, 0)))=1, VERI_TABANI!E28*(1-0.928)*0.00206091519919798*VERI_TABANI!G28, 0)))</f>
        <v/>
      </c>
      <c r="H631" s="169">
        <f>(((VERI_TABANI!D23*B631*(VERI_TABANI!$B$13-VERI_TABANI!$B$14)) + (VERI_TABANI!D23*C631*(VERI_TABANI!$B$13-VERI_TABANI!$B$15)) + IF(ISNUMBER(SEARCH("Var", D631)), VERI_TABANI!F23*(0.00202-VERI_TABANI!$B$16), IF(ISNUMBER(SEARCH("Gri", D631)), VERI_TABANI!F23*(0.00202-VERI_TABANI!$B$17), 0))) + ((VERI_TABANI!D24*B631*(VERI_TABANI!$B$13-VERI_TABANI!$B$14)) + (VERI_TABANI!D24*C631*(VERI_TABANI!$B$13-VERI_TABANI!$B$15)) + IF(ISNUMBER(SEARCH("Var", D631)), VERI_TABANI!F24*(0.00202-VERI_TABANI!$B$16), IF(ISNUMBER(SEARCH("Gri", D631)), VERI_TABANI!F24*(0.00202-VERI_TABANI!$B$17), 0))) + ((VERI_TABANI!D25*B631*(VERI_TABANI!$B$13-VERI_TABANI!$B$14)) + (VERI_TABANI!D25*C631*(VERI_TABANI!$B$13-VERI_TABANI!$B$15)) + IF(ISNUMBER(SEARCH("Var", D631)), VERI_TABANI!F25*(0.00202-VERI_TABANI!$B$16), IF(ISNUMBER(SEARCH("Gri", D631)), VERI_TABANI!F25*(0.00202-VERI_TABANI!$B$17), 0))) + ((VERI_TABANI!D26*B631*(VERI_TABANI!$B$13-VERI_TABANI!$B$14)) + (VERI_TABANI!D26*C631*(VERI_TABANI!$B$13-VERI_TABANI!$B$15)) + IF(ISNUMBER(SEARCH("Var", D631)), VERI_TABANI!F26*(0.00202-VERI_TABANI!$B$16), IF(ISNUMBER(SEARCH("Gri", D631)), VERI_TABANI!F26*(0.00202-VERI_TABANI!$B$17), 0))) + ((VERI_TABANI!D27*B631*(VERI_TABANI!$B$13-VERI_TABANI!$B$14)) + (VERI_TABANI!D27*C631*(VERI_TABANI!$B$13-VERI_TABANI!$B$15)) + IF(ISNUMBER(SEARCH("Var", D631)), VERI_TABANI!F27*(0.00202-VERI_TABANI!$B$16), IF(ISNUMBER(SEARCH("Gri", D631)), VERI_TABANI!F27*(0.00202-VERI_TABANI!$B$17), 0))) + ((VERI_TABANI!D28*B631*(VERI_TABANI!$B$13-VERI_TABANI!$B$14)) + (VERI_TABANI!D28*C631*(VERI_TABANI!$B$13-VERI_TABANI!$B$15)) + IF(ISNUMBER(SEARCH("Var", D631)), VERI_TABANI!F28*(0.00202-VERI_TABANI!$B$16), IF(ISNUMBER(SEARCH("Gri", D631)), VERI_TABANI!F28*(0.00202-VERI_TABANI!$B$17), 0))))</f>
        <v/>
      </c>
      <c r="I631" s="170">
        <f>IFERROR(((VERI_TABANI!$D$29*B631*VERI_TABANI!$B$14 + VERI_TABANI!$D$29*C631*VERI_TABANI!$B$15 + IF(ISNUMBER(SEARCH("Var", D631)), VERI_TABANI!$F$29*VERI_TABANI!$B$16, 0))) / (((VERI_TABANI!$D$29*B631 + VERI_TABANI!$D$29*C631)*VERI_TABANI!$B$13 + IF(ISNUMBER(SEARCH("Var", D631)), VERI_TABANI!$E$29*(1-0.928)*VERI_TABANI!$B$18, 0))), 0)</f>
        <v/>
      </c>
      <c r="J631" s="171">
        <f>IFERROR(F631/(G631/29), 0)</f>
        <v/>
      </c>
      <c r="K631" s="172">
        <f>IF(F631&gt;0, H631/F631, 0)</f>
        <v/>
      </c>
      <c r="L631" s="170">
        <f>IF(F631&gt;0, I631, 1000000000)</f>
        <v/>
      </c>
      <c r="M631" s="171">
        <f>ABS((B631+C631)-1)</f>
        <v/>
      </c>
      <c r="N631" s="170">
        <f>IF(F631&gt;0, (G631/29)/F631, 0)</f>
        <v/>
      </c>
      <c r="O631" s="168">
        <f>IF(AND((B631+C631)&gt;=1, ISNUMBER(SEARCH("Var", D631))), F631, 1000000000)</f>
        <v/>
      </c>
      <c r="P631" s="172">
        <f>IF(F631&gt;0, SQRT((F631/MAX(F$5:F$886))^2 + (1 - H631/MAX(H$5:H$886))^2 + (J631/MAX(J$5:J$886))^2), 1000000000)</f>
        <v/>
      </c>
      <c r="Q631" s="166">
        <f>IF(AND(ABS(B631-0.5)&lt;0.01, ABS(C631-0.5)&lt;0.01, ISNUMBER(SEARCH("Var", D631))), 1, 0)</f>
        <v/>
      </c>
      <c r="R631" s="171">
        <f>IF(F631&gt;0, J631, 1000000000)</f>
        <v/>
      </c>
      <c r="S631" s="101">
        <f>IF(AND(F631&lt;=DASHBOARD!$B$11, H631&gt;=DASHBOARD!$B$13), G631, -1000000000000)</f>
        <v/>
      </c>
      <c r="T631" s="101">
        <f>IF(AND(F631&lt;=DASHBOARD!$B$11, H631&gt;=DASHBOARD!$B$13), R631, 1000000000000)</f>
        <v/>
      </c>
      <c r="U631" s="101">
        <f>IF(AND(F631&lt;=DASHBOARD!$B$11, H631&gt;=DASHBOARD!$B$13), N631, -1000000000000)</f>
        <v/>
      </c>
      <c r="V631" s="101">
        <f>IF(AND(F631&lt;=DASHBOARD!$B$11, H631&gt;=DASHBOARD!$B$13), H631, -1000000000000)</f>
        <v/>
      </c>
      <c r="W631" s="101">
        <f>IF(AND(F631&lt;=DASHBOARD!$B$11, H631&gt;=DASHBOARD!$B$13), K631, -1000000000000)</f>
        <v/>
      </c>
      <c r="X631" s="101">
        <f>IF(AND(F631&lt;=DASHBOARD!$B$11, H631&gt;=DASHBOARD!$B$13), M631, 1000000000000)</f>
        <v/>
      </c>
      <c r="Y631" s="101">
        <f>IF(AND(F631&lt;=DASHBOARD!$B$10, H631&gt;=DASHBOARD!$B$11), L631, 1000000000000)</f>
        <v/>
      </c>
      <c r="Z631" s="101">
        <f>IF(AND(F631&lt;=DASHBOARD!$B$10, H631&gt;=DASHBOARD!$B$11), O631, 1000000000000)</f>
        <v/>
      </c>
      <c r="AA631" s="101">
        <f>IF(AND(F631&lt;=DASHBOARD!$B$10, H631&gt;=DASHBOARD!$B$11), P631, 1000000000000)</f>
        <v/>
      </c>
      <c r="AB631" s="101">
        <f>IF(AND(F631&lt;=DASHBOARD!$B$10, H631&gt;=DASHBOARD!$B$11), Q631, -1000000000000)</f>
        <v/>
      </c>
    </row>
    <row r="632" ht="15" customHeight="1" s="102">
      <c r="A632" s="166" t="n">
        <v>628</v>
      </c>
      <c r="B632" s="167" t="n">
        <v>1.4</v>
      </c>
      <c r="C632" s="167" t="n">
        <v>1.9</v>
      </c>
      <c r="D632" s="110" t="inlineStr">
        <is>
          <t>Var (%20)</t>
        </is>
      </c>
      <c r="E632" s="110">
        <f>IF((B632+C632)&lt;=1, "Tam Mahsuplaşma (≤%100)", "Kısmi Satış (&gt;%100)")</f>
        <v/>
      </c>
      <c r="F632" s="168">
        <f>((VERI_TABANI!$D$29*B632/VERI_TABANI!$B$29)/VERI_TABANI!$B$3)*VERI_TABANI!$B$5 + ((VERI_TABANI!$D$29*C632/VERI_TABANI!$B$29)/VERI_TABANI!$B$4)*VERI_TABANI!$B$6 + IF(ISNUMBER(SEARCH("Var", D632)), (VERI_TABANI!$F$29/VERI_TABANI!$B$29)*(VERI_TABANI!$B$10+VERI_TABANI!$B$12), 0)</f>
        <v/>
      </c>
      <c r="G632" s="168">
        <f>(((MIN(VERI_TABANI!D23, VERI_TABANI!D23*B632)*VERI_TABANI!$B$7 + MAX(0, VERI_TABANI!D23*B632-VERI_TABANI!D23)*VERI_TABANI!$B$8) + (MIN(MAX(0, VERI_TABANI!D23-VERI_TABANI!D23*B632), VERI_TABANI!D23*C632)*VERI_TABANI!$B$7 + MAX(0, VERI_TABANI!D23*C632-MAX(0, VERI_TABANI!D23-VERI_TABANI!D23*B632))*VERI_TABANI!$B$8) + IF(ABS(IF(ISNUMBER(SEARCH("Var", D632)), 1, IF(ISNUMBER(SEARCH("Gri", D632)), -1, 0)))=1, VERI_TABANI!E23*(1-0.928)*VERI_TABANI!$B$9, 0) + (VERI_TABANI!D23*B632*(VERI_TABANI!$B$13-VERI_TABANI!$B$14)*VERI_TABANI!G23) + (VERI_TABANI!D23*C632*(VERI_TABANI!$B$13-VERI_TABANI!$B$15)*VERI_TABANI!G23) + IF(ABS(IF(ISNUMBER(SEARCH("Var", D632)), 1, IF(ISNUMBER(SEARCH("Gri", D632)), -1, 0)))=1, VERI_TABANI!E23*(1-0.928)*0.00206091519919798*VERI_TABANI!G23, 0)) + ((MIN(VERI_TABANI!D24, VERI_TABANI!D24*B632)*VERI_TABANI!$B$7 + MAX(0, VERI_TABANI!D24*B632-VERI_TABANI!D24)*VERI_TABANI!$B$8) + (MIN(MAX(0, VERI_TABANI!D24-VERI_TABANI!D24*B632), VERI_TABANI!D24*C632)*VERI_TABANI!$B$7 + MAX(0, VERI_TABANI!D24*C632-MAX(0, VERI_TABANI!D24-VERI_TABANI!D24*B632))*VERI_TABANI!$B$8) + IF(ABS(IF(ISNUMBER(SEARCH("Var", D632)), 1, IF(ISNUMBER(SEARCH("Gri", D632)), -1, 0)))=1, VERI_TABANI!E24*(1-0.928)*VERI_TABANI!$B$9, 0) + (VERI_TABANI!D24*B632*(VERI_TABANI!$B$13-VERI_TABANI!$B$14)*VERI_TABANI!G24) + (VERI_TABANI!D24*C632*(VERI_TABANI!$B$13-VERI_TABANI!$B$15)*VERI_TABANI!G24) + IF(ABS(IF(ISNUMBER(SEARCH("Var", D632)), 1, IF(ISNUMBER(SEARCH("Gri", D632)), -1, 0)))=1, VERI_TABANI!E24*(1-0.928)*0.00206091519919798*VERI_TABANI!G24, 0)) + ((MIN(VERI_TABANI!D25, VERI_TABANI!D25*B632)*VERI_TABANI!$B$7 + MAX(0, VERI_TABANI!D25*B632-VERI_TABANI!D25)*VERI_TABANI!$B$8) + (MIN(MAX(0, VERI_TABANI!D25-VERI_TABANI!D25*B632), VERI_TABANI!D25*C632)*VERI_TABANI!$B$7 + MAX(0, VERI_TABANI!D25*C632-MAX(0, VERI_TABANI!D25-VERI_TABANI!D25*B632))*VERI_TABANI!$B$8) + IF(ABS(IF(ISNUMBER(SEARCH("Var", D632)), 1, IF(ISNUMBER(SEARCH("Gri", D632)), -1, 0)))=1, VERI_TABANI!E25*(1-0.928)*VERI_TABANI!$B$9, 0) + (VERI_TABANI!D25*B632*(VERI_TABANI!$B$13-VERI_TABANI!$B$14)*VERI_TABANI!G25) + (VERI_TABANI!D25*C632*(VERI_TABANI!$B$13-VERI_TABANI!$B$15)*VERI_TABANI!G25) + IF(ABS(IF(ISNUMBER(SEARCH("Var", D632)), 1, IF(ISNUMBER(SEARCH("Gri", D632)), -1, 0)))=1, VERI_TABANI!E25*(1-0.928)*0.00206091519919798*VERI_TABANI!G25, 0)) + ((MIN(VERI_TABANI!D26, VERI_TABANI!D26*B632)*VERI_TABANI!$B$7 + MAX(0, VERI_TABANI!D26*B632-VERI_TABANI!D26)*VERI_TABANI!$B$8) + (MIN(MAX(0, VERI_TABANI!D26-VERI_TABANI!D26*B632), VERI_TABANI!D26*C632)*VERI_TABANI!$B$7 + MAX(0, VERI_TABANI!D26*C632-MAX(0, VERI_TABANI!D26-VERI_TABANI!D26*B632))*VERI_TABANI!$B$8) + IF(ABS(IF(ISNUMBER(SEARCH("Var", D632)), 1, IF(ISNUMBER(SEARCH("Gri", D632)), -1, 0)))=1, VERI_TABANI!E26*(1-0.928)*VERI_TABANI!$B$9, 0) + (VERI_TABANI!D26*B632*(VERI_TABANI!$B$13-VERI_TABANI!$B$14)*VERI_TABANI!G26) + (VERI_TABANI!D26*C632*(VERI_TABANI!$B$13-VERI_TABANI!$B$15)*VERI_TABANI!G26) + IF(ABS(IF(ISNUMBER(SEARCH("Var", D632)), 1, IF(ISNUMBER(SEARCH("Gri", D632)), -1, 0)))=1, VERI_TABANI!E26*(1-0.928)*0.00206091519919798*VERI_TABANI!G26, 0)) + ((MIN(VERI_TABANI!D27, VERI_TABANI!D27*B632)*VERI_TABANI!$B$7 + MAX(0, VERI_TABANI!D27*B632-VERI_TABANI!D27)*VERI_TABANI!$B$8) + (MIN(MAX(0, VERI_TABANI!D27-VERI_TABANI!D27*B632), VERI_TABANI!D27*C632)*VERI_TABANI!$B$7 + MAX(0, VERI_TABANI!D27*C632-MAX(0, VERI_TABANI!D27-VERI_TABANI!D27*B632))*VERI_TABANI!$B$8) + IF(ABS(IF(ISNUMBER(SEARCH("Var", D632)), 1, IF(ISNUMBER(SEARCH("Gri", D632)), -1, 0)))=1, VERI_TABANI!E27*(1-0.928)*VERI_TABANI!$B$9, 0) + (VERI_TABANI!D27*B632*(VERI_TABANI!$B$13-VERI_TABANI!$B$14)*VERI_TABANI!G27) + (VERI_TABANI!D27*C632*(VERI_TABANI!$B$13-VERI_TABANI!$B$15)*VERI_TABANI!G27) + IF(ABS(IF(ISNUMBER(SEARCH("Var", D632)), 1, IF(ISNUMBER(SEARCH("Gri", D632)), -1, 0)))=1, VERI_TABANI!E27*(1-0.928)*0.00206091519919798*VERI_TABANI!G27, 0)) + ((MIN(VERI_TABANI!D28, VERI_TABANI!D28*B632)*VERI_TABANI!$B$7 + MAX(0, VERI_TABANI!D28*B632-VERI_TABANI!D28)*VERI_TABANI!$B$8) + (MIN(MAX(0, VERI_TABANI!D28-VERI_TABANI!D28*B632), VERI_TABANI!D28*C632)*VERI_TABANI!$B$7 + MAX(0, VERI_TABANI!D28*C632-MAX(0, VERI_TABANI!D28-VERI_TABANI!D28*B632))*VERI_TABANI!$B$8) + IF(ABS(IF(ISNUMBER(SEARCH("Var", D632)), 1, IF(ISNUMBER(SEARCH("Gri", D632)), -1, 0)))=1, VERI_TABANI!E28*(1-0.928)*VERI_TABANI!$B$9, 0) + (VERI_TABANI!D28*B632*(VERI_TABANI!$B$13-VERI_TABANI!$B$14)*VERI_TABANI!G28) + (VERI_TABANI!D28*C632*(VERI_TABANI!$B$13-VERI_TABANI!$B$15)*VERI_TABANI!G28) + IF(ABS(IF(ISNUMBER(SEARCH("Var", D632)), 1, IF(ISNUMBER(SEARCH("Gri", D632)), -1, 0)))=1, VERI_TABANI!E28*(1-0.928)*0.00206091519919798*VERI_TABANI!G28, 0)))</f>
        <v/>
      </c>
      <c r="H632" s="169">
        <f>(((VERI_TABANI!D23*B632*(VERI_TABANI!$B$13-VERI_TABANI!$B$14)) + (VERI_TABANI!D23*C632*(VERI_TABANI!$B$13-VERI_TABANI!$B$15)) + IF(ISNUMBER(SEARCH("Var", D632)), VERI_TABANI!F23*(0.00202-VERI_TABANI!$B$16), IF(ISNUMBER(SEARCH("Gri", D632)), VERI_TABANI!F23*(0.00202-VERI_TABANI!$B$17), 0))) + ((VERI_TABANI!D24*B632*(VERI_TABANI!$B$13-VERI_TABANI!$B$14)) + (VERI_TABANI!D24*C632*(VERI_TABANI!$B$13-VERI_TABANI!$B$15)) + IF(ISNUMBER(SEARCH("Var", D632)), VERI_TABANI!F24*(0.00202-VERI_TABANI!$B$16), IF(ISNUMBER(SEARCH("Gri", D632)), VERI_TABANI!F24*(0.00202-VERI_TABANI!$B$17), 0))) + ((VERI_TABANI!D25*B632*(VERI_TABANI!$B$13-VERI_TABANI!$B$14)) + (VERI_TABANI!D25*C632*(VERI_TABANI!$B$13-VERI_TABANI!$B$15)) + IF(ISNUMBER(SEARCH("Var", D632)), VERI_TABANI!F25*(0.00202-VERI_TABANI!$B$16), IF(ISNUMBER(SEARCH("Gri", D632)), VERI_TABANI!F25*(0.00202-VERI_TABANI!$B$17), 0))) + ((VERI_TABANI!D26*B632*(VERI_TABANI!$B$13-VERI_TABANI!$B$14)) + (VERI_TABANI!D26*C632*(VERI_TABANI!$B$13-VERI_TABANI!$B$15)) + IF(ISNUMBER(SEARCH("Var", D632)), VERI_TABANI!F26*(0.00202-VERI_TABANI!$B$16), IF(ISNUMBER(SEARCH("Gri", D632)), VERI_TABANI!F26*(0.00202-VERI_TABANI!$B$17), 0))) + ((VERI_TABANI!D27*B632*(VERI_TABANI!$B$13-VERI_TABANI!$B$14)) + (VERI_TABANI!D27*C632*(VERI_TABANI!$B$13-VERI_TABANI!$B$15)) + IF(ISNUMBER(SEARCH("Var", D632)), VERI_TABANI!F27*(0.00202-VERI_TABANI!$B$16), IF(ISNUMBER(SEARCH("Gri", D632)), VERI_TABANI!F27*(0.00202-VERI_TABANI!$B$17), 0))) + ((VERI_TABANI!D28*B632*(VERI_TABANI!$B$13-VERI_TABANI!$B$14)) + (VERI_TABANI!D28*C632*(VERI_TABANI!$B$13-VERI_TABANI!$B$15)) + IF(ISNUMBER(SEARCH("Var", D632)), VERI_TABANI!F28*(0.00202-VERI_TABANI!$B$16), IF(ISNUMBER(SEARCH("Gri", D632)), VERI_TABANI!F28*(0.00202-VERI_TABANI!$B$17), 0))))</f>
        <v/>
      </c>
      <c r="I632" s="170">
        <f>IFERROR(((VERI_TABANI!$D$29*B632*VERI_TABANI!$B$14 + VERI_TABANI!$D$29*C632*VERI_TABANI!$B$15 + IF(ISNUMBER(SEARCH("Var", D632)), VERI_TABANI!$F$29*VERI_TABANI!$B$16, 0))) / (((VERI_TABANI!$D$29*B632 + VERI_TABANI!$D$29*C632)*VERI_TABANI!$B$13 + IF(ISNUMBER(SEARCH("Var", D632)), VERI_TABANI!$E$29*(1-0.928)*VERI_TABANI!$B$18, 0))), 0)</f>
        <v/>
      </c>
      <c r="J632" s="171">
        <f>IFERROR(F632/(G632/29), 0)</f>
        <v/>
      </c>
      <c r="K632" s="172">
        <f>IF(F632&gt;0, H632/F632, 0)</f>
        <v/>
      </c>
      <c r="L632" s="170">
        <f>IF(F632&gt;0, I632, 1000000000)</f>
        <v/>
      </c>
      <c r="M632" s="171">
        <f>ABS((B632+C632)-1)</f>
        <v/>
      </c>
      <c r="N632" s="170">
        <f>IF(F632&gt;0, (G632/29)/F632, 0)</f>
        <v/>
      </c>
      <c r="O632" s="168">
        <f>IF(AND((B632+C632)&gt;=1, ISNUMBER(SEARCH("Var", D632))), F632, 1000000000)</f>
        <v/>
      </c>
      <c r="P632" s="172">
        <f>IF(F632&gt;0, SQRT((F632/MAX(F$5:F$886))^2 + (1 - H632/MAX(H$5:H$886))^2 + (J632/MAX(J$5:J$886))^2), 1000000000)</f>
        <v/>
      </c>
      <c r="Q632" s="166">
        <f>IF(AND(ABS(B632-0.5)&lt;0.01, ABS(C632-0.5)&lt;0.01, ISNUMBER(SEARCH("Var", D632))), 1, 0)</f>
        <v/>
      </c>
      <c r="R632" s="171">
        <f>IF(F632&gt;0, J632, 1000000000)</f>
        <v/>
      </c>
      <c r="S632" s="101">
        <f>IF(AND(F632&lt;=DASHBOARD!$B$11, H632&gt;=DASHBOARD!$B$13), G632, -1000000000000)</f>
        <v/>
      </c>
      <c r="T632" s="101">
        <f>IF(AND(F632&lt;=DASHBOARD!$B$11, H632&gt;=DASHBOARD!$B$13), R632, 1000000000000)</f>
        <v/>
      </c>
      <c r="U632" s="101">
        <f>IF(AND(F632&lt;=DASHBOARD!$B$11, H632&gt;=DASHBOARD!$B$13), N632, -1000000000000)</f>
        <v/>
      </c>
      <c r="V632" s="101">
        <f>IF(AND(F632&lt;=DASHBOARD!$B$11, H632&gt;=DASHBOARD!$B$13), H632, -1000000000000)</f>
        <v/>
      </c>
      <c r="W632" s="101">
        <f>IF(AND(F632&lt;=DASHBOARD!$B$11, H632&gt;=DASHBOARD!$B$13), K632, -1000000000000)</f>
        <v/>
      </c>
      <c r="X632" s="101">
        <f>IF(AND(F632&lt;=DASHBOARD!$B$11, H632&gt;=DASHBOARD!$B$13), M632, 1000000000000)</f>
        <v/>
      </c>
      <c r="Y632" s="101">
        <f>IF(AND(F632&lt;=DASHBOARD!$B$10, H632&gt;=DASHBOARD!$B$11), L632, 1000000000000)</f>
        <v/>
      </c>
      <c r="Z632" s="101">
        <f>IF(AND(F632&lt;=DASHBOARD!$B$10, H632&gt;=DASHBOARD!$B$11), O632, 1000000000000)</f>
        <v/>
      </c>
      <c r="AA632" s="101">
        <f>IF(AND(F632&lt;=DASHBOARD!$B$10, H632&gt;=DASHBOARD!$B$11), P632, 1000000000000)</f>
        <v/>
      </c>
      <c r="AB632" s="101">
        <f>IF(AND(F632&lt;=DASHBOARD!$B$10, H632&gt;=DASHBOARD!$B$11), Q632, -1000000000000)</f>
        <v/>
      </c>
    </row>
    <row r="633" ht="15" customHeight="1" s="102">
      <c r="A633" s="166" t="n">
        <v>629</v>
      </c>
      <c r="B633" s="167" t="n">
        <v>1.4</v>
      </c>
      <c r="C633" s="167" t="n">
        <v>2</v>
      </c>
      <c r="D633" s="110" t="inlineStr">
        <is>
          <t>Yok (%0)</t>
        </is>
      </c>
      <c r="E633" s="110">
        <f>IF((B633+C633)&lt;=1, "Tam Mahsuplaşma (≤%100)", "Kısmi Satış (&gt;%100)")</f>
        <v/>
      </c>
      <c r="F633" s="168">
        <f>((VERI_TABANI!$D$29*B633/VERI_TABANI!$B$29)/VERI_TABANI!$B$3)*VERI_TABANI!$B$5 + ((VERI_TABANI!$D$29*C633/VERI_TABANI!$B$29)/VERI_TABANI!$B$4)*VERI_TABANI!$B$6 + IF(ISNUMBER(SEARCH("Var", D633)), (VERI_TABANI!$F$29/VERI_TABANI!$B$29)*(VERI_TABANI!$B$10+VERI_TABANI!$B$12), 0)</f>
        <v/>
      </c>
      <c r="G633" s="168">
        <f>(((MIN(VERI_TABANI!D23, VERI_TABANI!D23*B633)*VERI_TABANI!$B$7 + MAX(0, VERI_TABANI!D23*B633-VERI_TABANI!D23)*VERI_TABANI!$B$8) + (MIN(MAX(0, VERI_TABANI!D23-VERI_TABANI!D23*B633), VERI_TABANI!D23*C633)*VERI_TABANI!$B$7 + MAX(0, VERI_TABANI!D23*C633-MAX(0, VERI_TABANI!D23-VERI_TABANI!D23*B633))*VERI_TABANI!$B$8) + IF(ABS(IF(ISNUMBER(SEARCH("Var", D633)), 1, IF(ISNUMBER(SEARCH("Gri", D633)), -1, 0)))=1, VERI_TABANI!E23*(1-0.928)*VERI_TABANI!$B$9, 0) + (VERI_TABANI!D23*B633*(VERI_TABANI!$B$13-VERI_TABANI!$B$14)*VERI_TABANI!G23) + (VERI_TABANI!D23*C633*(VERI_TABANI!$B$13-VERI_TABANI!$B$15)*VERI_TABANI!G23) + IF(ABS(IF(ISNUMBER(SEARCH("Var", D633)), 1, IF(ISNUMBER(SEARCH("Gri", D633)), -1, 0)))=1, VERI_TABANI!E23*(1-0.928)*0.00206091519919798*VERI_TABANI!G23, 0)) + ((MIN(VERI_TABANI!D24, VERI_TABANI!D24*B633)*VERI_TABANI!$B$7 + MAX(0, VERI_TABANI!D24*B633-VERI_TABANI!D24)*VERI_TABANI!$B$8) + (MIN(MAX(0, VERI_TABANI!D24-VERI_TABANI!D24*B633), VERI_TABANI!D24*C633)*VERI_TABANI!$B$7 + MAX(0, VERI_TABANI!D24*C633-MAX(0, VERI_TABANI!D24-VERI_TABANI!D24*B633))*VERI_TABANI!$B$8) + IF(ABS(IF(ISNUMBER(SEARCH("Var", D633)), 1, IF(ISNUMBER(SEARCH("Gri", D633)), -1, 0)))=1, VERI_TABANI!E24*(1-0.928)*VERI_TABANI!$B$9, 0) + (VERI_TABANI!D24*B633*(VERI_TABANI!$B$13-VERI_TABANI!$B$14)*VERI_TABANI!G24) + (VERI_TABANI!D24*C633*(VERI_TABANI!$B$13-VERI_TABANI!$B$15)*VERI_TABANI!G24) + IF(ABS(IF(ISNUMBER(SEARCH("Var", D633)), 1, IF(ISNUMBER(SEARCH("Gri", D633)), -1, 0)))=1, VERI_TABANI!E24*(1-0.928)*0.00206091519919798*VERI_TABANI!G24, 0)) + ((MIN(VERI_TABANI!D25, VERI_TABANI!D25*B633)*VERI_TABANI!$B$7 + MAX(0, VERI_TABANI!D25*B633-VERI_TABANI!D25)*VERI_TABANI!$B$8) + (MIN(MAX(0, VERI_TABANI!D25-VERI_TABANI!D25*B633), VERI_TABANI!D25*C633)*VERI_TABANI!$B$7 + MAX(0, VERI_TABANI!D25*C633-MAX(0, VERI_TABANI!D25-VERI_TABANI!D25*B633))*VERI_TABANI!$B$8) + IF(ABS(IF(ISNUMBER(SEARCH("Var", D633)), 1, IF(ISNUMBER(SEARCH("Gri", D633)), -1, 0)))=1, VERI_TABANI!E25*(1-0.928)*VERI_TABANI!$B$9, 0) + (VERI_TABANI!D25*B633*(VERI_TABANI!$B$13-VERI_TABANI!$B$14)*VERI_TABANI!G25) + (VERI_TABANI!D25*C633*(VERI_TABANI!$B$13-VERI_TABANI!$B$15)*VERI_TABANI!G25) + IF(ABS(IF(ISNUMBER(SEARCH("Var", D633)), 1, IF(ISNUMBER(SEARCH("Gri", D633)), -1, 0)))=1, VERI_TABANI!E25*(1-0.928)*0.00206091519919798*VERI_TABANI!G25, 0)) + ((MIN(VERI_TABANI!D26, VERI_TABANI!D26*B633)*VERI_TABANI!$B$7 + MAX(0, VERI_TABANI!D26*B633-VERI_TABANI!D26)*VERI_TABANI!$B$8) + (MIN(MAX(0, VERI_TABANI!D26-VERI_TABANI!D26*B633), VERI_TABANI!D26*C633)*VERI_TABANI!$B$7 + MAX(0, VERI_TABANI!D26*C633-MAX(0, VERI_TABANI!D26-VERI_TABANI!D26*B633))*VERI_TABANI!$B$8) + IF(ABS(IF(ISNUMBER(SEARCH("Var", D633)), 1, IF(ISNUMBER(SEARCH("Gri", D633)), -1, 0)))=1, VERI_TABANI!E26*(1-0.928)*VERI_TABANI!$B$9, 0) + (VERI_TABANI!D26*B633*(VERI_TABANI!$B$13-VERI_TABANI!$B$14)*VERI_TABANI!G26) + (VERI_TABANI!D26*C633*(VERI_TABANI!$B$13-VERI_TABANI!$B$15)*VERI_TABANI!G26) + IF(ABS(IF(ISNUMBER(SEARCH("Var", D633)), 1, IF(ISNUMBER(SEARCH("Gri", D633)), -1, 0)))=1, VERI_TABANI!E26*(1-0.928)*0.00206091519919798*VERI_TABANI!G26, 0)) + ((MIN(VERI_TABANI!D27, VERI_TABANI!D27*B633)*VERI_TABANI!$B$7 + MAX(0, VERI_TABANI!D27*B633-VERI_TABANI!D27)*VERI_TABANI!$B$8) + (MIN(MAX(0, VERI_TABANI!D27-VERI_TABANI!D27*B633), VERI_TABANI!D27*C633)*VERI_TABANI!$B$7 + MAX(0, VERI_TABANI!D27*C633-MAX(0, VERI_TABANI!D27-VERI_TABANI!D27*B633))*VERI_TABANI!$B$8) + IF(ABS(IF(ISNUMBER(SEARCH("Var", D633)), 1, IF(ISNUMBER(SEARCH("Gri", D633)), -1, 0)))=1, VERI_TABANI!E27*(1-0.928)*VERI_TABANI!$B$9, 0) + (VERI_TABANI!D27*B633*(VERI_TABANI!$B$13-VERI_TABANI!$B$14)*VERI_TABANI!G27) + (VERI_TABANI!D27*C633*(VERI_TABANI!$B$13-VERI_TABANI!$B$15)*VERI_TABANI!G27) + IF(ABS(IF(ISNUMBER(SEARCH("Var", D633)), 1, IF(ISNUMBER(SEARCH("Gri", D633)), -1, 0)))=1, VERI_TABANI!E27*(1-0.928)*0.00206091519919798*VERI_TABANI!G27, 0)) + ((MIN(VERI_TABANI!D28, VERI_TABANI!D28*B633)*VERI_TABANI!$B$7 + MAX(0, VERI_TABANI!D28*B633-VERI_TABANI!D28)*VERI_TABANI!$B$8) + (MIN(MAX(0, VERI_TABANI!D28-VERI_TABANI!D28*B633), VERI_TABANI!D28*C633)*VERI_TABANI!$B$7 + MAX(0, VERI_TABANI!D28*C633-MAX(0, VERI_TABANI!D28-VERI_TABANI!D28*B633))*VERI_TABANI!$B$8) + IF(ABS(IF(ISNUMBER(SEARCH("Var", D633)), 1, IF(ISNUMBER(SEARCH("Gri", D633)), -1, 0)))=1, VERI_TABANI!E28*(1-0.928)*VERI_TABANI!$B$9, 0) + (VERI_TABANI!D28*B633*(VERI_TABANI!$B$13-VERI_TABANI!$B$14)*VERI_TABANI!G28) + (VERI_TABANI!D28*C633*(VERI_TABANI!$B$13-VERI_TABANI!$B$15)*VERI_TABANI!G28) + IF(ABS(IF(ISNUMBER(SEARCH("Var", D633)), 1, IF(ISNUMBER(SEARCH("Gri", D633)), -1, 0)))=1, VERI_TABANI!E28*(1-0.928)*0.00206091519919798*VERI_TABANI!G28, 0)))</f>
        <v/>
      </c>
      <c r="H633" s="169">
        <f>(((VERI_TABANI!D23*B633*(VERI_TABANI!$B$13-VERI_TABANI!$B$14)) + (VERI_TABANI!D23*C633*(VERI_TABANI!$B$13-VERI_TABANI!$B$15)) + IF(ISNUMBER(SEARCH("Var", D633)), VERI_TABANI!F23*(0.00202-VERI_TABANI!$B$16), IF(ISNUMBER(SEARCH("Gri", D633)), VERI_TABANI!F23*(0.00202-VERI_TABANI!$B$17), 0))) + ((VERI_TABANI!D24*B633*(VERI_TABANI!$B$13-VERI_TABANI!$B$14)) + (VERI_TABANI!D24*C633*(VERI_TABANI!$B$13-VERI_TABANI!$B$15)) + IF(ISNUMBER(SEARCH("Var", D633)), VERI_TABANI!F24*(0.00202-VERI_TABANI!$B$16), IF(ISNUMBER(SEARCH("Gri", D633)), VERI_TABANI!F24*(0.00202-VERI_TABANI!$B$17), 0))) + ((VERI_TABANI!D25*B633*(VERI_TABANI!$B$13-VERI_TABANI!$B$14)) + (VERI_TABANI!D25*C633*(VERI_TABANI!$B$13-VERI_TABANI!$B$15)) + IF(ISNUMBER(SEARCH("Var", D633)), VERI_TABANI!F25*(0.00202-VERI_TABANI!$B$16), IF(ISNUMBER(SEARCH("Gri", D633)), VERI_TABANI!F25*(0.00202-VERI_TABANI!$B$17), 0))) + ((VERI_TABANI!D26*B633*(VERI_TABANI!$B$13-VERI_TABANI!$B$14)) + (VERI_TABANI!D26*C633*(VERI_TABANI!$B$13-VERI_TABANI!$B$15)) + IF(ISNUMBER(SEARCH("Var", D633)), VERI_TABANI!F26*(0.00202-VERI_TABANI!$B$16), IF(ISNUMBER(SEARCH("Gri", D633)), VERI_TABANI!F26*(0.00202-VERI_TABANI!$B$17), 0))) + ((VERI_TABANI!D27*B633*(VERI_TABANI!$B$13-VERI_TABANI!$B$14)) + (VERI_TABANI!D27*C633*(VERI_TABANI!$B$13-VERI_TABANI!$B$15)) + IF(ISNUMBER(SEARCH("Var", D633)), VERI_TABANI!F27*(0.00202-VERI_TABANI!$B$16), IF(ISNUMBER(SEARCH("Gri", D633)), VERI_TABANI!F27*(0.00202-VERI_TABANI!$B$17), 0))) + ((VERI_TABANI!D28*B633*(VERI_TABANI!$B$13-VERI_TABANI!$B$14)) + (VERI_TABANI!D28*C633*(VERI_TABANI!$B$13-VERI_TABANI!$B$15)) + IF(ISNUMBER(SEARCH("Var", D633)), VERI_TABANI!F28*(0.00202-VERI_TABANI!$B$16), IF(ISNUMBER(SEARCH("Gri", D633)), VERI_TABANI!F28*(0.00202-VERI_TABANI!$B$17), 0))))</f>
        <v/>
      </c>
      <c r="I633" s="170">
        <f>IFERROR(((VERI_TABANI!$D$29*B633*VERI_TABANI!$B$14 + VERI_TABANI!$D$29*C633*VERI_TABANI!$B$15 + IF(ISNUMBER(SEARCH("Var", D633)), VERI_TABANI!$F$29*VERI_TABANI!$B$16, 0))) / (((VERI_TABANI!$D$29*B633 + VERI_TABANI!$D$29*C633)*VERI_TABANI!$B$13 + IF(ISNUMBER(SEARCH("Var", D633)), VERI_TABANI!$E$29*(1-0.928)*VERI_TABANI!$B$18, 0))), 0)</f>
        <v/>
      </c>
      <c r="J633" s="171">
        <f>IFERROR(F633/(G633/29), 0)</f>
        <v/>
      </c>
      <c r="K633" s="172">
        <f>IF(F633&gt;0, H633/F633, 0)</f>
        <v/>
      </c>
      <c r="L633" s="170">
        <f>IF(F633&gt;0, I633, 1000000000)</f>
        <v/>
      </c>
      <c r="M633" s="171">
        <f>ABS((B633+C633)-1)</f>
        <v/>
      </c>
      <c r="N633" s="170">
        <f>IF(F633&gt;0, (G633/29)/F633, 0)</f>
        <v/>
      </c>
      <c r="O633" s="168">
        <f>IF(AND((B633+C633)&gt;=1, ISNUMBER(SEARCH("Var", D633))), F633, 1000000000)</f>
        <v/>
      </c>
      <c r="P633" s="172">
        <f>IF(F633&gt;0, SQRT((F633/MAX(F$5:F$886))^2 + (1 - H633/MAX(H$5:H$886))^2 + (J633/MAX(J$5:J$886))^2), 1000000000)</f>
        <v/>
      </c>
      <c r="Q633" s="166">
        <f>IF(AND(ABS(B633-0.5)&lt;0.01, ABS(C633-0.5)&lt;0.01, ISNUMBER(SEARCH("Var", D633))), 1, 0)</f>
        <v/>
      </c>
      <c r="R633" s="171">
        <f>IF(F633&gt;0, J633, 1000000000)</f>
        <v/>
      </c>
      <c r="S633" s="101">
        <f>IF(AND(F633&lt;=DASHBOARD!$B$11, H633&gt;=DASHBOARD!$B$13), G633, -1000000000000)</f>
        <v/>
      </c>
      <c r="T633" s="101">
        <f>IF(AND(F633&lt;=DASHBOARD!$B$11, H633&gt;=DASHBOARD!$B$13), R633, 1000000000000)</f>
        <v/>
      </c>
      <c r="U633" s="101">
        <f>IF(AND(F633&lt;=DASHBOARD!$B$11, H633&gt;=DASHBOARD!$B$13), N633, -1000000000000)</f>
        <v/>
      </c>
      <c r="V633" s="101">
        <f>IF(AND(F633&lt;=DASHBOARD!$B$11, H633&gt;=DASHBOARD!$B$13), H633, -1000000000000)</f>
        <v/>
      </c>
      <c r="W633" s="101">
        <f>IF(AND(F633&lt;=DASHBOARD!$B$11, H633&gt;=DASHBOARD!$B$13), K633, -1000000000000)</f>
        <v/>
      </c>
      <c r="X633" s="101">
        <f>IF(AND(F633&lt;=DASHBOARD!$B$11, H633&gt;=DASHBOARD!$B$13), M633, 1000000000000)</f>
        <v/>
      </c>
      <c r="Y633" s="101">
        <f>IF(AND(F633&lt;=DASHBOARD!$B$10, H633&gt;=DASHBOARD!$B$11), L633, 1000000000000)</f>
        <v/>
      </c>
      <c r="Z633" s="101">
        <f>IF(AND(F633&lt;=DASHBOARD!$B$10, H633&gt;=DASHBOARD!$B$11), O633, 1000000000000)</f>
        <v/>
      </c>
      <c r="AA633" s="101">
        <f>IF(AND(F633&lt;=DASHBOARD!$B$10, H633&gt;=DASHBOARD!$B$11), P633, 1000000000000)</f>
        <v/>
      </c>
      <c r="AB633" s="101">
        <f>IF(AND(F633&lt;=DASHBOARD!$B$10, H633&gt;=DASHBOARD!$B$11), Q633, -1000000000000)</f>
        <v/>
      </c>
    </row>
    <row r="634" ht="15" customHeight="1" s="102">
      <c r="A634" s="166" t="n">
        <v>630</v>
      </c>
      <c r="B634" s="167" t="n">
        <v>1.4</v>
      </c>
      <c r="C634" s="167" t="n">
        <v>2</v>
      </c>
      <c r="D634" s="110" t="inlineStr">
        <is>
          <t>Var (%20)</t>
        </is>
      </c>
      <c r="E634" s="110">
        <f>IF((B634+C634)&lt;=1, "Tam Mahsuplaşma (≤%100)", "Kısmi Satış (&gt;%100)")</f>
        <v/>
      </c>
      <c r="F634" s="168">
        <f>((VERI_TABANI!$D$29*B634/VERI_TABANI!$B$29)/VERI_TABANI!$B$3)*VERI_TABANI!$B$5 + ((VERI_TABANI!$D$29*C634/VERI_TABANI!$B$29)/VERI_TABANI!$B$4)*VERI_TABANI!$B$6 + IF(ISNUMBER(SEARCH("Var", D634)), (VERI_TABANI!$F$29/VERI_TABANI!$B$29)*(VERI_TABANI!$B$10+VERI_TABANI!$B$12), 0)</f>
        <v/>
      </c>
      <c r="G634" s="168">
        <f>(((MIN(VERI_TABANI!D23, VERI_TABANI!D23*B634)*VERI_TABANI!$B$7 + MAX(0, VERI_TABANI!D23*B634-VERI_TABANI!D23)*VERI_TABANI!$B$8) + (MIN(MAX(0, VERI_TABANI!D23-VERI_TABANI!D23*B634), VERI_TABANI!D23*C634)*VERI_TABANI!$B$7 + MAX(0, VERI_TABANI!D23*C634-MAX(0, VERI_TABANI!D23-VERI_TABANI!D23*B634))*VERI_TABANI!$B$8) + IF(ABS(IF(ISNUMBER(SEARCH("Var", D634)), 1, IF(ISNUMBER(SEARCH("Gri", D634)), -1, 0)))=1, VERI_TABANI!E23*(1-0.928)*VERI_TABANI!$B$9, 0) + (VERI_TABANI!D23*B634*(VERI_TABANI!$B$13-VERI_TABANI!$B$14)*VERI_TABANI!G23) + (VERI_TABANI!D23*C634*(VERI_TABANI!$B$13-VERI_TABANI!$B$15)*VERI_TABANI!G23) + IF(ABS(IF(ISNUMBER(SEARCH("Var", D634)), 1, IF(ISNUMBER(SEARCH("Gri", D634)), -1, 0)))=1, VERI_TABANI!E23*(1-0.928)*0.00206091519919798*VERI_TABANI!G23, 0)) + ((MIN(VERI_TABANI!D24, VERI_TABANI!D24*B634)*VERI_TABANI!$B$7 + MAX(0, VERI_TABANI!D24*B634-VERI_TABANI!D24)*VERI_TABANI!$B$8) + (MIN(MAX(0, VERI_TABANI!D24-VERI_TABANI!D24*B634), VERI_TABANI!D24*C634)*VERI_TABANI!$B$7 + MAX(0, VERI_TABANI!D24*C634-MAX(0, VERI_TABANI!D24-VERI_TABANI!D24*B634))*VERI_TABANI!$B$8) + IF(ABS(IF(ISNUMBER(SEARCH("Var", D634)), 1, IF(ISNUMBER(SEARCH("Gri", D634)), -1, 0)))=1, VERI_TABANI!E24*(1-0.928)*VERI_TABANI!$B$9, 0) + (VERI_TABANI!D24*B634*(VERI_TABANI!$B$13-VERI_TABANI!$B$14)*VERI_TABANI!G24) + (VERI_TABANI!D24*C634*(VERI_TABANI!$B$13-VERI_TABANI!$B$15)*VERI_TABANI!G24) + IF(ABS(IF(ISNUMBER(SEARCH("Var", D634)), 1, IF(ISNUMBER(SEARCH("Gri", D634)), -1, 0)))=1, VERI_TABANI!E24*(1-0.928)*0.00206091519919798*VERI_TABANI!G24, 0)) + ((MIN(VERI_TABANI!D25, VERI_TABANI!D25*B634)*VERI_TABANI!$B$7 + MAX(0, VERI_TABANI!D25*B634-VERI_TABANI!D25)*VERI_TABANI!$B$8) + (MIN(MAX(0, VERI_TABANI!D25-VERI_TABANI!D25*B634), VERI_TABANI!D25*C634)*VERI_TABANI!$B$7 + MAX(0, VERI_TABANI!D25*C634-MAX(0, VERI_TABANI!D25-VERI_TABANI!D25*B634))*VERI_TABANI!$B$8) + IF(ABS(IF(ISNUMBER(SEARCH("Var", D634)), 1, IF(ISNUMBER(SEARCH("Gri", D634)), -1, 0)))=1, VERI_TABANI!E25*(1-0.928)*VERI_TABANI!$B$9, 0) + (VERI_TABANI!D25*B634*(VERI_TABANI!$B$13-VERI_TABANI!$B$14)*VERI_TABANI!G25) + (VERI_TABANI!D25*C634*(VERI_TABANI!$B$13-VERI_TABANI!$B$15)*VERI_TABANI!G25) + IF(ABS(IF(ISNUMBER(SEARCH("Var", D634)), 1, IF(ISNUMBER(SEARCH("Gri", D634)), -1, 0)))=1, VERI_TABANI!E25*(1-0.928)*0.00206091519919798*VERI_TABANI!G25, 0)) + ((MIN(VERI_TABANI!D26, VERI_TABANI!D26*B634)*VERI_TABANI!$B$7 + MAX(0, VERI_TABANI!D26*B634-VERI_TABANI!D26)*VERI_TABANI!$B$8) + (MIN(MAX(0, VERI_TABANI!D26-VERI_TABANI!D26*B634), VERI_TABANI!D26*C634)*VERI_TABANI!$B$7 + MAX(0, VERI_TABANI!D26*C634-MAX(0, VERI_TABANI!D26-VERI_TABANI!D26*B634))*VERI_TABANI!$B$8) + IF(ABS(IF(ISNUMBER(SEARCH("Var", D634)), 1, IF(ISNUMBER(SEARCH("Gri", D634)), -1, 0)))=1, VERI_TABANI!E26*(1-0.928)*VERI_TABANI!$B$9, 0) + (VERI_TABANI!D26*B634*(VERI_TABANI!$B$13-VERI_TABANI!$B$14)*VERI_TABANI!G26) + (VERI_TABANI!D26*C634*(VERI_TABANI!$B$13-VERI_TABANI!$B$15)*VERI_TABANI!G26) + IF(ABS(IF(ISNUMBER(SEARCH("Var", D634)), 1, IF(ISNUMBER(SEARCH("Gri", D634)), -1, 0)))=1, VERI_TABANI!E26*(1-0.928)*0.00206091519919798*VERI_TABANI!G26, 0)) + ((MIN(VERI_TABANI!D27, VERI_TABANI!D27*B634)*VERI_TABANI!$B$7 + MAX(0, VERI_TABANI!D27*B634-VERI_TABANI!D27)*VERI_TABANI!$B$8) + (MIN(MAX(0, VERI_TABANI!D27-VERI_TABANI!D27*B634), VERI_TABANI!D27*C634)*VERI_TABANI!$B$7 + MAX(0, VERI_TABANI!D27*C634-MAX(0, VERI_TABANI!D27-VERI_TABANI!D27*B634))*VERI_TABANI!$B$8) + IF(ABS(IF(ISNUMBER(SEARCH("Var", D634)), 1, IF(ISNUMBER(SEARCH("Gri", D634)), -1, 0)))=1, VERI_TABANI!E27*(1-0.928)*VERI_TABANI!$B$9, 0) + (VERI_TABANI!D27*B634*(VERI_TABANI!$B$13-VERI_TABANI!$B$14)*VERI_TABANI!G27) + (VERI_TABANI!D27*C634*(VERI_TABANI!$B$13-VERI_TABANI!$B$15)*VERI_TABANI!G27) + IF(ABS(IF(ISNUMBER(SEARCH("Var", D634)), 1, IF(ISNUMBER(SEARCH("Gri", D634)), -1, 0)))=1, VERI_TABANI!E27*(1-0.928)*0.00206091519919798*VERI_TABANI!G27, 0)) + ((MIN(VERI_TABANI!D28, VERI_TABANI!D28*B634)*VERI_TABANI!$B$7 + MAX(0, VERI_TABANI!D28*B634-VERI_TABANI!D28)*VERI_TABANI!$B$8) + (MIN(MAX(0, VERI_TABANI!D28-VERI_TABANI!D28*B634), VERI_TABANI!D28*C634)*VERI_TABANI!$B$7 + MAX(0, VERI_TABANI!D28*C634-MAX(0, VERI_TABANI!D28-VERI_TABANI!D28*B634))*VERI_TABANI!$B$8) + IF(ABS(IF(ISNUMBER(SEARCH("Var", D634)), 1, IF(ISNUMBER(SEARCH("Gri", D634)), -1, 0)))=1, VERI_TABANI!E28*(1-0.928)*VERI_TABANI!$B$9, 0) + (VERI_TABANI!D28*B634*(VERI_TABANI!$B$13-VERI_TABANI!$B$14)*VERI_TABANI!G28) + (VERI_TABANI!D28*C634*(VERI_TABANI!$B$13-VERI_TABANI!$B$15)*VERI_TABANI!G28) + IF(ABS(IF(ISNUMBER(SEARCH("Var", D634)), 1, IF(ISNUMBER(SEARCH("Gri", D634)), -1, 0)))=1, VERI_TABANI!E28*(1-0.928)*0.00206091519919798*VERI_TABANI!G28, 0)))</f>
        <v/>
      </c>
      <c r="H634" s="169">
        <f>(((VERI_TABANI!D23*B634*(VERI_TABANI!$B$13-VERI_TABANI!$B$14)) + (VERI_TABANI!D23*C634*(VERI_TABANI!$B$13-VERI_TABANI!$B$15)) + IF(ISNUMBER(SEARCH("Var", D634)), VERI_TABANI!F23*(0.00202-VERI_TABANI!$B$16), IF(ISNUMBER(SEARCH("Gri", D634)), VERI_TABANI!F23*(0.00202-VERI_TABANI!$B$17), 0))) + ((VERI_TABANI!D24*B634*(VERI_TABANI!$B$13-VERI_TABANI!$B$14)) + (VERI_TABANI!D24*C634*(VERI_TABANI!$B$13-VERI_TABANI!$B$15)) + IF(ISNUMBER(SEARCH("Var", D634)), VERI_TABANI!F24*(0.00202-VERI_TABANI!$B$16), IF(ISNUMBER(SEARCH("Gri", D634)), VERI_TABANI!F24*(0.00202-VERI_TABANI!$B$17), 0))) + ((VERI_TABANI!D25*B634*(VERI_TABANI!$B$13-VERI_TABANI!$B$14)) + (VERI_TABANI!D25*C634*(VERI_TABANI!$B$13-VERI_TABANI!$B$15)) + IF(ISNUMBER(SEARCH("Var", D634)), VERI_TABANI!F25*(0.00202-VERI_TABANI!$B$16), IF(ISNUMBER(SEARCH("Gri", D634)), VERI_TABANI!F25*(0.00202-VERI_TABANI!$B$17), 0))) + ((VERI_TABANI!D26*B634*(VERI_TABANI!$B$13-VERI_TABANI!$B$14)) + (VERI_TABANI!D26*C634*(VERI_TABANI!$B$13-VERI_TABANI!$B$15)) + IF(ISNUMBER(SEARCH("Var", D634)), VERI_TABANI!F26*(0.00202-VERI_TABANI!$B$16), IF(ISNUMBER(SEARCH("Gri", D634)), VERI_TABANI!F26*(0.00202-VERI_TABANI!$B$17), 0))) + ((VERI_TABANI!D27*B634*(VERI_TABANI!$B$13-VERI_TABANI!$B$14)) + (VERI_TABANI!D27*C634*(VERI_TABANI!$B$13-VERI_TABANI!$B$15)) + IF(ISNUMBER(SEARCH("Var", D634)), VERI_TABANI!F27*(0.00202-VERI_TABANI!$B$16), IF(ISNUMBER(SEARCH("Gri", D634)), VERI_TABANI!F27*(0.00202-VERI_TABANI!$B$17), 0))) + ((VERI_TABANI!D28*B634*(VERI_TABANI!$B$13-VERI_TABANI!$B$14)) + (VERI_TABANI!D28*C634*(VERI_TABANI!$B$13-VERI_TABANI!$B$15)) + IF(ISNUMBER(SEARCH("Var", D634)), VERI_TABANI!F28*(0.00202-VERI_TABANI!$B$16), IF(ISNUMBER(SEARCH("Gri", D634)), VERI_TABANI!F28*(0.00202-VERI_TABANI!$B$17), 0))))</f>
        <v/>
      </c>
      <c r="I634" s="170">
        <f>IFERROR(((VERI_TABANI!$D$29*B634*VERI_TABANI!$B$14 + VERI_TABANI!$D$29*C634*VERI_TABANI!$B$15 + IF(ISNUMBER(SEARCH("Var", D634)), VERI_TABANI!$F$29*VERI_TABANI!$B$16, 0))) / (((VERI_TABANI!$D$29*B634 + VERI_TABANI!$D$29*C634)*VERI_TABANI!$B$13 + IF(ISNUMBER(SEARCH("Var", D634)), VERI_TABANI!$E$29*(1-0.928)*VERI_TABANI!$B$18, 0))), 0)</f>
        <v/>
      </c>
      <c r="J634" s="171">
        <f>IFERROR(F634/(G634/29), 0)</f>
        <v/>
      </c>
      <c r="K634" s="172">
        <f>IF(F634&gt;0, H634/F634, 0)</f>
        <v/>
      </c>
      <c r="L634" s="170">
        <f>IF(F634&gt;0, I634, 1000000000)</f>
        <v/>
      </c>
      <c r="M634" s="171">
        <f>ABS((B634+C634)-1)</f>
        <v/>
      </c>
      <c r="N634" s="170">
        <f>IF(F634&gt;0, (G634/29)/F634, 0)</f>
        <v/>
      </c>
      <c r="O634" s="168">
        <f>IF(AND((B634+C634)&gt;=1, ISNUMBER(SEARCH("Var", D634))), F634, 1000000000)</f>
        <v/>
      </c>
      <c r="P634" s="172">
        <f>IF(F634&gt;0, SQRT((F634/MAX(F$5:F$886))^2 + (1 - H634/MAX(H$5:H$886))^2 + (J634/MAX(J$5:J$886))^2), 1000000000)</f>
        <v/>
      </c>
      <c r="Q634" s="166">
        <f>IF(AND(ABS(B634-0.5)&lt;0.01, ABS(C634-0.5)&lt;0.01, ISNUMBER(SEARCH("Var", D634))), 1, 0)</f>
        <v/>
      </c>
      <c r="R634" s="171">
        <f>IF(F634&gt;0, J634, 1000000000)</f>
        <v/>
      </c>
      <c r="S634" s="101">
        <f>IF(AND(F634&lt;=DASHBOARD!$B$11, H634&gt;=DASHBOARD!$B$13), G634, -1000000000000)</f>
        <v/>
      </c>
      <c r="T634" s="101">
        <f>IF(AND(F634&lt;=DASHBOARD!$B$11, H634&gt;=DASHBOARD!$B$13), R634, 1000000000000)</f>
        <v/>
      </c>
      <c r="U634" s="101">
        <f>IF(AND(F634&lt;=DASHBOARD!$B$11, H634&gt;=DASHBOARD!$B$13), N634, -1000000000000)</f>
        <v/>
      </c>
      <c r="V634" s="101">
        <f>IF(AND(F634&lt;=DASHBOARD!$B$11, H634&gt;=DASHBOARD!$B$13), H634, -1000000000000)</f>
        <v/>
      </c>
      <c r="W634" s="101">
        <f>IF(AND(F634&lt;=DASHBOARD!$B$11, H634&gt;=DASHBOARD!$B$13), K634, -1000000000000)</f>
        <v/>
      </c>
      <c r="X634" s="101">
        <f>IF(AND(F634&lt;=DASHBOARD!$B$11, H634&gt;=DASHBOARD!$B$13), M634, 1000000000000)</f>
        <v/>
      </c>
      <c r="Y634" s="101">
        <f>IF(AND(F634&lt;=DASHBOARD!$B$10, H634&gt;=DASHBOARD!$B$11), L634, 1000000000000)</f>
        <v/>
      </c>
      <c r="Z634" s="101">
        <f>IF(AND(F634&lt;=DASHBOARD!$B$10, H634&gt;=DASHBOARD!$B$11), O634, 1000000000000)</f>
        <v/>
      </c>
      <c r="AA634" s="101">
        <f>IF(AND(F634&lt;=DASHBOARD!$B$10, H634&gt;=DASHBOARD!$B$11), P634, 1000000000000)</f>
        <v/>
      </c>
      <c r="AB634" s="101">
        <f>IF(AND(F634&lt;=DASHBOARD!$B$10, H634&gt;=DASHBOARD!$B$11), Q634, -1000000000000)</f>
        <v/>
      </c>
    </row>
    <row r="635" ht="15" customHeight="1" s="102">
      <c r="A635" s="166" t="n">
        <v>631</v>
      </c>
      <c r="B635" s="167" t="n">
        <v>1.5</v>
      </c>
      <c r="C635" s="167" t="n">
        <v>0</v>
      </c>
      <c r="D635" s="110" t="inlineStr">
        <is>
          <t>Yok (%0)</t>
        </is>
      </c>
      <c r="E635" s="110">
        <f>IF((B635+C635)&lt;=1, "Tam Mahsuplaşma (≤%100)", "Kısmi Satış (&gt;%100)")</f>
        <v/>
      </c>
      <c r="F635" s="168">
        <f>((VERI_TABANI!$D$29*B635/VERI_TABANI!$B$29)/VERI_TABANI!$B$3)*VERI_TABANI!$B$5 + ((VERI_TABANI!$D$29*C635/VERI_TABANI!$B$29)/VERI_TABANI!$B$4)*VERI_TABANI!$B$6 + IF(ISNUMBER(SEARCH("Var", D635)), (VERI_TABANI!$F$29/VERI_TABANI!$B$29)*(VERI_TABANI!$B$10+VERI_TABANI!$B$12), 0)</f>
        <v/>
      </c>
      <c r="G635" s="168">
        <f>(((MIN(VERI_TABANI!D23, VERI_TABANI!D23*B635)*VERI_TABANI!$B$7 + MAX(0, VERI_TABANI!D23*B635-VERI_TABANI!D23)*VERI_TABANI!$B$8) + (MIN(MAX(0, VERI_TABANI!D23-VERI_TABANI!D23*B635), VERI_TABANI!D23*C635)*VERI_TABANI!$B$7 + MAX(0, VERI_TABANI!D23*C635-MAX(0, VERI_TABANI!D23-VERI_TABANI!D23*B635))*VERI_TABANI!$B$8) + IF(ABS(IF(ISNUMBER(SEARCH("Var", D635)), 1, IF(ISNUMBER(SEARCH("Gri", D635)), -1, 0)))=1, VERI_TABANI!E23*(1-0.928)*VERI_TABANI!$B$9, 0) + (VERI_TABANI!D23*B635*(VERI_TABANI!$B$13-VERI_TABANI!$B$14)*VERI_TABANI!G23) + (VERI_TABANI!D23*C635*(VERI_TABANI!$B$13-VERI_TABANI!$B$15)*VERI_TABANI!G23) + IF(ABS(IF(ISNUMBER(SEARCH("Var", D635)), 1, IF(ISNUMBER(SEARCH("Gri", D635)), -1, 0)))=1, VERI_TABANI!E23*(1-0.928)*0.00206091519919798*VERI_TABANI!G23, 0)) + ((MIN(VERI_TABANI!D24, VERI_TABANI!D24*B635)*VERI_TABANI!$B$7 + MAX(0, VERI_TABANI!D24*B635-VERI_TABANI!D24)*VERI_TABANI!$B$8) + (MIN(MAX(0, VERI_TABANI!D24-VERI_TABANI!D24*B635), VERI_TABANI!D24*C635)*VERI_TABANI!$B$7 + MAX(0, VERI_TABANI!D24*C635-MAX(0, VERI_TABANI!D24-VERI_TABANI!D24*B635))*VERI_TABANI!$B$8) + IF(ABS(IF(ISNUMBER(SEARCH("Var", D635)), 1, IF(ISNUMBER(SEARCH("Gri", D635)), -1, 0)))=1, VERI_TABANI!E24*(1-0.928)*VERI_TABANI!$B$9, 0) + (VERI_TABANI!D24*B635*(VERI_TABANI!$B$13-VERI_TABANI!$B$14)*VERI_TABANI!G24) + (VERI_TABANI!D24*C635*(VERI_TABANI!$B$13-VERI_TABANI!$B$15)*VERI_TABANI!G24) + IF(ABS(IF(ISNUMBER(SEARCH("Var", D635)), 1, IF(ISNUMBER(SEARCH("Gri", D635)), -1, 0)))=1, VERI_TABANI!E24*(1-0.928)*0.00206091519919798*VERI_TABANI!G24, 0)) + ((MIN(VERI_TABANI!D25, VERI_TABANI!D25*B635)*VERI_TABANI!$B$7 + MAX(0, VERI_TABANI!D25*B635-VERI_TABANI!D25)*VERI_TABANI!$B$8) + (MIN(MAX(0, VERI_TABANI!D25-VERI_TABANI!D25*B635), VERI_TABANI!D25*C635)*VERI_TABANI!$B$7 + MAX(0, VERI_TABANI!D25*C635-MAX(0, VERI_TABANI!D25-VERI_TABANI!D25*B635))*VERI_TABANI!$B$8) + IF(ABS(IF(ISNUMBER(SEARCH("Var", D635)), 1, IF(ISNUMBER(SEARCH("Gri", D635)), -1, 0)))=1, VERI_TABANI!E25*(1-0.928)*VERI_TABANI!$B$9, 0) + (VERI_TABANI!D25*B635*(VERI_TABANI!$B$13-VERI_TABANI!$B$14)*VERI_TABANI!G25) + (VERI_TABANI!D25*C635*(VERI_TABANI!$B$13-VERI_TABANI!$B$15)*VERI_TABANI!G25) + IF(ABS(IF(ISNUMBER(SEARCH("Var", D635)), 1, IF(ISNUMBER(SEARCH("Gri", D635)), -1, 0)))=1, VERI_TABANI!E25*(1-0.928)*0.00206091519919798*VERI_TABANI!G25, 0)) + ((MIN(VERI_TABANI!D26, VERI_TABANI!D26*B635)*VERI_TABANI!$B$7 + MAX(0, VERI_TABANI!D26*B635-VERI_TABANI!D26)*VERI_TABANI!$B$8) + (MIN(MAX(0, VERI_TABANI!D26-VERI_TABANI!D26*B635), VERI_TABANI!D26*C635)*VERI_TABANI!$B$7 + MAX(0, VERI_TABANI!D26*C635-MAX(0, VERI_TABANI!D26-VERI_TABANI!D26*B635))*VERI_TABANI!$B$8) + IF(ABS(IF(ISNUMBER(SEARCH("Var", D635)), 1, IF(ISNUMBER(SEARCH("Gri", D635)), -1, 0)))=1, VERI_TABANI!E26*(1-0.928)*VERI_TABANI!$B$9, 0) + (VERI_TABANI!D26*B635*(VERI_TABANI!$B$13-VERI_TABANI!$B$14)*VERI_TABANI!G26) + (VERI_TABANI!D26*C635*(VERI_TABANI!$B$13-VERI_TABANI!$B$15)*VERI_TABANI!G26) + IF(ABS(IF(ISNUMBER(SEARCH("Var", D635)), 1, IF(ISNUMBER(SEARCH("Gri", D635)), -1, 0)))=1, VERI_TABANI!E26*(1-0.928)*0.00206091519919798*VERI_TABANI!G26, 0)) + ((MIN(VERI_TABANI!D27, VERI_TABANI!D27*B635)*VERI_TABANI!$B$7 + MAX(0, VERI_TABANI!D27*B635-VERI_TABANI!D27)*VERI_TABANI!$B$8) + (MIN(MAX(0, VERI_TABANI!D27-VERI_TABANI!D27*B635), VERI_TABANI!D27*C635)*VERI_TABANI!$B$7 + MAX(0, VERI_TABANI!D27*C635-MAX(0, VERI_TABANI!D27-VERI_TABANI!D27*B635))*VERI_TABANI!$B$8) + IF(ABS(IF(ISNUMBER(SEARCH("Var", D635)), 1, IF(ISNUMBER(SEARCH("Gri", D635)), -1, 0)))=1, VERI_TABANI!E27*(1-0.928)*VERI_TABANI!$B$9, 0) + (VERI_TABANI!D27*B635*(VERI_TABANI!$B$13-VERI_TABANI!$B$14)*VERI_TABANI!G27) + (VERI_TABANI!D27*C635*(VERI_TABANI!$B$13-VERI_TABANI!$B$15)*VERI_TABANI!G27) + IF(ABS(IF(ISNUMBER(SEARCH("Var", D635)), 1, IF(ISNUMBER(SEARCH("Gri", D635)), -1, 0)))=1, VERI_TABANI!E27*(1-0.928)*0.00206091519919798*VERI_TABANI!G27, 0)) + ((MIN(VERI_TABANI!D28, VERI_TABANI!D28*B635)*VERI_TABANI!$B$7 + MAX(0, VERI_TABANI!D28*B635-VERI_TABANI!D28)*VERI_TABANI!$B$8) + (MIN(MAX(0, VERI_TABANI!D28-VERI_TABANI!D28*B635), VERI_TABANI!D28*C635)*VERI_TABANI!$B$7 + MAX(0, VERI_TABANI!D28*C635-MAX(0, VERI_TABANI!D28-VERI_TABANI!D28*B635))*VERI_TABANI!$B$8) + IF(ABS(IF(ISNUMBER(SEARCH("Var", D635)), 1, IF(ISNUMBER(SEARCH("Gri", D635)), -1, 0)))=1, VERI_TABANI!E28*(1-0.928)*VERI_TABANI!$B$9, 0) + (VERI_TABANI!D28*B635*(VERI_TABANI!$B$13-VERI_TABANI!$B$14)*VERI_TABANI!G28) + (VERI_TABANI!D28*C635*(VERI_TABANI!$B$13-VERI_TABANI!$B$15)*VERI_TABANI!G28) + IF(ABS(IF(ISNUMBER(SEARCH("Var", D635)), 1, IF(ISNUMBER(SEARCH("Gri", D635)), -1, 0)))=1, VERI_TABANI!E28*(1-0.928)*0.00206091519919798*VERI_TABANI!G28, 0)))</f>
        <v/>
      </c>
      <c r="H635" s="169">
        <f>(((VERI_TABANI!D23*B635*(VERI_TABANI!$B$13-VERI_TABANI!$B$14)) + (VERI_TABANI!D23*C635*(VERI_TABANI!$B$13-VERI_TABANI!$B$15)) + IF(ISNUMBER(SEARCH("Var", D635)), VERI_TABANI!F23*(0.00202-VERI_TABANI!$B$16), IF(ISNUMBER(SEARCH("Gri", D635)), VERI_TABANI!F23*(0.00202-VERI_TABANI!$B$17), 0))) + ((VERI_TABANI!D24*B635*(VERI_TABANI!$B$13-VERI_TABANI!$B$14)) + (VERI_TABANI!D24*C635*(VERI_TABANI!$B$13-VERI_TABANI!$B$15)) + IF(ISNUMBER(SEARCH("Var", D635)), VERI_TABANI!F24*(0.00202-VERI_TABANI!$B$16), IF(ISNUMBER(SEARCH("Gri", D635)), VERI_TABANI!F24*(0.00202-VERI_TABANI!$B$17), 0))) + ((VERI_TABANI!D25*B635*(VERI_TABANI!$B$13-VERI_TABANI!$B$14)) + (VERI_TABANI!D25*C635*(VERI_TABANI!$B$13-VERI_TABANI!$B$15)) + IF(ISNUMBER(SEARCH("Var", D635)), VERI_TABANI!F25*(0.00202-VERI_TABANI!$B$16), IF(ISNUMBER(SEARCH("Gri", D635)), VERI_TABANI!F25*(0.00202-VERI_TABANI!$B$17), 0))) + ((VERI_TABANI!D26*B635*(VERI_TABANI!$B$13-VERI_TABANI!$B$14)) + (VERI_TABANI!D26*C635*(VERI_TABANI!$B$13-VERI_TABANI!$B$15)) + IF(ISNUMBER(SEARCH("Var", D635)), VERI_TABANI!F26*(0.00202-VERI_TABANI!$B$16), IF(ISNUMBER(SEARCH("Gri", D635)), VERI_TABANI!F26*(0.00202-VERI_TABANI!$B$17), 0))) + ((VERI_TABANI!D27*B635*(VERI_TABANI!$B$13-VERI_TABANI!$B$14)) + (VERI_TABANI!D27*C635*(VERI_TABANI!$B$13-VERI_TABANI!$B$15)) + IF(ISNUMBER(SEARCH("Var", D635)), VERI_TABANI!F27*(0.00202-VERI_TABANI!$B$16), IF(ISNUMBER(SEARCH("Gri", D635)), VERI_TABANI!F27*(0.00202-VERI_TABANI!$B$17), 0))) + ((VERI_TABANI!D28*B635*(VERI_TABANI!$B$13-VERI_TABANI!$B$14)) + (VERI_TABANI!D28*C635*(VERI_TABANI!$B$13-VERI_TABANI!$B$15)) + IF(ISNUMBER(SEARCH("Var", D635)), VERI_TABANI!F28*(0.00202-VERI_TABANI!$B$16), IF(ISNUMBER(SEARCH("Gri", D635)), VERI_TABANI!F28*(0.00202-VERI_TABANI!$B$17), 0))))</f>
        <v/>
      </c>
      <c r="I635" s="170">
        <f>IFERROR(((VERI_TABANI!$D$29*B635*VERI_TABANI!$B$14 + VERI_TABANI!$D$29*C635*VERI_TABANI!$B$15 + IF(ISNUMBER(SEARCH("Var", D635)), VERI_TABANI!$F$29*VERI_TABANI!$B$16, 0))) / (((VERI_TABANI!$D$29*B635 + VERI_TABANI!$D$29*C635)*VERI_TABANI!$B$13 + IF(ISNUMBER(SEARCH("Var", D635)), VERI_TABANI!$E$29*(1-0.928)*VERI_TABANI!$B$18, 0))), 0)</f>
        <v/>
      </c>
      <c r="J635" s="171">
        <f>IFERROR(F635/(G635/29), 0)</f>
        <v/>
      </c>
      <c r="K635" s="172">
        <f>IF(F635&gt;0, H635/F635, 0)</f>
        <v/>
      </c>
      <c r="L635" s="170">
        <f>IF(F635&gt;0, I635, 1000000000)</f>
        <v/>
      </c>
      <c r="M635" s="171">
        <f>ABS((B635+C635)-1)</f>
        <v/>
      </c>
      <c r="N635" s="170">
        <f>IF(F635&gt;0, (G635/29)/F635, 0)</f>
        <v/>
      </c>
      <c r="O635" s="168">
        <f>IF(AND((B635+C635)&gt;=1, ISNUMBER(SEARCH("Var", D635))), F635, 1000000000)</f>
        <v/>
      </c>
      <c r="P635" s="172">
        <f>IF(F635&gt;0, SQRT((F635/MAX(F$5:F$886))^2 + (1 - H635/MAX(H$5:H$886))^2 + (J635/MAX(J$5:J$886))^2), 1000000000)</f>
        <v/>
      </c>
      <c r="Q635" s="166">
        <f>IF(AND(ABS(B635-0.5)&lt;0.01, ABS(C635-0.5)&lt;0.01, ISNUMBER(SEARCH("Var", D635))), 1, 0)</f>
        <v/>
      </c>
      <c r="R635" s="171">
        <f>IF(F635&gt;0, J635, 1000000000)</f>
        <v/>
      </c>
      <c r="S635" s="101">
        <f>IF(AND(F635&lt;=DASHBOARD!$B$11, H635&gt;=DASHBOARD!$B$13), G635, -1000000000000)</f>
        <v/>
      </c>
      <c r="T635" s="101">
        <f>IF(AND(F635&lt;=DASHBOARD!$B$11, H635&gt;=DASHBOARD!$B$13), R635, 1000000000000)</f>
        <v/>
      </c>
      <c r="U635" s="101">
        <f>IF(AND(F635&lt;=DASHBOARD!$B$11, H635&gt;=DASHBOARD!$B$13), N635, -1000000000000)</f>
        <v/>
      </c>
      <c r="V635" s="101">
        <f>IF(AND(F635&lt;=DASHBOARD!$B$11, H635&gt;=DASHBOARD!$B$13), H635, -1000000000000)</f>
        <v/>
      </c>
      <c r="W635" s="101">
        <f>IF(AND(F635&lt;=DASHBOARD!$B$11, H635&gt;=DASHBOARD!$B$13), K635, -1000000000000)</f>
        <v/>
      </c>
      <c r="X635" s="101">
        <f>IF(AND(F635&lt;=DASHBOARD!$B$11, H635&gt;=DASHBOARD!$B$13), M635, 1000000000000)</f>
        <v/>
      </c>
      <c r="Y635" s="101">
        <f>IF(AND(F635&lt;=DASHBOARD!$B$10, H635&gt;=DASHBOARD!$B$11), L635, 1000000000000)</f>
        <v/>
      </c>
      <c r="Z635" s="101">
        <f>IF(AND(F635&lt;=DASHBOARD!$B$10, H635&gt;=DASHBOARD!$B$11), O635, 1000000000000)</f>
        <v/>
      </c>
      <c r="AA635" s="101">
        <f>IF(AND(F635&lt;=DASHBOARD!$B$10, H635&gt;=DASHBOARD!$B$11), P635, 1000000000000)</f>
        <v/>
      </c>
      <c r="AB635" s="101">
        <f>IF(AND(F635&lt;=DASHBOARD!$B$10, H635&gt;=DASHBOARD!$B$11), Q635, -1000000000000)</f>
        <v/>
      </c>
    </row>
    <row r="636" ht="15" customHeight="1" s="102">
      <c r="A636" s="166" t="n">
        <v>632</v>
      </c>
      <c r="B636" s="167" t="n">
        <v>1.5</v>
      </c>
      <c r="C636" s="167" t="n">
        <v>0</v>
      </c>
      <c r="D636" s="110" t="inlineStr">
        <is>
          <t>Var (%20)</t>
        </is>
      </c>
      <c r="E636" s="110">
        <f>IF((B636+C636)&lt;=1, "Tam Mahsuplaşma (≤%100)", "Kısmi Satış (&gt;%100)")</f>
        <v/>
      </c>
      <c r="F636" s="168">
        <f>((VERI_TABANI!$D$29*B636/VERI_TABANI!$B$29)/VERI_TABANI!$B$3)*VERI_TABANI!$B$5 + ((VERI_TABANI!$D$29*C636/VERI_TABANI!$B$29)/VERI_TABANI!$B$4)*VERI_TABANI!$B$6 + IF(ISNUMBER(SEARCH("Var", D636)), (VERI_TABANI!$F$29/VERI_TABANI!$B$29)*(VERI_TABANI!$B$10+VERI_TABANI!$B$12), 0)</f>
        <v/>
      </c>
      <c r="G636" s="168">
        <f>(((MIN(VERI_TABANI!D23, VERI_TABANI!D23*B636)*VERI_TABANI!$B$7 + MAX(0, VERI_TABANI!D23*B636-VERI_TABANI!D23)*VERI_TABANI!$B$8) + (MIN(MAX(0, VERI_TABANI!D23-VERI_TABANI!D23*B636), VERI_TABANI!D23*C636)*VERI_TABANI!$B$7 + MAX(0, VERI_TABANI!D23*C636-MAX(0, VERI_TABANI!D23-VERI_TABANI!D23*B636))*VERI_TABANI!$B$8) + IF(ABS(IF(ISNUMBER(SEARCH("Var", D636)), 1, IF(ISNUMBER(SEARCH("Gri", D636)), -1, 0)))=1, VERI_TABANI!E23*(1-0.928)*VERI_TABANI!$B$9, 0) + (VERI_TABANI!D23*B636*(VERI_TABANI!$B$13-VERI_TABANI!$B$14)*VERI_TABANI!G23) + (VERI_TABANI!D23*C636*(VERI_TABANI!$B$13-VERI_TABANI!$B$15)*VERI_TABANI!G23) + IF(ABS(IF(ISNUMBER(SEARCH("Var", D636)), 1, IF(ISNUMBER(SEARCH("Gri", D636)), -1, 0)))=1, VERI_TABANI!E23*(1-0.928)*0.00206091519919798*VERI_TABANI!G23, 0)) + ((MIN(VERI_TABANI!D24, VERI_TABANI!D24*B636)*VERI_TABANI!$B$7 + MAX(0, VERI_TABANI!D24*B636-VERI_TABANI!D24)*VERI_TABANI!$B$8) + (MIN(MAX(0, VERI_TABANI!D24-VERI_TABANI!D24*B636), VERI_TABANI!D24*C636)*VERI_TABANI!$B$7 + MAX(0, VERI_TABANI!D24*C636-MAX(0, VERI_TABANI!D24-VERI_TABANI!D24*B636))*VERI_TABANI!$B$8) + IF(ABS(IF(ISNUMBER(SEARCH("Var", D636)), 1, IF(ISNUMBER(SEARCH("Gri", D636)), -1, 0)))=1, VERI_TABANI!E24*(1-0.928)*VERI_TABANI!$B$9, 0) + (VERI_TABANI!D24*B636*(VERI_TABANI!$B$13-VERI_TABANI!$B$14)*VERI_TABANI!G24) + (VERI_TABANI!D24*C636*(VERI_TABANI!$B$13-VERI_TABANI!$B$15)*VERI_TABANI!G24) + IF(ABS(IF(ISNUMBER(SEARCH("Var", D636)), 1, IF(ISNUMBER(SEARCH("Gri", D636)), -1, 0)))=1, VERI_TABANI!E24*(1-0.928)*0.00206091519919798*VERI_TABANI!G24, 0)) + ((MIN(VERI_TABANI!D25, VERI_TABANI!D25*B636)*VERI_TABANI!$B$7 + MAX(0, VERI_TABANI!D25*B636-VERI_TABANI!D25)*VERI_TABANI!$B$8) + (MIN(MAX(0, VERI_TABANI!D25-VERI_TABANI!D25*B636), VERI_TABANI!D25*C636)*VERI_TABANI!$B$7 + MAX(0, VERI_TABANI!D25*C636-MAX(0, VERI_TABANI!D25-VERI_TABANI!D25*B636))*VERI_TABANI!$B$8) + IF(ABS(IF(ISNUMBER(SEARCH("Var", D636)), 1, IF(ISNUMBER(SEARCH("Gri", D636)), -1, 0)))=1, VERI_TABANI!E25*(1-0.928)*VERI_TABANI!$B$9, 0) + (VERI_TABANI!D25*B636*(VERI_TABANI!$B$13-VERI_TABANI!$B$14)*VERI_TABANI!G25) + (VERI_TABANI!D25*C636*(VERI_TABANI!$B$13-VERI_TABANI!$B$15)*VERI_TABANI!G25) + IF(ABS(IF(ISNUMBER(SEARCH("Var", D636)), 1, IF(ISNUMBER(SEARCH("Gri", D636)), -1, 0)))=1, VERI_TABANI!E25*(1-0.928)*0.00206091519919798*VERI_TABANI!G25, 0)) + ((MIN(VERI_TABANI!D26, VERI_TABANI!D26*B636)*VERI_TABANI!$B$7 + MAX(0, VERI_TABANI!D26*B636-VERI_TABANI!D26)*VERI_TABANI!$B$8) + (MIN(MAX(0, VERI_TABANI!D26-VERI_TABANI!D26*B636), VERI_TABANI!D26*C636)*VERI_TABANI!$B$7 + MAX(0, VERI_TABANI!D26*C636-MAX(0, VERI_TABANI!D26-VERI_TABANI!D26*B636))*VERI_TABANI!$B$8) + IF(ABS(IF(ISNUMBER(SEARCH("Var", D636)), 1, IF(ISNUMBER(SEARCH("Gri", D636)), -1, 0)))=1, VERI_TABANI!E26*(1-0.928)*VERI_TABANI!$B$9, 0) + (VERI_TABANI!D26*B636*(VERI_TABANI!$B$13-VERI_TABANI!$B$14)*VERI_TABANI!G26) + (VERI_TABANI!D26*C636*(VERI_TABANI!$B$13-VERI_TABANI!$B$15)*VERI_TABANI!G26) + IF(ABS(IF(ISNUMBER(SEARCH("Var", D636)), 1, IF(ISNUMBER(SEARCH("Gri", D636)), -1, 0)))=1, VERI_TABANI!E26*(1-0.928)*0.00206091519919798*VERI_TABANI!G26, 0)) + ((MIN(VERI_TABANI!D27, VERI_TABANI!D27*B636)*VERI_TABANI!$B$7 + MAX(0, VERI_TABANI!D27*B636-VERI_TABANI!D27)*VERI_TABANI!$B$8) + (MIN(MAX(0, VERI_TABANI!D27-VERI_TABANI!D27*B636), VERI_TABANI!D27*C636)*VERI_TABANI!$B$7 + MAX(0, VERI_TABANI!D27*C636-MAX(0, VERI_TABANI!D27-VERI_TABANI!D27*B636))*VERI_TABANI!$B$8) + IF(ABS(IF(ISNUMBER(SEARCH("Var", D636)), 1, IF(ISNUMBER(SEARCH("Gri", D636)), -1, 0)))=1, VERI_TABANI!E27*(1-0.928)*VERI_TABANI!$B$9, 0) + (VERI_TABANI!D27*B636*(VERI_TABANI!$B$13-VERI_TABANI!$B$14)*VERI_TABANI!G27) + (VERI_TABANI!D27*C636*(VERI_TABANI!$B$13-VERI_TABANI!$B$15)*VERI_TABANI!G27) + IF(ABS(IF(ISNUMBER(SEARCH("Var", D636)), 1, IF(ISNUMBER(SEARCH("Gri", D636)), -1, 0)))=1, VERI_TABANI!E27*(1-0.928)*0.00206091519919798*VERI_TABANI!G27, 0)) + ((MIN(VERI_TABANI!D28, VERI_TABANI!D28*B636)*VERI_TABANI!$B$7 + MAX(0, VERI_TABANI!D28*B636-VERI_TABANI!D28)*VERI_TABANI!$B$8) + (MIN(MAX(0, VERI_TABANI!D28-VERI_TABANI!D28*B636), VERI_TABANI!D28*C636)*VERI_TABANI!$B$7 + MAX(0, VERI_TABANI!D28*C636-MAX(0, VERI_TABANI!D28-VERI_TABANI!D28*B636))*VERI_TABANI!$B$8) + IF(ABS(IF(ISNUMBER(SEARCH("Var", D636)), 1, IF(ISNUMBER(SEARCH("Gri", D636)), -1, 0)))=1, VERI_TABANI!E28*(1-0.928)*VERI_TABANI!$B$9, 0) + (VERI_TABANI!D28*B636*(VERI_TABANI!$B$13-VERI_TABANI!$B$14)*VERI_TABANI!G28) + (VERI_TABANI!D28*C636*(VERI_TABANI!$B$13-VERI_TABANI!$B$15)*VERI_TABANI!G28) + IF(ABS(IF(ISNUMBER(SEARCH("Var", D636)), 1, IF(ISNUMBER(SEARCH("Gri", D636)), -1, 0)))=1, VERI_TABANI!E28*(1-0.928)*0.00206091519919798*VERI_TABANI!G28, 0)))</f>
        <v/>
      </c>
      <c r="H636" s="169">
        <f>(((VERI_TABANI!D23*B636*(VERI_TABANI!$B$13-VERI_TABANI!$B$14)) + (VERI_TABANI!D23*C636*(VERI_TABANI!$B$13-VERI_TABANI!$B$15)) + IF(ISNUMBER(SEARCH("Var", D636)), VERI_TABANI!F23*(0.00202-VERI_TABANI!$B$16), IF(ISNUMBER(SEARCH("Gri", D636)), VERI_TABANI!F23*(0.00202-VERI_TABANI!$B$17), 0))) + ((VERI_TABANI!D24*B636*(VERI_TABANI!$B$13-VERI_TABANI!$B$14)) + (VERI_TABANI!D24*C636*(VERI_TABANI!$B$13-VERI_TABANI!$B$15)) + IF(ISNUMBER(SEARCH("Var", D636)), VERI_TABANI!F24*(0.00202-VERI_TABANI!$B$16), IF(ISNUMBER(SEARCH("Gri", D636)), VERI_TABANI!F24*(0.00202-VERI_TABANI!$B$17), 0))) + ((VERI_TABANI!D25*B636*(VERI_TABANI!$B$13-VERI_TABANI!$B$14)) + (VERI_TABANI!D25*C636*(VERI_TABANI!$B$13-VERI_TABANI!$B$15)) + IF(ISNUMBER(SEARCH("Var", D636)), VERI_TABANI!F25*(0.00202-VERI_TABANI!$B$16), IF(ISNUMBER(SEARCH("Gri", D636)), VERI_TABANI!F25*(0.00202-VERI_TABANI!$B$17), 0))) + ((VERI_TABANI!D26*B636*(VERI_TABANI!$B$13-VERI_TABANI!$B$14)) + (VERI_TABANI!D26*C636*(VERI_TABANI!$B$13-VERI_TABANI!$B$15)) + IF(ISNUMBER(SEARCH("Var", D636)), VERI_TABANI!F26*(0.00202-VERI_TABANI!$B$16), IF(ISNUMBER(SEARCH("Gri", D636)), VERI_TABANI!F26*(0.00202-VERI_TABANI!$B$17), 0))) + ((VERI_TABANI!D27*B636*(VERI_TABANI!$B$13-VERI_TABANI!$B$14)) + (VERI_TABANI!D27*C636*(VERI_TABANI!$B$13-VERI_TABANI!$B$15)) + IF(ISNUMBER(SEARCH("Var", D636)), VERI_TABANI!F27*(0.00202-VERI_TABANI!$B$16), IF(ISNUMBER(SEARCH("Gri", D636)), VERI_TABANI!F27*(0.00202-VERI_TABANI!$B$17), 0))) + ((VERI_TABANI!D28*B636*(VERI_TABANI!$B$13-VERI_TABANI!$B$14)) + (VERI_TABANI!D28*C636*(VERI_TABANI!$B$13-VERI_TABANI!$B$15)) + IF(ISNUMBER(SEARCH("Var", D636)), VERI_TABANI!F28*(0.00202-VERI_TABANI!$B$16), IF(ISNUMBER(SEARCH("Gri", D636)), VERI_TABANI!F28*(0.00202-VERI_TABANI!$B$17), 0))))</f>
        <v/>
      </c>
      <c r="I636" s="170">
        <f>IFERROR(((VERI_TABANI!$D$29*B636*VERI_TABANI!$B$14 + VERI_TABANI!$D$29*C636*VERI_TABANI!$B$15 + IF(ISNUMBER(SEARCH("Var", D636)), VERI_TABANI!$F$29*VERI_TABANI!$B$16, 0))) / (((VERI_TABANI!$D$29*B636 + VERI_TABANI!$D$29*C636)*VERI_TABANI!$B$13 + IF(ISNUMBER(SEARCH("Var", D636)), VERI_TABANI!$E$29*(1-0.928)*VERI_TABANI!$B$18, 0))), 0)</f>
        <v/>
      </c>
      <c r="J636" s="171">
        <f>IFERROR(F636/(G636/29), 0)</f>
        <v/>
      </c>
      <c r="K636" s="172">
        <f>IF(F636&gt;0, H636/F636, 0)</f>
        <v/>
      </c>
      <c r="L636" s="170">
        <f>IF(F636&gt;0, I636, 1000000000)</f>
        <v/>
      </c>
      <c r="M636" s="171">
        <f>ABS((B636+C636)-1)</f>
        <v/>
      </c>
      <c r="N636" s="170">
        <f>IF(F636&gt;0, (G636/29)/F636, 0)</f>
        <v/>
      </c>
      <c r="O636" s="168">
        <f>IF(AND((B636+C636)&gt;=1, ISNUMBER(SEARCH("Var", D636))), F636, 1000000000)</f>
        <v/>
      </c>
      <c r="P636" s="172">
        <f>IF(F636&gt;0, SQRT((F636/MAX(F$5:F$886))^2 + (1 - H636/MAX(H$5:H$886))^2 + (J636/MAX(J$5:J$886))^2), 1000000000)</f>
        <v/>
      </c>
      <c r="Q636" s="166">
        <f>IF(AND(ABS(B636-0.5)&lt;0.01, ABS(C636-0.5)&lt;0.01, ISNUMBER(SEARCH("Var", D636))), 1, 0)</f>
        <v/>
      </c>
      <c r="R636" s="171">
        <f>IF(F636&gt;0, J636, 1000000000)</f>
        <v/>
      </c>
      <c r="S636" s="101">
        <f>IF(AND(F636&lt;=DASHBOARD!$B$11, H636&gt;=DASHBOARD!$B$13), G636, -1000000000000)</f>
        <v/>
      </c>
      <c r="T636" s="101">
        <f>IF(AND(F636&lt;=DASHBOARD!$B$11, H636&gt;=DASHBOARD!$B$13), R636, 1000000000000)</f>
        <v/>
      </c>
      <c r="U636" s="101">
        <f>IF(AND(F636&lt;=DASHBOARD!$B$11, H636&gt;=DASHBOARD!$B$13), N636, -1000000000000)</f>
        <v/>
      </c>
      <c r="V636" s="101">
        <f>IF(AND(F636&lt;=DASHBOARD!$B$11, H636&gt;=DASHBOARD!$B$13), H636, -1000000000000)</f>
        <v/>
      </c>
      <c r="W636" s="101">
        <f>IF(AND(F636&lt;=DASHBOARD!$B$11, H636&gt;=DASHBOARD!$B$13), K636, -1000000000000)</f>
        <v/>
      </c>
      <c r="X636" s="101">
        <f>IF(AND(F636&lt;=DASHBOARD!$B$11, H636&gt;=DASHBOARD!$B$13), M636, 1000000000000)</f>
        <v/>
      </c>
      <c r="Y636" s="101">
        <f>IF(AND(F636&lt;=DASHBOARD!$B$10, H636&gt;=DASHBOARD!$B$11), L636, 1000000000000)</f>
        <v/>
      </c>
      <c r="Z636" s="101">
        <f>IF(AND(F636&lt;=DASHBOARD!$B$10, H636&gt;=DASHBOARD!$B$11), O636, 1000000000000)</f>
        <v/>
      </c>
      <c r="AA636" s="101">
        <f>IF(AND(F636&lt;=DASHBOARD!$B$10, H636&gt;=DASHBOARD!$B$11), P636, 1000000000000)</f>
        <v/>
      </c>
      <c r="AB636" s="101">
        <f>IF(AND(F636&lt;=DASHBOARD!$B$10, H636&gt;=DASHBOARD!$B$11), Q636, -1000000000000)</f>
        <v/>
      </c>
    </row>
    <row r="637" ht="15" customHeight="1" s="102">
      <c r="A637" s="166" t="n">
        <v>633</v>
      </c>
      <c r="B637" s="167" t="n">
        <v>1.5</v>
      </c>
      <c r="C637" s="167" t="n">
        <v>0.1</v>
      </c>
      <c r="D637" s="110" t="inlineStr">
        <is>
          <t>Yok (%0)</t>
        </is>
      </c>
      <c r="E637" s="110">
        <f>IF((B637+C637)&lt;=1, "Tam Mahsuplaşma (≤%100)", "Kısmi Satış (&gt;%100)")</f>
        <v/>
      </c>
      <c r="F637" s="168">
        <f>((VERI_TABANI!$D$29*B637/VERI_TABANI!$B$29)/VERI_TABANI!$B$3)*VERI_TABANI!$B$5 + ((VERI_TABANI!$D$29*C637/VERI_TABANI!$B$29)/VERI_TABANI!$B$4)*VERI_TABANI!$B$6 + IF(ISNUMBER(SEARCH("Var", D637)), (VERI_TABANI!$F$29/VERI_TABANI!$B$29)*(VERI_TABANI!$B$10+VERI_TABANI!$B$12), 0)</f>
        <v/>
      </c>
      <c r="G637" s="168">
        <f>(((MIN(VERI_TABANI!D23, VERI_TABANI!D23*B637)*VERI_TABANI!$B$7 + MAX(0, VERI_TABANI!D23*B637-VERI_TABANI!D23)*VERI_TABANI!$B$8) + (MIN(MAX(0, VERI_TABANI!D23-VERI_TABANI!D23*B637), VERI_TABANI!D23*C637)*VERI_TABANI!$B$7 + MAX(0, VERI_TABANI!D23*C637-MAX(0, VERI_TABANI!D23-VERI_TABANI!D23*B637))*VERI_TABANI!$B$8) + IF(ABS(IF(ISNUMBER(SEARCH("Var", D637)), 1, IF(ISNUMBER(SEARCH("Gri", D637)), -1, 0)))=1, VERI_TABANI!E23*(1-0.928)*VERI_TABANI!$B$9, 0) + (VERI_TABANI!D23*B637*(VERI_TABANI!$B$13-VERI_TABANI!$B$14)*VERI_TABANI!G23) + (VERI_TABANI!D23*C637*(VERI_TABANI!$B$13-VERI_TABANI!$B$15)*VERI_TABANI!G23) + IF(ABS(IF(ISNUMBER(SEARCH("Var", D637)), 1, IF(ISNUMBER(SEARCH("Gri", D637)), -1, 0)))=1, VERI_TABANI!E23*(1-0.928)*0.00206091519919798*VERI_TABANI!G23, 0)) + ((MIN(VERI_TABANI!D24, VERI_TABANI!D24*B637)*VERI_TABANI!$B$7 + MAX(0, VERI_TABANI!D24*B637-VERI_TABANI!D24)*VERI_TABANI!$B$8) + (MIN(MAX(0, VERI_TABANI!D24-VERI_TABANI!D24*B637), VERI_TABANI!D24*C637)*VERI_TABANI!$B$7 + MAX(0, VERI_TABANI!D24*C637-MAX(0, VERI_TABANI!D24-VERI_TABANI!D24*B637))*VERI_TABANI!$B$8) + IF(ABS(IF(ISNUMBER(SEARCH("Var", D637)), 1, IF(ISNUMBER(SEARCH("Gri", D637)), -1, 0)))=1, VERI_TABANI!E24*(1-0.928)*VERI_TABANI!$B$9, 0) + (VERI_TABANI!D24*B637*(VERI_TABANI!$B$13-VERI_TABANI!$B$14)*VERI_TABANI!G24) + (VERI_TABANI!D24*C637*(VERI_TABANI!$B$13-VERI_TABANI!$B$15)*VERI_TABANI!G24) + IF(ABS(IF(ISNUMBER(SEARCH("Var", D637)), 1, IF(ISNUMBER(SEARCH("Gri", D637)), -1, 0)))=1, VERI_TABANI!E24*(1-0.928)*0.00206091519919798*VERI_TABANI!G24, 0)) + ((MIN(VERI_TABANI!D25, VERI_TABANI!D25*B637)*VERI_TABANI!$B$7 + MAX(0, VERI_TABANI!D25*B637-VERI_TABANI!D25)*VERI_TABANI!$B$8) + (MIN(MAX(0, VERI_TABANI!D25-VERI_TABANI!D25*B637), VERI_TABANI!D25*C637)*VERI_TABANI!$B$7 + MAX(0, VERI_TABANI!D25*C637-MAX(0, VERI_TABANI!D25-VERI_TABANI!D25*B637))*VERI_TABANI!$B$8) + IF(ABS(IF(ISNUMBER(SEARCH("Var", D637)), 1, IF(ISNUMBER(SEARCH("Gri", D637)), -1, 0)))=1, VERI_TABANI!E25*(1-0.928)*VERI_TABANI!$B$9, 0) + (VERI_TABANI!D25*B637*(VERI_TABANI!$B$13-VERI_TABANI!$B$14)*VERI_TABANI!G25) + (VERI_TABANI!D25*C637*(VERI_TABANI!$B$13-VERI_TABANI!$B$15)*VERI_TABANI!G25) + IF(ABS(IF(ISNUMBER(SEARCH("Var", D637)), 1, IF(ISNUMBER(SEARCH("Gri", D637)), -1, 0)))=1, VERI_TABANI!E25*(1-0.928)*0.00206091519919798*VERI_TABANI!G25, 0)) + ((MIN(VERI_TABANI!D26, VERI_TABANI!D26*B637)*VERI_TABANI!$B$7 + MAX(0, VERI_TABANI!D26*B637-VERI_TABANI!D26)*VERI_TABANI!$B$8) + (MIN(MAX(0, VERI_TABANI!D26-VERI_TABANI!D26*B637), VERI_TABANI!D26*C637)*VERI_TABANI!$B$7 + MAX(0, VERI_TABANI!D26*C637-MAX(0, VERI_TABANI!D26-VERI_TABANI!D26*B637))*VERI_TABANI!$B$8) + IF(ABS(IF(ISNUMBER(SEARCH("Var", D637)), 1, IF(ISNUMBER(SEARCH("Gri", D637)), -1, 0)))=1, VERI_TABANI!E26*(1-0.928)*VERI_TABANI!$B$9, 0) + (VERI_TABANI!D26*B637*(VERI_TABANI!$B$13-VERI_TABANI!$B$14)*VERI_TABANI!G26) + (VERI_TABANI!D26*C637*(VERI_TABANI!$B$13-VERI_TABANI!$B$15)*VERI_TABANI!G26) + IF(ABS(IF(ISNUMBER(SEARCH("Var", D637)), 1, IF(ISNUMBER(SEARCH("Gri", D637)), -1, 0)))=1, VERI_TABANI!E26*(1-0.928)*0.00206091519919798*VERI_TABANI!G26, 0)) + ((MIN(VERI_TABANI!D27, VERI_TABANI!D27*B637)*VERI_TABANI!$B$7 + MAX(0, VERI_TABANI!D27*B637-VERI_TABANI!D27)*VERI_TABANI!$B$8) + (MIN(MAX(0, VERI_TABANI!D27-VERI_TABANI!D27*B637), VERI_TABANI!D27*C637)*VERI_TABANI!$B$7 + MAX(0, VERI_TABANI!D27*C637-MAX(0, VERI_TABANI!D27-VERI_TABANI!D27*B637))*VERI_TABANI!$B$8) + IF(ABS(IF(ISNUMBER(SEARCH("Var", D637)), 1, IF(ISNUMBER(SEARCH("Gri", D637)), -1, 0)))=1, VERI_TABANI!E27*(1-0.928)*VERI_TABANI!$B$9, 0) + (VERI_TABANI!D27*B637*(VERI_TABANI!$B$13-VERI_TABANI!$B$14)*VERI_TABANI!G27) + (VERI_TABANI!D27*C637*(VERI_TABANI!$B$13-VERI_TABANI!$B$15)*VERI_TABANI!G27) + IF(ABS(IF(ISNUMBER(SEARCH("Var", D637)), 1, IF(ISNUMBER(SEARCH("Gri", D637)), -1, 0)))=1, VERI_TABANI!E27*(1-0.928)*0.00206091519919798*VERI_TABANI!G27, 0)) + ((MIN(VERI_TABANI!D28, VERI_TABANI!D28*B637)*VERI_TABANI!$B$7 + MAX(0, VERI_TABANI!D28*B637-VERI_TABANI!D28)*VERI_TABANI!$B$8) + (MIN(MAX(0, VERI_TABANI!D28-VERI_TABANI!D28*B637), VERI_TABANI!D28*C637)*VERI_TABANI!$B$7 + MAX(0, VERI_TABANI!D28*C637-MAX(0, VERI_TABANI!D28-VERI_TABANI!D28*B637))*VERI_TABANI!$B$8) + IF(ABS(IF(ISNUMBER(SEARCH("Var", D637)), 1, IF(ISNUMBER(SEARCH("Gri", D637)), -1, 0)))=1, VERI_TABANI!E28*(1-0.928)*VERI_TABANI!$B$9, 0) + (VERI_TABANI!D28*B637*(VERI_TABANI!$B$13-VERI_TABANI!$B$14)*VERI_TABANI!G28) + (VERI_TABANI!D28*C637*(VERI_TABANI!$B$13-VERI_TABANI!$B$15)*VERI_TABANI!G28) + IF(ABS(IF(ISNUMBER(SEARCH("Var", D637)), 1, IF(ISNUMBER(SEARCH("Gri", D637)), -1, 0)))=1, VERI_TABANI!E28*(1-0.928)*0.00206091519919798*VERI_TABANI!G28, 0)))</f>
        <v/>
      </c>
      <c r="H637" s="169">
        <f>(((VERI_TABANI!D23*B637*(VERI_TABANI!$B$13-VERI_TABANI!$B$14)) + (VERI_TABANI!D23*C637*(VERI_TABANI!$B$13-VERI_TABANI!$B$15)) + IF(ISNUMBER(SEARCH("Var", D637)), VERI_TABANI!F23*(0.00202-VERI_TABANI!$B$16), IF(ISNUMBER(SEARCH("Gri", D637)), VERI_TABANI!F23*(0.00202-VERI_TABANI!$B$17), 0))) + ((VERI_TABANI!D24*B637*(VERI_TABANI!$B$13-VERI_TABANI!$B$14)) + (VERI_TABANI!D24*C637*(VERI_TABANI!$B$13-VERI_TABANI!$B$15)) + IF(ISNUMBER(SEARCH("Var", D637)), VERI_TABANI!F24*(0.00202-VERI_TABANI!$B$16), IF(ISNUMBER(SEARCH("Gri", D637)), VERI_TABANI!F24*(0.00202-VERI_TABANI!$B$17), 0))) + ((VERI_TABANI!D25*B637*(VERI_TABANI!$B$13-VERI_TABANI!$B$14)) + (VERI_TABANI!D25*C637*(VERI_TABANI!$B$13-VERI_TABANI!$B$15)) + IF(ISNUMBER(SEARCH("Var", D637)), VERI_TABANI!F25*(0.00202-VERI_TABANI!$B$16), IF(ISNUMBER(SEARCH("Gri", D637)), VERI_TABANI!F25*(0.00202-VERI_TABANI!$B$17), 0))) + ((VERI_TABANI!D26*B637*(VERI_TABANI!$B$13-VERI_TABANI!$B$14)) + (VERI_TABANI!D26*C637*(VERI_TABANI!$B$13-VERI_TABANI!$B$15)) + IF(ISNUMBER(SEARCH("Var", D637)), VERI_TABANI!F26*(0.00202-VERI_TABANI!$B$16), IF(ISNUMBER(SEARCH("Gri", D637)), VERI_TABANI!F26*(0.00202-VERI_TABANI!$B$17), 0))) + ((VERI_TABANI!D27*B637*(VERI_TABANI!$B$13-VERI_TABANI!$B$14)) + (VERI_TABANI!D27*C637*(VERI_TABANI!$B$13-VERI_TABANI!$B$15)) + IF(ISNUMBER(SEARCH("Var", D637)), VERI_TABANI!F27*(0.00202-VERI_TABANI!$B$16), IF(ISNUMBER(SEARCH("Gri", D637)), VERI_TABANI!F27*(0.00202-VERI_TABANI!$B$17), 0))) + ((VERI_TABANI!D28*B637*(VERI_TABANI!$B$13-VERI_TABANI!$B$14)) + (VERI_TABANI!D28*C637*(VERI_TABANI!$B$13-VERI_TABANI!$B$15)) + IF(ISNUMBER(SEARCH("Var", D637)), VERI_TABANI!F28*(0.00202-VERI_TABANI!$B$16), IF(ISNUMBER(SEARCH("Gri", D637)), VERI_TABANI!F28*(0.00202-VERI_TABANI!$B$17), 0))))</f>
        <v/>
      </c>
      <c r="I637" s="170">
        <f>IFERROR(((VERI_TABANI!$D$29*B637*VERI_TABANI!$B$14 + VERI_TABANI!$D$29*C637*VERI_TABANI!$B$15 + IF(ISNUMBER(SEARCH("Var", D637)), VERI_TABANI!$F$29*VERI_TABANI!$B$16, 0))) / (((VERI_TABANI!$D$29*B637 + VERI_TABANI!$D$29*C637)*VERI_TABANI!$B$13 + IF(ISNUMBER(SEARCH("Var", D637)), VERI_TABANI!$E$29*(1-0.928)*VERI_TABANI!$B$18, 0))), 0)</f>
        <v/>
      </c>
      <c r="J637" s="171">
        <f>IFERROR(F637/(G637/29), 0)</f>
        <v/>
      </c>
      <c r="K637" s="172">
        <f>IF(F637&gt;0, H637/F637, 0)</f>
        <v/>
      </c>
      <c r="L637" s="170">
        <f>IF(F637&gt;0, I637, 1000000000)</f>
        <v/>
      </c>
      <c r="M637" s="171">
        <f>ABS((B637+C637)-1)</f>
        <v/>
      </c>
      <c r="N637" s="170">
        <f>IF(F637&gt;0, (G637/29)/F637, 0)</f>
        <v/>
      </c>
      <c r="O637" s="168">
        <f>IF(AND((B637+C637)&gt;=1, ISNUMBER(SEARCH("Var", D637))), F637, 1000000000)</f>
        <v/>
      </c>
      <c r="P637" s="172">
        <f>IF(F637&gt;0, SQRT((F637/MAX(F$5:F$886))^2 + (1 - H637/MAX(H$5:H$886))^2 + (J637/MAX(J$5:J$886))^2), 1000000000)</f>
        <v/>
      </c>
      <c r="Q637" s="166">
        <f>IF(AND(ABS(B637-0.5)&lt;0.01, ABS(C637-0.5)&lt;0.01, ISNUMBER(SEARCH("Var", D637))), 1, 0)</f>
        <v/>
      </c>
      <c r="R637" s="171">
        <f>IF(F637&gt;0, J637, 1000000000)</f>
        <v/>
      </c>
      <c r="S637" s="101">
        <f>IF(AND(F637&lt;=DASHBOARD!$B$11, H637&gt;=DASHBOARD!$B$13), G637, -1000000000000)</f>
        <v/>
      </c>
      <c r="T637" s="101">
        <f>IF(AND(F637&lt;=DASHBOARD!$B$11, H637&gt;=DASHBOARD!$B$13), R637, 1000000000000)</f>
        <v/>
      </c>
      <c r="U637" s="101">
        <f>IF(AND(F637&lt;=DASHBOARD!$B$11, H637&gt;=DASHBOARD!$B$13), N637, -1000000000000)</f>
        <v/>
      </c>
      <c r="V637" s="101">
        <f>IF(AND(F637&lt;=DASHBOARD!$B$11, H637&gt;=DASHBOARD!$B$13), H637, -1000000000000)</f>
        <v/>
      </c>
      <c r="W637" s="101">
        <f>IF(AND(F637&lt;=DASHBOARD!$B$11, H637&gt;=DASHBOARD!$B$13), K637, -1000000000000)</f>
        <v/>
      </c>
      <c r="X637" s="101">
        <f>IF(AND(F637&lt;=DASHBOARD!$B$11, H637&gt;=DASHBOARD!$B$13), M637, 1000000000000)</f>
        <v/>
      </c>
      <c r="Y637" s="101">
        <f>IF(AND(F637&lt;=DASHBOARD!$B$10, H637&gt;=DASHBOARD!$B$11), L637, 1000000000000)</f>
        <v/>
      </c>
      <c r="Z637" s="101">
        <f>IF(AND(F637&lt;=DASHBOARD!$B$10, H637&gt;=DASHBOARD!$B$11), O637, 1000000000000)</f>
        <v/>
      </c>
      <c r="AA637" s="101">
        <f>IF(AND(F637&lt;=DASHBOARD!$B$10, H637&gt;=DASHBOARD!$B$11), P637, 1000000000000)</f>
        <v/>
      </c>
      <c r="AB637" s="101">
        <f>IF(AND(F637&lt;=DASHBOARD!$B$10, H637&gt;=DASHBOARD!$B$11), Q637, -1000000000000)</f>
        <v/>
      </c>
    </row>
    <row r="638" ht="15" customHeight="1" s="102">
      <c r="A638" s="166" t="n">
        <v>634</v>
      </c>
      <c r="B638" s="167" t="n">
        <v>1.5</v>
      </c>
      <c r="C638" s="167" t="n">
        <v>0.1</v>
      </c>
      <c r="D638" s="110" t="inlineStr">
        <is>
          <t>Var (%20)</t>
        </is>
      </c>
      <c r="E638" s="110">
        <f>IF((B638+C638)&lt;=1, "Tam Mahsuplaşma (≤%100)", "Kısmi Satış (&gt;%100)")</f>
        <v/>
      </c>
      <c r="F638" s="168">
        <f>((VERI_TABANI!$D$29*B638/VERI_TABANI!$B$29)/VERI_TABANI!$B$3)*VERI_TABANI!$B$5 + ((VERI_TABANI!$D$29*C638/VERI_TABANI!$B$29)/VERI_TABANI!$B$4)*VERI_TABANI!$B$6 + IF(ISNUMBER(SEARCH("Var", D638)), (VERI_TABANI!$F$29/VERI_TABANI!$B$29)*(VERI_TABANI!$B$10+VERI_TABANI!$B$12), 0)</f>
        <v/>
      </c>
      <c r="G638" s="168">
        <f>(((MIN(VERI_TABANI!D23, VERI_TABANI!D23*B638)*VERI_TABANI!$B$7 + MAX(0, VERI_TABANI!D23*B638-VERI_TABANI!D23)*VERI_TABANI!$B$8) + (MIN(MAX(0, VERI_TABANI!D23-VERI_TABANI!D23*B638), VERI_TABANI!D23*C638)*VERI_TABANI!$B$7 + MAX(0, VERI_TABANI!D23*C638-MAX(0, VERI_TABANI!D23-VERI_TABANI!D23*B638))*VERI_TABANI!$B$8) + IF(ABS(IF(ISNUMBER(SEARCH("Var", D638)), 1, IF(ISNUMBER(SEARCH("Gri", D638)), -1, 0)))=1, VERI_TABANI!E23*(1-0.928)*VERI_TABANI!$B$9, 0) + (VERI_TABANI!D23*B638*(VERI_TABANI!$B$13-VERI_TABANI!$B$14)*VERI_TABANI!G23) + (VERI_TABANI!D23*C638*(VERI_TABANI!$B$13-VERI_TABANI!$B$15)*VERI_TABANI!G23) + IF(ABS(IF(ISNUMBER(SEARCH("Var", D638)), 1, IF(ISNUMBER(SEARCH("Gri", D638)), -1, 0)))=1, VERI_TABANI!E23*(1-0.928)*0.00206091519919798*VERI_TABANI!G23, 0)) + ((MIN(VERI_TABANI!D24, VERI_TABANI!D24*B638)*VERI_TABANI!$B$7 + MAX(0, VERI_TABANI!D24*B638-VERI_TABANI!D24)*VERI_TABANI!$B$8) + (MIN(MAX(0, VERI_TABANI!D24-VERI_TABANI!D24*B638), VERI_TABANI!D24*C638)*VERI_TABANI!$B$7 + MAX(0, VERI_TABANI!D24*C638-MAX(0, VERI_TABANI!D24-VERI_TABANI!D24*B638))*VERI_TABANI!$B$8) + IF(ABS(IF(ISNUMBER(SEARCH("Var", D638)), 1, IF(ISNUMBER(SEARCH("Gri", D638)), -1, 0)))=1, VERI_TABANI!E24*(1-0.928)*VERI_TABANI!$B$9, 0) + (VERI_TABANI!D24*B638*(VERI_TABANI!$B$13-VERI_TABANI!$B$14)*VERI_TABANI!G24) + (VERI_TABANI!D24*C638*(VERI_TABANI!$B$13-VERI_TABANI!$B$15)*VERI_TABANI!G24) + IF(ABS(IF(ISNUMBER(SEARCH("Var", D638)), 1, IF(ISNUMBER(SEARCH("Gri", D638)), -1, 0)))=1, VERI_TABANI!E24*(1-0.928)*0.00206091519919798*VERI_TABANI!G24, 0)) + ((MIN(VERI_TABANI!D25, VERI_TABANI!D25*B638)*VERI_TABANI!$B$7 + MAX(0, VERI_TABANI!D25*B638-VERI_TABANI!D25)*VERI_TABANI!$B$8) + (MIN(MAX(0, VERI_TABANI!D25-VERI_TABANI!D25*B638), VERI_TABANI!D25*C638)*VERI_TABANI!$B$7 + MAX(0, VERI_TABANI!D25*C638-MAX(0, VERI_TABANI!D25-VERI_TABANI!D25*B638))*VERI_TABANI!$B$8) + IF(ABS(IF(ISNUMBER(SEARCH("Var", D638)), 1, IF(ISNUMBER(SEARCH("Gri", D638)), -1, 0)))=1, VERI_TABANI!E25*(1-0.928)*VERI_TABANI!$B$9, 0) + (VERI_TABANI!D25*B638*(VERI_TABANI!$B$13-VERI_TABANI!$B$14)*VERI_TABANI!G25) + (VERI_TABANI!D25*C638*(VERI_TABANI!$B$13-VERI_TABANI!$B$15)*VERI_TABANI!G25) + IF(ABS(IF(ISNUMBER(SEARCH("Var", D638)), 1, IF(ISNUMBER(SEARCH("Gri", D638)), -1, 0)))=1, VERI_TABANI!E25*(1-0.928)*0.00206091519919798*VERI_TABANI!G25, 0)) + ((MIN(VERI_TABANI!D26, VERI_TABANI!D26*B638)*VERI_TABANI!$B$7 + MAX(0, VERI_TABANI!D26*B638-VERI_TABANI!D26)*VERI_TABANI!$B$8) + (MIN(MAX(0, VERI_TABANI!D26-VERI_TABANI!D26*B638), VERI_TABANI!D26*C638)*VERI_TABANI!$B$7 + MAX(0, VERI_TABANI!D26*C638-MAX(0, VERI_TABANI!D26-VERI_TABANI!D26*B638))*VERI_TABANI!$B$8) + IF(ABS(IF(ISNUMBER(SEARCH("Var", D638)), 1, IF(ISNUMBER(SEARCH("Gri", D638)), -1, 0)))=1, VERI_TABANI!E26*(1-0.928)*VERI_TABANI!$B$9, 0) + (VERI_TABANI!D26*B638*(VERI_TABANI!$B$13-VERI_TABANI!$B$14)*VERI_TABANI!G26) + (VERI_TABANI!D26*C638*(VERI_TABANI!$B$13-VERI_TABANI!$B$15)*VERI_TABANI!G26) + IF(ABS(IF(ISNUMBER(SEARCH("Var", D638)), 1, IF(ISNUMBER(SEARCH("Gri", D638)), -1, 0)))=1, VERI_TABANI!E26*(1-0.928)*0.00206091519919798*VERI_TABANI!G26, 0)) + ((MIN(VERI_TABANI!D27, VERI_TABANI!D27*B638)*VERI_TABANI!$B$7 + MAX(0, VERI_TABANI!D27*B638-VERI_TABANI!D27)*VERI_TABANI!$B$8) + (MIN(MAX(0, VERI_TABANI!D27-VERI_TABANI!D27*B638), VERI_TABANI!D27*C638)*VERI_TABANI!$B$7 + MAX(0, VERI_TABANI!D27*C638-MAX(0, VERI_TABANI!D27-VERI_TABANI!D27*B638))*VERI_TABANI!$B$8) + IF(ABS(IF(ISNUMBER(SEARCH("Var", D638)), 1, IF(ISNUMBER(SEARCH("Gri", D638)), -1, 0)))=1, VERI_TABANI!E27*(1-0.928)*VERI_TABANI!$B$9, 0) + (VERI_TABANI!D27*B638*(VERI_TABANI!$B$13-VERI_TABANI!$B$14)*VERI_TABANI!G27) + (VERI_TABANI!D27*C638*(VERI_TABANI!$B$13-VERI_TABANI!$B$15)*VERI_TABANI!G27) + IF(ABS(IF(ISNUMBER(SEARCH("Var", D638)), 1, IF(ISNUMBER(SEARCH("Gri", D638)), -1, 0)))=1, VERI_TABANI!E27*(1-0.928)*0.00206091519919798*VERI_TABANI!G27, 0)) + ((MIN(VERI_TABANI!D28, VERI_TABANI!D28*B638)*VERI_TABANI!$B$7 + MAX(0, VERI_TABANI!D28*B638-VERI_TABANI!D28)*VERI_TABANI!$B$8) + (MIN(MAX(0, VERI_TABANI!D28-VERI_TABANI!D28*B638), VERI_TABANI!D28*C638)*VERI_TABANI!$B$7 + MAX(0, VERI_TABANI!D28*C638-MAX(0, VERI_TABANI!D28-VERI_TABANI!D28*B638))*VERI_TABANI!$B$8) + IF(ABS(IF(ISNUMBER(SEARCH("Var", D638)), 1, IF(ISNUMBER(SEARCH("Gri", D638)), -1, 0)))=1, VERI_TABANI!E28*(1-0.928)*VERI_TABANI!$B$9, 0) + (VERI_TABANI!D28*B638*(VERI_TABANI!$B$13-VERI_TABANI!$B$14)*VERI_TABANI!G28) + (VERI_TABANI!D28*C638*(VERI_TABANI!$B$13-VERI_TABANI!$B$15)*VERI_TABANI!G28) + IF(ABS(IF(ISNUMBER(SEARCH("Var", D638)), 1, IF(ISNUMBER(SEARCH("Gri", D638)), -1, 0)))=1, VERI_TABANI!E28*(1-0.928)*0.00206091519919798*VERI_TABANI!G28, 0)))</f>
        <v/>
      </c>
      <c r="H638" s="169">
        <f>(((VERI_TABANI!D23*B638*(VERI_TABANI!$B$13-VERI_TABANI!$B$14)) + (VERI_TABANI!D23*C638*(VERI_TABANI!$B$13-VERI_TABANI!$B$15)) + IF(ISNUMBER(SEARCH("Var", D638)), VERI_TABANI!F23*(0.00202-VERI_TABANI!$B$16), IF(ISNUMBER(SEARCH("Gri", D638)), VERI_TABANI!F23*(0.00202-VERI_TABANI!$B$17), 0))) + ((VERI_TABANI!D24*B638*(VERI_TABANI!$B$13-VERI_TABANI!$B$14)) + (VERI_TABANI!D24*C638*(VERI_TABANI!$B$13-VERI_TABANI!$B$15)) + IF(ISNUMBER(SEARCH("Var", D638)), VERI_TABANI!F24*(0.00202-VERI_TABANI!$B$16), IF(ISNUMBER(SEARCH("Gri", D638)), VERI_TABANI!F24*(0.00202-VERI_TABANI!$B$17), 0))) + ((VERI_TABANI!D25*B638*(VERI_TABANI!$B$13-VERI_TABANI!$B$14)) + (VERI_TABANI!D25*C638*(VERI_TABANI!$B$13-VERI_TABANI!$B$15)) + IF(ISNUMBER(SEARCH("Var", D638)), VERI_TABANI!F25*(0.00202-VERI_TABANI!$B$16), IF(ISNUMBER(SEARCH("Gri", D638)), VERI_TABANI!F25*(0.00202-VERI_TABANI!$B$17), 0))) + ((VERI_TABANI!D26*B638*(VERI_TABANI!$B$13-VERI_TABANI!$B$14)) + (VERI_TABANI!D26*C638*(VERI_TABANI!$B$13-VERI_TABANI!$B$15)) + IF(ISNUMBER(SEARCH("Var", D638)), VERI_TABANI!F26*(0.00202-VERI_TABANI!$B$16), IF(ISNUMBER(SEARCH("Gri", D638)), VERI_TABANI!F26*(0.00202-VERI_TABANI!$B$17), 0))) + ((VERI_TABANI!D27*B638*(VERI_TABANI!$B$13-VERI_TABANI!$B$14)) + (VERI_TABANI!D27*C638*(VERI_TABANI!$B$13-VERI_TABANI!$B$15)) + IF(ISNUMBER(SEARCH("Var", D638)), VERI_TABANI!F27*(0.00202-VERI_TABANI!$B$16), IF(ISNUMBER(SEARCH("Gri", D638)), VERI_TABANI!F27*(0.00202-VERI_TABANI!$B$17), 0))) + ((VERI_TABANI!D28*B638*(VERI_TABANI!$B$13-VERI_TABANI!$B$14)) + (VERI_TABANI!D28*C638*(VERI_TABANI!$B$13-VERI_TABANI!$B$15)) + IF(ISNUMBER(SEARCH("Var", D638)), VERI_TABANI!F28*(0.00202-VERI_TABANI!$B$16), IF(ISNUMBER(SEARCH("Gri", D638)), VERI_TABANI!F28*(0.00202-VERI_TABANI!$B$17), 0))))</f>
        <v/>
      </c>
      <c r="I638" s="170">
        <f>IFERROR(((VERI_TABANI!$D$29*B638*VERI_TABANI!$B$14 + VERI_TABANI!$D$29*C638*VERI_TABANI!$B$15 + IF(ISNUMBER(SEARCH("Var", D638)), VERI_TABANI!$F$29*VERI_TABANI!$B$16, 0))) / (((VERI_TABANI!$D$29*B638 + VERI_TABANI!$D$29*C638)*VERI_TABANI!$B$13 + IF(ISNUMBER(SEARCH("Var", D638)), VERI_TABANI!$E$29*(1-0.928)*VERI_TABANI!$B$18, 0))), 0)</f>
        <v/>
      </c>
      <c r="J638" s="171">
        <f>IFERROR(F638/(G638/29), 0)</f>
        <v/>
      </c>
      <c r="K638" s="172">
        <f>IF(F638&gt;0, H638/F638, 0)</f>
        <v/>
      </c>
      <c r="L638" s="170">
        <f>IF(F638&gt;0, I638, 1000000000)</f>
        <v/>
      </c>
      <c r="M638" s="171">
        <f>ABS((B638+C638)-1)</f>
        <v/>
      </c>
      <c r="N638" s="170">
        <f>IF(F638&gt;0, (G638/29)/F638, 0)</f>
        <v/>
      </c>
      <c r="O638" s="168">
        <f>IF(AND((B638+C638)&gt;=1, ISNUMBER(SEARCH("Var", D638))), F638, 1000000000)</f>
        <v/>
      </c>
      <c r="P638" s="172">
        <f>IF(F638&gt;0, SQRT((F638/MAX(F$5:F$886))^2 + (1 - H638/MAX(H$5:H$886))^2 + (J638/MAX(J$5:J$886))^2), 1000000000)</f>
        <v/>
      </c>
      <c r="Q638" s="166">
        <f>IF(AND(ABS(B638-0.5)&lt;0.01, ABS(C638-0.5)&lt;0.01, ISNUMBER(SEARCH("Var", D638))), 1, 0)</f>
        <v/>
      </c>
      <c r="R638" s="171">
        <f>IF(F638&gt;0, J638, 1000000000)</f>
        <v/>
      </c>
      <c r="S638" s="101">
        <f>IF(AND(F638&lt;=DASHBOARD!$B$11, H638&gt;=DASHBOARD!$B$13), G638, -1000000000000)</f>
        <v/>
      </c>
      <c r="T638" s="101">
        <f>IF(AND(F638&lt;=DASHBOARD!$B$11, H638&gt;=DASHBOARD!$B$13), R638, 1000000000000)</f>
        <v/>
      </c>
      <c r="U638" s="101">
        <f>IF(AND(F638&lt;=DASHBOARD!$B$11, H638&gt;=DASHBOARD!$B$13), N638, -1000000000000)</f>
        <v/>
      </c>
      <c r="V638" s="101">
        <f>IF(AND(F638&lt;=DASHBOARD!$B$11, H638&gt;=DASHBOARD!$B$13), H638, -1000000000000)</f>
        <v/>
      </c>
      <c r="W638" s="101">
        <f>IF(AND(F638&lt;=DASHBOARD!$B$11, H638&gt;=DASHBOARD!$B$13), K638, -1000000000000)</f>
        <v/>
      </c>
      <c r="X638" s="101">
        <f>IF(AND(F638&lt;=DASHBOARD!$B$11, H638&gt;=DASHBOARD!$B$13), M638, 1000000000000)</f>
        <v/>
      </c>
      <c r="Y638" s="101">
        <f>IF(AND(F638&lt;=DASHBOARD!$B$10, H638&gt;=DASHBOARD!$B$11), L638, 1000000000000)</f>
        <v/>
      </c>
      <c r="Z638" s="101">
        <f>IF(AND(F638&lt;=DASHBOARD!$B$10, H638&gt;=DASHBOARD!$B$11), O638, 1000000000000)</f>
        <v/>
      </c>
      <c r="AA638" s="101">
        <f>IF(AND(F638&lt;=DASHBOARD!$B$10, H638&gt;=DASHBOARD!$B$11), P638, 1000000000000)</f>
        <v/>
      </c>
      <c r="AB638" s="101">
        <f>IF(AND(F638&lt;=DASHBOARD!$B$10, H638&gt;=DASHBOARD!$B$11), Q638, -1000000000000)</f>
        <v/>
      </c>
    </row>
    <row r="639" ht="15" customHeight="1" s="102">
      <c r="A639" s="166" t="n">
        <v>635</v>
      </c>
      <c r="B639" s="167" t="n">
        <v>1.5</v>
      </c>
      <c r="C639" s="167" t="n">
        <v>0.2</v>
      </c>
      <c r="D639" s="110" t="inlineStr">
        <is>
          <t>Yok (%0)</t>
        </is>
      </c>
      <c r="E639" s="110">
        <f>IF((B639+C639)&lt;=1, "Tam Mahsuplaşma (≤%100)", "Kısmi Satış (&gt;%100)")</f>
        <v/>
      </c>
      <c r="F639" s="168">
        <f>((VERI_TABANI!$D$29*B639/VERI_TABANI!$B$29)/VERI_TABANI!$B$3)*VERI_TABANI!$B$5 + ((VERI_TABANI!$D$29*C639/VERI_TABANI!$B$29)/VERI_TABANI!$B$4)*VERI_TABANI!$B$6 + IF(ISNUMBER(SEARCH("Var", D639)), (VERI_TABANI!$F$29/VERI_TABANI!$B$29)*(VERI_TABANI!$B$10+VERI_TABANI!$B$12), 0)</f>
        <v/>
      </c>
      <c r="G639" s="168">
        <f>(((MIN(VERI_TABANI!D23, VERI_TABANI!D23*B639)*VERI_TABANI!$B$7 + MAX(0, VERI_TABANI!D23*B639-VERI_TABANI!D23)*VERI_TABANI!$B$8) + (MIN(MAX(0, VERI_TABANI!D23-VERI_TABANI!D23*B639), VERI_TABANI!D23*C639)*VERI_TABANI!$B$7 + MAX(0, VERI_TABANI!D23*C639-MAX(0, VERI_TABANI!D23-VERI_TABANI!D23*B639))*VERI_TABANI!$B$8) + IF(ABS(IF(ISNUMBER(SEARCH("Var", D639)), 1, IF(ISNUMBER(SEARCH("Gri", D639)), -1, 0)))=1, VERI_TABANI!E23*(1-0.928)*VERI_TABANI!$B$9, 0) + (VERI_TABANI!D23*B639*(VERI_TABANI!$B$13-VERI_TABANI!$B$14)*VERI_TABANI!G23) + (VERI_TABANI!D23*C639*(VERI_TABANI!$B$13-VERI_TABANI!$B$15)*VERI_TABANI!G23) + IF(ABS(IF(ISNUMBER(SEARCH("Var", D639)), 1, IF(ISNUMBER(SEARCH("Gri", D639)), -1, 0)))=1, VERI_TABANI!E23*(1-0.928)*0.00206091519919798*VERI_TABANI!G23, 0)) + ((MIN(VERI_TABANI!D24, VERI_TABANI!D24*B639)*VERI_TABANI!$B$7 + MAX(0, VERI_TABANI!D24*B639-VERI_TABANI!D24)*VERI_TABANI!$B$8) + (MIN(MAX(0, VERI_TABANI!D24-VERI_TABANI!D24*B639), VERI_TABANI!D24*C639)*VERI_TABANI!$B$7 + MAX(0, VERI_TABANI!D24*C639-MAX(0, VERI_TABANI!D24-VERI_TABANI!D24*B639))*VERI_TABANI!$B$8) + IF(ABS(IF(ISNUMBER(SEARCH("Var", D639)), 1, IF(ISNUMBER(SEARCH("Gri", D639)), -1, 0)))=1, VERI_TABANI!E24*(1-0.928)*VERI_TABANI!$B$9, 0) + (VERI_TABANI!D24*B639*(VERI_TABANI!$B$13-VERI_TABANI!$B$14)*VERI_TABANI!G24) + (VERI_TABANI!D24*C639*(VERI_TABANI!$B$13-VERI_TABANI!$B$15)*VERI_TABANI!G24) + IF(ABS(IF(ISNUMBER(SEARCH("Var", D639)), 1, IF(ISNUMBER(SEARCH("Gri", D639)), -1, 0)))=1, VERI_TABANI!E24*(1-0.928)*0.00206091519919798*VERI_TABANI!G24, 0)) + ((MIN(VERI_TABANI!D25, VERI_TABANI!D25*B639)*VERI_TABANI!$B$7 + MAX(0, VERI_TABANI!D25*B639-VERI_TABANI!D25)*VERI_TABANI!$B$8) + (MIN(MAX(0, VERI_TABANI!D25-VERI_TABANI!D25*B639), VERI_TABANI!D25*C639)*VERI_TABANI!$B$7 + MAX(0, VERI_TABANI!D25*C639-MAX(0, VERI_TABANI!D25-VERI_TABANI!D25*B639))*VERI_TABANI!$B$8) + IF(ABS(IF(ISNUMBER(SEARCH("Var", D639)), 1, IF(ISNUMBER(SEARCH("Gri", D639)), -1, 0)))=1, VERI_TABANI!E25*(1-0.928)*VERI_TABANI!$B$9, 0) + (VERI_TABANI!D25*B639*(VERI_TABANI!$B$13-VERI_TABANI!$B$14)*VERI_TABANI!G25) + (VERI_TABANI!D25*C639*(VERI_TABANI!$B$13-VERI_TABANI!$B$15)*VERI_TABANI!G25) + IF(ABS(IF(ISNUMBER(SEARCH("Var", D639)), 1, IF(ISNUMBER(SEARCH("Gri", D639)), -1, 0)))=1, VERI_TABANI!E25*(1-0.928)*0.00206091519919798*VERI_TABANI!G25, 0)) + ((MIN(VERI_TABANI!D26, VERI_TABANI!D26*B639)*VERI_TABANI!$B$7 + MAX(0, VERI_TABANI!D26*B639-VERI_TABANI!D26)*VERI_TABANI!$B$8) + (MIN(MAX(0, VERI_TABANI!D26-VERI_TABANI!D26*B639), VERI_TABANI!D26*C639)*VERI_TABANI!$B$7 + MAX(0, VERI_TABANI!D26*C639-MAX(0, VERI_TABANI!D26-VERI_TABANI!D26*B639))*VERI_TABANI!$B$8) + IF(ABS(IF(ISNUMBER(SEARCH("Var", D639)), 1, IF(ISNUMBER(SEARCH("Gri", D639)), -1, 0)))=1, VERI_TABANI!E26*(1-0.928)*VERI_TABANI!$B$9, 0) + (VERI_TABANI!D26*B639*(VERI_TABANI!$B$13-VERI_TABANI!$B$14)*VERI_TABANI!G26) + (VERI_TABANI!D26*C639*(VERI_TABANI!$B$13-VERI_TABANI!$B$15)*VERI_TABANI!G26) + IF(ABS(IF(ISNUMBER(SEARCH("Var", D639)), 1, IF(ISNUMBER(SEARCH("Gri", D639)), -1, 0)))=1, VERI_TABANI!E26*(1-0.928)*0.00206091519919798*VERI_TABANI!G26, 0)) + ((MIN(VERI_TABANI!D27, VERI_TABANI!D27*B639)*VERI_TABANI!$B$7 + MAX(0, VERI_TABANI!D27*B639-VERI_TABANI!D27)*VERI_TABANI!$B$8) + (MIN(MAX(0, VERI_TABANI!D27-VERI_TABANI!D27*B639), VERI_TABANI!D27*C639)*VERI_TABANI!$B$7 + MAX(0, VERI_TABANI!D27*C639-MAX(0, VERI_TABANI!D27-VERI_TABANI!D27*B639))*VERI_TABANI!$B$8) + IF(ABS(IF(ISNUMBER(SEARCH("Var", D639)), 1, IF(ISNUMBER(SEARCH("Gri", D639)), -1, 0)))=1, VERI_TABANI!E27*(1-0.928)*VERI_TABANI!$B$9, 0) + (VERI_TABANI!D27*B639*(VERI_TABANI!$B$13-VERI_TABANI!$B$14)*VERI_TABANI!G27) + (VERI_TABANI!D27*C639*(VERI_TABANI!$B$13-VERI_TABANI!$B$15)*VERI_TABANI!G27) + IF(ABS(IF(ISNUMBER(SEARCH("Var", D639)), 1, IF(ISNUMBER(SEARCH("Gri", D639)), -1, 0)))=1, VERI_TABANI!E27*(1-0.928)*0.00206091519919798*VERI_TABANI!G27, 0)) + ((MIN(VERI_TABANI!D28, VERI_TABANI!D28*B639)*VERI_TABANI!$B$7 + MAX(0, VERI_TABANI!D28*B639-VERI_TABANI!D28)*VERI_TABANI!$B$8) + (MIN(MAX(0, VERI_TABANI!D28-VERI_TABANI!D28*B639), VERI_TABANI!D28*C639)*VERI_TABANI!$B$7 + MAX(0, VERI_TABANI!D28*C639-MAX(0, VERI_TABANI!D28-VERI_TABANI!D28*B639))*VERI_TABANI!$B$8) + IF(ABS(IF(ISNUMBER(SEARCH("Var", D639)), 1, IF(ISNUMBER(SEARCH("Gri", D639)), -1, 0)))=1, VERI_TABANI!E28*(1-0.928)*VERI_TABANI!$B$9, 0) + (VERI_TABANI!D28*B639*(VERI_TABANI!$B$13-VERI_TABANI!$B$14)*VERI_TABANI!G28) + (VERI_TABANI!D28*C639*(VERI_TABANI!$B$13-VERI_TABANI!$B$15)*VERI_TABANI!G28) + IF(ABS(IF(ISNUMBER(SEARCH("Var", D639)), 1, IF(ISNUMBER(SEARCH("Gri", D639)), -1, 0)))=1, VERI_TABANI!E28*(1-0.928)*0.00206091519919798*VERI_TABANI!G28, 0)))</f>
        <v/>
      </c>
      <c r="H639" s="169">
        <f>(((VERI_TABANI!D23*B639*(VERI_TABANI!$B$13-VERI_TABANI!$B$14)) + (VERI_TABANI!D23*C639*(VERI_TABANI!$B$13-VERI_TABANI!$B$15)) + IF(ISNUMBER(SEARCH("Var", D639)), VERI_TABANI!F23*(0.00202-VERI_TABANI!$B$16), IF(ISNUMBER(SEARCH("Gri", D639)), VERI_TABANI!F23*(0.00202-VERI_TABANI!$B$17), 0))) + ((VERI_TABANI!D24*B639*(VERI_TABANI!$B$13-VERI_TABANI!$B$14)) + (VERI_TABANI!D24*C639*(VERI_TABANI!$B$13-VERI_TABANI!$B$15)) + IF(ISNUMBER(SEARCH("Var", D639)), VERI_TABANI!F24*(0.00202-VERI_TABANI!$B$16), IF(ISNUMBER(SEARCH("Gri", D639)), VERI_TABANI!F24*(0.00202-VERI_TABANI!$B$17), 0))) + ((VERI_TABANI!D25*B639*(VERI_TABANI!$B$13-VERI_TABANI!$B$14)) + (VERI_TABANI!D25*C639*(VERI_TABANI!$B$13-VERI_TABANI!$B$15)) + IF(ISNUMBER(SEARCH("Var", D639)), VERI_TABANI!F25*(0.00202-VERI_TABANI!$B$16), IF(ISNUMBER(SEARCH("Gri", D639)), VERI_TABANI!F25*(0.00202-VERI_TABANI!$B$17), 0))) + ((VERI_TABANI!D26*B639*(VERI_TABANI!$B$13-VERI_TABANI!$B$14)) + (VERI_TABANI!D26*C639*(VERI_TABANI!$B$13-VERI_TABANI!$B$15)) + IF(ISNUMBER(SEARCH("Var", D639)), VERI_TABANI!F26*(0.00202-VERI_TABANI!$B$16), IF(ISNUMBER(SEARCH("Gri", D639)), VERI_TABANI!F26*(0.00202-VERI_TABANI!$B$17), 0))) + ((VERI_TABANI!D27*B639*(VERI_TABANI!$B$13-VERI_TABANI!$B$14)) + (VERI_TABANI!D27*C639*(VERI_TABANI!$B$13-VERI_TABANI!$B$15)) + IF(ISNUMBER(SEARCH("Var", D639)), VERI_TABANI!F27*(0.00202-VERI_TABANI!$B$16), IF(ISNUMBER(SEARCH("Gri", D639)), VERI_TABANI!F27*(0.00202-VERI_TABANI!$B$17), 0))) + ((VERI_TABANI!D28*B639*(VERI_TABANI!$B$13-VERI_TABANI!$B$14)) + (VERI_TABANI!D28*C639*(VERI_TABANI!$B$13-VERI_TABANI!$B$15)) + IF(ISNUMBER(SEARCH("Var", D639)), VERI_TABANI!F28*(0.00202-VERI_TABANI!$B$16), IF(ISNUMBER(SEARCH("Gri", D639)), VERI_TABANI!F28*(0.00202-VERI_TABANI!$B$17), 0))))</f>
        <v/>
      </c>
      <c r="I639" s="170">
        <f>IFERROR(((VERI_TABANI!$D$29*B639*VERI_TABANI!$B$14 + VERI_TABANI!$D$29*C639*VERI_TABANI!$B$15 + IF(ISNUMBER(SEARCH("Var", D639)), VERI_TABANI!$F$29*VERI_TABANI!$B$16, 0))) / (((VERI_TABANI!$D$29*B639 + VERI_TABANI!$D$29*C639)*VERI_TABANI!$B$13 + IF(ISNUMBER(SEARCH("Var", D639)), VERI_TABANI!$E$29*(1-0.928)*VERI_TABANI!$B$18, 0))), 0)</f>
        <v/>
      </c>
      <c r="J639" s="171">
        <f>IFERROR(F639/(G639/29), 0)</f>
        <v/>
      </c>
      <c r="K639" s="172">
        <f>IF(F639&gt;0, H639/F639, 0)</f>
        <v/>
      </c>
      <c r="L639" s="170">
        <f>IF(F639&gt;0, I639, 1000000000)</f>
        <v/>
      </c>
      <c r="M639" s="171">
        <f>ABS((B639+C639)-1)</f>
        <v/>
      </c>
      <c r="N639" s="170">
        <f>IF(F639&gt;0, (G639/29)/F639, 0)</f>
        <v/>
      </c>
      <c r="O639" s="168">
        <f>IF(AND((B639+C639)&gt;=1, ISNUMBER(SEARCH("Var", D639))), F639, 1000000000)</f>
        <v/>
      </c>
      <c r="P639" s="172">
        <f>IF(F639&gt;0, SQRT((F639/MAX(F$5:F$886))^2 + (1 - H639/MAX(H$5:H$886))^2 + (J639/MAX(J$5:J$886))^2), 1000000000)</f>
        <v/>
      </c>
      <c r="Q639" s="166">
        <f>IF(AND(ABS(B639-0.5)&lt;0.01, ABS(C639-0.5)&lt;0.01, ISNUMBER(SEARCH("Var", D639))), 1, 0)</f>
        <v/>
      </c>
      <c r="R639" s="171">
        <f>IF(F639&gt;0, J639, 1000000000)</f>
        <v/>
      </c>
      <c r="S639" s="101">
        <f>IF(AND(F639&lt;=DASHBOARD!$B$11, H639&gt;=DASHBOARD!$B$13), G639, -1000000000000)</f>
        <v/>
      </c>
      <c r="T639" s="101">
        <f>IF(AND(F639&lt;=DASHBOARD!$B$11, H639&gt;=DASHBOARD!$B$13), R639, 1000000000000)</f>
        <v/>
      </c>
      <c r="U639" s="101">
        <f>IF(AND(F639&lt;=DASHBOARD!$B$11, H639&gt;=DASHBOARD!$B$13), N639, -1000000000000)</f>
        <v/>
      </c>
      <c r="V639" s="101">
        <f>IF(AND(F639&lt;=DASHBOARD!$B$11, H639&gt;=DASHBOARD!$B$13), H639, -1000000000000)</f>
        <v/>
      </c>
      <c r="W639" s="101">
        <f>IF(AND(F639&lt;=DASHBOARD!$B$11, H639&gt;=DASHBOARD!$B$13), K639, -1000000000000)</f>
        <v/>
      </c>
      <c r="X639" s="101">
        <f>IF(AND(F639&lt;=DASHBOARD!$B$11, H639&gt;=DASHBOARD!$B$13), M639, 1000000000000)</f>
        <v/>
      </c>
      <c r="Y639" s="101">
        <f>IF(AND(F639&lt;=DASHBOARD!$B$10, H639&gt;=DASHBOARD!$B$11), L639, 1000000000000)</f>
        <v/>
      </c>
      <c r="Z639" s="101">
        <f>IF(AND(F639&lt;=DASHBOARD!$B$10, H639&gt;=DASHBOARD!$B$11), O639, 1000000000000)</f>
        <v/>
      </c>
      <c r="AA639" s="101">
        <f>IF(AND(F639&lt;=DASHBOARD!$B$10, H639&gt;=DASHBOARD!$B$11), P639, 1000000000000)</f>
        <v/>
      </c>
      <c r="AB639" s="101">
        <f>IF(AND(F639&lt;=DASHBOARD!$B$10, H639&gt;=DASHBOARD!$B$11), Q639, -1000000000000)</f>
        <v/>
      </c>
    </row>
    <row r="640" ht="15" customHeight="1" s="102">
      <c r="A640" s="166" t="n">
        <v>636</v>
      </c>
      <c r="B640" s="167" t="n">
        <v>1.5</v>
      </c>
      <c r="C640" s="167" t="n">
        <v>0.2</v>
      </c>
      <c r="D640" s="110" t="inlineStr">
        <is>
          <t>Var (%20)</t>
        </is>
      </c>
      <c r="E640" s="110">
        <f>IF((B640+C640)&lt;=1, "Tam Mahsuplaşma (≤%100)", "Kısmi Satış (&gt;%100)")</f>
        <v/>
      </c>
      <c r="F640" s="168">
        <f>((VERI_TABANI!$D$29*B640/VERI_TABANI!$B$29)/VERI_TABANI!$B$3)*VERI_TABANI!$B$5 + ((VERI_TABANI!$D$29*C640/VERI_TABANI!$B$29)/VERI_TABANI!$B$4)*VERI_TABANI!$B$6 + IF(ISNUMBER(SEARCH("Var", D640)), (VERI_TABANI!$F$29/VERI_TABANI!$B$29)*(VERI_TABANI!$B$10+VERI_TABANI!$B$12), 0)</f>
        <v/>
      </c>
      <c r="G640" s="168">
        <f>(((MIN(VERI_TABANI!D23, VERI_TABANI!D23*B640)*VERI_TABANI!$B$7 + MAX(0, VERI_TABANI!D23*B640-VERI_TABANI!D23)*VERI_TABANI!$B$8) + (MIN(MAX(0, VERI_TABANI!D23-VERI_TABANI!D23*B640), VERI_TABANI!D23*C640)*VERI_TABANI!$B$7 + MAX(0, VERI_TABANI!D23*C640-MAX(0, VERI_TABANI!D23-VERI_TABANI!D23*B640))*VERI_TABANI!$B$8) + IF(ABS(IF(ISNUMBER(SEARCH("Var", D640)), 1, IF(ISNUMBER(SEARCH("Gri", D640)), -1, 0)))=1, VERI_TABANI!E23*(1-0.928)*VERI_TABANI!$B$9, 0) + (VERI_TABANI!D23*B640*(VERI_TABANI!$B$13-VERI_TABANI!$B$14)*VERI_TABANI!G23) + (VERI_TABANI!D23*C640*(VERI_TABANI!$B$13-VERI_TABANI!$B$15)*VERI_TABANI!G23) + IF(ABS(IF(ISNUMBER(SEARCH("Var", D640)), 1, IF(ISNUMBER(SEARCH("Gri", D640)), -1, 0)))=1, VERI_TABANI!E23*(1-0.928)*0.00206091519919798*VERI_TABANI!G23, 0)) + ((MIN(VERI_TABANI!D24, VERI_TABANI!D24*B640)*VERI_TABANI!$B$7 + MAX(0, VERI_TABANI!D24*B640-VERI_TABANI!D24)*VERI_TABANI!$B$8) + (MIN(MAX(0, VERI_TABANI!D24-VERI_TABANI!D24*B640), VERI_TABANI!D24*C640)*VERI_TABANI!$B$7 + MAX(0, VERI_TABANI!D24*C640-MAX(0, VERI_TABANI!D24-VERI_TABANI!D24*B640))*VERI_TABANI!$B$8) + IF(ABS(IF(ISNUMBER(SEARCH("Var", D640)), 1, IF(ISNUMBER(SEARCH("Gri", D640)), -1, 0)))=1, VERI_TABANI!E24*(1-0.928)*VERI_TABANI!$B$9, 0) + (VERI_TABANI!D24*B640*(VERI_TABANI!$B$13-VERI_TABANI!$B$14)*VERI_TABANI!G24) + (VERI_TABANI!D24*C640*(VERI_TABANI!$B$13-VERI_TABANI!$B$15)*VERI_TABANI!G24) + IF(ABS(IF(ISNUMBER(SEARCH("Var", D640)), 1, IF(ISNUMBER(SEARCH("Gri", D640)), -1, 0)))=1, VERI_TABANI!E24*(1-0.928)*0.00206091519919798*VERI_TABANI!G24, 0)) + ((MIN(VERI_TABANI!D25, VERI_TABANI!D25*B640)*VERI_TABANI!$B$7 + MAX(0, VERI_TABANI!D25*B640-VERI_TABANI!D25)*VERI_TABANI!$B$8) + (MIN(MAX(0, VERI_TABANI!D25-VERI_TABANI!D25*B640), VERI_TABANI!D25*C640)*VERI_TABANI!$B$7 + MAX(0, VERI_TABANI!D25*C640-MAX(0, VERI_TABANI!D25-VERI_TABANI!D25*B640))*VERI_TABANI!$B$8) + IF(ABS(IF(ISNUMBER(SEARCH("Var", D640)), 1, IF(ISNUMBER(SEARCH("Gri", D640)), -1, 0)))=1, VERI_TABANI!E25*(1-0.928)*VERI_TABANI!$B$9, 0) + (VERI_TABANI!D25*B640*(VERI_TABANI!$B$13-VERI_TABANI!$B$14)*VERI_TABANI!G25) + (VERI_TABANI!D25*C640*(VERI_TABANI!$B$13-VERI_TABANI!$B$15)*VERI_TABANI!G25) + IF(ABS(IF(ISNUMBER(SEARCH("Var", D640)), 1, IF(ISNUMBER(SEARCH("Gri", D640)), -1, 0)))=1, VERI_TABANI!E25*(1-0.928)*0.00206091519919798*VERI_TABANI!G25, 0)) + ((MIN(VERI_TABANI!D26, VERI_TABANI!D26*B640)*VERI_TABANI!$B$7 + MAX(0, VERI_TABANI!D26*B640-VERI_TABANI!D26)*VERI_TABANI!$B$8) + (MIN(MAX(0, VERI_TABANI!D26-VERI_TABANI!D26*B640), VERI_TABANI!D26*C640)*VERI_TABANI!$B$7 + MAX(0, VERI_TABANI!D26*C640-MAX(0, VERI_TABANI!D26-VERI_TABANI!D26*B640))*VERI_TABANI!$B$8) + IF(ABS(IF(ISNUMBER(SEARCH("Var", D640)), 1, IF(ISNUMBER(SEARCH("Gri", D640)), -1, 0)))=1, VERI_TABANI!E26*(1-0.928)*VERI_TABANI!$B$9, 0) + (VERI_TABANI!D26*B640*(VERI_TABANI!$B$13-VERI_TABANI!$B$14)*VERI_TABANI!G26) + (VERI_TABANI!D26*C640*(VERI_TABANI!$B$13-VERI_TABANI!$B$15)*VERI_TABANI!G26) + IF(ABS(IF(ISNUMBER(SEARCH("Var", D640)), 1, IF(ISNUMBER(SEARCH("Gri", D640)), -1, 0)))=1, VERI_TABANI!E26*(1-0.928)*0.00206091519919798*VERI_TABANI!G26, 0)) + ((MIN(VERI_TABANI!D27, VERI_TABANI!D27*B640)*VERI_TABANI!$B$7 + MAX(0, VERI_TABANI!D27*B640-VERI_TABANI!D27)*VERI_TABANI!$B$8) + (MIN(MAX(0, VERI_TABANI!D27-VERI_TABANI!D27*B640), VERI_TABANI!D27*C640)*VERI_TABANI!$B$7 + MAX(0, VERI_TABANI!D27*C640-MAX(0, VERI_TABANI!D27-VERI_TABANI!D27*B640))*VERI_TABANI!$B$8) + IF(ABS(IF(ISNUMBER(SEARCH("Var", D640)), 1, IF(ISNUMBER(SEARCH("Gri", D640)), -1, 0)))=1, VERI_TABANI!E27*(1-0.928)*VERI_TABANI!$B$9, 0) + (VERI_TABANI!D27*B640*(VERI_TABANI!$B$13-VERI_TABANI!$B$14)*VERI_TABANI!G27) + (VERI_TABANI!D27*C640*(VERI_TABANI!$B$13-VERI_TABANI!$B$15)*VERI_TABANI!G27) + IF(ABS(IF(ISNUMBER(SEARCH("Var", D640)), 1, IF(ISNUMBER(SEARCH("Gri", D640)), -1, 0)))=1, VERI_TABANI!E27*(1-0.928)*0.00206091519919798*VERI_TABANI!G27, 0)) + ((MIN(VERI_TABANI!D28, VERI_TABANI!D28*B640)*VERI_TABANI!$B$7 + MAX(0, VERI_TABANI!D28*B640-VERI_TABANI!D28)*VERI_TABANI!$B$8) + (MIN(MAX(0, VERI_TABANI!D28-VERI_TABANI!D28*B640), VERI_TABANI!D28*C640)*VERI_TABANI!$B$7 + MAX(0, VERI_TABANI!D28*C640-MAX(0, VERI_TABANI!D28-VERI_TABANI!D28*B640))*VERI_TABANI!$B$8) + IF(ABS(IF(ISNUMBER(SEARCH("Var", D640)), 1, IF(ISNUMBER(SEARCH("Gri", D640)), -1, 0)))=1, VERI_TABANI!E28*(1-0.928)*VERI_TABANI!$B$9, 0) + (VERI_TABANI!D28*B640*(VERI_TABANI!$B$13-VERI_TABANI!$B$14)*VERI_TABANI!G28) + (VERI_TABANI!D28*C640*(VERI_TABANI!$B$13-VERI_TABANI!$B$15)*VERI_TABANI!G28) + IF(ABS(IF(ISNUMBER(SEARCH("Var", D640)), 1, IF(ISNUMBER(SEARCH("Gri", D640)), -1, 0)))=1, VERI_TABANI!E28*(1-0.928)*0.00206091519919798*VERI_TABANI!G28, 0)))</f>
        <v/>
      </c>
      <c r="H640" s="169">
        <f>(((VERI_TABANI!D23*B640*(VERI_TABANI!$B$13-VERI_TABANI!$B$14)) + (VERI_TABANI!D23*C640*(VERI_TABANI!$B$13-VERI_TABANI!$B$15)) + IF(ISNUMBER(SEARCH("Var", D640)), VERI_TABANI!F23*(0.00202-VERI_TABANI!$B$16), IF(ISNUMBER(SEARCH("Gri", D640)), VERI_TABANI!F23*(0.00202-VERI_TABANI!$B$17), 0))) + ((VERI_TABANI!D24*B640*(VERI_TABANI!$B$13-VERI_TABANI!$B$14)) + (VERI_TABANI!D24*C640*(VERI_TABANI!$B$13-VERI_TABANI!$B$15)) + IF(ISNUMBER(SEARCH("Var", D640)), VERI_TABANI!F24*(0.00202-VERI_TABANI!$B$16), IF(ISNUMBER(SEARCH("Gri", D640)), VERI_TABANI!F24*(0.00202-VERI_TABANI!$B$17), 0))) + ((VERI_TABANI!D25*B640*(VERI_TABANI!$B$13-VERI_TABANI!$B$14)) + (VERI_TABANI!D25*C640*(VERI_TABANI!$B$13-VERI_TABANI!$B$15)) + IF(ISNUMBER(SEARCH("Var", D640)), VERI_TABANI!F25*(0.00202-VERI_TABANI!$B$16), IF(ISNUMBER(SEARCH("Gri", D640)), VERI_TABANI!F25*(0.00202-VERI_TABANI!$B$17), 0))) + ((VERI_TABANI!D26*B640*(VERI_TABANI!$B$13-VERI_TABANI!$B$14)) + (VERI_TABANI!D26*C640*(VERI_TABANI!$B$13-VERI_TABANI!$B$15)) + IF(ISNUMBER(SEARCH("Var", D640)), VERI_TABANI!F26*(0.00202-VERI_TABANI!$B$16), IF(ISNUMBER(SEARCH("Gri", D640)), VERI_TABANI!F26*(0.00202-VERI_TABANI!$B$17), 0))) + ((VERI_TABANI!D27*B640*(VERI_TABANI!$B$13-VERI_TABANI!$B$14)) + (VERI_TABANI!D27*C640*(VERI_TABANI!$B$13-VERI_TABANI!$B$15)) + IF(ISNUMBER(SEARCH("Var", D640)), VERI_TABANI!F27*(0.00202-VERI_TABANI!$B$16), IF(ISNUMBER(SEARCH("Gri", D640)), VERI_TABANI!F27*(0.00202-VERI_TABANI!$B$17), 0))) + ((VERI_TABANI!D28*B640*(VERI_TABANI!$B$13-VERI_TABANI!$B$14)) + (VERI_TABANI!D28*C640*(VERI_TABANI!$B$13-VERI_TABANI!$B$15)) + IF(ISNUMBER(SEARCH("Var", D640)), VERI_TABANI!F28*(0.00202-VERI_TABANI!$B$16), IF(ISNUMBER(SEARCH("Gri", D640)), VERI_TABANI!F28*(0.00202-VERI_TABANI!$B$17), 0))))</f>
        <v/>
      </c>
      <c r="I640" s="170">
        <f>IFERROR(((VERI_TABANI!$D$29*B640*VERI_TABANI!$B$14 + VERI_TABANI!$D$29*C640*VERI_TABANI!$B$15 + IF(ISNUMBER(SEARCH("Var", D640)), VERI_TABANI!$F$29*VERI_TABANI!$B$16, 0))) / (((VERI_TABANI!$D$29*B640 + VERI_TABANI!$D$29*C640)*VERI_TABANI!$B$13 + IF(ISNUMBER(SEARCH("Var", D640)), VERI_TABANI!$E$29*(1-0.928)*VERI_TABANI!$B$18, 0))), 0)</f>
        <v/>
      </c>
      <c r="J640" s="171">
        <f>IFERROR(F640/(G640/29), 0)</f>
        <v/>
      </c>
      <c r="K640" s="172">
        <f>IF(F640&gt;0, H640/F640, 0)</f>
        <v/>
      </c>
      <c r="L640" s="170">
        <f>IF(F640&gt;0, I640, 1000000000)</f>
        <v/>
      </c>
      <c r="M640" s="171">
        <f>ABS((B640+C640)-1)</f>
        <v/>
      </c>
      <c r="N640" s="170">
        <f>IF(F640&gt;0, (G640/29)/F640, 0)</f>
        <v/>
      </c>
      <c r="O640" s="168">
        <f>IF(AND((B640+C640)&gt;=1, ISNUMBER(SEARCH("Var", D640))), F640, 1000000000)</f>
        <v/>
      </c>
      <c r="P640" s="172">
        <f>IF(F640&gt;0, SQRT((F640/MAX(F$5:F$886))^2 + (1 - H640/MAX(H$5:H$886))^2 + (J640/MAX(J$5:J$886))^2), 1000000000)</f>
        <v/>
      </c>
      <c r="Q640" s="166">
        <f>IF(AND(ABS(B640-0.5)&lt;0.01, ABS(C640-0.5)&lt;0.01, ISNUMBER(SEARCH("Var", D640))), 1, 0)</f>
        <v/>
      </c>
      <c r="R640" s="171">
        <f>IF(F640&gt;0, J640, 1000000000)</f>
        <v/>
      </c>
      <c r="S640" s="101">
        <f>IF(AND(F640&lt;=DASHBOARD!$B$11, H640&gt;=DASHBOARD!$B$13), G640, -1000000000000)</f>
        <v/>
      </c>
      <c r="T640" s="101">
        <f>IF(AND(F640&lt;=DASHBOARD!$B$11, H640&gt;=DASHBOARD!$B$13), R640, 1000000000000)</f>
        <v/>
      </c>
      <c r="U640" s="101">
        <f>IF(AND(F640&lt;=DASHBOARD!$B$11, H640&gt;=DASHBOARD!$B$13), N640, -1000000000000)</f>
        <v/>
      </c>
      <c r="V640" s="101">
        <f>IF(AND(F640&lt;=DASHBOARD!$B$11, H640&gt;=DASHBOARD!$B$13), H640, -1000000000000)</f>
        <v/>
      </c>
      <c r="W640" s="101">
        <f>IF(AND(F640&lt;=DASHBOARD!$B$11, H640&gt;=DASHBOARD!$B$13), K640, -1000000000000)</f>
        <v/>
      </c>
      <c r="X640" s="101">
        <f>IF(AND(F640&lt;=DASHBOARD!$B$11, H640&gt;=DASHBOARD!$B$13), M640, 1000000000000)</f>
        <v/>
      </c>
      <c r="Y640" s="101">
        <f>IF(AND(F640&lt;=DASHBOARD!$B$10, H640&gt;=DASHBOARD!$B$11), L640, 1000000000000)</f>
        <v/>
      </c>
      <c r="Z640" s="101">
        <f>IF(AND(F640&lt;=DASHBOARD!$B$10, H640&gt;=DASHBOARD!$B$11), O640, 1000000000000)</f>
        <v/>
      </c>
      <c r="AA640" s="101">
        <f>IF(AND(F640&lt;=DASHBOARD!$B$10, H640&gt;=DASHBOARD!$B$11), P640, 1000000000000)</f>
        <v/>
      </c>
      <c r="AB640" s="101">
        <f>IF(AND(F640&lt;=DASHBOARD!$B$10, H640&gt;=DASHBOARD!$B$11), Q640, -1000000000000)</f>
        <v/>
      </c>
    </row>
    <row r="641" ht="15" customHeight="1" s="102">
      <c r="A641" s="166" t="n">
        <v>637</v>
      </c>
      <c r="B641" s="167" t="n">
        <v>1.5</v>
      </c>
      <c r="C641" s="167" t="n">
        <v>0.3</v>
      </c>
      <c r="D641" s="110" t="inlineStr">
        <is>
          <t>Yok (%0)</t>
        </is>
      </c>
      <c r="E641" s="110">
        <f>IF((B641+C641)&lt;=1, "Tam Mahsuplaşma (≤%100)", "Kısmi Satış (&gt;%100)")</f>
        <v/>
      </c>
      <c r="F641" s="168">
        <f>((VERI_TABANI!$D$29*B641/VERI_TABANI!$B$29)/VERI_TABANI!$B$3)*VERI_TABANI!$B$5 + ((VERI_TABANI!$D$29*C641/VERI_TABANI!$B$29)/VERI_TABANI!$B$4)*VERI_TABANI!$B$6 + IF(ISNUMBER(SEARCH("Var", D641)), (VERI_TABANI!$F$29/VERI_TABANI!$B$29)*(VERI_TABANI!$B$10+VERI_TABANI!$B$12), 0)</f>
        <v/>
      </c>
      <c r="G641" s="168">
        <f>(((MIN(VERI_TABANI!D23, VERI_TABANI!D23*B641)*VERI_TABANI!$B$7 + MAX(0, VERI_TABANI!D23*B641-VERI_TABANI!D23)*VERI_TABANI!$B$8) + (MIN(MAX(0, VERI_TABANI!D23-VERI_TABANI!D23*B641), VERI_TABANI!D23*C641)*VERI_TABANI!$B$7 + MAX(0, VERI_TABANI!D23*C641-MAX(0, VERI_TABANI!D23-VERI_TABANI!D23*B641))*VERI_TABANI!$B$8) + IF(ABS(IF(ISNUMBER(SEARCH("Var", D641)), 1, IF(ISNUMBER(SEARCH("Gri", D641)), -1, 0)))=1, VERI_TABANI!E23*(1-0.928)*VERI_TABANI!$B$9, 0) + (VERI_TABANI!D23*B641*(VERI_TABANI!$B$13-VERI_TABANI!$B$14)*VERI_TABANI!G23) + (VERI_TABANI!D23*C641*(VERI_TABANI!$B$13-VERI_TABANI!$B$15)*VERI_TABANI!G23) + IF(ABS(IF(ISNUMBER(SEARCH("Var", D641)), 1, IF(ISNUMBER(SEARCH("Gri", D641)), -1, 0)))=1, VERI_TABANI!E23*(1-0.928)*0.00206091519919798*VERI_TABANI!G23, 0)) + ((MIN(VERI_TABANI!D24, VERI_TABANI!D24*B641)*VERI_TABANI!$B$7 + MAX(0, VERI_TABANI!D24*B641-VERI_TABANI!D24)*VERI_TABANI!$B$8) + (MIN(MAX(0, VERI_TABANI!D24-VERI_TABANI!D24*B641), VERI_TABANI!D24*C641)*VERI_TABANI!$B$7 + MAX(0, VERI_TABANI!D24*C641-MAX(0, VERI_TABANI!D24-VERI_TABANI!D24*B641))*VERI_TABANI!$B$8) + IF(ABS(IF(ISNUMBER(SEARCH("Var", D641)), 1, IF(ISNUMBER(SEARCH("Gri", D641)), -1, 0)))=1, VERI_TABANI!E24*(1-0.928)*VERI_TABANI!$B$9, 0) + (VERI_TABANI!D24*B641*(VERI_TABANI!$B$13-VERI_TABANI!$B$14)*VERI_TABANI!G24) + (VERI_TABANI!D24*C641*(VERI_TABANI!$B$13-VERI_TABANI!$B$15)*VERI_TABANI!G24) + IF(ABS(IF(ISNUMBER(SEARCH("Var", D641)), 1, IF(ISNUMBER(SEARCH("Gri", D641)), -1, 0)))=1, VERI_TABANI!E24*(1-0.928)*0.00206091519919798*VERI_TABANI!G24, 0)) + ((MIN(VERI_TABANI!D25, VERI_TABANI!D25*B641)*VERI_TABANI!$B$7 + MAX(0, VERI_TABANI!D25*B641-VERI_TABANI!D25)*VERI_TABANI!$B$8) + (MIN(MAX(0, VERI_TABANI!D25-VERI_TABANI!D25*B641), VERI_TABANI!D25*C641)*VERI_TABANI!$B$7 + MAX(0, VERI_TABANI!D25*C641-MAX(0, VERI_TABANI!D25-VERI_TABANI!D25*B641))*VERI_TABANI!$B$8) + IF(ABS(IF(ISNUMBER(SEARCH("Var", D641)), 1, IF(ISNUMBER(SEARCH("Gri", D641)), -1, 0)))=1, VERI_TABANI!E25*(1-0.928)*VERI_TABANI!$B$9, 0) + (VERI_TABANI!D25*B641*(VERI_TABANI!$B$13-VERI_TABANI!$B$14)*VERI_TABANI!G25) + (VERI_TABANI!D25*C641*(VERI_TABANI!$B$13-VERI_TABANI!$B$15)*VERI_TABANI!G25) + IF(ABS(IF(ISNUMBER(SEARCH("Var", D641)), 1, IF(ISNUMBER(SEARCH("Gri", D641)), -1, 0)))=1, VERI_TABANI!E25*(1-0.928)*0.00206091519919798*VERI_TABANI!G25, 0)) + ((MIN(VERI_TABANI!D26, VERI_TABANI!D26*B641)*VERI_TABANI!$B$7 + MAX(0, VERI_TABANI!D26*B641-VERI_TABANI!D26)*VERI_TABANI!$B$8) + (MIN(MAX(0, VERI_TABANI!D26-VERI_TABANI!D26*B641), VERI_TABANI!D26*C641)*VERI_TABANI!$B$7 + MAX(0, VERI_TABANI!D26*C641-MAX(0, VERI_TABANI!D26-VERI_TABANI!D26*B641))*VERI_TABANI!$B$8) + IF(ABS(IF(ISNUMBER(SEARCH("Var", D641)), 1, IF(ISNUMBER(SEARCH("Gri", D641)), -1, 0)))=1, VERI_TABANI!E26*(1-0.928)*VERI_TABANI!$B$9, 0) + (VERI_TABANI!D26*B641*(VERI_TABANI!$B$13-VERI_TABANI!$B$14)*VERI_TABANI!G26) + (VERI_TABANI!D26*C641*(VERI_TABANI!$B$13-VERI_TABANI!$B$15)*VERI_TABANI!G26) + IF(ABS(IF(ISNUMBER(SEARCH("Var", D641)), 1, IF(ISNUMBER(SEARCH("Gri", D641)), -1, 0)))=1, VERI_TABANI!E26*(1-0.928)*0.00206091519919798*VERI_TABANI!G26, 0)) + ((MIN(VERI_TABANI!D27, VERI_TABANI!D27*B641)*VERI_TABANI!$B$7 + MAX(0, VERI_TABANI!D27*B641-VERI_TABANI!D27)*VERI_TABANI!$B$8) + (MIN(MAX(0, VERI_TABANI!D27-VERI_TABANI!D27*B641), VERI_TABANI!D27*C641)*VERI_TABANI!$B$7 + MAX(0, VERI_TABANI!D27*C641-MAX(0, VERI_TABANI!D27-VERI_TABANI!D27*B641))*VERI_TABANI!$B$8) + IF(ABS(IF(ISNUMBER(SEARCH("Var", D641)), 1, IF(ISNUMBER(SEARCH("Gri", D641)), -1, 0)))=1, VERI_TABANI!E27*(1-0.928)*VERI_TABANI!$B$9, 0) + (VERI_TABANI!D27*B641*(VERI_TABANI!$B$13-VERI_TABANI!$B$14)*VERI_TABANI!G27) + (VERI_TABANI!D27*C641*(VERI_TABANI!$B$13-VERI_TABANI!$B$15)*VERI_TABANI!G27) + IF(ABS(IF(ISNUMBER(SEARCH("Var", D641)), 1, IF(ISNUMBER(SEARCH("Gri", D641)), -1, 0)))=1, VERI_TABANI!E27*(1-0.928)*0.00206091519919798*VERI_TABANI!G27, 0)) + ((MIN(VERI_TABANI!D28, VERI_TABANI!D28*B641)*VERI_TABANI!$B$7 + MAX(0, VERI_TABANI!D28*B641-VERI_TABANI!D28)*VERI_TABANI!$B$8) + (MIN(MAX(0, VERI_TABANI!D28-VERI_TABANI!D28*B641), VERI_TABANI!D28*C641)*VERI_TABANI!$B$7 + MAX(0, VERI_TABANI!D28*C641-MAX(0, VERI_TABANI!D28-VERI_TABANI!D28*B641))*VERI_TABANI!$B$8) + IF(ABS(IF(ISNUMBER(SEARCH("Var", D641)), 1, IF(ISNUMBER(SEARCH("Gri", D641)), -1, 0)))=1, VERI_TABANI!E28*(1-0.928)*VERI_TABANI!$B$9, 0) + (VERI_TABANI!D28*B641*(VERI_TABANI!$B$13-VERI_TABANI!$B$14)*VERI_TABANI!G28) + (VERI_TABANI!D28*C641*(VERI_TABANI!$B$13-VERI_TABANI!$B$15)*VERI_TABANI!G28) + IF(ABS(IF(ISNUMBER(SEARCH("Var", D641)), 1, IF(ISNUMBER(SEARCH("Gri", D641)), -1, 0)))=1, VERI_TABANI!E28*(1-0.928)*0.00206091519919798*VERI_TABANI!G28, 0)))</f>
        <v/>
      </c>
      <c r="H641" s="169">
        <f>(((VERI_TABANI!D23*B641*(VERI_TABANI!$B$13-VERI_TABANI!$B$14)) + (VERI_TABANI!D23*C641*(VERI_TABANI!$B$13-VERI_TABANI!$B$15)) + IF(ISNUMBER(SEARCH("Var", D641)), VERI_TABANI!F23*(0.00202-VERI_TABANI!$B$16), IF(ISNUMBER(SEARCH("Gri", D641)), VERI_TABANI!F23*(0.00202-VERI_TABANI!$B$17), 0))) + ((VERI_TABANI!D24*B641*(VERI_TABANI!$B$13-VERI_TABANI!$B$14)) + (VERI_TABANI!D24*C641*(VERI_TABANI!$B$13-VERI_TABANI!$B$15)) + IF(ISNUMBER(SEARCH("Var", D641)), VERI_TABANI!F24*(0.00202-VERI_TABANI!$B$16), IF(ISNUMBER(SEARCH("Gri", D641)), VERI_TABANI!F24*(0.00202-VERI_TABANI!$B$17), 0))) + ((VERI_TABANI!D25*B641*(VERI_TABANI!$B$13-VERI_TABANI!$B$14)) + (VERI_TABANI!D25*C641*(VERI_TABANI!$B$13-VERI_TABANI!$B$15)) + IF(ISNUMBER(SEARCH("Var", D641)), VERI_TABANI!F25*(0.00202-VERI_TABANI!$B$16), IF(ISNUMBER(SEARCH("Gri", D641)), VERI_TABANI!F25*(0.00202-VERI_TABANI!$B$17), 0))) + ((VERI_TABANI!D26*B641*(VERI_TABANI!$B$13-VERI_TABANI!$B$14)) + (VERI_TABANI!D26*C641*(VERI_TABANI!$B$13-VERI_TABANI!$B$15)) + IF(ISNUMBER(SEARCH("Var", D641)), VERI_TABANI!F26*(0.00202-VERI_TABANI!$B$16), IF(ISNUMBER(SEARCH("Gri", D641)), VERI_TABANI!F26*(0.00202-VERI_TABANI!$B$17), 0))) + ((VERI_TABANI!D27*B641*(VERI_TABANI!$B$13-VERI_TABANI!$B$14)) + (VERI_TABANI!D27*C641*(VERI_TABANI!$B$13-VERI_TABANI!$B$15)) + IF(ISNUMBER(SEARCH("Var", D641)), VERI_TABANI!F27*(0.00202-VERI_TABANI!$B$16), IF(ISNUMBER(SEARCH("Gri", D641)), VERI_TABANI!F27*(0.00202-VERI_TABANI!$B$17), 0))) + ((VERI_TABANI!D28*B641*(VERI_TABANI!$B$13-VERI_TABANI!$B$14)) + (VERI_TABANI!D28*C641*(VERI_TABANI!$B$13-VERI_TABANI!$B$15)) + IF(ISNUMBER(SEARCH("Var", D641)), VERI_TABANI!F28*(0.00202-VERI_TABANI!$B$16), IF(ISNUMBER(SEARCH("Gri", D641)), VERI_TABANI!F28*(0.00202-VERI_TABANI!$B$17), 0))))</f>
        <v/>
      </c>
      <c r="I641" s="170">
        <f>IFERROR(((VERI_TABANI!$D$29*B641*VERI_TABANI!$B$14 + VERI_TABANI!$D$29*C641*VERI_TABANI!$B$15 + IF(ISNUMBER(SEARCH("Var", D641)), VERI_TABANI!$F$29*VERI_TABANI!$B$16, 0))) / (((VERI_TABANI!$D$29*B641 + VERI_TABANI!$D$29*C641)*VERI_TABANI!$B$13 + IF(ISNUMBER(SEARCH("Var", D641)), VERI_TABANI!$E$29*(1-0.928)*VERI_TABANI!$B$18, 0))), 0)</f>
        <v/>
      </c>
      <c r="J641" s="171">
        <f>IFERROR(F641/(G641/29), 0)</f>
        <v/>
      </c>
      <c r="K641" s="172">
        <f>IF(F641&gt;0, H641/F641, 0)</f>
        <v/>
      </c>
      <c r="L641" s="170">
        <f>IF(F641&gt;0, I641, 1000000000)</f>
        <v/>
      </c>
      <c r="M641" s="171">
        <f>ABS((B641+C641)-1)</f>
        <v/>
      </c>
      <c r="N641" s="170">
        <f>IF(F641&gt;0, (G641/29)/F641, 0)</f>
        <v/>
      </c>
      <c r="O641" s="168">
        <f>IF(AND((B641+C641)&gt;=1, ISNUMBER(SEARCH("Var", D641))), F641, 1000000000)</f>
        <v/>
      </c>
      <c r="P641" s="172">
        <f>IF(F641&gt;0, SQRT((F641/MAX(F$5:F$886))^2 + (1 - H641/MAX(H$5:H$886))^2 + (J641/MAX(J$5:J$886))^2), 1000000000)</f>
        <v/>
      </c>
      <c r="Q641" s="166">
        <f>IF(AND(ABS(B641-0.5)&lt;0.01, ABS(C641-0.5)&lt;0.01, ISNUMBER(SEARCH("Var", D641))), 1, 0)</f>
        <v/>
      </c>
      <c r="R641" s="171">
        <f>IF(F641&gt;0, J641, 1000000000)</f>
        <v/>
      </c>
      <c r="S641" s="101">
        <f>IF(AND(F641&lt;=DASHBOARD!$B$11, H641&gt;=DASHBOARD!$B$13), G641, -1000000000000)</f>
        <v/>
      </c>
      <c r="T641" s="101">
        <f>IF(AND(F641&lt;=DASHBOARD!$B$11, H641&gt;=DASHBOARD!$B$13), R641, 1000000000000)</f>
        <v/>
      </c>
      <c r="U641" s="101">
        <f>IF(AND(F641&lt;=DASHBOARD!$B$11, H641&gt;=DASHBOARD!$B$13), N641, -1000000000000)</f>
        <v/>
      </c>
      <c r="V641" s="101">
        <f>IF(AND(F641&lt;=DASHBOARD!$B$11, H641&gt;=DASHBOARD!$B$13), H641, -1000000000000)</f>
        <v/>
      </c>
      <c r="W641" s="101">
        <f>IF(AND(F641&lt;=DASHBOARD!$B$11, H641&gt;=DASHBOARD!$B$13), K641, -1000000000000)</f>
        <v/>
      </c>
      <c r="X641" s="101">
        <f>IF(AND(F641&lt;=DASHBOARD!$B$11, H641&gt;=DASHBOARD!$B$13), M641, 1000000000000)</f>
        <v/>
      </c>
      <c r="Y641" s="101">
        <f>IF(AND(F641&lt;=DASHBOARD!$B$10, H641&gt;=DASHBOARD!$B$11), L641, 1000000000000)</f>
        <v/>
      </c>
      <c r="Z641" s="101">
        <f>IF(AND(F641&lt;=DASHBOARD!$B$10, H641&gt;=DASHBOARD!$B$11), O641, 1000000000000)</f>
        <v/>
      </c>
      <c r="AA641" s="101">
        <f>IF(AND(F641&lt;=DASHBOARD!$B$10, H641&gt;=DASHBOARD!$B$11), P641, 1000000000000)</f>
        <v/>
      </c>
      <c r="AB641" s="101">
        <f>IF(AND(F641&lt;=DASHBOARD!$B$10, H641&gt;=DASHBOARD!$B$11), Q641, -1000000000000)</f>
        <v/>
      </c>
    </row>
    <row r="642" ht="15" customHeight="1" s="102">
      <c r="A642" s="166" t="n">
        <v>638</v>
      </c>
      <c r="B642" s="167" t="n">
        <v>1.5</v>
      </c>
      <c r="C642" s="167" t="n">
        <v>0.3</v>
      </c>
      <c r="D642" s="110" t="inlineStr">
        <is>
          <t>Var (%20)</t>
        </is>
      </c>
      <c r="E642" s="110">
        <f>IF((B642+C642)&lt;=1, "Tam Mahsuplaşma (≤%100)", "Kısmi Satış (&gt;%100)")</f>
        <v/>
      </c>
      <c r="F642" s="168">
        <f>((VERI_TABANI!$D$29*B642/VERI_TABANI!$B$29)/VERI_TABANI!$B$3)*VERI_TABANI!$B$5 + ((VERI_TABANI!$D$29*C642/VERI_TABANI!$B$29)/VERI_TABANI!$B$4)*VERI_TABANI!$B$6 + IF(ISNUMBER(SEARCH("Var", D642)), (VERI_TABANI!$F$29/VERI_TABANI!$B$29)*(VERI_TABANI!$B$10+VERI_TABANI!$B$12), 0)</f>
        <v/>
      </c>
      <c r="G642" s="168">
        <f>(((MIN(VERI_TABANI!D23, VERI_TABANI!D23*B642)*VERI_TABANI!$B$7 + MAX(0, VERI_TABANI!D23*B642-VERI_TABANI!D23)*VERI_TABANI!$B$8) + (MIN(MAX(0, VERI_TABANI!D23-VERI_TABANI!D23*B642), VERI_TABANI!D23*C642)*VERI_TABANI!$B$7 + MAX(0, VERI_TABANI!D23*C642-MAX(0, VERI_TABANI!D23-VERI_TABANI!D23*B642))*VERI_TABANI!$B$8) + IF(ABS(IF(ISNUMBER(SEARCH("Var", D642)), 1, IF(ISNUMBER(SEARCH("Gri", D642)), -1, 0)))=1, VERI_TABANI!E23*(1-0.928)*VERI_TABANI!$B$9, 0) + (VERI_TABANI!D23*B642*(VERI_TABANI!$B$13-VERI_TABANI!$B$14)*VERI_TABANI!G23) + (VERI_TABANI!D23*C642*(VERI_TABANI!$B$13-VERI_TABANI!$B$15)*VERI_TABANI!G23) + IF(ABS(IF(ISNUMBER(SEARCH("Var", D642)), 1, IF(ISNUMBER(SEARCH("Gri", D642)), -1, 0)))=1, VERI_TABANI!E23*(1-0.928)*0.00206091519919798*VERI_TABANI!G23, 0)) + ((MIN(VERI_TABANI!D24, VERI_TABANI!D24*B642)*VERI_TABANI!$B$7 + MAX(0, VERI_TABANI!D24*B642-VERI_TABANI!D24)*VERI_TABANI!$B$8) + (MIN(MAX(0, VERI_TABANI!D24-VERI_TABANI!D24*B642), VERI_TABANI!D24*C642)*VERI_TABANI!$B$7 + MAX(0, VERI_TABANI!D24*C642-MAX(0, VERI_TABANI!D24-VERI_TABANI!D24*B642))*VERI_TABANI!$B$8) + IF(ABS(IF(ISNUMBER(SEARCH("Var", D642)), 1, IF(ISNUMBER(SEARCH("Gri", D642)), -1, 0)))=1, VERI_TABANI!E24*(1-0.928)*VERI_TABANI!$B$9, 0) + (VERI_TABANI!D24*B642*(VERI_TABANI!$B$13-VERI_TABANI!$B$14)*VERI_TABANI!G24) + (VERI_TABANI!D24*C642*(VERI_TABANI!$B$13-VERI_TABANI!$B$15)*VERI_TABANI!G24) + IF(ABS(IF(ISNUMBER(SEARCH("Var", D642)), 1, IF(ISNUMBER(SEARCH("Gri", D642)), -1, 0)))=1, VERI_TABANI!E24*(1-0.928)*0.00206091519919798*VERI_TABANI!G24, 0)) + ((MIN(VERI_TABANI!D25, VERI_TABANI!D25*B642)*VERI_TABANI!$B$7 + MAX(0, VERI_TABANI!D25*B642-VERI_TABANI!D25)*VERI_TABANI!$B$8) + (MIN(MAX(0, VERI_TABANI!D25-VERI_TABANI!D25*B642), VERI_TABANI!D25*C642)*VERI_TABANI!$B$7 + MAX(0, VERI_TABANI!D25*C642-MAX(0, VERI_TABANI!D25-VERI_TABANI!D25*B642))*VERI_TABANI!$B$8) + IF(ABS(IF(ISNUMBER(SEARCH("Var", D642)), 1, IF(ISNUMBER(SEARCH("Gri", D642)), -1, 0)))=1, VERI_TABANI!E25*(1-0.928)*VERI_TABANI!$B$9, 0) + (VERI_TABANI!D25*B642*(VERI_TABANI!$B$13-VERI_TABANI!$B$14)*VERI_TABANI!G25) + (VERI_TABANI!D25*C642*(VERI_TABANI!$B$13-VERI_TABANI!$B$15)*VERI_TABANI!G25) + IF(ABS(IF(ISNUMBER(SEARCH("Var", D642)), 1, IF(ISNUMBER(SEARCH("Gri", D642)), -1, 0)))=1, VERI_TABANI!E25*(1-0.928)*0.00206091519919798*VERI_TABANI!G25, 0)) + ((MIN(VERI_TABANI!D26, VERI_TABANI!D26*B642)*VERI_TABANI!$B$7 + MAX(0, VERI_TABANI!D26*B642-VERI_TABANI!D26)*VERI_TABANI!$B$8) + (MIN(MAX(0, VERI_TABANI!D26-VERI_TABANI!D26*B642), VERI_TABANI!D26*C642)*VERI_TABANI!$B$7 + MAX(0, VERI_TABANI!D26*C642-MAX(0, VERI_TABANI!D26-VERI_TABANI!D26*B642))*VERI_TABANI!$B$8) + IF(ABS(IF(ISNUMBER(SEARCH("Var", D642)), 1, IF(ISNUMBER(SEARCH("Gri", D642)), -1, 0)))=1, VERI_TABANI!E26*(1-0.928)*VERI_TABANI!$B$9, 0) + (VERI_TABANI!D26*B642*(VERI_TABANI!$B$13-VERI_TABANI!$B$14)*VERI_TABANI!G26) + (VERI_TABANI!D26*C642*(VERI_TABANI!$B$13-VERI_TABANI!$B$15)*VERI_TABANI!G26) + IF(ABS(IF(ISNUMBER(SEARCH("Var", D642)), 1, IF(ISNUMBER(SEARCH("Gri", D642)), -1, 0)))=1, VERI_TABANI!E26*(1-0.928)*0.00206091519919798*VERI_TABANI!G26, 0)) + ((MIN(VERI_TABANI!D27, VERI_TABANI!D27*B642)*VERI_TABANI!$B$7 + MAX(0, VERI_TABANI!D27*B642-VERI_TABANI!D27)*VERI_TABANI!$B$8) + (MIN(MAX(0, VERI_TABANI!D27-VERI_TABANI!D27*B642), VERI_TABANI!D27*C642)*VERI_TABANI!$B$7 + MAX(0, VERI_TABANI!D27*C642-MAX(0, VERI_TABANI!D27-VERI_TABANI!D27*B642))*VERI_TABANI!$B$8) + IF(ABS(IF(ISNUMBER(SEARCH("Var", D642)), 1, IF(ISNUMBER(SEARCH("Gri", D642)), -1, 0)))=1, VERI_TABANI!E27*(1-0.928)*VERI_TABANI!$B$9, 0) + (VERI_TABANI!D27*B642*(VERI_TABANI!$B$13-VERI_TABANI!$B$14)*VERI_TABANI!G27) + (VERI_TABANI!D27*C642*(VERI_TABANI!$B$13-VERI_TABANI!$B$15)*VERI_TABANI!G27) + IF(ABS(IF(ISNUMBER(SEARCH("Var", D642)), 1, IF(ISNUMBER(SEARCH("Gri", D642)), -1, 0)))=1, VERI_TABANI!E27*(1-0.928)*0.00206091519919798*VERI_TABANI!G27, 0)) + ((MIN(VERI_TABANI!D28, VERI_TABANI!D28*B642)*VERI_TABANI!$B$7 + MAX(0, VERI_TABANI!D28*B642-VERI_TABANI!D28)*VERI_TABANI!$B$8) + (MIN(MAX(0, VERI_TABANI!D28-VERI_TABANI!D28*B642), VERI_TABANI!D28*C642)*VERI_TABANI!$B$7 + MAX(0, VERI_TABANI!D28*C642-MAX(0, VERI_TABANI!D28-VERI_TABANI!D28*B642))*VERI_TABANI!$B$8) + IF(ABS(IF(ISNUMBER(SEARCH("Var", D642)), 1, IF(ISNUMBER(SEARCH("Gri", D642)), -1, 0)))=1, VERI_TABANI!E28*(1-0.928)*VERI_TABANI!$B$9, 0) + (VERI_TABANI!D28*B642*(VERI_TABANI!$B$13-VERI_TABANI!$B$14)*VERI_TABANI!G28) + (VERI_TABANI!D28*C642*(VERI_TABANI!$B$13-VERI_TABANI!$B$15)*VERI_TABANI!G28) + IF(ABS(IF(ISNUMBER(SEARCH("Var", D642)), 1, IF(ISNUMBER(SEARCH("Gri", D642)), -1, 0)))=1, VERI_TABANI!E28*(1-0.928)*0.00206091519919798*VERI_TABANI!G28, 0)))</f>
        <v/>
      </c>
      <c r="H642" s="169">
        <f>(((VERI_TABANI!D23*B642*(VERI_TABANI!$B$13-VERI_TABANI!$B$14)) + (VERI_TABANI!D23*C642*(VERI_TABANI!$B$13-VERI_TABANI!$B$15)) + IF(ISNUMBER(SEARCH("Var", D642)), VERI_TABANI!F23*(0.00202-VERI_TABANI!$B$16), IF(ISNUMBER(SEARCH("Gri", D642)), VERI_TABANI!F23*(0.00202-VERI_TABANI!$B$17), 0))) + ((VERI_TABANI!D24*B642*(VERI_TABANI!$B$13-VERI_TABANI!$B$14)) + (VERI_TABANI!D24*C642*(VERI_TABANI!$B$13-VERI_TABANI!$B$15)) + IF(ISNUMBER(SEARCH("Var", D642)), VERI_TABANI!F24*(0.00202-VERI_TABANI!$B$16), IF(ISNUMBER(SEARCH("Gri", D642)), VERI_TABANI!F24*(0.00202-VERI_TABANI!$B$17), 0))) + ((VERI_TABANI!D25*B642*(VERI_TABANI!$B$13-VERI_TABANI!$B$14)) + (VERI_TABANI!D25*C642*(VERI_TABANI!$B$13-VERI_TABANI!$B$15)) + IF(ISNUMBER(SEARCH("Var", D642)), VERI_TABANI!F25*(0.00202-VERI_TABANI!$B$16), IF(ISNUMBER(SEARCH("Gri", D642)), VERI_TABANI!F25*(0.00202-VERI_TABANI!$B$17), 0))) + ((VERI_TABANI!D26*B642*(VERI_TABANI!$B$13-VERI_TABANI!$B$14)) + (VERI_TABANI!D26*C642*(VERI_TABANI!$B$13-VERI_TABANI!$B$15)) + IF(ISNUMBER(SEARCH("Var", D642)), VERI_TABANI!F26*(0.00202-VERI_TABANI!$B$16), IF(ISNUMBER(SEARCH("Gri", D642)), VERI_TABANI!F26*(0.00202-VERI_TABANI!$B$17), 0))) + ((VERI_TABANI!D27*B642*(VERI_TABANI!$B$13-VERI_TABANI!$B$14)) + (VERI_TABANI!D27*C642*(VERI_TABANI!$B$13-VERI_TABANI!$B$15)) + IF(ISNUMBER(SEARCH("Var", D642)), VERI_TABANI!F27*(0.00202-VERI_TABANI!$B$16), IF(ISNUMBER(SEARCH("Gri", D642)), VERI_TABANI!F27*(0.00202-VERI_TABANI!$B$17), 0))) + ((VERI_TABANI!D28*B642*(VERI_TABANI!$B$13-VERI_TABANI!$B$14)) + (VERI_TABANI!D28*C642*(VERI_TABANI!$B$13-VERI_TABANI!$B$15)) + IF(ISNUMBER(SEARCH("Var", D642)), VERI_TABANI!F28*(0.00202-VERI_TABANI!$B$16), IF(ISNUMBER(SEARCH("Gri", D642)), VERI_TABANI!F28*(0.00202-VERI_TABANI!$B$17), 0))))</f>
        <v/>
      </c>
      <c r="I642" s="170">
        <f>IFERROR(((VERI_TABANI!$D$29*B642*VERI_TABANI!$B$14 + VERI_TABANI!$D$29*C642*VERI_TABANI!$B$15 + IF(ISNUMBER(SEARCH("Var", D642)), VERI_TABANI!$F$29*VERI_TABANI!$B$16, 0))) / (((VERI_TABANI!$D$29*B642 + VERI_TABANI!$D$29*C642)*VERI_TABANI!$B$13 + IF(ISNUMBER(SEARCH("Var", D642)), VERI_TABANI!$E$29*(1-0.928)*VERI_TABANI!$B$18, 0))), 0)</f>
        <v/>
      </c>
      <c r="J642" s="171">
        <f>IFERROR(F642/(G642/29), 0)</f>
        <v/>
      </c>
      <c r="K642" s="172">
        <f>IF(F642&gt;0, H642/F642, 0)</f>
        <v/>
      </c>
      <c r="L642" s="170">
        <f>IF(F642&gt;0, I642, 1000000000)</f>
        <v/>
      </c>
      <c r="M642" s="171">
        <f>ABS((B642+C642)-1)</f>
        <v/>
      </c>
      <c r="N642" s="170">
        <f>IF(F642&gt;0, (G642/29)/F642, 0)</f>
        <v/>
      </c>
      <c r="O642" s="168">
        <f>IF(AND((B642+C642)&gt;=1, ISNUMBER(SEARCH("Var", D642))), F642, 1000000000)</f>
        <v/>
      </c>
      <c r="P642" s="172">
        <f>IF(F642&gt;0, SQRT((F642/MAX(F$5:F$886))^2 + (1 - H642/MAX(H$5:H$886))^2 + (J642/MAX(J$5:J$886))^2), 1000000000)</f>
        <v/>
      </c>
      <c r="Q642" s="166">
        <f>IF(AND(ABS(B642-0.5)&lt;0.01, ABS(C642-0.5)&lt;0.01, ISNUMBER(SEARCH("Var", D642))), 1, 0)</f>
        <v/>
      </c>
      <c r="R642" s="171">
        <f>IF(F642&gt;0, J642, 1000000000)</f>
        <v/>
      </c>
      <c r="S642" s="101">
        <f>IF(AND(F642&lt;=DASHBOARD!$B$11, H642&gt;=DASHBOARD!$B$13), G642, -1000000000000)</f>
        <v/>
      </c>
      <c r="T642" s="101">
        <f>IF(AND(F642&lt;=DASHBOARD!$B$11, H642&gt;=DASHBOARD!$B$13), R642, 1000000000000)</f>
        <v/>
      </c>
      <c r="U642" s="101">
        <f>IF(AND(F642&lt;=DASHBOARD!$B$11, H642&gt;=DASHBOARD!$B$13), N642, -1000000000000)</f>
        <v/>
      </c>
      <c r="V642" s="101">
        <f>IF(AND(F642&lt;=DASHBOARD!$B$11, H642&gt;=DASHBOARD!$B$13), H642, -1000000000000)</f>
        <v/>
      </c>
      <c r="W642" s="101">
        <f>IF(AND(F642&lt;=DASHBOARD!$B$11, H642&gt;=DASHBOARD!$B$13), K642, -1000000000000)</f>
        <v/>
      </c>
      <c r="X642" s="101">
        <f>IF(AND(F642&lt;=DASHBOARD!$B$11, H642&gt;=DASHBOARD!$B$13), M642, 1000000000000)</f>
        <v/>
      </c>
      <c r="Y642" s="101">
        <f>IF(AND(F642&lt;=DASHBOARD!$B$10, H642&gt;=DASHBOARD!$B$11), L642, 1000000000000)</f>
        <v/>
      </c>
      <c r="Z642" s="101">
        <f>IF(AND(F642&lt;=DASHBOARD!$B$10, H642&gt;=DASHBOARD!$B$11), O642, 1000000000000)</f>
        <v/>
      </c>
      <c r="AA642" s="101">
        <f>IF(AND(F642&lt;=DASHBOARD!$B$10, H642&gt;=DASHBOARD!$B$11), P642, 1000000000000)</f>
        <v/>
      </c>
      <c r="AB642" s="101">
        <f>IF(AND(F642&lt;=DASHBOARD!$B$10, H642&gt;=DASHBOARD!$B$11), Q642, -1000000000000)</f>
        <v/>
      </c>
    </row>
    <row r="643" ht="15" customHeight="1" s="102">
      <c r="A643" s="166" t="n">
        <v>639</v>
      </c>
      <c r="B643" s="167" t="n">
        <v>1.5</v>
      </c>
      <c r="C643" s="167" t="n">
        <v>0.4</v>
      </c>
      <c r="D643" s="110" t="inlineStr">
        <is>
          <t>Yok (%0)</t>
        </is>
      </c>
      <c r="E643" s="110">
        <f>IF((B643+C643)&lt;=1, "Tam Mahsuplaşma (≤%100)", "Kısmi Satış (&gt;%100)")</f>
        <v/>
      </c>
      <c r="F643" s="168">
        <f>((VERI_TABANI!$D$29*B643/VERI_TABANI!$B$29)/VERI_TABANI!$B$3)*VERI_TABANI!$B$5 + ((VERI_TABANI!$D$29*C643/VERI_TABANI!$B$29)/VERI_TABANI!$B$4)*VERI_TABANI!$B$6 + IF(ISNUMBER(SEARCH("Var", D643)), (VERI_TABANI!$F$29/VERI_TABANI!$B$29)*(VERI_TABANI!$B$10+VERI_TABANI!$B$12), 0)</f>
        <v/>
      </c>
      <c r="G643" s="168">
        <f>(((MIN(VERI_TABANI!D23, VERI_TABANI!D23*B643)*VERI_TABANI!$B$7 + MAX(0, VERI_TABANI!D23*B643-VERI_TABANI!D23)*VERI_TABANI!$B$8) + (MIN(MAX(0, VERI_TABANI!D23-VERI_TABANI!D23*B643), VERI_TABANI!D23*C643)*VERI_TABANI!$B$7 + MAX(0, VERI_TABANI!D23*C643-MAX(0, VERI_TABANI!D23-VERI_TABANI!D23*B643))*VERI_TABANI!$B$8) + IF(ABS(IF(ISNUMBER(SEARCH("Var", D643)), 1, IF(ISNUMBER(SEARCH("Gri", D643)), -1, 0)))=1, VERI_TABANI!E23*(1-0.928)*VERI_TABANI!$B$9, 0) + (VERI_TABANI!D23*B643*(VERI_TABANI!$B$13-VERI_TABANI!$B$14)*VERI_TABANI!G23) + (VERI_TABANI!D23*C643*(VERI_TABANI!$B$13-VERI_TABANI!$B$15)*VERI_TABANI!G23) + IF(ABS(IF(ISNUMBER(SEARCH("Var", D643)), 1, IF(ISNUMBER(SEARCH("Gri", D643)), -1, 0)))=1, VERI_TABANI!E23*(1-0.928)*0.00206091519919798*VERI_TABANI!G23, 0)) + ((MIN(VERI_TABANI!D24, VERI_TABANI!D24*B643)*VERI_TABANI!$B$7 + MAX(0, VERI_TABANI!D24*B643-VERI_TABANI!D24)*VERI_TABANI!$B$8) + (MIN(MAX(0, VERI_TABANI!D24-VERI_TABANI!D24*B643), VERI_TABANI!D24*C643)*VERI_TABANI!$B$7 + MAX(0, VERI_TABANI!D24*C643-MAX(0, VERI_TABANI!D24-VERI_TABANI!D24*B643))*VERI_TABANI!$B$8) + IF(ABS(IF(ISNUMBER(SEARCH("Var", D643)), 1, IF(ISNUMBER(SEARCH("Gri", D643)), -1, 0)))=1, VERI_TABANI!E24*(1-0.928)*VERI_TABANI!$B$9, 0) + (VERI_TABANI!D24*B643*(VERI_TABANI!$B$13-VERI_TABANI!$B$14)*VERI_TABANI!G24) + (VERI_TABANI!D24*C643*(VERI_TABANI!$B$13-VERI_TABANI!$B$15)*VERI_TABANI!G24) + IF(ABS(IF(ISNUMBER(SEARCH("Var", D643)), 1, IF(ISNUMBER(SEARCH("Gri", D643)), -1, 0)))=1, VERI_TABANI!E24*(1-0.928)*0.00206091519919798*VERI_TABANI!G24, 0)) + ((MIN(VERI_TABANI!D25, VERI_TABANI!D25*B643)*VERI_TABANI!$B$7 + MAX(0, VERI_TABANI!D25*B643-VERI_TABANI!D25)*VERI_TABANI!$B$8) + (MIN(MAX(0, VERI_TABANI!D25-VERI_TABANI!D25*B643), VERI_TABANI!D25*C643)*VERI_TABANI!$B$7 + MAX(0, VERI_TABANI!D25*C643-MAX(0, VERI_TABANI!D25-VERI_TABANI!D25*B643))*VERI_TABANI!$B$8) + IF(ABS(IF(ISNUMBER(SEARCH("Var", D643)), 1, IF(ISNUMBER(SEARCH("Gri", D643)), -1, 0)))=1, VERI_TABANI!E25*(1-0.928)*VERI_TABANI!$B$9, 0) + (VERI_TABANI!D25*B643*(VERI_TABANI!$B$13-VERI_TABANI!$B$14)*VERI_TABANI!G25) + (VERI_TABANI!D25*C643*(VERI_TABANI!$B$13-VERI_TABANI!$B$15)*VERI_TABANI!G25) + IF(ABS(IF(ISNUMBER(SEARCH("Var", D643)), 1, IF(ISNUMBER(SEARCH("Gri", D643)), -1, 0)))=1, VERI_TABANI!E25*(1-0.928)*0.00206091519919798*VERI_TABANI!G25, 0)) + ((MIN(VERI_TABANI!D26, VERI_TABANI!D26*B643)*VERI_TABANI!$B$7 + MAX(0, VERI_TABANI!D26*B643-VERI_TABANI!D26)*VERI_TABANI!$B$8) + (MIN(MAX(0, VERI_TABANI!D26-VERI_TABANI!D26*B643), VERI_TABANI!D26*C643)*VERI_TABANI!$B$7 + MAX(0, VERI_TABANI!D26*C643-MAX(0, VERI_TABANI!D26-VERI_TABANI!D26*B643))*VERI_TABANI!$B$8) + IF(ABS(IF(ISNUMBER(SEARCH("Var", D643)), 1, IF(ISNUMBER(SEARCH("Gri", D643)), -1, 0)))=1, VERI_TABANI!E26*(1-0.928)*VERI_TABANI!$B$9, 0) + (VERI_TABANI!D26*B643*(VERI_TABANI!$B$13-VERI_TABANI!$B$14)*VERI_TABANI!G26) + (VERI_TABANI!D26*C643*(VERI_TABANI!$B$13-VERI_TABANI!$B$15)*VERI_TABANI!G26) + IF(ABS(IF(ISNUMBER(SEARCH("Var", D643)), 1, IF(ISNUMBER(SEARCH("Gri", D643)), -1, 0)))=1, VERI_TABANI!E26*(1-0.928)*0.00206091519919798*VERI_TABANI!G26, 0)) + ((MIN(VERI_TABANI!D27, VERI_TABANI!D27*B643)*VERI_TABANI!$B$7 + MAX(0, VERI_TABANI!D27*B643-VERI_TABANI!D27)*VERI_TABANI!$B$8) + (MIN(MAX(0, VERI_TABANI!D27-VERI_TABANI!D27*B643), VERI_TABANI!D27*C643)*VERI_TABANI!$B$7 + MAX(0, VERI_TABANI!D27*C643-MAX(0, VERI_TABANI!D27-VERI_TABANI!D27*B643))*VERI_TABANI!$B$8) + IF(ABS(IF(ISNUMBER(SEARCH("Var", D643)), 1, IF(ISNUMBER(SEARCH("Gri", D643)), -1, 0)))=1, VERI_TABANI!E27*(1-0.928)*VERI_TABANI!$B$9, 0) + (VERI_TABANI!D27*B643*(VERI_TABANI!$B$13-VERI_TABANI!$B$14)*VERI_TABANI!G27) + (VERI_TABANI!D27*C643*(VERI_TABANI!$B$13-VERI_TABANI!$B$15)*VERI_TABANI!G27) + IF(ABS(IF(ISNUMBER(SEARCH("Var", D643)), 1, IF(ISNUMBER(SEARCH("Gri", D643)), -1, 0)))=1, VERI_TABANI!E27*(1-0.928)*0.00206091519919798*VERI_TABANI!G27, 0)) + ((MIN(VERI_TABANI!D28, VERI_TABANI!D28*B643)*VERI_TABANI!$B$7 + MAX(0, VERI_TABANI!D28*B643-VERI_TABANI!D28)*VERI_TABANI!$B$8) + (MIN(MAX(0, VERI_TABANI!D28-VERI_TABANI!D28*B643), VERI_TABANI!D28*C643)*VERI_TABANI!$B$7 + MAX(0, VERI_TABANI!D28*C643-MAX(0, VERI_TABANI!D28-VERI_TABANI!D28*B643))*VERI_TABANI!$B$8) + IF(ABS(IF(ISNUMBER(SEARCH("Var", D643)), 1, IF(ISNUMBER(SEARCH("Gri", D643)), -1, 0)))=1, VERI_TABANI!E28*(1-0.928)*VERI_TABANI!$B$9, 0) + (VERI_TABANI!D28*B643*(VERI_TABANI!$B$13-VERI_TABANI!$B$14)*VERI_TABANI!G28) + (VERI_TABANI!D28*C643*(VERI_TABANI!$B$13-VERI_TABANI!$B$15)*VERI_TABANI!G28) + IF(ABS(IF(ISNUMBER(SEARCH("Var", D643)), 1, IF(ISNUMBER(SEARCH("Gri", D643)), -1, 0)))=1, VERI_TABANI!E28*(1-0.928)*0.00206091519919798*VERI_TABANI!G28, 0)))</f>
        <v/>
      </c>
      <c r="H643" s="169">
        <f>(((VERI_TABANI!D23*B643*(VERI_TABANI!$B$13-VERI_TABANI!$B$14)) + (VERI_TABANI!D23*C643*(VERI_TABANI!$B$13-VERI_TABANI!$B$15)) + IF(ISNUMBER(SEARCH("Var", D643)), VERI_TABANI!F23*(0.00202-VERI_TABANI!$B$16), IF(ISNUMBER(SEARCH("Gri", D643)), VERI_TABANI!F23*(0.00202-VERI_TABANI!$B$17), 0))) + ((VERI_TABANI!D24*B643*(VERI_TABANI!$B$13-VERI_TABANI!$B$14)) + (VERI_TABANI!D24*C643*(VERI_TABANI!$B$13-VERI_TABANI!$B$15)) + IF(ISNUMBER(SEARCH("Var", D643)), VERI_TABANI!F24*(0.00202-VERI_TABANI!$B$16), IF(ISNUMBER(SEARCH("Gri", D643)), VERI_TABANI!F24*(0.00202-VERI_TABANI!$B$17), 0))) + ((VERI_TABANI!D25*B643*(VERI_TABANI!$B$13-VERI_TABANI!$B$14)) + (VERI_TABANI!D25*C643*(VERI_TABANI!$B$13-VERI_TABANI!$B$15)) + IF(ISNUMBER(SEARCH("Var", D643)), VERI_TABANI!F25*(0.00202-VERI_TABANI!$B$16), IF(ISNUMBER(SEARCH("Gri", D643)), VERI_TABANI!F25*(0.00202-VERI_TABANI!$B$17), 0))) + ((VERI_TABANI!D26*B643*(VERI_TABANI!$B$13-VERI_TABANI!$B$14)) + (VERI_TABANI!D26*C643*(VERI_TABANI!$B$13-VERI_TABANI!$B$15)) + IF(ISNUMBER(SEARCH("Var", D643)), VERI_TABANI!F26*(0.00202-VERI_TABANI!$B$16), IF(ISNUMBER(SEARCH("Gri", D643)), VERI_TABANI!F26*(0.00202-VERI_TABANI!$B$17), 0))) + ((VERI_TABANI!D27*B643*(VERI_TABANI!$B$13-VERI_TABANI!$B$14)) + (VERI_TABANI!D27*C643*(VERI_TABANI!$B$13-VERI_TABANI!$B$15)) + IF(ISNUMBER(SEARCH("Var", D643)), VERI_TABANI!F27*(0.00202-VERI_TABANI!$B$16), IF(ISNUMBER(SEARCH("Gri", D643)), VERI_TABANI!F27*(0.00202-VERI_TABANI!$B$17), 0))) + ((VERI_TABANI!D28*B643*(VERI_TABANI!$B$13-VERI_TABANI!$B$14)) + (VERI_TABANI!D28*C643*(VERI_TABANI!$B$13-VERI_TABANI!$B$15)) + IF(ISNUMBER(SEARCH("Var", D643)), VERI_TABANI!F28*(0.00202-VERI_TABANI!$B$16), IF(ISNUMBER(SEARCH("Gri", D643)), VERI_TABANI!F28*(0.00202-VERI_TABANI!$B$17), 0))))</f>
        <v/>
      </c>
      <c r="I643" s="170">
        <f>IFERROR(((VERI_TABANI!$D$29*B643*VERI_TABANI!$B$14 + VERI_TABANI!$D$29*C643*VERI_TABANI!$B$15 + IF(ISNUMBER(SEARCH("Var", D643)), VERI_TABANI!$F$29*VERI_TABANI!$B$16, 0))) / (((VERI_TABANI!$D$29*B643 + VERI_TABANI!$D$29*C643)*VERI_TABANI!$B$13 + IF(ISNUMBER(SEARCH("Var", D643)), VERI_TABANI!$E$29*(1-0.928)*VERI_TABANI!$B$18, 0))), 0)</f>
        <v/>
      </c>
      <c r="J643" s="171">
        <f>IFERROR(F643/(G643/29), 0)</f>
        <v/>
      </c>
      <c r="K643" s="172">
        <f>IF(F643&gt;0, H643/F643, 0)</f>
        <v/>
      </c>
      <c r="L643" s="170">
        <f>IF(F643&gt;0, I643, 1000000000)</f>
        <v/>
      </c>
      <c r="M643" s="171">
        <f>ABS((B643+C643)-1)</f>
        <v/>
      </c>
      <c r="N643" s="170">
        <f>IF(F643&gt;0, (G643/29)/F643, 0)</f>
        <v/>
      </c>
      <c r="O643" s="168">
        <f>IF(AND((B643+C643)&gt;=1, ISNUMBER(SEARCH("Var", D643))), F643, 1000000000)</f>
        <v/>
      </c>
      <c r="P643" s="172">
        <f>IF(F643&gt;0, SQRT((F643/MAX(F$5:F$886))^2 + (1 - H643/MAX(H$5:H$886))^2 + (J643/MAX(J$5:J$886))^2), 1000000000)</f>
        <v/>
      </c>
      <c r="Q643" s="166">
        <f>IF(AND(ABS(B643-0.5)&lt;0.01, ABS(C643-0.5)&lt;0.01, ISNUMBER(SEARCH("Var", D643))), 1, 0)</f>
        <v/>
      </c>
      <c r="R643" s="171">
        <f>IF(F643&gt;0, J643, 1000000000)</f>
        <v/>
      </c>
      <c r="S643" s="101">
        <f>IF(AND(F643&lt;=DASHBOARD!$B$11, H643&gt;=DASHBOARD!$B$13), G643, -1000000000000)</f>
        <v/>
      </c>
      <c r="T643" s="101">
        <f>IF(AND(F643&lt;=DASHBOARD!$B$11, H643&gt;=DASHBOARD!$B$13), R643, 1000000000000)</f>
        <v/>
      </c>
      <c r="U643" s="101">
        <f>IF(AND(F643&lt;=DASHBOARD!$B$11, H643&gt;=DASHBOARD!$B$13), N643, -1000000000000)</f>
        <v/>
      </c>
      <c r="V643" s="101">
        <f>IF(AND(F643&lt;=DASHBOARD!$B$11, H643&gt;=DASHBOARD!$B$13), H643, -1000000000000)</f>
        <v/>
      </c>
      <c r="W643" s="101">
        <f>IF(AND(F643&lt;=DASHBOARD!$B$11, H643&gt;=DASHBOARD!$B$13), K643, -1000000000000)</f>
        <v/>
      </c>
      <c r="X643" s="101">
        <f>IF(AND(F643&lt;=DASHBOARD!$B$11, H643&gt;=DASHBOARD!$B$13), M643, 1000000000000)</f>
        <v/>
      </c>
      <c r="Y643" s="101">
        <f>IF(AND(F643&lt;=DASHBOARD!$B$10, H643&gt;=DASHBOARD!$B$11), L643, 1000000000000)</f>
        <v/>
      </c>
      <c r="Z643" s="101">
        <f>IF(AND(F643&lt;=DASHBOARD!$B$10, H643&gt;=DASHBOARD!$B$11), O643, 1000000000000)</f>
        <v/>
      </c>
      <c r="AA643" s="101">
        <f>IF(AND(F643&lt;=DASHBOARD!$B$10, H643&gt;=DASHBOARD!$B$11), P643, 1000000000000)</f>
        <v/>
      </c>
      <c r="AB643" s="101">
        <f>IF(AND(F643&lt;=DASHBOARD!$B$10, H643&gt;=DASHBOARD!$B$11), Q643, -1000000000000)</f>
        <v/>
      </c>
    </row>
    <row r="644" ht="15" customHeight="1" s="102">
      <c r="A644" s="166" t="n">
        <v>640</v>
      </c>
      <c r="B644" s="167" t="n">
        <v>1.5</v>
      </c>
      <c r="C644" s="167" t="n">
        <v>0.4</v>
      </c>
      <c r="D644" s="110" t="inlineStr">
        <is>
          <t>Var (%20)</t>
        </is>
      </c>
      <c r="E644" s="110">
        <f>IF((B644+C644)&lt;=1, "Tam Mahsuplaşma (≤%100)", "Kısmi Satış (&gt;%100)")</f>
        <v/>
      </c>
      <c r="F644" s="168">
        <f>((VERI_TABANI!$D$29*B644/VERI_TABANI!$B$29)/VERI_TABANI!$B$3)*VERI_TABANI!$B$5 + ((VERI_TABANI!$D$29*C644/VERI_TABANI!$B$29)/VERI_TABANI!$B$4)*VERI_TABANI!$B$6 + IF(ISNUMBER(SEARCH("Var", D644)), (VERI_TABANI!$F$29/VERI_TABANI!$B$29)*(VERI_TABANI!$B$10+VERI_TABANI!$B$12), 0)</f>
        <v/>
      </c>
      <c r="G644" s="168">
        <f>(((MIN(VERI_TABANI!D23, VERI_TABANI!D23*B644)*VERI_TABANI!$B$7 + MAX(0, VERI_TABANI!D23*B644-VERI_TABANI!D23)*VERI_TABANI!$B$8) + (MIN(MAX(0, VERI_TABANI!D23-VERI_TABANI!D23*B644), VERI_TABANI!D23*C644)*VERI_TABANI!$B$7 + MAX(0, VERI_TABANI!D23*C644-MAX(0, VERI_TABANI!D23-VERI_TABANI!D23*B644))*VERI_TABANI!$B$8) + IF(ABS(IF(ISNUMBER(SEARCH("Var", D644)), 1, IF(ISNUMBER(SEARCH("Gri", D644)), -1, 0)))=1, VERI_TABANI!E23*(1-0.928)*VERI_TABANI!$B$9, 0) + (VERI_TABANI!D23*B644*(VERI_TABANI!$B$13-VERI_TABANI!$B$14)*VERI_TABANI!G23) + (VERI_TABANI!D23*C644*(VERI_TABANI!$B$13-VERI_TABANI!$B$15)*VERI_TABANI!G23) + IF(ABS(IF(ISNUMBER(SEARCH("Var", D644)), 1, IF(ISNUMBER(SEARCH("Gri", D644)), -1, 0)))=1, VERI_TABANI!E23*(1-0.928)*0.00206091519919798*VERI_TABANI!G23, 0)) + ((MIN(VERI_TABANI!D24, VERI_TABANI!D24*B644)*VERI_TABANI!$B$7 + MAX(0, VERI_TABANI!D24*B644-VERI_TABANI!D24)*VERI_TABANI!$B$8) + (MIN(MAX(0, VERI_TABANI!D24-VERI_TABANI!D24*B644), VERI_TABANI!D24*C644)*VERI_TABANI!$B$7 + MAX(0, VERI_TABANI!D24*C644-MAX(0, VERI_TABANI!D24-VERI_TABANI!D24*B644))*VERI_TABANI!$B$8) + IF(ABS(IF(ISNUMBER(SEARCH("Var", D644)), 1, IF(ISNUMBER(SEARCH("Gri", D644)), -1, 0)))=1, VERI_TABANI!E24*(1-0.928)*VERI_TABANI!$B$9, 0) + (VERI_TABANI!D24*B644*(VERI_TABANI!$B$13-VERI_TABANI!$B$14)*VERI_TABANI!G24) + (VERI_TABANI!D24*C644*(VERI_TABANI!$B$13-VERI_TABANI!$B$15)*VERI_TABANI!G24) + IF(ABS(IF(ISNUMBER(SEARCH("Var", D644)), 1, IF(ISNUMBER(SEARCH("Gri", D644)), -1, 0)))=1, VERI_TABANI!E24*(1-0.928)*0.00206091519919798*VERI_TABANI!G24, 0)) + ((MIN(VERI_TABANI!D25, VERI_TABANI!D25*B644)*VERI_TABANI!$B$7 + MAX(0, VERI_TABANI!D25*B644-VERI_TABANI!D25)*VERI_TABANI!$B$8) + (MIN(MAX(0, VERI_TABANI!D25-VERI_TABANI!D25*B644), VERI_TABANI!D25*C644)*VERI_TABANI!$B$7 + MAX(0, VERI_TABANI!D25*C644-MAX(0, VERI_TABANI!D25-VERI_TABANI!D25*B644))*VERI_TABANI!$B$8) + IF(ABS(IF(ISNUMBER(SEARCH("Var", D644)), 1, IF(ISNUMBER(SEARCH("Gri", D644)), -1, 0)))=1, VERI_TABANI!E25*(1-0.928)*VERI_TABANI!$B$9, 0) + (VERI_TABANI!D25*B644*(VERI_TABANI!$B$13-VERI_TABANI!$B$14)*VERI_TABANI!G25) + (VERI_TABANI!D25*C644*(VERI_TABANI!$B$13-VERI_TABANI!$B$15)*VERI_TABANI!G25) + IF(ABS(IF(ISNUMBER(SEARCH("Var", D644)), 1, IF(ISNUMBER(SEARCH("Gri", D644)), -1, 0)))=1, VERI_TABANI!E25*(1-0.928)*0.00206091519919798*VERI_TABANI!G25, 0)) + ((MIN(VERI_TABANI!D26, VERI_TABANI!D26*B644)*VERI_TABANI!$B$7 + MAX(0, VERI_TABANI!D26*B644-VERI_TABANI!D26)*VERI_TABANI!$B$8) + (MIN(MAX(0, VERI_TABANI!D26-VERI_TABANI!D26*B644), VERI_TABANI!D26*C644)*VERI_TABANI!$B$7 + MAX(0, VERI_TABANI!D26*C644-MAX(0, VERI_TABANI!D26-VERI_TABANI!D26*B644))*VERI_TABANI!$B$8) + IF(ABS(IF(ISNUMBER(SEARCH("Var", D644)), 1, IF(ISNUMBER(SEARCH("Gri", D644)), -1, 0)))=1, VERI_TABANI!E26*(1-0.928)*VERI_TABANI!$B$9, 0) + (VERI_TABANI!D26*B644*(VERI_TABANI!$B$13-VERI_TABANI!$B$14)*VERI_TABANI!G26) + (VERI_TABANI!D26*C644*(VERI_TABANI!$B$13-VERI_TABANI!$B$15)*VERI_TABANI!G26) + IF(ABS(IF(ISNUMBER(SEARCH("Var", D644)), 1, IF(ISNUMBER(SEARCH("Gri", D644)), -1, 0)))=1, VERI_TABANI!E26*(1-0.928)*0.00206091519919798*VERI_TABANI!G26, 0)) + ((MIN(VERI_TABANI!D27, VERI_TABANI!D27*B644)*VERI_TABANI!$B$7 + MAX(0, VERI_TABANI!D27*B644-VERI_TABANI!D27)*VERI_TABANI!$B$8) + (MIN(MAX(0, VERI_TABANI!D27-VERI_TABANI!D27*B644), VERI_TABANI!D27*C644)*VERI_TABANI!$B$7 + MAX(0, VERI_TABANI!D27*C644-MAX(0, VERI_TABANI!D27-VERI_TABANI!D27*B644))*VERI_TABANI!$B$8) + IF(ABS(IF(ISNUMBER(SEARCH("Var", D644)), 1, IF(ISNUMBER(SEARCH("Gri", D644)), -1, 0)))=1, VERI_TABANI!E27*(1-0.928)*VERI_TABANI!$B$9, 0) + (VERI_TABANI!D27*B644*(VERI_TABANI!$B$13-VERI_TABANI!$B$14)*VERI_TABANI!G27) + (VERI_TABANI!D27*C644*(VERI_TABANI!$B$13-VERI_TABANI!$B$15)*VERI_TABANI!G27) + IF(ABS(IF(ISNUMBER(SEARCH("Var", D644)), 1, IF(ISNUMBER(SEARCH("Gri", D644)), -1, 0)))=1, VERI_TABANI!E27*(1-0.928)*0.00206091519919798*VERI_TABANI!G27, 0)) + ((MIN(VERI_TABANI!D28, VERI_TABANI!D28*B644)*VERI_TABANI!$B$7 + MAX(0, VERI_TABANI!D28*B644-VERI_TABANI!D28)*VERI_TABANI!$B$8) + (MIN(MAX(0, VERI_TABANI!D28-VERI_TABANI!D28*B644), VERI_TABANI!D28*C644)*VERI_TABANI!$B$7 + MAX(0, VERI_TABANI!D28*C644-MAX(0, VERI_TABANI!D28-VERI_TABANI!D28*B644))*VERI_TABANI!$B$8) + IF(ABS(IF(ISNUMBER(SEARCH("Var", D644)), 1, IF(ISNUMBER(SEARCH("Gri", D644)), -1, 0)))=1, VERI_TABANI!E28*(1-0.928)*VERI_TABANI!$B$9, 0) + (VERI_TABANI!D28*B644*(VERI_TABANI!$B$13-VERI_TABANI!$B$14)*VERI_TABANI!G28) + (VERI_TABANI!D28*C644*(VERI_TABANI!$B$13-VERI_TABANI!$B$15)*VERI_TABANI!G28) + IF(ABS(IF(ISNUMBER(SEARCH("Var", D644)), 1, IF(ISNUMBER(SEARCH("Gri", D644)), -1, 0)))=1, VERI_TABANI!E28*(1-0.928)*0.00206091519919798*VERI_TABANI!G28, 0)))</f>
        <v/>
      </c>
      <c r="H644" s="169">
        <f>(((VERI_TABANI!D23*B644*(VERI_TABANI!$B$13-VERI_TABANI!$B$14)) + (VERI_TABANI!D23*C644*(VERI_TABANI!$B$13-VERI_TABANI!$B$15)) + IF(ISNUMBER(SEARCH("Var", D644)), VERI_TABANI!F23*(0.00202-VERI_TABANI!$B$16), IF(ISNUMBER(SEARCH("Gri", D644)), VERI_TABANI!F23*(0.00202-VERI_TABANI!$B$17), 0))) + ((VERI_TABANI!D24*B644*(VERI_TABANI!$B$13-VERI_TABANI!$B$14)) + (VERI_TABANI!D24*C644*(VERI_TABANI!$B$13-VERI_TABANI!$B$15)) + IF(ISNUMBER(SEARCH("Var", D644)), VERI_TABANI!F24*(0.00202-VERI_TABANI!$B$16), IF(ISNUMBER(SEARCH("Gri", D644)), VERI_TABANI!F24*(0.00202-VERI_TABANI!$B$17), 0))) + ((VERI_TABANI!D25*B644*(VERI_TABANI!$B$13-VERI_TABANI!$B$14)) + (VERI_TABANI!D25*C644*(VERI_TABANI!$B$13-VERI_TABANI!$B$15)) + IF(ISNUMBER(SEARCH("Var", D644)), VERI_TABANI!F25*(0.00202-VERI_TABANI!$B$16), IF(ISNUMBER(SEARCH("Gri", D644)), VERI_TABANI!F25*(0.00202-VERI_TABANI!$B$17), 0))) + ((VERI_TABANI!D26*B644*(VERI_TABANI!$B$13-VERI_TABANI!$B$14)) + (VERI_TABANI!D26*C644*(VERI_TABANI!$B$13-VERI_TABANI!$B$15)) + IF(ISNUMBER(SEARCH("Var", D644)), VERI_TABANI!F26*(0.00202-VERI_TABANI!$B$16), IF(ISNUMBER(SEARCH("Gri", D644)), VERI_TABANI!F26*(0.00202-VERI_TABANI!$B$17), 0))) + ((VERI_TABANI!D27*B644*(VERI_TABANI!$B$13-VERI_TABANI!$B$14)) + (VERI_TABANI!D27*C644*(VERI_TABANI!$B$13-VERI_TABANI!$B$15)) + IF(ISNUMBER(SEARCH("Var", D644)), VERI_TABANI!F27*(0.00202-VERI_TABANI!$B$16), IF(ISNUMBER(SEARCH("Gri", D644)), VERI_TABANI!F27*(0.00202-VERI_TABANI!$B$17), 0))) + ((VERI_TABANI!D28*B644*(VERI_TABANI!$B$13-VERI_TABANI!$B$14)) + (VERI_TABANI!D28*C644*(VERI_TABANI!$B$13-VERI_TABANI!$B$15)) + IF(ISNUMBER(SEARCH("Var", D644)), VERI_TABANI!F28*(0.00202-VERI_TABANI!$B$16), IF(ISNUMBER(SEARCH("Gri", D644)), VERI_TABANI!F28*(0.00202-VERI_TABANI!$B$17), 0))))</f>
        <v/>
      </c>
      <c r="I644" s="170">
        <f>IFERROR(((VERI_TABANI!$D$29*B644*VERI_TABANI!$B$14 + VERI_TABANI!$D$29*C644*VERI_TABANI!$B$15 + IF(ISNUMBER(SEARCH("Var", D644)), VERI_TABANI!$F$29*VERI_TABANI!$B$16, 0))) / (((VERI_TABANI!$D$29*B644 + VERI_TABANI!$D$29*C644)*VERI_TABANI!$B$13 + IF(ISNUMBER(SEARCH("Var", D644)), VERI_TABANI!$E$29*(1-0.928)*VERI_TABANI!$B$18, 0))), 0)</f>
        <v/>
      </c>
      <c r="J644" s="171">
        <f>IFERROR(F644/(G644/29), 0)</f>
        <v/>
      </c>
      <c r="K644" s="172">
        <f>IF(F644&gt;0, H644/F644, 0)</f>
        <v/>
      </c>
      <c r="L644" s="170">
        <f>IF(F644&gt;0, I644, 1000000000)</f>
        <v/>
      </c>
      <c r="M644" s="171">
        <f>ABS((B644+C644)-1)</f>
        <v/>
      </c>
      <c r="N644" s="170">
        <f>IF(F644&gt;0, (G644/29)/F644, 0)</f>
        <v/>
      </c>
      <c r="O644" s="168">
        <f>IF(AND((B644+C644)&gt;=1, ISNUMBER(SEARCH("Var", D644))), F644, 1000000000)</f>
        <v/>
      </c>
      <c r="P644" s="172">
        <f>IF(F644&gt;0, SQRT((F644/MAX(F$5:F$886))^2 + (1 - H644/MAX(H$5:H$886))^2 + (J644/MAX(J$5:J$886))^2), 1000000000)</f>
        <v/>
      </c>
      <c r="Q644" s="166">
        <f>IF(AND(ABS(B644-0.5)&lt;0.01, ABS(C644-0.5)&lt;0.01, ISNUMBER(SEARCH("Var", D644))), 1, 0)</f>
        <v/>
      </c>
      <c r="R644" s="171">
        <f>IF(F644&gt;0, J644, 1000000000)</f>
        <v/>
      </c>
      <c r="S644" s="101">
        <f>IF(AND(F644&lt;=DASHBOARD!$B$11, H644&gt;=DASHBOARD!$B$13), G644, -1000000000000)</f>
        <v/>
      </c>
      <c r="T644" s="101">
        <f>IF(AND(F644&lt;=DASHBOARD!$B$11, H644&gt;=DASHBOARD!$B$13), R644, 1000000000000)</f>
        <v/>
      </c>
      <c r="U644" s="101">
        <f>IF(AND(F644&lt;=DASHBOARD!$B$11, H644&gt;=DASHBOARD!$B$13), N644, -1000000000000)</f>
        <v/>
      </c>
      <c r="V644" s="101">
        <f>IF(AND(F644&lt;=DASHBOARD!$B$11, H644&gt;=DASHBOARD!$B$13), H644, -1000000000000)</f>
        <v/>
      </c>
      <c r="W644" s="101">
        <f>IF(AND(F644&lt;=DASHBOARD!$B$11, H644&gt;=DASHBOARD!$B$13), K644, -1000000000000)</f>
        <v/>
      </c>
      <c r="X644" s="101">
        <f>IF(AND(F644&lt;=DASHBOARD!$B$11, H644&gt;=DASHBOARD!$B$13), M644, 1000000000000)</f>
        <v/>
      </c>
      <c r="Y644" s="101">
        <f>IF(AND(F644&lt;=DASHBOARD!$B$10, H644&gt;=DASHBOARD!$B$11), L644, 1000000000000)</f>
        <v/>
      </c>
      <c r="Z644" s="101">
        <f>IF(AND(F644&lt;=DASHBOARD!$B$10, H644&gt;=DASHBOARD!$B$11), O644, 1000000000000)</f>
        <v/>
      </c>
      <c r="AA644" s="101">
        <f>IF(AND(F644&lt;=DASHBOARD!$B$10, H644&gt;=DASHBOARD!$B$11), P644, 1000000000000)</f>
        <v/>
      </c>
      <c r="AB644" s="101">
        <f>IF(AND(F644&lt;=DASHBOARD!$B$10, H644&gt;=DASHBOARD!$B$11), Q644, -1000000000000)</f>
        <v/>
      </c>
    </row>
    <row r="645" ht="15" customHeight="1" s="102">
      <c r="A645" s="166" t="n">
        <v>641</v>
      </c>
      <c r="B645" s="167" t="n">
        <v>1.5</v>
      </c>
      <c r="C645" s="167" t="n">
        <v>0.5</v>
      </c>
      <c r="D645" s="110" t="inlineStr">
        <is>
          <t>Yok (%0)</t>
        </is>
      </c>
      <c r="E645" s="110">
        <f>IF((B645+C645)&lt;=1, "Tam Mahsuplaşma (≤%100)", "Kısmi Satış (&gt;%100)")</f>
        <v/>
      </c>
      <c r="F645" s="168">
        <f>((VERI_TABANI!$D$29*B645/VERI_TABANI!$B$29)/VERI_TABANI!$B$3)*VERI_TABANI!$B$5 + ((VERI_TABANI!$D$29*C645/VERI_TABANI!$B$29)/VERI_TABANI!$B$4)*VERI_TABANI!$B$6 + IF(ISNUMBER(SEARCH("Var", D645)), (VERI_TABANI!$F$29/VERI_TABANI!$B$29)*(VERI_TABANI!$B$10+VERI_TABANI!$B$12), 0)</f>
        <v/>
      </c>
      <c r="G645" s="168">
        <f>(((MIN(VERI_TABANI!D23, VERI_TABANI!D23*B645)*VERI_TABANI!$B$7 + MAX(0, VERI_TABANI!D23*B645-VERI_TABANI!D23)*VERI_TABANI!$B$8) + (MIN(MAX(0, VERI_TABANI!D23-VERI_TABANI!D23*B645), VERI_TABANI!D23*C645)*VERI_TABANI!$B$7 + MAX(0, VERI_TABANI!D23*C645-MAX(0, VERI_TABANI!D23-VERI_TABANI!D23*B645))*VERI_TABANI!$B$8) + IF(ABS(IF(ISNUMBER(SEARCH("Var", D645)), 1, IF(ISNUMBER(SEARCH("Gri", D645)), -1, 0)))=1, VERI_TABANI!E23*(1-0.928)*VERI_TABANI!$B$9, 0) + (VERI_TABANI!D23*B645*(VERI_TABANI!$B$13-VERI_TABANI!$B$14)*VERI_TABANI!G23) + (VERI_TABANI!D23*C645*(VERI_TABANI!$B$13-VERI_TABANI!$B$15)*VERI_TABANI!G23) + IF(ABS(IF(ISNUMBER(SEARCH("Var", D645)), 1, IF(ISNUMBER(SEARCH("Gri", D645)), -1, 0)))=1, VERI_TABANI!E23*(1-0.928)*0.00206091519919798*VERI_TABANI!G23, 0)) + ((MIN(VERI_TABANI!D24, VERI_TABANI!D24*B645)*VERI_TABANI!$B$7 + MAX(0, VERI_TABANI!D24*B645-VERI_TABANI!D24)*VERI_TABANI!$B$8) + (MIN(MAX(0, VERI_TABANI!D24-VERI_TABANI!D24*B645), VERI_TABANI!D24*C645)*VERI_TABANI!$B$7 + MAX(0, VERI_TABANI!D24*C645-MAX(0, VERI_TABANI!D24-VERI_TABANI!D24*B645))*VERI_TABANI!$B$8) + IF(ABS(IF(ISNUMBER(SEARCH("Var", D645)), 1, IF(ISNUMBER(SEARCH("Gri", D645)), -1, 0)))=1, VERI_TABANI!E24*(1-0.928)*VERI_TABANI!$B$9, 0) + (VERI_TABANI!D24*B645*(VERI_TABANI!$B$13-VERI_TABANI!$B$14)*VERI_TABANI!G24) + (VERI_TABANI!D24*C645*(VERI_TABANI!$B$13-VERI_TABANI!$B$15)*VERI_TABANI!G24) + IF(ABS(IF(ISNUMBER(SEARCH("Var", D645)), 1, IF(ISNUMBER(SEARCH("Gri", D645)), -1, 0)))=1, VERI_TABANI!E24*(1-0.928)*0.00206091519919798*VERI_TABANI!G24, 0)) + ((MIN(VERI_TABANI!D25, VERI_TABANI!D25*B645)*VERI_TABANI!$B$7 + MAX(0, VERI_TABANI!D25*B645-VERI_TABANI!D25)*VERI_TABANI!$B$8) + (MIN(MAX(0, VERI_TABANI!D25-VERI_TABANI!D25*B645), VERI_TABANI!D25*C645)*VERI_TABANI!$B$7 + MAX(0, VERI_TABANI!D25*C645-MAX(0, VERI_TABANI!D25-VERI_TABANI!D25*B645))*VERI_TABANI!$B$8) + IF(ABS(IF(ISNUMBER(SEARCH("Var", D645)), 1, IF(ISNUMBER(SEARCH("Gri", D645)), -1, 0)))=1, VERI_TABANI!E25*(1-0.928)*VERI_TABANI!$B$9, 0) + (VERI_TABANI!D25*B645*(VERI_TABANI!$B$13-VERI_TABANI!$B$14)*VERI_TABANI!G25) + (VERI_TABANI!D25*C645*(VERI_TABANI!$B$13-VERI_TABANI!$B$15)*VERI_TABANI!G25) + IF(ABS(IF(ISNUMBER(SEARCH("Var", D645)), 1, IF(ISNUMBER(SEARCH("Gri", D645)), -1, 0)))=1, VERI_TABANI!E25*(1-0.928)*0.00206091519919798*VERI_TABANI!G25, 0)) + ((MIN(VERI_TABANI!D26, VERI_TABANI!D26*B645)*VERI_TABANI!$B$7 + MAX(0, VERI_TABANI!D26*B645-VERI_TABANI!D26)*VERI_TABANI!$B$8) + (MIN(MAX(0, VERI_TABANI!D26-VERI_TABANI!D26*B645), VERI_TABANI!D26*C645)*VERI_TABANI!$B$7 + MAX(0, VERI_TABANI!D26*C645-MAX(0, VERI_TABANI!D26-VERI_TABANI!D26*B645))*VERI_TABANI!$B$8) + IF(ABS(IF(ISNUMBER(SEARCH("Var", D645)), 1, IF(ISNUMBER(SEARCH("Gri", D645)), -1, 0)))=1, VERI_TABANI!E26*(1-0.928)*VERI_TABANI!$B$9, 0) + (VERI_TABANI!D26*B645*(VERI_TABANI!$B$13-VERI_TABANI!$B$14)*VERI_TABANI!G26) + (VERI_TABANI!D26*C645*(VERI_TABANI!$B$13-VERI_TABANI!$B$15)*VERI_TABANI!G26) + IF(ABS(IF(ISNUMBER(SEARCH("Var", D645)), 1, IF(ISNUMBER(SEARCH("Gri", D645)), -1, 0)))=1, VERI_TABANI!E26*(1-0.928)*0.00206091519919798*VERI_TABANI!G26, 0)) + ((MIN(VERI_TABANI!D27, VERI_TABANI!D27*B645)*VERI_TABANI!$B$7 + MAX(0, VERI_TABANI!D27*B645-VERI_TABANI!D27)*VERI_TABANI!$B$8) + (MIN(MAX(0, VERI_TABANI!D27-VERI_TABANI!D27*B645), VERI_TABANI!D27*C645)*VERI_TABANI!$B$7 + MAX(0, VERI_TABANI!D27*C645-MAX(0, VERI_TABANI!D27-VERI_TABANI!D27*B645))*VERI_TABANI!$B$8) + IF(ABS(IF(ISNUMBER(SEARCH("Var", D645)), 1, IF(ISNUMBER(SEARCH("Gri", D645)), -1, 0)))=1, VERI_TABANI!E27*(1-0.928)*VERI_TABANI!$B$9, 0) + (VERI_TABANI!D27*B645*(VERI_TABANI!$B$13-VERI_TABANI!$B$14)*VERI_TABANI!G27) + (VERI_TABANI!D27*C645*(VERI_TABANI!$B$13-VERI_TABANI!$B$15)*VERI_TABANI!G27) + IF(ABS(IF(ISNUMBER(SEARCH("Var", D645)), 1, IF(ISNUMBER(SEARCH("Gri", D645)), -1, 0)))=1, VERI_TABANI!E27*(1-0.928)*0.00206091519919798*VERI_TABANI!G27, 0)) + ((MIN(VERI_TABANI!D28, VERI_TABANI!D28*B645)*VERI_TABANI!$B$7 + MAX(0, VERI_TABANI!D28*B645-VERI_TABANI!D28)*VERI_TABANI!$B$8) + (MIN(MAX(0, VERI_TABANI!D28-VERI_TABANI!D28*B645), VERI_TABANI!D28*C645)*VERI_TABANI!$B$7 + MAX(0, VERI_TABANI!D28*C645-MAX(0, VERI_TABANI!D28-VERI_TABANI!D28*B645))*VERI_TABANI!$B$8) + IF(ABS(IF(ISNUMBER(SEARCH("Var", D645)), 1, IF(ISNUMBER(SEARCH("Gri", D645)), -1, 0)))=1, VERI_TABANI!E28*(1-0.928)*VERI_TABANI!$B$9, 0) + (VERI_TABANI!D28*B645*(VERI_TABANI!$B$13-VERI_TABANI!$B$14)*VERI_TABANI!G28) + (VERI_TABANI!D28*C645*(VERI_TABANI!$B$13-VERI_TABANI!$B$15)*VERI_TABANI!G28) + IF(ABS(IF(ISNUMBER(SEARCH("Var", D645)), 1, IF(ISNUMBER(SEARCH("Gri", D645)), -1, 0)))=1, VERI_TABANI!E28*(1-0.928)*0.00206091519919798*VERI_TABANI!G28, 0)))</f>
        <v/>
      </c>
      <c r="H645" s="169">
        <f>(((VERI_TABANI!D23*B645*(VERI_TABANI!$B$13-VERI_TABANI!$B$14)) + (VERI_TABANI!D23*C645*(VERI_TABANI!$B$13-VERI_TABANI!$B$15)) + IF(ISNUMBER(SEARCH("Var", D645)), VERI_TABANI!F23*(0.00202-VERI_TABANI!$B$16), IF(ISNUMBER(SEARCH("Gri", D645)), VERI_TABANI!F23*(0.00202-VERI_TABANI!$B$17), 0))) + ((VERI_TABANI!D24*B645*(VERI_TABANI!$B$13-VERI_TABANI!$B$14)) + (VERI_TABANI!D24*C645*(VERI_TABANI!$B$13-VERI_TABANI!$B$15)) + IF(ISNUMBER(SEARCH("Var", D645)), VERI_TABANI!F24*(0.00202-VERI_TABANI!$B$16), IF(ISNUMBER(SEARCH("Gri", D645)), VERI_TABANI!F24*(0.00202-VERI_TABANI!$B$17), 0))) + ((VERI_TABANI!D25*B645*(VERI_TABANI!$B$13-VERI_TABANI!$B$14)) + (VERI_TABANI!D25*C645*(VERI_TABANI!$B$13-VERI_TABANI!$B$15)) + IF(ISNUMBER(SEARCH("Var", D645)), VERI_TABANI!F25*(0.00202-VERI_TABANI!$B$16), IF(ISNUMBER(SEARCH("Gri", D645)), VERI_TABANI!F25*(0.00202-VERI_TABANI!$B$17), 0))) + ((VERI_TABANI!D26*B645*(VERI_TABANI!$B$13-VERI_TABANI!$B$14)) + (VERI_TABANI!D26*C645*(VERI_TABANI!$B$13-VERI_TABANI!$B$15)) + IF(ISNUMBER(SEARCH("Var", D645)), VERI_TABANI!F26*(0.00202-VERI_TABANI!$B$16), IF(ISNUMBER(SEARCH("Gri", D645)), VERI_TABANI!F26*(0.00202-VERI_TABANI!$B$17), 0))) + ((VERI_TABANI!D27*B645*(VERI_TABANI!$B$13-VERI_TABANI!$B$14)) + (VERI_TABANI!D27*C645*(VERI_TABANI!$B$13-VERI_TABANI!$B$15)) + IF(ISNUMBER(SEARCH("Var", D645)), VERI_TABANI!F27*(0.00202-VERI_TABANI!$B$16), IF(ISNUMBER(SEARCH("Gri", D645)), VERI_TABANI!F27*(0.00202-VERI_TABANI!$B$17), 0))) + ((VERI_TABANI!D28*B645*(VERI_TABANI!$B$13-VERI_TABANI!$B$14)) + (VERI_TABANI!D28*C645*(VERI_TABANI!$B$13-VERI_TABANI!$B$15)) + IF(ISNUMBER(SEARCH("Var", D645)), VERI_TABANI!F28*(0.00202-VERI_TABANI!$B$16), IF(ISNUMBER(SEARCH("Gri", D645)), VERI_TABANI!F28*(0.00202-VERI_TABANI!$B$17), 0))))</f>
        <v/>
      </c>
      <c r="I645" s="170">
        <f>IFERROR(((VERI_TABANI!$D$29*B645*VERI_TABANI!$B$14 + VERI_TABANI!$D$29*C645*VERI_TABANI!$B$15 + IF(ISNUMBER(SEARCH("Var", D645)), VERI_TABANI!$F$29*VERI_TABANI!$B$16, 0))) / (((VERI_TABANI!$D$29*B645 + VERI_TABANI!$D$29*C645)*VERI_TABANI!$B$13 + IF(ISNUMBER(SEARCH("Var", D645)), VERI_TABANI!$E$29*(1-0.928)*VERI_TABANI!$B$18, 0))), 0)</f>
        <v/>
      </c>
      <c r="J645" s="171">
        <f>IFERROR(F645/(G645/29), 0)</f>
        <v/>
      </c>
      <c r="K645" s="172">
        <f>IF(F645&gt;0, H645/F645, 0)</f>
        <v/>
      </c>
      <c r="L645" s="170">
        <f>IF(F645&gt;0, I645, 1000000000)</f>
        <v/>
      </c>
      <c r="M645" s="171">
        <f>ABS((B645+C645)-1)</f>
        <v/>
      </c>
      <c r="N645" s="170">
        <f>IF(F645&gt;0, (G645/29)/F645, 0)</f>
        <v/>
      </c>
      <c r="O645" s="168">
        <f>IF(AND((B645+C645)&gt;=1, ISNUMBER(SEARCH("Var", D645))), F645, 1000000000)</f>
        <v/>
      </c>
      <c r="P645" s="172">
        <f>IF(F645&gt;0, SQRT((F645/MAX(F$5:F$886))^2 + (1 - H645/MAX(H$5:H$886))^2 + (J645/MAX(J$5:J$886))^2), 1000000000)</f>
        <v/>
      </c>
      <c r="Q645" s="166">
        <f>IF(AND(ABS(B645-0.5)&lt;0.01, ABS(C645-0.5)&lt;0.01, ISNUMBER(SEARCH("Var", D645))), 1, 0)</f>
        <v/>
      </c>
      <c r="R645" s="171">
        <f>IF(F645&gt;0, J645, 1000000000)</f>
        <v/>
      </c>
      <c r="S645" s="101">
        <f>IF(AND(F645&lt;=DASHBOARD!$B$11, H645&gt;=DASHBOARD!$B$13), G645, -1000000000000)</f>
        <v/>
      </c>
      <c r="T645" s="101">
        <f>IF(AND(F645&lt;=DASHBOARD!$B$11, H645&gt;=DASHBOARD!$B$13), R645, 1000000000000)</f>
        <v/>
      </c>
      <c r="U645" s="101">
        <f>IF(AND(F645&lt;=DASHBOARD!$B$11, H645&gt;=DASHBOARD!$B$13), N645, -1000000000000)</f>
        <v/>
      </c>
      <c r="V645" s="101">
        <f>IF(AND(F645&lt;=DASHBOARD!$B$11, H645&gt;=DASHBOARD!$B$13), H645, -1000000000000)</f>
        <v/>
      </c>
      <c r="W645" s="101">
        <f>IF(AND(F645&lt;=DASHBOARD!$B$11, H645&gt;=DASHBOARD!$B$13), K645, -1000000000000)</f>
        <v/>
      </c>
      <c r="X645" s="101">
        <f>IF(AND(F645&lt;=DASHBOARD!$B$11, H645&gt;=DASHBOARD!$B$13), M645, 1000000000000)</f>
        <v/>
      </c>
      <c r="Y645" s="101">
        <f>IF(AND(F645&lt;=DASHBOARD!$B$10, H645&gt;=DASHBOARD!$B$11), L645, 1000000000000)</f>
        <v/>
      </c>
      <c r="Z645" s="101">
        <f>IF(AND(F645&lt;=DASHBOARD!$B$10, H645&gt;=DASHBOARD!$B$11), O645, 1000000000000)</f>
        <v/>
      </c>
      <c r="AA645" s="101">
        <f>IF(AND(F645&lt;=DASHBOARD!$B$10, H645&gt;=DASHBOARD!$B$11), P645, 1000000000000)</f>
        <v/>
      </c>
      <c r="AB645" s="101">
        <f>IF(AND(F645&lt;=DASHBOARD!$B$10, H645&gt;=DASHBOARD!$B$11), Q645, -1000000000000)</f>
        <v/>
      </c>
    </row>
    <row r="646" ht="15" customHeight="1" s="102">
      <c r="A646" s="166" t="n">
        <v>642</v>
      </c>
      <c r="B646" s="167" t="n">
        <v>1.5</v>
      </c>
      <c r="C646" s="167" t="n">
        <v>0.5</v>
      </c>
      <c r="D646" s="110" t="inlineStr">
        <is>
          <t>Var (%20)</t>
        </is>
      </c>
      <c r="E646" s="110">
        <f>IF((B646+C646)&lt;=1, "Tam Mahsuplaşma (≤%100)", "Kısmi Satış (&gt;%100)")</f>
        <v/>
      </c>
      <c r="F646" s="168">
        <f>((VERI_TABANI!$D$29*B646/VERI_TABANI!$B$29)/VERI_TABANI!$B$3)*VERI_TABANI!$B$5 + ((VERI_TABANI!$D$29*C646/VERI_TABANI!$B$29)/VERI_TABANI!$B$4)*VERI_TABANI!$B$6 + IF(ISNUMBER(SEARCH("Var", D646)), (VERI_TABANI!$F$29/VERI_TABANI!$B$29)*(VERI_TABANI!$B$10+VERI_TABANI!$B$12), 0)</f>
        <v/>
      </c>
      <c r="G646" s="168">
        <f>(((MIN(VERI_TABANI!D23, VERI_TABANI!D23*B646)*VERI_TABANI!$B$7 + MAX(0, VERI_TABANI!D23*B646-VERI_TABANI!D23)*VERI_TABANI!$B$8) + (MIN(MAX(0, VERI_TABANI!D23-VERI_TABANI!D23*B646), VERI_TABANI!D23*C646)*VERI_TABANI!$B$7 + MAX(0, VERI_TABANI!D23*C646-MAX(0, VERI_TABANI!D23-VERI_TABANI!D23*B646))*VERI_TABANI!$B$8) + IF(ABS(IF(ISNUMBER(SEARCH("Var", D646)), 1, IF(ISNUMBER(SEARCH("Gri", D646)), -1, 0)))=1, VERI_TABANI!E23*(1-0.928)*VERI_TABANI!$B$9, 0) + (VERI_TABANI!D23*B646*(VERI_TABANI!$B$13-VERI_TABANI!$B$14)*VERI_TABANI!G23) + (VERI_TABANI!D23*C646*(VERI_TABANI!$B$13-VERI_TABANI!$B$15)*VERI_TABANI!G23) + IF(ABS(IF(ISNUMBER(SEARCH("Var", D646)), 1, IF(ISNUMBER(SEARCH("Gri", D646)), -1, 0)))=1, VERI_TABANI!E23*(1-0.928)*0.00206091519919798*VERI_TABANI!G23, 0)) + ((MIN(VERI_TABANI!D24, VERI_TABANI!D24*B646)*VERI_TABANI!$B$7 + MAX(0, VERI_TABANI!D24*B646-VERI_TABANI!D24)*VERI_TABANI!$B$8) + (MIN(MAX(0, VERI_TABANI!D24-VERI_TABANI!D24*B646), VERI_TABANI!D24*C646)*VERI_TABANI!$B$7 + MAX(0, VERI_TABANI!D24*C646-MAX(0, VERI_TABANI!D24-VERI_TABANI!D24*B646))*VERI_TABANI!$B$8) + IF(ABS(IF(ISNUMBER(SEARCH("Var", D646)), 1, IF(ISNUMBER(SEARCH("Gri", D646)), -1, 0)))=1, VERI_TABANI!E24*(1-0.928)*VERI_TABANI!$B$9, 0) + (VERI_TABANI!D24*B646*(VERI_TABANI!$B$13-VERI_TABANI!$B$14)*VERI_TABANI!G24) + (VERI_TABANI!D24*C646*(VERI_TABANI!$B$13-VERI_TABANI!$B$15)*VERI_TABANI!G24) + IF(ABS(IF(ISNUMBER(SEARCH("Var", D646)), 1, IF(ISNUMBER(SEARCH("Gri", D646)), -1, 0)))=1, VERI_TABANI!E24*(1-0.928)*0.00206091519919798*VERI_TABANI!G24, 0)) + ((MIN(VERI_TABANI!D25, VERI_TABANI!D25*B646)*VERI_TABANI!$B$7 + MAX(0, VERI_TABANI!D25*B646-VERI_TABANI!D25)*VERI_TABANI!$B$8) + (MIN(MAX(0, VERI_TABANI!D25-VERI_TABANI!D25*B646), VERI_TABANI!D25*C646)*VERI_TABANI!$B$7 + MAX(0, VERI_TABANI!D25*C646-MAX(0, VERI_TABANI!D25-VERI_TABANI!D25*B646))*VERI_TABANI!$B$8) + IF(ABS(IF(ISNUMBER(SEARCH("Var", D646)), 1, IF(ISNUMBER(SEARCH("Gri", D646)), -1, 0)))=1, VERI_TABANI!E25*(1-0.928)*VERI_TABANI!$B$9, 0) + (VERI_TABANI!D25*B646*(VERI_TABANI!$B$13-VERI_TABANI!$B$14)*VERI_TABANI!G25) + (VERI_TABANI!D25*C646*(VERI_TABANI!$B$13-VERI_TABANI!$B$15)*VERI_TABANI!G25) + IF(ABS(IF(ISNUMBER(SEARCH("Var", D646)), 1, IF(ISNUMBER(SEARCH("Gri", D646)), -1, 0)))=1, VERI_TABANI!E25*(1-0.928)*0.00206091519919798*VERI_TABANI!G25, 0)) + ((MIN(VERI_TABANI!D26, VERI_TABANI!D26*B646)*VERI_TABANI!$B$7 + MAX(0, VERI_TABANI!D26*B646-VERI_TABANI!D26)*VERI_TABANI!$B$8) + (MIN(MAX(0, VERI_TABANI!D26-VERI_TABANI!D26*B646), VERI_TABANI!D26*C646)*VERI_TABANI!$B$7 + MAX(0, VERI_TABANI!D26*C646-MAX(0, VERI_TABANI!D26-VERI_TABANI!D26*B646))*VERI_TABANI!$B$8) + IF(ABS(IF(ISNUMBER(SEARCH("Var", D646)), 1, IF(ISNUMBER(SEARCH("Gri", D646)), -1, 0)))=1, VERI_TABANI!E26*(1-0.928)*VERI_TABANI!$B$9, 0) + (VERI_TABANI!D26*B646*(VERI_TABANI!$B$13-VERI_TABANI!$B$14)*VERI_TABANI!G26) + (VERI_TABANI!D26*C646*(VERI_TABANI!$B$13-VERI_TABANI!$B$15)*VERI_TABANI!G26) + IF(ABS(IF(ISNUMBER(SEARCH("Var", D646)), 1, IF(ISNUMBER(SEARCH("Gri", D646)), -1, 0)))=1, VERI_TABANI!E26*(1-0.928)*0.00206091519919798*VERI_TABANI!G26, 0)) + ((MIN(VERI_TABANI!D27, VERI_TABANI!D27*B646)*VERI_TABANI!$B$7 + MAX(0, VERI_TABANI!D27*B646-VERI_TABANI!D27)*VERI_TABANI!$B$8) + (MIN(MAX(0, VERI_TABANI!D27-VERI_TABANI!D27*B646), VERI_TABANI!D27*C646)*VERI_TABANI!$B$7 + MAX(0, VERI_TABANI!D27*C646-MAX(0, VERI_TABANI!D27-VERI_TABANI!D27*B646))*VERI_TABANI!$B$8) + IF(ABS(IF(ISNUMBER(SEARCH("Var", D646)), 1, IF(ISNUMBER(SEARCH("Gri", D646)), -1, 0)))=1, VERI_TABANI!E27*(1-0.928)*VERI_TABANI!$B$9, 0) + (VERI_TABANI!D27*B646*(VERI_TABANI!$B$13-VERI_TABANI!$B$14)*VERI_TABANI!G27) + (VERI_TABANI!D27*C646*(VERI_TABANI!$B$13-VERI_TABANI!$B$15)*VERI_TABANI!G27) + IF(ABS(IF(ISNUMBER(SEARCH("Var", D646)), 1, IF(ISNUMBER(SEARCH("Gri", D646)), -1, 0)))=1, VERI_TABANI!E27*(1-0.928)*0.00206091519919798*VERI_TABANI!G27, 0)) + ((MIN(VERI_TABANI!D28, VERI_TABANI!D28*B646)*VERI_TABANI!$B$7 + MAX(0, VERI_TABANI!D28*B646-VERI_TABANI!D28)*VERI_TABANI!$B$8) + (MIN(MAX(0, VERI_TABANI!D28-VERI_TABANI!D28*B646), VERI_TABANI!D28*C646)*VERI_TABANI!$B$7 + MAX(0, VERI_TABANI!D28*C646-MAX(0, VERI_TABANI!D28-VERI_TABANI!D28*B646))*VERI_TABANI!$B$8) + IF(ABS(IF(ISNUMBER(SEARCH("Var", D646)), 1, IF(ISNUMBER(SEARCH("Gri", D646)), -1, 0)))=1, VERI_TABANI!E28*(1-0.928)*VERI_TABANI!$B$9, 0) + (VERI_TABANI!D28*B646*(VERI_TABANI!$B$13-VERI_TABANI!$B$14)*VERI_TABANI!G28) + (VERI_TABANI!D28*C646*(VERI_TABANI!$B$13-VERI_TABANI!$B$15)*VERI_TABANI!G28) + IF(ABS(IF(ISNUMBER(SEARCH("Var", D646)), 1, IF(ISNUMBER(SEARCH("Gri", D646)), -1, 0)))=1, VERI_TABANI!E28*(1-0.928)*0.00206091519919798*VERI_TABANI!G28, 0)))</f>
        <v/>
      </c>
      <c r="H646" s="169">
        <f>(((VERI_TABANI!D23*B646*(VERI_TABANI!$B$13-VERI_TABANI!$B$14)) + (VERI_TABANI!D23*C646*(VERI_TABANI!$B$13-VERI_TABANI!$B$15)) + IF(ISNUMBER(SEARCH("Var", D646)), VERI_TABANI!F23*(0.00202-VERI_TABANI!$B$16), IF(ISNUMBER(SEARCH("Gri", D646)), VERI_TABANI!F23*(0.00202-VERI_TABANI!$B$17), 0))) + ((VERI_TABANI!D24*B646*(VERI_TABANI!$B$13-VERI_TABANI!$B$14)) + (VERI_TABANI!D24*C646*(VERI_TABANI!$B$13-VERI_TABANI!$B$15)) + IF(ISNUMBER(SEARCH("Var", D646)), VERI_TABANI!F24*(0.00202-VERI_TABANI!$B$16), IF(ISNUMBER(SEARCH("Gri", D646)), VERI_TABANI!F24*(0.00202-VERI_TABANI!$B$17), 0))) + ((VERI_TABANI!D25*B646*(VERI_TABANI!$B$13-VERI_TABANI!$B$14)) + (VERI_TABANI!D25*C646*(VERI_TABANI!$B$13-VERI_TABANI!$B$15)) + IF(ISNUMBER(SEARCH("Var", D646)), VERI_TABANI!F25*(0.00202-VERI_TABANI!$B$16), IF(ISNUMBER(SEARCH("Gri", D646)), VERI_TABANI!F25*(0.00202-VERI_TABANI!$B$17), 0))) + ((VERI_TABANI!D26*B646*(VERI_TABANI!$B$13-VERI_TABANI!$B$14)) + (VERI_TABANI!D26*C646*(VERI_TABANI!$B$13-VERI_TABANI!$B$15)) + IF(ISNUMBER(SEARCH("Var", D646)), VERI_TABANI!F26*(0.00202-VERI_TABANI!$B$16), IF(ISNUMBER(SEARCH("Gri", D646)), VERI_TABANI!F26*(0.00202-VERI_TABANI!$B$17), 0))) + ((VERI_TABANI!D27*B646*(VERI_TABANI!$B$13-VERI_TABANI!$B$14)) + (VERI_TABANI!D27*C646*(VERI_TABANI!$B$13-VERI_TABANI!$B$15)) + IF(ISNUMBER(SEARCH("Var", D646)), VERI_TABANI!F27*(0.00202-VERI_TABANI!$B$16), IF(ISNUMBER(SEARCH("Gri", D646)), VERI_TABANI!F27*(0.00202-VERI_TABANI!$B$17), 0))) + ((VERI_TABANI!D28*B646*(VERI_TABANI!$B$13-VERI_TABANI!$B$14)) + (VERI_TABANI!D28*C646*(VERI_TABANI!$B$13-VERI_TABANI!$B$15)) + IF(ISNUMBER(SEARCH("Var", D646)), VERI_TABANI!F28*(0.00202-VERI_TABANI!$B$16), IF(ISNUMBER(SEARCH("Gri", D646)), VERI_TABANI!F28*(0.00202-VERI_TABANI!$B$17), 0))))</f>
        <v/>
      </c>
      <c r="I646" s="170">
        <f>IFERROR(((VERI_TABANI!$D$29*B646*VERI_TABANI!$B$14 + VERI_TABANI!$D$29*C646*VERI_TABANI!$B$15 + IF(ISNUMBER(SEARCH("Var", D646)), VERI_TABANI!$F$29*VERI_TABANI!$B$16, 0))) / (((VERI_TABANI!$D$29*B646 + VERI_TABANI!$D$29*C646)*VERI_TABANI!$B$13 + IF(ISNUMBER(SEARCH("Var", D646)), VERI_TABANI!$E$29*(1-0.928)*VERI_TABANI!$B$18, 0))), 0)</f>
        <v/>
      </c>
      <c r="J646" s="171">
        <f>IFERROR(F646/(G646/29), 0)</f>
        <v/>
      </c>
      <c r="K646" s="172">
        <f>IF(F646&gt;0, H646/F646, 0)</f>
        <v/>
      </c>
      <c r="L646" s="170">
        <f>IF(F646&gt;0, I646, 1000000000)</f>
        <v/>
      </c>
      <c r="M646" s="171">
        <f>ABS((B646+C646)-1)</f>
        <v/>
      </c>
      <c r="N646" s="170">
        <f>IF(F646&gt;0, (G646/29)/F646, 0)</f>
        <v/>
      </c>
      <c r="O646" s="168">
        <f>IF(AND((B646+C646)&gt;=1, ISNUMBER(SEARCH("Var", D646))), F646, 1000000000)</f>
        <v/>
      </c>
      <c r="P646" s="172">
        <f>IF(F646&gt;0, SQRT((F646/MAX(F$5:F$886))^2 + (1 - H646/MAX(H$5:H$886))^2 + (J646/MAX(J$5:J$886))^2), 1000000000)</f>
        <v/>
      </c>
      <c r="Q646" s="166">
        <f>IF(AND(ABS(B646-0.5)&lt;0.01, ABS(C646-0.5)&lt;0.01, ISNUMBER(SEARCH("Var", D646))), 1, 0)</f>
        <v/>
      </c>
      <c r="R646" s="171">
        <f>IF(F646&gt;0, J646, 1000000000)</f>
        <v/>
      </c>
      <c r="S646" s="101">
        <f>IF(AND(F646&lt;=DASHBOARD!$B$11, H646&gt;=DASHBOARD!$B$13), G646, -1000000000000)</f>
        <v/>
      </c>
      <c r="T646" s="101">
        <f>IF(AND(F646&lt;=DASHBOARD!$B$11, H646&gt;=DASHBOARD!$B$13), R646, 1000000000000)</f>
        <v/>
      </c>
      <c r="U646" s="101">
        <f>IF(AND(F646&lt;=DASHBOARD!$B$11, H646&gt;=DASHBOARD!$B$13), N646, -1000000000000)</f>
        <v/>
      </c>
      <c r="V646" s="101">
        <f>IF(AND(F646&lt;=DASHBOARD!$B$11, H646&gt;=DASHBOARD!$B$13), H646, -1000000000000)</f>
        <v/>
      </c>
      <c r="W646" s="101">
        <f>IF(AND(F646&lt;=DASHBOARD!$B$11, H646&gt;=DASHBOARD!$B$13), K646, -1000000000000)</f>
        <v/>
      </c>
      <c r="X646" s="101">
        <f>IF(AND(F646&lt;=DASHBOARD!$B$11, H646&gt;=DASHBOARD!$B$13), M646, 1000000000000)</f>
        <v/>
      </c>
      <c r="Y646" s="101">
        <f>IF(AND(F646&lt;=DASHBOARD!$B$10, H646&gt;=DASHBOARD!$B$11), L646, 1000000000000)</f>
        <v/>
      </c>
      <c r="Z646" s="101">
        <f>IF(AND(F646&lt;=DASHBOARD!$B$10, H646&gt;=DASHBOARD!$B$11), O646, 1000000000000)</f>
        <v/>
      </c>
      <c r="AA646" s="101">
        <f>IF(AND(F646&lt;=DASHBOARD!$B$10, H646&gt;=DASHBOARD!$B$11), P646, 1000000000000)</f>
        <v/>
      </c>
      <c r="AB646" s="101">
        <f>IF(AND(F646&lt;=DASHBOARD!$B$10, H646&gt;=DASHBOARD!$B$11), Q646, -1000000000000)</f>
        <v/>
      </c>
    </row>
    <row r="647" ht="15" customHeight="1" s="102">
      <c r="A647" s="166" t="n">
        <v>643</v>
      </c>
      <c r="B647" s="167" t="n">
        <v>1.5</v>
      </c>
      <c r="C647" s="167" t="n">
        <v>0.6</v>
      </c>
      <c r="D647" s="110" t="inlineStr">
        <is>
          <t>Yok (%0)</t>
        </is>
      </c>
      <c r="E647" s="110">
        <f>IF((B647+C647)&lt;=1, "Tam Mahsuplaşma (≤%100)", "Kısmi Satış (&gt;%100)")</f>
        <v/>
      </c>
      <c r="F647" s="168">
        <f>((VERI_TABANI!$D$29*B647/VERI_TABANI!$B$29)/VERI_TABANI!$B$3)*VERI_TABANI!$B$5 + ((VERI_TABANI!$D$29*C647/VERI_TABANI!$B$29)/VERI_TABANI!$B$4)*VERI_TABANI!$B$6 + IF(ISNUMBER(SEARCH("Var", D647)), (VERI_TABANI!$F$29/VERI_TABANI!$B$29)*(VERI_TABANI!$B$10+VERI_TABANI!$B$12), 0)</f>
        <v/>
      </c>
      <c r="G647" s="168">
        <f>(((MIN(VERI_TABANI!D23, VERI_TABANI!D23*B647)*VERI_TABANI!$B$7 + MAX(0, VERI_TABANI!D23*B647-VERI_TABANI!D23)*VERI_TABANI!$B$8) + (MIN(MAX(0, VERI_TABANI!D23-VERI_TABANI!D23*B647), VERI_TABANI!D23*C647)*VERI_TABANI!$B$7 + MAX(0, VERI_TABANI!D23*C647-MAX(0, VERI_TABANI!D23-VERI_TABANI!D23*B647))*VERI_TABANI!$B$8) + IF(ABS(IF(ISNUMBER(SEARCH("Var", D647)), 1, IF(ISNUMBER(SEARCH("Gri", D647)), -1, 0)))=1, VERI_TABANI!E23*(1-0.928)*VERI_TABANI!$B$9, 0) + (VERI_TABANI!D23*B647*(VERI_TABANI!$B$13-VERI_TABANI!$B$14)*VERI_TABANI!G23) + (VERI_TABANI!D23*C647*(VERI_TABANI!$B$13-VERI_TABANI!$B$15)*VERI_TABANI!G23) + IF(ABS(IF(ISNUMBER(SEARCH("Var", D647)), 1, IF(ISNUMBER(SEARCH("Gri", D647)), -1, 0)))=1, VERI_TABANI!E23*(1-0.928)*0.00206091519919798*VERI_TABANI!G23, 0)) + ((MIN(VERI_TABANI!D24, VERI_TABANI!D24*B647)*VERI_TABANI!$B$7 + MAX(0, VERI_TABANI!D24*B647-VERI_TABANI!D24)*VERI_TABANI!$B$8) + (MIN(MAX(0, VERI_TABANI!D24-VERI_TABANI!D24*B647), VERI_TABANI!D24*C647)*VERI_TABANI!$B$7 + MAX(0, VERI_TABANI!D24*C647-MAX(0, VERI_TABANI!D24-VERI_TABANI!D24*B647))*VERI_TABANI!$B$8) + IF(ABS(IF(ISNUMBER(SEARCH("Var", D647)), 1, IF(ISNUMBER(SEARCH("Gri", D647)), -1, 0)))=1, VERI_TABANI!E24*(1-0.928)*VERI_TABANI!$B$9, 0) + (VERI_TABANI!D24*B647*(VERI_TABANI!$B$13-VERI_TABANI!$B$14)*VERI_TABANI!G24) + (VERI_TABANI!D24*C647*(VERI_TABANI!$B$13-VERI_TABANI!$B$15)*VERI_TABANI!G24) + IF(ABS(IF(ISNUMBER(SEARCH("Var", D647)), 1, IF(ISNUMBER(SEARCH("Gri", D647)), -1, 0)))=1, VERI_TABANI!E24*(1-0.928)*0.00206091519919798*VERI_TABANI!G24, 0)) + ((MIN(VERI_TABANI!D25, VERI_TABANI!D25*B647)*VERI_TABANI!$B$7 + MAX(0, VERI_TABANI!D25*B647-VERI_TABANI!D25)*VERI_TABANI!$B$8) + (MIN(MAX(0, VERI_TABANI!D25-VERI_TABANI!D25*B647), VERI_TABANI!D25*C647)*VERI_TABANI!$B$7 + MAX(0, VERI_TABANI!D25*C647-MAX(0, VERI_TABANI!D25-VERI_TABANI!D25*B647))*VERI_TABANI!$B$8) + IF(ABS(IF(ISNUMBER(SEARCH("Var", D647)), 1, IF(ISNUMBER(SEARCH("Gri", D647)), -1, 0)))=1, VERI_TABANI!E25*(1-0.928)*VERI_TABANI!$B$9, 0) + (VERI_TABANI!D25*B647*(VERI_TABANI!$B$13-VERI_TABANI!$B$14)*VERI_TABANI!G25) + (VERI_TABANI!D25*C647*(VERI_TABANI!$B$13-VERI_TABANI!$B$15)*VERI_TABANI!G25) + IF(ABS(IF(ISNUMBER(SEARCH("Var", D647)), 1, IF(ISNUMBER(SEARCH("Gri", D647)), -1, 0)))=1, VERI_TABANI!E25*(1-0.928)*0.00206091519919798*VERI_TABANI!G25, 0)) + ((MIN(VERI_TABANI!D26, VERI_TABANI!D26*B647)*VERI_TABANI!$B$7 + MAX(0, VERI_TABANI!D26*B647-VERI_TABANI!D26)*VERI_TABANI!$B$8) + (MIN(MAX(0, VERI_TABANI!D26-VERI_TABANI!D26*B647), VERI_TABANI!D26*C647)*VERI_TABANI!$B$7 + MAX(0, VERI_TABANI!D26*C647-MAX(0, VERI_TABANI!D26-VERI_TABANI!D26*B647))*VERI_TABANI!$B$8) + IF(ABS(IF(ISNUMBER(SEARCH("Var", D647)), 1, IF(ISNUMBER(SEARCH("Gri", D647)), -1, 0)))=1, VERI_TABANI!E26*(1-0.928)*VERI_TABANI!$B$9, 0) + (VERI_TABANI!D26*B647*(VERI_TABANI!$B$13-VERI_TABANI!$B$14)*VERI_TABANI!G26) + (VERI_TABANI!D26*C647*(VERI_TABANI!$B$13-VERI_TABANI!$B$15)*VERI_TABANI!G26) + IF(ABS(IF(ISNUMBER(SEARCH("Var", D647)), 1, IF(ISNUMBER(SEARCH("Gri", D647)), -1, 0)))=1, VERI_TABANI!E26*(1-0.928)*0.00206091519919798*VERI_TABANI!G26, 0)) + ((MIN(VERI_TABANI!D27, VERI_TABANI!D27*B647)*VERI_TABANI!$B$7 + MAX(0, VERI_TABANI!D27*B647-VERI_TABANI!D27)*VERI_TABANI!$B$8) + (MIN(MAX(0, VERI_TABANI!D27-VERI_TABANI!D27*B647), VERI_TABANI!D27*C647)*VERI_TABANI!$B$7 + MAX(0, VERI_TABANI!D27*C647-MAX(0, VERI_TABANI!D27-VERI_TABANI!D27*B647))*VERI_TABANI!$B$8) + IF(ABS(IF(ISNUMBER(SEARCH("Var", D647)), 1, IF(ISNUMBER(SEARCH("Gri", D647)), -1, 0)))=1, VERI_TABANI!E27*(1-0.928)*VERI_TABANI!$B$9, 0) + (VERI_TABANI!D27*B647*(VERI_TABANI!$B$13-VERI_TABANI!$B$14)*VERI_TABANI!G27) + (VERI_TABANI!D27*C647*(VERI_TABANI!$B$13-VERI_TABANI!$B$15)*VERI_TABANI!G27) + IF(ABS(IF(ISNUMBER(SEARCH("Var", D647)), 1, IF(ISNUMBER(SEARCH("Gri", D647)), -1, 0)))=1, VERI_TABANI!E27*(1-0.928)*0.00206091519919798*VERI_TABANI!G27, 0)) + ((MIN(VERI_TABANI!D28, VERI_TABANI!D28*B647)*VERI_TABANI!$B$7 + MAX(0, VERI_TABANI!D28*B647-VERI_TABANI!D28)*VERI_TABANI!$B$8) + (MIN(MAX(0, VERI_TABANI!D28-VERI_TABANI!D28*B647), VERI_TABANI!D28*C647)*VERI_TABANI!$B$7 + MAX(0, VERI_TABANI!D28*C647-MAX(0, VERI_TABANI!D28-VERI_TABANI!D28*B647))*VERI_TABANI!$B$8) + IF(ABS(IF(ISNUMBER(SEARCH("Var", D647)), 1, IF(ISNUMBER(SEARCH("Gri", D647)), -1, 0)))=1, VERI_TABANI!E28*(1-0.928)*VERI_TABANI!$B$9, 0) + (VERI_TABANI!D28*B647*(VERI_TABANI!$B$13-VERI_TABANI!$B$14)*VERI_TABANI!G28) + (VERI_TABANI!D28*C647*(VERI_TABANI!$B$13-VERI_TABANI!$B$15)*VERI_TABANI!G28) + IF(ABS(IF(ISNUMBER(SEARCH("Var", D647)), 1, IF(ISNUMBER(SEARCH("Gri", D647)), -1, 0)))=1, VERI_TABANI!E28*(1-0.928)*0.00206091519919798*VERI_TABANI!G28, 0)))</f>
        <v/>
      </c>
      <c r="H647" s="169">
        <f>(((VERI_TABANI!D23*B647*(VERI_TABANI!$B$13-VERI_TABANI!$B$14)) + (VERI_TABANI!D23*C647*(VERI_TABANI!$B$13-VERI_TABANI!$B$15)) + IF(ISNUMBER(SEARCH("Var", D647)), VERI_TABANI!F23*(0.00202-VERI_TABANI!$B$16), IF(ISNUMBER(SEARCH("Gri", D647)), VERI_TABANI!F23*(0.00202-VERI_TABANI!$B$17), 0))) + ((VERI_TABANI!D24*B647*(VERI_TABANI!$B$13-VERI_TABANI!$B$14)) + (VERI_TABANI!D24*C647*(VERI_TABANI!$B$13-VERI_TABANI!$B$15)) + IF(ISNUMBER(SEARCH("Var", D647)), VERI_TABANI!F24*(0.00202-VERI_TABANI!$B$16), IF(ISNUMBER(SEARCH("Gri", D647)), VERI_TABANI!F24*(0.00202-VERI_TABANI!$B$17), 0))) + ((VERI_TABANI!D25*B647*(VERI_TABANI!$B$13-VERI_TABANI!$B$14)) + (VERI_TABANI!D25*C647*(VERI_TABANI!$B$13-VERI_TABANI!$B$15)) + IF(ISNUMBER(SEARCH("Var", D647)), VERI_TABANI!F25*(0.00202-VERI_TABANI!$B$16), IF(ISNUMBER(SEARCH("Gri", D647)), VERI_TABANI!F25*(0.00202-VERI_TABANI!$B$17), 0))) + ((VERI_TABANI!D26*B647*(VERI_TABANI!$B$13-VERI_TABANI!$B$14)) + (VERI_TABANI!D26*C647*(VERI_TABANI!$B$13-VERI_TABANI!$B$15)) + IF(ISNUMBER(SEARCH("Var", D647)), VERI_TABANI!F26*(0.00202-VERI_TABANI!$B$16), IF(ISNUMBER(SEARCH("Gri", D647)), VERI_TABANI!F26*(0.00202-VERI_TABANI!$B$17), 0))) + ((VERI_TABANI!D27*B647*(VERI_TABANI!$B$13-VERI_TABANI!$B$14)) + (VERI_TABANI!D27*C647*(VERI_TABANI!$B$13-VERI_TABANI!$B$15)) + IF(ISNUMBER(SEARCH("Var", D647)), VERI_TABANI!F27*(0.00202-VERI_TABANI!$B$16), IF(ISNUMBER(SEARCH("Gri", D647)), VERI_TABANI!F27*(0.00202-VERI_TABANI!$B$17), 0))) + ((VERI_TABANI!D28*B647*(VERI_TABANI!$B$13-VERI_TABANI!$B$14)) + (VERI_TABANI!D28*C647*(VERI_TABANI!$B$13-VERI_TABANI!$B$15)) + IF(ISNUMBER(SEARCH("Var", D647)), VERI_TABANI!F28*(0.00202-VERI_TABANI!$B$16), IF(ISNUMBER(SEARCH("Gri", D647)), VERI_TABANI!F28*(0.00202-VERI_TABANI!$B$17), 0))))</f>
        <v/>
      </c>
      <c r="I647" s="170">
        <f>IFERROR(((VERI_TABANI!$D$29*B647*VERI_TABANI!$B$14 + VERI_TABANI!$D$29*C647*VERI_TABANI!$B$15 + IF(ISNUMBER(SEARCH("Var", D647)), VERI_TABANI!$F$29*VERI_TABANI!$B$16, 0))) / (((VERI_TABANI!$D$29*B647 + VERI_TABANI!$D$29*C647)*VERI_TABANI!$B$13 + IF(ISNUMBER(SEARCH("Var", D647)), VERI_TABANI!$E$29*(1-0.928)*VERI_TABANI!$B$18, 0))), 0)</f>
        <v/>
      </c>
      <c r="J647" s="171">
        <f>IFERROR(F647/(G647/29), 0)</f>
        <v/>
      </c>
      <c r="K647" s="172">
        <f>IF(F647&gt;0, H647/F647, 0)</f>
        <v/>
      </c>
      <c r="L647" s="170">
        <f>IF(F647&gt;0, I647, 1000000000)</f>
        <v/>
      </c>
      <c r="M647" s="171">
        <f>ABS((B647+C647)-1)</f>
        <v/>
      </c>
      <c r="N647" s="170">
        <f>IF(F647&gt;0, (G647/29)/F647, 0)</f>
        <v/>
      </c>
      <c r="O647" s="168">
        <f>IF(AND((B647+C647)&gt;=1, ISNUMBER(SEARCH("Var", D647))), F647, 1000000000)</f>
        <v/>
      </c>
      <c r="P647" s="172">
        <f>IF(F647&gt;0, SQRT((F647/MAX(F$5:F$886))^2 + (1 - H647/MAX(H$5:H$886))^2 + (J647/MAX(J$5:J$886))^2), 1000000000)</f>
        <v/>
      </c>
      <c r="Q647" s="166">
        <f>IF(AND(ABS(B647-0.5)&lt;0.01, ABS(C647-0.5)&lt;0.01, ISNUMBER(SEARCH("Var", D647))), 1, 0)</f>
        <v/>
      </c>
      <c r="R647" s="171">
        <f>IF(F647&gt;0, J647, 1000000000)</f>
        <v/>
      </c>
      <c r="S647" s="101">
        <f>IF(AND(F647&lt;=DASHBOARD!$B$11, H647&gt;=DASHBOARD!$B$13), G647, -1000000000000)</f>
        <v/>
      </c>
      <c r="T647" s="101">
        <f>IF(AND(F647&lt;=DASHBOARD!$B$11, H647&gt;=DASHBOARD!$B$13), R647, 1000000000000)</f>
        <v/>
      </c>
      <c r="U647" s="101">
        <f>IF(AND(F647&lt;=DASHBOARD!$B$11, H647&gt;=DASHBOARD!$B$13), N647, -1000000000000)</f>
        <v/>
      </c>
      <c r="V647" s="101">
        <f>IF(AND(F647&lt;=DASHBOARD!$B$11, H647&gt;=DASHBOARD!$B$13), H647, -1000000000000)</f>
        <v/>
      </c>
      <c r="W647" s="101">
        <f>IF(AND(F647&lt;=DASHBOARD!$B$11, H647&gt;=DASHBOARD!$B$13), K647, -1000000000000)</f>
        <v/>
      </c>
      <c r="X647" s="101">
        <f>IF(AND(F647&lt;=DASHBOARD!$B$11, H647&gt;=DASHBOARD!$B$13), M647, 1000000000000)</f>
        <v/>
      </c>
      <c r="Y647" s="101">
        <f>IF(AND(F647&lt;=DASHBOARD!$B$10, H647&gt;=DASHBOARD!$B$11), L647, 1000000000000)</f>
        <v/>
      </c>
      <c r="Z647" s="101">
        <f>IF(AND(F647&lt;=DASHBOARD!$B$10, H647&gt;=DASHBOARD!$B$11), O647, 1000000000000)</f>
        <v/>
      </c>
      <c r="AA647" s="101">
        <f>IF(AND(F647&lt;=DASHBOARD!$B$10, H647&gt;=DASHBOARD!$B$11), P647, 1000000000000)</f>
        <v/>
      </c>
      <c r="AB647" s="101">
        <f>IF(AND(F647&lt;=DASHBOARD!$B$10, H647&gt;=DASHBOARD!$B$11), Q647, -1000000000000)</f>
        <v/>
      </c>
    </row>
    <row r="648" ht="15" customHeight="1" s="102">
      <c r="A648" s="166" t="n">
        <v>644</v>
      </c>
      <c r="B648" s="167" t="n">
        <v>1.5</v>
      </c>
      <c r="C648" s="167" t="n">
        <v>0.6</v>
      </c>
      <c r="D648" s="110" t="inlineStr">
        <is>
          <t>Var (%20)</t>
        </is>
      </c>
      <c r="E648" s="110">
        <f>IF((B648+C648)&lt;=1, "Tam Mahsuplaşma (≤%100)", "Kısmi Satış (&gt;%100)")</f>
        <v/>
      </c>
      <c r="F648" s="168">
        <f>((VERI_TABANI!$D$29*B648/VERI_TABANI!$B$29)/VERI_TABANI!$B$3)*VERI_TABANI!$B$5 + ((VERI_TABANI!$D$29*C648/VERI_TABANI!$B$29)/VERI_TABANI!$B$4)*VERI_TABANI!$B$6 + IF(ISNUMBER(SEARCH("Var", D648)), (VERI_TABANI!$F$29/VERI_TABANI!$B$29)*(VERI_TABANI!$B$10+VERI_TABANI!$B$12), 0)</f>
        <v/>
      </c>
      <c r="G648" s="168">
        <f>(((MIN(VERI_TABANI!D23, VERI_TABANI!D23*B648)*VERI_TABANI!$B$7 + MAX(0, VERI_TABANI!D23*B648-VERI_TABANI!D23)*VERI_TABANI!$B$8) + (MIN(MAX(0, VERI_TABANI!D23-VERI_TABANI!D23*B648), VERI_TABANI!D23*C648)*VERI_TABANI!$B$7 + MAX(0, VERI_TABANI!D23*C648-MAX(0, VERI_TABANI!D23-VERI_TABANI!D23*B648))*VERI_TABANI!$B$8) + IF(ABS(IF(ISNUMBER(SEARCH("Var", D648)), 1, IF(ISNUMBER(SEARCH("Gri", D648)), -1, 0)))=1, VERI_TABANI!E23*(1-0.928)*VERI_TABANI!$B$9, 0) + (VERI_TABANI!D23*B648*(VERI_TABANI!$B$13-VERI_TABANI!$B$14)*VERI_TABANI!G23) + (VERI_TABANI!D23*C648*(VERI_TABANI!$B$13-VERI_TABANI!$B$15)*VERI_TABANI!G23) + IF(ABS(IF(ISNUMBER(SEARCH("Var", D648)), 1, IF(ISNUMBER(SEARCH("Gri", D648)), -1, 0)))=1, VERI_TABANI!E23*(1-0.928)*0.00206091519919798*VERI_TABANI!G23, 0)) + ((MIN(VERI_TABANI!D24, VERI_TABANI!D24*B648)*VERI_TABANI!$B$7 + MAX(0, VERI_TABANI!D24*B648-VERI_TABANI!D24)*VERI_TABANI!$B$8) + (MIN(MAX(0, VERI_TABANI!D24-VERI_TABANI!D24*B648), VERI_TABANI!D24*C648)*VERI_TABANI!$B$7 + MAX(0, VERI_TABANI!D24*C648-MAX(0, VERI_TABANI!D24-VERI_TABANI!D24*B648))*VERI_TABANI!$B$8) + IF(ABS(IF(ISNUMBER(SEARCH("Var", D648)), 1, IF(ISNUMBER(SEARCH("Gri", D648)), -1, 0)))=1, VERI_TABANI!E24*(1-0.928)*VERI_TABANI!$B$9, 0) + (VERI_TABANI!D24*B648*(VERI_TABANI!$B$13-VERI_TABANI!$B$14)*VERI_TABANI!G24) + (VERI_TABANI!D24*C648*(VERI_TABANI!$B$13-VERI_TABANI!$B$15)*VERI_TABANI!G24) + IF(ABS(IF(ISNUMBER(SEARCH("Var", D648)), 1, IF(ISNUMBER(SEARCH("Gri", D648)), -1, 0)))=1, VERI_TABANI!E24*(1-0.928)*0.00206091519919798*VERI_TABANI!G24, 0)) + ((MIN(VERI_TABANI!D25, VERI_TABANI!D25*B648)*VERI_TABANI!$B$7 + MAX(0, VERI_TABANI!D25*B648-VERI_TABANI!D25)*VERI_TABANI!$B$8) + (MIN(MAX(0, VERI_TABANI!D25-VERI_TABANI!D25*B648), VERI_TABANI!D25*C648)*VERI_TABANI!$B$7 + MAX(0, VERI_TABANI!D25*C648-MAX(0, VERI_TABANI!D25-VERI_TABANI!D25*B648))*VERI_TABANI!$B$8) + IF(ABS(IF(ISNUMBER(SEARCH("Var", D648)), 1, IF(ISNUMBER(SEARCH("Gri", D648)), -1, 0)))=1, VERI_TABANI!E25*(1-0.928)*VERI_TABANI!$B$9, 0) + (VERI_TABANI!D25*B648*(VERI_TABANI!$B$13-VERI_TABANI!$B$14)*VERI_TABANI!G25) + (VERI_TABANI!D25*C648*(VERI_TABANI!$B$13-VERI_TABANI!$B$15)*VERI_TABANI!G25) + IF(ABS(IF(ISNUMBER(SEARCH("Var", D648)), 1, IF(ISNUMBER(SEARCH("Gri", D648)), -1, 0)))=1, VERI_TABANI!E25*(1-0.928)*0.00206091519919798*VERI_TABANI!G25, 0)) + ((MIN(VERI_TABANI!D26, VERI_TABANI!D26*B648)*VERI_TABANI!$B$7 + MAX(0, VERI_TABANI!D26*B648-VERI_TABANI!D26)*VERI_TABANI!$B$8) + (MIN(MAX(0, VERI_TABANI!D26-VERI_TABANI!D26*B648), VERI_TABANI!D26*C648)*VERI_TABANI!$B$7 + MAX(0, VERI_TABANI!D26*C648-MAX(0, VERI_TABANI!D26-VERI_TABANI!D26*B648))*VERI_TABANI!$B$8) + IF(ABS(IF(ISNUMBER(SEARCH("Var", D648)), 1, IF(ISNUMBER(SEARCH("Gri", D648)), -1, 0)))=1, VERI_TABANI!E26*(1-0.928)*VERI_TABANI!$B$9, 0) + (VERI_TABANI!D26*B648*(VERI_TABANI!$B$13-VERI_TABANI!$B$14)*VERI_TABANI!G26) + (VERI_TABANI!D26*C648*(VERI_TABANI!$B$13-VERI_TABANI!$B$15)*VERI_TABANI!G26) + IF(ABS(IF(ISNUMBER(SEARCH("Var", D648)), 1, IF(ISNUMBER(SEARCH("Gri", D648)), -1, 0)))=1, VERI_TABANI!E26*(1-0.928)*0.00206091519919798*VERI_TABANI!G26, 0)) + ((MIN(VERI_TABANI!D27, VERI_TABANI!D27*B648)*VERI_TABANI!$B$7 + MAX(0, VERI_TABANI!D27*B648-VERI_TABANI!D27)*VERI_TABANI!$B$8) + (MIN(MAX(0, VERI_TABANI!D27-VERI_TABANI!D27*B648), VERI_TABANI!D27*C648)*VERI_TABANI!$B$7 + MAX(0, VERI_TABANI!D27*C648-MAX(0, VERI_TABANI!D27-VERI_TABANI!D27*B648))*VERI_TABANI!$B$8) + IF(ABS(IF(ISNUMBER(SEARCH("Var", D648)), 1, IF(ISNUMBER(SEARCH("Gri", D648)), -1, 0)))=1, VERI_TABANI!E27*(1-0.928)*VERI_TABANI!$B$9, 0) + (VERI_TABANI!D27*B648*(VERI_TABANI!$B$13-VERI_TABANI!$B$14)*VERI_TABANI!G27) + (VERI_TABANI!D27*C648*(VERI_TABANI!$B$13-VERI_TABANI!$B$15)*VERI_TABANI!G27) + IF(ABS(IF(ISNUMBER(SEARCH("Var", D648)), 1, IF(ISNUMBER(SEARCH("Gri", D648)), -1, 0)))=1, VERI_TABANI!E27*(1-0.928)*0.00206091519919798*VERI_TABANI!G27, 0)) + ((MIN(VERI_TABANI!D28, VERI_TABANI!D28*B648)*VERI_TABANI!$B$7 + MAX(0, VERI_TABANI!D28*B648-VERI_TABANI!D28)*VERI_TABANI!$B$8) + (MIN(MAX(0, VERI_TABANI!D28-VERI_TABANI!D28*B648), VERI_TABANI!D28*C648)*VERI_TABANI!$B$7 + MAX(0, VERI_TABANI!D28*C648-MAX(0, VERI_TABANI!D28-VERI_TABANI!D28*B648))*VERI_TABANI!$B$8) + IF(ABS(IF(ISNUMBER(SEARCH("Var", D648)), 1, IF(ISNUMBER(SEARCH("Gri", D648)), -1, 0)))=1, VERI_TABANI!E28*(1-0.928)*VERI_TABANI!$B$9, 0) + (VERI_TABANI!D28*B648*(VERI_TABANI!$B$13-VERI_TABANI!$B$14)*VERI_TABANI!G28) + (VERI_TABANI!D28*C648*(VERI_TABANI!$B$13-VERI_TABANI!$B$15)*VERI_TABANI!G28) + IF(ABS(IF(ISNUMBER(SEARCH("Var", D648)), 1, IF(ISNUMBER(SEARCH("Gri", D648)), -1, 0)))=1, VERI_TABANI!E28*(1-0.928)*0.00206091519919798*VERI_TABANI!G28, 0)))</f>
        <v/>
      </c>
      <c r="H648" s="169">
        <f>(((VERI_TABANI!D23*B648*(VERI_TABANI!$B$13-VERI_TABANI!$B$14)) + (VERI_TABANI!D23*C648*(VERI_TABANI!$B$13-VERI_TABANI!$B$15)) + IF(ISNUMBER(SEARCH("Var", D648)), VERI_TABANI!F23*(0.00202-VERI_TABANI!$B$16), IF(ISNUMBER(SEARCH("Gri", D648)), VERI_TABANI!F23*(0.00202-VERI_TABANI!$B$17), 0))) + ((VERI_TABANI!D24*B648*(VERI_TABANI!$B$13-VERI_TABANI!$B$14)) + (VERI_TABANI!D24*C648*(VERI_TABANI!$B$13-VERI_TABANI!$B$15)) + IF(ISNUMBER(SEARCH("Var", D648)), VERI_TABANI!F24*(0.00202-VERI_TABANI!$B$16), IF(ISNUMBER(SEARCH("Gri", D648)), VERI_TABANI!F24*(0.00202-VERI_TABANI!$B$17), 0))) + ((VERI_TABANI!D25*B648*(VERI_TABANI!$B$13-VERI_TABANI!$B$14)) + (VERI_TABANI!D25*C648*(VERI_TABANI!$B$13-VERI_TABANI!$B$15)) + IF(ISNUMBER(SEARCH("Var", D648)), VERI_TABANI!F25*(0.00202-VERI_TABANI!$B$16), IF(ISNUMBER(SEARCH("Gri", D648)), VERI_TABANI!F25*(0.00202-VERI_TABANI!$B$17), 0))) + ((VERI_TABANI!D26*B648*(VERI_TABANI!$B$13-VERI_TABANI!$B$14)) + (VERI_TABANI!D26*C648*(VERI_TABANI!$B$13-VERI_TABANI!$B$15)) + IF(ISNUMBER(SEARCH("Var", D648)), VERI_TABANI!F26*(0.00202-VERI_TABANI!$B$16), IF(ISNUMBER(SEARCH("Gri", D648)), VERI_TABANI!F26*(0.00202-VERI_TABANI!$B$17), 0))) + ((VERI_TABANI!D27*B648*(VERI_TABANI!$B$13-VERI_TABANI!$B$14)) + (VERI_TABANI!D27*C648*(VERI_TABANI!$B$13-VERI_TABANI!$B$15)) + IF(ISNUMBER(SEARCH("Var", D648)), VERI_TABANI!F27*(0.00202-VERI_TABANI!$B$16), IF(ISNUMBER(SEARCH("Gri", D648)), VERI_TABANI!F27*(0.00202-VERI_TABANI!$B$17), 0))) + ((VERI_TABANI!D28*B648*(VERI_TABANI!$B$13-VERI_TABANI!$B$14)) + (VERI_TABANI!D28*C648*(VERI_TABANI!$B$13-VERI_TABANI!$B$15)) + IF(ISNUMBER(SEARCH("Var", D648)), VERI_TABANI!F28*(0.00202-VERI_TABANI!$B$16), IF(ISNUMBER(SEARCH("Gri", D648)), VERI_TABANI!F28*(0.00202-VERI_TABANI!$B$17), 0))))</f>
        <v/>
      </c>
      <c r="I648" s="170">
        <f>IFERROR(((VERI_TABANI!$D$29*B648*VERI_TABANI!$B$14 + VERI_TABANI!$D$29*C648*VERI_TABANI!$B$15 + IF(ISNUMBER(SEARCH("Var", D648)), VERI_TABANI!$F$29*VERI_TABANI!$B$16, 0))) / (((VERI_TABANI!$D$29*B648 + VERI_TABANI!$D$29*C648)*VERI_TABANI!$B$13 + IF(ISNUMBER(SEARCH("Var", D648)), VERI_TABANI!$E$29*(1-0.928)*VERI_TABANI!$B$18, 0))), 0)</f>
        <v/>
      </c>
      <c r="J648" s="171">
        <f>IFERROR(F648/(G648/29), 0)</f>
        <v/>
      </c>
      <c r="K648" s="172">
        <f>IF(F648&gt;0, H648/F648, 0)</f>
        <v/>
      </c>
      <c r="L648" s="170">
        <f>IF(F648&gt;0, I648, 1000000000)</f>
        <v/>
      </c>
      <c r="M648" s="171">
        <f>ABS((B648+C648)-1)</f>
        <v/>
      </c>
      <c r="N648" s="170">
        <f>IF(F648&gt;0, (G648/29)/F648, 0)</f>
        <v/>
      </c>
      <c r="O648" s="168">
        <f>IF(AND((B648+C648)&gt;=1, ISNUMBER(SEARCH("Var", D648))), F648, 1000000000)</f>
        <v/>
      </c>
      <c r="P648" s="172">
        <f>IF(F648&gt;0, SQRT((F648/MAX(F$5:F$886))^2 + (1 - H648/MAX(H$5:H$886))^2 + (J648/MAX(J$5:J$886))^2), 1000000000)</f>
        <v/>
      </c>
      <c r="Q648" s="166">
        <f>IF(AND(ABS(B648-0.5)&lt;0.01, ABS(C648-0.5)&lt;0.01, ISNUMBER(SEARCH("Var", D648))), 1, 0)</f>
        <v/>
      </c>
      <c r="R648" s="171">
        <f>IF(F648&gt;0, J648, 1000000000)</f>
        <v/>
      </c>
      <c r="S648" s="101">
        <f>IF(AND(F648&lt;=DASHBOARD!$B$11, H648&gt;=DASHBOARD!$B$13), G648, -1000000000000)</f>
        <v/>
      </c>
      <c r="T648" s="101">
        <f>IF(AND(F648&lt;=DASHBOARD!$B$11, H648&gt;=DASHBOARD!$B$13), R648, 1000000000000)</f>
        <v/>
      </c>
      <c r="U648" s="101">
        <f>IF(AND(F648&lt;=DASHBOARD!$B$11, H648&gt;=DASHBOARD!$B$13), N648, -1000000000000)</f>
        <v/>
      </c>
      <c r="V648" s="101">
        <f>IF(AND(F648&lt;=DASHBOARD!$B$11, H648&gt;=DASHBOARD!$B$13), H648, -1000000000000)</f>
        <v/>
      </c>
      <c r="W648" s="101">
        <f>IF(AND(F648&lt;=DASHBOARD!$B$11, H648&gt;=DASHBOARD!$B$13), K648, -1000000000000)</f>
        <v/>
      </c>
      <c r="X648" s="101">
        <f>IF(AND(F648&lt;=DASHBOARD!$B$11, H648&gt;=DASHBOARD!$B$13), M648, 1000000000000)</f>
        <v/>
      </c>
      <c r="Y648" s="101">
        <f>IF(AND(F648&lt;=DASHBOARD!$B$10, H648&gt;=DASHBOARD!$B$11), L648, 1000000000000)</f>
        <v/>
      </c>
      <c r="Z648" s="101">
        <f>IF(AND(F648&lt;=DASHBOARD!$B$10, H648&gt;=DASHBOARD!$B$11), O648, 1000000000000)</f>
        <v/>
      </c>
      <c r="AA648" s="101">
        <f>IF(AND(F648&lt;=DASHBOARD!$B$10, H648&gt;=DASHBOARD!$B$11), P648, 1000000000000)</f>
        <v/>
      </c>
      <c r="AB648" s="101">
        <f>IF(AND(F648&lt;=DASHBOARD!$B$10, H648&gt;=DASHBOARD!$B$11), Q648, -1000000000000)</f>
        <v/>
      </c>
    </row>
    <row r="649" ht="15" customHeight="1" s="102">
      <c r="A649" s="166" t="n">
        <v>645</v>
      </c>
      <c r="B649" s="167" t="n">
        <v>1.5</v>
      </c>
      <c r="C649" s="167" t="n">
        <v>0.7</v>
      </c>
      <c r="D649" s="110" t="inlineStr">
        <is>
          <t>Yok (%0)</t>
        </is>
      </c>
      <c r="E649" s="110">
        <f>IF((B649+C649)&lt;=1, "Tam Mahsuplaşma (≤%100)", "Kısmi Satış (&gt;%100)")</f>
        <v/>
      </c>
      <c r="F649" s="168">
        <f>((VERI_TABANI!$D$29*B649/VERI_TABANI!$B$29)/VERI_TABANI!$B$3)*VERI_TABANI!$B$5 + ((VERI_TABANI!$D$29*C649/VERI_TABANI!$B$29)/VERI_TABANI!$B$4)*VERI_TABANI!$B$6 + IF(ISNUMBER(SEARCH("Var", D649)), (VERI_TABANI!$F$29/VERI_TABANI!$B$29)*(VERI_TABANI!$B$10+VERI_TABANI!$B$12), 0)</f>
        <v/>
      </c>
      <c r="G649" s="168">
        <f>(((MIN(VERI_TABANI!D23, VERI_TABANI!D23*B649)*VERI_TABANI!$B$7 + MAX(0, VERI_TABANI!D23*B649-VERI_TABANI!D23)*VERI_TABANI!$B$8) + (MIN(MAX(0, VERI_TABANI!D23-VERI_TABANI!D23*B649), VERI_TABANI!D23*C649)*VERI_TABANI!$B$7 + MAX(0, VERI_TABANI!D23*C649-MAX(0, VERI_TABANI!D23-VERI_TABANI!D23*B649))*VERI_TABANI!$B$8) + IF(ABS(IF(ISNUMBER(SEARCH("Var", D649)), 1, IF(ISNUMBER(SEARCH("Gri", D649)), -1, 0)))=1, VERI_TABANI!E23*(1-0.928)*VERI_TABANI!$B$9, 0) + (VERI_TABANI!D23*B649*(VERI_TABANI!$B$13-VERI_TABANI!$B$14)*VERI_TABANI!G23) + (VERI_TABANI!D23*C649*(VERI_TABANI!$B$13-VERI_TABANI!$B$15)*VERI_TABANI!G23) + IF(ABS(IF(ISNUMBER(SEARCH("Var", D649)), 1, IF(ISNUMBER(SEARCH("Gri", D649)), -1, 0)))=1, VERI_TABANI!E23*(1-0.928)*0.00206091519919798*VERI_TABANI!G23, 0)) + ((MIN(VERI_TABANI!D24, VERI_TABANI!D24*B649)*VERI_TABANI!$B$7 + MAX(0, VERI_TABANI!D24*B649-VERI_TABANI!D24)*VERI_TABANI!$B$8) + (MIN(MAX(0, VERI_TABANI!D24-VERI_TABANI!D24*B649), VERI_TABANI!D24*C649)*VERI_TABANI!$B$7 + MAX(0, VERI_TABANI!D24*C649-MAX(0, VERI_TABANI!D24-VERI_TABANI!D24*B649))*VERI_TABANI!$B$8) + IF(ABS(IF(ISNUMBER(SEARCH("Var", D649)), 1, IF(ISNUMBER(SEARCH("Gri", D649)), -1, 0)))=1, VERI_TABANI!E24*(1-0.928)*VERI_TABANI!$B$9, 0) + (VERI_TABANI!D24*B649*(VERI_TABANI!$B$13-VERI_TABANI!$B$14)*VERI_TABANI!G24) + (VERI_TABANI!D24*C649*(VERI_TABANI!$B$13-VERI_TABANI!$B$15)*VERI_TABANI!G24) + IF(ABS(IF(ISNUMBER(SEARCH("Var", D649)), 1, IF(ISNUMBER(SEARCH("Gri", D649)), -1, 0)))=1, VERI_TABANI!E24*(1-0.928)*0.00206091519919798*VERI_TABANI!G24, 0)) + ((MIN(VERI_TABANI!D25, VERI_TABANI!D25*B649)*VERI_TABANI!$B$7 + MAX(0, VERI_TABANI!D25*B649-VERI_TABANI!D25)*VERI_TABANI!$B$8) + (MIN(MAX(0, VERI_TABANI!D25-VERI_TABANI!D25*B649), VERI_TABANI!D25*C649)*VERI_TABANI!$B$7 + MAX(0, VERI_TABANI!D25*C649-MAX(0, VERI_TABANI!D25-VERI_TABANI!D25*B649))*VERI_TABANI!$B$8) + IF(ABS(IF(ISNUMBER(SEARCH("Var", D649)), 1, IF(ISNUMBER(SEARCH("Gri", D649)), -1, 0)))=1, VERI_TABANI!E25*(1-0.928)*VERI_TABANI!$B$9, 0) + (VERI_TABANI!D25*B649*(VERI_TABANI!$B$13-VERI_TABANI!$B$14)*VERI_TABANI!G25) + (VERI_TABANI!D25*C649*(VERI_TABANI!$B$13-VERI_TABANI!$B$15)*VERI_TABANI!G25) + IF(ABS(IF(ISNUMBER(SEARCH("Var", D649)), 1, IF(ISNUMBER(SEARCH("Gri", D649)), -1, 0)))=1, VERI_TABANI!E25*(1-0.928)*0.00206091519919798*VERI_TABANI!G25, 0)) + ((MIN(VERI_TABANI!D26, VERI_TABANI!D26*B649)*VERI_TABANI!$B$7 + MAX(0, VERI_TABANI!D26*B649-VERI_TABANI!D26)*VERI_TABANI!$B$8) + (MIN(MAX(0, VERI_TABANI!D26-VERI_TABANI!D26*B649), VERI_TABANI!D26*C649)*VERI_TABANI!$B$7 + MAX(0, VERI_TABANI!D26*C649-MAX(0, VERI_TABANI!D26-VERI_TABANI!D26*B649))*VERI_TABANI!$B$8) + IF(ABS(IF(ISNUMBER(SEARCH("Var", D649)), 1, IF(ISNUMBER(SEARCH("Gri", D649)), -1, 0)))=1, VERI_TABANI!E26*(1-0.928)*VERI_TABANI!$B$9, 0) + (VERI_TABANI!D26*B649*(VERI_TABANI!$B$13-VERI_TABANI!$B$14)*VERI_TABANI!G26) + (VERI_TABANI!D26*C649*(VERI_TABANI!$B$13-VERI_TABANI!$B$15)*VERI_TABANI!G26) + IF(ABS(IF(ISNUMBER(SEARCH("Var", D649)), 1, IF(ISNUMBER(SEARCH("Gri", D649)), -1, 0)))=1, VERI_TABANI!E26*(1-0.928)*0.00206091519919798*VERI_TABANI!G26, 0)) + ((MIN(VERI_TABANI!D27, VERI_TABANI!D27*B649)*VERI_TABANI!$B$7 + MAX(0, VERI_TABANI!D27*B649-VERI_TABANI!D27)*VERI_TABANI!$B$8) + (MIN(MAX(0, VERI_TABANI!D27-VERI_TABANI!D27*B649), VERI_TABANI!D27*C649)*VERI_TABANI!$B$7 + MAX(0, VERI_TABANI!D27*C649-MAX(0, VERI_TABANI!D27-VERI_TABANI!D27*B649))*VERI_TABANI!$B$8) + IF(ABS(IF(ISNUMBER(SEARCH("Var", D649)), 1, IF(ISNUMBER(SEARCH("Gri", D649)), -1, 0)))=1, VERI_TABANI!E27*(1-0.928)*VERI_TABANI!$B$9, 0) + (VERI_TABANI!D27*B649*(VERI_TABANI!$B$13-VERI_TABANI!$B$14)*VERI_TABANI!G27) + (VERI_TABANI!D27*C649*(VERI_TABANI!$B$13-VERI_TABANI!$B$15)*VERI_TABANI!G27) + IF(ABS(IF(ISNUMBER(SEARCH("Var", D649)), 1, IF(ISNUMBER(SEARCH("Gri", D649)), -1, 0)))=1, VERI_TABANI!E27*(1-0.928)*0.00206091519919798*VERI_TABANI!G27, 0)) + ((MIN(VERI_TABANI!D28, VERI_TABANI!D28*B649)*VERI_TABANI!$B$7 + MAX(0, VERI_TABANI!D28*B649-VERI_TABANI!D28)*VERI_TABANI!$B$8) + (MIN(MAX(0, VERI_TABANI!D28-VERI_TABANI!D28*B649), VERI_TABANI!D28*C649)*VERI_TABANI!$B$7 + MAX(0, VERI_TABANI!D28*C649-MAX(0, VERI_TABANI!D28-VERI_TABANI!D28*B649))*VERI_TABANI!$B$8) + IF(ABS(IF(ISNUMBER(SEARCH("Var", D649)), 1, IF(ISNUMBER(SEARCH("Gri", D649)), -1, 0)))=1, VERI_TABANI!E28*(1-0.928)*VERI_TABANI!$B$9, 0) + (VERI_TABANI!D28*B649*(VERI_TABANI!$B$13-VERI_TABANI!$B$14)*VERI_TABANI!G28) + (VERI_TABANI!D28*C649*(VERI_TABANI!$B$13-VERI_TABANI!$B$15)*VERI_TABANI!G28) + IF(ABS(IF(ISNUMBER(SEARCH("Var", D649)), 1, IF(ISNUMBER(SEARCH("Gri", D649)), -1, 0)))=1, VERI_TABANI!E28*(1-0.928)*0.00206091519919798*VERI_TABANI!G28, 0)))</f>
        <v/>
      </c>
      <c r="H649" s="169">
        <f>(((VERI_TABANI!D23*B649*(VERI_TABANI!$B$13-VERI_TABANI!$B$14)) + (VERI_TABANI!D23*C649*(VERI_TABANI!$B$13-VERI_TABANI!$B$15)) + IF(ISNUMBER(SEARCH("Var", D649)), VERI_TABANI!F23*(0.00202-VERI_TABANI!$B$16), IF(ISNUMBER(SEARCH("Gri", D649)), VERI_TABANI!F23*(0.00202-VERI_TABANI!$B$17), 0))) + ((VERI_TABANI!D24*B649*(VERI_TABANI!$B$13-VERI_TABANI!$B$14)) + (VERI_TABANI!D24*C649*(VERI_TABANI!$B$13-VERI_TABANI!$B$15)) + IF(ISNUMBER(SEARCH("Var", D649)), VERI_TABANI!F24*(0.00202-VERI_TABANI!$B$16), IF(ISNUMBER(SEARCH("Gri", D649)), VERI_TABANI!F24*(0.00202-VERI_TABANI!$B$17), 0))) + ((VERI_TABANI!D25*B649*(VERI_TABANI!$B$13-VERI_TABANI!$B$14)) + (VERI_TABANI!D25*C649*(VERI_TABANI!$B$13-VERI_TABANI!$B$15)) + IF(ISNUMBER(SEARCH("Var", D649)), VERI_TABANI!F25*(0.00202-VERI_TABANI!$B$16), IF(ISNUMBER(SEARCH("Gri", D649)), VERI_TABANI!F25*(0.00202-VERI_TABANI!$B$17), 0))) + ((VERI_TABANI!D26*B649*(VERI_TABANI!$B$13-VERI_TABANI!$B$14)) + (VERI_TABANI!D26*C649*(VERI_TABANI!$B$13-VERI_TABANI!$B$15)) + IF(ISNUMBER(SEARCH("Var", D649)), VERI_TABANI!F26*(0.00202-VERI_TABANI!$B$16), IF(ISNUMBER(SEARCH("Gri", D649)), VERI_TABANI!F26*(0.00202-VERI_TABANI!$B$17), 0))) + ((VERI_TABANI!D27*B649*(VERI_TABANI!$B$13-VERI_TABANI!$B$14)) + (VERI_TABANI!D27*C649*(VERI_TABANI!$B$13-VERI_TABANI!$B$15)) + IF(ISNUMBER(SEARCH("Var", D649)), VERI_TABANI!F27*(0.00202-VERI_TABANI!$B$16), IF(ISNUMBER(SEARCH("Gri", D649)), VERI_TABANI!F27*(0.00202-VERI_TABANI!$B$17), 0))) + ((VERI_TABANI!D28*B649*(VERI_TABANI!$B$13-VERI_TABANI!$B$14)) + (VERI_TABANI!D28*C649*(VERI_TABANI!$B$13-VERI_TABANI!$B$15)) + IF(ISNUMBER(SEARCH("Var", D649)), VERI_TABANI!F28*(0.00202-VERI_TABANI!$B$16), IF(ISNUMBER(SEARCH("Gri", D649)), VERI_TABANI!F28*(0.00202-VERI_TABANI!$B$17), 0))))</f>
        <v/>
      </c>
      <c r="I649" s="170">
        <f>IFERROR(((VERI_TABANI!$D$29*B649*VERI_TABANI!$B$14 + VERI_TABANI!$D$29*C649*VERI_TABANI!$B$15 + IF(ISNUMBER(SEARCH("Var", D649)), VERI_TABANI!$F$29*VERI_TABANI!$B$16, 0))) / (((VERI_TABANI!$D$29*B649 + VERI_TABANI!$D$29*C649)*VERI_TABANI!$B$13 + IF(ISNUMBER(SEARCH("Var", D649)), VERI_TABANI!$E$29*(1-0.928)*VERI_TABANI!$B$18, 0))), 0)</f>
        <v/>
      </c>
      <c r="J649" s="171">
        <f>IFERROR(F649/(G649/29), 0)</f>
        <v/>
      </c>
      <c r="K649" s="172">
        <f>IF(F649&gt;0, H649/F649, 0)</f>
        <v/>
      </c>
      <c r="L649" s="170">
        <f>IF(F649&gt;0, I649, 1000000000)</f>
        <v/>
      </c>
      <c r="M649" s="171">
        <f>ABS((B649+C649)-1)</f>
        <v/>
      </c>
      <c r="N649" s="170">
        <f>IF(F649&gt;0, (G649/29)/F649, 0)</f>
        <v/>
      </c>
      <c r="O649" s="168">
        <f>IF(AND((B649+C649)&gt;=1, ISNUMBER(SEARCH("Var", D649))), F649, 1000000000)</f>
        <v/>
      </c>
      <c r="P649" s="172">
        <f>IF(F649&gt;0, SQRT((F649/MAX(F$5:F$886))^2 + (1 - H649/MAX(H$5:H$886))^2 + (J649/MAX(J$5:J$886))^2), 1000000000)</f>
        <v/>
      </c>
      <c r="Q649" s="166">
        <f>IF(AND(ABS(B649-0.5)&lt;0.01, ABS(C649-0.5)&lt;0.01, ISNUMBER(SEARCH("Var", D649))), 1, 0)</f>
        <v/>
      </c>
      <c r="R649" s="171">
        <f>IF(F649&gt;0, J649, 1000000000)</f>
        <v/>
      </c>
      <c r="S649" s="101">
        <f>IF(AND(F649&lt;=DASHBOARD!$B$11, H649&gt;=DASHBOARD!$B$13), G649, -1000000000000)</f>
        <v/>
      </c>
      <c r="T649" s="101">
        <f>IF(AND(F649&lt;=DASHBOARD!$B$11, H649&gt;=DASHBOARD!$B$13), R649, 1000000000000)</f>
        <v/>
      </c>
      <c r="U649" s="101">
        <f>IF(AND(F649&lt;=DASHBOARD!$B$11, H649&gt;=DASHBOARD!$B$13), N649, -1000000000000)</f>
        <v/>
      </c>
      <c r="V649" s="101">
        <f>IF(AND(F649&lt;=DASHBOARD!$B$11, H649&gt;=DASHBOARD!$B$13), H649, -1000000000000)</f>
        <v/>
      </c>
      <c r="W649" s="101">
        <f>IF(AND(F649&lt;=DASHBOARD!$B$11, H649&gt;=DASHBOARD!$B$13), K649, -1000000000000)</f>
        <v/>
      </c>
      <c r="X649" s="101">
        <f>IF(AND(F649&lt;=DASHBOARD!$B$11, H649&gt;=DASHBOARD!$B$13), M649, 1000000000000)</f>
        <v/>
      </c>
      <c r="Y649" s="101">
        <f>IF(AND(F649&lt;=DASHBOARD!$B$10, H649&gt;=DASHBOARD!$B$11), L649, 1000000000000)</f>
        <v/>
      </c>
      <c r="Z649" s="101">
        <f>IF(AND(F649&lt;=DASHBOARD!$B$10, H649&gt;=DASHBOARD!$B$11), O649, 1000000000000)</f>
        <v/>
      </c>
      <c r="AA649" s="101">
        <f>IF(AND(F649&lt;=DASHBOARD!$B$10, H649&gt;=DASHBOARD!$B$11), P649, 1000000000000)</f>
        <v/>
      </c>
      <c r="AB649" s="101">
        <f>IF(AND(F649&lt;=DASHBOARD!$B$10, H649&gt;=DASHBOARD!$B$11), Q649, -1000000000000)</f>
        <v/>
      </c>
    </row>
    <row r="650" ht="15" customHeight="1" s="102">
      <c r="A650" s="166" t="n">
        <v>646</v>
      </c>
      <c r="B650" s="167" t="n">
        <v>1.5</v>
      </c>
      <c r="C650" s="167" t="n">
        <v>0.7</v>
      </c>
      <c r="D650" s="110" t="inlineStr">
        <is>
          <t>Var (%20)</t>
        </is>
      </c>
      <c r="E650" s="110">
        <f>IF((B650+C650)&lt;=1, "Tam Mahsuplaşma (≤%100)", "Kısmi Satış (&gt;%100)")</f>
        <v/>
      </c>
      <c r="F650" s="168">
        <f>((VERI_TABANI!$D$29*B650/VERI_TABANI!$B$29)/VERI_TABANI!$B$3)*VERI_TABANI!$B$5 + ((VERI_TABANI!$D$29*C650/VERI_TABANI!$B$29)/VERI_TABANI!$B$4)*VERI_TABANI!$B$6 + IF(ISNUMBER(SEARCH("Var", D650)), (VERI_TABANI!$F$29/VERI_TABANI!$B$29)*(VERI_TABANI!$B$10+VERI_TABANI!$B$12), 0)</f>
        <v/>
      </c>
      <c r="G650" s="168">
        <f>(((MIN(VERI_TABANI!D23, VERI_TABANI!D23*B650)*VERI_TABANI!$B$7 + MAX(0, VERI_TABANI!D23*B650-VERI_TABANI!D23)*VERI_TABANI!$B$8) + (MIN(MAX(0, VERI_TABANI!D23-VERI_TABANI!D23*B650), VERI_TABANI!D23*C650)*VERI_TABANI!$B$7 + MAX(0, VERI_TABANI!D23*C650-MAX(0, VERI_TABANI!D23-VERI_TABANI!D23*B650))*VERI_TABANI!$B$8) + IF(ABS(IF(ISNUMBER(SEARCH("Var", D650)), 1, IF(ISNUMBER(SEARCH("Gri", D650)), -1, 0)))=1, VERI_TABANI!E23*(1-0.928)*VERI_TABANI!$B$9, 0) + (VERI_TABANI!D23*B650*(VERI_TABANI!$B$13-VERI_TABANI!$B$14)*VERI_TABANI!G23) + (VERI_TABANI!D23*C650*(VERI_TABANI!$B$13-VERI_TABANI!$B$15)*VERI_TABANI!G23) + IF(ABS(IF(ISNUMBER(SEARCH("Var", D650)), 1, IF(ISNUMBER(SEARCH("Gri", D650)), -1, 0)))=1, VERI_TABANI!E23*(1-0.928)*0.00206091519919798*VERI_TABANI!G23, 0)) + ((MIN(VERI_TABANI!D24, VERI_TABANI!D24*B650)*VERI_TABANI!$B$7 + MAX(0, VERI_TABANI!D24*B650-VERI_TABANI!D24)*VERI_TABANI!$B$8) + (MIN(MAX(0, VERI_TABANI!D24-VERI_TABANI!D24*B650), VERI_TABANI!D24*C650)*VERI_TABANI!$B$7 + MAX(0, VERI_TABANI!D24*C650-MAX(0, VERI_TABANI!D24-VERI_TABANI!D24*B650))*VERI_TABANI!$B$8) + IF(ABS(IF(ISNUMBER(SEARCH("Var", D650)), 1, IF(ISNUMBER(SEARCH("Gri", D650)), -1, 0)))=1, VERI_TABANI!E24*(1-0.928)*VERI_TABANI!$B$9, 0) + (VERI_TABANI!D24*B650*(VERI_TABANI!$B$13-VERI_TABANI!$B$14)*VERI_TABANI!G24) + (VERI_TABANI!D24*C650*(VERI_TABANI!$B$13-VERI_TABANI!$B$15)*VERI_TABANI!G24) + IF(ABS(IF(ISNUMBER(SEARCH("Var", D650)), 1, IF(ISNUMBER(SEARCH("Gri", D650)), -1, 0)))=1, VERI_TABANI!E24*(1-0.928)*0.00206091519919798*VERI_TABANI!G24, 0)) + ((MIN(VERI_TABANI!D25, VERI_TABANI!D25*B650)*VERI_TABANI!$B$7 + MAX(0, VERI_TABANI!D25*B650-VERI_TABANI!D25)*VERI_TABANI!$B$8) + (MIN(MAX(0, VERI_TABANI!D25-VERI_TABANI!D25*B650), VERI_TABANI!D25*C650)*VERI_TABANI!$B$7 + MAX(0, VERI_TABANI!D25*C650-MAX(0, VERI_TABANI!D25-VERI_TABANI!D25*B650))*VERI_TABANI!$B$8) + IF(ABS(IF(ISNUMBER(SEARCH("Var", D650)), 1, IF(ISNUMBER(SEARCH("Gri", D650)), -1, 0)))=1, VERI_TABANI!E25*(1-0.928)*VERI_TABANI!$B$9, 0) + (VERI_TABANI!D25*B650*(VERI_TABANI!$B$13-VERI_TABANI!$B$14)*VERI_TABANI!G25) + (VERI_TABANI!D25*C650*(VERI_TABANI!$B$13-VERI_TABANI!$B$15)*VERI_TABANI!G25) + IF(ABS(IF(ISNUMBER(SEARCH("Var", D650)), 1, IF(ISNUMBER(SEARCH("Gri", D650)), -1, 0)))=1, VERI_TABANI!E25*(1-0.928)*0.00206091519919798*VERI_TABANI!G25, 0)) + ((MIN(VERI_TABANI!D26, VERI_TABANI!D26*B650)*VERI_TABANI!$B$7 + MAX(0, VERI_TABANI!D26*B650-VERI_TABANI!D26)*VERI_TABANI!$B$8) + (MIN(MAX(0, VERI_TABANI!D26-VERI_TABANI!D26*B650), VERI_TABANI!D26*C650)*VERI_TABANI!$B$7 + MAX(0, VERI_TABANI!D26*C650-MAX(0, VERI_TABANI!D26-VERI_TABANI!D26*B650))*VERI_TABANI!$B$8) + IF(ABS(IF(ISNUMBER(SEARCH("Var", D650)), 1, IF(ISNUMBER(SEARCH("Gri", D650)), -1, 0)))=1, VERI_TABANI!E26*(1-0.928)*VERI_TABANI!$B$9, 0) + (VERI_TABANI!D26*B650*(VERI_TABANI!$B$13-VERI_TABANI!$B$14)*VERI_TABANI!G26) + (VERI_TABANI!D26*C650*(VERI_TABANI!$B$13-VERI_TABANI!$B$15)*VERI_TABANI!G26) + IF(ABS(IF(ISNUMBER(SEARCH("Var", D650)), 1, IF(ISNUMBER(SEARCH("Gri", D650)), -1, 0)))=1, VERI_TABANI!E26*(1-0.928)*0.00206091519919798*VERI_TABANI!G26, 0)) + ((MIN(VERI_TABANI!D27, VERI_TABANI!D27*B650)*VERI_TABANI!$B$7 + MAX(0, VERI_TABANI!D27*B650-VERI_TABANI!D27)*VERI_TABANI!$B$8) + (MIN(MAX(0, VERI_TABANI!D27-VERI_TABANI!D27*B650), VERI_TABANI!D27*C650)*VERI_TABANI!$B$7 + MAX(0, VERI_TABANI!D27*C650-MAX(0, VERI_TABANI!D27-VERI_TABANI!D27*B650))*VERI_TABANI!$B$8) + IF(ABS(IF(ISNUMBER(SEARCH("Var", D650)), 1, IF(ISNUMBER(SEARCH("Gri", D650)), -1, 0)))=1, VERI_TABANI!E27*(1-0.928)*VERI_TABANI!$B$9, 0) + (VERI_TABANI!D27*B650*(VERI_TABANI!$B$13-VERI_TABANI!$B$14)*VERI_TABANI!G27) + (VERI_TABANI!D27*C650*(VERI_TABANI!$B$13-VERI_TABANI!$B$15)*VERI_TABANI!G27) + IF(ABS(IF(ISNUMBER(SEARCH("Var", D650)), 1, IF(ISNUMBER(SEARCH("Gri", D650)), -1, 0)))=1, VERI_TABANI!E27*(1-0.928)*0.00206091519919798*VERI_TABANI!G27, 0)) + ((MIN(VERI_TABANI!D28, VERI_TABANI!D28*B650)*VERI_TABANI!$B$7 + MAX(0, VERI_TABANI!D28*B650-VERI_TABANI!D28)*VERI_TABANI!$B$8) + (MIN(MAX(0, VERI_TABANI!D28-VERI_TABANI!D28*B650), VERI_TABANI!D28*C650)*VERI_TABANI!$B$7 + MAX(0, VERI_TABANI!D28*C650-MAX(0, VERI_TABANI!D28-VERI_TABANI!D28*B650))*VERI_TABANI!$B$8) + IF(ABS(IF(ISNUMBER(SEARCH("Var", D650)), 1, IF(ISNUMBER(SEARCH("Gri", D650)), -1, 0)))=1, VERI_TABANI!E28*(1-0.928)*VERI_TABANI!$B$9, 0) + (VERI_TABANI!D28*B650*(VERI_TABANI!$B$13-VERI_TABANI!$B$14)*VERI_TABANI!G28) + (VERI_TABANI!D28*C650*(VERI_TABANI!$B$13-VERI_TABANI!$B$15)*VERI_TABANI!G28) + IF(ABS(IF(ISNUMBER(SEARCH("Var", D650)), 1, IF(ISNUMBER(SEARCH("Gri", D650)), -1, 0)))=1, VERI_TABANI!E28*(1-0.928)*0.00206091519919798*VERI_TABANI!G28, 0)))</f>
        <v/>
      </c>
      <c r="H650" s="169">
        <f>(((VERI_TABANI!D23*B650*(VERI_TABANI!$B$13-VERI_TABANI!$B$14)) + (VERI_TABANI!D23*C650*(VERI_TABANI!$B$13-VERI_TABANI!$B$15)) + IF(ISNUMBER(SEARCH("Var", D650)), VERI_TABANI!F23*(0.00202-VERI_TABANI!$B$16), IF(ISNUMBER(SEARCH("Gri", D650)), VERI_TABANI!F23*(0.00202-VERI_TABANI!$B$17), 0))) + ((VERI_TABANI!D24*B650*(VERI_TABANI!$B$13-VERI_TABANI!$B$14)) + (VERI_TABANI!D24*C650*(VERI_TABANI!$B$13-VERI_TABANI!$B$15)) + IF(ISNUMBER(SEARCH("Var", D650)), VERI_TABANI!F24*(0.00202-VERI_TABANI!$B$16), IF(ISNUMBER(SEARCH("Gri", D650)), VERI_TABANI!F24*(0.00202-VERI_TABANI!$B$17), 0))) + ((VERI_TABANI!D25*B650*(VERI_TABANI!$B$13-VERI_TABANI!$B$14)) + (VERI_TABANI!D25*C650*(VERI_TABANI!$B$13-VERI_TABANI!$B$15)) + IF(ISNUMBER(SEARCH("Var", D650)), VERI_TABANI!F25*(0.00202-VERI_TABANI!$B$16), IF(ISNUMBER(SEARCH("Gri", D650)), VERI_TABANI!F25*(0.00202-VERI_TABANI!$B$17), 0))) + ((VERI_TABANI!D26*B650*(VERI_TABANI!$B$13-VERI_TABANI!$B$14)) + (VERI_TABANI!D26*C650*(VERI_TABANI!$B$13-VERI_TABANI!$B$15)) + IF(ISNUMBER(SEARCH("Var", D650)), VERI_TABANI!F26*(0.00202-VERI_TABANI!$B$16), IF(ISNUMBER(SEARCH("Gri", D650)), VERI_TABANI!F26*(0.00202-VERI_TABANI!$B$17), 0))) + ((VERI_TABANI!D27*B650*(VERI_TABANI!$B$13-VERI_TABANI!$B$14)) + (VERI_TABANI!D27*C650*(VERI_TABANI!$B$13-VERI_TABANI!$B$15)) + IF(ISNUMBER(SEARCH("Var", D650)), VERI_TABANI!F27*(0.00202-VERI_TABANI!$B$16), IF(ISNUMBER(SEARCH("Gri", D650)), VERI_TABANI!F27*(0.00202-VERI_TABANI!$B$17), 0))) + ((VERI_TABANI!D28*B650*(VERI_TABANI!$B$13-VERI_TABANI!$B$14)) + (VERI_TABANI!D28*C650*(VERI_TABANI!$B$13-VERI_TABANI!$B$15)) + IF(ISNUMBER(SEARCH("Var", D650)), VERI_TABANI!F28*(0.00202-VERI_TABANI!$B$16), IF(ISNUMBER(SEARCH("Gri", D650)), VERI_TABANI!F28*(0.00202-VERI_TABANI!$B$17), 0))))</f>
        <v/>
      </c>
      <c r="I650" s="170">
        <f>IFERROR(((VERI_TABANI!$D$29*B650*VERI_TABANI!$B$14 + VERI_TABANI!$D$29*C650*VERI_TABANI!$B$15 + IF(ISNUMBER(SEARCH("Var", D650)), VERI_TABANI!$F$29*VERI_TABANI!$B$16, 0))) / (((VERI_TABANI!$D$29*B650 + VERI_TABANI!$D$29*C650)*VERI_TABANI!$B$13 + IF(ISNUMBER(SEARCH("Var", D650)), VERI_TABANI!$E$29*(1-0.928)*VERI_TABANI!$B$18, 0))), 0)</f>
        <v/>
      </c>
      <c r="J650" s="171">
        <f>IFERROR(F650/(G650/29), 0)</f>
        <v/>
      </c>
      <c r="K650" s="172">
        <f>IF(F650&gt;0, H650/F650, 0)</f>
        <v/>
      </c>
      <c r="L650" s="170">
        <f>IF(F650&gt;0, I650, 1000000000)</f>
        <v/>
      </c>
      <c r="M650" s="171">
        <f>ABS((B650+C650)-1)</f>
        <v/>
      </c>
      <c r="N650" s="170">
        <f>IF(F650&gt;0, (G650/29)/F650, 0)</f>
        <v/>
      </c>
      <c r="O650" s="168">
        <f>IF(AND((B650+C650)&gt;=1, ISNUMBER(SEARCH("Var", D650))), F650, 1000000000)</f>
        <v/>
      </c>
      <c r="P650" s="172">
        <f>IF(F650&gt;0, SQRT((F650/MAX(F$5:F$886))^2 + (1 - H650/MAX(H$5:H$886))^2 + (J650/MAX(J$5:J$886))^2), 1000000000)</f>
        <v/>
      </c>
      <c r="Q650" s="166">
        <f>IF(AND(ABS(B650-0.5)&lt;0.01, ABS(C650-0.5)&lt;0.01, ISNUMBER(SEARCH("Var", D650))), 1, 0)</f>
        <v/>
      </c>
      <c r="R650" s="171">
        <f>IF(F650&gt;0, J650, 1000000000)</f>
        <v/>
      </c>
      <c r="S650" s="101">
        <f>IF(AND(F650&lt;=DASHBOARD!$B$11, H650&gt;=DASHBOARD!$B$13), G650, -1000000000000)</f>
        <v/>
      </c>
      <c r="T650" s="101">
        <f>IF(AND(F650&lt;=DASHBOARD!$B$11, H650&gt;=DASHBOARD!$B$13), R650, 1000000000000)</f>
        <v/>
      </c>
      <c r="U650" s="101">
        <f>IF(AND(F650&lt;=DASHBOARD!$B$11, H650&gt;=DASHBOARD!$B$13), N650, -1000000000000)</f>
        <v/>
      </c>
      <c r="V650" s="101">
        <f>IF(AND(F650&lt;=DASHBOARD!$B$11, H650&gt;=DASHBOARD!$B$13), H650, -1000000000000)</f>
        <v/>
      </c>
      <c r="W650" s="101">
        <f>IF(AND(F650&lt;=DASHBOARD!$B$11, H650&gt;=DASHBOARD!$B$13), K650, -1000000000000)</f>
        <v/>
      </c>
      <c r="X650" s="101">
        <f>IF(AND(F650&lt;=DASHBOARD!$B$11, H650&gt;=DASHBOARD!$B$13), M650, 1000000000000)</f>
        <v/>
      </c>
      <c r="Y650" s="101">
        <f>IF(AND(F650&lt;=DASHBOARD!$B$10, H650&gt;=DASHBOARD!$B$11), L650, 1000000000000)</f>
        <v/>
      </c>
      <c r="Z650" s="101">
        <f>IF(AND(F650&lt;=DASHBOARD!$B$10, H650&gt;=DASHBOARD!$B$11), O650, 1000000000000)</f>
        <v/>
      </c>
      <c r="AA650" s="101">
        <f>IF(AND(F650&lt;=DASHBOARD!$B$10, H650&gt;=DASHBOARD!$B$11), P650, 1000000000000)</f>
        <v/>
      </c>
      <c r="AB650" s="101">
        <f>IF(AND(F650&lt;=DASHBOARD!$B$10, H650&gt;=DASHBOARD!$B$11), Q650, -1000000000000)</f>
        <v/>
      </c>
    </row>
    <row r="651" ht="15" customHeight="1" s="102">
      <c r="A651" s="166" t="n">
        <v>647</v>
      </c>
      <c r="B651" s="167" t="n">
        <v>1.5</v>
      </c>
      <c r="C651" s="167" t="n">
        <v>0.8</v>
      </c>
      <c r="D651" s="110" t="inlineStr">
        <is>
          <t>Yok (%0)</t>
        </is>
      </c>
      <c r="E651" s="110">
        <f>IF((B651+C651)&lt;=1, "Tam Mahsuplaşma (≤%100)", "Kısmi Satış (&gt;%100)")</f>
        <v/>
      </c>
      <c r="F651" s="168">
        <f>((VERI_TABANI!$D$29*B651/VERI_TABANI!$B$29)/VERI_TABANI!$B$3)*VERI_TABANI!$B$5 + ((VERI_TABANI!$D$29*C651/VERI_TABANI!$B$29)/VERI_TABANI!$B$4)*VERI_TABANI!$B$6 + IF(ISNUMBER(SEARCH("Var", D651)), (VERI_TABANI!$F$29/VERI_TABANI!$B$29)*(VERI_TABANI!$B$10+VERI_TABANI!$B$12), 0)</f>
        <v/>
      </c>
      <c r="G651" s="168">
        <f>(((MIN(VERI_TABANI!D23, VERI_TABANI!D23*B651)*VERI_TABANI!$B$7 + MAX(0, VERI_TABANI!D23*B651-VERI_TABANI!D23)*VERI_TABANI!$B$8) + (MIN(MAX(0, VERI_TABANI!D23-VERI_TABANI!D23*B651), VERI_TABANI!D23*C651)*VERI_TABANI!$B$7 + MAX(0, VERI_TABANI!D23*C651-MAX(0, VERI_TABANI!D23-VERI_TABANI!D23*B651))*VERI_TABANI!$B$8) + IF(ABS(IF(ISNUMBER(SEARCH("Var", D651)), 1, IF(ISNUMBER(SEARCH("Gri", D651)), -1, 0)))=1, VERI_TABANI!E23*(1-0.928)*VERI_TABANI!$B$9, 0) + (VERI_TABANI!D23*B651*(VERI_TABANI!$B$13-VERI_TABANI!$B$14)*VERI_TABANI!G23) + (VERI_TABANI!D23*C651*(VERI_TABANI!$B$13-VERI_TABANI!$B$15)*VERI_TABANI!G23) + IF(ABS(IF(ISNUMBER(SEARCH("Var", D651)), 1, IF(ISNUMBER(SEARCH("Gri", D651)), -1, 0)))=1, VERI_TABANI!E23*(1-0.928)*0.00206091519919798*VERI_TABANI!G23, 0)) + ((MIN(VERI_TABANI!D24, VERI_TABANI!D24*B651)*VERI_TABANI!$B$7 + MAX(0, VERI_TABANI!D24*B651-VERI_TABANI!D24)*VERI_TABANI!$B$8) + (MIN(MAX(0, VERI_TABANI!D24-VERI_TABANI!D24*B651), VERI_TABANI!D24*C651)*VERI_TABANI!$B$7 + MAX(0, VERI_TABANI!D24*C651-MAX(0, VERI_TABANI!D24-VERI_TABANI!D24*B651))*VERI_TABANI!$B$8) + IF(ABS(IF(ISNUMBER(SEARCH("Var", D651)), 1, IF(ISNUMBER(SEARCH("Gri", D651)), -1, 0)))=1, VERI_TABANI!E24*(1-0.928)*VERI_TABANI!$B$9, 0) + (VERI_TABANI!D24*B651*(VERI_TABANI!$B$13-VERI_TABANI!$B$14)*VERI_TABANI!G24) + (VERI_TABANI!D24*C651*(VERI_TABANI!$B$13-VERI_TABANI!$B$15)*VERI_TABANI!G24) + IF(ABS(IF(ISNUMBER(SEARCH("Var", D651)), 1, IF(ISNUMBER(SEARCH("Gri", D651)), -1, 0)))=1, VERI_TABANI!E24*(1-0.928)*0.00206091519919798*VERI_TABANI!G24, 0)) + ((MIN(VERI_TABANI!D25, VERI_TABANI!D25*B651)*VERI_TABANI!$B$7 + MAX(0, VERI_TABANI!D25*B651-VERI_TABANI!D25)*VERI_TABANI!$B$8) + (MIN(MAX(0, VERI_TABANI!D25-VERI_TABANI!D25*B651), VERI_TABANI!D25*C651)*VERI_TABANI!$B$7 + MAX(0, VERI_TABANI!D25*C651-MAX(0, VERI_TABANI!D25-VERI_TABANI!D25*B651))*VERI_TABANI!$B$8) + IF(ABS(IF(ISNUMBER(SEARCH("Var", D651)), 1, IF(ISNUMBER(SEARCH("Gri", D651)), -1, 0)))=1, VERI_TABANI!E25*(1-0.928)*VERI_TABANI!$B$9, 0) + (VERI_TABANI!D25*B651*(VERI_TABANI!$B$13-VERI_TABANI!$B$14)*VERI_TABANI!G25) + (VERI_TABANI!D25*C651*(VERI_TABANI!$B$13-VERI_TABANI!$B$15)*VERI_TABANI!G25) + IF(ABS(IF(ISNUMBER(SEARCH("Var", D651)), 1, IF(ISNUMBER(SEARCH("Gri", D651)), -1, 0)))=1, VERI_TABANI!E25*(1-0.928)*0.00206091519919798*VERI_TABANI!G25, 0)) + ((MIN(VERI_TABANI!D26, VERI_TABANI!D26*B651)*VERI_TABANI!$B$7 + MAX(0, VERI_TABANI!D26*B651-VERI_TABANI!D26)*VERI_TABANI!$B$8) + (MIN(MAX(0, VERI_TABANI!D26-VERI_TABANI!D26*B651), VERI_TABANI!D26*C651)*VERI_TABANI!$B$7 + MAX(0, VERI_TABANI!D26*C651-MAX(0, VERI_TABANI!D26-VERI_TABANI!D26*B651))*VERI_TABANI!$B$8) + IF(ABS(IF(ISNUMBER(SEARCH("Var", D651)), 1, IF(ISNUMBER(SEARCH("Gri", D651)), -1, 0)))=1, VERI_TABANI!E26*(1-0.928)*VERI_TABANI!$B$9, 0) + (VERI_TABANI!D26*B651*(VERI_TABANI!$B$13-VERI_TABANI!$B$14)*VERI_TABANI!G26) + (VERI_TABANI!D26*C651*(VERI_TABANI!$B$13-VERI_TABANI!$B$15)*VERI_TABANI!G26) + IF(ABS(IF(ISNUMBER(SEARCH("Var", D651)), 1, IF(ISNUMBER(SEARCH("Gri", D651)), -1, 0)))=1, VERI_TABANI!E26*(1-0.928)*0.00206091519919798*VERI_TABANI!G26, 0)) + ((MIN(VERI_TABANI!D27, VERI_TABANI!D27*B651)*VERI_TABANI!$B$7 + MAX(0, VERI_TABANI!D27*B651-VERI_TABANI!D27)*VERI_TABANI!$B$8) + (MIN(MAX(0, VERI_TABANI!D27-VERI_TABANI!D27*B651), VERI_TABANI!D27*C651)*VERI_TABANI!$B$7 + MAX(0, VERI_TABANI!D27*C651-MAX(0, VERI_TABANI!D27-VERI_TABANI!D27*B651))*VERI_TABANI!$B$8) + IF(ABS(IF(ISNUMBER(SEARCH("Var", D651)), 1, IF(ISNUMBER(SEARCH("Gri", D651)), -1, 0)))=1, VERI_TABANI!E27*(1-0.928)*VERI_TABANI!$B$9, 0) + (VERI_TABANI!D27*B651*(VERI_TABANI!$B$13-VERI_TABANI!$B$14)*VERI_TABANI!G27) + (VERI_TABANI!D27*C651*(VERI_TABANI!$B$13-VERI_TABANI!$B$15)*VERI_TABANI!G27) + IF(ABS(IF(ISNUMBER(SEARCH("Var", D651)), 1, IF(ISNUMBER(SEARCH("Gri", D651)), -1, 0)))=1, VERI_TABANI!E27*(1-0.928)*0.00206091519919798*VERI_TABANI!G27, 0)) + ((MIN(VERI_TABANI!D28, VERI_TABANI!D28*B651)*VERI_TABANI!$B$7 + MAX(0, VERI_TABANI!D28*B651-VERI_TABANI!D28)*VERI_TABANI!$B$8) + (MIN(MAX(0, VERI_TABANI!D28-VERI_TABANI!D28*B651), VERI_TABANI!D28*C651)*VERI_TABANI!$B$7 + MAX(0, VERI_TABANI!D28*C651-MAX(0, VERI_TABANI!D28-VERI_TABANI!D28*B651))*VERI_TABANI!$B$8) + IF(ABS(IF(ISNUMBER(SEARCH("Var", D651)), 1, IF(ISNUMBER(SEARCH("Gri", D651)), -1, 0)))=1, VERI_TABANI!E28*(1-0.928)*VERI_TABANI!$B$9, 0) + (VERI_TABANI!D28*B651*(VERI_TABANI!$B$13-VERI_TABANI!$B$14)*VERI_TABANI!G28) + (VERI_TABANI!D28*C651*(VERI_TABANI!$B$13-VERI_TABANI!$B$15)*VERI_TABANI!G28) + IF(ABS(IF(ISNUMBER(SEARCH("Var", D651)), 1, IF(ISNUMBER(SEARCH("Gri", D651)), -1, 0)))=1, VERI_TABANI!E28*(1-0.928)*0.00206091519919798*VERI_TABANI!G28, 0)))</f>
        <v/>
      </c>
      <c r="H651" s="169">
        <f>(((VERI_TABANI!D23*B651*(VERI_TABANI!$B$13-VERI_TABANI!$B$14)) + (VERI_TABANI!D23*C651*(VERI_TABANI!$B$13-VERI_TABANI!$B$15)) + IF(ISNUMBER(SEARCH("Var", D651)), VERI_TABANI!F23*(0.00202-VERI_TABANI!$B$16), IF(ISNUMBER(SEARCH("Gri", D651)), VERI_TABANI!F23*(0.00202-VERI_TABANI!$B$17), 0))) + ((VERI_TABANI!D24*B651*(VERI_TABANI!$B$13-VERI_TABANI!$B$14)) + (VERI_TABANI!D24*C651*(VERI_TABANI!$B$13-VERI_TABANI!$B$15)) + IF(ISNUMBER(SEARCH("Var", D651)), VERI_TABANI!F24*(0.00202-VERI_TABANI!$B$16), IF(ISNUMBER(SEARCH("Gri", D651)), VERI_TABANI!F24*(0.00202-VERI_TABANI!$B$17), 0))) + ((VERI_TABANI!D25*B651*(VERI_TABANI!$B$13-VERI_TABANI!$B$14)) + (VERI_TABANI!D25*C651*(VERI_TABANI!$B$13-VERI_TABANI!$B$15)) + IF(ISNUMBER(SEARCH("Var", D651)), VERI_TABANI!F25*(0.00202-VERI_TABANI!$B$16), IF(ISNUMBER(SEARCH("Gri", D651)), VERI_TABANI!F25*(0.00202-VERI_TABANI!$B$17), 0))) + ((VERI_TABANI!D26*B651*(VERI_TABANI!$B$13-VERI_TABANI!$B$14)) + (VERI_TABANI!D26*C651*(VERI_TABANI!$B$13-VERI_TABANI!$B$15)) + IF(ISNUMBER(SEARCH("Var", D651)), VERI_TABANI!F26*(0.00202-VERI_TABANI!$B$16), IF(ISNUMBER(SEARCH("Gri", D651)), VERI_TABANI!F26*(0.00202-VERI_TABANI!$B$17), 0))) + ((VERI_TABANI!D27*B651*(VERI_TABANI!$B$13-VERI_TABANI!$B$14)) + (VERI_TABANI!D27*C651*(VERI_TABANI!$B$13-VERI_TABANI!$B$15)) + IF(ISNUMBER(SEARCH("Var", D651)), VERI_TABANI!F27*(0.00202-VERI_TABANI!$B$16), IF(ISNUMBER(SEARCH("Gri", D651)), VERI_TABANI!F27*(0.00202-VERI_TABANI!$B$17), 0))) + ((VERI_TABANI!D28*B651*(VERI_TABANI!$B$13-VERI_TABANI!$B$14)) + (VERI_TABANI!D28*C651*(VERI_TABANI!$B$13-VERI_TABANI!$B$15)) + IF(ISNUMBER(SEARCH("Var", D651)), VERI_TABANI!F28*(0.00202-VERI_TABANI!$B$16), IF(ISNUMBER(SEARCH("Gri", D651)), VERI_TABANI!F28*(0.00202-VERI_TABANI!$B$17), 0))))</f>
        <v/>
      </c>
      <c r="I651" s="170">
        <f>IFERROR(((VERI_TABANI!$D$29*B651*VERI_TABANI!$B$14 + VERI_TABANI!$D$29*C651*VERI_TABANI!$B$15 + IF(ISNUMBER(SEARCH("Var", D651)), VERI_TABANI!$F$29*VERI_TABANI!$B$16, 0))) / (((VERI_TABANI!$D$29*B651 + VERI_TABANI!$D$29*C651)*VERI_TABANI!$B$13 + IF(ISNUMBER(SEARCH("Var", D651)), VERI_TABANI!$E$29*(1-0.928)*VERI_TABANI!$B$18, 0))), 0)</f>
        <v/>
      </c>
      <c r="J651" s="171">
        <f>IFERROR(F651/(G651/29), 0)</f>
        <v/>
      </c>
      <c r="K651" s="172">
        <f>IF(F651&gt;0, H651/F651, 0)</f>
        <v/>
      </c>
      <c r="L651" s="170">
        <f>IF(F651&gt;0, I651, 1000000000)</f>
        <v/>
      </c>
      <c r="M651" s="171">
        <f>ABS((B651+C651)-1)</f>
        <v/>
      </c>
      <c r="N651" s="170">
        <f>IF(F651&gt;0, (G651/29)/F651, 0)</f>
        <v/>
      </c>
      <c r="O651" s="168">
        <f>IF(AND((B651+C651)&gt;=1, ISNUMBER(SEARCH("Var", D651))), F651, 1000000000)</f>
        <v/>
      </c>
      <c r="P651" s="172">
        <f>IF(F651&gt;0, SQRT((F651/MAX(F$5:F$886))^2 + (1 - H651/MAX(H$5:H$886))^2 + (J651/MAX(J$5:J$886))^2), 1000000000)</f>
        <v/>
      </c>
      <c r="Q651" s="166">
        <f>IF(AND(ABS(B651-0.5)&lt;0.01, ABS(C651-0.5)&lt;0.01, ISNUMBER(SEARCH("Var", D651))), 1, 0)</f>
        <v/>
      </c>
      <c r="R651" s="171">
        <f>IF(F651&gt;0, J651, 1000000000)</f>
        <v/>
      </c>
      <c r="S651" s="101">
        <f>IF(AND(F651&lt;=DASHBOARD!$B$11, H651&gt;=DASHBOARD!$B$13), G651, -1000000000000)</f>
        <v/>
      </c>
      <c r="T651" s="101">
        <f>IF(AND(F651&lt;=DASHBOARD!$B$11, H651&gt;=DASHBOARD!$B$13), R651, 1000000000000)</f>
        <v/>
      </c>
      <c r="U651" s="101">
        <f>IF(AND(F651&lt;=DASHBOARD!$B$11, H651&gt;=DASHBOARD!$B$13), N651, -1000000000000)</f>
        <v/>
      </c>
      <c r="V651" s="101">
        <f>IF(AND(F651&lt;=DASHBOARD!$B$11, H651&gt;=DASHBOARD!$B$13), H651, -1000000000000)</f>
        <v/>
      </c>
      <c r="W651" s="101">
        <f>IF(AND(F651&lt;=DASHBOARD!$B$11, H651&gt;=DASHBOARD!$B$13), K651, -1000000000000)</f>
        <v/>
      </c>
      <c r="X651" s="101">
        <f>IF(AND(F651&lt;=DASHBOARD!$B$11, H651&gt;=DASHBOARD!$B$13), M651, 1000000000000)</f>
        <v/>
      </c>
      <c r="Y651" s="101">
        <f>IF(AND(F651&lt;=DASHBOARD!$B$10, H651&gt;=DASHBOARD!$B$11), L651, 1000000000000)</f>
        <v/>
      </c>
      <c r="Z651" s="101">
        <f>IF(AND(F651&lt;=DASHBOARD!$B$10, H651&gt;=DASHBOARD!$B$11), O651, 1000000000000)</f>
        <v/>
      </c>
      <c r="AA651" s="101">
        <f>IF(AND(F651&lt;=DASHBOARD!$B$10, H651&gt;=DASHBOARD!$B$11), P651, 1000000000000)</f>
        <v/>
      </c>
      <c r="AB651" s="101">
        <f>IF(AND(F651&lt;=DASHBOARD!$B$10, H651&gt;=DASHBOARD!$B$11), Q651, -1000000000000)</f>
        <v/>
      </c>
    </row>
    <row r="652" ht="15" customHeight="1" s="102">
      <c r="A652" s="166" t="n">
        <v>648</v>
      </c>
      <c r="B652" s="167" t="n">
        <v>1.5</v>
      </c>
      <c r="C652" s="167" t="n">
        <v>0.8</v>
      </c>
      <c r="D652" s="110" t="inlineStr">
        <is>
          <t>Var (%20)</t>
        </is>
      </c>
      <c r="E652" s="110">
        <f>IF((B652+C652)&lt;=1, "Tam Mahsuplaşma (≤%100)", "Kısmi Satış (&gt;%100)")</f>
        <v/>
      </c>
      <c r="F652" s="168">
        <f>((VERI_TABANI!$D$29*B652/VERI_TABANI!$B$29)/VERI_TABANI!$B$3)*VERI_TABANI!$B$5 + ((VERI_TABANI!$D$29*C652/VERI_TABANI!$B$29)/VERI_TABANI!$B$4)*VERI_TABANI!$B$6 + IF(ISNUMBER(SEARCH("Var", D652)), (VERI_TABANI!$F$29/VERI_TABANI!$B$29)*(VERI_TABANI!$B$10+VERI_TABANI!$B$12), 0)</f>
        <v/>
      </c>
      <c r="G652" s="168">
        <f>(((MIN(VERI_TABANI!D23, VERI_TABANI!D23*B652)*VERI_TABANI!$B$7 + MAX(0, VERI_TABANI!D23*B652-VERI_TABANI!D23)*VERI_TABANI!$B$8) + (MIN(MAX(0, VERI_TABANI!D23-VERI_TABANI!D23*B652), VERI_TABANI!D23*C652)*VERI_TABANI!$B$7 + MAX(0, VERI_TABANI!D23*C652-MAX(0, VERI_TABANI!D23-VERI_TABANI!D23*B652))*VERI_TABANI!$B$8) + IF(ABS(IF(ISNUMBER(SEARCH("Var", D652)), 1, IF(ISNUMBER(SEARCH("Gri", D652)), -1, 0)))=1, VERI_TABANI!E23*(1-0.928)*VERI_TABANI!$B$9, 0) + (VERI_TABANI!D23*B652*(VERI_TABANI!$B$13-VERI_TABANI!$B$14)*VERI_TABANI!G23) + (VERI_TABANI!D23*C652*(VERI_TABANI!$B$13-VERI_TABANI!$B$15)*VERI_TABANI!G23) + IF(ABS(IF(ISNUMBER(SEARCH("Var", D652)), 1, IF(ISNUMBER(SEARCH("Gri", D652)), -1, 0)))=1, VERI_TABANI!E23*(1-0.928)*0.00206091519919798*VERI_TABANI!G23, 0)) + ((MIN(VERI_TABANI!D24, VERI_TABANI!D24*B652)*VERI_TABANI!$B$7 + MAX(0, VERI_TABANI!D24*B652-VERI_TABANI!D24)*VERI_TABANI!$B$8) + (MIN(MAX(0, VERI_TABANI!D24-VERI_TABANI!D24*B652), VERI_TABANI!D24*C652)*VERI_TABANI!$B$7 + MAX(0, VERI_TABANI!D24*C652-MAX(0, VERI_TABANI!D24-VERI_TABANI!D24*B652))*VERI_TABANI!$B$8) + IF(ABS(IF(ISNUMBER(SEARCH("Var", D652)), 1, IF(ISNUMBER(SEARCH("Gri", D652)), -1, 0)))=1, VERI_TABANI!E24*(1-0.928)*VERI_TABANI!$B$9, 0) + (VERI_TABANI!D24*B652*(VERI_TABANI!$B$13-VERI_TABANI!$B$14)*VERI_TABANI!G24) + (VERI_TABANI!D24*C652*(VERI_TABANI!$B$13-VERI_TABANI!$B$15)*VERI_TABANI!G24) + IF(ABS(IF(ISNUMBER(SEARCH("Var", D652)), 1, IF(ISNUMBER(SEARCH("Gri", D652)), -1, 0)))=1, VERI_TABANI!E24*(1-0.928)*0.00206091519919798*VERI_TABANI!G24, 0)) + ((MIN(VERI_TABANI!D25, VERI_TABANI!D25*B652)*VERI_TABANI!$B$7 + MAX(0, VERI_TABANI!D25*B652-VERI_TABANI!D25)*VERI_TABANI!$B$8) + (MIN(MAX(0, VERI_TABANI!D25-VERI_TABANI!D25*B652), VERI_TABANI!D25*C652)*VERI_TABANI!$B$7 + MAX(0, VERI_TABANI!D25*C652-MAX(0, VERI_TABANI!D25-VERI_TABANI!D25*B652))*VERI_TABANI!$B$8) + IF(ABS(IF(ISNUMBER(SEARCH("Var", D652)), 1, IF(ISNUMBER(SEARCH("Gri", D652)), -1, 0)))=1, VERI_TABANI!E25*(1-0.928)*VERI_TABANI!$B$9, 0) + (VERI_TABANI!D25*B652*(VERI_TABANI!$B$13-VERI_TABANI!$B$14)*VERI_TABANI!G25) + (VERI_TABANI!D25*C652*(VERI_TABANI!$B$13-VERI_TABANI!$B$15)*VERI_TABANI!G25) + IF(ABS(IF(ISNUMBER(SEARCH("Var", D652)), 1, IF(ISNUMBER(SEARCH("Gri", D652)), -1, 0)))=1, VERI_TABANI!E25*(1-0.928)*0.00206091519919798*VERI_TABANI!G25, 0)) + ((MIN(VERI_TABANI!D26, VERI_TABANI!D26*B652)*VERI_TABANI!$B$7 + MAX(0, VERI_TABANI!D26*B652-VERI_TABANI!D26)*VERI_TABANI!$B$8) + (MIN(MAX(0, VERI_TABANI!D26-VERI_TABANI!D26*B652), VERI_TABANI!D26*C652)*VERI_TABANI!$B$7 + MAX(0, VERI_TABANI!D26*C652-MAX(0, VERI_TABANI!D26-VERI_TABANI!D26*B652))*VERI_TABANI!$B$8) + IF(ABS(IF(ISNUMBER(SEARCH("Var", D652)), 1, IF(ISNUMBER(SEARCH("Gri", D652)), -1, 0)))=1, VERI_TABANI!E26*(1-0.928)*VERI_TABANI!$B$9, 0) + (VERI_TABANI!D26*B652*(VERI_TABANI!$B$13-VERI_TABANI!$B$14)*VERI_TABANI!G26) + (VERI_TABANI!D26*C652*(VERI_TABANI!$B$13-VERI_TABANI!$B$15)*VERI_TABANI!G26) + IF(ABS(IF(ISNUMBER(SEARCH("Var", D652)), 1, IF(ISNUMBER(SEARCH("Gri", D652)), -1, 0)))=1, VERI_TABANI!E26*(1-0.928)*0.00206091519919798*VERI_TABANI!G26, 0)) + ((MIN(VERI_TABANI!D27, VERI_TABANI!D27*B652)*VERI_TABANI!$B$7 + MAX(0, VERI_TABANI!D27*B652-VERI_TABANI!D27)*VERI_TABANI!$B$8) + (MIN(MAX(0, VERI_TABANI!D27-VERI_TABANI!D27*B652), VERI_TABANI!D27*C652)*VERI_TABANI!$B$7 + MAX(0, VERI_TABANI!D27*C652-MAX(0, VERI_TABANI!D27-VERI_TABANI!D27*B652))*VERI_TABANI!$B$8) + IF(ABS(IF(ISNUMBER(SEARCH("Var", D652)), 1, IF(ISNUMBER(SEARCH("Gri", D652)), -1, 0)))=1, VERI_TABANI!E27*(1-0.928)*VERI_TABANI!$B$9, 0) + (VERI_TABANI!D27*B652*(VERI_TABANI!$B$13-VERI_TABANI!$B$14)*VERI_TABANI!G27) + (VERI_TABANI!D27*C652*(VERI_TABANI!$B$13-VERI_TABANI!$B$15)*VERI_TABANI!G27) + IF(ABS(IF(ISNUMBER(SEARCH("Var", D652)), 1, IF(ISNUMBER(SEARCH("Gri", D652)), -1, 0)))=1, VERI_TABANI!E27*(1-0.928)*0.00206091519919798*VERI_TABANI!G27, 0)) + ((MIN(VERI_TABANI!D28, VERI_TABANI!D28*B652)*VERI_TABANI!$B$7 + MAX(0, VERI_TABANI!D28*B652-VERI_TABANI!D28)*VERI_TABANI!$B$8) + (MIN(MAX(0, VERI_TABANI!D28-VERI_TABANI!D28*B652), VERI_TABANI!D28*C652)*VERI_TABANI!$B$7 + MAX(0, VERI_TABANI!D28*C652-MAX(0, VERI_TABANI!D28-VERI_TABANI!D28*B652))*VERI_TABANI!$B$8) + IF(ABS(IF(ISNUMBER(SEARCH("Var", D652)), 1, IF(ISNUMBER(SEARCH("Gri", D652)), -1, 0)))=1, VERI_TABANI!E28*(1-0.928)*VERI_TABANI!$B$9, 0) + (VERI_TABANI!D28*B652*(VERI_TABANI!$B$13-VERI_TABANI!$B$14)*VERI_TABANI!G28) + (VERI_TABANI!D28*C652*(VERI_TABANI!$B$13-VERI_TABANI!$B$15)*VERI_TABANI!G28) + IF(ABS(IF(ISNUMBER(SEARCH("Var", D652)), 1, IF(ISNUMBER(SEARCH("Gri", D652)), -1, 0)))=1, VERI_TABANI!E28*(1-0.928)*0.00206091519919798*VERI_TABANI!G28, 0)))</f>
        <v/>
      </c>
      <c r="H652" s="169">
        <f>(((VERI_TABANI!D23*B652*(VERI_TABANI!$B$13-VERI_TABANI!$B$14)) + (VERI_TABANI!D23*C652*(VERI_TABANI!$B$13-VERI_TABANI!$B$15)) + IF(ISNUMBER(SEARCH("Var", D652)), VERI_TABANI!F23*(0.00202-VERI_TABANI!$B$16), IF(ISNUMBER(SEARCH("Gri", D652)), VERI_TABANI!F23*(0.00202-VERI_TABANI!$B$17), 0))) + ((VERI_TABANI!D24*B652*(VERI_TABANI!$B$13-VERI_TABANI!$B$14)) + (VERI_TABANI!D24*C652*(VERI_TABANI!$B$13-VERI_TABANI!$B$15)) + IF(ISNUMBER(SEARCH("Var", D652)), VERI_TABANI!F24*(0.00202-VERI_TABANI!$B$16), IF(ISNUMBER(SEARCH("Gri", D652)), VERI_TABANI!F24*(0.00202-VERI_TABANI!$B$17), 0))) + ((VERI_TABANI!D25*B652*(VERI_TABANI!$B$13-VERI_TABANI!$B$14)) + (VERI_TABANI!D25*C652*(VERI_TABANI!$B$13-VERI_TABANI!$B$15)) + IF(ISNUMBER(SEARCH("Var", D652)), VERI_TABANI!F25*(0.00202-VERI_TABANI!$B$16), IF(ISNUMBER(SEARCH("Gri", D652)), VERI_TABANI!F25*(0.00202-VERI_TABANI!$B$17), 0))) + ((VERI_TABANI!D26*B652*(VERI_TABANI!$B$13-VERI_TABANI!$B$14)) + (VERI_TABANI!D26*C652*(VERI_TABANI!$B$13-VERI_TABANI!$B$15)) + IF(ISNUMBER(SEARCH("Var", D652)), VERI_TABANI!F26*(0.00202-VERI_TABANI!$B$16), IF(ISNUMBER(SEARCH("Gri", D652)), VERI_TABANI!F26*(0.00202-VERI_TABANI!$B$17), 0))) + ((VERI_TABANI!D27*B652*(VERI_TABANI!$B$13-VERI_TABANI!$B$14)) + (VERI_TABANI!D27*C652*(VERI_TABANI!$B$13-VERI_TABANI!$B$15)) + IF(ISNUMBER(SEARCH("Var", D652)), VERI_TABANI!F27*(0.00202-VERI_TABANI!$B$16), IF(ISNUMBER(SEARCH("Gri", D652)), VERI_TABANI!F27*(0.00202-VERI_TABANI!$B$17), 0))) + ((VERI_TABANI!D28*B652*(VERI_TABANI!$B$13-VERI_TABANI!$B$14)) + (VERI_TABANI!D28*C652*(VERI_TABANI!$B$13-VERI_TABANI!$B$15)) + IF(ISNUMBER(SEARCH("Var", D652)), VERI_TABANI!F28*(0.00202-VERI_TABANI!$B$16), IF(ISNUMBER(SEARCH("Gri", D652)), VERI_TABANI!F28*(0.00202-VERI_TABANI!$B$17), 0))))</f>
        <v/>
      </c>
      <c r="I652" s="170">
        <f>IFERROR(((VERI_TABANI!$D$29*B652*VERI_TABANI!$B$14 + VERI_TABANI!$D$29*C652*VERI_TABANI!$B$15 + IF(ISNUMBER(SEARCH("Var", D652)), VERI_TABANI!$F$29*VERI_TABANI!$B$16, 0))) / (((VERI_TABANI!$D$29*B652 + VERI_TABANI!$D$29*C652)*VERI_TABANI!$B$13 + IF(ISNUMBER(SEARCH("Var", D652)), VERI_TABANI!$E$29*(1-0.928)*VERI_TABANI!$B$18, 0))), 0)</f>
        <v/>
      </c>
      <c r="J652" s="171">
        <f>IFERROR(F652/(G652/29), 0)</f>
        <v/>
      </c>
      <c r="K652" s="172">
        <f>IF(F652&gt;0, H652/F652, 0)</f>
        <v/>
      </c>
      <c r="L652" s="170">
        <f>IF(F652&gt;0, I652, 1000000000)</f>
        <v/>
      </c>
      <c r="M652" s="171">
        <f>ABS((B652+C652)-1)</f>
        <v/>
      </c>
      <c r="N652" s="170">
        <f>IF(F652&gt;0, (G652/29)/F652, 0)</f>
        <v/>
      </c>
      <c r="O652" s="168">
        <f>IF(AND((B652+C652)&gt;=1, ISNUMBER(SEARCH("Var", D652))), F652, 1000000000)</f>
        <v/>
      </c>
      <c r="P652" s="172">
        <f>IF(F652&gt;0, SQRT((F652/MAX(F$5:F$886))^2 + (1 - H652/MAX(H$5:H$886))^2 + (J652/MAX(J$5:J$886))^2), 1000000000)</f>
        <v/>
      </c>
      <c r="Q652" s="166">
        <f>IF(AND(ABS(B652-0.5)&lt;0.01, ABS(C652-0.5)&lt;0.01, ISNUMBER(SEARCH("Var", D652))), 1, 0)</f>
        <v/>
      </c>
      <c r="R652" s="171">
        <f>IF(F652&gt;0, J652, 1000000000)</f>
        <v/>
      </c>
      <c r="S652" s="101">
        <f>IF(AND(F652&lt;=DASHBOARD!$B$11, H652&gt;=DASHBOARD!$B$13), G652, -1000000000000)</f>
        <v/>
      </c>
      <c r="T652" s="101">
        <f>IF(AND(F652&lt;=DASHBOARD!$B$11, H652&gt;=DASHBOARD!$B$13), R652, 1000000000000)</f>
        <v/>
      </c>
      <c r="U652" s="101">
        <f>IF(AND(F652&lt;=DASHBOARD!$B$11, H652&gt;=DASHBOARD!$B$13), N652, -1000000000000)</f>
        <v/>
      </c>
      <c r="V652" s="101">
        <f>IF(AND(F652&lt;=DASHBOARD!$B$11, H652&gt;=DASHBOARD!$B$13), H652, -1000000000000)</f>
        <v/>
      </c>
      <c r="W652" s="101">
        <f>IF(AND(F652&lt;=DASHBOARD!$B$11, H652&gt;=DASHBOARD!$B$13), K652, -1000000000000)</f>
        <v/>
      </c>
      <c r="X652" s="101">
        <f>IF(AND(F652&lt;=DASHBOARD!$B$11, H652&gt;=DASHBOARD!$B$13), M652, 1000000000000)</f>
        <v/>
      </c>
      <c r="Y652" s="101">
        <f>IF(AND(F652&lt;=DASHBOARD!$B$10, H652&gt;=DASHBOARD!$B$11), L652, 1000000000000)</f>
        <v/>
      </c>
      <c r="Z652" s="101">
        <f>IF(AND(F652&lt;=DASHBOARD!$B$10, H652&gt;=DASHBOARD!$B$11), O652, 1000000000000)</f>
        <v/>
      </c>
      <c r="AA652" s="101">
        <f>IF(AND(F652&lt;=DASHBOARD!$B$10, H652&gt;=DASHBOARD!$B$11), P652, 1000000000000)</f>
        <v/>
      </c>
      <c r="AB652" s="101">
        <f>IF(AND(F652&lt;=DASHBOARD!$B$10, H652&gt;=DASHBOARD!$B$11), Q652, -1000000000000)</f>
        <v/>
      </c>
    </row>
    <row r="653" ht="15" customHeight="1" s="102">
      <c r="A653" s="166" t="n">
        <v>649</v>
      </c>
      <c r="B653" s="167" t="n">
        <v>1.5</v>
      </c>
      <c r="C653" s="167" t="n">
        <v>0.9</v>
      </c>
      <c r="D653" s="110" t="inlineStr">
        <is>
          <t>Yok (%0)</t>
        </is>
      </c>
      <c r="E653" s="110">
        <f>IF((B653+C653)&lt;=1, "Tam Mahsuplaşma (≤%100)", "Kısmi Satış (&gt;%100)")</f>
        <v/>
      </c>
      <c r="F653" s="168">
        <f>((VERI_TABANI!$D$29*B653/VERI_TABANI!$B$29)/VERI_TABANI!$B$3)*VERI_TABANI!$B$5 + ((VERI_TABANI!$D$29*C653/VERI_TABANI!$B$29)/VERI_TABANI!$B$4)*VERI_TABANI!$B$6 + IF(ISNUMBER(SEARCH("Var", D653)), (VERI_TABANI!$F$29/VERI_TABANI!$B$29)*(VERI_TABANI!$B$10+VERI_TABANI!$B$12), 0)</f>
        <v/>
      </c>
      <c r="G653" s="168">
        <f>(((MIN(VERI_TABANI!D23, VERI_TABANI!D23*B653)*VERI_TABANI!$B$7 + MAX(0, VERI_TABANI!D23*B653-VERI_TABANI!D23)*VERI_TABANI!$B$8) + (MIN(MAX(0, VERI_TABANI!D23-VERI_TABANI!D23*B653), VERI_TABANI!D23*C653)*VERI_TABANI!$B$7 + MAX(0, VERI_TABANI!D23*C653-MAX(0, VERI_TABANI!D23-VERI_TABANI!D23*B653))*VERI_TABANI!$B$8) + IF(ABS(IF(ISNUMBER(SEARCH("Var", D653)), 1, IF(ISNUMBER(SEARCH("Gri", D653)), -1, 0)))=1, VERI_TABANI!E23*(1-0.928)*VERI_TABANI!$B$9, 0) + (VERI_TABANI!D23*B653*(VERI_TABANI!$B$13-VERI_TABANI!$B$14)*VERI_TABANI!G23) + (VERI_TABANI!D23*C653*(VERI_TABANI!$B$13-VERI_TABANI!$B$15)*VERI_TABANI!G23) + IF(ABS(IF(ISNUMBER(SEARCH("Var", D653)), 1, IF(ISNUMBER(SEARCH("Gri", D653)), -1, 0)))=1, VERI_TABANI!E23*(1-0.928)*0.00206091519919798*VERI_TABANI!G23, 0)) + ((MIN(VERI_TABANI!D24, VERI_TABANI!D24*B653)*VERI_TABANI!$B$7 + MAX(0, VERI_TABANI!D24*B653-VERI_TABANI!D24)*VERI_TABANI!$B$8) + (MIN(MAX(0, VERI_TABANI!D24-VERI_TABANI!D24*B653), VERI_TABANI!D24*C653)*VERI_TABANI!$B$7 + MAX(0, VERI_TABANI!D24*C653-MAX(0, VERI_TABANI!D24-VERI_TABANI!D24*B653))*VERI_TABANI!$B$8) + IF(ABS(IF(ISNUMBER(SEARCH("Var", D653)), 1, IF(ISNUMBER(SEARCH("Gri", D653)), -1, 0)))=1, VERI_TABANI!E24*(1-0.928)*VERI_TABANI!$B$9, 0) + (VERI_TABANI!D24*B653*(VERI_TABANI!$B$13-VERI_TABANI!$B$14)*VERI_TABANI!G24) + (VERI_TABANI!D24*C653*(VERI_TABANI!$B$13-VERI_TABANI!$B$15)*VERI_TABANI!G24) + IF(ABS(IF(ISNUMBER(SEARCH("Var", D653)), 1, IF(ISNUMBER(SEARCH("Gri", D653)), -1, 0)))=1, VERI_TABANI!E24*(1-0.928)*0.00206091519919798*VERI_TABANI!G24, 0)) + ((MIN(VERI_TABANI!D25, VERI_TABANI!D25*B653)*VERI_TABANI!$B$7 + MAX(0, VERI_TABANI!D25*B653-VERI_TABANI!D25)*VERI_TABANI!$B$8) + (MIN(MAX(0, VERI_TABANI!D25-VERI_TABANI!D25*B653), VERI_TABANI!D25*C653)*VERI_TABANI!$B$7 + MAX(0, VERI_TABANI!D25*C653-MAX(0, VERI_TABANI!D25-VERI_TABANI!D25*B653))*VERI_TABANI!$B$8) + IF(ABS(IF(ISNUMBER(SEARCH("Var", D653)), 1, IF(ISNUMBER(SEARCH("Gri", D653)), -1, 0)))=1, VERI_TABANI!E25*(1-0.928)*VERI_TABANI!$B$9, 0) + (VERI_TABANI!D25*B653*(VERI_TABANI!$B$13-VERI_TABANI!$B$14)*VERI_TABANI!G25) + (VERI_TABANI!D25*C653*(VERI_TABANI!$B$13-VERI_TABANI!$B$15)*VERI_TABANI!G25) + IF(ABS(IF(ISNUMBER(SEARCH("Var", D653)), 1, IF(ISNUMBER(SEARCH("Gri", D653)), -1, 0)))=1, VERI_TABANI!E25*(1-0.928)*0.00206091519919798*VERI_TABANI!G25, 0)) + ((MIN(VERI_TABANI!D26, VERI_TABANI!D26*B653)*VERI_TABANI!$B$7 + MAX(0, VERI_TABANI!D26*B653-VERI_TABANI!D26)*VERI_TABANI!$B$8) + (MIN(MAX(0, VERI_TABANI!D26-VERI_TABANI!D26*B653), VERI_TABANI!D26*C653)*VERI_TABANI!$B$7 + MAX(0, VERI_TABANI!D26*C653-MAX(0, VERI_TABANI!D26-VERI_TABANI!D26*B653))*VERI_TABANI!$B$8) + IF(ABS(IF(ISNUMBER(SEARCH("Var", D653)), 1, IF(ISNUMBER(SEARCH("Gri", D653)), -1, 0)))=1, VERI_TABANI!E26*(1-0.928)*VERI_TABANI!$B$9, 0) + (VERI_TABANI!D26*B653*(VERI_TABANI!$B$13-VERI_TABANI!$B$14)*VERI_TABANI!G26) + (VERI_TABANI!D26*C653*(VERI_TABANI!$B$13-VERI_TABANI!$B$15)*VERI_TABANI!G26) + IF(ABS(IF(ISNUMBER(SEARCH("Var", D653)), 1, IF(ISNUMBER(SEARCH("Gri", D653)), -1, 0)))=1, VERI_TABANI!E26*(1-0.928)*0.00206091519919798*VERI_TABANI!G26, 0)) + ((MIN(VERI_TABANI!D27, VERI_TABANI!D27*B653)*VERI_TABANI!$B$7 + MAX(0, VERI_TABANI!D27*B653-VERI_TABANI!D27)*VERI_TABANI!$B$8) + (MIN(MAX(0, VERI_TABANI!D27-VERI_TABANI!D27*B653), VERI_TABANI!D27*C653)*VERI_TABANI!$B$7 + MAX(0, VERI_TABANI!D27*C653-MAX(0, VERI_TABANI!D27-VERI_TABANI!D27*B653))*VERI_TABANI!$B$8) + IF(ABS(IF(ISNUMBER(SEARCH("Var", D653)), 1, IF(ISNUMBER(SEARCH("Gri", D653)), -1, 0)))=1, VERI_TABANI!E27*(1-0.928)*VERI_TABANI!$B$9, 0) + (VERI_TABANI!D27*B653*(VERI_TABANI!$B$13-VERI_TABANI!$B$14)*VERI_TABANI!G27) + (VERI_TABANI!D27*C653*(VERI_TABANI!$B$13-VERI_TABANI!$B$15)*VERI_TABANI!G27) + IF(ABS(IF(ISNUMBER(SEARCH("Var", D653)), 1, IF(ISNUMBER(SEARCH("Gri", D653)), -1, 0)))=1, VERI_TABANI!E27*(1-0.928)*0.00206091519919798*VERI_TABANI!G27, 0)) + ((MIN(VERI_TABANI!D28, VERI_TABANI!D28*B653)*VERI_TABANI!$B$7 + MAX(0, VERI_TABANI!D28*B653-VERI_TABANI!D28)*VERI_TABANI!$B$8) + (MIN(MAX(0, VERI_TABANI!D28-VERI_TABANI!D28*B653), VERI_TABANI!D28*C653)*VERI_TABANI!$B$7 + MAX(0, VERI_TABANI!D28*C653-MAX(0, VERI_TABANI!D28-VERI_TABANI!D28*B653))*VERI_TABANI!$B$8) + IF(ABS(IF(ISNUMBER(SEARCH("Var", D653)), 1, IF(ISNUMBER(SEARCH("Gri", D653)), -1, 0)))=1, VERI_TABANI!E28*(1-0.928)*VERI_TABANI!$B$9, 0) + (VERI_TABANI!D28*B653*(VERI_TABANI!$B$13-VERI_TABANI!$B$14)*VERI_TABANI!G28) + (VERI_TABANI!D28*C653*(VERI_TABANI!$B$13-VERI_TABANI!$B$15)*VERI_TABANI!G28) + IF(ABS(IF(ISNUMBER(SEARCH("Var", D653)), 1, IF(ISNUMBER(SEARCH("Gri", D653)), -1, 0)))=1, VERI_TABANI!E28*(1-0.928)*0.00206091519919798*VERI_TABANI!G28, 0)))</f>
        <v/>
      </c>
      <c r="H653" s="169">
        <f>(((VERI_TABANI!D23*B653*(VERI_TABANI!$B$13-VERI_TABANI!$B$14)) + (VERI_TABANI!D23*C653*(VERI_TABANI!$B$13-VERI_TABANI!$B$15)) + IF(ISNUMBER(SEARCH("Var", D653)), VERI_TABANI!F23*(0.00202-VERI_TABANI!$B$16), IF(ISNUMBER(SEARCH("Gri", D653)), VERI_TABANI!F23*(0.00202-VERI_TABANI!$B$17), 0))) + ((VERI_TABANI!D24*B653*(VERI_TABANI!$B$13-VERI_TABANI!$B$14)) + (VERI_TABANI!D24*C653*(VERI_TABANI!$B$13-VERI_TABANI!$B$15)) + IF(ISNUMBER(SEARCH("Var", D653)), VERI_TABANI!F24*(0.00202-VERI_TABANI!$B$16), IF(ISNUMBER(SEARCH("Gri", D653)), VERI_TABANI!F24*(0.00202-VERI_TABANI!$B$17), 0))) + ((VERI_TABANI!D25*B653*(VERI_TABANI!$B$13-VERI_TABANI!$B$14)) + (VERI_TABANI!D25*C653*(VERI_TABANI!$B$13-VERI_TABANI!$B$15)) + IF(ISNUMBER(SEARCH("Var", D653)), VERI_TABANI!F25*(0.00202-VERI_TABANI!$B$16), IF(ISNUMBER(SEARCH("Gri", D653)), VERI_TABANI!F25*(0.00202-VERI_TABANI!$B$17), 0))) + ((VERI_TABANI!D26*B653*(VERI_TABANI!$B$13-VERI_TABANI!$B$14)) + (VERI_TABANI!D26*C653*(VERI_TABANI!$B$13-VERI_TABANI!$B$15)) + IF(ISNUMBER(SEARCH("Var", D653)), VERI_TABANI!F26*(0.00202-VERI_TABANI!$B$16), IF(ISNUMBER(SEARCH("Gri", D653)), VERI_TABANI!F26*(0.00202-VERI_TABANI!$B$17), 0))) + ((VERI_TABANI!D27*B653*(VERI_TABANI!$B$13-VERI_TABANI!$B$14)) + (VERI_TABANI!D27*C653*(VERI_TABANI!$B$13-VERI_TABANI!$B$15)) + IF(ISNUMBER(SEARCH("Var", D653)), VERI_TABANI!F27*(0.00202-VERI_TABANI!$B$16), IF(ISNUMBER(SEARCH("Gri", D653)), VERI_TABANI!F27*(0.00202-VERI_TABANI!$B$17), 0))) + ((VERI_TABANI!D28*B653*(VERI_TABANI!$B$13-VERI_TABANI!$B$14)) + (VERI_TABANI!D28*C653*(VERI_TABANI!$B$13-VERI_TABANI!$B$15)) + IF(ISNUMBER(SEARCH("Var", D653)), VERI_TABANI!F28*(0.00202-VERI_TABANI!$B$16), IF(ISNUMBER(SEARCH("Gri", D653)), VERI_TABANI!F28*(0.00202-VERI_TABANI!$B$17), 0))))</f>
        <v/>
      </c>
      <c r="I653" s="170">
        <f>IFERROR(((VERI_TABANI!$D$29*B653*VERI_TABANI!$B$14 + VERI_TABANI!$D$29*C653*VERI_TABANI!$B$15 + IF(ISNUMBER(SEARCH("Var", D653)), VERI_TABANI!$F$29*VERI_TABANI!$B$16, 0))) / (((VERI_TABANI!$D$29*B653 + VERI_TABANI!$D$29*C653)*VERI_TABANI!$B$13 + IF(ISNUMBER(SEARCH("Var", D653)), VERI_TABANI!$E$29*(1-0.928)*VERI_TABANI!$B$18, 0))), 0)</f>
        <v/>
      </c>
      <c r="J653" s="171">
        <f>IFERROR(F653/(G653/29), 0)</f>
        <v/>
      </c>
      <c r="K653" s="172">
        <f>IF(F653&gt;0, H653/F653, 0)</f>
        <v/>
      </c>
      <c r="L653" s="170">
        <f>IF(F653&gt;0, I653, 1000000000)</f>
        <v/>
      </c>
      <c r="M653" s="171">
        <f>ABS((B653+C653)-1)</f>
        <v/>
      </c>
      <c r="N653" s="170">
        <f>IF(F653&gt;0, (G653/29)/F653, 0)</f>
        <v/>
      </c>
      <c r="O653" s="168">
        <f>IF(AND((B653+C653)&gt;=1, ISNUMBER(SEARCH("Var", D653))), F653, 1000000000)</f>
        <v/>
      </c>
      <c r="P653" s="172">
        <f>IF(F653&gt;0, SQRT((F653/MAX(F$5:F$886))^2 + (1 - H653/MAX(H$5:H$886))^2 + (J653/MAX(J$5:J$886))^2), 1000000000)</f>
        <v/>
      </c>
      <c r="Q653" s="166">
        <f>IF(AND(ABS(B653-0.5)&lt;0.01, ABS(C653-0.5)&lt;0.01, ISNUMBER(SEARCH("Var", D653))), 1, 0)</f>
        <v/>
      </c>
      <c r="R653" s="171">
        <f>IF(F653&gt;0, J653, 1000000000)</f>
        <v/>
      </c>
      <c r="S653" s="101">
        <f>IF(AND(F653&lt;=DASHBOARD!$B$11, H653&gt;=DASHBOARD!$B$13), G653, -1000000000000)</f>
        <v/>
      </c>
      <c r="T653" s="101">
        <f>IF(AND(F653&lt;=DASHBOARD!$B$11, H653&gt;=DASHBOARD!$B$13), R653, 1000000000000)</f>
        <v/>
      </c>
      <c r="U653" s="101">
        <f>IF(AND(F653&lt;=DASHBOARD!$B$11, H653&gt;=DASHBOARD!$B$13), N653, -1000000000000)</f>
        <v/>
      </c>
      <c r="V653" s="101">
        <f>IF(AND(F653&lt;=DASHBOARD!$B$11, H653&gt;=DASHBOARD!$B$13), H653, -1000000000000)</f>
        <v/>
      </c>
      <c r="W653" s="101">
        <f>IF(AND(F653&lt;=DASHBOARD!$B$11, H653&gt;=DASHBOARD!$B$13), K653, -1000000000000)</f>
        <v/>
      </c>
      <c r="X653" s="101">
        <f>IF(AND(F653&lt;=DASHBOARD!$B$11, H653&gt;=DASHBOARD!$B$13), M653, 1000000000000)</f>
        <v/>
      </c>
      <c r="Y653" s="101">
        <f>IF(AND(F653&lt;=DASHBOARD!$B$10, H653&gt;=DASHBOARD!$B$11), L653, 1000000000000)</f>
        <v/>
      </c>
      <c r="Z653" s="101">
        <f>IF(AND(F653&lt;=DASHBOARD!$B$10, H653&gt;=DASHBOARD!$B$11), O653, 1000000000000)</f>
        <v/>
      </c>
      <c r="AA653" s="101">
        <f>IF(AND(F653&lt;=DASHBOARD!$B$10, H653&gt;=DASHBOARD!$B$11), P653, 1000000000000)</f>
        <v/>
      </c>
      <c r="AB653" s="101">
        <f>IF(AND(F653&lt;=DASHBOARD!$B$10, H653&gt;=DASHBOARD!$B$11), Q653, -1000000000000)</f>
        <v/>
      </c>
    </row>
    <row r="654" ht="15" customHeight="1" s="102">
      <c r="A654" s="166" t="n">
        <v>650</v>
      </c>
      <c r="B654" s="167" t="n">
        <v>1.5</v>
      </c>
      <c r="C654" s="167" t="n">
        <v>0.9</v>
      </c>
      <c r="D654" s="110" t="inlineStr">
        <is>
          <t>Var (%20)</t>
        </is>
      </c>
      <c r="E654" s="110">
        <f>IF((B654+C654)&lt;=1, "Tam Mahsuplaşma (≤%100)", "Kısmi Satış (&gt;%100)")</f>
        <v/>
      </c>
      <c r="F654" s="168">
        <f>((VERI_TABANI!$D$29*B654/VERI_TABANI!$B$29)/VERI_TABANI!$B$3)*VERI_TABANI!$B$5 + ((VERI_TABANI!$D$29*C654/VERI_TABANI!$B$29)/VERI_TABANI!$B$4)*VERI_TABANI!$B$6 + IF(ISNUMBER(SEARCH("Var", D654)), (VERI_TABANI!$F$29/VERI_TABANI!$B$29)*(VERI_TABANI!$B$10+VERI_TABANI!$B$12), 0)</f>
        <v/>
      </c>
      <c r="G654" s="168">
        <f>(((MIN(VERI_TABANI!D23, VERI_TABANI!D23*B654)*VERI_TABANI!$B$7 + MAX(0, VERI_TABANI!D23*B654-VERI_TABANI!D23)*VERI_TABANI!$B$8) + (MIN(MAX(0, VERI_TABANI!D23-VERI_TABANI!D23*B654), VERI_TABANI!D23*C654)*VERI_TABANI!$B$7 + MAX(0, VERI_TABANI!D23*C654-MAX(0, VERI_TABANI!D23-VERI_TABANI!D23*B654))*VERI_TABANI!$B$8) + IF(ABS(IF(ISNUMBER(SEARCH("Var", D654)), 1, IF(ISNUMBER(SEARCH("Gri", D654)), -1, 0)))=1, VERI_TABANI!E23*(1-0.928)*VERI_TABANI!$B$9, 0) + (VERI_TABANI!D23*B654*(VERI_TABANI!$B$13-VERI_TABANI!$B$14)*VERI_TABANI!G23) + (VERI_TABANI!D23*C654*(VERI_TABANI!$B$13-VERI_TABANI!$B$15)*VERI_TABANI!G23) + IF(ABS(IF(ISNUMBER(SEARCH("Var", D654)), 1, IF(ISNUMBER(SEARCH("Gri", D654)), -1, 0)))=1, VERI_TABANI!E23*(1-0.928)*0.00206091519919798*VERI_TABANI!G23, 0)) + ((MIN(VERI_TABANI!D24, VERI_TABANI!D24*B654)*VERI_TABANI!$B$7 + MAX(0, VERI_TABANI!D24*B654-VERI_TABANI!D24)*VERI_TABANI!$B$8) + (MIN(MAX(0, VERI_TABANI!D24-VERI_TABANI!D24*B654), VERI_TABANI!D24*C654)*VERI_TABANI!$B$7 + MAX(0, VERI_TABANI!D24*C654-MAX(0, VERI_TABANI!D24-VERI_TABANI!D24*B654))*VERI_TABANI!$B$8) + IF(ABS(IF(ISNUMBER(SEARCH("Var", D654)), 1, IF(ISNUMBER(SEARCH("Gri", D654)), -1, 0)))=1, VERI_TABANI!E24*(1-0.928)*VERI_TABANI!$B$9, 0) + (VERI_TABANI!D24*B654*(VERI_TABANI!$B$13-VERI_TABANI!$B$14)*VERI_TABANI!G24) + (VERI_TABANI!D24*C654*(VERI_TABANI!$B$13-VERI_TABANI!$B$15)*VERI_TABANI!G24) + IF(ABS(IF(ISNUMBER(SEARCH("Var", D654)), 1, IF(ISNUMBER(SEARCH("Gri", D654)), -1, 0)))=1, VERI_TABANI!E24*(1-0.928)*0.00206091519919798*VERI_TABANI!G24, 0)) + ((MIN(VERI_TABANI!D25, VERI_TABANI!D25*B654)*VERI_TABANI!$B$7 + MAX(0, VERI_TABANI!D25*B654-VERI_TABANI!D25)*VERI_TABANI!$B$8) + (MIN(MAX(0, VERI_TABANI!D25-VERI_TABANI!D25*B654), VERI_TABANI!D25*C654)*VERI_TABANI!$B$7 + MAX(0, VERI_TABANI!D25*C654-MAX(0, VERI_TABANI!D25-VERI_TABANI!D25*B654))*VERI_TABANI!$B$8) + IF(ABS(IF(ISNUMBER(SEARCH("Var", D654)), 1, IF(ISNUMBER(SEARCH("Gri", D654)), -1, 0)))=1, VERI_TABANI!E25*(1-0.928)*VERI_TABANI!$B$9, 0) + (VERI_TABANI!D25*B654*(VERI_TABANI!$B$13-VERI_TABANI!$B$14)*VERI_TABANI!G25) + (VERI_TABANI!D25*C654*(VERI_TABANI!$B$13-VERI_TABANI!$B$15)*VERI_TABANI!G25) + IF(ABS(IF(ISNUMBER(SEARCH("Var", D654)), 1, IF(ISNUMBER(SEARCH("Gri", D654)), -1, 0)))=1, VERI_TABANI!E25*(1-0.928)*0.00206091519919798*VERI_TABANI!G25, 0)) + ((MIN(VERI_TABANI!D26, VERI_TABANI!D26*B654)*VERI_TABANI!$B$7 + MAX(0, VERI_TABANI!D26*B654-VERI_TABANI!D26)*VERI_TABANI!$B$8) + (MIN(MAX(0, VERI_TABANI!D26-VERI_TABANI!D26*B654), VERI_TABANI!D26*C654)*VERI_TABANI!$B$7 + MAX(0, VERI_TABANI!D26*C654-MAX(0, VERI_TABANI!D26-VERI_TABANI!D26*B654))*VERI_TABANI!$B$8) + IF(ABS(IF(ISNUMBER(SEARCH("Var", D654)), 1, IF(ISNUMBER(SEARCH("Gri", D654)), -1, 0)))=1, VERI_TABANI!E26*(1-0.928)*VERI_TABANI!$B$9, 0) + (VERI_TABANI!D26*B654*(VERI_TABANI!$B$13-VERI_TABANI!$B$14)*VERI_TABANI!G26) + (VERI_TABANI!D26*C654*(VERI_TABANI!$B$13-VERI_TABANI!$B$15)*VERI_TABANI!G26) + IF(ABS(IF(ISNUMBER(SEARCH("Var", D654)), 1, IF(ISNUMBER(SEARCH("Gri", D654)), -1, 0)))=1, VERI_TABANI!E26*(1-0.928)*0.00206091519919798*VERI_TABANI!G26, 0)) + ((MIN(VERI_TABANI!D27, VERI_TABANI!D27*B654)*VERI_TABANI!$B$7 + MAX(0, VERI_TABANI!D27*B654-VERI_TABANI!D27)*VERI_TABANI!$B$8) + (MIN(MAX(0, VERI_TABANI!D27-VERI_TABANI!D27*B654), VERI_TABANI!D27*C654)*VERI_TABANI!$B$7 + MAX(0, VERI_TABANI!D27*C654-MAX(0, VERI_TABANI!D27-VERI_TABANI!D27*B654))*VERI_TABANI!$B$8) + IF(ABS(IF(ISNUMBER(SEARCH("Var", D654)), 1, IF(ISNUMBER(SEARCH("Gri", D654)), -1, 0)))=1, VERI_TABANI!E27*(1-0.928)*VERI_TABANI!$B$9, 0) + (VERI_TABANI!D27*B654*(VERI_TABANI!$B$13-VERI_TABANI!$B$14)*VERI_TABANI!G27) + (VERI_TABANI!D27*C654*(VERI_TABANI!$B$13-VERI_TABANI!$B$15)*VERI_TABANI!G27) + IF(ABS(IF(ISNUMBER(SEARCH("Var", D654)), 1, IF(ISNUMBER(SEARCH("Gri", D654)), -1, 0)))=1, VERI_TABANI!E27*(1-0.928)*0.00206091519919798*VERI_TABANI!G27, 0)) + ((MIN(VERI_TABANI!D28, VERI_TABANI!D28*B654)*VERI_TABANI!$B$7 + MAX(0, VERI_TABANI!D28*B654-VERI_TABANI!D28)*VERI_TABANI!$B$8) + (MIN(MAX(0, VERI_TABANI!D28-VERI_TABANI!D28*B654), VERI_TABANI!D28*C654)*VERI_TABANI!$B$7 + MAX(0, VERI_TABANI!D28*C654-MAX(0, VERI_TABANI!D28-VERI_TABANI!D28*B654))*VERI_TABANI!$B$8) + IF(ABS(IF(ISNUMBER(SEARCH("Var", D654)), 1, IF(ISNUMBER(SEARCH("Gri", D654)), -1, 0)))=1, VERI_TABANI!E28*(1-0.928)*VERI_TABANI!$B$9, 0) + (VERI_TABANI!D28*B654*(VERI_TABANI!$B$13-VERI_TABANI!$B$14)*VERI_TABANI!G28) + (VERI_TABANI!D28*C654*(VERI_TABANI!$B$13-VERI_TABANI!$B$15)*VERI_TABANI!G28) + IF(ABS(IF(ISNUMBER(SEARCH("Var", D654)), 1, IF(ISNUMBER(SEARCH("Gri", D654)), -1, 0)))=1, VERI_TABANI!E28*(1-0.928)*0.00206091519919798*VERI_TABANI!G28, 0)))</f>
        <v/>
      </c>
      <c r="H654" s="169">
        <f>(((VERI_TABANI!D23*B654*(VERI_TABANI!$B$13-VERI_TABANI!$B$14)) + (VERI_TABANI!D23*C654*(VERI_TABANI!$B$13-VERI_TABANI!$B$15)) + IF(ISNUMBER(SEARCH("Var", D654)), VERI_TABANI!F23*(0.00202-VERI_TABANI!$B$16), IF(ISNUMBER(SEARCH("Gri", D654)), VERI_TABANI!F23*(0.00202-VERI_TABANI!$B$17), 0))) + ((VERI_TABANI!D24*B654*(VERI_TABANI!$B$13-VERI_TABANI!$B$14)) + (VERI_TABANI!D24*C654*(VERI_TABANI!$B$13-VERI_TABANI!$B$15)) + IF(ISNUMBER(SEARCH("Var", D654)), VERI_TABANI!F24*(0.00202-VERI_TABANI!$B$16), IF(ISNUMBER(SEARCH("Gri", D654)), VERI_TABANI!F24*(0.00202-VERI_TABANI!$B$17), 0))) + ((VERI_TABANI!D25*B654*(VERI_TABANI!$B$13-VERI_TABANI!$B$14)) + (VERI_TABANI!D25*C654*(VERI_TABANI!$B$13-VERI_TABANI!$B$15)) + IF(ISNUMBER(SEARCH("Var", D654)), VERI_TABANI!F25*(0.00202-VERI_TABANI!$B$16), IF(ISNUMBER(SEARCH("Gri", D654)), VERI_TABANI!F25*(0.00202-VERI_TABANI!$B$17), 0))) + ((VERI_TABANI!D26*B654*(VERI_TABANI!$B$13-VERI_TABANI!$B$14)) + (VERI_TABANI!D26*C654*(VERI_TABANI!$B$13-VERI_TABANI!$B$15)) + IF(ISNUMBER(SEARCH("Var", D654)), VERI_TABANI!F26*(0.00202-VERI_TABANI!$B$16), IF(ISNUMBER(SEARCH("Gri", D654)), VERI_TABANI!F26*(0.00202-VERI_TABANI!$B$17), 0))) + ((VERI_TABANI!D27*B654*(VERI_TABANI!$B$13-VERI_TABANI!$B$14)) + (VERI_TABANI!D27*C654*(VERI_TABANI!$B$13-VERI_TABANI!$B$15)) + IF(ISNUMBER(SEARCH("Var", D654)), VERI_TABANI!F27*(0.00202-VERI_TABANI!$B$16), IF(ISNUMBER(SEARCH("Gri", D654)), VERI_TABANI!F27*(0.00202-VERI_TABANI!$B$17), 0))) + ((VERI_TABANI!D28*B654*(VERI_TABANI!$B$13-VERI_TABANI!$B$14)) + (VERI_TABANI!D28*C654*(VERI_TABANI!$B$13-VERI_TABANI!$B$15)) + IF(ISNUMBER(SEARCH("Var", D654)), VERI_TABANI!F28*(0.00202-VERI_TABANI!$B$16), IF(ISNUMBER(SEARCH("Gri", D654)), VERI_TABANI!F28*(0.00202-VERI_TABANI!$B$17), 0))))</f>
        <v/>
      </c>
      <c r="I654" s="170">
        <f>IFERROR(((VERI_TABANI!$D$29*B654*VERI_TABANI!$B$14 + VERI_TABANI!$D$29*C654*VERI_TABANI!$B$15 + IF(ISNUMBER(SEARCH("Var", D654)), VERI_TABANI!$F$29*VERI_TABANI!$B$16, 0))) / (((VERI_TABANI!$D$29*B654 + VERI_TABANI!$D$29*C654)*VERI_TABANI!$B$13 + IF(ISNUMBER(SEARCH("Var", D654)), VERI_TABANI!$E$29*(1-0.928)*VERI_TABANI!$B$18, 0))), 0)</f>
        <v/>
      </c>
      <c r="J654" s="171">
        <f>IFERROR(F654/(G654/29), 0)</f>
        <v/>
      </c>
      <c r="K654" s="172">
        <f>IF(F654&gt;0, H654/F654, 0)</f>
        <v/>
      </c>
      <c r="L654" s="170">
        <f>IF(F654&gt;0, I654, 1000000000)</f>
        <v/>
      </c>
      <c r="M654" s="171">
        <f>ABS((B654+C654)-1)</f>
        <v/>
      </c>
      <c r="N654" s="170">
        <f>IF(F654&gt;0, (G654/29)/F654, 0)</f>
        <v/>
      </c>
      <c r="O654" s="168">
        <f>IF(AND((B654+C654)&gt;=1, ISNUMBER(SEARCH("Var", D654))), F654, 1000000000)</f>
        <v/>
      </c>
      <c r="P654" s="172">
        <f>IF(F654&gt;0, SQRT((F654/MAX(F$5:F$886))^2 + (1 - H654/MAX(H$5:H$886))^2 + (J654/MAX(J$5:J$886))^2), 1000000000)</f>
        <v/>
      </c>
      <c r="Q654" s="166">
        <f>IF(AND(ABS(B654-0.5)&lt;0.01, ABS(C654-0.5)&lt;0.01, ISNUMBER(SEARCH("Var", D654))), 1, 0)</f>
        <v/>
      </c>
      <c r="R654" s="171">
        <f>IF(F654&gt;0, J654, 1000000000)</f>
        <v/>
      </c>
      <c r="S654" s="101">
        <f>IF(AND(F654&lt;=DASHBOARD!$B$11, H654&gt;=DASHBOARD!$B$13), G654, -1000000000000)</f>
        <v/>
      </c>
      <c r="T654" s="101">
        <f>IF(AND(F654&lt;=DASHBOARD!$B$11, H654&gt;=DASHBOARD!$B$13), R654, 1000000000000)</f>
        <v/>
      </c>
      <c r="U654" s="101">
        <f>IF(AND(F654&lt;=DASHBOARD!$B$11, H654&gt;=DASHBOARD!$B$13), N654, -1000000000000)</f>
        <v/>
      </c>
      <c r="V654" s="101">
        <f>IF(AND(F654&lt;=DASHBOARD!$B$11, H654&gt;=DASHBOARD!$B$13), H654, -1000000000000)</f>
        <v/>
      </c>
      <c r="W654" s="101">
        <f>IF(AND(F654&lt;=DASHBOARD!$B$11, H654&gt;=DASHBOARD!$B$13), K654, -1000000000000)</f>
        <v/>
      </c>
      <c r="X654" s="101">
        <f>IF(AND(F654&lt;=DASHBOARD!$B$11, H654&gt;=DASHBOARD!$B$13), M654, 1000000000000)</f>
        <v/>
      </c>
      <c r="Y654" s="101">
        <f>IF(AND(F654&lt;=DASHBOARD!$B$10, H654&gt;=DASHBOARD!$B$11), L654, 1000000000000)</f>
        <v/>
      </c>
      <c r="Z654" s="101">
        <f>IF(AND(F654&lt;=DASHBOARD!$B$10, H654&gt;=DASHBOARD!$B$11), O654, 1000000000000)</f>
        <v/>
      </c>
      <c r="AA654" s="101">
        <f>IF(AND(F654&lt;=DASHBOARD!$B$10, H654&gt;=DASHBOARD!$B$11), P654, 1000000000000)</f>
        <v/>
      </c>
      <c r="AB654" s="101">
        <f>IF(AND(F654&lt;=DASHBOARD!$B$10, H654&gt;=DASHBOARD!$B$11), Q654, -1000000000000)</f>
        <v/>
      </c>
    </row>
    <row r="655" ht="15" customHeight="1" s="102">
      <c r="A655" s="166" t="n">
        <v>651</v>
      </c>
      <c r="B655" s="167" t="n">
        <v>1.5</v>
      </c>
      <c r="C655" s="167" t="n">
        <v>1</v>
      </c>
      <c r="D655" s="110" t="inlineStr">
        <is>
          <t>Yok (%0)</t>
        </is>
      </c>
      <c r="E655" s="110">
        <f>IF((B655+C655)&lt;=1, "Tam Mahsuplaşma (≤%100)", "Kısmi Satış (&gt;%100)")</f>
        <v/>
      </c>
      <c r="F655" s="168">
        <f>((VERI_TABANI!$D$29*B655/VERI_TABANI!$B$29)/VERI_TABANI!$B$3)*VERI_TABANI!$B$5 + ((VERI_TABANI!$D$29*C655/VERI_TABANI!$B$29)/VERI_TABANI!$B$4)*VERI_TABANI!$B$6 + IF(ISNUMBER(SEARCH("Var", D655)), (VERI_TABANI!$F$29/VERI_TABANI!$B$29)*(VERI_TABANI!$B$10+VERI_TABANI!$B$12), 0)</f>
        <v/>
      </c>
      <c r="G655" s="168">
        <f>(((MIN(VERI_TABANI!D23, VERI_TABANI!D23*B655)*VERI_TABANI!$B$7 + MAX(0, VERI_TABANI!D23*B655-VERI_TABANI!D23)*VERI_TABANI!$B$8) + (MIN(MAX(0, VERI_TABANI!D23-VERI_TABANI!D23*B655), VERI_TABANI!D23*C655)*VERI_TABANI!$B$7 + MAX(0, VERI_TABANI!D23*C655-MAX(0, VERI_TABANI!D23-VERI_TABANI!D23*B655))*VERI_TABANI!$B$8) + IF(ABS(IF(ISNUMBER(SEARCH("Var", D655)), 1, IF(ISNUMBER(SEARCH("Gri", D655)), -1, 0)))=1, VERI_TABANI!E23*(1-0.928)*VERI_TABANI!$B$9, 0) + (VERI_TABANI!D23*B655*(VERI_TABANI!$B$13-VERI_TABANI!$B$14)*VERI_TABANI!G23) + (VERI_TABANI!D23*C655*(VERI_TABANI!$B$13-VERI_TABANI!$B$15)*VERI_TABANI!G23) + IF(ABS(IF(ISNUMBER(SEARCH("Var", D655)), 1, IF(ISNUMBER(SEARCH("Gri", D655)), -1, 0)))=1, VERI_TABANI!E23*(1-0.928)*0.00206091519919798*VERI_TABANI!G23, 0)) + ((MIN(VERI_TABANI!D24, VERI_TABANI!D24*B655)*VERI_TABANI!$B$7 + MAX(0, VERI_TABANI!D24*B655-VERI_TABANI!D24)*VERI_TABANI!$B$8) + (MIN(MAX(0, VERI_TABANI!D24-VERI_TABANI!D24*B655), VERI_TABANI!D24*C655)*VERI_TABANI!$B$7 + MAX(0, VERI_TABANI!D24*C655-MAX(0, VERI_TABANI!D24-VERI_TABANI!D24*B655))*VERI_TABANI!$B$8) + IF(ABS(IF(ISNUMBER(SEARCH("Var", D655)), 1, IF(ISNUMBER(SEARCH("Gri", D655)), -1, 0)))=1, VERI_TABANI!E24*(1-0.928)*VERI_TABANI!$B$9, 0) + (VERI_TABANI!D24*B655*(VERI_TABANI!$B$13-VERI_TABANI!$B$14)*VERI_TABANI!G24) + (VERI_TABANI!D24*C655*(VERI_TABANI!$B$13-VERI_TABANI!$B$15)*VERI_TABANI!G24) + IF(ABS(IF(ISNUMBER(SEARCH("Var", D655)), 1, IF(ISNUMBER(SEARCH("Gri", D655)), -1, 0)))=1, VERI_TABANI!E24*(1-0.928)*0.00206091519919798*VERI_TABANI!G24, 0)) + ((MIN(VERI_TABANI!D25, VERI_TABANI!D25*B655)*VERI_TABANI!$B$7 + MAX(0, VERI_TABANI!D25*B655-VERI_TABANI!D25)*VERI_TABANI!$B$8) + (MIN(MAX(0, VERI_TABANI!D25-VERI_TABANI!D25*B655), VERI_TABANI!D25*C655)*VERI_TABANI!$B$7 + MAX(0, VERI_TABANI!D25*C655-MAX(0, VERI_TABANI!D25-VERI_TABANI!D25*B655))*VERI_TABANI!$B$8) + IF(ABS(IF(ISNUMBER(SEARCH("Var", D655)), 1, IF(ISNUMBER(SEARCH("Gri", D655)), -1, 0)))=1, VERI_TABANI!E25*(1-0.928)*VERI_TABANI!$B$9, 0) + (VERI_TABANI!D25*B655*(VERI_TABANI!$B$13-VERI_TABANI!$B$14)*VERI_TABANI!G25) + (VERI_TABANI!D25*C655*(VERI_TABANI!$B$13-VERI_TABANI!$B$15)*VERI_TABANI!G25) + IF(ABS(IF(ISNUMBER(SEARCH("Var", D655)), 1, IF(ISNUMBER(SEARCH("Gri", D655)), -1, 0)))=1, VERI_TABANI!E25*(1-0.928)*0.00206091519919798*VERI_TABANI!G25, 0)) + ((MIN(VERI_TABANI!D26, VERI_TABANI!D26*B655)*VERI_TABANI!$B$7 + MAX(0, VERI_TABANI!D26*B655-VERI_TABANI!D26)*VERI_TABANI!$B$8) + (MIN(MAX(0, VERI_TABANI!D26-VERI_TABANI!D26*B655), VERI_TABANI!D26*C655)*VERI_TABANI!$B$7 + MAX(0, VERI_TABANI!D26*C655-MAX(0, VERI_TABANI!D26-VERI_TABANI!D26*B655))*VERI_TABANI!$B$8) + IF(ABS(IF(ISNUMBER(SEARCH("Var", D655)), 1, IF(ISNUMBER(SEARCH("Gri", D655)), -1, 0)))=1, VERI_TABANI!E26*(1-0.928)*VERI_TABANI!$B$9, 0) + (VERI_TABANI!D26*B655*(VERI_TABANI!$B$13-VERI_TABANI!$B$14)*VERI_TABANI!G26) + (VERI_TABANI!D26*C655*(VERI_TABANI!$B$13-VERI_TABANI!$B$15)*VERI_TABANI!G26) + IF(ABS(IF(ISNUMBER(SEARCH("Var", D655)), 1, IF(ISNUMBER(SEARCH("Gri", D655)), -1, 0)))=1, VERI_TABANI!E26*(1-0.928)*0.00206091519919798*VERI_TABANI!G26, 0)) + ((MIN(VERI_TABANI!D27, VERI_TABANI!D27*B655)*VERI_TABANI!$B$7 + MAX(0, VERI_TABANI!D27*B655-VERI_TABANI!D27)*VERI_TABANI!$B$8) + (MIN(MAX(0, VERI_TABANI!D27-VERI_TABANI!D27*B655), VERI_TABANI!D27*C655)*VERI_TABANI!$B$7 + MAX(0, VERI_TABANI!D27*C655-MAX(0, VERI_TABANI!D27-VERI_TABANI!D27*B655))*VERI_TABANI!$B$8) + IF(ABS(IF(ISNUMBER(SEARCH("Var", D655)), 1, IF(ISNUMBER(SEARCH("Gri", D655)), -1, 0)))=1, VERI_TABANI!E27*(1-0.928)*VERI_TABANI!$B$9, 0) + (VERI_TABANI!D27*B655*(VERI_TABANI!$B$13-VERI_TABANI!$B$14)*VERI_TABANI!G27) + (VERI_TABANI!D27*C655*(VERI_TABANI!$B$13-VERI_TABANI!$B$15)*VERI_TABANI!G27) + IF(ABS(IF(ISNUMBER(SEARCH("Var", D655)), 1, IF(ISNUMBER(SEARCH("Gri", D655)), -1, 0)))=1, VERI_TABANI!E27*(1-0.928)*0.00206091519919798*VERI_TABANI!G27, 0)) + ((MIN(VERI_TABANI!D28, VERI_TABANI!D28*B655)*VERI_TABANI!$B$7 + MAX(0, VERI_TABANI!D28*B655-VERI_TABANI!D28)*VERI_TABANI!$B$8) + (MIN(MAX(0, VERI_TABANI!D28-VERI_TABANI!D28*B655), VERI_TABANI!D28*C655)*VERI_TABANI!$B$7 + MAX(0, VERI_TABANI!D28*C655-MAX(0, VERI_TABANI!D28-VERI_TABANI!D28*B655))*VERI_TABANI!$B$8) + IF(ABS(IF(ISNUMBER(SEARCH("Var", D655)), 1, IF(ISNUMBER(SEARCH("Gri", D655)), -1, 0)))=1, VERI_TABANI!E28*(1-0.928)*VERI_TABANI!$B$9, 0) + (VERI_TABANI!D28*B655*(VERI_TABANI!$B$13-VERI_TABANI!$B$14)*VERI_TABANI!G28) + (VERI_TABANI!D28*C655*(VERI_TABANI!$B$13-VERI_TABANI!$B$15)*VERI_TABANI!G28) + IF(ABS(IF(ISNUMBER(SEARCH("Var", D655)), 1, IF(ISNUMBER(SEARCH("Gri", D655)), -1, 0)))=1, VERI_TABANI!E28*(1-0.928)*0.00206091519919798*VERI_TABANI!G28, 0)))</f>
        <v/>
      </c>
      <c r="H655" s="169">
        <f>(((VERI_TABANI!D23*B655*(VERI_TABANI!$B$13-VERI_TABANI!$B$14)) + (VERI_TABANI!D23*C655*(VERI_TABANI!$B$13-VERI_TABANI!$B$15)) + IF(ISNUMBER(SEARCH("Var", D655)), VERI_TABANI!F23*(0.00202-VERI_TABANI!$B$16), IF(ISNUMBER(SEARCH("Gri", D655)), VERI_TABANI!F23*(0.00202-VERI_TABANI!$B$17), 0))) + ((VERI_TABANI!D24*B655*(VERI_TABANI!$B$13-VERI_TABANI!$B$14)) + (VERI_TABANI!D24*C655*(VERI_TABANI!$B$13-VERI_TABANI!$B$15)) + IF(ISNUMBER(SEARCH("Var", D655)), VERI_TABANI!F24*(0.00202-VERI_TABANI!$B$16), IF(ISNUMBER(SEARCH("Gri", D655)), VERI_TABANI!F24*(0.00202-VERI_TABANI!$B$17), 0))) + ((VERI_TABANI!D25*B655*(VERI_TABANI!$B$13-VERI_TABANI!$B$14)) + (VERI_TABANI!D25*C655*(VERI_TABANI!$B$13-VERI_TABANI!$B$15)) + IF(ISNUMBER(SEARCH("Var", D655)), VERI_TABANI!F25*(0.00202-VERI_TABANI!$B$16), IF(ISNUMBER(SEARCH("Gri", D655)), VERI_TABANI!F25*(0.00202-VERI_TABANI!$B$17), 0))) + ((VERI_TABANI!D26*B655*(VERI_TABANI!$B$13-VERI_TABANI!$B$14)) + (VERI_TABANI!D26*C655*(VERI_TABANI!$B$13-VERI_TABANI!$B$15)) + IF(ISNUMBER(SEARCH("Var", D655)), VERI_TABANI!F26*(0.00202-VERI_TABANI!$B$16), IF(ISNUMBER(SEARCH("Gri", D655)), VERI_TABANI!F26*(0.00202-VERI_TABANI!$B$17), 0))) + ((VERI_TABANI!D27*B655*(VERI_TABANI!$B$13-VERI_TABANI!$B$14)) + (VERI_TABANI!D27*C655*(VERI_TABANI!$B$13-VERI_TABANI!$B$15)) + IF(ISNUMBER(SEARCH("Var", D655)), VERI_TABANI!F27*(0.00202-VERI_TABANI!$B$16), IF(ISNUMBER(SEARCH("Gri", D655)), VERI_TABANI!F27*(0.00202-VERI_TABANI!$B$17), 0))) + ((VERI_TABANI!D28*B655*(VERI_TABANI!$B$13-VERI_TABANI!$B$14)) + (VERI_TABANI!D28*C655*(VERI_TABANI!$B$13-VERI_TABANI!$B$15)) + IF(ISNUMBER(SEARCH("Var", D655)), VERI_TABANI!F28*(0.00202-VERI_TABANI!$B$16), IF(ISNUMBER(SEARCH("Gri", D655)), VERI_TABANI!F28*(0.00202-VERI_TABANI!$B$17), 0))))</f>
        <v/>
      </c>
      <c r="I655" s="170">
        <f>IFERROR(((VERI_TABANI!$D$29*B655*VERI_TABANI!$B$14 + VERI_TABANI!$D$29*C655*VERI_TABANI!$B$15 + IF(ISNUMBER(SEARCH("Var", D655)), VERI_TABANI!$F$29*VERI_TABANI!$B$16, 0))) / (((VERI_TABANI!$D$29*B655 + VERI_TABANI!$D$29*C655)*VERI_TABANI!$B$13 + IF(ISNUMBER(SEARCH("Var", D655)), VERI_TABANI!$E$29*(1-0.928)*VERI_TABANI!$B$18, 0))), 0)</f>
        <v/>
      </c>
      <c r="J655" s="171">
        <f>IFERROR(F655/(G655/29), 0)</f>
        <v/>
      </c>
      <c r="K655" s="172">
        <f>IF(F655&gt;0, H655/F655, 0)</f>
        <v/>
      </c>
      <c r="L655" s="170">
        <f>IF(F655&gt;0, I655, 1000000000)</f>
        <v/>
      </c>
      <c r="M655" s="171">
        <f>ABS((B655+C655)-1)</f>
        <v/>
      </c>
      <c r="N655" s="170">
        <f>IF(F655&gt;0, (G655/29)/F655, 0)</f>
        <v/>
      </c>
      <c r="O655" s="168">
        <f>IF(AND((B655+C655)&gt;=1, ISNUMBER(SEARCH("Var", D655))), F655, 1000000000)</f>
        <v/>
      </c>
      <c r="P655" s="172">
        <f>IF(F655&gt;0, SQRT((F655/MAX(F$5:F$886))^2 + (1 - H655/MAX(H$5:H$886))^2 + (J655/MAX(J$5:J$886))^2), 1000000000)</f>
        <v/>
      </c>
      <c r="Q655" s="166">
        <f>IF(AND(ABS(B655-0.5)&lt;0.01, ABS(C655-0.5)&lt;0.01, ISNUMBER(SEARCH("Var", D655))), 1, 0)</f>
        <v/>
      </c>
      <c r="R655" s="171">
        <f>IF(F655&gt;0, J655, 1000000000)</f>
        <v/>
      </c>
      <c r="S655" s="101">
        <f>IF(AND(F655&lt;=DASHBOARD!$B$11, H655&gt;=DASHBOARD!$B$13), G655, -1000000000000)</f>
        <v/>
      </c>
      <c r="T655" s="101">
        <f>IF(AND(F655&lt;=DASHBOARD!$B$11, H655&gt;=DASHBOARD!$B$13), R655, 1000000000000)</f>
        <v/>
      </c>
      <c r="U655" s="101">
        <f>IF(AND(F655&lt;=DASHBOARD!$B$11, H655&gt;=DASHBOARD!$B$13), N655, -1000000000000)</f>
        <v/>
      </c>
      <c r="V655" s="101">
        <f>IF(AND(F655&lt;=DASHBOARD!$B$11, H655&gt;=DASHBOARD!$B$13), H655, -1000000000000)</f>
        <v/>
      </c>
      <c r="W655" s="101">
        <f>IF(AND(F655&lt;=DASHBOARD!$B$11, H655&gt;=DASHBOARD!$B$13), K655, -1000000000000)</f>
        <v/>
      </c>
      <c r="X655" s="101">
        <f>IF(AND(F655&lt;=DASHBOARD!$B$11, H655&gt;=DASHBOARD!$B$13), M655, 1000000000000)</f>
        <v/>
      </c>
      <c r="Y655" s="101">
        <f>IF(AND(F655&lt;=DASHBOARD!$B$10, H655&gt;=DASHBOARD!$B$11), L655, 1000000000000)</f>
        <v/>
      </c>
      <c r="Z655" s="101">
        <f>IF(AND(F655&lt;=DASHBOARD!$B$10, H655&gt;=DASHBOARD!$B$11), O655, 1000000000000)</f>
        <v/>
      </c>
      <c r="AA655" s="101">
        <f>IF(AND(F655&lt;=DASHBOARD!$B$10, H655&gt;=DASHBOARD!$B$11), P655, 1000000000000)</f>
        <v/>
      </c>
      <c r="AB655" s="101">
        <f>IF(AND(F655&lt;=DASHBOARD!$B$10, H655&gt;=DASHBOARD!$B$11), Q655, -1000000000000)</f>
        <v/>
      </c>
    </row>
    <row r="656" ht="15" customHeight="1" s="102">
      <c r="A656" s="166" t="n">
        <v>652</v>
      </c>
      <c r="B656" s="167" t="n">
        <v>1.5</v>
      </c>
      <c r="C656" s="167" t="n">
        <v>1</v>
      </c>
      <c r="D656" s="110" t="inlineStr">
        <is>
          <t>Var (%20)</t>
        </is>
      </c>
      <c r="E656" s="110">
        <f>IF((B656+C656)&lt;=1, "Tam Mahsuplaşma (≤%100)", "Kısmi Satış (&gt;%100)")</f>
        <v/>
      </c>
      <c r="F656" s="168">
        <f>((VERI_TABANI!$D$29*B656/VERI_TABANI!$B$29)/VERI_TABANI!$B$3)*VERI_TABANI!$B$5 + ((VERI_TABANI!$D$29*C656/VERI_TABANI!$B$29)/VERI_TABANI!$B$4)*VERI_TABANI!$B$6 + IF(ISNUMBER(SEARCH("Var", D656)), (VERI_TABANI!$F$29/VERI_TABANI!$B$29)*(VERI_TABANI!$B$10+VERI_TABANI!$B$12), 0)</f>
        <v/>
      </c>
      <c r="G656" s="168">
        <f>(((MIN(VERI_TABANI!D23, VERI_TABANI!D23*B656)*VERI_TABANI!$B$7 + MAX(0, VERI_TABANI!D23*B656-VERI_TABANI!D23)*VERI_TABANI!$B$8) + (MIN(MAX(0, VERI_TABANI!D23-VERI_TABANI!D23*B656), VERI_TABANI!D23*C656)*VERI_TABANI!$B$7 + MAX(0, VERI_TABANI!D23*C656-MAX(0, VERI_TABANI!D23-VERI_TABANI!D23*B656))*VERI_TABANI!$B$8) + IF(ABS(IF(ISNUMBER(SEARCH("Var", D656)), 1, IF(ISNUMBER(SEARCH("Gri", D656)), -1, 0)))=1, VERI_TABANI!E23*(1-0.928)*VERI_TABANI!$B$9, 0) + (VERI_TABANI!D23*B656*(VERI_TABANI!$B$13-VERI_TABANI!$B$14)*VERI_TABANI!G23) + (VERI_TABANI!D23*C656*(VERI_TABANI!$B$13-VERI_TABANI!$B$15)*VERI_TABANI!G23) + IF(ABS(IF(ISNUMBER(SEARCH("Var", D656)), 1, IF(ISNUMBER(SEARCH("Gri", D656)), -1, 0)))=1, VERI_TABANI!E23*(1-0.928)*0.00206091519919798*VERI_TABANI!G23, 0)) + ((MIN(VERI_TABANI!D24, VERI_TABANI!D24*B656)*VERI_TABANI!$B$7 + MAX(0, VERI_TABANI!D24*B656-VERI_TABANI!D24)*VERI_TABANI!$B$8) + (MIN(MAX(0, VERI_TABANI!D24-VERI_TABANI!D24*B656), VERI_TABANI!D24*C656)*VERI_TABANI!$B$7 + MAX(0, VERI_TABANI!D24*C656-MAX(0, VERI_TABANI!D24-VERI_TABANI!D24*B656))*VERI_TABANI!$B$8) + IF(ABS(IF(ISNUMBER(SEARCH("Var", D656)), 1, IF(ISNUMBER(SEARCH("Gri", D656)), -1, 0)))=1, VERI_TABANI!E24*(1-0.928)*VERI_TABANI!$B$9, 0) + (VERI_TABANI!D24*B656*(VERI_TABANI!$B$13-VERI_TABANI!$B$14)*VERI_TABANI!G24) + (VERI_TABANI!D24*C656*(VERI_TABANI!$B$13-VERI_TABANI!$B$15)*VERI_TABANI!G24) + IF(ABS(IF(ISNUMBER(SEARCH("Var", D656)), 1, IF(ISNUMBER(SEARCH("Gri", D656)), -1, 0)))=1, VERI_TABANI!E24*(1-0.928)*0.00206091519919798*VERI_TABANI!G24, 0)) + ((MIN(VERI_TABANI!D25, VERI_TABANI!D25*B656)*VERI_TABANI!$B$7 + MAX(0, VERI_TABANI!D25*B656-VERI_TABANI!D25)*VERI_TABANI!$B$8) + (MIN(MAX(0, VERI_TABANI!D25-VERI_TABANI!D25*B656), VERI_TABANI!D25*C656)*VERI_TABANI!$B$7 + MAX(0, VERI_TABANI!D25*C656-MAX(0, VERI_TABANI!D25-VERI_TABANI!D25*B656))*VERI_TABANI!$B$8) + IF(ABS(IF(ISNUMBER(SEARCH("Var", D656)), 1, IF(ISNUMBER(SEARCH("Gri", D656)), -1, 0)))=1, VERI_TABANI!E25*(1-0.928)*VERI_TABANI!$B$9, 0) + (VERI_TABANI!D25*B656*(VERI_TABANI!$B$13-VERI_TABANI!$B$14)*VERI_TABANI!G25) + (VERI_TABANI!D25*C656*(VERI_TABANI!$B$13-VERI_TABANI!$B$15)*VERI_TABANI!G25) + IF(ABS(IF(ISNUMBER(SEARCH("Var", D656)), 1, IF(ISNUMBER(SEARCH("Gri", D656)), -1, 0)))=1, VERI_TABANI!E25*(1-0.928)*0.00206091519919798*VERI_TABANI!G25, 0)) + ((MIN(VERI_TABANI!D26, VERI_TABANI!D26*B656)*VERI_TABANI!$B$7 + MAX(0, VERI_TABANI!D26*B656-VERI_TABANI!D26)*VERI_TABANI!$B$8) + (MIN(MAX(0, VERI_TABANI!D26-VERI_TABANI!D26*B656), VERI_TABANI!D26*C656)*VERI_TABANI!$B$7 + MAX(0, VERI_TABANI!D26*C656-MAX(0, VERI_TABANI!D26-VERI_TABANI!D26*B656))*VERI_TABANI!$B$8) + IF(ABS(IF(ISNUMBER(SEARCH("Var", D656)), 1, IF(ISNUMBER(SEARCH("Gri", D656)), -1, 0)))=1, VERI_TABANI!E26*(1-0.928)*VERI_TABANI!$B$9, 0) + (VERI_TABANI!D26*B656*(VERI_TABANI!$B$13-VERI_TABANI!$B$14)*VERI_TABANI!G26) + (VERI_TABANI!D26*C656*(VERI_TABANI!$B$13-VERI_TABANI!$B$15)*VERI_TABANI!G26) + IF(ABS(IF(ISNUMBER(SEARCH("Var", D656)), 1, IF(ISNUMBER(SEARCH("Gri", D656)), -1, 0)))=1, VERI_TABANI!E26*(1-0.928)*0.00206091519919798*VERI_TABANI!G26, 0)) + ((MIN(VERI_TABANI!D27, VERI_TABANI!D27*B656)*VERI_TABANI!$B$7 + MAX(0, VERI_TABANI!D27*B656-VERI_TABANI!D27)*VERI_TABANI!$B$8) + (MIN(MAX(0, VERI_TABANI!D27-VERI_TABANI!D27*B656), VERI_TABANI!D27*C656)*VERI_TABANI!$B$7 + MAX(0, VERI_TABANI!D27*C656-MAX(0, VERI_TABANI!D27-VERI_TABANI!D27*B656))*VERI_TABANI!$B$8) + IF(ABS(IF(ISNUMBER(SEARCH("Var", D656)), 1, IF(ISNUMBER(SEARCH("Gri", D656)), -1, 0)))=1, VERI_TABANI!E27*(1-0.928)*VERI_TABANI!$B$9, 0) + (VERI_TABANI!D27*B656*(VERI_TABANI!$B$13-VERI_TABANI!$B$14)*VERI_TABANI!G27) + (VERI_TABANI!D27*C656*(VERI_TABANI!$B$13-VERI_TABANI!$B$15)*VERI_TABANI!G27) + IF(ABS(IF(ISNUMBER(SEARCH("Var", D656)), 1, IF(ISNUMBER(SEARCH("Gri", D656)), -1, 0)))=1, VERI_TABANI!E27*(1-0.928)*0.00206091519919798*VERI_TABANI!G27, 0)) + ((MIN(VERI_TABANI!D28, VERI_TABANI!D28*B656)*VERI_TABANI!$B$7 + MAX(0, VERI_TABANI!D28*B656-VERI_TABANI!D28)*VERI_TABANI!$B$8) + (MIN(MAX(0, VERI_TABANI!D28-VERI_TABANI!D28*B656), VERI_TABANI!D28*C656)*VERI_TABANI!$B$7 + MAX(0, VERI_TABANI!D28*C656-MAX(0, VERI_TABANI!D28-VERI_TABANI!D28*B656))*VERI_TABANI!$B$8) + IF(ABS(IF(ISNUMBER(SEARCH("Var", D656)), 1, IF(ISNUMBER(SEARCH("Gri", D656)), -1, 0)))=1, VERI_TABANI!E28*(1-0.928)*VERI_TABANI!$B$9, 0) + (VERI_TABANI!D28*B656*(VERI_TABANI!$B$13-VERI_TABANI!$B$14)*VERI_TABANI!G28) + (VERI_TABANI!D28*C656*(VERI_TABANI!$B$13-VERI_TABANI!$B$15)*VERI_TABANI!G28) + IF(ABS(IF(ISNUMBER(SEARCH("Var", D656)), 1, IF(ISNUMBER(SEARCH("Gri", D656)), -1, 0)))=1, VERI_TABANI!E28*(1-0.928)*0.00206091519919798*VERI_TABANI!G28, 0)))</f>
        <v/>
      </c>
      <c r="H656" s="169">
        <f>(((VERI_TABANI!D23*B656*(VERI_TABANI!$B$13-VERI_TABANI!$B$14)) + (VERI_TABANI!D23*C656*(VERI_TABANI!$B$13-VERI_TABANI!$B$15)) + IF(ISNUMBER(SEARCH("Var", D656)), VERI_TABANI!F23*(0.00202-VERI_TABANI!$B$16), IF(ISNUMBER(SEARCH("Gri", D656)), VERI_TABANI!F23*(0.00202-VERI_TABANI!$B$17), 0))) + ((VERI_TABANI!D24*B656*(VERI_TABANI!$B$13-VERI_TABANI!$B$14)) + (VERI_TABANI!D24*C656*(VERI_TABANI!$B$13-VERI_TABANI!$B$15)) + IF(ISNUMBER(SEARCH("Var", D656)), VERI_TABANI!F24*(0.00202-VERI_TABANI!$B$16), IF(ISNUMBER(SEARCH("Gri", D656)), VERI_TABANI!F24*(0.00202-VERI_TABANI!$B$17), 0))) + ((VERI_TABANI!D25*B656*(VERI_TABANI!$B$13-VERI_TABANI!$B$14)) + (VERI_TABANI!D25*C656*(VERI_TABANI!$B$13-VERI_TABANI!$B$15)) + IF(ISNUMBER(SEARCH("Var", D656)), VERI_TABANI!F25*(0.00202-VERI_TABANI!$B$16), IF(ISNUMBER(SEARCH("Gri", D656)), VERI_TABANI!F25*(0.00202-VERI_TABANI!$B$17), 0))) + ((VERI_TABANI!D26*B656*(VERI_TABANI!$B$13-VERI_TABANI!$B$14)) + (VERI_TABANI!D26*C656*(VERI_TABANI!$B$13-VERI_TABANI!$B$15)) + IF(ISNUMBER(SEARCH("Var", D656)), VERI_TABANI!F26*(0.00202-VERI_TABANI!$B$16), IF(ISNUMBER(SEARCH("Gri", D656)), VERI_TABANI!F26*(0.00202-VERI_TABANI!$B$17), 0))) + ((VERI_TABANI!D27*B656*(VERI_TABANI!$B$13-VERI_TABANI!$B$14)) + (VERI_TABANI!D27*C656*(VERI_TABANI!$B$13-VERI_TABANI!$B$15)) + IF(ISNUMBER(SEARCH("Var", D656)), VERI_TABANI!F27*(0.00202-VERI_TABANI!$B$16), IF(ISNUMBER(SEARCH("Gri", D656)), VERI_TABANI!F27*(0.00202-VERI_TABANI!$B$17), 0))) + ((VERI_TABANI!D28*B656*(VERI_TABANI!$B$13-VERI_TABANI!$B$14)) + (VERI_TABANI!D28*C656*(VERI_TABANI!$B$13-VERI_TABANI!$B$15)) + IF(ISNUMBER(SEARCH("Var", D656)), VERI_TABANI!F28*(0.00202-VERI_TABANI!$B$16), IF(ISNUMBER(SEARCH("Gri", D656)), VERI_TABANI!F28*(0.00202-VERI_TABANI!$B$17), 0))))</f>
        <v/>
      </c>
      <c r="I656" s="170">
        <f>IFERROR(((VERI_TABANI!$D$29*B656*VERI_TABANI!$B$14 + VERI_TABANI!$D$29*C656*VERI_TABANI!$B$15 + IF(ISNUMBER(SEARCH("Var", D656)), VERI_TABANI!$F$29*VERI_TABANI!$B$16, 0))) / (((VERI_TABANI!$D$29*B656 + VERI_TABANI!$D$29*C656)*VERI_TABANI!$B$13 + IF(ISNUMBER(SEARCH("Var", D656)), VERI_TABANI!$E$29*(1-0.928)*VERI_TABANI!$B$18, 0))), 0)</f>
        <v/>
      </c>
      <c r="J656" s="171">
        <f>IFERROR(F656/(G656/29), 0)</f>
        <v/>
      </c>
      <c r="K656" s="172">
        <f>IF(F656&gt;0, H656/F656, 0)</f>
        <v/>
      </c>
      <c r="L656" s="170">
        <f>IF(F656&gt;0, I656, 1000000000)</f>
        <v/>
      </c>
      <c r="M656" s="171">
        <f>ABS((B656+C656)-1)</f>
        <v/>
      </c>
      <c r="N656" s="170">
        <f>IF(F656&gt;0, (G656/29)/F656, 0)</f>
        <v/>
      </c>
      <c r="O656" s="168">
        <f>IF(AND((B656+C656)&gt;=1, ISNUMBER(SEARCH("Var", D656))), F656, 1000000000)</f>
        <v/>
      </c>
      <c r="P656" s="172">
        <f>IF(F656&gt;0, SQRT((F656/MAX(F$5:F$886))^2 + (1 - H656/MAX(H$5:H$886))^2 + (J656/MAX(J$5:J$886))^2), 1000000000)</f>
        <v/>
      </c>
      <c r="Q656" s="166">
        <f>IF(AND(ABS(B656-0.5)&lt;0.01, ABS(C656-0.5)&lt;0.01, ISNUMBER(SEARCH("Var", D656))), 1, 0)</f>
        <v/>
      </c>
      <c r="R656" s="171">
        <f>IF(F656&gt;0, J656, 1000000000)</f>
        <v/>
      </c>
      <c r="S656" s="101">
        <f>IF(AND(F656&lt;=DASHBOARD!$B$11, H656&gt;=DASHBOARD!$B$13), G656, -1000000000000)</f>
        <v/>
      </c>
      <c r="T656" s="101">
        <f>IF(AND(F656&lt;=DASHBOARD!$B$11, H656&gt;=DASHBOARD!$B$13), R656, 1000000000000)</f>
        <v/>
      </c>
      <c r="U656" s="101">
        <f>IF(AND(F656&lt;=DASHBOARD!$B$11, H656&gt;=DASHBOARD!$B$13), N656, -1000000000000)</f>
        <v/>
      </c>
      <c r="V656" s="101">
        <f>IF(AND(F656&lt;=DASHBOARD!$B$11, H656&gt;=DASHBOARD!$B$13), H656, -1000000000000)</f>
        <v/>
      </c>
      <c r="W656" s="101">
        <f>IF(AND(F656&lt;=DASHBOARD!$B$11, H656&gt;=DASHBOARD!$B$13), K656, -1000000000000)</f>
        <v/>
      </c>
      <c r="X656" s="101">
        <f>IF(AND(F656&lt;=DASHBOARD!$B$11, H656&gt;=DASHBOARD!$B$13), M656, 1000000000000)</f>
        <v/>
      </c>
      <c r="Y656" s="101">
        <f>IF(AND(F656&lt;=DASHBOARD!$B$10, H656&gt;=DASHBOARD!$B$11), L656, 1000000000000)</f>
        <v/>
      </c>
      <c r="Z656" s="101">
        <f>IF(AND(F656&lt;=DASHBOARD!$B$10, H656&gt;=DASHBOARD!$B$11), O656, 1000000000000)</f>
        <v/>
      </c>
      <c r="AA656" s="101">
        <f>IF(AND(F656&lt;=DASHBOARD!$B$10, H656&gt;=DASHBOARD!$B$11), P656, 1000000000000)</f>
        <v/>
      </c>
      <c r="AB656" s="101">
        <f>IF(AND(F656&lt;=DASHBOARD!$B$10, H656&gt;=DASHBOARD!$B$11), Q656, -1000000000000)</f>
        <v/>
      </c>
    </row>
    <row r="657" ht="15" customHeight="1" s="102">
      <c r="A657" s="166" t="n">
        <v>653</v>
      </c>
      <c r="B657" s="167" t="n">
        <v>1.5</v>
      </c>
      <c r="C657" s="167" t="n">
        <v>1.1</v>
      </c>
      <c r="D657" s="110" t="inlineStr">
        <is>
          <t>Yok (%0)</t>
        </is>
      </c>
      <c r="E657" s="110">
        <f>IF((B657+C657)&lt;=1, "Tam Mahsuplaşma (≤%100)", "Kısmi Satış (&gt;%100)")</f>
        <v/>
      </c>
      <c r="F657" s="168">
        <f>((VERI_TABANI!$D$29*B657/VERI_TABANI!$B$29)/VERI_TABANI!$B$3)*VERI_TABANI!$B$5 + ((VERI_TABANI!$D$29*C657/VERI_TABANI!$B$29)/VERI_TABANI!$B$4)*VERI_TABANI!$B$6 + IF(ISNUMBER(SEARCH("Var", D657)), (VERI_TABANI!$F$29/VERI_TABANI!$B$29)*(VERI_TABANI!$B$10+VERI_TABANI!$B$12), 0)</f>
        <v/>
      </c>
      <c r="G657" s="168">
        <f>(((MIN(VERI_TABANI!D23, VERI_TABANI!D23*B657)*VERI_TABANI!$B$7 + MAX(0, VERI_TABANI!D23*B657-VERI_TABANI!D23)*VERI_TABANI!$B$8) + (MIN(MAX(0, VERI_TABANI!D23-VERI_TABANI!D23*B657), VERI_TABANI!D23*C657)*VERI_TABANI!$B$7 + MAX(0, VERI_TABANI!D23*C657-MAX(0, VERI_TABANI!D23-VERI_TABANI!D23*B657))*VERI_TABANI!$B$8) + IF(ABS(IF(ISNUMBER(SEARCH("Var", D657)), 1, IF(ISNUMBER(SEARCH("Gri", D657)), -1, 0)))=1, VERI_TABANI!E23*(1-0.928)*VERI_TABANI!$B$9, 0) + (VERI_TABANI!D23*B657*(VERI_TABANI!$B$13-VERI_TABANI!$B$14)*VERI_TABANI!G23) + (VERI_TABANI!D23*C657*(VERI_TABANI!$B$13-VERI_TABANI!$B$15)*VERI_TABANI!G23) + IF(ABS(IF(ISNUMBER(SEARCH("Var", D657)), 1, IF(ISNUMBER(SEARCH("Gri", D657)), -1, 0)))=1, VERI_TABANI!E23*(1-0.928)*0.00206091519919798*VERI_TABANI!G23, 0)) + ((MIN(VERI_TABANI!D24, VERI_TABANI!D24*B657)*VERI_TABANI!$B$7 + MAX(0, VERI_TABANI!D24*B657-VERI_TABANI!D24)*VERI_TABANI!$B$8) + (MIN(MAX(0, VERI_TABANI!D24-VERI_TABANI!D24*B657), VERI_TABANI!D24*C657)*VERI_TABANI!$B$7 + MAX(0, VERI_TABANI!D24*C657-MAX(0, VERI_TABANI!D24-VERI_TABANI!D24*B657))*VERI_TABANI!$B$8) + IF(ABS(IF(ISNUMBER(SEARCH("Var", D657)), 1, IF(ISNUMBER(SEARCH("Gri", D657)), -1, 0)))=1, VERI_TABANI!E24*(1-0.928)*VERI_TABANI!$B$9, 0) + (VERI_TABANI!D24*B657*(VERI_TABANI!$B$13-VERI_TABANI!$B$14)*VERI_TABANI!G24) + (VERI_TABANI!D24*C657*(VERI_TABANI!$B$13-VERI_TABANI!$B$15)*VERI_TABANI!G24) + IF(ABS(IF(ISNUMBER(SEARCH("Var", D657)), 1, IF(ISNUMBER(SEARCH("Gri", D657)), -1, 0)))=1, VERI_TABANI!E24*(1-0.928)*0.00206091519919798*VERI_TABANI!G24, 0)) + ((MIN(VERI_TABANI!D25, VERI_TABANI!D25*B657)*VERI_TABANI!$B$7 + MAX(0, VERI_TABANI!D25*B657-VERI_TABANI!D25)*VERI_TABANI!$B$8) + (MIN(MAX(0, VERI_TABANI!D25-VERI_TABANI!D25*B657), VERI_TABANI!D25*C657)*VERI_TABANI!$B$7 + MAX(0, VERI_TABANI!D25*C657-MAX(0, VERI_TABANI!D25-VERI_TABANI!D25*B657))*VERI_TABANI!$B$8) + IF(ABS(IF(ISNUMBER(SEARCH("Var", D657)), 1, IF(ISNUMBER(SEARCH("Gri", D657)), -1, 0)))=1, VERI_TABANI!E25*(1-0.928)*VERI_TABANI!$B$9, 0) + (VERI_TABANI!D25*B657*(VERI_TABANI!$B$13-VERI_TABANI!$B$14)*VERI_TABANI!G25) + (VERI_TABANI!D25*C657*(VERI_TABANI!$B$13-VERI_TABANI!$B$15)*VERI_TABANI!G25) + IF(ABS(IF(ISNUMBER(SEARCH("Var", D657)), 1, IF(ISNUMBER(SEARCH("Gri", D657)), -1, 0)))=1, VERI_TABANI!E25*(1-0.928)*0.00206091519919798*VERI_TABANI!G25, 0)) + ((MIN(VERI_TABANI!D26, VERI_TABANI!D26*B657)*VERI_TABANI!$B$7 + MAX(0, VERI_TABANI!D26*B657-VERI_TABANI!D26)*VERI_TABANI!$B$8) + (MIN(MAX(0, VERI_TABANI!D26-VERI_TABANI!D26*B657), VERI_TABANI!D26*C657)*VERI_TABANI!$B$7 + MAX(0, VERI_TABANI!D26*C657-MAX(0, VERI_TABANI!D26-VERI_TABANI!D26*B657))*VERI_TABANI!$B$8) + IF(ABS(IF(ISNUMBER(SEARCH("Var", D657)), 1, IF(ISNUMBER(SEARCH("Gri", D657)), -1, 0)))=1, VERI_TABANI!E26*(1-0.928)*VERI_TABANI!$B$9, 0) + (VERI_TABANI!D26*B657*(VERI_TABANI!$B$13-VERI_TABANI!$B$14)*VERI_TABANI!G26) + (VERI_TABANI!D26*C657*(VERI_TABANI!$B$13-VERI_TABANI!$B$15)*VERI_TABANI!G26) + IF(ABS(IF(ISNUMBER(SEARCH("Var", D657)), 1, IF(ISNUMBER(SEARCH("Gri", D657)), -1, 0)))=1, VERI_TABANI!E26*(1-0.928)*0.00206091519919798*VERI_TABANI!G26, 0)) + ((MIN(VERI_TABANI!D27, VERI_TABANI!D27*B657)*VERI_TABANI!$B$7 + MAX(0, VERI_TABANI!D27*B657-VERI_TABANI!D27)*VERI_TABANI!$B$8) + (MIN(MAX(0, VERI_TABANI!D27-VERI_TABANI!D27*B657), VERI_TABANI!D27*C657)*VERI_TABANI!$B$7 + MAX(0, VERI_TABANI!D27*C657-MAX(0, VERI_TABANI!D27-VERI_TABANI!D27*B657))*VERI_TABANI!$B$8) + IF(ABS(IF(ISNUMBER(SEARCH("Var", D657)), 1, IF(ISNUMBER(SEARCH("Gri", D657)), -1, 0)))=1, VERI_TABANI!E27*(1-0.928)*VERI_TABANI!$B$9, 0) + (VERI_TABANI!D27*B657*(VERI_TABANI!$B$13-VERI_TABANI!$B$14)*VERI_TABANI!G27) + (VERI_TABANI!D27*C657*(VERI_TABANI!$B$13-VERI_TABANI!$B$15)*VERI_TABANI!G27) + IF(ABS(IF(ISNUMBER(SEARCH("Var", D657)), 1, IF(ISNUMBER(SEARCH("Gri", D657)), -1, 0)))=1, VERI_TABANI!E27*(1-0.928)*0.00206091519919798*VERI_TABANI!G27, 0)) + ((MIN(VERI_TABANI!D28, VERI_TABANI!D28*B657)*VERI_TABANI!$B$7 + MAX(0, VERI_TABANI!D28*B657-VERI_TABANI!D28)*VERI_TABANI!$B$8) + (MIN(MAX(0, VERI_TABANI!D28-VERI_TABANI!D28*B657), VERI_TABANI!D28*C657)*VERI_TABANI!$B$7 + MAX(0, VERI_TABANI!D28*C657-MAX(0, VERI_TABANI!D28-VERI_TABANI!D28*B657))*VERI_TABANI!$B$8) + IF(ABS(IF(ISNUMBER(SEARCH("Var", D657)), 1, IF(ISNUMBER(SEARCH("Gri", D657)), -1, 0)))=1, VERI_TABANI!E28*(1-0.928)*VERI_TABANI!$B$9, 0) + (VERI_TABANI!D28*B657*(VERI_TABANI!$B$13-VERI_TABANI!$B$14)*VERI_TABANI!G28) + (VERI_TABANI!D28*C657*(VERI_TABANI!$B$13-VERI_TABANI!$B$15)*VERI_TABANI!G28) + IF(ABS(IF(ISNUMBER(SEARCH("Var", D657)), 1, IF(ISNUMBER(SEARCH("Gri", D657)), -1, 0)))=1, VERI_TABANI!E28*(1-0.928)*0.00206091519919798*VERI_TABANI!G28, 0)))</f>
        <v/>
      </c>
      <c r="H657" s="169">
        <f>(((VERI_TABANI!D23*B657*(VERI_TABANI!$B$13-VERI_TABANI!$B$14)) + (VERI_TABANI!D23*C657*(VERI_TABANI!$B$13-VERI_TABANI!$B$15)) + IF(ISNUMBER(SEARCH("Var", D657)), VERI_TABANI!F23*(0.00202-VERI_TABANI!$B$16), IF(ISNUMBER(SEARCH("Gri", D657)), VERI_TABANI!F23*(0.00202-VERI_TABANI!$B$17), 0))) + ((VERI_TABANI!D24*B657*(VERI_TABANI!$B$13-VERI_TABANI!$B$14)) + (VERI_TABANI!D24*C657*(VERI_TABANI!$B$13-VERI_TABANI!$B$15)) + IF(ISNUMBER(SEARCH("Var", D657)), VERI_TABANI!F24*(0.00202-VERI_TABANI!$B$16), IF(ISNUMBER(SEARCH("Gri", D657)), VERI_TABANI!F24*(0.00202-VERI_TABANI!$B$17), 0))) + ((VERI_TABANI!D25*B657*(VERI_TABANI!$B$13-VERI_TABANI!$B$14)) + (VERI_TABANI!D25*C657*(VERI_TABANI!$B$13-VERI_TABANI!$B$15)) + IF(ISNUMBER(SEARCH("Var", D657)), VERI_TABANI!F25*(0.00202-VERI_TABANI!$B$16), IF(ISNUMBER(SEARCH("Gri", D657)), VERI_TABANI!F25*(0.00202-VERI_TABANI!$B$17), 0))) + ((VERI_TABANI!D26*B657*(VERI_TABANI!$B$13-VERI_TABANI!$B$14)) + (VERI_TABANI!D26*C657*(VERI_TABANI!$B$13-VERI_TABANI!$B$15)) + IF(ISNUMBER(SEARCH("Var", D657)), VERI_TABANI!F26*(0.00202-VERI_TABANI!$B$16), IF(ISNUMBER(SEARCH("Gri", D657)), VERI_TABANI!F26*(0.00202-VERI_TABANI!$B$17), 0))) + ((VERI_TABANI!D27*B657*(VERI_TABANI!$B$13-VERI_TABANI!$B$14)) + (VERI_TABANI!D27*C657*(VERI_TABANI!$B$13-VERI_TABANI!$B$15)) + IF(ISNUMBER(SEARCH("Var", D657)), VERI_TABANI!F27*(0.00202-VERI_TABANI!$B$16), IF(ISNUMBER(SEARCH("Gri", D657)), VERI_TABANI!F27*(0.00202-VERI_TABANI!$B$17), 0))) + ((VERI_TABANI!D28*B657*(VERI_TABANI!$B$13-VERI_TABANI!$B$14)) + (VERI_TABANI!D28*C657*(VERI_TABANI!$B$13-VERI_TABANI!$B$15)) + IF(ISNUMBER(SEARCH("Var", D657)), VERI_TABANI!F28*(0.00202-VERI_TABANI!$B$16), IF(ISNUMBER(SEARCH("Gri", D657)), VERI_TABANI!F28*(0.00202-VERI_TABANI!$B$17), 0))))</f>
        <v/>
      </c>
      <c r="I657" s="170">
        <f>IFERROR(((VERI_TABANI!$D$29*B657*VERI_TABANI!$B$14 + VERI_TABANI!$D$29*C657*VERI_TABANI!$B$15 + IF(ISNUMBER(SEARCH("Var", D657)), VERI_TABANI!$F$29*VERI_TABANI!$B$16, 0))) / (((VERI_TABANI!$D$29*B657 + VERI_TABANI!$D$29*C657)*VERI_TABANI!$B$13 + IF(ISNUMBER(SEARCH("Var", D657)), VERI_TABANI!$E$29*(1-0.928)*VERI_TABANI!$B$18, 0))), 0)</f>
        <v/>
      </c>
      <c r="J657" s="171">
        <f>IFERROR(F657/(G657/29), 0)</f>
        <v/>
      </c>
      <c r="K657" s="172">
        <f>IF(F657&gt;0, H657/F657, 0)</f>
        <v/>
      </c>
      <c r="L657" s="170">
        <f>IF(F657&gt;0, I657, 1000000000)</f>
        <v/>
      </c>
      <c r="M657" s="171">
        <f>ABS((B657+C657)-1)</f>
        <v/>
      </c>
      <c r="N657" s="170">
        <f>IF(F657&gt;0, (G657/29)/F657, 0)</f>
        <v/>
      </c>
      <c r="O657" s="168">
        <f>IF(AND((B657+C657)&gt;=1, ISNUMBER(SEARCH("Var", D657))), F657, 1000000000)</f>
        <v/>
      </c>
      <c r="P657" s="172">
        <f>IF(F657&gt;0, SQRT((F657/MAX(F$5:F$886))^2 + (1 - H657/MAX(H$5:H$886))^2 + (J657/MAX(J$5:J$886))^2), 1000000000)</f>
        <v/>
      </c>
      <c r="Q657" s="166">
        <f>IF(AND(ABS(B657-0.5)&lt;0.01, ABS(C657-0.5)&lt;0.01, ISNUMBER(SEARCH("Var", D657))), 1, 0)</f>
        <v/>
      </c>
      <c r="R657" s="171">
        <f>IF(F657&gt;0, J657, 1000000000)</f>
        <v/>
      </c>
      <c r="S657" s="101">
        <f>IF(AND(F657&lt;=DASHBOARD!$B$11, H657&gt;=DASHBOARD!$B$13), G657, -1000000000000)</f>
        <v/>
      </c>
      <c r="T657" s="101">
        <f>IF(AND(F657&lt;=DASHBOARD!$B$11, H657&gt;=DASHBOARD!$B$13), R657, 1000000000000)</f>
        <v/>
      </c>
      <c r="U657" s="101">
        <f>IF(AND(F657&lt;=DASHBOARD!$B$11, H657&gt;=DASHBOARD!$B$13), N657, -1000000000000)</f>
        <v/>
      </c>
      <c r="V657" s="101">
        <f>IF(AND(F657&lt;=DASHBOARD!$B$11, H657&gt;=DASHBOARD!$B$13), H657, -1000000000000)</f>
        <v/>
      </c>
      <c r="W657" s="101">
        <f>IF(AND(F657&lt;=DASHBOARD!$B$11, H657&gt;=DASHBOARD!$B$13), K657, -1000000000000)</f>
        <v/>
      </c>
      <c r="X657" s="101">
        <f>IF(AND(F657&lt;=DASHBOARD!$B$11, H657&gt;=DASHBOARD!$B$13), M657, 1000000000000)</f>
        <v/>
      </c>
      <c r="Y657" s="101">
        <f>IF(AND(F657&lt;=DASHBOARD!$B$10, H657&gt;=DASHBOARD!$B$11), L657, 1000000000000)</f>
        <v/>
      </c>
      <c r="Z657" s="101">
        <f>IF(AND(F657&lt;=DASHBOARD!$B$10, H657&gt;=DASHBOARD!$B$11), O657, 1000000000000)</f>
        <v/>
      </c>
      <c r="AA657" s="101">
        <f>IF(AND(F657&lt;=DASHBOARD!$B$10, H657&gt;=DASHBOARD!$B$11), P657, 1000000000000)</f>
        <v/>
      </c>
      <c r="AB657" s="101">
        <f>IF(AND(F657&lt;=DASHBOARD!$B$10, H657&gt;=DASHBOARD!$B$11), Q657, -1000000000000)</f>
        <v/>
      </c>
    </row>
    <row r="658" ht="15" customHeight="1" s="102">
      <c r="A658" s="166" t="n">
        <v>654</v>
      </c>
      <c r="B658" s="167" t="n">
        <v>1.5</v>
      </c>
      <c r="C658" s="167" t="n">
        <v>1.1</v>
      </c>
      <c r="D658" s="110" t="inlineStr">
        <is>
          <t>Var (%20)</t>
        </is>
      </c>
      <c r="E658" s="110">
        <f>IF((B658+C658)&lt;=1, "Tam Mahsuplaşma (≤%100)", "Kısmi Satış (&gt;%100)")</f>
        <v/>
      </c>
      <c r="F658" s="168">
        <f>((VERI_TABANI!$D$29*B658/VERI_TABANI!$B$29)/VERI_TABANI!$B$3)*VERI_TABANI!$B$5 + ((VERI_TABANI!$D$29*C658/VERI_TABANI!$B$29)/VERI_TABANI!$B$4)*VERI_TABANI!$B$6 + IF(ISNUMBER(SEARCH("Var", D658)), (VERI_TABANI!$F$29/VERI_TABANI!$B$29)*(VERI_TABANI!$B$10+VERI_TABANI!$B$12), 0)</f>
        <v/>
      </c>
      <c r="G658" s="168">
        <f>(((MIN(VERI_TABANI!D23, VERI_TABANI!D23*B658)*VERI_TABANI!$B$7 + MAX(0, VERI_TABANI!D23*B658-VERI_TABANI!D23)*VERI_TABANI!$B$8) + (MIN(MAX(0, VERI_TABANI!D23-VERI_TABANI!D23*B658), VERI_TABANI!D23*C658)*VERI_TABANI!$B$7 + MAX(0, VERI_TABANI!D23*C658-MAX(0, VERI_TABANI!D23-VERI_TABANI!D23*B658))*VERI_TABANI!$B$8) + IF(ABS(IF(ISNUMBER(SEARCH("Var", D658)), 1, IF(ISNUMBER(SEARCH("Gri", D658)), -1, 0)))=1, VERI_TABANI!E23*(1-0.928)*VERI_TABANI!$B$9, 0) + (VERI_TABANI!D23*B658*(VERI_TABANI!$B$13-VERI_TABANI!$B$14)*VERI_TABANI!G23) + (VERI_TABANI!D23*C658*(VERI_TABANI!$B$13-VERI_TABANI!$B$15)*VERI_TABANI!G23) + IF(ABS(IF(ISNUMBER(SEARCH("Var", D658)), 1, IF(ISNUMBER(SEARCH("Gri", D658)), -1, 0)))=1, VERI_TABANI!E23*(1-0.928)*0.00206091519919798*VERI_TABANI!G23, 0)) + ((MIN(VERI_TABANI!D24, VERI_TABANI!D24*B658)*VERI_TABANI!$B$7 + MAX(0, VERI_TABANI!D24*B658-VERI_TABANI!D24)*VERI_TABANI!$B$8) + (MIN(MAX(0, VERI_TABANI!D24-VERI_TABANI!D24*B658), VERI_TABANI!D24*C658)*VERI_TABANI!$B$7 + MAX(0, VERI_TABANI!D24*C658-MAX(0, VERI_TABANI!D24-VERI_TABANI!D24*B658))*VERI_TABANI!$B$8) + IF(ABS(IF(ISNUMBER(SEARCH("Var", D658)), 1, IF(ISNUMBER(SEARCH("Gri", D658)), -1, 0)))=1, VERI_TABANI!E24*(1-0.928)*VERI_TABANI!$B$9, 0) + (VERI_TABANI!D24*B658*(VERI_TABANI!$B$13-VERI_TABANI!$B$14)*VERI_TABANI!G24) + (VERI_TABANI!D24*C658*(VERI_TABANI!$B$13-VERI_TABANI!$B$15)*VERI_TABANI!G24) + IF(ABS(IF(ISNUMBER(SEARCH("Var", D658)), 1, IF(ISNUMBER(SEARCH("Gri", D658)), -1, 0)))=1, VERI_TABANI!E24*(1-0.928)*0.00206091519919798*VERI_TABANI!G24, 0)) + ((MIN(VERI_TABANI!D25, VERI_TABANI!D25*B658)*VERI_TABANI!$B$7 + MAX(0, VERI_TABANI!D25*B658-VERI_TABANI!D25)*VERI_TABANI!$B$8) + (MIN(MAX(0, VERI_TABANI!D25-VERI_TABANI!D25*B658), VERI_TABANI!D25*C658)*VERI_TABANI!$B$7 + MAX(0, VERI_TABANI!D25*C658-MAX(0, VERI_TABANI!D25-VERI_TABANI!D25*B658))*VERI_TABANI!$B$8) + IF(ABS(IF(ISNUMBER(SEARCH("Var", D658)), 1, IF(ISNUMBER(SEARCH("Gri", D658)), -1, 0)))=1, VERI_TABANI!E25*(1-0.928)*VERI_TABANI!$B$9, 0) + (VERI_TABANI!D25*B658*(VERI_TABANI!$B$13-VERI_TABANI!$B$14)*VERI_TABANI!G25) + (VERI_TABANI!D25*C658*(VERI_TABANI!$B$13-VERI_TABANI!$B$15)*VERI_TABANI!G25) + IF(ABS(IF(ISNUMBER(SEARCH("Var", D658)), 1, IF(ISNUMBER(SEARCH("Gri", D658)), -1, 0)))=1, VERI_TABANI!E25*(1-0.928)*0.00206091519919798*VERI_TABANI!G25, 0)) + ((MIN(VERI_TABANI!D26, VERI_TABANI!D26*B658)*VERI_TABANI!$B$7 + MAX(0, VERI_TABANI!D26*B658-VERI_TABANI!D26)*VERI_TABANI!$B$8) + (MIN(MAX(0, VERI_TABANI!D26-VERI_TABANI!D26*B658), VERI_TABANI!D26*C658)*VERI_TABANI!$B$7 + MAX(0, VERI_TABANI!D26*C658-MAX(0, VERI_TABANI!D26-VERI_TABANI!D26*B658))*VERI_TABANI!$B$8) + IF(ABS(IF(ISNUMBER(SEARCH("Var", D658)), 1, IF(ISNUMBER(SEARCH("Gri", D658)), -1, 0)))=1, VERI_TABANI!E26*(1-0.928)*VERI_TABANI!$B$9, 0) + (VERI_TABANI!D26*B658*(VERI_TABANI!$B$13-VERI_TABANI!$B$14)*VERI_TABANI!G26) + (VERI_TABANI!D26*C658*(VERI_TABANI!$B$13-VERI_TABANI!$B$15)*VERI_TABANI!G26) + IF(ABS(IF(ISNUMBER(SEARCH("Var", D658)), 1, IF(ISNUMBER(SEARCH("Gri", D658)), -1, 0)))=1, VERI_TABANI!E26*(1-0.928)*0.00206091519919798*VERI_TABANI!G26, 0)) + ((MIN(VERI_TABANI!D27, VERI_TABANI!D27*B658)*VERI_TABANI!$B$7 + MAX(0, VERI_TABANI!D27*B658-VERI_TABANI!D27)*VERI_TABANI!$B$8) + (MIN(MAX(0, VERI_TABANI!D27-VERI_TABANI!D27*B658), VERI_TABANI!D27*C658)*VERI_TABANI!$B$7 + MAX(0, VERI_TABANI!D27*C658-MAX(0, VERI_TABANI!D27-VERI_TABANI!D27*B658))*VERI_TABANI!$B$8) + IF(ABS(IF(ISNUMBER(SEARCH("Var", D658)), 1, IF(ISNUMBER(SEARCH("Gri", D658)), -1, 0)))=1, VERI_TABANI!E27*(1-0.928)*VERI_TABANI!$B$9, 0) + (VERI_TABANI!D27*B658*(VERI_TABANI!$B$13-VERI_TABANI!$B$14)*VERI_TABANI!G27) + (VERI_TABANI!D27*C658*(VERI_TABANI!$B$13-VERI_TABANI!$B$15)*VERI_TABANI!G27) + IF(ABS(IF(ISNUMBER(SEARCH("Var", D658)), 1, IF(ISNUMBER(SEARCH("Gri", D658)), -1, 0)))=1, VERI_TABANI!E27*(1-0.928)*0.00206091519919798*VERI_TABANI!G27, 0)) + ((MIN(VERI_TABANI!D28, VERI_TABANI!D28*B658)*VERI_TABANI!$B$7 + MAX(0, VERI_TABANI!D28*B658-VERI_TABANI!D28)*VERI_TABANI!$B$8) + (MIN(MAX(0, VERI_TABANI!D28-VERI_TABANI!D28*B658), VERI_TABANI!D28*C658)*VERI_TABANI!$B$7 + MAX(0, VERI_TABANI!D28*C658-MAX(0, VERI_TABANI!D28-VERI_TABANI!D28*B658))*VERI_TABANI!$B$8) + IF(ABS(IF(ISNUMBER(SEARCH("Var", D658)), 1, IF(ISNUMBER(SEARCH("Gri", D658)), -1, 0)))=1, VERI_TABANI!E28*(1-0.928)*VERI_TABANI!$B$9, 0) + (VERI_TABANI!D28*B658*(VERI_TABANI!$B$13-VERI_TABANI!$B$14)*VERI_TABANI!G28) + (VERI_TABANI!D28*C658*(VERI_TABANI!$B$13-VERI_TABANI!$B$15)*VERI_TABANI!G28) + IF(ABS(IF(ISNUMBER(SEARCH("Var", D658)), 1, IF(ISNUMBER(SEARCH("Gri", D658)), -1, 0)))=1, VERI_TABANI!E28*(1-0.928)*0.00206091519919798*VERI_TABANI!G28, 0)))</f>
        <v/>
      </c>
      <c r="H658" s="169">
        <f>(((VERI_TABANI!D23*B658*(VERI_TABANI!$B$13-VERI_TABANI!$B$14)) + (VERI_TABANI!D23*C658*(VERI_TABANI!$B$13-VERI_TABANI!$B$15)) + IF(ISNUMBER(SEARCH("Var", D658)), VERI_TABANI!F23*(0.00202-VERI_TABANI!$B$16), IF(ISNUMBER(SEARCH("Gri", D658)), VERI_TABANI!F23*(0.00202-VERI_TABANI!$B$17), 0))) + ((VERI_TABANI!D24*B658*(VERI_TABANI!$B$13-VERI_TABANI!$B$14)) + (VERI_TABANI!D24*C658*(VERI_TABANI!$B$13-VERI_TABANI!$B$15)) + IF(ISNUMBER(SEARCH("Var", D658)), VERI_TABANI!F24*(0.00202-VERI_TABANI!$B$16), IF(ISNUMBER(SEARCH("Gri", D658)), VERI_TABANI!F24*(0.00202-VERI_TABANI!$B$17), 0))) + ((VERI_TABANI!D25*B658*(VERI_TABANI!$B$13-VERI_TABANI!$B$14)) + (VERI_TABANI!D25*C658*(VERI_TABANI!$B$13-VERI_TABANI!$B$15)) + IF(ISNUMBER(SEARCH("Var", D658)), VERI_TABANI!F25*(0.00202-VERI_TABANI!$B$16), IF(ISNUMBER(SEARCH("Gri", D658)), VERI_TABANI!F25*(0.00202-VERI_TABANI!$B$17), 0))) + ((VERI_TABANI!D26*B658*(VERI_TABANI!$B$13-VERI_TABANI!$B$14)) + (VERI_TABANI!D26*C658*(VERI_TABANI!$B$13-VERI_TABANI!$B$15)) + IF(ISNUMBER(SEARCH("Var", D658)), VERI_TABANI!F26*(0.00202-VERI_TABANI!$B$16), IF(ISNUMBER(SEARCH("Gri", D658)), VERI_TABANI!F26*(0.00202-VERI_TABANI!$B$17), 0))) + ((VERI_TABANI!D27*B658*(VERI_TABANI!$B$13-VERI_TABANI!$B$14)) + (VERI_TABANI!D27*C658*(VERI_TABANI!$B$13-VERI_TABANI!$B$15)) + IF(ISNUMBER(SEARCH("Var", D658)), VERI_TABANI!F27*(0.00202-VERI_TABANI!$B$16), IF(ISNUMBER(SEARCH("Gri", D658)), VERI_TABANI!F27*(0.00202-VERI_TABANI!$B$17), 0))) + ((VERI_TABANI!D28*B658*(VERI_TABANI!$B$13-VERI_TABANI!$B$14)) + (VERI_TABANI!D28*C658*(VERI_TABANI!$B$13-VERI_TABANI!$B$15)) + IF(ISNUMBER(SEARCH("Var", D658)), VERI_TABANI!F28*(0.00202-VERI_TABANI!$B$16), IF(ISNUMBER(SEARCH("Gri", D658)), VERI_TABANI!F28*(0.00202-VERI_TABANI!$B$17), 0))))</f>
        <v/>
      </c>
      <c r="I658" s="170">
        <f>IFERROR(((VERI_TABANI!$D$29*B658*VERI_TABANI!$B$14 + VERI_TABANI!$D$29*C658*VERI_TABANI!$B$15 + IF(ISNUMBER(SEARCH("Var", D658)), VERI_TABANI!$F$29*VERI_TABANI!$B$16, 0))) / (((VERI_TABANI!$D$29*B658 + VERI_TABANI!$D$29*C658)*VERI_TABANI!$B$13 + IF(ISNUMBER(SEARCH("Var", D658)), VERI_TABANI!$E$29*(1-0.928)*VERI_TABANI!$B$18, 0))), 0)</f>
        <v/>
      </c>
      <c r="J658" s="171">
        <f>IFERROR(F658/(G658/29), 0)</f>
        <v/>
      </c>
      <c r="K658" s="172">
        <f>IF(F658&gt;0, H658/F658, 0)</f>
        <v/>
      </c>
      <c r="L658" s="170">
        <f>IF(F658&gt;0, I658, 1000000000)</f>
        <v/>
      </c>
      <c r="M658" s="171">
        <f>ABS((B658+C658)-1)</f>
        <v/>
      </c>
      <c r="N658" s="170">
        <f>IF(F658&gt;0, (G658/29)/F658, 0)</f>
        <v/>
      </c>
      <c r="O658" s="168">
        <f>IF(AND((B658+C658)&gt;=1, ISNUMBER(SEARCH("Var", D658))), F658, 1000000000)</f>
        <v/>
      </c>
      <c r="P658" s="172">
        <f>IF(F658&gt;0, SQRT((F658/MAX(F$5:F$886))^2 + (1 - H658/MAX(H$5:H$886))^2 + (J658/MAX(J$5:J$886))^2), 1000000000)</f>
        <v/>
      </c>
      <c r="Q658" s="166">
        <f>IF(AND(ABS(B658-0.5)&lt;0.01, ABS(C658-0.5)&lt;0.01, ISNUMBER(SEARCH("Var", D658))), 1, 0)</f>
        <v/>
      </c>
      <c r="R658" s="171">
        <f>IF(F658&gt;0, J658, 1000000000)</f>
        <v/>
      </c>
      <c r="S658" s="101">
        <f>IF(AND(F658&lt;=DASHBOARD!$B$11, H658&gt;=DASHBOARD!$B$13), G658, -1000000000000)</f>
        <v/>
      </c>
      <c r="T658" s="101">
        <f>IF(AND(F658&lt;=DASHBOARD!$B$11, H658&gt;=DASHBOARD!$B$13), R658, 1000000000000)</f>
        <v/>
      </c>
      <c r="U658" s="101">
        <f>IF(AND(F658&lt;=DASHBOARD!$B$11, H658&gt;=DASHBOARD!$B$13), N658, -1000000000000)</f>
        <v/>
      </c>
      <c r="V658" s="101">
        <f>IF(AND(F658&lt;=DASHBOARD!$B$11, H658&gt;=DASHBOARD!$B$13), H658, -1000000000000)</f>
        <v/>
      </c>
      <c r="W658" s="101">
        <f>IF(AND(F658&lt;=DASHBOARD!$B$11, H658&gt;=DASHBOARD!$B$13), K658, -1000000000000)</f>
        <v/>
      </c>
      <c r="X658" s="101">
        <f>IF(AND(F658&lt;=DASHBOARD!$B$11, H658&gt;=DASHBOARD!$B$13), M658, 1000000000000)</f>
        <v/>
      </c>
      <c r="Y658" s="101">
        <f>IF(AND(F658&lt;=DASHBOARD!$B$10, H658&gt;=DASHBOARD!$B$11), L658, 1000000000000)</f>
        <v/>
      </c>
      <c r="Z658" s="101">
        <f>IF(AND(F658&lt;=DASHBOARD!$B$10, H658&gt;=DASHBOARD!$B$11), O658, 1000000000000)</f>
        <v/>
      </c>
      <c r="AA658" s="101">
        <f>IF(AND(F658&lt;=DASHBOARD!$B$10, H658&gt;=DASHBOARD!$B$11), P658, 1000000000000)</f>
        <v/>
      </c>
      <c r="AB658" s="101">
        <f>IF(AND(F658&lt;=DASHBOARD!$B$10, H658&gt;=DASHBOARD!$B$11), Q658, -1000000000000)</f>
        <v/>
      </c>
    </row>
    <row r="659" ht="15" customHeight="1" s="102">
      <c r="A659" s="166" t="n">
        <v>655</v>
      </c>
      <c r="B659" s="167" t="n">
        <v>1.5</v>
      </c>
      <c r="C659" s="167" t="n">
        <v>1.2</v>
      </c>
      <c r="D659" s="110" t="inlineStr">
        <is>
          <t>Yok (%0)</t>
        </is>
      </c>
      <c r="E659" s="110">
        <f>IF((B659+C659)&lt;=1, "Tam Mahsuplaşma (≤%100)", "Kısmi Satış (&gt;%100)")</f>
        <v/>
      </c>
      <c r="F659" s="168">
        <f>((VERI_TABANI!$D$29*B659/VERI_TABANI!$B$29)/VERI_TABANI!$B$3)*VERI_TABANI!$B$5 + ((VERI_TABANI!$D$29*C659/VERI_TABANI!$B$29)/VERI_TABANI!$B$4)*VERI_TABANI!$B$6 + IF(ISNUMBER(SEARCH("Var", D659)), (VERI_TABANI!$F$29/VERI_TABANI!$B$29)*(VERI_TABANI!$B$10+VERI_TABANI!$B$12), 0)</f>
        <v/>
      </c>
      <c r="G659" s="168">
        <f>(((MIN(VERI_TABANI!D23, VERI_TABANI!D23*B659)*VERI_TABANI!$B$7 + MAX(0, VERI_TABANI!D23*B659-VERI_TABANI!D23)*VERI_TABANI!$B$8) + (MIN(MAX(0, VERI_TABANI!D23-VERI_TABANI!D23*B659), VERI_TABANI!D23*C659)*VERI_TABANI!$B$7 + MAX(0, VERI_TABANI!D23*C659-MAX(0, VERI_TABANI!D23-VERI_TABANI!D23*B659))*VERI_TABANI!$B$8) + IF(ABS(IF(ISNUMBER(SEARCH("Var", D659)), 1, IF(ISNUMBER(SEARCH("Gri", D659)), -1, 0)))=1, VERI_TABANI!E23*(1-0.928)*VERI_TABANI!$B$9, 0) + (VERI_TABANI!D23*B659*(VERI_TABANI!$B$13-VERI_TABANI!$B$14)*VERI_TABANI!G23) + (VERI_TABANI!D23*C659*(VERI_TABANI!$B$13-VERI_TABANI!$B$15)*VERI_TABANI!G23) + IF(ABS(IF(ISNUMBER(SEARCH("Var", D659)), 1, IF(ISNUMBER(SEARCH("Gri", D659)), -1, 0)))=1, VERI_TABANI!E23*(1-0.928)*0.00206091519919798*VERI_TABANI!G23, 0)) + ((MIN(VERI_TABANI!D24, VERI_TABANI!D24*B659)*VERI_TABANI!$B$7 + MAX(0, VERI_TABANI!D24*B659-VERI_TABANI!D24)*VERI_TABANI!$B$8) + (MIN(MAX(0, VERI_TABANI!D24-VERI_TABANI!D24*B659), VERI_TABANI!D24*C659)*VERI_TABANI!$B$7 + MAX(0, VERI_TABANI!D24*C659-MAX(0, VERI_TABANI!D24-VERI_TABANI!D24*B659))*VERI_TABANI!$B$8) + IF(ABS(IF(ISNUMBER(SEARCH("Var", D659)), 1, IF(ISNUMBER(SEARCH("Gri", D659)), -1, 0)))=1, VERI_TABANI!E24*(1-0.928)*VERI_TABANI!$B$9, 0) + (VERI_TABANI!D24*B659*(VERI_TABANI!$B$13-VERI_TABANI!$B$14)*VERI_TABANI!G24) + (VERI_TABANI!D24*C659*(VERI_TABANI!$B$13-VERI_TABANI!$B$15)*VERI_TABANI!G24) + IF(ABS(IF(ISNUMBER(SEARCH("Var", D659)), 1, IF(ISNUMBER(SEARCH("Gri", D659)), -1, 0)))=1, VERI_TABANI!E24*(1-0.928)*0.00206091519919798*VERI_TABANI!G24, 0)) + ((MIN(VERI_TABANI!D25, VERI_TABANI!D25*B659)*VERI_TABANI!$B$7 + MAX(0, VERI_TABANI!D25*B659-VERI_TABANI!D25)*VERI_TABANI!$B$8) + (MIN(MAX(0, VERI_TABANI!D25-VERI_TABANI!D25*B659), VERI_TABANI!D25*C659)*VERI_TABANI!$B$7 + MAX(0, VERI_TABANI!D25*C659-MAX(0, VERI_TABANI!D25-VERI_TABANI!D25*B659))*VERI_TABANI!$B$8) + IF(ABS(IF(ISNUMBER(SEARCH("Var", D659)), 1, IF(ISNUMBER(SEARCH("Gri", D659)), -1, 0)))=1, VERI_TABANI!E25*(1-0.928)*VERI_TABANI!$B$9, 0) + (VERI_TABANI!D25*B659*(VERI_TABANI!$B$13-VERI_TABANI!$B$14)*VERI_TABANI!G25) + (VERI_TABANI!D25*C659*(VERI_TABANI!$B$13-VERI_TABANI!$B$15)*VERI_TABANI!G25) + IF(ABS(IF(ISNUMBER(SEARCH("Var", D659)), 1, IF(ISNUMBER(SEARCH("Gri", D659)), -1, 0)))=1, VERI_TABANI!E25*(1-0.928)*0.00206091519919798*VERI_TABANI!G25, 0)) + ((MIN(VERI_TABANI!D26, VERI_TABANI!D26*B659)*VERI_TABANI!$B$7 + MAX(0, VERI_TABANI!D26*B659-VERI_TABANI!D26)*VERI_TABANI!$B$8) + (MIN(MAX(0, VERI_TABANI!D26-VERI_TABANI!D26*B659), VERI_TABANI!D26*C659)*VERI_TABANI!$B$7 + MAX(0, VERI_TABANI!D26*C659-MAX(0, VERI_TABANI!D26-VERI_TABANI!D26*B659))*VERI_TABANI!$B$8) + IF(ABS(IF(ISNUMBER(SEARCH("Var", D659)), 1, IF(ISNUMBER(SEARCH("Gri", D659)), -1, 0)))=1, VERI_TABANI!E26*(1-0.928)*VERI_TABANI!$B$9, 0) + (VERI_TABANI!D26*B659*(VERI_TABANI!$B$13-VERI_TABANI!$B$14)*VERI_TABANI!G26) + (VERI_TABANI!D26*C659*(VERI_TABANI!$B$13-VERI_TABANI!$B$15)*VERI_TABANI!G26) + IF(ABS(IF(ISNUMBER(SEARCH("Var", D659)), 1, IF(ISNUMBER(SEARCH("Gri", D659)), -1, 0)))=1, VERI_TABANI!E26*(1-0.928)*0.00206091519919798*VERI_TABANI!G26, 0)) + ((MIN(VERI_TABANI!D27, VERI_TABANI!D27*B659)*VERI_TABANI!$B$7 + MAX(0, VERI_TABANI!D27*B659-VERI_TABANI!D27)*VERI_TABANI!$B$8) + (MIN(MAX(0, VERI_TABANI!D27-VERI_TABANI!D27*B659), VERI_TABANI!D27*C659)*VERI_TABANI!$B$7 + MAX(0, VERI_TABANI!D27*C659-MAX(0, VERI_TABANI!D27-VERI_TABANI!D27*B659))*VERI_TABANI!$B$8) + IF(ABS(IF(ISNUMBER(SEARCH("Var", D659)), 1, IF(ISNUMBER(SEARCH("Gri", D659)), -1, 0)))=1, VERI_TABANI!E27*(1-0.928)*VERI_TABANI!$B$9, 0) + (VERI_TABANI!D27*B659*(VERI_TABANI!$B$13-VERI_TABANI!$B$14)*VERI_TABANI!G27) + (VERI_TABANI!D27*C659*(VERI_TABANI!$B$13-VERI_TABANI!$B$15)*VERI_TABANI!G27) + IF(ABS(IF(ISNUMBER(SEARCH("Var", D659)), 1, IF(ISNUMBER(SEARCH("Gri", D659)), -1, 0)))=1, VERI_TABANI!E27*(1-0.928)*0.00206091519919798*VERI_TABANI!G27, 0)) + ((MIN(VERI_TABANI!D28, VERI_TABANI!D28*B659)*VERI_TABANI!$B$7 + MAX(0, VERI_TABANI!D28*B659-VERI_TABANI!D28)*VERI_TABANI!$B$8) + (MIN(MAX(0, VERI_TABANI!D28-VERI_TABANI!D28*B659), VERI_TABANI!D28*C659)*VERI_TABANI!$B$7 + MAX(0, VERI_TABANI!D28*C659-MAX(0, VERI_TABANI!D28-VERI_TABANI!D28*B659))*VERI_TABANI!$B$8) + IF(ABS(IF(ISNUMBER(SEARCH("Var", D659)), 1, IF(ISNUMBER(SEARCH("Gri", D659)), -1, 0)))=1, VERI_TABANI!E28*(1-0.928)*VERI_TABANI!$B$9, 0) + (VERI_TABANI!D28*B659*(VERI_TABANI!$B$13-VERI_TABANI!$B$14)*VERI_TABANI!G28) + (VERI_TABANI!D28*C659*(VERI_TABANI!$B$13-VERI_TABANI!$B$15)*VERI_TABANI!G28) + IF(ABS(IF(ISNUMBER(SEARCH("Var", D659)), 1, IF(ISNUMBER(SEARCH("Gri", D659)), -1, 0)))=1, VERI_TABANI!E28*(1-0.928)*0.00206091519919798*VERI_TABANI!G28, 0)))</f>
        <v/>
      </c>
      <c r="H659" s="169">
        <f>(((VERI_TABANI!D23*B659*(VERI_TABANI!$B$13-VERI_TABANI!$B$14)) + (VERI_TABANI!D23*C659*(VERI_TABANI!$B$13-VERI_TABANI!$B$15)) + IF(ISNUMBER(SEARCH("Var", D659)), VERI_TABANI!F23*(0.00202-VERI_TABANI!$B$16), IF(ISNUMBER(SEARCH("Gri", D659)), VERI_TABANI!F23*(0.00202-VERI_TABANI!$B$17), 0))) + ((VERI_TABANI!D24*B659*(VERI_TABANI!$B$13-VERI_TABANI!$B$14)) + (VERI_TABANI!D24*C659*(VERI_TABANI!$B$13-VERI_TABANI!$B$15)) + IF(ISNUMBER(SEARCH("Var", D659)), VERI_TABANI!F24*(0.00202-VERI_TABANI!$B$16), IF(ISNUMBER(SEARCH("Gri", D659)), VERI_TABANI!F24*(0.00202-VERI_TABANI!$B$17), 0))) + ((VERI_TABANI!D25*B659*(VERI_TABANI!$B$13-VERI_TABANI!$B$14)) + (VERI_TABANI!D25*C659*(VERI_TABANI!$B$13-VERI_TABANI!$B$15)) + IF(ISNUMBER(SEARCH("Var", D659)), VERI_TABANI!F25*(0.00202-VERI_TABANI!$B$16), IF(ISNUMBER(SEARCH("Gri", D659)), VERI_TABANI!F25*(0.00202-VERI_TABANI!$B$17), 0))) + ((VERI_TABANI!D26*B659*(VERI_TABANI!$B$13-VERI_TABANI!$B$14)) + (VERI_TABANI!D26*C659*(VERI_TABANI!$B$13-VERI_TABANI!$B$15)) + IF(ISNUMBER(SEARCH("Var", D659)), VERI_TABANI!F26*(0.00202-VERI_TABANI!$B$16), IF(ISNUMBER(SEARCH("Gri", D659)), VERI_TABANI!F26*(0.00202-VERI_TABANI!$B$17), 0))) + ((VERI_TABANI!D27*B659*(VERI_TABANI!$B$13-VERI_TABANI!$B$14)) + (VERI_TABANI!D27*C659*(VERI_TABANI!$B$13-VERI_TABANI!$B$15)) + IF(ISNUMBER(SEARCH("Var", D659)), VERI_TABANI!F27*(0.00202-VERI_TABANI!$B$16), IF(ISNUMBER(SEARCH("Gri", D659)), VERI_TABANI!F27*(0.00202-VERI_TABANI!$B$17), 0))) + ((VERI_TABANI!D28*B659*(VERI_TABANI!$B$13-VERI_TABANI!$B$14)) + (VERI_TABANI!D28*C659*(VERI_TABANI!$B$13-VERI_TABANI!$B$15)) + IF(ISNUMBER(SEARCH("Var", D659)), VERI_TABANI!F28*(0.00202-VERI_TABANI!$B$16), IF(ISNUMBER(SEARCH("Gri", D659)), VERI_TABANI!F28*(0.00202-VERI_TABANI!$B$17), 0))))</f>
        <v/>
      </c>
      <c r="I659" s="170">
        <f>IFERROR(((VERI_TABANI!$D$29*B659*VERI_TABANI!$B$14 + VERI_TABANI!$D$29*C659*VERI_TABANI!$B$15 + IF(ISNUMBER(SEARCH("Var", D659)), VERI_TABANI!$F$29*VERI_TABANI!$B$16, 0))) / (((VERI_TABANI!$D$29*B659 + VERI_TABANI!$D$29*C659)*VERI_TABANI!$B$13 + IF(ISNUMBER(SEARCH("Var", D659)), VERI_TABANI!$E$29*(1-0.928)*VERI_TABANI!$B$18, 0))), 0)</f>
        <v/>
      </c>
      <c r="J659" s="171">
        <f>IFERROR(F659/(G659/29), 0)</f>
        <v/>
      </c>
      <c r="K659" s="172">
        <f>IF(F659&gt;0, H659/F659, 0)</f>
        <v/>
      </c>
      <c r="L659" s="170">
        <f>IF(F659&gt;0, I659, 1000000000)</f>
        <v/>
      </c>
      <c r="M659" s="171">
        <f>ABS((B659+C659)-1)</f>
        <v/>
      </c>
      <c r="N659" s="170">
        <f>IF(F659&gt;0, (G659/29)/F659, 0)</f>
        <v/>
      </c>
      <c r="O659" s="168">
        <f>IF(AND((B659+C659)&gt;=1, ISNUMBER(SEARCH("Var", D659))), F659, 1000000000)</f>
        <v/>
      </c>
      <c r="P659" s="172">
        <f>IF(F659&gt;0, SQRT((F659/MAX(F$5:F$886))^2 + (1 - H659/MAX(H$5:H$886))^2 + (J659/MAX(J$5:J$886))^2), 1000000000)</f>
        <v/>
      </c>
      <c r="Q659" s="166">
        <f>IF(AND(ABS(B659-0.5)&lt;0.01, ABS(C659-0.5)&lt;0.01, ISNUMBER(SEARCH("Var", D659))), 1, 0)</f>
        <v/>
      </c>
      <c r="R659" s="171">
        <f>IF(F659&gt;0, J659, 1000000000)</f>
        <v/>
      </c>
      <c r="S659" s="101">
        <f>IF(AND(F659&lt;=DASHBOARD!$B$11, H659&gt;=DASHBOARD!$B$13), G659, -1000000000000)</f>
        <v/>
      </c>
      <c r="T659" s="101">
        <f>IF(AND(F659&lt;=DASHBOARD!$B$11, H659&gt;=DASHBOARD!$B$13), R659, 1000000000000)</f>
        <v/>
      </c>
      <c r="U659" s="101">
        <f>IF(AND(F659&lt;=DASHBOARD!$B$11, H659&gt;=DASHBOARD!$B$13), N659, -1000000000000)</f>
        <v/>
      </c>
      <c r="V659" s="101">
        <f>IF(AND(F659&lt;=DASHBOARD!$B$11, H659&gt;=DASHBOARD!$B$13), H659, -1000000000000)</f>
        <v/>
      </c>
      <c r="W659" s="101">
        <f>IF(AND(F659&lt;=DASHBOARD!$B$11, H659&gt;=DASHBOARD!$B$13), K659, -1000000000000)</f>
        <v/>
      </c>
      <c r="X659" s="101">
        <f>IF(AND(F659&lt;=DASHBOARD!$B$11, H659&gt;=DASHBOARD!$B$13), M659, 1000000000000)</f>
        <v/>
      </c>
      <c r="Y659" s="101">
        <f>IF(AND(F659&lt;=DASHBOARD!$B$10, H659&gt;=DASHBOARD!$B$11), L659, 1000000000000)</f>
        <v/>
      </c>
      <c r="Z659" s="101">
        <f>IF(AND(F659&lt;=DASHBOARD!$B$10, H659&gt;=DASHBOARD!$B$11), O659, 1000000000000)</f>
        <v/>
      </c>
      <c r="AA659" s="101">
        <f>IF(AND(F659&lt;=DASHBOARD!$B$10, H659&gt;=DASHBOARD!$B$11), P659, 1000000000000)</f>
        <v/>
      </c>
      <c r="AB659" s="101">
        <f>IF(AND(F659&lt;=DASHBOARD!$B$10, H659&gt;=DASHBOARD!$B$11), Q659, -1000000000000)</f>
        <v/>
      </c>
    </row>
    <row r="660" ht="15" customHeight="1" s="102">
      <c r="A660" s="166" t="n">
        <v>656</v>
      </c>
      <c r="B660" s="167" t="n">
        <v>1.5</v>
      </c>
      <c r="C660" s="167" t="n">
        <v>1.2</v>
      </c>
      <c r="D660" s="110" t="inlineStr">
        <is>
          <t>Var (%20)</t>
        </is>
      </c>
      <c r="E660" s="110">
        <f>IF((B660+C660)&lt;=1, "Tam Mahsuplaşma (≤%100)", "Kısmi Satış (&gt;%100)")</f>
        <v/>
      </c>
      <c r="F660" s="168">
        <f>((VERI_TABANI!$D$29*B660/VERI_TABANI!$B$29)/VERI_TABANI!$B$3)*VERI_TABANI!$B$5 + ((VERI_TABANI!$D$29*C660/VERI_TABANI!$B$29)/VERI_TABANI!$B$4)*VERI_TABANI!$B$6 + IF(ISNUMBER(SEARCH("Var", D660)), (VERI_TABANI!$F$29/VERI_TABANI!$B$29)*(VERI_TABANI!$B$10+VERI_TABANI!$B$12), 0)</f>
        <v/>
      </c>
      <c r="G660" s="168">
        <f>(((MIN(VERI_TABANI!D23, VERI_TABANI!D23*B660)*VERI_TABANI!$B$7 + MAX(0, VERI_TABANI!D23*B660-VERI_TABANI!D23)*VERI_TABANI!$B$8) + (MIN(MAX(0, VERI_TABANI!D23-VERI_TABANI!D23*B660), VERI_TABANI!D23*C660)*VERI_TABANI!$B$7 + MAX(0, VERI_TABANI!D23*C660-MAX(0, VERI_TABANI!D23-VERI_TABANI!D23*B660))*VERI_TABANI!$B$8) + IF(ABS(IF(ISNUMBER(SEARCH("Var", D660)), 1, IF(ISNUMBER(SEARCH("Gri", D660)), -1, 0)))=1, VERI_TABANI!E23*(1-0.928)*VERI_TABANI!$B$9, 0) + (VERI_TABANI!D23*B660*(VERI_TABANI!$B$13-VERI_TABANI!$B$14)*VERI_TABANI!G23) + (VERI_TABANI!D23*C660*(VERI_TABANI!$B$13-VERI_TABANI!$B$15)*VERI_TABANI!G23) + IF(ABS(IF(ISNUMBER(SEARCH("Var", D660)), 1, IF(ISNUMBER(SEARCH("Gri", D660)), -1, 0)))=1, VERI_TABANI!E23*(1-0.928)*0.00206091519919798*VERI_TABANI!G23, 0)) + ((MIN(VERI_TABANI!D24, VERI_TABANI!D24*B660)*VERI_TABANI!$B$7 + MAX(0, VERI_TABANI!D24*B660-VERI_TABANI!D24)*VERI_TABANI!$B$8) + (MIN(MAX(0, VERI_TABANI!D24-VERI_TABANI!D24*B660), VERI_TABANI!D24*C660)*VERI_TABANI!$B$7 + MAX(0, VERI_TABANI!D24*C660-MAX(0, VERI_TABANI!D24-VERI_TABANI!D24*B660))*VERI_TABANI!$B$8) + IF(ABS(IF(ISNUMBER(SEARCH("Var", D660)), 1, IF(ISNUMBER(SEARCH("Gri", D660)), -1, 0)))=1, VERI_TABANI!E24*(1-0.928)*VERI_TABANI!$B$9, 0) + (VERI_TABANI!D24*B660*(VERI_TABANI!$B$13-VERI_TABANI!$B$14)*VERI_TABANI!G24) + (VERI_TABANI!D24*C660*(VERI_TABANI!$B$13-VERI_TABANI!$B$15)*VERI_TABANI!G24) + IF(ABS(IF(ISNUMBER(SEARCH("Var", D660)), 1, IF(ISNUMBER(SEARCH("Gri", D660)), -1, 0)))=1, VERI_TABANI!E24*(1-0.928)*0.00206091519919798*VERI_TABANI!G24, 0)) + ((MIN(VERI_TABANI!D25, VERI_TABANI!D25*B660)*VERI_TABANI!$B$7 + MAX(0, VERI_TABANI!D25*B660-VERI_TABANI!D25)*VERI_TABANI!$B$8) + (MIN(MAX(0, VERI_TABANI!D25-VERI_TABANI!D25*B660), VERI_TABANI!D25*C660)*VERI_TABANI!$B$7 + MAX(0, VERI_TABANI!D25*C660-MAX(0, VERI_TABANI!D25-VERI_TABANI!D25*B660))*VERI_TABANI!$B$8) + IF(ABS(IF(ISNUMBER(SEARCH("Var", D660)), 1, IF(ISNUMBER(SEARCH("Gri", D660)), -1, 0)))=1, VERI_TABANI!E25*(1-0.928)*VERI_TABANI!$B$9, 0) + (VERI_TABANI!D25*B660*(VERI_TABANI!$B$13-VERI_TABANI!$B$14)*VERI_TABANI!G25) + (VERI_TABANI!D25*C660*(VERI_TABANI!$B$13-VERI_TABANI!$B$15)*VERI_TABANI!G25) + IF(ABS(IF(ISNUMBER(SEARCH("Var", D660)), 1, IF(ISNUMBER(SEARCH("Gri", D660)), -1, 0)))=1, VERI_TABANI!E25*(1-0.928)*0.00206091519919798*VERI_TABANI!G25, 0)) + ((MIN(VERI_TABANI!D26, VERI_TABANI!D26*B660)*VERI_TABANI!$B$7 + MAX(0, VERI_TABANI!D26*B660-VERI_TABANI!D26)*VERI_TABANI!$B$8) + (MIN(MAX(0, VERI_TABANI!D26-VERI_TABANI!D26*B660), VERI_TABANI!D26*C660)*VERI_TABANI!$B$7 + MAX(0, VERI_TABANI!D26*C660-MAX(0, VERI_TABANI!D26-VERI_TABANI!D26*B660))*VERI_TABANI!$B$8) + IF(ABS(IF(ISNUMBER(SEARCH("Var", D660)), 1, IF(ISNUMBER(SEARCH("Gri", D660)), -1, 0)))=1, VERI_TABANI!E26*(1-0.928)*VERI_TABANI!$B$9, 0) + (VERI_TABANI!D26*B660*(VERI_TABANI!$B$13-VERI_TABANI!$B$14)*VERI_TABANI!G26) + (VERI_TABANI!D26*C660*(VERI_TABANI!$B$13-VERI_TABANI!$B$15)*VERI_TABANI!G26) + IF(ABS(IF(ISNUMBER(SEARCH("Var", D660)), 1, IF(ISNUMBER(SEARCH("Gri", D660)), -1, 0)))=1, VERI_TABANI!E26*(1-0.928)*0.00206091519919798*VERI_TABANI!G26, 0)) + ((MIN(VERI_TABANI!D27, VERI_TABANI!D27*B660)*VERI_TABANI!$B$7 + MAX(0, VERI_TABANI!D27*B660-VERI_TABANI!D27)*VERI_TABANI!$B$8) + (MIN(MAX(0, VERI_TABANI!D27-VERI_TABANI!D27*B660), VERI_TABANI!D27*C660)*VERI_TABANI!$B$7 + MAX(0, VERI_TABANI!D27*C660-MAX(0, VERI_TABANI!D27-VERI_TABANI!D27*B660))*VERI_TABANI!$B$8) + IF(ABS(IF(ISNUMBER(SEARCH("Var", D660)), 1, IF(ISNUMBER(SEARCH("Gri", D660)), -1, 0)))=1, VERI_TABANI!E27*(1-0.928)*VERI_TABANI!$B$9, 0) + (VERI_TABANI!D27*B660*(VERI_TABANI!$B$13-VERI_TABANI!$B$14)*VERI_TABANI!G27) + (VERI_TABANI!D27*C660*(VERI_TABANI!$B$13-VERI_TABANI!$B$15)*VERI_TABANI!G27) + IF(ABS(IF(ISNUMBER(SEARCH("Var", D660)), 1, IF(ISNUMBER(SEARCH("Gri", D660)), -1, 0)))=1, VERI_TABANI!E27*(1-0.928)*0.00206091519919798*VERI_TABANI!G27, 0)) + ((MIN(VERI_TABANI!D28, VERI_TABANI!D28*B660)*VERI_TABANI!$B$7 + MAX(0, VERI_TABANI!D28*B660-VERI_TABANI!D28)*VERI_TABANI!$B$8) + (MIN(MAX(0, VERI_TABANI!D28-VERI_TABANI!D28*B660), VERI_TABANI!D28*C660)*VERI_TABANI!$B$7 + MAX(0, VERI_TABANI!D28*C660-MAX(0, VERI_TABANI!D28-VERI_TABANI!D28*B660))*VERI_TABANI!$B$8) + IF(ABS(IF(ISNUMBER(SEARCH("Var", D660)), 1, IF(ISNUMBER(SEARCH("Gri", D660)), -1, 0)))=1, VERI_TABANI!E28*(1-0.928)*VERI_TABANI!$B$9, 0) + (VERI_TABANI!D28*B660*(VERI_TABANI!$B$13-VERI_TABANI!$B$14)*VERI_TABANI!G28) + (VERI_TABANI!D28*C660*(VERI_TABANI!$B$13-VERI_TABANI!$B$15)*VERI_TABANI!G28) + IF(ABS(IF(ISNUMBER(SEARCH("Var", D660)), 1, IF(ISNUMBER(SEARCH("Gri", D660)), -1, 0)))=1, VERI_TABANI!E28*(1-0.928)*0.00206091519919798*VERI_TABANI!G28, 0)))</f>
        <v/>
      </c>
      <c r="H660" s="169">
        <f>(((VERI_TABANI!D23*B660*(VERI_TABANI!$B$13-VERI_TABANI!$B$14)) + (VERI_TABANI!D23*C660*(VERI_TABANI!$B$13-VERI_TABANI!$B$15)) + IF(ISNUMBER(SEARCH("Var", D660)), VERI_TABANI!F23*(0.00202-VERI_TABANI!$B$16), IF(ISNUMBER(SEARCH("Gri", D660)), VERI_TABANI!F23*(0.00202-VERI_TABANI!$B$17), 0))) + ((VERI_TABANI!D24*B660*(VERI_TABANI!$B$13-VERI_TABANI!$B$14)) + (VERI_TABANI!D24*C660*(VERI_TABANI!$B$13-VERI_TABANI!$B$15)) + IF(ISNUMBER(SEARCH("Var", D660)), VERI_TABANI!F24*(0.00202-VERI_TABANI!$B$16), IF(ISNUMBER(SEARCH("Gri", D660)), VERI_TABANI!F24*(0.00202-VERI_TABANI!$B$17), 0))) + ((VERI_TABANI!D25*B660*(VERI_TABANI!$B$13-VERI_TABANI!$B$14)) + (VERI_TABANI!D25*C660*(VERI_TABANI!$B$13-VERI_TABANI!$B$15)) + IF(ISNUMBER(SEARCH("Var", D660)), VERI_TABANI!F25*(0.00202-VERI_TABANI!$B$16), IF(ISNUMBER(SEARCH("Gri", D660)), VERI_TABANI!F25*(0.00202-VERI_TABANI!$B$17), 0))) + ((VERI_TABANI!D26*B660*(VERI_TABANI!$B$13-VERI_TABANI!$B$14)) + (VERI_TABANI!D26*C660*(VERI_TABANI!$B$13-VERI_TABANI!$B$15)) + IF(ISNUMBER(SEARCH("Var", D660)), VERI_TABANI!F26*(0.00202-VERI_TABANI!$B$16), IF(ISNUMBER(SEARCH("Gri", D660)), VERI_TABANI!F26*(0.00202-VERI_TABANI!$B$17), 0))) + ((VERI_TABANI!D27*B660*(VERI_TABANI!$B$13-VERI_TABANI!$B$14)) + (VERI_TABANI!D27*C660*(VERI_TABANI!$B$13-VERI_TABANI!$B$15)) + IF(ISNUMBER(SEARCH("Var", D660)), VERI_TABANI!F27*(0.00202-VERI_TABANI!$B$16), IF(ISNUMBER(SEARCH("Gri", D660)), VERI_TABANI!F27*(0.00202-VERI_TABANI!$B$17), 0))) + ((VERI_TABANI!D28*B660*(VERI_TABANI!$B$13-VERI_TABANI!$B$14)) + (VERI_TABANI!D28*C660*(VERI_TABANI!$B$13-VERI_TABANI!$B$15)) + IF(ISNUMBER(SEARCH("Var", D660)), VERI_TABANI!F28*(0.00202-VERI_TABANI!$B$16), IF(ISNUMBER(SEARCH("Gri", D660)), VERI_TABANI!F28*(0.00202-VERI_TABANI!$B$17), 0))))</f>
        <v/>
      </c>
      <c r="I660" s="170">
        <f>IFERROR(((VERI_TABANI!$D$29*B660*VERI_TABANI!$B$14 + VERI_TABANI!$D$29*C660*VERI_TABANI!$B$15 + IF(ISNUMBER(SEARCH("Var", D660)), VERI_TABANI!$F$29*VERI_TABANI!$B$16, 0))) / (((VERI_TABANI!$D$29*B660 + VERI_TABANI!$D$29*C660)*VERI_TABANI!$B$13 + IF(ISNUMBER(SEARCH("Var", D660)), VERI_TABANI!$E$29*(1-0.928)*VERI_TABANI!$B$18, 0))), 0)</f>
        <v/>
      </c>
      <c r="J660" s="171">
        <f>IFERROR(F660/(G660/29), 0)</f>
        <v/>
      </c>
      <c r="K660" s="172">
        <f>IF(F660&gt;0, H660/F660, 0)</f>
        <v/>
      </c>
      <c r="L660" s="170">
        <f>IF(F660&gt;0, I660, 1000000000)</f>
        <v/>
      </c>
      <c r="M660" s="171">
        <f>ABS((B660+C660)-1)</f>
        <v/>
      </c>
      <c r="N660" s="170">
        <f>IF(F660&gt;0, (G660/29)/F660, 0)</f>
        <v/>
      </c>
      <c r="O660" s="168">
        <f>IF(AND((B660+C660)&gt;=1, ISNUMBER(SEARCH("Var", D660))), F660, 1000000000)</f>
        <v/>
      </c>
      <c r="P660" s="172">
        <f>IF(F660&gt;0, SQRT((F660/MAX(F$5:F$886))^2 + (1 - H660/MAX(H$5:H$886))^2 + (J660/MAX(J$5:J$886))^2), 1000000000)</f>
        <v/>
      </c>
      <c r="Q660" s="166">
        <f>IF(AND(ABS(B660-0.5)&lt;0.01, ABS(C660-0.5)&lt;0.01, ISNUMBER(SEARCH("Var", D660))), 1, 0)</f>
        <v/>
      </c>
      <c r="R660" s="171">
        <f>IF(F660&gt;0, J660, 1000000000)</f>
        <v/>
      </c>
      <c r="S660" s="101">
        <f>IF(AND(F660&lt;=DASHBOARD!$B$11, H660&gt;=DASHBOARD!$B$13), G660, -1000000000000)</f>
        <v/>
      </c>
      <c r="T660" s="101">
        <f>IF(AND(F660&lt;=DASHBOARD!$B$11, H660&gt;=DASHBOARD!$B$13), R660, 1000000000000)</f>
        <v/>
      </c>
      <c r="U660" s="101">
        <f>IF(AND(F660&lt;=DASHBOARD!$B$11, H660&gt;=DASHBOARD!$B$13), N660, -1000000000000)</f>
        <v/>
      </c>
      <c r="V660" s="101">
        <f>IF(AND(F660&lt;=DASHBOARD!$B$11, H660&gt;=DASHBOARD!$B$13), H660, -1000000000000)</f>
        <v/>
      </c>
      <c r="W660" s="101">
        <f>IF(AND(F660&lt;=DASHBOARD!$B$11, H660&gt;=DASHBOARD!$B$13), K660, -1000000000000)</f>
        <v/>
      </c>
      <c r="X660" s="101">
        <f>IF(AND(F660&lt;=DASHBOARD!$B$11, H660&gt;=DASHBOARD!$B$13), M660, 1000000000000)</f>
        <v/>
      </c>
      <c r="Y660" s="101">
        <f>IF(AND(F660&lt;=DASHBOARD!$B$10, H660&gt;=DASHBOARD!$B$11), L660, 1000000000000)</f>
        <v/>
      </c>
      <c r="Z660" s="101">
        <f>IF(AND(F660&lt;=DASHBOARD!$B$10, H660&gt;=DASHBOARD!$B$11), O660, 1000000000000)</f>
        <v/>
      </c>
      <c r="AA660" s="101">
        <f>IF(AND(F660&lt;=DASHBOARD!$B$10, H660&gt;=DASHBOARD!$B$11), P660, 1000000000000)</f>
        <v/>
      </c>
      <c r="AB660" s="101">
        <f>IF(AND(F660&lt;=DASHBOARD!$B$10, H660&gt;=DASHBOARD!$B$11), Q660, -1000000000000)</f>
        <v/>
      </c>
    </row>
    <row r="661" ht="15" customHeight="1" s="102">
      <c r="A661" s="166" t="n">
        <v>657</v>
      </c>
      <c r="B661" s="167" t="n">
        <v>1.5</v>
      </c>
      <c r="C661" s="167" t="n">
        <v>1.3</v>
      </c>
      <c r="D661" s="110" t="inlineStr">
        <is>
          <t>Yok (%0)</t>
        </is>
      </c>
      <c r="E661" s="110">
        <f>IF((B661+C661)&lt;=1, "Tam Mahsuplaşma (≤%100)", "Kısmi Satış (&gt;%100)")</f>
        <v/>
      </c>
      <c r="F661" s="168">
        <f>((VERI_TABANI!$D$29*B661/VERI_TABANI!$B$29)/VERI_TABANI!$B$3)*VERI_TABANI!$B$5 + ((VERI_TABANI!$D$29*C661/VERI_TABANI!$B$29)/VERI_TABANI!$B$4)*VERI_TABANI!$B$6 + IF(ISNUMBER(SEARCH("Var", D661)), (VERI_TABANI!$F$29/VERI_TABANI!$B$29)*(VERI_TABANI!$B$10+VERI_TABANI!$B$12), 0)</f>
        <v/>
      </c>
      <c r="G661" s="168">
        <f>(((MIN(VERI_TABANI!D23, VERI_TABANI!D23*B661)*VERI_TABANI!$B$7 + MAX(0, VERI_TABANI!D23*B661-VERI_TABANI!D23)*VERI_TABANI!$B$8) + (MIN(MAX(0, VERI_TABANI!D23-VERI_TABANI!D23*B661), VERI_TABANI!D23*C661)*VERI_TABANI!$B$7 + MAX(0, VERI_TABANI!D23*C661-MAX(0, VERI_TABANI!D23-VERI_TABANI!D23*B661))*VERI_TABANI!$B$8) + IF(ABS(IF(ISNUMBER(SEARCH("Var", D661)), 1, IF(ISNUMBER(SEARCH("Gri", D661)), -1, 0)))=1, VERI_TABANI!E23*(1-0.928)*VERI_TABANI!$B$9, 0) + (VERI_TABANI!D23*B661*(VERI_TABANI!$B$13-VERI_TABANI!$B$14)*VERI_TABANI!G23) + (VERI_TABANI!D23*C661*(VERI_TABANI!$B$13-VERI_TABANI!$B$15)*VERI_TABANI!G23) + IF(ABS(IF(ISNUMBER(SEARCH("Var", D661)), 1, IF(ISNUMBER(SEARCH("Gri", D661)), -1, 0)))=1, VERI_TABANI!E23*(1-0.928)*0.00206091519919798*VERI_TABANI!G23, 0)) + ((MIN(VERI_TABANI!D24, VERI_TABANI!D24*B661)*VERI_TABANI!$B$7 + MAX(0, VERI_TABANI!D24*B661-VERI_TABANI!D24)*VERI_TABANI!$B$8) + (MIN(MAX(0, VERI_TABANI!D24-VERI_TABANI!D24*B661), VERI_TABANI!D24*C661)*VERI_TABANI!$B$7 + MAX(0, VERI_TABANI!D24*C661-MAX(0, VERI_TABANI!D24-VERI_TABANI!D24*B661))*VERI_TABANI!$B$8) + IF(ABS(IF(ISNUMBER(SEARCH("Var", D661)), 1, IF(ISNUMBER(SEARCH("Gri", D661)), -1, 0)))=1, VERI_TABANI!E24*(1-0.928)*VERI_TABANI!$B$9, 0) + (VERI_TABANI!D24*B661*(VERI_TABANI!$B$13-VERI_TABANI!$B$14)*VERI_TABANI!G24) + (VERI_TABANI!D24*C661*(VERI_TABANI!$B$13-VERI_TABANI!$B$15)*VERI_TABANI!G24) + IF(ABS(IF(ISNUMBER(SEARCH("Var", D661)), 1, IF(ISNUMBER(SEARCH("Gri", D661)), -1, 0)))=1, VERI_TABANI!E24*(1-0.928)*0.00206091519919798*VERI_TABANI!G24, 0)) + ((MIN(VERI_TABANI!D25, VERI_TABANI!D25*B661)*VERI_TABANI!$B$7 + MAX(0, VERI_TABANI!D25*B661-VERI_TABANI!D25)*VERI_TABANI!$B$8) + (MIN(MAX(0, VERI_TABANI!D25-VERI_TABANI!D25*B661), VERI_TABANI!D25*C661)*VERI_TABANI!$B$7 + MAX(0, VERI_TABANI!D25*C661-MAX(0, VERI_TABANI!D25-VERI_TABANI!D25*B661))*VERI_TABANI!$B$8) + IF(ABS(IF(ISNUMBER(SEARCH("Var", D661)), 1, IF(ISNUMBER(SEARCH("Gri", D661)), -1, 0)))=1, VERI_TABANI!E25*(1-0.928)*VERI_TABANI!$B$9, 0) + (VERI_TABANI!D25*B661*(VERI_TABANI!$B$13-VERI_TABANI!$B$14)*VERI_TABANI!G25) + (VERI_TABANI!D25*C661*(VERI_TABANI!$B$13-VERI_TABANI!$B$15)*VERI_TABANI!G25) + IF(ABS(IF(ISNUMBER(SEARCH("Var", D661)), 1, IF(ISNUMBER(SEARCH("Gri", D661)), -1, 0)))=1, VERI_TABANI!E25*(1-0.928)*0.00206091519919798*VERI_TABANI!G25, 0)) + ((MIN(VERI_TABANI!D26, VERI_TABANI!D26*B661)*VERI_TABANI!$B$7 + MAX(0, VERI_TABANI!D26*B661-VERI_TABANI!D26)*VERI_TABANI!$B$8) + (MIN(MAX(0, VERI_TABANI!D26-VERI_TABANI!D26*B661), VERI_TABANI!D26*C661)*VERI_TABANI!$B$7 + MAX(0, VERI_TABANI!D26*C661-MAX(0, VERI_TABANI!D26-VERI_TABANI!D26*B661))*VERI_TABANI!$B$8) + IF(ABS(IF(ISNUMBER(SEARCH("Var", D661)), 1, IF(ISNUMBER(SEARCH("Gri", D661)), -1, 0)))=1, VERI_TABANI!E26*(1-0.928)*VERI_TABANI!$B$9, 0) + (VERI_TABANI!D26*B661*(VERI_TABANI!$B$13-VERI_TABANI!$B$14)*VERI_TABANI!G26) + (VERI_TABANI!D26*C661*(VERI_TABANI!$B$13-VERI_TABANI!$B$15)*VERI_TABANI!G26) + IF(ABS(IF(ISNUMBER(SEARCH("Var", D661)), 1, IF(ISNUMBER(SEARCH("Gri", D661)), -1, 0)))=1, VERI_TABANI!E26*(1-0.928)*0.00206091519919798*VERI_TABANI!G26, 0)) + ((MIN(VERI_TABANI!D27, VERI_TABANI!D27*B661)*VERI_TABANI!$B$7 + MAX(0, VERI_TABANI!D27*B661-VERI_TABANI!D27)*VERI_TABANI!$B$8) + (MIN(MAX(0, VERI_TABANI!D27-VERI_TABANI!D27*B661), VERI_TABANI!D27*C661)*VERI_TABANI!$B$7 + MAX(0, VERI_TABANI!D27*C661-MAX(0, VERI_TABANI!D27-VERI_TABANI!D27*B661))*VERI_TABANI!$B$8) + IF(ABS(IF(ISNUMBER(SEARCH("Var", D661)), 1, IF(ISNUMBER(SEARCH("Gri", D661)), -1, 0)))=1, VERI_TABANI!E27*(1-0.928)*VERI_TABANI!$B$9, 0) + (VERI_TABANI!D27*B661*(VERI_TABANI!$B$13-VERI_TABANI!$B$14)*VERI_TABANI!G27) + (VERI_TABANI!D27*C661*(VERI_TABANI!$B$13-VERI_TABANI!$B$15)*VERI_TABANI!G27) + IF(ABS(IF(ISNUMBER(SEARCH("Var", D661)), 1, IF(ISNUMBER(SEARCH("Gri", D661)), -1, 0)))=1, VERI_TABANI!E27*(1-0.928)*0.00206091519919798*VERI_TABANI!G27, 0)) + ((MIN(VERI_TABANI!D28, VERI_TABANI!D28*B661)*VERI_TABANI!$B$7 + MAX(0, VERI_TABANI!D28*B661-VERI_TABANI!D28)*VERI_TABANI!$B$8) + (MIN(MAX(0, VERI_TABANI!D28-VERI_TABANI!D28*B661), VERI_TABANI!D28*C661)*VERI_TABANI!$B$7 + MAX(0, VERI_TABANI!D28*C661-MAX(0, VERI_TABANI!D28-VERI_TABANI!D28*B661))*VERI_TABANI!$B$8) + IF(ABS(IF(ISNUMBER(SEARCH("Var", D661)), 1, IF(ISNUMBER(SEARCH("Gri", D661)), -1, 0)))=1, VERI_TABANI!E28*(1-0.928)*VERI_TABANI!$B$9, 0) + (VERI_TABANI!D28*B661*(VERI_TABANI!$B$13-VERI_TABANI!$B$14)*VERI_TABANI!G28) + (VERI_TABANI!D28*C661*(VERI_TABANI!$B$13-VERI_TABANI!$B$15)*VERI_TABANI!G28) + IF(ABS(IF(ISNUMBER(SEARCH("Var", D661)), 1, IF(ISNUMBER(SEARCH("Gri", D661)), -1, 0)))=1, VERI_TABANI!E28*(1-0.928)*0.00206091519919798*VERI_TABANI!G28, 0)))</f>
        <v/>
      </c>
      <c r="H661" s="169">
        <f>(((VERI_TABANI!D23*B661*(VERI_TABANI!$B$13-VERI_TABANI!$B$14)) + (VERI_TABANI!D23*C661*(VERI_TABANI!$B$13-VERI_TABANI!$B$15)) + IF(ISNUMBER(SEARCH("Var", D661)), VERI_TABANI!F23*(0.00202-VERI_TABANI!$B$16), IF(ISNUMBER(SEARCH("Gri", D661)), VERI_TABANI!F23*(0.00202-VERI_TABANI!$B$17), 0))) + ((VERI_TABANI!D24*B661*(VERI_TABANI!$B$13-VERI_TABANI!$B$14)) + (VERI_TABANI!D24*C661*(VERI_TABANI!$B$13-VERI_TABANI!$B$15)) + IF(ISNUMBER(SEARCH("Var", D661)), VERI_TABANI!F24*(0.00202-VERI_TABANI!$B$16), IF(ISNUMBER(SEARCH("Gri", D661)), VERI_TABANI!F24*(0.00202-VERI_TABANI!$B$17), 0))) + ((VERI_TABANI!D25*B661*(VERI_TABANI!$B$13-VERI_TABANI!$B$14)) + (VERI_TABANI!D25*C661*(VERI_TABANI!$B$13-VERI_TABANI!$B$15)) + IF(ISNUMBER(SEARCH("Var", D661)), VERI_TABANI!F25*(0.00202-VERI_TABANI!$B$16), IF(ISNUMBER(SEARCH("Gri", D661)), VERI_TABANI!F25*(0.00202-VERI_TABANI!$B$17), 0))) + ((VERI_TABANI!D26*B661*(VERI_TABANI!$B$13-VERI_TABANI!$B$14)) + (VERI_TABANI!D26*C661*(VERI_TABANI!$B$13-VERI_TABANI!$B$15)) + IF(ISNUMBER(SEARCH("Var", D661)), VERI_TABANI!F26*(0.00202-VERI_TABANI!$B$16), IF(ISNUMBER(SEARCH("Gri", D661)), VERI_TABANI!F26*(0.00202-VERI_TABANI!$B$17), 0))) + ((VERI_TABANI!D27*B661*(VERI_TABANI!$B$13-VERI_TABANI!$B$14)) + (VERI_TABANI!D27*C661*(VERI_TABANI!$B$13-VERI_TABANI!$B$15)) + IF(ISNUMBER(SEARCH("Var", D661)), VERI_TABANI!F27*(0.00202-VERI_TABANI!$B$16), IF(ISNUMBER(SEARCH("Gri", D661)), VERI_TABANI!F27*(0.00202-VERI_TABANI!$B$17), 0))) + ((VERI_TABANI!D28*B661*(VERI_TABANI!$B$13-VERI_TABANI!$B$14)) + (VERI_TABANI!D28*C661*(VERI_TABANI!$B$13-VERI_TABANI!$B$15)) + IF(ISNUMBER(SEARCH("Var", D661)), VERI_TABANI!F28*(0.00202-VERI_TABANI!$B$16), IF(ISNUMBER(SEARCH("Gri", D661)), VERI_TABANI!F28*(0.00202-VERI_TABANI!$B$17), 0))))</f>
        <v/>
      </c>
      <c r="I661" s="170">
        <f>IFERROR(((VERI_TABANI!$D$29*B661*VERI_TABANI!$B$14 + VERI_TABANI!$D$29*C661*VERI_TABANI!$B$15 + IF(ISNUMBER(SEARCH("Var", D661)), VERI_TABANI!$F$29*VERI_TABANI!$B$16, 0))) / (((VERI_TABANI!$D$29*B661 + VERI_TABANI!$D$29*C661)*VERI_TABANI!$B$13 + IF(ISNUMBER(SEARCH("Var", D661)), VERI_TABANI!$E$29*(1-0.928)*VERI_TABANI!$B$18, 0))), 0)</f>
        <v/>
      </c>
      <c r="J661" s="171">
        <f>IFERROR(F661/(G661/29), 0)</f>
        <v/>
      </c>
      <c r="K661" s="172">
        <f>IF(F661&gt;0, H661/F661, 0)</f>
        <v/>
      </c>
      <c r="L661" s="170">
        <f>IF(F661&gt;0, I661, 1000000000)</f>
        <v/>
      </c>
      <c r="M661" s="171">
        <f>ABS((B661+C661)-1)</f>
        <v/>
      </c>
      <c r="N661" s="170">
        <f>IF(F661&gt;0, (G661/29)/F661, 0)</f>
        <v/>
      </c>
      <c r="O661" s="168">
        <f>IF(AND((B661+C661)&gt;=1, ISNUMBER(SEARCH("Var", D661))), F661, 1000000000)</f>
        <v/>
      </c>
      <c r="P661" s="172">
        <f>IF(F661&gt;0, SQRT((F661/MAX(F$5:F$886))^2 + (1 - H661/MAX(H$5:H$886))^2 + (J661/MAX(J$5:J$886))^2), 1000000000)</f>
        <v/>
      </c>
      <c r="Q661" s="166">
        <f>IF(AND(ABS(B661-0.5)&lt;0.01, ABS(C661-0.5)&lt;0.01, ISNUMBER(SEARCH("Var", D661))), 1, 0)</f>
        <v/>
      </c>
      <c r="R661" s="171">
        <f>IF(F661&gt;0, J661, 1000000000)</f>
        <v/>
      </c>
      <c r="S661" s="101">
        <f>IF(AND(F661&lt;=DASHBOARD!$B$11, H661&gt;=DASHBOARD!$B$13), G661, -1000000000000)</f>
        <v/>
      </c>
      <c r="T661" s="101">
        <f>IF(AND(F661&lt;=DASHBOARD!$B$11, H661&gt;=DASHBOARD!$B$13), R661, 1000000000000)</f>
        <v/>
      </c>
      <c r="U661" s="101">
        <f>IF(AND(F661&lt;=DASHBOARD!$B$11, H661&gt;=DASHBOARD!$B$13), N661, -1000000000000)</f>
        <v/>
      </c>
      <c r="V661" s="101">
        <f>IF(AND(F661&lt;=DASHBOARD!$B$11, H661&gt;=DASHBOARD!$B$13), H661, -1000000000000)</f>
        <v/>
      </c>
      <c r="W661" s="101">
        <f>IF(AND(F661&lt;=DASHBOARD!$B$11, H661&gt;=DASHBOARD!$B$13), K661, -1000000000000)</f>
        <v/>
      </c>
      <c r="X661" s="101">
        <f>IF(AND(F661&lt;=DASHBOARD!$B$11, H661&gt;=DASHBOARD!$B$13), M661, 1000000000000)</f>
        <v/>
      </c>
      <c r="Y661" s="101">
        <f>IF(AND(F661&lt;=DASHBOARD!$B$10, H661&gt;=DASHBOARD!$B$11), L661, 1000000000000)</f>
        <v/>
      </c>
      <c r="Z661" s="101">
        <f>IF(AND(F661&lt;=DASHBOARD!$B$10, H661&gt;=DASHBOARD!$B$11), O661, 1000000000000)</f>
        <v/>
      </c>
      <c r="AA661" s="101">
        <f>IF(AND(F661&lt;=DASHBOARD!$B$10, H661&gt;=DASHBOARD!$B$11), P661, 1000000000000)</f>
        <v/>
      </c>
      <c r="AB661" s="101">
        <f>IF(AND(F661&lt;=DASHBOARD!$B$10, H661&gt;=DASHBOARD!$B$11), Q661, -1000000000000)</f>
        <v/>
      </c>
    </row>
    <row r="662" ht="15" customHeight="1" s="102">
      <c r="A662" s="166" t="n">
        <v>658</v>
      </c>
      <c r="B662" s="167" t="n">
        <v>1.5</v>
      </c>
      <c r="C662" s="167" t="n">
        <v>1.3</v>
      </c>
      <c r="D662" s="110" t="inlineStr">
        <is>
          <t>Var (%20)</t>
        </is>
      </c>
      <c r="E662" s="110">
        <f>IF((B662+C662)&lt;=1, "Tam Mahsuplaşma (≤%100)", "Kısmi Satış (&gt;%100)")</f>
        <v/>
      </c>
      <c r="F662" s="168">
        <f>((VERI_TABANI!$D$29*B662/VERI_TABANI!$B$29)/VERI_TABANI!$B$3)*VERI_TABANI!$B$5 + ((VERI_TABANI!$D$29*C662/VERI_TABANI!$B$29)/VERI_TABANI!$B$4)*VERI_TABANI!$B$6 + IF(ISNUMBER(SEARCH("Var", D662)), (VERI_TABANI!$F$29/VERI_TABANI!$B$29)*(VERI_TABANI!$B$10+VERI_TABANI!$B$12), 0)</f>
        <v/>
      </c>
      <c r="G662" s="168">
        <f>(((MIN(VERI_TABANI!D23, VERI_TABANI!D23*B662)*VERI_TABANI!$B$7 + MAX(0, VERI_TABANI!D23*B662-VERI_TABANI!D23)*VERI_TABANI!$B$8) + (MIN(MAX(0, VERI_TABANI!D23-VERI_TABANI!D23*B662), VERI_TABANI!D23*C662)*VERI_TABANI!$B$7 + MAX(0, VERI_TABANI!D23*C662-MAX(0, VERI_TABANI!D23-VERI_TABANI!D23*B662))*VERI_TABANI!$B$8) + IF(ABS(IF(ISNUMBER(SEARCH("Var", D662)), 1, IF(ISNUMBER(SEARCH("Gri", D662)), -1, 0)))=1, VERI_TABANI!E23*(1-0.928)*VERI_TABANI!$B$9, 0) + (VERI_TABANI!D23*B662*(VERI_TABANI!$B$13-VERI_TABANI!$B$14)*VERI_TABANI!G23) + (VERI_TABANI!D23*C662*(VERI_TABANI!$B$13-VERI_TABANI!$B$15)*VERI_TABANI!G23) + IF(ABS(IF(ISNUMBER(SEARCH("Var", D662)), 1, IF(ISNUMBER(SEARCH("Gri", D662)), -1, 0)))=1, VERI_TABANI!E23*(1-0.928)*0.00206091519919798*VERI_TABANI!G23, 0)) + ((MIN(VERI_TABANI!D24, VERI_TABANI!D24*B662)*VERI_TABANI!$B$7 + MAX(0, VERI_TABANI!D24*B662-VERI_TABANI!D24)*VERI_TABANI!$B$8) + (MIN(MAX(0, VERI_TABANI!D24-VERI_TABANI!D24*B662), VERI_TABANI!D24*C662)*VERI_TABANI!$B$7 + MAX(0, VERI_TABANI!D24*C662-MAX(0, VERI_TABANI!D24-VERI_TABANI!D24*B662))*VERI_TABANI!$B$8) + IF(ABS(IF(ISNUMBER(SEARCH("Var", D662)), 1, IF(ISNUMBER(SEARCH("Gri", D662)), -1, 0)))=1, VERI_TABANI!E24*(1-0.928)*VERI_TABANI!$B$9, 0) + (VERI_TABANI!D24*B662*(VERI_TABANI!$B$13-VERI_TABANI!$B$14)*VERI_TABANI!G24) + (VERI_TABANI!D24*C662*(VERI_TABANI!$B$13-VERI_TABANI!$B$15)*VERI_TABANI!G24) + IF(ABS(IF(ISNUMBER(SEARCH("Var", D662)), 1, IF(ISNUMBER(SEARCH("Gri", D662)), -1, 0)))=1, VERI_TABANI!E24*(1-0.928)*0.00206091519919798*VERI_TABANI!G24, 0)) + ((MIN(VERI_TABANI!D25, VERI_TABANI!D25*B662)*VERI_TABANI!$B$7 + MAX(0, VERI_TABANI!D25*B662-VERI_TABANI!D25)*VERI_TABANI!$B$8) + (MIN(MAX(0, VERI_TABANI!D25-VERI_TABANI!D25*B662), VERI_TABANI!D25*C662)*VERI_TABANI!$B$7 + MAX(0, VERI_TABANI!D25*C662-MAX(0, VERI_TABANI!D25-VERI_TABANI!D25*B662))*VERI_TABANI!$B$8) + IF(ABS(IF(ISNUMBER(SEARCH("Var", D662)), 1, IF(ISNUMBER(SEARCH("Gri", D662)), -1, 0)))=1, VERI_TABANI!E25*(1-0.928)*VERI_TABANI!$B$9, 0) + (VERI_TABANI!D25*B662*(VERI_TABANI!$B$13-VERI_TABANI!$B$14)*VERI_TABANI!G25) + (VERI_TABANI!D25*C662*(VERI_TABANI!$B$13-VERI_TABANI!$B$15)*VERI_TABANI!G25) + IF(ABS(IF(ISNUMBER(SEARCH("Var", D662)), 1, IF(ISNUMBER(SEARCH("Gri", D662)), -1, 0)))=1, VERI_TABANI!E25*(1-0.928)*0.00206091519919798*VERI_TABANI!G25, 0)) + ((MIN(VERI_TABANI!D26, VERI_TABANI!D26*B662)*VERI_TABANI!$B$7 + MAX(0, VERI_TABANI!D26*B662-VERI_TABANI!D26)*VERI_TABANI!$B$8) + (MIN(MAX(0, VERI_TABANI!D26-VERI_TABANI!D26*B662), VERI_TABANI!D26*C662)*VERI_TABANI!$B$7 + MAX(0, VERI_TABANI!D26*C662-MAX(0, VERI_TABANI!D26-VERI_TABANI!D26*B662))*VERI_TABANI!$B$8) + IF(ABS(IF(ISNUMBER(SEARCH("Var", D662)), 1, IF(ISNUMBER(SEARCH("Gri", D662)), -1, 0)))=1, VERI_TABANI!E26*(1-0.928)*VERI_TABANI!$B$9, 0) + (VERI_TABANI!D26*B662*(VERI_TABANI!$B$13-VERI_TABANI!$B$14)*VERI_TABANI!G26) + (VERI_TABANI!D26*C662*(VERI_TABANI!$B$13-VERI_TABANI!$B$15)*VERI_TABANI!G26) + IF(ABS(IF(ISNUMBER(SEARCH("Var", D662)), 1, IF(ISNUMBER(SEARCH("Gri", D662)), -1, 0)))=1, VERI_TABANI!E26*(1-0.928)*0.00206091519919798*VERI_TABANI!G26, 0)) + ((MIN(VERI_TABANI!D27, VERI_TABANI!D27*B662)*VERI_TABANI!$B$7 + MAX(0, VERI_TABANI!D27*B662-VERI_TABANI!D27)*VERI_TABANI!$B$8) + (MIN(MAX(0, VERI_TABANI!D27-VERI_TABANI!D27*B662), VERI_TABANI!D27*C662)*VERI_TABANI!$B$7 + MAX(0, VERI_TABANI!D27*C662-MAX(0, VERI_TABANI!D27-VERI_TABANI!D27*B662))*VERI_TABANI!$B$8) + IF(ABS(IF(ISNUMBER(SEARCH("Var", D662)), 1, IF(ISNUMBER(SEARCH("Gri", D662)), -1, 0)))=1, VERI_TABANI!E27*(1-0.928)*VERI_TABANI!$B$9, 0) + (VERI_TABANI!D27*B662*(VERI_TABANI!$B$13-VERI_TABANI!$B$14)*VERI_TABANI!G27) + (VERI_TABANI!D27*C662*(VERI_TABANI!$B$13-VERI_TABANI!$B$15)*VERI_TABANI!G27) + IF(ABS(IF(ISNUMBER(SEARCH("Var", D662)), 1, IF(ISNUMBER(SEARCH("Gri", D662)), -1, 0)))=1, VERI_TABANI!E27*(1-0.928)*0.00206091519919798*VERI_TABANI!G27, 0)) + ((MIN(VERI_TABANI!D28, VERI_TABANI!D28*B662)*VERI_TABANI!$B$7 + MAX(0, VERI_TABANI!D28*B662-VERI_TABANI!D28)*VERI_TABANI!$B$8) + (MIN(MAX(0, VERI_TABANI!D28-VERI_TABANI!D28*B662), VERI_TABANI!D28*C662)*VERI_TABANI!$B$7 + MAX(0, VERI_TABANI!D28*C662-MAX(0, VERI_TABANI!D28-VERI_TABANI!D28*B662))*VERI_TABANI!$B$8) + IF(ABS(IF(ISNUMBER(SEARCH("Var", D662)), 1, IF(ISNUMBER(SEARCH("Gri", D662)), -1, 0)))=1, VERI_TABANI!E28*(1-0.928)*VERI_TABANI!$B$9, 0) + (VERI_TABANI!D28*B662*(VERI_TABANI!$B$13-VERI_TABANI!$B$14)*VERI_TABANI!G28) + (VERI_TABANI!D28*C662*(VERI_TABANI!$B$13-VERI_TABANI!$B$15)*VERI_TABANI!G28) + IF(ABS(IF(ISNUMBER(SEARCH("Var", D662)), 1, IF(ISNUMBER(SEARCH("Gri", D662)), -1, 0)))=1, VERI_TABANI!E28*(1-0.928)*0.00206091519919798*VERI_TABANI!G28, 0)))</f>
        <v/>
      </c>
      <c r="H662" s="169">
        <f>(((VERI_TABANI!D23*B662*(VERI_TABANI!$B$13-VERI_TABANI!$B$14)) + (VERI_TABANI!D23*C662*(VERI_TABANI!$B$13-VERI_TABANI!$B$15)) + IF(ISNUMBER(SEARCH("Var", D662)), VERI_TABANI!F23*(0.00202-VERI_TABANI!$B$16), IF(ISNUMBER(SEARCH("Gri", D662)), VERI_TABANI!F23*(0.00202-VERI_TABANI!$B$17), 0))) + ((VERI_TABANI!D24*B662*(VERI_TABANI!$B$13-VERI_TABANI!$B$14)) + (VERI_TABANI!D24*C662*(VERI_TABANI!$B$13-VERI_TABANI!$B$15)) + IF(ISNUMBER(SEARCH("Var", D662)), VERI_TABANI!F24*(0.00202-VERI_TABANI!$B$16), IF(ISNUMBER(SEARCH("Gri", D662)), VERI_TABANI!F24*(0.00202-VERI_TABANI!$B$17), 0))) + ((VERI_TABANI!D25*B662*(VERI_TABANI!$B$13-VERI_TABANI!$B$14)) + (VERI_TABANI!D25*C662*(VERI_TABANI!$B$13-VERI_TABANI!$B$15)) + IF(ISNUMBER(SEARCH("Var", D662)), VERI_TABANI!F25*(0.00202-VERI_TABANI!$B$16), IF(ISNUMBER(SEARCH("Gri", D662)), VERI_TABANI!F25*(0.00202-VERI_TABANI!$B$17), 0))) + ((VERI_TABANI!D26*B662*(VERI_TABANI!$B$13-VERI_TABANI!$B$14)) + (VERI_TABANI!D26*C662*(VERI_TABANI!$B$13-VERI_TABANI!$B$15)) + IF(ISNUMBER(SEARCH("Var", D662)), VERI_TABANI!F26*(0.00202-VERI_TABANI!$B$16), IF(ISNUMBER(SEARCH("Gri", D662)), VERI_TABANI!F26*(0.00202-VERI_TABANI!$B$17), 0))) + ((VERI_TABANI!D27*B662*(VERI_TABANI!$B$13-VERI_TABANI!$B$14)) + (VERI_TABANI!D27*C662*(VERI_TABANI!$B$13-VERI_TABANI!$B$15)) + IF(ISNUMBER(SEARCH("Var", D662)), VERI_TABANI!F27*(0.00202-VERI_TABANI!$B$16), IF(ISNUMBER(SEARCH("Gri", D662)), VERI_TABANI!F27*(0.00202-VERI_TABANI!$B$17), 0))) + ((VERI_TABANI!D28*B662*(VERI_TABANI!$B$13-VERI_TABANI!$B$14)) + (VERI_TABANI!D28*C662*(VERI_TABANI!$B$13-VERI_TABANI!$B$15)) + IF(ISNUMBER(SEARCH("Var", D662)), VERI_TABANI!F28*(0.00202-VERI_TABANI!$B$16), IF(ISNUMBER(SEARCH("Gri", D662)), VERI_TABANI!F28*(0.00202-VERI_TABANI!$B$17), 0))))</f>
        <v/>
      </c>
      <c r="I662" s="170">
        <f>IFERROR(((VERI_TABANI!$D$29*B662*VERI_TABANI!$B$14 + VERI_TABANI!$D$29*C662*VERI_TABANI!$B$15 + IF(ISNUMBER(SEARCH("Var", D662)), VERI_TABANI!$F$29*VERI_TABANI!$B$16, 0))) / (((VERI_TABANI!$D$29*B662 + VERI_TABANI!$D$29*C662)*VERI_TABANI!$B$13 + IF(ISNUMBER(SEARCH("Var", D662)), VERI_TABANI!$E$29*(1-0.928)*VERI_TABANI!$B$18, 0))), 0)</f>
        <v/>
      </c>
      <c r="J662" s="171">
        <f>IFERROR(F662/(G662/29), 0)</f>
        <v/>
      </c>
      <c r="K662" s="172">
        <f>IF(F662&gt;0, H662/F662, 0)</f>
        <v/>
      </c>
      <c r="L662" s="170">
        <f>IF(F662&gt;0, I662, 1000000000)</f>
        <v/>
      </c>
      <c r="M662" s="171">
        <f>ABS((B662+C662)-1)</f>
        <v/>
      </c>
      <c r="N662" s="170">
        <f>IF(F662&gt;0, (G662/29)/F662, 0)</f>
        <v/>
      </c>
      <c r="O662" s="168">
        <f>IF(AND((B662+C662)&gt;=1, ISNUMBER(SEARCH("Var", D662))), F662, 1000000000)</f>
        <v/>
      </c>
      <c r="P662" s="172">
        <f>IF(F662&gt;0, SQRT((F662/MAX(F$5:F$886))^2 + (1 - H662/MAX(H$5:H$886))^2 + (J662/MAX(J$5:J$886))^2), 1000000000)</f>
        <v/>
      </c>
      <c r="Q662" s="166">
        <f>IF(AND(ABS(B662-0.5)&lt;0.01, ABS(C662-0.5)&lt;0.01, ISNUMBER(SEARCH("Var", D662))), 1, 0)</f>
        <v/>
      </c>
      <c r="R662" s="171">
        <f>IF(F662&gt;0, J662, 1000000000)</f>
        <v/>
      </c>
      <c r="S662" s="101">
        <f>IF(AND(F662&lt;=DASHBOARD!$B$11, H662&gt;=DASHBOARD!$B$13), G662, -1000000000000)</f>
        <v/>
      </c>
      <c r="T662" s="101">
        <f>IF(AND(F662&lt;=DASHBOARD!$B$11, H662&gt;=DASHBOARD!$B$13), R662, 1000000000000)</f>
        <v/>
      </c>
      <c r="U662" s="101">
        <f>IF(AND(F662&lt;=DASHBOARD!$B$11, H662&gt;=DASHBOARD!$B$13), N662, -1000000000000)</f>
        <v/>
      </c>
      <c r="V662" s="101">
        <f>IF(AND(F662&lt;=DASHBOARD!$B$11, H662&gt;=DASHBOARD!$B$13), H662, -1000000000000)</f>
        <v/>
      </c>
      <c r="W662" s="101">
        <f>IF(AND(F662&lt;=DASHBOARD!$B$11, H662&gt;=DASHBOARD!$B$13), K662, -1000000000000)</f>
        <v/>
      </c>
      <c r="X662" s="101">
        <f>IF(AND(F662&lt;=DASHBOARD!$B$11, H662&gt;=DASHBOARD!$B$13), M662, 1000000000000)</f>
        <v/>
      </c>
      <c r="Y662" s="101">
        <f>IF(AND(F662&lt;=DASHBOARD!$B$10, H662&gt;=DASHBOARD!$B$11), L662, 1000000000000)</f>
        <v/>
      </c>
      <c r="Z662" s="101">
        <f>IF(AND(F662&lt;=DASHBOARD!$B$10, H662&gt;=DASHBOARD!$B$11), O662, 1000000000000)</f>
        <v/>
      </c>
      <c r="AA662" s="101">
        <f>IF(AND(F662&lt;=DASHBOARD!$B$10, H662&gt;=DASHBOARD!$B$11), P662, 1000000000000)</f>
        <v/>
      </c>
      <c r="AB662" s="101">
        <f>IF(AND(F662&lt;=DASHBOARD!$B$10, H662&gt;=DASHBOARD!$B$11), Q662, -1000000000000)</f>
        <v/>
      </c>
    </row>
    <row r="663" ht="15" customHeight="1" s="102">
      <c r="A663" s="166" t="n">
        <v>659</v>
      </c>
      <c r="B663" s="167" t="n">
        <v>1.5</v>
      </c>
      <c r="C663" s="167" t="n">
        <v>1.4</v>
      </c>
      <c r="D663" s="110" t="inlineStr">
        <is>
          <t>Yok (%0)</t>
        </is>
      </c>
      <c r="E663" s="110">
        <f>IF((B663+C663)&lt;=1, "Tam Mahsuplaşma (≤%100)", "Kısmi Satış (&gt;%100)")</f>
        <v/>
      </c>
      <c r="F663" s="168">
        <f>((VERI_TABANI!$D$29*B663/VERI_TABANI!$B$29)/VERI_TABANI!$B$3)*VERI_TABANI!$B$5 + ((VERI_TABANI!$D$29*C663/VERI_TABANI!$B$29)/VERI_TABANI!$B$4)*VERI_TABANI!$B$6 + IF(ISNUMBER(SEARCH("Var", D663)), (VERI_TABANI!$F$29/VERI_TABANI!$B$29)*(VERI_TABANI!$B$10+VERI_TABANI!$B$12), 0)</f>
        <v/>
      </c>
      <c r="G663" s="168">
        <f>(((MIN(VERI_TABANI!D23, VERI_TABANI!D23*B663)*VERI_TABANI!$B$7 + MAX(0, VERI_TABANI!D23*B663-VERI_TABANI!D23)*VERI_TABANI!$B$8) + (MIN(MAX(0, VERI_TABANI!D23-VERI_TABANI!D23*B663), VERI_TABANI!D23*C663)*VERI_TABANI!$B$7 + MAX(0, VERI_TABANI!D23*C663-MAX(0, VERI_TABANI!D23-VERI_TABANI!D23*B663))*VERI_TABANI!$B$8) + IF(ABS(IF(ISNUMBER(SEARCH("Var", D663)), 1, IF(ISNUMBER(SEARCH("Gri", D663)), -1, 0)))=1, VERI_TABANI!E23*(1-0.928)*VERI_TABANI!$B$9, 0) + (VERI_TABANI!D23*B663*(VERI_TABANI!$B$13-VERI_TABANI!$B$14)*VERI_TABANI!G23) + (VERI_TABANI!D23*C663*(VERI_TABANI!$B$13-VERI_TABANI!$B$15)*VERI_TABANI!G23) + IF(ABS(IF(ISNUMBER(SEARCH("Var", D663)), 1, IF(ISNUMBER(SEARCH("Gri", D663)), -1, 0)))=1, VERI_TABANI!E23*(1-0.928)*0.00206091519919798*VERI_TABANI!G23, 0)) + ((MIN(VERI_TABANI!D24, VERI_TABANI!D24*B663)*VERI_TABANI!$B$7 + MAX(0, VERI_TABANI!D24*B663-VERI_TABANI!D24)*VERI_TABANI!$B$8) + (MIN(MAX(0, VERI_TABANI!D24-VERI_TABANI!D24*B663), VERI_TABANI!D24*C663)*VERI_TABANI!$B$7 + MAX(0, VERI_TABANI!D24*C663-MAX(0, VERI_TABANI!D24-VERI_TABANI!D24*B663))*VERI_TABANI!$B$8) + IF(ABS(IF(ISNUMBER(SEARCH("Var", D663)), 1, IF(ISNUMBER(SEARCH("Gri", D663)), -1, 0)))=1, VERI_TABANI!E24*(1-0.928)*VERI_TABANI!$B$9, 0) + (VERI_TABANI!D24*B663*(VERI_TABANI!$B$13-VERI_TABANI!$B$14)*VERI_TABANI!G24) + (VERI_TABANI!D24*C663*(VERI_TABANI!$B$13-VERI_TABANI!$B$15)*VERI_TABANI!G24) + IF(ABS(IF(ISNUMBER(SEARCH("Var", D663)), 1, IF(ISNUMBER(SEARCH("Gri", D663)), -1, 0)))=1, VERI_TABANI!E24*(1-0.928)*0.00206091519919798*VERI_TABANI!G24, 0)) + ((MIN(VERI_TABANI!D25, VERI_TABANI!D25*B663)*VERI_TABANI!$B$7 + MAX(0, VERI_TABANI!D25*B663-VERI_TABANI!D25)*VERI_TABANI!$B$8) + (MIN(MAX(0, VERI_TABANI!D25-VERI_TABANI!D25*B663), VERI_TABANI!D25*C663)*VERI_TABANI!$B$7 + MAX(0, VERI_TABANI!D25*C663-MAX(0, VERI_TABANI!D25-VERI_TABANI!D25*B663))*VERI_TABANI!$B$8) + IF(ABS(IF(ISNUMBER(SEARCH("Var", D663)), 1, IF(ISNUMBER(SEARCH("Gri", D663)), -1, 0)))=1, VERI_TABANI!E25*(1-0.928)*VERI_TABANI!$B$9, 0) + (VERI_TABANI!D25*B663*(VERI_TABANI!$B$13-VERI_TABANI!$B$14)*VERI_TABANI!G25) + (VERI_TABANI!D25*C663*(VERI_TABANI!$B$13-VERI_TABANI!$B$15)*VERI_TABANI!G25) + IF(ABS(IF(ISNUMBER(SEARCH("Var", D663)), 1, IF(ISNUMBER(SEARCH("Gri", D663)), -1, 0)))=1, VERI_TABANI!E25*(1-0.928)*0.00206091519919798*VERI_TABANI!G25, 0)) + ((MIN(VERI_TABANI!D26, VERI_TABANI!D26*B663)*VERI_TABANI!$B$7 + MAX(0, VERI_TABANI!D26*B663-VERI_TABANI!D26)*VERI_TABANI!$B$8) + (MIN(MAX(0, VERI_TABANI!D26-VERI_TABANI!D26*B663), VERI_TABANI!D26*C663)*VERI_TABANI!$B$7 + MAX(0, VERI_TABANI!D26*C663-MAX(0, VERI_TABANI!D26-VERI_TABANI!D26*B663))*VERI_TABANI!$B$8) + IF(ABS(IF(ISNUMBER(SEARCH("Var", D663)), 1, IF(ISNUMBER(SEARCH("Gri", D663)), -1, 0)))=1, VERI_TABANI!E26*(1-0.928)*VERI_TABANI!$B$9, 0) + (VERI_TABANI!D26*B663*(VERI_TABANI!$B$13-VERI_TABANI!$B$14)*VERI_TABANI!G26) + (VERI_TABANI!D26*C663*(VERI_TABANI!$B$13-VERI_TABANI!$B$15)*VERI_TABANI!G26) + IF(ABS(IF(ISNUMBER(SEARCH("Var", D663)), 1, IF(ISNUMBER(SEARCH("Gri", D663)), -1, 0)))=1, VERI_TABANI!E26*(1-0.928)*0.00206091519919798*VERI_TABANI!G26, 0)) + ((MIN(VERI_TABANI!D27, VERI_TABANI!D27*B663)*VERI_TABANI!$B$7 + MAX(0, VERI_TABANI!D27*B663-VERI_TABANI!D27)*VERI_TABANI!$B$8) + (MIN(MAX(0, VERI_TABANI!D27-VERI_TABANI!D27*B663), VERI_TABANI!D27*C663)*VERI_TABANI!$B$7 + MAX(0, VERI_TABANI!D27*C663-MAX(0, VERI_TABANI!D27-VERI_TABANI!D27*B663))*VERI_TABANI!$B$8) + IF(ABS(IF(ISNUMBER(SEARCH("Var", D663)), 1, IF(ISNUMBER(SEARCH("Gri", D663)), -1, 0)))=1, VERI_TABANI!E27*(1-0.928)*VERI_TABANI!$B$9, 0) + (VERI_TABANI!D27*B663*(VERI_TABANI!$B$13-VERI_TABANI!$B$14)*VERI_TABANI!G27) + (VERI_TABANI!D27*C663*(VERI_TABANI!$B$13-VERI_TABANI!$B$15)*VERI_TABANI!G27) + IF(ABS(IF(ISNUMBER(SEARCH("Var", D663)), 1, IF(ISNUMBER(SEARCH("Gri", D663)), -1, 0)))=1, VERI_TABANI!E27*(1-0.928)*0.00206091519919798*VERI_TABANI!G27, 0)) + ((MIN(VERI_TABANI!D28, VERI_TABANI!D28*B663)*VERI_TABANI!$B$7 + MAX(0, VERI_TABANI!D28*B663-VERI_TABANI!D28)*VERI_TABANI!$B$8) + (MIN(MAX(0, VERI_TABANI!D28-VERI_TABANI!D28*B663), VERI_TABANI!D28*C663)*VERI_TABANI!$B$7 + MAX(0, VERI_TABANI!D28*C663-MAX(0, VERI_TABANI!D28-VERI_TABANI!D28*B663))*VERI_TABANI!$B$8) + IF(ABS(IF(ISNUMBER(SEARCH("Var", D663)), 1, IF(ISNUMBER(SEARCH("Gri", D663)), -1, 0)))=1, VERI_TABANI!E28*(1-0.928)*VERI_TABANI!$B$9, 0) + (VERI_TABANI!D28*B663*(VERI_TABANI!$B$13-VERI_TABANI!$B$14)*VERI_TABANI!G28) + (VERI_TABANI!D28*C663*(VERI_TABANI!$B$13-VERI_TABANI!$B$15)*VERI_TABANI!G28) + IF(ABS(IF(ISNUMBER(SEARCH("Var", D663)), 1, IF(ISNUMBER(SEARCH("Gri", D663)), -1, 0)))=1, VERI_TABANI!E28*(1-0.928)*0.00206091519919798*VERI_TABANI!G28, 0)))</f>
        <v/>
      </c>
      <c r="H663" s="169">
        <f>(((VERI_TABANI!D23*B663*(VERI_TABANI!$B$13-VERI_TABANI!$B$14)) + (VERI_TABANI!D23*C663*(VERI_TABANI!$B$13-VERI_TABANI!$B$15)) + IF(ISNUMBER(SEARCH("Var", D663)), VERI_TABANI!F23*(0.00202-VERI_TABANI!$B$16), IF(ISNUMBER(SEARCH("Gri", D663)), VERI_TABANI!F23*(0.00202-VERI_TABANI!$B$17), 0))) + ((VERI_TABANI!D24*B663*(VERI_TABANI!$B$13-VERI_TABANI!$B$14)) + (VERI_TABANI!D24*C663*(VERI_TABANI!$B$13-VERI_TABANI!$B$15)) + IF(ISNUMBER(SEARCH("Var", D663)), VERI_TABANI!F24*(0.00202-VERI_TABANI!$B$16), IF(ISNUMBER(SEARCH("Gri", D663)), VERI_TABANI!F24*(0.00202-VERI_TABANI!$B$17), 0))) + ((VERI_TABANI!D25*B663*(VERI_TABANI!$B$13-VERI_TABANI!$B$14)) + (VERI_TABANI!D25*C663*(VERI_TABANI!$B$13-VERI_TABANI!$B$15)) + IF(ISNUMBER(SEARCH("Var", D663)), VERI_TABANI!F25*(0.00202-VERI_TABANI!$B$16), IF(ISNUMBER(SEARCH("Gri", D663)), VERI_TABANI!F25*(0.00202-VERI_TABANI!$B$17), 0))) + ((VERI_TABANI!D26*B663*(VERI_TABANI!$B$13-VERI_TABANI!$B$14)) + (VERI_TABANI!D26*C663*(VERI_TABANI!$B$13-VERI_TABANI!$B$15)) + IF(ISNUMBER(SEARCH("Var", D663)), VERI_TABANI!F26*(0.00202-VERI_TABANI!$B$16), IF(ISNUMBER(SEARCH("Gri", D663)), VERI_TABANI!F26*(0.00202-VERI_TABANI!$B$17), 0))) + ((VERI_TABANI!D27*B663*(VERI_TABANI!$B$13-VERI_TABANI!$B$14)) + (VERI_TABANI!D27*C663*(VERI_TABANI!$B$13-VERI_TABANI!$B$15)) + IF(ISNUMBER(SEARCH("Var", D663)), VERI_TABANI!F27*(0.00202-VERI_TABANI!$B$16), IF(ISNUMBER(SEARCH("Gri", D663)), VERI_TABANI!F27*(0.00202-VERI_TABANI!$B$17), 0))) + ((VERI_TABANI!D28*B663*(VERI_TABANI!$B$13-VERI_TABANI!$B$14)) + (VERI_TABANI!D28*C663*(VERI_TABANI!$B$13-VERI_TABANI!$B$15)) + IF(ISNUMBER(SEARCH("Var", D663)), VERI_TABANI!F28*(0.00202-VERI_TABANI!$B$16), IF(ISNUMBER(SEARCH("Gri", D663)), VERI_TABANI!F28*(0.00202-VERI_TABANI!$B$17), 0))))</f>
        <v/>
      </c>
      <c r="I663" s="170">
        <f>IFERROR(((VERI_TABANI!$D$29*B663*VERI_TABANI!$B$14 + VERI_TABANI!$D$29*C663*VERI_TABANI!$B$15 + IF(ISNUMBER(SEARCH("Var", D663)), VERI_TABANI!$F$29*VERI_TABANI!$B$16, 0))) / (((VERI_TABANI!$D$29*B663 + VERI_TABANI!$D$29*C663)*VERI_TABANI!$B$13 + IF(ISNUMBER(SEARCH("Var", D663)), VERI_TABANI!$E$29*(1-0.928)*VERI_TABANI!$B$18, 0))), 0)</f>
        <v/>
      </c>
      <c r="J663" s="171">
        <f>IFERROR(F663/(G663/29), 0)</f>
        <v/>
      </c>
      <c r="K663" s="172">
        <f>IF(F663&gt;0, H663/F663, 0)</f>
        <v/>
      </c>
      <c r="L663" s="170">
        <f>IF(F663&gt;0, I663, 1000000000)</f>
        <v/>
      </c>
      <c r="M663" s="171">
        <f>ABS((B663+C663)-1)</f>
        <v/>
      </c>
      <c r="N663" s="170">
        <f>IF(F663&gt;0, (G663/29)/F663, 0)</f>
        <v/>
      </c>
      <c r="O663" s="168">
        <f>IF(AND((B663+C663)&gt;=1, ISNUMBER(SEARCH("Var", D663))), F663, 1000000000)</f>
        <v/>
      </c>
      <c r="P663" s="172">
        <f>IF(F663&gt;0, SQRT((F663/MAX(F$5:F$886))^2 + (1 - H663/MAX(H$5:H$886))^2 + (J663/MAX(J$5:J$886))^2), 1000000000)</f>
        <v/>
      </c>
      <c r="Q663" s="166">
        <f>IF(AND(ABS(B663-0.5)&lt;0.01, ABS(C663-0.5)&lt;0.01, ISNUMBER(SEARCH("Var", D663))), 1, 0)</f>
        <v/>
      </c>
      <c r="R663" s="171">
        <f>IF(F663&gt;0, J663, 1000000000)</f>
        <v/>
      </c>
      <c r="S663" s="101">
        <f>IF(AND(F663&lt;=DASHBOARD!$B$11, H663&gt;=DASHBOARD!$B$13), G663, -1000000000000)</f>
        <v/>
      </c>
      <c r="T663" s="101">
        <f>IF(AND(F663&lt;=DASHBOARD!$B$11, H663&gt;=DASHBOARD!$B$13), R663, 1000000000000)</f>
        <v/>
      </c>
      <c r="U663" s="101">
        <f>IF(AND(F663&lt;=DASHBOARD!$B$11, H663&gt;=DASHBOARD!$B$13), N663, -1000000000000)</f>
        <v/>
      </c>
      <c r="V663" s="101">
        <f>IF(AND(F663&lt;=DASHBOARD!$B$11, H663&gt;=DASHBOARD!$B$13), H663, -1000000000000)</f>
        <v/>
      </c>
      <c r="W663" s="101">
        <f>IF(AND(F663&lt;=DASHBOARD!$B$11, H663&gt;=DASHBOARD!$B$13), K663, -1000000000000)</f>
        <v/>
      </c>
      <c r="X663" s="101">
        <f>IF(AND(F663&lt;=DASHBOARD!$B$11, H663&gt;=DASHBOARD!$B$13), M663, 1000000000000)</f>
        <v/>
      </c>
      <c r="Y663" s="101">
        <f>IF(AND(F663&lt;=DASHBOARD!$B$10, H663&gt;=DASHBOARD!$B$11), L663, 1000000000000)</f>
        <v/>
      </c>
      <c r="Z663" s="101">
        <f>IF(AND(F663&lt;=DASHBOARD!$B$10, H663&gt;=DASHBOARD!$B$11), O663, 1000000000000)</f>
        <v/>
      </c>
      <c r="AA663" s="101">
        <f>IF(AND(F663&lt;=DASHBOARD!$B$10, H663&gt;=DASHBOARD!$B$11), P663, 1000000000000)</f>
        <v/>
      </c>
      <c r="AB663" s="101">
        <f>IF(AND(F663&lt;=DASHBOARD!$B$10, H663&gt;=DASHBOARD!$B$11), Q663, -1000000000000)</f>
        <v/>
      </c>
    </row>
    <row r="664" ht="15" customHeight="1" s="102">
      <c r="A664" s="166" t="n">
        <v>660</v>
      </c>
      <c r="B664" s="167" t="n">
        <v>1.5</v>
      </c>
      <c r="C664" s="167" t="n">
        <v>1.4</v>
      </c>
      <c r="D664" s="110" t="inlineStr">
        <is>
          <t>Var (%20)</t>
        </is>
      </c>
      <c r="E664" s="110">
        <f>IF((B664+C664)&lt;=1, "Tam Mahsuplaşma (≤%100)", "Kısmi Satış (&gt;%100)")</f>
        <v/>
      </c>
      <c r="F664" s="168">
        <f>((VERI_TABANI!$D$29*B664/VERI_TABANI!$B$29)/VERI_TABANI!$B$3)*VERI_TABANI!$B$5 + ((VERI_TABANI!$D$29*C664/VERI_TABANI!$B$29)/VERI_TABANI!$B$4)*VERI_TABANI!$B$6 + IF(ISNUMBER(SEARCH("Var", D664)), (VERI_TABANI!$F$29/VERI_TABANI!$B$29)*(VERI_TABANI!$B$10+VERI_TABANI!$B$12), 0)</f>
        <v/>
      </c>
      <c r="G664" s="168">
        <f>(((MIN(VERI_TABANI!D23, VERI_TABANI!D23*B664)*VERI_TABANI!$B$7 + MAX(0, VERI_TABANI!D23*B664-VERI_TABANI!D23)*VERI_TABANI!$B$8) + (MIN(MAX(0, VERI_TABANI!D23-VERI_TABANI!D23*B664), VERI_TABANI!D23*C664)*VERI_TABANI!$B$7 + MAX(0, VERI_TABANI!D23*C664-MAX(0, VERI_TABANI!D23-VERI_TABANI!D23*B664))*VERI_TABANI!$B$8) + IF(ABS(IF(ISNUMBER(SEARCH("Var", D664)), 1, IF(ISNUMBER(SEARCH("Gri", D664)), -1, 0)))=1, VERI_TABANI!E23*(1-0.928)*VERI_TABANI!$B$9, 0) + (VERI_TABANI!D23*B664*(VERI_TABANI!$B$13-VERI_TABANI!$B$14)*VERI_TABANI!G23) + (VERI_TABANI!D23*C664*(VERI_TABANI!$B$13-VERI_TABANI!$B$15)*VERI_TABANI!G23) + IF(ABS(IF(ISNUMBER(SEARCH("Var", D664)), 1, IF(ISNUMBER(SEARCH("Gri", D664)), -1, 0)))=1, VERI_TABANI!E23*(1-0.928)*0.00206091519919798*VERI_TABANI!G23, 0)) + ((MIN(VERI_TABANI!D24, VERI_TABANI!D24*B664)*VERI_TABANI!$B$7 + MAX(0, VERI_TABANI!D24*B664-VERI_TABANI!D24)*VERI_TABANI!$B$8) + (MIN(MAX(0, VERI_TABANI!D24-VERI_TABANI!D24*B664), VERI_TABANI!D24*C664)*VERI_TABANI!$B$7 + MAX(0, VERI_TABANI!D24*C664-MAX(0, VERI_TABANI!D24-VERI_TABANI!D24*B664))*VERI_TABANI!$B$8) + IF(ABS(IF(ISNUMBER(SEARCH("Var", D664)), 1, IF(ISNUMBER(SEARCH("Gri", D664)), -1, 0)))=1, VERI_TABANI!E24*(1-0.928)*VERI_TABANI!$B$9, 0) + (VERI_TABANI!D24*B664*(VERI_TABANI!$B$13-VERI_TABANI!$B$14)*VERI_TABANI!G24) + (VERI_TABANI!D24*C664*(VERI_TABANI!$B$13-VERI_TABANI!$B$15)*VERI_TABANI!G24) + IF(ABS(IF(ISNUMBER(SEARCH("Var", D664)), 1, IF(ISNUMBER(SEARCH("Gri", D664)), -1, 0)))=1, VERI_TABANI!E24*(1-0.928)*0.00206091519919798*VERI_TABANI!G24, 0)) + ((MIN(VERI_TABANI!D25, VERI_TABANI!D25*B664)*VERI_TABANI!$B$7 + MAX(0, VERI_TABANI!D25*B664-VERI_TABANI!D25)*VERI_TABANI!$B$8) + (MIN(MAX(0, VERI_TABANI!D25-VERI_TABANI!D25*B664), VERI_TABANI!D25*C664)*VERI_TABANI!$B$7 + MAX(0, VERI_TABANI!D25*C664-MAX(0, VERI_TABANI!D25-VERI_TABANI!D25*B664))*VERI_TABANI!$B$8) + IF(ABS(IF(ISNUMBER(SEARCH("Var", D664)), 1, IF(ISNUMBER(SEARCH("Gri", D664)), -1, 0)))=1, VERI_TABANI!E25*(1-0.928)*VERI_TABANI!$B$9, 0) + (VERI_TABANI!D25*B664*(VERI_TABANI!$B$13-VERI_TABANI!$B$14)*VERI_TABANI!G25) + (VERI_TABANI!D25*C664*(VERI_TABANI!$B$13-VERI_TABANI!$B$15)*VERI_TABANI!G25) + IF(ABS(IF(ISNUMBER(SEARCH("Var", D664)), 1, IF(ISNUMBER(SEARCH("Gri", D664)), -1, 0)))=1, VERI_TABANI!E25*(1-0.928)*0.00206091519919798*VERI_TABANI!G25, 0)) + ((MIN(VERI_TABANI!D26, VERI_TABANI!D26*B664)*VERI_TABANI!$B$7 + MAX(0, VERI_TABANI!D26*B664-VERI_TABANI!D26)*VERI_TABANI!$B$8) + (MIN(MAX(0, VERI_TABANI!D26-VERI_TABANI!D26*B664), VERI_TABANI!D26*C664)*VERI_TABANI!$B$7 + MAX(0, VERI_TABANI!D26*C664-MAX(0, VERI_TABANI!D26-VERI_TABANI!D26*B664))*VERI_TABANI!$B$8) + IF(ABS(IF(ISNUMBER(SEARCH("Var", D664)), 1, IF(ISNUMBER(SEARCH("Gri", D664)), -1, 0)))=1, VERI_TABANI!E26*(1-0.928)*VERI_TABANI!$B$9, 0) + (VERI_TABANI!D26*B664*(VERI_TABANI!$B$13-VERI_TABANI!$B$14)*VERI_TABANI!G26) + (VERI_TABANI!D26*C664*(VERI_TABANI!$B$13-VERI_TABANI!$B$15)*VERI_TABANI!G26) + IF(ABS(IF(ISNUMBER(SEARCH("Var", D664)), 1, IF(ISNUMBER(SEARCH("Gri", D664)), -1, 0)))=1, VERI_TABANI!E26*(1-0.928)*0.00206091519919798*VERI_TABANI!G26, 0)) + ((MIN(VERI_TABANI!D27, VERI_TABANI!D27*B664)*VERI_TABANI!$B$7 + MAX(0, VERI_TABANI!D27*B664-VERI_TABANI!D27)*VERI_TABANI!$B$8) + (MIN(MAX(0, VERI_TABANI!D27-VERI_TABANI!D27*B664), VERI_TABANI!D27*C664)*VERI_TABANI!$B$7 + MAX(0, VERI_TABANI!D27*C664-MAX(0, VERI_TABANI!D27-VERI_TABANI!D27*B664))*VERI_TABANI!$B$8) + IF(ABS(IF(ISNUMBER(SEARCH("Var", D664)), 1, IF(ISNUMBER(SEARCH("Gri", D664)), -1, 0)))=1, VERI_TABANI!E27*(1-0.928)*VERI_TABANI!$B$9, 0) + (VERI_TABANI!D27*B664*(VERI_TABANI!$B$13-VERI_TABANI!$B$14)*VERI_TABANI!G27) + (VERI_TABANI!D27*C664*(VERI_TABANI!$B$13-VERI_TABANI!$B$15)*VERI_TABANI!G27) + IF(ABS(IF(ISNUMBER(SEARCH("Var", D664)), 1, IF(ISNUMBER(SEARCH("Gri", D664)), -1, 0)))=1, VERI_TABANI!E27*(1-0.928)*0.00206091519919798*VERI_TABANI!G27, 0)) + ((MIN(VERI_TABANI!D28, VERI_TABANI!D28*B664)*VERI_TABANI!$B$7 + MAX(0, VERI_TABANI!D28*B664-VERI_TABANI!D28)*VERI_TABANI!$B$8) + (MIN(MAX(0, VERI_TABANI!D28-VERI_TABANI!D28*B664), VERI_TABANI!D28*C664)*VERI_TABANI!$B$7 + MAX(0, VERI_TABANI!D28*C664-MAX(0, VERI_TABANI!D28-VERI_TABANI!D28*B664))*VERI_TABANI!$B$8) + IF(ABS(IF(ISNUMBER(SEARCH("Var", D664)), 1, IF(ISNUMBER(SEARCH("Gri", D664)), -1, 0)))=1, VERI_TABANI!E28*(1-0.928)*VERI_TABANI!$B$9, 0) + (VERI_TABANI!D28*B664*(VERI_TABANI!$B$13-VERI_TABANI!$B$14)*VERI_TABANI!G28) + (VERI_TABANI!D28*C664*(VERI_TABANI!$B$13-VERI_TABANI!$B$15)*VERI_TABANI!G28) + IF(ABS(IF(ISNUMBER(SEARCH("Var", D664)), 1, IF(ISNUMBER(SEARCH("Gri", D664)), -1, 0)))=1, VERI_TABANI!E28*(1-0.928)*0.00206091519919798*VERI_TABANI!G28, 0)))</f>
        <v/>
      </c>
      <c r="H664" s="169">
        <f>(((VERI_TABANI!D23*B664*(VERI_TABANI!$B$13-VERI_TABANI!$B$14)) + (VERI_TABANI!D23*C664*(VERI_TABANI!$B$13-VERI_TABANI!$B$15)) + IF(ISNUMBER(SEARCH("Var", D664)), VERI_TABANI!F23*(0.00202-VERI_TABANI!$B$16), IF(ISNUMBER(SEARCH("Gri", D664)), VERI_TABANI!F23*(0.00202-VERI_TABANI!$B$17), 0))) + ((VERI_TABANI!D24*B664*(VERI_TABANI!$B$13-VERI_TABANI!$B$14)) + (VERI_TABANI!D24*C664*(VERI_TABANI!$B$13-VERI_TABANI!$B$15)) + IF(ISNUMBER(SEARCH("Var", D664)), VERI_TABANI!F24*(0.00202-VERI_TABANI!$B$16), IF(ISNUMBER(SEARCH("Gri", D664)), VERI_TABANI!F24*(0.00202-VERI_TABANI!$B$17), 0))) + ((VERI_TABANI!D25*B664*(VERI_TABANI!$B$13-VERI_TABANI!$B$14)) + (VERI_TABANI!D25*C664*(VERI_TABANI!$B$13-VERI_TABANI!$B$15)) + IF(ISNUMBER(SEARCH("Var", D664)), VERI_TABANI!F25*(0.00202-VERI_TABANI!$B$16), IF(ISNUMBER(SEARCH("Gri", D664)), VERI_TABANI!F25*(0.00202-VERI_TABANI!$B$17), 0))) + ((VERI_TABANI!D26*B664*(VERI_TABANI!$B$13-VERI_TABANI!$B$14)) + (VERI_TABANI!D26*C664*(VERI_TABANI!$B$13-VERI_TABANI!$B$15)) + IF(ISNUMBER(SEARCH("Var", D664)), VERI_TABANI!F26*(0.00202-VERI_TABANI!$B$16), IF(ISNUMBER(SEARCH("Gri", D664)), VERI_TABANI!F26*(0.00202-VERI_TABANI!$B$17), 0))) + ((VERI_TABANI!D27*B664*(VERI_TABANI!$B$13-VERI_TABANI!$B$14)) + (VERI_TABANI!D27*C664*(VERI_TABANI!$B$13-VERI_TABANI!$B$15)) + IF(ISNUMBER(SEARCH("Var", D664)), VERI_TABANI!F27*(0.00202-VERI_TABANI!$B$16), IF(ISNUMBER(SEARCH("Gri", D664)), VERI_TABANI!F27*(0.00202-VERI_TABANI!$B$17), 0))) + ((VERI_TABANI!D28*B664*(VERI_TABANI!$B$13-VERI_TABANI!$B$14)) + (VERI_TABANI!D28*C664*(VERI_TABANI!$B$13-VERI_TABANI!$B$15)) + IF(ISNUMBER(SEARCH("Var", D664)), VERI_TABANI!F28*(0.00202-VERI_TABANI!$B$16), IF(ISNUMBER(SEARCH("Gri", D664)), VERI_TABANI!F28*(0.00202-VERI_TABANI!$B$17), 0))))</f>
        <v/>
      </c>
      <c r="I664" s="170">
        <f>IFERROR(((VERI_TABANI!$D$29*B664*VERI_TABANI!$B$14 + VERI_TABANI!$D$29*C664*VERI_TABANI!$B$15 + IF(ISNUMBER(SEARCH("Var", D664)), VERI_TABANI!$F$29*VERI_TABANI!$B$16, 0))) / (((VERI_TABANI!$D$29*B664 + VERI_TABANI!$D$29*C664)*VERI_TABANI!$B$13 + IF(ISNUMBER(SEARCH("Var", D664)), VERI_TABANI!$E$29*(1-0.928)*VERI_TABANI!$B$18, 0))), 0)</f>
        <v/>
      </c>
      <c r="J664" s="171">
        <f>IFERROR(F664/(G664/29), 0)</f>
        <v/>
      </c>
      <c r="K664" s="172">
        <f>IF(F664&gt;0, H664/F664, 0)</f>
        <v/>
      </c>
      <c r="L664" s="170">
        <f>IF(F664&gt;0, I664, 1000000000)</f>
        <v/>
      </c>
      <c r="M664" s="171">
        <f>ABS((B664+C664)-1)</f>
        <v/>
      </c>
      <c r="N664" s="170">
        <f>IF(F664&gt;0, (G664/29)/F664, 0)</f>
        <v/>
      </c>
      <c r="O664" s="168">
        <f>IF(AND((B664+C664)&gt;=1, ISNUMBER(SEARCH("Var", D664))), F664, 1000000000)</f>
        <v/>
      </c>
      <c r="P664" s="172">
        <f>IF(F664&gt;0, SQRT((F664/MAX(F$5:F$886))^2 + (1 - H664/MAX(H$5:H$886))^2 + (J664/MAX(J$5:J$886))^2), 1000000000)</f>
        <v/>
      </c>
      <c r="Q664" s="166">
        <f>IF(AND(ABS(B664-0.5)&lt;0.01, ABS(C664-0.5)&lt;0.01, ISNUMBER(SEARCH("Var", D664))), 1, 0)</f>
        <v/>
      </c>
      <c r="R664" s="171">
        <f>IF(F664&gt;0, J664, 1000000000)</f>
        <v/>
      </c>
      <c r="S664" s="101">
        <f>IF(AND(F664&lt;=DASHBOARD!$B$11, H664&gt;=DASHBOARD!$B$13), G664, -1000000000000)</f>
        <v/>
      </c>
      <c r="T664" s="101">
        <f>IF(AND(F664&lt;=DASHBOARD!$B$11, H664&gt;=DASHBOARD!$B$13), R664, 1000000000000)</f>
        <v/>
      </c>
      <c r="U664" s="101">
        <f>IF(AND(F664&lt;=DASHBOARD!$B$11, H664&gt;=DASHBOARD!$B$13), N664, -1000000000000)</f>
        <v/>
      </c>
      <c r="V664" s="101">
        <f>IF(AND(F664&lt;=DASHBOARD!$B$11, H664&gt;=DASHBOARD!$B$13), H664, -1000000000000)</f>
        <v/>
      </c>
      <c r="W664" s="101">
        <f>IF(AND(F664&lt;=DASHBOARD!$B$11, H664&gt;=DASHBOARD!$B$13), K664, -1000000000000)</f>
        <v/>
      </c>
      <c r="X664" s="101">
        <f>IF(AND(F664&lt;=DASHBOARD!$B$11, H664&gt;=DASHBOARD!$B$13), M664, 1000000000000)</f>
        <v/>
      </c>
      <c r="Y664" s="101">
        <f>IF(AND(F664&lt;=DASHBOARD!$B$10, H664&gt;=DASHBOARD!$B$11), L664, 1000000000000)</f>
        <v/>
      </c>
      <c r="Z664" s="101">
        <f>IF(AND(F664&lt;=DASHBOARD!$B$10, H664&gt;=DASHBOARD!$B$11), O664, 1000000000000)</f>
        <v/>
      </c>
      <c r="AA664" s="101">
        <f>IF(AND(F664&lt;=DASHBOARD!$B$10, H664&gt;=DASHBOARD!$B$11), P664, 1000000000000)</f>
        <v/>
      </c>
      <c r="AB664" s="101">
        <f>IF(AND(F664&lt;=DASHBOARD!$B$10, H664&gt;=DASHBOARD!$B$11), Q664, -1000000000000)</f>
        <v/>
      </c>
    </row>
    <row r="665" ht="15" customHeight="1" s="102">
      <c r="A665" s="166" t="n">
        <v>661</v>
      </c>
      <c r="B665" s="167" t="n">
        <v>1.5</v>
      </c>
      <c r="C665" s="167" t="n">
        <v>1.5</v>
      </c>
      <c r="D665" s="110" t="inlineStr">
        <is>
          <t>Yok (%0)</t>
        </is>
      </c>
      <c r="E665" s="110">
        <f>IF((B665+C665)&lt;=1, "Tam Mahsuplaşma (≤%100)", "Kısmi Satış (&gt;%100)")</f>
        <v/>
      </c>
      <c r="F665" s="168">
        <f>((VERI_TABANI!$D$29*B665/VERI_TABANI!$B$29)/VERI_TABANI!$B$3)*VERI_TABANI!$B$5 + ((VERI_TABANI!$D$29*C665/VERI_TABANI!$B$29)/VERI_TABANI!$B$4)*VERI_TABANI!$B$6 + IF(ISNUMBER(SEARCH("Var", D665)), (VERI_TABANI!$F$29/VERI_TABANI!$B$29)*(VERI_TABANI!$B$10+VERI_TABANI!$B$12), 0)</f>
        <v/>
      </c>
      <c r="G665" s="168">
        <f>(((MIN(VERI_TABANI!D23, VERI_TABANI!D23*B665)*VERI_TABANI!$B$7 + MAX(0, VERI_TABANI!D23*B665-VERI_TABANI!D23)*VERI_TABANI!$B$8) + (MIN(MAX(0, VERI_TABANI!D23-VERI_TABANI!D23*B665), VERI_TABANI!D23*C665)*VERI_TABANI!$B$7 + MAX(0, VERI_TABANI!D23*C665-MAX(0, VERI_TABANI!D23-VERI_TABANI!D23*B665))*VERI_TABANI!$B$8) + IF(ABS(IF(ISNUMBER(SEARCH("Var", D665)), 1, IF(ISNUMBER(SEARCH("Gri", D665)), -1, 0)))=1, VERI_TABANI!E23*(1-0.928)*VERI_TABANI!$B$9, 0) + (VERI_TABANI!D23*B665*(VERI_TABANI!$B$13-VERI_TABANI!$B$14)*VERI_TABANI!G23) + (VERI_TABANI!D23*C665*(VERI_TABANI!$B$13-VERI_TABANI!$B$15)*VERI_TABANI!G23) + IF(ABS(IF(ISNUMBER(SEARCH("Var", D665)), 1, IF(ISNUMBER(SEARCH("Gri", D665)), -1, 0)))=1, VERI_TABANI!E23*(1-0.928)*0.00206091519919798*VERI_TABANI!G23, 0)) + ((MIN(VERI_TABANI!D24, VERI_TABANI!D24*B665)*VERI_TABANI!$B$7 + MAX(0, VERI_TABANI!D24*B665-VERI_TABANI!D24)*VERI_TABANI!$B$8) + (MIN(MAX(0, VERI_TABANI!D24-VERI_TABANI!D24*B665), VERI_TABANI!D24*C665)*VERI_TABANI!$B$7 + MAX(0, VERI_TABANI!D24*C665-MAX(0, VERI_TABANI!D24-VERI_TABANI!D24*B665))*VERI_TABANI!$B$8) + IF(ABS(IF(ISNUMBER(SEARCH("Var", D665)), 1, IF(ISNUMBER(SEARCH("Gri", D665)), -1, 0)))=1, VERI_TABANI!E24*(1-0.928)*VERI_TABANI!$B$9, 0) + (VERI_TABANI!D24*B665*(VERI_TABANI!$B$13-VERI_TABANI!$B$14)*VERI_TABANI!G24) + (VERI_TABANI!D24*C665*(VERI_TABANI!$B$13-VERI_TABANI!$B$15)*VERI_TABANI!G24) + IF(ABS(IF(ISNUMBER(SEARCH("Var", D665)), 1, IF(ISNUMBER(SEARCH("Gri", D665)), -1, 0)))=1, VERI_TABANI!E24*(1-0.928)*0.00206091519919798*VERI_TABANI!G24, 0)) + ((MIN(VERI_TABANI!D25, VERI_TABANI!D25*B665)*VERI_TABANI!$B$7 + MAX(0, VERI_TABANI!D25*B665-VERI_TABANI!D25)*VERI_TABANI!$B$8) + (MIN(MAX(0, VERI_TABANI!D25-VERI_TABANI!D25*B665), VERI_TABANI!D25*C665)*VERI_TABANI!$B$7 + MAX(0, VERI_TABANI!D25*C665-MAX(0, VERI_TABANI!D25-VERI_TABANI!D25*B665))*VERI_TABANI!$B$8) + IF(ABS(IF(ISNUMBER(SEARCH("Var", D665)), 1, IF(ISNUMBER(SEARCH("Gri", D665)), -1, 0)))=1, VERI_TABANI!E25*(1-0.928)*VERI_TABANI!$B$9, 0) + (VERI_TABANI!D25*B665*(VERI_TABANI!$B$13-VERI_TABANI!$B$14)*VERI_TABANI!G25) + (VERI_TABANI!D25*C665*(VERI_TABANI!$B$13-VERI_TABANI!$B$15)*VERI_TABANI!G25) + IF(ABS(IF(ISNUMBER(SEARCH("Var", D665)), 1, IF(ISNUMBER(SEARCH("Gri", D665)), -1, 0)))=1, VERI_TABANI!E25*(1-0.928)*0.00206091519919798*VERI_TABANI!G25, 0)) + ((MIN(VERI_TABANI!D26, VERI_TABANI!D26*B665)*VERI_TABANI!$B$7 + MAX(0, VERI_TABANI!D26*B665-VERI_TABANI!D26)*VERI_TABANI!$B$8) + (MIN(MAX(0, VERI_TABANI!D26-VERI_TABANI!D26*B665), VERI_TABANI!D26*C665)*VERI_TABANI!$B$7 + MAX(0, VERI_TABANI!D26*C665-MAX(0, VERI_TABANI!D26-VERI_TABANI!D26*B665))*VERI_TABANI!$B$8) + IF(ABS(IF(ISNUMBER(SEARCH("Var", D665)), 1, IF(ISNUMBER(SEARCH("Gri", D665)), -1, 0)))=1, VERI_TABANI!E26*(1-0.928)*VERI_TABANI!$B$9, 0) + (VERI_TABANI!D26*B665*(VERI_TABANI!$B$13-VERI_TABANI!$B$14)*VERI_TABANI!G26) + (VERI_TABANI!D26*C665*(VERI_TABANI!$B$13-VERI_TABANI!$B$15)*VERI_TABANI!G26) + IF(ABS(IF(ISNUMBER(SEARCH("Var", D665)), 1, IF(ISNUMBER(SEARCH("Gri", D665)), -1, 0)))=1, VERI_TABANI!E26*(1-0.928)*0.00206091519919798*VERI_TABANI!G26, 0)) + ((MIN(VERI_TABANI!D27, VERI_TABANI!D27*B665)*VERI_TABANI!$B$7 + MAX(0, VERI_TABANI!D27*B665-VERI_TABANI!D27)*VERI_TABANI!$B$8) + (MIN(MAX(0, VERI_TABANI!D27-VERI_TABANI!D27*B665), VERI_TABANI!D27*C665)*VERI_TABANI!$B$7 + MAX(0, VERI_TABANI!D27*C665-MAX(0, VERI_TABANI!D27-VERI_TABANI!D27*B665))*VERI_TABANI!$B$8) + IF(ABS(IF(ISNUMBER(SEARCH("Var", D665)), 1, IF(ISNUMBER(SEARCH("Gri", D665)), -1, 0)))=1, VERI_TABANI!E27*(1-0.928)*VERI_TABANI!$B$9, 0) + (VERI_TABANI!D27*B665*(VERI_TABANI!$B$13-VERI_TABANI!$B$14)*VERI_TABANI!G27) + (VERI_TABANI!D27*C665*(VERI_TABANI!$B$13-VERI_TABANI!$B$15)*VERI_TABANI!G27) + IF(ABS(IF(ISNUMBER(SEARCH("Var", D665)), 1, IF(ISNUMBER(SEARCH("Gri", D665)), -1, 0)))=1, VERI_TABANI!E27*(1-0.928)*0.00206091519919798*VERI_TABANI!G27, 0)) + ((MIN(VERI_TABANI!D28, VERI_TABANI!D28*B665)*VERI_TABANI!$B$7 + MAX(0, VERI_TABANI!D28*B665-VERI_TABANI!D28)*VERI_TABANI!$B$8) + (MIN(MAX(0, VERI_TABANI!D28-VERI_TABANI!D28*B665), VERI_TABANI!D28*C665)*VERI_TABANI!$B$7 + MAX(0, VERI_TABANI!D28*C665-MAX(0, VERI_TABANI!D28-VERI_TABANI!D28*B665))*VERI_TABANI!$B$8) + IF(ABS(IF(ISNUMBER(SEARCH("Var", D665)), 1, IF(ISNUMBER(SEARCH("Gri", D665)), -1, 0)))=1, VERI_TABANI!E28*(1-0.928)*VERI_TABANI!$B$9, 0) + (VERI_TABANI!D28*B665*(VERI_TABANI!$B$13-VERI_TABANI!$B$14)*VERI_TABANI!G28) + (VERI_TABANI!D28*C665*(VERI_TABANI!$B$13-VERI_TABANI!$B$15)*VERI_TABANI!G28) + IF(ABS(IF(ISNUMBER(SEARCH("Var", D665)), 1, IF(ISNUMBER(SEARCH("Gri", D665)), -1, 0)))=1, VERI_TABANI!E28*(1-0.928)*0.00206091519919798*VERI_TABANI!G28, 0)))</f>
        <v/>
      </c>
      <c r="H665" s="169">
        <f>(((VERI_TABANI!D23*B665*(VERI_TABANI!$B$13-VERI_TABANI!$B$14)) + (VERI_TABANI!D23*C665*(VERI_TABANI!$B$13-VERI_TABANI!$B$15)) + IF(ISNUMBER(SEARCH("Var", D665)), VERI_TABANI!F23*(0.00202-VERI_TABANI!$B$16), IF(ISNUMBER(SEARCH("Gri", D665)), VERI_TABANI!F23*(0.00202-VERI_TABANI!$B$17), 0))) + ((VERI_TABANI!D24*B665*(VERI_TABANI!$B$13-VERI_TABANI!$B$14)) + (VERI_TABANI!D24*C665*(VERI_TABANI!$B$13-VERI_TABANI!$B$15)) + IF(ISNUMBER(SEARCH("Var", D665)), VERI_TABANI!F24*(0.00202-VERI_TABANI!$B$16), IF(ISNUMBER(SEARCH("Gri", D665)), VERI_TABANI!F24*(0.00202-VERI_TABANI!$B$17), 0))) + ((VERI_TABANI!D25*B665*(VERI_TABANI!$B$13-VERI_TABANI!$B$14)) + (VERI_TABANI!D25*C665*(VERI_TABANI!$B$13-VERI_TABANI!$B$15)) + IF(ISNUMBER(SEARCH("Var", D665)), VERI_TABANI!F25*(0.00202-VERI_TABANI!$B$16), IF(ISNUMBER(SEARCH("Gri", D665)), VERI_TABANI!F25*(0.00202-VERI_TABANI!$B$17), 0))) + ((VERI_TABANI!D26*B665*(VERI_TABANI!$B$13-VERI_TABANI!$B$14)) + (VERI_TABANI!D26*C665*(VERI_TABANI!$B$13-VERI_TABANI!$B$15)) + IF(ISNUMBER(SEARCH("Var", D665)), VERI_TABANI!F26*(0.00202-VERI_TABANI!$B$16), IF(ISNUMBER(SEARCH("Gri", D665)), VERI_TABANI!F26*(0.00202-VERI_TABANI!$B$17), 0))) + ((VERI_TABANI!D27*B665*(VERI_TABANI!$B$13-VERI_TABANI!$B$14)) + (VERI_TABANI!D27*C665*(VERI_TABANI!$B$13-VERI_TABANI!$B$15)) + IF(ISNUMBER(SEARCH("Var", D665)), VERI_TABANI!F27*(0.00202-VERI_TABANI!$B$16), IF(ISNUMBER(SEARCH("Gri", D665)), VERI_TABANI!F27*(0.00202-VERI_TABANI!$B$17), 0))) + ((VERI_TABANI!D28*B665*(VERI_TABANI!$B$13-VERI_TABANI!$B$14)) + (VERI_TABANI!D28*C665*(VERI_TABANI!$B$13-VERI_TABANI!$B$15)) + IF(ISNUMBER(SEARCH("Var", D665)), VERI_TABANI!F28*(0.00202-VERI_TABANI!$B$16), IF(ISNUMBER(SEARCH("Gri", D665)), VERI_TABANI!F28*(0.00202-VERI_TABANI!$B$17), 0))))</f>
        <v/>
      </c>
      <c r="I665" s="170">
        <f>IFERROR(((VERI_TABANI!$D$29*B665*VERI_TABANI!$B$14 + VERI_TABANI!$D$29*C665*VERI_TABANI!$B$15 + IF(ISNUMBER(SEARCH("Var", D665)), VERI_TABANI!$F$29*VERI_TABANI!$B$16, 0))) / (((VERI_TABANI!$D$29*B665 + VERI_TABANI!$D$29*C665)*VERI_TABANI!$B$13 + IF(ISNUMBER(SEARCH("Var", D665)), VERI_TABANI!$E$29*(1-0.928)*VERI_TABANI!$B$18, 0))), 0)</f>
        <v/>
      </c>
      <c r="J665" s="171">
        <f>IFERROR(F665/(G665/29), 0)</f>
        <v/>
      </c>
      <c r="K665" s="172">
        <f>IF(F665&gt;0, H665/F665, 0)</f>
        <v/>
      </c>
      <c r="L665" s="170">
        <f>IF(F665&gt;0, I665, 1000000000)</f>
        <v/>
      </c>
      <c r="M665" s="171">
        <f>ABS((B665+C665)-1)</f>
        <v/>
      </c>
      <c r="N665" s="170">
        <f>IF(F665&gt;0, (G665/29)/F665, 0)</f>
        <v/>
      </c>
      <c r="O665" s="168">
        <f>IF(AND((B665+C665)&gt;=1, ISNUMBER(SEARCH("Var", D665))), F665, 1000000000)</f>
        <v/>
      </c>
      <c r="P665" s="172">
        <f>IF(F665&gt;0, SQRT((F665/MAX(F$5:F$886))^2 + (1 - H665/MAX(H$5:H$886))^2 + (J665/MAX(J$5:J$886))^2), 1000000000)</f>
        <v/>
      </c>
      <c r="Q665" s="166">
        <f>IF(AND(ABS(B665-0.5)&lt;0.01, ABS(C665-0.5)&lt;0.01, ISNUMBER(SEARCH("Var", D665))), 1, 0)</f>
        <v/>
      </c>
      <c r="R665" s="171">
        <f>IF(F665&gt;0, J665, 1000000000)</f>
        <v/>
      </c>
      <c r="S665" s="101">
        <f>IF(AND(F665&lt;=DASHBOARD!$B$11, H665&gt;=DASHBOARD!$B$13), G665, -1000000000000)</f>
        <v/>
      </c>
      <c r="T665" s="101">
        <f>IF(AND(F665&lt;=DASHBOARD!$B$11, H665&gt;=DASHBOARD!$B$13), R665, 1000000000000)</f>
        <v/>
      </c>
      <c r="U665" s="101">
        <f>IF(AND(F665&lt;=DASHBOARD!$B$11, H665&gt;=DASHBOARD!$B$13), N665, -1000000000000)</f>
        <v/>
      </c>
      <c r="V665" s="101">
        <f>IF(AND(F665&lt;=DASHBOARD!$B$11, H665&gt;=DASHBOARD!$B$13), H665, -1000000000000)</f>
        <v/>
      </c>
      <c r="W665" s="101">
        <f>IF(AND(F665&lt;=DASHBOARD!$B$11, H665&gt;=DASHBOARD!$B$13), K665, -1000000000000)</f>
        <v/>
      </c>
      <c r="X665" s="101">
        <f>IF(AND(F665&lt;=DASHBOARD!$B$11, H665&gt;=DASHBOARD!$B$13), M665, 1000000000000)</f>
        <v/>
      </c>
      <c r="Y665" s="101">
        <f>IF(AND(F665&lt;=DASHBOARD!$B$10, H665&gt;=DASHBOARD!$B$11), L665, 1000000000000)</f>
        <v/>
      </c>
      <c r="Z665" s="101">
        <f>IF(AND(F665&lt;=DASHBOARD!$B$10, H665&gt;=DASHBOARD!$B$11), O665, 1000000000000)</f>
        <v/>
      </c>
      <c r="AA665" s="101">
        <f>IF(AND(F665&lt;=DASHBOARD!$B$10, H665&gt;=DASHBOARD!$B$11), P665, 1000000000000)</f>
        <v/>
      </c>
      <c r="AB665" s="101">
        <f>IF(AND(F665&lt;=DASHBOARD!$B$10, H665&gt;=DASHBOARD!$B$11), Q665, -1000000000000)</f>
        <v/>
      </c>
    </row>
    <row r="666" ht="15" customHeight="1" s="102">
      <c r="A666" s="166" t="n">
        <v>662</v>
      </c>
      <c r="B666" s="167" t="n">
        <v>1.5</v>
      </c>
      <c r="C666" s="167" t="n">
        <v>1.5</v>
      </c>
      <c r="D666" s="110" t="inlineStr">
        <is>
          <t>Var (%20)</t>
        </is>
      </c>
      <c r="E666" s="110">
        <f>IF((B666+C666)&lt;=1, "Tam Mahsuplaşma (≤%100)", "Kısmi Satış (&gt;%100)")</f>
        <v/>
      </c>
      <c r="F666" s="168">
        <f>((VERI_TABANI!$D$29*B666/VERI_TABANI!$B$29)/VERI_TABANI!$B$3)*VERI_TABANI!$B$5 + ((VERI_TABANI!$D$29*C666/VERI_TABANI!$B$29)/VERI_TABANI!$B$4)*VERI_TABANI!$B$6 + IF(ISNUMBER(SEARCH("Var", D666)), (VERI_TABANI!$F$29/VERI_TABANI!$B$29)*(VERI_TABANI!$B$10+VERI_TABANI!$B$12), 0)</f>
        <v/>
      </c>
      <c r="G666" s="168">
        <f>(((MIN(VERI_TABANI!D23, VERI_TABANI!D23*B666)*VERI_TABANI!$B$7 + MAX(0, VERI_TABANI!D23*B666-VERI_TABANI!D23)*VERI_TABANI!$B$8) + (MIN(MAX(0, VERI_TABANI!D23-VERI_TABANI!D23*B666), VERI_TABANI!D23*C666)*VERI_TABANI!$B$7 + MAX(0, VERI_TABANI!D23*C666-MAX(0, VERI_TABANI!D23-VERI_TABANI!D23*B666))*VERI_TABANI!$B$8) + IF(ABS(IF(ISNUMBER(SEARCH("Var", D666)), 1, IF(ISNUMBER(SEARCH("Gri", D666)), -1, 0)))=1, VERI_TABANI!E23*(1-0.928)*VERI_TABANI!$B$9, 0) + (VERI_TABANI!D23*B666*(VERI_TABANI!$B$13-VERI_TABANI!$B$14)*VERI_TABANI!G23) + (VERI_TABANI!D23*C666*(VERI_TABANI!$B$13-VERI_TABANI!$B$15)*VERI_TABANI!G23) + IF(ABS(IF(ISNUMBER(SEARCH("Var", D666)), 1, IF(ISNUMBER(SEARCH("Gri", D666)), -1, 0)))=1, VERI_TABANI!E23*(1-0.928)*0.00206091519919798*VERI_TABANI!G23, 0)) + ((MIN(VERI_TABANI!D24, VERI_TABANI!D24*B666)*VERI_TABANI!$B$7 + MAX(0, VERI_TABANI!D24*B666-VERI_TABANI!D24)*VERI_TABANI!$B$8) + (MIN(MAX(0, VERI_TABANI!D24-VERI_TABANI!D24*B666), VERI_TABANI!D24*C666)*VERI_TABANI!$B$7 + MAX(0, VERI_TABANI!D24*C666-MAX(0, VERI_TABANI!D24-VERI_TABANI!D24*B666))*VERI_TABANI!$B$8) + IF(ABS(IF(ISNUMBER(SEARCH("Var", D666)), 1, IF(ISNUMBER(SEARCH("Gri", D666)), -1, 0)))=1, VERI_TABANI!E24*(1-0.928)*VERI_TABANI!$B$9, 0) + (VERI_TABANI!D24*B666*(VERI_TABANI!$B$13-VERI_TABANI!$B$14)*VERI_TABANI!G24) + (VERI_TABANI!D24*C666*(VERI_TABANI!$B$13-VERI_TABANI!$B$15)*VERI_TABANI!G24) + IF(ABS(IF(ISNUMBER(SEARCH("Var", D666)), 1, IF(ISNUMBER(SEARCH("Gri", D666)), -1, 0)))=1, VERI_TABANI!E24*(1-0.928)*0.00206091519919798*VERI_TABANI!G24, 0)) + ((MIN(VERI_TABANI!D25, VERI_TABANI!D25*B666)*VERI_TABANI!$B$7 + MAX(0, VERI_TABANI!D25*B666-VERI_TABANI!D25)*VERI_TABANI!$B$8) + (MIN(MAX(0, VERI_TABANI!D25-VERI_TABANI!D25*B666), VERI_TABANI!D25*C666)*VERI_TABANI!$B$7 + MAX(0, VERI_TABANI!D25*C666-MAX(0, VERI_TABANI!D25-VERI_TABANI!D25*B666))*VERI_TABANI!$B$8) + IF(ABS(IF(ISNUMBER(SEARCH("Var", D666)), 1, IF(ISNUMBER(SEARCH("Gri", D666)), -1, 0)))=1, VERI_TABANI!E25*(1-0.928)*VERI_TABANI!$B$9, 0) + (VERI_TABANI!D25*B666*(VERI_TABANI!$B$13-VERI_TABANI!$B$14)*VERI_TABANI!G25) + (VERI_TABANI!D25*C666*(VERI_TABANI!$B$13-VERI_TABANI!$B$15)*VERI_TABANI!G25) + IF(ABS(IF(ISNUMBER(SEARCH("Var", D666)), 1, IF(ISNUMBER(SEARCH("Gri", D666)), -1, 0)))=1, VERI_TABANI!E25*(1-0.928)*0.00206091519919798*VERI_TABANI!G25, 0)) + ((MIN(VERI_TABANI!D26, VERI_TABANI!D26*B666)*VERI_TABANI!$B$7 + MAX(0, VERI_TABANI!D26*B666-VERI_TABANI!D26)*VERI_TABANI!$B$8) + (MIN(MAX(0, VERI_TABANI!D26-VERI_TABANI!D26*B666), VERI_TABANI!D26*C666)*VERI_TABANI!$B$7 + MAX(0, VERI_TABANI!D26*C666-MAX(0, VERI_TABANI!D26-VERI_TABANI!D26*B666))*VERI_TABANI!$B$8) + IF(ABS(IF(ISNUMBER(SEARCH("Var", D666)), 1, IF(ISNUMBER(SEARCH("Gri", D666)), -1, 0)))=1, VERI_TABANI!E26*(1-0.928)*VERI_TABANI!$B$9, 0) + (VERI_TABANI!D26*B666*(VERI_TABANI!$B$13-VERI_TABANI!$B$14)*VERI_TABANI!G26) + (VERI_TABANI!D26*C666*(VERI_TABANI!$B$13-VERI_TABANI!$B$15)*VERI_TABANI!G26) + IF(ABS(IF(ISNUMBER(SEARCH("Var", D666)), 1, IF(ISNUMBER(SEARCH("Gri", D666)), -1, 0)))=1, VERI_TABANI!E26*(1-0.928)*0.00206091519919798*VERI_TABANI!G26, 0)) + ((MIN(VERI_TABANI!D27, VERI_TABANI!D27*B666)*VERI_TABANI!$B$7 + MAX(0, VERI_TABANI!D27*B666-VERI_TABANI!D27)*VERI_TABANI!$B$8) + (MIN(MAX(0, VERI_TABANI!D27-VERI_TABANI!D27*B666), VERI_TABANI!D27*C666)*VERI_TABANI!$B$7 + MAX(0, VERI_TABANI!D27*C666-MAX(0, VERI_TABANI!D27-VERI_TABANI!D27*B666))*VERI_TABANI!$B$8) + IF(ABS(IF(ISNUMBER(SEARCH("Var", D666)), 1, IF(ISNUMBER(SEARCH("Gri", D666)), -1, 0)))=1, VERI_TABANI!E27*(1-0.928)*VERI_TABANI!$B$9, 0) + (VERI_TABANI!D27*B666*(VERI_TABANI!$B$13-VERI_TABANI!$B$14)*VERI_TABANI!G27) + (VERI_TABANI!D27*C666*(VERI_TABANI!$B$13-VERI_TABANI!$B$15)*VERI_TABANI!G27) + IF(ABS(IF(ISNUMBER(SEARCH("Var", D666)), 1, IF(ISNUMBER(SEARCH("Gri", D666)), -1, 0)))=1, VERI_TABANI!E27*(1-0.928)*0.00206091519919798*VERI_TABANI!G27, 0)) + ((MIN(VERI_TABANI!D28, VERI_TABANI!D28*B666)*VERI_TABANI!$B$7 + MAX(0, VERI_TABANI!D28*B666-VERI_TABANI!D28)*VERI_TABANI!$B$8) + (MIN(MAX(0, VERI_TABANI!D28-VERI_TABANI!D28*B666), VERI_TABANI!D28*C666)*VERI_TABANI!$B$7 + MAX(0, VERI_TABANI!D28*C666-MAX(0, VERI_TABANI!D28-VERI_TABANI!D28*B666))*VERI_TABANI!$B$8) + IF(ABS(IF(ISNUMBER(SEARCH("Var", D666)), 1, IF(ISNUMBER(SEARCH("Gri", D666)), -1, 0)))=1, VERI_TABANI!E28*(1-0.928)*VERI_TABANI!$B$9, 0) + (VERI_TABANI!D28*B666*(VERI_TABANI!$B$13-VERI_TABANI!$B$14)*VERI_TABANI!G28) + (VERI_TABANI!D28*C666*(VERI_TABANI!$B$13-VERI_TABANI!$B$15)*VERI_TABANI!G28) + IF(ABS(IF(ISNUMBER(SEARCH("Var", D666)), 1, IF(ISNUMBER(SEARCH("Gri", D666)), -1, 0)))=1, VERI_TABANI!E28*(1-0.928)*0.00206091519919798*VERI_TABANI!G28, 0)))</f>
        <v/>
      </c>
      <c r="H666" s="169">
        <f>(((VERI_TABANI!D23*B666*(VERI_TABANI!$B$13-VERI_TABANI!$B$14)) + (VERI_TABANI!D23*C666*(VERI_TABANI!$B$13-VERI_TABANI!$B$15)) + IF(ISNUMBER(SEARCH("Var", D666)), VERI_TABANI!F23*(0.00202-VERI_TABANI!$B$16), IF(ISNUMBER(SEARCH("Gri", D666)), VERI_TABANI!F23*(0.00202-VERI_TABANI!$B$17), 0))) + ((VERI_TABANI!D24*B666*(VERI_TABANI!$B$13-VERI_TABANI!$B$14)) + (VERI_TABANI!D24*C666*(VERI_TABANI!$B$13-VERI_TABANI!$B$15)) + IF(ISNUMBER(SEARCH("Var", D666)), VERI_TABANI!F24*(0.00202-VERI_TABANI!$B$16), IF(ISNUMBER(SEARCH("Gri", D666)), VERI_TABANI!F24*(0.00202-VERI_TABANI!$B$17), 0))) + ((VERI_TABANI!D25*B666*(VERI_TABANI!$B$13-VERI_TABANI!$B$14)) + (VERI_TABANI!D25*C666*(VERI_TABANI!$B$13-VERI_TABANI!$B$15)) + IF(ISNUMBER(SEARCH("Var", D666)), VERI_TABANI!F25*(0.00202-VERI_TABANI!$B$16), IF(ISNUMBER(SEARCH("Gri", D666)), VERI_TABANI!F25*(0.00202-VERI_TABANI!$B$17), 0))) + ((VERI_TABANI!D26*B666*(VERI_TABANI!$B$13-VERI_TABANI!$B$14)) + (VERI_TABANI!D26*C666*(VERI_TABANI!$B$13-VERI_TABANI!$B$15)) + IF(ISNUMBER(SEARCH("Var", D666)), VERI_TABANI!F26*(0.00202-VERI_TABANI!$B$16), IF(ISNUMBER(SEARCH("Gri", D666)), VERI_TABANI!F26*(0.00202-VERI_TABANI!$B$17), 0))) + ((VERI_TABANI!D27*B666*(VERI_TABANI!$B$13-VERI_TABANI!$B$14)) + (VERI_TABANI!D27*C666*(VERI_TABANI!$B$13-VERI_TABANI!$B$15)) + IF(ISNUMBER(SEARCH("Var", D666)), VERI_TABANI!F27*(0.00202-VERI_TABANI!$B$16), IF(ISNUMBER(SEARCH("Gri", D666)), VERI_TABANI!F27*(0.00202-VERI_TABANI!$B$17), 0))) + ((VERI_TABANI!D28*B666*(VERI_TABANI!$B$13-VERI_TABANI!$B$14)) + (VERI_TABANI!D28*C666*(VERI_TABANI!$B$13-VERI_TABANI!$B$15)) + IF(ISNUMBER(SEARCH("Var", D666)), VERI_TABANI!F28*(0.00202-VERI_TABANI!$B$16), IF(ISNUMBER(SEARCH("Gri", D666)), VERI_TABANI!F28*(0.00202-VERI_TABANI!$B$17), 0))))</f>
        <v/>
      </c>
      <c r="I666" s="170">
        <f>IFERROR(((VERI_TABANI!$D$29*B666*VERI_TABANI!$B$14 + VERI_TABANI!$D$29*C666*VERI_TABANI!$B$15 + IF(ISNUMBER(SEARCH("Var", D666)), VERI_TABANI!$F$29*VERI_TABANI!$B$16, 0))) / (((VERI_TABANI!$D$29*B666 + VERI_TABANI!$D$29*C666)*VERI_TABANI!$B$13 + IF(ISNUMBER(SEARCH("Var", D666)), VERI_TABANI!$E$29*(1-0.928)*VERI_TABANI!$B$18, 0))), 0)</f>
        <v/>
      </c>
      <c r="J666" s="171">
        <f>IFERROR(F666/(G666/29), 0)</f>
        <v/>
      </c>
      <c r="K666" s="172">
        <f>IF(F666&gt;0, H666/F666, 0)</f>
        <v/>
      </c>
      <c r="L666" s="170">
        <f>IF(F666&gt;0, I666, 1000000000)</f>
        <v/>
      </c>
      <c r="M666" s="171">
        <f>ABS((B666+C666)-1)</f>
        <v/>
      </c>
      <c r="N666" s="170">
        <f>IF(F666&gt;0, (G666/29)/F666, 0)</f>
        <v/>
      </c>
      <c r="O666" s="168">
        <f>IF(AND((B666+C666)&gt;=1, ISNUMBER(SEARCH("Var", D666))), F666, 1000000000)</f>
        <v/>
      </c>
      <c r="P666" s="172">
        <f>IF(F666&gt;0, SQRT((F666/MAX(F$5:F$886))^2 + (1 - H666/MAX(H$5:H$886))^2 + (J666/MAX(J$5:J$886))^2), 1000000000)</f>
        <v/>
      </c>
      <c r="Q666" s="166">
        <f>IF(AND(ABS(B666-0.5)&lt;0.01, ABS(C666-0.5)&lt;0.01, ISNUMBER(SEARCH("Var", D666))), 1, 0)</f>
        <v/>
      </c>
      <c r="R666" s="171">
        <f>IF(F666&gt;0, J666, 1000000000)</f>
        <v/>
      </c>
      <c r="S666" s="101">
        <f>IF(AND(F666&lt;=DASHBOARD!$B$11, H666&gt;=DASHBOARD!$B$13), G666, -1000000000000)</f>
        <v/>
      </c>
      <c r="T666" s="101">
        <f>IF(AND(F666&lt;=DASHBOARD!$B$11, H666&gt;=DASHBOARD!$B$13), R666, 1000000000000)</f>
        <v/>
      </c>
      <c r="U666" s="101">
        <f>IF(AND(F666&lt;=DASHBOARD!$B$11, H666&gt;=DASHBOARD!$B$13), N666, -1000000000000)</f>
        <v/>
      </c>
      <c r="V666" s="101">
        <f>IF(AND(F666&lt;=DASHBOARD!$B$11, H666&gt;=DASHBOARD!$B$13), H666, -1000000000000)</f>
        <v/>
      </c>
      <c r="W666" s="101">
        <f>IF(AND(F666&lt;=DASHBOARD!$B$11, H666&gt;=DASHBOARD!$B$13), K666, -1000000000000)</f>
        <v/>
      </c>
      <c r="X666" s="101">
        <f>IF(AND(F666&lt;=DASHBOARD!$B$11, H666&gt;=DASHBOARD!$B$13), M666, 1000000000000)</f>
        <v/>
      </c>
      <c r="Y666" s="101">
        <f>IF(AND(F666&lt;=DASHBOARD!$B$10, H666&gt;=DASHBOARD!$B$11), L666, 1000000000000)</f>
        <v/>
      </c>
      <c r="Z666" s="101">
        <f>IF(AND(F666&lt;=DASHBOARD!$B$10, H666&gt;=DASHBOARD!$B$11), O666, 1000000000000)</f>
        <v/>
      </c>
      <c r="AA666" s="101">
        <f>IF(AND(F666&lt;=DASHBOARD!$B$10, H666&gt;=DASHBOARD!$B$11), P666, 1000000000000)</f>
        <v/>
      </c>
      <c r="AB666" s="101">
        <f>IF(AND(F666&lt;=DASHBOARD!$B$10, H666&gt;=DASHBOARD!$B$11), Q666, -1000000000000)</f>
        <v/>
      </c>
    </row>
    <row r="667" ht="15" customHeight="1" s="102">
      <c r="A667" s="166" t="n">
        <v>663</v>
      </c>
      <c r="B667" s="167" t="n">
        <v>1.5</v>
      </c>
      <c r="C667" s="167" t="n">
        <v>1.6</v>
      </c>
      <c r="D667" s="110" t="inlineStr">
        <is>
          <t>Yok (%0)</t>
        </is>
      </c>
      <c r="E667" s="110">
        <f>IF((B667+C667)&lt;=1, "Tam Mahsuplaşma (≤%100)", "Kısmi Satış (&gt;%100)")</f>
        <v/>
      </c>
      <c r="F667" s="168">
        <f>((VERI_TABANI!$D$29*B667/VERI_TABANI!$B$29)/VERI_TABANI!$B$3)*VERI_TABANI!$B$5 + ((VERI_TABANI!$D$29*C667/VERI_TABANI!$B$29)/VERI_TABANI!$B$4)*VERI_TABANI!$B$6 + IF(ISNUMBER(SEARCH("Var", D667)), (VERI_TABANI!$F$29/VERI_TABANI!$B$29)*(VERI_TABANI!$B$10+VERI_TABANI!$B$12), 0)</f>
        <v/>
      </c>
      <c r="G667" s="168">
        <f>(((MIN(VERI_TABANI!D23, VERI_TABANI!D23*B667)*VERI_TABANI!$B$7 + MAX(0, VERI_TABANI!D23*B667-VERI_TABANI!D23)*VERI_TABANI!$B$8) + (MIN(MAX(0, VERI_TABANI!D23-VERI_TABANI!D23*B667), VERI_TABANI!D23*C667)*VERI_TABANI!$B$7 + MAX(0, VERI_TABANI!D23*C667-MAX(0, VERI_TABANI!D23-VERI_TABANI!D23*B667))*VERI_TABANI!$B$8) + IF(ABS(IF(ISNUMBER(SEARCH("Var", D667)), 1, IF(ISNUMBER(SEARCH("Gri", D667)), -1, 0)))=1, VERI_TABANI!E23*(1-0.928)*VERI_TABANI!$B$9, 0) + (VERI_TABANI!D23*B667*(VERI_TABANI!$B$13-VERI_TABANI!$B$14)*VERI_TABANI!G23) + (VERI_TABANI!D23*C667*(VERI_TABANI!$B$13-VERI_TABANI!$B$15)*VERI_TABANI!G23) + IF(ABS(IF(ISNUMBER(SEARCH("Var", D667)), 1, IF(ISNUMBER(SEARCH("Gri", D667)), -1, 0)))=1, VERI_TABANI!E23*(1-0.928)*0.00206091519919798*VERI_TABANI!G23, 0)) + ((MIN(VERI_TABANI!D24, VERI_TABANI!D24*B667)*VERI_TABANI!$B$7 + MAX(0, VERI_TABANI!D24*B667-VERI_TABANI!D24)*VERI_TABANI!$B$8) + (MIN(MAX(0, VERI_TABANI!D24-VERI_TABANI!D24*B667), VERI_TABANI!D24*C667)*VERI_TABANI!$B$7 + MAX(0, VERI_TABANI!D24*C667-MAX(0, VERI_TABANI!D24-VERI_TABANI!D24*B667))*VERI_TABANI!$B$8) + IF(ABS(IF(ISNUMBER(SEARCH("Var", D667)), 1, IF(ISNUMBER(SEARCH("Gri", D667)), -1, 0)))=1, VERI_TABANI!E24*(1-0.928)*VERI_TABANI!$B$9, 0) + (VERI_TABANI!D24*B667*(VERI_TABANI!$B$13-VERI_TABANI!$B$14)*VERI_TABANI!G24) + (VERI_TABANI!D24*C667*(VERI_TABANI!$B$13-VERI_TABANI!$B$15)*VERI_TABANI!G24) + IF(ABS(IF(ISNUMBER(SEARCH("Var", D667)), 1, IF(ISNUMBER(SEARCH("Gri", D667)), -1, 0)))=1, VERI_TABANI!E24*(1-0.928)*0.00206091519919798*VERI_TABANI!G24, 0)) + ((MIN(VERI_TABANI!D25, VERI_TABANI!D25*B667)*VERI_TABANI!$B$7 + MAX(0, VERI_TABANI!D25*B667-VERI_TABANI!D25)*VERI_TABANI!$B$8) + (MIN(MAX(0, VERI_TABANI!D25-VERI_TABANI!D25*B667), VERI_TABANI!D25*C667)*VERI_TABANI!$B$7 + MAX(0, VERI_TABANI!D25*C667-MAX(0, VERI_TABANI!D25-VERI_TABANI!D25*B667))*VERI_TABANI!$B$8) + IF(ABS(IF(ISNUMBER(SEARCH("Var", D667)), 1, IF(ISNUMBER(SEARCH("Gri", D667)), -1, 0)))=1, VERI_TABANI!E25*(1-0.928)*VERI_TABANI!$B$9, 0) + (VERI_TABANI!D25*B667*(VERI_TABANI!$B$13-VERI_TABANI!$B$14)*VERI_TABANI!G25) + (VERI_TABANI!D25*C667*(VERI_TABANI!$B$13-VERI_TABANI!$B$15)*VERI_TABANI!G25) + IF(ABS(IF(ISNUMBER(SEARCH("Var", D667)), 1, IF(ISNUMBER(SEARCH("Gri", D667)), -1, 0)))=1, VERI_TABANI!E25*(1-0.928)*0.00206091519919798*VERI_TABANI!G25, 0)) + ((MIN(VERI_TABANI!D26, VERI_TABANI!D26*B667)*VERI_TABANI!$B$7 + MAX(0, VERI_TABANI!D26*B667-VERI_TABANI!D26)*VERI_TABANI!$B$8) + (MIN(MAX(0, VERI_TABANI!D26-VERI_TABANI!D26*B667), VERI_TABANI!D26*C667)*VERI_TABANI!$B$7 + MAX(0, VERI_TABANI!D26*C667-MAX(0, VERI_TABANI!D26-VERI_TABANI!D26*B667))*VERI_TABANI!$B$8) + IF(ABS(IF(ISNUMBER(SEARCH("Var", D667)), 1, IF(ISNUMBER(SEARCH("Gri", D667)), -1, 0)))=1, VERI_TABANI!E26*(1-0.928)*VERI_TABANI!$B$9, 0) + (VERI_TABANI!D26*B667*(VERI_TABANI!$B$13-VERI_TABANI!$B$14)*VERI_TABANI!G26) + (VERI_TABANI!D26*C667*(VERI_TABANI!$B$13-VERI_TABANI!$B$15)*VERI_TABANI!G26) + IF(ABS(IF(ISNUMBER(SEARCH("Var", D667)), 1, IF(ISNUMBER(SEARCH("Gri", D667)), -1, 0)))=1, VERI_TABANI!E26*(1-0.928)*0.00206091519919798*VERI_TABANI!G26, 0)) + ((MIN(VERI_TABANI!D27, VERI_TABANI!D27*B667)*VERI_TABANI!$B$7 + MAX(0, VERI_TABANI!D27*B667-VERI_TABANI!D27)*VERI_TABANI!$B$8) + (MIN(MAX(0, VERI_TABANI!D27-VERI_TABANI!D27*B667), VERI_TABANI!D27*C667)*VERI_TABANI!$B$7 + MAX(0, VERI_TABANI!D27*C667-MAX(0, VERI_TABANI!D27-VERI_TABANI!D27*B667))*VERI_TABANI!$B$8) + IF(ABS(IF(ISNUMBER(SEARCH("Var", D667)), 1, IF(ISNUMBER(SEARCH("Gri", D667)), -1, 0)))=1, VERI_TABANI!E27*(1-0.928)*VERI_TABANI!$B$9, 0) + (VERI_TABANI!D27*B667*(VERI_TABANI!$B$13-VERI_TABANI!$B$14)*VERI_TABANI!G27) + (VERI_TABANI!D27*C667*(VERI_TABANI!$B$13-VERI_TABANI!$B$15)*VERI_TABANI!G27) + IF(ABS(IF(ISNUMBER(SEARCH("Var", D667)), 1, IF(ISNUMBER(SEARCH("Gri", D667)), -1, 0)))=1, VERI_TABANI!E27*(1-0.928)*0.00206091519919798*VERI_TABANI!G27, 0)) + ((MIN(VERI_TABANI!D28, VERI_TABANI!D28*B667)*VERI_TABANI!$B$7 + MAX(0, VERI_TABANI!D28*B667-VERI_TABANI!D28)*VERI_TABANI!$B$8) + (MIN(MAX(0, VERI_TABANI!D28-VERI_TABANI!D28*B667), VERI_TABANI!D28*C667)*VERI_TABANI!$B$7 + MAX(0, VERI_TABANI!D28*C667-MAX(0, VERI_TABANI!D28-VERI_TABANI!D28*B667))*VERI_TABANI!$B$8) + IF(ABS(IF(ISNUMBER(SEARCH("Var", D667)), 1, IF(ISNUMBER(SEARCH("Gri", D667)), -1, 0)))=1, VERI_TABANI!E28*(1-0.928)*VERI_TABANI!$B$9, 0) + (VERI_TABANI!D28*B667*(VERI_TABANI!$B$13-VERI_TABANI!$B$14)*VERI_TABANI!G28) + (VERI_TABANI!D28*C667*(VERI_TABANI!$B$13-VERI_TABANI!$B$15)*VERI_TABANI!G28) + IF(ABS(IF(ISNUMBER(SEARCH("Var", D667)), 1, IF(ISNUMBER(SEARCH("Gri", D667)), -1, 0)))=1, VERI_TABANI!E28*(1-0.928)*0.00206091519919798*VERI_TABANI!G28, 0)))</f>
        <v/>
      </c>
      <c r="H667" s="169">
        <f>(((VERI_TABANI!D23*B667*(VERI_TABANI!$B$13-VERI_TABANI!$B$14)) + (VERI_TABANI!D23*C667*(VERI_TABANI!$B$13-VERI_TABANI!$B$15)) + IF(ISNUMBER(SEARCH("Var", D667)), VERI_TABANI!F23*(0.00202-VERI_TABANI!$B$16), IF(ISNUMBER(SEARCH("Gri", D667)), VERI_TABANI!F23*(0.00202-VERI_TABANI!$B$17), 0))) + ((VERI_TABANI!D24*B667*(VERI_TABANI!$B$13-VERI_TABANI!$B$14)) + (VERI_TABANI!D24*C667*(VERI_TABANI!$B$13-VERI_TABANI!$B$15)) + IF(ISNUMBER(SEARCH("Var", D667)), VERI_TABANI!F24*(0.00202-VERI_TABANI!$B$16), IF(ISNUMBER(SEARCH("Gri", D667)), VERI_TABANI!F24*(0.00202-VERI_TABANI!$B$17), 0))) + ((VERI_TABANI!D25*B667*(VERI_TABANI!$B$13-VERI_TABANI!$B$14)) + (VERI_TABANI!D25*C667*(VERI_TABANI!$B$13-VERI_TABANI!$B$15)) + IF(ISNUMBER(SEARCH("Var", D667)), VERI_TABANI!F25*(0.00202-VERI_TABANI!$B$16), IF(ISNUMBER(SEARCH("Gri", D667)), VERI_TABANI!F25*(0.00202-VERI_TABANI!$B$17), 0))) + ((VERI_TABANI!D26*B667*(VERI_TABANI!$B$13-VERI_TABANI!$B$14)) + (VERI_TABANI!D26*C667*(VERI_TABANI!$B$13-VERI_TABANI!$B$15)) + IF(ISNUMBER(SEARCH("Var", D667)), VERI_TABANI!F26*(0.00202-VERI_TABANI!$B$16), IF(ISNUMBER(SEARCH("Gri", D667)), VERI_TABANI!F26*(0.00202-VERI_TABANI!$B$17), 0))) + ((VERI_TABANI!D27*B667*(VERI_TABANI!$B$13-VERI_TABANI!$B$14)) + (VERI_TABANI!D27*C667*(VERI_TABANI!$B$13-VERI_TABANI!$B$15)) + IF(ISNUMBER(SEARCH("Var", D667)), VERI_TABANI!F27*(0.00202-VERI_TABANI!$B$16), IF(ISNUMBER(SEARCH("Gri", D667)), VERI_TABANI!F27*(0.00202-VERI_TABANI!$B$17), 0))) + ((VERI_TABANI!D28*B667*(VERI_TABANI!$B$13-VERI_TABANI!$B$14)) + (VERI_TABANI!D28*C667*(VERI_TABANI!$B$13-VERI_TABANI!$B$15)) + IF(ISNUMBER(SEARCH("Var", D667)), VERI_TABANI!F28*(0.00202-VERI_TABANI!$B$16), IF(ISNUMBER(SEARCH("Gri", D667)), VERI_TABANI!F28*(0.00202-VERI_TABANI!$B$17), 0))))</f>
        <v/>
      </c>
      <c r="I667" s="170">
        <f>IFERROR(((VERI_TABANI!$D$29*B667*VERI_TABANI!$B$14 + VERI_TABANI!$D$29*C667*VERI_TABANI!$B$15 + IF(ISNUMBER(SEARCH("Var", D667)), VERI_TABANI!$F$29*VERI_TABANI!$B$16, 0))) / (((VERI_TABANI!$D$29*B667 + VERI_TABANI!$D$29*C667)*VERI_TABANI!$B$13 + IF(ISNUMBER(SEARCH("Var", D667)), VERI_TABANI!$E$29*(1-0.928)*VERI_TABANI!$B$18, 0))), 0)</f>
        <v/>
      </c>
      <c r="J667" s="171">
        <f>IFERROR(F667/(G667/29), 0)</f>
        <v/>
      </c>
      <c r="K667" s="172">
        <f>IF(F667&gt;0, H667/F667, 0)</f>
        <v/>
      </c>
      <c r="L667" s="170">
        <f>IF(F667&gt;0, I667, 1000000000)</f>
        <v/>
      </c>
      <c r="M667" s="171">
        <f>ABS((B667+C667)-1)</f>
        <v/>
      </c>
      <c r="N667" s="170">
        <f>IF(F667&gt;0, (G667/29)/F667, 0)</f>
        <v/>
      </c>
      <c r="O667" s="168">
        <f>IF(AND((B667+C667)&gt;=1, ISNUMBER(SEARCH("Var", D667))), F667, 1000000000)</f>
        <v/>
      </c>
      <c r="P667" s="172">
        <f>IF(F667&gt;0, SQRT((F667/MAX(F$5:F$886))^2 + (1 - H667/MAX(H$5:H$886))^2 + (J667/MAX(J$5:J$886))^2), 1000000000)</f>
        <v/>
      </c>
      <c r="Q667" s="166">
        <f>IF(AND(ABS(B667-0.5)&lt;0.01, ABS(C667-0.5)&lt;0.01, ISNUMBER(SEARCH("Var", D667))), 1, 0)</f>
        <v/>
      </c>
      <c r="R667" s="171">
        <f>IF(F667&gt;0, J667, 1000000000)</f>
        <v/>
      </c>
      <c r="S667" s="101">
        <f>IF(AND(F667&lt;=DASHBOARD!$B$11, H667&gt;=DASHBOARD!$B$13), G667, -1000000000000)</f>
        <v/>
      </c>
      <c r="T667" s="101">
        <f>IF(AND(F667&lt;=DASHBOARD!$B$11, H667&gt;=DASHBOARD!$B$13), R667, 1000000000000)</f>
        <v/>
      </c>
      <c r="U667" s="101">
        <f>IF(AND(F667&lt;=DASHBOARD!$B$11, H667&gt;=DASHBOARD!$B$13), N667, -1000000000000)</f>
        <v/>
      </c>
      <c r="V667" s="101">
        <f>IF(AND(F667&lt;=DASHBOARD!$B$11, H667&gt;=DASHBOARD!$B$13), H667, -1000000000000)</f>
        <v/>
      </c>
      <c r="W667" s="101">
        <f>IF(AND(F667&lt;=DASHBOARD!$B$11, H667&gt;=DASHBOARD!$B$13), K667, -1000000000000)</f>
        <v/>
      </c>
      <c r="X667" s="101">
        <f>IF(AND(F667&lt;=DASHBOARD!$B$11, H667&gt;=DASHBOARD!$B$13), M667, 1000000000000)</f>
        <v/>
      </c>
      <c r="Y667" s="101">
        <f>IF(AND(F667&lt;=DASHBOARD!$B$10, H667&gt;=DASHBOARD!$B$11), L667, 1000000000000)</f>
        <v/>
      </c>
      <c r="Z667" s="101">
        <f>IF(AND(F667&lt;=DASHBOARD!$B$10, H667&gt;=DASHBOARD!$B$11), O667, 1000000000000)</f>
        <v/>
      </c>
      <c r="AA667" s="101">
        <f>IF(AND(F667&lt;=DASHBOARD!$B$10, H667&gt;=DASHBOARD!$B$11), P667, 1000000000000)</f>
        <v/>
      </c>
      <c r="AB667" s="101">
        <f>IF(AND(F667&lt;=DASHBOARD!$B$10, H667&gt;=DASHBOARD!$B$11), Q667, -1000000000000)</f>
        <v/>
      </c>
    </row>
    <row r="668" ht="15" customHeight="1" s="102">
      <c r="A668" s="166" t="n">
        <v>664</v>
      </c>
      <c r="B668" s="167" t="n">
        <v>1.5</v>
      </c>
      <c r="C668" s="167" t="n">
        <v>1.6</v>
      </c>
      <c r="D668" s="110" t="inlineStr">
        <is>
          <t>Var (%20)</t>
        </is>
      </c>
      <c r="E668" s="110">
        <f>IF((B668+C668)&lt;=1, "Tam Mahsuplaşma (≤%100)", "Kısmi Satış (&gt;%100)")</f>
        <v/>
      </c>
      <c r="F668" s="168">
        <f>((VERI_TABANI!$D$29*B668/VERI_TABANI!$B$29)/VERI_TABANI!$B$3)*VERI_TABANI!$B$5 + ((VERI_TABANI!$D$29*C668/VERI_TABANI!$B$29)/VERI_TABANI!$B$4)*VERI_TABANI!$B$6 + IF(ISNUMBER(SEARCH("Var", D668)), (VERI_TABANI!$F$29/VERI_TABANI!$B$29)*(VERI_TABANI!$B$10+VERI_TABANI!$B$12), 0)</f>
        <v/>
      </c>
      <c r="G668" s="168">
        <f>(((MIN(VERI_TABANI!D23, VERI_TABANI!D23*B668)*VERI_TABANI!$B$7 + MAX(0, VERI_TABANI!D23*B668-VERI_TABANI!D23)*VERI_TABANI!$B$8) + (MIN(MAX(0, VERI_TABANI!D23-VERI_TABANI!D23*B668), VERI_TABANI!D23*C668)*VERI_TABANI!$B$7 + MAX(0, VERI_TABANI!D23*C668-MAX(0, VERI_TABANI!D23-VERI_TABANI!D23*B668))*VERI_TABANI!$B$8) + IF(ABS(IF(ISNUMBER(SEARCH("Var", D668)), 1, IF(ISNUMBER(SEARCH("Gri", D668)), -1, 0)))=1, VERI_TABANI!E23*(1-0.928)*VERI_TABANI!$B$9, 0) + (VERI_TABANI!D23*B668*(VERI_TABANI!$B$13-VERI_TABANI!$B$14)*VERI_TABANI!G23) + (VERI_TABANI!D23*C668*(VERI_TABANI!$B$13-VERI_TABANI!$B$15)*VERI_TABANI!G23) + IF(ABS(IF(ISNUMBER(SEARCH("Var", D668)), 1, IF(ISNUMBER(SEARCH("Gri", D668)), -1, 0)))=1, VERI_TABANI!E23*(1-0.928)*0.00206091519919798*VERI_TABANI!G23, 0)) + ((MIN(VERI_TABANI!D24, VERI_TABANI!D24*B668)*VERI_TABANI!$B$7 + MAX(0, VERI_TABANI!D24*B668-VERI_TABANI!D24)*VERI_TABANI!$B$8) + (MIN(MAX(0, VERI_TABANI!D24-VERI_TABANI!D24*B668), VERI_TABANI!D24*C668)*VERI_TABANI!$B$7 + MAX(0, VERI_TABANI!D24*C668-MAX(0, VERI_TABANI!D24-VERI_TABANI!D24*B668))*VERI_TABANI!$B$8) + IF(ABS(IF(ISNUMBER(SEARCH("Var", D668)), 1, IF(ISNUMBER(SEARCH("Gri", D668)), -1, 0)))=1, VERI_TABANI!E24*(1-0.928)*VERI_TABANI!$B$9, 0) + (VERI_TABANI!D24*B668*(VERI_TABANI!$B$13-VERI_TABANI!$B$14)*VERI_TABANI!G24) + (VERI_TABANI!D24*C668*(VERI_TABANI!$B$13-VERI_TABANI!$B$15)*VERI_TABANI!G24) + IF(ABS(IF(ISNUMBER(SEARCH("Var", D668)), 1, IF(ISNUMBER(SEARCH("Gri", D668)), -1, 0)))=1, VERI_TABANI!E24*(1-0.928)*0.00206091519919798*VERI_TABANI!G24, 0)) + ((MIN(VERI_TABANI!D25, VERI_TABANI!D25*B668)*VERI_TABANI!$B$7 + MAX(0, VERI_TABANI!D25*B668-VERI_TABANI!D25)*VERI_TABANI!$B$8) + (MIN(MAX(0, VERI_TABANI!D25-VERI_TABANI!D25*B668), VERI_TABANI!D25*C668)*VERI_TABANI!$B$7 + MAX(0, VERI_TABANI!D25*C668-MAX(0, VERI_TABANI!D25-VERI_TABANI!D25*B668))*VERI_TABANI!$B$8) + IF(ABS(IF(ISNUMBER(SEARCH("Var", D668)), 1, IF(ISNUMBER(SEARCH("Gri", D668)), -1, 0)))=1, VERI_TABANI!E25*(1-0.928)*VERI_TABANI!$B$9, 0) + (VERI_TABANI!D25*B668*(VERI_TABANI!$B$13-VERI_TABANI!$B$14)*VERI_TABANI!G25) + (VERI_TABANI!D25*C668*(VERI_TABANI!$B$13-VERI_TABANI!$B$15)*VERI_TABANI!G25) + IF(ABS(IF(ISNUMBER(SEARCH("Var", D668)), 1, IF(ISNUMBER(SEARCH("Gri", D668)), -1, 0)))=1, VERI_TABANI!E25*(1-0.928)*0.00206091519919798*VERI_TABANI!G25, 0)) + ((MIN(VERI_TABANI!D26, VERI_TABANI!D26*B668)*VERI_TABANI!$B$7 + MAX(0, VERI_TABANI!D26*B668-VERI_TABANI!D26)*VERI_TABANI!$B$8) + (MIN(MAX(0, VERI_TABANI!D26-VERI_TABANI!D26*B668), VERI_TABANI!D26*C668)*VERI_TABANI!$B$7 + MAX(0, VERI_TABANI!D26*C668-MAX(0, VERI_TABANI!D26-VERI_TABANI!D26*B668))*VERI_TABANI!$B$8) + IF(ABS(IF(ISNUMBER(SEARCH("Var", D668)), 1, IF(ISNUMBER(SEARCH("Gri", D668)), -1, 0)))=1, VERI_TABANI!E26*(1-0.928)*VERI_TABANI!$B$9, 0) + (VERI_TABANI!D26*B668*(VERI_TABANI!$B$13-VERI_TABANI!$B$14)*VERI_TABANI!G26) + (VERI_TABANI!D26*C668*(VERI_TABANI!$B$13-VERI_TABANI!$B$15)*VERI_TABANI!G26) + IF(ABS(IF(ISNUMBER(SEARCH("Var", D668)), 1, IF(ISNUMBER(SEARCH("Gri", D668)), -1, 0)))=1, VERI_TABANI!E26*(1-0.928)*0.00206091519919798*VERI_TABANI!G26, 0)) + ((MIN(VERI_TABANI!D27, VERI_TABANI!D27*B668)*VERI_TABANI!$B$7 + MAX(0, VERI_TABANI!D27*B668-VERI_TABANI!D27)*VERI_TABANI!$B$8) + (MIN(MAX(0, VERI_TABANI!D27-VERI_TABANI!D27*B668), VERI_TABANI!D27*C668)*VERI_TABANI!$B$7 + MAX(0, VERI_TABANI!D27*C668-MAX(0, VERI_TABANI!D27-VERI_TABANI!D27*B668))*VERI_TABANI!$B$8) + IF(ABS(IF(ISNUMBER(SEARCH("Var", D668)), 1, IF(ISNUMBER(SEARCH("Gri", D668)), -1, 0)))=1, VERI_TABANI!E27*(1-0.928)*VERI_TABANI!$B$9, 0) + (VERI_TABANI!D27*B668*(VERI_TABANI!$B$13-VERI_TABANI!$B$14)*VERI_TABANI!G27) + (VERI_TABANI!D27*C668*(VERI_TABANI!$B$13-VERI_TABANI!$B$15)*VERI_TABANI!G27) + IF(ABS(IF(ISNUMBER(SEARCH("Var", D668)), 1, IF(ISNUMBER(SEARCH("Gri", D668)), -1, 0)))=1, VERI_TABANI!E27*(1-0.928)*0.00206091519919798*VERI_TABANI!G27, 0)) + ((MIN(VERI_TABANI!D28, VERI_TABANI!D28*B668)*VERI_TABANI!$B$7 + MAX(0, VERI_TABANI!D28*B668-VERI_TABANI!D28)*VERI_TABANI!$B$8) + (MIN(MAX(0, VERI_TABANI!D28-VERI_TABANI!D28*B668), VERI_TABANI!D28*C668)*VERI_TABANI!$B$7 + MAX(0, VERI_TABANI!D28*C668-MAX(0, VERI_TABANI!D28-VERI_TABANI!D28*B668))*VERI_TABANI!$B$8) + IF(ABS(IF(ISNUMBER(SEARCH("Var", D668)), 1, IF(ISNUMBER(SEARCH("Gri", D668)), -1, 0)))=1, VERI_TABANI!E28*(1-0.928)*VERI_TABANI!$B$9, 0) + (VERI_TABANI!D28*B668*(VERI_TABANI!$B$13-VERI_TABANI!$B$14)*VERI_TABANI!G28) + (VERI_TABANI!D28*C668*(VERI_TABANI!$B$13-VERI_TABANI!$B$15)*VERI_TABANI!G28) + IF(ABS(IF(ISNUMBER(SEARCH("Var", D668)), 1, IF(ISNUMBER(SEARCH("Gri", D668)), -1, 0)))=1, VERI_TABANI!E28*(1-0.928)*0.00206091519919798*VERI_TABANI!G28, 0)))</f>
        <v/>
      </c>
      <c r="H668" s="169">
        <f>(((VERI_TABANI!D23*B668*(VERI_TABANI!$B$13-VERI_TABANI!$B$14)) + (VERI_TABANI!D23*C668*(VERI_TABANI!$B$13-VERI_TABANI!$B$15)) + IF(ISNUMBER(SEARCH("Var", D668)), VERI_TABANI!F23*(0.00202-VERI_TABANI!$B$16), IF(ISNUMBER(SEARCH("Gri", D668)), VERI_TABANI!F23*(0.00202-VERI_TABANI!$B$17), 0))) + ((VERI_TABANI!D24*B668*(VERI_TABANI!$B$13-VERI_TABANI!$B$14)) + (VERI_TABANI!D24*C668*(VERI_TABANI!$B$13-VERI_TABANI!$B$15)) + IF(ISNUMBER(SEARCH("Var", D668)), VERI_TABANI!F24*(0.00202-VERI_TABANI!$B$16), IF(ISNUMBER(SEARCH("Gri", D668)), VERI_TABANI!F24*(0.00202-VERI_TABANI!$B$17), 0))) + ((VERI_TABANI!D25*B668*(VERI_TABANI!$B$13-VERI_TABANI!$B$14)) + (VERI_TABANI!D25*C668*(VERI_TABANI!$B$13-VERI_TABANI!$B$15)) + IF(ISNUMBER(SEARCH("Var", D668)), VERI_TABANI!F25*(0.00202-VERI_TABANI!$B$16), IF(ISNUMBER(SEARCH("Gri", D668)), VERI_TABANI!F25*(0.00202-VERI_TABANI!$B$17), 0))) + ((VERI_TABANI!D26*B668*(VERI_TABANI!$B$13-VERI_TABANI!$B$14)) + (VERI_TABANI!D26*C668*(VERI_TABANI!$B$13-VERI_TABANI!$B$15)) + IF(ISNUMBER(SEARCH("Var", D668)), VERI_TABANI!F26*(0.00202-VERI_TABANI!$B$16), IF(ISNUMBER(SEARCH("Gri", D668)), VERI_TABANI!F26*(0.00202-VERI_TABANI!$B$17), 0))) + ((VERI_TABANI!D27*B668*(VERI_TABANI!$B$13-VERI_TABANI!$B$14)) + (VERI_TABANI!D27*C668*(VERI_TABANI!$B$13-VERI_TABANI!$B$15)) + IF(ISNUMBER(SEARCH("Var", D668)), VERI_TABANI!F27*(0.00202-VERI_TABANI!$B$16), IF(ISNUMBER(SEARCH("Gri", D668)), VERI_TABANI!F27*(0.00202-VERI_TABANI!$B$17), 0))) + ((VERI_TABANI!D28*B668*(VERI_TABANI!$B$13-VERI_TABANI!$B$14)) + (VERI_TABANI!D28*C668*(VERI_TABANI!$B$13-VERI_TABANI!$B$15)) + IF(ISNUMBER(SEARCH("Var", D668)), VERI_TABANI!F28*(0.00202-VERI_TABANI!$B$16), IF(ISNUMBER(SEARCH("Gri", D668)), VERI_TABANI!F28*(0.00202-VERI_TABANI!$B$17), 0))))</f>
        <v/>
      </c>
      <c r="I668" s="170">
        <f>IFERROR(((VERI_TABANI!$D$29*B668*VERI_TABANI!$B$14 + VERI_TABANI!$D$29*C668*VERI_TABANI!$B$15 + IF(ISNUMBER(SEARCH("Var", D668)), VERI_TABANI!$F$29*VERI_TABANI!$B$16, 0))) / (((VERI_TABANI!$D$29*B668 + VERI_TABANI!$D$29*C668)*VERI_TABANI!$B$13 + IF(ISNUMBER(SEARCH("Var", D668)), VERI_TABANI!$E$29*(1-0.928)*VERI_TABANI!$B$18, 0))), 0)</f>
        <v/>
      </c>
      <c r="J668" s="171">
        <f>IFERROR(F668/(G668/29), 0)</f>
        <v/>
      </c>
      <c r="K668" s="172">
        <f>IF(F668&gt;0, H668/F668, 0)</f>
        <v/>
      </c>
      <c r="L668" s="170">
        <f>IF(F668&gt;0, I668, 1000000000)</f>
        <v/>
      </c>
      <c r="M668" s="171">
        <f>ABS((B668+C668)-1)</f>
        <v/>
      </c>
      <c r="N668" s="170">
        <f>IF(F668&gt;0, (G668/29)/F668, 0)</f>
        <v/>
      </c>
      <c r="O668" s="168">
        <f>IF(AND((B668+C668)&gt;=1, ISNUMBER(SEARCH("Var", D668))), F668, 1000000000)</f>
        <v/>
      </c>
      <c r="P668" s="172">
        <f>IF(F668&gt;0, SQRT((F668/MAX(F$5:F$886))^2 + (1 - H668/MAX(H$5:H$886))^2 + (J668/MAX(J$5:J$886))^2), 1000000000)</f>
        <v/>
      </c>
      <c r="Q668" s="166">
        <f>IF(AND(ABS(B668-0.5)&lt;0.01, ABS(C668-0.5)&lt;0.01, ISNUMBER(SEARCH("Var", D668))), 1, 0)</f>
        <v/>
      </c>
      <c r="R668" s="171">
        <f>IF(F668&gt;0, J668, 1000000000)</f>
        <v/>
      </c>
      <c r="S668" s="101">
        <f>IF(AND(F668&lt;=DASHBOARD!$B$11, H668&gt;=DASHBOARD!$B$13), G668, -1000000000000)</f>
        <v/>
      </c>
      <c r="T668" s="101">
        <f>IF(AND(F668&lt;=DASHBOARD!$B$11, H668&gt;=DASHBOARD!$B$13), R668, 1000000000000)</f>
        <v/>
      </c>
      <c r="U668" s="101">
        <f>IF(AND(F668&lt;=DASHBOARD!$B$11, H668&gt;=DASHBOARD!$B$13), N668, -1000000000000)</f>
        <v/>
      </c>
      <c r="V668" s="101">
        <f>IF(AND(F668&lt;=DASHBOARD!$B$11, H668&gt;=DASHBOARD!$B$13), H668, -1000000000000)</f>
        <v/>
      </c>
      <c r="W668" s="101">
        <f>IF(AND(F668&lt;=DASHBOARD!$B$11, H668&gt;=DASHBOARD!$B$13), K668, -1000000000000)</f>
        <v/>
      </c>
      <c r="X668" s="101">
        <f>IF(AND(F668&lt;=DASHBOARD!$B$11, H668&gt;=DASHBOARD!$B$13), M668, 1000000000000)</f>
        <v/>
      </c>
      <c r="Y668" s="101">
        <f>IF(AND(F668&lt;=DASHBOARD!$B$10, H668&gt;=DASHBOARD!$B$11), L668, 1000000000000)</f>
        <v/>
      </c>
      <c r="Z668" s="101">
        <f>IF(AND(F668&lt;=DASHBOARD!$B$10, H668&gt;=DASHBOARD!$B$11), O668, 1000000000000)</f>
        <v/>
      </c>
      <c r="AA668" s="101">
        <f>IF(AND(F668&lt;=DASHBOARD!$B$10, H668&gt;=DASHBOARD!$B$11), P668, 1000000000000)</f>
        <v/>
      </c>
      <c r="AB668" s="101">
        <f>IF(AND(F668&lt;=DASHBOARD!$B$10, H668&gt;=DASHBOARD!$B$11), Q668, -1000000000000)</f>
        <v/>
      </c>
    </row>
    <row r="669" ht="15" customHeight="1" s="102">
      <c r="A669" s="166" t="n">
        <v>665</v>
      </c>
      <c r="B669" s="167" t="n">
        <v>1.5</v>
      </c>
      <c r="C669" s="167" t="n">
        <v>1.7</v>
      </c>
      <c r="D669" s="110" t="inlineStr">
        <is>
          <t>Yok (%0)</t>
        </is>
      </c>
      <c r="E669" s="110">
        <f>IF((B669+C669)&lt;=1, "Tam Mahsuplaşma (≤%100)", "Kısmi Satış (&gt;%100)")</f>
        <v/>
      </c>
      <c r="F669" s="168">
        <f>((VERI_TABANI!$D$29*B669/VERI_TABANI!$B$29)/VERI_TABANI!$B$3)*VERI_TABANI!$B$5 + ((VERI_TABANI!$D$29*C669/VERI_TABANI!$B$29)/VERI_TABANI!$B$4)*VERI_TABANI!$B$6 + IF(ISNUMBER(SEARCH("Var", D669)), (VERI_TABANI!$F$29/VERI_TABANI!$B$29)*(VERI_TABANI!$B$10+VERI_TABANI!$B$12), 0)</f>
        <v/>
      </c>
      <c r="G669" s="168">
        <f>(((MIN(VERI_TABANI!D23, VERI_TABANI!D23*B669)*VERI_TABANI!$B$7 + MAX(0, VERI_TABANI!D23*B669-VERI_TABANI!D23)*VERI_TABANI!$B$8) + (MIN(MAX(0, VERI_TABANI!D23-VERI_TABANI!D23*B669), VERI_TABANI!D23*C669)*VERI_TABANI!$B$7 + MAX(0, VERI_TABANI!D23*C669-MAX(0, VERI_TABANI!D23-VERI_TABANI!D23*B669))*VERI_TABANI!$B$8) + IF(ABS(IF(ISNUMBER(SEARCH("Var", D669)), 1, IF(ISNUMBER(SEARCH("Gri", D669)), -1, 0)))=1, VERI_TABANI!E23*(1-0.928)*VERI_TABANI!$B$9, 0) + (VERI_TABANI!D23*B669*(VERI_TABANI!$B$13-VERI_TABANI!$B$14)*VERI_TABANI!G23) + (VERI_TABANI!D23*C669*(VERI_TABANI!$B$13-VERI_TABANI!$B$15)*VERI_TABANI!G23) + IF(ABS(IF(ISNUMBER(SEARCH("Var", D669)), 1, IF(ISNUMBER(SEARCH("Gri", D669)), -1, 0)))=1, VERI_TABANI!E23*(1-0.928)*0.00206091519919798*VERI_TABANI!G23, 0)) + ((MIN(VERI_TABANI!D24, VERI_TABANI!D24*B669)*VERI_TABANI!$B$7 + MAX(0, VERI_TABANI!D24*B669-VERI_TABANI!D24)*VERI_TABANI!$B$8) + (MIN(MAX(0, VERI_TABANI!D24-VERI_TABANI!D24*B669), VERI_TABANI!D24*C669)*VERI_TABANI!$B$7 + MAX(0, VERI_TABANI!D24*C669-MAX(0, VERI_TABANI!D24-VERI_TABANI!D24*B669))*VERI_TABANI!$B$8) + IF(ABS(IF(ISNUMBER(SEARCH("Var", D669)), 1, IF(ISNUMBER(SEARCH("Gri", D669)), -1, 0)))=1, VERI_TABANI!E24*(1-0.928)*VERI_TABANI!$B$9, 0) + (VERI_TABANI!D24*B669*(VERI_TABANI!$B$13-VERI_TABANI!$B$14)*VERI_TABANI!G24) + (VERI_TABANI!D24*C669*(VERI_TABANI!$B$13-VERI_TABANI!$B$15)*VERI_TABANI!G24) + IF(ABS(IF(ISNUMBER(SEARCH("Var", D669)), 1, IF(ISNUMBER(SEARCH("Gri", D669)), -1, 0)))=1, VERI_TABANI!E24*(1-0.928)*0.00206091519919798*VERI_TABANI!G24, 0)) + ((MIN(VERI_TABANI!D25, VERI_TABANI!D25*B669)*VERI_TABANI!$B$7 + MAX(0, VERI_TABANI!D25*B669-VERI_TABANI!D25)*VERI_TABANI!$B$8) + (MIN(MAX(0, VERI_TABANI!D25-VERI_TABANI!D25*B669), VERI_TABANI!D25*C669)*VERI_TABANI!$B$7 + MAX(0, VERI_TABANI!D25*C669-MAX(0, VERI_TABANI!D25-VERI_TABANI!D25*B669))*VERI_TABANI!$B$8) + IF(ABS(IF(ISNUMBER(SEARCH("Var", D669)), 1, IF(ISNUMBER(SEARCH("Gri", D669)), -1, 0)))=1, VERI_TABANI!E25*(1-0.928)*VERI_TABANI!$B$9, 0) + (VERI_TABANI!D25*B669*(VERI_TABANI!$B$13-VERI_TABANI!$B$14)*VERI_TABANI!G25) + (VERI_TABANI!D25*C669*(VERI_TABANI!$B$13-VERI_TABANI!$B$15)*VERI_TABANI!G25) + IF(ABS(IF(ISNUMBER(SEARCH("Var", D669)), 1, IF(ISNUMBER(SEARCH("Gri", D669)), -1, 0)))=1, VERI_TABANI!E25*(1-0.928)*0.00206091519919798*VERI_TABANI!G25, 0)) + ((MIN(VERI_TABANI!D26, VERI_TABANI!D26*B669)*VERI_TABANI!$B$7 + MAX(0, VERI_TABANI!D26*B669-VERI_TABANI!D26)*VERI_TABANI!$B$8) + (MIN(MAX(0, VERI_TABANI!D26-VERI_TABANI!D26*B669), VERI_TABANI!D26*C669)*VERI_TABANI!$B$7 + MAX(0, VERI_TABANI!D26*C669-MAX(0, VERI_TABANI!D26-VERI_TABANI!D26*B669))*VERI_TABANI!$B$8) + IF(ABS(IF(ISNUMBER(SEARCH("Var", D669)), 1, IF(ISNUMBER(SEARCH("Gri", D669)), -1, 0)))=1, VERI_TABANI!E26*(1-0.928)*VERI_TABANI!$B$9, 0) + (VERI_TABANI!D26*B669*(VERI_TABANI!$B$13-VERI_TABANI!$B$14)*VERI_TABANI!G26) + (VERI_TABANI!D26*C669*(VERI_TABANI!$B$13-VERI_TABANI!$B$15)*VERI_TABANI!G26) + IF(ABS(IF(ISNUMBER(SEARCH("Var", D669)), 1, IF(ISNUMBER(SEARCH("Gri", D669)), -1, 0)))=1, VERI_TABANI!E26*(1-0.928)*0.00206091519919798*VERI_TABANI!G26, 0)) + ((MIN(VERI_TABANI!D27, VERI_TABANI!D27*B669)*VERI_TABANI!$B$7 + MAX(0, VERI_TABANI!D27*B669-VERI_TABANI!D27)*VERI_TABANI!$B$8) + (MIN(MAX(0, VERI_TABANI!D27-VERI_TABANI!D27*B669), VERI_TABANI!D27*C669)*VERI_TABANI!$B$7 + MAX(0, VERI_TABANI!D27*C669-MAX(0, VERI_TABANI!D27-VERI_TABANI!D27*B669))*VERI_TABANI!$B$8) + IF(ABS(IF(ISNUMBER(SEARCH("Var", D669)), 1, IF(ISNUMBER(SEARCH("Gri", D669)), -1, 0)))=1, VERI_TABANI!E27*(1-0.928)*VERI_TABANI!$B$9, 0) + (VERI_TABANI!D27*B669*(VERI_TABANI!$B$13-VERI_TABANI!$B$14)*VERI_TABANI!G27) + (VERI_TABANI!D27*C669*(VERI_TABANI!$B$13-VERI_TABANI!$B$15)*VERI_TABANI!G27) + IF(ABS(IF(ISNUMBER(SEARCH("Var", D669)), 1, IF(ISNUMBER(SEARCH("Gri", D669)), -1, 0)))=1, VERI_TABANI!E27*(1-0.928)*0.00206091519919798*VERI_TABANI!G27, 0)) + ((MIN(VERI_TABANI!D28, VERI_TABANI!D28*B669)*VERI_TABANI!$B$7 + MAX(0, VERI_TABANI!D28*B669-VERI_TABANI!D28)*VERI_TABANI!$B$8) + (MIN(MAX(0, VERI_TABANI!D28-VERI_TABANI!D28*B669), VERI_TABANI!D28*C669)*VERI_TABANI!$B$7 + MAX(0, VERI_TABANI!D28*C669-MAX(0, VERI_TABANI!D28-VERI_TABANI!D28*B669))*VERI_TABANI!$B$8) + IF(ABS(IF(ISNUMBER(SEARCH("Var", D669)), 1, IF(ISNUMBER(SEARCH("Gri", D669)), -1, 0)))=1, VERI_TABANI!E28*(1-0.928)*VERI_TABANI!$B$9, 0) + (VERI_TABANI!D28*B669*(VERI_TABANI!$B$13-VERI_TABANI!$B$14)*VERI_TABANI!G28) + (VERI_TABANI!D28*C669*(VERI_TABANI!$B$13-VERI_TABANI!$B$15)*VERI_TABANI!G28) + IF(ABS(IF(ISNUMBER(SEARCH("Var", D669)), 1, IF(ISNUMBER(SEARCH("Gri", D669)), -1, 0)))=1, VERI_TABANI!E28*(1-0.928)*0.00206091519919798*VERI_TABANI!G28, 0)))</f>
        <v/>
      </c>
      <c r="H669" s="169">
        <f>(((VERI_TABANI!D23*B669*(VERI_TABANI!$B$13-VERI_TABANI!$B$14)) + (VERI_TABANI!D23*C669*(VERI_TABANI!$B$13-VERI_TABANI!$B$15)) + IF(ISNUMBER(SEARCH("Var", D669)), VERI_TABANI!F23*(0.00202-VERI_TABANI!$B$16), IF(ISNUMBER(SEARCH("Gri", D669)), VERI_TABANI!F23*(0.00202-VERI_TABANI!$B$17), 0))) + ((VERI_TABANI!D24*B669*(VERI_TABANI!$B$13-VERI_TABANI!$B$14)) + (VERI_TABANI!D24*C669*(VERI_TABANI!$B$13-VERI_TABANI!$B$15)) + IF(ISNUMBER(SEARCH("Var", D669)), VERI_TABANI!F24*(0.00202-VERI_TABANI!$B$16), IF(ISNUMBER(SEARCH("Gri", D669)), VERI_TABANI!F24*(0.00202-VERI_TABANI!$B$17), 0))) + ((VERI_TABANI!D25*B669*(VERI_TABANI!$B$13-VERI_TABANI!$B$14)) + (VERI_TABANI!D25*C669*(VERI_TABANI!$B$13-VERI_TABANI!$B$15)) + IF(ISNUMBER(SEARCH("Var", D669)), VERI_TABANI!F25*(0.00202-VERI_TABANI!$B$16), IF(ISNUMBER(SEARCH("Gri", D669)), VERI_TABANI!F25*(0.00202-VERI_TABANI!$B$17), 0))) + ((VERI_TABANI!D26*B669*(VERI_TABANI!$B$13-VERI_TABANI!$B$14)) + (VERI_TABANI!D26*C669*(VERI_TABANI!$B$13-VERI_TABANI!$B$15)) + IF(ISNUMBER(SEARCH("Var", D669)), VERI_TABANI!F26*(0.00202-VERI_TABANI!$B$16), IF(ISNUMBER(SEARCH("Gri", D669)), VERI_TABANI!F26*(0.00202-VERI_TABANI!$B$17), 0))) + ((VERI_TABANI!D27*B669*(VERI_TABANI!$B$13-VERI_TABANI!$B$14)) + (VERI_TABANI!D27*C669*(VERI_TABANI!$B$13-VERI_TABANI!$B$15)) + IF(ISNUMBER(SEARCH("Var", D669)), VERI_TABANI!F27*(0.00202-VERI_TABANI!$B$16), IF(ISNUMBER(SEARCH("Gri", D669)), VERI_TABANI!F27*(0.00202-VERI_TABANI!$B$17), 0))) + ((VERI_TABANI!D28*B669*(VERI_TABANI!$B$13-VERI_TABANI!$B$14)) + (VERI_TABANI!D28*C669*(VERI_TABANI!$B$13-VERI_TABANI!$B$15)) + IF(ISNUMBER(SEARCH("Var", D669)), VERI_TABANI!F28*(0.00202-VERI_TABANI!$B$16), IF(ISNUMBER(SEARCH("Gri", D669)), VERI_TABANI!F28*(0.00202-VERI_TABANI!$B$17), 0))))</f>
        <v/>
      </c>
      <c r="I669" s="170">
        <f>IFERROR(((VERI_TABANI!$D$29*B669*VERI_TABANI!$B$14 + VERI_TABANI!$D$29*C669*VERI_TABANI!$B$15 + IF(ISNUMBER(SEARCH("Var", D669)), VERI_TABANI!$F$29*VERI_TABANI!$B$16, 0))) / (((VERI_TABANI!$D$29*B669 + VERI_TABANI!$D$29*C669)*VERI_TABANI!$B$13 + IF(ISNUMBER(SEARCH("Var", D669)), VERI_TABANI!$E$29*(1-0.928)*VERI_TABANI!$B$18, 0))), 0)</f>
        <v/>
      </c>
      <c r="J669" s="171">
        <f>IFERROR(F669/(G669/29), 0)</f>
        <v/>
      </c>
      <c r="K669" s="172">
        <f>IF(F669&gt;0, H669/F669, 0)</f>
        <v/>
      </c>
      <c r="L669" s="170">
        <f>IF(F669&gt;0, I669, 1000000000)</f>
        <v/>
      </c>
      <c r="M669" s="171">
        <f>ABS((B669+C669)-1)</f>
        <v/>
      </c>
      <c r="N669" s="170">
        <f>IF(F669&gt;0, (G669/29)/F669, 0)</f>
        <v/>
      </c>
      <c r="O669" s="168">
        <f>IF(AND((B669+C669)&gt;=1, ISNUMBER(SEARCH("Var", D669))), F669, 1000000000)</f>
        <v/>
      </c>
      <c r="P669" s="172">
        <f>IF(F669&gt;0, SQRT((F669/MAX(F$5:F$886))^2 + (1 - H669/MAX(H$5:H$886))^2 + (J669/MAX(J$5:J$886))^2), 1000000000)</f>
        <v/>
      </c>
      <c r="Q669" s="166">
        <f>IF(AND(ABS(B669-0.5)&lt;0.01, ABS(C669-0.5)&lt;0.01, ISNUMBER(SEARCH("Var", D669))), 1, 0)</f>
        <v/>
      </c>
      <c r="R669" s="171">
        <f>IF(F669&gt;0, J669, 1000000000)</f>
        <v/>
      </c>
      <c r="S669" s="101">
        <f>IF(AND(F669&lt;=DASHBOARD!$B$11, H669&gt;=DASHBOARD!$B$13), G669, -1000000000000)</f>
        <v/>
      </c>
      <c r="T669" s="101">
        <f>IF(AND(F669&lt;=DASHBOARD!$B$11, H669&gt;=DASHBOARD!$B$13), R669, 1000000000000)</f>
        <v/>
      </c>
      <c r="U669" s="101">
        <f>IF(AND(F669&lt;=DASHBOARD!$B$11, H669&gt;=DASHBOARD!$B$13), N669, -1000000000000)</f>
        <v/>
      </c>
      <c r="V669" s="101">
        <f>IF(AND(F669&lt;=DASHBOARD!$B$11, H669&gt;=DASHBOARD!$B$13), H669, -1000000000000)</f>
        <v/>
      </c>
      <c r="W669" s="101">
        <f>IF(AND(F669&lt;=DASHBOARD!$B$11, H669&gt;=DASHBOARD!$B$13), K669, -1000000000000)</f>
        <v/>
      </c>
      <c r="X669" s="101">
        <f>IF(AND(F669&lt;=DASHBOARD!$B$11, H669&gt;=DASHBOARD!$B$13), M669, 1000000000000)</f>
        <v/>
      </c>
      <c r="Y669" s="101">
        <f>IF(AND(F669&lt;=DASHBOARD!$B$10, H669&gt;=DASHBOARD!$B$11), L669, 1000000000000)</f>
        <v/>
      </c>
      <c r="Z669" s="101">
        <f>IF(AND(F669&lt;=DASHBOARD!$B$10, H669&gt;=DASHBOARD!$B$11), O669, 1000000000000)</f>
        <v/>
      </c>
      <c r="AA669" s="101">
        <f>IF(AND(F669&lt;=DASHBOARD!$B$10, H669&gt;=DASHBOARD!$B$11), P669, 1000000000000)</f>
        <v/>
      </c>
      <c r="AB669" s="101">
        <f>IF(AND(F669&lt;=DASHBOARD!$B$10, H669&gt;=DASHBOARD!$B$11), Q669, -1000000000000)</f>
        <v/>
      </c>
    </row>
    <row r="670" ht="15" customHeight="1" s="102">
      <c r="A670" s="166" t="n">
        <v>666</v>
      </c>
      <c r="B670" s="167" t="n">
        <v>1.5</v>
      </c>
      <c r="C670" s="167" t="n">
        <v>1.7</v>
      </c>
      <c r="D670" s="110" t="inlineStr">
        <is>
          <t>Var (%20)</t>
        </is>
      </c>
      <c r="E670" s="110">
        <f>IF((B670+C670)&lt;=1, "Tam Mahsuplaşma (≤%100)", "Kısmi Satış (&gt;%100)")</f>
        <v/>
      </c>
      <c r="F670" s="168">
        <f>((VERI_TABANI!$D$29*B670/VERI_TABANI!$B$29)/VERI_TABANI!$B$3)*VERI_TABANI!$B$5 + ((VERI_TABANI!$D$29*C670/VERI_TABANI!$B$29)/VERI_TABANI!$B$4)*VERI_TABANI!$B$6 + IF(ISNUMBER(SEARCH("Var", D670)), (VERI_TABANI!$F$29/VERI_TABANI!$B$29)*(VERI_TABANI!$B$10+VERI_TABANI!$B$12), 0)</f>
        <v/>
      </c>
      <c r="G670" s="168">
        <f>(((MIN(VERI_TABANI!D23, VERI_TABANI!D23*B670)*VERI_TABANI!$B$7 + MAX(0, VERI_TABANI!D23*B670-VERI_TABANI!D23)*VERI_TABANI!$B$8) + (MIN(MAX(0, VERI_TABANI!D23-VERI_TABANI!D23*B670), VERI_TABANI!D23*C670)*VERI_TABANI!$B$7 + MAX(0, VERI_TABANI!D23*C670-MAX(0, VERI_TABANI!D23-VERI_TABANI!D23*B670))*VERI_TABANI!$B$8) + IF(ABS(IF(ISNUMBER(SEARCH("Var", D670)), 1, IF(ISNUMBER(SEARCH("Gri", D670)), -1, 0)))=1, VERI_TABANI!E23*(1-0.928)*VERI_TABANI!$B$9, 0) + (VERI_TABANI!D23*B670*(VERI_TABANI!$B$13-VERI_TABANI!$B$14)*VERI_TABANI!G23) + (VERI_TABANI!D23*C670*(VERI_TABANI!$B$13-VERI_TABANI!$B$15)*VERI_TABANI!G23) + IF(ABS(IF(ISNUMBER(SEARCH("Var", D670)), 1, IF(ISNUMBER(SEARCH("Gri", D670)), -1, 0)))=1, VERI_TABANI!E23*(1-0.928)*0.00206091519919798*VERI_TABANI!G23, 0)) + ((MIN(VERI_TABANI!D24, VERI_TABANI!D24*B670)*VERI_TABANI!$B$7 + MAX(0, VERI_TABANI!D24*B670-VERI_TABANI!D24)*VERI_TABANI!$B$8) + (MIN(MAX(0, VERI_TABANI!D24-VERI_TABANI!D24*B670), VERI_TABANI!D24*C670)*VERI_TABANI!$B$7 + MAX(0, VERI_TABANI!D24*C670-MAX(0, VERI_TABANI!D24-VERI_TABANI!D24*B670))*VERI_TABANI!$B$8) + IF(ABS(IF(ISNUMBER(SEARCH("Var", D670)), 1, IF(ISNUMBER(SEARCH("Gri", D670)), -1, 0)))=1, VERI_TABANI!E24*(1-0.928)*VERI_TABANI!$B$9, 0) + (VERI_TABANI!D24*B670*(VERI_TABANI!$B$13-VERI_TABANI!$B$14)*VERI_TABANI!G24) + (VERI_TABANI!D24*C670*(VERI_TABANI!$B$13-VERI_TABANI!$B$15)*VERI_TABANI!G24) + IF(ABS(IF(ISNUMBER(SEARCH("Var", D670)), 1, IF(ISNUMBER(SEARCH("Gri", D670)), -1, 0)))=1, VERI_TABANI!E24*(1-0.928)*0.00206091519919798*VERI_TABANI!G24, 0)) + ((MIN(VERI_TABANI!D25, VERI_TABANI!D25*B670)*VERI_TABANI!$B$7 + MAX(0, VERI_TABANI!D25*B670-VERI_TABANI!D25)*VERI_TABANI!$B$8) + (MIN(MAX(0, VERI_TABANI!D25-VERI_TABANI!D25*B670), VERI_TABANI!D25*C670)*VERI_TABANI!$B$7 + MAX(0, VERI_TABANI!D25*C670-MAX(0, VERI_TABANI!D25-VERI_TABANI!D25*B670))*VERI_TABANI!$B$8) + IF(ABS(IF(ISNUMBER(SEARCH("Var", D670)), 1, IF(ISNUMBER(SEARCH("Gri", D670)), -1, 0)))=1, VERI_TABANI!E25*(1-0.928)*VERI_TABANI!$B$9, 0) + (VERI_TABANI!D25*B670*(VERI_TABANI!$B$13-VERI_TABANI!$B$14)*VERI_TABANI!G25) + (VERI_TABANI!D25*C670*(VERI_TABANI!$B$13-VERI_TABANI!$B$15)*VERI_TABANI!G25) + IF(ABS(IF(ISNUMBER(SEARCH("Var", D670)), 1, IF(ISNUMBER(SEARCH("Gri", D670)), -1, 0)))=1, VERI_TABANI!E25*(1-0.928)*0.00206091519919798*VERI_TABANI!G25, 0)) + ((MIN(VERI_TABANI!D26, VERI_TABANI!D26*B670)*VERI_TABANI!$B$7 + MAX(0, VERI_TABANI!D26*B670-VERI_TABANI!D26)*VERI_TABANI!$B$8) + (MIN(MAX(0, VERI_TABANI!D26-VERI_TABANI!D26*B670), VERI_TABANI!D26*C670)*VERI_TABANI!$B$7 + MAX(0, VERI_TABANI!D26*C670-MAX(0, VERI_TABANI!D26-VERI_TABANI!D26*B670))*VERI_TABANI!$B$8) + IF(ABS(IF(ISNUMBER(SEARCH("Var", D670)), 1, IF(ISNUMBER(SEARCH("Gri", D670)), -1, 0)))=1, VERI_TABANI!E26*(1-0.928)*VERI_TABANI!$B$9, 0) + (VERI_TABANI!D26*B670*(VERI_TABANI!$B$13-VERI_TABANI!$B$14)*VERI_TABANI!G26) + (VERI_TABANI!D26*C670*(VERI_TABANI!$B$13-VERI_TABANI!$B$15)*VERI_TABANI!G26) + IF(ABS(IF(ISNUMBER(SEARCH("Var", D670)), 1, IF(ISNUMBER(SEARCH("Gri", D670)), -1, 0)))=1, VERI_TABANI!E26*(1-0.928)*0.00206091519919798*VERI_TABANI!G26, 0)) + ((MIN(VERI_TABANI!D27, VERI_TABANI!D27*B670)*VERI_TABANI!$B$7 + MAX(0, VERI_TABANI!D27*B670-VERI_TABANI!D27)*VERI_TABANI!$B$8) + (MIN(MAX(0, VERI_TABANI!D27-VERI_TABANI!D27*B670), VERI_TABANI!D27*C670)*VERI_TABANI!$B$7 + MAX(0, VERI_TABANI!D27*C670-MAX(0, VERI_TABANI!D27-VERI_TABANI!D27*B670))*VERI_TABANI!$B$8) + IF(ABS(IF(ISNUMBER(SEARCH("Var", D670)), 1, IF(ISNUMBER(SEARCH("Gri", D670)), -1, 0)))=1, VERI_TABANI!E27*(1-0.928)*VERI_TABANI!$B$9, 0) + (VERI_TABANI!D27*B670*(VERI_TABANI!$B$13-VERI_TABANI!$B$14)*VERI_TABANI!G27) + (VERI_TABANI!D27*C670*(VERI_TABANI!$B$13-VERI_TABANI!$B$15)*VERI_TABANI!G27) + IF(ABS(IF(ISNUMBER(SEARCH("Var", D670)), 1, IF(ISNUMBER(SEARCH("Gri", D670)), -1, 0)))=1, VERI_TABANI!E27*(1-0.928)*0.00206091519919798*VERI_TABANI!G27, 0)) + ((MIN(VERI_TABANI!D28, VERI_TABANI!D28*B670)*VERI_TABANI!$B$7 + MAX(0, VERI_TABANI!D28*B670-VERI_TABANI!D28)*VERI_TABANI!$B$8) + (MIN(MAX(0, VERI_TABANI!D28-VERI_TABANI!D28*B670), VERI_TABANI!D28*C670)*VERI_TABANI!$B$7 + MAX(0, VERI_TABANI!D28*C670-MAX(0, VERI_TABANI!D28-VERI_TABANI!D28*B670))*VERI_TABANI!$B$8) + IF(ABS(IF(ISNUMBER(SEARCH("Var", D670)), 1, IF(ISNUMBER(SEARCH("Gri", D670)), -1, 0)))=1, VERI_TABANI!E28*(1-0.928)*VERI_TABANI!$B$9, 0) + (VERI_TABANI!D28*B670*(VERI_TABANI!$B$13-VERI_TABANI!$B$14)*VERI_TABANI!G28) + (VERI_TABANI!D28*C670*(VERI_TABANI!$B$13-VERI_TABANI!$B$15)*VERI_TABANI!G28) + IF(ABS(IF(ISNUMBER(SEARCH("Var", D670)), 1, IF(ISNUMBER(SEARCH("Gri", D670)), -1, 0)))=1, VERI_TABANI!E28*(1-0.928)*0.00206091519919798*VERI_TABANI!G28, 0)))</f>
        <v/>
      </c>
      <c r="H670" s="169">
        <f>(((VERI_TABANI!D23*B670*(VERI_TABANI!$B$13-VERI_TABANI!$B$14)) + (VERI_TABANI!D23*C670*(VERI_TABANI!$B$13-VERI_TABANI!$B$15)) + IF(ISNUMBER(SEARCH("Var", D670)), VERI_TABANI!F23*(0.00202-VERI_TABANI!$B$16), IF(ISNUMBER(SEARCH("Gri", D670)), VERI_TABANI!F23*(0.00202-VERI_TABANI!$B$17), 0))) + ((VERI_TABANI!D24*B670*(VERI_TABANI!$B$13-VERI_TABANI!$B$14)) + (VERI_TABANI!D24*C670*(VERI_TABANI!$B$13-VERI_TABANI!$B$15)) + IF(ISNUMBER(SEARCH("Var", D670)), VERI_TABANI!F24*(0.00202-VERI_TABANI!$B$16), IF(ISNUMBER(SEARCH("Gri", D670)), VERI_TABANI!F24*(0.00202-VERI_TABANI!$B$17), 0))) + ((VERI_TABANI!D25*B670*(VERI_TABANI!$B$13-VERI_TABANI!$B$14)) + (VERI_TABANI!D25*C670*(VERI_TABANI!$B$13-VERI_TABANI!$B$15)) + IF(ISNUMBER(SEARCH("Var", D670)), VERI_TABANI!F25*(0.00202-VERI_TABANI!$B$16), IF(ISNUMBER(SEARCH("Gri", D670)), VERI_TABANI!F25*(0.00202-VERI_TABANI!$B$17), 0))) + ((VERI_TABANI!D26*B670*(VERI_TABANI!$B$13-VERI_TABANI!$B$14)) + (VERI_TABANI!D26*C670*(VERI_TABANI!$B$13-VERI_TABANI!$B$15)) + IF(ISNUMBER(SEARCH("Var", D670)), VERI_TABANI!F26*(0.00202-VERI_TABANI!$B$16), IF(ISNUMBER(SEARCH("Gri", D670)), VERI_TABANI!F26*(0.00202-VERI_TABANI!$B$17), 0))) + ((VERI_TABANI!D27*B670*(VERI_TABANI!$B$13-VERI_TABANI!$B$14)) + (VERI_TABANI!D27*C670*(VERI_TABANI!$B$13-VERI_TABANI!$B$15)) + IF(ISNUMBER(SEARCH("Var", D670)), VERI_TABANI!F27*(0.00202-VERI_TABANI!$B$16), IF(ISNUMBER(SEARCH("Gri", D670)), VERI_TABANI!F27*(0.00202-VERI_TABANI!$B$17), 0))) + ((VERI_TABANI!D28*B670*(VERI_TABANI!$B$13-VERI_TABANI!$B$14)) + (VERI_TABANI!D28*C670*(VERI_TABANI!$B$13-VERI_TABANI!$B$15)) + IF(ISNUMBER(SEARCH("Var", D670)), VERI_TABANI!F28*(0.00202-VERI_TABANI!$B$16), IF(ISNUMBER(SEARCH("Gri", D670)), VERI_TABANI!F28*(0.00202-VERI_TABANI!$B$17), 0))))</f>
        <v/>
      </c>
      <c r="I670" s="170">
        <f>IFERROR(((VERI_TABANI!$D$29*B670*VERI_TABANI!$B$14 + VERI_TABANI!$D$29*C670*VERI_TABANI!$B$15 + IF(ISNUMBER(SEARCH("Var", D670)), VERI_TABANI!$F$29*VERI_TABANI!$B$16, 0))) / (((VERI_TABANI!$D$29*B670 + VERI_TABANI!$D$29*C670)*VERI_TABANI!$B$13 + IF(ISNUMBER(SEARCH("Var", D670)), VERI_TABANI!$E$29*(1-0.928)*VERI_TABANI!$B$18, 0))), 0)</f>
        <v/>
      </c>
      <c r="J670" s="171">
        <f>IFERROR(F670/(G670/29), 0)</f>
        <v/>
      </c>
      <c r="K670" s="172">
        <f>IF(F670&gt;0, H670/F670, 0)</f>
        <v/>
      </c>
      <c r="L670" s="170">
        <f>IF(F670&gt;0, I670, 1000000000)</f>
        <v/>
      </c>
      <c r="M670" s="171">
        <f>ABS((B670+C670)-1)</f>
        <v/>
      </c>
      <c r="N670" s="170">
        <f>IF(F670&gt;0, (G670/29)/F670, 0)</f>
        <v/>
      </c>
      <c r="O670" s="168">
        <f>IF(AND((B670+C670)&gt;=1, ISNUMBER(SEARCH("Var", D670))), F670, 1000000000)</f>
        <v/>
      </c>
      <c r="P670" s="172">
        <f>IF(F670&gt;0, SQRT((F670/MAX(F$5:F$886))^2 + (1 - H670/MAX(H$5:H$886))^2 + (J670/MAX(J$5:J$886))^2), 1000000000)</f>
        <v/>
      </c>
      <c r="Q670" s="166">
        <f>IF(AND(ABS(B670-0.5)&lt;0.01, ABS(C670-0.5)&lt;0.01, ISNUMBER(SEARCH("Var", D670))), 1, 0)</f>
        <v/>
      </c>
      <c r="R670" s="171">
        <f>IF(F670&gt;0, J670, 1000000000)</f>
        <v/>
      </c>
      <c r="S670" s="101">
        <f>IF(AND(F670&lt;=DASHBOARD!$B$11, H670&gt;=DASHBOARD!$B$13), G670, -1000000000000)</f>
        <v/>
      </c>
      <c r="T670" s="101">
        <f>IF(AND(F670&lt;=DASHBOARD!$B$11, H670&gt;=DASHBOARD!$B$13), R670, 1000000000000)</f>
        <v/>
      </c>
      <c r="U670" s="101">
        <f>IF(AND(F670&lt;=DASHBOARD!$B$11, H670&gt;=DASHBOARD!$B$13), N670, -1000000000000)</f>
        <v/>
      </c>
      <c r="V670" s="101">
        <f>IF(AND(F670&lt;=DASHBOARD!$B$11, H670&gt;=DASHBOARD!$B$13), H670, -1000000000000)</f>
        <v/>
      </c>
      <c r="W670" s="101">
        <f>IF(AND(F670&lt;=DASHBOARD!$B$11, H670&gt;=DASHBOARD!$B$13), K670, -1000000000000)</f>
        <v/>
      </c>
      <c r="X670" s="101">
        <f>IF(AND(F670&lt;=DASHBOARD!$B$11, H670&gt;=DASHBOARD!$B$13), M670, 1000000000000)</f>
        <v/>
      </c>
      <c r="Y670" s="101">
        <f>IF(AND(F670&lt;=DASHBOARD!$B$10, H670&gt;=DASHBOARD!$B$11), L670, 1000000000000)</f>
        <v/>
      </c>
      <c r="Z670" s="101">
        <f>IF(AND(F670&lt;=DASHBOARD!$B$10, H670&gt;=DASHBOARD!$B$11), O670, 1000000000000)</f>
        <v/>
      </c>
      <c r="AA670" s="101">
        <f>IF(AND(F670&lt;=DASHBOARD!$B$10, H670&gt;=DASHBOARD!$B$11), P670, 1000000000000)</f>
        <v/>
      </c>
      <c r="AB670" s="101">
        <f>IF(AND(F670&lt;=DASHBOARD!$B$10, H670&gt;=DASHBOARD!$B$11), Q670, -1000000000000)</f>
        <v/>
      </c>
    </row>
    <row r="671" ht="15" customHeight="1" s="102">
      <c r="A671" s="166" t="n">
        <v>667</v>
      </c>
      <c r="B671" s="167" t="n">
        <v>1.5</v>
      </c>
      <c r="C671" s="167" t="n">
        <v>1.8</v>
      </c>
      <c r="D671" s="110" t="inlineStr">
        <is>
          <t>Yok (%0)</t>
        </is>
      </c>
      <c r="E671" s="110">
        <f>IF((B671+C671)&lt;=1, "Tam Mahsuplaşma (≤%100)", "Kısmi Satış (&gt;%100)")</f>
        <v/>
      </c>
      <c r="F671" s="168">
        <f>((VERI_TABANI!$D$29*B671/VERI_TABANI!$B$29)/VERI_TABANI!$B$3)*VERI_TABANI!$B$5 + ((VERI_TABANI!$D$29*C671/VERI_TABANI!$B$29)/VERI_TABANI!$B$4)*VERI_TABANI!$B$6 + IF(ISNUMBER(SEARCH("Var", D671)), (VERI_TABANI!$F$29/VERI_TABANI!$B$29)*(VERI_TABANI!$B$10+VERI_TABANI!$B$12), 0)</f>
        <v/>
      </c>
      <c r="G671" s="168">
        <f>(((MIN(VERI_TABANI!D23, VERI_TABANI!D23*B671)*VERI_TABANI!$B$7 + MAX(0, VERI_TABANI!D23*B671-VERI_TABANI!D23)*VERI_TABANI!$B$8) + (MIN(MAX(0, VERI_TABANI!D23-VERI_TABANI!D23*B671), VERI_TABANI!D23*C671)*VERI_TABANI!$B$7 + MAX(0, VERI_TABANI!D23*C671-MAX(0, VERI_TABANI!D23-VERI_TABANI!D23*B671))*VERI_TABANI!$B$8) + IF(ABS(IF(ISNUMBER(SEARCH("Var", D671)), 1, IF(ISNUMBER(SEARCH("Gri", D671)), -1, 0)))=1, VERI_TABANI!E23*(1-0.928)*VERI_TABANI!$B$9, 0) + (VERI_TABANI!D23*B671*(VERI_TABANI!$B$13-VERI_TABANI!$B$14)*VERI_TABANI!G23) + (VERI_TABANI!D23*C671*(VERI_TABANI!$B$13-VERI_TABANI!$B$15)*VERI_TABANI!G23) + IF(ABS(IF(ISNUMBER(SEARCH("Var", D671)), 1, IF(ISNUMBER(SEARCH("Gri", D671)), -1, 0)))=1, VERI_TABANI!E23*(1-0.928)*0.00206091519919798*VERI_TABANI!G23, 0)) + ((MIN(VERI_TABANI!D24, VERI_TABANI!D24*B671)*VERI_TABANI!$B$7 + MAX(0, VERI_TABANI!D24*B671-VERI_TABANI!D24)*VERI_TABANI!$B$8) + (MIN(MAX(0, VERI_TABANI!D24-VERI_TABANI!D24*B671), VERI_TABANI!D24*C671)*VERI_TABANI!$B$7 + MAX(0, VERI_TABANI!D24*C671-MAX(0, VERI_TABANI!D24-VERI_TABANI!D24*B671))*VERI_TABANI!$B$8) + IF(ABS(IF(ISNUMBER(SEARCH("Var", D671)), 1, IF(ISNUMBER(SEARCH("Gri", D671)), -1, 0)))=1, VERI_TABANI!E24*(1-0.928)*VERI_TABANI!$B$9, 0) + (VERI_TABANI!D24*B671*(VERI_TABANI!$B$13-VERI_TABANI!$B$14)*VERI_TABANI!G24) + (VERI_TABANI!D24*C671*(VERI_TABANI!$B$13-VERI_TABANI!$B$15)*VERI_TABANI!G24) + IF(ABS(IF(ISNUMBER(SEARCH("Var", D671)), 1, IF(ISNUMBER(SEARCH("Gri", D671)), -1, 0)))=1, VERI_TABANI!E24*(1-0.928)*0.00206091519919798*VERI_TABANI!G24, 0)) + ((MIN(VERI_TABANI!D25, VERI_TABANI!D25*B671)*VERI_TABANI!$B$7 + MAX(0, VERI_TABANI!D25*B671-VERI_TABANI!D25)*VERI_TABANI!$B$8) + (MIN(MAX(0, VERI_TABANI!D25-VERI_TABANI!D25*B671), VERI_TABANI!D25*C671)*VERI_TABANI!$B$7 + MAX(0, VERI_TABANI!D25*C671-MAX(0, VERI_TABANI!D25-VERI_TABANI!D25*B671))*VERI_TABANI!$B$8) + IF(ABS(IF(ISNUMBER(SEARCH("Var", D671)), 1, IF(ISNUMBER(SEARCH("Gri", D671)), -1, 0)))=1, VERI_TABANI!E25*(1-0.928)*VERI_TABANI!$B$9, 0) + (VERI_TABANI!D25*B671*(VERI_TABANI!$B$13-VERI_TABANI!$B$14)*VERI_TABANI!G25) + (VERI_TABANI!D25*C671*(VERI_TABANI!$B$13-VERI_TABANI!$B$15)*VERI_TABANI!G25) + IF(ABS(IF(ISNUMBER(SEARCH("Var", D671)), 1, IF(ISNUMBER(SEARCH("Gri", D671)), -1, 0)))=1, VERI_TABANI!E25*(1-0.928)*0.00206091519919798*VERI_TABANI!G25, 0)) + ((MIN(VERI_TABANI!D26, VERI_TABANI!D26*B671)*VERI_TABANI!$B$7 + MAX(0, VERI_TABANI!D26*B671-VERI_TABANI!D26)*VERI_TABANI!$B$8) + (MIN(MAX(0, VERI_TABANI!D26-VERI_TABANI!D26*B671), VERI_TABANI!D26*C671)*VERI_TABANI!$B$7 + MAX(0, VERI_TABANI!D26*C671-MAX(0, VERI_TABANI!D26-VERI_TABANI!D26*B671))*VERI_TABANI!$B$8) + IF(ABS(IF(ISNUMBER(SEARCH("Var", D671)), 1, IF(ISNUMBER(SEARCH("Gri", D671)), -1, 0)))=1, VERI_TABANI!E26*(1-0.928)*VERI_TABANI!$B$9, 0) + (VERI_TABANI!D26*B671*(VERI_TABANI!$B$13-VERI_TABANI!$B$14)*VERI_TABANI!G26) + (VERI_TABANI!D26*C671*(VERI_TABANI!$B$13-VERI_TABANI!$B$15)*VERI_TABANI!G26) + IF(ABS(IF(ISNUMBER(SEARCH("Var", D671)), 1, IF(ISNUMBER(SEARCH("Gri", D671)), -1, 0)))=1, VERI_TABANI!E26*(1-0.928)*0.00206091519919798*VERI_TABANI!G26, 0)) + ((MIN(VERI_TABANI!D27, VERI_TABANI!D27*B671)*VERI_TABANI!$B$7 + MAX(0, VERI_TABANI!D27*B671-VERI_TABANI!D27)*VERI_TABANI!$B$8) + (MIN(MAX(0, VERI_TABANI!D27-VERI_TABANI!D27*B671), VERI_TABANI!D27*C671)*VERI_TABANI!$B$7 + MAX(0, VERI_TABANI!D27*C671-MAX(0, VERI_TABANI!D27-VERI_TABANI!D27*B671))*VERI_TABANI!$B$8) + IF(ABS(IF(ISNUMBER(SEARCH("Var", D671)), 1, IF(ISNUMBER(SEARCH("Gri", D671)), -1, 0)))=1, VERI_TABANI!E27*(1-0.928)*VERI_TABANI!$B$9, 0) + (VERI_TABANI!D27*B671*(VERI_TABANI!$B$13-VERI_TABANI!$B$14)*VERI_TABANI!G27) + (VERI_TABANI!D27*C671*(VERI_TABANI!$B$13-VERI_TABANI!$B$15)*VERI_TABANI!G27) + IF(ABS(IF(ISNUMBER(SEARCH("Var", D671)), 1, IF(ISNUMBER(SEARCH("Gri", D671)), -1, 0)))=1, VERI_TABANI!E27*(1-0.928)*0.00206091519919798*VERI_TABANI!G27, 0)) + ((MIN(VERI_TABANI!D28, VERI_TABANI!D28*B671)*VERI_TABANI!$B$7 + MAX(0, VERI_TABANI!D28*B671-VERI_TABANI!D28)*VERI_TABANI!$B$8) + (MIN(MAX(0, VERI_TABANI!D28-VERI_TABANI!D28*B671), VERI_TABANI!D28*C671)*VERI_TABANI!$B$7 + MAX(0, VERI_TABANI!D28*C671-MAX(0, VERI_TABANI!D28-VERI_TABANI!D28*B671))*VERI_TABANI!$B$8) + IF(ABS(IF(ISNUMBER(SEARCH("Var", D671)), 1, IF(ISNUMBER(SEARCH("Gri", D671)), -1, 0)))=1, VERI_TABANI!E28*(1-0.928)*VERI_TABANI!$B$9, 0) + (VERI_TABANI!D28*B671*(VERI_TABANI!$B$13-VERI_TABANI!$B$14)*VERI_TABANI!G28) + (VERI_TABANI!D28*C671*(VERI_TABANI!$B$13-VERI_TABANI!$B$15)*VERI_TABANI!G28) + IF(ABS(IF(ISNUMBER(SEARCH("Var", D671)), 1, IF(ISNUMBER(SEARCH("Gri", D671)), -1, 0)))=1, VERI_TABANI!E28*(1-0.928)*0.00206091519919798*VERI_TABANI!G28, 0)))</f>
        <v/>
      </c>
      <c r="H671" s="169">
        <f>(((VERI_TABANI!D23*B671*(VERI_TABANI!$B$13-VERI_TABANI!$B$14)) + (VERI_TABANI!D23*C671*(VERI_TABANI!$B$13-VERI_TABANI!$B$15)) + IF(ISNUMBER(SEARCH("Var", D671)), VERI_TABANI!F23*(0.00202-VERI_TABANI!$B$16), IF(ISNUMBER(SEARCH("Gri", D671)), VERI_TABANI!F23*(0.00202-VERI_TABANI!$B$17), 0))) + ((VERI_TABANI!D24*B671*(VERI_TABANI!$B$13-VERI_TABANI!$B$14)) + (VERI_TABANI!D24*C671*(VERI_TABANI!$B$13-VERI_TABANI!$B$15)) + IF(ISNUMBER(SEARCH("Var", D671)), VERI_TABANI!F24*(0.00202-VERI_TABANI!$B$16), IF(ISNUMBER(SEARCH("Gri", D671)), VERI_TABANI!F24*(0.00202-VERI_TABANI!$B$17), 0))) + ((VERI_TABANI!D25*B671*(VERI_TABANI!$B$13-VERI_TABANI!$B$14)) + (VERI_TABANI!D25*C671*(VERI_TABANI!$B$13-VERI_TABANI!$B$15)) + IF(ISNUMBER(SEARCH("Var", D671)), VERI_TABANI!F25*(0.00202-VERI_TABANI!$B$16), IF(ISNUMBER(SEARCH("Gri", D671)), VERI_TABANI!F25*(0.00202-VERI_TABANI!$B$17), 0))) + ((VERI_TABANI!D26*B671*(VERI_TABANI!$B$13-VERI_TABANI!$B$14)) + (VERI_TABANI!D26*C671*(VERI_TABANI!$B$13-VERI_TABANI!$B$15)) + IF(ISNUMBER(SEARCH("Var", D671)), VERI_TABANI!F26*(0.00202-VERI_TABANI!$B$16), IF(ISNUMBER(SEARCH("Gri", D671)), VERI_TABANI!F26*(0.00202-VERI_TABANI!$B$17), 0))) + ((VERI_TABANI!D27*B671*(VERI_TABANI!$B$13-VERI_TABANI!$B$14)) + (VERI_TABANI!D27*C671*(VERI_TABANI!$B$13-VERI_TABANI!$B$15)) + IF(ISNUMBER(SEARCH("Var", D671)), VERI_TABANI!F27*(0.00202-VERI_TABANI!$B$16), IF(ISNUMBER(SEARCH("Gri", D671)), VERI_TABANI!F27*(0.00202-VERI_TABANI!$B$17), 0))) + ((VERI_TABANI!D28*B671*(VERI_TABANI!$B$13-VERI_TABANI!$B$14)) + (VERI_TABANI!D28*C671*(VERI_TABANI!$B$13-VERI_TABANI!$B$15)) + IF(ISNUMBER(SEARCH("Var", D671)), VERI_TABANI!F28*(0.00202-VERI_TABANI!$B$16), IF(ISNUMBER(SEARCH("Gri", D671)), VERI_TABANI!F28*(0.00202-VERI_TABANI!$B$17), 0))))</f>
        <v/>
      </c>
      <c r="I671" s="170">
        <f>IFERROR(((VERI_TABANI!$D$29*B671*VERI_TABANI!$B$14 + VERI_TABANI!$D$29*C671*VERI_TABANI!$B$15 + IF(ISNUMBER(SEARCH("Var", D671)), VERI_TABANI!$F$29*VERI_TABANI!$B$16, 0))) / (((VERI_TABANI!$D$29*B671 + VERI_TABANI!$D$29*C671)*VERI_TABANI!$B$13 + IF(ISNUMBER(SEARCH("Var", D671)), VERI_TABANI!$E$29*(1-0.928)*VERI_TABANI!$B$18, 0))), 0)</f>
        <v/>
      </c>
      <c r="J671" s="171">
        <f>IFERROR(F671/(G671/29), 0)</f>
        <v/>
      </c>
      <c r="K671" s="172">
        <f>IF(F671&gt;0, H671/F671, 0)</f>
        <v/>
      </c>
      <c r="L671" s="170">
        <f>IF(F671&gt;0, I671, 1000000000)</f>
        <v/>
      </c>
      <c r="M671" s="171">
        <f>ABS((B671+C671)-1)</f>
        <v/>
      </c>
      <c r="N671" s="170">
        <f>IF(F671&gt;0, (G671/29)/F671, 0)</f>
        <v/>
      </c>
      <c r="O671" s="168">
        <f>IF(AND((B671+C671)&gt;=1, ISNUMBER(SEARCH("Var", D671))), F671, 1000000000)</f>
        <v/>
      </c>
      <c r="P671" s="172">
        <f>IF(F671&gt;0, SQRT((F671/MAX(F$5:F$886))^2 + (1 - H671/MAX(H$5:H$886))^2 + (J671/MAX(J$5:J$886))^2), 1000000000)</f>
        <v/>
      </c>
      <c r="Q671" s="166">
        <f>IF(AND(ABS(B671-0.5)&lt;0.01, ABS(C671-0.5)&lt;0.01, ISNUMBER(SEARCH("Var", D671))), 1, 0)</f>
        <v/>
      </c>
      <c r="R671" s="171">
        <f>IF(F671&gt;0, J671, 1000000000)</f>
        <v/>
      </c>
      <c r="S671" s="101">
        <f>IF(AND(F671&lt;=DASHBOARD!$B$11, H671&gt;=DASHBOARD!$B$13), G671, -1000000000000)</f>
        <v/>
      </c>
      <c r="T671" s="101">
        <f>IF(AND(F671&lt;=DASHBOARD!$B$11, H671&gt;=DASHBOARD!$B$13), R671, 1000000000000)</f>
        <v/>
      </c>
      <c r="U671" s="101">
        <f>IF(AND(F671&lt;=DASHBOARD!$B$11, H671&gt;=DASHBOARD!$B$13), N671, -1000000000000)</f>
        <v/>
      </c>
      <c r="V671" s="101">
        <f>IF(AND(F671&lt;=DASHBOARD!$B$11, H671&gt;=DASHBOARD!$B$13), H671, -1000000000000)</f>
        <v/>
      </c>
      <c r="W671" s="101">
        <f>IF(AND(F671&lt;=DASHBOARD!$B$11, H671&gt;=DASHBOARD!$B$13), K671, -1000000000000)</f>
        <v/>
      </c>
      <c r="X671" s="101">
        <f>IF(AND(F671&lt;=DASHBOARD!$B$11, H671&gt;=DASHBOARD!$B$13), M671, 1000000000000)</f>
        <v/>
      </c>
      <c r="Y671" s="101">
        <f>IF(AND(F671&lt;=DASHBOARD!$B$10, H671&gt;=DASHBOARD!$B$11), L671, 1000000000000)</f>
        <v/>
      </c>
      <c r="Z671" s="101">
        <f>IF(AND(F671&lt;=DASHBOARD!$B$10, H671&gt;=DASHBOARD!$B$11), O671, 1000000000000)</f>
        <v/>
      </c>
      <c r="AA671" s="101">
        <f>IF(AND(F671&lt;=DASHBOARD!$B$10, H671&gt;=DASHBOARD!$B$11), P671, 1000000000000)</f>
        <v/>
      </c>
      <c r="AB671" s="101">
        <f>IF(AND(F671&lt;=DASHBOARD!$B$10, H671&gt;=DASHBOARD!$B$11), Q671, -1000000000000)</f>
        <v/>
      </c>
    </row>
    <row r="672" ht="15" customHeight="1" s="102">
      <c r="A672" s="166" t="n">
        <v>668</v>
      </c>
      <c r="B672" s="167" t="n">
        <v>1.5</v>
      </c>
      <c r="C672" s="167" t="n">
        <v>1.8</v>
      </c>
      <c r="D672" s="110" t="inlineStr">
        <is>
          <t>Var (%20)</t>
        </is>
      </c>
      <c r="E672" s="110">
        <f>IF((B672+C672)&lt;=1, "Tam Mahsuplaşma (≤%100)", "Kısmi Satış (&gt;%100)")</f>
        <v/>
      </c>
      <c r="F672" s="168">
        <f>((VERI_TABANI!$D$29*B672/VERI_TABANI!$B$29)/VERI_TABANI!$B$3)*VERI_TABANI!$B$5 + ((VERI_TABANI!$D$29*C672/VERI_TABANI!$B$29)/VERI_TABANI!$B$4)*VERI_TABANI!$B$6 + IF(ISNUMBER(SEARCH("Var", D672)), (VERI_TABANI!$F$29/VERI_TABANI!$B$29)*(VERI_TABANI!$B$10+VERI_TABANI!$B$12), 0)</f>
        <v/>
      </c>
      <c r="G672" s="168">
        <f>(((MIN(VERI_TABANI!D23, VERI_TABANI!D23*B672)*VERI_TABANI!$B$7 + MAX(0, VERI_TABANI!D23*B672-VERI_TABANI!D23)*VERI_TABANI!$B$8) + (MIN(MAX(0, VERI_TABANI!D23-VERI_TABANI!D23*B672), VERI_TABANI!D23*C672)*VERI_TABANI!$B$7 + MAX(0, VERI_TABANI!D23*C672-MAX(0, VERI_TABANI!D23-VERI_TABANI!D23*B672))*VERI_TABANI!$B$8) + IF(ABS(IF(ISNUMBER(SEARCH("Var", D672)), 1, IF(ISNUMBER(SEARCH("Gri", D672)), -1, 0)))=1, VERI_TABANI!E23*(1-0.928)*VERI_TABANI!$B$9, 0) + (VERI_TABANI!D23*B672*(VERI_TABANI!$B$13-VERI_TABANI!$B$14)*VERI_TABANI!G23) + (VERI_TABANI!D23*C672*(VERI_TABANI!$B$13-VERI_TABANI!$B$15)*VERI_TABANI!G23) + IF(ABS(IF(ISNUMBER(SEARCH("Var", D672)), 1, IF(ISNUMBER(SEARCH("Gri", D672)), -1, 0)))=1, VERI_TABANI!E23*(1-0.928)*0.00206091519919798*VERI_TABANI!G23, 0)) + ((MIN(VERI_TABANI!D24, VERI_TABANI!D24*B672)*VERI_TABANI!$B$7 + MAX(0, VERI_TABANI!D24*B672-VERI_TABANI!D24)*VERI_TABANI!$B$8) + (MIN(MAX(0, VERI_TABANI!D24-VERI_TABANI!D24*B672), VERI_TABANI!D24*C672)*VERI_TABANI!$B$7 + MAX(0, VERI_TABANI!D24*C672-MAX(0, VERI_TABANI!D24-VERI_TABANI!D24*B672))*VERI_TABANI!$B$8) + IF(ABS(IF(ISNUMBER(SEARCH("Var", D672)), 1, IF(ISNUMBER(SEARCH("Gri", D672)), -1, 0)))=1, VERI_TABANI!E24*(1-0.928)*VERI_TABANI!$B$9, 0) + (VERI_TABANI!D24*B672*(VERI_TABANI!$B$13-VERI_TABANI!$B$14)*VERI_TABANI!G24) + (VERI_TABANI!D24*C672*(VERI_TABANI!$B$13-VERI_TABANI!$B$15)*VERI_TABANI!G24) + IF(ABS(IF(ISNUMBER(SEARCH("Var", D672)), 1, IF(ISNUMBER(SEARCH("Gri", D672)), -1, 0)))=1, VERI_TABANI!E24*(1-0.928)*0.00206091519919798*VERI_TABANI!G24, 0)) + ((MIN(VERI_TABANI!D25, VERI_TABANI!D25*B672)*VERI_TABANI!$B$7 + MAX(0, VERI_TABANI!D25*B672-VERI_TABANI!D25)*VERI_TABANI!$B$8) + (MIN(MAX(0, VERI_TABANI!D25-VERI_TABANI!D25*B672), VERI_TABANI!D25*C672)*VERI_TABANI!$B$7 + MAX(0, VERI_TABANI!D25*C672-MAX(0, VERI_TABANI!D25-VERI_TABANI!D25*B672))*VERI_TABANI!$B$8) + IF(ABS(IF(ISNUMBER(SEARCH("Var", D672)), 1, IF(ISNUMBER(SEARCH("Gri", D672)), -1, 0)))=1, VERI_TABANI!E25*(1-0.928)*VERI_TABANI!$B$9, 0) + (VERI_TABANI!D25*B672*(VERI_TABANI!$B$13-VERI_TABANI!$B$14)*VERI_TABANI!G25) + (VERI_TABANI!D25*C672*(VERI_TABANI!$B$13-VERI_TABANI!$B$15)*VERI_TABANI!G25) + IF(ABS(IF(ISNUMBER(SEARCH("Var", D672)), 1, IF(ISNUMBER(SEARCH("Gri", D672)), -1, 0)))=1, VERI_TABANI!E25*(1-0.928)*0.00206091519919798*VERI_TABANI!G25, 0)) + ((MIN(VERI_TABANI!D26, VERI_TABANI!D26*B672)*VERI_TABANI!$B$7 + MAX(0, VERI_TABANI!D26*B672-VERI_TABANI!D26)*VERI_TABANI!$B$8) + (MIN(MAX(0, VERI_TABANI!D26-VERI_TABANI!D26*B672), VERI_TABANI!D26*C672)*VERI_TABANI!$B$7 + MAX(0, VERI_TABANI!D26*C672-MAX(0, VERI_TABANI!D26-VERI_TABANI!D26*B672))*VERI_TABANI!$B$8) + IF(ABS(IF(ISNUMBER(SEARCH("Var", D672)), 1, IF(ISNUMBER(SEARCH("Gri", D672)), -1, 0)))=1, VERI_TABANI!E26*(1-0.928)*VERI_TABANI!$B$9, 0) + (VERI_TABANI!D26*B672*(VERI_TABANI!$B$13-VERI_TABANI!$B$14)*VERI_TABANI!G26) + (VERI_TABANI!D26*C672*(VERI_TABANI!$B$13-VERI_TABANI!$B$15)*VERI_TABANI!G26) + IF(ABS(IF(ISNUMBER(SEARCH("Var", D672)), 1, IF(ISNUMBER(SEARCH("Gri", D672)), -1, 0)))=1, VERI_TABANI!E26*(1-0.928)*0.00206091519919798*VERI_TABANI!G26, 0)) + ((MIN(VERI_TABANI!D27, VERI_TABANI!D27*B672)*VERI_TABANI!$B$7 + MAX(0, VERI_TABANI!D27*B672-VERI_TABANI!D27)*VERI_TABANI!$B$8) + (MIN(MAX(0, VERI_TABANI!D27-VERI_TABANI!D27*B672), VERI_TABANI!D27*C672)*VERI_TABANI!$B$7 + MAX(0, VERI_TABANI!D27*C672-MAX(0, VERI_TABANI!D27-VERI_TABANI!D27*B672))*VERI_TABANI!$B$8) + IF(ABS(IF(ISNUMBER(SEARCH("Var", D672)), 1, IF(ISNUMBER(SEARCH("Gri", D672)), -1, 0)))=1, VERI_TABANI!E27*(1-0.928)*VERI_TABANI!$B$9, 0) + (VERI_TABANI!D27*B672*(VERI_TABANI!$B$13-VERI_TABANI!$B$14)*VERI_TABANI!G27) + (VERI_TABANI!D27*C672*(VERI_TABANI!$B$13-VERI_TABANI!$B$15)*VERI_TABANI!G27) + IF(ABS(IF(ISNUMBER(SEARCH("Var", D672)), 1, IF(ISNUMBER(SEARCH("Gri", D672)), -1, 0)))=1, VERI_TABANI!E27*(1-0.928)*0.00206091519919798*VERI_TABANI!G27, 0)) + ((MIN(VERI_TABANI!D28, VERI_TABANI!D28*B672)*VERI_TABANI!$B$7 + MAX(0, VERI_TABANI!D28*B672-VERI_TABANI!D28)*VERI_TABANI!$B$8) + (MIN(MAX(0, VERI_TABANI!D28-VERI_TABANI!D28*B672), VERI_TABANI!D28*C672)*VERI_TABANI!$B$7 + MAX(0, VERI_TABANI!D28*C672-MAX(0, VERI_TABANI!D28-VERI_TABANI!D28*B672))*VERI_TABANI!$B$8) + IF(ABS(IF(ISNUMBER(SEARCH("Var", D672)), 1, IF(ISNUMBER(SEARCH("Gri", D672)), -1, 0)))=1, VERI_TABANI!E28*(1-0.928)*VERI_TABANI!$B$9, 0) + (VERI_TABANI!D28*B672*(VERI_TABANI!$B$13-VERI_TABANI!$B$14)*VERI_TABANI!G28) + (VERI_TABANI!D28*C672*(VERI_TABANI!$B$13-VERI_TABANI!$B$15)*VERI_TABANI!G28) + IF(ABS(IF(ISNUMBER(SEARCH("Var", D672)), 1, IF(ISNUMBER(SEARCH("Gri", D672)), -1, 0)))=1, VERI_TABANI!E28*(1-0.928)*0.00206091519919798*VERI_TABANI!G28, 0)))</f>
        <v/>
      </c>
      <c r="H672" s="169">
        <f>(((VERI_TABANI!D23*B672*(VERI_TABANI!$B$13-VERI_TABANI!$B$14)) + (VERI_TABANI!D23*C672*(VERI_TABANI!$B$13-VERI_TABANI!$B$15)) + IF(ISNUMBER(SEARCH("Var", D672)), VERI_TABANI!F23*(0.00202-VERI_TABANI!$B$16), IF(ISNUMBER(SEARCH("Gri", D672)), VERI_TABANI!F23*(0.00202-VERI_TABANI!$B$17), 0))) + ((VERI_TABANI!D24*B672*(VERI_TABANI!$B$13-VERI_TABANI!$B$14)) + (VERI_TABANI!D24*C672*(VERI_TABANI!$B$13-VERI_TABANI!$B$15)) + IF(ISNUMBER(SEARCH("Var", D672)), VERI_TABANI!F24*(0.00202-VERI_TABANI!$B$16), IF(ISNUMBER(SEARCH("Gri", D672)), VERI_TABANI!F24*(0.00202-VERI_TABANI!$B$17), 0))) + ((VERI_TABANI!D25*B672*(VERI_TABANI!$B$13-VERI_TABANI!$B$14)) + (VERI_TABANI!D25*C672*(VERI_TABANI!$B$13-VERI_TABANI!$B$15)) + IF(ISNUMBER(SEARCH("Var", D672)), VERI_TABANI!F25*(0.00202-VERI_TABANI!$B$16), IF(ISNUMBER(SEARCH("Gri", D672)), VERI_TABANI!F25*(0.00202-VERI_TABANI!$B$17), 0))) + ((VERI_TABANI!D26*B672*(VERI_TABANI!$B$13-VERI_TABANI!$B$14)) + (VERI_TABANI!D26*C672*(VERI_TABANI!$B$13-VERI_TABANI!$B$15)) + IF(ISNUMBER(SEARCH("Var", D672)), VERI_TABANI!F26*(0.00202-VERI_TABANI!$B$16), IF(ISNUMBER(SEARCH("Gri", D672)), VERI_TABANI!F26*(0.00202-VERI_TABANI!$B$17), 0))) + ((VERI_TABANI!D27*B672*(VERI_TABANI!$B$13-VERI_TABANI!$B$14)) + (VERI_TABANI!D27*C672*(VERI_TABANI!$B$13-VERI_TABANI!$B$15)) + IF(ISNUMBER(SEARCH("Var", D672)), VERI_TABANI!F27*(0.00202-VERI_TABANI!$B$16), IF(ISNUMBER(SEARCH("Gri", D672)), VERI_TABANI!F27*(0.00202-VERI_TABANI!$B$17), 0))) + ((VERI_TABANI!D28*B672*(VERI_TABANI!$B$13-VERI_TABANI!$B$14)) + (VERI_TABANI!D28*C672*(VERI_TABANI!$B$13-VERI_TABANI!$B$15)) + IF(ISNUMBER(SEARCH("Var", D672)), VERI_TABANI!F28*(0.00202-VERI_TABANI!$B$16), IF(ISNUMBER(SEARCH("Gri", D672)), VERI_TABANI!F28*(0.00202-VERI_TABANI!$B$17), 0))))</f>
        <v/>
      </c>
      <c r="I672" s="170">
        <f>IFERROR(((VERI_TABANI!$D$29*B672*VERI_TABANI!$B$14 + VERI_TABANI!$D$29*C672*VERI_TABANI!$B$15 + IF(ISNUMBER(SEARCH("Var", D672)), VERI_TABANI!$F$29*VERI_TABANI!$B$16, 0))) / (((VERI_TABANI!$D$29*B672 + VERI_TABANI!$D$29*C672)*VERI_TABANI!$B$13 + IF(ISNUMBER(SEARCH("Var", D672)), VERI_TABANI!$E$29*(1-0.928)*VERI_TABANI!$B$18, 0))), 0)</f>
        <v/>
      </c>
      <c r="J672" s="171">
        <f>IFERROR(F672/(G672/29), 0)</f>
        <v/>
      </c>
      <c r="K672" s="172">
        <f>IF(F672&gt;0, H672/F672, 0)</f>
        <v/>
      </c>
      <c r="L672" s="170">
        <f>IF(F672&gt;0, I672, 1000000000)</f>
        <v/>
      </c>
      <c r="M672" s="171">
        <f>ABS((B672+C672)-1)</f>
        <v/>
      </c>
      <c r="N672" s="170">
        <f>IF(F672&gt;0, (G672/29)/F672, 0)</f>
        <v/>
      </c>
      <c r="O672" s="168">
        <f>IF(AND((B672+C672)&gt;=1, ISNUMBER(SEARCH("Var", D672))), F672, 1000000000)</f>
        <v/>
      </c>
      <c r="P672" s="172">
        <f>IF(F672&gt;0, SQRT((F672/MAX(F$5:F$886))^2 + (1 - H672/MAX(H$5:H$886))^2 + (J672/MAX(J$5:J$886))^2), 1000000000)</f>
        <v/>
      </c>
      <c r="Q672" s="166">
        <f>IF(AND(ABS(B672-0.5)&lt;0.01, ABS(C672-0.5)&lt;0.01, ISNUMBER(SEARCH("Var", D672))), 1, 0)</f>
        <v/>
      </c>
      <c r="R672" s="171">
        <f>IF(F672&gt;0, J672, 1000000000)</f>
        <v/>
      </c>
      <c r="S672" s="101">
        <f>IF(AND(F672&lt;=DASHBOARD!$B$11, H672&gt;=DASHBOARD!$B$13), G672, -1000000000000)</f>
        <v/>
      </c>
      <c r="T672" s="101">
        <f>IF(AND(F672&lt;=DASHBOARD!$B$11, H672&gt;=DASHBOARD!$B$13), R672, 1000000000000)</f>
        <v/>
      </c>
      <c r="U672" s="101">
        <f>IF(AND(F672&lt;=DASHBOARD!$B$11, H672&gt;=DASHBOARD!$B$13), N672, -1000000000000)</f>
        <v/>
      </c>
      <c r="V672" s="101">
        <f>IF(AND(F672&lt;=DASHBOARD!$B$11, H672&gt;=DASHBOARD!$B$13), H672, -1000000000000)</f>
        <v/>
      </c>
      <c r="W672" s="101">
        <f>IF(AND(F672&lt;=DASHBOARD!$B$11, H672&gt;=DASHBOARD!$B$13), K672, -1000000000000)</f>
        <v/>
      </c>
      <c r="X672" s="101">
        <f>IF(AND(F672&lt;=DASHBOARD!$B$11, H672&gt;=DASHBOARD!$B$13), M672, 1000000000000)</f>
        <v/>
      </c>
      <c r="Y672" s="101">
        <f>IF(AND(F672&lt;=DASHBOARD!$B$10, H672&gt;=DASHBOARD!$B$11), L672, 1000000000000)</f>
        <v/>
      </c>
      <c r="Z672" s="101">
        <f>IF(AND(F672&lt;=DASHBOARD!$B$10, H672&gt;=DASHBOARD!$B$11), O672, 1000000000000)</f>
        <v/>
      </c>
      <c r="AA672" s="101">
        <f>IF(AND(F672&lt;=DASHBOARD!$B$10, H672&gt;=DASHBOARD!$B$11), P672, 1000000000000)</f>
        <v/>
      </c>
      <c r="AB672" s="101">
        <f>IF(AND(F672&lt;=DASHBOARD!$B$10, H672&gt;=DASHBOARD!$B$11), Q672, -1000000000000)</f>
        <v/>
      </c>
    </row>
    <row r="673" ht="15" customHeight="1" s="102">
      <c r="A673" s="166" t="n">
        <v>669</v>
      </c>
      <c r="B673" s="167" t="n">
        <v>1.5</v>
      </c>
      <c r="C673" s="167" t="n">
        <v>1.9</v>
      </c>
      <c r="D673" s="110" t="inlineStr">
        <is>
          <t>Yok (%0)</t>
        </is>
      </c>
      <c r="E673" s="110">
        <f>IF((B673+C673)&lt;=1, "Tam Mahsuplaşma (≤%100)", "Kısmi Satış (&gt;%100)")</f>
        <v/>
      </c>
      <c r="F673" s="168">
        <f>((VERI_TABANI!$D$29*B673/VERI_TABANI!$B$29)/VERI_TABANI!$B$3)*VERI_TABANI!$B$5 + ((VERI_TABANI!$D$29*C673/VERI_TABANI!$B$29)/VERI_TABANI!$B$4)*VERI_TABANI!$B$6 + IF(ISNUMBER(SEARCH("Var", D673)), (VERI_TABANI!$F$29/VERI_TABANI!$B$29)*(VERI_TABANI!$B$10+VERI_TABANI!$B$12), 0)</f>
        <v/>
      </c>
      <c r="G673" s="168">
        <f>(((MIN(VERI_TABANI!D23, VERI_TABANI!D23*B673)*VERI_TABANI!$B$7 + MAX(0, VERI_TABANI!D23*B673-VERI_TABANI!D23)*VERI_TABANI!$B$8) + (MIN(MAX(0, VERI_TABANI!D23-VERI_TABANI!D23*B673), VERI_TABANI!D23*C673)*VERI_TABANI!$B$7 + MAX(0, VERI_TABANI!D23*C673-MAX(0, VERI_TABANI!D23-VERI_TABANI!D23*B673))*VERI_TABANI!$B$8) + IF(ABS(IF(ISNUMBER(SEARCH("Var", D673)), 1, IF(ISNUMBER(SEARCH("Gri", D673)), -1, 0)))=1, VERI_TABANI!E23*(1-0.928)*VERI_TABANI!$B$9, 0) + (VERI_TABANI!D23*B673*(VERI_TABANI!$B$13-VERI_TABANI!$B$14)*VERI_TABANI!G23) + (VERI_TABANI!D23*C673*(VERI_TABANI!$B$13-VERI_TABANI!$B$15)*VERI_TABANI!G23) + IF(ABS(IF(ISNUMBER(SEARCH("Var", D673)), 1, IF(ISNUMBER(SEARCH("Gri", D673)), -1, 0)))=1, VERI_TABANI!E23*(1-0.928)*0.00206091519919798*VERI_TABANI!G23, 0)) + ((MIN(VERI_TABANI!D24, VERI_TABANI!D24*B673)*VERI_TABANI!$B$7 + MAX(0, VERI_TABANI!D24*B673-VERI_TABANI!D24)*VERI_TABANI!$B$8) + (MIN(MAX(0, VERI_TABANI!D24-VERI_TABANI!D24*B673), VERI_TABANI!D24*C673)*VERI_TABANI!$B$7 + MAX(0, VERI_TABANI!D24*C673-MAX(0, VERI_TABANI!D24-VERI_TABANI!D24*B673))*VERI_TABANI!$B$8) + IF(ABS(IF(ISNUMBER(SEARCH("Var", D673)), 1, IF(ISNUMBER(SEARCH("Gri", D673)), -1, 0)))=1, VERI_TABANI!E24*(1-0.928)*VERI_TABANI!$B$9, 0) + (VERI_TABANI!D24*B673*(VERI_TABANI!$B$13-VERI_TABANI!$B$14)*VERI_TABANI!G24) + (VERI_TABANI!D24*C673*(VERI_TABANI!$B$13-VERI_TABANI!$B$15)*VERI_TABANI!G24) + IF(ABS(IF(ISNUMBER(SEARCH("Var", D673)), 1, IF(ISNUMBER(SEARCH("Gri", D673)), -1, 0)))=1, VERI_TABANI!E24*(1-0.928)*0.00206091519919798*VERI_TABANI!G24, 0)) + ((MIN(VERI_TABANI!D25, VERI_TABANI!D25*B673)*VERI_TABANI!$B$7 + MAX(0, VERI_TABANI!D25*B673-VERI_TABANI!D25)*VERI_TABANI!$B$8) + (MIN(MAX(0, VERI_TABANI!D25-VERI_TABANI!D25*B673), VERI_TABANI!D25*C673)*VERI_TABANI!$B$7 + MAX(0, VERI_TABANI!D25*C673-MAX(0, VERI_TABANI!D25-VERI_TABANI!D25*B673))*VERI_TABANI!$B$8) + IF(ABS(IF(ISNUMBER(SEARCH("Var", D673)), 1, IF(ISNUMBER(SEARCH("Gri", D673)), -1, 0)))=1, VERI_TABANI!E25*(1-0.928)*VERI_TABANI!$B$9, 0) + (VERI_TABANI!D25*B673*(VERI_TABANI!$B$13-VERI_TABANI!$B$14)*VERI_TABANI!G25) + (VERI_TABANI!D25*C673*(VERI_TABANI!$B$13-VERI_TABANI!$B$15)*VERI_TABANI!G25) + IF(ABS(IF(ISNUMBER(SEARCH("Var", D673)), 1, IF(ISNUMBER(SEARCH("Gri", D673)), -1, 0)))=1, VERI_TABANI!E25*(1-0.928)*0.00206091519919798*VERI_TABANI!G25, 0)) + ((MIN(VERI_TABANI!D26, VERI_TABANI!D26*B673)*VERI_TABANI!$B$7 + MAX(0, VERI_TABANI!D26*B673-VERI_TABANI!D26)*VERI_TABANI!$B$8) + (MIN(MAX(0, VERI_TABANI!D26-VERI_TABANI!D26*B673), VERI_TABANI!D26*C673)*VERI_TABANI!$B$7 + MAX(0, VERI_TABANI!D26*C673-MAX(0, VERI_TABANI!D26-VERI_TABANI!D26*B673))*VERI_TABANI!$B$8) + IF(ABS(IF(ISNUMBER(SEARCH("Var", D673)), 1, IF(ISNUMBER(SEARCH("Gri", D673)), -1, 0)))=1, VERI_TABANI!E26*(1-0.928)*VERI_TABANI!$B$9, 0) + (VERI_TABANI!D26*B673*(VERI_TABANI!$B$13-VERI_TABANI!$B$14)*VERI_TABANI!G26) + (VERI_TABANI!D26*C673*(VERI_TABANI!$B$13-VERI_TABANI!$B$15)*VERI_TABANI!G26) + IF(ABS(IF(ISNUMBER(SEARCH("Var", D673)), 1, IF(ISNUMBER(SEARCH("Gri", D673)), -1, 0)))=1, VERI_TABANI!E26*(1-0.928)*0.00206091519919798*VERI_TABANI!G26, 0)) + ((MIN(VERI_TABANI!D27, VERI_TABANI!D27*B673)*VERI_TABANI!$B$7 + MAX(0, VERI_TABANI!D27*B673-VERI_TABANI!D27)*VERI_TABANI!$B$8) + (MIN(MAX(0, VERI_TABANI!D27-VERI_TABANI!D27*B673), VERI_TABANI!D27*C673)*VERI_TABANI!$B$7 + MAX(0, VERI_TABANI!D27*C673-MAX(0, VERI_TABANI!D27-VERI_TABANI!D27*B673))*VERI_TABANI!$B$8) + IF(ABS(IF(ISNUMBER(SEARCH("Var", D673)), 1, IF(ISNUMBER(SEARCH("Gri", D673)), -1, 0)))=1, VERI_TABANI!E27*(1-0.928)*VERI_TABANI!$B$9, 0) + (VERI_TABANI!D27*B673*(VERI_TABANI!$B$13-VERI_TABANI!$B$14)*VERI_TABANI!G27) + (VERI_TABANI!D27*C673*(VERI_TABANI!$B$13-VERI_TABANI!$B$15)*VERI_TABANI!G27) + IF(ABS(IF(ISNUMBER(SEARCH("Var", D673)), 1, IF(ISNUMBER(SEARCH("Gri", D673)), -1, 0)))=1, VERI_TABANI!E27*(1-0.928)*0.00206091519919798*VERI_TABANI!G27, 0)) + ((MIN(VERI_TABANI!D28, VERI_TABANI!D28*B673)*VERI_TABANI!$B$7 + MAX(0, VERI_TABANI!D28*B673-VERI_TABANI!D28)*VERI_TABANI!$B$8) + (MIN(MAX(0, VERI_TABANI!D28-VERI_TABANI!D28*B673), VERI_TABANI!D28*C673)*VERI_TABANI!$B$7 + MAX(0, VERI_TABANI!D28*C673-MAX(0, VERI_TABANI!D28-VERI_TABANI!D28*B673))*VERI_TABANI!$B$8) + IF(ABS(IF(ISNUMBER(SEARCH("Var", D673)), 1, IF(ISNUMBER(SEARCH("Gri", D673)), -1, 0)))=1, VERI_TABANI!E28*(1-0.928)*VERI_TABANI!$B$9, 0) + (VERI_TABANI!D28*B673*(VERI_TABANI!$B$13-VERI_TABANI!$B$14)*VERI_TABANI!G28) + (VERI_TABANI!D28*C673*(VERI_TABANI!$B$13-VERI_TABANI!$B$15)*VERI_TABANI!G28) + IF(ABS(IF(ISNUMBER(SEARCH("Var", D673)), 1, IF(ISNUMBER(SEARCH("Gri", D673)), -1, 0)))=1, VERI_TABANI!E28*(1-0.928)*0.00206091519919798*VERI_TABANI!G28, 0)))</f>
        <v/>
      </c>
      <c r="H673" s="169">
        <f>(((VERI_TABANI!D23*B673*(VERI_TABANI!$B$13-VERI_TABANI!$B$14)) + (VERI_TABANI!D23*C673*(VERI_TABANI!$B$13-VERI_TABANI!$B$15)) + IF(ISNUMBER(SEARCH("Var", D673)), VERI_TABANI!F23*(0.00202-VERI_TABANI!$B$16), IF(ISNUMBER(SEARCH("Gri", D673)), VERI_TABANI!F23*(0.00202-VERI_TABANI!$B$17), 0))) + ((VERI_TABANI!D24*B673*(VERI_TABANI!$B$13-VERI_TABANI!$B$14)) + (VERI_TABANI!D24*C673*(VERI_TABANI!$B$13-VERI_TABANI!$B$15)) + IF(ISNUMBER(SEARCH("Var", D673)), VERI_TABANI!F24*(0.00202-VERI_TABANI!$B$16), IF(ISNUMBER(SEARCH("Gri", D673)), VERI_TABANI!F24*(0.00202-VERI_TABANI!$B$17), 0))) + ((VERI_TABANI!D25*B673*(VERI_TABANI!$B$13-VERI_TABANI!$B$14)) + (VERI_TABANI!D25*C673*(VERI_TABANI!$B$13-VERI_TABANI!$B$15)) + IF(ISNUMBER(SEARCH("Var", D673)), VERI_TABANI!F25*(0.00202-VERI_TABANI!$B$16), IF(ISNUMBER(SEARCH("Gri", D673)), VERI_TABANI!F25*(0.00202-VERI_TABANI!$B$17), 0))) + ((VERI_TABANI!D26*B673*(VERI_TABANI!$B$13-VERI_TABANI!$B$14)) + (VERI_TABANI!D26*C673*(VERI_TABANI!$B$13-VERI_TABANI!$B$15)) + IF(ISNUMBER(SEARCH("Var", D673)), VERI_TABANI!F26*(0.00202-VERI_TABANI!$B$16), IF(ISNUMBER(SEARCH("Gri", D673)), VERI_TABANI!F26*(0.00202-VERI_TABANI!$B$17), 0))) + ((VERI_TABANI!D27*B673*(VERI_TABANI!$B$13-VERI_TABANI!$B$14)) + (VERI_TABANI!D27*C673*(VERI_TABANI!$B$13-VERI_TABANI!$B$15)) + IF(ISNUMBER(SEARCH("Var", D673)), VERI_TABANI!F27*(0.00202-VERI_TABANI!$B$16), IF(ISNUMBER(SEARCH("Gri", D673)), VERI_TABANI!F27*(0.00202-VERI_TABANI!$B$17), 0))) + ((VERI_TABANI!D28*B673*(VERI_TABANI!$B$13-VERI_TABANI!$B$14)) + (VERI_TABANI!D28*C673*(VERI_TABANI!$B$13-VERI_TABANI!$B$15)) + IF(ISNUMBER(SEARCH("Var", D673)), VERI_TABANI!F28*(0.00202-VERI_TABANI!$B$16), IF(ISNUMBER(SEARCH("Gri", D673)), VERI_TABANI!F28*(0.00202-VERI_TABANI!$B$17), 0))))</f>
        <v/>
      </c>
      <c r="I673" s="170">
        <f>IFERROR(((VERI_TABANI!$D$29*B673*VERI_TABANI!$B$14 + VERI_TABANI!$D$29*C673*VERI_TABANI!$B$15 + IF(ISNUMBER(SEARCH("Var", D673)), VERI_TABANI!$F$29*VERI_TABANI!$B$16, 0))) / (((VERI_TABANI!$D$29*B673 + VERI_TABANI!$D$29*C673)*VERI_TABANI!$B$13 + IF(ISNUMBER(SEARCH("Var", D673)), VERI_TABANI!$E$29*(1-0.928)*VERI_TABANI!$B$18, 0))), 0)</f>
        <v/>
      </c>
      <c r="J673" s="171">
        <f>IFERROR(F673/(G673/29), 0)</f>
        <v/>
      </c>
      <c r="K673" s="172">
        <f>IF(F673&gt;0, H673/F673, 0)</f>
        <v/>
      </c>
      <c r="L673" s="170">
        <f>IF(F673&gt;0, I673, 1000000000)</f>
        <v/>
      </c>
      <c r="M673" s="171">
        <f>ABS((B673+C673)-1)</f>
        <v/>
      </c>
      <c r="N673" s="170">
        <f>IF(F673&gt;0, (G673/29)/F673, 0)</f>
        <v/>
      </c>
      <c r="O673" s="168">
        <f>IF(AND((B673+C673)&gt;=1, ISNUMBER(SEARCH("Var", D673))), F673, 1000000000)</f>
        <v/>
      </c>
      <c r="P673" s="172">
        <f>IF(F673&gt;0, SQRT((F673/MAX(F$5:F$886))^2 + (1 - H673/MAX(H$5:H$886))^2 + (J673/MAX(J$5:J$886))^2), 1000000000)</f>
        <v/>
      </c>
      <c r="Q673" s="166">
        <f>IF(AND(ABS(B673-0.5)&lt;0.01, ABS(C673-0.5)&lt;0.01, ISNUMBER(SEARCH("Var", D673))), 1, 0)</f>
        <v/>
      </c>
      <c r="R673" s="171">
        <f>IF(F673&gt;0, J673, 1000000000)</f>
        <v/>
      </c>
      <c r="S673" s="101">
        <f>IF(AND(F673&lt;=DASHBOARD!$B$11, H673&gt;=DASHBOARD!$B$13), G673, -1000000000000)</f>
        <v/>
      </c>
      <c r="T673" s="101">
        <f>IF(AND(F673&lt;=DASHBOARD!$B$11, H673&gt;=DASHBOARD!$B$13), R673, 1000000000000)</f>
        <v/>
      </c>
      <c r="U673" s="101">
        <f>IF(AND(F673&lt;=DASHBOARD!$B$11, H673&gt;=DASHBOARD!$B$13), N673, -1000000000000)</f>
        <v/>
      </c>
      <c r="V673" s="101">
        <f>IF(AND(F673&lt;=DASHBOARD!$B$11, H673&gt;=DASHBOARD!$B$13), H673, -1000000000000)</f>
        <v/>
      </c>
      <c r="W673" s="101">
        <f>IF(AND(F673&lt;=DASHBOARD!$B$11, H673&gt;=DASHBOARD!$B$13), K673, -1000000000000)</f>
        <v/>
      </c>
      <c r="X673" s="101">
        <f>IF(AND(F673&lt;=DASHBOARD!$B$11, H673&gt;=DASHBOARD!$B$13), M673, 1000000000000)</f>
        <v/>
      </c>
      <c r="Y673" s="101">
        <f>IF(AND(F673&lt;=DASHBOARD!$B$10, H673&gt;=DASHBOARD!$B$11), L673, 1000000000000)</f>
        <v/>
      </c>
      <c r="Z673" s="101">
        <f>IF(AND(F673&lt;=DASHBOARD!$B$10, H673&gt;=DASHBOARD!$B$11), O673, 1000000000000)</f>
        <v/>
      </c>
      <c r="AA673" s="101">
        <f>IF(AND(F673&lt;=DASHBOARD!$B$10, H673&gt;=DASHBOARD!$B$11), P673, 1000000000000)</f>
        <v/>
      </c>
      <c r="AB673" s="101">
        <f>IF(AND(F673&lt;=DASHBOARD!$B$10, H673&gt;=DASHBOARD!$B$11), Q673, -1000000000000)</f>
        <v/>
      </c>
    </row>
    <row r="674" ht="15" customHeight="1" s="102">
      <c r="A674" s="166" t="n">
        <v>670</v>
      </c>
      <c r="B674" s="167" t="n">
        <v>1.5</v>
      </c>
      <c r="C674" s="167" t="n">
        <v>1.9</v>
      </c>
      <c r="D674" s="110" t="inlineStr">
        <is>
          <t>Var (%20)</t>
        </is>
      </c>
      <c r="E674" s="110">
        <f>IF((B674+C674)&lt;=1, "Tam Mahsuplaşma (≤%100)", "Kısmi Satış (&gt;%100)")</f>
        <v/>
      </c>
      <c r="F674" s="168">
        <f>((VERI_TABANI!$D$29*B674/VERI_TABANI!$B$29)/VERI_TABANI!$B$3)*VERI_TABANI!$B$5 + ((VERI_TABANI!$D$29*C674/VERI_TABANI!$B$29)/VERI_TABANI!$B$4)*VERI_TABANI!$B$6 + IF(ISNUMBER(SEARCH("Var", D674)), (VERI_TABANI!$F$29/VERI_TABANI!$B$29)*(VERI_TABANI!$B$10+VERI_TABANI!$B$12), 0)</f>
        <v/>
      </c>
      <c r="G674" s="168">
        <f>(((MIN(VERI_TABANI!D23, VERI_TABANI!D23*B674)*VERI_TABANI!$B$7 + MAX(0, VERI_TABANI!D23*B674-VERI_TABANI!D23)*VERI_TABANI!$B$8) + (MIN(MAX(0, VERI_TABANI!D23-VERI_TABANI!D23*B674), VERI_TABANI!D23*C674)*VERI_TABANI!$B$7 + MAX(0, VERI_TABANI!D23*C674-MAX(0, VERI_TABANI!D23-VERI_TABANI!D23*B674))*VERI_TABANI!$B$8) + IF(ABS(IF(ISNUMBER(SEARCH("Var", D674)), 1, IF(ISNUMBER(SEARCH("Gri", D674)), -1, 0)))=1, VERI_TABANI!E23*(1-0.928)*VERI_TABANI!$B$9, 0) + (VERI_TABANI!D23*B674*(VERI_TABANI!$B$13-VERI_TABANI!$B$14)*VERI_TABANI!G23) + (VERI_TABANI!D23*C674*(VERI_TABANI!$B$13-VERI_TABANI!$B$15)*VERI_TABANI!G23) + IF(ABS(IF(ISNUMBER(SEARCH("Var", D674)), 1, IF(ISNUMBER(SEARCH("Gri", D674)), -1, 0)))=1, VERI_TABANI!E23*(1-0.928)*0.00206091519919798*VERI_TABANI!G23, 0)) + ((MIN(VERI_TABANI!D24, VERI_TABANI!D24*B674)*VERI_TABANI!$B$7 + MAX(0, VERI_TABANI!D24*B674-VERI_TABANI!D24)*VERI_TABANI!$B$8) + (MIN(MAX(0, VERI_TABANI!D24-VERI_TABANI!D24*B674), VERI_TABANI!D24*C674)*VERI_TABANI!$B$7 + MAX(0, VERI_TABANI!D24*C674-MAX(0, VERI_TABANI!D24-VERI_TABANI!D24*B674))*VERI_TABANI!$B$8) + IF(ABS(IF(ISNUMBER(SEARCH("Var", D674)), 1, IF(ISNUMBER(SEARCH("Gri", D674)), -1, 0)))=1, VERI_TABANI!E24*(1-0.928)*VERI_TABANI!$B$9, 0) + (VERI_TABANI!D24*B674*(VERI_TABANI!$B$13-VERI_TABANI!$B$14)*VERI_TABANI!G24) + (VERI_TABANI!D24*C674*(VERI_TABANI!$B$13-VERI_TABANI!$B$15)*VERI_TABANI!G24) + IF(ABS(IF(ISNUMBER(SEARCH("Var", D674)), 1, IF(ISNUMBER(SEARCH("Gri", D674)), -1, 0)))=1, VERI_TABANI!E24*(1-0.928)*0.00206091519919798*VERI_TABANI!G24, 0)) + ((MIN(VERI_TABANI!D25, VERI_TABANI!D25*B674)*VERI_TABANI!$B$7 + MAX(0, VERI_TABANI!D25*B674-VERI_TABANI!D25)*VERI_TABANI!$B$8) + (MIN(MAX(0, VERI_TABANI!D25-VERI_TABANI!D25*B674), VERI_TABANI!D25*C674)*VERI_TABANI!$B$7 + MAX(0, VERI_TABANI!D25*C674-MAX(0, VERI_TABANI!D25-VERI_TABANI!D25*B674))*VERI_TABANI!$B$8) + IF(ABS(IF(ISNUMBER(SEARCH("Var", D674)), 1, IF(ISNUMBER(SEARCH("Gri", D674)), -1, 0)))=1, VERI_TABANI!E25*(1-0.928)*VERI_TABANI!$B$9, 0) + (VERI_TABANI!D25*B674*(VERI_TABANI!$B$13-VERI_TABANI!$B$14)*VERI_TABANI!G25) + (VERI_TABANI!D25*C674*(VERI_TABANI!$B$13-VERI_TABANI!$B$15)*VERI_TABANI!G25) + IF(ABS(IF(ISNUMBER(SEARCH("Var", D674)), 1, IF(ISNUMBER(SEARCH("Gri", D674)), -1, 0)))=1, VERI_TABANI!E25*(1-0.928)*0.00206091519919798*VERI_TABANI!G25, 0)) + ((MIN(VERI_TABANI!D26, VERI_TABANI!D26*B674)*VERI_TABANI!$B$7 + MAX(0, VERI_TABANI!D26*B674-VERI_TABANI!D26)*VERI_TABANI!$B$8) + (MIN(MAX(0, VERI_TABANI!D26-VERI_TABANI!D26*B674), VERI_TABANI!D26*C674)*VERI_TABANI!$B$7 + MAX(0, VERI_TABANI!D26*C674-MAX(0, VERI_TABANI!D26-VERI_TABANI!D26*B674))*VERI_TABANI!$B$8) + IF(ABS(IF(ISNUMBER(SEARCH("Var", D674)), 1, IF(ISNUMBER(SEARCH("Gri", D674)), -1, 0)))=1, VERI_TABANI!E26*(1-0.928)*VERI_TABANI!$B$9, 0) + (VERI_TABANI!D26*B674*(VERI_TABANI!$B$13-VERI_TABANI!$B$14)*VERI_TABANI!G26) + (VERI_TABANI!D26*C674*(VERI_TABANI!$B$13-VERI_TABANI!$B$15)*VERI_TABANI!G26) + IF(ABS(IF(ISNUMBER(SEARCH("Var", D674)), 1, IF(ISNUMBER(SEARCH("Gri", D674)), -1, 0)))=1, VERI_TABANI!E26*(1-0.928)*0.00206091519919798*VERI_TABANI!G26, 0)) + ((MIN(VERI_TABANI!D27, VERI_TABANI!D27*B674)*VERI_TABANI!$B$7 + MAX(0, VERI_TABANI!D27*B674-VERI_TABANI!D27)*VERI_TABANI!$B$8) + (MIN(MAX(0, VERI_TABANI!D27-VERI_TABANI!D27*B674), VERI_TABANI!D27*C674)*VERI_TABANI!$B$7 + MAX(0, VERI_TABANI!D27*C674-MAX(0, VERI_TABANI!D27-VERI_TABANI!D27*B674))*VERI_TABANI!$B$8) + IF(ABS(IF(ISNUMBER(SEARCH("Var", D674)), 1, IF(ISNUMBER(SEARCH("Gri", D674)), -1, 0)))=1, VERI_TABANI!E27*(1-0.928)*VERI_TABANI!$B$9, 0) + (VERI_TABANI!D27*B674*(VERI_TABANI!$B$13-VERI_TABANI!$B$14)*VERI_TABANI!G27) + (VERI_TABANI!D27*C674*(VERI_TABANI!$B$13-VERI_TABANI!$B$15)*VERI_TABANI!G27) + IF(ABS(IF(ISNUMBER(SEARCH("Var", D674)), 1, IF(ISNUMBER(SEARCH("Gri", D674)), -1, 0)))=1, VERI_TABANI!E27*(1-0.928)*0.00206091519919798*VERI_TABANI!G27, 0)) + ((MIN(VERI_TABANI!D28, VERI_TABANI!D28*B674)*VERI_TABANI!$B$7 + MAX(0, VERI_TABANI!D28*B674-VERI_TABANI!D28)*VERI_TABANI!$B$8) + (MIN(MAX(0, VERI_TABANI!D28-VERI_TABANI!D28*B674), VERI_TABANI!D28*C674)*VERI_TABANI!$B$7 + MAX(0, VERI_TABANI!D28*C674-MAX(0, VERI_TABANI!D28-VERI_TABANI!D28*B674))*VERI_TABANI!$B$8) + IF(ABS(IF(ISNUMBER(SEARCH("Var", D674)), 1, IF(ISNUMBER(SEARCH("Gri", D674)), -1, 0)))=1, VERI_TABANI!E28*(1-0.928)*VERI_TABANI!$B$9, 0) + (VERI_TABANI!D28*B674*(VERI_TABANI!$B$13-VERI_TABANI!$B$14)*VERI_TABANI!G28) + (VERI_TABANI!D28*C674*(VERI_TABANI!$B$13-VERI_TABANI!$B$15)*VERI_TABANI!G28) + IF(ABS(IF(ISNUMBER(SEARCH("Var", D674)), 1, IF(ISNUMBER(SEARCH("Gri", D674)), -1, 0)))=1, VERI_TABANI!E28*(1-0.928)*0.00206091519919798*VERI_TABANI!G28, 0)))</f>
        <v/>
      </c>
      <c r="H674" s="169">
        <f>(((VERI_TABANI!D23*B674*(VERI_TABANI!$B$13-VERI_TABANI!$B$14)) + (VERI_TABANI!D23*C674*(VERI_TABANI!$B$13-VERI_TABANI!$B$15)) + IF(ISNUMBER(SEARCH("Var", D674)), VERI_TABANI!F23*(0.00202-VERI_TABANI!$B$16), IF(ISNUMBER(SEARCH("Gri", D674)), VERI_TABANI!F23*(0.00202-VERI_TABANI!$B$17), 0))) + ((VERI_TABANI!D24*B674*(VERI_TABANI!$B$13-VERI_TABANI!$B$14)) + (VERI_TABANI!D24*C674*(VERI_TABANI!$B$13-VERI_TABANI!$B$15)) + IF(ISNUMBER(SEARCH("Var", D674)), VERI_TABANI!F24*(0.00202-VERI_TABANI!$B$16), IF(ISNUMBER(SEARCH("Gri", D674)), VERI_TABANI!F24*(0.00202-VERI_TABANI!$B$17), 0))) + ((VERI_TABANI!D25*B674*(VERI_TABANI!$B$13-VERI_TABANI!$B$14)) + (VERI_TABANI!D25*C674*(VERI_TABANI!$B$13-VERI_TABANI!$B$15)) + IF(ISNUMBER(SEARCH("Var", D674)), VERI_TABANI!F25*(0.00202-VERI_TABANI!$B$16), IF(ISNUMBER(SEARCH("Gri", D674)), VERI_TABANI!F25*(0.00202-VERI_TABANI!$B$17), 0))) + ((VERI_TABANI!D26*B674*(VERI_TABANI!$B$13-VERI_TABANI!$B$14)) + (VERI_TABANI!D26*C674*(VERI_TABANI!$B$13-VERI_TABANI!$B$15)) + IF(ISNUMBER(SEARCH("Var", D674)), VERI_TABANI!F26*(0.00202-VERI_TABANI!$B$16), IF(ISNUMBER(SEARCH("Gri", D674)), VERI_TABANI!F26*(0.00202-VERI_TABANI!$B$17), 0))) + ((VERI_TABANI!D27*B674*(VERI_TABANI!$B$13-VERI_TABANI!$B$14)) + (VERI_TABANI!D27*C674*(VERI_TABANI!$B$13-VERI_TABANI!$B$15)) + IF(ISNUMBER(SEARCH("Var", D674)), VERI_TABANI!F27*(0.00202-VERI_TABANI!$B$16), IF(ISNUMBER(SEARCH("Gri", D674)), VERI_TABANI!F27*(0.00202-VERI_TABANI!$B$17), 0))) + ((VERI_TABANI!D28*B674*(VERI_TABANI!$B$13-VERI_TABANI!$B$14)) + (VERI_TABANI!D28*C674*(VERI_TABANI!$B$13-VERI_TABANI!$B$15)) + IF(ISNUMBER(SEARCH("Var", D674)), VERI_TABANI!F28*(0.00202-VERI_TABANI!$B$16), IF(ISNUMBER(SEARCH("Gri", D674)), VERI_TABANI!F28*(0.00202-VERI_TABANI!$B$17), 0))))</f>
        <v/>
      </c>
      <c r="I674" s="170">
        <f>IFERROR(((VERI_TABANI!$D$29*B674*VERI_TABANI!$B$14 + VERI_TABANI!$D$29*C674*VERI_TABANI!$B$15 + IF(ISNUMBER(SEARCH("Var", D674)), VERI_TABANI!$F$29*VERI_TABANI!$B$16, 0))) / (((VERI_TABANI!$D$29*B674 + VERI_TABANI!$D$29*C674)*VERI_TABANI!$B$13 + IF(ISNUMBER(SEARCH("Var", D674)), VERI_TABANI!$E$29*(1-0.928)*VERI_TABANI!$B$18, 0))), 0)</f>
        <v/>
      </c>
      <c r="J674" s="171">
        <f>IFERROR(F674/(G674/29), 0)</f>
        <v/>
      </c>
      <c r="K674" s="172">
        <f>IF(F674&gt;0, H674/F674, 0)</f>
        <v/>
      </c>
      <c r="L674" s="170">
        <f>IF(F674&gt;0, I674, 1000000000)</f>
        <v/>
      </c>
      <c r="M674" s="171">
        <f>ABS((B674+C674)-1)</f>
        <v/>
      </c>
      <c r="N674" s="170">
        <f>IF(F674&gt;0, (G674/29)/F674, 0)</f>
        <v/>
      </c>
      <c r="O674" s="168">
        <f>IF(AND((B674+C674)&gt;=1, ISNUMBER(SEARCH("Var", D674))), F674, 1000000000)</f>
        <v/>
      </c>
      <c r="P674" s="172">
        <f>IF(F674&gt;0, SQRT((F674/MAX(F$5:F$886))^2 + (1 - H674/MAX(H$5:H$886))^2 + (J674/MAX(J$5:J$886))^2), 1000000000)</f>
        <v/>
      </c>
      <c r="Q674" s="166">
        <f>IF(AND(ABS(B674-0.5)&lt;0.01, ABS(C674-0.5)&lt;0.01, ISNUMBER(SEARCH("Var", D674))), 1, 0)</f>
        <v/>
      </c>
      <c r="R674" s="171">
        <f>IF(F674&gt;0, J674, 1000000000)</f>
        <v/>
      </c>
      <c r="S674" s="101">
        <f>IF(AND(F674&lt;=DASHBOARD!$B$11, H674&gt;=DASHBOARD!$B$13), G674, -1000000000000)</f>
        <v/>
      </c>
      <c r="T674" s="101">
        <f>IF(AND(F674&lt;=DASHBOARD!$B$11, H674&gt;=DASHBOARD!$B$13), R674, 1000000000000)</f>
        <v/>
      </c>
      <c r="U674" s="101">
        <f>IF(AND(F674&lt;=DASHBOARD!$B$11, H674&gt;=DASHBOARD!$B$13), N674, -1000000000000)</f>
        <v/>
      </c>
      <c r="V674" s="101">
        <f>IF(AND(F674&lt;=DASHBOARD!$B$11, H674&gt;=DASHBOARD!$B$13), H674, -1000000000000)</f>
        <v/>
      </c>
      <c r="W674" s="101">
        <f>IF(AND(F674&lt;=DASHBOARD!$B$11, H674&gt;=DASHBOARD!$B$13), K674, -1000000000000)</f>
        <v/>
      </c>
      <c r="X674" s="101">
        <f>IF(AND(F674&lt;=DASHBOARD!$B$11, H674&gt;=DASHBOARD!$B$13), M674, 1000000000000)</f>
        <v/>
      </c>
      <c r="Y674" s="101">
        <f>IF(AND(F674&lt;=DASHBOARD!$B$10, H674&gt;=DASHBOARD!$B$11), L674, 1000000000000)</f>
        <v/>
      </c>
      <c r="Z674" s="101">
        <f>IF(AND(F674&lt;=DASHBOARD!$B$10, H674&gt;=DASHBOARD!$B$11), O674, 1000000000000)</f>
        <v/>
      </c>
      <c r="AA674" s="101">
        <f>IF(AND(F674&lt;=DASHBOARD!$B$10, H674&gt;=DASHBOARD!$B$11), P674, 1000000000000)</f>
        <v/>
      </c>
      <c r="AB674" s="101">
        <f>IF(AND(F674&lt;=DASHBOARD!$B$10, H674&gt;=DASHBOARD!$B$11), Q674, -1000000000000)</f>
        <v/>
      </c>
    </row>
    <row r="675" ht="15" customHeight="1" s="102">
      <c r="A675" s="166" t="n">
        <v>671</v>
      </c>
      <c r="B675" s="167" t="n">
        <v>1.5</v>
      </c>
      <c r="C675" s="167" t="n">
        <v>2</v>
      </c>
      <c r="D675" s="110" t="inlineStr">
        <is>
          <t>Yok (%0)</t>
        </is>
      </c>
      <c r="E675" s="110">
        <f>IF((B675+C675)&lt;=1, "Tam Mahsuplaşma (≤%100)", "Kısmi Satış (&gt;%100)")</f>
        <v/>
      </c>
      <c r="F675" s="168">
        <f>((VERI_TABANI!$D$29*B675/VERI_TABANI!$B$29)/VERI_TABANI!$B$3)*VERI_TABANI!$B$5 + ((VERI_TABANI!$D$29*C675/VERI_TABANI!$B$29)/VERI_TABANI!$B$4)*VERI_TABANI!$B$6 + IF(ISNUMBER(SEARCH("Var", D675)), (VERI_TABANI!$F$29/VERI_TABANI!$B$29)*(VERI_TABANI!$B$10+VERI_TABANI!$B$12), 0)</f>
        <v/>
      </c>
      <c r="G675" s="168">
        <f>(((MIN(VERI_TABANI!D23, VERI_TABANI!D23*B675)*VERI_TABANI!$B$7 + MAX(0, VERI_TABANI!D23*B675-VERI_TABANI!D23)*VERI_TABANI!$B$8) + (MIN(MAX(0, VERI_TABANI!D23-VERI_TABANI!D23*B675), VERI_TABANI!D23*C675)*VERI_TABANI!$B$7 + MAX(0, VERI_TABANI!D23*C675-MAX(0, VERI_TABANI!D23-VERI_TABANI!D23*B675))*VERI_TABANI!$B$8) + IF(ABS(IF(ISNUMBER(SEARCH("Var", D675)), 1, IF(ISNUMBER(SEARCH("Gri", D675)), -1, 0)))=1, VERI_TABANI!E23*(1-0.928)*VERI_TABANI!$B$9, 0) + (VERI_TABANI!D23*B675*(VERI_TABANI!$B$13-VERI_TABANI!$B$14)*VERI_TABANI!G23) + (VERI_TABANI!D23*C675*(VERI_TABANI!$B$13-VERI_TABANI!$B$15)*VERI_TABANI!G23) + IF(ABS(IF(ISNUMBER(SEARCH("Var", D675)), 1, IF(ISNUMBER(SEARCH("Gri", D675)), -1, 0)))=1, VERI_TABANI!E23*(1-0.928)*0.00206091519919798*VERI_TABANI!G23, 0)) + ((MIN(VERI_TABANI!D24, VERI_TABANI!D24*B675)*VERI_TABANI!$B$7 + MAX(0, VERI_TABANI!D24*B675-VERI_TABANI!D24)*VERI_TABANI!$B$8) + (MIN(MAX(0, VERI_TABANI!D24-VERI_TABANI!D24*B675), VERI_TABANI!D24*C675)*VERI_TABANI!$B$7 + MAX(0, VERI_TABANI!D24*C675-MAX(0, VERI_TABANI!D24-VERI_TABANI!D24*B675))*VERI_TABANI!$B$8) + IF(ABS(IF(ISNUMBER(SEARCH("Var", D675)), 1, IF(ISNUMBER(SEARCH("Gri", D675)), -1, 0)))=1, VERI_TABANI!E24*(1-0.928)*VERI_TABANI!$B$9, 0) + (VERI_TABANI!D24*B675*(VERI_TABANI!$B$13-VERI_TABANI!$B$14)*VERI_TABANI!G24) + (VERI_TABANI!D24*C675*(VERI_TABANI!$B$13-VERI_TABANI!$B$15)*VERI_TABANI!G24) + IF(ABS(IF(ISNUMBER(SEARCH("Var", D675)), 1, IF(ISNUMBER(SEARCH("Gri", D675)), -1, 0)))=1, VERI_TABANI!E24*(1-0.928)*0.00206091519919798*VERI_TABANI!G24, 0)) + ((MIN(VERI_TABANI!D25, VERI_TABANI!D25*B675)*VERI_TABANI!$B$7 + MAX(0, VERI_TABANI!D25*B675-VERI_TABANI!D25)*VERI_TABANI!$B$8) + (MIN(MAX(0, VERI_TABANI!D25-VERI_TABANI!D25*B675), VERI_TABANI!D25*C675)*VERI_TABANI!$B$7 + MAX(0, VERI_TABANI!D25*C675-MAX(0, VERI_TABANI!D25-VERI_TABANI!D25*B675))*VERI_TABANI!$B$8) + IF(ABS(IF(ISNUMBER(SEARCH("Var", D675)), 1, IF(ISNUMBER(SEARCH("Gri", D675)), -1, 0)))=1, VERI_TABANI!E25*(1-0.928)*VERI_TABANI!$B$9, 0) + (VERI_TABANI!D25*B675*(VERI_TABANI!$B$13-VERI_TABANI!$B$14)*VERI_TABANI!G25) + (VERI_TABANI!D25*C675*(VERI_TABANI!$B$13-VERI_TABANI!$B$15)*VERI_TABANI!G25) + IF(ABS(IF(ISNUMBER(SEARCH("Var", D675)), 1, IF(ISNUMBER(SEARCH("Gri", D675)), -1, 0)))=1, VERI_TABANI!E25*(1-0.928)*0.00206091519919798*VERI_TABANI!G25, 0)) + ((MIN(VERI_TABANI!D26, VERI_TABANI!D26*B675)*VERI_TABANI!$B$7 + MAX(0, VERI_TABANI!D26*B675-VERI_TABANI!D26)*VERI_TABANI!$B$8) + (MIN(MAX(0, VERI_TABANI!D26-VERI_TABANI!D26*B675), VERI_TABANI!D26*C675)*VERI_TABANI!$B$7 + MAX(0, VERI_TABANI!D26*C675-MAX(0, VERI_TABANI!D26-VERI_TABANI!D26*B675))*VERI_TABANI!$B$8) + IF(ABS(IF(ISNUMBER(SEARCH("Var", D675)), 1, IF(ISNUMBER(SEARCH("Gri", D675)), -1, 0)))=1, VERI_TABANI!E26*(1-0.928)*VERI_TABANI!$B$9, 0) + (VERI_TABANI!D26*B675*(VERI_TABANI!$B$13-VERI_TABANI!$B$14)*VERI_TABANI!G26) + (VERI_TABANI!D26*C675*(VERI_TABANI!$B$13-VERI_TABANI!$B$15)*VERI_TABANI!G26) + IF(ABS(IF(ISNUMBER(SEARCH("Var", D675)), 1, IF(ISNUMBER(SEARCH("Gri", D675)), -1, 0)))=1, VERI_TABANI!E26*(1-0.928)*0.00206091519919798*VERI_TABANI!G26, 0)) + ((MIN(VERI_TABANI!D27, VERI_TABANI!D27*B675)*VERI_TABANI!$B$7 + MAX(0, VERI_TABANI!D27*B675-VERI_TABANI!D27)*VERI_TABANI!$B$8) + (MIN(MAX(0, VERI_TABANI!D27-VERI_TABANI!D27*B675), VERI_TABANI!D27*C675)*VERI_TABANI!$B$7 + MAX(0, VERI_TABANI!D27*C675-MAX(0, VERI_TABANI!D27-VERI_TABANI!D27*B675))*VERI_TABANI!$B$8) + IF(ABS(IF(ISNUMBER(SEARCH("Var", D675)), 1, IF(ISNUMBER(SEARCH("Gri", D675)), -1, 0)))=1, VERI_TABANI!E27*(1-0.928)*VERI_TABANI!$B$9, 0) + (VERI_TABANI!D27*B675*(VERI_TABANI!$B$13-VERI_TABANI!$B$14)*VERI_TABANI!G27) + (VERI_TABANI!D27*C675*(VERI_TABANI!$B$13-VERI_TABANI!$B$15)*VERI_TABANI!G27) + IF(ABS(IF(ISNUMBER(SEARCH("Var", D675)), 1, IF(ISNUMBER(SEARCH("Gri", D675)), -1, 0)))=1, VERI_TABANI!E27*(1-0.928)*0.00206091519919798*VERI_TABANI!G27, 0)) + ((MIN(VERI_TABANI!D28, VERI_TABANI!D28*B675)*VERI_TABANI!$B$7 + MAX(0, VERI_TABANI!D28*B675-VERI_TABANI!D28)*VERI_TABANI!$B$8) + (MIN(MAX(0, VERI_TABANI!D28-VERI_TABANI!D28*B675), VERI_TABANI!D28*C675)*VERI_TABANI!$B$7 + MAX(0, VERI_TABANI!D28*C675-MAX(0, VERI_TABANI!D28-VERI_TABANI!D28*B675))*VERI_TABANI!$B$8) + IF(ABS(IF(ISNUMBER(SEARCH("Var", D675)), 1, IF(ISNUMBER(SEARCH("Gri", D675)), -1, 0)))=1, VERI_TABANI!E28*(1-0.928)*VERI_TABANI!$B$9, 0) + (VERI_TABANI!D28*B675*(VERI_TABANI!$B$13-VERI_TABANI!$B$14)*VERI_TABANI!G28) + (VERI_TABANI!D28*C675*(VERI_TABANI!$B$13-VERI_TABANI!$B$15)*VERI_TABANI!G28) + IF(ABS(IF(ISNUMBER(SEARCH("Var", D675)), 1, IF(ISNUMBER(SEARCH("Gri", D675)), -1, 0)))=1, VERI_TABANI!E28*(1-0.928)*0.00206091519919798*VERI_TABANI!G28, 0)))</f>
        <v/>
      </c>
      <c r="H675" s="169">
        <f>(((VERI_TABANI!D23*B675*(VERI_TABANI!$B$13-VERI_TABANI!$B$14)) + (VERI_TABANI!D23*C675*(VERI_TABANI!$B$13-VERI_TABANI!$B$15)) + IF(ISNUMBER(SEARCH("Var", D675)), VERI_TABANI!F23*(0.00202-VERI_TABANI!$B$16), IF(ISNUMBER(SEARCH("Gri", D675)), VERI_TABANI!F23*(0.00202-VERI_TABANI!$B$17), 0))) + ((VERI_TABANI!D24*B675*(VERI_TABANI!$B$13-VERI_TABANI!$B$14)) + (VERI_TABANI!D24*C675*(VERI_TABANI!$B$13-VERI_TABANI!$B$15)) + IF(ISNUMBER(SEARCH("Var", D675)), VERI_TABANI!F24*(0.00202-VERI_TABANI!$B$16), IF(ISNUMBER(SEARCH("Gri", D675)), VERI_TABANI!F24*(0.00202-VERI_TABANI!$B$17), 0))) + ((VERI_TABANI!D25*B675*(VERI_TABANI!$B$13-VERI_TABANI!$B$14)) + (VERI_TABANI!D25*C675*(VERI_TABANI!$B$13-VERI_TABANI!$B$15)) + IF(ISNUMBER(SEARCH("Var", D675)), VERI_TABANI!F25*(0.00202-VERI_TABANI!$B$16), IF(ISNUMBER(SEARCH("Gri", D675)), VERI_TABANI!F25*(0.00202-VERI_TABANI!$B$17), 0))) + ((VERI_TABANI!D26*B675*(VERI_TABANI!$B$13-VERI_TABANI!$B$14)) + (VERI_TABANI!D26*C675*(VERI_TABANI!$B$13-VERI_TABANI!$B$15)) + IF(ISNUMBER(SEARCH("Var", D675)), VERI_TABANI!F26*(0.00202-VERI_TABANI!$B$16), IF(ISNUMBER(SEARCH("Gri", D675)), VERI_TABANI!F26*(0.00202-VERI_TABANI!$B$17), 0))) + ((VERI_TABANI!D27*B675*(VERI_TABANI!$B$13-VERI_TABANI!$B$14)) + (VERI_TABANI!D27*C675*(VERI_TABANI!$B$13-VERI_TABANI!$B$15)) + IF(ISNUMBER(SEARCH("Var", D675)), VERI_TABANI!F27*(0.00202-VERI_TABANI!$B$16), IF(ISNUMBER(SEARCH("Gri", D675)), VERI_TABANI!F27*(0.00202-VERI_TABANI!$B$17), 0))) + ((VERI_TABANI!D28*B675*(VERI_TABANI!$B$13-VERI_TABANI!$B$14)) + (VERI_TABANI!D28*C675*(VERI_TABANI!$B$13-VERI_TABANI!$B$15)) + IF(ISNUMBER(SEARCH("Var", D675)), VERI_TABANI!F28*(0.00202-VERI_TABANI!$B$16), IF(ISNUMBER(SEARCH("Gri", D675)), VERI_TABANI!F28*(0.00202-VERI_TABANI!$B$17), 0))))</f>
        <v/>
      </c>
      <c r="I675" s="170">
        <f>IFERROR(((VERI_TABANI!$D$29*B675*VERI_TABANI!$B$14 + VERI_TABANI!$D$29*C675*VERI_TABANI!$B$15 + IF(ISNUMBER(SEARCH("Var", D675)), VERI_TABANI!$F$29*VERI_TABANI!$B$16, 0))) / (((VERI_TABANI!$D$29*B675 + VERI_TABANI!$D$29*C675)*VERI_TABANI!$B$13 + IF(ISNUMBER(SEARCH("Var", D675)), VERI_TABANI!$E$29*(1-0.928)*VERI_TABANI!$B$18, 0))), 0)</f>
        <v/>
      </c>
      <c r="J675" s="171">
        <f>IFERROR(F675/(G675/29), 0)</f>
        <v/>
      </c>
      <c r="K675" s="172">
        <f>IF(F675&gt;0, H675/F675, 0)</f>
        <v/>
      </c>
      <c r="L675" s="170">
        <f>IF(F675&gt;0, I675, 1000000000)</f>
        <v/>
      </c>
      <c r="M675" s="171">
        <f>ABS((B675+C675)-1)</f>
        <v/>
      </c>
      <c r="N675" s="170">
        <f>IF(F675&gt;0, (G675/29)/F675, 0)</f>
        <v/>
      </c>
      <c r="O675" s="168">
        <f>IF(AND((B675+C675)&gt;=1, ISNUMBER(SEARCH("Var", D675))), F675, 1000000000)</f>
        <v/>
      </c>
      <c r="P675" s="172">
        <f>IF(F675&gt;0, SQRT((F675/MAX(F$5:F$886))^2 + (1 - H675/MAX(H$5:H$886))^2 + (J675/MAX(J$5:J$886))^2), 1000000000)</f>
        <v/>
      </c>
      <c r="Q675" s="166">
        <f>IF(AND(ABS(B675-0.5)&lt;0.01, ABS(C675-0.5)&lt;0.01, ISNUMBER(SEARCH("Var", D675))), 1, 0)</f>
        <v/>
      </c>
      <c r="R675" s="171">
        <f>IF(F675&gt;0, J675, 1000000000)</f>
        <v/>
      </c>
      <c r="S675" s="101">
        <f>IF(AND(F675&lt;=DASHBOARD!$B$11, H675&gt;=DASHBOARD!$B$13), G675, -1000000000000)</f>
        <v/>
      </c>
      <c r="T675" s="101">
        <f>IF(AND(F675&lt;=DASHBOARD!$B$11, H675&gt;=DASHBOARD!$B$13), R675, 1000000000000)</f>
        <v/>
      </c>
      <c r="U675" s="101">
        <f>IF(AND(F675&lt;=DASHBOARD!$B$11, H675&gt;=DASHBOARD!$B$13), N675, -1000000000000)</f>
        <v/>
      </c>
      <c r="V675" s="101">
        <f>IF(AND(F675&lt;=DASHBOARD!$B$11, H675&gt;=DASHBOARD!$B$13), H675, -1000000000000)</f>
        <v/>
      </c>
      <c r="W675" s="101">
        <f>IF(AND(F675&lt;=DASHBOARD!$B$11, H675&gt;=DASHBOARD!$B$13), K675, -1000000000000)</f>
        <v/>
      </c>
      <c r="X675" s="101">
        <f>IF(AND(F675&lt;=DASHBOARD!$B$11, H675&gt;=DASHBOARD!$B$13), M675, 1000000000000)</f>
        <v/>
      </c>
      <c r="Y675" s="101">
        <f>IF(AND(F675&lt;=DASHBOARD!$B$10, H675&gt;=DASHBOARD!$B$11), L675, 1000000000000)</f>
        <v/>
      </c>
      <c r="Z675" s="101">
        <f>IF(AND(F675&lt;=DASHBOARD!$B$10, H675&gt;=DASHBOARD!$B$11), O675, 1000000000000)</f>
        <v/>
      </c>
      <c r="AA675" s="101">
        <f>IF(AND(F675&lt;=DASHBOARD!$B$10, H675&gt;=DASHBOARD!$B$11), P675, 1000000000000)</f>
        <v/>
      </c>
      <c r="AB675" s="101">
        <f>IF(AND(F675&lt;=DASHBOARD!$B$10, H675&gt;=DASHBOARD!$B$11), Q675, -1000000000000)</f>
        <v/>
      </c>
    </row>
    <row r="676" ht="15" customHeight="1" s="102">
      <c r="A676" s="166" t="n">
        <v>672</v>
      </c>
      <c r="B676" s="167" t="n">
        <v>1.5</v>
      </c>
      <c r="C676" s="167" t="n">
        <v>2</v>
      </c>
      <c r="D676" s="110" t="inlineStr">
        <is>
          <t>Var (%20)</t>
        </is>
      </c>
      <c r="E676" s="110">
        <f>IF((B676+C676)&lt;=1, "Tam Mahsuplaşma (≤%100)", "Kısmi Satış (&gt;%100)")</f>
        <v/>
      </c>
      <c r="F676" s="168">
        <f>((VERI_TABANI!$D$29*B676/VERI_TABANI!$B$29)/VERI_TABANI!$B$3)*VERI_TABANI!$B$5 + ((VERI_TABANI!$D$29*C676/VERI_TABANI!$B$29)/VERI_TABANI!$B$4)*VERI_TABANI!$B$6 + IF(ISNUMBER(SEARCH("Var", D676)), (VERI_TABANI!$F$29/VERI_TABANI!$B$29)*(VERI_TABANI!$B$10+VERI_TABANI!$B$12), 0)</f>
        <v/>
      </c>
      <c r="G676" s="168">
        <f>(((MIN(VERI_TABANI!D23, VERI_TABANI!D23*B676)*VERI_TABANI!$B$7 + MAX(0, VERI_TABANI!D23*B676-VERI_TABANI!D23)*VERI_TABANI!$B$8) + (MIN(MAX(0, VERI_TABANI!D23-VERI_TABANI!D23*B676), VERI_TABANI!D23*C676)*VERI_TABANI!$B$7 + MAX(0, VERI_TABANI!D23*C676-MAX(0, VERI_TABANI!D23-VERI_TABANI!D23*B676))*VERI_TABANI!$B$8) + IF(ABS(IF(ISNUMBER(SEARCH("Var", D676)), 1, IF(ISNUMBER(SEARCH("Gri", D676)), -1, 0)))=1, VERI_TABANI!E23*(1-0.928)*VERI_TABANI!$B$9, 0) + (VERI_TABANI!D23*B676*(VERI_TABANI!$B$13-VERI_TABANI!$B$14)*VERI_TABANI!G23) + (VERI_TABANI!D23*C676*(VERI_TABANI!$B$13-VERI_TABANI!$B$15)*VERI_TABANI!G23) + IF(ABS(IF(ISNUMBER(SEARCH("Var", D676)), 1, IF(ISNUMBER(SEARCH("Gri", D676)), -1, 0)))=1, VERI_TABANI!E23*(1-0.928)*0.00206091519919798*VERI_TABANI!G23, 0)) + ((MIN(VERI_TABANI!D24, VERI_TABANI!D24*B676)*VERI_TABANI!$B$7 + MAX(0, VERI_TABANI!D24*B676-VERI_TABANI!D24)*VERI_TABANI!$B$8) + (MIN(MAX(0, VERI_TABANI!D24-VERI_TABANI!D24*B676), VERI_TABANI!D24*C676)*VERI_TABANI!$B$7 + MAX(0, VERI_TABANI!D24*C676-MAX(0, VERI_TABANI!D24-VERI_TABANI!D24*B676))*VERI_TABANI!$B$8) + IF(ABS(IF(ISNUMBER(SEARCH("Var", D676)), 1, IF(ISNUMBER(SEARCH("Gri", D676)), -1, 0)))=1, VERI_TABANI!E24*(1-0.928)*VERI_TABANI!$B$9, 0) + (VERI_TABANI!D24*B676*(VERI_TABANI!$B$13-VERI_TABANI!$B$14)*VERI_TABANI!G24) + (VERI_TABANI!D24*C676*(VERI_TABANI!$B$13-VERI_TABANI!$B$15)*VERI_TABANI!G24) + IF(ABS(IF(ISNUMBER(SEARCH("Var", D676)), 1, IF(ISNUMBER(SEARCH("Gri", D676)), -1, 0)))=1, VERI_TABANI!E24*(1-0.928)*0.00206091519919798*VERI_TABANI!G24, 0)) + ((MIN(VERI_TABANI!D25, VERI_TABANI!D25*B676)*VERI_TABANI!$B$7 + MAX(0, VERI_TABANI!D25*B676-VERI_TABANI!D25)*VERI_TABANI!$B$8) + (MIN(MAX(0, VERI_TABANI!D25-VERI_TABANI!D25*B676), VERI_TABANI!D25*C676)*VERI_TABANI!$B$7 + MAX(0, VERI_TABANI!D25*C676-MAX(0, VERI_TABANI!D25-VERI_TABANI!D25*B676))*VERI_TABANI!$B$8) + IF(ABS(IF(ISNUMBER(SEARCH("Var", D676)), 1, IF(ISNUMBER(SEARCH("Gri", D676)), -1, 0)))=1, VERI_TABANI!E25*(1-0.928)*VERI_TABANI!$B$9, 0) + (VERI_TABANI!D25*B676*(VERI_TABANI!$B$13-VERI_TABANI!$B$14)*VERI_TABANI!G25) + (VERI_TABANI!D25*C676*(VERI_TABANI!$B$13-VERI_TABANI!$B$15)*VERI_TABANI!G25) + IF(ABS(IF(ISNUMBER(SEARCH("Var", D676)), 1, IF(ISNUMBER(SEARCH("Gri", D676)), -1, 0)))=1, VERI_TABANI!E25*(1-0.928)*0.00206091519919798*VERI_TABANI!G25, 0)) + ((MIN(VERI_TABANI!D26, VERI_TABANI!D26*B676)*VERI_TABANI!$B$7 + MAX(0, VERI_TABANI!D26*B676-VERI_TABANI!D26)*VERI_TABANI!$B$8) + (MIN(MAX(0, VERI_TABANI!D26-VERI_TABANI!D26*B676), VERI_TABANI!D26*C676)*VERI_TABANI!$B$7 + MAX(0, VERI_TABANI!D26*C676-MAX(0, VERI_TABANI!D26-VERI_TABANI!D26*B676))*VERI_TABANI!$B$8) + IF(ABS(IF(ISNUMBER(SEARCH("Var", D676)), 1, IF(ISNUMBER(SEARCH("Gri", D676)), -1, 0)))=1, VERI_TABANI!E26*(1-0.928)*VERI_TABANI!$B$9, 0) + (VERI_TABANI!D26*B676*(VERI_TABANI!$B$13-VERI_TABANI!$B$14)*VERI_TABANI!G26) + (VERI_TABANI!D26*C676*(VERI_TABANI!$B$13-VERI_TABANI!$B$15)*VERI_TABANI!G26) + IF(ABS(IF(ISNUMBER(SEARCH("Var", D676)), 1, IF(ISNUMBER(SEARCH("Gri", D676)), -1, 0)))=1, VERI_TABANI!E26*(1-0.928)*0.00206091519919798*VERI_TABANI!G26, 0)) + ((MIN(VERI_TABANI!D27, VERI_TABANI!D27*B676)*VERI_TABANI!$B$7 + MAX(0, VERI_TABANI!D27*B676-VERI_TABANI!D27)*VERI_TABANI!$B$8) + (MIN(MAX(0, VERI_TABANI!D27-VERI_TABANI!D27*B676), VERI_TABANI!D27*C676)*VERI_TABANI!$B$7 + MAX(0, VERI_TABANI!D27*C676-MAX(0, VERI_TABANI!D27-VERI_TABANI!D27*B676))*VERI_TABANI!$B$8) + IF(ABS(IF(ISNUMBER(SEARCH("Var", D676)), 1, IF(ISNUMBER(SEARCH("Gri", D676)), -1, 0)))=1, VERI_TABANI!E27*(1-0.928)*VERI_TABANI!$B$9, 0) + (VERI_TABANI!D27*B676*(VERI_TABANI!$B$13-VERI_TABANI!$B$14)*VERI_TABANI!G27) + (VERI_TABANI!D27*C676*(VERI_TABANI!$B$13-VERI_TABANI!$B$15)*VERI_TABANI!G27) + IF(ABS(IF(ISNUMBER(SEARCH("Var", D676)), 1, IF(ISNUMBER(SEARCH("Gri", D676)), -1, 0)))=1, VERI_TABANI!E27*(1-0.928)*0.00206091519919798*VERI_TABANI!G27, 0)) + ((MIN(VERI_TABANI!D28, VERI_TABANI!D28*B676)*VERI_TABANI!$B$7 + MAX(0, VERI_TABANI!D28*B676-VERI_TABANI!D28)*VERI_TABANI!$B$8) + (MIN(MAX(0, VERI_TABANI!D28-VERI_TABANI!D28*B676), VERI_TABANI!D28*C676)*VERI_TABANI!$B$7 + MAX(0, VERI_TABANI!D28*C676-MAX(0, VERI_TABANI!D28-VERI_TABANI!D28*B676))*VERI_TABANI!$B$8) + IF(ABS(IF(ISNUMBER(SEARCH("Var", D676)), 1, IF(ISNUMBER(SEARCH("Gri", D676)), -1, 0)))=1, VERI_TABANI!E28*(1-0.928)*VERI_TABANI!$B$9, 0) + (VERI_TABANI!D28*B676*(VERI_TABANI!$B$13-VERI_TABANI!$B$14)*VERI_TABANI!G28) + (VERI_TABANI!D28*C676*(VERI_TABANI!$B$13-VERI_TABANI!$B$15)*VERI_TABANI!G28) + IF(ABS(IF(ISNUMBER(SEARCH("Var", D676)), 1, IF(ISNUMBER(SEARCH("Gri", D676)), -1, 0)))=1, VERI_TABANI!E28*(1-0.928)*0.00206091519919798*VERI_TABANI!G28, 0)))</f>
        <v/>
      </c>
      <c r="H676" s="169">
        <f>(((VERI_TABANI!D23*B676*(VERI_TABANI!$B$13-VERI_TABANI!$B$14)) + (VERI_TABANI!D23*C676*(VERI_TABANI!$B$13-VERI_TABANI!$B$15)) + IF(ISNUMBER(SEARCH("Var", D676)), VERI_TABANI!F23*(0.00202-VERI_TABANI!$B$16), IF(ISNUMBER(SEARCH("Gri", D676)), VERI_TABANI!F23*(0.00202-VERI_TABANI!$B$17), 0))) + ((VERI_TABANI!D24*B676*(VERI_TABANI!$B$13-VERI_TABANI!$B$14)) + (VERI_TABANI!D24*C676*(VERI_TABANI!$B$13-VERI_TABANI!$B$15)) + IF(ISNUMBER(SEARCH("Var", D676)), VERI_TABANI!F24*(0.00202-VERI_TABANI!$B$16), IF(ISNUMBER(SEARCH("Gri", D676)), VERI_TABANI!F24*(0.00202-VERI_TABANI!$B$17), 0))) + ((VERI_TABANI!D25*B676*(VERI_TABANI!$B$13-VERI_TABANI!$B$14)) + (VERI_TABANI!D25*C676*(VERI_TABANI!$B$13-VERI_TABANI!$B$15)) + IF(ISNUMBER(SEARCH("Var", D676)), VERI_TABANI!F25*(0.00202-VERI_TABANI!$B$16), IF(ISNUMBER(SEARCH("Gri", D676)), VERI_TABANI!F25*(0.00202-VERI_TABANI!$B$17), 0))) + ((VERI_TABANI!D26*B676*(VERI_TABANI!$B$13-VERI_TABANI!$B$14)) + (VERI_TABANI!D26*C676*(VERI_TABANI!$B$13-VERI_TABANI!$B$15)) + IF(ISNUMBER(SEARCH("Var", D676)), VERI_TABANI!F26*(0.00202-VERI_TABANI!$B$16), IF(ISNUMBER(SEARCH("Gri", D676)), VERI_TABANI!F26*(0.00202-VERI_TABANI!$B$17), 0))) + ((VERI_TABANI!D27*B676*(VERI_TABANI!$B$13-VERI_TABANI!$B$14)) + (VERI_TABANI!D27*C676*(VERI_TABANI!$B$13-VERI_TABANI!$B$15)) + IF(ISNUMBER(SEARCH("Var", D676)), VERI_TABANI!F27*(0.00202-VERI_TABANI!$B$16), IF(ISNUMBER(SEARCH("Gri", D676)), VERI_TABANI!F27*(0.00202-VERI_TABANI!$B$17), 0))) + ((VERI_TABANI!D28*B676*(VERI_TABANI!$B$13-VERI_TABANI!$B$14)) + (VERI_TABANI!D28*C676*(VERI_TABANI!$B$13-VERI_TABANI!$B$15)) + IF(ISNUMBER(SEARCH("Var", D676)), VERI_TABANI!F28*(0.00202-VERI_TABANI!$B$16), IF(ISNUMBER(SEARCH("Gri", D676)), VERI_TABANI!F28*(0.00202-VERI_TABANI!$B$17), 0))))</f>
        <v/>
      </c>
      <c r="I676" s="170">
        <f>IFERROR(((VERI_TABANI!$D$29*B676*VERI_TABANI!$B$14 + VERI_TABANI!$D$29*C676*VERI_TABANI!$B$15 + IF(ISNUMBER(SEARCH("Var", D676)), VERI_TABANI!$F$29*VERI_TABANI!$B$16, 0))) / (((VERI_TABANI!$D$29*B676 + VERI_TABANI!$D$29*C676)*VERI_TABANI!$B$13 + IF(ISNUMBER(SEARCH("Var", D676)), VERI_TABANI!$E$29*(1-0.928)*VERI_TABANI!$B$18, 0))), 0)</f>
        <v/>
      </c>
      <c r="J676" s="171">
        <f>IFERROR(F676/(G676/29), 0)</f>
        <v/>
      </c>
      <c r="K676" s="172">
        <f>IF(F676&gt;0, H676/F676, 0)</f>
        <v/>
      </c>
      <c r="L676" s="170">
        <f>IF(F676&gt;0, I676, 1000000000)</f>
        <v/>
      </c>
      <c r="M676" s="171">
        <f>ABS((B676+C676)-1)</f>
        <v/>
      </c>
      <c r="N676" s="170">
        <f>IF(F676&gt;0, (G676/29)/F676, 0)</f>
        <v/>
      </c>
      <c r="O676" s="168">
        <f>IF(AND((B676+C676)&gt;=1, ISNUMBER(SEARCH("Var", D676))), F676, 1000000000)</f>
        <v/>
      </c>
      <c r="P676" s="172">
        <f>IF(F676&gt;0, SQRT((F676/MAX(F$5:F$886))^2 + (1 - H676/MAX(H$5:H$886))^2 + (J676/MAX(J$5:J$886))^2), 1000000000)</f>
        <v/>
      </c>
      <c r="Q676" s="166">
        <f>IF(AND(ABS(B676-0.5)&lt;0.01, ABS(C676-0.5)&lt;0.01, ISNUMBER(SEARCH("Var", D676))), 1, 0)</f>
        <v/>
      </c>
      <c r="R676" s="171">
        <f>IF(F676&gt;0, J676, 1000000000)</f>
        <v/>
      </c>
      <c r="S676" s="101">
        <f>IF(AND(F676&lt;=DASHBOARD!$B$11, H676&gt;=DASHBOARD!$B$13), G676, -1000000000000)</f>
        <v/>
      </c>
      <c r="T676" s="101">
        <f>IF(AND(F676&lt;=DASHBOARD!$B$11, H676&gt;=DASHBOARD!$B$13), R676, 1000000000000)</f>
        <v/>
      </c>
      <c r="U676" s="101">
        <f>IF(AND(F676&lt;=DASHBOARD!$B$11, H676&gt;=DASHBOARD!$B$13), N676, -1000000000000)</f>
        <v/>
      </c>
      <c r="V676" s="101">
        <f>IF(AND(F676&lt;=DASHBOARD!$B$11, H676&gt;=DASHBOARD!$B$13), H676, -1000000000000)</f>
        <v/>
      </c>
      <c r="W676" s="101">
        <f>IF(AND(F676&lt;=DASHBOARD!$B$11, H676&gt;=DASHBOARD!$B$13), K676, -1000000000000)</f>
        <v/>
      </c>
      <c r="X676" s="101">
        <f>IF(AND(F676&lt;=DASHBOARD!$B$11, H676&gt;=DASHBOARD!$B$13), M676, 1000000000000)</f>
        <v/>
      </c>
      <c r="Y676" s="101">
        <f>IF(AND(F676&lt;=DASHBOARD!$B$10, H676&gt;=DASHBOARD!$B$11), L676, 1000000000000)</f>
        <v/>
      </c>
      <c r="Z676" s="101">
        <f>IF(AND(F676&lt;=DASHBOARD!$B$10, H676&gt;=DASHBOARD!$B$11), O676, 1000000000000)</f>
        <v/>
      </c>
      <c r="AA676" s="101">
        <f>IF(AND(F676&lt;=DASHBOARD!$B$10, H676&gt;=DASHBOARD!$B$11), P676, 1000000000000)</f>
        <v/>
      </c>
      <c r="AB676" s="101">
        <f>IF(AND(F676&lt;=DASHBOARD!$B$10, H676&gt;=DASHBOARD!$B$11), Q676, -1000000000000)</f>
        <v/>
      </c>
    </row>
    <row r="677" ht="15" customHeight="1" s="102">
      <c r="A677" s="166" t="n">
        <v>673</v>
      </c>
      <c r="B677" s="167" t="n">
        <v>1.6</v>
      </c>
      <c r="C677" s="167" t="n">
        <v>0</v>
      </c>
      <c r="D677" s="110" t="inlineStr">
        <is>
          <t>Yok (%0)</t>
        </is>
      </c>
      <c r="E677" s="110">
        <f>IF((B677+C677)&lt;=1, "Tam Mahsuplaşma (≤%100)", "Kısmi Satış (&gt;%100)")</f>
        <v/>
      </c>
      <c r="F677" s="168">
        <f>((VERI_TABANI!$D$29*B677/VERI_TABANI!$B$29)/VERI_TABANI!$B$3)*VERI_TABANI!$B$5 + ((VERI_TABANI!$D$29*C677/VERI_TABANI!$B$29)/VERI_TABANI!$B$4)*VERI_TABANI!$B$6 + IF(ISNUMBER(SEARCH("Var", D677)), (VERI_TABANI!$F$29/VERI_TABANI!$B$29)*(VERI_TABANI!$B$10+VERI_TABANI!$B$12), 0)</f>
        <v/>
      </c>
      <c r="G677" s="168">
        <f>(((MIN(VERI_TABANI!D23, VERI_TABANI!D23*B677)*VERI_TABANI!$B$7 + MAX(0, VERI_TABANI!D23*B677-VERI_TABANI!D23)*VERI_TABANI!$B$8) + (MIN(MAX(0, VERI_TABANI!D23-VERI_TABANI!D23*B677), VERI_TABANI!D23*C677)*VERI_TABANI!$B$7 + MAX(0, VERI_TABANI!D23*C677-MAX(0, VERI_TABANI!D23-VERI_TABANI!D23*B677))*VERI_TABANI!$B$8) + IF(ABS(IF(ISNUMBER(SEARCH("Var", D677)), 1, IF(ISNUMBER(SEARCH("Gri", D677)), -1, 0)))=1, VERI_TABANI!E23*(1-0.928)*VERI_TABANI!$B$9, 0) + (VERI_TABANI!D23*B677*(VERI_TABANI!$B$13-VERI_TABANI!$B$14)*VERI_TABANI!G23) + (VERI_TABANI!D23*C677*(VERI_TABANI!$B$13-VERI_TABANI!$B$15)*VERI_TABANI!G23) + IF(ABS(IF(ISNUMBER(SEARCH("Var", D677)), 1, IF(ISNUMBER(SEARCH("Gri", D677)), -1, 0)))=1, VERI_TABANI!E23*(1-0.928)*0.00206091519919798*VERI_TABANI!G23, 0)) + ((MIN(VERI_TABANI!D24, VERI_TABANI!D24*B677)*VERI_TABANI!$B$7 + MAX(0, VERI_TABANI!D24*B677-VERI_TABANI!D24)*VERI_TABANI!$B$8) + (MIN(MAX(0, VERI_TABANI!D24-VERI_TABANI!D24*B677), VERI_TABANI!D24*C677)*VERI_TABANI!$B$7 + MAX(0, VERI_TABANI!D24*C677-MAX(0, VERI_TABANI!D24-VERI_TABANI!D24*B677))*VERI_TABANI!$B$8) + IF(ABS(IF(ISNUMBER(SEARCH("Var", D677)), 1, IF(ISNUMBER(SEARCH("Gri", D677)), -1, 0)))=1, VERI_TABANI!E24*(1-0.928)*VERI_TABANI!$B$9, 0) + (VERI_TABANI!D24*B677*(VERI_TABANI!$B$13-VERI_TABANI!$B$14)*VERI_TABANI!G24) + (VERI_TABANI!D24*C677*(VERI_TABANI!$B$13-VERI_TABANI!$B$15)*VERI_TABANI!G24) + IF(ABS(IF(ISNUMBER(SEARCH("Var", D677)), 1, IF(ISNUMBER(SEARCH("Gri", D677)), -1, 0)))=1, VERI_TABANI!E24*(1-0.928)*0.00206091519919798*VERI_TABANI!G24, 0)) + ((MIN(VERI_TABANI!D25, VERI_TABANI!D25*B677)*VERI_TABANI!$B$7 + MAX(0, VERI_TABANI!D25*B677-VERI_TABANI!D25)*VERI_TABANI!$B$8) + (MIN(MAX(0, VERI_TABANI!D25-VERI_TABANI!D25*B677), VERI_TABANI!D25*C677)*VERI_TABANI!$B$7 + MAX(0, VERI_TABANI!D25*C677-MAX(0, VERI_TABANI!D25-VERI_TABANI!D25*B677))*VERI_TABANI!$B$8) + IF(ABS(IF(ISNUMBER(SEARCH("Var", D677)), 1, IF(ISNUMBER(SEARCH("Gri", D677)), -1, 0)))=1, VERI_TABANI!E25*(1-0.928)*VERI_TABANI!$B$9, 0) + (VERI_TABANI!D25*B677*(VERI_TABANI!$B$13-VERI_TABANI!$B$14)*VERI_TABANI!G25) + (VERI_TABANI!D25*C677*(VERI_TABANI!$B$13-VERI_TABANI!$B$15)*VERI_TABANI!G25) + IF(ABS(IF(ISNUMBER(SEARCH("Var", D677)), 1, IF(ISNUMBER(SEARCH("Gri", D677)), -1, 0)))=1, VERI_TABANI!E25*(1-0.928)*0.00206091519919798*VERI_TABANI!G25, 0)) + ((MIN(VERI_TABANI!D26, VERI_TABANI!D26*B677)*VERI_TABANI!$B$7 + MAX(0, VERI_TABANI!D26*B677-VERI_TABANI!D26)*VERI_TABANI!$B$8) + (MIN(MAX(0, VERI_TABANI!D26-VERI_TABANI!D26*B677), VERI_TABANI!D26*C677)*VERI_TABANI!$B$7 + MAX(0, VERI_TABANI!D26*C677-MAX(0, VERI_TABANI!D26-VERI_TABANI!D26*B677))*VERI_TABANI!$B$8) + IF(ABS(IF(ISNUMBER(SEARCH("Var", D677)), 1, IF(ISNUMBER(SEARCH("Gri", D677)), -1, 0)))=1, VERI_TABANI!E26*(1-0.928)*VERI_TABANI!$B$9, 0) + (VERI_TABANI!D26*B677*(VERI_TABANI!$B$13-VERI_TABANI!$B$14)*VERI_TABANI!G26) + (VERI_TABANI!D26*C677*(VERI_TABANI!$B$13-VERI_TABANI!$B$15)*VERI_TABANI!G26) + IF(ABS(IF(ISNUMBER(SEARCH("Var", D677)), 1, IF(ISNUMBER(SEARCH("Gri", D677)), -1, 0)))=1, VERI_TABANI!E26*(1-0.928)*0.00206091519919798*VERI_TABANI!G26, 0)) + ((MIN(VERI_TABANI!D27, VERI_TABANI!D27*B677)*VERI_TABANI!$B$7 + MAX(0, VERI_TABANI!D27*B677-VERI_TABANI!D27)*VERI_TABANI!$B$8) + (MIN(MAX(0, VERI_TABANI!D27-VERI_TABANI!D27*B677), VERI_TABANI!D27*C677)*VERI_TABANI!$B$7 + MAX(0, VERI_TABANI!D27*C677-MAX(0, VERI_TABANI!D27-VERI_TABANI!D27*B677))*VERI_TABANI!$B$8) + IF(ABS(IF(ISNUMBER(SEARCH("Var", D677)), 1, IF(ISNUMBER(SEARCH("Gri", D677)), -1, 0)))=1, VERI_TABANI!E27*(1-0.928)*VERI_TABANI!$B$9, 0) + (VERI_TABANI!D27*B677*(VERI_TABANI!$B$13-VERI_TABANI!$B$14)*VERI_TABANI!G27) + (VERI_TABANI!D27*C677*(VERI_TABANI!$B$13-VERI_TABANI!$B$15)*VERI_TABANI!G27) + IF(ABS(IF(ISNUMBER(SEARCH("Var", D677)), 1, IF(ISNUMBER(SEARCH("Gri", D677)), -1, 0)))=1, VERI_TABANI!E27*(1-0.928)*0.00206091519919798*VERI_TABANI!G27, 0)) + ((MIN(VERI_TABANI!D28, VERI_TABANI!D28*B677)*VERI_TABANI!$B$7 + MAX(0, VERI_TABANI!D28*B677-VERI_TABANI!D28)*VERI_TABANI!$B$8) + (MIN(MAX(0, VERI_TABANI!D28-VERI_TABANI!D28*B677), VERI_TABANI!D28*C677)*VERI_TABANI!$B$7 + MAX(0, VERI_TABANI!D28*C677-MAX(0, VERI_TABANI!D28-VERI_TABANI!D28*B677))*VERI_TABANI!$B$8) + IF(ABS(IF(ISNUMBER(SEARCH("Var", D677)), 1, IF(ISNUMBER(SEARCH("Gri", D677)), -1, 0)))=1, VERI_TABANI!E28*(1-0.928)*VERI_TABANI!$B$9, 0) + (VERI_TABANI!D28*B677*(VERI_TABANI!$B$13-VERI_TABANI!$B$14)*VERI_TABANI!G28) + (VERI_TABANI!D28*C677*(VERI_TABANI!$B$13-VERI_TABANI!$B$15)*VERI_TABANI!G28) + IF(ABS(IF(ISNUMBER(SEARCH("Var", D677)), 1, IF(ISNUMBER(SEARCH("Gri", D677)), -1, 0)))=1, VERI_TABANI!E28*(1-0.928)*0.00206091519919798*VERI_TABANI!G28, 0)))</f>
        <v/>
      </c>
      <c r="H677" s="169">
        <f>(((VERI_TABANI!D23*B677*(VERI_TABANI!$B$13-VERI_TABANI!$B$14)) + (VERI_TABANI!D23*C677*(VERI_TABANI!$B$13-VERI_TABANI!$B$15)) + IF(ISNUMBER(SEARCH("Var", D677)), VERI_TABANI!F23*(0.00202-VERI_TABANI!$B$16), IF(ISNUMBER(SEARCH("Gri", D677)), VERI_TABANI!F23*(0.00202-VERI_TABANI!$B$17), 0))) + ((VERI_TABANI!D24*B677*(VERI_TABANI!$B$13-VERI_TABANI!$B$14)) + (VERI_TABANI!D24*C677*(VERI_TABANI!$B$13-VERI_TABANI!$B$15)) + IF(ISNUMBER(SEARCH("Var", D677)), VERI_TABANI!F24*(0.00202-VERI_TABANI!$B$16), IF(ISNUMBER(SEARCH("Gri", D677)), VERI_TABANI!F24*(0.00202-VERI_TABANI!$B$17), 0))) + ((VERI_TABANI!D25*B677*(VERI_TABANI!$B$13-VERI_TABANI!$B$14)) + (VERI_TABANI!D25*C677*(VERI_TABANI!$B$13-VERI_TABANI!$B$15)) + IF(ISNUMBER(SEARCH("Var", D677)), VERI_TABANI!F25*(0.00202-VERI_TABANI!$B$16), IF(ISNUMBER(SEARCH("Gri", D677)), VERI_TABANI!F25*(0.00202-VERI_TABANI!$B$17), 0))) + ((VERI_TABANI!D26*B677*(VERI_TABANI!$B$13-VERI_TABANI!$B$14)) + (VERI_TABANI!D26*C677*(VERI_TABANI!$B$13-VERI_TABANI!$B$15)) + IF(ISNUMBER(SEARCH("Var", D677)), VERI_TABANI!F26*(0.00202-VERI_TABANI!$B$16), IF(ISNUMBER(SEARCH("Gri", D677)), VERI_TABANI!F26*(0.00202-VERI_TABANI!$B$17), 0))) + ((VERI_TABANI!D27*B677*(VERI_TABANI!$B$13-VERI_TABANI!$B$14)) + (VERI_TABANI!D27*C677*(VERI_TABANI!$B$13-VERI_TABANI!$B$15)) + IF(ISNUMBER(SEARCH("Var", D677)), VERI_TABANI!F27*(0.00202-VERI_TABANI!$B$16), IF(ISNUMBER(SEARCH("Gri", D677)), VERI_TABANI!F27*(0.00202-VERI_TABANI!$B$17), 0))) + ((VERI_TABANI!D28*B677*(VERI_TABANI!$B$13-VERI_TABANI!$B$14)) + (VERI_TABANI!D28*C677*(VERI_TABANI!$B$13-VERI_TABANI!$B$15)) + IF(ISNUMBER(SEARCH("Var", D677)), VERI_TABANI!F28*(0.00202-VERI_TABANI!$B$16), IF(ISNUMBER(SEARCH("Gri", D677)), VERI_TABANI!F28*(0.00202-VERI_TABANI!$B$17), 0))))</f>
        <v/>
      </c>
      <c r="I677" s="170">
        <f>IFERROR(((VERI_TABANI!$D$29*B677*VERI_TABANI!$B$14 + VERI_TABANI!$D$29*C677*VERI_TABANI!$B$15 + IF(ISNUMBER(SEARCH("Var", D677)), VERI_TABANI!$F$29*VERI_TABANI!$B$16, 0))) / (((VERI_TABANI!$D$29*B677 + VERI_TABANI!$D$29*C677)*VERI_TABANI!$B$13 + IF(ISNUMBER(SEARCH("Var", D677)), VERI_TABANI!$E$29*(1-0.928)*VERI_TABANI!$B$18, 0))), 0)</f>
        <v/>
      </c>
      <c r="J677" s="171">
        <f>IFERROR(F677/(G677/29), 0)</f>
        <v/>
      </c>
      <c r="K677" s="172">
        <f>IF(F677&gt;0, H677/F677, 0)</f>
        <v/>
      </c>
      <c r="L677" s="170">
        <f>IF(F677&gt;0, I677, 1000000000)</f>
        <v/>
      </c>
      <c r="M677" s="171">
        <f>ABS((B677+C677)-1)</f>
        <v/>
      </c>
      <c r="N677" s="170">
        <f>IF(F677&gt;0, (G677/29)/F677, 0)</f>
        <v/>
      </c>
      <c r="O677" s="168">
        <f>IF(AND((B677+C677)&gt;=1, ISNUMBER(SEARCH("Var", D677))), F677, 1000000000)</f>
        <v/>
      </c>
      <c r="P677" s="172">
        <f>IF(F677&gt;0, SQRT((F677/MAX(F$5:F$886))^2 + (1 - H677/MAX(H$5:H$886))^2 + (J677/MAX(J$5:J$886))^2), 1000000000)</f>
        <v/>
      </c>
      <c r="Q677" s="166">
        <f>IF(AND(ABS(B677-0.5)&lt;0.01, ABS(C677-0.5)&lt;0.01, ISNUMBER(SEARCH("Var", D677))), 1, 0)</f>
        <v/>
      </c>
      <c r="R677" s="171">
        <f>IF(F677&gt;0, J677, 1000000000)</f>
        <v/>
      </c>
      <c r="S677" s="101">
        <f>IF(AND(F677&lt;=DASHBOARD!$B$11, H677&gt;=DASHBOARD!$B$13), G677, -1000000000000)</f>
        <v/>
      </c>
      <c r="T677" s="101">
        <f>IF(AND(F677&lt;=DASHBOARD!$B$11, H677&gt;=DASHBOARD!$B$13), R677, 1000000000000)</f>
        <v/>
      </c>
      <c r="U677" s="101">
        <f>IF(AND(F677&lt;=DASHBOARD!$B$11, H677&gt;=DASHBOARD!$B$13), N677, -1000000000000)</f>
        <v/>
      </c>
      <c r="V677" s="101">
        <f>IF(AND(F677&lt;=DASHBOARD!$B$11, H677&gt;=DASHBOARD!$B$13), H677, -1000000000000)</f>
        <v/>
      </c>
      <c r="W677" s="101">
        <f>IF(AND(F677&lt;=DASHBOARD!$B$11, H677&gt;=DASHBOARD!$B$13), K677, -1000000000000)</f>
        <v/>
      </c>
      <c r="X677" s="101">
        <f>IF(AND(F677&lt;=DASHBOARD!$B$11, H677&gt;=DASHBOARD!$B$13), M677, 1000000000000)</f>
        <v/>
      </c>
      <c r="Y677" s="101">
        <f>IF(AND(F677&lt;=DASHBOARD!$B$10, H677&gt;=DASHBOARD!$B$11), L677, 1000000000000)</f>
        <v/>
      </c>
      <c r="Z677" s="101">
        <f>IF(AND(F677&lt;=DASHBOARD!$B$10, H677&gt;=DASHBOARD!$B$11), O677, 1000000000000)</f>
        <v/>
      </c>
      <c r="AA677" s="101">
        <f>IF(AND(F677&lt;=DASHBOARD!$B$10, H677&gt;=DASHBOARD!$B$11), P677, 1000000000000)</f>
        <v/>
      </c>
      <c r="AB677" s="101">
        <f>IF(AND(F677&lt;=DASHBOARD!$B$10, H677&gt;=DASHBOARD!$B$11), Q677, -1000000000000)</f>
        <v/>
      </c>
    </row>
    <row r="678" ht="15" customHeight="1" s="102">
      <c r="A678" s="166" t="n">
        <v>674</v>
      </c>
      <c r="B678" s="167" t="n">
        <v>1.6</v>
      </c>
      <c r="C678" s="167" t="n">
        <v>0</v>
      </c>
      <c r="D678" s="110" t="inlineStr">
        <is>
          <t>Var (%20)</t>
        </is>
      </c>
      <c r="E678" s="110">
        <f>IF((B678+C678)&lt;=1, "Tam Mahsuplaşma (≤%100)", "Kısmi Satış (&gt;%100)")</f>
        <v/>
      </c>
      <c r="F678" s="168">
        <f>((VERI_TABANI!$D$29*B678/VERI_TABANI!$B$29)/VERI_TABANI!$B$3)*VERI_TABANI!$B$5 + ((VERI_TABANI!$D$29*C678/VERI_TABANI!$B$29)/VERI_TABANI!$B$4)*VERI_TABANI!$B$6 + IF(ISNUMBER(SEARCH("Var", D678)), (VERI_TABANI!$F$29/VERI_TABANI!$B$29)*(VERI_TABANI!$B$10+VERI_TABANI!$B$12), 0)</f>
        <v/>
      </c>
      <c r="G678" s="168">
        <f>(((MIN(VERI_TABANI!D23, VERI_TABANI!D23*B678)*VERI_TABANI!$B$7 + MAX(0, VERI_TABANI!D23*B678-VERI_TABANI!D23)*VERI_TABANI!$B$8) + (MIN(MAX(0, VERI_TABANI!D23-VERI_TABANI!D23*B678), VERI_TABANI!D23*C678)*VERI_TABANI!$B$7 + MAX(0, VERI_TABANI!D23*C678-MAX(0, VERI_TABANI!D23-VERI_TABANI!D23*B678))*VERI_TABANI!$B$8) + IF(ABS(IF(ISNUMBER(SEARCH("Var", D678)), 1, IF(ISNUMBER(SEARCH("Gri", D678)), -1, 0)))=1, VERI_TABANI!E23*(1-0.928)*VERI_TABANI!$B$9, 0) + (VERI_TABANI!D23*B678*(VERI_TABANI!$B$13-VERI_TABANI!$B$14)*VERI_TABANI!G23) + (VERI_TABANI!D23*C678*(VERI_TABANI!$B$13-VERI_TABANI!$B$15)*VERI_TABANI!G23) + IF(ABS(IF(ISNUMBER(SEARCH("Var", D678)), 1, IF(ISNUMBER(SEARCH("Gri", D678)), -1, 0)))=1, VERI_TABANI!E23*(1-0.928)*0.00206091519919798*VERI_TABANI!G23, 0)) + ((MIN(VERI_TABANI!D24, VERI_TABANI!D24*B678)*VERI_TABANI!$B$7 + MAX(0, VERI_TABANI!D24*B678-VERI_TABANI!D24)*VERI_TABANI!$B$8) + (MIN(MAX(0, VERI_TABANI!D24-VERI_TABANI!D24*B678), VERI_TABANI!D24*C678)*VERI_TABANI!$B$7 + MAX(0, VERI_TABANI!D24*C678-MAX(0, VERI_TABANI!D24-VERI_TABANI!D24*B678))*VERI_TABANI!$B$8) + IF(ABS(IF(ISNUMBER(SEARCH("Var", D678)), 1, IF(ISNUMBER(SEARCH("Gri", D678)), -1, 0)))=1, VERI_TABANI!E24*(1-0.928)*VERI_TABANI!$B$9, 0) + (VERI_TABANI!D24*B678*(VERI_TABANI!$B$13-VERI_TABANI!$B$14)*VERI_TABANI!G24) + (VERI_TABANI!D24*C678*(VERI_TABANI!$B$13-VERI_TABANI!$B$15)*VERI_TABANI!G24) + IF(ABS(IF(ISNUMBER(SEARCH("Var", D678)), 1, IF(ISNUMBER(SEARCH("Gri", D678)), -1, 0)))=1, VERI_TABANI!E24*(1-0.928)*0.00206091519919798*VERI_TABANI!G24, 0)) + ((MIN(VERI_TABANI!D25, VERI_TABANI!D25*B678)*VERI_TABANI!$B$7 + MAX(0, VERI_TABANI!D25*B678-VERI_TABANI!D25)*VERI_TABANI!$B$8) + (MIN(MAX(0, VERI_TABANI!D25-VERI_TABANI!D25*B678), VERI_TABANI!D25*C678)*VERI_TABANI!$B$7 + MAX(0, VERI_TABANI!D25*C678-MAX(0, VERI_TABANI!D25-VERI_TABANI!D25*B678))*VERI_TABANI!$B$8) + IF(ABS(IF(ISNUMBER(SEARCH("Var", D678)), 1, IF(ISNUMBER(SEARCH("Gri", D678)), -1, 0)))=1, VERI_TABANI!E25*(1-0.928)*VERI_TABANI!$B$9, 0) + (VERI_TABANI!D25*B678*(VERI_TABANI!$B$13-VERI_TABANI!$B$14)*VERI_TABANI!G25) + (VERI_TABANI!D25*C678*(VERI_TABANI!$B$13-VERI_TABANI!$B$15)*VERI_TABANI!G25) + IF(ABS(IF(ISNUMBER(SEARCH("Var", D678)), 1, IF(ISNUMBER(SEARCH("Gri", D678)), -1, 0)))=1, VERI_TABANI!E25*(1-0.928)*0.00206091519919798*VERI_TABANI!G25, 0)) + ((MIN(VERI_TABANI!D26, VERI_TABANI!D26*B678)*VERI_TABANI!$B$7 + MAX(0, VERI_TABANI!D26*B678-VERI_TABANI!D26)*VERI_TABANI!$B$8) + (MIN(MAX(0, VERI_TABANI!D26-VERI_TABANI!D26*B678), VERI_TABANI!D26*C678)*VERI_TABANI!$B$7 + MAX(0, VERI_TABANI!D26*C678-MAX(0, VERI_TABANI!D26-VERI_TABANI!D26*B678))*VERI_TABANI!$B$8) + IF(ABS(IF(ISNUMBER(SEARCH("Var", D678)), 1, IF(ISNUMBER(SEARCH("Gri", D678)), -1, 0)))=1, VERI_TABANI!E26*(1-0.928)*VERI_TABANI!$B$9, 0) + (VERI_TABANI!D26*B678*(VERI_TABANI!$B$13-VERI_TABANI!$B$14)*VERI_TABANI!G26) + (VERI_TABANI!D26*C678*(VERI_TABANI!$B$13-VERI_TABANI!$B$15)*VERI_TABANI!G26) + IF(ABS(IF(ISNUMBER(SEARCH("Var", D678)), 1, IF(ISNUMBER(SEARCH("Gri", D678)), -1, 0)))=1, VERI_TABANI!E26*(1-0.928)*0.00206091519919798*VERI_TABANI!G26, 0)) + ((MIN(VERI_TABANI!D27, VERI_TABANI!D27*B678)*VERI_TABANI!$B$7 + MAX(0, VERI_TABANI!D27*B678-VERI_TABANI!D27)*VERI_TABANI!$B$8) + (MIN(MAX(0, VERI_TABANI!D27-VERI_TABANI!D27*B678), VERI_TABANI!D27*C678)*VERI_TABANI!$B$7 + MAX(0, VERI_TABANI!D27*C678-MAX(0, VERI_TABANI!D27-VERI_TABANI!D27*B678))*VERI_TABANI!$B$8) + IF(ABS(IF(ISNUMBER(SEARCH("Var", D678)), 1, IF(ISNUMBER(SEARCH("Gri", D678)), -1, 0)))=1, VERI_TABANI!E27*(1-0.928)*VERI_TABANI!$B$9, 0) + (VERI_TABANI!D27*B678*(VERI_TABANI!$B$13-VERI_TABANI!$B$14)*VERI_TABANI!G27) + (VERI_TABANI!D27*C678*(VERI_TABANI!$B$13-VERI_TABANI!$B$15)*VERI_TABANI!G27) + IF(ABS(IF(ISNUMBER(SEARCH("Var", D678)), 1, IF(ISNUMBER(SEARCH("Gri", D678)), -1, 0)))=1, VERI_TABANI!E27*(1-0.928)*0.00206091519919798*VERI_TABANI!G27, 0)) + ((MIN(VERI_TABANI!D28, VERI_TABANI!D28*B678)*VERI_TABANI!$B$7 + MAX(0, VERI_TABANI!D28*B678-VERI_TABANI!D28)*VERI_TABANI!$B$8) + (MIN(MAX(0, VERI_TABANI!D28-VERI_TABANI!D28*B678), VERI_TABANI!D28*C678)*VERI_TABANI!$B$7 + MAX(0, VERI_TABANI!D28*C678-MAX(0, VERI_TABANI!D28-VERI_TABANI!D28*B678))*VERI_TABANI!$B$8) + IF(ABS(IF(ISNUMBER(SEARCH("Var", D678)), 1, IF(ISNUMBER(SEARCH("Gri", D678)), -1, 0)))=1, VERI_TABANI!E28*(1-0.928)*VERI_TABANI!$B$9, 0) + (VERI_TABANI!D28*B678*(VERI_TABANI!$B$13-VERI_TABANI!$B$14)*VERI_TABANI!G28) + (VERI_TABANI!D28*C678*(VERI_TABANI!$B$13-VERI_TABANI!$B$15)*VERI_TABANI!G28) + IF(ABS(IF(ISNUMBER(SEARCH("Var", D678)), 1, IF(ISNUMBER(SEARCH("Gri", D678)), -1, 0)))=1, VERI_TABANI!E28*(1-0.928)*0.00206091519919798*VERI_TABANI!G28, 0)))</f>
        <v/>
      </c>
      <c r="H678" s="169">
        <f>(((VERI_TABANI!D23*B678*(VERI_TABANI!$B$13-VERI_TABANI!$B$14)) + (VERI_TABANI!D23*C678*(VERI_TABANI!$B$13-VERI_TABANI!$B$15)) + IF(ISNUMBER(SEARCH("Var", D678)), VERI_TABANI!F23*(0.00202-VERI_TABANI!$B$16), IF(ISNUMBER(SEARCH("Gri", D678)), VERI_TABANI!F23*(0.00202-VERI_TABANI!$B$17), 0))) + ((VERI_TABANI!D24*B678*(VERI_TABANI!$B$13-VERI_TABANI!$B$14)) + (VERI_TABANI!D24*C678*(VERI_TABANI!$B$13-VERI_TABANI!$B$15)) + IF(ISNUMBER(SEARCH("Var", D678)), VERI_TABANI!F24*(0.00202-VERI_TABANI!$B$16), IF(ISNUMBER(SEARCH("Gri", D678)), VERI_TABANI!F24*(0.00202-VERI_TABANI!$B$17), 0))) + ((VERI_TABANI!D25*B678*(VERI_TABANI!$B$13-VERI_TABANI!$B$14)) + (VERI_TABANI!D25*C678*(VERI_TABANI!$B$13-VERI_TABANI!$B$15)) + IF(ISNUMBER(SEARCH("Var", D678)), VERI_TABANI!F25*(0.00202-VERI_TABANI!$B$16), IF(ISNUMBER(SEARCH("Gri", D678)), VERI_TABANI!F25*(0.00202-VERI_TABANI!$B$17), 0))) + ((VERI_TABANI!D26*B678*(VERI_TABANI!$B$13-VERI_TABANI!$B$14)) + (VERI_TABANI!D26*C678*(VERI_TABANI!$B$13-VERI_TABANI!$B$15)) + IF(ISNUMBER(SEARCH("Var", D678)), VERI_TABANI!F26*(0.00202-VERI_TABANI!$B$16), IF(ISNUMBER(SEARCH("Gri", D678)), VERI_TABANI!F26*(0.00202-VERI_TABANI!$B$17), 0))) + ((VERI_TABANI!D27*B678*(VERI_TABANI!$B$13-VERI_TABANI!$B$14)) + (VERI_TABANI!D27*C678*(VERI_TABANI!$B$13-VERI_TABANI!$B$15)) + IF(ISNUMBER(SEARCH("Var", D678)), VERI_TABANI!F27*(0.00202-VERI_TABANI!$B$16), IF(ISNUMBER(SEARCH("Gri", D678)), VERI_TABANI!F27*(0.00202-VERI_TABANI!$B$17), 0))) + ((VERI_TABANI!D28*B678*(VERI_TABANI!$B$13-VERI_TABANI!$B$14)) + (VERI_TABANI!D28*C678*(VERI_TABANI!$B$13-VERI_TABANI!$B$15)) + IF(ISNUMBER(SEARCH("Var", D678)), VERI_TABANI!F28*(0.00202-VERI_TABANI!$B$16), IF(ISNUMBER(SEARCH("Gri", D678)), VERI_TABANI!F28*(0.00202-VERI_TABANI!$B$17), 0))))</f>
        <v/>
      </c>
      <c r="I678" s="170">
        <f>IFERROR(((VERI_TABANI!$D$29*B678*VERI_TABANI!$B$14 + VERI_TABANI!$D$29*C678*VERI_TABANI!$B$15 + IF(ISNUMBER(SEARCH("Var", D678)), VERI_TABANI!$F$29*VERI_TABANI!$B$16, 0))) / (((VERI_TABANI!$D$29*B678 + VERI_TABANI!$D$29*C678)*VERI_TABANI!$B$13 + IF(ISNUMBER(SEARCH("Var", D678)), VERI_TABANI!$E$29*(1-0.928)*VERI_TABANI!$B$18, 0))), 0)</f>
        <v/>
      </c>
      <c r="J678" s="171">
        <f>IFERROR(F678/(G678/29), 0)</f>
        <v/>
      </c>
      <c r="K678" s="172">
        <f>IF(F678&gt;0, H678/F678, 0)</f>
        <v/>
      </c>
      <c r="L678" s="170">
        <f>IF(F678&gt;0, I678, 1000000000)</f>
        <v/>
      </c>
      <c r="M678" s="171">
        <f>ABS((B678+C678)-1)</f>
        <v/>
      </c>
      <c r="N678" s="170">
        <f>IF(F678&gt;0, (G678/29)/F678, 0)</f>
        <v/>
      </c>
      <c r="O678" s="168">
        <f>IF(AND((B678+C678)&gt;=1, ISNUMBER(SEARCH("Var", D678))), F678, 1000000000)</f>
        <v/>
      </c>
      <c r="P678" s="172">
        <f>IF(F678&gt;0, SQRT((F678/MAX(F$5:F$886))^2 + (1 - H678/MAX(H$5:H$886))^2 + (J678/MAX(J$5:J$886))^2), 1000000000)</f>
        <v/>
      </c>
      <c r="Q678" s="166">
        <f>IF(AND(ABS(B678-0.5)&lt;0.01, ABS(C678-0.5)&lt;0.01, ISNUMBER(SEARCH("Var", D678))), 1, 0)</f>
        <v/>
      </c>
      <c r="R678" s="171">
        <f>IF(F678&gt;0, J678, 1000000000)</f>
        <v/>
      </c>
      <c r="S678" s="101">
        <f>IF(AND(F678&lt;=DASHBOARD!$B$11, H678&gt;=DASHBOARD!$B$13), G678, -1000000000000)</f>
        <v/>
      </c>
      <c r="T678" s="101">
        <f>IF(AND(F678&lt;=DASHBOARD!$B$11, H678&gt;=DASHBOARD!$B$13), R678, 1000000000000)</f>
        <v/>
      </c>
      <c r="U678" s="101">
        <f>IF(AND(F678&lt;=DASHBOARD!$B$11, H678&gt;=DASHBOARD!$B$13), N678, -1000000000000)</f>
        <v/>
      </c>
      <c r="V678" s="101">
        <f>IF(AND(F678&lt;=DASHBOARD!$B$11, H678&gt;=DASHBOARD!$B$13), H678, -1000000000000)</f>
        <v/>
      </c>
      <c r="W678" s="101">
        <f>IF(AND(F678&lt;=DASHBOARD!$B$11, H678&gt;=DASHBOARD!$B$13), K678, -1000000000000)</f>
        <v/>
      </c>
      <c r="X678" s="101">
        <f>IF(AND(F678&lt;=DASHBOARD!$B$11, H678&gt;=DASHBOARD!$B$13), M678, 1000000000000)</f>
        <v/>
      </c>
      <c r="Y678" s="101">
        <f>IF(AND(F678&lt;=DASHBOARD!$B$10, H678&gt;=DASHBOARD!$B$11), L678, 1000000000000)</f>
        <v/>
      </c>
      <c r="Z678" s="101">
        <f>IF(AND(F678&lt;=DASHBOARD!$B$10, H678&gt;=DASHBOARD!$B$11), O678, 1000000000000)</f>
        <v/>
      </c>
      <c r="AA678" s="101">
        <f>IF(AND(F678&lt;=DASHBOARD!$B$10, H678&gt;=DASHBOARD!$B$11), P678, 1000000000000)</f>
        <v/>
      </c>
      <c r="AB678" s="101">
        <f>IF(AND(F678&lt;=DASHBOARD!$B$10, H678&gt;=DASHBOARD!$B$11), Q678, -1000000000000)</f>
        <v/>
      </c>
    </row>
    <row r="679" ht="15" customHeight="1" s="102">
      <c r="A679" s="166" t="n">
        <v>675</v>
      </c>
      <c r="B679" s="167" t="n">
        <v>1.6</v>
      </c>
      <c r="C679" s="167" t="n">
        <v>0.1</v>
      </c>
      <c r="D679" s="110" t="inlineStr">
        <is>
          <t>Yok (%0)</t>
        </is>
      </c>
      <c r="E679" s="110">
        <f>IF((B679+C679)&lt;=1, "Tam Mahsuplaşma (≤%100)", "Kısmi Satış (&gt;%100)")</f>
        <v/>
      </c>
      <c r="F679" s="168">
        <f>((VERI_TABANI!$D$29*B679/VERI_TABANI!$B$29)/VERI_TABANI!$B$3)*VERI_TABANI!$B$5 + ((VERI_TABANI!$D$29*C679/VERI_TABANI!$B$29)/VERI_TABANI!$B$4)*VERI_TABANI!$B$6 + IF(ISNUMBER(SEARCH("Var", D679)), (VERI_TABANI!$F$29/VERI_TABANI!$B$29)*(VERI_TABANI!$B$10+VERI_TABANI!$B$12), 0)</f>
        <v/>
      </c>
      <c r="G679" s="168">
        <f>(((MIN(VERI_TABANI!D23, VERI_TABANI!D23*B679)*VERI_TABANI!$B$7 + MAX(0, VERI_TABANI!D23*B679-VERI_TABANI!D23)*VERI_TABANI!$B$8) + (MIN(MAX(0, VERI_TABANI!D23-VERI_TABANI!D23*B679), VERI_TABANI!D23*C679)*VERI_TABANI!$B$7 + MAX(0, VERI_TABANI!D23*C679-MAX(0, VERI_TABANI!D23-VERI_TABANI!D23*B679))*VERI_TABANI!$B$8) + IF(ABS(IF(ISNUMBER(SEARCH("Var", D679)), 1, IF(ISNUMBER(SEARCH("Gri", D679)), -1, 0)))=1, VERI_TABANI!E23*(1-0.928)*VERI_TABANI!$B$9, 0) + (VERI_TABANI!D23*B679*(VERI_TABANI!$B$13-VERI_TABANI!$B$14)*VERI_TABANI!G23) + (VERI_TABANI!D23*C679*(VERI_TABANI!$B$13-VERI_TABANI!$B$15)*VERI_TABANI!G23) + IF(ABS(IF(ISNUMBER(SEARCH("Var", D679)), 1, IF(ISNUMBER(SEARCH("Gri", D679)), -1, 0)))=1, VERI_TABANI!E23*(1-0.928)*0.00206091519919798*VERI_TABANI!G23, 0)) + ((MIN(VERI_TABANI!D24, VERI_TABANI!D24*B679)*VERI_TABANI!$B$7 + MAX(0, VERI_TABANI!D24*B679-VERI_TABANI!D24)*VERI_TABANI!$B$8) + (MIN(MAX(0, VERI_TABANI!D24-VERI_TABANI!D24*B679), VERI_TABANI!D24*C679)*VERI_TABANI!$B$7 + MAX(0, VERI_TABANI!D24*C679-MAX(0, VERI_TABANI!D24-VERI_TABANI!D24*B679))*VERI_TABANI!$B$8) + IF(ABS(IF(ISNUMBER(SEARCH("Var", D679)), 1, IF(ISNUMBER(SEARCH("Gri", D679)), -1, 0)))=1, VERI_TABANI!E24*(1-0.928)*VERI_TABANI!$B$9, 0) + (VERI_TABANI!D24*B679*(VERI_TABANI!$B$13-VERI_TABANI!$B$14)*VERI_TABANI!G24) + (VERI_TABANI!D24*C679*(VERI_TABANI!$B$13-VERI_TABANI!$B$15)*VERI_TABANI!G24) + IF(ABS(IF(ISNUMBER(SEARCH("Var", D679)), 1, IF(ISNUMBER(SEARCH("Gri", D679)), -1, 0)))=1, VERI_TABANI!E24*(1-0.928)*0.00206091519919798*VERI_TABANI!G24, 0)) + ((MIN(VERI_TABANI!D25, VERI_TABANI!D25*B679)*VERI_TABANI!$B$7 + MAX(0, VERI_TABANI!D25*B679-VERI_TABANI!D25)*VERI_TABANI!$B$8) + (MIN(MAX(0, VERI_TABANI!D25-VERI_TABANI!D25*B679), VERI_TABANI!D25*C679)*VERI_TABANI!$B$7 + MAX(0, VERI_TABANI!D25*C679-MAX(0, VERI_TABANI!D25-VERI_TABANI!D25*B679))*VERI_TABANI!$B$8) + IF(ABS(IF(ISNUMBER(SEARCH("Var", D679)), 1, IF(ISNUMBER(SEARCH("Gri", D679)), -1, 0)))=1, VERI_TABANI!E25*(1-0.928)*VERI_TABANI!$B$9, 0) + (VERI_TABANI!D25*B679*(VERI_TABANI!$B$13-VERI_TABANI!$B$14)*VERI_TABANI!G25) + (VERI_TABANI!D25*C679*(VERI_TABANI!$B$13-VERI_TABANI!$B$15)*VERI_TABANI!G25) + IF(ABS(IF(ISNUMBER(SEARCH("Var", D679)), 1, IF(ISNUMBER(SEARCH("Gri", D679)), -1, 0)))=1, VERI_TABANI!E25*(1-0.928)*0.00206091519919798*VERI_TABANI!G25, 0)) + ((MIN(VERI_TABANI!D26, VERI_TABANI!D26*B679)*VERI_TABANI!$B$7 + MAX(0, VERI_TABANI!D26*B679-VERI_TABANI!D26)*VERI_TABANI!$B$8) + (MIN(MAX(0, VERI_TABANI!D26-VERI_TABANI!D26*B679), VERI_TABANI!D26*C679)*VERI_TABANI!$B$7 + MAX(0, VERI_TABANI!D26*C679-MAX(0, VERI_TABANI!D26-VERI_TABANI!D26*B679))*VERI_TABANI!$B$8) + IF(ABS(IF(ISNUMBER(SEARCH("Var", D679)), 1, IF(ISNUMBER(SEARCH("Gri", D679)), -1, 0)))=1, VERI_TABANI!E26*(1-0.928)*VERI_TABANI!$B$9, 0) + (VERI_TABANI!D26*B679*(VERI_TABANI!$B$13-VERI_TABANI!$B$14)*VERI_TABANI!G26) + (VERI_TABANI!D26*C679*(VERI_TABANI!$B$13-VERI_TABANI!$B$15)*VERI_TABANI!G26) + IF(ABS(IF(ISNUMBER(SEARCH("Var", D679)), 1, IF(ISNUMBER(SEARCH("Gri", D679)), -1, 0)))=1, VERI_TABANI!E26*(1-0.928)*0.00206091519919798*VERI_TABANI!G26, 0)) + ((MIN(VERI_TABANI!D27, VERI_TABANI!D27*B679)*VERI_TABANI!$B$7 + MAX(0, VERI_TABANI!D27*B679-VERI_TABANI!D27)*VERI_TABANI!$B$8) + (MIN(MAX(0, VERI_TABANI!D27-VERI_TABANI!D27*B679), VERI_TABANI!D27*C679)*VERI_TABANI!$B$7 + MAX(0, VERI_TABANI!D27*C679-MAX(0, VERI_TABANI!D27-VERI_TABANI!D27*B679))*VERI_TABANI!$B$8) + IF(ABS(IF(ISNUMBER(SEARCH("Var", D679)), 1, IF(ISNUMBER(SEARCH("Gri", D679)), -1, 0)))=1, VERI_TABANI!E27*(1-0.928)*VERI_TABANI!$B$9, 0) + (VERI_TABANI!D27*B679*(VERI_TABANI!$B$13-VERI_TABANI!$B$14)*VERI_TABANI!G27) + (VERI_TABANI!D27*C679*(VERI_TABANI!$B$13-VERI_TABANI!$B$15)*VERI_TABANI!G27) + IF(ABS(IF(ISNUMBER(SEARCH("Var", D679)), 1, IF(ISNUMBER(SEARCH("Gri", D679)), -1, 0)))=1, VERI_TABANI!E27*(1-0.928)*0.00206091519919798*VERI_TABANI!G27, 0)) + ((MIN(VERI_TABANI!D28, VERI_TABANI!D28*B679)*VERI_TABANI!$B$7 + MAX(0, VERI_TABANI!D28*B679-VERI_TABANI!D28)*VERI_TABANI!$B$8) + (MIN(MAX(0, VERI_TABANI!D28-VERI_TABANI!D28*B679), VERI_TABANI!D28*C679)*VERI_TABANI!$B$7 + MAX(0, VERI_TABANI!D28*C679-MAX(0, VERI_TABANI!D28-VERI_TABANI!D28*B679))*VERI_TABANI!$B$8) + IF(ABS(IF(ISNUMBER(SEARCH("Var", D679)), 1, IF(ISNUMBER(SEARCH("Gri", D679)), -1, 0)))=1, VERI_TABANI!E28*(1-0.928)*VERI_TABANI!$B$9, 0) + (VERI_TABANI!D28*B679*(VERI_TABANI!$B$13-VERI_TABANI!$B$14)*VERI_TABANI!G28) + (VERI_TABANI!D28*C679*(VERI_TABANI!$B$13-VERI_TABANI!$B$15)*VERI_TABANI!G28) + IF(ABS(IF(ISNUMBER(SEARCH("Var", D679)), 1, IF(ISNUMBER(SEARCH("Gri", D679)), -1, 0)))=1, VERI_TABANI!E28*(1-0.928)*0.00206091519919798*VERI_TABANI!G28, 0)))</f>
        <v/>
      </c>
      <c r="H679" s="169">
        <f>(((VERI_TABANI!D23*B679*(VERI_TABANI!$B$13-VERI_TABANI!$B$14)) + (VERI_TABANI!D23*C679*(VERI_TABANI!$B$13-VERI_TABANI!$B$15)) + IF(ISNUMBER(SEARCH("Var", D679)), VERI_TABANI!F23*(0.00202-VERI_TABANI!$B$16), IF(ISNUMBER(SEARCH("Gri", D679)), VERI_TABANI!F23*(0.00202-VERI_TABANI!$B$17), 0))) + ((VERI_TABANI!D24*B679*(VERI_TABANI!$B$13-VERI_TABANI!$B$14)) + (VERI_TABANI!D24*C679*(VERI_TABANI!$B$13-VERI_TABANI!$B$15)) + IF(ISNUMBER(SEARCH("Var", D679)), VERI_TABANI!F24*(0.00202-VERI_TABANI!$B$16), IF(ISNUMBER(SEARCH("Gri", D679)), VERI_TABANI!F24*(0.00202-VERI_TABANI!$B$17), 0))) + ((VERI_TABANI!D25*B679*(VERI_TABANI!$B$13-VERI_TABANI!$B$14)) + (VERI_TABANI!D25*C679*(VERI_TABANI!$B$13-VERI_TABANI!$B$15)) + IF(ISNUMBER(SEARCH("Var", D679)), VERI_TABANI!F25*(0.00202-VERI_TABANI!$B$16), IF(ISNUMBER(SEARCH("Gri", D679)), VERI_TABANI!F25*(0.00202-VERI_TABANI!$B$17), 0))) + ((VERI_TABANI!D26*B679*(VERI_TABANI!$B$13-VERI_TABANI!$B$14)) + (VERI_TABANI!D26*C679*(VERI_TABANI!$B$13-VERI_TABANI!$B$15)) + IF(ISNUMBER(SEARCH("Var", D679)), VERI_TABANI!F26*(0.00202-VERI_TABANI!$B$16), IF(ISNUMBER(SEARCH("Gri", D679)), VERI_TABANI!F26*(0.00202-VERI_TABANI!$B$17), 0))) + ((VERI_TABANI!D27*B679*(VERI_TABANI!$B$13-VERI_TABANI!$B$14)) + (VERI_TABANI!D27*C679*(VERI_TABANI!$B$13-VERI_TABANI!$B$15)) + IF(ISNUMBER(SEARCH("Var", D679)), VERI_TABANI!F27*(0.00202-VERI_TABANI!$B$16), IF(ISNUMBER(SEARCH("Gri", D679)), VERI_TABANI!F27*(0.00202-VERI_TABANI!$B$17), 0))) + ((VERI_TABANI!D28*B679*(VERI_TABANI!$B$13-VERI_TABANI!$B$14)) + (VERI_TABANI!D28*C679*(VERI_TABANI!$B$13-VERI_TABANI!$B$15)) + IF(ISNUMBER(SEARCH("Var", D679)), VERI_TABANI!F28*(0.00202-VERI_TABANI!$B$16), IF(ISNUMBER(SEARCH("Gri", D679)), VERI_TABANI!F28*(0.00202-VERI_TABANI!$B$17), 0))))</f>
        <v/>
      </c>
      <c r="I679" s="170">
        <f>IFERROR(((VERI_TABANI!$D$29*B679*VERI_TABANI!$B$14 + VERI_TABANI!$D$29*C679*VERI_TABANI!$B$15 + IF(ISNUMBER(SEARCH("Var", D679)), VERI_TABANI!$F$29*VERI_TABANI!$B$16, 0))) / (((VERI_TABANI!$D$29*B679 + VERI_TABANI!$D$29*C679)*VERI_TABANI!$B$13 + IF(ISNUMBER(SEARCH("Var", D679)), VERI_TABANI!$E$29*(1-0.928)*VERI_TABANI!$B$18, 0))), 0)</f>
        <v/>
      </c>
      <c r="J679" s="171">
        <f>IFERROR(F679/(G679/29), 0)</f>
        <v/>
      </c>
      <c r="K679" s="172">
        <f>IF(F679&gt;0, H679/F679, 0)</f>
        <v/>
      </c>
      <c r="L679" s="170">
        <f>IF(F679&gt;0, I679, 1000000000)</f>
        <v/>
      </c>
      <c r="M679" s="171">
        <f>ABS((B679+C679)-1)</f>
        <v/>
      </c>
      <c r="N679" s="170">
        <f>IF(F679&gt;0, (G679/29)/F679, 0)</f>
        <v/>
      </c>
      <c r="O679" s="168">
        <f>IF(AND((B679+C679)&gt;=1, ISNUMBER(SEARCH("Var", D679))), F679, 1000000000)</f>
        <v/>
      </c>
      <c r="P679" s="172">
        <f>IF(F679&gt;0, SQRT((F679/MAX(F$5:F$886))^2 + (1 - H679/MAX(H$5:H$886))^2 + (J679/MAX(J$5:J$886))^2), 1000000000)</f>
        <v/>
      </c>
      <c r="Q679" s="166">
        <f>IF(AND(ABS(B679-0.5)&lt;0.01, ABS(C679-0.5)&lt;0.01, ISNUMBER(SEARCH("Var", D679))), 1, 0)</f>
        <v/>
      </c>
      <c r="R679" s="171">
        <f>IF(F679&gt;0, J679, 1000000000)</f>
        <v/>
      </c>
      <c r="S679" s="101">
        <f>IF(AND(F679&lt;=DASHBOARD!$B$11, H679&gt;=DASHBOARD!$B$13), G679, -1000000000000)</f>
        <v/>
      </c>
      <c r="T679" s="101">
        <f>IF(AND(F679&lt;=DASHBOARD!$B$11, H679&gt;=DASHBOARD!$B$13), R679, 1000000000000)</f>
        <v/>
      </c>
      <c r="U679" s="101">
        <f>IF(AND(F679&lt;=DASHBOARD!$B$11, H679&gt;=DASHBOARD!$B$13), N679, -1000000000000)</f>
        <v/>
      </c>
      <c r="V679" s="101">
        <f>IF(AND(F679&lt;=DASHBOARD!$B$11, H679&gt;=DASHBOARD!$B$13), H679, -1000000000000)</f>
        <v/>
      </c>
      <c r="W679" s="101">
        <f>IF(AND(F679&lt;=DASHBOARD!$B$11, H679&gt;=DASHBOARD!$B$13), K679, -1000000000000)</f>
        <v/>
      </c>
      <c r="X679" s="101">
        <f>IF(AND(F679&lt;=DASHBOARD!$B$11, H679&gt;=DASHBOARD!$B$13), M679, 1000000000000)</f>
        <v/>
      </c>
      <c r="Y679" s="101">
        <f>IF(AND(F679&lt;=DASHBOARD!$B$10, H679&gt;=DASHBOARD!$B$11), L679, 1000000000000)</f>
        <v/>
      </c>
      <c r="Z679" s="101">
        <f>IF(AND(F679&lt;=DASHBOARD!$B$10, H679&gt;=DASHBOARD!$B$11), O679, 1000000000000)</f>
        <v/>
      </c>
      <c r="AA679" s="101">
        <f>IF(AND(F679&lt;=DASHBOARD!$B$10, H679&gt;=DASHBOARD!$B$11), P679, 1000000000000)</f>
        <v/>
      </c>
      <c r="AB679" s="101">
        <f>IF(AND(F679&lt;=DASHBOARD!$B$10, H679&gt;=DASHBOARD!$B$11), Q679, -1000000000000)</f>
        <v/>
      </c>
    </row>
    <row r="680" ht="15" customHeight="1" s="102">
      <c r="A680" s="166" t="n">
        <v>676</v>
      </c>
      <c r="B680" s="167" t="n">
        <v>1.6</v>
      </c>
      <c r="C680" s="167" t="n">
        <v>0.1</v>
      </c>
      <c r="D680" s="110" t="inlineStr">
        <is>
          <t>Var (%20)</t>
        </is>
      </c>
      <c r="E680" s="110">
        <f>IF((B680+C680)&lt;=1, "Tam Mahsuplaşma (≤%100)", "Kısmi Satış (&gt;%100)")</f>
        <v/>
      </c>
      <c r="F680" s="168">
        <f>((VERI_TABANI!$D$29*B680/VERI_TABANI!$B$29)/VERI_TABANI!$B$3)*VERI_TABANI!$B$5 + ((VERI_TABANI!$D$29*C680/VERI_TABANI!$B$29)/VERI_TABANI!$B$4)*VERI_TABANI!$B$6 + IF(ISNUMBER(SEARCH("Var", D680)), (VERI_TABANI!$F$29/VERI_TABANI!$B$29)*(VERI_TABANI!$B$10+VERI_TABANI!$B$12), 0)</f>
        <v/>
      </c>
      <c r="G680" s="168">
        <f>(((MIN(VERI_TABANI!D23, VERI_TABANI!D23*B680)*VERI_TABANI!$B$7 + MAX(0, VERI_TABANI!D23*B680-VERI_TABANI!D23)*VERI_TABANI!$B$8) + (MIN(MAX(0, VERI_TABANI!D23-VERI_TABANI!D23*B680), VERI_TABANI!D23*C680)*VERI_TABANI!$B$7 + MAX(0, VERI_TABANI!D23*C680-MAX(0, VERI_TABANI!D23-VERI_TABANI!D23*B680))*VERI_TABANI!$B$8) + IF(ABS(IF(ISNUMBER(SEARCH("Var", D680)), 1, IF(ISNUMBER(SEARCH("Gri", D680)), -1, 0)))=1, VERI_TABANI!E23*(1-0.928)*VERI_TABANI!$B$9, 0) + (VERI_TABANI!D23*B680*(VERI_TABANI!$B$13-VERI_TABANI!$B$14)*VERI_TABANI!G23) + (VERI_TABANI!D23*C680*(VERI_TABANI!$B$13-VERI_TABANI!$B$15)*VERI_TABANI!G23) + IF(ABS(IF(ISNUMBER(SEARCH("Var", D680)), 1, IF(ISNUMBER(SEARCH("Gri", D680)), -1, 0)))=1, VERI_TABANI!E23*(1-0.928)*0.00206091519919798*VERI_TABANI!G23, 0)) + ((MIN(VERI_TABANI!D24, VERI_TABANI!D24*B680)*VERI_TABANI!$B$7 + MAX(0, VERI_TABANI!D24*B680-VERI_TABANI!D24)*VERI_TABANI!$B$8) + (MIN(MAX(0, VERI_TABANI!D24-VERI_TABANI!D24*B680), VERI_TABANI!D24*C680)*VERI_TABANI!$B$7 + MAX(0, VERI_TABANI!D24*C680-MAX(0, VERI_TABANI!D24-VERI_TABANI!D24*B680))*VERI_TABANI!$B$8) + IF(ABS(IF(ISNUMBER(SEARCH("Var", D680)), 1, IF(ISNUMBER(SEARCH("Gri", D680)), -1, 0)))=1, VERI_TABANI!E24*(1-0.928)*VERI_TABANI!$B$9, 0) + (VERI_TABANI!D24*B680*(VERI_TABANI!$B$13-VERI_TABANI!$B$14)*VERI_TABANI!G24) + (VERI_TABANI!D24*C680*(VERI_TABANI!$B$13-VERI_TABANI!$B$15)*VERI_TABANI!G24) + IF(ABS(IF(ISNUMBER(SEARCH("Var", D680)), 1, IF(ISNUMBER(SEARCH("Gri", D680)), -1, 0)))=1, VERI_TABANI!E24*(1-0.928)*0.00206091519919798*VERI_TABANI!G24, 0)) + ((MIN(VERI_TABANI!D25, VERI_TABANI!D25*B680)*VERI_TABANI!$B$7 + MAX(0, VERI_TABANI!D25*B680-VERI_TABANI!D25)*VERI_TABANI!$B$8) + (MIN(MAX(0, VERI_TABANI!D25-VERI_TABANI!D25*B680), VERI_TABANI!D25*C680)*VERI_TABANI!$B$7 + MAX(0, VERI_TABANI!D25*C680-MAX(0, VERI_TABANI!D25-VERI_TABANI!D25*B680))*VERI_TABANI!$B$8) + IF(ABS(IF(ISNUMBER(SEARCH("Var", D680)), 1, IF(ISNUMBER(SEARCH("Gri", D680)), -1, 0)))=1, VERI_TABANI!E25*(1-0.928)*VERI_TABANI!$B$9, 0) + (VERI_TABANI!D25*B680*(VERI_TABANI!$B$13-VERI_TABANI!$B$14)*VERI_TABANI!G25) + (VERI_TABANI!D25*C680*(VERI_TABANI!$B$13-VERI_TABANI!$B$15)*VERI_TABANI!G25) + IF(ABS(IF(ISNUMBER(SEARCH("Var", D680)), 1, IF(ISNUMBER(SEARCH("Gri", D680)), -1, 0)))=1, VERI_TABANI!E25*(1-0.928)*0.00206091519919798*VERI_TABANI!G25, 0)) + ((MIN(VERI_TABANI!D26, VERI_TABANI!D26*B680)*VERI_TABANI!$B$7 + MAX(0, VERI_TABANI!D26*B680-VERI_TABANI!D26)*VERI_TABANI!$B$8) + (MIN(MAX(0, VERI_TABANI!D26-VERI_TABANI!D26*B680), VERI_TABANI!D26*C680)*VERI_TABANI!$B$7 + MAX(0, VERI_TABANI!D26*C680-MAX(0, VERI_TABANI!D26-VERI_TABANI!D26*B680))*VERI_TABANI!$B$8) + IF(ABS(IF(ISNUMBER(SEARCH("Var", D680)), 1, IF(ISNUMBER(SEARCH("Gri", D680)), -1, 0)))=1, VERI_TABANI!E26*(1-0.928)*VERI_TABANI!$B$9, 0) + (VERI_TABANI!D26*B680*(VERI_TABANI!$B$13-VERI_TABANI!$B$14)*VERI_TABANI!G26) + (VERI_TABANI!D26*C680*(VERI_TABANI!$B$13-VERI_TABANI!$B$15)*VERI_TABANI!G26) + IF(ABS(IF(ISNUMBER(SEARCH("Var", D680)), 1, IF(ISNUMBER(SEARCH("Gri", D680)), -1, 0)))=1, VERI_TABANI!E26*(1-0.928)*0.00206091519919798*VERI_TABANI!G26, 0)) + ((MIN(VERI_TABANI!D27, VERI_TABANI!D27*B680)*VERI_TABANI!$B$7 + MAX(0, VERI_TABANI!D27*B680-VERI_TABANI!D27)*VERI_TABANI!$B$8) + (MIN(MAX(0, VERI_TABANI!D27-VERI_TABANI!D27*B680), VERI_TABANI!D27*C680)*VERI_TABANI!$B$7 + MAX(0, VERI_TABANI!D27*C680-MAX(0, VERI_TABANI!D27-VERI_TABANI!D27*B680))*VERI_TABANI!$B$8) + IF(ABS(IF(ISNUMBER(SEARCH("Var", D680)), 1, IF(ISNUMBER(SEARCH("Gri", D680)), -1, 0)))=1, VERI_TABANI!E27*(1-0.928)*VERI_TABANI!$B$9, 0) + (VERI_TABANI!D27*B680*(VERI_TABANI!$B$13-VERI_TABANI!$B$14)*VERI_TABANI!G27) + (VERI_TABANI!D27*C680*(VERI_TABANI!$B$13-VERI_TABANI!$B$15)*VERI_TABANI!G27) + IF(ABS(IF(ISNUMBER(SEARCH("Var", D680)), 1, IF(ISNUMBER(SEARCH("Gri", D680)), -1, 0)))=1, VERI_TABANI!E27*(1-0.928)*0.00206091519919798*VERI_TABANI!G27, 0)) + ((MIN(VERI_TABANI!D28, VERI_TABANI!D28*B680)*VERI_TABANI!$B$7 + MAX(0, VERI_TABANI!D28*B680-VERI_TABANI!D28)*VERI_TABANI!$B$8) + (MIN(MAX(0, VERI_TABANI!D28-VERI_TABANI!D28*B680), VERI_TABANI!D28*C680)*VERI_TABANI!$B$7 + MAX(0, VERI_TABANI!D28*C680-MAX(0, VERI_TABANI!D28-VERI_TABANI!D28*B680))*VERI_TABANI!$B$8) + IF(ABS(IF(ISNUMBER(SEARCH("Var", D680)), 1, IF(ISNUMBER(SEARCH("Gri", D680)), -1, 0)))=1, VERI_TABANI!E28*(1-0.928)*VERI_TABANI!$B$9, 0) + (VERI_TABANI!D28*B680*(VERI_TABANI!$B$13-VERI_TABANI!$B$14)*VERI_TABANI!G28) + (VERI_TABANI!D28*C680*(VERI_TABANI!$B$13-VERI_TABANI!$B$15)*VERI_TABANI!G28) + IF(ABS(IF(ISNUMBER(SEARCH("Var", D680)), 1, IF(ISNUMBER(SEARCH("Gri", D680)), -1, 0)))=1, VERI_TABANI!E28*(1-0.928)*0.00206091519919798*VERI_TABANI!G28, 0)))</f>
        <v/>
      </c>
      <c r="H680" s="169">
        <f>(((VERI_TABANI!D23*B680*(VERI_TABANI!$B$13-VERI_TABANI!$B$14)) + (VERI_TABANI!D23*C680*(VERI_TABANI!$B$13-VERI_TABANI!$B$15)) + IF(ISNUMBER(SEARCH("Var", D680)), VERI_TABANI!F23*(0.00202-VERI_TABANI!$B$16), IF(ISNUMBER(SEARCH("Gri", D680)), VERI_TABANI!F23*(0.00202-VERI_TABANI!$B$17), 0))) + ((VERI_TABANI!D24*B680*(VERI_TABANI!$B$13-VERI_TABANI!$B$14)) + (VERI_TABANI!D24*C680*(VERI_TABANI!$B$13-VERI_TABANI!$B$15)) + IF(ISNUMBER(SEARCH("Var", D680)), VERI_TABANI!F24*(0.00202-VERI_TABANI!$B$16), IF(ISNUMBER(SEARCH("Gri", D680)), VERI_TABANI!F24*(0.00202-VERI_TABANI!$B$17), 0))) + ((VERI_TABANI!D25*B680*(VERI_TABANI!$B$13-VERI_TABANI!$B$14)) + (VERI_TABANI!D25*C680*(VERI_TABANI!$B$13-VERI_TABANI!$B$15)) + IF(ISNUMBER(SEARCH("Var", D680)), VERI_TABANI!F25*(0.00202-VERI_TABANI!$B$16), IF(ISNUMBER(SEARCH("Gri", D680)), VERI_TABANI!F25*(0.00202-VERI_TABANI!$B$17), 0))) + ((VERI_TABANI!D26*B680*(VERI_TABANI!$B$13-VERI_TABANI!$B$14)) + (VERI_TABANI!D26*C680*(VERI_TABANI!$B$13-VERI_TABANI!$B$15)) + IF(ISNUMBER(SEARCH("Var", D680)), VERI_TABANI!F26*(0.00202-VERI_TABANI!$B$16), IF(ISNUMBER(SEARCH("Gri", D680)), VERI_TABANI!F26*(0.00202-VERI_TABANI!$B$17), 0))) + ((VERI_TABANI!D27*B680*(VERI_TABANI!$B$13-VERI_TABANI!$B$14)) + (VERI_TABANI!D27*C680*(VERI_TABANI!$B$13-VERI_TABANI!$B$15)) + IF(ISNUMBER(SEARCH("Var", D680)), VERI_TABANI!F27*(0.00202-VERI_TABANI!$B$16), IF(ISNUMBER(SEARCH("Gri", D680)), VERI_TABANI!F27*(0.00202-VERI_TABANI!$B$17), 0))) + ((VERI_TABANI!D28*B680*(VERI_TABANI!$B$13-VERI_TABANI!$B$14)) + (VERI_TABANI!D28*C680*(VERI_TABANI!$B$13-VERI_TABANI!$B$15)) + IF(ISNUMBER(SEARCH("Var", D680)), VERI_TABANI!F28*(0.00202-VERI_TABANI!$B$16), IF(ISNUMBER(SEARCH("Gri", D680)), VERI_TABANI!F28*(0.00202-VERI_TABANI!$B$17), 0))))</f>
        <v/>
      </c>
      <c r="I680" s="170">
        <f>IFERROR(((VERI_TABANI!$D$29*B680*VERI_TABANI!$B$14 + VERI_TABANI!$D$29*C680*VERI_TABANI!$B$15 + IF(ISNUMBER(SEARCH("Var", D680)), VERI_TABANI!$F$29*VERI_TABANI!$B$16, 0))) / (((VERI_TABANI!$D$29*B680 + VERI_TABANI!$D$29*C680)*VERI_TABANI!$B$13 + IF(ISNUMBER(SEARCH("Var", D680)), VERI_TABANI!$E$29*(1-0.928)*VERI_TABANI!$B$18, 0))), 0)</f>
        <v/>
      </c>
      <c r="J680" s="171">
        <f>IFERROR(F680/(G680/29), 0)</f>
        <v/>
      </c>
      <c r="K680" s="172">
        <f>IF(F680&gt;0, H680/F680, 0)</f>
        <v/>
      </c>
      <c r="L680" s="170">
        <f>IF(F680&gt;0, I680, 1000000000)</f>
        <v/>
      </c>
      <c r="M680" s="171">
        <f>ABS((B680+C680)-1)</f>
        <v/>
      </c>
      <c r="N680" s="170">
        <f>IF(F680&gt;0, (G680/29)/F680, 0)</f>
        <v/>
      </c>
      <c r="O680" s="168">
        <f>IF(AND((B680+C680)&gt;=1, ISNUMBER(SEARCH("Var", D680))), F680, 1000000000)</f>
        <v/>
      </c>
      <c r="P680" s="172">
        <f>IF(F680&gt;0, SQRT((F680/MAX(F$5:F$886))^2 + (1 - H680/MAX(H$5:H$886))^2 + (J680/MAX(J$5:J$886))^2), 1000000000)</f>
        <v/>
      </c>
      <c r="Q680" s="166">
        <f>IF(AND(ABS(B680-0.5)&lt;0.01, ABS(C680-0.5)&lt;0.01, ISNUMBER(SEARCH("Var", D680))), 1, 0)</f>
        <v/>
      </c>
      <c r="R680" s="171">
        <f>IF(F680&gt;0, J680, 1000000000)</f>
        <v/>
      </c>
      <c r="S680" s="101">
        <f>IF(AND(F680&lt;=DASHBOARD!$B$11, H680&gt;=DASHBOARD!$B$13), G680, -1000000000000)</f>
        <v/>
      </c>
      <c r="T680" s="101">
        <f>IF(AND(F680&lt;=DASHBOARD!$B$11, H680&gt;=DASHBOARD!$B$13), R680, 1000000000000)</f>
        <v/>
      </c>
      <c r="U680" s="101">
        <f>IF(AND(F680&lt;=DASHBOARD!$B$11, H680&gt;=DASHBOARD!$B$13), N680, -1000000000000)</f>
        <v/>
      </c>
      <c r="V680" s="101">
        <f>IF(AND(F680&lt;=DASHBOARD!$B$11, H680&gt;=DASHBOARD!$B$13), H680, -1000000000000)</f>
        <v/>
      </c>
      <c r="W680" s="101">
        <f>IF(AND(F680&lt;=DASHBOARD!$B$11, H680&gt;=DASHBOARD!$B$13), K680, -1000000000000)</f>
        <v/>
      </c>
      <c r="X680" s="101">
        <f>IF(AND(F680&lt;=DASHBOARD!$B$11, H680&gt;=DASHBOARD!$B$13), M680, 1000000000000)</f>
        <v/>
      </c>
      <c r="Y680" s="101">
        <f>IF(AND(F680&lt;=DASHBOARD!$B$10, H680&gt;=DASHBOARD!$B$11), L680, 1000000000000)</f>
        <v/>
      </c>
      <c r="Z680" s="101">
        <f>IF(AND(F680&lt;=DASHBOARD!$B$10, H680&gt;=DASHBOARD!$B$11), O680, 1000000000000)</f>
        <v/>
      </c>
      <c r="AA680" s="101">
        <f>IF(AND(F680&lt;=DASHBOARD!$B$10, H680&gt;=DASHBOARD!$B$11), P680, 1000000000000)</f>
        <v/>
      </c>
      <c r="AB680" s="101">
        <f>IF(AND(F680&lt;=DASHBOARD!$B$10, H680&gt;=DASHBOARD!$B$11), Q680, -1000000000000)</f>
        <v/>
      </c>
    </row>
    <row r="681" ht="15" customHeight="1" s="102">
      <c r="A681" s="166" t="n">
        <v>677</v>
      </c>
      <c r="B681" s="167" t="n">
        <v>1.6</v>
      </c>
      <c r="C681" s="167" t="n">
        <v>0.2</v>
      </c>
      <c r="D681" s="110" t="inlineStr">
        <is>
          <t>Yok (%0)</t>
        </is>
      </c>
      <c r="E681" s="110">
        <f>IF((B681+C681)&lt;=1, "Tam Mahsuplaşma (≤%100)", "Kısmi Satış (&gt;%100)")</f>
        <v/>
      </c>
      <c r="F681" s="168">
        <f>((VERI_TABANI!$D$29*B681/VERI_TABANI!$B$29)/VERI_TABANI!$B$3)*VERI_TABANI!$B$5 + ((VERI_TABANI!$D$29*C681/VERI_TABANI!$B$29)/VERI_TABANI!$B$4)*VERI_TABANI!$B$6 + IF(ISNUMBER(SEARCH("Var", D681)), (VERI_TABANI!$F$29/VERI_TABANI!$B$29)*(VERI_TABANI!$B$10+VERI_TABANI!$B$12), 0)</f>
        <v/>
      </c>
      <c r="G681" s="168">
        <f>(((MIN(VERI_TABANI!D23, VERI_TABANI!D23*B681)*VERI_TABANI!$B$7 + MAX(0, VERI_TABANI!D23*B681-VERI_TABANI!D23)*VERI_TABANI!$B$8) + (MIN(MAX(0, VERI_TABANI!D23-VERI_TABANI!D23*B681), VERI_TABANI!D23*C681)*VERI_TABANI!$B$7 + MAX(0, VERI_TABANI!D23*C681-MAX(0, VERI_TABANI!D23-VERI_TABANI!D23*B681))*VERI_TABANI!$B$8) + IF(ABS(IF(ISNUMBER(SEARCH("Var", D681)), 1, IF(ISNUMBER(SEARCH("Gri", D681)), -1, 0)))=1, VERI_TABANI!E23*(1-0.928)*VERI_TABANI!$B$9, 0) + (VERI_TABANI!D23*B681*(VERI_TABANI!$B$13-VERI_TABANI!$B$14)*VERI_TABANI!G23) + (VERI_TABANI!D23*C681*(VERI_TABANI!$B$13-VERI_TABANI!$B$15)*VERI_TABANI!G23) + IF(ABS(IF(ISNUMBER(SEARCH("Var", D681)), 1, IF(ISNUMBER(SEARCH("Gri", D681)), -1, 0)))=1, VERI_TABANI!E23*(1-0.928)*0.00206091519919798*VERI_TABANI!G23, 0)) + ((MIN(VERI_TABANI!D24, VERI_TABANI!D24*B681)*VERI_TABANI!$B$7 + MAX(0, VERI_TABANI!D24*B681-VERI_TABANI!D24)*VERI_TABANI!$B$8) + (MIN(MAX(0, VERI_TABANI!D24-VERI_TABANI!D24*B681), VERI_TABANI!D24*C681)*VERI_TABANI!$B$7 + MAX(0, VERI_TABANI!D24*C681-MAX(0, VERI_TABANI!D24-VERI_TABANI!D24*B681))*VERI_TABANI!$B$8) + IF(ABS(IF(ISNUMBER(SEARCH("Var", D681)), 1, IF(ISNUMBER(SEARCH("Gri", D681)), -1, 0)))=1, VERI_TABANI!E24*(1-0.928)*VERI_TABANI!$B$9, 0) + (VERI_TABANI!D24*B681*(VERI_TABANI!$B$13-VERI_TABANI!$B$14)*VERI_TABANI!G24) + (VERI_TABANI!D24*C681*(VERI_TABANI!$B$13-VERI_TABANI!$B$15)*VERI_TABANI!G24) + IF(ABS(IF(ISNUMBER(SEARCH("Var", D681)), 1, IF(ISNUMBER(SEARCH("Gri", D681)), -1, 0)))=1, VERI_TABANI!E24*(1-0.928)*0.00206091519919798*VERI_TABANI!G24, 0)) + ((MIN(VERI_TABANI!D25, VERI_TABANI!D25*B681)*VERI_TABANI!$B$7 + MAX(0, VERI_TABANI!D25*B681-VERI_TABANI!D25)*VERI_TABANI!$B$8) + (MIN(MAX(0, VERI_TABANI!D25-VERI_TABANI!D25*B681), VERI_TABANI!D25*C681)*VERI_TABANI!$B$7 + MAX(0, VERI_TABANI!D25*C681-MAX(0, VERI_TABANI!D25-VERI_TABANI!D25*B681))*VERI_TABANI!$B$8) + IF(ABS(IF(ISNUMBER(SEARCH("Var", D681)), 1, IF(ISNUMBER(SEARCH("Gri", D681)), -1, 0)))=1, VERI_TABANI!E25*(1-0.928)*VERI_TABANI!$B$9, 0) + (VERI_TABANI!D25*B681*(VERI_TABANI!$B$13-VERI_TABANI!$B$14)*VERI_TABANI!G25) + (VERI_TABANI!D25*C681*(VERI_TABANI!$B$13-VERI_TABANI!$B$15)*VERI_TABANI!G25) + IF(ABS(IF(ISNUMBER(SEARCH("Var", D681)), 1, IF(ISNUMBER(SEARCH("Gri", D681)), -1, 0)))=1, VERI_TABANI!E25*(1-0.928)*0.00206091519919798*VERI_TABANI!G25, 0)) + ((MIN(VERI_TABANI!D26, VERI_TABANI!D26*B681)*VERI_TABANI!$B$7 + MAX(0, VERI_TABANI!D26*B681-VERI_TABANI!D26)*VERI_TABANI!$B$8) + (MIN(MAX(0, VERI_TABANI!D26-VERI_TABANI!D26*B681), VERI_TABANI!D26*C681)*VERI_TABANI!$B$7 + MAX(0, VERI_TABANI!D26*C681-MAX(0, VERI_TABANI!D26-VERI_TABANI!D26*B681))*VERI_TABANI!$B$8) + IF(ABS(IF(ISNUMBER(SEARCH("Var", D681)), 1, IF(ISNUMBER(SEARCH("Gri", D681)), -1, 0)))=1, VERI_TABANI!E26*(1-0.928)*VERI_TABANI!$B$9, 0) + (VERI_TABANI!D26*B681*(VERI_TABANI!$B$13-VERI_TABANI!$B$14)*VERI_TABANI!G26) + (VERI_TABANI!D26*C681*(VERI_TABANI!$B$13-VERI_TABANI!$B$15)*VERI_TABANI!G26) + IF(ABS(IF(ISNUMBER(SEARCH("Var", D681)), 1, IF(ISNUMBER(SEARCH("Gri", D681)), -1, 0)))=1, VERI_TABANI!E26*(1-0.928)*0.00206091519919798*VERI_TABANI!G26, 0)) + ((MIN(VERI_TABANI!D27, VERI_TABANI!D27*B681)*VERI_TABANI!$B$7 + MAX(0, VERI_TABANI!D27*B681-VERI_TABANI!D27)*VERI_TABANI!$B$8) + (MIN(MAX(0, VERI_TABANI!D27-VERI_TABANI!D27*B681), VERI_TABANI!D27*C681)*VERI_TABANI!$B$7 + MAX(0, VERI_TABANI!D27*C681-MAX(0, VERI_TABANI!D27-VERI_TABANI!D27*B681))*VERI_TABANI!$B$8) + IF(ABS(IF(ISNUMBER(SEARCH("Var", D681)), 1, IF(ISNUMBER(SEARCH("Gri", D681)), -1, 0)))=1, VERI_TABANI!E27*(1-0.928)*VERI_TABANI!$B$9, 0) + (VERI_TABANI!D27*B681*(VERI_TABANI!$B$13-VERI_TABANI!$B$14)*VERI_TABANI!G27) + (VERI_TABANI!D27*C681*(VERI_TABANI!$B$13-VERI_TABANI!$B$15)*VERI_TABANI!G27) + IF(ABS(IF(ISNUMBER(SEARCH("Var", D681)), 1, IF(ISNUMBER(SEARCH("Gri", D681)), -1, 0)))=1, VERI_TABANI!E27*(1-0.928)*0.00206091519919798*VERI_TABANI!G27, 0)) + ((MIN(VERI_TABANI!D28, VERI_TABANI!D28*B681)*VERI_TABANI!$B$7 + MAX(0, VERI_TABANI!D28*B681-VERI_TABANI!D28)*VERI_TABANI!$B$8) + (MIN(MAX(0, VERI_TABANI!D28-VERI_TABANI!D28*B681), VERI_TABANI!D28*C681)*VERI_TABANI!$B$7 + MAX(0, VERI_TABANI!D28*C681-MAX(0, VERI_TABANI!D28-VERI_TABANI!D28*B681))*VERI_TABANI!$B$8) + IF(ABS(IF(ISNUMBER(SEARCH("Var", D681)), 1, IF(ISNUMBER(SEARCH("Gri", D681)), -1, 0)))=1, VERI_TABANI!E28*(1-0.928)*VERI_TABANI!$B$9, 0) + (VERI_TABANI!D28*B681*(VERI_TABANI!$B$13-VERI_TABANI!$B$14)*VERI_TABANI!G28) + (VERI_TABANI!D28*C681*(VERI_TABANI!$B$13-VERI_TABANI!$B$15)*VERI_TABANI!G28) + IF(ABS(IF(ISNUMBER(SEARCH("Var", D681)), 1, IF(ISNUMBER(SEARCH("Gri", D681)), -1, 0)))=1, VERI_TABANI!E28*(1-0.928)*0.00206091519919798*VERI_TABANI!G28, 0)))</f>
        <v/>
      </c>
      <c r="H681" s="169">
        <f>(((VERI_TABANI!D23*B681*(VERI_TABANI!$B$13-VERI_TABANI!$B$14)) + (VERI_TABANI!D23*C681*(VERI_TABANI!$B$13-VERI_TABANI!$B$15)) + IF(ISNUMBER(SEARCH("Var", D681)), VERI_TABANI!F23*(0.00202-VERI_TABANI!$B$16), IF(ISNUMBER(SEARCH("Gri", D681)), VERI_TABANI!F23*(0.00202-VERI_TABANI!$B$17), 0))) + ((VERI_TABANI!D24*B681*(VERI_TABANI!$B$13-VERI_TABANI!$B$14)) + (VERI_TABANI!D24*C681*(VERI_TABANI!$B$13-VERI_TABANI!$B$15)) + IF(ISNUMBER(SEARCH("Var", D681)), VERI_TABANI!F24*(0.00202-VERI_TABANI!$B$16), IF(ISNUMBER(SEARCH("Gri", D681)), VERI_TABANI!F24*(0.00202-VERI_TABANI!$B$17), 0))) + ((VERI_TABANI!D25*B681*(VERI_TABANI!$B$13-VERI_TABANI!$B$14)) + (VERI_TABANI!D25*C681*(VERI_TABANI!$B$13-VERI_TABANI!$B$15)) + IF(ISNUMBER(SEARCH("Var", D681)), VERI_TABANI!F25*(0.00202-VERI_TABANI!$B$16), IF(ISNUMBER(SEARCH("Gri", D681)), VERI_TABANI!F25*(0.00202-VERI_TABANI!$B$17), 0))) + ((VERI_TABANI!D26*B681*(VERI_TABANI!$B$13-VERI_TABANI!$B$14)) + (VERI_TABANI!D26*C681*(VERI_TABANI!$B$13-VERI_TABANI!$B$15)) + IF(ISNUMBER(SEARCH("Var", D681)), VERI_TABANI!F26*(0.00202-VERI_TABANI!$B$16), IF(ISNUMBER(SEARCH("Gri", D681)), VERI_TABANI!F26*(0.00202-VERI_TABANI!$B$17), 0))) + ((VERI_TABANI!D27*B681*(VERI_TABANI!$B$13-VERI_TABANI!$B$14)) + (VERI_TABANI!D27*C681*(VERI_TABANI!$B$13-VERI_TABANI!$B$15)) + IF(ISNUMBER(SEARCH("Var", D681)), VERI_TABANI!F27*(0.00202-VERI_TABANI!$B$16), IF(ISNUMBER(SEARCH("Gri", D681)), VERI_TABANI!F27*(0.00202-VERI_TABANI!$B$17), 0))) + ((VERI_TABANI!D28*B681*(VERI_TABANI!$B$13-VERI_TABANI!$B$14)) + (VERI_TABANI!D28*C681*(VERI_TABANI!$B$13-VERI_TABANI!$B$15)) + IF(ISNUMBER(SEARCH("Var", D681)), VERI_TABANI!F28*(0.00202-VERI_TABANI!$B$16), IF(ISNUMBER(SEARCH("Gri", D681)), VERI_TABANI!F28*(0.00202-VERI_TABANI!$B$17), 0))))</f>
        <v/>
      </c>
      <c r="I681" s="170">
        <f>IFERROR(((VERI_TABANI!$D$29*B681*VERI_TABANI!$B$14 + VERI_TABANI!$D$29*C681*VERI_TABANI!$B$15 + IF(ISNUMBER(SEARCH("Var", D681)), VERI_TABANI!$F$29*VERI_TABANI!$B$16, 0))) / (((VERI_TABANI!$D$29*B681 + VERI_TABANI!$D$29*C681)*VERI_TABANI!$B$13 + IF(ISNUMBER(SEARCH("Var", D681)), VERI_TABANI!$E$29*(1-0.928)*VERI_TABANI!$B$18, 0))), 0)</f>
        <v/>
      </c>
      <c r="J681" s="171">
        <f>IFERROR(F681/(G681/29), 0)</f>
        <v/>
      </c>
      <c r="K681" s="172">
        <f>IF(F681&gt;0, H681/F681, 0)</f>
        <v/>
      </c>
      <c r="L681" s="170">
        <f>IF(F681&gt;0, I681, 1000000000)</f>
        <v/>
      </c>
      <c r="M681" s="171">
        <f>ABS((B681+C681)-1)</f>
        <v/>
      </c>
      <c r="N681" s="170">
        <f>IF(F681&gt;0, (G681/29)/F681, 0)</f>
        <v/>
      </c>
      <c r="O681" s="168">
        <f>IF(AND((B681+C681)&gt;=1, ISNUMBER(SEARCH("Var", D681))), F681, 1000000000)</f>
        <v/>
      </c>
      <c r="P681" s="172">
        <f>IF(F681&gt;0, SQRT((F681/MAX(F$5:F$886))^2 + (1 - H681/MAX(H$5:H$886))^2 + (J681/MAX(J$5:J$886))^2), 1000000000)</f>
        <v/>
      </c>
      <c r="Q681" s="166">
        <f>IF(AND(ABS(B681-0.5)&lt;0.01, ABS(C681-0.5)&lt;0.01, ISNUMBER(SEARCH("Var", D681))), 1, 0)</f>
        <v/>
      </c>
      <c r="R681" s="171">
        <f>IF(F681&gt;0, J681, 1000000000)</f>
        <v/>
      </c>
      <c r="S681" s="101">
        <f>IF(AND(F681&lt;=DASHBOARD!$B$11, H681&gt;=DASHBOARD!$B$13), G681, -1000000000000)</f>
        <v/>
      </c>
      <c r="T681" s="101">
        <f>IF(AND(F681&lt;=DASHBOARD!$B$11, H681&gt;=DASHBOARD!$B$13), R681, 1000000000000)</f>
        <v/>
      </c>
      <c r="U681" s="101">
        <f>IF(AND(F681&lt;=DASHBOARD!$B$11, H681&gt;=DASHBOARD!$B$13), N681, -1000000000000)</f>
        <v/>
      </c>
      <c r="V681" s="101">
        <f>IF(AND(F681&lt;=DASHBOARD!$B$11, H681&gt;=DASHBOARD!$B$13), H681, -1000000000000)</f>
        <v/>
      </c>
      <c r="W681" s="101">
        <f>IF(AND(F681&lt;=DASHBOARD!$B$11, H681&gt;=DASHBOARD!$B$13), K681, -1000000000000)</f>
        <v/>
      </c>
      <c r="X681" s="101">
        <f>IF(AND(F681&lt;=DASHBOARD!$B$11, H681&gt;=DASHBOARD!$B$13), M681, 1000000000000)</f>
        <v/>
      </c>
      <c r="Y681" s="101">
        <f>IF(AND(F681&lt;=DASHBOARD!$B$10, H681&gt;=DASHBOARD!$B$11), L681, 1000000000000)</f>
        <v/>
      </c>
      <c r="Z681" s="101">
        <f>IF(AND(F681&lt;=DASHBOARD!$B$10, H681&gt;=DASHBOARD!$B$11), O681, 1000000000000)</f>
        <v/>
      </c>
      <c r="AA681" s="101">
        <f>IF(AND(F681&lt;=DASHBOARD!$B$10, H681&gt;=DASHBOARD!$B$11), P681, 1000000000000)</f>
        <v/>
      </c>
      <c r="AB681" s="101">
        <f>IF(AND(F681&lt;=DASHBOARD!$B$10, H681&gt;=DASHBOARD!$B$11), Q681, -1000000000000)</f>
        <v/>
      </c>
    </row>
    <row r="682" ht="15" customHeight="1" s="102">
      <c r="A682" s="166" t="n">
        <v>678</v>
      </c>
      <c r="B682" s="167" t="n">
        <v>1.6</v>
      </c>
      <c r="C682" s="167" t="n">
        <v>0.2</v>
      </c>
      <c r="D682" s="110" t="inlineStr">
        <is>
          <t>Var (%20)</t>
        </is>
      </c>
      <c r="E682" s="110">
        <f>IF((B682+C682)&lt;=1, "Tam Mahsuplaşma (≤%100)", "Kısmi Satış (&gt;%100)")</f>
        <v/>
      </c>
      <c r="F682" s="168">
        <f>((VERI_TABANI!$D$29*B682/VERI_TABANI!$B$29)/VERI_TABANI!$B$3)*VERI_TABANI!$B$5 + ((VERI_TABANI!$D$29*C682/VERI_TABANI!$B$29)/VERI_TABANI!$B$4)*VERI_TABANI!$B$6 + IF(ISNUMBER(SEARCH("Var", D682)), (VERI_TABANI!$F$29/VERI_TABANI!$B$29)*(VERI_TABANI!$B$10+VERI_TABANI!$B$12), 0)</f>
        <v/>
      </c>
      <c r="G682" s="168">
        <f>(((MIN(VERI_TABANI!D23, VERI_TABANI!D23*B682)*VERI_TABANI!$B$7 + MAX(0, VERI_TABANI!D23*B682-VERI_TABANI!D23)*VERI_TABANI!$B$8) + (MIN(MAX(0, VERI_TABANI!D23-VERI_TABANI!D23*B682), VERI_TABANI!D23*C682)*VERI_TABANI!$B$7 + MAX(0, VERI_TABANI!D23*C682-MAX(0, VERI_TABANI!D23-VERI_TABANI!D23*B682))*VERI_TABANI!$B$8) + IF(ABS(IF(ISNUMBER(SEARCH("Var", D682)), 1, IF(ISNUMBER(SEARCH("Gri", D682)), -1, 0)))=1, VERI_TABANI!E23*(1-0.928)*VERI_TABANI!$B$9, 0) + (VERI_TABANI!D23*B682*(VERI_TABANI!$B$13-VERI_TABANI!$B$14)*VERI_TABANI!G23) + (VERI_TABANI!D23*C682*(VERI_TABANI!$B$13-VERI_TABANI!$B$15)*VERI_TABANI!G23) + IF(ABS(IF(ISNUMBER(SEARCH("Var", D682)), 1, IF(ISNUMBER(SEARCH("Gri", D682)), -1, 0)))=1, VERI_TABANI!E23*(1-0.928)*0.00206091519919798*VERI_TABANI!G23, 0)) + ((MIN(VERI_TABANI!D24, VERI_TABANI!D24*B682)*VERI_TABANI!$B$7 + MAX(0, VERI_TABANI!D24*B682-VERI_TABANI!D24)*VERI_TABANI!$B$8) + (MIN(MAX(0, VERI_TABANI!D24-VERI_TABANI!D24*B682), VERI_TABANI!D24*C682)*VERI_TABANI!$B$7 + MAX(0, VERI_TABANI!D24*C682-MAX(0, VERI_TABANI!D24-VERI_TABANI!D24*B682))*VERI_TABANI!$B$8) + IF(ABS(IF(ISNUMBER(SEARCH("Var", D682)), 1, IF(ISNUMBER(SEARCH("Gri", D682)), -1, 0)))=1, VERI_TABANI!E24*(1-0.928)*VERI_TABANI!$B$9, 0) + (VERI_TABANI!D24*B682*(VERI_TABANI!$B$13-VERI_TABANI!$B$14)*VERI_TABANI!G24) + (VERI_TABANI!D24*C682*(VERI_TABANI!$B$13-VERI_TABANI!$B$15)*VERI_TABANI!G24) + IF(ABS(IF(ISNUMBER(SEARCH("Var", D682)), 1, IF(ISNUMBER(SEARCH("Gri", D682)), -1, 0)))=1, VERI_TABANI!E24*(1-0.928)*0.00206091519919798*VERI_TABANI!G24, 0)) + ((MIN(VERI_TABANI!D25, VERI_TABANI!D25*B682)*VERI_TABANI!$B$7 + MAX(0, VERI_TABANI!D25*B682-VERI_TABANI!D25)*VERI_TABANI!$B$8) + (MIN(MAX(0, VERI_TABANI!D25-VERI_TABANI!D25*B682), VERI_TABANI!D25*C682)*VERI_TABANI!$B$7 + MAX(0, VERI_TABANI!D25*C682-MAX(0, VERI_TABANI!D25-VERI_TABANI!D25*B682))*VERI_TABANI!$B$8) + IF(ABS(IF(ISNUMBER(SEARCH("Var", D682)), 1, IF(ISNUMBER(SEARCH("Gri", D682)), -1, 0)))=1, VERI_TABANI!E25*(1-0.928)*VERI_TABANI!$B$9, 0) + (VERI_TABANI!D25*B682*(VERI_TABANI!$B$13-VERI_TABANI!$B$14)*VERI_TABANI!G25) + (VERI_TABANI!D25*C682*(VERI_TABANI!$B$13-VERI_TABANI!$B$15)*VERI_TABANI!G25) + IF(ABS(IF(ISNUMBER(SEARCH("Var", D682)), 1, IF(ISNUMBER(SEARCH("Gri", D682)), -1, 0)))=1, VERI_TABANI!E25*(1-0.928)*0.00206091519919798*VERI_TABANI!G25, 0)) + ((MIN(VERI_TABANI!D26, VERI_TABANI!D26*B682)*VERI_TABANI!$B$7 + MAX(0, VERI_TABANI!D26*B682-VERI_TABANI!D26)*VERI_TABANI!$B$8) + (MIN(MAX(0, VERI_TABANI!D26-VERI_TABANI!D26*B682), VERI_TABANI!D26*C682)*VERI_TABANI!$B$7 + MAX(0, VERI_TABANI!D26*C682-MAX(0, VERI_TABANI!D26-VERI_TABANI!D26*B682))*VERI_TABANI!$B$8) + IF(ABS(IF(ISNUMBER(SEARCH("Var", D682)), 1, IF(ISNUMBER(SEARCH("Gri", D682)), -1, 0)))=1, VERI_TABANI!E26*(1-0.928)*VERI_TABANI!$B$9, 0) + (VERI_TABANI!D26*B682*(VERI_TABANI!$B$13-VERI_TABANI!$B$14)*VERI_TABANI!G26) + (VERI_TABANI!D26*C682*(VERI_TABANI!$B$13-VERI_TABANI!$B$15)*VERI_TABANI!G26) + IF(ABS(IF(ISNUMBER(SEARCH("Var", D682)), 1, IF(ISNUMBER(SEARCH("Gri", D682)), -1, 0)))=1, VERI_TABANI!E26*(1-0.928)*0.00206091519919798*VERI_TABANI!G26, 0)) + ((MIN(VERI_TABANI!D27, VERI_TABANI!D27*B682)*VERI_TABANI!$B$7 + MAX(0, VERI_TABANI!D27*B682-VERI_TABANI!D27)*VERI_TABANI!$B$8) + (MIN(MAX(0, VERI_TABANI!D27-VERI_TABANI!D27*B682), VERI_TABANI!D27*C682)*VERI_TABANI!$B$7 + MAX(0, VERI_TABANI!D27*C682-MAX(0, VERI_TABANI!D27-VERI_TABANI!D27*B682))*VERI_TABANI!$B$8) + IF(ABS(IF(ISNUMBER(SEARCH("Var", D682)), 1, IF(ISNUMBER(SEARCH("Gri", D682)), -1, 0)))=1, VERI_TABANI!E27*(1-0.928)*VERI_TABANI!$B$9, 0) + (VERI_TABANI!D27*B682*(VERI_TABANI!$B$13-VERI_TABANI!$B$14)*VERI_TABANI!G27) + (VERI_TABANI!D27*C682*(VERI_TABANI!$B$13-VERI_TABANI!$B$15)*VERI_TABANI!G27) + IF(ABS(IF(ISNUMBER(SEARCH("Var", D682)), 1, IF(ISNUMBER(SEARCH("Gri", D682)), -1, 0)))=1, VERI_TABANI!E27*(1-0.928)*0.00206091519919798*VERI_TABANI!G27, 0)) + ((MIN(VERI_TABANI!D28, VERI_TABANI!D28*B682)*VERI_TABANI!$B$7 + MAX(0, VERI_TABANI!D28*B682-VERI_TABANI!D28)*VERI_TABANI!$B$8) + (MIN(MAX(0, VERI_TABANI!D28-VERI_TABANI!D28*B682), VERI_TABANI!D28*C682)*VERI_TABANI!$B$7 + MAX(0, VERI_TABANI!D28*C682-MAX(0, VERI_TABANI!D28-VERI_TABANI!D28*B682))*VERI_TABANI!$B$8) + IF(ABS(IF(ISNUMBER(SEARCH("Var", D682)), 1, IF(ISNUMBER(SEARCH("Gri", D682)), -1, 0)))=1, VERI_TABANI!E28*(1-0.928)*VERI_TABANI!$B$9, 0) + (VERI_TABANI!D28*B682*(VERI_TABANI!$B$13-VERI_TABANI!$B$14)*VERI_TABANI!G28) + (VERI_TABANI!D28*C682*(VERI_TABANI!$B$13-VERI_TABANI!$B$15)*VERI_TABANI!G28) + IF(ABS(IF(ISNUMBER(SEARCH("Var", D682)), 1, IF(ISNUMBER(SEARCH("Gri", D682)), -1, 0)))=1, VERI_TABANI!E28*(1-0.928)*0.00206091519919798*VERI_TABANI!G28, 0)))</f>
        <v/>
      </c>
      <c r="H682" s="169">
        <f>(((VERI_TABANI!D23*B682*(VERI_TABANI!$B$13-VERI_TABANI!$B$14)) + (VERI_TABANI!D23*C682*(VERI_TABANI!$B$13-VERI_TABANI!$B$15)) + IF(ISNUMBER(SEARCH("Var", D682)), VERI_TABANI!F23*(0.00202-VERI_TABANI!$B$16), IF(ISNUMBER(SEARCH("Gri", D682)), VERI_TABANI!F23*(0.00202-VERI_TABANI!$B$17), 0))) + ((VERI_TABANI!D24*B682*(VERI_TABANI!$B$13-VERI_TABANI!$B$14)) + (VERI_TABANI!D24*C682*(VERI_TABANI!$B$13-VERI_TABANI!$B$15)) + IF(ISNUMBER(SEARCH("Var", D682)), VERI_TABANI!F24*(0.00202-VERI_TABANI!$B$16), IF(ISNUMBER(SEARCH("Gri", D682)), VERI_TABANI!F24*(0.00202-VERI_TABANI!$B$17), 0))) + ((VERI_TABANI!D25*B682*(VERI_TABANI!$B$13-VERI_TABANI!$B$14)) + (VERI_TABANI!D25*C682*(VERI_TABANI!$B$13-VERI_TABANI!$B$15)) + IF(ISNUMBER(SEARCH("Var", D682)), VERI_TABANI!F25*(0.00202-VERI_TABANI!$B$16), IF(ISNUMBER(SEARCH("Gri", D682)), VERI_TABANI!F25*(0.00202-VERI_TABANI!$B$17), 0))) + ((VERI_TABANI!D26*B682*(VERI_TABANI!$B$13-VERI_TABANI!$B$14)) + (VERI_TABANI!D26*C682*(VERI_TABANI!$B$13-VERI_TABANI!$B$15)) + IF(ISNUMBER(SEARCH("Var", D682)), VERI_TABANI!F26*(0.00202-VERI_TABANI!$B$16), IF(ISNUMBER(SEARCH("Gri", D682)), VERI_TABANI!F26*(0.00202-VERI_TABANI!$B$17), 0))) + ((VERI_TABANI!D27*B682*(VERI_TABANI!$B$13-VERI_TABANI!$B$14)) + (VERI_TABANI!D27*C682*(VERI_TABANI!$B$13-VERI_TABANI!$B$15)) + IF(ISNUMBER(SEARCH("Var", D682)), VERI_TABANI!F27*(0.00202-VERI_TABANI!$B$16), IF(ISNUMBER(SEARCH("Gri", D682)), VERI_TABANI!F27*(0.00202-VERI_TABANI!$B$17), 0))) + ((VERI_TABANI!D28*B682*(VERI_TABANI!$B$13-VERI_TABANI!$B$14)) + (VERI_TABANI!D28*C682*(VERI_TABANI!$B$13-VERI_TABANI!$B$15)) + IF(ISNUMBER(SEARCH("Var", D682)), VERI_TABANI!F28*(0.00202-VERI_TABANI!$B$16), IF(ISNUMBER(SEARCH("Gri", D682)), VERI_TABANI!F28*(0.00202-VERI_TABANI!$B$17), 0))))</f>
        <v/>
      </c>
      <c r="I682" s="170">
        <f>IFERROR(((VERI_TABANI!$D$29*B682*VERI_TABANI!$B$14 + VERI_TABANI!$D$29*C682*VERI_TABANI!$B$15 + IF(ISNUMBER(SEARCH("Var", D682)), VERI_TABANI!$F$29*VERI_TABANI!$B$16, 0))) / (((VERI_TABANI!$D$29*B682 + VERI_TABANI!$D$29*C682)*VERI_TABANI!$B$13 + IF(ISNUMBER(SEARCH("Var", D682)), VERI_TABANI!$E$29*(1-0.928)*VERI_TABANI!$B$18, 0))), 0)</f>
        <v/>
      </c>
      <c r="J682" s="171">
        <f>IFERROR(F682/(G682/29), 0)</f>
        <v/>
      </c>
      <c r="K682" s="172">
        <f>IF(F682&gt;0, H682/F682, 0)</f>
        <v/>
      </c>
      <c r="L682" s="170">
        <f>IF(F682&gt;0, I682, 1000000000)</f>
        <v/>
      </c>
      <c r="M682" s="171">
        <f>ABS((B682+C682)-1)</f>
        <v/>
      </c>
      <c r="N682" s="170">
        <f>IF(F682&gt;0, (G682/29)/F682, 0)</f>
        <v/>
      </c>
      <c r="O682" s="168">
        <f>IF(AND((B682+C682)&gt;=1, ISNUMBER(SEARCH("Var", D682))), F682, 1000000000)</f>
        <v/>
      </c>
      <c r="P682" s="172">
        <f>IF(F682&gt;0, SQRT((F682/MAX(F$5:F$886))^2 + (1 - H682/MAX(H$5:H$886))^2 + (J682/MAX(J$5:J$886))^2), 1000000000)</f>
        <v/>
      </c>
      <c r="Q682" s="166">
        <f>IF(AND(ABS(B682-0.5)&lt;0.01, ABS(C682-0.5)&lt;0.01, ISNUMBER(SEARCH("Var", D682))), 1, 0)</f>
        <v/>
      </c>
      <c r="R682" s="171">
        <f>IF(F682&gt;0, J682, 1000000000)</f>
        <v/>
      </c>
      <c r="S682" s="101">
        <f>IF(AND(F682&lt;=DASHBOARD!$B$11, H682&gt;=DASHBOARD!$B$13), G682, -1000000000000)</f>
        <v/>
      </c>
      <c r="T682" s="101">
        <f>IF(AND(F682&lt;=DASHBOARD!$B$11, H682&gt;=DASHBOARD!$B$13), R682, 1000000000000)</f>
        <v/>
      </c>
      <c r="U682" s="101">
        <f>IF(AND(F682&lt;=DASHBOARD!$B$11, H682&gt;=DASHBOARD!$B$13), N682, -1000000000000)</f>
        <v/>
      </c>
      <c r="V682" s="101">
        <f>IF(AND(F682&lt;=DASHBOARD!$B$11, H682&gt;=DASHBOARD!$B$13), H682, -1000000000000)</f>
        <v/>
      </c>
      <c r="W682" s="101">
        <f>IF(AND(F682&lt;=DASHBOARD!$B$11, H682&gt;=DASHBOARD!$B$13), K682, -1000000000000)</f>
        <v/>
      </c>
      <c r="X682" s="101">
        <f>IF(AND(F682&lt;=DASHBOARD!$B$11, H682&gt;=DASHBOARD!$B$13), M682, 1000000000000)</f>
        <v/>
      </c>
      <c r="Y682" s="101">
        <f>IF(AND(F682&lt;=DASHBOARD!$B$10, H682&gt;=DASHBOARD!$B$11), L682, 1000000000000)</f>
        <v/>
      </c>
      <c r="Z682" s="101">
        <f>IF(AND(F682&lt;=DASHBOARD!$B$10, H682&gt;=DASHBOARD!$B$11), O682, 1000000000000)</f>
        <v/>
      </c>
      <c r="AA682" s="101">
        <f>IF(AND(F682&lt;=DASHBOARD!$B$10, H682&gt;=DASHBOARD!$B$11), P682, 1000000000000)</f>
        <v/>
      </c>
      <c r="AB682" s="101">
        <f>IF(AND(F682&lt;=DASHBOARD!$B$10, H682&gt;=DASHBOARD!$B$11), Q682, -1000000000000)</f>
        <v/>
      </c>
    </row>
    <row r="683" ht="15" customHeight="1" s="102">
      <c r="A683" s="166" t="n">
        <v>679</v>
      </c>
      <c r="B683" s="167" t="n">
        <v>1.6</v>
      </c>
      <c r="C683" s="167" t="n">
        <v>0.3</v>
      </c>
      <c r="D683" s="110" t="inlineStr">
        <is>
          <t>Yok (%0)</t>
        </is>
      </c>
      <c r="E683" s="110">
        <f>IF((B683+C683)&lt;=1, "Tam Mahsuplaşma (≤%100)", "Kısmi Satış (&gt;%100)")</f>
        <v/>
      </c>
      <c r="F683" s="168">
        <f>((VERI_TABANI!$D$29*B683/VERI_TABANI!$B$29)/VERI_TABANI!$B$3)*VERI_TABANI!$B$5 + ((VERI_TABANI!$D$29*C683/VERI_TABANI!$B$29)/VERI_TABANI!$B$4)*VERI_TABANI!$B$6 + IF(ISNUMBER(SEARCH("Var", D683)), (VERI_TABANI!$F$29/VERI_TABANI!$B$29)*(VERI_TABANI!$B$10+VERI_TABANI!$B$12), 0)</f>
        <v/>
      </c>
      <c r="G683" s="168">
        <f>(((MIN(VERI_TABANI!D23, VERI_TABANI!D23*B683)*VERI_TABANI!$B$7 + MAX(0, VERI_TABANI!D23*B683-VERI_TABANI!D23)*VERI_TABANI!$B$8) + (MIN(MAX(0, VERI_TABANI!D23-VERI_TABANI!D23*B683), VERI_TABANI!D23*C683)*VERI_TABANI!$B$7 + MAX(0, VERI_TABANI!D23*C683-MAX(0, VERI_TABANI!D23-VERI_TABANI!D23*B683))*VERI_TABANI!$B$8) + IF(ABS(IF(ISNUMBER(SEARCH("Var", D683)), 1, IF(ISNUMBER(SEARCH("Gri", D683)), -1, 0)))=1, VERI_TABANI!E23*(1-0.928)*VERI_TABANI!$B$9, 0) + (VERI_TABANI!D23*B683*(VERI_TABANI!$B$13-VERI_TABANI!$B$14)*VERI_TABANI!G23) + (VERI_TABANI!D23*C683*(VERI_TABANI!$B$13-VERI_TABANI!$B$15)*VERI_TABANI!G23) + IF(ABS(IF(ISNUMBER(SEARCH("Var", D683)), 1, IF(ISNUMBER(SEARCH("Gri", D683)), -1, 0)))=1, VERI_TABANI!E23*(1-0.928)*0.00206091519919798*VERI_TABANI!G23, 0)) + ((MIN(VERI_TABANI!D24, VERI_TABANI!D24*B683)*VERI_TABANI!$B$7 + MAX(0, VERI_TABANI!D24*B683-VERI_TABANI!D24)*VERI_TABANI!$B$8) + (MIN(MAX(0, VERI_TABANI!D24-VERI_TABANI!D24*B683), VERI_TABANI!D24*C683)*VERI_TABANI!$B$7 + MAX(0, VERI_TABANI!D24*C683-MAX(0, VERI_TABANI!D24-VERI_TABANI!D24*B683))*VERI_TABANI!$B$8) + IF(ABS(IF(ISNUMBER(SEARCH("Var", D683)), 1, IF(ISNUMBER(SEARCH("Gri", D683)), -1, 0)))=1, VERI_TABANI!E24*(1-0.928)*VERI_TABANI!$B$9, 0) + (VERI_TABANI!D24*B683*(VERI_TABANI!$B$13-VERI_TABANI!$B$14)*VERI_TABANI!G24) + (VERI_TABANI!D24*C683*(VERI_TABANI!$B$13-VERI_TABANI!$B$15)*VERI_TABANI!G24) + IF(ABS(IF(ISNUMBER(SEARCH("Var", D683)), 1, IF(ISNUMBER(SEARCH("Gri", D683)), -1, 0)))=1, VERI_TABANI!E24*(1-0.928)*0.00206091519919798*VERI_TABANI!G24, 0)) + ((MIN(VERI_TABANI!D25, VERI_TABANI!D25*B683)*VERI_TABANI!$B$7 + MAX(0, VERI_TABANI!D25*B683-VERI_TABANI!D25)*VERI_TABANI!$B$8) + (MIN(MAX(0, VERI_TABANI!D25-VERI_TABANI!D25*B683), VERI_TABANI!D25*C683)*VERI_TABANI!$B$7 + MAX(0, VERI_TABANI!D25*C683-MAX(0, VERI_TABANI!D25-VERI_TABANI!D25*B683))*VERI_TABANI!$B$8) + IF(ABS(IF(ISNUMBER(SEARCH("Var", D683)), 1, IF(ISNUMBER(SEARCH("Gri", D683)), -1, 0)))=1, VERI_TABANI!E25*(1-0.928)*VERI_TABANI!$B$9, 0) + (VERI_TABANI!D25*B683*(VERI_TABANI!$B$13-VERI_TABANI!$B$14)*VERI_TABANI!G25) + (VERI_TABANI!D25*C683*(VERI_TABANI!$B$13-VERI_TABANI!$B$15)*VERI_TABANI!G25) + IF(ABS(IF(ISNUMBER(SEARCH("Var", D683)), 1, IF(ISNUMBER(SEARCH("Gri", D683)), -1, 0)))=1, VERI_TABANI!E25*(1-0.928)*0.00206091519919798*VERI_TABANI!G25, 0)) + ((MIN(VERI_TABANI!D26, VERI_TABANI!D26*B683)*VERI_TABANI!$B$7 + MAX(0, VERI_TABANI!D26*B683-VERI_TABANI!D26)*VERI_TABANI!$B$8) + (MIN(MAX(0, VERI_TABANI!D26-VERI_TABANI!D26*B683), VERI_TABANI!D26*C683)*VERI_TABANI!$B$7 + MAX(0, VERI_TABANI!D26*C683-MAX(0, VERI_TABANI!D26-VERI_TABANI!D26*B683))*VERI_TABANI!$B$8) + IF(ABS(IF(ISNUMBER(SEARCH("Var", D683)), 1, IF(ISNUMBER(SEARCH("Gri", D683)), -1, 0)))=1, VERI_TABANI!E26*(1-0.928)*VERI_TABANI!$B$9, 0) + (VERI_TABANI!D26*B683*(VERI_TABANI!$B$13-VERI_TABANI!$B$14)*VERI_TABANI!G26) + (VERI_TABANI!D26*C683*(VERI_TABANI!$B$13-VERI_TABANI!$B$15)*VERI_TABANI!G26) + IF(ABS(IF(ISNUMBER(SEARCH("Var", D683)), 1, IF(ISNUMBER(SEARCH("Gri", D683)), -1, 0)))=1, VERI_TABANI!E26*(1-0.928)*0.00206091519919798*VERI_TABANI!G26, 0)) + ((MIN(VERI_TABANI!D27, VERI_TABANI!D27*B683)*VERI_TABANI!$B$7 + MAX(0, VERI_TABANI!D27*B683-VERI_TABANI!D27)*VERI_TABANI!$B$8) + (MIN(MAX(0, VERI_TABANI!D27-VERI_TABANI!D27*B683), VERI_TABANI!D27*C683)*VERI_TABANI!$B$7 + MAX(0, VERI_TABANI!D27*C683-MAX(0, VERI_TABANI!D27-VERI_TABANI!D27*B683))*VERI_TABANI!$B$8) + IF(ABS(IF(ISNUMBER(SEARCH("Var", D683)), 1, IF(ISNUMBER(SEARCH("Gri", D683)), -1, 0)))=1, VERI_TABANI!E27*(1-0.928)*VERI_TABANI!$B$9, 0) + (VERI_TABANI!D27*B683*(VERI_TABANI!$B$13-VERI_TABANI!$B$14)*VERI_TABANI!G27) + (VERI_TABANI!D27*C683*(VERI_TABANI!$B$13-VERI_TABANI!$B$15)*VERI_TABANI!G27) + IF(ABS(IF(ISNUMBER(SEARCH("Var", D683)), 1, IF(ISNUMBER(SEARCH("Gri", D683)), -1, 0)))=1, VERI_TABANI!E27*(1-0.928)*0.00206091519919798*VERI_TABANI!G27, 0)) + ((MIN(VERI_TABANI!D28, VERI_TABANI!D28*B683)*VERI_TABANI!$B$7 + MAX(0, VERI_TABANI!D28*B683-VERI_TABANI!D28)*VERI_TABANI!$B$8) + (MIN(MAX(0, VERI_TABANI!D28-VERI_TABANI!D28*B683), VERI_TABANI!D28*C683)*VERI_TABANI!$B$7 + MAX(0, VERI_TABANI!D28*C683-MAX(0, VERI_TABANI!D28-VERI_TABANI!D28*B683))*VERI_TABANI!$B$8) + IF(ABS(IF(ISNUMBER(SEARCH("Var", D683)), 1, IF(ISNUMBER(SEARCH("Gri", D683)), -1, 0)))=1, VERI_TABANI!E28*(1-0.928)*VERI_TABANI!$B$9, 0) + (VERI_TABANI!D28*B683*(VERI_TABANI!$B$13-VERI_TABANI!$B$14)*VERI_TABANI!G28) + (VERI_TABANI!D28*C683*(VERI_TABANI!$B$13-VERI_TABANI!$B$15)*VERI_TABANI!G28) + IF(ABS(IF(ISNUMBER(SEARCH("Var", D683)), 1, IF(ISNUMBER(SEARCH("Gri", D683)), -1, 0)))=1, VERI_TABANI!E28*(1-0.928)*0.00206091519919798*VERI_TABANI!G28, 0)))</f>
        <v/>
      </c>
      <c r="H683" s="169">
        <f>(((VERI_TABANI!D23*B683*(VERI_TABANI!$B$13-VERI_TABANI!$B$14)) + (VERI_TABANI!D23*C683*(VERI_TABANI!$B$13-VERI_TABANI!$B$15)) + IF(ISNUMBER(SEARCH("Var", D683)), VERI_TABANI!F23*(0.00202-VERI_TABANI!$B$16), IF(ISNUMBER(SEARCH("Gri", D683)), VERI_TABANI!F23*(0.00202-VERI_TABANI!$B$17), 0))) + ((VERI_TABANI!D24*B683*(VERI_TABANI!$B$13-VERI_TABANI!$B$14)) + (VERI_TABANI!D24*C683*(VERI_TABANI!$B$13-VERI_TABANI!$B$15)) + IF(ISNUMBER(SEARCH("Var", D683)), VERI_TABANI!F24*(0.00202-VERI_TABANI!$B$16), IF(ISNUMBER(SEARCH("Gri", D683)), VERI_TABANI!F24*(0.00202-VERI_TABANI!$B$17), 0))) + ((VERI_TABANI!D25*B683*(VERI_TABANI!$B$13-VERI_TABANI!$B$14)) + (VERI_TABANI!D25*C683*(VERI_TABANI!$B$13-VERI_TABANI!$B$15)) + IF(ISNUMBER(SEARCH("Var", D683)), VERI_TABANI!F25*(0.00202-VERI_TABANI!$B$16), IF(ISNUMBER(SEARCH("Gri", D683)), VERI_TABANI!F25*(0.00202-VERI_TABANI!$B$17), 0))) + ((VERI_TABANI!D26*B683*(VERI_TABANI!$B$13-VERI_TABANI!$B$14)) + (VERI_TABANI!D26*C683*(VERI_TABANI!$B$13-VERI_TABANI!$B$15)) + IF(ISNUMBER(SEARCH("Var", D683)), VERI_TABANI!F26*(0.00202-VERI_TABANI!$B$16), IF(ISNUMBER(SEARCH("Gri", D683)), VERI_TABANI!F26*(0.00202-VERI_TABANI!$B$17), 0))) + ((VERI_TABANI!D27*B683*(VERI_TABANI!$B$13-VERI_TABANI!$B$14)) + (VERI_TABANI!D27*C683*(VERI_TABANI!$B$13-VERI_TABANI!$B$15)) + IF(ISNUMBER(SEARCH("Var", D683)), VERI_TABANI!F27*(0.00202-VERI_TABANI!$B$16), IF(ISNUMBER(SEARCH("Gri", D683)), VERI_TABANI!F27*(0.00202-VERI_TABANI!$B$17), 0))) + ((VERI_TABANI!D28*B683*(VERI_TABANI!$B$13-VERI_TABANI!$B$14)) + (VERI_TABANI!D28*C683*(VERI_TABANI!$B$13-VERI_TABANI!$B$15)) + IF(ISNUMBER(SEARCH("Var", D683)), VERI_TABANI!F28*(0.00202-VERI_TABANI!$B$16), IF(ISNUMBER(SEARCH("Gri", D683)), VERI_TABANI!F28*(0.00202-VERI_TABANI!$B$17), 0))))</f>
        <v/>
      </c>
      <c r="I683" s="170">
        <f>IFERROR(((VERI_TABANI!$D$29*B683*VERI_TABANI!$B$14 + VERI_TABANI!$D$29*C683*VERI_TABANI!$B$15 + IF(ISNUMBER(SEARCH("Var", D683)), VERI_TABANI!$F$29*VERI_TABANI!$B$16, 0))) / (((VERI_TABANI!$D$29*B683 + VERI_TABANI!$D$29*C683)*VERI_TABANI!$B$13 + IF(ISNUMBER(SEARCH("Var", D683)), VERI_TABANI!$E$29*(1-0.928)*VERI_TABANI!$B$18, 0))), 0)</f>
        <v/>
      </c>
      <c r="J683" s="171">
        <f>IFERROR(F683/(G683/29), 0)</f>
        <v/>
      </c>
      <c r="K683" s="172">
        <f>IF(F683&gt;0, H683/F683, 0)</f>
        <v/>
      </c>
      <c r="L683" s="170">
        <f>IF(F683&gt;0, I683, 1000000000)</f>
        <v/>
      </c>
      <c r="M683" s="171">
        <f>ABS((B683+C683)-1)</f>
        <v/>
      </c>
      <c r="N683" s="170">
        <f>IF(F683&gt;0, (G683/29)/F683, 0)</f>
        <v/>
      </c>
      <c r="O683" s="168">
        <f>IF(AND((B683+C683)&gt;=1, ISNUMBER(SEARCH("Var", D683))), F683, 1000000000)</f>
        <v/>
      </c>
      <c r="P683" s="172">
        <f>IF(F683&gt;0, SQRT((F683/MAX(F$5:F$886))^2 + (1 - H683/MAX(H$5:H$886))^2 + (J683/MAX(J$5:J$886))^2), 1000000000)</f>
        <v/>
      </c>
      <c r="Q683" s="166">
        <f>IF(AND(ABS(B683-0.5)&lt;0.01, ABS(C683-0.5)&lt;0.01, ISNUMBER(SEARCH("Var", D683))), 1, 0)</f>
        <v/>
      </c>
      <c r="R683" s="171">
        <f>IF(F683&gt;0, J683, 1000000000)</f>
        <v/>
      </c>
      <c r="S683" s="101">
        <f>IF(AND(F683&lt;=DASHBOARD!$B$11, H683&gt;=DASHBOARD!$B$13), G683, -1000000000000)</f>
        <v/>
      </c>
      <c r="T683" s="101">
        <f>IF(AND(F683&lt;=DASHBOARD!$B$11, H683&gt;=DASHBOARD!$B$13), R683, 1000000000000)</f>
        <v/>
      </c>
      <c r="U683" s="101">
        <f>IF(AND(F683&lt;=DASHBOARD!$B$11, H683&gt;=DASHBOARD!$B$13), N683, -1000000000000)</f>
        <v/>
      </c>
      <c r="V683" s="101">
        <f>IF(AND(F683&lt;=DASHBOARD!$B$11, H683&gt;=DASHBOARD!$B$13), H683, -1000000000000)</f>
        <v/>
      </c>
      <c r="W683" s="101">
        <f>IF(AND(F683&lt;=DASHBOARD!$B$11, H683&gt;=DASHBOARD!$B$13), K683, -1000000000000)</f>
        <v/>
      </c>
      <c r="X683" s="101">
        <f>IF(AND(F683&lt;=DASHBOARD!$B$11, H683&gt;=DASHBOARD!$B$13), M683, 1000000000000)</f>
        <v/>
      </c>
      <c r="Y683" s="101">
        <f>IF(AND(F683&lt;=DASHBOARD!$B$10, H683&gt;=DASHBOARD!$B$11), L683, 1000000000000)</f>
        <v/>
      </c>
      <c r="Z683" s="101">
        <f>IF(AND(F683&lt;=DASHBOARD!$B$10, H683&gt;=DASHBOARD!$B$11), O683, 1000000000000)</f>
        <v/>
      </c>
      <c r="AA683" s="101">
        <f>IF(AND(F683&lt;=DASHBOARD!$B$10, H683&gt;=DASHBOARD!$B$11), P683, 1000000000000)</f>
        <v/>
      </c>
      <c r="AB683" s="101">
        <f>IF(AND(F683&lt;=DASHBOARD!$B$10, H683&gt;=DASHBOARD!$B$11), Q683, -1000000000000)</f>
        <v/>
      </c>
    </row>
    <row r="684" ht="15" customHeight="1" s="102">
      <c r="A684" s="166" t="n">
        <v>680</v>
      </c>
      <c r="B684" s="167" t="n">
        <v>1.6</v>
      </c>
      <c r="C684" s="167" t="n">
        <v>0.3</v>
      </c>
      <c r="D684" s="110" t="inlineStr">
        <is>
          <t>Var (%20)</t>
        </is>
      </c>
      <c r="E684" s="110">
        <f>IF((B684+C684)&lt;=1, "Tam Mahsuplaşma (≤%100)", "Kısmi Satış (&gt;%100)")</f>
        <v/>
      </c>
      <c r="F684" s="168">
        <f>((VERI_TABANI!$D$29*B684/VERI_TABANI!$B$29)/VERI_TABANI!$B$3)*VERI_TABANI!$B$5 + ((VERI_TABANI!$D$29*C684/VERI_TABANI!$B$29)/VERI_TABANI!$B$4)*VERI_TABANI!$B$6 + IF(ISNUMBER(SEARCH("Var", D684)), (VERI_TABANI!$F$29/VERI_TABANI!$B$29)*(VERI_TABANI!$B$10+VERI_TABANI!$B$12), 0)</f>
        <v/>
      </c>
      <c r="G684" s="168">
        <f>(((MIN(VERI_TABANI!D23, VERI_TABANI!D23*B684)*VERI_TABANI!$B$7 + MAX(0, VERI_TABANI!D23*B684-VERI_TABANI!D23)*VERI_TABANI!$B$8) + (MIN(MAX(0, VERI_TABANI!D23-VERI_TABANI!D23*B684), VERI_TABANI!D23*C684)*VERI_TABANI!$B$7 + MAX(0, VERI_TABANI!D23*C684-MAX(0, VERI_TABANI!D23-VERI_TABANI!D23*B684))*VERI_TABANI!$B$8) + IF(ABS(IF(ISNUMBER(SEARCH("Var", D684)), 1, IF(ISNUMBER(SEARCH("Gri", D684)), -1, 0)))=1, VERI_TABANI!E23*(1-0.928)*VERI_TABANI!$B$9, 0) + (VERI_TABANI!D23*B684*(VERI_TABANI!$B$13-VERI_TABANI!$B$14)*VERI_TABANI!G23) + (VERI_TABANI!D23*C684*(VERI_TABANI!$B$13-VERI_TABANI!$B$15)*VERI_TABANI!G23) + IF(ABS(IF(ISNUMBER(SEARCH("Var", D684)), 1, IF(ISNUMBER(SEARCH("Gri", D684)), -1, 0)))=1, VERI_TABANI!E23*(1-0.928)*0.00206091519919798*VERI_TABANI!G23, 0)) + ((MIN(VERI_TABANI!D24, VERI_TABANI!D24*B684)*VERI_TABANI!$B$7 + MAX(0, VERI_TABANI!D24*B684-VERI_TABANI!D24)*VERI_TABANI!$B$8) + (MIN(MAX(0, VERI_TABANI!D24-VERI_TABANI!D24*B684), VERI_TABANI!D24*C684)*VERI_TABANI!$B$7 + MAX(0, VERI_TABANI!D24*C684-MAX(0, VERI_TABANI!D24-VERI_TABANI!D24*B684))*VERI_TABANI!$B$8) + IF(ABS(IF(ISNUMBER(SEARCH("Var", D684)), 1, IF(ISNUMBER(SEARCH("Gri", D684)), -1, 0)))=1, VERI_TABANI!E24*(1-0.928)*VERI_TABANI!$B$9, 0) + (VERI_TABANI!D24*B684*(VERI_TABANI!$B$13-VERI_TABANI!$B$14)*VERI_TABANI!G24) + (VERI_TABANI!D24*C684*(VERI_TABANI!$B$13-VERI_TABANI!$B$15)*VERI_TABANI!G24) + IF(ABS(IF(ISNUMBER(SEARCH("Var", D684)), 1, IF(ISNUMBER(SEARCH("Gri", D684)), -1, 0)))=1, VERI_TABANI!E24*(1-0.928)*0.00206091519919798*VERI_TABANI!G24, 0)) + ((MIN(VERI_TABANI!D25, VERI_TABANI!D25*B684)*VERI_TABANI!$B$7 + MAX(0, VERI_TABANI!D25*B684-VERI_TABANI!D25)*VERI_TABANI!$B$8) + (MIN(MAX(0, VERI_TABANI!D25-VERI_TABANI!D25*B684), VERI_TABANI!D25*C684)*VERI_TABANI!$B$7 + MAX(0, VERI_TABANI!D25*C684-MAX(0, VERI_TABANI!D25-VERI_TABANI!D25*B684))*VERI_TABANI!$B$8) + IF(ABS(IF(ISNUMBER(SEARCH("Var", D684)), 1, IF(ISNUMBER(SEARCH("Gri", D684)), -1, 0)))=1, VERI_TABANI!E25*(1-0.928)*VERI_TABANI!$B$9, 0) + (VERI_TABANI!D25*B684*(VERI_TABANI!$B$13-VERI_TABANI!$B$14)*VERI_TABANI!G25) + (VERI_TABANI!D25*C684*(VERI_TABANI!$B$13-VERI_TABANI!$B$15)*VERI_TABANI!G25) + IF(ABS(IF(ISNUMBER(SEARCH("Var", D684)), 1, IF(ISNUMBER(SEARCH("Gri", D684)), -1, 0)))=1, VERI_TABANI!E25*(1-0.928)*0.00206091519919798*VERI_TABANI!G25, 0)) + ((MIN(VERI_TABANI!D26, VERI_TABANI!D26*B684)*VERI_TABANI!$B$7 + MAX(0, VERI_TABANI!D26*B684-VERI_TABANI!D26)*VERI_TABANI!$B$8) + (MIN(MAX(0, VERI_TABANI!D26-VERI_TABANI!D26*B684), VERI_TABANI!D26*C684)*VERI_TABANI!$B$7 + MAX(0, VERI_TABANI!D26*C684-MAX(0, VERI_TABANI!D26-VERI_TABANI!D26*B684))*VERI_TABANI!$B$8) + IF(ABS(IF(ISNUMBER(SEARCH("Var", D684)), 1, IF(ISNUMBER(SEARCH("Gri", D684)), -1, 0)))=1, VERI_TABANI!E26*(1-0.928)*VERI_TABANI!$B$9, 0) + (VERI_TABANI!D26*B684*(VERI_TABANI!$B$13-VERI_TABANI!$B$14)*VERI_TABANI!G26) + (VERI_TABANI!D26*C684*(VERI_TABANI!$B$13-VERI_TABANI!$B$15)*VERI_TABANI!G26) + IF(ABS(IF(ISNUMBER(SEARCH("Var", D684)), 1, IF(ISNUMBER(SEARCH("Gri", D684)), -1, 0)))=1, VERI_TABANI!E26*(1-0.928)*0.00206091519919798*VERI_TABANI!G26, 0)) + ((MIN(VERI_TABANI!D27, VERI_TABANI!D27*B684)*VERI_TABANI!$B$7 + MAX(0, VERI_TABANI!D27*B684-VERI_TABANI!D27)*VERI_TABANI!$B$8) + (MIN(MAX(0, VERI_TABANI!D27-VERI_TABANI!D27*B684), VERI_TABANI!D27*C684)*VERI_TABANI!$B$7 + MAX(0, VERI_TABANI!D27*C684-MAX(0, VERI_TABANI!D27-VERI_TABANI!D27*B684))*VERI_TABANI!$B$8) + IF(ABS(IF(ISNUMBER(SEARCH("Var", D684)), 1, IF(ISNUMBER(SEARCH("Gri", D684)), -1, 0)))=1, VERI_TABANI!E27*(1-0.928)*VERI_TABANI!$B$9, 0) + (VERI_TABANI!D27*B684*(VERI_TABANI!$B$13-VERI_TABANI!$B$14)*VERI_TABANI!G27) + (VERI_TABANI!D27*C684*(VERI_TABANI!$B$13-VERI_TABANI!$B$15)*VERI_TABANI!G27) + IF(ABS(IF(ISNUMBER(SEARCH("Var", D684)), 1, IF(ISNUMBER(SEARCH("Gri", D684)), -1, 0)))=1, VERI_TABANI!E27*(1-0.928)*0.00206091519919798*VERI_TABANI!G27, 0)) + ((MIN(VERI_TABANI!D28, VERI_TABANI!D28*B684)*VERI_TABANI!$B$7 + MAX(0, VERI_TABANI!D28*B684-VERI_TABANI!D28)*VERI_TABANI!$B$8) + (MIN(MAX(0, VERI_TABANI!D28-VERI_TABANI!D28*B684), VERI_TABANI!D28*C684)*VERI_TABANI!$B$7 + MAX(0, VERI_TABANI!D28*C684-MAX(0, VERI_TABANI!D28-VERI_TABANI!D28*B684))*VERI_TABANI!$B$8) + IF(ABS(IF(ISNUMBER(SEARCH("Var", D684)), 1, IF(ISNUMBER(SEARCH("Gri", D684)), -1, 0)))=1, VERI_TABANI!E28*(1-0.928)*VERI_TABANI!$B$9, 0) + (VERI_TABANI!D28*B684*(VERI_TABANI!$B$13-VERI_TABANI!$B$14)*VERI_TABANI!G28) + (VERI_TABANI!D28*C684*(VERI_TABANI!$B$13-VERI_TABANI!$B$15)*VERI_TABANI!G28) + IF(ABS(IF(ISNUMBER(SEARCH("Var", D684)), 1, IF(ISNUMBER(SEARCH("Gri", D684)), -1, 0)))=1, VERI_TABANI!E28*(1-0.928)*0.00206091519919798*VERI_TABANI!G28, 0)))</f>
        <v/>
      </c>
      <c r="H684" s="169">
        <f>(((VERI_TABANI!D23*B684*(VERI_TABANI!$B$13-VERI_TABANI!$B$14)) + (VERI_TABANI!D23*C684*(VERI_TABANI!$B$13-VERI_TABANI!$B$15)) + IF(ISNUMBER(SEARCH("Var", D684)), VERI_TABANI!F23*(0.00202-VERI_TABANI!$B$16), IF(ISNUMBER(SEARCH("Gri", D684)), VERI_TABANI!F23*(0.00202-VERI_TABANI!$B$17), 0))) + ((VERI_TABANI!D24*B684*(VERI_TABANI!$B$13-VERI_TABANI!$B$14)) + (VERI_TABANI!D24*C684*(VERI_TABANI!$B$13-VERI_TABANI!$B$15)) + IF(ISNUMBER(SEARCH("Var", D684)), VERI_TABANI!F24*(0.00202-VERI_TABANI!$B$16), IF(ISNUMBER(SEARCH("Gri", D684)), VERI_TABANI!F24*(0.00202-VERI_TABANI!$B$17), 0))) + ((VERI_TABANI!D25*B684*(VERI_TABANI!$B$13-VERI_TABANI!$B$14)) + (VERI_TABANI!D25*C684*(VERI_TABANI!$B$13-VERI_TABANI!$B$15)) + IF(ISNUMBER(SEARCH("Var", D684)), VERI_TABANI!F25*(0.00202-VERI_TABANI!$B$16), IF(ISNUMBER(SEARCH("Gri", D684)), VERI_TABANI!F25*(0.00202-VERI_TABANI!$B$17), 0))) + ((VERI_TABANI!D26*B684*(VERI_TABANI!$B$13-VERI_TABANI!$B$14)) + (VERI_TABANI!D26*C684*(VERI_TABANI!$B$13-VERI_TABANI!$B$15)) + IF(ISNUMBER(SEARCH("Var", D684)), VERI_TABANI!F26*(0.00202-VERI_TABANI!$B$16), IF(ISNUMBER(SEARCH("Gri", D684)), VERI_TABANI!F26*(0.00202-VERI_TABANI!$B$17), 0))) + ((VERI_TABANI!D27*B684*(VERI_TABANI!$B$13-VERI_TABANI!$B$14)) + (VERI_TABANI!D27*C684*(VERI_TABANI!$B$13-VERI_TABANI!$B$15)) + IF(ISNUMBER(SEARCH("Var", D684)), VERI_TABANI!F27*(0.00202-VERI_TABANI!$B$16), IF(ISNUMBER(SEARCH("Gri", D684)), VERI_TABANI!F27*(0.00202-VERI_TABANI!$B$17), 0))) + ((VERI_TABANI!D28*B684*(VERI_TABANI!$B$13-VERI_TABANI!$B$14)) + (VERI_TABANI!D28*C684*(VERI_TABANI!$B$13-VERI_TABANI!$B$15)) + IF(ISNUMBER(SEARCH("Var", D684)), VERI_TABANI!F28*(0.00202-VERI_TABANI!$B$16), IF(ISNUMBER(SEARCH("Gri", D684)), VERI_TABANI!F28*(0.00202-VERI_TABANI!$B$17), 0))))</f>
        <v/>
      </c>
      <c r="I684" s="170">
        <f>IFERROR(((VERI_TABANI!$D$29*B684*VERI_TABANI!$B$14 + VERI_TABANI!$D$29*C684*VERI_TABANI!$B$15 + IF(ISNUMBER(SEARCH("Var", D684)), VERI_TABANI!$F$29*VERI_TABANI!$B$16, 0))) / (((VERI_TABANI!$D$29*B684 + VERI_TABANI!$D$29*C684)*VERI_TABANI!$B$13 + IF(ISNUMBER(SEARCH("Var", D684)), VERI_TABANI!$E$29*(1-0.928)*VERI_TABANI!$B$18, 0))), 0)</f>
        <v/>
      </c>
      <c r="J684" s="171">
        <f>IFERROR(F684/(G684/29), 0)</f>
        <v/>
      </c>
      <c r="K684" s="172">
        <f>IF(F684&gt;0, H684/F684, 0)</f>
        <v/>
      </c>
      <c r="L684" s="170">
        <f>IF(F684&gt;0, I684, 1000000000)</f>
        <v/>
      </c>
      <c r="M684" s="171">
        <f>ABS((B684+C684)-1)</f>
        <v/>
      </c>
      <c r="N684" s="170">
        <f>IF(F684&gt;0, (G684/29)/F684, 0)</f>
        <v/>
      </c>
      <c r="O684" s="168">
        <f>IF(AND((B684+C684)&gt;=1, ISNUMBER(SEARCH("Var", D684))), F684, 1000000000)</f>
        <v/>
      </c>
      <c r="P684" s="172">
        <f>IF(F684&gt;0, SQRT((F684/MAX(F$5:F$886))^2 + (1 - H684/MAX(H$5:H$886))^2 + (J684/MAX(J$5:J$886))^2), 1000000000)</f>
        <v/>
      </c>
      <c r="Q684" s="166">
        <f>IF(AND(ABS(B684-0.5)&lt;0.01, ABS(C684-0.5)&lt;0.01, ISNUMBER(SEARCH("Var", D684))), 1, 0)</f>
        <v/>
      </c>
      <c r="R684" s="171">
        <f>IF(F684&gt;0, J684, 1000000000)</f>
        <v/>
      </c>
      <c r="S684" s="101">
        <f>IF(AND(F684&lt;=DASHBOARD!$B$11, H684&gt;=DASHBOARD!$B$13), G684, -1000000000000)</f>
        <v/>
      </c>
      <c r="T684" s="101">
        <f>IF(AND(F684&lt;=DASHBOARD!$B$11, H684&gt;=DASHBOARD!$B$13), R684, 1000000000000)</f>
        <v/>
      </c>
      <c r="U684" s="101">
        <f>IF(AND(F684&lt;=DASHBOARD!$B$11, H684&gt;=DASHBOARD!$B$13), N684, -1000000000000)</f>
        <v/>
      </c>
      <c r="V684" s="101">
        <f>IF(AND(F684&lt;=DASHBOARD!$B$11, H684&gt;=DASHBOARD!$B$13), H684, -1000000000000)</f>
        <v/>
      </c>
      <c r="W684" s="101">
        <f>IF(AND(F684&lt;=DASHBOARD!$B$11, H684&gt;=DASHBOARD!$B$13), K684, -1000000000000)</f>
        <v/>
      </c>
      <c r="X684" s="101">
        <f>IF(AND(F684&lt;=DASHBOARD!$B$11, H684&gt;=DASHBOARD!$B$13), M684, 1000000000000)</f>
        <v/>
      </c>
      <c r="Y684" s="101">
        <f>IF(AND(F684&lt;=DASHBOARD!$B$10, H684&gt;=DASHBOARD!$B$11), L684, 1000000000000)</f>
        <v/>
      </c>
      <c r="Z684" s="101">
        <f>IF(AND(F684&lt;=DASHBOARD!$B$10, H684&gt;=DASHBOARD!$B$11), O684, 1000000000000)</f>
        <v/>
      </c>
      <c r="AA684" s="101">
        <f>IF(AND(F684&lt;=DASHBOARD!$B$10, H684&gt;=DASHBOARD!$B$11), P684, 1000000000000)</f>
        <v/>
      </c>
      <c r="AB684" s="101">
        <f>IF(AND(F684&lt;=DASHBOARD!$B$10, H684&gt;=DASHBOARD!$B$11), Q684, -1000000000000)</f>
        <v/>
      </c>
    </row>
    <row r="685" ht="15" customHeight="1" s="102">
      <c r="A685" s="166" t="n">
        <v>681</v>
      </c>
      <c r="B685" s="167" t="n">
        <v>1.6</v>
      </c>
      <c r="C685" s="167" t="n">
        <v>0.4</v>
      </c>
      <c r="D685" s="110" t="inlineStr">
        <is>
          <t>Yok (%0)</t>
        </is>
      </c>
      <c r="E685" s="110">
        <f>IF((B685+C685)&lt;=1, "Tam Mahsuplaşma (≤%100)", "Kısmi Satış (&gt;%100)")</f>
        <v/>
      </c>
      <c r="F685" s="168">
        <f>((VERI_TABANI!$D$29*B685/VERI_TABANI!$B$29)/VERI_TABANI!$B$3)*VERI_TABANI!$B$5 + ((VERI_TABANI!$D$29*C685/VERI_TABANI!$B$29)/VERI_TABANI!$B$4)*VERI_TABANI!$B$6 + IF(ISNUMBER(SEARCH("Var", D685)), (VERI_TABANI!$F$29/VERI_TABANI!$B$29)*(VERI_TABANI!$B$10+VERI_TABANI!$B$12), 0)</f>
        <v/>
      </c>
      <c r="G685" s="168">
        <f>(((MIN(VERI_TABANI!D23, VERI_TABANI!D23*B685)*VERI_TABANI!$B$7 + MAX(0, VERI_TABANI!D23*B685-VERI_TABANI!D23)*VERI_TABANI!$B$8) + (MIN(MAX(0, VERI_TABANI!D23-VERI_TABANI!D23*B685), VERI_TABANI!D23*C685)*VERI_TABANI!$B$7 + MAX(0, VERI_TABANI!D23*C685-MAX(0, VERI_TABANI!D23-VERI_TABANI!D23*B685))*VERI_TABANI!$B$8) + IF(ABS(IF(ISNUMBER(SEARCH("Var", D685)), 1, IF(ISNUMBER(SEARCH("Gri", D685)), -1, 0)))=1, VERI_TABANI!E23*(1-0.928)*VERI_TABANI!$B$9, 0) + (VERI_TABANI!D23*B685*(VERI_TABANI!$B$13-VERI_TABANI!$B$14)*VERI_TABANI!G23) + (VERI_TABANI!D23*C685*(VERI_TABANI!$B$13-VERI_TABANI!$B$15)*VERI_TABANI!G23) + IF(ABS(IF(ISNUMBER(SEARCH("Var", D685)), 1, IF(ISNUMBER(SEARCH("Gri", D685)), -1, 0)))=1, VERI_TABANI!E23*(1-0.928)*0.00206091519919798*VERI_TABANI!G23, 0)) + ((MIN(VERI_TABANI!D24, VERI_TABANI!D24*B685)*VERI_TABANI!$B$7 + MAX(0, VERI_TABANI!D24*B685-VERI_TABANI!D24)*VERI_TABANI!$B$8) + (MIN(MAX(0, VERI_TABANI!D24-VERI_TABANI!D24*B685), VERI_TABANI!D24*C685)*VERI_TABANI!$B$7 + MAX(0, VERI_TABANI!D24*C685-MAX(0, VERI_TABANI!D24-VERI_TABANI!D24*B685))*VERI_TABANI!$B$8) + IF(ABS(IF(ISNUMBER(SEARCH("Var", D685)), 1, IF(ISNUMBER(SEARCH("Gri", D685)), -1, 0)))=1, VERI_TABANI!E24*(1-0.928)*VERI_TABANI!$B$9, 0) + (VERI_TABANI!D24*B685*(VERI_TABANI!$B$13-VERI_TABANI!$B$14)*VERI_TABANI!G24) + (VERI_TABANI!D24*C685*(VERI_TABANI!$B$13-VERI_TABANI!$B$15)*VERI_TABANI!G24) + IF(ABS(IF(ISNUMBER(SEARCH("Var", D685)), 1, IF(ISNUMBER(SEARCH("Gri", D685)), -1, 0)))=1, VERI_TABANI!E24*(1-0.928)*0.00206091519919798*VERI_TABANI!G24, 0)) + ((MIN(VERI_TABANI!D25, VERI_TABANI!D25*B685)*VERI_TABANI!$B$7 + MAX(0, VERI_TABANI!D25*B685-VERI_TABANI!D25)*VERI_TABANI!$B$8) + (MIN(MAX(0, VERI_TABANI!D25-VERI_TABANI!D25*B685), VERI_TABANI!D25*C685)*VERI_TABANI!$B$7 + MAX(0, VERI_TABANI!D25*C685-MAX(0, VERI_TABANI!D25-VERI_TABANI!D25*B685))*VERI_TABANI!$B$8) + IF(ABS(IF(ISNUMBER(SEARCH("Var", D685)), 1, IF(ISNUMBER(SEARCH("Gri", D685)), -1, 0)))=1, VERI_TABANI!E25*(1-0.928)*VERI_TABANI!$B$9, 0) + (VERI_TABANI!D25*B685*(VERI_TABANI!$B$13-VERI_TABANI!$B$14)*VERI_TABANI!G25) + (VERI_TABANI!D25*C685*(VERI_TABANI!$B$13-VERI_TABANI!$B$15)*VERI_TABANI!G25) + IF(ABS(IF(ISNUMBER(SEARCH("Var", D685)), 1, IF(ISNUMBER(SEARCH("Gri", D685)), -1, 0)))=1, VERI_TABANI!E25*(1-0.928)*0.00206091519919798*VERI_TABANI!G25, 0)) + ((MIN(VERI_TABANI!D26, VERI_TABANI!D26*B685)*VERI_TABANI!$B$7 + MAX(0, VERI_TABANI!D26*B685-VERI_TABANI!D26)*VERI_TABANI!$B$8) + (MIN(MAX(0, VERI_TABANI!D26-VERI_TABANI!D26*B685), VERI_TABANI!D26*C685)*VERI_TABANI!$B$7 + MAX(0, VERI_TABANI!D26*C685-MAX(0, VERI_TABANI!D26-VERI_TABANI!D26*B685))*VERI_TABANI!$B$8) + IF(ABS(IF(ISNUMBER(SEARCH("Var", D685)), 1, IF(ISNUMBER(SEARCH("Gri", D685)), -1, 0)))=1, VERI_TABANI!E26*(1-0.928)*VERI_TABANI!$B$9, 0) + (VERI_TABANI!D26*B685*(VERI_TABANI!$B$13-VERI_TABANI!$B$14)*VERI_TABANI!G26) + (VERI_TABANI!D26*C685*(VERI_TABANI!$B$13-VERI_TABANI!$B$15)*VERI_TABANI!G26) + IF(ABS(IF(ISNUMBER(SEARCH("Var", D685)), 1, IF(ISNUMBER(SEARCH("Gri", D685)), -1, 0)))=1, VERI_TABANI!E26*(1-0.928)*0.00206091519919798*VERI_TABANI!G26, 0)) + ((MIN(VERI_TABANI!D27, VERI_TABANI!D27*B685)*VERI_TABANI!$B$7 + MAX(0, VERI_TABANI!D27*B685-VERI_TABANI!D27)*VERI_TABANI!$B$8) + (MIN(MAX(0, VERI_TABANI!D27-VERI_TABANI!D27*B685), VERI_TABANI!D27*C685)*VERI_TABANI!$B$7 + MAX(0, VERI_TABANI!D27*C685-MAX(0, VERI_TABANI!D27-VERI_TABANI!D27*B685))*VERI_TABANI!$B$8) + IF(ABS(IF(ISNUMBER(SEARCH("Var", D685)), 1, IF(ISNUMBER(SEARCH("Gri", D685)), -1, 0)))=1, VERI_TABANI!E27*(1-0.928)*VERI_TABANI!$B$9, 0) + (VERI_TABANI!D27*B685*(VERI_TABANI!$B$13-VERI_TABANI!$B$14)*VERI_TABANI!G27) + (VERI_TABANI!D27*C685*(VERI_TABANI!$B$13-VERI_TABANI!$B$15)*VERI_TABANI!G27) + IF(ABS(IF(ISNUMBER(SEARCH("Var", D685)), 1, IF(ISNUMBER(SEARCH("Gri", D685)), -1, 0)))=1, VERI_TABANI!E27*(1-0.928)*0.00206091519919798*VERI_TABANI!G27, 0)) + ((MIN(VERI_TABANI!D28, VERI_TABANI!D28*B685)*VERI_TABANI!$B$7 + MAX(0, VERI_TABANI!D28*B685-VERI_TABANI!D28)*VERI_TABANI!$B$8) + (MIN(MAX(0, VERI_TABANI!D28-VERI_TABANI!D28*B685), VERI_TABANI!D28*C685)*VERI_TABANI!$B$7 + MAX(0, VERI_TABANI!D28*C685-MAX(0, VERI_TABANI!D28-VERI_TABANI!D28*B685))*VERI_TABANI!$B$8) + IF(ABS(IF(ISNUMBER(SEARCH("Var", D685)), 1, IF(ISNUMBER(SEARCH("Gri", D685)), -1, 0)))=1, VERI_TABANI!E28*(1-0.928)*VERI_TABANI!$B$9, 0) + (VERI_TABANI!D28*B685*(VERI_TABANI!$B$13-VERI_TABANI!$B$14)*VERI_TABANI!G28) + (VERI_TABANI!D28*C685*(VERI_TABANI!$B$13-VERI_TABANI!$B$15)*VERI_TABANI!G28) + IF(ABS(IF(ISNUMBER(SEARCH("Var", D685)), 1, IF(ISNUMBER(SEARCH("Gri", D685)), -1, 0)))=1, VERI_TABANI!E28*(1-0.928)*0.00206091519919798*VERI_TABANI!G28, 0)))</f>
        <v/>
      </c>
      <c r="H685" s="169">
        <f>(((VERI_TABANI!D23*B685*(VERI_TABANI!$B$13-VERI_TABANI!$B$14)) + (VERI_TABANI!D23*C685*(VERI_TABANI!$B$13-VERI_TABANI!$B$15)) + IF(ISNUMBER(SEARCH("Var", D685)), VERI_TABANI!F23*(0.00202-VERI_TABANI!$B$16), IF(ISNUMBER(SEARCH("Gri", D685)), VERI_TABANI!F23*(0.00202-VERI_TABANI!$B$17), 0))) + ((VERI_TABANI!D24*B685*(VERI_TABANI!$B$13-VERI_TABANI!$B$14)) + (VERI_TABANI!D24*C685*(VERI_TABANI!$B$13-VERI_TABANI!$B$15)) + IF(ISNUMBER(SEARCH("Var", D685)), VERI_TABANI!F24*(0.00202-VERI_TABANI!$B$16), IF(ISNUMBER(SEARCH("Gri", D685)), VERI_TABANI!F24*(0.00202-VERI_TABANI!$B$17), 0))) + ((VERI_TABANI!D25*B685*(VERI_TABANI!$B$13-VERI_TABANI!$B$14)) + (VERI_TABANI!D25*C685*(VERI_TABANI!$B$13-VERI_TABANI!$B$15)) + IF(ISNUMBER(SEARCH("Var", D685)), VERI_TABANI!F25*(0.00202-VERI_TABANI!$B$16), IF(ISNUMBER(SEARCH("Gri", D685)), VERI_TABANI!F25*(0.00202-VERI_TABANI!$B$17), 0))) + ((VERI_TABANI!D26*B685*(VERI_TABANI!$B$13-VERI_TABANI!$B$14)) + (VERI_TABANI!D26*C685*(VERI_TABANI!$B$13-VERI_TABANI!$B$15)) + IF(ISNUMBER(SEARCH("Var", D685)), VERI_TABANI!F26*(0.00202-VERI_TABANI!$B$16), IF(ISNUMBER(SEARCH("Gri", D685)), VERI_TABANI!F26*(0.00202-VERI_TABANI!$B$17), 0))) + ((VERI_TABANI!D27*B685*(VERI_TABANI!$B$13-VERI_TABANI!$B$14)) + (VERI_TABANI!D27*C685*(VERI_TABANI!$B$13-VERI_TABANI!$B$15)) + IF(ISNUMBER(SEARCH("Var", D685)), VERI_TABANI!F27*(0.00202-VERI_TABANI!$B$16), IF(ISNUMBER(SEARCH("Gri", D685)), VERI_TABANI!F27*(0.00202-VERI_TABANI!$B$17), 0))) + ((VERI_TABANI!D28*B685*(VERI_TABANI!$B$13-VERI_TABANI!$B$14)) + (VERI_TABANI!D28*C685*(VERI_TABANI!$B$13-VERI_TABANI!$B$15)) + IF(ISNUMBER(SEARCH("Var", D685)), VERI_TABANI!F28*(0.00202-VERI_TABANI!$B$16), IF(ISNUMBER(SEARCH("Gri", D685)), VERI_TABANI!F28*(0.00202-VERI_TABANI!$B$17), 0))))</f>
        <v/>
      </c>
      <c r="I685" s="170">
        <f>IFERROR(((VERI_TABANI!$D$29*B685*VERI_TABANI!$B$14 + VERI_TABANI!$D$29*C685*VERI_TABANI!$B$15 + IF(ISNUMBER(SEARCH("Var", D685)), VERI_TABANI!$F$29*VERI_TABANI!$B$16, 0))) / (((VERI_TABANI!$D$29*B685 + VERI_TABANI!$D$29*C685)*VERI_TABANI!$B$13 + IF(ISNUMBER(SEARCH("Var", D685)), VERI_TABANI!$E$29*(1-0.928)*VERI_TABANI!$B$18, 0))), 0)</f>
        <v/>
      </c>
      <c r="J685" s="171">
        <f>IFERROR(F685/(G685/29), 0)</f>
        <v/>
      </c>
      <c r="K685" s="172">
        <f>IF(F685&gt;0, H685/F685, 0)</f>
        <v/>
      </c>
      <c r="L685" s="170">
        <f>IF(F685&gt;0, I685, 1000000000)</f>
        <v/>
      </c>
      <c r="M685" s="171">
        <f>ABS((B685+C685)-1)</f>
        <v/>
      </c>
      <c r="N685" s="170">
        <f>IF(F685&gt;0, (G685/29)/F685, 0)</f>
        <v/>
      </c>
      <c r="O685" s="168">
        <f>IF(AND((B685+C685)&gt;=1, ISNUMBER(SEARCH("Var", D685))), F685, 1000000000)</f>
        <v/>
      </c>
      <c r="P685" s="172">
        <f>IF(F685&gt;0, SQRT((F685/MAX(F$5:F$886))^2 + (1 - H685/MAX(H$5:H$886))^2 + (J685/MAX(J$5:J$886))^2), 1000000000)</f>
        <v/>
      </c>
      <c r="Q685" s="166">
        <f>IF(AND(ABS(B685-0.5)&lt;0.01, ABS(C685-0.5)&lt;0.01, ISNUMBER(SEARCH("Var", D685))), 1, 0)</f>
        <v/>
      </c>
      <c r="R685" s="171">
        <f>IF(F685&gt;0, J685, 1000000000)</f>
        <v/>
      </c>
      <c r="S685" s="101">
        <f>IF(AND(F685&lt;=DASHBOARD!$B$11, H685&gt;=DASHBOARD!$B$13), G685, -1000000000000)</f>
        <v/>
      </c>
      <c r="T685" s="101">
        <f>IF(AND(F685&lt;=DASHBOARD!$B$11, H685&gt;=DASHBOARD!$B$13), R685, 1000000000000)</f>
        <v/>
      </c>
      <c r="U685" s="101">
        <f>IF(AND(F685&lt;=DASHBOARD!$B$11, H685&gt;=DASHBOARD!$B$13), N685, -1000000000000)</f>
        <v/>
      </c>
      <c r="V685" s="101">
        <f>IF(AND(F685&lt;=DASHBOARD!$B$11, H685&gt;=DASHBOARD!$B$13), H685, -1000000000000)</f>
        <v/>
      </c>
      <c r="W685" s="101">
        <f>IF(AND(F685&lt;=DASHBOARD!$B$11, H685&gt;=DASHBOARD!$B$13), K685, -1000000000000)</f>
        <v/>
      </c>
      <c r="X685" s="101">
        <f>IF(AND(F685&lt;=DASHBOARD!$B$11, H685&gt;=DASHBOARD!$B$13), M685, 1000000000000)</f>
        <v/>
      </c>
      <c r="Y685" s="101">
        <f>IF(AND(F685&lt;=DASHBOARD!$B$10, H685&gt;=DASHBOARD!$B$11), L685, 1000000000000)</f>
        <v/>
      </c>
      <c r="Z685" s="101">
        <f>IF(AND(F685&lt;=DASHBOARD!$B$10, H685&gt;=DASHBOARD!$B$11), O685, 1000000000000)</f>
        <v/>
      </c>
      <c r="AA685" s="101">
        <f>IF(AND(F685&lt;=DASHBOARD!$B$10, H685&gt;=DASHBOARD!$B$11), P685, 1000000000000)</f>
        <v/>
      </c>
      <c r="AB685" s="101">
        <f>IF(AND(F685&lt;=DASHBOARD!$B$10, H685&gt;=DASHBOARD!$B$11), Q685, -1000000000000)</f>
        <v/>
      </c>
    </row>
    <row r="686" ht="15" customHeight="1" s="102">
      <c r="A686" s="166" t="n">
        <v>682</v>
      </c>
      <c r="B686" s="167" t="n">
        <v>1.6</v>
      </c>
      <c r="C686" s="167" t="n">
        <v>0.4</v>
      </c>
      <c r="D686" s="110" t="inlineStr">
        <is>
          <t>Var (%20)</t>
        </is>
      </c>
      <c r="E686" s="110">
        <f>IF((B686+C686)&lt;=1, "Tam Mahsuplaşma (≤%100)", "Kısmi Satış (&gt;%100)")</f>
        <v/>
      </c>
      <c r="F686" s="168">
        <f>((VERI_TABANI!$D$29*B686/VERI_TABANI!$B$29)/VERI_TABANI!$B$3)*VERI_TABANI!$B$5 + ((VERI_TABANI!$D$29*C686/VERI_TABANI!$B$29)/VERI_TABANI!$B$4)*VERI_TABANI!$B$6 + IF(ISNUMBER(SEARCH("Var", D686)), (VERI_TABANI!$F$29/VERI_TABANI!$B$29)*(VERI_TABANI!$B$10+VERI_TABANI!$B$12), 0)</f>
        <v/>
      </c>
      <c r="G686" s="168">
        <f>(((MIN(VERI_TABANI!D23, VERI_TABANI!D23*B686)*VERI_TABANI!$B$7 + MAX(0, VERI_TABANI!D23*B686-VERI_TABANI!D23)*VERI_TABANI!$B$8) + (MIN(MAX(0, VERI_TABANI!D23-VERI_TABANI!D23*B686), VERI_TABANI!D23*C686)*VERI_TABANI!$B$7 + MAX(0, VERI_TABANI!D23*C686-MAX(0, VERI_TABANI!D23-VERI_TABANI!D23*B686))*VERI_TABANI!$B$8) + IF(ABS(IF(ISNUMBER(SEARCH("Var", D686)), 1, IF(ISNUMBER(SEARCH("Gri", D686)), -1, 0)))=1, VERI_TABANI!E23*(1-0.928)*VERI_TABANI!$B$9, 0) + (VERI_TABANI!D23*B686*(VERI_TABANI!$B$13-VERI_TABANI!$B$14)*VERI_TABANI!G23) + (VERI_TABANI!D23*C686*(VERI_TABANI!$B$13-VERI_TABANI!$B$15)*VERI_TABANI!G23) + IF(ABS(IF(ISNUMBER(SEARCH("Var", D686)), 1, IF(ISNUMBER(SEARCH("Gri", D686)), -1, 0)))=1, VERI_TABANI!E23*(1-0.928)*0.00206091519919798*VERI_TABANI!G23, 0)) + ((MIN(VERI_TABANI!D24, VERI_TABANI!D24*B686)*VERI_TABANI!$B$7 + MAX(0, VERI_TABANI!D24*B686-VERI_TABANI!D24)*VERI_TABANI!$B$8) + (MIN(MAX(0, VERI_TABANI!D24-VERI_TABANI!D24*B686), VERI_TABANI!D24*C686)*VERI_TABANI!$B$7 + MAX(0, VERI_TABANI!D24*C686-MAX(0, VERI_TABANI!D24-VERI_TABANI!D24*B686))*VERI_TABANI!$B$8) + IF(ABS(IF(ISNUMBER(SEARCH("Var", D686)), 1, IF(ISNUMBER(SEARCH("Gri", D686)), -1, 0)))=1, VERI_TABANI!E24*(1-0.928)*VERI_TABANI!$B$9, 0) + (VERI_TABANI!D24*B686*(VERI_TABANI!$B$13-VERI_TABANI!$B$14)*VERI_TABANI!G24) + (VERI_TABANI!D24*C686*(VERI_TABANI!$B$13-VERI_TABANI!$B$15)*VERI_TABANI!G24) + IF(ABS(IF(ISNUMBER(SEARCH("Var", D686)), 1, IF(ISNUMBER(SEARCH("Gri", D686)), -1, 0)))=1, VERI_TABANI!E24*(1-0.928)*0.00206091519919798*VERI_TABANI!G24, 0)) + ((MIN(VERI_TABANI!D25, VERI_TABANI!D25*B686)*VERI_TABANI!$B$7 + MAX(0, VERI_TABANI!D25*B686-VERI_TABANI!D25)*VERI_TABANI!$B$8) + (MIN(MAX(0, VERI_TABANI!D25-VERI_TABANI!D25*B686), VERI_TABANI!D25*C686)*VERI_TABANI!$B$7 + MAX(0, VERI_TABANI!D25*C686-MAX(0, VERI_TABANI!D25-VERI_TABANI!D25*B686))*VERI_TABANI!$B$8) + IF(ABS(IF(ISNUMBER(SEARCH("Var", D686)), 1, IF(ISNUMBER(SEARCH("Gri", D686)), -1, 0)))=1, VERI_TABANI!E25*(1-0.928)*VERI_TABANI!$B$9, 0) + (VERI_TABANI!D25*B686*(VERI_TABANI!$B$13-VERI_TABANI!$B$14)*VERI_TABANI!G25) + (VERI_TABANI!D25*C686*(VERI_TABANI!$B$13-VERI_TABANI!$B$15)*VERI_TABANI!G25) + IF(ABS(IF(ISNUMBER(SEARCH("Var", D686)), 1, IF(ISNUMBER(SEARCH("Gri", D686)), -1, 0)))=1, VERI_TABANI!E25*(1-0.928)*0.00206091519919798*VERI_TABANI!G25, 0)) + ((MIN(VERI_TABANI!D26, VERI_TABANI!D26*B686)*VERI_TABANI!$B$7 + MAX(0, VERI_TABANI!D26*B686-VERI_TABANI!D26)*VERI_TABANI!$B$8) + (MIN(MAX(0, VERI_TABANI!D26-VERI_TABANI!D26*B686), VERI_TABANI!D26*C686)*VERI_TABANI!$B$7 + MAX(0, VERI_TABANI!D26*C686-MAX(0, VERI_TABANI!D26-VERI_TABANI!D26*B686))*VERI_TABANI!$B$8) + IF(ABS(IF(ISNUMBER(SEARCH("Var", D686)), 1, IF(ISNUMBER(SEARCH("Gri", D686)), -1, 0)))=1, VERI_TABANI!E26*(1-0.928)*VERI_TABANI!$B$9, 0) + (VERI_TABANI!D26*B686*(VERI_TABANI!$B$13-VERI_TABANI!$B$14)*VERI_TABANI!G26) + (VERI_TABANI!D26*C686*(VERI_TABANI!$B$13-VERI_TABANI!$B$15)*VERI_TABANI!G26) + IF(ABS(IF(ISNUMBER(SEARCH("Var", D686)), 1, IF(ISNUMBER(SEARCH("Gri", D686)), -1, 0)))=1, VERI_TABANI!E26*(1-0.928)*0.00206091519919798*VERI_TABANI!G26, 0)) + ((MIN(VERI_TABANI!D27, VERI_TABANI!D27*B686)*VERI_TABANI!$B$7 + MAX(0, VERI_TABANI!D27*B686-VERI_TABANI!D27)*VERI_TABANI!$B$8) + (MIN(MAX(0, VERI_TABANI!D27-VERI_TABANI!D27*B686), VERI_TABANI!D27*C686)*VERI_TABANI!$B$7 + MAX(0, VERI_TABANI!D27*C686-MAX(0, VERI_TABANI!D27-VERI_TABANI!D27*B686))*VERI_TABANI!$B$8) + IF(ABS(IF(ISNUMBER(SEARCH("Var", D686)), 1, IF(ISNUMBER(SEARCH("Gri", D686)), -1, 0)))=1, VERI_TABANI!E27*(1-0.928)*VERI_TABANI!$B$9, 0) + (VERI_TABANI!D27*B686*(VERI_TABANI!$B$13-VERI_TABANI!$B$14)*VERI_TABANI!G27) + (VERI_TABANI!D27*C686*(VERI_TABANI!$B$13-VERI_TABANI!$B$15)*VERI_TABANI!G27) + IF(ABS(IF(ISNUMBER(SEARCH("Var", D686)), 1, IF(ISNUMBER(SEARCH("Gri", D686)), -1, 0)))=1, VERI_TABANI!E27*(1-0.928)*0.00206091519919798*VERI_TABANI!G27, 0)) + ((MIN(VERI_TABANI!D28, VERI_TABANI!D28*B686)*VERI_TABANI!$B$7 + MAX(0, VERI_TABANI!D28*B686-VERI_TABANI!D28)*VERI_TABANI!$B$8) + (MIN(MAX(0, VERI_TABANI!D28-VERI_TABANI!D28*B686), VERI_TABANI!D28*C686)*VERI_TABANI!$B$7 + MAX(0, VERI_TABANI!D28*C686-MAX(0, VERI_TABANI!D28-VERI_TABANI!D28*B686))*VERI_TABANI!$B$8) + IF(ABS(IF(ISNUMBER(SEARCH("Var", D686)), 1, IF(ISNUMBER(SEARCH("Gri", D686)), -1, 0)))=1, VERI_TABANI!E28*(1-0.928)*VERI_TABANI!$B$9, 0) + (VERI_TABANI!D28*B686*(VERI_TABANI!$B$13-VERI_TABANI!$B$14)*VERI_TABANI!G28) + (VERI_TABANI!D28*C686*(VERI_TABANI!$B$13-VERI_TABANI!$B$15)*VERI_TABANI!G28) + IF(ABS(IF(ISNUMBER(SEARCH("Var", D686)), 1, IF(ISNUMBER(SEARCH("Gri", D686)), -1, 0)))=1, VERI_TABANI!E28*(1-0.928)*0.00206091519919798*VERI_TABANI!G28, 0)))</f>
        <v/>
      </c>
      <c r="H686" s="169">
        <f>(((VERI_TABANI!D23*B686*(VERI_TABANI!$B$13-VERI_TABANI!$B$14)) + (VERI_TABANI!D23*C686*(VERI_TABANI!$B$13-VERI_TABANI!$B$15)) + IF(ISNUMBER(SEARCH("Var", D686)), VERI_TABANI!F23*(0.00202-VERI_TABANI!$B$16), IF(ISNUMBER(SEARCH("Gri", D686)), VERI_TABANI!F23*(0.00202-VERI_TABANI!$B$17), 0))) + ((VERI_TABANI!D24*B686*(VERI_TABANI!$B$13-VERI_TABANI!$B$14)) + (VERI_TABANI!D24*C686*(VERI_TABANI!$B$13-VERI_TABANI!$B$15)) + IF(ISNUMBER(SEARCH("Var", D686)), VERI_TABANI!F24*(0.00202-VERI_TABANI!$B$16), IF(ISNUMBER(SEARCH("Gri", D686)), VERI_TABANI!F24*(0.00202-VERI_TABANI!$B$17), 0))) + ((VERI_TABANI!D25*B686*(VERI_TABANI!$B$13-VERI_TABANI!$B$14)) + (VERI_TABANI!D25*C686*(VERI_TABANI!$B$13-VERI_TABANI!$B$15)) + IF(ISNUMBER(SEARCH("Var", D686)), VERI_TABANI!F25*(0.00202-VERI_TABANI!$B$16), IF(ISNUMBER(SEARCH("Gri", D686)), VERI_TABANI!F25*(0.00202-VERI_TABANI!$B$17), 0))) + ((VERI_TABANI!D26*B686*(VERI_TABANI!$B$13-VERI_TABANI!$B$14)) + (VERI_TABANI!D26*C686*(VERI_TABANI!$B$13-VERI_TABANI!$B$15)) + IF(ISNUMBER(SEARCH("Var", D686)), VERI_TABANI!F26*(0.00202-VERI_TABANI!$B$16), IF(ISNUMBER(SEARCH("Gri", D686)), VERI_TABANI!F26*(0.00202-VERI_TABANI!$B$17), 0))) + ((VERI_TABANI!D27*B686*(VERI_TABANI!$B$13-VERI_TABANI!$B$14)) + (VERI_TABANI!D27*C686*(VERI_TABANI!$B$13-VERI_TABANI!$B$15)) + IF(ISNUMBER(SEARCH("Var", D686)), VERI_TABANI!F27*(0.00202-VERI_TABANI!$B$16), IF(ISNUMBER(SEARCH("Gri", D686)), VERI_TABANI!F27*(0.00202-VERI_TABANI!$B$17), 0))) + ((VERI_TABANI!D28*B686*(VERI_TABANI!$B$13-VERI_TABANI!$B$14)) + (VERI_TABANI!D28*C686*(VERI_TABANI!$B$13-VERI_TABANI!$B$15)) + IF(ISNUMBER(SEARCH("Var", D686)), VERI_TABANI!F28*(0.00202-VERI_TABANI!$B$16), IF(ISNUMBER(SEARCH("Gri", D686)), VERI_TABANI!F28*(0.00202-VERI_TABANI!$B$17), 0))))</f>
        <v/>
      </c>
      <c r="I686" s="170">
        <f>IFERROR(((VERI_TABANI!$D$29*B686*VERI_TABANI!$B$14 + VERI_TABANI!$D$29*C686*VERI_TABANI!$B$15 + IF(ISNUMBER(SEARCH("Var", D686)), VERI_TABANI!$F$29*VERI_TABANI!$B$16, 0))) / (((VERI_TABANI!$D$29*B686 + VERI_TABANI!$D$29*C686)*VERI_TABANI!$B$13 + IF(ISNUMBER(SEARCH("Var", D686)), VERI_TABANI!$E$29*(1-0.928)*VERI_TABANI!$B$18, 0))), 0)</f>
        <v/>
      </c>
      <c r="J686" s="171">
        <f>IFERROR(F686/(G686/29), 0)</f>
        <v/>
      </c>
      <c r="K686" s="172">
        <f>IF(F686&gt;0, H686/F686, 0)</f>
        <v/>
      </c>
      <c r="L686" s="170">
        <f>IF(F686&gt;0, I686, 1000000000)</f>
        <v/>
      </c>
      <c r="M686" s="171">
        <f>ABS((B686+C686)-1)</f>
        <v/>
      </c>
      <c r="N686" s="170">
        <f>IF(F686&gt;0, (G686/29)/F686, 0)</f>
        <v/>
      </c>
      <c r="O686" s="168">
        <f>IF(AND((B686+C686)&gt;=1, ISNUMBER(SEARCH("Var", D686))), F686, 1000000000)</f>
        <v/>
      </c>
      <c r="P686" s="172">
        <f>IF(F686&gt;0, SQRT((F686/MAX(F$5:F$886))^2 + (1 - H686/MAX(H$5:H$886))^2 + (J686/MAX(J$5:J$886))^2), 1000000000)</f>
        <v/>
      </c>
      <c r="Q686" s="166">
        <f>IF(AND(ABS(B686-0.5)&lt;0.01, ABS(C686-0.5)&lt;0.01, ISNUMBER(SEARCH("Var", D686))), 1, 0)</f>
        <v/>
      </c>
      <c r="R686" s="171">
        <f>IF(F686&gt;0, J686, 1000000000)</f>
        <v/>
      </c>
      <c r="S686" s="101">
        <f>IF(AND(F686&lt;=DASHBOARD!$B$11, H686&gt;=DASHBOARD!$B$13), G686, -1000000000000)</f>
        <v/>
      </c>
      <c r="T686" s="101">
        <f>IF(AND(F686&lt;=DASHBOARD!$B$11, H686&gt;=DASHBOARD!$B$13), R686, 1000000000000)</f>
        <v/>
      </c>
      <c r="U686" s="101">
        <f>IF(AND(F686&lt;=DASHBOARD!$B$11, H686&gt;=DASHBOARD!$B$13), N686, -1000000000000)</f>
        <v/>
      </c>
      <c r="V686" s="101">
        <f>IF(AND(F686&lt;=DASHBOARD!$B$11, H686&gt;=DASHBOARD!$B$13), H686, -1000000000000)</f>
        <v/>
      </c>
      <c r="W686" s="101">
        <f>IF(AND(F686&lt;=DASHBOARD!$B$11, H686&gt;=DASHBOARD!$B$13), K686, -1000000000000)</f>
        <v/>
      </c>
      <c r="X686" s="101">
        <f>IF(AND(F686&lt;=DASHBOARD!$B$11, H686&gt;=DASHBOARD!$B$13), M686, 1000000000000)</f>
        <v/>
      </c>
      <c r="Y686" s="101">
        <f>IF(AND(F686&lt;=DASHBOARD!$B$10, H686&gt;=DASHBOARD!$B$11), L686, 1000000000000)</f>
        <v/>
      </c>
      <c r="Z686" s="101">
        <f>IF(AND(F686&lt;=DASHBOARD!$B$10, H686&gt;=DASHBOARD!$B$11), O686, 1000000000000)</f>
        <v/>
      </c>
      <c r="AA686" s="101">
        <f>IF(AND(F686&lt;=DASHBOARD!$B$10, H686&gt;=DASHBOARD!$B$11), P686, 1000000000000)</f>
        <v/>
      </c>
      <c r="AB686" s="101">
        <f>IF(AND(F686&lt;=DASHBOARD!$B$10, H686&gt;=DASHBOARD!$B$11), Q686, -1000000000000)</f>
        <v/>
      </c>
    </row>
    <row r="687" ht="15" customHeight="1" s="102">
      <c r="A687" s="166" t="n">
        <v>683</v>
      </c>
      <c r="B687" s="167" t="n">
        <v>1.6</v>
      </c>
      <c r="C687" s="167" t="n">
        <v>0.5</v>
      </c>
      <c r="D687" s="110" t="inlineStr">
        <is>
          <t>Yok (%0)</t>
        </is>
      </c>
      <c r="E687" s="110">
        <f>IF((B687+C687)&lt;=1, "Tam Mahsuplaşma (≤%100)", "Kısmi Satış (&gt;%100)")</f>
        <v/>
      </c>
      <c r="F687" s="168">
        <f>((VERI_TABANI!$D$29*B687/VERI_TABANI!$B$29)/VERI_TABANI!$B$3)*VERI_TABANI!$B$5 + ((VERI_TABANI!$D$29*C687/VERI_TABANI!$B$29)/VERI_TABANI!$B$4)*VERI_TABANI!$B$6 + IF(ISNUMBER(SEARCH("Var", D687)), (VERI_TABANI!$F$29/VERI_TABANI!$B$29)*(VERI_TABANI!$B$10+VERI_TABANI!$B$12), 0)</f>
        <v/>
      </c>
      <c r="G687" s="168">
        <f>(((MIN(VERI_TABANI!D23, VERI_TABANI!D23*B687)*VERI_TABANI!$B$7 + MAX(0, VERI_TABANI!D23*B687-VERI_TABANI!D23)*VERI_TABANI!$B$8) + (MIN(MAX(0, VERI_TABANI!D23-VERI_TABANI!D23*B687), VERI_TABANI!D23*C687)*VERI_TABANI!$B$7 + MAX(0, VERI_TABANI!D23*C687-MAX(0, VERI_TABANI!D23-VERI_TABANI!D23*B687))*VERI_TABANI!$B$8) + IF(ABS(IF(ISNUMBER(SEARCH("Var", D687)), 1, IF(ISNUMBER(SEARCH("Gri", D687)), -1, 0)))=1, VERI_TABANI!E23*(1-0.928)*VERI_TABANI!$B$9, 0) + (VERI_TABANI!D23*B687*(VERI_TABANI!$B$13-VERI_TABANI!$B$14)*VERI_TABANI!G23) + (VERI_TABANI!D23*C687*(VERI_TABANI!$B$13-VERI_TABANI!$B$15)*VERI_TABANI!G23) + IF(ABS(IF(ISNUMBER(SEARCH("Var", D687)), 1, IF(ISNUMBER(SEARCH("Gri", D687)), -1, 0)))=1, VERI_TABANI!E23*(1-0.928)*0.00206091519919798*VERI_TABANI!G23, 0)) + ((MIN(VERI_TABANI!D24, VERI_TABANI!D24*B687)*VERI_TABANI!$B$7 + MAX(0, VERI_TABANI!D24*B687-VERI_TABANI!D24)*VERI_TABANI!$B$8) + (MIN(MAX(0, VERI_TABANI!D24-VERI_TABANI!D24*B687), VERI_TABANI!D24*C687)*VERI_TABANI!$B$7 + MAX(0, VERI_TABANI!D24*C687-MAX(0, VERI_TABANI!D24-VERI_TABANI!D24*B687))*VERI_TABANI!$B$8) + IF(ABS(IF(ISNUMBER(SEARCH("Var", D687)), 1, IF(ISNUMBER(SEARCH("Gri", D687)), -1, 0)))=1, VERI_TABANI!E24*(1-0.928)*VERI_TABANI!$B$9, 0) + (VERI_TABANI!D24*B687*(VERI_TABANI!$B$13-VERI_TABANI!$B$14)*VERI_TABANI!G24) + (VERI_TABANI!D24*C687*(VERI_TABANI!$B$13-VERI_TABANI!$B$15)*VERI_TABANI!G24) + IF(ABS(IF(ISNUMBER(SEARCH("Var", D687)), 1, IF(ISNUMBER(SEARCH("Gri", D687)), -1, 0)))=1, VERI_TABANI!E24*(1-0.928)*0.00206091519919798*VERI_TABANI!G24, 0)) + ((MIN(VERI_TABANI!D25, VERI_TABANI!D25*B687)*VERI_TABANI!$B$7 + MAX(0, VERI_TABANI!D25*B687-VERI_TABANI!D25)*VERI_TABANI!$B$8) + (MIN(MAX(0, VERI_TABANI!D25-VERI_TABANI!D25*B687), VERI_TABANI!D25*C687)*VERI_TABANI!$B$7 + MAX(0, VERI_TABANI!D25*C687-MAX(0, VERI_TABANI!D25-VERI_TABANI!D25*B687))*VERI_TABANI!$B$8) + IF(ABS(IF(ISNUMBER(SEARCH("Var", D687)), 1, IF(ISNUMBER(SEARCH("Gri", D687)), -1, 0)))=1, VERI_TABANI!E25*(1-0.928)*VERI_TABANI!$B$9, 0) + (VERI_TABANI!D25*B687*(VERI_TABANI!$B$13-VERI_TABANI!$B$14)*VERI_TABANI!G25) + (VERI_TABANI!D25*C687*(VERI_TABANI!$B$13-VERI_TABANI!$B$15)*VERI_TABANI!G25) + IF(ABS(IF(ISNUMBER(SEARCH("Var", D687)), 1, IF(ISNUMBER(SEARCH("Gri", D687)), -1, 0)))=1, VERI_TABANI!E25*(1-0.928)*0.00206091519919798*VERI_TABANI!G25, 0)) + ((MIN(VERI_TABANI!D26, VERI_TABANI!D26*B687)*VERI_TABANI!$B$7 + MAX(0, VERI_TABANI!D26*B687-VERI_TABANI!D26)*VERI_TABANI!$B$8) + (MIN(MAX(0, VERI_TABANI!D26-VERI_TABANI!D26*B687), VERI_TABANI!D26*C687)*VERI_TABANI!$B$7 + MAX(0, VERI_TABANI!D26*C687-MAX(0, VERI_TABANI!D26-VERI_TABANI!D26*B687))*VERI_TABANI!$B$8) + IF(ABS(IF(ISNUMBER(SEARCH("Var", D687)), 1, IF(ISNUMBER(SEARCH("Gri", D687)), -1, 0)))=1, VERI_TABANI!E26*(1-0.928)*VERI_TABANI!$B$9, 0) + (VERI_TABANI!D26*B687*(VERI_TABANI!$B$13-VERI_TABANI!$B$14)*VERI_TABANI!G26) + (VERI_TABANI!D26*C687*(VERI_TABANI!$B$13-VERI_TABANI!$B$15)*VERI_TABANI!G26) + IF(ABS(IF(ISNUMBER(SEARCH("Var", D687)), 1, IF(ISNUMBER(SEARCH("Gri", D687)), -1, 0)))=1, VERI_TABANI!E26*(1-0.928)*0.00206091519919798*VERI_TABANI!G26, 0)) + ((MIN(VERI_TABANI!D27, VERI_TABANI!D27*B687)*VERI_TABANI!$B$7 + MAX(0, VERI_TABANI!D27*B687-VERI_TABANI!D27)*VERI_TABANI!$B$8) + (MIN(MAX(0, VERI_TABANI!D27-VERI_TABANI!D27*B687), VERI_TABANI!D27*C687)*VERI_TABANI!$B$7 + MAX(0, VERI_TABANI!D27*C687-MAX(0, VERI_TABANI!D27-VERI_TABANI!D27*B687))*VERI_TABANI!$B$8) + IF(ABS(IF(ISNUMBER(SEARCH("Var", D687)), 1, IF(ISNUMBER(SEARCH("Gri", D687)), -1, 0)))=1, VERI_TABANI!E27*(1-0.928)*VERI_TABANI!$B$9, 0) + (VERI_TABANI!D27*B687*(VERI_TABANI!$B$13-VERI_TABANI!$B$14)*VERI_TABANI!G27) + (VERI_TABANI!D27*C687*(VERI_TABANI!$B$13-VERI_TABANI!$B$15)*VERI_TABANI!G27) + IF(ABS(IF(ISNUMBER(SEARCH("Var", D687)), 1, IF(ISNUMBER(SEARCH("Gri", D687)), -1, 0)))=1, VERI_TABANI!E27*(1-0.928)*0.00206091519919798*VERI_TABANI!G27, 0)) + ((MIN(VERI_TABANI!D28, VERI_TABANI!D28*B687)*VERI_TABANI!$B$7 + MAX(0, VERI_TABANI!D28*B687-VERI_TABANI!D28)*VERI_TABANI!$B$8) + (MIN(MAX(0, VERI_TABANI!D28-VERI_TABANI!D28*B687), VERI_TABANI!D28*C687)*VERI_TABANI!$B$7 + MAX(0, VERI_TABANI!D28*C687-MAX(0, VERI_TABANI!D28-VERI_TABANI!D28*B687))*VERI_TABANI!$B$8) + IF(ABS(IF(ISNUMBER(SEARCH("Var", D687)), 1, IF(ISNUMBER(SEARCH("Gri", D687)), -1, 0)))=1, VERI_TABANI!E28*(1-0.928)*VERI_TABANI!$B$9, 0) + (VERI_TABANI!D28*B687*(VERI_TABANI!$B$13-VERI_TABANI!$B$14)*VERI_TABANI!G28) + (VERI_TABANI!D28*C687*(VERI_TABANI!$B$13-VERI_TABANI!$B$15)*VERI_TABANI!G28) + IF(ABS(IF(ISNUMBER(SEARCH("Var", D687)), 1, IF(ISNUMBER(SEARCH("Gri", D687)), -1, 0)))=1, VERI_TABANI!E28*(1-0.928)*0.00206091519919798*VERI_TABANI!G28, 0)))</f>
        <v/>
      </c>
      <c r="H687" s="169">
        <f>(((VERI_TABANI!D23*B687*(VERI_TABANI!$B$13-VERI_TABANI!$B$14)) + (VERI_TABANI!D23*C687*(VERI_TABANI!$B$13-VERI_TABANI!$B$15)) + IF(ISNUMBER(SEARCH("Var", D687)), VERI_TABANI!F23*(0.00202-VERI_TABANI!$B$16), IF(ISNUMBER(SEARCH("Gri", D687)), VERI_TABANI!F23*(0.00202-VERI_TABANI!$B$17), 0))) + ((VERI_TABANI!D24*B687*(VERI_TABANI!$B$13-VERI_TABANI!$B$14)) + (VERI_TABANI!D24*C687*(VERI_TABANI!$B$13-VERI_TABANI!$B$15)) + IF(ISNUMBER(SEARCH("Var", D687)), VERI_TABANI!F24*(0.00202-VERI_TABANI!$B$16), IF(ISNUMBER(SEARCH("Gri", D687)), VERI_TABANI!F24*(0.00202-VERI_TABANI!$B$17), 0))) + ((VERI_TABANI!D25*B687*(VERI_TABANI!$B$13-VERI_TABANI!$B$14)) + (VERI_TABANI!D25*C687*(VERI_TABANI!$B$13-VERI_TABANI!$B$15)) + IF(ISNUMBER(SEARCH("Var", D687)), VERI_TABANI!F25*(0.00202-VERI_TABANI!$B$16), IF(ISNUMBER(SEARCH("Gri", D687)), VERI_TABANI!F25*(0.00202-VERI_TABANI!$B$17), 0))) + ((VERI_TABANI!D26*B687*(VERI_TABANI!$B$13-VERI_TABANI!$B$14)) + (VERI_TABANI!D26*C687*(VERI_TABANI!$B$13-VERI_TABANI!$B$15)) + IF(ISNUMBER(SEARCH("Var", D687)), VERI_TABANI!F26*(0.00202-VERI_TABANI!$B$16), IF(ISNUMBER(SEARCH("Gri", D687)), VERI_TABANI!F26*(0.00202-VERI_TABANI!$B$17), 0))) + ((VERI_TABANI!D27*B687*(VERI_TABANI!$B$13-VERI_TABANI!$B$14)) + (VERI_TABANI!D27*C687*(VERI_TABANI!$B$13-VERI_TABANI!$B$15)) + IF(ISNUMBER(SEARCH("Var", D687)), VERI_TABANI!F27*(0.00202-VERI_TABANI!$B$16), IF(ISNUMBER(SEARCH("Gri", D687)), VERI_TABANI!F27*(0.00202-VERI_TABANI!$B$17), 0))) + ((VERI_TABANI!D28*B687*(VERI_TABANI!$B$13-VERI_TABANI!$B$14)) + (VERI_TABANI!D28*C687*(VERI_TABANI!$B$13-VERI_TABANI!$B$15)) + IF(ISNUMBER(SEARCH("Var", D687)), VERI_TABANI!F28*(0.00202-VERI_TABANI!$B$16), IF(ISNUMBER(SEARCH("Gri", D687)), VERI_TABANI!F28*(0.00202-VERI_TABANI!$B$17), 0))))</f>
        <v/>
      </c>
      <c r="I687" s="170">
        <f>IFERROR(((VERI_TABANI!$D$29*B687*VERI_TABANI!$B$14 + VERI_TABANI!$D$29*C687*VERI_TABANI!$B$15 + IF(ISNUMBER(SEARCH("Var", D687)), VERI_TABANI!$F$29*VERI_TABANI!$B$16, 0))) / (((VERI_TABANI!$D$29*B687 + VERI_TABANI!$D$29*C687)*VERI_TABANI!$B$13 + IF(ISNUMBER(SEARCH("Var", D687)), VERI_TABANI!$E$29*(1-0.928)*VERI_TABANI!$B$18, 0))), 0)</f>
        <v/>
      </c>
      <c r="J687" s="171">
        <f>IFERROR(F687/(G687/29), 0)</f>
        <v/>
      </c>
      <c r="K687" s="172">
        <f>IF(F687&gt;0, H687/F687, 0)</f>
        <v/>
      </c>
      <c r="L687" s="170">
        <f>IF(F687&gt;0, I687, 1000000000)</f>
        <v/>
      </c>
      <c r="M687" s="171">
        <f>ABS((B687+C687)-1)</f>
        <v/>
      </c>
      <c r="N687" s="170">
        <f>IF(F687&gt;0, (G687/29)/F687, 0)</f>
        <v/>
      </c>
      <c r="O687" s="168">
        <f>IF(AND((B687+C687)&gt;=1, ISNUMBER(SEARCH("Var", D687))), F687, 1000000000)</f>
        <v/>
      </c>
      <c r="P687" s="172">
        <f>IF(F687&gt;0, SQRT((F687/MAX(F$5:F$886))^2 + (1 - H687/MAX(H$5:H$886))^2 + (J687/MAX(J$5:J$886))^2), 1000000000)</f>
        <v/>
      </c>
      <c r="Q687" s="166">
        <f>IF(AND(ABS(B687-0.5)&lt;0.01, ABS(C687-0.5)&lt;0.01, ISNUMBER(SEARCH("Var", D687))), 1, 0)</f>
        <v/>
      </c>
      <c r="R687" s="171">
        <f>IF(F687&gt;0, J687, 1000000000)</f>
        <v/>
      </c>
      <c r="S687" s="101">
        <f>IF(AND(F687&lt;=DASHBOARD!$B$11, H687&gt;=DASHBOARD!$B$13), G687, -1000000000000)</f>
        <v/>
      </c>
      <c r="T687" s="101">
        <f>IF(AND(F687&lt;=DASHBOARD!$B$11, H687&gt;=DASHBOARD!$B$13), R687, 1000000000000)</f>
        <v/>
      </c>
      <c r="U687" s="101">
        <f>IF(AND(F687&lt;=DASHBOARD!$B$11, H687&gt;=DASHBOARD!$B$13), N687, -1000000000000)</f>
        <v/>
      </c>
      <c r="V687" s="101">
        <f>IF(AND(F687&lt;=DASHBOARD!$B$11, H687&gt;=DASHBOARD!$B$13), H687, -1000000000000)</f>
        <v/>
      </c>
      <c r="W687" s="101">
        <f>IF(AND(F687&lt;=DASHBOARD!$B$11, H687&gt;=DASHBOARD!$B$13), K687, -1000000000000)</f>
        <v/>
      </c>
      <c r="X687" s="101">
        <f>IF(AND(F687&lt;=DASHBOARD!$B$11, H687&gt;=DASHBOARD!$B$13), M687, 1000000000000)</f>
        <v/>
      </c>
      <c r="Y687" s="101">
        <f>IF(AND(F687&lt;=DASHBOARD!$B$10, H687&gt;=DASHBOARD!$B$11), L687, 1000000000000)</f>
        <v/>
      </c>
      <c r="Z687" s="101">
        <f>IF(AND(F687&lt;=DASHBOARD!$B$10, H687&gt;=DASHBOARD!$B$11), O687, 1000000000000)</f>
        <v/>
      </c>
      <c r="AA687" s="101">
        <f>IF(AND(F687&lt;=DASHBOARD!$B$10, H687&gt;=DASHBOARD!$B$11), P687, 1000000000000)</f>
        <v/>
      </c>
      <c r="AB687" s="101">
        <f>IF(AND(F687&lt;=DASHBOARD!$B$10, H687&gt;=DASHBOARD!$B$11), Q687, -1000000000000)</f>
        <v/>
      </c>
    </row>
    <row r="688" ht="15" customHeight="1" s="102">
      <c r="A688" s="166" t="n">
        <v>684</v>
      </c>
      <c r="B688" s="167" t="n">
        <v>1.6</v>
      </c>
      <c r="C688" s="167" t="n">
        <v>0.5</v>
      </c>
      <c r="D688" s="110" t="inlineStr">
        <is>
          <t>Var (%20)</t>
        </is>
      </c>
      <c r="E688" s="110">
        <f>IF((B688+C688)&lt;=1, "Tam Mahsuplaşma (≤%100)", "Kısmi Satış (&gt;%100)")</f>
        <v/>
      </c>
      <c r="F688" s="168">
        <f>((VERI_TABANI!$D$29*B688/VERI_TABANI!$B$29)/VERI_TABANI!$B$3)*VERI_TABANI!$B$5 + ((VERI_TABANI!$D$29*C688/VERI_TABANI!$B$29)/VERI_TABANI!$B$4)*VERI_TABANI!$B$6 + IF(ISNUMBER(SEARCH("Var", D688)), (VERI_TABANI!$F$29/VERI_TABANI!$B$29)*(VERI_TABANI!$B$10+VERI_TABANI!$B$12), 0)</f>
        <v/>
      </c>
      <c r="G688" s="168">
        <f>(((MIN(VERI_TABANI!D23, VERI_TABANI!D23*B688)*VERI_TABANI!$B$7 + MAX(0, VERI_TABANI!D23*B688-VERI_TABANI!D23)*VERI_TABANI!$B$8) + (MIN(MAX(0, VERI_TABANI!D23-VERI_TABANI!D23*B688), VERI_TABANI!D23*C688)*VERI_TABANI!$B$7 + MAX(0, VERI_TABANI!D23*C688-MAX(0, VERI_TABANI!D23-VERI_TABANI!D23*B688))*VERI_TABANI!$B$8) + IF(ABS(IF(ISNUMBER(SEARCH("Var", D688)), 1, IF(ISNUMBER(SEARCH("Gri", D688)), -1, 0)))=1, VERI_TABANI!E23*(1-0.928)*VERI_TABANI!$B$9, 0) + (VERI_TABANI!D23*B688*(VERI_TABANI!$B$13-VERI_TABANI!$B$14)*VERI_TABANI!G23) + (VERI_TABANI!D23*C688*(VERI_TABANI!$B$13-VERI_TABANI!$B$15)*VERI_TABANI!G23) + IF(ABS(IF(ISNUMBER(SEARCH("Var", D688)), 1, IF(ISNUMBER(SEARCH("Gri", D688)), -1, 0)))=1, VERI_TABANI!E23*(1-0.928)*0.00206091519919798*VERI_TABANI!G23, 0)) + ((MIN(VERI_TABANI!D24, VERI_TABANI!D24*B688)*VERI_TABANI!$B$7 + MAX(0, VERI_TABANI!D24*B688-VERI_TABANI!D24)*VERI_TABANI!$B$8) + (MIN(MAX(0, VERI_TABANI!D24-VERI_TABANI!D24*B688), VERI_TABANI!D24*C688)*VERI_TABANI!$B$7 + MAX(0, VERI_TABANI!D24*C688-MAX(0, VERI_TABANI!D24-VERI_TABANI!D24*B688))*VERI_TABANI!$B$8) + IF(ABS(IF(ISNUMBER(SEARCH("Var", D688)), 1, IF(ISNUMBER(SEARCH("Gri", D688)), -1, 0)))=1, VERI_TABANI!E24*(1-0.928)*VERI_TABANI!$B$9, 0) + (VERI_TABANI!D24*B688*(VERI_TABANI!$B$13-VERI_TABANI!$B$14)*VERI_TABANI!G24) + (VERI_TABANI!D24*C688*(VERI_TABANI!$B$13-VERI_TABANI!$B$15)*VERI_TABANI!G24) + IF(ABS(IF(ISNUMBER(SEARCH("Var", D688)), 1, IF(ISNUMBER(SEARCH("Gri", D688)), -1, 0)))=1, VERI_TABANI!E24*(1-0.928)*0.00206091519919798*VERI_TABANI!G24, 0)) + ((MIN(VERI_TABANI!D25, VERI_TABANI!D25*B688)*VERI_TABANI!$B$7 + MAX(0, VERI_TABANI!D25*B688-VERI_TABANI!D25)*VERI_TABANI!$B$8) + (MIN(MAX(0, VERI_TABANI!D25-VERI_TABANI!D25*B688), VERI_TABANI!D25*C688)*VERI_TABANI!$B$7 + MAX(0, VERI_TABANI!D25*C688-MAX(0, VERI_TABANI!D25-VERI_TABANI!D25*B688))*VERI_TABANI!$B$8) + IF(ABS(IF(ISNUMBER(SEARCH("Var", D688)), 1, IF(ISNUMBER(SEARCH("Gri", D688)), -1, 0)))=1, VERI_TABANI!E25*(1-0.928)*VERI_TABANI!$B$9, 0) + (VERI_TABANI!D25*B688*(VERI_TABANI!$B$13-VERI_TABANI!$B$14)*VERI_TABANI!G25) + (VERI_TABANI!D25*C688*(VERI_TABANI!$B$13-VERI_TABANI!$B$15)*VERI_TABANI!G25) + IF(ABS(IF(ISNUMBER(SEARCH("Var", D688)), 1, IF(ISNUMBER(SEARCH("Gri", D688)), -1, 0)))=1, VERI_TABANI!E25*(1-0.928)*0.00206091519919798*VERI_TABANI!G25, 0)) + ((MIN(VERI_TABANI!D26, VERI_TABANI!D26*B688)*VERI_TABANI!$B$7 + MAX(0, VERI_TABANI!D26*B688-VERI_TABANI!D26)*VERI_TABANI!$B$8) + (MIN(MAX(0, VERI_TABANI!D26-VERI_TABANI!D26*B688), VERI_TABANI!D26*C688)*VERI_TABANI!$B$7 + MAX(0, VERI_TABANI!D26*C688-MAX(0, VERI_TABANI!D26-VERI_TABANI!D26*B688))*VERI_TABANI!$B$8) + IF(ABS(IF(ISNUMBER(SEARCH("Var", D688)), 1, IF(ISNUMBER(SEARCH("Gri", D688)), -1, 0)))=1, VERI_TABANI!E26*(1-0.928)*VERI_TABANI!$B$9, 0) + (VERI_TABANI!D26*B688*(VERI_TABANI!$B$13-VERI_TABANI!$B$14)*VERI_TABANI!G26) + (VERI_TABANI!D26*C688*(VERI_TABANI!$B$13-VERI_TABANI!$B$15)*VERI_TABANI!G26) + IF(ABS(IF(ISNUMBER(SEARCH("Var", D688)), 1, IF(ISNUMBER(SEARCH("Gri", D688)), -1, 0)))=1, VERI_TABANI!E26*(1-0.928)*0.00206091519919798*VERI_TABANI!G26, 0)) + ((MIN(VERI_TABANI!D27, VERI_TABANI!D27*B688)*VERI_TABANI!$B$7 + MAX(0, VERI_TABANI!D27*B688-VERI_TABANI!D27)*VERI_TABANI!$B$8) + (MIN(MAX(0, VERI_TABANI!D27-VERI_TABANI!D27*B688), VERI_TABANI!D27*C688)*VERI_TABANI!$B$7 + MAX(0, VERI_TABANI!D27*C688-MAX(0, VERI_TABANI!D27-VERI_TABANI!D27*B688))*VERI_TABANI!$B$8) + IF(ABS(IF(ISNUMBER(SEARCH("Var", D688)), 1, IF(ISNUMBER(SEARCH("Gri", D688)), -1, 0)))=1, VERI_TABANI!E27*(1-0.928)*VERI_TABANI!$B$9, 0) + (VERI_TABANI!D27*B688*(VERI_TABANI!$B$13-VERI_TABANI!$B$14)*VERI_TABANI!G27) + (VERI_TABANI!D27*C688*(VERI_TABANI!$B$13-VERI_TABANI!$B$15)*VERI_TABANI!G27) + IF(ABS(IF(ISNUMBER(SEARCH("Var", D688)), 1, IF(ISNUMBER(SEARCH("Gri", D688)), -1, 0)))=1, VERI_TABANI!E27*(1-0.928)*0.00206091519919798*VERI_TABANI!G27, 0)) + ((MIN(VERI_TABANI!D28, VERI_TABANI!D28*B688)*VERI_TABANI!$B$7 + MAX(0, VERI_TABANI!D28*B688-VERI_TABANI!D28)*VERI_TABANI!$B$8) + (MIN(MAX(0, VERI_TABANI!D28-VERI_TABANI!D28*B688), VERI_TABANI!D28*C688)*VERI_TABANI!$B$7 + MAX(0, VERI_TABANI!D28*C688-MAX(0, VERI_TABANI!D28-VERI_TABANI!D28*B688))*VERI_TABANI!$B$8) + IF(ABS(IF(ISNUMBER(SEARCH("Var", D688)), 1, IF(ISNUMBER(SEARCH("Gri", D688)), -1, 0)))=1, VERI_TABANI!E28*(1-0.928)*VERI_TABANI!$B$9, 0) + (VERI_TABANI!D28*B688*(VERI_TABANI!$B$13-VERI_TABANI!$B$14)*VERI_TABANI!G28) + (VERI_TABANI!D28*C688*(VERI_TABANI!$B$13-VERI_TABANI!$B$15)*VERI_TABANI!G28) + IF(ABS(IF(ISNUMBER(SEARCH("Var", D688)), 1, IF(ISNUMBER(SEARCH("Gri", D688)), -1, 0)))=1, VERI_TABANI!E28*(1-0.928)*0.00206091519919798*VERI_TABANI!G28, 0)))</f>
        <v/>
      </c>
      <c r="H688" s="169">
        <f>(((VERI_TABANI!D23*B688*(VERI_TABANI!$B$13-VERI_TABANI!$B$14)) + (VERI_TABANI!D23*C688*(VERI_TABANI!$B$13-VERI_TABANI!$B$15)) + IF(ISNUMBER(SEARCH("Var", D688)), VERI_TABANI!F23*(0.00202-VERI_TABANI!$B$16), IF(ISNUMBER(SEARCH("Gri", D688)), VERI_TABANI!F23*(0.00202-VERI_TABANI!$B$17), 0))) + ((VERI_TABANI!D24*B688*(VERI_TABANI!$B$13-VERI_TABANI!$B$14)) + (VERI_TABANI!D24*C688*(VERI_TABANI!$B$13-VERI_TABANI!$B$15)) + IF(ISNUMBER(SEARCH("Var", D688)), VERI_TABANI!F24*(0.00202-VERI_TABANI!$B$16), IF(ISNUMBER(SEARCH("Gri", D688)), VERI_TABANI!F24*(0.00202-VERI_TABANI!$B$17), 0))) + ((VERI_TABANI!D25*B688*(VERI_TABANI!$B$13-VERI_TABANI!$B$14)) + (VERI_TABANI!D25*C688*(VERI_TABANI!$B$13-VERI_TABANI!$B$15)) + IF(ISNUMBER(SEARCH("Var", D688)), VERI_TABANI!F25*(0.00202-VERI_TABANI!$B$16), IF(ISNUMBER(SEARCH("Gri", D688)), VERI_TABANI!F25*(0.00202-VERI_TABANI!$B$17), 0))) + ((VERI_TABANI!D26*B688*(VERI_TABANI!$B$13-VERI_TABANI!$B$14)) + (VERI_TABANI!D26*C688*(VERI_TABANI!$B$13-VERI_TABANI!$B$15)) + IF(ISNUMBER(SEARCH("Var", D688)), VERI_TABANI!F26*(0.00202-VERI_TABANI!$B$16), IF(ISNUMBER(SEARCH("Gri", D688)), VERI_TABANI!F26*(0.00202-VERI_TABANI!$B$17), 0))) + ((VERI_TABANI!D27*B688*(VERI_TABANI!$B$13-VERI_TABANI!$B$14)) + (VERI_TABANI!D27*C688*(VERI_TABANI!$B$13-VERI_TABANI!$B$15)) + IF(ISNUMBER(SEARCH("Var", D688)), VERI_TABANI!F27*(0.00202-VERI_TABANI!$B$16), IF(ISNUMBER(SEARCH("Gri", D688)), VERI_TABANI!F27*(0.00202-VERI_TABANI!$B$17), 0))) + ((VERI_TABANI!D28*B688*(VERI_TABANI!$B$13-VERI_TABANI!$B$14)) + (VERI_TABANI!D28*C688*(VERI_TABANI!$B$13-VERI_TABANI!$B$15)) + IF(ISNUMBER(SEARCH("Var", D688)), VERI_TABANI!F28*(0.00202-VERI_TABANI!$B$16), IF(ISNUMBER(SEARCH("Gri", D688)), VERI_TABANI!F28*(0.00202-VERI_TABANI!$B$17), 0))))</f>
        <v/>
      </c>
      <c r="I688" s="170">
        <f>IFERROR(((VERI_TABANI!$D$29*B688*VERI_TABANI!$B$14 + VERI_TABANI!$D$29*C688*VERI_TABANI!$B$15 + IF(ISNUMBER(SEARCH("Var", D688)), VERI_TABANI!$F$29*VERI_TABANI!$B$16, 0))) / (((VERI_TABANI!$D$29*B688 + VERI_TABANI!$D$29*C688)*VERI_TABANI!$B$13 + IF(ISNUMBER(SEARCH("Var", D688)), VERI_TABANI!$E$29*(1-0.928)*VERI_TABANI!$B$18, 0))), 0)</f>
        <v/>
      </c>
      <c r="J688" s="171">
        <f>IFERROR(F688/(G688/29), 0)</f>
        <v/>
      </c>
      <c r="K688" s="172">
        <f>IF(F688&gt;0, H688/F688, 0)</f>
        <v/>
      </c>
      <c r="L688" s="170">
        <f>IF(F688&gt;0, I688, 1000000000)</f>
        <v/>
      </c>
      <c r="M688" s="171">
        <f>ABS((B688+C688)-1)</f>
        <v/>
      </c>
      <c r="N688" s="170">
        <f>IF(F688&gt;0, (G688/29)/F688, 0)</f>
        <v/>
      </c>
      <c r="O688" s="168">
        <f>IF(AND((B688+C688)&gt;=1, ISNUMBER(SEARCH("Var", D688))), F688, 1000000000)</f>
        <v/>
      </c>
      <c r="P688" s="172">
        <f>IF(F688&gt;0, SQRT((F688/MAX(F$5:F$886))^2 + (1 - H688/MAX(H$5:H$886))^2 + (J688/MAX(J$5:J$886))^2), 1000000000)</f>
        <v/>
      </c>
      <c r="Q688" s="166">
        <f>IF(AND(ABS(B688-0.5)&lt;0.01, ABS(C688-0.5)&lt;0.01, ISNUMBER(SEARCH("Var", D688))), 1, 0)</f>
        <v/>
      </c>
      <c r="R688" s="171">
        <f>IF(F688&gt;0, J688, 1000000000)</f>
        <v/>
      </c>
      <c r="S688" s="101">
        <f>IF(AND(F688&lt;=DASHBOARD!$B$11, H688&gt;=DASHBOARD!$B$13), G688, -1000000000000)</f>
        <v/>
      </c>
      <c r="T688" s="101">
        <f>IF(AND(F688&lt;=DASHBOARD!$B$11, H688&gt;=DASHBOARD!$B$13), R688, 1000000000000)</f>
        <v/>
      </c>
      <c r="U688" s="101">
        <f>IF(AND(F688&lt;=DASHBOARD!$B$11, H688&gt;=DASHBOARD!$B$13), N688, -1000000000000)</f>
        <v/>
      </c>
      <c r="V688" s="101">
        <f>IF(AND(F688&lt;=DASHBOARD!$B$11, H688&gt;=DASHBOARD!$B$13), H688, -1000000000000)</f>
        <v/>
      </c>
      <c r="W688" s="101">
        <f>IF(AND(F688&lt;=DASHBOARD!$B$11, H688&gt;=DASHBOARD!$B$13), K688, -1000000000000)</f>
        <v/>
      </c>
      <c r="X688" s="101">
        <f>IF(AND(F688&lt;=DASHBOARD!$B$11, H688&gt;=DASHBOARD!$B$13), M688, 1000000000000)</f>
        <v/>
      </c>
      <c r="Y688" s="101">
        <f>IF(AND(F688&lt;=DASHBOARD!$B$10, H688&gt;=DASHBOARD!$B$11), L688, 1000000000000)</f>
        <v/>
      </c>
      <c r="Z688" s="101">
        <f>IF(AND(F688&lt;=DASHBOARD!$B$10, H688&gt;=DASHBOARD!$B$11), O688, 1000000000000)</f>
        <v/>
      </c>
      <c r="AA688" s="101">
        <f>IF(AND(F688&lt;=DASHBOARD!$B$10, H688&gt;=DASHBOARD!$B$11), P688, 1000000000000)</f>
        <v/>
      </c>
      <c r="AB688" s="101">
        <f>IF(AND(F688&lt;=DASHBOARD!$B$10, H688&gt;=DASHBOARD!$B$11), Q688, -1000000000000)</f>
        <v/>
      </c>
    </row>
    <row r="689" ht="15" customHeight="1" s="102">
      <c r="A689" s="166" t="n">
        <v>685</v>
      </c>
      <c r="B689" s="167" t="n">
        <v>1.6</v>
      </c>
      <c r="C689" s="167" t="n">
        <v>0.6</v>
      </c>
      <c r="D689" s="110" t="inlineStr">
        <is>
          <t>Yok (%0)</t>
        </is>
      </c>
      <c r="E689" s="110">
        <f>IF((B689+C689)&lt;=1, "Tam Mahsuplaşma (≤%100)", "Kısmi Satış (&gt;%100)")</f>
        <v/>
      </c>
      <c r="F689" s="168">
        <f>((VERI_TABANI!$D$29*B689/VERI_TABANI!$B$29)/VERI_TABANI!$B$3)*VERI_TABANI!$B$5 + ((VERI_TABANI!$D$29*C689/VERI_TABANI!$B$29)/VERI_TABANI!$B$4)*VERI_TABANI!$B$6 + IF(ISNUMBER(SEARCH("Var", D689)), (VERI_TABANI!$F$29/VERI_TABANI!$B$29)*(VERI_TABANI!$B$10+VERI_TABANI!$B$12), 0)</f>
        <v/>
      </c>
      <c r="G689" s="168">
        <f>(((MIN(VERI_TABANI!D23, VERI_TABANI!D23*B689)*VERI_TABANI!$B$7 + MAX(0, VERI_TABANI!D23*B689-VERI_TABANI!D23)*VERI_TABANI!$B$8) + (MIN(MAX(0, VERI_TABANI!D23-VERI_TABANI!D23*B689), VERI_TABANI!D23*C689)*VERI_TABANI!$B$7 + MAX(0, VERI_TABANI!D23*C689-MAX(0, VERI_TABANI!D23-VERI_TABANI!D23*B689))*VERI_TABANI!$B$8) + IF(ABS(IF(ISNUMBER(SEARCH("Var", D689)), 1, IF(ISNUMBER(SEARCH("Gri", D689)), -1, 0)))=1, VERI_TABANI!E23*(1-0.928)*VERI_TABANI!$B$9, 0) + (VERI_TABANI!D23*B689*(VERI_TABANI!$B$13-VERI_TABANI!$B$14)*VERI_TABANI!G23) + (VERI_TABANI!D23*C689*(VERI_TABANI!$B$13-VERI_TABANI!$B$15)*VERI_TABANI!G23) + IF(ABS(IF(ISNUMBER(SEARCH("Var", D689)), 1, IF(ISNUMBER(SEARCH("Gri", D689)), -1, 0)))=1, VERI_TABANI!E23*(1-0.928)*0.00206091519919798*VERI_TABANI!G23, 0)) + ((MIN(VERI_TABANI!D24, VERI_TABANI!D24*B689)*VERI_TABANI!$B$7 + MAX(0, VERI_TABANI!D24*B689-VERI_TABANI!D24)*VERI_TABANI!$B$8) + (MIN(MAX(0, VERI_TABANI!D24-VERI_TABANI!D24*B689), VERI_TABANI!D24*C689)*VERI_TABANI!$B$7 + MAX(0, VERI_TABANI!D24*C689-MAX(0, VERI_TABANI!D24-VERI_TABANI!D24*B689))*VERI_TABANI!$B$8) + IF(ABS(IF(ISNUMBER(SEARCH("Var", D689)), 1, IF(ISNUMBER(SEARCH("Gri", D689)), -1, 0)))=1, VERI_TABANI!E24*(1-0.928)*VERI_TABANI!$B$9, 0) + (VERI_TABANI!D24*B689*(VERI_TABANI!$B$13-VERI_TABANI!$B$14)*VERI_TABANI!G24) + (VERI_TABANI!D24*C689*(VERI_TABANI!$B$13-VERI_TABANI!$B$15)*VERI_TABANI!G24) + IF(ABS(IF(ISNUMBER(SEARCH("Var", D689)), 1, IF(ISNUMBER(SEARCH("Gri", D689)), -1, 0)))=1, VERI_TABANI!E24*(1-0.928)*0.00206091519919798*VERI_TABANI!G24, 0)) + ((MIN(VERI_TABANI!D25, VERI_TABANI!D25*B689)*VERI_TABANI!$B$7 + MAX(0, VERI_TABANI!D25*B689-VERI_TABANI!D25)*VERI_TABANI!$B$8) + (MIN(MAX(0, VERI_TABANI!D25-VERI_TABANI!D25*B689), VERI_TABANI!D25*C689)*VERI_TABANI!$B$7 + MAX(0, VERI_TABANI!D25*C689-MAX(0, VERI_TABANI!D25-VERI_TABANI!D25*B689))*VERI_TABANI!$B$8) + IF(ABS(IF(ISNUMBER(SEARCH("Var", D689)), 1, IF(ISNUMBER(SEARCH("Gri", D689)), -1, 0)))=1, VERI_TABANI!E25*(1-0.928)*VERI_TABANI!$B$9, 0) + (VERI_TABANI!D25*B689*(VERI_TABANI!$B$13-VERI_TABANI!$B$14)*VERI_TABANI!G25) + (VERI_TABANI!D25*C689*(VERI_TABANI!$B$13-VERI_TABANI!$B$15)*VERI_TABANI!G25) + IF(ABS(IF(ISNUMBER(SEARCH("Var", D689)), 1, IF(ISNUMBER(SEARCH("Gri", D689)), -1, 0)))=1, VERI_TABANI!E25*(1-0.928)*0.00206091519919798*VERI_TABANI!G25, 0)) + ((MIN(VERI_TABANI!D26, VERI_TABANI!D26*B689)*VERI_TABANI!$B$7 + MAX(0, VERI_TABANI!D26*B689-VERI_TABANI!D26)*VERI_TABANI!$B$8) + (MIN(MAX(0, VERI_TABANI!D26-VERI_TABANI!D26*B689), VERI_TABANI!D26*C689)*VERI_TABANI!$B$7 + MAX(0, VERI_TABANI!D26*C689-MAX(0, VERI_TABANI!D26-VERI_TABANI!D26*B689))*VERI_TABANI!$B$8) + IF(ABS(IF(ISNUMBER(SEARCH("Var", D689)), 1, IF(ISNUMBER(SEARCH("Gri", D689)), -1, 0)))=1, VERI_TABANI!E26*(1-0.928)*VERI_TABANI!$B$9, 0) + (VERI_TABANI!D26*B689*(VERI_TABANI!$B$13-VERI_TABANI!$B$14)*VERI_TABANI!G26) + (VERI_TABANI!D26*C689*(VERI_TABANI!$B$13-VERI_TABANI!$B$15)*VERI_TABANI!G26) + IF(ABS(IF(ISNUMBER(SEARCH("Var", D689)), 1, IF(ISNUMBER(SEARCH("Gri", D689)), -1, 0)))=1, VERI_TABANI!E26*(1-0.928)*0.00206091519919798*VERI_TABANI!G26, 0)) + ((MIN(VERI_TABANI!D27, VERI_TABANI!D27*B689)*VERI_TABANI!$B$7 + MAX(0, VERI_TABANI!D27*B689-VERI_TABANI!D27)*VERI_TABANI!$B$8) + (MIN(MAX(0, VERI_TABANI!D27-VERI_TABANI!D27*B689), VERI_TABANI!D27*C689)*VERI_TABANI!$B$7 + MAX(0, VERI_TABANI!D27*C689-MAX(0, VERI_TABANI!D27-VERI_TABANI!D27*B689))*VERI_TABANI!$B$8) + IF(ABS(IF(ISNUMBER(SEARCH("Var", D689)), 1, IF(ISNUMBER(SEARCH("Gri", D689)), -1, 0)))=1, VERI_TABANI!E27*(1-0.928)*VERI_TABANI!$B$9, 0) + (VERI_TABANI!D27*B689*(VERI_TABANI!$B$13-VERI_TABANI!$B$14)*VERI_TABANI!G27) + (VERI_TABANI!D27*C689*(VERI_TABANI!$B$13-VERI_TABANI!$B$15)*VERI_TABANI!G27) + IF(ABS(IF(ISNUMBER(SEARCH("Var", D689)), 1, IF(ISNUMBER(SEARCH("Gri", D689)), -1, 0)))=1, VERI_TABANI!E27*(1-0.928)*0.00206091519919798*VERI_TABANI!G27, 0)) + ((MIN(VERI_TABANI!D28, VERI_TABANI!D28*B689)*VERI_TABANI!$B$7 + MAX(0, VERI_TABANI!D28*B689-VERI_TABANI!D28)*VERI_TABANI!$B$8) + (MIN(MAX(0, VERI_TABANI!D28-VERI_TABANI!D28*B689), VERI_TABANI!D28*C689)*VERI_TABANI!$B$7 + MAX(0, VERI_TABANI!D28*C689-MAX(0, VERI_TABANI!D28-VERI_TABANI!D28*B689))*VERI_TABANI!$B$8) + IF(ABS(IF(ISNUMBER(SEARCH("Var", D689)), 1, IF(ISNUMBER(SEARCH("Gri", D689)), -1, 0)))=1, VERI_TABANI!E28*(1-0.928)*VERI_TABANI!$B$9, 0) + (VERI_TABANI!D28*B689*(VERI_TABANI!$B$13-VERI_TABANI!$B$14)*VERI_TABANI!G28) + (VERI_TABANI!D28*C689*(VERI_TABANI!$B$13-VERI_TABANI!$B$15)*VERI_TABANI!G28) + IF(ABS(IF(ISNUMBER(SEARCH("Var", D689)), 1, IF(ISNUMBER(SEARCH("Gri", D689)), -1, 0)))=1, VERI_TABANI!E28*(1-0.928)*0.00206091519919798*VERI_TABANI!G28, 0)))</f>
        <v/>
      </c>
      <c r="H689" s="169">
        <f>(((VERI_TABANI!D23*B689*(VERI_TABANI!$B$13-VERI_TABANI!$B$14)) + (VERI_TABANI!D23*C689*(VERI_TABANI!$B$13-VERI_TABANI!$B$15)) + IF(ISNUMBER(SEARCH("Var", D689)), VERI_TABANI!F23*(0.00202-VERI_TABANI!$B$16), IF(ISNUMBER(SEARCH("Gri", D689)), VERI_TABANI!F23*(0.00202-VERI_TABANI!$B$17), 0))) + ((VERI_TABANI!D24*B689*(VERI_TABANI!$B$13-VERI_TABANI!$B$14)) + (VERI_TABANI!D24*C689*(VERI_TABANI!$B$13-VERI_TABANI!$B$15)) + IF(ISNUMBER(SEARCH("Var", D689)), VERI_TABANI!F24*(0.00202-VERI_TABANI!$B$16), IF(ISNUMBER(SEARCH("Gri", D689)), VERI_TABANI!F24*(0.00202-VERI_TABANI!$B$17), 0))) + ((VERI_TABANI!D25*B689*(VERI_TABANI!$B$13-VERI_TABANI!$B$14)) + (VERI_TABANI!D25*C689*(VERI_TABANI!$B$13-VERI_TABANI!$B$15)) + IF(ISNUMBER(SEARCH("Var", D689)), VERI_TABANI!F25*(0.00202-VERI_TABANI!$B$16), IF(ISNUMBER(SEARCH("Gri", D689)), VERI_TABANI!F25*(0.00202-VERI_TABANI!$B$17), 0))) + ((VERI_TABANI!D26*B689*(VERI_TABANI!$B$13-VERI_TABANI!$B$14)) + (VERI_TABANI!D26*C689*(VERI_TABANI!$B$13-VERI_TABANI!$B$15)) + IF(ISNUMBER(SEARCH("Var", D689)), VERI_TABANI!F26*(0.00202-VERI_TABANI!$B$16), IF(ISNUMBER(SEARCH("Gri", D689)), VERI_TABANI!F26*(0.00202-VERI_TABANI!$B$17), 0))) + ((VERI_TABANI!D27*B689*(VERI_TABANI!$B$13-VERI_TABANI!$B$14)) + (VERI_TABANI!D27*C689*(VERI_TABANI!$B$13-VERI_TABANI!$B$15)) + IF(ISNUMBER(SEARCH("Var", D689)), VERI_TABANI!F27*(0.00202-VERI_TABANI!$B$16), IF(ISNUMBER(SEARCH("Gri", D689)), VERI_TABANI!F27*(0.00202-VERI_TABANI!$B$17), 0))) + ((VERI_TABANI!D28*B689*(VERI_TABANI!$B$13-VERI_TABANI!$B$14)) + (VERI_TABANI!D28*C689*(VERI_TABANI!$B$13-VERI_TABANI!$B$15)) + IF(ISNUMBER(SEARCH("Var", D689)), VERI_TABANI!F28*(0.00202-VERI_TABANI!$B$16), IF(ISNUMBER(SEARCH("Gri", D689)), VERI_TABANI!F28*(0.00202-VERI_TABANI!$B$17), 0))))</f>
        <v/>
      </c>
      <c r="I689" s="170">
        <f>IFERROR(((VERI_TABANI!$D$29*B689*VERI_TABANI!$B$14 + VERI_TABANI!$D$29*C689*VERI_TABANI!$B$15 + IF(ISNUMBER(SEARCH("Var", D689)), VERI_TABANI!$F$29*VERI_TABANI!$B$16, 0))) / (((VERI_TABANI!$D$29*B689 + VERI_TABANI!$D$29*C689)*VERI_TABANI!$B$13 + IF(ISNUMBER(SEARCH("Var", D689)), VERI_TABANI!$E$29*(1-0.928)*VERI_TABANI!$B$18, 0))), 0)</f>
        <v/>
      </c>
      <c r="J689" s="171">
        <f>IFERROR(F689/(G689/29), 0)</f>
        <v/>
      </c>
      <c r="K689" s="172">
        <f>IF(F689&gt;0, H689/F689, 0)</f>
        <v/>
      </c>
      <c r="L689" s="170">
        <f>IF(F689&gt;0, I689, 1000000000)</f>
        <v/>
      </c>
      <c r="M689" s="171">
        <f>ABS((B689+C689)-1)</f>
        <v/>
      </c>
      <c r="N689" s="170">
        <f>IF(F689&gt;0, (G689/29)/F689, 0)</f>
        <v/>
      </c>
      <c r="O689" s="168">
        <f>IF(AND((B689+C689)&gt;=1, ISNUMBER(SEARCH("Var", D689))), F689, 1000000000)</f>
        <v/>
      </c>
      <c r="P689" s="172">
        <f>IF(F689&gt;0, SQRT((F689/MAX(F$5:F$886))^2 + (1 - H689/MAX(H$5:H$886))^2 + (J689/MAX(J$5:J$886))^2), 1000000000)</f>
        <v/>
      </c>
      <c r="Q689" s="166">
        <f>IF(AND(ABS(B689-0.5)&lt;0.01, ABS(C689-0.5)&lt;0.01, ISNUMBER(SEARCH("Var", D689))), 1, 0)</f>
        <v/>
      </c>
      <c r="R689" s="171">
        <f>IF(F689&gt;0, J689, 1000000000)</f>
        <v/>
      </c>
      <c r="S689" s="101">
        <f>IF(AND(F689&lt;=DASHBOARD!$B$11, H689&gt;=DASHBOARD!$B$13), G689, -1000000000000)</f>
        <v/>
      </c>
      <c r="T689" s="101">
        <f>IF(AND(F689&lt;=DASHBOARD!$B$11, H689&gt;=DASHBOARD!$B$13), R689, 1000000000000)</f>
        <v/>
      </c>
      <c r="U689" s="101">
        <f>IF(AND(F689&lt;=DASHBOARD!$B$11, H689&gt;=DASHBOARD!$B$13), N689, -1000000000000)</f>
        <v/>
      </c>
      <c r="V689" s="101">
        <f>IF(AND(F689&lt;=DASHBOARD!$B$11, H689&gt;=DASHBOARD!$B$13), H689, -1000000000000)</f>
        <v/>
      </c>
      <c r="W689" s="101">
        <f>IF(AND(F689&lt;=DASHBOARD!$B$11, H689&gt;=DASHBOARD!$B$13), K689, -1000000000000)</f>
        <v/>
      </c>
      <c r="X689" s="101">
        <f>IF(AND(F689&lt;=DASHBOARD!$B$11, H689&gt;=DASHBOARD!$B$13), M689, 1000000000000)</f>
        <v/>
      </c>
      <c r="Y689" s="101">
        <f>IF(AND(F689&lt;=DASHBOARD!$B$10, H689&gt;=DASHBOARD!$B$11), L689, 1000000000000)</f>
        <v/>
      </c>
      <c r="Z689" s="101">
        <f>IF(AND(F689&lt;=DASHBOARD!$B$10, H689&gt;=DASHBOARD!$B$11), O689, 1000000000000)</f>
        <v/>
      </c>
      <c r="AA689" s="101">
        <f>IF(AND(F689&lt;=DASHBOARD!$B$10, H689&gt;=DASHBOARD!$B$11), P689, 1000000000000)</f>
        <v/>
      </c>
      <c r="AB689" s="101">
        <f>IF(AND(F689&lt;=DASHBOARD!$B$10, H689&gt;=DASHBOARD!$B$11), Q689, -1000000000000)</f>
        <v/>
      </c>
    </row>
    <row r="690" ht="15" customHeight="1" s="102">
      <c r="A690" s="166" t="n">
        <v>686</v>
      </c>
      <c r="B690" s="167" t="n">
        <v>1.6</v>
      </c>
      <c r="C690" s="167" t="n">
        <v>0.6</v>
      </c>
      <c r="D690" s="110" t="inlineStr">
        <is>
          <t>Var (%20)</t>
        </is>
      </c>
      <c r="E690" s="110">
        <f>IF((B690+C690)&lt;=1, "Tam Mahsuplaşma (≤%100)", "Kısmi Satış (&gt;%100)")</f>
        <v/>
      </c>
      <c r="F690" s="168">
        <f>((VERI_TABANI!$D$29*B690/VERI_TABANI!$B$29)/VERI_TABANI!$B$3)*VERI_TABANI!$B$5 + ((VERI_TABANI!$D$29*C690/VERI_TABANI!$B$29)/VERI_TABANI!$B$4)*VERI_TABANI!$B$6 + IF(ISNUMBER(SEARCH("Var", D690)), (VERI_TABANI!$F$29/VERI_TABANI!$B$29)*(VERI_TABANI!$B$10+VERI_TABANI!$B$12), 0)</f>
        <v/>
      </c>
      <c r="G690" s="168">
        <f>(((MIN(VERI_TABANI!D23, VERI_TABANI!D23*B690)*VERI_TABANI!$B$7 + MAX(0, VERI_TABANI!D23*B690-VERI_TABANI!D23)*VERI_TABANI!$B$8) + (MIN(MAX(0, VERI_TABANI!D23-VERI_TABANI!D23*B690), VERI_TABANI!D23*C690)*VERI_TABANI!$B$7 + MAX(0, VERI_TABANI!D23*C690-MAX(0, VERI_TABANI!D23-VERI_TABANI!D23*B690))*VERI_TABANI!$B$8) + IF(ABS(IF(ISNUMBER(SEARCH("Var", D690)), 1, IF(ISNUMBER(SEARCH("Gri", D690)), -1, 0)))=1, VERI_TABANI!E23*(1-0.928)*VERI_TABANI!$B$9, 0) + (VERI_TABANI!D23*B690*(VERI_TABANI!$B$13-VERI_TABANI!$B$14)*VERI_TABANI!G23) + (VERI_TABANI!D23*C690*(VERI_TABANI!$B$13-VERI_TABANI!$B$15)*VERI_TABANI!G23) + IF(ABS(IF(ISNUMBER(SEARCH("Var", D690)), 1, IF(ISNUMBER(SEARCH("Gri", D690)), -1, 0)))=1, VERI_TABANI!E23*(1-0.928)*0.00206091519919798*VERI_TABANI!G23, 0)) + ((MIN(VERI_TABANI!D24, VERI_TABANI!D24*B690)*VERI_TABANI!$B$7 + MAX(0, VERI_TABANI!D24*B690-VERI_TABANI!D24)*VERI_TABANI!$B$8) + (MIN(MAX(0, VERI_TABANI!D24-VERI_TABANI!D24*B690), VERI_TABANI!D24*C690)*VERI_TABANI!$B$7 + MAX(0, VERI_TABANI!D24*C690-MAX(0, VERI_TABANI!D24-VERI_TABANI!D24*B690))*VERI_TABANI!$B$8) + IF(ABS(IF(ISNUMBER(SEARCH("Var", D690)), 1, IF(ISNUMBER(SEARCH("Gri", D690)), -1, 0)))=1, VERI_TABANI!E24*(1-0.928)*VERI_TABANI!$B$9, 0) + (VERI_TABANI!D24*B690*(VERI_TABANI!$B$13-VERI_TABANI!$B$14)*VERI_TABANI!G24) + (VERI_TABANI!D24*C690*(VERI_TABANI!$B$13-VERI_TABANI!$B$15)*VERI_TABANI!G24) + IF(ABS(IF(ISNUMBER(SEARCH("Var", D690)), 1, IF(ISNUMBER(SEARCH("Gri", D690)), -1, 0)))=1, VERI_TABANI!E24*(1-0.928)*0.00206091519919798*VERI_TABANI!G24, 0)) + ((MIN(VERI_TABANI!D25, VERI_TABANI!D25*B690)*VERI_TABANI!$B$7 + MAX(0, VERI_TABANI!D25*B690-VERI_TABANI!D25)*VERI_TABANI!$B$8) + (MIN(MAX(0, VERI_TABANI!D25-VERI_TABANI!D25*B690), VERI_TABANI!D25*C690)*VERI_TABANI!$B$7 + MAX(0, VERI_TABANI!D25*C690-MAX(0, VERI_TABANI!D25-VERI_TABANI!D25*B690))*VERI_TABANI!$B$8) + IF(ABS(IF(ISNUMBER(SEARCH("Var", D690)), 1, IF(ISNUMBER(SEARCH("Gri", D690)), -1, 0)))=1, VERI_TABANI!E25*(1-0.928)*VERI_TABANI!$B$9, 0) + (VERI_TABANI!D25*B690*(VERI_TABANI!$B$13-VERI_TABANI!$B$14)*VERI_TABANI!G25) + (VERI_TABANI!D25*C690*(VERI_TABANI!$B$13-VERI_TABANI!$B$15)*VERI_TABANI!G25) + IF(ABS(IF(ISNUMBER(SEARCH("Var", D690)), 1, IF(ISNUMBER(SEARCH("Gri", D690)), -1, 0)))=1, VERI_TABANI!E25*(1-0.928)*0.00206091519919798*VERI_TABANI!G25, 0)) + ((MIN(VERI_TABANI!D26, VERI_TABANI!D26*B690)*VERI_TABANI!$B$7 + MAX(0, VERI_TABANI!D26*B690-VERI_TABANI!D26)*VERI_TABANI!$B$8) + (MIN(MAX(0, VERI_TABANI!D26-VERI_TABANI!D26*B690), VERI_TABANI!D26*C690)*VERI_TABANI!$B$7 + MAX(0, VERI_TABANI!D26*C690-MAX(0, VERI_TABANI!D26-VERI_TABANI!D26*B690))*VERI_TABANI!$B$8) + IF(ABS(IF(ISNUMBER(SEARCH("Var", D690)), 1, IF(ISNUMBER(SEARCH("Gri", D690)), -1, 0)))=1, VERI_TABANI!E26*(1-0.928)*VERI_TABANI!$B$9, 0) + (VERI_TABANI!D26*B690*(VERI_TABANI!$B$13-VERI_TABANI!$B$14)*VERI_TABANI!G26) + (VERI_TABANI!D26*C690*(VERI_TABANI!$B$13-VERI_TABANI!$B$15)*VERI_TABANI!G26) + IF(ABS(IF(ISNUMBER(SEARCH("Var", D690)), 1, IF(ISNUMBER(SEARCH("Gri", D690)), -1, 0)))=1, VERI_TABANI!E26*(1-0.928)*0.00206091519919798*VERI_TABANI!G26, 0)) + ((MIN(VERI_TABANI!D27, VERI_TABANI!D27*B690)*VERI_TABANI!$B$7 + MAX(0, VERI_TABANI!D27*B690-VERI_TABANI!D27)*VERI_TABANI!$B$8) + (MIN(MAX(0, VERI_TABANI!D27-VERI_TABANI!D27*B690), VERI_TABANI!D27*C690)*VERI_TABANI!$B$7 + MAX(0, VERI_TABANI!D27*C690-MAX(0, VERI_TABANI!D27-VERI_TABANI!D27*B690))*VERI_TABANI!$B$8) + IF(ABS(IF(ISNUMBER(SEARCH("Var", D690)), 1, IF(ISNUMBER(SEARCH("Gri", D690)), -1, 0)))=1, VERI_TABANI!E27*(1-0.928)*VERI_TABANI!$B$9, 0) + (VERI_TABANI!D27*B690*(VERI_TABANI!$B$13-VERI_TABANI!$B$14)*VERI_TABANI!G27) + (VERI_TABANI!D27*C690*(VERI_TABANI!$B$13-VERI_TABANI!$B$15)*VERI_TABANI!G27) + IF(ABS(IF(ISNUMBER(SEARCH("Var", D690)), 1, IF(ISNUMBER(SEARCH("Gri", D690)), -1, 0)))=1, VERI_TABANI!E27*(1-0.928)*0.00206091519919798*VERI_TABANI!G27, 0)) + ((MIN(VERI_TABANI!D28, VERI_TABANI!D28*B690)*VERI_TABANI!$B$7 + MAX(0, VERI_TABANI!D28*B690-VERI_TABANI!D28)*VERI_TABANI!$B$8) + (MIN(MAX(0, VERI_TABANI!D28-VERI_TABANI!D28*B690), VERI_TABANI!D28*C690)*VERI_TABANI!$B$7 + MAX(0, VERI_TABANI!D28*C690-MAX(0, VERI_TABANI!D28-VERI_TABANI!D28*B690))*VERI_TABANI!$B$8) + IF(ABS(IF(ISNUMBER(SEARCH("Var", D690)), 1, IF(ISNUMBER(SEARCH("Gri", D690)), -1, 0)))=1, VERI_TABANI!E28*(1-0.928)*VERI_TABANI!$B$9, 0) + (VERI_TABANI!D28*B690*(VERI_TABANI!$B$13-VERI_TABANI!$B$14)*VERI_TABANI!G28) + (VERI_TABANI!D28*C690*(VERI_TABANI!$B$13-VERI_TABANI!$B$15)*VERI_TABANI!G28) + IF(ABS(IF(ISNUMBER(SEARCH("Var", D690)), 1, IF(ISNUMBER(SEARCH("Gri", D690)), -1, 0)))=1, VERI_TABANI!E28*(1-0.928)*0.00206091519919798*VERI_TABANI!G28, 0)))</f>
        <v/>
      </c>
      <c r="H690" s="169">
        <f>(((VERI_TABANI!D23*B690*(VERI_TABANI!$B$13-VERI_TABANI!$B$14)) + (VERI_TABANI!D23*C690*(VERI_TABANI!$B$13-VERI_TABANI!$B$15)) + IF(ISNUMBER(SEARCH("Var", D690)), VERI_TABANI!F23*(0.00202-VERI_TABANI!$B$16), IF(ISNUMBER(SEARCH("Gri", D690)), VERI_TABANI!F23*(0.00202-VERI_TABANI!$B$17), 0))) + ((VERI_TABANI!D24*B690*(VERI_TABANI!$B$13-VERI_TABANI!$B$14)) + (VERI_TABANI!D24*C690*(VERI_TABANI!$B$13-VERI_TABANI!$B$15)) + IF(ISNUMBER(SEARCH("Var", D690)), VERI_TABANI!F24*(0.00202-VERI_TABANI!$B$16), IF(ISNUMBER(SEARCH("Gri", D690)), VERI_TABANI!F24*(0.00202-VERI_TABANI!$B$17), 0))) + ((VERI_TABANI!D25*B690*(VERI_TABANI!$B$13-VERI_TABANI!$B$14)) + (VERI_TABANI!D25*C690*(VERI_TABANI!$B$13-VERI_TABANI!$B$15)) + IF(ISNUMBER(SEARCH("Var", D690)), VERI_TABANI!F25*(0.00202-VERI_TABANI!$B$16), IF(ISNUMBER(SEARCH("Gri", D690)), VERI_TABANI!F25*(0.00202-VERI_TABANI!$B$17), 0))) + ((VERI_TABANI!D26*B690*(VERI_TABANI!$B$13-VERI_TABANI!$B$14)) + (VERI_TABANI!D26*C690*(VERI_TABANI!$B$13-VERI_TABANI!$B$15)) + IF(ISNUMBER(SEARCH("Var", D690)), VERI_TABANI!F26*(0.00202-VERI_TABANI!$B$16), IF(ISNUMBER(SEARCH("Gri", D690)), VERI_TABANI!F26*(0.00202-VERI_TABANI!$B$17), 0))) + ((VERI_TABANI!D27*B690*(VERI_TABANI!$B$13-VERI_TABANI!$B$14)) + (VERI_TABANI!D27*C690*(VERI_TABANI!$B$13-VERI_TABANI!$B$15)) + IF(ISNUMBER(SEARCH("Var", D690)), VERI_TABANI!F27*(0.00202-VERI_TABANI!$B$16), IF(ISNUMBER(SEARCH("Gri", D690)), VERI_TABANI!F27*(0.00202-VERI_TABANI!$B$17), 0))) + ((VERI_TABANI!D28*B690*(VERI_TABANI!$B$13-VERI_TABANI!$B$14)) + (VERI_TABANI!D28*C690*(VERI_TABANI!$B$13-VERI_TABANI!$B$15)) + IF(ISNUMBER(SEARCH("Var", D690)), VERI_TABANI!F28*(0.00202-VERI_TABANI!$B$16), IF(ISNUMBER(SEARCH("Gri", D690)), VERI_TABANI!F28*(0.00202-VERI_TABANI!$B$17), 0))))</f>
        <v/>
      </c>
      <c r="I690" s="170">
        <f>IFERROR(((VERI_TABANI!$D$29*B690*VERI_TABANI!$B$14 + VERI_TABANI!$D$29*C690*VERI_TABANI!$B$15 + IF(ISNUMBER(SEARCH("Var", D690)), VERI_TABANI!$F$29*VERI_TABANI!$B$16, 0))) / (((VERI_TABANI!$D$29*B690 + VERI_TABANI!$D$29*C690)*VERI_TABANI!$B$13 + IF(ISNUMBER(SEARCH("Var", D690)), VERI_TABANI!$E$29*(1-0.928)*VERI_TABANI!$B$18, 0))), 0)</f>
        <v/>
      </c>
      <c r="J690" s="171">
        <f>IFERROR(F690/(G690/29), 0)</f>
        <v/>
      </c>
      <c r="K690" s="172">
        <f>IF(F690&gt;0, H690/F690, 0)</f>
        <v/>
      </c>
      <c r="L690" s="170">
        <f>IF(F690&gt;0, I690, 1000000000)</f>
        <v/>
      </c>
      <c r="M690" s="171">
        <f>ABS((B690+C690)-1)</f>
        <v/>
      </c>
      <c r="N690" s="170">
        <f>IF(F690&gt;0, (G690/29)/F690, 0)</f>
        <v/>
      </c>
      <c r="O690" s="168">
        <f>IF(AND((B690+C690)&gt;=1, ISNUMBER(SEARCH("Var", D690))), F690, 1000000000)</f>
        <v/>
      </c>
      <c r="P690" s="172">
        <f>IF(F690&gt;0, SQRT((F690/MAX(F$5:F$886))^2 + (1 - H690/MAX(H$5:H$886))^2 + (J690/MAX(J$5:J$886))^2), 1000000000)</f>
        <v/>
      </c>
      <c r="Q690" s="166">
        <f>IF(AND(ABS(B690-0.5)&lt;0.01, ABS(C690-0.5)&lt;0.01, ISNUMBER(SEARCH("Var", D690))), 1, 0)</f>
        <v/>
      </c>
      <c r="R690" s="171">
        <f>IF(F690&gt;0, J690, 1000000000)</f>
        <v/>
      </c>
      <c r="S690" s="101">
        <f>IF(AND(F690&lt;=DASHBOARD!$B$11, H690&gt;=DASHBOARD!$B$13), G690, -1000000000000)</f>
        <v/>
      </c>
      <c r="T690" s="101">
        <f>IF(AND(F690&lt;=DASHBOARD!$B$11, H690&gt;=DASHBOARD!$B$13), R690, 1000000000000)</f>
        <v/>
      </c>
      <c r="U690" s="101">
        <f>IF(AND(F690&lt;=DASHBOARD!$B$11, H690&gt;=DASHBOARD!$B$13), N690, -1000000000000)</f>
        <v/>
      </c>
      <c r="V690" s="101">
        <f>IF(AND(F690&lt;=DASHBOARD!$B$11, H690&gt;=DASHBOARD!$B$13), H690, -1000000000000)</f>
        <v/>
      </c>
      <c r="W690" s="101">
        <f>IF(AND(F690&lt;=DASHBOARD!$B$11, H690&gt;=DASHBOARD!$B$13), K690, -1000000000000)</f>
        <v/>
      </c>
      <c r="X690" s="101">
        <f>IF(AND(F690&lt;=DASHBOARD!$B$11, H690&gt;=DASHBOARD!$B$13), M690, 1000000000000)</f>
        <v/>
      </c>
      <c r="Y690" s="101">
        <f>IF(AND(F690&lt;=DASHBOARD!$B$10, H690&gt;=DASHBOARD!$B$11), L690, 1000000000000)</f>
        <v/>
      </c>
      <c r="Z690" s="101">
        <f>IF(AND(F690&lt;=DASHBOARD!$B$10, H690&gt;=DASHBOARD!$B$11), O690, 1000000000000)</f>
        <v/>
      </c>
      <c r="AA690" s="101">
        <f>IF(AND(F690&lt;=DASHBOARD!$B$10, H690&gt;=DASHBOARD!$B$11), P690, 1000000000000)</f>
        <v/>
      </c>
      <c r="AB690" s="101">
        <f>IF(AND(F690&lt;=DASHBOARD!$B$10, H690&gt;=DASHBOARD!$B$11), Q690, -1000000000000)</f>
        <v/>
      </c>
    </row>
    <row r="691" ht="15" customHeight="1" s="102">
      <c r="A691" s="166" t="n">
        <v>687</v>
      </c>
      <c r="B691" s="167" t="n">
        <v>1.6</v>
      </c>
      <c r="C691" s="167" t="n">
        <v>0.7</v>
      </c>
      <c r="D691" s="110" t="inlineStr">
        <is>
          <t>Yok (%0)</t>
        </is>
      </c>
      <c r="E691" s="110">
        <f>IF((B691+C691)&lt;=1, "Tam Mahsuplaşma (≤%100)", "Kısmi Satış (&gt;%100)")</f>
        <v/>
      </c>
      <c r="F691" s="168">
        <f>((VERI_TABANI!$D$29*B691/VERI_TABANI!$B$29)/VERI_TABANI!$B$3)*VERI_TABANI!$B$5 + ((VERI_TABANI!$D$29*C691/VERI_TABANI!$B$29)/VERI_TABANI!$B$4)*VERI_TABANI!$B$6 + IF(ISNUMBER(SEARCH("Var", D691)), (VERI_TABANI!$F$29/VERI_TABANI!$B$29)*(VERI_TABANI!$B$10+VERI_TABANI!$B$12), 0)</f>
        <v/>
      </c>
      <c r="G691" s="168">
        <f>(((MIN(VERI_TABANI!D23, VERI_TABANI!D23*B691)*VERI_TABANI!$B$7 + MAX(0, VERI_TABANI!D23*B691-VERI_TABANI!D23)*VERI_TABANI!$B$8) + (MIN(MAX(0, VERI_TABANI!D23-VERI_TABANI!D23*B691), VERI_TABANI!D23*C691)*VERI_TABANI!$B$7 + MAX(0, VERI_TABANI!D23*C691-MAX(0, VERI_TABANI!D23-VERI_TABANI!D23*B691))*VERI_TABANI!$B$8) + IF(ABS(IF(ISNUMBER(SEARCH("Var", D691)), 1, IF(ISNUMBER(SEARCH("Gri", D691)), -1, 0)))=1, VERI_TABANI!E23*(1-0.928)*VERI_TABANI!$B$9, 0) + (VERI_TABANI!D23*B691*(VERI_TABANI!$B$13-VERI_TABANI!$B$14)*VERI_TABANI!G23) + (VERI_TABANI!D23*C691*(VERI_TABANI!$B$13-VERI_TABANI!$B$15)*VERI_TABANI!G23) + IF(ABS(IF(ISNUMBER(SEARCH("Var", D691)), 1, IF(ISNUMBER(SEARCH("Gri", D691)), -1, 0)))=1, VERI_TABANI!E23*(1-0.928)*0.00206091519919798*VERI_TABANI!G23, 0)) + ((MIN(VERI_TABANI!D24, VERI_TABANI!D24*B691)*VERI_TABANI!$B$7 + MAX(0, VERI_TABANI!D24*B691-VERI_TABANI!D24)*VERI_TABANI!$B$8) + (MIN(MAX(0, VERI_TABANI!D24-VERI_TABANI!D24*B691), VERI_TABANI!D24*C691)*VERI_TABANI!$B$7 + MAX(0, VERI_TABANI!D24*C691-MAX(0, VERI_TABANI!D24-VERI_TABANI!D24*B691))*VERI_TABANI!$B$8) + IF(ABS(IF(ISNUMBER(SEARCH("Var", D691)), 1, IF(ISNUMBER(SEARCH("Gri", D691)), -1, 0)))=1, VERI_TABANI!E24*(1-0.928)*VERI_TABANI!$B$9, 0) + (VERI_TABANI!D24*B691*(VERI_TABANI!$B$13-VERI_TABANI!$B$14)*VERI_TABANI!G24) + (VERI_TABANI!D24*C691*(VERI_TABANI!$B$13-VERI_TABANI!$B$15)*VERI_TABANI!G24) + IF(ABS(IF(ISNUMBER(SEARCH("Var", D691)), 1, IF(ISNUMBER(SEARCH("Gri", D691)), -1, 0)))=1, VERI_TABANI!E24*(1-0.928)*0.00206091519919798*VERI_TABANI!G24, 0)) + ((MIN(VERI_TABANI!D25, VERI_TABANI!D25*B691)*VERI_TABANI!$B$7 + MAX(0, VERI_TABANI!D25*B691-VERI_TABANI!D25)*VERI_TABANI!$B$8) + (MIN(MAX(0, VERI_TABANI!D25-VERI_TABANI!D25*B691), VERI_TABANI!D25*C691)*VERI_TABANI!$B$7 + MAX(0, VERI_TABANI!D25*C691-MAX(0, VERI_TABANI!D25-VERI_TABANI!D25*B691))*VERI_TABANI!$B$8) + IF(ABS(IF(ISNUMBER(SEARCH("Var", D691)), 1, IF(ISNUMBER(SEARCH("Gri", D691)), -1, 0)))=1, VERI_TABANI!E25*(1-0.928)*VERI_TABANI!$B$9, 0) + (VERI_TABANI!D25*B691*(VERI_TABANI!$B$13-VERI_TABANI!$B$14)*VERI_TABANI!G25) + (VERI_TABANI!D25*C691*(VERI_TABANI!$B$13-VERI_TABANI!$B$15)*VERI_TABANI!G25) + IF(ABS(IF(ISNUMBER(SEARCH("Var", D691)), 1, IF(ISNUMBER(SEARCH("Gri", D691)), -1, 0)))=1, VERI_TABANI!E25*(1-0.928)*0.00206091519919798*VERI_TABANI!G25, 0)) + ((MIN(VERI_TABANI!D26, VERI_TABANI!D26*B691)*VERI_TABANI!$B$7 + MAX(0, VERI_TABANI!D26*B691-VERI_TABANI!D26)*VERI_TABANI!$B$8) + (MIN(MAX(0, VERI_TABANI!D26-VERI_TABANI!D26*B691), VERI_TABANI!D26*C691)*VERI_TABANI!$B$7 + MAX(0, VERI_TABANI!D26*C691-MAX(0, VERI_TABANI!D26-VERI_TABANI!D26*B691))*VERI_TABANI!$B$8) + IF(ABS(IF(ISNUMBER(SEARCH("Var", D691)), 1, IF(ISNUMBER(SEARCH("Gri", D691)), -1, 0)))=1, VERI_TABANI!E26*(1-0.928)*VERI_TABANI!$B$9, 0) + (VERI_TABANI!D26*B691*(VERI_TABANI!$B$13-VERI_TABANI!$B$14)*VERI_TABANI!G26) + (VERI_TABANI!D26*C691*(VERI_TABANI!$B$13-VERI_TABANI!$B$15)*VERI_TABANI!G26) + IF(ABS(IF(ISNUMBER(SEARCH("Var", D691)), 1, IF(ISNUMBER(SEARCH("Gri", D691)), -1, 0)))=1, VERI_TABANI!E26*(1-0.928)*0.00206091519919798*VERI_TABANI!G26, 0)) + ((MIN(VERI_TABANI!D27, VERI_TABANI!D27*B691)*VERI_TABANI!$B$7 + MAX(0, VERI_TABANI!D27*B691-VERI_TABANI!D27)*VERI_TABANI!$B$8) + (MIN(MAX(0, VERI_TABANI!D27-VERI_TABANI!D27*B691), VERI_TABANI!D27*C691)*VERI_TABANI!$B$7 + MAX(0, VERI_TABANI!D27*C691-MAX(0, VERI_TABANI!D27-VERI_TABANI!D27*B691))*VERI_TABANI!$B$8) + IF(ABS(IF(ISNUMBER(SEARCH("Var", D691)), 1, IF(ISNUMBER(SEARCH("Gri", D691)), -1, 0)))=1, VERI_TABANI!E27*(1-0.928)*VERI_TABANI!$B$9, 0) + (VERI_TABANI!D27*B691*(VERI_TABANI!$B$13-VERI_TABANI!$B$14)*VERI_TABANI!G27) + (VERI_TABANI!D27*C691*(VERI_TABANI!$B$13-VERI_TABANI!$B$15)*VERI_TABANI!G27) + IF(ABS(IF(ISNUMBER(SEARCH("Var", D691)), 1, IF(ISNUMBER(SEARCH("Gri", D691)), -1, 0)))=1, VERI_TABANI!E27*(1-0.928)*0.00206091519919798*VERI_TABANI!G27, 0)) + ((MIN(VERI_TABANI!D28, VERI_TABANI!D28*B691)*VERI_TABANI!$B$7 + MAX(0, VERI_TABANI!D28*B691-VERI_TABANI!D28)*VERI_TABANI!$B$8) + (MIN(MAX(0, VERI_TABANI!D28-VERI_TABANI!D28*B691), VERI_TABANI!D28*C691)*VERI_TABANI!$B$7 + MAX(0, VERI_TABANI!D28*C691-MAX(0, VERI_TABANI!D28-VERI_TABANI!D28*B691))*VERI_TABANI!$B$8) + IF(ABS(IF(ISNUMBER(SEARCH("Var", D691)), 1, IF(ISNUMBER(SEARCH("Gri", D691)), -1, 0)))=1, VERI_TABANI!E28*(1-0.928)*VERI_TABANI!$B$9, 0) + (VERI_TABANI!D28*B691*(VERI_TABANI!$B$13-VERI_TABANI!$B$14)*VERI_TABANI!G28) + (VERI_TABANI!D28*C691*(VERI_TABANI!$B$13-VERI_TABANI!$B$15)*VERI_TABANI!G28) + IF(ABS(IF(ISNUMBER(SEARCH("Var", D691)), 1, IF(ISNUMBER(SEARCH("Gri", D691)), -1, 0)))=1, VERI_TABANI!E28*(1-0.928)*0.00206091519919798*VERI_TABANI!G28, 0)))</f>
        <v/>
      </c>
      <c r="H691" s="169">
        <f>(((VERI_TABANI!D23*B691*(VERI_TABANI!$B$13-VERI_TABANI!$B$14)) + (VERI_TABANI!D23*C691*(VERI_TABANI!$B$13-VERI_TABANI!$B$15)) + IF(ISNUMBER(SEARCH("Var", D691)), VERI_TABANI!F23*(0.00202-VERI_TABANI!$B$16), IF(ISNUMBER(SEARCH("Gri", D691)), VERI_TABANI!F23*(0.00202-VERI_TABANI!$B$17), 0))) + ((VERI_TABANI!D24*B691*(VERI_TABANI!$B$13-VERI_TABANI!$B$14)) + (VERI_TABANI!D24*C691*(VERI_TABANI!$B$13-VERI_TABANI!$B$15)) + IF(ISNUMBER(SEARCH("Var", D691)), VERI_TABANI!F24*(0.00202-VERI_TABANI!$B$16), IF(ISNUMBER(SEARCH("Gri", D691)), VERI_TABANI!F24*(0.00202-VERI_TABANI!$B$17), 0))) + ((VERI_TABANI!D25*B691*(VERI_TABANI!$B$13-VERI_TABANI!$B$14)) + (VERI_TABANI!D25*C691*(VERI_TABANI!$B$13-VERI_TABANI!$B$15)) + IF(ISNUMBER(SEARCH("Var", D691)), VERI_TABANI!F25*(0.00202-VERI_TABANI!$B$16), IF(ISNUMBER(SEARCH("Gri", D691)), VERI_TABANI!F25*(0.00202-VERI_TABANI!$B$17), 0))) + ((VERI_TABANI!D26*B691*(VERI_TABANI!$B$13-VERI_TABANI!$B$14)) + (VERI_TABANI!D26*C691*(VERI_TABANI!$B$13-VERI_TABANI!$B$15)) + IF(ISNUMBER(SEARCH("Var", D691)), VERI_TABANI!F26*(0.00202-VERI_TABANI!$B$16), IF(ISNUMBER(SEARCH("Gri", D691)), VERI_TABANI!F26*(0.00202-VERI_TABANI!$B$17), 0))) + ((VERI_TABANI!D27*B691*(VERI_TABANI!$B$13-VERI_TABANI!$B$14)) + (VERI_TABANI!D27*C691*(VERI_TABANI!$B$13-VERI_TABANI!$B$15)) + IF(ISNUMBER(SEARCH("Var", D691)), VERI_TABANI!F27*(0.00202-VERI_TABANI!$B$16), IF(ISNUMBER(SEARCH("Gri", D691)), VERI_TABANI!F27*(0.00202-VERI_TABANI!$B$17), 0))) + ((VERI_TABANI!D28*B691*(VERI_TABANI!$B$13-VERI_TABANI!$B$14)) + (VERI_TABANI!D28*C691*(VERI_TABANI!$B$13-VERI_TABANI!$B$15)) + IF(ISNUMBER(SEARCH("Var", D691)), VERI_TABANI!F28*(0.00202-VERI_TABANI!$B$16), IF(ISNUMBER(SEARCH("Gri", D691)), VERI_TABANI!F28*(0.00202-VERI_TABANI!$B$17), 0))))</f>
        <v/>
      </c>
      <c r="I691" s="170">
        <f>IFERROR(((VERI_TABANI!$D$29*B691*VERI_TABANI!$B$14 + VERI_TABANI!$D$29*C691*VERI_TABANI!$B$15 + IF(ISNUMBER(SEARCH("Var", D691)), VERI_TABANI!$F$29*VERI_TABANI!$B$16, 0))) / (((VERI_TABANI!$D$29*B691 + VERI_TABANI!$D$29*C691)*VERI_TABANI!$B$13 + IF(ISNUMBER(SEARCH("Var", D691)), VERI_TABANI!$E$29*(1-0.928)*VERI_TABANI!$B$18, 0))), 0)</f>
        <v/>
      </c>
      <c r="J691" s="171">
        <f>IFERROR(F691/(G691/29), 0)</f>
        <v/>
      </c>
      <c r="K691" s="172">
        <f>IF(F691&gt;0, H691/F691, 0)</f>
        <v/>
      </c>
      <c r="L691" s="170">
        <f>IF(F691&gt;0, I691, 1000000000)</f>
        <v/>
      </c>
      <c r="M691" s="171">
        <f>ABS((B691+C691)-1)</f>
        <v/>
      </c>
      <c r="N691" s="170">
        <f>IF(F691&gt;0, (G691/29)/F691, 0)</f>
        <v/>
      </c>
      <c r="O691" s="168">
        <f>IF(AND((B691+C691)&gt;=1, ISNUMBER(SEARCH("Var", D691))), F691, 1000000000)</f>
        <v/>
      </c>
      <c r="P691" s="172">
        <f>IF(F691&gt;0, SQRT((F691/MAX(F$5:F$886))^2 + (1 - H691/MAX(H$5:H$886))^2 + (J691/MAX(J$5:J$886))^2), 1000000000)</f>
        <v/>
      </c>
      <c r="Q691" s="166">
        <f>IF(AND(ABS(B691-0.5)&lt;0.01, ABS(C691-0.5)&lt;0.01, ISNUMBER(SEARCH("Var", D691))), 1, 0)</f>
        <v/>
      </c>
      <c r="R691" s="171">
        <f>IF(F691&gt;0, J691, 1000000000)</f>
        <v/>
      </c>
      <c r="S691" s="101">
        <f>IF(AND(F691&lt;=DASHBOARD!$B$11, H691&gt;=DASHBOARD!$B$13), G691, -1000000000000)</f>
        <v/>
      </c>
      <c r="T691" s="101">
        <f>IF(AND(F691&lt;=DASHBOARD!$B$11, H691&gt;=DASHBOARD!$B$13), R691, 1000000000000)</f>
        <v/>
      </c>
      <c r="U691" s="101">
        <f>IF(AND(F691&lt;=DASHBOARD!$B$11, H691&gt;=DASHBOARD!$B$13), N691, -1000000000000)</f>
        <v/>
      </c>
      <c r="V691" s="101">
        <f>IF(AND(F691&lt;=DASHBOARD!$B$11, H691&gt;=DASHBOARD!$B$13), H691, -1000000000000)</f>
        <v/>
      </c>
      <c r="W691" s="101">
        <f>IF(AND(F691&lt;=DASHBOARD!$B$11, H691&gt;=DASHBOARD!$B$13), K691, -1000000000000)</f>
        <v/>
      </c>
      <c r="X691" s="101">
        <f>IF(AND(F691&lt;=DASHBOARD!$B$11, H691&gt;=DASHBOARD!$B$13), M691, 1000000000000)</f>
        <v/>
      </c>
      <c r="Y691" s="101">
        <f>IF(AND(F691&lt;=DASHBOARD!$B$10, H691&gt;=DASHBOARD!$B$11), L691, 1000000000000)</f>
        <v/>
      </c>
      <c r="Z691" s="101">
        <f>IF(AND(F691&lt;=DASHBOARD!$B$10, H691&gt;=DASHBOARD!$B$11), O691, 1000000000000)</f>
        <v/>
      </c>
      <c r="AA691" s="101">
        <f>IF(AND(F691&lt;=DASHBOARD!$B$10, H691&gt;=DASHBOARD!$B$11), P691, 1000000000000)</f>
        <v/>
      </c>
      <c r="AB691" s="101">
        <f>IF(AND(F691&lt;=DASHBOARD!$B$10, H691&gt;=DASHBOARD!$B$11), Q691, -1000000000000)</f>
        <v/>
      </c>
    </row>
    <row r="692" ht="15" customHeight="1" s="102">
      <c r="A692" s="166" t="n">
        <v>688</v>
      </c>
      <c r="B692" s="167" t="n">
        <v>1.6</v>
      </c>
      <c r="C692" s="167" t="n">
        <v>0.7</v>
      </c>
      <c r="D692" s="110" t="inlineStr">
        <is>
          <t>Var (%20)</t>
        </is>
      </c>
      <c r="E692" s="110">
        <f>IF((B692+C692)&lt;=1, "Tam Mahsuplaşma (≤%100)", "Kısmi Satış (&gt;%100)")</f>
        <v/>
      </c>
      <c r="F692" s="168">
        <f>((VERI_TABANI!$D$29*B692/VERI_TABANI!$B$29)/VERI_TABANI!$B$3)*VERI_TABANI!$B$5 + ((VERI_TABANI!$D$29*C692/VERI_TABANI!$B$29)/VERI_TABANI!$B$4)*VERI_TABANI!$B$6 + IF(ISNUMBER(SEARCH("Var", D692)), (VERI_TABANI!$F$29/VERI_TABANI!$B$29)*(VERI_TABANI!$B$10+VERI_TABANI!$B$12), 0)</f>
        <v/>
      </c>
      <c r="G692" s="168">
        <f>(((MIN(VERI_TABANI!D23, VERI_TABANI!D23*B692)*VERI_TABANI!$B$7 + MAX(0, VERI_TABANI!D23*B692-VERI_TABANI!D23)*VERI_TABANI!$B$8) + (MIN(MAX(0, VERI_TABANI!D23-VERI_TABANI!D23*B692), VERI_TABANI!D23*C692)*VERI_TABANI!$B$7 + MAX(0, VERI_TABANI!D23*C692-MAX(0, VERI_TABANI!D23-VERI_TABANI!D23*B692))*VERI_TABANI!$B$8) + IF(ABS(IF(ISNUMBER(SEARCH("Var", D692)), 1, IF(ISNUMBER(SEARCH("Gri", D692)), -1, 0)))=1, VERI_TABANI!E23*(1-0.928)*VERI_TABANI!$B$9, 0) + (VERI_TABANI!D23*B692*(VERI_TABANI!$B$13-VERI_TABANI!$B$14)*VERI_TABANI!G23) + (VERI_TABANI!D23*C692*(VERI_TABANI!$B$13-VERI_TABANI!$B$15)*VERI_TABANI!G23) + IF(ABS(IF(ISNUMBER(SEARCH("Var", D692)), 1, IF(ISNUMBER(SEARCH("Gri", D692)), -1, 0)))=1, VERI_TABANI!E23*(1-0.928)*0.00206091519919798*VERI_TABANI!G23, 0)) + ((MIN(VERI_TABANI!D24, VERI_TABANI!D24*B692)*VERI_TABANI!$B$7 + MAX(0, VERI_TABANI!D24*B692-VERI_TABANI!D24)*VERI_TABANI!$B$8) + (MIN(MAX(0, VERI_TABANI!D24-VERI_TABANI!D24*B692), VERI_TABANI!D24*C692)*VERI_TABANI!$B$7 + MAX(0, VERI_TABANI!D24*C692-MAX(0, VERI_TABANI!D24-VERI_TABANI!D24*B692))*VERI_TABANI!$B$8) + IF(ABS(IF(ISNUMBER(SEARCH("Var", D692)), 1, IF(ISNUMBER(SEARCH("Gri", D692)), -1, 0)))=1, VERI_TABANI!E24*(1-0.928)*VERI_TABANI!$B$9, 0) + (VERI_TABANI!D24*B692*(VERI_TABANI!$B$13-VERI_TABANI!$B$14)*VERI_TABANI!G24) + (VERI_TABANI!D24*C692*(VERI_TABANI!$B$13-VERI_TABANI!$B$15)*VERI_TABANI!G24) + IF(ABS(IF(ISNUMBER(SEARCH("Var", D692)), 1, IF(ISNUMBER(SEARCH("Gri", D692)), -1, 0)))=1, VERI_TABANI!E24*(1-0.928)*0.00206091519919798*VERI_TABANI!G24, 0)) + ((MIN(VERI_TABANI!D25, VERI_TABANI!D25*B692)*VERI_TABANI!$B$7 + MAX(0, VERI_TABANI!D25*B692-VERI_TABANI!D25)*VERI_TABANI!$B$8) + (MIN(MAX(0, VERI_TABANI!D25-VERI_TABANI!D25*B692), VERI_TABANI!D25*C692)*VERI_TABANI!$B$7 + MAX(0, VERI_TABANI!D25*C692-MAX(0, VERI_TABANI!D25-VERI_TABANI!D25*B692))*VERI_TABANI!$B$8) + IF(ABS(IF(ISNUMBER(SEARCH("Var", D692)), 1, IF(ISNUMBER(SEARCH("Gri", D692)), -1, 0)))=1, VERI_TABANI!E25*(1-0.928)*VERI_TABANI!$B$9, 0) + (VERI_TABANI!D25*B692*(VERI_TABANI!$B$13-VERI_TABANI!$B$14)*VERI_TABANI!G25) + (VERI_TABANI!D25*C692*(VERI_TABANI!$B$13-VERI_TABANI!$B$15)*VERI_TABANI!G25) + IF(ABS(IF(ISNUMBER(SEARCH("Var", D692)), 1, IF(ISNUMBER(SEARCH("Gri", D692)), -1, 0)))=1, VERI_TABANI!E25*(1-0.928)*0.00206091519919798*VERI_TABANI!G25, 0)) + ((MIN(VERI_TABANI!D26, VERI_TABANI!D26*B692)*VERI_TABANI!$B$7 + MAX(0, VERI_TABANI!D26*B692-VERI_TABANI!D26)*VERI_TABANI!$B$8) + (MIN(MAX(0, VERI_TABANI!D26-VERI_TABANI!D26*B692), VERI_TABANI!D26*C692)*VERI_TABANI!$B$7 + MAX(0, VERI_TABANI!D26*C692-MAX(0, VERI_TABANI!D26-VERI_TABANI!D26*B692))*VERI_TABANI!$B$8) + IF(ABS(IF(ISNUMBER(SEARCH("Var", D692)), 1, IF(ISNUMBER(SEARCH("Gri", D692)), -1, 0)))=1, VERI_TABANI!E26*(1-0.928)*VERI_TABANI!$B$9, 0) + (VERI_TABANI!D26*B692*(VERI_TABANI!$B$13-VERI_TABANI!$B$14)*VERI_TABANI!G26) + (VERI_TABANI!D26*C692*(VERI_TABANI!$B$13-VERI_TABANI!$B$15)*VERI_TABANI!G26) + IF(ABS(IF(ISNUMBER(SEARCH("Var", D692)), 1, IF(ISNUMBER(SEARCH("Gri", D692)), -1, 0)))=1, VERI_TABANI!E26*(1-0.928)*0.00206091519919798*VERI_TABANI!G26, 0)) + ((MIN(VERI_TABANI!D27, VERI_TABANI!D27*B692)*VERI_TABANI!$B$7 + MAX(0, VERI_TABANI!D27*B692-VERI_TABANI!D27)*VERI_TABANI!$B$8) + (MIN(MAX(0, VERI_TABANI!D27-VERI_TABANI!D27*B692), VERI_TABANI!D27*C692)*VERI_TABANI!$B$7 + MAX(0, VERI_TABANI!D27*C692-MAX(0, VERI_TABANI!D27-VERI_TABANI!D27*B692))*VERI_TABANI!$B$8) + IF(ABS(IF(ISNUMBER(SEARCH("Var", D692)), 1, IF(ISNUMBER(SEARCH("Gri", D692)), -1, 0)))=1, VERI_TABANI!E27*(1-0.928)*VERI_TABANI!$B$9, 0) + (VERI_TABANI!D27*B692*(VERI_TABANI!$B$13-VERI_TABANI!$B$14)*VERI_TABANI!G27) + (VERI_TABANI!D27*C692*(VERI_TABANI!$B$13-VERI_TABANI!$B$15)*VERI_TABANI!G27) + IF(ABS(IF(ISNUMBER(SEARCH("Var", D692)), 1, IF(ISNUMBER(SEARCH("Gri", D692)), -1, 0)))=1, VERI_TABANI!E27*(1-0.928)*0.00206091519919798*VERI_TABANI!G27, 0)) + ((MIN(VERI_TABANI!D28, VERI_TABANI!D28*B692)*VERI_TABANI!$B$7 + MAX(0, VERI_TABANI!D28*B692-VERI_TABANI!D28)*VERI_TABANI!$B$8) + (MIN(MAX(0, VERI_TABANI!D28-VERI_TABANI!D28*B692), VERI_TABANI!D28*C692)*VERI_TABANI!$B$7 + MAX(0, VERI_TABANI!D28*C692-MAX(0, VERI_TABANI!D28-VERI_TABANI!D28*B692))*VERI_TABANI!$B$8) + IF(ABS(IF(ISNUMBER(SEARCH("Var", D692)), 1, IF(ISNUMBER(SEARCH("Gri", D692)), -1, 0)))=1, VERI_TABANI!E28*(1-0.928)*VERI_TABANI!$B$9, 0) + (VERI_TABANI!D28*B692*(VERI_TABANI!$B$13-VERI_TABANI!$B$14)*VERI_TABANI!G28) + (VERI_TABANI!D28*C692*(VERI_TABANI!$B$13-VERI_TABANI!$B$15)*VERI_TABANI!G28) + IF(ABS(IF(ISNUMBER(SEARCH("Var", D692)), 1, IF(ISNUMBER(SEARCH("Gri", D692)), -1, 0)))=1, VERI_TABANI!E28*(1-0.928)*0.00206091519919798*VERI_TABANI!G28, 0)))</f>
        <v/>
      </c>
      <c r="H692" s="169">
        <f>(((VERI_TABANI!D23*B692*(VERI_TABANI!$B$13-VERI_TABANI!$B$14)) + (VERI_TABANI!D23*C692*(VERI_TABANI!$B$13-VERI_TABANI!$B$15)) + IF(ISNUMBER(SEARCH("Var", D692)), VERI_TABANI!F23*(0.00202-VERI_TABANI!$B$16), IF(ISNUMBER(SEARCH("Gri", D692)), VERI_TABANI!F23*(0.00202-VERI_TABANI!$B$17), 0))) + ((VERI_TABANI!D24*B692*(VERI_TABANI!$B$13-VERI_TABANI!$B$14)) + (VERI_TABANI!D24*C692*(VERI_TABANI!$B$13-VERI_TABANI!$B$15)) + IF(ISNUMBER(SEARCH("Var", D692)), VERI_TABANI!F24*(0.00202-VERI_TABANI!$B$16), IF(ISNUMBER(SEARCH("Gri", D692)), VERI_TABANI!F24*(0.00202-VERI_TABANI!$B$17), 0))) + ((VERI_TABANI!D25*B692*(VERI_TABANI!$B$13-VERI_TABANI!$B$14)) + (VERI_TABANI!D25*C692*(VERI_TABANI!$B$13-VERI_TABANI!$B$15)) + IF(ISNUMBER(SEARCH("Var", D692)), VERI_TABANI!F25*(0.00202-VERI_TABANI!$B$16), IF(ISNUMBER(SEARCH("Gri", D692)), VERI_TABANI!F25*(0.00202-VERI_TABANI!$B$17), 0))) + ((VERI_TABANI!D26*B692*(VERI_TABANI!$B$13-VERI_TABANI!$B$14)) + (VERI_TABANI!D26*C692*(VERI_TABANI!$B$13-VERI_TABANI!$B$15)) + IF(ISNUMBER(SEARCH("Var", D692)), VERI_TABANI!F26*(0.00202-VERI_TABANI!$B$16), IF(ISNUMBER(SEARCH("Gri", D692)), VERI_TABANI!F26*(0.00202-VERI_TABANI!$B$17), 0))) + ((VERI_TABANI!D27*B692*(VERI_TABANI!$B$13-VERI_TABANI!$B$14)) + (VERI_TABANI!D27*C692*(VERI_TABANI!$B$13-VERI_TABANI!$B$15)) + IF(ISNUMBER(SEARCH("Var", D692)), VERI_TABANI!F27*(0.00202-VERI_TABANI!$B$16), IF(ISNUMBER(SEARCH("Gri", D692)), VERI_TABANI!F27*(0.00202-VERI_TABANI!$B$17), 0))) + ((VERI_TABANI!D28*B692*(VERI_TABANI!$B$13-VERI_TABANI!$B$14)) + (VERI_TABANI!D28*C692*(VERI_TABANI!$B$13-VERI_TABANI!$B$15)) + IF(ISNUMBER(SEARCH("Var", D692)), VERI_TABANI!F28*(0.00202-VERI_TABANI!$B$16), IF(ISNUMBER(SEARCH("Gri", D692)), VERI_TABANI!F28*(0.00202-VERI_TABANI!$B$17), 0))))</f>
        <v/>
      </c>
      <c r="I692" s="170">
        <f>IFERROR(((VERI_TABANI!$D$29*B692*VERI_TABANI!$B$14 + VERI_TABANI!$D$29*C692*VERI_TABANI!$B$15 + IF(ISNUMBER(SEARCH("Var", D692)), VERI_TABANI!$F$29*VERI_TABANI!$B$16, 0))) / (((VERI_TABANI!$D$29*B692 + VERI_TABANI!$D$29*C692)*VERI_TABANI!$B$13 + IF(ISNUMBER(SEARCH("Var", D692)), VERI_TABANI!$E$29*(1-0.928)*VERI_TABANI!$B$18, 0))), 0)</f>
        <v/>
      </c>
      <c r="J692" s="171">
        <f>IFERROR(F692/(G692/29), 0)</f>
        <v/>
      </c>
      <c r="K692" s="172">
        <f>IF(F692&gt;0, H692/F692, 0)</f>
        <v/>
      </c>
      <c r="L692" s="170">
        <f>IF(F692&gt;0, I692, 1000000000)</f>
        <v/>
      </c>
      <c r="M692" s="171">
        <f>ABS((B692+C692)-1)</f>
        <v/>
      </c>
      <c r="N692" s="170">
        <f>IF(F692&gt;0, (G692/29)/F692, 0)</f>
        <v/>
      </c>
      <c r="O692" s="168">
        <f>IF(AND((B692+C692)&gt;=1, ISNUMBER(SEARCH("Var", D692))), F692, 1000000000)</f>
        <v/>
      </c>
      <c r="P692" s="172">
        <f>IF(F692&gt;0, SQRT((F692/MAX(F$5:F$886))^2 + (1 - H692/MAX(H$5:H$886))^2 + (J692/MAX(J$5:J$886))^2), 1000000000)</f>
        <v/>
      </c>
      <c r="Q692" s="166">
        <f>IF(AND(ABS(B692-0.5)&lt;0.01, ABS(C692-0.5)&lt;0.01, ISNUMBER(SEARCH("Var", D692))), 1, 0)</f>
        <v/>
      </c>
      <c r="R692" s="171">
        <f>IF(F692&gt;0, J692, 1000000000)</f>
        <v/>
      </c>
      <c r="S692" s="101">
        <f>IF(AND(F692&lt;=DASHBOARD!$B$11, H692&gt;=DASHBOARD!$B$13), G692, -1000000000000)</f>
        <v/>
      </c>
      <c r="T692" s="101">
        <f>IF(AND(F692&lt;=DASHBOARD!$B$11, H692&gt;=DASHBOARD!$B$13), R692, 1000000000000)</f>
        <v/>
      </c>
      <c r="U692" s="101">
        <f>IF(AND(F692&lt;=DASHBOARD!$B$11, H692&gt;=DASHBOARD!$B$13), N692, -1000000000000)</f>
        <v/>
      </c>
      <c r="V692" s="101">
        <f>IF(AND(F692&lt;=DASHBOARD!$B$11, H692&gt;=DASHBOARD!$B$13), H692, -1000000000000)</f>
        <v/>
      </c>
      <c r="W692" s="101">
        <f>IF(AND(F692&lt;=DASHBOARD!$B$11, H692&gt;=DASHBOARD!$B$13), K692, -1000000000000)</f>
        <v/>
      </c>
      <c r="X692" s="101">
        <f>IF(AND(F692&lt;=DASHBOARD!$B$11, H692&gt;=DASHBOARD!$B$13), M692, 1000000000000)</f>
        <v/>
      </c>
      <c r="Y692" s="101">
        <f>IF(AND(F692&lt;=DASHBOARD!$B$10, H692&gt;=DASHBOARD!$B$11), L692, 1000000000000)</f>
        <v/>
      </c>
      <c r="Z692" s="101">
        <f>IF(AND(F692&lt;=DASHBOARD!$B$10, H692&gt;=DASHBOARD!$B$11), O692, 1000000000000)</f>
        <v/>
      </c>
      <c r="AA692" s="101">
        <f>IF(AND(F692&lt;=DASHBOARD!$B$10, H692&gt;=DASHBOARD!$B$11), P692, 1000000000000)</f>
        <v/>
      </c>
      <c r="AB692" s="101">
        <f>IF(AND(F692&lt;=DASHBOARD!$B$10, H692&gt;=DASHBOARD!$B$11), Q692, -1000000000000)</f>
        <v/>
      </c>
    </row>
    <row r="693" ht="15" customHeight="1" s="102">
      <c r="A693" s="166" t="n">
        <v>689</v>
      </c>
      <c r="B693" s="167" t="n">
        <v>1.6</v>
      </c>
      <c r="C693" s="167" t="n">
        <v>0.8</v>
      </c>
      <c r="D693" s="110" t="inlineStr">
        <is>
          <t>Yok (%0)</t>
        </is>
      </c>
      <c r="E693" s="110">
        <f>IF((B693+C693)&lt;=1, "Tam Mahsuplaşma (≤%100)", "Kısmi Satış (&gt;%100)")</f>
        <v/>
      </c>
      <c r="F693" s="168">
        <f>((VERI_TABANI!$D$29*B693/VERI_TABANI!$B$29)/VERI_TABANI!$B$3)*VERI_TABANI!$B$5 + ((VERI_TABANI!$D$29*C693/VERI_TABANI!$B$29)/VERI_TABANI!$B$4)*VERI_TABANI!$B$6 + IF(ISNUMBER(SEARCH("Var", D693)), (VERI_TABANI!$F$29/VERI_TABANI!$B$29)*(VERI_TABANI!$B$10+VERI_TABANI!$B$12), 0)</f>
        <v/>
      </c>
      <c r="G693" s="168">
        <f>(((MIN(VERI_TABANI!D23, VERI_TABANI!D23*B693)*VERI_TABANI!$B$7 + MAX(0, VERI_TABANI!D23*B693-VERI_TABANI!D23)*VERI_TABANI!$B$8) + (MIN(MAX(0, VERI_TABANI!D23-VERI_TABANI!D23*B693), VERI_TABANI!D23*C693)*VERI_TABANI!$B$7 + MAX(0, VERI_TABANI!D23*C693-MAX(0, VERI_TABANI!D23-VERI_TABANI!D23*B693))*VERI_TABANI!$B$8) + IF(ABS(IF(ISNUMBER(SEARCH("Var", D693)), 1, IF(ISNUMBER(SEARCH("Gri", D693)), -1, 0)))=1, VERI_TABANI!E23*(1-0.928)*VERI_TABANI!$B$9, 0) + (VERI_TABANI!D23*B693*(VERI_TABANI!$B$13-VERI_TABANI!$B$14)*VERI_TABANI!G23) + (VERI_TABANI!D23*C693*(VERI_TABANI!$B$13-VERI_TABANI!$B$15)*VERI_TABANI!G23) + IF(ABS(IF(ISNUMBER(SEARCH("Var", D693)), 1, IF(ISNUMBER(SEARCH("Gri", D693)), -1, 0)))=1, VERI_TABANI!E23*(1-0.928)*0.00206091519919798*VERI_TABANI!G23, 0)) + ((MIN(VERI_TABANI!D24, VERI_TABANI!D24*B693)*VERI_TABANI!$B$7 + MAX(0, VERI_TABANI!D24*B693-VERI_TABANI!D24)*VERI_TABANI!$B$8) + (MIN(MAX(0, VERI_TABANI!D24-VERI_TABANI!D24*B693), VERI_TABANI!D24*C693)*VERI_TABANI!$B$7 + MAX(0, VERI_TABANI!D24*C693-MAX(0, VERI_TABANI!D24-VERI_TABANI!D24*B693))*VERI_TABANI!$B$8) + IF(ABS(IF(ISNUMBER(SEARCH("Var", D693)), 1, IF(ISNUMBER(SEARCH("Gri", D693)), -1, 0)))=1, VERI_TABANI!E24*(1-0.928)*VERI_TABANI!$B$9, 0) + (VERI_TABANI!D24*B693*(VERI_TABANI!$B$13-VERI_TABANI!$B$14)*VERI_TABANI!G24) + (VERI_TABANI!D24*C693*(VERI_TABANI!$B$13-VERI_TABANI!$B$15)*VERI_TABANI!G24) + IF(ABS(IF(ISNUMBER(SEARCH("Var", D693)), 1, IF(ISNUMBER(SEARCH("Gri", D693)), -1, 0)))=1, VERI_TABANI!E24*(1-0.928)*0.00206091519919798*VERI_TABANI!G24, 0)) + ((MIN(VERI_TABANI!D25, VERI_TABANI!D25*B693)*VERI_TABANI!$B$7 + MAX(0, VERI_TABANI!D25*B693-VERI_TABANI!D25)*VERI_TABANI!$B$8) + (MIN(MAX(0, VERI_TABANI!D25-VERI_TABANI!D25*B693), VERI_TABANI!D25*C693)*VERI_TABANI!$B$7 + MAX(0, VERI_TABANI!D25*C693-MAX(0, VERI_TABANI!D25-VERI_TABANI!D25*B693))*VERI_TABANI!$B$8) + IF(ABS(IF(ISNUMBER(SEARCH("Var", D693)), 1, IF(ISNUMBER(SEARCH("Gri", D693)), -1, 0)))=1, VERI_TABANI!E25*(1-0.928)*VERI_TABANI!$B$9, 0) + (VERI_TABANI!D25*B693*(VERI_TABANI!$B$13-VERI_TABANI!$B$14)*VERI_TABANI!G25) + (VERI_TABANI!D25*C693*(VERI_TABANI!$B$13-VERI_TABANI!$B$15)*VERI_TABANI!G25) + IF(ABS(IF(ISNUMBER(SEARCH("Var", D693)), 1, IF(ISNUMBER(SEARCH("Gri", D693)), -1, 0)))=1, VERI_TABANI!E25*(1-0.928)*0.00206091519919798*VERI_TABANI!G25, 0)) + ((MIN(VERI_TABANI!D26, VERI_TABANI!D26*B693)*VERI_TABANI!$B$7 + MAX(0, VERI_TABANI!D26*B693-VERI_TABANI!D26)*VERI_TABANI!$B$8) + (MIN(MAX(0, VERI_TABANI!D26-VERI_TABANI!D26*B693), VERI_TABANI!D26*C693)*VERI_TABANI!$B$7 + MAX(0, VERI_TABANI!D26*C693-MAX(0, VERI_TABANI!D26-VERI_TABANI!D26*B693))*VERI_TABANI!$B$8) + IF(ABS(IF(ISNUMBER(SEARCH("Var", D693)), 1, IF(ISNUMBER(SEARCH("Gri", D693)), -1, 0)))=1, VERI_TABANI!E26*(1-0.928)*VERI_TABANI!$B$9, 0) + (VERI_TABANI!D26*B693*(VERI_TABANI!$B$13-VERI_TABANI!$B$14)*VERI_TABANI!G26) + (VERI_TABANI!D26*C693*(VERI_TABANI!$B$13-VERI_TABANI!$B$15)*VERI_TABANI!G26) + IF(ABS(IF(ISNUMBER(SEARCH("Var", D693)), 1, IF(ISNUMBER(SEARCH("Gri", D693)), -1, 0)))=1, VERI_TABANI!E26*(1-0.928)*0.00206091519919798*VERI_TABANI!G26, 0)) + ((MIN(VERI_TABANI!D27, VERI_TABANI!D27*B693)*VERI_TABANI!$B$7 + MAX(0, VERI_TABANI!D27*B693-VERI_TABANI!D27)*VERI_TABANI!$B$8) + (MIN(MAX(0, VERI_TABANI!D27-VERI_TABANI!D27*B693), VERI_TABANI!D27*C693)*VERI_TABANI!$B$7 + MAX(0, VERI_TABANI!D27*C693-MAX(0, VERI_TABANI!D27-VERI_TABANI!D27*B693))*VERI_TABANI!$B$8) + IF(ABS(IF(ISNUMBER(SEARCH("Var", D693)), 1, IF(ISNUMBER(SEARCH("Gri", D693)), -1, 0)))=1, VERI_TABANI!E27*(1-0.928)*VERI_TABANI!$B$9, 0) + (VERI_TABANI!D27*B693*(VERI_TABANI!$B$13-VERI_TABANI!$B$14)*VERI_TABANI!G27) + (VERI_TABANI!D27*C693*(VERI_TABANI!$B$13-VERI_TABANI!$B$15)*VERI_TABANI!G27) + IF(ABS(IF(ISNUMBER(SEARCH("Var", D693)), 1, IF(ISNUMBER(SEARCH("Gri", D693)), -1, 0)))=1, VERI_TABANI!E27*(1-0.928)*0.00206091519919798*VERI_TABANI!G27, 0)) + ((MIN(VERI_TABANI!D28, VERI_TABANI!D28*B693)*VERI_TABANI!$B$7 + MAX(0, VERI_TABANI!D28*B693-VERI_TABANI!D28)*VERI_TABANI!$B$8) + (MIN(MAX(0, VERI_TABANI!D28-VERI_TABANI!D28*B693), VERI_TABANI!D28*C693)*VERI_TABANI!$B$7 + MAX(0, VERI_TABANI!D28*C693-MAX(0, VERI_TABANI!D28-VERI_TABANI!D28*B693))*VERI_TABANI!$B$8) + IF(ABS(IF(ISNUMBER(SEARCH("Var", D693)), 1, IF(ISNUMBER(SEARCH("Gri", D693)), -1, 0)))=1, VERI_TABANI!E28*(1-0.928)*VERI_TABANI!$B$9, 0) + (VERI_TABANI!D28*B693*(VERI_TABANI!$B$13-VERI_TABANI!$B$14)*VERI_TABANI!G28) + (VERI_TABANI!D28*C693*(VERI_TABANI!$B$13-VERI_TABANI!$B$15)*VERI_TABANI!G28) + IF(ABS(IF(ISNUMBER(SEARCH("Var", D693)), 1, IF(ISNUMBER(SEARCH("Gri", D693)), -1, 0)))=1, VERI_TABANI!E28*(1-0.928)*0.00206091519919798*VERI_TABANI!G28, 0)))</f>
        <v/>
      </c>
      <c r="H693" s="169">
        <f>(((VERI_TABANI!D23*B693*(VERI_TABANI!$B$13-VERI_TABANI!$B$14)) + (VERI_TABANI!D23*C693*(VERI_TABANI!$B$13-VERI_TABANI!$B$15)) + IF(ISNUMBER(SEARCH("Var", D693)), VERI_TABANI!F23*(0.00202-VERI_TABANI!$B$16), IF(ISNUMBER(SEARCH("Gri", D693)), VERI_TABANI!F23*(0.00202-VERI_TABANI!$B$17), 0))) + ((VERI_TABANI!D24*B693*(VERI_TABANI!$B$13-VERI_TABANI!$B$14)) + (VERI_TABANI!D24*C693*(VERI_TABANI!$B$13-VERI_TABANI!$B$15)) + IF(ISNUMBER(SEARCH("Var", D693)), VERI_TABANI!F24*(0.00202-VERI_TABANI!$B$16), IF(ISNUMBER(SEARCH("Gri", D693)), VERI_TABANI!F24*(0.00202-VERI_TABANI!$B$17), 0))) + ((VERI_TABANI!D25*B693*(VERI_TABANI!$B$13-VERI_TABANI!$B$14)) + (VERI_TABANI!D25*C693*(VERI_TABANI!$B$13-VERI_TABANI!$B$15)) + IF(ISNUMBER(SEARCH("Var", D693)), VERI_TABANI!F25*(0.00202-VERI_TABANI!$B$16), IF(ISNUMBER(SEARCH("Gri", D693)), VERI_TABANI!F25*(0.00202-VERI_TABANI!$B$17), 0))) + ((VERI_TABANI!D26*B693*(VERI_TABANI!$B$13-VERI_TABANI!$B$14)) + (VERI_TABANI!D26*C693*(VERI_TABANI!$B$13-VERI_TABANI!$B$15)) + IF(ISNUMBER(SEARCH("Var", D693)), VERI_TABANI!F26*(0.00202-VERI_TABANI!$B$16), IF(ISNUMBER(SEARCH("Gri", D693)), VERI_TABANI!F26*(0.00202-VERI_TABANI!$B$17), 0))) + ((VERI_TABANI!D27*B693*(VERI_TABANI!$B$13-VERI_TABANI!$B$14)) + (VERI_TABANI!D27*C693*(VERI_TABANI!$B$13-VERI_TABANI!$B$15)) + IF(ISNUMBER(SEARCH("Var", D693)), VERI_TABANI!F27*(0.00202-VERI_TABANI!$B$16), IF(ISNUMBER(SEARCH("Gri", D693)), VERI_TABANI!F27*(0.00202-VERI_TABANI!$B$17), 0))) + ((VERI_TABANI!D28*B693*(VERI_TABANI!$B$13-VERI_TABANI!$B$14)) + (VERI_TABANI!D28*C693*(VERI_TABANI!$B$13-VERI_TABANI!$B$15)) + IF(ISNUMBER(SEARCH("Var", D693)), VERI_TABANI!F28*(0.00202-VERI_TABANI!$B$16), IF(ISNUMBER(SEARCH("Gri", D693)), VERI_TABANI!F28*(0.00202-VERI_TABANI!$B$17), 0))))</f>
        <v/>
      </c>
      <c r="I693" s="170">
        <f>IFERROR(((VERI_TABANI!$D$29*B693*VERI_TABANI!$B$14 + VERI_TABANI!$D$29*C693*VERI_TABANI!$B$15 + IF(ISNUMBER(SEARCH("Var", D693)), VERI_TABANI!$F$29*VERI_TABANI!$B$16, 0))) / (((VERI_TABANI!$D$29*B693 + VERI_TABANI!$D$29*C693)*VERI_TABANI!$B$13 + IF(ISNUMBER(SEARCH("Var", D693)), VERI_TABANI!$E$29*(1-0.928)*VERI_TABANI!$B$18, 0))), 0)</f>
        <v/>
      </c>
      <c r="J693" s="171">
        <f>IFERROR(F693/(G693/29), 0)</f>
        <v/>
      </c>
      <c r="K693" s="172">
        <f>IF(F693&gt;0, H693/F693, 0)</f>
        <v/>
      </c>
      <c r="L693" s="170">
        <f>IF(F693&gt;0, I693, 1000000000)</f>
        <v/>
      </c>
      <c r="M693" s="171">
        <f>ABS((B693+C693)-1)</f>
        <v/>
      </c>
      <c r="N693" s="170">
        <f>IF(F693&gt;0, (G693/29)/F693, 0)</f>
        <v/>
      </c>
      <c r="O693" s="168">
        <f>IF(AND((B693+C693)&gt;=1, ISNUMBER(SEARCH("Var", D693))), F693, 1000000000)</f>
        <v/>
      </c>
      <c r="P693" s="172">
        <f>IF(F693&gt;0, SQRT((F693/MAX(F$5:F$886))^2 + (1 - H693/MAX(H$5:H$886))^2 + (J693/MAX(J$5:J$886))^2), 1000000000)</f>
        <v/>
      </c>
      <c r="Q693" s="166">
        <f>IF(AND(ABS(B693-0.5)&lt;0.01, ABS(C693-0.5)&lt;0.01, ISNUMBER(SEARCH("Var", D693))), 1, 0)</f>
        <v/>
      </c>
      <c r="R693" s="171">
        <f>IF(F693&gt;0, J693, 1000000000)</f>
        <v/>
      </c>
      <c r="S693" s="101">
        <f>IF(AND(F693&lt;=DASHBOARD!$B$11, H693&gt;=DASHBOARD!$B$13), G693, -1000000000000)</f>
        <v/>
      </c>
      <c r="T693" s="101">
        <f>IF(AND(F693&lt;=DASHBOARD!$B$11, H693&gt;=DASHBOARD!$B$13), R693, 1000000000000)</f>
        <v/>
      </c>
      <c r="U693" s="101">
        <f>IF(AND(F693&lt;=DASHBOARD!$B$11, H693&gt;=DASHBOARD!$B$13), N693, -1000000000000)</f>
        <v/>
      </c>
      <c r="V693" s="101">
        <f>IF(AND(F693&lt;=DASHBOARD!$B$11, H693&gt;=DASHBOARD!$B$13), H693, -1000000000000)</f>
        <v/>
      </c>
      <c r="W693" s="101">
        <f>IF(AND(F693&lt;=DASHBOARD!$B$11, H693&gt;=DASHBOARD!$B$13), K693, -1000000000000)</f>
        <v/>
      </c>
      <c r="X693" s="101">
        <f>IF(AND(F693&lt;=DASHBOARD!$B$11, H693&gt;=DASHBOARD!$B$13), M693, 1000000000000)</f>
        <v/>
      </c>
      <c r="Y693" s="101">
        <f>IF(AND(F693&lt;=DASHBOARD!$B$10, H693&gt;=DASHBOARD!$B$11), L693, 1000000000000)</f>
        <v/>
      </c>
      <c r="Z693" s="101">
        <f>IF(AND(F693&lt;=DASHBOARD!$B$10, H693&gt;=DASHBOARD!$B$11), O693, 1000000000000)</f>
        <v/>
      </c>
      <c r="AA693" s="101">
        <f>IF(AND(F693&lt;=DASHBOARD!$B$10, H693&gt;=DASHBOARD!$B$11), P693, 1000000000000)</f>
        <v/>
      </c>
      <c r="AB693" s="101">
        <f>IF(AND(F693&lt;=DASHBOARD!$B$10, H693&gt;=DASHBOARD!$B$11), Q693, -1000000000000)</f>
        <v/>
      </c>
    </row>
    <row r="694" ht="15" customHeight="1" s="102">
      <c r="A694" s="166" t="n">
        <v>690</v>
      </c>
      <c r="B694" s="167" t="n">
        <v>1.6</v>
      </c>
      <c r="C694" s="167" t="n">
        <v>0.8</v>
      </c>
      <c r="D694" s="110" t="inlineStr">
        <is>
          <t>Var (%20)</t>
        </is>
      </c>
      <c r="E694" s="110">
        <f>IF((B694+C694)&lt;=1, "Tam Mahsuplaşma (≤%100)", "Kısmi Satış (&gt;%100)")</f>
        <v/>
      </c>
      <c r="F694" s="168">
        <f>((VERI_TABANI!$D$29*B694/VERI_TABANI!$B$29)/VERI_TABANI!$B$3)*VERI_TABANI!$B$5 + ((VERI_TABANI!$D$29*C694/VERI_TABANI!$B$29)/VERI_TABANI!$B$4)*VERI_TABANI!$B$6 + IF(ISNUMBER(SEARCH("Var", D694)), (VERI_TABANI!$F$29/VERI_TABANI!$B$29)*(VERI_TABANI!$B$10+VERI_TABANI!$B$12), 0)</f>
        <v/>
      </c>
      <c r="G694" s="168">
        <f>(((MIN(VERI_TABANI!D23, VERI_TABANI!D23*B694)*VERI_TABANI!$B$7 + MAX(0, VERI_TABANI!D23*B694-VERI_TABANI!D23)*VERI_TABANI!$B$8) + (MIN(MAX(0, VERI_TABANI!D23-VERI_TABANI!D23*B694), VERI_TABANI!D23*C694)*VERI_TABANI!$B$7 + MAX(0, VERI_TABANI!D23*C694-MAX(0, VERI_TABANI!D23-VERI_TABANI!D23*B694))*VERI_TABANI!$B$8) + IF(ABS(IF(ISNUMBER(SEARCH("Var", D694)), 1, IF(ISNUMBER(SEARCH("Gri", D694)), -1, 0)))=1, VERI_TABANI!E23*(1-0.928)*VERI_TABANI!$B$9, 0) + (VERI_TABANI!D23*B694*(VERI_TABANI!$B$13-VERI_TABANI!$B$14)*VERI_TABANI!G23) + (VERI_TABANI!D23*C694*(VERI_TABANI!$B$13-VERI_TABANI!$B$15)*VERI_TABANI!G23) + IF(ABS(IF(ISNUMBER(SEARCH("Var", D694)), 1, IF(ISNUMBER(SEARCH("Gri", D694)), -1, 0)))=1, VERI_TABANI!E23*(1-0.928)*0.00206091519919798*VERI_TABANI!G23, 0)) + ((MIN(VERI_TABANI!D24, VERI_TABANI!D24*B694)*VERI_TABANI!$B$7 + MAX(0, VERI_TABANI!D24*B694-VERI_TABANI!D24)*VERI_TABANI!$B$8) + (MIN(MAX(0, VERI_TABANI!D24-VERI_TABANI!D24*B694), VERI_TABANI!D24*C694)*VERI_TABANI!$B$7 + MAX(0, VERI_TABANI!D24*C694-MAX(0, VERI_TABANI!D24-VERI_TABANI!D24*B694))*VERI_TABANI!$B$8) + IF(ABS(IF(ISNUMBER(SEARCH("Var", D694)), 1, IF(ISNUMBER(SEARCH("Gri", D694)), -1, 0)))=1, VERI_TABANI!E24*(1-0.928)*VERI_TABANI!$B$9, 0) + (VERI_TABANI!D24*B694*(VERI_TABANI!$B$13-VERI_TABANI!$B$14)*VERI_TABANI!G24) + (VERI_TABANI!D24*C694*(VERI_TABANI!$B$13-VERI_TABANI!$B$15)*VERI_TABANI!G24) + IF(ABS(IF(ISNUMBER(SEARCH("Var", D694)), 1, IF(ISNUMBER(SEARCH("Gri", D694)), -1, 0)))=1, VERI_TABANI!E24*(1-0.928)*0.00206091519919798*VERI_TABANI!G24, 0)) + ((MIN(VERI_TABANI!D25, VERI_TABANI!D25*B694)*VERI_TABANI!$B$7 + MAX(0, VERI_TABANI!D25*B694-VERI_TABANI!D25)*VERI_TABANI!$B$8) + (MIN(MAX(0, VERI_TABANI!D25-VERI_TABANI!D25*B694), VERI_TABANI!D25*C694)*VERI_TABANI!$B$7 + MAX(0, VERI_TABANI!D25*C694-MAX(0, VERI_TABANI!D25-VERI_TABANI!D25*B694))*VERI_TABANI!$B$8) + IF(ABS(IF(ISNUMBER(SEARCH("Var", D694)), 1, IF(ISNUMBER(SEARCH("Gri", D694)), -1, 0)))=1, VERI_TABANI!E25*(1-0.928)*VERI_TABANI!$B$9, 0) + (VERI_TABANI!D25*B694*(VERI_TABANI!$B$13-VERI_TABANI!$B$14)*VERI_TABANI!G25) + (VERI_TABANI!D25*C694*(VERI_TABANI!$B$13-VERI_TABANI!$B$15)*VERI_TABANI!G25) + IF(ABS(IF(ISNUMBER(SEARCH("Var", D694)), 1, IF(ISNUMBER(SEARCH("Gri", D694)), -1, 0)))=1, VERI_TABANI!E25*(1-0.928)*0.00206091519919798*VERI_TABANI!G25, 0)) + ((MIN(VERI_TABANI!D26, VERI_TABANI!D26*B694)*VERI_TABANI!$B$7 + MAX(0, VERI_TABANI!D26*B694-VERI_TABANI!D26)*VERI_TABANI!$B$8) + (MIN(MAX(0, VERI_TABANI!D26-VERI_TABANI!D26*B694), VERI_TABANI!D26*C694)*VERI_TABANI!$B$7 + MAX(0, VERI_TABANI!D26*C694-MAX(0, VERI_TABANI!D26-VERI_TABANI!D26*B694))*VERI_TABANI!$B$8) + IF(ABS(IF(ISNUMBER(SEARCH("Var", D694)), 1, IF(ISNUMBER(SEARCH("Gri", D694)), -1, 0)))=1, VERI_TABANI!E26*(1-0.928)*VERI_TABANI!$B$9, 0) + (VERI_TABANI!D26*B694*(VERI_TABANI!$B$13-VERI_TABANI!$B$14)*VERI_TABANI!G26) + (VERI_TABANI!D26*C694*(VERI_TABANI!$B$13-VERI_TABANI!$B$15)*VERI_TABANI!G26) + IF(ABS(IF(ISNUMBER(SEARCH("Var", D694)), 1, IF(ISNUMBER(SEARCH("Gri", D694)), -1, 0)))=1, VERI_TABANI!E26*(1-0.928)*0.00206091519919798*VERI_TABANI!G26, 0)) + ((MIN(VERI_TABANI!D27, VERI_TABANI!D27*B694)*VERI_TABANI!$B$7 + MAX(0, VERI_TABANI!D27*B694-VERI_TABANI!D27)*VERI_TABANI!$B$8) + (MIN(MAX(0, VERI_TABANI!D27-VERI_TABANI!D27*B694), VERI_TABANI!D27*C694)*VERI_TABANI!$B$7 + MAX(0, VERI_TABANI!D27*C694-MAX(0, VERI_TABANI!D27-VERI_TABANI!D27*B694))*VERI_TABANI!$B$8) + IF(ABS(IF(ISNUMBER(SEARCH("Var", D694)), 1, IF(ISNUMBER(SEARCH("Gri", D694)), -1, 0)))=1, VERI_TABANI!E27*(1-0.928)*VERI_TABANI!$B$9, 0) + (VERI_TABANI!D27*B694*(VERI_TABANI!$B$13-VERI_TABANI!$B$14)*VERI_TABANI!G27) + (VERI_TABANI!D27*C694*(VERI_TABANI!$B$13-VERI_TABANI!$B$15)*VERI_TABANI!G27) + IF(ABS(IF(ISNUMBER(SEARCH("Var", D694)), 1, IF(ISNUMBER(SEARCH("Gri", D694)), -1, 0)))=1, VERI_TABANI!E27*(1-0.928)*0.00206091519919798*VERI_TABANI!G27, 0)) + ((MIN(VERI_TABANI!D28, VERI_TABANI!D28*B694)*VERI_TABANI!$B$7 + MAX(0, VERI_TABANI!D28*B694-VERI_TABANI!D28)*VERI_TABANI!$B$8) + (MIN(MAX(0, VERI_TABANI!D28-VERI_TABANI!D28*B694), VERI_TABANI!D28*C694)*VERI_TABANI!$B$7 + MAX(0, VERI_TABANI!D28*C694-MAX(0, VERI_TABANI!D28-VERI_TABANI!D28*B694))*VERI_TABANI!$B$8) + IF(ABS(IF(ISNUMBER(SEARCH("Var", D694)), 1, IF(ISNUMBER(SEARCH("Gri", D694)), -1, 0)))=1, VERI_TABANI!E28*(1-0.928)*VERI_TABANI!$B$9, 0) + (VERI_TABANI!D28*B694*(VERI_TABANI!$B$13-VERI_TABANI!$B$14)*VERI_TABANI!G28) + (VERI_TABANI!D28*C694*(VERI_TABANI!$B$13-VERI_TABANI!$B$15)*VERI_TABANI!G28) + IF(ABS(IF(ISNUMBER(SEARCH("Var", D694)), 1, IF(ISNUMBER(SEARCH("Gri", D694)), -1, 0)))=1, VERI_TABANI!E28*(1-0.928)*0.00206091519919798*VERI_TABANI!G28, 0)))</f>
        <v/>
      </c>
      <c r="H694" s="169">
        <f>(((VERI_TABANI!D23*B694*(VERI_TABANI!$B$13-VERI_TABANI!$B$14)) + (VERI_TABANI!D23*C694*(VERI_TABANI!$B$13-VERI_TABANI!$B$15)) + IF(ISNUMBER(SEARCH("Var", D694)), VERI_TABANI!F23*(0.00202-VERI_TABANI!$B$16), IF(ISNUMBER(SEARCH("Gri", D694)), VERI_TABANI!F23*(0.00202-VERI_TABANI!$B$17), 0))) + ((VERI_TABANI!D24*B694*(VERI_TABANI!$B$13-VERI_TABANI!$B$14)) + (VERI_TABANI!D24*C694*(VERI_TABANI!$B$13-VERI_TABANI!$B$15)) + IF(ISNUMBER(SEARCH("Var", D694)), VERI_TABANI!F24*(0.00202-VERI_TABANI!$B$16), IF(ISNUMBER(SEARCH("Gri", D694)), VERI_TABANI!F24*(0.00202-VERI_TABANI!$B$17), 0))) + ((VERI_TABANI!D25*B694*(VERI_TABANI!$B$13-VERI_TABANI!$B$14)) + (VERI_TABANI!D25*C694*(VERI_TABANI!$B$13-VERI_TABANI!$B$15)) + IF(ISNUMBER(SEARCH("Var", D694)), VERI_TABANI!F25*(0.00202-VERI_TABANI!$B$16), IF(ISNUMBER(SEARCH("Gri", D694)), VERI_TABANI!F25*(0.00202-VERI_TABANI!$B$17), 0))) + ((VERI_TABANI!D26*B694*(VERI_TABANI!$B$13-VERI_TABANI!$B$14)) + (VERI_TABANI!D26*C694*(VERI_TABANI!$B$13-VERI_TABANI!$B$15)) + IF(ISNUMBER(SEARCH("Var", D694)), VERI_TABANI!F26*(0.00202-VERI_TABANI!$B$16), IF(ISNUMBER(SEARCH("Gri", D694)), VERI_TABANI!F26*(0.00202-VERI_TABANI!$B$17), 0))) + ((VERI_TABANI!D27*B694*(VERI_TABANI!$B$13-VERI_TABANI!$B$14)) + (VERI_TABANI!D27*C694*(VERI_TABANI!$B$13-VERI_TABANI!$B$15)) + IF(ISNUMBER(SEARCH("Var", D694)), VERI_TABANI!F27*(0.00202-VERI_TABANI!$B$16), IF(ISNUMBER(SEARCH("Gri", D694)), VERI_TABANI!F27*(0.00202-VERI_TABANI!$B$17), 0))) + ((VERI_TABANI!D28*B694*(VERI_TABANI!$B$13-VERI_TABANI!$B$14)) + (VERI_TABANI!D28*C694*(VERI_TABANI!$B$13-VERI_TABANI!$B$15)) + IF(ISNUMBER(SEARCH("Var", D694)), VERI_TABANI!F28*(0.00202-VERI_TABANI!$B$16), IF(ISNUMBER(SEARCH("Gri", D694)), VERI_TABANI!F28*(0.00202-VERI_TABANI!$B$17), 0))))</f>
        <v/>
      </c>
      <c r="I694" s="170">
        <f>IFERROR(((VERI_TABANI!$D$29*B694*VERI_TABANI!$B$14 + VERI_TABANI!$D$29*C694*VERI_TABANI!$B$15 + IF(ISNUMBER(SEARCH("Var", D694)), VERI_TABANI!$F$29*VERI_TABANI!$B$16, 0))) / (((VERI_TABANI!$D$29*B694 + VERI_TABANI!$D$29*C694)*VERI_TABANI!$B$13 + IF(ISNUMBER(SEARCH("Var", D694)), VERI_TABANI!$E$29*(1-0.928)*VERI_TABANI!$B$18, 0))), 0)</f>
        <v/>
      </c>
      <c r="J694" s="171">
        <f>IFERROR(F694/(G694/29), 0)</f>
        <v/>
      </c>
      <c r="K694" s="172">
        <f>IF(F694&gt;0, H694/F694, 0)</f>
        <v/>
      </c>
      <c r="L694" s="170">
        <f>IF(F694&gt;0, I694, 1000000000)</f>
        <v/>
      </c>
      <c r="M694" s="171">
        <f>ABS((B694+C694)-1)</f>
        <v/>
      </c>
      <c r="N694" s="170">
        <f>IF(F694&gt;0, (G694/29)/F694, 0)</f>
        <v/>
      </c>
      <c r="O694" s="168">
        <f>IF(AND((B694+C694)&gt;=1, ISNUMBER(SEARCH("Var", D694))), F694, 1000000000)</f>
        <v/>
      </c>
      <c r="P694" s="172">
        <f>IF(F694&gt;0, SQRT((F694/MAX(F$5:F$886))^2 + (1 - H694/MAX(H$5:H$886))^2 + (J694/MAX(J$5:J$886))^2), 1000000000)</f>
        <v/>
      </c>
      <c r="Q694" s="166">
        <f>IF(AND(ABS(B694-0.5)&lt;0.01, ABS(C694-0.5)&lt;0.01, ISNUMBER(SEARCH("Var", D694))), 1, 0)</f>
        <v/>
      </c>
      <c r="R694" s="171">
        <f>IF(F694&gt;0, J694, 1000000000)</f>
        <v/>
      </c>
      <c r="S694" s="101">
        <f>IF(AND(F694&lt;=DASHBOARD!$B$11, H694&gt;=DASHBOARD!$B$13), G694, -1000000000000)</f>
        <v/>
      </c>
      <c r="T694" s="101">
        <f>IF(AND(F694&lt;=DASHBOARD!$B$11, H694&gt;=DASHBOARD!$B$13), R694, 1000000000000)</f>
        <v/>
      </c>
      <c r="U694" s="101">
        <f>IF(AND(F694&lt;=DASHBOARD!$B$11, H694&gt;=DASHBOARD!$B$13), N694, -1000000000000)</f>
        <v/>
      </c>
      <c r="V694" s="101">
        <f>IF(AND(F694&lt;=DASHBOARD!$B$11, H694&gt;=DASHBOARD!$B$13), H694, -1000000000000)</f>
        <v/>
      </c>
      <c r="W694" s="101">
        <f>IF(AND(F694&lt;=DASHBOARD!$B$11, H694&gt;=DASHBOARD!$B$13), K694, -1000000000000)</f>
        <v/>
      </c>
      <c r="X694" s="101">
        <f>IF(AND(F694&lt;=DASHBOARD!$B$11, H694&gt;=DASHBOARD!$B$13), M694, 1000000000000)</f>
        <v/>
      </c>
      <c r="Y694" s="101">
        <f>IF(AND(F694&lt;=DASHBOARD!$B$10, H694&gt;=DASHBOARD!$B$11), L694, 1000000000000)</f>
        <v/>
      </c>
      <c r="Z694" s="101">
        <f>IF(AND(F694&lt;=DASHBOARD!$B$10, H694&gt;=DASHBOARD!$B$11), O694, 1000000000000)</f>
        <v/>
      </c>
      <c r="AA694" s="101">
        <f>IF(AND(F694&lt;=DASHBOARD!$B$10, H694&gt;=DASHBOARD!$B$11), P694, 1000000000000)</f>
        <v/>
      </c>
      <c r="AB694" s="101">
        <f>IF(AND(F694&lt;=DASHBOARD!$B$10, H694&gt;=DASHBOARD!$B$11), Q694, -1000000000000)</f>
        <v/>
      </c>
    </row>
    <row r="695" ht="15" customHeight="1" s="102">
      <c r="A695" s="166" t="n">
        <v>691</v>
      </c>
      <c r="B695" s="167" t="n">
        <v>1.6</v>
      </c>
      <c r="C695" s="167" t="n">
        <v>0.9</v>
      </c>
      <c r="D695" s="110" t="inlineStr">
        <is>
          <t>Yok (%0)</t>
        </is>
      </c>
      <c r="E695" s="110">
        <f>IF((B695+C695)&lt;=1, "Tam Mahsuplaşma (≤%100)", "Kısmi Satış (&gt;%100)")</f>
        <v/>
      </c>
      <c r="F695" s="168">
        <f>((VERI_TABANI!$D$29*B695/VERI_TABANI!$B$29)/VERI_TABANI!$B$3)*VERI_TABANI!$B$5 + ((VERI_TABANI!$D$29*C695/VERI_TABANI!$B$29)/VERI_TABANI!$B$4)*VERI_TABANI!$B$6 + IF(ISNUMBER(SEARCH("Var", D695)), (VERI_TABANI!$F$29/VERI_TABANI!$B$29)*(VERI_TABANI!$B$10+VERI_TABANI!$B$12), 0)</f>
        <v/>
      </c>
      <c r="G695" s="168">
        <f>(((MIN(VERI_TABANI!D23, VERI_TABANI!D23*B695)*VERI_TABANI!$B$7 + MAX(0, VERI_TABANI!D23*B695-VERI_TABANI!D23)*VERI_TABANI!$B$8) + (MIN(MAX(0, VERI_TABANI!D23-VERI_TABANI!D23*B695), VERI_TABANI!D23*C695)*VERI_TABANI!$B$7 + MAX(0, VERI_TABANI!D23*C695-MAX(0, VERI_TABANI!D23-VERI_TABANI!D23*B695))*VERI_TABANI!$B$8) + IF(ABS(IF(ISNUMBER(SEARCH("Var", D695)), 1, IF(ISNUMBER(SEARCH("Gri", D695)), -1, 0)))=1, VERI_TABANI!E23*(1-0.928)*VERI_TABANI!$B$9, 0) + (VERI_TABANI!D23*B695*(VERI_TABANI!$B$13-VERI_TABANI!$B$14)*VERI_TABANI!G23) + (VERI_TABANI!D23*C695*(VERI_TABANI!$B$13-VERI_TABANI!$B$15)*VERI_TABANI!G23) + IF(ABS(IF(ISNUMBER(SEARCH("Var", D695)), 1, IF(ISNUMBER(SEARCH("Gri", D695)), -1, 0)))=1, VERI_TABANI!E23*(1-0.928)*0.00206091519919798*VERI_TABANI!G23, 0)) + ((MIN(VERI_TABANI!D24, VERI_TABANI!D24*B695)*VERI_TABANI!$B$7 + MAX(0, VERI_TABANI!D24*B695-VERI_TABANI!D24)*VERI_TABANI!$B$8) + (MIN(MAX(0, VERI_TABANI!D24-VERI_TABANI!D24*B695), VERI_TABANI!D24*C695)*VERI_TABANI!$B$7 + MAX(0, VERI_TABANI!D24*C695-MAX(0, VERI_TABANI!D24-VERI_TABANI!D24*B695))*VERI_TABANI!$B$8) + IF(ABS(IF(ISNUMBER(SEARCH("Var", D695)), 1, IF(ISNUMBER(SEARCH("Gri", D695)), -1, 0)))=1, VERI_TABANI!E24*(1-0.928)*VERI_TABANI!$B$9, 0) + (VERI_TABANI!D24*B695*(VERI_TABANI!$B$13-VERI_TABANI!$B$14)*VERI_TABANI!G24) + (VERI_TABANI!D24*C695*(VERI_TABANI!$B$13-VERI_TABANI!$B$15)*VERI_TABANI!G24) + IF(ABS(IF(ISNUMBER(SEARCH("Var", D695)), 1, IF(ISNUMBER(SEARCH("Gri", D695)), -1, 0)))=1, VERI_TABANI!E24*(1-0.928)*0.00206091519919798*VERI_TABANI!G24, 0)) + ((MIN(VERI_TABANI!D25, VERI_TABANI!D25*B695)*VERI_TABANI!$B$7 + MAX(0, VERI_TABANI!D25*B695-VERI_TABANI!D25)*VERI_TABANI!$B$8) + (MIN(MAX(0, VERI_TABANI!D25-VERI_TABANI!D25*B695), VERI_TABANI!D25*C695)*VERI_TABANI!$B$7 + MAX(0, VERI_TABANI!D25*C695-MAX(0, VERI_TABANI!D25-VERI_TABANI!D25*B695))*VERI_TABANI!$B$8) + IF(ABS(IF(ISNUMBER(SEARCH("Var", D695)), 1, IF(ISNUMBER(SEARCH("Gri", D695)), -1, 0)))=1, VERI_TABANI!E25*(1-0.928)*VERI_TABANI!$B$9, 0) + (VERI_TABANI!D25*B695*(VERI_TABANI!$B$13-VERI_TABANI!$B$14)*VERI_TABANI!G25) + (VERI_TABANI!D25*C695*(VERI_TABANI!$B$13-VERI_TABANI!$B$15)*VERI_TABANI!G25) + IF(ABS(IF(ISNUMBER(SEARCH("Var", D695)), 1, IF(ISNUMBER(SEARCH("Gri", D695)), -1, 0)))=1, VERI_TABANI!E25*(1-0.928)*0.00206091519919798*VERI_TABANI!G25, 0)) + ((MIN(VERI_TABANI!D26, VERI_TABANI!D26*B695)*VERI_TABANI!$B$7 + MAX(0, VERI_TABANI!D26*B695-VERI_TABANI!D26)*VERI_TABANI!$B$8) + (MIN(MAX(0, VERI_TABANI!D26-VERI_TABANI!D26*B695), VERI_TABANI!D26*C695)*VERI_TABANI!$B$7 + MAX(0, VERI_TABANI!D26*C695-MAX(0, VERI_TABANI!D26-VERI_TABANI!D26*B695))*VERI_TABANI!$B$8) + IF(ABS(IF(ISNUMBER(SEARCH("Var", D695)), 1, IF(ISNUMBER(SEARCH("Gri", D695)), -1, 0)))=1, VERI_TABANI!E26*(1-0.928)*VERI_TABANI!$B$9, 0) + (VERI_TABANI!D26*B695*(VERI_TABANI!$B$13-VERI_TABANI!$B$14)*VERI_TABANI!G26) + (VERI_TABANI!D26*C695*(VERI_TABANI!$B$13-VERI_TABANI!$B$15)*VERI_TABANI!G26) + IF(ABS(IF(ISNUMBER(SEARCH("Var", D695)), 1, IF(ISNUMBER(SEARCH("Gri", D695)), -1, 0)))=1, VERI_TABANI!E26*(1-0.928)*0.00206091519919798*VERI_TABANI!G26, 0)) + ((MIN(VERI_TABANI!D27, VERI_TABANI!D27*B695)*VERI_TABANI!$B$7 + MAX(0, VERI_TABANI!D27*B695-VERI_TABANI!D27)*VERI_TABANI!$B$8) + (MIN(MAX(0, VERI_TABANI!D27-VERI_TABANI!D27*B695), VERI_TABANI!D27*C695)*VERI_TABANI!$B$7 + MAX(0, VERI_TABANI!D27*C695-MAX(0, VERI_TABANI!D27-VERI_TABANI!D27*B695))*VERI_TABANI!$B$8) + IF(ABS(IF(ISNUMBER(SEARCH("Var", D695)), 1, IF(ISNUMBER(SEARCH("Gri", D695)), -1, 0)))=1, VERI_TABANI!E27*(1-0.928)*VERI_TABANI!$B$9, 0) + (VERI_TABANI!D27*B695*(VERI_TABANI!$B$13-VERI_TABANI!$B$14)*VERI_TABANI!G27) + (VERI_TABANI!D27*C695*(VERI_TABANI!$B$13-VERI_TABANI!$B$15)*VERI_TABANI!G27) + IF(ABS(IF(ISNUMBER(SEARCH("Var", D695)), 1, IF(ISNUMBER(SEARCH("Gri", D695)), -1, 0)))=1, VERI_TABANI!E27*(1-0.928)*0.00206091519919798*VERI_TABANI!G27, 0)) + ((MIN(VERI_TABANI!D28, VERI_TABANI!D28*B695)*VERI_TABANI!$B$7 + MAX(0, VERI_TABANI!D28*B695-VERI_TABANI!D28)*VERI_TABANI!$B$8) + (MIN(MAX(0, VERI_TABANI!D28-VERI_TABANI!D28*B695), VERI_TABANI!D28*C695)*VERI_TABANI!$B$7 + MAX(0, VERI_TABANI!D28*C695-MAX(0, VERI_TABANI!D28-VERI_TABANI!D28*B695))*VERI_TABANI!$B$8) + IF(ABS(IF(ISNUMBER(SEARCH("Var", D695)), 1, IF(ISNUMBER(SEARCH("Gri", D695)), -1, 0)))=1, VERI_TABANI!E28*(1-0.928)*VERI_TABANI!$B$9, 0) + (VERI_TABANI!D28*B695*(VERI_TABANI!$B$13-VERI_TABANI!$B$14)*VERI_TABANI!G28) + (VERI_TABANI!D28*C695*(VERI_TABANI!$B$13-VERI_TABANI!$B$15)*VERI_TABANI!G28) + IF(ABS(IF(ISNUMBER(SEARCH("Var", D695)), 1, IF(ISNUMBER(SEARCH("Gri", D695)), -1, 0)))=1, VERI_TABANI!E28*(1-0.928)*0.00206091519919798*VERI_TABANI!G28, 0)))</f>
        <v/>
      </c>
      <c r="H695" s="169">
        <f>(((VERI_TABANI!D23*B695*(VERI_TABANI!$B$13-VERI_TABANI!$B$14)) + (VERI_TABANI!D23*C695*(VERI_TABANI!$B$13-VERI_TABANI!$B$15)) + IF(ISNUMBER(SEARCH("Var", D695)), VERI_TABANI!F23*(0.00202-VERI_TABANI!$B$16), IF(ISNUMBER(SEARCH("Gri", D695)), VERI_TABANI!F23*(0.00202-VERI_TABANI!$B$17), 0))) + ((VERI_TABANI!D24*B695*(VERI_TABANI!$B$13-VERI_TABANI!$B$14)) + (VERI_TABANI!D24*C695*(VERI_TABANI!$B$13-VERI_TABANI!$B$15)) + IF(ISNUMBER(SEARCH("Var", D695)), VERI_TABANI!F24*(0.00202-VERI_TABANI!$B$16), IF(ISNUMBER(SEARCH("Gri", D695)), VERI_TABANI!F24*(0.00202-VERI_TABANI!$B$17), 0))) + ((VERI_TABANI!D25*B695*(VERI_TABANI!$B$13-VERI_TABANI!$B$14)) + (VERI_TABANI!D25*C695*(VERI_TABANI!$B$13-VERI_TABANI!$B$15)) + IF(ISNUMBER(SEARCH("Var", D695)), VERI_TABANI!F25*(0.00202-VERI_TABANI!$B$16), IF(ISNUMBER(SEARCH("Gri", D695)), VERI_TABANI!F25*(0.00202-VERI_TABANI!$B$17), 0))) + ((VERI_TABANI!D26*B695*(VERI_TABANI!$B$13-VERI_TABANI!$B$14)) + (VERI_TABANI!D26*C695*(VERI_TABANI!$B$13-VERI_TABANI!$B$15)) + IF(ISNUMBER(SEARCH("Var", D695)), VERI_TABANI!F26*(0.00202-VERI_TABANI!$B$16), IF(ISNUMBER(SEARCH("Gri", D695)), VERI_TABANI!F26*(0.00202-VERI_TABANI!$B$17), 0))) + ((VERI_TABANI!D27*B695*(VERI_TABANI!$B$13-VERI_TABANI!$B$14)) + (VERI_TABANI!D27*C695*(VERI_TABANI!$B$13-VERI_TABANI!$B$15)) + IF(ISNUMBER(SEARCH("Var", D695)), VERI_TABANI!F27*(0.00202-VERI_TABANI!$B$16), IF(ISNUMBER(SEARCH("Gri", D695)), VERI_TABANI!F27*(0.00202-VERI_TABANI!$B$17), 0))) + ((VERI_TABANI!D28*B695*(VERI_TABANI!$B$13-VERI_TABANI!$B$14)) + (VERI_TABANI!D28*C695*(VERI_TABANI!$B$13-VERI_TABANI!$B$15)) + IF(ISNUMBER(SEARCH("Var", D695)), VERI_TABANI!F28*(0.00202-VERI_TABANI!$B$16), IF(ISNUMBER(SEARCH("Gri", D695)), VERI_TABANI!F28*(0.00202-VERI_TABANI!$B$17), 0))))</f>
        <v/>
      </c>
      <c r="I695" s="170">
        <f>IFERROR(((VERI_TABANI!$D$29*B695*VERI_TABANI!$B$14 + VERI_TABANI!$D$29*C695*VERI_TABANI!$B$15 + IF(ISNUMBER(SEARCH("Var", D695)), VERI_TABANI!$F$29*VERI_TABANI!$B$16, 0))) / (((VERI_TABANI!$D$29*B695 + VERI_TABANI!$D$29*C695)*VERI_TABANI!$B$13 + IF(ISNUMBER(SEARCH("Var", D695)), VERI_TABANI!$E$29*(1-0.928)*VERI_TABANI!$B$18, 0))), 0)</f>
        <v/>
      </c>
      <c r="J695" s="171">
        <f>IFERROR(F695/(G695/29), 0)</f>
        <v/>
      </c>
      <c r="K695" s="172">
        <f>IF(F695&gt;0, H695/F695, 0)</f>
        <v/>
      </c>
      <c r="L695" s="170">
        <f>IF(F695&gt;0, I695, 1000000000)</f>
        <v/>
      </c>
      <c r="M695" s="171">
        <f>ABS((B695+C695)-1)</f>
        <v/>
      </c>
      <c r="N695" s="170">
        <f>IF(F695&gt;0, (G695/29)/F695, 0)</f>
        <v/>
      </c>
      <c r="O695" s="168">
        <f>IF(AND((B695+C695)&gt;=1, ISNUMBER(SEARCH("Var", D695))), F695, 1000000000)</f>
        <v/>
      </c>
      <c r="P695" s="172">
        <f>IF(F695&gt;0, SQRT((F695/MAX(F$5:F$886))^2 + (1 - H695/MAX(H$5:H$886))^2 + (J695/MAX(J$5:J$886))^2), 1000000000)</f>
        <v/>
      </c>
      <c r="Q695" s="166">
        <f>IF(AND(ABS(B695-0.5)&lt;0.01, ABS(C695-0.5)&lt;0.01, ISNUMBER(SEARCH("Var", D695))), 1, 0)</f>
        <v/>
      </c>
      <c r="R695" s="171">
        <f>IF(F695&gt;0, J695, 1000000000)</f>
        <v/>
      </c>
      <c r="S695" s="101">
        <f>IF(AND(F695&lt;=DASHBOARD!$B$11, H695&gt;=DASHBOARD!$B$13), G695, -1000000000000)</f>
        <v/>
      </c>
      <c r="T695" s="101">
        <f>IF(AND(F695&lt;=DASHBOARD!$B$11, H695&gt;=DASHBOARD!$B$13), R695, 1000000000000)</f>
        <v/>
      </c>
      <c r="U695" s="101">
        <f>IF(AND(F695&lt;=DASHBOARD!$B$11, H695&gt;=DASHBOARD!$B$13), N695, -1000000000000)</f>
        <v/>
      </c>
      <c r="V695" s="101">
        <f>IF(AND(F695&lt;=DASHBOARD!$B$11, H695&gt;=DASHBOARD!$B$13), H695, -1000000000000)</f>
        <v/>
      </c>
      <c r="W695" s="101">
        <f>IF(AND(F695&lt;=DASHBOARD!$B$11, H695&gt;=DASHBOARD!$B$13), K695, -1000000000000)</f>
        <v/>
      </c>
      <c r="X695" s="101">
        <f>IF(AND(F695&lt;=DASHBOARD!$B$11, H695&gt;=DASHBOARD!$B$13), M695, 1000000000000)</f>
        <v/>
      </c>
      <c r="Y695" s="101">
        <f>IF(AND(F695&lt;=DASHBOARD!$B$10, H695&gt;=DASHBOARD!$B$11), L695, 1000000000000)</f>
        <v/>
      </c>
      <c r="Z695" s="101">
        <f>IF(AND(F695&lt;=DASHBOARD!$B$10, H695&gt;=DASHBOARD!$B$11), O695, 1000000000000)</f>
        <v/>
      </c>
      <c r="AA695" s="101">
        <f>IF(AND(F695&lt;=DASHBOARD!$B$10, H695&gt;=DASHBOARD!$B$11), P695, 1000000000000)</f>
        <v/>
      </c>
      <c r="AB695" s="101">
        <f>IF(AND(F695&lt;=DASHBOARD!$B$10, H695&gt;=DASHBOARD!$B$11), Q695, -1000000000000)</f>
        <v/>
      </c>
    </row>
    <row r="696" ht="15" customHeight="1" s="102">
      <c r="A696" s="166" t="n">
        <v>692</v>
      </c>
      <c r="B696" s="167" t="n">
        <v>1.6</v>
      </c>
      <c r="C696" s="167" t="n">
        <v>0.9</v>
      </c>
      <c r="D696" s="110" t="inlineStr">
        <is>
          <t>Var (%20)</t>
        </is>
      </c>
      <c r="E696" s="110">
        <f>IF((B696+C696)&lt;=1, "Tam Mahsuplaşma (≤%100)", "Kısmi Satış (&gt;%100)")</f>
        <v/>
      </c>
      <c r="F696" s="168">
        <f>((VERI_TABANI!$D$29*B696/VERI_TABANI!$B$29)/VERI_TABANI!$B$3)*VERI_TABANI!$B$5 + ((VERI_TABANI!$D$29*C696/VERI_TABANI!$B$29)/VERI_TABANI!$B$4)*VERI_TABANI!$B$6 + IF(ISNUMBER(SEARCH("Var", D696)), (VERI_TABANI!$F$29/VERI_TABANI!$B$29)*(VERI_TABANI!$B$10+VERI_TABANI!$B$12), 0)</f>
        <v/>
      </c>
      <c r="G696" s="168">
        <f>(((MIN(VERI_TABANI!D23, VERI_TABANI!D23*B696)*VERI_TABANI!$B$7 + MAX(0, VERI_TABANI!D23*B696-VERI_TABANI!D23)*VERI_TABANI!$B$8) + (MIN(MAX(0, VERI_TABANI!D23-VERI_TABANI!D23*B696), VERI_TABANI!D23*C696)*VERI_TABANI!$B$7 + MAX(0, VERI_TABANI!D23*C696-MAX(0, VERI_TABANI!D23-VERI_TABANI!D23*B696))*VERI_TABANI!$B$8) + IF(ABS(IF(ISNUMBER(SEARCH("Var", D696)), 1, IF(ISNUMBER(SEARCH("Gri", D696)), -1, 0)))=1, VERI_TABANI!E23*(1-0.928)*VERI_TABANI!$B$9, 0) + (VERI_TABANI!D23*B696*(VERI_TABANI!$B$13-VERI_TABANI!$B$14)*VERI_TABANI!G23) + (VERI_TABANI!D23*C696*(VERI_TABANI!$B$13-VERI_TABANI!$B$15)*VERI_TABANI!G23) + IF(ABS(IF(ISNUMBER(SEARCH("Var", D696)), 1, IF(ISNUMBER(SEARCH("Gri", D696)), -1, 0)))=1, VERI_TABANI!E23*(1-0.928)*0.00206091519919798*VERI_TABANI!G23, 0)) + ((MIN(VERI_TABANI!D24, VERI_TABANI!D24*B696)*VERI_TABANI!$B$7 + MAX(0, VERI_TABANI!D24*B696-VERI_TABANI!D24)*VERI_TABANI!$B$8) + (MIN(MAX(0, VERI_TABANI!D24-VERI_TABANI!D24*B696), VERI_TABANI!D24*C696)*VERI_TABANI!$B$7 + MAX(0, VERI_TABANI!D24*C696-MAX(0, VERI_TABANI!D24-VERI_TABANI!D24*B696))*VERI_TABANI!$B$8) + IF(ABS(IF(ISNUMBER(SEARCH("Var", D696)), 1, IF(ISNUMBER(SEARCH("Gri", D696)), -1, 0)))=1, VERI_TABANI!E24*(1-0.928)*VERI_TABANI!$B$9, 0) + (VERI_TABANI!D24*B696*(VERI_TABANI!$B$13-VERI_TABANI!$B$14)*VERI_TABANI!G24) + (VERI_TABANI!D24*C696*(VERI_TABANI!$B$13-VERI_TABANI!$B$15)*VERI_TABANI!G24) + IF(ABS(IF(ISNUMBER(SEARCH("Var", D696)), 1, IF(ISNUMBER(SEARCH("Gri", D696)), -1, 0)))=1, VERI_TABANI!E24*(1-0.928)*0.00206091519919798*VERI_TABANI!G24, 0)) + ((MIN(VERI_TABANI!D25, VERI_TABANI!D25*B696)*VERI_TABANI!$B$7 + MAX(0, VERI_TABANI!D25*B696-VERI_TABANI!D25)*VERI_TABANI!$B$8) + (MIN(MAX(0, VERI_TABANI!D25-VERI_TABANI!D25*B696), VERI_TABANI!D25*C696)*VERI_TABANI!$B$7 + MAX(0, VERI_TABANI!D25*C696-MAX(0, VERI_TABANI!D25-VERI_TABANI!D25*B696))*VERI_TABANI!$B$8) + IF(ABS(IF(ISNUMBER(SEARCH("Var", D696)), 1, IF(ISNUMBER(SEARCH("Gri", D696)), -1, 0)))=1, VERI_TABANI!E25*(1-0.928)*VERI_TABANI!$B$9, 0) + (VERI_TABANI!D25*B696*(VERI_TABANI!$B$13-VERI_TABANI!$B$14)*VERI_TABANI!G25) + (VERI_TABANI!D25*C696*(VERI_TABANI!$B$13-VERI_TABANI!$B$15)*VERI_TABANI!G25) + IF(ABS(IF(ISNUMBER(SEARCH("Var", D696)), 1, IF(ISNUMBER(SEARCH("Gri", D696)), -1, 0)))=1, VERI_TABANI!E25*(1-0.928)*0.00206091519919798*VERI_TABANI!G25, 0)) + ((MIN(VERI_TABANI!D26, VERI_TABANI!D26*B696)*VERI_TABANI!$B$7 + MAX(0, VERI_TABANI!D26*B696-VERI_TABANI!D26)*VERI_TABANI!$B$8) + (MIN(MAX(0, VERI_TABANI!D26-VERI_TABANI!D26*B696), VERI_TABANI!D26*C696)*VERI_TABANI!$B$7 + MAX(0, VERI_TABANI!D26*C696-MAX(0, VERI_TABANI!D26-VERI_TABANI!D26*B696))*VERI_TABANI!$B$8) + IF(ABS(IF(ISNUMBER(SEARCH("Var", D696)), 1, IF(ISNUMBER(SEARCH("Gri", D696)), -1, 0)))=1, VERI_TABANI!E26*(1-0.928)*VERI_TABANI!$B$9, 0) + (VERI_TABANI!D26*B696*(VERI_TABANI!$B$13-VERI_TABANI!$B$14)*VERI_TABANI!G26) + (VERI_TABANI!D26*C696*(VERI_TABANI!$B$13-VERI_TABANI!$B$15)*VERI_TABANI!G26) + IF(ABS(IF(ISNUMBER(SEARCH("Var", D696)), 1, IF(ISNUMBER(SEARCH("Gri", D696)), -1, 0)))=1, VERI_TABANI!E26*(1-0.928)*0.00206091519919798*VERI_TABANI!G26, 0)) + ((MIN(VERI_TABANI!D27, VERI_TABANI!D27*B696)*VERI_TABANI!$B$7 + MAX(0, VERI_TABANI!D27*B696-VERI_TABANI!D27)*VERI_TABANI!$B$8) + (MIN(MAX(0, VERI_TABANI!D27-VERI_TABANI!D27*B696), VERI_TABANI!D27*C696)*VERI_TABANI!$B$7 + MAX(0, VERI_TABANI!D27*C696-MAX(0, VERI_TABANI!D27-VERI_TABANI!D27*B696))*VERI_TABANI!$B$8) + IF(ABS(IF(ISNUMBER(SEARCH("Var", D696)), 1, IF(ISNUMBER(SEARCH("Gri", D696)), -1, 0)))=1, VERI_TABANI!E27*(1-0.928)*VERI_TABANI!$B$9, 0) + (VERI_TABANI!D27*B696*(VERI_TABANI!$B$13-VERI_TABANI!$B$14)*VERI_TABANI!G27) + (VERI_TABANI!D27*C696*(VERI_TABANI!$B$13-VERI_TABANI!$B$15)*VERI_TABANI!G27) + IF(ABS(IF(ISNUMBER(SEARCH("Var", D696)), 1, IF(ISNUMBER(SEARCH("Gri", D696)), -1, 0)))=1, VERI_TABANI!E27*(1-0.928)*0.00206091519919798*VERI_TABANI!G27, 0)) + ((MIN(VERI_TABANI!D28, VERI_TABANI!D28*B696)*VERI_TABANI!$B$7 + MAX(0, VERI_TABANI!D28*B696-VERI_TABANI!D28)*VERI_TABANI!$B$8) + (MIN(MAX(0, VERI_TABANI!D28-VERI_TABANI!D28*B696), VERI_TABANI!D28*C696)*VERI_TABANI!$B$7 + MAX(0, VERI_TABANI!D28*C696-MAX(0, VERI_TABANI!D28-VERI_TABANI!D28*B696))*VERI_TABANI!$B$8) + IF(ABS(IF(ISNUMBER(SEARCH("Var", D696)), 1, IF(ISNUMBER(SEARCH("Gri", D696)), -1, 0)))=1, VERI_TABANI!E28*(1-0.928)*VERI_TABANI!$B$9, 0) + (VERI_TABANI!D28*B696*(VERI_TABANI!$B$13-VERI_TABANI!$B$14)*VERI_TABANI!G28) + (VERI_TABANI!D28*C696*(VERI_TABANI!$B$13-VERI_TABANI!$B$15)*VERI_TABANI!G28) + IF(ABS(IF(ISNUMBER(SEARCH("Var", D696)), 1, IF(ISNUMBER(SEARCH("Gri", D696)), -1, 0)))=1, VERI_TABANI!E28*(1-0.928)*0.00206091519919798*VERI_TABANI!G28, 0)))</f>
        <v/>
      </c>
      <c r="H696" s="169">
        <f>(((VERI_TABANI!D23*B696*(VERI_TABANI!$B$13-VERI_TABANI!$B$14)) + (VERI_TABANI!D23*C696*(VERI_TABANI!$B$13-VERI_TABANI!$B$15)) + IF(ISNUMBER(SEARCH("Var", D696)), VERI_TABANI!F23*(0.00202-VERI_TABANI!$B$16), IF(ISNUMBER(SEARCH("Gri", D696)), VERI_TABANI!F23*(0.00202-VERI_TABANI!$B$17), 0))) + ((VERI_TABANI!D24*B696*(VERI_TABANI!$B$13-VERI_TABANI!$B$14)) + (VERI_TABANI!D24*C696*(VERI_TABANI!$B$13-VERI_TABANI!$B$15)) + IF(ISNUMBER(SEARCH("Var", D696)), VERI_TABANI!F24*(0.00202-VERI_TABANI!$B$16), IF(ISNUMBER(SEARCH("Gri", D696)), VERI_TABANI!F24*(0.00202-VERI_TABANI!$B$17), 0))) + ((VERI_TABANI!D25*B696*(VERI_TABANI!$B$13-VERI_TABANI!$B$14)) + (VERI_TABANI!D25*C696*(VERI_TABANI!$B$13-VERI_TABANI!$B$15)) + IF(ISNUMBER(SEARCH("Var", D696)), VERI_TABANI!F25*(0.00202-VERI_TABANI!$B$16), IF(ISNUMBER(SEARCH("Gri", D696)), VERI_TABANI!F25*(0.00202-VERI_TABANI!$B$17), 0))) + ((VERI_TABANI!D26*B696*(VERI_TABANI!$B$13-VERI_TABANI!$B$14)) + (VERI_TABANI!D26*C696*(VERI_TABANI!$B$13-VERI_TABANI!$B$15)) + IF(ISNUMBER(SEARCH("Var", D696)), VERI_TABANI!F26*(0.00202-VERI_TABANI!$B$16), IF(ISNUMBER(SEARCH("Gri", D696)), VERI_TABANI!F26*(0.00202-VERI_TABANI!$B$17), 0))) + ((VERI_TABANI!D27*B696*(VERI_TABANI!$B$13-VERI_TABANI!$B$14)) + (VERI_TABANI!D27*C696*(VERI_TABANI!$B$13-VERI_TABANI!$B$15)) + IF(ISNUMBER(SEARCH("Var", D696)), VERI_TABANI!F27*(0.00202-VERI_TABANI!$B$16), IF(ISNUMBER(SEARCH("Gri", D696)), VERI_TABANI!F27*(0.00202-VERI_TABANI!$B$17), 0))) + ((VERI_TABANI!D28*B696*(VERI_TABANI!$B$13-VERI_TABANI!$B$14)) + (VERI_TABANI!D28*C696*(VERI_TABANI!$B$13-VERI_TABANI!$B$15)) + IF(ISNUMBER(SEARCH("Var", D696)), VERI_TABANI!F28*(0.00202-VERI_TABANI!$B$16), IF(ISNUMBER(SEARCH("Gri", D696)), VERI_TABANI!F28*(0.00202-VERI_TABANI!$B$17), 0))))</f>
        <v/>
      </c>
      <c r="I696" s="170">
        <f>IFERROR(((VERI_TABANI!$D$29*B696*VERI_TABANI!$B$14 + VERI_TABANI!$D$29*C696*VERI_TABANI!$B$15 + IF(ISNUMBER(SEARCH("Var", D696)), VERI_TABANI!$F$29*VERI_TABANI!$B$16, 0))) / (((VERI_TABANI!$D$29*B696 + VERI_TABANI!$D$29*C696)*VERI_TABANI!$B$13 + IF(ISNUMBER(SEARCH("Var", D696)), VERI_TABANI!$E$29*(1-0.928)*VERI_TABANI!$B$18, 0))), 0)</f>
        <v/>
      </c>
      <c r="J696" s="171">
        <f>IFERROR(F696/(G696/29), 0)</f>
        <v/>
      </c>
      <c r="K696" s="172">
        <f>IF(F696&gt;0, H696/F696, 0)</f>
        <v/>
      </c>
      <c r="L696" s="170">
        <f>IF(F696&gt;0, I696, 1000000000)</f>
        <v/>
      </c>
      <c r="M696" s="171">
        <f>ABS((B696+C696)-1)</f>
        <v/>
      </c>
      <c r="N696" s="170">
        <f>IF(F696&gt;0, (G696/29)/F696, 0)</f>
        <v/>
      </c>
      <c r="O696" s="168">
        <f>IF(AND((B696+C696)&gt;=1, ISNUMBER(SEARCH("Var", D696))), F696, 1000000000)</f>
        <v/>
      </c>
      <c r="P696" s="172">
        <f>IF(F696&gt;0, SQRT((F696/MAX(F$5:F$886))^2 + (1 - H696/MAX(H$5:H$886))^2 + (J696/MAX(J$5:J$886))^2), 1000000000)</f>
        <v/>
      </c>
      <c r="Q696" s="166">
        <f>IF(AND(ABS(B696-0.5)&lt;0.01, ABS(C696-0.5)&lt;0.01, ISNUMBER(SEARCH("Var", D696))), 1, 0)</f>
        <v/>
      </c>
      <c r="R696" s="171">
        <f>IF(F696&gt;0, J696, 1000000000)</f>
        <v/>
      </c>
      <c r="S696" s="101">
        <f>IF(AND(F696&lt;=DASHBOARD!$B$11, H696&gt;=DASHBOARD!$B$13), G696, -1000000000000)</f>
        <v/>
      </c>
      <c r="T696" s="101">
        <f>IF(AND(F696&lt;=DASHBOARD!$B$11, H696&gt;=DASHBOARD!$B$13), R696, 1000000000000)</f>
        <v/>
      </c>
      <c r="U696" s="101">
        <f>IF(AND(F696&lt;=DASHBOARD!$B$11, H696&gt;=DASHBOARD!$B$13), N696, -1000000000000)</f>
        <v/>
      </c>
      <c r="V696" s="101">
        <f>IF(AND(F696&lt;=DASHBOARD!$B$11, H696&gt;=DASHBOARD!$B$13), H696, -1000000000000)</f>
        <v/>
      </c>
      <c r="W696" s="101">
        <f>IF(AND(F696&lt;=DASHBOARD!$B$11, H696&gt;=DASHBOARD!$B$13), K696, -1000000000000)</f>
        <v/>
      </c>
      <c r="X696" s="101">
        <f>IF(AND(F696&lt;=DASHBOARD!$B$11, H696&gt;=DASHBOARD!$B$13), M696, 1000000000000)</f>
        <v/>
      </c>
      <c r="Y696" s="101">
        <f>IF(AND(F696&lt;=DASHBOARD!$B$10, H696&gt;=DASHBOARD!$B$11), L696, 1000000000000)</f>
        <v/>
      </c>
      <c r="Z696" s="101">
        <f>IF(AND(F696&lt;=DASHBOARD!$B$10, H696&gt;=DASHBOARD!$B$11), O696, 1000000000000)</f>
        <v/>
      </c>
      <c r="AA696" s="101">
        <f>IF(AND(F696&lt;=DASHBOARD!$B$10, H696&gt;=DASHBOARD!$B$11), P696, 1000000000000)</f>
        <v/>
      </c>
      <c r="AB696" s="101">
        <f>IF(AND(F696&lt;=DASHBOARD!$B$10, H696&gt;=DASHBOARD!$B$11), Q696, -1000000000000)</f>
        <v/>
      </c>
    </row>
    <row r="697" ht="15" customHeight="1" s="102">
      <c r="A697" s="166" t="n">
        <v>693</v>
      </c>
      <c r="B697" s="167" t="n">
        <v>1.6</v>
      </c>
      <c r="C697" s="167" t="n">
        <v>1</v>
      </c>
      <c r="D697" s="110" t="inlineStr">
        <is>
          <t>Yok (%0)</t>
        </is>
      </c>
      <c r="E697" s="110">
        <f>IF((B697+C697)&lt;=1, "Tam Mahsuplaşma (≤%100)", "Kısmi Satış (&gt;%100)")</f>
        <v/>
      </c>
      <c r="F697" s="168">
        <f>((VERI_TABANI!$D$29*B697/VERI_TABANI!$B$29)/VERI_TABANI!$B$3)*VERI_TABANI!$B$5 + ((VERI_TABANI!$D$29*C697/VERI_TABANI!$B$29)/VERI_TABANI!$B$4)*VERI_TABANI!$B$6 + IF(ISNUMBER(SEARCH("Var", D697)), (VERI_TABANI!$F$29/VERI_TABANI!$B$29)*(VERI_TABANI!$B$10+VERI_TABANI!$B$12), 0)</f>
        <v/>
      </c>
      <c r="G697" s="168">
        <f>(((MIN(VERI_TABANI!D23, VERI_TABANI!D23*B697)*VERI_TABANI!$B$7 + MAX(0, VERI_TABANI!D23*B697-VERI_TABANI!D23)*VERI_TABANI!$B$8) + (MIN(MAX(0, VERI_TABANI!D23-VERI_TABANI!D23*B697), VERI_TABANI!D23*C697)*VERI_TABANI!$B$7 + MAX(0, VERI_TABANI!D23*C697-MAX(0, VERI_TABANI!D23-VERI_TABANI!D23*B697))*VERI_TABANI!$B$8) + IF(ABS(IF(ISNUMBER(SEARCH("Var", D697)), 1, IF(ISNUMBER(SEARCH("Gri", D697)), -1, 0)))=1, VERI_TABANI!E23*(1-0.928)*VERI_TABANI!$B$9, 0) + (VERI_TABANI!D23*B697*(VERI_TABANI!$B$13-VERI_TABANI!$B$14)*VERI_TABANI!G23) + (VERI_TABANI!D23*C697*(VERI_TABANI!$B$13-VERI_TABANI!$B$15)*VERI_TABANI!G23) + IF(ABS(IF(ISNUMBER(SEARCH("Var", D697)), 1, IF(ISNUMBER(SEARCH("Gri", D697)), -1, 0)))=1, VERI_TABANI!E23*(1-0.928)*0.00206091519919798*VERI_TABANI!G23, 0)) + ((MIN(VERI_TABANI!D24, VERI_TABANI!D24*B697)*VERI_TABANI!$B$7 + MAX(0, VERI_TABANI!D24*B697-VERI_TABANI!D24)*VERI_TABANI!$B$8) + (MIN(MAX(0, VERI_TABANI!D24-VERI_TABANI!D24*B697), VERI_TABANI!D24*C697)*VERI_TABANI!$B$7 + MAX(0, VERI_TABANI!D24*C697-MAX(0, VERI_TABANI!D24-VERI_TABANI!D24*B697))*VERI_TABANI!$B$8) + IF(ABS(IF(ISNUMBER(SEARCH("Var", D697)), 1, IF(ISNUMBER(SEARCH("Gri", D697)), -1, 0)))=1, VERI_TABANI!E24*(1-0.928)*VERI_TABANI!$B$9, 0) + (VERI_TABANI!D24*B697*(VERI_TABANI!$B$13-VERI_TABANI!$B$14)*VERI_TABANI!G24) + (VERI_TABANI!D24*C697*(VERI_TABANI!$B$13-VERI_TABANI!$B$15)*VERI_TABANI!G24) + IF(ABS(IF(ISNUMBER(SEARCH("Var", D697)), 1, IF(ISNUMBER(SEARCH("Gri", D697)), -1, 0)))=1, VERI_TABANI!E24*(1-0.928)*0.00206091519919798*VERI_TABANI!G24, 0)) + ((MIN(VERI_TABANI!D25, VERI_TABANI!D25*B697)*VERI_TABANI!$B$7 + MAX(0, VERI_TABANI!D25*B697-VERI_TABANI!D25)*VERI_TABANI!$B$8) + (MIN(MAX(0, VERI_TABANI!D25-VERI_TABANI!D25*B697), VERI_TABANI!D25*C697)*VERI_TABANI!$B$7 + MAX(0, VERI_TABANI!D25*C697-MAX(0, VERI_TABANI!D25-VERI_TABANI!D25*B697))*VERI_TABANI!$B$8) + IF(ABS(IF(ISNUMBER(SEARCH("Var", D697)), 1, IF(ISNUMBER(SEARCH("Gri", D697)), -1, 0)))=1, VERI_TABANI!E25*(1-0.928)*VERI_TABANI!$B$9, 0) + (VERI_TABANI!D25*B697*(VERI_TABANI!$B$13-VERI_TABANI!$B$14)*VERI_TABANI!G25) + (VERI_TABANI!D25*C697*(VERI_TABANI!$B$13-VERI_TABANI!$B$15)*VERI_TABANI!G25) + IF(ABS(IF(ISNUMBER(SEARCH("Var", D697)), 1, IF(ISNUMBER(SEARCH("Gri", D697)), -1, 0)))=1, VERI_TABANI!E25*(1-0.928)*0.00206091519919798*VERI_TABANI!G25, 0)) + ((MIN(VERI_TABANI!D26, VERI_TABANI!D26*B697)*VERI_TABANI!$B$7 + MAX(0, VERI_TABANI!D26*B697-VERI_TABANI!D26)*VERI_TABANI!$B$8) + (MIN(MAX(0, VERI_TABANI!D26-VERI_TABANI!D26*B697), VERI_TABANI!D26*C697)*VERI_TABANI!$B$7 + MAX(0, VERI_TABANI!D26*C697-MAX(0, VERI_TABANI!D26-VERI_TABANI!D26*B697))*VERI_TABANI!$B$8) + IF(ABS(IF(ISNUMBER(SEARCH("Var", D697)), 1, IF(ISNUMBER(SEARCH("Gri", D697)), -1, 0)))=1, VERI_TABANI!E26*(1-0.928)*VERI_TABANI!$B$9, 0) + (VERI_TABANI!D26*B697*(VERI_TABANI!$B$13-VERI_TABANI!$B$14)*VERI_TABANI!G26) + (VERI_TABANI!D26*C697*(VERI_TABANI!$B$13-VERI_TABANI!$B$15)*VERI_TABANI!G26) + IF(ABS(IF(ISNUMBER(SEARCH("Var", D697)), 1, IF(ISNUMBER(SEARCH("Gri", D697)), -1, 0)))=1, VERI_TABANI!E26*(1-0.928)*0.00206091519919798*VERI_TABANI!G26, 0)) + ((MIN(VERI_TABANI!D27, VERI_TABANI!D27*B697)*VERI_TABANI!$B$7 + MAX(0, VERI_TABANI!D27*B697-VERI_TABANI!D27)*VERI_TABANI!$B$8) + (MIN(MAX(0, VERI_TABANI!D27-VERI_TABANI!D27*B697), VERI_TABANI!D27*C697)*VERI_TABANI!$B$7 + MAX(0, VERI_TABANI!D27*C697-MAX(0, VERI_TABANI!D27-VERI_TABANI!D27*B697))*VERI_TABANI!$B$8) + IF(ABS(IF(ISNUMBER(SEARCH("Var", D697)), 1, IF(ISNUMBER(SEARCH("Gri", D697)), -1, 0)))=1, VERI_TABANI!E27*(1-0.928)*VERI_TABANI!$B$9, 0) + (VERI_TABANI!D27*B697*(VERI_TABANI!$B$13-VERI_TABANI!$B$14)*VERI_TABANI!G27) + (VERI_TABANI!D27*C697*(VERI_TABANI!$B$13-VERI_TABANI!$B$15)*VERI_TABANI!G27) + IF(ABS(IF(ISNUMBER(SEARCH("Var", D697)), 1, IF(ISNUMBER(SEARCH("Gri", D697)), -1, 0)))=1, VERI_TABANI!E27*(1-0.928)*0.00206091519919798*VERI_TABANI!G27, 0)) + ((MIN(VERI_TABANI!D28, VERI_TABANI!D28*B697)*VERI_TABANI!$B$7 + MAX(0, VERI_TABANI!D28*B697-VERI_TABANI!D28)*VERI_TABANI!$B$8) + (MIN(MAX(0, VERI_TABANI!D28-VERI_TABANI!D28*B697), VERI_TABANI!D28*C697)*VERI_TABANI!$B$7 + MAX(0, VERI_TABANI!D28*C697-MAX(0, VERI_TABANI!D28-VERI_TABANI!D28*B697))*VERI_TABANI!$B$8) + IF(ABS(IF(ISNUMBER(SEARCH("Var", D697)), 1, IF(ISNUMBER(SEARCH("Gri", D697)), -1, 0)))=1, VERI_TABANI!E28*(1-0.928)*VERI_TABANI!$B$9, 0) + (VERI_TABANI!D28*B697*(VERI_TABANI!$B$13-VERI_TABANI!$B$14)*VERI_TABANI!G28) + (VERI_TABANI!D28*C697*(VERI_TABANI!$B$13-VERI_TABANI!$B$15)*VERI_TABANI!G28) + IF(ABS(IF(ISNUMBER(SEARCH("Var", D697)), 1, IF(ISNUMBER(SEARCH("Gri", D697)), -1, 0)))=1, VERI_TABANI!E28*(1-0.928)*0.00206091519919798*VERI_TABANI!G28, 0)))</f>
        <v/>
      </c>
      <c r="H697" s="169">
        <f>(((VERI_TABANI!D23*B697*(VERI_TABANI!$B$13-VERI_TABANI!$B$14)) + (VERI_TABANI!D23*C697*(VERI_TABANI!$B$13-VERI_TABANI!$B$15)) + IF(ISNUMBER(SEARCH("Var", D697)), VERI_TABANI!F23*(0.00202-VERI_TABANI!$B$16), IF(ISNUMBER(SEARCH("Gri", D697)), VERI_TABANI!F23*(0.00202-VERI_TABANI!$B$17), 0))) + ((VERI_TABANI!D24*B697*(VERI_TABANI!$B$13-VERI_TABANI!$B$14)) + (VERI_TABANI!D24*C697*(VERI_TABANI!$B$13-VERI_TABANI!$B$15)) + IF(ISNUMBER(SEARCH("Var", D697)), VERI_TABANI!F24*(0.00202-VERI_TABANI!$B$16), IF(ISNUMBER(SEARCH("Gri", D697)), VERI_TABANI!F24*(0.00202-VERI_TABANI!$B$17), 0))) + ((VERI_TABANI!D25*B697*(VERI_TABANI!$B$13-VERI_TABANI!$B$14)) + (VERI_TABANI!D25*C697*(VERI_TABANI!$B$13-VERI_TABANI!$B$15)) + IF(ISNUMBER(SEARCH("Var", D697)), VERI_TABANI!F25*(0.00202-VERI_TABANI!$B$16), IF(ISNUMBER(SEARCH("Gri", D697)), VERI_TABANI!F25*(0.00202-VERI_TABANI!$B$17), 0))) + ((VERI_TABANI!D26*B697*(VERI_TABANI!$B$13-VERI_TABANI!$B$14)) + (VERI_TABANI!D26*C697*(VERI_TABANI!$B$13-VERI_TABANI!$B$15)) + IF(ISNUMBER(SEARCH("Var", D697)), VERI_TABANI!F26*(0.00202-VERI_TABANI!$B$16), IF(ISNUMBER(SEARCH("Gri", D697)), VERI_TABANI!F26*(0.00202-VERI_TABANI!$B$17), 0))) + ((VERI_TABANI!D27*B697*(VERI_TABANI!$B$13-VERI_TABANI!$B$14)) + (VERI_TABANI!D27*C697*(VERI_TABANI!$B$13-VERI_TABANI!$B$15)) + IF(ISNUMBER(SEARCH("Var", D697)), VERI_TABANI!F27*(0.00202-VERI_TABANI!$B$16), IF(ISNUMBER(SEARCH("Gri", D697)), VERI_TABANI!F27*(0.00202-VERI_TABANI!$B$17), 0))) + ((VERI_TABANI!D28*B697*(VERI_TABANI!$B$13-VERI_TABANI!$B$14)) + (VERI_TABANI!D28*C697*(VERI_TABANI!$B$13-VERI_TABANI!$B$15)) + IF(ISNUMBER(SEARCH("Var", D697)), VERI_TABANI!F28*(0.00202-VERI_TABANI!$B$16), IF(ISNUMBER(SEARCH("Gri", D697)), VERI_TABANI!F28*(0.00202-VERI_TABANI!$B$17), 0))))</f>
        <v/>
      </c>
      <c r="I697" s="170">
        <f>IFERROR(((VERI_TABANI!$D$29*B697*VERI_TABANI!$B$14 + VERI_TABANI!$D$29*C697*VERI_TABANI!$B$15 + IF(ISNUMBER(SEARCH("Var", D697)), VERI_TABANI!$F$29*VERI_TABANI!$B$16, 0))) / (((VERI_TABANI!$D$29*B697 + VERI_TABANI!$D$29*C697)*VERI_TABANI!$B$13 + IF(ISNUMBER(SEARCH("Var", D697)), VERI_TABANI!$E$29*(1-0.928)*VERI_TABANI!$B$18, 0))), 0)</f>
        <v/>
      </c>
      <c r="J697" s="171">
        <f>IFERROR(F697/(G697/29), 0)</f>
        <v/>
      </c>
      <c r="K697" s="172">
        <f>IF(F697&gt;0, H697/F697, 0)</f>
        <v/>
      </c>
      <c r="L697" s="170">
        <f>IF(F697&gt;0, I697, 1000000000)</f>
        <v/>
      </c>
      <c r="M697" s="171">
        <f>ABS((B697+C697)-1)</f>
        <v/>
      </c>
      <c r="N697" s="170">
        <f>IF(F697&gt;0, (G697/29)/F697, 0)</f>
        <v/>
      </c>
      <c r="O697" s="168">
        <f>IF(AND((B697+C697)&gt;=1, ISNUMBER(SEARCH("Var", D697))), F697, 1000000000)</f>
        <v/>
      </c>
      <c r="P697" s="172">
        <f>IF(F697&gt;0, SQRT((F697/MAX(F$5:F$886))^2 + (1 - H697/MAX(H$5:H$886))^2 + (J697/MAX(J$5:J$886))^2), 1000000000)</f>
        <v/>
      </c>
      <c r="Q697" s="166">
        <f>IF(AND(ABS(B697-0.5)&lt;0.01, ABS(C697-0.5)&lt;0.01, ISNUMBER(SEARCH("Var", D697))), 1, 0)</f>
        <v/>
      </c>
      <c r="R697" s="171">
        <f>IF(F697&gt;0, J697, 1000000000)</f>
        <v/>
      </c>
      <c r="S697" s="101">
        <f>IF(AND(F697&lt;=DASHBOARD!$B$11, H697&gt;=DASHBOARD!$B$13), G697, -1000000000000)</f>
        <v/>
      </c>
      <c r="T697" s="101">
        <f>IF(AND(F697&lt;=DASHBOARD!$B$11, H697&gt;=DASHBOARD!$B$13), R697, 1000000000000)</f>
        <v/>
      </c>
      <c r="U697" s="101">
        <f>IF(AND(F697&lt;=DASHBOARD!$B$11, H697&gt;=DASHBOARD!$B$13), N697, -1000000000000)</f>
        <v/>
      </c>
      <c r="V697" s="101">
        <f>IF(AND(F697&lt;=DASHBOARD!$B$11, H697&gt;=DASHBOARD!$B$13), H697, -1000000000000)</f>
        <v/>
      </c>
      <c r="W697" s="101">
        <f>IF(AND(F697&lt;=DASHBOARD!$B$11, H697&gt;=DASHBOARD!$B$13), K697, -1000000000000)</f>
        <v/>
      </c>
      <c r="X697" s="101">
        <f>IF(AND(F697&lt;=DASHBOARD!$B$11, H697&gt;=DASHBOARD!$B$13), M697, 1000000000000)</f>
        <v/>
      </c>
      <c r="Y697" s="101">
        <f>IF(AND(F697&lt;=DASHBOARD!$B$10, H697&gt;=DASHBOARD!$B$11), L697, 1000000000000)</f>
        <v/>
      </c>
      <c r="Z697" s="101">
        <f>IF(AND(F697&lt;=DASHBOARD!$B$10, H697&gt;=DASHBOARD!$B$11), O697, 1000000000000)</f>
        <v/>
      </c>
      <c r="AA697" s="101">
        <f>IF(AND(F697&lt;=DASHBOARD!$B$10, H697&gt;=DASHBOARD!$B$11), P697, 1000000000000)</f>
        <v/>
      </c>
      <c r="AB697" s="101">
        <f>IF(AND(F697&lt;=DASHBOARD!$B$10, H697&gt;=DASHBOARD!$B$11), Q697, -1000000000000)</f>
        <v/>
      </c>
    </row>
    <row r="698" ht="15" customHeight="1" s="102">
      <c r="A698" s="166" t="n">
        <v>694</v>
      </c>
      <c r="B698" s="167" t="n">
        <v>1.6</v>
      </c>
      <c r="C698" s="167" t="n">
        <v>1</v>
      </c>
      <c r="D698" s="110" t="inlineStr">
        <is>
          <t>Var (%20)</t>
        </is>
      </c>
      <c r="E698" s="110">
        <f>IF((B698+C698)&lt;=1, "Tam Mahsuplaşma (≤%100)", "Kısmi Satış (&gt;%100)")</f>
        <v/>
      </c>
      <c r="F698" s="168">
        <f>((VERI_TABANI!$D$29*B698/VERI_TABANI!$B$29)/VERI_TABANI!$B$3)*VERI_TABANI!$B$5 + ((VERI_TABANI!$D$29*C698/VERI_TABANI!$B$29)/VERI_TABANI!$B$4)*VERI_TABANI!$B$6 + IF(ISNUMBER(SEARCH("Var", D698)), (VERI_TABANI!$F$29/VERI_TABANI!$B$29)*(VERI_TABANI!$B$10+VERI_TABANI!$B$12), 0)</f>
        <v/>
      </c>
      <c r="G698" s="168">
        <f>(((MIN(VERI_TABANI!D23, VERI_TABANI!D23*B698)*VERI_TABANI!$B$7 + MAX(0, VERI_TABANI!D23*B698-VERI_TABANI!D23)*VERI_TABANI!$B$8) + (MIN(MAX(0, VERI_TABANI!D23-VERI_TABANI!D23*B698), VERI_TABANI!D23*C698)*VERI_TABANI!$B$7 + MAX(0, VERI_TABANI!D23*C698-MAX(0, VERI_TABANI!D23-VERI_TABANI!D23*B698))*VERI_TABANI!$B$8) + IF(ABS(IF(ISNUMBER(SEARCH("Var", D698)), 1, IF(ISNUMBER(SEARCH("Gri", D698)), -1, 0)))=1, VERI_TABANI!E23*(1-0.928)*VERI_TABANI!$B$9, 0) + (VERI_TABANI!D23*B698*(VERI_TABANI!$B$13-VERI_TABANI!$B$14)*VERI_TABANI!G23) + (VERI_TABANI!D23*C698*(VERI_TABANI!$B$13-VERI_TABANI!$B$15)*VERI_TABANI!G23) + IF(ABS(IF(ISNUMBER(SEARCH("Var", D698)), 1, IF(ISNUMBER(SEARCH("Gri", D698)), -1, 0)))=1, VERI_TABANI!E23*(1-0.928)*0.00206091519919798*VERI_TABANI!G23, 0)) + ((MIN(VERI_TABANI!D24, VERI_TABANI!D24*B698)*VERI_TABANI!$B$7 + MAX(0, VERI_TABANI!D24*B698-VERI_TABANI!D24)*VERI_TABANI!$B$8) + (MIN(MAX(0, VERI_TABANI!D24-VERI_TABANI!D24*B698), VERI_TABANI!D24*C698)*VERI_TABANI!$B$7 + MAX(0, VERI_TABANI!D24*C698-MAX(0, VERI_TABANI!D24-VERI_TABANI!D24*B698))*VERI_TABANI!$B$8) + IF(ABS(IF(ISNUMBER(SEARCH("Var", D698)), 1, IF(ISNUMBER(SEARCH("Gri", D698)), -1, 0)))=1, VERI_TABANI!E24*(1-0.928)*VERI_TABANI!$B$9, 0) + (VERI_TABANI!D24*B698*(VERI_TABANI!$B$13-VERI_TABANI!$B$14)*VERI_TABANI!G24) + (VERI_TABANI!D24*C698*(VERI_TABANI!$B$13-VERI_TABANI!$B$15)*VERI_TABANI!G24) + IF(ABS(IF(ISNUMBER(SEARCH("Var", D698)), 1, IF(ISNUMBER(SEARCH("Gri", D698)), -1, 0)))=1, VERI_TABANI!E24*(1-0.928)*0.00206091519919798*VERI_TABANI!G24, 0)) + ((MIN(VERI_TABANI!D25, VERI_TABANI!D25*B698)*VERI_TABANI!$B$7 + MAX(0, VERI_TABANI!D25*B698-VERI_TABANI!D25)*VERI_TABANI!$B$8) + (MIN(MAX(0, VERI_TABANI!D25-VERI_TABANI!D25*B698), VERI_TABANI!D25*C698)*VERI_TABANI!$B$7 + MAX(0, VERI_TABANI!D25*C698-MAX(0, VERI_TABANI!D25-VERI_TABANI!D25*B698))*VERI_TABANI!$B$8) + IF(ABS(IF(ISNUMBER(SEARCH("Var", D698)), 1, IF(ISNUMBER(SEARCH("Gri", D698)), -1, 0)))=1, VERI_TABANI!E25*(1-0.928)*VERI_TABANI!$B$9, 0) + (VERI_TABANI!D25*B698*(VERI_TABANI!$B$13-VERI_TABANI!$B$14)*VERI_TABANI!G25) + (VERI_TABANI!D25*C698*(VERI_TABANI!$B$13-VERI_TABANI!$B$15)*VERI_TABANI!G25) + IF(ABS(IF(ISNUMBER(SEARCH("Var", D698)), 1, IF(ISNUMBER(SEARCH("Gri", D698)), -1, 0)))=1, VERI_TABANI!E25*(1-0.928)*0.00206091519919798*VERI_TABANI!G25, 0)) + ((MIN(VERI_TABANI!D26, VERI_TABANI!D26*B698)*VERI_TABANI!$B$7 + MAX(0, VERI_TABANI!D26*B698-VERI_TABANI!D26)*VERI_TABANI!$B$8) + (MIN(MAX(0, VERI_TABANI!D26-VERI_TABANI!D26*B698), VERI_TABANI!D26*C698)*VERI_TABANI!$B$7 + MAX(0, VERI_TABANI!D26*C698-MAX(0, VERI_TABANI!D26-VERI_TABANI!D26*B698))*VERI_TABANI!$B$8) + IF(ABS(IF(ISNUMBER(SEARCH("Var", D698)), 1, IF(ISNUMBER(SEARCH("Gri", D698)), -1, 0)))=1, VERI_TABANI!E26*(1-0.928)*VERI_TABANI!$B$9, 0) + (VERI_TABANI!D26*B698*(VERI_TABANI!$B$13-VERI_TABANI!$B$14)*VERI_TABANI!G26) + (VERI_TABANI!D26*C698*(VERI_TABANI!$B$13-VERI_TABANI!$B$15)*VERI_TABANI!G26) + IF(ABS(IF(ISNUMBER(SEARCH("Var", D698)), 1, IF(ISNUMBER(SEARCH("Gri", D698)), -1, 0)))=1, VERI_TABANI!E26*(1-0.928)*0.00206091519919798*VERI_TABANI!G26, 0)) + ((MIN(VERI_TABANI!D27, VERI_TABANI!D27*B698)*VERI_TABANI!$B$7 + MAX(0, VERI_TABANI!D27*B698-VERI_TABANI!D27)*VERI_TABANI!$B$8) + (MIN(MAX(0, VERI_TABANI!D27-VERI_TABANI!D27*B698), VERI_TABANI!D27*C698)*VERI_TABANI!$B$7 + MAX(0, VERI_TABANI!D27*C698-MAX(0, VERI_TABANI!D27-VERI_TABANI!D27*B698))*VERI_TABANI!$B$8) + IF(ABS(IF(ISNUMBER(SEARCH("Var", D698)), 1, IF(ISNUMBER(SEARCH("Gri", D698)), -1, 0)))=1, VERI_TABANI!E27*(1-0.928)*VERI_TABANI!$B$9, 0) + (VERI_TABANI!D27*B698*(VERI_TABANI!$B$13-VERI_TABANI!$B$14)*VERI_TABANI!G27) + (VERI_TABANI!D27*C698*(VERI_TABANI!$B$13-VERI_TABANI!$B$15)*VERI_TABANI!G27) + IF(ABS(IF(ISNUMBER(SEARCH("Var", D698)), 1, IF(ISNUMBER(SEARCH("Gri", D698)), -1, 0)))=1, VERI_TABANI!E27*(1-0.928)*0.00206091519919798*VERI_TABANI!G27, 0)) + ((MIN(VERI_TABANI!D28, VERI_TABANI!D28*B698)*VERI_TABANI!$B$7 + MAX(0, VERI_TABANI!D28*B698-VERI_TABANI!D28)*VERI_TABANI!$B$8) + (MIN(MAX(0, VERI_TABANI!D28-VERI_TABANI!D28*B698), VERI_TABANI!D28*C698)*VERI_TABANI!$B$7 + MAX(0, VERI_TABANI!D28*C698-MAX(0, VERI_TABANI!D28-VERI_TABANI!D28*B698))*VERI_TABANI!$B$8) + IF(ABS(IF(ISNUMBER(SEARCH("Var", D698)), 1, IF(ISNUMBER(SEARCH("Gri", D698)), -1, 0)))=1, VERI_TABANI!E28*(1-0.928)*VERI_TABANI!$B$9, 0) + (VERI_TABANI!D28*B698*(VERI_TABANI!$B$13-VERI_TABANI!$B$14)*VERI_TABANI!G28) + (VERI_TABANI!D28*C698*(VERI_TABANI!$B$13-VERI_TABANI!$B$15)*VERI_TABANI!G28) + IF(ABS(IF(ISNUMBER(SEARCH("Var", D698)), 1, IF(ISNUMBER(SEARCH("Gri", D698)), -1, 0)))=1, VERI_TABANI!E28*(1-0.928)*0.00206091519919798*VERI_TABANI!G28, 0)))</f>
        <v/>
      </c>
      <c r="H698" s="169">
        <f>(((VERI_TABANI!D23*B698*(VERI_TABANI!$B$13-VERI_TABANI!$B$14)) + (VERI_TABANI!D23*C698*(VERI_TABANI!$B$13-VERI_TABANI!$B$15)) + IF(ISNUMBER(SEARCH("Var", D698)), VERI_TABANI!F23*(0.00202-VERI_TABANI!$B$16), IF(ISNUMBER(SEARCH("Gri", D698)), VERI_TABANI!F23*(0.00202-VERI_TABANI!$B$17), 0))) + ((VERI_TABANI!D24*B698*(VERI_TABANI!$B$13-VERI_TABANI!$B$14)) + (VERI_TABANI!D24*C698*(VERI_TABANI!$B$13-VERI_TABANI!$B$15)) + IF(ISNUMBER(SEARCH("Var", D698)), VERI_TABANI!F24*(0.00202-VERI_TABANI!$B$16), IF(ISNUMBER(SEARCH("Gri", D698)), VERI_TABANI!F24*(0.00202-VERI_TABANI!$B$17), 0))) + ((VERI_TABANI!D25*B698*(VERI_TABANI!$B$13-VERI_TABANI!$B$14)) + (VERI_TABANI!D25*C698*(VERI_TABANI!$B$13-VERI_TABANI!$B$15)) + IF(ISNUMBER(SEARCH("Var", D698)), VERI_TABANI!F25*(0.00202-VERI_TABANI!$B$16), IF(ISNUMBER(SEARCH("Gri", D698)), VERI_TABANI!F25*(0.00202-VERI_TABANI!$B$17), 0))) + ((VERI_TABANI!D26*B698*(VERI_TABANI!$B$13-VERI_TABANI!$B$14)) + (VERI_TABANI!D26*C698*(VERI_TABANI!$B$13-VERI_TABANI!$B$15)) + IF(ISNUMBER(SEARCH("Var", D698)), VERI_TABANI!F26*(0.00202-VERI_TABANI!$B$16), IF(ISNUMBER(SEARCH("Gri", D698)), VERI_TABANI!F26*(0.00202-VERI_TABANI!$B$17), 0))) + ((VERI_TABANI!D27*B698*(VERI_TABANI!$B$13-VERI_TABANI!$B$14)) + (VERI_TABANI!D27*C698*(VERI_TABANI!$B$13-VERI_TABANI!$B$15)) + IF(ISNUMBER(SEARCH("Var", D698)), VERI_TABANI!F27*(0.00202-VERI_TABANI!$B$16), IF(ISNUMBER(SEARCH("Gri", D698)), VERI_TABANI!F27*(0.00202-VERI_TABANI!$B$17), 0))) + ((VERI_TABANI!D28*B698*(VERI_TABANI!$B$13-VERI_TABANI!$B$14)) + (VERI_TABANI!D28*C698*(VERI_TABANI!$B$13-VERI_TABANI!$B$15)) + IF(ISNUMBER(SEARCH("Var", D698)), VERI_TABANI!F28*(0.00202-VERI_TABANI!$B$16), IF(ISNUMBER(SEARCH("Gri", D698)), VERI_TABANI!F28*(0.00202-VERI_TABANI!$B$17), 0))))</f>
        <v/>
      </c>
      <c r="I698" s="170">
        <f>IFERROR(((VERI_TABANI!$D$29*B698*VERI_TABANI!$B$14 + VERI_TABANI!$D$29*C698*VERI_TABANI!$B$15 + IF(ISNUMBER(SEARCH("Var", D698)), VERI_TABANI!$F$29*VERI_TABANI!$B$16, 0))) / (((VERI_TABANI!$D$29*B698 + VERI_TABANI!$D$29*C698)*VERI_TABANI!$B$13 + IF(ISNUMBER(SEARCH("Var", D698)), VERI_TABANI!$E$29*(1-0.928)*VERI_TABANI!$B$18, 0))), 0)</f>
        <v/>
      </c>
      <c r="J698" s="171">
        <f>IFERROR(F698/(G698/29), 0)</f>
        <v/>
      </c>
      <c r="K698" s="172">
        <f>IF(F698&gt;0, H698/F698, 0)</f>
        <v/>
      </c>
      <c r="L698" s="170">
        <f>IF(F698&gt;0, I698, 1000000000)</f>
        <v/>
      </c>
      <c r="M698" s="171">
        <f>ABS((B698+C698)-1)</f>
        <v/>
      </c>
      <c r="N698" s="170">
        <f>IF(F698&gt;0, (G698/29)/F698, 0)</f>
        <v/>
      </c>
      <c r="O698" s="168">
        <f>IF(AND((B698+C698)&gt;=1, ISNUMBER(SEARCH("Var", D698))), F698, 1000000000)</f>
        <v/>
      </c>
      <c r="P698" s="172">
        <f>IF(F698&gt;0, SQRT((F698/MAX(F$5:F$886))^2 + (1 - H698/MAX(H$5:H$886))^2 + (J698/MAX(J$5:J$886))^2), 1000000000)</f>
        <v/>
      </c>
      <c r="Q698" s="166">
        <f>IF(AND(ABS(B698-0.5)&lt;0.01, ABS(C698-0.5)&lt;0.01, ISNUMBER(SEARCH("Var", D698))), 1, 0)</f>
        <v/>
      </c>
      <c r="R698" s="171">
        <f>IF(F698&gt;0, J698, 1000000000)</f>
        <v/>
      </c>
      <c r="S698" s="101">
        <f>IF(AND(F698&lt;=DASHBOARD!$B$11, H698&gt;=DASHBOARD!$B$13), G698, -1000000000000)</f>
        <v/>
      </c>
      <c r="T698" s="101">
        <f>IF(AND(F698&lt;=DASHBOARD!$B$11, H698&gt;=DASHBOARD!$B$13), R698, 1000000000000)</f>
        <v/>
      </c>
      <c r="U698" s="101">
        <f>IF(AND(F698&lt;=DASHBOARD!$B$11, H698&gt;=DASHBOARD!$B$13), N698, -1000000000000)</f>
        <v/>
      </c>
      <c r="V698" s="101">
        <f>IF(AND(F698&lt;=DASHBOARD!$B$11, H698&gt;=DASHBOARD!$B$13), H698, -1000000000000)</f>
        <v/>
      </c>
      <c r="W698" s="101">
        <f>IF(AND(F698&lt;=DASHBOARD!$B$11, H698&gt;=DASHBOARD!$B$13), K698, -1000000000000)</f>
        <v/>
      </c>
      <c r="X698" s="101">
        <f>IF(AND(F698&lt;=DASHBOARD!$B$11, H698&gt;=DASHBOARD!$B$13), M698, 1000000000000)</f>
        <v/>
      </c>
      <c r="Y698" s="101">
        <f>IF(AND(F698&lt;=DASHBOARD!$B$10, H698&gt;=DASHBOARD!$B$11), L698, 1000000000000)</f>
        <v/>
      </c>
      <c r="Z698" s="101">
        <f>IF(AND(F698&lt;=DASHBOARD!$B$10, H698&gt;=DASHBOARD!$B$11), O698, 1000000000000)</f>
        <v/>
      </c>
      <c r="AA698" s="101">
        <f>IF(AND(F698&lt;=DASHBOARD!$B$10, H698&gt;=DASHBOARD!$B$11), P698, 1000000000000)</f>
        <v/>
      </c>
      <c r="AB698" s="101">
        <f>IF(AND(F698&lt;=DASHBOARD!$B$10, H698&gt;=DASHBOARD!$B$11), Q698, -1000000000000)</f>
        <v/>
      </c>
    </row>
    <row r="699" ht="15" customHeight="1" s="102">
      <c r="A699" s="166" t="n">
        <v>695</v>
      </c>
      <c r="B699" s="167" t="n">
        <v>1.6</v>
      </c>
      <c r="C699" s="167" t="n">
        <v>1.1</v>
      </c>
      <c r="D699" s="110" t="inlineStr">
        <is>
          <t>Yok (%0)</t>
        </is>
      </c>
      <c r="E699" s="110">
        <f>IF((B699+C699)&lt;=1, "Tam Mahsuplaşma (≤%100)", "Kısmi Satış (&gt;%100)")</f>
        <v/>
      </c>
      <c r="F699" s="168">
        <f>((VERI_TABANI!$D$29*B699/VERI_TABANI!$B$29)/VERI_TABANI!$B$3)*VERI_TABANI!$B$5 + ((VERI_TABANI!$D$29*C699/VERI_TABANI!$B$29)/VERI_TABANI!$B$4)*VERI_TABANI!$B$6 + IF(ISNUMBER(SEARCH("Var", D699)), (VERI_TABANI!$F$29/VERI_TABANI!$B$29)*(VERI_TABANI!$B$10+VERI_TABANI!$B$12), 0)</f>
        <v/>
      </c>
      <c r="G699" s="168">
        <f>(((MIN(VERI_TABANI!D23, VERI_TABANI!D23*B699)*VERI_TABANI!$B$7 + MAX(0, VERI_TABANI!D23*B699-VERI_TABANI!D23)*VERI_TABANI!$B$8) + (MIN(MAX(0, VERI_TABANI!D23-VERI_TABANI!D23*B699), VERI_TABANI!D23*C699)*VERI_TABANI!$B$7 + MAX(0, VERI_TABANI!D23*C699-MAX(0, VERI_TABANI!D23-VERI_TABANI!D23*B699))*VERI_TABANI!$B$8) + IF(ABS(IF(ISNUMBER(SEARCH("Var", D699)), 1, IF(ISNUMBER(SEARCH("Gri", D699)), -1, 0)))=1, VERI_TABANI!E23*(1-0.928)*VERI_TABANI!$B$9, 0) + (VERI_TABANI!D23*B699*(VERI_TABANI!$B$13-VERI_TABANI!$B$14)*VERI_TABANI!G23) + (VERI_TABANI!D23*C699*(VERI_TABANI!$B$13-VERI_TABANI!$B$15)*VERI_TABANI!G23) + IF(ABS(IF(ISNUMBER(SEARCH("Var", D699)), 1, IF(ISNUMBER(SEARCH("Gri", D699)), -1, 0)))=1, VERI_TABANI!E23*(1-0.928)*0.00206091519919798*VERI_TABANI!G23, 0)) + ((MIN(VERI_TABANI!D24, VERI_TABANI!D24*B699)*VERI_TABANI!$B$7 + MAX(0, VERI_TABANI!D24*B699-VERI_TABANI!D24)*VERI_TABANI!$B$8) + (MIN(MAX(0, VERI_TABANI!D24-VERI_TABANI!D24*B699), VERI_TABANI!D24*C699)*VERI_TABANI!$B$7 + MAX(0, VERI_TABANI!D24*C699-MAX(0, VERI_TABANI!D24-VERI_TABANI!D24*B699))*VERI_TABANI!$B$8) + IF(ABS(IF(ISNUMBER(SEARCH("Var", D699)), 1, IF(ISNUMBER(SEARCH("Gri", D699)), -1, 0)))=1, VERI_TABANI!E24*(1-0.928)*VERI_TABANI!$B$9, 0) + (VERI_TABANI!D24*B699*(VERI_TABANI!$B$13-VERI_TABANI!$B$14)*VERI_TABANI!G24) + (VERI_TABANI!D24*C699*(VERI_TABANI!$B$13-VERI_TABANI!$B$15)*VERI_TABANI!G24) + IF(ABS(IF(ISNUMBER(SEARCH("Var", D699)), 1, IF(ISNUMBER(SEARCH("Gri", D699)), -1, 0)))=1, VERI_TABANI!E24*(1-0.928)*0.00206091519919798*VERI_TABANI!G24, 0)) + ((MIN(VERI_TABANI!D25, VERI_TABANI!D25*B699)*VERI_TABANI!$B$7 + MAX(0, VERI_TABANI!D25*B699-VERI_TABANI!D25)*VERI_TABANI!$B$8) + (MIN(MAX(0, VERI_TABANI!D25-VERI_TABANI!D25*B699), VERI_TABANI!D25*C699)*VERI_TABANI!$B$7 + MAX(0, VERI_TABANI!D25*C699-MAX(0, VERI_TABANI!D25-VERI_TABANI!D25*B699))*VERI_TABANI!$B$8) + IF(ABS(IF(ISNUMBER(SEARCH("Var", D699)), 1, IF(ISNUMBER(SEARCH("Gri", D699)), -1, 0)))=1, VERI_TABANI!E25*(1-0.928)*VERI_TABANI!$B$9, 0) + (VERI_TABANI!D25*B699*(VERI_TABANI!$B$13-VERI_TABANI!$B$14)*VERI_TABANI!G25) + (VERI_TABANI!D25*C699*(VERI_TABANI!$B$13-VERI_TABANI!$B$15)*VERI_TABANI!G25) + IF(ABS(IF(ISNUMBER(SEARCH("Var", D699)), 1, IF(ISNUMBER(SEARCH("Gri", D699)), -1, 0)))=1, VERI_TABANI!E25*(1-0.928)*0.00206091519919798*VERI_TABANI!G25, 0)) + ((MIN(VERI_TABANI!D26, VERI_TABANI!D26*B699)*VERI_TABANI!$B$7 + MAX(0, VERI_TABANI!D26*B699-VERI_TABANI!D26)*VERI_TABANI!$B$8) + (MIN(MAX(0, VERI_TABANI!D26-VERI_TABANI!D26*B699), VERI_TABANI!D26*C699)*VERI_TABANI!$B$7 + MAX(0, VERI_TABANI!D26*C699-MAX(0, VERI_TABANI!D26-VERI_TABANI!D26*B699))*VERI_TABANI!$B$8) + IF(ABS(IF(ISNUMBER(SEARCH("Var", D699)), 1, IF(ISNUMBER(SEARCH("Gri", D699)), -1, 0)))=1, VERI_TABANI!E26*(1-0.928)*VERI_TABANI!$B$9, 0) + (VERI_TABANI!D26*B699*(VERI_TABANI!$B$13-VERI_TABANI!$B$14)*VERI_TABANI!G26) + (VERI_TABANI!D26*C699*(VERI_TABANI!$B$13-VERI_TABANI!$B$15)*VERI_TABANI!G26) + IF(ABS(IF(ISNUMBER(SEARCH("Var", D699)), 1, IF(ISNUMBER(SEARCH("Gri", D699)), -1, 0)))=1, VERI_TABANI!E26*(1-0.928)*0.00206091519919798*VERI_TABANI!G26, 0)) + ((MIN(VERI_TABANI!D27, VERI_TABANI!D27*B699)*VERI_TABANI!$B$7 + MAX(0, VERI_TABANI!D27*B699-VERI_TABANI!D27)*VERI_TABANI!$B$8) + (MIN(MAX(0, VERI_TABANI!D27-VERI_TABANI!D27*B699), VERI_TABANI!D27*C699)*VERI_TABANI!$B$7 + MAX(0, VERI_TABANI!D27*C699-MAX(0, VERI_TABANI!D27-VERI_TABANI!D27*B699))*VERI_TABANI!$B$8) + IF(ABS(IF(ISNUMBER(SEARCH("Var", D699)), 1, IF(ISNUMBER(SEARCH("Gri", D699)), -1, 0)))=1, VERI_TABANI!E27*(1-0.928)*VERI_TABANI!$B$9, 0) + (VERI_TABANI!D27*B699*(VERI_TABANI!$B$13-VERI_TABANI!$B$14)*VERI_TABANI!G27) + (VERI_TABANI!D27*C699*(VERI_TABANI!$B$13-VERI_TABANI!$B$15)*VERI_TABANI!G27) + IF(ABS(IF(ISNUMBER(SEARCH("Var", D699)), 1, IF(ISNUMBER(SEARCH("Gri", D699)), -1, 0)))=1, VERI_TABANI!E27*(1-0.928)*0.00206091519919798*VERI_TABANI!G27, 0)) + ((MIN(VERI_TABANI!D28, VERI_TABANI!D28*B699)*VERI_TABANI!$B$7 + MAX(0, VERI_TABANI!D28*B699-VERI_TABANI!D28)*VERI_TABANI!$B$8) + (MIN(MAX(0, VERI_TABANI!D28-VERI_TABANI!D28*B699), VERI_TABANI!D28*C699)*VERI_TABANI!$B$7 + MAX(0, VERI_TABANI!D28*C699-MAX(0, VERI_TABANI!D28-VERI_TABANI!D28*B699))*VERI_TABANI!$B$8) + IF(ABS(IF(ISNUMBER(SEARCH("Var", D699)), 1, IF(ISNUMBER(SEARCH("Gri", D699)), -1, 0)))=1, VERI_TABANI!E28*(1-0.928)*VERI_TABANI!$B$9, 0) + (VERI_TABANI!D28*B699*(VERI_TABANI!$B$13-VERI_TABANI!$B$14)*VERI_TABANI!G28) + (VERI_TABANI!D28*C699*(VERI_TABANI!$B$13-VERI_TABANI!$B$15)*VERI_TABANI!G28) + IF(ABS(IF(ISNUMBER(SEARCH("Var", D699)), 1, IF(ISNUMBER(SEARCH("Gri", D699)), -1, 0)))=1, VERI_TABANI!E28*(1-0.928)*0.00206091519919798*VERI_TABANI!G28, 0)))</f>
        <v/>
      </c>
      <c r="H699" s="169">
        <f>(((VERI_TABANI!D23*B699*(VERI_TABANI!$B$13-VERI_TABANI!$B$14)) + (VERI_TABANI!D23*C699*(VERI_TABANI!$B$13-VERI_TABANI!$B$15)) + IF(ISNUMBER(SEARCH("Var", D699)), VERI_TABANI!F23*(0.00202-VERI_TABANI!$B$16), IF(ISNUMBER(SEARCH("Gri", D699)), VERI_TABANI!F23*(0.00202-VERI_TABANI!$B$17), 0))) + ((VERI_TABANI!D24*B699*(VERI_TABANI!$B$13-VERI_TABANI!$B$14)) + (VERI_TABANI!D24*C699*(VERI_TABANI!$B$13-VERI_TABANI!$B$15)) + IF(ISNUMBER(SEARCH("Var", D699)), VERI_TABANI!F24*(0.00202-VERI_TABANI!$B$16), IF(ISNUMBER(SEARCH("Gri", D699)), VERI_TABANI!F24*(0.00202-VERI_TABANI!$B$17), 0))) + ((VERI_TABANI!D25*B699*(VERI_TABANI!$B$13-VERI_TABANI!$B$14)) + (VERI_TABANI!D25*C699*(VERI_TABANI!$B$13-VERI_TABANI!$B$15)) + IF(ISNUMBER(SEARCH("Var", D699)), VERI_TABANI!F25*(0.00202-VERI_TABANI!$B$16), IF(ISNUMBER(SEARCH("Gri", D699)), VERI_TABANI!F25*(0.00202-VERI_TABANI!$B$17), 0))) + ((VERI_TABANI!D26*B699*(VERI_TABANI!$B$13-VERI_TABANI!$B$14)) + (VERI_TABANI!D26*C699*(VERI_TABANI!$B$13-VERI_TABANI!$B$15)) + IF(ISNUMBER(SEARCH("Var", D699)), VERI_TABANI!F26*(0.00202-VERI_TABANI!$B$16), IF(ISNUMBER(SEARCH("Gri", D699)), VERI_TABANI!F26*(0.00202-VERI_TABANI!$B$17), 0))) + ((VERI_TABANI!D27*B699*(VERI_TABANI!$B$13-VERI_TABANI!$B$14)) + (VERI_TABANI!D27*C699*(VERI_TABANI!$B$13-VERI_TABANI!$B$15)) + IF(ISNUMBER(SEARCH("Var", D699)), VERI_TABANI!F27*(0.00202-VERI_TABANI!$B$16), IF(ISNUMBER(SEARCH("Gri", D699)), VERI_TABANI!F27*(0.00202-VERI_TABANI!$B$17), 0))) + ((VERI_TABANI!D28*B699*(VERI_TABANI!$B$13-VERI_TABANI!$B$14)) + (VERI_TABANI!D28*C699*(VERI_TABANI!$B$13-VERI_TABANI!$B$15)) + IF(ISNUMBER(SEARCH("Var", D699)), VERI_TABANI!F28*(0.00202-VERI_TABANI!$B$16), IF(ISNUMBER(SEARCH("Gri", D699)), VERI_TABANI!F28*(0.00202-VERI_TABANI!$B$17), 0))))</f>
        <v/>
      </c>
      <c r="I699" s="170">
        <f>IFERROR(((VERI_TABANI!$D$29*B699*VERI_TABANI!$B$14 + VERI_TABANI!$D$29*C699*VERI_TABANI!$B$15 + IF(ISNUMBER(SEARCH("Var", D699)), VERI_TABANI!$F$29*VERI_TABANI!$B$16, 0))) / (((VERI_TABANI!$D$29*B699 + VERI_TABANI!$D$29*C699)*VERI_TABANI!$B$13 + IF(ISNUMBER(SEARCH("Var", D699)), VERI_TABANI!$E$29*(1-0.928)*VERI_TABANI!$B$18, 0))), 0)</f>
        <v/>
      </c>
      <c r="J699" s="171">
        <f>IFERROR(F699/(G699/29), 0)</f>
        <v/>
      </c>
      <c r="K699" s="172">
        <f>IF(F699&gt;0, H699/F699, 0)</f>
        <v/>
      </c>
      <c r="L699" s="170">
        <f>IF(F699&gt;0, I699, 1000000000)</f>
        <v/>
      </c>
      <c r="M699" s="171">
        <f>ABS((B699+C699)-1)</f>
        <v/>
      </c>
      <c r="N699" s="170">
        <f>IF(F699&gt;0, (G699/29)/F699, 0)</f>
        <v/>
      </c>
      <c r="O699" s="168">
        <f>IF(AND((B699+C699)&gt;=1, ISNUMBER(SEARCH("Var", D699))), F699, 1000000000)</f>
        <v/>
      </c>
      <c r="P699" s="172">
        <f>IF(F699&gt;0, SQRT((F699/MAX(F$5:F$886))^2 + (1 - H699/MAX(H$5:H$886))^2 + (J699/MAX(J$5:J$886))^2), 1000000000)</f>
        <v/>
      </c>
      <c r="Q699" s="166">
        <f>IF(AND(ABS(B699-0.5)&lt;0.01, ABS(C699-0.5)&lt;0.01, ISNUMBER(SEARCH("Var", D699))), 1, 0)</f>
        <v/>
      </c>
      <c r="R699" s="171">
        <f>IF(F699&gt;0, J699, 1000000000)</f>
        <v/>
      </c>
      <c r="S699" s="101">
        <f>IF(AND(F699&lt;=DASHBOARD!$B$11, H699&gt;=DASHBOARD!$B$13), G699, -1000000000000)</f>
        <v/>
      </c>
      <c r="T699" s="101">
        <f>IF(AND(F699&lt;=DASHBOARD!$B$11, H699&gt;=DASHBOARD!$B$13), R699, 1000000000000)</f>
        <v/>
      </c>
      <c r="U699" s="101">
        <f>IF(AND(F699&lt;=DASHBOARD!$B$11, H699&gt;=DASHBOARD!$B$13), N699, -1000000000000)</f>
        <v/>
      </c>
      <c r="V699" s="101">
        <f>IF(AND(F699&lt;=DASHBOARD!$B$11, H699&gt;=DASHBOARD!$B$13), H699, -1000000000000)</f>
        <v/>
      </c>
      <c r="W699" s="101">
        <f>IF(AND(F699&lt;=DASHBOARD!$B$11, H699&gt;=DASHBOARD!$B$13), K699, -1000000000000)</f>
        <v/>
      </c>
      <c r="X699" s="101">
        <f>IF(AND(F699&lt;=DASHBOARD!$B$11, H699&gt;=DASHBOARD!$B$13), M699, 1000000000000)</f>
        <v/>
      </c>
      <c r="Y699" s="101">
        <f>IF(AND(F699&lt;=DASHBOARD!$B$10, H699&gt;=DASHBOARD!$B$11), L699, 1000000000000)</f>
        <v/>
      </c>
      <c r="Z699" s="101">
        <f>IF(AND(F699&lt;=DASHBOARD!$B$10, H699&gt;=DASHBOARD!$B$11), O699, 1000000000000)</f>
        <v/>
      </c>
      <c r="AA699" s="101">
        <f>IF(AND(F699&lt;=DASHBOARD!$B$10, H699&gt;=DASHBOARD!$B$11), P699, 1000000000000)</f>
        <v/>
      </c>
      <c r="AB699" s="101">
        <f>IF(AND(F699&lt;=DASHBOARD!$B$10, H699&gt;=DASHBOARD!$B$11), Q699, -1000000000000)</f>
        <v/>
      </c>
    </row>
    <row r="700" ht="15" customHeight="1" s="102">
      <c r="A700" s="166" t="n">
        <v>696</v>
      </c>
      <c r="B700" s="167" t="n">
        <v>1.6</v>
      </c>
      <c r="C700" s="167" t="n">
        <v>1.1</v>
      </c>
      <c r="D700" s="110" t="inlineStr">
        <is>
          <t>Var (%20)</t>
        </is>
      </c>
      <c r="E700" s="110">
        <f>IF((B700+C700)&lt;=1, "Tam Mahsuplaşma (≤%100)", "Kısmi Satış (&gt;%100)")</f>
        <v/>
      </c>
      <c r="F700" s="168">
        <f>((VERI_TABANI!$D$29*B700/VERI_TABANI!$B$29)/VERI_TABANI!$B$3)*VERI_TABANI!$B$5 + ((VERI_TABANI!$D$29*C700/VERI_TABANI!$B$29)/VERI_TABANI!$B$4)*VERI_TABANI!$B$6 + IF(ISNUMBER(SEARCH("Var", D700)), (VERI_TABANI!$F$29/VERI_TABANI!$B$29)*(VERI_TABANI!$B$10+VERI_TABANI!$B$12), 0)</f>
        <v/>
      </c>
      <c r="G700" s="168">
        <f>(((MIN(VERI_TABANI!D23, VERI_TABANI!D23*B700)*VERI_TABANI!$B$7 + MAX(0, VERI_TABANI!D23*B700-VERI_TABANI!D23)*VERI_TABANI!$B$8) + (MIN(MAX(0, VERI_TABANI!D23-VERI_TABANI!D23*B700), VERI_TABANI!D23*C700)*VERI_TABANI!$B$7 + MAX(0, VERI_TABANI!D23*C700-MAX(0, VERI_TABANI!D23-VERI_TABANI!D23*B700))*VERI_TABANI!$B$8) + IF(ABS(IF(ISNUMBER(SEARCH("Var", D700)), 1, IF(ISNUMBER(SEARCH("Gri", D700)), -1, 0)))=1, VERI_TABANI!E23*(1-0.928)*VERI_TABANI!$B$9, 0) + (VERI_TABANI!D23*B700*(VERI_TABANI!$B$13-VERI_TABANI!$B$14)*VERI_TABANI!G23) + (VERI_TABANI!D23*C700*(VERI_TABANI!$B$13-VERI_TABANI!$B$15)*VERI_TABANI!G23) + IF(ABS(IF(ISNUMBER(SEARCH("Var", D700)), 1, IF(ISNUMBER(SEARCH("Gri", D700)), -1, 0)))=1, VERI_TABANI!E23*(1-0.928)*0.00206091519919798*VERI_TABANI!G23, 0)) + ((MIN(VERI_TABANI!D24, VERI_TABANI!D24*B700)*VERI_TABANI!$B$7 + MAX(0, VERI_TABANI!D24*B700-VERI_TABANI!D24)*VERI_TABANI!$B$8) + (MIN(MAX(0, VERI_TABANI!D24-VERI_TABANI!D24*B700), VERI_TABANI!D24*C700)*VERI_TABANI!$B$7 + MAX(0, VERI_TABANI!D24*C700-MAX(0, VERI_TABANI!D24-VERI_TABANI!D24*B700))*VERI_TABANI!$B$8) + IF(ABS(IF(ISNUMBER(SEARCH("Var", D700)), 1, IF(ISNUMBER(SEARCH("Gri", D700)), -1, 0)))=1, VERI_TABANI!E24*(1-0.928)*VERI_TABANI!$B$9, 0) + (VERI_TABANI!D24*B700*(VERI_TABANI!$B$13-VERI_TABANI!$B$14)*VERI_TABANI!G24) + (VERI_TABANI!D24*C700*(VERI_TABANI!$B$13-VERI_TABANI!$B$15)*VERI_TABANI!G24) + IF(ABS(IF(ISNUMBER(SEARCH("Var", D700)), 1, IF(ISNUMBER(SEARCH("Gri", D700)), -1, 0)))=1, VERI_TABANI!E24*(1-0.928)*0.00206091519919798*VERI_TABANI!G24, 0)) + ((MIN(VERI_TABANI!D25, VERI_TABANI!D25*B700)*VERI_TABANI!$B$7 + MAX(0, VERI_TABANI!D25*B700-VERI_TABANI!D25)*VERI_TABANI!$B$8) + (MIN(MAX(0, VERI_TABANI!D25-VERI_TABANI!D25*B700), VERI_TABANI!D25*C700)*VERI_TABANI!$B$7 + MAX(0, VERI_TABANI!D25*C700-MAX(0, VERI_TABANI!D25-VERI_TABANI!D25*B700))*VERI_TABANI!$B$8) + IF(ABS(IF(ISNUMBER(SEARCH("Var", D700)), 1, IF(ISNUMBER(SEARCH("Gri", D700)), -1, 0)))=1, VERI_TABANI!E25*(1-0.928)*VERI_TABANI!$B$9, 0) + (VERI_TABANI!D25*B700*(VERI_TABANI!$B$13-VERI_TABANI!$B$14)*VERI_TABANI!G25) + (VERI_TABANI!D25*C700*(VERI_TABANI!$B$13-VERI_TABANI!$B$15)*VERI_TABANI!G25) + IF(ABS(IF(ISNUMBER(SEARCH("Var", D700)), 1, IF(ISNUMBER(SEARCH("Gri", D700)), -1, 0)))=1, VERI_TABANI!E25*(1-0.928)*0.00206091519919798*VERI_TABANI!G25, 0)) + ((MIN(VERI_TABANI!D26, VERI_TABANI!D26*B700)*VERI_TABANI!$B$7 + MAX(0, VERI_TABANI!D26*B700-VERI_TABANI!D26)*VERI_TABANI!$B$8) + (MIN(MAX(0, VERI_TABANI!D26-VERI_TABANI!D26*B700), VERI_TABANI!D26*C700)*VERI_TABANI!$B$7 + MAX(0, VERI_TABANI!D26*C700-MAX(0, VERI_TABANI!D26-VERI_TABANI!D26*B700))*VERI_TABANI!$B$8) + IF(ABS(IF(ISNUMBER(SEARCH("Var", D700)), 1, IF(ISNUMBER(SEARCH("Gri", D700)), -1, 0)))=1, VERI_TABANI!E26*(1-0.928)*VERI_TABANI!$B$9, 0) + (VERI_TABANI!D26*B700*(VERI_TABANI!$B$13-VERI_TABANI!$B$14)*VERI_TABANI!G26) + (VERI_TABANI!D26*C700*(VERI_TABANI!$B$13-VERI_TABANI!$B$15)*VERI_TABANI!G26) + IF(ABS(IF(ISNUMBER(SEARCH("Var", D700)), 1, IF(ISNUMBER(SEARCH("Gri", D700)), -1, 0)))=1, VERI_TABANI!E26*(1-0.928)*0.00206091519919798*VERI_TABANI!G26, 0)) + ((MIN(VERI_TABANI!D27, VERI_TABANI!D27*B700)*VERI_TABANI!$B$7 + MAX(0, VERI_TABANI!D27*B700-VERI_TABANI!D27)*VERI_TABANI!$B$8) + (MIN(MAX(0, VERI_TABANI!D27-VERI_TABANI!D27*B700), VERI_TABANI!D27*C700)*VERI_TABANI!$B$7 + MAX(0, VERI_TABANI!D27*C700-MAX(0, VERI_TABANI!D27-VERI_TABANI!D27*B700))*VERI_TABANI!$B$8) + IF(ABS(IF(ISNUMBER(SEARCH("Var", D700)), 1, IF(ISNUMBER(SEARCH("Gri", D700)), -1, 0)))=1, VERI_TABANI!E27*(1-0.928)*VERI_TABANI!$B$9, 0) + (VERI_TABANI!D27*B700*(VERI_TABANI!$B$13-VERI_TABANI!$B$14)*VERI_TABANI!G27) + (VERI_TABANI!D27*C700*(VERI_TABANI!$B$13-VERI_TABANI!$B$15)*VERI_TABANI!G27) + IF(ABS(IF(ISNUMBER(SEARCH("Var", D700)), 1, IF(ISNUMBER(SEARCH("Gri", D700)), -1, 0)))=1, VERI_TABANI!E27*(1-0.928)*0.00206091519919798*VERI_TABANI!G27, 0)) + ((MIN(VERI_TABANI!D28, VERI_TABANI!D28*B700)*VERI_TABANI!$B$7 + MAX(0, VERI_TABANI!D28*B700-VERI_TABANI!D28)*VERI_TABANI!$B$8) + (MIN(MAX(0, VERI_TABANI!D28-VERI_TABANI!D28*B700), VERI_TABANI!D28*C700)*VERI_TABANI!$B$7 + MAX(0, VERI_TABANI!D28*C700-MAX(0, VERI_TABANI!D28-VERI_TABANI!D28*B700))*VERI_TABANI!$B$8) + IF(ABS(IF(ISNUMBER(SEARCH("Var", D700)), 1, IF(ISNUMBER(SEARCH("Gri", D700)), -1, 0)))=1, VERI_TABANI!E28*(1-0.928)*VERI_TABANI!$B$9, 0) + (VERI_TABANI!D28*B700*(VERI_TABANI!$B$13-VERI_TABANI!$B$14)*VERI_TABANI!G28) + (VERI_TABANI!D28*C700*(VERI_TABANI!$B$13-VERI_TABANI!$B$15)*VERI_TABANI!G28) + IF(ABS(IF(ISNUMBER(SEARCH("Var", D700)), 1, IF(ISNUMBER(SEARCH("Gri", D700)), -1, 0)))=1, VERI_TABANI!E28*(1-0.928)*0.00206091519919798*VERI_TABANI!G28, 0)))</f>
        <v/>
      </c>
      <c r="H700" s="169">
        <f>(((VERI_TABANI!D23*B700*(VERI_TABANI!$B$13-VERI_TABANI!$B$14)) + (VERI_TABANI!D23*C700*(VERI_TABANI!$B$13-VERI_TABANI!$B$15)) + IF(ISNUMBER(SEARCH("Var", D700)), VERI_TABANI!F23*(0.00202-VERI_TABANI!$B$16), IF(ISNUMBER(SEARCH("Gri", D700)), VERI_TABANI!F23*(0.00202-VERI_TABANI!$B$17), 0))) + ((VERI_TABANI!D24*B700*(VERI_TABANI!$B$13-VERI_TABANI!$B$14)) + (VERI_TABANI!D24*C700*(VERI_TABANI!$B$13-VERI_TABANI!$B$15)) + IF(ISNUMBER(SEARCH("Var", D700)), VERI_TABANI!F24*(0.00202-VERI_TABANI!$B$16), IF(ISNUMBER(SEARCH("Gri", D700)), VERI_TABANI!F24*(0.00202-VERI_TABANI!$B$17), 0))) + ((VERI_TABANI!D25*B700*(VERI_TABANI!$B$13-VERI_TABANI!$B$14)) + (VERI_TABANI!D25*C700*(VERI_TABANI!$B$13-VERI_TABANI!$B$15)) + IF(ISNUMBER(SEARCH("Var", D700)), VERI_TABANI!F25*(0.00202-VERI_TABANI!$B$16), IF(ISNUMBER(SEARCH("Gri", D700)), VERI_TABANI!F25*(0.00202-VERI_TABANI!$B$17), 0))) + ((VERI_TABANI!D26*B700*(VERI_TABANI!$B$13-VERI_TABANI!$B$14)) + (VERI_TABANI!D26*C700*(VERI_TABANI!$B$13-VERI_TABANI!$B$15)) + IF(ISNUMBER(SEARCH("Var", D700)), VERI_TABANI!F26*(0.00202-VERI_TABANI!$B$16), IF(ISNUMBER(SEARCH("Gri", D700)), VERI_TABANI!F26*(0.00202-VERI_TABANI!$B$17), 0))) + ((VERI_TABANI!D27*B700*(VERI_TABANI!$B$13-VERI_TABANI!$B$14)) + (VERI_TABANI!D27*C700*(VERI_TABANI!$B$13-VERI_TABANI!$B$15)) + IF(ISNUMBER(SEARCH("Var", D700)), VERI_TABANI!F27*(0.00202-VERI_TABANI!$B$16), IF(ISNUMBER(SEARCH("Gri", D700)), VERI_TABANI!F27*(0.00202-VERI_TABANI!$B$17), 0))) + ((VERI_TABANI!D28*B700*(VERI_TABANI!$B$13-VERI_TABANI!$B$14)) + (VERI_TABANI!D28*C700*(VERI_TABANI!$B$13-VERI_TABANI!$B$15)) + IF(ISNUMBER(SEARCH("Var", D700)), VERI_TABANI!F28*(0.00202-VERI_TABANI!$B$16), IF(ISNUMBER(SEARCH("Gri", D700)), VERI_TABANI!F28*(0.00202-VERI_TABANI!$B$17), 0))))</f>
        <v/>
      </c>
      <c r="I700" s="170">
        <f>IFERROR(((VERI_TABANI!$D$29*B700*VERI_TABANI!$B$14 + VERI_TABANI!$D$29*C700*VERI_TABANI!$B$15 + IF(ISNUMBER(SEARCH("Var", D700)), VERI_TABANI!$F$29*VERI_TABANI!$B$16, 0))) / (((VERI_TABANI!$D$29*B700 + VERI_TABANI!$D$29*C700)*VERI_TABANI!$B$13 + IF(ISNUMBER(SEARCH("Var", D700)), VERI_TABANI!$E$29*(1-0.928)*VERI_TABANI!$B$18, 0))), 0)</f>
        <v/>
      </c>
      <c r="J700" s="171">
        <f>IFERROR(F700/(G700/29), 0)</f>
        <v/>
      </c>
      <c r="K700" s="172">
        <f>IF(F700&gt;0, H700/F700, 0)</f>
        <v/>
      </c>
      <c r="L700" s="170">
        <f>IF(F700&gt;0, I700, 1000000000)</f>
        <v/>
      </c>
      <c r="M700" s="171">
        <f>ABS((B700+C700)-1)</f>
        <v/>
      </c>
      <c r="N700" s="170">
        <f>IF(F700&gt;0, (G700/29)/F700, 0)</f>
        <v/>
      </c>
      <c r="O700" s="168">
        <f>IF(AND((B700+C700)&gt;=1, ISNUMBER(SEARCH("Var", D700))), F700, 1000000000)</f>
        <v/>
      </c>
      <c r="P700" s="172">
        <f>IF(F700&gt;0, SQRT((F700/MAX(F$5:F$886))^2 + (1 - H700/MAX(H$5:H$886))^2 + (J700/MAX(J$5:J$886))^2), 1000000000)</f>
        <v/>
      </c>
      <c r="Q700" s="166">
        <f>IF(AND(ABS(B700-0.5)&lt;0.01, ABS(C700-0.5)&lt;0.01, ISNUMBER(SEARCH("Var", D700))), 1, 0)</f>
        <v/>
      </c>
      <c r="R700" s="171">
        <f>IF(F700&gt;0, J700, 1000000000)</f>
        <v/>
      </c>
      <c r="S700" s="101">
        <f>IF(AND(F700&lt;=DASHBOARD!$B$11, H700&gt;=DASHBOARD!$B$13), G700, -1000000000000)</f>
        <v/>
      </c>
      <c r="T700" s="101">
        <f>IF(AND(F700&lt;=DASHBOARD!$B$11, H700&gt;=DASHBOARD!$B$13), R700, 1000000000000)</f>
        <v/>
      </c>
      <c r="U700" s="101">
        <f>IF(AND(F700&lt;=DASHBOARD!$B$11, H700&gt;=DASHBOARD!$B$13), N700, -1000000000000)</f>
        <v/>
      </c>
      <c r="V700" s="101">
        <f>IF(AND(F700&lt;=DASHBOARD!$B$11, H700&gt;=DASHBOARD!$B$13), H700, -1000000000000)</f>
        <v/>
      </c>
      <c r="W700" s="101">
        <f>IF(AND(F700&lt;=DASHBOARD!$B$11, H700&gt;=DASHBOARD!$B$13), K700, -1000000000000)</f>
        <v/>
      </c>
      <c r="X700" s="101">
        <f>IF(AND(F700&lt;=DASHBOARD!$B$11, H700&gt;=DASHBOARD!$B$13), M700, 1000000000000)</f>
        <v/>
      </c>
      <c r="Y700" s="101">
        <f>IF(AND(F700&lt;=DASHBOARD!$B$10, H700&gt;=DASHBOARD!$B$11), L700, 1000000000000)</f>
        <v/>
      </c>
      <c r="Z700" s="101">
        <f>IF(AND(F700&lt;=DASHBOARD!$B$10, H700&gt;=DASHBOARD!$B$11), O700, 1000000000000)</f>
        <v/>
      </c>
      <c r="AA700" s="101">
        <f>IF(AND(F700&lt;=DASHBOARD!$B$10, H700&gt;=DASHBOARD!$B$11), P700, 1000000000000)</f>
        <v/>
      </c>
      <c r="AB700" s="101">
        <f>IF(AND(F700&lt;=DASHBOARD!$B$10, H700&gt;=DASHBOARD!$B$11), Q700, -1000000000000)</f>
        <v/>
      </c>
    </row>
    <row r="701" ht="15" customHeight="1" s="102">
      <c r="A701" s="166" t="n">
        <v>697</v>
      </c>
      <c r="B701" s="167" t="n">
        <v>1.6</v>
      </c>
      <c r="C701" s="167" t="n">
        <v>1.2</v>
      </c>
      <c r="D701" s="110" t="inlineStr">
        <is>
          <t>Yok (%0)</t>
        </is>
      </c>
      <c r="E701" s="110">
        <f>IF((B701+C701)&lt;=1, "Tam Mahsuplaşma (≤%100)", "Kısmi Satış (&gt;%100)")</f>
        <v/>
      </c>
      <c r="F701" s="168">
        <f>((VERI_TABANI!$D$29*B701/VERI_TABANI!$B$29)/VERI_TABANI!$B$3)*VERI_TABANI!$B$5 + ((VERI_TABANI!$D$29*C701/VERI_TABANI!$B$29)/VERI_TABANI!$B$4)*VERI_TABANI!$B$6 + IF(ISNUMBER(SEARCH("Var", D701)), (VERI_TABANI!$F$29/VERI_TABANI!$B$29)*(VERI_TABANI!$B$10+VERI_TABANI!$B$12), 0)</f>
        <v/>
      </c>
      <c r="G701" s="168">
        <f>(((MIN(VERI_TABANI!D23, VERI_TABANI!D23*B701)*VERI_TABANI!$B$7 + MAX(0, VERI_TABANI!D23*B701-VERI_TABANI!D23)*VERI_TABANI!$B$8) + (MIN(MAX(0, VERI_TABANI!D23-VERI_TABANI!D23*B701), VERI_TABANI!D23*C701)*VERI_TABANI!$B$7 + MAX(0, VERI_TABANI!D23*C701-MAX(0, VERI_TABANI!D23-VERI_TABANI!D23*B701))*VERI_TABANI!$B$8) + IF(ABS(IF(ISNUMBER(SEARCH("Var", D701)), 1, IF(ISNUMBER(SEARCH("Gri", D701)), -1, 0)))=1, VERI_TABANI!E23*(1-0.928)*VERI_TABANI!$B$9, 0) + (VERI_TABANI!D23*B701*(VERI_TABANI!$B$13-VERI_TABANI!$B$14)*VERI_TABANI!G23) + (VERI_TABANI!D23*C701*(VERI_TABANI!$B$13-VERI_TABANI!$B$15)*VERI_TABANI!G23) + IF(ABS(IF(ISNUMBER(SEARCH("Var", D701)), 1, IF(ISNUMBER(SEARCH("Gri", D701)), -1, 0)))=1, VERI_TABANI!E23*(1-0.928)*0.00206091519919798*VERI_TABANI!G23, 0)) + ((MIN(VERI_TABANI!D24, VERI_TABANI!D24*B701)*VERI_TABANI!$B$7 + MAX(0, VERI_TABANI!D24*B701-VERI_TABANI!D24)*VERI_TABANI!$B$8) + (MIN(MAX(0, VERI_TABANI!D24-VERI_TABANI!D24*B701), VERI_TABANI!D24*C701)*VERI_TABANI!$B$7 + MAX(0, VERI_TABANI!D24*C701-MAX(0, VERI_TABANI!D24-VERI_TABANI!D24*B701))*VERI_TABANI!$B$8) + IF(ABS(IF(ISNUMBER(SEARCH("Var", D701)), 1, IF(ISNUMBER(SEARCH("Gri", D701)), -1, 0)))=1, VERI_TABANI!E24*(1-0.928)*VERI_TABANI!$B$9, 0) + (VERI_TABANI!D24*B701*(VERI_TABANI!$B$13-VERI_TABANI!$B$14)*VERI_TABANI!G24) + (VERI_TABANI!D24*C701*(VERI_TABANI!$B$13-VERI_TABANI!$B$15)*VERI_TABANI!G24) + IF(ABS(IF(ISNUMBER(SEARCH("Var", D701)), 1, IF(ISNUMBER(SEARCH("Gri", D701)), -1, 0)))=1, VERI_TABANI!E24*(1-0.928)*0.00206091519919798*VERI_TABANI!G24, 0)) + ((MIN(VERI_TABANI!D25, VERI_TABANI!D25*B701)*VERI_TABANI!$B$7 + MAX(0, VERI_TABANI!D25*B701-VERI_TABANI!D25)*VERI_TABANI!$B$8) + (MIN(MAX(0, VERI_TABANI!D25-VERI_TABANI!D25*B701), VERI_TABANI!D25*C701)*VERI_TABANI!$B$7 + MAX(0, VERI_TABANI!D25*C701-MAX(0, VERI_TABANI!D25-VERI_TABANI!D25*B701))*VERI_TABANI!$B$8) + IF(ABS(IF(ISNUMBER(SEARCH("Var", D701)), 1, IF(ISNUMBER(SEARCH("Gri", D701)), -1, 0)))=1, VERI_TABANI!E25*(1-0.928)*VERI_TABANI!$B$9, 0) + (VERI_TABANI!D25*B701*(VERI_TABANI!$B$13-VERI_TABANI!$B$14)*VERI_TABANI!G25) + (VERI_TABANI!D25*C701*(VERI_TABANI!$B$13-VERI_TABANI!$B$15)*VERI_TABANI!G25) + IF(ABS(IF(ISNUMBER(SEARCH("Var", D701)), 1, IF(ISNUMBER(SEARCH("Gri", D701)), -1, 0)))=1, VERI_TABANI!E25*(1-0.928)*0.00206091519919798*VERI_TABANI!G25, 0)) + ((MIN(VERI_TABANI!D26, VERI_TABANI!D26*B701)*VERI_TABANI!$B$7 + MAX(0, VERI_TABANI!D26*B701-VERI_TABANI!D26)*VERI_TABANI!$B$8) + (MIN(MAX(0, VERI_TABANI!D26-VERI_TABANI!D26*B701), VERI_TABANI!D26*C701)*VERI_TABANI!$B$7 + MAX(0, VERI_TABANI!D26*C701-MAX(0, VERI_TABANI!D26-VERI_TABANI!D26*B701))*VERI_TABANI!$B$8) + IF(ABS(IF(ISNUMBER(SEARCH("Var", D701)), 1, IF(ISNUMBER(SEARCH("Gri", D701)), -1, 0)))=1, VERI_TABANI!E26*(1-0.928)*VERI_TABANI!$B$9, 0) + (VERI_TABANI!D26*B701*(VERI_TABANI!$B$13-VERI_TABANI!$B$14)*VERI_TABANI!G26) + (VERI_TABANI!D26*C701*(VERI_TABANI!$B$13-VERI_TABANI!$B$15)*VERI_TABANI!G26) + IF(ABS(IF(ISNUMBER(SEARCH("Var", D701)), 1, IF(ISNUMBER(SEARCH("Gri", D701)), -1, 0)))=1, VERI_TABANI!E26*(1-0.928)*0.00206091519919798*VERI_TABANI!G26, 0)) + ((MIN(VERI_TABANI!D27, VERI_TABANI!D27*B701)*VERI_TABANI!$B$7 + MAX(0, VERI_TABANI!D27*B701-VERI_TABANI!D27)*VERI_TABANI!$B$8) + (MIN(MAX(0, VERI_TABANI!D27-VERI_TABANI!D27*B701), VERI_TABANI!D27*C701)*VERI_TABANI!$B$7 + MAX(0, VERI_TABANI!D27*C701-MAX(0, VERI_TABANI!D27-VERI_TABANI!D27*B701))*VERI_TABANI!$B$8) + IF(ABS(IF(ISNUMBER(SEARCH("Var", D701)), 1, IF(ISNUMBER(SEARCH("Gri", D701)), -1, 0)))=1, VERI_TABANI!E27*(1-0.928)*VERI_TABANI!$B$9, 0) + (VERI_TABANI!D27*B701*(VERI_TABANI!$B$13-VERI_TABANI!$B$14)*VERI_TABANI!G27) + (VERI_TABANI!D27*C701*(VERI_TABANI!$B$13-VERI_TABANI!$B$15)*VERI_TABANI!G27) + IF(ABS(IF(ISNUMBER(SEARCH("Var", D701)), 1, IF(ISNUMBER(SEARCH("Gri", D701)), -1, 0)))=1, VERI_TABANI!E27*(1-0.928)*0.00206091519919798*VERI_TABANI!G27, 0)) + ((MIN(VERI_TABANI!D28, VERI_TABANI!D28*B701)*VERI_TABANI!$B$7 + MAX(0, VERI_TABANI!D28*B701-VERI_TABANI!D28)*VERI_TABANI!$B$8) + (MIN(MAX(0, VERI_TABANI!D28-VERI_TABANI!D28*B701), VERI_TABANI!D28*C701)*VERI_TABANI!$B$7 + MAX(0, VERI_TABANI!D28*C701-MAX(0, VERI_TABANI!D28-VERI_TABANI!D28*B701))*VERI_TABANI!$B$8) + IF(ABS(IF(ISNUMBER(SEARCH("Var", D701)), 1, IF(ISNUMBER(SEARCH("Gri", D701)), -1, 0)))=1, VERI_TABANI!E28*(1-0.928)*VERI_TABANI!$B$9, 0) + (VERI_TABANI!D28*B701*(VERI_TABANI!$B$13-VERI_TABANI!$B$14)*VERI_TABANI!G28) + (VERI_TABANI!D28*C701*(VERI_TABANI!$B$13-VERI_TABANI!$B$15)*VERI_TABANI!G28) + IF(ABS(IF(ISNUMBER(SEARCH("Var", D701)), 1, IF(ISNUMBER(SEARCH("Gri", D701)), -1, 0)))=1, VERI_TABANI!E28*(1-0.928)*0.00206091519919798*VERI_TABANI!G28, 0)))</f>
        <v/>
      </c>
      <c r="H701" s="169">
        <f>(((VERI_TABANI!D23*B701*(VERI_TABANI!$B$13-VERI_TABANI!$B$14)) + (VERI_TABANI!D23*C701*(VERI_TABANI!$B$13-VERI_TABANI!$B$15)) + IF(ISNUMBER(SEARCH("Var", D701)), VERI_TABANI!F23*(0.00202-VERI_TABANI!$B$16), IF(ISNUMBER(SEARCH("Gri", D701)), VERI_TABANI!F23*(0.00202-VERI_TABANI!$B$17), 0))) + ((VERI_TABANI!D24*B701*(VERI_TABANI!$B$13-VERI_TABANI!$B$14)) + (VERI_TABANI!D24*C701*(VERI_TABANI!$B$13-VERI_TABANI!$B$15)) + IF(ISNUMBER(SEARCH("Var", D701)), VERI_TABANI!F24*(0.00202-VERI_TABANI!$B$16), IF(ISNUMBER(SEARCH("Gri", D701)), VERI_TABANI!F24*(0.00202-VERI_TABANI!$B$17), 0))) + ((VERI_TABANI!D25*B701*(VERI_TABANI!$B$13-VERI_TABANI!$B$14)) + (VERI_TABANI!D25*C701*(VERI_TABANI!$B$13-VERI_TABANI!$B$15)) + IF(ISNUMBER(SEARCH("Var", D701)), VERI_TABANI!F25*(0.00202-VERI_TABANI!$B$16), IF(ISNUMBER(SEARCH("Gri", D701)), VERI_TABANI!F25*(0.00202-VERI_TABANI!$B$17), 0))) + ((VERI_TABANI!D26*B701*(VERI_TABANI!$B$13-VERI_TABANI!$B$14)) + (VERI_TABANI!D26*C701*(VERI_TABANI!$B$13-VERI_TABANI!$B$15)) + IF(ISNUMBER(SEARCH("Var", D701)), VERI_TABANI!F26*(0.00202-VERI_TABANI!$B$16), IF(ISNUMBER(SEARCH("Gri", D701)), VERI_TABANI!F26*(0.00202-VERI_TABANI!$B$17), 0))) + ((VERI_TABANI!D27*B701*(VERI_TABANI!$B$13-VERI_TABANI!$B$14)) + (VERI_TABANI!D27*C701*(VERI_TABANI!$B$13-VERI_TABANI!$B$15)) + IF(ISNUMBER(SEARCH("Var", D701)), VERI_TABANI!F27*(0.00202-VERI_TABANI!$B$16), IF(ISNUMBER(SEARCH("Gri", D701)), VERI_TABANI!F27*(0.00202-VERI_TABANI!$B$17), 0))) + ((VERI_TABANI!D28*B701*(VERI_TABANI!$B$13-VERI_TABANI!$B$14)) + (VERI_TABANI!D28*C701*(VERI_TABANI!$B$13-VERI_TABANI!$B$15)) + IF(ISNUMBER(SEARCH("Var", D701)), VERI_TABANI!F28*(0.00202-VERI_TABANI!$B$16), IF(ISNUMBER(SEARCH("Gri", D701)), VERI_TABANI!F28*(0.00202-VERI_TABANI!$B$17), 0))))</f>
        <v/>
      </c>
      <c r="I701" s="170">
        <f>IFERROR(((VERI_TABANI!$D$29*B701*VERI_TABANI!$B$14 + VERI_TABANI!$D$29*C701*VERI_TABANI!$B$15 + IF(ISNUMBER(SEARCH("Var", D701)), VERI_TABANI!$F$29*VERI_TABANI!$B$16, 0))) / (((VERI_TABANI!$D$29*B701 + VERI_TABANI!$D$29*C701)*VERI_TABANI!$B$13 + IF(ISNUMBER(SEARCH("Var", D701)), VERI_TABANI!$E$29*(1-0.928)*VERI_TABANI!$B$18, 0))), 0)</f>
        <v/>
      </c>
      <c r="J701" s="171">
        <f>IFERROR(F701/(G701/29), 0)</f>
        <v/>
      </c>
      <c r="K701" s="172">
        <f>IF(F701&gt;0, H701/F701, 0)</f>
        <v/>
      </c>
      <c r="L701" s="170">
        <f>IF(F701&gt;0, I701, 1000000000)</f>
        <v/>
      </c>
      <c r="M701" s="171">
        <f>ABS((B701+C701)-1)</f>
        <v/>
      </c>
      <c r="N701" s="170">
        <f>IF(F701&gt;0, (G701/29)/F701, 0)</f>
        <v/>
      </c>
      <c r="O701" s="168">
        <f>IF(AND((B701+C701)&gt;=1, ISNUMBER(SEARCH("Var", D701))), F701, 1000000000)</f>
        <v/>
      </c>
      <c r="P701" s="172">
        <f>IF(F701&gt;0, SQRT((F701/MAX(F$5:F$886))^2 + (1 - H701/MAX(H$5:H$886))^2 + (J701/MAX(J$5:J$886))^2), 1000000000)</f>
        <v/>
      </c>
      <c r="Q701" s="166">
        <f>IF(AND(ABS(B701-0.5)&lt;0.01, ABS(C701-0.5)&lt;0.01, ISNUMBER(SEARCH("Var", D701))), 1, 0)</f>
        <v/>
      </c>
      <c r="R701" s="171">
        <f>IF(F701&gt;0, J701, 1000000000)</f>
        <v/>
      </c>
      <c r="S701" s="101">
        <f>IF(AND(F701&lt;=DASHBOARD!$B$11, H701&gt;=DASHBOARD!$B$13), G701, -1000000000000)</f>
        <v/>
      </c>
      <c r="T701" s="101">
        <f>IF(AND(F701&lt;=DASHBOARD!$B$11, H701&gt;=DASHBOARD!$B$13), R701, 1000000000000)</f>
        <v/>
      </c>
      <c r="U701" s="101">
        <f>IF(AND(F701&lt;=DASHBOARD!$B$11, H701&gt;=DASHBOARD!$B$13), N701, -1000000000000)</f>
        <v/>
      </c>
      <c r="V701" s="101">
        <f>IF(AND(F701&lt;=DASHBOARD!$B$11, H701&gt;=DASHBOARD!$B$13), H701, -1000000000000)</f>
        <v/>
      </c>
      <c r="W701" s="101">
        <f>IF(AND(F701&lt;=DASHBOARD!$B$11, H701&gt;=DASHBOARD!$B$13), K701, -1000000000000)</f>
        <v/>
      </c>
      <c r="X701" s="101">
        <f>IF(AND(F701&lt;=DASHBOARD!$B$11, H701&gt;=DASHBOARD!$B$13), M701, 1000000000000)</f>
        <v/>
      </c>
      <c r="Y701" s="101">
        <f>IF(AND(F701&lt;=DASHBOARD!$B$10, H701&gt;=DASHBOARD!$B$11), L701, 1000000000000)</f>
        <v/>
      </c>
      <c r="Z701" s="101">
        <f>IF(AND(F701&lt;=DASHBOARD!$B$10, H701&gt;=DASHBOARD!$B$11), O701, 1000000000000)</f>
        <v/>
      </c>
      <c r="AA701" s="101">
        <f>IF(AND(F701&lt;=DASHBOARD!$B$10, H701&gt;=DASHBOARD!$B$11), P701, 1000000000000)</f>
        <v/>
      </c>
      <c r="AB701" s="101">
        <f>IF(AND(F701&lt;=DASHBOARD!$B$10, H701&gt;=DASHBOARD!$B$11), Q701, -1000000000000)</f>
        <v/>
      </c>
    </row>
    <row r="702" ht="15" customHeight="1" s="102">
      <c r="A702" s="166" t="n">
        <v>698</v>
      </c>
      <c r="B702" s="167" t="n">
        <v>1.6</v>
      </c>
      <c r="C702" s="167" t="n">
        <v>1.2</v>
      </c>
      <c r="D702" s="110" t="inlineStr">
        <is>
          <t>Var (%20)</t>
        </is>
      </c>
      <c r="E702" s="110">
        <f>IF((B702+C702)&lt;=1, "Tam Mahsuplaşma (≤%100)", "Kısmi Satış (&gt;%100)")</f>
        <v/>
      </c>
      <c r="F702" s="168">
        <f>((VERI_TABANI!$D$29*B702/VERI_TABANI!$B$29)/VERI_TABANI!$B$3)*VERI_TABANI!$B$5 + ((VERI_TABANI!$D$29*C702/VERI_TABANI!$B$29)/VERI_TABANI!$B$4)*VERI_TABANI!$B$6 + IF(ISNUMBER(SEARCH("Var", D702)), (VERI_TABANI!$F$29/VERI_TABANI!$B$29)*(VERI_TABANI!$B$10+VERI_TABANI!$B$12), 0)</f>
        <v/>
      </c>
      <c r="G702" s="168">
        <f>(((MIN(VERI_TABANI!D23, VERI_TABANI!D23*B702)*VERI_TABANI!$B$7 + MAX(0, VERI_TABANI!D23*B702-VERI_TABANI!D23)*VERI_TABANI!$B$8) + (MIN(MAX(0, VERI_TABANI!D23-VERI_TABANI!D23*B702), VERI_TABANI!D23*C702)*VERI_TABANI!$B$7 + MAX(0, VERI_TABANI!D23*C702-MAX(0, VERI_TABANI!D23-VERI_TABANI!D23*B702))*VERI_TABANI!$B$8) + IF(ABS(IF(ISNUMBER(SEARCH("Var", D702)), 1, IF(ISNUMBER(SEARCH("Gri", D702)), -1, 0)))=1, VERI_TABANI!E23*(1-0.928)*VERI_TABANI!$B$9, 0) + (VERI_TABANI!D23*B702*(VERI_TABANI!$B$13-VERI_TABANI!$B$14)*VERI_TABANI!G23) + (VERI_TABANI!D23*C702*(VERI_TABANI!$B$13-VERI_TABANI!$B$15)*VERI_TABANI!G23) + IF(ABS(IF(ISNUMBER(SEARCH("Var", D702)), 1, IF(ISNUMBER(SEARCH("Gri", D702)), -1, 0)))=1, VERI_TABANI!E23*(1-0.928)*0.00206091519919798*VERI_TABANI!G23, 0)) + ((MIN(VERI_TABANI!D24, VERI_TABANI!D24*B702)*VERI_TABANI!$B$7 + MAX(0, VERI_TABANI!D24*B702-VERI_TABANI!D24)*VERI_TABANI!$B$8) + (MIN(MAX(0, VERI_TABANI!D24-VERI_TABANI!D24*B702), VERI_TABANI!D24*C702)*VERI_TABANI!$B$7 + MAX(0, VERI_TABANI!D24*C702-MAX(0, VERI_TABANI!D24-VERI_TABANI!D24*B702))*VERI_TABANI!$B$8) + IF(ABS(IF(ISNUMBER(SEARCH("Var", D702)), 1, IF(ISNUMBER(SEARCH("Gri", D702)), -1, 0)))=1, VERI_TABANI!E24*(1-0.928)*VERI_TABANI!$B$9, 0) + (VERI_TABANI!D24*B702*(VERI_TABANI!$B$13-VERI_TABANI!$B$14)*VERI_TABANI!G24) + (VERI_TABANI!D24*C702*(VERI_TABANI!$B$13-VERI_TABANI!$B$15)*VERI_TABANI!G24) + IF(ABS(IF(ISNUMBER(SEARCH("Var", D702)), 1, IF(ISNUMBER(SEARCH("Gri", D702)), -1, 0)))=1, VERI_TABANI!E24*(1-0.928)*0.00206091519919798*VERI_TABANI!G24, 0)) + ((MIN(VERI_TABANI!D25, VERI_TABANI!D25*B702)*VERI_TABANI!$B$7 + MAX(0, VERI_TABANI!D25*B702-VERI_TABANI!D25)*VERI_TABANI!$B$8) + (MIN(MAX(0, VERI_TABANI!D25-VERI_TABANI!D25*B702), VERI_TABANI!D25*C702)*VERI_TABANI!$B$7 + MAX(0, VERI_TABANI!D25*C702-MAX(0, VERI_TABANI!D25-VERI_TABANI!D25*B702))*VERI_TABANI!$B$8) + IF(ABS(IF(ISNUMBER(SEARCH("Var", D702)), 1, IF(ISNUMBER(SEARCH("Gri", D702)), -1, 0)))=1, VERI_TABANI!E25*(1-0.928)*VERI_TABANI!$B$9, 0) + (VERI_TABANI!D25*B702*(VERI_TABANI!$B$13-VERI_TABANI!$B$14)*VERI_TABANI!G25) + (VERI_TABANI!D25*C702*(VERI_TABANI!$B$13-VERI_TABANI!$B$15)*VERI_TABANI!G25) + IF(ABS(IF(ISNUMBER(SEARCH("Var", D702)), 1, IF(ISNUMBER(SEARCH("Gri", D702)), -1, 0)))=1, VERI_TABANI!E25*(1-0.928)*0.00206091519919798*VERI_TABANI!G25, 0)) + ((MIN(VERI_TABANI!D26, VERI_TABANI!D26*B702)*VERI_TABANI!$B$7 + MAX(0, VERI_TABANI!D26*B702-VERI_TABANI!D26)*VERI_TABANI!$B$8) + (MIN(MAX(0, VERI_TABANI!D26-VERI_TABANI!D26*B702), VERI_TABANI!D26*C702)*VERI_TABANI!$B$7 + MAX(0, VERI_TABANI!D26*C702-MAX(0, VERI_TABANI!D26-VERI_TABANI!D26*B702))*VERI_TABANI!$B$8) + IF(ABS(IF(ISNUMBER(SEARCH("Var", D702)), 1, IF(ISNUMBER(SEARCH("Gri", D702)), -1, 0)))=1, VERI_TABANI!E26*(1-0.928)*VERI_TABANI!$B$9, 0) + (VERI_TABANI!D26*B702*(VERI_TABANI!$B$13-VERI_TABANI!$B$14)*VERI_TABANI!G26) + (VERI_TABANI!D26*C702*(VERI_TABANI!$B$13-VERI_TABANI!$B$15)*VERI_TABANI!G26) + IF(ABS(IF(ISNUMBER(SEARCH("Var", D702)), 1, IF(ISNUMBER(SEARCH("Gri", D702)), -1, 0)))=1, VERI_TABANI!E26*(1-0.928)*0.00206091519919798*VERI_TABANI!G26, 0)) + ((MIN(VERI_TABANI!D27, VERI_TABANI!D27*B702)*VERI_TABANI!$B$7 + MAX(0, VERI_TABANI!D27*B702-VERI_TABANI!D27)*VERI_TABANI!$B$8) + (MIN(MAX(0, VERI_TABANI!D27-VERI_TABANI!D27*B702), VERI_TABANI!D27*C702)*VERI_TABANI!$B$7 + MAX(0, VERI_TABANI!D27*C702-MAX(0, VERI_TABANI!D27-VERI_TABANI!D27*B702))*VERI_TABANI!$B$8) + IF(ABS(IF(ISNUMBER(SEARCH("Var", D702)), 1, IF(ISNUMBER(SEARCH("Gri", D702)), -1, 0)))=1, VERI_TABANI!E27*(1-0.928)*VERI_TABANI!$B$9, 0) + (VERI_TABANI!D27*B702*(VERI_TABANI!$B$13-VERI_TABANI!$B$14)*VERI_TABANI!G27) + (VERI_TABANI!D27*C702*(VERI_TABANI!$B$13-VERI_TABANI!$B$15)*VERI_TABANI!G27) + IF(ABS(IF(ISNUMBER(SEARCH("Var", D702)), 1, IF(ISNUMBER(SEARCH("Gri", D702)), -1, 0)))=1, VERI_TABANI!E27*(1-0.928)*0.00206091519919798*VERI_TABANI!G27, 0)) + ((MIN(VERI_TABANI!D28, VERI_TABANI!D28*B702)*VERI_TABANI!$B$7 + MAX(0, VERI_TABANI!D28*B702-VERI_TABANI!D28)*VERI_TABANI!$B$8) + (MIN(MAX(0, VERI_TABANI!D28-VERI_TABANI!D28*B702), VERI_TABANI!D28*C702)*VERI_TABANI!$B$7 + MAX(0, VERI_TABANI!D28*C702-MAX(0, VERI_TABANI!D28-VERI_TABANI!D28*B702))*VERI_TABANI!$B$8) + IF(ABS(IF(ISNUMBER(SEARCH("Var", D702)), 1, IF(ISNUMBER(SEARCH("Gri", D702)), -1, 0)))=1, VERI_TABANI!E28*(1-0.928)*VERI_TABANI!$B$9, 0) + (VERI_TABANI!D28*B702*(VERI_TABANI!$B$13-VERI_TABANI!$B$14)*VERI_TABANI!G28) + (VERI_TABANI!D28*C702*(VERI_TABANI!$B$13-VERI_TABANI!$B$15)*VERI_TABANI!G28) + IF(ABS(IF(ISNUMBER(SEARCH("Var", D702)), 1, IF(ISNUMBER(SEARCH("Gri", D702)), -1, 0)))=1, VERI_TABANI!E28*(1-0.928)*0.00206091519919798*VERI_TABANI!G28, 0)))</f>
        <v/>
      </c>
      <c r="H702" s="169">
        <f>(((VERI_TABANI!D23*B702*(VERI_TABANI!$B$13-VERI_TABANI!$B$14)) + (VERI_TABANI!D23*C702*(VERI_TABANI!$B$13-VERI_TABANI!$B$15)) + IF(ISNUMBER(SEARCH("Var", D702)), VERI_TABANI!F23*(0.00202-VERI_TABANI!$B$16), IF(ISNUMBER(SEARCH("Gri", D702)), VERI_TABANI!F23*(0.00202-VERI_TABANI!$B$17), 0))) + ((VERI_TABANI!D24*B702*(VERI_TABANI!$B$13-VERI_TABANI!$B$14)) + (VERI_TABANI!D24*C702*(VERI_TABANI!$B$13-VERI_TABANI!$B$15)) + IF(ISNUMBER(SEARCH("Var", D702)), VERI_TABANI!F24*(0.00202-VERI_TABANI!$B$16), IF(ISNUMBER(SEARCH("Gri", D702)), VERI_TABANI!F24*(0.00202-VERI_TABANI!$B$17), 0))) + ((VERI_TABANI!D25*B702*(VERI_TABANI!$B$13-VERI_TABANI!$B$14)) + (VERI_TABANI!D25*C702*(VERI_TABANI!$B$13-VERI_TABANI!$B$15)) + IF(ISNUMBER(SEARCH("Var", D702)), VERI_TABANI!F25*(0.00202-VERI_TABANI!$B$16), IF(ISNUMBER(SEARCH("Gri", D702)), VERI_TABANI!F25*(0.00202-VERI_TABANI!$B$17), 0))) + ((VERI_TABANI!D26*B702*(VERI_TABANI!$B$13-VERI_TABANI!$B$14)) + (VERI_TABANI!D26*C702*(VERI_TABANI!$B$13-VERI_TABANI!$B$15)) + IF(ISNUMBER(SEARCH("Var", D702)), VERI_TABANI!F26*(0.00202-VERI_TABANI!$B$16), IF(ISNUMBER(SEARCH("Gri", D702)), VERI_TABANI!F26*(0.00202-VERI_TABANI!$B$17), 0))) + ((VERI_TABANI!D27*B702*(VERI_TABANI!$B$13-VERI_TABANI!$B$14)) + (VERI_TABANI!D27*C702*(VERI_TABANI!$B$13-VERI_TABANI!$B$15)) + IF(ISNUMBER(SEARCH("Var", D702)), VERI_TABANI!F27*(0.00202-VERI_TABANI!$B$16), IF(ISNUMBER(SEARCH("Gri", D702)), VERI_TABANI!F27*(0.00202-VERI_TABANI!$B$17), 0))) + ((VERI_TABANI!D28*B702*(VERI_TABANI!$B$13-VERI_TABANI!$B$14)) + (VERI_TABANI!D28*C702*(VERI_TABANI!$B$13-VERI_TABANI!$B$15)) + IF(ISNUMBER(SEARCH("Var", D702)), VERI_TABANI!F28*(0.00202-VERI_TABANI!$B$16), IF(ISNUMBER(SEARCH("Gri", D702)), VERI_TABANI!F28*(0.00202-VERI_TABANI!$B$17), 0))))</f>
        <v/>
      </c>
      <c r="I702" s="170">
        <f>IFERROR(((VERI_TABANI!$D$29*B702*VERI_TABANI!$B$14 + VERI_TABANI!$D$29*C702*VERI_TABANI!$B$15 + IF(ISNUMBER(SEARCH("Var", D702)), VERI_TABANI!$F$29*VERI_TABANI!$B$16, 0))) / (((VERI_TABANI!$D$29*B702 + VERI_TABANI!$D$29*C702)*VERI_TABANI!$B$13 + IF(ISNUMBER(SEARCH("Var", D702)), VERI_TABANI!$E$29*(1-0.928)*VERI_TABANI!$B$18, 0))), 0)</f>
        <v/>
      </c>
      <c r="J702" s="171">
        <f>IFERROR(F702/(G702/29), 0)</f>
        <v/>
      </c>
      <c r="K702" s="172">
        <f>IF(F702&gt;0, H702/F702, 0)</f>
        <v/>
      </c>
      <c r="L702" s="170">
        <f>IF(F702&gt;0, I702, 1000000000)</f>
        <v/>
      </c>
      <c r="M702" s="171">
        <f>ABS((B702+C702)-1)</f>
        <v/>
      </c>
      <c r="N702" s="170">
        <f>IF(F702&gt;0, (G702/29)/F702, 0)</f>
        <v/>
      </c>
      <c r="O702" s="168">
        <f>IF(AND((B702+C702)&gt;=1, ISNUMBER(SEARCH("Var", D702))), F702, 1000000000)</f>
        <v/>
      </c>
      <c r="P702" s="172">
        <f>IF(F702&gt;0, SQRT((F702/MAX(F$5:F$886))^2 + (1 - H702/MAX(H$5:H$886))^2 + (J702/MAX(J$5:J$886))^2), 1000000000)</f>
        <v/>
      </c>
      <c r="Q702" s="166">
        <f>IF(AND(ABS(B702-0.5)&lt;0.01, ABS(C702-0.5)&lt;0.01, ISNUMBER(SEARCH("Var", D702))), 1, 0)</f>
        <v/>
      </c>
      <c r="R702" s="171">
        <f>IF(F702&gt;0, J702, 1000000000)</f>
        <v/>
      </c>
      <c r="S702" s="101">
        <f>IF(AND(F702&lt;=DASHBOARD!$B$11, H702&gt;=DASHBOARD!$B$13), G702, -1000000000000)</f>
        <v/>
      </c>
      <c r="T702" s="101">
        <f>IF(AND(F702&lt;=DASHBOARD!$B$11, H702&gt;=DASHBOARD!$B$13), R702, 1000000000000)</f>
        <v/>
      </c>
      <c r="U702" s="101">
        <f>IF(AND(F702&lt;=DASHBOARD!$B$11, H702&gt;=DASHBOARD!$B$13), N702, -1000000000000)</f>
        <v/>
      </c>
      <c r="V702" s="101">
        <f>IF(AND(F702&lt;=DASHBOARD!$B$11, H702&gt;=DASHBOARD!$B$13), H702, -1000000000000)</f>
        <v/>
      </c>
      <c r="W702" s="101">
        <f>IF(AND(F702&lt;=DASHBOARD!$B$11, H702&gt;=DASHBOARD!$B$13), K702, -1000000000000)</f>
        <v/>
      </c>
      <c r="X702" s="101">
        <f>IF(AND(F702&lt;=DASHBOARD!$B$11, H702&gt;=DASHBOARD!$B$13), M702, 1000000000000)</f>
        <v/>
      </c>
      <c r="Y702" s="101">
        <f>IF(AND(F702&lt;=DASHBOARD!$B$10, H702&gt;=DASHBOARD!$B$11), L702, 1000000000000)</f>
        <v/>
      </c>
      <c r="Z702" s="101">
        <f>IF(AND(F702&lt;=DASHBOARD!$B$10, H702&gt;=DASHBOARD!$B$11), O702, 1000000000000)</f>
        <v/>
      </c>
      <c r="AA702" s="101">
        <f>IF(AND(F702&lt;=DASHBOARD!$B$10, H702&gt;=DASHBOARD!$B$11), P702, 1000000000000)</f>
        <v/>
      </c>
      <c r="AB702" s="101">
        <f>IF(AND(F702&lt;=DASHBOARD!$B$10, H702&gt;=DASHBOARD!$B$11), Q702, -1000000000000)</f>
        <v/>
      </c>
    </row>
    <row r="703" ht="15" customHeight="1" s="102">
      <c r="A703" s="166" t="n">
        <v>699</v>
      </c>
      <c r="B703" s="167" t="n">
        <v>1.6</v>
      </c>
      <c r="C703" s="167" t="n">
        <v>1.3</v>
      </c>
      <c r="D703" s="110" t="inlineStr">
        <is>
          <t>Yok (%0)</t>
        </is>
      </c>
      <c r="E703" s="110">
        <f>IF((B703+C703)&lt;=1, "Tam Mahsuplaşma (≤%100)", "Kısmi Satış (&gt;%100)")</f>
        <v/>
      </c>
      <c r="F703" s="168">
        <f>((VERI_TABANI!$D$29*B703/VERI_TABANI!$B$29)/VERI_TABANI!$B$3)*VERI_TABANI!$B$5 + ((VERI_TABANI!$D$29*C703/VERI_TABANI!$B$29)/VERI_TABANI!$B$4)*VERI_TABANI!$B$6 + IF(ISNUMBER(SEARCH("Var", D703)), (VERI_TABANI!$F$29/VERI_TABANI!$B$29)*(VERI_TABANI!$B$10+VERI_TABANI!$B$12), 0)</f>
        <v/>
      </c>
      <c r="G703" s="168">
        <f>(((MIN(VERI_TABANI!D23, VERI_TABANI!D23*B703)*VERI_TABANI!$B$7 + MAX(0, VERI_TABANI!D23*B703-VERI_TABANI!D23)*VERI_TABANI!$B$8) + (MIN(MAX(0, VERI_TABANI!D23-VERI_TABANI!D23*B703), VERI_TABANI!D23*C703)*VERI_TABANI!$B$7 + MAX(0, VERI_TABANI!D23*C703-MAX(0, VERI_TABANI!D23-VERI_TABANI!D23*B703))*VERI_TABANI!$B$8) + IF(ABS(IF(ISNUMBER(SEARCH("Var", D703)), 1, IF(ISNUMBER(SEARCH("Gri", D703)), -1, 0)))=1, VERI_TABANI!E23*(1-0.928)*VERI_TABANI!$B$9, 0) + (VERI_TABANI!D23*B703*(VERI_TABANI!$B$13-VERI_TABANI!$B$14)*VERI_TABANI!G23) + (VERI_TABANI!D23*C703*(VERI_TABANI!$B$13-VERI_TABANI!$B$15)*VERI_TABANI!G23) + IF(ABS(IF(ISNUMBER(SEARCH("Var", D703)), 1, IF(ISNUMBER(SEARCH("Gri", D703)), -1, 0)))=1, VERI_TABANI!E23*(1-0.928)*0.00206091519919798*VERI_TABANI!G23, 0)) + ((MIN(VERI_TABANI!D24, VERI_TABANI!D24*B703)*VERI_TABANI!$B$7 + MAX(0, VERI_TABANI!D24*B703-VERI_TABANI!D24)*VERI_TABANI!$B$8) + (MIN(MAX(0, VERI_TABANI!D24-VERI_TABANI!D24*B703), VERI_TABANI!D24*C703)*VERI_TABANI!$B$7 + MAX(0, VERI_TABANI!D24*C703-MAX(0, VERI_TABANI!D24-VERI_TABANI!D24*B703))*VERI_TABANI!$B$8) + IF(ABS(IF(ISNUMBER(SEARCH("Var", D703)), 1, IF(ISNUMBER(SEARCH("Gri", D703)), -1, 0)))=1, VERI_TABANI!E24*(1-0.928)*VERI_TABANI!$B$9, 0) + (VERI_TABANI!D24*B703*(VERI_TABANI!$B$13-VERI_TABANI!$B$14)*VERI_TABANI!G24) + (VERI_TABANI!D24*C703*(VERI_TABANI!$B$13-VERI_TABANI!$B$15)*VERI_TABANI!G24) + IF(ABS(IF(ISNUMBER(SEARCH("Var", D703)), 1, IF(ISNUMBER(SEARCH("Gri", D703)), -1, 0)))=1, VERI_TABANI!E24*(1-0.928)*0.00206091519919798*VERI_TABANI!G24, 0)) + ((MIN(VERI_TABANI!D25, VERI_TABANI!D25*B703)*VERI_TABANI!$B$7 + MAX(0, VERI_TABANI!D25*B703-VERI_TABANI!D25)*VERI_TABANI!$B$8) + (MIN(MAX(0, VERI_TABANI!D25-VERI_TABANI!D25*B703), VERI_TABANI!D25*C703)*VERI_TABANI!$B$7 + MAX(0, VERI_TABANI!D25*C703-MAX(0, VERI_TABANI!D25-VERI_TABANI!D25*B703))*VERI_TABANI!$B$8) + IF(ABS(IF(ISNUMBER(SEARCH("Var", D703)), 1, IF(ISNUMBER(SEARCH("Gri", D703)), -1, 0)))=1, VERI_TABANI!E25*(1-0.928)*VERI_TABANI!$B$9, 0) + (VERI_TABANI!D25*B703*(VERI_TABANI!$B$13-VERI_TABANI!$B$14)*VERI_TABANI!G25) + (VERI_TABANI!D25*C703*(VERI_TABANI!$B$13-VERI_TABANI!$B$15)*VERI_TABANI!G25) + IF(ABS(IF(ISNUMBER(SEARCH("Var", D703)), 1, IF(ISNUMBER(SEARCH("Gri", D703)), -1, 0)))=1, VERI_TABANI!E25*(1-0.928)*0.00206091519919798*VERI_TABANI!G25, 0)) + ((MIN(VERI_TABANI!D26, VERI_TABANI!D26*B703)*VERI_TABANI!$B$7 + MAX(0, VERI_TABANI!D26*B703-VERI_TABANI!D26)*VERI_TABANI!$B$8) + (MIN(MAX(0, VERI_TABANI!D26-VERI_TABANI!D26*B703), VERI_TABANI!D26*C703)*VERI_TABANI!$B$7 + MAX(0, VERI_TABANI!D26*C703-MAX(0, VERI_TABANI!D26-VERI_TABANI!D26*B703))*VERI_TABANI!$B$8) + IF(ABS(IF(ISNUMBER(SEARCH("Var", D703)), 1, IF(ISNUMBER(SEARCH("Gri", D703)), -1, 0)))=1, VERI_TABANI!E26*(1-0.928)*VERI_TABANI!$B$9, 0) + (VERI_TABANI!D26*B703*(VERI_TABANI!$B$13-VERI_TABANI!$B$14)*VERI_TABANI!G26) + (VERI_TABANI!D26*C703*(VERI_TABANI!$B$13-VERI_TABANI!$B$15)*VERI_TABANI!G26) + IF(ABS(IF(ISNUMBER(SEARCH("Var", D703)), 1, IF(ISNUMBER(SEARCH("Gri", D703)), -1, 0)))=1, VERI_TABANI!E26*(1-0.928)*0.00206091519919798*VERI_TABANI!G26, 0)) + ((MIN(VERI_TABANI!D27, VERI_TABANI!D27*B703)*VERI_TABANI!$B$7 + MAX(0, VERI_TABANI!D27*B703-VERI_TABANI!D27)*VERI_TABANI!$B$8) + (MIN(MAX(0, VERI_TABANI!D27-VERI_TABANI!D27*B703), VERI_TABANI!D27*C703)*VERI_TABANI!$B$7 + MAX(0, VERI_TABANI!D27*C703-MAX(0, VERI_TABANI!D27-VERI_TABANI!D27*B703))*VERI_TABANI!$B$8) + IF(ABS(IF(ISNUMBER(SEARCH("Var", D703)), 1, IF(ISNUMBER(SEARCH("Gri", D703)), -1, 0)))=1, VERI_TABANI!E27*(1-0.928)*VERI_TABANI!$B$9, 0) + (VERI_TABANI!D27*B703*(VERI_TABANI!$B$13-VERI_TABANI!$B$14)*VERI_TABANI!G27) + (VERI_TABANI!D27*C703*(VERI_TABANI!$B$13-VERI_TABANI!$B$15)*VERI_TABANI!G27) + IF(ABS(IF(ISNUMBER(SEARCH("Var", D703)), 1, IF(ISNUMBER(SEARCH("Gri", D703)), -1, 0)))=1, VERI_TABANI!E27*(1-0.928)*0.00206091519919798*VERI_TABANI!G27, 0)) + ((MIN(VERI_TABANI!D28, VERI_TABANI!D28*B703)*VERI_TABANI!$B$7 + MAX(0, VERI_TABANI!D28*B703-VERI_TABANI!D28)*VERI_TABANI!$B$8) + (MIN(MAX(0, VERI_TABANI!D28-VERI_TABANI!D28*B703), VERI_TABANI!D28*C703)*VERI_TABANI!$B$7 + MAX(0, VERI_TABANI!D28*C703-MAX(0, VERI_TABANI!D28-VERI_TABANI!D28*B703))*VERI_TABANI!$B$8) + IF(ABS(IF(ISNUMBER(SEARCH("Var", D703)), 1, IF(ISNUMBER(SEARCH("Gri", D703)), -1, 0)))=1, VERI_TABANI!E28*(1-0.928)*VERI_TABANI!$B$9, 0) + (VERI_TABANI!D28*B703*(VERI_TABANI!$B$13-VERI_TABANI!$B$14)*VERI_TABANI!G28) + (VERI_TABANI!D28*C703*(VERI_TABANI!$B$13-VERI_TABANI!$B$15)*VERI_TABANI!G28) + IF(ABS(IF(ISNUMBER(SEARCH("Var", D703)), 1, IF(ISNUMBER(SEARCH("Gri", D703)), -1, 0)))=1, VERI_TABANI!E28*(1-0.928)*0.00206091519919798*VERI_TABANI!G28, 0)))</f>
        <v/>
      </c>
      <c r="H703" s="169">
        <f>(((VERI_TABANI!D23*B703*(VERI_TABANI!$B$13-VERI_TABANI!$B$14)) + (VERI_TABANI!D23*C703*(VERI_TABANI!$B$13-VERI_TABANI!$B$15)) + IF(ISNUMBER(SEARCH("Var", D703)), VERI_TABANI!F23*(0.00202-VERI_TABANI!$B$16), IF(ISNUMBER(SEARCH("Gri", D703)), VERI_TABANI!F23*(0.00202-VERI_TABANI!$B$17), 0))) + ((VERI_TABANI!D24*B703*(VERI_TABANI!$B$13-VERI_TABANI!$B$14)) + (VERI_TABANI!D24*C703*(VERI_TABANI!$B$13-VERI_TABANI!$B$15)) + IF(ISNUMBER(SEARCH("Var", D703)), VERI_TABANI!F24*(0.00202-VERI_TABANI!$B$16), IF(ISNUMBER(SEARCH("Gri", D703)), VERI_TABANI!F24*(0.00202-VERI_TABANI!$B$17), 0))) + ((VERI_TABANI!D25*B703*(VERI_TABANI!$B$13-VERI_TABANI!$B$14)) + (VERI_TABANI!D25*C703*(VERI_TABANI!$B$13-VERI_TABANI!$B$15)) + IF(ISNUMBER(SEARCH("Var", D703)), VERI_TABANI!F25*(0.00202-VERI_TABANI!$B$16), IF(ISNUMBER(SEARCH("Gri", D703)), VERI_TABANI!F25*(0.00202-VERI_TABANI!$B$17), 0))) + ((VERI_TABANI!D26*B703*(VERI_TABANI!$B$13-VERI_TABANI!$B$14)) + (VERI_TABANI!D26*C703*(VERI_TABANI!$B$13-VERI_TABANI!$B$15)) + IF(ISNUMBER(SEARCH("Var", D703)), VERI_TABANI!F26*(0.00202-VERI_TABANI!$B$16), IF(ISNUMBER(SEARCH("Gri", D703)), VERI_TABANI!F26*(0.00202-VERI_TABANI!$B$17), 0))) + ((VERI_TABANI!D27*B703*(VERI_TABANI!$B$13-VERI_TABANI!$B$14)) + (VERI_TABANI!D27*C703*(VERI_TABANI!$B$13-VERI_TABANI!$B$15)) + IF(ISNUMBER(SEARCH("Var", D703)), VERI_TABANI!F27*(0.00202-VERI_TABANI!$B$16), IF(ISNUMBER(SEARCH("Gri", D703)), VERI_TABANI!F27*(0.00202-VERI_TABANI!$B$17), 0))) + ((VERI_TABANI!D28*B703*(VERI_TABANI!$B$13-VERI_TABANI!$B$14)) + (VERI_TABANI!D28*C703*(VERI_TABANI!$B$13-VERI_TABANI!$B$15)) + IF(ISNUMBER(SEARCH("Var", D703)), VERI_TABANI!F28*(0.00202-VERI_TABANI!$B$16), IF(ISNUMBER(SEARCH("Gri", D703)), VERI_TABANI!F28*(0.00202-VERI_TABANI!$B$17), 0))))</f>
        <v/>
      </c>
      <c r="I703" s="170">
        <f>IFERROR(((VERI_TABANI!$D$29*B703*VERI_TABANI!$B$14 + VERI_TABANI!$D$29*C703*VERI_TABANI!$B$15 + IF(ISNUMBER(SEARCH("Var", D703)), VERI_TABANI!$F$29*VERI_TABANI!$B$16, 0))) / (((VERI_TABANI!$D$29*B703 + VERI_TABANI!$D$29*C703)*VERI_TABANI!$B$13 + IF(ISNUMBER(SEARCH("Var", D703)), VERI_TABANI!$E$29*(1-0.928)*VERI_TABANI!$B$18, 0))), 0)</f>
        <v/>
      </c>
      <c r="J703" s="171">
        <f>IFERROR(F703/(G703/29), 0)</f>
        <v/>
      </c>
      <c r="K703" s="172">
        <f>IF(F703&gt;0, H703/F703, 0)</f>
        <v/>
      </c>
      <c r="L703" s="170">
        <f>IF(F703&gt;0, I703, 1000000000)</f>
        <v/>
      </c>
      <c r="M703" s="171">
        <f>ABS((B703+C703)-1)</f>
        <v/>
      </c>
      <c r="N703" s="170">
        <f>IF(F703&gt;0, (G703/29)/F703, 0)</f>
        <v/>
      </c>
      <c r="O703" s="168">
        <f>IF(AND((B703+C703)&gt;=1, ISNUMBER(SEARCH("Var", D703))), F703, 1000000000)</f>
        <v/>
      </c>
      <c r="P703" s="172">
        <f>IF(F703&gt;0, SQRT((F703/MAX(F$5:F$886))^2 + (1 - H703/MAX(H$5:H$886))^2 + (J703/MAX(J$5:J$886))^2), 1000000000)</f>
        <v/>
      </c>
      <c r="Q703" s="166">
        <f>IF(AND(ABS(B703-0.5)&lt;0.01, ABS(C703-0.5)&lt;0.01, ISNUMBER(SEARCH("Var", D703))), 1, 0)</f>
        <v/>
      </c>
      <c r="R703" s="171">
        <f>IF(F703&gt;0, J703, 1000000000)</f>
        <v/>
      </c>
      <c r="S703" s="101">
        <f>IF(AND(F703&lt;=DASHBOARD!$B$11, H703&gt;=DASHBOARD!$B$13), G703, -1000000000000)</f>
        <v/>
      </c>
      <c r="T703" s="101">
        <f>IF(AND(F703&lt;=DASHBOARD!$B$11, H703&gt;=DASHBOARD!$B$13), R703, 1000000000000)</f>
        <v/>
      </c>
      <c r="U703" s="101">
        <f>IF(AND(F703&lt;=DASHBOARD!$B$11, H703&gt;=DASHBOARD!$B$13), N703, -1000000000000)</f>
        <v/>
      </c>
      <c r="V703" s="101">
        <f>IF(AND(F703&lt;=DASHBOARD!$B$11, H703&gt;=DASHBOARD!$B$13), H703, -1000000000000)</f>
        <v/>
      </c>
      <c r="W703" s="101">
        <f>IF(AND(F703&lt;=DASHBOARD!$B$11, H703&gt;=DASHBOARD!$B$13), K703, -1000000000000)</f>
        <v/>
      </c>
      <c r="X703" s="101">
        <f>IF(AND(F703&lt;=DASHBOARD!$B$11, H703&gt;=DASHBOARD!$B$13), M703, 1000000000000)</f>
        <v/>
      </c>
      <c r="Y703" s="101">
        <f>IF(AND(F703&lt;=DASHBOARD!$B$10, H703&gt;=DASHBOARD!$B$11), L703, 1000000000000)</f>
        <v/>
      </c>
      <c r="Z703" s="101">
        <f>IF(AND(F703&lt;=DASHBOARD!$B$10, H703&gt;=DASHBOARD!$B$11), O703, 1000000000000)</f>
        <v/>
      </c>
      <c r="AA703" s="101">
        <f>IF(AND(F703&lt;=DASHBOARD!$B$10, H703&gt;=DASHBOARD!$B$11), P703, 1000000000000)</f>
        <v/>
      </c>
      <c r="AB703" s="101">
        <f>IF(AND(F703&lt;=DASHBOARD!$B$10, H703&gt;=DASHBOARD!$B$11), Q703, -1000000000000)</f>
        <v/>
      </c>
    </row>
    <row r="704" ht="15" customHeight="1" s="102">
      <c r="A704" s="166" t="n">
        <v>700</v>
      </c>
      <c r="B704" s="167" t="n">
        <v>1.6</v>
      </c>
      <c r="C704" s="167" t="n">
        <v>1.3</v>
      </c>
      <c r="D704" s="110" t="inlineStr">
        <is>
          <t>Var (%20)</t>
        </is>
      </c>
      <c r="E704" s="110">
        <f>IF((B704+C704)&lt;=1, "Tam Mahsuplaşma (≤%100)", "Kısmi Satış (&gt;%100)")</f>
        <v/>
      </c>
      <c r="F704" s="168">
        <f>((VERI_TABANI!$D$29*B704/VERI_TABANI!$B$29)/VERI_TABANI!$B$3)*VERI_TABANI!$B$5 + ((VERI_TABANI!$D$29*C704/VERI_TABANI!$B$29)/VERI_TABANI!$B$4)*VERI_TABANI!$B$6 + IF(ISNUMBER(SEARCH("Var", D704)), (VERI_TABANI!$F$29/VERI_TABANI!$B$29)*(VERI_TABANI!$B$10+VERI_TABANI!$B$12), 0)</f>
        <v/>
      </c>
      <c r="G704" s="168">
        <f>(((MIN(VERI_TABANI!D23, VERI_TABANI!D23*B704)*VERI_TABANI!$B$7 + MAX(0, VERI_TABANI!D23*B704-VERI_TABANI!D23)*VERI_TABANI!$B$8) + (MIN(MAX(0, VERI_TABANI!D23-VERI_TABANI!D23*B704), VERI_TABANI!D23*C704)*VERI_TABANI!$B$7 + MAX(0, VERI_TABANI!D23*C704-MAX(0, VERI_TABANI!D23-VERI_TABANI!D23*B704))*VERI_TABANI!$B$8) + IF(ABS(IF(ISNUMBER(SEARCH("Var", D704)), 1, IF(ISNUMBER(SEARCH("Gri", D704)), -1, 0)))=1, VERI_TABANI!E23*(1-0.928)*VERI_TABANI!$B$9, 0) + (VERI_TABANI!D23*B704*(VERI_TABANI!$B$13-VERI_TABANI!$B$14)*VERI_TABANI!G23) + (VERI_TABANI!D23*C704*(VERI_TABANI!$B$13-VERI_TABANI!$B$15)*VERI_TABANI!G23) + IF(ABS(IF(ISNUMBER(SEARCH("Var", D704)), 1, IF(ISNUMBER(SEARCH("Gri", D704)), -1, 0)))=1, VERI_TABANI!E23*(1-0.928)*0.00206091519919798*VERI_TABANI!G23, 0)) + ((MIN(VERI_TABANI!D24, VERI_TABANI!D24*B704)*VERI_TABANI!$B$7 + MAX(0, VERI_TABANI!D24*B704-VERI_TABANI!D24)*VERI_TABANI!$B$8) + (MIN(MAX(0, VERI_TABANI!D24-VERI_TABANI!D24*B704), VERI_TABANI!D24*C704)*VERI_TABANI!$B$7 + MAX(0, VERI_TABANI!D24*C704-MAX(0, VERI_TABANI!D24-VERI_TABANI!D24*B704))*VERI_TABANI!$B$8) + IF(ABS(IF(ISNUMBER(SEARCH("Var", D704)), 1, IF(ISNUMBER(SEARCH("Gri", D704)), -1, 0)))=1, VERI_TABANI!E24*(1-0.928)*VERI_TABANI!$B$9, 0) + (VERI_TABANI!D24*B704*(VERI_TABANI!$B$13-VERI_TABANI!$B$14)*VERI_TABANI!G24) + (VERI_TABANI!D24*C704*(VERI_TABANI!$B$13-VERI_TABANI!$B$15)*VERI_TABANI!G24) + IF(ABS(IF(ISNUMBER(SEARCH("Var", D704)), 1, IF(ISNUMBER(SEARCH("Gri", D704)), -1, 0)))=1, VERI_TABANI!E24*(1-0.928)*0.00206091519919798*VERI_TABANI!G24, 0)) + ((MIN(VERI_TABANI!D25, VERI_TABANI!D25*B704)*VERI_TABANI!$B$7 + MAX(0, VERI_TABANI!D25*B704-VERI_TABANI!D25)*VERI_TABANI!$B$8) + (MIN(MAX(0, VERI_TABANI!D25-VERI_TABANI!D25*B704), VERI_TABANI!D25*C704)*VERI_TABANI!$B$7 + MAX(0, VERI_TABANI!D25*C704-MAX(0, VERI_TABANI!D25-VERI_TABANI!D25*B704))*VERI_TABANI!$B$8) + IF(ABS(IF(ISNUMBER(SEARCH("Var", D704)), 1, IF(ISNUMBER(SEARCH("Gri", D704)), -1, 0)))=1, VERI_TABANI!E25*(1-0.928)*VERI_TABANI!$B$9, 0) + (VERI_TABANI!D25*B704*(VERI_TABANI!$B$13-VERI_TABANI!$B$14)*VERI_TABANI!G25) + (VERI_TABANI!D25*C704*(VERI_TABANI!$B$13-VERI_TABANI!$B$15)*VERI_TABANI!G25) + IF(ABS(IF(ISNUMBER(SEARCH("Var", D704)), 1, IF(ISNUMBER(SEARCH("Gri", D704)), -1, 0)))=1, VERI_TABANI!E25*(1-0.928)*0.00206091519919798*VERI_TABANI!G25, 0)) + ((MIN(VERI_TABANI!D26, VERI_TABANI!D26*B704)*VERI_TABANI!$B$7 + MAX(0, VERI_TABANI!D26*B704-VERI_TABANI!D26)*VERI_TABANI!$B$8) + (MIN(MAX(0, VERI_TABANI!D26-VERI_TABANI!D26*B704), VERI_TABANI!D26*C704)*VERI_TABANI!$B$7 + MAX(0, VERI_TABANI!D26*C704-MAX(0, VERI_TABANI!D26-VERI_TABANI!D26*B704))*VERI_TABANI!$B$8) + IF(ABS(IF(ISNUMBER(SEARCH("Var", D704)), 1, IF(ISNUMBER(SEARCH("Gri", D704)), -1, 0)))=1, VERI_TABANI!E26*(1-0.928)*VERI_TABANI!$B$9, 0) + (VERI_TABANI!D26*B704*(VERI_TABANI!$B$13-VERI_TABANI!$B$14)*VERI_TABANI!G26) + (VERI_TABANI!D26*C704*(VERI_TABANI!$B$13-VERI_TABANI!$B$15)*VERI_TABANI!G26) + IF(ABS(IF(ISNUMBER(SEARCH("Var", D704)), 1, IF(ISNUMBER(SEARCH("Gri", D704)), -1, 0)))=1, VERI_TABANI!E26*(1-0.928)*0.00206091519919798*VERI_TABANI!G26, 0)) + ((MIN(VERI_TABANI!D27, VERI_TABANI!D27*B704)*VERI_TABANI!$B$7 + MAX(0, VERI_TABANI!D27*B704-VERI_TABANI!D27)*VERI_TABANI!$B$8) + (MIN(MAX(0, VERI_TABANI!D27-VERI_TABANI!D27*B704), VERI_TABANI!D27*C704)*VERI_TABANI!$B$7 + MAX(0, VERI_TABANI!D27*C704-MAX(0, VERI_TABANI!D27-VERI_TABANI!D27*B704))*VERI_TABANI!$B$8) + IF(ABS(IF(ISNUMBER(SEARCH("Var", D704)), 1, IF(ISNUMBER(SEARCH("Gri", D704)), -1, 0)))=1, VERI_TABANI!E27*(1-0.928)*VERI_TABANI!$B$9, 0) + (VERI_TABANI!D27*B704*(VERI_TABANI!$B$13-VERI_TABANI!$B$14)*VERI_TABANI!G27) + (VERI_TABANI!D27*C704*(VERI_TABANI!$B$13-VERI_TABANI!$B$15)*VERI_TABANI!G27) + IF(ABS(IF(ISNUMBER(SEARCH("Var", D704)), 1, IF(ISNUMBER(SEARCH("Gri", D704)), -1, 0)))=1, VERI_TABANI!E27*(1-0.928)*0.00206091519919798*VERI_TABANI!G27, 0)) + ((MIN(VERI_TABANI!D28, VERI_TABANI!D28*B704)*VERI_TABANI!$B$7 + MAX(0, VERI_TABANI!D28*B704-VERI_TABANI!D28)*VERI_TABANI!$B$8) + (MIN(MAX(0, VERI_TABANI!D28-VERI_TABANI!D28*B704), VERI_TABANI!D28*C704)*VERI_TABANI!$B$7 + MAX(0, VERI_TABANI!D28*C704-MAX(0, VERI_TABANI!D28-VERI_TABANI!D28*B704))*VERI_TABANI!$B$8) + IF(ABS(IF(ISNUMBER(SEARCH("Var", D704)), 1, IF(ISNUMBER(SEARCH("Gri", D704)), -1, 0)))=1, VERI_TABANI!E28*(1-0.928)*VERI_TABANI!$B$9, 0) + (VERI_TABANI!D28*B704*(VERI_TABANI!$B$13-VERI_TABANI!$B$14)*VERI_TABANI!G28) + (VERI_TABANI!D28*C704*(VERI_TABANI!$B$13-VERI_TABANI!$B$15)*VERI_TABANI!G28) + IF(ABS(IF(ISNUMBER(SEARCH("Var", D704)), 1, IF(ISNUMBER(SEARCH("Gri", D704)), -1, 0)))=1, VERI_TABANI!E28*(1-0.928)*0.00206091519919798*VERI_TABANI!G28, 0)))</f>
        <v/>
      </c>
      <c r="H704" s="169">
        <f>(((VERI_TABANI!D23*B704*(VERI_TABANI!$B$13-VERI_TABANI!$B$14)) + (VERI_TABANI!D23*C704*(VERI_TABANI!$B$13-VERI_TABANI!$B$15)) + IF(ISNUMBER(SEARCH("Var", D704)), VERI_TABANI!F23*(0.00202-VERI_TABANI!$B$16), IF(ISNUMBER(SEARCH("Gri", D704)), VERI_TABANI!F23*(0.00202-VERI_TABANI!$B$17), 0))) + ((VERI_TABANI!D24*B704*(VERI_TABANI!$B$13-VERI_TABANI!$B$14)) + (VERI_TABANI!D24*C704*(VERI_TABANI!$B$13-VERI_TABANI!$B$15)) + IF(ISNUMBER(SEARCH("Var", D704)), VERI_TABANI!F24*(0.00202-VERI_TABANI!$B$16), IF(ISNUMBER(SEARCH("Gri", D704)), VERI_TABANI!F24*(0.00202-VERI_TABANI!$B$17), 0))) + ((VERI_TABANI!D25*B704*(VERI_TABANI!$B$13-VERI_TABANI!$B$14)) + (VERI_TABANI!D25*C704*(VERI_TABANI!$B$13-VERI_TABANI!$B$15)) + IF(ISNUMBER(SEARCH("Var", D704)), VERI_TABANI!F25*(0.00202-VERI_TABANI!$B$16), IF(ISNUMBER(SEARCH("Gri", D704)), VERI_TABANI!F25*(0.00202-VERI_TABANI!$B$17), 0))) + ((VERI_TABANI!D26*B704*(VERI_TABANI!$B$13-VERI_TABANI!$B$14)) + (VERI_TABANI!D26*C704*(VERI_TABANI!$B$13-VERI_TABANI!$B$15)) + IF(ISNUMBER(SEARCH("Var", D704)), VERI_TABANI!F26*(0.00202-VERI_TABANI!$B$16), IF(ISNUMBER(SEARCH("Gri", D704)), VERI_TABANI!F26*(0.00202-VERI_TABANI!$B$17), 0))) + ((VERI_TABANI!D27*B704*(VERI_TABANI!$B$13-VERI_TABANI!$B$14)) + (VERI_TABANI!D27*C704*(VERI_TABANI!$B$13-VERI_TABANI!$B$15)) + IF(ISNUMBER(SEARCH("Var", D704)), VERI_TABANI!F27*(0.00202-VERI_TABANI!$B$16), IF(ISNUMBER(SEARCH("Gri", D704)), VERI_TABANI!F27*(0.00202-VERI_TABANI!$B$17), 0))) + ((VERI_TABANI!D28*B704*(VERI_TABANI!$B$13-VERI_TABANI!$B$14)) + (VERI_TABANI!D28*C704*(VERI_TABANI!$B$13-VERI_TABANI!$B$15)) + IF(ISNUMBER(SEARCH("Var", D704)), VERI_TABANI!F28*(0.00202-VERI_TABANI!$B$16), IF(ISNUMBER(SEARCH("Gri", D704)), VERI_TABANI!F28*(0.00202-VERI_TABANI!$B$17), 0))))</f>
        <v/>
      </c>
      <c r="I704" s="170">
        <f>IFERROR(((VERI_TABANI!$D$29*B704*VERI_TABANI!$B$14 + VERI_TABANI!$D$29*C704*VERI_TABANI!$B$15 + IF(ISNUMBER(SEARCH("Var", D704)), VERI_TABANI!$F$29*VERI_TABANI!$B$16, 0))) / (((VERI_TABANI!$D$29*B704 + VERI_TABANI!$D$29*C704)*VERI_TABANI!$B$13 + IF(ISNUMBER(SEARCH("Var", D704)), VERI_TABANI!$E$29*(1-0.928)*VERI_TABANI!$B$18, 0))), 0)</f>
        <v/>
      </c>
      <c r="J704" s="171">
        <f>IFERROR(F704/(G704/29), 0)</f>
        <v/>
      </c>
      <c r="K704" s="172">
        <f>IF(F704&gt;0, H704/F704, 0)</f>
        <v/>
      </c>
      <c r="L704" s="170">
        <f>IF(F704&gt;0, I704, 1000000000)</f>
        <v/>
      </c>
      <c r="M704" s="171">
        <f>ABS((B704+C704)-1)</f>
        <v/>
      </c>
      <c r="N704" s="170">
        <f>IF(F704&gt;0, (G704/29)/F704, 0)</f>
        <v/>
      </c>
      <c r="O704" s="168">
        <f>IF(AND((B704+C704)&gt;=1, ISNUMBER(SEARCH("Var", D704))), F704, 1000000000)</f>
        <v/>
      </c>
      <c r="P704" s="172">
        <f>IF(F704&gt;0, SQRT((F704/MAX(F$5:F$886))^2 + (1 - H704/MAX(H$5:H$886))^2 + (J704/MAX(J$5:J$886))^2), 1000000000)</f>
        <v/>
      </c>
      <c r="Q704" s="166">
        <f>IF(AND(ABS(B704-0.5)&lt;0.01, ABS(C704-0.5)&lt;0.01, ISNUMBER(SEARCH("Var", D704))), 1, 0)</f>
        <v/>
      </c>
      <c r="R704" s="171">
        <f>IF(F704&gt;0, J704, 1000000000)</f>
        <v/>
      </c>
      <c r="S704" s="101">
        <f>IF(AND(F704&lt;=DASHBOARD!$B$11, H704&gt;=DASHBOARD!$B$13), G704, -1000000000000)</f>
        <v/>
      </c>
      <c r="T704" s="101">
        <f>IF(AND(F704&lt;=DASHBOARD!$B$11, H704&gt;=DASHBOARD!$B$13), R704, 1000000000000)</f>
        <v/>
      </c>
      <c r="U704" s="101">
        <f>IF(AND(F704&lt;=DASHBOARD!$B$11, H704&gt;=DASHBOARD!$B$13), N704, -1000000000000)</f>
        <v/>
      </c>
      <c r="V704" s="101">
        <f>IF(AND(F704&lt;=DASHBOARD!$B$11, H704&gt;=DASHBOARD!$B$13), H704, -1000000000000)</f>
        <v/>
      </c>
      <c r="W704" s="101">
        <f>IF(AND(F704&lt;=DASHBOARD!$B$11, H704&gt;=DASHBOARD!$B$13), K704, -1000000000000)</f>
        <v/>
      </c>
      <c r="X704" s="101">
        <f>IF(AND(F704&lt;=DASHBOARD!$B$11, H704&gt;=DASHBOARD!$B$13), M704, 1000000000000)</f>
        <v/>
      </c>
      <c r="Y704" s="101">
        <f>IF(AND(F704&lt;=DASHBOARD!$B$10, H704&gt;=DASHBOARD!$B$11), L704, 1000000000000)</f>
        <v/>
      </c>
      <c r="Z704" s="101">
        <f>IF(AND(F704&lt;=DASHBOARD!$B$10, H704&gt;=DASHBOARD!$B$11), O704, 1000000000000)</f>
        <v/>
      </c>
      <c r="AA704" s="101">
        <f>IF(AND(F704&lt;=DASHBOARD!$B$10, H704&gt;=DASHBOARD!$B$11), P704, 1000000000000)</f>
        <v/>
      </c>
      <c r="AB704" s="101">
        <f>IF(AND(F704&lt;=DASHBOARD!$B$10, H704&gt;=DASHBOARD!$B$11), Q704, -1000000000000)</f>
        <v/>
      </c>
    </row>
    <row r="705" ht="15" customHeight="1" s="102">
      <c r="A705" s="166" t="n">
        <v>701</v>
      </c>
      <c r="B705" s="167" t="n">
        <v>1.6</v>
      </c>
      <c r="C705" s="167" t="n">
        <v>1.4</v>
      </c>
      <c r="D705" s="110" t="inlineStr">
        <is>
          <t>Yok (%0)</t>
        </is>
      </c>
      <c r="E705" s="110">
        <f>IF((B705+C705)&lt;=1, "Tam Mahsuplaşma (≤%100)", "Kısmi Satış (&gt;%100)")</f>
        <v/>
      </c>
      <c r="F705" s="168">
        <f>((VERI_TABANI!$D$29*B705/VERI_TABANI!$B$29)/VERI_TABANI!$B$3)*VERI_TABANI!$B$5 + ((VERI_TABANI!$D$29*C705/VERI_TABANI!$B$29)/VERI_TABANI!$B$4)*VERI_TABANI!$B$6 + IF(ISNUMBER(SEARCH("Var", D705)), (VERI_TABANI!$F$29/VERI_TABANI!$B$29)*(VERI_TABANI!$B$10+VERI_TABANI!$B$12), 0)</f>
        <v/>
      </c>
      <c r="G705" s="168">
        <f>(((MIN(VERI_TABANI!D23, VERI_TABANI!D23*B705)*VERI_TABANI!$B$7 + MAX(0, VERI_TABANI!D23*B705-VERI_TABANI!D23)*VERI_TABANI!$B$8) + (MIN(MAX(0, VERI_TABANI!D23-VERI_TABANI!D23*B705), VERI_TABANI!D23*C705)*VERI_TABANI!$B$7 + MAX(0, VERI_TABANI!D23*C705-MAX(0, VERI_TABANI!D23-VERI_TABANI!D23*B705))*VERI_TABANI!$B$8) + IF(ABS(IF(ISNUMBER(SEARCH("Var", D705)), 1, IF(ISNUMBER(SEARCH("Gri", D705)), -1, 0)))=1, VERI_TABANI!E23*(1-0.928)*VERI_TABANI!$B$9, 0) + (VERI_TABANI!D23*B705*(VERI_TABANI!$B$13-VERI_TABANI!$B$14)*VERI_TABANI!G23) + (VERI_TABANI!D23*C705*(VERI_TABANI!$B$13-VERI_TABANI!$B$15)*VERI_TABANI!G23) + IF(ABS(IF(ISNUMBER(SEARCH("Var", D705)), 1, IF(ISNUMBER(SEARCH("Gri", D705)), -1, 0)))=1, VERI_TABANI!E23*(1-0.928)*0.00206091519919798*VERI_TABANI!G23, 0)) + ((MIN(VERI_TABANI!D24, VERI_TABANI!D24*B705)*VERI_TABANI!$B$7 + MAX(0, VERI_TABANI!D24*B705-VERI_TABANI!D24)*VERI_TABANI!$B$8) + (MIN(MAX(0, VERI_TABANI!D24-VERI_TABANI!D24*B705), VERI_TABANI!D24*C705)*VERI_TABANI!$B$7 + MAX(0, VERI_TABANI!D24*C705-MAX(0, VERI_TABANI!D24-VERI_TABANI!D24*B705))*VERI_TABANI!$B$8) + IF(ABS(IF(ISNUMBER(SEARCH("Var", D705)), 1, IF(ISNUMBER(SEARCH("Gri", D705)), -1, 0)))=1, VERI_TABANI!E24*(1-0.928)*VERI_TABANI!$B$9, 0) + (VERI_TABANI!D24*B705*(VERI_TABANI!$B$13-VERI_TABANI!$B$14)*VERI_TABANI!G24) + (VERI_TABANI!D24*C705*(VERI_TABANI!$B$13-VERI_TABANI!$B$15)*VERI_TABANI!G24) + IF(ABS(IF(ISNUMBER(SEARCH("Var", D705)), 1, IF(ISNUMBER(SEARCH("Gri", D705)), -1, 0)))=1, VERI_TABANI!E24*(1-0.928)*0.00206091519919798*VERI_TABANI!G24, 0)) + ((MIN(VERI_TABANI!D25, VERI_TABANI!D25*B705)*VERI_TABANI!$B$7 + MAX(0, VERI_TABANI!D25*B705-VERI_TABANI!D25)*VERI_TABANI!$B$8) + (MIN(MAX(0, VERI_TABANI!D25-VERI_TABANI!D25*B705), VERI_TABANI!D25*C705)*VERI_TABANI!$B$7 + MAX(0, VERI_TABANI!D25*C705-MAX(0, VERI_TABANI!D25-VERI_TABANI!D25*B705))*VERI_TABANI!$B$8) + IF(ABS(IF(ISNUMBER(SEARCH("Var", D705)), 1, IF(ISNUMBER(SEARCH("Gri", D705)), -1, 0)))=1, VERI_TABANI!E25*(1-0.928)*VERI_TABANI!$B$9, 0) + (VERI_TABANI!D25*B705*(VERI_TABANI!$B$13-VERI_TABANI!$B$14)*VERI_TABANI!G25) + (VERI_TABANI!D25*C705*(VERI_TABANI!$B$13-VERI_TABANI!$B$15)*VERI_TABANI!G25) + IF(ABS(IF(ISNUMBER(SEARCH("Var", D705)), 1, IF(ISNUMBER(SEARCH("Gri", D705)), -1, 0)))=1, VERI_TABANI!E25*(1-0.928)*0.00206091519919798*VERI_TABANI!G25, 0)) + ((MIN(VERI_TABANI!D26, VERI_TABANI!D26*B705)*VERI_TABANI!$B$7 + MAX(0, VERI_TABANI!D26*B705-VERI_TABANI!D26)*VERI_TABANI!$B$8) + (MIN(MAX(0, VERI_TABANI!D26-VERI_TABANI!D26*B705), VERI_TABANI!D26*C705)*VERI_TABANI!$B$7 + MAX(0, VERI_TABANI!D26*C705-MAX(0, VERI_TABANI!D26-VERI_TABANI!D26*B705))*VERI_TABANI!$B$8) + IF(ABS(IF(ISNUMBER(SEARCH("Var", D705)), 1, IF(ISNUMBER(SEARCH("Gri", D705)), -1, 0)))=1, VERI_TABANI!E26*(1-0.928)*VERI_TABANI!$B$9, 0) + (VERI_TABANI!D26*B705*(VERI_TABANI!$B$13-VERI_TABANI!$B$14)*VERI_TABANI!G26) + (VERI_TABANI!D26*C705*(VERI_TABANI!$B$13-VERI_TABANI!$B$15)*VERI_TABANI!G26) + IF(ABS(IF(ISNUMBER(SEARCH("Var", D705)), 1, IF(ISNUMBER(SEARCH("Gri", D705)), -1, 0)))=1, VERI_TABANI!E26*(1-0.928)*0.00206091519919798*VERI_TABANI!G26, 0)) + ((MIN(VERI_TABANI!D27, VERI_TABANI!D27*B705)*VERI_TABANI!$B$7 + MAX(0, VERI_TABANI!D27*B705-VERI_TABANI!D27)*VERI_TABANI!$B$8) + (MIN(MAX(0, VERI_TABANI!D27-VERI_TABANI!D27*B705), VERI_TABANI!D27*C705)*VERI_TABANI!$B$7 + MAX(0, VERI_TABANI!D27*C705-MAX(0, VERI_TABANI!D27-VERI_TABANI!D27*B705))*VERI_TABANI!$B$8) + IF(ABS(IF(ISNUMBER(SEARCH("Var", D705)), 1, IF(ISNUMBER(SEARCH("Gri", D705)), -1, 0)))=1, VERI_TABANI!E27*(1-0.928)*VERI_TABANI!$B$9, 0) + (VERI_TABANI!D27*B705*(VERI_TABANI!$B$13-VERI_TABANI!$B$14)*VERI_TABANI!G27) + (VERI_TABANI!D27*C705*(VERI_TABANI!$B$13-VERI_TABANI!$B$15)*VERI_TABANI!G27) + IF(ABS(IF(ISNUMBER(SEARCH("Var", D705)), 1, IF(ISNUMBER(SEARCH("Gri", D705)), -1, 0)))=1, VERI_TABANI!E27*(1-0.928)*0.00206091519919798*VERI_TABANI!G27, 0)) + ((MIN(VERI_TABANI!D28, VERI_TABANI!D28*B705)*VERI_TABANI!$B$7 + MAX(0, VERI_TABANI!D28*B705-VERI_TABANI!D28)*VERI_TABANI!$B$8) + (MIN(MAX(0, VERI_TABANI!D28-VERI_TABANI!D28*B705), VERI_TABANI!D28*C705)*VERI_TABANI!$B$7 + MAX(0, VERI_TABANI!D28*C705-MAX(0, VERI_TABANI!D28-VERI_TABANI!D28*B705))*VERI_TABANI!$B$8) + IF(ABS(IF(ISNUMBER(SEARCH("Var", D705)), 1, IF(ISNUMBER(SEARCH("Gri", D705)), -1, 0)))=1, VERI_TABANI!E28*(1-0.928)*VERI_TABANI!$B$9, 0) + (VERI_TABANI!D28*B705*(VERI_TABANI!$B$13-VERI_TABANI!$B$14)*VERI_TABANI!G28) + (VERI_TABANI!D28*C705*(VERI_TABANI!$B$13-VERI_TABANI!$B$15)*VERI_TABANI!G28) + IF(ABS(IF(ISNUMBER(SEARCH("Var", D705)), 1, IF(ISNUMBER(SEARCH("Gri", D705)), -1, 0)))=1, VERI_TABANI!E28*(1-0.928)*0.00206091519919798*VERI_TABANI!G28, 0)))</f>
        <v/>
      </c>
      <c r="H705" s="169">
        <f>(((VERI_TABANI!D23*B705*(VERI_TABANI!$B$13-VERI_TABANI!$B$14)) + (VERI_TABANI!D23*C705*(VERI_TABANI!$B$13-VERI_TABANI!$B$15)) + IF(ISNUMBER(SEARCH("Var", D705)), VERI_TABANI!F23*(0.00202-VERI_TABANI!$B$16), IF(ISNUMBER(SEARCH("Gri", D705)), VERI_TABANI!F23*(0.00202-VERI_TABANI!$B$17), 0))) + ((VERI_TABANI!D24*B705*(VERI_TABANI!$B$13-VERI_TABANI!$B$14)) + (VERI_TABANI!D24*C705*(VERI_TABANI!$B$13-VERI_TABANI!$B$15)) + IF(ISNUMBER(SEARCH("Var", D705)), VERI_TABANI!F24*(0.00202-VERI_TABANI!$B$16), IF(ISNUMBER(SEARCH("Gri", D705)), VERI_TABANI!F24*(0.00202-VERI_TABANI!$B$17), 0))) + ((VERI_TABANI!D25*B705*(VERI_TABANI!$B$13-VERI_TABANI!$B$14)) + (VERI_TABANI!D25*C705*(VERI_TABANI!$B$13-VERI_TABANI!$B$15)) + IF(ISNUMBER(SEARCH("Var", D705)), VERI_TABANI!F25*(0.00202-VERI_TABANI!$B$16), IF(ISNUMBER(SEARCH("Gri", D705)), VERI_TABANI!F25*(0.00202-VERI_TABANI!$B$17), 0))) + ((VERI_TABANI!D26*B705*(VERI_TABANI!$B$13-VERI_TABANI!$B$14)) + (VERI_TABANI!D26*C705*(VERI_TABANI!$B$13-VERI_TABANI!$B$15)) + IF(ISNUMBER(SEARCH("Var", D705)), VERI_TABANI!F26*(0.00202-VERI_TABANI!$B$16), IF(ISNUMBER(SEARCH("Gri", D705)), VERI_TABANI!F26*(0.00202-VERI_TABANI!$B$17), 0))) + ((VERI_TABANI!D27*B705*(VERI_TABANI!$B$13-VERI_TABANI!$B$14)) + (VERI_TABANI!D27*C705*(VERI_TABANI!$B$13-VERI_TABANI!$B$15)) + IF(ISNUMBER(SEARCH("Var", D705)), VERI_TABANI!F27*(0.00202-VERI_TABANI!$B$16), IF(ISNUMBER(SEARCH("Gri", D705)), VERI_TABANI!F27*(0.00202-VERI_TABANI!$B$17), 0))) + ((VERI_TABANI!D28*B705*(VERI_TABANI!$B$13-VERI_TABANI!$B$14)) + (VERI_TABANI!D28*C705*(VERI_TABANI!$B$13-VERI_TABANI!$B$15)) + IF(ISNUMBER(SEARCH("Var", D705)), VERI_TABANI!F28*(0.00202-VERI_TABANI!$B$16), IF(ISNUMBER(SEARCH("Gri", D705)), VERI_TABANI!F28*(0.00202-VERI_TABANI!$B$17), 0))))</f>
        <v/>
      </c>
      <c r="I705" s="170">
        <f>IFERROR(((VERI_TABANI!$D$29*B705*VERI_TABANI!$B$14 + VERI_TABANI!$D$29*C705*VERI_TABANI!$B$15 + IF(ISNUMBER(SEARCH("Var", D705)), VERI_TABANI!$F$29*VERI_TABANI!$B$16, 0))) / (((VERI_TABANI!$D$29*B705 + VERI_TABANI!$D$29*C705)*VERI_TABANI!$B$13 + IF(ISNUMBER(SEARCH("Var", D705)), VERI_TABANI!$E$29*(1-0.928)*VERI_TABANI!$B$18, 0))), 0)</f>
        <v/>
      </c>
      <c r="J705" s="171">
        <f>IFERROR(F705/(G705/29), 0)</f>
        <v/>
      </c>
      <c r="K705" s="172">
        <f>IF(F705&gt;0, H705/F705, 0)</f>
        <v/>
      </c>
      <c r="L705" s="170">
        <f>IF(F705&gt;0, I705, 1000000000)</f>
        <v/>
      </c>
      <c r="M705" s="171">
        <f>ABS((B705+C705)-1)</f>
        <v/>
      </c>
      <c r="N705" s="170">
        <f>IF(F705&gt;0, (G705/29)/F705, 0)</f>
        <v/>
      </c>
      <c r="O705" s="168">
        <f>IF(AND((B705+C705)&gt;=1, ISNUMBER(SEARCH("Var", D705))), F705, 1000000000)</f>
        <v/>
      </c>
      <c r="P705" s="172">
        <f>IF(F705&gt;0, SQRT((F705/MAX(F$5:F$886))^2 + (1 - H705/MAX(H$5:H$886))^2 + (J705/MAX(J$5:J$886))^2), 1000000000)</f>
        <v/>
      </c>
      <c r="Q705" s="166">
        <f>IF(AND(ABS(B705-0.5)&lt;0.01, ABS(C705-0.5)&lt;0.01, ISNUMBER(SEARCH("Var", D705))), 1, 0)</f>
        <v/>
      </c>
      <c r="R705" s="171">
        <f>IF(F705&gt;0, J705, 1000000000)</f>
        <v/>
      </c>
      <c r="S705" s="101">
        <f>IF(AND(F705&lt;=DASHBOARD!$B$11, H705&gt;=DASHBOARD!$B$13), G705, -1000000000000)</f>
        <v/>
      </c>
      <c r="T705" s="101">
        <f>IF(AND(F705&lt;=DASHBOARD!$B$11, H705&gt;=DASHBOARD!$B$13), R705, 1000000000000)</f>
        <v/>
      </c>
      <c r="U705" s="101">
        <f>IF(AND(F705&lt;=DASHBOARD!$B$11, H705&gt;=DASHBOARD!$B$13), N705, -1000000000000)</f>
        <v/>
      </c>
      <c r="V705" s="101">
        <f>IF(AND(F705&lt;=DASHBOARD!$B$11, H705&gt;=DASHBOARD!$B$13), H705, -1000000000000)</f>
        <v/>
      </c>
      <c r="W705" s="101">
        <f>IF(AND(F705&lt;=DASHBOARD!$B$11, H705&gt;=DASHBOARD!$B$13), K705, -1000000000000)</f>
        <v/>
      </c>
      <c r="X705" s="101">
        <f>IF(AND(F705&lt;=DASHBOARD!$B$11, H705&gt;=DASHBOARD!$B$13), M705, 1000000000000)</f>
        <v/>
      </c>
      <c r="Y705" s="101">
        <f>IF(AND(F705&lt;=DASHBOARD!$B$10, H705&gt;=DASHBOARD!$B$11), L705, 1000000000000)</f>
        <v/>
      </c>
      <c r="Z705" s="101">
        <f>IF(AND(F705&lt;=DASHBOARD!$B$10, H705&gt;=DASHBOARD!$B$11), O705, 1000000000000)</f>
        <v/>
      </c>
      <c r="AA705" s="101">
        <f>IF(AND(F705&lt;=DASHBOARD!$B$10, H705&gt;=DASHBOARD!$B$11), P705, 1000000000000)</f>
        <v/>
      </c>
      <c r="AB705" s="101">
        <f>IF(AND(F705&lt;=DASHBOARD!$B$10, H705&gt;=DASHBOARD!$B$11), Q705, -1000000000000)</f>
        <v/>
      </c>
    </row>
    <row r="706" ht="15" customHeight="1" s="102">
      <c r="A706" s="166" t="n">
        <v>702</v>
      </c>
      <c r="B706" s="167" t="n">
        <v>1.6</v>
      </c>
      <c r="C706" s="167" t="n">
        <v>1.4</v>
      </c>
      <c r="D706" s="110" t="inlineStr">
        <is>
          <t>Var (%20)</t>
        </is>
      </c>
      <c r="E706" s="110">
        <f>IF((B706+C706)&lt;=1, "Tam Mahsuplaşma (≤%100)", "Kısmi Satış (&gt;%100)")</f>
        <v/>
      </c>
      <c r="F706" s="168">
        <f>((VERI_TABANI!$D$29*B706/VERI_TABANI!$B$29)/VERI_TABANI!$B$3)*VERI_TABANI!$B$5 + ((VERI_TABANI!$D$29*C706/VERI_TABANI!$B$29)/VERI_TABANI!$B$4)*VERI_TABANI!$B$6 + IF(ISNUMBER(SEARCH("Var", D706)), (VERI_TABANI!$F$29/VERI_TABANI!$B$29)*(VERI_TABANI!$B$10+VERI_TABANI!$B$12), 0)</f>
        <v/>
      </c>
      <c r="G706" s="168">
        <f>(((MIN(VERI_TABANI!D23, VERI_TABANI!D23*B706)*VERI_TABANI!$B$7 + MAX(0, VERI_TABANI!D23*B706-VERI_TABANI!D23)*VERI_TABANI!$B$8) + (MIN(MAX(0, VERI_TABANI!D23-VERI_TABANI!D23*B706), VERI_TABANI!D23*C706)*VERI_TABANI!$B$7 + MAX(0, VERI_TABANI!D23*C706-MAX(0, VERI_TABANI!D23-VERI_TABANI!D23*B706))*VERI_TABANI!$B$8) + IF(ABS(IF(ISNUMBER(SEARCH("Var", D706)), 1, IF(ISNUMBER(SEARCH("Gri", D706)), -1, 0)))=1, VERI_TABANI!E23*(1-0.928)*VERI_TABANI!$B$9, 0) + (VERI_TABANI!D23*B706*(VERI_TABANI!$B$13-VERI_TABANI!$B$14)*VERI_TABANI!G23) + (VERI_TABANI!D23*C706*(VERI_TABANI!$B$13-VERI_TABANI!$B$15)*VERI_TABANI!G23) + IF(ABS(IF(ISNUMBER(SEARCH("Var", D706)), 1, IF(ISNUMBER(SEARCH("Gri", D706)), -1, 0)))=1, VERI_TABANI!E23*(1-0.928)*0.00206091519919798*VERI_TABANI!G23, 0)) + ((MIN(VERI_TABANI!D24, VERI_TABANI!D24*B706)*VERI_TABANI!$B$7 + MAX(0, VERI_TABANI!D24*B706-VERI_TABANI!D24)*VERI_TABANI!$B$8) + (MIN(MAX(0, VERI_TABANI!D24-VERI_TABANI!D24*B706), VERI_TABANI!D24*C706)*VERI_TABANI!$B$7 + MAX(0, VERI_TABANI!D24*C706-MAX(0, VERI_TABANI!D24-VERI_TABANI!D24*B706))*VERI_TABANI!$B$8) + IF(ABS(IF(ISNUMBER(SEARCH("Var", D706)), 1, IF(ISNUMBER(SEARCH("Gri", D706)), -1, 0)))=1, VERI_TABANI!E24*(1-0.928)*VERI_TABANI!$B$9, 0) + (VERI_TABANI!D24*B706*(VERI_TABANI!$B$13-VERI_TABANI!$B$14)*VERI_TABANI!G24) + (VERI_TABANI!D24*C706*(VERI_TABANI!$B$13-VERI_TABANI!$B$15)*VERI_TABANI!G24) + IF(ABS(IF(ISNUMBER(SEARCH("Var", D706)), 1, IF(ISNUMBER(SEARCH("Gri", D706)), -1, 0)))=1, VERI_TABANI!E24*(1-0.928)*0.00206091519919798*VERI_TABANI!G24, 0)) + ((MIN(VERI_TABANI!D25, VERI_TABANI!D25*B706)*VERI_TABANI!$B$7 + MAX(0, VERI_TABANI!D25*B706-VERI_TABANI!D25)*VERI_TABANI!$B$8) + (MIN(MAX(0, VERI_TABANI!D25-VERI_TABANI!D25*B706), VERI_TABANI!D25*C706)*VERI_TABANI!$B$7 + MAX(0, VERI_TABANI!D25*C706-MAX(0, VERI_TABANI!D25-VERI_TABANI!D25*B706))*VERI_TABANI!$B$8) + IF(ABS(IF(ISNUMBER(SEARCH("Var", D706)), 1, IF(ISNUMBER(SEARCH("Gri", D706)), -1, 0)))=1, VERI_TABANI!E25*(1-0.928)*VERI_TABANI!$B$9, 0) + (VERI_TABANI!D25*B706*(VERI_TABANI!$B$13-VERI_TABANI!$B$14)*VERI_TABANI!G25) + (VERI_TABANI!D25*C706*(VERI_TABANI!$B$13-VERI_TABANI!$B$15)*VERI_TABANI!G25) + IF(ABS(IF(ISNUMBER(SEARCH("Var", D706)), 1, IF(ISNUMBER(SEARCH("Gri", D706)), -1, 0)))=1, VERI_TABANI!E25*(1-0.928)*0.00206091519919798*VERI_TABANI!G25, 0)) + ((MIN(VERI_TABANI!D26, VERI_TABANI!D26*B706)*VERI_TABANI!$B$7 + MAX(0, VERI_TABANI!D26*B706-VERI_TABANI!D26)*VERI_TABANI!$B$8) + (MIN(MAX(0, VERI_TABANI!D26-VERI_TABANI!D26*B706), VERI_TABANI!D26*C706)*VERI_TABANI!$B$7 + MAX(0, VERI_TABANI!D26*C706-MAX(0, VERI_TABANI!D26-VERI_TABANI!D26*B706))*VERI_TABANI!$B$8) + IF(ABS(IF(ISNUMBER(SEARCH("Var", D706)), 1, IF(ISNUMBER(SEARCH("Gri", D706)), -1, 0)))=1, VERI_TABANI!E26*(1-0.928)*VERI_TABANI!$B$9, 0) + (VERI_TABANI!D26*B706*(VERI_TABANI!$B$13-VERI_TABANI!$B$14)*VERI_TABANI!G26) + (VERI_TABANI!D26*C706*(VERI_TABANI!$B$13-VERI_TABANI!$B$15)*VERI_TABANI!G26) + IF(ABS(IF(ISNUMBER(SEARCH("Var", D706)), 1, IF(ISNUMBER(SEARCH("Gri", D706)), -1, 0)))=1, VERI_TABANI!E26*(1-0.928)*0.00206091519919798*VERI_TABANI!G26, 0)) + ((MIN(VERI_TABANI!D27, VERI_TABANI!D27*B706)*VERI_TABANI!$B$7 + MAX(0, VERI_TABANI!D27*B706-VERI_TABANI!D27)*VERI_TABANI!$B$8) + (MIN(MAX(0, VERI_TABANI!D27-VERI_TABANI!D27*B706), VERI_TABANI!D27*C706)*VERI_TABANI!$B$7 + MAX(0, VERI_TABANI!D27*C706-MAX(0, VERI_TABANI!D27-VERI_TABANI!D27*B706))*VERI_TABANI!$B$8) + IF(ABS(IF(ISNUMBER(SEARCH("Var", D706)), 1, IF(ISNUMBER(SEARCH("Gri", D706)), -1, 0)))=1, VERI_TABANI!E27*(1-0.928)*VERI_TABANI!$B$9, 0) + (VERI_TABANI!D27*B706*(VERI_TABANI!$B$13-VERI_TABANI!$B$14)*VERI_TABANI!G27) + (VERI_TABANI!D27*C706*(VERI_TABANI!$B$13-VERI_TABANI!$B$15)*VERI_TABANI!G27) + IF(ABS(IF(ISNUMBER(SEARCH("Var", D706)), 1, IF(ISNUMBER(SEARCH("Gri", D706)), -1, 0)))=1, VERI_TABANI!E27*(1-0.928)*0.00206091519919798*VERI_TABANI!G27, 0)) + ((MIN(VERI_TABANI!D28, VERI_TABANI!D28*B706)*VERI_TABANI!$B$7 + MAX(0, VERI_TABANI!D28*B706-VERI_TABANI!D28)*VERI_TABANI!$B$8) + (MIN(MAX(0, VERI_TABANI!D28-VERI_TABANI!D28*B706), VERI_TABANI!D28*C706)*VERI_TABANI!$B$7 + MAX(0, VERI_TABANI!D28*C706-MAX(0, VERI_TABANI!D28-VERI_TABANI!D28*B706))*VERI_TABANI!$B$8) + IF(ABS(IF(ISNUMBER(SEARCH("Var", D706)), 1, IF(ISNUMBER(SEARCH("Gri", D706)), -1, 0)))=1, VERI_TABANI!E28*(1-0.928)*VERI_TABANI!$B$9, 0) + (VERI_TABANI!D28*B706*(VERI_TABANI!$B$13-VERI_TABANI!$B$14)*VERI_TABANI!G28) + (VERI_TABANI!D28*C706*(VERI_TABANI!$B$13-VERI_TABANI!$B$15)*VERI_TABANI!G28) + IF(ABS(IF(ISNUMBER(SEARCH("Var", D706)), 1, IF(ISNUMBER(SEARCH("Gri", D706)), -1, 0)))=1, VERI_TABANI!E28*(1-0.928)*0.00206091519919798*VERI_TABANI!G28, 0)))</f>
        <v/>
      </c>
      <c r="H706" s="169">
        <f>(((VERI_TABANI!D23*B706*(VERI_TABANI!$B$13-VERI_TABANI!$B$14)) + (VERI_TABANI!D23*C706*(VERI_TABANI!$B$13-VERI_TABANI!$B$15)) + IF(ISNUMBER(SEARCH("Var", D706)), VERI_TABANI!F23*(0.00202-VERI_TABANI!$B$16), IF(ISNUMBER(SEARCH("Gri", D706)), VERI_TABANI!F23*(0.00202-VERI_TABANI!$B$17), 0))) + ((VERI_TABANI!D24*B706*(VERI_TABANI!$B$13-VERI_TABANI!$B$14)) + (VERI_TABANI!D24*C706*(VERI_TABANI!$B$13-VERI_TABANI!$B$15)) + IF(ISNUMBER(SEARCH("Var", D706)), VERI_TABANI!F24*(0.00202-VERI_TABANI!$B$16), IF(ISNUMBER(SEARCH("Gri", D706)), VERI_TABANI!F24*(0.00202-VERI_TABANI!$B$17), 0))) + ((VERI_TABANI!D25*B706*(VERI_TABANI!$B$13-VERI_TABANI!$B$14)) + (VERI_TABANI!D25*C706*(VERI_TABANI!$B$13-VERI_TABANI!$B$15)) + IF(ISNUMBER(SEARCH("Var", D706)), VERI_TABANI!F25*(0.00202-VERI_TABANI!$B$16), IF(ISNUMBER(SEARCH("Gri", D706)), VERI_TABANI!F25*(0.00202-VERI_TABANI!$B$17), 0))) + ((VERI_TABANI!D26*B706*(VERI_TABANI!$B$13-VERI_TABANI!$B$14)) + (VERI_TABANI!D26*C706*(VERI_TABANI!$B$13-VERI_TABANI!$B$15)) + IF(ISNUMBER(SEARCH("Var", D706)), VERI_TABANI!F26*(0.00202-VERI_TABANI!$B$16), IF(ISNUMBER(SEARCH("Gri", D706)), VERI_TABANI!F26*(0.00202-VERI_TABANI!$B$17), 0))) + ((VERI_TABANI!D27*B706*(VERI_TABANI!$B$13-VERI_TABANI!$B$14)) + (VERI_TABANI!D27*C706*(VERI_TABANI!$B$13-VERI_TABANI!$B$15)) + IF(ISNUMBER(SEARCH("Var", D706)), VERI_TABANI!F27*(0.00202-VERI_TABANI!$B$16), IF(ISNUMBER(SEARCH("Gri", D706)), VERI_TABANI!F27*(0.00202-VERI_TABANI!$B$17), 0))) + ((VERI_TABANI!D28*B706*(VERI_TABANI!$B$13-VERI_TABANI!$B$14)) + (VERI_TABANI!D28*C706*(VERI_TABANI!$B$13-VERI_TABANI!$B$15)) + IF(ISNUMBER(SEARCH("Var", D706)), VERI_TABANI!F28*(0.00202-VERI_TABANI!$B$16), IF(ISNUMBER(SEARCH("Gri", D706)), VERI_TABANI!F28*(0.00202-VERI_TABANI!$B$17), 0))))</f>
        <v/>
      </c>
      <c r="I706" s="170">
        <f>IFERROR(((VERI_TABANI!$D$29*B706*VERI_TABANI!$B$14 + VERI_TABANI!$D$29*C706*VERI_TABANI!$B$15 + IF(ISNUMBER(SEARCH("Var", D706)), VERI_TABANI!$F$29*VERI_TABANI!$B$16, 0))) / (((VERI_TABANI!$D$29*B706 + VERI_TABANI!$D$29*C706)*VERI_TABANI!$B$13 + IF(ISNUMBER(SEARCH("Var", D706)), VERI_TABANI!$E$29*(1-0.928)*VERI_TABANI!$B$18, 0))), 0)</f>
        <v/>
      </c>
      <c r="J706" s="171">
        <f>IFERROR(F706/(G706/29), 0)</f>
        <v/>
      </c>
      <c r="K706" s="172">
        <f>IF(F706&gt;0, H706/F706, 0)</f>
        <v/>
      </c>
      <c r="L706" s="170">
        <f>IF(F706&gt;0, I706, 1000000000)</f>
        <v/>
      </c>
      <c r="M706" s="171">
        <f>ABS((B706+C706)-1)</f>
        <v/>
      </c>
      <c r="N706" s="170">
        <f>IF(F706&gt;0, (G706/29)/F706, 0)</f>
        <v/>
      </c>
      <c r="O706" s="168">
        <f>IF(AND((B706+C706)&gt;=1, ISNUMBER(SEARCH("Var", D706))), F706, 1000000000)</f>
        <v/>
      </c>
      <c r="P706" s="172">
        <f>IF(F706&gt;0, SQRT((F706/MAX(F$5:F$886))^2 + (1 - H706/MAX(H$5:H$886))^2 + (J706/MAX(J$5:J$886))^2), 1000000000)</f>
        <v/>
      </c>
      <c r="Q706" s="166">
        <f>IF(AND(ABS(B706-0.5)&lt;0.01, ABS(C706-0.5)&lt;0.01, ISNUMBER(SEARCH("Var", D706))), 1, 0)</f>
        <v/>
      </c>
      <c r="R706" s="171">
        <f>IF(F706&gt;0, J706, 1000000000)</f>
        <v/>
      </c>
      <c r="S706" s="101">
        <f>IF(AND(F706&lt;=DASHBOARD!$B$11, H706&gt;=DASHBOARD!$B$13), G706, -1000000000000)</f>
        <v/>
      </c>
      <c r="T706" s="101">
        <f>IF(AND(F706&lt;=DASHBOARD!$B$11, H706&gt;=DASHBOARD!$B$13), R706, 1000000000000)</f>
        <v/>
      </c>
      <c r="U706" s="101">
        <f>IF(AND(F706&lt;=DASHBOARD!$B$11, H706&gt;=DASHBOARD!$B$13), N706, -1000000000000)</f>
        <v/>
      </c>
      <c r="V706" s="101">
        <f>IF(AND(F706&lt;=DASHBOARD!$B$11, H706&gt;=DASHBOARD!$B$13), H706, -1000000000000)</f>
        <v/>
      </c>
      <c r="W706" s="101">
        <f>IF(AND(F706&lt;=DASHBOARD!$B$11, H706&gt;=DASHBOARD!$B$13), K706, -1000000000000)</f>
        <v/>
      </c>
      <c r="X706" s="101">
        <f>IF(AND(F706&lt;=DASHBOARD!$B$11, H706&gt;=DASHBOARD!$B$13), M706, 1000000000000)</f>
        <v/>
      </c>
      <c r="Y706" s="101">
        <f>IF(AND(F706&lt;=DASHBOARD!$B$10, H706&gt;=DASHBOARD!$B$11), L706, 1000000000000)</f>
        <v/>
      </c>
      <c r="Z706" s="101">
        <f>IF(AND(F706&lt;=DASHBOARD!$B$10, H706&gt;=DASHBOARD!$B$11), O706, 1000000000000)</f>
        <v/>
      </c>
      <c r="AA706" s="101">
        <f>IF(AND(F706&lt;=DASHBOARD!$B$10, H706&gt;=DASHBOARD!$B$11), P706, 1000000000000)</f>
        <v/>
      </c>
      <c r="AB706" s="101">
        <f>IF(AND(F706&lt;=DASHBOARD!$B$10, H706&gt;=DASHBOARD!$B$11), Q706, -1000000000000)</f>
        <v/>
      </c>
    </row>
    <row r="707" ht="15" customHeight="1" s="102">
      <c r="A707" s="166" t="n">
        <v>703</v>
      </c>
      <c r="B707" s="167" t="n">
        <v>1.6</v>
      </c>
      <c r="C707" s="167" t="n">
        <v>1.5</v>
      </c>
      <c r="D707" s="110" t="inlineStr">
        <is>
          <t>Yok (%0)</t>
        </is>
      </c>
      <c r="E707" s="110">
        <f>IF((B707+C707)&lt;=1, "Tam Mahsuplaşma (≤%100)", "Kısmi Satış (&gt;%100)")</f>
        <v/>
      </c>
      <c r="F707" s="168">
        <f>((VERI_TABANI!$D$29*B707/VERI_TABANI!$B$29)/VERI_TABANI!$B$3)*VERI_TABANI!$B$5 + ((VERI_TABANI!$D$29*C707/VERI_TABANI!$B$29)/VERI_TABANI!$B$4)*VERI_TABANI!$B$6 + IF(ISNUMBER(SEARCH("Var", D707)), (VERI_TABANI!$F$29/VERI_TABANI!$B$29)*(VERI_TABANI!$B$10+VERI_TABANI!$B$12), 0)</f>
        <v/>
      </c>
      <c r="G707" s="168">
        <f>(((MIN(VERI_TABANI!D23, VERI_TABANI!D23*B707)*VERI_TABANI!$B$7 + MAX(0, VERI_TABANI!D23*B707-VERI_TABANI!D23)*VERI_TABANI!$B$8) + (MIN(MAX(0, VERI_TABANI!D23-VERI_TABANI!D23*B707), VERI_TABANI!D23*C707)*VERI_TABANI!$B$7 + MAX(0, VERI_TABANI!D23*C707-MAX(0, VERI_TABANI!D23-VERI_TABANI!D23*B707))*VERI_TABANI!$B$8) + IF(ABS(IF(ISNUMBER(SEARCH("Var", D707)), 1, IF(ISNUMBER(SEARCH("Gri", D707)), -1, 0)))=1, VERI_TABANI!E23*(1-0.928)*VERI_TABANI!$B$9, 0) + (VERI_TABANI!D23*B707*(VERI_TABANI!$B$13-VERI_TABANI!$B$14)*VERI_TABANI!G23) + (VERI_TABANI!D23*C707*(VERI_TABANI!$B$13-VERI_TABANI!$B$15)*VERI_TABANI!G23) + IF(ABS(IF(ISNUMBER(SEARCH("Var", D707)), 1, IF(ISNUMBER(SEARCH("Gri", D707)), -1, 0)))=1, VERI_TABANI!E23*(1-0.928)*0.00206091519919798*VERI_TABANI!G23, 0)) + ((MIN(VERI_TABANI!D24, VERI_TABANI!D24*B707)*VERI_TABANI!$B$7 + MAX(0, VERI_TABANI!D24*B707-VERI_TABANI!D24)*VERI_TABANI!$B$8) + (MIN(MAX(0, VERI_TABANI!D24-VERI_TABANI!D24*B707), VERI_TABANI!D24*C707)*VERI_TABANI!$B$7 + MAX(0, VERI_TABANI!D24*C707-MAX(0, VERI_TABANI!D24-VERI_TABANI!D24*B707))*VERI_TABANI!$B$8) + IF(ABS(IF(ISNUMBER(SEARCH("Var", D707)), 1, IF(ISNUMBER(SEARCH("Gri", D707)), -1, 0)))=1, VERI_TABANI!E24*(1-0.928)*VERI_TABANI!$B$9, 0) + (VERI_TABANI!D24*B707*(VERI_TABANI!$B$13-VERI_TABANI!$B$14)*VERI_TABANI!G24) + (VERI_TABANI!D24*C707*(VERI_TABANI!$B$13-VERI_TABANI!$B$15)*VERI_TABANI!G24) + IF(ABS(IF(ISNUMBER(SEARCH("Var", D707)), 1, IF(ISNUMBER(SEARCH("Gri", D707)), -1, 0)))=1, VERI_TABANI!E24*(1-0.928)*0.00206091519919798*VERI_TABANI!G24, 0)) + ((MIN(VERI_TABANI!D25, VERI_TABANI!D25*B707)*VERI_TABANI!$B$7 + MAX(0, VERI_TABANI!D25*B707-VERI_TABANI!D25)*VERI_TABANI!$B$8) + (MIN(MAX(0, VERI_TABANI!D25-VERI_TABANI!D25*B707), VERI_TABANI!D25*C707)*VERI_TABANI!$B$7 + MAX(0, VERI_TABANI!D25*C707-MAX(0, VERI_TABANI!D25-VERI_TABANI!D25*B707))*VERI_TABANI!$B$8) + IF(ABS(IF(ISNUMBER(SEARCH("Var", D707)), 1, IF(ISNUMBER(SEARCH("Gri", D707)), -1, 0)))=1, VERI_TABANI!E25*(1-0.928)*VERI_TABANI!$B$9, 0) + (VERI_TABANI!D25*B707*(VERI_TABANI!$B$13-VERI_TABANI!$B$14)*VERI_TABANI!G25) + (VERI_TABANI!D25*C707*(VERI_TABANI!$B$13-VERI_TABANI!$B$15)*VERI_TABANI!G25) + IF(ABS(IF(ISNUMBER(SEARCH("Var", D707)), 1, IF(ISNUMBER(SEARCH("Gri", D707)), -1, 0)))=1, VERI_TABANI!E25*(1-0.928)*0.00206091519919798*VERI_TABANI!G25, 0)) + ((MIN(VERI_TABANI!D26, VERI_TABANI!D26*B707)*VERI_TABANI!$B$7 + MAX(0, VERI_TABANI!D26*B707-VERI_TABANI!D26)*VERI_TABANI!$B$8) + (MIN(MAX(0, VERI_TABANI!D26-VERI_TABANI!D26*B707), VERI_TABANI!D26*C707)*VERI_TABANI!$B$7 + MAX(0, VERI_TABANI!D26*C707-MAX(0, VERI_TABANI!D26-VERI_TABANI!D26*B707))*VERI_TABANI!$B$8) + IF(ABS(IF(ISNUMBER(SEARCH("Var", D707)), 1, IF(ISNUMBER(SEARCH("Gri", D707)), -1, 0)))=1, VERI_TABANI!E26*(1-0.928)*VERI_TABANI!$B$9, 0) + (VERI_TABANI!D26*B707*(VERI_TABANI!$B$13-VERI_TABANI!$B$14)*VERI_TABANI!G26) + (VERI_TABANI!D26*C707*(VERI_TABANI!$B$13-VERI_TABANI!$B$15)*VERI_TABANI!G26) + IF(ABS(IF(ISNUMBER(SEARCH("Var", D707)), 1, IF(ISNUMBER(SEARCH("Gri", D707)), -1, 0)))=1, VERI_TABANI!E26*(1-0.928)*0.00206091519919798*VERI_TABANI!G26, 0)) + ((MIN(VERI_TABANI!D27, VERI_TABANI!D27*B707)*VERI_TABANI!$B$7 + MAX(0, VERI_TABANI!D27*B707-VERI_TABANI!D27)*VERI_TABANI!$B$8) + (MIN(MAX(0, VERI_TABANI!D27-VERI_TABANI!D27*B707), VERI_TABANI!D27*C707)*VERI_TABANI!$B$7 + MAX(0, VERI_TABANI!D27*C707-MAX(0, VERI_TABANI!D27-VERI_TABANI!D27*B707))*VERI_TABANI!$B$8) + IF(ABS(IF(ISNUMBER(SEARCH("Var", D707)), 1, IF(ISNUMBER(SEARCH("Gri", D707)), -1, 0)))=1, VERI_TABANI!E27*(1-0.928)*VERI_TABANI!$B$9, 0) + (VERI_TABANI!D27*B707*(VERI_TABANI!$B$13-VERI_TABANI!$B$14)*VERI_TABANI!G27) + (VERI_TABANI!D27*C707*(VERI_TABANI!$B$13-VERI_TABANI!$B$15)*VERI_TABANI!G27) + IF(ABS(IF(ISNUMBER(SEARCH("Var", D707)), 1, IF(ISNUMBER(SEARCH("Gri", D707)), -1, 0)))=1, VERI_TABANI!E27*(1-0.928)*0.00206091519919798*VERI_TABANI!G27, 0)) + ((MIN(VERI_TABANI!D28, VERI_TABANI!D28*B707)*VERI_TABANI!$B$7 + MAX(0, VERI_TABANI!D28*B707-VERI_TABANI!D28)*VERI_TABANI!$B$8) + (MIN(MAX(0, VERI_TABANI!D28-VERI_TABANI!D28*B707), VERI_TABANI!D28*C707)*VERI_TABANI!$B$7 + MAX(0, VERI_TABANI!D28*C707-MAX(0, VERI_TABANI!D28-VERI_TABANI!D28*B707))*VERI_TABANI!$B$8) + IF(ABS(IF(ISNUMBER(SEARCH("Var", D707)), 1, IF(ISNUMBER(SEARCH("Gri", D707)), -1, 0)))=1, VERI_TABANI!E28*(1-0.928)*VERI_TABANI!$B$9, 0) + (VERI_TABANI!D28*B707*(VERI_TABANI!$B$13-VERI_TABANI!$B$14)*VERI_TABANI!G28) + (VERI_TABANI!D28*C707*(VERI_TABANI!$B$13-VERI_TABANI!$B$15)*VERI_TABANI!G28) + IF(ABS(IF(ISNUMBER(SEARCH("Var", D707)), 1, IF(ISNUMBER(SEARCH("Gri", D707)), -1, 0)))=1, VERI_TABANI!E28*(1-0.928)*0.00206091519919798*VERI_TABANI!G28, 0)))</f>
        <v/>
      </c>
      <c r="H707" s="169">
        <f>(((VERI_TABANI!D23*B707*(VERI_TABANI!$B$13-VERI_TABANI!$B$14)) + (VERI_TABANI!D23*C707*(VERI_TABANI!$B$13-VERI_TABANI!$B$15)) + IF(ISNUMBER(SEARCH("Var", D707)), VERI_TABANI!F23*(0.00202-VERI_TABANI!$B$16), IF(ISNUMBER(SEARCH("Gri", D707)), VERI_TABANI!F23*(0.00202-VERI_TABANI!$B$17), 0))) + ((VERI_TABANI!D24*B707*(VERI_TABANI!$B$13-VERI_TABANI!$B$14)) + (VERI_TABANI!D24*C707*(VERI_TABANI!$B$13-VERI_TABANI!$B$15)) + IF(ISNUMBER(SEARCH("Var", D707)), VERI_TABANI!F24*(0.00202-VERI_TABANI!$B$16), IF(ISNUMBER(SEARCH("Gri", D707)), VERI_TABANI!F24*(0.00202-VERI_TABANI!$B$17), 0))) + ((VERI_TABANI!D25*B707*(VERI_TABANI!$B$13-VERI_TABANI!$B$14)) + (VERI_TABANI!D25*C707*(VERI_TABANI!$B$13-VERI_TABANI!$B$15)) + IF(ISNUMBER(SEARCH("Var", D707)), VERI_TABANI!F25*(0.00202-VERI_TABANI!$B$16), IF(ISNUMBER(SEARCH("Gri", D707)), VERI_TABANI!F25*(0.00202-VERI_TABANI!$B$17), 0))) + ((VERI_TABANI!D26*B707*(VERI_TABANI!$B$13-VERI_TABANI!$B$14)) + (VERI_TABANI!D26*C707*(VERI_TABANI!$B$13-VERI_TABANI!$B$15)) + IF(ISNUMBER(SEARCH("Var", D707)), VERI_TABANI!F26*(0.00202-VERI_TABANI!$B$16), IF(ISNUMBER(SEARCH("Gri", D707)), VERI_TABANI!F26*(0.00202-VERI_TABANI!$B$17), 0))) + ((VERI_TABANI!D27*B707*(VERI_TABANI!$B$13-VERI_TABANI!$B$14)) + (VERI_TABANI!D27*C707*(VERI_TABANI!$B$13-VERI_TABANI!$B$15)) + IF(ISNUMBER(SEARCH("Var", D707)), VERI_TABANI!F27*(0.00202-VERI_TABANI!$B$16), IF(ISNUMBER(SEARCH("Gri", D707)), VERI_TABANI!F27*(0.00202-VERI_TABANI!$B$17), 0))) + ((VERI_TABANI!D28*B707*(VERI_TABANI!$B$13-VERI_TABANI!$B$14)) + (VERI_TABANI!D28*C707*(VERI_TABANI!$B$13-VERI_TABANI!$B$15)) + IF(ISNUMBER(SEARCH("Var", D707)), VERI_TABANI!F28*(0.00202-VERI_TABANI!$B$16), IF(ISNUMBER(SEARCH("Gri", D707)), VERI_TABANI!F28*(0.00202-VERI_TABANI!$B$17), 0))))</f>
        <v/>
      </c>
      <c r="I707" s="170">
        <f>IFERROR(((VERI_TABANI!$D$29*B707*VERI_TABANI!$B$14 + VERI_TABANI!$D$29*C707*VERI_TABANI!$B$15 + IF(ISNUMBER(SEARCH("Var", D707)), VERI_TABANI!$F$29*VERI_TABANI!$B$16, 0))) / (((VERI_TABANI!$D$29*B707 + VERI_TABANI!$D$29*C707)*VERI_TABANI!$B$13 + IF(ISNUMBER(SEARCH("Var", D707)), VERI_TABANI!$E$29*(1-0.928)*VERI_TABANI!$B$18, 0))), 0)</f>
        <v/>
      </c>
      <c r="J707" s="171">
        <f>IFERROR(F707/(G707/29), 0)</f>
        <v/>
      </c>
      <c r="K707" s="172">
        <f>IF(F707&gt;0, H707/F707, 0)</f>
        <v/>
      </c>
      <c r="L707" s="170">
        <f>IF(F707&gt;0, I707, 1000000000)</f>
        <v/>
      </c>
      <c r="M707" s="171">
        <f>ABS((B707+C707)-1)</f>
        <v/>
      </c>
      <c r="N707" s="170">
        <f>IF(F707&gt;0, (G707/29)/F707, 0)</f>
        <v/>
      </c>
      <c r="O707" s="168">
        <f>IF(AND((B707+C707)&gt;=1, ISNUMBER(SEARCH("Var", D707))), F707, 1000000000)</f>
        <v/>
      </c>
      <c r="P707" s="172">
        <f>IF(F707&gt;0, SQRT((F707/MAX(F$5:F$886))^2 + (1 - H707/MAX(H$5:H$886))^2 + (J707/MAX(J$5:J$886))^2), 1000000000)</f>
        <v/>
      </c>
      <c r="Q707" s="166">
        <f>IF(AND(ABS(B707-0.5)&lt;0.01, ABS(C707-0.5)&lt;0.01, ISNUMBER(SEARCH("Var", D707))), 1, 0)</f>
        <v/>
      </c>
      <c r="R707" s="171">
        <f>IF(F707&gt;0, J707, 1000000000)</f>
        <v/>
      </c>
      <c r="S707" s="101">
        <f>IF(AND(F707&lt;=DASHBOARD!$B$11, H707&gt;=DASHBOARD!$B$13), G707, -1000000000000)</f>
        <v/>
      </c>
      <c r="T707" s="101">
        <f>IF(AND(F707&lt;=DASHBOARD!$B$11, H707&gt;=DASHBOARD!$B$13), R707, 1000000000000)</f>
        <v/>
      </c>
      <c r="U707" s="101">
        <f>IF(AND(F707&lt;=DASHBOARD!$B$11, H707&gt;=DASHBOARD!$B$13), N707, -1000000000000)</f>
        <v/>
      </c>
      <c r="V707" s="101">
        <f>IF(AND(F707&lt;=DASHBOARD!$B$11, H707&gt;=DASHBOARD!$B$13), H707, -1000000000000)</f>
        <v/>
      </c>
      <c r="W707" s="101">
        <f>IF(AND(F707&lt;=DASHBOARD!$B$11, H707&gt;=DASHBOARD!$B$13), K707, -1000000000000)</f>
        <v/>
      </c>
      <c r="X707" s="101">
        <f>IF(AND(F707&lt;=DASHBOARD!$B$11, H707&gt;=DASHBOARD!$B$13), M707, 1000000000000)</f>
        <v/>
      </c>
      <c r="Y707" s="101">
        <f>IF(AND(F707&lt;=DASHBOARD!$B$10, H707&gt;=DASHBOARD!$B$11), L707, 1000000000000)</f>
        <v/>
      </c>
      <c r="Z707" s="101">
        <f>IF(AND(F707&lt;=DASHBOARD!$B$10, H707&gt;=DASHBOARD!$B$11), O707, 1000000000000)</f>
        <v/>
      </c>
      <c r="AA707" s="101">
        <f>IF(AND(F707&lt;=DASHBOARD!$B$10, H707&gt;=DASHBOARD!$B$11), P707, 1000000000000)</f>
        <v/>
      </c>
      <c r="AB707" s="101">
        <f>IF(AND(F707&lt;=DASHBOARD!$B$10, H707&gt;=DASHBOARD!$B$11), Q707, -1000000000000)</f>
        <v/>
      </c>
    </row>
    <row r="708" ht="15" customHeight="1" s="102">
      <c r="A708" s="166" t="n">
        <v>704</v>
      </c>
      <c r="B708" s="167" t="n">
        <v>1.6</v>
      </c>
      <c r="C708" s="167" t="n">
        <v>1.5</v>
      </c>
      <c r="D708" s="110" t="inlineStr">
        <is>
          <t>Var (%20)</t>
        </is>
      </c>
      <c r="E708" s="110">
        <f>IF((B708+C708)&lt;=1, "Tam Mahsuplaşma (≤%100)", "Kısmi Satış (&gt;%100)")</f>
        <v/>
      </c>
      <c r="F708" s="168">
        <f>((VERI_TABANI!$D$29*B708/VERI_TABANI!$B$29)/VERI_TABANI!$B$3)*VERI_TABANI!$B$5 + ((VERI_TABANI!$D$29*C708/VERI_TABANI!$B$29)/VERI_TABANI!$B$4)*VERI_TABANI!$B$6 + IF(ISNUMBER(SEARCH("Var", D708)), (VERI_TABANI!$F$29/VERI_TABANI!$B$29)*(VERI_TABANI!$B$10+VERI_TABANI!$B$12), 0)</f>
        <v/>
      </c>
      <c r="G708" s="168">
        <f>(((MIN(VERI_TABANI!D23, VERI_TABANI!D23*B708)*VERI_TABANI!$B$7 + MAX(0, VERI_TABANI!D23*B708-VERI_TABANI!D23)*VERI_TABANI!$B$8) + (MIN(MAX(0, VERI_TABANI!D23-VERI_TABANI!D23*B708), VERI_TABANI!D23*C708)*VERI_TABANI!$B$7 + MAX(0, VERI_TABANI!D23*C708-MAX(0, VERI_TABANI!D23-VERI_TABANI!D23*B708))*VERI_TABANI!$B$8) + IF(ABS(IF(ISNUMBER(SEARCH("Var", D708)), 1, IF(ISNUMBER(SEARCH("Gri", D708)), -1, 0)))=1, VERI_TABANI!E23*(1-0.928)*VERI_TABANI!$B$9, 0) + (VERI_TABANI!D23*B708*(VERI_TABANI!$B$13-VERI_TABANI!$B$14)*VERI_TABANI!G23) + (VERI_TABANI!D23*C708*(VERI_TABANI!$B$13-VERI_TABANI!$B$15)*VERI_TABANI!G23) + IF(ABS(IF(ISNUMBER(SEARCH("Var", D708)), 1, IF(ISNUMBER(SEARCH("Gri", D708)), -1, 0)))=1, VERI_TABANI!E23*(1-0.928)*0.00206091519919798*VERI_TABANI!G23, 0)) + ((MIN(VERI_TABANI!D24, VERI_TABANI!D24*B708)*VERI_TABANI!$B$7 + MAX(0, VERI_TABANI!D24*B708-VERI_TABANI!D24)*VERI_TABANI!$B$8) + (MIN(MAX(0, VERI_TABANI!D24-VERI_TABANI!D24*B708), VERI_TABANI!D24*C708)*VERI_TABANI!$B$7 + MAX(0, VERI_TABANI!D24*C708-MAX(0, VERI_TABANI!D24-VERI_TABANI!D24*B708))*VERI_TABANI!$B$8) + IF(ABS(IF(ISNUMBER(SEARCH("Var", D708)), 1, IF(ISNUMBER(SEARCH("Gri", D708)), -1, 0)))=1, VERI_TABANI!E24*(1-0.928)*VERI_TABANI!$B$9, 0) + (VERI_TABANI!D24*B708*(VERI_TABANI!$B$13-VERI_TABANI!$B$14)*VERI_TABANI!G24) + (VERI_TABANI!D24*C708*(VERI_TABANI!$B$13-VERI_TABANI!$B$15)*VERI_TABANI!G24) + IF(ABS(IF(ISNUMBER(SEARCH("Var", D708)), 1, IF(ISNUMBER(SEARCH("Gri", D708)), -1, 0)))=1, VERI_TABANI!E24*(1-0.928)*0.00206091519919798*VERI_TABANI!G24, 0)) + ((MIN(VERI_TABANI!D25, VERI_TABANI!D25*B708)*VERI_TABANI!$B$7 + MAX(0, VERI_TABANI!D25*B708-VERI_TABANI!D25)*VERI_TABANI!$B$8) + (MIN(MAX(0, VERI_TABANI!D25-VERI_TABANI!D25*B708), VERI_TABANI!D25*C708)*VERI_TABANI!$B$7 + MAX(0, VERI_TABANI!D25*C708-MAX(0, VERI_TABANI!D25-VERI_TABANI!D25*B708))*VERI_TABANI!$B$8) + IF(ABS(IF(ISNUMBER(SEARCH("Var", D708)), 1, IF(ISNUMBER(SEARCH("Gri", D708)), -1, 0)))=1, VERI_TABANI!E25*(1-0.928)*VERI_TABANI!$B$9, 0) + (VERI_TABANI!D25*B708*(VERI_TABANI!$B$13-VERI_TABANI!$B$14)*VERI_TABANI!G25) + (VERI_TABANI!D25*C708*(VERI_TABANI!$B$13-VERI_TABANI!$B$15)*VERI_TABANI!G25) + IF(ABS(IF(ISNUMBER(SEARCH("Var", D708)), 1, IF(ISNUMBER(SEARCH("Gri", D708)), -1, 0)))=1, VERI_TABANI!E25*(1-0.928)*0.00206091519919798*VERI_TABANI!G25, 0)) + ((MIN(VERI_TABANI!D26, VERI_TABANI!D26*B708)*VERI_TABANI!$B$7 + MAX(0, VERI_TABANI!D26*B708-VERI_TABANI!D26)*VERI_TABANI!$B$8) + (MIN(MAX(0, VERI_TABANI!D26-VERI_TABANI!D26*B708), VERI_TABANI!D26*C708)*VERI_TABANI!$B$7 + MAX(0, VERI_TABANI!D26*C708-MAX(0, VERI_TABANI!D26-VERI_TABANI!D26*B708))*VERI_TABANI!$B$8) + IF(ABS(IF(ISNUMBER(SEARCH("Var", D708)), 1, IF(ISNUMBER(SEARCH("Gri", D708)), -1, 0)))=1, VERI_TABANI!E26*(1-0.928)*VERI_TABANI!$B$9, 0) + (VERI_TABANI!D26*B708*(VERI_TABANI!$B$13-VERI_TABANI!$B$14)*VERI_TABANI!G26) + (VERI_TABANI!D26*C708*(VERI_TABANI!$B$13-VERI_TABANI!$B$15)*VERI_TABANI!G26) + IF(ABS(IF(ISNUMBER(SEARCH("Var", D708)), 1, IF(ISNUMBER(SEARCH("Gri", D708)), -1, 0)))=1, VERI_TABANI!E26*(1-0.928)*0.00206091519919798*VERI_TABANI!G26, 0)) + ((MIN(VERI_TABANI!D27, VERI_TABANI!D27*B708)*VERI_TABANI!$B$7 + MAX(0, VERI_TABANI!D27*B708-VERI_TABANI!D27)*VERI_TABANI!$B$8) + (MIN(MAX(0, VERI_TABANI!D27-VERI_TABANI!D27*B708), VERI_TABANI!D27*C708)*VERI_TABANI!$B$7 + MAX(0, VERI_TABANI!D27*C708-MAX(0, VERI_TABANI!D27-VERI_TABANI!D27*B708))*VERI_TABANI!$B$8) + IF(ABS(IF(ISNUMBER(SEARCH("Var", D708)), 1, IF(ISNUMBER(SEARCH("Gri", D708)), -1, 0)))=1, VERI_TABANI!E27*(1-0.928)*VERI_TABANI!$B$9, 0) + (VERI_TABANI!D27*B708*(VERI_TABANI!$B$13-VERI_TABANI!$B$14)*VERI_TABANI!G27) + (VERI_TABANI!D27*C708*(VERI_TABANI!$B$13-VERI_TABANI!$B$15)*VERI_TABANI!G27) + IF(ABS(IF(ISNUMBER(SEARCH("Var", D708)), 1, IF(ISNUMBER(SEARCH("Gri", D708)), -1, 0)))=1, VERI_TABANI!E27*(1-0.928)*0.00206091519919798*VERI_TABANI!G27, 0)) + ((MIN(VERI_TABANI!D28, VERI_TABANI!D28*B708)*VERI_TABANI!$B$7 + MAX(0, VERI_TABANI!D28*B708-VERI_TABANI!D28)*VERI_TABANI!$B$8) + (MIN(MAX(0, VERI_TABANI!D28-VERI_TABANI!D28*B708), VERI_TABANI!D28*C708)*VERI_TABANI!$B$7 + MAX(0, VERI_TABANI!D28*C708-MAX(0, VERI_TABANI!D28-VERI_TABANI!D28*B708))*VERI_TABANI!$B$8) + IF(ABS(IF(ISNUMBER(SEARCH("Var", D708)), 1, IF(ISNUMBER(SEARCH("Gri", D708)), -1, 0)))=1, VERI_TABANI!E28*(1-0.928)*VERI_TABANI!$B$9, 0) + (VERI_TABANI!D28*B708*(VERI_TABANI!$B$13-VERI_TABANI!$B$14)*VERI_TABANI!G28) + (VERI_TABANI!D28*C708*(VERI_TABANI!$B$13-VERI_TABANI!$B$15)*VERI_TABANI!G28) + IF(ABS(IF(ISNUMBER(SEARCH("Var", D708)), 1, IF(ISNUMBER(SEARCH("Gri", D708)), -1, 0)))=1, VERI_TABANI!E28*(1-0.928)*0.00206091519919798*VERI_TABANI!G28, 0)))</f>
        <v/>
      </c>
      <c r="H708" s="169">
        <f>(((VERI_TABANI!D23*B708*(VERI_TABANI!$B$13-VERI_TABANI!$B$14)) + (VERI_TABANI!D23*C708*(VERI_TABANI!$B$13-VERI_TABANI!$B$15)) + IF(ISNUMBER(SEARCH("Var", D708)), VERI_TABANI!F23*(0.00202-VERI_TABANI!$B$16), IF(ISNUMBER(SEARCH("Gri", D708)), VERI_TABANI!F23*(0.00202-VERI_TABANI!$B$17), 0))) + ((VERI_TABANI!D24*B708*(VERI_TABANI!$B$13-VERI_TABANI!$B$14)) + (VERI_TABANI!D24*C708*(VERI_TABANI!$B$13-VERI_TABANI!$B$15)) + IF(ISNUMBER(SEARCH("Var", D708)), VERI_TABANI!F24*(0.00202-VERI_TABANI!$B$16), IF(ISNUMBER(SEARCH("Gri", D708)), VERI_TABANI!F24*(0.00202-VERI_TABANI!$B$17), 0))) + ((VERI_TABANI!D25*B708*(VERI_TABANI!$B$13-VERI_TABANI!$B$14)) + (VERI_TABANI!D25*C708*(VERI_TABANI!$B$13-VERI_TABANI!$B$15)) + IF(ISNUMBER(SEARCH("Var", D708)), VERI_TABANI!F25*(0.00202-VERI_TABANI!$B$16), IF(ISNUMBER(SEARCH("Gri", D708)), VERI_TABANI!F25*(0.00202-VERI_TABANI!$B$17), 0))) + ((VERI_TABANI!D26*B708*(VERI_TABANI!$B$13-VERI_TABANI!$B$14)) + (VERI_TABANI!D26*C708*(VERI_TABANI!$B$13-VERI_TABANI!$B$15)) + IF(ISNUMBER(SEARCH("Var", D708)), VERI_TABANI!F26*(0.00202-VERI_TABANI!$B$16), IF(ISNUMBER(SEARCH("Gri", D708)), VERI_TABANI!F26*(0.00202-VERI_TABANI!$B$17), 0))) + ((VERI_TABANI!D27*B708*(VERI_TABANI!$B$13-VERI_TABANI!$B$14)) + (VERI_TABANI!D27*C708*(VERI_TABANI!$B$13-VERI_TABANI!$B$15)) + IF(ISNUMBER(SEARCH("Var", D708)), VERI_TABANI!F27*(0.00202-VERI_TABANI!$B$16), IF(ISNUMBER(SEARCH("Gri", D708)), VERI_TABANI!F27*(0.00202-VERI_TABANI!$B$17), 0))) + ((VERI_TABANI!D28*B708*(VERI_TABANI!$B$13-VERI_TABANI!$B$14)) + (VERI_TABANI!D28*C708*(VERI_TABANI!$B$13-VERI_TABANI!$B$15)) + IF(ISNUMBER(SEARCH("Var", D708)), VERI_TABANI!F28*(0.00202-VERI_TABANI!$B$16), IF(ISNUMBER(SEARCH("Gri", D708)), VERI_TABANI!F28*(0.00202-VERI_TABANI!$B$17), 0))))</f>
        <v/>
      </c>
      <c r="I708" s="170">
        <f>IFERROR(((VERI_TABANI!$D$29*B708*VERI_TABANI!$B$14 + VERI_TABANI!$D$29*C708*VERI_TABANI!$B$15 + IF(ISNUMBER(SEARCH("Var", D708)), VERI_TABANI!$F$29*VERI_TABANI!$B$16, 0))) / (((VERI_TABANI!$D$29*B708 + VERI_TABANI!$D$29*C708)*VERI_TABANI!$B$13 + IF(ISNUMBER(SEARCH("Var", D708)), VERI_TABANI!$E$29*(1-0.928)*VERI_TABANI!$B$18, 0))), 0)</f>
        <v/>
      </c>
      <c r="J708" s="171">
        <f>IFERROR(F708/(G708/29), 0)</f>
        <v/>
      </c>
      <c r="K708" s="172">
        <f>IF(F708&gt;0, H708/F708, 0)</f>
        <v/>
      </c>
      <c r="L708" s="170">
        <f>IF(F708&gt;0, I708, 1000000000)</f>
        <v/>
      </c>
      <c r="M708" s="171">
        <f>ABS((B708+C708)-1)</f>
        <v/>
      </c>
      <c r="N708" s="170">
        <f>IF(F708&gt;0, (G708/29)/F708, 0)</f>
        <v/>
      </c>
      <c r="O708" s="168">
        <f>IF(AND((B708+C708)&gt;=1, ISNUMBER(SEARCH("Var", D708))), F708, 1000000000)</f>
        <v/>
      </c>
      <c r="P708" s="172">
        <f>IF(F708&gt;0, SQRT((F708/MAX(F$5:F$886))^2 + (1 - H708/MAX(H$5:H$886))^2 + (J708/MAX(J$5:J$886))^2), 1000000000)</f>
        <v/>
      </c>
      <c r="Q708" s="166">
        <f>IF(AND(ABS(B708-0.5)&lt;0.01, ABS(C708-0.5)&lt;0.01, ISNUMBER(SEARCH("Var", D708))), 1, 0)</f>
        <v/>
      </c>
      <c r="R708" s="171">
        <f>IF(F708&gt;0, J708, 1000000000)</f>
        <v/>
      </c>
      <c r="S708" s="101">
        <f>IF(AND(F708&lt;=DASHBOARD!$B$11, H708&gt;=DASHBOARD!$B$13), G708, -1000000000000)</f>
        <v/>
      </c>
      <c r="T708" s="101">
        <f>IF(AND(F708&lt;=DASHBOARD!$B$11, H708&gt;=DASHBOARD!$B$13), R708, 1000000000000)</f>
        <v/>
      </c>
      <c r="U708" s="101">
        <f>IF(AND(F708&lt;=DASHBOARD!$B$11, H708&gt;=DASHBOARD!$B$13), N708, -1000000000000)</f>
        <v/>
      </c>
      <c r="V708" s="101">
        <f>IF(AND(F708&lt;=DASHBOARD!$B$11, H708&gt;=DASHBOARD!$B$13), H708, -1000000000000)</f>
        <v/>
      </c>
      <c r="W708" s="101">
        <f>IF(AND(F708&lt;=DASHBOARD!$B$11, H708&gt;=DASHBOARD!$B$13), K708, -1000000000000)</f>
        <v/>
      </c>
      <c r="X708" s="101">
        <f>IF(AND(F708&lt;=DASHBOARD!$B$11, H708&gt;=DASHBOARD!$B$13), M708, 1000000000000)</f>
        <v/>
      </c>
      <c r="Y708" s="101">
        <f>IF(AND(F708&lt;=DASHBOARD!$B$10, H708&gt;=DASHBOARD!$B$11), L708, 1000000000000)</f>
        <v/>
      </c>
      <c r="Z708" s="101">
        <f>IF(AND(F708&lt;=DASHBOARD!$B$10, H708&gt;=DASHBOARD!$B$11), O708, 1000000000000)</f>
        <v/>
      </c>
      <c r="AA708" s="101">
        <f>IF(AND(F708&lt;=DASHBOARD!$B$10, H708&gt;=DASHBOARD!$B$11), P708, 1000000000000)</f>
        <v/>
      </c>
      <c r="AB708" s="101">
        <f>IF(AND(F708&lt;=DASHBOARD!$B$10, H708&gt;=DASHBOARD!$B$11), Q708, -1000000000000)</f>
        <v/>
      </c>
    </row>
    <row r="709" ht="15" customHeight="1" s="102">
      <c r="A709" s="166" t="n">
        <v>705</v>
      </c>
      <c r="B709" s="167" t="n">
        <v>1.6</v>
      </c>
      <c r="C709" s="167" t="n">
        <v>1.6</v>
      </c>
      <c r="D709" s="110" t="inlineStr">
        <is>
          <t>Yok (%0)</t>
        </is>
      </c>
      <c r="E709" s="110">
        <f>IF((B709+C709)&lt;=1, "Tam Mahsuplaşma (≤%100)", "Kısmi Satış (&gt;%100)")</f>
        <v/>
      </c>
      <c r="F709" s="168">
        <f>((VERI_TABANI!$D$29*B709/VERI_TABANI!$B$29)/VERI_TABANI!$B$3)*VERI_TABANI!$B$5 + ((VERI_TABANI!$D$29*C709/VERI_TABANI!$B$29)/VERI_TABANI!$B$4)*VERI_TABANI!$B$6 + IF(ISNUMBER(SEARCH("Var", D709)), (VERI_TABANI!$F$29/VERI_TABANI!$B$29)*(VERI_TABANI!$B$10+VERI_TABANI!$B$12), 0)</f>
        <v/>
      </c>
      <c r="G709" s="168">
        <f>(((MIN(VERI_TABANI!D23, VERI_TABANI!D23*B709)*VERI_TABANI!$B$7 + MAX(0, VERI_TABANI!D23*B709-VERI_TABANI!D23)*VERI_TABANI!$B$8) + (MIN(MAX(0, VERI_TABANI!D23-VERI_TABANI!D23*B709), VERI_TABANI!D23*C709)*VERI_TABANI!$B$7 + MAX(0, VERI_TABANI!D23*C709-MAX(0, VERI_TABANI!D23-VERI_TABANI!D23*B709))*VERI_TABANI!$B$8) + IF(ABS(IF(ISNUMBER(SEARCH("Var", D709)), 1, IF(ISNUMBER(SEARCH("Gri", D709)), -1, 0)))=1, VERI_TABANI!E23*(1-0.928)*VERI_TABANI!$B$9, 0) + (VERI_TABANI!D23*B709*(VERI_TABANI!$B$13-VERI_TABANI!$B$14)*VERI_TABANI!G23) + (VERI_TABANI!D23*C709*(VERI_TABANI!$B$13-VERI_TABANI!$B$15)*VERI_TABANI!G23) + IF(ABS(IF(ISNUMBER(SEARCH("Var", D709)), 1, IF(ISNUMBER(SEARCH("Gri", D709)), -1, 0)))=1, VERI_TABANI!E23*(1-0.928)*0.00206091519919798*VERI_TABANI!G23, 0)) + ((MIN(VERI_TABANI!D24, VERI_TABANI!D24*B709)*VERI_TABANI!$B$7 + MAX(0, VERI_TABANI!D24*B709-VERI_TABANI!D24)*VERI_TABANI!$B$8) + (MIN(MAX(0, VERI_TABANI!D24-VERI_TABANI!D24*B709), VERI_TABANI!D24*C709)*VERI_TABANI!$B$7 + MAX(0, VERI_TABANI!D24*C709-MAX(0, VERI_TABANI!D24-VERI_TABANI!D24*B709))*VERI_TABANI!$B$8) + IF(ABS(IF(ISNUMBER(SEARCH("Var", D709)), 1, IF(ISNUMBER(SEARCH("Gri", D709)), -1, 0)))=1, VERI_TABANI!E24*(1-0.928)*VERI_TABANI!$B$9, 0) + (VERI_TABANI!D24*B709*(VERI_TABANI!$B$13-VERI_TABANI!$B$14)*VERI_TABANI!G24) + (VERI_TABANI!D24*C709*(VERI_TABANI!$B$13-VERI_TABANI!$B$15)*VERI_TABANI!G24) + IF(ABS(IF(ISNUMBER(SEARCH("Var", D709)), 1, IF(ISNUMBER(SEARCH("Gri", D709)), -1, 0)))=1, VERI_TABANI!E24*(1-0.928)*0.00206091519919798*VERI_TABANI!G24, 0)) + ((MIN(VERI_TABANI!D25, VERI_TABANI!D25*B709)*VERI_TABANI!$B$7 + MAX(0, VERI_TABANI!D25*B709-VERI_TABANI!D25)*VERI_TABANI!$B$8) + (MIN(MAX(0, VERI_TABANI!D25-VERI_TABANI!D25*B709), VERI_TABANI!D25*C709)*VERI_TABANI!$B$7 + MAX(0, VERI_TABANI!D25*C709-MAX(0, VERI_TABANI!D25-VERI_TABANI!D25*B709))*VERI_TABANI!$B$8) + IF(ABS(IF(ISNUMBER(SEARCH("Var", D709)), 1, IF(ISNUMBER(SEARCH("Gri", D709)), -1, 0)))=1, VERI_TABANI!E25*(1-0.928)*VERI_TABANI!$B$9, 0) + (VERI_TABANI!D25*B709*(VERI_TABANI!$B$13-VERI_TABANI!$B$14)*VERI_TABANI!G25) + (VERI_TABANI!D25*C709*(VERI_TABANI!$B$13-VERI_TABANI!$B$15)*VERI_TABANI!G25) + IF(ABS(IF(ISNUMBER(SEARCH("Var", D709)), 1, IF(ISNUMBER(SEARCH("Gri", D709)), -1, 0)))=1, VERI_TABANI!E25*(1-0.928)*0.00206091519919798*VERI_TABANI!G25, 0)) + ((MIN(VERI_TABANI!D26, VERI_TABANI!D26*B709)*VERI_TABANI!$B$7 + MAX(0, VERI_TABANI!D26*B709-VERI_TABANI!D26)*VERI_TABANI!$B$8) + (MIN(MAX(0, VERI_TABANI!D26-VERI_TABANI!D26*B709), VERI_TABANI!D26*C709)*VERI_TABANI!$B$7 + MAX(0, VERI_TABANI!D26*C709-MAX(0, VERI_TABANI!D26-VERI_TABANI!D26*B709))*VERI_TABANI!$B$8) + IF(ABS(IF(ISNUMBER(SEARCH("Var", D709)), 1, IF(ISNUMBER(SEARCH("Gri", D709)), -1, 0)))=1, VERI_TABANI!E26*(1-0.928)*VERI_TABANI!$B$9, 0) + (VERI_TABANI!D26*B709*(VERI_TABANI!$B$13-VERI_TABANI!$B$14)*VERI_TABANI!G26) + (VERI_TABANI!D26*C709*(VERI_TABANI!$B$13-VERI_TABANI!$B$15)*VERI_TABANI!G26) + IF(ABS(IF(ISNUMBER(SEARCH("Var", D709)), 1, IF(ISNUMBER(SEARCH("Gri", D709)), -1, 0)))=1, VERI_TABANI!E26*(1-0.928)*0.00206091519919798*VERI_TABANI!G26, 0)) + ((MIN(VERI_TABANI!D27, VERI_TABANI!D27*B709)*VERI_TABANI!$B$7 + MAX(0, VERI_TABANI!D27*B709-VERI_TABANI!D27)*VERI_TABANI!$B$8) + (MIN(MAX(0, VERI_TABANI!D27-VERI_TABANI!D27*B709), VERI_TABANI!D27*C709)*VERI_TABANI!$B$7 + MAX(0, VERI_TABANI!D27*C709-MAX(0, VERI_TABANI!D27-VERI_TABANI!D27*B709))*VERI_TABANI!$B$8) + IF(ABS(IF(ISNUMBER(SEARCH("Var", D709)), 1, IF(ISNUMBER(SEARCH("Gri", D709)), -1, 0)))=1, VERI_TABANI!E27*(1-0.928)*VERI_TABANI!$B$9, 0) + (VERI_TABANI!D27*B709*(VERI_TABANI!$B$13-VERI_TABANI!$B$14)*VERI_TABANI!G27) + (VERI_TABANI!D27*C709*(VERI_TABANI!$B$13-VERI_TABANI!$B$15)*VERI_TABANI!G27) + IF(ABS(IF(ISNUMBER(SEARCH("Var", D709)), 1, IF(ISNUMBER(SEARCH("Gri", D709)), -1, 0)))=1, VERI_TABANI!E27*(1-0.928)*0.00206091519919798*VERI_TABANI!G27, 0)) + ((MIN(VERI_TABANI!D28, VERI_TABANI!D28*B709)*VERI_TABANI!$B$7 + MAX(0, VERI_TABANI!D28*B709-VERI_TABANI!D28)*VERI_TABANI!$B$8) + (MIN(MAX(0, VERI_TABANI!D28-VERI_TABANI!D28*B709), VERI_TABANI!D28*C709)*VERI_TABANI!$B$7 + MAX(0, VERI_TABANI!D28*C709-MAX(0, VERI_TABANI!D28-VERI_TABANI!D28*B709))*VERI_TABANI!$B$8) + IF(ABS(IF(ISNUMBER(SEARCH("Var", D709)), 1, IF(ISNUMBER(SEARCH("Gri", D709)), -1, 0)))=1, VERI_TABANI!E28*(1-0.928)*VERI_TABANI!$B$9, 0) + (VERI_TABANI!D28*B709*(VERI_TABANI!$B$13-VERI_TABANI!$B$14)*VERI_TABANI!G28) + (VERI_TABANI!D28*C709*(VERI_TABANI!$B$13-VERI_TABANI!$B$15)*VERI_TABANI!G28) + IF(ABS(IF(ISNUMBER(SEARCH("Var", D709)), 1, IF(ISNUMBER(SEARCH("Gri", D709)), -1, 0)))=1, VERI_TABANI!E28*(1-0.928)*0.00206091519919798*VERI_TABANI!G28, 0)))</f>
        <v/>
      </c>
      <c r="H709" s="169">
        <f>(((VERI_TABANI!D23*B709*(VERI_TABANI!$B$13-VERI_TABANI!$B$14)) + (VERI_TABANI!D23*C709*(VERI_TABANI!$B$13-VERI_TABANI!$B$15)) + IF(ISNUMBER(SEARCH("Var", D709)), VERI_TABANI!F23*(0.00202-VERI_TABANI!$B$16), IF(ISNUMBER(SEARCH("Gri", D709)), VERI_TABANI!F23*(0.00202-VERI_TABANI!$B$17), 0))) + ((VERI_TABANI!D24*B709*(VERI_TABANI!$B$13-VERI_TABANI!$B$14)) + (VERI_TABANI!D24*C709*(VERI_TABANI!$B$13-VERI_TABANI!$B$15)) + IF(ISNUMBER(SEARCH("Var", D709)), VERI_TABANI!F24*(0.00202-VERI_TABANI!$B$16), IF(ISNUMBER(SEARCH("Gri", D709)), VERI_TABANI!F24*(0.00202-VERI_TABANI!$B$17), 0))) + ((VERI_TABANI!D25*B709*(VERI_TABANI!$B$13-VERI_TABANI!$B$14)) + (VERI_TABANI!D25*C709*(VERI_TABANI!$B$13-VERI_TABANI!$B$15)) + IF(ISNUMBER(SEARCH("Var", D709)), VERI_TABANI!F25*(0.00202-VERI_TABANI!$B$16), IF(ISNUMBER(SEARCH("Gri", D709)), VERI_TABANI!F25*(0.00202-VERI_TABANI!$B$17), 0))) + ((VERI_TABANI!D26*B709*(VERI_TABANI!$B$13-VERI_TABANI!$B$14)) + (VERI_TABANI!D26*C709*(VERI_TABANI!$B$13-VERI_TABANI!$B$15)) + IF(ISNUMBER(SEARCH("Var", D709)), VERI_TABANI!F26*(0.00202-VERI_TABANI!$B$16), IF(ISNUMBER(SEARCH("Gri", D709)), VERI_TABANI!F26*(0.00202-VERI_TABANI!$B$17), 0))) + ((VERI_TABANI!D27*B709*(VERI_TABANI!$B$13-VERI_TABANI!$B$14)) + (VERI_TABANI!D27*C709*(VERI_TABANI!$B$13-VERI_TABANI!$B$15)) + IF(ISNUMBER(SEARCH("Var", D709)), VERI_TABANI!F27*(0.00202-VERI_TABANI!$B$16), IF(ISNUMBER(SEARCH("Gri", D709)), VERI_TABANI!F27*(0.00202-VERI_TABANI!$B$17), 0))) + ((VERI_TABANI!D28*B709*(VERI_TABANI!$B$13-VERI_TABANI!$B$14)) + (VERI_TABANI!D28*C709*(VERI_TABANI!$B$13-VERI_TABANI!$B$15)) + IF(ISNUMBER(SEARCH("Var", D709)), VERI_TABANI!F28*(0.00202-VERI_TABANI!$B$16), IF(ISNUMBER(SEARCH("Gri", D709)), VERI_TABANI!F28*(0.00202-VERI_TABANI!$B$17), 0))))</f>
        <v/>
      </c>
      <c r="I709" s="170">
        <f>IFERROR(((VERI_TABANI!$D$29*B709*VERI_TABANI!$B$14 + VERI_TABANI!$D$29*C709*VERI_TABANI!$B$15 + IF(ISNUMBER(SEARCH("Var", D709)), VERI_TABANI!$F$29*VERI_TABANI!$B$16, 0))) / (((VERI_TABANI!$D$29*B709 + VERI_TABANI!$D$29*C709)*VERI_TABANI!$B$13 + IF(ISNUMBER(SEARCH("Var", D709)), VERI_TABANI!$E$29*(1-0.928)*VERI_TABANI!$B$18, 0))), 0)</f>
        <v/>
      </c>
      <c r="J709" s="171">
        <f>IFERROR(F709/(G709/29), 0)</f>
        <v/>
      </c>
      <c r="K709" s="172">
        <f>IF(F709&gt;0, H709/F709, 0)</f>
        <v/>
      </c>
      <c r="L709" s="170">
        <f>IF(F709&gt;0, I709, 1000000000)</f>
        <v/>
      </c>
      <c r="M709" s="171">
        <f>ABS((B709+C709)-1)</f>
        <v/>
      </c>
      <c r="N709" s="170">
        <f>IF(F709&gt;0, (G709/29)/F709, 0)</f>
        <v/>
      </c>
      <c r="O709" s="168">
        <f>IF(AND((B709+C709)&gt;=1, ISNUMBER(SEARCH("Var", D709))), F709, 1000000000)</f>
        <v/>
      </c>
      <c r="P709" s="172">
        <f>IF(F709&gt;0, SQRT((F709/MAX(F$5:F$886))^2 + (1 - H709/MAX(H$5:H$886))^2 + (J709/MAX(J$5:J$886))^2), 1000000000)</f>
        <v/>
      </c>
      <c r="Q709" s="166">
        <f>IF(AND(ABS(B709-0.5)&lt;0.01, ABS(C709-0.5)&lt;0.01, ISNUMBER(SEARCH("Var", D709))), 1, 0)</f>
        <v/>
      </c>
      <c r="R709" s="171">
        <f>IF(F709&gt;0, J709, 1000000000)</f>
        <v/>
      </c>
      <c r="S709" s="101">
        <f>IF(AND(F709&lt;=DASHBOARD!$B$11, H709&gt;=DASHBOARD!$B$13), G709, -1000000000000)</f>
        <v/>
      </c>
      <c r="T709" s="101">
        <f>IF(AND(F709&lt;=DASHBOARD!$B$11, H709&gt;=DASHBOARD!$B$13), R709, 1000000000000)</f>
        <v/>
      </c>
      <c r="U709" s="101">
        <f>IF(AND(F709&lt;=DASHBOARD!$B$11, H709&gt;=DASHBOARD!$B$13), N709, -1000000000000)</f>
        <v/>
      </c>
      <c r="V709" s="101">
        <f>IF(AND(F709&lt;=DASHBOARD!$B$11, H709&gt;=DASHBOARD!$B$13), H709, -1000000000000)</f>
        <v/>
      </c>
      <c r="W709" s="101">
        <f>IF(AND(F709&lt;=DASHBOARD!$B$11, H709&gt;=DASHBOARD!$B$13), K709, -1000000000000)</f>
        <v/>
      </c>
      <c r="X709" s="101">
        <f>IF(AND(F709&lt;=DASHBOARD!$B$11, H709&gt;=DASHBOARD!$B$13), M709, 1000000000000)</f>
        <v/>
      </c>
      <c r="Y709" s="101">
        <f>IF(AND(F709&lt;=DASHBOARD!$B$10, H709&gt;=DASHBOARD!$B$11), L709, 1000000000000)</f>
        <v/>
      </c>
      <c r="Z709" s="101">
        <f>IF(AND(F709&lt;=DASHBOARD!$B$10, H709&gt;=DASHBOARD!$B$11), O709, 1000000000000)</f>
        <v/>
      </c>
      <c r="AA709" s="101">
        <f>IF(AND(F709&lt;=DASHBOARD!$B$10, H709&gt;=DASHBOARD!$B$11), P709, 1000000000000)</f>
        <v/>
      </c>
      <c r="AB709" s="101">
        <f>IF(AND(F709&lt;=DASHBOARD!$B$10, H709&gt;=DASHBOARD!$B$11), Q709, -1000000000000)</f>
        <v/>
      </c>
    </row>
    <row r="710" ht="15" customHeight="1" s="102">
      <c r="A710" s="166" t="n">
        <v>706</v>
      </c>
      <c r="B710" s="167" t="n">
        <v>1.6</v>
      </c>
      <c r="C710" s="167" t="n">
        <v>1.6</v>
      </c>
      <c r="D710" s="110" t="inlineStr">
        <is>
          <t>Var (%20)</t>
        </is>
      </c>
      <c r="E710" s="110">
        <f>IF((B710+C710)&lt;=1, "Tam Mahsuplaşma (≤%100)", "Kısmi Satış (&gt;%100)")</f>
        <v/>
      </c>
      <c r="F710" s="168">
        <f>((VERI_TABANI!$D$29*B710/VERI_TABANI!$B$29)/VERI_TABANI!$B$3)*VERI_TABANI!$B$5 + ((VERI_TABANI!$D$29*C710/VERI_TABANI!$B$29)/VERI_TABANI!$B$4)*VERI_TABANI!$B$6 + IF(ISNUMBER(SEARCH("Var", D710)), (VERI_TABANI!$F$29/VERI_TABANI!$B$29)*(VERI_TABANI!$B$10+VERI_TABANI!$B$12), 0)</f>
        <v/>
      </c>
      <c r="G710" s="168">
        <f>(((MIN(VERI_TABANI!D23, VERI_TABANI!D23*B710)*VERI_TABANI!$B$7 + MAX(0, VERI_TABANI!D23*B710-VERI_TABANI!D23)*VERI_TABANI!$B$8) + (MIN(MAX(0, VERI_TABANI!D23-VERI_TABANI!D23*B710), VERI_TABANI!D23*C710)*VERI_TABANI!$B$7 + MAX(0, VERI_TABANI!D23*C710-MAX(0, VERI_TABANI!D23-VERI_TABANI!D23*B710))*VERI_TABANI!$B$8) + IF(ABS(IF(ISNUMBER(SEARCH("Var", D710)), 1, IF(ISNUMBER(SEARCH("Gri", D710)), -1, 0)))=1, VERI_TABANI!E23*(1-0.928)*VERI_TABANI!$B$9, 0) + (VERI_TABANI!D23*B710*(VERI_TABANI!$B$13-VERI_TABANI!$B$14)*VERI_TABANI!G23) + (VERI_TABANI!D23*C710*(VERI_TABANI!$B$13-VERI_TABANI!$B$15)*VERI_TABANI!G23) + IF(ABS(IF(ISNUMBER(SEARCH("Var", D710)), 1, IF(ISNUMBER(SEARCH("Gri", D710)), -1, 0)))=1, VERI_TABANI!E23*(1-0.928)*0.00206091519919798*VERI_TABANI!G23, 0)) + ((MIN(VERI_TABANI!D24, VERI_TABANI!D24*B710)*VERI_TABANI!$B$7 + MAX(0, VERI_TABANI!D24*B710-VERI_TABANI!D24)*VERI_TABANI!$B$8) + (MIN(MAX(0, VERI_TABANI!D24-VERI_TABANI!D24*B710), VERI_TABANI!D24*C710)*VERI_TABANI!$B$7 + MAX(0, VERI_TABANI!D24*C710-MAX(0, VERI_TABANI!D24-VERI_TABANI!D24*B710))*VERI_TABANI!$B$8) + IF(ABS(IF(ISNUMBER(SEARCH("Var", D710)), 1, IF(ISNUMBER(SEARCH("Gri", D710)), -1, 0)))=1, VERI_TABANI!E24*(1-0.928)*VERI_TABANI!$B$9, 0) + (VERI_TABANI!D24*B710*(VERI_TABANI!$B$13-VERI_TABANI!$B$14)*VERI_TABANI!G24) + (VERI_TABANI!D24*C710*(VERI_TABANI!$B$13-VERI_TABANI!$B$15)*VERI_TABANI!G24) + IF(ABS(IF(ISNUMBER(SEARCH("Var", D710)), 1, IF(ISNUMBER(SEARCH("Gri", D710)), -1, 0)))=1, VERI_TABANI!E24*(1-0.928)*0.00206091519919798*VERI_TABANI!G24, 0)) + ((MIN(VERI_TABANI!D25, VERI_TABANI!D25*B710)*VERI_TABANI!$B$7 + MAX(0, VERI_TABANI!D25*B710-VERI_TABANI!D25)*VERI_TABANI!$B$8) + (MIN(MAX(0, VERI_TABANI!D25-VERI_TABANI!D25*B710), VERI_TABANI!D25*C710)*VERI_TABANI!$B$7 + MAX(0, VERI_TABANI!D25*C710-MAX(0, VERI_TABANI!D25-VERI_TABANI!D25*B710))*VERI_TABANI!$B$8) + IF(ABS(IF(ISNUMBER(SEARCH("Var", D710)), 1, IF(ISNUMBER(SEARCH("Gri", D710)), -1, 0)))=1, VERI_TABANI!E25*(1-0.928)*VERI_TABANI!$B$9, 0) + (VERI_TABANI!D25*B710*(VERI_TABANI!$B$13-VERI_TABANI!$B$14)*VERI_TABANI!G25) + (VERI_TABANI!D25*C710*(VERI_TABANI!$B$13-VERI_TABANI!$B$15)*VERI_TABANI!G25) + IF(ABS(IF(ISNUMBER(SEARCH("Var", D710)), 1, IF(ISNUMBER(SEARCH("Gri", D710)), -1, 0)))=1, VERI_TABANI!E25*(1-0.928)*0.00206091519919798*VERI_TABANI!G25, 0)) + ((MIN(VERI_TABANI!D26, VERI_TABANI!D26*B710)*VERI_TABANI!$B$7 + MAX(0, VERI_TABANI!D26*B710-VERI_TABANI!D26)*VERI_TABANI!$B$8) + (MIN(MAX(0, VERI_TABANI!D26-VERI_TABANI!D26*B710), VERI_TABANI!D26*C710)*VERI_TABANI!$B$7 + MAX(0, VERI_TABANI!D26*C710-MAX(0, VERI_TABANI!D26-VERI_TABANI!D26*B710))*VERI_TABANI!$B$8) + IF(ABS(IF(ISNUMBER(SEARCH("Var", D710)), 1, IF(ISNUMBER(SEARCH("Gri", D710)), -1, 0)))=1, VERI_TABANI!E26*(1-0.928)*VERI_TABANI!$B$9, 0) + (VERI_TABANI!D26*B710*(VERI_TABANI!$B$13-VERI_TABANI!$B$14)*VERI_TABANI!G26) + (VERI_TABANI!D26*C710*(VERI_TABANI!$B$13-VERI_TABANI!$B$15)*VERI_TABANI!G26) + IF(ABS(IF(ISNUMBER(SEARCH("Var", D710)), 1, IF(ISNUMBER(SEARCH("Gri", D710)), -1, 0)))=1, VERI_TABANI!E26*(1-0.928)*0.00206091519919798*VERI_TABANI!G26, 0)) + ((MIN(VERI_TABANI!D27, VERI_TABANI!D27*B710)*VERI_TABANI!$B$7 + MAX(0, VERI_TABANI!D27*B710-VERI_TABANI!D27)*VERI_TABANI!$B$8) + (MIN(MAX(0, VERI_TABANI!D27-VERI_TABANI!D27*B710), VERI_TABANI!D27*C710)*VERI_TABANI!$B$7 + MAX(0, VERI_TABANI!D27*C710-MAX(0, VERI_TABANI!D27-VERI_TABANI!D27*B710))*VERI_TABANI!$B$8) + IF(ABS(IF(ISNUMBER(SEARCH("Var", D710)), 1, IF(ISNUMBER(SEARCH("Gri", D710)), -1, 0)))=1, VERI_TABANI!E27*(1-0.928)*VERI_TABANI!$B$9, 0) + (VERI_TABANI!D27*B710*(VERI_TABANI!$B$13-VERI_TABANI!$B$14)*VERI_TABANI!G27) + (VERI_TABANI!D27*C710*(VERI_TABANI!$B$13-VERI_TABANI!$B$15)*VERI_TABANI!G27) + IF(ABS(IF(ISNUMBER(SEARCH("Var", D710)), 1, IF(ISNUMBER(SEARCH("Gri", D710)), -1, 0)))=1, VERI_TABANI!E27*(1-0.928)*0.00206091519919798*VERI_TABANI!G27, 0)) + ((MIN(VERI_TABANI!D28, VERI_TABANI!D28*B710)*VERI_TABANI!$B$7 + MAX(0, VERI_TABANI!D28*B710-VERI_TABANI!D28)*VERI_TABANI!$B$8) + (MIN(MAX(0, VERI_TABANI!D28-VERI_TABANI!D28*B710), VERI_TABANI!D28*C710)*VERI_TABANI!$B$7 + MAX(0, VERI_TABANI!D28*C710-MAX(0, VERI_TABANI!D28-VERI_TABANI!D28*B710))*VERI_TABANI!$B$8) + IF(ABS(IF(ISNUMBER(SEARCH("Var", D710)), 1, IF(ISNUMBER(SEARCH("Gri", D710)), -1, 0)))=1, VERI_TABANI!E28*(1-0.928)*VERI_TABANI!$B$9, 0) + (VERI_TABANI!D28*B710*(VERI_TABANI!$B$13-VERI_TABANI!$B$14)*VERI_TABANI!G28) + (VERI_TABANI!D28*C710*(VERI_TABANI!$B$13-VERI_TABANI!$B$15)*VERI_TABANI!G28) + IF(ABS(IF(ISNUMBER(SEARCH("Var", D710)), 1, IF(ISNUMBER(SEARCH("Gri", D710)), -1, 0)))=1, VERI_TABANI!E28*(1-0.928)*0.00206091519919798*VERI_TABANI!G28, 0)))</f>
        <v/>
      </c>
      <c r="H710" s="169">
        <f>(((VERI_TABANI!D23*B710*(VERI_TABANI!$B$13-VERI_TABANI!$B$14)) + (VERI_TABANI!D23*C710*(VERI_TABANI!$B$13-VERI_TABANI!$B$15)) + IF(ISNUMBER(SEARCH("Var", D710)), VERI_TABANI!F23*(0.00202-VERI_TABANI!$B$16), IF(ISNUMBER(SEARCH("Gri", D710)), VERI_TABANI!F23*(0.00202-VERI_TABANI!$B$17), 0))) + ((VERI_TABANI!D24*B710*(VERI_TABANI!$B$13-VERI_TABANI!$B$14)) + (VERI_TABANI!D24*C710*(VERI_TABANI!$B$13-VERI_TABANI!$B$15)) + IF(ISNUMBER(SEARCH("Var", D710)), VERI_TABANI!F24*(0.00202-VERI_TABANI!$B$16), IF(ISNUMBER(SEARCH("Gri", D710)), VERI_TABANI!F24*(0.00202-VERI_TABANI!$B$17), 0))) + ((VERI_TABANI!D25*B710*(VERI_TABANI!$B$13-VERI_TABANI!$B$14)) + (VERI_TABANI!D25*C710*(VERI_TABANI!$B$13-VERI_TABANI!$B$15)) + IF(ISNUMBER(SEARCH("Var", D710)), VERI_TABANI!F25*(0.00202-VERI_TABANI!$B$16), IF(ISNUMBER(SEARCH("Gri", D710)), VERI_TABANI!F25*(0.00202-VERI_TABANI!$B$17), 0))) + ((VERI_TABANI!D26*B710*(VERI_TABANI!$B$13-VERI_TABANI!$B$14)) + (VERI_TABANI!D26*C710*(VERI_TABANI!$B$13-VERI_TABANI!$B$15)) + IF(ISNUMBER(SEARCH("Var", D710)), VERI_TABANI!F26*(0.00202-VERI_TABANI!$B$16), IF(ISNUMBER(SEARCH("Gri", D710)), VERI_TABANI!F26*(0.00202-VERI_TABANI!$B$17), 0))) + ((VERI_TABANI!D27*B710*(VERI_TABANI!$B$13-VERI_TABANI!$B$14)) + (VERI_TABANI!D27*C710*(VERI_TABANI!$B$13-VERI_TABANI!$B$15)) + IF(ISNUMBER(SEARCH("Var", D710)), VERI_TABANI!F27*(0.00202-VERI_TABANI!$B$16), IF(ISNUMBER(SEARCH("Gri", D710)), VERI_TABANI!F27*(0.00202-VERI_TABANI!$B$17), 0))) + ((VERI_TABANI!D28*B710*(VERI_TABANI!$B$13-VERI_TABANI!$B$14)) + (VERI_TABANI!D28*C710*(VERI_TABANI!$B$13-VERI_TABANI!$B$15)) + IF(ISNUMBER(SEARCH("Var", D710)), VERI_TABANI!F28*(0.00202-VERI_TABANI!$B$16), IF(ISNUMBER(SEARCH("Gri", D710)), VERI_TABANI!F28*(0.00202-VERI_TABANI!$B$17), 0))))</f>
        <v/>
      </c>
      <c r="I710" s="170">
        <f>IFERROR(((VERI_TABANI!$D$29*B710*VERI_TABANI!$B$14 + VERI_TABANI!$D$29*C710*VERI_TABANI!$B$15 + IF(ISNUMBER(SEARCH("Var", D710)), VERI_TABANI!$F$29*VERI_TABANI!$B$16, 0))) / (((VERI_TABANI!$D$29*B710 + VERI_TABANI!$D$29*C710)*VERI_TABANI!$B$13 + IF(ISNUMBER(SEARCH("Var", D710)), VERI_TABANI!$E$29*(1-0.928)*VERI_TABANI!$B$18, 0))), 0)</f>
        <v/>
      </c>
      <c r="J710" s="171">
        <f>IFERROR(F710/(G710/29), 0)</f>
        <v/>
      </c>
      <c r="K710" s="172">
        <f>IF(F710&gt;0, H710/F710, 0)</f>
        <v/>
      </c>
      <c r="L710" s="170">
        <f>IF(F710&gt;0, I710, 1000000000)</f>
        <v/>
      </c>
      <c r="M710" s="171">
        <f>ABS((B710+C710)-1)</f>
        <v/>
      </c>
      <c r="N710" s="170">
        <f>IF(F710&gt;0, (G710/29)/F710, 0)</f>
        <v/>
      </c>
      <c r="O710" s="168">
        <f>IF(AND((B710+C710)&gt;=1, ISNUMBER(SEARCH("Var", D710))), F710, 1000000000)</f>
        <v/>
      </c>
      <c r="P710" s="172">
        <f>IF(F710&gt;0, SQRT((F710/MAX(F$5:F$886))^2 + (1 - H710/MAX(H$5:H$886))^2 + (J710/MAX(J$5:J$886))^2), 1000000000)</f>
        <v/>
      </c>
      <c r="Q710" s="166">
        <f>IF(AND(ABS(B710-0.5)&lt;0.01, ABS(C710-0.5)&lt;0.01, ISNUMBER(SEARCH("Var", D710))), 1, 0)</f>
        <v/>
      </c>
      <c r="R710" s="171">
        <f>IF(F710&gt;0, J710, 1000000000)</f>
        <v/>
      </c>
      <c r="S710" s="101">
        <f>IF(AND(F710&lt;=DASHBOARD!$B$11, H710&gt;=DASHBOARD!$B$13), G710, -1000000000000)</f>
        <v/>
      </c>
      <c r="T710" s="101">
        <f>IF(AND(F710&lt;=DASHBOARD!$B$11, H710&gt;=DASHBOARD!$B$13), R710, 1000000000000)</f>
        <v/>
      </c>
      <c r="U710" s="101">
        <f>IF(AND(F710&lt;=DASHBOARD!$B$11, H710&gt;=DASHBOARD!$B$13), N710, -1000000000000)</f>
        <v/>
      </c>
      <c r="V710" s="101">
        <f>IF(AND(F710&lt;=DASHBOARD!$B$11, H710&gt;=DASHBOARD!$B$13), H710, -1000000000000)</f>
        <v/>
      </c>
      <c r="W710" s="101">
        <f>IF(AND(F710&lt;=DASHBOARD!$B$11, H710&gt;=DASHBOARD!$B$13), K710, -1000000000000)</f>
        <v/>
      </c>
      <c r="X710" s="101">
        <f>IF(AND(F710&lt;=DASHBOARD!$B$11, H710&gt;=DASHBOARD!$B$13), M710, 1000000000000)</f>
        <v/>
      </c>
      <c r="Y710" s="101">
        <f>IF(AND(F710&lt;=DASHBOARD!$B$10, H710&gt;=DASHBOARD!$B$11), L710, 1000000000000)</f>
        <v/>
      </c>
      <c r="Z710" s="101">
        <f>IF(AND(F710&lt;=DASHBOARD!$B$10, H710&gt;=DASHBOARD!$B$11), O710, 1000000000000)</f>
        <v/>
      </c>
      <c r="AA710" s="101">
        <f>IF(AND(F710&lt;=DASHBOARD!$B$10, H710&gt;=DASHBOARD!$B$11), P710, 1000000000000)</f>
        <v/>
      </c>
      <c r="AB710" s="101">
        <f>IF(AND(F710&lt;=DASHBOARD!$B$10, H710&gt;=DASHBOARD!$B$11), Q710, -1000000000000)</f>
        <v/>
      </c>
    </row>
    <row r="711" ht="15" customHeight="1" s="102">
      <c r="A711" s="166" t="n">
        <v>707</v>
      </c>
      <c r="B711" s="167" t="n">
        <v>1.6</v>
      </c>
      <c r="C711" s="167" t="n">
        <v>1.7</v>
      </c>
      <c r="D711" s="110" t="inlineStr">
        <is>
          <t>Yok (%0)</t>
        </is>
      </c>
      <c r="E711" s="110">
        <f>IF((B711+C711)&lt;=1, "Tam Mahsuplaşma (≤%100)", "Kısmi Satış (&gt;%100)")</f>
        <v/>
      </c>
      <c r="F711" s="168">
        <f>((VERI_TABANI!$D$29*B711/VERI_TABANI!$B$29)/VERI_TABANI!$B$3)*VERI_TABANI!$B$5 + ((VERI_TABANI!$D$29*C711/VERI_TABANI!$B$29)/VERI_TABANI!$B$4)*VERI_TABANI!$B$6 + IF(ISNUMBER(SEARCH("Var", D711)), (VERI_TABANI!$F$29/VERI_TABANI!$B$29)*(VERI_TABANI!$B$10+VERI_TABANI!$B$12), 0)</f>
        <v/>
      </c>
      <c r="G711" s="168">
        <f>(((MIN(VERI_TABANI!D23, VERI_TABANI!D23*B711)*VERI_TABANI!$B$7 + MAX(0, VERI_TABANI!D23*B711-VERI_TABANI!D23)*VERI_TABANI!$B$8) + (MIN(MAX(0, VERI_TABANI!D23-VERI_TABANI!D23*B711), VERI_TABANI!D23*C711)*VERI_TABANI!$B$7 + MAX(0, VERI_TABANI!D23*C711-MAX(0, VERI_TABANI!D23-VERI_TABANI!D23*B711))*VERI_TABANI!$B$8) + IF(ABS(IF(ISNUMBER(SEARCH("Var", D711)), 1, IF(ISNUMBER(SEARCH("Gri", D711)), -1, 0)))=1, VERI_TABANI!E23*(1-0.928)*VERI_TABANI!$B$9, 0) + (VERI_TABANI!D23*B711*(VERI_TABANI!$B$13-VERI_TABANI!$B$14)*VERI_TABANI!G23) + (VERI_TABANI!D23*C711*(VERI_TABANI!$B$13-VERI_TABANI!$B$15)*VERI_TABANI!G23) + IF(ABS(IF(ISNUMBER(SEARCH("Var", D711)), 1, IF(ISNUMBER(SEARCH("Gri", D711)), -1, 0)))=1, VERI_TABANI!E23*(1-0.928)*0.00206091519919798*VERI_TABANI!G23, 0)) + ((MIN(VERI_TABANI!D24, VERI_TABANI!D24*B711)*VERI_TABANI!$B$7 + MAX(0, VERI_TABANI!D24*B711-VERI_TABANI!D24)*VERI_TABANI!$B$8) + (MIN(MAX(0, VERI_TABANI!D24-VERI_TABANI!D24*B711), VERI_TABANI!D24*C711)*VERI_TABANI!$B$7 + MAX(0, VERI_TABANI!D24*C711-MAX(0, VERI_TABANI!D24-VERI_TABANI!D24*B711))*VERI_TABANI!$B$8) + IF(ABS(IF(ISNUMBER(SEARCH("Var", D711)), 1, IF(ISNUMBER(SEARCH("Gri", D711)), -1, 0)))=1, VERI_TABANI!E24*(1-0.928)*VERI_TABANI!$B$9, 0) + (VERI_TABANI!D24*B711*(VERI_TABANI!$B$13-VERI_TABANI!$B$14)*VERI_TABANI!G24) + (VERI_TABANI!D24*C711*(VERI_TABANI!$B$13-VERI_TABANI!$B$15)*VERI_TABANI!G24) + IF(ABS(IF(ISNUMBER(SEARCH("Var", D711)), 1, IF(ISNUMBER(SEARCH("Gri", D711)), -1, 0)))=1, VERI_TABANI!E24*(1-0.928)*0.00206091519919798*VERI_TABANI!G24, 0)) + ((MIN(VERI_TABANI!D25, VERI_TABANI!D25*B711)*VERI_TABANI!$B$7 + MAX(0, VERI_TABANI!D25*B711-VERI_TABANI!D25)*VERI_TABANI!$B$8) + (MIN(MAX(0, VERI_TABANI!D25-VERI_TABANI!D25*B711), VERI_TABANI!D25*C711)*VERI_TABANI!$B$7 + MAX(0, VERI_TABANI!D25*C711-MAX(0, VERI_TABANI!D25-VERI_TABANI!D25*B711))*VERI_TABANI!$B$8) + IF(ABS(IF(ISNUMBER(SEARCH("Var", D711)), 1, IF(ISNUMBER(SEARCH("Gri", D711)), -1, 0)))=1, VERI_TABANI!E25*(1-0.928)*VERI_TABANI!$B$9, 0) + (VERI_TABANI!D25*B711*(VERI_TABANI!$B$13-VERI_TABANI!$B$14)*VERI_TABANI!G25) + (VERI_TABANI!D25*C711*(VERI_TABANI!$B$13-VERI_TABANI!$B$15)*VERI_TABANI!G25) + IF(ABS(IF(ISNUMBER(SEARCH("Var", D711)), 1, IF(ISNUMBER(SEARCH("Gri", D711)), -1, 0)))=1, VERI_TABANI!E25*(1-0.928)*0.00206091519919798*VERI_TABANI!G25, 0)) + ((MIN(VERI_TABANI!D26, VERI_TABANI!D26*B711)*VERI_TABANI!$B$7 + MAX(0, VERI_TABANI!D26*B711-VERI_TABANI!D26)*VERI_TABANI!$B$8) + (MIN(MAX(0, VERI_TABANI!D26-VERI_TABANI!D26*B711), VERI_TABANI!D26*C711)*VERI_TABANI!$B$7 + MAX(0, VERI_TABANI!D26*C711-MAX(0, VERI_TABANI!D26-VERI_TABANI!D26*B711))*VERI_TABANI!$B$8) + IF(ABS(IF(ISNUMBER(SEARCH("Var", D711)), 1, IF(ISNUMBER(SEARCH("Gri", D711)), -1, 0)))=1, VERI_TABANI!E26*(1-0.928)*VERI_TABANI!$B$9, 0) + (VERI_TABANI!D26*B711*(VERI_TABANI!$B$13-VERI_TABANI!$B$14)*VERI_TABANI!G26) + (VERI_TABANI!D26*C711*(VERI_TABANI!$B$13-VERI_TABANI!$B$15)*VERI_TABANI!G26) + IF(ABS(IF(ISNUMBER(SEARCH("Var", D711)), 1, IF(ISNUMBER(SEARCH("Gri", D711)), -1, 0)))=1, VERI_TABANI!E26*(1-0.928)*0.00206091519919798*VERI_TABANI!G26, 0)) + ((MIN(VERI_TABANI!D27, VERI_TABANI!D27*B711)*VERI_TABANI!$B$7 + MAX(0, VERI_TABANI!D27*B711-VERI_TABANI!D27)*VERI_TABANI!$B$8) + (MIN(MAX(0, VERI_TABANI!D27-VERI_TABANI!D27*B711), VERI_TABANI!D27*C711)*VERI_TABANI!$B$7 + MAX(0, VERI_TABANI!D27*C711-MAX(0, VERI_TABANI!D27-VERI_TABANI!D27*B711))*VERI_TABANI!$B$8) + IF(ABS(IF(ISNUMBER(SEARCH("Var", D711)), 1, IF(ISNUMBER(SEARCH("Gri", D711)), -1, 0)))=1, VERI_TABANI!E27*(1-0.928)*VERI_TABANI!$B$9, 0) + (VERI_TABANI!D27*B711*(VERI_TABANI!$B$13-VERI_TABANI!$B$14)*VERI_TABANI!G27) + (VERI_TABANI!D27*C711*(VERI_TABANI!$B$13-VERI_TABANI!$B$15)*VERI_TABANI!G27) + IF(ABS(IF(ISNUMBER(SEARCH("Var", D711)), 1, IF(ISNUMBER(SEARCH("Gri", D711)), -1, 0)))=1, VERI_TABANI!E27*(1-0.928)*0.00206091519919798*VERI_TABANI!G27, 0)) + ((MIN(VERI_TABANI!D28, VERI_TABANI!D28*B711)*VERI_TABANI!$B$7 + MAX(0, VERI_TABANI!D28*B711-VERI_TABANI!D28)*VERI_TABANI!$B$8) + (MIN(MAX(0, VERI_TABANI!D28-VERI_TABANI!D28*B711), VERI_TABANI!D28*C711)*VERI_TABANI!$B$7 + MAX(0, VERI_TABANI!D28*C711-MAX(0, VERI_TABANI!D28-VERI_TABANI!D28*B711))*VERI_TABANI!$B$8) + IF(ABS(IF(ISNUMBER(SEARCH("Var", D711)), 1, IF(ISNUMBER(SEARCH("Gri", D711)), -1, 0)))=1, VERI_TABANI!E28*(1-0.928)*VERI_TABANI!$B$9, 0) + (VERI_TABANI!D28*B711*(VERI_TABANI!$B$13-VERI_TABANI!$B$14)*VERI_TABANI!G28) + (VERI_TABANI!D28*C711*(VERI_TABANI!$B$13-VERI_TABANI!$B$15)*VERI_TABANI!G28) + IF(ABS(IF(ISNUMBER(SEARCH("Var", D711)), 1, IF(ISNUMBER(SEARCH("Gri", D711)), -1, 0)))=1, VERI_TABANI!E28*(1-0.928)*0.00206091519919798*VERI_TABANI!G28, 0)))</f>
        <v/>
      </c>
      <c r="H711" s="169">
        <f>(((VERI_TABANI!D23*B711*(VERI_TABANI!$B$13-VERI_TABANI!$B$14)) + (VERI_TABANI!D23*C711*(VERI_TABANI!$B$13-VERI_TABANI!$B$15)) + IF(ISNUMBER(SEARCH("Var", D711)), VERI_TABANI!F23*(0.00202-VERI_TABANI!$B$16), IF(ISNUMBER(SEARCH("Gri", D711)), VERI_TABANI!F23*(0.00202-VERI_TABANI!$B$17), 0))) + ((VERI_TABANI!D24*B711*(VERI_TABANI!$B$13-VERI_TABANI!$B$14)) + (VERI_TABANI!D24*C711*(VERI_TABANI!$B$13-VERI_TABANI!$B$15)) + IF(ISNUMBER(SEARCH("Var", D711)), VERI_TABANI!F24*(0.00202-VERI_TABANI!$B$16), IF(ISNUMBER(SEARCH("Gri", D711)), VERI_TABANI!F24*(0.00202-VERI_TABANI!$B$17), 0))) + ((VERI_TABANI!D25*B711*(VERI_TABANI!$B$13-VERI_TABANI!$B$14)) + (VERI_TABANI!D25*C711*(VERI_TABANI!$B$13-VERI_TABANI!$B$15)) + IF(ISNUMBER(SEARCH("Var", D711)), VERI_TABANI!F25*(0.00202-VERI_TABANI!$B$16), IF(ISNUMBER(SEARCH("Gri", D711)), VERI_TABANI!F25*(0.00202-VERI_TABANI!$B$17), 0))) + ((VERI_TABANI!D26*B711*(VERI_TABANI!$B$13-VERI_TABANI!$B$14)) + (VERI_TABANI!D26*C711*(VERI_TABANI!$B$13-VERI_TABANI!$B$15)) + IF(ISNUMBER(SEARCH("Var", D711)), VERI_TABANI!F26*(0.00202-VERI_TABANI!$B$16), IF(ISNUMBER(SEARCH("Gri", D711)), VERI_TABANI!F26*(0.00202-VERI_TABANI!$B$17), 0))) + ((VERI_TABANI!D27*B711*(VERI_TABANI!$B$13-VERI_TABANI!$B$14)) + (VERI_TABANI!D27*C711*(VERI_TABANI!$B$13-VERI_TABANI!$B$15)) + IF(ISNUMBER(SEARCH("Var", D711)), VERI_TABANI!F27*(0.00202-VERI_TABANI!$B$16), IF(ISNUMBER(SEARCH("Gri", D711)), VERI_TABANI!F27*(0.00202-VERI_TABANI!$B$17), 0))) + ((VERI_TABANI!D28*B711*(VERI_TABANI!$B$13-VERI_TABANI!$B$14)) + (VERI_TABANI!D28*C711*(VERI_TABANI!$B$13-VERI_TABANI!$B$15)) + IF(ISNUMBER(SEARCH("Var", D711)), VERI_TABANI!F28*(0.00202-VERI_TABANI!$B$16), IF(ISNUMBER(SEARCH("Gri", D711)), VERI_TABANI!F28*(0.00202-VERI_TABANI!$B$17), 0))))</f>
        <v/>
      </c>
      <c r="I711" s="170">
        <f>IFERROR(((VERI_TABANI!$D$29*B711*VERI_TABANI!$B$14 + VERI_TABANI!$D$29*C711*VERI_TABANI!$B$15 + IF(ISNUMBER(SEARCH("Var", D711)), VERI_TABANI!$F$29*VERI_TABANI!$B$16, 0))) / (((VERI_TABANI!$D$29*B711 + VERI_TABANI!$D$29*C711)*VERI_TABANI!$B$13 + IF(ISNUMBER(SEARCH("Var", D711)), VERI_TABANI!$E$29*(1-0.928)*VERI_TABANI!$B$18, 0))), 0)</f>
        <v/>
      </c>
      <c r="J711" s="171">
        <f>IFERROR(F711/(G711/29), 0)</f>
        <v/>
      </c>
      <c r="K711" s="172">
        <f>IF(F711&gt;0, H711/F711, 0)</f>
        <v/>
      </c>
      <c r="L711" s="170">
        <f>IF(F711&gt;0, I711, 1000000000)</f>
        <v/>
      </c>
      <c r="M711" s="171">
        <f>ABS((B711+C711)-1)</f>
        <v/>
      </c>
      <c r="N711" s="170">
        <f>IF(F711&gt;0, (G711/29)/F711, 0)</f>
        <v/>
      </c>
      <c r="O711" s="168">
        <f>IF(AND((B711+C711)&gt;=1, ISNUMBER(SEARCH("Var", D711))), F711, 1000000000)</f>
        <v/>
      </c>
      <c r="P711" s="172">
        <f>IF(F711&gt;0, SQRT((F711/MAX(F$5:F$886))^2 + (1 - H711/MAX(H$5:H$886))^2 + (J711/MAX(J$5:J$886))^2), 1000000000)</f>
        <v/>
      </c>
      <c r="Q711" s="166">
        <f>IF(AND(ABS(B711-0.5)&lt;0.01, ABS(C711-0.5)&lt;0.01, ISNUMBER(SEARCH("Var", D711))), 1, 0)</f>
        <v/>
      </c>
      <c r="R711" s="171">
        <f>IF(F711&gt;0, J711, 1000000000)</f>
        <v/>
      </c>
      <c r="S711" s="101">
        <f>IF(AND(F711&lt;=DASHBOARD!$B$11, H711&gt;=DASHBOARD!$B$13), G711, -1000000000000)</f>
        <v/>
      </c>
      <c r="T711" s="101">
        <f>IF(AND(F711&lt;=DASHBOARD!$B$11, H711&gt;=DASHBOARD!$B$13), R711, 1000000000000)</f>
        <v/>
      </c>
      <c r="U711" s="101">
        <f>IF(AND(F711&lt;=DASHBOARD!$B$11, H711&gt;=DASHBOARD!$B$13), N711, -1000000000000)</f>
        <v/>
      </c>
      <c r="V711" s="101">
        <f>IF(AND(F711&lt;=DASHBOARD!$B$11, H711&gt;=DASHBOARD!$B$13), H711, -1000000000000)</f>
        <v/>
      </c>
      <c r="W711" s="101">
        <f>IF(AND(F711&lt;=DASHBOARD!$B$11, H711&gt;=DASHBOARD!$B$13), K711, -1000000000000)</f>
        <v/>
      </c>
      <c r="X711" s="101">
        <f>IF(AND(F711&lt;=DASHBOARD!$B$11, H711&gt;=DASHBOARD!$B$13), M711, 1000000000000)</f>
        <v/>
      </c>
      <c r="Y711" s="101">
        <f>IF(AND(F711&lt;=DASHBOARD!$B$10, H711&gt;=DASHBOARD!$B$11), L711, 1000000000000)</f>
        <v/>
      </c>
      <c r="Z711" s="101">
        <f>IF(AND(F711&lt;=DASHBOARD!$B$10, H711&gt;=DASHBOARD!$B$11), O711, 1000000000000)</f>
        <v/>
      </c>
      <c r="AA711" s="101">
        <f>IF(AND(F711&lt;=DASHBOARD!$B$10, H711&gt;=DASHBOARD!$B$11), P711, 1000000000000)</f>
        <v/>
      </c>
      <c r="AB711" s="101">
        <f>IF(AND(F711&lt;=DASHBOARD!$B$10, H711&gt;=DASHBOARD!$B$11), Q711, -1000000000000)</f>
        <v/>
      </c>
    </row>
    <row r="712" ht="15" customHeight="1" s="102">
      <c r="A712" s="166" t="n">
        <v>708</v>
      </c>
      <c r="B712" s="167" t="n">
        <v>1.6</v>
      </c>
      <c r="C712" s="167" t="n">
        <v>1.7</v>
      </c>
      <c r="D712" s="110" t="inlineStr">
        <is>
          <t>Var (%20)</t>
        </is>
      </c>
      <c r="E712" s="110">
        <f>IF((B712+C712)&lt;=1, "Tam Mahsuplaşma (≤%100)", "Kısmi Satış (&gt;%100)")</f>
        <v/>
      </c>
      <c r="F712" s="168">
        <f>((VERI_TABANI!$D$29*B712/VERI_TABANI!$B$29)/VERI_TABANI!$B$3)*VERI_TABANI!$B$5 + ((VERI_TABANI!$D$29*C712/VERI_TABANI!$B$29)/VERI_TABANI!$B$4)*VERI_TABANI!$B$6 + IF(ISNUMBER(SEARCH("Var", D712)), (VERI_TABANI!$F$29/VERI_TABANI!$B$29)*(VERI_TABANI!$B$10+VERI_TABANI!$B$12), 0)</f>
        <v/>
      </c>
      <c r="G712" s="168">
        <f>(((MIN(VERI_TABANI!D23, VERI_TABANI!D23*B712)*VERI_TABANI!$B$7 + MAX(0, VERI_TABANI!D23*B712-VERI_TABANI!D23)*VERI_TABANI!$B$8) + (MIN(MAX(0, VERI_TABANI!D23-VERI_TABANI!D23*B712), VERI_TABANI!D23*C712)*VERI_TABANI!$B$7 + MAX(0, VERI_TABANI!D23*C712-MAX(0, VERI_TABANI!D23-VERI_TABANI!D23*B712))*VERI_TABANI!$B$8) + IF(ABS(IF(ISNUMBER(SEARCH("Var", D712)), 1, IF(ISNUMBER(SEARCH("Gri", D712)), -1, 0)))=1, VERI_TABANI!E23*(1-0.928)*VERI_TABANI!$B$9, 0) + (VERI_TABANI!D23*B712*(VERI_TABANI!$B$13-VERI_TABANI!$B$14)*VERI_TABANI!G23) + (VERI_TABANI!D23*C712*(VERI_TABANI!$B$13-VERI_TABANI!$B$15)*VERI_TABANI!G23) + IF(ABS(IF(ISNUMBER(SEARCH("Var", D712)), 1, IF(ISNUMBER(SEARCH("Gri", D712)), -1, 0)))=1, VERI_TABANI!E23*(1-0.928)*0.00206091519919798*VERI_TABANI!G23, 0)) + ((MIN(VERI_TABANI!D24, VERI_TABANI!D24*B712)*VERI_TABANI!$B$7 + MAX(0, VERI_TABANI!D24*B712-VERI_TABANI!D24)*VERI_TABANI!$B$8) + (MIN(MAX(0, VERI_TABANI!D24-VERI_TABANI!D24*B712), VERI_TABANI!D24*C712)*VERI_TABANI!$B$7 + MAX(0, VERI_TABANI!D24*C712-MAX(0, VERI_TABANI!D24-VERI_TABANI!D24*B712))*VERI_TABANI!$B$8) + IF(ABS(IF(ISNUMBER(SEARCH("Var", D712)), 1, IF(ISNUMBER(SEARCH("Gri", D712)), -1, 0)))=1, VERI_TABANI!E24*(1-0.928)*VERI_TABANI!$B$9, 0) + (VERI_TABANI!D24*B712*(VERI_TABANI!$B$13-VERI_TABANI!$B$14)*VERI_TABANI!G24) + (VERI_TABANI!D24*C712*(VERI_TABANI!$B$13-VERI_TABANI!$B$15)*VERI_TABANI!G24) + IF(ABS(IF(ISNUMBER(SEARCH("Var", D712)), 1, IF(ISNUMBER(SEARCH("Gri", D712)), -1, 0)))=1, VERI_TABANI!E24*(1-0.928)*0.00206091519919798*VERI_TABANI!G24, 0)) + ((MIN(VERI_TABANI!D25, VERI_TABANI!D25*B712)*VERI_TABANI!$B$7 + MAX(0, VERI_TABANI!D25*B712-VERI_TABANI!D25)*VERI_TABANI!$B$8) + (MIN(MAX(0, VERI_TABANI!D25-VERI_TABANI!D25*B712), VERI_TABANI!D25*C712)*VERI_TABANI!$B$7 + MAX(0, VERI_TABANI!D25*C712-MAX(0, VERI_TABANI!D25-VERI_TABANI!D25*B712))*VERI_TABANI!$B$8) + IF(ABS(IF(ISNUMBER(SEARCH("Var", D712)), 1, IF(ISNUMBER(SEARCH("Gri", D712)), -1, 0)))=1, VERI_TABANI!E25*(1-0.928)*VERI_TABANI!$B$9, 0) + (VERI_TABANI!D25*B712*(VERI_TABANI!$B$13-VERI_TABANI!$B$14)*VERI_TABANI!G25) + (VERI_TABANI!D25*C712*(VERI_TABANI!$B$13-VERI_TABANI!$B$15)*VERI_TABANI!G25) + IF(ABS(IF(ISNUMBER(SEARCH("Var", D712)), 1, IF(ISNUMBER(SEARCH("Gri", D712)), -1, 0)))=1, VERI_TABANI!E25*(1-0.928)*0.00206091519919798*VERI_TABANI!G25, 0)) + ((MIN(VERI_TABANI!D26, VERI_TABANI!D26*B712)*VERI_TABANI!$B$7 + MAX(0, VERI_TABANI!D26*B712-VERI_TABANI!D26)*VERI_TABANI!$B$8) + (MIN(MAX(0, VERI_TABANI!D26-VERI_TABANI!D26*B712), VERI_TABANI!D26*C712)*VERI_TABANI!$B$7 + MAX(0, VERI_TABANI!D26*C712-MAX(0, VERI_TABANI!D26-VERI_TABANI!D26*B712))*VERI_TABANI!$B$8) + IF(ABS(IF(ISNUMBER(SEARCH("Var", D712)), 1, IF(ISNUMBER(SEARCH("Gri", D712)), -1, 0)))=1, VERI_TABANI!E26*(1-0.928)*VERI_TABANI!$B$9, 0) + (VERI_TABANI!D26*B712*(VERI_TABANI!$B$13-VERI_TABANI!$B$14)*VERI_TABANI!G26) + (VERI_TABANI!D26*C712*(VERI_TABANI!$B$13-VERI_TABANI!$B$15)*VERI_TABANI!G26) + IF(ABS(IF(ISNUMBER(SEARCH("Var", D712)), 1, IF(ISNUMBER(SEARCH("Gri", D712)), -1, 0)))=1, VERI_TABANI!E26*(1-0.928)*0.00206091519919798*VERI_TABANI!G26, 0)) + ((MIN(VERI_TABANI!D27, VERI_TABANI!D27*B712)*VERI_TABANI!$B$7 + MAX(0, VERI_TABANI!D27*B712-VERI_TABANI!D27)*VERI_TABANI!$B$8) + (MIN(MAX(0, VERI_TABANI!D27-VERI_TABANI!D27*B712), VERI_TABANI!D27*C712)*VERI_TABANI!$B$7 + MAX(0, VERI_TABANI!D27*C712-MAX(0, VERI_TABANI!D27-VERI_TABANI!D27*B712))*VERI_TABANI!$B$8) + IF(ABS(IF(ISNUMBER(SEARCH("Var", D712)), 1, IF(ISNUMBER(SEARCH("Gri", D712)), -1, 0)))=1, VERI_TABANI!E27*(1-0.928)*VERI_TABANI!$B$9, 0) + (VERI_TABANI!D27*B712*(VERI_TABANI!$B$13-VERI_TABANI!$B$14)*VERI_TABANI!G27) + (VERI_TABANI!D27*C712*(VERI_TABANI!$B$13-VERI_TABANI!$B$15)*VERI_TABANI!G27) + IF(ABS(IF(ISNUMBER(SEARCH("Var", D712)), 1, IF(ISNUMBER(SEARCH("Gri", D712)), -1, 0)))=1, VERI_TABANI!E27*(1-0.928)*0.00206091519919798*VERI_TABANI!G27, 0)) + ((MIN(VERI_TABANI!D28, VERI_TABANI!D28*B712)*VERI_TABANI!$B$7 + MAX(0, VERI_TABANI!D28*B712-VERI_TABANI!D28)*VERI_TABANI!$B$8) + (MIN(MAX(0, VERI_TABANI!D28-VERI_TABANI!D28*B712), VERI_TABANI!D28*C712)*VERI_TABANI!$B$7 + MAX(0, VERI_TABANI!D28*C712-MAX(0, VERI_TABANI!D28-VERI_TABANI!D28*B712))*VERI_TABANI!$B$8) + IF(ABS(IF(ISNUMBER(SEARCH("Var", D712)), 1, IF(ISNUMBER(SEARCH("Gri", D712)), -1, 0)))=1, VERI_TABANI!E28*(1-0.928)*VERI_TABANI!$B$9, 0) + (VERI_TABANI!D28*B712*(VERI_TABANI!$B$13-VERI_TABANI!$B$14)*VERI_TABANI!G28) + (VERI_TABANI!D28*C712*(VERI_TABANI!$B$13-VERI_TABANI!$B$15)*VERI_TABANI!G28) + IF(ABS(IF(ISNUMBER(SEARCH("Var", D712)), 1, IF(ISNUMBER(SEARCH("Gri", D712)), -1, 0)))=1, VERI_TABANI!E28*(1-0.928)*0.00206091519919798*VERI_TABANI!G28, 0)))</f>
        <v/>
      </c>
      <c r="H712" s="169">
        <f>(((VERI_TABANI!D23*B712*(VERI_TABANI!$B$13-VERI_TABANI!$B$14)) + (VERI_TABANI!D23*C712*(VERI_TABANI!$B$13-VERI_TABANI!$B$15)) + IF(ISNUMBER(SEARCH("Var", D712)), VERI_TABANI!F23*(0.00202-VERI_TABANI!$B$16), IF(ISNUMBER(SEARCH("Gri", D712)), VERI_TABANI!F23*(0.00202-VERI_TABANI!$B$17), 0))) + ((VERI_TABANI!D24*B712*(VERI_TABANI!$B$13-VERI_TABANI!$B$14)) + (VERI_TABANI!D24*C712*(VERI_TABANI!$B$13-VERI_TABANI!$B$15)) + IF(ISNUMBER(SEARCH("Var", D712)), VERI_TABANI!F24*(0.00202-VERI_TABANI!$B$16), IF(ISNUMBER(SEARCH("Gri", D712)), VERI_TABANI!F24*(0.00202-VERI_TABANI!$B$17), 0))) + ((VERI_TABANI!D25*B712*(VERI_TABANI!$B$13-VERI_TABANI!$B$14)) + (VERI_TABANI!D25*C712*(VERI_TABANI!$B$13-VERI_TABANI!$B$15)) + IF(ISNUMBER(SEARCH("Var", D712)), VERI_TABANI!F25*(0.00202-VERI_TABANI!$B$16), IF(ISNUMBER(SEARCH("Gri", D712)), VERI_TABANI!F25*(0.00202-VERI_TABANI!$B$17), 0))) + ((VERI_TABANI!D26*B712*(VERI_TABANI!$B$13-VERI_TABANI!$B$14)) + (VERI_TABANI!D26*C712*(VERI_TABANI!$B$13-VERI_TABANI!$B$15)) + IF(ISNUMBER(SEARCH("Var", D712)), VERI_TABANI!F26*(0.00202-VERI_TABANI!$B$16), IF(ISNUMBER(SEARCH("Gri", D712)), VERI_TABANI!F26*(0.00202-VERI_TABANI!$B$17), 0))) + ((VERI_TABANI!D27*B712*(VERI_TABANI!$B$13-VERI_TABANI!$B$14)) + (VERI_TABANI!D27*C712*(VERI_TABANI!$B$13-VERI_TABANI!$B$15)) + IF(ISNUMBER(SEARCH("Var", D712)), VERI_TABANI!F27*(0.00202-VERI_TABANI!$B$16), IF(ISNUMBER(SEARCH("Gri", D712)), VERI_TABANI!F27*(0.00202-VERI_TABANI!$B$17), 0))) + ((VERI_TABANI!D28*B712*(VERI_TABANI!$B$13-VERI_TABANI!$B$14)) + (VERI_TABANI!D28*C712*(VERI_TABANI!$B$13-VERI_TABANI!$B$15)) + IF(ISNUMBER(SEARCH("Var", D712)), VERI_TABANI!F28*(0.00202-VERI_TABANI!$B$16), IF(ISNUMBER(SEARCH("Gri", D712)), VERI_TABANI!F28*(0.00202-VERI_TABANI!$B$17), 0))))</f>
        <v/>
      </c>
      <c r="I712" s="170">
        <f>IFERROR(((VERI_TABANI!$D$29*B712*VERI_TABANI!$B$14 + VERI_TABANI!$D$29*C712*VERI_TABANI!$B$15 + IF(ISNUMBER(SEARCH("Var", D712)), VERI_TABANI!$F$29*VERI_TABANI!$B$16, 0))) / (((VERI_TABANI!$D$29*B712 + VERI_TABANI!$D$29*C712)*VERI_TABANI!$B$13 + IF(ISNUMBER(SEARCH("Var", D712)), VERI_TABANI!$E$29*(1-0.928)*VERI_TABANI!$B$18, 0))), 0)</f>
        <v/>
      </c>
      <c r="J712" s="171">
        <f>IFERROR(F712/(G712/29), 0)</f>
        <v/>
      </c>
      <c r="K712" s="172">
        <f>IF(F712&gt;0, H712/F712, 0)</f>
        <v/>
      </c>
      <c r="L712" s="170">
        <f>IF(F712&gt;0, I712, 1000000000)</f>
        <v/>
      </c>
      <c r="M712" s="171">
        <f>ABS((B712+C712)-1)</f>
        <v/>
      </c>
      <c r="N712" s="170">
        <f>IF(F712&gt;0, (G712/29)/F712, 0)</f>
        <v/>
      </c>
      <c r="O712" s="168">
        <f>IF(AND((B712+C712)&gt;=1, ISNUMBER(SEARCH("Var", D712))), F712, 1000000000)</f>
        <v/>
      </c>
      <c r="P712" s="172">
        <f>IF(F712&gt;0, SQRT((F712/MAX(F$5:F$886))^2 + (1 - H712/MAX(H$5:H$886))^2 + (J712/MAX(J$5:J$886))^2), 1000000000)</f>
        <v/>
      </c>
      <c r="Q712" s="166">
        <f>IF(AND(ABS(B712-0.5)&lt;0.01, ABS(C712-0.5)&lt;0.01, ISNUMBER(SEARCH("Var", D712))), 1, 0)</f>
        <v/>
      </c>
      <c r="R712" s="171">
        <f>IF(F712&gt;0, J712, 1000000000)</f>
        <v/>
      </c>
      <c r="S712" s="101">
        <f>IF(AND(F712&lt;=DASHBOARD!$B$11, H712&gt;=DASHBOARD!$B$13), G712, -1000000000000)</f>
        <v/>
      </c>
      <c r="T712" s="101">
        <f>IF(AND(F712&lt;=DASHBOARD!$B$11, H712&gt;=DASHBOARD!$B$13), R712, 1000000000000)</f>
        <v/>
      </c>
      <c r="U712" s="101">
        <f>IF(AND(F712&lt;=DASHBOARD!$B$11, H712&gt;=DASHBOARD!$B$13), N712, -1000000000000)</f>
        <v/>
      </c>
      <c r="V712" s="101">
        <f>IF(AND(F712&lt;=DASHBOARD!$B$11, H712&gt;=DASHBOARD!$B$13), H712, -1000000000000)</f>
        <v/>
      </c>
      <c r="W712" s="101">
        <f>IF(AND(F712&lt;=DASHBOARD!$B$11, H712&gt;=DASHBOARD!$B$13), K712, -1000000000000)</f>
        <v/>
      </c>
      <c r="X712" s="101">
        <f>IF(AND(F712&lt;=DASHBOARD!$B$11, H712&gt;=DASHBOARD!$B$13), M712, 1000000000000)</f>
        <v/>
      </c>
      <c r="Y712" s="101">
        <f>IF(AND(F712&lt;=DASHBOARD!$B$10, H712&gt;=DASHBOARD!$B$11), L712, 1000000000000)</f>
        <v/>
      </c>
      <c r="Z712" s="101">
        <f>IF(AND(F712&lt;=DASHBOARD!$B$10, H712&gt;=DASHBOARD!$B$11), O712, 1000000000000)</f>
        <v/>
      </c>
      <c r="AA712" s="101">
        <f>IF(AND(F712&lt;=DASHBOARD!$B$10, H712&gt;=DASHBOARD!$B$11), P712, 1000000000000)</f>
        <v/>
      </c>
      <c r="AB712" s="101">
        <f>IF(AND(F712&lt;=DASHBOARD!$B$10, H712&gt;=DASHBOARD!$B$11), Q712, -1000000000000)</f>
        <v/>
      </c>
    </row>
    <row r="713" ht="15" customHeight="1" s="102">
      <c r="A713" s="166" t="n">
        <v>709</v>
      </c>
      <c r="B713" s="167" t="n">
        <v>1.6</v>
      </c>
      <c r="C713" s="167" t="n">
        <v>1.8</v>
      </c>
      <c r="D713" s="110" t="inlineStr">
        <is>
          <t>Yok (%0)</t>
        </is>
      </c>
      <c r="E713" s="110">
        <f>IF((B713+C713)&lt;=1, "Tam Mahsuplaşma (≤%100)", "Kısmi Satış (&gt;%100)")</f>
        <v/>
      </c>
      <c r="F713" s="168">
        <f>((VERI_TABANI!$D$29*B713/VERI_TABANI!$B$29)/VERI_TABANI!$B$3)*VERI_TABANI!$B$5 + ((VERI_TABANI!$D$29*C713/VERI_TABANI!$B$29)/VERI_TABANI!$B$4)*VERI_TABANI!$B$6 + IF(ISNUMBER(SEARCH("Var", D713)), (VERI_TABANI!$F$29/VERI_TABANI!$B$29)*(VERI_TABANI!$B$10+VERI_TABANI!$B$12), 0)</f>
        <v/>
      </c>
      <c r="G713" s="168">
        <f>(((MIN(VERI_TABANI!D23, VERI_TABANI!D23*B713)*VERI_TABANI!$B$7 + MAX(0, VERI_TABANI!D23*B713-VERI_TABANI!D23)*VERI_TABANI!$B$8) + (MIN(MAX(0, VERI_TABANI!D23-VERI_TABANI!D23*B713), VERI_TABANI!D23*C713)*VERI_TABANI!$B$7 + MAX(0, VERI_TABANI!D23*C713-MAX(0, VERI_TABANI!D23-VERI_TABANI!D23*B713))*VERI_TABANI!$B$8) + IF(ABS(IF(ISNUMBER(SEARCH("Var", D713)), 1, IF(ISNUMBER(SEARCH("Gri", D713)), -1, 0)))=1, VERI_TABANI!E23*(1-0.928)*VERI_TABANI!$B$9, 0) + (VERI_TABANI!D23*B713*(VERI_TABANI!$B$13-VERI_TABANI!$B$14)*VERI_TABANI!G23) + (VERI_TABANI!D23*C713*(VERI_TABANI!$B$13-VERI_TABANI!$B$15)*VERI_TABANI!G23) + IF(ABS(IF(ISNUMBER(SEARCH("Var", D713)), 1, IF(ISNUMBER(SEARCH("Gri", D713)), -1, 0)))=1, VERI_TABANI!E23*(1-0.928)*0.00206091519919798*VERI_TABANI!G23, 0)) + ((MIN(VERI_TABANI!D24, VERI_TABANI!D24*B713)*VERI_TABANI!$B$7 + MAX(0, VERI_TABANI!D24*B713-VERI_TABANI!D24)*VERI_TABANI!$B$8) + (MIN(MAX(0, VERI_TABANI!D24-VERI_TABANI!D24*B713), VERI_TABANI!D24*C713)*VERI_TABANI!$B$7 + MAX(0, VERI_TABANI!D24*C713-MAX(0, VERI_TABANI!D24-VERI_TABANI!D24*B713))*VERI_TABANI!$B$8) + IF(ABS(IF(ISNUMBER(SEARCH("Var", D713)), 1, IF(ISNUMBER(SEARCH("Gri", D713)), -1, 0)))=1, VERI_TABANI!E24*(1-0.928)*VERI_TABANI!$B$9, 0) + (VERI_TABANI!D24*B713*(VERI_TABANI!$B$13-VERI_TABANI!$B$14)*VERI_TABANI!G24) + (VERI_TABANI!D24*C713*(VERI_TABANI!$B$13-VERI_TABANI!$B$15)*VERI_TABANI!G24) + IF(ABS(IF(ISNUMBER(SEARCH("Var", D713)), 1, IF(ISNUMBER(SEARCH("Gri", D713)), -1, 0)))=1, VERI_TABANI!E24*(1-0.928)*0.00206091519919798*VERI_TABANI!G24, 0)) + ((MIN(VERI_TABANI!D25, VERI_TABANI!D25*B713)*VERI_TABANI!$B$7 + MAX(0, VERI_TABANI!D25*B713-VERI_TABANI!D25)*VERI_TABANI!$B$8) + (MIN(MAX(0, VERI_TABANI!D25-VERI_TABANI!D25*B713), VERI_TABANI!D25*C713)*VERI_TABANI!$B$7 + MAX(0, VERI_TABANI!D25*C713-MAX(0, VERI_TABANI!D25-VERI_TABANI!D25*B713))*VERI_TABANI!$B$8) + IF(ABS(IF(ISNUMBER(SEARCH("Var", D713)), 1, IF(ISNUMBER(SEARCH("Gri", D713)), -1, 0)))=1, VERI_TABANI!E25*(1-0.928)*VERI_TABANI!$B$9, 0) + (VERI_TABANI!D25*B713*(VERI_TABANI!$B$13-VERI_TABANI!$B$14)*VERI_TABANI!G25) + (VERI_TABANI!D25*C713*(VERI_TABANI!$B$13-VERI_TABANI!$B$15)*VERI_TABANI!G25) + IF(ABS(IF(ISNUMBER(SEARCH("Var", D713)), 1, IF(ISNUMBER(SEARCH("Gri", D713)), -1, 0)))=1, VERI_TABANI!E25*(1-0.928)*0.00206091519919798*VERI_TABANI!G25, 0)) + ((MIN(VERI_TABANI!D26, VERI_TABANI!D26*B713)*VERI_TABANI!$B$7 + MAX(0, VERI_TABANI!D26*B713-VERI_TABANI!D26)*VERI_TABANI!$B$8) + (MIN(MAX(0, VERI_TABANI!D26-VERI_TABANI!D26*B713), VERI_TABANI!D26*C713)*VERI_TABANI!$B$7 + MAX(0, VERI_TABANI!D26*C713-MAX(0, VERI_TABANI!D26-VERI_TABANI!D26*B713))*VERI_TABANI!$B$8) + IF(ABS(IF(ISNUMBER(SEARCH("Var", D713)), 1, IF(ISNUMBER(SEARCH("Gri", D713)), -1, 0)))=1, VERI_TABANI!E26*(1-0.928)*VERI_TABANI!$B$9, 0) + (VERI_TABANI!D26*B713*(VERI_TABANI!$B$13-VERI_TABANI!$B$14)*VERI_TABANI!G26) + (VERI_TABANI!D26*C713*(VERI_TABANI!$B$13-VERI_TABANI!$B$15)*VERI_TABANI!G26) + IF(ABS(IF(ISNUMBER(SEARCH("Var", D713)), 1, IF(ISNUMBER(SEARCH("Gri", D713)), -1, 0)))=1, VERI_TABANI!E26*(1-0.928)*0.00206091519919798*VERI_TABANI!G26, 0)) + ((MIN(VERI_TABANI!D27, VERI_TABANI!D27*B713)*VERI_TABANI!$B$7 + MAX(0, VERI_TABANI!D27*B713-VERI_TABANI!D27)*VERI_TABANI!$B$8) + (MIN(MAX(0, VERI_TABANI!D27-VERI_TABANI!D27*B713), VERI_TABANI!D27*C713)*VERI_TABANI!$B$7 + MAX(0, VERI_TABANI!D27*C713-MAX(0, VERI_TABANI!D27-VERI_TABANI!D27*B713))*VERI_TABANI!$B$8) + IF(ABS(IF(ISNUMBER(SEARCH("Var", D713)), 1, IF(ISNUMBER(SEARCH("Gri", D713)), -1, 0)))=1, VERI_TABANI!E27*(1-0.928)*VERI_TABANI!$B$9, 0) + (VERI_TABANI!D27*B713*(VERI_TABANI!$B$13-VERI_TABANI!$B$14)*VERI_TABANI!G27) + (VERI_TABANI!D27*C713*(VERI_TABANI!$B$13-VERI_TABANI!$B$15)*VERI_TABANI!G27) + IF(ABS(IF(ISNUMBER(SEARCH("Var", D713)), 1, IF(ISNUMBER(SEARCH("Gri", D713)), -1, 0)))=1, VERI_TABANI!E27*(1-0.928)*0.00206091519919798*VERI_TABANI!G27, 0)) + ((MIN(VERI_TABANI!D28, VERI_TABANI!D28*B713)*VERI_TABANI!$B$7 + MAX(0, VERI_TABANI!D28*B713-VERI_TABANI!D28)*VERI_TABANI!$B$8) + (MIN(MAX(0, VERI_TABANI!D28-VERI_TABANI!D28*B713), VERI_TABANI!D28*C713)*VERI_TABANI!$B$7 + MAX(0, VERI_TABANI!D28*C713-MAX(0, VERI_TABANI!D28-VERI_TABANI!D28*B713))*VERI_TABANI!$B$8) + IF(ABS(IF(ISNUMBER(SEARCH("Var", D713)), 1, IF(ISNUMBER(SEARCH("Gri", D713)), -1, 0)))=1, VERI_TABANI!E28*(1-0.928)*VERI_TABANI!$B$9, 0) + (VERI_TABANI!D28*B713*(VERI_TABANI!$B$13-VERI_TABANI!$B$14)*VERI_TABANI!G28) + (VERI_TABANI!D28*C713*(VERI_TABANI!$B$13-VERI_TABANI!$B$15)*VERI_TABANI!G28) + IF(ABS(IF(ISNUMBER(SEARCH("Var", D713)), 1, IF(ISNUMBER(SEARCH("Gri", D713)), -1, 0)))=1, VERI_TABANI!E28*(1-0.928)*0.00206091519919798*VERI_TABANI!G28, 0)))</f>
        <v/>
      </c>
      <c r="H713" s="169">
        <f>(((VERI_TABANI!D23*B713*(VERI_TABANI!$B$13-VERI_TABANI!$B$14)) + (VERI_TABANI!D23*C713*(VERI_TABANI!$B$13-VERI_TABANI!$B$15)) + IF(ISNUMBER(SEARCH("Var", D713)), VERI_TABANI!F23*(0.00202-VERI_TABANI!$B$16), IF(ISNUMBER(SEARCH("Gri", D713)), VERI_TABANI!F23*(0.00202-VERI_TABANI!$B$17), 0))) + ((VERI_TABANI!D24*B713*(VERI_TABANI!$B$13-VERI_TABANI!$B$14)) + (VERI_TABANI!D24*C713*(VERI_TABANI!$B$13-VERI_TABANI!$B$15)) + IF(ISNUMBER(SEARCH("Var", D713)), VERI_TABANI!F24*(0.00202-VERI_TABANI!$B$16), IF(ISNUMBER(SEARCH("Gri", D713)), VERI_TABANI!F24*(0.00202-VERI_TABANI!$B$17), 0))) + ((VERI_TABANI!D25*B713*(VERI_TABANI!$B$13-VERI_TABANI!$B$14)) + (VERI_TABANI!D25*C713*(VERI_TABANI!$B$13-VERI_TABANI!$B$15)) + IF(ISNUMBER(SEARCH("Var", D713)), VERI_TABANI!F25*(0.00202-VERI_TABANI!$B$16), IF(ISNUMBER(SEARCH("Gri", D713)), VERI_TABANI!F25*(0.00202-VERI_TABANI!$B$17), 0))) + ((VERI_TABANI!D26*B713*(VERI_TABANI!$B$13-VERI_TABANI!$B$14)) + (VERI_TABANI!D26*C713*(VERI_TABANI!$B$13-VERI_TABANI!$B$15)) + IF(ISNUMBER(SEARCH("Var", D713)), VERI_TABANI!F26*(0.00202-VERI_TABANI!$B$16), IF(ISNUMBER(SEARCH("Gri", D713)), VERI_TABANI!F26*(0.00202-VERI_TABANI!$B$17), 0))) + ((VERI_TABANI!D27*B713*(VERI_TABANI!$B$13-VERI_TABANI!$B$14)) + (VERI_TABANI!D27*C713*(VERI_TABANI!$B$13-VERI_TABANI!$B$15)) + IF(ISNUMBER(SEARCH("Var", D713)), VERI_TABANI!F27*(0.00202-VERI_TABANI!$B$16), IF(ISNUMBER(SEARCH("Gri", D713)), VERI_TABANI!F27*(0.00202-VERI_TABANI!$B$17), 0))) + ((VERI_TABANI!D28*B713*(VERI_TABANI!$B$13-VERI_TABANI!$B$14)) + (VERI_TABANI!D28*C713*(VERI_TABANI!$B$13-VERI_TABANI!$B$15)) + IF(ISNUMBER(SEARCH("Var", D713)), VERI_TABANI!F28*(0.00202-VERI_TABANI!$B$16), IF(ISNUMBER(SEARCH("Gri", D713)), VERI_TABANI!F28*(0.00202-VERI_TABANI!$B$17), 0))))</f>
        <v/>
      </c>
      <c r="I713" s="170">
        <f>IFERROR(((VERI_TABANI!$D$29*B713*VERI_TABANI!$B$14 + VERI_TABANI!$D$29*C713*VERI_TABANI!$B$15 + IF(ISNUMBER(SEARCH("Var", D713)), VERI_TABANI!$F$29*VERI_TABANI!$B$16, 0))) / (((VERI_TABANI!$D$29*B713 + VERI_TABANI!$D$29*C713)*VERI_TABANI!$B$13 + IF(ISNUMBER(SEARCH("Var", D713)), VERI_TABANI!$E$29*(1-0.928)*VERI_TABANI!$B$18, 0))), 0)</f>
        <v/>
      </c>
      <c r="J713" s="171">
        <f>IFERROR(F713/(G713/29), 0)</f>
        <v/>
      </c>
      <c r="K713" s="172">
        <f>IF(F713&gt;0, H713/F713, 0)</f>
        <v/>
      </c>
      <c r="L713" s="170">
        <f>IF(F713&gt;0, I713, 1000000000)</f>
        <v/>
      </c>
      <c r="M713" s="171">
        <f>ABS((B713+C713)-1)</f>
        <v/>
      </c>
      <c r="N713" s="170">
        <f>IF(F713&gt;0, (G713/29)/F713, 0)</f>
        <v/>
      </c>
      <c r="O713" s="168">
        <f>IF(AND((B713+C713)&gt;=1, ISNUMBER(SEARCH("Var", D713))), F713, 1000000000)</f>
        <v/>
      </c>
      <c r="P713" s="172">
        <f>IF(F713&gt;0, SQRT((F713/MAX(F$5:F$886))^2 + (1 - H713/MAX(H$5:H$886))^2 + (J713/MAX(J$5:J$886))^2), 1000000000)</f>
        <v/>
      </c>
      <c r="Q713" s="166">
        <f>IF(AND(ABS(B713-0.5)&lt;0.01, ABS(C713-0.5)&lt;0.01, ISNUMBER(SEARCH("Var", D713))), 1, 0)</f>
        <v/>
      </c>
      <c r="R713" s="171">
        <f>IF(F713&gt;0, J713, 1000000000)</f>
        <v/>
      </c>
      <c r="S713" s="101">
        <f>IF(AND(F713&lt;=DASHBOARD!$B$11, H713&gt;=DASHBOARD!$B$13), G713, -1000000000000)</f>
        <v/>
      </c>
      <c r="T713" s="101">
        <f>IF(AND(F713&lt;=DASHBOARD!$B$11, H713&gt;=DASHBOARD!$B$13), R713, 1000000000000)</f>
        <v/>
      </c>
      <c r="U713" s="101">
        <f>IF(AND(F713&lt;=DASHBOARD!$B$11, H713&gt;=DASHBOARD!$B$13), N713, -1000000000000)</f>
        <v/>
      </c>
      <c r="V713" s="101">
        <f>IF(AND(F713&lt;=DASHBOARD!$B$11, H713&gt;=DASHBOARD!$B$13), H713, -1000000000000)</f>
        <v/>
      </c>
      <c r="W713" s="101">
        <f>IF(AND(F713&lt;=DASHBOARD!$B$11, H713&gt;=DASHBOARD!$B$13), K713, -1000000000000)</f>
        <v/>
      </c>
      <c r="X713" s="101">
        <f>IF(AND(F713&lt;=DASHBOARD!$B$11, H713&gt;=DASHBOARD!$B$13), M713, 1000000000000)</f>
        <v/>
      </c>
      <c r="Y713" s="101">
        <f>IF(AND(F713&lt;=DASHBOARD!$B$10, H713&gt;=DASHBOARD!$B$11), L713, 1000000000000)</f>
        <v/>
      </c>
      <c r="Z713" s="101">
        <f>IF(AND(F713&lt;=DASHBOARD!$B$10, H713&gt;=DASHBOARD!$B$11), O713, 1000000000000)</f>
        <v/>
      </c>
      <c r="AA713" s="101">
        <f>IF(AND(F713&lt;=DASHBOARD!$B$10, H713&gt;=DASHBOARD!$B$11), P713, 1000000000000)</f>
        <v/>
      </c>
      <c r="AB713" s="101">
        <f>IF(AND(F713&lt;=DASHBOARD!$B$10, H713&gt;=DASHBOARD!$B$11), Q713, -1000000000000)</f>
        <v/>
      </c>
    </row>
    <row r="714" ht="15" customHeight="1" s="102">
      <c r="A714" s="166" t="n">
        <v>710</v>
      </c>
      <c r="B714" s="167" t="n">
        <v>1.6</v>
      </c>
      <c r="C714" s="167" t="n">
        <v>1.8</v>
      </c>
      <c r="D714" s="110" t="inlineStr">
        <is>
          <t>Var (%20)</t>
        </is>
      </c>
      <c r="E714" s="110">
        <f>IF((B714+C714)&lt;=1, "Tam Mahsuplaşma (≤%100)", "Kısmi Satış (&gt;%100)")</f>
        <v/>
      </c>
      <c r="F714" s="168">
        <f>((VERI_TABANI!$D$29*B714/VERI_TABANI!$B$29)/VERI_TABANI!$B$3)*VERI_TABANI!$B$5 + ((VERI_TABANI!$D$29*C714/VERI_TABANI!$B$29)/VERI_TABANI!$B$4)*VERI_TABANI!$B$6 + IF(ISNUMBER(SEARCH("Var", D714)), (VERI_TABANI!$F$29/VERI_TABANI!$B$29)*(VERI_TABANI!$B$10+VERI_TABANI!$B$12), 0)</f>
        <v/>
      </c>
      <c r="G714" s="168">
        <f>(((MIN(VERI_TABANI!D23, VERI_TABANI!D23*B714)*VERI_TABANI!$B$7 + MAX(0, VERI_TABANI!D23*B714-VERI_TABANI!D23)*VERI_TABANI!$B$8) + (MIN(MAX(0, VERI_TABANI!D23-VERI_TABANI!D23*B714), VERI_TABANI!D23*C714)*VERI_TABANI!$B$7 + MAX(0, VERI_TABANI!D23*C714-MAX(0, VERI_TABANI!D23-VERI_TABANI!D23*B714))*VERI_TABANI!$B$8) + IF(ABS(IF(ISNUMBER(SEARCH("Var", D714)), 1, IF(ISNUMBER(SEARCH("Gri", D714)), -1, 0)))=1, VERI_TABANI!E23*(1-0.928)*VERI_TABANI!$B$9, 0) + (VERI_TABANI!D23*B714*(VERI_TABANI!$B$13-VERI_TABANI!$B$14)*VERI_TABANI!G23) + (VERI_TABANI!D23*C714*(VERI_TABANI!$B$13-VERI_TABANI!$B$15)*VERI_TABANI!G23) + IF(ABS(IF(ISNUMBER(SEARCH("Var", D714)), 1, IF(ISNUMBER(SEARCH("Gri", D714)), -1, 0)))=1, VERI_TABANI!E23*(1-0.928)*0.00206091519919798*VERI_TABANI!G23, 0)) + ((MIN(VERI_TABANI!D24, VERI_TABANI!D24*B714)*VERI_TABANI!$B$7 + MAX(0, VERI_TABANI!D24*B714-VERI_TABANI!D24)*VERI_TABANI!$B$8) + (MIN(MAX(0, VERI_TABANI!D24-VERI_TABANI!D24*B714), VERI_TABANI!D24*C714)*VERI_TABANI!$B$7 + MAX(0, VERI_TABANI!D24*C714-MAX(0, VERI_TABANI!D24-VERI_TABANI!D24*B714))*VERI_TABANI!$B$8) + IF(ABS(IF(ISNUMBER(SEARCH("Var", D714)), 1, IF(ISNUMBER(SEARCH("Gri", D714)), -1, 0)))=1, VERI_TABANI!E24*(1-0.928)*VERI_TABANI!$B$9, 0) + (VERI_TABANI!D24*B714*(VERI_TABANI!$B$13-VERI_TABANI!$B$14)*VERI_TABANI!G24) + (VERI_TABANI!D24*C714*(VERI_TABANI!$B$13-VERI_TABANI!$B$15)*VERI_TABANI!G24) + IF(ABS(IF(ISNUMBER(SEARCH("Var", D714)), 1, IF(ISNUMBER(SEARCH("Gri", D714)), -1, 0)))=1, VERI_TABANI!E24*(1-0.928)*0.00206091519919798*VERI_TABANI!G24, 0)) + ((MIN(VERI_TABANI!D25, VERI_TABANI!D25*B714)*VERI_TABANI!$B$7 + MAX(0, VERI_TABANI!D25*B714-VERI_TABANI!D25)*VERI_TABANI!$B$8) + (MIN(MAX(0, VERI_TABANI!D25-VERI_TABANI!D25*B714), VERI_TABANI!D25*C714)*VERI_TABANI!$B$7 + MAX(0, VERI_TABANI!D25*C714-MAX(0, VERI_TABANI!D25-VERI_TABANI!D25*B714))*VERI_TABANI!$B$8) + IF(ABS(IF(ISNUMBER(SEARCH("Var", D714)), 1, IF(ISNUMBER(SEARCH("Gri", D714)), -1, 0)))=1, VERI_TABANI!E25*(1-0.928)*VERI_TABANI!$B$9, 0) + (VERI_TABANI!D25*B714*(VERI_TABANI!$B$13-VERI_TABANI!$B$14)*VERI_TABANI!G25) + (VERI_TABANI!D25*C714*(VERI_TABANI!$B$13-VERI_TABANI!$B$15)*VERI_TABANI!G25) + IF(ABS(IF(ISNUMBER(SEARCH("Var", D714)), 1, IF(ISNUMBER(SEARCH("Gri", D714)), -1, 0)))=1, VERI_TABANI!E25*(1-0.928)*0.00206091519919798*VERI_TABANI!G25, 0)) + ((MIN(VERI_TABANI!D26, VERI_TABANI!D26*B714)*VERI_TABANI!$B$7 + MAX(0, VERI_TABANI!D26*B714-VERI_TABANI!D26)*VERI_TABANI!$B$8) + (MIN(MAX(0, VERI_TABANI!D26-VERI_TABANI!D26*B714), VERI_TABANI!D26*C714)*VERI_TABANI!$B$7 + MAX(0, VERI_TABANI!D26*C714-MAX(0, VERI_TABANI!D26-VERI_TABANI!D26*B714))*VERI_TABANI!$B$8) + IF(ABS(IF(ISNUMBER(SEARCH("Var", D714)), 1, IF(ISNUMBER(SEARCH("Gri", D714)), -1, 0)))=1, VERI_TABANI!E26*(1-0.928)*VERI_TABANI!$B$9, 0) + (VERI_TABANI!D26*B714*(VERI_TABANI!$B$13-VERI_TABANI!$B$14)*VERI_TABANI!G26) + (VERI_TABANI!D26*C714*(VERI_TABANI!$B$13-VERI_TABANI!$B$15)*VERI_TABANI!G26) + IF(ABS(IF(ISNUMBER(SEARCH("Var", D714)), 1, IF(ISNUMBER(SEARCH("Gri", D714)), -1, 0)))=1, VERI_TABANI!E26*(1-0.928)*0.00206091519919798*VERI_TABANI!G26, 0)) + ((MIN(VERI_TABANI!D27, VERI_TABANI!D27*B714)*VERI_TABANI!$B$7 + MAX(0, VERI_TABANI!D27*B714-VERI_TABANI!D27)*VERI_TABANI!$B$8) + (MIN(MAX(0, VERI_TABANI!D27-VERI_TABANI!D27*B714), VERI_TABANI!D27*C714)*VERI_TABANI!$B$7 + MAX(0, VERI_TABANI!D27*C714-MAX(0, VERI_TABANI!D27-VERI_TABANI!D27*B714))*VERI_TABANI!$B$8) + IF(ABS(IF(ISNUMBER(SEARCH("Var", D714)), 1, IF(ISNUMBER(SEARCH("Gri", D714)), -1, 0)))=1, VERI_TABANI!E27*(1-0.928)*VERI_TABANI!$B$9, 0) + (VERI_TABANI!D27*B714*(VERI_TABANI!$B$13-VERI_TABANI!$B$14)*VERI_TABANI!G27) + (VERI_TABANI!D27*C714*(VERI_TABANI!$B$13-VERI_TABANI!$B$15)*VERI_TABANI!G27) + IF(ABS(IF(ISNUMBER(SEARCH("Var", D714)), 1, IF(ISNUMBER(SEARCH("Gri", D714)), -1, 0)))=1, VERI_TABANI!E27*(1-0.928)*0.00206091519919798*VERI_TABANI!G27, 0)) + ((MIN(VERI_TABANI!D28, VERI_TABANI!D28*B714)*VERI_TABANI!$B$7 + MAX(0, VERI_TABANI!D28*B714-VERI_TABANI!D28)*VERI_TABANI!$B$8) + (MIN(MAX(0, VERI_TABANI!D28-VERI_TABANI!D28*B714), VERI_TABANI!D28*C714)*VERI_TABANI!$B$7 + MAX(0, VERI_TABANI!D28*C714-MAX(0, VERI_TABANI!D28-VERI_TABANI!D28*B714))*VERI_TABANI!$B$8) + IF(ABS(IF(ISNUMBER(SEARCH("Var", D714)), 1, IF(ISNUMBER(SEARCH("Gri", D714)), -1, 0)))=1, VERI_TABANI!E28*(1-0.928)*VERI_TABANI!$B$9, 0) + (VERI_TABANI!D28*B714*(VERI_TABANI!$B$13-VERI_TABANI!$B$14)*VERI_TABANI!G28) + (VERI_TABANI!D28*C714*(VERI_TABANI!$B$13-VERI_TABANI!$B$15)*VERI_TABANI!G28) + IF(ABS(IF(ISNUMBER(SEARCH("Var", D714)), 1, IF(ISNUMBER(SEARCH("Gri", D714)), -1, 0)))=1, VERI_TABANI!E28*(1-0.928)*0.00206091519919798*VERI_TABANI!G28, 0)))</f>
        <v/>
      </c>
      <c r="H714" s="169">
        <f>(((VERI_TABANI!D23*B714*(VERI_TABANI!$B$13-VERI_TABANI!$B$14)) + (VERI_TABANI!D23*C714*(VERI_TABANI!$B$13-VERI_TABANI!$B$15)) + IF(ISNUMBER(SEARCH("Var", D714)), VERI_TABANI!F23*(0.00202-VERI_TABANI!$B$16), IF(ISNUMBER(SEARCH("Gri", D714)), VERI_TABANI!F23*(0.00202-VERI_TABANI!$B$17), 0))) + ((VERI_TABANI!D24*B714*(VERI_TABANI!$B$13-VERI_TABANI!$B$14)) + (VERI_TABANI!D24*C714*(VERI_TABANI!$B$13-VERI_TABANI!$B$15)) + IF(ISNUMBER(SEARCH("Var", D714)), VERI_TABANI!F24*(0.00202-VERI_TABANI!$B$16), IF(ISNUMBER(SEARCH("Gri", D714)), VERI_TABANI!F24*(0.00202-VERI_TABANI!$B$17), 0))) + ((VERI_TABANI!D25*B714*(VERI_TABANI!$B$13-VERI_TABANI!$B$14)) + (VERI_TABANI!D25*C714*(VERI_TABANI!$B$13-VERI_TABANI!$B$15)) + IF(ISNUMBER(SEARCH("Var", D714)), VERI_TABANI!F25*(0.00202-VERI_TABANI!$B$16), IF(ISNUMBER(SEARCH("Gri", D714)), VERI_TABANI!F25*(0.00202-VERI_TABANI!$B$17), 0))) + ((VERI_TABANI!D26*B714*(VERI_TABANI!$B$13-VERI_TABANI!$B$14)) + (VERI_TABANI!D26*C714*(VERI_TABANI!$B$13-VERI_TABANI!$B$15)) + IF(ISNUMBER(SEARCH("Var", D714)), VERI_TABANI!F26*(0.00202-VERI_TABANI!$B$16), IF(ISNUMBER(SEARCH("Gri", D714)), VERI_TABANI!F26*(0.00202-VERI_TABANI!$B$17), 0))) + ((VERI_TABANI!D27*B714*(VERI_TABANI!$B$13-VERI_TABANI!$B$14)) + (VERI_TABANI!D27*C714*(VERI_TABANI!$B$13-VERI_TABANI!$B$15)) + IF(ISNUMBER(SEARCH("Var", D714)), VERI_TABANI!F27*(0.00202-VERI_TABANI!$B$16), IF(ISNUMBER(SEARCH("Gri", D714)), VERI_TABANI!F27*(0.00202-VERI_TABANI!$B$17), 0))) + ((VERI_TABANI!D28*B714*(VERI_TABANI!$B$13-VERI_TABANI!$B$14)) + (VERI_TABANI!D28*C714*(VERI_TABANI!$B$13-VERI_TABANI!$B$15)) + IF(ISNUMBER(SEARCH("Var", D714)), VERI_TABANI!F28*(0.00202-VERI_TABANI!$B$16), IF(ISNUMBER(SEARCH("Gri", D714)), VERI_TABANI!F28*(0.00202-VERI_TABANI!$B$17), 0))))</f>
        <v/>
      </c>
      <c r="I714" s="170">
        <f>IFERROR(((VERI_TABANI!$D$29*B714*VERI_TABANI!$B$14 + VERI_TABANI!$D$29*C714*VERI_TABANI!$B$15 + IF(ISNUMBER(SEARCH("Var", D714)), VERI_TABANI!$F$29*VERI_TABANI!$B$16, 0))) / (((VERI_TABANI!$D$29*B714 + VERI_TABANI!$D$29*C714)*VERI_TABANI!$B$13 + IF(ISNUMBER(SEARCH("Var", D714)), VERI_TABANI!$E$29*(1-0.928)*VERI_TABANI!$B$18, 0))), 0)</f>
        <v/>
      </c>
      <c r="J714" s="171">
        <f>IFERROR(F714/(G714/29), 0)</f>
        <v/>
      </c>
      <c r="K714" s="172">
        <f>IF(F714&gt;0, H714/F714, 0)</f>
        <v/>
      </c>
      <c r="L714" s="170">
        <f>IF(F714&gt;0, I714, 1000000000)</f>
        <v/>
      </c>
      <c r="M714" s="171">
        <f>ABS((B714+C714)-1)</f>
        <v/>
      </c>
      <c r="N714" s="170">
        <f>IF(F714&gt;0, (G714/29)/F714, 0)</f>
        <v/>
      </c>
      <c r="O714" s="168">
        <f>IF(AND((B714+C714)&gt;=1, ISNUMBER(SEARCH("Var", D714))), F714, 1000000000)</f>
        <v/>
      </c>
      <c r="P714" s="172">
        <f>IF(F714&gt;0, SQRT((F714/MAX(F$5:F$886))^2 + (1 - H714/MAX(H$5:H$886))^2 + (J714/MAX(J$5:J$886))^2), 1000000000)</f>
        <v/>
      </c>
      <c r="Q714" s="166">
        <f>IF(AND(ABS(B714-0.5)&lt;0.01, ABS(C714-0.5)&lt;0.01, ISNUMBER(SEARCH("Var", D714))), 1, 0)</f>
        <v/>
      </c>
      <c r="R714" s="171">
        <f>IF(F714&gt;0, J714, 1000000000)</f>
        <v/>
      </c>
      <c r="S714" s="101">
        <f>IF(AND(F714&lt;=DASHBOARD!$B$11, H714&gt;=DASHBOARD!$B$13), G714, -1000000000000)</f>
        <v/>
      </c>
      <c r="T714" s="101">
        <f>IF(AND(F714&lt;=DASHBOARD!$B$11, H714&gt;=DASHBOARD!$B$13), R714, 1000000000000)</f>
        <v/>
      </c>
      <c r="U714" s="101">
        <f>IF(AND(F714&lt;=DASHBOARD!$B$11, H714&gt;=DASHBOARD!$B$13), N714, -1000000000000)</f>
        <v/>
      </c>
      <c r="V714" s="101">
        <f>IF(AND(F714&lt;=DASHBOARD!$B$11, H714&gt;=DASHBOARD!$B$13), H714, -1000000000000)</f>
        <v/>
      </c>
      <c r="W714" s="101">
        <f>IF(AND(F714&lt;=DASHBOARD!$B$11, H714&gt;=DASHBOARD!$B$13), K714, -1000000000000)</f>
        <v/>
      </c>
      <c r="X714" s="101">
        <f>IF(AND(F714&lt;=DASHBOARD!$B$11, H714&gt;=DASHBOARD!$B$13), M714, 1000000000000)</f>
        <v/>
      </c>
      <c r="Y714" s="101">
        <f>IF(AND(F714&lt;=DASHBOARD!$B$10, H714&gt;=DASHBOARD!$B$11), L714, 1000000000000)</f>
        <v/>
      </c>
      <c r="Z714" s="101">
        <f>IF(AND(F714&lt;=DASHBOARD!$B$10, H714&gt;=DASHBOARD!$B$11), O714, 1000000000000)</f>
        <v/>
      </c>
      <c r="AA714" s="101">
        <f>IF(AND(F714&lt;=DASHBOARD!$B$10, H714&gt;=DASHBOARD!$B$11), P714, 1000000000000)</f>
        <v/>
      </c>
      <c r="AB714" s="101">
        <f>IF(AND(F714&lt;=DASHBOARD!$B$10, H714&gt;=DASHBOARD!$B$11), Q714, -1000000000000)</f>
        <v/>
      </c>
    </row>
    <row r="715" ht="15" customHeight="1" s="102">
      <c r="A715" s="166" t="n">
        <v>711</v>
      </c>
      <c r="B715" s="167" t="n">
        <v>1.6</v>
      </c>
      <c r="C715" s="167" t="n">
        <v>1.9</v>
      </c>
      <c r="D715" s="110" t="inlineStr">
        <is>
          <t>Yok (%0)</t>
        </is>
      </c>
      <c r="E715" s="110">
        <f>IF((B715+C715)&lt;=1, "Tam Mahsuplaşma (≤%100)", "Kısmi Satış (&gt;%100)")</f>
        <v/>
      </c>
      <c r="F715" s="168">
        <f>((VERI_TABANI!$D$29*B715/VERI_TABANI!$B$29)/VERI_TABANI!$B$3)*VERI_TABANI!$B$5 + ((VERI_TABANI!$D$29*C715/VERI_TABANI!$B$29)/VERI_TABANI!$B$4)*VERI_TABANI!$B$6 + IF(ISNUMBER(SEARCH("Var", D715)), (VERI_TABANI!$F$29/VERI_TABANI!$B$29)*(VERI_TABANI!$B$10+VERI_TABANI!$B$12), 0)</f>
        <v/>
      </c>
      <c r="G715" s="168">
        <f>(((MIN(VERI_TABANI!D23, VERI_TABANI!D23*B715)*VERI_TABANI!$B$7 + MAX(0, VERI_TABANI!D23*B715-VERI_TABANI!D23)*VERI_TABANI!$B$8) + (MIN(MAX(0, VERI_TABANI!D23-VERI_TABANI!D23*B715), VERI_TABANI!D23*C715)*VERI_TABANI!$B$7 + MAX(0, VERI_TABANI!D23*C715-MAX(0, VERI_TABANI!D23-VERI_TABANI!D23*B715))*VERI_TABANI!$B$8) + IF(ABS(IF(ISNUMBER(SEARCH("Var", D715)), 1, IF(ISNUMBER(SEARCH("Gri", D715)), -1, 0)))=1, VERI_TABANI!E23*(1-0.928)*VERI_TABANI!$B$9, 0) + (VERI_TABANI!D23*B715*(VERI_TABANI!$B$13-VERI_TABANI!$B$14)*VERI_TABANI!G23) + (VERI_TABANI!D23*C715*(VERI_TABANI!$B$13-VERI_TABANI!$B$15)*VERI_TABANI!G23) + IF(ABS(IF(ISNUMBER(SEARCH("Var", D715)), 1, IF(ISNUMBER(SEARCH("Gri", D715)), -1, 0)))=1, VERI_TABANI!E23*(1-0.928)*0.00206091519919798*VERI_TABANI!G23, 0)) + ((MIN(VERI_TABANI!D24, VERI_TABANI!D24*B715)*VERI_TABANI!$B$7 + MAX(0, VERI_TABANI!D24*B715-VERI_TABANI!D24)*VERI_TABANI!$B$8) + (MIN(MAX(0, VERI_TABANI!D24-VERI_TABANI!D24*B715), VERI_TABANI!D24*C715)*VERI_TABANI!$B$7 + MAX(0, VERI_TABANI!D24*C715-MAX(0, VERI_TABANI!D24-VERI_TABANI!D24*B715))*VERI_TABANI!$B$8) + IF(ABS(IF(ISNUMBER(SEARCH("Var", D715)), 1, IF(ISNUMBER(SEARCH("Gri", D715)), -1, 0)))=1, VERI_TABANI!E24*(1-0.928)*VERI_TABANI!$B$9, 0) + (VERI_TABANI!D24*B715*(VERI_TABANI!$B$13-VERI_TABANI!$B$14)*VERI_TABANI!G24) + (VERI_TABANI!D24*C715*(VERI_TABANI!$B$13-VERI_TABANI!$B$15)*VERI_TABANI!G24) + IF(ABS(IF(ISNUMBER(SEARCH("Var", D715)), 1, IF(ISNUMBER(SEARCH("Gri", D715)), -1, 0)))=1, VERI_TABANI!E24*(1-0.928)*0.00206091519919798*VERI_TABANI!G24, 0)) + ((MIN(VERI_TABANI!D25, VERI_TABANI!D25*B715)*VERI_TABANI!$B$7 + MAX(0, VERI_TABANI!D25*B715-VERI_TABANI!D25)*VERI_TABANI!$B$8) + (MIN(MAX(0, VERI_TABANI!D25-VERI_TABANI!D25*B715), VERI_TABANI!D25*C715)*VERI_TABANI!$B$7 + MAX(0, VERI_TABANI!D25*C715-MAX(0, VERI_TABANI!D25-VERI_TABANI!D25*B715))*VERI_TABANI!$B$8) + IF(ABS(IF(ISNUMBER(SEARCH("Var", D715)), 1, IF(ISNUMBER(SEARCH("Gri", D715)), -1, 0)))=1, VERI_TABANI!E25*(1-0.928)*VERI_TABANI!$B$9, 0) + (VERI_TABANI!D25*B715*(VERI_TABANI!$B$13-VERI_TABANI!$B$14)*VERI_TABANI!G25) + (VERI_TABANI!D25*C715*(VERI_TABANI!$B$13-VERI_TABANI!$B$15)*VERI_TABANI!G25) + IF(ABS(IF(ISNUMBER(SEARCH("Var", D715)), 1, IF(ISNUMBER(SEARCH("Gri", D715)), -1, 0)))=1, VERI_TABANI!E25*(1-0.928)*0.00206091519919798*VERI_TABANI!G25, 0)) + ((MIN(VERI_TABANI!D26, VERI_TABANI!D26*B715)*VERI_TABANI!$B$7 + MAX(0, VERI_TABANI!D26*B715-VERI_TABANI!D26)*VERI_TABANI!$B$8) + (MIN(MAX(0, VERI_TABANI!D26-VERI_TABANI!D26*B715), VERI_TABANI!D26*C715)*VERI_TABANI!$B$7 + MAX(0, VERI_TABANI!D26*C715-MAX(0, VERI_TABANI!D26-VERI_TABANI!D26*B715))*VERI_TABANI!$B$8) + IF(ABS(IF(ISNUMBER(SEARCH("Var", D715)), 1, IF(ISNUMBER(SEARCH("Gri", D715)), -1, 0)))=1, VERI_TABANI!E26*(1-0.928)*VERI_TABANI!$B$9, 0) + (VERI_TABANI!D26*B715*(VERI_TABANI!$B$13-VERI_TABANI!$B$14)*VERI_TABANI!G26) + (VERI_TABANI!D26*C715*(VERI_TABANI!$B$13-VERI_TABANI!$B$15)*VERI_TABANI!G26) + IF(ABS(IF(ISNUMBER(SEARCH("Var", D715)), 1, IF(ISNUMBER(SEARCH("Gri", D715)), -1, 0)))=1, VERI_TABANI!E26*(1-0.928)*0.00206091519919798*VERI_TABANI!G26, 0)) + ((MIN(VERI_TABANI!D27, VERI_TABANI!D27*B715)*VERI_TABANI!$B$7 + MAX(0, VERI_TABANI!D27*B715-VERI_TABANI!D27)*VERI_TABANI!$B$8) + (MIN(MAX(0, VERI_TABANI!D27-VERI_TABANI!D27*B715), VERI_TABANI!D27*C715)*VERI_TABANI!$B$7 + MAX(0, VERI_TABANI!D27*C715-MAX(0, VERI_TABANI!D27-VERI_TABANI!D27*B715))*VERI_TABANI!$B$8) + IF(ABS(IF(ISNUMBER(SEARCH("Var", D715)), 1, IF(ISNUMBER(SEARCH("Gri", D715)), -1, 0)))=1, VERI_TABANI!E27*(1-0.928)*VERI_TABANI!$B$9, 0) + (VERI_TABANI!D27*B715*(VERI_TABANI!$B$13-VERI_TABANI!$B$14)*VERI_TABANI!G27) + (VERI_TABANI!D27*C715*(VERI_TABANI!$B$13-VERI_TABANI!$B$15)*VERI_TABANI!G27) + IF(ABS(IF(ISNUMBER(SEARCH("Var", D715)), 1, IF(ISNUMBER(SEARCH("Gri", D715)), -1, 0)))=1, VERI_TABANI!E27*(1-0.928)*0.00206091519919798*VERI_TABANI!G27, 0)) + ((MIN(VERI_TABANI!D28, VERI_TABANI!D28*B715)*VERI_TABANI!$B$7 + MAX(0, VERI_TABANI!D28*B715-VERI_TABANI!D28)*VERI_TABANI!$B$8) + (MIN(MAX(0, VERI_TABANI!D28-VERI_TABANI!D28*B715), VERI_TABANI!D28*C715)*VERI_TABANI!$B$7 + MAX(0, VERI_TABANI!D28*C715-MAX(0, VERI_TABANI!D28-VERI_TABANI!D28*B715))*VERI_TABANI!$B$8) + IF(ABS(IF(ISNUMBER(SEARCH("Var", D715)), 1, IF(ISNUMBER(SEARCH("Gri", D715)), -1, 0)))=1, VERI_TABANI!E28*(1-0.928)*VERI_TABANI!$B$9, 0) + (VERI_TABANI!D28*B715*(VERI_TABANI!$B$13-VERI_TABANI!$B$14)*VERI_TABANI!G28) + (VERI_TABANI!D28*C715*(VERI_TABANI!$B$13-VERI_TABANI!$B$15)*VERI_TABANI!G28) + IF(ABS(IF(ISNUMBER(SEARCH("Var", D715)), 1, IF(ISNUMBER(SEARCH("Gri", D715)), -1, 0)))=1, VERI_TABANI!E28*(1-0.928)*0.00206091519919798*VERI_TABANI!G28, 0)))</f>
        <v/>
      </c>
      <c r="H715" s="169">
        <f>(((VERI_TABANI!D23*B715*(VERI_TABANI!$B$13-VERI_TABANI!$B$14)) + (VERI_TABANI!D23*C715*(VERI_TABANI!$B$13-VERI_TABANI!$B$15)) + IF(ISNUMBER(SEARCH("Var", D715)), VERI_TABANI!F23*(0.00202-VERI_TABANI!$B$16), IF(ISNUMBER(SEARCH("Gri", D715)), VERI_TABANI!F23*(0.00202-VERI_TABANI!$B$17), 0))) + ((VERI_TABANI!D24*B715*(VERI_TABANI!$B$13-VERI_TABANI!$B$14)) + (VERI_TABANI!D24*C715*(VERI_TABANI!$B$13-VERI_TABANI!$B$15)) + IF(ISNUMBER(SEARCH("Var", D715)), VERI_TABANI!F24*(0.00202-VERI_TABANI!$B$16), IF(ISNUMBER(SEARCH("Gri", D715)), VERI_TABANI!F24*(0.00202-VERI_TABANI!$B$17), 0))) + ((VERI_TABANI!D25*B715*(VERI_TABANI!$B$13-VERI_TABANI!$B$14)) + (VERI_TABANI!D25*C715*(VERI_TABANI!$B$13-VERI_TABANI!$B$15)) + IF(ISNUMBER(SEARCH("Var", D715)), VERI_TABANI!F25*(0.00202-VERI_TABANI!$B$16), IF(ISNUMBER(SEARCH("Gri", D715)), VERI_TABANI!F25*(0.00202-VERI_TABANI!$B$17), 0))) + ((VERI_TABANI!D26*B715*(VERI_TABANI!$B$13-VERI_TABANI!$B$14)) + (VERI_TABANI!D26*C715*(VERI_TABANI!$B$13-VERI_TABANI!$B$15)) + IF(ISNUMBER(SEARCH("Var", D715)), VERI_TABANI!F26*(0.00202-VERI_TABANI!$B$16), IF(ISNUMBER(SEARCH("Gri", D715)), VERI_TABANI!F26*(0.00202-VERI_TABANI!$B$17), 0))) + ((VERI_TABANI!D27*B715*(VERI_TABANI!$B$13-VERI_TABANI!$B$14)) + (VERI_TABANI!D27*C715*(VERI_TABANI!$B$13-VERI_TABANI!$B$15)) + IF(ISNUMBER(SEARCH("Var", D715)), VERI_TABANI!F27*(0.00202-VERI_TABANI!$B$16), IF(ISNUMBER(SEARCH("Gri", D715)), VERI_TABANI!F27*(0.00202-VERI_TABANI!$B$17), 0))) + ((VERI_TABANI!D28*B715*(VERI_TABANI!$B$13-VERI_TABANI!$B$14)) + (VERI_TABANI!D28*C715*(VERI_TABANI!$B$13-VERI_TABANI!$B$15)) + IF(ISNUMBER(SEARCH("Var", D715)), VERI_TABANI!F28*(0.00202-VERI_TABANI!$B$16), IF(ISNUMBER(SEARCH("Gri", D715)), VERI_TABANI!F28*(0.00202-VERI_TABANI!$B$17), 0))))</f>
        <v/>
      </c>
      <c r="I715" s="170">
        <f>IFERROR(((VERI_TABANI!$D$29*B715*VERI_TABANI!$B$14 + VERI_TABANI!$D$29*C715*VERI_TABANI!$B$15 + IF(ISNUMBER(SEARCH("Var", D715)), VERI_TABANI!$F$29*VERI_TABANI!$B$16, 0))) / (((VERI_TABANI!$D$29*B715 + VERI_TABANI!$D$29*C715)*VERI_TABANI!$B$13 + IF(ISNUMBER(SEARCH("Var", D715)), VERI_TABANI!$E$29*(1-0.928)*VERI_TABANI!$B$18, 0))), 0)</f>
        <v/>
      </c>
      <c r="J715" s="171">
        <f>IFERROR(F715/(G715/29), 0)</f>
        <v/>
      </c>
      <c r="K715" s="172">
        <f>IF(F715&gt;0, H715/F715, 0)</f>
        <v/>
      </c>
      <c r="L715" s="170">
        <f>IF(F715&gt;0, I715, 1000000000)</f>
        <v/>
      </c>
      <c r="M715" s="171">
        <f>ABS((B715+C715)-1)</f>
        <v/>
      </c>
      <c r="N715" s="170">
        <f>IF(F715&gt;0, (G715/29)/F715, 0)</f>
        <v/>
      </c>
      <c r="O715" s="168">
        <f>IF(AND((B715+C715)&gt;=1, ISNUMBER(SEARCH("Var", D715))), F715, 1000000000)</f>
        <v/>
      </c>
      <c r="P715" s="172">
        <f>IF(F715&gt;0, SQRT((F715/MAX(F$5:F$886))^2 + (1 - H715/MAX(H$5:H$886))^2 + (J715/MAX(J$5:J$886))^2), 1000000000)</f>
        <v/>
      </c>
      <c r="Q715" s="166">
        <f>IF(AND(ABS(B715-0.5)&lt;0.01, ABS(C715-0.5)&lt;0.01, ISNUMBER(SEARCH("Var", D715))), 1, 0)</f>
        <v/>
      </c>
      <c r="R715" s="171">
        <f>IF(F715&gt;0, J715, 1000000000)</f>
        <v/>
      </c>
      <c r="S715" s="101">
        <f>IF(AND(F715&lt;=DASHBOARD!$B$11, H715&gt;=DASHBOARD!$B$13), G715, -1000000000000)</f>
        <v/>
      </c>
      <c r="T715" s="101">
        <f>IF(AND(F715&lt;=DASHBOARD!$B$11, H715&gt;=DASHBOARD!$B$13), R715, 1000000000000)</f>
        <v/>
      </c>
      <c r="U715" s="101">
        <f>IF(AND(F715&lt;=DASHBOARD!$B$11, H715&gt;=DASHBOARD!$B$13), N715, -1000000000000)</f>
        <v/>
      </c>
      <c r="V715" s="101">
        <f>IF(AND(F715&lt;=DASHBOARD!$B$11, H715&gt;=DASHBOARD!$B$13), H715, -1000000000000)</f>
        <v/>
      </c>
      <c r="W715" s="101">
        <f>IF(AND(F715&lt;=DASHBOARD!$B$11, H715&gt;=DASHBOARD!$B$13), K715, -1000000000000)</f>
        <v/>
      </c>
      <c r="X715" s="101">
        <f>IF(AND(F715&lt;=DASHBOARD!$B$11, H715&gt;=DASHBOARD!$B$13), M715, 1000000000000)</f>
        <v/>
      </c>
      <c r="Y715" s="101">
        <f>IF(AND(F715&lt;=DASHBOARD!$B$10, H715&gt;=DASHBOARD!$B$11), L715, 1000000000000)</f>
        <v/>
      </c>
      <c r="Z715" s="101">
        <f>IF(AND(F715&lt;=DASHBOARD!$B$10, H715&gt;=DASHBOARD!$B$11), O715, 1000000000000)</f>
        <v/>
      </c>
      <c r="AA715" s="101">
        <f>IF(AND(F715&lt;=DASHBOARD!$B$10, H715&gt;=DASHBOARD!$B$11), P715, 1000000000000)</f>
        <v/>
      </c>
      <c r="AB715" s="101">
        <f>IF(AND(F715&lt;=DASHBOARD!$B$10, H715&gt;=DASHBOARD!$B$11), Q715, -1000000000000)</f>
        <v/>
      </c>
    </row>
    <row r="716" ht="15" customHeight="1" s="102">
      <c r="A716" s="166" t="n">
        <v>712</v>
      </c>
      <c r="B716" s="167" t="n">
        <v>1.6</v>
      </c>
      <c r="C716" s="167" t="n">
        <v>1.9</v>
      </c>
      <c r="D716" s="110" t="inlineStr">
        <is>
          <t>Var (%20)</t>
        </is>
      </c>
      <c r="E716" s="110">
        <f>IF((B716+C716)&lt;=1, "Tam Mahsuplaşma (≤%100)", "Kısmi Satış (&gt;%100)")</f>
        <v/>
      </c>
      <c r="F716" s="168">
        <f>((VERI_TABANI!$D$29*B716/VERI_TABANI!$B$29)/VERI_TABANI!$B$3)*VERI_TABANI!$B$5 + ((VERI_TABANI!$D$29*C716/VERI_TABANI!$B$29)/VERI_TABANI!$B$4)*VERI_TABANI!$B$6 + IF(ISNUMBER(SEARCH("Var", D716)), (VERI_TABANI!$F$29/VERI_TABANI!$B$29)*(VERI_TABANI!$B$10+VERI_TABANI!$B$12), 0)</f>
        <v/>
      </c>
      <c r="G716" s="168">
        <f>(((MIN(VERI_TABANI!D23, VERI_TABANI!D23*B716)*VERI_TABANI!$B$7 + MAX(0, VERI_TABANI!D23*B716-VERI_TABANI!D23)*VERI_TABANI!$B$8) + (MIN(MAX(0, VERI_TABANI!D23-VERI_TABANI!D23*B716), VERI_TABANI!D23*C716)*VERI_TABANI!$B$7 + MAX(0, VERI_TABANI!D23*C716-MAX(0, VERI_TABANI!D23-VERI_TABANI!D23*B716))*VERI_TABANI!$B$8) + IF(ABS(IF(ISNUMBER(SEARCH("Var", D716)), 1, IF(ISNUMBER(SEARCH("Gri", D716)), -1, 0)))=1, VERI_TABANI!E23*(1-0.928)*VERI_TABANI!$B$9, 0) + (VERI_TABANI!D23*B716*(VERI_TABANI!$B$13-VERI_TABANI!$B$14)*VERI_TABANI!G23) + (VERI_TABANI!D23*C716*(VERI_TABANI!$B$13-VERI_TABANI!$B$15)*VERI_TABANI!G23) + IF(ABS(IF(ISNUMBER(SEARCH("Var", D716)), 1, IF(ISNUMBER(SEARCH("Gri", D716)), -1, 0)))=1, VERI_TABANI!E23*(1-0.928)*0.00206091519919798*VERI_TABANI!G23, 0)) + ((MIN(VERI_TABANI!D24, VERI_TABANI!D24*B716)*VERI_TABANI!$B$7 + MAX(0, VERI_TABANI!D24*B716-VERI_TABANI!D24)*VERI_TABANI!$B$8) + (MIN(MAX(0, VERI_TABANI!D24-VERI_TABANI!D24*B716), VERI_TABANI!D24*C716)*VERI_TABANI!$B$7 + MAX(0, VERI_TABANI!D24*C716-MAX(0, VERI_TABANI!D24-VERI_TABANI!D24*B716))*VERI_TABANI!$B$8) + IF(ABS(IF(ISNUMBER(SEARCH("Var", D716)), 1, IF(ISNUMBER(SEARCH("Gri", D716)), -1, 0)))=1, VERI_TABANI!E24*(1-0.928)*VERI_TABANI!$B$9, 0) + (VERI_TABANI!D24*B716*(VERI_TABANI!$B$13-VERI_TABANI!$B$14)*VERI_TABANI!G24) + (VERI_TABANI!D24*C716*(VERI_TABANI!$B$13-VERI_TABANI!$B$15)*VERI_TABANI!G24) + IF(ABS(IF(ISNUMBER(SEARCH("Var", D716)), 1, IF(ISNUMBER(SEARCH("Gri", D716)), -1, 0)))=1, VERI_TABANI!E24*(1-0.928)*0.00206091519919798*VERI_TABANI!G24, 0)) + ((MIN(VERI_TABANI!D25, VERI_TABANI!D25*B716)*VERI_TABANI!$B$7 + MAX(0, VERI_TABANI!D25*B716-VERI_TABANI!D25)*VERI_TABANI!$B$8) + (MIN(MAX(0, VERI_TABANI!D25-VERI_TABANI!D25*B716), VERI_TABANI!D25*C716)*VERI_TABANI!$B$7 + MAX(0, VERI_TABANI!D25*C716-MAX(0, VERI_TABANI!D25-VERI_TABANI!D25*B716))*VERI_TABANI!$B$8) + IF(ABS(IF(ISNUMBER(SEARCH("Var", D716)), 1, IF(ISNUMBER(SEARCH("Gri", D716)), -1, 0)))=1, VERI_TABANI!E25*(1-0.928)*VERI_TABANI!$B$9, 0) + (VERI_TABANI!D25*B716*(VERI_TABANI!$B$13-VERI_TABANI!$B$14)*VERI_TABANI!G25) + (VERI_TABANI!D25*C716*(VERI_TABANI!$B$13-VERI_TABANI!$B$15)*VERI_TABANI!G25) + IF(ABS(IF(ISNUMBER(SEARCH("Var", D716)), 1, IF(ISNUMBER(SEARCH("Gri", D716)), -1, 0)))=1, VERI_TABANI!E25*(1-0.928)*0.00206091519919798*VERI_TABANI!G25, 0)) + ((MIN(VERI_TABANI!D26, VERI_TABANI!D26*B716)*VERI_TABANI!$B$7 + MAX(0, VERI_TABANI!D26*B716-VERI_TABANI!D26)*VERI_TABANI!$B$8) + (MIN(MAX(0, VERI_TABANI!D26-VERI_TABANI!D26*B716), VERI_TABANI!D26*C716)*VERI_TABANI!$B$7 + MAX(0, VERI_TABANI!D26*C716-MAX(0, VERI_TABANI!D26-VERI_TABANI!D26*B716))*VERI_TABANI!$B$8) + IF(ABS(IF(ISNUMBER(SEARCH("Var", D716)), 1, IF(ISNUMBER(SEARCH("Gri", D716)), -1, 0)))=1, VERI_TABANI!E26*(1-0.928)*VERI_TABANI!$B$9, 0) + (VERI_TABANI!D26*B716*(VERI_TABANI!$B$13-VERI_TABANI!$B$14)*VERI_TABANI!G26) + (VERI_TABANI!D26*C716*(VERI_TABANI!$B$13-VERI_TABANI!$B$15)*VERI_TABANI!G26) + IF(ABS(IF(ISNUMBER(SEARCH("Var", D716)), 1, IF(ISNUMBER(SEARCH("Gri", D716)), -1, 0)))=1, VERI_TABANI!E26*(1-0.928)*0.00206091519919798*VERI_TABANI!G26, 0)) + ((MIN(VERI_TABANI!D27, VERI_TABANI!D27*B716)*VERI_TABANI!$B$7 + MAX(0, VERI_TABANI!D27*B716-VERI_TABANI!D27)*VERI_TABANI!$B$8) + (MIN(MAX(0, VERI_TABANI!D27-VERI_TABANI!D27*B716), VERI_TABANI!D27*C716)*VERI_TABANI!$B$7 + MAX(0, VERI_TABANI!D27*C716-MAX(0, VERI_TABANI!D27-VERI_TABANI!D27*B716))*VERI_TABANI!$B$8) + IF(ABS(IF(ISNUMBER(SEARCH("Var", D716)), 1, IF(ISNUMBER(SEARCH("Gri", D716)), -1, 0)))=1, VERI_TABANI!E27*(1-0.928)*VERI_TABANI!$B$9, 0) + (VERI_TABANI!D27*B716*(VERI_TABANI!$B$13-VERI_TABANI!$B$14)*VERI_TABANI!G27) + (VERI_TABANI!D27*C716*(VERI_TABANI!$B$13-VERI_TABANI!$B$15)*VERI_TABANI!G27) + IF(ABS(IF(ISNUMBER(SEARCH("Var", D716)), 1, IF(ISNUMBER(SEARCH("Gri", D716)), -1, 0)))=1, VERI_TABANI!E27*(1-0.928)*0.00206091519919798*VERI_TABANI!G27, 0)) + ((MIN(VERI_TABANI!D28, VERI_TABANI!D28*B716)*VERI_TABANI!$B$7 + MAX(0, VERI_TABANI!D28*B716-VERI_TABANI!D28)*VERI_TABANI!$B$8) + (MIN(MAX(0, VERI_TABANI!D28-VERI_TABANI!D28*B716), VERI_TABANI!D28*C716)*VERI_TABANI!$B$7 + MAX(0, VERI_TABANI!D28*C716-MAX(0, VERI_TABANI!D28-VERI_TABANI!D28*B716))*VERI_TABANI!$B$8) + IF(ABS(IF(ISNUMBER(SEARCH("Var", D716)), 1, IF(ISNUMBER(SEARCH("Gri", D716)), -1, 0)))=1, VERI_TABANI!E28*(1-0.928)*VERI_TABANI!$B$9, 0) + (VERI_TABANI!D28*B716*(VERI_TABANI!$B$13-VERI_TABANI!$B$14)*VERI_TABANI!G28) + (VERI_TABANI!D28*C716*(VERI_TABANI!$B$13-VERI_TABANI!$B$15)*VERI_TABANI!G28) + IF(ABS(IF(ISNUMBER(SEARCH("Var", D716)), 1, IF(ISNUMBER(SEARCH("Gri", D716)), -1, 0)))=1, VERI_TABANI!E28*(1-0.928)*0.00206091519919798*VERI_TABANI!G28, 0)))</f>
        <v/>
      </c>
      <c r="H716" s="169">
        <f>(((VERI_TABANI!D23*B716*(VERI_TABANI!$B$13-VERI_TABANI!$B$14)) + (VERI_TABANI!D23*C716*(VERI_TABANI!$B$13-VERI_TABANI!$B$15)) + IF(ISNUMBER(SEARCH("Var", D716)), VERI_TABANI!F23*(0.00202-VERI_TABANI!$B$16), IF(ISNUMBER(SEARCH("Gri", D716)), VERI_TABANI!F23*(0.00202-VERI_TABANI!$B$17), 0))) + ((VERI_TABANI!D24*B716*(VERI_TABANI!$B$13-VERI_TABANI!$B$14)) + (VERI_TABANI!D24*C716*(VERI_TABANI!$B$13-VERI_TABANI!$B$15)) + IF(ISNUMBER(SEARCH("Var", D716)), VERI_TABANI!F24*(0.00202-VERI_TABANI!$B$16), IF(ISNUMBER(SEARCH("Gri", D716)), VERI_TABANI!F24*(0.00202-VERI_TABANI!$B$17), 0))) + ((VERI_TABANI!D25*B716*(VERI_TABANI!$B$13-VERI_TABANI!$B$14)) + (VERI_TABANI!D25*C716*(VERI_TABANI!$B$13-VERI_TABANI!$B$15)) + IF(ISNUMBER(SEARCH("Var", D716)), VERI_TABANI!F25*(0.00202-VERI_TABANI!$B$16), IF(ISNUMBER(SEARCH("Gri", D716)), VERI_TABANI!F25*(0.00202-VERI_TABANI!$B$17), 0))) + ((VERI_TABANI!D26*B716*(VERI_TABANI!$B$13-VERI_TABANI!$B$14)) + (VERI_TABANI!D26*C716*(VERI_TABANI!$B$13-VERI_TABANI!$B$15)) + IF(ISNUMBER(SEARCH("Var", D716)), VERI_TABANI!F26*(0.00202-VERI_TABANI!$B$16), IF(ISNUMBER(SEARCH("Gri", D716)), VERI_TABANI!F26*(0.00202-VERI_TABANI!$B$17), 0))) + ((VERI_TABANI!D27*B716*(VERI_TABANI!$B$13-VERI_TABANI!$B$14)) + (VERI_TABANI!D27*C716*(VERI_TABANI!$B$13-VERI_TABANI!$B$15)) + IF(ISNUMBER(SEARCH("Var", D716)), VERI_TABANI!F27*(0.00202-VERI_TABANI!$B$16), IF(ISNUMBER(SEARCH("Gri", D716)), VERI_TABANI!F27*(0.00202-VERI_TABANI!$B$17), 0))) + ((VERI_TABANI!D28*B716*(VERI_TABANI!$B$13-VERI_TABANI!$B$14)) + (VERI_TABANI!D28*C716*(VERI_TABANI!$B$13-VERI_TABANI!$B$15)) + IF(ISNUMBER(SEARCH("Var", D716)), VERI_TABANI!F28*(0.00202-VERI_TABANI!$B$16), IF(ISNUMBER(SEARCH("Gri", D716)), VERI_TABANI!F28*(0.00202-VERI_TABANI!$B$17), 0))))</f>
        <v/>
      </c>
      <c r="I716" s="170">
        <f>IFERROR(((VERI_TABANI!$D$29*B716*VERI_TABANI!$B$14 + VERI_TABANI!$D$29*C716*VERI_TABANI!$B$15 + IF(ISNUMBER(SEARCH("Var", D716)), VERI_TABANI!$F$29*VERI_TABANI!$B$16, 0))) / (((VERI_TABANI!$D$29*B716 + VERI_TABANI!$D$29*C716)*VERI_TABANI!$B$13 + IF(ISNUMBER(SEARCH("Var", D716)), VERI_TABANI!$E$29*(1-0.928)*VERI_TABANI!$B$18, 0))), 0)</f>
        <v/>
      </c>
      <c r="J716" s="171">
        <f>IFERROR(F716/(G716/29), 0)</f>
        <v/>
      </c>
      <c r="K716" s="172">
        <f>IF(F716&gt;0, H716/F716, 0)</f>
        <v/>
      </c>
      <c r="L716" s="170">
        <f>IF(F716&gt;0, I716, 1000000000)</f>
        <v/>
      </c>
      <c r="M716" s="171">
        <f>ABS((B716+C716)-1)</f>
        <v/>
      </c>
      <c r="N716" s="170">
        <f>IF(F716&gt;0, (G716/29)/F716, 0)</f>
        <v/>
      </c>
      <c r="O716" s="168">
        <f>IF(AND((B716+C716)&gt;=1, ISNUMBER(SEARCH("Var", D716))), F716, 1000000000)</f>
        <v/>
      </c>
      <c r="P716" s="172">
        <f>IF(F716&gt;0, SQRT((F716/MAX(F$5:F$886))^2 + (1 - H716/MAX(H$5:H$886))^2 + (J716/MAX(J$5:J$886))^2), 1000000000)</f>
        <v/>
      </c>
      <c r="Q716" s="166">
        <f>IF(AND(ABS(B716-0.5)&lt;0.01, ABS(C716-0.5)&lt;0.01, ISNUMBER(SEARCH("Var", D716))), 1, 0)</f>
        <v/>
      </c>
      <c r="R716" s="171">
        <f>IF(F716&gt;0, J716, 1000000000)</f>
        <v/>
      </c>
      <c r="S716" s="101">
        <f>IF(AND(F716&lt;=DASHBOARD!$B$11, H716&gt;=DASHBOARD!$B$13), G716, -1000000000000)</f>
        <v/>
      </c>
      <c r="T716" s="101">
        <f>IF(AND(F716&lt;=DASHBOARD!$B$11, H716&gt;=DASHBOARD!$B$13), R716, 1000000000000)</f>
        <v/>
      </c>
      <c r="U716" s="101">
        <f>IF(AND(F716&lt;=DASHBOARD!$B$11, H716&gt;=DASHBOARD!$B$13), N716, -1000000000000)</f>
        <v/>
      </c>
      <c r="V716" s="101">
        <f>IF(AND(F716&lt;=DASHBOARD!$B$11, H716&gt;=DASHBOARD!$B$13), H716, -1000000000000)</f>
        <v/>
      </c>
      <c r="W716" s="101">
        <f>IF(AND(F716&lt;=DASHBOARD!$B$11, H716&gt;=DASHBOARD!$B$13), K716, -1000000000000)</f>
        <v/>
      </c>
      <c r="X716" s="101">
        <f>IF(AND(F716&lt;=DASHBOARD!$B$11, H716&gt;=DASHBOARD!$B$13), M716, 1000000000000)</f>
        <v/>
      </c>
      <c r="Y716" s="101">
        <f>IF(AND(F716&lt;=DASHBOARD!$B$10, H716&gt;=DASHBOARD!$B$11), L716, 1000000000000)</f>
        <v/>
      </c>
      <c r="Z716" s="101">
        <f>IF(AND(F716&lt;=DASHBOARD!$B$10, H716&gt;=DASHBOARD!$B$11), O716, 1000000000000)</f>
        <v/>
      </c>
      <c r="AA716" s="101">
        <f>IF(AND(F716&lt;=DASHBOARD!$B$10, H716&gt;=DASHBOARD!$B$11), P716, 1000000000000)</f>
        <v/>
      </c>
      <c r="AB716" s="101">
        <f>IF(AND(F716&lt;=DASHBOARD!$B$10, H716&gt;=DASHBOARD!$B$11), Q716, -1000000000000)</f>
        <v/>
      </c>
    </row>
    <row r="717" ht="15" customHeight="1" s="102">
      <c r="A717" s="166" t="n">
        <v>713</v>
      </c>
      <c r="B717" s="167" t="n">
        <v>1.6</v>
      </c>
      <c r="C717" s="167" t="n">
        <v>2</v>
      </c>
      <c r="D717" s="110" t="inlineStr">
        <is>
          <t>Yok (%0)</t>
        </is>
      </c>
      <c r="E717" s="110">
        <f>IF((B717+C717)&lt;=1, "Tam Mahsuplaşma (≤%100)", "Kısmi Satış (&gt;%100)")</f>
        <v/>
      </c>
      <c r="F717" s="168">
        <f>((VERI_TABANI!$D$29*B717/VERI_TABANI!$B$29)/VERI_TABANI!$B$3)*VERI_TABANI!$B$5 + ((VERI_TABANI!$D$29*C717/VERI_TABANI!$B$29)/VERI_TABANI!$B$4)*VERI_TABANI!$B$6 + IF(ISNUMBER(SEARCH("Var", D717)), (VERI_TABANI!$F$29/VERI_TABANI!$B$29)*(VERI_TABANI!$B$10+VERI_TABANI!$B$12), 0)</f>
        <v/>
      </c>
      <c r="G717" s="168">
        <f>(((MIN(VERI_TABANI!D23, VERI_TABANI!D23*B717)*VERI_TABANI!$B$7 + MAX(0, VERI_TABANI!D23*B717-VERI_TABANI!D23)*VERI_TABANI!$B$8) + (MIN(MAX(0, VERI_TABANI!D23-VERI_TABANI!D23*B717), VERI_TABANI!D23*C717)*VERI_TABANI!$B$7 + MAX(0, VERI_TABANI!D23*C717-MAX(0, VERI_TABANI!D23-VERI_TABANI!D23*B717))*VERI_TABANI!$B$8) + IF(ABS(IF(ISNUMBER(SEARCH("Var", D717)), 1, IF(ISNUMBER(SEARCH("Gri", D717)), -1, 0)))=1, VERI_TABANI!E23*(1-0.928)*VERI_TABANI!$B$9, 0) + (VERI_TABANI!D23*B717*(VERI_TABANI!$B$13-VERI_TABANI!$B$14)*VERI_TABANI!G23) + (VERI_TABANI!D23*C717*(VERI_TABANI!$B$13-VERI_TABANI!$B$15)*VERI_TABANI!G23) + IF(ABS(IF(ISNUMBER(SEARCH("Var", D717)), 1, IF(ISNUMBER(SEARCH("Gri", D717)), -1, 0)))=1, VERI_TABANI!E23*(1-0.928)*0.00206091519919798*VERI_TABANI!G23, 0)) + ((MIN(VERI_TABANI!D24, VERI_TABANI!D24*B717)*VERI_TABANI!$B$7 + MAX(0, VERI_TABANI!D24*B717-VERI_TABANI!D24)*VERI_TABANI!$B$8) + (MIN(MAX(0, VERI_TABANI!D24-VERI_TABANI!D24*B717), VERI_TABANI!D24*C717)*VERI_TABANI!$B$7 + MAX(0, VERI_TABANI!D24*C717-MAX(0, VERI_TABANI!D24-VERI_TABANI!D24*B717))*VERI_TABANI!$B$8) + IF(ABS(IF(ISNUMBER(SEARCH("Var", D717)), 1, IF(ISNUMBER(SEARCH("Gri", D717)), -1, 0)))=1, VERI_TABANI!E24*(1-0.928)*VERI_TABANI!$B$9, 0) + (VERI_TABANI!D24*B717*(VERI_TABANI!$B$13-VERI_TABANI!$B$14)*VERI_TABANI!G24) + (VERI_TABANI!D24*C717*(VERI_TABANI!$B$13-VERI_TABANI!$B$15)*VERI_TABANI!G24) + IF(ABS(IF(ISNUMBER(SEARCH("Var", D717)), 1, IF(ISNUMBER(SEARCH("Gri", D717)), -1, 0)))=1, VERI_TABANI!E24*(1-0.928)*0.00206091519919798*VERI_TABANI!G24, 0)) + ((MIN(VERI_TABANI!D25, VERI_TABANI!D25*B717)*VERI_TABANI!$B$7 + MAX(0, VERI_TABANI!D25*B717-VERI_TABANI!D25)*VERI_TABANI!$B$8) + (MIN(MAX(0, VERI_TABANI!D25-VERI_TABANI!D25*B717), VERI_TABANI!D25*C717)*VERI_TABANI!$B$7 + MAX(0, VERI_TABANI!D25*C717-MAX(0, VERI_TABANI!D25-VERI_TABANI!D25*B717))*VERI_TABANI!$B$8) + IF(ABS(IF(ISNUMBER(SEARCH("Var", D717)), 1, IF(ISNUMBER(SEARCH("Gri", D717)), -1, 0)))=1, VERI_TABANI!E25*(1-0.928)*VERI_TABANI!$B$9, 0) + (VERI_TABANI!D25*B717*(VERI_TABANI!$B$13-VERI_TABANI!$B$14)*VERI_TABANI!G25) + (VERI_TABANI!D25*C717*(VERI_TABANI!$B$13-VERI_TABANI!$B$15)*VERI_TABANI!G25) + IF(ABS(IF(ISNUMBER(SEARCH("Var", D717)), 1, IF(ISNUMBER(SEARCH("Gri", D717)), -1, 0)))=1, VERI_TABANI!E25*(1-0.928)*0.00206091519919798*VERI_TABANI!G25, 0)) + ((MIN(VERI_TABANI!D26, VERI_TABANI!D26*B717)*VERI_TABANI!$B$7 + MAX(0, VERI_TABANI!D26*B717-VERI_TABANI!D26)*VERI_TABANI!$B$8) + (MIN(MAX(0, VERI_TABANI!D26-VERI_TABANI!D26*B717), VERI_TABANI!D26*C717)*VERI_TABANI!$B$7 + MAX(0, VERI_TABANI!D26*C717-MAX(0, VERI_TABANI!D26-VERI_TABANI!D26*B717))*VERI_TABANI!$B$8) + IF(ABS(IF(ISNUMBER(SEARCH("Var", D717)), 1, IF(ISNUMBER(SEARCH("Gri", D717)), -1, 0)))=1, VERI_TABANI!E26*(1-0.928)*VERI_TABANI!$B$9, 0) + (VERI_TABANI!D26*B717*(VERI_TABANI!$B$13-VERI_TABANI!$B$14)*VERI_TABANI!G26) + (VERI_TABANI!D26*C717*(VERI_TABANI!$B$13-VERI_TABANI!$B$15)*VERI_TABANI!G26) + IF(ABS(IF(ISNUMBER(SEARCH("Var", D717)), 1, IF(ISNUMBER(SEARCH("Gri", D717)), -1, 0)))=1, VERI_TABANI!E26*(1-0.928)*0.00206091519919798*VERI_TABANI!G26, 0)) + ((MIN(VERI_TABANI!D27, VERI_TABANI!D27*B717)*VERI_TABANI!$B$7 + MAX(0, VERI_TABANI!D27*B717-VERI_TABANI!D27)*VERI_TABANI!$B$8) + (MIN(MAX(0, VERI_TABANI!D27-VERI_TABANI!D27*B717), VERI_TABANI!D27*C717)*VERI_TABANI!$B$7 + MAX(0, VERI_TABANI!D27*C717-MAX(0, VERI_TABANI!D27-VERI_TABANI!D27*B717))*VERI_TABANI!$B$8) + IF(ABS(IF(ISNUMBER(SEARCH("Var", D717)), 1, IF(ISNUMBER(SEARCH("Gri", D717)), -1, 0)))=1, VERI_TABANI!E27*(1-0.928)*VERI_TABANI!$B$9, 0) + (VERI_TABANI!D27*B717*(VERI_TABANI!$B$13-VERI_TABANI!$B$14)*VERI_TABANI!G27) + (VERI_TABANI!D27*C717*(VERI_TABANI!$B$13-VERI_TABANI!$B$15)*VERI_TABANI!G27) + IF(ABS(IF(ISNUMBER(SEARCH("Var", D717)), 1, IF(ISNUMBER(SEARCH("Gri", D717)), -1, 0)))=1, VERI_TABANI!E27*(1-0.928)*0.00206091519919798*VERI_TABANI!G27, 0)) + ((MIN(VERI_TABANI!D28, VERI_TABANI!D28*B717)*VERI_TABANI!$B$7 + MAX(0, VERI_TABANI!D28*B717-VERI_TABANI!D28)*VERI_TABANI!$B$8) + (MIN(MAX(0, VERI_TABANI!D28-VERI_TABANI!D28*B717), VERI_TABANI!D28*C717)*VERI_TABANI!$B$7 + MAX(0, VERI_TABANI!D28*C717-MAX(0, VERI_TABANI!D28-VERI_TABANI!D28*B717))*VERI_TABANI!$B$8) + IF(ABS(IF(ISNUMBER(SEARCH("Var", D717)), 1, IF(ISNUMBER(SEARCH("Gri", D717)), -1, 0)))=1, VERI_TABANI!E28*(1-0.928)*VERI_TABANI!$B$9, 0) + (VERI_TABANI!D28*B717*(VERI_TABANI!$B$13-VERI_TABANI!$B$14)*VERI_TABANI!G28) + (VERI_TABANI!D28*C717*(VERI_TABANI!$B$13-VERI_TABANI!$B$15)*VERI_TABANI!G28) + IF(ABS(IF(ISNUMBER(SEARCH("Var", D717)), 1, IF(ISNUMBER(SEARCH("Gri", D717)), -1, 0)))=1, VERI_TABANI!E28*(1-0.928)*0.00206091519919798*VERI_TABANI!G28, 0)))</f>
        <v/>
      </c>
      <c r="H717" s="169">
        <f>(((VERI_TABANI!D23*B717*(VERI_TABANI!$B$13-VERI_TABANI!$B$14)) + (VERI_TABANI!D23*C717*(VERI_TABANI!$B$13-VERI_TABANI!$B$15)) + IF(ISNUMBER(SEARCH("Var", D717)), VERI_TABANI!F23*(0.00202-VERI_TABANI!$B$16), IF(ISNUMBER(SEARCH("Gri", D717)), VERI_TABANI!F23*(0.00202-VERI_TABANI!$B$17), 0))) + ((VERI_TABANI!D24*B717*(VERI_TABANI!$B$13-VERI_TABANI!$B$14)) + (VERI_TABANI!D24*C717*(VERI_TABANI!$B$13-VERI_TABANI!$B$15)) + IF(ISNUMBER(SEARCH("Var", D717)), VERI_TABANI!F24*(0.00202-VERI_TABANI!$B$16), IF(ISNUMBER(SEARCH("Gri", D717)), VERI_TABANI!F24*(0.00202-VERI_TABANI!$B$17), 0))) + ((VERI_TABANI!D25*B717*(VERI_TABANI!$B$13-VERI_TABANI!$B$14)) + (VERI_TABANI!D25*C717*(VERI_TABANI!$B$13-VERI_TABANI!$B$15)) + IF(ISNUMBER(SEARCH("Var", D717)), VERI_TABANI!F25*(0.00202-VERI_TABANI!$B$16), IF(ISNUMBER(SEARCH("Gri", D717)), VERI_TABANI!F25*(0.00202-VERI_TABANI!$B$17), 0))) + ((VERI_TABANI!D26*B717*(VERI_TABANI!$B$13-VERI_TABANI!$B$14)) + (VERI_TABANI!D26*C717*(VERI_TABANI!$B$13-VERI_TABANI!$B$15)) + IF(ISNUMBER(SEARCH("Var", D717)), VERI_TABANI!F26*(0.00202-VERI_TABANI!$B$16), IF(ISNUMBER(SEARCH("Gri", D717)), VERI_TABANI!F26*(0.00202-VERI_TABANI!$B$17), 0))) + ((VERI_TABANI!D27*B717*(VERI_TABANI!$B$13-VERI_TABANI!$B$14)) + (VERI_TABANI!D27*C717*(VERI_TABANI!$B$13-VERI_TABANI!$B$15)) + IF(ISNUMBER(SEARCH("Var", D717)), VERI_TABANI!F27*(0.00202-VERI_TABANI!$B$16), IF(ISNUMBER(SEARCH("Gri", D717)), VERI_TABANI!F27*(0.00202-VERI_TABANI!$B$17), 0))) + ((VERI_TABANI!D28*B717*(VERI_TABANI!$B$13-VERI_TABANI!$B$14)) + (VERI_TABANI!D28*C717*(VERI_TABANI!$B$13-VERI_TABANI!$B$15)) + IF(ISNUMBER(SEARCH("Var", D717)), VERI_TABANI!F28*(0.00202-VERI_TABANI!$B$16), IF(ISNUMBER(SEARCH("Gri", D717)), VERI_TABANI!F28*(0.00202-VERI_TABANI!$B$17), 0))))</f>
        <v/>
      </c>
      <c r="I717" s="170">
        <f>IFERROR(((VERI_TABANI!$D$29*B717*VERI_TABANI!$B$14 + VERI_TABANI!$D$29*C717*VERI_TABANI!$B$15 + IF(ISNUMBER(SEARCH("Var", D717)), VERI_TABANI!$F$29*VERI_TABANI!$B$16, 0))) / (((VERI_TABANI!$D$29*B717 + VERI_TABANI!$D$29*C717)*VERI_TABANI!$B$13 + IF(ISNUMBER(SEARCH("Var", D717)), VERI_TABANI!$E$29*(1-0.928)*VERI_TABANI!$B$18, 0))), 0)</f>
        <v/>
      </c>
      <c r="J717" s="171">
        <f>IFERROR(F717/(G717/29), 0)</f>
        <v/>
      </c>
      <c r="K717" s="172">
        <f>IF(F717&gt;0, H717/F717, 0)</f>
        <v/>
      </c>
      <c r="L717" s="170">
        <f>IF(F717&gt;0, I717, 1000000000)</f>
        <v/>
      </c>
      <c r="M717" s="171">
        <f>ABS((B717+C717)-1)</f>
        <v/>
      </c>
      <c r="N717" s="170">
        <f>IF(F717&gt;0, (G717/29)/F717, 0)</f>
        <v/>
      </c>
      <c r="O717" s="168">
        <f>IF(AND((B717+C717)&gt;=1, ISNUMBER(SEARCH("Var", D717))), F717, 1000000000)</f>
        <v/>
      </c>
      <c r="P717" s="172">
        <f>IF(F717&gt;0, SQRT((F717/MAX(F$5:F$886))^2 + (1 - H717/MAX(H$5:H$886))^2 + (J717/MAX(J$5:J$886))^2), 1000000000)</f>
        <v/>
      </c>
      <c r="Q717" s="166">
        <f>IF(AND(ABS(B717-0.5)&lt;0.01, ABS(C717-0.5)&lt;0.01, ISNUMBER(SEARCH("Var", D717))), 1, 0)</f>
        <v/>
      </c>
      <c r="R717" s="171">
        <f>IF(F717&gt;0, J717, 1000000000)</f>
        <v/>
      </c>
      <c r="S717" s="101">
        <f>IF(AND(F717&lt;=DASHBOARD!$B$11, H717&gt;=DASHBOARD!$B$13), G717, -1000000000000)</f>
        <v/>
      </c>
      <c r="T717" s="101">
        <f>IF(AND(F717&lt;=DASHBOARD!$B$11, H717&gt;=DASHBOARD!$B$13), R717, 1000000000000)</f>
        <v/>
      </c>
      <c r="U717" s="101">
        <f>IF(AND(F717&lt;=DASHBOARD!$B$11, H717&gt;=DASHBOARD!$B$13), N717, -1000000000000)</f>
        <v/>
      </c>
      <c r="V717" s="101">
        <f>IF(AND(F717&lt;=DASHBOARD!$B$11, H717&gt;=DASHBOARD!$B$13), H717, -1000000000000)</f>
        <v/>
      </c>
      <c r="W717" s="101">
        <f>IF(AND(F717&lt;=DASHBOARD!$B$11, H717&gt;=DASHBOARD!$B$13), K717, -1000000000000)</f>
        <v/>
      </c>
      <c r="X717" s="101">
        <f>IF(AND(F717&lt;=DASHBOARD!$B$11, H717&gt;=DASHBOARD!$B$13), M717, 1000000000000)</f>
        <v/>
      </c>
      <c r="Y717" s="101">
        <f>IF(AND(F717&lt;=DASHBOARD!$B$10, H717&gt;=DASHBOARD!$B$11), L717, 1000000000000)</f>
        <v/>
      </c>
      <c r="Z717" s="101">
        <f>IF(AND(F717&lt;=DASHBOARD!$B$10, H717&gt;=DASHBOARD!$B$11), O717, 1000000000000)</f>
        <v/>
      </c>
      <c r="AA717" s="101">
        <f>IF(AND(F717&lt;=DASHBOARD!$B$10, H717&gt;=DASHBOARD!$B$11), P717, 1000000000000)</f>
        <v/>
      </c>
      <c r="AB717" s="101">
        <f>IF(AND(F717&lt;=DASHBOARD!$B$10, H717&gt;=DASHBOARD!$B$11), Q717, -1000000000000)</f>
        <v/>
      </c>
    </row>
    <row r="718" ht="15" customHeight="1" s="102">
      <c r="A718" s="166" t="n">
        <v>714</v>
      </c>
      <c r="B718" s="167" t="n">
        <v>1.6</v>
      </c>
      <c r="C718" s="167" t="n">
        <v>2</v>
      </c>
      <c r="D718" s="110" t="inlineStr">
        <is>
          <t>Var (%20)</t>
        </is>
      </c>
      <c r="E718" s="110">
        <f>IF((B718+C718)&lt;=1, "Tam Mahsuplaşma (≤%100)", "Kısmi Satış (&gt;%100)")</f>
        <v/>
      </c>
      <c r="F718" s="168">
        <f>((VERI_TABANI!$D$29*B718/VERI_TABANI!$B$29)/VERI_TABANI!$B$3)*VERI_TABANI!$B$5 + ((VERI_TABANI!$D$29*C718/VERI_TABANI!$B$29)/VERI_TABANI!$B$4)*VERI_TABANI!$B$6 + IF(ISNUMBER(SEARCH("Var", D718)), (VERI_TABANI!$F$29/VERI_TABANI!$B$29)*(VERI_TABANI!$B$10+VERI_TABANI!$B$12), 0)</f>
        <v/>
      </c>
      <c r="G718" s="168">
        <f>(((MIN(VERI_TABANI!D23, VERI_TABANI!D23*B718)*VERI_TABANI!$B$7 + MAX(0, VERI_TABANI!D23*B718-VERI_TABANI!D23)*VERI_TABANI!$B$8) + (MIN(MAX(0, VERI_TABANI!D23-VERI_TABANI!D23*B718), VERI_TABANI!D23*C718)*VERI_TABANI!$B$7 + MAX(0, VERI_TABANI!D23*C718-MAX(0, VERI_TABANI!D23-VERI_TABANI!D23*B718))*VERI_TABANI!$B$8) + IF(ABS(IF(ISNUMBER(SEARCH("Var", D718)), 1, IF(ISNUMBER(SEARCH("Gri", D718)), -1, 0)))=1, VERI_TABANI!E23*(1-0.928)*VERI_TABANI!$B$9, 0) + (VERI_TABANI!D23*B718*(VERI_TABANI!$B$13-VERI_TABANI!$B$14)*VERI_TABANI!G23) + (VERI_TABANI!D23*C718*(VERI_TABANI!$B$13-VERI_TABANI!$B$15)*VERI_TABANI!G23) + IF(ABS(IF(ISNUMBER(SEARCH("Var", D718)), 1, IF(ISNUMBER(SEARCH("Gri", D718)), -1, 0)))=1, VERI_TABANI!E23*(1-0.928)*0.00206091519919798*VERI_TABANI!G23, 0)) + ((MIN(VERI_TABANI!D24, VERI_TABANI!D24*B718)*VERI_TABANI!$B$7 + MAX(0, VERI_TABANI!D24*B718-VERI_TABANI!D24)*VERI_TABANI!$B$8) + (MIN(MAX(0, VERI_TABANI!D24-VERI_TABANI!D24*B718), VERI_TABANI!D24*C718)*VERI_TABANI!$B$7 + MAX(0, VERI_TABANI!D24*C718-MAX(0, VERI_TABANI!D24-VERI_TABANI!D24*B718))*VERI_TABANI!$B$8) + IF(ABS(IF(ISNUMBER(SEARCH("Var", D718)), 1, IF(ISNUMBER(SEARCH("Gri", D718)), -1, 0)))=1, VERI_TABANI!E24*(1-0.928)*VERI_TABANI!$B$9, 0) + (VERI_TABANI!D24*B718*(VERI_TABANI!$B$13-VERI_TABANI!$B$14)*VERI_TABANI!G24) + (VERI_TABANI!D24*C718*(VERI_TABANI!$B$13-VERI_TABANI!$B$15)*VERI_TABANI!G24) + IF(ABS(IF(ISNUMBER(SEARCH("Var", D718)), 1, IF(ISNUMBER(SEARCH("Gri", D718)), -1, 0)))=1, VERI_TABANI!E24*(1-0.928)*0.00206091519919798*VERI_TABANI!G24, 0)) + ((MIN(VERI_TABANI!D25, VERI_TABANI!D25*B718)*VERI_TABANI!$B$7 + MAX(0, VERI_TABANI!D25*B718-VERI_TABANI!D25)*VERI_TABANI!$B$8) + (MIN(MAX(0, VERI_TABANI!D25-VERI_TABANI!D25*B718), VERI_TABANI!D25*C718)*VERI_TABANI!$B$7 + MAX(0, VERI_TABANI!D25*C718-MAX(0, VERI_TABANI!D25-VERI_TABANI!D25*B718))*VERI_TABANI!$B$8) + IF(ABS(IF(ISNUMBER(SEARCH("Var", D718)), 1, IF(ISNUMBER(SEARCH("Gri", D718)), -1, 0)))=1, VERI_TABANI!E25*(1-0.928)*VERI_TABANI!$B$9, 0) + (VERI_TABANI!D25*B718*(VERI_TABANI!$B$13-VERI_TABANI!$B$14)*VERI_TABANI!G25) + (VERI_TABANI!D25*C718*(VERI_TABANI!$B$13-VERI_TABANI!$B$15)*VERI_TABANI!G25) + IF(ABS(IF(ISNUMBER(SEARCH("Var", D718)), 1, IF(ISNUMBER(SEARCH("Gri", D718)), -1, 0)))=1, VERI_TABANI!E25*(1-0.928)*0.00206091519919798*VERI_TABANI!G25, 0)) + ((MIN(VERI_TABANI!D26, VERI_TABANI!D26*B718)*VERI_TABANI!$B$7 + MAX(0, VERI_TABANI!D26*B718-VERI_TABANI!D26)*VERI_TABANI!$B$8) + (MIN(MAX(0, VERI_TABANI!D26-VERI_TABANI!D26*B718), VERI_TABANI!D26*C718)*VERI_TABANI!$B$7 + MAX(0, VERI_TABANI!D26*C718-MAX(0, VERI_TABANI!D26-VERI_TABANI!D26*B718))*VERI_TABANI!$B$8) + IF(ABS(IF(ISNUMBER(SEARCH("Var", D718)), 1, IF(ISNUMBER(SEARCH("Gri", D718)), -1, 0)))=1, VERI_TABANI!E26*(1-0.928)*VERI_TABANI!$B$9, 0) + (VERI_TABANI!D26*B718*(VERI_TABANI!$B$13-VERI_TABANI!$B$14)*VERI_TABANI!G26) + (VERI_TABANI!D26*C718*(VERI_TABANI!$B$13-VERI_TABANI!$B$15)*VERI_TABANI!G26) + IF(ABS(IF(ISNUMBER(SEARCH("Var", D718)), 1, IF(ISNUMBER(SEARCH("Gri", D718)), -1, 0)))=1, VERI_TABANI!E26*(1-0.928)*0.00206091519919798*VERI_TABANI!G26, 0)) + ((MIN(VERI_TABANI!D27, VERI_TABANI!D27*B718)*VERI_TABANI!$B$7 + MAX(0, VERI_TABANI!D27*B718-VERI_TABANI!D27)*VERI_TABANI!$B$8) + (MIN(MAX(0, VERI_TABANI!D27-VERI_TABANI!D27*B718), VERI_TABANI!D27*C718)*VERI_TABANI!$B$7 + MAX(0, VERI_TABANI!D27*C718-MAX(0, VERI_TABANI!D27-VERI_TABANI!D27*B718))*VERI_TABANI!$B$8) + IF(ABS(IF(ISNUMBER(SEARCH("Var", D718)), 1, IF(ISNUMBER(SEARCH("Gri", D718)), -1, 0)))=1, VERI_TABANI!E27*(1-0.928)*VERI_TABANI!$B$9, 0) + (VERI_TABANI!D27*B718*(VERI_TABANI!$B$13-VERI_TABANI!$B$14)*VERI_TABANI!G27) + (VERI_TABANI!D27*C718*(VERI_TABANI!$B$13-VERI_TABANI!$B$15)*VERI_TABANI!G27) + IF(ABS(IF(ISNUMBER(SEARCH("Var", D718)), 1, IF(ISNUMBER(SEARCH("Gri", D718)), -1, 0)))=1, VERI_TABANI!E27*(1-0.928)*0.00206091519919798*VERI_TABANI!G27, 0)) + ((MIN(VERI_TABANI!D28, VERI_TABANI!D28*B718)*VERI_TABANI!$B$7 + MAX(0, VERI_TABANI!D28*B718-VERI_TABANI!D28)*VERI_TABANI!$B$8) + (MIN(MAX(0, VERI_TABANI!D28-VERI_TABANI!D28*B718), VERI_TABANI!D28*C718)*VERI_TABANI!$B$7 + MAX(0, VERI_TABANI!D28*C718-MAX(0, VERI_TABANI!D28-VERI_TABANI!D28*B718))*VERI_TABANI!$B$8) + IF(ABS(IF(ISNUMBER(SEARCH("Var", D718)), 1, IF(ISNUMBER(SEARCH("Gri", D718)), -1, 0)))=1, VERI_TABANI!E28*(1-0.928)*VERI_TABANI!$B$9, 0) + (VERI_TABANI!D28*B718*(VERI_TABANI!$B$13-VERI_TABANI!$B$14)*VERI_TABANI!G28) + (VERI_TABANI!D28*C718*(VERI_TABANI!$B$13-VERI_TABANI!$B$15)*VERI_TABANI!G28) + IF(ABS(IF(ISNUMBER(SEARCH("Var", D718)), 1, IF(ISNUMBER(SEARCH("Gri", D718)), -1, 0)))=1, VERI_TABANI!E28*(1-0.928)*0.00206091519919798*VERI_TABANI!G28, 0)))</f>
        <v/>
      </c>
      <c r="H718" s="169">
        <f>(((VERI_TABANI!D23*B718*(VERI_TABANI!$B$13-VERI_TABANI!$B$14)) + (VERI_TABANI!D23*C718*(VERI_TABANI!$B$13-VERI_TABANI!$B$15)) + IF(ISNUMBER(SEARCH("Var", D718)), VERI_TABANI!F23*(0.00202-VERI_TABANI!$B$16), IF(ISNUMBER(SEARCH("Gri", D718)), VERI_TABANI!F23*(0.00202-VERI_TABANI!$B$17), 0))) + ((VERI_TABANI!D24*B718*(VERI_TABANI!$B$13-VERI_TABANI!$B$14)) + (VERI_TABANI!D24*C718*(VERI_TABANI!$B$13-VERI_TABANI!$B$15)) + IF(ISNUMBER(SEARCH("Var", D718)), VERI_TABANI!F24*(0.00202-VERI_TABANI!$B$16), IF(ISNUMBER(SEARCH("Gri", D718)), VERI_TABANI!F24*(0.00202-VERI_TABANI!$B$17), 0))) + ((VERI_TABANI!D25*B718*(VERI_TABANI!$B$13-VERI_TABANI!$B$14)) + (VERI_TABANI!D25*C718*(VERI_TABANI!$B$13-VERI_TABANI!$B$15)) + IF(ISNUMBER(SEARCH("Var", D718)), VERI_TABANI!F25*(0.00202-VERI_TABANI!$B$16), IF(ISNUMBER(SEARCH("Gri", D718)), VERI_TABANI!F25*(0.00202-VERI_TABANI!$B$17), 0))) + ((VERI_TABANI!D26*B718*(VERI_TABANI!$B$13-VERI_TABANI!$B$14)) + (VERI_TABANI!D26*C718*(VERI_TABANI!$B$13-VERI_TABANI!$B$15)) + IF(ISNUMBER(SEARCH("Var", D718)), VERI_TABANI!F26*(0.00202-VERI_TABANI!$B$16), IF(ISNUMBER(SEARCH("Gri", D718)), VERI_TABANI!F26*(0.00202-VERI_TABANI!$B$17), 0))) + ((VERI_TABANI!D27*B718*(VERI_TABANI!$B$13-VERI_TABANI!$B$14)) + (VERI_TABANI!D27*C718*(VERI_TABANI!$B$13-VERI_TABANI!$B$15)) + IF(ISNUMBER(SEARCH("Var", D718)), VERI_TABANI!F27*(0.00202-VERI_TABANI!$B$16), IF(ISNUMBER(SEARCH("Gri", D718)), VERI_TABANI!F27*(0.00202-VERI_TABANI!$B$17), 0))) + ((VERI_TABANI!D28*B718*(VERI_TABANI!$B$13-VERI_TABANI!$B$14)) + (VERI_TABANI!D28*C718*(VERI_TABANI!$B$13-VERI_TABANI!$B$15)) + IF(ISNUMBER(SEARCH("Var", D718)), VERI_TABANI!F28*(0.00202-VERI_TABANI!$B$16), IF(ISNUMBER(SEARCH("Gri", D718)), VERI_TABANI!F28*(0.00202-VERI_TABANI!$B$17), 0))))</f>
        <v/>
      </c>
      <c r="I718" s="170">
        <f>IFERROR(((VERI_TABANI!$D$29*B718*VERI_TABANI!$B$14 + VERI_TABANI!$D$29*C718*VERI_TABANI!$B$15 + IF(ISNUMBER(SEARCH("Var", D718)), VERI_TABANI!$F$29*VERI_TABANI!$B$16, 0))) / (((VERI_TABANI!$D$29*B718 + VERI_TABANI!$D$29*C718)*VERI_TABANI!$B$13 + IF(ISNUMBER(SEARCH("Var", D718)), VERI_TABANI!$E$29*(1-0.928)*VERI_TABANI!$B$18, 0))), 0)</f>
        <v/>
      </c>
      <c r="J718" s="171">
        <f>IFERROR(F718/(G718/29), 0)</f>
        <v/>
      </c>
      <c r="K718" s="172">
        <f>IF(F718&gt;0, H718/F718, 0)</f>
        <v/>
      </c>
      <c r="L718" s="170">
        <f>IF(F718&gt;0, I718, 1000000000)</f>
        <v/>
      </c>
      <c r="M718" s="171">
        <f>ABS((B718+C718)-1)</f>
        <v/>
      </c>
      <c r="N718" s="170">
        <f>IF(F718&gt;0, (G718/29)/F718, 0)</f>
        <v/>
      </c>
      <c r="O718" s="168">
        <f>IF(AND((B718+C718)&gt;=1, ISNUMBER(SEARCH("Var", D718))), F718, 1000000000)</f>
        <v/>
      </c>
      <c r="P718" s="172">
        <f>IF(F718&gt;0, SQRT((F718/MAX(F$5:F$886))^2 + (1 - H718/MAX(H$5:H$886))^2 + (J718/MAX(J$5:J$886))^2), 1000000000)</f>
        <v/>
      </c>
      <c r="Q718" s="166">
        <f>IF(AND(ABS(B718-0.5)&lt;0.01, ABS(C718-0.5)&lt;0.01, ISNUMBER(SEARCH("Var", D718))), 1, 0)</f>
        <v/>
      </c>
      <c r="R718" s="171">
        <f>IF(F718&gt;0, J718, 1000000000)</f>
        <v/>
      </c>
      <c r="S718" s="101">
        <f>IF(AND(F718&lt;=DASHBOARD!$B$11, H718&gt;=DASHBOARD!$B$13), G718, -1000000000000)</f>
        <v/>
      </c>
      <c r="T718" s="101">
        <f>IF(AND(F718&lt;=DASHBOARD!$B$11, H718&gt;=DASHBOARD!$B$13), R718, 1000000000000)</f>
        <v/>
      </c>
      <c r="U718" s="101">
        <f>IF(AND(F718&lt;=DASHBOARD!$B$11, H718&gt;=DASHBOARD!$B$13), N718, -1000000000000)</f>
        <v/>
      </c>
      <c r="V718" s="101">
        <f>IF(AND(F718&lt;=DASHBOARD!$B$11, H718&gt;=DASHBOARD!$B$13), H718, -1000000000000)</f>
        <v/>
      </c>
      <c r="W718" s="101">
        <f>IF(AND(F718&lt;=DASHBOARD!$B$11, H718&gt;=DASHBOARD!$B$13), K718, -1000000000000)</f>
        <v/>
      </c>
      <c r="X718" s="101">
        <f>IF(AND(F718&lt;=DASHBOARD!$B$11, H718&gt;=DASHBOARD!$B$13), M718, 1000000000000)</f>
        <v/>
      </c>
      <c r="Y718" s="101">
        <f>IF(AND(F718&lt;=DASHBOARD!$B$10, H718&gt;=DASHBOARD!$B$11), L718, 1000000000000)</f>
        <v/>
      </c>
      <c r="Z718" s="101">
        <f>IF(AND(F718&lt;=DASHBOARD!$B$10, H718&gt;=DASHBOARD!$B$11), O718, 1000000000000)</f>
        <v/>
      </c>
      <c r="AA718" s="101">
        <f>IF(AND(F718&lt;=DASHBOARD!$B$10, H718&gt;=DASHBOARD!$B$11), P718, 1000000000000)</f>
        <v/>
      </c>
      <c r="AB718" s="101">
        <f>IF(AND(F718&lt;=DASHBOARD!$B$10, H718&gt;=DASHBOARD!$B$11), Q718, -1000000000000)</f>
        <v/>
      </c>
    </row>
    <row r="719" ht="15" customHeight="1" s="102">
      <c r="A719" s="166" t="n">
        <v>715</v>
      </c>
      <c r="B719" s="167" t="n">
        <v>1.7</v>
      </c>
      <c r="C719" s="167" t="n">
        <v>0</v>
      </c>
      <c r="D719" s="110" t="inlineStr">
        <is>
          <t>Yok (%0)</t>
        </is>
      </c>
      <c r="E719" s="110">
        <f>IF((B719+C719)&lt;=1, "Tam Mahsuplaşma (≤%100)", "Kısmi Satış (&gt;%100)")</f>
        <v/>
      </c>
      <c r="F719" s="168">
        <f>((VERI_TABANI!$D$29*B719/VERI_TABANI!$B$29)/VERI_TABANI!$B$3)*VERI_TABANI!$B$5 + ((VERI_TABANI!$D$29*C719/VERI_TABANI!$B$29)/VERI_TABANI!$B$4)*VERI_TABANI!$B$6 + IF(ISNUMBER(SEARCH("Var", D719)), (VERI_TABANI!$F$29/VERI_TABANI!$B$29)*(VERI_TABANI!$B$10+VERI_TABANI!$B$12), 0)</f>
        <v/>
      </c>
      <c r="G719" s="168">
        <f>(((MIN(VERI_TABANI!D23, VERI_TABANI!D23*B719)*VERI_TABANI!$B$7 + MAX(0, VERI_TABANI!D23*B719-VERI_TABANI!D23)*VERI_TABANI!$B$8) + (MIN(MAX(0, VERI_TABANI!D23-VERI_TABANI!D23*B719), VERI_TABANI!D23*C719)*VERI_TABANI!$B$7 + MAX(0, VERI_TABANI!D23*C719-MAX(0, VERI_TABANI!D23-VERI_TABANI!D23*B719))*VERI_TABANI!$B$8) + IF(ABS(IF(ISNUMBER(SEARCH("Var", D719)), 1, IF(ISNUMBER(SEARCH("Gri", D719)), -1, 0)))=1, VERI_TABANI!E23*(1-0.928)*VERI_TABANI!$B$9, 0) + (VERI_TABANI!D23*B719*(VERI_TABANI!$B$13-VERI_TABANI!$B$14)*VERI_TABANI!G23) + (VERI_TABANI!D23*C719*(VERI_TABANI!$B$13-VERI_TABANI!$B$15)*VERI_TABANI!G23) + IF(ABS(IF(ISNUMBER(SEARCH("Var", D719)), 1, IF(ISNUMBER(SEARCH("Gri", D719)), -1, 0)))=1, VERI_TABANI!E23*(1-0.928)*0.00206091519919798*VERI_TABANI!G23, 0)) + ((MIN(VERI_TABANI!D24, VERI_TABANI!D24*B719)*VERI_TABANI!$B$7 + MAX(0, VERI_TABANI!D24*B719-VERI_TABANI!D24)*VERI_TABANI!$B$8) + (MIN(MAX(0, VERI_TABANI!D24-VERI_TABANI!D24*B719), VERI_TABANI!D24*C719)*VERI_TABANI!$B$7 + MAX(0, VERI_TABANI!D24*C719-MAX(0, VERI_TABANI!D24-VERI_TABANI!D24*B719))*VERI_TABANI!$B$8) + IF(ABS(IF(ISNUMBER(SEARCH("Var", D719)), 1, IF(ISNUMBER(SEARCH("Gri", D719)), -1, 0)))=1, VERI_TABANI!E24*(1-0.928)*VERI_TABANI!$B$9, 0) + (VERI_TABANI!D24*B719*(VERI_TABANI!$B$13-VERI_TABANI!$B$14)*VERI_TABANI!G24) + (VERI_TABANI!D24*C719*(VERI_TABANI!$B$13-VERI_TABANI!$B$15)*VERI_TABANI!G24) + IF(ABS(IF(ISNUMBER(SEARCH("Var", D719)), 1, IF(ISNUMBER(SEARCH("Gri", D719)), -1, 0)))=1, VERI_TABANI!E24*(1-0.928)*0.00206091519919798*VERI_TABANI!G24, 0)) + ((MIN(VERI_TABANI!D25, VERI_TABANI!D25*B719)*VERI_TABANI!$B$7 + MAX(0, VERI_TABANI!D25*B719-VERI_TABANI!D25)*VERI_TABANI!$B$8) + (MIN(MAX(0, VERI_TABANI!D25-VERI_TABANI!D25*B719), VERI_TABANI!D25*C719)*VERI_TABANI!$B$7 + MAX(0, VERI_TABANI!D25*C719-MAX(0, VERI_TABANI!D25-VERI_TABANI!D25*B719))*VERI_TABANI!$B$8) + IF(ABS(IF(ISNUMBER(SEARCH("Var", D719)), 1, IF(ISNUMBER(SEARCH("Gri", D719)), -1, 0)))=1, VERI_TABANI!E25*(1-0.928)*VERI_TABANI!$B$9, 0) + (VERI_TABANI!D25*B719*(VERI_TABANI!$B$13-VERI_TABANI!$B$14)*VERI_TABANI!G25) + (VERI_TABANI!D25*C719*(VERI_TABANI!$B$13-VERI_TABANI!$B$15)*VERI_TABANI!G25) + IF(ABS(IF(ISNUMBER(SEARCH("Var", D719)), 1, IF(ISNUMBER(SEARCH("Gri", D719)), -1, 0)))=1, VERI_TABANI!E25*(1-0.928)*0.00206091519919798*VERI_TABANI!G25, 0)) + ((MIN(VERI_TABANI!D26, VERI_TABANI!D26*B719)*VERI_TABANI!$B$7 + MAX(0, VERI_TABANI!D26*B719-VERI_TABANI!D26)*VERI_TABANI!$B$8) + (MIN(MAX(0, VERI_TABANI!D26-VERI_TABANI!D26*B719), VERI_TABANI!D26*C719)*VERI_TABANI!$B$7 + MAX(0, VERI_TABANI!D26*C719-MAX(0, VERI_TABANI!D26-VERI_TABANI!D26*B719))*VERI_TABANI!$B$8) + IF(ABS(IF(ISNUMBER(SEARCH("Var", D719)), 1, IF(ISNUMBER(SEARCH("Gri", D719)), -1, 0)))=1, VERI_TABANI!E26*(1-0.928)*VERI_TABANI!$B$9, 0) + (VERI_TABANI!D26*B719*(VERI_TABANI!$B$13-VERI_TABANI!$B$14)*VERI_TABANI!G26) + (VERI_TABANI!D26*C719*(VERI_TABANI!$B$13-VERI_TABANI!$B$15)*VERI_TABANI!G26) + IF(ABS(IF(ISNUMBER(SEARCH("Var", D719)), 1, IF(ISNUMBER(SEARCH("Gri", D719)), -1, 0)))=1, VERI_TABANI!E26*(1-0.928)*0.00206091519919798*VERI_TABANI!G26, 0)) + ((MIN(VERI_TABANI!D27, VERI_TABANI!D27*B719)*VERI_TABANI!$B$7 + MAX(0, VERI_TABANI!D27*B719-VERI_TABANI!D27)*VERI_TABANI!$B$8) + (MIN(MAX(0, VERI_TABANI!D27-VERI_TABANI!D27*B719), VERI_TABANI!D27*C719)*VERI_TABANI!$B$7 + MAX(0, VERI_TABANI!D27*C719-MAX(0, VERI_TABANI!D27-VERI_TABANI!D27*B719))*VERI_TABANI!$B$8) + IF(ABS(IF(ISNUMBER(SEARCH("Var", D719)), 1, IF(ISNUMBER(SEARCH("Gri", D719)), -1, 0)))=1, VERI_TABANI!E27*(1-0.928)*VERI_TABANI!$B$9, 0) + (VERI_TABANI!D27*B719*(VERI_TABANI!$B$13-VERI_TABANI!$B$14)*VERI_TABANI!G27) + (VERI_TABANI!D27*C719*(VERI_TABANI!$B$13-VERI_TABANI!$B$15)*VERI_TABANI!G27) + IF(ABS(IF(ISNUMBER(SEARCH("Var", D719)), 1, IF(ISNUMBER(SEARCH("Gri", D719)), -1, 0)))=1, VERI_TABANI!E27*(1-0.928)*0.00206091519919798*VERI_TABANI!G27, 0)) + ((MIN(VERI_TABANI!D28, VERI_TABANI!D28*B719)*VERI_TABANI!$B$7 + MAX(0, VERI_TABANI!D28*B719-VERI_TABANI!D28)*VERI_TABANI!$B$8) + (MIN(MAX(0, VERI_TABANI!D28-VERI_TABANI!D28*B719), VERI_TABANI!D28*C719)*VERI_TABANI!$B$7 + MAX(0, VERI_TABANI!D28*C719-MAX(0, VERI_TABANI!D28-VERI_TABANI!D28*B719))*VERI_TABANI!$B$8) + IF(ABS(IF(ISNUMBER(SEARCH("Var", D719)), 1, IF(ISNUMBER(SEARCH("Gri", D719)), -1, 0)))=1, VERI_TABANI!E28*(1-0.928)*VERI_TABANI!$B$9, 0) + (VERI_TABANI!D28*B719*(VERI_TABANI!$B$13-VERI_TABANI!$B$14)*VERI_TABANI!G28) + (VERI_TABANI!D28*C719*(VERI_TABANI!$B$13-VERI_TABANI!$B$15)*VERI_TABANI!G28) + IF(ABS(IF(ISNUMBER(SEARCH("Var", D719)), 1, IF(ISNUMBER(SEARCH("Gri", D719)), -1, 0)))=1, VERI_TABANI!E28*(1-0.928)*0.00206091519919798*VERI_TABANI!G28, 0)))</f>
        <v/>
      </c>
      <c r="H719" s="169">
        <f>(((VERI_TABANI!D23*B719*(VERI_TABANI!$B$13-VERI_TABANI!$B$14)) + (VERI_TABANI!D23*C719*(VERI_TABANI!$B$13-VERI_TABANI!$B$15)) + IF(ISNUMBER(SEARCH("Var", D719)), VERI_TABANI!F23*(0.00202-VERI_TABANI!$B$16), IF(ISNUMBER(SEARCH("Gri", D719)), VERI_TABANI!F23*(0.00202-VERI_TABANI!$B$17), 0))) + ((VERI_TABANI!D24*B719*(VERI_TABANI!$B$13-VERI_TABANI!$B$14)) + (VERI_TABANI!D24*C719*(VERI_TABANI!$B$13-VERI_TABANI!$B$15)) + IF(ISNUMBER(SEARCH("Var", D719)), VERI_TABANI!F24*(0.00202-VERI_TABANI!$B$16), IF(ISNUMBER(SEARCH("Gri", D719)), VERI_TABANI!F24*(0.00202-VERI_TABANI!$B$17), 0))) + ((VERI_TABANI!D25*B719*(VERI_TABANI!$B$13-VERI_TABANI!$B$14)) + (VERI_TABANI!D25*C719*(VERI_TABANI!$B$13-VERI_TABANI!$B$15)) + IF(ISNUMBER(SEARCH("Var", D719)), VERI_TABANI!F25*(0.00202-VERI_TABANI!$B$16), IF(ISNUMBER(SEARCH("Gri", D719)), VERI_TABANI!F25*(0.00202-VERI_TABANI!$B$17), 0))) + ((VERI_TABANI!D26*B719*(VERI_TABANI!$B$13-VERI_TABANI!$B$14)) + (VERI_TABANI!D26*C719*(VERI_TABANI!$B$13-VERI_TABANI!$B$15)) + IF(ISNUMBER(SEARCH("Var", D719)), VERI_TABANI!F26*(0.00202-VERI_TABANI!$B$16), IF(ISNUMBER(SEARCH("Gri", D719)), VERI_TABANI!F26*(0.00202-VERI_TABANI!$B$17), 0))) + ((VERI_TABANI!D27*B719*(VERI_TABANI!$B$13-VERI_TABANI!$B$14)) + (VERI_TABANI!D27*C719*(VERI_TABANI!$B$13-VERI_TABANI!$B$15)) + IF(ISNUMBER(SEARCH("Var", D719)), VERI_TABANI!F27*(0.00202-VERI_TABANI!$B$16), IF(ISNUMBER(SEARCH("Gri", D719)), VERI_TABANI!F27*(0.00202-VERI_TABANI!$B$17), 0))) + ((VERI_TABANI!D28*B719*(VERI_TABANI!$B$13-VERI_TABANI!$B$14)) + (VERI_TABANI!D28*C719*(VERI_TABANI!$B$13-VERI_TABANI!$B$15)) + IF(ISNUMBER(SEARCH("Var", D719)), VERI_TABANI!F28*(0.00202-VERI_TABANI!$B$16), IF(ISNUMBER(SEARCH("Gri", D719)), VERI_TABANI!F28*(0.00202-VERI_TABANI!$B$17), 0))))</f>
        <v/>
      </c>
      <c r="I719" s="170">
        <f>IFERROR(((VERI_TABANI!$D$29*B719*VERI_TABANI!$B$14 + VERI_TABANI!$D$29*C719*VERI_TABANI!$B$15 + IF(ISNUMBER(SEARCH("Var", D719)), VERI_TABANI!$F$29*VERI_TABANI!$B$16, 0))) / (((VERI_TABANI!$D$29*B719 + VERI_TABANI!$D$29*C719)*VERI_TABANI!$B$13 + IF(ISNUMBER(SEARCH("Var", D719)), VERI_TABANI!$E$29*(1-0.928)*VERI_TABANI!$B$18, 0))), 0)</f>
        <v/>
      </c>
      <c r="J719" s="171">
        <f>IFERROR(F719/(G719/29), 0)</f>
        <v/>
      </c>
      <c r="K719" s="172">
        <f>IF(F719&gt;0, H719/F719, 0)</f>
        <v/>
      </c>
      <c r="L719" s="170">
        <f>IF(F719&gt;0, I719, 1000000000)</f>
        <v/>
      </c>
      <c r="M719" s="171">
        <f>ABS((B719+C719)-1)</f>
        <v/>
      </c>
      <c r="N719" s="170">
        <f>IF(F719&gt;0, (G719/29)/F719, 0)</f>
        <v/>
      </c>
      <c r="O719" s="168">
        <f>IF(AND((B719+C719)&gt;=1, ISNUMBER(SEARCH("Var", D719))), F719, 1000000000)</f>
        <v/>
      </c>
      <c r="P719" s="172">
        <f>IF(F719&gt;0, SQRT((F719/MAX(F$5:F$886))^2 + (1 - H719/MAX(H$5:H$886))^2 + (J719/MAX(J$5:J$886))^2), 1000000000)</f>
        <v/>
      </c>
      <c r="Q719" s="166">
        <f>IF(AND(ABS(B719-0.5)&lt;0.01, ABS(C719-0.5)&lt;0.01, ISNUMBER(SEARCH("Var", D719))), 1, 0)</f>
        <v/>
      </c>
      <c r="R719" s="171">
        <f>IF(F719&gt;0, J719, 1000000000)</f>
        <v/>
      </c>
      <c r="S719" s="101">
        <f>IF(AND(F719&lt;=DASHBOARD!$B$11, H719&gt;=DASHBOARD!$B$13), G719, -1000000000000)</f>
        <v/>
      </c>
      <c r="T719" s="101">
        <f>IF(AND(F719&lt;=DASHBOARD!$B$11, H719&gt;=DASHBOARD!$B$13), R719, 1000000000000)</f>
        <v/>
      </c>
      <c r="U719" s="101">
        <f>IF(AND(F719&lt;=DASHBOARD!$B$11, H719&gt;=DASHBOARD!$B$13), N719, -1000000000000)</f>
        <v/>
      </c>
      <c r="V719" s="101">
        <f>IF(AND(F719&lt;=DASHBOARD!$B$11, H719&gt;=DASHBOARD!$B$13), H719, -1000000000000)</f>
        <v/>
      </c>
      <c r="W719" s="101">
        <f>IF(AND(F719&lt;=DASHBOARD!$B$11, H719&gt;=DASHBOARD!$B$13), K719, -1000000000000)</f>
        <v/>
      </c>
      <c r="X719" s="101">
        <f>IF(AND(F719&lt;=DASHBOARD!$B$11, H719&gt;=DASHBOARD!$B$13), M719, 1000000000000)</f>
        <v/>
      </c>
      <c r="Y719" s="101">
        <f>IF(AND(F719&lt;=DASHBOARD!$B$10, H719&gt;=DASHBOARD!$B$11), L719, 1000000000000)</f>
        <v/>
      </c>
      <c r="Z719" s="101">
        <f>IF(AND(F719&lt;=DASHBOARD!$B$10, H719&gt;=DASHBOARD!$B$11), O719, 1000000000000)</f>
        <v/>
      </c>
      <c r="AA719" s="101">
        <f>IF(AND(F719&lt;=DASHBOARD!$B$10, H719&gt;=DASHBOARD!$B$11), P719, 1000000000000)</f>
        <v/>
      </c>
      <c r="AB719" s="101">
        <f>IF(AND(F719&lt;=DASHBOARD!$B$10, H719&gt;=DASHBOARD!$B$11), Q719, -1000000000000)</f>
        <v/>
      </c>
    </row>
    <row r="720" ht="15" customHeight="1" s="102">
      <c r="A720" s="166" t="n">
        <v>716</v>
      </c>
      <c r="B720" s="167" t="n">
        <v>1.7</v>
      </c>
      <c r="C720" s="167" t="n">
        <v>0</v>
      </c>
      <c r="D720" s="110" t="inlineStr">
        <is>
          <t>Var (%20)</t>
        </is>
      </c>
      <c r="E720" s="110">
        <f>IF((B720+C720)&lt;=1, "Tam Mahsuplaşma (≤%100)", "Kısmi Satış (&gt;%100)")</f>
        <v/>
      </c>
      <c r="F720" s="168">
        <f>((VERI_TABANI!$D$29*B720/VERI_TABANI!$B$29)/VERI_TABANI!$B$3)*VERI_TABANI!$B$5 + ((VERI_TABANI!$D$29*C720/VERI_TABANI!$B$29)/VERI_TABANI!$B$4)*VERI_TABANI!$B$6 + IF(ISNUMBER(SEARCH("Var", D720)), (VERI_TABANI!$F$29/VERI_TABANI!$B$29)*(VERI_TABANI!$B$10+VERI_TABANI!$B$12), 0)</f>
        <v/>
      </c>
      <c r="G720" s="168">
        <f>(((MIN(VERI_TABANI!D23, VERI_TABANI!D23*B720)*VERI_TABANI!$B$7 + MAX(0, VERI_TABANI!D23*B720-VERI_TABANI!D23)*VERI_TABANI!$B$8) + (MIN(MAX(0, VERI_TABANI!D23-VERI_TABANI!D23*B720), VERI_TABANI!D23*C720)*VERI_TABANI!$B$7 + MAX(0, VERI_TABANI!D23*C720-MAX(0, VERI_TABANI!D23-VERI_TABANI!D23*B720))*VERI_TABANI!$B$8) + IF(ABS(IF(ISNUMBER(SEARCH("Var", D720)), 1, IF(ISNUMBER(SEARCH("Gri", D720)), -1, 0)))=1, VERI_TABANI!E23*(1-0.928)*VERI_TABANI!$B$9, 0) + (VERI_TABANI!D23*B720*(VERI_TABANI!$B$13-VERI_TABANI!$B$14)*VERI_TABANI!G23) + (VERI_TABANI!D23*C720*(VERI_TABANI!$B$13-VERI_TABANI!$B$15)*VERI_TABANI!G23) + IF(ABS(IF(ISNUMBER(SEARCH("Var", D720)), 1, IF(ISNUMBER(SEARCH("Gri", D720)), -1, 0)))=1, VERI_TABANI!E23*(1-0.928)*0.00206091519919798*VERI_TABANI!G23, 0)) + ((MIN(VERI_TABANI!D24, VERI_TABANI!D24*B720)*VERI_TABANI!$B$7 + MAX(0, VERI_TABANI!D24*B720-VERI_TABANI!D24)*VERI_TABANI!$B$8) + (MIN(MAX(0, VERI_TABANI!D24-VERI_TABANI!D24*B720), VERI_TABANI!D24*C720)*VERI_TABANI!$B$7 + MAX(0, VERI_TABANI!D24*C720-MAX(0, VERI_TABANI!D24-VERI_TABANI!D24*B720))*VERI_TABANI!$B$8) + IF(ABS(IF(ISNUMBER(SEARCH("Var", D720)), 1, IF(ISNUMBER(SEARCH("Gri", D720)), -1, 0)))=1, VERI_TABANI!E24*(1-0.928)*VERI_TABANI!$B$9, 0) + (VERI_TABANI!D24*B720*(VERI_TABANI!$B$13-VERI_TABANI!$B$14)*VERI_TABANI!G24) + (VERI_TABANI!D24*C720*(VERI_TABANI!$B$13-VERI_TABANI!$B$15)*VERI_TABANI!G24) + IF(ABS(IF(ISNUMBER(SEARCH("Var", D720)), 1, IF(ISNUMBER(SEARCH("Gri", D720)), -1, 0)))=1, VERI_TABANI!E24*(1-0.928)*0.00206091519919798*VERI_TABANI!G24, 0)) + ((MIN(VERI_TABANI!D25, VERI_TABANI!D25*B720)*VERI_TABANI!$B$7 + MAX(0, VERI_TABANI!D25*B720-VERI_TABANI!D25)*VERI_TABANI!$B$8) + (MIN(MAX(0, VERI_TABANI!D25-VERI_TABANI!D25*B720), VERI_TABANI!D25*C720)*VERI_TABANI!$B$7 + MAX(0, VERI_TABANI!D25*C720-MAX(0, VERI_TABANI!D25-VERI_TABANI!D25*B720))*VERI_TABANI!$B$8) + IF(ABS(IF(ISNUMBER(SEARCH("Var", D720)), 1, IF(ISNUMBER(SEARCH("Gri", D720)), -1, 0)))=1, VERI_TABANI!E25*(1-0.928)*VERI_TABANI!$B$9, 0) + (VERI_TABANI!D25*B720*(VERI_TABANI!$B$13-VERI_TABANI!$B$14)*VERI_TABANI!G25) + (VERI_TABANI!D25*C720*(VERI_TABANI!$B$13-VERI_TABANI!$B$15)*VERI_TABANI!G25) + IF(ABS(IF(ISNUMBER(SEARCH("Var", D720)), 1, IF(ISNUMBER(SEARCH("Gri", D720)), -1, 0)))=1, VERI_TABANI!E25*(1-0.928)*0.00206091519919798*VERI_TABANI!G25, 0)) + ((MIN(VERI_TABANI!D26, VERI_TABANI!D26*B720)*VERI_TABANI!$B$7 + MAX(0, VERI_TABANI!D26*B720-VERI_TABANI!D26)*VERI_TABANI!$B$8) + (MIN(MAX(0, VERI_TABANI!D26-VERI_TABANI!D26*B720), VERI_TABANI!D26*C720)*VERI_TABANI!$B$7 + MAX(0, VERI_TABANI!D26*C720-MAX(0, VERI_TABANI!D26-VERI_TABANI!D26*B720))*VERI_TABANI!$B$8) + IF(ABS(IF(ISNUMBER(SEARCH("Var", D720)), 1, IF(ISNUMBER(SEARCH("Gri", D720)), -1, 0)))=1, VERI_TABANI!E26*(1-0.928)*VERI_TABANI!$B$9, 0) + (VERI_TABANI!D26*B720*(VERI_TABANI!$B$13-VERI_TABANI!$B$14)*VERI_TABANI!G26) + (VERI_TABANI!D26*C720*(VERI_TABANI!$B$13-VERI_TABANI!$B$15)*VERI_TABANI!G26) + IF(ABS(IF(ISNUMBER(SEARCH("Var", D720)), 1, IF(ISNUMBER(SEARCH("Gri", D720)), -1, 0)))=1, VERI_TABANI!E26*(1-0.928)*0.00206091519919798*VERI_TABANI!G26, 0)) + ((MIN(VERI_TABANI!D27, VERI_TABANI!D27*B720)*VERI_TABANI!$B$7 + MAX(0, VERI_TABANI!D27*B720-VERI_TABANI!D27)*VERI_TABANI!$B$8) + (MIN(MAX(0, VERI_TABANI!D27-VERI_TABANI!D27*B720), VERI_TABANI!D27*C720)*VERI_TABANI!$B$7 + MAX(0, VERI_TABANI!D27*C720-MAX(0, VERI_TABANI!D27-VERI_TABANI!D27*B720))*VERI_TABANI!$B$8) + IF(ABS(IF(ISNUMBER(SEARCH("Var", D720)), 1, IF(ISNUMBER(SEARCH("Gri", D720)), -1, 0)))=1, VERI_TABANI!E27*(1-0.928)*VERI_TABANI!$B$9, 0) + (VERI_TABANI!D27*B720*(VERI_TABANI!$B$13-VERI_TABANI!$B$14)*VERI_TABANI!G27) + (VERI_TABANI!D27*C720*(VERI_TABANI!$B$13-VERI_TABANI!$B$15)*VERI_TABANI!G27) + IF(ABS(IF(ISNUMBER(SEARCH("Var", D720)), 1, IF(ISNUMBER(SEARCH("Gri", D720)), -1, 0)))=1, VERI_TABANI!E27*(1-0.928)*0.00206091519919798*VERI_TABANI!G27, 0)) + ((MIN(VERI_TABANI!D28, VERI_TABANI!D28*B720)*VERI_TABANI!$B$7 + MAX(0, VERI_TABANI!D28*B720-VERI_TABANI!D28)*VERI_TABANI!$B$8) + (MIN(MAX(0, VERI_TABANI!D28-VERI_TABANI!D28*B720), VERI_TABANI!D28*C720)*VERI_TABANI!$B$7 + MAX(0, VERI_TABANI!D28*C720-MAX(0, VERI_TABANI!D28-VERI_TABANI!D28*B720))*VERI_TABANI!$B$8) + IF(ABS(IF(ISNUMBER(SEARCH("Var", D720)), 1, IF(ISNUMBER(SEARCH("Gri", D720)), -1, 0)))=1, VERI_TABANI!E28*(1-0.928)*VERI_TABANI!$B$9, 0) + (VERI_TABANI!D28*B720*(VERI_TABANI!$B$13-VERI_TABANI!$B$14)*VERI_TABANI!G28) + (VERI_TABANI!D28*C720*(VERI_TABANI!$B$13-VERI_TABANI!$B$15)*VERI_TABANI!G28) + IF(ABS(IF(ISNUMBER(SEARCH("Var", D720)), 1, IF(ISNUMBER(SEARCH("Gri", D720)), -1, 0)))=1, VERI_TABANI!E28*(1-0.928)*0.00206091519919798*VERI_TABANI!G28, 0)))</f>
        <v/>
      </c>
      <c r="H720" s="169">
        <f>(((VERI_TABANI!D23*B720*(VERI_TABANI!$B$13-VERI_TABANI!$B$14)) + (VERI_TABANI!D23*C720*(VERI_TABANI!$B$13-VERI_TABANI!$B$15)) + IF(ISNUMBER(SEARCH("Var", D720)), VERI_TABANI!F23*(0.00202-VERI_TABANI!$B$16), IF(ISNUMBER(SEARCH("Gri", D720)), VERI_TABANI!F23*(0.00202-VERI_TABANI!$B$17), 0))) + ((VERI_TABANI!D24*B720*(VERI_TABANI!$B$13-VERI_TABANI!$B$14)) + (VERI_TABANI!D24*C720*(VERI_TABANI!$B$13-VERI_TABANI!$B$15)) + IF(ISNUMBER(SEARCH("Var", D720)), VERI_TABANI!F24*(0.00202-VERI_TABANI!$B$16), IF(ISNUMBER(SEARCH("Gri", D720)), VERI_TABANI!F24*(0.00202-VERI_TABANI!$B$17), 0))) + ((VERI_TABANI!D25*B720*(VERI_TABANI!$B$13-VERI_TABANI!$B$14)) + (VERI_TABANI!D25*C720*(VERI_TABANI!$B$13-VERI_TABANI!$B$15)) + IF(ISNUMBER(SEARCH("Var", D720)), VERI_TABANI!F25*(0.00202-VERI_TABANI!$B$16), IF(ISNUMBER(SEARCH("Gri", D720)), VERI_TABANI!F25*(0.00202-VERI_TABANI!$B$17), 0))) + ((VERI_TABANI!D26*B720*(VERI_TABANI!$B$13-VERI_TABANI!$B$14)) + (VERI_TABANI!D26*C720*(VERI_TABANI!$B$13-VERI_TABANI!$B$15)) + IF(ISNUMBER(SEARCH("Var", D720)), VERI_TABANI!F26*(0.00202-VERI_TABANI!$B$16), IF(ISNUMBER(SEARCH("Gri", D720)), VERI_TABANI!F26*(0.00202-VERI_TABANI!$B$17), 0))) + ((VERI_TABANI!D27*B720*(VERI_TABANI!$B$13-VERI_TABANI!$B$14)) + (VERI_TABANI!D27*C720*(VERI_TABANI!$B$13-VERI_TABANI!$B$15)) + IF(ISNUMBER(SEARCH("Var", D720)), VERI_TABANI!F27*(0.00202-VERI_TABANI!$B$16), IF(ISNUMBER(SEARCH("Gri", D720)), VERI_TABANI!F27*(0.00202-VERI_TABANI!$B$17), 0))) + ((VERI_TABANI!D28*B720*(VERI_TABANI!$B$13-VERI_TABANI!$B$14)) + (VERI_TABANI!D28*C720*(VERI_TABANI!$B$13-VERI_TABANI!$B$15)) + IF(ISNUMBER(SEARCH("Var", D720)), VERI_TABANI!F28*(0.00202-VERI_TABANI!$B$16), IF(ISNUMBER(SEARCH("Gri", D720)), VERI_TABANI!F28*(0.00202-VERI_TABANI!$B$17), 0))))</f>
        <v/>
      </c>
      <c r="I720" s="170">
        <f>IFERROR(((VERI_TABANI!$D$29*B720*VERI_TABANI!$B$14 + VERI_TABANI!$D$29*C720*VERI_TABANI!$B$15 + IF(ISNUMBER(SEARCH("Var", D720)), VERI_TABANI!$F$29*VERI_TABANI!$B$16, 0))) / (((VERI_TABANI!$D$29*B720 + VERI_TABANI!$D$29*C720)*VERI_TABANI!$B$13 + IF(ISNUMBER(SEARCH("Var", D720)), VERI_TABANI!$E$29*(1-0.928)*VERI_TABANI!$B$18, 0))), 0)</f>
        <v/>
      </c>
      <c r="J720" s="171">
        <f>IFERROR(F720/(G720/29), 0)</f>
        <v/>
      </c>
      <c r="K720" s="172">
        <f>IF(F720&gt;0, H720/F720, 0)</f>
        <v/>
      </c>
      <c r="L720" s="170">
        <f>IF(F720&gt;0, I720, 1000000000)</f>
        <v/>
      </c>
      <c r="M720" s="171">
        <f>ABS((B720+C720)-1)</f>
        <v/>
      </c>
      <c r="N720" s="170">
        <f>IF(F720&gt;0, (G720/29)/F720, 0)</f>
        <v/>
      </c>
      <c r="O720" s="168">
        <f>IF(AND((B720+C720)&gt;=1, ISNUMBER(SEARCH("Var", D720))), F720, 1000000000)</f>
        <v/>
      </c>
      <c r="P720" s="172">
        <f>IF(F720&gt;0, SQRT((F720/MAX(F$5:F$886))^2 + (1 - H720/MAX(H$5:H$886))^2 + (J720/MAX(J$5:J$886))^2), 1000000000)</f>
        <v/>
      </c>
      <c r="Q720" s="166">
        <f>IF(AND(ABS(B720-0.5)&lt;0.01, ABS(C720-0.5)&lt;0.01, ISNUMBER(SEARCH("Var", D720))), 1, 0)</f>
        <v/>
      </c>
      <c r="R720" s="171">
        <f>IF(F720&gt;0, J720, 1000000000)</f>
        <v/>
      </c>
      <c r="S720" s="101">
        <f>IF(AND(F720&lt;=DASHBOARD!$B$11, H720&gt;=DASHBOARD!$B$13), G720, -1000000000000)</f>
        <v/>
      </c>
      <c r="T720" s="101">
        <f>IF(AND(F720&lt;=DASHBOARD!$B$11, H720&gt;=DASHBOARD!$B$13), R720, 1000000000000)</f>
        <v/>
      </c>
      <c r="U720" s="101">
        <f>IF(AND(F720&lt;=DASHBOARD!$B$11, H720&gt;=DASHBOARD!$B$13), N720, -1000000000000)</f>
        <v/>
      </c>
      <c r="V720" s="101">
        <f>IF(AND(F720&lt;=DASHBOARD!$B$11, H720&gt;=DASHBOARD!$B$13), H720, -1000000000000)</f>
        <v/>
      </c>
      <c r="W720" s="101">
        <f>IF(AND(F720&lt;=DASHBOARD!$B$11, H720&gt;=DASHBOARD!$B$13), K720, -1000000000000)</f>
        <v/>
      </c>
      <c r="X720" s="101">
        <f>IF(AND(F720&lt;=DASHBOARD!$B$11, H720&gt;=DASHBOARD!$B$13), M720, 1000000000000)</f>
        <v/>
      </c>
      <c r="Y720" s="101">
        <f>IF(AND(F720&lt;=DASHBOARD!$B$10, H720&gt;=DASHBOARD!$B$11), L720, 1000000000000)</f>
        <v/>
      </c>
      <c r="Z720" s="101">
        <f>IF(AND(F720&lt;=DASHBOARD!$B$10, H720&gt;=DASHBOARD!$B$11), O720, 1000000000000)</f>
        <v/>
      </c>
      <c r="AA720" s="101">
        <f>IF(AND(F720&lt;=DASHBOARD!$B$10, H720&gt;=DASHBOARD!$B$11), P720, 1000000000000)</f>
        <v/>
      </c>
      <c r="AB720" s="101">
        <f>IF(AND(F720&lt;=DASHBOARD!$B$10, H720&gt;=DASHBOARD!$B$11), Q720, -1000000000000)</f>
        <v/>
      </c>
    </row>
    <row r="721" ht="15" customHeight="1" s="102">
      <c r="A721" s="166" t="n">
        <v>717</v>
      </c>
      <c r="B721" s="167" t="n">
        <v>1.7</v>
      </c>
      <c r="C721" s="167" t="n">
        <v>0.1</v>
      </c>
      <c r="D721" s="110" t="inlineStr">
        <is>
          <t>Yok (%0)</t>
        </is>
      </c>
      <c r="E721" s="110">
        <f>IF((B721+C721)&lt;=1, "Tam Mahsuplaşma (≤%100)", "Kısmi Satış (&gt;%100)")</f>
        <v/>
      </c>
      <c r="F721" s="168">
        <f>((VERI_TABANI!$D$29*B721/VERI_TABANI!$B$29)/VERI_TABANI!$B$3)*VERI_TABANI!$B$5 + ((VERI_TABANI!$D$29*C721/VERI_TABANI!$B$29)/VERI_TABANI!$B$4)*VERI_TABANI!$B$6 + IF(ISNUMBER(SEARCH("Var", D721)), (VERI_TABANI!$F$29/VERI_TABANI!$B$29)*(VERI_TABANI!$B$10+VERI_TABANI!$B$12), 0)</f>
        <v/>
      </c>
      <c r="G721" s="168">
        <f>(((MIN(VERI_TABANI!D23, VERI_TABANI!D23*B721)*VERI_TABANI!$B$7 + MAX(0, VERI_TABANI!D23*B721-VERI_TABANI!D23)*VERI_TABANI!$B$8) + (MIN(MAX(0, VERI_TABANI!D23-VERI_TABANI!D23*B721), VERI_TABANI!D23*C721)*VERI_TABANI!$B$7 + MAX(0, VERI_TABANI!D23*C721-MAX(0, VERI_TABANI!D23-VERI_TABANI!D23*B721))*VERI_TABANI!$B$8) + IF(ABS(IF(ISNUMBER(SEARCH("Var", D721)), 1, IF(ISNUMBER(SEARCH("Gri", D721)), -1, 0)))=1, VERI_TABANI!E23*(1-0.928)*VERI_TABANI!$B$9, 0) + (VERI_TABANI!D23*B721*(VERI_TABANI!$B$13-VERI_TABANI!$B$14)*VERI_TABANI!G23) + (VERI_TABANI!D23*C721*(VERI_TABANI!$B$13-VERI_TABANI!$B$15)*VERI_TABANI!G23) + IF(ABS(IF(ISNUMBER(SEARCH("Var", D721)), 1, IF(ISNUMBER(SEARCH("Gri", D721)), -1, 0)))=1, VERI_TABANI!E23*(1-0.928)*0.00206091519919798*VERI_TABANI!G23, 0)) + ((MIN(VERI_TABANI!D24, VERI_TABANI!D24*B721)*VERI_TABANI!$B$7 + MAX(0, VERI_TABANI!D24*B721-VERI_TABANI!D24)*VERI_TABANI!$B$8) + (MIN(MAX(0, VERI_TABANI!D24-VERI_TABANI!D24*B721), VERI_TABANI!D24*C721)*VERI_TABANI!$B$7 + MAX(0, VERI_TABANI!D24*C721-MAX(0, VERI_TABANI!D24-VERI_TABANI!D24*B721))*VERI_TABANI!$B$8) + IF(ABS(IF(ISNUMBER(SEARCH("Var", D721)), 1, IF(ISNUMBER(SEARCH("Gri", D721)), -1, 0)))=1, VERI_TABANI!E24*(1-0.928)*VERI_TABANI!$B$9, 0) + (VERI_TABANI!D24*B721*(VERI_TABANI!$B$13-VERI_TABANI!$B$14)*VERI_TABANI!G24) + (VERI_TABANI!D24*C721*(VERI_TABANI!$B$13-VERI_TABANI!$B$15)*VERI_TABANI!G24) + IF(ABS(IF(ISNUMBER(SEARCH("Var", D721)), 1, IF(ISNUMBER(SEARCH("Gri", D721)), -1, 0)))=1, VERI_TABANI!E24*(1-0.928)*0.00206091519919798*VERI_TABANI!G24, 0)) + ((MIN(VERI_TABANI!D25, VERI_TABANI!D25*B721)*VERI_TABANI!$B$7 + MAX(0, VERI_TABANI!D25*B721-VERI_TABANI!D25)*VERI_TABANI!$B$8) + (MIN(MAX(0, VERI_TABANI!D25-VERI_TABANI!D25*B721), VERI_TABANI!D25*C721)*VERI_TABANI!$B$7 + MAX(0, VERI_TABANI!D25*C721-MAX(0, VERI_TABANI!D25-VERI_TABANI!D25*B721))*VERI_TABANI!$B$8) + IF(ABS(IF(ISNUMBER(SEARCH("Var", D721)), 1, IF(ISNUMBER(SEARCH("Gri", D721)), -1, 0)))=1, VERI_TABANI!E25*(1-0.928)*VERI_TABANI!$B$9, 0) + (VERI_TABANI!D25*B721*(VERI_TABANI!$B$13-VERI_TABANI!$B$14)*VERI_TABANI!G25) + (VERI_TABANI!D25*C721*(VERI_TABANI!$B$13-VERI_TABANI!$B$15)*VERI_TABANI!G25) + IF(ABS(IF(ISNUMBER(SEARCH("Var", D721)), 1, IF(ISNUMBER(SEARCH("Gri", D721)), -1, 0)))=1, VERI_TABANI!E25*(1-0.928)*0.00206091519919798*VERI_TABANI!G25, 0)) + ((MIN(VERI_TABANI!D26, VERI_TABANI!D26*B721)*VERI_TABANI!$B$7 + MAX(0, VERI_TABANI!D26*B721-VERI_TABANI!D26)*VERI_TABANI!$B$8) + (MIN(MAX(0, VERI_TABANI!D26-VERI_TABANI!D26*B721), VERI_TABANI!D26*C721)*VERI_TABANI!$B$7 + MAX(0, VERI_TABANI!D26*C721-MAX(0, VERI_TABANI!D26-VERI_TABANI!D26*B721))*VERI_TABANI!$B$8) + IF(ABS(IF(ISNUMBER(SEARCH("Var", D721)), 1, IF(ISNUMBER(SEARCH("Gri", D721)), -1, 0)))=1, VERI_TABANI!E26*(1-0.928)*VERI_TABANI!$B$9, 0) + (VERI_TABANI!D26*B721*(VERI_TABANI!$B$13-VERI_TABANI!$B$14)*VERI_TABANI!G26) + (VERI_TABANI!D26*C721*(VERI_TABANI!$B$13-VERI_TABANI!$B$15)*VERI_TABANI!G26) + IF(ABS(IF(ISNUMBER(SEARCH("Var", D721)), 1, IF(ISNUMBER(SEARCH("Gri", D721)), -1, 0)))=1, VERI_TABANI!E26*(1-0.928)*0.00206091519919798*VERI_TABANI!G26, 0)) + ((MIN(VERI_TABANI!D27, VERI_TABANI!D27*B721)*VERI_TABANI!$B$7 + MAX(0, VERI_TABANI!D27*B721-VERI_TABANI!D27)*VERI_TABANI!$B$8) + (MIN(MAX(0, VERI_TABANI!D27-VERI_TABANI!D27*B721), VERI_TABANI!D27*C721)*VERI_TABANI!$B$7 + MAX(0, VERI_TABANI!D27*C721-MAX(0, VERI_TABANI!D27-VERI_TABANI!D27*B721))*VERI_TABANI!$B$8) + IF(ABS(IF(ISNUMBER(SEARCH("Var", D721)), 1, IF(ISNUMBER(SEARCH("Gri", D721)), -1, 0)))=1, VERI_TABANI!E27*(1-0.928)*VERI_TABANI!$B$9, 0) + (VERI_TABANI!D27*B721*(VERI_TABANI!$B$13-VERI_TABANI!$B$14)*VERI_TABANI!G27) + (VERI_TABANI!D27*C721*(VERI_TABANI!$B$13-VERI_TABANI!$B$15)*VERI_TABANI!G27) + IF(ABS(IF(ISNUMBER(SEARCH("Var", D721)), 1, IF(ISNUMBER(SEARCH("Gri", D721)), -1, 0)))=1, VERI_TABANI!E27*(1-0.928)*0.00206091519919798*VERI_TABANI!G27, 0)) + ((MIN(VERI_TABANI!D28, VERI_TABANI!D28*B721)*VERI_TABANI!$B$7 + MAX(0, VERI_TABANI!D28*B721-VERI_TABANI!D28)*VERI_TABANI!$B$8) + (MIN(MAX(0, VERI_TABANI!D28-VERI_TABANI!D28*B721), VERI_TABANI!D28*C721)*VERI_TABANI!$B$7 + MAX(0, VERI_TABANI!D28*C721-MAX(0, VERI_TABANI!D28-VERI_TABANI!D28*B721))*VERI_TABANI!$B$8) + IF(ABS(IF(ISNUMBER(SEARCH("Var", D721)), 1, IF(ISNUMBER(SEARCH("Gri", D721)), -1, 0)))=1, VERI_TABANI!E28*(1-0.928)*VERI_TABANI!$B$9, 0) + (VERI_TABANI!D28*B721*(VERI_TABANI!$B$13-VERI_TABANI!$B$14)*VERI_TABANI!G28) + (VERI_TABANI!D28*C721*(VERI_TABANI!$B$13-VERI_TABANI!$B$15)*VERI_TABANI!G28) + IF(ABS(IF(ISNUMBER(SEARCH("Var", D721)), 1, IF(ISNUMBER(SEARCH("Gri", D721)), -1, 0)))=1, VERI_TABANI!E28*(1-0.928)*0.00206091519919798*VERI_TABANI!G28, 0)))</f>
        <v/>
      </c>
      <c r="H721" s="169">
        <f>(((VERI_TABANI!D23*B721*(VERI_TABANI!$B$13-VERI_TABANI!$B$14)) + (VERI_TABANI!D23*C721*(VERI_TABANI!$B$13-VERI_TABANI!$B$15)) + IF(ISNUMBER(SEARCH("Var", D721)), VERI_TABANI!F23*(0.00202-VERI_TABANI!$B$16), IF(ISNUMBER(SEARCH("Gri", D721)), VERI_TABANI!F23*(0.00202-VERI_TABANI!$B$17), 0))) + ((VERI_TABANI!D24*B721*(VERI_TABANI!$B$13-VERI_TABANI!$B$14)) + (VERI_TABANI!D24*C721*(VERI_TABANI!$B$13-VERI_TABANI!$B$15)) + IF(ISNUMBER(SEARCH("Var", D721)), VERI_TABANI!F24*(0.00202-VERI_TABANI!$B$16), IF(ISNUMBER(SEARCH("Gri", D721)), VERI_TABANI!F24*(0.00202-VERI_TABANI!$B$17), 0))) + ((VERI_TABANI!D25*B721*(VERI_TABANI!$B$13-VERI_TABANI!$B$14)) + (VERI_TABANI!D25*C721*(VERI_TABANI!$B$13-VERI_TABANI!$B$15)) + IF(ISNUMBER(SEARCH("Var", D721)), VERI_TABANI!F25*(0.00202-VERI_TABANI!$B$16), IF(ISNUMBER(SEARCH("Gri", D721)), VERI_TABANI!F25*(0.00202-VERI_TABANI!$B$17), 0))) + ((VERI_TABANI!D26*B721*(VERI_TABANI!$B$13-VERI_TABANI!$B$14)) + (VERI_TABANI!D26*C721*(VERI_TABANI!$B$13-VERI_TABANI!$B$15)) + IF(ISNUMBER(SEARCH("Var", D721)), VERI_TABANI!F26*(0.00202-VERI_TABANI!$B$16), IF(ISNUMBER(SEARCH("Gri", D721)), VERI_TABANI!F26*(0.00202-VERI_TABANI!$B$17), 0))) + ((VERI_TABANI!D27*B721*(VERI_TABANI!$B$13-VERI_TABANI!$B$14)) + (VERI_TABANI!D27*C721*(VERI_TABANI!$B$13-VERI_TABANI!$B$15)) + IF(ISNUMBER(SEARCH("Var", D721)), VERI_TABANI!F27*(0.00202-VERI_TABANI!$B$16), IF(ISNUMBER(SEARCH("Gri", D721)), VERI_TABANI!F27*(0.00202-VERI_TABANI!$B$17), 0))) + ((VERI_TABANI!D28*B721*(VERI_TABANI!$B$13-VERI_TABANI!$B$14)) + (VERI_TABANI!D28*C721*(VERI_TABANI!$B$13-VERI_TABANI!$B$15)) + IF(ISNUMBER(SEARCH("Var", D721)), VERI_TABANI!F28*(0.00202-VERI_TABANI!$B$16), IF(ISNUMBER(SEARCH("Gri", D721)), VERI_TABANI!F28*(0.00202-VERI_TABANI!$B$17), 0))))</f>
        <v/>
      </c>
      <c r="I721" s="170">
        <f>IFERROR(((VERI_TABANI!$D$29*B721*VERI_TABANI!$B$14 + VERI_TABANI!$D$29*C721*VERI_TABANI!$B$15 + IF(ISNUMBER(SEARCH("Var", D721)), VERI_TABANI!$F$29*VERI_TABANI!$B$16, 0))) / (((VERI_TABANI!$D$29*B721 + VERI_TABANI!$D$29*C721)*VERI_TABANI!$B$13 + IF(ISNUMBER(SEARCH("Var", D721)), VERI_TABANI!$E$29*(1-0.928)*VERI_TABANI!$B$18, 0))), 0)</f>
        <v/>
      </c>
      <c r="J721" s="171">
        <f>IFERROR(F721/(G721/29), 0)</f>
        <v/>
      </c>
      <c r="K721" s="172">
        <f>IF(F721&gt;0, H721/F721, 0)</f>
        <v/>
      </c>
      <c r="L721" s="170">
        <f>IF(F721&gt;0, I721, 1000000000)</f>
        <v/>
      </c>
      <c r="M721" s="171">
        <f>ABS((B721+C721)-1)</f>
        <v/>
      </c>
      <c r="N721" s="170">
        <f>IF(F721&gt;0, (G721/29)/F721, 0)</f>
        <v/>
      </c>
      <c r="O721" s="168">
        <f>IF(AND((B721+C721)&gt;=1, ISNUMBER(SEARCH("Var", D721))), F721, 1000000000)</f>
        <v/>
      </c>
      <c r="P721" s="172">
        <f>IF(F721&gt;0, SQRT((F721/MAX(F$5:F$886))^2 + (1 - H721/MAX(H$5:H$886))^2 + (J721/MAX(J$5:J$886))^2), 1000000000)</f>
        <v/>
      </c>
      <c r="Q721" s="166">
        <f>IF(AND(ABS(B721-0.5)&lt;0.01, ABS(C721-0.5)&lt;0.01, ISNUMBER(SEARCH("Var", D721))), 1, 0)</f>
        <v/>
      </c>
      <c r="R721" s="171">
        <f>IF(F721&gt;0, J721, 1000000000)</f>
        <v/>
      </c>
      <c r="S721" s="101">
        <f>IF(AND(F721&lt;=DASHBOARD!$B$11, H721&gt;=DASHBOARD!$B$13), G721, -1000000000000)</f>
        <v/>
      </c>
      <c r="T721" s="101">
        <f>IF(AND(F721&lt;=DASHBOARD!$B$11, H721&gt;=DASHBOARD!$B$13), R721, 1000000000000)</f>
        <v/>
      </c>
      <c r="U721" s="101">
        <f>IF(AND(F721&lt;=DASHBOARD!$B$11, H721&gt;=DASHBOARD!$B$13), N721, -1000000000000)</f>
        <v/>
      </c>
      <c r="V721" s="101">
        <f>IF(AND(F721&lt;=DASHBOARD!$B$11, H721&gt;=DASHBOARD!$B$13), H721, -1000000000000)</f>
        <v/>
      </c>
      <c r="W721" s="101">
        <f>IF(AND(F721&lt;=DASHBOARD!$B$11, H721&gt;=DASHBOARD!$B$13), K721, -1000000000000)</f>
        <v/>
      </c>
      <c r="X721" s="101">
        <f>IF(AND(F721&lt;=DASHBOARD!$B$11, H721&gt;=DASHBOARD!$B$13), M721, 1000000000000)</f>
        <v/>
      </c>
      <c r="Y721" s="101">
        <f>IF(AND(F721&lt;=DASHBOARD!$B$10, H721&gt;=DASHBOARD!$B$11), L721, 1000000000000)</f>
        <v/>
      </c>
      <c r="Z721" s="101">
        <f>IF(AND(F721&lt;=DASHBOARD!$B$10, H721&gt;=DASHBOARD!$B$11), O721, 1000000000000)</f>
        <v/>
      </c>
      <c r="AA721" s="101">
        <f>IF(AND(F721&lt;=DASHBOARD!$B$10, H721&gt;=DASHBOARD!$B$11), P721, 1000000000000)</f>
        <v/>
      </c>
      <c r="AB721" s="101">
        <f>IF(AND(F721&lt;=DASHBOARD!$B$10, H721&gt;=DASHBOARD!$B$11), Q721, -1000000000000)</f>
        <v/>
      </c>
    </row>
    <row r="722" ht="15" customHeight="1" s="102">
      <c r="A722" s="166" t="n">
        <v>718</v>
      </c>
      <c r="B722" s="167" t="n">
        <v>1.7</v>
      </c>
      <c r="C722" s="167" t="n">
        <v>0.1</v>
      </c>
      <c r="D722" s="110" t="inlineStr">
        <is>
          <t>Var (%20)</t>
        </is>
      </c>
      <c r="E722" s="110">
        <f>IF((B722+C722)&lt;=1, "Tam Mahsuplaşma (≤%100)", "Kısmi Satış (&gt;%100)")</f>
        <v/>
      </c>
      <c r="F722" s="168">
        <f>((VERI_TABANI!$D$29*B722/VERI_TABANI!$B$29)/VERI_TABANI!$B$3)*VERI_TABANI!$B$5 + ((VERI_TABANI!$D$29*C722/VERI_TABANI!$B$29)/VERI_TABANI!$B$4)*VERI_TABANI!$B$6 + IF(ISNUMBER(SEARCH("Var", D722)), (VERI_TABANI!$F$29/VERI_TABANI!$B$29)*(VERI_TABANI!$B$10+VERI_TABANI!$B$12), 0)</f>
        <v/>
      </c>
      <c r="G722" s="168">
        <f>(((MIN(VERI_TABANI!D23, VERI_TABANI!D23*B722)*VERI_TABANI!$B$7 + MAX(0, VERI_TABANI!D23*B722-VERI_TABANI!D23)*VERI_TABANI!$B$8) + (MIN(MAX(0, VERI_TABANI!D23-VERI_TABANI!D23*B722), VERI_TABANI!D23*C722)*VERI_TABANI!$B$7 + MAX(0, VERI_TABANI!D23*C722-MAX(0, VERI_TABANI!D23-VERI_TABANI!D23*B722))*VERI_TABANI!$B$8) + IF(ABS(IF(ISNUMBER(SEARCH("Var", D722)), 1, IF(ISNUMBER(SEARCH("Gri", D722)), -1, 0)))=1, VERI_TABANI!E23*(1-0.928)*VERI_TABANI!$B$9, 0) + (VERI_TABANI!D23*B722*(VERI_TABANI!$B$13-VERI_TABANI!$B$14)*VERI_TABANI!G23) + (VERI_TABANI!D23*C722*(VERI_TABANI!$B$13-VERI_TABANI!$B$15)*VERI_TABANI!G23) + IF(ABS(IF(ISNUMBER(SEARCH("Var", D722)), 1, IF(ISNUMBER(SEARCH("Gri", D722)), -1, 0)))=1, VERI_TABANI!E23*(1-0.928)*0.00206091519919798*VERI_TABANI!G23, 0)) + ((MIN(VERI_TABANI!D24, VERI_TABANI!D24*B722)*VERI_TABANI!$B$7 + MAX(0, VERI_TABANI!D24*B722-VERI_TABANI!D24)*VERI_TABANI!$B$8) + (MIN(MAX(0, VERI_TABANI!D24-VERI_TABANI!D24*B722), VERI_TABANI!D24*C722)*VERI_TABANI!$B$7 + MAX(0, VERI_TABANI!D24*C722-MAX(0, VERI_TABANI!D24-VERI_TABANI!D24*B722))*VERI_TABANI!$B$8) + IF(ABS(IF(ISNUMBER(SEARCH("Var", D722)), 1, IF(ISNUMBER(SEARCH("Gri", D722)), -1, 0)))=1, VERI_TABANI!E24*(1-0.928)*VERI_TABANI!$B$9, 0) + (VERI_TABANI!D24*B722*(VERI_TABANI!$B$13-VERI_TABANI!$B$14)*VERI_TABANI!G24) + (VERI_TABANI!D24*C722*(VERI_TABANI!$B$13-VERI_TABANI!$B$15)*VERI_TABANI!G24) + IF(ABS(IF(ISNUMBER(SEARCH("Var", D722)), 1, IF(ISNUMBER(SEARCH("Gri", D722)), -1, 0)))=1, VERI_TABANI!E24*(1-0.928)*0.00206091519919798*VERI_TABANI!G24, 0)) + ((MIN(VERI_TABANI!D25, VERI_TABANI!D25*B722)*VERI_TABANI!$B$7 + MAX(0, VERI_TABANI!D25*B722-VERI_TABANI!D25)*VERI_TABANI!$B$8) + (MIN(MAX(0, VERI_TABANI!D25-VERI_TABANI!D25*B722), VERI_TABANI!D25*C722)*VERI_TABANI!$B$7 + MAX(0, VERI_TABANI!D25*C722-MAX(0, VERI_TABANI!D25-VERI_TABANI!D25*B722))*VERI_TABANI!$B$8) + IF(ABS(IF(ISNUMBER(SEARCH("Var", D722)), 1, IF(ISNUMBER(SEARCH("Gri", D722)), -1, 0)))=1, VERI_TABANI!E25*(1-0.928)*VERI_TABANI!$B$9, 0) + (VERI_TABANI!D25*B722*(VERI_TABANI!$B$13-VERI_TABANI!$B$14)*VERI_TABANI!G25) + (VERI_TABANI!D25*C722*(VERI_TABANI!$B$13-VERI_TABANI!$B$15)*VERI_TABANI!G25) + IF(ABS(IF(ISNUMBER(SEARCH("Var", D722)), 1, IF(ISNUMBER(SEARCH("Gri", D722)), -1, 0)))=1, VERI_TABANI!E25*(1-0.928)*0.00206091519919798*VERI_TABANI!G25, 0)) + ((MIN(VERI_TABANI!D26, VERI_TABANI!D26*B722)*VERI_TABANI!$B$7 + MAX(0, VERI_TABANI!D26*B722-VERI_TABANI!D26)*VERI_TABANI!$B$8) + (MIN(MAX(0, VERI_TABANI!D26-VERI_TABANI!D26*B722), VERI_TABANI!D26*C722)*VERI_TABANI!$B$7 + MAX(0, VERI_TABANI!D26*C722-MAX(0, VERI_TABANI!D26-VERI_TABANI!D26*B722))*VERI_TABANI!$B$8) + IF(ABS(IF(ISNUMBER(SEARCH("Var", D722)), 1, IF(ISNUMBER(SEARCH("Gri", D722)), -1, 0)))=1, VERI_TABANI!E26*(1-0.928)*VERI_TABANI!$B$9, 0) + (VERI_TABANI!D26*B722*(VERI_TABANI!$B$13-VERI_TABANI!$B$14)*VERI_TABANI!G26) + (VERI_TABANI!D26*C722*(VERI_TABANI!$B$13-VERI_TABANI!$B$15)*VERI_TABANI!G26) + IF(ABS(IF(ISNUMBER(SEARCH("Var", D722)), 1, IF(ISNUMBER(SEARCH("Gri", D722)), -1, 0)))=1, VERI_TABANI!E26*(1-0.928)*0.00206091519919798*VERI_TABANI!G26, 0)) + ((MIN(VERI_TABANI!D27, VERI_TABANI!D27*B722)*VERI_TABANI!$B$7 + MAX(0, VERI_TABANI!D27*B722-VERI_TABANI!D27)*VERI_TABANI!$B$8) + (MIN(MAX(0, VERI_TABANI!D27-VERI_TABANI!D27*B722), VERI_TABANI!D27*C722)*VERI_TABANI!$B$7 + MAX(0, VERI_TABANI!D27*C722-MAX(0, VERI_TABANI!D27-VERI_TABANI!D27*B722))*VERI_TABANI!$B$8) + IF(ABS(IF(ISNUMBER(SEARCH("Var", D722)), 1, IF(ISNUMBER(SEARCH("Gri", D722)), -1, 0)))=1, VERI_TABANI!E27*(1-0.928)*VERI_TABANI!$B$9, 0) + (VERI_TABANI!D27*B722*(VERI_TABANI!$B$13-VERI_TABANI!$B$14)*VERI_TABANI!G27) + (VERI_TABANI!D27*C722*(VERI_TABANI!$B$13-VERI_TABANI!$B$15)*VERI_TABANI!G27) + IF(ABS(IF(ISNUMBER(SEARCH("Var", D722)), 1, IF(ISNUMBER(SEARCH("Gri", D722)), -1, 0)))=1, VERI_TABANI!E27*(1-0.928)*0.00206091519919798*VERI_TABANI!G27, 0)) + ((MIN(VERI_TABANI!D28, VERI_TABANI!D28*B722)*VERI_TABANI!$B$7 + MAX(0, VERI_TABANI!D28*B722-VERI_TABANI!D28)*VERI_TABANI!$B$8) + (MIN(MAX(0, VERI_TABANI!D28-VERI_TABANI!D28*B722), VERI_TABANI!D28*C722)*VERI_TABANI!$B$7 + MAX(0, VERI_TABANI!D28*C722-MAX(0, VERI_TABANI!D28-VERI_TABANI!D28*B722))*VERI_TABANI!$B$8) + IF(ABS(IF(ISNUMBER(SEARCH("Var", D722)), 1, IF(ISNUMBER(SEARCH("Gri", D722)), -1, 0)))=1, VERI_TABANI!E28*(1-0.928)*VERI_TABANI!$B$9, 0) + (VERI_TABANI!D28*B722*(VERI_TABANI!$B$13-VERI_TABANI!$B$14)*VERI_TABANI!G28) + (VERI_TABANI!D28*C722*(VERI_TABANI!$B$13-VERI_TABANI!$B$15)*VERI_TABANI!G28) + IF(ABS(IF(ISNUMBER(SEARCH("Var", D722)), 1, IF(ISNUMBER(SEARCH("Gri", D722)), -1, 0)))=1, VERI_TABANI!E28*(1-0.928)*0.00206091519919798*VERI_TABANI!G28, 0)))</f>
        <v/>
      </c>
      <c r="H722" s="169">
        <f>(((VERI_TABANI!D23*B722*(VERI_TABANI!$B$13-VERI_TABANI!$B$14)) + (VERI_TABANI!D23*C722*(VERI_TABANI!$B$13-VERI_TABANI!$B$15)) + IF(ISNUMBER(SEARCH("Var", D722)), VERI_TABANI!F23*(0.00202-VERI_TABANI!$B$16), IF(ISNUMBER(SEARCH("Gri", D722)), VERI_TABANI!F23*(0.00202-VERI_TABANI!$B$17), 0))) + ((VERI_TABANI!D24*B722*(VERI_TABANI!$B$13-VERI_TABANI!$B$14)) + (VERI_TABANI!D24*C722*(VERI_TABANI!$B$13-VERI_TABANI!$B$15)) + IF(ISNUMBER(SEARCH("Var", D722)), VERI_TABANI!F24*(0.00202-VERI_TABANI!$B$16), IF(ISNUMBER(SEARCH("Gri", D722)), VERI_TABANI!F24*(0.00202-VERI_TABANI!$B$17), 0))) + ((VERI_TABANI!D25*B722*(VERI_TABANI!$B$13-VERI_TABANI!$B$14)) + (VERI_TABANI!D25*C722*(VERI_TABANI!$B$13-VERI_TABANI!$B$15)) + IF(ISNUMBER(SEARCH("Var", D722)), VERI_TABANI!F25*(0.00202-VERI_TABANI!$B$16), IF(ISNUMBER(SEARCH("Gri", D722)), VERI_TABANI!F25*(0.00202-VERI_TABANI!$B$17), 0))) + ((VERI_TABANI!D26*B722*(VERI_TABANI!$B$13-VERI_TABANI!$B$14)) + (VERI_TABANI!D26*C722*(VERI_TABANI!$B$13-VERI_TABANI!$B$15)) + IF(ISNUMBER(SEARCH("Var", D722)), VERI_TABANI!F26*(0.00202-VERI_TABANI!$B$16), IF(ISNUMBER(SEARCH("Gri", D722)), VERI_TABANI!F26*(0.00202-VERI_TABANI!$B$17), 0))) + ((VERI_TABANI!D27*B722*(VERI_TABANI!$B$13-VERI_TABANI!$B$14)) + (VERI_TABANI!D27*C722*(VERI_TABANI!$B$13-VERI_TABANI!$B$15)) + IF(ISNUMBER(SEARCH("Var", D722)), VERI_TABANI!F27*(0.00202-VERI_TABANI!$B$16), IF(ISNUMBER(SEARCH("Gri", D722)), VERI_TABANI!F27*(0.00202-VERI_TABANI!$B$17), 0))) + ((VERI_TABANI!D28*B722*(VERI_TABANI!$B$13-VERI_TABANI!$B$14)) + (VERI_TABANI!D28*C722*(VERI_TABANI!$B$13-VERI_TABANI!$B$15)) + IF(ISNUMBER(SEARCH("Var", D722)), VERI_TABANI!F28*(0.00202-VERI_TABANI!$B$16), IF(ISNUMBER(SEARCH("Gri", D722)), VERI_TABANI!F28*(0.00202-VERI_TABANI!$B$17), 0))))</f>
        <v/>
      </c>
      <c r="I722" s="170">
        <f>IFERROR(((VERI_TABANI!$D$29*B722*VERI_TABANI!$B$14 + VERI_TABANI!$D$29*C722*VERI_TABANI!$B$15 + IF(ISNUMBER(SEARCH("Var", D722)), VERI_TABANI!$F$29*VERI_TABANI!$B$16, 0))) / (((VERI_TABANI!$D$29*B722 + VERI_TABANI!$D$29*C722)*VERI_TABANI!$B$13 + IF(ISNUMBER(SEARCH("Var", D722)), VERI_TABANI!$E$29*(1-0.928)*VERI_TABANI!$B$18, 0))), 0)</f>
        <v/>
      </c>
      <c r="J722" s="171">
        <f>IFERROR(F722/(G722/29), 0)</f>
        <v/>
      </c>
      <c r="K722" s="172">
        <f>IF(F722&gt;0, H722/F722, 0)</f>
        <v/>
      </c>
      <c r="L722" s="170">
        <f>IF(F722&gt;0, I722, 1000000000)</f>
        <v/>
      </c>
      <c r="M722" s="171">
        <f>ABS((B722+C722)-1)</f>
        <v/>
      </c>
      <c r="N722" s="170">
        <f>IF(F722&gt;0, (G722/29)/F722, 0)</f>
        <v/>
      </c>
      <c r="O722" s="168">
        <f>IF(AND((B722+C722)&gt;=1, ISNUMBER(SEARCH("Var", D722))), F722, 1000000000)</f>
        <v/>
      </c>
      <c r="P722" s="172">
        <f>IF(F722&gt;0, SQRT((F722/MAX(F$5:F$886))^2 + (1 - H722/MAX(H$5:H$886))^2 + (J722/MAX(J$5:J$886))^2), 1000000000)</f>
        <v/>
      </c>
      <c r="Q722" s="166">
        <f>IF(AND(ABS(B722-0.5)&lt;0.01, ABS(C722-0.5)&lt;0.01, ISNUMBER(SEARCH("Var", D722))), 1, 0)</f>
        <v/>
      </c>
      <c r="R722" s="171">
        <f>IF(F722&gt;0, J722, 1000000000)</f>
        <v/>
      </c>
      <c r="S722" s="101">
        <f>IF(AND(F722&lt;=DASHBOARD!$B$11, H722&gt;=DASHBOARD!$B$13), G722, -1000000000000)</f>
        <v/>
      </c>
      <c r="T722" s="101">
        <f>IF(AND(F722&lt;=DASHBOARD!$B$11, H722&gt;=DASHBOARD!$B$13), R722, 1000000000000)</f>
        <v/>
      </c>
      <c r="U722" s="101">
        <f>IF(AND(F722&lt;=DASHBOARD!$B$11, H722&gt;=DASHBOARD!$B$13), N722, -1000000000000)</f>
        <v/>
      </c>
      <c r="V722" s="101">
        <f>IF(AND(F722&lt;=DASHBOARD!$B$11, H722&gt;=DASHBOARD!$B$13), H722, -1000000000000)</f>
        <v/>
      </c>
      <c r="W722" s="101">
        <f>IF(AND(F722&lt;=DASHBOARD!$B$11, H722&gt;=DASHBOARD!$B$13), K722, -1000000000000)</f>
        <v/>
      </c>
      <c r="X722" s="101">
        <f>IF(AND(F722&lt;=DASHBOARD!$B$11, H722&gt;=DASHBOARD!$B$13), M722, 1000000000000)</f>
        <v/>
      </c>
      <c r="Y722" s="101">
        <f>IF(AND(F722&lt;=DASHBOARD!$B$10, H722&gt;=DASHBOARD!$B$11), L722, 1000000000000)</f>
        <v/>
      </c>
      <c r="Z722" s="101">
        <f>IF(AND(F722&lt;=DASHBOARD!$B$10, H722&gt;=DASHBOARD!$B$11), O722, 1000000000000)</f>
        <v/>
      </c>
      <c r="AA722" s="101">
        <f>IF(AND(F722&lt;=DASHBOARD!$B$10, H722&gt;=DASHBOARD!$B$11), P722, 1000000000000)</f>
        <v/>
      </c>
      <c r="AB722" s="101">
        <f>IF(AND(F722&lt;=DASHBOARD!$B$10, H722&gt;=DASHBOARD!$B$11), Q722, -1000000000000)</f>
        <v/>
      </c>
    </row>
    <row r="723" ht="15" customHeight="1" s="102">
      <c r="A723" s="166" t="n">
        <v>719</v>
      </c>
      <c r="B723" s="167" t="n">
        <v>1.7</v>
      </c>
      <c r="C723" s="167" t="n">
        <v>0.2</v>
      </c>
      <c r="D723" s="110" t="inlineStr">
        <is>
          <t>Yok (%0)</t>
        </is>
      </c>
      <c r="E723" s="110">
        <f>IF((B723+C723)&lt;=1, "Tam Mahsuplaşma (≤%100)", "Kısmi Satış (&gt;%100)")</f>
        <v/>
      </c>
      <c r="F723" s="168">
        <f>((VERI_TABANI!$D$29*B723/VERI_TABANI!$B$29)/VERI_TABANI!$B$3)*VERI_TABANI!$B$5 + ((VERI_TABANI!$D$29*C723/VERI_TABANI!$B$29)/VERI_TABANI!$B$4)*VERI_TABANI!$B$6 + IF(ISNUMBER(SEARCH("Var", D723)), (VERI_TABANI!$F$29/VERI_TABANI!$B$29)*(VERI_TABANI!$B$10+VERI_TABANI!$B$12), 0)</f>
        <v/>
      </c>
      <c r="G723" s="168">
        <f>(((MIN(VERI_TABANI!D23, VERI_TABANI!D23*B723)*VERI_TABANI!$B$7 + MAX(0, VERI_TABANI!D23*B723-VERI_TABANI!D23)*VERI_TABANI!$B$8) + (MIN(MAX(0, VERI_TABANI!D23-VERI_TABANI!D23*B723), VERI_TABANI!D23*C723)*VERI_TABANI!$B$7 + MAX(0, VERI_TABANI!D23*C723-MAX(0, VERI_TABANI!D23-VERI_TABANI!D23*B723))*VERI_TABANI!$B$8) + IF(ABS(IF(ISNUMBER(SEARCH("Var", D723)), 1, IF(ISNUMBER(SEARCH("Gri", D723)), -1, 0)))=1, VERI_TABANI!E23*(1-0.928)*VERI_TABANI!$B$9, 0) + (VERI_TABANI!D23*B723*(VERI_TABANI!$B$13-VERI_TABANI!$B$14)*VERI_TABANI!G23) + (VERI_TABANI!D23*C723*(VERI_TABANI!$B$13-VERI_TABANI!$B$15)*VERI_TABANI!G23) + IF(ABS(IF(ISNUMBER(SEARCH("Var", D723)), 1, IF(ISNUMBER(SEARCH("Gri", D723)), -1, 0)))=1, VERI_TABANI!E23*(1-0.928)*0.00206091519919798*VERI_TABANI!G23, 0)) + ((MIN(VERI_TABANI!D24, VERI_TABANI!D24*B723)*VERI_TABANI!$B$7 + MAX(0, VERI_TABANI!D24*B723-VERI_TABANI!D24)*VERI_TABANI!$B$8) + (MIN(MAX(0, VERI_TABANI!D24-VERI_TABANI!D24*B723), VERI_TABANI!D24*C723)*VERI_TABANI!$B$7 + MAX(0, VERI_TABANI!D24*C723-MAX(0, VERI_TABANI!D24-VERI_TABANI!D24*B723))*VERI_TABANI!$B$8) + IF(ABS(IF(ISNUMBER(SEARCH("Var", D723)), 1, IF(ISNUMBER(SEARCH("Gri", D723)), -1, 0)))=1, VERI_TABANI!E24*(1-0.928)*VERI_TABANI!$B$9, 0) + (VERI_TABANI!D24*B723*(VERI_TABANI!$B$13-VERI_TABANI!$B$14)*VERI_TABANI!G24) + (VERI_TABANI!D24*C723*(VERI_TABANI!$B$13-VERI_TABANI!$B$15)*VERI_TABANI!G24) + IF(ABS(IF(ISNUMBER(SEARCH("Var", D723)), 1, IF(ISNUMBER(SEARCH("Gri", D723)), -1, 0)))=1, VERI_TABANI!E24*(1-0.928)*0.00206091519919798*VERI_TABANI!G24, 0)) + ((MIN(VERI_TABANI!D25, VERI_TABANI!D25*B723)*VERI_TABANI!$B$7 + MAX(0, VERI_TABANI!D25*B723-VERI_TABANI!D25)*VERI_TABANI!$B$8) + (MIN(MAX(0, VERI_TABANI!D25-VERI_TABANI!D25*B723), VERI_TABANI!D25*C723)*VERI_TABANI!$B$7 + MAX(0, VERI_TABANI!D25*C723-MAX(0, VERI_TABANI!D25-VERI_TABANI!D25*B723))*VERI_TABANI!$B$8) + IF(ABS(IF(ISNUMBER(SEARCH("Var", D723)), 1, IF(ISNUMBER(SEARCH("Gri", D723)), -1, 0)))=1, VERI_TABANI!E25*(1-0.928)*VERI_TABANI!$B$9, 0) + (VERI_TABANI!D25*B723*(VERI_TABANI!$B$13-VERI_TABANI!$B$14)*VERI_TABANI!G25) + (VERI_TABANI!D25*C723*(VERI_TABANI!$B$13-VERI_TABANI!$B$15)*VERI_TABANI!G25) + IF(ABS(IF(ISNUMBER(SEARCH("Var", D723)), 1, IF(ISNUMBER(SEARCH("Gri", D723)), -1, 0)))=1, VERI_TABANI!E25*(1-0.928)*0.00206091519919798*VERI_TABANI!G25, 0)) + ((MIN(VERI_TABANI!D26, VERI_TABANI!D26*B723)*VERI_TABANI!$B$7 + MAX(0, VERI_TABANI!D26*B723-VERI_TABANI!D26)*VERI_TABANI!$B$8) + (MIN(MAX(0, VERI_TABANI!D26-VERI_TABANI!D26*B723), VERI_TABANI!D26*C723)*VERI_TABANI!$B$7 + MAX(0, VERI_TABANI!D26*C723-MAX(0, VERI_TABANI!D26-VERI_TABANI!D26*B723))*VERI_TABANI!$B$8) + IF(ABS(IF(ISNUMBER(SEARCH("Var", D723)), 1, IF(ISNUMBER(SEARCH("Gri", D723)), -1, 0)))=1, VERI_TABANI!E26*(1-0.928)*VERI_TABANI!$B$9, 0) + (VERI_TABANI!D26*B723*(VERI_TABANI!$B$13-VERI_TABANI!$B$14)*VERI_TABANI!G26) + (VERI_TABANI!D26*C723*(VERI_TABANI!$B$13-VERI_TABANI!$B$15)*VERI_TABANI!G26) + IF(ABS(IF(ISNUMBER(SEARCH("Var", D723)), 1, IF(ISNUMBER(SEARCH("Gri", D723)), -1, 0)))=1, VERI_TABANI!E26*(1-0.928)*0.00206091519919798*VERI_TABANI!G26, 0)) + ((MIN(VERI_TABANI!D27, VERI_TABANI!D27*B723)*VERI_TABANI!$B$7 + MAX(0, VERI_TABANI!D27*B723-VERI_TABANI!D27)*VERI_TABANI!$B$8) + (MIN(MAX(0, VERI_TABANI!D27-VERI_TABANI!D27*B723), VERI_TABANI!D27*C723)*VERI_TABANI!$B$7 + MAX(0, VERI_TABANI!D27*C723-MAX(0, VERI_TABANI!D27-VERI_TABANI!D27*B723))*VERI_TABANI!$B$8) + IF(ABS(IF(ISNUMBER(SEARCH("Var", D723)), 1, IF(ISNUMBER(SEARCH("Gri", D723)), -1, 0)))=1, VERI_TABANI!E27*(1-0.928)*VERI_TABANI!$B$9, 0) + (VERI_TABANI!D27*B723*(VERI_TABANI!$B$13-VERI_TABANI!$B$14)*VERI_TABANI!G27) + (VERI_TABANI!D27*C723*(VERI_TABANI!$B$13-VERI_TABANI!$B$15)*VERI_TABANI!G27) + IF(ABS(IF(ISNUMBER(SEARCH("Var", D723)), 1, IF(ISNUMBER(SEARCH("Gri", D723)), -1, 0)))=1, VERI_TABANI!E27*(1-0.928)*0.00206091519919798*VERI_TABANI!G27, 0)) + ((MIN(VERI_TABANI!D28, VERI_TABANI!D28*B723)*VERI_TABANI!$B$7 + MAX(0, VERI_TABANI!D28*B723-VERI_TABANI!D28)*VERI_TABANI!$B$8) + (MIN(MAX(0, VERI_TABANI!D28-VERI_TABANI!D28*B723), VERI_TABANI!D28*C723)*VERI_TABANI!$B$7 + MAX(0, VERI_TABANI!D28*C723-MAX(0, VERI_TABANI!D28-VERI_TABANI!D28*B723))*VERI_TABANI!$B$8) + IF(ABS(IF(ISNUMBER(SEARCH("Var", D723)), 1, IF(ISNUMBER(SEARCH("Gri", D723)), -1, 0)))=1, VERI_TABANI!E28*(1-0.928)*VERI_TABANI!$B$9, 0) + (VERI_TABANI!D28*B723*(VERI_TABANI!$B$13-VERI_TABANI!$B$14)*VERI_TABANI!G28) + (VERI_TABANI!D28*C723*(VERI_TABANI!$B$13-VERI_TABANI!$B$15)*VERI_TABANI!G28) + IF(ABS(IF(ISNUMBER(SEARCH("Var", D723)), 1, IF(ISNUMBER(SEARCH("Gri", D723)), -1, 0)))=1, VERI_TABANI!E28*(1-0.928)*0.00206091519919798*VERI_TABANI!G28, 0)))</f>
        <v/>
      </c>
      <c r="H723" s="169">
        <f>(((VERI_TABANI!D23*B723*(VERI_TABANI!$B$13-VERI_TABANI!$B$14)) + (VERI_TABANI!D23*C723*(VERI_TABANI!$B$13-VERI_TABANI!$B$15)) + IF(ISNUMBER(SEARCH("Var", D723)), VERI_TABANI!F23*(0.00202-VERI_TABANI!$B$16), IF(ISNUMBER(SEARCH("Gri", D723)), VERI_TABANI!F23*(0.00202-VERI_TABANI!$B$17), 0))) + ((VERI_TABANI!D24*B723*(VERI_TABANI!$B$13-VERI_TABANI!$B$14)) + (VERI_TABANI!D24*C723*(VERI_TABANI!$B$13-VERI_TABANI!$B$15)) + IF(ISNUMBER(SEARCH("Var", D723)), VERI_TABANI!F24*(0.00202-VERI_TABANI!$B$16), IF(ISNUMBER(SEARCH("Gri", D723)), VERI_TABANI!F24*(0.00202-VERI_TABANI!$B$17), 0))) + ((VERI_TABANI!D25*B723*(VERI_TABANI!$B$13-VERI_TABANI!$B$14)) + (VERI_TABANI!D25*C723*(VERI_TABANI!$B$13-VERI_TABANI!$B$15)) + IF(ISNUMBER(SEARCH("Var", D723)), VERI_TABANI!F25*(0.00202-VERI_TABANI!$B$16), IF(ISNUMBER(SEARCH("Gri", D723)), VERI_TABANI!F25*(0.00202-VERI_TABANI!$B$17), 0))) + ((VERI_TABANI!D26*B723*(VERI_TABANI!$B$13-VERI_TABANI!$B$14)) + (VERI_TABANI!D26*C723*(VERI_TABANI!$B$13-VERI_TABANI!$B$15)) + IF(ISNUMBER(SEARCH("Var", D723)), VERI_TABANI!F26*(0.00202-VERI_TABANI!$B$16), IF(ISNUMBER(SEARCH("Gri", D723)), VERI_TABANI!F26*(0.00202-VERI_TABANI!$B$17), 0))) + ((VERI_TABANI!D27*B723*(VERI_TABANI!$B$13-VERI_TABANI!$B$14)) + (VERI_TABANI!D27*C723*(VERI_TABANI!$B$13-VERI_TABANI!$B$15)) + IF(ISNUMBER(SEARCH("Var", D723)), VERI_TABANI!F27*(0.00202-VERI_TABANI!$B$16), IF(ISNUMBER(SEARCH("Gri", D723)), VERI_TABANI!F27*(0.00202-VERI_TABANI!$B$17), 0))) + ((VERI_TABANI!D28*B723*(VERI_TABANI!$B$13-VERI_TABANI!$B$14)) + (VERI_TABANI!D28*C723*(VERI_TABANI!$B$13-VERI_TABANI!$B$15)) + IF(ISNUMBER(SEARCH("Var", D723)), VERI_TABANI!F28*(0.00202-VERI_TABANI!$B$16), IF(ISNUMBER(SEARCH("Gri", D723)), VERI_TABANI!F28*(0.00202-VERI_TABANI!$B$17), 0))))</f>
        <v/>
      </c>
      <c r="I723" s="170">
        <f>IFERROR(((VERI_TABANI!$D$29*B723*VERI_TABANI!$B$14 + VERI_TABANI!$D$29*C723*VERI_TABANI!$B$15 + IF(ISNUMBER(SEARCH("Var", D723)), VERI_TABANI!$F$29*VERI_TABANI!$B$16, 0))) / (((VERI_TABANI!$D$29*B723 + VERI_TABANI!$D$29*C723)*VERI_TABANI!$B$13 + IF(ISNUMBER(SEARCH("Var", D723)), VERI_TABANI!$E$29*(1-0.928)*VERI_TABANI!$B$18, 0))), 0)</f>
        <v/>
      </c>
      <c r="J723" s="171">
        <f>IFERROR(F723/(G723/29), 0)</f>
        <v/>
      </c>
      <c r="K723" s="172">
        <f>IF(F723&gt;0, H723/F723, 0)</f>
        <v/>
      </c>
      <c r="L723" s="170">
        <f>IF(F723&gt;0, I723, 1000000000)</f>
        <v/>
      </c>
      <c r="M723" s="171">
        <f>ABS((B723+C723)-1)</f>
        <v/>
      </c>
      <c r="N723" s="170">
        <f>IF(F723&gt;0, (G723/29)/F723, 0)</f>
        <v/>
      </c>
      <c r="O723" s="168">
        <f>IF(AND((B723+C723)&gt;=1, ISNUMBER(SEARCH("Var", D723))), F723, 1000000000)</f>
        <v/>
      </c>
      <c r="P723" s="172">
        <f>IF(F723&gt;0, SQRT((F723/MAX(F$5:F$886))^2 + (1 - H723/MAX(H$5:H$886))^2 + (J723/MAX(J$5:J$886))^2), 1000000000)</f>
        <v/>
      </c>
      <c r="Q723" s="166">
        <f>IF(AND(ABS(B723-0.5)&lt;0.01, ABS(C723-0.5)&lt;0.01, ISNUMBER(SEARCH("Var", D723))), 1, 0)</f>
        <v/>
      </c>
      <c r="R723" s="171">
        <f>IF(F723&gt;0, J723, 1000000000)</f>
        <v/>
      </c>
      <c r="S723" s="101">
        <f>IF(AND(F723&lt;=DASHBOARD!$B$11, H723&gt;=DASHBOARD!$B$13), G723, -1000000000000)</f>
        <v/>
      </c>
      <c r="T723" s="101">
        <f>IF(AND(F723&lt;=DASHBOARD!$B$11, H723&gt;=DASHBOARD!$B$13), R723, 1000000000000)</f>
        <v/>
      </c>
      <c r="U723" s="101">
        <f>IF(AND(F723&lt;=DASHBOARD!$B$11, H723&gt;=DASHBOARD!$B$13), N723, -1000000000000)</f>
        <v/>
      </c>
      <c r="V723" s="101">
        <f>IF(AND(F723&lt;=DASHBOARD!$B$11, H723&gt;=DASHBOARD!$B$13), H723, -1000000000000)</f>
        <v/>
      </c>
      <c r="W723" s="101">
        <f>IF(AND(F723&lt;=DASHBOARD!$B$11, H723&gt;=DASHBOARD!$B$13), K723, -1000000000000)</f>
        <v/>
      </c>
      <c r="X723" s="101">
        <f>IF(AND(F723&lt;=DASHBOARD!$B$11, H723&gt;=DASHBOARD!$B$13), M723, 1000000000000)</f>
        <v/>
      </c>
      <c r="Y723" s="101">
        <f>IF(AND(F723&lt;=DASHBOARD!$B$10, H723&gt;=DASHBOARD!$B$11), L723, 1000000000000)</f>
        <v/>
      </c>
      <c r="Z723" s="101">
        <f>IF(AND(F723&lt;=DASHBOARD!$B$10, H723&gt;=DASHBOARD!$B$11), O723, 1000000000000)</f>
        <v/>
      </c>
      <c r="AA723" s="101">
        <f>IF(AND(F723&lt;=DASHBOARD!$B$10, H723&gt;=DASHBOARD!$B$11), P723, 1000000000000)</f>
        <v/>
      </c>
      <c r="AB723" s="101">
        <f>IF(AND(F723&lt;=DASHBOARD!$B$10, H723&gt;=DASHBOARD!$B$11), Q723, -1000000000000)</f>
        <v/>
      </c>
    </row>
    <row r="724" ht="15" customHeight="1" s="102">
      <c r="A724" s="166" t="n">
        <v>720</v>
      </c>
      <c r="B724" s="167" t="n">
        <v>1.7</v>
      </c>
      <c r="C724" s="167" t="n">
        <v>0.2</v>
      </c>
      <c r="D724" s="110" t="inlineStr">
        <is>
          <t>Var (%20)</t>
        </is>
      </c>
      <c r="E724" s="110">
        <f>IF((B724+C724)&lt;=1, "Tam Mahsuplaşma (≤%100)", "Kısmi Satış (&gt;%100)")</f>
        <v/>
      </c>
      <c r="F724" s="168">
        <f>((VERI_TABANI!$D$29*B724/VERI_TABANI!$B$29)/VERI_TABANI!$B$3)*VERI_TABANI!$B$5 + ((VERI_TABANI!$D$29*C724/VERI_TABANI!$B$29)/VERI_TABANI!$B$4)*VERI_TABANI!$B$6 + IF(ISNUMBER(SEARCH("Var", D724)), (VERI_TABANI!$F$29/VERI_TABANI!$B$29)*(VERI_TABANI!$B$10+VERI_TABANI!$B$12), 0)</f>
        <v/>
      </c>
      <c r="G724" s="168">
        <f>(((MIN(VERI_TABANI!D23, VERI_TABANI!D23*B724)*VERI_TABANI!$B$7 + MAX(0, VERI_TABANI!D23*B724-VERI_TABANI!D23)*VERI_TABANI!$B$8) + (MIN(MAX(0, VERI_TABANI!D23-VERI_TABANI!D23*B724), VERI_TABANI!D23*C724)*VERI_TABANI!$B$7 + MAX(0, VERI_TABANI!D23*C724-MAX(0, VERI_TABANI!D23-VERI_TABANI!D23*B724))*VERI_TABANI!$B$8) + IF(ABS(IF(ISNUMBER(SEARCH("Var", D724)), 1, IF(ISNUMBER(SEARCH("Gri", D724)), -1, 0)))=1, VERI_TABANI!E23*(1-0.928)*VERI_TABANI!$B$9, 0) + (VERI_TABANI!D23*B724*(VERI_TABANI!$B$13-VERI_TABANI!$B$14)*VERI_TABANI!G23) + (VERI_TABANI!D23*C724*(VERI_TABANI!$B$13-VERI_TABANI!$B$15)*VERI_TABANI!G23) + IF(ABS(IF(ISNUMBER(SEARCH("Var", D724)), 1, IF(ISNUMBER(SEARCH("Gri", D724)), -1, 0)))=1, VERI_TABANI!E23*(1-0.928)*0.00206091519919798*VERI_TABANI!G23, 0)) + ((MIN(VERI_TABANI!D24, VERI_TABANI!D24*B724)*VERI_TABANI!$B$7 + MAX(0, VERI_TABANI!D24*B724-VERI_TABANI!D24)*VERI_TABANI!$B$8) + (MIN(MAX(0, VERI_TABANI!D24-VERI_TABANI!D24*B724), VERI_TABANI!D24*C724)*VERI_TABANI!$B$7 + MAX(0, VERI_TABANI!D24*C724-MAX(0, VERI_TABANI!D24-VERI_TABANI!D24*B724))*VERI_TABANI!$B$8) + IF(ABS(IF(ISNUMBER(SEARCH("Var", D724)), 1, IF(ISNUMBER(SEARCH("Gri", D724)), -1, 0)))=1, VERI_TABANI!E24*(1-0.928)*VERI_TABANI!$B$9, 0) + (VERI_TABANI!D24*B724*(VERI_TABANI!$B$13-VERI_TABANI!$B$14)*VERI_TABANI!G24) + (VERI_TABANI!D24*C724*(VERI_TABANI!$B$13-VERI_TABANI!$B$15)*VERI_TABANI!G24) + IF(ABS(IF(ISNUMBER(SEARCH("Var", D724)), 1, IF(ISNUMBER(SEARCH("Gri", D724)), -1, 0)))=1, VERI_TABANI!E24*(1-0.928)*0.00206091519919798*VERI_TABANI!G24, 0)) + ((MIN(VERI_TABANI!D25, VERI_TABANI!D25*B724)*VERI_TABANI!$B$7 + MAX(0, VERI_TABANI!D25*B724-VERI_TABANI!D25)*VERI_TABANI!$B$8) + (MIN(MAX(0, VERI_TABANI!D25-VERI_TABANI!D25*B724), VERI_TABANI!D25*C724)*VERI_TABANI!$B$7 + MAX(0, VERI_TABANI!D25*C724-MAX(0, VERI_TABANI!D25-VERI_TABANI!D25*B724))*VERI_TABANI!$B$8) + IF(ABS(IF(ISNUMBER(SEARCH("Var", D724)), 1, IF(ISNUMBER(SEARCH("Gri", D724)), -1, 0)))=1, VERI_TABANI!E25*(1-0.928)*VERI_TABANI!$B$9, 0) + (VERI_TABANI!D25*B724*(VERI_TABANI!$B$13-VERI_TABANI!$B$14)*VERI_TABANI!G25) + (VERI_TABANI!D25*C724*(VERI_TABANI!$B$13-VERI_TABANI!$B$15)*VERI_TABANI!G25) + IF(ABS(IF(ISNUMBER(SEARCH("Var", D724)), 1, IF(ISNUMBER(SEARCH("Gri", D724)), -1, 0)))=1, VERI_TABANI!E25*(1-0.928)*0.00206091519919798*VERI_TABANI!G25, 0)) + ((MIN(VERI_TABANI!D26, VERI_TABANI!D26*B724)*VERI_TABANI!$B$7 + MAX(0, VERI_TABANI!D26*B724-VERI_TABANI!D26)*VERI_TABANI!$B$8) + (MIN(MAX(0, VERI_TABANI!D26-VERI_TABANI!D26*B724), VERI_TABANI!D26*C724)*VERI_TABANI!$B$7 + MAX(0, VERI_TABANI!D26*C724-MAX(0, VERI_TABANI!D26-VERI_TABANI!D26*B724))*VERI_TABANI!$B$8) + IF(ABS(IF(ISNUMBER(SEARCH("Var", D724)), 1, IF(ISNUMBER(SEARCH("Gri", D724)), -1, 0)))=1, VERI_TABANI!E26*(1-0.928)*VERI_TABANI!$B$9, 0) + (VERI_TABANI!D26*B724*(VERI_TABANI!$B$13-VERI_TABANI!$B$14)*VERI_TABANI!G26) + (VERI_TABANI!D26*C724*(VERI_TABANI!$B$13-VERI_TABANI!$B$15)*VERI_TABANI!G26) + IF(ABS(IF(ISNUMBER(SEARCH("Var", D724)), 1, IF(ISNUMBER(SEARCH("Gri", D724)), -1, 0)))=1, VERI_TABANI!E26*(1-0.928)*0.00206091519919798*VERI_TABANI!G26, 0)) + ((MIN(VERI_TABANI!D27, VERI_TABANI!D27*B724)*VERI_TABANI!$B$7 + MAX(0, VERI_TABANI!D27*B724-VERI_TABANI!D27)*VERI_TABANI!$B$8) + (MIN(MAX(0, VERI_TABANI!D27-VERI_TABANI!D27*B724), VERI_TABANI!D27*C724)*VERI_TABANI!$B$7 + MAX(0, VERI_TABANI!D27*C724-MAX(0, VERI_TABANI!D27-VERI_TABANI!D27*B724))*VERI_TABANI!$B$8) + IF(ABS(IF(ISNUMBER(SEARCH("Var", D724)), 1, IF(ISNUMBER(SEARCH("Gri", D724)), -1, 0)))=1, VERI_TABANI!E27*(1-0.928)*VERI_TABANI!$B$9, 0) + (VERI_TABANI!D27*B724*(VERI_TABANI!$B$13-VERI_TABANI!$B$14)*VERI_TABANI!G27) + (VERI_TABANI!D27*C724*(VERI_TABANI!$B$13-VERI_TABANI!$B$15)*VERI_TABANI!G27) + IF(ABS(IF(ISNUMBER(SEARCH("Var", D724)), 1, IF(ISNUMBER(SEARCH("Gri", D724)), -1, 0)))=1, VERI_TABANI!E27*(1-0.928)*0.00206091519919798*VERI_TABANI!G27, 0)) + ((MIN(VERI_TABANI!D28, VERI_TABANI!D28*B724)*VERI_TABANI!$B$7 + MAX(0, VERI_TABANI!D28*B724-VERI_TABANI!D28)*VERI_TABANI!$B$8) + (MIN(MAX(0, VERI_TABANI!D28-VERI_TABANI!D28*B724), VERI_TABANI!D28*C724)*VERI_TABANI!$B$7 + MAX(0, VERI_TABANI!D28*C724-MAX(0, VERI_TABANI!D28-VERI_TABANI!D28*B724))*VERI_TABANI!$B$8) + IF(ABS(IF(ISNUMBER(SEARCH("Var", D724)), 1, IF(ISNUMBER(SEARCH("Gri", D724)), -1, 0)))=1, VERI_TABANI!E28*(1-0.928)*VERI_TABANI!$B$9, 0) + (VERI_TABANI!D28*B724*(VERI_TABANI!$B$13-VERI_TABANI!$B$14)*VERI_TABANI!G28) + (VERI_TABANI!D28*C724*(VERI_TABANI!$B$13-VERI_TABANI!$B$15)*VERI_TABANI!G28) + IF(ABS(IF(ISNUMBER(SEARCH("Var", D724)), 1, IF(ISNUMBER(SEARCH("Gri", D724)), -1, 0)))=1, VERI_TABANI!E28*(1-0.928)*0.00206091519919798*VERI_TABANI!G28, 0)))</f>
        <v/>
      </c>
      <c r="H724" s="169">
        <f>(((VERI_TABANI!D23*B724*(VERI_TABANI!$B$13-VERI_TABANI!$B$14)) + (VERI_TABANI!D23*C724*(VERI_TABANI!$B$13-VERI_TABANI!$B$15)) + IF(ISNUMBER(SEARCH("Var", D724)), VERI_TABANI!F23*(0.00202-VERI_TABANI!$B$16), IF(ISNUMBER(SEARCH("Gri", D724)), VERI_TABANI!F23*(0.00202-VERI_TABANI!$B$17), 0))) + ((VERI_TABANI!D24*B724*(VERI_TABANI!$B$13-VERI_TABANI!$B$14)) + (VERI_TABANI!D24*C724*(VERI_TABANI!$B$13-VERI_TABANI!$B$15)) + IF(ISNUMBER(SEARCH("Var", D724)), VERI_TABANI!F24*(0.00202-VERI_TABANI!$B$16), IF(ISNUMBER(SEARCH("Gri", D724)), VERI_TABANI!F24*(0.00202-VERI_TABANI!$B$17), 0))) + ((VERI_TABANI!D25*B724*(VERI_TABANI!$B$13-VERI_TABANI!$B$14)) + (VERI_TABANI!D25*C724*(VERI_TABANI!$B$13-VERI_TABANI!$B$15)) + IF(ISNUMBER(SEARCH("Var", D724)), VERI_TABANI!F25*(0.00202-VERI_TABANI!$B$16), IF(ISNUMBER(SEARCH("Gri", D724)), VERI_TABANI!F25*(0.00202-VERI_TABANI!$B$17), 0))) + ((VERI_TABANI!D26*B724*(VERI_TABANI!$B$13-VERI_TABANI!$B$14)) + (VERI_TABANI!D26*C724*(VERI_TABANI!$B$13-VERI_TABANI!$B$15)) + IF(ISNUMBER(SEARCH("Var", D724)), VERI_TABANI!F26*(0.00202-VERI_TABANI!$B$16), IF(ISNUMBER(SEARCH("Gri", D724)), VERI_TABANI!F26*(0.00202-VERI_TABANI!$B$17), 0))) + ((VERI_TABANI!D27*B724*(VERI_TABANI!$B$13-VERI_TABANI!$B$14)) + (VERI_TABANI!D27*C724*(VERI_TABANI!$B$13-VERI_TABANI!$B$15)) + IF(ISNUMBER(SEARCH("Var", D724)), VERI_TABANI!F27*(0.00202-VERI_TABANI!$B$16), IF(ISNUMBER(SEARCH("Gri", D724)), VERI_TABANI!F27*(0.00202-VERI_TABANI!$B$17), 0))) + ((VERI_TABANI!D28*B724*(VERI_TABANI!$B$13-VERI_TABANI!$B$14)) + (VERI_TABANI!D28*C724*(VERI_TABANI!$B$13-VERI_TABANI!$B$15)) + IF(ISNUMBER(SEARCH("Var", D724)), VERI_TABANI!F28*(0.00202-VERI_TABANI!$B$16), IF(ISNUMBER(SEARCH("Gri", D724)), VERI_TABANI!F28*(0.00202-VERI_TABANI!$B$17), 0))))</f>
        <v/>
      </c>
      <c r="I724" s="170">
        <f>IFERROR(((VERI_TABANI!$D$29*B724*VERI_TABANI!$B$14 + VERI_TABANI!$D$29*C724*VERI_TABANI!$B$15 + IF(ISNUMBER(SEARCH("Var", D724)), VERI_TABANI!$F$29*VERI_TABANI!$B$16, 0))) / (((VERI_TABANI!$D$29*B724 + VERI_TABANI!$D$29*C724)*VERI_TABANI!$B$13 + IF(ISNUMBER(SEARCH("Var", D724)), VERI_TABANI!$E$29*(1-0.928)*VERI_TABANI!$B$18, 0))), 0)</f>
        <v/>
      </c>
      <c r="J724" s="171">
        <f>IFERROR(F724/(G724/29), 0)</f>
        <v/>
      </c>
      <c r="K724" s="172">
        <f>IF(F724&gt;0, H724/F724, 0)</f>
        <v/>
      </c>
      <c r="L724" s="170">
        <f>IF(F724&gt;0, I724, 1000000000)</f>
        <v/>
      </c>
      <c r="M724" s="171">
        <f>ABS((B724+C724)-1)</f>
        <v/>
      </c>
      <c r="N724" s="170">
        <f>IF(F724&gt;0, (G724/29)/F724, 0)</f>
        <v/>
      </c>
      <c r="O724" s="168">
        <f>IF(AND((B724+C724)&gt;=1, ISNUMBER(SEARCH("Var", D724))), F724, 1000000000)</f>
        <v/>
      </c>
      <c r="P724" s="172">
        <f>IF(F724&gt;0, SQRT((F724/MAX(F$5:F$886))^2 + (1 - H724/MAX(H$5:H$886))^2 + (J724/MAX(J$5:J$886))^2), 1000000000)</f>
        <v/>
      </c>
      <c r="Q724" s="166">
        <f>IF(AND(ABS(B724-0.5)&lt;0.01, ABS(C724-0.5)&lt;0.01, ISNUMBER(SEARCH("Var", D724))), 1, 0)</f>
        <v/>
      </c>
      <c r="R724" s="171">
        <f>IF(F724&gt;0, J724, 1000000000)</f>
        <v/>
      </c>
      <c r="S724" s="101">
        <f>IF(AND(F724&lt;=DASHBOARD!$B$11, H724&gt;=DASHBOARD!$B$13), G724, -1000000000000)</f>
        <v/>
      </c>
      <c r="T724" s="101">
        <f>IF(AND(F724&lt;=DASHBOARD!$B$11, H724&gt;=DASHBOARD!$B$13), R724, 1000000000000)</f>
        <v/>
      </c>
      <c r="U724" s="101">
        <f>IF(AND(F724&lt;=DASHBOARD!$B$11, H724&gt;=DASHBOARD!$B$13), N724, -1000000000000)</f>
        <v/>
      </c>
      <c r="V724" s="101">
        <f>IF(AND(F724&lt;=DASHBOARD!$B$11, H724&gt;=DASHBOARD!$B$13), H724, -1000000000000)</f>
        <v/>
      </c>
      <c r="W724" s="101">
        <f>IF(AND(F724&lt;=DASHBOARD!$B$11, H724&gt;=DASHBOARD!$B$13), K724, -1000000000000)</f>
        <v/>
      </c>
      <c r="X724" s="101">
        <f>IF(AND(F724&lt;=DASHBOARD!$B$11, H724&gt;=DASHBOARD!$B$13), M724, 1000000000000)</f>
        <v/>
      </c>
      <c r="Y724" s="101">
        <f>IF(AND(F724&lt;=DASHBOARD!$B$10, H724&gt;=DASHBOARD!$B$11), L724, 1000000000000)</f>
        <v/>
      </c>
      <c r="Z724" s="101">
        <f>IF(AND(F724&lt;=DASHBOARD!$B$10, H724&gt;=DASHBOARD!$B$11), O724, 1000000000000)</f>
        <v/>
      </c>
      <c r="AA724" s="101">
        <f>IF(AND(F724&lt;=DASHBOARD!$B$10, H724&gt;=DASHBOARD!$B$11), P724, 1000000000000)</f>
        <v/>
      </c>
      <c r="AB724" s="101">
        <f>IF(AND(F724&lt;=DASHBOARD!$B$10, H724&gt;=DASHBOARD!$B$11), Q724, -1000000000000)</f>
        <v/>
      </c>
    </row>
    <row r="725" ht="15" customHeight="1" s="102">
      <c r="A725" s="166" t="n">
        <v>721</v>
      </c>
      <c r="B725" s="167" t="n">
        <v>1.7</v>
      </c>
      <c r="C725" s="167" t="n">
        <v>0.3</v>
      </c>
      <c r="D725" s="110" t="inlineStr">
        <is>
          <t>Yok (%0)</t>
        </is>
      </c>
      <c r="E725" s="110">
        <f>IF((B725+C725)&lt;=1, "Tam Mahsuplaşma (≤%100)", "Kısmi Satış (&gt;%100)")</f>
        <v/>
      </c>
      <c r="F725" s="168">
        <f>((VERI_TABANI!$D$29*B725/VERI_TABANI!$B$29)/VERI_TABANI!$B$3)*VERI_TABANI!$B$5 + ((VERI_TABANI!$D$29*C725/VERI_TABANI!$B$29)/VERI_TABANI!$B$4)*VERI_TABANI!$B$6 + IF(ISNUMBER(SEARCH("Var", D725)), (VERI_TABANI!$F$29/VERI_TABANI!$B$29)*(VERI_TABANI!$B$10+VERI_TABANI!$B$12), 0)</f>
        <v/>
      </c>
      <c r="G725" s="168">
        <f>(((MIN(VERI_TABANI!D23, VERI_TABANI!D23*B725)*VERI_TABANI!$B$7 + MAX(0, VERI_TABANI!D23*B725-VERI_TABANI!D23)*VERI_TABANI!$B$8) + (MIN(MAX(0, VERI_TABANI!D23-VERI_TABANI!D23*B725), VERI_TABANI!D23*C725)*VERI_TABANI!$B$7 + MAX(0, VERI_TABANI!D23*C725-MAX(0, VERI_TABANI!D23-VERI_TABANI!D23*B725))*VERI_TABANI!$B$8) + IF(ABS(IF(ISNUMBER(SEARCH("Var", D725)), 1, IF(ISNUMBER(SEARCH("Gri", D725)), -1, 0)))=1, VERI_TABANI!E23*(1-0.928)*VERI_TABANI!$B$9, 0) + (VERI_TABANI!D23*B725*(VERI_TABANI!$B$13-VERI_TABANI!$B$14)*VERI_TABANI!G23) + (VERI_TABANI!D23*C725*(VERI_TABANI!$B$13-VERI_TABANI!$B$15)*VERI_TABANI!G23) + IF(ABS(IF(ISNUMBER(SEARCH("Var", D725)), 1, IF(ISNUMBER(SEARCH("Gri", D725)), -1, 0)))=1, VERI_TABANI!E23*(1-0.928)*0.00206091519919798*VERI_TABANI!G23, 0)) + ((MIN(VERI_TABANI!D24, VERI_TABANI!D24*B725)*VERI_TABANI!$B$7 + MAX(0, VERI_TABANI!D24*B725-VERI_TABANI!D24)*VERI_TABANI!$B$8) + (MIN(MAX(0, VERI_TABANI!D24-VERI_TABANI!D24*B725), VERI_TABANI!D24*C725)*VERI_TABANI!$B$7 + MAX(0, VERI_TABANI!D24*C725-MAX(0, VERI_TABANI!D24-VERI_TABANI!D24*B725))*VERI_TABANI!$B$8) + IF(ABS(IF(ISNUMBER(SEARCH("Var", D725)), 1, IF(ISNUMBER(SEARCH("Gri", D725)), -1, 0)))=1, VERI_TABANI!E24*(1-0.928)*VERI_TABANI!$B$9, 0) + (VERI_TABANI!D24*B725*(VERI_TABANI!$B$13-VERI_TABANI!$B$14)*VERI_TABANI!G24) + (VERI_TABANI!D24*C725*(VERI_TABANI!$B$13-VERI_TABANI!$B$15)*VERI_TABANI!G24) + IF(ABS(IF(ISNUMBER(SEARCH("Var", D725)), 1, IF(ISNUMBER(SEARCH("Gri", D725)), -1, 0)))=1, VERI_TABANI!E24*(1-0.928)*0.00206091519919798*VERI_TABANI!G24, 0)) + ((MIN(VERI_TABANI!D25, VERI_TABANI!D25*B725)*VERI_TABANI!$B$7 + MAX(0, VERI_TABANI!D25*B725-VERI_TABANI!D25)*VERI_TABANI!$B$8) + (MIN(MAX(0, VERI_TABANI!D25-VERI_TABANI!D25*B725), VERI_TABANI!D25*C725)*VERI_TABANI!$B$7 + MAX(0, VERI_TABANI!D25*C725-MAX(0, VERI_TABANI!D25-VERI_TABANI!D25*B725))*VERI_TABANI!$B$8) + IF(ABS(IF(ISNUMBER(SEARCH("Var", D725)), 1, IF(ISNUMBER(SEARCH("Gri", D725)), -1, 0)))=1, VERI_TABANI!E25*(1-0.928)*VERI_TABANI!$B$9, 0) + (VERI_TABANI!D25*B725*(VERI_TABANI!$B$13-VERI_TABANI!$B$14)*VERI_TABANI!G25) + (VERI_TABANI!D25*C725*(VERI_TABANI!$B$13-VERI_TABANI!$B$15)*VERI_TABANI!G25) + IF(ABS(IF(ISNUMBER(SEARCH("Var", D725)), 1, IF(ISNUMBER(SEARCH("Gri", D725)), -1, 0)))=1, VERI_TABANI!E25*(1-0.928)*0.00206091519919798*VERI_TABANI!G25, 0)) + ((MIN(VERI_TABANI!D26, VERI_TABANI!D26*B725)*VERI_TABANI!$B$7 + MAX(0, VERI_TABANI!D26*B725-VERI_TABANI!D26)*VERI_TABANI!$B$8) + (MIN(MAX(0, VERI_TABANI!D26-VERI_TABANI!D26*B725), VERI_TABANI!D26*C725)*VERI_TABANI!$B$7 + MAX(0, VERI_TABANI!D26*C725-MAX(0, VERI_TABANI!D26-VERI_TABANI!D26*B725))*VERI_TABANI!$B$8) + IF(ABS(IF(ISNUMBER(SEARCH("Var", D725)), 1, IF(ISNUMBER(SEARCH("Gri", D725)), -1, 0)))=1, VERI_TABANI!E26*(1-0.928)*VERI_TABANI!$B$9, 0) + (VERI_TABANI!D26*B725*(VERI_TABANI!$B$13-VERI_TABANI!$B$14)*VERI_TABANI!G26) + (VERI_TABANI!D26*C725*(VERI_TABANI!$B$13-VERI_TABANI!$B$15)*VERI_TABANI!G26) + IF(ABS(IF(ISNUMBER(SEARCH("Var", D725)), 1, IF(ISNUMBER(SEARCH("Gri", D725)), -1, 0)))=1, VERI_TABANI!E26*(1-0.928)*0.00206091519919798*VERI_TABANI!G26, 0)) + ((MIN(VERI_TABANI!D27, VERI_TABANI!D27*B725)*VERI_TABANI!$B$7 + MAX(0, VERI_TABANI!D27*B725-VERI_TABANI!D27)*VERI_TABANI!$B$8) + (MIN(MAX(0, VERI_TABANI!D27-VERI_TABANI!D27*B725), VERI_TABANI!D27*C725)*VERI_TABANI!$B$7 + MAX(0, VERI_TABANI!D27*C725-MAX(0, VERI_TABANI!D27-VERI_TABANI!D27*B725))*VERI_TABANI!$B$8) + IF(ABS(IF(ISNUMBER(SEARCH("Var", D725)), 1, IF(ISNUMBER(SEARCH("Gri", D725)), -1, 0)))=1, VERI_TABANI!E27*(1-0.928)*VERI_TABANI!$B$9, 0) + (VERI_TABANI!D27*B725*(VERI_TABANI!$B$13-VERI_TABANI!$B$14)*VERI_TABANI!G27) + (VERI_TABANI!D27*C725*(VERI_TABANI!$B$13-VERI_TABANI!$B$15)*VERI_TABANI!G27) + IF(ABS(IF(ISNUMBER(SEARCH("Var", D725)), 1, IF(ISNUMBER(SEARCH("Gri", D725)), -1, 0)))=1, VERI_TABANI!E27*(1-0.928)*0.00206091519919798*VERI_TABANI!G27, 0)) + ((MIN(VERI_TABANI!D28, VERI_TABANI!D28*B725)*VERI_TABANI!$B$7 + MAX(0, VERI_TABANI!D28*B725-VERI_TABANI!D28)*VERI_TABANI!$B$8) + (MIN(MAX(0, VERI_TABANI!D28-VERI_TABANI!D28*B725), VERI_TABANI!D28*C725)*VERI_TABANI!$B$7 + MAX(0, VERI_TABANI!D28*C725-MAX(0, VERI_TABANI!D28-VERI_TABANI!D28*B725))*VERI_TABANI!$B$8) + IF(ABS(IF(ISNUMBER(SEARCH("Var", D725)), 1, IF(ISNUMBER(SEARCH("Gri", D725)), -1, 0)))=1, VERI_TABANI!E28*(1-0.928)*VERI_TABANI!$B$9, 0) + (VERI_TABANI!D28*B725*(VERI_TABANI!$B$13-VERI_TABANI!$B$14)*VERI_TABANI!G28) + (VERI_TABANI!D28*C725*(VERI_TABANI!$B$13-VERI_TABANI!$B$15)*VERI_TABANI!G28) + IF(ABS(IF(ISNUMBER(SEARCH("Var", D725)), 1, IF(ISNUMBER(SEARCH("Gri", D725)), -1, 0)))=1, VERI_TABANI!E28*(1-0.928)*0.00206091519919798*VERI_TABANI!G28, 0)))</f>
        <v/>
      </c>
      <c r="H725" s="169">
        <f>(((VERI_TABANI!D23*B725*(VERI_TABANI!$B$13-VERI_TABANI!$B$14)) + (VERI_TABANI!D23*C725*(VERI_TABANI!$B$13-VERI_TABANI!$B$15)) + IF(ISNUMBER(SEARCH("Var", D725)), VERI_TABANI!F23*(0.00202-VERI_TABANI!$B$16), IF(ISNUMBER(SEARCH("Gri", D725)), VERI_TABANI!F23*(0.00202-VERI_TABANI!$B$17), 0))) + ((VERI_TABANI!D24*B725*(VERI_TABANI!$B$13-VERI_TABANI!$B$14)) + (VERI_TABANI!D24*C725*(VERI_TABANI!$B$13-VERI_TABANI!$B$15)) + IF(ISNUMBER(SEARCH("Var", D725)), VERI_TABANI!F24*(0.00202-VERI_TABANI!$B$16), IF(ISNUMBER(SEARCH("Gri", D725)), VERI_TABANI!F24*(0.00202-VERI_TABANI!$B$17), 0))) + ((VERI_TABANI!D25*B725*(VERI_TABANI!$B$13-VERI_TABANI!$B$14)) + (VERI_TABANI!D25*C725*(VERI_TABANI!$B$13-VERI_TABANI!$B$15)) + IF(ISNUMBER(SEARCH("Var", D725)), VERI_TABANI!F25*(0.00202-VERI_TABANI!$B$16), IF(ISNUMBER(SEARCH("Gri", D725)), VERI_TABANI!F25*(0.00202-VERI_TABANI!$B$17), 0))) + ((VERI_TABANI!D26*B725*(VERI_TABANI!$B$13-VERI_TABANI!$B$14)) + (VERI_TABANI!D26*C725*(VERI_TABANI!$B$13-VERI_TABANI!$B$15)) + IF(ISNUMBER(SEARCH("Var", D725)), VERI_TABANI!F26*(0.00202-VERI_TABANI!$B$16), IF(ISNUMBER(SEARCH("Gri", D725)), VERI_TABANI!F26*(0.00202-VERI_TABANI!$B$17), 0))) + ((VERI_TABANI!D27*B725*(VERI_TABANI!$B$13-VERI_TABANI!$B$14)) + (VERI_TABANI!D27*C725*(VERI_TABANI!$B$13-VERI_TABANI!$B$15)) + IF(ISNUMBER(SEARCH("Var", D725)), VERI_TABANI!F27*(0.00202-VERI_TABANI!$B$16), IF(ISNUMBER(SEARCH("Gri", D725)), VERI_TABANI!F27*(0.00202-VERI_TABANI!$B$17), 0))) + ((VERI_TABANI!D28*B725*(VERI_TABANI!$B$13-VERI_TABANI!$B$14)) + (VERI_TABANI!D28*C725*(VERI_TABANI!$B$13-VERI_TABANI!$B$15)) + IF(ISNUMBER(SEARCH("Var", D725)), VERI_TABANI!F28*(0.00202-VERI_TABANI!$B$16), IF(ISNUMBER(SEARCH("Gri", D725)), VERI_TABANI!F28*(0.00202-VERI_TABANI!$B$17), 0))))</f>
        <v/>
      </c>
      <c r="I725" s="170">
        <f>IFERROR(((VERI_TABANI!$D$29*B725*VERI_TABANI!$B$14 + VERI_TABANI!$D$29*C725*VERI_TABANI!$B$15 + IF(ISNUMBER(SEARCH("Var", D725)), VERI_TABANI!$F$29*VERI_TABANI!$B$16, 0))) / (((VERI_TABANI!$D$29*B725 + VERI_TABANI!$D$29*C725)*VERI_TABANI!$B$13 + IF(ISNUMBER(SEARCH("Var", D725)), VERI_TABANI!$E$29*(1-0.928)*VERI_TABANI!$B$18, 0))), 0)</f>
        <v/>
      </c>
      <c r="J725" s="171">
        <f>IFERROR(F725/(G725/29), 0)</f>
        <v/>
      </c>
      <c r="K725" s="172">
        <f>IF(F725&gt;0, H725/F725, 0)</f>
        <v/>
      </c>
      <c r="L725" s="170">
        <f>IF(F725&gt;0, I725, 1000000000)</f>
        <v/>
      </c>
      <c r="M725" s="171">
        <f>ABS((B725+C725)-1)</f>
        <v/>
      </c>
      <c r="N725" s="170">
        <f>IF(F725&gt;0, (G725/29)/F725, 0)</f>
        <v/>
      </c>
      <c r="O725" s="168">
        <f>IF(AND((B725+C725)&gt;=1, ISNUMBER(SEARCH("Var", D725))), F725, 1000000000)</f>
        <v/>
      </c>
      <c r="P725" s="172">
        <f>IF(F725&gt;0, SQRT((F725/MAX(F$5:F$886))^2 + (1 - H725/MAX(H$5:H$886))^2 + (J725/MAX(J$5:J$886))^2), 1000000000)</f>
        <v/>
      </c>
      <c r="Q725" s="166">
        <f>IF(AND(ABS(B725-0.5)&lt;0.01, ABS(C725-0.5)&lt;0.01, ISNUMBER(SEARCH("Var", D725))), 1, 0)</f>
        <v/>
      </c>
      <c r="R725" s="171">
        <f>IF(F725&gt;0, J725, 1000000000)</f>
        <v/>
      </c>
      <c r="S725" s="101">
        <f>IF(AND(F725&lt;=DASHBOARD!$B$11, H725&gt;=DASHBOARD!$B$13), G725, -1000000000000)</f>
        <v/>
      </c>
      <c r="T725" s="101">
        <f>IF(AND(F725&lt;=DASHBOARD!$B$11, H725&gt;=DASHBOARD!$B$13), R725, 1000000000000)</f>
        <v/>
      </c>
      <c r="U725" s="101">
        <f>IF(AND(F725&lt;=DASHBOARD!$B$11, H725&gt;=DASHBOARD!$B$13), N725, -1000000000000)</f>
        <v/>
      </c>
      <c r="V725" s="101">
        <f>IF(AND(F725&lt;=DASHBOARD!$B$11, H725&gt;=DASHBOARD!$B$13), H725, -1000000000000)</f>
        <v/>
      </c>
      <c r="W725" s="101">
        <f>IF(AND(F725&lt;=DASHBOARD!$B$11, H725&gt;=DASHBOARD!$B$13), K725, -1000000000000)</f>
        <v/>
      </c>
      <c r="X725" s="101">
        <f>IF(AND(F725&lt;=DASHBOARD!$B$11, H725&gt;=DASHBOARD!$B$13), M725, 1000000000000)</f>
        <v/>
      </c>
      <c r="Y725" s="101">
        <f>IF(AND(F725&lt;=DASHBOARD!$B$10, H725&gt;=DASHBOARD!$B$11), L725, 1000000000000)</f>
        <v/>
      </c>
      <c r="Z725" s="101">
        <f>IF(AND(F725&lt;=DASHBOARD!$B$10, H725&gt;=DASHBOARD!$B$11), O725, 1000000000000)</f>
        <v/>
      </c>
      <c r="AA725" s="101">
        <f>IF(AND(F725&lt;=DASHBOARD!$B$10, H725&gt;=DASHBOARD!$B$11), P725, 1000000000000)</f>
        <v/>
      </c>
      <c r="AB725" s="101">
        <f>IF(AND(F725&lt;=DASHBOARD!$B$10, H725&gt;=DASHBOARD!$B$11), Q725, -1000000000000)</f>
        <v/>
      </c>
    </row>
    <row r="726" ht="15" customHeight="1" s="102">
      <c r="A726" s="166" t="n">
        <v>722</v>
      </c>
      <c r="B726" s="167" t="n">
        <v>1.7</v>
      </c>
      <c r="C726" s="167" t="n">
        <v>0.3</v>
      </c>
      <c r="D726" s="110" t="inlineStr">
        <is>
          <t>Var (%20)</t>
        </is>
      </c>
      <c r="E726" s="110">
        <f>IF((B726+C726)&lt;=1, "Tam Mahsuplaşma (≤%100)", "Kısmi Satış (&gt;%100)")</f>
        <v/>
      </c>
      <c r="F726" s="168">
        <f>((VERI_TABANI!$D$29*B726/VERI_TABANI!$B$29)/VERI_TABANI!$B$3)*VERI_TABANI!$B$5 + ((VERI_TABANI!$D$29*C726/VERI_TABANI!$B$29)/VERI_TABANI!$B$4)*VERI_TABANI!$B$6 + IF(ISNUMBER(SEARCH("Var", D726)), (VERI_TABANI!$F$29/VERI_TABANI!$B$29)*(VERI_TABANI!$B$10+VERI_TABANI!$B$12), 0)</f>
        <v/>
      </c>
      <c r="G726" s="168">
        <f>(((MIN(VERI_TABANI!D23, VERI_TABANI!D23*B726)*VERI_TABANI!$B$7 + MAX(0, VERI_TABANI!D23*B726-VERI_TABANI!D23)*VERI_TABANI!$B$8) + (MIN(MAX(0, VERI_TABANI!D23-VERI_TABANI!D23*B726), VERI_TABANI!D23*C726)*VERI_TABANI!$B$7 + MAX(0, VERI_TABANI!D23*C726-MAX(0, VERI_TABANI!D23-VERI_TABANI!D23*B726))*VERI_TABANI!$B$8) + IF(ABS(IF(ISNUMBER(SEARCH("Var", D726)), 1, IF(ISNUMBER(SEARCH("Gri", D726)), -1, 0)))=1, VERI_TABANI!E23*(1-0.928)*VERI_TABANI!$B$9, 0) + (VERI_TABANI!D23*B726*(VERI_TABANI!$B$13-VERI_TABANI!$B$14)*VERI_TABANI!G23) + (VERI_TABANI!D23*C726*(VERI_TABANI!$B$13-VERI_TABANI!$B$15)*VERI_TABANI!G23) + IF(ABS(IF(ISNUMBER(SEARCH("Var", D726)), 1, IF(ISNUMBER(SEARCH("Gri", D726)), -1, 0)))=1, VERI_TABANI!E23*(1-0.928)*0.00206091519919798*VERI_TABANI!G23, 0)) + ((MIN(VERI_TABANI!D24, VERI_TABANI!D24*B726)*VERI_TABANI!$B$7 + MAX(0, VERI_TABANI!D24*B726-VERI_TABANI!D24)*VERI_TABANI!$B$8) + (MIN(MAX(0, VERI_TABANI!D24-VERI_TABANI!D24*B726), VERI_TABANI!D24*C726)*VERI_TABANI!$B$7 + MAX(0, VERI_TABANI!D24*C726-MAX(0, VERI_TABANI!D24-VERI_TABANI!D24*B726))*VERI_TABANI!$B$8) + IF(ABS(IF(ISNUMBER(SEARCH("Var", D726)), 1, IF(ISNUMBER(SEARCH("Gri", D726)), -1, 0)))=1, VERI_TABANI!E24*(1-0.928)*VERI_TABANI!$B$9, 0) + (VERI_TABANI!D24*B726*(VERI_TABANI!$B$13-VERI_TABANI!$B$14)*VERI_TABANI!G24) + (VERI_TABANI!D24*C726*(VERI_TABANI!$B$13-VERI_TABANI!$B$15)*VERI_TABANI!G24) + IF(ABS(IF(ISNUMBER(SEARCH("Var", D726)), 1, IF(ISNUMBER(SEARCH("Gri", D726)), -1, 0)))=1, VERI_TABANI!E24*(1-0.928)*0.00206091519919798*VERI_TABANI!G24, 0)) + ((MIN(VERI_TABANI!D25, VERI_TABANI!D25*B726)*VERI_TABANI!$B$7 + MAX(0, VERI_TABANI!D25*B726-VERI_TABANI!D25)*VERI_TABANI!$B$8) + (MIN(MAX(0, VERI_TABANI!D25-VERI_TABANI!D25*B726), VERI_TABANI!D25*C726)*VERI_TABANI!$B$7 + MAX(0, VERI_TABANI!D25*C726-MAX(0, VERI_TABANI!D25-VERI_TABANI!D25*B726))*VERI_TABANI!$B$8) + IF(ABS(IF(ISNUMBER(SEARCH("Var", D726)), 1, IF(ISNUMBER(SEARCH("Gri", D726)), -1, 0)))=1, VERI_TABANI!E25*(1-0.928)*VERI_TABANI!$B$9, 0) + (VERI_TABANI!D25*B726*(VERI_TABANI!$B$13-VERI_TABANI!$B$14)*VERI_TABANI!G25) + (VERI_TABANI!D25*C726*(VERI_TABANI!$B$13-VERI_TABANI!$B$15)*VERI_TABANI!G25) + IF(ABS(IF(ISNUMBER(SEARCH("Var", D726)), 1, IF(ISNUMBER(SEARCH("Gri", D726)), -1, 0)))=1, VERI_TABANI!E25*(1-0.928)*0.00206091519919798*VERI_TABANI!G25, 0)) + ((MIN(VERI_TABANI!D26, VERI_TABANI!D26*B726)*VERI_TABANI!$B$7 + MAX(0, VERI_TABANI!D26*B726-VERI_TABANI!D26)*VERI_TABANI!$B$8) + (MIN(MAX(0, VERI_TABANI!D26-VERI_TABANI!D26*B726), VERI_TABANI!D26*C726)*VERI_TABANI!$B$7 + MAX(0, VERI_TABANI!D26*C726-MAX(0, VERI_TABANI!D26-VERI_TABANI!D26*B726))*VERI_TABANI!$B$8) + IF(ABS(IF(ISNUMBER(SEARCH("Var", D726)), 1, IF(ISNUMBER(SEARCH("Gri", D726)), -1, 0)))=1, VERI_TABANI!E26*(1-0.928)*VERI_TABANI!$B$9, 0) + (VERI_TABANI!D26*B726*(VERI_TABANI!$B$13-VERI_TABANI!$B$14)*VERI_TABANI!G26) + (VERI_TABANI!D26*C726*(VERI_TABANI!$B$13-VERI_TABANI!$B$15)*VERI_TABANI!G26) + IF(ABS(IF(ISNUMBER(SEARCH("Var", D726)), 1, IF(ISNUMBER(SEARCH("Gri", D726)), -1, 0)))=1, VERI_TABANI!E26*(1-0.928)*0.00206091519919798*VERI_TABANI!G26, 0)) + ((MIN(VERI_TABANI!D27, VERI_TABANI!D27*B726)*VERI_TABANI!$B$7 + MAX(0, VERI_TABANI!D27*B726-VERI_TABANI!D27)*VERI_TABANI!$B$8) + (MIN(MAX(0, VERI_TABANI!D27-VERI_TABANI!D27*B726), VERI_TABANI!D27*C726)*VERI_TABANI!$B$7 + MAX(0, VERI_TABANI!D27*C726-MAX(0, VERI_TABANI!D27-VERI_TABANI!D27*B726))*VERI_TABANI!$B$8) + IF(ABS(IF(ISNUMBER(SEARCH("Var", D726)), 1, IF(ISNUMBER(SEARCH("Gri", D726)), -1, 0)))=1, VERI_TABANI!E27*(1-0.928)*VERI_TABANI!$B$9, 0) + (VERI_TABANI!D27*B726*(VERI_TABANI!$B$13-VERI_TABANI!$B$14)*VERI_TABANI!G27) + (VERI_TABANI!D27*C726*(VERI_TABANI!$B$13-VERI_TABANI!$B$15)*VERI_TABANI!G27) + IF(ABS(IF(ISNUMBER(SEARCH("Var", D726)), 1, IF(ISNUMBER(SEARCH("Gri", D726)), -1, 0)))=1, VERI_TABANI!E27*(1-0.928)*0.00206091519919798*VERI_TABANI!G27, 0)) + ((MIN(VERI_TABANI!D28, VERI_TABANI!D28*B726)*VERI_TABANI!$B$7 + MAX(0, VERI_TABANI!D28*B726-VERI_TABANI!D28)*VERI_TABANI!$B$8) + (MIN(MAX(0, VERI_TABANI!D28-VERI_TABANI!D28*B726), VERI_TABANI!D28*C726)*VERI_TABANI!$B$7 + MAX(0, VERI_TABANI!D28*C726-MAX(0, VERI_TABANI!D28-VERI_TABANI!D28*B726))*VERI_TABANI!$B$8) + IF(ABS(IF(ISNUMBER(SEARCH("Var", D726)), 1, IF(ISNUMBER(SEARCH("Gri", D726)), -1, 0)))=1, VERI_TABANI!E28*(1-0.928)*VERI_TABANI!$B$9, 0) + (VERI_TABANI!D28*B726*(VERI_TABANI!$B$13-VERI_TABANI!$B$14)*VERI_TABANI!G28) + (VERI_TABANI!D28*C726*(VERI_TABANI!$B$13-VERI_TABANI!$B$15)*VERI_TABANI!G28) + IF(ABS(IF(ISNUMBER(SEARCH("Var", D726)), 1, IF(ISNUMBER(SEARCH("Gri", D726)), -1, 0)))=1, VERI_TABANI!E28*(1-0.928)*0.00206091519919798*VERI_TABANI!G28, 0)))</f>
        <v/>
      </c>
      <c r="H726" s="169">
        <f>(((VERI_TABANI!D23*B726*(VERI_TABANI!$B$13-VERI_TABANI!$B$14)) + (VERI_TABANI!D23*C726*(VERI_TABANI!$B$13-VERI_TABANI!$B$15)) + IF(ISNUMBER(SEARCH("Var", D726)), VERI_TABANI!F23*(0.00202-VERI_TABANI!$B$16), IF(ISNUMBER(SEARCH("Gri", D726)), VERI_TABANI!F23*(0.00202-VERI_TABANI!$B$17), 0))) + ((VERI_TABANI!D24*B726*(VERI_TABANI!$B$13-VERI_TABANI!$B$14)) + (VERI_TABANI!D24*C726*(VERI_TABANI!$B$13-VERI_TABANI!$B$15)) + IF(ISNUMBER(SEARCH("Var", D726)), VERI_TABANI!F24*(0.00202-VERI_TABANI!$B$16), IF(ISNUMBER(SEARCH("Gri", D726)), VERI_TABANI!F24*(0.00202-VERI_TABANI!$B$17), 0))) + ((VERI_TABANI!D25*B726*(VERI_TABANI!$B$13-VERI_TABANI!$B$14)) + (VERI_TABANI!D25*C726*(VERI_TABANI!$B$13-VERI_TABANI!$B$15)) + IF(ISNUMBER(SEARCH("Var", D726)), VERI_TABANI!F25*(0.00202-VERI_TABANI!$B$16), IF(ISNUMBER(SEARCH("Gri", D726)), VERI_TABANI!F25*(0.00202-VERI_TABANI!$B$17), 0))) + ((VERI_TABANI!D26*B726*(VERI_TABANI!$B$13-VERI_TABANI!$B$14)) + (VERI_TABANI!D26*C726*(VERI_TABANI!$B$13-VERI_TABANI!$B$15)) + IF(ISNUMBER(SEARCH("Var", D726)), VERI_TABANI!F26*(0.00202-VERI_TABANI!$B$16), IF(ISNUMBER(SEARCH("Gri", D726)), VERI_TABANI!F26*(0.00202-VERI_TABANI!$B$17), 0))) + ((VERI_TABANI!D27*B726*(VERI_TABANI!$B$13-VERI_TABANI!$B$14)) + (VERI_TABANI!D27*C726*(VERI_TABANI!$B$13-VERI_TABANI!$B$15)) + IF(ISNUMBER(SEARCH("Var", D726)), VERI_TABANI!F27*(0.00202-VERI_TABANI!$B$16), IF(ISNUMBER(SEARCH("Gri", D726)), VERI_TABANI!F27*(0.00202-VERI_TABANI!$B$17), 0))) + ((VERI_TABANI!D28*B726*(VERI_TABANI!$B$13-VERI_TABANI!$B$14)) + (VERI_TABANI!D28*C726*(VERI_TABANI!$B$13-VERI_TABANI!$B$15)) + IF(ISNUMBER(SEARCH("Var", D726)), VERI_TABANI!F28*(0.00202-VERI_TABANI!$B$16), IF(ISNUMBER(SEARCH("Gri", D726)), VERI_TABANI!F28*(0.00202-VERI_TABANI!$B$17), 0))))</f>
        <v/>
      </c>
      <c r="I726" s="170">
        <f>IFERROR(((VERI_TABANI!$D$29*B726*VERI_TABANI!$B$14 + VERI_TABANI!$D$29*C726*VERI_TABANI!$B$15 + IF(ISNUMBER(SEARCH("Var", D726)), VERI_TABANI!$F$29*VERI_TABANI!$B$16, 0))) / (((VERI_TABANI!$D$29*B726 + VERI_TABANI!$D$29*C726)*VERI_TABANI!$B$13 + IF(ISNUMBER(SEARCH("Var", D726)), VERI_TABANI!$E$29*(1-0.928)*VERI_TABANI!$B$18, 0))), 0)</f>
        <v/>
      </c>
      <c r="J726" s="171">
        <f>IFERROR(F726/(G726/29), 0)</f>
        <v/>
      </c>
      <c r="K726" s="172">
        <f>IF(F726&gt;0, H726/F726, 0)</f>
        <v/>
      </c>
      <c r="L726" s="170">
        <f>IF(F726&gt;0, I726, 1000000000)</f>
        <v/>
      </c>
      <c r="M726" s="171">
        <f>ABS((B726+C726)-1)</f>
        <v/>
      </c>
      <c r="N726" s="170">
        <f>IF(F726&gt;0, (G726/29)/F726, 0)</f>
        <v/>
      </c>
      <c r="O726" s="168">
        <f>IF(AND((B726+C726)&gt;=1, ISNUMBER(SEARCH("Var", D726))), F726, 1000000000)</f>
        <v/>
      </c>
      <c r="P726" s="172">
        <f>IF(F726&gt;0, SQRT((F726/MAX(F$5:F$886))^2 + (1 - H726/MAX(H$5:H$886))^2 + (J726/MAX(J$5:J$886))^2), 1000000000)</f>
        <v/>
      </c>
      <c r="Q726" s="166">
        <f>IF(AND(ABS(B726-0.5)&lt;0.01, ABS(C726-0.5)&lt;0.01, ISNUMBER(SEARCH("Var", D726))), 1, 0)</f>
        <v/>
      </c>
      <c r="R726" s="171">
        <f>IF(F726&gt;0, J726, 1000000000)</f>
        <v/>
      </c>
      <c r="S726" s="101">
        <f>IF(AND(F726&lt;=DASHBOARD!$B$11, H726&gt;=DASHBOARD!$B$13), G726, -1000000000000)</f>
        <v/>
      </c>
      <c r="T726" s="101">
        <f>IF(AND(F726&lt;=DASHBOARD!$B$11, H726&gt;=DASHBOARD!$B$13), R726, 1000000000000)</f>
        <v/>
      </c>
      <c r="U726" s="101">
        <f>IF(AND(F726&lt;=DASHBOARD!$B$11, H726&gt;=DASHBOARD!$B$13), N726, -1000000000000)</f>
        <v/>
      </c>
      <c r="V726" s="101">
        <f>IF(AND(F726&lt;=DASHBOARD!$B$11, H726&gt;=DASHBOARD!$B$13), H726, -1000000000000)</f>
        <v/>
      </c>
      <c r="W726" s="101">
        <f>IF(AND(F726&lt;=DASHBOARD!$B$11, H726&gt;=DASHBOARD!$B$13), K726, -1000000000000)</f>
        <v/>
      </c>
      <c r="X726" s="101">
        <f>IF(AND(F726&lt;=DASHBOARD!$B$11, H726&gt;=DASHBOARD!$B$13), M726, 1000000000000)</f>
        <v/>
      </c>
      <c r="Y726" s="101">
        <f>IF(AND(F726&lt;=DASHBOARD!$B$10, H726&gt;=DASHBOARD!$B$11), L726, 1000000000000)</f>
        <v/>
      </c>
      <c r="Z726" s="101">
        <f>IF(AND(F726&lt;=DASHBOARD!$B$10, H726&gt;=DASHBOARD!$B$11), O726, 1000000000000)</f>
        <v/>
      </c>
      <c r="AA726" s="101">
        <f>IF(AND(F726&lt;=DASHBOARD!$B$10, H726&gt;=DASHBOARD!$B$11), P726, 1000000000000)</f>
        <v/>
      </c>
      <c r="AB726" s="101">
        <f>IF(AND(F726&lt;=DASHBOARD!$B$10, H726&gt;=DASHBOARD!$B$11), Q726, -1000000000000)</f>
        <v/>
      </c>
    </row>
    <row r="727" ht="15" customHeight="1" s="102">
      <c r="A727" s="166" t="n">
        <v>723</v>
      </c>
      <c r="B727" s="167" t="n">
        <v>1.7</v>
      </c>
      <c r="C727" s="167" t="n">
        <v>0.4</v>
      </c>
      <c r="D727" s="110" t="inlineStr">
        <is>
          <t>Yok (%0)</t>
        </is>
      </c>
      <c r="E727" s="110">
        <f>IF((B727+C727)&lt;=1, "Tam Mahsuplaşma (≤%100)", "Kısmi Satış (&gt;%100)")</f>
        <v/>
      </c>
      <c r="F727" s="168">
        <f>((VERI_TABANI!$D$29*B727/VERI_TABANI!$B$29)/VERI_TABANI!$B$3)*VERI_TABANI!$B$5 + ((VERI_TABANI!$D$29*C727/VERI_TABANI!$B$29)/VERI_TABANI!$B$4)*VERI_TABANI!$B$6 + IF(ISNUMBER(SEARCH("Var", D727)), (VERI_TABANI!$F$29/VERI_TABANI!$B$29)*(VERI_TABANI!$B$10+VERI_TABANI!$B$12), 0)</f>
        <v/>
      </c>
      <c r="G727" s="168">
        <f>(((MIN(VERI_TABANI!D23, VERI_TABANI!D23*B727)*VERI_TABANI!$B$7 + MAX(0, VERI_TABANI!D23*B727-VERI_TABANI!D23)*VERI_TABANI!$B$8) + (MIN(MAX(0, VERI_TABANI!D23-VERI_TABANI!D23*B727), VERI_TABANI!D23*C727)*VERI_TABANI!$B$7 + MAX(0, VERI_TABANI!D23*C727-MAX(0, VERI_TABANI!D23-VERI_TABANI!D23*B727))*VERI_TABANI!$B$8) + IF(ABS(IF(ISNUMBER(SEARCH("Var", D727)), 1, IF(ISNUMBER(SEARCH("Gri", D727)), -1, 0)))=1, VERI_TABANI!E23*(1-0.928)*VERI_TABANI!$B$9, 0) + (VERI_TABANI!D23*B727*(VERI_TABANI!$B$13-VERI_TABANI!$B$14)*VERI_TABANI!G23) + (VERI_TABANI!D23*C727*(VERI_TABANI!$B$13-VERI_TABANI!$B$15)*VERI_TABANI!G23) + IF(ABS(IF(ISNUMBER(SEARCH("Var", D727)), 1, IF(ISNUMBER(SEARCH("Gri", D727)), -1, 0)))=1, VERI_TABANI!E23*(1-0.928)*0.00206091519919798*VERI_TABANI!G23, 0)) + ((MIN(VERI_TABANI!D24, VERI_TABANI!D24*B727)*VERI_TABANI!$B$7 + MAX(0, VERI_TABANI!D24*B727-VERI_TABANI!D24)*VERI_TABANI!$B$8) + (MIN(MAX(0, VERI_TABANI!D24-VERI_TABANI!D24*B727), VERI_TABANI!D24*C727)*VERI_TABANI!$B$7 + MAX(0, VERI_TABANI!D24*C727-MAX(0, VERI_TABANI!D24-VERI_TABANI!D24*B727))*VERI_TABANI!$B$8) + IF(ABS(IF(ISNUMBER(SEARCH("Var", D727)), 1, IF(ISNUMBER(SEARCH("Gri", D727)), -1, 0)))=1, VERI_TABANI!E24*(1-0.928)*VERI_TABANI!$B$9, 0) + (VERI_TABANI!D24*B727*(VERI_TABANI!$B$13-VERI_TABANI!$B$14)*VERI_TABANI!G24) + (VERI_TABANI!D24*C727*(VERI_TABANI!$B$13-VERI_TABANI!$B$15)*VERI_TABANI!G24) + IF(ABS(IF(ISNUMBER(SEARCH("Var", D727)), 1, IF(ISNUMBER(SEARCH("Gri", D727)), -1, 0)))=1, VERI_TABANI!E24*(1-0.928)*0.00206091519919798*VERI_TABANI!G24, 0)) + ((MIN(VERI_TABANI!D25, VERI_TABANI!D25*B727)*VERI_TABANI!$B$7 + MAX(0, VERI_TABANI!D25*B727-VERI_TABANI!D25)*VERI_TABANI!$B$8) + (MIN(MAX(0, VERI_TABANI!D25-VERI_TABANI!D25*B727), VERI_TABANI!D25*C727)*VERI_TABANI!$B$7 + MAX(0, VERI_TABANI!D25*C727-MAX(0, VERI_TABANI!D25-VERI_TABANI!D25*B727))*VERI_TABANI!$B$8) + IF(ABS(IF(ISNUMBER(SEARCH("Var", D727)), 1, IF(ISNUMBER(SEARCH("Gri", D727)), -1, 0)))=1, VERI_TABANI!E25*(1-0.928)*VERI_TABANI!$B$9, 0) + (VERI_TABANI!D25*B727*(VERI_TABANI!$B$13-VERI_TABANI!$B$14)*VERI_TABANI!G25) + (VERI_TABANI!D25*C727*(VERI_TABANI!$B$13-VERI_TABANI!$B$15)*VERI_TABANI!G25) + IF(ABS(IF(ISNUMBER(SEARCH("Var", D727)), 1, IF(ISNUMBER(SEARCH("Gri", D727)), -1, 0)))=1, VERI_TABANI!E25*(1-0.928)*0.00206091519919798*VERI_TABANI!G25, 0)) + ((MIN(VERI_TABANI!D26, VERI_TABANI!D26*B727)*VERI_TABANI!$B$7 + MAX(0, VERI_TABANI!D26*B727-VERI_TABANI!D26)*VERI_TABANI!$B$8) + (MIN(MAX(0, VERI_TABANI!D26-VERI_TABANI!D26*B727), VERI_TABANI!D26*C727)*VERI_TABANI!$B$7 + MAX(0, VERI_TABANI!D26*C727-MAX(0, VERI_TABANI!D26-VERI_TABANI!D26*B727))*VERI_TABANI!$B$8) + IF(ABS(IF(ISNUMBER(SEARCH("Var", D727)), 1, IF(ISNUMBER(SEARCH("Gri", D727)), -1, 0)))=1, VERI_TABANI!E26*(1-0.928)*VERI_TABANI!$B$9, 0) + (VERI_TABANI!D26*B727*(VERI_TABANI!$B$13-VERI_TABANI!$B$14)*VERI_TABANI!G26) + (VERI_TABANI!D26*C727*(VERI_TABANI!$B$13-VERI_TABANI!$B$15)*VERI_TABANI!G26) + IF(ABS(IF(ISNUMBER(SEARCH("Var", D727)), 1, IF(ISNUMBER(SEARCH("Gri", D727)), -1, 0)))=1, VERI_TABANI!E26*(1-0.928)*0.00206091519919798*VERI_TABANI!G26, 0)) + ((MIN(VERI_TABANI!D27, VERI_TABANI!D27*B727)*VERI_TABANI!$B$7 + MAX(0, VERI_TABANI!D27*B727-VERI_TABANI!D27)*VERI_TABANI!$B$8) + (MIN(MAX(0, VERI_TABANI!D27-VERI_TABANI!D27*B727), VERI_TABANI!D27*C727)*VERI_TABANI!$B$7 + MAX(0, VERI_TABANI!D27*C727-MAX(0, VERI_TABANI!D27-VERI_TABANI!D27*B727))*VERI_TABANI!$B$8) + IF(ABS(IF(ISNUMBER(SEARCH("Var", D727)), 1, IF(ISNUMBER(SEARCH("Gri", D727)), -1, 0)))=1, VERI_TABANI!E27*(1-0.928)*VERI_TABANI!$B$9, 0) + (VERI_TABANI!D27*B727*(VERI_TABANI!$B$13-VERI_TABANI!$B$14)*VERI_TABANI!G27) + (VERI_TABANI!D27*C727*(VERI_TABANI!$B$13-VERI_TABANI!$B$15)*VERI_TABANI!G27) + IF(ABS(IF(ISNUMBER(SEARCH("Var", D727)), 1, IF(ISNUMBER(SEARCH("Gri", D727)), -1, 0)))=1, VERI_TABANI!E27*(1-0.928)*0.00206091519919798*VERI_TABANI!G27, 0)) + ((MIN(VERI_TABANI!D28, VERI_TABANI!D28*B727)*VERI_TABANI!$B$7 + MAX(0, VERI_TABANI!D28*B727-VERI_TABANI!D28)*VERI_TABANI!$B$8) + (MIN(MAX(0, VERI_TABANI!D28-VERI_TABANI!D28*B727), VERI_TABANI!D28*C727)*VERI_TABANI!$B$7 + MAX(0, VERI_TABANI!D28*C727-MAX(0, VERI_TABANI!D28-VERI_TABANI!D28*B727))*VERI_TABANI!$B$8) + IF(ABS(IF(ISNUMBER(SEARCH("Var", D727)), 1, IF(ISNUMBER(SEARCH("Gri", D727)), -1, 0)))=1, VERI_TABANI!E28*(1-0.928)*VERI_TABANI!$B$9, 0) + (VERI_TABANI!D28*B727*(VERI_TABANI!$B$13-VERI_TABANI!$B$14)*VERI_TABANI!G28) + (VERI_TABANI!D28*C727*(VERI_TABANI!$B$13-VERI_TABANI!$B$15)*VERI_TABANI!G28) + IF(ABS(IF(ISNUMBER(SEARCH("Var", D727)), 1, IF(ISNUMBER(SEARCH("Gri", D727)), -1, 0)))=1, VERI_TABANI!E28*(1-0.928)*0.00206091519919798*VERI_TABANI!G28, 0)))</f>
        <v/>
      </c>
      <c r="H727" s="169">
        <f>(((VERI_TABANI!D23*B727*(VERI_TABANI!$B$13-VERI_TABANI!$B$14)) + (VERI_TABANI!D23*C727*(VERI_TABANI!$B$13-VERI_TABANI!$B$15)) + IF(ISNUMBER(SEARCH("Var", D727)), VERI_TABANI!F23*(0.00202-VERI_TABANI!$B$16), IF(ISNUMBER(SEARCH("Gri", D727)), VERI_TABANI!F23*(0.00202-VERI_TABANI!$B$17), 0))) + ((VERI_TABANI!D24*B727*(VERI_TABANI!$B$13-VERI_TABANI!$B$14)) + (VERI_TABANI!D24*C727*(VERI_TABANI!$B$13-VERI_TABANI!$B$15)) + IF(ISNUMBER(SEARCH("Var", D727)), VERI_TABANI!F24*(0.00202-VERI_TABANI!$B$16), IF(ISNUMBER(SEARCH("Gri", D727)), VERI_TABANI!F24*(0.00202-VERI_TABANI!$B$17), 0))) + ((VERI_TABANI!D25*B727*(VERI_TABANI!$B$13-VERI_TABANI!$B$14)) + (VERI_TABANI!D25*C727*(VERI_TABANI!$B$13-VERI_TABANI!$B$15)) + IF(ISNUMBER(SEARCH("Var", D727)), VERI_TABANI!F25*(0.00202-VERI_TABANI!$B$16), IF(ISNUMBER(SEARCH("Gri", D727)), VERI_TABANI!F25*(0.00202-VERI_TABANI!$B$17), 0))) + ((VERI_TABANI!D26*B727*(VERI_TABANI!$B$13-VERI_TABANI!$B$14)) + (VERI_TABANI!D26*C727*(VERI_TABANI!$B$13-VERI_TABANI!$B$15)) + IF(ISNUMBER(SEARCH("Var", D727)), VERI_TABANI!F26*(0.00202-VERI_TABANI!$B$16), IF(ISNUMBER(SEARCH("Gri", D727)), VERI_TABANI!F26*(0.00202-VERI_TABANI!$B$17), 0))) + ((VERI_TABANI!D27*B727*(VERI_TABANI!$B$13-VERI_TABANI!$B$14)) + (VERI_TABANI!D27*C727*(VERI_TABANI!$B$13-VERI_TABANI!$B$15)) + IF(ISNUMBER(SEARCH("Var", D727)), VERI_TABANI!F27*(0.00202-VERI_TABANI!$B$16), IF(ISNUMBER(SEARCH("Gri", D727)), VERI_TABANI!F27*(0.00202-VERI_TABANI!$B$17), 0))) + ((VERI_TABANI!D28*B727*(VERI_TABANI!$B$13-VERI_TABANI!$B$14)) + (VERI_TABANI!D28*C727*(VERI_TABANI!$B$13-VERI_TABANI!$B$15)) + IF(ISNUMBER(SEARCH("Var", D727)), VERI_TABANI!F28*(0.00202-VERI_TABANI!$B$16), IF(ISNUMBER(SEARCH("Gri", D727)), VERI_TABANI!F28*(0.00202-VERI_TABANI!$B$17), 0))))</f>
        <v/>
      </c>
      <c r="I727" s="170">
        <f>IFERROR(((VERI_TABANI!$D$29*B727*VERI_TABANI!$B$14 + VERI_TABANI!$D$29*C727*VERI_TABANI!$B$15 + IF(ISNUMBER(SEARCH("Var", D727)), VERI_TABANI!$F$29*VERI_TABANI!$B$16, 0))) / (((VERI_TABANI!$D$29*B727 + VERI_TABANI!$D$29*C727)*VERI_TABANI!$B$13 + IF(ISNUMBER(SEARCH("Var", D727)), VERI_TABANI!$E$29*(1-0.928)*VERI_TABANI!$B$18, 0))), 0)</f>
        <v/>
      </c>
      <c r="J727" s="171">
        <f>IFERROR(F727/(G727/29), 0)</f>
        <v/>
      </c>
      <c r="K727" s="172">
        <f>IF(F727&gt;0, H727/F727, 0)</f>
        <v/>
      </c>
      <c r="L727" s="170">
        <f>IF(F727&gt;0, I727, 1000000000)</f>
        <v/>
      </c>
      <c r="M727" s="171">
        <f>ABS((B727+C727)-1)</f>
        <v/>
      </c>
      <c r="N727" s="170">
        <f>IF(F727&gt;0, (G727/29)/F727, 0)</f>
        <v/>
      </c>
      <c r="O727" s="168">
        <f>IF(AND((B727+C727)&gt;=1, ISNUMBER(SEARCH("Var", D727))), F727, 1000000000)</f>
        <v/>
      </c>
      <c r="P727" s="172">
        <f>IF(F727&gt;0, SQRT((F727/MAX(F$5:F$886))^2 + (1 - H727/MAX(H$5:H$886))^2 + (J727/MAX(J$5:J$886))^2), 1000000000)</f>
        <v/>
      </c>
      <c r="Q727" s="166">
        <f>IF(AND(ABS(B727-0.5)&lt;0.01, ABS(C727-0.5)&lt;0.01, ISNUMBER(SEARCH("Var", D727))), 1, 0)</f>
        <v/>
      </c>
      <c r="R727" s="171">
        <f>IF(F727&gt;0, J727, 1000000000)</f>
        <v/>
      </c>
      <c r="S727" s="101">
        <f>IF(AND(F727&lt;=DASHBOARD!$B$11, H727&gt;=DASHBOARD!$B$13), G727, -1000000000000)</f>
        <v/>
      </c>
      <c r="T727" s="101">
        <f>IF(AND(F727&lt;=DASHBOARD!$B$11, H727&gt;=DASHBOARD!$B$13), R727, 1000000000000)</f>
        <v/>
      </c>
      <c r="U727" s="101">
        <f>IF(AND(F727&lt;=DASHBOARD!$B$11, H727&gt;=DASHBOARD!$B$13), N727, -1000000000000)</f>
        <v/>
      </c>
      <c r="V727" s="101">
        <f>IF(AND(F727&lt;=DASHBOARD!$B$11, H727&gt;=DASHBOARD!$B$13), H727, -1000000000000)</f>
        <v/>
      </c>
      <c r="W727" s="101">
        <f>IF(AND(F727&lt;=DASHBOARD!$B$11, H727&gt;=DASHBOARD!$B$13), K727, -1000000000000)</f>
        <v/>
      </c>
      <c r="X727" s="101">
        <f>IF(AND(F727&lt;=DASHBOARD!$B$11, H727&gt;=DASHBOARD!$B$13), M727, 1000000000000)</f>
        <v/>
      </c>
      <c r="Y727" s="101">
        <f>IF(AND(F727&lt;=DASHBOARD!$B$10, H727&gt;=DASHBOARD!$B$11), L727, 1000000000000)</f>
        <v/>
      </c>
      <c r="Z727" s="101">
        <f>IF(AND(F727&lt;=DASHBOARD!$B$10, H727&gt;=DASHBOARD!$B$11), O727, 1000000000000)</f>
        <v/>
      </c>
      <c r="AA727" s="101">
        <f>IF(AND(F727&lt;=DASHBOARD!$B$10, H727&gt;=DASHBOARD!$B$11), P727, 1000000000000)</f>
        <v/>
      </c>
      <c r="AB727" s="101">
        <f>IF(AND(F727&lt;=DASHBOARD!$B$10, H727&gt;=DASHBOARD!$B$11), Q727, -1000000000000)</f>
        <v/>
      </c>
    </row>
    <row r="728" ht="15" customHeight="1" s="102">
      <c r="A728" s="166" t="n">
        <v>724</v>
      </c>
      <c r="B728" s="167" t="n">
        <v>1.7</v>
      </c>
      <c r="C728" s="167" t="n">
        <v>0.4</v>
      </c>
      <c r="D728" s="110" t="inlineStr">
        <is>
          <t>Var (%20)</t>
        </is>
      </c>
      <c r="E728" s="110">
        <f>IF((B728+C728)&lt;=1, "Tam Mahsuplaşma (≤%100)", "Kısmi Satış (&gt;%100)")</f>
        <v/>
      </c>
      <c r="F728" s="168">
        <f>((VERI_TABANI!$D$29*B728/VERI_TABANI!$B$29)/VERI_TABANI!$B$3)*VERI_TABANI!$B$5 + ((VERI_TABANI!$D$29*C728/VERI_TABANI!$B$29)/VERI_TABANI!$B$4)*VERI_TABANI!$B$6 + IF(ISNUMBER(SEARCH("Var", D728)), (VERI_TABANI!$F$29/VERI_TABANI!$B$29)*(VERI_TABANI!$B$10+VERI_TABANI!$B$12), 0)</f>
        <v/>
      </c>
      <c r="G728" s="168">
        <f>(((MIN(VERI_TABANI!D23, VERI_TABANI!D23*B728)*VERI_TABANI!$B$7 + MAX(0, VERI_TABANI!D23*B728-VERI_TABANI!D23)*VERI_TABANI!$B$8) + (MIN(MAX(0, VERI_TABANI!D23-VERI_TABANI!D23*B728), VERI_TABANI!D23*C728)*VERI_TABANI!$B$7 + MAX(0, VERI_TABANI!D23*C728-MAX(0, VERI_TABANI!D23-VERI_TABANI!D23*B728))*VERI_TABANI!$B$8) + IF(ABS(IF(ISNUMBER(SEARCH("Var", D728)), 1, IF(ISNUMBER(SEARCH("Gri", D728)), -1, 0)))=1, VERI_TABANI!E23*(1-0.928)*VERI_TABANI!$B$9, 0) + (VERI_TABANI!D23*B728*(VERI_TABANI!$B$13-VERI_TABANI!$B$14)*VERI_TABANI!G23) + (VERI_TABANI!D23*C728*(VERI_TABANI!$B$13-VERI_TABANI!$B$15)*VERI_TABANI!G23) + IF(ABS(IF(ISNUMBER(SEARCH("Var", D728)), 1, IF(ISNUMBER(SEARCH("Gri", D728)), -1, 0)))=1, VERI_TABANI!E23*(1-0.928)*0.00206091519919798*VERI_TABANI!G23, 0)) + ((MIN(VERI_TABANI!D24, VERI_TABANI!D24*B728)*VERI_TABANI!$B$7 + MAX(0, VERI_TABANI!D24*B728-VERI_TABANI!D24)*VERI_TABANI!$B$8) + (MIN(MAX(0, VERI_TABANI!D24-VERI_TABANI!D24*B728), VERI_TABANI!D24*C728)*VERI_TABANI!$B$7 + MAX(0, VERI_TABANI!D24*C728-MAX(0, VERI_TABANI!D24-VERI_TABANI!D24*B728))*VERI_TABANI!$B$8) + IF(ABS(IF(ISNUMBER(SEARCH("Var", D728)), 1, IF(ISNUMBER(SEARCH("Gri", D728)), -1, 0)))=1, VERI_TABANI!E24*(1-0.928)*VERI_TABANI!$B$9, 0) + (VERI_TABANI!D24*B728*(VERI_TABANI!$B$13-VERI_TABANI!$B$14)*VERI_TABANI!G24) + (VERI_TABANI!D24*C728*(VERI_TABANI!$B$13-VERI_TABANI!$B$15)*VERI_TABANI!G24) + IF(ABS(IF(ISNUMBER(SEARCH("Var", D728)), 1, IF(ISNUMBER(SEARCH("Gri", D728)), -1, 0)))=1, VERI_TABANI!E24*(1-0.928)*0.00206091519919798*VERI_TABANI!G24, 0)) + ((MIN(VERI_TABANI!D25, VERI_TABANI!D25*B728)*VERI_TABANI!$B$7 + MAX(0, VERI_TABANI!D25*B728-VERI_TABANI!D25)*VERI_TABANI!$B$8) + (MIN(MAX(0, VERI_TABANI!D25-VERI_TABANI!D25*B728), VERI_TABANI!D25*C728)*VERI_TABANI!$B$7 + MAX(0, VERI_TABANI!D25*C728-MAX(0, VERI_TABANI!D25-VERI_TABANI!D25*B728))*VERI_TABANI!$B$8) + IF(ABS(IF(ISNUMBER(SEARCH("Var", D728)), 1, IF(ISNUMBER(SEARCH("Gri", D728)), -1, 0)))=1, VERI_TABANI!E25*(1-0.928)*VERI_TABANI!$B$9, 0) + (VERI_TABANI!D25*B728*(VERI_TABANI!$B$13-VERI_TABANI!$B$14)*VERI_TABANI!G25) + (VERI_TABANI!D25*C728*(VERI_TABANI!$B$13-VERI_TABANI!$B$15)*VERI_TABANI!G25) + IF(ABS(IF(ISNUMBER(SEARCH("Var", D728)), 1, IF(ISNUMBER(SEARCH("Gri", D728)), -1, 0)))=1, VERI_TABANI!E25*(1-0.928)*0.00206091519919798*VERI_TABANI!G25, 0)) + ((MIN(VERI_TABANI!D26, VERI_TABANI!D26*B728)*VERI_TABANI!$B$7 + MAX(0, VERI_TABANI!D26*B728-VERI_TABANI!D26)*VERI_TABANI!$B$8) + (MIN(MAX(0, VERI_TABANI!D26-VERI_TABANI!D26*B728), VERI_TABANI!D26*C728)*VERI_TABANI!$B$7 + MAX(0, VERI_TABANI!D26*C728-MAX(0, VERI_TABANI!D26-VERI_TABANI!D26*B728))*VERI_TABANI!$B$8) + IF(ABS(IF(ISNUMBER(SEARCH("Var", D728)), 1, IF(ISNUMBER(SEARCH("Gri", D728)), -1, 0)))=1, VERI_TABANI!E26*(1-0.928)*VERI_TABANI!$B$9, 0) + (VERI_TABANI!D26*B728*(VERI_TABANI!$B$13-VERI_TABANI!$B$14)*VERI_TABANI!G26) + (VERI_TABANI!D26*C728*(VERI_TABANI!$B$13-VERI_TABANI!$B$15)*VERI_TABANI!G26) + IF(ABS(IF(ISNUMBER(SEARCH("Var", D728)), 1, IF(ISNUMBER(SEARCH("Gri", D728)), -1, 0)))=1, VERI_TABANI!E26*(1-0.928)*0.00206091519919798*VERI_TABANI!G26, 0)) + ((MIN(VERI_TABANI!D27, VERI_TABANI!D27*B728)*VERI_TABANI!$B$7 + MAX(0, VERI_TABANI!D27*B728-VERI_TABANI!D27)*VERI_TABANI!$B$8) + (MIN(MAX(0, VERI_TABANI!D27-VERI_TABANI!D27*B728), VERI_TABANI!D27*C728)*VERI_TABANI!$B$7 + MAX(0, VERI_TABANI!D27*C728-MAX(0, VERI_TABANI!D27-VERI_TABANI!D27*B728))*VERI_TABANI!$B$8) + IF(ABS(IF(ISNUMBER(SEARCH("Var", D728)), 1, IF(ISNUMBER(SEARCH("Gri", D728)), -1, 0)))=1, VERI_TABANI!E27*(1-0.928)*VERI_TABANI!$B$9, 0) + (VERI_TABANI!D27*B728*(VERI_TABANI!$B$13-VERI_TABANI!$B$14)*VERI_TABANI!G27) + (VERI_TABANI!D27*C728*(VERI_TABANI!$B$13-VERI_TABANI!$B$15)*VERI_TABANI!G27) + IF(ABS(IF(ISNUMBER(SEARCH("Var", D728)), 1, IF(ISNUMBER(SEARCH("Gri", D728)), -1, 0)))=1, VERI_TABANI!E27*(1-0.928)*0.00206091519919798*VERI_TABANI!G27, 0)) + ((MIN(VERI_TABANI!D28, VERI_TABANI!D28*B728)*VERI_TABANI!$B$7 + MAX(0, VERI_TABANI!D28*B728-VERI_TABANI!D28)*VERI_TABANI!$B$8) + (MIN(MAX(0, VERI_TABANI!D28-VERI_TABANI!D28*B728), VERI_TABANI!D28*C728)*VERI_TABANI!$B$7 + MAX(0, VERI_TABANI!D28*C728-MAX(0, VERI_TABANI!D28-VERI_TABANI!D28*B728))*VERI_TABANI!$B$8) + IF(ABS(IF(ISNUMBER(SEARCH("Var", D728)), 1, IF(ISNUMBER(SEARCH("Gri", D728)), -1, 0)))=1, VERI_TABANI!E28*(1-0.928)*VERI_TABANI!$B$9, 0) + (VERI_TABANI!D28*B728*(VERI_TABANI!$B$13-VERI_TABANI!$B$14)*VERI_TABANI!G28) + (VERI_TABANI!D28*C728*(VERI_TABANI!$B$13-VERI_TABANI!$B$15)*VERI_TABANI!G28) + IF(ABS(IF(ISNUMBER(SEARCH("Var", D728)), 1, IF(ISNUMBER(SEARCH("Gri", D728)), -1, 0)))=1, VERI_TABANI!E28*(1-0.928)*0.00206091519919798*VERI_TABANI!G28, 0)))</f>
        <v/>
      </c>
      <c r="H728" s="169">
        <f>(((VERI_TABANI!D23*B728*(VERI_TABANI!$B$13-VERI_TABANI!$B$14)) + (VERI_TABANI!D23*C728*(VERI_TABANI!$B$13-VERI_TABANI!$B$15)) + IF(ISNUMBER(SEARCH("Var", D728)), VERI_TABANI!F23*(0.00202-VERI_TABANI!$B$16), IF(ISNUMBER(SEARCH("Gri", D728)), VERI_TABANI!F23*(0.00202-VERI_TABANI!$B$17), 0))) + ((VERI_TABANI!D24*B728*(VERI_TABANI!$B$13-VERI_TABANI!$B$14)) + (VERI_TABANI!D24*C728*(VERI_TABANI!$B$13-VERI_TABANI!$B$15)) + IF(ISNUMBER(SEARCH("Var", D728)), VERI_TABANI!F24*(0.00202-VERI_TABANI!$B$16), IF(ISNUMBER(SEARCH("Gri", D728)), VERI_TABANI!F24*(0.00202-VERI_TABANI!$B$17), 0))) + ((VERI_TABANI!D25*B728*(VERI_TABANI!$B$13-VERI_TABANI!$B$14)) + (VERI_TABANI!D25*C728*(VERI_TABANI!$B$13-VERI_TABANI!$B$15)) + IF(ISNUMBER(SEARCH("Var", D728)), VERI_TABANI!F25*(0.00202-VERI_TABANI!$B$16), IF(ISNUMBER(SEARCH("Gri", D728)), VERI_TABANI!F25*(0.00202-VERI_TABANI!$B$17), 0))) + ((VERI_TABANI!D26*B728*(VERI_TABANI!$B$13-VERI_TABANI!$B$14)) + (VERI_TABANI!D26*C728*(VERI_TABANI!$B$13-VERI_TABANI!$B$15)) + IF(ISNUMBER(SEARCH("Var", D728)), VERI_TABANI!F26*(0.00202-VERI_TABANI!$B$16), IF(ISNUMBER(SEARCH("Gri", D728)), VERI_TABANI!F26*(0.00202-VERI_TABANI!$B$17), 0))) + ((VERI_TABANI!D27*B728*(VERI_TABANI!$B$13-VERI_TABANI!$B$14)) + (VERI_TABANI!D27*C728*(VERI_TABANI!$B$13-VERI_TABANI!$B$15)) + IF(ISNUMBER(SEARCH("Var", D728)), VERI_TABANI!F27*(0.00202-VERI_TABANI!$B$16), IF(ISNUMBER(SEARCH("Gri", D728)), VERI_TABANI!F27*(0.00202-VERI_TABANI!$B$17), 0))) + ((VERI_TABANI!D28*B728*(VERI_TABANI!$B$13-VERI_TABANI!$B$14)) + (VERI_TABANI!D28*C728*(VERI_TABANI!$B$13-VERI_TABANI!$B$15)) + IF(ISNUMBER(SEARCH("Var", D728)), VERI_TABANI!F28*(0.00202-VERI_TABANI!$B$16), IF(ISNUMBER(SEARCH("Gri", D728)), VERI_TABANI!F28*(0.00202-VERI_TABANI!$B$17), 0))))</f>
        <v/>
      </c>
      <c r="I728" s="170">
        <f>IFERROR(((VERI_TABANI!$D$29*B728*VERI_TABANI!$B$14 + VERI_TABANI!$D$29*C728*VERI_TABANI!$B$15 + IF(ISNUMBER(SEARCH("Var", D728)), VERI_TABANI!$F$29*VERI_TABANI!$B$16, 0))) / (((VERI_TABANI!$D$29*B728 + VERI_TABANI!$D$29*C728)*VERI_TABANI!$B$13 + IF(ISNUMBER(SEARCH("Var", D728)), VERI_TABANI!$E$29*(1-0.928)*VERI_TABANI!$B$18, 0))), 0)</f>
        <v/>
      </c>
      <c r="J728" s="171">
        <f>IFERROR(F728/(G728/29), 0)</f>
        <v/>
      </c>
      <c r="K728" s="172">
        <f>IF(F728&gt;0, H728/F728, 0)</f>
        <v/>
      </c>
      <c r="L728" s="170">
        <f>IF(F728&gt;0, I728, 1000000000)</f>
        <v/>
      </c>
      <c r="M728" s="171">
        <f>ABS((B728+C728)-1)</f>
        <v/>
      </c>
      <c r="N728" s="170">
        <f>IF(F728&gt;0, (G728/29)/F728, 0)</f>
        <v/>
      </c>
      <c r="O728" s="168">
        <f>IF(AND((B728+C728)&gt;=1, ISNUMBER(SEARCH("Var", D728))), F728, 1000000000)</f>
        <v/>
      </c>
      <c r="P728" s="172">
        <f>IF(F728&gt;0, SQRT((F728/MAX(F$5:F$886))^2 + (1 - H728/MAX(H$5:H$886))^2 + (J728/MAX(J$5:J$886))^2), 1000000000)</f>
        <v/>
      </c>
      <c r="Q728" s="166">
        <f>IF(AND(ABS(B728-0.5)&lt;0.01, ABS(C728-0.5)&lt;0.01, ISNUMBER(SEARCH("Var", D728))), 1, 0)</f>
        <v/>
      </c>
      <c r="R728" s="171">
        <f>IF(F728&gt;0, J728, 1000000000)</f>
        <v/>
      </c>
      <c r="S728" s="101">
        <f>IF(AND(F728&lt;=DASHBOARD!$B$11, H728&gt;=DASHBOARD!$B$13), G728, -1000000000000)</f>
        <v/>
      </c>
      <c r="T728" s="101">
        <f>IF(AND(F728&lt;=DASHBOARD!$B$11, H728&gt;=DASHBOARD!$B$13), R728, 1000000000000)</f>
        <v/>
      </c>
      <c r="U728" s="101">
        <f>IF(AND(F728&lt;=DASHBOARD!$B$11, H728&gt;=DASHBOARD!$B$13), N728, -1000000000000)</f>
        <v/>
      </c>
      <c r="V728" s="101">
        <f>IF(AND(F728&lt;=DASHBOARD!$B$11, H728&gt;=DASHBOARD!$B$13), H728, -1000000000000)</f>
        <v/>
      </c>
      <c r="W728" s="101">
        <f>IF(AND(F728&lt;=DASHBOARD!$B$11, H728&gt;=DASHBOARD!$B$13), K728, -1000000000000)</f>
        <v/>
      </c>
      <c r="X728" s="101">
        <f>IF(AND(F728&lt;=DASHBOARD!$B$11, H728&gt;=DASHBOARD!$B$13), M728, 1000000000000)</f>
        <v/>
      </c>
      <c r="Y728" s="101">
        <f>IF(AND(F728&lt;=DASHBOARD!$B$10, H728&gt;=DASHBOARD!$B$11), L728, 1000000000000)</f>
        <v/>
      </c>
      <c r="Z728" s="101">
        <f>IF(AND(F728&lt;=DASHBOARD!$B$10, H728&gt;=DASHBOARD!$B$11), O728, 1000000000000)</f>
        <v/>
      </c>
      <c r="AA728" s="101">
        <f>IF(AND(F728&lt;=DASHBOARD!$B$10, H728&gt;=DASHBOARD!$B$11), P728, 1000000000000)</f>
        <v/>
      </c>
      <c r="AB728" s="101">
        <f>IF(AND(F728&lt;=DASHBOARD!$B$10, H728&gt;=DASHBOARD!$B$11), Q728, -1000000000000)</f>
        <v/>
      </c>
    </row>
    <row r="729" ht="15" customHeight="1" s="102">
      <c r="A729" s="166" t="n">
        <v>725</v>
      </c>
      <c r="B729" s="167" t="n">
        <v>1.7</v>
      </c>
      <c r="C729" s="167" t="n">
        <v>0.5</v>
      </c>
      <c r="D729" s="110" t="inlineStr">
        <is>
          <t>Yok (%0)</t>
        </is>
      </c>
      <c r="E729" s="110">
        <f>IF((B729+C729)&lt;=1, "Tam Mahsuplaşma (≤%100)", "Kısmi Satış (&gt;%100)")</f>
        <v/>
      </c>
      <c r="F729" s="168">
        <f>((VERI_TABANI!$D$29*B729/VERI_TABANI!$B$29)/VERI_TABANI!$B$3)*VERI_TABANI!$B$5 + ((VERI_TABANI!$D$29*C729/VERI_TABANI!$B$29)/VERI_TABANI!$B$4)*VERI_TABANI!$B$6 + IF(ISNUMBER(SEARCH("Var", D729)), (VERI_TABANI!$F$29/VERI_TABANI!$B$29)*(VERI_TABANI!$B$10+VERI_TABANI!$B$12), 0)</f>
        <v/>
      </c>
      <c r="G729" s="168">
        <f>(((MIN(VERI_TABANI!D23, VERI_TABANI!D23*B729)*VERI_TABANI!$B$7 + MAX(0, VERI_TABANI!D23*B729-VERI_TABANI!D23)*VERI_TABANI!$B$8) + (MIN(MAX(0, VERI_TABANI!D23-VERI_TABANI!D23*B729), VERI_TABANI!D23*C729)*VERI_TABANI!$B$7 + MAX(0, VERI_TABANI!D23*C729-MAX(0, VERI_TABANI!D23-VERI_TABANI!D23*B729))*VERI_TABANI!$B$8) + IF(ABS(IF(ISNUMBER(SEARCH("Var", D729)), 1, IF(ISNUMBER(SEARCH("Gri", D729)), -1, 0)))=1, VERI_TABANI!E23*(1-0.928)*VERI_TABANI!$B$9, 0) + (VERI_TABANI!D23*B729*(VERI_TABANI!$B$13-VERI_TABANI!$B$14)*VERI_TABANI!G23) + (VERI_TABANI!D23*C729*(VERI_TABANI!$B$13-VERI_TABANI!$B$15)*VERI_TABANI!G23) + IF(ABS(IF(ISNUMBER(SEARCH("Var", D729)), 1, IF(ISNUMBER(SEARCH("Gri", D729)), -1, 0)))=1, VERI_TABANI!E23*(1-0.928)*0.00206091519919798*VERI_TABANI!G23, 0)) + ((MIN(VERI_TABANI!D24, VERI_TABANI!D24*B729)*VERI_TABANI!$B$7 + MAX(0, VERI_TABANI!D24*B729-VERI_TABANI!D24)*VERI_TABANI!$B$8) + (MIN(MAX(0, VERI_TABANI!D24-VERI_TABANI!D24*B729), VERI_TABANI!D24*C729)*VERI_TABANI!$B$7 + MAX(0, VERI_TABANI!D24*C729-MAX(0, VERI_TABANI!D24-VERI_TABANI!D24*B729))*VERI_TABANI!$B$8) + IF(ABS(IF(ISNUMBER(SEARCH("Var", D729)), 1, IF(ISNUMBER(SEARCH("Gri", D729)), -1, 0)))=1, VERI_TABANI!E24*(1-0.928)*VERI_TABANI!$B$9, 0) + (VERI_TABANI!D24*B729*(VERI_TABANI!$B$13-VERI_TABANI!$B$14)*VERI_TABANI!G24) + (VERI_TABANI!D24*C729*(VERI_TABANI!$B$13-VERI_TABANI!$B$15)*VERI_TABANI!G24) + IF(ABS(IF(ISNUMBER(SEARCH("Var", D729)), 1, IF(ISNUMBER(SEARCH("Gri", D729)), -1, 0)))=1, VERI_TABANI!E24*(1-0.928)*0.00206091519919798*VERI_TABANI!G24, 0)) + ((MIN(VERI_TABANI!D25, VERI_TABANI!D25*B729)*VERI_TABANI!$B$7 + MAX(0, VERI_TABANI!D25*B729-VERI_TABANI!D25)*VERI_TABANI!$B$8) + (MIN(MAX(0, VERI_TABANI!D25-VERI_TABANI!D25*B729), VERI_TABANI!D25*C729)*VERI_TABANI!$B$7 + MAX(0, VERI_TABANI!D25*C729-MAX(0, VERI_TABANI!D25-VERI_TABANI!D25*B729))*VERI_TABANI!$B$8) + IF(ABS(IF(ISNUMBER(SEARCH("Var", D729)), 1, IF(ISNUMBER(SEARCH("Gri", D729)), -1, 0)))=1, VERI_TABANI!E25*(1-0.928)*VERI_TABANI!$B$9, 0) + (VERI_TABANI!D25*B729*(VERI_TABANI!$B$13-VERI_TABANI!$B$14)*VERI_TABANI!G25) + (VERI_TABANI!D25*C729*(VERI_TABANI!$B$13-VERI_TABANI!$B$15)*VERI_TABANI!G25) + IF(ABS(IF(ISNUMBER(SEARCH("Var", D729)), 1, IF(ISNUMBER(SEARCH("Gri", D729)), -1, 0)))=1, VERI_TABANI!E25*(1-0.928)*0.00206091519919798*VERI_TABANI!G25, 0)) + ((MIN(VERI_TABANI!D26, VERI_TABANI!D26*B729)*VERI_TABANI!$B$7 + MAX(0, VERI_TABANI!D26*B729-VERI_TABANI!D26)*VERI_TABANI!$B$8) + (MIN(MAX(0, VERI_TABANI!D26-VERI_TABANI!D26*B729), VERI_TABANI!D26*C729)*VERI_TABANI!$B$7 + MAX(0, VERI_TABANI!D26*C729-MAX(0, VERI_TABANI!D26-VERI_TABANI!D26*B729))*VERI_TABANI!$B$8) + IF(ABS(IF(ISNUMBER(SEARCH("Var", D729)), 1, IF(ISNUMBER(SEARCH("Gri", D729)), -1, 0)))=1, VERI_TABANI!E26*(1-0.928)*VERI_TABANI!$B$9, 0) + (VERI_TABANI!D26*B729*(VERI_TABANI!$B$13-VERI_TABANI!$B$14)*VERI_TABANI!G26) + (VERI_TABANI!D26*C729*(VERI_TABANI!$B$13-VERI_TABANI!$B$15)*VERI_TABANI!G26) + IF(ABS(IF(ISNUMBER(SEARCH("Var", D729)), 1, IF(ISNUMBER(SEARCH("Gri", D729)), -1, 0)))=1, VERI_TABANI!E26*(1-0.928)*0.00206091519919798*VERI_TABANI!G26, 0)) + ((MIN(VERI_TABANI!D27, VERI_TABANI!D27*B729)*VERI_TABANI!$B$7 + MAX(0, VERI_TABANI!D27*B729-VERI_TABANI!D27)*VERI_TABANI!$B$8) + (MIN(MAX(0, VERI_TABANI!D27-VERI_TABANI!D27*B729), VERI_TABANI!D27*C729)*VERI_TABANI!$B$7 + MAX(0, VERI_TABANI!D27*C729-MAX(0, VERI_TABANI!D27-VERI_TABANI!D27*B729))*VERI_TABANI!$B$8) + IF(ABS(IF(ISNUMBER(SEARCH("Var", D729)), 1, IF(ISNUMBER(SEARCH("Gri", D729)), -1, 0)))=1, VERI_TABANI!E27*(1-0.928)*VERI_TABANI!$B$9, 0) + (VERI_TABANI!D27*B729*(VERI_TABANI!$B$13-VERI_TABANI!$B$14)*VERI_TABANI!G27) + (VERI_TABANI!D27*C729*(VERI_TABANI!$B$13-VERI_TABANI!$B$15)*VERI_TABANI!G27) + IF(ABS(IF(ISNUMBER(SEARCH("Var", D729)), 1, IF(ISNUMBER(SEARCH("Gri", D729)), -1, 0)))=1, VERI_TABANI!E27*(1-0.928)*0.00206091519919798*VERI_TABANI!G27, 0)) + ((MIN(VERI_TABANI!D28, VERI_TABANI!D28*B729)*VERI_TABANI!$B$7 + MAX(0, VERI_TABANI!D28*B729-VERI_TABANI!D28)*VERI_TABANI!$B$8) + (MIN(MAX(0, VERI_TABANI!D28-VERI_TABANI!D28*B729), VERI_TABANI!D28*C729)*VERI_TABANI!$B$7 + MAX(0, VERI_TABANI!D28*C729-MAX(0, VERI_TABANI!D28-VERI_TABANI!D28*B729))*VERI_TABANI!$B$8) + IF(ABS(IF(ISNUMBER(SEARCH("Var", D729)), 1, IF(ISNUMBER(SEARCH("Gri", D729)), -1, 0)))=1, VERI_TABANI!E28*(1-0.928)*VERI_TABANI!$B$9, 0) + (VERI_TABANI!D28*B729*(VERI_TABANI!$B$13-VERI_TABANI!$B$14)*VERI_TABANI!G28) + (VERI_TABANI!D28*C729*(VERI_TABANI!$B$13-VERI_TABANI!$B$15)*VERI_TABANI!G28) + IF(ABS(IF(ISNUMBER(SEARCH("Var", D729)), 1, IF(ISNUMBER(SEARCH("Gri", D729)), -1, 0)))=1, VERI_TABANI!E28*(1-0.928)*0.00206091519919798*VERI_TABANI!G28, 0)))</f>
        <v/>
      </c>
      <c r="H729" s="169">
        <f>(((VERI_TABANI!D23*B729*(VERI_TABANI!$B$13-VERI_TABANI!$B$14)) + (VERI_TABANI!D23*C729*(VERI_TABANI!$B$13-VERI_TABANI!$B$15)) + IF(ISNUMBER(SEARCH("Var", D729)), VERI_TABANI!F23*(0.00202-VERI_TABANI!$B$16), IF(ISNUMBER(SEARCH("Gri", D729)), VERI_TABANI!F23*(0.00202-VERI_TABANI!$B$17), 0))) + ((VERI_TABANI!D24*B729*(VERI_TABANI!$B$13-VERI_TABANI!$B$14)) + (VERI_TABANI!D24*C729*(VERI_TABANI!$B$13-VERI_TABANI!$B$15)) + IF(ISNUMBER(SEARCH("Var", D729)), VERI_TABANI!F24*(0.00202-VERI_TABANI!$B$16), IF(ISNUMBER(SEARCH("Gri", D729)), VERI_TABANI!F24*(0.00202-VERI_TABANI!$B$17), 0))) + ((VERI_TABANI!D25*B729*(VERI_TABANI!$B$13-VERI_TABANI!$B$14)) + (VERI_TABANI!D25*C729*(VERI_TABANI!$B$13-VERI_TABANI!$B$15)) + IF(ISNUMBER(SEARCH("Var", D729)), VERI_TABANI!F25*(0.00202-VERI_TABANI!$B$16), IF(ISNUMBER(SEARCH("Gri", D729)), VERI_TABANI!F25*(0.00202-VERI_TABANI!$B$17), 0))) + ((VERI_TABANI!D26*B729*(VERI_TABANI!$B$13-VERI_TABANI!$B$14)) + (VERI_TABANI!D26*C729*(VERI_TABANI!$B$13-VERI_TABANI!$B$15)) + IF(ISNUMBER(SEARCH("Var", D729)), VERI_TABANI!F26*(0.00202-VERI_TABANI!$B$16), IF(ISNUMBER(SEARCH("Gri", D729)), VERI_TABANI!F26*(0.00202-VERI_TABANI!$B$17), 0))) + ((VERI_TABANI!D27*B729*(VERI_TABANI!$B$13-VERI_TABANI!$B$14)) + (VERI_TABANI!D27*C729*(VERI_TABANI!$B$13-VERI_TABANI!$B$15)) + IF(ISNUMBER(SEARCH("Var", D729)), VERI_TABANI!F27*(0.00202-VERI_TABANI!$B$16), IF(ISNUMBER(SEARCH("Gri", D729)), VERI_TABANI!F27*(0.00202-VERI_TABANI!$B$17), 0))) + ((VERI_TABANI!D28*B729*(VERI_TABANI!$B$13-VERI_TABANI!$B$14)) + (VERI_TABANI!D28*C729*(VERI_TABANI!$B$13-VERI_TABANI!$B$15)) + IF(ISNUMBER(SEARCH("Var", D729)), VERI_TABANI!F28*(0.00202-VERI_TABANI!$B$16), IF(ISNUMBER(SEARCH("Gri", D729)), VERI_TABANI!F28*(0.00202-VERI_TABANI!$B$17), 0))))</f>
        <v/>
      </c>
      <c r="I729" s="170">
        <f>IFERROR(((VERI_TABANI!$D$29*B729*VERI_TABANI!$B$14 + VERI_TABANI!$D$29*C729*VERI_TABANI!$B$15 + IF(ISNUMBER(SEARCH("Var", D729)), VERI_TABANI!$F$29*VERI_TABANI!$B$16, 0))) / (((VERI_TABANI!$D$29*B729 + VERI_TABANI!$D$29*C729)*VERI_TABANI!$B$13 + IF(ISNUMBER(SEARCH("Var", D729)), VERI_TABANI!$E$29*(1-0.928)*VERI_TABANI!$B$18, 0))), 0)</f>
        <v/>
      </c>
      <c r="J729" s="171">
        <f>IFERROR(F729/(G729/29), 0)</f>
        <v/>
      </c>
      <c r="K729" s="172">
        <f>IF(F729&gt;0, H729/F729, 0)</f>
        <v/>
      </c>
      <c r="L729" s="170">
        <f>IF(F729&gt;0, I729, 1000000000)</f>
        <v/>
      </c>
      <c r="M729" s="171">
        <f>ABS((B729+C729)-1)</f>
        <v/>
      </c>
      <c r="N729" s="170">
        <f>IF(F729&gt;0, (G729/29)/F729, 0)</f>
        <v/>
      </c>
      <c r="O729" s="168">
        <f>IF(AND((B729+C729)&gt;=1, ISNUMBER(SEARCH("Var", D729))), F729, 1000000000)</f>
        <v/>
      </c>
      <c r="P729" s="172">
        <f>IF(F729&gt;0, SQRT((F729/MAX(F$5:F$886))^2 + (1 - H729/MAX(H$5:H$886))^2 + (J729/MAX(J$5:J$886))^2), 1000000000)</f>
        <v/>
      </c>
      <c r="Q729" s="166">
        <f>IF(AND(ABS(B729-0.5)&lt;0.01, ABS(C729-0.5)&lt;0.01, ISNUMBER(SEARCH("Var", D729))), 1, 0)</f>
        <v/>
      </c>
      <c r="R729" s="171">
        <f>IF(F729&gt;0, J729, 1000000000)</f>
        <v/>
      </c>
      <c r="S729" s="101">
        <f>IF(AND(F729&lt;=DASHBOARD!$B$11, H729&gt;=DASHBOARD!$B$13), G729, -1000000000000)</f>
        <v/>
      </c>
      <c r="T729" s="101">
        <f>IF(AND(F729&lt;=DASHBOARD!$B$11, H729&gt;=DASHBOARD!$B$13), R729, 1000000000000)</f>
        <v/>
      </c>
      <c r="U729" s="101">
        <f>IF(AND(F729&lt;=DASHBOARD!$B$11, H729&gt;=DASHBOARD!$B$13), N729, -1000000000000)</f>
        <v/>
      </c>
      <c r="V729" s="101">
        <f>IF(AND(F729&lt;=DASHBOARD!$B$11, H729&gt;=DASHBOARD!$B$13), H729, -1000000000000)</f>
        <v/>
      </c>
      <c r="W729" s="101">
        <f>IF(AND(F729&lt;=DASHBOARD!$B$11, H729&gt;=DASHBOARD!$B$13), K729, -1000000000000)</f>
        <v/>
      </c>
      <c r="X729" s="101">
        <f>IF(AND(F729&lt;=DASHBOARD!$B$11, H729&gt;=DASHBOARD!$B$13), M729, 1000000000000)</f>
        <v/>
      </c>
      <c r="Y729" s="101">
        <f>IF(AND(F729&lt;=DASHBOARD!$B$10, H729&gt;=DASHBOARD!$B$11), L729, 1000000000000)</f>
        <v/>
      </c>
      <c r="Z729" s="101">
        <f>IF(AND(F729&lt;=DASHBOARD!$B$10, H729&gt;=DASHBOARD!$B$11), O729, 1000000000000)</f>
        <v/>
      </c>
      <c r="AA729" s="101">
        <f>IF(AND(F729&lt;=DASHBOARD!$B$10, H729&gt;=DASHBOARD!$B$11), P729, 1000000000000)</f>
        <v/>
      </c>
      <c r="AB729" s="101">
        <f>IF(AND(F729&lt;=DASHBOARD!$B$10, H729&gt;=DASHBOARD!$B$11), Q729, -1000000000000)</f>
        <v/>
      </c>
    </row>
    <row r="730" ht="15" customHeight="1" s="102">
      <c r="A730" s="166" t="n">
        <v>726</v>
      </c>
      <c r="B730" s="167" t="n">
        <v>1.7</v>
      </c>
      <c r="C730" s="167" t="n">
        <v>0.5</v>
      </c>
      <c r="D730" s="110" t="inlineStr">
        <is>
          <t>Var (%20)</t>
        </is>
      </c>
      <c r="E730" s="110">
        <f>IF((B730+C730)&lt;=1, "Tam Mahsuplaşma (≤%100)", "Kısmi Satış (&gt;%100)")</f>
        <v/>
      </c>
      <c r="F730" s="168">
        <f>((VERI_TABANI!$D$29*B730/VERI_TABANI!$B$29)/VERI_TABANI!$B$3)*VERI_TABANI!$B$5 + ((VERI_TABANI!$D$29*C730/VERI_TABANI!$B$29)/VERI_TABANI!$B$4)*VERI_TABANI!$B$6 + IF(ISNUMBER(SEARCH("Var", D730)), (VERI_TABANI!$F$29/VERI_TABANI!$B$29)*(VERI_TABANI!$B$10+VERI_TABANI!$B$12), 0)</f>
        <v/>
      </c>
      <c r="G730" s="168">
        <f>(((MIN(VERI_TABANI!D23, VERI_TABANI!D23*B730)*VERI_TABANI!$B$7 + MAX(0, VERI_TABANI!D23*B730-VERI_TABANI!D23)*VERI_TABANI!$B$8) + (MIN(MAX(0, VERI_TABANI!D23-VERI_TABANI!D23*B730), VERI_TABANI!D23*C730)*VERI_TABANI!$B$7 + MAX(0, VERI_TABANI!D23*C730-MAX(0, VERI_TABANI!D23-VERI_TABANI!D23*B730))*VERI_TABANI!$B$8) + IF(ABS(IF(ISNUMBER(SEARCH("Var", D730)), 1, IF(ISNUMBER(SEARCH("Gri", D730)), -1, 0)))=1, VERI_TABANI!E23*(1-0.928)*VERI_TABANI!$B$9, 0) + (VERI_TABANI!D23*B730*(VERI_TABANI!$B$13-VERI_TABANI!$B$14)*VERI_TABANI!G23) + (VERI_TABANI!D23*C730*(VERI_TABANI!$B$13-VERI_TABANI!$B$15)*VERI_TABANI!G23) + IF(ABS(IF(ISNUMBER(SEARCH("Var", D730)), 1, IF(ISNUMBER(SEARCH("Gri", D730)), -1, 0)))=1, VERI_TABANI!E23*(1-0.928)*0.00206091519919798*VERI_TABANI!G23, 0)) + ((MIN(VERI_TABANI!D24, VERI_TABANI!D24*B730)*VERI_TABANI!$B$7 + MAX(0, VERI_TABANI!D24*B730-VERI_TABANI!D24)*VERI_TABANI!$B$8) + (MIN(MAX(0, VERI_TABANI!D24-VERI_TABANI!D24*B730), VERI_TABANI!D24*C730)*VERI_TABANI!$B$7 + MAX(0, VERI_TABANI!D24*C730-MAX(0, VERI_TABANI!D24-VERI_TABANI!D24*B730))*VERI_TABANI!$B$8) + IF(ABS(IF(ISNUMBER(SEARCH("Var", D730)), 1, IF(ISNUMBER(SEARCH("Gri", D730)), -1, 0)))=1, VERI_TABANI!E24*(1-0.928)*VERI_TABANI!$B$9, 0) + (VERI_TABANI!D24*B730*(VERI_TABANI!$B$13-VERI_TABANI!$B$14)*VERI_TABANI!G24) + (VERI_TABANI!D24*C730*(VERI_TABANI!$B$13-VERI_TABANI!$B$15)*VERI_TABANI!G24) + IF(ABS(IF(ISNUMBER(SEARCH("Var", D730)), 1, IF(ISNUMBER(SEARCH("Gri", D730)), -1, 0)))=1, VERI_TABANI!E24*(1-0.928)*0.00206091519919798*VERI_TABANI!G24, 0)) + ((MIN(VERI_TABANI!D25, VERI_TABANI!D25*B730)*VERI_TABANI!$B$7 + MAX(0, VERI_TABANI!D25*B730-VERI_TABANI!D25)*VERI_TABANI!$B$8) + (MIN(MAX(0, VERI_TABANI!D25-VERI_TABANI!D25*B730), VERI_TABANI!D25*C730)*VERI_TABANI!$B$7 + MAX(0, VERI_TABANI!D25*C730-MAX(0, VERI_TABANI!D25-VERI_TABANI!D25*B730))*VERI_TABANI!$B$8) + IF(ABS(IF(ISNUMBER(SEARCH("Var", D730)), 1, IF(ISNUMBER(SEARCH("Gri", D730)), -1, 0)))=1, VERI_TABANI!E25*(1-0.928)*VERI_TABANI!$B$9, 0) + (VERI_TABANI!D25*B730*(VERI_TABANI!$B$13-VERI_TABANI!$B$14)*VERI_TABANI!G25) + (VERI_TABANI!D25*C730*(VERI_TABANI!$B$13-VERI_TABANI!$B$15)*VERI_TABANI!G25) + IF(ABS(IF(ISNUMBER(SEARCH("Var", D730)), 1, IF(ISNUMBER(SEARCH("Gri", D730)), -1, 0)))=1, VERI_TABANI!E25*(1-0.928)*0.00206091519919798*VERI_TABANI!G25, 0)) + ((MIN(VERI_TABANI!D26, VERI_TABANI!D26*B730)*VERI_TABANI!$B$7 + MAX(0, VERI_TABANI!D26*B730-VERI_TABANI!D26)*VERI_TABANI!$B$8) + (MIN(MAX(0, VERI_TABANI!D26-VERI_TABANI!D26*B730), VERI_TABANI!D26*C730)*VERI_TABANI!$B$7 + MAX(0, VERI_TABANI!D26*C730-MAX(0, VERI_TABANI!D26-VERI_TABANI!D26*B730))*VERI_TABANI!$B$8) + IF(ABS(IF(ISNUMBER(SEARCH("Var", D730)), 1, IF(ISNUMBER(SEARCH("Gri", D730)), -1, 0)))=1, VERI_TABANI!E26*(1-0.928)*VERI_TABANI!$B$9, 0) + (VERI_TABANI!D26*B730*(VERI_TABANI!$B$13-VERI_TABANI!$B$14)*VERI_TABANI!G26) + (VERI_TABANI!D26*C730*(VERI_TABANI!$B$13-VERI_TABANI!$B$15)*VERI_TABANI!G26) + IF(ABS(IF(ISNUMBER(SEARCH("Var", D730)), 1, IF(ISNUMBER(SEARCH("Gri", D730)), -1, 0)))=1, VERI_TABANI!E26*(1-0.928)*0.00206091519919798*VERI_TABANI!G26, 0)) + ((MIN(VERI_TABANI!D27, VERI_TABANI!D27*B730)*VERI_TABANI!$B$7 + MAX(0, VERI_TABANI!D27*B730-VERI_TABANI!D27)*VERI_TABANI!$B$8) + (MIN(MAX(0, VERI_TABANI!D27-VERI_TABANI!D27*B730), VERI_TABANI!D27*C730)*VERI_TABANI!$B$7 + MAX(0, VERI_TABANI!D27*C730-MAX(0, VERI_TABANI!D27-VERI_TABANI!D27*B730))*VERI_TABANI!$B$8) + IF(ABS(IF(ISNUMBER(SEARCH("Var", D730)), 1, IF(ISNUMBER(SEARCH("Gri", D730)), -1, 0)))=1, VERI_TABANI!E27*(1-0.928)*VERI_TABANI!$B$9, 0) + (VERI_TABANI!D27*B730*(VERI_TABANI!$B$13-VERI_TABANI!$B$14)*VERI_TABANI!G27) + (VERI_TABANI!D27*C730*(VERI_TABANI!$B$13-VERI_TABANI!$B$15)*VERI_TABANI!G27) + IF(ABS(IF(ISNUMBER(SEARCH("Var", D730)), 1, IF(ISNUMBER(SEARCH("Gri", D730)), -1, 0)))=1, VERI_TABANI!E27*(1-0.928)*0.00206091519919798*VERI_TABANI!G27, 0)) + ((MIN(VERI_TABANI!D28, VERI_TABANI!D28*B730)*VERI_TABANI!$B$7 + MAX(0, VERI_TABANI!D28*B730-VERI_TABANI!D28)*VERI_TABANI!$B$8) + (MIN(MAX(0, VERI_TABANI!D28-VERI_TABANI!D28*B730), VERI_TABANI!D28*C730)*VERI_TABANI!$B$7 + MAX(0, VERI_TABANI!D28*C730-MAX(0, VERI_TABANI!D28-VERI_TABANI!D28*B730))*VERI_TABANI!$B$8) + IF(ABS(IF(ISNUMBER(SEARCH("Var", D730)), 1, IF(ISNUMBER(SEARCH("Gri", D730)), -1, 0)))=1, VERI_TABANI!E28*(1-0.928)*VERI_TABANI!$B$9, 0) + (VERI_TABANI!D28*B730*(VERI_TABANI!$B$13-VERI_TABANI!$B$14)*VERI_TABANI!G28) + (VERI_TABANI!D28*C730*(VERI_TABANI!$B$13-VERI_TABANI!$B$15)*VERI_TABANI!G28) + IF(ABS(IF(ISNUMBER(SEARCH("Var", D730)), 1, IF(ISNUMBER(SEARCH("Gri", D730)), -1, 0)))=1, VERI_TABANI!E28*(1-0.928)*0.00206091519919798*VERI_TABANI!G28, 0)))</f>
        <v/>
      </c>
      <c r="H730" s="169">
        <f>(((VERI_TABANI!D23*B730*(VERI_TABANI!$B$13-VERI_TABANI!$B$14)) + (VERI_TABANI!D23*C730*(VERI_TABANI!$B$13-VERI_TABANI!$B$15)) + IF(ISNUMBER(SEARCH("Var", D730)), VERI_TABANI!F23*(0.00202-VERI_TABANI!$B$16), IF(ISNUMBER(SEARCH("Gri", D730)), VERI_TABANI!F23*(0.00202-VERI_TABANI!$B$17), 0))) + ((VERI_TABANI!D24*B730*(VERI_TABANI!$B$13-VERI_TABANI!$B$14)) + (VERI_TABANI!D24*C730*(VERI_TABANI!$B$13-VERI_TABANI!$B$15)) + IF(ISNUMBER(SEARCH("Var", D730)), VERI_TABANI!F24*(0.00202-VERI_TABANI!$B$16), IF(ISNUMBER(SEARCH("Gri", D730)), VERI_TABANI!F24*(0.00202-VERI_TABANI!$B$17), 0))) + ((VERI_TABANI!D25*B730*(VERI_TABANI!$B$13-VERI_TABANI!$B$14)) + (VERI_TABANI!D25*C730*(VERI_TABANI!$B$13-VERI_TABANI!$B$15)) + IF(ISNUMBER(SEARCH("Var", D730)), VERI_TABANI!F25*(0.00202-VERI_TABANI!$B$16), IF(ISNUMBER(SEARCH("Gri", D730)), VERI_TABANI!F25*(0.00202-VERI_TABANI!$B$17), 0))) + ((VERI_TABANI!D26*B730*(VERI_TABANI!$B$13-VERI_TABANI!$B$14)) + (VERI_TABANI!D26*C730*(VERI_TABANI!$B$13-VERI_TABANI!$B$15)) + IF(ISNUMBER(SEARCH("Var", D730)), VERI_TABANI!F26*(0.00202-VERI_TABANI!$B$16), IF(ISNUMBER(SEARCH("Gri", D730)), VERI_TABANI!F26*(0.00202-VERI_TABANI!$B$17), 0))) + ((VERI_TABANI!D27*B730*(VERI_TABANI!$B$13-VERI_TABANI!$B$14)) + (VERI_TABANI!D27*C730*(VERI_TABANI!$B$13-VERI_TABANI!$B$15)) + IF(ISNUMBER(SEARCH("Var", D730)), VERI_TABANI!F27*(0.00202-VERI_TABANI!$B$16), IF(ISNUMBER(SEARCH("Gri", D730)), VERI_TABANI!F27*(0.00202-VERI_TABANI!$B$17), 0))) + ((VERI_TABANI!D28*B730*(VERI_TABANI!$B$13-VERI_TABANI!$B$14)) + (VERI_TABANI!D28*C730*(VERI_TABANI!$B$13-VERI_TABANI!$B$15)) + IF(ISNUMBER(SEARCH("Var", D730)), VERI_TABANI!F28*(0.00202-VERI_TABANI!$B$16), IF(ISNUMBER(SEARCH("Gri", D730)), VERI_TABANI!F28*(0.00202-VERI_TABANI!$B$17), 0))))</f>
        <v/>
      </c>
      <c r="I730" s="170">
        <f>IFERROR(((VERI_TABANI!$D$29*B730*VERI_TABANI!$B$14 + VERI_TABANI!$D$29*C730*VERI_TABANI!$B$15 + IF(ISNUMBER(SEARCH("Var", D730)), VERI_TABANI!$F$29*VERI_TABANI!$B$16, 0))) / (((VERI_TABANI!$D$29*B730 + VERI_TABANI!$D$29*C730)*VERI_TABANI!$B$13 + IF(ISNUMBER(SEARCH("Var", D730)), VERI_TABANI!$E$29*(1-0.928)*VERI_TABANI!$B$18, 0))), 0)</f>
        <v/>
      </c>
      <c r="J730" s="171">
        <f>IFERROR(F730/(G730/29), 0)</f>
        <v/>
      </c>
      <c r="K730" s="172">
        <f>IF(F730&gt;0, H730/F730, 0)</f>
        <v/>
      </c>
      <c r="L730" s="170">
        <f>IF(F730&gt;0, I730, 1000000000)</f>
        <v/>
      </c>
      <c r="M730" s="171">
        <f>ABS((B730+C730)-1)</f>
        <v/>
      </c>
      <c r="N730" s="170">
        <f>IF(F730&gt;0, (G730/29)/F730, 0)</f>
        <v/>
      </c>
      <c r="O730" s="168">
        <f>IF(AND((B730+C730)&gt;=1, ISNUMBER(SEARCH("Var", D730))), F730, 1000000000)</f>
        <v/>
      </c>
      <c r="P730" s="172">
        <f>IF(F730&gt;0, SQRT((F730/MAX(F$5:F$886))^2 + (1 - H730/MAX(H$5:H$886))^2 + (J730/MAX(J$5:J$886))^2), 1000000000)</f>
        <v/>
      </c>
      <c r="Q730" s="166">
        <f>IF(AND(ABS(B730-0.5)&lt;0.01, ABS(C730-0.5)&lt;0.01, ISNUMBER(SEARCH("Var", D730))), 1, 0)</f>
        <v/>
      </c>
      <c r="R730" s="171">
        <f>IF(F730&gt;0, J730, 1000000000)</f>
        <v/>
      </c>
      <c r="S730" s="101">
        <f>IF(AND(F730&lt;=DASHBOARD!$B$11, H730&gt;=DASHBOARD!$B$13), G730, -1000000000000)</f>
        <v/>
      </c>
      <c r="T730" s="101">
        <f>IF(AND(F730&lt;=DASHBOARD!$B$11, H730&gt;=DASHBOARD!$B$13), R730, 1000000000000)</f>
        <v/>
      </c>
      <c r="U730" s="101">
        <f>IF(AND(F730&lt;=DASHBOARD!$B$11, H730&gt;=DASHBOARD!$B$13), N730, -1000000000000)</f>
        <v/>
      </c>
      <c r="V730" s="101">
        <f>IF(AND(F730&lt;=DASHBOARD!$B$11, H730&gt;=DASHBOARD!$B$13), H730, -1000000000000)</f>
        <v/>
      </c>
      <c r="W730" s="101">
        <f>IF(AND(F730&lt;=DASHBOARD!$B$11, H730&gt;=DASHBOARD!$B$13), K730, -1000000000000)</f>
        <v/>
      </c>
      <c r="X730" s="101">
        <f>IF(AND(F730&lt;=DASHBOARD!$B$11, H730&gt;=DASHBOARD!$B$13), M730, 1000000000000)</f>
        <v/>
      </c>
      <c r="Y730" s="101">
        <f>IF(AND(F730&lt;=DASHBOARD!$B$10, H730&gt;=DASHBOARD!$B$11), L730, 1000000000000)</f>
        <v/>
      </c>
      <c r="Z730" s="101">
        <f>IF(AND(F730&lt;=DASHBOARD!$B$10, H730&gt;=DASHBOARD!$B$11), O730, 1000000000000)</f>
        <v/>
      </c>
      <c r="AA730" s="101">
        <f>IF(AND(F730&lt;=DASHBOARD!$B$10, H730&gt;=DASHBOARD!$B$11), P730, 1000000000000)</f>
        <v/>
      </c>
      <c r="AB730" s="101">
        <f>IF(AND(F730&lt;=DASHBOARD!$B$10, H730&gt;=DASHBOARD!$B$11), Q730, -1000000000000)</f>
        <v/>
      </c>
    </row>
    <row r="731" ht="15" customHeight="1" s="102">
      <c r="A731" s="166" t="n">
        <v>727</v>
      </c>
      <c r="B731" s="167" t="n">
        <v>1.7</v>
      </c>
      <c r="C731" s="167" t="n">
        <v>0.6</v>
      </c>
      <c r="D731" s="110" t="inlineStr">
        <is>
          <t>Yok (%0)</t>
        </is>
      </c>
      <c r="E731" s="110">
        <f>IF((B731+C731)&lt;=1, "Tam Mahsuplaşma (≤%100)", "Kısmi Satış (&gt;%100)")</f>
        <v/>
      </c>
      <c r="F731" s="168">
        <f>((VERI_TABANI!$D$29*B731/VERI_TABANI!$B$29)/VERI_TABANI!$B$3)*VERI_TABANI!$B$5 + ((VERI_TABANI!$D$29*C731/VERI_TABANI!$B$29)/VERI_TABANI!$B$4)*VERI_TABANI!$B$6 + IF(ISNUMBER(SEARCH("Var", D731)), (VERI_TABANI!$F$29/VERI_TABANI!$B$29)*(VERI_TABANI!$B$10+VERI_TABANI!$B$12), 0)</f>
        <v/>
      </c>
      <c r="G731" s="168">
        <f>(((MIN(VERI_TABANI!D23, VERI_TABANI!D23*B731)*VERI_TABANI!$B$7 + MAX(0, VERI_TABANI!D23*B731-VERI_TABANI!D23)*VERI_TABANI!$B$8) + (MIN(MAX(0, VERI_TABANI!D23-VERI_TABANI!D23*B731), VERI_TABANI!D23*C731)*VERI_TABANI!$B$7 + MAX(0, VERI_TABANI!D23*C731-MAX(0, VERI_TABANI!D23-VERI_TABANI!D23*B731))*VERI_TABANI!$B$8) + IF(ABS(IF(ISNUMBER(SEARCH("Var", D731)), 1, IF(ISNUMBER(SEARCH("Gri", D731)), -1, 0)))=1, VERI_TABANI!E23*(1-0.928)*VERI_TABANI!$B$9, 0) + (VERI_TABANI!D23*B731*(VERI_TABANI!$B$13-VERI_TABANI!$B$14)*VERI_TABANI!G23) + (VERI_TABANI!D23*C731*(VERI_TABANI!$B$13-VERI_TABANI!$B$15)*VERI_TABANI!G23) + IF(ABS(IF(ISNUMBER(SEARCH("Var", D731)), 1, IF(ISNUMBER(SEARCH("Gri", D731)), -1, 0)))=1, VERI_TABANI!E23*(1-0.928)*0.00206091519919798*VERI_TABANI!G23, 0)) + ((MIN(VERI_TABANI!D24, VERI_TABANI!D24*B731)*VERI_TABANI!$B$7 + MAX(0, VERI_TABANI!D24*B731-VERI_TABANI!D24)*VERI_TABANI!$B$8) + (MIN(MAX(0, VERI_TABANI!D24-VERI_TABANI!D24*B731), VERI_TABANI!D24*C731)*VERI_TABANI!$B$7 + MAX(0, VERI_TABANI!D24*C731-MAX(0, VERI_TABANI!D24-VERI_TABANI!D24*B731))*VERI_TABANI!$B$8) + IF(ABS(IF(ISNUMBER(SEARCH("Var", D731)), 1, IF(ISNUMBER(SEARCH("Gri", D731)), -1, 0)))=1, VERI_TABANI!E24*(1-0.928)*VERI_TABANI!$B$9, 0) + (VERI_TABANI!D24*B731*(VERI_TABANI!$B$13-VERI_TABANI!$B$14)*VERI_TABANI!G24) + (VERI_TABANI!D24*C731*(VERI_TABANI!$B$13-VERI_TABANI!$B$15)*VERI_TABANI!G24) + IF(ABS(IF(ISNUMBER(SEARCH("Var", D731)), 1, IF(ISNUMBER(SEARCH("Gri", D731)), -1, 0)))=1, VERI_TABANI!E24*(1-0.928)*0.00206091519919798*VERI_TABANI!G24, 0)) + ((MIN(VERI_TABANI!D25, VERI_TABANI!D25*B731)*VERI_TABANI!$B$7 + MAX(0, VERI_TABANI!D25*B731-VERI_TABANI!D25)*VERI_TABANI!$B$8) + (MIN(MAX(0, VERI_TABANI!D25-VERI_TABANI!D25*B731), VERI_TABANI!D25*C731)*VERI_TABANI!$B$7 + MAX(0, VERI_TABANI!D25*C731-MAX(0, VERI_TABANI!D25-VERI_TABANI!D25*B731))*VERI_TABANI!$B$8) + IF(ABS(IF(ISNUMBER(SEARCH("Var", D731)), 1, IF(ISNUMBER(SEARCH("Gri", D731)), -1, 0)))=1, VERI_TABANI!E25*(1-0.928)*VERI_TABANI!$B$9, 0) + (VERI_TABANI!D25*B731*(VERI_TABANI!$B$13-VERI_TABANI!$B$14)*VERI_TABANI!G25) + (VERI_TABANI!D25*C731*(VERI_TABANI!$B$13-VERI_TABANI!$B$15)*VERI_TABANI!G25) + IF(ABS(IF(ISNUMBER(SEARCH("Var", D731)), 1, IF(ISNUMBER(SEARCH("Gri", D731)), -1, 0)))=1, VERI_TABANI!E25*(1-0.928)*0.00206091519919798*VERI_TABANI!G25, 0)) + ((MIN(VERI_TABANI!D26, VERI_TABANI!D26*B731)*VERI_TABANI!$B$7 + MAX(0, VERI_TABANI!D26*B731-VERI_TABANI!D26)*VERI_TABANI!$B$8) + (MIN(MAX(0, VERI_TABANI!D26-VERI_TABANI!D26*B731), VERI_TABANI!D26*C731)*VERI_TABANI!$B$7 + MAX(0, VERI_TABANI!D26*C731-MAX(0, VERI_TABANI!D26-VERI_TABANI!D26*B731))*VERI_TABANI!$B$8) + IF(ABS(IF(ISNUMBER(SEARCH("Var", D731)), 1, IF(ISNUMBER(SEARCH("Gri", D731)), -1, 0)))=1, VERI_TABANI!E26*(1-0.928)*VERI_TABANI!$B$9, 0) + (VERI_TABANI!D26*B731*(VERI_TABANI!$B$13-VERI_TABANI!$B$14)*VERI_TABANI!G26) + (VERI_TABANI!D26*C731*(VERI_TABANI!$B$13-VERI_TABANI!$B$15)*VERI_TABANI!G26) + IF(ABS(IF(ISNUMBER(SEARCH("Var", D731)), 1, IF(ISNUMBER(SEARCH("Gri", D731)), -1, 0)))=1, VERI_TABANI!E26*(1-0.928)*0.00206091519919798*VERI_TABANI!G26, 0)) + ((MIN(VERI_TABANI!D27, VERI_TABANI!D27*B731)*VERI_TABANI!$B$7 + MAX(0, VERI_TABANI!D27*B731-VERI_TABANI!D27)*VERI_TABANI!$B$8) + (MIN(MAX(0, VERI_TABANI!D27-VERI_TABANI!D27*B731), VERI_TABANI!D27*C731)*VERI_TABANI!$B$7 + MAX(0, VERI_TABANI!D27*C731-MAX(0, VERI_TABANI!D27-VERI_TABANI!D27*B731))*VERI_TABANI!$B$8) + IF(ABS(IF(ISNUMBER(SEARCH("Var", D731)), 1, IF(ISNUMBER(SEARCH("Gri", D731)), -1, 0)))=1, VERI_TABANI!E27*(1-0.928)*VERI_TABANI!$B$9, 0) + (VERI_TABANI!D27*B731*(VERI_TABANI!$B$13-VERI_TABANI!$B$14)*VERI_TABANI!G27) + (VERI_TABANI!D27*C731*(VERI_TABANI!$B$13-VERI_TABANI!$B$15)*VERI_TABANI!G27) + IF(ABS(IF(ISNUMBER(SEARCH("Var", D731)), 1, IF(ISNUMBER(SEARCH("Gri", D731)), -1, 0)))=1, VERI_TABANI!E27*(1-0.928)*0.00206091519919798*VERI_TABANI!G27, 0)) + ((MIN(VERI_TABANI!D28, VERI_TABANI!D28*B731)*VERI_TABANI!$B$7 + MAX(0, VERI_TABANI!D28*B731-VERI_TABANI!D28)*VERI_TABANI!$B$8) + (MIN(MAX(0, VERI_TABANI!D28-VERI_TABANI!D28*B731), VERI_TABANI!D28*C731)*VERI_TABANI!$B$7 + MAX(0, VERI_TABANI!D28*C731-MAX(0, VERI_TABANI!D28-VERI_TABANI!D28*B731))*VERI_TABANI!$B$8) + IF(ABS(IF(ISNUMBER(SEARCH("Var", D731)), 1, IF(ISNUMBER(SEARCH("Gri", D731)), -1, 0)))=1, VERI_TABANI!E28*(1-0.928)*VERI_TABANI!$B$9, 0) + (VERI_TABANI!D28*B731*(VERI_TABANI!$B$13-VERI_TABANI!$B$14)*VERI_TABANI!G28) + (VERI_TABANI!D28*C731*(VERI_TABANI!$B$13-VERI_TABANI!$B$15)*VERI_TABANI!G28) + IF(ABS(IF(ISNUMBER(SEARCH("Var", D731)), 1, IF(ISNUMBER(SEARCH("Gri", D731)), -1, 0)))=1, VERI_TABANI!E28*(1-0.928)*0.00206091519919798*VERI_TABANI!G28, 0)))</f>
        <v/>
      </c>
      <c r="H731" s="169">
        <f>(((VERI_TABANI!D23*B731*(VERI_TABANI!$B$13-VERI_TABANI!$B$14)) + (VERI_TABANI!D23*C731*(VERI_TABANI!$B$13-VERI_TABANI!$B$15)) + IF(ISNUMBER(SEARCH("Var", D731)), VERI_TABANI!F23*(0.00202-VERI_TABANI!$B$16), IF(ISNUMBER(SEARCH("Gri", D731)), VERI_TABANI!F23*(0.00202-VERI_TABANI!$B$17), 0))) + ((VERI_TABANI!D24*B731*(VERI_TABANI!$B$13-VERI_TABANI!$B$14)) + (VERI_TABANI!D24*C731*(VERI_TABANI!$B$13-VERI_TABANI!$B$15)) + IF(ISNUMBER(SEARCH("Var", D731)), VERI_TABANI!F24*(0.00202-VERI_TABANI!$B$16), IF(ISNUMBER(SEARCH("Gri", D731)), VERI_TABANI!F24*(0.00202-VERI_TABANI!$B$17), 0))) + ((VERI_TABANI!D25*B731*(VERI_TABANI!$B$13-VERI_TABANI!$B$14)) + (VERI_TABANI!D25*C731*(VERI_TABANI!$B$13-VERI_TABANI!$B$15)) + IF(ISNUMBER(SEARCH("Var", D731)), VERI_TABANI!F25*(0.00202-VERI_TABANI!$B$16), IF(ISNUMBER(SEARCH("Gri", D731)), VERI_TABANI!F25*(0.00202-VERI_TABANI!$B$17), 0))) + ((VERI_TABANI!D26*B731*(VERI_TABANI!$B$13-VERI_TABANI!$B$14)) + (VERI_TABANI!D26*C731*(VERI_TABANI!$B$13-VERI_TABANI!$B$15)) + IF(ISNUMBER(SEARCH("Var", D731)), VERI_TABANI!F26*(0.00202-VERI_TABANI!$B$16), IF(ISNUMBER(SEARCH("Gri", D731)), VERI_TABANI!F26*(0.00202-VERI_TABANI!$B$17), 0))) + ((VERI_TABANI!D27*B731*(VERI_TABANI!$B$13-VERI_TABANI!$B$14)) + (VERI_TABANI!D27*C731*(VERI_TABANI!$B$13-VERI_TABANI!$B$15)) + IF(ISNUMBER(SEARCH("Var", D731)), VERI_TABANI!F27*(0.00202-VERI_TABANI!$B$16), IF(ISNUMBER(SEARCH("Gri", D731)), VERI_TABANI!F27*(0.00202-VERI_TABANI!$B$17), 0))) + ((VERI_TABANI!D28*B731*(VERI_TABANI!$B$13-VERI_TABANI!$B$14)) + (VERI_TABANI!D28*C731*(VERI_TABANI!$B$13-VERI_TABANI!$B$15)) + IF(ISNUMBER(SEARCH("Var", D731)), VERI_TABANI!F28*(0.00202-VERI_TABANI!$B$16), IF(ISNUMBER(SEARCH("Gri", D731)), VERI_TABANI!F28*(0.00202-VERI_TABANI!$B$17), 0))))</f>
        <v/>
      </c>
      <c r="I731" s="170">
        <f>IFERROR(((VERI_TABANI!$D$29*B731*VERI_TABANI!$B$14 + VERI_TABANI!$D$29*C731*VERI_TABANI!$B$15 + IF(ISNUMBER(SEARCH("Var", D731)), VERI_TABANI!$F$29*VERI_TABANI!$B$16, 0))) / (((VERI_TABANI!$D$29*B731 + VERI_TABANI!$D$29*C731)*VERI_TABANI!$B$13 + IF(ISNUMBER(SEARCH("Var", D731)), VERI_TABANI!$E$29*(1-0.928)*VERI_TABANI!$B$18, 0))), 0)</f>
        <v/>
      </c>
      <c r="J731" s="171">
        <f>IFERROR(F731/(G731/29), 0)</f>
        <v/>
      </c>
      <c r="K731" s="172">
        <f>IF(F731&gt;0, H731/F731, 0)</f>
        <v/>
      </c>
      <c r="L731" s="170">
        <f>IF(F731&gt;0, I731, 1000000000)</f>
        <v/>
      </c>
      <c r="M731" s="171">
        <f>ABS((B731+C731)-1)</f>
        <v/>
      </c>
      <c r="N731" s="170">
        <f>IF(F731&gt;0, (G731/29)/F731, 0)</f>
        <v/>
      </c>
      <c r="O731" s="168">
        <f>IF(AND((B731+C731)&gt;=1, ISNUMBER(SEARCH("Var", D731))), F731, 1000000000)</f>
        <v/>
      </c>
      <c r="P731" s="172">
        <f>IF(F731&gt;0, SQRT((F731/MAX(F$5:F$886))^2 + (1 - H731/MAX(H$5:H$886))^2 + (J731/MAX(J$5:J$886))^2), 1000000000)</f>
        <v/>
      </c>
      <c r="Q731" s="166">
        <f>IF(AND(ABS(B731-0.5)&lt;0.01, ABS(C731-0.5)&lt;0.01, ISNUMBER(SEARCH("Var", D731))), 1, 0)</f>
        <v/>
      </c>
      <c r="R731" s="171">
        <f>IF(F731&gt;0, J731, 1000000000)</f>
        <v/>
      </c>
      <c r="S731" s="101">
        <f>IF(AND(F731&lt;=DASHBOARD!$B$11, H731&gt;=DASHBOARD!$B$13), G731, -1000000000000)</f>
        <v/>
      </c>
      <c r="T731" s="101">
        <f>IF(AND(F731&lt;=DASHBOARD!$B$11, H731&gt;=DASHBOARD!$B$13), R731, 1000000000000)</f>
        <v/>
      </c>
      <c r="U731" s="101">
        <f>IF(AND(F731&lt;=DASHBOARD!$B$11, H731&gt;=DASHBOARD!$B$13), N731, -1000000000000)</f>
        <v/>
      </c>
      <c r="V731" s="101">
        <f>IF(AND(F731&lt;=DASHBOARD!$B$11, H731&gt;=DASHBOARD!$B$13), H731, -1000000000000)</f>
        <v/>
      </c>
      <c r="W731" s="101">
        <f>IF(AND(F731&lt;=DASHBOARD!$B$11, H731&gt;=DASHBOARD!$B$13), K731, -1000000000000)</f>
        <v/>
      </c>
      <c r="X731" s="101">
        <f>IF(AND(F731&lt;=DASHBOARD!$B$11, H731&gt;=DASHBOARD!$B$13), M731, 1000000000000)</f>
        <v/>
      </c>
      <c r="Y731" s="101">
        <f>IF(AND(F731&lt;=DASHBOARD!$B$10, H731&gt;=DASHBOARD!$B$11), L731, 1000000000000)</f>
        <v/>
      </c>
      <c r="Z731" s="101">
        <f>IF(AND(F731&lt;=DASHBOARD!$B$10, H731&gt;=DASHBOARD!$B$11), O731, 1000000000000)</f>
        <v/>
      </c>
      <c r="AA731" s="101">
        <f>IF(AND(F731&lt;=DASHBOARD!$B$10, H731&gt;=DASHBOARD!$B$11), P731, 1000000000000)</f>
        <v/>
      </c>
      <c r="AB731" s="101">
        <f>IF(AND(F731&lt;=DASHBOARD!$B$10, H731&gt;=DASHBOARD!$B$11), Q731, -1000000000000)</f>
        <v/>
      </c>
    </row>
    <row r="732" ht="15" customHeight="1" s="102">
      <c r="A732" s="166" t="n">
        <v>728</v>
      </c>
      <c r="B732" s="167" t="n">
        <v>1.7</v>
      </c>
      <c r="C732" s="167" t="n">
        <v>0.6</v>
      </c>
      <c r="D732" s="110" t="inlineStr">
        <is>
          <t>Var (%20)</t>
        </is>
      </c>
      <c r="E732" s="110">
        <f>IF((B732+C732)&lt;=1, "Tam Mahsuplaşma (≤%100)", "Kısmi Satış (&gt;%100)")</f>
        <v/>
      </c>
      <c r="F732" s="168">
        <f>((VERI_TABANI!$D$29*B732/VERI_TABANI!$B$29)/VERI_TABANI!$B$3)*VERI_TABANI!$B$5 + ((VERI_TABANI!$D$29*C732/VERI_TABANI!$B$29)/VERI_TABANI!$B$4)*VERI_TABANI!$B$6 + IF(ISNUMBER(SEARCH("Var", D732)), (VERI_TABANI!$F$29/VERI_TABANI!$B$29)*(VERI_TABANI!$B$10+VERI_TABANI!$B$12), 0)</f>
        <v/>
      </c>
      <c r="G732" s="168">
        <f>(((MIN(VERI_TABANI!D23, VERI_TABANI!D23*B732)*VERI_TABANI!$B$7 + MAX(0, VERI_TABANI!D23*B732-VERI_TABANI!D23)*VERI_TABANI!$B$8) + (MIN(MAX(0, VERI_TABANI!D23-VERI_TABANI!D23*B732), VERI_TABANI!D23*C732)*VERI_TABANI!$B$7 + MAX(0, VERI_TABANI!D23*C732-MAX(0, VERI_TABANI!D23-VERI_TABANI!D23*B732))*VERI_TABANI!$B$8) + IF(ABS(IF(ISNUMBER(SEARCH("Var", D732)), 1, IF(ISNUMBER(SEARCH("Gri", D732)), -1, 0)))=1, VERI_TABANI!E23*(1-0.928)*VERI_TABANI!$B$9, 0) + (VERI_TABANI!D23*B732*(VERI_TABANI!$B$13-VERI_TABANI!$B$14)*VERI_TABANI!G23) + (VERI_TABANI!D23*C732*(VERI_TABANI!$B$13-VERI_TABANI!$B$15)*VERI_TABANI!G23) + IF(ABS(IF(ISNUMBER(SEARCH("Var", D732)), 1, IF(ISNUMBER(SEARCH("Gri", D732)), -1, 0)))=1, VERI_TABANI!E23*(1-0.928)*0.00206091519919798*VERI_TABANI!G23, 0)) + ((MIN(VERI_TABANI!D24, VERI_TABANI!D24*B732)*VERI_TABANI!$B$7 + MAX(0, VERI_TABANI!D24*B732-VERI_TABANI!D24)*VERI_TABANI!$B$8) + (MIN(MAX(0, VERI_TABANI!D24-VERI_TABANI!D24*B732), VERI_TABANI!D24*C732)*VERI_TABANI!$B$7 + MAX(0, VERI_TABANI!D24*C732-MAX(0, VERI_TABANI!D24-VERI_TABANI!D24*B732))*VERI_TABANI!$B$8) + IF(ABS(IF(ISNUMBER(SEARCH("Var", D732)), 1, IF(ISNUMBER(SEARCH("Gri", D732)), -1, 0)))=1, VERI_TABANI!E24*(1-0.928)*VERI_TABANI!$B$9, 0) + (VERI_TABANI!D24*B732*(VERI_TABANI!$B$13-VERI_TABANI!$B$14)*VERI_TABANI!G24) + (VERI_TABANI!D24*C732*(VERI_TABANI!$B$13-VERI_TABANI!$B$15)*VERI_TABANI!G24) + IF(ABS(IF(ISNUMBER(SEARCH("Var", D732)), 1, IF(ISNUMBER(SEARCH("Gri", D732)), -1, 0)))=1, VERI_TABANI!E24*(1-0.928)*0.00206091519919798*VERI_TABANI!G24, 0)) + ((MIN(VERI_TABANI!D25, VERI_TABANI!D25*B732)*VERI_TABANI!$B$7 + MAX(0, VERI_TABANI!D25*B732-VERI_TABANI!D25)*VERI_TABANI!$B$8) + (MIN(MAX(0, VERI_TABANI!D25-VERI_TABANI!D25*B732), VERI_TABANI!D25*C732)*VERI_TABANI!$B$7 + MAX(0, VERI_TABANI!D25*C732-MAX(0, VERI_TABANI!D25-VERI_TABANI!D25*B732))*VERI_TABANI!$B$8) + IF(ABS(IF(ISNUMBER(SEARCH("Var", D732)), 1, IF(ISNUMBER(SEARCH("Gri", D732)), -1, 0)))=1, VERI_TABANI!E25*(1-0.928)*VERI_TABANI!$B$9, 0) + (VERI_TABANI!D25*B732*(VERI_TABANI!$B$13-VERI_TABANI!$B$14)*VERI_TABANI!G25) + (VERI_TABANI!D25*C732*(VERI_TABANI!$B$13-VERI_TABANI!$B$15)*VERI_TABANI!G25) + IF(ABS(IF(ISNUMBER(SEARCH("Var", D732)), 1, IF(ISNUMBER(SEARCH("Gri", D732)), -1, 0)))=1, VERI_TABANI!E25*(1-0.928)*0.00206091519919798*VERI_TABANI!G25, 0)) + ((MIN(VERI_TABANI!D26, VERI_TABANI!D26*B732)*VERI_TABANI!$B$7 + MAX(0, VERI_TABANI!D26*B732-VERI_TABANI!D26)*VERI_TABANI!$B$8) + (MIN(MAX(0, VERI_TABANI!D26-VERI_TABANI!D26*B732), VERI_TABANI!D26*C732)*VERI_TABANI!$B$7 + MAX(0, VERI_TABANI!D26*C732-MAX(0, VERI_TABANI!D26-VERI_TABANI!D26*B732))*VERI_TABANI!$B$8) + IF(ABS(IF(ISNUMBER(SEARCH("Var", D732)), 1, IF(ISNUMBER(SEARCH("Gri", D732)), -1, 0)))=1, VERI_TABANI!E26*(1-0.928)*VERI_TABANI!$B$9, 0) + (VERI_TABANI!D26*B732*(VERI_TABANI!$B$13-VERI_TABANI!$B$14)*VERI_TABANI!G26) + (VERI_TABANI!D26*C732*(VERI_TABANI!$B$13-VERI_TABANI!$B$15)*VERI_TABANI!G26) + IF(ABS(IF(ISNUMBER(SEARCH("Var", D732)), 1, IF(ISNUMBER(SEARCH("Gri", D732)), -1, 0)))=1, VERI_TABANI!E26*(1-0.928)*0.00206091519919798*VERI_TABANI!G26, 0)) + ((MIN(VERI_TABANI!D27, VERI_TABANI!D27*B732)*VERI_TABANI!$B$7 + MAX(0, VERI_TABANI!D27*B732-VERI_TABANI!D27)*VERI_TABANI!$B$8) + (MIN(MAX(0, VERI_TABANI!D27-VERI_TABANI!D27*B732), VERI_TABANI!D27*C732)*VERI_TABANI!$B$7 + MAX(0, VERI_TABANI!D27*C732-MAX(0, VERI_TABANI!D27-VERI_TABANI!D27*B732))*VERI_TABANI!$B$8) + IF(ABS(IF(ISNUMBER(SEARCH("Var", D732)), 1, IF(ISNUMBER(SEARCH("Gri", D732)), -1, 0)))=1, VERI_TABANI!E27*(1-0.928)*VERI_TABANI!$B$9, 0) + (VERI_TABANI!D27*B732*(VERI_TABANI!$B$13-VERI_TABANI!$B$14)*VERI_TABANI!G27) + (VERI_TABANI!D27*C732*(VERI_TABANI!$B$13-VERI_TABANI!$B$15)*VERI_TABANI!G27) + IF(ABS(IF(ISNUMBER(SEARCH("Var", D732)), 1, IF(ISNUMBER(SEARCH("Gri", D732)), -1, 0)))=1, VERI_TABANI!E27*(1-0.928)*0.00206091519919798*VERI_TABANI!G27, 0)) + ((MIN(VERI_TABANI!D28, VERI_TABANI!D28*B732)*VERI_TABANI!$B$7 + MAX(0, VERI_TABANI!D28*B732-VERI_TABANI!D28)*VERI_TABANI!$B$8) + (MIN(MAX(0, VERI_TABANI!D28-VERI_TABANI!D28*B732), VERI_TABANI!D28*C732)*VERI_TABANI!$B$7 + MAX(0, VERI_TABANI!D28*C732-MAX(0, VERI_TABANI!D28-VERI_TABANI!D28*B732))*VERI_TABANI!$B$8) + IF(ABS(IF(ISNUMBER(SEARCH("Var", D732)), 1, IF(ISNUMBER(SEARCH("Gri", D732)), -1, 0)))=1, VERI_TABANI!E28*(1-0.928)*VERI_TABANI!$B$9, 0) + (VERI_TABANI!D28*B732*(VERI_TABANI!$B$13-VERI_TABANI!$B$14)*VERI_TABANI!G28) + (VERI_TABANI!D28*C732*(VERI_TABANI!$B$13-VERI_TABANI!$B$15)*VERI_TABANI!G28) + IF(ABS(IF(ISNUMBER(SEARCH("Var", D732)), 1, IF(ISNUMBER(SEARCH("Gri", D732)), -1, 0)))=1, VERI_TABANI!E28*(1-0.928)*0.00206091519919798*VERI_TABANI!G28, 0)))</f>
        <v/>
      </c>
      <c r="H732" s="169">
        <f>(((VERI_TABANI!D23*B732*(VERI_TABANI!$B$13-VERI_TABANI!$B$14)) + (VERI_TABANI!D23*C732*(VERI_TABANI!$B$13-VERI_TABANI!$B$15)) + IF(ISNUMBER(SEARCH("Var", D732)), VERI_TABANI!F23*(0.00202-VERI_TABANI!$B$16), IF(ISNUMBER(SEARCH("Gri", D732)), VERI_TABANI!F23*(0.00202-VERI_TABANI!$B$17), 0))) + ((VERI_TABANI!D24*B732*(VERI_TABANI!$B$13-VERI_TABANI!$B$14)) + (VERI_TABANI!D24*C732*(VERI_TABANI!$B$13-VERI_TABANI!$B$15)) + IF(ISNUMBER(SEARCH("Var", D732)), VERI_TABANI!F24*(0.00202-VERI_TABANI!$B$16), IF(ISNUMBER(SEARCH("Gri", D732)), VERI_TABANI!F24*(0.00202-VERI_TABANI!$B$17), 0))) + ((VERI_TABANI!D25*B732*(VERI_TABANI!$B$13-VERI_TABANI!$B$14)) + (VERI_TABANI!D25*C732*(VERI_TABANI!$B$13-VERI_TABANI!$B$15)) + IF(ISNUMBER(SEARCH("Var", D732)), VERI_TABANI!F25*(0.00202-VERI_TABANI!$B$16), IF(ISNUMBER(SEARCH("Gri", D732)), VERI_TABANI!F25*(0.00202-VERI_TABANI!$B$17), 0))) + ((VERI_TABANI!D26*B732*(VERI_TABANI!$B$13-VERI_TABANI!$B$14)) + (VERI_TABANI!D26*C732*(VERI_TABANI!$B$13-VERI_TABANI!$B$15)) + IF(ISNUMBER(SEARCH("Var", D732)), VERI_TABANI!F26*(0.00202-VERI_TABANI!$B$16), IF(ISNUMBER(SEARCH("Gri", D732)), VERI_TABANI!F26*(0.00202-VERI_TABANI!$B$17), 0))) + ((VERI_TABANI!D27*B732*(VERI_TABANI!$B$13-VERI_TABANI!$B$14)) + (VERI_TABANI!D27*C732*(VERI_TABANI!$B$13-VERI_TABANI!$B$15)) + IF(ISNUMBER(SEARCH("Var", D732)), VERI_TABANI!F27*(0.00202-VERI_TABANI!$B$16), IF(ISNUMBER(SEARCH("Gri", D732)), VERI_TABANI!F27*(0.00202-VERI_TABANI!$B$17), 0))) + ((VERI_TABANI!D28*B732*(VERI_TABANI!$B$13-VERI_TABANI!$B$14)) + (VERI_TABANI!D28*C732*(VERI_TABANI!$B$13-VERI_TABANI!$B$15)) + IF(ISNUMBER(SEARCH("Var", D732)), VERI_TABANI!F28*(0.00202-VERI_TABANI!$B$16), IF(ISNUMBER(SEARCH("Gri", D732)), VERI_TABANI!F28*(0.00202-VERI_TABANI!$B$17), 0))))</f>
        <v/>
      </c>
      <c r="I732" s="170">
        <f>IFERROR(((VERI_TABANI!$D$29*B732*VERI_TABANI!$B$14 + VERI_TABANI!$D$29*C732*VERI_TABANI!$B$15 + IF(ISNUMBER(SEARCH("Var", D732)), VERI_TABANI!$F$29*VERI_TABANI!$B$16, 0))) / (((VERI_TABANI!$D$29*B732 + VERI_TABANI!$D$29*C732)*VERI_TABANI!$B$13 + IF(ISNUMBER(SEARCH("Var", D732)), VERI_TABANI!$E$29*(1-0.928)*VERI_TABANI!$B$18, 0))), 0)</f>
        <v/>
      </c>
      <c r="J732" s="171">
        <f>IFERROR(F732/(G732/29), 0)</f>
        <v/>
      </c>
      <c r="K732" s="172">
        <f>IF(F732&gt;0, H732/F732, 0)</f>
        <v/>
      </c>
      <c r="L732" s="170">
        <f>IF(F732&gt;0, I732, 1000000000)</f>
        <v/>
      </c>
      <c r="M732" s="171">
        <f>ABS((B732+C732)-1)</f>
        <v/>
      </c>
      <c r="N732" s="170">
        <f>IF(F732&gt;0, (G732/29)/F732, 0)</f>
        <v/>
      </c>
      <c r="O732" s="168">
        <f>IF(AND((B732+C732)&gt;=1, ISNUMBER(SEARCH("Var", D732))), F732, 1000000000)</f>
        <v/>
      </c>
      <c r="P732" s="172">
        <f>IF(F732&gt;0, SQRT((F732/MAX(F$5:F$886))^2 + (1 - H732/MAX(H$5:H$886))^2 + (J732/MAX(J$5:J$886))^2), 1000000000)</f>
        <v/>
      </c>
      <c r="Q732" s="166">
        <f>IF(AND(ABS(B732-0.5)&lt;0.01, ABS(C732-0.5)&lt;0.01, ISNUMBER(SEARCH("Var", D732))), 1, 0)</f>
        <v/>
      </c>
      <c r="R732" s="171">
        <f>IF(F732&gt;0, J732, 1000000000)</f>
        <v/>
      </c>
      <c r="S732" s="101">
        <f>IF(AND(F732&lt;=DASHBOARD!$B$11, H732&gt;=DASHBOARD!$B$13), G732, -1000000000000)</f>
        <v/>
      </c>
      <c r="T732" s="101">
        <f>IF(AND(F732&lt;=DASHBOARD!$B$11, H732&gt;=DASHBOARD!$B$13), R732, 1000000000000)</f>
        <v/>
      </c>
      <c r="U732" s="101">
        <f>IF(AND(F732&lt;=DASHBOARD!$B$11, H732&gt;=DASHBOARD!$B$13), N732, -1000000000000)</f>
        <v/>
      </c>
      <c r="V732" s="101">
        <f>IF(AND(F732&lt;=DASHBOARD!$B$11, H732&gt;=DASHBOARD!$B$13), H732, -1000000000000)</f>
        <v/>
      </c>
      <c r="W732" s="101">
        <f>IF(AND(F732&lt;=DASHBOARD!$B$11, H732&gt;=DASHBOARD!$B$13), K732, -1000000000000)</f>
        <v/>
      </c>
      <c r="X732" s="101">
        <f>IF(AND(F732&lt;=DASHBOARD!$B$11, H732&gt;=DASHBOARD!$B$13), M732, 1000000000000)</f>
        <v/>
      </c>
      <c r="Y732" s="101">
        <f>IF(AND(F732&lt;=DASHBOARD!$B$10, H732&gt;=DASHBOARD!$B$11), L732, 1000000000000)</f>
        <v/>
      </c>
      <c r="Z732" s="101">
        <f>IF(AND(F732&lt;=DASHBOARD!$B$10, H732&gt;=DASHBOARD!$B$11), O732, 1000000000000)</f>
        <v/>
      </c>
      <c r="AA732" s="101">
        <f>IF(AND(F732&lt;=DASHBOARD!$B$10, H732&gt;=DASHBOARD!$B$11), P732, 1000000000000)</f>
        <v/>
      </c>
      <c r="AB732" s="101">
        <f>IF(AND(F732&lt;=DASHBOARD!$B$10, H732&gt;=DASHBOARD!$B$11), Q732, -1000000000000)</f>
        <v/>
      </c>
    </row>
    <row r="733" ht="15" customHeight="1" s="102">
      <c r="A733" s="166" t="n">
        <v>729</v>
      </c>
      <c r="B733" s="167" t="n">
        <v>1.7</v>
      </c>
      <c r="C733" s="167" t="n">
        <v>0.7</v>
      </c>
      <c r="D733" s="110" t="inlineStr">
        <is>
          <t>Yok (%0)</t>
        </is>
      </c>
      <c r="E733" s="110">
        <f>IF((B733+C733)&lt;=1, "Tam Mahsuplaşma (≤%100)", "Kısmi Satış (&gt;%100)")</f>
        <v/>
      </c>
      <c r="F733" s="168">
        <f>((VERI_TABANI!$D$29*B733/VERI_TABANI!$B$29)/VERI_TABANI!$B$3)*VERI_TABANI!$B$5 + ((VERI_TABANI!$D$29*C733/VERI_TABANI!$B$29)/VERI_TABANI!$B$4)*VERI_TABANI!$B$6 + IF(ISNUMBER(SEARCH("Var", D733)), (VERI_TABANI!$F$29/VERI_TABANI!$B$29)*(VERI_TABANI!$B$10+VERI_TABANI!$B$12), 0)</f>
        <v/>
      </c>
      <c r="G733" s="168">
        <f>(((MIN(VERI_TABANI!D23, VERI_TABANI!D23*B733)*VERI_TABANI!$B$7 + MAX(0, VERI_TABANI!D23*B733-VERI_TABANI!D23)*VERI_TABANI!$B$8) + (MIN(MAX(0, VERI_TABANI!D23-VERI_TABANI!D23*B733), VERI_TABANI!D23*C733)*VERI_TABANI!$B$7 + MAX(0, VERI_TABANI!D23*C733-MAX(0, VERI_TABANI!D23-VERI_TABANI!D23*B733))*VERI_TABANI!$B$8) + IF(ABS(IF(ISNUMBER(SEARCH("Var", D733)), 1, IF(ISNUMBER(SEARCH("Gri", D733)), -1, 0)))=1, VERI_TABANI!E23*(1-0.928)*VERI_TABANI!$B$9, 0) + (VERI_TABANI!D23*B733*(VERI_TABANI!$B$13-VERI_TABANI!$B$14)*VERI_TABANI!G23) + (VERI_TABANI!D23*C733*(VERI_TABANI!$B$13-VERI_TABANI!$B$15)*VERI_TABANI!G23) + IF(ABS(IF(ISNUMBER(SEARCH("Var", D733)), 1, IF(ISNUMBER(SEARCH("Gri", D733)), -1, 0)))=1, VERI_TABANI!E23*(1-0.928)*0.00206091519919798*VERI_TABANI!G23, 0)) + ((MIN(VERI_TABANI!D24, VERI_TABANI!D24*B733)*VERI_TABANI!$B$7 + MAX(0, VERI_TABANI!D24*B733-VERI_TABANI!D24)*VERI_TABANI!$B$8) + (MIN(MAX(0, VERI_TABANI!D24-VERI_TABANI!D24*B733), VERI_TABANI!D24*C733)*VERI_TABANI!$B$7 + MAX(0, VERI_TABANI!D24*C733-MAX(0, VERI_TABANI!D24-VERI_TABANI!D24*B733))*VERI_TABANI!$B$8) + IF(ABS(IF(ISNUMBER(SEARCH("Var", D733)), 1, IF(ISNUMBER(SEARCH("Gri", D733)), -1, 0)))=1, VERI_TABANI!E24*(1-0.928)*VERI_TABANI!$B$9, 0) + (VERI_TABANI!D24*B733*(VERI_TABANI!$B$13-VERI_TABANI!$B$14)*VERI_TABANI!G24) + (VERI_TABANI!D24*C733*(VERI_TABANI!$B$13-VERI_TABANI!$B$15)*VERI_TABANI!G24) + IF(ABS(IF(ISNUMBER(SEARCH("Var", D733)), 1, IF(ISNUMBER(SEARCH("Gri", D733)), -1, 0)))=1, VERI_TABANI!E24*(1-0.928)*0.00206091519919798*VERI_TABANI!G24, 0)) + ((MIN(VERI_TABANI!D25, VERI_TABANI!D25*B733)*VERI_TABANI!$B$7 + MAX(0, VERI_TABANI!D25*B733-VERI_TABANI!D25)*VERI_TABANI!$B$8) + (MIN(MAX(0, VERI_TABANI!D25-VERI_TABANI!D25*B733), VERI_TABANI!D25*C733)*VERI_TABANI!$B$7 + MAX(0, VERI_TABANI!D25*C733-MAX(0, VERI_TABANI!D25-VERI_TABANI!D25*B733))*VERI_TABANI!$B$8) + IF(ABS(IF(ISNUMBER(SEARCH("Var", D733)), 1, IF(ISNUMBER(SEARCH("Gri", D733)), -1, 0)))=1, VERI_TABANI!E25*(1-0.928)*VERI_TABANI!$B$9, 0) + (VERI_TABANI!D25*B733*(VERI_TABANI!$B$13-VERI_TABANI!$B$14)*VERI_TABANI!G25) + (VERI_TABANI!D25*C733*(VERI_TABANI!$B$13-VERI_TABANI!$B$15)*VERI_TABANI!G25) + IF(ABS(IF(ISNUMBER(SEARCH("Var", D733)), 1, IF(ISNUMBER(SEARCH("Gri", D733)), -1, 0)))=1, VERI_TABANI!E25*(1-0.928)*0.00206091519919798*VERI_TABANI!G25, 0)) + ((MIN(VERI_TABANI!D26, VERI_TABANI!D26*B733)*VERI_TABANI!$B$7 + MAX(0, VERI_TABANI!D26*B733-VERI_TABANI!D26)*VERI_TABANI!$B$8) + (MIN(MAX(0, VERI_TABANI!D26-VERI_TABANI!D26*B733), VERI_TABANI!D26*C733)*VERI_TABANI!$B$7 + MAX(0, VERI_TABANI!D26*C733-MAX(0, VERI_TABANI!D26-VERI_TABANI!D26*B733))*VERI_TABANI!$B$8) + IF(ABS(IF(ISNUMBER(SEARCH("Var", D733)), 1, IF(ISNUMBER(SEARCH("Gri", D733)), -1, 0)))=1, VERI_TABANI!E26*(1-0.928)*VERI_TABANI!$B$9, 0) + (VERI_TABANI!D26*B733*(VERI_TABANI!$B$13-VERI_TABANI!$B$14)*VERI_TABANI!G26) + (VERI_TABANI!D26*C733*(VERI_TABANI!$B$13-VERI_TABANI!$B$15)*VERI_TABANI!G26) + IF(ABS(IF(ISNUMBER(SEARCH("Var", D733)), 1, IF(ISNUMBER(SEARCH("Gri", D733)), -1, 0)))=1, VERI_TABANI!E26*(1-0.928)*0.00206091519919798*VERI_TABANI!G26, 0)) + ((MIN(VERI_TABANI!D27, VERI_TABANI!D27*B733)*VERI_TABANI!$B$7 + MAX(0, VERI_TABANI!D27*B733-VERI_TABANI!D27)*VERI_TABANI!$B$8) + (MIN(MAX(0, VERI_TABANI!D27-VERI_TABANI!D27*B733), VERI_TABANI!D27*C733)*VERI_TABANI!$B$7 + MAX(0, VERI_TABANI!D27*C733-MAX(0, VERI_TABANI!D27-VERI_TABANI!D27*B733))*VERI_TABANI!$B$8) + IF(ABS(IF(ISNUMBER(SEARCH("Var", D733)), 1, IF(ISNUMBER(SEARCH("Gri", D733)), -1, 0)))=1, VERI_TABANI!E27*(1-0.928)*VERI_TABANI!$B$9, 0) + (VERI_TABANI!D27*B733*(VERI_TABANI!$B$13-VERI_TABANI!$B$14)*VERI_TABANI!G27) + (VERI_TABANI!D27*C733*(VERI_TABANI!$B$13-VERI_TABANI!$B$15)*VERI_TABANI!G27) + IF(ABS(IF(ISNUMBER(SEARCH("Var", D733)), 1, IF(ISNUMBER(SEARCH("Gri", D733)), -1, 0)))=1, VERI_TABANI!E27*(1-0.928)*0.00206091519919798*VERI_TABANI!G27, 0)) + ((MIN(VERI_TABANI!D28, VERI_TABANI!D28*B733)*VERI_TABANI!$B$7 + MAX(0, VERI_TABANI!D28*B733-VERI_TABANI!D28)*VERI_TABANI!$B$8) + (MIN(MAX(0, VERI_TABANI!D28-VERI_TABANI!D28*B733), VERI_TABANI!D28*C733)*VERI_TABANI!$B$7 + MAX(0, VERI_TABANI!D28*C733-MAX(0, VERI_TABANI!D28-VERI_TABANI!D28*B733))*VERI_TABANI!$B$8) + IF(ABS(IF(ISNUMBER(SEARCH("Var", D733)), 1, IF(ISNUMBER(SEARCH("Gri", D733)), -1, 0)))=1, VERI_TABANI!E28*(1-0.928)*VERI_TABANI!$B$9, 0) + (VERI_TABANI!D28*B733*(VERI_TABANI!$B$13-VERI_TABANI!$B$14)*VERI_TABANI!G28) + (VERI_TABANI!D28*C733*(VERI_TABANI!$B$13-VERI_TABANI!$B$15)*VERI_TABANI!G28) + IF(ABS(IF(ISNUMBER(SEARCH("Var", D733)), 1, IF(ISNUMBER(SEARCH("Gri", D733)), -1, 0)))=1, VERI_TABANI!E28*(1-0.928)*0.00206091519919798*VERI_TABANI!G28, 0)))</f>
        <v/>
      </c>
      <c r="H733" s="169">
        <f>(((VERI_TABANI!D23*B733*(VERI_TABANI!$B$13-VERI_TABANI!$B$14)) + (VERI_TABANI!D23*C733*(VERI_TABANI!$B$13-VERI_TABANI!$B$15)) + IF(ISNUMBER(SEARCH("Var", D733)), VERI_TABANI!F23*(0.00202-VERI_TABANI!$B$16), IF(ISNUMBER(SEARCH("Gri", D733)), VERI_TABANI!F23*(0.00202-VERI_TABANI!$B$17), 0))) + ((VERI_TABANI!D24*B733*(VERI_TABANI!$B$13-VERI_TABANI!$B$14)) + (VERI_TABANI!D24*C733*(VERI_TABANI!$B$13-VERI_TABANI!$B$15)) + IF(ISNUMBER(SEARCH("Var", D733)), VERI_TABANI!F24*(0.00202-VERI_TABANI!$B$16), IF(ISNUMBER(SEARCH("Gri", D733)), VERI_TABANI!F24*(0.00202-VERI_TABANI!$B$17), 0))) + ((VERI_TABANI!D25*B733*(VERI_TABANI!$B$13-VERI_TABANI!$B$14)) + (VERI_TABANI!D25*C733*(VERI_TABANI!$B$13-VERI_TABANI!$B$15)) + IF(ISNUMBER(SEARCH("Var", D733)), VERI_TABANI!F25*(0.00202-VERI_TABANI!$B$16), IF(ISNUMBER(SEARCH("Gri", D733)), VERI_TABANI!F25*(0.00202-VERI_TABANI!$B$17), 0))) + ((VERI_TABANI!D26*B733*(VERI_TABANI!$B$13-VERI_TABANI!$B$14)) + (VERI_TABANI!D26*C733*(VERI_TABANI!$B$13-VERI_TABANI!$B$15)) + IF(ISNUMBER(SEARCH("Var", D733)), VERI_TABANI!F26*(0.00202-VERI_TABANI!$B$16), IF(ISNUMBER(SEARCH("Gri", D733)), VERI_TABANI!F26*(0.00202-VERI_TABANI!$B$17), 0))) + ((VERI_TABANI!D27*B733*(VERI_TABANI!$B$13-VERI_TABANI!$B$14)) + (VERI_TABANI!D27*C733*(VERI_TABANI!$B$13-VERI_TABANI!$B$15)) + IF(ISNUMBER(SEARCH("Var", D733)), VERI_TABANI!F27*(0.00202-VERI_TABANI!$B$16), IF(ISNUMBER(SEARCH("Gri", D733)), VERI_TABANI!F27*(0.00202-VERI_TABANI!$B$17), 0))) + ((VERI_TABANI!D28*B733*(VERI_TABANI!$B$13-VERI_TABANI!$B$14)) + (VERI_TABANI!D28*C733*(VERI_TABANI!$B$13-VERI_TABANI!$B$15)) + IF(ISNUMBER(SEARCH("Var", D733)), VERI_TABANI!F28*(0.00202-VERI_TABANI!$B$16), IF(ISNUMBER(SEARCH("Gri", D733)), VERI_TABANI!F28*(0.00202-VERI_TABANI!$B$17), 0))))</f>
        <v/>
      </c>
      <c r="I733" s="170">
        <f>IFERROR(((VERI_TABANI!$D$29*B733*VERI_TABANI!$B$14 + VERI_TABANI!$D$29*C733*VERI_TABANI!$B$15 + IF(ISNUMBER(SEARCH("Var", D733)), VERI_TABANI!$F$29*VERI_TABANI!$B$16, 0))) / (((VERI_TABANI!$D$29*B733 + VERI_TABANI!$D$29*C733)*VERI_TABANI!$B$13 + IF(ISNUMBER(SEARCH("Var", D733)), VERI_TABANI!$E$29*(1-0.928)*VERI_TABANI!$B$18, 0))), 0)</f>
        <v/>
      </c>
      <c r="J733" s="171">
        <f>IFERROR(F733/(G733/29), 0)</f>
        <v/>
      </c>
      <c r="K733" s="172">
        <f>IF(F733&gt;0, H733/F733, 0)</f>
        <v/>
      </c>
      <c r="L733" s="170">
        <f>IF(F733&gt;0, I733, 1000000000)</f>
        <v/>
      </c>
      <c r="M733" s="171">
        <f>ABS((B733+C733)-1)</f>
        <v/>
      </c>
      <c r="N733" s="170">
        <f>IF(F733&gt;0, (G733/29)/F733, 0)</f>
        <v/>
      </c>
      <c r="O733" s="168">
        <f>IF(AND((B733+C733)&gt;=1, ISNUMBER(SEARCH("Var", D733))), F733, 1000000000)</f>
        <v/>
      </c>
      <c r="P733" s="172">
        <f>IF(F733&gt;0, SQRT((F733/MAX(F$5:F$886))^2 + (1 - H733/MAX(H$5:H$886))^2 + (J733/MAX(J$5:J$886))^2), 1000000000)</f>
        <v/>
      </c>
      <c r="Q733" s="166">
        <f>IF(AND(ABS(B733-0.5)&lt;0.01, ABS(C733-0.5)&lt;0.01, ISNUMBER(SEARCH("Var", D733))), 1, 0)</f>
        <v/>
      </c>
      <c r="R733" s="171">
        <f>IF(F733&gt;0, J733, 1000000000)</f>
        <v/>
      </c>
      <c r="S733" s="101">
        <f>IF(AND(F733&lt;=DASHBOARD!$B$11, H733&gt;=DASHBOARD!$B$13), G733, -1000000000000)</f>
        <v/>
      </c>
      <c r="T733" s="101">
        <f>IF(AND(F733&lt;=DASHBOARD!$B$11, H733&gt;=DASHBOARD!$B$13), R733, 1000000000000)</f>
        <v/>
      </c>
      <c r="U733" s="101">
        <f>IF(AND(F733&lt;=DASHBOARD!$B$11, H733&gt;=DASHBOARD!$B$13), N733, -1000000000000)</f>
        <v/>
      </c>
      <c r="V733" s="101">
        <f>IF(AND(F733&lt;=DASHBOARD!$B$11, H733&gt;=DASHBOARD!$B$13), H733, -1000000000000)</f>
        <v/>
      </c>
      <c r="W733" s="101">
        <f>IF(AND(F733&lt;=DASHBOARD!$B$11, H733&gt;=DASHBOARD!$B$13), K733, -1000000000000)</f>
        <v/>
      </c>
      <c r="X733" s="101">
        <f>IF(AND(F733&lt;=DASHBOARD!$B$11, H733&gt;=DASHBOARD!$B$13), M733, 1000000000000)</f>
        <v/>
      </c>
      <c r="Y733" s="101">
        <f>IF(AND(F733&lt;=DASHBOARD!$B$10, H733&gt;=DASHBOARD!$B$11), L733, 1000000000000)</f>
        <v/>
      </c>
      <c r="Z733" s="101">
        <f>IF(AND(F733&lt;=DASHBOARD!$B$10, H733&gt;=DASHBOARD!$B$11), O733, 1000000000000)</f>
        <v/>
      </c>
      <c r="AA733" s="101">
        <f>IF(AND(F733&lt;=DASHBOARD!$B$10, H733&gt;=DASHBOARD!$B$11), P733, 1000000000000)</f>
        <v/>
      </c>
      <c r="AB733" s="101">
        <f>IF(AND(F733&lt;=DASHBOARD!$B$10, H733&gt;=DASHBOARD!$B$11), Q733, -1000000000000)</f>
        <v/>
      </c>
    </row>
    <row r="734" ht="15" customHeight="1" s="102">
      <c r="A734" s="166" t="n">
        <v>730</v>
      </c>
      <c r="B734" s="167" t="n">
        <v>1.7</v>
      </c>
      <c r="C734" s="167" t="n">
        <v>0.7</v>
      </c>
      <c r="D734" s="110" t="inlineStr">
        <is>
          <t>Var (%20)</t>
        </is>
      </c>
      <c r="E734" s="110">
        <f>IF((B734+C734)&lt;=1, "Tam Mahsuplaşma (≤%100)", "Kısmi Satış (&gt;%100)")</f>
        <v/>
      </c>
      <c r="F734" s="168">
        <f>((VERI_TABANI!$D$29*B734/VERI_TABANI!$B$29)/VERI_TABANI!$B$3)*VERI_TABANI!$B$5 + ((VERI_TABANI!$D$29*C734/VERI_TABANI!$B$29)/VERI_TABANI!$B$4)*VERI_TABANI!$B$6 + IF(ISNUMBER(SEARCH("Var", D734)), (VERI_TABANI!$F$29/VERI_TABANI!$B$29)*(VERI_TABANI!$B$10+VERI_TABANI!$B$12), 0)</f>
        <v/>
      </c>
      <c r="G734" s="168">
        <f>(((MIN(VERI_TABANI!D23, VERI_TABANI!D23*B734)*VERI_TABANI!$B$7 + MAX(0, VERI_TABANI!D23*B734-VERI_TABANI!D23)*VERI_TABANI!$B$8) + (MIN(MAX(0, VERI_TABANI!D23-VERI_TABANI!D23*B734), VERI_TABANI!D23*C734)*VERI_TABANI!$B$7 + MAX(0, VERI_TABANI!D23*C734-MAX(0, VERI_TABANI!D23-VERI_TABANI!D23*B734))*VERI_TABANI!$B$8) + IF(ABS(IF(ISNUMBER(SEARCH("Var", D734)), 1, IF(ISNUMBER(SEARCH("Gri", D734)), -1, 0)))=1, VERI_TABANI!E23*(1-0.928)*VERI_TABANI!$B$9, 0) + (VERI_TABANI!D23*B734*(VERI_TABANI!$B$13-VERI_TABANI!$B$14)*VERI_TABANI!G23) + (VERI_TABANI!D23*C734*(VERI_TABANI!$B$13-VERI_TABANI!$B$15)*VERI_TABANI!G23) + IF(ABS(IF(ISNUMBER(SEARCH("Var", D734)), 1, IF(ISNUMBER(SEARCH("Gri", D734)), -1, 0)))=1, VERI_TABANI!E23*(1-0.928)*0.00206091519919798*VERI_TABANI!G23, 0)) + ((MIN(VERI_TABANI!D24, VERI_TABANI!D24*B734)*VERI_TABANI!$B$7 + MAX(0, VERI_TABANI!D24*B734-VERI_TABANI!D24)*VERI_TABANI!$B$8) + (MIN(MAX(0, VERI_TABANI!D24-VERI_TABANI!D24*B734), VERI_TABANI!D24*C734)*VERI_TABANI!$B$7 + MAX(0, VERI_TABANI!D24*C734-MAX(0, VERI_TABANI!D24-VERI_TABANI!D24*B734))*VERI_TABANI!$B$8) + IF(ABS(IF(ISNUMBER(SEARCH("Var", D734)), 1, IF(ISNUMBER(SEARCH("Gri", D734)), -1, 0)))=1, VERI_TABANI!E24*(1-0.928)*VERI_TABANI!$B$9, 0) + (VERI_TABANI!D24*B734*(VERI_TABANI!$B$13-VERI_TABANI!$B$14)*VERI_TABANI!G24) + (VERI_TABANI!D24*C734*(VERI_TABANI!$B$13-VERI_TABANI!$B$15)*VERI_TABANI!G24) + IF(ABS(IF(ISNUMBER(SEARCH("Var", D734)), 1, IF(ISNUMBER(SEARCH("Gri", D734)), -1, 0)))=1, VERI_TABANI!E24*(1-0.928)*0.00206091519919798*VERI_TABANI!G24, 0)) + ((MIN(VERI_TABANI!D25, VERI_TABANI!D25*B734)*VERI_TABANI!$B$7 + MAX(0, VERI_TABANI!D25*B734-VERI_TABANI!D25)*VERI_TABANI!$B$8) + (MIN(MAX(0, VERI_TABANI!D25-VERI_TABANI!D25*B734), VERI_TABANI!D25*C734)*VERI_TABANI!$B$7 + MAX(0, VERI_TABANI!D25*C734-MAX(0, VERI_TABANI!D25-VERI_TABANI!D25*B734))*VERI_TABANI!$B$8) + IF(ABS(IF(ISNUMBER(SEARCH("Var", D734)), 1, IF(ISNUMBER(SEARCH("Gri", D734)), -1, 0)))=1, VERI_TABANI!E25*(1-0.928)*VERI_TABANI!$B$9, 0) + (VERI_TABANI!D25*B734*(VERI_TABANI!$B$13-VERI_TABANI!$B$14)*VERI_TABANI!G25) + (VERI_TABANI!D25*C734*(VERI_TABANI!$B$13-VERI_TABANI!$B$15)*VERI_TABANI!G25) + IF(ABS(IF(ISNUMBER(SEARCH("Var", D734)), 1, IF(ISNUMBER(SEARCH("Gri", D734)), -1, 0)))=1, VERI_TABANI!E25*(1-0.928)*0.00206091519919798*VERI_TABANI!G25, 0)) + ((MIN(VERI_TABANI!D26, VERI_TABANI!D26*B734)*VERI_TABANI!$B$7 + MAX(0, VERI_TABANI!D26*B734-VERI_TABANI!D26)*VERI_TABANI!$B$8) + (MIN(MAX(0, VERI_TABANI!D26-VERI_TABANI!D26*B734), VERI_TABANI!D26*C734)*VERI_TABANI!$B$7 + MAX(0, VERI_TABANI!D26*C734-MAX(0, VERI_TABANI!D26-VERI_TABANI!D26*B734))*VERI_TABANI!$B$8) + IF(ABS(IF(ISNUMBER(SEARCH("Var", D734)), 1, IF(ISNUMBER(SEARCH("Gri", D734)), -1, 0)))=1, VERI_TABANI!E26*(1-0.928)*VERI_TABANI!$B$9, 0) + (VERI_TABANI!D26*B734*(VERI_TABANI!$B$13-VERI_TABANI!$B$14)*VERI_TABANI!G26) + (VERI_TABANI!D26*C734*(VERI_TABANI!$B$13-VERI_TABANI!$B$15)*VERI_TABANI!G26) + IF(ABS(IF(ISNUMBER(SEARCH("Var", D734)), 1, IF(ISNUMBER(SEARCH("Gri", D734)), -1, 0)))=1, VERI_TABANI!E26*(1-0.928)*0.00206091519919798*VERI_TABANI!G26, 0)) + ((MIN(VERI_TABANI!D27, VERI_TABANI!D27*B734)*VERI_TABANI!$B$7 + MAX(0, VERI_TABANI!D27*B734-VERI_TABANI!D27)*VERI_TABANI!$B$8) + (MIN(MAX(0, VERI_TABANI!D27-VERI_TABANI!D27*B734), VERI_TABANI!D27*C734)*VERI_TABANI!$B$7 + MAX(0, VERI_TABANI!D27*C734-MAX(0, VERI_TABANI!D27-VERI_TABANI!D27*B734))*VERI_TABANI!$B$8) + IF(ABS(IF(ISNUMBER(SEARCH("Var", D734)), 1, IF(ISNUMBER(SEARCH("Gri", D734)), -1, 0)))=1, VERI_TABANI!E27*(1-0.928)*VERI_TABANI!$B$9, 0) + (VERI_TABANI!D27*B734*(VERI_TABANI!$B$13-VERI_TABANI!$B$14)*VERI_TABANI!G27) + (VERI_TABANI!D27*C734*(VERI_TABANI!$B$13-VERI_TABANI!$B$15)*VERI_TABANI!G27) + IF(ABS(IF(ISNUMBER(SEARCH("Var", D734)), 1, IF(ISNUMBER(SEARCH("Gri", D734)), -1, 0)))=1, VERI_TABANI!E27*(1-0.928)*0.00206091519919798*VERI_TABANI!G27, 0)) + ((MIN(VERI_TABANI!D28, VERI_TABANI!D28*B734)*VERI_TABANI!$B$7 + MAX(0, VERI_TABANI!D28*B734-VERI_TABANI!D28)*VERI_TABANI!$B$8) + (MIN(MAX(0, VERI_TABANI!D28-VERI_TABANI!D28*B734), VERI_TABANI!D28*C734)*VERI_TABANI!$B$7 + MAX(0, VERI_TABANI!D28*C734-MAX(0, VERI_TABANI!D28-VERI_TABANI!D28*B734))*VERI_TABANI!$B$8) + IF(ABS(IF(ISNUMBER(SEARCH("Var", D734)), 1, IF(ISNUMBER(SEARCH("Gri", D734)), -1, 0)))=1, VERI_TABANI!E28*(1-0.928)*VERI_TABANI!$B$9, 0) + (VERI_TABANI!D28*B734*(VERI_TABANI!$B$13-VERI_TABANI!$B$14)*VERI_TABANI!G28) + (VERI_TABANI!D28*C734*(VERI_TABANI!$B$13-VERI_TABANI!$B$15)*VERI_TABANI!G28) + IF(ABS(IF(ISNUMBER(SEARCH("Var", D734)), 1, IF(ISNUMBER(SEARCH("Gri", D734)), -1, 0)))=1, VERI_TABANI!E28*(1-0.928)*0.00206091519919798*VERI_TABANI!G28, 0)))</f>
        <v/>
      </c>
      <c r="H734" s="169">
        <f>(((VERI_TABANI!D23*B734*(VERI_TABANI!$B$13-VERI_TABANI!$B$14)) + (VERI_TABANI!D23*C734*(VERI_TABANI!$B$13-VERI_TABANI!$B$15)) + IF(ISNUMBER(SEARCH("Var", D734)), VERI_TABANI!F23*(0.00202-VERI_TABANI!$B$16), IF(ISNUMBER(SEARCH("Gri", D734)), VERI_TABANI!F23*(0.00202-VERI_TABANI!$B$17), 0))) + ((VERI_TABANI!D24*B734*(VERI_TABANI!$B$13-VERI_TABANI!$B$14)) + (VERI_TABANI!D24*C734*(VERI_TABANI!$B$13-VERI_TABANI!$B$15)) + IF(ISNUMBER(SEARCH("Var", D734)), VERI_TABANI!F24*(0.00202-VERI_TABANI!$B$16), IF(ISNUMBER(SEARCH("Gri", D734)), VERI_TABANI!F24*(0.00202-VERI_TABANI!$B$17), 0))) + ((VERI_TABANI!D25*B734*(VERI_TABANI!$B$13-VERI_TABANI!$B$14)) + (VERI_TABANI!D25*C734*(VERI_TABANI!$B$13-VERI_TABANI!$B$15)) + IF(ISNUMBER(SEARCH("Var", D734)), VERI_TABANI!F25*(0.00202-VERI_TABANI!$B$16), IF(ISNUMBER(SEARCH("Gri", D734)), VERI_TABANI!F25*(0.00202-VERI_TABANI!$B$17), 0))) + ((VERI_TABANI!D26*B734*(VERI_TABANI!$B$13-VERI_TABANI!$B$14)) + (VERI_TABANI!D26*C734*(VERI_TABANI!$B$13-VERI_TABANI!$B$15)) + IF(ISNUMBER(SEARCH("Var", D734)), VERI_TABANI!F26*(0.00202-VERI_TABANI!$B$16), IF(ISNUMBER(SEARCH("Gri", D734)), VERI_TABANI!F26*(0.00202-VERI_TABANI!$B$17), 0))) + ((VERI_TABANI!D27*B734*(VERI_TABANI!$B$13-VERI_TABANI!$B$14)) + (VERI_TABANI!D27*C734*(VERI_TABANI!$B$13-VERI_TABANI!$B$15)) + IF(ISNUMBER(SEARCH("Var", D734)), VERI_TABANI!F27*(0.00202-VERI_TABANI!$B$16), IF(ISNUMBER(SEARCH("Gri", D734)), VERI_TABANI!F27*(0.00202-VERI_TABANI!$B$17), 0))) + ((VERI_TABANI!D28*B734*(VERI_TABANI!$B$13-VERI_TABANI!$B$14)) + (VERI_TABANI!D28*C734*(VERI_TABANI!$B$13-VERI_TABANI!$B$15)) + IF(ISNUMBER(SEARCH("Var", D734)), VERI_TABANI!F28*(0.00202-VERI_TABANI!$B$16), IF(ISNUMBER(SEARCH("Gri", D734)), VERI_TABANI!F28*(0.00202-VERI_TABANI!$B$17), 0))))</f>
        <v/>
      </c>
      <c r="I734" s="170">
        <f>IFERROR(((VERI_TABANI!$D$29*B734*VERI_TABANI!$B$14 + VERI_TABANI!$D$29*C734*VERI_TABANI!$B$15 + IF(ISNUMBER(SEARCH("Var", D734)), VERI_TABANI!$F$29*VERI_TABANI!$B$16, 0))) / (((VERI_TABANI!$D$29*B734 + VERI_TABANI!$D$29*C734)*VERI_TABANI!$B$13 + IF(ISNUMBER(SEARCH("Var", D734)), VERI_TABANI!$E$29*(1-0.928)*VERI_TABANI!$B$18, 0))), 0)</f>
        <v/>
      </c>
      <c r="J734" s="171">
        <f>IFERROR(F734/(G734/29), 0)</f>
        <v/>
      </c>
      <c r="K734" s="172">
        <f>IF(F734&gt;0, H734/F734, 0)</f>
        <v/>
      </c>
      <c r="L734" s="170">
        <f>IF(F734&gt;0, I734, 1000000000)</f>
        <v/>
      </c>
      <c r="M734" s="171">
        <f>ABS((B734+C734)-1)</f>
        <v/>
      </c>
      <c r="N734" s="170">
        <f>IF(F734&gt;0, (G734/29)/F734, 0)</f>
        <v/>
      </c>
      <c r="O734" s="168">
        <f>IF(AND((B734+C734)&gt;=1, ISNUMBER(SEARCH("Var", D734))), F734, 1000000000)</f>
        <v/>
      </c>
      <c r="P734" s="172">
        <f>IF(F734&gt;0, SQRT((F734/MAX(F$5:F$886))^2 + (1 - H734/MAX(H$5:H$886))^2 + (J734/MAX(J$5:J$886))^2), 1000000000)</f>
        <v/>
      </c>
      <c r="Q734" s="166">
        <f>IF(AND(ABS(B734-0.5)&lt;0.01, ABS(C734-0.5)&lt;0.01, ISNUMBER(SEARCH("Var", D734))), 1, 0)</f>
        <v/>
      </c>
      <c r="R734" s="171">
        <f>IF(F734&gt;0, J734, 1000000000)</f>
        <v/>
      </c>
      <c r="S734" s="101">
        <f>IF(AND(F734&lt;=DASHBOARD!$B$11, H734&gt;=DASHBOARD!$B$13), G734, -1000000000000)</f>
        <v/>
      </c>
      <c r="T734" s="101">
        <f>IF(AND(F734&lt;=DASHBOARD!$B$11, H734&gt;=DASHBOARD!$B$13), R734, 1000000000000)</f>
        <v/>
      </c>
      <c r="U734" s="101">
        <f>IF(AND(F734&lt;=DASHBOARD!$B$11, H734&gt;=DASHBOARD!$B$13), N734, -1000000000000)</f>
        <v/>
      </c>
      <c r="V734" s="101">
        <f>IF(AND(F734&lt;=DASHBOARD!$B$11, H734&gt;=DASHBOARD!$B$13), H734, -1000000000000)</f>
        <v/>
      </c>
      <c r="W734" s="101">
        <f>IF(AND(F734&lt;=DASHBOARD!$B$11, H734&gt;=DASHBOARD!$B$13), K734, -1000000000000)</f>
        <v/>
      </c>
      <c r="X734" s="101">
        <f>IF(AND(F734&lt;=DASHBOARD!$B$11, H734&gt;=DASHBOARD!$B$13), M734, 1000000000000)</f>
        <v/>
      </c>
      <c r="Y734" s="101">
        <f>IF(AND(F734&lt;=DASHBOARD!$B$10, H734&gt;=DASHBOARD!$B$11), L734, 1000000000000)</f>
        <v/>
      </c>
      <c r="Z734" s="101">
        <f>IF(AND(F734&lt;=DASHBOARD!$B$10, H734&gt;=DASHBOARD!$B$11), O734, 1000000000000)</f>
        <v/>
      </c>
      <c r="AA734" s="101">
        <f>IF(AND(F734&lt;=DASHBOARD!$B$10, H734&gt;=DASHBOARD!$B$11), P734, 1000000000000)</f>
        <v/>
      </c>
      <c r="AB734" s="101">
        <f>IF(AND(F734&lt;=DASHBOARD!$B$10, H734&gt;=DASHBOARD!$B$11), Q734, -1000000000000)</f>
        <v/>
      </c>
    </row>
    <row r="735" ht="15" customHeight="1" s="102">
      <c r="A735" s="166" t="n">
        <v>731</v>
      </c>
      <c r="B735" s="167" t="n">
        <v>1.7</v>
      </c>
      <c r="C735" s="167" t="n">
        <v>0.8</v>
      </c>
      <c r="D735" s="110" t="inlineStr">
        <is>
          <t>Yok (%0)</t>
        </is>
      </c>
      <c r="E735" s="110">
        <f>IF((B735+C735)&lt;=1, "Tam Mahsuplaşma (≤%100)", "Kısmi Satış (&gt;%100)")</f>
        <v/>
      </c>
      <c r="F735" s="168">
        <f>((VERI_TABANI!$D$29*B735/VERI_TABANI!$B$29)/VERI_TABANI!$B$3)*VERI_TABANI!$B$5 + ((VERI_TABANI!$D$29*C735/VERI_TABANI!$B$29)/VERI_TABANI!$B$4)*VERI_TABANI!$B$6 + IF(ISNUMBER(SEARCH("Var", D735)), (VERI_TABANI!$F$29/VERI_TABANI!$B$29)*(VERI_TABANI!$B$10+VERI_TABANI!$B$12), 0)</f>
        <v/>
      </c>
      <c r="G735" s="168">
        <f>(((MIN(VERI_TABANI!D23, VERI_TABANI!D23*B735)*VERI_TABANI!$B$7 + MAX(0, VERI_TABANI!D23*B735-VERI_TABANI!D23)*VERI_TABANI!$B$8) + (MIN(MAX(0, VERI_TABANI!D23-VERI_TABANI!D23*B735), VERI_TABANI!D23*C735)*VERI_TABANI!$B$7 + MAX(0, VERI_TABANI!D23*C735-MAX(0, VERI_TABANI!D23-VERI_TABANI!D23*B735))*VERI_TABANI!$B$8) + IF(ABS(IF(ISNUMBER(SEARCH("Var", D735)), 1, IF(ISNUMBER(SEARCH("Gri", D735)), -1, 0)))=1, VERI_TABANI!E23*(1-0.928)*VERI_TABANI!$B$9, 0) + (VERI_TABANI!D23*B735*(VERI_TABANI!$B$13-VERI_TABANI!$B$14)*VERI_TABANI!G23) + (VERI_TABANI!D23*C735*(VERI_TABANI!$B$13-VERI_TABANI!$B$15)*VERI_TABANI!G23) + IF(ABS(IF(ISNUMBER(SEARCH("Var", D735)), 1, IF(ISNUMBER(SEARCH("Gri", D735)), -1, 0)))=1, VERI_TABANI!E23*(1-0.928)*0.00206091519919798*VERI_TABANI!G23, 0)) + ((MIN(VERI_TABANI!D24, VERI_TABANI!D24*B735)*VERI_TABANI!$B$7 + MAX(0, VERI_TABANI!D24*B735-VERI_TABANI!D24)*VERI_TABANI!$B$8) + (MIN(MAX(0, VERI_TABANI!D24-VERI_TABANI!D24*B735), VERI_TABANI!D24*C735)*VERI_TABANI!$B$7 + MAX(0, VERI_TABANI!D24*C735-MAX(0, VERI_TABANI!D24-VERI_TABANI!D24*B735))*VERI_TABANI!$B$8) + IF(ABS(IF(ISNUMBER(SEARCH("Var", D735)), 1, IF(ISNUMBER(SEARCH("Gri", D735)), -1, 0)))=1, VERI_TABANI!E24*(1-0.928)*VERI_TABANI!$B$9, 0) + (VERI_TABANI!D24*B735*(VERI_TABANI!$B$13-VERI_TABANI!$B$14)*VERI_TABANI!G24) + (VERI_TABANI!D24*C735*(VERI_TABANI!$B$13-VERI_TABANI!$B$15)*VERI_TABANI!G24) + IF(ABS(IF(ISNUMBER(SEARCH("Var", D735)), 1, IF(ISNUMBER(SEARCH("Gri", D735)), -1, 0)))=1, VERI_TABANI!E24*(1-0.928)*0.00206091519919798*VERI_TABANI!G24, 0)) + ((MIN(VERI_TABANI!D25, VERI_TABANI!D25*B735)*VERI_TABANI!$B$7 + MAX(0, VERI_TABANI!D25*B735-VERI_TABANI!D25)*VERI_TABANI!$B$8) + (MIN(MAX(0, VERI_TABANI!D25-VERI_TABANI!D25*B735), VERI_TABANI!D25*C735)*VERI_TABANI!$B$7 + MAX(0, VERI_TABANI!D25*C735-MAX(0, VERI_TABANI!D25-VERI_TABANI!D25*B735))*VERI_TABANI!$B$8) + IF(ABS(IF(ISNUMBER(SEARCH("Var", D735)), 1, IF(ISNUMBER(SEARCH("Gri", D735)), -1, 0)))=1, VERI_TABANI!E25*(1-0.928)*VERI_TABANI!$B$9, 0) + (VERI_TABANI!D25*B735*(VERI_TABANI!$B$13-VERI_TABANI!$B$14)*VERI_TABANI!G25) + (VERI_TABANI!D25*C735*(VERI_TABANI!$B$13-VERI_TABANI!$B$15)*VERI_TABANI!G25) + IF(ABS(IF(ISNUMBER(SEARCH("Var", D735)), 1, IF(ISNUMBER(SEARCH("Gri", D735)), -1, 0)))=1, VERI_TABANI!E25*(1-0.928)*0.00206091519919798*VERI_TABANI!G25, 0)) + ((MIN(VERI_TABANI!D26, VERI_TABANI!D26*B735)*VERI_TABANI!$B$7 + MAX(0, VERI_TABANI!D26*B735-VERI_TABANI!D26)*VERI_TABANI!$B$8) + (MIN(MAX(0, VERI_TABANI!D26-VERI_TABANI!D26*B735), VERI_TABANI!D26*C735)*VERI_TABANI!$B$7 + MAX(0, VERI_TABANI!D26*C735-MAX(0, VERI_TABANI!D26-VERI_TABANI!D26*B735))*VERI_TABANI!$B$8) + IF(ABS(IF(ISNUMBER(SEARCH("Var", D735)), 1, IF(ISNUMBER(SEARCH("Gri", D735)), -1, 0)))=1, VERI_TABANI!E26*(1-0.928)*VERI_TABANI!$B$9, 0) + (VERI_TABANI!D26*B735*(VERI_TABANI!$B$13-VERI_TABANI!$B$14)*VERI_TABANI!G26) + (VERI_TABANI!D26*C735*(VERI_TABANI!$B$13-VERI_TABANI!$B$15)*VERI_TABANI!G26) + IF(ABS(IF(ISNUMBER(SEARCH("Var", D735)), 1, IF(ISNUMBER(SEARCH("Gri", D735)), -1, 0)))=1, VERI_TABANI!E26*(1-0.928)*0.00206091519919798*VERI_TABANI!G26, 0)) + ((MIN(VERI_TABANI!D27, VERI_TABANI!D27*B735)*VERI_TABANI!$B$7 + MAX(0, VERI_TABANI!D27*B735-VERI_TABANI!D27)*VERI_TABANI!$B$8) + (MIN(MAX(0, VERI_TABANI!D27-VERI_TABANI!D27*B735), VERI_TABANI!D27*C735)*VERI_TABANI!$B$7 + MAX(0, VERI_TABANI!D27*C735-MAX(0, VERI_TABANI!D27-VERI_TABANI!D27*B735))*VERI_TABANI!$B$8) + IF(ABS(IF(ISNUMBER(SEARCH("Var", D735)), 1, IF(ISNUMBER(SEARCH("Gri", D735)), -1, 0)))=1, VERI_TABANI!E27*(1-0.928)*VERI_TABANI!$B$9, 0) + (VERI_TABANI!D27*B735*(VERI_TABANI!$B$13-VERI_TABANI!$B$14)*VERI_TABANI!G27) + (VERI_TABANI!D27*C735*(VERI_TABANI!$B$13-VERI_TABANI!$B$15)*VERI_TABANI!G27) + IF(ABS(IF(ISNUMBER(SEARCH("Var", D735)), 1, IF(ISNUMBER(SEARCH("Gri", D735)), -1, 0)))=1, VERI_TABANI!E27*(1-0.928)*0.00206091519919798*VERI_TABANI!G27, 0)) + ((MIN(VERI_TABANI!D28, VERI_TABANI!D28*B735)*VERI_TABANI!$B$7 + MAX(0, VERI_TABANI!D28*B735-VERI_TABANI!D28)*VERI_TABANI!$B$8) + (MIN(MAX(0, VERI_TABANI!D28-VERI_TABANI!D28*B735), VERI_TABANI!D28*C735)*VERI_TABANI!$B$7 + MAX(0, VERI_TABANI!D28*C735-MAX(0, VERI_TABANI!D28-VERI_TABANI!D28*B735))*VERI_TABANI!$B$8) + IF(ABS(IF(ISNUMBER(SEARCH("Var", D735)), 1, IF(ISNUMBER(SEARCH("Gri", D735)), -1, 0)))=1, VERI_TABANI!E28*(1-0.928)*VERI_TABANI!$B$9, 0) + (VERI_TABANI!D28*B735*(VERI_TABANI!$B$13-VERI_TABANI!$B$14)*VERI_TABANI!G28) + (VERI_TABANI!D28*C735*(VERI_TABANI!$B$13-VERI_TABANI!$B$15)*VERI_TABANI!G28) + IF(ABS(IF(ISNUMBER(SEARCH("Var", D735)), 1, IF(ISNUMBER(SEARCH("Gri", D735)), -1, 0)))=1, VERI_TABANI!E28*(1-0.928)*0.00206091519919798*VERI_TABANI!G28, 0)))</f>
        <v/>
      </c>
      <c r="H735" s="169">
        <f>(((VERI_TABANI!D23*B735*(VERI_TABANI!$B$13-VERI_TABANI!$B$14)) + (VERI_TABANI!D23*C735*(VERI_TABANI!$B$13-VERI_TABANI!$B$15)) + IF(ISNUMBER(SEARCH("Var", D735)), VERI_TABANI!F23*(0.00202-VERI_TABANI!$B$16), IF(ISNUMBER(SEARCH("Gri", D735)), VERI_TABANI!F23*(0.00202-VERI_TABANI!$B$17), 0))) + ((VERI_TABANI!D24*B735*(VERI_TABANI!$B$13-VERI_TABANI!$B$14)) + (VERI_TABANI!D24*C735*(VERI_TABANI!$B$13-VERI_TABANI!$B$15)) + IF(ISNUMBER(SEARCH("Var", D735)), VERI_TABANI!F24*(0.00202-VERI_TABANI!$B$16), IF(ISNUMBER(SEARCH("Gri", D735)), VERI_TABANI!F24*(0.00202-VERI_TABANI!$B$17), 0))) + ((VERI_TABANI!D25*B735*(VERI_TABANI!$B$13-VERI_TABANI!$B$14)) + (VERI_TABANI!D25*C735*(VERI_TABANI!$B$13-VERI_TABANI!$B$15)) + IF(ISNUMBER(SEARCH("Var", D735)), VERI_TABANI!F25*(0.00202-VERI_TABANI!$B$16), IF(ISNUMBER(SEARCH("Gri", D735)), VERI_TABANI!F25*(0.00202-VERI_TABANI!$B$17), 0))) + ((VERI_TABANI!D26*B735*(VERI_TABANI!$B$13-VERI_TABANI!$B$14)) + (VERI_TABANI!D26*C735*(VERI_TABANI!$B$13-VERI_TABANI!$B$15)) + IF(ISNUMBER(SEARCH("Var", D735)), VERI_TABANI!F26*(0.00202-VERI_TABANI!$B$16), IF(ISNUMBER(SEARCH("Gri", D735)), VERI_TABANI!F26*(0.00202-VERI_TABANI!$B$17), 0))) + ((VERI_TABANI!D27*B735*(VERI_TABANI!$B$13-VERI_TABANI!$B$14)) + (VERI_TABANI!D27*C735*(VERI_TABANI!$B$13-VERI_TABANI!$B$15)) + IF(ISNUMBER(SEARCH("Var", D735)), VERI_TABANI!F27*(0.00202-VERI_TABANI!$B$16), IF(ISNUMBER(SEARCH("Gri", D735)), VERI_TABANI!F27*(0.00202-VERI_TABANI!$B$17), 0))) + ((VERI_TABANI!D28*B735*(VERI_TABANI!$B$13-VERI_TABANI!$B$14)) + (VERI_TABANI!D28*C735*(VERI_TABANI!$B$13-VERI_TABANI!$B$15)) + IF(ISNUMBER(SEARCH("Var", D735)), VERI_TABANI!F28*(0.00202-VERI_TABANI!$B$16), IF(ISNUMBER(SEARCH("Gri", D735)), VERI_TABANI!F28*(0.00202-VERI_TABANI!$B$17), 0))))</f>
        <v/>
      </c>
      <c r="I735" s="170">
        <f>IFERROR(((VERI_TABANI!$D$29*B735*VERI_TABANI!$B$14 + VERI_TABANI!$D$29*C735*VERI_TABANI!$B$15 + IF(ISNUMBER(SEARCH("Var", D735)), VERI_TABANI!$F$29*VERI_TABANI!$B$16, 0))) / (((VERI_TABANI!$D$29*B735 + VERI_TABANI!$D$29*C735)*VERI_TABANI!$B$13 + IF(ISNUMBER(SEARCH("Var", D735)), VERI_TABANI!$E$29*(1-0.928)*VERI_TABANI!$B$18, 0))), 0)</f>
        <v/>
      </c>
      <c r="J735" s="171">
        <f>IFERROR(F735/(G735/29), 0)</f>
        <v/>
      </c>
      <c r="K735" s="172">
        <f>IF(F735&gt;0, H735/F735, 0)</f>
        <v/>
      </c>
      <c r="L735" s="170">
        <f>IF(F735&gt;0, I735, 1000000000)</f>
        <v/>
      </c>
      <c r="M735" s="171">
        <f>ABS((B735+C735)-1)</f>
        <v/>
      </c>
      <c r="N735" s="170">
        <f>IF(F735&gt;0, (G735/29)/F735, 0)</f>
        <v/>
      </c>
      <c r="O735" s="168">
        <f>IF(AND((B735+C735)&gt;=1, ISNUMBER(SEARCH("Var", D735))), F735, 1000000000)</f>
        <v/>
      </c>
      <c r="P735" s="172">
        <f>IF(F735&gt;0, SQRT((F735/MAX(F$5:F$886))^2 + (1 - H735/MAX(H$5:H$886))^2 + (J735/MAX(J$5:J$886))^2), 1000000000)</f>
        <v/>
      </c>
      <c r="Q735" s="166">
        <f>IF(AND(ABS(B735-0.5)&lt;0.01, ABS(C735-0.5)&lt;0.01, ISNUMBER(SEARCH("Var", D735))), 1, 0)</f>
        <v/>
      </c>
      <c r="R735" s="171">
        <f>IF(F735&gt;0, J735, 1000000000)</f>
        <v/>
      </c>
      <c r="S735" s="101">
        <f>IF(AND(F735&lt;=DASHBOARD!$B$11, H735&gt;=DASHBOARD!$B$13), G735, -1000000000000)</f>
        <v/>
      </c>
      <c r="T735" s="101">
        <f>IF(AND(F735&lt;=DASHBOARD!$B$11, H735&gt;=DASHBOARD!$B$13), R735, 1000000000000)</f>
        <v/>
      </c>
      <c r="U735" s="101">
        <f>IF(AND(F735&lt;=DASHBOARD!$B$11, H735&gt;=DASHBOARD!$B$13), N735, -1000000000000)</f>
        <v/>
      </c>
      <c r="V735" s="101">
        <f>IF(AND(F735&lt;=DASHBOARD!$B$11, H735&gt;=DASHBOARD!$B$13), H735, -1000000000000)</f>
        <v/>
      </c>
      <c r="W735" s="101">
        <f>IF(AND(F735&lt;=DASHBOARD!$B$11, H735&gt;=DASHBOARD!$B$13), K735, -1000000000000)</f>
        <v/>
      </c>
      <c r="X735" s="101">
        <f>IF(AND(F735&lt;=DASHBOARD!$B$11, H735&gt;=DASHBOARD!$B$13), M735, 1000000000000)</f>
        <v/>
      </c>
      <c r="Y735" s="101">
        <f>IF(AND(F735&lt;=DASHBOARD!$B$10, H735&gt;=DASHBOARD!$B$11), L735, 1000000000000)</f>
        <v/>
      </c>
      <c r="Z735" s="101">
        <f>IF(AND(F735&lt;=DASHBOARD!$B$10, H735&gt;=DASHBOARD!$B$11), O735, 1000000000000)</f>
        <v/>
      </c>
      <c r="AA735" s="101">
        <f>IF(AND(F735&lt;=DASHBOARD!$B$10, H735&gt;=DASHBOARD!$B$11), P735, 1000000000000)</f>
        <v/>
      </c>
      <c r="AB735" s="101">
        <f>IF(AND(F735&lt;=DASHBOARD!$B$10, H735&gt;=DASHBOARD!$B$11), Q735, -1000000000000)</f>
        <v/>
      </c>
    </row>
    <row r="736" ht="15" customHeight="1" s="102">
      <c r="A736" s="166" t="n">
        <v>732</v>
      </c>
      <c r="B736" s="167" t="n">
        <v>1.7</v>
      </c>
      <c r="C736" s="167" t="n">
        <v>0.8</v>
      </c>
      <c r="D736" s="110" t="inlineStr">
        <is>
          <t>Var (%20)</t>
        </is>
      </c>
      <c r="E736" s="110">
        <f>IF((B736+C736)&lt;=1, "Tam Mahsuplaşma (≤%100)", "Kısmi Satış (&gt;%100)")</f>
        <v/>
      </c>
      <c r="F736" s="168">
        <f>((VERI_TABANI!$D$29*B736/VERI_TABANI!$B$29)/VERI_TABANI!$B$3)*VERI_TABANI!$B$5 + ((VERI_TABANI!$D$29*C736/VERI_TABANI!$B$29)/VERI_TABANI!$B$4)*VERI_TABANI!$B$6 + IF(ISNUMBER(SEARCH("Var", D736)), (VERI_TABANI!$F$29/VERI_TABANI!$B$29)*(VERI_TABANI!$B$10+VERI_TABANI!$B$12), 0)</f>
        <v/>
      </c>
      <c r="G736" s="168">
        <f>(((MIN(VERI_TABANI!D23, VERI_TABANI!D23*B736)*VERI_TABANI!$B$7 + MAX(0, VERI_TABANI!D23*B736-VERI_TABANI!D23)*VERI_TABANI!$B$8) + (MIN(MAX(0, VERI_TABANI!D23-VERI_TABANI!D23*B736), VERI_TABANI!D23*C736)*VERI_TABANI!$B$7 + MAX(0, VERI_TABANI!D23*C736-MAX(0, VERI_TABANI!D23-VERI_TABANI!D23*B736))*VERI_TABANI!$B$8) + IF(ABS(IF(ISNUMBER(SEARCH("Var", D736)), 1, IF(ISNUMBER(SEARCH("Gri", D736)), -1, 0)))=1, VERI_TABANI!E23*(1-0.928)*VERI_TABANI!$B$9, 0) + (VERI_TABANI!D23*B736*(VERI_TABANI!$B$13-VERI_TABANI!$B$14)*VERI_TABANI!G23) + (VERI_TABANI!D23*C736*(VERI_TABANI!$B$13-VERI_TABANI!$B$15)*VERI_TABANI!G23) + IF(ABS(IF(ISNUMBER(SEARCH("Var", D736)), 1, IF(ISNUMBER(SEARCH("Gri", D736)), -1, 0)))=1, VERI_TABANI!E23*(1-0.928)*0.00206091519919798*VERI_TABANI!G23, 0)) + ((MIN(VERI_TABANI!D24, VERI_TABANI!D24*B736)*VERI_TABANI!$B$7 + MAX(0, VERI_TABANI!D24*B736-VERI_TABANI!D24)*VERI_TABANI!$B$8) + (MIN(MAX(0, VERI_TABANI!D24-VERI_TABANI!D24*B736), VERI_TABANI!D24*C736)*VERI_TABANI!$B$7 + MAX(0, VERI_TABANI!D24*C736-MAX(0, VERI_TABANI!D24-VERI_TABANI!D24*B736))*VERI_TABANI!$B$8) + IF(ABS(IF(ISNUMBER(SEARCH("Var", D736)), 1, IF(ISNUMBER(SEARCH("Gri", D736)), -1, 0)))=1, VERI_TABANI!E24*(1-0.928)*VERI_TABANI!$B$9, 0) + (VERI_TABANI!D24*B736*(VERI_TABANI!$B$13-VERI_TABANI!$B$14)*VERI_TABANI!G24) + (VERI_TABANI!D24*C736*(VERI_TABANI!$B$13-VERI_TABANI!$B$15)*VERI_TABANI!G24) + IF(ABS(IF(ISNUMBER(SEARCH("Var", D736)), 1, IF(ISNUMBER(SEARCH("Gri", D736)), -1, 0)))=1, VERI_TABANI!E24*(1-0.928)*0.00206091519919798*VERI_TABANI!G24, 0)) + ((MIN(VERI_TABANI!D25, VERI_TABANI!D25*B736)*VERI_TABANI!$B$7 + MAX(0, VERI_TABANI!D25*B736-VERI_TABANI!D25)*VERI_TABANI!$B$8) + (MIN(MAX(0, VERI_TABANI!D25-VERI_TABANI!D25*B736), VERI_TABANI!D25*C736)*VERI_TABANI!$B$7 + MAX(0, VERI_TABANI!D25*C736-MAX(0, VERI_TABANI!D25-VERI_TABANI!D25*B736))*VERI_TABANI!$B$8) + IF(ABS(IF(ISNUMBER(SEARCH("Var", D736)), 1, IF(ISNUMBER(SEARCH("Gri", D736)), -1, 0)))=1, VERI_TABANI!E25*(1-0.928)*VERI_TABANI!$B$9, 0) + (VERI_TABANI!D25*B736*(VERI_TABANI!$B$13-VERI_TABANI!$B$14)*VERI_TABANI!G25) + (VERI_TABANI!D25*C736*(VERI_TABANI!$B$13-VERI_TABANI!$B$15)*VERI_TABANI!G25) + IF(ABS(IF(ISNUMBER(SEARCH("Var", D736)), 1, IF(ISNUMBER(SEARCH("Gri", D736)), -1, 0)))=1, VERI_TABANI!E25*(1-0.928)*0.00206091519919798*VERI_TABANI!G25, 0)) + ((MIN(VERI_TABANI!D26, VERI_TABANI!D26*B736)*VERI_TABANI!$B$7 + MAX(0, VERI_TABANI!D26*B736-VERI_TABANI!D26)*VERI_TABANI!$B$8) + (MIN(MAX(0, VERI_TABANI!D26-VERI_TABANI!D26*B736), VERI_TABANI!D26*C736)*VERI_TABANI!$B$7 + MAX(0, VERI_TABANI!D26*C736-MAX(0, VERI_TABANI!D26-VERI_TABANI!D26*B736))*VERI_TABANI!$B$8) + IF(ABS(IF(ISNUMBER(SEARCH("Var", D736)), 1, IF(ISNUMBER(SEARCH("Gri", D736)), -1, 0)))=1, VERI_TABANI!E26*(1-0.928)*VERI_TABANI!$B$9, 0) + (VERI_TABANI!D26*B736*(VERI_TABANI!$B$13-VERI_TABANI!$B$14)*VERI_TABANI!G26) + (VERI_TABANI!D26*C736*(VERI_TABANI!$B$13-VERI_TABANI!$B$15)*VERI_TABANI!G26) + IF(ABS(IF(ISNUMBER(SEARCH("Var", D736)), 1, IF(ISNUMBER(SEARCH("Gri", D736)), -1, 0)))=1, VERI_TABANI!E26*(1-0.928)*0.00206091519919798*VERI_TABANI!G26, 0)) + ((MIN(VERI_TABANI!D27, VERI_TABANI!D27*B736)*VERI_TABANI!$B$7 + MAX(0, VERI_TABANI!D27*B736-VERI_TABANI!D27)*VERI_TABANI!$B$8) + (MIN(MAX(0, VERI_TABANI!D27-VERI_TABANI!D27*B736), VERI_TABANI!D27*C736)*VERI_TABANI!$B$7 + MAX(0, VERI_TABANI!D27*C736-MAX(0, VERI_TABANI!D27-VERI_TABANI!D27*B736))*VERI_TABANI!$B$8) + IF(ABS(IF(ISNUMBER(SEARCH("Var", D736)), 1, IF(ISNUMBER(SEARCH("Gri", D736)), -1, 0)))=1, VERI_TABANI!E27*(1-0.928)*VERI_TABANI!$B$9, 0) + (VERI_TABANI!D27*B736*(VERI_TABANI!$B$13-VERI_TABANI!$B$14)*VERI_TABANI!G27) + (VERI_TABANI!D27*C736*(VERI_TABANI!$B$13-VERI_TABANI!$B$15)*VERI_TABANI!G27) + IF(ABS(IF(ISNUMBER(SEARCH("Var", D736)), 1, IF(ISNUMBER(SEARCH("Gri", D736)), -1, 0)))=1, VERI_TABANI!E27*(1-0.928)*0.00206091519919798*VERI_TABANI!G27, 0)) + ((MIN(VERI_TABANI!D28, VERI_TABANI!D28*B736)*VERI_TABANI!$B$7 + MAX(0, VERI_TABANI!D28*B736-VERI_TABANI!D28)*VERI_TABANI!$B$8) + (MIN(MAX(0, VERI_TABANI!D28-VERI_TABANI!D28*B736), VERI_TABANI!D28*C736)*VERI_TABANI!$B$7 + MAX(0, VERI_TABANI!D28*C736-MAX(0, VERI_TABANI!D28-VERI_TABANI!D28*B736))*VERI_TABANI!$B$8) + IF(ABS(IF(ISNUMBER(SEARCH("Var", D736)), 1, IF(ISNUMBER(SEARCH("Gri", D736)), -1, 0)))=1, VERI_TABANI!E28*(1-0.928)*VERI_TABANI!$B$9, 0) + (VERI_TABANI!D28*B736*(VERI_TABANI!$B$13-VERI_TABANI!$B$14)*VERI_TABANI!G28) + (VERI_TABANI!D28*C736*(VERI_TABANI!$B$13-VERI_TABANI!$B$15)*VERI_TABANI!G28) + IF(ABS(IF(ISNUMBER(SEARCH("Var", D736)), 1, IF(ISNUMBER(SEARCH("Gri", D736)), -1, 0)))=1, VERI_TABANI!E28*(1-0.928)*0.00206091519919798*VERI_TABANI!G28, 0)))</f>
        <v/>
      </c>
      <c r="H736" s="169">
        <f>(((VERI_TABANI!D23*B736*(VERI_TABANI!$B$13-VERI_TABANI!$B$14)) + (VERI_TABANI!D23*C736*(VERI_TABANI!$B$13-VERI_TABANI!$B$15)) + IF(ISNUMBER(SEARCH("Var", D736)), VERI_TABANI!F23*(0.00202-VERI_TABANI!$B$16), IF(ISNUMBER(SEARCH("Gri", D736)), VERI_TABANI!F23*(0.00202-VERI_TABANI!$B$17), 0))) + ((VERI_TABANI!D24*B736*(VERI_TABANI!$B$13-VERI_TABANI!$B$14)) + (VERI_TABANI!D24*C736*(VERI_TABANI!$B$13-VERI_TABANI!$B$15)) + IF(ISNUMBER(SEARCH("Var", D736)), VERI_TABANI!F24*(0.00202-VERI_TABANI!$B$16), IF(ISNUMBER(SEARCH("Gri", D736)), VERI_TABANI!F24*(0.00202-VERI_TABANI!$B$17), 0))) + ((VERI_TABANI!D25*B736*(VERI_TABANI!$B$13-VERI_TABANI!$B$14)) + (VERI_TABANI!D25*C736*(VERI_TABANI!$B$13-VERI_TABANI!$B$15)) + IF(ISNUMBER(SEARCH("Var", D736)), VERI_TABANI!F25*(0.00202-VERI_TABANI!$B$16), IF(ISNUMBER(SEARCH("Gri", D736)), VERI_TABANI!F25*(0.00202-VERI_TABANI!$B$17), 0))) + ((VERI_TABANI!D26*B736*(VERI_TABANI!$B$13-VERI_TABANI!$B$14)) + (VERI_TABANI!D26*C736*(VERI_TABANI!$B$13-VERI_TABANI!$B$15)) + IF(ISNUMBER(SEARCH("Var", D736)), VERI_TABANI!F26*(0.00202-VERI_TABANI!$B$16), IF(ISNUMBER(SEARCH("Gri", D736)), VERI_TABANI!F26*(0.00202-VERI_TABANI!$B$17), 0))) + ((VERI_TABANI!D27*B736*(VERI_TABANI!$B$13-VERI_TABANI!$B$14)) + (VERI_TABANI!D27*C736*(VERI_TABANI!$B$13-VERI_TABANI!$B$15)) + IF(ISNUMBER(SEARCH("Var", D736)), VERI_TABANI!F27*(0.00202-VERI_TABANI!$B$16), IF(ISNUMBER(SEARCH("Gri", D736)), VERI_TABANI!F27*(0.00202-VERI_TABANI!$B$17), 0))) + ((VERI_TABANI!D28*B736*(VERI_TABANI!$B$13-VERI_TABANI!$B$14)) + (VERI_TABANI!D28*C736*(VERI_TABANI!$B$13-VERI_TABANI!$B$15)) + IF(ISNUMBER(SEARCH("Var", D736)), VERI_TABANI!F28*(0.00202-VERI_TABANI!$B$16), IF(ISNUMBER(SEARCH("Gri", D736)), VERI_TABANI!F28*(0.00202-VERI_TABANI!$B$17), 0))))</f>
        <v/>
      </c>
      <c r="I736" s="170">
        <f>IFERROR(((VERI_TABANI!$D$29*B736*VERI_TABANI!$B$14 + VERI_TABANI!$D$29*C736*VERI_TABANI!$B$15 + IF(ISNUMBER(SEARCH("Var", D736)), VERI_TABANI!$F$29*VERI_TABANI!$B$16, 0))) / (((VERI_TABANI!$D$29*B736 + VERI_TABANI!$D$29*C736)*VERI_TABANI!$B$13 + IF(ISNUMBER(SEARCH("Var", D736)), VERI_TABANI!$E$29*(1-0.928)*VERI_TABANI!$B$18, 0))), 0)</f>
        <v/>
      </c>
      <c r="J736" s="171">
        <f>IFERROR(F736/(G736/29), 0)</f>
        <v/>
      </c>
      <c r="K736" s="172">
        <f>IF(F736&gt;0, H736/F736, 0)</f>
        <v/>
      </c>
      <c r="L736" s="170">
        <f>IF(F736&gt;0, I736, 1000000000)</f>
        <v/>
      </c>
      <c r="M736" s="171">
        <f>ABS((B736+C736)-1)</f>
        <v/>
      </c>
      <c r="N736" s="170">
        <f>IF(F736&gt;0, (G736/29)/F736, 0)</f>
        <v/>
      </c>
      <c r="O736" s="168">
        <f>IF(AND((B736+C736)&gt;=1, ISNUMBER(SEARCH("Var", D736))), F736, 1000000000)</f>
        <v/>
      </c>
      <c r="P736" s="172">
        <f>IF(F736&gt;0, SQRT((F736/MAX(F$5:F$886))^2 + (1 - H736/MAX(H$5:H$886))^2 + (J736/MAX(J$5:J$886))^2), 1000000000)</f>
        <v/>
      </c>
      <c r="Q736" s="166">
        <f>IF(AND(ABS(B736-0.5)&lt;0.01, ABS(C736-0.5)&lt;0.01, ISNUMBER(SEARCH("Var", D736))), 1, 0)</f>
        <v/>
      </c>
      <c r="R736" s="171">
        <f>IF(F736&gt;0, J736, 1000000000)</f>
        <v/>
      </c>
      <c r="S736" s="101">
        <f>IF(AND(F736&lt;=DASHBOARD!$B$11, H736&gt;=DASHBOARD!$B$13), G736, -1000000000000)</f>
        <v/>
      </c>
      <c r="T736" s="101">
        <f>IF(AND(F736&lt;=DASHBOARD!$B$11, H736&gt;=DASHBOARD!$B$13), R736, 1000000000000)</f>
        <v/>
      </c>
      <c r="U736" s="101">
        <f>IF(AND(F736&lt;=DASHBOARD!$B$11, H736&gt;=DASHBOARD!$B$13), N736, -1000000000000)</f>
        <v/>
      </c>
      <c r="V736" s="101">
        <f>IF(AND(F736&lt;=DASHBOARD!$B$11, H736&gt;=DASHBOARD!$B$13), H736, -1000000000000)</f>
        <v/>
      </c>
      <c r="W736" s="101">
        <f>IF(AND(F736&lt;=DASHBOARD!$B$11, H736&gt;=DASHBOARD!$B$13), K736, -1000000000000)</f>
        <v/>
      </c>
      <c r="X736" s="101">
        <f>IF(AND(F736&lt;=DASHBOARD!$B$11, H736&gt;=DASHBOARD!$B$13), M736, 1000000000000)</f>
        <v/>
      </c>
      <c r="Y736" s="101">
        <f>IF(AND(F736&lt;=DASHBOARD!$B$10, H736&gt;=DASHBOARD!$B$11), L736, 1000000000000)</f>
        <v/>
      </c>
      <c r="Z736" s="101">
        <f>IF(AND(F736&lt;=DASHBOARD!$B$10, H736&gt;=DASHBOARD!$B$11), O736, 1000000000000)</f>
        <v/>
      </c>
      <c r="AA736" s="101">
        <f>IF(AND(F736&lt;=DASHBOARD!$B$10, H736&gt;=DASHBOARD!$B$11), P736, 1000000000000)</f>
        <v/>
      </c>
      <c r="AB736" s="101">
        <f>IF(AND(F736&lt;=DASHBOARD!$B$10, H736&gt;=DASHBOARD!$B$11), Q736, -1000000000000)</f>
        <v/>
      </c>
    </row>
    <row r="737" ht="15" customHeight="1" s="102">
      <c r="A737" s="166" t="n">
        <v>733</v>
      </c>
      <c r="B737" s="167" t="n">
        <v>1.7</v>
      </c>
      <c r="C737" s="167" t="n">
        <v>0.9</v>
      </c>
      <c r="D737" s="110" t="inlineStr">
        <is>
          <t>Yok (%0)</t>
        </is>
      </c>
      <c r="E737" s="110">
        <f>IF((B737+C737)&lt;=1, "Tam Mahsuplaşma (≤%100)", "Kısmi Satış (&gt;%100)")</f>
        <v/>
      </c>
      <c r="F737" s="168">
        <f>((VERI_TABANI!$D$29*B737/VERI_TABANI!$B$29)/VERI_TABANI!$B$3)*VERI_TABANI!$B$5 + ((VERI_TABANI!$D$29*C737/VERI_TABANI!$B$29)/VERI_TABANI!$B$4)*VERI_TABANI!$B$6 + IF(ISNUMBER(SEARCH("Var", D737)), (VERI_TABANI!$F$29/VERI_TABANI!$B$29)*(VERI_TABANI!$B$10+VERI_TABANI!$B$12), 0)</f>
        <v/>
      </c>
      <c r="G737" s="168">
        <f>(((MIN(VERI_TABANI!D23, VERI_TABANI!D23*B737)*VERI_TABANI!$B$7 + MAX(0, VERI_TABANI!D23*B737-VERI_TABANI!D23)*VERI_TABANI!$B$8) + (MIN(MAX(0, VERI_TABANI!D23-VERI_TABANI!D23*B737), VERI_TABANI!D23*C737)*VERI_TABANI!$B$7 + MAX(0, VERI_TABANI!D23*C737-MAX(0, VERI_TABANI!D23-VERI_TABANI!D23*B737))*VERI_TABANI!$B$8) + IF(ABS(IF(ISNUMBER(SEARCH("Var", D737)), 1, IF(ISNUMBER(SEARCH("Gri", D737)), -1, 0)))=1, VERI_TABANI!E23*(1-0.928)*VERI_TABANI!$B$9, 0) + (VERI_TABANI!D23*B737*(VERI_TABANI!$B$13-VERI_TABANI!$B$14)*VERI_TABANI!G23) + (VERI_TABANI!D23*C737*(VERI_TABANI!$B$13-VERI_TABANI!$B$15)*VERI_TABANI!G23) + IF(ABS(IF(ISNUMBER(SEARCH("Var", D737)), 1, IF(ISNUMBER(SEARCH("Gri", D737)), -1, 0)))=1, VERI_TABANI!E23*(1-0.928)*0.00206091519919798*VERI_TABANI!G23, 0)) + ((MIN(VERI_TABANI!D24, VERI_TABANI!D24*B737)*VERI_TABANI!$B$7 + MAX(0, VERI_TABANI!D24*B737-VERI_TABANI!D24)*VERI_TABANI!$B$8) + (MIN(MAX(0, VERI_TABANI!D24-VERI_TABANI!D24*B737), VERI_TABANI!D24*C737)*VERI_TABANI!$B$7 + MAX(0, VERI_TABANI!D24*C737-MAX(0, VERI_TABANI!D24-VERI_TABANI!D24*B737))*VERI_TABANI!$B$8) + IF(ABS(IF(ISNUMBER(SEARCH("Var", D737)), 1, IF(ISNUMBER(SEARCH("Gri", D737)), -1, 0)))=1, VERI_TABANI!E24*(1-0.928)*VERI_TABANI!$B$9, 0) + (VERI_TABANI!D24*B737*(VERI_TABANI!$B$13-VERI_TABANI!$B$14)*VERI_TABANI!G24) + (VERI_TABANI!D24*C737*(VERI_TABANI!$B$13-VERI_TABANI!$B$15)*VERI_TABANI!G24) + IF(ABS(IF(ISNUMBER(SEARCH("Var", D737)), 1, IF(ISNUMBER(SEARCH("Gri", D737)), -1, 0)))=1, VERI_TABANI!E24*(1-0.928)*0.00206091519919798*VERI_TABANI!G24, 0)) + ((MIN(VERI_TABANI!D25, VERI_TABANI!D25*B737)*VERI_TABANI!$B$7 + MAX(0, VERI_TABANI!D25*B737-VERI_TABANI!D25)*VERI_TABANI!$B$8) + (MIN(MAX(0, VERI_TABANI!D25-VERI_TABANI!D25*B737), VERI_TABANI!D25*C737)*VERI_TABANI!$B$7 + MAX(0, VERI_TABANI!D25*C737-MAX(0, VERI_TABANI!D25-VERI_TABANI!D25*B737))*VERI_TABANI!$B$8) + IF(ABS(IF(ISNUMBER(SEARCH("Var", D737)), 1, IF(ISNUMBER(SEARCH("Gri", D737)), -1, 0)))=1, VERI_TABANI!E25*(1-0.928)*VERI_TABANI!$B$9, 0) + (VERI_TABANI!D25*B737*(VERI_TABANI!$B$13-VERI_TABANI!$B$14)*VERI_TABANI!G25) + (VERI_TABANI!D25*C737*(VERI_TABANI!$B$13-VERI_TABANI!$B$15)*VERI_TABANI!G25) + IF(ABS(IF(ISNUMBER(SEARCH("Var", D737)), 1, IF(ISNUMBER(SEARCH("Gri", D737)), -1, 0)))=1, VERI_TABANI!E25*(1-0.928)*0.00206091519919798*VERI_TABANI!G25, 0)) + ((MIN(VERI_TABANI!D26, VERI_TABANI!D26*B737)*VERI_TABANI!$B$7 + MAX(0, VERI_TABANI!D26*B737-VERI_TABANI!D26)*VERI_TABANI!$B$8) + (MIN(MAX(0, VERI_TABANI!D26-VERI_TABANI!D26*B737), VERI_TABANI!D26*C737)*VERI_TABANI!$B$7 + MAX(0, VERI_TABANI!D26*C737-MAX(0, VERI_TABANI!D26-VERI_TABANI!D26*B737))*VERI_TABANI!$B$8) + IF(ABS(IF(ISNUMBER(SEARCH("Var", D737)), 1, IF(ISNUMBER(SEARCH("Gri", D737)), -1, 0)))=1, VERI_TABANI!E26*(1-0.928)*VERI_TABANI!$B$9, 0) + (VERI_TABANI!D26*B737*(VERI_TABANI!$B$13-VERI_TABANI!$B$14)*VERI_TABANI!G26) + (VERI_TABANI!D26*C737*(VERI_TABANI!$B$13-VERI_TABANI!$B$15)*VERI_TABANI!G26) + IF(ABS(IF(ISNUMBER(SEARCH("Var", D737)), 1, IF(ISNUMBER(SEARCH("Gri", D737)), -1, 0)))=1, VERI_TABANI!E26*(1-0.928)*0.00206091519919798*VERI_TABANI!G26, 0)) + ((MIN(VERI_TABANI!D27, VERI_TABANI!D27*B737)*VERI_TABANI!$B$7 + MAX(0, VERI_TABANI!D27*B737-VERI_TABANI!D27)*VERI_TABANI!$B$8) + (MIN(MAX(0, VERI_TABANI!D27-VERI_TABANI!D27*B737), VERI_TABANI!D27*C737)*VERI_TABANI!$B$7 + MAX(0, VERI_TABANI!D27*C737-MAX(0, VERI_TABANI!D27-VERI_TABANI!D27*B737))*VERI_TABANI!$B$8) + IF(ABS(IF(ISNUMBER(SEARCH("Var", D737)), 1, IF(ISNUMBER(SEARCH("Gri", D737)), -1, 0)))=1, VERI_TABANI!E27*(1-0.928)*VERI_TABANI!$B$9, 0) + (VERI_TABANI!D27*B737*(VERI_TABANI!$B$13-VERI_TABANI!$B$14)*VERI_TABANI!G27) + (VERI_TABANI!D27*C737*(VERI_TABANI!$B$13-VERI_TABANI!$B$15)*VERI_TABANI!G27) + IF(ABS(IF(ISNUMBER(SEARCH("Var", D737)), 1, IF(ISNUMBER(SEARCH("Gri", D737)), -1, 0)))=1, VERI_TABANI!E27*(1-0.928)*0.00206091519919798*VERI_TABANI!G27, 0)) + ((MIN(VERI_TABANI!D28, VERI_TABANI!D28*B737)*VERI_TABANI!$B$7 + MAX(0, VERI_TABANI!D28*B737-VERI_TABANI!D28)*VERI_TABANI!$B$8) + (MIN(MAX(0, VERI_TABANI!D28-VERI_TABANI!D28*B737), VERI_TABANI!D28*C737)*VERI_TABANI!$B$7 + MAX(0, VERI_TABANI!D28*C737-MAX(0, VERI_TABANI!D28-VERI_TABANI!D28*B737))*VERI_TABANI!$B$8) + IF(ABS(IF(ISNUMBER(SEARCH("Var", D737)), 1, IF(ISNUMBER(SEARCH("Gri", D737)), -1, 0)))=1, VERI_TABANI!E28*(1-0.928)*VERI_TABANI!$B$9, 0) + (VERI_TABANI!D28*B737*(VERI_TABANI!$B$13-VERI_TABANI!$B$14)*VERI_TABANI!G28) + (VERI_TABANI!D28*C737*(VERI_TABANI!$B$13-VERI_TABANI!$B$15)*VERI_TABANI!G28) + IF(ABS(IF(ISNUMBER(SEARCH("Var", D737)), 1, IF(ISNUMBER(SEARCH("Gri", D737)), -1, 0)))=1, VERI_TABANI!E28*(1-0.928)*0.00206091519919798*VERI_TABANI!G28, 0)))</f>
        <v/>
      </c>
      <c r="H737" s="169">
        <f>(((VERI_TABANI!D23*B737*(VERI_TABANI!$B$13-VERI_TABANI!$B$14)) + (VERI_TABANI!D23*C737*(VERI_TABANI!$B$13-VERI_TABANI!$B$15)) + IF(ISNUMBER(SEARCH("Var", D737)), VERI_TABANI!F23*(0.00202-VERI_TABANI!$B$16), IF(ISNUMBER(SEARCH("Gri", D737)), VERI_TABANI!F23*(0.00202-VERI_TABANI!$B$17), 0))) + ((VERI_TABANI!D24*B737*(VERI_TABANI!$B$13-VERI_TABANI!$B$14)) + (VERI_TABANI!D24*C737*(VERI_TABANI!$B$13-VERI_TABANI!$B$15)) + IF(ISNUMBER(SEARCH("Var", D737)), VERI_TABANI!F24*(0.00202-VERI_TABANI!$B$16), IF(ISNUMBER(SEARCH("Gri", D737)), VERI_TABANI!F24*(0.00202-VERI_TABANI!$B$17), 0))) + ((VERI_TABANI!D25*B737*(VERI_TABANI!$B$13-VERI_TABANI!$B$14)) + (VERI_TABANI!D25*C737*(VERI_TABANI!$B$13-VERI_TABANI!$B$15)) + IF(ISNUMBER(SEARCH("Var", D737)), VERI_TABANI!F25*(0.00202-VERI_TABANI!$B$16), IF(ISNUMBER(SEARCH("Gri", D737)), VERI_TABANI!F25*(0.00202-VERI_TABANI!$B$17), 0))) + ((VERI_TABANI!D26*B737*(VERI_TABANI!$B$13-VERI_TABANI!$B$14)) + (VERI_TABANI!D26*C737*(VERI_TABANI!$B$13-VERI_TABANI!$B$15)) + IF(ISNUMBER(SEARCH("Var", D737)), VERI_TABANI!F26*(0.00202-VERI_TABANI!$B$16), IF(ISNUMBER(SEARCH("Gri", D737)), VERI_TABANI!F26*(0.00202-VERI_TABANI!$B$17), 0))) + ((VERI_TABANI!D27*B737*(VERI_TABANI!$B$13-VERI_TABANI!$B$14)) + (VERI_TABANI!D27*C737*(VERI_TABANI!$B$13-VERI_TABANI!$B$15)) + IF(ISNUMBER(SEARCH("Var", D737)), VERI_TABANI!F27*(0.00202-VERI_TABANI!$B$16), IF(ISNUMBER(SEARCH("Gri", D737)), VERI_TABANI!F27*(0.00202-VERI_TABANI!$B$17), 0))) + ((VERI_TABANI!D28*B737*(VERI_TABANI!$B$13-VERI_TABANI!$B$14)) + (VERI_TABANI!D28*C737*(VERI_TABANI!$B$13-VERI_TABANI!$B$15)) + IF(ISNUMBER(SEARCH("Var", D737)), VERI_TABANI!F28*(0.00202-VERI_TABANI!$B$16), IF(ISNUMBER(SEARCH("Gri", D737)), VERI_TABANI!F28*(0.00202-VERI_TABANI!$B$17), 0))))</f>
        <v/>
      </c>
      <c r="I737" s="170">
        <f>IFERROR(((VERI_TABANI!$D$29*B737*VERI_TABANI!$B$14 + VERI_TABANI!$D$29*C737*VERI_TABANI!$B$15 + IF(ISNUMBER(SEARCH("Var", D737)), VERI_TABANI!$F$29*VERI_TABANI!$B$16, 0))) / (((VERI_TABANI!$D$29*B737 + VERI_TABANI!$D$29*C737)*VERI_TABANI!$B$13 + IF(ISNUMBER(SEARCH("Var", D737)), VERI_TABANI!$E$29*(1-0.928)*VERI_TABANI!$B$18, 0))), 0)</f>
        <v/>
      </c>
      <c r="J737" s="171">
        <f>IFERROR(F737/(G737/29), 0)</f>
        <v/>
      </c>
      <c r="K737" s="172">
        <f>IF(F737&gt;0, H737/F737, 0)</f>
        <v/>
      </c>
      <c r="L737" s="170">
        <f>IF(F737&gt;0, I737, 1000000000)</f>
        <v/>
      </c>
      <c r="M737" s="171">
        <f>ABS((B737+C737)-1)</f>
        <v/>
      </c>
      <c r="N737" s="170">
        <f>IF(F737&gt;0, (G737/29)/F737, 0)</f>
        <v/>
      </c>
      <c r="O737" s="168">
        <f>IF(AND((B737+C737)&gt;=1, ISNUMBER(SEARCH("Var", D737))), F737, 1000000000)</f>
        <v/>
      </c>
      <c r="P737" s="172">
        <f>IF(F737&gt;0, SQRT((F737/MAX(F$5:F$886))^2 + (1 - H737/MAX(H$5:H$886))^2 + (J737/MAX(J$5:J$886))^2), 1000000000)</f>
        <v/>
      </c>
      <c r="Q737" s="166">
        <f>IF(AND(ABS(B737-0.5)&lt;0.01, ABS(C737-0.5)&lt;0.01, ISNUMBER(SEARCH("Var", D737))), 1, 0)</f>
        <v/>
      </c>
      <c r="R737" s="171">
        <f>IF(F737&gt;0, J737, 1000000000)</f>
        <v/>
      </c>
      <c r="S737" s="101">
        <f>IF(AND(F737&lt;=DASHBOARD!$B$11, H737&gt;=DASHBOARD!$B$13), G737, -1000000000000)</f>
        <v/>
      </c>
      <c r="T737" s="101">
        <f>IF(AND(F737&lt;=DASHBOARD!$B$11, H737&gt;=DASHBOARD!$B$13), R737, 1000000000000)</f>
        <v/>
      </c>
      <c r="U737" s="101">
        <f>IF(AND(F737&lt;=DASHBOARD!$B$11, H737&gt;=DASHBOARD!$B$13), N737, -1000000000000)</f>
        <v/>
      </c>
      <c r="V737" s="101">
        <f>IF(AND(F737&lt;=DASHBOARD!$B$11, H737&gt;=DASHBOARD!$B$13), H737, -1000000000000)</f>
        <v/>
      </c>
      <c r="W737" s="101">
        <f>IF(AND(F737&lt;=DASHBOARD!$B$11, H737&gt;=DASHBOARD!$B$13), K737, -1000000000000)</f>
        <v/>
      </c>
      <c r="X737" s="101">
        <f>IF(AND(F737&lt;=DASHBOARD!$B$11, H737&gt;=DASHBOARD!$B$13), M737, 1000000000000)</f>
        <v/>
      </c>
      <c r="Y737" s="101">
        <f>IF(AND(F737&lt;=DASHBOARD!$B$10, H737&gt;=DASHBOARD!$B$11), L737, 1000000000000)</f>
        <v/>
      </c>
      <c r="Z737" s="101">
        <f>IF(AND(F737&lt;=DASHBOARD!$B$10, H737&gt;=DASHBOARD!$B$11), O737, 1000000000000)</f>
        <v/>
      </c>
      <c r="AA737" s="101">
        <f>IF(AND(F737&lt;=DASHBOARD!$B$10, H737&gt;=DASHBOARD!$B$11), P737, 1000000000000)</f>
        <v/>
      </c>
      <c r="AB737" s="101">
        <f>IF(AND(F737&lt;=DASHBOARD!$B$10, H737&gt;=DASHBOARD!$B$11), Q737, -1000000000000)</f>
        <v/>
      </c>
    </row>
    <row r="738" ht="15" customHeight="1" s="102">
      <c r="A738" s="166" t="n">
        <v>734</v>
      </c>
      <c r="B738" s="167" t="n">
        <v>1.7</v>
      </c>
      <c r="C738" s="167" t="n">
        <v>0.9</v>
      </c>
      <c r="D738" s="110" t="inlineStr">
        <is>
          <t>Var (%20)</t>
        </is>
      </c>
      <c r="E738" s="110">
        <f>IF((B738+C738)&lt;=1, "Tam Mahsuplaşma (≤%100)", "Kısmi Satış (&gt;%100)")</f>
        <v/>
      </c>
      <c r="F738" s="168">
        <f>((VERI_TABANI!$D$29*B738/VERI_TABANI!$B$29)/VERI_TABANI!$B$3)*VERI_TABANI!$B$5 + ((VERI_TABANI!$D$29*C738/VERI_TABANI!$B$29)/VERI_TABANI!$B$4)*VERI_TABANI!$B$6 + IF(ISNUMBER(SEARCH("Var", D738)), (VERI_TABANI!$F$29/VERI_TABANI!$B$29)*(VERI_TABANI!$B$10+VERI_TABANI!$B$12), 0)</f>
        <v/>
      </c>
      <c r="G738" s="168">
        <f>(((MIN(VERI_TABANI!D23, VERI_TABANI!D23*B738)*VERI_TABANI!$B$7 + MAX(0, VERI_TABANI!D23*B738-VERI_TABANI!D23)*VERI_TABANI!$B$8) + (MIN(MAX(0, VERI_TABANI!D23-VERI_TABANI!D23*B738), VERI_TABANI!D23*C738)*VERI_TABANI!$B$7 + MAX(0, VERI_TABANI!D23*C738-MAX(0, VERI_TABANI!D23-VERI_TABANI!D23*B738))*VERI_TABANI!$B$8) + IF(ABS(IF(ISNUMBER(SEARCH("Var", D738)), 1, IF(ISNUMBER(SEARCH("Gri", D738)), -1, 0)))=1, VERI_TABANI!E23*(1-0.928)*VERI_TABANI!$B$9, 0) + (VERI_TABANI!D23*B738*(VERI_TABANI!$B$13-VERI_TABANI!$B$14)*VERI_TABANI!G23) + (VERI_TABANI!D23*C738*(VERI_TABANI!$B$13-VERI_TABANI!$B$15)*VERI_TABANI!G23) + IF(ABS(IF(ISNUMBER(SEARCH("Var", D738)), 1, IF(ISNUMBER(SEARCH("Gri", D738)), -1, 0)))=1, VERI_TABANI!E23*(1-0.928)*0.00206091519919798*VERI_TABANI!G23, 0)) + ((MIN(VERI_TABANI!D24, VERI_TABANI!D24*B738)*VERI_TABANI!$B$7 + MAX(0, VERI_TABANI!D24*B738-VERI_TABANI!D24)*VERI_TABANI!$B$8) + (MIN(MAX(0, VERI_TABANI!D24-VERI_TABANI!D24*B738), VERI_TABANI!D24*C738)*VERI_TABANI!$B$7 + MAX(0, VERI_TABANI!D24*C738-MAX(0, VERI_TABANI!D24-VERI_TABANI!D24*B738))*VERI_TABANI!$B$8) + IF(ABS(IF(ISNUMBER(SEARCH("Var", D738)), 1, IF(ISNUMBER(SEARCH("Gri", D738)), -1, 0)))=1, VERI_TABANI!E24*(1-0.928)*VERI_TABANI!$B$9, 0) + (VERI_TABANI!D24*B738*(VERI_TABANI!$B$13-VERI_TABANI!$B$14)*VERI_TABANI!G24) + (VERI_TABANI!D24*C738*(VERI_TABANI!$B$13-VERI_TABANI!$B$15)*VERI_TABANI!G24) + IF(ABS(IF(ISNUMBER(SEARCH("Var", D738)), 1, IF(ISNUMBER(SEARCH("Gri", D738)), -1, 0)))=1, VERI_TABANI!E24*(1-0.928)*0.00206091519919798*VERI_TABANI!G24, 0)) + ((MIN(VERI_TABANI!D25, VERI_TABANI!D25*B738)*VERI_TABANI!$B$7 + MAX(0, VERI_TABANI!D25*B738-VERI_TABANI!D25)*VERI_TABANI!$B$8) + (MIN(MAX(0, VERI_TABANI!D25-VERI_TABANI!D25*B738), VERI_TABANI!D25*C738)*VERI_TABANI!$B$7 + MAX(0, VERI_TABANI!D25*C738-MAX(0, VERI_TABANI!D25-VERI_TABANI!D25*B738))*VERI_TABANI!$B$8) + IF(ABS(IF(ISNUMBER(SEARCH("Var", D738)), 1, IF(ISNUMBER(SEARCH("Gri", D738)), -1, 0)))=1, VERI_TABANI!E25*(1-0.928)*VERI_TABANI!$B$9, 0) + (VERI_TABANI!D25*B738*(VERI_TABANI!$B$13-VERI_TABANI!$B$14)*VERI_TABANI!G25) + (VERI_TABANI!D25*C738*(VERI_TABANI!$B$13-VERI_TABANI!$B$15)*VERI_TABANI!G25) + IF(ABS(IF(ISNUMBER(SEARCH("Var", D738)), 1, IF(ISNUMBER(SEARCH("Gri", D738)), -1, 0)))=1, VERI_TABANI!E25*(1-0.928)*0.00206091519919798*VERI_TABANI!G25, 0)) + ((MIN(VERI_TABANI!D26, VERI_TABANI!D26*B738)*VERI_TABANI!$B$7 + MAX(0, VERI_TABANI!D26*B738-VERI_TABANI!D26)*VERI_TABANI!$B$8) + (MIN(MAX(0, VERI_TABANI!D26-VERI_TABANI!D26*B738), VERI_TABANI!D26*C738)*VERI_TABANI!$B$7 + MAX(0, VERI_TABANI!D26*C738-MAX(0, VERI_TABANI!D26-VERI_TABANI!D26*B738))*VERI_TABANI!$B$8) + IF(ABS(IF(ISNUMBER(SEARCH("Var", D738)), 1, IF(ISNUMBER(SEARCH("Gri", D738)), -1, 0)))=1, VERI_TABANI!E26*(1-0.928)*VERI_TABANI!$B$9, 0) + (VERI_TABANI!D26*B738*(VERI_TABANI!$B$13-VERI_TABANI!$B$14)*VERI_TABANI!G26) + (VERI_TABANI!D26*C738*(VERI_TABANI!$B$13-VERI_TABANI!$B$15)*VERI_TABANI!G26) + IF(ABS(IF(ISNUMBER(SEARCH("Var", D738)), 1, IF(ISNUMBER(SEARCH("Gri", D738)), -1, 0)))=1, VERI_TABANI!E26*(1-0.928)*0.00206091519919798*VERI_TABANI!G26, 0)) + ((MIN(VERI_TABANI!D27, VERI_TABANI!D27*B738)*VERI_TABANI!$B$7 + MAX(0, VERI_TABANI!D27*B738-VERI_TABANI!D27)*VERI_TABANI!$B$8) + (MIN(MAX(0, VERI_TABANI!D27-VERI_TABANI!D27*B738), VERI_TABANI!D27*C738)*VERI_TABANI!$B$7 + MAX(0, VERI_TABANI!D27*C738-MAX(0, VERI_TABANI!D27-VERI_TABANI!D27*B738))*VERI_TABANI!$B$8) + IF(ABS(IF(ISNUMBER(SEARCH("Var", D738)), 1, IF(ISNUMBER(SEARCH("Gri", D738)), -1, 0)))=1, VERI_TABANI!E27*(1-0.928)*VERI_TABANI!$B$9, 0) + (VERI_TABANI!D27*B738*(VERI_TABANI!$B$13-VERI_TABANI!$B$14)*VERI_TABANI!G27) + (VERI_TABANI!D27*C738*(VERI_TABANI!$B$13-VERI_TABANI!$B$15)*VERI_TABANI!G27) + IF(ABS(IF(ISNUMBER(SEARCH("Var", D738)), 1, IF(ISNUMBER(SEARCH("Gri", D738)), -1, 0)))=1, VERI_TABANI!E27*(1-0.928)*0.00206091519919798*VERI_TABANI!G27, 0)) + ((MIN(VERI_TABANI!D28, VERI_TABANI!D28*B738)*VERI_TABANI!$B$7 + MAX(0, VERI_TABANI!D28*B738-VERI_TABANI!D28)*VERI_TABANI!$B$8) + (MIN(MAX(0, VERI_TABANI!D28-VERI_TABANI!D28*B738), VERI_TABANI!D28*C738)*VERI_TABANI!$B$7 + MAX(0, VERI_TABANI!D28*C738-MAX(0, VERI_TABANI!D28-VERI_TABANI!D28*B738))*VERI_TABANI!$B$8) + IF(ABS(IF(ISNUMBER(SEARCH("Var", D738)), 1, IF(ISNUMBER(SEARCH("Gri", D738)), -1, 0)))=1, VERI_TABANI!E28*(1-0.928)*VERI_TABANI!$B$9, 0) + (VERI_TABANI!D28*B738*(VERI_TABANI!$B$13-VERI_TABANI!$B$14)*VERI_TABANI!G28) + (VERI_TABANI!D28*C738*(VERI_TABANI!$B$13-VERI_TABANI!$B$15)*VERI_TABANI!G28) + IF(ABS(IF(ISNUMBER(SEARCH("Var", D738)), 1, IF(ISNUMBER(SEARCH("Gri", D738)), -1, 0)))=1, VERI_TABANI!E28*(1-0.928)*0.00206091519919798*VERI_TABANI!G28, 0)))</f>
        <v/>
      </c>
      <c r="H738" s="169">
        <f>(((VERI_TABANI!D23*B738*(VERI_TABANI!$B$13-VERI_TABANI!$B$14)) + (VERI_TABANI!D23*C738*(VERI_TABANI!$B$13-VERI_TABANI!$B$15)) + IF(ISNUMBER(SEARCH("Var", D738)), VERI_TABANI!F23*(0.00202-VERI_TABANI!$B$16), IF(ISNUMBER(SEARCH("Gri", D738)), VERI_TABANI!F23*(0.00202-VERI_TABANI!$B$17), 0))) + ((VERI_TABANI!D24*B738*(VERI_TABANI!$B$13-VERI_TABANI!$B$14)) + (VERI_TABANI!D24*C738*(VERI_TABANI!$B$13-VERI_TABANI!$B$15)) + IF(ISNUMBER(SEARCH("Var", D738)), VERI_TABANI!F24*(0.00202-VERI_TABANI!$B$16), IF(ISNUMBER(SEARCH("Gri", D738)), VERI_TABANI!F24*(0.00202-VERI_TABANI!$B$17), 0))) + ((VERI_TABANI!D25*B738*(VERI_TABANI!$B$13-VERI_TABANI!$B$14)) + (VERI_TABANI!D25*C738*(VERI_TABANI!$B$13-VERI_TABANI!$B$15)) + IF(ISNUMBER(SEARCH("Var", D738)), VERI_TABANI!F25*(0.00202-VERI_TABANI!$B$16), IF(ISNUMBER(SEARCH("Gri", D738)), VERI_TABANI!F25*(0.00202-VERI_TABANI!$B$17), 0))) + ((VERI_TABANI!D26*B738*(VERI_TABANI!$B$13-VERI_TABANI!$B$14)) + (VERI_TABANI!D26*C738*(VERI_TABANI!$B$13-VERI_TABANI!$B$15)) + IF(ISNUMBER(SEARCH("Var", D738)), VERI_TABANI!F26*(0.00202-VERI_TABANI!$B$16), IF(ISNUMBER(SEARCH("Gri", D738)), VERI_TABANI!F26*(0.00202-VERI_TABANI!$B$17), 0))) + ((VERI_TABANI!D27*B738*(VERI_TABANI!$B$13-VERI_TABANI!$B$14)) + (VERI_TABANI!D27*C738*(VERI_TABANI!$B$13-VERI_TABANI!$B$15)) + IF(ISNUMBER(SEARCH("Var", D738)), VERI_TABANI!F27*(0.00202-VERI_TABANI!$B$16), IF(ISNUMBER(SEARCH("Gri", D738)), VERI_TABANI!F27*(0.00202-VERI_TABANI!$B$17), 0))) + ((VERI_TABANI!D28*B738*(VERI_TABANI!$B$13-VERI_TABANI!$B$14)) + (VERI_TABANI!D28*C738*(VERI_TABANI!$B$13-VERI_TABANI!$B$15)) + IF(ISNUMBER(SEARCH("Var", D738)), VERI_TABANI!F28*(0.00202-VERI_TABANI!$B$16), IF(ISNUMBER(SEARCH("Gri", D738)), VERI_TABANI!F28*(0.00202-VERI_TABANI!$B$17), 0))))</f>
        <v/>
      </c>
      <c r="I738" s="170">
        <f>IFERROR(((VERI_TABANI!$D$29*B738*VERI_TABANI!$B$14 + VERI_TABANI!$D$29*C738*VERI_TABANI!$B$15 + IF(ISNUMBER(SEARCH("Var", D738)), VERI_TABANI!$F$29*VERI_TABANI!$B$16, 0))) / (((VERI_TABANI!$D$29*B738 + VERI_TABANI!$D$29*C738)*VERI_TABANI!$B$13 + IF(ISNUMBER(SEARCH("Var", D738)), VERI_TABANI!$E$29*(1-0.928)*VERI_TABANI!$B$18, 0))), 0)</f>
        <v/>
      </c>
      <c r="J738" s="171">
        <f>IFERROR(F738/(G738/29), 0)</f>
        <v/>
      </c>
      <c r="K738" s="172">
        <f>IF(F738&gt;0, H738/F738, 0)</f>
        <v/>
      </c>
      <c r="L738" s="170">
        <f>IF(F738&gt;0, I738, 1000000000)</f>
        <v/>
      </c>
      <c r="M738" s="171">
        <f>ABS((B738+C738)-1)</f>
        <v/>
      </c>
      <c r="N738" s="170">
        <f>IF(F738&gt;0, (G738/29)/F738, 0)</f>
        <v/>
      </c>
      <c r="O738" s="168">
        <f>IF(AND((B738+C738)&gt;=1, ISNUMBER(SEARCH("Var", D738))), F738, 1000000000)</f>
        <v/>
      </c>
      <c r="P738" s="172">
        <f>IF(F738&gt;0, SQRT((F738/MAX(F$5:F$886))^2 + (1 - H738/MAX(H$5:H$886))^2 + (J738/MAX(J$5:J$886))^2), 1000000000)</f>
        <v/>
      </c>
      <c r="Q738" s="166">
        <f>IF(AND(ABS(B738-0.5)&lt;0.01, ABS(C738-0.5)&lt;0.01, ISNUMBER(SEARCH("Var", D738))), 1, 0)</f>
        <v/>
      </c>
      <c r="R738" s="171">
        <f>IF(F738&gt;0, J738, 1000000000)</f>
        <v/>
      </c>
      <c r="S738" s="101">
        <f>IF(AND(F738&lt;=DASHBOARD!$B$11, H738&gt;=DASHBOARD!$B$13), G738, -1000000000000)</f>
        <v/>
      </c>
      <c r="T738" s="101">
        <f>IF(AND(F738&lt;=DASHBOARD!$B$11, H738&gt;=DASHBOARD!$B$13), R738, 1000000000000)</f>
        <v/>
      </c>
      <c r="U738" s="101">
        <f>IF(AND(F738&lt;=DASHBOARD!$B$11, H738&gt;=DASHBOARD!$B$13), N738, -1000000000000)</f>
        <v/>
      </c>
      <c r="V738" s="101">
        <f>IF(AND(F738&lt;=DASHBOARD!$B$11, H738&gt;=DASHBOARD!$B$13), H738, -1000000000000)</f>
        <v/>
      </c>
      <c r="W738" s="101">
        <f>IF(AND(F738&lt;=DASHBOARD!$B$11, H738&gt;=DASHBOARD!$B$13), K738, -1000000000000)</f>
        <v/>
      </c>
      <c r="X738" s="101">
        <f>IF(AND(F738&lt;=DASHBOARD!$B$11, H738&gt;=DASHBOARD!$B$13), M738, 1000000000000)</f>
        <v/>
      </c>
      <c r="Y738" s="101">
        <f>IF(AND(F738&lt;=DASHBOARD!$B$10, H738&gt;=DASHBOARD!$B$11), L738, 1000000000000)</f>
        <v/>
      </c>
      <c r="Z738" s="101">
        <f>IF(AND(F738&lt;=DASHBOARD!$B$10, H738&gt;=DASHBOARD!$B$11), O738, 1000000000000)</f>
        <v/>
      </c>
      <c r="AA738" s="101">
        <f>IF(AND(F738&lt;=DASHBOARD!$B$10, H738&gt;=DASHBOARD!$B$11), P738, 1000000000000)</f>
        <v/>
      </c>
      <c r="AB738" s="101">
        <f>IF(AND(F738&lt;=DASHBOARD!$B$10, H738&gt;=DASHBOARD!$B$11), Q738, -1000000000000)</f>
        <v/>
      </c>
    </row>
    <row r="739" ht="15" customHeight="1" s="102">
      <c r="A739" s="166" t="n">
        <v>735</v>
      </c>
      <c r="B739" s="167" t="n">
        <v>1.7</v>
      </c>
      <c r="C739" s="167" t="n">
        <v>1</v>
      </c>
      <c r="D739" s="110" t="inlineStr">
        <is>
          <t>Yok (%0)</t>
        </is>
      </c>
      <c r="E739" s="110">
        <f>IF((B739+C739)&lt;=1, "Tam Mahsuplaşma (≤%100)", "Kısmi Satış (&gt;%100)")</f>
        <v/>
      </c>
      <c r="F739" s="168">
        <f>((VERI_TABANI!$D$29*B739/VERI_TABANI!$B$29)/VERI_TABANI!$B$3)*VERI_TABANI!$B$5 + ((VERI_TABANI!$D$29*C739/VERI_TABANI!$B$29)/VERI_TABANI!$B$4)*VERI_TABANI!$B$6 + IF(ISNUMBER(SEARCH("Var", D739)), (VERI_TABANI!$F$29/VERI_TABANI!$B$29)*(VERI_TABANI!$B$10+VERI_TABANI!$B$12), 0)</f>
        <v/>
      </c>
      <c r="G739" s="168">
        <f>(((MIN(VERI_TABANI!D23, VERI_TABANI!D23*B739)*VERI_TABANI!$B$7 + MAX(0, VERI_TABANI!D23*B739-VERI_TABANI!D23)*VERI_TABANI!$B$8) + (MIN(MAX(0, VERI_TABANI!D23-VERI_TABANI!D23*B739), VERI_TABANI!D23*C739)*VERI_TABANI!$B$7 + MAX(0, VERI_TABANI!D23*C739-MAX(0, VERI_TABANI!D23-VERI_TABANI!D23*B739))*VERI_TABANI!$B$8) + IF(ABS(IF(ISNUMBER(SEARCH("Var", D739)), 1, IF(ISNUMBER(SEARCH("Gri", D739)), -1, 0)))=1, VERI_TABANI!E23*(1-0.928)*VERI_TABANI!$B$9, 0) + (VERI_TABANI!D23*B739*(VERI_TABANI!$B$13-VERI_TABANI!$B$14)*VERI_TABANI!G23) + (VERI_TABANI!D23*C739*(VERI_TABANI!$B$13-VERI_TABANI!$B$15)*VERI_TABANI!G23) + IF(ABS(IF(ISNUMBER(SEARCH("Var", D739)), 1, IF(ISNUMBER(SEARCH("Gri", D739)), -1, 0)))=1, VERI_TABANI!E23*(1-0.928)*0.00206091519919798*VERI_TABANI!G23, 0)) + ((MIN(VERI_TABANI!D24, VERI_TABANI!D24*B739)*VERI_TABANI!$B$7 + MAX(0, VERI_TABANI!D24*B739-VERI_TABANI!D24)*VERI_TABANI!$B$8) + (MIN(MAX(0, VERI_TABANI!D24-VERI_TABANI!D24*B739), VERI_TABANI!D24*C739)*VERI_TABANI!$B$7 + MAX(0, VERI_TABANI!D24*C739-MAX(0, VERI_TABANI!D24-VERI_TABANI!D24*B739))*VERI_TABANI!$B$8) + IF(ABS(IF(ISNUMBER(SEARCH("Var", D739)), 1, IF(ISNUMBER(SEARCH("Gri", D739)), -1, 0)))=1, VERI_TABANI!E24*(1-0.928)*VERI_TABANI!$B$9, 0) + (VERI_TABANI!D24*B739*(VERI_TABANI!$B$13-VERI_TABANI!$B$14)*VERI_TABANI!G24) + (VERI_TABANI!D24*C739*(VERI_TABANI!$B$13-VERI_TABANI!$B$15)*VERI_TABANI!G24) + IF(ABS(IF(ISNUMBER(SEARCH("Var", D739)), 1, IF(ISNUMBER(SEARCH("Gri", D739)), -1, 0)))=1, VERI_TABANI!E24*(1-0.928)*0.00206091519919798*VERI_TABANI!G24, 0)) + ((MIN(VERI_TABANI!D25, VERI_TABANI!D25*B739)*VERI_TABANI!$B$7 + MAX(0, VERI_TABANI!D25*B739-VERI_TABANI!D25)*VERI_TABANI!$B$8) + (MIN(MAX(0, VERI_TABANI!D25-VERI_TABANI!D25*B739), VERI_TABANI!D25*C739)*VERI_TABANI!$B$7 + MAX(0, VERI_TABANI!D25*C739-MAX(0, VERI_TABANI!D25-VERI_TABANI!D25*B739))*VERI_TABANI!$B$8) + IF(ABS(IF(ISNUMBER(SEARCH("Var", D739)), 1, IF(ISNUMBER(SEARCH("Gri", D739)), -1, 0)))=1, VERI_TABANI!E25*(1-0.928)*VERI_TABANI!$B$9, 0) + (VERI_TABANI!D25*B739*(VERI_TABANI!$B$13-VERI_TABANI!$B$14)*VERI_TABANI!G25) + (VERI_TABANI!D25*C739*(VERI_TABANI!$B$13-VERI_TABANI!$B$15)*VERI_TABANI!G25) + IF(ABS(IF(ISNUMBER(SEARCH("Var", D739)), 1, IF(ISNUMBER(SEARCH("Gri", D739)), -1, 0)))=1, VERI_TABANI!E25*(1-0.928)*0.00206091519919798*VERI_TABANI!G25, 0)) + ((MIN(VERI_TABANI!D26, VERI_TABANI!D26*B739)*VERI_TABANI!$B$7 + MAX(0, VERI_TABANI!D26*B739-VERI_TABANI!D26)*VERI_TABANI!$B$8) + (MIN(MAX(0, VERI_TABANI!D26-VERI_TABANI!D26*B739), VERI_TABANI!D26*C739)*VERI_TABANI!$B$7 + MAX(0, VERI_TABANI!D26*C739-MAX(0, VERI_TABANI!D26-VERI_TABANI!D26*B739))*VERI_TABANI!$B$8) + IF(ABS(IF(ISNUMBER(SEARCH("Var", D739)), 1, IF(ISNUMBER(SEARCH("Gri", D739)), -1, 0)))=1, VERI_TABANI!E26*(1-0.928)*VERI_TABANI!$B$9, 0) + (VERI_TABANI!D26*B739*(VERI_TABANI!$B$13-VERI_TABANI!$B$14)*VERI_TABANI!G26) + (VERI_TABANI!D26*C739*(VERI_TABANI!$B$13-VERI_TABANI!$B$15)*VERI_TABANI!G26) + IF(ABS(IF(ISNUMBER(SEARCH("Var", D739)), 1, IF(ISNUMBER(SEARCH("Gri", D739)), -1, 0)))=1, VERI_TABANI!E26*(1-0.928)*0.00206091519919798*VERI_TABANI!G26, 0)) + ((MIN(VERI_TABANI!D27, VERI_TABANI!D27*B739)*VERI_TABANI!$B$7 + MAX(0, VERI_TABANI!D27*B739-VERI_TABANI!D27)*VERI_TABANI!$B$8) + (MIN(MAX(0, VERI_TABANI!D27-VERI_TABANI!D27*B739), VERI_TABANI!D27*C739)*VERI_TABANI!$B$7 + MAX(0, VERI_TABANI!D27*C739-MAX(0, VERI_TABANI!D27-VERI_TABANI!D27*B739))*VERI_TABANI!$B$8) + IF(ABS(IF(ISNUMBER(SEARCH("Var", D739)), 1, IF(ISNUMBER(SEARCH("Gri", D739)), -1, 0)))=1, VERI_TABANI!E27*(1-0.928)*VERI_TABANI!$B$9, 0) + (VERI_TABANI!D27*B739*(VERI_TABANI!$B$13-VERI_TABANI!$B$14)*VERI_TABANI!G27) + (VERI_TABANI!D27*C739*(VERI_TABANI!$B$13-VERI_TABANI!$B$15)*VERI_TABANI!G27) + IF(ABS(IF(ISNUMBER(SEARCH("Var", D739)), 1, IF(ISNUMBER(SEARCH("Gri", D739)), -1, 0)))=1, VERI_TABANI!E27*(1-0.928)*0.00206091519919798*VERI_TABANI!G27, 0)) + ((MIN(VERI_TABANI!D28, VERI_TABANI!D28*B739)*VERI_TABANI!$B$7 + MAX(0, VERI_TABANI!D28*B739-VERI_TABANI!D28)*VERI_TABANI!$B$8) + (MIN(MAX(0, VERI_TABANI!D28-VERI_TABANI!D28*B739), VERI_TABANI!D28*C739)*VERI_TABANI!$B$7 + MAX(0, VERI_TABANI!D28*C739-MAX(0, VERI_TABANI!D28-VERI_TABANI!D28*B739))*VERI_TABANI!$B$8) + IF(ABS(IF(ISNUMBER(SEARCH("Var", D739)), 1, IF(ISNUMBER(SEARCH("Gri", D739)), -1, 0)))=1, VERI_TABANI!E28*(1-0.928)*VERI_TABANI!$B$9, 0) + (VERI_TABANI!D28*B739*(VERI_TABANI!$B$13-VERI_TABANI!$B$14)*VERI_TABANI!G28) + (VERI_TABANI!D28*C739*(VERI_TABANI!$B$13-VERI_TABANI!$B$15)*VERI_TABANI!G28) + IF(ABS(IF(ISNUMBER(SEARCH("Var", D739)), 1, IF(ISNUMBER(SEARCH("Gri", D739)), -1, 0)))=1, VERI_TABANI!E28*(1-0.928)*0.00206091519919798*VERI_TABANI!G28, 0)))</f>
        <v/>
      </c>
      <c r="H739" s="169">
        <f>(((VERI_TABANI!D23*B739*(VERI_TABANI!$B$13-VERI_TABANI!$B$14)) + (VERI_TABANI!D23*C739*(VERI_TABANI!$B$13-VERI_TABANI!$B$15)) + IF(ISNUMBER(SEARCH("Var", D739)), VERI_TABANI!F23*(0.00202-VERI_TABANI!$B$16), IF(ISNUMBER(SEARCH("Gri", D739)), VERI_TABANI!F23*(0.00202-VERI_TABANI!$B$17), 0))) + ((VERI_TABANI!D24*B739*(VERI_TABANI!$B$13-VERI_TABANI!$B$14)) + (VERI_TABANI!D24*C739*(VERI_TABANI!$B$13-VERI_TABANI!$B$15)) + IF(ISNUMBER(SEARCH("Var", D739)), VERI_TABANI!F24*(0.00202-VERI_TABANI!$B$16), IF(ISNUMBER(SEARCH("Gri", D739)), VERI_TABANI!F24*(0.00202-VERI_TABANI!$B$17), 0))) + ((VERI_TABANI!D25*B739*(VERI_TABANI!$B$13-VERI_TABANI!$B$14)) + (VERI_TABANI!D25*C739*(VERI_TABANI!$B$13-VERI_TABANI!$B$15)) + IF(ISNUMBER(SEARCH("Var", D739)), VERI_TABANI!F25*(0.00202-VERI_TABANI!$B$16), IF(ISNUMBER(SEARCH("Gri", D739)), VERI_TABANI!F25*(0.00202-VERI_TABANI!$B$17), 0))) + ((VERI_TABANI!D26*B739*(VERI_TABANI!$B$13-VERI_TABANI!$B$14)) + (VERI_TABANI!D26*C739*(VERI_TABANI!$B$13-VERI_TABANI!$B$15)) + IF(ISNUMBER(SEARCH("Var", D739)), VERI_TABANI!F26*(0.00202-VERI_TABANI!$B$16), IF(ISNUMBER(SEARCH("Gri", D739)), VERI_TABANI!F26*(0.00202-VERI_TABANI!$B$17), 0))) + ((VERI_TABANI!D27*B739*(VERI_TABANI!$B$13-VERI_TABANI!$B$14)) + (VERI_TABANI!D27*C739*(VERI_TABANI!$B$13-VERI_TABANI!$B$15)) + IF(ISNUMBER(SEARCH("Var", D739)), VERI_TABANI!F27*(0.00202-VERI_TABANI!$B$16), IF(ISNUMBER(SEARCH("Gri", D739)), VERI_TABANI!F27*(0.00202-VERI_TABANI!$B$17), 0))) + ((VERI_TABANI!D28*B739*(VERI_TABANI!$B$13-VERI_TABANI!$B$14)) + (VERI_TABANI!D28*C739*(VERI_TABANI!$B$13-VERI_TABANI!$B$15)) + IF(ISNUMBER(SEARCH("Var", D739)), VERI_TABANI!F28*(0.00202-VERI_TABANI!$B$16), IF(ISNUMBER(SEARCH("Gri", D739)), VERI_TABANI!F28*(0.00202-VERI_TABANI!$B$17), 0))))</f>
        <v/>
      </c>
      <c r="I739" s="170">
        <f>IFERROR(((VERI_TABANI!$D$29*B739*VERI_TABANI!$B$14 + VERI_TABANI!$D$29*C739*VERI_TABANI!$B$15 + IF(ISNUMBER(SEARCH("Var", D739)), VERI_TABANI!$F$29*VERI_TABANI!$B$16, 0))) / (((VERI_TABANI!$D$29*B739 + VERI_TABANI!$D$29*C739)*VERI_TABANI!$B$13 + IF(ISNUMBER(SEARCH("Var", D739)), VERI_TABANI!$E$29*(1-0.928)*VERI_TABANI!$B$18, 0))), 0)</f>
        <v/>
      </c>
      <c r="J739" s="171">
        <f>IFERROR(F739/(G739/29), 0)</f>
        <v/>
      </c>
      <c r="K739" s="172">
        <f>IF(F739&gt;0, H739/F739, 0)</f>
        <v/>
      </c>
      <c r="L739" s="170">
        <f>IF(F739&gt;0, I739, 1000000000)</f>
        <v/>
      </c>
      <c r="M739" s="171">
        <f>ABS((B739+C739)-1)</f>
        <v/>
      </c>
      <c r="N739" s="170">
        <f>IF(F739&gt;0, (G739/29)/F739, 0)</f>
        <v/>
      </c>
      <c r="O739" s="168">
        <f>IF(AND((B739+C739)&gt;=1, ISNUMBER(SEARCH("Var", D739))), F739, 1000000000)</f>
        <v/>
      </c>
      <c r="P739" s="172">
        <f>IF(F739&gt;0, SQRT((F739/MAX(F$5:F$886))^2 + (1 - H739/MAX(H$5:H$886))^2 + (J739/MAX(J$5:J$886))^2), 1000000000)</f>
        <v/>
      </c>
      <c r="Q739" s="166">
        <f>IF(AND(ABS(B739-0.5)&lt;0.01, ABS(C739-0.5)&lt;0.01, ISNUMBER(SEARCH("Var", D739))), 1, 0)</f>
        <v/>
      </c>
      <c r="R739" s="171">
        <f>IF(F739&gt;0, J739, 1000000000)</f>
        <v/>
      </c>
      <c r="S739" s="101">
        <f>IF(AND(F739&lt;=DASHBOARD!$B$11, H739&gt;=DASHBOARD!$B$13), G739, -1000000000000)</f>
        <v/>
      </c>
      <c r="T739" s="101">
        <f>IF(AND(F739&lt;=DASHBOARD!$B$11, H739&gt;=DASHBOARD!$B$13), R739, 1000000000000)</f>
        <v/>
      </c>
      <c r="U739" s="101">
        <f>IF(AND(F739&lt;=DASHBOARD!$B$11, H739&gt;=DASHBOARD!$B$13), N739, -1000000000000)</f>
        <v/>
      </c>
      <c r="V739" s="101">
        <f>IF(AND(F739&lt;=DASHBOARD!$B$11, H739&gt;=DASHBOARD!$B$13), H739, -1000000000000)</f>
        <v/>
      </c>
      <c r="W739" s="101">
        <f>IF(AND(F739&lt;=DASHBOARD!$B$11, H739&gt;=DASHBOARD!$B$13), K739, -1000000000000)</f>
        <v/>
      </c>
      <c r="X739" s="101">
        <f>IF(AND(F739&lt;=DASHBOARD!$B$11, H739&gt;=DASHBOARD!$B$13), M739, 1000000000000)</f>
        <v/>
      </c>
      <c r="Y739" s="101">
        <f>IF(AND(F739&lt;=DASHBOARD!$B$10, H739&gt;=DASHBOARD!$B$11), L739, 1000000000000)</f>
        <v/>
      </c>
      <c r="Z739" s="101">
        <f>IF(AND(F739&lt;=DASHBOARD!$B$10, H739&gt;=DASHBOARD!$B$11), O739, 1000000000000)</f>
        <v/>
      </c>
      <c r="AA739" s="101">
        <f>IF(AND(F739&lt;=DASHBOARD!$B$10, H739&gt;=DASHBOARD!$B$11), P739, 1000000000000)</f>
        <v/>
      </c>
      <c r="AB739" s="101">
        <f>IF(AND(F739&lt;=DASHBOARD!$B$10, H739&gt;=DASHBOARD!$B$11), Q739, -1000000000000)</f>
        <v/>
      </c>
    </row>
    <row r="740" ht="15" customHeight="1" s="102">
      <c r="A740" s="166" t="n">
        <v>736</v>
      </c>
      <c r="B740" s="167" t="n">
        <v>1.7</v>
      </c>
      <c r="C740" s="167" t="n">
        <v>1</v>
      </c>
      <c r="D740" s="110" t="inlineStr">
        <is>
          <t>Var (%20)</t>
        </is>
      </c>
      <c r="E740" s="110">
        <f>IF((B740+C740)&lt;=1, "Tam Mahsuplaşma (≤%100)", "Kısmi Satış (&gt;%100)")</f>
        <v/>
      </c>
      <c r="F740" s="168">
        <f>((VERI_TABANI!$D$29*B740/VERI_TABANI!$B$29)/VERI_TABANI!$B$3)*VERI_TABANI!$B$5 + ((VERI_TABANI!$D$29*C740/VERI_TABANI!$B$29)/VERI_TABANI!$B$4)*VERI_TABANI!$B$6 + IF(ISNUMBER(SEARCH("Var", D740)), (VERI_TABANI!$F$29/VERI_TABANI!$B$29)*(VERI_TABANI!$B$10+VERI_TABANI!$B$12), 0)</f>
        <v/>
      </c>
      <c r="G740" s="168">
        <f>(((MIN(VERI_TABANI!D23, VERI_TABANI!D23*B740)*VERI_TABANI!$B$7 + MAX(0, VERI_TABANI!D23*B740-VERI_TABANI!D23)*VERI_TABANI!$B$8) + (MIN(MAX(0, VERI_TABANI!D23-VERI_TABANI!D23*B740), VERI_TABANI!D23*C740)*VERI_TABANI!$B$7 + MAX(0, VERI_TABANI!D23*C740-MAX(0, VERI_TABANI!D23-VERI_TABANI!D23*B740))*VERI_TABANI!$B$8) + IF(ABS(IF(ISNUMBER(SEARCH("Var", D740)), 1, IF(ISNUMBER(SEARCH("Gri", D740)), -1, 0)))=1, VERI_TABANI!E23*(1-0.928)*VERI_TABANI!$B$9, 0) + (VERI_TABANI!D23*B740*(VERI_TABANI!$B$13-VERI_TABANI!$B$14)*VERI_TABANI!G23) + (VERI_TABANI!D23*C740*(VERI_TABANI!$B$13-VERI_TABANI!$B$15)*VERI_TABANI!G23) + IF(ABS(IF(ISNUMBER(SEARCH("Var", D740)), 1, IF(ISNUMBER(SEARCH("Gri", D740)), -1, 0)))=1, VERI_TABANI!E23*(1-0.928)*0.00206091519919798*VERI_TABANI!G23, 0)) + ((MIN(VERI_TABANI!D24, VERI_TABANI!D24*B740)*VERI_TABANI!$B$7 + MAX(0, VERI_TABANI!D24*B740-VERI_TABANI!D24)*VERI_TABANI!$B$8) + (MIN(MAX(0, VERI_TABANI!D24-VERI_TABANI!D24*B740), VERI_TABANI!D24*C740)*VERI_TABANI!$B$7 + MAX(0, VERI_TABANI!D24*C740-MAX(0, VERI_TABANI!D24-VERI_TABANI!D24*B740))*VERI_TABANI!$B$8) + IF(ABS(IF(ISNUMBER(SEARCH("Var", D740)), 1, IF(ISNUMBER(SEARCH("Gri", D740)), -1, 0)))=1, VERI_TABANI!E24*(1-0.928)*VERI_TABANI!$B$9, 0) + (VERI_TABANI!D24*B740*(VERI_TABANI!$B$13-VERI_TABANI!$B$14)*VERI_TABANI!G24) + (VERI_TABANI!D24*C740*(VERI_TABANI!$B$13-VERI_TABANI!$B$15)*VERI_TABANI!G24) + IF(ABS(IF(ISNUMBER(SEARCH("Var", D740)), 1, IF(ISNUMBER(SEARCH("Gri", D740)), -1, 0)))=1, VERI_TABANI!E24*(1-0.928)*0.00206091519919798*VERI_TABANI!G24, 0)) + ((MIN(VERI_TABANI!D25, VERI_TABANI!D25*B740)*VERI_TABANI!$B$7 + MAX(0, VERI_TABANI!D25*B740-VERI_TABANI!D25)*VERI_TABANI!$B$8) + (MIN(MAX(0, VERI_TABANI!D25-VERI_TABANI!D25*B740), VERI_TABANI!D25*C740)*VERI_TABANI!$B$7 + MAX(0, VERI_TABANI!D25*C740-MAX(0, VERI_TABANI!D25-VERI_TABANI!D25*B740))*VERI_TABANI!$B$8) + IF(ABS(IF(ISNUMBER(SEARCH("Var", D740)), 1, IF(ISNUMBER(SEARCH("Gri", D740)), -1, 0)))=1, VERI_TABANI!E25*(1-0.928)*VERI_TABANI!$B$9, 0) + (VERI_TABANI!D25*B740*(VERI_TABANI!$B$13-VERI_TABANI!$B$14)*VERI_TABANI!G25) + (VERI_TABANI!D25*C740*(VERI_TABANI!$B$13-VERI_TABANI!$B$15)*VERI_TABANI!G25) + IF(ABS(IF(ISNUMBER(SEARCH("Var", D740)), 1, IF(ISNUMBER(SEARCH("Gri", D740)), -1, 0)))=1, VERI_TABANI!E25*(1-0.928)*0.00206091519919798*VERI_TABANI!G25, 0)) + ((MIN(VERI_TABANI!D26, VERI_TABANI!D26*B740)*VERI_TABANI!$B$7 + MAX(0, VERI_TABANI!D26*B740-VERI_TABANI!D26)*VERI_TABANI!$B$8) + (MIN(MAX(0, VERI_TABANI!D26-VERI_TABANI!D26*B740), VERI_TABANI!D26*C740)*VERI_TABANI!$B$7 + MAX(0, VERI_TABANI!D26*C740-MAX(0, VERI_TABANI!D26-VERI_TABANI!D26*B740))*VERI_TABANI!$B$8) + IF(ABS(IF(ISNUMBER(SEARCH("Var", D740)), 1, IF(ISNUMBER(SEARCH("Gri", D740)), -1, 0)))=1, VERI_TABANI!E26*(1-0.928)*VERI_TABANI!$B$9, 0) + (VERI_TABANI!D26*B740*(VERI_TABANI!$B$13-VERI_TABANI!$B$14)*VERI_TABANI!G26) + (VERI_TABANI!D26*C740*(VERI_TABANI!$B$13-VERI_TABANI!$B$15)*VERI_TABANI!G26) + IF(ABS(IF(ISNUMBER(SEARCH("Var", D740)), 1, IF(ISNUMBER(SEARCH("Gri", D740)), -1, 0)))=1, VERI_TABANI!E26*(1-0.928)*0.00206091519919798*VERI_TABANI!G26, 0)) + ((MIN(VERI_TABANI!D27, VERI_TABANI!D27*B740)*VERI_TABANI!$B$7 + MAX(0, VERI_TABANI!D27*B740-VERI_TABANI!D27)*VERI_TABANI!$B$8) + (MIN(MAX(0, VERI_TABANI!D27-VERI_TABANI!D27*B740), VERI_TABANI!D27*C740)*VERI_TABANI!$B$7 + MAX(0, VERI_TABANI!D27*C740-MAX(0, VERI_TABANI!D27-VERI_TABANI!D27*B740))*VERI_TABANI!$B$8) + IF(ABS(IF(ISNUMBER(SEARCH("Var", D740)), 1, IF(ISNUMBER(SEARCH("Gri", D740)), -1, 0)))=1, VERI_TABANI!E27*(1-0.928)*VERI_TABANI!$B$9, 0) + (VERI_TABANI!D27*B740*(VERI_TABANI!$B$13-VERI_TABANI!$B$14)*VERI_TABANI!G27) + (VERI_TABANI!D27*C740*(VERI_TABANI!$B$13-VERI_TABANI!$B$15)*VERI_TABANI!G27) + IF(ABS(IF(ISNUMBER(SEARCH("Var", D740)), 1, IF(ISNUMBER(SEARCH("Gri", D740)), -1, 0)))=1, VERI_TABANI!E27*(1-0.928)*0.00206091519919798*VERI_TABANI!G27, 0)) + ((MIN(VERI_TABANI!D28, VERI_TABANI!D28*B740)*VERI_TABANI!$B$7 + MAX(0, VERI_TABANI!D28*B740-VERI_TABANI!D28)*VERI_TABANI!$B$8) + (MIN(MAX(0, VERI_TABANI!D28-VERI_TABANI!D28*B740), VERI_TABANI!D28*C740)*VERI_TABANI!$B$7 + MAX(0, VERI_TABANI!D28*C740-MAX(0, VERI_TABANI!D28-VERI_TABANI!D28*B740))*VERI_TABANI!$B$8) + IF(ABS(IF(ISNUMBER(SEARCH("Var", D740)), 1, IF(ISNUMBER(SEARCH("Gri", D740)), -1, 0)))=1, VERI_TABANI!E28*(1-0.928)*VERI_TABANI!$B$9, 0) + (VERI_TABANI!D28*B740*(VERI_TABANI!$B$13-VERI_TABANI!$B$14)*VERI_TABANI!G28) + (VERI_TABANI!D28*C740*(VERI_TABANI!$B$13-VERI_TABANI!$B$15)*VERI_TABANI!G28) + IF(ABS(IF(ISNUMBER(SEARCH("Var", D740)), 1, IF(ISNUMBER(SEARCH("Gri", D740)), -1, 0)))=1, VERI_TABANI!E28*(1-0.928)*0.00206091519919798*VERI_TABANI!G28, 0)))</f>
        <v/>
      </c>
      <c r="H740" s="169">
        <f>(((VERI_TABANI!D23*B740*(VERI_TABANI!$B$13-VERI_TABANI!$B$14)) + (VERI_TABANI!D23*C740*(VERI_TABANI!$B$13-VERI_TABANI!$B$15)) + IF(ISNUMBER(SEARCH("Var", D740)), VERI_TABANI!F23*(0.00202-VERI_TABANI!$B$16), IF(ISNUMBER(SEARCH("Gri", D740)), VERI_TABANI!F23*(0.00202-VERI_TABANI!$B$17), 0))) + ((VERI_TABANI!D24*B740*(VERI_TABANI!$B$13-VERI_TABANI!$B$14)) + (VERI_TABANI!D24*C740*(VERI_TABANI!$B$13-VERI_TABANI!$B$15)) + IF(ISNUMBER(SEARCH("Var", D740)), VERI_TABANI!F24*(0.00202-VERI_TABANI!$B$16), IF(ISNUMBER(SEARCH("Gri", D740)), VERI_TABANI!F24*(0.00202-VERI_TABANI!$B$17), 0))) + ((VERI_TABANI!D25*B740*(VERI_TABANI!$B$13-VERI_TABANI!$B$14)) + (VERI_TABANI!D25*C740*(VERI_TABANI!$B$13-VERI_TABANI!$B$15)) + IF(ISNUMBER(SEARCH("Var", D740)), VERI_TABANI!F25*(0.00202-VERI_TABANI!$B$16), IF(ISNUMBER(SEARCH("Gri", D740)), VERI_TABANI!F25*(0.00202-VERI_TABANI!$B$17), 0))) + ((VERI_TABANI!D26*B740*(VERI_TABANI!$B$13-VERI_TABANI!$B$14)) + (VERI_TABANI!D26*C740*(VERI_TABANI!$B$13-VERI_TABANI!$B$15)) + IF(ISNUMBER(SEARCH("Var", D740)), VERI_TABANI!F26*(0.00202-VERI_TABANI!$B$16), IF(ISNUMBER(SEARCH("Gri", D740)), VERI_TABANI!F26*(0.00202-VERI_TABANI!$B$17), 0))) + ((VERI_TABANI!D27*B740*(VERI_TABANI!$B$13-VERI_TABANI!$B$14)) + (VERI_TABANI!D27*C740*(VERI_TABANI!$B$13-VERI_TABANI!$B$15)) + IF(ISNUMBER(SEARCH("Var", D740)), VERI_TABANI!F27*(0.00202-VERI_TABANI!$B$16), IF(ISNUMBER(SEARCH("Gri", D740)), VERI_TABANI!F27*(0.00202-VERI_TABANI!$B$17), 0))) + ((VERI_TABANI!D28*B740*(VERI_TABANI!$B$13-VERI_TABANI!$B$14)) + (VERI_TABANI!D28*C740*(VERI_TABANI!$B$13-VERI_TABANI!$B$15)) + IF(ISNUMBER(SEARCH("Var", D740)), VERI_TABANI!F28*(0.00202-VERI_TABANI!$B$16), IF(ISNUMBER(SEARCH("Gri", D740)), VERI_TABANI!F28*(0.00202-VERI_TABANI!$B$17), 0))))</f>
        <v/>
      </c>
      <c r="I740" s="170">
        <f>IFERROR(((VERI_TABANI!$D$29*B740*VERI_TABANI!$B$14 + VERI_TABANI!$D$29*C740*VERI_TABANI!$B$15 + IF(ISNUMBER(SEARCH("Var", D740)), VERI_TABANI!$F$29*VERI_TABANI!$B$16, 0))) / (((VERI_TABANI!$D$29*B740 + VERI_TABANI!$D$29*C740)*VERI_TABANI!$B$13 + IF(ISNUMBER(SEARCH("Var", D740)), VERI_TABANI!$E$29*(1-0.928)*VERI_TABANI!$B$18, 0))), 0)</f>
        <v/>
      </c>
      <c r="J740" s="171">
        <f>IFERROR(F740/(G740/29), 0)</f>
        <v/>
      </c>
      <c r="K740" s="172">
        <f>IF(F740&gt;0, H740/F740, 0)</f>
        <v/>
      </c>
      <c r="L740" s="170">
        <f>IF(F740&gt;0, I740, 1000000000)</f>
        <v/>
      </c>
      <c r="M740" s="171">
        <f>ABS((B740+C740)-1)</f>
        <v/>
      </c>
      <c r="N740" s="170">
        <f>IF(F740&gt;0, (G740/29)/F740, 0)</f>
        <v/>
      </c>
      <c r="O740" s="168">
        <f>IF(AND((B740+C740)&gt;=1, ISNUMBER(SEARCH("Var", D740))), F740, 1000000000)</f>
        <v/>
      </c>
      <c r="P740" s="172">
        <f>IF(F740&gt;0, SQRT((F740/MAX(F$5:F$886))^2 + (1 - H740/MAX(H$5:H$886))^2 + (J740/MAX(J$5:J$886))^2), 1000000000)</f>
        <v/>
      </c>
      <c r="Q740" s="166">
        <f>IF(AND(ABS(B740-0.5)&lt;0.01, ABS(C740-0.5)&lt;0.01, ISNUMBER(SEARCH("Var", D740))), 1, 0)</f>
        <v/>
      </c>
      <c r="R740" s="171">
        <f>IF(F740&gt;0, J740, 1000000000)</f>
        <v/>
      </c>
      <c r="S740" s="101">
        <f>IF(AND(F740&lt;=DASHBOARD!$B$11, H740&gt;=DASHBOARD!$B$13), G740, -1000000000000)</f>
        <v/>
      </c>
      <c r="T740" s="101">
        <f>IF(AND(F740&lt;=DASHBOARD!$B$11, H740&gt;=DASHBOARD!$B$13), R740, 1000000000000)</f>
        <v/>
      </c>
      <c r="U740" s="101">
        <f>IF(AND(F740&lt;=DASHBOARD!$B$11, H740&gt;=DASHBOARD!$B$13), N740, -1000000000000)</f>
        <v/>
      </c>
      <c r="V740" s="101">
        <f>IF(AND(F740&lt;=DASHBOARD!$B$11, H740&gt;=DASHBOARD!$B$13), H740, -1000000000000)</f>
        <v/>
      </c>
      <c r="W740" s="101">
        <f>IF(AND(F740&lt;=DASHBOARD!$B$11, H740&gt;=DASHBOARD!$B$13), K740, -1000000000000)</f>
        <v/>
      </c>
      <c r="X740" s="101">
        <f>IF(AND(F740&lt;=DASHBOARD!$B$11, H740&gt;=DASHBOARD!$B$13), M740, 1000000000000)</f>
        <v/>
      </c>
      <c r="Y740" s="101">
        <f>IF(AND(F740&lt;=DASHBOARD!$B$10, H740&gt;=DASHBOARD!$B$11), L740, 1000000000000)</f>
        <v/>
      </c>
      <c r="Z740" s="101">
        <f>IF(AND(F740&lt;=DASHBOARD!$B$10, H740&gt;=DASHBOARD!$B$11), O740, 1000000000000)</f>
        <v/>
      </c>
      <c r="AA740" s="101">
        <f>IF(AND(F740&lt;=DASHBOARD!$B$10, H740&gt;=DASHBOARD!$B$11), P740, 1000000000000)</f>
        <v/>
      </c>
      <c r="AB740" s="101">
        <f>IF(AND(F740&lt;=DASHBOARD!$B$10, H740&gt;=DASHBOARD!$B$11), Q740, -1000000000000)</f>
        <v/>
      </c>
    </row>
    <row r="741" ht="15" customHeight="1" s="102">
      <c r="A741" s="166" t="n">
        <v>737</v>
      </c>
      <c r="B741" s="167" t="n">
        <v>1.7</v>
      </c>
      <c r="C741" s="167" t="n">
        <v>1.1</v>
      </c>
      <c r="D741" s="110" t="inlineStr">
        <is>
          <t>Yok (%0)</t>
        </is>
      </c>
      <c r="E741" s="110">
        <f>IF((B741+C741)&lt;=1, "Tam Mahsuplaşma (≤%100)", "Kısmi Satış (&gt;%100)")</f>
        <v/>
      </c>
      <c r="F741" s="168">
        <f>((VERI_TABANI!$D$29*B741/VERI_TABANI!$B$29)/VERI_TABANI!$B$3)*VERI_TABANI!$B$5 + ((VERI_TABANI!$D$29*C741/VERI_TABANI!$B$29)/VERI_TABANI!$B$4)*VERI_TABANI!$B$6 + IF(ISNUMBER(SEARCH("Var", D741)), (VERI_TABANI!$F$29/VERI_TABANI!$B$29)*(VERI_TABANI!$B$10+VERI_TABANI!$B$12), 0)</f>
        <v/>
      </c>
      <c r="G741" s="168">
        <f>(((MIN(VERI_TABANI!D23, VERI_TABANI!D23*B741)*VERI_TABANI!$B$7 + MAX(0, VERI_TABANI!D23*B741-VERI_TABANI!D23)*VERI_TABANI!$B$8) + (MIN(MAX(0, VERI_TABANI!D23-VERI_TABANI!D23*B741), VERI_TABANI!D23*C741)*VERI_TABANI!$B$7 + MAX(0, VERI_TABANI!D23*C741-MAX(0, VERI_TABANI!D23-VERI_TABANI!D23*B741))*VERI_TABANI!$B$8) + IF(ABS(IF(ISNUMBER(SEARCH("Var", D741)), 1, IF(ISNUMBER(SEARCH("Gri", D741)), -1, 0)))=1, VERI_TABANI!E23*(1-0.928)*VERI_TABANI!$B$9, 0) + (VERI_TABANI!D23*B741*(VERI_TABANI!$B$13-VERI_TABANI!$B$14)*VERI_TABANI!G23) + (VERI_TABANI!D23*C741*(VERI_TABANI!$B$13-VERI_TABANI!$B$15)*VERI_TABANI!G23) + IF(ABS(IF(ISNUMBER(SEARCH("Var", D741)), 1, IF(ISNUMBER(SEARCH("Gri", D741)), -1, 0)))=1, VERI_TABANI!E23*(1-0.928)*0.00206091519919798*VERI_TABANI!G23, 0)) + ((MIN(VERI_TABANI!D24, VERI_TABANI!D24*B741)*VERI_TABANI!$B$7 + MAX(0, VERI_TABANI!D24*B741-VERI_TABANI!D24)*VERI_TABANI!$B$8) + (MIN(MAX(0, VERI_TABANI!D24-VERI_TABANI!D24*B741), VERI_TABANI!D24*C741)*VERI_TABANI!$B$7 + MAX(0, VERI_TABANI!D24*C741-MAX(0, VERI_TABANI!D24-VERI_TABANI!D24*B741))*VERI_TABANI!$B$8) + IF(ABS(IF(ISNUMBER(SEARCH("Var", D741)), 1, IF(ISNUMBER(SEARCH("Gri", D741)), -1, 0)))=1, VERI_TABANI!E24*(1-0.928)*VERI_TABANI!$B$9, 0) + (VERI_TABANI!D24*B741*(VERI_TABANI!$B$13-VERI_TABANI!$B$14)*VERI_TABANI!G24) + (VERI_TABANI!D24*C741*(VERI_TABANI!$B$13-VERI_TABANI!$B$15)*VERI_TABANI!G24) + IF(ABS(IF(ISNUMBER(SEARCH("Var", D741)), 1, IF(ISNUMBER(SEARCH("Gri", D741)), -1, 0)))=1, VERI_TABANI!E24*(1-0.928)*0.00206091519919798*VERI_TABANI!G24, 0)) + ((MIN(VERI_TABANI!D25, VERI_TABANI!D25*B741)*VERI_TABANI!$B$7 + MAX(0, VERI_TABANI!D25*B741-VERI_TABANI!D25)*VERI_TABANI!$B$8) + (MIN(MAX(0, VERI_TABANI!D25-VERI_TABANI!D25*B741), VERI_TABANI!D25*C741)*VERI_TABANI!$B$7 + MAX(0, VERI_TABANI!D25*C741-MAX(0, VERI_TABANI!D25-VERI_TABANI!D25*B741))*VERI_TABANI!$B$8) + IF(ABS(IF(ISNUMBER(SEARCH("Var", D741)), 1, IF(ISNUMBER(SEARCH("Gri", D741)), -1, 0)))=1, VERI_TABANI!E25*(1-0.928)*VERI_TABANI!$B$9, 0) + (VERI_TABANI!D25*B741*(VERI_TABANI!$B$13-VERI_TABANI!$B$14)*VERI_TABANI!G25) + (VERI_TABANI!D25*C741*(VERI_TABANI!$B$13-VERI_TABANI!$B$15)*VERI_TABANI!G25) + IF(ABS(IF(ISNUMBER(SEARCH("Var", D741)), 1, IF(ISNUMBER(SEARCH("Gri", D741)), -1, 0)))=1, VERI_TABANI!E25*(1-0.928)*0.00206091519919798*VERI_TABANI!G25, 0)) + ((MIN(VERI_TABANI!D26, VERI_TABANI!D26*B741)*VERI_TABANI!$B$7 + MAX(0, VERI_TABANI!D26*B741-VERI_TABANI!D26)*VERI_TABANI!$B$8) + (MIN(MAX(0, VERI_TABANI!D26-VERI_TABANI!D26*B741), VERI_TABANI!D26*C741)*VERI_TABANI!$B$7 + MAX(0, VERI_TABANI!D26*C741-MAX(0, VERI_TABANI!D26-VERI_TABANI!D26*B741))*VERI_TABANI!$B$8) + IF(ABS(IF(ISNUMBER(SEARCH("Var", D741)), 1, IF(ISNUMBER(SEARCH("Gri", D741)), -1, 0)))=1, VERI_TABANI!E26*(1-0.928)*VERI_TABANI!$B$9, 0) + (VERI_TABANI!D26*B741*(VERI_TABANI!$B$13-VERI_TABANI!$B$14)*VERI_TABANI!G26) + (VERI_TABANI!D26*C741*(VERI_TABANI!$B$13-VERI_TABANI!$B$15)*VERI_TABANI!G26) + IF(ABS(IF(ISNUMBER(SEARCH("Var", D741)), 1, IF(ISNUMBER(SEARCH("Gri", D741)), -1, 0)))=1, VERI_TABANI!E26*(1-0.928)*0.00206091519919798*VERI_TABANI!G26, 0)) + ((MIN(VERI_TABANI!D27, VERI_TABANI!D27*B741)*VERI_TABANI!$B$7 + MAX(0, VERI_TABANI!D27*B741-VERI_TABANI!D27)*VERI_TABANI!$B$8) + (MIN(MAX(0, VERI_TABANI!D27-VERI_TABANI!D27*B741), VERI_TABANI!D27*C741)*VERI_TABANI!$B$7 + MAX(0, VERI_TABANI!D27*C741-MAX(0, VERI_TABANI!D27-VERI_TABANI!D27*B741))*VERI_TABANI!$B$8) + IF(ABS(IF(ISNUMBER(SEARCH("Var", D741)), 1, IF(ISNUMBER(SEARCH("Gri", D741)), -1, 0)))=1, VERI_TABANI!E27*(1-0.928)*VERI_TABANI!$B$9, 0) + (VERI_TABANI!D27*B741*(VERI_TABANI!$B$13-VERI_TABANI!$B$14)*VERI_TABANI!G27) + (VERI_TABANI!D27*C741*(VERI_TABANI!$B$13-VERI_TABANI!$B$15)*VERI_TABANI!G27) + IF(ABS(IF(ISNUMBER(SEARCH("Var", D741)), 1, IF(ISNUMBER(SEARCH("Gri", D741)), -1, 0)))=1, VERI_TABANI!E27*(1-0.928)*0.00206091519919798*VERI_TABANI!G27, 0)) + ((MIN(VERI_TABANI!D28, VERI_TABANI!D28*B741)*VERI_TABANI!$B$7 + MAX(0, VERI_TABANI!D28*B741-VERI_TABANI!D28)*VERI_TABANI!$B$8) + (MIN(MAX(0, VERI_TABANI!D28-VERI_TABANI!D28*B741), VERI_TABANI!D28*C741)*VERI_TABANI!$B$7 + MAX(0, VERI_TABANI!D28*C741-MAX(0, VERI_TABANI!D28-VERI_TABANI!D28*B741))*VERI_TABANI!$B$8) + IF(ABS(IF(ISNUMBER(SEARCH("Var", D741)), 1, IF(ISNUMBER(SEARCH("Gri", D741)), -1, 0)))=1, VERI_TABANI!E28*(1-0.928)*VERI_TABANI!$B$9, 0) + (VERI_TABANI!D28*B741*(VERI_TABANI!$B$13-VERI_TABANI!$B$14)*VERI_TABANI!G28) + (VERI_TABANI!D28*C741*(VERI_TABANI!$B$13-VERI_TABANI!$B$15)*VERI_TABANI!G28) + IF(ABS(IF(ISNUMBER(SEARCH("Var", D741)), 1, IF(ISNUMBER(SEARCH("Gri", D741)), -1, 0)))=1, VERI_TABANI!E28*(1-0.928)*0.00206091519919798*VERI_TABANI!G28, 0)))</f>
        <v/>
      </c>
      <c r="H741" s="169">
        <f>(((VERI_TABANI!D23*B741*(VERI_TABANI!$B$13-VERI_TABANI!$B$14)) + (VERI_TABANI!D23*C741*(VERI_TABANI!$B$13-VERI_TABANI!$B$15)) + IF(ISNUMBER(SEARCH("Var", D741)), VERI_TABANI!F23*(0.00202-VERI_TABANI!$B$16), IF(ISNUMBER(SEARCH("Gri", D741)), VERI_TABANI!F23*(0.00202-VERI_TABANI!$B$17), 0))) + ((VERI_TABANI!D24*B741*(VERI_TABANI!$B$13-VERI_TABANI!$B$14)) + (VERI_TABANI!D24*C741*(VERI_TABANI!$B$13-VERI_TABANI!$B$15)) + IF(ISNUMBER(SEARCH("Var", D741)), VERI_TABANI!F24*(0.00202-VERI_TABANI!$B$16), IF(ISNUMBER(SEARCH("Gri", D741)), VERI_TABANI!F24*(0.00202-VERI_TABANI!$B$17), 0))) + ((VERI_TABANI!D25*B741*(VERI_TABANI!$B$13-VERI_TABANI!$B$14)) + (VERI_TABANI!D25*C741*(VERI_TABANI!$B$13-VERI_TABANI!$B$15)) + IF(ISNUMBER(SEARCH("Var", D741)), VERI_TABANI!F25*(0.00202-VERI_TABANI!$B$16), IF(ISNUMBER(SEARCH("Gri", D741)), VERI_TABANI!F25*(0.00202-VERI_TABANI!$B$17), 0))) + ((VERI_TABANI!D26*B741*(VERI_TABANI!$B$13-VERI_TABANI!$B$14)) + (VERI_TABANI!D26*C741*(VERI_TABANI!$B$13-VERI_TABANI!$B$15)) + IF(ISNUMBER(SEARCH("Var", D741)), VERI_TABANI!F26*(0.00202-VERI_TABANI!$B$16), IF(ISNUMBER(SEARCH("Gri", D741)), VERI_TABANI!F26*(0.00202-VERI_TABANI!$B$17), 0))) + ((VERI_TABANI!D27*B741*(VERI_TABANI!$B$13-VERI_TABANI!$B$14)) + (VERI_TABANI!D27*C741*(VERI_TABANI!$B$13-VERI_TABANI!$B$15)) + IF(ISNUMBER(SEARCH("Var", D741)), VERI_TABANI!F27*(0.00202-VERI_TABANI!$B$16), IF(ISNUMBER(SEARCH("Gri", D741)), VERI_TABANI!F27*(0.00202-VERI_TABANI!$B$17), 0))) + ((VERI_TABANI!D28*B741*(VERI_TABANI!$B$13-VERI_TABANI!$B$14)) + (VERI_TABANI!D28*C741*(VERI_TABANI!$B$13-VERI_TABANI!$B$15)) + IF(ISNUMBER(SEARCH("Var", D741)), VERI_TABANI!F28*(0.00202-VERI_TABANI!$B$16), IF(ISNUMBER(SEARCH("Gri", D741)), VERI_TABANI!F28*(0.00202-VERI_TABANI!$B$17), 0))))</f>
        <v/>
      </c>
      <c r="I741" s="170">
        <f>IFERROR(((VERI_TABANI!$D$29*B741*VERI_TABANI!$B$14 + VERI_TABANI!$D$29*C741*VERI_TABANI!$B$15 + IF(ISNUMBER(SEARCH("Var", D741)), VERI_TABANI!$F$29*VERI_TABANI!$B$16, 0))) / (((VERI_TABANI!$D$29*B741 + VERI_TABANI!$D$29*C741)*VERI_TABANI!$B$13 + IF(ISNUMBER(SEARCH("Var", D741)), VERI_TABANI!$E$29*(1-0.928)*VERI_TABANI!$B$18, 0))), 0)</f>
        <v/>
      </c>
      <c r="J741" s="171">
        <f>IFERROR(F741/(G741/29), 0)</f>
        <v/>
      </c>
      <c r="K741" s="172">
        <f>IF(F741&gt;0, H741/F741, 0)</f>
        <v/>
      </c>
      <c r="L741" s="170">
        <f>IF(F741&gt;0, I741, 1000000000)</f>
        <v/>
      </c>
      <c r="M741" s="171">
        <f>ABS((B741+C741)-1)</f>
        <v/>
      </c>
      <c r="N741" s="170">
        <f>IF(F741&gt;0, (G741/29)/F741, 0)</f>
        <v/>
      </c>
      <c r="O741" s="168">
        <f>IF(AND((B741+C741)&gt;=1, ISNUMBER(SEARCH("Var", D741))), F741, 1000000000)</f>
        <v/>
      </c>
      <c r="P741" s="172">
        <f>IF(F741&gt;0, SQRT((F741/MAX(F$5:F$886))^2 + (1 - H741/MAX(H$5:H$886))^2 + (J741/MAX(J$5:J$886))^2), 1000000000)</f>
        <v/>
      </c>
      <c r="Q741" s="166">
        <f>IF(AND(ABS(B741-0.5)&lt;0.01, ABS(C741-0.5)&lt;0.01, ISNUMBER(SEARCH("Var", D741))), 1, 0)</f>
        <v/>
      </c>
      <c r="R741" s="171">
        <f>IF(F741&gt;0, J741, 1000000000)</f>
        <v/>
      </c>
      <c r="S741" s="101">
        <f>IF(AND(F741&lt;=DASHBOARD!$B$11, H741&gt;=DASHBOARD!$B$13), G741, -1000000000000)</f>
        <v/>
      </c>
      <c r="T741" s="101">
        <f>IF(AND(F741&lt;=DASHBOARD!$B$11, H741&gt;=DASHBOARD!$B$13), R741, 1000000000000)</f>
        <v/>
      </c>
      <c r="U741" s="101">
        <f>IF(AND(F741&lt;=DASHBOARD!$B$11, H741&gt;=DASHBOARD!$B$13), N741, -1000000000000)</f>
        <v/>
      </c>
      <c r="V741" s="101">
        <f>IF(AND(F741&lt;=DASHBOARD!$B$11, H741&gt;=DASHBOARD!$B$13), H741, -1000000000000)</f>
        <v/>
      </c>
      <c r="W741" s="101">
        <f>IF(AND(F741&lt;=DASHBOARD!$B$11, H741&gt;=DASHBOARD!$B$13), K741, -1000000000000)</f>
        <v/>
      </c>
      <c r="X741" s="101">
        <f>IF(AND(F741&lt;=DASHBOARD!$B$11, H741&gt;=DASHBOARD!$B$13), M741, 1000000000000)</f>
        <v/>
      </c>
      <c r="Y741" s="101">
        <f>IF(AND(F741&lt;=DASHBOARD!$B$10, H741&gt;=DASHBOARD!$B$11), L741, 1000000000000)</f>
        <v/>
      </c>
      <c r="Z741" s="101">
        <f>IF(AND(F741&lt;=DASHBOARD!$B$10, H741&gt;=DASHBOARD!$B$11), O741, 1000000000000)</f>
        <v/>
      </c>
      <c r="AA741" s="101">
        <f>IF(AND(F741&lt;=DASHBOARD!$B$10, H741&gt;=DASHBOARD!$B$11), P741, 1000000000000)</f>
        <v/>
      </c>
      <c r="AB741" s="101">
        <f>IF(AND(F741&lt;=DASHBOARD!$B$10, H741&gt;=DASHBOARD!$B$11), Q741, -1000000000000)</f>
        <v/>
      </c>
    </row>
    <row r="742" ht="15" customHeight="1" s="102">
      <c r="A742" s="166" t="n">
        <v>738</v>
      </c>
      <c r="B742" s="167" t="n">
        <v>1.7</v>
      </c>
      <c r="C742" s="167" t="n">
        <v>1.1</v>
      </c>
      <c r="D742" s="110" t="inlineStr">
        <is>
          <t>Var (%20)</t>
        </is>
      </c>
      <c r="E742" s="110">
        <f>IF((B742+C742)&lt;=1, "Tam Mahsuplaşma (≤%100)", "Kısmi Satış (&gt;%100)")</f>
        <v/>
      </c>
      <c r="F742" s="168">
        <f>((VERI_TABANI!$D$29*B742/VERI_TABANI!$B$29)/VERI_TABANI!$B$3)*VERI_TABANI!$B$5 + ((VERI_TABANI!$D$29*C742/VERI_TABANI!$B$29)/VERI_TABANI!$B$4)*VERI_TABANI!$B$6 + IF(ISNUMBER(SEARCH("Var", D742)), (VERI_TABANI!$F$29/VERI_TABANI!$B$29)*(VERI_TABANI!$B$10+VERI_TABANI!$B$12), 0)</f>
        <v/>
      </c>
      <c r="G742" s="168">
        <f>(((MIN(VERI_TABANI!D23, VERI_TABANI!D23*B742)*VERI_TABANI!$B$7 + MAX(0, VERI_TABANI!D23*B742-VERI_TABANI!D23)*VERI_TABANI!$B$8) + (MIN(MAX(0, VERI_TABANI!D23-VERI_TABANI!D23*B742), VERI_TABANI!D23*C742)*VERI_TABANI!$B$7 + MAX(0, VERI_TABANI!D23*C742-MAX(0, VERI_TABANI!D23-VERI_TABANI!D23*B742))*VERI_TABANI!$B$8) + IF(ABS(IF(ISNUMBER(SEARCH("Var", D742)), 1, IF(ISNUMBER(SEARCH("Gri", D742)), -1, 0)))=1, VERI_TABANI!E23*(1-0.928)*VERI_TABANI!$B$9, 0) + (VERI_TABANI!D23*B742*(VERI_TABANI!$B$13-VERI_TABANI!$B$14)*VERI_TABANI!G23) + (VERI_TABANI!D23*C742*(VERI_TABANI!$B$13-VERI_TABANI!$B$15)*VERI_TABANI!G23) + IF(ABS(IF(ISNUMBER(SEARCH("Var", D742)), 1, IF(ISNUMBER(SEARCH("Gri", D742)), -1, 0)))=1, VERI_TABANI!E23*(1-0.928)*0.00206091519919798*VERI_TABANI!G23, 0)) + ((MIN(VERI_TABANI!D24, VERI_TABANI!D24*B742)*VERI_TABANI!$B$7 + MAX(0, VERI_TABANI!D24*B742-VERI_TABANI!D24)*VERI_TABANI!$B$8) + (MIN(MAX(0, VERI_TABANI!D24-VERI_TABANI!D24*B742), VERI_TABANI!D24*C742)*VERI_TABANI!$B$7 + MAX(0, VERI_TABANI!D24*C742-MAX(0, VERI_TABANI!D24-VERI_TABANI!D24*B742))*VERI_TABANI!$B$8) + IF(ABS(IF(ISNUMBER(SEARCH("Var", D742)), 1, IF(ISNUMBER(SEARCH("Gri", D742)), -1, 0)))=1, VERI_TABANI!E24*(1-0.928)*VERI_TABANI!$B$9, 0) + (VERI_TABANI!D24*B742*(VERI_TABANI!$B$13-VERI_TABANI!$B$14)*VERI_TABANI!G24) + (VERI_TABANI!D24*C742*(VERI_TABANI!$B$13-VERI_TABANI!$B$15)*VERI_TABANI!G24) + IF(ABS(IF(ISNUMBER(SEARCH("Var", D742)), 1, IF(ISNUMBER(SEARCH("Gri", D742)), -1, 0)))=1, VERI_TABANI!E24*(1-0.928)*0.00206091519919798*VERI_TABANI!G24, 0)) + ((MIN(VERI_TABANI!D25, VERI_TABANI!D25*B742)*VERI_TABANI!$B$7 + MAX(0, VERI_TABANI!D25*B742-VERI_TABANI!D25)*VERI_TABANI!$B$8) + (MIN(MAX(0, VERI_TABANI!D25-VERI_TABANI!D25*B742), VERI_TABANI!D25*C742)*VERI_TABANI!$B$7 + MAX(0, VERI_TABANI!D25*C742-MAX(0, VERI_TABANI!D25-VERI_TABANI!D25*B742))*VERI_TABANI!$B$8) + IF(ABS(IF(ISNUMBER(SEARCH("Var", D742)), 1, IF(ISNUMBER(SEARCH("Gri", D742)), -1, 0)))=1, VERI_TABANI!E25*(1-0.928)*VERI_TABANI!$B$9, 0) + (VERI_TABANI!D25*B742*(VERI_TABANI!$B$13-VERI_TABANI!$B$14)*VERI_TABANI!G25) + (VERI_TABANI!D25*C742*(VERI_TABANI!$B$13-VERI_TABANI!$B$15)*VERI_TABANI!G25) + IF(ABS(IF(ISNUMBER(SEARCH("Var", D742)), 1, IF(ISNUMBER(SEARCH("Gri", D742)), -1, 0)))=1, VERI_TABANI!E25*(1-0.928)*0.00206091519919798*VERI_TABANI!G25, 0)) + ((MIN(VERI_TABANI!D26, VERI_TABANI!D26*B742)*VERI_TABANI!$B$7 + MAX(0, VERI_TABANI!D26*B742-VERI_TABANI!D26)*VERI_TABANI!$B$8) + (MIN(MAX(0, VERI_TABANI!D26-VERI_TABANI!D26*B742), VERI_TABANI!D26*C742)*VERI_TABANI!$B$7 + MAX(0, VERI_TABANI!D26*C742-MAX(0, VERI_TABANI!D26-VERI_TABANI!D26*B742))*VERI_TABANI!$B$8) + IF(ABS(IF(ISNUMBER(SEARCH("Var", D742)), 1, IF(ISNUMBER(SEARCH("Gri", D742)), -1, 0)))=1, VERI_TABANI!E26*(1-0.928)*VERI_TABANI!$B$9, 0) + (VERI_TABANI!D26*B742*(VERI_TABANI!$B$13-VERI_TABANI!$B$14)*VERI_TABANI!G26) + (VERI_TABANI!D26*C742*(VERI_TABANI!$B$13-VERI_TABANI!$B$15)*VERI_TABANI!G26) + IF(ABS(IF(ISNUMBER(SEARCH("Var", D742)), 1, IF(ISNUMBER(SEARCH("Gri", D742)), -1, 0)))=1, VERI_TABANI!E26*(1-0.928)*0.00206091519919798*VERI_TABANI!G26, 0)) + ((MIN(VERI_TABANI!D27, VERI_TABANI!D27*B742)*VERI_TABANI!$B$7 + MAX(0, VERI_TABANI!D27*B742-VERI_TABANI!D27)*VERI_TABANI!$B$8) + (MIN(MAX(0, VERI_TABANI!D27-VERI_TABANI!D27*B742), VERI_TABANI!D27*C742)*VERI_TABANI!$B$7 + MAX(0, VERI_TABANI!D27*C742-MAX(0, VERI_TABANI!D27-VERI_TABANI!D27*B742))*VERI_TABANI!$B$8) + IF(ABS(IF(ISNUMBER(SEARCH("Var", D742)), 1, IF(ISNUMBER(SEARCH("Gri", D742)), -1, 0)))=1, VERI_TABANI!E27*(1-0.928)*VERI_TABANI!$B$9, 0) + (VERI_TABANI!D27*B742*(VERI_TABANI!$B$13-VERI_TABANI!$B$14)*VERI_TABANI!G27) + (VERI_TABANI!D27*C742*(VERI_TABANI!$B$13-VERI_TABANI!$B$15)*VERI_TABANI!G27) + IF(ABS(IF(ISNUMBER(SEARCH("Var", D742)), 1, IF(ISNUMBER(SEARCH("Gri", D742)), -1, 0)))=1, VERI_TABANI!E27*(1-0.928)*0.00206091519919798*VERI_TABANI!G27, 0)) + ((MIN(VERI_TABANI!D28, VERI_TABANI!D28*B742)*VERI_TABANI!$B$7 + MAX(0, VERI_TABANI!D28*B742-VERI_TABANI!D28)*VERI_TABANI!$B$8) + (MIN(MAX(0, VERI_TABANI!D28-VERI_TABANI!D28*B742), VERI_TABANI!D28*C742)*VERI_TABANI!$B$7 + MAX(0, VERI_TABANI!D28*C742-MAX(0, VERI_TABANI!D28-VERI_TABANI!D28*B742))*VERI_TABANI!$B$8) + IF(ABS(IF(ISNUMBER(SEARCH("Var", D742)), 1, IF(ISNUMBER(SEARCH("Gri", D742)), -1, 0)))=1, VERI_TABANI!E28*(1-0.928)*VERI_TABANI!$B$9, 0) + (VERI_TABANI!D28*B742*(VERI_TABANI!$B$13-VERI_TABANI!$B$14)*VERI_TABANI!G28) + (VERI_TABANI!D28*C742*(VERI_TABANI!$B$13-VERI_TABANI!$B$15)*VERI_TABANI!G28) + IF(ABS(IF(ISNUMBER(SEARCH("Var", D742)), 1, IF(ISNUMBER(SEARCH("Gri", D742)), -1, 0)))=1, VERI_TABANI!E28*(1-0.928)*0.00206091519919798*VERI_TABANI!G28, 0)))</f>
        <v/>
      </c>
      <c r="H742" s="169">
        <f>(((VERI_TABANI!D23*B742*(VERI_TABANI!$B$13-VERI_TABANI!$B$14)) + (VERI_TABANI!D23*C742*(VERI_TABANI!$B$13-VERI_TABANI!$B$15)) + IF(ISNUMBER(SEARCH("Var", D742)), VERI_TABANI!F23*(0.00202-VERI_TABANI!$B$16), IF(ISNUMBER(SEARCH("Gri", D742)), VERI_TABANI!F23*(0.00202-VERI_TABANI!$B$17), 0))) + ((VERI_TABANI!D24*B742*(VERI_TABANI!$B$13-VERI_TABANI!$B$14)) + (VERI_TABANI!D24*C742*(VERI_TABANI!$B$13-VERI_TABANI!$B$15)) + IF(ISNUMBER(SEARCH("Var", D742)), VERI_TABANI!F24*(0.00202-VERI_TABANI!$B$16), IF(ISNUMBER(SEARCH("Gri", D742)), VERI_TABANI!F24*(0.00202-VERI_TABANI!$B$17), 0))) + ((VERI_TABANI!D25*B742*(VERI_TABANI!$B$13-VERI_TABANI!$B$14)) + (VERI_TABANI!D25*C742*(VERI_TABANI!$B$13-VERI_TABANI!$B$15)) + IF(ISNUMBER(SEARCH("Var", D742)), VERI_TABANI!F25*(0.00202-VERI_TABANI!$B$16), IF(ISNUMBER(SEARCH("Gri", D742)), VERI_TABANI!F25*(0.00202-VERI_TABANI!$B$17), 0))) + ((VERI_TABANI!D26*B742*(VERI_TABANI!$B$13-VERI_TABANI!$B$14)) + (VERI_TABANI!D26*C742*(VERI_TABANI!$B$13-VERI_TABANI!$B$15)) + IF(ISNUMBER(SEARCH("Var", D742)), VERI_TABANI!F26*(0.00202-VERI_TABANI!$B$16), IF(ISNUMBER(SEARCH("Gri", D742)), VERI_TABANI!F26*(0.00202-VERI_TABANI!$B$17), 0))) + ((VERI_TABANI!D27*B742*(VERI_TABANI!$B$13-VERI_TABANI!$B$14)) + (VERI_TABANI!D27*C742*(VERI_TABANI!$B$13-VERI_TABANI!$B$15)) + IF(ISNUMBER(SEARCH("Var", D742)), VERI_TABANI!F27*(0.00202-VERI_TABANI!$B$16), IF(ISNUMBER(SEARCH("Gri", D742)), VERI_TABANI!F27*(0.00202-VERI_TABANI!$B$17), 0))) + ((VERI_TABANI!D28*B742*(VERI_TABANI!$B$13-VERI_TABANI!$B$14)) + (VERI_TABANI!D28*C742*(VERI_TABANI!$B$13-VERI_TABANI!$B$15)) + IF(ISNUMBER(SEARCH("Var", D742)), VERI_TABANI!F28*(0.00202-VERI_TABANI!$B$16), IF(ISNUMBER(SEARCH("Gri", D742)), VERI_TABANI!F28*(0.00202-VERI_TABANI!$B$17), 0))))</f>
        <v/>
      </c>
      <c r="I742" s="170">
        <f>IFERROR(((VERI_TABANI!$D$29*B742*VERI_TABANI!$B$14 + VERI_TABANI!$D$29*C742*VERI_TABANI!$B$15 + IF(ISNUMBER(SEARCH("Var", D742)), VERI_TABANI!$F$29*VERI_TABANI!$B$16, 0))) / (((VERI_TABANI!$D$29*B742 + VERI_TABANI!$D$29*C742)*VERI_TABANI!$B$13 + IF(ISNUMBER(SEARCH("Var", D742)), VERI_TABANI!$E$29*(1-0.928)*VERI_TABANI!$B$18, 0))), 0)</f>
        <v/>
      </c>
      <c r="J742" s="171">
        <f>IFERROR(F742/(G742/29), 0)</f>
        <v/>
      </c>
      <c r="K742" s="172">
        <f>IF(F742&gt;0, H742/F742, 0)</f>
        <v/>
      </c>
      <c r="L742" s="170">
        <f>IF(F742&gt;0, I742, 1000000000)</f>
        <v/>
      </c>
      <c r="M742" s="171">
        <f>ABS((B742+C742)-1)</f>
        <v/>
      </c>
      <c r="N742" s="170">
        <f>IF(F742&gt;0, (G742/29)/F742, 0)</f>
        <v/>
      </c>
      <c r="O742" s="168">
        <f>IF(AND((B742+C742)&gt;=1, ISNUMBER(SEARCH("Var", D742))), F742, 1000000000)</f>
        <v/>
      </c>
      <c r="P742" s="172">
        <f>IF(F742&gt;0, SQRT((F742/MAX(F$5:F$886))^2 + (1 - H742/MAX(H$5:H$886))^2 + (J742/MAX(J$5:J$886))^2), 1000000000)</f>
        <v/>
      </c>
      <c r="Q742" s="166">
        <f>IF(AND(ABS(B742-0.5)&lt;0.01, ABS(C742-0.5)&lt;0.01, ISNUMBER(SEARCH("Var", D742))), 1, 0)</f>
        <v/>
      </c>
      <c r="R742" s="171">
        <f>IF(F742&gt;0, J742, 1000000000)</f>
        <v/>
      </c>
      <c r="S742" s="101">
        <f>IF(AND(F742&lt;=DASHBOARD!$B$11, H742&gt;=DASHBOARD!$B$13), G742, -1000000000000)</f>
        <v/>
      </c>
      <c r="T742" s="101">
        <f>IF(AND(F742&lt;=DASHBOARD!$B$11, H742&gt;=DASHBOARD!$B$13), R742, 1000000000000)</f>
        <v/>
      </c>
      <c r="U742" s="101">
        <f>IF(AND(F742&lt;=DASHBOARD!$B$11, H742&gt;=DASHBOARD!$B$13), N742, -1000000000000)</f>
        <v/>
      </c>
      <c r="V742" s="101">
        <f>IF(AND(F742&lt;=DASHBOARD!$B$11, H742&gt;=DASHBOARD!$B$13), H742, -1000000000000)</f>
        <v/>
      </c>
      <c r="W742" s="101">
        <f>IF(AND(F742&lt;=DASHBOARD!$B$11, H742&gt;=DASHBOARD!$B$13), K742, -1000000000000)</f>
        <v/>
      </c>
      <c r="X742" s="101">
        <f>IF(AND(F742&lt;=DASHBOARD!$B$11, H742&gt;=DASHBOARD!$B$13), M742, 1000000000000)</f>
        <v/>
      </c>
      <c r="Y742" s="101">
        <f>IF(AND(F742&lt;=DASHBOARD!$B$10, H742&gt;=DASHBOARD!$B$11), L742, 1000000000000)</f>
        <v/>
      </c>
      <c r="Z742" s="101">
        <f>IF(AND(F742&lt;=DASHBOARD!$B$10, H742&gt;=DASHBOARD!$B$11), O742, 1000000000000)</f>
        <v/>
      </c>
      <c r="AA742" s="101">
        <f>IF(AND(F742&lt;=DASHBOARD!$B$10, H742&gt;=DASHBOARD!$B$11), P742, 1000000000000)</f>
        <v/>
      </c>
      <c r="AB742" s="101">
        <f>IF(AND(F742&lt;=DASHBOARD!$B$10, H742&gt;=DASHBOARD!$B$11), Q742, -1000000000000)</f>
        <v/>
      </c>
    </row>
    <row r="743" ht="15" customHeight="1" s="102">
      <c r="A743" s="166" t="n">
        <v>739</v>
      </c>
      <c r="B743" s="167" t="n">
        <v>1.7</v>
      </c>
      <c r="C743" s="167" t="n">
        <v>1.2</v>
      </c>
      <c r="D743" s="110" t="inlineStr">
        <is>
          <t>Yok (%0)</t>
        </is>
      </c>
      <c r="E743" s="110">
        <f>IF((B743+C743)&lt;=1, "Tam Mahsuplaşma (≤%100)", "Kısmi Satış (&gt;%100)")</f>
        <v/>
      </c>
      <c r="F743" s="168">
        <f>((VERI_TABANI!$D$29*B743/VERI_TABANI!$B$29)/VERI_TABANI!$B$3)*VERI_TABANI!$B$5 + ((VERI_TABANI!$D$29*C743/VERI_TABANI!$B$29)/VERI_TABANI!$B$4)*VERI_TABANI!$B$6 + IF(ISNUMBER(SEARCH("Var", D743)), (VERI_TABANI!$F$29/VERI_TABANI!$B$29)*(VERI_TABANI!$B$10+VERI_TABANI!$B$12), 0)</f>
        <v/>
      </c>
      <c r="G743" s="168">
        <f>(((MIN(VERI_TABANI!D23, VERI_TABANI!D23*B743)*VERI_TABANI!$B$7 + MAX(0, VERI_TABANI!D23*B743-VERI_TABANI!D23)*VERI_TABANI!$B$8) + (MIN(MAX(0, VERI_TABANI!D23-VERI_TABANI!D23*B743), VERI_TABANI!D23*C743)*VERI_TABANI!$B$7 + MAX(0, VERI_TABANI!D23*C743-MAX(0, VERI_TABANI!D23-VERI_TABANI!D23*B743))*VERI_TABANI!$B$8) + IF(ABS(IF(ISNUMBER(SEARCH("Var", D743)), 1, IF(ISNUMBER(SEARCH("Gri", D743)), -1, 0)))=1, VERI_TABANI!E23*(1-0.928)*VERI_TABANI!$B$9, 0) + (VERI_TABANI!D23*B743*(VERI_TABANI!$B$13-VERI_TABANI!$B$14)*VERI_TABANI!G23) + (VERI_TABANI!D23*C743*(VERI_TABANI!$B$13-VERI_TABANI!$B$15)*VERI_TABANI!G23) + IF(ABS(IF(ISNUMBER(SEARCH("Var", D743)), 1, IF(ISNUMBER(SEARCH("Gri", D743)), -1, 0)))=1, VERI_TABANI!E23*(1-0.928)*0.00206091519919798*VERI_TABANI!G23, 0)) + ((MIN(VERI_TABANI!D24, VERI_TABANI!D24*B743)*VERI_TABANI!$B$7 + MAX(0, VERI_TABANI!D24*B743-VERI_TABANI!D24)*VERI_TABANI!$B$8) + (MIN(MAX(0, VERI_TABANI!D24-VERI_TABANI!D24*B743), VERI_TABANI!D24*C743)*VERI_TABANI!$B$7 + MAX(0, VERI_TABANI!D24*C743-MAX(0, VERI_TABANI!D24-VERI_TABANI!D24*B743))*VERI_TABANI!$B$8) + IF(ABS(IF(ISNUMBER(SEARCH("Var", D743)), 1, IF(ISNUMBER(SEARCH("Gri", D743)), -1, 0)))=1, VERI_TABANI!E24*(1-0.928)*VERI_TABANI!$B$9, 0) + (VERI_TABANI!D24*B743*(VERI_TABANI!$B$13-VERI_TABANI!$B$14)*VERI_TABANI!G24) + (VERI_TABANI!D24*C743*(VERI_TABANI!$B$13-VERI_TABANI!$B$15)*VERI_TABANI!G24) + IF(ABS(IF(ISNUMBER(SEARCH("Var", D743)), 1, IF(ISNUMBER(SEARCH("Gri", D743)), -1, 0)))=1, VERI_TABANI!E24*(1-0.928)*0.00206091519919798*VERI_TABANI!G24, 0)) + ((MIN(VERI_TABANI!D25, VERI_TABANI!D25*B743)*VERI_TABANI!$B$7 + MAX(0, VERI_TABANI!D25*B743-VERI_TABANI!D25)*VERI_TABANI!$B$8) + (MIN(MAX(0, VERI_TABANI!D25-VERI_TABANI!D25*B743), VERI_TABANI!D25*C743)*VERI_TABANI!$B$7 + MAX(0, VERI_TABANI!D25*C743-MAX(0, VERI_TABANI!D25-VERI_TABANI!D25*B743))*VERI_TABANI!$B$8) + IF(ABS(IF(ISNUMBER(SEARCH("Var", D743)), 1, IF(ISNUMBER(SEARCH("Gri", D743)), -1, 0)))=1, VERI_TABANI!E25*(1-0.928)*VERI_TABANI!$B$9, 0) + (VERI_TABANI!D25*B743*(VERI_TABANI!$B$13-VERI_TABANI!$B$14)*VERI_TABANI!G25) + (VERI_TABANI!D25*C743*(VERI_TABANI!$B$13-VERI_TABANI!$B$15)*VERI_TABANI!G25) + IF(ABS(IF(ISNUMBER(SEARCH("Var", D743)), 1, IF(ISNUMBER(SEARCH("Gri", D743)), -1, 0)))=1, VERI_TABANI!E25*(1-0.928)*0.00206091519919798*VERI_TABANI!G25, 0)) + ((MIN(VERI_TABANI!D26, VERI_TABANI!D26*B743)*VERI_TABANI!$B$7 + MAX(0, VERI_TABANI!D26*B743-VERI_TABANI!D26)*VERI_TABANI!$B$8) + (MIN(MAX(0, VERI_TABANI!D26-VERI_TABANI!D26*B743), VERI_TABANI!D26*C743)*VERI_TABANI!$B$7 + MAX(0, VERI_TABANI!D26*C743-MAX(0, VERI_TABANI!D26-VERI_TABANI!D26*B743))*VERI_TABANI!$B$8) + IF(ABS(IF(ISNUMBER(SEARCH("Var", D743)), 1, IF(ISNUMBER(SEARCH("Gri", D743)), -1, 0)))=1, VERI_TABANI!E26*(1-0.928)*VERI_TABANI!$B$9, 0) + (VERI_TABANI!D26*B743*(VERI_TABANI!$B$13-VERI_TABANI!$B$14)*VERI_TABANI!G26) + (VERI_TABANI!D26*C743*(VERI_TABANI!$B$13-VERI_TABANI!$B$15)*VERI_TABANI!G26) + IF(ABS(IF(ISNUMBER(SEARCH("Var", D743)), 1, IF(ISNUMBER(SEARCH("Gri", D743)), -1, 0)))=1, VERI_TABANI!E26*(1-0.928)*0.00206091519919798*VERI_TABANI!G26, 0)) + ((MIN(VERI_TABANI!D27, VERI_TABANI!D27*B743)*VERI_TABANI!$B$7 + MAX(0, VERI_TABANI!D27*B743-VERI_TABANI!D27)*VERI_TABANI!$B$8) + (MIN(MAX(0, VERI_TABANI!D27-VERI_TABANI!D27*B743), VERI_TABANI!D27*C743)*VERI_TABANI!$B$7 + MAX(0, VERI_TABANI!D27*C743-MAX(0, VERI_TABANI!D27-VERI_TABANI!D27*B743))*VERI_TABANI!$B$8) + IF(ABS(IF(ISNUMBER(SEARCH("Var", D743)), 1, IF(ISNUMBER(SEARCH("Gri", D743)), -1, 0)))=1, VERI_TABANI!E27*(1-0.928)*VERI_TABANI!$B$9, 0) + (VERI_TABANI!D27*B743*(VERI_TABANI!$B$13-VERI_TABANI!$B$14)*VERI_TABANI!G27) + (VERI_TABANI!D27*C743*(VERI_TABANI!$B$13-VERI_TABANI!$B$15)*VERI_TABANI!G27) + IF(ABS(IF(ISNUMBER(SEARCH("Var", D743)), 1, IF(ISNUMBER(SEARCH("Gri", D743)), -1, 0)))=1, VERI_TABANI!E27*(1-0.928)*0.00206091519919798*VERI_TABANI!G27, 0)) + ((MIN(VERI_TABANI!D28, VERI_TABANI!D28*B743)*VERI_TABANI!$B$7 + MAX(0, VERI_TABANI!D28*B743-VERI_TABANI!D28)*VERI_TABANI!$B$8) + (MIN(MAX(0, VERI_TABANI!D28-VERI_TABANI!D28*B743), VERI_TABANI!D28*C743)*VERI_TABANI!$B$7 + MAX(0, VERI_TABANI!D28*C743-MAX(0, VERI_TABANI!D28-VERI_TABANI!D28*B743))*VERI_TABANI!$B$8) + IF(ABS(IF(ISNUMBER(SEARCH("Var", D743)), 1, IF(ISNUMBER(SEARCH("Gri", D743)), -1, 0)))=1, VERI_TABANI!E28*(1-0.928)*VERI_TABANI!$B$9, 0) + (VERI_TABANI!D28*B743*(VERI_TABANI!$B$13-VERI_TABANI!$B$14)*VERI_TABANI!G28) + (VERI_TABANI!D28*C743*(VERI_TABANI!$B$13-VERI_TABANI!$B$15)*VERI_TABANI!G28) + IF(ABS(IF(ISNUMBER(SEARCH("Var", D743)), 1, IF(ISNUMBER(SEARCH("Gri", D743)), -1, 0)))=1, VERI_TABANI!E28*(1-0.928)*0.00206091519919798*VERI_TABANI!G28, 0)))</f>
        <v/>
      </c>
      <c r="H743" s="169">
        <f>(((VERI_TABANI!D23*B743*(VERI_TABANI!$B$13-VERI_TABANI!$B$14)) + (VERI_TABANI!D23*C743*(VERI_TABANI!$B$13-VERI_TABANI!$B$15)) + IF(ISNUMBER(SEARCH("Var", D743)), VERI_TABANI!F23*(0.00202-VERI_TABANI!$B$16), IF(ISNUMBER(SEARCH("Gri", D743)), VERI_TABANI!F23*(0.00202-VERI_TABANI!$B$17), 0))) + ((VERI_TABANI!D24*B743*(VERI_TABANI!$B$13-VERI_TABANI!$B$14)) + (VERI_TABANI!D24*C743*(VERI_TABANI!$B$13-VERI_TABANI!$B$15)) + IF(ISNUMBER(SEARCH("Var", D743)), VERI_TABANI!F24*(0.00202-VERI_TABANI!$B$16), IF(ISNUMBER(SEARCH("Gri", D743)), VERI_TABANI!F24*(0.00202-VERI_TABANI!$B$17), 0))) + ((VERI_TABANI!D25*B743*(VERI_TABANI!$B$13-VERI_TABANI!$B$14)) + (VERI_TABANI!D25*C743*(VERI_TABANI!$B$13-VERI_TABANI!$B$15)) + IF(ISNUMBER(SEARCH("Var", D743)), VERI_TABANI!F25*(0.00202-VERI_TABANI!$B$16), IF(ISNUMBER(SEARCH("Gri", D743)), VERI_TABANI!F25*(0.00202-VERI_TABANI!$B$17), 0))) + ((VERI_TABANI!D26*B743*(VERI_TABANI!$B$13-VERI_TABANI!$B$14)) + (VERI_TABANI!D26*C743*(VERI_TABANI!$B$13-VERI_TABANI!$B$15)) + IF(ISNUMBER(SEARCH("Var", D743)), VERI_TABANI!F26*(0.00202-VERI_TABANI!$B$16), IF(ISNUMBER(SEARCH("Gri", D743)), VERI_TABANI!F26*(0.00202-VERI_TABANI!$B$17), 0))) + ((VERI_TABANI!D27*B743*(VERI_TABANI!$B$13-VERI_TABANI!$B$14)) + (VERI_TABANI!D27*C743*(VERI_TABANI!$B$13-VERI_TABANI!$B$15)) + IF(ISNUMBER(SEARCH("Var", D743)), VERI_TABANI!F27*(0.00202-VERI_TABANI!$B$16), IF(ISNUMBER(SEARCH("Gri", D743)), VERI_TABANI!F27*(0.00202-VERI_TABANI!$B$17), 0))) + ((VERI_TABANI!D28*B743*(VERI_TABANI!$B$13-VERI_TABANI!$B$14)) + (VERI_TABANI!D28*C743*(VERI_TABANI!$B$13-VERI_TABANI!$B$15)) + IF(ISNUMBER(SEARCH("Var", D743)), VERI_TABANI!F28*(0.00202-VERI_TABANI!$B$16), IF(ISNUMBER(SEARCH("Gri", D743)), VERI_TABANI!F28*(0.00202-VERI_TABANI!$B$17), 0))))</f>
        <v/>
      </c>
      <c r="I743" s="170">
        <f>IFERROR(((VERI_TABANI!$D$29*B743*VERI_TABANI!$B$14 + VERI_TABANI!$D$29*C743*VERI_TABANI!$B$15 + IF(ISNUMBER(SEARCH("Var", D743)), VERI_TABANI!$F$29*VERI_TABANI!$B$16, 0))) / (((VERI_TABANI!$D$29*B743 + VERI_TABANI!$D$29*C743)*VERI_TABANI!$B$13 + IF(ISNUMBER(SEARCH("Var", D743)), VERI_TABANI!$E$29*(1-0.928)*VERI_TABANI!$B$18, 0))), 0)</f>
        <v/>
      </c>
      <c r="J743" s="171">
        <f>IFERROR(F743/(G743/29), 0)</f>
        <v/>
      </c>
      <c r="K743" s="172">
        <f>IF(F743&gt;0, H743/F743, 0)</f>
        <v/>
      </c>
      <c r="L743" s="170">
        <f>IF(F743&gt;0, I743, 1000000000)</f>
        <v/>
      </c>
      <c r="M743" s="171">
        <f>ABS((B743+C743)-1)</f>
        <v/>
      </c>
      <c r="N743" s="170">
        <f>IF(F743&gt;0, (G743/29)/F743, 0)</f>
        <v/>
      </c>
      <c r="O743" s="168">
        <f>IF(AND((B743+C743)&gt;=1, ISNUMBER(SEARCH("Var", D743))), F743, 1000000000)</f>
        <v/>
      </c>
      <c r="P743" s="172">
        <f>IF(F743&gt;0, SQRT((F743/MAX(F$5:F$886))^2 + (1 - H743/MAX(H$5:H$886))^2 + (J743/MAX(J$5:J$886))^2), 1000000000)</f>
        <v/>
      </c>
      <c r="Q743" s="166">
        <f>IF(AND(ABS(B743-0.5)&lt;0.01, ABS(C743-0.5)&lt;0.01, ISNUMBER(SEARCH("Var", D743))), 1, 0)</f>
        <v/>
      </c>
      <c r="R743" s="171">
        <f>IF(F743&gt;0, J743, 1000000000)</f>
        <v/>
      </c>
      <c r="S743" s="101">
        <f>IF(AND(F743&lt;=DASHBOARD!$B$11, H743&gt;=DASHBOARD!$B$13), G743, -1000000000000)</f>
        <v/>
      </c>
      <c r="T743" s="101">
        <f>IF(AND(F743&lt;=DASHBOARD!$B$11, H743&gt;=DASHBOARD!$B$13), R743, 1000000000000)</f>
        <v/>
      </c>
      <c r="U743" s="101">
        <f>IF(AND(F743&lt;=DASHBOARD!$B$11, H743&gt;=DASHBOARD!$B$13), N743, -1000000000000)</f>
        <v/>
      </c>
      <c r="V743" s="101">
        <f>IF(AND(F743&lt;=DASHBOARD!$B$11, H743&gt;=DASHBOARD!$B$13), H743, -1000000000000)</f>
        <v/>
      </c>
      <c r="W743" s="101">
        <f>IF(AND(F743&lt;=DASHBOARD!$B$11, H743&gt;=DASHBOARD!$B$13), K743, -1000000000000)</f>
        <v/>
      </c>
      <c r="X743" s="101">
        <f>IF(AND(F743&lt;=DASHBOARD!$B$11, H743&gt;=DASHBOARD!$B$13), M743, 1000000000000)</f>
        <v/>
      </c>
      <c r="Y743" s="101">
        <f>IF(AND(F743&lt;=DASHBOARD!$B$10, H743&gt;=DASHBOARD!$B$11), L743, 1000000000000)</f>
        <v/>
      </c>
      <c r="Z743" s="101">
        <f>IF(AND(F743&lt;=DASHBOARD!$B$10, H743&gt;=DASHBOARD!$B$11), O743, 1000000000000)</f>
        <v/>
      </c>
      <c r="AA743" s="101">
        <f>IF(AND(F743&lt;=DASHBOARD!$B$10, H743&gt;=DASHBOARD!$B$11), P743, 1000000000000)</f>
        <v/>
      </c>
      <c r="AB743" s="101">
        <f>IF(AND(F743&lt;=DASHBOARD!$B$10, H743&gt;=DASHBOARD!$B$11), Q743, -1000000000000)</f>
        <v/>
      </c>
    </row>
    <row r="744" ht="15" customHeight="1" s="102">
      <c r="A744" s="166" t="n">
        <v>740</v>
      </c>
      <c r="B744" s="167" t="n">
        <v>1.7</v>
      </c>
      <c r="C744" s="167" t="n">
        <v>1.2</v>
      </c>
      <c r="D744" s="110" t="inlineStr">
        <is>
          <t>Var (%20)</t>
        </is>
      </c>
      <c r="E744" s="110">
        <f>IF((B744+C744)&lt;=1, "Tam Mahsuplaşma (≤%100)", "Kısmi Satış (&gt;%100)")</f>
        <v/>
      </c>
      <c r="F744" s="168">
        <f>((VERI_TABANI!$D$29*B744/VERI_TABANI!$B$29)/VERI_TABANI!$B$3)*VERI_TABANI!$B$5 + ((VERI_TABANI!$D$29*C744/VERI_TABANI!$B$29)/VERI_TABANI!$B$4)*VERI_TABANI!$B$6 + IF(ISNUMBER(SEARCH("Var", D744)), (VERI_TABANI!$F$29/VERI_TABANI!$B$29)*(VERI_TABANI!$B$10+VERI_TABANI!$B$12), 0)</f>
        <v/>
      </c>
      <c r="G744" s="168">
        <f>(((MIN(VERI_TABANI!D23, VERI_TABANI!D23*B744)*VERI_TABANI!$B$7 + MAX(0, VERI_TABANI!D23*B744-VERI_TABANI!D23)*VERI_TABANI!$B$8) + (MIN(MAX(0, VERI_TABANI!D23-VERI_TABANI!D23*B744), VERI_TABANI!D23*C744)*VERI_TABANI!$B$7 + MAX(0, VERI_TABANI!D23*C744-MAX(0, VERI_TABANI!D23-VERI_TABANI!D23*B744))*VERI_TABANI!$B$8) + IF(ABS(IF(ISNUMBER(SEARCH("Var", D744)), 1, IF(ISNUMBER(SEARCH("Gri", D744)), -1, 0)))=1, VERI_TABANI!E23*(1-0.928)*VERI_TABANI!$B$9, 0) + (VERI_TABANI!D23*B744*(VERI_TABANI!$B$13-VERI_TABANI!$B$14)*VERI_TABANI!G23) + (VERI_TABANI!D23*C744*(VERI_TABANI!$B$13-VERI_TABANI!$B$15)*VERI_TABANI!G23) + IF(ABS(IF(ISNUMBER(SEARCH("Var", D744)), 1, IF(ISNUMBER(SEARCH("Gri", D744)), -1, 0)))=1, VERI_TABANI!E23*(1-0.928)*0.00206091519919798*VERI_TABANI!G23, 0)) + ((MIN(VERI_TABANI!D24, VERI_TABANI!D24*B744)*VERI_TABANI!$B$7 + MAX(0, VERI_TABANI!D24*B744-VERI_TABANI!D24)*VERI_TABANI!$B$8) + (MIN(MAX(0, VERI_TABANI!D24-VERI_TABANI!D24*B744), VERI_TABANI!D24*C744)*VERI_TABANI!$B$7 + MAX(0, VERI_TABANI!D24*C744-MAX(0, VERI_TABANI!D24-VERI_TABANI!D24*B744))*VERI_TABANI!$B$8) + IF(ABS(IF(ISNUMBER(SEARCH("Var", D744)), 1, IF(ISNUMBER(SEARCH("Gri", D744)), -1, 0)))=1, VERI_TABANI!E24*(1-0.928)*VERI_TABANI!$B$9, 0) + (VERI_TABANI!D24*B744*(VERI_TABANI!$B$13-VERI_TABANI!$B$14)*VERI_TABANI!G24) + (VERI_TABANI!D24*C744*(VERI_TABANI!$B$13-VERI_TABANI!$B$15)*VERI_TABANI!G24) + IF(ABS(IF(ISNUMBER(SEARCH("Var", D744)), 1, IF(ISNUMBER(SEARCH("Gri", D744)), -1, 0)))=1, VERI_TABANI!E24*(1-0.928)*0.00206091519919798*VERI_TABANI!G24, 0)) + ((MIN(VERI_TABANI!D25, VERI_TABANI!D25*B744)*VERI_TABANI!$B$7 + MAX(0, VERI_TABANI!D25*B744-VERI_TABANI!D25)*VERI_TABANI!$B$8) + (MIN(MAX(0, VERI_TABANI!D25-VERI_TABANI!D25*B744), VERI_TABANI!D25*C744)*VERI_TABANI!$B$7 + MAX(0, VERI_TABANI!D25*C744-MAX(0, VERI_TABANI!D25-VERI_TABANI!D25*B744))*VERI_TABANI!$B$8) + IF(ABS(IF(ISNUMBER(SEARCH("Var", D744)), 1, IF(ISNUMBER(SEARCH("Gri", D744)), -1, 0)))=1, VERI_TABANI!E25*(1-0.928)*VERI_TABANI!$B$9, 0) + (VERI_TABANI!D25*B744*(VERI_TABANI!$B$13-VERI_TABANI!$B$14)*VERI_TABANI!G25) + (VERI_TABANI!D25*C744*(VERI_TABANI!$B$13-VERI_TABANI!$B$15)*VERI_TABANI!G25) + IF(ABS(IF(ISNUMBER(SEARCH("Var", D744)), 1, IF(ISNUMBER(SEARCH("Gri", D744)), -1, 0)))=1, VERI_TABANI!E25*(1-0.928)*0.00206091519919798*VERI_TABANI!G25, 0)) + ((MIN(VERI_TABANI!D26, VERI_TABANI!D26*B744)*VERI_TABANI!$B$7 + MAX(0, VERI_TABANI!D26*B744-VERI_TABANI!D26)*VERI_TABANI!$B$8) + (MIN(MAX(0, VERI_TABANI!D26-VERI_TABANI!D26*B744), VERI_TABANI!D26*C744)*VERI_TABANI!$B$7 + MAX(0, VERI_TABANI!D26*C744-MAX(0, VERI_TABANI!D26-VERI_TABANI!D26*B744))*VERI_TABANI!$B$8) + IF(ABS(IF(ISNUMBER(SEARCH("Var", D744)), 1, IF(ISNUMBER(SEARCH("Gri", D744)), -1, 0)))=1, VERI_TABANI!E26*(1-0.928)*VERI_TABANI!$B$9, 0) + (VERI_TABANI!D26*B744*(VERI_TABANI!$B$13-VERI_TABANI!$B$14)*VERI_TABANI!G26) + (VERI_TABANI!D26*C744*(VERI_TABANI!$B$13-VERI_TABANI!$B$15)*VERI_TABANI!G26) + IF(ABS(IF(ISNUMBER(SEARCH("Var", D744)), 1, IF(ISNUMBER(SEARCH("Gri", D744)), -1, 0)))=1, VERI_TABANI!E26*(1-0.928)*0.00206091519919798*VERI_TABANI!G26, 0)) + ((MIN(VERI_TABANI!D27, VERI_TABANI!D27*B744)*VERI_TABANI!$B$7 + MAX(0, VERI_TABANI!D27*B744-VERI_TABANI!D27)*VERI_TABANI!$B$8) + (MIN(MAX(0, VERI_TABANI!D27-VERI_TABANI!D27*B744), VERI_TABANI!D27*C744)*VERI_TABANI!$B$7 + MAX(0, VERI_TABANI!D27*C744-MAX(0, VERI_TABANI!D27-VERI_TABANI!D27*B744))*VERI_TABANI!$B$8) + IF(ABS(IF(ISNUMBER(SEARCH("Var", D744)), 1, IF(ISNUMBER(SEARCH("Gri", D744)), -1, 0)))=1, VERI_TABANI!E27*(1-0.928)*VERI_TABANI!$B$9, 0) + (VERI_TABANI!D27*B744*(VERI_TABANI!$B$13-VERI_TABANI!$B$14)*VERI_TABANI!G27) + (VERI_TABANI!D27*C744*(VERI_TABANI!$B$13-VERI_TABANI!$B$15)*VERI_TABANI!G27) + IF(ABS(IF(ISNUMBER(SEARCH("Var", D744)), 1, IF(ISNUMBER(SEARCH("Gri", D744)), -1, 0)))=1, VERI_TABANI!E27*(1-0.928)*0.00206091519919798*VERI_TABANI!G27, 0)) + ((MIN(VERI_TABANI!D28, VERI_TABANI!D28*B744)*VERI_TABANI!$B$7 + MAX(0, VERI_TABANI!D28*B744-VERI_TABANI!D28)*VERI_TABANI!$B$8) + (MIN(MAX(0, VERI_TABANI!D28-VERI_TABANI!D28*B744), VERI_TABANI!D28*C744)*VERI_TABANI!$B$7 + MAX(0, VERI_TABANI!D28*C744-MAX(0, VERI_TABANI!D28-VERI_TABANI!D28*B744))*VERI_TABANI!$B$8) + IF(ABS(IF(ISNUMBER(SEARCH("Var", D744)), 1, IF(ISNUMBER(SEARCH("Gri", D744)), -1, 0)))=1, VERI_TABANI!E28*(1-0.928)*VERI_TABANI!$B$9, 0) + (VERI_TABANI!D28*B744*(VERI_TABANI!$B$13-VERI_TABANI!$B$14)*VERI_TABANI!G28) + (VERI_TABANI!D28*C744*(VERI_TABANI!$B$13-VERI_TABANI!$B$15)*VERI_TABANI!G28) + IF(ABS(IF(ISNUMBER(SEARCH("Var", D744)), 1, IF(ISNUMBER(SEARCH("Gri", D744)), -1, 0)))=1, VERI_TABANI!E28*(1-0.928)*0.00206091519919798*VERI_TABANI!G28, 0)))</f>
        <v/>
      </c>
      <c r="H744" s="169">
        <f>(((VERI_TABANI!D23*B744*(VERI_TABANI!$B$13-VERI_TABANI!$B$14)) + (VERI_TABANI!D23*C744*(VERI_TABANI!$B$13-VERI_TABANI!$B$15)) + IF(ISNUMBER(SEARCH("Var", D744)), VERI_TABANI!F23*(0.00202-VERI_TABANI!$B$16), IF(ISNUMBER(SEARCH("Gri", D744)), VERI_TABANI!F23*(0.00202-VERI_TABANI!$B$17), 0))) + ((VERI_TABANI!D24*B744*(VERI_TABANI!$B$13-VERI_TABANI!$B$14)) + (VERI_TABANI!D24*C744*(VERI_TABANI!$B$13-VERI_TABANI!$B$15)) + IF(ISNUMBER(SEARCH("Var", D744)), VERI_TABANI!F24*(0.00202-VERI_TABANI!$B$16), IF(ISNUMBER(SEARCH("Gri", D744)), VERI_TABANI!F24*(0.00202-VERI_TABANI!$B$17), 0))) + ((VERI_TABANI!D25*B744*(VERI_TABANI!$B$13-VERI_TABANI!$B$14)) + (VERI_TABANI!D25*C744*(VERI_TABANI!$B$13-VERI_TABANI!$B$15)) + IF(ISNUMBER(SEARCH("Var", D744)), VERI_TABANI!F25*(0.00202-VERI_TABANI!$B$16), IF(ISNUMBER(SEARCH("Gri", D744)), VERI_TABANI!F25*(0.00202-VERI_TABANI!$B$17), 0))) + ((VERI_TABANI!D26*B744*(VERI_TABANI!$B$13-VERI_TABANI!$B$14)) + (VERI_TABANI!D26*C744*(VERI_TABANI!$B$13-VERI_TABANI!$B$15)) + IF(ISNUMBER(SEARCH("Var", D744)), VERI_TABANI!F26*(0.00202-VERI_TABANI!$B$16), IF(ISNUMBER(SEARCH("Gri", D744)), VERI_TABANI!F26*(0.00202-VERI_TABANI!$B$17), 0))) + ((VERI_TABANI!D27*B744*(VERI_TABANI!$B$13-VERI_TABANI!$B$14)) + (VERI_TABANI!D27*C744*(VERI_TABANI!$B$13-VERI_TABANI!$B$15)) + IF(ISNUMBER(SEARCH("Var", D744)), VERI_TABANI!F27*(0.00202-VERI_TABANI!$B$16), IF(ISNUMBER(SEARCH("Gri", D744)), VERI_TABANI!F27*(0.00202-VERI_TABANI!$B$17), 0))) + ((VERI_TABANI!D28*B744*(VERI_TABANI!$B$13-VERI_TABANI!$B$14)) + (VERI_TABANI!D28*C744*(VERI_TABANI!$B$13-VERI_TABANI!$B$15)) + IF(ISNUMBER(SEARCH("Var", D744)), VERI_TABANI!F28*(0.00202-VERI_TABANI!$B$16), IF(ISNUMBER(SEARCH("Gri", D744)), VERI_TABANI!F28*(0.00202-VERI_TABANI!$B$17), 0))))</f>
        <v/>
      </c>
      <c r="I744" s="170">
        <f>IFERROR(((VERI_TABANI!$D$29*B744*VERI_TABANI!$B$14 + VERI_TABANI!$D$29*C744*VERI_TABANI!$B$15 + IF(ISNUMBER(SEARCH("Var", D744)), VERI_TABANI!$F$29*VERI_TABANI!$B$16, 0))) / (((VERI_TABANI!$D$29*B744 + VERI_TABANI!$D$29*C744)*VERI_TABANI!$B$13 + IF(ISNUMBER(SEARCH("Var", D744)), VERI_TABANI!$E$29*(1-0.928)*VERI_TABANI!$B$18, 0))), 0)</f>
        <v/>
      </c>
      <c r="J744" s="171">
        <f>IFERROR(F744/(G744/29), 0)</f>
        <v/>
      </c>
      <c r="K744" s="172">
        <f>IF(F744&gt;0, H744/F744, 0)</f>
        <v/>
      </c>
      <c r="L744" s="170">
        <f>IF(F744&gt;0, I744, 1000000000)</f>
        <v/>
      </c>
      <c r="M744" s="171">
        <f>ABS((B744+C744)-1)</f>
        <v/>
      </c>
      <c r="N744" s="170">
        <f>IF(F744&gt;0, (G744/29)/F744, 0)</f>
        <v/>
      </c>
      <c r="O744" s="168">
        <f>IF(AND((B744+C744)&gt;=1, ISNUMBER(SEARCH("Var", D744))), F744, 1000000000)</f>
        <v/>
      </c>
      <c r="P744" s="172">
        <f>IF(F744&gt;0, SQRT((F744/MAX(F$5:F$886))^2 + (1 - H744/MAX(H$5:H$886))^2 + (J744/MAX(J$5:J$886))^2), 1000000000)</f>
        <v/>
      </c>
      <c r="Q744" s="166">
        <f>IF(AND(ABS(B744-0.5)&lt;0.01, ABS(C744-0.5)&lt;0.01, ISNUMBER(SEARCH("Var", D744))), 1, 0)</f>
        <v/>
      </c>
      <c r="R744" s="171">
        <f>IF(F744&gt;0, J744, 1000000000)</f>
        <v/>
      </c>
      <c r="S744" s="101">
        <f>IF(AND(F744&lt;=DASHBOARD!$B$11, H744&gt;=DASHBOARD!$B$13), G744, -1000000000000)</f>
        <v/>
      </c>
      <c r="T744" s="101">
        <f>IF(AND(F744&lt;=DASHBOARD!$B$11, H744&gt;=DASHBOARD!$B$13), R744, 1000000000000)</f>
        <v/>
      </c>
      <c r="U744" s="101">
        <f>IF(AND(F744&lt;=DASHBOARD!$B$11, H744&gt;=DASHBOARD!$B$13), N744, -1000000000000)</f>
        <v/>
      </c>
      <c r="V744" s="101">
        <f>IF(AND(F744&lt;=DASHBOARD!$B$11, H744&gt;=DASHBOARD!$B$13), H744, -1000000000000)</f>
        <v/>
      </c>
      <c r="W744" s="101">
        <f>IF(AND(F744&lt;=DASHBOARD!$B$11, H744&gt;=DASHBOARD!$B$13), K744, -1000000000000)</f>
        <v/>
      </c>
      <c r="X744" s="101">
        <f>IF(AND(F744&lt;=DASHBOARD!$B$11, H744&gt;=DASHBOARD!$B$13), M744, 1000000000000)</f>
        <v/>
      </c>
      <c r="Y744" s="101">
        <f>IF(AND(F744&lt;=DASHBOARD!$B$10, H744&gt;=DASHBOARD!$B$11), L744, 1000000000000)</f>
        <v/>
      </c>
      <c r="Z744" s="101">
        <f>IF(AND(F744&lt;=DASHBOARD!$B$10, H744&gt;=DASHBOARD!$B$11), O744, 1000000000000)</f>
        <v/>
      </c>
      <c r="AA744" s="101">
        <f>IF(AND(F744&lt;=DASHBOARD!$B$10, H744&gt;=DASHBOARD!$B$11), P744, 1000000000000)</f>
        <v/>
      </c>
      <c r="AB744" s="101">
        <f>IF(AND(F744&lt;=DASHBOARD!$B$10, H744&gt;=DASHBOARD!$B$11), Q744, -1000000000000)</f>
        <v/>
      </c>
    </row>
    <row r="745" ht="15" customHeight="1" s="102">
      <c r="A745" s="166" t="n">
        <v>741</v>
      </c>
      <c r="B745" s="167" t="n">
        <v>1.7</v>
      </c>
      <c r="C745" s="167" t="n">
        <v>1.3</v>
      </c>
      <c r="D745" s="110" t="inlineStr">
        <is>
          <t>Yok (%0)</t>
        </is>
      </c>
      <c r="E745" s="110">
        <f>IF((B745+C745)&lt;=1, "Tam Mahsuplaşma (≤%100)", "Kısmi Satış (&gt;%100)")</f>
        <v/>
      </c>
      <c r="F745" s="168">
        <f>((VERI_TABANI!$D$29*B745/VERI_TABANI!$B$29)/VERI_TABANI!$B$3)*VERI_TABANI!$B$5 + ((VERI_TABANI!$D$29*C745/VERI_TABANI!$B$29)/VERI_TABANI!$B$4)*VERI_TABANI!$B$6 + IF(ISNUMBER(SEARCH("Var", D745)), (VERI_TABANI!$F$29/VERI_TABANI!$B$29)*(VERI_TABANI!$B$10+VERI_TABANI!$B$12), 0)</f>
        <v/>
      </c>
      <c r="G745" s="168">
        <f>(((MIN(VERI_TABANI!D23, VERI_TABANI!D23*B745)*VERI_TABANI!$B$7 + MAX(0, VERI_TABANI!D23*B745-VERI_TABANI!D23)*VERI_TABANI!$B$8) + (MIN(MAX(0, VERI_TABANI!D23-VERI_TABANI!D23*B745), VERI_TABANI!D23*C745)*VERI_TABANI!$B$7 + MAX(0, VERI_TABANI!D23*C745-MAX(0, VERI_TABANI!D23-VERI_TABANI!D23*B745))*VERI_TABANI!$B$8) + IF(ABS(IF(ISNUMBER(SEARCH("Var", D745)), 1, IF(ISNUMBER(SEARCH("Gri", D745)), -1, 0)))=1, VERI_TABANI!E23*(1-0.928)*VERI_TABANI!$B$9, 0) + (VERI_TABANI!D23*B745*(VERI_TABANI!$B$13-VERI_TABANI!$B$14)*VERI_TABANI!G23) + (VERI_TABANI!D23*C745*(VERI_TABANI!$B$13-VERI_TABANI!$B$15)*VERI_TABANI!G23) + IF(ABS(IF(ISNUMBER(SEARCH("Var", D745)), 1, IF(ISNUMBER(SEARCH("Gri", D745)), -1, 0)))=1, VERI_TABANI!E23*(1-0.928)*0.00206091519919798*VERI_TABANI!G23, 0)) + ((MIN(VERI_TABANI!D24, VERI_TABANI!D24*B745)*VERI_TABANI!$B$7 + MAX(0, VERI_TABANI!D24*B745-VERI_TABANI!D24)*VERI_TABANI!$B$8) + (MIN(MAX(0, VERI_TABANI!D24-VERI_TABANI!D24*B745), VERI_TABANI!D24*C745)*VERI_TABANI!$B$7 + MAX(0, VERI_TABANI!D24*C745-MAX(0, VERI_TABANI!D24-VERI_TABANI!D24*B745))*VERI_TABANI!$B$8) + IF(ABS(IF(ISNUMBER(SEARCH("Var", D745)), 1, IF(ISNUMBER(SEARCH("Gri", D745)), -1, 0)))=1, VERI_TABANI!E24*(1-0.928)*VERI_TABANI!$B$9, 0) + (VERI_TABANI!D24*B745*(VERI_TABANI!$B$13-VERI_TABANI!$B$14)*VERI_TABANI!G24) + (VERI_TABANI!D24*C745*(VERI_TABANI!$B$13-VERI_TABANI!$B$15)*VERI_TABANI!G24) + IF(ABS(IF(ISNUMBER(SEARCH("Var", D745)), 1, IF(ISNUMBER(SEARCH("Gri", D745)), -1, 0)))=1, VERI_TABANI!E24*(1-0.928)*0.00206091519919798*VERI_TABANI!G24, 0)) + ((MIN(VERI_TABANI!D25, VERI_TABANI!D25*B745)*VERI_TABANI!$B$7 + MAX(0, VERI_TABANI!D25*B745-VERI_TABANI!D25)*VERI_TABANI!$B$8) + (MIN(MAX(0, VERI_TABANI!D25-VERI_TABANI!D25*B745), VERI_TABANI!D25*C745)*VERI_TABANI!$B$7 + MAX(0, VERI_TABANI!D25*C745-MAX(0, VERI_TABANI!D25-VERI_TABANI!D25*B745))*VERI_TABANI!$B$8) + IF(ABS(IF(ISNUMBER(SEARCH("Var", D745)), 1, IF(ISNUMBER(SEARCH("Gri", D745)), -1, 0)))=1, VERI_TABANI!E25*(1-0.928)*VERI_TABANI!$B$9, 0) + (VERI_TABANI!D25*B745*(VERI_TABANI!$B$13-VERI_TABANI!$B$14)*VERI_TABANI!G25) + (VERI_TABANI!D25*C745*(VERI_TABANI!$B$13-VERI_TABANI!$B$15)*VERI_TABANI!G25) + IF(ABS(IF(ISNUMBER(SEARCH("Var", D745)), 1, IF(ISNUMBER(SEARCH("Gri", D745)), -1, 0)))=1, VERI_TABANI!E25*(1-0.928)*0.00206091519919798*VERI_TABANI!G25, 0)) + ((MIN(VERI_TABANI!D26, VERI_TABANI!D26*B745)*VERI_TABANI!$B$7 + MAX(0, VERI_TABANI!D26*B745-VERI_TABANI!D26)*VERI_TABANI!$B$8) + (MIN(MAX(0, VERI_TABANI!D26-VERI_TABANI!D26*B745), VERI_TABANI!D26*C745)*VERI_TABANI!$B$7 + MAX(0, VERI_TABANI!D26*C745-MAX(0, VERI_TABANI!D26-VERI_TABANI!D26*B745))*VERI_TABANI!$B$8) + IF(ABS(IF(ISNUMBER(SEARCH("Var", D745)), 1, IF(ISNUMBER(SEARCH("Gri", D745)), -1, 0)))=1, VERI_TABANI!E26*(1-0.928)*VERI_TABANI!$B$9, 0) + (VERI_TABANI!D26*B745*(VERI_TABANI!$B$13-VERI_TABANI!$B$14)*VERI_TABANI!G26) + (VERI_TABANI!D26*C745*(VERI_TABANI!$B$13-VERI_TABANI!$B$15)*VERI_TABANI!G26) + IF(ABS(IF(ISNUMBER(SEARCH("Var", D745)), 1, IF(ISNUMBER(SEARCH("Gri", D745)), -1, 0)))=1, VERI_TABANI!E26*(1-0.928)*0.00206091519919798*VERI_TABANI!G26, 0)) + ((MIN(VERI_TABANI!D27, VERI_TABANI!D27*B745)*VERI_TABANI!$B$7 + MAX(0, VERI_TABANI!D27*B745-VERI_TABANI!D27)*VERI_TABANI!$B$8) + (MIN(MAX(0, VERI_TABANI!D27-VERI_TABANI!D27*B745), VERI_TABANI!D27*C745)*VERI_TABANI!$B$7 + MAX(0, VERI_TABANI!D27*C745-MAX(0, VERI_TABANI!D27-VERI_TABANI!D27*B745))*VERI_TABANI!$B$8) + IF(ABS(IF(ISNUMBER(SEARCH("Var", D745)), 1, IF(ISNUMBER(SEARCH("Gri", D745)), -1, 0)))=1, VERI_TABANI!E27*(1-0.928)*VERI_TABANI!$B$9, 0) + (VERI_TABANI!D27*B745*(VERI_TABANI!$B$13-VERI_TABANI!$B$14)*VERI_TABANI!G27) + (VERI_TABANI!D27*C745*(VERI_TABANI!$B$13-VERI_TABANI!$B$15)*VERI_TABANI!G27) + IF(ABS(IF(ISNUMBER(SEARCH("Var", D745)), 1, IF(ISNUMBER(SEARCH("Gri", D745)), -1, 0)))=1, VERI_TABANI!E27*(1-0.928)*0.00206091519919798*VERI_TABANI!G27, 0)) + ((MIN(VERI_TABANI!D28, VERI_TABANI!D28*B745)*VERI_TABANI!$B$7 + MAX(0, VERI_TABANI!D28*B745-VERI_TABANI!D28)*VERI_TABANI!$B$8) + (MIN(MAX(0, VERI_TABANI!D28-VERI_TABANI!D28*B745), VERI_TABANI!D28*C745)*VERI_TABANI!$B$7 + MAX(0, VERI_TABANI!D28*C745-MAX(0, VERI_TABANI!D28-VERI_TABANI!D28*B745))*VERI_TABANI!$B$8) + IF(ABS(IF(ISNUMBER(SEARCH("Var", D745)), 1, IF(ISNUMBER(SEARCH("Gri", D745)), -1, 0)))=1, VERI_TABANI!E28*(1-0.928)*VERI_TABANI!$B$9, 0) + (VERI_TABANI!D28*B745*(VERI_TABANI!$B$13-VERI_TABANI!$B$14)*VERI_TABANI!G28) + (VERI_TABANI!D28*C745*(VERI_TABANI!$B$13-VERI_TABANI!$B$15)*VERI_TABANI!G28) + IF(ABS(IF(ISNUMBER(SEARCH("Var", D745)), 1, IF(ISNUMBER(SEARCH("Gri", D745)), -1, 0)))=1, VERI_TABANI!E28*(1-0.928)*0.00206091519919798*VERI_TABANI!G28, 0)))</f>
        <v/>
      </c>
      <c r="H745" s="169">
        <f>(((VERI_TABANI!D23*B745*(VERI_TABANI!$B$13-VERI_TABANI!$B$14)) + (VERI_TABANI!D23*C745*(VERI_TABANI!$B$13-VERI_TABANI!$B$15)) + IF(ISNUMBER(SEARCH("Var", D745)), VERI_TABANI!F23*(0.00202-VERI_TABANI!$B$16), IF(ISNUMBER(SEARCH("Gri", D745)), VERI_TABANI!F23*(0.00202-VERI_TABANI!$B$17), 0))) + ((VERI_TABANI!D24*B745*(VERI_TABANI!$B$13-VERI_TABANI!$B$14)) + (VERI_TABANI!D24*C745*(VERI_TABANI!$B$13-VERI_TABANI!$B$15)) + IF(ISNUMBER(SEARCH("Var", D745)), VERI_TABANI!F24*(0.00202-VERI_TABANI!$B$16), IF(ISNUMBER(SEARCH("Gri", D745)), VERI_TABANI!F24*(0.00202-VERI_TABANI!$B$17), 0))) + ((VERI_TABANI!D25*B745*(VERI_TABANI!$B$13-VERI_TABANI!$B$14)) + (VERI_TABANI!D25*C745*(VERI_TABANI!$B$13-VERI_TABANI!$B$15)) + IF(ISNUMBER(SEARCH("Var", D745)), VERI_TABANI!F25*(0.00202-VERI_TABANI!$B$16), IF(ISNUMBER(SEARCH("Gri", D745)), VERI_TABANI!F25*(0.00202-VERI_TABANI!$B$17), 0))) + ((VERI_TABANI!D26*B745*(VERI_TABANI!$B$13-VERI_TABANI!$B$14)) + (VERI_TABANI!D26*C745*(VERI_TABANI!$B$13-VERI_TABANI!$B$15)) + IF(ISNUMBER(SEARCH("Var", D745)), VERI_TABANI!F26*(0.00202-VERI_TABANI!$B$16), IF(ISNUMBER(SEARCH("Gri", D745)), VERI_TABANI!F26*(0.00202-VERI_TABANI!$B$17), 0))) + ((VERI_TABANI!D27*B745*(VERI_TABANI!$B$13-VERI_TABANI!$B$14)) + (VERI_TABANI!D27*C745*(VERI_TABANI!$B$13-VERI_TABANI!$B$15)) + IF(ISNUMBER(SEARCH("Var", D745)), VERI_TABANI!F27*(0.00202-VERI_TABANI!$B$16), IF(ISNUMBER(SEARCH("Gri", D745)), VERI_TABANI!F27*(0.00202-VERI_TABANI!$B$17), 0))) + ((VERI_TABANI!D28*B745*(VERI_TABANI!$B$13-VERI_TABANI!$B$14)) + (VERI_TABANI!D28*C745*(VERI_TABANI!$B$13-VERI_TABANI!$B$15)) + IF(ISNUMBER(SEARCH("Var", D745)), VERI_TABANI!F28*(0.00202-VERI_TABANI!$B$16), IF(ISNUMBER(SEARCH("Gri", D745)), VERI_TABANI!F28*(0.00202-VERI_TABANI!$B$17), 0))))</f>
        <v/>
      </c>
      <c r="I745" s="170">
        <f>IFERROR(((VERI_TABANI!$D$29*B745*VERI_TABANI!$B$14 + VERI_TABANI!$D$29*C745*VERI_TABANI!$B$15 + IF(ISNUMBER(SEARCH("Var", D745)), VERI_TABANI!$F$29*VERI_TABANI!$B$16, 0))) / (((VERI_TABANI!$D$29*B745 + VERI_TABANI!$D$29*C745)*VERI_TABANI!$B$13 + IF(ISNUMBER(SEARCH("Var", D745)), VERI_TABANI!$E$29*(1-0.928)*VERI_TABANI!$B$18, 0))), 0)</f>
        <v/>
      </c>
      <c r="J745" s="171">
        <f>IFERROR(F745/(G745/29), 0)</f>
        <v/>
      </c>
      <c r="K745" s="172">
        <f>IF(F745&gt;0, H745/F745, 0)</f>
        <v/>
      </c>
      <c r="L745" s="170">
        <f>IF(F745&gt;0, I745, 1000000000)</f>
        <v/>
      </c>
      <c r="M745" s="171">
        <f>ABS((B745+C745)-1)</f>
        <v/>
      </c>
      <c r="N745" s="170">
        <f>IF(F745&gt;0, (G745/29)/F745, 0)</f>
        <v/>
      </c>
      <c r="O745" s="168">
        <f>IF(AND((B745+C745)&gt;=1, ISNUMBER(SEARCH("Var", D745))), F745, 1000000000)</f>
        <v/>
      </c>
      <c r="P745" s="172">
        <f>IF(F745&gt;0, SQRT((F745/MAX(F$5:F$886))^2 + (1 - H745/MAX(H$5:H$886))^2 + (J745/MAX(J$5:J$886))^2), 1000000000)</f>
        <v/>
      </c>
      <c r="Q745" s="166">
        <f>IF(AND(ABS(B745-0.5)&lt;0.01, ABS(C745-0.5)&lt;0.01, ISNUMBER(SEARCH("Var", D745))), 1, 0)</f>
        <v/>
      </c>
      <c r="R745" s="171">
        <f>IF(F745&gt;0, J745, 1000000000)</f>
        <v/>
      </c>
      <c r="S745" s="101">
        <f>IF(AND(F745&lt;=DASHBOARD!$B$11, H745&gt;=DASHBOARD!$B$13), G745, -1000000000000)</f>
        <v/>
      </c>
      <c r="T745" s="101">
        <f>IF(AND(F745&lt;=DASHBOARD!$B$11, H745&gt;=DASHBOARD!$B$13), R745, 1000000000000)</f>
        <v/>
      </c>
      <c r="U745" s="101">
        <f>IF(AND(F745&lt;=DASHBOARD!$B$11, H745&gt;=DASHBOARD!$B$13), N745, -1000000000000)</f>
        <v/>
      </c>
      <c r="V745" s="101">
        <f>IF(AND(F745&lt;=DASHBOARD!$B$11, H745&gt;=DASHBOARD!$B$13), H745, -1000000000000)</f>
        <v/>
      </c>
      <c r="W745" s="101">
        <f>IF(AND(F745&lt;=DASHBOARD!$B$11, H745&gt;=DASHBOARD!$B$13), K745, -1000000000000)</f>
        <v/>
      </c>
      <c r="X745" s="101">
        <f>IF(AND(F745&lt;=DASHBOARD!$B$11, H745&gt;=DASHBOARD!$B$13), M745, 1000000000000)</f>
        <v/>
      </c>
      <c r="Y745" s="101">
        <f>IF(AND(F745&lt;=DASHBOARD!$B$10, H745&gt;=DASHBOARD!$B$11), L745, 1000000000000)</f>
        <v/>
      </c>
      <c r="Z745" s="101">
        <f>IF(AND(F745&lt;=DASHBOARD!$B$10, H745&gt;=DASHBOARD!$B$11), O745, 1000000000000)</f>
        <v/>
      </c>
      <c r="AA745" s="101">
        <f>IF(AND(F745&lt;=DASHBOARD!$B$10, H745&gt;=DASHBOARD!$B$11), P745, 1000000000000)</f>
        <v/>
      </c>
      <c r="AB745" s="101">
        <f>IF(AND(F745&lt;=DASHBOARD!$B$10, H745&gt;=DASHBOARD!$B$11), Q745, -1000000000000)</f>
        <v/>
      </c>
    </row>
    <row r="746" ht="15" customHeight="1" s="102">
      <c r="A746" s="166" t="n">
        <v>742</v>
      </c>
      <c r="B746" s="167" t="n">
        <v>1.7</v>
      </c>
      <c r="C746" s="167" t="n">
        <v>1.3</v>
      </c>
      <c r="D746" s="110" t="inlineStr">
        <is>
          <t>Var (%20)</t>
        </is>
      </c>
      <c r="E746" s="110">
        <f>IF((B746+C746)&lt;=1, "Tam Mahsuplaşma (≤%100)", "Kısmi Satış (&gt;%100)")</f>
        <v/>
      </c>
      <c r="F746" s="168">
        <f>((VERI_TABANI!$D$29*B746/VERI_TABANI!$B$29)/VERI_TABANI!$B$3)*VERI_TABANI!$B$5 + ((VERI_TABANI!$D$29*C746/VERI_TABANI!$B$29)/VERI_TABANI!$B$4)*VERI_TABANI!$B$6 + IF(ISNUMBER(SEARCH("Var", D746)), (VERI_TABANI!$F$29/VERI_TABANI!$B$29)*(VERI_TABANI!$B$10+VERI_TABANI!$B$12), 0)</f>
        <v/>
      </c>
      <c r="G746" s="168">
        <f>(((MIN(VERI_TABANI!D23, VERI_TABANI!D23*B746)*VERI_TABANI!$B$7 + MAX(0, VERI_TABANI!D23*B746-VERI_TABANI!D23)*VERI_TABANI!$B$8) + (MIN(MAX(0, VERI_TABANI!D23-VERI_TABANI!D23*B746), VERI_TABANI!D23*C746)*VERI_TABANI!$B$7 + MAX(0, VERI_TABANI!D23*C746-MAX(0, VERI_TABANI!D23-VERI_TABANI!D23*B746))*VERI_TABANI!$B$8) + IF(ABS(IF(ISNUMBER(SEARCH("Var", D746)), 1, IF(ISNUMBER(SEARCH("Gri", D746)), -1, 0)))=1, VERI_TABANI!E23*(1-0.928)*VERI_TABANI!$B$9, 0) + (VERI_TABANI!D23*B746*(VERI_TABANI!$B$13-VERI_TABANI!$B$14)*VERI_TABANI!G23) + (VERI_TABANI!D23*C746*(VERI_TABANI!$B$13-VERI_TABANI!$B$15)*VERI_TABANI!G23) + IF(ABS(IF(ISNUMBER(SEARCH("Var", D746)), 1, IF(ISNUMBER(SEARCH("Gri", D746)), -1, 0)))=1, VERI_TABANI!E23*(1-0.928)*0.00206091519919798*VERI_TABANI!G23, 0)) + ((MIN(VERI_TABANI!D24, VERI_TABANI!D24*B746)*VERI_TABANI!$B$7 + MAX(0, VERI_TABANI!D24*B746-VERI_TABANI!D24)*VERI_TABANI!$B$8) + (MIN(MAX(0, VERI_TABANI!D24-VERI_TABANI!D24*B746), VERI_TABANI!D24*C746)*VERI_TABANI!$B$7 + MAX(0, VERI_TABANI!D24*C746-MAX(0, VERI_TABANI!D24-VERI_TABANI!D24*B746))*VERI_TABANI!$B$8) + IF(ABS(IF(ISNUMBER(SEARCH("Var", D746)), 1, IF(ISNUMBER(SEARCH("Gri", D746)), -1, 0)))=1, VERI_TABANI!E24*(1-0.928)*VERI_TABANI!$B$9, 0) + (VERI_TABANI!D24*B746*(VERI_TABANI!$B$13-VERI_TABANI!$B$14)*VERI_TABANI!G24) + (VERI_TABANI!D24*C746*(VERI_TABANI!$B$13-VERI_TABANI!$B$15)*VERI_TABANI!G24) + IF(ABS(IF(ISNUMBER(SEARCH("Var", D746)), 1, IF(ISNUMBER(SEARCH("Gri", D746)), -1, 0)))=1, VERI_TABANI!E24*(1-0.928)*0.00206091519919798*VERI_TABANI!G24, 0)) + ((MIN(VERI_TABANI!D25, VERI_TABANI!D25*B746)*VERI_TABANI!$B$7 + MAX(0, VERI_TABANI!D25*B746-VERI_TABANI!D25)*VERI_TABANI!$B$8) + (MIN(MAX(0, VERI_TABANI!D25-VERI_TABANI!D25*B746), VERI_TABANI!D25*C746)*VERI_TABANI!$B$7 + MAX(0, VERI_TABANI!D25*C746-MAX(0, VERI_TABANI!D25-VERI_TABANI!D25*B746))*VERI_TABANI!$B$8) + IF(ABS(IF(ISNUMBER(SEARCH("Var", D746)), 1, IF(ISNUMBER(SEARCH("Gri", D746)), -1, 0)))=1, VERI_TABANI!E25*(1-0.928)*VERI_TABANI!$B$9, 0) + (VERI_TABANI!D25*B746*(VERI_TABANI!$B$13-VERI_TABANI!$B$14)*VERI_TABANI!G25) + (VERI_TABANI!D25*C746*(VERI_TABANI!$B$13-VERI_TABANI!$B$15)*VERI_TABANI!G25) + IF(ABS(IF(ISNUMBER(SEARCH("Var", D746)), 1, IF(ISNUMBER(SEARCH("Gri", D746)), -1, 0)))=1, VERI_TABANI!E25*(1-0.928)*0.00206091519919798*VERI_TABANI!G25, 0)) + ((MIN(VERI_TABANI!D26, VERI_TABANI!D26*B746)*VERI_TABANI!$B$7 + MAX(0, VERI_TABANI!D26*B746-VERI_TABANI!D26)*VERI_TABANI!$B$8) + (MIN(MAX(0, VERI_TABANI!D26-VERI_TABANI!D26*B746), VERI_TABANI!D26*C746)*VERI_TABANI!$B$7 + MAX(0, VERI_TABANI!D26*C746-MAX(0, VERI_TABANI!D26-VERI_TABANI!D26*B746))*VERI_TABANI!$B$8) + IF(ABS(IF(ISNUMBER(SEARCH("Var", D746)), 1, IF(ISNUMBER(SEARCH("Gri", D746)), -1, 0)))=1, VERI_TABANI!E26*(1-0.928)*VERI_TABANI!$B$9, 0) + (VERI_TABANI!D26*B746*(VERI_TABANI!$B$13-VERI_TABANI!$B$14)*VERI_TABANI!G26) + (VERI_TABANI!D26*C746*(VERI_TABANI!$B$13-VERI_TABANI!$B$15)*VERI_TABANI!G26) + IF(ABS(IF(ISNUMBER(SEARCH("Var", D746)), 1, IF(ISNUMBER(SEARCH("Gri", D746)), -1, 0)))=1, VERI_TABANI!E26*(1-0.928)*0.00206091519919798*VERI_TABANI!G26, 0)) + ((MIN(VERI_TABANI!D27, VERI_TABANI!D27*B746)*VERI_TABANI!$B$7 + MAX(0, VERI_TABANI!D27*B746-VERI_TABANI!D27)*VERI_TABANI!$B$8) + (MIN(MAX(0, VERI_TABANI!D27-VERI_TABANI!D27*B746), VERI_TABANI!D27*C746)*VERI_TABANI!$B$7 + MAX(0, VERI_TABANI!D27*C746-MAX(0, VERI_TABANI!D27-VERI_TABANI!D27*B746))*VERI_TABANI!$B$8) + IF(ABS(IF(ISNUMBER(SEARCH("Var", D746)), 1, IF(ISNUMBER(SEARCH("Gri", D746)), -1, 0)))=1, VERI_TABANI!E27*(1-0.928)*VERI_TABANI!$B$9, 0) + (VERI_TABANI!D27*B746*(VERI_TABANI!$B$13-VERI_TABANI!$B$14)*VERI_TABANI!G27) + (VERI_TABANI!D27*C746*(VERI_TABANI!$B$13-VERI_TABANI!$B$15)*VERI_TABANI!G27) + IF(ABS(IF(ISNUMBER(SEARCH("Var", D746)), 1, IF(ISNUMBER(SEARCH("Gri", D746)), -1, 0)))=1, VERI_TABANI!E27*(1-0.928)*0.00206091519919798*VERI_TABANI!G27, 0)) + ((MIN(VERI_TABANI!D28, VERI_TABANI!D28*B746)*VERI_TABANI!$B$7 + MAX(0, VERI_TABANI!D28*B746-VERI_TABANI!D28)*VERI_TABANI!$B$8) + (MIN(MAX(0, VERI_TABANI!D28-VERI_TABANI!D28*B746), VERI_TABANI!D28*C746)*VERI_TABANI!$B$7 + MAX(0, VERI_TABANI!D28*C746-MAX(0, VERI_TABANI!D28-VERI_TABANI!D28*B746))*VERI_TABANI!$B$8) + IF(ABS(IF(ISNUMBER(SEARCH("Var", D746)), 1, IF(ISNUMBER(SEARCH("Gri", D746)), -1, 0)))=1, VERI_TABANI!E28*(1-0.928)*VERI_TABANI!$B$9, 0) + (VERI_TABANI!D28*B746*(VERI_TABANI!$B$13-VERI_TABANI!$B$14)*VERI_TABANI!G28) + (VERI_TABANI!D28*C746*(VERI_TABANI!$B$13-VERI_TABANI!$B$15)*VERI_TABANI!G28) + IF(ABS(IF(ISNUMBER(SEARCH("Var", D746)), 1, IF(ISNUMBER(SEARCH("Gri", D746)), -1, 0)))=1, VERI_TABANI!E28*(1-0.928)*0.00206091519919798*VERI_TABANI!G28, 0)))</f>
        <v/>
      </c>
      <c r="H746" s="169">
        <f>(((VERI_TABANI!D23*B746*(VERI_TABANI!$B$13-VERI_TABANI!$B$14)) + (VERI_TABANI!D23*C746*(VERI_TABANI!$B$13-VERI_TABANI!$B$15)) + IF(ISNUMBER(SEARCH("Var", D746)), VERI_TABANI!F23*(0.00202-VERI_TABANI!$B$16), IF(ISNUMBER(SEARCH("Gri", D746)), VERI_TABANI!F23*(0.00202-VERI_TABANI!$B$17), 0))) + ((VERI_TABANI!D24*B746*(VERI_TABANI!$B$13-VERI_TABANI!$B$14)) + (VERI_TABANI!D24*C746*(VERI_TABANI!$B$13-VERI_TABANI!$B$15)) + IF(ISNUMBER(SEARCH("Var", D746)), VERI_TABANI!F24*(0.00202-VERI_TABANI!$B$16), IF(ISNUMBER(SEARCH("Gri", D746)), VERI_TABANI!F24*(0.00202-VERI_TABANI!$B$17), 0))) + ((VERI_TABANI!D25*B746*(VERI_TABANI!$B$13-VERI_TABANI!$B$14)) + (VERI_TABANI!D25*C746*(VERI_TABANI!$B$13-VERI_TABANI!$B$15)) + IF(ISNUMBER(SEARCH("Var", D746)), VERI_TABANI!F25*(0.00202-VERI_TABANI!$B$16), IF(ISNUMBER(SEARCH("Gri", D746)), VERI_TABANI!F25*(0.00202-VERI_TABANI!$B$17), 0))) + ((VERI_TABANI!D26*B746*(VERI_TABANI!$B$13-VERI_TABANI!$B$14)) + (VERI_TABANI!D26*C746*(VERI_TABANI!$B$13-VERI_TABANI!$B$15)) + IF(ISNUMBER(SEARCH("Var", D746)), VERI_TABANI!F26*(0.00202-VERI_TABANI!$B$16), IF(ISNUMBER(SEARCH("Gri", D746)), VERI_TABANI!F26*(0.00202-VERI_TABANI!$B$17), 0))) + ((VERI_TABANI!D27*B746*(VERI_TABANI!$B$13-VERI_TABANI!$B$14)) + (VERI_TABANI!D27*C746*(VERI_TABANI!$B$13-VERI_TABANI!$B$15)) + IF(ISNUMBER(SEARCH("Var", D746)), VERI_TABANI!F27*(0.00202-VERI_TABANI!$B$16), IF(ISNUMBER(SEARCH("Gri", D746)), VERI_TABANI!F27*(0.00202-VERI_TABANI!$B$17), 0))) + ((VERI_TABANI!D28*B746*(VERI_TABANI!$B$13-VERI_TABANI!$B$14)) + (VERI_TABANI!D28*C746*(VERI_TABANI!$B$13-VERI_TABANI!$B$15)) + IF(ISNUMBER(SEARCH("Var", D746)), VERI_TABANI!F28*(0.00202-VERI_TABANI!$B$16), IF(ISNUMBER(SEARCH("Gri", D746)), VERI_TABANI!F28*(0.00202-VERI_TABANI!$B$17), 0))))</f>
        <v/>
      </c>
      <c r="I746" s="170">
        <f>IFERROR(((VERI_TABANI!$D$29*B746*VERI_TABANI!$B$14 + VERI_TABANI!$D$29*C746*VERI_TABANI!$B$15 + IF(ISNUMBER(SEARCH("Var", D746)), VERI_TABANI!$F$29*VERI_TABANI!$B$16, 0))) / (((VERI_TABANI!$D$29*B746 + VERI_TABANI!$D$29*C746)*VERI_TABANI!$B$13 + IF(ISNUMBER(SEARCH("Var", D746)), VERI_TABANI!$E$29*(1-0.928)*VERI_TABANI!$B$18, 0))), 0)</f>
        <v/>
      </c>
      <c r="J746" s="171">
        <f>IFERROR(F746/(G746/29), 0)</f>
        <v/>
      </c>
      <c r="K746" s="172">
        <f>IF(F746&gt;0, H746/F746, 0)</f>
        <v/>
      </c>
      <c r="L746" s="170">
        <f>IF(F746&gt;0, I746, 1000000000)</f>
        <v/>
      </c>
      <c r="M746" s="171">
        <f>ABS((B746+C746)-1)</f>
        <v/>
      </c>
      <c r="N746" s="170">
        <f>IF(F746&gt;0, (G746/29)/F746, 0)</f>
        <v/>
      </c>
      <c r="O746" s="168">
        <f>IF(AND((B746+C746)&gt;=1, ISNUMBER(SEARCH("Var", D746))), F746, 1000000000)</f>
        <v/>
      </c>
      <c r="P746" s="172">
        <f>IF(F746&gt;0, SQRT((F746/MAX(F$5:F$886))^2 + (1 - H746/MAX(H$5:H$886))^2 + (J746/MAX(J$5:J$886))^2), 1000000000)</f>
        <v/>
      </c>
      <c r="Q746" s="166">
        <f>IF(AND(ABS(B746-0.5)&lt;0.01, ABS(C746-0.5)&lt;0.01, ISNUMBER(SEARCH("Var", D746))), 1, 0)</f>
        <v/>
      </c>
      <c r="R746" s="171">
        <f>IF(F746&gt;0, J746, 1000000000)</f>
        <v/>
      </c>
      <c r="S746" s="101">
        <f>IF(AND(F746&lt;=DASHBOARD!$B$11, H746&gt;=DASHBOARD!$B$13), G746, -1000000000000)</f>
        <v/>
      </c>
      <c r="T746" s="101">
        <f>IF(AND(F746&lt;=DASHBOARD!$B$11, H746&gt;=DASHBOARD!$B$13), R746, 1000000000000)</f>
        <v/>
      </c>
      <c r="U746" s="101">
        <f>IF(AND(F746&lt;=DASHBOARD!$B$11, H746&gt;=DASHBOARD!$B$13), N746, -1000000000000)</f>
        <v/>
      </c>
      <c r="V746" s="101">
        <f>IF(AND(F746&lt;=DASHBOARD!$B$11, H746&gt;=DASHBOARD!$B$13), H746, -1000000000000)</f>
        <v/>
      </c>
      <c r="W746" s="101">
        <f>IF(AND(F746&lt;=DASHBOARD!$B$11, H746&gt;=DASHBOARD!$B$13), K746, -1000000000000)</f>
        <v/>
      </c>
      <c r="X746" s="101">
        <f>IF(AND(F746&lt;=DASHBOARD!$B$11, H746&gt;=DASHBOARD!$B$13), M746, 1000000000000)</f>
        <v/>
      </c>
      <c r="Y746" s="101">
        <f>IF(AND(F746&lt;=DASHBOARD!$B$10, H746&gt;=DASHBOARD!$B$11), L746, 1000000000000)</f>
        <v/>
      </c>
      <c r="Z746" s="101">
        <f>IF(AND(F746&lt;=DASHBOARD!$B$10, H746&gt;=DASHBOARD!$B$11), O746, 1000000000000)</f>
        <v/>
      </c>
      <c r="AA746" s="101">
        <f>IF(AND(F746&lt;=DASHBOARD!$B$10, H746&gt;=DASHBOARD!$B$11), P746, 1000000000000)</f>
        <v/>
      </c>
      <c r="AB746" s="101">
        <f>IF(AND(F746&lt;=DASHBOARD!$B$10, H746&gt;=DASHBOARD!$B$11), Q746, -1000000000000)</f>
        <v/>
      </c>
    </row>
    <row r="747" ht="15" customHeight="1" s="102">
      <c r="A747" s="166" t="n">
        <v>743</v>
      </c>
      <c r="B747" s="167" t="n">
        <v>1.7</v>
      </c>
      <c r="C747" s="167" t="n">
        <v>1.4</v>
      </c>
      <c r="D747" s="110" t="inlineStr">
        <is>
          <t>Yok (%0)</t>
        </is>
      </c>
      <c r="E747" s="110">
        <f>IF((B747+C747)&lt;=1, "Tam Mahsuplaşma (≤%100)", "Kısmi Satış (&gt;%100)")</f>
        <v/>
      </c>
      <c r="F747" s="168">
        <f>((VERI_TABANI!$D$29*B747/VERI_TABANI!$B$29)/VERI_TABANI!$B$3)*VERI_TABANI!$B$5 + ((VERI_TABANI!$D$29*C747/VERI_TABANI!$B$29)/VERI_TABANI!$B$4)*VERI_TABANI!$B$6 + IF(ISNUMBER(SEARCH("Var", D747)), (VERI_TABANI!$F$29/VERI_TABANI!$B$29)*(VERI_TABANI!$B$10+VERI_TABANI!$B$12), 0)</f>
        <v/>
      </c>
      <c r="G747" s="168">
        <f>(((MIN(VERI_TABANI!D23, VERI_TABANI!D23*B747)*VERI_TABANI!$B$7 + MAX(0, VERI_TABANI!D23*B747-VERI_TABANI!D23)*VERI_TABANI!$B$8) + (MIN(MAX(0, VERI_TABANI!D23-VERI_TABANI!D23*B747), VERI_TABANI!D23*C747)*VERI_TABANI!$B$7 + MAX(0, VERI_TABANI!D23*C747-MAX(0, VERI_TABANI!D23-VERI_TABANI!D23*B747))*VERI_TABANI!$B$8) + IF(ABS(IF(ISNUMBER(SEARCH("Var", D747)), 1, IF(ISNUMBER(SEARCH("Gri", D747)), -1, 0)))=1, VERI_TABANI!E23*(1-0.928)*VERI_TABANI!$B$9, 0) + (VERI_TABANI!D23*B747*(VERI_TABANI!$B$13-VERI_TABANI!$B$14)*VERI_TABANI!G23) + (VERI_TABANI!D23*C747*(VERI_TABANI!$B$13-VERI_TABANI!$B$15)*VERI_TABANI!G23) + IF(ABS(IF(ISNUMBER(SEARCH("Var", D747)), 1, IF(ISNUMBER(SEARCH("Gri", D747)), -1, 0)))=1, VERI_TABANI!E23*(1-0.928)*0.00206091519919798*VERI_TABANI!G23, 0)) + ((MIN(VERI_TABANI!D24, VERI_TABANI!D24*B747)*VERI_TABANI!$B$7 + MAX(0, VERI_TABANI!D24*B747-VERI_TABANI!D24)*VERI_TABANI!$B$8) + (MIN(MAX(0, VERI_TABANI!D24-VERI_TABANI!D24*B747), VERI_TABANI!D24*C747)*VERI_TABANI!$B$7 + MAX(0, VERI_TABANI!D24*C747-MAX(0, VERI_TABANI!D24-VERI_TABANI!D24*B747))*VERI_TABANI!$B$8) + IF(ABS(IF(ISNUMBER(SEARCH("Var", D747)), 1, IF(ISNUMBER(SEARCH("Gri", D747)), -1, 0)))=1, VERI_TABANI!E24*(1-0.928)*VERI_TABANI!$B$9, 0) + (VERI_TABANI!D24*B747*(VERI_TABANI!$B$13-VERI_TABANI!$B$14)*VERI_TABANI!G24) + (VERI_TABANI!D24*C747*(VERI_TABANI!$B$13-VERI_TABANI!$B$15)*VERI_TABANI!G24) + IF(ABS(IF(ISNUMBER(SEARCH("Var", D747)), 1, IF(ISNUMBER(SEARCH("Gri", D747)), -1, 0)))=1, VERI_TABANI!E24*(1-0.928)*0.00206091519919798*VERI_TABANI!G24, 0)) + ((MIN(VERI_TABANI!D25, VERI_TABANI!D25*B747)*VERI_TABANI!$B$7 + MAX(0, VERI_TABANI!D25*B747-VERI_TABANI!D25)*VERI_TABANI!$B$8) + (MIN(MAX(0, VERI_TABANI!D25-VERI_TABANI!D25*B747), VERI_TABANI!D25*C747)*VERI_TABANI!$B$7 + MAX(0, VERI_TABANI!D25*C747-MAX(0, VERI_TABANI!D25-VERI_TABANI!D25*B747))*VERI_TABANI!$B$8) + IF(ABS(IF(ISNUMBER(SEARCH("Var", D747)), 1, IF(ISNUMBER(SEARCH("Gri", D747)), -1, 0)))=1, VERI_TABANI!E25*(1-0.928)*VERI_TABANI!$B$9, 0) + (VERI_TABANI!D25*B747*(VERI_TABANI!$B$13-VERI_TABANI!$B$14)*VERI_TABANI!G25) + (VERI_TABANI!D25*C747*(VERI_TABANI!$B$13-VERI_TABANI!$B$15)*VERI_TABANI!G25) + IF(ABS(IF(ISNUMBER(SEARCH("Var", D747)), 1, IF(ISNUMBER(SEARCH("Gri", D747)), -1, 0)))=1, VERI_TABANI!E25*(1-0.928)*0.00206091519919798*VERI_TABANI!G25, 0)) + ((MIN(VERI_TABANI!D26, VERI_TABANI!D26*B747)*VERI_TABANI!$B$7 + MAX(0, VERI_TABANI!D26*B747-VERI_TABANI!D26)*VERI_TABANI!$B$8) + (MIN(MAX(0, VERI_TABANI!D26-VERI_TABANI!D26*B747), VERI_TABANI!D26*C747)*VERI_TABANI!$B$7 + MAX(0, VERI_TABANI!D26*C747-MAX(0, VERI_TABANI!D26-VERI_TABANI!D26*B747))*VERI_TABANI!$B$8) + IF(ABS(IF(ISNUMBER(SEARCH("Var", D747)), 1, IF(ISNUMBER(SEARCH("Gri", D747)), -1, 0)))=1, VERI_TABANI!E26*(1-0.928)*VERI_TABANI!$B$9, 0) + (VERI_TABANI!D26*B747*(VERI_TABANI!$B$13-VERI_TABANI!$B$14)*VERI_TABANI!G26) + (VERI_TABANI!D26*C747*(VERI_TABANI!$B$13-VERI_TABANI!$B$15)*VERI_TABANI!G26) + IF(ABS(IF(ISNUMBER(SEARCH("Var", D747)), 1, IF(ISNUMBER(SEARCH("Gri", D747)), -1, 0)))=1, VERI_TABANI!E26*(1-0.928)*0.00206091519919798*VERI_TABANI!G26, 0)) + ((MIN(VERI_TABANI!D27, VERI_TABANI!D27*B747)*VERI_TABANI!$B$7 + MAX(0, VERI_TABANI!D27*B747-VERI_TABANI!D27)*VERI_TABANI!$B$8) + (MIN(MAX(0, VERI_TABANI!D27-VERI_TABANI!D27*B747), VERI_TABANI!D27*C747)*VERI_TABANI!$B$7 + MAX(0, VERI_TABANI!D27*C747-MAX(0, VERI_TABANI!D27-VERI_TABANI!D27*B747))*VERI_TABANI!$B$8) + IF(ABS(IF(ISNUMBER(SEARCH("Var", D747)), 1, IF(ISNUMBER(SEARCH("Gri", D747)), -1, 0)))=1, VERI_TABANI!E27*(1-0.928)*VERI_TABANI!$B$9, 0) + (VERI_TABANI!D27*B747*(VERI_TABANI!$B$13-VERI_TABANI!$B$14)*VERI_TABANI!G27) + (VERI_TABANI!D27*C747*(VERI_TABANI!$B$13-VERI_TABANI!$B$15)*VERI_TABANI!G27) + IF(ABS(IF(ISNUMBER(SEARCH("Var", D747)), 1, IF(ISNUMBER(SEARCH("Gri", D747)), -1, 0)))=1, VERI_TABANI!E27*(1-0.928)*0.00206091519919798*VERI_TABANI!G27, 0)) + ((MIN(VERI_TABANI!D28, VERI_TABANI!D28*B747)*VERI_TABANI!$B$7 + MAX(0, VERI_TABANI!D28*B747-VERI_TABANI!D28)*VERI_TABANI!$B$8) + (MIN(MAX(0, VERI_TABANI!D28-VERI_TABANI!D28*B747), VERI_TABANI!D28*C747)*VERI_TABANI!$B$7 + MAX(0, VERI_TABANI!D28*C747-MAX(0, VERI_TABANI!D28-VERI_TABANI!D28*B747))*VERI_TABANI!$B$8) + IF(ABS(IF(ISNUMBER(SEARCH("Var", D747)), 1, IF(ISNUMBER(SEARCH("Gri", D747)), -1, 0)))=1, VERI_TABANI!E28*(1-0.928)*VERI_TABANI!$B$9, 0) + (VERI_TABANI!D28*B747*(VERI_TABANI!$B$13-VERI_TABANI!$B$14)*VERI_TABANI!G28) + (VERI_TABANI!D28*C747*(VERI_TABANI!$B$13-VERI_TABANI!$B$15)*VERI_TABANI!G28) + IF(ABS(IF(ISNUMBER(SEARCH("Var", D747)), 1, IF(ISNUMBER(SEARCH("Gri", D747)), -1, 0)))=1, VERI_TABANI!E28*(1-0.928)*0.00206091519919798*VERI_TABANI!G28, 0)))</f>
        <v/>
      </c>
      <c r="H747" s="169">
        <f>(((VERI_TABANI!D23*B747*(VERI_TABANI!$B$13-VERI_TABANI!$B$14)) + (VERI_TABANI!D23*C747*(VERI_TABANI!$B$13-VERI_TABANI!$B$15)) + IF(ISNUMBER(SEARCH("Var", D747)), VERI_TABANI!F23*(0.00202-VERI_TABANI!$B$16), IF(ISNUMBER(SEARCH("Gri", D747)), VERI_TABANI!F23*(0.00202-VERI_TABANI!$B$17), 0))) + ((VERI_TABANI!D24*B747*(VERI_TABANI!$B$13-VERI_TABANI!$B$14)) + (VERI_TABANI!D24*C747*(VERI_TABANI!$B$13-VERI_TABANI!$B$15)) + IF(ISNUMBER(SEARCH("Var", D747)), VERI_TABANI!F24*(0.00202-VERI_TABANI!$B$16), IF(ISNUMBER(SEARCH("Gri", D747)), VERI_TABANI!F24*(0.00202-VERI_TABANI!$B$17), 0))) + ((VERI_TABANI!D25*B747*(VERI_TABANI!$B$13-VERI_TABANI!$B$14)) + (VERI_TABANI!D25*C747*(VERI_TABANI!$B$13-VERI_TABANI!$B$15)) + IF(ISNUMBER(SEARCH("Var", D747)), VERI_TABANI!F25*(0.00202-VERI_TABANI!$B$16), IF(ISNUMBER(SEARCH("Gri", D747)), VERI_TABANI!F25*(0.00202-VERI_TABANI!$B$17), 0))) + ((VERI_TABANI!D26*B747*(VERI_TABANI!$B$13-VERI_TABANI!$B$14)) + (VERI_TABANI!D26*C747*(VERI_TABANI!$B$13-VERI_TABANI!$B$15)) + IF(ISNUMBER(SEARCH("Var", D747)), VERI_TABANI!F26*(0.00202-VERI_TABANI!$B$16), IF(ISNUMBER(SEARCH("Gri", D747)), VERI_TABANI!F26*(0.00202-VERI_TABANI!$B$17), 0))) + ((VERI_TABANI!D27*B747*(VERI_TABANI!$B$13-VERI_TABANI!$B$14)) + (VERI_TABANI!D27*C747*(VERI_TABANI!$B$13-VERI_TABANI!$B$15)) + IF(ISNUMBER(SEARCH("Var", D747)), VERI_TABANI!F27*(0.00202-VERI_TABANI!$B$16), IF(ISNUMBER(SEARCH("Gri", D747)), VERI_TABANI!F27*(0.00202-VERI_TABANI!$B$17), 0))) + ((VERI_TABANI!D28*B747*(VERI_TABANI!$B$13-VERI_TABANI!$B$14)) + (VERI_TABANI!D28*C747*(VERI_TABANI!$B$13-VERI_TABANI!$B$15)) + IF(ISNUMBER(SEARCH("Var", D747)), VERI_TABANI!F28*(0.00202-VERI_TABANI!$B$16), IF(ISNUMBER(SEARCH("Gri", D747)), VERI_TABANI!F28*(0.00202-VERI_TABANI!$B$17), 0))))</f>
        <v/>
      </c>
      <c r="I747" s="170">
        <f>IFERROR(((VERI_TABANI!$D$29*B747*VERI_TABANI!$B$14 + VERI_TABANI!$D$29*C747*VERI_TABANI!$B$15 + IF(ISNUMBER(SEARCH("Var", D747)), VERI_TABANI!$F$29*VERI_TABANI!$B$16, 0))) / (((VERI_TABANI!$D$29*B747 + VERI_TABANI!$D$29*C747)*VERI_TABANI!$B$13 + IF(ISNUMBER(SEARCH("Var", D747)), VERI_TABANI!$E$29*(1-0.928)*VERI_TABANI!$B$18, 0))), 0)</f>
        <v/>
      </c>
      <c r="J747" s="171">
        <f>IFERROR(F747/(G747/29), 0)</f>
        <v/>
      </c>
      <c r="K747" s="172">
        <f>IF(F747&gt;0, H747/F747, 0)</f>
        <v/>
      </c>
      <c r="L747" s="170">
        <f>IF(F747&gt;0, I747, 1000000000)</f>
        <v/>
      </c>
      <c r="M747" s="171">
        <f>ABS((B747+C747)-1)</f>
        <v/>
      </c>
      <c r="N747" s="170">
        <f>IF(F747&gt;0, (G747/29)/F747, 0)</f>
        <v/>
      </c>
      <c r="O747" s="168">
        <f>IF(AND((B747+C747)&gt;=1, ISNUMBER(SEARCH("Var", D747))), F747, 1000000000)</f>
        <v/>
      </c>
      <c r="P747" s="172">
        <f>IF(F747&gt;0, SQRT((F747/MAX(F$5:F$886))^2 + (1 - H747/MAX(H$5:H$886))^2 + (J747/MAX(J$5:J$886))^2), 1000000000)</f>
        <v/>
      </c>
      <c r="Q747" s="166">
        <f>IF(AND(ABS(B747-0.5)&lt;0.01, ABS(C747-0.5)&lt;0.01, ISNUMBER(SEARCH("Var", D747))), 1, 0)</f>
        <v/>
      </c>
      <c r="R747" s="171">
        <f>IF(F747&gt;0, J747, 1000000000)</f>
        <v/>
      </c>
      <c r="S747" s="101">
        <f>IF(AND(F747&lt;=DASHBOARD!$B$11, H747&gt;=DASHBOARD!$B$13), G747, -1000000000000)</f>
        <v/>
      </c>
      <c r="T747" s="101">
        <f>IF(AND(F747&lt;=DASHBOARD!$B$11, H747&gt;=DASHBOARD!$B$13), R747, 1000000000000)</f>
        <v/>
      </c>
      <c r="U747" s="101">
        <f>IF(AND(F747&lt;=DASHBOARD!$B$11, H747&gt;=DASHBOARD!$B$13), N747, -1000000000000)</f>
        <v/>
      </c>
      <c r="V747" s="101">
        <f>IF(AND(F747&lt;=DASHBOARD!$B$11, H747&gt;=DASHBOARD!$B$13), H747, -1000000000000)</f>
        <v/>
      </c>
      <c r="W747" s="101">
        <f>IF(AND(F747&lt;=DASHBOARD!$B$11, H747&gt;=DASHBOARD!$B$13), K747, -1000000000000)</f>
        <v/>
      </c>
      <c r="X747" s="101">
        <f>IF(AND(F747&lt;=DASHBOARD!$B$11, H747&gt;=DASHBOARD!$B$13), M747, 1000000000000)</f>
        <v/>
      </c>
      <c r="Y747" s="101">
        <f>IF(AND(F747&lt;=DASHBOARD!$B$10, H747&gt;=DASHBOARD!$B$11), L747, 1000000000000)</f>
        <v/>
      </c>
      <c r="Z747" s="101">
        <f>IF(AND(F747&lt;=DASHBOARD!$B$10, H747&gt;=DASHBOARD!$B$11), O747, 1000000000000)</f>
        <v/>
      </c>
      <c r="AA747" s="101">
        <f>IF(AND(F747&lt;=DASHBOARD!$B$10, H747&gt;=DASHBOARD!$B$11), P747, 1000000000000)</f>
        <v/>
      </c>
      <c r="AB747" s="101">
        <f>IF(AND(F747&lt;=DASHBOARD!$B$10, H747&gt;=DASHBOARD!$B$11), Q747, -1000000000000)</f>
        <v/>
      </c>
    </row>
    <row r="748" ht="15" customHeight="1" s="102">
      <c r="A748" s="166" t="n">
        <v>744</v>
      </c>
      <c r="B748" s="167" t="n">
        <v>1.7</v>
      </c>
      <c r="C748" s="167" t="n">
        <v>1.4</v>
      </c>
      <c r="D748" s="110" t="inlineStr">
        <is>
          <t>Var (%20)</t>
        </is>
      </c>
      <c r="E748" s="110">
        <f>IF((B748+C748)&lt;=1, "Tam Mahsuplaşma (≤%100)", "Kısmi Satış (&gt;%100)")</f>
        <v/>
      </c>
      <c r="F748" s="168">
        <f>((VERI_TABANI!$D$29*B748/VERI_TABANI!$B$29)/VERI_TABANI!$B$3)*VERI_TABANI!$B$5 + ((VERI_TABANI!$D$29*C748/VERI_TABANI!$B$29)/VERI_TABANI!$B$4)*VERI_TABANI!$B$6 + IF(ISNUMBER(SEARCH("Var", D748)), (VERI_TABANI!$F$29/VERI_TABANI!$B$29)*(VERI_TABANI!$B$10+VERI_TABANI!$B$12), 0)</f>
        <v/>
      </c>
      <c r="G748" s="168">
        <f>(((MIN(VERI_TABANI!D23, VERI_TABANI!D23*B748)*VERI_TABANI!$B$7 + MAX(0, VERI_TABANI!D23*B748-VERI_TABANI!D23)*VERI_TABANI!$B$8) + (MIN(MAX(0, VERI_TABANI!D23-VERI_TABANI!D23*B748), VERI_TABANI!D23*C748)*VERI_TABANI!$B$7 + MAX(0, VERI_TABANI!D23*C748-MAX(0, VERI_TABANI!D23-VERI_TABANI!D23*B748))*VERI_TABANI!$B$8) + IF(ABS(IF(ISNUMBER(SEARCH("Var", D748)), 1, IF(ISNUMBER(SEARCH("Gri", D748)), -1, 0)))=1, VERI_TABANI!E23*(1-0.928)*VERI_TABANI!$B$9, 0) + (VERI_TABANI!D23*B748*(VERI_TABANI!$B$13-VERI_TABANI!$B$14)*VERI_TABANI!G23) + (VERI_TABANI!D23*C748*(VERI_TABANI!$B$13-VERI_TABANI!$B$15)*VERI_TABANI!G23) + IF(ABS(IF(ISNUMBER(SEARCH("Var", D748)), 1, IF(ISNUMBER(SEARCH("Gri", D748)), -1, 0)))=1, VERI_TABANI!E23*(1-0.928)*0.00206091519919798*VERI_TABANI!G23, 0)) + ((MIN(VERI_TABANI!D24, VERI_TABANI!D24*B748)*VERI_TABANI!$B$7 + MAX(0, VERI_TABANI!D24*B748-VERI_TABANI!D24)*VERI_TABANI!$B$8) + (MIN(MAX(0, VERI_TABANI!D24-VERI_TABANI!D24*B748), VERI_TABANI!D24*C748)*VERI_TABANI!$B$7 + MAX(0, VERI_TABANI!D24*C748-MAX(0, VERI_TABANI!D24-VERI_TABANI!D24*B748))*VERI_TABANI!$B$8) + IF(ABS(IF(ISNUMBER(SEARCH("Var", D748)), 1, IF(ISNUMBER(SEARCH("Gri", D748)), -1, 0)))=1, VERI_TABANI!E24*(1-0.928)*VERI_TABANI!$B$9, 0) + (VERI_TABANI!D24*B748*(VERI_TABANI!$B$13-VERI_TABANI!$B$14)*VERI_TABANI!G24) + (VERI_TABANI!D24*C748*(VERI_TABANI!$B$13-VERI_TABANI!$B$15)*VERI_TABANI!G24) + IF(ABS(IF(ISNUMBER(SEARCH("Var", D748)), 1, IF(ISNUMBER(SEARCH("Gri", D748)), -1, 0)))=1, VERI_TABANI!E24*(1-0.928)*0.00206091519919798*VERI_TABANI!G24, 0)) + ((MIN(VERI_TABANI!D25, VERI_TABANI!D25*B748)*VERI_TABANI!$B$7 + MAX(0, VERI_TABANI!D25*B748-VERI_TABANI!D25)*VERI_TABANI!$B$8) + (MIN(MAX(0, VERI_TABANI!D25-VERI_TABANI!D25*B748), VERI_TABANI!D25*C748)*VERI_TABANI!$B$7 + MAX(0, VERI_TABANI!D25*C748-MAX(0, VERI_TABANI!D25-VERI_TABANI!D25*B748))*VERI_TABANI!$B$8) + IF(ABS(IF(ISNUMBER(SEARCH("Var", D748)), 1, IF(ISNUMBER(SEARCH("Gri", D748)), -1, 0)))=1, VERI_TABANI!E25*(1-0.928)*VERI_TABANI!$B$9, 0) + (VERI_TABANI!D25*B748*(VERI_TABANI!$B$13-VERI_TABANI!$B$14)*VERI_TABANI!G25) + (VERI_TABANI!D25*C748*(VERI_TABANI!$B$13-VERI_TABANI!$B$15)*VERI_TABANI!G25) + IF(ABS(IF(ISNUMBER(SEARCH("Var", D748)), 1, IF(ISNUMBER(SEARCH("Gri", D748)), -1, 0)))=1, VERI_TABANI!E25*(1-0.928)*0.00206091519919798*VERI_TABANI!G25, 0)) + ((MIN(VERI_TABANI!D26, VERI_TABANI!D26*B748)*VERI_TABANI!$B$7 + MAX(0, VERI_TABANI!D26*B748-VERI_TABANI!D26)*VERI_TABANI!$B$8) + (MIN(MAX(0, VERI_TABANI!D26-VERI_TABANI!D26*B748), VERI_TABANI!D26*C748)*VERI_TABANI!$B$7 + MAX(0, VERI_TABANI!D26*C748-MAX(0, VERI_TABANI!D26-VERI_TABANI!D26*B748))*VERI_TABANI!$B$8) + IF(ABS(IF(ISNUMBER(SEARCH("Var", D748)), 1, IF(ISNUMBER(SEARCH("Gri", D748)), -1, 0)))=1, VERI_TABANI!E26*(1-0.928)*VERI_TABANI!$B$9, 0) + (VERI_TABANI!D26*B748*(VERI_TABANI!$B$13-VERI_TABANI!$B$14)*VERI_TABANI!G26) + (VERI_TABANI!D26*C748*(VERI_TABANI!$B$13-VERI_TABANI!$B$15)*VERI_TABANI!G26) + IF(ABS(IF(ISNUMBER(SEARCH("Var", D748)), 1, IF(ISNUMBER(SEARCH("Gri", D748)), -1, 0)))=1, VERI_TABANI!E26*(1-0.928)*0.00206091519919798*VERI_TABANI!G26, 0)) + ((MIN(VERI_TABANI!D27, VERI_TABANI!D27*B748)*VERI_TABANI!$B$7 + MAX(0, VERI_TABANI!D27*B748-VERI_TABANI!D27)*VERI_TABANI!$B$8) + (MIN(MAX(0, VERI_TABANI!D27-VERI_TABANI!D27*B748), VERI_TABANI!D27*C748)*VERI_TABANI!$B$7 + MAX(0, VERI_TABANI!D27*C748-MAX(0, VERI_TABANI!D27-VERI_TABANI!D27*B748))*VERI_TABANI!$B$8) + IF(ABS(IF(ISNUMBER(SEARCH("Var", D748)), 1, IF(ISNUMBER(SEARCH("Gri", D748)), -1, 0)))=1, VERI_TABANI!E27*(1-0.928)*VERI_TABANI!$B$9, 0) + (VERI_TABANI!D27*B748*(VERI_TABANI!$B$13-VERI_TABANI!$B$14)*VERI_TABANI!G27) + (VERI_TABANI!D27*C748*(VERI_TABANI!$B$13-VERI_TABANI!$B$15)*VERI_TABANI!G27) + IF(ABS(IF(ISNUMBER(SEARCH("Var", D748)), 1, IF(ISNUMBER(SEARCH("Gri", D748)), -1, 0)))=1, VERI_TABANI!E27*(1-0.928)*0.00206091519919798*VERI_TABANI!G27, 0)) + ((MIN(VERI_TABANI!D28, VERI_TABANI!D28*B748)*VERI_TABANI!$B$7 + MAX(0, VERI_TABANI!D28*B748-VERI_TABANI!D28)*VERI_TABANI!$B$8) + (MIN(MAX(0, VERI_TABANI!D28-VERI_TABANI!D28*B748), VERI_TABANI!D28*C748)*VERI_TABANI!$B$7 + MAX(0, VERI_TABANI!D28*C748-MAX(0, VERI_TABANI!D28-VERI_TABANI!D28*B748))*VERI_TABANI!$B$8) + IF(ABS(IF(ISNUMBER(SEARCH("Var", D748)), 1, IF(ISNUMBER(SEARCH("Gri", D748)), -1, 0)))=1, VERI_TABANI!E28*(1-0.928)*VERI_TABANI!$B$9, 0) + (VERI_TABANI!D28*B748*(VERI_TABANI!$B$13-VERI_TABANI!$B$14)*VERI_TABANI!G28) + (VERI_TABANI!D28*C748*(VERI_TABANI!$B$13-VERI_TABANI!$B$15)*VERI_TABANI!G28) + IF(ABS(IF(ISNUMBER(SEARCH("Var", D748)), 1, IF(ISNUMBER(SEARCH("Gri", D748)), -1, 0)))=1, VERI_TABANI!E28*(1-0.928)*0.00206091519919798*VERI_TABANI!G28, 0)))</f>
        <v/>
      </c>
      <c r="H748" s="169">
        <f>(((VERI_TABANI!D23*B748*(VERI_TABANI!$B$13-VERI_TABANI!$B$14)) + (VERI_TABANI!D23*C748*(VERI_TABANI!$B$13-VERI_TABANI!$B$15)) + IF(ISNUMBER(SEARCH("Var", D748)), VERI_TABANI!F23*(0.00202-VERI_TABANI!$B$16), IF(ISNUMBER(SEARCH("Gri", D748)), VERI_TABANI!F23*(0.00202-VERI_TABANI!$B$17), 0))) + ((VERI_TABANI!D24*B748*(VERI_TABANI!$B$13-VERI_TABANI!$B$14)) + (VERI_TABANI!D24*C748*(VERI_TABANI!$B$13-VERI_TABANI!$B$15)) + IF(ISNUMBER(SEARCH("Var", D748)), VERI_TABANI!F24*(0.00202-VERI_TABANI!$B$16), IF(ISNUMBER(SEARCH("Gri", D748)), VERI_TABANI!F24*(0.00202-VERI_TABANI!$B$17), 0))) + ((VERI_TABANI!D25*B748*(VERI_TABANI!$B$13-VERI_TABANI!$B$14)) + (VERI_TABANI!D25*C748*(VERI_TABANI!$B$13-VERI_TABANI!$B$15)) + IF(ISNUMBER(SEARCH("Var", D748)), VERI_TABANI!F25*(0.00202-VERI_TABANI!$B$16), IF(ISNUMBER(SEARCH("Gri", D748)), VERI_TABANI!F25*(0.00202-VERI_TABANI!$B$17), 0))) + ((VERI_TABANI!D26*B748*(VERI_TABANI!$B$13-VERI_TABANI!$B$14)) + (VERI_TABANI!D26*C748*(VERI_TABANI!$B$13-VERI_TABANI!$B$15)) + IF(ISNUMBER(SEARCH("Var", D748)), VERI_TABANI!F26*(0.00202-VERI_TABANI!$B$16), IF(ISNUMBER(SEARCH("Gri", D748)), VERI_TABANI!F26*(0.00202-VERI_TABANI!$B$17), 0))) + ((VERI_TABANI!D27*B748*(VERI_TABANI!$B$13-VERI_TABANI!$B$14)) + (VERI_TABANI!D27*C748*(VERI_TABANI!$B$13-VERI_TABANI!$B$15)) + IF(ISNUMBER(SEARCH("Var", D748)), VERI_TABANI!F27*(0.00202-VERI_TABANI!$B$16), IF(ISNUMBER(SEARCH("Gri", D748)), VERI_TABANI!F27*(0.00202-VERI_TABANI!$B$17), 0))) + ((VERI_TABANI!D28*B748*(VERI_TABANI!$B$13-VERI_TABANI!$B$14)) + (VERI_TABANI!D28*C748*(VERI_TABANI!$B$13-VERI_TABANI!$B$15)) + IF(ISNUMBER(SEARCH("Var", D748)), VERI_TABANI!F28*(0.00202-VERI_TABANI!$B$16), IF(ISNUMBER(SEARCH("Gri", D748)), VERI_TABANI!F28*(0.00202-VERI_TABANI!$B$17), 0))))</f>
        <v/>
      </c>
      <c r="I748" s="170">
        <f>IFERROR(((VERI_TABANI!$D$29*B748*VERI_TABANI!$B$14 + VERI_TABANI!$D$29*C748*VERI_TABANI!$B$15 + IF(ISNUMBER(SEARCH("Var", D748)), VERI_TABANI!$F$29*VERI_TABANI!$B$16, 0))) / (((VERI_TABANI!$D$29*B748 + VERI_TABANI!$D$29*C748)*VERI_TABANI!$B$13 + IF(ISNUMBER(SEARCH("Var", D748)), VERI_TABANI!$E$29*(1-0.928)*VERI_TABANI!$B$18, 0))), 0)</f>
        <v/>
      </c>
      <c r="J748" s="171">
        <f>IFERROR(F748/(G748/29), 0)</f>
        <v/>
      </c>
      <c r="K748" s="172">
        <f>IF(F748&gt;0, H748/F748, 0)</f>
        <v/>
      </c>
      <c r="L748" s="170">
        <f>IF(F748&gt;0, I748, 1000000000)</f>
        <v/>
      </c>
      <c r="M748" s="171">
        <f>ABS((B748+C748)-1)</f>
        <v/>
      </c>
      <c r="N748" s="170">
        <f>IF(F748&gt;0, (G748/29)/F748, 0)</f>
        <v/>
      </c>
      <c r="O748" s="168">
        <f>IF(AND((B748+C748)&gt;=1, ISNUMBER(SEARCH("Var", D748))), F748, 1000000000)</f>
        <v/>
      </c>
      <c r="P748" s="172">
        <f>IF(F748&gt;0, SQRT((F748/MAX(F$5:F$886))^2 + (1 - H748/MAX(H$5:H$886))^2 + (J748/MAX(J$5:J$886))^2), 1000000000)</f>
        <v/>
      </c>
      <c r="Q748" s="166">
        <f>IF(AND(ABS(B748-0.5)&lt;0.01, ABS(C748-0.5)&lt;0.01, ISNUMBER(SEARCH("Var", D748))), 1, 0)</f>
        <v/>
      </c>
      <c r="R748" s="171">
        <f>IF(F748&gt;0, J748, 1000000000)</f>
        <v/>
      </c>
      <c r="S748" s="101">
        <f>IF(AND(F748&lt;=DASHBOARD!$B$11, H748&gt;=DASHBOARD!$B$13), G748, -1000000000000)</f>
        <v/>
      </c>
      <c r="T748" s="101">
        <f>IF(AND(F748&lt;=DASHBOARD!$B$11, H748&gt;=DASHBOARD!$B$13), R748, 1000000000000)</f>
        <v/>
      </c>
      <c r="U748" s="101">
        <f>IF(AND(F748&lt;=DASHBOARD!$B$11, H748&gt;=DASHBOARD!$B$13), N748, -1000000000000)</f>
        <v/>
      </c>
      <c r="V748" s="101">
        <f>IF(AND(F748&lt;=DASHBOARD!$B$11, H748&gt;=DASHBOARD!$B$13), H748, -1000000000000)</f>
        <v/>
      </c>
      <c r="W748" s="101">
        <f>IF(AND(F748&lt;=DASHBOARD!$B$11, H748&gt;=DASHBOARD!$B$13), K748, -1000000000000)</f>
        <v/>
      </c>
      <c r="X748" s="101">
        <f>IF(AND(F748&lt;=DASHBOARD!$B$11, H748&gt;=DASHBOARD!$B$13), M748, 1000000000000)</f>
        <v/>
      </c>
      <c r="Y748" s="101">
        <f>IF(AND(F748&lt;=DASHBOARD!$B$10, H748&gt;=DASHBOARD!$B$11), L748, 1000000000000)</f>
        <v/>
      </c>
      <c r="Z748" s="101">
        <f>IF(AND(F748&lt;=DASHBOARD!$B$10, H748&gt;=DASHBOARD!$B$11), O748, 1000000000000)</f>
        <v/>
      </c>
      <c r="AA748" s="101">
        <f>IF(AND(F748&lt;=DASHBOARD!$B$10, H748&gt;=DASHBOARD!$B$11), P748, 1000000000000)</f>
        <v/>
      </c>
      <c r="AB748" s="101">
        <f>IF(AND(F748&lt;=DASHBOARD!$B$10, H748&gt;=DASHBOARD!$B$11), Q748, -1000000000000)</f>
        <v/>
      </c>
    </row>
    <row r="749" ht="15" customHeight="1" s="102">
      <c r="A749" s="166" t="n">
        <v>745</v>
      </c>
      <c r="B749" s="167" t="n">
        <v>1.7</v>
      </c>
      <c r="C749" s="167" t="n">
        <v>1.5</v>
      </c>
      <c r="D749" s="110" t="inlineStr">
        <is>
          <t>Yok (%0)</t>
        </is>
      </c>
      <c r="E749" s="110">
        <f>IF((B749+C749)&lt;=1, "Tam Mahsuplaşma (≤%100)", "Kısmi Satış (&gt;%100)")</f>
        <v/>
      </c>
      <c r="F749" s="168">
        <f>((VERI_TABANI!$D$29*B749/VERI_TABANI!$B$29)/VERI_TABANI!$B$3)*VERI_TABANI!$B$5 + ((VERI_TABANI!$D$29*C749/VERI_TABANI!$B$29)/VERI_TABANI!$B$4)*VERI_TABANI!$B$6 + IF(ISNUMBER(SEARCH("Var", D749)), (VERI_TABANI!$F$29/VERI_TABANI!$B$29)*(VERI_TABANI!$B$10+VERI_TABANI!$B$12), 0)</f>
        <v/>
      </c>
      <c r="G749" s="168">
        <f>(((MIN(VERI_TABANI!D23, VERI_TABANI!D23*B749)*VERI_TABANI!$B$7 + MAX(0, VERI_TABANI!D23*B749-VERI_TABANI!D23)*VERI_TABANI!$B$8) + (MIN(MAX(0, VERI_TABANI!D23-VERI_TABANI!D23*B749), VERI_TABANI!D23*C749)*VERI_TABANI!$B$7 + MAX(0, VERI_TABANI!D23*C749-MAX(0, VERI_TABANI!D23-VERI_TABANI!D23*B749))*VERI_TABANI!$B$8) + IF(ABS(IF(ISNUMBER(SEARCH("Var", D749)), 1, IF(ISNUMBER(SEARCH("Gri", D749)), -1, 0)))=1, VERI_TABANI!E23*(1-0.928)*VERI_TABANI!$B$9, 0) + (VERI_TABANI!D23*B749*(VERI_TABANI!$B$13-VERI_TABANI!$B$14)*VERI_TABANI!G23) + (VERI_TABANI!D23*C749*(VERI_TABANI!$B$13-VERI_TABANI!$B$15)*VERI_TABANI!G23) + IF(ABS(IF(ISNUMBER(SEARCH("Var", D749)), 1, IF(ISNUMBER(SEARCH("Gri", D749)), -1, 0)))=1, VERI_TABANI!E23*(1-0.928)*0.00206091519919798*VERI_TABANI!G23, 0)) + ((MIN(VERI_TABANI!D24, VERI_TABANI!D24*B749)*VERI_TABANI!$B$7 + MAX(0, VERI_TABANI!D24*B749-VERI_TABANI!D24)*VERI_TABANI!$B$8) + (MIN(MAX(0, VERI_TABANI!D24-VERI_TABANI!D24*B749), VERI_TABANI!D24*C749)*VERI_TABANI!$B$7 + MAX(0, VERI_TABANI!D24*C749-MAX(0, VERI_TABANI!D24-VERI_TABANI!D24*B749))*VERI_TABANI!$B$8) + IF(ABS(IF(ISNUMBER(SEARCH("Var", D749)), 1, IF(ISNUMBER(SEARCH("Gri", D749)), -1, 0)))=1, VERI_TABANI!E24*(1-0.928)*VERI_TABANI!$B$9, 0) + (VERI_TABANI!D24*B749*(VERI_TABANI!$B$13-VERI_TABANI!$B$14)*VERI_TABANI!G24) + (VERI_TABANI!D24*C749*(VERI_TABANI!$B$13-VERI_TABANI!$B$15)*VERI_TABANI!G24) + IF(ABS(IF(ISNUMBER(SEARCH("Var", D749)), 1, IF(ISNUMBER(SEARCH("Gri", D749)), -1, 0)))=1, VERI_TABANI!E24*(1-0.928)*0.00206091519919798*VERI_TABANI!G24, 0)) + ((MIN(VERI_TABANI!D25, VERI_TABANI!D25*B749)*VERI_TABANI!$B$7 + MAX(0, VERI_TABANI!D25*B749-VERI_TABANI!D25)*VERI_TABANI!$B$8) + (MIN(MAX(0, VERI_TABANI!D25-VERI_TABANI!D25*B749), VERI_TABANI!D25*C749)*VERI_TABANI!$B$7 + MAX(0, VERI_TABANI!D25*C749-MAX(0, VERI_TABANI!D25-VERI_TABANI!D25*B749))*VERI_TABANI!$B$8) + IF(ABS(IF(ISNUMBER(SEARCH("Var", D749)), 1, IF(ISNUMBER(SEARCH("Gri", D749)), -1, 0)))=1, VERI_TABANI!E25*(1-0.928)*VERI_TABANI!$B$9, 0) + (VERI_TABANI!D25*B749*(VERI_TABANI!$B$13-VERI_TABANI!$B$14)*VERI_TABANI!G25) + (VERI_TABANI!D25*C749*(VERI_TABANI!$B$13-VERI_TABANI!$B$15)*VERI_TABANI!G25) + IF(ABS(IF(ISNUMBER(SEARCH("Var", D749)), 1, IF(ISNUMBER(SEARCH("Gri", D749)), -1, 0)))=1, VERI_TABANI!E25*(1-0.928)*0.00206091519919798*VERI_TABANI!G25, 0)) + ((MIN(VERI_TABANI!D26, VERI_TABANI!D26*B749)*VERI_TABANI!$B$7 + MAX(0, VERI_TABANI!D26*B749-VERI_TABANI!D26)*VERI_TABANI!$B$8) + (MIN(MAX(0, VERI_TABANI!D26-VERI_TABANI!D26*B749), VERI_TABANI!D26*C749)*VERI_TABANI!$B$7 + MAX(0, VERI_TABANI!D26*C749-MAX(0, VERI_TABANI!D26-VERI_TABANI!D26*B749))*VERI_TABANI!$B$8) + IF(ABS(IF(ISNUMBER(SEARCH("Var", D749)), 1, IF(ISNUMBER(SEARCH("Gri", D749)), -1, 0)))=1, VERI_TABANI!E26*(1-0.928)*VERI_TABANI!$B$9, 0) + (VERI_TABANI!D26*B749*(VERI_TABANI!$B$13-VERI_TABANI!$B$14)*VERI_TABANI!G26) + (VERI_TABANI!D26*C749*(VERI_TABANI!$B$13-VERI_TABANI!$B$15)*VERI_TABANI!G26) + IF(ABS(IF(ISNUMBER(SEARCH("Var", D749)), 1, IF(ISNUMBER(SEARCH("Gri", D749)), -1, 0)))=1, VERI_TABANI!E26*(1-0.928)*0.00206091519919798*VERI_TABANI!G26, 0)) + ((MIN(VERI_TABANI!D27, VERI_TABANI!D27*B749)*VERI_TABANI!$B$7 + MAX(0, VERI_TABANI!D27*B749-VERI_TABANI!D27)*VERI_TABANI!$B$8) + (MIN(MAX(0, VERI_TABANI!D27-VERI_TABANI!D27*B749), VERI_TABANI!D27*C749)*VERI_TABANI!$B$7 + MAX(0, VERI_TABANI!D27*C749-MAX(0, VERI_TABANI!D27-VERI_TABANI!D27*B749))*VERI_TABANI!$B$8) + IF(ABS(IF(ISNUMBER(SEARCH("Var", D749)), 1, IF(ISNUMBER(SEARCH("Gri", D749)), -1, 0)))=1, VERI_TABANI!E27*(1-0.928)*VERI_TABANI!$B$9, 0) + (VERI_TABANI!D27*B749*(VERI_TABANI!$B$13-VERI_TABANI!$B$14)*VERI_TABANI!G27) + (VERI_TABANI!D27*C749*(VERI_TABANI!$B$13-VERI_TABANI!$B$15)*VERI_TABANI!G27) + IF(ABS(IF(ISNUMBER(SEARCH("Var", D749)), 1, IF(ISNUMBER(SEARCH("Gri", D749)), -1, 0)))=1, VERI_TABANI!E27*(1-0.928)*0.00206091519919798*VERI_TABANI!G27, 0)) + ((MIN(VERI_TABANI!D28, VERI_TABANI!D28*B749)*VERI_TABANI!$B$7 + MAX(0, VERI_TABANI!D28*B749-VERI_TABANI!D28)*VERI_TABANI!$B$8) + (MIN(MAX(0, VERI_TABANI!D28-VERI_TABANI!D28*B749), VERI_TABANI!D28*C749)*VERI_TABANI!$B$7 + MAX(0, VERI_TABANI!D28*C749-MAX(0, VERI_TABANI!D28-VERI_TABANI!D28*B749))*VERI_TABANI!$B$8) + IF(ABS(IF(ISNUMBER(SEARCH("Var", D749)), 1, IF(ISNUMBER(SEARCH("Gri", D749)), -1, 0)))=1, VERI_TABANI!E28*(1-0.928)*VERI_TABANI!$B$9, 0) + (VERI_TABANI!D28*B749*(VERI_TABANI!$B$13-VERI_TABANI!$B$14)*VERI_TABANI!G28) + (VERI_TABANI!D28*C749*(VERI_TABANI!$B$13-VERI_TABANI!$B$15)*VERI_TABANI!G28) + IF(ABS(IF(ISNUMBER(SEARCH("Var", D749)), 1, IF(ISNUMBER(SEARCH("Gri", D749)), -1, 0)))=1, VERI_TABANI!E28*(1-0.928)*0.00206091519919798*VERI_TABANI!G28, 0)))</f>
        <v/>
      </c>
      <c r="H749" s="169">
        <f>(((VERI_TABANI!D23*B749*(VERI_TABANI!$B$13-VERI_TABANI!$B$14)) + (VERI_TABANI!D23*C749*(VERI_TABANI!$B$13-VERI_TABANI!$B$15)) + IF(ISNUMBER(SEARCH("Var", D749)), VERI_TABANI!F23*(0.00202-VERI_TABANI!$B$16), IF(ISNUMBER(SEARCH("Gri", D749)), VERI_TABANI!F23*(0.00202-VERI_TABANI!$B$17), 0))) + ((VERI_TABANI!D24*B749*(VERI_TABANI!$B$13-VERI_TABANI!$B$14)) + (VERI_TABANI!D24*C749*(VERI_TABANI!$B$13-VERI_TABANI!$B$15)) + IF(ISNUMBER(SEARCH("Var", D749)), VERI_TABANI!F24*(0.00202-VERI_TABANI!$B$16), IF(ISNUMBER(SEARCH("Gri", D749)), VERI_TABANI!F24*(0.00202-VERI_TABANI!$B$17), 0))) + ((VERI_TABANI!D25*B749*(VERI_TABANI!$B$13-VERI_TABANI!$B$14)) + (VERI_TABANI!D25*C749*(VERI_TABANI!$B$13-VERI_TABANI!$B$15)) + IF(ISNUMBER(SEARCH("Var", D749)), VERI_TABANI!F25*(0.00202-VERI_TABANI!$B$16), IF(ISNUMBER(SEARCH("Gri", D749)), VERI_TABANI!F25*(0.00202-VERI_TABANI!$B$17), 0))) + ((VERI_TABANI!D26*B749*(VERI_TABANI!$B$13-VERI_TABANI!$B$14)) + (VERI_TABANI!D26*C749*(VERI_TABANI!$B$13-VERI_TABANI!$B$15)) + IF(ISNUMBER(SEARCH("Var", D749)), VERI_TABANI!F26*(0.00202-VERI_TABANI!$B$16), IF(ISNUMBER(SEARCH("Gri", D749)), VERI_TABANI!F26*(0.00202-VERI_TABANI!$B$17), 0))) + ((VERI_TABANI!D27*B749*(VERI_TABANI!$B$13-VERI_TABANI!$B$14)) + (VERI_TABANI!D27*C749*(VERI_TABANI!$B$13-VERI_TABANI!$B$15)) + IF(ISNUMBER(SEARCH("Var", D749)), VERI_TABANI!F27*(0.00202-VERI_TABANI!$B$16), IF(ISNUMBER(SEARCH("Gri", D749)), VERI_TABANI!F27*(0.00202-VERI_TABANI!$B$17), 0))) + ((VERI_TABANI!D28*B749*(VERI_TABANI!$B$13-VERI_TABANI!$B$14)) + (VERI_TABANI!D28*C749*(VERI_TABANI!$B$13-VERI_TABANI!$B$15)) + IF(ISNUMBER(SEARCH("Var", D749)), VERI_TABANI!F28*(0.00202-VERI_TABANI!$B$16), IF(ISNUMBER(SEARCH("Gri", D749)), VERI_TABANI!F28*(0.00202-VERI_TABANI!$B$17), 0))))</f>
        <v/>
      </c>
      <c r="I749" s="170">
        <f>IFERROR(((VERI_TABANI!$D$29*B749*VERI_TABANI!$B$14 + VERI_TABANI!$D$29*C749*VERI_TABANI!$B$15 + IF(ISNUMBER(SEARCH("Var", D749)), VERI_TABANI!$F$29*VERI_TABANI!$B$16, 0))) / (((VERI_TABANI!$D$29*B749 + VERI_TABANI!$D$29*C749)*VERI_TABANI!$B$13 + IF(ISNUMBER(SEARCH("Var", D749)), VERI_TABANI!$E$29*(1-0.928)*VERI_TABANI!$B$18, 0))), 0)</f>
        <v/>
      </c>
      <c r="J749" s="171">
        <f>IFERROR(F749/(G749/29), 0)</f>
        <v/>
      </c>
      <c r="K749" s="172">
        <f>IF(F749&gt;0, H749/F749, 0)</f>
        <v/>
      </c>
      <c r="L749" s="170">
        <f>IF(F749&gt;0, I749, 1000000000)</f>
        <v/>
      </c>
      <c r="M749" s="171">
        <f>ABS((B749+C749)-1)</f>
        <v/>
      </c>
      <c r="N749" s="170">
        <f>IF(F749&gt;0, (G749/29)/F749, 0)</f>
        <v/>
      </c>
      <c r="O749" s="168">
        <f>IF(AND((B749+C749)&gt;=1, ISNUMBER(SEARCH("Var", D749))), F749, 1000000000)</f>
        <v/>
      </c>
      <c r="P749" s="172">
        <f>IF(F749&gt;0, SQRT((F749/MAX(F$5:F$886))^2 + (1 - H749/MAX(H$5:H$886))^2 + (J749/MAX(J$5:J$886))^2), 1000000000)</f>
        <v/>
      </c>
      <c r="Q749" s="166">
        <f>IF(AND(ABS(B749-0.5)&lt;0.01, ABS(C749-0.5)&lt;0.01, ISNUMBER(SEARCH("Var", D749))), 1, 0)</f>
        <v/>
      </c>
      <c r="R749" s="171">
        <f>IF(F749&gt;0, J749, 1000000000)</f>
        <v/>
      </c>
      <c r="S749" s="101">
        <f>IF(AND(F749&lt;=DASHBOARD!$B$11, H749&gt;=DASHBOARD!$B$13), G749, -1000000000000)</f>
        <v/>
      </c>
      <c r="T749" s="101">
        <f>IF(AND(F749&lt;=DASHBOARD!$B$11, H749&gt;=DASHBOARD!$B$13), R749, 1000000000000)</f>
        <v/>
      </c>
      <c r="U749" s="101">
        <f>IF(AND(F749&lt;=DASHBOARD!$B$11, H749&gt;=DASHBOARD!$B$13), N749, -1000000000000)</f>
        <v/>
      </c>
      <c r="V749" s="101">
        <f>IF(AND(F749&lt;=DASHBOARD!$B$11, H749&gt;=DASHBOARD!$B$13), H749, -1000000000000)</f>
        <v/>
      </c>
      <c r="W749" s="101">
        <f>IF(AND(F749&lt;=DASHBOARD!$B$11, H749&gt;=DASHBOARD!$B$13), K749, -1000000000000)</f>
        <v/>
      </c>
      <c r="X749" s="101">
        <f>IF(AND(F749&lt;=DASHBOARD!$B$11, H749&gt;=DASHBOARD!$B$13), M749, 1000000000000)</f>
        <v/>
      </c>
      <c r="Y749" s="101">
        <f>IF(AND(F749&lt;=DASHBOARD!$B$10, H749&gt;=DASHBOARD!$B$11), L749, 1000000000000)</f>
        <v/>
      </c>
      <c r="Z749" s="101">
        <f>IF(AND(F749&lt;=DASHBOARD!$B$10, H749&gt;=DASHBOARD!$B$11), O749, 1000000000000)</f>
        <v/>
      </c>
      <c r="AA749" s="101">
        <f>IF(AND(F749&lt;=DASHBOARD!$B$10, H749&gt;=DASHBOARD!$B$11), P749, 1000000000000)</f>
        <v/>
      </c>
      <c r="AB749" s="101">
        <f>IF(AND(F749&lt;=DASHBOARD!$B$10, H749&gt;=DASHBOARD!$B$11), Q749, -1000000000000)</f>
        <v/>
      </c>
    </row>
    <row r="750" ht="15" customHeight="1" s="102">
      <c r="A750" s="166" t="n">
        <v>746</v>
      </c>
      <c r="B750" s="167" t="n">
        <v>1.7</v>
      </c>
      <c r="C750" s="167" t="n">
        <v>1.5</v>
      </c>
      <c r="D750" s="110" t="inlineStr">
        <is>
          <t>Var (%20)</t>
        </is>
      </c>
      <c r="E750" s="110">
        <f>IF((B750+C750)&lt;=1, "Tam Mahsuplaşma (≤%100)", "Kısmi Satış (&gt;%100)")</f>
        <v/>
      </c>
      <c r="F750" s="168">
        <f>((VERI_TABANI!$D$29*B750/VERI_TABANI!$B$29)/VERI_TABANI!$B$3)*VERI_TABANI!$B$5 + ((VERI_TABANI!$D$29*C750/VERI_TABANI!$B$29)/VERI_TABANI!$B$4)*VERI_TABANI!$B$6 + IF(ISNUMBER(SEARCH("Var", D750)), (VERI_TABANI!$F$29/VERI_TABANI!$B$29)*(VERI_TABANI!$B$10+VERI_TABANI!$B$12), 0)</f>
        <v/>
      </c>
      <c r="G750" s="168">
        <f>(((MIN(VERI_TABANI!D23, VERI_TABANI!D23*B750)*VERI_TABANI!$B$7 + MAX(0, VERI_TABANI!D23*B750-VERI_TABANI!D23)*VERI_TABANI!$B$8) + (MIN(MAX(0, VERI_TABANI!D23-VERI_TABANI!D23*B750), VERI_TABANI!D23*C750)*VERI_TABANI!$B$7 + MAX(0, VERI_TABANI!D23*C750-MAX(0, VERI_TABANI!D23-VERI_TABANI!D23*B750))*VERI_TABANI!$B$8) + IF(ABS(IF(ISNUMBER(SEARCH("Var", D750)), 1, IF(ISNUMBER(SEARCH("Gri", D750)), -1, 0)))=1, VERI_TABANI!E23*(1-0.928)*VERI_TABANI!$B$9, 0) + (VERI_TABANI!D23*B750*(VERI_TABANI!$B$13-VERI_TABANI!$B$14)*VERI_TABANI!G23) + (VERI_TABANI!D23*C750*(VERI_TABANI!$B$13-VERI_TABANI!$B$15)*VERI_TABANI!G23) + IF(ABS(IF(ISNUMBER(SEARCH("Var", D750)), 1, IF(ISNUMBER(SEARCH("Gri", D750)), -1, 0)))=1, VERI_TABANI!E23*(1-0.928)*0.00206091519919798*VERI_TABANI!G23, 0)) + ((MIN(VERI_TABANI!D24, VERI_TABANI!D24*B750)*VERI_TABANI!$B$7 + MAX(0, VERI_TABANI!D24*B750-VERI_TABANI!D24)*VERI_TABANI!$B$8) + (MIN(MAX(0, VERI_TABANI!D24-VERI_TABANI!D24*B750), VERI_TABANI!D24*C750)*VERI_TABANI!$B$7 + MAX(0, VERI_TABANI!D24*C750-MAX(0, VERI_TABANI!D24-VERI_TABANI!D24*B750))*VERI_TABANI!$B$8) + IF(ABS(IF(ISNUMBER(SEARCH("Var", D750)), 1, IF(ISNUMBER(SEARCH("Gri", D750)), -1, 0)))=1, VERI_TABANI!E24*(1-0.928)*VERI_TABANI!$B$9, 0) + (VERI_TABANI!D24*B750*(VERI_TABANI!$B$13-VERI_TABANI!$B$14)*VERI_TABANI!G24) + (VERI_TABANI!D24*C750*(VERI_TABANI!$B$13-VERI_TABANI!$B$15)*VERI_TABANI!G24) + IF(ABS(IF(ISNUMBER(SEARCH("Var", D750)), 1, IF(ISNUMBER(SEARCH("Gri", D750)), -1, 0)))=1, VERI_TABANI!E24*(1-0.928)*0.00206091519919798*VERI_TABANI!G24, 0)) + ((MIN(VERI_TABANI!D25, VERI_TABANI!D25*B750)*VERI_TABANI!$B$7 + MAX(0, VERI_TABANI!D25*B750-VERI_TABANI!D25)*VERI_TABANI!$B$8) + (MIN(MAX(0, VERI_TABANI!D25-VERI_TABANI!D25*B750), VERI_TABANI!D25*C750)*VERI_TABANI!$B$7 + MAX(0, VERI_TABANI!D25*C750-MAX(0, VERI_TABANI!D25-VERI_TABANI!D25*B750))*VERI_TABANI!$B$8) + IF(ABS(IF(ISNUMBER(SEARCH("Var", D750)), 1, IF(ISNUMBER(SEARCH("Gri", D750)), -1, 0)))=1, VERI_TABANI!E25*(1-0.928)*VERI_TABANI!$B$9, 0) + (VERI_TABANI!D25*B750*(VERI_TABANI!$B$13-VERI_TABANI!$B$14)*VERI_TABANI!G25) + (VERI_TABANI!D25*C750*(VERI_TABANI!$B$13-VERI_TABANI!$B$15)*VERI_TABANI!G25) + IF(ABS(IF(ISNUMBER(SEARCH("Var", D750)), 1, IF(ISNUMBER(SEARCH("Gri", D750)), -1, 0)))=1, VERI_TABANI!E25*(1-0.928)*0.00206091519919798*VERI_TABANI!G25, 0)) + ((MIN(VERI_TABANI!D26, VERI_TABANI!D26*B750)*VERI_TABANI!$B$7 + MAX(0, VERI_TABANI!D26*B750-VERI_TABANI!D26)*VERI_TABANI!$B$8) + (MIN(MAX(0, VERI_TABANI!D26-VERI_TABANI!D26*B750), VERI_TABANI!D26*C750)*VERI_TABANI!$B$7 + MAX(0, VERI_TABANI!D26*C750-MAX(0, VERI_TABANI!D26-VERI_TABANI!D26*B750))*VERI_TABANI!$B$8) + IF(ABS(IF(ISNUMBER(SEARCH("Var", D750)), 1, IF(ISNUMBER(SEARCH("Gri", D750)), -1, 0)))=1, VERI_TABANI!E26*(1-0.928)*VERI_TABANI!$B$9, 0) + (VERI_TABANI!D26*B750*(VERI_TABANI!$B$13-VERI_TABANI!$B$14)*VERI_TABANI!G26) + (VERI_TABANI!D26*C750*(VERI_TABANI!$B$13-VERI_TABANI!$B$15)*VERI_TABANI!G26) + IF(ABS(IF(ISNUMBER(SEARCH("Var", D750)), 1, IF(ISNUMBER(SEARCH("Gri", D750)), -1, 0)))=1, VERI_TABANI!E26*(1-0.928)*0.00206091519919798*VERI_TABANI!G26, 0)) + ((MIN(VERI_TABANI!D27, VERI_TABANI!D27*B750)*VERI_TABANI!$B$7 + MAX(0, VERI_TABANI!D27*B750-VERI_TABANI!D27)*VERI_TABANI!$B$8) + (MIN(MAX(0, VERI_TABANI!D27-VERI_TABANI!D27*B750), VERI_TABANI!D27*C750)*VERI_TABANI!$B$7 + MAX(0, VERI_TABANI!D27*C750-MAX(0, VERI_TABANI!D27-VERI_TABANI!D27*B750))*VERI_TABANI!$B$8) + IF(ABS(IF(ISNUMBER(SEARCH("Var", D750)), 1, IF(ISNUMBER(SEARCH("Gri", D750)), -1, 0)))=1, VERI_TABANI!E27*(1-0.928)*VERI_TABANI!$B$9, 0) + (VERI_TABANI!D27*B750*(VERI_TABANI!$B$13-VERI_TABANI!$B$14)*VERI_TABANI!G27) + (VERI_TABANI!D27*C750*(VERI_TABANI!$B$13-VERI_TABANI!$B$15)*VERI_TABANI!G27) + IF(ABS(IF(ISNUMBER(SEARCH("Var", D750)), 1, IF(ISNUMBER(SEARCH("Gri", D750)), -1, 0)))=1, VERI_TABANI!E27*(1-0.928)*0.00206091519919798*VERI_TABANI!G27, 0)) + ((MIN(VERI_TABANI!D28, VERI_TABANI!D28*B750)*VERI_TABANI!$B$7 + MAX(0, VERI_TABANI!D28*B750-VERI_TABANI!D28)*VERI_TABANI!$B$8) + (MIN(MAX(0, VERI_TABANI!D28-VERI_TABANI!D28*B750), VERI_TABANI!D28*C750)*VERI_TABANI!$B$7 + MAX(0, VERI_TABANI!D28*C750-MAX(0, VERI_TABANI!D28-VERI_TABANI!D28*B750))*VERI_TABANI!$B$8) + IF(ABS(IF(ISNUMBER(SEARCH("Var", D750)), 1, IF(ISNUMBER(SEARCH("Gri", D750)), -1, 0)))=1, VERI_TABANI!E28*(1-0.928)*VERI_TABANI!$B$9, 0) + (VERI_TABANI!D28*B750*(VERI_TABANI!$B$13-VERI_TABANI!$B$14)*VERI_TABANI!G28) + (VERI_TABANI!D28*C750*(VERI_TABANI!$B$13-VERI_TABANI!$B$15)*VERI_TABANI!G28) + IF(ABS(IF(ISNUMBER(SEARCH("Var", D750)), 1, IF(ISNUMBER(SEARCH("Gri", D750)), -1, 0)))=1, VERI_TABANI!E28*(1-0.928)*0.00206091519919798*VERI_TABANI!G28, 0)))</f>
        <v/>
      </c>
      <c r="H750" s="169">
        <f>(((VERI_TABANI!D23*B750*(VERI_TABANI!$B$13-VERI_TABANI!$B$14)) + (VERI_TABANI!D23*C750*(VERI_TABANI!$B$13-VERI_TABANI!$B$15)) + IF(ISNUMBER(SEARCH("Var", D750)), VERI_TABANI!F23*(0.00202-VERI_TABANI!$B$16), IF(ISNUMBER(SEARCH("Gri", D750)), VERI_TABANI!F23*(0.00202-VERI_TABANI!$B$17), 0))) + ((VERI_TABANI!D24*B750*(VERI_TABANI!$B$13-VERI_TABANI!$B$14)) + (VERI_TABANI!D24*C750*(VERI_TABANI!$B$13-VERI_TABANI!$B$15)) + IF(ISNUMBER(SEARCH("Var", D750)), VERI_TABANI!F24*(0.00202-VERI_TABANI!$B$16), IF(ISNUMBER(SEARCH("Gri", D750)), VERI_TABANI!F24*(0.00202-VERI_TABANI!$B$17), 0))) + ((VERI_TABANI!D25*B750*(VERI_TABANI!$B$13-VERI_TABANI!$B$14)) + (VERI_TABANI!D25*C750*(VERI_TABANI!$B$13-VERI_TABANI!$B$15)) + IF(ISNUMBER(SEARCH("Var", D750)), VERI_TABANI!F25*(0.00202-VERI_TABANI!$B$16), IF(ISNUMBER(SEARCH("Gri", D750)), VERI_TABANI!F25*(0.00202-VERI_TABANI!$B$17), 0))) + ((VERI_TABANI!D26*B750*(VERI_TABANI!$B$13-VERI_TABANI!$B$14)) + (VERI_TABANI!D26*C750*(VERI_TABANI!$B$13-VERI_TABANI!$B$15)) + IF(ISNUMBER(SEARCH("Var", D750)), VERI_TABANI!F26*(0.00202-VERI_TABANI!$B$16), IF(ISNUMBER(SEARCH("Gri", D750)), VERI_TABANI!F26*(0.00202-VERI_TABANI!$B$17), 0))) + ((VERI_TABANI!D27*B750*(VERI_TABANI!$B$13-VERI_TABANI!$B$14)) + (VERI_TABANI!D27*C750*(VERI_TABANI!$B$13-VERI_TABANI!$B$15)) + IF(ISNUMBER(SEARCH("Var", D750)), VERI_TABANI!F27*(0.00202-VERI_TABANI!$B$16), IF(ISNUMBER(SEARCH("Gri", D750)), VERI_TABANI!F27*(0.00202-VERI_TABANI!$B$17), 0))) + ((VERI_TABANI!D28*B750*(VERI_TABANI!$B$13-VERI_TABANI!$B$14)) + (VERI_TABANI!D28*C750*(VERI_TABANI!$B$13-VERI_TABANI!$B$15)) + IF(ISNUMBER(SEARCH("Var", D750)), VERI_TABANI!F28*(0.00202-VERI_TABANI!$B$16), IF(ISNUMBER(SEARCH("Gri", D750)), VERI_TABANI!F28*(0.00202-VERI_TABANI!$B$17), 0))))</f>
        <v/>
      </c>
      <c r="I750" s="170">
        <f>IFERROR(((VERI_TABANI!$D$29*B750*VERI_TABANI!$B$14 + VERI_TABANI!$D$29*C750*VERI_TABANI!$B$15 + IF(ISNUMBER(SEARCH("Var", D750)), VERI_TABANI!$F$29*VERI_TABANI!$B$16, 0))) / (((VERI_TABANI!$D$29*B750 + VERI_TABANI!$D$29*C750)*VERI_TABANI!$B$13 + IF(ISNUMBER(SEARCH("Var", D750)), VERI_TABANI!$E$29*(1-0.928)*VERI_TABANI!$B$18, 0))), 0)</f>
        <v/>
      </c>
      <c r="J750" s="171">
        <f>IFERROR(F750/(G750/29), 0)</f>
        <v/>
      </c>
      <c r="K750" s="172">
        <f>IF(F750&gt;0, H750/F750, 0)</f>
        <v/>
      </c>
      <c r="L750" s="170">
        <f>IF(F750&gt;0, I750, 1000000000)</f>
        <v/>
      </c>
      <c r="M750" s="171">
        <f>ABS((B750+C750)-1)</f>
        <v/>
      </c>
      <c r="N750" s="170">
        <f>IF(F750&gt;0, (G750/29)/F750, 0)</f>
        <v/>
      </c>
      <c r="O750" s="168">
        <f>IF(AND((B750+C750)&gt;=1, ISNUMBER(SEARCH("Var", D750))), F750, 1000000000)</f>
        <v/>
      </c>
      <c r="P750" s="172">
        <f>IF(F750&gt;0, SQRT((F750/MAX(F$5:F$886))^2 + (1 - H750/MAX(H$5:H$886))^2 + (J750/MAX(J$5:J$886))^2), 1000000000)</f>
        <v/>
      </c>
      <c r="Q750" s="166">
        <f>IF(AND(ABS(B750-0.5)&lt;0.01, ABS(C750-0.5)&lt;0.01, ISNUMBER(SEARCH("Var", D750))), 1, 0)</f>
        <v/>
      </c>
      <c r="R750" s="171">
        <f>IF(F750&gt;0, J750, 1000000000)</f>
        <v/>
      </c>
      <c r="S750" s="101">
        <f>IF(AND(F750&lt;=DASHBOARD!$B$11, H750&gt;=DASHBOARD!$B$13), G750, -1000000000000)</f>
        <v/>
      </c>
      <c r="T750" s="101">
        <f>IF(AND(F750&lt;=DASHBOARD!$B$11, H750&gt;=DASHBOARD!$B$13), R750, 1000000000000)</f>
        <v/>
      </c>
      <c r="U750" s="101">
        <f>IF(AND(F750&lt;=DASHBOARD!$B$11, H750&gt;=DASHBOARD!$B$13), N750, -1000000000000)</f>
        <v/>
      </c>
      <c r="V750" s="101">
        <f>IF(AND(F750&lt;=DASHBOARD!$B$11, H750&gt;=DASHBOARD!$B$13), H750, -1000000000000)</f>
        <v/>
      </c>
      <c r="W750" s="101">
        <f>IF(AND(F750&lt;=DASHBOARD!$B$11, H750&gt;=DASHBOARD!$B$13), K750, -1000000000000)</f>
        <v/>
      </c>
      <c r="X750" s="101">
        <f>IF(AND(F750&lt;=DASHBOARD!$B$11, H750&gt;=DASHBOARD!$B$13), M750, 1000000000000)</f>
        <v/>
      </c>
      <c r="Y750" s="101">
        <f>IF(AND(F750&lt;=DASHBOARD!$B$10, H750&gt;=DASHBOARD!$B$11), L750, 1000000000000)</f>
        <v/>
      </c>
      <c r="Z750" s="101">
        <f>IF(AND(F750&lt;=DASHBOARD!$B$10, H750&gt;=DASHBOARD!$B$11), O750, 1000000000000)</f>
        <v/>
      </c>
      <c r="AA750" s="101">
        <f>IF(AND(F750&lt;=DASHBOARD!$B$10, H750&gt;=DASHBOARD!$B$11), P750, 1000000000000)</f>
        <v/>
      </c>
      <c r="AB750" s="101">
        <f>IF(AND(F750&lt;=DASHBOARD!$B$10, H750&gt;=DASHBOARD!$B$11), Q750, -1000000000000)</f>
        <v/>
      </c>
    </row>
    <row r="751" ht="15" customHeight="1" s="102">
      <c r="A751" s="166" t="n">
        <v>747</v>
      </c>
      <c r="B751" s="167" t="n">
        <v>1.7</v>
      </c>
      <c r="C751" s="167" t="n">
        <v>1.6</v>
      </c>
      <c r="D751" s="110" t="inlineStr">
        <is>
          <t>Yok (%0)</t>
        </is>
      </c>
      <c r="E751" s="110">
        <f>IF((B751+C751)&lt;=1, "Tam Mahsuplaşma (≤%100)", "Kısmi Satış (&gt;%100)")</f>
        <v/>
      </c>
      <c r="F751" s="168">
        <f>((VERI_TABANI!$D$29*B751/VERI_TABANI!$B$29)/VERI_TABANI!$B$3)*VERI_TABANI!$B$5 + ((VERI_TABANI!$D$29*C751/VERI_TABANI!$B$29)/VERI_TABANI!$B$4)*VERI_TABANI!$B$6 + IF(ISNUMBER(SEARCH("Var", D751)), (VERI_TABANI!$F$29/VERI_TABANI!$B$29)*(VERI_TABANI!$B$10+VERI_TABANI!$B$12), 0)</f>
        <v/>
      </c>
      <c r="G751" s="168">
        <f>(((MIN(VERI_TABANI!D23, VERI_TABANI!D23*B751)*VERI_TABANI!$B$7 + MAX(0, VERI_TABANI!D23*B751-VERI_TABANI!D23)*VERI_TABANI!$B$8) + (MIN(MAX(0, VERI_TABANI!D23-VERI_TABANI!D23*B751), VERI_TABANI!D23*C751)*VERI_TABANI!$B$7 + MAX(0, VERI_TABANI!D23*C751-MAX(0, VERI_TABANI!D23-VERI_TABANI!D23*B751))*VERI_TABANI!$B$8) + IF(ABS(IF(ISNUMBER(SEARCH("Var", D751)), 1, IF(ISNUMBER(SEARCH("Gri", D751)), -1, 0)))=1, VERI_TABANI!E23*(1-0.928)*VERI_TABANI!$B$9, 0) + (VERI_TABANI!D23*B751*(VERI_TABANI!$B$13-VERI_TABANI!$B$14)*VERI_TABANI!G23) + (VERI_TABANI!D23*C751*(VERI_TABANI!$B$13-VERI_TABANI!$B$15)*VERI_TABANI!G23) + IF(ABS(IF(ISNUMBER(SEARCH("Var", D751)), 1, IF(ISNUMBER(SEARCH("Gri", D751)), -1, 0)))=1, VERI_TABANI!E23*(1-0.928)*0.00206091519919798*VERI_TABANI!G23, 0)) + ((MIN(VERI_TABANI!D24, VERI_TABANI!D24*B751)*VERI_TABANI!$B$7 + MAX(0, VERI_TABANI!D24*B751-VERI_TABANI!D24)*VERI_TABANI!$B$8) + (MIN(MAX(0, VERI_TABANI!D24-VERI_TABANI!D24*B751), VERI_TABANI!D24*C751)*VERI_TABANI!$B$7 + MAX(0, VERI_TABANI!D24*C751-MAX(0, VERI_TABANI!D24-VERI_TABANI!D24*B751))*VERI_TABANI!$B$8) + IF(ABS(IF(ISNUMBER(SEARCH("Var", D751)), 1, IF(ISNUMBER(SEARCH("Gri", D751)), -1, 0)))=1, VERI_TABANI!E24*(1-0.928)*VERI_TABANI!$B$9, 0) + (VERI_TABANI!D24*B751*(VERI_TABANI!$B$13-VERI_TABANI!$B$14)*VERI_TABANI!G24) + (VERI_TABANI!D24*C751*(VERI_TABANI!$B$13-VERI_TABANI!$B$15)*VERI_TABANI!G24) + IF(ABS(IF(ISNUMBER(SEARCH("Var", D751)), 1, IF(ISNUMBER(SEARCH("Gri", D751)), -1, 0)))=1, VERI_TABANI!E24*(1-0.928)*0.00206091519919798*VERI_TABANI!G24, 0)) + ((MIN(VERI_TABANI!D25, VERI_TABANI!D25*B751)*VERI_TABANI!$B$7 + MAX(0, VERI_TABANI!D25*B751-VERI_TABANI!D25)*VERI_TABANI!$B$8) + (MIN(MAX(0, VERI_TABANI!D25-VERI_TABANI!D25*B751), VERI_TABANI!D25*C751)*VERI_TABANI!$B$7 + MAX(0, VERI_TABANI!D25*C751-MAX(0, VERI_TABANI!D25-VERI_TABANI!D25*B751))*VERI_TABANI!$B$8) + IF(ABS(IF(ISNUMBER(SEARCH("Var", D751)), 1, IF(ISNUMBER(SEARCH("Gri", D751)), -1, 0)))=1, VERI_TABANI!E25*(1-0.928)*VERI_TABANI!$B$9, 0) + (VERI_TABANI!D25*B751*(VERI_TABANI!$B$13-VERI_TABANI!$B$14)*VERI_TABANI!G25) + (VERI_TABANI!D25*C751*(VERI_TABANI!$B$13-VERI_TABANI!$B$15)*VERI_TABANI!G25) + IF(ABS(IF(ISNUMBER(SEARCH("Var", D751)), 1, IF(ISNUMBER(SEARCH("Gri", D751)), -1, 0)))=1, VERI_TABANI!E25*(1-0.928)*0.00206091519919798*VERI_TABANI!G25, 0)) + ((MIN(VERI_TABANI!D26, VERI_TABANI!D26*B751)*VERI_TABANI!$B$7 + MAX(0, VERI_TABANI!D26*B751-VERI_TABANI!D26)*VERI_TABANI!$B$8) + (MIN(MAX(0, VERI_TABANI!D26-VERI_TABANI!D26*B751), VERI_TABANI!D26*C751)*VERI_TABANI!$B$7 + MAX(0, VERI_TABANI!D26*C751-MAX(0, VERI_TABANI!D26-VERI_TABANI!D26*B751))*VERI_TABANI!$B$8) + IF(ABS(IF(ISNUMBER(SEARCH("Var", D751)), 1, IF(ISNUMBER(SEARCH("Gri", D751)), -1, 0)))=1, VERI_TABANI!E26*(1-0.928)*VERI_TABANI!$B$9, 0) + (VERI_TABANI!D26*B751*(VERI_TABANI!$B$13-VERI_TABANI!$B$14)*VERI_TABANI!G26) + (VERI_TABANI!D26*C751*(VERI_TABANI!$B$13-VERI_TABANI!$B$15)*VERI_TABANI!G26) + IF(ABS(IF(ISNUMBER(SEARCH("Var", D751)), 1, IF(ISNUMBER(SEARCH("Gri", D751)), -1, 0)))=1, VERI_TABANI!E26*(1-0.928)*0.00206091519919798*VERI_TABANI!G26, 0)) + ((MIN(VERI_TABANI!D27, VERI_TABANI!D27*B751)*VERI_TABANI!$B$7 + MAX(0, VERI_TABANI!D27*B751-VERI_TABANI!D27)*VERI_TABANI!$B$8) + (MIN(MAX(0, VERI_TABANI!D27-VERI_TABANI!D27*B751), VERI_TABANI!D27*C751)*VERI_TABANI!$B$7 + MAX(0, VERI_TABANI!D27*C751-MAX(0, VERI_TABANI!D27-VERI_TABANI!D27*B751))*VERI_TABANI!$B$8) + IF(ABS(IF(ISNUMBER(SEARCH("Var", D751)), 1, IF(ISNUMBER(SEARCH("Gri", D751)), -1, 0)))=1, VERI_TABANI!E27*(1-0.928)*VERI_TABANI!$B$9, 0) + (VERI_TABANI!D27*B751*(VERI_TABANI!$B$13-VERI_TABANI!$B$14)*VERI_TABANI!G27) + (VERI_TABANI!D27*C751*(VERI_TABANI!$B$13-VERI_TABANI!$B$15)*VERI_TABANI!G27) + IF(ABS(IF(ISNUMBER(SEARCH("Var", D751)), 1, IF(ISNUMBER(SEARCH("Gri", D751)), -1, 0)))=1, VERI_TABANI!E27*(1-0.928)*0.00206091519919798*VERI_TABANI!G27, 0)) + ((MIN(VERI_TABANI!D28, VERI_TABANI!D28*B751)*VERI_TABANI!$B$7 + MAX(0, VERI_TABANI!D28*B751-VERI_TABANI!D28)*VERI_TABANI!$B$8) + (MIN(MAX(0, VERI_TABANI!D28-VERI_TABANI!D28*B751), VERI_TABANI!D28*C751)*VERI_TABANI!$B$7 + MAX(0, VERI_TABANI!D28*C751-MAX(0, VERI_TABANI!D28-VERI_TABANI!D28*B751))*VERI_TABANI!$B$8) + IF(ABS(IF(ISNUMBER(SEARCH("Var", D751)), 1, IF(ISNUMBER(SEARCH("Gri", D751)), -1, 0)))=1, VERI_TABANI!E28*(1-0.928)*VERI_TABANI!$B$9, 0) + (VERI_TABANI!D28*B751*(VERI_TABANI!$B$13-VERI_TABANI!$B$14)*VERI_TABANI!G28) + (VERI_TABANI!D28*C751*(VERI_TABANI!$B$13-VERI_TABANI!$B$15)*VERI_TABANI!G28) + IF(ABS(IF(ISNUMBER(SEARCH("Var", D751)), 1, IF(ISNUMBER(SEARCH("Gri", D751)), -1, 0)))=1, VERI_TABANI!E28*(1-0.928)*0.00206091519919798*VERI_TABANI!G28, 0)))</f>
        <v/>
      </c>
      <c r="H751" s="169">
        <f>(((VERI_TABANI!D23*B751*(VERI_TABANI!$B$13-VERI_TABANI!$B$14)) + (VERI_TABANI!D23*C751*(VERI_TABANI!$B$13-VERI_TABANI!$B$15)) + IF(ISNUMBER(SEARCH("Var", D751)), VERI_TABANI!F23*(0.00202-VERI_TABANI!$B$16), IF(ISNUMBER(SEARCH("Gri", D751)), VERI_TABANI!F23*(0.00202-VERI_TABANI!$B$17), 0))) + ((VERI_TABANI!D24*B751*(VERI_TABANI!$B$13-VERI_TABANI!$B$14)) + (VERI_TABANI!D24*C751*(VERI_TABANI!$B$13-VERI_TABANI!$B$15)) + IF(ISNUMBER(SEARCH("Var", D751)), VERI_TABANI!F24*(0.00202-VERI_TABANI!$B$16), IF(ISNUMBER(SEARCH("Gri", D751)), VERI_TABANI!F24*(0.00202-VERI_TABANI!$B$17), 0))) + ((VERI_TABANI!D25*B751*(VERI_TABANI!$B$13-VERI_TABANI!$B$14)) + (VERI_TABANI!D25*C751*(VERI_TABANI!$B$13-VERI_TABANI!$B$15)) + IF(ISNUMBER(SEARCH("Var", D751)), VERI_TABANI!F25*(0.00202-VERI_TABANI!$B$16), IF(ISNUMBER(SEARCH("Gri", D751)), VERI_TABANI!F25*(0.00202-VERI_TABANI!$B$17), 0))) + ((VERI_TABANI!D26*B751*(VERI_TABANI!$B$13-VERI_TABANI!$B$14)) + (VERI_TABANI!D26*C751*(VERI_TABANI!$B$13-VERI_TABANI!$B$15)) + IF(ISNUMBER(SEARCH("Var", D751)), VERI_TABANI!F26*(0.00202-VERI_TABANI!$B$16), IF(ISNUMBER(SEARCH("Gri", D751)), VERI_TABANI!F26*(0.00202-VERI_TABANI!$B$17), 0))) + ((VERI_TABANI!D27*B751*(VERI_TABANI!$B$13-VERI_TABANI!$B$14)) + (VERI_TABANI!D27*C751*(VERI_TABANI!$B$13-VERI_TABANI!$B$15)) + IF(ISNUMBER(SEARCH("Var", D751)), VERI_TABANI!F27*(0.00202-VERI_TABANI!$B$16), IF(ISNUMBER(SEARCH("Gri", D751)), VERI_TABANI!F27*(0.00202-VERI_TABANI!$B$17), 0))) + ((VERI_TABANI!D28*B751*(VERI_TABANI!$B$13-VERI_TABANI!$B$14)) + (VERI_TABANI!D28*C751*(VERI_TABANI!$B$13-VERI_TABANI!$B$15)) + IF(ISNUMBER(SEARCH("Var", D751)), VERI_TABANI!F28*(0.00202-VERI_TABANI!$B$16), IF(ISNUMBER(SEARCH("Gri", D751)), VERI_TABANI!F28*(0.00202-VERI_TABANI!$B$17), 0))))</f>
        <v/>
      </c>
      <c r="I751" s="170">
        <f>IFERROR(((VERI_TABANI!$D$29*B751*VERI_TABANI!$B$14 + VERI_TABANI!$D$29*C751*VERI_TABANI!$B$15 + IF(ISNUMBER(SEARCH("Var", D751)), VERI_TABANI!$F$29*VERI_TABANI!$B$16, 0))) / (((VERI_TABANI!$D$29*B751 + VERI_TABANI!$D$29*C751)*VERI_TABANI!$B$13 + IF(ISNUMBER(SEARCH("Var", D751)), VERI_TABANI!$E$29*(1-0.928)*VERI_TABANI!$B$18, 0))), 0)</f>
        <v/>
      </c>
      <c r="J751" s="171">
        <f>IFERROR(F751/(G751/29), 0)</f>
        <v/>
      </c>
      <c r="K751" s="172">
        <f>IF(F751&gt;0, H751/F751, 0)</f>
        <v/>
      </c>
      <c r="L751" s="170">
        <f>IF(F751&gt;0, I751, 1000000000)</f>
        <v/>
      </c>
      <c r="M751" s="171">
        <f>ABS((B751+C751)-1)</f>
        <v/>
      </c>
      <c r="N751" s="170">
        <f>IF(F751&gt;0, (G751/29)/F751, 0)</f>
        <v/>
      </c>
      <c r="O751" s="168">
        <f>IF(AND((B751+C751)&gt;=1, ISNUMBER(SEARCH("Var", D751))), F751, 1000000000)</f>
        <v/>
      </c>
      <c r="P751" s="172">
        <f>IF(F751&gt;0, SQRT((F751/MAX(F$5:F$886))^2 + (1 - H751/MAX(H$5:H$886))^2 + (J751/MAX(J$5:J$886))^2), 1000000000)</f>
        <v/>
      </c>
      <c r="Q751" s="166">
        <f>IF(AND(ABS(B751-0.5)&lt;0.01, ABS(C751-0.5)&lt;0.01, ISNUMBER(SEARCH("Var", D751))), 1, 0)</f>
        <v/>
      </c>
      <c r="R751" s="171">
        <f>IF(F751&gt;0, J751, 1000000000)</f>
        <v/>
      </c>
      <c r="S751" s="101">
        <f>IF(AND(F751&lt;=DASHBOARD!$B$11, H751&gt;=DASHBOARD!$B$13), G751, -1000000000000)</f>
        <v/>
      </c>
      <c r="T751" s="101">
        <f>IF(AND(F751&lt;=DASHBOARD!$B$11, H751&gt;=DASHBOARD!$B$13), R751, 1000000000000)</f>
        <v/>
      </c>
      <c r="U751" s="101">
        <f>IF(AND(F751&lt;=DASHBOARD!$B$11, H751&gt;=DASHBOARD!$B$13), N751, -1000000000000)</f>
        <v/>
      </c>
      <c r="V751" s="101">
        <f>IF(AND(F751&lt;=DASHBOARD!$B$11, H751&gt;=DASHBOARD!$B$13), H751, -1000000000000)</f>
        <v/>
      </c>
      <c r="W751" s="101">
        <f>IF(AND(F751&lt;=DASHBOARD!$B$11, H751&gt;=DASHBOARD!$B$13), K751, -1000000000000)</f>
        <v/>
      </c>
      <c r="X751" s="101">
        <f>IF(AND(F751&lt;=DASHBOARD!$B$11, H751&gt;=DASHBOARD!$B$13), M751, 1000000000000)</f>
        <v/>
      </c>
      <c r="Y751" s="101">
        <f>IF(AND(F751&lt;=DASHBOARD!$B$10, H751&gt;=DASHBOARD!$B$11), L751, 1000000000000)</f>
        <v/>
      </c>
      <c r="Z751" s="101">
        <f>IF(AND(F751&lt;=DASHBOARD!$B$10, H751&gt;=DASHBOARD!$B$11), O751, 1000000000000)</f>
        <v/>
      </c>
      <c r="AA751" s="101">
        <f>IF(AND(F751&lt;=DASHBOARD!$B$10, H751&gt;=DASHBOARD!$B$11), P751, 1000000000000)</f>
        <v/>
      </c>
      <c r="AB751" s="101">
        <f>IF(AND(F751&lt;=DASHBOARD!$B$10, H751&gt;=DASHBOARD!$B$11), Q751, -1000000000000)</f>
        <v/>
      </c>
    </row>
    <row r="752" ht="15" customHeight="1" s="102">
      <c r="A752" s="166" t="n">
        <v>748</v>
      </c>
      <c r="B752" s="167" t="n">
        <v>1.7</v>
      </c>
      <c r="C752" s="167" t="n">
        <v>1.6</v>
      </c>
      <c r="D752" s="110" t="inlineStr">
        <is>
          <t>Var (%20)</t>
        </is>
      </c>
      <c r="E752" s="110">
        <f>IF((B752+C752)&lt;=1, "Tam Mahsuplaşma (≤%100)", "Kısmi Satış (&gt;%100)")</f>
        <v/>
      </c>
      <c r="F752" s="168">
        <f>((VERI_TABANI!$D$29*B752/VERI_TABANI!$B$29)/VERI_TABANI!$B$3)*VERI_TABANI!$B$5 + ((VERI_TABANI!$D$29*C752/VERI_TABANI!$B$29)/VERI_TABANI!$B$4)*VERI_TABANI!$B$6 + IF(ISNUMBER(SEARCH("Var", D752)), (VERI_TABANI!$F$29/VERI_TABANI!$B$29)*(VERI_TABANI!$B$10+VERI_TABANI!$B$12), 0)</f>
        <v/>
      </c>
      <c r="G752" s="168">
        <f>(((MIN(VERI_TABANI!D23, VERI_TABANI!D23*B752)*VERI_TABANI!$B$7 + MAX(0, VERI_TABANI!D23*B752-VERI_TABANI!D23)*VERI_TABANI!$B$8) + (MIN(MAX(0, VERI_TABANI!D23-VERI_TABANI!D23*B752), VERI_TABANI!D23*C752)*VERI_TABANI!$B$7 + MAX(0, VERI_TABANI!D23*C752-MAX(0, VERI_TABANI!D23-VERI_TABANI!D23*B752))*VERI_TABANI!$B$8) + IF(ABS(IF(ISNUMBER(SEARCH("Var", D752)), 1, IF(ISNUMBER(SEARCH("Gri", D752)), -1, 0)))=1, VERI_TABANI!E23*(1-0.928)*VERI_TABANI!$B$9, 0) + (VERI_TABANI!D23*B752*(VERI_TABANI!$B$13-VERI_TABANI!$B$14)*VERI_TABANI!G23) + (VERI_TABANI!D23*C752*(VERI_TABANI!$B$13-VERI_TABANI!$B$15)*VERI_TABANI!G23) + IF(ABS(IF(ISNUMBER(SEARCH("Var", D752)), 1, IF(ISNUMBER(SEARCH("Gri", D752)), -1, 0)))=1, VERI_TABANI!E23*(1-0.928)*0.00206091519919798*VERI_TABANI!G23, 0)) + ((MIN(VERI_TABANI!D24, VERI_TABANI!D24*B752)*VERI_TABANI!$B$7 + MAX(0, VERI_TABANI!D24*B752-VERI_TABANI!D24)*VERI_TABANI!$B$8) + (MIN(MAX(0, VERI_TABANI!D24-VERI_TABANI!D24*B752), VERI_TABANI!D24*C752)*VERI_TABANI!$B$7 + MAX(0, VERI_TABANI!D24*C752-MAX(0, VERI_TABANI!D24-VERI_TABANI!D24*B752))*VERI_TABANI!$B$8) + IF(ABS(IF(ISNUMBER(SEARCH("Var", D752)), 1, IF(ISNUMBER(SEARCH("Gri", D752)), -1, 0)))=1, VERI_TABANI!E24*(1-0.928)*VERI_TABANI!$B$9, 0) + (VERI_TABANI!D24*B752*(VERI_TABANI!$B$13-VERI_TABANI!$B$14)*VERI_TABANI!G24) + (VERI_TABANI!D24*C752*(VERI_TABANI!$B$13-VERI_TABANI!$B$15)*VERI_TABANI!G24) + IF(ABS(IF(ISNUMBER(SEARCH("Var", D752)), 1, IF(ISNUMBER(SEARCH("Gri", D752)), -1, 0)))=1, VERI_TABANI!E24*(1-0.928)*0.00206091519919798*VERI_TABANI!G24, 0)) + ((MIN(VERI_TABANI!D25, VERI_TABANI!D25*B752)*VERI_TABANI!$B$7 + MAX(0, VERI_TABANI!D25*B752-VERI_TABANI!D25)*VERI_TABANI!$B$8) + (MIN(MAX(0, VERI_TABANI!D25-VERI_TABANI!D25*B752), VERI_TABANI!D25*C752)*VERI_TABANI!$B$7 + MAX(0, VERI_TABANI!D25*C752-MAX(0, VERI_TABANI!D25-VERI_TABANI!D25*B752))*VERI_TABANI!$B$8) + IF(ABS(IF(ISNUMBER(SEARCH("Var", D752)), 1, IF(ISNUMBER(SEARCH("Gri", D752)), -1, 0)))=1, VERI_TABANI!E25*(1-0.928)*VERI_TABANI!$B$9, 0) + (VERI_TABANI!D25*B752*(VERI_TABANI!$B$13-VERI_TABANI!$B$14)*VERI_TABANI!G25) + (VERI_TABANI!D25*C752*(VERI_TABANI!$B$13-VERI_TABANI!$B$15)*VERI_TABANI!G25) + IF(ABS(IF(ISNUMBER(SEARCH("Var", D752)), 1, IF(ISNUMBER(SEARCH("Gri", D752)), -1, 0)))=1, VERI_TABANI!E25*(1-0.928)*0.00206091519919798*VERI_TABANI!G25, 0)) + ((MIN(VERI_TABANI!D26, VERI_TABANI!D26*B752)*VERI_TABANI!$B$7 + MAX(0, VERI_TABANI!D26*B752-VERI_TABANI!D26)*VERI_TABANI!$B$8) + (MIN(MAX(0, VERI_TABANI!D26-VERI_TABANI!D26*B752), VERI_TABANI!D26*C752)*VERI_TABANI!$B$7 + MAX(0, VERI_TABANI!D26*C752-MAX(0, VERI_TABANI!D26-VERI_TABANI!D26*B752))*VERI_TABANI!$B$8) + IF(ABS(IF(ISNUMBER(SEARCH("Var", D752)), 1, IF(ISNUMBER(SEARCH("Gri", D752)), -1, 0)))=1, VERI_TABANI!E26*(1-0.928)*VERI_TABANI!$B$9, 0) + (VERI_TABANI!D26*B752*(VERI_TABANI!$B$13-VERI_TABANI!$B$14)*VERI_TABANI!G26) + (VERI_TABANI!D26*C752*(VERI_TABANI!$B$13-VERI_TABANI!$B$15)*VERI_TABANI!G26) + IF(ABS(IF(ISNUMBER(SEARCH("Var", D752)), 1, IF(ISNUMBER(SEARCH("Gri", D752)), -1, 0)))=1, VERI_TABANI!E26*(1-0.928)*0.00206091519919798*VERI_TABANI!G26, 0)) + ((MIN(VERI_TABANI!D27, VERI_TABANI!D27*B752)*VERI_TABANI!$B$7 + MAX(0, VERI_TABANI!D27*B752-VERI_TABANI!D27)*VERI_TABANI!$B$8) + (MIN(MAX(0, VERI_TABANI!D27-VERI_TABANI!D27*B752), VERI_TABANI!D27*C752)*VERI_TABANI!$B$7 + MAX(0, VERI_TABANI!D27*C752-MAX(0, VERI_TABANI!D27-VERI_TABANI!D27*B752))*VERI_TABANI!$B$8) + IF(ABS(IF(ISNUMBER(SEARCH("Var", D752)), 1, IF(ISNUMBER(SEARCH("Gri", D752)), -1, 0)))=1, VERI_TABANI!E27*(1-0.928)*VERI_TABANI!$B$9, 0) + (VERI_TABANI!D27*B752*(VERI_TABANI!$B$13-VERI_TABANI!$B$14)*VERI_TABANI!G27) + (VERI_TABANI!D27*C752*(VERI_TABANI!$B$13-VERI_TABANI!$B$15)*VERI_TABANI!G27) + IF(ABS(IF(ISNUMBER(SEARCH("Var", D752)), 1, IF(ISNUMBER(SEARCH("Gri", D752)), -1, 0)))=1, VERI_TABANI!E27*(1-0.928)*0.00206091519919798*VERI_TABANI!G27, 0)) + ((MIN(VERI_TABANI!D28, VERI_TABANI!D28*B752)*VERI_TABANI!$B$7 + MAX(0, VERI_TABANI!D28*B752-VERI_TABANI!D28)*VERI_TABANI!$B$8) + (MIN(MAX(0, VERI_TABANI!D28-VERI_TABANI!D28*B752), VERI_TABANI!D28*C752)*VERI_TABANI!$B$7 + MAX(0, VERI_TABANI!D28*C752-MAX(0, VERI_TABANI!D28-VERI_TABANI!D28*B752))*VERI_TABANI!$B$8) + IF(ABS(IF(ISNUMBER(SEARCH("Var", D752)), 1, IF(ISNUMBER(SEARCH("Gri", D752)), -1, 0)))=1, VERI_TABANI!E28*(1-0.928)*VERI_TABANI!$B$9, 0) + (VERI_TABANI!D28*B752*(VERI_TABANI!$B$13-VERI_TABANI!$B$14)*VERI_TABANI!G28) + (VERI_TABANI!D28*C752*(VERI_TABANI!$B$13-VERI_TABANI!$B$15)*VERI_TABANI!G28) + IF(ABS(IF(ISNUMBER(SEARCH("Var", D752)), 1, IF(ISNUMBER(SEARCH("Gri", D752)), -1, 0)))=1, VERI_TABANI!E28*(1-0.928)*0.00206091519919798*VERI_TABANI!G28, 0)))</f>
        <v/>
      </c>
      <c r="H752" s="169">
        <f>(((VERI_TABANI!D23*B752*(VERI_TABANI!$B$13-VERI_TABANI!$B$14)) + (VERI_TABANI!D23*C752*(VERI_TABANI!$B$13-VERI_TABANI!$B$15)) + IF(ISNUMBER(SEARCH("Var", D752)), VERI_TABANI!F23*(0.00202-VERI_TABANI!$B$16), IF(ISNUMBER(SEARCH("Gri", D752)), VERI_TABANI!F23*(0.00202-VERI_TABANI!$B$17), 0))) + ((VERI_TABANI!D24*B752*(VERI_TABANI!$B$13-VERI_TABANI!$B$14)) + (VERI_TABANI!D24*C752*(VERI_TABANI!$B$13-VERI_TABANI!$B$15)) + IF(ISNUMBER(SEARCH("Var", D752)), VERI_TABANI!F24*(0.00202-VERI_TABANI!$B$16), IF(ISNUMBER(SEARCH("Gri", D752)), VERI_TABANI!F24*(0.00202-VERI_TABANI!$B$17), 0))) + ((VERI_TABANI!D25*B752*(VERI_TABANI!$B$13-VERI_TABANI!$B$14)) + (VERI_TABANI!D25*C752*(VERI_TABANI!$B$13-VERI_TABANI!$B$15)) + IF(ISNUMBER(SEARCH("Var", D752)), VERI_TABANI!F25*(0.00202-VERI_TABANI!$B$16), IF(ISNUMBER(SEARCH("Gri", D752)), VERI_TABANI!F25*(0.00202-VERI_TABANI!$B$17), 0))) + ((VERI_TABANI!D26*B752*(VERI_TABANI!$B$13-VERI_TABANI!$B$14)) + (VERI_TABANI!D26*C752*(VERI_TABANI!$B$13-VERI_TABANI!$B$15)) + IF(ISNUMBER(SEARCH("Var", D752)), VERI_TABANI!F26*(0.00202-VERI_TABANI!$B$16), IF(ISNUMBER(SEARCH("Gri", D752)), VERI_TABANI!F26*(0.00202-VERI_TABANI!$B$17), 0))) + ((VERI_TABANI!D27*B752*(VERI_TABANI!$B$13-VERI_TABANI!$B$14)) + (VERI_TABANI!D27*C752*(VERI_TABANI!$B$13-VERI_TABANI!$B$15)) + IF(ISNUMBER(SEARCH("Var", D752)), VERI_TABANI!F27*(0.00202-VERI_TABANI!$B$16), IF(ISNUMBER(SEARCH("Gri", D752)), VERI_TABANI!F27*(0.00202-VERI_TABANI!$B$17), 0))) + ((VERI_TABANI!D28*B752*(VERI_TABANI!$B$13-VERI_TABANI!$B$14)) + (VERI_TABANI!D28*C752*(VERI_TABANI!$B$13-VERI_TABANI!$B$15)) + IF(ISNUMBER(SEARCH("Var", D752)), VERI_TABANI!F28*(0.00202-VERI_TABANI!$B$16), IF(ISNUMBER(SEARCH("Gri", D752)), VERI_TABANI!F28*(0.00202-VERI_TABANI!$B$17), 0))))</f>
        <v/>
      </c>
      <c r="I752" s="170">
        <f>IFERROR(((VERI_TABANI!$D$29*B752*VERI_TABANI!$B$14 + VERI_TABANI!$D$29*C752*VERI_TABANI!$B$15 + IF(ISNUMBER(SEARCH("Var", D752)), VERI_TABANI!$F$29*VERI_TABANI!$B$16, 0))) / (((VERI_TABANI!$D$29*B752 + VERI_TABANI!$D$29*C752)*VERI_TABANI!$B$13 + IF(ISNUMBER(SEARCH("Var", D752)), VERI_TABANI!$E$29*(1-0.928)*VERI_TABANI!$B$18, 0))), 0)</f>
        <v/>
      </c>
      <c r="J752" s="171">
        <f>IFERROR(F752/(G752/29), 0)</f>
        <v/>
      </c>
      <c r="K752" s="172">
        <f>IF(F752&gt;0, H752/F752, 0)</f>
        <v/>
      </c>
      <c r="L752" s="170">
        <f>IF(F752&gt;0, I752, 1000000000)</f>
        <v/>
      </c>
      <c r="M752" s="171">
        <f>ABS((B752+C752)-1)</f>
        <v/>
      </c>
      <c r="N752" s="170">
        <f>IF(F752&gt;0, (G752/29)/F752, 0)</f>
        <v/>
      </c>
      <c r="O752" s="168">
        <f>IF(AND((B752+C752)&gt;=1, ISNUMBER(SEARCH("Var", D752))), F752, 1000000000)</f>
        <v/>
      </c>
      <c r="P752" s="172">
        <f>IF(F752&gt;0, SQRT((F752/MAX(F$5:F$886))^2 + (1 - H752/MAX(H$5:H$886))^2 + (J752/MAX(J$5:J$886))^2), 1000000000)</f>
        <v/>
      </c>
      <c r="Q752" s="166">
        <f>IF(AND(ABS(B752-0.5)&lt;0.01, ABS(C752-0.5)&lt;0.01, ISNUMBER(SEARCH("Var", D752))), 1, 0)</f>
        <v/>
      </c>
      <c r="R752" s="171">
        <f>IF(F752&gt;0, J752, 1000000000)</f>
        <v/>
      </c>
      <c r="S752" s="101">
        <f>IF(AND(F752&lt;=DASHBOARD!$B$11, H752&gt;=DASHBOARD!$B$13), G752, -1000000000000)</f>
        <v/>
      </c>
      <c r="T752" s="101">
        <f>IF(AND(F752&lt;=DASHBOARD!$B$11, H752&gt;=DASHBOARD!$B$13), R752, 1000000000000)</f>
        <v/>
      </c>
      <c r="U752" s="101">
        <f>IF(AND(F752&lt;=DASHBOARD!$B$11, H752&gt;=DASHBOARD!$B$13), N752, -1000000000000)</f>
        <v/>
      </c>
      <c r="V752" s="101">
        <f>IF(AND(F752&lt;=DASHBOARD!$B$11, H752&gt;=DASHBOARD!$B$13), H752, -1000000000000)</f>
        <v/>
      </c>
      <c r="W752" s="101">
        <f>IF(AND(F752&lt;=DASHBOARD!$B$11, H752&gt;=DASHBOARD!$B$13), K752, -1000000000000)</f>
        <v/>
      </c>
      <c r="X752" s="101">
        <f>IF(AND(F752&lt;=DASHBOARD!$B$11, H752&gt;=DASHBOARD!$B$13), M752, 1000000000000)</f>
        <v/>
      </c>
      <c r="Y752" s="101">
        <f>IF(AND(F752&lt;=DASHBOARD!$B$10, H752&gt;=DASHBOARD!$B$11), L752, 1000000000000)</f>
        <v/>
      </c>
      <c r="Z752" s="101">
        <f>IF(AND(F752&lt;=DASHBOARD!$B$10, H752&gt;=DASHBOARD!$B$11), O752, 1000000000000)</f>
        <v/>
      </c>
      <c r="AA752" s="101">
        <f>IF(AND(F752&lt;=DASHBOARD!$B$10, H752&gt;=DASHBOARD!$B$11), P752, 1000000000000)</f>
        <v/>
      </c>
      <c r="AB752" s="101">
        <f>IF(AND(F752&lt;=DASHBOARD!$B$10, H752&gt;=DASHBOARD!$B$11), Q752, -1000000000000)</f>
        <v/>
      </c>
    </row>
    <row r="753" ht="15" customHeight="1" s="102">
      <c r="A753" s="166" t="n">
        <v>749</v>
      </c>
      <c r="B753" s="167" t="n">
        <v>1.7</v>
      </c>
      <c r="C753" s="167" t="n">
        <v>1.7</v>
      </c>
      <c r="D753" s="110" t="inlineStr">
        <is>
          <t>Yok (%0)</t>
        </is>
      </c>
      <c r="E753" s="110">
        <f>IF((B753+C753)&lt;=1, "Tam Mahsuplaşma (≤%100)", "Kısmi Satış (&gt;%100)")</f>
        <v/>
      </c>
      <c r="F753" s="168">
        <f>((VERI_TABANI!$D$29*B753/VERI_TABANI!$B$29)/VERI_TABANI!$B$3)*VERI_TABANI!$B$5 + ((VERI_TABANI!$D$29*C753/VERI_TABANI!$B$29)/VERI_TABANI!$B$4)*VERI_TABANI!$B$6 + IF(ISNUMBER(SEARCH("Var", D753)), (VERI_TABANI!$F$29/VERI_TABANI!$B$29)*(VERI_TABANI!$B$10+VERI_TABANI!$B$12), 0)</f>
        <v/>
      </c>
      <c r="G753" s="168">
        <f>(((MIN(VERI_TABANI!D23, VERI_TABANI!D23*B753)*VERI_TABANI!$B$7 + MAX(0, VERI_TABANI!D23*B753-VERI_TABANI!D23)*VERI_TABANI!$B$8) + (MIN(MAX(0, VERI_TABANI!D23-VERI_TABANI!D23*B753), VERI_TABANI!D23*C753)*VERI_TABANI!$B$7 + MAX(0, VERI_TABANI!D23*C753-MAX(0, VERI_TABANI!D23-VERI_TABANI!D23*B753))*VERI_TABANI!$B$8) + IF(ABS(IF(ISNUMBER(SEARCH("Var", D753)), 1, IF(ISNUMBER(SEARCH("Gri", D753)), -1, 0)))=1, VERI_TABANI!E23*(1-0.928)*VERI_TABANI!$B$9, 0) + (VERI_TABANI!D23*B753*(VERI_TABANI!$B$13-VERI_TABANI!$B$14)*VERI_TABANI!G23) + (VERI_TABANI!D23*C753*(VERI_TABANI!$B$13-VERI_TABANI!$B$15)*VERI_TABANI!G23) + IF(ABS(IF(ISNUMBER(SEARCH("Var", D753)), 1, IF(ISNUMBER(SEARCH("Gri", D753)), -1, 0)))=1, VERI_TABANI!E23*(1-0.928)*0.00206091519919798*VERI_TABANI!G23, 0)) + ((MIN(VERI_TABANI!D24, VERI_TABANI!D24*B753)*VERI_TABANI!$B$7 + MAX(0, VERI_TABANI!D24*B753-VERI_TABANI!D24)*VERI_TABANI!$B$8) + (MIN(MAX(0, VERI_TABANI!D24-VERI_TABANI!D24*B753), VERI_TABANI!D24*C753)*VERI_TABANI!$B$7 + MAX(0, VERI_TABANI!D24*C753-MAX(0, VERI_TABANI!D24-VERI_TABANI!D24*B753))*VERI_TABANI!$B$8) + IF(ABS(IF(ISNUMBER(SEARCH("Var", D753)), 1, IF(ISNUMBER(SEARCH("Gri", D753)), -1, 0)))=1, VERI_TABANI!E24*(1-0.928)*VERI_TABANI!$B$9, 0) + (VERI_TABANI!D24*B753*(VERI_TABANI!$B$13-VERI_TABANI!$B$14)*VERI_TABANI!G24) + (VERI_TABANI!D24*C753*(VERI_TABANI!$B$13-VERI_TABANI!$B$15)*VERI_TABANI!G24) + IF(ABS(IF(ISNUMBER(SEARCH("Var", D753)), 1, IF(ISNUMBER(SEARCH("Gri", D753)), -1, 0)))=1, VERI_TABANI!E24*(1-0.928)*0.00206091519919798*VERI_TABANI!G24, 0)) + ((MIN(VERI_TABANI!D25, VERI_TABANI!D25*B753)*VERI_TABANI!$B$7 + MAX(0, VERI_TABANI!D25*B753-VERI_TABANI!D25)*VERI_TABANI!$B$8) + (MIN(MAX(0, VERI_TABANI!D25-VERI_TABANI!D25*B753), VERI_TABANI!D25*C753)*VERI_TABANI!$B$7 + MAX(0, VERI_TABANI!D25*C753-MAX(0, VERI_TABANI!D25-VERI_TABANI!D25*B753))*VERI_TABANI!$B$8) + IF(ABS(IF(ISNUMBER(SEARCH("Var", D753)), 1, IF(ISNUMBER(SEARCH("Gri", D753)), -1, 0)))=1, VERI_TABANI!E25*(1-0.928)*VERI_TABANI!$B$9, 0) + (VERI_TABANI!D25*B753*(VERI_TABANI!$B$13-VERI_TABANI!$B$14)*VERI_TABANI!G25) + (VERI_TABANI!D25*C753*(VERI_TABANI!$B$13-VERI_TABANI!$B$15)*VERI_TABANI!G25) + IF(ABS(IF(ISNUMBER(SEARCH("Var", D753)), 1, IF(ISNUMBER(SEARCH("Gri", D753)), -1, 0)))=1, VERI_TABANI!E25*(1-0.928)*0.00206091519919798*VERI_TABANI!G25, 0)) + ((MIN(VERI_TABANI!D26, VERI_TABANI!D26*B753)*VERI_TABANI!$B$7 + MAX(0, VERI_TABANI!D26*B753-VERI_TABANI!D26)*VERI_TABANI!$B$8) + (MIN(MAX(0, VERI_TABANI!D26-VERI_TABANI!D26*B753), VERI_TABANI!D26*C753)*VERI_TABANI!$B$7 + MAX(0, VERI_TABANI!D26*C753-MAX(0, VERI_TABANI!D26-VERI_TABANI!D26*B753))*VERI_TABANI!$B$8) + IF(ABS(IF(ISNUMBER(SEARCH("Var", D753)), 1, IF(ISNUMBER(SEARCH("Gri", D753)), -1, 0)))=1, VERI_TABANI!E26*(1-0.928)*VERI_TABANI!$B$9, 0) + (VERI_TABANI!D26*B753*(VERI_TABANI!$B$13-VERI_TABANI!$B$14)*VERI_TABANI!G26) + (VERI_TABANI!D26*C753*(VERI_TABANI!$B$13-VERI_TABANI!$B$15)*VERI_TABANI!G26) + IF(ABS(IF(ISNUMBER(SEARCH("Var", D753)), 1, IF(ISNUMBER(SEARCH("Gri", D753)), -1, 0)))=1, VERI_TABANI!E26*(1-0.928)*0.00206091519919798*VERI_TABANI!G26, 0)) + ((MIN(VERI_TABANI!D27, VERI_TABANI!D27*B753)*VERI_TABANI!$B$7 + MAX(0, VERI_TABANI!D27*B753-VERI_TABANI!D27)*VERI_TABANI!$B$8) + (MIN(MAX(0, VERI_TABANI!D27-VERI_TABANI!D27*B753), VERI_TABANI!D27*C753)*VERI_TABANI!$B$7 + MAX(0, VERI_TABANI!D27*C753-MAX(0, VERI_TABANI!D27-VERI_TABANI!D27*B753))*VERI_TABANI!$B$8) + IF(ABS(IF(ISNUMBER(SEARCH("Var", D753)), 1, IF(ISNUMBER(SEARCH("Gri", D753)), -1, 0)))=1, VERI_TABANI!E27*(1-0.928)*VERI_TABANI!$B$9, 0) + (VERI_TABANI!D27*B753*(VERI_TABANI!$B$13-VERI_TABANI!$B$14)*VERI_TABANI!G27) + (VERI_TABANI!D27*C753*(VERI_TABANI!$B$13-VERI_TABANI!$B$15)*VERI_TABANI!G27) + IF(ABS(IF(ISNUMBER(SEARCH("Var", D753)), 1, IF(ISNUMBER(SEARCH("Gri", D753)), -1, 0)))=1, VERI_TABANI!E27*(1-0.928)*0.00206091519919798*VERI_TABANI!G27, 0)) + ((MIN(VERI_TABANI!D28, VERI_TABANI!D28*B753)*VERI_TABANI!$B$7 + MAX(0, VERI_TABANI!D28*B753-VERI_TABANI!D28)*VERI_TABANI!$B$8) + (MIN(MAX(0, VERI_TABANI!D28-VERI_TABANI!D28*B753), VERI_TABANI!D28*C753)*VERI_TABANI!$B$7 + MAX(0, VERI_TABANI!D28*C753-MAX(0, VERI_TABANI!D28-VERI_TABANI!D28*B753))*VERI_TABANI!$B$8) + IF(ABS(IF(ISNUMBER(SEARCH("Var", D753)), 1, IF(ISNUMBER(SEARCH("Gri", D753)), -1, 0)))=1, VERI_TABANI!E28*(1-0.928)*VERI_TABANI!$B$9, 0) + (VERI_TABANI!D28*B753*(VERI_TABANI!$B$13-VERI_TABANI!$B$14)*VERI_TABANI!G28) + (VERI_TABANI!D28*C753*(VERI_TABANI!$B$13-VERI_TABANI!$B$15)*VERI_TABANI!G28) + IF(ABS(IF(ISNUMBER(SEARCH("Var", D753)), 1, IF(ISNUMBER(SEARCH("Gri", D753)), -1, 0)))=1, VERI_TABANI!E28*(1-0.928)*0.00206091519919798*VERI_TABANI!G28, 0)))</f>
        <v/>
      </c>
      <c r="H753" s="169">
        <f>(((VERI_TABANI!D23*B753*(VERI_TABANI!$B$13-VERI_TABANI!$B$14)) + (VERI_TABANI!D23*C753*(VERI_TABANI!$B$13-VERI_TABANI!$B$15)) + IF(ISNUMBER(SEARCH("Var", D753)), VERI_TABANI!F23*(0.00202-VERI_TABANI!$B$16), IF(ISNUMBER(SEARCH("Gri", D753)), VERI_TABANI!F23*(0.00202-VERI_TABANI!$B$17), 0))) + ((VERI_TABANI!D24*B753*(VERI_TABANI!$B$13-VERI_TABANI!$B$14)) + (VERI_TABANI!D24*C753*(VERI_TABANI!$B$13-VERI_TABANI!$B$15)) + IF(ISNUMBER(SEARCH("Var", D753)), VERI_TABANI!F24*(0.00202-VERI_TABANI!$B$16), IF(ISNUMBER(SEARCH("Gri", D753)), VERI_TABANI!F24*(0.00202-VERI_TABANI!$B$17), 0))) + ((VERI_TABANI!D25*B753*(VERI_TABANI!$B$13-VERI_TABANI!$B$14)) + (VERI_TABANI!D25*C753*(VERI_TABANI!$B$13-VERI_TABANI!$B$15)) + IF(ISNUMBER(SEARCH("Var", D753)), VERI_TABANI!F25*(0.00202-VERI_TABANI!$B$16), IF(ISNUMBER(SEARCH("Gri", D753)), VERI_TABANI!F25*(0.00202-VERI_TABANI!$B$17), 0))) + ((VERI_TABANI!D26*B753*(VERI_TABANI!$B$13-VERI_TABANI!$B$14)) + (VERI_TABANI!D26*C753*(VERI_TABANI!$B$13-VERI_TABANI!$B$15)) + IF(ISNUMBER(SEARCH("Var", D753)), VERI_TABANI!F26*(0.00202-VERI_TABANI!$B$16), IF(ISNUMBER(SEARCH("Gri", D753)), VERI_TABANI!F26*(0.00202-VERI_TABANI!$B$17), 0))) + ((VERI_TABANI!D27*B753*(VERI_TABANI!$B$13-VERI_TABANI!$B$14)) + (VERI_TABANI!D27*C753*(VERI_TABANI!$B$13-VERI_TABANI!$B$15)) + IF(ISNUMBER(SEARCH("Var", D753)), VERI_TABANI!F27*(0.00202-VERI_TABANI!$B$16), IF(ISNUMBER(SEARCH("Gri", D753)), VERI_TABANI!F27*(0.00202-VERI_TABANI!$B$17), 0))) + ((VERI_TABANI!D28*B753*(VERI_TABANI!$B$13-VERI_TABANI!$B$14)) + (VERI_TABANI!D28*C753*(VERI_TABANI!$B$13-VERI_TABANI!$B$15)) + IF(ISNUMBER(SEARCH("Var", D753)), VERI_TABANI!F28*(0.00202-VERI_TABANI!$B$16), IF(ISNUMBER(SEARCH("Gri", D753)), VERI_TABANI!F28*(0.00202-VERI_TABANI!$B$17), 0))))</f>
        <v/>
      </c>
      <c r="I753" s="170">
        <f>IFERROR(((VERI_TABANI!$D$29*B753*VERI_TABANI!$B$14 + VERI_TABANI!$D$29*C753*VERI_TABANI!$B$15 + IF(ISNUMBER(SEARCH("Var", D753)), VERI_TABANI!$F$29*VERI_TABANI!$B$16, 0))) / (((VERI_TABANI!$D$29*B753 + VERI_TABANI!$D$29*C753)*VERI_TABANI!$B$13 + IF(ISNUMBER(SEARCH("Var", D753)), VERI_TABANI!$E$29*(1-0.928)*VERI_TABANI!$B$18, 0))), 0)</f>
        <v/>
      </c>
      <c r="J753" s="171">
        <f>IFERROR(F753/(G753/29), 0)</f>
        <v/>
      </c>
      <c r="K753" s="172">
        <f>IF(F753&gt;0, H753/F753, 0)</f>
        <v/>
      </c>
      <c r="L753" s="170">
        <f>IF(F753&gt;0, I753, 1000000000)</f>
        <v/>
      </c>
      <c r="M753" s="171">
        <f>ABS((B753+C753)-1)</f>
        <v/>
      </c>
      <c r="N753" s="170">
        <f>IF(F753&gt;0, (G753/29)/F753, 0)</f>
        <v/>
      </c>
      <c r="O753" s="168">
        <f>IF(AND((B753+C753)&gt;=1, ISNUMBER(SEARCH("Var", D753))), F753, 1000000000)</f>
        <v/>
      </c>
      <c r="P753" s="172">
        <f>IF(F753&gt;0, SQRT((F753/MAX(F$5:F$886))^2 + (1 - H753/MAX(H$5:H$886))^2 + (J753/MAX(J$5:J$886))^2), 1000000000)</f>
        <v/>
      </c>
      <c r="Q753" s="166">
        <f>IF(AND(ABS(B753-0.5)&lt;0.01, ABS(C753-0.5)&lt;0.01, ISNUMBER(SEARCH("Var", D753))), 1, 0)</f>
        <v/>
      </c>
      <c r="R753" s="171">
        <f>IF(F753&gt;0, J753, 1000000000)</f>
        <v/>
      </c>
      <c r="S753" s="101">
        <f>IF(AND(F753&lt;=DASHBOARD!$B$11, H753&gt;=DASHBOARD!$B$13), G753, -1000000000000)</f>
        <v/>
      </c>
      <c r="T753" s="101">
        <f>IF(AND(F753&lt;=DASHBOARD!$B$11, H753&gt;=DASHBOARD!$B$13), R753, 1000000000000)</f>
        <v/>
      </c>
      <c r="U753" s="101">
        <f>IF(AND(F753&lt;=DASHBOARD!$B$11, H753&gt;=DASHBOARD!$B$13), N753, -1000000000000)</f>
        <v/>
      </c>
      <c r="V753" s="101">
        <f>IF(AND(F753&lt;=DASHBOARD!$B$11, H753&gt;=DASHBOARD!$B$13), H753, -1000000000000)</f>
        <v/>
      </c>
      <c r="W753" s="101">
        <f>IF(AND(F753&lt;=DASHBOARD!$B$11, H753&gt;=DASHBOARD!$B$13), K753, -1000000000000)</f>
        <v/>
      </c>
      <c r="X753" s="101">
        <f>IF(AND(F753&lt;=DASHBOARD!$B$11, H753&gt;=DASHBOARD!$B$13), M753, 1000000000000)</f>
        <v/>
      </c>
      <c r="Y753" s="101">
        <f>IF(AND(F753&lt;=DASHBOARD!$B$10, H753&gt;=DASHBOARD!$B$11), L753, 1000000000000)</f>
        <v/>
      </c>
      <c r="Z753" s="101">
        <f>IF(AND(F753&lt;=DASHBOARD!$B$10, H753&gt;=DASHBOARD!$B$11), O753, 1000000000000)</f>
        <v/>
      </c>
      <c r="AA753" s="101">
        <f>IF(AND(F753&lt;=DASHBOARD!$B$10, H753&gt;=DASHBOARD!$B$11), P753, 1000000000000)</f>
        <v/>
      </c>
      <c r="AB753" s="101">
        <f>IF(AND(F753&lt;=DASHBOARD!$B$10, H753&gt;=DASHBOARD!$B$11), Q753, -1000000000000)</f>
        <v/>
      </c>
    </row>
    <row r="754" ht="15" customHeight="1" s="102">
      <c r="A754" s="166" t="n">
        <v>750</v>
      </c>
      <c r="B754" s="167" t="n">
        <v>1.7</v>
      </c>
      <c r="C754" s="167" t="n">
        <v>1.7</v>
      </c>
      <c r="D754" s="110" t="inlineStr">
        <is>
          <t>Var (%20)</t>
        </is>
      </c>
      <c r="E754" s="110">
        <f>IF((B754+C754)&lt;=1, "Tam Mahsuplaşma (≤%100)", "Kısmi Satış (&gt;%100)")</f>
        <v/>
      </c>
      <c r="F754" s="168">
        <f>((VERI_TABANI!$D$29*B754/VERI_TABANI!$B$29)/VERI_TABANI!$B$3)*VERI_TABANI!$B$5 + ((VERI_TABANI!$D$29*C754/VERI_TABANI!$B$29)/VERI_TABANI!$B$4)*VERI_TABANI!$B$6 + IF(ISNUMBER(SEARCH("Var", D754)), (VERI_TABANI!$F$29/VERI_TABANI!$B$29)*(VERI_TABANI!$B$10+VERI_TABANI!$B$12), 0)</f>
        <v/>
      </c>
      <c r="G754" s="168">
        <f>(((MIN(VERI_TABANI!D23, VERI_TABANI!D23*B754)*VERI_TABANI!$B$7 + MAX(0, VERI_TABANI!D23*B754-VERI_TABANI!D23)*VERI_TABANI!$B$8) + (MIN(MAX(0, VERI_TABANI!D23-VERI_TABANI!D23*B754), VERI_TABANI!D23*C754)*VERI_TABANI!$B$7 + MAX(0, VERI_TABANI!D23*C754-MAX(0, VERI_TABANI!D23-VERI_TABANI!D23*B754))*VERI_TABANI!$B$8) + IF(ABS(IF(ISNUMBER(SEARCH("Var", D754)), 1, IF(ISNUMBER(SEARCH("Gri", D754)), -1, 0)))=1, VERI_TABANI!E23*(1-0.928)*VERI_TABANI!$B$9, 0) + (VERI_TABANI!D23*B754*(VERI_TABANI!$B$13-VERI_TABANI!$B$14)*VERI_TABANI!G23) + (VERI_TABANI!D23*C754*(VERI_TABANI!$B$13-VERI_TABANI!$B$15)*VERI_TABANI!G23) + IF(ABS(IF(ISNUMBER(SEARCH("Var", D754)), 1, IF(ISNUMBER(SEARCH("Gri", D754)), -1, 0)))=1, VERI_TABANI!E23*(1-0.928)*0.00206091519919798*VERI_TABANI!G23, 0)) + ((MIN(VERI_TABANI!D24, VERI_TABANI!D24*B754)*VERI_TABANI!$B$7 + MAX(0, VERI_TABANI!D24*B754-VERI_TABANI!D24)*VERI_TABANI!$B$8) + (MIN(MAX(0, VERI_TABANI!D24-VERI_TABANI!D24*B754), VERI_TABANI!D24*C754)*VERI_TABANI!$B$7 + MAX(0, VERI_TABANI!D24*C754-MAX(0, VERI_TABANI!D24-VERI_TABANI!D24*B754))*VERI_TABANI!$B$8) + IF(ABS(IF(ISNUMBER(SEARCH("Var", D754)), 1, IF(ISNUMBER(SEARCH("Gri", D754)), -1, 0)))=1, VERI_TABANI!E24*(1-0.928)*VERI_TABANI!$B$9, 0) + (VERI_TABANI!D24*B754*(VERI_TABANI!$B$13-VERI_TABANI!$B$14)*VERI_TABANI!G24) + (VERI_TABANI!D24*C754*(VERI_TABANI!$B$13-VERI_TABANI!$B$15)*VERI_TABANI!G24) + IF(ABS(IF(ISNUMBER(SEARCH("Var", D754)), 1, IF(ISNUMBER(SEARCH("Gri", D754)), -1, 0)))=1, VERI_TABANI!E24*(1-0.928)*0.00206091519919798*VERI_TABANI!G24, 0)) + ((MIN(VERI_TABANI!D25, VERI_TABANI!D25*B754)*VERI_TABANI!$B$7 + MAX(0, VERI_TABANI!D25*B754-VERI_TABANI!D25)*VERI_TABANI!$B$8) + (MIN(MAX(0, VERI_TABANI!D25-VERI_TABANI!D25*B754), VERI_TABANI!D25*C754)*VERI_TABANI!$B$7 + MAX(0, VERI_TABANI!D25*C754-MAX(0, VERI_TABANI!D25-VERI_TABANI!D25*B754))*VERI_TABANI!$B$8) + IF(ABS(IF(ISNUMBER(SEARCH("Var", D754)), 1, IF(ISNUMBER(SEARCH("Gri", D754)), -1, 0)))=1, VERI_TABANI!E25*(1-0.928)*VERI_TABANI!$B$9, 0) + (VERI_TABANI!D25*B754*(VERI_TABANI!$B$13-VERI_TABANI!$B$14)*VERI_TABANI!G25) + (VERI_TABANI!D25*C754*(VERI_TABANI!$B$13-VERI_TABANI!$B$15)*VERI_TABANI!G25) + IF(ABS(IF(ISNUMBER(SEARCH("Var", D754)), 1, IF(ISNUMBER(SEARCH("Gri", D754)), -1, 0)))=1, VERI_TABANI!E25*(1-0.928)*0.00206091519919798*VERI_TABANI!G25, 0)) + ((MIN(VERI_TABANI!D26, VERI_TABANI!D26*B754)*VERI_TABANI!$B$7 + MAX(0, VERI_TABANI!D26*B754-VERI_TABANI!D26)*VERI_TABANI!$B$8) + (MIN(MAX(0, VERI_TABANI!D26-VERI_TABANI!D26*B754), VERI_TABANI!D26*C754)*VERI_TABANI!$B$7 + MAX(0, VERI_TABANI!D26*C754-MAX(0, VERI_TABANI!D26-VERI_TABANI!D26*B754))*VERI_TABANI!$B$8) + IF(ABS(IF(ISNUMBER(SEARCH("Var", D754)), 1, IF(ISNUMBER(SEARCH("Gri", D754)), -1, 0)))=1, VERI_TABANI!E26*(1-0.928)*VERI_TABANI!$B$9, 0) + (VERI_TABANI!D26*B754*(VERI_TABANI!$B$13-VERI_TABANI!$B$14)*VERI_TABANI!G26) + (VERI_TABANI!D26*C754*(VERI_TABANI!$B$13-VERI_TABANI!$B$15)*VERI_TABANI!G26) + IF(ABS(IF(ISNUMBER(SEARCH("Var", D754)), 1, IF(ISNUMBER(SEARCH("Gri", D754)), -1, 0)))=1, VERI_TABANI!E26*(1-0.928)*0.00206091519919798*VERI_TABANI!G26, 0)) + ((MIN(VERI_TABANI!D27, VERI_TABANI!D27*B754)*VERI_TABANI!$B$7 + MAX(0, VERI_TABANI!D27*B754-VERI_TABANI!D27)*VERI_TABANI!$B$8) + (MIN(MAX(0, VERI_TABANI!D27-VERI_TABANI!D27*B754), VERI_TABANI!D27*C754)*VERI_TABANI!$B$7 + MAX(0, VERI_TABANI!D27*C754-MAX(0, VERI_TABANI!D27-VERI_TABANI!D27*B754))*VERI_TABANI!$B$8) + IF(ABS(IF(ISNUMBER(SEARCH("Var", D754)), 1, IF(ISNUMBER(SEARCH("Gri", D754)), -1, 0)))=1, VERI_TABANI!E27*(1-0.928)*VERI_TABANI!$B$9, 0) + (VERI_TABANI!D27*B754*(VERI_TABANI!$B$13-VERI_TABANI!$B$14)*VERI_TABANI!G27) + (VERI_TABANI!D27*C754*(VERI_TABANI!$B$13-VERI_TABANI!$B$15)*VERI_TABANI!G27) + IF(ABS(IF(ISNUMBER(SEARCH("Var", D754)), 1, IF(ISNUMBER(SEARCH("Gri", D754)), -1, 0)))=1, VERI_TABANI!E27*(1-0.928)*0.00206091519919798*VERI_TABANI!G27, 0)) + ((MIN(VERI_TABANI!D28, VERI_TABANI!D28*B754)*VERI_TABANI!$B$7 + MAX(0, VERI_TABANI!D28*B754-VERI_TABANI!D28)*VERI_TABANI!$B$8) + (MIN(MAX(0, VERI_TABANI!D28-VERI_TABANI!D28*B754), VERI_TABANI!D28*C754)*VERI_TABANI!$B$7 + MAX(0, VERI_TABANI!D28*C754-MAX(0, VERI_TABANI!D28-VERI_TABANI!D28*B754))*VERI_TABANI!$B$8) + IF(ABS(IF(ISNUMBER(SEARCH("Var", D754)), 1, IF(ISNUMBER(SEARCH("Gri", D754)), -1, 0)))=1, VERI_TABANI!E28*(1-0.928)*VERI_TABANI!$B$9, 0) + (VERI_TABANI!D28*B754*(VERI_TABANI!$B$13-VERI_TABANI!$B$14)*VERI_TABANI!G28) + (VERI_TABANI!D28*C754*(VERI_TABANI!$B$13-VERI_TABANI!$B$15)*VERI_TABANI!G28) + IF(ABS(IF(ISNUMBER(SEARCH("Var", D754)), 1, IF(ISNUMBER(SEARCH("Gri", D754)), -1, 0)))=1, VERI_TABANI!E28*(1-0.928)*0.00206091519919798*VERI_TABANI!G28, 0)))</f>
        <v/>
      </c>
      <c r="H754" s="169">
        <f>(((VERI_TABANI!D23*B754*(VERI_TABANI!$B$13-VERI_TABANI!$B$14)) + (VERI_TABANI!D23*C754*(VERI_TABANI!$B$13-VERI_TABANI!$B$15)) + IF(ISNUMBER(SEARCH("Var", D754)), VERI_TABANI!F23*(0.00202-VERI_TABANI!$B$16), IF(ISNUMBER(SEARCH("Gri", D754)), VERI_TABANI!F23*(0.00202-VERI_TABANI!$B$17), 0))) + ((VERI_TABANI!D24*B754*(VERI_TABANI!$B$13-VERI_TABANI!$B$14)) + (VERI_TABANI!D24*C754*(VERI_TABANI!$B$13-VERI_TABANI!$B$15)) + IF(ISNUMBER(SEARCH("Var", D754)), VERI_TABANI!F24*(0.00202-VERI_TABANI!$B$16), IF(ISNUMBER(SEARCH("Gri", D754)), VERI_TABANI!F24*(0.00202-VERI_TABANI!$B$17), 0))) + ((VERI_TABANI!D25*B754*(VERI_TABANI!$B$13-VERI_TABANI!$B$14)) + (VERI_TABANI!D25*C754*(VERI_TABANI!$B$13-VERI_TABANI!$B$15)) + IF(ISNUMBER(SEARCH("Var", D754)), VERI_TABANI!F25*(0.00202-VERI_TABANI!$B$16), IF(ISNUMBER(SEARCH("Gri", D754)), VERI_TABANI!F25*(0.00202-VERI_TABANI!$B$17), 0))) + ((VERI_TABANI!D26*B754*(VERI_TABANI!$B$13-VERI_TABANI!$B$14)) + (VERI_TABANI!D26*C754*(VERI_TABANI!$B$13-VERI_TABANI!$B$15)) + IF(ISNUMBER(SEARCH("Var", D754)), VERI_TABANI!F26*(0.00202-VERI_TABANI!$B$16), IF(ISNUMBER(SEARCH("Gri", D754)), VERI_TABANI!F26*(0.00202-VERI_TABANI!$B$17), 0))) + ((VERI_TABANI!D27*B754*(VERI_TABANI!$B$13-VERI_TABANI!$B$14)) + (VERI_TABANI!D27*C754*(VERI_TABANI!$B$13-VERI_TABANI!$B$15)) + IF(ISNUMBER(SEARCH("Var", D754)), VERI_TABANI!F27*(0.00202-VERI_TABANI!$B$16), IF(ISNUMBER(SEARCH("Gri", D754)), VERI_TABANI!F27*(0.00202-VERI_TABANI!$B$17), 0))) + ((VERI_TABANI!D28*B754*(VERI_TABANI!$B$13-VERI_TABANI!$B$14)) + (VERI_TABANI!D28*C754*(VERI_TABANI!$B$13-VERI_TABANI!$B$15)) + IF(ISNUMBER(SEARCH("Var", D754)), VERI_TABANI!F28*(0.00202-VERI_TABANI!$B$16), IF(ISNUMBER(SEARCH("Gri", D754)), VERI_TABANI!F28*(0.00202-VERI_TABANI!$B$17), 0))))</f>
        <v/>
      </c>
      <c r="I754" s="170">
        <f>IFERROR(((VERI_TABANI!$D$29*B754*VERI_TABANI!$B$14 + VERI_TABANI!$D$29*C754*VERI_TABANI!$B$15 + IF(ISNUMBER(SEARCH("Var", D754)), VERI_TABANI!$F$29*VERI_TABANI!$B$16, 0))) / (((VERI_TABANI!$D$29*B754 + VERI_TABANI!$D$29*C754)*VERI_TABANI!$B$13 + IF(ISNUMBER(SEARCH("Var", D754)), VERI_TABANI!$E$29*(1-0.928)*VERI_TABANI!$B$18, 0))), 0)</f>
        <v/>
      </c>
      <c r="J754" s="171">
        <f>IFERROR(F754/(G754/29), 0)</f>
        <v/>
      </c>
      <c r="K754" s="172">
        <f>IF(F754&gt;0, H754/F754, 0)</f>
        <v/>
      </c>
      <c r="L754" s="170">
        <f>IF(F754&gt;0, I754, 1000000000)</f>
        <v/>
      </c>
      <c r="M754" s="171">
        <f>ABS((B754+C754)-1)</f>
        <v/>
      </c>
      <c r="N754" s="170">
        <f>IF(F754&gt;0, (G754/29)/F754, 0)</f>
        <v/>
      </c>
      <c r="O754" s="168">
        <f>IF(AND((B754+C754)&gt;=1, ISNUMBER(SEARCH("Var", D754))), F754, 1000000000)</f>
        <v/>
      </c>
      <c r="P754" s="172">
        <f>IF(F754&gt;0, SQRT((F754/MAX(F$5:F$886))^2 + (1 - H754/MAX(H$5:H$886))^2 + (J754/MAX(J$5:J$886))^2), 1000000000)</f>
        <v/>
      </c>
      <c r="Q754" s="166">
        <f>IF(AND(ABS(B754-0.5)&lt;0.01, ABS(C754-0.5)&lt;0.01, ISNUMBER(SEARCH("Var", D754))), 1, 0)</f>
        <v/>
      </c>
      <c r="R754" s="171">
        <f>IF(F754&gt;0, J754, 1000000000)</f>
        <v/>
      </c>
      <c r="S754" s="101">
        <f>IF(AND(F754&lt;=DASHBOARD!$B$11, H754&gt;=DASHBOARD!$B$13), G754, -1000000000000)</f>
        <v/>
      </c>
      <c r="T754" s="101">
        <f>IF(AND(F754&lt;=DASHBOARD!$B$11, H754&gt;=DASHBOARD!$B$13), R754, 1000000000000)</f>
        <v/>
      </c>
      <c r="U754" s="101">
        <f>IF(AND(F754&lt;=DASHBOARD!$B$11, H754&gt;=DASHBOARD!$B$13), N754, -1000000000000)</f>
        <v/>
      </c>
      <c r="V754" s="101">
        <f>IF(AND(F754&lt;=DASHBOARD!$B$11, H754&gt;=DASHBOARD!$B$13), H754, -1000000000000)</f>
        <v/>
      </c>
      <c r="W754" s="101">
        <f>IF(AND(F754&lt;=DASHBOARD!$B$11, H754&gt;=DASHBOARD!$B$13), K754, -1000000000000)</f>
        <v/>
      </c>
      <c r="X754" s="101">
        <f>IF(AND(F754&lt;=DASHBOARD!$B$11, H754&gt;=DASHBOARD!$B$13), M754, 1000000000000)</f>
        <v/>
      </c>
      <c r="Y754" s="101">
        <f>IF(AND(F754&lt;=DASHBOARD!$B$10, H754&gt;=DASHBOARD!$B$11), L754, 1000000000000)</f>
        <v/>
      </c>
      <c r="Z754" s="101">
        <f>IF(AND(F754&lt;=DASHBOARD!$B$10, H754&gt;=DASHBOARD!$B$11), O754, 1000000000000)</f>
        <v/>
      </c>
      <c r="AA754" s="101">
        <f>IF(AND(F754&lt;=DASHBOARD!$B$10, H754&gt;=DASHBOARD!$B$11), P754, 1000000000000)</f>
        <v/>
      </c>
      <c r="AB754" s="101">
        <f>IF(AND(F754&lt;=DASHBOARD!$B$10, H754&gt;=DASHBOARD!$B$11), Q754, -1000000000000)</f>
        <v/>
      </c>
    </row>
    <row r="755" ht="15" customHeight="1" s="102">
      <c r="A755" s="166" t="n">
        <v>751</v>
      </c>
      <c r="B755" s="167" t="n">
        <v>1.7</v>
      </c>
      <c r="C755" s="167" t="n">
        <v>1.8</v>
      </c>
      <c r="D755" s="110" t="inlineStr">
        <is>
          <t>Yok (%0)</t>
        </is>
      </c>
      <c r="E755" s="110">
        <f>IF((B755+C755)&lt;=1, "Tam Mahsuplaşma (≤%100)", "Kısmi Satış (&gt;%100)")</f>
        <v/>
      </c>
      <c r="F755" s="168">
        <f>((VERI_TABANI!$D$29*B755/VERI_TABANI!$B$29)/VERI_TABANI!$B$3)*VERI_TABANI!$B$5 + ((VERI_TABANI!$D$29*C755/VERI_TABANI!$B$29)/VERI_TABANI!$B$4)*VERI_TABANI!$B$6 + IF(ISNUMBER(SEARCH("Var", D755)), (VERI_TABANI!$F$29/VERI_TABANI!$B$29)*(VERI_TABANI!$B$10+VERI_TABANI!$B$12), 0)</f>
        <v/>
      </c>
      <c r="G755" s="168">
        <f>(((MIN(VERI_TABANI!D23, VERI_TABANI!D23*B755)*VERI_TABANI!$B$7 + MAX(0, VERI_TABANI!D23*B755-VERI_TABANI!D23)*VERI_TABANI!$B$8) + (MIN(MAX(0, VERI_TABANI!D23-VERI_TABANI!D23*B755), VERI_TABANI!D23*C755)*VERI_TABANI!$B$7 + MAX(0, VERI_TABANI!D23*C755-MAX(0, VERI_TABANI!D23-VERI_TABANI!D23*B755))*VERI_TABANI!$B$8) + IF(ABS(IF(ISNUMBER(SEARCH("Var", D755)), 1, IF(ISNUMBER(SEARCH("Gri", D755)), -1, 0)))=1, VERI_TABANI!E23*(1-0.928)*VERI_TABANI!$B$9, 0) + (VERI_TABANI!D23*B755*(VERI_TABANI!$B$13-VERI_TABANI!$B$14)*VERI_TABANI!G23) + (VERI_TABANI!D23*C755*(VERI_TABANI!$B$13-VERI_TABANI!$B$15)*VERI_TABANI!G23) + IF(ABS(IF(ISNUMBER(SEARCH("Var", D755)), 1, IF(ISNUMBER(SEARCH("Gri", D755)), -1, 0)))=1, VERI_TABANI!E23*(1-0.928)*0.00206091519919798*VERI_TABANI!G23, 0)) + ((MIN(VERI_TABANI!D24, VERI_TABANI!D24*B755)*VERI_TABANI!$B$7 + MAX(0, VERI_TABANI!D24*B755-VERI_TABANI!D24)*VERI_TABANI!$B$8) + (MIN(MAX(0, VERI_TABANI!D24-VERI_TABANI!D24*B755), VERI_TABANI!D24*C755)*VERI_TABANI!$B$7 + MAX(0, VERI_TABANI!D24*C755-MAX(0, VERI_TABANI!D24-VERI_TABANI!D24*B755))*VERI_TABANI!$B$8) + IF(ABS(IF(ISNUMBER(SEARCH("Var", D755)), 1, IF(ISNUMBER(SEARCH("Gri", D755)), -1, 0)))=1, VERI_TABANI!E24*(1-0.928)*VERI_TABANI!$B$9, 0) + (VERI_TABANI!D24*B755*(VERI_TABANI!$B$13-VERI_TABANI!$B$14)*VERI_TABANI!G24) + (VERI_TABANI!D24*C755*(VERI_TABANI!$B$13-VERI_TABANI!$B$15)*VERI_TABANI!G24) + IF(ABS(IF(ISNUMBER(SEARCH("Var", D755)), 1, IF(ISNUMBER(SEARCH("Gri", D755)), -1, 0)))=1, VERI_TABANI!E24*(1-0.928)*0.00206091519919798*VERI_TABANI!G24, 0)) + ((MIN(VERI_TABANI!D25, VERI_TABANI!D25*B755)*VERI_TABANI!$B$7 + MAX(0, VERI_TABANI!D25*B755-VERI_TABANI!D25)*VERI_TABANI!$B$8) + (MIN(MAX(0, VERI_TABANI!D25-VERI_TABANI!D25*B755), VERI_TABANI!D25*C755)*VERI_TABANI!$B$7 + MAX(0, VERI_TABANI!D25*C755-MAX(0, VERI_TABANI!D25-VERI_TABANI!D25*B755))*VERI_TABANI!$B$8) + IF(ABS(IF(ISNUMBER(SEARCH("Var", D755)), 1, IF(ISNUMBER(SEARCH("Gri", D755)), -1, 0)))=1, VERI_TABANI!E25*(1-0.928)*VERI_TABANI!$B$9, 0) + (VERI_TABANI!D25*B755*(VERI_TABANI!$B$13-VERI_TABANI!$B$14)*VERI_TABANI!G25) + (VERI_TABANI!D25*C755*(VERI_TABANI!$B$13-VERI_TABANI!$B$15)*VERI_TABANI!G25) + IF(ABS(IF(ISNUMBER(SEARCH("Var", D755)), 1, IF(ISNUMBER(SEARCH("Gri", D755)), -1, 0)))=1, VERI_TABANI!E25*(1-0.928)*0.00206091519919798*VERI_TABANI!G25, 0)) + ((MIN(VERI_TABANI!D26, VERI_TABANI!D26*B755)*VERI_TABANI!$B$7 + MAX(0, VERI_TABANI!D26*B755-VERI_TABANI!D26)*VERI_TABANI!$B$8) + (MIN(MAX(0, VERI_TABANI!D26-VERI_TABANI!D26*B755), VERI_TABANI!D26*C755)*VERI_TABANI!$B$7 + MAX(0, VERI_TABANI!D26*C755-MAX(0, VERI_TABANI!D26-VERI_TABANI!D26*B755))*VERI_TABANI!$B$8) + IF(ABS(IF(ISNUMBER(SEARCH("Var", D755)), 1, IF(ISNUMBER(SEARCH("Gri", D755)), -1, 0)))=1, VERI_TABANI!E26*(1-0.928)*VERI_TABANI!$B$9, 0) + (VERI_TABANI!D26*B755*(VERI_TABANI!$B$13-VERI_TABANI!$B$14)*VERI_TABANI!G26) + (VERI_TABANI!D26*C755*(VERI_TABANI!$B$13-VERI_TABANI!$B$15)*VERI_TABANI!G26) + IF(ABS(IF(ISNUMBER(SEARCH("Var", D755)), 1, IF(ISNUMBER(SEARCH("Gri", D755)), -1, 0)))=1, VERI_TABANI!E26*(1-0.928)*0.00206091519919798*VERI_TABANI!G26, 0)) + ((MIN(VERI_TABANI!D27, VERI_TABANI!D27*B755)*VERI_TABANI!$B$7 + MAX(0, VERI_TABANI!D27*B755-VERI_TABANI!D27)*VERI_TABANI!$B$8) + (MIN(MAX(0, VERI_TABANI!D27-VERI_TABANI!D27*B755), VERI_TABANI!D27*C755)*VERI_TABANI!$B$7 + MAX(0, VERI_TABANI!D27*C755-MAX(0, VERI_TABANI!D27-VERI_TABANI!D27*B755))*VERI_TABANI!$B$8) + IF(ABS(IF(ISNUMBER(SEARCH("Var", D755)), 1, IF(ISNUMBER(SEARCH("Gri", D755)), -1, 0)))=1, VERI_TABANI!E27*(1-0.928)*VERI_TABANI!$B$9, 0) + (VERI_TABANI!D27*B755*(VERI_TABANI!$B$13-VERI_TABANI!$B$14)*VERI_TABANI!G27) + (VERI_TABANI!D27*C755*(VERI_TABANI!$B$13-VERI_TABANI!$B$15)*VERI_TABANI!G27) + IF(ABS(IF(ISNUMBER(SEARCH("Var", D755)), 1, IF(ISNUMBER(SEARCH("Gri", D755)), -1, 0)))=1, VERI_TABANI!E27*(1-0.928)*0.00206091519919798*VERI_TABANI!G27, 0)) + ((MIN(VERI_TABANI!D28, VERI_TABANI!D28*B755)*VERI_TABANI!$B$7 + MAX(0, VERI_TABANI!D28*B755-VERI_TABANI!D28)*VERI_TABANI!$B$8) + (MIN(MAX(0, VERI_TABANI!D28-VERI_TABANI!D28*B755), VERI_TABANI!D28*C755)*VERI_TABANI!$B$7 + MAX(0, VERI_TABANI!D28*C755-MAX(0, VERI_TABANI!D28-VERI_TABANI!D28*B755))*VERI_TABANI!$B$8) + IF(ABS(IF(ISNUMBER(SEARCH("Var", D755)), 1, IF(ISNUMBER(SEARCH("Gri", D755)), -1, 0)))=1, VERI_TABANI!E28*(1-0.928)*VERI_TABANI!$B$9, 0) + (VERI_TABANI!D28*B755*(VERI_TABANI!$B$13-VERI_TABANI!$B$14)*VERI_TABANI!G28) + (VERI_TABANI!D28*C755*(VERI_TABANI!$B$13-VERI_TABANI!$B$15)*VERI_TABANI!G28) + IF(ABS(IF(ISNUMBER(SEARCH("Var", D755)), 1, IF(ISNUMBER(SEARCH("Gri", D755)), -1, 0)))=1, VERI_TABANI!E28*(1-0.928)*0.00206091519919798*VERI_TABANI!G28, 0)))</f>
        <v/>
      </c>
      <c r="H755" s="169">
        <f>(((VERI_TABANI!D23*B755*(VERI_TABANI!$B$13-VERI_TABANI!$B$14)) + (VERI_TABANI!D23*C755*(VERI_TABANI!$B$13-VERI_TABANI!$B$15)) + IF(ISNUMBER(SEARCH("Var", D755)), VERI_TABANI!F23*(0.00202-VERI_TABANI!$B$16), IF(ISNUMBER(SEARCH("Gri", D755)), VERI_TABANI!F23*(0.00202-VERI_TABANI!$B$17), 0))) + ((VERI_TABANI!D24*B755*(VERI_TABANI!$B$13-VERI_TABANI!$B$14)) + (VERI_TABANI!D24*C755*(VERI_TABANI!$B$13-VERI_TABANI!$B$15)) + IF(ISNUMBER(SEARCH("Var", D755)), VERI_TABANI!F24*(0.00202-VERI_TABANI!$B$16), IF(ISNUMBER(SEARCH("Gri", D755)), VERI_TABANI!F24*(0.00202-VERI_TABANI!$B$17), 0))) + ((VERI_TABANI!D25*B755*(VERI_TABANI!$B$13-VERI_TABANI!$B$14)) + (VERI_TABANI!D25*C755*(VERI_TABANI!$B$13-VERI_TABANI!$B$15)) + IF(ISNUMBER(SEARCH("Var", D755)), VERI_TABANI!F25*(0.00202-VERI_TABANI!$B$16), IF(ISNUMBER(SEARCH("Gri", D755)), VERI_TABANI!F25*(0.00202-VERI_TABANI!$B$17), 0))) + ((VERI_TABANI!D26*B755*(VERI_TABANI!$B$13-VERI_TABANI!$B$14)) + (VERI_TABANI!D26*C755*(VERI_TABANI!$B$13-VERI_TABANI!$B$15)) + IF(ISNUMBER(SEARCH("Var", D755)), VERI_TABANI!F26*(0.00202-VERI_TABANI!$B$16), IF(ISNUMBER(SEARCH("Gri", D755)), VERI_TABANI!F26*(0.00202-VERI_TABANI!$B$17), 0))) + ((VERI_TABANI!D27*B755*(VERI_TABANI!$B$13-VERI_TABANI!$B$14)) + (VERI_TABANI!D27*C755*(VERI_TABANI!$B$13-VERI_TABANI!$B$15)) + IF(ISNUMBER(SEARCH("Var", D755)), VERI_TABANI!F27*(0.00202-VERI_TABANI!$B$16), IF(ISNUMBER(SEARCH("Gri", D755)), VERI_TABANI!F27*(0.00202-VERI_TABANI!$B$17), 0))) + ((VERI_TABANI!D28*B755*(VERI_TABANI!$B$13-VERI_TABANI!$B$14)) + (VERI_TABANI!D28*C755*(VERI_TABANI!$B$13-VERI_TABANI!$B$15)) + IF(ISNUMBER(SEARCH("Var", D755)), VERI_TABANI!F28*(0.00202-VERI_TABANI!$B$16), IF(ISNUMBER(SEARCH("Gri", D755)), VERI_TABANI!F28*(0.00202-VERI_TABANI!$B$17), 0))))</f>
        <v/>
      </c>
      <c r="I755" s="170">
        <f>IFERROR(((VERI_TABANI!$D$29*B755*VERI_TABANI!$B$14 + VERI_TABANI!$D$29*C755*VERI_TABANI!$B$15 + IF(ISNUMBER(SEARCH("Var", D755)), VERI_TABANI!$F$29*VERI_TABANI!$B$16, 0))) / (((VERI_TABANI!$D$29*B755 + VERI_TABANI!$D$29*C755)*VERI_TABANI!$B$13 + IF(ISNUMBER(SEARCH("Var", D755)), VERI_TABANI!$E$29*(1-0.928)*VERI_TABANI!$B$18, 0))), 0)</f>
        <v/>
      </c>
      <c r="J755" s="171">
        <f>IFERROR(F755/(G755/29), 0)</f>
        <v/>
      </c>
      <c r="K755" s="172">
        <f>IF(F755&gt;0, H755/F755, 0)</f>
        <v/>
      </c>
      <c r="L755" s="170">
        <f>IF(F755&gt;0, I755, 1000000000)</f>
        <v/>
      </c>
      <c r="M755" s="171">
        <f>ABS((B755+C755)-1)</f>
        <v/>
      </c>
      <c r="N755" s="170">
        <f>IF(F755&gt;0, (G755/29)/F755, 0)</f>
        <v/>
      </c>
      <c r="O755" s="168">
        <f>IF(AND((B755+C755)&gt;=1, ISNUMBER(SEARCH("Var", D755))), F755, 1000000000)</f>
        <v/>
      </c>
      <c r="P755" s="172">
        <f>IF(F755&gt;0, SQRT((F755/MAX(F$5:F$886))^2 + (1 - H755/MAX(H$5:H$886))^2 + (J755/MAX(J$5:J$886))^2), 1000000000)</f>
        <v/>
      </c>
      <c r="Q755" s="166">
        <f>IF(AND(ABS(B755-0.5)&lt;0.01, ABS(C755-0.5)&lt;0.01, ISNUMBER(SEARCH("Var", D755))), 1, 0)</f>
        <v/>
      </c>
      <c r="R755" s="171">
        <f>IF(F755&gt;0, J755, 1000000000)</f>
        <v/>
      </c>
      <c r="S755" s="101">
        <f>IF(AND(F755&lt;=DASHBOARD!$B$11, H755&gt;=DASHBOARD!$B$13), G755, -1000000000000)</f>
        <v/>
      </c>
      <c r="T755" s="101">
        <f>IF(AND(F755&lt;=DASHBOARD!$B$11, H755&gt;=DASHBOARD!$B$13), R755, 1000000000000)</f>
        <v/>
      </c>
      <c r="U755" s="101">
        <f>IF(AND(F755&lt;=DASHBOARD!$B$11, H755&gt;=DASHBOARD!$B$13), N755, -1000000000000)</f>
        <v/>
      </c>
      <c r="V755" s="101">
        <f>IF(AND(F755&lt;=DASHBOARD!$B$11, H755&gt;=DASHBOARD!$B$13), H755, -1000000000000)</f>
        <v/>
      </c>
      <c r="W755" s="101">
        <f>IF(AND(F755&lt;=DASHBOARD!$B$11, H755&gt;=DASHBOARD!$B$13), K755, -1000000000000)</f>
        <v/>
      </c>
      <c r="X755" s="101">
        <f>IF(AND(F755&lt;=DASHBOARD!$B$11, H755&gt;=DASHBOARD!$B$13), M755, 1000000000000)</f>
        <v/>
      </c>
      <c r="Y755" s="101">
        <f>IF(AND(F755&lt;=DASHBOARD!$B$10, H755&gt;=DASHBOARD!$B$11), L755, 1000000000000)</f>
        <v/>
      </c>
      <c r="Z755" s="101">
        <f>IF(AND(F755&lt;=DASHBOARD!$B$10, H755&gt;=DASHBOARD!$B$11), O755, 1000000000000)</f>
        <v/>
      </c>
      <c r="AA755" s="101">
        <f>IF(AND(F755&lt;=DASHBOARD!$B$10, H755&gt;=DASHBOARD!$B$11), P755, 1000000000000)</f>
        <v/>
      </c>
      <c r="AB755" s="101">
        <f>IF(AND(F755&lt;=DASHBOARD!$B$10, H755&gt;=DASHBOARD!$B$11), Q755, -1000000000000)</f>
        <v/>
      </c>
    </row>
    <row r="756" ht="15" customHeight="1" s="102">
      <c r="A756" s="166" t="n">
        <v>752</v>
      </c>
      <c r="B756" s="167" t="n">
        <v>1.7</v>
      </c>
      <c r="C756" s="167" t="n">
        <v>1.8</v>
      </c>
      <c r="D756" s="110" t="inlineStr">
        <is>
          <t>Var (%20)</t>
        </is>
      </c>
      <c r="E756" s="110">
        <f>IF((B756+C756)&lt;=1, "Tam Mahsuplaşma (≤%100)", "Kısmi Satış (&gt;%100)")</f>
        <v/>
      </c>
      <c r="F756" s="168">
        <f>((VERI_TABANI!$D$29*B756/VERI_TABANI!$B$29)/VERI_TABANI!$B$3)*VERI_TABANI!$B$5 + ((VERI_TABANI!$D$29*C756/VERI_TABANI!$B$29)/VERI_TABANI!$B$4)*VERI_TABANI!$B$6 + IF(ISNUMBER(SEARCH("Var", D756)), (VERI_TABANI!$F$29/VERI_TABANI!$B$29)*(VERI_TABANI!$B$10+VERI_TABANI!$B$12), 0)</f>
        <v/>
      </c>
      <c r="G756" s="168">
        <f>(((MIN(VERI_TABANI!D23, VERI_TABANI!D23*B756)*VERI_TABANI!$B$7 + MAX(0, VERI_TABANI!D23*B756-VERI_TABANI!D23)*VERI_TABANI!$B$8) + (MIN(MAX(0, VERI_TABANI!D23-VERI_TABANI!D23*B756), VERI_TABANI!D23*C756)*VERI_TABANI!$B$7 + MAX(0, VERI_TABANI!D23*C756-MAX(0, VERI_TABANI!D23-VERI_TABANI!D23*B756))*VERI_TABANI!$B$8) + IF(ABS(IF(ISNUMBER(SEARCH("Var", D756)), 1, IF(ISNUMBER(SEARCH("Gri", D756)), -1, 0)))=1, VERI_TABANI!E23*(1-0.928)*VERI_TABANI!$B$9, 0) + (VERI_TABANI!D23*B756*(VERI_TABANI!$B$13-VERI_TABANI!$B$14)*VERI_TABANI!G23) + (VERI_TABANI!D23*C756*(VERI_TABANI!$B$13-VERI_TABANI!$B$15)*VERI_TABANI!G23) + IF(ABS(IF(ISNUMBER(SEARCH("Var", D756)), 1, IF(ISNUMBER(SEARCH("Gri", D756)), -1, 0)))=1, VERI_TABANI!E23*(1-0.928)*0.00206091519919798*VERI_TABANI!G23, 0)) + ((MIN(VERI_TABANI!D24, VERI_TABANI!D24*B756)*VERI_TABANI!$B$7 + MAX(0, VERI_TABANI!D24*B756-VERI_TABANI!D24)*VERI_TABANI!$B$8) + (MIN(MAX(0, VERI_TABANI!D24-VERI_TABANI!D24*B756), VERI_TABANI!D24*C756)*VERI_TABANI!$B$7 + MAX(0, VERI_TABANI!D24*C756-MAX(0, VERI_TABANI!D24-VERI_TABANI!D24*B756))*VERI_TABANI!$B$8) + IF(ABS(IF(ISNUMBER(SEARCH("Var", D756)), 1, IF(ISNUMBER(SEARCH("Gri", D756)), -1, 0)))=1, VERI_TABANI!E24*(1-0.928)*VERI_TABANI!$B$9, 0) + (VERI_TABANI!D24*B756*(VERI_TABANI!$B$13-VERI_TABANI!$B$14)*VERI_TABANI!G24) + (VERI_TABANI!D24*C756*(VERI_TABANI!$B$13-VERI_TABANI!$B$15)*VERI_TABANI!G24) + IF(ABS(IF(ISNUMBER(SEARCH("Var", D756)), 1, IF(ISNUMBER(SEARCH("Gri", D756)), -1, 0)))=1, VERI_TABANI!E24*(1-0.928)*0.00206091519919798*VERI_TABANI!G24, 0)) + ((MIN(VERI_TABANI!D25, VERI_TABANI!D25*B756)*VERI_TABANI!$B$7 + MAX(0, VERI_TABANI!D25*B756-VERI_TABANI!D25)*VERI_TABANI!$B$8) + (MIN(MAX(0, VERI_TABANI!D25-VERI_TABANI!D25*B756), VERI_TABANI!D25*C756)*VERI_TABANI!$B$7 + MAX(0, VERI_TABANI!D25*C756-MAX(0, VERI_TABANI!D25-VERI_TABANI!D25*B756))*VERI_TABANI!$B$8) + IF(ABS(IF(ISNUMBER(SEARCH("Var", D756)), 1, IF(ISNUMBER(SEARCH("Gri", D756)), -1, 0)))=1, VERI_TABANI!E25*(1-0.928)*VERI_TABANI!$B$9, 0) + (VERI_TABANI!D25*B756*(VERI_TABANI!$B$13-VERI_TABANI!$B$14)*VERI_TABANI!G25) + (VERI_TABANI!D25*C756*(VERI_TABANI!$B$13-VERI_TABANI!$B$15)*VERI_TABANI!G25) + IF(ABS(IF(ISNUMBER(SEARCH("Var", D756)), 1, IF(ISNUMBER(SEARCH("Gri", D756)), -1, 0)))=1, VERI_TABANI!E25*(1-0.928)*0.00206091519919798*VERI_TABANI!G25, 0)) + ((MIN(VERI_TABANI!D26, VERI_TABANI!D26*B756)*VERI_TABANI!$B$7 + MAX(0, VERI_TABANI!D26*B756-VERI_TABANI!D26)*VERI_TABANI!$B$8) + (MIN(MAX(0, VERI_TABANI!D26-VERI_TABANI!D26*B756), VERI_TABANI!D26*C756)*VERI_TABANI!$B$7 + MAX(0, VERI_TABANI!D26*C756-MAX(0, VERI_TABANI!D26-VERI_TABANI!D26*B756))*VERI_TABANI!$B$8) + IF(ABS(IF(ISNUMBER(SEARCH("Var", D756)), 1, IF(ISNUMBER(SEARCH("Gri", D756)), -1, 0)))=1, VERI_TABANI!E26*(1-0.928)*VERI_TABANI!$B$9, 0) + (VERI_TABANI!D26*B756*(VERI_TABANI!$B$13-VERI_TABANI!$B$14)*VERI_TABANI!G26) + (VERI_TABANI!D26*C756*(VERI_TABANI!$B$13-VERI_TABANI!$B$15)*VERI_TABANI!G26) + IF(ABS(IF(ISNUMBER(SEARCH("Var", D756)), 1, IF(ISNUMBER(SEARCH("Gri", D756)), -1, 0)))=1, VERI_TABANI!E26*(1-0.928)*0.00206091519919798*VERI_TABANI!G26, 0)) + ((MIN(VERI_TABANI!D27, VERI_TABANI!D27*B756)*VERI_TABANI!$B$7 + MAX(0, VERI_TABANI!D27*B756-VERI_TABANI!D27)*VERI_TABANI!$B$8) + (MIN(MAX(0, VERI_TABANI!D27-VERI_TABANI!D27*B756), VERI_TABANI!D27*C756)*VERI_TABANI!$B$7 + MAX(0, VERI_TABANI!D27*C756-MAX(0, VERI_TABANI!D27-VERI_TABANI!D27*B756))*VERI_TABANI!$B$8) + IF(ABS(IF(ISNUMBER(SEARCH("Var", D756)), 1, IF(ISNUMBER(SEARCH("Gri", D756)), -1, 0)))=1, VERI_TABANI!E27*(1-0.928)*VERI_TABANI!$B$9, 0) + (VERI_TABANI!D27*B756*(VERI_TABANI!$B$13-VERI_TABANI!$B$14)*VERI_TABANI!G27) + (VERI_TABANI!D27*C756*(VERI_TABANI!$B$13-VERI_TABANI!$B$15)*VERI_TABANI!G27) + IF(ABS(IF(ISNUMBER(SEARCH("Var", D756)), 1, IF(ISNUMBER(SEARCH("Gri", D756)), -1, 0)))=1, VERI_TABANI!E27*(1-0.928)*0.00206091519919798*VERI_TABANI!G27, 0)) + ((MIN(VERI_TABANI!D28, VERI_TABANI!D28*B756)*VERI_TABANI!$B$7 + MAX(0, VERI_TABANI!D28*B756-VERI_TABANI!D28)*VERI_TABANI!$B$8) + (MIN(MAX(0, VERI_TABANI!D28-VERI_TABANI!D28*B756), VERI_TABANI!D28*C756)*VERI_TABANI!$B$7 + MAX(0, VERI_TABANI!D28*C756-MAX(0, VERI_TABANI!D28-VERI_TABANI!D28*B756))*VERI_TABANI!$B$8) + IF(ABS(IF(ISNUMBER(SEARCH("Var", D756)), 1, IF(ISNUMBER(SEARCH("Gri", D756)), -1, 0)))=1, VERI_TABANI!E28*(1-0.928)*VERI_TABANI!$B$9, 0) + (VERI_TABANI!D28*B756*(VERI_TABANI!$B$13-VERI_TABANI!$B$14)*VERI_TABANI!G28) + (VERI_TABANI!D28*C756*(VERI_TABANI!$B$13-VERI_TABANI!$B$15)*VERI_TABANI!G28) + IF(ABS(IF(ISNUMBER(SEARCH("Var", D756)), 1, IF(ISNUMBER(SEARCH("Gri", D756)), -1, 0)))=1, VERI_TABANI!E28*(1-0.928)*0.00206091519919798*VERI_TABANI!G28, 0)))</f>
        <v/>
      </c>
      <c r="H756" s="169">
        <f>(((VERI_TABANI!D23*B756*(VERI_TABANI!$B$13-VERI_TABANI!$B$14)) + (VERI_TABANI!D23*C756*(VERI_TABANI!$B$13-VERI_TABANI!$B$15)) + IF(ISNUMBER(SEARCH("Var", D756)), VERI_TABANI!F23*(0.00202-VERI_TABANI!$B$16), IF(ISNUMBER(SEARCH("Gri", D756)), VERI_TABANI!F23*(0.00202-VERI_TABANI!$B$17), 0))) + ((VERI_TABANI!D24*B756*(VERI_TABANI!$B$13-VERI_TABANI!$B$14)) + (VERI_TABANI!D24*C756*(VERI_TABANI!$B$13-VERI_TABANI!$B$15)) + IF(ISNUMBER(SEARCH("Var", D756)), VERI_TABANI!F24*(0.00202-VERI_TABANI!$B$16), IF(ISNUMBER(SEARCH("Gri", D756)), VERI_TABANI!F24*(0.00202-VERI_TABANI!$B$17), 0))) + ((VERI_TABANI!D25*B756*(VERI_TABANI!$B$13-VERI_TABANI!$B$14)) + (VERI_TABANI!D25*C756*(VERI_TABANI!$B$13-VERI_TABANI!$B$15)) + IF(ISNUMBER(SEARCH("Var", D756)), VERI_TABANI!F25*(0.00202-VERI_TABANI!$B$16), IF(ISNUMBER(SEARCH("Gri", D756)), VERI_TABANI!F25*(0.00202-VERI_TABANI!$B$17), 0))) + ((VERI_TABANI!D26*B756*(VERI_TABANI!$B$13-VERI_TABANI!$B$14)) + (VERI_TABANI!D26*C756*(VERI_TABANI!$B$13-VERI_TABANI!$B$15)) + IF(ISNUMBER(SEARCH("Var", D756)), VERI_TABANI!F26*(0.00202-VERI_TABANI!$B$16), IF(ISNUMBER(SEARCH("Gri", D756)), VERI_TABANI!F26*(0.00202-VERI_TABANI!$B$17), 0))) + ((VERI_TABANI!D27*B756*(VERI_TABANI!$B$13-VERI_TABANI!$B$14)) + (VERI_TABANI!D27*C756*(VERI_TABANI!$B$13-VERI_TABANI!$B$15)) + IF(ISNUMBER(SEARCH("Var", D756)), VERI_TABANI!F27*(0.00202-VERI_TABANI!$B$16), IF(ISNUMBER(SEARCH("Gri", D756)), VERI_TABANI!F27*(0.00202-VERI_TABANI!$B$17), 0))) + ((VERI_TABANI!D28*B756*(VERI_TABANI!$B$13-VERI_TABANI!$B$14)) + (VERI_TABANI!D28*C756*(VERI_TABANI!$B$13-VERI_TABANI!$B$15)) + IF(ISNUMBER(SEARCH("Var", D756)), VERI_TABANI!F28*(0.00202-VERI_TABANI!$B$16), IF(ISNUMBER(SEARCH("Gri", D756)), VERI_TABANI!F28*(0.00202-VERI_TABANI!$B$17), 0))))</f>
        <v/>
      </c>
      <c r="I756" s="170">
        <f>IFERROR(((VERI_TABANI!$D$29*B756*VERI_TABANI!$B$14 + VERI_TABANI!$D$29*C756*VERI_TABANI!$B$15 + IF(ISNUMBER(SEARCH("Var", D756)), VERI_TABANI!$F$29*VERI_TABANI!$B$16, 0))) / (((VERI_TABANI!$D$29*B756 + VERI_TABANI!$D$29*C756)*VERI_TABANI!$B$13 + IF(ISNUMBER(SEARCH("Var", D756)), VERI_TABANI!$E$29*(1-0.928)*VERI_TABANI!$B$18, 0))), 0)</f>
        <v/>
      </c>
      <c r="J756" s="171">
        <f>IFERROR(F756/(G756/29), 0)</f>
        <v/>
      </c>
      <c r="K756" s="172">
        <f>IF(F756&gt;0, H756/F756, 0)</f>
        <v/>
      </c>
      <c r="L756" s="170">
        <f>IF(F756&gt;0, I756, 1000000000)</f>
        <v/>
      </c>
      <c r="M756" s="171">
        <f>ABS((B756+C756)-1)</f>
        <v/>
      </c>
      <c r="N756" s="170">
        <f>IF(F756&gt;0, (G756/29)/F756, 0)</f>
        <v/>
      </c>
      <c r="O756" s="168">
        <f>IF(AND((B756+C756)&gt;=1, ISNUMBER(SEARCH("Var", D756))), F756, 1000000000)</f>
        <v/>
      </c>
      <c r="P756" s="172">
        <f>IF(F756&gt;0, SQRT((F756/MAX(F$5:F$886))^2 + (1 - H756/MAX(H$5:H$886))^2 + (J756/MAX(J$5:J$886))^2), 1000000000)</f>
        <v/>
      </c>
      <c r="Q756" s="166">
        <f>IF(AND(ABS(B756-0.5)&lt;0.01, ABS(C756-0.5)&lt;0.01, ISNUMBER(SEARCH("Var", D756))), 1, 0)</f>
        <v/>
      </c>
      <c r="R756" s="171">
        <f>IF(F756&gt;0, J756, 1000000000)</f>
        <v/>
      </c>
      <c r="S756" s="101">
        <f>IF(AND(F756&lt;=DASHBOARD!$B$11, H756&gt;=DASHBOARD!$B$13), G756, -1000000000000)</f>
        <v/>
      </c>
      <c r="T756" s="101">
        <f>IF(AND(F756&lt;=DASHBOARD!$B$11, H756&gt;=DASHBOARD!$B$13), R756, 1000000000000)</f>
        <v/>
      </c>
      <c r="U756" s="101">
        <f>IF(AND(F756&lt;=DASHBOARD!$B$11, H756&gt;=DASHBOARD!$B$13), N756, -1000000000000)</f>
        <v/>
      </c>
      <c r="V756" s="101">
        <f>IF(AND(F756&lt;=DASHBOARD!$B$11, H756&gt;=DASHBOARD!$B$13), H756, -1000000000000)</f>
        <v/>
      </c>
      <c r="W756" s="101">
        <f>IF(AND(F756&lt;=DASHBOARD!$B$11, H756&gt;=DASHBOARD!$B$13), K756, -1000000000000)</f>
        <v/>
      </c>
      <c r="X756" s="101">
        <f>IF(AND(F756&lt;=DASHBOARD!$B$11, H756&gt;=DASHBOARD!$B$13), M756, 1000000000000)</f>
        <v/>
      </c>
      <c r="Y756" s="101">
        <f>IF(AND(F756&lt;=DASHBOARD!$B$10, H756&gt;=DASHBOARD!$B$11), L756, 1000000000000)</f>
        <v/>
      </c>
      <c r="Z756" s="101">
        <f>IF(AND(F756&lt;=DASHBOARD!$B$10, H756&gt;=DASHBOARD!$B$11), O756, 1000000000000)</f>
        <v/>
      </c>
      <c r="AA756" s="101">
        <f>IF(AND(F756&lt;=DASHBOARD!$B$10, H756&gt;=DASHBOARD!$B$11), P756, 1000000000000)</f>
        <v/>
      </c>
      <c r="AB756" s="101">
        <f>IF(AND(F756&lt;=DASHBOARD!$B$10, H756&gt;=DASHBOARD!$B$11), Q756, -1000000000000)</f>
        <v/>
      </c>
    </row>
    <row r="757" ht="15" customHeight="1" s="102">
      <c r="A757" s="166" t="n">
        <v>753</v>
      </c>
      <c r="B757" s="167" t="n">
        <v>1.7</v>
      </c>
      <c r="C757" s="167" t="n">
        <v>1.9</v>
      </c>
      <c r="D757" s="110" t="inlineStr">
        <is>
          <t>Yok (%0)</t>
        </is>
      </c>
      <c r="E757" s="110">
        <f>IF((B757+C757)&lt;=1, "Tam Mahsuplaşma (≤%100)", "Kısmi Satış (&gt;%100)")</f>
        <v/>
      </c>
      <c r="F757" s="168">
        <f>((VERI_TABANI!$D$29*B757/VERI_TABANI!$B$29)/VERI_TABANI!$B$3)*VERI_TABANI!$B$5 + ((VERI_TABANI!$D$29*C757/VERI_TABANI!$B$29)/VERI_TABANI!$B$4)*VERI_TABANI!$B$6 + IF(ISNUMBER(SEARCH("Var", D757)), (VERI_TABANI!$F$29/VERI_TABANI!$B$29)*(VERI_TABANI!$B$10+VERI_TABANI!$B$12), 0)</f>
        <v/>
      </c>
      <c r="G757" s="168">
        <f>(((MIN(VERI_TABANI!D23, VERI_TABANI!D23*B757)*VERI_TABANI!$B$7 + MAX(0, VERI_TABANI!D23*B757-VERI_TABANI!D23)*VERI_TABANI!$B$8) + (MIN(MAX(0, VERI_TABANI!D23-VERI_TABANI!D23*B757), VERI_TABANI!D23*C757)*VERI_TABANI!$B$7 + MAX(0, VERI_TABANI!D23*C757-MAX(0, VERI_TABANI!D23-VERI_TABANI!D23*B757))*VERI_TABANI!$B$8) + IF(ABS(IF(ISNUMBER(SEARCH("Var", D757)), 1, IF(ISNUMBER(SEARCH("Gri", D757)), -1, 0)))=1, VERI_TABANI!E23*(1-0.928)*VERI_TABANI!$B$9, 0) + (VERI_TABANI!D23*B757*(VERI_TABANI!$B$13-VERI_TABANI!$B$14)*VERI_TABANI!G23) + (VERI_TABANI!D23*C757*(VERI_TABANI!$B$13-VERI_TABANI!$B$15)*VERI_TABANI!G23) + IF(ABS(IF(ISNUMBER(SEARCH("Var", D757)), 1, IF(ISNUMBER(SEARCH("Gri", D757)), -1, 0)))=1, VERI_TABANI!E23*(1-0.928)*0.00206091519919798*VERI_TABANI!G23, 0)) + ((MIN(VERI_TABANI!D24, VERI_TABANI!D24*B757)*VERI_TABANI!$B$7 + MAX(0, VERI_TABANI!D24*B757-VERI_TABANI!D24)*VERI_TABANI!$B$8) + (MIN(MAX(0, VERI_TABANI!D24-VERI_TABANI!D24*B757), VERI_TABANI!D24*C757)*VERI_TABANI!$B$7 + MAX(0, VERI_TABANI!D24*C757-MAX(0, VERI_TABANI!D24-VERI_TABANI!D24*B757))*VERI_TABANI!$B$8) + IF(ABS(IF(ISNUMBER(SEARCH("Var", D757)), 1, IF(ISNUMBER(SEARCH("Gri", D757)), -1, 0)))=1, VERI_TABANI!E24*(1-0.928)*VERI_TABANI!$B$9, 0) + (VERI_TABANI!D24*B757*(VERI_TABANI!$B$13-VERI_TABANI!$B$14)*VERI_TABANI!G24) + (VERI_TABANI!D24*C757*(VERI_TABANI!$B$13-VERI_TABANI!$B$15)*VERI_TABANI!G24) + IF(ABS(IF(ISNUMBER(SEARCH("Var", D757)), 1, IF(ISNUMBER(SEARCH("Gri", D757)), -1, 0)))=1, VERI_TABANI!E24*(1-0.928)*0.00206091519919798*VERI_TABANI!G24, 0)) + ((MIN(VERI_TABANI!D25, VERI_TABANI!D25*B757)*VERI_TABANI!$B$7 + MAX(0, VERI_TABANI!D25*B757-VERI_TABANI!D25)*VERI_TABANI!$B$8) + (MIN(MAX(0, VERI_TABANI!D25-VERI_TABANI!D25*B757), VERI_TABANI!D25*C757)*VERI_TABANI!$B$7 + MAX(0, VERI_TABANI!D25*C757-MAX(0, VERI_TABANI!D25-VERI_TABANI!D25*B757))*VERI_TABANI!$B$8) + IF(ABS(IF(ISNUMBER(SEARCH("Var", D757)), 1, IF(ISNUMBER(SEARCH("Gri", D757)), -1, 0)))=1, VERI_TABANI!E25*(1-0.928)*VERI_TABANI!$B$9, 0) + (VERI_TABANI!D25*B757*(VERI_TABANI!$B$13-VERI_TABANI!$B$14)*VERI_TABANI!G25) + (VERI_TABANI!D25*C757*(VERI_TABANI!$B$13-VERI_TABANI!$B$15)*VERI_TABANI!G25) + IF(ABS(IF(ISNUMBER(SEARCH("Var", D757)), 1, IF(ISNUMBER(SEARCH("Gri", D757)), -1, 0)))=1, VERI_TABANI!E25*(1-0.928)*0.00206091519919798*VERI_TABANI!G25, 0)) + ((MIN(VERI_TABANI!D26, VERI_TABANI!D26*B757)*VERI_TABANI!$B$7 + MAX(0, VERI_TABANI!D26*B757-VERI_TABANI!D26)*VERI_TABANI!$B$8) + (MIN(MAX(0, VERI_TABANI!D26-VERI_TABANI!D26*B757), VERI_TABANI!D26*C757)*VERI_TABANI!$B$7 + MAX(0, VERI_TABANI!D26*C757-MAX(0, VERI_TABANI!D26-VERI_TABANI!D26*B757))*VERI_TABANI!$B$8) + IF(ABS(IF(ISNUMBER(SEARCH("Var", D757)), 1, IF(ISNUMBER(SEARCH("Gri", D757)), -1, 0)))=1, VERI_TABANI!E26*(1-0.928)*VERI_TABANI!$B$9, 0) + (VERI_TABANI!D26*B757*(VERI_TABANI!$B$13-VERI_TABANI!$B$14)*VERI_TABANI!G26) + (VERI_TABANI!D26*C757*(VERI_TABANI!$B$13-VERI_TABANI!$B$15)*VERI_TABANI!G26) + IF(ABS(IF(ISNUMBER(SEARCH("Var", D757)), 1, IF(ISNUMBER(SEARCH("Gri", D757)), -1, 0)))=1, VERI_TABANI!E26*(1-0.928)*0.00206091519919798*VERI_TABANI!G26, 0)) + ((MIN(VERI_TABANI!D27, VERI_TABANI!D27*B757)*VERI_TABANI!$B$7 + MAX(0, VERI_TABANI!D27*B757-VERI_TABANI!D27)*VERI_TABANI!$B$8) + (MIN(MAX(0, VERI_TABANI!D27-VERI_TABANI!D27*B757), VERI_TABANI!D27*C757)*VERI_TABANI!$B$7 + MAX(0, VERI_TABANI!D27*C757-MAX(0, VERI_TABANI!D27-VERI_TABANI!D27*B757))*VERI_TABANI!$B$8) + IF(ABS(IF(ISNUMBER(SEARCH("Var", D757)), 1, IF(ISNUMBER(SEARCH("Gri", D757)), -1, 0)))=1, VERI_TABANI!E27*(1-0.928)*VERI_TABANI!$B$9, 0) + (VERI_TABANI!D27*B757*(VERI_TABANI!$B$13-VERI_TABANI!$B$14)*VERI_TABANI!G27) + (VERI_TABANI!D27*C757*(VERI_TABANI!$B$13-VERI_TABANI!$B$15)*VERI_TABANI!G27) + IF(ABS(IF(ISNUMBER(SEARCH("Var", D757)), 1, IF(ISNUMBER(SEARCH("Gri", D757)), -1, 0)))=1, VERI_TABANI!E27*(1-0.928)*0.00206091519919798*VERI_TABANI!G27, 0)) + ((MIN(VERI_TABANI!D28, VERI_TABANI!D28*B757)*VERI_TABANI!$B$7 + MAX(0, VERI_TABANI!D28*B757-VERI_TABANI!D28)*VERI_TABANI!$B$8) + (MIN(MAX(0, VERI_TABANI!D28-VERI_TABANI!D28*B757), VERI_TABANI!D28*C757)*VERI_TABANI!$B$7 + MAX(0, VERI_TABANI!D28*C757-MAX(0, VERI_TABANI!D28-VERI_TABANI!D28*B757))*VERI_TABANI!$B$8) + IF(ABS(IF(ISNUMBER(SEARCH("Var", D757)), 1, IF(ISNUMBER(SEARCH("Gri", D757)), -1, 0)))=1, VERI_TABANI!E28*(1-0.928)*VERI_TABANI!$B$9, 0) + (VERI_TABANI!D28*B757*(VERI_TABANI!$B$13-VERI_TABANI!$B$14)*VERI_TABANI!G28) + (VERI_TABANI!D28*C757*(VERI_TABANI!$B$13-VERI_TABANI!$B$15)*VERI_TABANI!G28) + IF(ABS(IF(ISNUMBER(SEARCH("Var", D757)), 1, IF(ISNUMBER(SEARCH("Gri", D757)), -1, 0)))=1, VERI_TABANI!E28*(1-0.928)*0.00206091519919798*VERI_TABANI!G28, 0)))</f>
        <v/>
      </c>
      <c r="H757" s="169">
        <f>(((VERI_TABANI!D23*B757*(VERI_TABANI!$B$13-VERI_TABANI!$B$14)) + (VERI_TABANI!D23*C757*(VERI_TABANI!$B$13-VERI_TABANI!$B$15)) + IF(ISNUMBER(SEARCH("Var", D757)), VERI_TABANI!F23*(0.00202-VERI_TABANI!$B$16), IF(ISNUMBER(SEARCH("Gri", D757)), VERI_TABANI!F23*(0.00202-VERI_TABANI!$B$17), 0))) + ((VERI_TABANI!D24*B757*(VERI_TABANI!$B$13-VERI_TABANI!$B$14)) + (VERI_TABANI!D24*C757*(VERI_TABANI!$B$13-VERI_TABANI!$B$15)) + IF(ISNUMBER(SEARCH("Var", D757)), VERI_TABANI!F24*(0.00202-VERI_TABANI!$B$16), IF(ISNUMBER(SEARCH("Gri", D757)), VERI_TABANI!F24*(0.00202-VERI_TABANI!$B$17), 0))) + ((VERI_TABANI!D25*B757*(VERI_TABANI!$B$13-VERI_TABANI!$B$14)) + (VERI_TABANI!D25*C757*(VERI_TABANI!$B$13-VERI_TABANI!$B$15)) + IF(ISNUMBER(SEARCH("Var", D757)), VERI_TABANI!F25*(0.00202-VERI_TABANI!$B$16), IF(ISNUMBER(SEARCH("Gri", D757)), VERI_TABANI!F25*(0.00202-VERI_TABANI!$B$17), 0))) + ((VERI_TABANI!D26*B757*(VERI_TABANI!$B$13-VERI_TABANI!$B$14)) + (VERI_TABANI!D26*C757*(VERI_TABANI!$B$13-VERI_TABANI!$B$15)) + IF(ISNUMBER(SEARCH("Var", D757)), VERI_TABANI!F26*(0.00202-VERI_TABANI!$B$16), IF(ISNUMBER(SEARCH("Gri", D757)), VERI_TABANI!F26*(0.00202-VERI_TABANI!$B$17), 0))) + ((VERI_TABANI!D27*B757*(VERI_TABANI!$B$13-VERI_TABANI!$B$14)) + (VERI_TABANI!D27*C757*(VERI_TABANI!$B$13-VERI_TABANI!$B$15)) + IF(ISNUMBER(SEARCH("Var", D757)), VERI_TABANI!F27*(0.00202-VERI_TABANI!$B$16), IF(ISNUMBER(SEARCH("Gri", D757)), VERI_TABANI!F27*(0.00202-VERI_TABANI!$B$17), 0))) + ((VERI_TABANI!D28*B757*(VERI_TABANI!$B$13-VERI_TABANI!$B$14)) + (VERI_TABANI!D28*C757*(VERI_TABANI!$B$13-VERI_TABANI!$B$15)) + IF(ISNUMBER(SEARCH("Var", D757)), VERI_TABANI!F28*(0.00202-VERI_TABANI!$B$16), IF(ISNUMBER(SEARCH("Gri", D757)), VERI_TABANI!F28*(0.00202-VERI_TABANI!$B$17), 0))))</f>
        <v/>
      </c>
      <c r="I757" s="170">
        <f>IFERROR(((VERI_TABANI!$D$29*B757*VERI_TABANI!$B$14 + VERI_TABANI!$D$29*C757*VERI_TABANI!$B$15 + IF(ISNUMBER(SEARCH("Var", D757)), VERI_TABANI!$F$29*VERI_TABANI!$B$16, 0))) / (((VERI_TABANI!$D$29*B757 + VERI_TABANI!$D$29*C757)*VERI_TABANI!$B$13 + IF(ISNUMBER(SEARCH("Var", D757)), VERI_TABANI!$E$29*(1-0.928)*VERI_TABANI!$B$18, 0))), 0)</f>
        <v/>
      </c>
      <c r="J757" s="171">
        <f>IFERROR(F757/(G757/29), 0)</f>
        <v/>
      </c>
      <c r="K757" s="172">
        <f>IF(F757&gt;0, H757/F757, 0)</f>
        <v/>
      </c>
      <c r="L757" s="170">
        <f>IF(F757&gt;0, I757, 1000000000)</f>
        <v/>
      </c>
      <c r="M757" s="171">
        <f>ABS((B757+C757)-1)</f>
        <v/>
      </c>
      <c r="N757" s="170">
        <f>IF(F757&gt;0, (G757/29)/F757, 0)</f>
        <v/>
      </c>
      <c r="O757" s="168">
        <f>IF(AND((B757+C757)&gt;=1, ISNUMBER(SEARCH("Var", D757))), F757, 1000000000)</f>
        <v/>
      </c>
      <c r="P757" s="172">
        <f>IF(F757&gt;0, SQRT((F757/MAX(F$5:F$886))^2 + (1 - H757/MAX(H$5:H$886))^2 + (J757/MAX(J$5:J$886))^2), 1000000000)</f>
        <v/>
      </c>
      <c r="Q757" s="166">
        <f>IF(AND(ABS(B757-0.5)&lt;0.01, ABS(C757-0.5)&lt;0.01, ISNUMBER(SEARCH("Var", D757))), 1, 0)</f>
        <v/>
      </c>
      <c r="R757" s="171">
        <f>IF(F757&gt;0, J757, 1000000000)</f>
        <v/>
      </c>
      <c r="S757" s="101">
        <f>IF(AND(F757&lt;=DASHBOARD!$B$11, H757&gt;=DASHBOARD!$B$13), G757, -1000000000000)</f>
        <v/>
      </c>
      <c r="T757" s="101">
        <f>IF(AND(F757&lt;=DASHBOARD!$B$11, H757&gt;=DASHBOARD!$B$13), R757, 1000000000000)</f>
        <v/>
      </c>
      <c r="U757" s="101">
        <f>IF(AND(F757&lt;=DASHBOARD!$B$11, H757&gt;=DASHBOARD!$B$13), N757, -1000000000000)</f>
        <v/>
      </c>
      <c r="V757" s="101">
        <f>IF(AND(F757&lt;=DASHBOARD!$B$11, H757&gt;=DASHBOARD!$B$13), H757, -1000000000000)</f>
        <v/>
      </c>
      <c r="W757" s="101">
        <f>IF(AND(F757&lt;=DASHBOARD!$B$11, H757&gt;=DASHBOARD!$B$13), K757, -1000000000000)</f>
        <v/>
      </c>
      <c r="X757" s="101">
        <f>IF(AND(F757&lt;=DASHBOARD!$B$11, H757&gt;=DASHBOARD!$B$13), M757, 1000000000000)</f>
        <v/>
      </c>
      <c r="Y757" s="101">
        <f>IF(AND(F757&lt;=DASHBOARD!$B$10, H757&gt;=DASHBOARD!$B$11), L757, 1000000000000)</f>
        <v/>
      </c>
      <c r="Z757" s="101">
        <f>IF(AND(F757&lt;=DASHBOARD!$B$10, H757&gt;=DASHBOARD!$B$11), O757, 1000000000000)</f>
        <v/>
      </c>
      <c r="AA757" s="101">
        <f>IF(AND(F757&lt;=DASHBOARD!$B$10, H757&gt;=DASHBOARD!$B$11), P757, 1000000000000)</f>
        <v/>
      </c>
      <c r="AB757" s="101">
        <f>IF(AND(F757&lt;=DASHBOARD!$B$10, H757&gt;=DASHBOARD!$B$11), Q757, -1000000000000)</f>
        <v/>
      </c>
    </row>
    <row r="758" ht="15" customHeight="1" s="102">
      <c r="A758" s="166" t="n">
        <v>754</v>
      </c>
      <c r="B758" s="167" t="n">
        <v>1.7</v>
      </c>
      <c r="C758" s="167" t="n">
        <v>1.9</v>
      </c>
      <c r="D758" s="110" t="inlineStr">
        <is>
          <t>Var (%20)</t>
        </is>
      </c>
      <c r="E758" s="110">
        <f>IF((B758+C758)&lt;=1, "Tam Mahsuplaşma (≤%100)", "Kısmi Satış (&gt;%100)")</f>
        <v/>
      </c>
      <c r="F758" s="168">
        <f>((VERI_TABANI!$D$29*B758/VERI_TABANI!$B$29)/VERI_TABANI!$B$3)*VERI_TABANI!$B$5 + ((VERI_TABANI!$D$29*C758/VERI_TABANI!$B$29)/VERI_TABANI!$B$4)*VERI_TABANI!$B$6 + IF(ISNUMBER(SEARCH("Var", D758)), (VERI_TABANI!$F$29/VERI_TABANI!$B$29)*(VERI_TABANI!$B$10+VERI_TABANI!$B$12), 0)</f>
        <v/>
      </c>
      <c r="G758" s="168">
        <f>(((MIN(VERI_TABANI!D23, VERI_TABANI!D23*B758)*VERI_TABANI!$B$7 + MAX(0, VERI_TABANI!D23*B758-VERI_TABANI!D23)*VERI_TABANI!$B$8) + (MIN(MAX(0, VERI_TABANI!D23-VERI_TABANI!D23*B758), VERI_TABANI!D23*C758)*VERI_TABANI!$B$7 + MAX(0, VERI_TABANI!D23*C758-MAX(0, VERI_TABANI!D23-VERI_TABANI!D23*B758))*VERI_TABANI!$B$8) + IF(ABS(IF(ISNUMBER(SEARCH("Var", D758)), 1, IF(ISNUMBER(SEARCH("Gri", D758)), -1, 0)))=1, VERI_TABANI!E23*(1-0.928)*VERI_TABANI!$B$9, 0) + (VERI_TABANI!D23*B758*(VERI_TABANI!$B$13-VERI_TABANI!$B$14)*VERI_TABANI!G23) + (VERI_TABANI!D23*C758*(VERI_TABANI!$B$13-VERI_TABANI!$B$15)*VERI_TABANI!G23) + IF(ABS(IF(ISNUMBER(SEARCH("Var", D758)), 1, IF(ISNUMBER(SEARCH("Gri", D758)), -1, 0)))=1, VERI_TABANI!E23*(1-0.928)*0.00206091519919798*VERI_TABANI!G23, 0)) + ((MIN(VERI_TABANI!D24, VERI_TABANI!D24*B758)*VERI_TABANI!$B$7 + MAX(0, VERI_TABANI!D24*B758-VERI_TABANI!D24)*VERI_TABANI!$B$8) + (MIN(MAX(0, VERI_TABANI!D24-VERI_TABANI!D24*B758), VERI_TABANI!D24*C758)*VERI_TABANI!$B$7 + MAX(0, VERI_TABANI!D24*C758-MAX(0, VERI_TABANI!D24-VERI_TABANI!D24*B758))*VERI_TABANI!$B$8) + IF(ABS(IF(ISNUMBER(SEARCH("Var", D758)), 1, IF(ISNUMBER(SEARCH("Gri", D758)), -1, 0)))=1, VERI_TABANI!E24*(1-0.928)*VERI_TABANI!$B$9, 0) + (VERI_TABANI!D24*B758*(VERI_TABANI!$B$13-VERI_TABANI!$B$14)*VERI_TABANI!G24) + (VERI_TABANI!D24*C758*(VERI_TABANI!$B$13-VERI_TABANI!$B$15)*VERI_TABANI!G24) + IF(ABS(IF(ISNUMBER(SEARCH("Var", D758)), 1, IF(ISNUMBER(SEARCH("Gri", D758)), -1, 0)))=1, VERI_TABANI!E24*(1-0.928)*0.00206091519919798*VERI_TABANI!G24, 0)) + ((MIN(VERI_TABANI!D25, VERI_TABANI!D25*B758)*VERI_TABANI!$B$7 + MAX(0, VERI_TABANI!D25*B758-VERI_TABANI!D25)*VERI_TABANI!$B$8) + (MIN(MAX(0, VERI_TABANI!D25-VERI_TABANI!D25*B758), VERI_TABANI!D25*C758)*VERI_TABANI!$B$7 + MAX(0, VERI_TABANI!D25*C758-MAX(0, VERI_TABANI!D25-VERI_TABANI!D25*B758))*VERI_TABANI!$B$8) + IF(ABS(IF(ISNUMBER(SEARCH("Var", D758)), 1, IF(ISNUMBER(SEARCH("Gri", D758)), -1, 0)))=1, VERI_TABANI!E25*(1-0.928)*VERI_TABANI!$B$9, 0) + (VERI_TABANI!D25*B758*(VERI_TABANI!$B$13-VERI_TABANI!$B$14)*VERI_TABANI!G25) + (VERI_TABANI!D25*C758*(VERI_TABANI!$B$13-VERI_TABANI!$B$15)*VERI_TABANI!G25) + IF(ABS(IF(ISNUMBER(SEARCH("Var", D758)), 1, IF(ISNUMBER(SEARCH("Gri", D758)), -1, 0)))=1, VERI_TABANI!E25*(1-0.928)*0.00206091519919798*VERI_TABANI!G25, 0)) + ((MIN(VERI_TABANI!D26, VERI_TABANI!D26*B758)*VERI_TABANI!$B$7 + MAX(0, VERI_TABANI!D26*B758-VERI_TABANI!D26)*VERI_TABANI!$B$8) + (MIN(MAX(0, VERI_TABANI!D26-VERI_TABANI!D26*B758), VERI_TABANI!D26*C758)*VERI_TABANI!$B$7 + MAX(0, VERI_TABANI!D26*C758-MAX(0, VERI_TABANI!D26-VERI_TABANI!D26*B758))*VERI_TABANI!$B$8) + IF(ABS(IF(ISNUMBER(SEARCH("Var", D758)), 1, IF(ISNUMBER(SEARCH("Gri", D758)), -1, 0)))=1, VERI_TABANI!E26*(1-0.928)*VERI_TABANI!$B$9, 0) + (VERI_TABANI!D26*B758*(VERI_TABANI!$B$13-VERI_TABANI!$B$14)*VERI_TABANI!G26) + (VERI_TABANI!D26*C758*(VERI_TABANI!$B$13-VERI_TABANI!$B$15)*VERI_TABANI!G26) + IF(ABS(IF(ISNUMBER(SEARCH("Var", D758)), 1, IF(ISNUMBER(SEARCH("Gri", D758)), -1, 0)))=1, VERI_TABANI!E26*(1-0.928)*0.00206091519919798*VERI_TABANI!G26, 0)) + ((MIN(VERI_TABANI!D27, VERI_TABANI!D27*B758)*VERI_TABANI!$B$7 + MAX(0, VERI_TABANI!D27*B758-VERI_TABANI!D27)*VERI_TABANI!$B$8) + (MIN(MAX(0, VERI_TABANI!D27-VERI_TABANI!D27*B758), VERI_TABANI!D27*C758)*VERI_TABANI!$B$7 + MAX(0, VERI_TABANI!D27*C758-MAX(0, VERI_TABANI!D27-VERI_TABANI!D27*B758))*VERI_TABANI!$B$8) + IF(ABS(IF(ISNUMBER(SEARCH("Var", D758)), 1, IF(ISNUMBER(SEARCH("Gri", D758)), -1, 0)))=1, VERI_TABANI!E27*(1-0.928)*VERI_TABANI!$B$9, 0) + (VERI_TABANI!D27*B758*(VERI_TABANI!$B$13-VERI_TABANI!$B$14)*VERI_TABANI!G27) + (VERI_TABANI!D27*C758*(VERI_TABANI!$B$13-VERI_TABANI!$B$15)*VERI_TABANI!G27) + IF(ABS(IF(ISNUMBER(SEARCH("Var", D758)), 1, IF(ISNUMBER(SEARCH("Gri", D758)), -1, 0)))=1, VERI_TABANI!E27*(1-0.928)*0.00206091519919798*VERI_TABANI!G27, 0)) + ((MIN(VERI_TABANI!D28, VERI_TABANI!D28*B758)*VERI_TABANI!$B$7 + MAX(0, VERI_TABANI!D28*B758-VERI_TABANI!D28)*VERI_TABANI!$B$8) + (MIN(MAX(0, VERI_TABANI!D28-VERI_TABANI!D28*B758), VERI_TABANI!D28*C758)*VERI_TABANI!$B$7 + MAX(0, VERI_TABANI!D28*C758-MAX(0, VERI_TABANI!D28-VERI_TABANI!D28*B758))*VERI_TABANI!$B$8) + IF(ABS(IF(ISNUMBER(SEARCH("Var", D758)), 1, IF(ISNUMBER(SEARCH("Gri", D758)), -1, 0)))=1, VERI_TABANI!E28*(1-0.928)*VERI_TABANI!$B$9, 0) + (VERI_TABANI!D28*B758*(VERI_TABANI!$B$13-VERI_TABANI!$B$14)*VERI_TABANI!G28) + (VERI_TABANI!D28*C758*(VERI_TABANI!$B$13-VERI_TABANI!$B$15)*VERI_TABANI!G28) + IF(ABS(IF(ISNUMBER(SEARCH("Var", D758)), 1, IF(ISNUMBER(SEARCH("Gri", D758)), -1, 0)))=1, VERI_TABANI!E28*(1-0.928)*0.00206091519919798*VERI_TABANI!G28, 0)))</f>
        <v/>
      </c>
      <c r="H758" s="169">
        <f>(((VERI_TABANI!D23*B758*(VERI_TABANI!$B$13-VERI_TABANI!$B$14)) + (VERI_TABANI!D23*C758*(VERI_TABANI!$B$13-VERI_TABANI!$B$15)) + IF(ISNUMBER(SEARCH("Var", D758)), VERI_TABANI!F23*(0.00202-VERI_TABANI!$B$16), IF(ISNUMBER(SEARCH("Gri", D758)), VERI_TABANI!F23*(0.00202-VERI_TABANI!$B$17), 0))) + ((VERI_TABANI!D24*B758*(VERI_TABANI!$B$13-VERI_TABANI!$B$14)) + (VERI_TABANI!D24*C758*(VERI_TABANI!$B$13-VERI_TABANI!$B$15)) + IF(ISNUMBER(SEARCH("Var", D758)), VERI_TABANI!F24*(0.00202-VERI_TABANI!$B$16), IF(ISNUMBER(SEARCH("Gri", D758)), VERI_TABANI!F24*(0.00202-VERI_TABANI!$B$17), 0))) + ((VERI_TABANI!D25*B758*(VERI_TABANI!$B$13-VERI_TABANI!$B$14)) + (VERI_TABANI!D25*C758*(VERI_TABANI!$B$13-VERI_TABANI!$B$15)) + IF(ISNUMBER(SEARCH("Var", D758)), VERI_TABANI!F25*(0.00202-VERI_TABANI!$B$16), IF(ISNUMBER(SEARCH("Gri", D758)), VERI_TABANI!F25*(0.00202-VERI_TABANI!$B$17), 0))) + ((VERI_TABANI!D26*B758*(VERI_TABANI!$B$13-VERI_TABANI!$B$14)) + (VERI_TABANI!D26*C758*(VERI_TABANI!$B$13-VERI_TABANI!$B$15)) + IF(ISNUMBER(SEARCH("Var", D758)), VERI_TABANI!F26*(0.00202-VERI_TABANI!$B$16), IF(ISNUMBER(SEARCH("Gri", D758)), VERI_TABANI!F26*(0.00202-VERI_TABANI!$B$17), 0))) + ((VERI_TABANI!D27*B758*(VERI_TABANI!$B$13-VERI_TABANI!$B$14)) + (VERI_TABANI!D27*C758*(VERI_TABANI!$B$13-VERI_TABANI!$B$15)) + IF(ISNUMBER(SEARCH("Var", D758)), VERI_TABANI!F27*(0.00202-VERI_TABANI!$B$16), IF(ISNUMBER(SEARCH("Gri", D758)), VERI_TABANI!F27*(0.00202-VERI_TABANI!$B$17), 0))) + ((VERI_TABANI!D28*B758*(VERI_TABANI!$B$13-VERI_TABANI!$B$14)) + (VERI_TABANI!D28*C758*(VERI_TABANI!$B$13-VERI_TABANI!$B$15)) + IF(ISNUMBER(SEARCH("Var", D758)), VERI_TABANI!F28*(0.00202-VERI_TABANI!$B$16), IF(ISNUMBER(SEARCH("Gri", D758)), VERI_TABANI!F28*(0.00202-VERI_TABANI!$B$17), 0))))</f>
        <v/>
      </c>
      <c r="I758" s="170">
        <f>IFERROR(((VERI_TABANI!$D$29*B758*VERI_TABANI!$B$14 + VERI_TABANI!$D$29*C758*VERI_TABANI!$B$15 + IF(ISNUMBER(SEARCH("Var", D758)), VERI_TABANI!$F$29*VERI_TABANI!$B$16, 0))) / (((VERI_TABANI!$D$29*B758 + VERI_TABANI!$D$29*C758)*VERI_TABANI!$B$13 + IF(ISNUMBER(SEARCH("Var", D758)), VERI_TABANI!$E$29*(1-0.928)*VERI_TABANI!$B$18, 0))), 0)</f>
        <v/>
      </c>
      <c r="J758" s="171">
        <f>IFERROR(F758/(G758/29), 0)</f>
        <v/>
      </c>
      <c r="K758" s="172">
        <f>IF(F758&gt;0, H758/F758, 0)</f>
        <v/>
      </c>
      <c r="L758" s="170">
        <f>IF(F758&gt;0, I758, 1000000000)</f>
        <v/>
      </c>
      <c r="M758" s="171">
        <f>ABS((B758+C758)-1)</f>
        <v/>
      </c>
      <c r="N758" s="170">
        <f>IF(F758&gt;0, (G758/29)/F758, 0)</f>
        <v/>
      </c>
      <c r="O758" s="168">
        <f>IF(AND((B758+C758)&gt;=1, ISNUMBER(SEARCH("Var", D758))), F758, 1000000000)</f>
        <v/>
      </c>
      <c r="P758" s="172">
        <f>IF(F758&gt;0, SQRT((F758/MAX(F$5:F$886))^2 + (1 - H758/MAX(H$5:H$886))^2 + (J758/MAX(J$5:J$886))^2), 1000000000)</f>
        <v/>
      </c>
      <c r="Q758" s="166">
        <f>IF(AND(ABS(B758-0.5)&lt;0.01, ABS(C758-0.5)&lt;0.01, ISNUMBER(SEARCH("Var", D758))), 1, 0)</f>
        <v/>
      </c>
      <c r="R758" s="171">
        <f>IF(F758&gt;0, J758, 1000000000)</f>
        <v/>
      </c>
      <c r="S758" s="101">
        <f>IF(AND(F758&lt;=DASHBOARD!$B$11, H758&gt;=DASHBOARD!$B$13), G758, -1000000000000)</f>
        <v/>
      </c>
      <c r="T758" s="101">
        <f>IF(AND(F758&lt;=DASHBOARD!$B$11, H758&gt;=DASHBOARD!$B$13), R758, 1000000000000)</f>
        <v/>
      </c>
      <c r="U758" s="101">
        <f>IF(AND(F758&lt;=DASHBOARD!$B$11, H758&gt;=DASHBOARD!$B$13), N758, -1000000000000)</f>
        <v/>
      </c>
      <c r="V758" s="101">
        <f>IF(AND(F758&lt;=DASHBOARD!$B$11, H758&gt;=DASHBOARD!$B$13), H758, -1000000000000)</f>
        <v/>
      </c>
      <c r="W758" s="101">
        <f>IF(AND(F758&lt;=DASHBOARD!$B$11, H758&gt;=DASHBOARD!$B$13), K758, -1000000000000)</f>
        <v/>
      </c>
      <c r="X758" s="101">
        <f>IF(AND(F758&lt;=DASHBOARD!$B$11, H758&gt;=DASHBOARD!$B$13), M758, 1000000000000)</f>
        <v/>
      </c>
      <c r="Y758" s="101">
        <f>IF(AND(F758&lt;=DASHBOARD!$B$10, H758&gt;=DASHBOARD!$B$11), L758, 1000000000000)</f>
        <v/>
      </c>
      <c r="Z758" s="101">
        <f>IF(AND(F758&lt;=DASHBOARD!$B$10, H758&gt;=DASHBOARD!$B$11), O758, 1000000000000)</f>
        <v/>
      </c>
      <c r="AA758" s="101">
        <f>IF(AND(F758&lt;=DASHBOARD!$B$10, H758&gt;=DASHBOARD!$B$11), P758, 1000000000000)</f>
        <v/>
      </c>
      <c r="AB758" s="101">
        <f>IF(AND(F758&lt;=DASHBOARD!$B$10, H758&gt;=DASHBOARD!$B$11), Q758, -1000000000000)</f>
        <v/>
      </c>
    </row>
    <row r="759" ht="15" customHeight="1" s="102">
      <c r="A759" s="166" t="n">
        <v>755</v>
      </c>
      <c r="B759" s="167" t="n">
        <v>1.7</v>
      </c>
      <c r="C759" s="167" t="n">
        <v>2</v>
      </c>
      <c r="D759" s="110" t="inlineStr">
        <is>
          <t>Yok (%0)</t>
        </is>
      </c>
      <c r="E759" s="110">
        <f>IF((B759+C759)&lt;=1, "Tam Mahsuplaşma (≤%100)", "Kısmi Satış (&gt;%100)")</f>
        <v/>
      </c>
      <c r="F759" s="168">
        <f>((VERI_TABANI!$D$29*B759/VERI_TABANI!$B$29)/VERI_TABANI!$B$3)*VERI_TABANI!$B$5 + ((VERI_TABANI!$D$29*C759/VERI_TABANI!$B$29)/VERI_TABANI!$B$4)*VERI_TABANI!$B$6 + IF(ISNUMBER(SEARCH("Var", D759)), (VERI_TABANI!$F$29/VERI_TABANI!$B$29)*(VERI_TABANI!$B$10+VERI_TABANI!$B$12), 0)</f>
        <v/>
      </c>
      <c r="G759" s="168">
        <f>(((MIN(VERI_TABANI!D23, VERI_TABANI!D23*B759)*VERI_TABANI!$B$7 + MAX(0, VERI_TABANI!D23*B759-VERI_TABANI!D23)*VERI_TABANI!$B$8) + (MIN(MAX(0, VERI_TABANI!D23-VERI_TABANI!D23*B759), VERI_TABANI!D23*C759)*VERI_TABANI!$B$7 + MAX(0, VERI_TABANI!D23*C759-MAX(0, VERI_TABANI!D23-VERI_TABANI!D23*B759))*VERI_TABANI!$B$8) + IF(ABS(IF(ISNUMBER(SEARCH("Var", D759)), 1, IF(ISNUMBER(SEARCH("Gri", D759)), -1, 0)))=1, VERI_TABANI!E23*(1-0.928)*VERI_TABANI!$B$9, 0) + (VERI_TABANI!D23*B759*(VERI_TABANI!$B$13-VERI_TABANI!$B$14)*VERI_TABANI!G23) + (VERI_TABANI!D23*C759*(VERI_TABANI!$B$13-VERI_TABANI!$B$15)*VERI_TABANI!G23) + IF(ABS(IF(ISNUMBER(SEARCH("Var", D759)), 1, IF(ISNUMBER(SEARCH("Gri", D759)), -1, 0)))=1, VERI_TABANI!E23*(1-0.928)*0.00206091519919798*VERI_TABANI!G23, 0)) + ((MIN(VERI_TABANI!D24, VERI_TABANI!D24*B759)*VERI_TABANI!$B$7 + MAX(0, VERI_TABANI!D24*B759-VERI_TABANI!D24)*VERI_TABANI!$B$8) + (MIN(MAX(0, VERI_TABANI!D24-VERI_TABANI!D24*B759), VERI_TABANI!D24*C759)*VERI_TABANI!$B$7 + MAX(0, VERI_TABANI!D24*C759-MAX(0, VERI_TABANI!D24-VERI_TABANI!D24*B759))*VERI_TABANI!$B$8) + IF(ABS(IF(ISNUMBER(SEARCH("Var", D759)), 1, IF(ISNUMBER(SEARCH("Gri", D759)), -1, 0)))=1, VERI_TABANI!E24*(1-0.928)*VERI_TABANI!$B$9, 0) + (VERI_TABANI!D24*B759*(VERI_TABANI!$B$13-VERI_TABANI!$B$14)*VERI_TABANI!G24) + (VERI_TABANI!D24*C759*(VERI_TABANI!$B$13-VERI_TABANI!$B$15)*VERI_TABANI!G24) + IF(ABS(IF(ISNUMBER(SEARCH("Var", D759)), 1, IF(ISNUMBER(SEARCH("Gri", D759)), -1, 0)))=1, VERI_TABANI!E24*(1-0.928)*0.00206091519919798*VERI_TABANI!G24, 0)) + ((MIN(VERI_TABANI!D25, VERI_TABANI!D25*B759)*VERI_TABANI!$B$7 + MAX(0, VERI_TABANI!D25*B759-VERI_TABANI!D25)*VERI_TABANI!$B$8) + (MIN(MAX(0, VERI_TABANI!D25-VERI_TABANI!D25*B759), VERI_TABANI!D25*C759)*VERI_TABANI!$B$7 + MAX(0, VERI_TABANI!D25*C759-MAX(0, VERI_TABANI!D25-VERI_TABANI!D25*B759))*VERI_TABANI!$B$8) + IF(ABS(IF(ISNUMBER(SEARCH("Var", D759)), 1, IF(ISNUMBER(SEARCH("Gri", D759)), -1, 0)))=1, VERI_TABANI!E25*(1-0.928)*VERI_TABANI!$B$9, 0) + (VERI_TABANI!D25*B759*(VERI_TABANI!$B$13-VERI_TABANI!$B$14)*VERI_TABANI!G25) + (VERI_TABANI!D25*C759*(VERI_TABANI!$B$13-VERI_TABANI!$B$15)*VERI_TABANI!G25) + IF(ABS(IF(ISNUMBER(SEARCH("Var", D759)), 1, IF(ISNUMBER(SEARCH("Gri", D759)), -1, 0)))=1, VERI_TABANI!E25*(1-0.928)*0.00206091519919798*VERI_TABANI!G25, 0)) + ((MIN(VERI_TABANI!D26, VERI_TABANI!D26*B759)*VERI_TABANI!$B$7 + MAX(0, VERI_TABANI!D26*B759-VERI_TABANI!D26)*VERI_TABANI!$B$8) + (MIN(MAX(0, VERI_TABANI!D26-VERI_TABANI!D26*B759), VERI_TABANI!D26*C759)*VERI_TABANI!$B$7 + MAX(0, VERI_TABANI!D26*C759-MAX(0, VERI_TABANI!D26-VERI_TABANI!D26*B759))*VERI_TABANI!$B$8) + IF(ABS(IF(ISNUMBER(SEARCH("Var", D759)), 1, IF(ISNUMBER(SEARCH("Gri", D759)), -1, 0)))=1, VERI_TABANI!E26*(1-0.928)*VERI_TABANI!$B$9, 0) + (VERI_TABANI!D26*B759*(VERI_TABANI!$B$13-VERI_TABANI!$B$14)*VERI_TABANI!G26) + (VERI_TABANI!D26*C759*(VERI_TABANI!$B$13-VERI_TABANI!$B$15)*VERI_TABANI!G26) + IF(ABS(IF(ISNUMBER(SEARCH("Var", D759)), 1, IF(ISNUMBER(SEARCH("Gri", D759)), -1, 0)))=1, VERI_TABANI!E26*(1-0.928)*0.00206091519919798*VERI_TABANI!G26, 0)) + ((MIN(VERI_TABANI!D27, VERI_TABANI!D27*B759)*VERI_TABANI!$B$7 + MAX(0, VERI_TABANI!D27*B759-VERI_TABANI!D27)*VERI_TABANI!$B$8) + (MIN(MAX(0, VERI_TABANI!D27-VERI_TABANI!D27*B759), VERI_TABANI!D27*C759)*VERI_TABANI!$B$7 + MAX(0, VERI_TABANI!D27*C759-MAX(0, VERI_TABANI!D27-VERI_TABANI!D27*B759))*VERI_TABANI!$B$8) + IF(ABS(IF(ISNUMBER(SEARCH("Var", D759)), 1, IF(ISNUMBER(SEARCH("Gri", D759)), -1, 0)))=1, VERI_TABANI!E27*(1-0.928)*VERI_TABANI!$B$9, 0) + (VERI_TABANI!D27*B759*(VERI_TABANI!$B$13-VERI_TABANI!$B$14)*VERI_TABANI!G27) + (VERI_TABANI!D27*C759*(VERI_TABANI!$B$13-VERI_TABANI!$B$15)*VERI_TABANI!G27) + IF(ABS(IF(ISNUMBER(SEARCH("Var", D759)), 1, IF(ISNUMBER(SEARCH("Gri", D759)), -1, 0)))=1, VERI_TABANI!E27*(1-0.928)*0.00206091519919798*VERI_TABANI!G27, 0)) + ((MIN(VERI_TABANI!D28, VERI_TABANI!D28*B759)*VERI_TABANI!$B$7 + MAX(0, VERI_TABANI!D28*B759-VERI_TABANI!D28)*VERI_TABANI!$B$8) + (MIN(MAX(0, VERI_TABANI!D28-VERI_TABANI!D28*B759), VERI_TABANI!D28*C759)*VERI_TABANI!$B$7 + MAX(0, VERI_TABANI!D28*C759-MAX(0, VERI_TABANI!D28-VERI_TABANI!D28*B759))*VERI_TABANI!$B$8) + IF(ABS(IF(ISNUMBER(SEARCH("Var", D759)), 1, IF(ISNUMBER(SEARCH("Gri", D759)), -1, 0)))=1, VERI_TABANI!E28*(1-0.928)*VERI_TABANI!$B$9, 0) + (VERI_TABANI!D28*B759*(VERI_TABANI!$B$13-VERI_TABANI!$B$14)*VERI_TABANI!G28) + (VERI_TABANI!D28*C759*(VERI_TABANI!$B$13-VERI_TABANI!$B$15)*VERI_TABANI!G28) + IF(ABS(IF(ISNUMBER(SEARCH("Var", D759)), 1, IF(ISNUMBER(SEARCH("Gri", D759)), -1, 0)))=1, VERI_TABANI!E28*(1-0.928)*0.00206091519919798*VERI_TABANI!G28, 0)))</f>
        <v/>
      </c>
      <c r="H759" s="169">
        <f>(((VERI_TABANI!D23*B759*(VERI_TABANI!$B$13-VERI_TABANI!$B$14)) + (VERI_TABANI!D23*C759*(VERI_TABANI!$B$13-VERI_TABANI!$B$15)) + IF(ISNUMBER(SEARCH("Var", D759)), VERI_TABANI!F23*(0.00202-VERI_TABANI!$B$16), IF(ISNUMBER(SEARCH("Gri", D759)), VERI_TABANI!F23*(0.00202-VERI_TABANI!$B$17), 0))) + ((VERI_TABANI!D24*B759*(VERI_TABANI!$B$13-VERI_TABANI!$B$14)) + (VERI_TABANI!D24*C759*(VERI_TABANI!$B$13-VERI_TABANI!$B$15)) + IF(ISNUMBER(SEARCH("Var", D759)), VERI_TABANI!F24*(0.00202-VERI_TABANI!$B$16), IF(ISNUMBER(SEARCH("Gri", D759)), VERI_TABANI!F24*(0.00202-VERI_TABANI!$B$17), 0))) + ((VERI_TABANI!D25*B759*(VERI_TABANI!$B$13-VERI_TABANI!$B$14)) + (VERI_TABANI!D25*C759*(VERI_TABANI!$B$13-VERI_TABANI!$B$15)) + IF(ISNUMBER(SEARCH("Var", D759)), VERI_TABANI!F25*(0.00202-VERI_TABANI!$B$16), IF(ISNUMBER(SEARCH("Gri", D759)), VERI_TABANI!F25*(0.00202-VERI_TABANI!$B$17), 0))) + ((VERI_TABANI!D26*B759*(VERI_TABANI!$B$13-VERI_TABANI!$B$14)) + (VERI_TABANI!D26*C759*(VERI_TABANI!$B$13-VERI_TABANI!$B$15)) + IF(ISNUMBER(SEARCH("Var", D759)), VERI_TABANI!F26*(0.00202-VERI_TABANI!$B$16), IF(ISNUMBER(SEARCH("Gri", D759)), VERI_TABANI!F26*(0.00202-VERI_TABANI!$B$17), 0))) + ((VERI_TABANI!D27*B759*(VERI_TABANI!$B$13-VERI_TABANI!$B$14)) + (VERI_TABANI!D27*C759*(VERI_TABANI!$B$13-VERI_TABANI!$B$15)) + IF(ISNUMBER(SEARCH("Var", D759)), VERI_TABANI!F27*(0.00202-VERI_TABANI!$B$16), IF(ISNUMBER(SEARCH("Gri", D759)), VERI_TABANI!F27*(0.00202-VERI_TABANI!$B$17), 0))) + ((VERI_TABANI!D28*B759*(VERI_TABANI!$B$13-VERI_TABANI!$B$14)) + (VERI_TABANI!D28*C759*(VERI_TABANI!$B$13-VERI_TABANI!$B$15)) + IF(ISNUMBER(SEARCH("Var", D759)), VERI_TABANI!F28*(0.00202-VERI_TABANI!$B$16), IF(ISNUMBER(SEARCH("Gri", D759)), VERI_TABANI!F28*(0.00202-VERI_TABANI!$B$17), 0))))</f>
        <v/>
      </c>
      <c r="I759" s="170">
        <f>IFERROR(((VERI_TABANI!$D$29*B759*VERI_TABANI!$B$14 + VERI_TABANI!$D$29*C759*VERI_TABANI!$B$15 + IF(ISNUMBER(SEARCH("Var", D759)), VERI_TABANI!$F$29*VERI_TABANI!$B$16, 0))) / (((VERI_TABANI!$D$29*B759 + VERI_TABANI!$D$29*C759)*VERI_TABANI!$B$13 + IF(ISNUMBER(SEARCH("Var", D759)), VERI_TABANI!$E$29*(1-0.928)*VERI_TABANI!$B$18, 0))), 0)</f>
        <v/>
      </c>
      <c r="J759" s="171">
        <f>IFERROR(F759/(G759/29), 0)</f>
        <v/>
      </c>
      <c r="K759" s="172">
        <f>IF(F759&gt;0, H759/F759, 0)</f>
        <v/>
      </c>
      <c r="L759" s="170">
        <f>IF(F759&gt;0, I759, 1000000000)</f>
        <v/>
      </c>
      <c r="M759" s="171">
        <f>ABS((B759+C759)-1)</f>
        <v/>
      </c>
      <c r="N759" s="170">
        <f>IF(F759&gt;0, (G759/29)/F759, 0)</f>
        <v/>
      </c>
      <c r="O759" s="168">
        <f>IF(AND((B759+C759)&gt;=1, ISNUMBER(SEARCH("Var", D759))), F759, 1000000000)</f>
        <v/>
      </c>
      <c r="P759" s="172">
        <f>IF(F759&gt;0, SQRT((F759/MAX(F$5:F$886))^2 + (1 - H759/MAX(H$5:H$886))^2 + (J759/MAX(J$5:J$886))^2), 1000000000)</f>
        <v/>
      </c>
      <c r="Q759" s="166">
        <f>IF(AND(ABS(B759-0.5)&lt;0.01, ABS(C759-0.5)&lt;0.01, ISNUMBER(SEARCH("Var", D759))), 1, 0)</f>
        <v/>
      </c>
      <c r="R759" s="171">
        <f>IF(F759&gt;0, J759, 1000000000)</f>
        <v/>
      </c>
      <c r="S759" s="101">
        <f>IF(AND(F759&lt;=DASHBOARD!$B$11, H759&gt;=DASHBOARD!$B$13), G759, -1000000000000)</f>
        <v/>
      </c>
      <c r="T759" s="101">
        <f>IF(AND(F759&lt;=DASHBOARD!$B$11, H759&gt;=DASHBOARD!$B$13), R759, 1000000000000)</f>
        <v/>
      </c>
      <c r="U759" s="101">
        <f>IF(AND(F759&lt;=DASHBOARD!$B$11, H759&gt;=DASHBOARD!$B$13), N759, -1000000000000)</f>
        <v/>
      </c>
      <c r="V759" s="101">
        <f>IF(AND(F759&lt;=DASHBOARD!$B$11, H759&gt;=DASHBOARD!$B$13), H759, -1000000000000)</f>
        <v/>
      </c>
      <c r="W759" s="101">
        <f>IF(AND(F759&lt;=DASHBOARD!$B$11, H759&gt;=DASHBOARD!$B$13), K759, -1000000000000)</f>
        <v/>
      </c>
      <c r="X759" s="101">
        <f>IF(AND(F759&lt;=DASHBOARD!$B$11, H759&gt;=DASHBOARD!$B$13), M759, 1000000000000)</f>
        <v/>
      </c>
      <c r="Y759" s="101">
        <f>IF(AND(F759&lt;=DASHBOARD!$B$10, H759&gt;=DASHBOARD!$B$11), L759, 1000000000000)</f>
        <v/>
      </c>
      <c r="Z759" s="101">
        <f>IF(AND(F759&lt;=DASHBOARD!$B$10, H759&gt;=DASHBOARD!$B$11), O759, 1000000000000)</f>
        <v/>
      </c>
      <c r="AA759" s="101">
        <f>IF(AND(F759&lt;=DASHBOARD!$B$10, H759&gt;=DASHBOARD!$B$11), P759, 1000000000000)</f>
        <v/>
      </c>
      <c r="AB759" s="101">
        <f>IF(AND(F759&lt;=DASHBOARD!$B$10, H759&gt;=DASHBOARD!$B$11), Q759, -1000000000000)</f>
        <v/>
      </c>
    </row>
    <row r="760" ht="15" customHeight="1" s="102">
      <c r="A760" s="166" t="n">
        <v>756</v>
      </c>
      <c r="B760" s="167" t="n">
        <v>1.7</v>
      </c>
      <c r="C760" s="167" t="n">
        <v>2</v>
      </c>
      <c r="D760" s="110" t="inlineStr">
        <is>
          <t>Var (%20)</t>
        </is>
      </c>
      <c r="E760" s="110">
        <f>IF((B760+C760)&lt;=1, "Tam Mahsuplaşma (≤%100)", "Kısmi Satış (&gt;%100)")</f>
        <v/>
      </c>
      <c r="F760" s="168">
        <f>((VERI_TABANI!$D$29*B760/VERI_TABANI!$B$29)/VERI_TABANI!$B$3)*VERI_TABANI!$B$5 + ((VERI_TABANI!$D$29*C760/VERI_TABANI!$B$29)/VERI_TABANI!$B$4)*VERI_TABANI!$B$6 + IF(ISNUMBER(SEARCH("Var", D760)), (VERI_TABANI!$F$29/VERI_TABANI!$B$29)*(VERI_TABANI!$B$10+VERI_TABANI!$B$12), 0)</f>
        <v/>
      </c>
      <c r="G760" s="168">
        <f>(((MIN(VERI_TABANI!D23, VERI_TABANI!D23*B760)*VERI_TABANI!$B$7 + MAX(0, VERI_TABANI!D23*B760-VERI_TABANI!D23)*VERI_TABANI!$B$8) + (MIN(MAX(0, VERI_TABANI!D23-VERI_TABANI!D23*B760), VERI_TABANI!D23*C760)*VERI_TABANI!$B$7 + MAX(0, VERI_TABANI!D23*C760-MAX(0, VERI_TABANI!D23-VERI_TABANI!D23*B760))*VERI_TABANI!$B$8) + IF(ABS(IF(ISNUMBER(SEARCH("Var", D760)), 1, IF(ISNUMBER(SEARCH("Gri", D760)), -1, 0)))=1, VERI_TABANI!E23*(1-0.928)*VERI_TABANI!$B$9, 0) + (VERI_TABANI!D23*B760*(VERI_TABANI!$B$13-VERI_TABANI!$B$14)*VERI_TABANI!G23) + (VERI_TABANI!D23*C760*(VERI_TABANI!$B$13-VERI_TABANI!$B$15)*VERI_TABANI!G23) + IF(ABS(IF(ISNUMBER(SEARCH("Var", D760)), 1, IF(ISNUMBER(SEARCH("Gri", D760)), -1, 0)))=1, VERI_TABANI!E23*(1-0.928)*0.00206091519919798*VERI_TABANI!G23, 0)) + ((MIN(VERI_TABANI!D24, VERI_TABANI!D24*B760)*VERI_TABANI!$B$7 + MAX(0, VERI_TABANI!D24*B760-VERI_TABANI!D24)*VERI_TABANI!$B$8) + (MIN(MAX(0, VERI_TABANI!D24-VERI_TABANI!D24*B760), VERI_TABANI!D24*C760)*VERI_TABANI!$B$7 + MAX(0, VERI_TABANI!D24*C760-MAX(0, VERI_TABANI!D24-VERI_TABANI!D24*B760))*VERI_TABANI!$B$8) + IF(ABS(IF(ISNUMBER(SEARCH("Var", D760)), 1, IF(ISNUMBER(SEARCH("Gri", D760)), -1, 0)))=1, VERI_TABANI!E24*(1-0.928)*VERI_TABANI!$B$9, 0) + (VERI_TABANI!D24*B760*(VERI_TABANI!$B$13-VERI_TABANI!$B$14)*VERI_TABANI!G24) + (VERI_TABANI!D24*C760*(VERI_TABANI!$B$13-VERI_TABANI!$B$15)*VERI_TABANI!G24) + IF(ABS(IF(ISNUMBER(SEARCH("Var", D760)), 1, IF(ISNUMBER(SEARCH("Gri", D760)), -1, 0)))=1, VERI_TABANI!E24*(1-0.928)*0.00206091519919798*VERI_TABANI!G24, 0)) + ((MIN(VERI_TABANI!D25, VERI_TABANI!D25*B760)*VERI_TABANI!$B$7 + MAX(0, VERI_TABANI!D25*B760-VERI_TABANI!D25)*VERI_TABANI!$B$8) + (MIN(MAX(0, VERI_TABANI!D25-VERI_TABANI!D25*B760), VERI_TABANI!D25*C760)*VERI_TABANI!$B$7 + MAX(0, VERI_TABANI!D25*C760-MAX(0, VERI_TABANI!D25-VERI_TABANI!D25*B760))*VERI_TABANI!$B$8) + IF(ABS(IF(ISNUMBER(SEARCH("Var", D760)), 1, IF(ISNUMBER(SEARCH("Gri", D760)), -1, 0)))=1, VERI_TABANI!E25*(1-0.928)*VERI_TABANI!$B$9, 0) + (VERI_TABANI!D25*B760*(VERI_TABANI!$B$13-VERI_TABANI!$B$14)*VERI_TABANI!G25) + (VERI_TABANI!D25*C760*(VERI_TABANI!$B$13-VERI_TABANI!$B$15)*VERI_TABANI!G25) + IF(ABS(IF(ISNUMBER(SEARCH("Var", D760)), 1, IF(ISNUMBER(SEARCH("Gri", D760)), -1, 0)))=1, VERI_TABANI!E25*(1-0.928)*0.00206091519919798*VERI_TABANI!G25, 0)) + ((MIN(VERI_TABANI!D26, VERI_TABANI!D26*B760)*VERI_TABANI!$B$7 + MAX(0, VERI_TABANI!D26*B760-VERI_TABANI!D26)*VERI_TABANI!$B$8) + (MIN(MAX(0, VERI_TABANI!D26-VERI_TABANI!D26*B760), VERI_TABANI!D26*C760)*VERI_TABANI!$B$7 + MAX(0, VERI_TABANI!D26*C760-MAX(0, VERI_TABANI!D26-VERI_TABANI!D26*B760))*VERI_TABANI!$B$8) + IF(ABS(IF(ISNUMBER(SEARCH("Var", D760)), 1, IF(ISNUMBER(SEARCH("Gri", D760)), -1, 0)))=1, VERI_TABANI!E26*(1-0.928)*VERI_TABANI!$B$9, 0) + (VERI_TABANI!D26*B760*(VERI_TABANI!$B$13-VERI_TABANI!$B$14)*VERI_TABANI!G26) + (VERI_TABANI!D26*C760*(VERI_TABANI!$B$13-VERI_TABANI!$B$15)*VERI_TABANI!G26) + IF(ABS(IF(ISNUMBER(SEARCH("Var", D760)), 1, IF(ISNUMBER(SEARCH("Gri", D760)), -1, 0)))=1, VERI_TABANI!E26*(1-0.928)*0.00206091519919798*VERI_TABANI!G26, 0)) + ((MIN(VERI_TABANI!D27, VERI_TABANI!D27*B760)*VERI_TABANI!$B$7 + MAX(0, VERI_TABANI!D27*B760-VERI_TABANI!D27)*VERI_TABANI!$B$8) + (MIN(MAX(0, VERI_TABANI!D27-VERI_TABANI!D27*B760), VERI_TABANI!D27*C760)*VERI_TABANI!$B$7 + MAX(0, VERI_TABANI!D27*C760-MAX(0, VERI_TABANI!D27-VERI_TABANI!D27*B760))*VERI_TABANI!$B$8) + IF(ABS(IF(ISNUMBER(SEARCH("Var", D760)), 1, IF(ISNUMBER(SEARCH("Gri", D760)), -1, 0)))=1, VERI_TABANI!E27*(1-0.928)*VERI_TABANI!$B$9, 0) + (VERI_TABANI!D27*B760*(VERI_TABANI!$B$13-VERI_TABANI!$B$14)*VERI_TABANI!G27) + (VERI_TABANI!D27*C760*(VERI_TABANI!$B$13-VERI_TABANI!$B$15)*VERI_TABANI!G27) + IF(ABS(IF(ISNUMBER(SEARCH("Var", D760)), 1, IF(ISNUMBER(SEARCH("Gri", D760)), -1, 0)))=1, VERI_TABANI!E27*(1-0.928)*0.00206091519919798*VERI_TABANI!G27, 0)) + ((MIN(VERI_TABANI!D28, VERI_TABANI!D28*B760)*VERI_TABANI!$B$7 + MAX(0, VERI_TABANI!D28*B760-VERI_TABANI!D28)*VERI_TABANI!$B$8) + (MIN(MAX(0, VERI_TABANI!D28-VERI_TABANI!D28*B760), VERI_TABANI!D28*C760)*VERI_TABANI!$B$7 + MAX(0, VERI_TABANI!D28*C760-MAX(0, VERI_TABANI!D28-VERI_TABANI!D28*B760))*VERI_TABANI!$B$8) + IF(ABS(IF(ISNUMBER(SEARCH("Var", D760)), 1, IF(ISNUMBER(SEARCH("Gri", D760)), -1, 0)))=1, VERI_TABANI!E28*(1-0.928)*VERI_TABANI!$B$9, 0) + (VERI_TABANI!D28*B760*(VERI_TABANI!$B$13-VERI_TABANI!$B$14)*VERI_TABANI!G28) + (VERI_TABANI!D28*C760*(VERI_TABANI!$B$13-VERI_TABANI!$B$15)*VERI_TABANI!G28) + IF(ABS(IF(ISNUMBER(SEARCH("Var", D760)), 1, IF(ISNUMBER(SEARCH("Gri", D760)), -1, 0)))=1, VERI_TABANI!E28*(1-0.928)*0.00206091519919798*VERI_TABANI!G28, 0)))</f>
        <v/>
      </c>
      <c r="H760" s="169">
        <f>(((VERI_TABANI!D23*B760*(VERI_TABANI!$B$13-VERI_TABANI!$B$14)) + (VERI_TABANI!D23*C760*(VERI_TABANI!$B$13-VERI_TABANI!$B$15)) + IF(ISNUMBER(SEARCH("Var", D760)), VERI_TABANI!F23*(0.00202-VERI_TABANI!$B$16), IF(ISNUMBER(SEARCH("Gri", D760)), VERI_TABANI!F23*(0.00202-VERI_TABANI!$B$17), 0))) + ((VERI_TABANI!D24*B760*(VERI_TABANI!$B$13-VERI_TABANI!$B$14)) + (VERI_TABANI!D24*C760*(VERI_TABANI!$B$13-VERI_TABANI!$B$15)) + IF(ISNUMBER(SEARCH("Var", D760)), VERI_TABANI!F24*(0.00202-VERI_TABANI!$B$16), IF(ISNUMBER(SEARCH("Gri", D760)), VERI_TABANI!F24*(0.00202-VERI_TABANI!$B$17), 0))) + ((VERI_TABANI!D25*B760*(VERI_TABANI!$B$13-VERI_TABANI!$B$14)) + (VERI_TABANI!D25*C760*(VERI_TABANI!$B$13-VERI_TABANI!$B$15)) + IF(ISNUMBER(SEARCH("Var", D760)), VERI_TABANI!F25*(0.00202-VERI_TABANI!$B$16), IF(ISNUMBER(SEARCH("Gri", D760)), VERI_TABANI!F25*(0.00202-VERI_TABANI!$B$17), 0))) + ((VERI_TABANI!D26*B760*(VERI_TABANI!$B$13-VERI_TABANI!$B$14)) + (VERI_TABANI!D26*C760*(VERI_TABANI!$B$13-VERI_TABANI!$B$15)) + IF(ISNUMBER(SEARCH("Var", D760)), VERI_TABANI!F26*(0.00202-VERI_TABANI!$B$16), IF(ISNUMBER(SEARCH("Gri", D760)), VERI_TABANI!F26*(0.00202-VERI_TABANI!$B$17), 0))) + ((VERI_TABANI!D27*B760*(VERI_TABANI!$B$13-VERI_TABANI!$B$14)) + (VERI_TABANI!D27*C760*(VERI_TABANI!$B$13-VERI_TABANI!$B$15)) + IF(ISNUMBER(SEARCH("Var", D760)), VERI_TABANI!F27*(0.00202-VERI_TABANI!$B$16), IF(ISNUMBER(SEARCH("Gri", D760)), VERI_TABANI!F27*(0.00202-VERI_TABANI!$B$17), 0))) + ((VERI_TABANI!D28*B760*(VERI_TABANI!$B$13-VERI_TABANI!$B$14)) + (VERI_TABANI!D28*C760*(VERI_TABANI!$B$13-VERI_TABANI!$B$15)) + IF(ISNUMBER(SEARCH("Var", D760)), VERI_TABANI!F28*(0.00202-VERI_TABANI!$B$16), IF(ISNUMBER(SEARCH("Gri", D760)), VERI_TABANI!F28*(0.00202-VERI_TABANI!$B$17), 0))))</f>
        <v/>
      </c>
      <c r="I760" s="170">
        <f>IFERROR(((VERI_TABANI!$D$29*B760*VERI_TABANI!$B$14 + VERI_TABANI!$D$29*C760*VERI_TABANI!$B$15 + IF(ISNUMBER(SEARCH("Var", D760)), VERI_TABANI!$F$29*VERI_TABANI!$B$16, 0))) / (((VERI_TABANI!$D$29*B760 + VERI_TABANI!$D$29*C760)*VERI_TABANI!$B$13 + IF(ISNUMBER(SEARCH("Var", D760)), VERI_TABANI!$E$29*(1-0.928)*VERI_TABANI!$B$18, 0))), 0)</f>
        <v/>
      </c>
      <c r="J760" s="171">
        <f>IFERROR(F760/(G760/29), 0)</f>
        <v/>
      </c>
      <c r="K760" s="172">
        <f>IF(F760&gt;0, H760/F760, 0)</f>
        <v/>
      </c>
      <c r="L760" s="170">
        <f>IF(F760&gt;0, I760, 1000000000)</f>
        <v/>
      </c>
      <c r="M760" s="171">
        <f>ABS((B760+C760)-1)</f>
        <v/>
      </c>
      <c r="N760" s="170">
        <f>IF(F760&gt;0, (G760/29)/F760, 0)</f>
        <v/>
      </c>
      <c r="O760" s="168">
        <f>IF(AND((B760+C760)&gt;=1, ISNUMBER(SEARCH("Var", D760))), F760, 1000000000)</f>
        <v/>
      </c>
      <c r="P760" s="172">
        <f>IF(F760&gt;0, SQRT((F760/MAX(F$5:F$886))^2 + (1 - H760/MAX(H$5:H$886))^2 + (J760/MAX(J$5:J$886))^2), 1000000000)</f>
        <v/>
      </c>
      <c r="Q760" s="166">
        <f>IF(AND(ABS(B760-0.5)&lt;0.01, ABS(C760-0.5)&lt;0.01, ISNUMBER(SEARCH("Var", D760))), 1, 0)</f>
        <v/>
      </c>
      <c r="R760" s="171">
        <f>IF(F760&gt;0, J760, 1000000000)</f>
        <v/>
      </c>
      <c r="S760" s="101">
        <f>IF(AND(F760&lt;=DASHBOARD!$B$11, H760&gt;=DASHBOARD!$B$13), G760, -1000000000000)</f>
        <v/>
      </c>
      <c r="T760" s="101">
        <f>IF(AND(F760&lt;=DASHBOARD!$B$11, H760&gt;=DASHBOARD!$B$13), R760, 1000000000000)</f>
        <v/>
      </c>
      <c r="U760" s="101">
        <f>IF(AND(F760&lt;=DASHBOARD!$B$11, H760&gt;=DASHBOARD!$B$13), N760, -1000000000000)</f>
        <v/>
      </c>
      <c r="V760" s="101">
        <f>IF(AND(F760&lt;=DASHBOARD!$B$11, H760&gt;=DASHBOARD!$B$13), H760, -1000000000000)</f>
        <v/>
      </c>
      <c r="W760" s="101">
        <f>IF(AND(F760&lt;=DASHBOARD!$B$11, H760&gt;=DASHBOARD!$B$13), K760, -1000000000000)</f>
        <v/>
      </c>
      <c r="X760" s="101">
        <f>IF(AND(F760&lt;=DASHBOARD!$B$11, H760&gt;=DASHBOARD!$B$13), M760, 1000000000000)</f>
        <v/>
      </c>
      <c r="Y760" s="101">
        <f>IF(AND(F760&lt;=DASHBOARD!$B$10, H760&gt;=DASHBOARD!$B$11), L760, 1000000000000)</f>
        <v/>
      </c>
      <c r="Z760" s="101">
        <f>IF(AND(F760&lt;=DASHBOARD!$B$10, H760&gt;=DASHBOARD!$B$11), O760, 1000000000000)</f>
        <v/>
      </c>
      <c r="AA760" s="101">
        <f>IF(AND(F760&lt;=DASHBOARD!$B$10, H760&gt;=DASHBOARD!$B$11), P760, 1000000000000)</f>
        <v/>
      </c>
      <c r="AB760" s="101">
        <f>IF(AND(F760&lt;=DASHBOARD!$B$10, H760&gt;=DASHBOARD!$B$11), Q760, -1000000000000)</f>
        <v/>
      </c>
    </row>
    <row r="761" ht="15" customHeight="1" s="102">
      <c r="A761" s="166" t="n">
        <v>757</v>
      </c>
      <c r="B761" s="167" t="n">
        <v>1.8</v>
      </c>
      <c r="C761" s="167" t="n">
        <v>0</v>
      </c>
      <c r="D761" s="110" t="inlineStr">
        <is>
          <t>Yok (%0)</t>
        </is>
      </c>
      <c r="E761" s="110">
        <f>IF((B761+C761)&lt;=1, "Tam Mahsuplaşma (≤%100)", "Kısmi Satış (&gt;%100)")</f>
        <v/>
      </c>
      <c r="F761" s="168">
        <f>((VERI_TABANI!$D$29*B761/VERI_TABANI!$B$29)/VERI_TABANI!$B$3)*VERI_TABANI!$B$5 + ((VERI_TABANI!$D$29*C761/VERI_TABANI!$B$29)/VERI_TABANI!$B$4)*VERI_TABANI!$B$6 + IF(ISNUMBER(SEARCH("Var", D761)), (VERI_TABANI!$F$29/VERI_TABANI!$B$29)*(VERI_TABANI!$B$10+VERI_TABANI!$B$12), 0)</f>
        <v/>
      </c>
      <c r="G761" s="168">
        <f>(((MIN(VERI_TABANI!D23, VERI_TABANI!D23*B761)*VERI_TABANI!$B$7 + MAX(0, VERI_TABANI!D23*B761-VERI_TABANI!D23)*VERI_TABANI!$B$8) + (MIN(MAX(0, VERI_TABANI!D23-VERI_TABANI!D23*B761), VERI_TABANI!D23*C761)*VERI_TABANI!$B$7 + MAX(0, VERI_TABANI!D23*C761-MAX(0, VERI_TABANI!D23-VERI_TABANI!D23*B761))*VERI_TABANI!$B$8) + IF(ABS(IF(ISNUMBER(SEARCH("Var", D761)), 1, IF(ISNUMBER(SEARCH("Gri", D761)), -1, 0)))=1, VERI_TABANI!E23*(1-0.928)*VERI_TABANI!$B$9, 0) + (VERI_TABANI!D23*B761*(VERI_TABANI!$B$13-VERI_TABANI!$B$14)*VERI_TABANI!G23) + (VERI_TABANI!D23*C761*(VERI_TABANI!$B$13-VERI_TABANI!$B$15)*VERI_TABANI!G23) + IF(ABS(IF(ISNUMBER(SEARCH("Var", D761)), 1, IF(ISNUMBER(SEARCH("Gri", D761)), -1, 0)))=1, VERI_TABANI!E23*(1-0.928)*0.00206091519919798*VERI_TABANI!G23, 0)) + ((MIN(VERI_TABANI!D24, VERI_TABANI!D24*B761)*VERI_TABANI!$B$7 + MAX(0, VERI_TABANI!D24*B761-VERI_TABANI!D24)*VERI_TABANI!$B$8) + (MIN(MAX(0, VERI_TABANI!D24-VERI_TABANI!D24*B761), VERI_TABANI!D24*C761)*VERI_TABANI!$B$7 + MAX(0, VERI_TABANI!D24*C761-MAX(0, VERI_TABANI!D24-VERI_TABANI!D24*B761))*VERI_TABANI!$B$8) + IF(ABS(IF(ISNUMBER(SEARCH("Var", D761)), 1, IF(ISNUMBER(SEARCH("Gri", D761)), -1, 0)))=1, VERI_TABANI!E24*(1-0.928)*VERI_TABANI!$B$9, 0) + (VERI_TABANI!D24*B761*(VERI_TABANI!$B$13-VERI_TABANI!$B$14)*VERI_TABANI!G24) + (VERI_TABANI!D24*C761*(VERI_TABANI!$B$13-VERI_TABANI!$B$15)*VERI_TABANI!G24) + IF(ABS(IF(ISNUMBER(SEARCH("Var", D761)), 1, IF(ISNUMBER(SEARCH("Gri", D761)), -1, 0)))=1, VERI_TABANI!E24*(1-0.928)*0.00206091519919798*VERI_TABANI!G24, 0)) + ((MIN(VERI_TABANI!D25, VERI_TABANI!D25*B761)*VERI_TABANI!$B$7 + MAX(0, VERI_TABANI!D25*B761-VERI_TABANI!D25)*VERI_TABANI!$B$8) + (MIN(MAX(0, VERI_TABANI!D25-VERI_TABANI!D25*B761), VERI_TABANI!D25*C761)*VERI_TABANI!$B$7 + MAX(0, VERI_TABANI!D25*C761-MAX(0, VERI_TABANI!D25-VERI_TABANI!D25*B761))*VERI_TABANI!$B$8) + IF(ABS(IF(ISNUMBER(SEARCH("Var", D761)), 1, IF(ISNUMBER(SEARCH("Gri", D761)), -1, 0)))=1, VERI_TABANI!E25*(1-0.928)*VERI_TABANI!$B$9, 0) + (VERI_TABANI!D25*B761*(VERI_TABANI!$B$13-VERI_TABANI!$B$14)*VERI_TABANI!G25) + (VERI_TABANI!D25*C761*(VERI_TABANI!$B$13-VERI_TABANI!$B$15)*VERI_TABANI!G25) + IF(ABS(IF(ISNUMBER(SEARCH("Var", D761)), 1, IF(ISNUMBER(SEARCH("Gri", D761)), -1, 0)))=1, VERI_TABANI!E25*(1-0.928)*0.00206091519919798*VERI_TABANI!G25, 0)) + ((MIN(VERI_TABANI!D26, VERI_TABANI!D26*B761)*VERI_TABANI!$B$7 + MAX(0, VERI_TABANI!D26*B761-VERI_TABANI!D26)*VERI_TABANI!$B$8) + (MIN(MAX(0, VERI_TABANI!D26-VERI_TABANI!D26*B761), VERI_TABANI!D26*C761)*VERI_TABANI!$B$7 + MAX(0, VERI_TABANI!D26*C761-MAX(0, VERI_TABANI!D26-VERI_TABANI!D26*B761))*VERI_TABANI!$B$8) + IF(ABS(IF(ISNUMBER(SEARCH("Var", D761)), 1, IF(ISNUMBER(SEARCH("Gri", D761)), -1, 0)))=1, VERI_TABANI!E26*(1-0.928)*VERI_TABANI!$B$9, 0) + (VERI_TABANI!D26*B761*(VERI_TABANI!$B$13-VERI_TABANI!$B$14)*VERI_TABANI!G26) + (VERI_TABANI!D26*C761*(VERI_TABANI!$B$13-VERI_TABANI!$B$15)*VERI_TABANI!G26) + IF(ABS(IF(ISNUMBER(SEARCH("Var", D761)), 1, IF(ISNUMBER(SEARCH("Gri", D761)), -1, 0)))=1, VERI_TABANI!E26*(1-0.928)*0.00206091519919798*VERI_TABANI!G26, 0)) + ((MIN(VERI_TABANI!D27, VERI_TABANI!D27*B761)*VERI_TABANI!$B$7 + MAX(0, VERI_TABANI!D27*B761-VERI_TABANI!D27)*VERI_TABANI!$B$8) + (MIN(MAX(0, VERI_TABANI!D27-VERI_TABANI!D27*B761), VERI_TABANI!D27*C761)*VERI_TABANI!$B$7 + MAX(0, VERI_TABANI!D27*C761-MAX(0, VERI_TABANI!D27-VERI_TABANI!D27*B761))*VERI_TABANI!$B$8) + IF(ABS(IF(ISNUMBER(SEARCH("Var", D761)), 1, IF(ISNUMBER(SEARCH("Gri", D761)), -1, 0)))=1, VERI_TABANI!E27*(1-0.928)*VERI_TABANI!$B$9, 0) + (VERI_TABANI!D27*B761*(VERI_TABANI!$B$13-VERI_TABANI!$B$14)*VERI_TABANI!G27) + (VERI_TABANI!D27*C761*(VERI_TABANI!$B$13-VERI_TABANI!$B$15)*VERI_TABANI!G27) + IF(ABS(IF(ISNUMBER(SEARCH("Var", D761)), 1, IF(ISNUMBER(SEARCH("Gri", D761)), -1, 0)))=1, VERI_TABANI!E27*(1-0.928)*0.00206091519919798*VERI_TABANI!G27, 0)) + ((MIN(VERI_TABANI!D28, VERI_TABANI!D28*B761)*VERI_TABANI!$B$7 + MAX(0, VERI_TABANI!D28*B761-VERI_TABANI!D28)*VERI_TABANI!$B$8) + (MIN(MAX(0, VERI_TABANI!D28-VERI_TABANI!D28*B761), VERI_TABANI!D28*C761)*VERI_TABANI!$B$7 + MAX(0, VERI_TABANI!D28*C761-MAX(0, VERI_TABANI!D28-VERI_TABANI!D28*B761))*VERI_TABANI!$B$8) + IF(ABS(IF(ISNUMBER(SEARCH("Var", D761)), 1, IF(ISNUMBER(SEARCH("Gri", D761)), -1, 0)))=1, VERI_TABANI!E28*(1-0.928)*VERI_TABANI!$B$9, 0) + (VERI_TABANI!D28*B761*(VERI_TABANI!$B$13-VERI_TABANI!$B$14)*VERI_TABANI!G28) + (VERI_TABANI!D28*C761*(VERI_TABANI!$B$13-VERI_TABANI!$B$15)*VERI_TABANI!G28) + IF(ABS(IF(ISNUMBER(SEARCH("Var", D761)), 1, IF(ISNUMBER(SEARCH("Gri", D761)), -1, 0)))=1, VERI_TABANI!E28*(1-0.928)*0.00206091519919798*VERI_TABANI!G28, 0)))</f>
        <v/>
      </c>
      <c r="H761" s="169">
        <f>(((VERI_TABANI!D23*B761*(VERI_TABANI!$B$13-VERI_TABANI!$B$14)) + (VERI_TABANI!D23*C761*(VERI_TABANI!$B$13-VERI_TABANI!$B$15)) + IF(ISNUMBER(SEARCH("Var", D761)), VERI_TABANI!F23*(0.00202-VERI_TABANI!$B$16), IF(ISNUMBER(SEARCH("Gri", D761)), VERI_TABANI!F23*(0.00202-VERI_TABANI!$B$17), 0))) + ((VERI_TABANI!D24*B761*(VERI_TABANI!$B$13-VERI_TABANI!$B$14)) + (VERI_TABANI!D24*C761*(VERI_TABANI!$B$13-VERI_TABANI!$B$15)) + IF(ISNUMBER(SEARCH("Var", D761)), VERI_TABANI!F24*(0.00202-VERI_TABANI!$B$16), IF(ISNUMBER(SEARCH("Gri", D761)), VERI_TABANI!F24*(0.00202-VERI_TABANI!$B$17), 0))) + ((VERI_TABANI!D25*B761*(VERI_TABANI!$B$13-VERI_TABANI!$B$14)) + (VERI_TABANI!D25*C761*(VERI_TABANI!$B$13-VERI_TABANI!$B$15)) + IF(ISNUMBER(SEARCH("Var", D761)), VERI_TABANI!F25*(0.00202-VERI_TABANI!$B$16), IF(ISNUMBER(SEARCH("Gri", D761)), VERI_TABANI!F25*(0.00202-VERI_TABANI!$B$17), 0))) + ((VERI_TABANI!D26*B761*(VERI_TABANI!$B$13-VERI_TABANI!$B$14)) + (VERI_TABANI!D26*C761*(VERI_TABANI!$B$13-VERI_TABANI!$B$15)) + IF(ISNUMBER(SEARCH("Var", D761)), VERI_TABANI!F26*(0.00202-VERI_TABANI!$B$16), IF(ISNUMBER(SEARCH("Gri", D761)), VERI_TABANI!F26*(0.00202-VERI_TABANI!$B$17), 0))) + ((VERI_TABANI!D27*B761*(VERI_TABANI!$B$13-VERI_TABANI!$B$14)) + (VERI_TABANI!D27*C761*(VERI_TABANI!$B$13-VERI_TABANI!$B$15)) + IF(ISNUMBER(SEARCH("Var", D761)), VERI_TABANI!F27*(0.00202-VERI_TABANI!$B$16), IF(ISNUMBER(SEARCH("Gri", D761)), VERI_TABANI!F27*(0.00202-VERI_TABANI!$B$17), 0))) + ((VERI_TABANI!D28*B761*(VERI_TABANI!$B$13-VERI_TABANI!$B$14)) + (VERI_TABANI!D28*C761*(VERI_TABANI!$B$13-VERI_TABANI!$B$15)) + IF(ISNUMBER(SEARCH("Var", D761)), VERI_TABANI!F28*(0.00202-VERI_TABANI!$B$16), IF(ISNUMBER(SEARCH("Gri", D761)), VERI_TABANI!F28*(0.00202-VERI_TABANI!$B$17), 0))))</f>
        <v/>
      </c>
      <c r="I761" s="170">
        <f>IFERROR(((VERI_TABANI!$D$29*B761*VERI_TABANI!$B$14 + VERI_TABANI!$D$29*C761*VERI_TABANI!$B$15 + IF(ISNUMBER(SEARCH("Var", D761)), VERI_TABANI!$F$29*VERI_TABANI!$B$16, 0))) / (((VERI_TABANI!$D$29*B761 + VERI_TABANI!$D$29*C761)*VERI_TABANI!$B$13 + IF(ISNUMBER(SEARCH("Var", D761)), VERI_TABANI!$E$29*(1-0.928)*VERI_TABANI!$B$18, 0))), 0)</f>
        <v/>
      </c>
      <c r="J761" s="171">
        <f>IFERROR(F761/(G761/29), 0)</f>
        <v/>
      </c>
      <c r="K761" s="172">
        <f>IF(F761&gt;0, H761/F761, 0)</f>
        <v/>
      </c>
      <c r="L761" s="170">
        <f>IF(F761&gt;0, I761, 1000000000)</f>
        <v/>
      </c>
      <c r="M761" s="171">
        <f>ABS((B761+C761)-1)</f>
        <v/>
      </c>
      <c r="N761" s="170">
        <f>IF(F761&gt;0, (G761/29)/F761, 0)</f>
        <v/>
      </c>
      <c r="O761" s="168">
        <f>IF(AND((B761+C761)&gt;=1, ISNUMBER(SEARCH("Var", D761))), F761, 1000000000)</f>
        <v/>
      </c>
      <c r="P761" s="172">
        <f>IF(F761&gt;0, SQRT((F761/MAX(F$5:F$886))^2 + (1 - H761/MAX(H$5:H$886))^2 + (J761/MAX(J$5:J$886))^2), 1000000000)</f>
        <v/>
      </c>
      <c r="Q761" s="166">
        <f>IF(AND(ABS(B761-0.5)&lt;0.01, ABS(C761-0.5)&lt;0.01, ISNUMBER(SEARCH("Var", D761))), 1, 0)</f>
        <v/>
      </c>
      <c r="R761" s="171">
        <f>IF(F761&gt;0, J761, 1000000000)</f>
        <v/>
      </c>
      <c r="S761" s="101">
        <f>IF(AND(F761&lt;=DASHBOARD!$B$11, H761&gt;=DASHBOARD!$B$13), G761, -1000000000000)</f>
        <v/>
      </c>
      <c r="T761" s="101">
        <f>IF(AND(F761&lt;=DASHBOARD!$B$11, H761&gt;=DASHBOARD!$B$13), R761, 1000000000000)</f>
        <v/>
      </c>
      <c r="U761" s="101">
        <f>IF(AND(F761&lt;=DASHBOARD!$B$11, H761&gt;=DASHBOARD!$B$13), N761, -1000000000000)</f>
        <v/>
      </c>
      <c r="V761" s="101">
        <f>IF(AND(F761&lt;=DASHBOARD!$B$11, H761&gt;=DASHBOARD!$B$13), H761, -1000000000000)</f>
        <v/>
      </c>
      <c r="W761" s="101">
        <f>IF(AND(F761&lt;=DASHBOARD!$B$11, H761&gt;=DASHBOARD!$B$13), K761, -1000000000000)</f>
        <v/>
      </c>
      <c r="X761" s="101">
        <f>IF(AND(F761&lt;=DASHBOARD!$B$11, H761&gt;=DASHBOARD!$B$13), M761, 1000000000000)</f>
        <v/>
      </c>
      <c r="Y761" s="101">
        <f>IF(AND(F761&lt;=DASHBOARD!$B$10, H761&gt;=DASHBOARD!$B$11), L761, 1000000000000)</f>
        <v/>
      </c>
      <c r="Z761" s="101">
        <f>IF(AND(F761&lt;=DASHBOARD!$B$10, H761&gt;=DASHBOARD!$B$11), O761, 1000000000000)</f>
        <v/>
      </c>
      <c r="AA761" s="101">
        <f>IF(AND(F761&lt;=DASHBOARD!$B$10, H761&gt;=DASHBOARD!$B$11), P761, 1000000000000)</f>
        <v/>
      </c>
      <c r="AB761" s="101">
        <f>IF(AND(F761&lt;=DASHBOARD!$B$10, H761&gt;=DASHBOARD!$B$11), Q761, -1000000000000)</f>
        <v/>
      </c>
    </row>
    <row r="762" ht="15" customHeight="1" s="102">
      <c r="A762" s="166" t="n">
        <v>758</v>
      </c>
      <c r="B762" s="167" t="n">
        <v>1.8</v>
      </c>
      <c r="C762" s="167" t="n">
        <v>0</v>
      </c>
      <c r="D762" s="110" t="inlineStr">
        <is>
          <t>Var (%20)</t>
        </is>
      </c>
      <c r="E762" s="110">
        <f>IF((B762+C762)&lt;=1, "Tam Mahsuplaşma (≤%100)", "Kısmi Satış (&gt;%100)")</f>
        <v/>
      </c>
      <c r="F762" s="168">
        <f>((VERI_TABANI!$D$29*B762/VERI_TABANI!$B$29)/VERI_TABANI!$B$3)*VERI_TABANI!$B$5 + ((VERI_TABANI!$D$29*C762/VERI_TABANI!$B$29)/VERI_TABANI!$B$4)*VERI_TABANI!$B$6 + IF(ISNUMBER(SEARCH("Var", D762)), (VERI_TABANI!$F$29/VERI_TABANI!$B$29)*(VERI_TABANI!$B$10+VERI_TABANI!$B$12), 0)</f>
        <v/>
      </c>
      <c r="G762" s="168">
        <f>(((MIN(VERI_TABANI!D23, VERI_TABANI!D23*B762)*VERI_TABANI!$B$7 + MAX(0, VERI_TABANI!D23*B762-VERI_TABANI!D23)*VERI_TABANI!$B$8) + (MIN(MAX(0, VERI_TABANI!D23-VERI_TABANI!D23*B762), VERI_TABANI!D23*C762)*VERI_TABANI!$B$7 + MAX(0, VERI_TABANI!D23*C762-MAX(0, VERI_TABANI!D23-VERI_TABANI!D23*B762))*VERI_TABANI!$B$8) + IF(ABS(IF(ISNUMBER(SEARCH("Var", D762)), 1, IF(ISNUMBER(SEARCH("Gri", D762)), -1, 0)))=1, VERI_TABANI!E23*(1-0.928)*VERI_TABANI!$B$9, 0) + (VERI_TABANI!D23*B762*(VERI_TABANI!$B$13-VERI_TABANI!$B$14)*VERI_TABANI!G23) + (VERI_TABANI!D23*C762*(VERI_TABANI!$B$13-VERI_TABANI!$B$15)*VERI_TABANI!G23) + IF(ABS(IF(ISNUMBER(SEARCH("Var", D762)), 1, IF(ISNUMBER(SEARCH("Gri", D762)), -1, 0)))=1, VERI_TABANI!E23*(1-0.928)*0.00206091519919798*VERI_TABANI!G23, 0)) + ((MIN(VERI_TABANI!D24, VERI_TABANI!D24*B762)*VERI_TABANI!$B$7 + MAX(0, VERI_TABANI!D24*B762-VERI_TABANI!D24)*VERI_TABANI!$B$8) + (MIN(MAX(0, VERI_TABANI!D24-VERI_TABANI!D24*B762), VERI_TABANI!D24*C762)*VERI_TABANI!$B$7 + MAX(0, VERI_TABANI!D24*C762-MAX(0, VERI_TABANI!D24-VERI_TABANI!D24*B762))*VERI_TABANI!$B$8) + IF(ABS(IF(ISNUMBER(SEARCH("Var", D762)), 1, IF(ISNUMBER(SEARCH("Gri", D762)), -1, 0)))=1, VERI_TABANI!E24*(1-0.928)*VERI_TABANI!$B$9, 0) + (VERI_TABANI!D24*B762*(VERI_TABANI!$B$13-VERI_TABANI!$B$14)*VERI_TABANI!G24) + (VERI_TABANI!D24*C762*(VERI_TABANI!$B$13-VERI_TABANI!$B$15)*VERI_TABANI!G24) + IF(ABS(IF(ISNUMBER(SEARCH("Var", D762)), 1, IF(ISNUMBER(SEARCH("Gri", D762)), -1, 0)))=1, VERI_TABANI!E24*(1-0.928)*0.00206091519919798*VERI_TABANI!G24, 0)) + ((MIN(VERI_TABANI!D25, VERI_TABANI!D25*B762)*VERI_TABANI!$B$7 + MAX(0, VERI_TABANI!D25*B762-VERI_TABANI!D25)*VERI_TABANI!$B$8) + (MIN(MAX(0, VERI_TABANI!D25-VERI_TABANI!D25*B762), VERI_TABANI!D25*C762)*VERI_TABANI!$B$7 + MAX(0, VERI_TABANI!D25*C762-MAX(0, VERI_TABANI!D25-VERI_TABANI!D25*B762))*VERI_TABANI!$B$8) + IF(ABS(IF(ISNUMBER(SEARCH("Var", D762)), 1, IF(ISNUMBER(SEARCH("Gri", D762)), -1, 0)))=1, VERI_TABANI!E25*(1-0.928)*VERI_TABANI!$B$9, 0) + (VERI_TABANI!D25*B762*(VERI_TABANI!$B$13-VERI_TABANI!$B$14)*VERI_TABANI!G25) + (VERI_TABANI!D25*C762*(VERI_TABANI!$B$13-VERI_TABANI!$B$15)*VERI_TABANI!G25) + IF(ABS(IF(ISNUMBER(SEARCH("Var", D762)), 1, IF(ISNUMBER(SEARCH("Gri", D762)), -1, 0)))=1, VERI_TABANI!E25*(1-0.928)*0.00206091519919798*VERI_TABANI!G25, 0)) + ((MIN(VERI_TABANI!D26, VERI_TABANI!D26*B762)*VERI_TABANI!$B$7 + MAX(0, VERI_TABANI!D26*B762-VERI_TABANI!D26)*VERI_TABANI!$B$8) + (MIN(MAX(0, VERI_TABANI!D26-VERI_TABANI!D26*B762), VERI_TABANI!D26*C762)*VERI_TABANI!$B$7 + MAX(0, VERI_TABANI!D26*C762-MAX(0, VERI_TABANI!D26-VERI_TABANI!D26*B762))*VERI_TABANI!$B$8) + IF(ABS(IF(ISNUMBER(SEARCH("Var", D762)), 1, IF(ISNUMBER(SEARCH("Gri", D762)), -1, 0)))=1, VERI_TABANI!E26*(1-0.928)*VERI_TABANI!$B$9, 0) + (VERI_TABANI!D26*B762*(VERI_TABANI!$B$13-VERI_TABANI!$B$14)*VERI_TABANI!G26) + (VERI_TABANI!D26*C762*(VERI_TABANI!$B$13-VERI_TABANI!$B$15)*VERI_TABANI!G26) + IF(ABS(IF(ISNUMBER(SEARCH("Var", D762)), 1, IF(ISNUMBER(SEARCH("Gri", D762)), -1, 0)))=1, VERI_TABANI!E26*(1-0.928)*0.00206091519919798*VERI_TABANI!G26, 0)) + ((MIN(VERI_TABANI!D27, VERI_TABANI!D27*B762)*VERI_TABANI!$B$7 + MAX(0, VERI_TABANI!D27*B762-VERI_TABANI!D27)*VERI_TABANI!$B$8) + (MIN(MAX(0, VERI_TABANI!D27-VERI_TABANI!D27*B762), VERI_TABANI!D27*C762)*VERI_TABANI!$B$7 + MAX(0, VERI_TABANI!D27*C762-MAX(0, VERI_TABANI!D27-VERI_TABANI!D27*B762))*VERI_TABANI!$B$8) + IF(ABS(IF(ISNUMBER(SEARCH("Var", D762)), 1, IF(ISNUMBER(SEARCH("Gri", D762)), -1, 0)))=1, VERI_TABANI!E27*(1-0.928)*VERI_TABANI!$B$9, 0) + (VERI_TABANI!D27*B762*(VERI_TABANI!$B$13-VERI_TABANI!$B$14)*VERI_TABANI!G27) + (VERI_TABANI!D27*C762*(VERI_TABANI!$B$13-VERI_TABANI!$B$15)*VERI_TABANI!G27) + IF(ABS(IF(ISNUMBER(SEARCH("Var", D762)), 1, IF(ISNUMBER(SEARCH("Gri", D762)), -1, 0)))=1, VERI_TABANI!E27*(1-0.928)*0.00206091519919798*VERI_TABANI!G27, 0)) + ((MIN(VERI_TABANI!D28, VERI_TABANI!D28*B762)*VERI_TABANI!$B$7 + MAX(0, VERI_TABANI!D28*B762-VERI_TABANI!D28)*VERI_TABANI!$B$8) + (MIN(MAX(0, VERI_TABANI!D28-VERI_TABANI!D28*B762), VERI_TABANI!D28*C762)*VERI_TABANI!$B$7 + MAX(0, VERI_TABANI!D28*C762-MAX(0, VERI_TABANI!D28-VERI_TABANI!D28*B762))*VERI_TABANI!$B$8) + IF(ABS(IF(ISNUMBER(SEARCH("Var", D762)), 1, IF(ISNUMBER(SEARCH("Gri", D762)), -1, 0)))=1, VERI_TABANI!E28*(1-0.928)*VERI_TABANI!$B$9, 0) + (VERI_TABANI!D28*B762*(VERI_TABANI!$B$13-VERI_TABANI!$B$14)*VERI_TABANI!G28) + (VERI_TABANI!D28*C762*(VERI_TABANI!$B$13-VERI_TABANI!$B$15)*VERI_TABANI!G28) + IF(ABS(IF(ISNUMBER(SEARCH("Var", D762)), 1, IF(ISNUMBER(SEARCH("Gri", D762)), -1, 0)))=1, VERI_TABANI!E28*(1-0.928)*0.00206091519919798*VERI_TABANI!G28, 0)))</f>
        <v/>
      </c>
      <c r="H762" s="169">
        <f>(((VERI_TABANI!D23*B762*(VERI_TABANI!$B$13-VERI_TABANI!$B$14)) + (VERI_TABANI!D23*C762*(VERI_TABANI!$B$13-VERI_TABANI!$B$15)) + IF(ISNUMBER(SEARCH("Var", D762)), VERI_TABANI!F23*(0.00202-VERI_TABANI!$B$16), IF(ISNUMBER(SEARCH("Gri", D762)), VERI_TABANI!F23*(0.00202-VERI_TABANI!$B$17), 0))) + ((VERI_TABANI!D24*B762*(VERI_TABANI!$B$13-VERI_TABANI!$B$14)) + (VERI_TABANI!D24*C762*(VERI_TABANI!$B$13-VERI_TABANI!$B$15)) + IF(ISNUMBER(SEARCH("Var", D762)), VERI_TABANI!F24*(0.00202-VERI_TABANI!$B$16), IF(ISNUMBER(SEARCH("Gri", D762)), VERI_TABANI!F24*(0.00202-VERI_TABANI!$B$17), 0))) + ((VERI_TABANI!D25*B762*(VERI_TABANI!$B$13-VERI_TABANI!$B$14)) + (VERI_TABANI!D25*C762*(VERI_TABANI!$B$13-VERI_TABANI!$B$15)) + IF(ISNUMBER(SEARCH("Var", D762)), VERI_TABANI!F25*(0.00202-VERI_TABANI!$B$16), IF(ISNUMBER(SEARCH("Gri", D762)), VERI_TABANI!F25*(0.00202-VERI_TABANI!$B$17), 0))) + ((VERI_TABANI!D26*B762*(VERI_TABANI!$B$13-VERI_TABANI!$B$14)) + (VERI_TABANI!D26*C762*(VERI_TABANI!$B$13-VERI_TABANI!$B$15)) + IF(ISNUMBER(SEARCH("Var", D762)), VERI_TABANI!F26*(0.00202-VERI_TABANI!$B$16), IF(ISNUMBER(SEARCH("Gri", D762)), VERI_TABANI!F26*(0.00202-VERI_TABANI!$B$17), 0))) + ((VERI_TABANI!D27*B762*(VERI_TABANI!$B$13-VERI_TABANI!$B$14)) + (VERI_TABANI!D27*C762*(VERI_TABANI!$B$13-VERI_TABANI!$B$15)) + IF(ISNUMBER(SEARCH("Var", D762)), VERI_TABANI!F27*(0.00202-VERI_TABANI!$B$16), IF(ISNUMBER(SEARCH("Gri", D762)), VERI_TABANI!F27*(0.00202-VERI_TABANI!$B$17), 0))) + ((VERI_TABANI!D28*B762*(VERI_TABANI!$B$13-VERI_TABANI!$B$14)) + (VERI_TABANI!D28*C762*(VERI_TABANI!$B$13-VERI_TABANI!$B$15)) + IF(ISNUMBER(SEARCH("Var", D762)), VERI_TABANI!F28*(0.00202-VERI_TABANI!$B$16), IF(ISNUMBER(SEARCH("Gri", D762)), VERI_TABANI!F28*(0.00202-VERI_TABANI!$B$17), 0))))</f>
        <v/>
      </c>
      <c r="I762" s="170">
        <f>IFERROR(((VERI_TABANI!$D$29*B762*VERI_TABANI!$B$14 + VERI_TABANI!$D$29*C762*VERI_TABANI!$B$15 + IF(ISNUMBER(SEARCH("Var", D762)), VERI_TABANI!$F$29*VERI_TABANI!$B$16, 0))) / (((VERI_TABANI!$D$29*B762 + VERI_TABANI!$D$29*C762)*VERI_TABANI!$B$13 + IF(ISNUMBER(SEARCH("Var", D762)), VERI_TABANI!$E$29*(1-0.928)*VERI_TABANI!$B$18, 0))), 0)</f>
        <v/>
      </c>
      <c r="J762" s="171">
        <f>IFERROR(F762/(G762/29), 0)</f>
        <v/>
      </c>
      <c r="K762" s="172">
        <f>IF(F762&gt;0, H762/F762, 0)</f>
        <v/>
      </c>
      <c r="L762" s="170">
        <f>IF(F762&gt;0, I762, 1000000000)</f>
        <v/>
      </c>
      <c r="M762" s="171">
        <f>ABS((B762+C762)-1)</f>
        <v/>
      </c>
      <c r="N762" s="170">
        <f>IF(F762&gt;0, (G762/29)/F762, 0)</f>
        <v/>
      </c>
      <c r="O762" s="168">
        <f>IF(AND((B762+C762)&gt;=1, ISNUMBER(SEARCH("Var", D762))), F762, 1000000000)</f>
        <v/>
      </c>
      <c r="P762" s="172">
        <f>IF(F762&gt;0, SQRT((F762/MAX(F$5:F$886))^2 + (1 - H762/MAX(H$5:H$886))^2 + (J762/MAX(J$5:J$886))^2), 1000000000)</f>
        <v/>
      </c>
      <c r="Q762" s="166">
        <f>IF(AND(ABS(B762-0.5)&lt;0.01, ABS(C762-0.5)&lt;0.01, ISNUMBER(SEARCH("Var", D762))), 1, 0)</f>
        <v/>
      </c>
      <c r="R762" s="171">
        <f>IF(F762&gt;0, J762, 1000000000)</f>
        <v/>
      </c>
      <c r="S762" s="101">
        <f>IF(AND(F762&lt;=DASHBOARD!$B$11, H762&gt;=DASHBOARD!$B$13), G762, -1000000000000)</f>
        <v/>
      </c>
      <c r="T762" s="101">
        <f>IF(AND(F762&lt;=DASHBOARD!$B$11, H762&gt;=DASHBOARD!$B$13), R762, 1000000000000)</f>
        <v/>
      </c>
      <c r="U762" s="101">
        <f>IF(AND(F762&lt;=DASHBOARD!$B$11, H762&gt;=DASHBOARD!$B$13), N762, -1000000000000)</f>
        <v/>
      </c>
      <c r="V762" s="101">
        <f>IF(AND(F762&lt;=DASHBOARD!$B$11, H762&gt;=DASHBOARD!$B$13), H762, -1000000000000)</f>
        <v/>
      </c>
      <c r="W762" s="101">
        <f>IF(AND(F762&lt;=DASHBOARD!$B$11, H762&gt;=DASHBOARD!$B$13), K762, -1000000000000)</f>
        <v/>
      </c>
      <c r="X762" s="101">
        <f>IF(AND(F762&lt;=DASHBOARD!$B$11, H762&gt;=DASHBOARD!$B$13), M762, 1000000000000)</f>
        <v/>
      </c>
      <c r="Y762" s="101">
        <f>IF(AND(F762&lt;=DASHBOARD!$B$10, H762&gt;=DASHBOARD!$B$11), L762, 1000000000000)</f>
        <v/>
      </c>
      <c r="Z762" s="101">
        <f>IF(AND(F762&lt;=DASHBOARD!$B$10, H762&gt;=DASHBOARD!$B$11), O762, 1000000000000)</f>
        <v/>
      </c>
      <c r="AA762" s="101">
        <f>IF(AND(F762&lt;=DASHBOARD!$B$10, H762&gt;=DASHBOARD!$B$11), P762, 1000000000000)</f>
        <v/>
      </c>
      <c r="AB762" s="101">
        <f>IF(AND(F762&lt;=DASHBOARD!$B$10, H762&gt;=DASHBOARD!$B$11), Q762, -1000000000000)</f>
        <v/>
      </c>
    </row>
    <row r="763" ht="15" customHeight="1" s="102">
      <c r="A763" s="166" t="n">
        <v>759</v>
      </c>
      <c r="B763" s="167" t="n">
        <v>1.8</v>
      </c>
      <c r="C763" s="167" t="n">
        <v>0.1</v>
      </c>
      <c r="D763" s="110" t="inlineStr">
        <is>
          <t>Yok (%0)</t>
        </is>
      </c>
      <c r="E763" s="110">
        <f>IF((B763+C763)&lt;=1, "Tam Mahsuplaşma (≤%100)", "Kısmi Satış (&gt;%100)")</f>
        <v/>
      </c>
      <c r="F763" s="168">
        <f>((VERI_TABANI!$D$29*B763/VERI_TABANI!$B$29)/VERI_TABANI!$B$3)*VERI_TABANI!$B$5 + ((VERI_TABANI!$D$29*C763/VERI_TABANI!$B$29)/VERI_TABANI!$B$4)*VERI_TABANI!$B$6 + IF(ISNUMBER(SEARCH("Var", D763)), (VERI_TABANI!$F$29/VERI_TABANI!$B$29)*(VERI_TABANI!$B$10+VERI_TABANI!$B$12), 0)</f>
        <v/>
      </c>
      <c r="G763" s="168">
        <f>(((MIN(VERI_TABANI!D23, VERI_TABANI!D23*B763)*VERI_TABANI!$B$7 + MAX(0, VERI_TABANI!D23*B763-VERI_TABANI!D23)*VERI_TABANI!$B$8) + (MIN(MAX(0, VERI_TABANI!D23-VERI_TABANI!D23*B763), VERI_TABANI!D23*C763)*VERI_TABANI!$B$7 + MAX(0, VERI_TABANI!D23*C763-MAX(0, VERI_TABANI!D23-VERI_TABANI!D23*B763))*VERI_TABANI!$B$8) + IF(ABS(IF(ISNUMBER(SEARCH("Var", D763)), 1, IF(ISNUMBER(SEARCH("Gri", D763)), -1, 0)))=1, VERI_TABANI!E23*(1-0.928)*VERI_TABANI!$B$9, 0) + (VERI_TABANI!D23*B763*(VERI_TABANI!$B$13-VERI_TABANI!$B$14)*VERI_TABANI!G23) + (VERI_TABANI!D23*C763*(VERI_TABANI!$B$13-VERI_TABANI!$B$15)*VERI_TABANI!G23) + IF(ABS(IF(ISNUMBER(SEARCH("Var", D763)), 1, IF(ISNUMBER(SEARCH("Gri", D763)), -1, 0)))=1, VERI_TABANI!E23*(1-0.928)*0.00206091519919798*VERI_TABANI!G23, 0)) + ((MIN(VERI_TABANI!D24, VERI_TABANI!D24*B763)*VERI_TABANI!$B$7 + MAX(0, VERI_TABANI!D24*B763-VERI_TABANI!D24)*VERI_TABANI!$B$8) + (MIN(MAX(0, VERI_TABANI!D24-VERI_TABANI!D24*B763), VERI_TABANI!D24*C763)*VERI_TABANI!$B$7 + MAX(0, VERI_TABANI!D24*C763-MAX(0, VERI_TABANI!D24-VERI_TABANI!D24*B763))*VERI_TABANI!$B$8) + IF(ABS(IF(ISNUMBER(SEARCH("Var", D763)), 1, IF(ISNUMBER(SEARCH("Gri", D763)), -1, 0)))=1, VERI_TABANI!E24*(1-0.928)*VERI_TABANI!$B$9, 0) + (VERI_TABANI!D24*B763*(VERI_TABANI!$B$13-VERI_TABANI!$B$14)*VERI_TABANI!G24) + (VERI_TABANI!D24*C763*(VERI_TABANI!$B$13-VERI_TABANI!$B$15)*VERI_TABANI!G24) + IF(ABS(IF(ISNUMBER(SEARCH("Var", D763)), 1, IF(ISNUMBER(SEARCH("Gri", D763)), -1, 0)))=1, VERI_TABANI!E24*(1-0.928)*0.00206091519919798*VERI_TABANI!G24, 0)) + ((MIN(VERI_TABANI!D25, VERI_TABANI!D25*B763)*VERI_TABANI!$B$7 + MAX(0, VERI_TABANI!D25*B763-VERI_TABANI!D25)*VERI_TABANI!$B$8) + (MIN(MAX(0, VERI_TABANI!D25-VERI_TABANI!D25*B763), VERI_TABANI!D25*C763)*VERI_TABANI!$B$7 + MAX(0, VERI_TABANI!D25*C763-MAX(0, VERI_TABANI!D25-VERI_TABANI!D25*B763))*VERI_TABANI!$B$8) + IF(ABS(IF(ISNUMBER(SEARCH("Var", D763)), 1, IF(ISNUMBER(SEARCH("Gri", D763)), -1, 0)))=1, VERI_TABANI!E25*(1-0.928)*VERI_TABANI!$B$9, 0) + (VERI_TABANI!D25*B763*(VERI_TABANI!$B$13-VERI_TABANI!$B$14)*VERI_TABANI!G25) + (VERI_TABANI!D25*C763*(VERI_TABANI!$B$13-VERI_TABANI!$B$15)*VERI_TABANI!G25) + IF(ABS(IF(ISNUMBER(SEARCH("Var", D763)), 1, IF(ISNUMBER(SEARCH("Gri", D763)), -1, 0)))=1, VERI_TABANI!E25*(1-0.928)*0.00206091519919798*VERI_TABANI!G25, 0)) + ((MIN(VERI_TABANI!D26, VERI_TABANI!D26*B763)*VERI_TABANI!$B$7 + MAX(0, VERI_TABANI!D26*B763-VERI_TABANI!D26)*VERI_TABANI!$B$8) + (MIN(MAX(0, VERI_TABANI!D26-VERI_TABANI!D26*B763), VERI_TABANI!D26*C763)*VERI_TABANI!$B$7 + MAX(0, VERI_TABANI!D26*C763-MAX(0, VERI_TABANI!D26-VERI_TABANI!D26*B763))*VERI_TABANI!$B$8) + IF(ABS(IF(ISNUMBER(SEARCH("Var", D763)), 1, IF(ISNUMBER(SEARCH("Gri", D763)), -1, 0)))=1, VERI_TABANI!E26*(1-0.928)*VERI_TABANI!$B$9, 0) + (VERI_TABANI!D26*B763*(VERI_TABANI!$B$13-VERI_TABANI!$B$14)*VERI_TABANI!G26) + (VERI_TABANI!D26*C763*(VERI_TABANI!$B$13-VERI_TABANI!$B$15)*VERI_TABANI!G26) + IF(ABS(IF(ISNUMBER(SEARCH("Var", D763)), 1, IF(ISNUMBER(SEARCH("Gri", D763)), -1, 0)))=1, VERI_TABANI!E26*(1-0.928)*0.00206091519919798*VERI_TABANI!G26, 0)) + ((MIN(VERI_TABANI!D27, VERI_TABANI!D27*B763)*VERI_TABANI!$B$7 + MAX(0, VERI_TABANI!D27*B763-VERI_TABANI!D27)*VERI_TABANI!$B$8) + (MIN(MAX(0, VERI_TABANI!D27-VERI_TABANI!D27*B763), VERI_TABANI!D27*C763)*VERI_TABANI!$B$7 + MAX(0, VERI_TABANI!D27*C763-MAX(0, VERI_TABANI!D27-VERI_TABANI!D27*B763))*VERI_TABANI!$B$8) + IF(ABS(IF(ISNUMBER(SEARCH("Var", D763)), 1, IF(ISNUMBER(SEARCH("Gri", D763)), -1, 0)))=1, VERI_TABANI!E27*(1-0.928)*VERI_TABANI!$B$9, 0) + (VERI_TABANI!D27*B763*(VERI_TABANI!$B$13-VERI_TABANI!$B$14)*VERI_TABANI!G27) + (VERI_TABANI!D27*C763*(VERI_TABANI!$B$13-VERI_TABANI!$B$15)*VERI_TABANI!G27) + IF(ABS(IF(ISNUMBER(SEARCH("Var", D763)), 1, IF(ISNUMBER(SEARCH("Gri", D763)), -1, 0)))=1, VERI_TABANI!E27*(1-0.928)*0.00206091519919798*VERI_TABANI!G27, 0)) + ((MIN(VERI_TABANI!D28, VERI_TABANI!D28*B763)*VERI_TABANI!$B$7 + MAX(0, VERI_TABANI!D28*B763-VERI_TABANI!D28)*VERI_TABANI!$B$8) + (MIN(MAX(0, VERI_TABANI!D28-VERI_TABANI!D28*B763), VERI_TABANI!D28*C763)*VERI_TABANI!$B$7 + MAX(0, VERI_TABANI!D28*C763-MAX(0, VERI_TABANI!D28-VERI_TABANI!D28*B763))*VERI_TABANI!$B$8) + IF(ABS(IF(ISNUMBER(SEARCH("Var", D763)), 1, IF(ISNUMBER(SEARCH("Gri", D763)), -1, 0)))=1, VERI_TABANI!E28*(1-0.928)*VERI_TABANI!$B$9, 0) + (VERI_TABANI!D28*B763*(VERI_TABANI!$B$13-VERI_TABANI!$B$14)*VERI_TABANI!G28) + (VERI_TABANI!D28*C763*(VERI_TABANI!$B$13-VERI_TABANI!$B$15)*VERI_TABANI!G28) + IF(ABS(IF(ISNUMBER(SEARCH("Var", D763)), 1, IF(ISNUMBER(SEARCH("Gri", D763)), -1, 0)))=1, VERI_TABANI!E28*(1-0.928)*0.00206091519919798*VERI_TABANI!G28, 0)))</f>
        <v/>
      </c>
      <c r="H763" s="169">
        <f>(((VERI_TABANI!D23*B763*(VERI_TABANI!$B$13-VERI_TABANI!$B$14)) + (VERI_TABANI!D23*C763*(VERI_TABANI!$B$13-VERI_TABANI!$B$15)) + IF(ISNUMBER(SEARCH("Var", D763)), VERI_TABANI!F23*(0.00202-VERI_TABANI!$B$16), IF(ISNUMBER(SEARCH("Gri", D763)), VERI_TABANI!F23*(0.00202-VERI_TABANI!$B$17), 0))) + ((VERI_TABANI!D24*B763*(VERI_TABANI!$B$13-VERI_TABANI!$B$14)) + (VERI_TABANI!D24*C763*(VERI_TABANI!$B$13-VERI_TABANI!$B$15)) + IF(ISNUMBER(SEARCH("Var", D763)), VERI_TABANI!F24*(0.00202-VERI_TABANI!$B$16), IF(ISNUMBER(SEARCH("Gri", D763)), VERI_TABANI!F24*(0.00202-VERI_TABANI!$B$17), 0))) + ((VERI_TABANI!D25*B763*(VERI_TABANI!$B$13-VERI_TABANI!$B$14)) + (VERI_TABANI!D25*C763*(VERI_TABANI!$B$13-VERI_TABANI!$B$15)) + IF(ISNUMBER(SEARCH("Var", D763)), VERI_TABANI!F25*(0.00202-VERI_TABANI!$B$16), IF(ISNUMBER(SEARCH("Gri", D763)), VERI_TABANI!F25*(0.00202-VERI_TABANI!$B$17), 0))) + ((VERI_TABANI!D26*B763*(VERI_TABANI!$B$13-VERI_TABANI!$B$14)) + (VERI_TABANI!D26*C763*(VERI_TABANI!$B$13-VERI_TABANI!$B$15)) + IF(ISNUMBER(SEARCH("Var", D763)), VERI_TABANI!F26*(0.00202-VERI_TABANI!$B$16), IF(ISNUMBER(SEARCH("Gri", D763)), VERI_TABANI!F26*(0.00202-VERI_TABANI!$B$17), 0))) + ((VERI_TABANI!D27*B763*(VERI_TABANI!$B$13-VERI_TABANI!$B$14)) + (VERI_TABANI!D27*C763*(VERI_TABANI!$B$13-VERI_TABANI!$B$15)) + IF(ISNUMBER(SEARCH("Var", D763)), VERI_TABANI!F27*(0.00202-VERI_TABANI!$B$16), IF(ISNUMBER(SEARCH("Gri", D763)), VERI_TABANI!F27*(0.00202-VERI_TABANI!$B$17), 0))) + ((VERI_TABANI!D28*B763*(VERI_TABANI!$B$13-VERI_TABANI!$B$14)) + (VERI_TABANI!D28*C763*(VERI_TABANI!$B$13-VERI_TABANI!$B$15)) + IF(ISNUMBER(SEARCH("Var", D763)), VERI_TABANI!F28*(0.00202-VERI_TABANI!$B$16), IF(ISNUMBER(SEARCH("Gri", D763)), VERI_TABANI!F28*(0.00202-VERI_TABANI!$B$17), 0))))</f>
        <v/>
      </c>
      <c r="I763" s="170">
        <f>IFERROR(((VERI_TABANI!$D$29*B763*VERI_TABANI!$B$14 + VERI_TABANI!$D$29*C763*VERI_TABANI!$B$15 + IF(ISNUMBER(SEARCH("Var", D763)), VERI_TABANI!$F$29*VERI_TABANI!$B$16, 0))) / (((VERI_TABANI!$D$29*B763 + VERI_TABANI!$D$29*C763)*VERI_TABANI!$B$13 + IF(ISNUMBER(SEARCH("Var", D763)), VERI_TABANI!$E$29*(1-0.928)*VERI_TABANI!$B$18, 0))), 0)</f>
        <v/>
      </c>
      <c r="J763" s="171">
        <f>IFERROR(F763/(G763/29), 0)</f>
        <v/>
      </c>
      <c r="K763" s="172">
        <f>IF(F763&gt;0, H763/F763, 0)</f>
        <v/>
      </c>
      <c r="L763" s="170">
        <f>IF(F763&gt;0, I763, 1000000000)</f>
        <v/>
      </c>
      <c r="M763" s="171">
        <f>ABS((B763+C763)-1)</f>
        <v/>
      </c>
      <c r="N763" s="170">
        <f>IF(F763&gt;0, (G763/29)/F763, 0)</f>
        <v/>
      </c>
      <c r="O763" s="168">
        <f>IF(AND((B763+C763)&gt;=1, ISNUMBER(SEARCH("Var", D763))), F763, 1000000000)</f>
        <v/>
      </c>
      <c r="P763" s="172">
        <f>IF(F763&gt;0, SQRT((F763/MAX(F$5:F$886))^2 + (1 - H763/MAX(H$5:H$886))^2 + (J763/MAX(J$5:J$886))^2), 1000000000)</f>
        <v/>
      </c>
      <c r="Q763" s="166">
        <f>IF(AND(ABS(B763-0.5)&lt;0.01, ABS(C763-0.5)&lt;0.01, ISNUMBER(SEARCH("Var", D763))), 1, 0)</f>
        <v/>
      </c>
      <c r="R763" s="171">
        <f>IF(F763&gt;0, J763, 1000000000)</f>
        <v/>
      </c>
      <c r="S763" s="101">
        <f>IF(AND(F763&lt;=DASHBOARD!$B$11, H763&gt;=DASHBOARD!$B$13), G763, -1000000000000)</f>
        <v/>
      </c>
      <c r="T763" s="101">
        <f>IF(AND(F763&lt;=DASHBOARD!$B$11, H763&gt;=DASHBOARD!$B$13), R763, 1000000000000)</f>
        <v/>
      </c>
      <c r="U763" s="101">
        <f>IF(AND(F763&lt;=DASHBOARD!$B$11, H763&gt;=DASHBOARD!$B$13), N763, -1000000000000)</f>
        <v/>
      </c>
      <c r="V763" s="101">
        <f>IF(AND(F763&lt;=DASHBOARD!$B$11, H763&gt;=DASHBOARD!$B$13), H763, -1000000000000)</f>
        <v/>
      </c>
      <c r="W763" s="101">
        <f>IF(AND(F763&lt;=DASHBOARD!$B$11, H763&gt;=DASHBOARD!$B$13), K763, -1000000000000)</f>
        <v/>
      </c>
      <c r="X763" s="101">
        <f>IF(AND(F763&lt;=DASHBOARD!$B$11, H763&gt;=DASHBOARD!$B$13), M763, 1000000000000)</f>
        <v/>
      </c>
      <c r="Y763" s="101">
        <f>IF(AND(F763&lt;=DASHBOARD!$B$10, H763&gt;=DASHBOARD!$B$11), L763, 1000000000000)</f>
        <v/>
      </c>
      <c r="Z763" s="101">
        <f>IF(AND(F763&lt;=DASHBOARD!$B$10, H763&gt;=DASHBOARD!$B$11), O763, 1000000000000)</f>
        <v/>
      </c>
      <c r="AA763" s="101">
        <f>IF(AND(F763&lt;=DASHBOARD!$B$10, H763&gt;=DASHBOARD!$B$11), P763, 1000000000000)</f>
        <v/>
      </c>
      <c r="AB763" s="101">
        <f>IF(AND(F763&lt;=DASHBOARD!$B$10, H763&gt;=DASHBOARD!$B$11), Q763, -1000000000000)</f>
        <v/>
      </c>
    </row>
    <row r="764" ht="15" customHeight="1" s="102">
      <c r="A764" s="166" t="n">
        <v>760</v>
      </c>
      <c r="B764" s="167" t="n">
        <v>1.8</v>
      </c>
      <c r="C764" s="167" t="n">
        <v>0.1</v>
      </c>
      <c r="D764" s="110" t="inlineStr">
        <is>
          <t>Var (%20)</t>
        </is>
      </c>
      <c r="E764" s="110">
        <f>IF((B764+C764)&lt;=1, "Tam Mahsuplaşma (≤%100)", "Kısmi Satış (&gt;%100)")</f>
        <v/>
      </c>
      <c r="F764" s="168">
        <f>((VERI_TABANI!$D$29*B764/VERI_TABANI!$B$29)/VERI_TABANI!$B$3)*VERI_TABANI!$B$5 + ((VERI_TABANI!$D$29*C764/VERI_TABANI!$B$29)/VERI_TABANI!$B$4)*VERI_TABANI!$B$6 + IF(ISNUMBER(SEARCH("Var", D764)), (VERI_TABANI!$F$29/VERI_TABANI!$B$29)*(VERI_TABANI!$B$10+VERI_TABANI!$B$12), 0)</f>
        <v/>
      </c>
      <c r="G764" s="168">
        <f>(((MIN(VERI_TABANI!D23, VERI_TABANI!D23*B764)*VERI_TABANI!$B$7 + MAX(0, VERI_TABANI!D23*B764-VERI_TABANI!D23)*VERI_TABANI!$B$8) + (MIN(MAX(0, VERI_TABANI!D23-VERI_TABANI!D23*B764), VERI_TABANI!D23*C764)*VERI_TABANI!$B$7 + MAX(0, VERI_TABANI!D23*C764-MAX(0, VERI_TABANI!D23-VERI_TABANI!D23*B764))*VERI_TABANI!$B$8) + IF(ABS(IF(ISNUMBER(SEARCH("Var", D764)), 1, IF(ISNUMBER(SEARCH("Gri", D764)), -1, 0)))=1, VERI_TABANI!E23*(1-0.928)*VERI_TABANI!$B$9, 0) + (VERI_TABANI!D23*B764*(VERI_TABANI!$B$13-VERI_TABANI!$B$14)*VERI_TABANI!G23) + (VERI_TABANI!D23*C764*(VERI_TABANI!$B$13-VERI_TABANI!$B$15)*VERI_TABANI!G23) + IF(ABS(IF(ISNUMBER(SEARCH("Var", D764)), 1, IF(ISNUMBER(SEARCH("Gri", D764)), -1, 0)))=1, VERI_TABANI!E23*(1-0.928)*0.00206091519919798*VERI_TABANI!G23, 0)) + ((MIN(VERI_TABANI!D24, VERI_TABANI!D24*B764)*VERI_TABANI!$B$7 + MAX(0, VERI_TABANI!D24*B764-VERI_TABANI!D24)*VERI_TABANI!$B$8) + (MIN(MAX(0, VERI_TABANI!D24-VERI_TABANI!D24*B764), VERI_TABANI!D24*C764)*VERI_TABANI!$B$7 + MAX(0, VERI_TABANI!D24*C764-MAX(0, VERI_TABANI!D24-VERI_TABANI!D24*B764))*VERI_TABANI!$B$8) + IF(ABS(IF(ISNUMBER(SEARCH("Var", D764)), 1, IF(ISNUMBER(SEARCH("Gri", D764)), -1, 0)))=1, VERI_TABANI!E24*(1-0.928)*VERI_TABANI!$B$9, 0) + (VERI_TABANI!D24*B764*(VERI_TABANI!$B$13-VERI_TABANI!$B$14)*VERI_TABANI!G24) + (VERI_TABANI!D24*C764*(VERI_TABANI!$B$13-VERI_TABANI!$B$15)*VERI_TABANI!G24) + IF(ABS(IF(ISNUMBER(SEARCH("Var", D764)), 1, IF(ISNUMBER(SEARCH("Gri", D764)), -1, 0)))=1, VERI_TABANI!E24*(1-0.928)*0.00206091519919798*VERI_TABANI!G24, 0)) + ((MIN(VERI_TABANI!D25, VERI_TABANI!D25*B764)*VERI_TABANI!$B$7 + MAX(0, VERI_TABANI!D25*B764-VERI_TABANI!D25)*VERI_TABANI!$B$8) + (MIN(MAX(0, VERI_TABANI!D25-VERI_TABANI!D25*B764), VERI_TABANI!D25*C764)*VERI_TABANI!$B$7 + MAX(0, VERI_TABANI!D25*C764-MAX(0, VERI_TABANI!D25-VERI_TABANI!D25*B764))*VERI_TABANI!$B$8) + IF(ABS(IF(ISNUMBER(SEARCH("Var", D764)), 1, IF(ISNUMBER(SEARCH("Gri", D764)), -1, 0)))=1, VERI_TABANI!E25*(1-0.928)*VERI_TABANI!$B$9, 0) + (VERI_TABANI!D25*B764*(VERI_TABANI!$B$13-VERI_TABANI!$B$14)*VERI_TABANI!G25) + (VERI_TABANI!D25*C764*(VERI_TABANI!$B$13-VERI_TABANI!$B$15)*VERI_TABANI!G25) + IF(ABS(IF(ISNUMBER(SEARCH("Var", D764)), 1, IF(ISNUMBER(SEARCH("Gri", D764)), -1, 0)))=1, VERI_TABANI!E25*(1-0.928)*0.00206091519919798*VERI_TABANI!G25, 0)) + ((MIN(VERI_TABANI!D26, VERI_TABANI!D26*B764)*VERI_TABANI!$B$7 + MAX(0, VERI_TABANI!D26*B764-VERI_TABANI!D26)*VERI_TABANI!$B$8) + (MIN(MAX(0, VERI_TABANI!D26-VERI_TABANI!D26*B764), VERI_TABANI!D26*C764)*VERI_TABANI!$B$7 + MAX(0, VERI_TABANI!D26*C764-MAX(0, VERI_TABANI!D26-VERI_TABANI!D26*B764))*VERI_TABANI!$B$8) + IF(ABS(IF(ISNUMBER(SEARCH("Var", D764)), 1, IF(ISNUMBER(SEARCH("Gri", D764)), -1, 0)))=1, VERI_TABANI!E26*(1-0.928)*VERI_TABANI!$B$9, 0) + (VERI_TABANI!D26*B764*(VERI_TABANI!$B$13-VERI_TABANI!$B$14)*VERI_TABANI!G26) + (VERI_TABANI!D26*C764*(VERI_TABANI!$B$13-VERI_TABANI!$B$15)*VERI_TABANI!G26) + IF(ABS(IF(ISNUMBER(SEARCH("Var", D764)), 1, IF(ISNUMBER(SEARCH("Gri", D764)), -1, 0)))=1, VERI_TABANI!E26*(1-0.928)*0.00206091519919798*VERI_TABANI!G26, 0)) + ((MIN(VERI_TABANI!D27, VERI_TABANI!D27*B764)*VERI_TABANI!$B$7 + MAX(0, VERI_TABANI!D27*B764-VERI_TABANI!D27)*VERI_TABANI!$B$8) + (MIN(MAX(0, VERI_TABANI!D27-VERI_TABANI!D27*B764), VERI_TABANI!D27*C764)*VERI_TABANI!$B$7 + MAX(0, VERI_TABANI!D27*C764-MAX(0, VERI_TABANI!D27-VERI_TABANI!D27*B764))*VERI_TABANI!$B$8) + IF(ABS(IF(ISNUMBER(SEARCH("Var", D764)), 1, IF(ISNUMBER(SEARCH("Gri", D764)), -1, 0)))=1, VERI_TABANI!E27*(1-0.928)*VERI_TABANI!$B$9, 0) + (VERI_TABANI!D27*B764*(VERI_TABANI!$B$13-VERI_TABANI!$B$14)*VERI_TABANI!G27) + (VERI_TABANI!D27*C764*(VERI_TABANI!$B$13-VERI_TABANI!$B$15)*VERI_TABANI!G27) + IF(ABS(IF(ISNUMBER(SEARCH("Var", D764)), 1, IF(ISNUMBER(SEARCH("Gri", D764)), -1, 0)))=1, VERI_TABANI!E27*(1-0.928)*0.00206091519919798*VERI_TABANI!G27, 0)) + ((MIN(VERI_TABANI!D28, VERI_TABANI!D28*B764)*VERI_TABANI!$B$7 + MAX(0, VERI_TABANI!D28*B764-VERI_TABANI!D28)*VERI_TABANI!$B$8) + (MIN(MAX(0, VERI_TABANI!D28-VERI_TABANI!D28*B764), VERI_TABANI!D28*C764)*VERI_TABANI!$B$7 + MAX(0, VERI_TABANI!D28*C764-MAX(0, VERI_TABANI!D28-VERI_TABANI!D28*B764))*VERI_TABANI!$B$8) + IF(ABS(IF(ISNUMBER(SEARCH("Var", D764)), 1, IF(ISNUMBER(SEARCH("Gri", D764)), -1, 0)))=1, VERI_TABANI!E28*(1-0.928)*VERI_TABANI!$B$9, 0) + (VERI_TABANI!D28*B764*(VERI_TABANI!$B$13-VERI_TABANI!$B$14)*VERI_TABANI!G28) + (VERI_TABANI!D28*C764*(VERI_TABANI!$B$13-VERI_TABANI!$B$15)*VERI_TABANI!G28) + IF(ABS(IF(ISNUMBER(SEARCH("Var", D764)), 1, IF(ISNUMBER(SEARCH("Gri", D764)), -1, 0)))=1, VERI_TABANI!E28*(1-0.928)*0.00206091519919798*VERI_TABANI!G28, 0)))</f>
        <v/>
      </c>
      <c r="H764" s="169">
        <f>(((VERI_TABANI!D23*B764*(VERI_TABANI!$B$13-VERI_TABANI!$B$14)) + (VERI_TABANI!D23*C764*(VERI_TABANI!$B$13-VERI_TABANI!$B$15)) + IF(ISNUMBER(SEARCH("Var", D764)), VERI_TABANI!F23*(0.00202-VERI_TABANI!$B$16), IF(ISNUMBER(SEARCH("Gri", D764)), VERI_TABANI!F23*(0.00202-VERI_TABANI!$B$17), 0))) + ((VERI_TABANI!D24*B764*(VERI_TABANI!$B$13-VERI_TABANI!$B$14)) + (VERI_TABANI!D24*C764*(VERI_TABANI!$B$13-VERI_TABANI!$B$15)) + IF(ISNUMBER(SEARCH("Var", D764)), VERI_TABANI!F24*(0.00202-VERI_TABANI!$B$16), IF(ISNUMBER(SEARCH("Gri", D764)), VERI_TABANI!F24*(0.00202-VERI_TABANI!$B$17), 0))) + ((VERI_TABANI!D25*B764*(VERI_TABANI!$B$13-VERI_TABANI!$B$14)) + (VERI_TABANI!D25*C764*(VERI_TABANI!$B$13-VERI_TABANI!$B$15)) + IF(ISNUMBER(SEARCH("Var", D764)), VERI_TABANI!F25*(0.00202-VERI_TABANI!$B$16), IF(ISNUMBER(SEARCH("Gri", D764)), VERI_TABANI!F25*(0.00202-VERI_TABANI!$B$17), 0))) + ((VERI_TABANI!D26*B764*(VERI_TABANI!$B$13-VERI_TABANI!$B$14)) + (VERI_TABANI!D26*C764*(VERI_TABANI!$B$13-VERI_TABANI!$B$15)) + IF(ISNUMBER(SEARCH("Var", D764)), VERI_TABANI!F26*(0.00202-VERI_TABANI!$B$16), IF(ISNUMBER(SEARCH("Gri", D764)), VERI_TABANI!F26*(0.00202-VERI_TABANI!$B$17), 0))) + ((VERI_TABANI!D27*B764*(VERI_TABANI!$B$13-VERI_TABANI!$B$14)) + (VERI_TABANI!D27*C764*(VERI_TABANI!$B$13-VERI_TABANI!$B$15)) + IF(ISNUMBER(SEARCH("Var", D764)), VERI_TABANI!F27*(0.00202-VERI_TABANI!$B$16), IF(ISNUMBER(SEARCH("Gri", D764)), VERI_TABANI!F27*(0.00202-VERI_TABANI!$B$17), 0))) + ((VERI_TABANI!D28*B764*(VERI_TABANI!$B$13-VERI_TABANI!$B$14)) + (VERI_TABANI!D28*C764*(VERI_TABANI!$B$13-VERI_TABANI!$B$15)) + IF(ISNUMBER(SEARCH("Var", D764)), VERI_TABANI!F28*(0.00202-VERI_TABANI!$B$16), IF(ISNUMBER(SEARCH("Gri", D764)), VERI_TABANI!F28*(0.00202-VERI_TABANI!$B$17), 0))))</f>
        <v/>
      </c>
      <c r="I764" s="170">
        <f>IFERROR(((VERI_TABANI!$D$29*B764*VERI_TABANI!$B$14 + VERI_TABANI!$D$29*C764*VERI_TABANI!$B$15 + IF(ISNUMBER(SEARCH("Var", D764)), VERI_TABANI!$F$29*VERI_TABANI!$B$16, 0))) / (((VERI_TABANI!$D$29*B764 + VERI_TABANI!$D$29*C764)*VERI_TABANI!$B$13 + IF(ISNUMBER(SEARCH("Var", D764)), VERI_TABANI!$E$29*(1-0.928)*VERI_TABANI!$B$18, 0))), 0)</f>
        <v/>
      </c>
      <c r="J764" s="171">
        <f>IFERROR(F764/(G764/29), 0)</f>
        <v/>
      </c>
      <c r="K764" s="172">
        <f>IF(F764&gt;0, H764/F764, 0)</f>
        <v/>
      </c>
      <c r="L764" s="170">
        <f>IF(F764&gt;0, I764, 1000000000)</f>
        <v/>
      </c>
      <c r="M764" s="171">
        <f>ABS((B764+C764)-1)</f>
        <v/>
      </c>
      <c r="N764" s="170">
        <f>IF(F764&gt;0, (G764/29)/F764, 0)</f>
        <v/>
      </c>
      <c r="O764" s="168">
        <f>IF(AND((B764+C764)&gt;=1, ISNUMBER(SEARCH("Var", D764))), F764, 1000000000)</f>
        <v/>
      </c>
      <c r="P764" s="172">
        <f>IF(F764&gt;0, SQRT((F764/MAX(F$5:F$886))^2 + (1 - H764/MAX(H$5:H$886))^2 + (J764/MAX(J$5:J$886))^2), 1000000000)</f>
        <v/>
      </c>
      <c r="Q764" s="166">
        <f>IF(AND(ABS(B764-0.5)&lt;0.01, ABS(C764-0.5)&lt;0.01, ISNUMBER(SEARCH("Var", D764))), 1, 0)</f>
        <v/>
      </c>
      <c r="R764" s="171">
        <f>IF(F764&gt;0, J764, 1000000000)</f>
        <v/>
      </c>
      <c r="S764" s="101">
        <f>IF(AND(F764&lt;=DASHBOARD!$B$11, H764&gt;=DASHBOARD!$B$13), G764, -1000000000000)</f>
        <v/>
      </c>
      <c r="T764" s="101">
        <f>IF(AND(F764&lt;=DASHBOARD!$B$11, H764&gt;=DASHBOARD!$B$13), R764, 1000000000000)</f>
        <v/>
      </c>
      <c r="U764" s="101">
        <f>IF(AND(F764&lt;=DASHBOARD!$B$11, H764&gt;=DASHBOARD!$B$13), N764, -1000000000000)</f>
        <v/>
      </c>
      <c r="V764" s="101">
        <f>IF(AND(F764&lt;=DASHBOARD!$B$11, H764&gt;=DASHBOARD!$B$13), H764, -1000000000000)</f>
        <v/>
      </c>
      <c r="W764" s="101">
        <f>IF(AND(F764&lt;=DASHBOARD!$B$11, H764&gt;=DASHBOARD!$B$13), K764, -1000000000000)</f>
        <v/>
      </c>
      <c r="X764" s="101">
        <f>IF(AND(F764&lt;=DASHBOARD!$B$11, H764&gt;=DASHBOARD!$B$13), M764, 1000000000000)</f>
        <v/>
      </c>
      <c r="Y764" s="101">
        <f>IF(AND(F764&lt;=DASHBOARD!$B$10, H764&gt;=DASHBOARD!$B$11), L764, 1000000000000)</f>
        <v/>
      </c>
      <c r="Z764" s="101">
        <f>IF(AND(F764&lt;=DASHBOARD!$B$10, H764&gt;=DASHBOARD!$B$11), O764, 1000000000000)</f>
        <v/>
      </c>
      <c r="AA764" s="101">
        <f>IF(AND(F764&lt;=DASHBOARD!$B$10, H764&gt;=DASHBOARD!$B$11), P764, 1000000000000)</f>
        <v/>
      </c>
      <c r="AB764" s="101">
        <f>IF(AND(F764&lt;=DASHBOARD!$B$10, H764&gt;=DASHBOARD!$B$11), Q764, -1000000000000)</f>
        <v/>
      </c>
    </row>
    <row r="765" ht="15" customHeight="1" s="102">
      <c r="A765" s="166" t="n">
        <v>761</v>
      </c>
      <c r="B765" s="167" t="n">
        <v>1.8</v>
      </c>
      <c r="C765" s="167" t="n">
        <v>0.2</v>
      </c>
      <c r="D765" s="110" t="inlineStr">
        <is>
          <t>Yok (%0)</t>
        </is>
      </c>
      <c r="E765" s="110">
        <f>IF((B765+C765)&lt;=1, "Tam Mahsuplaşma (≤%100)", "Kısmi Satış (&gt;%100)")</f>
        <v/>
      </c>
      <c r="F765" s="168">
        <f>((VERI_TABANI!$D$29*B765/VERI_TABANI!$B$29)/VERI_TABANI!$B$3)*VERI_TABANI!$B$5 + ((VERI_TABANI!$D$29*C765/VERI_TABANI!$B$29)/VERI_TABANI!$B$4)*VERI_TABANI!$B$6 + IF(ISNUMBER(SEARCH("Var", D765)), (VERI_TABANI!$F$29/VERI_TABANI!$B$29)*(VERI_TABANI!$B$10+VERI_TABANI!$B$12), 0)</f>
        <v/>
      </c>
      <c r="G765" s="168">
        <f>(((MIN(VERI_TABANI!D23, VERI_TABANI!D23*B765)*VERI_TABANI!$B$7 + MAX(0, VERI_TABANI!D23*B765-VERI_TABANI!D23)*VERI_TABANI!$B$8) + (MIN(MAX(0, VERI_TABANI!D23-VERI_TABANI!D23*B765), VERI_TABANI!D23*C765)*VERI_TABANI!$B$7 + MAX(0, VERI_TABANI!D23*C765-MAX(0, VERI_TABANI!D23-VERI_TABANI!D23*B765))*VERI_TABANI!$B$8) + IF(ABS(IF(ISNUMBER(SEARCH("Var", D765)), 1, IF(ISNUMBER(SEARCH("Gri", D765)), -1, 0)))=1, VERI_TABANI!E23*(1-0.928)*VERI_TABANI!$B$9, 0) + (VERI_TABANI!D23*B765*(VERI_TABANI!$B$13-VERI_TABANI!$B$14)*VERI_TABANI!G23) + (VERI_TABANI!D23*C765*(VERI_TABANI!$B$13-VERI_TABANI!$B$15)*VERI_TABANI!G23) + IF(ABS(IF(ISNUMBER(SEARCH("Var", D765)), 1, IF(ISNUMBER(SEARCH("Gri", D765)), -1, 0)))=1, VERI_TABANI!E23*(1-0.928)*0.00206091519919798*VERI_TABANI!G23, 0)) + ((MIN(VERI_TABANI!D24, VERI_TABANI!D24*B765)*VERI_TABANI!$B$7 + MAX(0, VERI_TABANI!D24*B765-VERI_TABANI!D24)*VERI_TABANI!$B$8) + (MIN(MAX(0, VERI_TABANI!D24-VERI_TABANI!D24*B765), VERI_TABANI!D24*C765)*VERI_TABANI!$B$7 + MAX(0, VERI_TABANI!D24*C765-MAX(0, VERI_TABANI!D24-VERI_TABANI!D24*B765))*VERI_TABANI!$B$8) + IF(ABS(IF(ISNUMBER(SEARCH("Var", D765)), 1, IF(ISNUMBER(SEARCH("Gri", D765)), -1, 0)))=1, VERI_TABANI!E24*(1-0.928)*VERI_TABANI!$B$9, 0) + (VERI_TABANI!D24*B765*(VERI_TABANI!$B$13-VERI_TABANI!$B$14)*VERI_TABANI!G24) + (VERI_TABANI!D24*C765*(VERI_TABANI!$B$13-VERI_TABANI!$B$15)*VERI_TABANI!G24) + IF(ABS(IF(ISNUMBER(SEARCH("Var", D765)), 1, IF(ISNUMBER(SEARCH("Gri", D765)), -1, 0)))=1, VERI_TABANI!E24*(1-0.928)*0.00206091519919798*VERI_TABANI!G24, 0)) + ((MIN(VERI_TABANI!D25, VERI_TABANI!D25*B765)*VERI_TABANI!$B$7 + MAX(0, VERI_TABANI!D25*B765-VERI_TABANI!D25)*VERI_TABANI!$B$8) + (MIN(MAX(0, VERI_TABANI!D25-VERI_TABANI!D25*B765), VERI_TABANI!D25*C765)*VERI_TABANI!$B$7 + MAX(0, VERI_TABANI!D25*C765-MAX(0, VERI_TABANI!D25-VERI_TABANI!D25*B765))*VERI_TABANI!$B$8) + IF(ABS(IF(ISNUMBER(SEARCH("Var", D765)), 1, IF(ISNUMBER(SEARCH("Gri", D765)), -1, 0)))=1, VERI_TABANI!E25*(1-0.928)*VERI_TABANI!$B$9, 0) + (VERI_TABANI!D25*B765*(VERI_TABANI!$B$13-VERI_TABANI!$B$14)*VERI_TABANI!G25) + (VERI_TABANI!D25*C765*(VERI_TABANI!$B$13-VERI_TABANI!$B$15)*VERI_TABANI!G25) + IF(ABS(IF(ISNUMBER(SEARCH("Var", D765)), 1, IF(ISNUMBER(SEARCH("Gri", D765)), -1, 0)))=1, VERI_TABANI!E25*(1-0.928)*0.00206091519919798*VERI_TABANI!G25, 0)) + ((MIN(VERI_TABANI!D26, VERI_TABANI!D26*B765)*VERI_TABANI!$B$7 + MAX(0, VERI_TABANI!D26*B765-VERI_TABANI!D26)*VERI_TABANI!$B$8) + (MIN(MAX(0, VERI_TABANI!D26-VERI_TABANI!D26*B765), VERI_TABANI!D26*C765)*VERI_TABANI!$B$7 + MAX(0, VERI_TABANI!D26*C765-MAX(0, VERI_TABANI!D26-VERI_TABANI!D26*B765))*VERI_TABANI!$B$8) + IF(ABS(IF(ISNUMBER(SEARCH("Var", D765)), 1, IF(ISNUMBER(SEARCH("Gri", D765)), -1, 0)))=1, VERI_TABANI!E26*(1-0.928)*VERI_TABANI!$B$9, 0) + (VERI_TABANI!D26*B765*(VERI_TABANI!$B$13-VERI_TABANI!$B$14)*VERI_TABANI!G26) + (VERI_TABANI!D26*C765*(VERI_TABANI!$B$13-VERI_TABANI!$B$15)*VERI_TABANI!G26) + IF(ABS(IF(ISNUMBER(SEARCH("Var", D765)), 1, IF(ISNUMBER(SEARCH("Gri", D765)), -1, 0)))=1, VERI_TABANI!E26*(1-0.928)*0.00206091519919798*VERI_TABANI!G26, 0)) + ((MIN(VERI_TABANI!D27, VERI_TABANI!D27*B765)*VERI_TABANI!$B$7 + MAX(0, VERI_TABANI!D27*B765-VERI_TABANI!D27)*VERI_TABANI!$B$8) + (MIN(MAX(0, VERI_TABANI!D27-VERI_TABANI!D27*B765), VERI_TABANI!D27*C765)*VERI_TABANI!$B$7 + MAX(0, VERI_TABANI!D27*C765-MAX(0, VERI_TABANI!D27-VERI_TABANI!D27*B765))*VERI_TABANI!$B$8) + IF(ABS(IF(ISNUMBER(SEARCH("Var", D765)), 1, IF(ISNUMBER(SEARCH("Gri", D765)), -1, 0)))=1, VERI_TABANI!E27*(1-0.928)*VERI_TABANI!$B$9, 0) + (VERI_TABANI!D27*B765*(VERI_TABANI!$B$13-VERI_TABANI!$B$14)*VERI_TABANI!G27) + (VERI_TABANI!D27*C765*(VERI_TABANI!$B$13-VERI_TABANI!$B$15)*VERI_TABANI!G27) + IF(ABS(IF(ISNUMBER(SEARCH("Var", D765)), 1, IF(ISNUMBER(SEARCH("Gri", D765)), -1, 0)))=1, VERI_TABANI!E27*(1-0.928)*0.00206091519919798*VERI_TABANI!G27, 0)) + ((MIN(VERI_TABANI!D28, VERI_TABANI!D28*B765)*VERI_TABANI!$B$7 + MAX(0, VERI_TABANI!D28*B765-VERI_TABANI!D28)*VERI_TABANI!$B$8) + (MIN(MAX(0, VERI_TABANI!D28-VERI_TABANI!D28*B765), VERI_TABANI!D28*C765)*VERI_TABANI!$B$7 + MAX(0, VERI_TABANI!D28*C765-MAX(0, VERI_TABANI!D28-VERI_TABANI!D28*B765))*VERI_TABANI!$B$8) + IF(ABS(IF(ISNUMBER(SEARCH("Var", D765)), 1, IF(ISNUMBER(SEARCH("Gri", D765)), -1, 0)))=1, VERI_TABANI!E28*(1-0.928)*VERI_TABANI!$B$9, 0) + (VERI_TABANI!D28*B765*(VERI_TABANI!$B$13-VERI_TABANI!$B$14)*VERI_TABANI!G28) + (VERI_TABANI!D28*C765*(VERI_TABANI!$B$13-VERI_TABANI!$B$15)*VERI_TABANI!G28) + IF(ABS(IF(ISNUMBER(SEARCH("Var", D765)), 1, IF(ISNUMBER(SEARCH("Gri", D765)), -1, 0)))=1, VERI_TABANI!E28*(1-0.928)*0.00206091519919798*VERI_TABANI!G28, 0)))</f>
        <v/>
      </c>
      <c r="H765" s="169">
        <f>(((VERI_TABANI!D23*B765*(VERI_TABANI!$B$13-VERI_TABANI!$B$14)) + (VERI_TABANI!D23*C765*(VERI_TABANI!$B$13-VERI_TABANI!$B$15)) + IF(ISNUMBER(SEARCH("Var", D765)), VERI_TABANI!F23*(0.00202-VERI_TABANI!$B$16), IF(ISNUMBER(SEARCH("Gri", D765)), VERI_TABANI!F23*(0.00202-VERI_TABANI!$B$17), 0))) + ((VERI_TABANI!D24*B765*(VERI_TABANI!$B$13-VERI_TABANI!$B$14)) + (VERI_TABANI!D24*C765*(VERI_TABANI!$B$13-VERI_TABANI!$B$15)) + IF(ISNUMBER(SEARCH("Var", D765)), VERI_TABANI!F24*(0.00202-VERI_TABANI!$B$16), IF(ISNUMBER(SEARCH("Gri", D765)), VERI_TABANI!F24*(0.00202-VERI_TABANI!$B$17), 0))) + ((VERI_TABANI!D25*B765*(VERI_TABANI!$B$13-VERI_TABANI!$B$14)) + (VERI_TABANI!D25*C765*(VERI_TABANI!$B$13-VERI_TABANI!$B$15)) + IF(ISNUMBER(SEARCH("Var", D765)), VERI_TABANI!F25*(0.00202-VERI_TABANI!$B$16), IF(ISNUMBER(SEARCH("Gri", D765)), VERI_TABANI!F25*(0.00202-VERI_TABANI!$B$17), 0))) + ((VERI_TABANI!D26*B765*(VERI_TABANI!$B$13-VERI_TABANI!$B$14)) + (VERI_TABANI!D26*C765*(VERI_TABANI!$B$13-VERI_TABANI!$B$15)) + IF(ISNUMBER(SEARCH("Var", D765)), VERI_TABANI!F26*(0.00202-VERI_TABANI!$B$16), IF(ISNUMBER(SEARCH("Gri", D765)), VERI_TABANI!F26*(0.00202-VERI_TABANI!$B$17), 0))) + ((VERI_TABANI!D27*B765*(VERI_TABANI!$B$13-VERI_TABANI!$B$14)) + (VERI_TABANI!D27*C765*(VERI_TABANI!$B$13-VERI_TABANI!$B$15)) + IF(ISNUMBER(SEARCH("Var", D765)), VERI_TABANI!F27*(0.00202-VERI_TABANI!$B$16), IF(ISNUMBER(SEARCH("Gri", D765)), VERI_TABANI!F27*(0.00202-VERI_TABANI!$B$17), 0))) + ((VERI_TABANI!D28*B765*(VERI_TABANI!$B$13-VERI_TABANI!$B$14)) + (VERI_TABANI!D28*C765*(VERI_TABANI!$B$13-VERI_TABANI!$B$15)) + IF(ISNUMBER(SEARCH("Var", D765)), VERI_TABANI!F28*(0.00202-VERI_TABANI!$B$16), IF(ISNUMBER(SEARCH("Gri", D765)), VERI_TABANI!F28*(0.00202-VERI_TABANI!$B$17), 0))))</f>
        <v/>
      </c>
      <c r="I765" s="170">
        <f>IFERROR(((VERI_TABANI!$D$29*B765*VERI_TABANI!$B$14 + VERI_TABANI!$D$29*C765*VERI_TABANI!$B$15 + IF(ISNUMBER(SEARCH("Var", D765)), VERI_TABANI!$F$29*VERI_TABANI!$B$16, 0))) / (((VERI_TABANI!$D$29*B765 + VERI_TABANI!$D$29*C765)*VERI_TABANI!$B$13 + IF(ISNUMBER(SEARCH("Var", D765)), VERI_TABANI!$E$29*(1-0.928)*VERI_TABANI!$B$18, 0))), 0)</f>
        <v/>
      </c>
      <c r="J765" s="171">
        <f>IFERROR(F765/(G765/29), 0)</f>
        <v/>
      </c>
      <c r="K765" s="172">
        <f>IF(F765&gt;0, H765/F765, 0)</f>
        <v/>
      </c>
      <c r="L765" s="170">
        <f>IF(F765&gt;0, I765, 1000000000)</f>
        <v/>
      </c>
      <c r="M765" s="171">
        <f>ABS((B765+C765)-1)</f>
        <v/>
      </c>
      <c r="N765" s="170">
        <f>IF(F765&gt;0, (G765/29)/F765, 0)</f>
        <v/>
      </c>
      <c r="O765" s="168">
        <f>IF(AND((B765+C765)&gt;=1, ISNUMBER(SEARCH("Var", D765))), F765, 1000000000)</f>
        <v/>
      </c>
      <c r="P765" s="172">
        <f>IF(F765&gt;0, SQRT((F765/MAX(F$5:F$886))^2 + (1 - H765/MAX(H$5:H$886))^2 + (J765/MAX(J$5:J$886))^2), 1000000000)</f>
        <v/>
      </c>
      <c r="Q765" s="166">
        <f>IF(AND(ABS(B765-0.5)&lt;0.01, ABS(C765-0.5)&lt;0.01, ISNUMBER(SEARCH("Var", D765))), 1, 0)</f>
        <v/>
      </c>
      <c r="R765" s="171">
        <f>IF(F765&gt;0, J765, 1000000000)</f>
        <v/>
      </c>
      <c r="S765" s="101">
        <f>IF(AND(F765&lt;=DASHBOARD!$B$11, H765&gt;=DASHBOARD!$B$13), G765, -1000000000000)</f>
        <v/>
      </c>
      <c r="T765" s="101">
        <f>IF(AND(F765&lt;=DASHBOARD!$B$11, H765&gt;=DASHBOARD!$B$13), R765, 1000000000000)</f>
        <v/>
      </c>
      <c r="U765" s="101">
        <f>IF(AND(F765&lt;=DASHBOARD!$B$11, H765&gt;=DASHBOARD!$B$13), N765, -1000000000000)</f>
        <v/>
      </c>
      <c r="V765" s="101">
        <f>IF(AND(F765&lt;=DASHBOARD!$B$11, H765&gt;=DASHBOARD!$B$13), H765, -1000000000000)</f>
        <v/>
      </c>
      <c r="W765" s="101">
        <f>IF(AND(F765&lt;=DASHBOARD!$B$11, H765&gt;=DASHBOARD!$B$13), K765, -1000000000000)</f>
        <v/>
      </c>
      <c r="X765" s="101">
        <f>IF(AND(F765&lt;=DASHBOARD!$B$11, H765&gt;=DASHBOARD!$B$13), M765, 1000000000000)</f>
        <v/>
      </c>
      <c r="Y765" s="101">
        <f>IF(AND(F765&lt;=DASHBOARD!$B$10, H765&gt;=DASHBOARD!$B$11), L765, 1000000000000)</f>
        <v/>
      </c>
      <c r="Z765" s="101">
        <f>IF(AND(F765&lt;=DASHBOARD!$B$10, H765&gt;=DASHBOARD!$B$11), O765, 1000000000000)</f>
        <v/>
      </c>
      <c r="AA765" s="101">
        <f>IF(AND(F765&lt;=DASHBOARD!$B$10, H765&gt;=DASHBOARD!$B$11), P765, 1000000000000)</f>
        <v/>
      </c>
      <c r="AB765" s="101">
        <f>IF(AND(F765&lt;=DASHBOARD!$B$10, H765&gt;=DASHBOARD!$B$11), Q765, -1000000000000)</f>
        <v/>
      </c>
    </row>
    <row r="766" ht="15" customHeight="1" s="102">
      <c r="A766" s="166" t="n">
        <v>762</v>
      </c>
      <c r="B766" s="167" t="n">
        <v>1.8</v>
      </c>
      <c r="C766" s="167" t="n">
        <v>0.2</v>
      </c>
      <c r="D766" s="110" t="inlineStr">
        <is>
          <t>Var (%20)</t>
        </is>
      </c>
      <c r="E766" s="110">
        <f>IF((B766+C766)&lt;=1, "Tam Mahsuplaşma (≤%100)", "Kısmi Satış (&gt;%100)")</f>
        <v/>
      </c>
      <c r="F766" s="168">
        <f>((VERI_TABANI!$D$29*B766/VERI_TABANI!$B$29)/VERI_TABANI!$B$3)*VERI_TABANI!$B$5 + ((VERI_TABANI!$D$29*C766/VERI_TABANI!$B$29)/VERI_TABANI!$B$4)*VERI_TABANI!$B$6 + IF(ISNUMBER(SEARCH("Var", D766)), (VERI_TABANI!$F$29/VERI_TABANI!$B$29)*(VERI_TABANI!$B$10+VERI_TABANI!$B$12), 0)</f>
        <v/>
      </c>
      <c r="G766" s="168">
        <f>(((MIN(VERI_TABANI!D23, VERI_TABANI!D23*B766)*VERI_TABANI!$B$7 + MAX(0, VERI_TABANI!D23*B766-VERI_TABANI!D23)*VERI_TABANI!$B$8) + (MIN(MAX(0, VERI_TABANI!D23-VERI_TABANI!D23*B766), VERI_TABANI!D23*C766)*VERI_TABANI!$B$7 + MAX(0, VERI_TABANI!D23*C766-MAX(0, VERI_TABANI!D23-VERI_TABANI!D23*B766))*VERI_TABANI!$B$8) + IF(ABS(IF(ISNUMBER(SEARCH("Var", D766)), 1, IF(ISNUMBER(SEARCH("Gri", D766)), -1, 0)))=1, VERI_TABANI!E23*(1-0.928)*VERI_TABANI!$B$9, 0) + (VERI_TABANI!D23*B766*(VERI_TABANI!$B$13-VERI_TABANI!$B$14)*VERI_TABANI!G23) + (VERI_TABANI!D23*C766*(VERI_TABANI!$B$13-VERI_TABANI!$B$15)*VERI_TABANI!G23) + IF(ABS(IF(ISNUMBER(SEARCH("Var", D766)), 1, IF(ISNUMBER(SEARCH("Gri", D766)), -1, 0)))=1, VERI_TABANI!E23*(1-0.928)*0.00206091519919798*VERI_TABANI!G23, 0)) + ((MIN(VERI_TABANI!D24, VERI_TABANI!D24*B766)*VERI_TABANI!$B$7 + MAX(0, VERI_TABANI!D24*B766-VERI_TABANI!D24)*VERI_TABANI!$B$8) + (MIN(MAX(0, VERI_TABANI!D24-VERI_TABANI!D24*B766), VERI_TABANI!D24*C766)*VERI_TABANI!$B$7 + MAX(0, VERI_TABANI!D24*C766-MAX(0, VERI_TABANI!D24-VERI_TABANI!D24*B766))*VERI_TABANI!$B$8) + IF(ABS(IF(ISNUMBER(SEARCH("Var", D766)), 1, IF(ISNUMBER(SEARCH("Gri", D766)), -1, 0)))=1, VERI_TABANI!E24*(1-0.928)*VERI_TABANI!$B$9, 0) + (VERI_TABANI!D24*B766*(VERI_TABANI!$B$13-VERI_TABANI!$B$14)*VERI_TABANI!G24) + (VERI_TABANI!D24*C766*(VERI_TABANI!$B$13-VERI_TABANI!$B$15)*VERI_TABANI!G24) + IF(ABS(IF(ISNUMBER(SEARCH("Var", D766)), 1, IF(ISNUMBER(SEARCH("Gri", D766)), -1, 0)))=1, VERI_TABANI!E24*(1-0.928)*0.00206091519919798*VERI_TABANI!G24, 0)) + ((MIN(VERI_TABANI!D25, VERI_TABANI!D25*B766)*VERI_TABANI!$B$7 + MAX(0, VERI_TABANI!D25*B766-VERI_TABANI!D25)*VERI_TABANI!$B$8) + (MIN(MAX(0, VERI_TABANI!D25-VERI_TABANI!D25*B766), VERI_TABANI!D25*C766)*VERI_TABANI!$B$7 + MAX(0, VERI_TABANI!D25*C766-MAX(0, VERI_TABANI!D25-VERI_TABANI!D25*B766))*VERI_TABANI!$B$8) + IF(ABS(IF(ISNUMBER(SEARCH("Var", D766)), 1, IF(ISNUMBER(SEARCH("Gri", D766)), -1, 0)))=1, VERI_TABANI!E25*(1-0.928)*VERI_TABANI!$B$9, 0) + (VERI_TABANI!D25*B766*(VERI_TABANI!$B$13-VERI_TABANI!$B$14)*VERI_TABANI!G25) + (VERI_TABANI!D25*C766*(VERI_TABANI!$B$13-VERI_TABANI!$B$15)*VERI_TABANI!G25) + IF(ABS(IF(ISNUMBER(SEARCH("Var", D766)), 1, IF(ISNUMBER(SEARCH("Gri", D766)), -1, 0)))=1, VERI_TABANI!E25*(1-0.928)*0.00206091519919798*VERI_TABANI!G25, 0)) + ((MIN(VERI_TABANI!D26, VERI_TABANI!D26*B766)*VERI_TABANI!$B$7 + MAX(0, VERI_TABANI!D26*B766-VERI_TABANI!D26)*VERI_TABANI!$B$8) + (MIN(MAX(0, VERI_TABANI!D26-VERI_TABANI!D26*B766), VERI_TABANI!D26*C766)*VERI_TABANI!$B$7 + MAX(0, VERI_TABANI!D26*C766-MAX(0, VERI_TABANI!D26-VERI_TABANI!D26*B766))*VERI_TABANI!$B$8) + IF(ABS(IF(ISNUMBER(SEARCH("Var", D766)), 1, IF(ISNUMBER(SEARCH("Gri", D766)), -1, 0)))=1, VERI_TABANI!E26*(1-0.928)*VERI_TABANI!$B$9, 0) + (VERI_TABANI!D26*B766*(VERI_TABANI!$B$13-VERI_TABANI!$B$14)*VERI_TABANI!G26) + (VERI_TABANI!D26*C766*(VERI_TABANI!$B$13-VERI_TABANI!$B$15)*VERI_TABANI!G26) + IF(ABS(IF(ISNUMBER(SEARCH("Var", D766)), 1, IF(ISNUMBER(SEARCH("Gri", D766)), -1, 0)))=1, VERI_TABANI!E26*(1-0.928)*0.00206091519919798*VERI_TABANI!G26, 0)) + ((MIN(VERI_TABANI!D27, VERI_TABANI!D27*B766)*VERI_TABANI!$B$7 + MAX(0, VERI_TABANI!D27*B766-VERI_TABANI!D27)*VERI_TABANI!$B$8) + (MIN(MAX(0, VERI_TABANI!D27-VERI_TABANI!D27*B766), VERI_TABANI!D27*C766)*VERI_TABANI!$B$7 + MAX(0, VERI_TABANI!D27*C766-MAX(0, VERI_TABANI!D27-VERI_TABANI!D27*B766))*VERI_TABANI!$B$8) + IF(ABS(IF(ISNUMBER(SEARCH("Var", D766)), 1, IF(ISNUMBER(SEARCH("Gri", D766)), -1, 0)))=1, VERI_TABANI!E27*(1-0.928)*VERI_TABANI!$B$9, 0) + (VERI_TABANI!D27*B766*(VERI_TABANI!$B$13-VERI_TABANI!$B$14)*VERI_TABANI!G27) + (VERI_TABANI!D27*C766*(VERI_TABANI!$B$13-VERI_TABANI!$B$15)*VERI_TABANI!G27) + IF(ABS(IF(ISNUMBER(SEARCH("Var", D766)), 1, IF(ISNUMBER(SEARCH("Gri", D766)), -1, 0)))=1, VERI_TABANI!E27*(1-0.928)*0.00206091519919798*VERI_TABANI!G27, 0)) + ((MIN(VERI_TABANI!D28, VERI_TABANI!D28*B766)*VERI_TABANI!$B$7 + MAX(0, VERI_TABANI!D28*B766-VERI_TABANI!D28)*VERI_TABANI!$B$8) + (MIN(MAX(0, VERI_TABANI!D28-VERI_TABANI!D28*B766), VERI_TABANI!D28*C766)*VERI_TABANI!$B$7 + MAX(0, VERI_TABANI!D28*C766-MAX(0, VERI_TABANI!D28-VERI_TABANI!D28*B766))*VERI_TABANI!$B$8) + IF(ABS(IF(ISNUMBER(SEARCH("Var", D766)), 1, IF(ISNUMBER(SEARCH("Gri", D766)), -1, 0)))=1, VERI_TABANI!E28*(1-0.928)*VERI_TABANI!$B$9, 0) + (VERI_TABANI!D28*B766*(VERI_TABANI!$B$13-VERI_TABANI!$B$14)*VERI_TABANI!G28) + (VERI_TABANI!D28*C766*(VERI_TABANI!$B$13-VERI_TABANI!$B$15)*VERI_TABANI!G28) + IF(ABS(IF(ISNUMBER(SEARCH("Var", D766)), 1, IF(ISNUMBER(SEARCH("Gri", D766)), -1, 0)))=1, VERI_TABANI!E28*(1-0.928)*0.00206091519919798*VERI_TABANI!G28, 0)))</f>
        <v/>
      </c>
      <c r="H766" s="169">
        <f>(((VERI_TABANI!D23*B766*(VERI_TABANI!$B$13-VERI_TABANI!$B$14)) + (VERI_TABANI!D23*C766*(VERI_TABANI!$B$13-VERI_TABANI!$B$15)) + IF(ISNUMBER(SEARCH("Var", D766)), VERI_TABANI!F23*(0.00202-VERI_TABANI!$B$16), IF(ISNUMBER(SEARCH("Gri", D766)), VERI_TABANI!F23*(0.00202-VERI_TABANI!$B$17), 0))) + ((VERI_TABANI!D24*B766*(VERI_TABANI!$B$13-VERI_TABANI!$B$14)) + (VERI_TABANI!D24*C766*(VERI_TABANI!$B$13-VERI_TABANI!$B$15)) + IF(ISNUMBER(SEARCH("Var", D766)), VERI_TABANI!F24*(0.00202-VERI_TABANI!$B$16), IF(ISNUMBER(SEARCH("Gri", D766)), VERI_TABANI!F24*(0.00202-VERI_TABANI!$B$17), 0))) + ((VERI_TABANI!D25*B766*(VERI_TABANI!$B$13-VERI_TABANI!$B$14)) + (VERI_TABANI!D25*C766*(VERI_TABANI!$B$13-VERI_TABANI!$B$15)) + IF(ISNUMBER(SEARCH("Var", D766)), VERI_TABANI!F25*(0.00202-VERI_TABANI!$B$16), IF(ISNUMBER(SEARCH("Gri", D766)), VERI_TABANI!F25*(0.00202-VERI_TABANI!$B$17), 0))) + ((VERI_TABANI!D26*B766*(VERI_TABANI!$B$13-VERI_TABANI!$B$14)) + (VERI_TABANI!D26*C766*(VERI_TABANI!$B$13-VERI_TABANI!$B$15)) + IF(ISNUMBER(SEARCH("Var", D766)), VERI_TABANI!F26*(0.00202-VERI_TABANI!$B$16), IF(ISNUMBER(SEARCH("Gri", D766)), VERI_TABANI!F26*(0.00202-VERI_TABANI!$B$17), 0))) + ((VERI_TABANI!D27*B766*(VERI_TABANI!$B$13-VERI_TABANI!$B$14)) + (VERI_TABANI!D27*C766*(VERI_TABANI!$B$13-VERI_TABANI!$B$15)) + IF(ISNUMBER(SEARCH("Var", D766)), VERI_TABANI!F27*(0.00202-VERI_TABANI!$B$16), IF(ISNUMBER(SEARCH("Gri", D766)), VERI_TABANI!F27*(0.00202-VERI_TABANI!$B$17), 0))) + ((VERI_TABANI!D28*B766*(VERI_TABANI!$B$13-VERI_TABANI!$B$14)) + (VERI_TABANI!D28*C766*(VERI_TABANI!$B$13-VERI_TABANI!$B$15)) + IF(ISNUMBER(SEARCH("Var", D766)), VERI_TABANI!F28*(0.00202-VERI_TABANI!$B$16), IF(ISNUMBER(SEARCH("Gri", D766)), VERI_TABANI!F28*(0.00202-VERI_TABANI!$B$17), 0))))</f>
        <v/>
      </c>
      <c r="I766" s="170">
        <f>IFERROR(((VERI_TABANI!$D$29*B766*VERI_TABANI!$B$14 + VERI_TABANI!$D$29*C766*VERI_TABANI!$B$15 + IF(ISNUMBER(SEARCH("Var", D766)), VERI_TABANI!$F$29*VERI_TABANI!$B$16, 0))) / (((VERI_TABANI!$D$29*B766 + VERI_TABANI!$D$29*C766)*VERI_TABANI!$B$13 + IF(ISNUMBER(SEARCH("Var", D766)), VERI_TABANI!$E$29*(1-0.928)*VERI_TABANI!$B$18, 0))), 0)</f>
        <v/>
      </c>
      <c r="J766" s="171">
        <f>IFERROR(F766/(G766/29), 0)</f>
        <v/>
      </c>
      <c r="K766" s="172">
        <f>IF(F766&gt;0, H766/F766, 0)</f>
        <v/>
      </c>
      <c r="L766" s="170">
        <f>IF(F766&gt;0, I766, 1000000000)</f>
        <v/>
      </c>
      <c r="M766" s="171">
        <f>ABS((B766+C766)-1)</f>
        <v/>
      </c>
      <c r="N766" s="170">
        <f>IF(F766&gt;0, (G766/29)/F766, 0)</f>
        <v/>
      </c>
      <c r="O766" s="168">
        <f>IF(AND((B766+C766)&gt;=1, ISNUMBER(SEARCH("Var", D766))), F766, 1000000000)</f>
        <v/>
      </c>
      <c r="P766" s="172">
        <f>IF(F766&gt;0, SQRT((F766/MAX(F$5:F$886))^2 + (1 - H766/MAX(H$5:H$886))^2 + (J766/MAX(J$5:J$886))^2), 1000000000)</f>
        <v/>
      </c>
      <c r="Q766" s="166">
        <f>IF(AND(ABS(B766-0.5)&lt;0.01, ABS(C766-0.5)&lt;0.01, ISNUMBER(SEARCH("Var", D766))), 1, 0)</f>
        <v/>
      </c>
      <c r="R766" s="171">
        <f>IF(F766&gt;0, J766, 1000000000)</f>
        <v/>
      </c>
      <c r="S766" s="101">
        <f>IF(AND(F766&lt;=DASHBOARD!$B$11, H766&gt;=DASHBOARD!$B$13), G766, -1000000000000)</f>
        <v/>
      </c>
      <c r="T766" s="101">
        <f>IF(AND(F766&lt;=DASHBOARD!$B$11, H766&gt;=DASHBOARD!$B$13), R766, 1000000000000)</f>
        <v/>
      </c>
      <c r="U766" s="101">
        <f>IF(AND(F766&lt;=DASHBOARD!$B$11, H766&gt;=DASHBOARD!$B$13), N766, -1000000000000)</f>
        <v/>
      </c>
      <c r="V766" s="101">
        <f>IF(AND(F766&lt;=DASHBOARD!$B$11, H766&gt;=DASHBOARD!$B$13), H766, -1000000000000)</f>
        <v/>
      </c>
      <c r="W766" s="101">
        <f>IF(AND(F766&lt;=DASHBOARD!$B$11, H766&gt;=DASHBOARD!$B$13), K766, -1000000000000)</f>
        <v/>
      </c>
      <c r="X766" s="101">
        <f>IF(AND(F766&lt;=DASHBOARD!$B$11, H766&gt;=DASHBOARD!$B$13), M766, 1000000000000)</f>
        <v/>
      </c>
      <c r="Y766" s="101">
        <f>IF(AND(F766&lt;=DASHBOARD!$B$10, H766&gt;=DASHBOARD!$B$11), L766, 1000000000000)</f>
        <v/>
      </c>
      <c r="Z766" s="101">
        <f>IF(AND(F766&lt;=DASHBOARD!$B$10, H766&gt;=DASHBOARD!$B$11), O766, 1000000000000)</f>
        <v/>
      </c>
      <c r="AA766" s="101">
        <f>IF(AND(F766&lt;=DASHBOARD!$B$10, H766&gt;=DASHBOARD!$B$11), P766, 1000000000000)</f>
        <v/>
      </c>
      <c r="AB766" s="101">
        <f>IF(AND(F766&lt;=DASHBOARD!$B$10, H766&gt;=DASHBOARD!$B$11), Q766, -1000000000000)</f>
        <v/>
      </c>
    </row>
    <row r="767" ht="15" customHeight="1" s="102">
      <c r="A767" s="166" t="n">
        <v>763</v>
      </c>
      <c r="B767" s="167" t="n">
        <v>1.8</v>
      </c>
      <c r="C767" s="167" t="n">
        <v>0.3</v>
      </c>
      <c r="D767" s="110" t="inlineStr">
        <is>
          <t>Yok (%0)</t>
        </is>
      </c>
      <c r="E767" s="110">
        <f>IF((B767+C767)&lt;=1, "Tam Mahsuplaşma (≤%100)", "Kısmi Satış (&gt;%100)")</f>
        <v/>
      </c>
      <c r="F767" s="168">
        <f>((VERI_TABANI!$D$29*B767/VERI_TABANI!$B$29)/VERI_TABANI!$B$3)*VERI_TABANI!$B$5 + ((VERI_TABANI!$D$29*C767/VERI_TABANI!$B$29)/VERI_TABANI!$B$4)*VERI_TABANI!$B$6 + IF(ISNUMBER(SEARCH("Var", D767)), (VERI_TABANI!$F$29/VERI_TABANI!$B$29)*(VERI_TABANI!$B$10+VERI_TABANI!$B$12), 0)</f>
        <v/>
      </c>
      <c r="G767" s="168">
        <f>(((MIN(VERI_TABANI!D23, VERI_TABANI!D23*B767)*VERI_TABANI!$B$7 + MAX(0, VERI_TABANI!D23*B767-VERI_TABANI!D23)*VERI_TABANI!$B$8) + (MIN(MAX(0, VERI_TABANI!D23-VERI_TABANI!D23*B767), VERI_TABANI!D23*C767)*VERI_TABANI!$B$7 + MAX(0, VERI_TABANI!D23*C767-MAX(0, VERI_TABANI!D23-VERI_TABANI!D23*B767))*VERI_TABANI!$B$8) + IF(ABS(IF(ISNUMBER(SEARCH("Var", D767)), 1, IF(ISNUMBER(SEARCH("Gri", D767)), -1, 0)))=1, VERI_TABANI!E23*(1-0.928)*VERI_TABANI!$B$9, 0) + (VERI_TABANI!D23*B767*(VERI_TABANI!$B$13-VERI_TABANI!$B$14)*VERI_TABANI!G23) + (VERI_TABANI!D23*C767*(VERI_TABANI!$B$13-VERI_TABANI!$B$15)*VERI_TABANI!G23) + IF(ABS(IF(ISNUMBER(SEARCH("Var", D767)), 1, IF(ISNUMBER(SEARCH("Gri", D767)), -1, 0)))=1, VERI_TABANI!E23*(1-0.928)*0.00206091519919798*VERI_TABANI!G23, 0)) + ((MIN(VERI_TABANI!D24, VERI_TABANI!D24*B767)*VERI_TABANI!$B$7 + MAX(0, VERI_TABANI!D24*B767-VERI_TABANI!D24)*VERI_TABANI!$B$8) + (MIN(MAX(0, VERI_TABANI!D24-VERI_TABANI!D24*B767), VERI_TABANI!D24*C767)*VERI_TABANI!$B$7 + MAX(0, VERI_TABANI!D24*C767-MAX(0, VERI_TABANI!D24-VERI_TABANI!D24*B767))*VERI_TABANI!$B$8) + IF(ABS(IF(ISNUMBER(SEARCH("Var", D767)), 1, IF(ISNUMBER(SEARCH("Gri", D767)), -1, 0)))=1, VERI_TABANI!E24*(1-0.928)*VERI_TABANI!$B$9, 0) + (VERI_TABANI!D24*B767*(VERI_TABANI!$B$13-VERI_TABANI!$B$14)*VERI_TABANI!G24) + (VERI_TABANI!D24*C767*(VERI_TABANI!$B$13-VERI_TABANI!$B$15)*VERI_TABANI!G24) + IF(ABS(IF(ISNUMBER(SEARCH("Var", D767)), 1, IF(ISNUMBER(SEARCH("Gri", D767)), -1, 0)))=1, VERI_TABANI!E24*(1-0.928)*0.00206091519919798*VERI_TABANI!G24, 0)) + ((MIN(VERI_TABANI!D25, VERI_TABANI!D25*B767)*VERI_TABANI!$B$7 + MAX(0, VERI_TABANI!D25*B767-VERI_TABANI!D25)*VERI_TABANI!$B$8) + (MIN(MAX(0, VERI_TABANI!D25-VERI_TABANI!D25*B767), VERI_TABANI!D25*C767)*VERI_TABANI!$B$7 + MAX(0, VERI_TABANI!D25*C767-MAX(0, VERI_TABANI!D25-VERI_TABANI!D25*B767))*VERI_TABANI!$B$8) + IF(ABS(IF(ISNUMBER(SEARCH("Var", D767)), 1, IF(ISNUMBER(SEARCH("Gri", D767)), -1, 0)))=1, VERI_TABANI!E25*(1-0.928)*VERI_TABANI!$B$9, 0) + (VERI_TABANI!D25*B767*(VERI_TABANI!$B$13-VERI_TABANI!$B$14)*VERI_TABANI!G25) + (VERI_TABANI!D25*C767*(VERI_TABANI!$B$13-VERI_TABANI!$B$15)*VERI_TABANI!G25) + IF(ABS(IF(ISNUMBER(SEARCH("Var", D767)), 1, IF(ISNUMBER(SEARCH("Gri", D767)), -1, 0)))=1, VERI_TABANI!E25*(1-0.928)*0.00206091519919798*VERI_TABANI!G25, 0)) + ((MIN(VERI_TABANI!D26, VERI_TABANI!D26*B767)*VERI_TABANI!$B$7 + MAX(0, VERI_TABANI!D26*B767-VERI_TABANI!D26)*VERI_TABANI!$B$8) + (MIN(MAX(0, VERI_TABANI!D26-VERI_TABANI!D26*B767), VERI_TABANI!D26*C767)*VERI_TABANI!$B$7 + MAX(0, VERI_TABANI!D26*C767-MAX(0, VERI_TABANI!D26-VERI_TABANI!D26*B767))*VERI_TABANI!$B$8) + IF(ABS(IF(ISNUMBER(SEARCH("Var", D767)), 1, IF(ISNUMBER(SEARCH("Gri", D767)), -1, 0)))=1, VERI_TABANI!E26*(1-0.928)*VERI_TABANI!$B$9, 0) + (VERI_TABANI!D26*B767*(VERI_TABANI!$B$13-VERI_TABANI!$B$14)*VERI_TABANI!G26) + (VERI_TABANI!D26*C767*(VERI_TABANI!$B$13-VERI_TABANI!$B$15)*VERI_TABANI!G26) + IF(ABS(IF(ISNUMBER(SEARCH("Var", D767)), 1, IF(ISNUMBER(SEARCH("Gri", D767)), -1, 0)))=1, VERI_TABANI!E26*(1-0.928)*0.00206091519919798*VERI_TABANI!G26, 0)) + ((MIN(VERI_TABANI!D27, VERI_TABANI!D27*B767)*VERI_TABANI!$B$7 + MAX(0, VERI_TABANI!D27*B767-VERI_TABANI!D27)*VERI_TABANI!$B$8) + (MIN(MAX(0, VERI_TABANI!D27-VERI_TABANI!D27*B767), VERI_TABANI!D27*C767)*VERI_TABANI!$B$7 + MAX(0, VERI_TABANI!D27*C767-MAX(0, VERI_TABANI!D27-VERI_TABANI!D27*B767))*VERI_TABANI!$B$8) + IF(ABS(IF(ISNUMBER(SEARCH("Var", D767)), 1, IF(ISNUMBER(SEARCH("Gri", D767)), -1, 0)))=1, VERI_TABANI!E27*(1-0.928)*VERI_TABANI!$B$9, 0) + (VERI_TABANI!D27*B767*(VERI_TABANI!$B$13-VERI_TABANI!$B$14)*VERI_TABANI!G27) + (VERI_TABANI!D27*C767*(VERI_TABANI!$B$13-VERI_TABANI!$B$15)*VERI_TABANI!G27) + IF(ABS(IF(ISNUMBER(SEARCH("Var", D767)), 1, IF(ISNUMBER(SEARCH("Gri", D767)), -1, 0)))=1, VERI_TABANI!E27*(1-0.928)*0.00206091519919798*VERI_TABANI!G27, 0)) + ((MIN(VERI_TABANI!D28, VERI_TABANI!D28*B767)*VERI_TABANI!$B$7 + MAX(0, VERI_TABANI!D28*B767-VERI_TABANI!D28)*VERI_TABANI!$B$8) + (MIN(MAX(0, VERI_TABANI!D28-VERI_TABANI!D28*B767), VERI_TABANI!D28*C767)*VERI_TABANI!$B$7 + MAX(0, VERI_TABANI!D28*C767-MAX(0, VERI_TABANI!D28-VERI_TABANI!D28*B767))*VERI_TABANI!$B$8) + IF(ABS(IF(ISNUMBER(SEARCH("Var", D767)), 1, IF(ISNUMBER(SEARCH("Gri", D767)), -1, 0)))=1, VERI_TABANI!E28*(1-0.928)*VERI_TABANI!$B$9, 0) + (VERI_TABANI!D28*B767*(VERI_TABANI!$B$13-VERI_TABANI!$B$14)*VERI_TABANI!G28) + (VERI_TABANI!D28*C767*(VERI_TABANI!$B$13-VERI_TABANI!$B$15)*VERI_TABANI!G28) + IF(ABS(IF(ISNUMBER(SEARCH("Var", D767)), 1, IF(ISNUMBER(SEARCH("Gri", D767)), -1, 0)))=1, VERI_TABANI!E28*(1-0.928)*0.00206091519919798*VERI_TABANI!G28, 0)))</f>
        <v/>
      </c>
      <c r="H767" s="169">
        <f>(((VERI_TABANI!D23*B767*(VERI_TABANI!$B$13-VERI_TABANI!$B$14)) + (VERI_TABANI!D23*C767*(VERI_TABANI!$B$13-VERI_TABANI!$B$15)) + IF(ISNUMBER(SEARCH("Var", D767)), VERI_TABANI!F23*(0.00202-VERI_TABANI!$B$16), IF(ISNUMBER(SEARCH("Gri", D767)), VERI_TABANI!F23*(0.00202-VERI_TABANI!$B$17), 0))) + ((VERI_TABANI!D24*B767*(VERI_TABANI!$B$13-VERI_TABANI!$B$14)) + (VERI_TABANI!D24*C767*(VERI_TABANI!$B$13-VERI_TABANI!$B$15)) + IF(ISNUMBER(SEARCH("Var", D767)), VERI_TABANI!F24*(0.00202-VERI_TABANI!$B$16), IF(ISNUMBER(SEARCH("Gri", D767)), VERI_TABANI!F24*(0.00202-VERI_TABANI!$B$17), 0))) + ((VERI_TABANI!D25*B767*(VERI_TABANI!$B$13-VERI_TABANI!$B$14)) + (VERI_TABANI!D25*C767*(VERI_TABANI!$B$13-VERI_TABANI!$B$15)) + IF(ISNUMBER(SEARCH("Var", D767)), VERI_TABANI!F25*(0.00202-VERI_TABANI!$B$16), IF(ISNUMBER(SEARCH("Gri", D767)), VERI_TABANI!F25*(0.00202-VERI_TABANI!$B$17), 0))) + ((VERI_TABANI!D26*B767*(VERI_TABANI!$B$13-VERI_TABANI!$B$14)) + (VERI_TABANI!D26*C767*(VERI_TABANI!$B$13-VERI_TABANI!$B$15)) + IF(ISNUMBER(SEARCH("Var", D767)), VERI_TABANI!F26*(0.00202-VERI_TABANI!$B$16), IF(ISNUMBER(SEARCH("Gri", D767)), VERI_TABANI!F26*(0.00202-VERI_TABANI!$B$17), 0))) + ((VERI_TABANI!D27*B767*(VERI_TABANI!$B$13-VERI_TABANI!$B$14)) + (VERI_TABANI!D27*C767*(VERI_TABANI!$B$13-VERI_TABANI!$B$15)) + IF(ISNUMBER(SEARCH("Var", D767)), VERI_TABANI!F27*(0.00202-VERI_TABANI!$B$16), IF(ISNUMBER(SEARCH("Gri", D767)), VERI_TABANI!F27*(0.00202-VERI_TABANI!$B$17), 0))) + ((VERI_TABANI!D28*B767*(VERI_TABANI!$B$13-VERI_TABANI!$B$14)) + (VERI_TABANI!D28*C767*(VERI_TABANI!$B$13-VERI_TABANI!$B$15)) + IF(ISNUMBER(SEARCH("Var", D767)), VERI_TABANI!F28*(0.00202-VERI_TABANI!$B$16), IF(ISNUMBER(SEARCH("Gri", D767)), VERI_TABANI!F28*(0.00202-VERI_TABANI!$B$17), 0))))</f>
        <v/>
      </c>
      <c r="I767" s="170">
        <f>IFERROR(((VERI_TABANI!$D$29*B767*VERI_TABANI!$B$14 + VERI_TABANI!$D$29*C767*VERI_TABANI!$B$15 + IF(ISNUMBER(SEARCH("Var", D767)), VERI_TABANI!$F$29*VERI_TABANI!$B$16, 0))) / (((VERI_TABANI!$D$29*B767 + VERI_TABANI!$D$29*C767)*VERI_TABANI!$B$13 + IF(ISNUMBER(SEARCH("Var", D767)), VERI_TABANI!$E$29*(1-0.928)*VERI_TABANI!$B$18, 0))), 0)</f>
        <v/>
      </c>
      <c r="J767" s="171">
        <f>IFERROR(F767/(G767/29), 0)</f>
        <v/>
      </c>
      <c r="K767" s="172">
        <f>IF(F767&gt;0, H767/F767, 0)</f>
        <v/>
      </c>
      <c r="L767" s="170">
        <f>IF(F767&gt;0, I767, 1000000000)</f>
        <v/>
      </c>
      <c r="M767" s="171">
        <f>ABS((B767+C767)-1)</f>
        <v/>
      </c>
      <c r="N767" s="170">
        <f>IF(F767&gt;0, (G767/29)/F767, 0)</f>
        <v/>
      </c>
      <c r="O767" s="168">
        <f>IF(AND((B767+C767)&gt;=1, ISNUMBER(SEARCH("Var", D767))), F767, 1000000000)</f>
        <v/>
      </c>
      <c r="P767" s="172">
        <f>IF(F767&gt;0, SQRT((F767/MAX(F$5:F$886))^2 + (1 - H767/MAX(H$5:H$886))^2 + (J767/MAX(J$5:J$886))^2), 1000000000)</f>
        <v/>
      </c>
      <c r="Q767" s="166">
        <f>IF(AND(ABS(B767-0.5)&lt;0.01, ABS(C767-0.5)&lt;0.01, ISNUMBER(SEARCH("Var", D767))), 1, 0)</f>
        <v/>
      </c>
      <c r="R767" s="171">
        <f>IF(F767&gt;0, J767, 1000000000)</f>
        <v/>
      </c>
      <c r="S767" s="101">
        <f>IF(AND(F767&lt;=DASHBOARD!$B$11, H767&gt;=DASHBOARD!$B$13), G767, -1000000000000)</f>
        <v/>
      </c>
      <c r="T767" s="101">
        <f>IF(AND(F767&lt;=DASHBOARD!$B$11, H767&gt;=DASHBOARD!$B$13), R767, 1000000000000)</f>
        <v/>
      </c>
      <c r="U767" s="101">
        <f>IF(AND(F767&lt;=DASHBOARD!$B$11, H767&gt;=DASHBOARD!$B$13), N767, -1000000000000)</f>
        <v/>
      </c>
      <c r="V767" s="101">
        <f>IF(AND(F767&lt;=DASHBOARD!$B$11, H767&gt;=DASHBOARD!$B$13), H767, -1000000000000)</f>
        <v/>
      </c>
      <c r="W767" s="101">
        <f>IF(AND(F767&lt;=DASHBOARD!$B$11, H767&gt;=DASHBOARD!$B$13), K767, -1000000000000)</f>
        <v/>
      </c>
      <c r="X767" s="101">
        <f>IF(AND(F767&lt;=DASHBOARD!$B$11, H767&gt;=DASHBOARD!$B$13), M767, 1000000000000)</f>
        <v/>
      </c>
      <c r="Y767" s="101">
        <f>IF(AND(F767&lt;=DASHBOARD!$B$10, H767&gt;=DASHBOARD!$B$11), L767, 1000000000000)</f>
        <v/>
      </c>
      <c r="Z767" s="101">
        <f>IF(AND(F767&lt;=DASHBOARD!$B$10, H767&gt;=DASHBOARD!$B$11), O767, 1000000000000)</f>
        <v/>
      </c>
      <c r="AA767" s="101">
        <f>IF(AND(F767&lt;=DASHBOARD!$B$10, H767&gt;=DASHBOARD!$B$11), P767, 1000000000000)</f>
        <v/>
      </c>
      <c r="AB767" s="101">
        <f>IF(AND(F767&lt;=DASHBOARD!$B$10, H767&gt;=DASHBOARD!$B$11), Q767, -1000000000000)</f>
        <v/>
      </c>
    </row>
    <row r="768" ht="15" customHeight="1" s="102">
      <c r="A768" s="166" t="n">
        <v>764</v>
      </c>
      <c r="B768" s="167" t="n">
        <v>1.8</v>
      </c>
      <c r="C768" s="167" t="n">
        <v>0.3</v>
      </c>
      <c r="D768" s="110" t="inlineStr">
        <is>
          <t>Var (%20)</t>
        </is>
      </c>
      <c r="E768" s="110">
        <f>IF((B768+C768)&lt;=1, "Tam Mahsuplaşma (≤%100)", "Kısmi Satış (&gt;%100)")</f>
        <v/>
      </c>
      <c r="F768" s="168">
        <f>((VERI_TABANI!$D$29*B768/VERI_TABANI!$B$29)/VERI_TABANI!$B$3)*VERI_TABANI!$B$5 + ((VERI_TABANI!$D$29*C768/VERI_TABANI!$B$29)/VERI_TABANI!$B$4)*VERI_TABANI!$B$6 + IF(ISNUMBER(SEARCH("Var", D768)), (VERI_TABANI!$F$29/VERI_TABANI!$B$29)*(VERI_TABANI!$B$10+VERI_TABANI!$B$12), 0)</f>
        <v/>
      </c>
      <c r="G768" s="168">
        <f>(((MIN(VERI_TABANI!D23, VERI_TABANI!D23*B768)*VERI_TABANI!$B$7 + MAX(0, VERI_TABANI!D23*B768-VERI_TABANI!D23)*VERI_TABANI!$B$8) + (MIN(MAX(0, VERI_TABANI!D23-VERI_TABANI!D23*B768), VERI_TABANI!D23*C768)*VERI_TABANI!$B$7 + MAX(0, VERI_TABANI!D23*C768-MAX(0, VERI_TABANI!D23-VERI_TABANI!D23*B768))*VERI_TABANI!$B$8) + IF(ABS(IF(ISNUMBER(SEARCH("Var", D768)), 1, IF(ISNUMBER(SEARCH("Gri", D768)), -1, 0)))=1, VERI_TABANI!E23*(1-0.928)*VERI_TABANI!$B$9, 0) + (VERI_TABANI!D23*B768*(VERI_TABANI!$B$13-VERI_TABANI!$B$14)*VERI_TABANI!G23) + (VERI_TABANI!D23*C768*(VERI_TABANI!$B$13-VERI_TABANI!$B$15)*VERI_TABANI!G23) + IF(ABS(IF(ISNUMBER(SEARCH("Var", D768)), 1, IF(ISNUMBER(SEARCH("Gri", D768)), -1, 0)))=1, VERI_TABANI!E23*(1-0.928)*0.00206091519919798*VERI_TABANI!G23, 0)) + ((MIN(VERI_TABANI!D24, VERI_TABANI!D24*B768)*VERI_TABANI!$B$7 + MAX(0, VERI_TABANI!D24*B768-VERI_TABANI!D24)*VERI_TABANI!$B$8) + (MIN(MAX(0, VERI_TABANI!D24-VERI_TABANI!D24*B768), VERI_TABANI!D24*C768)*VERI_TABANI!$B$7 + MAX(0, VERI_TABANI!D24*C768-MAX(0, VERI_TABANI!D24-VERI_TABANI!D24*B768))*VERI_TABANI!$B$8) + IF(ABS(IF(ISNUMBER(SEARCH("Var", D768)), 1, IF(ISNUMBER(SEARCH("Gri", D768)), -1, 0)))=1, VERI_TABANI!E24*(1-0.928)*VERI_TABANI!$B$9, 0) + (VERI_TABANI!D24*B768*(VERI_TABANI!$B$13-VERI_TABANI!$B$14)*VERI_TABANI!G24) + (VERI_TABANI!D24*C768*(VERI_TABANI!$B$13-VERI_TABANI!$B$15)*VERI_TABANI!G24) + IF(ABS(IF(ISNUMBER(SEARCH("Var", D768)), 1, IF(ISNUMBER(SEARCH("Gri", D768)), -1, 0)))=1, VERI_TABANI!E24*(1-0.928)*0.00206091519919798*VERI_TABANI!G24, 0)) + ((MIN(VERI_TABANI!D25, VERI_TABANI!D25*B768)*VERI_TABANI!$B$7 + MAX(0, VERI_TABANI!D25*B768-VERI_TABANI!D25)*VERI_TABANI!$B$8) + (MIN(MAX(0, VERI_TABANI!D25-VERI_TABANI!D25*B768), VERI_TABANI!D25*C768)*VERI_TABANI!$B$7 + MAX(0, VERI_TABANI!D25*C768-MAX(0, VERI_TABANI!D25-VERI_TABANI!D25*B768))*VERI_TABANI!$B$8) + IF(ABS(IF(ISNUMBER(SEARCH("Var", D768)), 1, IF(ISNUMBER(SEARCH("Gri", D768)), -1, 0)))=1, VERI_TABANI!E25*(1-0.928)*VERI_TABANI!$B$9, 0) + (VERI_TABANI!D25*B768*(VERI_TABANI!$B$13-VERI_TABANI!$B$14)*VERI_TABANI!G25) + (VERI_TABANI!D25*C768*(VERI_TABANI!$B$13-VERI_TABANI!$B$15)*VERI_TABANI!G25) + IF(ABS(IF(ISNUMBER(SEARCH("Var", D768)), 1, IF(ISNUMBER(SEARCH("Gri", D768)), -1, 0)))=1, VERI_TABANI!E25*(1-0.928)*0.00206091519919798*VERI_TABANI!G25, 0)) + ((MIN(VERI_TABANI!D26, VERI_TABANI!D26*B768)*VERI_TABANI!$B$7 + MAX(0, VERI_TABANI!D26*B768-VERI_TABANI!D26)*VERI_TABANI!$B$8) + (MIN(MAX(0, VERI_TABANI!D26-VERI_TABANI!D26*B768), VERI_TABANI!D26*C768)*VERI_TABANI!$B$7 + MAX(0, VERI_TABANI!D26*C768-MAX(0, VERI_TABANI!D26-VERI_TABANI!D26*B768))*VERI_TABANI!$B$8) + IF(ABS(IF(ISNUMBER(SEARCH("Var", D768)), 1, IF(ISNUMBER(SEARCH("Gri", D768)), -1, 0)))=1, VERI_TABANI!E26*(1-0.928)*VERI_TABANI!$B$9, 0) + (VERI_TABANI!D26*B768*(VERI_TABANI!$B$13-VERI_TABANI!$B$14)*VERI_TABANI!G26) + (VERI_TABANI!D26*C768*(VERI_TABANI!$B$13-VERI_TABANI!$B$15)*VERI_TABANI!G26) + IF(ABS(IF(ISNUMBER(SEARCH("Var", D768)), 1, IF(ISNUMBER(SEARCH("Gri", D768)), -1, 0)))=1, VERI_TABANI!E26*(1-0.928)*0.00206091519919798*VERI_TABANI!G26, 0)) + ((MIN(VERI_TABANI!D27, VERI_TABANI!D27*B768)*VERI_TABANI!$B$7 + MAX(0, VERI_TABANI!D27*B768-VERI_TABANI!D27)*VERI_TABANI!$B$8) + (MIN(MAX(0, VERI_TABANI!D27-VERI_TABANI!D27*B768), VERI_TABANI!D27*C768)*VERI_TABANI!$B$7 + MAX(0, VERI_TABANI!D27*C768-MAX(0, VERI_TABANI!D27-VERI_TABANI!D27*B768))*VERI_TABANI!$B$8) + IF(ABS(IF(ISNUMBER(SEARCH("Var", D768)), 1, IF(ISNUMBER(SEARCH("Gri", D768)), -1, 0)))=1, VERI_TABANI!E27*(1-0.928)*VERI_TABANI!$B$9, 0) + (VERI_TABANI!D27*B768*(VERI_TABANI!$B$13-VERI_TABANI!$B$14)*VERI_TABANI!G27) + (VERI_TABANI!D27*C768*(VERI_TABANI!$B$13-VERI_TABANI!$B$15)*VERI_TABANI!G27) + IF(ABS(IF(ISNUMBER(SEARCH("Var", D768)), 1, IF(ISNUMBER(SEARCH("Gri", D768)), -1, 0)))=1, VERI_TABANI!E27*(1-0.928)*0.00206091519919798*VERI_TABANI!G27, 0)) + ((MIN(VERI_TABANI!D28, VERI_TABANI!D28*B768)*VERI_TABANI!$B$7 + MAX(0, VERI_TABANI!D28*B768-VERI_TABANI!D28)*VERI_TABANI!$B$8) + (MIN(MAX(0, VERI_TABANI!D28-VERI_TABANI!D28*B768), VERI_TABANI!D28*C768)*VERI_TABANI!$B$7 + MAX(0, VERI_TABANI!D28*C768-MAX(0, VERI_TABANI!D28-VERI_TABANI!D28*B768))*VERI_TABANI!$B$8) + IF(ABS(IF(ISNUMBER(SEARCH("Var", D768)), 1, IF(ISNUMBER(SEARCH("Gri", D768)), -1, 0)))=1, VERI_TABANI!E28*(1-0.928)*VERI_TABANI!$B$9, 0) + (VERI_TABANI!D28*B768*(VERI_TABANI!$B$13-VERI_TABANI!$B$14)*VERI_TABANI!G28) + (VERI_TABANI!D28*C768*(VERI_TABANI!$B$13-VERI_TABANI!$B$15)*VERI_TABANI!G28) + IF(ABS(IF(ISNUMBER(SEARCH("Var", D768)), 1, IF(ISNUMBER(SEARCH("Gri", D768)), -1, 0)))=1, VERI_TABANI!E28*(1-0.928)*0.00206091519919798*VERI_TABANI!G28, 0)))</f>
        <v/>
      </c>
      <c r="H768" s="169">
        <f>(((VERI_TABANI!D23*B768*(VERI_TABANI!$B$13-VERI_TABANI!$B$14)) + (VERI_TABANI!D23*C768*(VERI_TABANI!$B$13-VERI_TABANI!$B$15)) + IF(ISNUMBER(SEARCH("Var", D768)), VERI_TABANI!F23*(0.00202-VERI_TABANI!$B$16), IF(ISNUMBER(SEARCH("Gri", D768)), VERI_TABANI!F23*(0.00202-VERI_TABANI!$B$17), 0))) + ((VERI_TABANI!D24*B768*(VERI_TABANI!$B$13-VERI_TABANI!$B$14)) + (VERI_TABANI!D24*C768*(VERI_TABANI!$B$13-VERI_TABANI!$B$15)) + IF(ISNUMBER(SEARCH("Var", D768)), VERI_TABANI!F24*(0.00202-VERI_TABANI!$B$16), IF(ISNUMBER(SEARCH("Gri", D768)), VERI_TABANI!F24*(0.00202-VERI_TABANI!$B$17), 0))) + ((VERI_TABANI!D25*B768*(VERI_TABANI!$B$13-VERI_TABANI!$B$14)) + (VERI_TABANI!D25*C768*(VERI_TABANI!$B$13-VERI_TABANI!$B$15)) + IF(ISNUMBER(SEARCH("Var", D768)), VERI_TABANI!F25*(0.00202-VERI_TABANI!$B$16), IF(ISNUMBER(SEARCH("Gri", D768)), VERI_TABANI!F25*(0.00202-VERI_TABANI!$B$17), 0))) + ((VERI_TABANI!D26*B768*(VERI_TABANI!$B$13-VERI_TABANI!$B$14)) + (VERI_TABANI!D26*C768*(VERI_TABANI!$B$13-VERI_TABANI!$B$15)) + IF(ISNUMBER(SEARCH("Var", D768)), VERI_TABANI!F26*(0.00202-VERI_TABANI!$B$16), IF(ISNUMBER(SEARCH("Gri", D768)), VERI_TABANI!F26*(0.00202-VERI_TABANI!$B$17), 0))) + ((VERI_TABANI!D27*B768*(VERI_TABANI!$B$13-VERI_TABANI!$B$14)) + (VERI_TABANI!D27*C768*(VERI_TABANI!$B$13-VERI_TABANI!$B$15)) + IF(ISNUMBER(SEARCH("Var", D768)), VERI_TABANI!F27*(0.00202-VERI_TABANI!$B$16), IF(ISNUMBER(SEARCH("Gri", D768)), VERI_TABANI!F27*(0.00202-VERI_TABANI!$B$17), 0))) + ((VERI_TABANI!D28*B768*(VERI_TABANI!$B$13-VERI_TABANI!$B$14)) + (VERI_TABANI!D28*C768*(VERI_TABANI!$B$13-VERI_TABANI!$B$15)) + IF(ISNUMBER(SEARCH("Var", D768)), VERI_TABANI!F28*(0.00202-VERI_TABANI!$B$16), IF(ISNUMBER(SEARCH("Gri", D768)), VERI_TABANI!F28*(0.00202-VERI_TABANI!$B$17), 0))))</f>
        <v/>
      </c>
      <c r="I768" s="170">
        <f>IFERROR(((VERI_TABANI!$D$29*B768*VERI_TABANI!$B$14 + VERI_TABANI!$D$29*C768*VERI_TABANI!$B$15 + IF(ISNUMBER(SEARCH("Var", D768)), VERI_TABANI!$F$29*VERI_TABANI!$B$16, 0))) / (((VERI_TABANI!$D$29*B768 + VERI_TABANI!$D$29*C768)*VERI_TABANI!$B$13 + IF(ISNUMBER(SEARCH("Var", D768)), VERI_TABANI!$E$29*(1-0.928)*VERI_TABANI!$B$18, 0))), 0)</f>
        <v/>
      </c>
      <c r="J768" s="171">
        <f>IFERROR(F768/(G768/29), 0)</f>
        <v/>
      </c>
      <c r="K768" s="172">
        <f>IF(F768&gt;0, H768/F768, 0)</f>
        <v/>
      </c>
      <c r="L768" s="170">
        <f>IF(F768&gt;0, I768, 1000000000)</f>
        <v/>
      </c>
      <c r="M768" s="171">
        <f>ABS((B768+C768)-1)</f>
        <v/>
      </c>
      <c r="N768" s="170">
        <f>IF(F768&gt;0, (G768/29)/F768, 0)</f>
        <v/>
      </c>
      <c r="O768" s="168">
        <f>IF(AND((B768+C768)&gt;=1, ISNUMBER(SEARCH("Var", D768))), F768, 1000000000)</f>
        <v/>
      </c>
      <c r="P768" s="172">
        <f>IF(F768&gt;0, SQRT((F768/MAX(F$5:F$886))^2 + (1 - H768/MAX(H$5:H$886))^2 + (J768/MAX(J$5:J$886))^2), 1000000000)</f>
        <v/>
      </c>
      <c r="Q768" s="166">
        <f>IF(AND(ABS(B768-0.5)&lt;0.01, ABS(C768-0.5)&lt;0.01, ISNUMBER(SEARCH("Var", D768))), 1, 0)</f>
        <v/>
      </c>
      <c r="R768" s="171">
        <f>IF(F768&gt;0, J768, 1000000000)</f>
        <v/>
      </c>
      <c r="S768" s="101">
        <f>IF(AND(F768&lt;=DASHBOARD!$B$11, H768&gt;=DASHBOARD!$B$13), G768, -1000000000000)</f>
        <v/>
      </c>
      <c r="T768" s="101">
        <f>IF(AND(F768&lt;=DASHBOARD!$B$11, H768&gt;=DASHBOARD!$B$13), R768, 1000000000000)</f>
        <v/>
      </c>
      <c r="U768" s="101">
        <f>IF(AND(F768&lt;=DASHBOARD!$B$11, H768&gt;=DASHBOARD!$B$13), N768, -1000000000000)</f>
        <v/>
      </c>
      <c r="V768" s="101">
        <f>IF(AND(F768&lt;=DASHBOARD!$B$11, H768&gt;=DASHBOARD!$B$13), H768, -1000000000000)</f>
        <v/>
      </c>
      <c r="W768" s="101">
        <f>IF(AND(F768&lt;=DASHBOARD!$B$11, H768&gt;=DASHBOARD!$B$13), K768, -1000000000000)</f>
        <v/>
      </c>
      <c r="X768" s="101">
        <f>IF(AND(F768&lt;=DASHBOARD!$B$11, H768&gt;=DASHBOARD!$B$13), M768, 1000000000000)</f>
        <v/>
      </c>
      <c r="Y768" s="101">
        <f>IF(AND(F768&lt;=DASHBOARD!$B$10, H768&gt;=DASHBOARD!$B$11), L768, 1000000000000)</f>
        <v/>
      </c>
      <c r="Z768" s="101">
        <f>IF(AND(F768&lt;=DASHBOARD!$B$10, H768&gt;=DASHBOARD!$B$11), O768, 1000000000000)</f>
        <v/>
      </c>
      <c r="AA768" s="101">
        <f>IF(AND(F768&lt;=DASHBOARD!$B$10, H768&gt;=DASHBOARD!$B$11), P768, 1000000000000)</f>
        <v/>
      </c>
      <c r="AB768" s="101">
        <f>IF(AND(F768&lt;=DASHBOARD!$B$10, H768&gt;=DASHBOARD!$B$11), Q768, -1000000000000)</f>
        <v/>
      </c>
    </row>
    <row r="769" ht="15" customHeight="1" s="102">
      <c r="A769" s="166" t="n">
        <v>765</v>
      </c>
      <c r="B769" s="167" t="n">
        <v>1.8</v>
      </c>
      <c r="C769" s="167" t="n">
        <v>0.4</v>
      </c>
      <c r="D769" s="110" t="inlineStr">
        <is>
          <t>Yok (%0)</t>
        </is>
      </c>
      <c r="E769" s="110">
        <f>IF((B769+C769)&lt;=1, "Tam Mahsuplaşma (≤%100)", "Kısmi Satış (&gt;%100)")</f>
        <v/>
      </c>
      <c r="F769" s="168">
        <f>((VERI_TABANI!$D$29*B769/VERI_TABANI!$B$29)/VERI_TABANI!$B$3)*VERI_TABANI!$B$5 + ((VERI_TABANI!$D$29*C769/VERI_TABANI!$B$29)/VERI_TABANI!$B$4)*VERI_TABANI!$B$6 + IF(ISNUMBER(SEARCH("Var", D769)), (VERI_TABANI!$F$29/VERI_TABANI!$B$29)*(VERI_TABANI!$B$10+VERI_TABANI!$B$12), 0)</f>
        <v/>
      </c>
      <c r="G769" s="168">
        <f>(((MIN(VERI_TABANI!D23, VERI_TABANI!D23*B769)*VERI_TABANI!$B$7 + MAX(0, VERI_TABANI!D23*B769-VERI_TABANI!D23)*VERI_TABANI!$B$8) + (MIN(MAX(0, VERI_TABANI!D23-VERI_TABANI!D23*B769), VERI_TABANI!D23*C769)*VERI_TABANI!$B$7 + MAX(0, VERI_TABANI!D23*C769-MAX(0, VERI_TABANI!D23-VERI_TABANI!D23*B769))*VERI_TABANI!$B$8) + IF(ABS(IF(ISNUMBER(SEARCH("Var", D769)), 1, IF(ISNUMBER(SEARCH("Gri", D769)), -1, 0)))=1, VERI_TABANI!E23*(1-0.928)*VERI_TABANI!$B$9, 0) + (VERI_TABANI!D23*B769*(VERI_TABANI!$B$13-VERI_TABANI!$B$14)*VERI_TABANI!G23) + (VERI_TABANI!D23*C769*(VERI_TABANI!$B$13-VERI_TABANI!$B$15)*VERI_TABANI!G23) + IF(ABS(IF(ISNUMBER(SEARCH("Var", D769)), 1, IF(ISNUMBER(SEARCH("Gri", D769)), -1, 0)))=1, VERI_TABANI!E23*(1-0.928)*0.00206091519919798*VERI_TABANI!G23, 0)) + ((MIN(VERI_TABANI!D24, VERI_TABANI!D24*B769)*VERI_TABANI!$B$7 + MAX(0, VERI_TABANI!D24*B769-VERI_TABANI!D24)*VERI_TABANI!$B$8) + (MIN(MAX(0, VERI_TABANI!D24-VERI_TABANI!D24*B769), VERI_TABANI!D24*C769)*VERI_TABANI!$B$7 + MAX(0, VERI_TABANI!D24*C769-MAX(0, VERI_TABANI!D24-VERI_TABANI!D24*B769))*VERI_TABANI!$B$8) + IF(ABS(IF(ISNUMBER(SEARCH("Var", D769)), 1, IF(ISNUMBER(SEARCH("Gri", D769)), -1, 0)))=1, VERI_TABANI!E24*(1-0.928)*VERI_TABANI!$B$9, 0) + (VERI_TABANI!D24*B769*(VERI_TABANI!$B$13-VERI_TABANI!$B$14)*VERI_TABANI!G24) + (VERI_TABANI!D24*C769*(VERI_TABANI!$B$13-VERI_TABANI!$B$15)*VERI_TABANI!G24) + IF(ABS(IF(ISNUMBER(SEARCH("Var", D769)), 1, IF(ISNUMBER(SEARCH("Gri", D769)), -1, 0)))=1, VERI_TABANI!E24*(1-0.928)*0.00206091519919798*VERI_TABANI!G24, 0)) + ((MIN(VERI_TABANI!D25, VERI_TABANI!D25*B769)*VERI_TABANI!$B$7 + MAX(0, VERI_TABANI!D25*B769-VERI_TABANI!D25)*VERI_TABANI!$B$8) + (MIN(MAX(0, VERI_TABANI!D25-VERI_TABANI!D25*B769), VERI_TABANI!D25*C769)*VERI_TABANI!$B$7 + MAX(0, VERI_TABANI!D25*C769-MAX(0, VERI_TABANI!D25-VERI_TABANI!D25*B769))*VERI_TABANI!$B$8) + IF(ABS(IF(ISNUMBER(SEARCH("Var", D769)), 1, IF(ISNUMBER(SEARCH("Gri", D769)), -1, 0)))=1, VERI_TABANI!E25*(1-0.928)*VERI_TABANI!$B$9, 0) + (VERI_TABANI!D25*B769*(VERI_TABANI!$B$13-VERI_TABANI!$B$14)*VERI_TABANI!G25) + (VERI_TABANI!D25*C769*(VERI_TABANI!$B$13-VERI_TABANI!$B$15)*VERI_TABANI!G25) + IF(ABS(IF(ISNUMBER(SEARCH("Var", D769)), 1, IF(ISNUMBER(SEARCH("Gri", D769)), -1, 0)))=1, VERI_TABANI!E25*(1-0.928)*0.00206091519919798*VERI_TABANI!G25, 0)) + ((MIN(VERI_TABANI!D26, VERI_TABANI!D26*B769)*VERI_TABANI!$B$7 + MAX(0, VERI_TABANI!D26*B769-VERI_TABANI!D26)*VERI_TABANI!$B$8) + (MIN(MAX(0, VERI_TABANI!D26-VERI_TABANI!D26*B769), VERI_TABANI!D26*C769)*VERI_TABANI!$B$7 + MAX(0, VERI_TABANI!D26*C769-MAX(0, VERI_TABANI!D26-VERI_TABANI!D26*B769))*VERI_TABANI!$B$8) + IF(ABS(IF(ISNUMBER(SEARCH("Var", D769)), 1, IF(ISNUMBER(SEARCH("Gri", D769)), -1, 0)))=1, VERI_TABANI!E26*(1-0.928)*VERI_TABANI!$B$9, 0) + (VERI_TABANI!D26*B769*(VERI_TABANI!$B$13-VERI_TABANI!$B$14)*VERI_TABANI!G26) + (VERI_TABANI!D26*C769*(VERI_TABANI!$B$13-VERI_TABANI!$B$15)*VERI_TABANI!G26) + IF(ABS(IF(ISNUMBER(SEARCH("Var", D769)), 1, IF(ISNUMBER(SEARCH("Gri", D769)), -1, 0)))=1, VERI_TABANI!E26*(1-0.928)*0.00206091519919798*VERI_TABANI!G26, 0)) + ((MIN(VERI_TABANI!D27, VERI_TABANI!D27*B769)*VERI_TABANI!$B$7 + MAX(0, VERI_TABANI!D27*B769-VERI_TABANI!D27)*VERI_TABANI!$B$8) + (MIN(MAX(0, VERI_TABANI!D27-VERI_TABANI!D27*B769), VERI_TABANI!D27*C769)*VERI_TABANI!$B$7 + MAX(0, VERI_TABANI!D27*C769-MAX(0, VERI_TABANI!D27-VERI_TABANI!D27*B769))*VERI_TABANI!$B$8) + IF(ABS(IF(ISNUMBER(SEARCH("Var", D769)), 1, IF(ISNUMBER(SEARCH("Gri", D769)), -1, 0)))=1, VERI_TABANI!E27*(1-0.928)*VERI_TABANI!$B$9, 0) + (VERI_TABANI!D27*B769*(VERI_TABANI!$B$13-VERI_TABANI!$B$14)*VERI_TABANI!G27) + (VERI_TABANI!D27*C769*(VERI_TABANI!$B$13-VERI_TABANI!$B$15)*VERI_TABANI!G27) + IF(ABS(IF(ISNUMBER(SEARCH("Var", D769)), 1, IF(ISNUMBER(SEARCH("Gri", D769)), -1, 0)))=1, VERI_TABANI!E27*(1-0.928)*0.00206091519919798*VERI_TABANI!G27, 0)) + ((MIN(VERI_TABANI!D28, VERI_TABANI!D28*B769)*VERI_TABANI!$B$7 + MAX(0, VERI_TABANI!D28*B769-VERI_TABANI!D28)*VERI_TABANI!$B$8) + (MIN(MAX(0, VERI_TABANI!D28-VERI_TABANI!D28*B769), VERI_TABANI!D28*C769)*VERI_TABANI!$B$7 + MAX(0, VERI_TABANI!D28*C769-MAX(0, VERI_TABANI!D28-VERI_TABANI!D28*B769))*VERI_TABANI!$B$8) + IF(ABS(IF(ISNUMBER(SEARCH("Var", D769)), 1, IF(ISNUMBER(SEARCH("Gri", D769)), -1, 0)))=1, VERI_TABANI!E28*(1-0.928)*VERI_TABANI!$B$9, 0) + (VERI_TABANI!D28*B769*(VERI_TABANI!$B$13-VERI_TABANI!$B$14)*VERI_TABANI!G28) + (VERI_TABANI!D28*C769*(VERI_TABANI!$B$13-VERI_TABANI!$B$15)*VERI_TABANI!G28) + IF(ABS(IF(ISNUMBER(SEARCH("Var", D769)), 1, IF(ISNUMBER(SEARCH("Gri", D769)), -1, 0)))=1, VERI_TABANI!E28*(1-0.928)*0.00206091519919798*VERI_TABANI!G28, 0)))</f>
        <v/>
      </c>
      <c r="H769" s="169">
        <f>(((VERI_TABANI!D23*B769*(VERI_TABANI!$B$13-VERI_TABANI!$B$14)) + (VERI_TABANI!D23*C769*(VERI_TABANI!$B$13-VERI_TABANI!$B$15)) + IF(ISNUMBER(SEARCH("Var", D769)), VERI_TABANI!F23*(0.00202-VERI_TABANI!$B$16), IF(ISNUMBER(SEARCH("Gri", D769)), VERI_TABANI!F23*(0.00202-VERI_TABANI!$B$17), 0))) + ((VERI_TABANI!D24*B769*(VERI_TABANI!$B$13-VERI_TABANI!$B$14)) + (VERI_TABANI!D24*C769*(VERI_TABANI!$B$13-VERI_TABANI!$B$15)) + IF(ISNUMBER(SEARCH("Var", D769)), VERI_TABANI!F24*(0.00202-VERI_TABANI!$B$16), IF(ISNUMBER(SEARCH("Gri", D769)), VERI_TABANI!F24*(0.00202-VERI_TABANI!$B$17), 0))) + ((VERI_TABANI!D25*B769*(VERI_TABANI!$B$13-VERI_TABANI!$B$14)) + (VERI_TABANI!D25*C769*(VERI_TABANI!$B$13-VERI_TABANI!$B$15)) + IF(ISNUMBER(SEARCH("Var", D769)), VERI_TABANI!F25*(0.00202-VERI_TABANI!$B$16), IF(ISNUMBER(SEARCH("Gri", D769)), VERI_TABANI!F25*(0.00202-VERI_TABANI!$B$17), 0))) + ((VERI_TABANI!D26*B769*(VERI_TABANI!$B$13-VERI_TABANI!$B$14)) + (VERI_TABANI!D26*C769*(VERI_TABANI!$B$13-VERI_TABANI!$B$15)) + IF(ISNUMBER(SEARCH("Var", D769)), VERI_TABANI!F26*(0.00202-VERI_TABANI!$B$16), IF(ISNUMBER(SEARCH("Gri", D769)), VERI_TABANI!F26*(0.00202-VERI_TABANI!$B$17), 0))) + ((VERI_TABANI!D27*B769*(VERI_TABANI!$B$13-VERI_TABANI!$B$14)) + (VERI_TABANI!D27*C769*(VERI_TABANI!$B$13-VERI_TABANI!$B$15)) + IF(ISNUMBER(SEARCH("Var", D769)), VERI_TABANI!F27*(0.00202-VERI_TABANI!$B$16), IF(ISNUMBER(SEARCH("Gri", D769)), VERI_TABANI!F27*(0.00202-VERI_TABANI!$B$17), 0))) + ((VERI_TABANI!D28*B769*(VERI_TABANI!$B$13-VERI_TABANI!$B$14)) + (VERI_TABANI!D28*C769*(VERI_TABANI!$B$13-VERI_TABANI!$B$15)) + IF(ISNUMBER(SEARCH("Var", D769)), VERI_TABANI!F28*(0.00202-VERI_TABANI!$B$16), IF(ISNUMBER(SEARCH("Gri", D769)), VERI_TABANI!F28*(0.00202-VERI_TABANI!$B$17), 0))))</f>
        <v/>
      </c>
      <c r="I769" s="170">
        <f>IFERROR(((VERI_TABANI!$D$29*B769*VERI_TABANI!$B$14 + VERI_TABANI!$D$29*C769*VERI_TABANI!$B$15 + IF(ISNUMBER(SEARCH("Var", D769)), VERI_TABANI!$F$29*VERI_TABANI!$B$16, 0))) / (((VERI_TABANI!$D$29*B769 + VERI_TABANI!$D$29*C769)*VERI_TABANI!$B$13 + IF(ISNUMBER(SEARCH("Var", D769)), VERI_TABANI!$E$29*(1-0.928)*VERI_TABANI!$B$18, 0))), 0)</f>
        <v/>
      </c>
      <c r="J769" s="171">
        <f>IFERROR(F769/(G769/29), 0)</f>
        <v/>
      </c>
      <c r="K769" s="172">
        <f>IF(F769&gt;0, H769/F769, 0)</f>
        <v/>
      </c>
      <c r="L769" s="170">
        <f>IF(F769&gt;0, I769, 1000000000)</f>
        <v/>
      </c>
      <c r="M769" s="171">
        <f>ABS((B769+C769)-1)</f>
        <v/>
      </c>
      <c r="N769" s="170">
        <f>IF(F769&gt;0, (G769/29)/F769, 0)</f>
        <v/>
      </c>
      <c r="O769" s="168">
        <f>IF(AND((B769+C769)&gt;=1, ISNUMBER(SEARCH("Var", D769))), F769, 1000000000)</f>
        <v/>
      </c>
      <c r="P769" s="172">
        <f>IF(F769&gt;0, SQRT((F769/MAX(F$5:F$886))^2 + (1 - H769/MAX(H$5:H$886))^2 + (J769/MAX(J$5:J$886))^2), 1000000000)</f>
        <v/>
      </c>
      <c r="Q769" s="166">
        <f>IF(AND(ABS(B769-0.5)&lt;0.01, ABS(C769-0.5)&lt;0.01, ISNUMBER(SEARCH("Var", D769))), 1, 0)</f>
        <v/>
      </c>
      <c r="R769" s="171">
        <f>IF(F769&gt;0, J769, 1000000000)</f>
        <v/>
      </c>
      <c r="S769" s="101">
        <f>IF(AND(F769&lt;=DASHBOARD!$B$11, H769&gt;=DASHBOARD!$B$13), G769, -1000000000000)</f>
        <v/>
      </c>
      <c r="T769" s="101">
        <f>IF(AND(F769&lt;=DASHBOARD!$B$11, H769&gt;=DASHBOARD!$B$13), R769, 1000000000000)</f>
        <v/>
      </c>
      <c r="U769" s="101">
        <f>IF(AND(F769&lt;=DASHBOARD!$B$11, H769&gt;=DASHBOARD!$B$13), N769, -1000000000000)</f>
        <v/>
      </c>
      <c r="V769" s="101">
        <f>IF(AND(F769&lt;=DASHBOARD!$B$11, H769&gt;=DASHBOARD!$B$13), H769, -1000000000000)</f>
        <v/>
      </c>
      <c r="W769" s="101">
        <f>IF(AND(F769&lt;=DASHBOARD!$B$11, H769&gt;=DASHBOARD!$B$13), K769, -1000000000000)</f>
        <v/>
      </c>
      <c r="X769" s="101">
        <f>IF(AND(F769&lt;=DASHBOARD!$B$11, H769&gt;=DASHBOARD!$B$13), M769, 1000000000000)</f>
        <v/>
      </c>
      <c r="Y769" s="101">
        <f>IF(AND(F769&lt;=DASHBOARD!$B$10, H769&gt;=DASHBOARD!$B$11), L769, 1000000000000)</f>
        <v/>
      </c>
      <c r="Z769" s="101">
        <f>IF(AND(F769&lt;=DASHBOARD!$B$10, H769&gt;=DASHBOARD!$B$11), O769, 1000000000000)</f>
        <v/>
      </c>
      <c r="AA769" s="101">
        <f>IF(AND(F769&lt;=DASHBOARD!$B$10, H769&gt;=DASHBOARD!$B$11), P769, 1000000000000)</f>
        <v/>
      </c>
      <c r="AB769" s="101">
        <f>IF(AND(F769&lt;=DASHBOARD!$B$10, H769&gt;=DASHBOARD!$B$11), Q769, -1000000000000)</f>
        <v/>
      </c>
    </row>
    <row r="770" ht="15" customHeight="1" s="102">
      <c r="A770" s="166" t="n">
        <v>766</v>
      </c>
      <c r="B770" s="167" t="n">
        <v>1.8</v>
      </c>
      <c r="C770" s="167" t="n">
        <v>0.4</v>
      </c>
      <c r="D770" s="110" t="inlineStr">
        <is>
          <t>Var (%20)</t>
        </is>
      </c>
      <c r="E770" s="110">
        <f>IF((B770+C770)&lt;=1, "Tam Mahsuplaşma (≤%100)", "Kısmi Satış (&gt;%100)")</f>
        <v/>
      </c>
      <c r="F770" s="168">
        <f>((VERI_TABANI!$D$29*B770/VERI_TABANI!$B$29)/VERI_TABANI!$B$3)*VERI_TABANI!$B$5 + ((VERI_TABANI!$D$29*C770/VERI_TABANI!$B$29)/VERI_TABANI!$B$4)*VERI_TABANI!$B$6 + IF(ISNUMBER(SEARCH("Var", D770)), (VERI_TABANI!$F$29/VERI_TABANI!$B$29)*(VERI_TABANI!$B$10+VERI_TABANI!$B$12), 0)</f>
        <v/>
      </c>
      <c r="G770" s="168">
        <f>(((MIN(VERI_TABANI!D23, VERI_TABANI!D23*B770)*VERI_TABANI!$B$7 + MAX(0, VERI_TABANI!D23*B770-VERI_TABANI!D23)*VERI_TABANI!$B$8) + (MIN(MAX(0, VERI_TABANI!D23-VERI_TABANI!D23*B770), VERI_TABANI!D23*C770)*VERI_TABANI!$B$7 + MAX(0, VERI_TABANI!D23*C770-MAX(0, VERI_TABANI!D23-VERI_TABANI!D23*B770))*VERI_TABANI!$B$8) + IF(ABS(IF(ISNUMBER(SEARCH("Var", D770)), 1, IF(ISNUMBER(SEARCH("Gri", D770)), -1, 0)))=1, VERI_TABANI!E23*(1-0.928)*VERI_TABANI!$B$9, 0) + (VERI_TABANI!D23*B770*(VERI_TABANI!$B$13-VERI_TABANI!$B$14)*VERI_TABANI!G23) + (VERI_TABANI!D23*C770*(VERI_TABANI!$B$13-VERI_TABANI!$B$15)*VERI_TABANI!G23) + IF(ABS(IF(ISNUMBER(SEARCH("Var", D770)), 1, IF(ISNUMBER(SEARCH("Gri", D770)), -1, 0)))=1, VERI_TABANI!E23*(1-0.928)*0.00206091519919798*VERI_TABANI!G23, 0)) + ((MIN(VERI_TABANI!D24, VERI_TABANI!D24*B770)*VERI_TABANI!$B$7 + MAX(0, VERI_TABANI!D24*B770-VERI_TABANI!D24)*VERI_TABANI!$B$8) + (MIN(MAX(0, VERI_TABANI!D24-VERI_TABANI!D24*B770), VERI_TABANI!D24*C770)*VERI_TABANI!$B$7 + MAX(0, VERI_TABANI!D24*C770-MAX(0, VERI_TABANI!D24-VERI_TABANI!D24*B770))*VERI_TABANI!$B$8) + IF(ABS(IF(ISNUMBER(SEARCH("Var", D770)), 1, IF(ISNUMBER(SEARCH("Gri", D770)), -1, 0)))=1, VERI_TABANI!E24*(1-0.928)*VERI_TABANI!$B$9, 0) + (VERI_TABANI!D24*B770*(VERI_TABANI!$B$13-VERI_TABANI!$B$14)*VERI_TABANI!G24) + (VERI_TABANI!D24*C770*(VERI_TABANI!$B$13-VERI_TABANI!$B$15)*VERI_TABANI!G24) + IF(ABS(IF(ISNUMBER(SEARCH("Var", D770)), 1, IF(ISNUMBER(SEARCH("Gri", D770)), -1, 0)))=1, VERI_TABANI!E24*(1-0.928)*0.00206091519919798*VERI_TABANI!G24, 0)) + ((MIN(VERI_TABANI!D25, VERI_TABANI!D25*B770)*VERI_TABANI!$B$7 + MAX(0, VERI_TABANI!D25*B770-VERI_TABANI!D25)*VERI_TABANI!$B$8) + (MIN(MAX(0, VERI_TABANI!D25-VERI_TABANI!D25*B770), VERI_TABANI!D25*C770)*VERI_TABANI!$B$7 + MAX(0, VERI_TABANI!D25*C770-MAX(0, VERI_TABANI!D25-VERI_TABANI!D25*B770))*VERI_TABANI!$B$8) + IF(ABS(IF(ISNUMBER(SEARCH("Var", D770)), 1, IF(ISNUMBER(SEARCH("Gri", D770)), -1, 0)))=1, VERI_TABANI!E25*(1-0.928)*VERI_TABANI!$B$9, 0) + (VERI_TABANI!D25*B770*(VERI_TABANI!$B$13-VERI_TABANI!$B$14)*VERI_TABANI!G25) + (VERI_TABANI!D25*C770*(VERI_TABANI!$B$13-VERI_TABANI!$B$15)*VERI_TABANI!G25) + IF(ABS(IF(ISNUMBER(SEARCH("Var", D770)), 1, IF(ISNUMBER(SEARCH("Gri", D770)), -1, 0)))=1, VERI_TABANI!E25*(1-0.928)*0.00206091519919798*VERI_TABANI!G25, 0)) + ((MIN(VERI_TABANI!D26, VERI_TABANI!D26*B770)*VERI_TABANI!$B$7 + MAX(0, VERI_TABANI!D26*B770-VERI_TABANI!D26)*VERI_TABANI!$B$8) + (MIN(MAX(0, VERI_TABANI!D26-VERI_TABANI!D26*B770), VERI_TABANI!D26*C770)*VERI_TABANI!$B$7 + MAX(0, VERI_TABANI!D26*C770-MAX(0, VERI_TABANI!D26-VERI_TABANI!D26*B770))*VERI_TABANI!$B$8) + IF(ABS(IF(ISNUMBER(SEARCH("Var", D770)), 1, IF(ISNUMBER(SEARCH("Gri", D770)), -1, 0)))=1, VERI_TABANI!E26*(1-0.928)*VERI_TABANI!$B$9, 0) + (VERI_TABANI!D26*B770*(VERI_TABANI!$B$13-VERI_TABANI!$B$14)*VERI_TABANI!G26) + (VERI_TABANI!D26*C770*(VERI_TABANI!$B$13-VERI_TABANI!$B$15)*VERI_TABANI!G26) + IF(ABS(IF(ISNUMBER(SEARCH("Var", D770)), 1, IF(ISNUMBER(SEARCH("Gri", D770)), -1, 0)))=1, VERI_TABANI!E26*(1-0.928)*0.00206091519919798*VERI_TABANI!G26, 0)) + ((MIN(VERI_TABANI!D27, VERI_TABANI!D27*B770)*VERI_TABANI!$B$7 + MAX(0, VERI_TABANI!D27*B770-VERI_TABANI!D27)*VERI_TABANI!$B$8) + (MIN(MAX(0, VERI_TABANI!D27-VERI_TABANI!D27*B770), VERI_TABANI!D27*C770)*VERI_TABANI!$B$7 + MAX(0, VERI_TABANI!D27*C770-MAX(0, VERI_TABANI!D27-VERI_TABANI!D27*B770))*VERI_TABANI!$B$8) + IF(ABS(IF(ISNUMBER(SEARCH("Var", D770)), 1, IF(ISNUMBER(SEARCH("Gri", D770)), -1, 0)))=1, VERI_TABANI!E27*(1-0.928)*VERI_TABANI!$B$9, 0) + (VERI_TABANI!D27*B770*(VERI_TABANI!$B$13-VERI_TABANI!$B$14)*VERI_TABANI!G27) + (VERI_TABANI!D27*C770*(VERI_TABANI!$B$13-VERI_TABANI!$B$15)*VERI_TABANI!G27) + IF(ABS(IF(ISNUMBER(SEARCH("Var", D770)), 1, IF(ISNUMBER(SEARCH("Gri", D770)), -1, 0)))=1, VERI_TABANI!E27*(1-0.928)*0.00206091519919798*VERI_TABANI!G27, 0)) + ((MIN(VERI_TABANI!D28, VERI_TABANI!D28*B770)*VERI_TABANI!$B$7 + MAX(0, VERI_TABANI!D28*B770-VERI_TABANI!D28)*VERI_TABANI!$B$8) + (MIN(MAX(0, VERI_TABANI!D28-VERI_TABANI!D28*B770), VERI_TABANI!D28*C770)*VERI_TABANI!$B$7 + MAX(0, VERI_TABANI!D28*C770-MAX(0, VERI_TABANI!D28-VERI_TABANI!D28*B770))*VERI_TABANI!$B$8) + IF(ABS(IF(ISNUMBER(SEARCH("Var", D770)), 1, IF(ISNUMBER(SEARCH("Gri", D770)), -1, 0)))=1, VERI_TABANI!E28*(1-0.928)*VERI_TABANI!$B$9, 0) + (VERI_TABANI!D28*B770*(VERI_TABANI!$B$13-VERI_TABANI!$B$14)*VERI_TABANI!G28) + (VERI_TABANI!D28*C770*(VERI_TABANI!$B$13-VERI_TABANI!$B$15)*VERI_TABANI!G28) + IF(ABS(IF(ISNUMBER(SEARCH("Var", D770)), 1, IF(ISNUMBER(SEARCH("Gri", D770)), -1, 0)))=1, VERI_TABANI!E28*(1-0.928)*0.00206091519919798*VERI_TABANI!G28, 0)))</f>
        <v/>
      </c>
      <c r="H770" s="169">
        <f>(((VERI_TABANI!D23*B770*(VERI_TABANI!$B$13-VERI_TABANI!$B$14)) + (VERI_TABANI!D23*C770*(VERI_TABANI!$B$13-VERI_TABANI!$B$15)) + IF(ISNUMBER(SEARCH("Var", D770)), VERI_TABANI!F23*(0.00202-VERI_TABANI!$B$16), IF(ISNUMBER(SEARCH("Gri", D770)), VERI_TABANI!F23*(0.00202-VERI_TABANI!$B$17), 0))) + ((VERI_TABANI!D24*B770*(VERI_TABANI!$B$13-VERI_TABANI!$B$14)) + (VERI_TABANI!D24*C770*(VERI_TABANI!$B$13-VERI_TABANI!$B$15)) + IF(ISNUMBER(SEARCH("Var", D770)), VERI_TABANI!F24*(0.00202-VERI_TABANI!$B$16), IF(ISNUMBER(SEARCH("Gri", D770)), VERI_TABANI!F24*(0.00202-VERI_TABANI!$B$17), 0))) + ((VERI_TABANI!D25*B770*(VERI_TABANI!$B$13-VERI_TABANI!$B$14)) + (VERI_TABANI!D25*C770*(VERI_TABANI!$B$13-VERI_TABANI!$B$15)) + IF(ISNUMBER(SEARCH("Var", D770)), VERI_TABANI!F25*(0.00202-VERI_TABANI!$B$16), IF(ISNUMBER(SEARCH("Gri", D770)), VERI_TABANI!F25*(0.00202-VERI_TABANI!$B$17), 0))) + ((VERI_TABANI!D26*B770*(VERI_TABANI!$B$13-VERI_TABANI!$B$14)) + (VERI_TABANI!D26*C770*(VERI_TABANI!$B$13-VERI_TABANI!$B$15)) + IF(ISNUMBER(SEARCH("Var", D770)), VERI_TABANI!F26*(0.00202-VERI_TABANI!$B$16), IF(ISNUMBER(SEARCH("Gri", D770)), VERI_TABANI!F26*(0.00202-VERI_TABANI!$B$17), 0))) + ((VERI_TABANI!D27*B770*(VERI_TABANI!$B$13-VERI_TABANI!$B$14)) + (VERI_TABANI!D27*C770*(VERI_TABANI!$B$13-VERI_TABANI!$B$15)) + IF(ISNUMBER(SEARCH("Var", D770)), VERI_TABANI!F27*(0.00202-VERI_TABANI!$B$16), IF(ISNUMBER(SEARCH("Gri", D770)), VERI_TABANI!F27*(0.00202-VERI_TABANI!$B$17), 0))) + ((VERI_TABANI!D28*B770*(VERI_TABANI!$B$13-VERI_TABANI!$B$14)) + (VERI_TABANI!D28*C770*(VERI_TABANI!$B$13-VERI_TABANI!$B$15)) + IF(ISNUMBER(SEARCH("Var", D770)), VERI_TABANI!F28*(0.00202-VERI_TABANI!$B$16), IF(ISNUMBER(SEARCH("Gri", D770)), VERI_TABANI!F28*(0.00202-VERI_TABANI!$B$17), 0))))</f>
        <v/>
      </c>
      <c r="I770" s="170">
        <f>IFERROR(((VERI_TABANI!$D$29*B770*VERI_TABANI!$B$14 + VERI_TABANI!$D$29*C770*VERI_TABANI!$B$15 + IF(ISNUMBER(SEARCH("Var", D770)), VERI_TABANI!$F$29*VERI_TABANI!$B$16, 0))) / (((VERI_TABANI!$D$29*B770 + VERI_TABANI!$D$29*C770)*VERI_TABANI!$B$13 + IF(ISNUMBER(SEARCH("Var", D770)), VERI_TABANI!$E$29*(1-0.928)*VERI_TABANI!$B$18, 0))), 0)</f>
        <v/>
      </c>
      <c r="J770" s="171">
        <f>IFERROR(F770/(G770/29), 0)</f>
        <v/>
      </c>
      <c r="K770" s="172">
        <f>IF(F770&gt;0, H770/F770, 0)</f>
        <v/>
      </c>
      <c r="L770" s="170">
        <f>IF(F770&gt;0, I770, 1000000000)</f>
        <v/>
      </c>
      <c r="M770" s="171">
        <f>ABS((B770+C770)-1)</f>
        <v/>
      </c>
      <c r="N770" s="170">
        <f>IF(F770&gt;0, (G770/29)/F770, 0)</f>
        <v/>
      </c>
      <c r="O770" s="168">
        <f>IF(AND((B770+C770)&gt;=1, ISNUMBER(SEARCH("Var", D770))), F770, 1000000000)</f>
        <v/>
      </c>
      <c r="P770" s="172">
        <f>IF(F770&gt;0, SQRT((F770/MAX(F$5:F$886))^2 + (1 - H770/MAX(H$5:H$886))^2 + (J770/MAX(J$5:J$886))^2), 1000000000)</f>
        <v/>
      </c>
      <c r="Q770" s="166">
        <f>IF(AND(ABS(B770-0.5)&lt;0.01, ABS(C770-0.5)&lt;0.01, ISNUMBER(SEARCH("Var", D770))), 1, 0)</f>
        <v/>
      </c>
      <c r="R770" s="171">
        <f>IF(F770&gt;0, J770, 1000000000)</f>
        <v/>
      </c>
      <c r="S770" s="101">
        <f>IF(AND(F770&lt;=DASHBOARD!$B$11, H770&gt;=DASHBOARD!$B$13), G770, -1000000000000)</f>
        <v/>
      </c>
      <c r="T770" s="101">
        <f>IF(AND(F770&lt;=DASHBOARD!$B$11, H770&gt;=DASHBOARD!$B$13), R770, 1000000000000)</f>
        <v/>
      </c>
      <c r="U770" s="101">
        <f>IF(AND(F770&lt;=DASHBOARD!$B$11, H770&gt;=DASHBOARD!$B$13), N770, -1000000000000)</f>
        <v/>
      </c>
      <c r="V770" s="101">
        <f>IF(AND(F770&lt;=DASHBOARD!$B$11, H770&gt;=DASHBOARD!$B$13), H770, -1000000000000)</f>
        <v/>
      </c>
      <c r="W770" s="101">
        <f>IF(AND(F770&lt;=DASHBOARD!$B$11, H770&gt;=DASHBOARD!$B$13), K770, -1000000000000)</f>
        <v/>
      </c>
      <c r="X770" s="101">
        <f>IF(AND(F770&lt;=DASHBOARD!$B$11, H770&gt;=DASHBOARD!$B$13), M770, 1000000000000)</f>
        <v/>
      </c>
      <c r="Y770" s="101">
        <f>IF(AND(F770&lt;=DASHBOARD!$B$10, H770&gt;=DASHBOARD!$B$11), L770, 1000000000000)</f>
        <v/>
      </c>
      <c r="Z770" s="101">
        <f>IF(AND(F770&lt;=DASHBOARD!$B$10, H770&gt;=DASHBOARD!$B$11), O770, 1000000000000)</f>
        <v/>
      </c>
      <c r="AA770" s="101">
        <f>IF(AND(F770&lt;=DASHBOARD!$B$10, H770&gt;=DASHBOARD!$B$11), P770, 1000000000000)</f>
        <v/>
      </c>
      <c r="AB770" s="101">
        <f>IF(AND(F770&lt;=DASHBOARD!$B$10, H770&gt;=DASHBOARD!$B$11), Q770, -1000000000000)</f>
        <v/>
      </c>
    </row>
    <row r="771" ht="15" customHeight="1" s="102">
      <c r="A771" s="166" t="n">
        <v>767</v>
      </c>
      <c r="B771" s="167" t="n">
        <v>1.8</v>
      </c>
      <c r="C771" s="167" t="n">
        <v>0.5</v>
      </c>
      <c r="D771" s="110" t="inlineStr">
        <is>
          <t>Yok (%0)</t>
        </is>
      </c>
      <c r="E771" s="110">
        <f>IF((B771+C771)&lt;=1, "Tam Mahsuplaşma (≤%100)", "Kısmi Satış (&gt;%100)")</f>
        <v/>
      </c>
      <c r="F771" s="168">
        <f>((VERI_TABANI!$D$29*B771/VERI_TABANI!$B$29)/VERI_TABANI!$B$3)*VERI_TABANI!$B$5 + ((VERI_TABANI!$D$29*C771/VERI_TABANI!$B$29)/VERI_TABANI!$B$4)*VERI_TABANI!$B$6 + IF(ISNUMBER(SEARCH("Var", D771)), (VERI_TABANI!$F$29/VERI_TABANI!$B$29)*(VERI_TABANI!$B$10+VERI_TABANI!$B$12), 0)</f>
        <v/>
      </c>
      <c r="G771" s="168">
        <f>(((MIN(VERI_TABANI!D23, VERI_TABANI!D23*B771)*VERI_TABANI!$B$7 + MAX(0, VERI_TABANI!D23*B771-VERI_TABANI!D23)*VERI_TABANI!$B$8) + (MIN(MAX(0, VERI_TABANI!D23-VERI_TABANI!D23*B771), VERI_TABANI!D23*C771)*VERI_TABANI!$B$7 + MAX(0, VERI_TABANI!D23*C771-MAX(0, VERI_TABANI!D23-VERI_TABANI!D23*B771))*VERI_TABANI!$B$8) + IF(ABS(IF(ISNUMBER(SEARCH("Var", D771)), 1, IF(ISNUMBER(SEARCH("Gri", D771)), -1, 0)))=1, VERI_TABANI!E23*(1-0.928)*VERI_TABANI!$B$9, 0) + (VERI_TABANI!D23*B771*(VERI_TABANI!$B$13-VERI_TABANI!$B$14)*VERI_TABANI!G23) + (VERI_TABANI!D23*C771*(VERI_TABANI!$B$13-VERI_TABANI!$B$15)*VERI_TABANI!G23) + IF(ABS(IF(ISNUMBER(SEARCH("Var", D771)), 1, IF(ISNUMBER(SEARCH("Gri", D771)), -1, 0)))=1, VERI_TABANI!E23*(1-0.928)*0.00206091519919798*VERI_TABANI!G23, 0)) + ((MIN(VERI_TABANI!D24, VERI_TABANI!D24*B771)*VERI_TABANI!$B$7 + MAX(0, VERI_TABANI!D24*B771-VERI_TABANI!D24)*VERI_TABANI!$B$8) + (MIN(MAX(0, VERI_TABANI!D24-VERI_TABANI!D24*B771), VERI_TABANI!D24*C771)*VERI_TABANI!$B$7 + MAX(0, VERI_TABANI!D24*C771-MAX(0, VERI_TABANI!D24-VERI_TABANI!D24*B771))*VERI_TABANI!$B$8) + IF(ABS(IF(ISNUMBER(SEARCH("Var", D771)), 1, IF(ISNUMBER(SEARCH("Gri", D771)), -1, 0)))=1, VERI_TABANI!E24*(1-0.928)*VERI_TABANI!$B$9, 0) + (VERI_TABANI!D24*B771*(VERI_TABANI!$B$13-VERI_TABANI!$B$14)*VERI_TABANI!G24) + (VERI_TABANI!D24*C771*(VERI_TABANI!$B$13-VERI_TABANI!$B$15)*VERI_TABANI!G24) + IF(ABS(IF(ISNUMBER(SEARCH("Var", D771)), 1, IF(ISNUMBER(SEARCH("Gri", D771)), -1, 0)))=1, VERI_TABANI!E24*(1-0.928)*0.00206091519919798*VERI_TABANI!G24, 0)) + ((MIN(VERI_TABANI!D25, VERI_TABANI!D25*B771)*VERI_TABANI!$B$7 + MAX(0, VERI_TABANI!D25*B771-VERI_TABANI!D25)*VERI_TABANI!$B$8) + (MIN(MAX(0, VERI_TABANI!D25-VERI_TABANI!D25*B771), VERI_TABANI!D25*C771)*VERI_TABANI!$B$7 + MAX(0, VERI_TABANI!D25*C771-MAX(0, VERI_TABANI!D25-VERI_TABANI!D25*B771))*VERI_TABANI!$B$8) + IF(ABS(IF(ISNUMBER(SEARCH("Var", D771)), 1, IF(ISNUMBER(SEARCH("Gri", D771)), -1, 0)))=1, VERI_TABANI!E25*(1-0.928)*VERI_TABANI!$B$9, 0) + (VERI_TABANI!D25*B771*(VERI_TABANI!$B$13-VERI_TABANI!$B$14)*VERI_TABANI!G25) + (VERI_TABANI!D25*C771*(VERI_TABANI!$B$13-VERI_TABANI!$B$15)*VERI_TABANI!G25) + IF(ABS(IF(ISNUMBER(SEARCH("Var", D771)), 1, IF(ISNUMBER(SEARCH("Gri", D771)), -1, 0)))=1, VERI_TABANI!E25*(1-0.928)*0.00206091519919798*VERI_TABANI!G25, 0)) + ((MIN(VERI_TABANI!D26, VERI_TABANI!D26*B771)*VERI_TABANI!$B$7 + MAX(0, VERI_TABANI!D26*B771-VERI_TABANI!D26)*VERI_TABANI!$B$8) + (MIN(MAX(0, VERI_TABANI!D26-VERI_TABANI!D26*B771), VERI_TABANI!D26*C771)*VERI_TABANI!$B$7 + MAX(0, VERI_TABANI!D26*C771-MAX(0, VERI_TABANI!D26-VERI_TABANI!D26*B771))*VERI_TABANI!$B$8) + IF(ABS(IF(ISNUMBER(SEARCH("Var", D771)), 1, IF(ISNUMBER(SEARCH("Gri", D771)), -1, 0)))=1, VERI_TABANI!E26*(1-0.928)*VERI_TABANI!$B$9, 0) + (VERI_TABANI!D26*B771*(VERI_TABANI!$B$13-VERI_TABANI!$B$14)*VERI_TABANI!G26) + (VERI_TABANI!D26*C771*(VERI_TABANI!$B$13-VERI_TABANI!$B$15)*VERI_TABANI!G26) + IF(ABS(IF(ISNUMBER(SEARCH("Var", D771)), 1, IF(ISNUMBER(SEARCH("Gri", D771)), -1, 0)))=1, VERI_TABANI!E26*(1-0.928)*0.00206091519919798*VERI_TABANI!G26, 0)) + ((MIN(VERI_TABANI!D27, VERI_TABANI!D27*B771)*VERI_TABANI!$B$7 + MAX(0, VERI_TABANI!D27*B771-VERI_TABANI!D27)*VERI_TABANI!$B$8) + (MIN(MAX(0, VERI_TABANI!D27-VERI_TABANI!D27*B771), VERI_TABANI!D27*C771)*VERI_TABANI!$B$7 + MAX(0, VERI_TABANI!D27*C771-MAX(0, VERI_TABANI!D27-VERI_TABANI!D27*B771))*VERI_TABANI!$B$8) + IF(ABS(IF(ISNUMBER(SEARCH("Var", D771)), 1, IF(ISNUMBER(SEARCH("Gri", D771)), -1, 0)))=1, VERI_TABANI!E27*(1-0.928)*VERI_TABANI!$B$9, 0) + (VERI_TABANI!D27*B771*(VERI_TABANI!$B$13-VERI_TABANI!$B$14)*VERI_TABANI!G27) + (VERI_TABANI!D27*C771*(VERI_TABANI!$B$13-VERI_TABANI!$B$15)*VERI_TABANI!G27) + IF(ABS(IF(ISNUMBER(SEARCH("Var", D771)), 1, IF(ISNUMBER(SEARCH("Gri", D771)), -1, 0)))=1, VERI_TABANI!E27*(1-0.928)*0.00206091519919798*VERI_TABANI!G27, 0)) + ((MIN(VERI_TABANI!D28, VERI_TABANI!D28*B771)*VERI_TABANI!$B$7 + MAX(0, VERI_TABANI!D28*B771-VERI_TABANI!D28)*VERI_TABANI!$B$8) + (MIN(MAX(0, VERI_TABANI!D28-VERI_TABANI!D28*B771), VERI_TABANI!D28*C771)*VERI_TABANI!$B$7 + MAX(0, VERI_TABANI!D28*C771-MAX(0, VERI_TABANI!D28-VERI_TABANI!D28*B771))*VERI_TABANI!$B$8) + IF(ABS(IF(ISNUMBER(SEARCH("Var", D771)), 1, IF(ISNUMBER(SEARCH("Gri", D771)), -1, 0)))=1, VERI_TABANI!E28*(1-0.928)*VERI_TABANI!$B$9, 0) + (VERI_TABANI!D28*B771*(VERI_TABANI!$B$13-VERI_TABANI!$B$14)*VERI_TABANI!G28) + (VERI_TABANI!D28*C771*(VERI_TABANI!$B$13-VERI_TABANI!$B$15)*VERI_TABANI!G28) + IF(ABS(IF(ISNUMBER(SEARCH("Var", D771)), 1, IF(ISNUMBER(SEARCH("Gri", D771)), -1, 0)))=1, VERI_TABANI!E28*(1-0.928)*0.00206091519919798*VERI_TABANI!G28, 0)))</f>
        <v/>
      </c>
      <c r="H771" s="169">
        <f>(((VERI_TABANI!D23*B771*(VERI_TABANI!$B$13-VERI_TABANI!$B$14)) + (VERI_TABANI!D23*C771*(VERI_TABANI!$B$13-VERI_TABANI!$B$15)) + IF(ISNUMBER(SEARCH("Var", D771)), VERI_TABANI!F23*(0.00202-VERI_TABANI!$B$16), IF(ISNUMBER(SEARCH("Gri", D771)), VERI_TABANI!F23*(0.00202-VERI_TABANI!$B$17), 0))) + ((VERI_TABANI!D24*B771*(VERI_TABANI!$B$13-VERI_TABANI!$B$14)) + (VERI_TABANI!D24*C771*(VERI_TABANI!$B$13-VERI_TABANI!$B$15)) + IF(ISNUMBER(SEARCH("Var", D771)), VERI_TABANI!F24*(0.00202-VERI_TABANI!$B$16), IF(ISNUMBER(SEARCH("Gri", D771)), VERI_TABANI!F24*(0.00202-VERI_TABANI!$B$17), 0))) + ((VERI_TABANI!D25*B771*(VERI_TABANI!$B$13-VERI_TABANI!$B$14)) + (VERI_TABANI!D25*C771*(VERI_TABANI!$B$13-VERI_TABANI!$B$15)) + IF(ISNUMBER(SEARCH("Var", D771)), VERI_TABANI!F25*(0.00202-VERI_TABANI!$B$16), IF(ISNUMBER(SEARCH("Gri", D771)), VERI_TABANI!F25*(0.00202-VERI_TABANI!$B$17), 0))) + ((VERI_TABANI!D26*B771*(VERI_TABANI!$B$13-VERI_TABANI!$B$14)) + (VERI_TABANI!D26*C771*(VERI_TABANI!$B$13-VERI_TABANI!$B$15)) + IF(ISNUMBER(SEARCH("Var", D771)), VERI_TABANI!F26*(0.00202-VERI_TABANI!$B$16), IF(ISNUMBER(SEARCH("Gri", D771)), VERI_TABANI!F26*(0.00202-VERI_TABANI!$B$17), 0))) + ((VERI_TABANI!D27*B771*(VERI_TABANI!$B$13-VERI_TABANI!$B$14)) + (VERI_TABANI!D27*C771*(VERI_TABANI!$B$13-VERI_TABANI!$B$15)) + IF(ISNUMBER(SEARCH("Var", D771)), VERI_TABANI!F27*(0.00202-VERI_TABANI!$B$16), IF(ISNUMBER(SEARCH("Gri", D771)), VERI_TABANI!F27*(0.00202-VERI_TABANI!$B$17), 0))) + ((VERI_TABANI!D28*B771*(VERI_TABANI!$B$13-VERI_TABANI!$B$14)) + (VERI_TABANI!D28*C771*(VERI_TABANI!$B$13-VERI_TABANI!$B$15)) + IF(ISNUMBER(SEARCH("Var", D771)), VERI_TABANI!F28*(0.00202-VERI_TABANI!$B$16), IF(ISNUMBER(SEARCH("Gri", D771)), VERI_TABANI!F28*(0.00202-VERI_TABANI!$B$17), 0))))</f>
        <v/>
      </c>
      <c r="I771" s="170">
        <f>IFERROR(((VERI_TABANI!$D$29*B771*VERI_TABANI!$B$14 + VERI_TABANI!$D$29*C771*VERI_TABANI!$B$15 + IF(ISNUMBER(SEARCH("Var", D771)), VERI_TABANI!$F$29*VERI_TABANI!$B$16, 0))) / (((VERI_TABANI!$D$29*B771 + VERI_TABANI!$D$29*C771)*VERI_TABANI!$B$13 + IF(ISNUMBER(SEARCH("Var", D771)), VERI_TABANI!$E$29*(1-0.928)*VERI_TABANI!$B$18, 0))), 0)</f>
        <v/>
      </c>
      <c r="J771" s="171">
        <f>IFERROR(F771/(G771/29), 0)</f>
        <v/>
      </c>
      <c r="K771" s="172">
        <f>IF(F771&gt;0, H771/F771, 0)</f>
        <v/>
      </c>
      <c r="L771" s="170">
        <f>IF(F771&gt;0, I771, 1000000000)</f>
        <v/>
      </c>
      <c r="M771" s="171">
        <f>ABS((B771+C771)-1)</f>
        <v/>
      </c>
      <c r="N771" s="170">
        <f>IF(F771&gt;0, (G771/29)/F771, 0)</f>
        <v/>
      </c>
      <c r="O771" s="168">
        <f>IF(AND((B771+C771)&gt;=1, ISNUMBER(SEARCH("Var", D771))), F771, 1000000000)</f>
        <v/>
      </c>
      <c r="P771" s="172">
        <f>IF(F771&gt;0, SQRT((F771/MAX(F$5:F$886))^2 + (1 - H771/MAX(H$5:H$886))^2 + (J771/MAX(J$5:J$886))^2), 1000000000)</f>
        <v/>
      </c>
      <c r="Q771" s="166">
        <f>IF(AND(ABS(B771-0.5)&lt;0.01, ABS(C771-0.5)&lt;0.01, ISNUMBER(SEARCH("Var", D771))), 1, 0)</f>
        <v/>
      </c>
      <c r="R771" s="171">
        <f>IF(F771&gt;0, J771, 1000000000)</f>
        <v/>
      </c>
      <c r="S771" s="101">
        <f>IF(AND(F771&lt;=DASHBOARD!$B$11, H771&gt;=DASHBOARD!$B$13), G771, -1000000000000)</f>
        <v/>
      </c>
      <c r="T771" s="101">
        <f>IF(AND(F771&lt;=DASHBOARD!$B$11, H771&gt;=DASHBOARD!$B$13), R771, 1000000000000)</f>
        <v/>
      </c>
      <c r="U771" s="101">
        <f>IF(AND(F771&lt;=DASHBOARD!$B$11, H771&gt;=DASHBOARD!$B$13), N771, -1000000000000)</f>
        <v/>
      </c>
      <c r="V771" s="101">
        <f>IF(AND(F771&lt;=DASHBOARD!$B$11, H771&gt;=DASHBOARD!$B$13), H771, -1000000000000)</f>
        <v/>
      </c>
      <c r="W771" s="101">
        <f>IF(AND(F771&lt;=DASHBOARD!$B$11, H771&gt;=DASHBOARD!$B$13), K771, -1000000000000)</f>
        <v/>
      </c>
      <c r="X771" s="101">
        <f>IF(AND(F771&lt;=DASHBOARD!$B$11, H771&gt;=DASHBOARD!$B$13), M771, 1000000000000)</f>
        <v/>
      </c>
      <c r="Y771" s="101">
        <f>IF(AND(F771&lt;=DASHBOARD!$B$10, H771&gt;=DASHBOARD!$B$11), L771, 1000000000000)</f>
        <v/>
      </c>
      <c r="Z771" s="101">
        <f>IF(AND(F771&lt;=DASHBOARD!$B$10, H771&gt;=DASHBOARD!$B$11), O771, 1000000000000)</f>
        <v/>
      </c>
      <c r="AA771" s="101">
        <f>IF(AND(F771&lt;=DASHBOARD!$B$10, H771&gt;=DASHBOARD!$B$11), P771, 1000000000000)</f>
        <v/>
      </c>
      <c r="AB771" s="101">
        <f>IF(AND(F771&lt;=DASHBOARD!$B$10, H771&gt;=DASHBOARD!$B$11), Q771, -1000000000000)</f>
        <v/>
      </c>
    </row>
    <row r="772" ht="15" customHeight="1" s="102">
      <c r="A772" s="166" t="n">
        <v>768</v>
      </c>
      <c r="B772" s="167" t="n">
        <v>1.8</v>
      </c>
      <c r="C772" s="167" t="n">
        <v>0.5</v>
      </c>
      <c r="D772" s="110" t="inlineStr">
        <is>
          <t>Var (%20)</t>
        </is>
      </c>
      <c r="E772" s="110">
        <f>IF((B772+C772)&lt;=1, "Tam Mahsuplaşma (≤%100)", "Kısmi Satış (&gt;%100)")</f>
        <v/>
      </c>
      <c r="F772" s="168">
        <f>((VERI_TABANI!$D$29*B772/VERI_TABANI!$B$29)/VERI_TABANI!$B$3)*VERI_TABANI!$B$5 + ((VERI_TABANI!$D$29*C772/VERI_TABANI!$B$29)/VERI_TABANI!$B$4)*VERI_TABANI!$B$6 + IF(ISNUMBER(SEARCH("Var", D772)), (VERI_TABANI!$F$29/VERI_TABANI!$B$29)*(VERI_TABANI!$B$10+VERI_TABANI!$B$12), 0)</f>
        <v/>
      </c>
      <c r="G772" s="168">
        <f>(((MIN(VERI_TABANI!D23, VERI_TABANI!D23*B772)*VERI_TABANI!$B$7 + MAX(0, VERI_TABANI!D23*B772-VERI_TABANI!D23)*VERI_TABANI!$B$8) + (MIN(MAX(0, VERI_TABANI!D23-VERI_TABANI!D23*B772), VERI_TABANI!D23*C772)*VERI_TABANI!$B$7 + MAX(0, VERI_TABANI!D23*C772-MAX(0, VERI_TABANI!D23-VERI_TABANI!D23*B772))*VERI_TABANI!$B$8) + IF(ABS(IF(ISNUMBER(SEARCH("Var", D772)), 1, IF(ISNUMBER(SEARCH("Gri", D772)), -1, 0)))=1, VERI_TABANI!E23*(1-0.928)*VERI_TABANI!$B$9, 0) + (VERI_TABANI!D23*B772*(VERI_TABANI!$B$13-VERI_TABANI!$B$14)*VERI_TABANI!G23) + (VERI_TABANI!D23*C772*(VERI_TABANI!$B$13-VERI_TABANI!$B$15)*VERI_TABANI!G23) + IF(ABS(IF(ISNUMBER(SEARCH("Var", D772)), 1, IF(ISNUMBER(SEARCH("Gri", D772)), -1, 0)))=1, VERI_TABANI!E23*(1-0.928)*0.00206091519919798*VERI_TABANI!G23, 0)) + ((MIN(VERI_TABANI!D24, VERI_TABANI!D24*B772)*VERI_TABANI!$B$7 + MAX(0, VERI_TABANI!D24*B772-VERI_TABANI!D24)*VERI_TABANI!$B$8) + (MIN(MAX(0, VERI_TABANI!D24-VERI_TABANI!D24*B772), VERI_TABANI!D24*C772)*VERI_TABANI!$B$7 + MAX(0, VERI_TABANI!D24*C772-MAX(0, VERI_TABANI!D24-VERI_TABANI!D24*B772))*VERI_TABANI!$B$8) + IF(ABS(IF(ISNUMBER(SEARCH("Var", D772)), 1, IF(ISNUMBER(SEARCH("Gri", D772)), -1, 0)))=1, VERI_TABANI!E24*(1-0.928)*VERI_TABANI!$B$9, 0) + (VERI_TABANI!D24*B772*(VERI_TABANI!$B$13-VERI_TABANI!$B$14)*VERI_TABANI!G24) + (VERI_TABANI!D24*C772*(VERI_TABANI!$B$13-VERI_TABANI!$B$15)*VERI_TABANI!G24) + IF(ABS(IF(ISNUMBER(SEARCH("Var", D772)), 1, IF(ISNUMBER(SEARCH("Gri", D772)), -1, 0)))=1, VERI_TABANI!E24*(1-0.928)*0.00206091519919798*VERI_TABANI!G24, 0)) + ((MIN(VERI_TABANI!D25, VERI_TABANI!D25*B772)*VERI_TABANI!$B$7 + MAX(0, VERI_TABANI!D25*B772-VERI_TABANI!D25)*VERI_TABANI!$B$8) + (MIN(MAX(0, VERI_TABANI!D25-VERI_TABANI!D25*B772), VERI_TABANI!D25*C772)*VERI_TABANI!$B$7 + MAX(0, VERI_TABANI!D25*C772-MAX(0, VERI_TABANI!D25-VERI_TABANI!D25*B772))*VERI_TABANI!$B$8) + IF(ABS(IF(ISNUMBER(SEARCH("Var", D772)), 1, IF(ISNUMBER(SEARCH("Gri", D772)), -1, 0)))=1, VERI_TABANI!E25*(1-0.928)*VERI_TABANI!$B$9, 0) + (VERI_TABANI!D25*B772*(VERI_TABANI!$B$13-VERI_TABANI!$B$14)*VERI_TABANI!G25) + (VERI_TABANI!D25*C772*(VERI_TABANI!$B$13-VERI_TABANI!$B$15)*VERI_TABANI!G25) + IF(ABS(IF(ISNUMBER(SEARCH("Var", D772)), 1, IF(ISNUMBER(SEARCH("Gri", D772)), -1, 0)))=1, VERI_TABANI!E25*(1-0.928)*0.00206091519919798*VERI_TABANI!G25, 0)) + ((MIN(VERI_TABANI!D26, VERI_TABANI!D26*B772)*VERI_TABANI!$B$7 + MAX(0, VERI_TABANI!D26*B772-VERI_TABANI!D26)*VERI_TABANI!$B$8) + (MIN(MAX(0, VERI_TABANI!D26-VERI_TABANI!D26*B772), VERI_TABANI!D26*C772)*VERI_TABANI!$B$7 + MAX(0, VERI_TABANI!D26*C772-MAX(0, VERI_TABANI!D26-VERI_TABANI!D26*B772))*VERI_TABANI!$B$8) + IF(ABS(IF(ISNUMBER(SEARCH("Var", D772)), 1, IF(ISNUMBER(SEARCH("Gri", D772)), -1, 0)))=1, VERI_TABANI!E26*(1-0.928)*VERI_TABANI!$B$9, 0) + (VERI_TABANI!D26*B772*(VERI_TABANI!$B$13-VERI_TABANI!$B$14)*VERI_TABANI!G26) + (VERI_TABANI!D26*C772*(VERI_TABANI!$B$13-VERI_TABANI!$B$15)*VERI_TABANI!G26) + IF(ABS(IF(ISNUMBER(SEARCH("Var", D772)), 1, IF(ISNUMBER(SEARCH("Gri", D772)), -1, 0)))=1, VERI_TABANI!E26*(1-0.928)*0.00206091519919798*VERI_TABANI!G26, 0)) + ((MIN(VERI_TABANI!D27, VERI_TABANI!D27*B772)*VERI_TABANI!$B$7 + MAX(0, VERI_TABANI!D27*B772-VERI_TABANI!D27)*VERI_TABANI!$B$8) + (MIN(MAX(0, VERI_TABANI!D27-VERI_TABANI!D27*B772), VERI_TABANI!D27*C772)*VERI_TABANI!$B$7 + MAX(0, VERI_TABANI!D27*C772-MAX(0, VERI_TABANI!D27-VERI_TABANI!D27*B772))*VERI_TABANI!$B$8) + IF(ABS(IF(ISNUMBER(SEARCH("Var", D772)), 1, IF(ISNUMBER(SEARCH("Gri", D772)), -1, 0)))=1, VERI_TABANI!E27*(1-0.928)*VERI_TABANI!$B$9, 0) + (VERI_TABANI!D27*B772*(VERI_TABANI!$B$13-VERI_TABANI!$B$14)*VERI_TABANI!G27) + (VERI_TABANI!D27*C772*(VERI_TABANI!$B$13-VERI_TABANI!$B$15)*VERI_TABANI!G27) + IF(ABS(IF(ISNUMBER(SEARCH("Var", D772)), 1, IF(ISNUMBER(SEARCH("Gri", D772)), -1, 0)))=1, VERI_TABANI!E27*(1-0.928)*0.00206091519919798*VERI_TABANI!G27, 0)) + ((MIN(VERI_TABANI!D28, VERI_TABANI!D28*B772)*VERI_TABANI!$B$7 + MAX(0, VERI_TABANI!D28*B772-VERI_TABANI!D28)*VERI_TABANI!$B$8) + (MIN(MAX(0, VERI_TABANI!D28-VERI_TABANI!D28*B772), VERI_TABANI!D28*C772)*VERI_TABANI!$B$7 + MAX(0, VERI_TABANI!D28*C772-MAX(0, VERI_TABANI!D28-VERI_TABANI!D28*B772))*VERI_TABANI!$B$8) + IF(ABS(IF(ISNUMBER(SEARCH("Var", D772)), 1, IF(ISNUMBER(SEARCH("Gri", D772)), -1, 0)))=1, VERI_TABANI!E28*(1-0.928)*VERI_TABANI!$B$9, 0) + (VERI_TABANI!D28*B772*(VERI_TABANI!$B$13-VERI_TABANI!$B$14)*VERI_TABANI!G28) + (VERI_TABANI!D28*C772*(VERI_TABANI!$B$13-VERI_TABANI!$B$15)*VERI_TABANI!G28) + IF(ABS(IF(ISNUMBER(SEARCH("Var", D772)), 1, IF(ISNUMBER(SEARCH("Gri", D772)), -1, 0)))=1, VERI_TABANI!E28*(1-0.928)*0.00206091519919798*VERI_TABANI!G28, 0)))</f>
        <v/>
      </c>
      <c r="H772" s="169">
        <f>(((VERI_TABANI!D23*B772*(VERI_TABANI!$B$13-VERI_TABANI!$B$14)) + (VERI_TABANI!D23*C772*(VERI_TABANI!$B$13-VERI_TABANI!$B$15)) + IF(ISNUMBER(SEARCH("Var", D772)), VERI_TABANI!F23*(0.00202-VERI_TABANI!$B$16), IF(ISNUMBER(SEARCH("Gri", D772)), VERI_TABANI!F23*(0.00202-VERI_TABANI!$B$17), 0))) + ((VERI_TABANI!D24*B772*(VERI_TABANI!$B$13-VERI_TABANI!$B$14)) + (VERI_TABANI!D24*C772*(VERI_TABANI!$B$13-VERI_TABANI!$B$15)) + IF(ISNUMBER(SEARCH("Var", D772)), VERI_TABANI!F24*(0.00202-VERI_TABANI!$B$16), IF(ISNUMBER(SEARCH("Gri", D772)), VERI_TABANI!F24*(0.00202-VERI_TABANI!$B$17), 0))) + ((VERI_TABANI!D25*B772*(VERI_TABANI!$B$13-VERI_TABANI!$B$14)) + (VERI_TABANI!D25*C772*(VERI_TABANI!$B$13-VERI_TABANI!$B$15)) + IF(ISNUMBER(SEARCH("Var", D772)), VERI_TABANI!F25*(0.00202-VERI_TABANI!$B$16), IF(ISNUMBER(SEARCH("Gri", D772)), VERI_TABANI!F25*(0.00202-VERI_TABANI!$B$17), 0))) + ((VERI_TABANI!D26*B772*(VERI_TABANI!$B$13-VERI_TABANI!$B$14)) + (VERI_TABANI!D26*C772*(VERI_TABANI!$B$13-VERI_TABANI!$B$15)) + IF(ISNUMBER(SEARCH("Var", D772)), VERI_TABANI!F26*(0.00202-VERI_TABANI!$B$16), IF(ISNUMBER(SEARCH("Gri", D772)), VERI_TABANI!F26*(0.00202-VERI_TABANI!$B$17), 0))) + ((VERI_TABANI!D27*B772*(VERI_TABANI!$B$13-VERI_TABANI!$B$14)) + (VERI_TABANI!D27*C772*(VERI_TABANI!$B$13-VERI_TABANI!$B$15)) + IF(ISNUMBER(SEARCH("Var", D772)), VERI_TABANI!F27*(0.00202-VERI_TABANI!$B$16), IF(ISNUMBER(SEARCH("Gri", D772)), VERI_TABANI!F27*(0.00202-VERI_TABANI!$B$17), 0))) + ((VERI_TABANI!D28*B772*(VERI_TABANI!$B$13-VERI_TABANI!$B$14)) + (VERI_TABANI!D28*C772*(VERI_TABANI!$B$13-VERI_TABANI!$B$15)) + IF(ISNUMBER(SEARCH("Var", D772)), VERI_TABANI!F28*(0.00202-VERI_TABANI!$B$16), IF(ISNUMBER(SEARCH("Gri", D772)), VERI_TABANI!F28*(0.00202-VERI_TABANI!$B$17), 0))))</f>
        <v/>
      </c>
      <c r="I772" s="170">
        <f>IFERROR(((VERI_TABANI!$D$29*B772*VERI_TABANI!$B$14 + VERI_TABANI!$D$29*C772*VERI_TABANI!$B$15 + IF(ISNUMBER(SEARCH("Var", D772)), VERI_TABANI!$F$29*VERI_TABANI!$B$16, 0))) / (((VERI_TABANI!$D$29*B772 + VERI_TABANI!$D$29*C772)*VERI_TABANI!$B$13 + IF(ISNUMBER(SEARCH("Var", D772)), VERI_TABANI!$E$29*(1-0.928)*VERI_TABANI!$B$18, 0))), 0)</f>
        <v/>
      </c>
      <c r="J772" s="171">
        <f>IFERROR(F772/(G772/29), 0)</f>
        <v/>
      </c>
      <c r="K772" s="172">
        <f>IF(F772&gt;0, H772/F772, 0)</f>
        <v/>
      </c>
      <c r="L772" s="170">
        <f>IF(F772&gt;0, I772, 1000000000)</f>
        <v/>
      </c>
      <c r="M772" s="171">
        <f>ABS((B772+C772)-1)</f>
        <v/>
      </c>
      <c r="N772" s="170">
        <f>IF(F772&gt;0, (G772/29)/F772, 0)</f>
        <v/>
      </c>
      <c r="O772" s="168">
        <f>IF(AND((B772+C772)&gt;=1, ISNUMBER(SEARCH("Var", D772))), F772, 1000000000)</f>
        <v/>
      </c>
      <c r="P772" s="172">
        <f>IF(F772&gt;0, SQRT((F772/MAX(F$5:F$886))^2 + (1 - H772/MAX(H$5:H$886))^2 + (J772/MAX(J$5:J$886))^2), 1000000000)</f>
        <v/>
      </c>
      <c r="Q772" s="166">
        <f>IF(AND(ABS(B772-0.5)&lt;0.01, ABS(C772-0.5)&lt;0.01, ISNUMBER(SEARCH("Var", D772))), 1, 0)</f>
        <v/>
      </c>
      <c r="R772" s="171">
        <f>IF(F772&gt;0, J772, 1000000000)</f>
        <v/>
      </c>
      <c r="S772" s="101">
        <f>IF(AND(F772&lt;=DASHBOARD!$B$11, H772&gt;=DASHBOARD!$B$13), G772, -1000000000000)</f>
        <v/>
      </c>
      <c r="T772" s="101">
        <f>IF(AND(F772&lt;=DASHBOARD!$B$11, H772&gt;=DASHBOARD!$B$13), R772, 1000000000000)</f>
        <v/>
      </c>
      <c r="U772" s="101">
        <f>IF(AND(F772&lt;=DASHBOARD!$B$11, H772&gt;=DASHBOARD!$B$13), N772, -1000000000000)</f>
        <v/>
      </c>
      <c r="V772" s="101">
        <f>IF(AND(F772&lt;=DASHBOARD!$B$11, H772&gt;=DASHBOARD!$B$13), H772, -1000000000000)</f>
        <v/>
      </c>
      <c r="W772" s="101">
        <f>IF(AND(F772&lt;=DASHBOARD!$B$11, H772&gt;=DASHBOARD!$B$13), K772, -1000000000000)</f>
        <v/>
      </c>
      <c r="X772" s="101">
        <f>IF(AND(F772&lt;=DASHBOARD!$B$11, H772&gt;=DASHBOARD!$B$13), M772, 1000000000000)</f>
        <v/>
      </c>
      <c r="Y772" s="101">
        <f>IF(AND(F772&lt;=DASHBOARD!$B$10, H772&gt;=DASHBOARD!$B$11), L772, 1000000000000)</f>
        <v/>
      </c>
      <c r="Z772" s="101">
        <f>IF(AND(F772&lt;=DASHBOARD!$B$10, H772&gt;=DASHBOARD!$B$11), O772, 1000000000000)</f>
        <v/>
      </c>
      <c r="AA772" s="101">
        <f>IF(AND(F772&lt;=DASHBOARD!$B$10, H772&gt;=DASHBOARD!$B$11), P772, 1000000000000)</f>
        <v/>
      </c>
      <c r="AB772" s="101">
        <f>IF(AND(F772&lt;=DASHBOARD!$B$10, H772&gt;=DASHBOARD!$B$11), Q772, -1000000000000)</f>
        <v/>
      </c>
    </row>
    <row r="773" ht="15" customHeight="1" s="102">
      <c r="A773" s="166" t="n">
        <v>769</v>
      </c>
      <c r="B773" s="167" t="n">
        <v>1.8</v>
      </c>
      <c r="C773" s="167" t="n">
        <v>0.6</v>
      </c>
      <c r="D773" s="110" t="inlineStr">
        <is>
          <t>Yok (%0)</t>
        </is>
      </c>
      <c r="E773" s="110">
        <f>IF((B773+C773)&lt;=1, "Tam Mahsuplaşma (≤%100)", "Kısmi Satış (&gt;%100)")</f>
        <v/>
      </c>
      <c r="F773" s="168">
        <f>((VERI_TABANI!$D$29*B773/VERI_TABANI!$B$29)/VERI_TABANI!$B$3)*VERI_TABANI!$B$5 + ((VERI_TABANI!$D$29*C773/VERI_TABANI!$B$29)/VERI_TABANI!$B$4)*VERI_TABANI!$B$6 + IF(ISNUMBER(SEARCH("Var", D773)), (VERI_TABANI!$F$29/VERI_TABANI!$B$29)*(VERI_TABANI!$B$10+VERI_TABANI!$B$12), 0)</f>
        <v/>
      </c>
      <c r="G773" s="168">
        <f>(((MIN(VERI_TABANI!D23, VERI_TABANI!D23*B773)*VERI_TABANI!$B$7 + MAX(0, VERI_TABANI!D23*B773-VERI_TABANI!D23)*VERI_TABANI!$B$8) + (MIN(MAX(0, VERI_TABANI!D23-VERI_TABANI!D23*B773), VERI_TABANI!D23*C773)*VERI_TABANI!$B$7 + MAX(0, VERI_TABANI!D23*C773-MAX(0, VERI_TABANI!D23-VERI_TABANI!D23*B773))*VERI_TABANI!$B$8) + IF(ABS(IF(ISNUMBER(SEARCH("Var", D773)), 1, IF(ISNUMBER(SEARCH("Gri", D773)), -1, 0)))=1, VERI_TABANI!E23*(1-0.928)*VERI_TABANI!$B$9, 0) + (VERI_TABANI!D23*B773*(VERI_TABANI!$B$13-VERI_TABANI!$B$14)*VERI_TABANI!G23) + (VERI_TABANI!D23*C773*(VERI_TABANI!$B$13-VERI_TABANI!$B$15)*VERI_TABANI!G23) + IF(ABS(IF(ISNUMBER(SEARCH("Var", D773)), 1, IF(ISNUMBER(SEARCH("Gri", D773)), -1, 0)))=1, VERI_TABANI!E23*(1-0.928)*0.00206091519919798*VERI_TABANI!G23, 0)) + ((MIN(VERI_TABANI!D24, VERI_TABANI!D24*B773)*VERI_TABANI!$B$7 + MAX(0, VERI_TABANI!D24*B773-VERI_TABANI!D24)*VERI_TABANI!$B$8) + (MIN(MAX(0, VERI_TABANI!D24-VERI_TABANI!D24*B773), VERI_TABANI!D24*C773)*VERI_TABANI!$B$7 + MAX(0, VERI_TABANI!D24*C773-MAX(0, VERI_TABANI!D24-VERI_TABANI!D24*B773))*VERI_TABANI!$B$8) + IF(ABS(IF(ISNUMBER(SEARCH("Var", D773)), 1, IF(ISNUMBER(SEARCH("Gri", D773)), -1, 0)))=1, VERI_TABANI!E24*(1-0.928)*VERI_TABANI!$B$9, 0) + (VERI_TABANI!D24*B773*(VERI_TABANI!$B$13-VERI_TABANI!$B$14)*VERI_TABANI!G24) + (VERI_TABANI!D24*C773*(VERI_TABANI!$B$13-VERI_TABANI!$B$15)*VERI_TABANI!G24) + IF(ABS(IF(ISNUMBER(SEARCH("Var", D773)), 1, IF(ISNUMBER(SEARCH("Gri", D773)), -1, 0)))=1, VERI_TABANI!E24*(1-0.928)*0.00206091519919798*VERI_TABANI!G24, 0)) + ((MIN(VERI_TABANI!D25, VERI_TABANI!D25*B773)*VERI_TABANI!$B$7 + MAX(0, VERI_TABANI!D25*B773-VERI_TABANI!D25)*VERI_TABANI!$B$8) + (MIN(MAX(0, VERI_TABANI!D25-VERI_TABANI!D25*B773), VERI_TABANI!D25*C773)*VERI_TABANI!$B$7 + MAX(0, VERI_TABANI!D25*C773-MAX(0, VERI_TABANI!D25-VERI_TABANI!D25*B773))*VERI_TABANI!$B$8) + IF(ABS(IF(ISNUMBER(SEARCH("Var", D773)), 1, IF(ISNUMBER(SEARCH("Gri", D773)), -1, 0)))=1, VERI_TABANI!E25*(1-0.928)*VERI_TABANI!$B$9, 0) + (VERI_TABANI!D25*B773*(VERI_TABANI!$B$13-VERI_TABANI!$B$14)*VERI_TABANI!G25) + (VERI_TABANI!D25*C773*(VERI_TABANI!$B$13-VERI_TABANI!$B$15)*VERI_TABANI!G25) + IF(ABS(IF(ISNUMBER(SEARCH("Var", D773)), 1, IF(ISNUMBER(SEARCH("Gri", D773)), -1, 0)))=1, VERI_TABANI!E25*(1-0.928)*0.00206091519919798*VERI_TABANI!G25, 0)) + ((MIN(VERI_TABANI!D26, VERI_TABANI!D26*B773)*VERI_TABANI!$B$7 + MAX(0, VERI_TABANI!D26*B773-VERI_TABANI!D26)*VERI_TABANI!$B$8) + (MIN(MAX(0, VERI_TABANI!D26-VERI_TABANI!D26*B773), VERI_TABANI!D26*C773)*VERI_TABANI!$B$7 + MAX(0, VERI_TABANI!D26*C773-MAX(0, VERI_TABANI!D26-VERI_TABANI!D26*B773))*VERI_TABANI!$B$8) + IF(ABS(IF(ISNUMBER(SEARCH("Var", D773)), 1, IF(ISNUMBER(SEARCH("Gri", D773)), -1, 0)))=1, VERI_TABANI!E26*(1-0.928)*VERI_TABANI!$B$9, 0) + (VERI_TABANI!D26*B773*(VERI_TABANI!$B$13-VERI_TABANI!$B$14)*VERI_TABANI!G26) + (VERI_TABANI!D26*C773*(VERI_TABANI!$B$13-VERI_TABANI!$B$15)*VERI_TABANI!G26) + IF(ABS(IF(ISNUMBER(SEARCH("Var", D773)), 1, IF(ISNUMBER(SEARCH("Gri", D773)), -1, 0)))=1, VERI_TABANI!E26*(1-0.928)*0.00206091519919798*VERI_TABANI!G26, 0)) + ((MIN(VERI_TABANI!D27, VERI_TABANI!D27*B773)*VERI_TABANI!$B$7 + MAX(0, VERI_TABANI!D27*B773-VERI_TABANI!D27)*VERI_TABANI!$B$8) + (MIN(MAX(0, VERI_TABANI!D27-VERI_TABANI!D27*B773), VERI_TABANI!D27*C773)*VERI_TABANI!$B$7 + MAX(0, VERI_TABANI!D27*C773-MAX(0, VERI_TABANI!D27-VERI_TABANI!D27*B773))*VERI_TABANI!$B$8) + IF(ABS(IF(ISNUMBER(SEARCH("Var", D773)), 1, IF(ISNUMBER(SEARCH("Gri", D773)), -1, 0)))=1, VERI_TABANI!E27*(1-0.928)*VERI_TABANI!$B$9, 0) + (VERI_TABANI!D27*B773*(VERI_TABANI!$B$13-VERI_TABANI!$B$14)*VERI_TABANI!G27) + (VERI_TABANI!D27*C773*(VERI_TABANI!$B$13-VERI_TABANI!$B$15)*VERI_TABANI!G27) + IF(ABS(IF(ISNUMBER(SEARCH("Var", D773)), 1, IF(ISNUMBER(SEARCH("Gri", D773)), -1, 0)))=1, VERI_TABANI!E27*(1-0.928)*0.00206091519919798*VERI_TABANI!G27, 0)) + ((MIN(VERI_TABANI!D28, VERI_TABANI!D28*B773)*VERI_TABANI!$B$7 + MAX(0, VERI_TABANI!D28*B773-VERI_TABANI!D28)*VERI_TABANI!$B$8) + (MIN(MAX(0, VERI_TABANI!D28-VERI_TABANI!D28*B773), VERI_TABANI!D28*C773)*VERI_TABANI!$B$7 + MAX(0, VERI_TABANI!D28*C773-MAX(0, VERI_TABANI!D28-VERI_TABANI!D28*B773))*VERI_TABANI!$B$8) + IF(ABS(IF(ISNUMBER(SEARCH("Var", D773)), 1, IF(ISNUMBER(SEARCH("Gri", D773)), -1, 0)))=1, VERI_TABANI!E28*(1-0.928)*VERI_TABANI!$B$9, 0) + (VERI_TABANI!D28*B773*(VERI_TABANI!$B$13-VERI_TABANI!$B$14)*VERI_TABANI!G28) + (VERI_TABANI!D28*C773*(VERI_TABANI!$B$13-VERI_TABANI!$B$15)*VERI_TABANI!G28) + IF(ABS(IF(ISNUMBER(SEARCH("Var", D773)), 1, IF(ISNUMBER(SEARCH("Gri", D773)), -1, 0)))=1, VERI_TABANI!E28*(1-0.928)*0.00206091519919798*VERI_TABANI!G28, 0)))</f>
        <v/>
      </c>
      <c r="H773" s="169">
        <f>(((VERI_TABANI!D23*B773*(VERI_TABANI!$B$13-VERI_TABANI!$B$14)) + (VERI_TABANI!D23*C773*(VERI_TABANI!$B$13-VERI_TABANI!$B$15)) + IF(ISNUMBER(SEARCH("Var", D773)), VERI_TABANI!F23*(0.00202-VERI_TABANI!$B$16), IF(ISNUMBER(SEARCH("Gri", D773)), VERI_TABANI!F23*(0.00202-VERI_TABANI!$B$17), 0))) + ((VERI_TABANI!D24*B773*(VERI_TABANI!$B$13-VERI_TABANI!$B$14)) + (VERI_TABANI!D24*C773*(VERI_TABANI!$B$13-VERI_TABANI!$B$15)) + IF(ISNUMBER(SEARCH("Var", D773)), VERI_TABANI!F24*(0.00202-VERI_TABANI!$B$16), IF(ISNUMBER(SEARCH("Gri", D773)), VERI_TABANI!F24*(0.00202-VERI_TABANI!$B$17), 0))) + ((VERI_TABANI!D25*B773*(VERI_TABANI!$B$13-VERI_TABANI!$B$14)) + (VERI_TABANI!D25*C773*(VERI_TABANI!$B$13-VERI_TABANI!$B$15)) + IF(ISNUMBER(SEARCH("Var", D773)), VERI_TABANI!F25*(0.00202-VERI_TABANI!$B$16), IF(ISNUMBER(SEARCH("Gri", D773)), VERI_TABANI!F25*(0.00202-VERI_TABANI!$B$17), 0))) + ((VERI_TABANI!D26*B773*(VERI_TABANI!$B$13-VERI_TABANI!$B$14)) + (VERI_TABANI!D26*C773*(VERI_TABANI!$B$13-VERI_TABANI!$B$15)) + IF(ISNUMBER(SEARCH("Var", D773)), VERI_TABANI!F26*(0.00202-VERI_TABANI!$B$16), IF(ISNUMBER(SEARCH("Gri", D773)), VERI_TABANI!F26*(0.00202-VERI_TABANI!$B$17), 0))) + ((VERI_TABANI!D27*B773*(VERI_TABANI!$B$13-VERI_TABANI!$B$14)) + (VERI_TABANI!D27*C773*(VERI_TABANI!$B$13-VERI_TABANI!$B$15)) + IF(ISNUMBER(SEARCH("Var", D773)), VERI_TABANI!F27*(0.00202-VERI_TABANI!$B$16), IF(ISNUMBER(SEARCH("Gri", D773)), VERI_TABANI!F27*(0.00202-VERI_TABANI!$B$17), 0))) + ((VERI_TABANI!D28*B773*(VERI_TABANI!$B$13-VERI_TABANI!$B$14)) + (VERI_TABANI!D28*C773*(VERI_TABANI!$B$13-VERI_TABANI!$B$15)) + IF(ISNUMBER(SEARCH("Var", D773)), VERI_TABANI!F28*(0.00202-VERI_TABANI!$B$16), IF(ISNUMBER(SEARCH("Gri", D773)), VERI_TABANI!F28*(0.00202-VERI_TABANI!$B$17), 0))))</f>
        <v/>
      </c>
      <c r="I773" s="170">
        <f>IFERROR(((VERI_TABANI!$D$29*B773*VERI_TABANI!$B$14 + VERI_TABANI!$D$29*C773*VERI_TABANI!$B$15 + IF(ISNUMBER(SEARCH("Var", D773)), VERI_TABANI!$F$29*VERI_TABANI!$B$16, 0))) / (((VERI_TABANI!$D$29*B773 + VERI_TABANI!$D$29*C773)*VERI_TABANI!$B$13 + IF(ISNUMBER(SEARCH("Var", D773)), VERI_TABANI!$E$29*(1-0.928)*VERI_TABANI!$B$18, 0))), 0)</f>
        <v/>
      </c>
      <c r="J773" s="171">
        <f>IFERROR(F773/(G773/29), 0)</f>
        <v/>
      </c>
      <c r="K773" s="172">
        <f>IF(F773&gt;0, H773/F773, 0)</f>
        <v/>
      </c>
      <c r="L773" s="170">
        <f>IF(F773&gt;0, I773, 1000000000)</f>
        <v/>
      </c>
      <c r="M773" s="171">
        <f>ABS((B773+C773)-1)</f>
        <v/>
      </c>
      <c r="N773" s="170">
        <f>IF(F773&gt;0, (G773/29)/F773, 0)</f>
        <v/>
      </c>
      <c r="O773" s="168">
        <f>IF(AND((B773+C773)&gt;=1, ISNUMBER(SEARCH("Var", D773))), F773, 1000000000)</f>
        <v/>
      </c>
      <c r="P773" s="172">
        <f>IF(F773&gt;0, SQRT((F773/MAX(F$5:F$886))^2 + (1 - H773/MAX(H$5:H$886))^2 + (J773/MAX(J$5:J$886))^2), 1000000000)</f>
        <v/>
      </c>
      <c r="Q773" s="166">
        <f>IF(AND(ABS(B773-0.5)&lt;0.01, ABS(C773-0.5)&lt;0.01, ISNUMBER(SEARCH("Var", D773))), 1, 0)</f>
        <v/>
      </c>
      <c r="R773" s="171">
        <f>IF(F773&gt;0, J773, 1000000000)</f>
        <v/>
      </c>
      <c r="S773" s="101">
        <f>IF(AND(F773&lt;=DASHBOARD!$B$11, H773&gt;=DASHBOARD!$B$13), G773, -1000000000000)</f>
        <v/>
      </c>
      <c r="T773" s="101">
        <f>IF(AND(F773&lt;=DASHBOARD!$B$11, H773&gt;=DASHBOARD!$B$13), R773, 1000000000000)</f>
        <v/>
      </c>
      <c r="U773" s="101">
        <f>IF(AND(F773&lt;=DASHBOARD!$B$11, H773&gt;=DASHBOARD!$B$13), N773, -1000000000000)</f>
        <v/>
      </c>
      <c r="V773" s="101">
        <f>IF(AND(F773&lt;=DASHBOARD!$B$11, H773&gt;=DASHBOARD!$B$13), H773, -1000000000000)</f>
        <v/>
      </c>
      <c r="W773" s="101">
        <f>IF(AND(F773&lt;=DASHBOARD!$B$11, H773&gt;=DASHBOARD!$B$13), K773, -1000000000000)</f>
        <v/>
      </c>
      <c r="X773" s="101">
        <f>IF(AND(F773&lt;=DASHBOARD!$B$11, H773&gt;=DASHBOARD!$B$13), M773, 1000000000000)</f>
        <v/>
      </c>
      <c r="Y773" s="101">
        <f>IF(AND(F773&lt;=DASHBOARD!$B$10, H773&gt;=DASHBOARD!$B$11), L773, 1000000000000)</f>
        <v/>
      </c>
      <c r="Z773" s="101">
        <f>IF(AND(F773&lt;=DASHBOARD!$B$10, H773&gt;=DASHBOARD!$B$11), O773, 1000000000000)</f>
        <v/>
      </c>
      <c r="AA773" s="101">
        <f>IF(AND(F773&lt;=DASHBOARD!$B$10, H773&gt;=DASHBOARD!$B$11), P773, 1000000000000)</f>
        <v/>
      </c>
      <c r="AB773" s="101">
        <f>IF(AND(F773&lt;=DASHBOARD!$B$10, H773&gt;=DASHBOARD!$B$11), Q773, -1000000000000)</f>
        <v/>
      </c>
    </row>
    <row r="774" ht="15" customHeight="1" s="102">
      <c r="A774" s="166" t="n">
        <v>770</v>
      </c>
      <c r="B774" s="167" t="n">
        <v>1.8</v>
      </c>
      <c r="C774" s="167" t="n">
        <v>0.6</v>
      </c>
      <c r="D774" s="110" t="inlineStr">
        <is>
          <t>Var (%20)</t>
        </is>
      </c>
      <c r="E774" s="110">
        <f>IF((B774+C774)&lt;=1, "Tam Mahsuplaşma (≤%100)", "Kısmi Satış (&gt;%100)")</f>
        <v/>
      </c>
      <c r="F774" s="168">
        <f>((VERI_TABANI!$D$29*B774/VERI_TABANI!$B$29)/VERI_TABANI!$B$3)*VERI_TABANI!$B$5 + ((VERI_TABANI!$D$29*C774/VERI_TABANI!$B$29)/VERI_TABANI!$B$4)*VERI_TABANI!$B$6 + IF(ISNUMBER(SEARCH("Var", D774)), (VERI_TABANI!$F$29/VERI_TABANI!$B$29)*(VERI_TABANI!$B$10+VERI_TABANI!$B$12), 0)</f>
        <v/>
      </c>
      <c r="G774" s="168">
        <f>(((MIN(VERI_TABANI!D23, VERI_TABANI!D23*B774)*VERI_TABANI!$B$7 + MAX(0, VERI_TABANI!D23*B774-VERI_TABANI!D23)*VERI_TABANI!$B$8) + (MIN(MAX(0, VERI_TABANI!D23-VERI_TABANI!D23*B774), VERI_TABANI!D23*C774)*VERI_TABANI!$B$7 + MAX(0, VERI_TABANI!D23*C774-MAX(0, VERI_TABANI!D23-VERI_TABANI!D23*B774))*VERI_TABANI!$B$8) + IF(ABS(IF(ISNUMBER(SEARCH("Var", D774)), 1, IF(ISNUMBER(SEARCH("Gri", D774)), -1, 0)))=1, VERI_TABANI!E23*(1-0.928)*VERI_TABANI!$B$9, 0) + (VERI_TABANI!D23*B774*(VERI_TABANI!$B$13-VERI_TABANI!$B$14)*VERI_TABANI!G23) + (VERI_TABANI!D23*C774*(VERI_TABANI!$B$13-VERI_TABANI!$B$15)*VERI_TABANI!G23) + IF(ABS(IF(ISNUMBER(SEARCH("Var", D774)), 1, IF(ISNUMBER(SEARCH("Gri", D774)), -1, 0)))=1, VERI_TABANI!E23*(1-0.928)*0.00206091519919798*VERI_TABANI!G23, 0)) + ((MIN(VERI_TABANI!D24, VERI_TABANI!D24*B774)*VERI_TABANI!$B$7 + MAX(0, VERI_TABANI!D24*B774-VERI_TABANI!D24)*VERI_TABANI!$B$8) + (MIN(MAX(0, VERI_TABANI!D24-VERI_TABANI!D24*B774), VERI_TABANI!D24*C774)*VERI_TABANI!$B$7 + MAX(0, VERI_TABANI!D24*C774-MAX(0, VERI_TABANI!D24-VERI_TABANI!D24*B774))*VERI_TABANI!$B$8) + IF(ABS(IF(ISNUMBER(SEARCH("Var", D774)), 1, IF(ISNUMBER(SEARCH("Gri", D774)), -1, 0)))=1, VERI_TABANI!E24*(1-0.928)*VERI_TABANI!$B$9, 0) + (VERI_TABANI!D24*B774*(VERI_TABANI!$B$13-VERI_TABANI!$B$14)*VERI_TABANI!G24) + (VERI_TABANI!D24*C774*(VERI_TABANI!$B$13-VERI_TABANI!$B$15)*VERI_TABANI!G24) + IF(ABS(IF(ISNUMBER(SEARCH("Var", D774)), 1, IF(ISNUMBER(SEARCH("Gri", D774)), -1, 0)))=1, VERI_TABANI!E24*(1-0.928)*0.00206091519919798*VERI_TABANI!G24, 0)) + ((MIN(VERI_TABANI!D25, VERI_TABANI!D25*B774)*VERI_TABANI!$B$7 + MAX(0, VERI_TABANI!D25*B774-VERI_TABANI!D25)*VERI_TABANI!$B$8) + (MIN(MAX(0, VERI_TABANI!D25-VERI_TABANI!D25*B774), VERI_TABANI!D25*C774)*VERI_TABANI!$B$7 + MAX(0, VERI_TABANI!D25*C774-MAX(0, VERI_TABANI!D25-VERI_TABANI!D25*B774))*VERI_TABANI!$B$8) + IF(ABS(IF(ISNUMBER(SEARCH("Var", D774)), 1, IF(ISNUMBER(SEARCH("Gri", D774)), -1, 0)))=1, VERI_TABANI!E25*(1-0.928)*VERI_TABANI!$B$9, 0) + (VERI_TABANI!D25*B774*(VERI_TABANI!$B$13-VERI_TABANI!$B$14)*VERI_TABANI!G25) + (VERI_TABANI!D25*C774*(VERI_TABANI!$B$13-VERI_TABANI!$B$15)*VERI_TABANI!G25) + IF(ABS(IF(ISNUMBER(SEARCH("Var", D774)), 1, IF(ISNUMBER(SEARCH("Gri", D774)), -1, 0)))=1, VERI_TABANI!E25*(1-0.928)*0.00206091519919798*VERI_TABANI!G25, 0)) + ((MIN(VERI_TABANI!D26, VERI_TABANI!D26*B774)*VERI_TABANI!$B$7 + MAX(0, VERI_TABANI!D26*B774-VERI_TABANI!D26)*VERI_TABANI!$B$8) + (MIN(MAX(0, VERI_TABANI!D26-VERI_TABANI!D26*B774), VERI_TABANI!D26*C774)*VERI_TABANI!$B$7 + MAX(0, VERI_TABANI!D26*C774-MAX(0, VERI_TABANI!D26-VERI_TABANI!D26*B774))*VERI_TABANI!$B$8) + IF(ABS(IF(ISNUMBER(SEARCH("Var", D774)), 1, IF(ISNUMBER(SEARCH("Gri", D774)), -1, 0)))=1, VERI_TABANI!E26*(1-0.928)*VERI_TABANI!$B$9, 0) + (VERI_TABANI!D26*B774*(VERI_TABANI!$B$13-VERI_TABANI!$B$14)*VERI_TABANI!G26) + (VERI_TABANI!D26*C774*(VERI_TABANI!$B$13-VERI_TABANI!$B$15)*VERI_TABANI!G26) + IF(ABS(IF(ISNUMBER(SEARCH("Var", D774)), 1, IF(ISNUMBER(SEARCH("Gri", D774)), -1, 0)))=1, VERI_TABANI!E26*(1-0.928)*0.00206091519919798*VERI_TABANI!G26, 0)) + ((MIN(VERI_TABANI!D27, VERI_TABANI!D27*B774)*VERI_TABANI!$B$7 + MAX(0, VERI_TABANI!D27*B774-VERI_TABANI!D27)*VERI_TABANI!$B$8) + (MIN(MAX(0, VERI_TABANI!D27-VERI_TABANI!D27*B774), VERI_TABANI!D27*C774)*VERI_TABANI!$B$7 + MAX(0, VERI_TABANI!D27*C774-MAX(0, VERI_TABANI!D27-VERI_TABANI!D27*B774))*VERI_TABANI!$B$8) + IF(ABS(IF(ISNUMBER(SEARCH("Var", D774)), 1, IF(ISNUMBER(SEARCH("Gri", D774)), -1, 0)))=1, VERI_TABANI!E27*(1-0.928)*VERI_TABANI!$B$9, 0) + (VERI_TABANI!D27*B774*(VERI_TABANI!$B$13-VERI_TABANI!$B$14)*VERI_TABANI!G27) + (VERI_TABANI!D27*C774*(VERI_TABANI!$B$13-VERI_TABANI!$B$15)*VERI_TABANI!G27) + IF(ABS(IF(ISNUMBER(SEARCH("Var", D774)), 1, IF(ISNUMBER(SEARCH("Gri", D774)), -1, 0)))=1, VERI_TABANI!E27*(1-0.928)*0.00206091519919798*VERI_TABANI!G27, 0)) + ((MIN(VERI_TABANI!D28, VERI_TABANI!D28*B774)*VERI_TABANI!$B$7 + MAX(0, VERI_TABANI!D28*B774-VERI_TABANI!D28)*VERI_TABANI!$B$8) + (MIN(MAX(0, VERI_TABANI!D28-VERI_TABANI!D28*B774), VERI_TABANI!D28*C774)*VERI_TABANI!$B$7 + MAX(0, VERI_TABANI!D28*C774-MAX(0, VERI_TABANI!D28-VERI_TABANI!D28*B774))*VERI_TABANI!$B$8) + IF(ABS(IF(ISNUMBER(SEARCH("Var", D774)), 1, IF(ISNUMBER(SEARCH("Gri", D774)), -1, 0)))=1, VERI_TABANI!E28*(1-0.928)*VERI_TABANI!$B$9, 0) + (VERI_TABANI!D28*B774*(VERI_TABANI!$B$13-VERI_TABANI!$B$14)*VERI_TABANI!G28) + (VERI_TABANI!D28*C774*(VERI_TABANI!$B$13-VERI_TABANI!$B$15)*VERI_TABANI!G28) + IF(ABS(IF(ISNUMBER(SEARCH("Var", D774)), 1, IF(ISNUMBER(SEARCH("Gri", D774)), -1, 0)))=1, VERI_TABANI!E28*(1-0.928)*0.00206091519919798*VERI_TABANI!G28, 0)))</f>
        <v/>
      </c>
      <c r="H774" s="169">
        <f>(((VERI_TABANI!D23*B774*(VERI_TABANI!$B$13-VERI_TABANI!$B$14)) + (VERI_TABANI!D23*C774*(VERI_TABANI!$B$13-VERI_TABANI!$B$15)) + IF(ISNUMBER(SEARCH("Var", D774)), VERI_TABANI!F23*(0.00202-VERI_TABANI!$B$16), IF(ISNUMBER(SEARCH("Gri", D774)), VERI_TABANI!F23*(0.00202-VERI_TABANI!$B$17), 0))) + ((VERI_TABANI!D24*B774*(VERI_TABANI!$B$13-VERI_TABANI!$B$14)) + (VERI_TABANI!D24*C774*(VERI_TABANI!$B$13-VERI_TABANI!$B$15)) + IF(ISNUMBER(SEARCH("Var", D774)), VERI_TABANI!F24*(0.00202-VERI_TABANI!$B$16), IF(ISNUMBER(SEARCH("Gri", D774)), VERI_TABANI!F24*(0.00202-VERI_TABANI!$B$17), 0))) + ((VERI_TABANI!D25*B774*(VERI_TABANI!$B$13-VERI_TABANI!$B$14)) + (VERI_TABANI!D25*C774*(VERI_TABANI!$B$13-VERI_TABANI!$B$15)) + IF(ISNUMBER(SEARCH("Var", D774)), VERI_TABANI!F25*(0.00202-VERI_TABANI!$B$16), IF(ISNUMBER(SEARCH("Gri", D774)), VERI_TABANI!F25*(0.00202-VERI_TABANI!$B$17), 0))) + ((VERI_TABANI!D26*B774*(VERI_TABANI!$B$13-VERI_TABANI!$B$14)) + (VERI_TABANI!D26*C774*(VERI_TABANI!$B$13-VERI_TABANI!$B$15)) + IF(ISNUMBER(SEARCH("Var", D774)), VERI_TABANI!F26*(0.00202-VERI_TABANI!$B$16), IF(ISNUMBER(SEARCH("Gri", D774)), VERI_TABANI!F26*(0.00202-VERI_TABANI!$B$17), 0))) + ((VERI_TABANI!D27*B774*(VERI_TABANI!$B$13-VERI_TABANI!$B$14)) + (VERI_TABANI!D27*C774*(VERI_TABANI!$B$13-VERI_TABANI!$B$15)) + IF(ISNUMBER(SEARCH("Var", D774)), VERI_TABANI!F27*(0.00202-VERI_TABANI!$B$16), IF(ISNUMBER(SEARCH("Gri", D774)), VERI_TABANI!F27*(0.00202-VERI_TABANI!$B$17), 0))) + ((VERI_TABANI!D28*B774*(VERI_TABANI!$B$13-VERI_TABANI!$B$14)) + (VERI_TABANI!D28*C774*(VERI_TABANI!$B$13-VERI_TABANI!$B$15)) + IF(ISNUMBER(SEARCH("Var", D774)), VERI_TABANI!F28*(0.00202-VERI_TABANI!$B$16), IF(ISNUMBER(SEARCH("Gri", D774)), VERI_TABANI!F28*(0.00202-VERI_TABANI!$B$17), 0))))</f>
        <v/>
      </c>
      <c r="I774" s="170">
        <f>IFERROR(((VERI_TABANI!$D$29*B774*VERI_TABANI!$B$14 + VERI_TABANI!$D$29*C774*VERI_TABANI!$B$15 + IF(ISNUMBER(SEARCH("Var", D774)), VERI_TABANI!$F$29*VERI_TABANI!$B$16, 0))) / (((VERI_TABANI!$D$29*B774 + VERI_TABANI!$D$29*C774)*VERI_TABANI!$B$13 + IF(ISNUMBER(SEARCH("Var", D774)), VERI_TABANI!$E$29*(1-0.928)*VERI_TABANI!$B$18, 0))), 0)</f>
        <v/>
      </c>
      <c r="J774" s="171">
        <f>IFERROR(F774/(G774/29), 0)</f>
        <v/>
      </c>
      <c r="K774" s="172">
        <f>IF(F774&gt;0, H774/F774, 0)</f>
        <v/>
      </c>
      <c r="L774" s="170">
        <f>IF(F774&gt;0, I774, 1000000000)</f>
        <v/>
      </c>
      <c r="M774" s="171">
        <f>ABS((B774+C774)-1)</f>
        <v/>
      </c>
      <c r="N774" s="170">
        <f>IF(F774&gt;0, (G774/29)/F774, 0)</f>
        <v/>
      </c>
      <c r="O774" s="168">
        <f>IF(AND((B774+C774)&gt;=1, ISNUMBER(SEARCH("Var", D774))), F774, 1000000000)</f>
        <v/>
      </c>
      <c r="P774" s="172">
        <f>IF(F774&gt;0, SQRT((F774/MAX(F$5:F$886))^2 + (1 - H774/MAX(H$5:H$886))^2 + (J774/MAX(J$5:J$886))^2), 1000000000)</f>
        <v/>
      </c>
      <c r="Q774" s="166">
        <f>IF(AND(ABS(B774-0.5)&lt;0.01, ABS(C774-0.5)&lt;0.01, ISNUMBER(SEARCH("Var", D774))), 1, 0)</f>
        <v/>
      </c>
      <c r="R774" s="171">
        <f>IF(F774&gt;0, J774, 1000000000)</f>
        <v/>
      </c>
      <c r="S774" s="101">
        <f>IF(AND(F774&lt;=DASHBOARD!$B$11, H774&gt;=DASHBOARD!$B$13), G774, -1000000000000)</f>
        <v/>
      </c>
      <c r="T774" s="101">
        <f>IF(AND(F774&lt;=DASHBOARD!$B$11, H774&gt;=DASHBOARD!$B$13), R774, 1000000000000)</f>
        <v/>
      </c>
      <c r="U774" s="101">
        <f>IF(AND(F774&lt;=DASHBOARD!$B$11, H774&gt;=DASHBOARD!$B$13), N774, -1000000000000)</f>
        <v/>
      </c>
      <c r="V774" s="101">
        <f>IF(AND(F774&lt;=DASHBOARD!$B$11, H774&gt;=DASHBOARD!$B$13), H774, -1000000000000)</f>
        <v/>
      </c>
      <c r="W774" s="101">
        <f>IF(AND(F774&lt;=DASHBOARD!$B$11, H774&gt;=DASHBOARD!$B$13), K774, -1000000000000)</f>
        <v/>
      </c>
      <c r="X774" s="101">
        <f>IF(AND(F774&lt;=DASHBOARD!$B$11, H774&gt;=DASHBOARD!$B$13), M774, 1000000000000)</f>
        <v/>
      </c>
      <c r="Y774" s="101">
        <f>IF(AND(F774&lt;=DASHBOARD!$B$10, H774&gt;=DASHBOARD!$B$11), L774, 1000000000000)</f>
        <v/>
      </c>
      <c r="Z774" s="101">
        <f>IF(AND(F774&lt;=DASHBOARD!$B$10, H774&gt;=DASHBOARD!$B$11), O774, 1000000000000)</f>
        <v/>
      </c>
      <c r="AA774" s="101">
        <f>IF(AND(F774&lt;=DASHBOARD!$B$10, H774&gt;=DASHBOARD!$B$11), P774, 1000000000000)</f>
        <v/>
      </c>
      <c r="AB774" s="101">
        <f>IF(AND(F774&lt;=DASHBOARD!$B$10, H774&gt;=DASHBOARD!$B$11), Q774, -1000000000000)</f>
        <v/>
      </c>
    </row>
    <row r="775" ht="15" customHeight="1" s="102">
      <c r="A775" s="166" t="n">
        <v>771</v>
      </c>
      <c r="B775" s="167" t="n">
        <v>1.8</v>
      </c>
      <c r="C775" s="167" t="n">
        <v>0.7</v>
      </c>
      <c r="D775" s="110" t="inlineStr">
        <is>
          <t>Yok (%0)</t>
        </is>
      </c>
      <c r="E775" s="110">
        <f>IF((B775+C775)&lt;=1, "Tam Mahsuplaşma (≤%100)", "Kısmi Satış (&gt;%100)")</f>
        <v/>
      </c>
      <c r="F775" s="168">
        <f>((VERI_TABANI!$D$29*B775/VERI_TABANI!$B$29)/VERI_TABANI!$B$3)*VERI_TABANI!$B$5 + ((VERI_TABANI!$D$29*C775/VERI_TABANI!$B$29)/VERI_TABANI!$B$4)*VERI_TABANI!$B$6 + IF(ISNUMBER(SEARCH("Var", D775)), (VERI_TABANI!$F$29/VERI_TABANI!$B$29)*(VERI_TABANI!$B$10+VERI_TABANI!$B$12), 0)</f>
        <v/>
      </c>
      <c r="G775" s="168">
        <f>(((MIN(VERI_TABANI!D23, VERI_TABANI!D23*B775)*VERI_TABANI!$B$7 + MAX(0, VERI_TABANI!D23*B775-VERI_TABANI!D23)*VERI_TABANI!$B$8) + (MIN(MAX(0, VERI_TABANI!D23-VERI_TABANI!D23*B775), VERI_TABANI!D23*C775)*VERI_TABANI!$B$7 + MAX(0, VERI_TABANI!D23*C775-MAX(0, VERI_TABANI!D23-VERI_TABANI!D23*B775))*VERI_TABANI!$B$8) + IF(ABS(IF(ISNUMBER(SEARCH("Var", D775)), 1, IF(ISNUMBER(SEARCH("Gri", D775)), -1, 0)))=1, VERI_TABANI!E23*(1-0.928)*VERI_TABANI!$B$9, 0) + (VERI_TABANI!D23*B775*(VERI_TABANI!$B$13-VERI_TABANI!$B$14)*VERI_TABANI!G23) + (VERI_TABANI!D23*C775*(VERI_TABANI!$B$13-VERI_TABANI!$B$15)*VERI_TABANI!G23) + IF(ABS(IF(ISNUMBER(SEARCH("Var", D775)), 1, IF(ISNUMBER(SEARCH("Gri", D775)), -1, 0)))=1, VERI_TABANI!E23*(1-0.928)*0.00206091519919798*VERI_TABANI!G23, 0)) + ((MIN(VERI_TABANI!D24, VERI_TABANI!D24*B775)*VERI_TABANI!$B$7 + MAX(0, VERI_TABANI!D24*B775-VERI_TABANI!D24)*VERI_TABANI!$B$8) + (MIN(MAX(0, VERI_TABANI!D24-VERI_TABANI!D24*B775), VERI_TABANI!D24*C775)*VERI_TABANI!$B$7 + MAX(0, VERI_TABANI!D24*C775-MAX(0, VERI_TABANI!D24-VERI_TABANI!D24*B775))*VERI_TABANI!$B$8) + IF(ABS(IF(ISNUMBER(SEARCH("Var", D775)), 1, IF(ISNUMBER(SEARCH("Gri", D775)), -1, 0)))=1, VERI_TABANI!E24*(1-0.928)*VERI_TABANI!$B$9, 0) + (VERI_TABANI!D24*B775*(VERI_TABANI!$B$13-VERI_TABANI!$B$14)*VERI_TABANI!G24) + (VERI_TABANI!D24*C775*(VERI_TABANI!$B$13-VERI_TABANI!$B$15)*VERI_TABANI!G24) + IF(ABS(IF(ISNUMBER(SEARCH("Var", D775)), 1, IF(ISNUMBER(SEARCH("Gri", D775)), -1, 0)))=1, VERI_TABANI!E24*(1-0.928)*0.00206091519919798*VERI_TABANI!G24, 0)) + ((MIN(VERI_TABANI!D25, VERI_TABANI!D25*B775)*VERI_TABANI!$B$7 + MAX(0, VERI_TABANI!D25*B775-VERI_TABANI!D25)*VERI_TABANI!$B$8) + (MIN(MAX(0, VERI_TABANI!D25-VERI_TABANI!D25*B775), VERI_TABANI!D25*C775)*VERI_TABANI!$B$7 + MAX(0, VERI_TABANI!D25*C775-MAX(0, VERI_TABANI!D25-VERI_TABANI!D25*B775))*VERI_TABANI!$B$8) + IF(ABS(IF(ISNUMBER(SEARCH("Var", D775)), 1, IF(ISNUMBER(SEARCH("Gri", D775)), -1, 0)))=1, VERI_TABANI!E25*(1-0.928)*VERI_TABANI!$B$9, 0) + (VERI_TABANI!D25*B775*(VERI_TABANI!$B$13-VERI_TABANI!$B$14)*VERI_TABANI!G25) + (VERI_TABANI!D25*C775*(VERI_TABANI!$B$13-VERI_TABANI!$B$15)*VERI_TABANI!G25) + IF(ABS(IF(ISNUMBER(SEARCH("Var", D775)), 1, IF(ISNUMBER(SEARCH("Gri", D775)), -1, 0)))=1, VERI_TABANI!E25*(1-0.928)*0.00206091519919798*VERI_TABANI!G25, 0)) + ((MIN(VERI_TABANI!D26, VERI_TABANI!D26*B775)*VERI_TABANI!$B$7 + MAX(0, VERI_TABANI!D26*B775-VERI_TABANI!D26)*VERI_TABANI!$B$8) + (MIN(MAX(0, VERI_TABANI!D26-VERI_TABANI!D26*B775), VERI_TABANI!D26*C775)*VERI_TABANI!$B$7 + MAX(0, VERI_TABANI!D26*C775-MAX(0, VERI_TABANI!D26-VERI_TABANI!D26*B775))*VERI_TABANI!$B$8) + IF(ABS(IF(ISNUMBER(SEARCH("Var", D775)), 1, IF(ISNUMBER(SEARCH("Gri", D775)), -1, 0)))=1, VERI_TABANI!E26*(1-0.928)*VERI_TABANI!$B$9, 0) + (VERI_TABANI!D26*B775*(VERI_TABANI!$B$13-VERI_TABANI!$B$14)*VERI_TABANI!G26) + (VERI_TABANI!D26*C775*(VERI_TABANI!$B$13-VERI_TABANI!$B$15)*VERI_TABANI!G26) + IF(ABS(IF(ISNUMBER(SEARCH("Var", D775)), 1, IF(ISNUMBER(SEARCH("Gri", D775)), -1, 0)))=1, VERI_TABANI!E26*(1-0.928)*0.00206091519919798*VERI_TABANI!G26, 0)) + ((MIN(VERI_TABANI!D27, VERI_TABANI!D27*B775)*VERI_TABANI!$B$7 + MAX(0, VERI_TABANI!D27*B775-VERI_TABANI!D27)*VERI_TABANI!$B$8) + (MIN(MAX(0, VERI_TABANI!D27-VERI_TABANI!D27*B775), VERI_TABANI!D27*C775)*VERI_TABANI!$B$7 + MAX(0, VERI_TABANI!D27*C775-MAX(0, VERI_TABANI!D27-VERI_TABANI!D27*B775))*VERI_TABANI!$B$8) + IF(ABS(IF(ISNUMBER(SEARCH("Var", D775)), 1, IF(ISNUMBER(SEARCH("Gri", D775)), -1, 0)))=1, VERI_TABANI!E27*(1-0.928)*VERI_TABANI!$B$9, 0) + (VERI_TABANI!D27*B775*(VERI_TABANI!$B$13-VERI_TABANI!$B$14)*VERI_TABANI!G27) + (VERI_TABANI!D27*C775*(VERI_TABANI!$B$13-VERI_TABANI!$B$15)*VERI_TABANI!G27) + IF(ABS(IF(ISNUMBER(SEARCH("Var", D775)), 1, IF(ISNUMBER(SEARCH("Gri", D775)), -1, 0)))=1, VERI_TABANI!E27*(1-0.928)*0.00206091519919798*VERI_TABANI!G27, 0)) + ((MIN(VERI_TABANI!D28, VERI_TABANI!D28*B775)*VERI_TABANI!$B$7 + MAX(0, VERI_TABANI!D28*B775-VERI_TABANI!D28)*VERI_TABANI!$B$8) + (MIN(MAX(0, VERI_TABANI!D28-VERI_TABANI!D28*B775), VERI_TABANI!D28*C775)*VERI_TABANI!$B$7 + MAX(0, VERI_TABANI!D28*C775-MAX(0, VERI_TABANI!D28-VERI_TABANI!D28*B775))*VERI_TABANI!$B$8) + IF(ABS(IF(ISNUMBER(SEARCH("Var", D775)), 1, IF(ISNUMBER(SEARCH("Gri", D775)), -1, 0)))=1, VERI_TABANI!E28*(1-0.928)*VERI_TABANI!$B$9, 0) + (VERI_TABANI!D28*B775*(VERI_TABANI!$B$13-VERI_TABANI!$B$14)*VERI_TABANI!G28) + (VERI_TABANI!D28*C775*(VERI_TABANI!$B$13-VERI_TABANI!$B$15)*VERI_TABANI!G28) + IF(ABS(IF(ISNUMBER(SEARCH("Var", D775)), 1, IF(ISNUMBER(SEARCH("Gri", D775)), -1, 0)))=1, VERI_TABANI!E28*(1-0.928)*0.00206091519919798*VERI_TABANI!G28, 0)))</f>
        <v/>
      </c>
      <c r="H775" s="169">
        <f>(((VERI_TABANI!D23*B775*(VERI_TABANI!$B$13-VERI_TABANI!$B$14)) + (VERI_TABANI!D23*C775*(VERI_TABANI!$B$13-VERI_TABANI!$B$15)) + IF(ISNUMBER(SEARCH("Var", D775)), VERI_TABANI!F23*(0.00202-VERI_TABANI!$B$16), IF(ISNUMBER(SEARCH("Gri", D775)), VERI_TABANI!F23*(0.00202-VERI_TABANI!$B$17), 0))) + ((VERI_TABANI!D24*B775*(VERI_TABANI!$B$13-VERI_TABANI!$B$14)) + (VERI_TABANI!D24*C775*(VERI_TABANI!$B$13-VERI_TABANI!$B$15)) + IF(ISNUMBER(SEARCH("Var", D775)), VERI_TABANI!F24*(0.00202-VERI_TABANI!$B$16), IF(ISNUMBER(SEARCH("Gri", D775)), VERI_TABANI!F24*(0.00202-VERI_TABANI!$B$17), 0))) + ((VERI_TABANI!D25*B775*(VERI_TABANI!$B$13-VERI_TABANI!$B$14)) + (VERI_TABANI!D25*C775*(VERI_TABANI!$B$13-VERI_TABANI!$B$15)) + IF(ISNUMBER(SEARCH("Var", D775)), VERI_TABANI!F25*(0.00202-VERI_TABANI!$B$16), IF(ISNUMBER(SEARCH("Gri", D775)), VERI_TABANI!F25*(0.00202-VERI_TABANI!$B$17), 0))) + ((VERI_TABANI!D26*B775*(VERI_TABANI!$B$13-VERI_TABANI!$B$14)) + (VERI_TABANI!D26*C775*(VERI_TABANI!$B$13-VERI_TABANI!$B$15)) + IF(ISNUMBER(SEARCH("Var", D775)), VERI_TABANI!F26*(0.00202-VERI_TABANI!$B$16), IF(ISNUMBER(SEARCH("Gri", D775)), VERI_TABANI!F26*(0.00202-VERI_TABANI!$B$17), 0))) + ((VERI_TABANI!D27*B775*(VERI_TABANI!$B$13-VERI_TABANI!$B$14)) + (VERI_TABANI!D27*C775*(VERI_TABANI!$B$13-VERI_TABANI!$B$15)) + IF(ISNUMBER(SEARCH("Var", D775)), VERI_TABANI!F27*(0.00202-VERI_TABANI!$B$16), IF(ISNUMBER(SEARCH("Gri", D775)), VERI_TABANI!F27*(0.00202-VERI_TABANI!$B$17), 0))) + ((VERI_TABANI!D28*B775*(VERI_TABANI!$B$13-VERI_TABANI!$B$14)) + (VERI_TABANI!D28*C775*(VERI_TABANI!$B$13-VERI_TABANI!$B$15)) + IF(ISNUMBER(SEARCH("Var", D775)), VERI_TABANI!F28*(0.00202-VERI_TABANI!$B$16), IF(ISNUMBER(SEARCH("Gri", D775)), VERI_TABANI!F28*(0.00202-VERI_TABANI!$B$17), 0))))</f>
        <v/>
      </c>
      <c r="I775" s="170">
        <f>IFERROR(((VERI_TABANI!$D$29*B775*VERI_TABANI!$B$14 + VERI_TABANI!$D$29*C775*VERI_TABANI!$B$15 + IF(ISNUMBER(SEARCH("Var", D775)), VERI_TABANI!$F$29*VERI_TABANI!$B$16, 0))) / (((VERI_TABANI!$D$29*B775 + VERI_TABANI!$D$29*C775)*VERI_TABANI!$B$13 + IF(ISNUMBER(SEARCH("Var", D775)), VERI_TABANI!$E$29*(1-0.928)*VERI_TABANI!$B$18, 0))), 0)</f>
        <v/>
      </c>
      <c r="J775" s="171">
        <f>IFERROR(F775/(G775/29), 0)</f>
        <v/>
      </c>
      <c r="K775" s="172">
        <f>IF(F775&gt;0, H775/F775, 0)</f>
        <v/>
      </c>
      <c r="L775" s="170">
        <f>IF(F775&gt;0, I775, 1000000000)</f>
        <v/>
      </c>
      <c r="M775" s="171">
        <f>ABS((B775+C775)-1)</f>
        <v/>
      </c>
      <c r="N775" s="170">
        <f>IF(F775&gt;0, (G775/29)/F775, 0)</f>
        <v/>
      </c>
      <c r="O775" s="168">
        <f>IF(AND((B775+C775)&gt;=1, ISNUMBER(SEARCH("Var", D775))), F775, 1000000000)</f>
        <v/>
      </c>
      <c r="P775" s="172">
        <f>IF(F775&gt;0, SQRT((F775/MAX(F$5:F$886))^2 + (1 - H775/MAX(H$5:H$886))^2 + (J775/MAX(J$5:J$886))^2), 1000000000)</f>
        <v/>
      </c>
      <c r="Q775" s="166">
        <f>IF(AND(ABS(B775-0.5)&lt;0.01, ABS(C775-0.5)&lt;0.01, ISNUMBER(SEARCH("Var", D775))), 1, 0)</f>
        <v/>
      </c>
      <c r="R775" s="171">
        <f>IF(F775&gt;0, J775, 1000000000)</f>
        <v/>
      </c>
      <c r="S775" s="101">
        <f>IF(AND(F775&lt;=DASHBOARD!$B$11, H775&gt;=DASHBOARD!$B$13), G775, -1000000000000)</f>
        <v/>
      </c>
      <c r="T775" s="101">
        <f>IF(AND(F775&lt;=DASHBOARD!$B$11, H775&gt;=DASHBOARD!$B$13), R775, 1000000000000)</f>
        <v/>
      </c>
      <c r="U775" s="101">
        <f>IF(AND(F775&lt;=DASHBOARD!$B$11, H775&gt;=DASHBOARD!$B$13), N775, -1000000000000)</f>
        <v/>
      </c>
      <c r="V775" s="101">
        <f>IF(AND(F775&lt;=DASHBOARD!$B$11, H775&gt;=DASHBOARD!$B$13), H775, -1000000000000)</f>
        <v/>
      </c>
      <c r="W775" s="101">
        <f>IF(AND(F775&lt;=DASHBOARD!$B$11, H775&gt;=DASHBOARD!$B$13), K775, -1000000000000)</f>
        <v/>
      </c>
      <c r="X775" s="101">
        <f>IF(AND(F775&lt;=DASHBOARD!$B$11, H775&gt;=DASHBOARD!$B$13), M775, 1000000000000)</f>
        <v/>
      </c>
      <c r="Y775" s="101">
        <f>IF(AND(F775&lt;=DASHBOARD!$B$10, H775&gt;=DASHBOARD!$B$11), L775, 1000000000000)</f>
        <v/>
      </c>
      <c r="Z775" s="101">
        <f>IF(AND(F775&lt;=DASHBOARD!$B$10, H775&gt;=DASHBOARD!$B$11), O775, 1000000000000)</f>
        <v/>
      </c>
      <c r="AA775" s="101">
        <f>IF(AND(F775&lt;=DASHBOARD!$B$10, H775&gt;=DASHBOARD!$B$11), P775, 1000000000000)</f>
        <v/>
      </c>
      <c r="AB775" s="101">
        <f>IF(AND(F775&lt;=DASHBOARD!$B$10, H775&gt;=DASHBOARD!$B$11), Q775, -1000000000000)</f>
        <v/>
      </c>
    </row>
    <row r="776" ht="15" customHeight="1" s="102">
      <c r="A776" s="166" t="n">
        <v>772</v>
      </c>
      <c r="B776" s="167" t="n">
        <v>1.8</v>
      </c>
      <c r="C776" s="167" t="n">
        <v>0.7</v>
      </c>
      <c r="D776" s="110" t="inlineStr">
        <is>
          <t>Var (%20)</t>
        </is>
      </c>
      <c r="E776" s="110">
        <f>IF((B776+C776)&lt;=1, "Tam Mahsuplaşma (≤%100)", "Kısmi Satış (&gt;%100)")</f>
        <v/>
      </c>
      <c r="F776" s="168">
        <f>((VERI_TABANI!$D$29*B776/VERI_TABANI!$B$29)/VERI_TABANI!$B$3)*VERI_TABANI!$B$5 + ((VERI_TABANI!$D$29*C776/VERI_TABANI!$B$29)/VERI_TABANI!$B$4)*VERI_TABANI!$B$6 + IF(ISNUMBER(SEARCH("Var", D776)), (VERI_TABANI!$F$29/VERI_TABANI!$B$29)*(VERI_TABANI!$B$10+VERI_TABANI!$B$12), 0)</f>
        <v/>
      </c>
      <c r="G776" s="168">
        <f>(((MIN(VERI_TABANI!D23, VERI_TABANI!D23*B776)*VERI_TABANI!$B$7 + MAX(0, VERI_TABANI!D23*B776-VERI_TABANI!D23)*VERI_TABANI!$B$8) + (MIN(MAX(0, VERI_TABANI!D23-VERI_TABANI!D23*B776), VERI_TABANI!D23*C776)*VERI_TABANI!$B$7 + MAX(0, VERI_TABANI!D23*C776-MAX(0, VERI_TABANI!D23-VERI_TABANI!D23*B776))*VERI_TABANI!$B$8) + IF(ABS(IF(ISNUMBER(SEARCH("Var", D776)), 1, IF(ISNUMBER(SEARCH("Gri", D776)), -1, 0)))=1, VERI_TABANI!E23*(1-0.928)*VERI_TABANI!$B$9, 0) + (VERI_TABANI!D23*B776*(VERI_TABANI!$B$13-VERI_TABANI!$B$14)*VERI_TABANI!G23) + (VERI_TABANI!D23*C776*(VERI_TABANI!$B$13-VERI_TABANI!$B$15)*VERI_TABANI!G23) + IF(ABS(IF(ISNUMBER(SEARCH("Var", D776)), 1, IF(ISNUMBER(SEARCH("Gri", D776)), -1, 0)))=1, VERI_TABANI!E23*(1-0.928)*0.00206091519919798*VERI_TABANI!G23, 0)) + ((MIN(VERI_TABANI!D24, VERI_TABANI!D24*B776)*VERI_TABANI!$B$7 + MAX(0, VERI_TABANI!D24*B776-VERI_TABANI!D24)*VERI_TABANI!$B$8) + (MIN(MAX(0, VERI_TABANI!D24-VERI_TABANI!D24*B776), VERI_TABANI!D24*C776)*VERI_TABANI!$B$7 + MAX(0, VERI_TABANI!D24*C776-MAX(0, VERI_TABANI!D24-VERI_TABANI!D24*B776))*VERI_TABANI!$B$8) + IF(ABS(IF(ISNUMBER(SEARCH("Var", D776)), 1, IF(ISNUMBER(SEARCH("Gri", D776)), -1, 0)))=1, VERI_TABANI!E24*(1-0.928)*VERI_TABANI!$B$9, 0) + (VERI_TABANI!D24*B776*(VERI_TABANI!$B$13-VERI_TABANI!$B$14)*VERI_TABANI!G24) + (VERI_TABANI!D24*C776*(VERI_TABANI!$B$13-VERI_TABANI!$B$15)*VERI_TABANI!G24) + IF(ABS(IF(ISNUMBER(SEARCH("Var", D776)), 1, IF(ISNUMBER(SEARCH("Gri", D776)), -1, 0)))=1, VERI_TABANI!E24*(1-0.928)*0.00206091519919798*VERI_TABANI!G24, 0)) + ((MIN(VERI_TABANI!D25, VERI_TABANI!D25*B776)*VERI_TABANI!$B$7 + MAX(0, VERI_TABANI!D25*B776-VERI_TABANI!D25)*VERI_TABANI!$B$8) + (MIN(MAX(0, VERI_TABANI!D25-VERI_TABANI!D25*B776), VERI_TABANI!D25*C776)*VERI_TABANI!$B$7 + MAX(0, VERI_TABANI!D25*C776-MAX(0, VERI_TABANI!D25-VERI_TABANI!D25*B776))*VERI_TABANI!$B$8) + IF(ABS(IF(ISNUMBER(SEARCH("Var", D776)), 1, IF(ISNUMBER(SEARCH("Gri", D776)), -1, 0)))=1, VERI_TABANI!E25*(1-0.928)*VERI_TABANI!$B$9, 0) + (VERI_TABANI!D25*B776*(VERI_TABANI!$B$13-VERI_TABANI!$B$14)*VERI_TABANI!G25) + (VERI_TABANI!D25*C776*(VERI_TABANI!$B$13-VERI_TABANI!$B$15)*VERI_TABANI!G25) + IF(ABS(IF(ISNUMBER(SEARCH("Var", D776)), 1, IF(ISNUMBER(SEARCH("Gri", D776)), -1, 0)))=1, VERI_TABANI!E25*(1-0.928)*0.00206091519919798*VERI_TABANI!G25, 0)) + ((MIN(VERI_TABANI!D26, VERI_TABANI!D26*B776)*VERI_TABANI!$B$7 + MAX(0, VERI_TABANI!D26*B776-VERI_TABANI!D26)*VERI_TABANI!$B$8) + (MIN(MAX(0, VERI_TABANI!D26-VERI_TABANI!D26*B776), VERI_TABANI!D26*C776)*VERI_TABANI!$B$7 + MAX(0, VERI_TABANI!D26*C776-MAX(0, VERI_TABANI!D26-VERI_TABANI!D26*B776))*VERI_TABANI!$B$8) + IF(ABS(IF(ISNUMBER(SEARCH("Var", D776)), 1, IF(ISNUMBER(SEARCH("Gri", D776)), -1, 0)))=1, VERI_TABANI!E26*(1-0.928)*VERI_TABANI!$B$9, 0) + (VERI_TABANI!D26*B776*(VERI_TABANI!$B$13-VERI_TABANI!$B$14)*VERI_TABANI!G26) + (VERI_TABANI!D26*C776*(VERI_TABANI!$B$13-VERI_TABANI!$B$15)*VERI_TABANI!G26) + IF(ABS(IF(ISNUMBER(SEARCH("Var", D776)), 1, IF(ISNUMBER(SEARCH("Gri", D776)), -1, 0)))=1, VERI_TABANI!E26*(1-0.928)*0.00206091519919798*VERI_TABANI!G26, 0)) + ((MIN(VERI_TABANI!D27, VERI_TABANI!D27*B776)*VERI_TABANI!$B$7 + MAX(0, VERI_TABANI!D27*B776-VERI_TABANI!D27)*VERI_TABANI!$B$8) + (MIN(MAX(0, VERI_TABANI!D27-VERI_TABANI!D27*B776), VERI_TABANI!D27*C776)*VERI_TABANI!$B$7 + MAX(0, VERI_TABANI!D27*C776-MAX(0, VERI_TABANI!D27-VERI_TABANI!D27*B776))*VERI_TABANI!$B$8) + IF(ABS(IF(ISNUMBER(SEARCH("Var", D776)), 1, IF(ISNUMBER(SEARCH("Gri", D776)), -1, 0)))=1, VERI_TABANI!E27*(1-0.928)*VERI_TABANI!$B$9, 0) + (VERI_TABANI!D27*B776*(VERI_TABANI!$B$13-VERI_TABANI!$B$14)*VERI_TABANI!G27) + (VERI_TABANI!D27*C776*(VERI_TABANI!$B$13-VERI_TABANI!$B$15)*VERI_TABANI!G27) + IF(ABS(IF(ISNUMBER(SEARCH("Var", D776)), 1, IF(ISNUMBER(SEARCH("Gri", D776)), -1, 0)))=1, VERI_TABANI!E27*(1-0.928)*0.00206091519919798*VERI_TABANI!G27, 0)) + ((MIN(VERI_TABANI!D28, VERI_TABANI!D28*B776)*VERI_TABANI!$B$7 + MAX(0, VERI_TABANI!D28*B776-VERI_TABANI!D28)*VERI_TABANI!$B$8) + (MIN(MAX(0, VERI_TABANI!D28-VERI_TABANI!D28*B776), VERI_TABANI!D28*C776)*VERI_TABANI!$B$7 + MAX(0, VERI_TABANI!D28*C776-MAX(0, VERI_TABANI!D28-VERI_TABANI!D28*B776))*VERI_TABANI!$B$8) + IF(ABS(IF(ISNUMBER(SEARCH("Var", D776)), 1, IF(ISNUMBER(SEARCH("Gri", D776)), -1, 0)))=1, VERI_TABANI!E28*(1-0.928)*VERI_TABANI!$B$9, 0) + (VERI_TABANI!D28*B776*(VERI_TABANI!$B$13-VERI_TABANI!$B$14)*VERI_TABANI!G28) + (VERI_TABANI!D28*C776*(VERI_TABANI!$B$13-VERI_TABANI!$B$15)*VERI_TABANI!G28) + IF(ABS(IF(ISNUMBER(SEARCH("Var", D776)), 1, IF(ISNUMBER(SEARCH("Gri", D776)), -1, 0)))=1, VERI_TABANI!E28*(1-0.928)*0.00206091519919798*VERI_TABANI!G28, 0)))</f>
        <v/>
      </c>
      <c r="H776" s="169">
        <f>(((VERI_TABANI!D23*B776*(VERI_TABANI!$B$13-VERI_TABANI!$B$14)) + (VERI_TABANI!D23*C776*(VERI_TABANI!$B$13-VERI_TABANI!$B$15)) + IF(ISNUMBER(SEARCH("Var", D776)), VERI_TABANI!F23*(0.00202-VERI_TABANI!$B$16), IF(ISNUMBER(SEARCH("Gri", D776)), VERI_TABANI!F23*(0.00202-VERI_TABANI!$B$17), 0))) + ((VERI_TABANI!D24*B776*(VERI_TABANI!$B$13-VERI_TABANI!$B$14)) + (VERI_TABANI!D24*C776*(VERI_TABANI!$B$13-VERI_TABANI!$B$15)) + IF(ISNUMBER(SEARCH("Var", D776)), VERI_TABANI!F24*(0.00202-VERI_TABANI!$B$16), IF(ISNUMBER(SEARCH("Gri", D776)), VERI_TABANI!F24*(0.00202-VERI_TABANI!$B$17), 0))) + ((VERI_TABANI!D25*B776*(VERI_TABANI!$B$13-VERI_TABANI!$B$14)) + (VERI_TABANI!D25*C776*(VERI_TABANI!$B$13-VERI_TABANI!$B$15)) + IF(ISNUMBER(SEARCH("Var", D776)), VERI_TABANI!F25*(0.00202-VERI_TABANI!$B$16), IF(ISNUMBER(SEARCH("Gri", D776)), VERI_TABANI!F25*(0.00202-VERI_TABANI!$B$17), 0))) + ((VERI_TABANI!D26*B776*(VERI_TABANI!$B$13-VERI_TABANI!$B$14)) + (VERI_TABANI!D26*C776*(VERI_TABANI!$B$13-VERI_TABANI!$B$15)) + IF(ISNUMBER(SEARCH("Var", D776)), VERI_TABANI!F26*(0.00202-VERI_TABANI!$B$16), IF(ISNUMBER(SEARCH("Gri", D776)), VERI_TABANI!F26*(0.00202-VERI_TABANI!$B$17), 0))) + ((VERI_TABANI!D27*B776*(VERI_TABANI!$B$13-VERI_TABANI!$B$14)) + (VERI_TABANI!D27*C776*(VERI_TABANI!$B$13-VERI_TABANI!$B$15)) + IF(ISNUMBER(SEARCH("Var", D776)), VERI_TABANI!F27*(0.00202-VERI_TABANI!$B$16), IF(ISNUMBER(SEARCH("Gri", D776)), VERI_TABANI!F27*(0.00202-VERI_TABANI!$B$17), 0))) + ((VERI_TABANI!D28*B776*(VERI_TABANI!$B$13-VERI_TABANI!$B$14)) + (VERI_TABANI!D28*C776*(VERI_TABANI!$B$13-VERI_TABANI!$B$15)) + IF(ISNUMBER(SEARCH("Var", D776)), VERI_TABANI!F28*(0.00202-VERI_TABANI!$B$16), IF(ISNUMBER(SEARCH("Gri", D776)), VERI_TABANI!F28*(0.00202-VERI_TABANI!$B$17), 0))))</f>
        <v/>
      </c>
      <c r="I776" s="170">
        <f>IFERROR(((VERI_TABANI!$D$29*B776*VERI_TABANI!$B$14 + VERI_TABANI!$D$29*C776*VERI_TABANI!$B$15 + IF(ISNUMBER(SEARCH("Var", D776)), VERI_TABANI!$F$29*VERI_TABANI!$B$16, 0))) / (((VERI_TABANI!$D$29*B776 + VERI_TABANI!$D$29*C776)*VERI_TABANI!$B$13 + IF(ISNUMBER(SEARCH("Var", D776)), VERI_TABANI!$E$29*(1-0.928)*VERI_TABANI!$B$18, 0))), 0)</f>
        <v/>
      </c>
      <c r="J776" s="171">
        <f>IFERROR(F776/(G776/29), 0)</f>
        <v/>
      </c>
      <c r="K776" s="172">
        <f>IF(F776&gt;0, H776/F776, 0)</f>
        <v/>
      </c>
      <c r="L776" s="170">
        <f>IF(F776&gt;0, I776, 1000000000)</f>
        <v/>
      </c>
      <c r="M776" s="171">
        <f>ABS((B776+C776)-1)</f>
        <v/>
      </c>
      <c r="N776" s="170">
        <f>IF(F776&gt;0, (G776/29)/F776, 0)</f>
        <v/>
      </c>
      <c r="O776" s="168">
        <f>IF(AND((B776+C776)&gt;=1, ISNUMBER(SEARCH("Var", D776))), F776, 1000000000)</f>
        <v/>
      </c>
      <c r="P776" s="172">
        <f>IF(F776&gt;0, SQRT((F776/MAX(F$5:F$886))^2 + (1 - H776/MAX(H$5:H$886))^2 + (J776/MAX(J$5:J$886))^2), 1000000000)</f>
        <v/>
      </c>
      <c r="Q776" s="166">
        <f>IF(AND(ABS(B776-0.5)&lt;0.01, ABS(C776-0.5)&lt;0.01, ISNUMBER(SEARCH("Var", D776))), 1, 0)</f>
        <v/>
      </c>
      <c r="R776" s="171">
        <f>IF(F776&gt;0, J776, 1000000000)</f>
        <v/>
      </c>
      <c r="S776" s="101">
        <f>IF(AND(F776&lt;=DASHBOARD!$B$11, H776&gt;=DASHBOARD!$B$13), G776, -1000000000000)</f>
        <v/>
      </c>
      <c r="T776" s="101">
        <f>IF(AND(F776&lt;=DASHBOARD!$B$11, H776&gt;=DASHBOARD!$B$13), R776, 1000000000000)</f>
        <v/>
      </c>
      <c r="U776" s="101">
        <f>IF(AND(F776&lt;=DASHBOARD!$B$11, H776&gt;=DASHBOARD!$B$13), N776, -1000000000000)</f>
        <v/>
      </c>
      <c r="V776" s="101">
        <f>IF(AND(F776&lt;=DASHBOARD!$B$11, H776&gt;=DASHBOARD!$B$13), H776, -1000000000000)</f>
        <v/>
      </c>
      <c r="W776" s="101">
        <f>IF(AND(F776&lt;=DASHBOARD!$B$11, H776&gt;=DASHBOARD!$B$13), K776, -1000000000000)</f>
        <v/>
      </c>
      <c r="X776" s="101">
        <f>IF(AND(F776&lt;=DASHBOARD!$B$11, H776&gt;=DASHBOARD!$B$13), M776, 1000000000000)</f>
        <v/>
      </c>
      <c r="Y776" s="101">
        <f>IF(AND(F776&lt;=DASHBOARD!$B$10, H776&gt;=DASHBOARD!$B$11), L776, 1000000000000)</f>
        <v/>
      </c>
      <c r="Z776" s="101">
        <f>IF(AND(F776&lt;=DASHBOARD!$B$10, H776&gt;=DASHBOARD!$B$11), O776, 1000000000000)</f>
        <v/>
      </c>
      <c r="AA776" s="101">
        <f>IF(AND(F776&lt;=DASHBOARD!$B$10, H776&gt;=DASHBOARD!$B$11), P776, 1000000000000)</f>
        <v/>
      </c>
      <c r="AB776" s="101">
        <f>IF(AND(F776&lt;=DASHBOARD!$B$10, H776&gt;=DASHBOARD!$B$11), Q776, -1000000000000)</f>
        <v/>
      </c>
    </row>
    <row r="777" ht="15" customHeight="1" s="102">
      <c r="A777" s="166" t="n">
        <v>773</v>
      </c>
      <c r="B777" s="167" t="n">
        <v>1.8</v>
      </c>
      <c r="C777" s="167" t="n">
        <v>0.8</v>
      </c>
      <c r="D777" s="110" t="inlineStr">
        <is>
          <t>Yok (%0)</t>
        </is>
      </c>
      <c r="E777" s="110">
        <f>IF((B777+C777)&lt;=1, "Tam Mahsuplaşma (≤%100)", "Kısmi Satış (&gt;%100)")</f>
        <v/>
      </c>
      <c r="F777" s="168">
        <f>((VERI_TABANI!$D$29*B777/VERI_TABANI!$B$29)/VERI_TABANI!$B$3)*VERI_TABANI!$B$5 + ((VERI_TABANI!$D$29*C777/VERI_TABANI!$B$29)/VERI_TABANI!$B$4)*VERI_TABANI!$B$6 + IF(ISNUMBER(SEARCH("Var", D777)), (VERI_TABANI!$F$29/VERI_TABANI!$B$29)*(VERI_TABANI!$B$10+VERI_TABANI!$B$12), 0)</f>
        <v/>
      </c>
      <c r="G777" s="168">
        <f>(((MIN(VERI_TABANI!D23, VERI_TABANI!D23*B777)*VERI_TABANI!$B$7 + MAX(0, VERI_TABANI!D23*B777-VERI_TABANI!D23)*VERI_TABANI!$B$8) + (MIN(MAX(0, VERI_TABANI!D23-VERI_TABANI!D23*B777), VERI_TABANI!D23*C777)*VERI_TABANI!$B$7 + MAX(0, VERI_TABANI!D23*C777-MAX(0, VERI_TABANI!D23-VERI_TABANI!D23*B777))*VERI_TABANI!$B$8) + IF(ABS(IF(ISNUMBER(SEARCH("Var", D777)), 1, IF(ISNUMBER(SEARCH("Gri", D777)), -1, 0)))=1, VERI_TABANI!E23*(1-0.928)*VERI_TABANI!$B$9, 0) + (VERI_TABANI!D23*B777*(VERI_TABANI!$B$13-VERI_TABANI!$B$14)*VERI_TABANI!G23) + (VERI_TABANI!D23*C777*(VERI_TABANI!$B$13-VERI_TABANI!$B$15)*VERI_TABANI!G23) + IF(ABS(IF(ISNUMBER(SEARCH("Var", D777)), 1, IF(ISNUMBER(SEARCH("Gri", D777)), -1, 0)))=1, VERI_TABANI!E23*(1-0.928)*0.00206091519919798*VERI_TABANI!G23, 0)) + ((MIN(VERI_TABANI!D24, VERI_TABANI!D24*B777)*VERI_TABANI!$B$7 + MAX(0, VERI_TABANI!D24*B777-VERI_TABANI!D24)*VERI_TABANI!$B$8) + (MIN(MAX(0, VERI_TABANI!D24-VERI_TABANI!D24*B777), VERI_TABANI!D24*C777)*VERI_TABANI!$B$7 + MAX(0, VERI_TABANI!D24*C777-MAX(0, VERI_TABANI!D24-VERI_TABANI!D24*B777))*VERI_TABANI!$B$8) + IF(ABS(IF(ISNUMBER(SEARCH("Var", D777)), 1, IF(ISNUMBER(SEARCH("Gri", D777)), -1, 0)))=1, VERI_TABANI!E24*(1-0.928)*VERI_TABANI!$B$9, 0) + (VERI_TABANI!D24*B777*(VERI_TABANI!$B$13-VERI_TABANI!$B$14)*VERI_TABANI!G24) + (VERI_TABANI!D24*C777*(VERI_TABANI!$B$13-VERI_TABANI!$B$15)*VERI_TABANI!G24) + IF(ABS(IF(ISNUMBER(SEARCH("Var", D777)), 1, IF(ISNUMBER(SEARCH("Gri", D777)), -1, 0)))=1, VERI_TABANI!E24*(1-0.928)*0.00206091519919798*VERI_TABANI!G24, 0)) + ((MIN(VERI_TABANI!D25, VERI_TABANI!D25*B777)*VERI_TABANI!$B$7 + MAX(0, VERI_TABANI!D25*B777-VERI_TABANI!D25)*VERI_TABANI!$B$8) + (MIN(MAX(0, VERI_TABANI!D25-VERI_TABANI!D25*B777), VERI_TABANI!D25*C777)*VERI_TABANI!$B$7 + MAX(0, VERI_TABANI!D25*C777-MAX(0, VERI_TABANI!D25-VERI_TABANI!D25*B777))*VERI_TABANI!$B$8) + IF(ABS(IF(ISNUMBER(SEARCH("Var", D777)), 1, IF(ISNUMBER(SEARCH("Gri", D777)), -1, 0)))=1, VERI_TABANI!E25*(1-0.928)*VERI_TABANI!$B$9, 0) + (VERI_TABANI!D25*B777*(VERI_TABANI!$B$13-VERI_TABANI!$B$14)*VERI_TABANI!G25) + (VERI_TABANI!D25*C777*(VERI_TABANI!$B$13-VERI_TABANI!$B$15)*VERI_TABANI!G25) + IF(ABS(IF(ISNUMBER(SEARCH("Var", D777)), 1, IF(ISNUMBER(SEARCH("Gri", D777)), -1, 0)))=1, VERI_TABANI!E25*(1-0.928)*0.00206091519919798*VERI_TABANI!G25, 0)) + ((MIN(VERI_TABANI!D26, VERI_TABANI!D26*B777)*VERI_TABANI!$B$7 + MAX(0, VERI_TABANI!D26*B777-VERI_TABANI!D26)*VERI_TABANI!$B$8) + (MIN(MAX(0, VERI_TABANI!D26-VERI_TABANI!D26*B777), VERI_TABANI!D26*C777)*VERI_TABANI!$B$7 + MAX(0, VERI_TABANI!D26*C777-MAX(0, VERI_TABANI!D26-VERI_TABANI!D26*B777))*VERI_TABANI!$B$8) + IF(ABS(IF(ISNUMBER(SEARCH("Var", D777)), 1, IF(ISNUMBER(SEARCH("Gri", D777)), -1, 0)))=1, VERI_TABANI!E26*(1-0.928)*VERI_TABANI!$B$9, 0) + (VERI_TABANI!D26*B777*(VERI_TABANI!$B$13-VERI_TABANI!$B$14)*VERI_TABANI!G26) + (VERI_TABANI!D26*C777*(VERI_TABANI!$B$13-VERI_TABANI!$B$15)*VERI_TABANI!G26) + IF(ABS(IF(ISNUMBER(SEARCH("Var", D777)), 1, IF(ISNUMBER(SEARCH("Gri", D777)), -1, 0)))=1, VERI_TABANI!E26*(1-0.928)*0.00206091519919798*VERI_TABANI!G26, 0)) + ((MIN(VERI_TABANI!D27, VERI_TABANI!D27*B777)*VERI_TABANI!$B$7 + MAX(0, VERI_TABANI!D27*B777-VERI_TABANI!D27)*VERI_TABANI!$B$8) + (MIN(MAX(0, VERI_TABANI!D27-VERI_TABANI!D27*B777), VERI_TABANI!D27*C777)*VERI_TABANI!$B$7 + MAX(0, VERI_TABANI!D27*C777-MAX(0, VERI_TABANI!D27-VERI_TABANI!D27*B777))*VERI_TABANI!$B$8) + IF(ABS(IF(ISNUMBER(SEARCH("Var", D777)), 1, IF(ISNUMBER(SEARCH("Gri", D777)), -1, 0)))=1, VERI_TABANI!E27*(1-0.928)*VERI_TABANI!$B$9, 0) + (VERI_TABANI!D27*B777*(VERI_TABANI!$B$13-VERI_TABANI!$B$14)*VERI_TABANI!G27) + (VERI_TABANI!D27*C777*(VERI_TABANI!$B$13-VERI_TABANI!$B$15)*VERI_TABANI!G27) + IF(ABS(IF(ISNUMBER(SEARCH("Var", D777)), 1, IF(ISNUMBER(SEARCH("Gri", D777)), -1, 0)))=1, VERI_TABANI!E27*(1-0.928)*0.00206091519919798*VERI_TABANI!G27, 0)) + ((MIN(VERI_TABANI!D28, VERI_TABANI!D28*B777)*VERI_TABANI!$B$7 + MAX(0, VERI_TABANI!D28*B777-VERI_TABANI!D28)*VERI_TABANI!$B$8) + (MIN(MAX(0, VERI_TABANI!D28-VERI_TABANI!D28*B777), VERI_TABANI!D28*C777)*VERI_TABANI!$B$7 + MAX(0, VERI_TABANI!D28*C777-MAX(0, VERI_TABANI!D28-VERI_TABANI!D28*B777))*VERI_TABANI!$B$8) + IF(ABS(IF(ISNUMBER(SEARCH("Var", D777)), 1, IF(ISNUMBER(SEARCH("Gri", D777)), -1, 0)))=1, VERI_TABANI!E28*(1-0.928)*VERI_TABANI!$B$9, 0) + (VERI_TABANI!D28*B777*(VERI_TABANI!$B$13-VERI_TABANI!$B$14)*VERI_TABANI!G28) + (VERI_TABANI!D28*C777*(VERI_TABANI!$B$13-VERI_TABANI!$B$15)*VERI_TABANI!G28) + IF(ABS(IF(ISNUMBER(SEARCH("Var", D777)), 1, IF(ISNUMBER(SEARCH("Gri", D777)), -1, 0)))=1, VERI_TABANI!E28*(1-0.928)*0.00206091519919798*VERI_TABANI!G28, 0)))</f>
        <v/>
      </c>
      <c r="H777" s="169">
        <f>(((VERI_TABANI!D23*B777*(VERI_TABANI!$B$13-VERI_TABANI!$B$14)) + (VERI_TABANI!D23*C777*(VERI_TABANI!$B$13-VERI_TABANI!$B$15)) + IF(ISNUMBER(SEARCH("Var", D777)), VERI_TABANI!F23*(0.00202-VERI_TABANI!$B$16), IF(ISNUMBER(SEARCH("Gri", D777)), VERI_TABANI!F23*(0.00202-VERI_TABANI!$B$17), 0))) + ((VERI_TABANI!D24*B777*(VERI_TABANI!$B$13-VERI_TABANI!$B$14)) + (VERI_TABANI!D24*C777*(VERI_TABANI!$B$13-VERI_TABANI!$B$15)) + IF(ISNUMBER(SEARCH("Var", D777)), VERI_TABANI!F24*(0.00202-VERI_TABANI!$B$16), IF(ISNUMBER(SEARCH("Gri", D777)), VERI_TABANI!F24*(0.00202-VERI_TABANI!$B$17), 0))) + ((VERI_TABANI!D25*B777*(VERI_TABANI!$B$13-VERI_TABANI!$B$14)) + (VERI_TABANI!D25*C777*(VERI_TABANI!$B$13-VERI_TABANI!$B$15)) + IF(ISNUMBER(SEARCH("Var", D777)), VERI_TABANI!F25*(0.00202-VERI_TABANI!$B$16), IF(ISNUMBER(SEARCH("Gri", D777)), VERI_TABANI!F25*(0.00202-VERI_TABANI!$B$17), 0))) + ((VERI_TABANI!D26*B777*(VERI_TABANI!$B$13-VERI_TABANI!$B$14)) + (VERI_TABANI!D26*C777*(VERI_TABANI!$B$13-VERI_TABANI!$B$15)) + IF(ISNUMBER(SEARCH("Var", D777)), VERI_TABANI!F26*(0.00202-VERI_TABANI!$B$16), IF(ISNUMBER(SEARCH("Gri", D777)), VERI_TABANI!F26*(0.00202-VERI_TABANI!$B$17), 0))) + ((VERI_TABANI!D27*B777*(VERI_TABANI!$B$13-VERI_TABANI!$B$14)) + (VERI_TABANI!D27*C777*(VERI_TABANI!$B$13-VERI_TABANI!$B$15)) + IF(ISNUMBER(SEARCH("Var", D777)), VERI_TABANI!F27*(0.00202-VERI_TABANI!$B$16), IF(ISNUMBER(SEARCH("Gri", D777)), VERI_TABANI!F27*(0.00202-VERI_TABANI!$B$17), 0))) + ((VERI_TABANI!D28*B777*(VERI_TABANI!$B$13-VERI_TABANI!$B$14)) + (VERI_TABANI!D28*C777*(VERI_TABANI!$B$13-VERI_TABANI!$B$15)) + IF(ISNUMBER(SEARCH("Var", D777)), VERI_TABANI!F28*(0.00202-VERI_TABANI!$B$16), IF(ISNUMBER(SEARCH("Gri", D777)), VERI_TABANI!F28*(0.00202-VERI_TABANI!$B$17), 0))))</f>
        <v/>
      </c>
      <c r="I777" s="170">
        <f>IFERROR(((VERI_TABANI!$D$29*B777*VERI_TABANI!$B$14 + VERI_TABANI!$D$29*C777*VERI_TABANI!$B$15 + IF(ISNUMBER(SEARCH("Var", D777)), VERI_TABANI!$F$29*VERI_TABANI!$B$16, 0))) / (((VERI_TABANI!$D$29*B777 + VERI_TABANI!$D$29*C777)*VERI_TABANI!$B$13 + IF(ISNUMBER(SEARCH("Var", D777)), VERI_TABANI!$E$29*(1-0.928)*VERI_TABANI!$B$18, 0))), 0)</f>
        <v/>
      </c>
      <c r="J777" s="171">
        <f>IFERROR(F777/(G777/29), 0)</f>
        <v/>
      </c>
      <c r="K777" s="172">
        <f>IF(F777&gt;0, H777/F777, 0)</f>
        <v/>
      </c>
      <c r="L777" s="170">
        <f>IF(F777&gt;0, I777, 1000000000)</f>
        <v/>
      </c>
      <c r="M777" s="171">
        <f>ABS((B777+C777)-1)</f>
        <v/>
      </c>
      <c r="N777" s="170">
        <f>IF(F777&gt;0, (G777/29)/F777, 0)</f>
        <v/>
      </c>
      <c r="O777" s="168">
        <f>IF(AND((B777+C777)&gt;=1, ISNUMBER(SEARCH("Var", D777))), F777, 1000000000)</f>
        <v/>
      </c>
      <c r="P777" s="172">
        <f>IF(F777&gt;0, SQRT((F777/MAX(F$5:F$886))^2 + (1 - H777/MAX(H$5:H$886))^2 + (J777/MAX(J$5:J$886))^2), 1000000000)</f>
        <v/>
      </c>
      <c r="Q777" s="166">
        <f>IF(AND(ABS(B777-0.5)&lt;0.01, ABS(C777-0.5)&lt;0.01, ISNUMBER(SEARCH("Var", D777))), 1, 0)</f>
        <v/>
      </c>
      <c r="R777" s="171">
        <f>IF(F777&gt;0, J777, 1000000000)</f>
        <v/>
      </c>
      <c r="S777" s="101">
        <f>IF(AND(F777&lt;=DASHBOARD!$B$11, H777&gt;=DASHBOARD!$B$13), G777, -1000000000000)</f>
        <v/>
      </c>
      <c r="T777" s="101">
        <f>IF(AND(F777&lt;=DASHBOARD!$B$11, H777&gt;=DASHBOARD!$B$13), R777, 1000000000000)</f>
        <v/>
      </c>
      <c r="U777" s="101">
        <f>IF(AND(F777&lt;=DASHBOARD!$B$11, H777&gt;=DASHBOARD!$B$13), N777, -1000000000000)</f>
        <v/>
      </c>
      <c r="V777" s="101">
        <f>IF(AND(F777&lt;=DASHBOARD!$B$11, H777&gt;=DASHBOARD!$B$13), H777, -1000000000000)</f>
        <v/>
      </c>
      <c r="W777" s="101">
        <f>IF(AND(F777&lt;=DASHBOARD!$B$11, H777&gt;=DASHBOARD!$B$13), K777, -1000000000000)</f>
        <v/>
      </c>
      <c r="X777" s="101">
        <f>IF(AND(F777&lt;=DASHBOARD!$B$11, H777&gt;=DASHBOARD!$B$13), M777, 1000000000000)</f>
        <v/>
      </c>
      <c r="Y777" s="101">
        <f>IF(AND(F777&lt;=DASHBOARD!$B$10, H777&gt;=DASHBOARD!$B$11), L777, 1000000000000)</f>
        <v/>
      </c>
      <c r="Z777" s="101">
        <f>IF(AND(F777&lt;=DASHBOARD!$B$10, H777&gt;=DASHBOARD!$B$11), O777, 1000000000000)</f>
        <v/>
      </c>
      <c r="AA777" s="101">
        <f>IF(AND(F777&lt;=DASHBOARD!$B$10, H777&gt;=DASHBOARD!$B$11), P777, 1000000000000)</f>
        <v/>
      </c>
      <c r="AB777" s="101">
        <f>IF(AND(F777&lt;=DASHBOARD!$B$10, H777&gt;=DASHBOARD!$B$11), Q777, -1000000000000)</f>
        <v/>
      </c>
    </row>
    <row r="778" ht="15" customHeight="1" s="102">
      <c r="A778" s="166" t="n">
        <v>774</v>
      </c>
      <c r="B778" s="167" t="n">
        <v>1.8</v>
      </c>
      <c r="C778" s="167" t="n">
        <v>0.8</v>
      </c>
      <c r="D778" s="110" t="inlineStr">
        <is>
          <t>Var (%20)</t>
        </is>
      </c>
      <c r="E778" s="110">
        <f>IF((B778+C778)&lt;=1, "Tam Mahsuplaşma (≤%100)", "Kısmi Satış (&gt;%100)")</f>
        <v/>
      </c>
      <c r="F778" s="168">
        <f>((VERI_TABANI!$D$29*B778/VERI_TABANI!$B$29)/VERI_TABANI!$B$3)*VERI_TABANI!$B$5 + ((VERI_TABANI!$D$29*C778/VERI_TABANI!$B$29)/VERI_TABANI!$B$4)*VERI_TABANI!$B$6 + IF(ISNUMBER(SEARCH("Var", D778)), (VERI_TABANI!$F$29/VERI_TABANI!$B$29)*(VERI_TABANI!$B$10+VERI_TABANI!$B$12), 0)</f>
        <v/>
      </c>
      <c r="G778" s="168">
        <f>(((MIN(VERI_TABANI!D23, VERI_TABANI!D23*B778)*VERI_TABANI!$B$7 + MAX(0, VERI_TABANI!D23*B778-VERI_TABANI!D23)*VERI_TABANI!$B$8) + (MIN(MAX(0, VERI_TABANI!D23-VERI_TABANI!D23*B778), VERI_TABANI!D23*C778)*VERI_TABANI!$B$7 + MAX(0, VERI_TABANI!D23*C778-MAX(0, VERI_TABANI!D23-VERI_TABANI!D23*B778))*VERI_TABANI!$B$8) + IF(ABS(IF(ISNUMBER(SEARCH("Var", D778)), 1, IF(ISNUMBER(SEARCH("Gri", D778)), -1, 0)))=1, VERI_TABANI!E23*(1-0.928)*VERI_TABANI!$B$9, 0) + (VERI_TABANI!D23*B778*(VERI_TABANI!$B$13-VERI_TABANI!$B$14)*VERI_TABANI!G23) + (VERI_TABANI!D23*C778*(VERI_TABANI!$B$13-VERI_TABANI!$B$15)*VERI_TABANI!G23) + IF(ABS(IF(ISNUMBER(SEARCH("Var", D778)), 1, IF(ISNUMBER(SEARCH("Gri", D778)), -1, 0)))=1, VERI_TABANI!E23*(1-0.928)*0.00206091519919798*VERI_TABANI!G23, 0)) + ((MIN(VERI_TABANI!D24, VERI_TABANI!D24*B778)*VERI_TABANI!$B$7 + MAX(0, VERI_TABANI!D24*B778-VERI_TABANI!D24)*VERI_TABANI!$B$8) + (MIN(MAX(0, VERI_TABANI!D24-VERI_TABANI!D24*B778), VERI_TABANI!D24*C778)*VERI_TABANI!$B$7 + MAX(0, VERI_TABANI!D24*C778-MAX(0, VERI_TABANI!D24-VERI_TABANI!D24*B778))*VERI_TABANI!$B$8) + IF(ABS(IF(ISNUMBER(SEARCH("Var", D778)), 1, IF(ISNUMBER(SEARCH("Gri", D778)), -1, 0)))=1, VERI_TABANI!E24*(1-0.928)*VERI_TABANI!$B$9, 0) + (VERI_TABANI!D24*B778*(VERI_TABANI!$B$13-VERI_TABANI!$B$14)*VERI_TABANI!G24) + (VERI_TABANI!D24*C778*(VERI_TABANI!$B$13-VERI_TABANI!$B$15)*VERI_TABANI!G24) + IF(ABS(IF(ISNUMBER(SEARCH("Var", D778)), 1, IF(ISNUMBER(SEARCH("Gri", D778)), -1, 0)))=1, VERI_TABANI!E24*(1-0.928)*0.00206091519919798*VERI_TABANI!G24, 0)) + ((MIN(VERI_TABANI!D25, VERI_TABANI!D25*B778)*VERI_TABANI!$B$7 + MAX(0, VERI_TABANI!D25*B778-VERI_TABANI!D25)*VERI_TABANI!$B$8) + (MIN(MAX(0, VERI_TABANI!D25-VERI_TABANI!D25*B778), VERI_TABANI!D25*C778)*VERI_TABANI!$B$7 + MAX(0, VERI_TABANI!D25*C778-MAX(0, VERI_TABANI!D25-VERI_TABANI!D25*B778))*VERI_TABANI!$B$8) + IF(ABS(IF(ISNUMBER(SEARCH("Var", D778)), 1, IF(ISNUMBER(SEARCH("Gri", D778)), -1, 0)))=1, VERI_TABANI!E25*(1-0.928)*VERI_TABANI!$B$9, 0) + (VERI_TABANI!D25*B778*(VERI_TABANI!$B$13-VERI_TABANI!$B$14)*VERI_TABANI!G25) + (VERI_TABANI!D25*C778*(VERI_TABANI!$B$13-VERI_TABANI!$B$15)*VERI_TABANI!G25) + IF(ABS(IF(ISNUMBER(SEARCH("Var", D778)), 1, IF(ISNUMBER(SEARCH("Gri", D778)), -1, 0)))=1, VERI_TABANI!E25*(1-0.928)*0.00206091519919798*VERI_TABANI!G25, 0)) + ((MIN(VERI_TABANI!D26, VERI_TABANI!D26*B778)*VERI_TABANI!$B$7 + MAX(0, VERI_TABANI!D26*B778-VERI_TABANI!D26)*VERI_TABANI!$B$8) + (MIN(MAX(0, VERI_TABANI!D26-VERI_TABANI!D26*B778), VERI_TABANI!D26*C778)*VERI_TABANI!$B$7 + MAX(0, VERI_TABANI!D26*C778-MAX(0, VERI_TABANI!D26-VERI_TABANI!D26*B778))*VERI_TABANI!$B$8) + IF(ABS(IF(ISNUMBER(SEARCH("Var", D778)), 1, IF(ISNUMBER(SEARCH("Gri", D778)), -1, 0)))=1, VERI_TABANI!E26*(1-0.928)*VERI_TABANI!$B$9, 0) + (VERI_TABANI!D26*B778*(VERI_TABANI!$B$13-VERI_TABANI!$B$14)*VERI_TABANI!G26) + (VERI_TABANI!D26*C778*(VERI_TABANI!$B$13-VERI_TABANI!$B$15)*VERI_TABANI!G26) + IF(ABS(IF(ISNUMBER(SEARCH("Var", D778)), 1, IF(ISNUMBER(SEARCH("Gri", D778)), -1, 0)))=1, VERI_TABANI!E26*(1-0.928)*0.00206091519919798*VERI_TABANI!G26, 0)) + ((MIN(VERI_TABANI!D27, VERI_TABANI!D27*B778)*VERI_TABANI!$B$7 + MAX(0, VERI_TABANI!D27*B778-VERI_TABANI!D27)*VERI_TABANI!$B$8) + (MIN(MAX(0, VERI_TABANI!D27-VERI_TABANI!D27*B778), VERI_TABANI!D27*C778)*VERI_TABANI!$B$7 + MAX(0, VERI_TABANI!D27*C778-MAX(0, VERI_TABANI!D27-VERI_TABANI!D27*B778))*VERI_TABANI!$B$8) + IF(ABS(IF(ISNUMBER(SEARCH("Var", D778)), 1, IF(ISNUMBER(SEARCH("Gri", D778)), -1, 0)))=1, VERI_TABANI!E27*(1-0.928)*VERI_TABANI!$B$9, 0) + (VERI_TABANI!D27*B778*(VERI_TABANI!$B$13-VERI_TABANI!$B$14)*VERI_TABANI!G27) + (VERI_TABANI!D27*C778*(VERI_TABANI!$B$13-VERI_TABANI!$B$15)*VERI_TABANI!G27) + IF(ABS(IF(ISNUMBER(SEARCH("Var", D778)), 1, IF(ISNUMBER(SEARCH("Gri", D778)), -1, 0)))=1, VERI_TABANI!E27*(1-0.928)*0.00206091519919798*VERI_TABANI!G27, 0)) + ((MIN(VERI_TABANI!D28, VERI_TABANI!D28*B778)*VERI_TABANI!$B$7 + MAX(0, VERI_TABANI!D28*B778-VERI_TABANI!D28)*VERI_TABANI!$B$8) + (MIN(MAX(0, VERI_TABANI!D28-VERI_TABANI!D28*B778), VERI_TABANI!D28*C778)*VERI_TABANI!$B$7 + MAX(0, VERI_TABANI!D28*C778-MAX(0, VERI_TABANI!D28-VERI_TABANI!D28*B778))*VERI_TABANI!$B$8) + IF(ABS(IF(ISNUMBER(SEARCH("Var", D778)), 1, IF(ISNUMBER(SEARCH("Gri", D778)), -1, 0)))=1, VERI_TABANI!E28*(1-0.928)*VERI_TABANI!$B$9, 0) + (VERI_TABANI!D28*B778*(VERI_TABANI!$B$13-VERI_TABANI!$B$14)*VERI_TABANI!G28) + (VERI_TABANI!D28*C778*(VERI_TABANI!$B$13-VERI_TABANI!$B$15)*VERI_TABANI!G28) + IF(ABS(IF(ISNUMBER(SEARCH("Var", D778)), 1, IF(ISNUMBER(SEARCH("Gri", D778)), -1, 0)))=1, VERI_TABANI!E28*(1-0.928)*0.00206091519919798*VERI_TABANI!G28, 0)))</f>
        <v/>
      </c>
      <c r="H778" s="169">
        <f>(((VERI_TABANI!D23*B778*(VERI_TABANI!$B$13-VERI_TABANI!$B$14)) + (VERI_TABANI!D23*C778*(VERI_TABANI!$B$13-VERI_TABANI!$B$15)) + IF(ISNUMBER(SEARCH("Var", D778)), VERI_TABANI!F23*(0.00202-VERI_TABANI!$B$16), IF(ISNUMBER(SEARCH("Gri", D778)), VERI_TABANI!F23*(0.00202-VERI_TABANI!$B$17), 0))) + ((VERI_TABANI!D24*B778*(VERI_TABANI!$B$13-VERI_TABANI!$B$14)) + (VERI_TABANI!D24*C778*(VERI_TABANI!$B$13-VERI_TABANI!$B$15)) + IF(ISNUMBER(SEARCH("Var", D778)), VERI_TABANI!F24*(0.00202-VERI_TABANI!$B$16), IF(ISNUMBER(SEARCH("Gri", D778)), VERI_TABANI!F24*(0.00202-VERI_TABANI!$B$17), 0))) + ((VERI_TABANI!D25*B778*(VERI_TABANI!$B$13-VERI_TABANI!$B$14)) + (VERI_TABANI!D25*C778*(VERI_TABANI!$B$13-VERI_TABANI!$B$15)) + IF(ISNUMBER(SEARCH("Var", D778)), VERI_TABANI!F25*(0.00202-VERI_TABANI!$B$16), IF(ISNUMBER(SEARCH("Gri", D778)), VERI_TABANI!F25*(0.00202-VERI_TABANI!$B$17), 0))) + ((VERI_TABANI!D26*B778*(VERI_TABANI!$B$13-VERI_TABANI!$B$14)) + (VERI_TABANI!D26*C778*(VERI_TABANI!$B$13-VERI_TABANI!$B$15)) + IF(ISNUMBER(SEARCH("Var", D778)), VERI_TABANI!F26*(0.00202-VERI_TABANI!$B$16), IF(ISNUMBER(SEARCH("Gri", D778)), VERI_TABANI!F26*(0.00202-VERI_TABANI!$B$17), 0))) + ((VERI_TABANI!D27*B778*(VERI_TABANI!$B$13-VERI_TABANI!$B$14)) + (VERI_TABANI!D27*C778*(VERI_TABANI!$B$13-VERI_TABANI!$B$15)) + IF(ISNUMBER(SEARCH("Var", D778)), VERI_TABANI!F27*(0.00202-VERI_TABANI!$B$16), IF(ISNUMBER(SEARCH("Gri", D778)), VERI_TABANI!F27*(0.00202-VERI_TABANI!$B$17), 0))) + ((VERI_TABANI!D28*B778*(VERI_TABANI!$B$13-VERI_TABANI!$B$14)) + (VERI_TABANI!D28*C778*(VERI_TABANI!$B$13-VERI_TABANI!$B$15)) + IF(ISNUMBER(SEARCH("Var", D778)), VERI_TABANI!F28*(0.00202-VERI_TABANI!$B$16), IF(ISNUMBER(SEARCH("Gri", D778)), VERI_TABANI!F28*(0.00202-VERI_TABANI!$B$17), 0))))</f>
        <v/>
      </c>
      <c r="I778" s="170">
        <f>IFERROR(((VERI_TABANI!$D$29*B778*VERI_TABANI!$B$14 + VERI_TABANI!$D$29*C778*VERI_TABANI!$B$15 + IF(ISNUMBER(SEARCH("Var", D778)), VERI_TABANI!$F$29*VERI_TABANI!$B$16, 0))) / (((VERI_TABANI!$D$29*B778 + VERI_TABANI!$D$29*C778)*VERI_TABANI!$B$13 + IF(ISNUMBER(SEARCH("Var", D778)), VERI_TABANI!$E$29*(1-0.928)*VERI_TABANI!$B$18, 0))), 0)</f>
        <v/>
      </c>
      <c r="J778" s="171">
        <f>IFERROR(F778/(G778/29), 0)</f>
        <v/>
      </c>
      <c r="K778" s="172">
        <f>IF(F778&gt;0, H778/F778, 0)</f>
        <v/>
      </c>
      <c r="L778" s="170">
        <f>IF(F778&gt;0, I778, 1000000000)</f>
        <v/>
      </c>
      <c r="M778" s="171">
        <f>ABS((B778+C778)-1)</f>
        <v/>
      </c>
      <c r="N778" s="170">
        <f>IF(F778&gt;0, (G778/29)/F778, 0)</f>
        <v/>
      </c>
      <c r="O778" s="168">
        <f>IF(AND((B778+C778)&gt;=1, ISNUMBER(SEARCH("Var", D778))), F778, 1000000000)</f>
        <v/>
      </c>
      <c r="P778" s="172">
        <f>IF(F778&gt;0, SQRT((F778/MAX(F$5:F$886))^2 + (1 - H778/MAX(H$5:H$886))^2 + (J778/MAX(J$5:J$886))^2), 1000000000)</f>
        <v/>
      </c>
      <c r="Q778" s="166">
        <f>IF(AND(ABS(B778-0.5)&lt;0.01, ABS(C778-0.5)&lt;0.01, ISNUMBER(SEARCH("Var", D778))), 1, 0)</f>
        <v/>
      </c>
      <c r="R778" s="171">
        <f>IF(F778&gt;0, J778, 1000000000)</f>
        <v/>
      </c>
      <c r="S778" s="101">
        <f>IF(AND(F778&lt;=DASHBOARD!$B$11, H778&gt;=DASHBOARD!$B$13), G778, -1000000000000)</f>
        <v/>
      </c>
      <c r="T778" s="101">
        <f>IF(AND(F778&lt;=DASHBOARD!$B$11, H778&gt;=DASHBOARD!$B$13), R778, 1000000000000)</f>
        <v/>
      </c>
      <c r="U778" s="101">
        <f>IF(AND(F778&lt;=DASHBOARD!$B$11, H778&gt;=DASHBOARD!$B$13), N778, -1000000000000)</f>
        <v/>
      </c>
      <c r="V778" s="101">
        <f>IF(AND(F778&lt;=DASHBOARD!$B$11, H778&gt;=DASHBOARD!$B$13), H778, -1000000000000)</f>
        <v/>
      </c>
      <c r="W778" s="101">
        <f>IF(AND(F778&lt;=DASHBOARD!$B$11, H778&gt;=DASHBOARD!$B$13), K778, -1000000000000)</f>
        <v/>
      </c>
      <c r="X778" s="101">
        <f>IF(AND(F778&lt;=DASHBOARD!$B$11, H778&gt;=DASHBOARD!$B$13), M778, 1000000000000)</f>
        <v/>
      </c>
      <c r="Y778" s="101">
        <f>IF(AND(F778&lt;=DASHBOARD!$B$10, H778&gt;=DASHBOARD!$B$11), L778, 1000000000000)</f>
        <v/>
      </c>
      <c r="Z778" s="101">
        <f>IF(AND(F778&lt;=DASHBOARD!$B$10, H778&gt;=DASHBOARD!$B$11), O778, 1000000000000)</f>
        <v/>
      </c>
      <c r="AA778" s="101">
        <f>IF(AND(F778&lt;=DASHBOARD!$B$10, H778&gt;=DASHBOARD!$B$11), P778, 1000000000000)</f>
        <v/>
      </c>
      <c r="AB778" s="101">
        <f>IF(AND(F778&lt;=DASHBOARD!$B$10, H778&gt;=DASHBOARD!$B$11), Q778, -1000000000000)</f>
        <v/>
      </c>
    </row>
    <row r="779" ht="15" customHeight="1" s="102">
      <c r="A779" s="166" t="n">
        <v>775</v>
      </c>
      <c r="B779" s="167" t="n">
        <v>1.8</v>
      </c>
      <c r="C779" s="167" t="n">
        <v>0.9</v>
      </c>
      <c r="D779" s="110" t="inlineStr">
        <is>
          <t>Yok (%0)</t>
        </is>
      </c>
      <c r="E779" s="110">
        <f>IF((B779+C779)&lt;=1, "Tam Mahsuplaşma (≤%100)", "Kısmi Satış (&gt;%100)")</f>
        <v/>
      </c>
      <c r="F779" s="168">
        <f>((VERI_TABANI!$D$29*B779/VERI_TABANI!$B$29)/VERI_TABANI!$B$3)*VERI_TABANI!$B$5 + ((VERI_TABANI!$D$29*C779/VERI_TABANI!$B$29)/VERI_TABANI!$B$4)*VERI_TABANI!$B$6 + IF(ISNUMBER(SEARCH("Var", D779)), (VERI_TABANI!$F$29/VERI_TABANI!$B$29)*(VERI_TABANI!$B$10+VERI_TABANI!$B$12), 0)</f>
        <v/>
      </c>
      <c r="G779" s="168">
        <f>(((MIN(VERI_TABANI!D23, VERI_TABANI!D23*B779)*VERI_TABANI!$B$7 + MAX(0, VERI_TABANI!D23*B779-VERI_TABANI!D23)*VERI_TABANI!$B$8) + (MIN(MAX(0, VERI_TABANI!D23-VERI_TABANI!D23*B779), VERI_TABANI!D23*C779)*VERI_TABANI!$B$7 + MAX(0, VERI_TABANI!D23*C779-MAX(0, VERI_TABANI!D23-VERI_TABANI!D23*B779))*VERI_TABANI!$B$8) + IF(ABS(IF(ISNUMBER(SEARCH("Var", D779)), 1, IF(ISNUMBER(SEARCH("Gri", D779)), -1, 0)))=1, VERI_TABANI!E23*(1-0.928)*VERI_TABANI!$B$9, 0) + (VERI_TABANI!D23*B779*(VERI_TABANI!$B$13-VERI_TABANI!$B$14)*VERI_TABANI!G23) + (VERI_TABANI!D23*C779*(VERI_TABANI!$B$13-VERI_TABANI!$B$15)*VERI_TABANI!G23) + IF(ABS(IF(ISNUMBER(SEARCH("Var", D779)), 1, IF(ISNUMBER(SEARCH("Gri", D779)), -1, 0)))=1, VERI_TABANI!E23*(1-0.928)*0.00206091519919798*VERI_TABANI!G23, 0)) + ((MIN(VERI_TABANI!D24, VERI_TABANI!D24*B779)*VERI_TABANI!$B$7 + MAX(0, VERI_TABANI!D24*B779-VERI_TABANI!D24)*VERI_TABANI!$B$8) + (MIN(MAX(0, VERI_TABANI!D24-VERI_TABANI!D24*B779), VERI_TABANI!D24*C779)*VERI_TABANI!$B$7 + MAX(0, VERI_TABANI!D24*C779-MAX(0, VERI_TABANI!D24-VERI_TABANI!D24*B779))*VERI_TABANI!$B$8) + IF(ABS(IF(ISNUMBER(SEARCH("Var", D779)), 1, IF(ISNUMBER(SEARCH("Gri", D779)), -1, 0)))=1, VERI_TABANI!E24*(1-0.928)*VERI_TABANI!$B$9, 0) + (VERI_TABANI!D24*B779*(VERI_TABANI!$B$13-VERI_TABANI!$B$14)*VERI_TABANI!G24) + (VERI_TABANI!D24*C779*(VERI_TABANI!$B$13-VERI_TABANI!$B$15)*VERI_TABANI!G24) + IF(ABS(IF(ISNUMBER(SEARCH("Var", D779)), 1, IF(ISNUMBER(SEARCH("Gri", D779)), -1, 0)))=1, VERI_TABANI!E24*(1-0.928)*0.00206091519919798*VERI_TABANI!G24, 0)) + ((MIN(VERI_TABANI!D25, VERI_TABANI!D25*B779)*VERI_TABANI!$B$7 + MAX(0, VERI_TABANI!D25*B779-VERI_TABANI!D25)*VERI_TABANI!$B$8) + (MIN(MAX(0, VERI_TABANI!D25-VERI_TABANI!D25*B779), VERI_TABANI!D25*C779)*VERI_TABANI!$B$7 + MAX(0, VERI_TABANI!D25*C779-MAX(0, VERI_TABANI!D25-VERI_TABANI!D25*B779))*VERI_TABANI!$B$8) + IF(ABS(IF(ISNUMBER(SEARCH("Var", D779)), 1, IF(ISNUMBER(SEARCH("Gri", D779)), -1, 0)))=1, VERI_TABANI!E25*(1-0.928)*VERI_TABANI!$B$9, 0) + (VERI_TABANI!D25*B779*(VERI_TABANI!$B$13-VERI_TABANI!$B$14)*VERI_TABANI!G25) + (VERI_TABANI!D25*C779*(VERI_TABANI!$B$13-VERI_TABANI!$B$15)*VERI_TABANI!G25) + IF(ABS(IF(ISNUMBER(SEARCH("Var", D779)), 1, IF(ISNUMBER(SEARCH("Gri", D779)), -1, 0)))=1, VERI_TABANI!E25*(1-0.928)*0.00206091519919798*VERI_TABANI!G25, 0)) + ((MIN(VERI_TABANI!D26, VERI_TABANI!D26*B779)*VERI_TABANI!$B$7 + MAX(0, VERI_TABANI!D26*B779-VERI_TABANI!D26)*VERI_TABANI!$B$8) + (MIN(MAX(0, VERI_TABANI!D26-VERI_TABANI!D26*B779), VERI_TABANI!D26*C779)*VERI_TABANI!$B$7 + MAX(0, VERI_TABANI!D26*C779-MAX(0, VERI_TABANI!D26-VERI_TABANI!D26*B779))*VERI_TABANI!$B$8) + IF(ABS(IF(ISNUMBER(SEARCH("Var", D779)), 1, IF(ISNUMBER(SEARCH("Gri", D779)), -1, 0)))=1, VERI_TABANI!E26*(1-0.928)*VERI_TABANI!$B$9, 0) + (VERI_TABANI!D26*B779*(VERI_TABANI!$B$13-VERI_TABANI!$B$14)*VERI_TABANI!G26) + (VERI_TABANI!D26*C779*(VERI_TABANI!$B$13-VERI_TABANI!$B$15)*VERI_TABANI!G26) + IF(ABS(IF(ISNUMBER(SEARCH("Var", D779)), 1, IF(ISNUMBER(SEARCH("Gri", D779)), -1, 0)))=1, VERI_TABANI!E26*(1-0.928)*0.00206091519919798*VERI_TABANI!G26, 0)) + ((MIN(VERI_TABANI!D27, VERI_TABANI!D27*B779)*VERI_TABANI!$B$7 + MAX(0, VERI_TABANI!D27*B779-VERI_TABANI!D27)*VERI_TABANI!$B$8) + (MIN(MAX(0, VERI_TABANI!D27-VERI_TABANI!D27*B779), VERI_TABANI!D27*C779)*VERI_TABANI!$B$7 + MAX(0, VERI_TABANI!D27*C779-MAX(0, VERI_TABANI!D27-VERI_TABANI!D27*B779))*VERI_TABANI!$B$8) + IF(ABS(IF(ISNUMBER(SEARCH("Var", D779)), 1, IF(ISNUMBER(SEARCH("Gri", D779)), -1, 0)))=1, VERI_TABANI!E27*(1-0.928)*VERI_TABANI!$B$9, 0) + (VERI_TABANI!D27*B779*(VERI_TABANI!$B$13-VERI_TABANI!$B$14)*VERI_TABANI!G27) + (VERI_TABANI!D27*C779*(VERI_TABANI!$B$13-VERI_TABANI!$B$15)*VERI_TABANI!G27) + IF(ABS(IF(ISNUMBER(SEARCH("Var", D779)), 1, IF(ISNUMBER(SEARCH("Gri", D779)), -1, 0)))=1, VERI_TABANI!E27*(1-0.928)*0.00206091519919798*VERI_TABANI!G27, 0)) + ((MIN(VERI_TABANI!D28, VERI_TABANI!D28*B779)*VERI_TABANI!$B$7 + MAX(0, VERI_TABANI!D28*B779-VERI_TABANI!D28)*VERI_TABANI!$B$8) + (MIN(MAX(0, VERI_TABANI!D28-VERI_TABANI!D28*B779), VERI_TABANI!D28*C779)*VERI_TABANI!$B$7 + MAX(0, VERI_TABANI!D28*C779-MAX(0, VERI_TABANI!D28-VERI_TABANI!D28*B779))*VERI_TABANI!$B$8) + IF(ABS(IF(ISNUMBER(SEARCH("Var", D779)), 1, IF(ISNUMBER(SEARCH("Gri", D779)), -1, 0)))=1, VERI_TABANI!E28*(1-0.928)*VERI_TABANI!$B$9, 0) + (VERI_TABANI!D28*B779*(VERI_TABANI!$B$13-VERI_TABANI!$B$14)*VERI_TABANI!G28) + (VERI_TABANI!D28*C779*(VERI_TABANI!$B$13-VERI_TABANI!$B$15)*VERI_TABANI!G28) + IF(ABS(IF(ISNUMBER(SEARCH("Var", D779)), 1, IF(ISNUMBER(SEARCH("Gri", D779)), -1, 0)))=1, VERI_TABANI!E28*(1-0.928)*0.00206091519919798*VERI_TABANI!G28, 0)))</f>
        <v/>
      </c>
      <c r="H779" s="169">
        <f>(((VERI_TABANI!D23*B779*(VERI_TABANI!$B$13-VERI_TABANI!$B$14)) + (VERI_TABANI!D23*C779*(VERI_TABANI!$B$13-VERI_TABANI!$B$15)) + IF(ISNUMBER(SEARCH("Var", D779)), VERI_TABANI!F23*(0.00202-VERI_TABANI!$B$16), IF(ISNUMBER(SEARCH("Gri", D779)), VERI_TABANI!F23*(0.00202-VERI_TABANI!$B$17), 0))) + ((VERI_TABANI!D24*B779*(VERI_TABANI!$B$13-VERI_TABANI!$B$14)) + (VERI_TABANI!D24*C779*(VERI_TABANI!$B$13-VERI_TABANI!$B$15)) + IF(ISNUMBER(SEARCH("Var", D779)), VERI_TABANI!F24*(0.00202-VERI_TABANI!$B$16), IF(ISNUMBER(SEARCH("Gri", D779)), VERI_TABANI!F24*(0.00202-VERI_TABANI!$B$17), 0))) + ((VERI_TABANI!D25*B779*(VERI_TABANI!$B$13-VERI_TABANI!$B$14)) + (VERI_TABANI!D25*C779*(VERI_TABANI!$B$13-VERI_TABANI!$B$15)) + IF(ISNUMBER(SEARCH("Var", D779)), VERI_TABANI!F25*(0.00202-VERI_TABANI!$B$16), IF(ISNUMBER(SEARCH("Gri", D779)), VERI_TABANI!F25*(0.00202-VERI_TABANI!$B$17), 0))) + ((VERI_TABANI!D26*B779*(VERI_TABANI!$B$13-VERI_TABANI!$B$14)) + (VERI_TABANI!D26*C779*(VERI_TABANI!$B$13-VERI_TABANI!$B$15)) + IF(ISNUMBER(SEARCH("Var", D779)), VERI_TABANI!F26*(0.00202-VERI_TABANI!$B$16), IF(ISNUMBER(SEARCH("Gri", D779)), VERI_TABANI!F26*(0.00202-VERI_TABANI!$B$17), 0))) + ((VERI_TABANI!D27*B779*(VERI_TABANI!$B$13-VERI_TABANI!$B$14)) + (VERI_TABANI!D27*C779*(VERI_TABANI!$B$13-VERI_TABANI!$B$15)) + IF(ISNUMBER(SEARCH("Var", D779)), VERI_TABANI!F27*(0.00202-VERI_TABANI!$B$16), IF(ISNUMBER(SEARCH("Gri", D779)), VERI_TABANI!F27*(0.00202-VERI_TABANI!$B$17), 0))) + ((VERI_TABANI!D28*B779*(VERI_TABANI!$B$13-VERI_TABANI!$B$14)) + (VERI_TABANI!D28*C779*(VERI_TABANI!$B$13-VERI_TABANI!$B$15)) + IF(ISNUMBER(SEARCH("Var", D779)), VERI_TABANI!F28*(0.00202-VERI_TABANI!$B$16), IF(ISNUMBER(SEARCH("Gri", D779)), VERI_TABANI!F28*(0.00202-VERI_TABANI!$B$17), 0))))</f>
        <v/>
      </c>
      <c r="I779" s="170">
        <f>IFERROR(((VERI_TABANI!$D$29*B779*VERI_TABANI!$B$14 + VERI_TABANI!$D$29*C779*VERI_TABANI!$B$15 + IF(ISNUMBER(SEARCH("Var", D779)), VERI_TABANI!$F$29*VERI_TABANI!$B$16, 0))) / (((VERI_TABANI!$D$29*B779 + VERI_TABANI!$D$29*C779)*VERI_TABANI!$B$13 + IF(ISNUMBER(SEARCH("Var", D779)), VERI_TABANI!$E$29*(1-0.928)*VERI_TABANI!$B$18, 0))), 0)</f>
        <v/>
      </c>
      <c r="J779" s="171">
        <f>IFERROR(F779/(G779/29), 0)</f>
        <v/>
      </c>
      <c r="K779" s="172">
        <f>IF(F779&gt;0, H779/F779, 0)</f>
        <v/>
      </c>
      <c r="L779" s="170">
        <f>IF(F779&gt;0, I779, 1000000000)</f>
        <v/>
      </c>
      <c r="M779" s="171">
        <f>ABS((B779+C779)-1)</f>
        <v/>
      </c>
      <c r="N779" s="170">
        <f>IF(F779&gt;0, (G779/29)/F779, 0)</f>
        <v/>
      </c>
      <c r="O779" s="168">
        <f>IF(AND((B779+C779)&gt;=1, ISNUMBER(SEARCH("Var", D779))), F779, 1000000000)</f>
        <v/>
      </c>
      <c r="P779" s="172">
        <f>IF(F779&gt;0, SQRT((F779/MAX(F$5:F$886))^2 + (1 - H779/MAX(H$5:H$886))^2 + (J779/MAX(J$5:J$886))^2), 1000000000)</f>
        <v/>
      </c>
      <c r="Q779" s="166">
        <f>IF(AND(ABS(B779-0.5)&lt;0.01, ABS(C779-0.5)&lt;0.01, ISNUMBER(SEARCH("Var", D779))), 1, 0)</f>
        <v/>
      </c>
      <c r="R779" s="171">
        <f>IF(F779&gt;0, J779, 1000000000)</f>
        <v/>
      </c>
      <c r="S779" s="101">
        <f>IF(AND(F779&lt;=DASHBOARD!$B$11, H779&gt;=DASHBOARD!$B$13), G779, -1000000000000)</f>
        <v/>
      </c>
      <c r="T779" s="101">
        <f>IF(AND(F779&lt;=DASHBOARD!$B$11, H779&gt;=DASHBOARD!$B$13), R779, 1000000000000)</f>
        <v/>
      </c>
      <c r="U779" s="101">
        <f>IF(AND(F779&lt;=DASHBOARD!$B$11, H779&gt;=DASHBOARD!$B$13), N779, -1000000000000)</f>
        <v/>
      </c>
      <c r="V779" s="101">
        <f>IF(AND(F779&lt;=DASHBOARD!$B$11, H779&gt;=DASHBOARD!$B$13), H779, -1000000000000)</f>
        <v/>
      </c>
      <c r="W779" s="101">
        <f>IF(AND(F779&lt;=DASHBOARD!$B$11, H779&gt;=DASHBOARD!$B$13), K779, -1000000000000)</f>
        <v/>
      </c>
      <c r="X779" s="101">
        <f>IF(AND(F779&lt;=DASHBOARD!$B$11, H779&gt;=DASHBOARD!$B$13), M779, 1000000000000)</f>
        <v/>
      </c>
      <c r="Y779" s="101">
        <f>IF(AND(F779&lt;=DASHBOARD!$B$10, H779&gt;=DASHBOARD!$B$11), L779, 1000000000000)</f>
        <v/>
      </c>
      <c r="Z779" s="101">
        <f>IF(AND(F779&lt;=DASHBOARD!$B$10, H779&gt;=DASHBOARD!$B$11), O779, 1000000000000)</f>
        <v/>
      </c>
      <c r="AA779" s="101">
        <f>IF(AND(F779&lt;=DASHBOARD!$B$10, H779&gt;=DASHBOARD!$B$11), P779, 1000000000000)</f>
        <v/>
      </c>
      <c r="AB779" s="101">
        <f>IF(AND(F779&lt;=DASHBOARD!$B$10, H779&gt;=DASHBOARD!$B$11), Q779, -1000000000000)</f>
        <v/>
      </c>
    </row>
    <row r="780" ht="15" customHeight="1" s="102">
      <c r="A780" s="166" t="n">
        <v>776</v>
      </c>
      <c r="B780" s="167" t="n">
        <v>1.8</v>
      </c>
      <c r="C780" s="167" t="n">
        <v>0.9</v>
      </c>
      <c r="D780" s="110" t="inlineStr">
        <is>
          <t>Var (%20)</t>
        </is>
      </c>
      <c r="E780" s="110">
        <f>IF((B780+C780)&lt;=1, "Tam Mahsuplaşma (≤%100)", "Kısmi Satış (&gt;%100)")</f>
        <v/>
      </c>
      <c r="F780" s="168">
        <f>((VERI_TABANI!$D$29*B780/VERI_TABANI!$B$29)/VERI_TABANI!$B$3)*VERI_TABANI!$B$5 + ((VERI_TABANI!$D$29*C780/VERI_TABANI!$B$29)/VERI_TABANI!$B$4)*VERI_TABANI!$B$6 + IF(ISNUMBER(SEARCH("Var", D780)), (VERI_TABANI!$F$29/VERI_TABANI!$B$29)*(VERI_TABANI!$B$10+VERI_TABANI!$B$12), 0)</f>
        <v/>
      </c>
      <c r="G780" s="168">
        <f>(((MIN(VERI_TABANI!D23, VERI_TABANI!D23*B780)*VERI_TABANI!$B$7 + MAX(0, VERI_TABANI!D23*B780-VERI_TABANI!D23)*VERI_TABANI!$B$8) + (MIN(MAX(0, VERI_TABANI!D23-VERI_TABANI!D23*B780), VERI_TABANI!D23*C780)*VERI_TABANI!$B$7 + MAX(0, VERI_TABANI!D23*C780-MAX(0, VERI_TABANI!D23-VERI_TABANI!D23*B780))*VERI_TABANI!$B$8) + IF(ABS(IF(ISNUMBER(SEARCH("Var", D780)), 1, IF(ISNUMBER(SEARCH("Gri", D780)), -1, 0)))=1, VERI_TABANI!E23*(1-0.928)*VERI_TABANI!$B$9, 0) + (VERI_TABANI!D23*B780*(VERI_TABANI!$B$13-VERI_TABANI!$B$14)*VERI_TABANI!G23) + (VERI_TABANI!D23*C780*(VERI_TABANI!$B$13-VERI_TABANI!$B$15)*VERI_TABANI!G23) + IF(ABS(IF(ISNUMBER(SEARCH("Var", D780)), 1, IF(ISNUMBER(SEARCH("Gri", D780)), -1, 0)))=1, VERI_TABANI!E23*(1-0.928)*0.00206091519919798*VERI_TABANI!G23, 0)) + ((MIN(VERI_TABANI!D24, VERI_TABANI!D24*B780)*VERI_TABANI!$B$7 + MAX(0, VERI_TABANI!D24*B780-VERI_TABANI!D24)*VERI_TABANI!$B$8) + (MIN(MAX(0, VERI_TABANI!D24-VERI_TABANI!D24*B780), VERI_TABANI!D24*C780)*VERI_TABANI!$B$7 + MAX(0, VERI_TABANI!D24*C780-MAX(0, VERI_TABANI!D24-VERI_TABANI!D24*B780))*VERI_TABANI!$B$8) + IF(ABS(IF(ISNUMBER(SEARCH("Var", D780)), 1, IF(ISNUMBER(SEARCH("Gri", D780)), -1, 0)))=1, VERI_TABANI!E24*(1-0.928)*VERI_TABANI!$B$9, 0) + (VERI_TABANI!D24*B780*(VERI_TABANI!$B$13-VERI_TABANI!$B$14)*VERI_TABANI!G24) + (VERI_TABANI!D24*C780*(VERI_TABANI!$B$13-VERI_TABANI!$B$15)*VERI_TABANI!G24) + IF(ABS(IF(ISNUMBER(SEARCH("Var", D780)), 1, IF(ISNUMBER(SEARCH("Gri", D780)), -1, 0)))=1, VERI_TABANI!E24*(1-0.928)*0.00206091519919798*VERI_TABANI!G24, 0)) + ((MIN(VERI_TABANI!D25, VERI_TABANI!D25*B780)*VERI_TABANI!$B$7 + MAX(0, VERI_TABANI!D25*B780-VERI_TABANI!D25)*VERI_TABANI!$B$8) + (MIN(MAX(0, VERI_TABANI!D25-VERI_TABANI!D25*B780), VERI_TABANI!D25*C780)*VERI_TABANI!$B$7 + MAX(0, VERI_TABANI!D25*C780-MAX(0, VERI_TABANI!D25-VERI_TABANI!D25*B780))*VERI_TABANI!$B$8) + IF(ABS(IF(ISNUMBER(SEARCH("Var", D780)), 1, IF(ISNUMBER(SEARCH("Gri", D780)), -1, 0)))=1, VERI_TABANI!E25*(1-0.928)*VERI_TABANI!$B$9, 0) + (VERI_TABANI!D25*B780*(VERI_TABANI!$B$13-VERI_TABANI!$B$14)*VERI_TABANI!G25) + (VERI_TABANI!D25*C780*(VERI_TABANI!$B$13-VERI_TABANI!$B$15)*VERI_TABANI!G25) + IF(ABS(IF(ISNUMBER(SEARCH("Var", D780)), 1, IF(ISNUMBER(SEARCH("Gri", D780)), -1, 0)))=1, VERI_TABANI!E25*(1-0.928)*0.00206091519919798*VERI_TABANI!G25, 0)) + ((MIN(VERI_TABANI!D26, VERI_TABANI!D26*B780)*VERI_TABANI!$B$7 + MAX(0, VERI_TABANI!D26*B780-VERI_TABANI!D26)*VERI_TABANI!$B$8) + (MIN(MAX(0, VERI_TABANI!D26-VERI_TABANI!D26*B780), VERI_TABANI!D26*C780)*VERI_TABANI!$B$7 + MAX(0, VERI_TABANI!D26*C780-MAX(0, VERI_TABANI!D26-VERI_TABANI!D26*B780))*VERI_TABANI!$B$8) + IF(ABS(IF(ISNUMBER(SEARCH("Var", D780)), 1, IF(ISNUMBER(SEARCH("Gri", D780)), -1, 0)))=1, VERI_TABANI!E26*(1-0.928)*VERI_TABANI!$B$9, 0) + (VERI_TABANI!D26*B780*(VERI_TABANI!$B$13-VERI_TABANI!$B$14)*VERI_TABANI!G26) + (VERI_TABANI!D26*C780*(VERI_TABANI!$B$13-VERI_TABANI!$B$15)*VERI_TABANI!G26) + IF(ABS(IF(ISNUMBER(SEARCH("Var", D780)), 1, IF(ISNUMBER(SEARCH("Gri", D780)), -1, 0)))=1, VERI_TABANI!E26*(1-0.928)*0.00206091519919798*VERI_TABANI!G26, 0)) + ((MIN(VERI_TABANI!D27, VERI_TABANI!D27*B780)*VERI_TABANI!$B$7 + MAX(0, VERI_TABANI!D27*B780-VERI_TABANI!D27)*VERI_TABANI!$B$8) + (MIN(MAX(0, VERI_TABANI!D27-VERI_TABANI!D27*B780), VERI_TABANI!D27*C780)*VERI_TABANI!$B$7 + MAX(0, VERI_TABANI!D27*C780-MAX(0, VERI_TABANI!D27-VERI_TABANI!D27*B780))*VERI_TABANI!$B$8) + IF(ABS(IF(ISNUMBER(SEARCH("Var", D780)), 1, IF(ISNUMBER(SEARCH("Gri", D780)), -1, 0)))=1, VERI_TABANI!E27*(1-0.928)*VERI_TABANI!$B$9, 0) + (VERI_TABANI!D27*B780*(VERI_TABANI!$B$13-VERI_TABANI!$B$14)*VERI_TABANI!G27) + (VERI_TABANI!D27*C780*(VERI_TABANI!$B$13-VERI_TABANI!$B$15)*VERI_TABANI!G27) + IF(ABS(IF(ISNUMBER(SEARCH("Var", D780)), 1, IF(ISNUMBER(SEARCH("Gri", D780)), -1, 0)))=1, VERI_TABANI!E27*(1-0.928)*0.00206091519919798*VERI_TABANI!G27, 0)) + ((MIN(VERI_TABANI!D28, VERI_TABANI!D28*B780)*VERI_TABANI!$B$7 + MAX(0, VERI_TABANI!D28*B780-VERI_TABANI!D28)*VERI_TABANI!$B$8) + (MIN(MAX(0, VERI_TABANI!D28-VERI_TABANI!D28*B780), VERI_TABANI!D28*C780)*VERI_TABANI!$B$7 + MAX(0, VERI_TABANI!D28*C780-MAX(0, VERI_TABANI!D28-VERI_TABANI!D28*B780))*VERI_TABANI!$B$8) + IF(ABS(IF(ISNUMBER(SEARCH("Var", D780)), 1, IF(ISNUMBER(SEARCH("Gri", D780)), -1, 0)))=1, VERI_TABANI!E28*(1-0.928)*VERI_TABANI!$B$9, 0) + (VERI_TABANI!D28*B780*(VERI_TABANI!$B$13-VERI_TABANI!$B$14)*VERI_TABANI!G28) + (VERI_TABANI!D28*C780*(VERI_TABANI!$B$13-VERI_TABANI!$B$15)*VERI_TABANI!G28) + IF(ABS(IF(ISNUMBER(SEARCH("Var", D780)), 1, IF(ISNUMBER(SEARCH("Gri", D780)), -1, 0)))=1, VERI_TABANI!E28*(1-0.928)*0.00206091519919798*VERI_TABANI!G28, 0)))</f>
        <v/>
      </c>
      <c r="H780" s="169">
        <f>(((VERI_TABANI!D23*B780*(VERI_TABANI!$B$13-VERI_TABANI!$B$14)) + (VERI_TABANI!D23*C780*(VERI_TABANI!$B$13-VERI_TABANI!$B$15)) + IF(ISNUMBER(SEARCH("Var", D780)), VERI_TABANI!F23*(0.00202-VERI_TABANI!$B$16), IF(ISNUMBER(SEARCH("Gri", D780)), VERI_TABANI!F23*(0.00202-VERI_TABANI!$B$17), 0))) + ((VERI_TABANI!D24*B780*(VERI_TABANI!$B$13-VERI_TABANI!$B$14)) + (VERI_TABANI!D24*C780*(VERI_TABANI!$B$13-VERI_TABANI!$B$15)) + IF(ISNUMBER(SEARCH("Var", D780)), VERI_TABANI!F24*(0.00202-VERI_TABANI!$B$16), IF(ISNUMBER(SEARCH("Gri", D780)), VERI_TABANI!F24*(0.00202-VERI_TABANI!$B$17), 0))) + ((VERI_TABANI!D25*B780*(VERI_TABANI!$B$13-VERI_TABANI!$B$14)) + (VERI_TABANI!D25*C780*(VERI_TABANI!$B$13-VERI_TABANI!$B$15)) + IF(ISNUMBER(SEARCH("Var", D780)), VERI_TABANI!F25*(0.00202-VERI_TABANI!$B$16), IF(ISNUMBER(SEARCH("Gri", D780)), VERI_TABANI!F25*(0.00202-VERI_TABANI!$B$17), 0))) + ((VERI_TABANI!D26*B780*(VERI_TABANI!$B$13-VERI_TABANI!$B$14)) + (VERI_TABANI!D26*C780*(VERI_TABANI!$B$13-VERI_TABANI!$B$15)) + IF(ISNUMBER(SEARCH("Var", D780)), VERI_TABANI!F26*(0.00202-VERI_TABANI!$B$16), IF(ISNUMBER(SEARCH("Gri", D780)), VERI_TABANI!F26*(0.00202-VERI_TABANI!$B$17), 0))) + ((VERI_TABANI!D27*B780*(VERI_TABANI!$B$13-VERI_TABANI!$B$14)) + (VERI_TABANI!D27*C780*(VERI_TABANI!$B$13-VERI_TABANI!$B$15)) + IF(ISNUMBER(SEARCH("Var", D780)), VERI_TABANI!F27*(0.00202-VERI_TABANI!$B$16), IF(ISNUMBER(SEARCH("Gri", D780)), VERI_TABANI!F27*(0.00202-VERI_TABANI!$B$17), 0))) + ((VERI_TABANI!D28*B780*(VERI_TABANI!$B$13-VERI_TABANI!$B$14)) + (VERI_TABANI!D28*C780*(VERI_TABANI!$B$13-VERI_TABANI!$B$15)) + IF(ISNUMBER(SEARCH("Var", D780)), VERI_TABANI!F28*(0.00202-VERI_TABANI!$B$16), IF(ISNUMBER(SEARCH("Gri", D780)), VERI_TABANI!F28*(0.00202-VERI_TABANI!$B$17), 0))))</f>
        <v/>
      </c>
      <c r="I780" s="170">
        <f>IFERROR(((VERI_TABANI!$D$29*B780*VERI_TABANI!$B$14 + VERI_TABANI!$D$29*C780*VERI_TABANI!$B$15 + IF(ISNUMBER(SEARCH("Var", D780)), VERI_TABANI!$F$29*VERI_TABANI!$B$16, 0))) / (((VERI_TABANI!$D$29*B780 + VERI_TABANI!$D$29*C780)*VERI_TABANI!$B$13 + IF(ISNUMBER(SEARCH("Var", D780)), VERI_TABANI!$E$29*(1-0.928)*VERI_TABANI!$B$18, 0))), 0)</f>
        <v/>
      </c>
      <c r="J780" s="171">
        <f>IFERROR(F780/(G780/29), 0)</f>
        <v/>
      </c>
      <c r="K780" s="172">
        <f>IF(F780&gt;0, H780/F780, 0)</f>
        <v/>
      </c>
      <c r="L780" s="170">
        <f>IF(F780&gt;0, I780, 1000000000)</f>
        <v/>
      </c>
      <c r="M780" s="171">
        <f>ABS((B780+C780)-1)</f>
        <v/>
      </c>
      <c r="N780" s="170">
        <f>IF(F780&gt;0, (G780/29)/F780, 0)</f>
        <v/>
      </c>
      <c r="O780" s="168">
        <f>IF(AND((B780+C780)&gt;=1, ISNUMBER(SEARCH("Var", D780))), F780, 1000000000)</f>
        <v/>
      </c>
      <c r="P780" s="172">
        <f>IF(F780&gt;0, SQRT((F780/MAX(F$5:F$886))^2 + (1 - H780/MAX(H$5:H$886))^2 + (J780/MAX(J$5:J$886))^2), 1000000000)</f>
        <v/>
      </c>
      <c r="Q780" s="166">
        <f>IF(AND(ABS(B780-0.5)&lt;0.01, ABS(C780-0.5)&lt;0.01, ISNUMBER(SEARCH("Var", D780))), 1, 0)</f>
        <v/>
      </c>
      <c r="R780" s="171">
        <f>IF(F780&gt;0, J780, 1000000000)</f>
        <v/>
      </c>
      <c r="S780" s="101">
        <f>IF(AND(F780&lt;=DASHBOARD!$B$11, H780&gt;=DASHBOARD!$B$13), G780, -1000000000000)</f>
        <v/>
      </c>
      <c r="T780" s="101">
        <f>IF(AND(F780&lt;=DASHBOARD!$B$11, H780&gt;=DASHBOARD!$B$13), R780, 1000000000000)</f>
        <v/>
      </c>
      <c r="U780" s="101">
        <f>IF(AND(F780&lt;=DASHBOARD!$B$11, H780&gt;=DASHBOARD!$B$13), N780, -1000000000000)</f>
        <v/>
      </c>
      <c r="V780" s="101">
        <f>IF(AND(F780&lt;=DASHBOARD!$B$11, H780&gt;=DASHBOARD!$B$13), H780, -1000000000000)</f>
        <v/>
      </c>
      <c r="W780" s="101">
        <f>IF(AND(F780&lt;=DASHBOARD!$B$11, H780&gt;=DASHBOARD!$B$13), K780, -1000000000000)</f>
        <v/>
      </c>
      <c r="X780" s="101">
        <f>IF(AND(F780&lt;=DASHBOARD!$B$11, H780&gt;=DASHBOARD!$B$13), M780, 1000000000000)</f>
        <v/>
      </c>
      <c r="Y780" s="101">
        <f>IF(AND(F780&lt;=DASHBOARD!$B$10, H780&gt;=DASHBOARD!$B$11), L780, 1000000000000)</f>
        <v/>
      </c>
      <c r="Z780" s="101">
        <f>IF(AND(F780&lt;=DASHBOARD!$B$10, H780&gt;=DASHBOARD!$B$11), O780, 1000000000000)</f>
        <v/>
      </c>
      <c r="AA780" s="101">
        <f>IF(AND(F780&lt;=DASHBOARD!$B$10, H780&gt;=DASHBOARD!$B$11), P780, 1000000000000)</f>
        <v/>
      </c>
      <c r="AB780" s="101">
        <f>IF(AND(F780&lt;=DASHBOARD!$B$10, H780&gt;=DASHBOARD!$B$11), Q780, -1000000000000)</f>
        <v/>
      </c>
    </row>
    <row r="781" ht="15" customHeight="1" s="102">
      <c r="A781" s="166" t="n">
        <v>777</v>
      </c>
      <c r="B781" s="167" t="n">
        <v>1.8</v>
      </c>
      <c r="C781" s="167" t="n">
        <v>1</v>
      </c>
      <c r="D781" s="110" t="inlineStr">
        <is>
          <t>Yok (%0)</t>
        </is>
      </c>
      <c r="E781" s="110">
        <f>IF((B781+C781)&lt;=1, "Tam Mahsuplaşma (≤%100)", "Kısmi Satış (&gt;%100)")</f>
        <v/>
      </c>
      <c r="F781" s="168">
        <f>((VERI_TABANI!$D$29*B781/VERI_TABANI!$B$29)/VERI_TABANI!$B$3)*VERI_TABANI!$B$5 + ((VERI_TABANI!$D$29*C781/VERI_TABANI!$B$29)/VERI_TABANI!$B$4)*VERI_TABANI!$B$6 + IF(ISNUMBER(SEARCH("Var", D781)), (VERI_TABANI!$F$29/VERI_TABANI!$B$29)*(VERI_TABANI!$B$10+VERI_TABANI!$B$12), 0)</f>
        <v/>
      </c>
      <c r="G781" s="168">
        <f>(((MIN(VERI_TABANI!D23, VERI_TABANI!D23*B781)*VERI_TABANI!$B$7 + MAX(0, VERI_TABANI!D23*B781-VERI_TABANI!D23)*VERI_TABANI!$B$8) + (MIN(MAX(0, VERI_TABANI!D23-VERI_TABANI!D23*B781), VERI_TABANI!D23*C781)*VERI_TABANI!$B$7 + MAX(0, VERI_TABANI!D23*C781-MAX(0, VERI_TABANI!D23-VERI_TABANI!D23*B781))*VERI_TABANI!$B$8) + IF(ABS(IF(ISNUMBER(SEARCH("Var", D781)), 1, IF(ISNUMBER(SEARCH("Gri", D781)), -1, 0)))=1, VERI_TABANI!E23*(1-0.928)*VERI_TABANI!$B$9, 0) + (VERI_TABANI!D23*B781*(VERI_TABANI!$B$13-VERI_TABANI!$B$14)*VERI_TABANI!G23) + (VERI_TABANI!D23*C781*(VERI_TABANI!$B$13-VERI_TABANI!$B$15)*VERI_TABANI!G23) + IF(ABS(IF(ISNUMBER(SEARCH("Var", D781)), 1, IF(ISNUMBER(SEARCH("Gri", D781)), -1, 0)))=1, VERI_TABANI!E23*(1-0.928)*0.00206091519919798*VERI_TABANI!G23, 0)) + ((MIN(VERI_TABANI!D24, VERI_TABANI!D24*B781)*VERI_TABANI!$B$7 + MAX(0, VERI_TABANI!D24*B781-VERI_TABANI!D24)*VERI_TABANI!$B$8) + (MIN(MAX(0, VERI_TABANI!D24-VERI_TABANI!D24*B781), VERI_TABANI!D24*C781)*VERI_TABANI!$B$7 + MAX(0, VERI_TABANI!D24*C781-MAX(0, VERI_TABANI!D24-VERI_TABANI!D24*B781))*VERI_TABANI!$B$8) + IF(ABS(IF(ISNUMBER(SEARCH("Var", D781)), 1, IF(ISNUMBER(SEARCH("Gri", D781)), -1, 0)))=1, VERI_TABANI!E24*(1-0.928)*VERI_TABANI!$B$9, 0) + (VERI_TABANI!D24*B781*(VERI_TABANI!$B$13-VERI_TABANI!$B$14)*VERI_TABANI!G24) + (VERI_TABANI!D24*C781*(VERI_TABANI!$B$13-VERI_TABANI!$B$15)*VERI_TABANI!G24) + IF(ABS(IF(ISNUMBER(SEARCH("Var", D781)), 1, IF(ISNUMBER(SEARCH("Gri", D781)), -1, 0)))=1, VERI_TABANI!E24*(1-0.928)*0.00206091519919798*VERI_TABANI!G24, 0)) + ((MIN(VERI_TABANI!D25, VERI_TABANI!D25*B781)*VERI_TABANI!$B$7 + MAX(0, VERI_TABANI!D25*B781-VERI_TABANI!D25)*VERI_TABANI!$B$8) + (MIN(MAX(0, VERI_TABANI!D25-VERI_TABANI!D25*B781), VERI_TABANI!D25*C781)*VERI_TABANI!$B$7 + MAX(0, VERI_TABANI!D25*C781-MAX(0, VERI_TABANI!D25-VERI_TABANI!D25*B781))*VERI_TABANI!$B$8) + IF(ABS(IF(ISNUMBER(SEARCH("Var", D781)), 1, IF(ISNUMBER(SEARCH("Gri", D781)), -1, 0)))=1, VERI_TABANI!E25*(1-0.928)*VERI_TABANI!$B$9, 0) + (VERI_TABANI!D25*B781*(VERI_TABANI!$B$13-VERI_TABANI!$B$14)*VERI_TABANI!G25) + (VERI_TABANI!D25*C781*(VERI_TABANI!$B$13-VERI_TABANI!$B$15)*VERI_TABANI!G25) + IF(ABS(IF(ISNUMBER(SEARCH("Var", D781)), 1, IF(ISNUMBER(SEARCH("Gri", D781)), -1, 0)))=1, VERI_TABANI!E25*(1-0.928)*0.00206091519919798*VERI_TABANI!G25, 0)) + ((MIN(VERI_TABANI!D26, VERI_TABANI!D26*B781)*VERI_TABANI!$B$7 + MAX(0, VERI_TABANI!D26*B781-VERI_TABANI!D26)*VERI_TABANI!$B$8) + (MIN(MAX(0, VERI_TABANI!D26-VERI_TABANI!D26*B781), VERI_TABANI!D26*C781)*VERI_TABANI!$B$7 + MAX(0, VERI_TABANI!D26*C781-MAX(0, VERI_TABANI!D26-VERI_TABANI!D26*B781))*VERI_TABANI!$B$8) + IF(ABS(IF(ISNUMBER(SEARCH("Var", D781)), 1, IF(ISNUMBER(SEARCH("Gri", D781)), -1, 0)))=1, VERI_TABANI!E26*(1-0.928)*VERI_TABANI!$B$9, 0) + (VERI_TABANI!D26*B781*(VERI_TABANI!$B$13-VERI_TABANI!$B$14)*VERI_TABANI!G26) + (VERI_TABANI!D26*C781*(VERI_TABANI!$B$13-VERI_TABANI!$B$15)*VERI_TABANI!G26) + IF(ABS(IF(ISNUMBER(SEARCH("Var", D781)), 1, IF(ISNUMBER(SEARCH("Gri", D781)), -1, 0)))=1, VERI_TABANI!E26*(1-0.928)*0.00206091519919798*VERI_TABANI!G26, 0)) + ((MIN(VERI_TABANI!D27, VERI_TABANI!D27*B781)*VERI_TABANI!$B$7 + MAX(0, VERI_TABANI!D27*B781-VERI_TABANI!D27)*VERI_TABANI!$B$8) + (MIN(MAX(0, VERI_TABANI!D27-VERI_TABANI!D27*B781), VERI_TABANI!D27*C781)*VERI_TABANI!$B$7 + MAX(0, VERI_TABANI!D27*C781-MAX(0, VERI_TABANI!D27-VERI_TABANI!D27*B781))*VERI_TABANI!$B$8) + IF(ABS(IF(ISNUMBER(SEARCH("Var", D781)), 1, IF(ISNUMBER(SEARCH("Gri", D781)), -1, 0)))=1, VERI_TABANI!E27*(1-0.928)*VERI_TABANI!$B$9, 0) + (VERI_TABANI!D27*B781*(VERI_TABANI!$B$13-VERI_TABANI!$B$14)*VERI_TABANI!G27) + (VERI_TABANI!D27*C781*(VERI_TABANI!$B$13-VERI_TABANI!$B$15)*VERI_TABANI!G27) + IF(ABS(IF(ISNUMBER(SEARCH("Var", D781)), 1, IF(ISNUMBER(SEARCH("Gri", D781)), -1, 0)))=1, VERI_TABANI!E27*(1-0.928)*0.00206091519919798*VERI_TABANI!G27, 0)) + ((MIN(VERI_TABANI!D28, VERI_TABANI!D28*B781)*VERI_TABANI!$B$7 + MAX(0, VERI_TABANI!D28*B781-VERI_TABANI!D28)*VERI_TABANI!$B$8) + (MIN(MAX(0, VERI_TABANI!D28-VERI_TABANI!D28*B781), VERI_TABANI!D28*C781)*VERI_TABANI!$B$7 + MAX(0, VERI_TABANI!D28*C781-MAX(0, VERI_TABANI!D28-VERI_TABANI!D28*B781))*VERI_TABANI!$B$8) + IF(ABS(IF(ISNUMBER(SEARCH("Var", D781)), 1, IF(ISNUMBER(SEARCH("Gri", D781)), -1, 0)))=1, VERI_TABANI!E28*(1-0.928)*VERI_TABANI!$B$9, 0) + (VERI_TABANI!D28*B781*(VERI_TABANI!$B$13-VERI_TABANI!$B$14)*VERI_TABANI!G28) + (VERI_TABANI!D28*C781*(VERI_TABANI!$B$13-VERI_TABANI!$B$15)*VERI_TABANI!G28) + IF(ABS(IF(ISNUMBER(SEARCH("Var", D781)), 1, IF(ISNUMBER(SEARCH("Gri", D781)), -1, 0)))=1, VERI_TABANI!E28*(1-0.928)*0.00206091519919798*VERI_TABANI!G28, 0)))</f>
        <v/>
      </c>
      <c r="H781" s="169">
        <f>(((VERI_TABANI!D23*B781*(VERI_TABANI!$B$13-VERI_TABANI!$B$14)) + (VERI_TABANI!D23*C781*(VERI_TABANI!$B$13-VERI_TABANI!$B$15)) + IF(ISNUMBER(SEARCH("Var", D781)), VERI_TABANI!F23*(0.00202-VERI_TABANI!$B$16), IF(ISNUMBER(SEARCH("Gri", D781)), VERI_TABANI!F23*(0.00202-VERI_TABANI!$B$17), 0))) + ((VERI_TABANI!D24*B781*(VERI_TABANI!$B$13-VERI_TABANI!$B$14)) + (VERI_TABANI!D24*C781*(VERI_TABANI!$B$13-VERI_TABANI!$B$15)) + IF(ISNUMBER(SEARCH("Var", D781)), VERI_TABANI!F24*(0.00202-VERI_TABANI!$B$16), IF(ISNUMBER(SEARCH("Gri", D781)), VERI_TABANI!F24*(0.00202-VERI_TABANI!$B$17), 0))) + ((VERI_TABANI!D25*B781*(VERI_TABANI!$B$13-VERI_TABANI!$B$14)) + (VERI_TABANI!D25*C781*(VERI_TABANI!$B$13-VERI_TABANI!$B$15)) + IF(ISNUMBER(SEARCH("Var", D781)), VERI_TABANI!F25*(0.00202-VERI_TABANI!$B$16), IF(ISNUMBER(SEARCH("Gri", D781)), VERI_TABANI!F25*(0.00202-VERI_TABANI!$B$17), 0))) + ((VERI_TABANI!D26*B781*(VERI_TABANI!$B$13-VERI_TABANI!$B$14)) + (VERI_TABANI!D26*C781*(VERI_TABANI!$B$13-VERI_TABANI!$B$15)) + IF(ISNUMBER(SEARCH("Var", D781)), VERI_TABANI!F26*(0.00202-VERI_TABANI!$B$16), IF(ISNUMBER(SEARCH("Gri", D781)), VERI_TABANI!F26*(0.00202-VERI_TABANI!$B$17), 0))) + ((VERI_TABANI!D27*B781*(VERI_TABANI!$B$13-VERI_TABANI!$B$14)) + (VERI_TABANI!D27*C781*(VERI_TABANI!$B$13-VERI_TABANI!$B$15)) + IF(ISNUMBER(SEARCH("Var", D781)), VERI_TABANI!F27*(0.00202-VERI_TABANI!$B$16), IF(ISNUMBER(SEARCH("Gri", D781)), VERI_TABANI!F27*(0.00202-VERI_TABANI!$B$17), 0))) + ((VERI_TABANI!D28*B781*(VERI_TABANI!$B$13-VERI_TABANI!$B$14)) + (VERI_TABANI!D28*C781*(VERI_TABANI!$B$13-VERI_TABANI!$B$15)) + IF(ISNUMBER(SEARCH("Var", D781)), VERI_TABANI!F28*(0.00202-VERI_TABANI!$B$16), IF(ISNUMBER(SEARCH("Gri", D781)), VERI_TABANI!F28*(0.00202-VERI_TABANI!$B$17), 0))))</f>
        <v/>
      </c>
      <c r="I781" s="170">
        <f>IFERROR(((VERI_TABANI!$D$29*B781*VERI_TABANI!$B$14 + VERI_TABANI!$D$29*C781*VERI_TABANI!$B$15 + IF(ISNUMBER(SEARCH("Var", D781)), VERI_TABANI!$F$29*VERI_TABANI!$B$16, 0))) / (((VERI_TABANI!$D$29*B781 + VERI_TABANI!$D$29*C781)*VERI_TABANI!$B$13 + IF(ISNUMBER(SEARCH("Var", D781)), VERI_TABANI!$E$29*(1-0.928)*VERI_TABANI!$B$18, 0))), 0)</f>
        <v/>
      </c>
      <c r="J781" s="171">
        <f>IFERROR(F781/(G781/29), 0)</f>
        <v/>
      </c>
      <c r="K781" s="172">
        <f>IF(F781&gt;0, H781/F781, 0)</f>
        <v/>
      </c>
      <c r="L781" s="170">
        <f>IF(F781&gt;0, I781, 1000000000)</f>
        <v/>
      </c>
      <c r="M781" s="171">
        <f>ABS((B781+C781)-1)</f>
        <v/>
      </c>
      <c r="N781" s="170">
        <f>IF(F781&gt;0, (G781/29)/F781, 0)</f>
        <v/>
      </c>
      <c r="O781" s="168">
        <f>IF(AND((B781+C781)&gt;=1, ISNUMBER(SEARCH("Var", D781))), F781, 1000000000)</f>
        <v/>
      </c>
      <c r="P781" s="172">
        <f>IF(F781&gt;0, SQRT((F781/MAX(F$5:F$886))^2 + (1 - H781/MAX(H$5:H$886))^2 + (J781/MAX(J$5:J$886))^2), 1000000000)</f>
        <v/>
      </c>
      <c r="Q781" s="166">
        <f>IF(AND(ABS(B781-0.5)&lt;0.01, ABS(C781-0.5)&lt;0.01, ISNUMBER(SEARCH("Var", D781))), 1, 0)</f>
        <v/>
      </c>
      <c r="R781" s="171">
        <f>IF(F781&gt;0, J781, 1000000000)</f>
        <v/>
      </c>
      <c r="S781" s="101">
        <f>IF(AND(F781&lt;=DASHBOARD!$B$11, H781&gt;=DASHBOARD!$B$13), G781, -1000000000000)</f>
        <v/>
      </c>
      <c r="T781" s="101">
        <f>IF(AND(F781&lt;=DASHBOARD!$B$11, H781&gt;=DASHBOARD!$B$13), R781, 1000000000000)</f>
        <v/>
      </c>
      <c r="U781" s="101">
        <f>IF(AND(F781&lt;=DASHBOARD!$B$11, H781&gt;=DASHBOARD!$B$13), N781, -1000000000000)</f>
        <v/>
      </c>
      <c r="V781" s="101">
        <f>IF(AND(F781&lt;=DASHBOARD!$B$11, H781&gt;=DASHBOARD!$B$13), H781, -1000000000000)</f>
        <v/>
      </c>
      <c r="W781" s="101">
        <f>IF(AND(F781&lt;=DASHBOARD!$B$11, H781&gt;=DASHBOARD!$B$13), K781, -1000000000000)</f>
        <v/>
      </c>
      <c r="X781" s="101">
        <f>IF(AND(F781&lt;=DASHBOARD!$B$11, H781&gt;=DASHBOARD!$B$13), M781, 1000000000000)</f>
        <v/>
      </c>
      <c r="Y781" s="101">
        <f>IF(AND(F781&lt;=DASHBOARD!$B$10, H781&gt;=DASHBOARD!$B$11), L781, 1000000000000)</f>
        <v/>
      </c>
      <c r="Z781" s="101">
        <f>IF(AND(F781&lt;=DASHBOARD!$B$10, H781&gt;=DASHBOARD!$B$11), O781, 1000000000000)</f>
        <v/>
      </c>
      <c r="AA781" s="101">
        <f>IF(AND(F781&lt;=DASHBOARD!$B$10, H781&gt;=DASHBOARD!$B$11), P781, 1000000000000)</f>
        <v/>
      </c>
      <c r="AB781" s="101">
        <f>IF(AND(F781&lt;=DASHBOARD!$B$10, H781&gt;=DASHBOARD!$B$11), Q781, -1000000000000)</f>
        <v/>
      </c>
    </row>
    <row r="782" ht="15" customHeight="1" s="102">
      <c r="A782" s="166" t="n">
        <v>778</v>
      </c>
      <c r="B782" s="167" t="n">
        <v>1.8</v>
      </c>
      <c r="C782" s="167" t="n">
        <v>1</v>
      </c>
      <c r="D782" s="110" t="inlineStr">
        <is>
          <t>Var (%20)</t>
        </is>
      </c>
      <c r="E782" s="110">
        <f>IF((B782+C782)&lt;=1, "Tam Mahsuplaşma (≤%100)", "Kısmi Satış (&gt;%100)")</f>
        <v/>
      </c>
      <c r="F782" s="168">
        <f>((VERI_TABANI!$D$29*B782/VERI_TABANI!$B$29)/VERI_TABANI!$B$3)*VERI_TABANI!$B$5 + ((VERI_TABANI!$D$29*C782/VERI_TABANI!$B$29)/VERI_TABANI!$B$4)*VERI_TABANI!$B$6 + IF(ISNUMBER(SEARCH("Var", D782)), (VERI_TABANI!$F$29/VERI_TABANI!$B$29)*(VERI_TABANI!$B$10+VERI_TABANI!$B$12), 0)</f>
        <v/>
      </c>
      <c r="G782" s="168">
        <f>(((MIN(VERI_TABANI!D23, VERI_TABANI!D23*B782)*VERI_TABANI!$B$7 + MAX(0, VERI_TABANI!D23*B782-VERI_TABANI!D23)*VERI_TABANI!$B$8) + (MIN(MAX(0, VERI_TABANI!D23-VERI_TABANI!D23*B782), VERI_TABANI!D23*C782)*VERI_TABANI!$B$7 + MAX(0, VERI_TABANI!D23*C782-MAX(0, VERI_TABANI!D23-VERI_TABANI!D23*B782))*VERI_TABANI!$B$8) + IF(ABS(IF(ISNUMBER(SEARCH("Var", D782)), 1, IF(ISNUMBER(SEARCH("Gri", D782)), -1, 0)))=1, VERI_TABANI!E23*(1-0.928)*VERI_TABANI!$B$9, 0) + (VERI_TABANI!D23*B782*(VERI_TABANI!$B$13-VERI_TABANI!$B$14)*VERI_TABANI!G23) + (VERI_TABANI!D23*C782*(VERI_TABANI!$B$13-VERI_TABANI!$B$15)*VERI_TABANI!G23) + IF(ABS(IF(ISNUMBER(SEARCH("Var", D782)), 1, IF(ISNUMBER(SEARCH("Gri", D782)), -1, 0)))=1, VERI_TABANI!E23*(1-0.928)*0.00206091519919798*VERI_TABANI!G23, 0)) + ((MIN(VERI_TABANI!D24, VERI_TABANI!D24*B782)*VERI_TABANI!$B$7 + MAX(0, VERI_TABANI!D24*B782-VERI_TABANI!D24)*VERI_TABANI!$B$8) + (MIN(MAX(0, VERI_TABANI!D24-VERI_TABANI!D24*B782), VERI_TABANI!D24*C782)*VERI_TABANI!$B$7 + MAX(0, VERI_TABANI!D24*C782-MAX(0, VERI_TABANI!D24-VERI_TABANI!D24*B782))*VERI_TABANI!$B$8) + IF(ABS(IF(ISNUMBER(SEARCH("Var", D782)), 1, IF(ISNUMBER(SEARCH("Gri", D782)), -1, 0)))=1, VERI_TABANI!E24*(1-0.928)*VERI_TABANI!$B$9, 0) + (VERI_TABANI!D24*B782*(VERI_TABANI!$B$13-VERI_TABANI!$B$14)*VERI_TABANI!G24) + (VERI_TABANI!D24*C782*(VERI_TABANI!$B$13-VERI_TABANI!$B$15)*VERI_TABANI!G24) + IF(ABS(IF(ISNUMBER(SEARCH("Var", D782)), 1, IF(ISNUMBER(SEARCH("Gri", D782)), -1, 0)))=1, VERI_TABANI!E24*(1-0.928)*0.00206091519919798*VERI_TABANI!G24, 0)) + ((MIN(VERI_TABANI!D25, VERI_TABANI!D25*B782)*VERI_TABANI!$B$7 + MAX(0, VERI_TABANI!D25*B782-VERI_TABANI!D25)*VERI_TABANI!$B$8) + (MIN(MAX(0, VERI_TABANI!D25-VERI_TABANI!D25*B782), VERI_TABANI!D25*C782)*VERI_TABANI!$B$7 + MAX(0, VERI_TABANI!D25*C782-MAX(0, VERI_TABANI!D25-VERI_TABANI!D25*B782))*VERI_TABANI!$B$8) + IF(ABS(IF(ISNUMBER(SEARCH("Var", D782)), 1, IF(ISNUMBER(SEARCH("Gri", D782)), -1, 0)))=1, VERI_TABANI!E25*(1-0.928)*VERI_TABANI!$B$9, 0) + (VERI_TABANI!D25*B782*(VERI_TABANI!$B$13-VERI_TABANI!$B$14)*VERI_TABANI!G25) + (VERI_TABANI!D25*C782*(VERI_TABANI!$B$13-VERI_TABANI!$B$15)*VERI_TABANI!G25) + IF(ABS(IF(ISNUMBER(SEARCH("Var", D782)), 1, IF(ISNUMBER(SEARCH("Gri", D782)), -1, 0)))=1, VERI_TABANI!E25*(1-0.928)*0.00206091519919798*VERI_TABANI!G25, 0)) + ((MIN(VERI_TABANI!D26, VERI_TABANI!D26*B782)*VERI_TABANI!$B$7 + MAX(0, VERI_TABANI!D26*B782-VERI_TABANI!D26)*VERI_TABANI!$B$8) + (MIN(MAX(0, VERI_TABANI!D26-VERI_TABANI!D26*B782), VERI_TABANI!D26*C782)*VERI_TABANI!$B$7 + MAX(0, VERI_TABANI!D26*C782-MAX(0, VERI_TABANI!D26-VERI_TABANI!D26*B782))*VERI_TABANI!$B$8) + IF(ABS(IF(ISNUMBER(SEARCH("Var", D782)), 1, IF(ISNUMBER(SEARCH("Gri", D782)), -1, 0)))=1, VERI_TABANI!E26*(1-0.928)*VERI_TABANI!$B$9, 0) + (VERI_TABANI!D26*B782*(VERI_TABANI!$B$13-VERI_TABANI!$B$14)*VERI_TABANI!G26) + (VERI_TABANI!D26*C782*(VERI_TABANI!$B$13-VERI_TABANI!$B$15)*VERI_TABANI!G26) + IF(ABS(IF(ISNUMBER(SEARCH("Var", D782)), 1, IF(ISNUMBER(SEARCH("Gri", D782)), -1, 0)))=1, VERI_TABANI!E26*(1-0.928)*0.00206091519919798*VERI_TABANI!G26, 0)) + ((MIN(VERI_TABANI!D27, VERI_TABANI!D27*B782)*VERI_TABANI!$B$7 + MAX(0, VERI_TABANI!D27*B782-VERI_TABANI!D27)*VERI_TABANI!$B$8) + (MIN(MAX(0, VERI_TABANI!D27-VERI_TABANI!D27*B782), VERI_TABANI!D27*C782)*VERI_TABANI!$B$7 + MAX(0, VERI_TABANI!D27*C782-MAX(0, VERI_TABANI!D27-VERI_TABANI!D27*B782))*VERI_TABANI!$B$8) + IF(ABS(IF(ISNUMBER(SEARCH("Var", D782)), 1, IF(ISNUMBER(SEARCH("Gri", D782)), -1, 0)))=1, VERI_TABANI!E27*(1-0.928)*VERI_TABANI!$B$9, 0) + (VERI_TABANI!D27*B782*(VERI_TABANI!$B$13-VERI_TABANI!$B$14)*VERI_TABANI!G27) + (VERI_TABANI!D27*C782*(VERI_TABANI!$B$13-VERI_TABANI!$B$15)*VERI_TABANI!G27) + IF(ABS(IF(ISNUMBER(SEARCH("Var", D782)), 1, IF(ISNUMBER(SEARCH("Gri", D782)), -1, 0)))=1, VERI_TABANI!E27*(1-0.928)*0.00206091519919798*VERI_TABANI!G27, 0)) + ((MIN(VERI_TABANI!D28, VERI_TABANI!D28*B782)*VERI_TABANI!$B$7 + MAX(0, VERI_TABANI!D28*B782-VERI_TABANI!D28)*VERI_TABANI!$B$8) + (MIN(MAX(0, VERI_TABANI!D28-VERI_TABANI!D28*B782), VERI_TABANI!D28*C782)*VERI_TABANI!$B$7 + MAX(0, VERI_TABANI!D28*C782-MAX(0, VERI_TABANI!D28-VERI_TABANI!D28*B782))*VERI_TABANI!$B$8) + IF(ABS(IF(ISNUMBER(SEARCH("Var", D782)), 1, IF(ISNUMBER(SEARCH("Gri", D782)), -1, 0)))=1, VERI_TABANI!E28*(1-0.928)*VERI_TABANI!$B$9, 0) + (VERI_TABANI!D28*B782*(VERI_TABANI!$B$13-VERI_TABANI!$B$14)*VERI_TABANI!G28) + (VERI_TABANI!D28*C782*(VERI_TABANI!$B$13-VERI_TABANI!$B$15)*VERI_TABANI!G28) + IF(ABS(IF(ISNUMBER(SEARCH("Var", D782)), 1, IF(ISNUMBER(SEARCH("Gri", D782)), -1, 0)))=1, VERI_TABANI!E28*(1-0.928)*0.00206091519919798*VERI_TABANI!G28, 0)))</f>
        <v/>
      </c>
      <c r="H782" s="169">
        <f>(((VERI_TABANI!D23*B782*(VERI_TABANI!$B$13-VERI_TABANI!$B$14)) + (VERI_TABANI!D23*C782*(VERI_TABANI!$B$13-VERI_TABANI!$B$15)) + IF(ISNUMBER(SEARCH("Var", D782)), VERI_TABANI!F23*(0.00202-VERI_TABANI!$B$16), IF(ISNUMBER(SEARCH("Gri", D782)), VERI_TABANI!F23*(0.00202-VERI_TABANI!$B$17), 0))) + ((VERI_TABANI!D24*B782*(VERI_TABANI!$B$13-VERI_TABANI!$B$14)) + (VERI_TABANI!D24*C782*(VERI_TABANI!$B$13-VERI_TABANI!$B$15)) + IF(ISNUMBER(SEARCH("Var", D782)), VERI_TABANI!F24*(0.00202-VERI_TABANI!$B$16), IF(ISNUMBER(SEARCH("Gri", D782)), VERI_TABANI!F24*(0.00202-VERI_TABANI!$B$17), 0))) + ((VERI_TABANI!D25*B782*(VERI_TABANI!$B$13-VERI_TABANI!$B$14)) + (VERI_TABANI!D25*C782*(VERI_TABANI!$B$13-VERI_TABANI!$B$15)) + IF(ISNUMBER(SEARCH("Var", D782)), VERI_TABANI!F25*(0.00202-VERI_TABANI!$B$16), IF(ISNUMBER(SEARCH("Gri", D782)), VERI_TABANI!F25*(0.00202-VERI_TABANI!$B$17), 0))) + ((VERI_TABANI!D26*B782*(VERI_TABANI!$B$13-VERI_TABANI!$B$14)) + (VERI_TABANI!D26*C782*(VERI_TABANI!$B$13-VERI_TABANI!$B$15)) + IF(ISNUMBER(SEARCH("Var", D782)), VERI_TABANI!F26*(0.00202-VERI_TABANI!$B$16), IF(ISNUMBER(SEARCH("Gri", D782)), VERI_TABANI!F26*(0.00202-VERI_TABANI!$B$17), 0))) + ((VERI_TABANI!D27*B782*(VERI_TABANI!$B$13-VERI_TABANI!$B$14)) + (VERI_TABANI!D27*C782*(VERI_TABANI!$B$13-VERI_TABANI!$B$15)) + IF(ISNUMBER(SEARCH("Var", D782)), VERI_TABANI!F27*(0.00202-VERI_TABANI!$B$16), IF(ISNUMBER(SEARCH("Gri", D782)), VERI_TABANI!F27*(0.00202-VERI_TABANI!$B$17), 0))) + ((VERI_TABANI!D28*B782*(VERI_TABANI!$B$13-VERI_TABANI!$B$14)) + (VERI_TABANI!D28*C782*(VERI_TABANI!$B$13-VERI_TABANI!$B$15)) + IF(ISNUMBER(SEARCH("Var", D782)), VERI_TABANI!F28*(0.00202-VERI_TABANI!$B$16), IF(ISNUMBER(SEARCH("Gri", D782)), VERI_TABANI!F28*(0.00202-VERI_TABANI!$B$17), 0))))</f>
        <v/>
      </c>
      <c r="I782" s="170">
        <f>IFERROR(((VERI_TABANI!$D$29*B782*VERI_TABANI!$B$14 + VERI_TABANI!$D$29*C782*VERI_TABANI!$B$15 + IF(ISNUMBER(SEARCH("Var", D782)), VERI_TABANI!$F$29*VERI_TABANI!$B$16, 0))) / (((VERI_TABANI!$D$29*B782 + VERI_TABANI!$D$29*C782)*VERI_TABANI!$B$13 + IF(ISNUMBER(SEARCH("Var", D782)), VERI_TABANI!$E$29*(1-0.928)*VERI_TABANI!$B$18, 0))), 0)</f>
        <v/>
      </c>
      <c r="J782" s="171">
        <f>IFERROR(F782/(G782/29), 0)</f>
        <v/>
      </c>
      <c r="K782" s="172">
        <f>IF(F782&gt;0, H782/F782, 0)</f>
        <v/>
      </c>
      <c r="L782" s="170">
        <f>IF(F782&gt;0, I782, 1000000000)</f>
        <v/>
      </c>
      <c r="M782" s="171">
        <f>ABS((B782+C782)-1)</f>
        <v/>
      </c>
      <c r="N782" s="170">
        <f>IF(F782&gt;0, (G782/29)/F782, 0)</f>
        <v/>
      </c>
      <c r="O782" s="168">
        <f>IF(AND((B782+C782)&gt;=1, ISNUMBER(SEARCH("Var", D782))), F782, 1000000000)</f>
        <v/>
      </c>
      <c r="P782" s="172">
        <f>IF(F782&gt;0, SQRT((F782/MAX(F$5:F$886))^2 + (1 - H782/MAX(H$5:H$886))^2 + (J782/MAX(J$5:J$886))^2), 1000000000)</f>
        <v/>
      </c>
      <c r="Q782" s="166">
        <f>IF(AND(ABS(B782-0.5)&lt;0.01, ABS(C782-0.5)&lt;0.01, ISNUMBER(SEARCH("Var", D782))), 1, 0)</f>
        <v/>
      </c>
      <c r="R782" s="171">
        <f>IF(F782&gt;0, J782, 1000000000)</f>
        <v/>
      </c>
      <c r="S782" s="101">
        <f>IF(AND(F782&lt;=DASHBOARD!$B$11, H782&gt;=DASHBOARD!$B$13), G782, -1000000000000)</f>
        <v/>
      </c>
      <c r="T782" s="101">
        <f>IF(AND(F782&lt;=DASHBOARD!$B$11, H782&gt;=DASHBOARD!$B$13), R782, 1000000000000)</f>
        <v/>
      </c>
      <c r="U782" s="101">
        <f>IF(AND(F782&lt;=DASHBOARD!$B$11, H782&gt;=DASHBOARD!$B$13), N782, -1000000000000)</f>
        <v/>
      </c>
      <c r="V782" s="101">
        <f>IF(AND(F782&lt;=DASHBOARD!$B$11, H782&gt;=DASHBOARD!$B$13), H782, -1000000000000)</f>
        <v/>
      </c>
      <c r="W782" s="101">
        <f>IF(AND(F782&lt;=DASHBOARD!$B$11, H782&gt;=DASHBOARD!$B$13), K782, -1000000000000)</f>
        <v/>
      </c>
      <c r="X782" s="101">
        <f>IF(AND(F782&lt;=DASHBOARD!$B$11, H782&gt;=DASHBOARD!$B$13), M782, 1000000000000)</f>
        <v/>
      </c>
      <c r="Y782" s="101">
        <f>IF(AND(F782&lt;=DASHBOARD!$B$10, H782&gt;=DASHBOARD!$B$11), L782, 1000000000000)</f>
        <v/>
      </c>
      <c r="Z782" s="101">
        <f>IF(AND(F782&lt;=DASHBOARD!$B$10, H782&gt;=DASHBOARD!$B$11), O782, 1000000000000)</f>
        <v/>
      </c>
      <c r="AA782" s="101">
        <f>IF(AND(F782&lt;=DASHBOARD!$B$10, H782&gt;=DASHBOARD!$B$11), P782, 1000000000000)</f>
        <v/>
      </c>
      <c r="AB782" s="101">
        <f>IF(AND(F782&lt;=DASHBOARD!$B$10, H782&gt;=DASHBOARD!$B$11), Q782, -1000000000000)</f>
        <v/>
      </c>
    </row>
    <row r="783" ht="15" customHeight="1" s="102">
      <c r="A783" s="166" t="n">
        <v>779</v>
      </c>
      <c r="B783" s="167" t="n">
        <v>1.8</v>
      </c>
      <c r="C783" s="167" t="n">
        <v>1.1</v>
      </c>
      <c r="D783" s="110" t="inlineStr">
        <is>
          <t>Yok (%0)</t>
        </is>
      </c>
      <c r="E783" s="110">
        <f>IF((B783+C783)&lt;=1, "Tam Mahsuplaşma (≤%100)", "Kısmi Satış (&gt;%100)")</f>
        <v/>
      </c>
      <c r="F783" s="168">
        <f>((VERI_TABANI!$D$29*B783/VERI_TABANI!$B$29)/VERI_TABANI!$B$3)*VERI_TABANI!$B$5 + ((VERI_TABANI!$D$29*C783/VERI_TABANI!$B$29)/VERI_TABANI!$B$4)*VERI_TABANI!$B$6 + IF(ISNUMBER(SEARCH("Var", D783)), (VERI_TABANI!$F$29/VERI_TABANI!$B$29)*(VERI_TABANI!$B$10+VERI_TABANI!$B$12), 0)</f>
        <v/>
      </c>
      <c r="G783" s="168">
        <f>(((MIN(VERI_TABANI!D23, VERI_TABANI!D23*B783)*VERI_TABANI!$B$7 + MAX(0, VERI_TABANI!D23*B783-VERI_TABANI!D23)*VERI_TABANI!$B$8) + (MIN(MAX(0, VERI_TABANI!D23-VERI_TABANI!D23*B783), VERI_TABANI!D23*C783)*VERI_TABANI!$B$7 + MAX(0, VERI_TABANI!D23*C783-MAX(0, VERI_TABANI!D23-VERI_TABANI!D23*B783))*VERI_TABANI!$B$8) + IF(ABS(IF(ISNUMBER(SEARCH("Var", D783)), 1, IF(ISNUMBER(SEARCH("Gri", D783)), -1, 0)))=1, VERI_TABANI!E23*(1-0.928)*VERI_TABANI!$B$9, 0) + (VERI_TABANI!D23*B783*(VERI_TABANI!$B$13-VERI_TABANI!$B$14)*VERI_TABANI!G23) + (VERI_TABANI!D23*C783*(VERI_TABANI!$B$13-VERI_TABANI!$B$15)*VERI_TABANI!G23) + IF(ABS(IF(ISNUMBER(SEARCH("Var", D783)), 1, IF(ISNUMBER(SEARCH("Gri", D783)), -1, 0)))=1, VERI_TABANI!E23*(1-0.928)*0.00206091519919798*VERI_TABANI!G23, 0)) + ((MIN(VERI_TABANI!D24, VERI_TABANI!D24*B783)*VERI_TABANI!$B$7 + MAX(0, VERI_TABANI!D24*B783-VERI_TABANI!D24)*VERI_TABANI!$B$8) + (MIN(MAX(0, VERI_TABANI!D24-VERI_TABANI!D24*B783), VERI_TABANI!D24*C783)*VERI_TABANI!$B$7 + MAX(0, VERI_TABANI!D24*C783-MAX(0, VERI_TABANI!D24-VERI_TABANI!D24*B783))*VERI_TABANI!$B$8) + IF(ABS(IF(ISNUMBER(SEARCH("Var", D783)), 1, IF(ISNUMBER(SEARCH("Gri", D783)), -1, 0)))=1, VERI_TABANI!E24*(1-0.928)*VERI_TABANI!$B$9, 0) + (VERI_TABANI!D24*B783*(VERI_TABANI!$B$13-VERI_TABANI!$B$14)*VERI_TABANI!G24) + (VERI_TABANI!D24*C783*(VERI_TABANI!$B$13-VERI_TABANI!$B$15)*VERI_TABANI!G24) + IF(ABS(IF(ISNUMBER(SEARCH("Var", D783)), 1, IF(ISNUMBER(SEARCH("Gri", D783)), -1, 0)))=1, VERI_TABANI!E24*(1-0.928)*0.00206091519919798*VERI_TABANI!G24, 0)) + ((MIN(VERI_TABANI!D25, VERI_TABANI!D25*B783)*VERI_TABANI!$B$7 + MAX(0, VERI_TABANI!D25*B783-VERI_TABANI!D25)*VERI_TABANI!$B$8) + (MIN(MAX(0, VERI_TABANI!D25-VERI_TABANI!D25*B783), VERI_TABANI!D25*C783)*VERI_TABANI!$B$7 + MAX(0, VERI_TABANI!D25*C783-MAX(0, VERI_TABANI!D25-VERI_TABANI!D25*B783))*VERI_TABANI!$B$8) + IF(ABS(IF(ISNUMBER(SEARCH("Var", D783)), 1, IF(ISNUMBER(SEARCH("Gri", D783)), -1, 0)))=1, VERI_TABANI!E25*(1-0.928)*VERI_TABANI!$B$9, 0) + (VERI_TABANI!D25*B783*(VERI_TABANI!$B$13-VERI_TABANI!$B$14)*VERI_TABANI!G25) + (VERI_TABANI!D25*C783*(VERI_TABANI!$B$13-VERI_TABANI!$B$15)*VERI_TABANI!G25) + IF(ABS(IF(ISNUMBER(SEARCH("Var", D783)), 1, IF(ISNUMBER(SEARCH("Gri", D783)), -1, 0)))=1, VERI_TABANI!E25*(1-0.928)*0.00206091519919798*VERI_TABANI!G25, 0)) + ((MIN(VERI_TABANI!D26, VERI_TABANI!D26*B783)*VERI_TABANI!$B$7 + MAX(0, VERI_TABANI!D26*B783-VERI_TABANI!D26)*VERI_TABANI!$B$8) + (MIN(MAX(0, VERI_TABANI!D26-VERI_TABANI!D26*B783), VERI_TABANI!D26*C783)*VERI_TABANI!$B$7 + MAX(0, VERI_TABANI!D26*C783-MAX(0, VERI_TABANI!D26-VERI_TABANI!D26*B783))*VERI_TABANI!$B$8) + IF(ABS(IF(ISNUMBER(SEARCH("Var", D783)), 1, IF(ISNUMBER(SEARCH("Gri", D783)), -1, 0)))=1, VERI_TABANI!E26*(1-0.928)*VERI_TABANI!$B$9, 0) + (VERI_TABANI!D26*B783*(VERI_TABANI!$B$13-VERI_TABANI!$B$14)*VERI_TABANI!G26) + (VERI_TABANI!D26*C783*(VERI_TABANI!$B$13-VERI_TABANI!$B$15)*VERI_TABANI!G26) + IF(ABS(IF(ISNUMBER(SEARCH("Var", D783)), 1, IF(ISNUMBER(SEARCH("Gri", D783)), -1, 0)))=1, VERI_TABANI!E26*(1-0.928)*0.00206091519919798*VERI_TABANI!G26, 0)) + ((MIN(VERI_TABANI!D27, VERI_TABANI!D27*B783)*VERI_TABANI!$B$7 + MAX(0, VERI_TABANI!D27*B783-VERI_TABANI!D27)*VERI_TABANI!$B$8) + (MIN(MAX(0, VERI_TABANI!D27-VERI_TABANI!D27*B783), VERI_TABANI!D27*C783)*VERI_TABANI!$B$7 + MAX(0, VERI_TABANI!D27*C783-MAX(0, VERI_TABANI!D27-VERI_TABANI!D27*B783))*VERI_TABANI!$B$8) + IF(ABS(IF(ISNUMBER(SEARCH("Var", D783)), 1, IF(ISNUMBER(SEARCH("Gri", D783)), -1, 0)))=1, VERI_TABANI!E27*(1-0.928)*VERI_TABANI!$B$9, 0) + (VERI_TABANI!D27*B783*(VERI_TABANI!$B$13-VERI_TABANI!$B$14)*VERI_TABANI!G27) + (VERI_TABANI!D27*C783*(VERI_TABANI!$B$13-VERI_TABANI!$B$15)*VERI_TABANI!G27) + IF(ABS(IF(ISNUMBER(SEARCH("Var", D783)), 1, IF(ISNUMBER(SEARCH("Gri", D783)), -1, 0)))=1, VERI_TABANI!E27*(1-0.928)*0.00206091519919798*VERI_TABANI!G27, 0)) + ((MIN(VERI_TABANI!D28, VERI_TABANI!D28*B783)*VERI_TABANI!$B$7 + MAX(0, VERI_TABANI!D28*B783-VERI_TABANI!D28)*VERI_TABANI!$B$8) + (MIN(MAX(0, VERI_TABANI!D28-VERI_TABANI!D28*B783), VERI_TABANI!D28*C783)*VERI_TABANI!$B$7 + MAX(0, VERI_TABANI!D28*C783-MAX(0, VERI_TABANI!D28-VERI_TABANI!D28*B783))*VERI_TABANI!$B$8) + IF(ABS(IF(ISNUMBER(SEARCH("Var", D783)), 1, IF(ISNUMBER(SEARCH("Gri", D783)), -1, 0)))=1, VERI_TABANI!E28*(1-0.928)*VERI_TABANI!$B$9, 0) + (VERI_TABANI!D28*B783*(VERI_TABANI!$B$13-VERI_TABANI!$B$14)*VERI_TABANI!G28) + (VERI_TABANI!D28*C783*(VERI_TABANI!$B$13-VERI_TABANI!$B$15)*VERI_TABANI!G28) + IF(ABS(IF(ISNUMBER(SEARCH("Var", D783)), 1, IF(ISNUMBER(SEARCH("Gri", D783)), -1, 0)))=1, VERI_TABANI!E28*(1-0.928)*0.00206091519919798*VERI_TABANI!G28, 0)))</f>
        <v/>
      </c>
      <c r="H783" s="169">
        <f>(((VERI_TABANI!D23*B783*(VERI_TABANI!$B$13-VERI_TABANI!$B$14)) + (VERI_TABANI!D23*C783*(VERI_TABANI!$B$13-VERI_TABANI!$B$15)) + IF(ISNUMBER(SEARCH("Var", D783)), VERI_TABANI!F23*(0.00202-VERI_TABANI!$B$16), IF(ISNUMBER(SEARCH("Gri", D783)), VERI_TABANI!F23*(0.00202-VERI_TABANI!$B$17), 0))) + ((VERI_TABANI!D24*B783*(VERI_TABANI!$B$13-VERI_TABANI!$B$14)) + (VERI_TABANI!D24*C783*(VERI_TABANI!$B$13-VERI_TABANI!$B$15)) + IF(ISNUMBER(SEARCH("Var", D783)), VERI_TABANI!F24*(0.00202-VERI_TABANI!$B$16), IF(ISNUMBER(SEARCH("Gri", D783)), VERI_TABANI!F24*(0.00202-VERI_TABANI!$B$17), 0))) + ((VERI_TABANI!D25*B783*(VERI_TABANI!$B$13-VERI_TABANI!$B$14)) + (VERI_TABANI!D25*C783*(VERI_TABANI!$B$13-VERI_TABANI!$B$15)) + IF(ISNUMBER(SEARCH("Var", D783)), VERI_TABANI!F25*(0.00202-VERI_TABANI!$B$16), IF(ISNUMBER(SEARCH("Gri", D783)), VERI_TABANI!F25*(0.00202-VERI_TABANI!$B$17), 0))) + ((VERI_TABANI!D26*B783*(VERI_TABANI!$B$13-VERI_TABANI!$B$14)) + (VERI_TABANI!D26*C783*(VERI_TABANI!$B$13-VERI_TABANI!$B$15)) + IF(ISNUMBER(SEARCH("Var", D783)), VERI_TABANI!F26*(0.00202-VERI_TABANI!$B$16), IF(ISNUMBER(SEARCH("Gri", D783)), VERI_TABANI!F26*(0.00202-VERI_TABANI!$B$17), 0))) + ((VERI_TABANI!D27*B783*(VERI_TABANI!$B$13-VERI_TABANI!$B$14)) + (VERI_TABANI!D27*C783*(VERI_TABANI!$B$13-VERI_TABANI!$B$15)) + IF(ISNUMBER(SEARCH("Var", D783)), VERI_TABANI!F27*(0.00202-VERI_TABANI!$B$16), IF(ISNUMBER(SEARCH("Gri", D783)), VERI_TABANI!F27*(0.00202-VERI_TABANI!$B$17), 0))) + ((VERI_TABANI!D28*B783*(VERI_TABANI!$B$13-VERI_TABANI!$B$14)) + (VERI_TABANI!D28*C783*(VERI_TABANI!$B$13-VERI_TABANI!$B$15)) + IF(ISNUMBER(SEARCH("Var", D783)), VERI_TABANI!F28*(0.00202-VERI_TABANI!$B$16), IF(ISNUMBER(SEARCH("Gri", D783)), VERI_TABANI!F28*(0.00202-VERI_TABANI!$B$17), 0))))</f>
        <v/>
      </c>
      <c r="I783" s="170">
        <f>IFERROR(((VERI_TABANI!$D$29*B783*VERI_TABANI!$B$14 + VERI_TABANI!$D$29*C783*VERI_TABANI!$B$15 + IF(ISNUMBER(SEARCH("Var", D783)), VERI_TABANI!$F$29*VERI_TABANI!$B$16, 0))) / (((VERI_TABANI!$D$29*B783 + VERI_TABANI!$D$29*C783)*VERI_TABANI!$B$13 + IF(ISNUMBER(SEARCH("Var", D783)), VERI_TABANI!$E$29*(1-0.928)*VERI_TABANI!$B$18, 0))), 0)</f>
        <v/>
      </c>
      <c r="J783" s="171">
        <f>IFERROR(F783/(G783/29), 0)</f>
        <v/>
      </c>
      <c r="K783" s="172">
        <f>IF(F783&gt;0, H783/F783, 0)</f>
        <v/>
      </c>
      <c r="L783" s="170">
        <f>IF(F783&gt;0, I783, 1000000000)</f>
        <v/>
      </c>
      <c r="M783" s="171">
        <f>ABS((B783+C783)-1)</f>
        <v/>
      </c>
      <c r="N783" s="170">
        <f>IF(F783&gt;0, (G783/29)/F783, 0)</f>
        <v/>
      </c>
      <c r="O783" s="168">
        <f>IF(AND((B783+C783)&gt;=1, ISNUMBER(SEARCH("Var", D783))), F783, 1000000000)</f>
        <v/>
      </c>
      <c r="P783" s="172">
        <f>IF(F783&gt;0, SQRT((F783/MAX(F$5:F$886))^2 + (1 - H783/MAX(H$5:H$886))^2 + (J783/MAX(J$5:J$886))^2), 1000000000)</f>
        <v/>
      </c>
      <c r="Q783" s="166">
        <f>IF(AND(ABS(B783-0.5)&lt;0.01, ABS(C783-0.5)&lt;0.01, ISNUMBER(SEARCH("Var", D783))), 1, 0)</f>
        <v/>
      </c>
      <c r="R783" s="171">
        <f>IF(F783&gt;0, J783, 1000000000)</f>
        <v/>
      </c>
      <c r="S783" s="101">
        <f>IF(AND(F783&lt;=DASHBOARD!$B$11, H783&gt;=DASHBOARD!$B$13), G783, -1000000000000)</f>
        <v/>
      </c>
      <c r="T783" s="101">
        <f>IF(AND(F783&lt;=DASHBOARD!$B$11, H783&gt;=DASHBOARD!$B$13), R783, 1000000000000)</f>
        <v/>
      </c>
      <c r="U783" s="101">
        <f>IF(AND(F783&lt;=DASHBOARD!$B$11, H783&gt;=DASHBOARD!$B$13), N783, -1000000000000)</f>
        <v/>
      </c>
      <c r="V783" s="101">
        <f>IF(AND(F783&lt;=DASHBOARD!$B$11, H783&gt;=DASHBOARD!$B$13), H783, -1000000000000)</f>
        <v/>
      </c>
      <c r="W783" s="101">
        <f>IF(AND(F783&lt;=DASHBOARD!$B$11, H783&gt;=DASHBOARD!$B$13), K783, -1000000000000)</f>
        <v/>
      </c>
      <c r="X783" s="101">
        <f>IF(AND(F783&lt;=DASHBOARD!$B$11, H783&gt;=DASHBOARD!$B$13), M783, 1000000000000)</f>
        <v/>
      </c>
      <c r="Y783" s="101">
        <f>IF(AND(F783&lt;=DASHBOARD!$B$10, H783&gt;=DASHBOARD!$B$11), L783, 1000000000000)</f>
        <v/>
      </c>
      <c r="Z783" s="101">
        <f>IF(AND(F783&lt;=DASHBOARD!$B$10, H783&gt;=DASHBOARD!$B$11), O783, 1000000000000)</f>
        <v/>
      </c>
      <c r="AA783" s="101">
        <f>IF(AND(F783&lt;=DASHBOARD!$B$10, H783&gt;=DASHBOARD!$B$11), P783, 1000000000000)</f>
        <v/>
      </c>
      <c r="AB783" s="101">
        <f>IF(AND(F783&lt;=DASHBOARD!$B$10, H783&gt;=DASHBOARD!$B$11), Q783, -1000000000000)</f>
        <v/>
      </c>
    </row>
    <row r="784" ht="15" customHeight="1" s="102">
      <c r="A784" s="166" t="n">
        <v>780</v>
      </c>
      <c r="B784" s="167" t="n">
        <v>1.8</v>
      </c>
      <c r="C784" s="167" t="n">
        <v>1.1</v>
      </c>
      <c r="D784" s="110" t="inlineStr">
        <is>
          <t>Var (%20)</t>
        </is>
      </c>
      <c r="E784" s="110">
        <f>IF((B784+C784)&lt;=1, "Tam Mahsuplaşma (≤%100)", "Kısmi Satış (&gt;%100)")</f>
        <v/>
      </c>
      <c r="F784" s="168">
        <f>((VERI_TABANI!$D$29*B784/VERI_TABANI!$B$29)/VERI_TABANI!$B$3)*VERI_TABANI!$B$5 + ((VERI_TABANI!$D$29*C784/VERI_TABANI!$B$29)/VERI_TABANI!$B$4)*VERI_TABANI!$B$6 + IF(ISNUMBER(SEARCH("Var", D784)), (VERI_TABANI!$F$29/VERI_TABANI!$B$29)*(VERI_TABANI!$B$10+VERI_TABANI!$B$12), 0)</f>
        <v/>
      </c>
      <c r="G784" s="168">
        <f>(((MIN(VERI_TABANI!D23, VERI_TABANI!D23*B784)*VERI_TABANI!$B$7 + MAX(0, VERI_TABANI!D23*B784-VERI_TABANI!D23)*VERI_TABANI!$B$8) + (MIN(MAX(0, VERI_TABANI!D23-VERI_TABANI!D23*B784), VERI_TABANI!D23*C784)*VERI_TABANI!$B$7 + MAX(0, VERI_TABANI!D23*C784-MAX(0, VERI_TABANI!D23-VERI_TABANI!D23*B784))*VERI_TABANI!$B$8) + IF(ABS(IF(ISNUMBER(SEARCH("Var", D784)), 1, IF(ISNUMBER(SEARCH("Gri", D784)), -1, 0)))=1, VERI_TABANI!E23*(1-0.928)*VERI_TABANI!$B$9, 0) + (VERI_TABANI!D23*B784*(VERI_TABANI!$B$13-VERI_TABANI!$B$14)*VERI_TABANI!G23) + (VERI_TABANI!D23*C784*(VERI_TABANI!$B$13-VERI_TABANI!$B$15)*VERI_TABANI!G23) + IF(ABS(IF(ISNUMBER(SEARCH("Var", D784)), 1, IF(ISNUMBER(SEARCH("Gri", D784)), -1, 0)))=1, VERI_TABANI!E23*(1-0.928)*0.00206091519919798*VERI_TABANI!G23, 0)) + ((MIN(VERI_TABANI!D24, VERI_TABANI!D24*B784)*VERI_TABANI!$B$7 + MAX(0, VERI_TABANI!D24*B784-VERI_TABANI!D24)*VERI_TABANI!$B$8) + (MIN(MAX(0, VERI_TABANI!D24-VERI_TABANI!D24*B784), VERI_TABANI!D24*C784)*VERI_TABANI!$B$7 + MAX(0, VERI_TABANI!D24*C784-MAX(0, VERI_TABANI!D24-VERI_TABANI!D24*B784))*VERI_TABANI!$B$8) + IF(ABS(IF(ISNUMBER(SEARCH("Var", D784)), 1, IF(ISNUMBER(SEARCH("Gri", D784)), -1, 0)))=1, VERI_TABANI!E24*(1-0.928)*VERI_TABANI!$B$9, 0) + (VERI_TABANI!D24*B784*(VERI_TABANI!$B$13-VERI_TABANI!$B$14)*VERI_TABANI!G24) + (VERI_TABANI!D24*C784*(VERI_TABANI!$B$13-VERI_TABANI!$B$15)*VERI_TABANI!G24) + IF(ABS(IF(ISNUMBER(SEARCH("Var", D784)), 1, IF(ISNUMBER(SEARCH("Gri", D784)), -1, 0)))=1, VERI_TABANI!E24*(1-0.928)*0.00206091519919798*VERI_TABANI!G24, 0)) + ((MIN(VERI_TABANI!D25, VERI_TABANI!D25*B784)*VERI_TABANI!$B$7 + MAX(0, VERI_TABANI!D25*B784-VERI_TABANI!D25)*VERI_TABANI!$B$8) + (MIN(MAX(0, VERI_TABANI!D25-VERI_TABANI!D25*B784), VERI_TABANI!D25*C784)*VERI_TABANI!$B$7 + MAX(0, VERI_TABANI!D25*C784-MAX(0, VERI_TABANI!D25-VERI_TABANI!D25*B784))*VERI_TABANI!$B$8) + IF(ABS(IF(ISNUMBER(SEARCH("Var", D784)), 1, IF(ISNUMBER(SEARCH("Gri", D784)), -1, 0)))=1, VERI_TABANI!E25*(1-0.928)*VERI_TABANI!$B$9, 0) + (VERI_TABANI!D25*B784*(VERI_TABANI!$B$13-VERI_TABANI!$B$14)*VERI_TABANI!G25) + (VERI_TABANI!D25*C784*(VERI_TABANI!$B$13-VERI_TABANI!$B$15)*VERI_TABANI!G25) + IF(ABS(IF(ISNUMBER(SEARCH("Var", D784)), 1, IF(ISNUMBER(SEARCH("Gri", D784)), -1, 0)))=1, VERI_TABANI!E25*(1-0.928)*0.00206091519919798*VERI_TABANI!G25, 0)) + ((MIN(VERI_TABANI!D26, VERI_TABANI!D26*B784)*VERI_TABANI!$B$7 + MAX(0, VERI_TABANI!D26*B784-VERI_TABANI!D26)*VERI_TABANI!$B$8) + (MIN(MAX(0, VERI_TABANI!D26-VERI_TABANI!D26*B784), VERI_TABANI!D26*C784)*VERI_TABANI!$B$7 + MAX(0, VERI_TABANI!D26*C784-MAX(0, VERI_TABANI!D26-VERI_TABANI!D26*B784))*VERI_TABANI!$B$8) + IF(ABS(IF(ISNUMBER(SEARCH("Var", D784)), 1, IF(ISNUMBER(SEARCH("Gri", D784)), -1, 0)))=1, VERI_TABANI!E26*(1-0.928)*VERI_TABANI!$B$9, 0) + (VERI_TABANI!D26*B784*(VERI_TABANI!$B$13-VERI_TABANI!$B$14)*VERI_TABANI!G26) + (VERI_TABANI!D26*C784*(VERI_TABANI!$B$13-VERI_TABANI!$B$15)*VERI_TABANI!G26) + IF(ABS(IF(ISNUMBER(SEARCH("Var", D784)), 1, IF(ISNUMBER(SEARCH("Gri", D784)), -1, 0)))=1, VERI_TABANI!E26*(1-0.928)*0.00206091519919798*VERI_TABANI!G26, 0)) + ((MIN(VERI_TABANI!D27, VERI_TABANI!D27*B784)*VERI_TABANI!$B$7 + MAX(0, VERI_TABANI!D27*B784-VERI_TABANI!D27)*VERI_TABANI!$B$8) + (MIN(MAX(0, VERI_TABANI!D27-VERI_TABANI!D27*B784), VERI_TABANI!D27*C784)*VERI_TABANI!$B$7 + MAX(0, VERI_TABANI!D27*C784-MAX(0, VERI_TABANI!D27-VERI_TABANI!D27*B784))*VERI_TABANI!$B$8) + IF(ABS(IF(ISNUMBER(SEARCH("Var", D784)), 1, IF(ISNUMBER(SEARCH("Gri", D784)), -1, 0)))=1, VERI_TABANI!E27*(1-0.928)*VERI_TABANI!$B$9, 0) + (VERI_TABANI!D27*B784*(VERI_TABANI!$B$13-VERI_TABANI!$B$14)*VERI_TABANI!G27) + (VERI_TABANI!D27*C784*(VERI_TABANI!$B$13-VERI_TABANI!$B$15)*VERI_TABANI!G27) + IF(ABS(IF(ISNUMBER(SEARCH("Var", D784)), 1, IF(ISNUMBER(SEARCH("Gri", D784)), -1, 0)))=1, VERI_TABANI!E27*(1-0.928)*0.00206091519919798*VERI_TABANI!G27, 0)) + ((MIN(VERI_TABANI!D28, VERI_TABANI!D28*B784)*VERI_TABANI!$B$7 + MAX(0, VERI_TABANI!D28*B784-VERI_TABANI!D28)*VERI_TABANI!$B$8) + (MIN(MAX(0, VERI_TABANI!D28-VERI_TABANI!D28*B784), VERI_TABANI!D28*C784)*VERI_TABANI!$B$7 + MAX(0, VERI_TABANI!D28*C784-MAX(0, VERI_TABANI!D28-VERI_TABANI!D28*B784))*VERI_TABANI!$B$8) + IF(ABS(IF(ISNUMBER(SEARCH("Var", D784)), 1, IF(ISNUMBER(SEARCH("Gri", D784)), -1, 0)))=1, VERI_TABANI!E28*(1-0.928)*VERI_TABANI!$B$9, 0) + (VERI_TABANI!D28*B784*(VERI_TABANI!$B$13-VERI_TABANI!$B$14)*VERI_TABANI!G28) + (VERI_TABANI!D28*C784*(VERI_TABANI!$B$13-VERI_TABANI!$B$15)*VERI_TABANI!G28) + IF(ABS(IF(ISNUMBER(SEARCH("Var", D784)), 1, IF(ISNUMBER(SEARCH("Gri", D784)), -1, 0)))=1, VERI_TABANI!E28*(1-0.928)*0.00206091519919798*VERI_TABANI!G28, 0)))</f>
        <v/>
      </c>
      <c r="H784" s="169">
        <f>(((VERI_TABANI!D23*B784*(VERI_TABANI!$B$13-VERI_TABANI!$B$14)) + (VERI_TABANI!D23*C784*(VERI_TABANI!$B$13-VERI_TABANI!$B$15)) + IF(ISNUMBER(SEARCH("Var", D784)), VERI_TABANI!F23*(0.00202-VERI_TABANI!$B$16), IF(ISNUMBER(SEARCH("Gri", D784)), VERI_TABANI!F23*(0.00202-VERI_TABANI!$B$17), 0))) + ((VERI_TABANI!D24*B784*(VERI_TABANI!$B$13-VERI_TABANI!$B$14)) + (VERI_TABANI!D24*C784*(VERI_TABANI!$B$13-VERI_TABANI!$B$15)) + IF(ISNUMBER(SEARCH("Var", D784)), VERI_TABANI!F24*(0.00202-VERI_TABANI!$B$16), IF(ISNUMBER(SEARCH("Gri", D784)), VERI_TABANI!F24*(0.00202-VERI_TABANI!$B$17), 0))) + ((VERI_TABANI!D25*B784*(VERI_TABANI!$B$13-VERI_TABANI!$B$14)) + (VERI_TABANI!D25*C784*(VERI_TABANI!$B$13-VERI_TABANI!$B$15)) + IF(ISNUMBER(SEARCH("Var", D784)), VERI_TABANI!F25*(0.00202-VERI_TABANI!$B$16), IF(ISNUMBER(SEARCH("Gri", D784)), VERI_TABANI!F25*(0.00202-VERI_TABANI!$B$17), 0))) + ((VERI_TABANI!D26*B784*(VERI_TABANI!$B$13-VERI_TABANI!$B$14)) + (VERI_TABANI!D26*C784*(VERI_TABANI!$B$13-VERI_TABANI!$B$15)) + IF(ISNUMBER(SEARCH("Var", D784)), VERI_TABANI!F26*(0.00202-VERI_TABANI!$B$16), IF(ISNUMBER(SEARCH("Gri", D784)), VERI_TABANI!F26*(0.00202-VERI_TABANI!$B$17), 0))) + ((VERI_TABANI!D27*B784*(VERI_TABANI!$B$13-VERI_TABANI!$B$14)) + (VERI_TABANI!D27*C784*(VERI_TABANI!$B$13-VERI_TABANI!$B$15)) + IF(ISNUMBER(SEARCH("Var", D784)), VERI_TABANI!F27*(0.00202-VERI_TABANI!$B$16), IF(ISNUMBER(SEARCH("Gri", D784)), VERI_TABANI!F27*(0.00202-VERI_TABANI!$B$17), 0))) + ((VERI_TABANI!D28*B784*(VERI_TABANI!$B$13-VERI_TABANI!$B$14)) + (VERI_TABANI!D28*C784*(VERI_TABANI!$B$13-VERI_TABANI!$B$15)) + IF(ISNUMBER(SEARCH("Var", D784)), VERI_TABANI!F28*(0.00202-VERI_TABANI!$B$16), IF(ISNUMBER(SEARCH("Gri", D784)), VERI_TABANI!F28*(0.00202-VERI_TABANI!$B$17), 0))))</f>
        <v/>
      </c>
      <c r="I784" s="170">
        <f>IFERROR(((VERI_TABANI!$D$29*B784*VERI_TABANI!$B$14 + VERI_TABANI!$D$29*C784*VERI_TABANI!$B$15 + IF(ISNUMBER(SEARCH("Var", D784)), VERI_TABANI!$F$29*VERI_TABANI!$B$16, 0))) / (((VERI_TABANI!$D$29*B784 + VERI_TABANI!$D$29*C784)*VERI_TABANI!$B$13 + IF(ISNUMBER(SEARCH("Var", D784)), VERI_TABANI!$E$29*(1-0.928)*VERI_TABANI!$B$18, 0))), 0)</f>
        <v/>
      </c>
      <c r="J784" s="171">
        <f>IFERROR(F784/(G784/29), 0)</f>
        <v/>
      </c>
      <c r="K784" s="172">
        <f>IF(F784&gt;0, H784/F784, 0)</f>
        <v/>
      </c>
      <c r="L784" s="170">
        <f>IF(F784&gt;0, I784, 1000000000)</f>
        <v/>
      </c>
      <c r="M784" s="171">
        <f>ABS((B784+C784)-1)</f>
        <v/>
      </c>
      <c r="N784" s="170">
        <f>IF(F784&gt;0, (G784/29)/F784, 0)</f>
        <v/>
      </c>
      <c r="O784" s="168">
        <f>IF(AND((B784+C784)&gt;=1, ISNUMBER(SEARCH("Var", D784))), F784, 1000000000)</f>
        <v/>
      </c>
      <c r="P784" s="172">
        <f>IF(F784&gt;0, SQRT((F784/MAX(F$5:F$886))^2 + (1 - H784/MAX(H$5:H$886))^2 + (J784/MAX(J$5:J$886))^2), 1000000000)</f>
        <v/>
      </c>
      <c r="Q784" s="166">
        <f>IF(AND(ABS(B784-0.5)&lt;0.01, ABS(C784-0.5)&lt;0.01, ISNUMBER(SEARCH("Var", D784))), 1, 0)</f>
        <v/>
      </c>
      <c r="R784" s="171">
        <f>IF(F784&gt;0, J784, 1000000000)</f>
        <v/>
      </c>
      <c r="S784" s="101">
        <f>IF(AND(F784&lt;=DASHBOARD!$B$11, H784&gt;=DASHBOARD!$B$13), G784, -1000000000000)</f>
        <v/>
      </c>
      <c r="T784" s="101">
        <f>IF(AND(F784&lt;=DASHBOARD!$B$11, H784&gt;=DASHBOARD!$B$13), R784, 1000000000000)</f>
        <v/>
      </c>
      <c r="U784" s="101">
        <f>IF(AND(F784&lt;=DASHBOARD!$B$11, H784&gt;=DASHBOARD!$B$13), N784, -1000000000000)</f>
        <v/>
      </c>
      <c r="V784" s="101">
        <f>IF(AND(F784&lt;=DASHBOARD!$B$11, H784&gt;=DASHBOARD!$B$13), H784, -1000000000000)</f>
        <v/>
      </c>
      <c r="W784" s="101">
        <f>IF(AND(F784&lt;=DASHBOARD!$B$11, H784&gt;=DASHBOARD!$B$13), K784, -1000000000000)</f>
        <v/>
      </c>
      <c r="X784" s="101">
        <f>IF(AND(F784&lt;=DASHBOARD!$B$11, H784&gt;=DASHBOARD!$B$13), M784, 1000000000000)</f>
        <v/>
      </c>
      <c r="Y784" s="101">
        <f>IF(AND(F784&lt;=DASHBOARD!$B$10, H784&gt;=DASHBOARD!$B$11), L784, 1000000000000)</f>
        <v/>
      </c>
      <c r="Z784" s="101">
        <f>IF(AND(F784&lt;=DASHBOARD!$B$10, H784&gt;=DASHBOARD!$B$11), O784, 1000000000000)</f>
        <v/>
      </c>
      <c r="AA784" s="101">
        <f>IF(AND(F784&lt;=DASHBOARD!$B$10, H784&gt;=DASHBOARD!$B$11), P784, 1000000000000)</f>
        <v/>
      </c>
      <c r="AB784" s="101">
        <f>IF(AND(F784&lt;=DASHBOARD!$B$10, H784&gt;=DASHBOARD!$B$11), Q784, -1000000000000)</f>
        <v/>
      </c>
    </row>
    <row r="785" ht="15" customHeight="1" s="102">
      <c r="A785" s="166" t="n">
        <v>781</v>
      </c>
      <c r="B785" s="167" t="n">
        <v>1.8</v>
      </c>
      <c r="C785" s="167" t="n">
        <v>1.2</v>
      </c>
      <c r="D785" s="110" t="inlineStr">
        <is>
          <t>Yok (%0)</t>
        </is>
      </c>
      <c r="E785" s="110">
        <f>IF((B785+C785)&lt;=1, "Tam Mahsuplaşma (≤%100)", "Kısmi Satış (&gt;%100)")</f>
        <v/>
      </c>
      <c r="F785" s="168">
        <f>((VERI_TABANI!$D$29*B785/VERI_TABANI!$B$29)/VERI_TABANI!$B$3)*VERI_TABANI!$B$5 + ((VERI_TABANI!$D$29*C785/VERI_TABANI!$B$29)/VERI_TABANI!$B$4)*VERI_TABANI!$B$6 + IF(ISNUMBER(SEARCH("Var", D785)), (VERI_TABANI!$F$29/VERI_TABANI!$B$29)*(VERI_TABANI!$B$10+VERI_TABANI!$B$12), 0)</f>
        <v/>
      </c>
      <c r="G785" s="168">
        <f>(((MIN(VERI_TABANI!D23, VERI_TABANI!D23*B785)*VERI_TABANI!$B$7 + MAX(0, VERI_TABANI!D23*B785-VERI_TABANI!D23)*VERI_TABANI!$B$8) + (MIN(MAX(0, VERI_TABANI!D23-VERI_TABANI!D23*B785), VERI_TABANI!D23*C785)*VERI_TABANI!$B$7 + MAX(0, VERI_TABANI!D23*C785-MAX(0, VERI_TABANI!D23-VERI_TABANI!D23*B785))*VERI_TABANI!$B$8) + IF(ABS(IF(ISNUMBER(SEARCH("Var", D785)), 1, IF(ISNUMBER(SEARCH("Gri", D785)), -1, 0)))=1, VERI_TABANI!E23*(1-0.928)*VERI_TABANI!$B$9, 0) + (VERI_TABANI!D23*B785*(VERI_TABANI!$B$13-VERI_TABANI!$B$14)*VERI_TABANI!G23) + (VERI_TABANI!D23*C785*(VERI_TABANI!$B$13-VERI_TABANI!$B$15)*VERI_TABANI!G23) + IF(ABS(IF(ISNUMBER(SEARCH("Var", D785)), 1, IF(ISNUMBER(SEARCH("Gri", D785)), -1, 0)))=1, VERI_TABANI!E23*(1-0.928)*0.00206091519919798*VERI_TABANI!G23, 0)) + ((MIN(VERI_TABANI!D24, VERI_TABANI!D24*B785)*VERI_TABANI!$B$7 + MAX(0, VERI_TABANI!D24*B785-VERI_TABANI!D24)*VERI_TABANI!$B$8) + (MIN(MAX(0, VERI_TABANI!D24-VERI_TABANI!D24*B785), VERI_TABANI!D24*C785)*VERI_TABANI!$B$7 + MAX(0, VERI_TABANI!D24*C785-MAX(0, VERI_TABANI!D24-VERI_TABANI!D24*B785))*VERI_TABANI!$B$8) + IF(ABS(IF(ISNUMBER(SEARCH("Var", D785)), 1, IF(ISNUMBER(SEARCH("Gri", D785)), -1, 0)))=1, VERI_TABANI!E24*(1-0.928)*VERI_TABANI!$B$9, 0) + (VERI_TABANI!D24*B785*(VERI_TABANI!$B$13-VERI_TABANI!$B$14)*VERI_TABANI!G24) + (VERI_TABANI!D24*C785*(VERI_TABANI!$B$13-VERI_TABANI!$B$15)*VERI_TABANI!G24) + IF(ABS(IF(ISNUMBER(SEARCH("Var", D785)), 1, IF(ISNUMBER(SEARCH("Gri", D785)), -1, 0)))=1, VERI_TABANI!E24*(1-0.928)*0.00206091519919798*VERI_TABANI!G24, 0)) + ((MIN(VERI_TABANI!D25, VERI_TABANI!D25*B785)*VERI_TABANI!$B$7 + MAX(0, VERI_TABANI!D25*B785-VERI_TABANI!D25)*VERI_TABANI!$B$8) + (MIN(MAX(0, VERI_TABANI!D25-VERI_TABANI!D25*B785), VERI_TABANI!D25*C785)*VERI_TABANI!$B$7 + MAX(0, VERI_TABANI!D25*C785-MAX(0, VERI_TABANI!D25-VERI_TABANI!D25*B785))*VERI_TABANI!$B$8) + IF(ABS(IF(ISNUMBER(SEARCH("Var", D785)), 1, IF(ISNUMBER(SEARCH("Gri", D785)), -1, 0)))=1, VERI_TABANI!E25*(1-0.928)*VERI_TABANI!$B$9, 0) + (VERI_TABANI!D25*B785*(VERI_TABANI!$B$13-VERI_TABANI!$B$14)*VERI_TABANI!G25) + (VERI_TABANI!D25*C785*(VERI_TABANI!$B$13-VERI_TABANI!$B$15)*VERI_TABANI!G25) + IF(ABS(IF(ISNUMBER(SEARCH("Var", D785)), 1, IF(ISNUMBER(SEARCH("Gri", D785)), -1, 0)))=1, VERI_TABANI!E25*(1-0.928)*0.00206091519919798*VERI_TABANI!G25, 0)) + ((MIN(VERI_TABANI!D26, VERI_TABANI!D26*B785)*VERI_TABANI!$B$7 + MAX(0, VERI_TABANI!D26*B785-VERI_TABANI!D26)*VERI_TABANI!$B$8) + (MIN(MAX(0, VERI_TABANI!D26-VERI_TABANI!D26*B785), VERI_TABANI!D26*C785)*VERI_TABANI!$B$7 + MAX(0, VERI_TABANI!D26*C785-MAX(0, VERI_TABANI!D26-VERI_TABANI!D26*B785))*VERI_TABANI!$B$8) + IF(ABS(IF(ISNUMBER(SEARCH("Var", D785)), 1, IF(ISNUMBER(SEARCH("Gri", D785)), -1, 0)))=1, VERI_TABANI!E26*(1-0.928)*VERI_TABANI!$B$9, 0) + (VERI_TABANI!D26*B785*(VERI_TABANI!$B$13-VERI_TABANI!$B$14)*VERI_TABANI!G26) + (VERI_TABANI!D26*C785*(VERI_TABANI!$B$13-VERI_TABANI!$B$15)*VERI_TABANI!G26) + IF(ABS(IF(ISNUMBER(SEARCH("Var", D785)), 1, IF(ISNUMBER(SEARCH("Gri", D785)), -1, 0)))=1, VERI_TABANI!E26*(1-0.928)*0.00206091519919798*VERI_TABANI!G26, 0)) + ((MIN(VERI_TABANI!D27, VERI_TABANI!D27*B785)*VERI_TABANI!$B$7 + MAX(0, VERI_TABANI!D27*B785-VERI_TABANI!D27)*VERI_TABANI!$B$8) + (MIN(MAX(0, VERI_TABANI!D27-VERI_TABANI!D27*B785), VERI_TABANI!D27*C785)*VERI_TABANI!$B$7 + MAX(0, VERI_TABANI!D27*C785-MAX(0, VERI_TABANI!D27-VERI_TABANI!D27*B785))*VERI_TABANI!$B$8) + IF(ABS(IF(ISNUMBER(SEARCH("Var", D785)), 1, IF(ISNUMBER(SEARCH("Gri", D785)), -1, 0)))=1, VERI_TABANI!E27*(1-0.928)*VERI_TABANI!$B$9, 0) + (VERI_TABANI!D27*B785*(VERI_TABANI!$B$13-VERI_TABANI!$B$14)*VERI_TABANI!G27) + (VERI_TABANI!D27*C785*(VERI_TABANI!$B$13-VERI_TABANI!$B$15)*VERI_TABANI!G27) + IF(ABS(IF(ISNUMBER(SEARCH("Var", D785)), 1, IF(ISNUMBER(SEARCH("Gri", D785)), -1, 0)))=1, VERI_TABANI!E27*(1-0.928)*0.00206091519919798*VERI_TABANI!G27, 0)) + ((MIN(VERI_TABANI!D28, VERI_TABANI!D28*B785)*VERI_TABANI!$B$7 + MAX(0, VERI_TABANI!D28*B785-VERI_TABANI!D28)*VERI_TABANI!$B$8) + (MIN(MAX(0, VERI_TABANI!D28-VERI_TABANI!D28*B785), VERI_TABANI!D28*C785)*VERI_TABANI!$B$7 + MAX(0, VERI_TABANI!D28*C785-MAX(0, VERI_TABANI!D28-VERI_TABANI!D28*B785))*VERI_TABANI!$B$8) + IF(ABS(IF(ISNUMBER(SEARCH("Var", D785)), 1, IF(ISNUMBER(SEARCH("Gri", D785)), -1, 0)))=1, VERI_TABANI!E28*(1-0.928)*VERI_TABANI!$B$9, 0) + (VERI_TABANI!D28*B785*(VERI_TABANI!$B$13-VERI_TABANI!$B$14)*VERI_TABANI!G28) + (VERI_TABANI!D28*C785*(VERI_TABANI!$B$13-VERI_TABANI!$B$15)*VERI_TABANI!G28) + IF(ABS(IF(ISNUMBER(SEARCH("Var", D785)), 1, IF(ISNUMBER(SEARCH("Gri", D785)), -1, 0)))=1, VERI_TABANI!E28*(1-0.928)*0.00206091519919798*VERI_TABANI!G28, 0)))</f>
        <v/>
      </c>
      <c r="H785" s="169">
        <f>(((VERI_TABANI!D23*B785*(VERI_TABANI!$B$13-VERI_TABANI!$B$14)) + (VERI_TABANI!D23*C785*(VERI_TABANI!$B$13-VERI_TABANI!$B$15)) + IF(ISNUMBER(SEARCH("Var", D785)), VERI_TABANI!F23*(0.00202-VERI_TABANI!$B$16), IF(ISNUMBER(SEARCH("Gri", D785)), VERI_TABANI!F23*(0.00202-VERI_TABANI!$B$17), 0))) + ((VERI_TABANI!D24*B785*(VERI_TABANI!$B$13-VERI_TABANI!$B$14)) + (VERI_TABANI!D24*C785*(VERI_TABANI!$B$13-VERI_TABANI!$B$15)) + IF(ISNUMBER(SEARCH("Var", D785)), VERI_TABANI!F24*(0.00202-VERI_TABANI!$B$16), IF(ISNUMBER(SEARCH("Gri", D785)), VERI_TABANI!F24*(0.00202-VERI_TABANI!$B$17), 0))) + ((VERI_TABANI!D25*B785*(VERI_TABANI!$B$13-VERI_TABANI!$B$14)) + (VERI_TABANI!D25*C785*(VERI_TABANI!$B$13-VERI_TABANI!$B$15)) + IF(ISNUMBER(SEARCH("Var", D785)), VERI_TABANI!F25*(0.00202-VERI_TABANI!$B$16), IF(ISNUMBER(SEARCH("Gri", D785)), VERI_TABANI!F25*(0.00202-VERI_TABANI!$B$17), 0))) + ((VERI_TABANI!D26*B785*(VERI_TABANI!$B$13-VERI_TABANI!$B$14)) + (VERI_TABANI!D26*C785*(VERI_TABANI!$B$13-VERI_TABANI!$B$15)) + IF(ISNUMBER(SEARCH("Var", D785)), VERI_TABANI!F26*(0.00202-VERI_TABANI!$B$16), IF(ISNUMBER(SEARCH("Gri", D785)), VERI_TABANI!F26*(0.00202-VERI_TABANI!$B$17), 0))) + ((VERI_TABANI!D27*B785*(VERI_TABANI!$B$13-VERI_TABANI!$B$14)) + (VERI_TABANI!D27*C785*(VERI_TABANI!$B$13-VERI_TABANI!$B$15)) + IF(ISNUMBER(SEARCH("Var", D785)), VERI_TABANI!F27*(0.00202-VERI_TABANI!$B$16), IF(ISNUMBER(SEARCH("Gri", D785)), VERI_TABANI!F27*(0.00202-VERI_TABANI!$B$17), 0))) + ((VERI_TABANI!D28*B785*(VERI_TABANI!$B$13-VERI_TABANI!$B$14)) + (VERI_TABANI!D28*C785*(VERI_TABANI!$B$13-VERI_TABANI!$B$15)) + IF(ISNUMBER(SEARCH("Var", D785)), VERI_TABANI!F28*(0.00202-VERI_TABANI!$B$16), IF(ISNUMBER(SEARCH("Gri", D785)), VERI_TABANI!F28*(0.00202-VERI_TABANI!$B$17), 0))))</f>
        <v/>
      </c>
      <c r="I785" s="170">
        <f>IFERROR(((VERI_TABANI!$D$29*B785*VERI_TABANI!$B$14 + VERI_TABANI!$D$29*C785*VERI_TABANI!$B$15 + IF(ISNUMBER(SEARCH("Var", D785)), VERI_TABANI!$F$29*VERI_TABANI!$B$16, 0))) / (((VERI_TABANI!$D$29*B785 + VERI_TABANI!$D$29*C785)*VERI_TABANI!$B$13 + IF(ISNUMBER(SEARCH("Var", D785)), VERI_TABANI!$E$29*(1-0.928)*VERI_TABANI!$B$18, 0))), 0)</f>
        <v/>
      </c>
      <c r="J785" s="171">
        <f>IFERROR(F785/(G785/29), 0)</f>
        <v/>
      </c>
      <c r="K785" s="172">
        <f>IF(F785&gt;0, H785/F785, 0)</f>
        <v/>
      </c>
      <c r="L785" s="170">
        <f>IF(F785&gt;0, I785, 1000000000)</f>
        <v/>
      </c>
      <c r="M785" s="171">
        <f>ABS((B785+C785)-1)</f>
        <v/>
      </c>
      <c r="N785" s="170">
        <f>IF(F785&gt;0, (G785/29)/F785, 0)</f>
        <v/>
      </c>
      <c r="O785" s="168">
        <f>IF(AND((B785+C785)&gt;=1, ISNUMBER(SEARCH("Var", D785))), F785, 1000000000)</f>
        <v/>
      </c>
      <c r="P785" s="172">
        <f>IF(F785&gt;0, SQRT((F785/MAX(F$5:F$886))^2 + (1 - H785/MAX(H$5:H$886))^2 + (J785/MAX(J$5:J$886))^2), 1000000000)</f>
        <v/>
      </c>
      <c r="Q785" s="166">
        <f>IF(AND(ABS(B785-0.5)&lt;0.01, ABS(C785-0.5)&lt;0.01, ISNUMBER(SEARCH("Var", D785))), 1, 0)</f>
        <v/>
      </c>
      <c r="R785" s="171">
        <f>IF(F785&gt;0, J785, 1000000000)</f>
        <v/>
      </c>
      <c r="S785" s="101">
        <f>IF(AND(F785&lt;=DASHBOARD!$B$11, H785&gt;=DASHBOARD!$B$13), G785, -1000000000000)</f>
        <v/>
      </c>
      <c r="T785" s="101">
        <f>IF(AND(F785&lt;=DASHBOARD!$B$11, H785&gt;=DASHBOARD!$B$13), R785, 1000000000000)</f>
        <v/>
      </c>
      <c r="U785" s="101">
        <f>IF(AND(F785&lt;=DASHBOARD!$B$11, H785&gt;=DASHBOARD!$B$13), N785, -1000000000000)</f>
        <v/>
      </c>
      <c r="V785" s="101">
        <f>IF(AND(F785&lt;=DASHBOARD!$B$11, H785&gt;=DASHBOARD!$B$13), H785, -1000000000000)</f>
        <v/>
      </c>
      <c r="W785" s="101">
        <f>IF(AND(F785&lt;=DASHBOARD!$B$11, H785&gt;=DASHBOARD!$B$13), K785, -1000000000000)</f>
        <v/>
      </c>
      <c r="X785" s="101">
        <f>IF(AND(F785&lt;=DASHBOARD!$B$11, H785&gt;=DASHBOARD!$B$13), M785, 1000000000000)</f>
        <v/>
      </c>
      <c r="Y785" s="101">
        <f>IF(AND(F785&lt;=DASHBOARD!$B$10, H785&gt;=DASHBOARD!$B$11), L785, 1000000000000)</f>
        <v/>
      </c>
      <c r="Z785" s="101">
        <f>IF(AND(F785&lt;=DASHBOARD!$B$10, H785&gt;=DASHBOARD!$B$11), O785, 1000000000000)</f>
        <v/>
      </c>
      <c r="AA785" s="101">
        <f>IF(AND(F785&lt;=DASHBOARD!$B$10, H785&gt;=DASHBOARD!$B$11), P785, 1000000000000)</f>
        <v/>
      </c>
      <c r="AB785" s="101">
        <f>IF(AND(F785&lt;=DASHBOARD!$B$10, H785&gt;=DASHBOARD!$B$11), Q785, -1000000000000)</f>
        <v/>
      </c>
    </row>
    <row r="786" ht="15" customHeight="1" s="102">
      <c r="A786" s="166" t="n">
        <v>782</v>
      </c>
      <c r="B786" s="167" t="n">
        <v>1.8</v>
      </c>
      <c r="C786" s="167" t="n">
        <v>1.2</v>
      </c>
      <c r="D786" s="110" t="inlineStr">
        <is>
          <t>Var (%20)</t>
        </is>
      </c>
      <c r="E786" s="110">
        <f>IF((B786+C786)&lt;=1, "Tam Mahsuplaşma (≤%100)", "Kısmi Satış (&gt;%100)")</f>
        <v/>
      </c>
      <c r="F786" s="168">
        <f>((VERI_TABANI!$D$29*B786/VERI_TABANI!$B$29)/VERI_TABANI!$B$3)*VERI_TABANI!$B$5 + ((VERI_TABANI!$D$29*C786/VERI_TABANI!$B$29)/VERI_TABANI!$B$4)*VERI_TABANI!$B$6 + IF(ISNUMBER(SEARCH("Var", D786)), (VERI_TABANI!$F$29/VERI_TABANI!$B$29)*(VERI_TABANI!$B$10+VERI_TABANI!$B$12), 0)</f>
        <v/>
      </c>
      <c r="G786" s="168">
        <f>(((MIN(VERI_TABANI!D23, VERI_TABANI!D23*B786)*VERI_TABANI!$B$7 + MAX(0, VERI_TABANI!D23*B786-VERI_TABANI!D23)*VERI_TABANI!$B$8) + (MIN(MAX(0, VERI_TABANI!D23-VERI_TABANI!D23*B786), VERI_TABANI!D23*C786)*VERI_TABANI!$B$7 + MAX(0, VERI_TABANI!D23*C786-MAX(0, VERI_TABANI!D23-VERI_TABANI!D23*B786))*VERI_TABANI!$B$8) + IF(ABS(IF(ISNUMBER(SEARCH("Var", D786)), 1, IF(ISNUMBER(SEARCH("Gri", D786)), -1, 0)))=1, VERI_TABANI!E23*(1-0.928)*VERI_TABANI!$B$9, 0) + (VERI_TABANI!D23*B786*(VERI_TABANI!$B$13-VERI_TABANI!$B$14)*VERI_TABANI!G23) + (VERI_TABANI!D23*C786*(VERI_TABANI!$B$13-VERI_TABANI!$B$15)*VERI_TABANI!G23) + IF(ABS(IF(ISNUMBER(SEARCH("Var", D786)), 1, IF(ISNUMBER(SEARCH("Gri", D786)), -1, 0)))=1, VERI_TABANI!E23*(1-0.928)*0.00206091519919798*VERI_TABANI!G23, 0)) + ((MIN(VERI_TABANI!D24, VERI_TABANI!D24*B786)*VERI_TABANI!$B$7 + MAX(0, VERI_TABANI!D24*B786-VERI_TABANI!D24)*VERI_TABANI!$B$8) + (MIN(MAX(0, VERI_TABANI!D24-VERI_TABANI!D24*B786), VERI_TABANI!D24*C786)*VERI_TABANI!$B$7 + MAX(0, VERI_TABANI!D24*C786-MAX(0, VERI_TABANI!D24-VERI_TABANI!D24*B786))*VERI_TABANI!$B$8) + IF(ABS(IF(ISNUMBER(SEARCH("Var", D786)), 1, IF(ISNUMBER(SEARCH("Gri", D786)), -1, 0)))=1, VERI_TABANI!E24*(1-0.928)*VERI_TABANI!$B$9, 0) + (VERI_TABANI!D24*B786*(VERI_TABANI!$B$13-VERI_TABANI!$B$14)*VERI_TABANI!G24) + (VERI_TABANI!D24*C786*(VERI_TABANI!$B$13-VERI_TABANI!$B$15)*VERI_TABANI!G24) + IF(ABS(IF(ISNUMBER(SEARCH("Var", D786)), 1, IF(ISNUMBER(SEARCH("Gri", D786)), -1, 0)))=1, VERI_TABANI!E24*(1-0.928)*0.00206091519919798*VERI_TABANI!G24, 0)) + ((MIN(VERI_TABANI!D25, VERI_TABANI!D25*B786)*VERI_TABANI!$B$7 + MAX(0, VERI_TABANI!D25*B786-VERI_TABANI!D25)*VERI_TABANI!$B$8) + (MIN(MAX(0, VERI_TABANI!D25-VERI_TABANI!D25*B786), VERI_TABANI!D25*C786)*VERI_TABANI!$B$7 + MAX(0, VERI_TABANI!D25*C786-MAX(0, VERI_TABANI!D25-VERI_TABANI!D25*B786))*VERI_TABANI!$B$8) + IF(ABS(IF(ISNUMBER(SEARCH("Var", D786)), 1, IF(ISNUMBER(SEARCH("Gri", D786)), -1, 0)))=1, VERI_TABANI!E25*(1-0.928)*VERI_TABANI!$B$9, 0) + (VERI_TABANI!D25*B786*(VERI_TABANI!$B$13-VERI_TABANI!$B$14)*VERI_TABANI!G25) + (VERI_TABANI!D25*C786*(VERI_TABANI!$B$13-VERI_TABANI!$B$15)*VERI_TABANI!G25) + IF(ABS(IF(ISNUMBER(SEARCH("Var", D786)), 1, IF(ISNUMBER(SEARCH("Gri", D786)), -1, 0)))=1, VERI_TABANI!E25*(1-0.928)*0.00206091519919798*VERI_TABANI!G25, 0)) + ((MIN(VERI_TABANI!D26, VERI_TABANI!D26*B786)*VERI_TABANI!$B$7 + MAX(0, VERI_TABANI!D26*B786-VERI_TABANI!D26)*VERI_TABANI!$B$8) + (MIN(MAX(0, VERI_TABANI!D26-VERI_TABANI!D26*B786), VERI_TABANI!D26*C786)*VERI_TABANI!$B$7 + MAX(0, VERI_TABANI!D26*C786-MAX(0, VERI_TABANI!D26-VERI_TABANI!D26*B786))*VERI_TABANI!$B$8) + IF(ABS(IF(ISNUMBER(SEARCH("Var", D786)), 1, IF(ISNUMBER(SEARCH("Gri", D786)), -1, 0)))=1, VERI_TABANI!E26*(1-0.928)*VERI_TABANI!$B$9, 0) + (VERI_TABANI!D26*B786*(VERI_TABANI!$B$13-VERI_TABANI!$B$14)*VERI_TABANI!G26) + (VERI_TABANI!D26*C786*(VERI_TABANI!$B$13-VERI_TABANI!$B$15)*VERI_TABANI!G26) + IF(ABS(IF(ISNUMBER(SEARCH("Var", D786)), 1, IF(ISNUMBER(SEARCH("Gri", D786)), -1, 0)))=1, VERI_TABANI!E26*(1-0.928)*0.00206091519919798*VERI_TABANI!G26, 0)) + ((MIN(VERI_TABANI!D27, VERI_TABANI!D27*B786)*VERI_TABANI!$B$7 + MAX(0, VERI_TABANI!D27*B786-VERI_TABANI!D27)*VERI_TABANI!$B$8) + (MIN(MAX(0, VERI_TABANI!D27-VERI_TABANI!D27*B786), VERI_TABANI!D27*C786)*VERI_TABANI!$B$7 + MAX(0, VERI_TABANI!D27*C786-MAX(0, VERI_TABANI!D27-VERI_TABANI!D27*B786))*VERI_TABANI!$B$8) + IF(ABS(IF(ISNUMBER(SEARCH("Var", D786)), 1, IF(ISNUMBER(SEARCH("Gri", D786)), -1, 0)))=1, VERI_TABANI!E27*(1-0.928)*VERI_TABANI!$B$9, 0) + (VERI_TABANI!D27*B786*(VERI_TABANI!$B$13-VERI_TABANI!$B$14)*VERI_TABANI!G27) + (VERI_TABANI!D27*C786*(VERI_TABANI!$B$13-VERI_TABANI!$B$15)*VERI_TABANI!G27) + IF(ABS(IF(ISNUMBER(SEARCH("Var", D786)), 1, IF(ISNUMBER(SEARCH("Gri", D786)), -1, 0)))=1, VERI_TABANI!E27*(1-0.928)*0.00206091519919798*VERI_TABANI!G27, 0)) + ((MIN(VERI_TABANI!D28, VERI_TABANI!D28*B786)*VERI_TABANI!$B$7 + MAX(0, VERI_TABANI!D28*B786-VERI_TABANI!D28)*VERI_TABANI!$B$8) + (MIN(MAX(0, VERI_TABANI!D28-VERI_TABANI!D28*B786), VERI_TABANI!D28*C786)*VERI_TABANI!$B$7 + MAX(0, VERI_TABANI!D28*C786-MAX(0, VERI_TABANI!D28-VERI_TABANI!D28*B786))*VERI_TABANI!$B$8) + IF(ABS(IF(ISNUMBER(SEARCH("Var", D786)), 1, IF(ISNUMBER(SEARCH("Gri", D786)), -1, 0)))=1, VERI_TABANI!E28*(1-0.928)*VERI_TABANI!$B$9, 0) + (VERI_TABANI!D28*B786*(VERI_TABANI!$B$13-VERI_TABANI!$B$14)*VERI_TABANI!G28) + (VERI_TABANI!D28*C786*(VERI_TABANI!$B$13-VERI_TABANI!$B$15)*VERI_TABANI!G28) + IF(ABS(IF(ISNUMBER(SEARCH("Var", D786)), 1, IF(ISNUMBER(SEARCH("Gri", D786)), -1, 0)))=1, VERI_TABANI!E28*(1-0.928)*0.00206091519919798*VERI_TABANI!G28, 0)))</f>
        <v/>
      </c>
      <c r="H786" s="169">
        <f>(((VERI_TABANI!D23*B786*(VERI_TABANI!$B$13-VERI_TABANI!$B$14)) + (VERI_TABANI!D23*C786*(VERI_TABANI!$B$13-VERI_TABANI!$B$15)) + IF(ISNUMBER(SEARCH("Var", D786)), VERI_TABANI!F23*(0.00202-VERI_TABANI!$B$16), IF(ISNUMBER(SEARCH("Gri", D786)), VERI_TABANI!F23*(0.00202-VERI_TABANI!$B$17), 0))) + ((VERI_TABANI!D24*B786*(VERI_TABANI!$B$13-VERI_TABANI!$B$14)) + (VERI_TABANI!D24*C786*(VERI_TABANI!$B$13-VERI_TABANI!$B$15)) + IF(ISNUMBER(SEARCH("Var", D786)), VERI_TABANI!F24*(0.00202-VERI_TABANI!$B$16), IF(ISNUMBER(SEARCH("Gri", D786)), VERI_TABANI!F24*(0.00202-VERI_TABANI!$B$17), 0))) + ((VERI_TABANI!D25*B786*(VERI_TABANI!$B$13-VERI_TABANI!$B$14)) + (VERI_TABANI!D25*C786*(VERI_TABANI!$B$13-VERI_TABANI!$B$15)) + IF(ISNUMBER(SEARCH("Var", D786)), VERI_TABANI!F25*(0.00202-VERI_TABANI!$B$16), IF(ISNUMBER(SEARCH("Gri", D786)), VERI_TABANI!F25*(0.00202-VERI_TABANI!$B$17), 0))) + ((VERI_TABANI!D26*B786*(VERI_TABANI!$B$13-VERI_TABANI!$B$14)) + (VERI_TABANI!D26*C786*(VERI_TABANI!$B$13-VERI_TABANI!$B$15)) + IF(ISNUMBER(SEARCH("Var", D786)), VERI_TABANI!F26*(0.00202-VERI_TABANI!$B$16), IF(ISNUMBER(SEARCH("Gri", D786)), VERI_TABANI!F26*(0.00202-VERI_TABANI!$B$17), 0))) + ((VERI_TABANI!D27*B786*(VERI_TABANI!$B$13-VERI_TABANI!$B$14)) + (VERI_TABANI!D27*C786*(VERI_TABANI!$B$13-VERI_TABANI!$B$15)) + IF(ISNUMBER(SEARCH("Var", D786)), VERI_TABANI!F27*(0.00202-VERI_TABANI!$B$16), IF(ISNUMBER(SEARCH("Gri", D786)), VERI_TABANI!F27*(0.00202-VERI_TABANI!$B$17), 0))) + ((VERI_TABANI!D28*B786*(VERI_TABANI!$B$13-VERI_TABANI!$B$14)) + (VERI_TABANI!D28*C786*(VERI_TABANI!$B$13-VERI_TABANI!$B$15)) + IF(ISNUMBER(SEARCH("Var", D786)), VERI_TABANI!F28*(0.00202-VERI_TABANI!$B$16), IF(ISNUMBER(SEARCH("Gri", D786)), VERI_TABANI!F28*(0.00202-VERI_TABANI!$B$17), 0))))</f>
        <v/>
      </c>
      <c r="I786" s="170">
        <f>IFERROR(((VERI_TABANI!$D$29*B786*VERI_TABANI!$B$14 + VERI_TABANI!$D$29*C786*VERI_TABANI!$B$15 + IF(ISNUMBER(SEARCH("Var", D786)), VERI_TABANI!$F$29*VERI_TABANI!$B$16, 0))) / (((VERI_TABANI!$D$29*B786 + VERI_TABANI!$D$29*C786)*VERI_TABANI!$B$13 + IF(ISNUMBER(SEARCH("Var", D786)), VERI_TABANI!$E$29*(1-0.928)*VERI_TABANI!$B$18, 0))), 0)</f>
        <v/>
      </c>
      <c r="J786" s="171">
        <f>IFERROR(F786/(G786/29), 0)</f>
        <v/>
      </c>
      <c r="K786" s="172">
        <f>IF(F786&gt;0, H786/F786, 0)</f>
        <v/>
      </c>
      <c r="L786" s="170">
        <f>IF(F786&gt;0, I786, 1000000000)</f>
        <v/>
      </c>
      <c r="M786" s="171">
        <f>ABS((B786+C786)-1)</f>
        <v/>
      </c>
      <c r="N786" s="170">
        <f>IF(F786&gt;0, (G786/29)/F786, 0)</f>
        <v/>
      </c>
      <c r="O786" s="168">
        <f>IF(AND((B786+C786)&gt;=1, ISNUMBER(SEARCH("Var", D786))), F786, 1000000000)</f>
        <v/>
      </c>
      <c r="P786" s="172">
        <f>IF(F786&gt;0, SQRT((F786/MAX(F$5:F$886))^2 + (1 - H786/MAX(H$5:H$886))^2 + (J786/MAX(J$5:J$886))^2), 1000000000)</f>
        <v/>
      </c>
      <c r="Q786" s="166">
        <f>IF(AND(ABS(B786-0.5)&lt;0.01, ABS(C786-0.5)&lt;0.01, ISNUMBER(SEARCH("Var", D786))), 1, 0)</f>
        <v/>
      </c>
      <c r="R786" s="171">
        <f>IF(F786&gt;0, J786, 1000000000)</f>
        <v/>
      </c>
      <c r="S786" s="101">
        <f>IF(AND(F786&lt;=DASHBOARD!$B$11, H786&gt;=DASHBOARD!$B$13), G786, -1000000000000)</f>
        <v/>
      </c>
      <c r="T786" s="101">
        <f>IF(AND(F786&lt;=DASHBOARD!$B$11, H786&gt;=DASHBOARD!$B$13), R786, 1000000000000)</f>
        <v/>
      </c>
      <c r="U786" s="101">
        <f>IF(AND(F786&lt;=DASHBOARD!$B$11, H786&gt;=DASHBOARD!$B$13), N786, -1000000000000)</f>
        <v/>
      </c>
      <c r="V786" s="101">
        <f>IF(AND(F786&lt;=DASHBOARD!$B$11, H786&gt;=DASHBOARD!$B$13), H786, -1000000000000)</f>
        <v/>
      </c>
      <c r="W786" s="101">
        <f>IF(AND(F786&lt;=DASHBOARD!$B$11, H786&gt;=DASHBOARD!$B$13), K786, -1000000000000)</f>
        <v/>
      </c>
      <c r="X786" s="101">
        <f>IF(AND(F786&lt;=DASHBOARD!$B$11, H786&gt;=DASHBOARD!$B$13), M786, 1000000000000)</f>
        <v/>
      </c>
      <c r="Y786" s="101">
        <f>IF(AND(F786&lt;=DASHBOARD!$B$10, H786&gt;=DASHBOARD!$B$11), L786, 1000000000000)</f>
        <v/>
      </c>
      <c r="Z786" s="101">
        <f>IF(AND(F786&lt;=DASHBOARD!$B$10, H786&gt;=DASHBOARD!$B$11), O786, 1000000000000)</f>
        <v/>
      </c>
      <c r="AA786" s="101">
        <f>IF(AND(F786&lt;=DASHBOARD!$B$10, H786&gt;=DASHBOARD!$B$11), P786, 1000000000000)</f>
        <v/>
      </c>
      <c r="AB786" s="101">
        <f>IF(AND(F786&lt;=DASHBOARD!$B$10, H786&gt;=DASHBOARD!$B$11), Q786, -1000000000000)</f>
        <v/>
      </c>
    </row>
    <row r="787" ht="15" customHeight="1" s="102">
      <c r="A787" s="166" t="n">
        <v>783</v>
      </c>
      <c r="B787" s="167" t="n">
        <v>1.8</v>
      </c>
      <c r="C787" s="167" t="n">
        <v>1.3</v>
      </c>
      <c r="D787" s="110" t="inlineStr">
        <is>
          <t>Yok (%0)</t>
        </is>
      </c>
      <c r="E787" s="110">
        <f>IF((B787+C787)&lt;=1, "Tam Mahsuplaşma (≤%100)", "Kısmi Satış (&gt;%100)")</f>
        <v/>
      </c>
      <c r="F787" s="168">
        <f>((VERI_TABANI!$D$29*B787/VERI_TABANI!$B$29)/VERI_TABANI!$B$3)*VERI_TABANI!$B$5 + ((VERI_TABANI!$D$29*C787/VERI_TABANI!$B$29)/VERI_TABANI!$B$4)*VERI_TABANI!$B$6 + IF(ISNUMBER(SEARCH("Var", D787)), (VERI_TABANI!$F$29/VERI_TABANI!$B$29)*(VERI_TABANI!$B$10+VERI_TABANI!$B$12), 0)</f>
        <v/>
      </c>
      <c r="G787" s="168">
        <f>(((MIN(VERI_TABANI!D23, VERI_TABANI!D23*B787)*VERI_TABANI!$B$7 + MAX(0, VERI_TABANI!D23*B787-VERI_TABANI!D23)*VERI_TABANI!$B$8) + (MIN(MAX(0, VERI_TABANI!D23-VERI_TABANI!D23*B787), VERI_TABANI!D23*C787)*VERI_TABANI!$B$7 + MAX(0, VERI_TABANI!D23*C787-MAX(0, VERI_TABANI!D23-VERI_TABANI!D23*B787))*VERI_TABANI!$B$8) + IF(ABS(IF(ISNUMBER(SEARCH("Var", D787)), 1, IF(ISNUMBER(SEARCH("Gri", D787)), -1, 0)))=1, VERI_TABANI!E23*(1-0.928)*VERI_TABANI!$B$9, 0) + (VERI_TABANI!D23*B787*(VERI_TABANI!$B$13-VERI_TABANI!$B$14)*VERI_TABANI!G23) + (VERI_TABANI!D23*C787*(VERI_TABANI!$B$13-VERI_TABANI!$B$15)*VERI_TABANI!G23) + IF(ABS(IF(ISNUMBER(SEARCH("Var", D787)), 1, IF(ISNUMBER(SEARCH("Gri", D787)), -1, 0)))=1, VERI_TABANI!E23*(1-0.928)*0.00206091519919798*VERI_TABANI!G23, 0)) + ((MIN(VERI_TABANI!D24, VERI_TABANI!D24*B787)*VERI_TABANI!$B$7 + MAX(0, VERI_TABANI!D24*B787-VERI_TABANI!D24)*VERI_TABANI!$B$8) + (MIN(MAX(0, VERI_TABANI!D24-VERI_TABANI!D24*B787), VERI_TABANI!D24*C787)*VERI_TABANI!$B$7 + MAX(0, VERI_TABANI!D24*C787-MAX(0, VERI_TABANI!D24-VERI_TABANI!D24*B787))*VERI_TABANI!$B$8) + IF(ABS(IF(ISNUMBER(SEARCH("Var", D787)), 1, IF(ISNUMBER(SEARCH("Gri", D787)), -1, 0)))=1, VERI_TABANI!E24*(1-0.928)*VERI_TABANI!$B$9, 0) + (VERI_TABANI!D24*B787*(VERI_TABANI!$B$13-VERI_TABANI!$B$14)*VERI_TABANI!G24) + (VERI_TABANI!D24*C787*(VERI_TABANI!$B$13-VERI_TABANI!$B$15)*VERI_TABANI!G24) + IF(ABS(IF(ISNUMBER(SEARCH("Var", D787)), 1, IF(ISNUMBER(SEARCH("Gri", D787)), -1, 0)))=1, VERI_TABANI!E24*(1-0.928)*0.00206091519919798*VERI_TABANI!G24, 0)) + ((MIN(VERI_TABANI!D25, VERI_TABANI!D25*B787)*VERI_TABANI!$B$7 + MAX(0, VERI_TABANI!D25*B787-VERI_TABANI!D25)*VERI_TABANI!$B$8) + (MIN(MAX(0, VERI_TABANI!D25-VERI_TABANI!D25*B787), VERI_TABANI!D25*C787)*VERI_TABANI!$B$7 + MAX(0, VERI_TABANI!D25*C787-MAX(0, VERI_TABANI!D25-VERI_TABANI!D25*B787))*VERI_TABANI!$B$8) + IF(ABS(IF(ISNUMBER(SEARCH("Var", D787)), 1, IF(ISNUMBER(SEARCH("Gri", D787)), -1, 0)))=1, VERI_TABANI!E25*(1-0.928)*VERI_TABANI!$B$9, 0) + (VERI_TABANI!D25*B787*(VERI_TABANI!$B$13-VERI_TABANI!$B$14)*VERI_TABANI!G25) + (VERI_TABANI!D25*C787*(VERI_TABANI!$B$13-VERI_TABANI!$B$15)*VERI_TABANI!G25) + IF(ABS(IF(ISNUMBER(SEARCH("Var", D787)), 1, IF(ISNUMBER(SEARCH("Gri", D787)), -1, 0)))=1, VERI_TABANI!E25*(1-0.928)*0.00206091519919798*VERI_TABANI!G25, 0)) + ((MIN(VERI_TABANI!D26, VERI_TABANI!D26*B787)*VERI_TABANI!$B$7 + MAX(0, VERI_TABANI!D26*B787-VERI_TABANI!D26)*VERI_TABANI!$B$8) + (MIN(MAX(0, VERI_TABANI!D26-VERI_TABANI!D26*B787), VERI_TABANI!D26*C787)*VERI_TABANI!$B$7 + MAX(0, VERI_TABANI!D26*C787-MAX(0, VERI_TABANI!D26-VERI_TABANI!D26*B787))*VERI_TABANI!$B$8) + IF(ABS(IF(ISNUMBER(SEARCH("Var", D787)), 1, IF(ISNUMBER(SEARCH("Gri", D787)), -1, 0)))=1, VERI_TABANI!E26*(1-0.928)*VERI_TABANI!$B$9, 0) + (VERI_TABANI!D26*B787*(VERI_TABANI!$B$13-VERI_TABANI!$B$14)*VERI_TABANI!G26) + (VERI_TABANI!D26*C787*(VERI_TABANI!$B$13-VERI_TABANI!$B$15)*VERI_TABANI!G26) + IF(ABS(IF(ISNUMBER(SEARCH("Var", D787)), 1, IF(ISNUMBER(SEARCH("Gri", D787)), -1, 0)))=1, VERI_TABANI!E26*(1-0.928)*0.00206091519919798*VERI_TABANI!G26, 0)) + ((MIN(VERI_TABANI!D27, VERI_TABANI!D27*B787)*VERI_TABANI!$B$7 + MAX(0, VERI_TABANI!D27*B787-VERI_TABANI!D27)*VERI_TABANI!$B$8) + (MIN(MAX(0, VERI_TABANI!D27-VERI_TABANI!D27*B787), VERI_TABANI!D27*C787)*VERI_TABANI!$B$7 + MAX(0, VERI_TABANI!D27*C787-MAX(0, VERI_TABANI!D27-VERI_TABANI!D27*B787))*VERI_TABANI!$B$8) + IF(ABS(IF(ISNUMBER(SEARCH("Var", D787)), 1, IF(ISNUMBER(SEARCH("Gri", D787)), -1, 0)))=1, VERI_TABANI!E27*(1-0.928)*VERI_TABANI!$B$9, 0) + (VERI_TABANI!D27*B787*(VERI_TABANI!$B$13-VERI_TABANI!$B$14)*VERI_TABANI!G27) + (VERI_TABANI!D27*C787*(VERI_TABANI!$B$13-VERI_TABANI!$B$15)*VERI_TABANI!G27) + IF(ABS(IF(ISNUMBER(SEARCH("Var", D787)), 1, IF(ISNUMBER(SEARCH("Gri", D787)), -1, 0)))=1, VERI_TABANI!E27*(1-0.928)*0.00206091519919798*VERI_TABANI!G27, 0)) + ((MIN(VERI_TABANI!D28, VERI_TABANI!D28*B787)*VERI_TABANI!$B$7 + MAX(0, VERI_TABANI!D28*B787-VERI_TABANI!D28)*VERI_TABANI!$B$8) + (MIN(MAX(0, VERI_TABANI!D28-VERI_TABANI!D28*B787), VERI_TABANI!D28*C787)*VERI_TABANI!$B$7 + MAX(0, VERI_TABANI!D28*C787-MAX(0, VERI_TABANI!D28-VERI_TABANI!D28*B787))*VERI_TABANI!$B$8) + IF(ABS(IF(ISNUMBER(SEARCH("Var", D787)), 1, IF(ISNUMBER(SEARCH("Gri", D787)), -1, 0)))=1, VERI_TABANI!E28*(1-0.928)*VERI_TABANI!$B$9, 0) + (VERI_TABANI!D28*B787*(VERI_TABANI!$B$13-VERI_TABANI!$B$14)*VERI_TABANI!G28) + (VERI_TABANI!D28*C787*(VERI_TABANI!$B$13-VERI_TABANI!$B$15)*VERI_TABANI!G28) + IF(ABS(IF(ISNUMBER(SEARCH("Var", D787)), 1, IF(ISNUMBER(SEARCH("Gri", D787)), -1, 0)))=1, VERI_TABANI!E28*(1-0.928)*0.00206091519919798*VERI_TABANI!G28, 0)))</f>
        <v/>
      </c>
      <c r="H787" s="169">
        <f>(((VERI_TABANI!D23*B787*(VERI_TABANI!$B$13-VERI_TABANI!$B$14)) + (VERI_TABANI!D23*C787*(VERI_TABANI!$B$13-VERI_TABANI!$B$15)) + IF(ISNUMBER(SEARCH("Var", D787)), VERI_TABANI!F23*(0.00202-VERI_TABANI!$B$16), IF(ISNUMBER(SEARCH("Gri", D787)), VERI_TABANI!F23*(0.00202-VERI_TABANI!$B$17), 0))) + ((VERI_TABANI!D24*B787*(VERI_TABANI!$B$13-VERI_TABANI!$B$14)) + (VERI_TABANI!D24*C787*(VERI_TABANI!$B$13-VERI_TABANI!$B$15)) + IF(ISNUMBER(SEARCH("Var", D787)), VERI_TABANI!F24*(0.00202-VERI_TABANI!$B$16), IF(ISNUMBER(SEARCH("Gri", D787)), VERI_TABANI!F24*(0.00202-VERI_TABANI!$B$17), 0))) + ((VERI_TABANI!D25*B787*(VERI_TABANI!$B$13-VERI_TABANI!$B$14)) + (VERI_TABANI!D25*C787*(VERI_TABANI!$B$13-VERI_TABANI!$B$15)) + IF(ISNUMBER(SEARCH("Var", D787)), VERI_TABANI!F25*(0.00202-VERI_TABANI!$B$16), IF(ISNUMBER(SEARCH("Gri", D787)), VERI_TABANI!F25*(0.00202-VERI_TABANI!$B$17), 0))) + ((VERI_TABANI!D26*B787*(VERI_TABANI!$B$13-VERI_TABANI!$B$14)) + (VERI_TABANI!D26*C787*(VERI_TABANI!$B$13-VERI_TABANI!$B$15)) + IF(ISNUMBER(SEARCH("Var", D787)), VERI_TABANI!F26*(0.00202-VERI_TABANI!$B$16), IF(ISNUMBER(SEARCH("Gri", D787)), VERI_TABANI!F26*(0.00202-VERI_TABANI!$B$17), 0))) + ((VERI_TABANI!D27*B787*(VERI_TABANI!$B$13-VERI_TABANI!$B$14)) + (VERI_TABANI!D27*C787*(VERI_TABANI!$B$13-VERI_TABANI!$B$15)) + IF(ISNUMBER(SEARCH("Var", D787)), VERI_TABANI!F27*(0.00202-VERI_TABANI!$B$16), IF(ISNUMBER(SEARCH("Gri", D787)), VERI_TABANI!F27*(0.00202-VERI_TABANI!$B$17), 0))) + ((VERI_TABANI!D28*B787*(VERI_TABANI!$B$13-VERI_TABANI!$B$14)) + (VERI_TABANI!D28*C787*(VERI_TABANI!$B$13-VERI_TABANI!$B$15)) + IF(ISNUMBER(SEARCH("Var", D787)), VERI_TABANI!F28*(0.00202-VERI_TABANI!$B$16), IF(ISNUMBER(SEARCH("Gri", D787)), VERI_TABANI!F28*(0.00202-VERI_TABANI!$B$17), 0))))</f>
        <v/>
      </c>
      <c r="I787" s="170">
        <f>IFERROR(((VERI_TABANI!$D$29*B787*VERI_TABANI!$B$14 + VERI_TABANI!$D$29*C787*VERI_TABANI!$B$15 + IF(ISNUMBER(SEARCH("Var", D787)), VERI_TABANI!$F$29*VERI_TABANI!$B$16, 0))) / (((VERI_TABANI!$D$29*B787 + VERI_TABANI!$D$29*C787)*VERI_TABANI!$B$13 + IF(ISNUMBER(SEARCH("Var", D787)), VERI_TABANI!$E$29*(1-0.928)*VERI_TABANI!$B$18, 0))), 0)</f>
        <v/>
      </c>
      <c r="J787" s="171">
        <f>IFERROR(F787/(G787/29), 0)</f>
        <v/>
      </c>
      <c r="K787" s="172">
        <f>IF(F787&gt;0, H787/F787, 0)</f>
        <v/>
      </c>
      <c r="L787" s="170">
        <f>IF(F787&gt;0, I787, 1000000000)</f>
        <v/>
      </c>
      <c r="M787" s="171">
        <f>ABS((B787+C787)-1)</f>
        <v/>
      </c>
      <c r="N787" s="170">
        <f>IF(F787&gt;0, (G787/29)/F787, 0)</f>
        <v/>
      </c>
      <c r="O787" s="168">
        <f>IF(AND((B787+C787)&gt;=1, ISNUMBER(SEARCH("Var", D787))), F787, 1000000000)</f>
        <v/>
      </c>
      <c r="P787" s="172">
        <f>IF(F787&gt;0, SQRT((F787/MAX(F$5:F$886))^2 + (1 - H787/MAX(H$5:H$886))^2 + (J787/MAX(J$5:J$886))^2), 1000000000)</f>
        <v/>
      </c>
      <c r="Q787" s="166">
        <f>IF(AND(ABS(B787-0.5)&lt;0.01, ABS(C787-0.5)&lt;0.01, ISNUMBER(SEARCH("Var", D787))), 1, 0)</f>
        <v/>
      </c>
      <c r="R787" s="171">
        <f>IF(F787&gt;0, J787, 1000000000)</f>
        <v/>
      </c>
      <c r="S787" s="101">
        <f>IF(AND(F787&lt;=DASHBOARD!$B$11, H787&gt;=DASHBOARD!$B$13), G787, -1000000000000)</f>
        <v/>
      </c>
      <c r="T787" s="101">
        <f>IF(AND(F787&lt;=DASHBOARD!$B$11, H787&gt;=DASHBOARD!$B$13), R787, 1000000000000)</f>
        <v/>
      </c>
      <c r="U787" s="101">
        <f>IF(AND(F787&lt;=DASHBOARD!$B$11, H787&gt;=DASHBOARD!$B$13), N787, -1000000000000)</f>
        <v/>
      </c>
      <c r="V787" s="101">
        <f>IF(AND(F787&lt;=DASHBOARD!$B$11, H787&gt;=DASHBOARD!$B$13), H787, -1000000000000)</f>
        <v/>
      </c>
      <c r="W787" s="101">
        <f>IF(AND(F787&lt;=DASHBOARD!$B$11, H787&gt;=DASHBOARD!$B$13), K787, -1000000000000)</f>
        <v/>
      </c>
      <c r="X787" s="101">
        <f>IF(AND(F787&lt;=DASHBOARD!$B$11, H787&gt;=DASHBOARD!$B$13), M787, 1000000000000)</f>
        <v/>
      </c>
      <c r="Y787" s="101">
        <f>IF(AND(F787&lt;=DASHBOARD!$B$10, H787&gt;=DASHBOARD!$B$11), L787, 1000000000000)</f>
        <v/>
      </c>
      <c r="Z787" s="101">
        <f>IF(AND(F787&lt;=DASHBOARD!$B$10, H787&gt;=DASHBOARD!$B$11), O787, 1000000000000)</f>
        <v/>
      </c>
      <c r="AA787" s="101">
        <f>IF(AND(F787&lt;=DASHBOARD!$B$10, H787&gt;=DASHBOARD!$B$11), P787, 1000000000000)</f>
        <v/>
      </c>
      <c r="AB787" s="101">
        <f>IF(AND(F787&lt;=DASHBOARD!$B$10, H787&gt;=DASHBOARD!$B$11), Q787, -1000000000000)</f>
        <v/>
      </c>
    </row>
    <row r="788" ht="15" customHeight="1" s="102">
      <c r="A788" s="166" t="n">
        <v>784</v>
      </c>
      <c r="B788" s="167" t="n">
        <v>1.8</v>
      </c>
      <c r="C788" s="167" t="n">
        <v>1.3</v>
      </c>
      <c r="D788" s="110" t="inlineStr">
        <is>
          <t>Var (%20)</t>
        </is>
      </c>
      <c r="E788" s="110">
        <f>IF((B788+C788)&lt;=1, "Tam Mahsuplaşma (≤%100)", "Kısmi Satış (&gt;%100)")</f>
        <v/>
      </c>
      <c r="F788" s="168">
        <f>((VERI_TABANI!$D$29*B788/VERI_TABANI!$B$29)/VERI_TABANI!$B$3)*VERI_TABANI!$B$5 + ((VERI_TABANI!$D$29*C788/VERI_TABANI!$B$29)/VERI_TABANI!$B$4)*VERI_TABANI!$B$6 + IF(ISNUMBER(SEARCH("Var", D788)), (VERI_TABANI!$F$29/VERI_TABANI!$B$29)*(VERI_TABANI!$B$10+VERI_TABANI!$B$12), 0)</f>
        <v/>
      </c>
      <c r="G788" s="168">
        <f>(((MIN(VERI_TABANI!D23, VERI_TABANI!D23*B788)*VERI_TABANI!$B$7 + MAX(0, VERI_TABANI!D23*B788-VERI_TABANI!D23)*VERI_TABANI!$B$8) + (MIN(MAX(0, VERI_TABANI!D23-VERI_TABANI!D23*B788), VERI_TABANI!D23*C788)*VERI_TABANI!$B$7 + MAX(0, VERI_TABANI!D23*C788-MAX(0, VERI_TABANI!D23-VERI_TABANI!D23*B788))*VERI_TABANI!$B$8) + IF(ABS(IF(ISNUMBER(SEARCH("Var", D788)), 1, IF(ISNUMBER(SEARCH("Gri", D788)), -1, 0)))=1, VERI_TABANI!E23*(1-0.928)*VERI_TABANI!$B$9, 0) + (VERI_TABANI!D23*B788*(VERI_TABANI!$B$13-VERI_TABANI!$B$14)*VERI_TABANI!G23) + (VERI_TABANI!D23*C788*(VERI_TABANI!$B$13-VERI_TABANI!$B$15)*VERI_TABANI!G23) + IF(ABS(IF(ISNUMBER(SEARCH("Var", D788)), 1, IF(ISNUMBER(SEARCH("Gri", D788)), -1, 0)))=1, VERI_TABANI!E23*(1-0.928)*0.00206091519919798*VERI_TABANI!G23, 0)) + ((MIN(VERI_TABANI!D24, VERI_TABANI!D24*B788)*VERI_TABANI!$B$7 + MAX(0, VERI_TABANI!D24*B788-VERI_TABANI!D24)*VERI_TABANI!$B$8) + (MIN(MAX(0, VERI_TABANI!D24-VERI_TABANI!D24*B788), VERI_TABANI!D24*C788)*VERI_TABANI!$B$7 + MAX(0, VERI_TABANI!D24*C788-MAX(0, VERI_TABANI!D24-VERI_TABANI!D24*B788))*VERI_TABANI!$B$8) + IF(ABS(IF(ISNUMBER(SEARCH("Var", D788)), 1, IF(ISNUMBER(SEARCH("Gri", D788)), -1, 0)))=1, VERI_TABANI!E24*(1-0.928)*VERI_TABANI!$B$9, 0) + (VERI_TABANI!D24*B788*(VERI_TABANI!$B$13-VERI_TABANI!$B$14)*VERI_TABANI!G24) + (VERI_TABANI!D24*C788*(VERI_TABANI!$B$13-VERI_TABANI!$B$15)*VERI_TABANI!G24) + IF(ABS(IF(ISNUMBER(SEARCH("Var", D788)), 1, IF(ISNUMBER(SEARCH("Gri", D788)), -1, 0)))=1, VERI_TABANI!E24*(1-0.928)*0.00206091519919798*VERI_TABANI!G24, 0)) + ((MIN(VERI_TABANI!D25, VERI_TABANI!D25*B788)*VERI_TABANI!$B$7 + MAX(0, VERI_TABANI!D25*B788-VERI_TABANI!D25)*VERI_TABANI!$B$8) + (MIN(MAX(0, VERI_TABANI!D25-VERI_TABANI!D25*B788), VERI_TABANI!D25*C788)*VERI_TABANI!$B$7 + MAX(0, VERI_TABANI!D25*C788-MAX(0, VERI_TABANI!D25-VERI_TABANI!D25*B788))*VERI_TABANI!$B$8) + IF(ABS(IF(ISNUMBER(SEARCH("Var", D788)), 1, IF(ISNUMBER(SEARCH("Gri", D788)), -1, 0)))=1, VERI_TABANI!E25*(1-0.928)*VERI_TABANI!$B$9, 0) + (VERI_TABANI!D25*B788*(VERI_TABANI!$B$13-VERI_TABANI!$B$14)*VERI_TABANI!G25) + (VERI_TABANI!D25*C788*(VERI_TABANI!$B$13-VERI_TABANI!$B$15)*VERI_TABANI!G25) + IF(ABS(IF(ISNUMBER(SEARCH("Var", D788)), 1, IF(ISNUMBER(SEARCH("Gri", D788)), -1, 0)))=1, VERI_TABANI!E25*(1-0.928)*0.00206091519919798*VERI_TABANI!G25, 0)) + ((MIN(VERI_TABANI!D26, VERI_TABANI!D26*B788)*VERI_TABANI!$B$7 + MAX(0, VERI_TABANI!D26*B788-VERI_TABANI!D26)*VERI_TABANI!$B$8) + (MIN(MAX(0, VERI_TABANI!D26-VERI_TABANI!D26*B788), VERI_TABANI!D26*C788)*VERI_TABANI!$B$7 + MAX(0, VERI_TABANI!D26*C788-MAX(0, VERI_TABANI!D26-VERI_TABANI!D26*B788))*VERI_TABANI!$B$8) + IF(ABS(IF(ISNUMBER(SEARCH("Var", D788)), 1, IF(ISNUMBER(SEARCH("Gri", D788)), -1, 0)))=1, VERI_TABANI!E26*(1-0.928)*VERI_TABANI!$B$9, 0) + (VERI_TABANI!D26*B788*(VERI_TABANI!$B$13-VERI_TABANI!$B$14)*VERI_TABANI!G26) + (VERI_TABANI!D26*C788*(VERI_TABANI!$B$13-VERI_TABANI!$B$15)*VERI_TABANI!G26) + IF(ABS(IF(ISNUMBER(SEARCH("Var", D788)), 1, IF(ISNUMBER(SEARCH("Gri", D788)), -1, 0)))=1, VERI_TABANI!E26*(1-0.928)*0.00206091519919798*VERI_TABANI!G26, 0)) + ((MIN(VERI_TABANI!D27, VERI_TABANI!D27*B788)*VERI_TABANI!$B$7 + MAX(0, VERI_TABANI!D27*B788-VERI_TABANI!D27)*VERI_TABANI!$B$8) + (MIN(MAX(0, VERI_TABANI!D27-VERI_TABANI!D27*B788), VERI_TABANI!D27*C788)*VERI_TABANI!$B$7 + MAX(0, VERI_TABANI!D27*C788-MAX(0, VERI_TABANI!D27-VERI_TABANI!D27*B788))*VERI_TABANI!$B$8) + IF(ABS(IF(ISNUMBER(SEARCH("Var", D788)), 1, IF(ISNUMBER(SEARCH("Gri", D788)), -1, 0)))=1, VERI_TABANI!E27*(1-0.928)*VERI_TABANI!$B$9, 0) + (VERI_TABANI!D27*B788*(VERI_TABANI!$B$13-VERI_TABANI!$B$14)*VERI_TABANI!G27) + (VERI_TABANI!D27*C788*(VERI_TABANI!$B$13-VERI_TABANI!$B$15)*VERI_TABANI!G27) + IF(ABS(IF(ISNUMBER(SEARCH("Var", D788)), 1, IF(ISNUMBER(SEARCH("Gri", D788)), -1, 0)))=1, VERI_TABANI!E27*(1-0.928)*0.00206091519919798*VERI_TABANI!G27, 0)) + ((MIN(VERI_TABANI!D28, VERI_TABANI!D28*B788)*VERI_TABANI!$B$7 + MAX(0, VERI_TABANI!D28*B788-VERI_TABANI!D28)*VERI_TABANI!$B$8) + (MIN(MAX(0, VERI_TABANI!D28-VERI_TABANI!D28*B788), VERI_TABANI!D28*C788)*VERI_TABANI!$B$7 + MAX(0, VERI_TABANI!D28*C788-MAX(0, VERI_TABANI!D28-VERI_TABANI!D28*B788))*VERI_TABANI!$B$8) + IF(ABS(IF(ISNUMBER(SEARCH("Var", D788)), 1, IF(ISNUMBER(SEARCH("Gri", D788)), -1, 0)))=1, VERI_TABANI!E28*(1-0.928)*VERI_TABANI!$B$9, 0) + (VERI_TABANI!D28*B788*(VERI_TABANI!$B$13-VERI_TABANI!$B$14)*VERI_TABANI!G28) + (VERI_TABANI!D28*C788*(VERI_TABANI!$B$13-VERI_TABANI!$B$15)*VERI_TABANI!G28) + IF(ABS(IF(ISNUMBER(SEARCH("Var", D788)), 1, IF(ISNUMBER(SEARCH("Gri", D788)), -1, 0)))=1, VERI_TABANI!E28*(1-0.928)*0.00206091519919798*VERI_TABANI!G28, 0)))</f>
        <v/>
      </c>
      <c r="H788" s="169">
        <f>(((VERI_TABANI!D23*B788*(VERI_TABANI!$B$13-VERI_TABANI!$B$14)) + (VERI_TABANI!D23*C788*(VERI_TABANI!$B$13-VERI_TABANI!$B$15)) + IF(ISNUMBER(SEARCH("Var", D788)), VERI_TABANI!F23*(0.00202-VERI_TABANI!$B$16), IF(ISNUMBER(SEARCH("Gri", D788)), VERI_TABANI!F23*(0.00202-VERI_TABANI!$B$17), 0))) + ((VERI_TABANI!D24*B788*(VERI_TABANI!$B$13-VERI_TABANI!$B$14)) + (VERI_TABANI!D24*C788*(VERI_TABANI!$B$13-VERI_TABANI!$B$15)) + IF(ISNUMBER(SEARCH("Var", D788)), VERI_TABANI!F24*(0.00202-VERI_TABANI!$B$16), IF(ISNUMBER(SEARCH("Gri", D788)), VERI_TABANI!F24*(0.00202-VERI_TABANI!$B$17), 0))) + ((VERI_TABANI!D25*B788*(VERI_TABANI!$B$13-VERI_TABANI!$B$14)) + (VERI_TABANI!D25*C788*(VERI_TABANI!$B$13-VERI_TABANI!$B$15)) + IF(ISNUMBER(SEARCH("Var", D788)), VERI_TABANI!F25*(0.00202-VERI_TABANI!$B$16), IF(ISNUMBER(SEARCH("Gri", D788)), VERI_TABANI!F25*(0.00202-VERI_TABANI!$B$17), 0))) + ((VERI_TABANI!D26*B788*(VERI_TABANI!$B$13-VERI_TABANI!$B$14)) + (VERI_TABANI!D26*C788*(VERI_TABANI!$B$13-VERI_TABANI!$B$15)) + IF(ISNUMBER(SEARCH("Var", D788)), VERI_TABANI!F26*(0.00202-VERI_TABANI!$B$16), IF(ISNUMBER(SEARCH("Gri", D788)), VERI_TABANI!F26*(0.00202-VERI_TABANI!$B$17), 0))) + ((VERI_TABANI!D27*B788*(VERI_TABANI!$B$13-VERI_TABANI!$B$14)) + (VERI_TABANI!D27*C788*(VERI_TABANI!$B$13-VERI_TABANI!$B$15)) + IF(ISNUMBER(SEARCH("Var", D788)), VERI_TABANI!F27*(0.00202-VERI_TABANI!$B$16), IF(ISNUMBER(SEARCH("Gri", D788)), VERI_TABANI!F27*(0.00202-VERI_TABANI!$B$17), 0))) + ((VERI_TABANI!D28*B788*(VERI_TABANI!$B$13-VERI_TABANI!$B$14)) + (VERI_TABANI!D28*C788*(VERI_TABANI!$B$13-VERI_TABANI!$B$15)) + IF(ISNUMBER(SEARCH("Var", D788)), VERI_TABANI!F28*(0.00202-VERI_TABANI!$B$16), IF(ISNUMBER(SEARCH("Gri", D788)), VERI_TABANI!F28*(0.00202-VERI_TABANI!$B$17), 0))))</f>
        <v/>
      </c>
      <c r="I788" s="170">
        <f>IFERROR(((VERI_TABANI!$D$29*B788*VERI_TABANI!$B$14 + VERI_TABANI!$D$29*C788*VERI_TABANI!$B$15 + IF(ISNUMBER(SEARCH("Var", D788)), VERI_TABANI!$F$29*VERI_TABANI!$B$16, 0))) / (((VERI_TABANI!$D$29*B788 + VERI_TABANI!$D$29*C788)*VERI_TABANI!$B$13 + IF(ISNUMBER(SEARCH("Var", D788)), VERI_TABANI!$E$29*(1-0.928)*VERI_TABANI!$B$18, 0))), 0)</f>
        <v/>
      </c>
      <c r="J788" s="171">
        <f>IFERROR(F788/(G788/29), 0)</f>
        <v/>
      </c>
      <c r="K788" s="172">
        <f>IF(F788&gt;0, H788/F788, 0)</f>
        <v/>
      </c>
      <c r="L788" s="170">
        <f>IF(F788&gt;0, I788, 1000000000)</f>
        <v/>
      </c>
      <c r="M788" s="171">
        <f>ABS((B788+C788)-1)</f>
        <v/>
      </c>
      <c r="N788" s="170">
        <f>IF(F788&gt;0, (G788/29)/F788, 0)</f>
        <v/>
      </c>
      <c r="O788" s="168">
        <f>IF(AND((B788+C788)&gt;=1, ISNUMBER(SEARCH("Var", D788))), F788, 1000000000)</f>
        <v/>
      </c>
      <c r="P788" s="172">
        <f>IF(F788&gt;0, SQRT((F788/MAX(F$5:F$886))^2 + (1 - H788/MAX(H$5:H$886))^2 + (J788/MAX(J$5:J$886))^2), 1000000000)</f>
        <v/>
      </c>
      <c r="Q788" s="166">
        <f>IF(AND(ABS(B788-0.5)&lt;0.01, ABS(C788-0.5)&lt;0.01, ISNUMBER(SEARCH("Var", D788))), 1, 0)</f>
        <v/>
      </c>
      <c r="R788" s="171">
        <f>IF(F788&gt;0, J788, 1000000000)</f>
        <v/>
      </c>
      <c r="S788" s="101">
        <f>IF(AND(F788&lt;=DASHBOARD!$B$11, H788&gt;=DASHBOARD!$B$13), G788, -1000000000000)</f>
        <v/>
      </c>
      <c r="T788" s="101">
        <f>IF(AND(F788&lt;=DASHBOARD!$B$11, H788&gt;=DASHBOARD!$B$13), R788, 1000000000000)</f>
        <v/>
      </c>
      <c r="U788" s="101">
        <f>IF(AND(F788&lt;=DASHBOARD!$B$11, H788&gt;=DASHBOARD!$B$13), N788, -1000000000000)</f>
        <v/>
      </c>
      <c r="V788" s="101">
        <f>IF(AND(F788&lt;=DASHBOARD!$B$11, H788&gt;=DASHBOARD!$B$13), H788, -1000000000000)</f>
        <v/>
      </c>
      <c r="W788" s="101">
        <f>IF(AND(F788&lt;=DASHBOARD!$B$11, H788&gt;=DASHBOARD!$B$13), K788, -1000000000000)</f>
        <v/>
      </c>
      <c r="X788" s="101">
        <f>IF(AND(F788&lt;=DASHBOARD!$B$11, H788&gt;=DASHBOARD!$B$13), M788, 1000000000000)</f>
        <v/>
      </c>
      <c r="Y788" s="101">
        <f>IF(AND(F788&lt;=DASHBOARD!$B$10, H788&gt;=DASHBOARD!$B$11), L788, 1000000000000)</f>
        <v/>
      </c>
      <c r="Z788" s="101">
        <f>IF(AND(F788&lt;=DASHBOARD!$B$10, H788&gt;=DASHBOARD!$B$11), O788, 1000000000000)</f>
        <v/>
      </c>
      <c r="AA788" s="101">
        <f>IF(AND(F788&lt;=DASHBOARD!$B$10, H788&gt;=DASHBOARD!$B$11), P788, 1000000000000)</f>
        <v/>
      </c>
      <c r="AB788" s="101">
        <f>IF(AND(F788&lt;=DASHBOARD!$B$10, H788&gt;=DASHBOARD!$B$11), Q788, -1000000000000)</f>
        <v/>
      </c>
    </row>
    <row r="789" ht="15" customHeight="1" s="102">
      <c r="A789" s="166" t="n">
        <v>785</v>
      </c>
      <c r="B789" s="167" t="n">
        <v>1.8</v>
      </c>
      <c r="C789" s="167" t="n">
        <v>1.4</v>
      </c>
      <c r="D789" s="110" t="inlineStr">
        <is>
          <t>Yok (%0)</t>
        </is>
      </c>
      <c r="E789" s="110">
        <f>IF((B789+C789)&lt;=1, "Tam Mahsuplaşma (≤%100)", "Kısmi Satış (&gt;%100)")</f>
        <v/>
      </c>
      <c r="F789" s="168">
        <f>((VERI_TABANI!$D$29*B789/VERI_TABANI!$B$29)/VERI_TABANI!$B$3)*VERI_TABANI!$B$5 + ((VERI_TABANI!$D$29*C789/VERI_TABANI!$B$29)/VERI_TABANI!$B$4)*VERI_TABANI!$B$6 + IF(ISNUMBER(SEARCH("Var", D789)), (VERI_TABANI!$F$29/VERI_TABANI!$B$29)*(VERI_TABANI!$B$10+VERI_TABANI!$B$12), 0)</f>
        <v/>
      </c>
      <c r="G789" s="168">
        <f>(((MIN(VERI_TABANI!D23, VERI_TABANI!D23*B789)*VERI_TABANI!$B$7 + MAX(0, VERI_TABANI!D23*B789-VERI_TABANI!D23)*VERI_TABANI!$B$8) + (MIN(MAX(0, VERI_TABANI!D23-VERI_TABANI!D23*B789), VERI_TABANI!D23*C789)*VERI_TABANI!$B$7 + MAX(0, VERI_TABANI!D23*C789-MAX(0, VERI_TABANI!D23-VERI_TABANI!D23*B789))*VERI_TABANI!$B$8) + IF(ABS(IF(ISNUMBER(SEARCH("Var", D789)), 1, IF(ISNUMBER(SEARCH("Gri", D789)), -1, 0)))=1, VERI_TABANI!E23*(1-0.928)*VERI_TABANI!$B$9, 0) + (VERI_TABANI!D23*B789*(VERI_TABANI!$B$13-VERI_TABANI!$B$14)*VERI_TABANI!G23) + (VERI_TABANI!D23*C789*(VERI_TABANI!$B$13-VERI_TABANI!$B$15)*VERI_TABANI!G23) + IF(ABS(IF(ISNUMBER(SEARCH("Var", D789)), 1, IF(ISNUMBER(SEARCH("Gri", D789)), -1, 0)))=1, VERI_TABANI!E23*(1-0.928)*0.00206091519919798*VERI_TABANI!G23, 0)) + ((MIN(VERI_TABANI!D24, VERI_TABANI!D24*B789)*VERI_TABANI!$B$7 + MAX(0, VERI_TABANI!D24*B789-VERI_TABANI!D24)*VERI_TABANI!$B$8) + (MIN(MAX(0, VERI_TABANI!D24-VERI_TABANI!D24*B789), VERI_TABANI!D24*C789)*VERI_TABANI!$B$7 + MAX(0, VERI_TABANI!D24*C789-MAX(0, VERI_TABANI!D24-VERI_TABANI!D24*B789))*VERI_TABANI!$B$8) + IF(ABS(IF(ISNUMBER(SEARCH("Var", D789)), 1, IF(ISNUMBER(SEARCH("Gri", D789)), -1, 0)))=1, VERI_TABANI!E24*(1-0.928)*VERI_TABANI!$B$9, 0) + (VERI_TABANI!D24*B789*(VERI_TABANI!$B$13-VERI_TABANI!$B$14)*VERI_TABANI!G24) + (VERI_TABANI!D24*C789*(VERI_TABANI!$B$13-VERI_TABANI!$B$15)*VERI_TABANI!G24) + IF(ABS(IF(ISNUMBER(SEARCH("Var", D789)), 1, IF(ISNUMBER(SEARCH("Gri", D789)), -1, 0)))=1, VERI_TABANI!E24*(1-0.928)*0.00206091519919798*VERI_TABANI!G24, 0)) + ((MIN(VERI_TABANI!D25, VERI_TABANI!D25*B789)*VERI_TABANI!$B$7 + MAX(0, VERI_TABANI!D25*B789-VERI_TABANI!D25)*VERI_TABANI!$B$8) + (MIN(MAX(0, VERI_TABANI!D25-VERI_TABANI!D25*B789), VERI_TABANI!D25*C789)*VERI_TABANI!$B$7 + MAX(0, VERI_TABANI!D25*C789-MAX(0, VERI_TABANI!D25-VERI_TABANI!D25*B789))*VERI_TABANI!$B$8) + IF(ABS(IF(ISNUMBER(SEARCH("Var", D789)), 1, IF(ISNUMBER(SEARCH("Gri", D789)), -1, 0)))=1, VERI_TABANI!E25*(1-0.928)*VERI_TABANI!$B$9, 0) + (VERI_TABANI!D25*B789*(VERI_TABANI!$B$13-VERI_TABANI!$B$14)*VERI_TABANI!G25) + (VERI_TABANI!D25*C789*(VERI_TABANI!$B$13-VERI_TABANI!$B$15)*VERI_TABANI!G25) + IF(ABS(IF(ISNUMBER(SEARCH("Var", D789)), 1, IF(ISNUMBER(SEARCH("Gri", D789)), -1, 0)))=1, VERI_TABANI!E25*(1-0.928)*0.00206091519919798*VERI_TABANI!G25, 0)) + ((MIN(VERI_TABANI!D26, VERI_TABANI!D26*B789)*VERI_TABANI!$B$7 + MAX(0, VERI_TABANI!D26*B789-VERI_TABANI!D26)*VERI_TABANI!$B$8) + (MIN(MAX(0, VERI_TABANI!D26-VERI_TABANI!D26*B789), VERI_TABANI!D26*C789)*VERI_TABANI!$B$7 + MAX(0, VERI_TABANI!D26*C789-MAX(0, VERI_TABANI!D26-VERI_TABANI!D26*B789))*VERI_TABANI!$B$8) + IF(ABS(IF(ISNUMBER(SEARCH("Var", D789)), 1, IF(ISNUMBER(SEARCH("Gri", D789)), -1, 0)))=1, VERI_TABANI!E26*(1-0.928)*VERI_TABANI!$B$9, 0) + (VERI_TABANI!D26*B789*(VERI_TABANI!$B$13-VERI_TABANI!$B$14)*VERI_TABANI!G26) + (VERI_TABANI!D26*C789*(VERI_TABANI!$B$13-VERI_TABANI!$B$15)*VERI_TABANI!G26) + IF(ABS(IF(ISNUMBER(SEARCH("Var", D789)), 1, IF(ISNUMBER(SEARCH("Gri", D789)), -1, 0)))=1, VERI_TABANI!E26*(1-0.928)*0.00206091519919798*VERI_TABANI!G26, 0)) + ((MIN(VERI_TABANI!D27, VERI_TABANI!D27*B789)*VERI_TABANI!$B$7 + MAX(0, VERI_TABANI!D27*B789-VERI_TABANI!D27)*VERI_TABANI!$B$8) + (MIN(MAX(0, VERI_TABANI!D27-VERI_TABANI!D27*B789), VERI_TABANI!D27*C789)*VERI_TABANI!$B$7 + MAX(0, VERI_TABANI!D27*C789-MAX(0, VERI_TABANI!D27-VERI_TABANI!D27*B789))*VERI_TABANI!$B$8) + IF(ABS(IF(ISNUMBER(SEARCH("Var", D789)), 1, IF(ISNUMBER(SEARCH("Gri", D789)), -1, 0)))=1, VERI_TABANI!E27*(1-0.928)*VERI_TABANI!$B$9, 0) + (VERI_TABANI!D27*B789*(VERI_TABANI!$B$13-VERI_TABANI!$B$14)*VERI_TABANI!G27) + (VERI_TABANI!D27*C789*(VERI_TABANI!$B$13-VERI_TABANI!$B$15)*VERI_TABANI!G27) + IF(ABS(IF(ISNUMBER(SEARCH("Var", D789)), 1, IF(ISNUMBER(SEARCH("Gri", D789)), -1, 0)))=1, VERI_TABANI!E27*(1-0.928)*0.00206091519919798*VERI_TABANI!G27, 0)) + ((MIN(VERI_TABANI!D28, VERI_TABANI!D28*B789)*VERI_TABANI!$B$7 + MAX(0, VERI_TABANI!D28*B789-VERI_TABANI!D28)*VERI_TABANI!$B$8) + (MIN(MAX(0, VERI_TABANI!D28-VERI_TABANI!D28*B789), VERI_TABANI!D28*C789)*VERI_TABANI!$B$7 + MAX(0, VERI_TABANI!D28*C789-MAX(0, VERI_TABANI!D28-VERI_TABANI!D28*B789))*VERI_TABANI!$B$8) + IF(ABS(IF(ISNUMBER(SEARCH("Var", D789)), 1, IF(ISNUMBER(SEARCH("Gri", D789)), -1, 0)))=1, VERI_TABANI!E28*(1-0.928)*VERI_TABANI!$B$9, 0) + (VERI_TABANI!D28*B789*(VERI_TABANI!$B$13-VERI_TABANI!$B$14)*VERI_TABANI!G28) + (VERI_TABANI!D28*C789*(VERI_TABANI!$B$13-VERI_TABANI!$B$15)*VERI_TABANI!G28) + IF(ABS(IF(ISNUMBER(SEARCH("Var", D789)), 1, IF(ISNUMBER(SEARCH("Gri", D789)), -1, 0)))=1, VERI_TABANI!E28*(1-0.928)*0.00206091519919798*VERI_TABANI!G28, 0)))</f>
        <v/>
      </c>
      <c r="H789" s="169">
        <f>(((VERI_TABANI!D23*B789*(VERI_TABANI!$B$13-VERI_TABANI!$B$14)) + (VERI_TABANI!D23*C789*(VERI_TABANI!$B$13-VERI_TABANI!$B$15)) + IF(ISNUMBER(SEARCH("Var", D789)), VERI_TABANI!F23*(0.00202-VERI_TABANI!$B$16), IF(ISNUMBER(SEARCH("Gri", D789)), VERI_TABANI!F23*(0.00202-VERI_TABANI!$B$17), 0))) + ((VERI_TABANI!D24*B789*(VERI_TABANI!$B$13-VERI_TABANI!$B$14)) + (VERI_TABANI!D24*C789*(VERI_TABANI!$B$13-VERI_TABANI!$B$15)) + IF(ISNUMBER(SEARCH("Var", D789)), VERI_TABANI!F24*(0.00202-VERI_TABANI!$B$16), IF(ISNUMBER(SEARCH("Gri", D789)), VERI_TABANI!F24*(0.00202-VERI_TABANI!$B$17), 0))) + ((VERI_TABANI!D25*B789*(VERI_TABANI!$B$13-VERI_TABANI!$B$14)) + (VERI_TABANI!D25*C789*(VERI_TABANI!$B$13-VERI_TABANI!$B$15)) + IF(ISNUMBER(SEARCH("Var", D789)), VERI_TABANI!F25*(0.00202-VERI_TABANI!$B$16), IF(ISNUMBER(SEARCH("Gri", D789)), VERI_TABANI!F25*(0.00202-VERI_TABANI!$B$17), 0))) + ((VERI_TABANI!D26*B789*(VERI_TABANI!$B$13-VERI_TABANI!$B$14)) + (VERI_TABANI!D26*C789*(VERI_TABANI!$B$13-VERI_TABANI!$B$15)) + IF(ISNUMBER(SEARCH("Var", D789)), VERI_TABANI!F26*(0.00202-VERI_TABANI!$B$16), IF(ISNUMBER(SEARCH("Gri", D789)), VERI_TABANI!F26*(0.00202-VERI_TABANI!$B$17), 0))) + ((VERI_TABANI!D27*B789*(VERI_TABANI!$B$13-VERI_TABANI!$B$14)) + (VERI_TABANI!D27*C789*(VERI_TABANI!$B$13-VERI_TABANI!$B$15)) + IF(ISNUMBER(SEARCH("Var", D789)), VERI_TABANI!F27*(0.00202-VERI_TABANI!$B$16), IF(ISNUMBER(SEARCH("Gri", D789)), VERI_TABANI!F27*(0.00202-VERI_TABANI!$B$17), 0))) + ((VERI_TABANI!D28*B789*(VERI_TABANI!$B$13-VERI_TABANI!$B$14)) + (VERI_TABANI!D28*C789*(VERI_TABANI!$B$13-VERI_TABANI!$B$15)) + IF(ISNUMBER(SEARCH("Var", D789)), VERI_TABANI!F28*(0.00202-VERI_TABANI!$B$16), IF(ISNUMBER(SEARCH("Gri", D789)), VERI_TABANI!F28*(0.00202-VERI_TABANI!$B$17), 0))))</f>
        <v/>
      </c>
      <c r="I789" s="170">
        <f>IFERROR(((VERI_TABANI!$D$29*B789*VERI_TABANI!$B$14 + VERI_TABANI!$D$29*C789*VERI_TABANI!$B$15 + IF(ISNUMBER(SEARCH("Var", D789)), VERI_TABANI!$F$29*VERI_TABANI!$B$16, 0))) / (((VERI_TABANI!$D$29*B789 + VERI_TABANI!$D$29*C789)*VERI_TABANI!$B$13 + IF(ISNUMBER(SEARCH("Var", D789)), VERI_TABANI!$E$29*(1-0.928)*VERI_TABANI!$B$18, 0))), 0)</f>
        <v/>
      </c>
      <c r="J789" s="171">
        <f>IFERROR(F789/(G789/29), 0)</f>
        <v/>
      </c>
      <c r="K789" s="172">
        <f>IF(F789&gt;0, H789/F789, 0)</f>
        <v/>
      </c>
      <c r="L789" s="170">
        <f>IF(F789&gt;0, I789, 1000000000)</f>
        <v/>
      </c>
      <c r="M789" s="171">
        <f>ABS((B789+C789)-1)</f>
        <v/>
      </c>
      <c r="N789" s="170">
        <f>IF(F789&gt;0, (G789/29)/F789, 0)</f>
        <v/>
      </c>
      <c r="O789" s="168">
        <f>IF(AND((B789+C789)&gt;=1, ISNUMBER(SEARCH("Var", D789))), F789, 1000000000)</f>
        <v/>
      </c>
      <c r="P789" s="172">
        <f>IF(F789&gt;0, SQRT((F789/MAX(F$5:F$886))^2 + (1 - H789/MAX(H$5:H$886))^2 + (J789/MAX(J$5:J$886))^2), 1000000000)</f>
        <v/>
      </c>
      <c r="Q789" s="166">
        <f>IF(AND(ABS(B789-0.5)&lt;0.01, ABS(C789-0.5)&lt;0.01, ISNUMBER(SEARCH("Var", D789))), 1, 0)</f>
        <v/>
      </c>
      <c r="R789" s="171">
        <f>IF(F789&gt;0, J789, 1000000000)</f>
        <v/>
      </c>
      <c r="S789" s="101">
        <f>IF(AND(F789&lt;=DASHBOARD!$B$11, H789&gt;=DASHBOARD!$B$13), G789, -1000000000000)</f>
        <v/>
      </c>
      <c r="T789" s="101">
        <f>IF(AND(F789&lt;=DASHBOARD!$B$11, H789&gt;=DASHBOARD!$B$13), R789, 1000000000000)</f>
        <v/>
      </c>
      <c r="U789" s="101">
        <f>IF(AND(F789&lt;=DASHBOARD!$B$11, H789&gt;=DASHBOARD!$B$13), N789, -1000000000000)</f>
        <v/>
      </c>
      <c r="V789" s="101">
        <f>IF(AND(F789&lt;=DASHBOARD!$B$11, H789&gt;=DASHBOARD!$B$13), H789, -1000000000000)</f>
        <v/>
      </c>
      <c r="W789" s="101">
        <f>IF(AND(F789&lt;=DASHBOARD!$B$11, H789&gt;=DASHBOARD!$B$13), K789, -1000000000000)</f>
        <v/>
      </c>
      <c r="X789" s="101">
        <f>IF(AND(F789&lt;=DASHBOARD!$B$11, H789&gt;=DASHBOARD!$B$13), M789, 1000000000000)</f>
        <v/>
      </c>
      <c r="Y789" s="101">
        <f>IF(AND(F789&lt;=DASHBOARD!$B$10, H789&gt;=DASHBOARD!$B$11), L789, 1000000000000)</f>
        <v/>
      </c>
      <c r="Z789" s="101">
        <f>IF(AND(F789&lt;=DASHBOARD!$B$10, H789&gt;=DASHBOARD!$B$11), O789, 1000000000000)</f>
        <v/>
      </c>
      <c r="AA789" s="101">
        <f>IF(AND(F789&lt;=DASHBOARD!$B$10, H789&gt;=DASHBOARD!$B$11), P789, 1000000000000)</f>
        <v/>
      </c>
      <c r="AB789" s="101">
        <f>IF(AND(F789&lt;=DASHBOARD!$B$10, H789&gt;=DASHBOARD!$B$11), Q789, -1000000000000)</f>
        <v/>
      </c>
    </row>
    <row r="790" ht="15" customHeight="1" s="102">
      <c r="A790" s="166" t="n">
        <v>786</v>
      </c>
      <c r="B790" s="167" t="n">
        <v>1.8</v>
      </c>
      <c r="C790" s="167" t="n">
        <v>1.4</v>
      </c>
      <c r="D790" s="110" t="inlineStr">
        <is>
          <t>Var (%20)</t>
        </is>
      </c>
      <c r="E790" s="110">
        <f>IF((B790+C790)&lt;=1, "Tam Mahsuplaşma (≤%100)", "Kısmi Satış (&gt;%100)")</f>
        <v/>
      </c>
      <c r="F790" s="168">
        <f>((VERI_TABANI!$D$29*B790/VERI_TABANI!$B$29)/VERI_TABANI!$B$3)*VERI_TABANI!$B$5 + ((VERI_TABANI!$D$29*C790/VERI_TABANI!$B$29)/VERI_TABANI!$B$4)*VERI_TABANI!$B$6 + IF(ISNUMBER(SEARCH("Var", D790)), (VERI_TABANI!$F$29/VERI_TABANI!$B$29)*(VERI_TABANI!$B$10+VERI_TABANI!$B$12), 0)</f>
        <v/>
      </c>
      <c r="G790" s="168">
        <f>(((MIN(VERI_TABANI!D23, VERI_TABANI!D23*B790)*VERI_TABANI!$B$7 + MAX(0, VERI_TABANI!D23*B790-VERI_TABANI!D23)*VERI_TABANI!$B$8) + (MIN(MAX(0, VERI_TABANI!D23-VERI_TABANI!D23*B790), VERI_TABANI!D23*C790)*VERI_TABANI!$B$7 + MAX(0, VERI_TABANI!D23*C790-MAX(0, VERI_TABANI!D23-VERI_TABANI!D23*B790))*VERI_TABANI!$B$8) + IF(ABS(IF(ISNUMBER(SEARCH("Var", D790)), 1, IF(ISNUMBER(SEARCH("Gri", D790)), -1, 0)))=1, VERI_TABANI!E23*(1-0.928)*VERI_TABANI!$B$9, 0) + (VERI_TABANI!D23*B790*(VERI_TABANI!$B$13-VERI_TABANI!$B$14)*VERI_TABANI!G23) + (VERI_TABANI!D23*C790*(VERI_TABANI!$B$13-VERI_TABANI!$B$15)*VERI_TABANI!G23) + IF(ABS(IF(ISNUMBER(SEARCH("Var", D790)), 1, IF(ISNUMBER(SEARCH("Gri", D790)), -1, 0)))=1, VERI_TABANI!E23*(1-0.928)*0.00206091519919798*VERI_TABANI!G23, 0)) + ((MIN(VERI_TABANI!D24, VERI_TABANI!D24*B790)*VERI_TABANI!$B$7 + MAX(0, VERI_TABANI!D24*B790-VERI_TABANI!D24)*VERI_TABANI!$B$8) + (MIN(MAX(0, VERI_TABANI!D24-VERI_TABANI!D24*B790), VERI_TABANI!D24*C790)*VERI_TABANI!$B$7 + MAX(0, VERI_TABANI!D24*C790-MAX(0, VERI_TABANI!D24-VERI_TABANI!D24*B790))*VERI_TABANI!$B$8) + IF(ABS(IF(ISNUMBER(SEARCH("Var", D790)), 1, IF(ISNUMBER(SEARCH("Gri", D790)), -1, 0)))=1, VERI_TABANI!E24*(1-0.928)*VERI_TABANI!$B$9, 0) + (VERI_TABANI!D24*B790*(VERI_TABANI!$B$13-VERI_TABANI!$B$14)*VERI_TABANI!G24) + (VERI_TABANI!D24*C790*(VERI_TABANI!$B$13-VERI_TABANI!$B$15)*VERI_TABANI!G24) + IF(ABS(IF(ISNUMBER(SEARCH("Var", D790)), 1, IF(ISNUMBER(SEARCH("Gri", D790)), -1, 0)))=1, VERI_TABANI!E24*(1-0.928)*0.00206091519919798*VERI_TABANI!G24, 0)) + ((MIN(VERI_TABANI!D25, VERI_TABANI!D25*B790)*VERI_TABANI!$B$7 + MAX(0, VERI_TABANI!D25*B790-VERI_TABANI!D25)*VERI_TABANI!$B$8) + (MIN(MAX(0, VERI_TABANI!D25-VERI_TABANI!D25*B790), VERI_TABANI!D25*C790)*VERI_TABANI!$B$7 + MAX(0, VERI_TABANI!D25*C790-MAX(0, VERI_TABANI!D25-VERI_TABANI!D25*B790))*VERI_TABANI!$B$8) + IF(ABS(IF(ISNUMBER(SEARCH("Var", D790)), 1, IF(ISNUMBER(SEARCH("Gri", D790)), -1, 0)))=1, VERI_TABANI!E25*(1-0.928)*VERI_TABANI!$B$9, 0) + (VERI_TABANI!D25*B790*(VERI_TABANI!$B$13-VERI_TABANI!$B$14)*VERI_TABANI!G25) + (VERI_TABANI!D25*C790*(VERI_TABANI!$B$13-VERI_TABANI!$B$15)*VERI_TABANI!G25) + IF(ABS(IF(ISNUMBER(SEARCH("Var", D790)), 1, IF(ISNUMBER(SEARCH("Gri", D790)), -1, 0)))=1, VERI_TABANI!E25*(1-0.928)*0.00206091519919798*VERI_TABANI!G25, 0)) + ((MIN(VERI_TABANI!D26, VERI_TABANI!D26*B790)*VERI_TABANI!$B$7 + MAX(0, VERI_TABANI!D26*B790-VERI_TABANI!D26)*VERI_TABANI!$B$8) + (MIN(MAX(0, VERI_TABANI!D26-VERI_TABANI!D26*B790), VERI_TABANI!D26*C790)*VERI_TABANI!$B$7 + MAX(0, VERI_TABANI!D26*C790-MAX(0, VERI_TABANI!D26-VERI_TABANI!D26*B790))*VERI_TABANI!$B$8) + IF(ABS(IF(ISNUMBER(SEARCH("Var", D790)), 1, IF(ISNUMBER(SEARCH("Gri", D790)), -1, 0)))=1, VERI_TABANI!E26*(1-0.928)*VERI_TABANI!$B$9, 0) + (VERI_TABANI!D26*B790*(VERI_TABANI!$B$13-VERI_TABANI!$B$14)*VERI_TABANI!G26) + (VERI_TABANI!D26*C790*(VERI_TABANI!$B$13-VERI_TABANI!$B$15)*VERI_TABANI!G26) + IF(ABS(IF(ISNUMBER(SEARCH("Var", D790)), 1, IF(ISNUMBER(SEARCH("Gri", D790)), -1, 0)))=1, VERI_TABANI!E26*(1-0.928)*0.00206091519919798*VERI_TABANI!G26, 0)) + ((MIN(VERI_TABANI!D27, VERI_TABANI!D27*B790)*VERI_TABANI!$B$7 + MAX(0, VERI_TABANI!D27*B790-VERI_TABANI!D27)*VERI_TABANI!$B$8) + (MIN(MAX(0, VERI_TABANI!D27-VERI_TABANI!D27*B790), VERI_TABANI!D27*C790)*VERI_TABANI!$B$7 + MAX(0, VERI_TABANI!D27*C790-MAX(0, VERI_TABANI!D27-VERI_TABANI!D27*B790))*VERI_TABANI!$B$8) + IF(ABS(IF(ISNUMBER(SEARCH("Var", D790)), 1, IF(ISNUMBER(SEARCH("Gri", D790)), -1, 0)))=1, VERI_TABANI!E27*(1-0.928)*VERI_TABANI!$B$9, 0) + (VERI_TABANI!D27*B790*(VERI_TABANI!$B$13-VERI_TABANI!$B$14)*VERI_TABANI!G27) + (VERI_TABANI!D27*C790*(VERI_TABANI!$B$13-VERI_TABANI!$B$15)*VERI_TABANI!G27) + IF(ABS(IF(ISNUMBER(SEARCH("Var", D790)), 1, IF(ISNUMBER(SEARCH("Gri", D790)), -1, 0)))=1, VERI_TABANI!E27*(1-0.928)*0.00206091519919798*VERI_TABANI!G27, 0)) + ((MIN(VERI_TABANI!D28, VERI_TABANI!D28*B790)*VERI_TABANI!$B$7 + MAX(0, VERI_TABANI!D28*B790-VERI_TABANI!D28)*VERI_TABANI!$B$8) + (MIN(MAX(0, VERI_TABANI!D28-VERI_TABANI!D28*B790), VERI_TABANI!D28*C790)*VERI_TABANI!$B$7 + MAX(0, VERI_TABANI!D28*C790-MAX(0, VERI_TABANI!D28-VERI_TABANI!D28*B790))*VERI_TABANI!$B$8) + IF(ABS(IF(ISNUMBER(SEARCH("Var", D790)), 1, IF(ISNUMBER(SEARCH("Gri", D790)), -1, 0)))=1, VERI_TABANI!E28*(1-0.928)*VERI_TABANI!$B$9, 0) + (VERI_TABANI!D28*B790*(VERI_TABANI!$B$13-VERI_TABANI!$B$14)*VERI_TABANI!G28) + (VERI_TABANI!D28*C790*(VERI_TABANI!$B$13-VERI_TABANI!$B$15)*VERI_TABANI!G28) + IF(ABS(IF(ISNUMBER(SEARCH("Var", D790)), 1, IF(ISNUMBER(SEARCH("Gri", D790)), -1, 0)))=1, VERI_TABANI!E28*(1-0.928)*0.00206091519919798*VERI_TABANI!G28, 0)))</f>
        <v/>
      </c>
      <c r="H790" s="169">
        <f>(((VERI_TABANI!D23*B790*(VERI_TABANI!$B$13-VERI_TABANI!$B$14)) + (VERI_TABANI!D23*C790*(VERI_TABANI!$B$13-VERI_TABANI!$B$15)) + IF(ISNUMBER(SEARCH("Var", D790)), VERI_TABANI!F23*(0.00202-VERI_TABANI!$B$16), IF(ISNUMBER(SEARCH("Gri", D790)), VERI_TABANI!F23*(0.00202-VERI_TABANI!$B$17), 0))) + ((VERI_TABANI!D24*B790*(VERI_TABANI!$B$13-VERI_TABANI!$B$14)) + (VERI_TABANI!D24*C790*(VERI_TABANI!$B$13-VERI_TABANI!$B$15)) + IF(ISNUMBER(SEARCH("Var", D790)), VERI_TABANI!F24*(0.00202-VERI_TABANI!$B$16), IF(ISNUMBER(SEARCH("Gri", D790)), VERI_TABANI!F24*(0.00202-VERI_TABANI!$B$17), 0))) + ((VERI_TABANI!D25*B790*(VERI_TABANI!$B$13-VERI_TABANI!$B$14)) + (VERI_TABANI!D25*C790*(VERI_TABANI!$B$13-VERI_TABANI!$B$15)) + IF(ISNUMBER(SEARCH("Var", D790)), VERI_TABANI!F25*(0.00202-VERI_TABANI!$B$16), IF(ISNUMBER(SEARCH("Gri", D790)), VERI_TABANI!F25*(0.00202-VERI_TABANI!$B$17), 0))) + ((VERI_TABANI!D26*B790*(VERI_TABANI!$B$13-VERI_TABANI!$B$14)) + (VERI_TABANI!D26*C790*(VERI_TABANI!$B$13-VERI_TABANI!$B$15)) + IF(ISNUMBER(SEARCH("Var", D790)), VERI_TABANI!F26*(0.00202-VERI_TABANI!$B$16), IF(ISNUMBER(SEARCH("Gri", D790)), VERI_TABANI!F26*(0.00202-VERI_TABANI!$B$17), 0))) + ((VERI_TABANI!D27*B790*(VERI_TABANI!$B$13-VERI_TABANI!$B$14)) + (VERI_TABANI!D27*C790*(VERI_TABANI!$B$13-VERI_TABANI!$B$15)) + IF(ISNUMBER(SEARCH("Var", D790)), VERI_TABANI!F27*(0.00202-VERI_TABANI!$B$16), IF(ISNUMBER(SEARCH("Gri", D790)), VERI_TABANI!F27*(0.00202-VERI_TABANI!$B$17), 0))) + ((VERI_TABANI!D28*B790*(VERI_TABANI!$B$13-VERI_TABANI!$B$14)) + (VERI_TABANI!D28*C790*(VERI_TABANI!$B$13-VERI_TABANI!$B$15)) + IF(ISNUMBER(SEARCH("Var", D790)), VERI_TABANI!F28*(0.00202-VERI_TABANI!$B$16), IF(ISNUMBER(SEARCH("Gri", D790)), VERI_TABANI!F28*(0.00202-VERI_TABANI!$B$17), 0))))</f>
        <v/>
      </c>
      <c r="I790" s="170">
        <f>IFERROR(((VERI_TABANI!$D$29*B790*VERI_TABANI!$B$14 + VERI_TABANI!$D$29*C790*VERI_TABANI!$B$15 + IF(ISNUMBER(SEARCH("Var", D790)), VERI_TABANI!$F$29*VERI_TABANI!$B$16, 0))) / (((VERI_TABANI!$D$29*B790 + VERI_TABANI!$D$29*C790)*VERI_TABANI!$B$13 + IF(ISNUMBER(SEARCH("Var", D790)), VERI_TABANI!$E$29*(1-0.928)*VERI_TABANI!$B$18, 0))), 0)</f>
        <v/>
      </c>
      <c r="J790" s="171">
        <f>IFERROR(F790/(G790/29), 0)</f>
        <v/>
      </c>
      <c r="K790" s="172">
        <f>IF(F790&gt;0, H790/F790, 0)</f>
        <v/>
      </c>
      <c r="L790" s="170">
        <f>IF(F790&gt;0, I790, 1000000000)</f>
        <v/>
      </c>
      <c r="M790" s="171">
        <f>ABS((B790+C790)-1)</f>
        <v/>
      </c>
      <c r="N790" s="170">
        <f>IF(F790&gt;0, (G790/29)/F790, 0)</f>
        <v/>
      </c>
      <c r="O790" s="168">
        <f>IF(AND((B790+C790)&gt;=1, ISNUMBER(SEARCH("Var", D790))), F790, 1000000000)</f>
        <v/>
      </c>
      <c r="P790" s="172">
        <f>IF(F790&gt;0, SQRT((F790/MAX(F$5:F$886))^2 + (1 - H790/MAX(H$5:H$886))^2 + (J790/MAX(J$5:J$886))^2), 1000000000)</f>
        <v/>
      </c>
      <c r="Q790" s="166">
        <f>IF(AND(ABS(B790-0.5)&lt;0.01, ABS(C790-0.5)&lt;0.01, ISNUMBER(SEARCH("Var", D790))), 1, 0)</f>
        <v/>
      </c>
      <c r="R790" s="171">
        <f>IF(F790&gt;0, J790, 1000000000)</f>
        <v/>
      </c>
      <c r="S790" s="101">
        <f>IF(AND(F790&lt;=DASHBOARD!$B$11, H790&gt;=DASHBOARD!$B$13), G790, -1000000000000)</f>
        <v/>
      </c>
      <c r="T790" s="101">
        <f>IF(AND(F790&lt;=DASHBOARD!$B$11, H790&gt;=DASHBOARD!$B$13), R790, 1000000000000)</f>
        <v/>
      </c>
      <c r="U790" s="101">
        <f>IF(AND(F790&lt;=DASHBOARD!$B$11, H790&gt;=DASHBOARD!$B$13), N790, -1000000000000)</f>
        <v/>
      </c>
      <c r="V790" s="101">
        <f>IF(AND(F790&lt;=DASHBOARD!$B$11, H790&gt;=DASHBOARD!$B$13), H790, -1000000000000)</f>
        <v/>
      </c>
      <c r="W790" s="101">
        <f>IF(AND(F790&lt;=DASHBOARD!$B$11, H790&gt;=DASHBOARD!$B$13), K790, -1000000000000)</f>
        <v/>
      </c>
      <c r="X790" s="101">
        <f>IF(AND(F790&lt;=DASHBOARD!$B$11, H790&gt;=DASHBOARD!$B$13), M790, 1000000000000)</f>
        <v/>
      </c>
      <c r="Y790" s="101">
        <f>IF(AND(F790&lt;=DASHBOARD!$B$10, H790&gt;=DASHBOARD!$B$11), L790, 1000000000000)</f>
        <v/>
      </c>
      <c r="Z790" s="101">
        <f>IF(AND(F790&lt;=DASHBOARD!$B$10, H790&gt;=DASHBOARD!$B$11), O790, 1000000000000)</f>
        <v/>
      </c>
      <c r="AA790" s="101">
        <f>IF(AND(F790&lt;=DASHBOARD!$B$10, H790&gt;=DASHBOARD!$B$11), P790, 1000000000000)</f>
        <v/>
      </c>
      <c r="AB790" s="101">
        <f>IF(AND(F790&lt;=DASHBOARD!$B$10, H790&gt;=DASHBOARD!$B$11), Q790, -1000000000000)</f>
        <v/>
      </c>
    </row>
    <row r="791" ht="15" customHeight="1" s="102">
      <c r="A791" s="166" t="n">
        <v>787</v>
      </c>
      <c r="B791" s="167" t="n">
        <v>1.8</v>
      </c>
      <c r="C791" s="167" t="n">
        <v>1.5</v>
      </c>
      <c r="D791" s="110" t="inlineStr">
        <is>
          <t>Yok (%0)</t>
        </is>
      </c>
      <c r="E791" s="110">
        <f>IF((B791+C791)&lt;=1, "Tam Mahsuplaşma (≤%100)", "Kısmi Satış (&gt;%100)")</f>
        <v/>
      </c>
      <c r="F791" s="168">
        <f>((VERI_TABANI!$D$29*B791/VERI_TABANI!$B$29)/VERI_TABANI!$B$3)*VERI_TABANI!$B$5 + ((VERI_TABANI!$D$29*C791/VERI_TABANI!$B$29)/VERI_TABANI!$B$4)*VERI_TABANI!$B$6 + IF(ISNUMBER(SEARCH("Var", D791)), (VERI_TABANI!$F$29/VERI_TABANI!$B$29)*(VERI_TABANI!$B$10+VERI_TABANI!$B$12), 0)</f>
        <v/>
      </c>
      <c r="G791" s="168">
        <f>(((MIN(VERI_TABANI!D23, VERI_TABANI!D23*B791)*VERI_TABANI!$B$7 + MAX(0, VERI_TABANI!D23*B791-VERI_TABANI!D23)*VERI_TABANI!$B$8) + (MIN(MAX(0, VERI_TABANI!D23-VERI_TABANI!D23*B791), VERI_TABANI!D23*C791)*VERI_TABANI!$B$7 + MAX(0, VERI_TABANI!D23*C791-MAX(0, VERI_TABANI!D23-VERI_TABANI!D23*B791))*VERI_TABANI!$B$8) + IF(ABS(IF(ISNUMBER(SEARCH("Var", D791)), 1, IF(ISNUMBER(SEARCH("Gri", D791)), -1, 0)))=1, VERI_TABANI!E23*(1-0.928)*VERI_TABANI!$B$9, 0) + (VERI_TABANI!D23*B791*(VERI_TABANI!$B$13-VERI_TABANI!$B$14)*VERI_TABANI!G23) + (VERI_TABANI!D23*C791*(VERI_TABANI!$B$13-VERI_TABANI!$B$15)*VERI_TABANI!G23) + IF(ABS(IF(ISNUMBER(SEARCH("Var", D791)), 1, IF(ISNUMBER(SEARCH("Gri", D791)), -1, 0)))=1, VERI_TABANI!E23*(1-0.928)*0.00206091519919798*VERI_TABANI!G23, 0)) + ((MIN(VERI_TABANI!D24, VERI_TABANI!D24*B791)*VERI_TABANI!$B$7 + MAX(0, VERI_TABANI!D24*B791-VERI_TABANI!D24)*VERI_TABANI!$B$8) + (MIN(MAX(0, VERI_TABANI!D24-VERI_TABANI!D24*B791), VERI_TABANI!D24*C791)*VERI_TABANI!$B$7 + MAX(0, VERI_TABANI!D24*C791-MAX(0, VERI_TABANI!D24-VERI_TABANI!D24*B791))*VERI_TABANI!$B$8) + IF(ABS(IF(ISNUMBER(SEARCH("Var", D791)), 1, IF(ISNUMBER(SEARCH("Gri", D791)), -1, 0)))=1, VERI_TABANI!E24*(1-0.928)*VERI_TABANI!$B$9, 0) + (VERI_TABANI!D24*B791*(VERI_TABANI!$B$13-VERI_TABANI!$B$14)*VERI_TABANI!G24) + (VERI_TABANI!D24*C791*(VERI_TABANI!$B$13-VERI_TABANI!$B$15)*VERI_TABANI!G24) + IF(ABS(IF(ISNUMBER(SEARCH("Var", D791)), 1, IF(ISNUMBER(SEARCH("Gri", D791)), -1, 0)))=1, VERI_TABANI!E24*(1-0.928)*0.00206091519919798*VERI_TABANI!G24, 0)) + ((MIN(VERI_TABANI!D25, VERI_TABANI!D25*B791)*VERI_TABANI!$B$7 + MAX(0, VERI_TABANI!D25*B791-VERI_TABANI!D25)*VERI_TABANI!$B$8) + (MIN(MAX(0, VERI_TABANI!D25-VERI_TABANI!D25*B791), VERI_TABANI!D25*C791)*VERI_TABANI!$B$7 + MAX(0, VERI_TABANI!D25*C791-MAX(0, VERI_TABANI!D25-VERI_TABANI!D25*B791))*VERI_TABANI!$B$8) + IF(ABS(IF(ISNUMBER(SEARCH("Var", D791)), 1, IF(ISNUMBER(SEARCH("Gri", D791)), -1, 0)))=1, VERI_TABANI!E25*(1-0.928)*VERI_TABANI!$B$9, 0) + (VERI_TABANI!D25*B791*(VERI_TABANI!$B$13-VERI_TABANI!$B$14)*VERI_TABANI!G25) + (VERI_TABANI!D25*C791*(VERI_TABANI!$B$13-VERI_TABANI!$B$15)*VERI_TABANI!G25) + IF(ABS(IF(ISNUMBER(SEARCH("Var", D791)), 1, IF(ISNUMBER(SEARCH("Gri", D791)), -1, 0)))=1, VERI_TABANI!E25*(1-0.928)*0.00206091519919798*VERI_TABANI!G25, 0)) + ((MIN(VERI_TABANI!D26, VERI_TABANI!D26*B791)*VERI_TABANI!$B$7 + MAX(0, VERI_TABANI!D26*B791-VERI_TABANI!D26)*VERI_TABANI!$B$8) + (MIN(MAX(0, VERI_TABANI!D26-VERI_TABANI!D26*B791), VERI_TABANI!D26*C791)*VERI_TABANI!$B$7 + MAX(0, VERI_TABANI!D26*C791-MAX(0, VERI_TABANI!D26-VERI_TABANI!D26*B791))*VERI_TABANI!$B$8) + IF(ABS(IF(ISNUMBER(SEARCH("Var", D791)), 1, IF(ISNUMBER(SEARCH("Gri", D791)), -1, 0)))=1, VERI_TABANI!E26*(1-0.928)*VERI_TABANI!$B$9, 0) + (VERI_TABANI!D26*B791*(VERI_TABANI!$B$13-VERI_TABANI!$B$14)*VERI_TABANI!G26) + (VERI_TABANI!D26*C791*(VERI_TABANI!$B$13-VERI_TABANI!$B$15)*VERI_TABANI!G26) + IF(ABS(IF(ISNUMBER(SEARCH("Var", D791)), 1, IF(ISNUMBER(SEARCH("Gri", D791)), -1, 0)))=1, VERI_TABANI!E26*(1-0.928)*0.00206091519919798*VERI_TABANI!G26, 0)) + ((MIN(VERI_TABANI!D27, VERI_TABANI!D27*B791)*VERI_TABANI!$B$7 + MAX(0, VERI_TABANI!D27*B791-VERI_TABANI!D27)*VERI_TABANI!$B$8) + (MIN(MAX(0, VERI_TABANI!D27-VERI_TABANI!D27*B791), VERI_TABANI!D27*C791)*VERI_TABANI!$B$7 + MAX(0, VERI_TABANI!D27*C791-MAX(0, VERI_TABANI!D27-VERI_TABANI!D27*B791))*VERI_TABANI!$B$8) + IF(ABS(IF(ISNUMBER(SEARCH("Var", D791)), 1, IF(ISNUMBER(SEARCH("Gri", D791)), -1, 0)))=1, VERI_TABANI!E27*(1-0.928)*VERI_TABANI!$B$9, 0) + (VERI_TABANI!D27*B791*(VERI_TABANI!$B$13-VERI_TABANI!$B$14)*VERI_TABANI!G27) + (VERI_TABANI!D27*C791*(VERI_TABANI!$B$13-VERI_TABANI!$B$15)*VERI_TABANI!G27) + IF(ABS(IF(ISNUMBER(SEARCH("Var", D791)), 1, IF(ISNUMBER(SEARCH("Gri", D791)), -1, 0)))=1, VERI_TABANI!E27*(1-0.928)*0.00206091519919798*VERI_TABANI!G27, 0)) + ((MIN(VERI_TABANI!D28, VERI_TABANI!D28*B791)*VERI_TABANI!$B$7 + MAX(0, VERI_TABANI!D28*B791-VERI_TABANI!D28)*VERI_TABANI!$B$8) + (MIN(MAX(0, VERI_TABANI!D28-VERI_TABANI!D28*B791), VERI_TABANI!D28*C791)*VERI_TABANI!$B$7 + MAX(0, VERI_TABANI!D28*C791-MAX(0, VERI_TABANI!D28-VERI_TABANI!D28*B791))*VERI_TABANI!$B$8) + IF(ABS(IF(ISNUMBER(SEARCH("Var", D791)), 1, IF(ISNUMBER(SEARCH("Gri", D791)), -1, 0)))=1, VERI_TABANI!E28*(1-0.928)*VERI_TABANI!$B$9, 0) + (VERI_TABANI!D28*B791*(VERI_TABANI!$B$13-VERI_TABANI!$B$14)*VERI_TABANI!G28) + (VERI_TABANI!D28*C791*(VERI_TABANI!$B$13-VERI_TABANI!$B$15)*VERI_TABANI!G28) + IF(ABS(IF(ISNUMBER(SEARCH("Var", D791)), 1, IF(ISNUMBER(SEARCH("Gri", D791)), -1, 0)))=1, VERI_TABANI!E28*(1-0.928)*0.00206091519919798*VERI_TABANI!G28, 0)))</f>
        <v/>
      </c>
      <c r="H791" s="169">
        <f>(((VERI_TABANI!D23*B791*(VERI_TABANI!$B$13-VERI_TABANI!$B$14)) + (VERI_TABANI!D23*C791*(VERI_TABANI!$B$13-VERI_TABANI!$B$15)) + IF(ISNUMBER(SEARCH("Var", D791)), VERI_TABANI!F23*(0.00202-VERI_TABANI!$B$16), IF(ISNUMBER(SEARCH("Gri", D791)), VERI_TABANI!F23*(0.00202-VERI_TABANI!$B$17), 0))) + ((VERI_TABANI!D24*B791*(VERI_TABANI!$B$13-VERI_TABANI!$B$14)) + (VERI_TABANI!D24*C791*(VERI_TABANI!$B$13-VERI_TABANI!$B$15)) + IF(ISNUMBER(SEARCH("Var", D791)), VERI_TABANI!F24*(0.00202-VERI_TABANI!$B$16), IF(ISNUMBER(SEARCH("Gri", D791)), VERI_TABANI!F24*(0.00202-VERI_TABANI!$B$17), 0))) + ((VERI_TABANI!D25*B791*(VERI_TABANI!$B$13-VERI_TABANI!$B$14)) + (VERI_TABANI!D25*C791*(VERI_TABANI!$B$13-VERI_TABANI!$B$15)) + IF(ISNUMBER(SEARCH("Var", D791)), VERI_TABANI!F25*(0.00202-VERI_TABANI!$B$16), IF(ISNUMBER(SEARCH("Gri", D791)), VERI_TABANI!F25*(0.00202-VERI_TABANI!$B$17), 0))) + ((VERI_TABANI!D26*B791*(VERI_TABANI!$B$13-VERI_TABANI!$B$14)) + (VERI_TABANI!D26*C791*(VERI_TABANI!$B$13-VERI_TABANI!$B$15)) + IF(ISNUMBER(SEARCH("Var", D791)), VERI_TABANI!F26*(0.00202-VERI_TABANI!$B$16), IF(ISNUMBER(SEARCH("Gri", D791)), VERI_TABANI!F26*(0.00202-VERI_TABANI!$B$17), 0))) + ((VERI_TABANI!D27*B791*(VERI_TABANI!$B$13-VERI_TABANI!$B$14)) + (VERI_TABANI!D27*C791*(VERI_TABANI!$B$13-VERI_TABANI!$B$15)) + IF(ISNUMBER(SEARCH("Var", D791)), VERI_TABANI!F27*(0.00202-VERI_TABANI!$B$16), IF(ISNUMBER(SEARCH("Gri", D791)), VERI_TABANI!F27*(0.00202-VERI_TABANI!$B$17), 0))) + ((VERI_TABANI!D28*B791*(VERI_TABANI!$B$13-VERI_TABANI!$B$14)) + (VERI_TABANI!D28*C791*(VERI_TABANI!$B$13-VERI_TABANI!$B$15)) + IF(ISNUMBER(SEARCH("Var", D791)), VERI_TABANI!F28*(0.00202-VERI_TABANI!$B$16), IF(ISNUMBER(SEARCH("Gri", D791)), VERI_TABANI!F28*(0.00202-VERI_TABANI!$B$17), 0))))</f>
        <v/>
      </c>
      <c r="I791" s="170">
        <f>IFERROR(((VERI_TABANI!$D$29*B791*VERI_TABANI!$B$14 + VERI_TABANI!$D$29*C791*VERI_TABANI!$B$15 + IF(ISNUMBER(SEARCH("Var", D791)), VERI_TABANI!$F$29*VERI_TABANI!$B$16, 0))) / (((VERI_TABANI!$D$29*B791 + VERI_TABANI!$D$29*C791)*VERI_TABANI!$B$13 + IF(ISNUMBER(SEARCH("Var", D791)), VERI_TABANI!$E$29*(1-0.928)*VERI_TABANI!$B$18, 0))), 0)</f>
        <v/>
      </c>
      <c r="J791" s="171">
        <f>IFERROR(F791/(G791/29), 0)</f>
        <v/>
      </c>
      <c r="K791" s="172">
        <f>IF(F791&gt;0, H791/F791, 0)</f>
        <v/>
      </c>
      <c r="L791" s="170">
        <f>IF(F791&gt;0, I791, 1000000000)</f>
        <v/>
      </c>
      <c r="M791" s="171">
        <f>ABS((B791+C791)-1)</f>
        <v/>
      </c>
      <c r="N791" s="170">
        <f>IF(F791&gt;0, (G791/29)/F791, 0)</f>
        <v/>
      </c>
      <c r="O791" s="168">
        <f>IF(AND((B791+C791)&gt;=1, ISNUMBER(SEARCH("Var", D791))), F791, 1000000000)</f>
        <v/>
      </c>
      <c r="P791" s="172">
        <f>IF(F791&gt;0, SQRT((F791/MAX(F$5:F$886))^2 + (1 - H791/MAX(H$5:H$886))^2 + (J791/MAX(J$5:J$886))^2), 1000000000)</f>
        <v/>
      </c>
      <c r="Q791" s="166">
        <f>IF(AND(ABS(B791-0.5)&lt;0.01, ABS(C791-0.5)&lt;0.01, ISNUMBER(SEARCH("Var", D791))), 1, 0)</f>
        <v/>
      </c>
      <c r="R791" s="171">
        <f>IF(F791&gt;0, J791, 1000000000)</f>
        <v/>
      </c>
      <c r="S791" s="101">
        <f>IF(AND(F791&lt;=DASHBOARD!$B$11, H791&gt;=DASHBOARD!$B$13), G791, -1000000000000)</f>
        <v/>
      </c>
      <c r="T791" s="101">
        <f>IF(AND(F791&lt;=DASHBOARD!$B$11, H791&gt;=DASHBOARD!$B$13), R791, 1000000000000)</f>
        <v/>
      </c>
      <c r="U791" s="101">
        <f>IF(AND(F791&lt;=DASHBOARD!$B$11, H791&gt;=DASHBOARD!$B$13), N791, -1000000000000)</f>
        <v/>
      </c>
      <c r="V791" s="101">
        <f>IF(AND(F791&lt;=DASHBOARD!$B$11, H791&gt;=DASHBOARD!$B$13), H791, -1000000000000)</f>
        <v/>
      </c>
      <c r="W791" s="101">
        <f>IF(AND(F791&lt;=DASHBOARD!$B$11, H791&gt;=DASHBOARD!$B$13), K791, -1000000000000)</f>
        <v/>
      </c>
      <c r="X791" s="101">
        <f>IF(AND(F791&lt;=DASHBOARD!$B$11, H791&gt;=DASHBOARD!$B$13), M791, 1000000000000)</f>
        <v/>
      </c>
      <c r="Y791" s="101">
        <f>IF(AND(F791&lt;=DASHBOARD!$B$10, H791&gt;=DASHBOARD!$B$11), L791, 1000000000000)</f>
        <v/>
      </c>
      <c r="Z791" s="101">
        <f>IF(AND(F791&lt;=DASHBOARD!$B$10, H791&gt;=DASHBOARD!$B$11), O791, 1000000000000)</f>
        <v/>
      </c>
      <c r="AA791" s="101">
        <f>IF(AND(F791&lt;=DASHBOARD!$B$10, H791&gt;=DASHBOARD!$B$11), P791, 1000000000000)</f>
        <v/>
      </c>
      <c r="AB791" s="101">
        <f>IF(AND(F791&lt;=DASHBOARD!$B$10, H791&gt;=DASHBOARD!$B$11), Q791, -1000000000000)</f>
        <v/>
      </c>
    </row>
    <row r="792" ht="15" customHeight="1" s="102">
      <c r="A792" s="166" t="n">
        <v>788</v>
      </c>
      <c r="B792" s="167" t="n">
        <v>1.8</v>
      </c>
      <c r="C792" s="167" t="n">
        <v>1.5</v>
      </c>
      <c r="D792" s="110" t="inlineStr">
        <is>
          <t>Var (%20)</t>
        </is>
      </c>
      <c r="E792" s="110">
        <f>IF((B792+C792)&lt;=1, "Tam Mahsuplaşma (≤%100)", "Kısmi Satış (&gt;%100)")</f>
        <v/>
      </c>
      <c r="F792" s="168">
        <f>((VERI_TABANI!$D$29*B792/VERI_TABANI!$B$29)/VERI_TABANI!$B$3)*VERI_TABANI!$B$5 + ((VERI_TABANI!$D$29*C792/VERI_TABANI!$B$29)/VERI_TABANI!$B$4)*VERI_TABANI!$B$6 + IF(ISNUMBER(SEARCH("Var", D792)), (VERI_TABANI!$F$29/VERI_TABANI!$B$29)*(VERI_TABANI!$B$10+VERI_TABANI!$B$12), 0)</f>
        <v/>
      </c>
      <c r="G792" s="168">
        <f>(((MIN(VERI_TABANI!D23, VERI_TABANI!D23*B792)*VERI_TABANI!$B$7 + MAX(0, VERI_TABANI!D23*B792-VERI_TABANI!D23)*VERI_TABANI!$B$8) + (MIN(MAX(0, VERI_TABANI!D23-VERI_TABANI!D23*B792), VERI_TABANI!D23*C792)*VERI_TABANI!$B$7 + MAX(0, VERI_TABANI!D23*C792-MAX(0, VERI_TABANI!D23-VERI_TABANI!D23*B792))*VERI_TABANI!$B$8) + IF(ABS(IF(ISNUMBER(SEARCH("Var", D792)), 1, IF(ISNUMBER(SEARCH("Gri", D792)), -1, 0)))=1, VERI_TABANI!E23*(1-0.928)*VERI_TABANI!$B$9, 0) + (VERI_TABANI!D23*B792*(VERI_TABANI!$B$13-VERI_TABANI!$B$14)*VERI_TABANI!G23) + (VERI_TABANI!D23*C792*(VERI_TABANI!$B$13-VERI_TABANI!$B$15)*VERI_TABANI!G23) + IF(ABS(IF(ISNUMBER(SEARCH("Var", D792)), 1, IF(ISNUMBER(SEARCH("Gri", D792)), -1, 0)))=1, VERI_TABANI!E23*(1-0.928)*0.00206091519919798*VERI_TABANI!G23, 0)) + ((MIN(VERI_TABANI!D24, VERI_TABANI!D24*B792)*VERI_TABANI!$B$7 + MAX(0, VERI_TABANI!D24*B792-VERI_TABANI!D24)*VERI_TABANI!$B$8) + (MIN(MAX(0, VERI_TABANI!D24-VERI_TABANI!D24*B792), VERI_TABANI!D24*C792)*VERI_TABANI!$B$7 + MAX(0, VERI_TABANI!D24*C792-MAX(0, VERI_TABANI!D24-VERI_TABANI!D24*B792))*VERI_TABANI!$B$8) + IF(ABS(IF(ISNUMBER(SEARCH("Var", D792)), 1, IF(ISNUMBER(SEARCH("Gri", D792)), -1, 0)))=1, VERI_TABANI!E24*(1-0.928)*VERI_TABANI!$B$9, 0) + (VERI_TABANI!D24*B792*(VERI_TABANI!$B$13-VERI_TABANI!$B$14)*VERI_TABANI!G24) + (VERI_TABANI!D24*C792*(VERI_TABANI!$B$13-VERI_TABANI!$B$15)*VERI_TABANI!G24) + IF(ABS(IF(ISNUMBER(SEARCH("Var", D792)), 1, IF(ISNUMBER(SEARCH("Gri", D792)), -1, 0)))=1, VERI_TABANI!E24*(1-0.928)*0.00206091519919798*VERI_TABANI!G24, 0)) + ((MIN(VERI_TABANI!D25, VERI_TABANI!D25*B792)*VERI_TABANI!$B$7 + MAX(0, VERI_TABANI!D25*B792-VERI_TABANI!D25)*VERI_TABANI!$B$8) + (MIN(MAX(0, VERI_TABANI!D25-VERI_TABANI!D25*B792), VERI_TABANI!D25*C792)*VERI_TABANI!$B$7 + MAX(0, VERI_TABANI!D25*C792-MAX(0, VERI_TABANI!D25-VERI_TABANI!D25*B792))*VERI_TABANI!$B$8) + IF(ABS(IF(ISNUMBER(SEARCH("Var", D792)), 1, IF(ISNUMBER(SEARCH("Gri", D792)), -1, 0)))=1, VERI_TABANI!E25*(1-0.928)*VERI_TABANI!$B$9, 0) + (VERI_TABANI!D25*B792*(VERI_TABANI!$B$13-VERI_TABANI!$B$14)*VERI_TABANI!G25) + (VERI_TABANI!D25*C792*(VERI_TABANI!$B$13-VERI_TABANI!$B$15)*VERI_TABANI!G25) + IF(ABS(IF(ISNUMBER(SEARCH("Var", D792)), 1, IF(ISNUMBER(SEARCH("Gri", D792)), -1, 0)))=1, VERI_TABANI!E25*(1-0.928)*0.00206091519919798*VERI_TABANI!G25, 0)) + ((MIN(VERI_TABANI!D26, VERI_TABANI!D26*B792)*VERI_TABANI!$B$7 + MAX(0, VERI_TABANI!D26*B792-VERI_TABANI!D26)*VERI_TABANI!$B$8) + (MIN(MAX(0, VERI_TABANI!D26-VERI_TABANI!D26*B792), VERI_TABANI!D26*C792)*VERI_TABANI!$B$7 + MAX(0, VERI_TABANI!D26*C792-MAX(0, VERI_TABANI!D26-VERI_TABANI!D26*B792))*VERI_TABANI!$B$8) + IF(ABS(IF(ISNUMBER(SEARCH("Var", D792)), 1, IF(ISNUMBER(SEARCH("Gri", D792)), -1, 0)))=1, VERI_TABANI!E26*(1-0.928)*VERI_TABANI!$B$9, 0) + (VERI_TABANI!D26*B792*(VERI_TABANI!$B$13-VERI_TABANI!$B$14)*VERI_TABANI!G26) + (VERI_TABANI!D26*C792*(VERI_TABANI!$B$13-VERI_TABANI!$B$15)*VERI_TABANI!G26) + IF(ABS(IF(ISNUMBER(SEARCH("Var", D792)), 1, IF(ISNUMBER(SEARCH("Gri", D792)), -1, 0)))=1, VERI_TABANI!E26*(1-0.928)*0.00206091519919798*VERI_TABANI!G26, 0)) + ((MIN(VERI_TABANI!D27, VERI_TABANI!D27*B792)*VERI_TABANI!$B$7 + MAX(0, VERI_TABANI!D27*B792-VERI_TABANI!D27)*VERI_TABANI!$B$8) + (MIN(MAX(0, VERI_TABANI!D27-VERI_TABANI!D27*B792), VERI_TABANI!D27*C792)*VERI_TABANI!$B$7 + MAX(0, VERI_TABANI!D27*C792-MAX(0, VERI_TABANI!D27-VERI_TABANI!D27*B792))*VERI_TABANI!$B$8) + IF(ABS(IF(ISNUMBER(SEARCH("Var", D792)), 1, IF(ISNUMBER(SEARCH("Gri", D792)), -1, 0)))=1, VERI_TABANI!E27*(1-0.928)*VERI_TABANI!$B$9, 0) + (VERI_TABANI!D27*B792*(VERI_TABANI!$B$13-VERI_TABANI!$B$14)*VERI_TABANI!G27) + (VERI_TABANI!D27*C792*(VERI_TABANI!$B$13-VERI_TABANI!$B$15)*VERI_TABANI!G27) + IF(ABS(IF(ISNUMBER(SEARCH("Var", D792)), 1, IF(ISNUMBER(SEARCH("Gri", D792)), -1, 0)))=1, VERI_TABANI!E27*(1-0.928)*0.00206091519919798*VERI_TABANI!G27, 0)) + ((MIN(VERI_TABANI!D28, VERI_TABANI!D28*B792)*VERI_TABANI!$B$7 + MAX(0, VERI_TABANI!D28*B792-VERI_TABANI!D28)*VERI_TABANI!$B$8) + (MIN(MAX(0, VERI_TABANI!D28-VERI_TABANI!D28*B792), VERI_TABANI!D28*C792)*VERI_TABANI!$B$7 + MAX(0, VERI_TABANI!D28*C792-MAX(0, VERI_TABANI!D28-VERI_TABANI!D28*B792))*VERI_TABANI!$B$8) + IF(ABS(IF(ISNUMBER(SEARCH("Var", D792)), 1, IF(ISNUMBER(SEARCH("Gri", D792)), -1, 0)))=1, VERI_TABANI!E28*(1-0.928)*VERI_TABANI!$B$9, 0) + (VERI_TABANI!D28*B792*(VERI_TABANI!$B$13-VERI_TABANI!$B$14)*VERI_TABANI!G28) + (VERI_TABANI!D28*C792*(VERI_TABANI!$B$13-VERI_TABANI!$B$15)*VERI_TABANI!G28) + IF(ABS(IF(ISNUMBER(SEARCH("Var", D792)), 1, IF(ISNUMBER(SEARCH("Gri", D792)), -1, 0)))=1, VERI_TABANI!E28*(1-0.928)*0.00206091519919798*VERI_TABANI!G28, 0)))</f>
        <v/>
      </c>
      <c r="H792" s="169">
        <f>(((VERI_TABANI!D23*B792*(VERI_TABANI!$B$13-VERI_TABANI!$B$14)) + (VERI_TABANI!D23*C792*(VERI_TABANI!$B$13-VERI_TABANI!$B$15)) + IF(ISNUMBER(SEARCH("Var", D792)), VERI_TABANI!F23*(0.00202-VERI_TABANI!$B$16), IF(ISNUMBER(SEARCH("Gri", D792)), VERI_TABANI!F23*(0.00202-VERI_TABANI!$B$17), 0))) + ((VERI_TABANI!D24*B792*(VERI_TABANI!$B$13-VERI_TABANI!$B$14)) + (VERI_TABANI!D24*C792*(VERI_TABANI!$B$13-VERI_TABANI!$B$15)) + IF(ISNUMBER(SEARCH("Var", D792)), VERI_TABANI!F24*(0.00202-VERI_TABANI!$B$16), IF(ISNUMBER(SEARCH("Gri", D792)), VERI_TABANI!F24*(0.00202-VERI_TABANI!$B$17), 0))) + ((VERI_TABANI!D25*B792*(VERI_TABANI!$B$13-VERI_TABANI!$B$14)) + (VERI_TABANI!D25*C792*(VERI_TABANI!$B$13-VERI_TABANI!$B$15)) + IF(ISNUMBER(SEARCH("Var", D792)), VERI_TABANI!F25*(0.00202-VERI_TABANI!$B$16), IF(ISNUMBER(SEARCH("Gri", D792)), VERI_TABANI!F25*(0.00202-VERI_TABANI!$B$17), 0))) + ((VERI_TABANI!D26*B792*(VERI_TABANI!$B$13-VERI_TABANI!$B$14)) + (VERI_TABANI!D26*C792*(VERI_TABANI!$B$13-VERI_TABANI!$B$15)) + IF(ISNUMBER(SEARCH("Var", D792)), VERI_TABANI!F26*(0.00202-VERI_TABANI!$B$16), IF(ISNUMBER(SEARCH("Gri", D792)), VERI_TABANI!F26*(0.00202-VERI_TABANI!$B$17), 0))) + ((VERI_TABANI!D27*B792*(VERI_TABANI!$B$13-VERI_TABANI!$B$14)) + (VERI_TABANI!D27*C792*(VERI_TABANI!$B$13-VERI_TABANI!$B$15)) + IF(ISNUMBER(SEARCH("Var", D792)), VERI_TABANI!F27*(0.00202-VERI_TABANI!$B$16), IF(ISNUMBER(SEARCH("Gri", D792)), VERI_TABANI!F27*(0.00202-VERI_TABANI!$B$17), 0))) + ((VERI_TABANI!D28*B792*(VERI_TABANI!$B$13-VERI_TABANI!$B$14)) + (VERI_TABANI!D28*C792*(VERI_TABANI!$B$13-VERI_TABANI!$B$15)) + IF(ISNUMBER(SEARCH("Var", D792)), VERI_TABANI!F28*(0.00202-VERI_TABANI!$B$16), IF(ISNUMBER(SEARCH("Gri", D792)), VERI_TABANI!F28*(0.00202-VERI_TABANI!$B$17), 0))))</f>
        <v/>
      </c>
      <c r="I792" s="170">
        <f>IFERROR(((VERI_TABANI!$D$29*B792*VERI_TABANI!$B$14 + VERI_TABANI!$D$29*C792*VERI_TABANI!$B$15 + IF(ISNUMBER(SEARCH("Var", D792)), VERI_TABANI!$F$29*VERI_TABANI!$B$16, 0))) / (((VERI_TABANI!$D$29*B792 + VERI_TABANI!$D$29*C792)*VERI_TABANI!$B$13 + IF(ISNUMBER(SEARCH("Var", D792)), VERI_TABANI!$E$29*(1-0.928)*VERI_TABANI!$B$18, 0))), 0)</f>
        <v/>
      </c>
      <c r="J792" s="171">
        <f>IFERROR(F792/(G792/29), 0)</f>
        <v/>
      </c>
      <c r="K792" s="172">
        <f>IF(F792&gt;0, H792/F792, 0)</f>
        <v/>
      </c>
      <c r="L792" s="170">
        <f>IF(F792&gt;0, I792, 1000000000)</f>
        <v/>
      </c>
      <c r="M792" s="171">
        <f>ABS((B792+C792)-1)</f>
        <v/>
      </c>
      <c r="N792" s="170">
        <f>IF(F792&gt;0, (G792/29)/F792, 0)</f>
        <v/>
      </c>
      <c r="O792" s="168">
        <f>IF(AND((B792+C792)&gt;=1, ISNUMBER(SEARCH("Var", D792))), F792, 1000000000)</f>
        <v/>
      </c>
      <c r="P792" s="172">
        <f>IF(F792&gt;0, SQRT((F792/MAX(F$5:F$886))^2 + (1 - H792/MAX(H$5:H$886))^2 + (J792/MAX(J$5:J$886))^2), 1000000000)</f>
        <v/>
      </c>
      <c r="Q792" s="166">
        <f>IF(AND(ABS(B792-0.5)&lt;0.01, ABS(C792-0.5)&lt;0.01, ISNUMBER(SEARCH("Var", D792))), 1, 0)</f>
        <v/>
      </c>
      <c r="R792" s="171">
        <f>IF(F792&gt;0, J792, 1000000000)</f>
        <v/>
      </c>
      <c r="S792" s="101">
        <f>IF(AND(F792&lt;=DASHBOARD!$B$11, H792&gt;=DASHBOARD!$B$13), G792, -1000000000000)</f>
        <v/>
      </c>
      <c r="T792" s="101">
        <f>IF(AND(F792&lt;=DASHBOARD!$B$11, H792&gt;=DASHBOARD!$B$13), R792, 1000000000000)</f>
        <v/>
      </c>
      <c r="U792" s="101">
        <f>IF(AND(F792&lt;=DASHBOARD!$B$11, H792&gt;=DASHBOARD!$B$13), N792, -1000000000000)</f>
        <v/>
      </c>
      <c r="V792" s="101">
        <f>IF(AND(F792&lt;=DASHBOARD!$B$11, H792&gt;=DASHBOARD!$B$13), H792, -1000000000000)</f>
        <v/>
      </c>
      <c r="W792" s="101">
        <f>IF(AND(F792&lt;=DASHBOARD!$B$11, H792&gt;=DASHBOARD!$B$13), K792, -1000000000000)</f>
        <v/>
      </c>
      <c r="X792" s="101">
        <f>IF(AND(F792&lt;=DASHBOARD!$B$11, H792&gt;=DASHBOARD!$B$13), M792, 1000000000000)</f>
        <v/>
      </c>
      <c r="Y792" s="101">
        <f>IF(AND(F792&lt;=DASHBOARD!$B$10, H792&gt;=DASHBOARD!$B$11), L792, 1000000000000)</f>
        <v/>
      </c>
      <c r="Z792" s="101">
        <f>IF(AND(F792&lt;=DASHBOARD!$B$10, H792&gt;=DASHBOARD!$B$11), O792, 1000000000000)</f>
        <v/>
      </c>
      <c r="AA792" s="101">
        <f>IF(AND(F792&lt;=DASHBOARD!$B$10, H792&gt;=DASHBOARD!$B$11), P792, 1000000000000)</f>
        <v/>
      </c>
      <c r="AB792" s="101">
        <f>IF(AND(F792&lt;=DASHBOARD!$B$10, H792&gt;=DASHBOARD!$B$11), Q792, -1000000000000)</f>
        <v/>
      </c>
    </row>
    <row r="793" ht="15" customHeight="1" s="102">
      <c r="A793" s="166" t="n">
        <v>789</v>
      </c>
      <c r="B793" s="167" t="n">
        <v>1.8</v>
      </c>
      <c r="C793" s="167" t="n">
        <v>1.6</v>
      </c>
      <c r="D793" s="110" t="inlineStr">
        <is>
          <t>Yok (%0)</t>
        </is>
      </c>
      <c r="E793" s="110">
        <f>IF((B793+C793)&lt;=1, "Tam Mahsuplaşma (≤%100)", "Kısmi Satış (&gt;%100)")</f>
        <v/>
      </c>
      <c r="F793" s="168">
        <f>((VERI_TABANI!$D$29*B793/VERI_TABANI!$B$29)/VERI_TABANI!$B$3)*VERI_TABANI!$B$5 + ((VERI_TABANI!$D$29*C793/VERI_TABANI!$B$29)/VERI_TABANI!$B$4)*VERI_TABANI!$B$6 + IF(ISNUMBER(SEARCH("Var", D793)), (VERI_TABANI!$F$29/VERI_TABANI!$B$29)*(VERI_TABANI!$B$10+VERI_TABANI!$B$12), 0)</f>
        <v/>
      </c>
      <c r="G793" s="168">
        <f>(((MIN(VERI_TABANI!D23, VERI_TABANI!D23*B793)*VERI_TABANI!$B$7 + MAX(0, VERI_TABANI!D23*B793-VERI_TABANI!D23)*VERI_TABANI!$B$8) + (MIN(MAX(0, VERI_TABANI!D23-VERI_TABANI!D23*B793), VERI_TABANI!D23*C793)*VERI_TABANI!$B$7 + MAX(0, VERI_TABANI!D23*C793-MAX(0, VERI_TABANI!D23-VERI_TABANI!D23*B793))*VERI_TABANI!$B$8) + IF(ABS(IF(ISNUMBER(SEARCH("Var", D793)), 1, IF(ISNUMBER(SEARCH("Gri", D793)), -1, 0)))=1, VERI_TABANI!E23*(1-0.928)*VERI_TABANI!$B$9, 0) + (VERI_TABANI!D23*B793*(VERI_TABANI!$B$13-VERI_TABANI!$B$14)*VERI_TABANI!G23) + (VERI_TABANI!D23*C793*(VERI_TABANI!$B$13-VERI_TABANI!$B$15)*VERI_TABANI!G23) + IF(ABS(IF(ISNUMBER(SEARCH("Var", D793)), 1, IF(ISNUMBER(SEARCH("Gri", D793)), -1, 0)))=1, VERI_TABANI!E23*(1-0.928)*0.00206091519919798*VERI_TABANI!G23, 0)) + ((MIN(VERI_TABANI!D24, VERI_TABANI!D24*B793)*VERI_TABANI!$B$7 + MAX(0, VERI_TABANI!D24*B793-VERI_TABANI!D24)*VERI_TABANI!$B$8) + (MIN(MAX(0, VERI_TABANI!D24-VERI_TABANI!D24*B793), VERI_TABANI!D24*C793)*VERI_TABANI!$B$7 + MAX(0, VERI_TABANI!D24*C793-MAX(0, VERI_TABANI!D24-VERI_TABANI!D24*B793))*VERI_TABANI!$B$8) + IF(ABS(IF(ISNUMBER(SEARCH("Var", D793)), 1, IF(ISNUMBER(SEARCH("Gri", D793)), -1, 0)))=1, VERI_TABANI!E24*(1-0.928)*VERI_TABANI!$B$9, 0) + (VERI_TABANI!D24*B793*(VERI_TABANI!$B$13-VERI_TABANI!$B$14)*VERI_TABANI!G24) + (VERI_TABANI!D24*C793*(VERI_TABANI!$B$13-VERI_TABANI!$B$15)*VERI_TABANI!G24) + IF(ABS(IF(ISNUMBER(SEARCH("Var", D793)), 1, IF(ISNUMBER(SEARCH("Gri", D793)), -1, 0)))=1, VERI_TABANI!E24*(1-0.928)*0.00206091519919798*VERI_TABANI!G24, 0)) + ((MIN(VERI_TABANI!D25, VERI_TABANI!D25*B793)*VERI_TABANI!$B$7 + MAX(0, VERI_TABANI!D25*B793-VERI_TABANI!D25)*VERI_TABANI!$B$8) + (MIN(MAX(0, VERI_TABANI!D25-VERI_TABANI!D25*B793), VERI_TABANI!D25*C793)*VERI_TABANI!$B$7 + MAX(0, VERI_TABANI!D25*C793-MAX(0, VERI_TABANI!D25-VERI_TABANI!D25*B793))*VERI_TABANI!$B$8) + IF(ABS(IF(ISNUMBER(SEARCH("Var", D793)), 1, IF(ISNUMBER(SEARCH("Gri", D793)), -1, 0)))=1, VERI_TABANI!E25*(1-0.928)*VERI_TABANI!$B$9, 0) + (VERI_TABANI!D25*B793*(VERI_TABANI!$B$13-VERI_TABANI!$B$14)*VERI_TABANI!G25) + (VERI_TABANI!D25*C793*(VERI_TABANI!$B$13-VERI_TABANI!$B$15)*VERI_TABANI!G25) + IF(ABS(IF(ISNUMBER(SEARCH("Var", D793)), 1, IF(ISNUMBER(SEARCH("Gri", D793)), -1, 0)))=1, VERI_TABANI!E25*(1-0.928)*0.00206091519919798*VERI_TABANI!G25, 0)) + ((MIN(VERI_TABANI!D26, VERI_TABANI!D26*B793)*VERI_TABANI!$B$7 + MAX(0, VERI_TABANI!D26*B793-VERI_TABANI!D26)*VERI_TABANI!$B$8) + (MIN(MAX(0, VERI_TABANI!D26-VERI_TABANI!D26*B793), VERI_TABANI!D26*C793)*VERI_TABANI!$B$7 + MAX(0, VERI_TABANI!D26*C793-MAX(0, VERI_TABANI!D26-VERI_TABANI!D26*B793))*VERI_TABANI!$B$8) + IF(ABS(IF(ISNUMBER(SEARCH("Var", D793)), 1, IF(ISNUMBER(SEARCH("Gri", D793)), -1, 0)))=1, VERI_TABANI!E26*(1-0.928)*VERI_TABANI!$B$9, 0) + (VERI_TABANI!D26*B793*(VERI_TABANI!$B$13-VERI_TABANI!$B$14)*VERI_TABANI!G26) + (VERI_TABANI!D26*C793*(VERI_TABANI!$B$13-VERI_TABANI!$B$15)*VERI_TABANI!G26) + IF(ABS(IF(ISNUMBER(SEARCH("Var", D793)), 1, IF(ISNUMBER(SEARCH("Gri", D793)), -1, 0)))=1, VERI_TABANI!E26*(1-0.928)*0.00206091519919798*VERI_TABANI!G26, 0)) + ((MIN(VERI_TABANI!D27, VERI_TABANI!D27*B793)*VERI_TABANI!$B$7 + MAX(0, VERI_TABANI!D27*B793-VERI_TABANI!D27)*VERI_TABANI!$B$8) + (MIN(MAX(0, VERI_TABANI!D27-VERI_TABANI!D27*B793), VERI_TABANI!D27*C793)*VERI_TABANI!$B$7 + MAX(0, VERI_TABANI!D27*C793-MAX(0, VERI_TABANI!D27-VERI_TABANI!D27*B793))*VERI_TABANI!$B$8) + IF(ABS(IF(ISNUMBER(SEARCH("Var", D793)), 1, IF(ISNUMBER(SEARCH("Gri", D793)), -1, 0)))=1, VERI_TABANI!E27*(1-0.928)*VERI_TABANI!$B$9, 0) + (VERI_TABANI!D27*B793*(VERI_TABANI!$B$13-VERI_TABANI!$B$14)*VERI_TABANI!G27) + (VERI_TABANI!D27*C793*(VERI_TABANI!$B$13-VERI_TABANI!$B$15)*VERI_TABANI!G27) + IF(ABS(IF(ISNUMBER(SEARCH("Var", D793)), 1, IF(ISNUMBER(SEARCH("Gri", D793)), -1, 0)))=1, VERI_TABANI!E27*(1-0.928)*0.00206091519919798*VERI_TABANI!G27, 0)) + ((MIN(VERI_TABANI!D28, VERI_TABANI!D28*B793)*VERI_TABANI!$B$7 + MAX(0, VERI_TABANI!D28*B793-VERI_TABANI!D28)*VERI_TABANI!$B$8) + (MIN(MAX(0, VERI_TABANI!D28-VERI_TABANI!D28*B793), VERI_TABANI!D28*C793)*VERI_TABANI!$B$7 + MAX(0, VERI_TABANI!D28*C793-MAX(0, VERI_TABANI!D28-VERI_TABANI!D28*B793))*VERI_TABANI!$B$8) + IF(ABS(IF(ISNUMBER(SEARCH("Var", D793)), 1, IF(ISNUMBER(SEARCH("Gri", D793)), -1, 0)))=1, VERI_TABANI!E28*(1-0.928)*VERI_TABANI!$B$9, 0) + (VERI_TABANI!D28*B793*(VERI_TABANI!$B$13-VERI_TABANI!$B$14)*VERI_TABANI!G28) + (VERI_TABANI!D28*C793*(VERI_TABANI!$B$13-VERI_TABANI!$B$15)*VERI_TABANI!G28) + IF(ABS(IF(ISNUMBER(SEARCH("Var", D793)), 1, IF(ISNUMBER(SEARCH("Gri", D793)), -1, 0)))=1, VERI_TABANI!E28*(1-0.928)*0.00206091519919798*VERI_TABANI!G28, 0)))</f>
        <v/>
      </c>
      <c r="H793" s="169">
        <f>(((VERI_TABANI!D23*B793*(VERI_TABANI!$B$13-VERI_TABANI!$B$14)) + (VERI_TABANI!D23*C793*(VERI_TABANI!$B$13-VERI_TABANI!$B$15)) + IF(ISNUMBER(SEARCH("Var", D793)), VERI_TABANI!F23*(0.00202-VERI_TABANI!$B$16), IF(ISNUMBER(SEARCH("Gri", D793)), VERI_TABANI!F23*(0.00202-VERI_TABANI!$B$17), 0))) + ((VERI_TABANI!D24*B793*(VERI_TABANI!$B$13-VERI_TABANI!$B$14)) + (VERI_TABANI!D24*C793*(VERI_TABANI!$B$13-VERI_TABANI!$B$15)) + IF(ISNUMBER(SEARCH("Var", D793)), VERI_TABANI!F24*(0.00202-VERI_TABANI!$B$16), IF(ISNUMBER(SEARCH("Gri", D793)), VERI_TABANI!F24*(0.00202-VERI_TABANI!$B$17), 0))) + ((VERI_TABANI!D25*B793*(VERI_TABANI!$B$13-VERI_TABANI!$B$14)) + (VERI_TABANI!D25*C793*(VERI_TABANI!$B$13-VERI_TABANI!$B$15)) + IF(ISNUMBER(SEARCH("Var", D793)), VERI_TABANI!F25*(0.00202-VERI_TABANI!$B$16), IF(ISNUMBER(SEARCH("Gri", D793)), VERI_TABANI!F25*(0.00202-VERI_TABANI!$B$17), 0))) + ((VERI_TABANI!D26*B793*(VERI_TABANI!$B$13-VERI_TABANI!$B$14)) + (VERI_TABANI!D26*C793*(VERI_TABANI!$B$13-VERI_TABANI!$B$15)) + IF(ISNUMBER(SEARCH("Var", D793)), VERI_TABANI!F26*(0.00202-VERI_TABANI!$B$16), IF(ISNUMBER(SEARCH("Gri", D793)), VERI_TABANI!F26*(0.00202-VERI_TABANI!$B$17), 0))) + ((VERI_TABANI!D27*B793*(VERI_TABANI!$B$13-VERI_TABANI!$B$14)) + (VERI_TABANI!D27*C793*(VERI_TABANI!$B$13-VERI_TABANI!$B$15)) + IF(ISNUMBER(SEARCH("Var", D793)), VERI_TABANI!F27*(0.00202-VERI_TABANI!$B$16), IF(ISNUMBER(SEARCH("Gri", D793)), VERI_TABANI!F27*(0.00202-VERI_TABANI!$B$17), 0))) + ((VERI_TABANI!D28*B793*(VERI_TABANI!$B$13-VERI_TABANI!$B$14)) + (VERI_TABANI!D28*C793*(VERI_TABANI!$B$13-VERI_TABANI!$B$15)) + IF(ISNUMBER(SEARCH("Var", D793)), VERI_TABANI!F28*(0.00202-VERI_TABANI!$B$16), IF(ISNUMBER(SEARCH("Gri", D793)), VERI_TABANI!F28*(0.00202-VERI_TABANI!$B$17), 0))))</f>
        <v/>
      </c>
      <c r="I793" s="170">
        <f>IFERROR(((VERI_TABANI!$D$29*B793*VERI_TABANI!$B$14 + VERI_TABANI!$D$29*C793*VERI_TABANI!$B$15 + IF(ISNUMBER(SEARCH("Var", D793)), VERI_TABANI!$F$29*VERI_TABANI!$B$16, 0))) / (((VERI_TABANI!$D$29*B793 + VERI_TABANI!$D$29*C793)*VERI_TABANI!$B$13 + IF(ISNUMBER(SEARCH("Var", D793)), VERI_TABANI!$E$29*(1-0.928)*VERI_TABANI!$B$18, 0))), 0)</f>
        <v/>
      </c>
      <c r="J793" s="171">
        <f>IFERROR(F793/(G793/29), 0)</f>
        <v/>
      </c>
      <c r="K793" s="172">
        <f>IF(F793&gt;0, H793/F793, 0)</f>
        <v/>
      </c>
      <c r="L793" s="170">
        <f>IF(F793&gt;0, I793, 1000000000)</f>
        <v/>
      </c>
      <c r="M793" s="171">
        <f>ABS((B793+C793)-1)</f>
        <v/>
      </c>
      <c r="N793" s="170">
        <f>IF(F793&gt;0, (G793/29)/F793, 0)</f>
        <v/>
      </c>
      <c r="O793" s="168">
        <f>IF(AND((B793+C793)&gt;=1, ISNUMBER(SEARCH("Var", D793))), F793, 1000000000)</f>
        <v/>
      </c>
      <c r="P793" s="172">
        <f>IF(F793&gt;0, SQRT((F793/MAX(F$5:F$886))^2 + (1 - H793/MAX(H$5:H$886))^2 + (J793/MAX(J$5:J$886))^2), 1000000000)</f>
        <v/>
      </c>
      <c r="Q793" s="166">
        <f>IF(AND(ABS(B793-0.5)&lt;0.01, ABS(C793-0.5)&lt;0.01, ISNUMBER(SEARCH("Var", D793))), 1, 0)</f>
        <v/>
      </c>
      <c r="R793" s="171">
        <f>IF(F793&gt;0, J793, 1000000000)</f>
        <v/>
      </c>
      <c r="S793" s="101">
        <f>IF(AND(F793&lt;=DASHBOARD!$B$11, H793&gt;=DASHBOARD!$B$13), G793, -1000000000000)</f>
        <v/>
      </c>
      <c r="T793" s="101">
        <f>IF(AND(F793&lt;=DASHBOARD!$B$11, H793&gt;=DASHBOARD!$B$13), R793, 1000000000000)</f>
        <v/>
      </c>
      <c r="U793" s="101">
        <f>IF(AND(F793&lt;=DASHBOARD!$B$11, H793&gt;=DASHBOARD!$B$13), N793, -1000000000000)</f>
        <v/>
      </c>
      <c r="V793" s="101">
        <f>IF(AND(F793&lt;=DASHBOARD!$B$11, H793&gt;=DASHBOARD!$B$13), H793, -1000000000000)</f>
        <v/>
      </c>
      <c r="W793" s="101">
        <f>IF(AND(F793&lt;=DASHBOARD!$B$11, H793&gt;=DASHBOARD!$B$13), K793, -1000000000000)</f>
        <v/>
      </c>
      <c r="X793" s="101">
        <f>IF(AND(F793&lt;=DASHBOARD!$B$11, H793&gt;=DASHBOARD!$B$13), M793, 1000000000000)</f>
        <v/>
      </c>
      <c r="Y793" s="101">
        <f>IF(AND(F793&lt;=DASHBOARD!$B$10, H793&gt;=DASHBOARD!$B$11), L793, 1000000000000)</f>
        <v/>
      </c>
      <c r="Z793" s="101">
        <f>IF(AND(F793&lt;=DASHBOARD!$B$10, H793&gt;=DASHBOARD!$B$11), O793, 1000000000000)</f>
        <v/>
      </c>
      <c r="AA793" s="101">
        <f>IF(AND(F793&lt;=DASHBOARD!$B$10, H793&gt;=DASHBOARD!$B$11), P793, 1000000000000)</f>
        <v/>
      </c>
      <c r="AB793" s="101">
        <f>IF(AND(F793&lt;=DASHBOARD!$B$10, H793&gt;=DASHBOARD!$B$11), Q793, -1000000000000)</f>
        <v/>
      </c>
    </row>
    <row r="794" ht="15" customHeight="1" s="102">
      <c r="A794" s="166" t="n">
        <v>790</v>
      </c>
      <c r="B794" s="167" t="n">
        <v>1.8</v>
      </c>
      <c r="C794" s="167" t="n">
        <v>1.6</v>
      </c>
      <c r="D794" s="110" t="inlineStr">
        <is>
          <t>Var (%20)</t>
        </is>
      </c>
      <c r="E794" s="110">
        <f>IF((B794+C794)&lt;=1, "Tam Mahsuplaşma (≤%100)", "Kısmi Satış (&gt;%100)")</f>
        <v/>
      </c>
      <c r="F794" s="168">
        <f>((VERI_TABANI!$D$29*B794/VERI_TABANI!$B$29)/VERI_TABANI!$B$3)*VERI_TABANI!$B$5 + ((VERI_TABANI!$D$29*C794/VERI_TABANI!$B$29)/VERI_TABANI!$B$4)*VERI_TABANI!$B$6 + IF(ISNUMBER(SEARCH("Var", D794)), (VERI_TABANI!$F$29/VERI_TABANI!$B$29)*(VERI_TABANI!$B$10+VERI_TABANI!$B$12), 0)</f>
        <v/>
      </c>
      <c r="G794" s="168">
        <f>(((MIN(VERI_TABANI!D23, VERI_TABANI!D23*B794)*VERI_TABANI!$B$7 + MAX(0, VERI_TABANI!D23*B794-VERI_TABANI!D23)*VERI_TABANI!$B$8) + (MIN(MAX(0, VERI_TABANI!D23-VERI_TABANI!D23*B794), VERI_TABANI!D23*C794)*VERI_TABANI!$B$7 + MAX(0, VERI_TABANI!D23*C794-MAX(0, VERI_TABANI!D23-VERI_TABANI!D23*B794))*VERI_TABANI!$B$8) + IF(ABS(IF(ISNUMBER(SEARCH("Var", D794)), 1, IF(ISNUMBER(SEARCH("Gri", D794)), -1, 0)))=1, VERI_TABANI!E23*(1-0.928)*VERI_TABANI!$B$9, 0) + (VERI_TABANI!D23*B794*(VERI_TABANI!$B$13-VERI_TABANI!$B$14)*VERI_TABANI!G23) + (VERI_TABANI!D23*C794*(VERI_TABANI!$B$13-VERI_TABANI!$B$15)*VERI_TABANI!G23) + IF(ABS(IF(ISNUMBER(SEARCH("Var", D794)), 1, IF(ISNUMBER(SEARCH("Gri", D794)), -1, 0)))=1, VERI_TABANI!E23*(1-0.928)*0.00206091519919798*VERI_TABANI!G23, 0)) + ((MIN(VERI_TABANI!D24, VERI_TABANI!D24*B794)*VERI_TABANI!$B$7 + MAX(0, VERI_TABANI!D24*B794-VERI_TABANI!D24)*VERI_TABANI!$B$8) + (MIN(MAX(0, VERI_TABANI!D24-VERI_TABANI!D24*B794), VERI_TABANI!D24*C794)*VERI_TABANI!$B$7 + MAX(0, VERI_TABANI!D24*C794-MAX(0, VERI_TABANI!D24-VERI_TABANI!D24*B794))*VERI_TABANI!$B$8) + IF(ABS(IF(ISNUMBER(SEARCH("Var", D794)), 1, IF(ISNUMBER(SEARCH("Gri", D794)), -1, 0)))=1, VERI_TABANI!E24*(1-0.928)*VERI_TABANI!$B$9, 0) + (VERI_TABANI!D24*B794*(VERI_TABANI!$B$13-VERI_TABANI!$B$14)*VERI_TABANI!G24) + (VERI_TABANI!D24*C794*(VERI_TABANI!$B$13-VERI_TABANI!$B$15)*VERI_TABANI!G24) + IF(ABS(IF(ISNUMBER(SEARCH("Var", D794)), 1, IF(ISNUMBER(SEARCH("Gri", D794)), -1, 0)))=1, VERI_TABANI!E24*(1-0.928)*0.00206091519919798*VERI_TABANI!G24, 0)) + ((MIN(VERI_TABANI!D25, VERI_TABANI!D25*B794)*VERI_TABANI!$B$7 + MAX(0, VERI_TABANI!D25*B794-VERI_TABANI!D25)*VERI_TABANI!$B$8) + (MIN(MAX(0, VERI_TABANI!D25-VERI_TABANI!D25*B794), VERI_TABANI!D25*C794)*VERI_TABANI!$B$7 + MAX(0, VERI_TABANI!D25*C794-MAX(0, VERI_TABANI!D25-VERI_TABANI!D25*B794))*VERI_TABANI!$B$8) + IF(ABS(IF(ISNUMBER(SEARCH("Var", D794)), 1, IF(ISNUMBER(SEARCH("Gri", D794)), -1, 0)))=1, VERI_TABANI!E25*(1-0.928)*VERI_TABANI!$B$9, 0) + (VERI_TABANI!D25*B794*(VERI_TABANI!$B$13-VERI_TABANI!$B$14)*VERI_TABANI!G25) + (VERI_TABANI!D25*C794*(VERI_TABANI!$B$13-VERI_TABANI!$B$15)*VERI_TABANI!G25) + IF(ABS(IF(ISNUMBER(SEARCH("Var", D794)), 1, IF(ISNUMBER(SEARCH("Gri", D794)), -1, 0)))=1, VERI_TABANI!E25*(1-0.928)*0.00206091519919798*VERI_TABANI!G25, 0)) + ((MIN(VERI_TABANI!D26, VERI_TABANI!D26*B794)*VERI_TABANI!$B$7 + MAX(0, VERI_TABANI!D26*B794-VERI_TABANI!D26)*VERI_TABANI!$B$8) + (MIN(MAX(0, VERI_TABANI!D26-VERI_TABANI!D26*B794), VERI_TABANI!D26*C794)*VERI_TABANI!$B$7 + MAX(0, VERI_TABANI!D26*C794-MAX(0, VERI_TABANI!D26-VERI_TABANI!D26*B794))*VERI_TABANI!$B$8) + IF(ABS(IF(ISNUMBER(SEARCH("Var", D794)), 1, IF(ISNUMBER(SEARCH("Gri", D794)), -1, 0)))=1, VERI_TABANI!E26*(1-0.928)*VERI_TABANI!$B$9, 0) + (VERI_TABANI!D26*B794*(VERI_TABANI!$B$13-VERI_TABANI!$B$14)*VERI_TABANI!G26) + (VERI_TABANI!D26*C794*(VERI_TABANI!$B$13-VERI_TABANI!$B$15)*VERI_TABANI!G26) + IF(ABS(IF(ISNUMBER(SEARCH("Var", D794)), 1, IF(ISNUMBER(SEARCH("Gri", D794)), -1, 0)))=1, VERI_TABANI!E26*(1-0.928)*0.00206091519919798*VERI_TABANI!G26, 0)) + ((MIN(VERI_TABANI!D27, VERI_TABANI!D27*B794)*VERI_TABANI!$B$7 + MAX(0, VERI_TABANI!D27*B794-VERI_TABANI!D27)*VERI_TABANI!$B$8) + (MIN(MAX(0, VERI_TABANI!D27-VERI_TABANI!D27*B794), VERI_TABANI!D27*C794)*VERI_TABANI!$B$7 + MAX(0, VERI_TABANI!D27*C794-MAX(0, VERI_TABANI!D27-VERI_TABANI!D27*B794))*VERI_TABANI!$B$8) + IF(ABS(IF(ISNUMBER(SEARCH("Var", D794)), 1, IF(ISNUMBER(SEARCH("Gri", D794)), -1, 0)))=1, VERI_TABANI!E27*(1-0.928)*VERI_TABANI!$B$9, 0) + (VERI_TABANI!D27*B794*(VERI_TABANI!$B$13-VERI_TABANI!$B$14)*VERI_TABANI!G27) + (VERI_TABANI!D27*C794*(VERI_TABANI!$B$13-VERI_TABANI!$B$15)*VERI_TABANI!G27) + IF(ABS(IF(ISNUMBER(SEARCH("Var", D794)), 1, IF(ISNUMBER(SEARCH("Gri", D794)), -1, 0)))=1, VERI_TABANI!E27*(1-0.928)*0.00206091519919798*VERI_TABANI!G27, 0)) + ((MIN(VERI_TABANI!D28, VERI_TABANI!D28*B794)*VERI_TABANI!$B$7 + MAX(0, VERI_TABANI!D28*B794-VERI_TABANI!D28)*VERI_TABANI!$B$8) + (MIN(MAX(0, VERI_TABANI!D28-VERI_TABANI!D28*B794), VERI_TABANI!D28*C794)*VERI_TABANI!$B$7 + MAX(0, VERI_TABANI!D28*C794-MAX(0, VERI_TABANI!D28-VERI_TABANI!D28*B794))*VERI_TABANI!$B$8) + IF(ABS(IF(ISNUMBER(SEARCH("Var", D794)), 1, IF(ISNUMBER(SEARCH("Gri", D794)), -1, 0)))=1, VERI_TABANI!E28*(1-0.928)*VERI_TABANI!$B$9, 0) + (VERI_TABANI!D28*B794*(VERI_TABANI!$B$13-VERI_TABANI!$B$14)*VERI_TABANI!G28) + (VERI_TABANI!D28*C794*(VERI_TABANI!$B$13-VERI_TABANI!$B$15)*VERI_TABANI!G28) + IF(ABS(IF(ISNUMBER(SEARCH("Var", D794)), 1, IF(ISNUMBER(SEARCH("Gri", D794)), -1, 0)))=1, VERI_TABANI!E28*(1-0.928)*0.00206091519919798*VERI_TABANI!G28, 0)))</f>
        <v/>
      </c>
      <c r="H794" s="169">
        <f>(((VERI_TABANI!D23*B794*(VERI_TABANI!$B$13-VERI_TABANI!$B$14)) + (VERI_TABANI!D23*C794*(VERI_TABANI!$B$13-VERI_TABANI!$B$15)) + IF(ISNUMBER(SEARCH("Var", D794)), VERI_TABANI!F23*(0.00202-VERI_TABANI!$B$16), IF(ISNUMBER(SEARCH("Gri", D794)), VERI_TABANI!F23*(0.00202-VERI_TABANI!$B$17), 0))) + ((VERI_TABANI!D24*B794*(VERI_TABANI!$B$13-VERI_TABANI!$B$14)) + (VERI_TABANI!D24*C794*(VERI_TABANI!$B$13-VERI_TABANI!$B$15)) + IF(ISNUMBER(SEARCH("Var", D794)), VERI_TABANI!F24*(0.00202-VERI_TABANI!$B$16), IF(ISNUMBER(SEARCH("Gri", D794)), VERI_TABANI!F24*(0.00202-VERI_TABANI!$B$17), 0))) + ((VERI_TABANI!D25*B794*(VERI_TABANI!$B$13-VERI_TABANI!$B$14)) + (VERI_TABANI!D25*C794*(VERI_TABANI!$B$13-VERI_TABANI!$B$15)) + IF(ISNUMBER(SEARCH("Var", D794)), VERI_TABANI!F25*(0.00202-VERI_TABANI!$B$16), IF(ISNUMBER(SEARCH("Gri", D794)), VERI_TABANI!F25*(0.00202-VERI_TABANI!$B$17), 0))) + ((VERI_TABANI!D26*B794*(VERI_TABANI!$B$13-VERI_TABANI!$B$14)) + (VERI_TABANI!D26*C794*(VERI_TABANI!$B$13-VERI_TABANI!$B$15)) + IF(ISNUMBER(SEARCH("Var", D794)), VERI_TABANI!F26*(0.00202-VERI_TABANI!$B$16), IF(ISNUMBER(SEARCH("Gri", D794)), VERI_TABANI!F26*(0.00202-VERI_TABANI!$B$17), 0))) + ((VERI_TABANI!D27*B794*(VERI_TABANI!$B$13-VERI_TABANI!$B$14)) + (VERI_TABANI!D27*C794*(VERI_TABANI!$B$13-VERI_TABANI!$B$15)) + IF(ISNUMBER(SEARCH("Var", D794)), VERI_TABANI!F27*(0.00202-VERI_TABANI!$B$16), IF(ISNUMBER(SEARCH("Gri", D794)), VERI_TABANI!F27*(0.00202-VERI_TABANI!$B$17), 0))) + ((VERI_TABANI!D28*B794*(VERI_TABANI!$B$13-VERI_TABANI!$B$14)) + (VERI_TABANI!D28*C794*(VERI_TABANI!$B$13-VERI_TABANI!$B$15)) + IF(ISNUMBER(SEARCH("Var", D794)), VERI_TABANI!F28*(0.00202-VERI_TABANI!$B$16), IF(ISNUMBER(SEARCH("Gri", D794)), VERI_TABANI!F28*(0.00202-VERI_TABANI!$B$17), 0))))</f>
        <v/>
      </c>
      <c r="I794" s="170">
        <f>IFERROR(((VERI_TABANI!$D$29*B794*VERI_TABANI!$B$14 + VERI_TABANI!$D$29*C794*VERI_TABANI!$B$15 + IF(ISNUMBER(SEARCH("Var", D794)), VERI_TABANI!$F$29*VERI_TABANI!$B$16, 0))) / (((VERI_TABANI!$D$29*B794 + VERI_TABANI!$D$29*C794)*VERI_TABANI!$B$13 + IF(ISNUMBER(SEARCH("Var", D794)), VERI_TABANI!$E$29*(1-0.928)*VERI_TABANI!$B$18, 0))), 0)</f>
        <v/>
      </c>
      <c r="J794" s="171">
        <f>IFERROR(F794/(G794/29), 0)</f>
        <v/>
      </c>
      <c r="K794" s="172">
        <f>IF(F794&gt;0, H794/F794, 0)</f>
        <v/>
      </c>
      <c r="L794" s="170">
        <f>IF(F794&gt;0, I794, 1000000000)</f>
        <v/>
      </c>
      <c r="M794" s="171">
        <f>ABS((B794+C794)-1)</f>
        <v/>
      </c>
      <c r="N794" s="170">
        <f>IF(F794&gt;0, (G794/29)/F794, 0)</f>
        <v/>
      </c>
      <c r="O794" s="168">
        <f>IF(AND((B794+C794)&gt;=1, ISNUMBER(SEARCH("Var", D794))), F794, 1000000000)</f>
        <v/>
      </c>
      <c r="P794" s="172">
        <f>IF(F794&gt;0, SQRT((F794/MAX(F$5:F$886))^2 + (1 - H794/MAX(H$5:H$886))^2 + (J794/MAX(J$5:J$886))^2), 1000000000)</f>
        <v/>
      </c>
      <c r="Q794" s="166">
        <f>IF(AND(ABS(B794-0.5)&lt;0.01, ABS(C794-0.5)&lt;0.01, ISNUMBER(SEARCH("Var", D794))), 1, 0)</f>
        <v/>
      </c>
      <c r="R794" s="171">
        <f>IF(F794&gt;0, J794, 1000000000)</f>
        <v/>
      </c>
      <c r="S794" s="101">
        <f>IF(AND(F794&lt;=DASHBOARD!$B$11, H794&gt;=DASHBOARD!$B$13), G794, -1000000000000)</f>
        <v/>
      </c>
      <c r="T794" s="101">
        <f>IF(AND(F794&lt;=DASHBOARD!$B$11, H794&gt;=DASHBOARD!$B$13), R794, 1000000000000)</f>
        <v/>
      </c>
      <c r="U794" s="101">
        <f>IF(AND(F794&lt;=DASHBOARD!$B$11, H794&gt;=DASHBOARD!$B$13), N794, -1000000000000)</f>
        <v/>
      </c>
      <c r="V794" s="101">
        <f>IF(AND(F794&lt;=DASHBOARD!$B$11, H794&gt;=DASHBOARD!$B$13), H794, -1000000000000)</f>
        <v/>
      </c>
      <c r="W794" s="101">
        <f>IF(AND(F794&lt;=DASHBOARD!$B$11, H794&gt;=DASHBOARD!$B$13), K794, -1000000000000)</f>
        <v/>
      </c>
      <c r="X794" s="101">
        <f>IF(AND(F794&lt;=DASHBOARD!$B$11, H794&gt;=DASHBOARD!$B$13), M794, 1000000000000)</f>
        <v/>
      </c>
      <c r="Y794" s="101">
        <f>IF(AND(F794&lt;=DASHBOARD!$B$10, H794&gt;=DASHBOARD!$B$11), L794, 1000000000000)</f>
        <v/>
      </c>
      <c r="Z794" s="101">
        <f>IF(AND(F794&lt;=DASHBOARD!$B$10, H794&gt;=DASHBOARD!$B$11), O794, 1000000000000)</f>
        <v/>
      </c>
      <c r="AA794" s="101">
        <f>IF(AND(F794&lt;=DASHBOARD!$B$10, H794&gt;=DASHBOARD!$B$11), P794, 1000000000000)</f>
        <v/>
      </c>
      <c r="AB794" s="101">
        <f>IF(AND(F794&lt;=DASHBOARD!$B$10, H794&gt;=DASHBOARD!$B$11), Q794, -1000000000000)</f>
        <v/>
      </c>
    </row>
    <row r="795" ht="15" customHeight="1" s="102">
      <c r="A795" s="166" t="n">
        <v>791</v>
      </c>
      <c r="B795" s="167" t="n">
        <v>1.8</v>
      </c>
      <c r="C795" s="167" t="n">
        <v>1.7</v>
      </c>
      <c r="D795" s="110" t="inlineStr">
        <is>
          <t>Yok (%0)</t>
        </is>
      </c>
      <c r="E795" s="110">
        <f>IF((B795+C795)&lt;=1, "Tam Mahsuplaşma (≤%100)", "Kısmi Satış (&gt;%100)")</f>
        <v/>
      </c>
      <c r="F795" s="168">
        <f>((VERI_TABANI!$D$29*B795/VERI_TABANI!$B$29)/VERI_TABANI!$B$3)*VERI_TABANI!$B$5 + ((VERI_TABANI!$D$29*C795/VERI_TABANI!$B$29)/VERI_TABANI!$B$4)*VERI_TABANI!$B$6 + IF(ISNUMBER(SEARCH("Var", D795)), (VERI_TABANI!$F$29/VERI_TABANI!$B$29)*(VERI_TABANI!$B$10+VERI_TABANI!$B$12), 0)</f>
        <v/>
      </c>
      <c r="G795" s="168">
        <f>(((MIN(VERI_TABANI!D23, VERI_TABANI!D23*B795)*VERI_TABANI!$B$7 + MAX(0, VERI_TABANI!D23*B795-VERI_TABANI!D23)*VERI_TABANI!$B$8) + (MIN(MAX(0, VERI_TABANI!D23-VERI_TABANI!D23*B795), VERI_TABANI!D23*C795)*VERI_TABANI!$B$7 + MAX(0, VERI_TABANI!D23*C795-MAX(0, VERI_TABANI!D23-VERI_TABANI!D23*B795))*VERI_TABANI!$B$8) + IF(ABS(IF(ISNUMBER(SEARCH("Var", D795)), 1, IF(ISNUMBER(SEARCH("Gri", D795)), -1, 0)))=1, VERI_TABANI!E23*(1-0.928)*VERI_TABANI!$B$9, 0) + (VERI_TABANI!D23*B795*(VERI_TABANI!$B$13-VERI_TABANI!$B$14)*VERI_TABANI!G23) + (VERI_TABANI!D23*C795*(VERI_TABANI!$B$13-VERI_TABANI!$B$15)*VERI_TABANI!G23) + IF(ABS(IF(ISNUMBER(SEARCH("Var", D795)), 1, IF(ISNUMBER(SEARCH("Gri", D795)), -1, 0)))=1, VERI_TABANI!E23*(1-0.928)*0.00206091519919798*VERI_TABANI!G23, 0)) + ((MIN(VERI_TABANI!D24, VERI_TABANI!D24*B795)*VERI_TABANI!$B$7 + MAX(0, VERI_TABANI!D24*B795-VERI_TABANI!D24)*VERI_TABANI!$B$8) + (MIN(MAX(0, VERI_TABANI!D24-VERI_TABANI!D24*B795), VERI_TABANI!D24*C795)*VERI_TABANI!$B$7 + MAX(0, VERI_TABANI!D24*C795-MAX(0, VERI_TABANI!D24-VERI_TABANI!D24*B795))*VERI_TABANI!$B$8) + IF(ABS(IF(ISNUMBER(SEARCH("Var", D795)), 1, IF(ISNUMBER(SEARCH("Gri", D795)), -1, 0)))=1, VERI_TABANI!E24*(1-0.928)*VERI_TABANI!$B$9, 0) + (VERI_TABANI!D24*B795*(VERI_TABANI!$B$13-VERI_TABANI!$B$14)*VERI_TABANI!G24) + (VERI_TABANI!D24*C795*(VERI_TABANI!$B$13-VERI_TABANI!$B$15)*VERI_TABANI!G24) + IF(ABS(IF(ISNUMBER(SEARCH("Var", D795)), 1, IF(ISNUMBER(SEARCH("Gri", D795)), -1, 0)))=1, VERI_TABANI!E24*(1-0.928)*0.00206091519919798*VERI_TABANI!G24, 0)) + ((MIN(VERI_TABANI!D25, VERI_TABANI!D25*B795)*VERI_TABANI!$B$7 + MAX(0, VERI_TABANI!D25*B795-VERI_TABANI!D25)*VERI_TABANI!$B$8) + (MIN(MAX(0, VERI_TABANI!D25-VERI_TABANI!D25*B795), VERI_TABANI!D25*C795)*VERI_TABANI!$B$7 + MAX(0, VERI_TABANI!D25*C795-MAX(0, VERI_TABANI!D25-VERI_TABANI!D25*B795))*VERI_TABANI!$B$8) + IF(ABS(IF(ISNUMBER(SEARCH("Var", D795)), 1, IF(ISNUMBER(SEARCH("Gri", D795)), -1, 0)))=1, VERI_TABANI!E25*(1-0.928)*VERI_TABANI!$B$9, 0) + (VERI_TABANI!D25*B795*(VERI_TABANI!$B$13-VERI_TABANI!$B$14)*VERI_TABANI!G25) + (VERI_TABANI!D25*C795*(VERI_TABANI!$B$13-VERI_TABANI!$B$15)*VERI_TABANI!G25) + IF(ABS(IF(ISNUMBER(SEARCH("Var", D795)), 1, IF(ISNUMBER(SEARCH("Gri", D795)), -1, 0)))=1, VERI_TABANI!E25*(1-0.928)*0.00206091519919798*VERI_TABANI!G25, 0)) + ((MIN(VERI_TABANI!D26, VERI_TABANI!D26*B795)*VERI_TABANI!$B$7 + MAX(0, VERI_TABANI!D26*B795-VERI_TABANI!D26)*VERI_TABANI!$B$8) + (MIN(MAX(0, VERI_TABANI!D26-VERI_TABANI!D26*B795), VERI_TABANI!D26*C795)*VERI_TABANI!$B$7 + MAX(0, VERI_TABANI!D26*C795-MAX(0, VERI_TABANI!D26-VERI_TABANI!D26*B795))*VERI_TABANI!$B$8) + IF(ABS(IF(ISNUMBER(SEARCH("Var", D795)), 1, IF(ISNUMBER(SEARCH("Gri", D795)), -1, 0)))=1, VERI_TABANI!E26*(1-0.928)*VERI_TABANI!$B$9, 0) + (VERI_TABANI!D26*B795*(VERI_TABANI!$B$13-VERI_TABANI!$B$14)*VERI_TABANI!G26) + (VERI_TABANI!D26*C795*(VERI_TABANI!$B$13-VERI_TABANI!$B$15)*VERI_TABANI!G26) + IF(ABS(IF(ISNUMBER(SEARCH("Var", D795)), 1, IF(ISNUMBER(SEARCH("Gri", D795)), -1, 0)))=1, VERI_TABANI!E26*(1-0.928)*0.00206091519919798*VERI_TABANI!G26, 0)) + ((MIN(VERI_TABANI!D27, VERI_TABANI!D27*B795)*VERI_TABANI!$B$7 + MAX(0, VERI_TABANI!D27*B795-VERI_TABANI!D27)*VERI_TABANI!$B$8) + (MIN(MAX(0, VERI_TABANI!D27-VERI_TABANI!D27*B795), VERI_TABANI!D27*C795)*VERI_TABANI!$B$7 + MAX(0, VERI_TABANI!D27*C795-MAX(0, VERI_TABANI!D27-VERI_TABANI!D27*B795))*VERI_TABANI!$B$8) + IF(ABS(IF(ISNUMBER(SEARCH("Var", D795)), 1, IF(ISNUMBER(SEARCH("Gri", D795)), -1, 0)))=1, VERI_TABANI!E27*(1-0.928)*VERI_TABANI!$B$9, 0) + (VERI_TABANI!D27*B795*(VERI_TABANI!$B$13-VERI_TABANI!$B$14)*VERI_TABANI!G27) + (VERI_TABANI!D27*C795*(VERI_TABANI!$B$13-VERI_TABANI!$B$15)*VERI_TABANI!G27) + IF(ABS(IF(ISNUMBER(SEARCH("Var", D795)), 1, IF(ISNUMBER(SEARCH("Gri", D795)), -1, 0)))=1, VERI_TABANI!E27*(1-0.928)*0.00206091519919798*VERI_TABANI!G27, 0)) + ((MIN(VERI_TABANI!D28, VERI_TABANI!D28*B795)*VERI_TABANI!$B$7 + MAX(0, VERI_TABANI!D28*B795-VERI_TABANI!D28)*VERI_TABANI!$B$8) + (MIN(MAX(0, VERI_TABANI!D28-VERI_TABANI!D28*B795), VERI_TABANI!D28*C795)*VERI_TABANI!$B$7 + MAX(0, VERI_TABANI!D28*C795-MAX(0, VERI_TABANI!D28-VERI_TABANI!D28*B795))*VERI_TABANI!$B$8) + IF(ABS(IF(ISNUMBER(SEARCH("Var", D795)), 1, IF(ISNUMBER(SEARCH("Gri", D795)), -1, 0)))=1, VERI_TABANI!E28*(1-0.928)*VERI_TABANI!$B$9, 0) + (VERI_TABANI!D28*B795*(VERI_TABANI!$B$13-VERI_TABANI!$B$14)*VERI_TABANI!G28) + (VERI_TABANI!D28*C795*(VERI_TABANI!$B$13-VERI_TABANI!$B$15)*VERI_TABANI!G28) + IF(ABS(IF(ISNUMBER(SEARCH("Var", D795)), 1, IF(ISNUMBER(SEARCH("Gri", D795)), -1, 0)))=1, VERI_TABANI!E28*(1-0.928)*0.00206091519919798*VERI_TABANI!G28, 0)))</f>
        <v/>
      </c>
      <c r="H795" s="169">
        <f>(((VERI_TABANI!D23*B795*(VERI_TABANI!$B$13-VERI_TABANI!$B$14)) + (VERI_TABANI!D23*C795*(VERI_TABANI!$B$13-VERI_TABANI!$B$15)) + IF(ISNUMBER(SEARCH("Var", D795)), VERI_TABANI!F23*(0.00202-VERI_TABANI!$B$16), IF(ISNUMBER(SEARCH("Gri", D795)), VERI_TABANI!F23*(0.00202-VERI_TABANI!$B$17), 0))) + ((VERI_TABANI!D24*B795*(VERI_TABANI!$B$13-VERI_TABANI!$B$14)) + (VERI_TABANI!D24*C795*(VERI_TABANI!$B$13-VERI_TABANI!$B$15)) + IF(ISNUMBER(SEARCH("Var", D795)), VERI_TABANI!F24*(0.00202-VERI_TABANI!$B$16), IF(ISNUMBER(SEARCH("Gri", D795)), VERI_TABANI!F24*(0.00202-VERI_TABANI!$B$17), 0))) + ((VERI_TABANI!D25*B795*(VERI_TABANI!$B$13-VERI_TABANI!$B$14)) + (VERI_TABANI!D25*C795*(VERI_TABANI!$B$13-VERI_TABANI!$B$15)) + IF(ISNUMBER(SEARCH("Var", D795)), VERI_TABANI!F25*(0.00202-VERI_TABANI!$B$16), IF(ISNUMBER(SEARCH("Gri", D795)), VERI_TABANI!F25*(0.00202-VERI_TABANI!$B$17), 0))) + ((VERI_TABANI!D26*B795*(VERI_TABANI!$B$13-VERI_TABANI!$B$14)) + (VERI_TABANI!D26*C795*(VERI_TABANI!$B$13-VERI_TABANI!$B$15)) + IF(ISNUMBER(SEARCH("Var", D795)), VERI_TABANI!F26*(0.00202-VERI_TABANI!$B$16), IF(ISNUMBER(SEARCH("Gri", D795)), VERI_TABANI!F26*(0.00202-VERI_TABANI!$B$17), 0))) + ((VERI_TABANI!D27*B795*(VERI_TABANI!$B$13-VERI_TABANI!$B$14)) + (VERI_TABANI!D27*C795*(VERI_TABANI!$B$13-VERI_TABANI!$B$15)) + IF(ISNUMBER(SEARCH("Var", D795)), VERI_TABANI!F27*(0.00202-VERI_TABANI!$B$16), IF(ISNUMBER(SEARCH("Gri", D795)), VERI_TABANI!F27*(0.00202-VERI_TABANI!$B$17), 0))) + ((VERI_TABANI!D28*B795*(VERI_TABANI!$B$13-VERI_TABANI!$B$14)) + (VERI_TABANI!D28*C795*(VERI_TABANI!$B$13-VERI_TABANI!$B$15)) + IF(ISNUMBER(SEARCH("Var", D795)), VERI_TABANI!F28*(0.00202-VERI_TABANI!$B$16), IF(ISNUMBER(SEARCH("Gri", D795)), VERI_TABANI!F28*(0.00202-VERI_TABANI!$B$17), 0))))</f>
        <v/>
      </c>
      <c r="I795" s="170">
        <f>IFERROR(((VERI_TABANI!$D$29*B795*VERI_TABANI!$B$14 + VERI_TABANI!$D$29*C795*VERI_TABANI!$B$15 + IF(ISNUMBER(SEARCH("Var", D795)), VERI_TABANI!$F$29*VERI_TABANI!$B$16, 0))) / (((VERI_TABANI!$D$29*B795 + VERI_TABANI!$D$29*C795)*VERI_TABANI!$B$13 + IF(ISNUMBER(SEARCH("Var", D795)), VERI_TABANI!$E$29*(1-0.928)*VERI_TABANI!$B$18, 0))), 0)</f>
        <v/>
      </c>
      <c r="J795" s="171">
        <f>IFERROR(F795/(G795/29), 0)</f>
        <v/>
      </c>
      <c r="K795" s="172">
        <f>IF(F795&gt;0, H795/F795, 0)</f>
        <v/>
      </c>
      <c r="L795" s="170">
        <f>IF(F795&gt;0, I795, 1000000000)</f>
        <v/>
      </c>
      <c r="M795" s="171">
        <f>ABS((B795+C795)-1)</f>
        <v/>
      </c>
      <c r="N795" s="170">
        <f>IF(F795&gt;0, (G795/29)/F795, 0)</f>
        <v/>
      </c>
      <c r="O795" s="168">
        <f>IF(AND((B795+C795)&gt;=1, ISNUMBER(SEARCH("Var", D795))), F795, 1000000000)</f>
        <v/>
      </c>
      <c r="P795" s="172">
        <f>IF(F795&gt;0, SQRT((F795/MAX(F$5:F$886))^2 + (1 - H795/MAX(H$5:H$886))^2 + (J795/MAX(J$5:J$886))^2), 1000000000)</f>
        <v/>
      </c>
      <c r="Q795" s="166">
        <f>IF(AND(ABS(B795-0.5)&lt;0.01, ABS(C795-0.5)&lt;0.01, ISNUMBER(SEARCH("Var", D795))), 1, 0)</f>
        <v/>
      </c>
      <c r="R795" s="171">
        <f>IF(F795&gt;0, J795, 1000000000)</f>
        <v/>
      </c>
      <c r="S795" s="101">
        <f>IF(AND(F795&lt;=DASHBOARD!$B$11, H795&gt;=DASHBOARD!$B$13), G795, -1000000000000)</f>
        <v/>
      </c>
      <c r="T795" s="101">
        <f>IF(AND(F795&lt;=DASHBOARD!$B$11, H795&gt;=DASHBOARD!$B$13), R795, 1000000000000)</f>
        <v/>
      </c>
      <c r="U795" s="101">
        <f>IF(AND(F795&lt;=DASHBOARD!$B$11, H795&gt;=DASHBOARD!$B$13), N795, -1000000000000)</f>
        <v/>
      </c>
      <c r="V795" s="101">
        <f>IF(AND(F795&lt;=DASHBOARD!$B$11, H795&gt;=DASHBOARD!$B$13), H795, -1000000000000)</f>
        <v/>
      </c>
      <c r="W795" s="101">
        <f>IF(AND(F795&lt;=DASHBOARD!$B$11, H795&gt;=DASHBOARD!$B$13), K795, -1000000000000)</f>
        <v/>
      </c>
      <c r="X795" s="101">
        <f>IF(AND(F795&lt;=DASHBOARD!$B$11, H795&gt;=DASHBOARD!$B$13), M795, 1000000000000)</f>
        <v/>
      </c>
      <c r="Y795" s="101">
        <f>IF(AND(F795&lt;=DASHBOARD!$B$10, H795&gt;=DASHBOARD!$B$11), L795, 1000000000000)</f>
        <v/>
      </c>
      <c r="Z795" s="101">
        <f>IF(AND(F795&lt;=DASHBOARD!$B$10, H795&gt;=DASHBOARD!$B$11), O795, 1000000000000)</f>
        <v/>
      </c>
      <c r="AA795" s="101">
        <f>IF(AND(F795&lt;=DASHBOARD!$B$10, H795&gt;=DASHBOARD!$B$11), P795, 1000000000000)</f>
        <v/>
      </c>
      <c r="AB795" s="101">
        <f>IF(AND(F795&lt;=DASHBOARD!$B$10, H795&gt;=DASHBOARD!$B$11), Q795, -1000000000000)</f>
        <v/>
      </c>
    </row>
    <row r="796" ht="15" customHeight="1" s="102">
      <c r="A796" s="166" t="n">
        <v>792</v>
      </c>
      <c r="B796" s="167" t="n">
        <v>1.8</v>
      </c>
      <c r="C796" s="167" t="n">
        <v>1.7</v>
      </c>
      <c r="D796" s="110" t="inlineStr">
        <is>
          <t>Var (%20)</t>
        </is>
      </c>
      <c r="E796" s="110">
        <f>IF((B796+C796)&lt;=1, "Tam Mahsuplaşma (≤%100)", "Kısmi Satış (&gt;%100)")</f>
        <v/>
      </c>
      <c r="F796" s="168">
        <f>((VERI_TABANI!$D$29*B796/VERI_TABANI!$B$29)/VERI_TABANI!$B$3)*VERI_TABANI!$B$5 + ((VERI_TABANI!$D$29*C796/VERI_TABANI!$B$29)/VERI_TABANI!$B$4)*VERI_TABANI!$B$6 + IF(ISNUMBER(SEARCH("Var", D796)), (VERI_TABANI!$F$29/VERI_TABANI!$B$29)*(VERI_TABANI!$B$10+VERI_TABANI!$B$12), 0)</f>
        <v/>
      </c>
      <c r="G796" s="168">
        <f>(((MIN(VERI_TABANI!D23, VERI_TABANI!D23*B796)*VERI_TABANI!$B$7 + MAX(0, VERI_TABANI!D23*B796-VERI_TABANI!D23)*VERI_TABANI!$B$8) + (MIN(MAX(0, VERI_TABANI!D23-VERI_TABANI!D23*B796), VERI_TABANI!D23*C796)*VERI_TABANI!$B$7 + MAX(0, VERI_TABANI!D23*C796-MAX(0, VERI_TABANI!D23-VERI_TABANI!D23*B796))*VERI_TABANI!$B$8) + IF(ABS(IF(ISNUMBER(SEARCH("Var", D796)), 1, IF(ISNUMBER(SEARCH("Gri", D796)), -1, 0)))=1, VERI_TABANI!E23*(1-0.928)*VERI_TABANI!$B$9, 0) + (VERI_TABANI!D23*B796*(VERI_TABANI!$B$13-VERI_TABANI!$B$14)*VERI_TABANI!G23) + (VERI_TABANI!D23*C796*(VERI_TABANI!$B$13-VERI_TABANI!$B$15)*VERI_TABANI!G23) + IF(ABS(IF(ISNUMBER(SEARCH("Var", D796)), 1, IF(ISNUMBER(SEARCH("Gri", D796)), -1, 0)))=1, VERI_TABANI!E23*(1-0.928)*0.00206091519919798*VERI_TABANI!G23, 0)) + ((MIN(VERI_TABANI!D24, VERI_TABANI!D24*B796)*VERI_TABANI!$B$7 + MAX(0, VERI_TABANI!D24*B796-VERI_TABANI!D24)*VERI_TABANI!$B$8) + (MIN(MAX(0, VERI_TABANI!D24-VERI_TABANI!D24*B796), VERI_TABANI!D24*C796)*VERI_TABANI!$B$7 + MAX(0, VERI_TABANI!D24*C796-MAX(0, VERI_TABANI!D24-VERI_TABANI!D24*B796))*VERI_TABANI!$B$8) + IF(ABS(IF(ISNUMBER(SEARCH("Var", D796)), 1, IF(ISNUMBER(SEARCH("Gri", D796)), -1, 0)))=1, VERI_TABANI!E24*(1-0.928)*VERI_TABANI!$B$9, 0) + (VERI_TABANI!D24*B796*(VERI_TABANI!$B$13-VERI_TABANI!$B$14)*VERI_TABANI!G24) + (VERI_TABANI!D24*C796*(VERI_TABANI!$B$13-VERI_TABANI!$B$15)*VERI_TABANI!G24) + IF(ABS(IF(ISNUMBER(SEARCH("Var", D796)), 1, IF(ISNUMBER(SEARCH("Gri", D796)), -1, 0)))=1, VERI_TABANI!E24*(1-0.928)*0.00206091519919798*VERI_TABANI!G24, 0)) + ((MIN(VERI_TABANI!D25, VERI_TABANI!D25*B796)*VERI_TABANI!$B$7 + MAX(0, VERI_TABANI!D25*B796-VERI_TABANI!D25)*VERI_TABANI!$B$8) + (MIN(MAX(0, VERI_TABANI!D25-VERI_TABANI!D25*B796), VERI_TABANI!D25*C796)*VERI_TABANI!$B$7 + MAX(0, VERI_TABANI!D25*C796-MAX(0, VERI_TABANI!D25-VERI_TABANI!D25*B796))*VERI_TABANI!$B$8) + IF(ABS(IF(ISNUMBER(SEARCH("Var", D796)), 1, IF(ISNUMBER(SEARCH("Gri", D796)), -1, 0)))=1, VERI_TABANI!E25*(1-0.928)*VERI_TABANI!$B$9, 0) + (VERI_TABANI!D25*B796*(VERI_TABANI!$B$13-VERI_TABANI!$B$14)*VERI_TABANI!G25) + (VERI_TABANI!D25*C796*(VERI_TABANI!$B$13-VERI_TABANI!$B$15)*VERI_TABANI!G25) + IF(ABS(IF(ISNUMBER(SEARCH("Var", D796)), 1, IF(ISNUMBER(SEARCH("Gri", D796)), -1, 0)))=1, VERI_TABANI!E25*(1-0.928)*0.00206091519919798*VERI_TABANI!G25, 0)) + ((MIN(VERI_TABANI!D26, VERI_TABANI!D26*B796)*VERI_TABANI!$B$7 + MAX(0, VERI_TABANI!D26*B796-VERI_TABANI!D26)*VERI_TABANI!$B$8) + (MIN(MAX(0, VERI_TABANI!D26-VERI_TABANI!D26*B796), VERI_TABANI!D26*C796)*VERI_TABANI!$B$7 + MAX(0, VERI_TABANI!D26*C796-MAX(0, VERI_TABANI!D26-VERI_TABANI!D26*B796))*VERI_TABANI!$B$8) + IF(ABS(IF(ISNUMBER(SEARCH("Var", D796)), 1, IF(ISNUMBER(SEARCH("Gri", D796)), -1, 0)))=1, VERI_TABANI!E26*(1-0.928)*VERI_TABANI!$B$9, 0) + (VERI_TABANI!D26*B796*(VERI_TABANI!$B$13-VERI_TABANI!$B$14)*VERI_TABANI!G26) + (VERI_TABANI!D26*C796*(VERI_TABANI!$B$13-VERI_TABANI!$B$15)*VERI_TABANI!G26) + IF(ABS(IF(ISNUMBER(SEARCH("Var", D796)), 1, IF(ISNUMBER(SEARCH("Gri", D796)), -1, 0)))=1, VERI_TABANI!E26*(1-0.928)*0.00206091519919798*VERI_TABANI!G26, 0)) + ((MIN(VERI_TABANI!D27, VERI_TABANI!D27*B796)*VERI_TABANI!$B$7 + MAX(0, VERI_TABANI!D27*B796-VERI_TABANI!D27)*VERI_TABANI!$B$8) + (MIN(MAX(0, VERI_TABANI!D27-VERI_TABANI!D27*B796), VERI_TABANI!D27*C796)*VERI_TABANI!$B$7 + MAX(0, VERI_TABANI!D27*C796-MAX(0, VERI_TABANI!D27-VERI_TABANI!D27*B796))*VERI_TABANI!$B$8) + IF(ABS(IF(ISNUMBER(SEARCH("Var", D796)), 1, IF(ISNUMBER(SEARCH("Gri", D796)), -1, 0)))=1, VERI_TABANI!E27*(1-0.928)*VERI_TABANI!$B$9, 0) + (VERI_TABANI!D27*B796*(VERI_TABANI!$B$13-VERI_TABANI!$B$14)*VERI_TABANI!G27) + (VERI_TABANI!D27*C796*(VERI_TABANI!$B$13-VERI_TABANI!$B$15)*VERI_TABANI!G27) + IF(ABS(IF(ISNUMBER(SEARCH("Var", D796)), 1, IF(ISNUMBER(SEARCH("Gri", D796)), -1, 0)))=1, VERI_TABANI!E27*(1-0.928)*0.00206091519919798*VERI_TABANI!G27, 0)) + ((MIN(VERI_TABANI!D28, VERI_TABANI!D28*B796)*VERI_TABANI!$B$7 + MAX(0, VERI_TABANI!D28*B796-VERI_TABANI!D28)*VERI_TABANI!$B$8) + (MIN(MAX(0, VERI_TABANI!D28-VERI_TABANI!D28*B796), VERI_TABANI!D28*C796)*VERI_TABANI!$B$7 + MAX(0, VERI_TABANI!D28*C796-MAX(0, VERI_TABANI!D28-VERI_TABANI!D28*B796))*VERI_TABANI!$B$8) + IF(ABS(IF(ISNUMBER(SEARCH("Var", D796)), 1, IF(ISNUMBER(SEARCH("Gri", D796)), -1, 0)))=1, VERI_TABANI!E28*(1-0.928)*VERI_TABANI!$B$9, 0) + (VERI_TABANI!D28*B796*(VERI_TABANI!$B$13-VERI_TABANI!$B$14)*VERI_TABANI!G28) + (VERI_TABANI!D28*C796*(VERI_TABANI!$B$13-VERI_TABANI!$B$15)*VERI_TABANI!G28) + IF(ABS(IF(ISNUMBER(SEARCH("Var", D796)), 1, IF(ISNUMBER(SEARCH("Gri", D796)), -1, 0)))=1, VERI_TABANI!E28*(1-0.928)*0.00206091519919798*VERI_TABANI!G28, 0)))</f>
        <v/>
      </c>
      <c r="H796" s="169">
        <f>(((VERI_TABANI!D23*B796*(VERI_TABANI!$B$13-VERI_TABANI!$B$14)) + (VERI_TABANI!D23*C796*(VERI_TABANI!$B$13-VERI_TABANI!$B$15)) + IF(ISNUMBER(SEARCH("Var", D796)), VERI_TABANI!F23*(0.00202-VERI_TABANI!$B$16), IF(ISNUMBER(SEARCH("Gri", D796)), VERI_TABANI!F23*(0.00202-VERI_TABANI!$B$17), 0))) + ((VERI_TABANI!D24*B796*(VERI_TABANI!$B$13-VERI_TABANI!$B$14)) + (VERI_TABANI!D24*C796*(VERI_TABANI!$B$13-VERI_TABANI!$B$15)) + IF(ISNUMBER(SEARCH("Var", D796)), VERI_TABANI!F24*(0.00202-VERI_TABANI!$B$16), IF(ISNUMBER(SEARCH("Gri", D796)), VERI_TABANI!F24*(0.00202-VERI_TABANI!$B$17), 0))) + ((VERI_TABANI!D25*B796*(VERI_TABANI!$B$13-VERI_TABANI!$B$14)) + (VERI_TABANI!D25*C796*(VERI_TABANI!$B$13-VERI_TABANI!$B$15)) + IF(ISNUMBER(SEARCH("Var", D796)), VERI_TABANI!F25*(0.00202-VERI_TABANI!$B$16), IF(ISNUMBER(SEARCH("Gri", D796)), VERI_TABANI!F25*(0.00202-VERI_TABANI!$B$17), 0))) + ((VERI_TABANI!D26*B796*(VERI_TABANI!$B$13-VERI_TABANI!$B$14)) + (VERI_TABANI!D26*C796*(VERI_TABANI!$B$13-VERI_TABANI!$B$15)) + IF(ISNUMBER(SEARCH("Var", D796)), VERI_TABANI!F26*(0.00202-VERI_TABANI!$B$16), IF(ISNUMBER(SEARCH("Gri", D796)), VERI_TABANI!F26*(0.00202-VERI_TABANI!$B$17), 0))) + ((VERI_TABANI!D27*B796*(VERI_TABANI!$B$13-VERI_TABANI!$B$14)) + (VERI_TABANI!D27*C796*(VERI_TABANI!$B$13-VERI_TABANI!$B$15)) + IF(ISNUMBER(SEARCH("Var", D796)), VERI_TABANI!F27*(0.00202-VERI_TABANI!$B$16), IF(ISNUMBER(SEARCH("Gri", D796)), VERI_TABANI!F27*(0.00202-VERI_TABANI!$B$17), 0))) + ((VERI_TABANI!D28*B796*(VERI_TABANI!$B$13-VERI_TABANI!$B$14)) + (VERI_TABANI!D28*C796*(VERI_TABANI!$B$13-VERI_TABANI!$B$15)) + IF(ISNUMBER(SEARCH("Var", D796)), VERI_TABANI!F28*(0.00202-VERI_TABANI!$B$16), IF(ISNUMBER(SEARCH("Gri", D796)), VERI_TABANI!F28*(0.00202-VERI_TABANI!$B$17), 0))))</f>
        <v/>
      </c>
      <c r="I796" s="170">
        <f>IFERROR(((VERI_TABANI!$D$29*B796*VERI_TABANI!$B$14 + VERI_TABANI!$D$29*C796*VERI_TABANI!$B$15 + IF(ISNUMBER(SEARCH("Var", D796)), VERI_TABANI!$F$29*VERI_TABANI!$B$16, 0))) / (((VERI_TABANI!$D$29*B796 + VERI_TABANI!$D$29*C796)*VERI_TABANI!$B$13 + IF(ISNUMBER(SEARCH("Var", D796)), VERI_TABANI!$E$29*(1-0.928)*VERI_TABANI!$B$18, 0))), 0)</f>
        <v/>
      </c>
      <c r="J796" s="171">
        <f>IFERROR(F796/(G796/29), 0)</f>
        <v/>
      </c>
      <c r="K796" s="172">
        <f>IF(F796&gt;0, H796/F796, 0)</f>
        <v/>
      </c>
      <c r="L796" s="170">
        <f>IF(F796&gt;0, I796, 1000000000)</f>
        <v/>
      </c>
      <c r="M796" s="171">
        <f>ABS((B796+C796)-1)</f>
        <v/>
      </c>
      <c r="N796" s="170">
        <f>IF(F796&gt;0, (G796/29)/F796, 0)</f>
        <v/>
      </c>
      <c r="O796" s="168">
        <f>IF(AND((B796+C796)&gt;=1, ISNUMBER(SEARCH("Var", D796))), F796, 1000000000)</f>
        <v/>
      </c>
      <c r="P796" s="172">
        <f>IF(F796&gt;0, SQRT((F796/MAX(F$5:F$886))^2 + (1 - H796/MAX(H$5:H$886))^2 + (J796/MAX(J$5:J$886))^2), 1000000000)</f>
        <v/>
      </c>
      <c r="Q796" s="166">
        <f>IF(AND(ABS(B796-0.5)&lt;0.01, ABS(C796-0.5)&lt;0.01, ISNUMBER(SEARCH("Var", D796))), 1, 0)</f>
        <v/>
      </c>
      <c r="R796" s="171">
        <f>IF(F796&gt;0, J796, 1000000000)</f>
        <v/>
      </c>
      <c r="S796" s="101">
        <f>IF(AND(F796&lt;=DASHBOARD!$B$11, H796&gt;=DASHBOARD!$B$13), G796, -1000000000000)</f>
        <v/>
      </c>
      <c r="T796" s="101">
        <f>IF(AND(F796&lt;=DASHBOARD!$B$11, H796&gt;=DASHBOARD!$B$13), R796, 1000000000000)</f>
        <v/>
      </c>
      <c r="U796" s="101">
        <f>IF(AND(F796&lt;=DASHBOARD!$B$11, H796&gt;=DASHBOARD!$B$13), N796, -1000000000000)</f>
        <v/>
      </c>
      <c r="V796" s="101">
        <f>IF(AND(F796&lt;=DASHBOARD!$B$11, H796&gt;=DASHBOARD!$B$13), H796, -1000000000000)</f>
        <v/>
      </c>
      <c r="W796" s="101">
        <f>IF(AND(F796&lt;=DASHBOARD!$B$11, H796&gt;=DASHBOARD!$B$13), K796, -1000000000000)</f>
        <v/>
      </c>
      <c r="X796" s="101">
        <f>IF(AND(F796&lt;=DASHBOARD!$B$11, H796&gt;=DASHBOARD!$B$13), M796, 1000000000000)</f>
        <v/>
      </c>
      <c r="Y796" s="101">
        <f>IF(AND(F796&lt;=DASHBOARD!$B$10, H796&gt;=DASHBOARD!$B$11), L796, 1000000000000)</f>
        <v/>
      </c>
      <c r="Z796" s="101">
        <f>IF(AND(F796&lt;=DASHBOARD!$B$10, H796&gt;=DASHBOARD!$B$11), O796, 1000000000000)</f>
        <v/>
      </c>
      <c r="AA796" s="101">
        <f>IF(AND(F796&lt;=DASHBOARD!$B$10, H796&gt;=DASHBOARD!$B$11), P796, 1000000000000)</f>
        <v/>
      </c>
      <c r="AB796" s="101">
        <f>IF(AND(F796&lt;=DASHBOARD!$B$10, H796&gt;=DASHBOARD!$B$11), Q796, -1000000000000)</f>
        <v/>
      </c>
    </row>
    <row r="797" ht="15" customHeight="1" s="102">
      <c r="A797" s="166" t="n">
        <v>793</v>
      </c>
      <c r="B797" s="167" t="n">
        <v>1.8</v>
      </c>
      <c r="C797" s="167" t="n">
        <v>1.8</v>
      </c>
      <c r="D797" s="110" t="inlineStr">
        <is>
          <t>Yok (%0)</t>
        </is>
      </c>
      <c r="E797" s="110">
        <f>IF((B797+C797)&lt;=1, "Tam Mahsuplaşma (≤%100)", "Kısmi Satış (&gt;%100)")</f>
        <v/>
      </c>
      <c r="F797" s="168">
        <f>((VERI_TABANI!$D$29*B797/VERI_TABANI!$B$29)/VERI_TABANI!$B$3)*VERI_TABANI!$B$5 + ((VERI_TABANI!$D$29*C797/VERI_TABANI!$B$29)/VERI_TABANI!$B$4)*VERI_TABANI!$B$6 + IF(ISNUMBER(SEARCH("Var", D797)), (VERI_TABANI!$F$29/VERI_TABANI!$B$29)*(VERI_TABANI!$B$10+VERI_TABANI!$B$12), 0)</f>
        <v/>
      </c>
      <c r="G797" s="168">
        <f>(((MIN(VERI_TABANI!D23, VERI_TABANI!D23*B797)*VERI_TABANI!$B$7 + MAX(0, VERI_TABANI!D23*B797-VERI_TABANI!D23)*VERI_TABANI!$B$8) + (MIN(MAX(0, VERI_TABANI!D23-VERI_TABANI!D23*B797), VERI_TABANI!D23*C797)*VERI_TABANI!$B$7 + MAX(0, VERI_TABANI!D23*C797-MAX(0, VERI_TABANI!D23-VERI_TABANI!D23*B797))*VERI_TABANI!$B$8) + IF(ABS(IF(ISNUMBER(SEARCH("Var", D797)), 1, IF(ISNUMBER(SEARCH("Gri", D797)), -1, 0)))=1, VERI_TABANI!E23*(1-0.928)*VERI_TABANI!$B$9, 0) + (VERI_TABANI!D23*B797*(VERI_TABANI!$B$13-VERI_TABANI!$B$14)*VERI_TABANI!G23) + (VERI_TABANI!D23*C797*(VERI_TABANI!$B$13-VERI_TABANI!$B$15)*VERI_TABANI!G23) + IF(ABS(IF(ISNUMBER(SEARCH("Var", D797)), 1, IF(ISNUMBER(SEARCH("Gri", D797)), -1, 0)))=1, VERI_TABANI!E23*(1-0.928)*0.00206091519919798*VERI_TABANI!G23, 0)) + ((MIN(VERI_TABANI!D24, VERI_TABANI!D24*B797)*VERI_TABANI!$B$7 + MAX(0, VERI_TABANI!D24*B797-VERI_TABANI!D24)*VERI_TABANI!$B$8) + (MIN(MAX(0, VERI_TABANI!D24-VERI_TABANI!D24*B797), VERI_TABANI!D24*C797)*VERI_TABANI!$B$7 + MAX(0, VERI_TABANI!D24*C797-MAX(0, VERI_TABANI!D24-VERI_TABANI!D24*B797))*VERI_TABANI!$B$8) + IF(ABS(IF(ISNUMBER(SEARCH("Var", D797)), 1, IF(ISNUMBER(SEARCH("Gri", D797)), -1, 0)))=1, VERI_TABANI!E24*(1-0.928)*VERI_TABANI!$B$9, 0) + (VERI_TABANI!D24*B797*(VERI_TABANI!$B$13-VERI_TABANI!$B$14)*VERI_TABANI!G24) + (VERI_TABANI!D24*C797*(VERI_TABANI!$B$13-VERI_TABANI!$B$15)*VERI_TABANI!G24) + IF(ABS(IF(ISNUMBER(SEARCH("Var", D797)), 1, IF(ISNUMBER(SEARCH("Gri", D797)), -1, 0)))=1, VERI_TABANI!E24*(1-0.928)*0.00206091519919798*VERI_TABANI!G24, 0)) + ((MIN(VERI_TABANI!D25, VERI_TABANI!D25*B797)*VERI_TABANI!$B$7 + MAX(0, VERI_TABANI!D25*B797-VERI_TABANI!D25)*VERI_TABANI!$B$8) + (MIN(MAX(0, VERI_TABANI!D25-VERI_TABANI!D25*B797), VERI_TABANI!D25*C797)*VERI_TABANI!$B$7 + MAX(0, VERI_TABANI!D25*C797-MAX(0, VERI_TABANI!D25-VERI_TABANI!D25*B797))*VERI_TABANI!$B$8) + IF(ABS(IF(ISNUMBER(SEARCH("Var", D797)), 1, IF(ISNUMBER(SEARCH("Gri", D797)), -1, 0)))=1, VERI_TABANI!E25*(1-0.928)*VERI_TABANI!$B$9, 0) + (VERI_TABANI!D25*B797*(VERI_TABANI!$B$13-VERI_TABANI!$B$14)*VERI_TABANI!G25) + (VERI_TABANI!D25*C797*(VERI_TABANI!$B$13-VERI_TABANI!$B$15)*VERI_TABANI!G25) + IF(ABS(IF(ISNUMBER(SEARCH("Var", D797)), 1, IF(ISNUMBER(SEARCH("Gri", D797)), -1, 0)))=1, VERI_TABANI!E25*(1-0.928)*0.00206091519919798*VERI_TABANI!G25, 0)) + ((MIN(VERI_TABANI!D26, VERI_TABANI!D26*B797)*VERI_TABANI!$B$7 + MAX(0, VERI_TABANI!D26*B797-VERI_TABANI!D26)*VERI_TABANI!$B$8) + (MIN(MAX(0, VERI_TABANI!D26-VERI_TABANI!D26*B797), VERI_TABANI!D26*C797)*VERI_TABANI!$B$7 + MAX(0, VERI_TABANI!D26*C797-MAX(0, VERI_TABANI!D26-VERI_TABANI!D26*B797))*VERI_TABANI!$B$8) + IF(ABS(IF(ISNUMBER(SEARCH("Var", D797)), 1, IF(ISNUMBER(SEARCH("Gri", D797)), -1, 0)))=1, VERI_TABANI!E26*(1-0.928)*VERI_TABANI!$B$9, 0) + (VERI_TABANI!D26*B797*(VERI_TABANI!$B$13-VERI_TABANI!$B$14)*VERI_TABANI!G26) + (VERI_TABANI!D26*C797*(VERI_TABANI!$B$13-VERI_TABANI!$B$15)*VERI_TABANI!G26) + IF(ABS(IF(ISNUMBER(SEARCH("Var", D797)), 1, IF(ISNUMBER(SEARCH("Gri", D797)), -1, 0)))=1, VERI_TABANI!E26*(1-0.928)*0.00206091519919798*VERI_TABANI!G26, 0)) + ((MIN(VERI_TABANI!D27, VERI_TABANI!D27*B797)*VERI_TABANI!$B$7 + MAX(0, VERI_TABANI!D27*B797-VERI_TABANI!D27)*VERI_TABANI!$B$8) + (MIN(MAX(0, VERI_TABANI!D27-VERI_TABANI!D27*B797), VERI_TABANI!D27*C797)*VERI_TABANI!$B$7 + MAX(0, VERI_TABANI!D27*C797-MAX(0, VERI_TABANI!D27-VERI_TABANI!D27*B797))*VERI_TABANI!$B$8) + IF(ABS(IF(ISNUMBER(SEARCH("Var", D797)), 1, IF(ISNUMBER(SEARCH("Gri", D797)), -1, 0)))=1, VERI_TABANI!E27*(1-0.928)*VERI_TABANI!$B$9, 0) + (VERI_TABANI!D27*B797*(VERI_TABANI!$B$13-VERI_TABANI!$B$14)*VERI_TABANI!G27) + (VERI_TABANI!D27*C797*(VERI_TABANI!$B$13-VERI_TABANI!$B$15)*VERI_TABANI!G27) + IF(ABS(IF(ISNUMBER(SEARCH("Var", D797)), 1, IF(ISNUMBER(SEARCH("Gri", D797)), -1, 0)))=1, VERI_TABANI!E27*(1-0.928)*0.00206091519919798*VERI_TABANI!G27, 0)) + ((MIN(VERI_TABANI!D28, VERI_TABANI!D28*B797)*VERI_TABANI!$B$7 + MAX(0, VERI_TABANI!D28*B797-VERI_TABANI!D28)*VERI_TABANI!$B$8) + (MIN(MAX(0, VERI_TABANI!D28-VERI_TABANI!D28*B797), VERI_TABANI!D28*C797)*VERI_TABANI!$B$7 + MAX(0, VERI_TABANI!D28*C797-MAX(0, VERI_TABANI!D28-VERI_TABANI!D28*B797))*VERI_TABANI!$B$8) + IF(ABS(IF(ISNUMBER(SEARCH("Var", D797)), 1, IF(ISNUMBER(SEARCH("Gri", D797)), -1, 0)))=1, VERI_TABANI!E28*(1-0.928)*VERI_TABANI!$B$9, 0) + (VERI_TABANI!D28*B797*(VERI_TABANI!$B$13-VERI_TABANI!$B$14)*VERI_TABANI!G28) + (VERI_TABANI!D28*C797*(VERI_TABANI!$B$13-VERI_TABANI!$B$15)*VERI_TABANI!G28) + IF(ABS(IF(ISNUMBER(SEARCH("Var", D797)), 1, IF(ISNUMBER(SEARCH("Gri", D797)), -1, 0)))=1, VERI_TABANI!E28*(1-0.928)*0.00206091519919798*VERI_TABANI!G28, 0)))</f>
        <v/>
      </c>
      <c r="H797" s="169">
        <f>(((VERI_TABANI!D23*B797*(VERI_TABANI!$B$13-VERI_TABANI!$B$14)) + (VERI_TABANI!D23*C797*(VERI_TABANI!$B$13-VERI_TABANI!$B$15)) + IF(ISNUMBER(SEARCH("Var", D797)), VERI_TABANI!F23*(0.00202-VERI_TABANI!$B$16), IF(ISNUMBER(SEARCH("Gri", D797)), VERI_TABANI!F23*(0.00202-VERI_TABANI!$B$17), 0))) + ((VERI_TABANI!D24*B797*(VERI_TABANI!$B$13-VERI_TABANI!$B$14)) + (VERI_TABANI!D24*C797*(VERI_TABANI!$B$13-VERI_TABANI!$B$15)) + IF(ISNUMBER(SEARCH("Var", D797)), VERI_TABANI!F24*(0.00202-VERI_TABANI!$B$16), IF(ISNUMBER(SEARCH("Gri", D797)), VERI_TABANI!F24*(0.00202-VERI_TABANI!$B$17), 0))) + ((VERI_TABANI!D25*B797*(VERI_TABANI!$B$13-VERI_TABANI!$B$14)) + (VERI_TABANI!D25*C797*(VERI_TABANI!$B$13-VERI_TABANI!$B$15)) + IF(ISNUMBER(SEARCH("Var", D797)), VERI_TABANI!F25*(0.00202-VERI_TABANI!$B$16), IF(ISNUMBER(SEARCH("Gri", D797)), VERI_TABANI!F25*(0.00202-VERI_TABANI!$B$17), 0))) + ((VERI_TABANI!D26*B797*(VERI_TABANI!$B$13-VERI_TABANI!$B$14)) + (VERI_TABANI!D26*C797*(VERI_TABANI!$B$13-VERI_TABANI!$B$15)) + IF(ISNUMBER(SEARCH("Var", D797)), VERI_TABANI!F26*(0.00202-VERI_TABANI!$B$16), IF(ISNUMBER(SEARCH("Gri", D797)), VERI_TABANI!F26*(0.00202-VERI_TABANI!$B$17), 0))) + ((VERI_TABANI!D27*B797*(VERI_TABANI!$B$13-VERI_TABANI!$B$14)) + (VERI_TABANI!D27*C797*(VERI_TABANI!$B$13-VERI_TABANI!$B$15)) + IF(ISNUMBER(SEARCH("Var", D797)), VERI_TABANI!F27*(0.00202-VERI_TABANI!$B$16), IF(ISNUMBER(SEARCH("Gri", D797)), VERI_TABANI!F27*(0.00202-VERI_TABANI!$B$17), 0))) + ((VERI_TABANI!D28*B797*(VERI_TABANI!$B$13-VERI_TABANI!$B$14)) + (VERI_TABANI!D28*C797*(VERI_TABANI!$B$13-VERI_TABANI!$B$15)) + IF(ISNUMBER(SEARCH("Var", D797)), VERI_TABANI!F28*(0.00202-VERI_TABANI!$B$16), IF(ISNUMBER(SEARCH("Gri", D797)), VERI_TABANI!F28*(0.00202-VERI_TABANI!$B$17), 0))))</f>
        <v/>
      </c>
      <c r="I797" s="170">
        <f>IFERROR(((VERI_TABANI!$D$29*B797*VERI_TABANI!$B$14 + VERI_TABANI!$D$29*C797*VERI_TABANI!$B$15 + IF(ISNUMBER(SEARCH("Var", D797)), VERI_TABANI!$F$29*VERI_TABANI!$B$16, 0))) / (((VERI_TABANI!$D$29*B797 + VERI_TABANI!$D$29*C797)*VERI_TABANI!$B$13 + IF(ISNUMBER(SEARCH("Var", D797)), VERI_TABANI!$E$29*(1-0.928)*VERI_TABANI!$B$18, 0))), 0)</f>
        <v/>
      </c>
      <c r="J797" s="171">
        <f>IFERROR(F797/(G797/29), 0)</f>
        <v/>
      </c>
      <c r="K797" s="172">
        <f>IF(F797&gt;0, H797/F797, 0)</f>
        <v/>
      </c>
      <c r="L797" s="170">
        <f>IF(F797&gt;0, I797, 1000000000)</f>
        <v/>
      </c>
      <c r="M797" s="171">
        <f>ABS((B797+C797)-1)</f>
        <v/>
      </c>
      <c r="N797" s="170">
        <f>IF(F797&gt;0, (G797/29)/F797, 0)</f>
        <v/>
      </c>
      <c r="O797" s="168">
        <f>IF(AND((B797+C797)&gt;=1, ISNUMBER(SEARCH("Var", D797))), F797, 1000000000)</f>
        <v/>
      </c>
      <c r="P797" s="172">
        <f>IF(F797&gt;0, SQRT((F797/MAX(F$5:F$886))^2 + (1 - H797/MAX(H$5:H$886))^2 + (J797/MAX(J$5:J$886))^2), 1000000000)</f>
        <v/>
      </c>
      <c r="Q797" s="166">
        <f>IF(AND(ABS(B797-0.5)&lt;0.01, ABS(C797-0.5)&lt;0.01, ISNUMBER(SEARCH("Var", D797))), 1, 0)</f>
        <v/>
      </c>
      <c r="R797" s="171">
        <f>IF(F797&gt;0, J797, 1000000000)</f>
        <v/>
      </c>
      <c r="S797" s="101">
        <f>IF(AND(F797&lt;=DASHBOARD!$B$11, H797&gt;=DASHBOARD!$B$13), G797, -1000000000000)</f>
        <v/>
      </c>
      <c r="T797" s="101">
        <f>IF(AND(F797&lt;=DASHBOARD!$B$11, H797&gt;=DASHBOARD!$B$13), R797, 1000000000000)</f>
        <v/>
      </c>
      <c r="U797" s="101">
        <f>IF(AND(F797&lt;=DASHBOARD!$B$11, H797&gt;=DASHBOARD!$B$13), N797, -1000000000000)</f>
        <v/>
      </c>
      <c r="V797" s="101">
        <f>IF(AND(F797&lt;=DASHBOARD!$B$11, H797&gt;=DASHBOARD!$B$13), H797, -1000000000000)</f>
        <v/>
      </c>
      <c r="W797" s="101">
        <f>IF(AND(F797&lt;=DASHBOARD!$B$11, H797&gt;=DASHBOARD!$B$13), K797, -1000000000000)</f>
        <v/>
      </c>
      <c r="X797" s="101">
        <f>IF(AND(F797&lt;=DASHBOARD!$B$11, H797&gt;=DASHBOARD!$B$13), M797, 1000000000000)</f>
        <v/>
      </c>
      <c r="Y797" s="101">
        <f>IF(AND(F797&lt;=DASHBOARD!$B$10, H797&gt;=DASHBOARD!$B$11), L797, 1000000000000)</f>
        <v/>
      </c>
      <c r="Z797" s="101">
        <f>IF(AND(F797&lt;=DASHBOARD!$B$10, H797&gt;=DASHBOARD!$B$11), O797, 1000000000000)</f>
        <v/>
      </c>
      <c r="AA797" s="101">
        <f>IF(AND(F797&lt;=DASHBOARD!$B$10, H797&gt;=DASHBOARD!$B$11), P797, 1000000000000)</f>
        <v/>
      </c>
      <c r="AB797" s="101">
        <f>IF(AND(F797&lt;=DASHBOARD!$B$10, H797&gt;=DASHBOARD!$B$11), Q797, -1000000000000)</f>
        <v/>
      </c>
    </row>
    <row r="798" ht="15" customHeight="1" s="102">
      <c r="A798" s="166" t="n">
        <v>794</v>
      </c>
      <c r="B798" s="167" t="n">
        <v>1.8</v>
      </c>
      <c r="C798" s="167" t="n">
        <v>1.8</v>
      </c>
      <c r="D798" s="110" t="inlineStr">
        <is>
          <t>Var (%20)</t>
        </is>
      </c>
      <c r="E798" s="110">
        <f>IF((B798+C798)&lt;=1, "Tam Mahsuplaşma (≤%100)", "Kısmi Satış (&gt;%100)")</f>
        <v/>
      </c>
      <c r="F798" s="168">
        <f>((VERI_TABANI!$D$29*B798/VERI_TABANI!$B$29)/VERI_TABANI!$B$3)*VERI_TABANI!$B$5 + ((VERI_TABANI!$D$29*C798/VERI_TABANI!$B$29)/VERI_TABANI!$B$4)*VERI_TABANI!$B$6 + IF(ISNUMBER(SEARCH("Var", D798)), (VERI_TABANI!$F$29/VERI_TABANI!$B$29)*(VERI_TABANI!$B$10+VERI_TABANI!$B$12), 0)</f>
        <v/>
      </c>
      <c r="G798" s="168">
        <f>(((MIN(VERI_TABANI!D23, VERI_TABANI!D23*B798)*VERI_TABANI!$B$7 + MAX(0, VERI_TABANI!D23*B798-VERI_TABANI!D23)*VERI_TABANI!$B$8) + (MIN(MAX(0, VERI_TABANI!D23-VERI_TABANI!D23*B798), VERI_TABANI!D23*C798)*VERI_TABANI!$B$7 + MAX(0, VERI_TABANI!D23*C798-MAX(0, VERI_TABANI!D23-VERI_TABANI!D23*B798))*VERI_TABANI!$B$8) + IF(ABS(IF(ISNUMBER(SEARCH("Var", D798)), 1, IF(ISNUMBER(SEARCH("Gri", D798)), -1, 0)))=1, VERI_TABANI!E23*(1-0.928)*VERI_TABANI!$B$9, 0) + (VERI_TABANI!D23*B798*(VERI_TABANI!$B$13-VERI_TABANI!$B$14)*VERI_TABANI!G23) + (VERI_TABANI!D23*C798*(VERI_TABANI!$B$13-VERI_TABANI!$B$15)*VERI_TABANI!G23) + IF(ABS(IF(ISNUMBER(SEARCH("Var", D798)), 1, IF(ISNUMBER(SEARCH("Gri", D798)), -1, 0)))=1, VERI_TABANI!E23*(1-0.928)*0.00206091519919798*VERI_TABANI!G23, 0)) + ((MIN(VERI_TABANI!D24, VERI_TABANI!D24*B798)*VERI_TABANI!$B$7 + MAX(0, VERI_TABANI!D24*B798-VERI_TABANI!D24)*VERI_TABANI!$B$8) + (MIN(MAX(0, VERI_TABANI!D24-VERI_TABANI!D24*B798), VERI_TABANI!D24*C798)*VERI_TABANI!$B$7 + MAX(0, VERI_TABANI!D24*C798-MAX(0, VERI_TABANI!D24-VERI_TABANI!D24*B798))*VERI_TABANI!$B$8) + IF(ABS(IF(ISNUMBER(SEARCH("Var", D798)), 1, IF(ISNUMBER(SEARCH("Gri", D798)), -1, 0)))=1, VERI_TABANI!E24*(1-0.928)*VERI_TABANI!$B$9, 0) + (VERI_TABANI!D24*B798*(VERI_TABANI!$B$13-VERI_TABANI!$B$14)*VERI_TABANI!G24) + (VERI_TABANI!D24*C798*(VERI_TABANI!$B$13-VERI_TABANI!$B$15)*VERI_TABANI!G24) + IF(ABS(IF(ISNUMBER(SEARCH("Var", D798)), 1, IF(ISNUMBER(SEARCH("Gri", D798)), -1, 0)))=1, VERI_TABANI!E24*(1-0.928)*0.00206091519919798*VERI_TABANI!G24, 0)) + ((MIN(VERI_TABANI!D25, VERI_TABANI!D25*B798)*VERI_TABANI!$B$7 + MAX(0, VERI_TABANI!D25*B798-VERI_TABANI!D25)*VERI_TABANI!$B$8) + (MIN(MAX(0, VERI_TABANI!D25-VERI_TABANI!D25*B798), VERI_TABANI!D25*C798)*VERI_TABANI!$B$7 + MAX(0, VERI_TABANI!D25*C798-MAX(0, VERI_TABANI!D25-VERI_TABANI!D25*B798))*VERI_TABANI!$B$8) + IF(ABS(IF(ISNUMBER(SEARCH("Var", D798)), 1, IF(ISNUMBER(SEARCH("Gri", D798)), -1, 0)))=1, VERI_TABANI!E25*(1-0.928)*VERI_TABANI!$B$9, 0) + (VERI_TABANI!D25*B798*(VERI_TABANI!$B$13-VERI_TABANI!$B$14)*VERI_TABANI!G25) + (VERI_TABANI!D25*C798*(VERI_TABANI!$B$13-VERI_TABANI!$B$15)*VERI_TABANI!G25) + IF(ABS(IF(ISNUMBER(SEARCH("Var", D798)), 1, IF(ISNUMBER(SEARCH("Gri", D798)), -1, 0)))=1, VERI_TABANI!E25*(1-0.928)*0.00206091519919798*VERI_TABANI!G25, 0)) + ((MIN(VERI_TABANI!D26, VERI_TABANI!D26*B798)*VERI_TABANI!$B$7 + MAX(0, VERI_TABANI!D26*B798-VERI_TABANI!D26)*VERI_TABANI!$B$8) + (MIN(MAX(0, VERI_TABANI!D26-VERI_TABANI!D26*B798), VERI_TABANI!D26*C798)*VERI_TABANI!$B$7 + MAX(0, VERI_TABANI!D26*C798-MAX(0, VERI_TABANI!D26-VERI_TABANI!D26*B798))*VERI_TABANI!$B$8) + IF(ABS(IF(ISNUMBER(SEARCH("Var", D798)), 1, IF(ISNUMBER(SEARCH("Gri", D798)), -1, 0)))=1, VERI_TABANI!E26*(1-0.928)*VERI_TABANI!$B$9, 0) + (VERI_TABANI!D26*B798*(VERI_TABANI!$B$13-VERI_TABANI!$B$14)*VERI_TABANI!G26) + (VERI_TABANI!D26*C798*(VERI_TABANI!$B$13-VERI_TABANI!$B$15)*VERI_TABANI!G26) + IF(ABS(IF(ISNUMBER(SEARCH("Var", D798)), 1, IF(ISNUMBER(SEARCH("Gri", D798)), -1, 0)))=1, VERI_TABANI!E26*(1-0.928)*0.00206091519919798*VERI_TABANI!G26, 0)) + ((MIN(VERI_TABANI!D27, VERI_TABANI!D27*B798)*VERI_TABANI!$B$7 + MAX(0, VERI_TABANI!D27*B798-VERI_TABANI!D27)*VERI_TABANI!$B$8) + (MIN(MAX(0, VERI_TABANI!D27-VERI_TABANI!D27*B798), VERI_TABANI!D27*C798)*VERI_TABANI!$B$7 + MAX(0, VERI_TABANI!D27*C798-MAX(0, VERI_TABANI!D27-VERI_TABANI!D27*B798))*VERI_TABANI!$B$8) + IF(ABS(IF(ISNUMBER(SEARCH("Var", D798)), 1, IF(ISNUMBER(SEARCH("Gri", D798)), -1, 0)))=1, VERI_TABANI!E27*(1-0.928)*VERI_TABANI!$B$9, 0) + (VERI_TABANI!D27*B798*(VERI_TABANI!$B$13-VERI_TABANI!$B$14)*VERI_TABANI!G27) + (VERI_TABANI!D27*C798*(VERI_TABANI!$B$13-VERI_TABANI!$B$15)*VERI_TABANI!G27) + IF(ABS(IF(ISNUMBER(SEARCH("Var", D798)), 1, IF(ISNUMBER(SEARCH("Gri", D798)), -1, 0)))=1, VERI_TABANI!E27*(1-0.928)*0.00206091519919798*VERI_TABANI!G27, 0)) + ((MIN(VERI_TABANI!D28, VERI_TABANI!D28*B798)*VERI_TABANI!$B$7 + MAX(0, VERI_TABANI!D28*B798-VERI_TABANI!D28)*VERI_TABANI!$B$8) + (MIN(MAX(0, VERI_TABANI!D28-VERI_TABANI!D28*B798), VERI_TABANI!D28*C798)*VERI_TABANI!$B$7 + MAX(0, VERI_TABANI!D28*C798-MAX(0, VERI_TABANI!D28-VERI_TABANI!D28*B798))*VERI_TABANI!$B$8) + IF(ABS(IF(ISNUMBER(SEARCH("Var", D798)), 1, IF(ISNUMBER(SEARCH("Gri", D798)), -1, 0)))=1, VERI_TABANI!E28*(1-0.928)*VERI_TABANI!$B$9, 0) + (VERI_TABANI!D28*B798*(VERI_TABANI!$B$13-VERI_TABANI!$B$14)*VERI_TABANI!G28) + (VERI_TABANI!D28*C798*(VERI_TABANI!$B$13-VERI_TABANI!$B$15)*VERI_TABANI!G28) + IF(ABS(IF(ISNUMBER(SEARCH("Var", D798)), 1, IF(ISNUMBER(SEARCH("Gri", D798)), -1, 0)))=1, VERI_TABANI!E28*(1-0.928)*0.00206091519919798*VERI_TABANI!G28, 0)))</f>
        <v/>
      </c>
      <c r="H798" s="169">
        <f>(((VERI_TABANI!D23*B798*(VERI_TABANI!$B$13-VERI_TABANI!$B$14)) + (VERI_TABANI!D23*C798*(VERI_TABANI!$B$13-VERI_TABANI!$B$15)) + IF(ISNUMBER(SEARCH("Var", D798)), VERI_TABANI!F23*(0.00202-VERI_TABANI!$B$16), IF(ISNUMBER(SEARCH("Gri", D798)), VERI_TABANI!F23*(0.00202-VERI_TABANI!$B$17), 0))) + ((VERI_TABANI!D24*B798*(VERI_TABANI!$B$13-VERI_TABANI!$B$14)) + (VERI_TABANI!D24*C798*(VERI_TABANI!$B$13-VERI_TABANI!$B$15)) + IF(ISNUMBER(SEARCH("Var", D798)), VERI_TABANI!F24*(0.00202-VERI_TABANI!$B$16), IF(ISNUMBER(SEARCH("Gri", D798)), VERI_TABANI!F24*(0.00202-VERI_TABANI!$B$17), 0))) + ((VERI_TABANI!D25*B798*(VERI_TABANI!$B$13-VERI_TABANI!$B$14)) + (VERI_TABANI!D25*C798*(VERI_TABANI!$B$13-VERI_TABANI!$B$15)) + IF(ISNUMBER(SEARCH("Var", D798)), VERI_TABANI!F25*(0.00202-VERI_TABANI!$B$16), IF(ISNUMBER(SEARCH("Gri", D798)), VERI_TABANI!F25*(0.00202-VERI_TABANI!$B$17), 0))) + ((VERI_TABANI!D26*B798*(VERI_TABANI!$B$13-VERI_TABANI!$B$14)) + (VERI_TABANI!D26*C798*(VERI_TABANI!$B$13-VERI_TABANI!$B$15)) + IF(ISNUMBER(SEARCH("Var", D798)), VERI_TABANI!F26*(0.00202-VERI_TABANI!$B$16), IF(ISNUMBER(SEARCH("Gri", D798)), VERI_TABANI!F26*(0.00202-VERI_TABANI!$B$17), 0))) + ((VERI_TABANI!D27*B798*(VERI_TABANI!$B$13-VERI_TABANI!$B$14)) + (VERI_TABANI!D27*C798*(VERI_TABANI!$B$13-VERI_TABANI!$B$15)) + IF(ISNUMBER(SEARCH("Var", D798)), VERI_TABANI!F27*(0.00202-VERI_TABANI!$B$16), IF(ISNUMBER(SEARCH("Gri", D798)), VERI_TABANI!F27*(0.00202-VERI_TABANI!$B$17), 0))) + ((VERI_TABANI!D28*B798*(VERI_TABANI!$B$13-VERI_TABANI!$B$14)) + (VERI_TABANI!D28*C798*(VERI_TABANI!$B$13-VERI_TABANI!$B$15)) + IF(ISNUMBER(SEARCH("Var", D798)), VERI_TABANI!F28*(0.00202-VERI_TABANI!$B$16), IF(ISNUMBER(SEARCH("Gri", D798)), VERI_TABANI!F28*(0.00202-VERI_TABANI!$B$17), 0))))</f>
        <v/>
      </c>
      <c r="I798" s="170">
        <f>IFERROR(((VERI_TABANI!$D$29*B798*VERI_TABANI!$B$14 + VERI_TABANI!$D$29*C798*VERI_TABANI!$B$15 + IF(ISNUMBER(SEARCH("Var", D798)), VERI_TABANI!$F$29*VERI_TABANI!$B$16, 0))) / (((VERI_TABANI!$D$29*B798 + VERI_TABANI!$D$29*C798)*VERI_TABANI!$B$13 + IF(ISNUMBER(SEARCH("Var", D798)), VERI_TABANI!$E$29*(1-0.928)*VERI_TABANI!$B$18, 0))), 0)</f>
        <v/>
      </c>
      <c r="J798" s="171">
        <f>IFERROR(F798/(G798/29), 0)</f>
        <v/>
      </c>
      <c r="K798" s="172">
        <f>IF(F798&gt;0, H798/F798, 0)</f>
        <v/>
      </c>
      <c r="L798" s="170">
        <f>IF(F798&gt;0, I798, 1000000000)</f>
        <v/>
      </c>
      <c r="M798" s="171">
        <f>ABS((B798+C798)-1)</f>
        <v/>
      </c>
      <c r="N798" s="170">
        <f>IF(F798&gt;0, (G798/29)/F798, 0)</f>
        <v/>
      </c>
      <c r="O798" s="168">
        <f>IF(AND((B798+C798)&gt;=1, ISNUMBER(SEARCH("Var", D798))), F798, 1000000000)</f>
        <v/>
      </c>
      <c r="P798" s="172">
        <f>IF(F798&gt;0, SQRT((F798/MAX(F$5:F$886))^2 + (1 - H798/MAX(H$5:H$886))^2 + (J798/MAX(J$5:J$886))^2), 1000000000)</f>
        <v/>
      </c>
      <c r="Q798" s="166">
        <f>IF(AND(ABS(B798-0.5)&lt;0.01, ABS(C798-0.5)&lt;0.01, ISNUMBER(SEARCH("Var", D798))), 1, 0)</f>
        <v/>
      </c>
      <c r="R798" s="171">
        <f>IF(F798&gt;0, J798, 1000000000)</f>
        <v/>
      </c>
      <c r="S798" s="101">
        <f>IF(AND(F798&lt;=DASHBOARD!$B$11, H798&gt;=DASHBOARD!$B$13), G798, -1000000000000)</f>
        <v/>
      </c>
      <c r="T798" s="101">
        <f>IF(AND(F798&lt;=DASHBOARD!$B$11, H798&gt;=DASHBOARD!$B$13), R798, 1000000000000)</f>
        <v/>
      </c>
      <c r="U798" s="101">
        <f>IF(AND(F798&lt;=DASHBOARD!$B$11, H798&gt;=DASHBOARD!$B$13), N798, -1000000000000)</f>
        <v/>
      </c>
      <c r="V798" s="101">
        <f>IF(AND(F798&lt;=DASHBOARD!$B$11, H798&gt;=DASHBOARD!$B$13), H798, -1000000000000)</f>
        <v/>
      </c>
      <c r="W798" s="101">
        <f>IF(AND(F798&lt;=DASHBOARD!$B$11, H798&gt;=DASHBOARD!$B$13), K798, -1000000000000)</f>
        <v/>
      </c>
      <c r="X798" s="101">
        <f>IF(AND(F798&lt;=DASHBOARD!$B$11, H798&gt;=DASHBOARD!$B$13), M798, 1000000000000)</f>
        <v/>
      </c>
      <c r="Y798" s="101">
        <f>IF(AND(F798&lt;=DASHBOARD!$B$10, H798&gt;=DASHBOARD!$B$11), L798, 1000000000000)</f>
        <v/>
      </c>
      <c r="Z798" s="101">
        <f>IF(AND(F798&lt;=DASHBOARD!$B$10, H798&gt;=DASHBOARD!$B$11), O798, 1000000000000)</f>
        <v/>
      </c>
      <c r="AA798" s="101">
        <f>IF(AND(F798&lt;=DASHBOARD!$B$10, H798&gt;=DASHBOARD!$B$11), P798, 1000000000000)</f>
        <v/>
      </c>
      <c r="AB798" s="101">
        <f>IF(AND(F798&lt;=DASHBOARD!$B$10, H798&gt;=DASHBOARD!$B$11), Q798, -1000000000000)</f>
        <v/>
      </c>
    </row>
    <row r="799" ht="15" customHeight="1" s="102">
      <c r="A799" s="166" t="n">
        <v>795</v>
      </c>
      <c r="B799" s="167" t="n">
        <v>1.8</v>
      </c>
      <c r="C799" s="167" t="n">
        <v>1.9</v>
      </c>
      <c r="D799" s="110" t="inlineStr">
        <is>
          <t>Yok (%0)</t>
        </is>
      </c>
      <c r="E799" s="110">
        <f>IF((B799+C799)&lt;=1, "Tam Mahsuplaşma (≤%100)", "Kısmi Satış (&gt;%100)")</f>
        <v/>
      </c>
      <c r="F799" s="168">
        <f>((VERI_TABANI!$D$29*B799/VERI_TABANI!$B$29)/VERI_TABANI!$B$3)*VERI_TABANI!$B$5 + ((VERI_TABANI!$D$29*C799/VERI_TABANI!$B$29)/VERI_TABANI!$B$4)*VERI_TABANI!$B$6 + IF(ISNUMBER(SEARCH("Var", D799)), (VERI_TABANI!$F$29/VERI_TABANI!$B$29)*(VERI_TABANI!$B$10+VERI_TABANI!$B$12), 0)</f>
        <v/>
      </c>
      <c r="G799" s="168">
        <f>(((MIN(VERI_TABANI!D23, VERI_TABANI!D23*B799)*VERI_TABANI!$B$7 + MAX(0, VERI_TABANI!D23*B799-VERI_TABANI!D23)*VERI_TABANI!$B$8) + (MIN(MAX(0, VERI_TABANI!D23-VERI_TABANI!D23*B799), VERI_TABANI!D23*C799)*VERI_TABANI!$B$7 + MAX(0, VERI_TABANI!D23*C799-MAX(0, VERI_TABANI!D23-VERI_TABANI!D23*B799))*VERI_TABANI!$B$8) + IF(ABS(IF(ISNUMBER(SEARCH("Var", D799)), 1, IF(ISNUMBER(SEARCH("Gri", D799)), -1, 0)))=1, VERI_TABANI!E23*(1-0.928)*VERI_TABANI!$B$9, 0) + (VERI_TABANI!D23*B799*(VERI_TABANI!$B$13-VERI_TABANI!$B$14)*VERI_TABANI!G23) + (VERI_TABANI!D23*C799*(VERI_TABANI!$B$13-VERI_TABANI!$B$15)*VERI_TABANI!G23) + IF(ABS(IF(ISNUMBER(SEARCH("Var", D799)), 1, IF(ISNUMBER(SEARCH("Gri", D799)), -1, 0)))=1, VERI_TABANI!E23*(1-0.928)*0.00206091519919798*VERI_TABANI!G23, 0)) + ((MIN(VERI_TABANI!D24, VERI_TABANI!D24*B799)*VERI_TABANI!$B$7 + MAX(0, VERI_TABANI!D24*B799-VERI_TABANI!D24)*VERI_TABANI!$B$8) + (MIN(MAX(0, VERI_TABANI!D24-VERI_TABANI!D24*B799), VERI_TABANI!D24*C799)*VERI_TABANI!$B$7 + MAX(0, VERI_TABANI!D24*C799-MAX(0, VERI_TABANI!D24-VERI_TABANI!D24*B799))*VERI_TABANI!$B$8) + IF(ABS(IF(ISNUMBER(SEARCH("Var", D799)), 1, IF(ISNUMBER(SEARCH("Gri", D799)), -1, 0)))=1, VERI_TABANI!E24*(1-0.928)*VERI_TABANI!$B$9, 0) + (VERI_TABANI!D24*B799*(VERI_TABANI!$B$13-VERI_TABANI!$B$14)*VERI_TABANI!G24) + (VERI_TABANI!D24*C799*(VERI_TABANI!$B$13-VERI_TABANI!$B$15)*VERI_TABANI!G24) + IF(ABS(IF(ISNUMBER(SEARCH("Var", D799)), 1, IF(ISNUMBER(SEARCH("Gri", D799)), -1, 0)))=1, VERI_TABANI!E24*(1-0.928)*0.00206091519919798*VERI_TABANI!G24, 0)) + ((MIN(VERI_TABANI!D25, VERI_TABANI!D25*B799)*VERI_TABANI!$B$7 + MAX(0, VERI_TABANI!D25*B799-VERI_TABANI!D25)*VERI_TABANI!$B$8) + (MIN(MAX(0, VERI_TABANI!D25-VERI_TABANI!D25*B799), VERI_TABANI!D25*C799)*VERI_TABANI!$B$7 + MAX(0, VERI_TABANI!D25*C799-MAX(0, VERI_TABANI!D25-VERI_TABANI!D25*B799))*VERI_TABANI!$B$8) + IF(ABS(IF(ISNUMBER(SEARCH("Var", D799)), 1, IF(ISNUMBER(SEARCH("Gri", D799)), -1, 0)))=1, VERI_TABANI!E25*(1-0.928)*VERI_TABANI!$B$9, 0) + (VERI_TABANI!D25*B799*(VERI_TABANI!$B$13-VERI_TABANI!$B$14)*VERI_TABANI!G25) + (VERI_TABANI!D25*C799*(VERI_TABANI!$B$13-VERI_TABANI!$B$15)*VERI_TABANI!G25) + IF(ABS(IF(ISNUMBER(SEARCH("Var", D799)), 1, IF(ISNUMBER(SEARCH("Gri", D799)), -1, 0)))=1, VERI_TABANI!E25*(1-0.928)*0.00206091519919798*VERI_TABANI!G25, 0)) + ((MIN(VERI_TABANI!D26, VERI_TABANI!D26*B799)*VERI_TABANI!$B$7 + MAX(0, VERI_TABANI!D26*B799-VERI_TABANI!D26)*VERI_TABANI!$B$8) + (MIN(MAX(0, VERI_TABANI!D26-VERI_TABANI!D26*B799), VERI_TABANI!D26*C799)*VERI_TABANI!$B$7 + MAX(0, VERI_TABANI!D26*C799-MAX(0, VERI_TABANI!D26-VERI_TABANI!D26*B799))*VERI_TABANI!$B$8) + IF(ABS(IF(ISNUMBER(SEARCH("Var", D799)), 1, IF(ISNUMBER(SEARCH("Gri", D799)), -1, 0)))=1, VERI_TABANI!E26*(1-0.928)*VERI_TABANI!$B$9, 0) + (VERI_TABANI!D26*B799*(VERI_TABANI!$B$13-VERI_TABANI!$B$14)*VERI_TABANI!G26) + (VERI_TABANI!D26*C799*(VERI_TABANI!$B$13-VERI_TABANI!$B$15)*VERI_TABANI!G26) + IF(ABS(IF(ISNUMBER(SEARCH("Var", D799)), 1, IF(ISNUMBER(SEARCH("Gri", D799)), -1, 0)))=1, VERI_TABANI!E26*(1-0.928)*0.00206091519919798*VERI_TABANI!G26, 0)) + ((MIN(VERI_TABANI!D27, VERI_TABANI!D27*B799)*VERI_TABANI!$B$7 + MAX(0, VERI_TABANI!D27*B799-VERI_TABANI!D27)*VERI_TABANI!$B$8) + (MIN(MAX(0, VERI_TABANI!D27-VERI_TABANI!D27*B799), VERI_TABANI!D27*C799)*VERI_TABANI!$B$7 + MAX(0, VERI_TABANI!D27*C799-MAX(0, VERI_TABANI!D27-VERI_TABANI!D27*B799))*VERI_TABANI!$B$8) + IF(ABS(IF(ISNUMBER(SEARCH("Var", D799)), 1, IF(ISNUMBER(SEARCH("Gri", D799)), -1, 0)))=1, VERI_TABANI!E27*(1-0.928)*VERI_TABANI!$B$9, 0) + (VERI_TABANI!D27*B799*(VERI_TABANI!$B$13-VERI_TABANI!$B$14)*VERI_TABANI!G27) + (VERI_TABANI!D27*C799*(VERI_TABANI!$B$13-VERI_TABANI!$B$15)*VERI_TABANI!G27) + IF(ABS(IF(ISNUMBER(SEARCH("Var", D799)), 1, IF(ISNUMBER(SEARCH("Gri", D799)), -1, 0)))=1, VERI_TABANI!E27*(1-0.928)*0.00206091519919798*VERI_TABANI!G27, 0)) + ((MIN(VERI_TABANI!D28, VERI_TABANI!D28*B799)*VERI_TABANI!$B$7 + MAX(0, VERI_TABANI!D28*B799-VERI_TABANI!D28)*VERI_TABANI!$B$8) + (MIN(MAX(0, VERI_TABANI!D28-VERI_TABANI!D28*B799), VERI_TABANI!D28*C799)*VERI_TABANI!$B$7 + MAX(0, VERI_TABANI!D28*C799-MAX(0, VERI_TABANI!D28-VERI_TABANI!D28*B799))*VERI_TABANI!$B$8) + IF(ABS(IF(ISNUMBER(SEARCH("Var", D799)), 1, IF(ISNUMBER(SEARCH("Gri", D799)), -1, 0)))=1, VERI_TABANI!E28*(1-0.928)*VERI_TABANI!$B$9, 0) + (VERI_TABANI!D28*B799*(VERI_TABANI!$B$13-VERI_TABANI!$B$14)*VERI_TABANI!G28) + (VERI_TABANI!D28*C799*(VERI_TABANI!$B$13-VERI_TABANI!$B$15)*VERI_TABANI!G28) + IF(ABS(IF(ISNUMBER(SEARCH("Var", D799)), 1, IF(ISNUMBER(SEARCH("Gri", D799)), -1, 0)))=1, VERI_TABANI!E28*(1-0.928)*0.00206091519919798*VERI_TABANI!G28, 0)))</f>
        <v/>
      </c>
      <c r="H799" s="169">
        <f>(((VERI_TABANI!D23*B799*(VERI_TABANI!$B$13-VERI_TABANI!$B$14)) + (VERI_TABANI!D23*C799*(VERI_TABANI!$B$13-VERI_TABANI!$B$15)) + IF(ISNUMBER(SEARCH("Var", D799)), VERI_TABANI!F23*(0.00202-VERI_TABANI!$B$16), IF(ISNUMBER(SEARCH("Gri", D799)), VERI_TABANI!F23*(0.00202-VERI_TABANI!$B$17), 0))) + ((VERI_TABANI!D24*B799*(VERI_TABANI!$B$13-VERI_TABANI!$B$14)) + (VERI_TABANI!D24*C799*(VERI_TABANI!$B$13-VERI_TABANI!$B$15)) + IF(ISNUMBER(SEARCH("Var", D799)), VERI_TABANI!F24*(0.00202-VERI_TABANI!$B$16), IF(ISNUMBER(SEARCH("Gri", D799)), VERI_TABANI!F24*(0.00202-VERI_TABANI!$B$17), 0))) + ((VERI_TABANI!D25*B799*(VERI_TABANI!$B$13-VERI_TABANI!$B$14)) + (VERI_TABANI!D25*C799*(VERI_TABANI!$B$13-VERI_TABANI!$B$15)) + IF(ISNUMBER(SEARCH("Var", D799)), VERI_TABANI!F25*(0.00202-VERI_TABANI!$B$16), IF(ISNUMBER(SEARCH("Gri", D799)), VERI_TABANI!F25*(0.00202-VERI_TABANI!$B$17), 0))) + ((VERI_TABANI!D26*B799*(VERI_TABANI!$B$13-VERI_TABANI!$B$14)) + (VERI_TABANI!D26*C799*(VERI_TABANI!$B$13-VERI_TABANI!$B$15)) + IF(ISNUMBER(SEARCH("Var", D799)), VERI_TABANI!F26*(0.00202-VERI_TABANI!$B$16), IF(ISNUMBER(SEARCH("Gri", D799)), VERI_TABANI!F26*(0.00202-VERI_TABANI!$B$17), 0))) + ((VERI_TABANI!D27*B799*(VERI_TABANI!$B$13-VERI_TABANI!$B$14)) + (VERI_TABANI!D27*C799*(VERI_TABANI!$B$13-VERI_TABANI!$B$15)) + IF(ISNUMBER(SEARCH("Var", D799)), VERI_TABANI!F27*(0.00202-VERI_TABANI!$B$16), IF(ISNUMBER(SEARCH("Gri", D799)), VERI_TABANI!F27*(0.00202-VERI_TABANI!$B$17), 0))) + ((VERI_TABANI!D28*B799*(VERI_TABANI!$B$13-VERI_TABANI!$B$14)) + (VERI_TABANI!D28*C799*(VERI_TABANI!$B$13-VERI_TABANI!$B$15)) + IF(ISNUMBER(SEARCH("Var", D799)), VERI_TABANI!F28*(0.00202-VERI_TABANI!$B$16), IF(ISNUMBER(SEARCH("Gri", D799)), VERI_TABANI!F28*(0.00202-VERI_TABANI!$B$17), 0))))</f>
        <v/>
      </c>
      <c r="I799" s="170">
        <f>IFERROR(((VERI_TABANI!$D$29*B799*VERI_TABANI!$B$14 + VERI_TABANI!$D$29*C799*VERI_TABANI!$B$15 + IF(ISNUMBER(SEARCH("Var", D799)), VERI_TABANI!$F$29*VERI_TABANI!$B$16, 0))) / (((VERI_TABANI!$D$29*B799 + VERI_TABANI!$D$29*C799)*VERI_TABANI!$B$13 + IF(ISNUMBER(SEARCH("Var", D799)), VERI_TABANI!$E$29*(1-0.928)*VERI_TABANI!$B$18, 0))), 0)</f>
        <v/>
      </c>
      <c r="J799" s="171">
        <f>IFERROR(F799/(G799/29), 0)</f>
        <v/>
      </c>
      <c r="K799" s="172">
        <f>IF(F799&gt;0, H799/F799, 0)</f>
        <v/>
      </c>
      <c r="L799" s="170">
        <f>IF(F799&gt;0, I799, 1000000000)</f>
        <v/>
      </c>
      <c r="M799" s="171">
        <f>ABS((B799+C799)-1)</f>
        <v/>
      </c>
      <c r="N799" s="170">
        <f>IF(F799&gt;0, (G799/29)/F799, 0)</f>
        <v/>
      </c>
      <c r="O799" s="168">
        <f>IF(AND((B799+C799)&gt;=1, ISNUMBER(SEARCH("Var", D799))), F799, 1000000000)</f>
        <v/>
      </c>
      <c r="P799" s="172">
        <f>IF(F799&gt;0, SQRT((F799/MAX(F$5:F$886))^2 + (1 - H799/MAX(H$5:H$886))^2 + (J799/MAX(J$5:J$886))^2), 1000000000)</f>
        <v/>
      </c>
      <c r="Q799" s="166">
        <f>IF(AND(ABS(B799-0.5)&lt;0.01, ABS(C799-0.5)&lt;0.01, ISNUMBER(SEARCH("Var", D799))), 1, 0)</f>
        <v/>
      </c>
      <c r="R799" s="171">
        <f>IF(F799&gt;0, J799, 1000000000)</f>
        <v/>
      </c>
      <c r="S799" s="101">
        <f>IF(AND(F799&lt;=DASHBOARD!$B$11, H799&gt;=DASHBOARD!$B$13), G799, -1000000000000)</f>
        <v/>
      </c>
      <c r="T799" s="101">
        <f>IF(AND(F799&lt;=DASHBOARD!$B$11, H799&gt;=DASHBOARD!$B$13), R799, 1000000000000)</f>
        <v/>
      </c>
      <c r="U799" s="101">
        <f>IF(AND(F799&lt;=DASHBOARD!$B$11, H799&gt;=DASHBOARD!$B$13), N799, -1000000000000)</f>
        <v/>
      </c>
      <c r="V799" s="101">
        <f>IF(AND(F799&lt;=DASHBOARD!$B$11, H799&gt;=DASHBOARD!$B$13), H799, -1000000000000)</f>
        <v/>
      </c>
      <c r="W799" s="101">
        <f>IF(AND(F799&lt;=DASHBOARD!$B$11, H799&gt;=DASHBOARD!$B$13), K799, -1000000000000)</f>
        <v/>
      </c>
      <c r="X799" s="101">
        <f>IF(AND(F799&lt;=DASHBOARD!$B$11, H799&gt;=DASHBOARD!$B$13), M799, 1000000000000)</f>
        <v/>
      </c>
      <c r="Y799" s="101">
        <f>IF(AND(F799&lt;=DASHBOARD!$B$10, H799&gt;=DASHBOARD!$B$11), L799, 1000000000000)</f>
        <v/>
      </c>
      <c r="Z799" s="101">
        <f>IF(AND(F799&lt;=DASHBOARD!$B$10, H799&gt;=DASHBOARD!$B$11), O799, 1000000000000)</f>
        <v/>
      </c>
      <c r="AA799" s="101">
        <f>IF(AND(F799&lt;=DASHBOARD!$B$10, H799&gt;=DASHBOARD!$B$11), P799, 1000000000000)</f>
        <v/>
      </c>
      <c r="AB799" s="101">
        <f>IF(AND(F799&lt;=DASHBOARD!$B$10, H799&gt;=DASHBOARD!$B$11), Q799, -1000000000000)</f>
        <v/>
      </c>
    </row>
    <row r="800" ht="15" customHeight="1" s="102">
      <c r="A800" s="166" t="n">
        <v>796</v>
      </c>
      <c r="B800" s="167" t="n">
        <v>1.8</v>
      </c>
      <c r="C800" s="167" t="n">
        <v>1.9</v>
      </c>
      <c r="D800" s="110" t="inlineStr">
        <is>
          <t>Var (%20)</t>
        </is>
      </c>
      <c r="E800" s="110">
        <f>IF((B800+C800)&lt;=1, "Tam Mahsuplaşma (≤%100)", "Kısmi Satış (&gt;%100)")</f>
        <v/>
      </c>
      <c r="F800" s="168">
        <f>((VERI_TABANI!$D$29*B800/VERI_TABANI!$B$29)/VERI_TABANI!$B$3)*VERI_TABANI!$B$5 + ((VERI_TABANI!$D$29*C800/VERI_TABANI!$B$29)/VERI_TABANI!$B$4)*VERI_TABANI!$B$6 + IF(ISNUMBER(SEARCH("Var", D800)), (VERI_TABANI!$F$29/VERI_TABANI!$B$29)*(VERI_TABANI!$B$10+VERI_TABANI!$B$12), 0)</f>
        <v/>
      </c>
      <c r="G800" s="168">
        <f>(((MIN(VERI_TABANI!D23, VERI_TABANI!D23*B800)*VERI_TABANI!$B$7 + MAX(0, VERI_TABANI!D23*B800-VERI_TABANI!D23)*VERI_TABANI!$B$8) + (MIN(MAX(0, VERI_TABANI!D23-VERI_TABANI!D23*B800), VERI_TABANI!D23*C800)*VERI_TABANI!$B$7 + MAX(0, VERI_TABANI!D23*C800-MAX(0, VERI_TABANI!D23-VERI_TABANI!D23*B800))*VERI_TABANI!$B$8) + IF(ABS(IF(ISNUMBER(SEARCH("Var", D800)), 1, IF(ISNUMBER(SEARCH("Gri", D800)), -1, 0)))=1, VERI_TABANI!E23*(1-0.928)*VERI_TABANI!$B$9, 0) + (VERI_TABANI!D23*B800*(VERI_TABANI!$B$13-VERI_TABANI!$B$14)*VERI_TABANI!G23) + (VERI_TABANI!D23*C800*(VERI_TABANI!$B$13-VERI_TABANI!$B$15)*VERI_TABANI!G23) + IF(ABS(IF(ISNUMBER(SEARCH("Var", D800)), 1, IF(ISNUMBER(SEARCH("Gri", D800)), -1, 0)))=1, VERI_TABANI!E23*(1-0.928)*0.00206091519919798*VERI_TABANI!G23, 0)) + ((MIN(VERI_TABANI!D24, VERI_TABANI!D24*B800)*VERI_TABANI!$B$7 + MAX(0, VERI_TABANI!D24*B800-VERI_TABANI!D24)*VERI_TABANI!$B$8) + (MIN(MAX(0, VERI_TABANI!D24-VERI_TABANI!D24*B800), VERI_TABANI!D24*C800)*VERI_TABANI!$B$7 + MAX(0, VERI_TABANI!D24*C800-MAX(0, VERI_TABANI!D24-VERI_TABANI!D24*B800))*VERI_TABANI!$B$8) + IF(ABS(IF(ISNUMBER(SEARCH("Var", D800)), 1, IF(ISNUMBER(SEARCH("Gri", D800)), -1, 0)))=1, VERI_TABANI!E24*(1-0.928)*VERI_TABANI!$B$9, 0) + (VERI_TABANI!D24*B800*(VERI_TABANI!$B$13-VERI_TABANI!$B$14)*VERI_TABANI!G24) + (VERI_TABANI!D24*C800*(VERI_TABANI!$B$13-VERI_TABANI!$B$15)*VERI_TABANI!G24) + IF(ABS(IF(ISNUMBER(SEARCH("Var", D800)), 1, IF(ISNUMBER(SEARCH("Gri", D800)), -1, 0)))=1, VERI_TABANI!E24*(1-0.928)*0.00206091519919798*VERI_TABANI!G24, 0)) + ((MIN(VERI_TABANI!D25, VERI_TABANI!D25*B800)*VERI_TABANI!$B$7 + MAX(0, VERI_TABANI!D25*B800-VERI_TABANI!D25)*VERI_TABANI!$B$8) + (MIN(MAX(0, VERI_TABANI!D25-VERI_TABANI!D25*B800), VERI_TABANI!D25*C800)*VERI_TABANI!$B$7 + MAX(0, VERI_TABANI!D25*C800-MAX(0, VERI_TABANI!D25-VERI_TABANI!D25*B800))*VERI_TABANI!$B$8) + IF(ABS(IF(ISNUMBER(SEARCH("Var", D800)), 1, IF(ISNUMBER(SEARCH("Gri", D800)), -1, 0)))=1, VERI_TABANI!E25*(1-0.928)*VERI_TABANI!$B$9, 0) + (VERI_TABANI!D25*B800*(VERI_TABANI!$B$13-VERI_TABANI!$B$14)*VERI_TABANI!G25) + (VERI_TABANI!D25*C800*(VERI_TABANI!$B$13-VERI_TABANI!$B$15)*VERI_TABANI!G25) + IF(ABS(IF(ISNUMBER(SEARCH("Var", D800)), 1, IF(ISNUMBER(SEARCH("Gri", D800)), -1, 0)))=1, VERI_TABANI!E25*(1-0.928)*0.00206091519919798*VERI_TABANI!G25, 0)) + ((MIN(VERI_TABANI!D26, VERI_TABANI!D26*B800)*VERI_TABANI!$B$7 + MAX(0, VERI_TABANI!D26*B800-VERI_TABANI!D26)*VERI_TABANI!$B$8) + (MIN(MAX(0, VERI_TABANI!D26-VERI_TABANI!D26*B800), VERI_TABANI!D26*C800)*VERI_TABANI!$B$7 + MAX(0, VERI_TABANI!D26*C800-MAX(0, VERI_TABANI!D26-VERI_TABANI!D26*B800))*VERI_TABANI!$B$8) + IF(ABS(IF(ISNUMBER(SEARCH("Var", D800)), 1, IF(ISNUMBER(SEARCH("Gri", D800)), -1, 0)))=1, VERI_TABANI!E26*(1-0.928)*VERI_TABANI!$B$9, 0) + (VERI_TABANI!D26*B800*(VERI_TABANI!$B$13-VERI_TABANI!$B$14)*VERI_TABANI!G26) + (VERI_TABANI!D26*C800*(VERI_TABANI!$B$13-VERI_TABANI!$B$15)*VERI_TABANI!G26) + IF(ABS(IF(ISNUMBER(SEARCH("Var", D800)), 1, IF(ISNUMBER(SEARCH("Gri", D800)), -1, 0)))=1, VERI_TABANI!E26*(1-0.928)*0.00206091519919798*VERI_TABANI!G26, 0)) + ((MIN(VERI_TABANI!D27, VERI_TABANI!D27*B800)*VERI_TABANI!$B$7 + MAX(0, VERI_TABANI!D27*B800-VERI_TABANI!D27)*VERI_TABANI!$B$8) + (MIN(MAX(0, VERI_TABANI!D27-VERI_TABANI!D27*B800), VERI_TABANI!D27*C800)*VERI_TABANI!$B$7 + MAX(0, VERI_TABANI!D27*C800-MAX(0, VERI_TABANI!D27-VERI_TABANI!D27*B800))*VERI_TABANI!$B$8) + IF(ABS(IF(ISNUMBER(SEARCH("Var", D800)), 1, IF(ISNUMBER(SEARCH("Gri", D800)), -1, 0)))=1, VERI_TABANI!E27*(1-0.928)*VERI_TABANI!$B$9, 0) + (VERI_TABANI!D27*B800*(VERI_TABANI!$B$13-VERI_TABANI!$B$14)*VERI_TABANI!G27) + (VERI_TABANI!D27*C800*(VERI_TABANI!$B$13-VERI_TABANI!$B$15)*VERI_TABANI!G27) + IF(ABS(IF(ISNUMBER(SEARCH("Var", D800)), 1, IF(ISNUMBER(SEARCH("Gri", D800)), -1, 0)))=1, VERI_TABANI!E27*(1-0.928)*0.00206091519919798*VERI_TABANI!G27, 0)) + ((MIN(VERI_TABANI!D28, VERI_TABANI!D28*B800)*VERI_TABANI!$B$7 + MAX(0, VERI_TABANI!D28*B800-VERI_TABANI!D28)*VERI_TABANI!$B$8) + (MIN(MAX(0, VERI_TABANI!D28-VERI_TABANI!D28*B800), VERI_TABANI!D28*C800)*VERI_TABANI!$B$7 + MAX(0, VERI_TABANI!D28*C800-MAX(0, VERI_TABANI!D28-VERI_TABANI!D28*B800))*VERI_TABANI!$B$8) + IF(ABS(IF(ISNUMBER(SEARCH("Var", D800)), 1, IF(ISNUMBER(SEARCH("Gri", D800)), -1, 0)))=1, VERI_TABANI!E28*(1-0.928)*VERI_TABANI!$B$9, 0) + (VERI_TABANI!D28*B800*(VERI_TABANI!$B$13-VERI_TABANI!$B$14)*VERI_TABANI!G28) + (VERI_TABANI!D28*C800*(VERI_TABANI!$B$13-VERI_TABANI!$B$15)*VERI_TABANI!G28) + IF(ABS(IF(ISNUMBER(SEARCH("Var", D800)), 1, IF(ISNUMBER(SEARCH("Gri", D800)), -1, 0)))=1, VERI_TABANI!E28*(1-0.928)*0.00206091519919798*VERI_TABANI!G28, 0)))</f>
        <v/>
      </c>
      <c r="H800" s="169">
        <f>(((VERI_TABANI!D23*B800*(VERI_TABANI!$B$13-VERI_TABANI!$B$14)) + (VERI_TABANI!D23*C800*(VERI_TABANI!$B$13-VERI_TABANI!$B$15)) + IF(ISNUMBER(SEARCH("Var", D800)), VERI_TABANI!F23*(0.00202-VERI_TABANI!$B$16), IF(ISNUMBER(SEARCH("Gri", D800)), VERI_TABANI!F23*(0.00202-VERI_TABANI!$B$17), 0))) + ((VERI_TABANI!D24*B800*(VERI_TABANI!$B$13-VERI_TABANI!$B$14)) + (VERI_TABANI!D24*C800*(VERI_TABANI!$B$13-VERI_TABANI!$B$15)) + IF(ISNUMBER(SEARCH("Var", D800)), VERI_TABANI!F24*(0.00202-VERI_TABANI!$B$16), IF(ISNUMBER(SEARCH("Gri", D800)), VERI_TABANI!F24*(0.00202-VERI_TABANI!$B$17), 0))) + ((VERI_TABANI!D25*B800*(VERI_TABANI!$B$13-VERI_TABANI!$B$14)) + (VERI_TABANI!D25*C800*(VERI_TABANI!$B$13-VERI_TABANI!$B$15)) + IF(ISNUMBER(SEARCH("Var", D800)), VERI_TABANI!F25*(0.00202-VERI_TABANI!$B$16), IF(ISNUMBER(SEARCH("Gri", D800)), VERI_TABANI!F25*(0.00202-VERI_TABANI!$B$17), 0))) + ((VERI_TABANI!D26*B800*(VERI_TABANI!$B$13-VERI_TABANI!$B$14)) + (VERI_TABANI!D26*C800*(VERI_TABANI!$B$13-VERI_TABANI!$B$15)) + IF(ISNUMBER(SEARCH("Var", D800)), VERI_TABANI!F26*(0.00202-VERI_TABANI!$B$16), IF(ISNUMBER(SEARCH("Gri", D800)), VERI_TABANI!F26*(0.00202-VERI_TABANI!$B$17), 0))) + ((VERI_TABANI!D27*B800*(VERI_TABANI!$B$13-VERI_TABANI!$B$14)) + (VERI_TABANI!D27*C800*(VERI_TABANI!$B$13-VERI_TABANI!$B$15)) + IF(ISNUMBER(SEARCH("Var", D800)), VERI_TABANI!F27*(0.00202-VERI_TABANI!$B$16), IF(ISNUMBER(SEARCH("Gri", D800)), VERI_TABANI!F27*(0.00202-VERI_TABANI!$B$17), 0))) + ((VERI_TABANI!D28*B800*(VERI_TABANI!$B$13-VERI_TABANI!$B$14)) + (VERI_TABANI!D28*C800*(VERI_TABANI!$B$13-VERI_TABANI!$B$15)) + IF(ISNUMBER(SEARCH("Var", D800)), VERI_TABANI!F28*(0.00202-VERI_TABANI!$B$16), IF(ISNUMBER(SEARCH("Gri", D800)), VERI_TABANI!F28*(0.00202-VERI_TABANI!$B$17), 0))))</f>
        <v/>
      </c>
      <c r="I800" s="170">
        <f>IFERROR(((VERI_TABANI!$D$29*B800*VERI_TABANI!$B$14 + VERI_TABANI!$D$29*C800*VERI_TABANI!$B$15 + IF(ISNUMBER(SEARCH("Var", D800)), VERI_TABANI!$F$29*VERI_TABANI!$B$16, 0))) / (((VERI_TABANI!$D$29*B800 + VERI_TABANI!$D$29*C800)*VERI_TABANI!$B$13 + IF(ISNUMBER(SEARCH("Var", D800)), VERI_TABANI!$E$29*(1-0.928)*VERI_TABANI!$B$18, 0))), 0)</f>
        <v/>
      </c>
      <c r="J800" s="171">
        <f>IFERROR(F800/(G800/29), 0)</f>
        <v/>
      </c>
      <c r="K800" s="172">
        <f>IF(F800&gt;0, H800/F800, 0)</f>
        <v/>
      </c>
      <c r="L800" s="170">
        <f>IF(F800&gt;0, I800, 1000000000)</f>
        <v/>
      </c>
      <c r="M800" s="171">
        <f>ABS((B800+C800)-1)</f>
        <v/>
      </c>
      <c r="N800" s="170">
        <f>IF(F800&gt;0, (G800/29)/F800, 0)</f>
        <v/>
      </c>
      <c r="O800" s="168">
        <f>IF(AND((B800+C800)&gt;=1, ISNUMBER(SEARCH("Var", D800))), F800, 1000000000)</f>
        <v/>
      </c>
      <c r="P800" s="172">
        <f>IF(F800&gt;0, SQRT((F800/MAX(F$5:F$886))^2 + (1 - H800/MAX(H$5:H$886))^2 + (J800/MAX(J$5:J$886))^2), 1000000000)</f>
        <v/>
      </c>
      <c r="Q800" s="166">
        <f>IF(AND(ABS(B800-0.5)&lt;0.01, ABS(C800-0.5)&lt;0.01, ISNUMBER(SEARCH("Var", D800))), 1, 0)</f>
        <v/>
      </c>
      <c r="R800" s="171">
        <f>IF(F800&gt;0, J800, 1000000000)</f>
        <v/>
      </c>
      <c r="S800" s="101">
        <f>IF(AND(F800&lt;=DASHBOARD!$B$11, H800&gt;=DASHBOARD!$B$13), G800, -1000000000000)</f>
        <v/>
      </c>
      <c r="T800" s="101">
        <f>IF(AND(F800&lt;=DASHBOARD!$B$11, H800&gt;=DASHBOARD!$B$13), R800, 1000000000000)</f>
        <v/>
      </c>
      <c r="U800" s="101">
        <f>IF(AND(F800&lt;=DASHBOARD!$B$11, H800&gt;=DASHBOARD!$B$13), N800, -1000000000000)</f>
        <v/>
      </c>
      <c r="V800" s="101">
        <f>IF(AND(F800&lt;=DASHBOARD!$B$11, H800&gt;=DASHBOARD!$B$13), H800, -1000000000000)</f>
        <v/>
      </c>
      <c r="W800" s="101">
        <f>IF(AND(F800&lt;=DASHBOARD!$B$11, H800&gt;=DASHBOARD!$B$13), K800, -1000000000000)</f>
        <v/>
      </c>
      <c r="X800" s="101">
        <f>IF(AND(F800&lt;=DASHBOARD!$B$11, H800&gt;=DASHBOARD!$B$13), M800, 1000000000000)</f>
        <v/>
      </c>
      <c r="Y800" s="101">
        <f>IF(AND(F800&lt;=DASHBOARD!$B$10, H800&gt;=DASHBOARD!$B$11), L800, 1000000000000)</f>
        <v/>
      </c>
      <c r="Z800" s="101">
        <f>IF(AND(F800&lt;=DASHBOARD!$B$10, H800&gt;=DASHBOARD!$B$11), O800, 1000000000000)</f>
        <v/>
      </c>
      <c r="AA800" s="101">
        <f>IF(AND(F800&lt;=DASHBOARD!$B$10, H800&gt;=DASHBOARD!$B$11), P800, 1000000000000)</f>
        <v/>
      </c>
      <c r="AB800" s="101">
        <f>IF(AND(F800&lt;=DASHBOARD!$B$10, H800&gt;=DASHBOARD!$B$11), Q800, -1000000000000)</f>
        <v/>
      </c>
    </row>
    <row r="801" ht="15" customHeight="1" s="102">
      <c r="A801" s="166" t="n">
        <v>797</v>
      </c>
      <c r="B801" s="167" t="n">
        <v>1.8</v>
      </c>
      <c r="C801" s="167" t="n">
        <v>2</v>
      </c>
      <c r="D801" s="110" t="inlineStr">
        <is>
          <t>Yok (%0)</t>
        </is>
      </c>
      <c r="E801" s="110">
        <f>IF((B801+C801)&lt;=1, "Tam Mahsuplaşma (≤%100)", "Kısmi Satış (&gt;%100)")</f>
        <v/>
      </c>
      <c r="F801" s="168">
        <f>((VERI_TABANI!$D$29*B801/VERI_TABANI!$B$29)/VERI_TABANI!$B$3)*VERI_TABANI!$B$5 + ((VERI_TABANI!$D$29*C801/VERI_TABANI!$B$29)/VERI_TABANI!$B$4)*VERI_TABANI!$B$6 + IF(ISNUMBER(SEARCH("Var", D801)), (VERI_TABANI!$F$29/VERI_TABANI!$B$29)*(VERI_TABANI!$B$10+VERI_TABANI!$B$12), 0)</f>
        <v/>
      </c>
      <c r="G801" s="168">
        <f>(((MIN(VERI_TABANI!D23, VERI_TABANI!D23*B801)*VERI_TABANI!$B$7 + MAX(0, VERI_TABANI!D23*B801-VERI_TABANI!D23)*VERI_TABANI!$B$8) + (MIN(MAX(0, VERI_TABANI!D23-VERI_TABANI!D23*B801), VERI_TABANI!D23*C801)*VERI_TABANI!$B$7 + MAX(0, VERI_TABANI!D23*C801-MAX(0, VERI_TABANI!D23-VERI_TABANI!D23*B801))*VERI_TABANI!$B$8) + IF(ABS(IF(ISNUMBER(SEARCH("Var", D801)), 1, IF(ISNUMBER(SEARCH("Gri", D801)), -1, 0)))=1, VERI_TABANI!E23*(1-0.928)*VERI_TABANI!$B$9, 0) + (VERI_TABANI!D23*B801*(VERI_TABANI!$B$13-VERI_TABANI!$B$14)*VERI_TABANI!G23) + (VERI_TABANI!D23*C801*(VERI_TABANI!$B$13-VERI_TABANI!$B$15)*VERI_TABANI!G23) + IF(ABS(IF(ISNUMBER(SEARCH("Var", D801)), 1, IF(ISNUMBER(SEARCH("Gri", D801)), -1, 0)))=1, VERI_TABANI!E23*(1-0.928)*0.00206091519919798*VERI_TABANI!G23, 0)) + ((MIN(VERI_TABANI!D24, VERI_TABANI!D24*B801)*VERI_TABANI!$B$7 + MAX(0, VERI_TABANI!D24*B801-VERI_TABANI!D24)*VERI_TABANI!$B$8) + (MIN(MAX(0, VERI_TABANI!D24-VERI_TABANI!D24*B801), VERI_TABANI!D24*C801)*VERI_TABANI!$B$7 + MAX(0, VERI_TABANI!D24*C801-MAX(0, VERI_TABANI!D24-VERI_TABANI!D24*B801))*VERI_TABANI!$B$8) + IF(ABS(IF(ISNUMBER(SEARCH("Var", D801)), 1, IF(ISNUMBER(SEARCH("Gri", D801)), -1, 0)))=1, VERI_TABANI!E24*(1-0.928)*VERI_TABANI!$B$9, 0) + (VERI_TABANI!D24*B801*(VERI_TABANI!$B$13-VERI_TABANI!$B$14)*VERI_TABANI!G24) + (VERI_TABANI!D24*C801*(VERI_TABANI!$B$13-VERI_TABANI!$B$15)*VERI_TABANI!G24) + IF(ABS(IF(ISNUMBER(SEARCH("Var", D801)), 1, IF(ISNUMBER(SEARCH("Gri", D801)), -1, 0)))=1, VERI_TABANI!E24*(1-0.928)*0.00206091519919798*VERI_TABANI!G24, 0)) + ((MIN(VERI_TABANI!D25, VERI_TABANI!D25*B801)*VERI_TABANI!$B$7 + MAX(0, VERI_TABANI!D25*B801-VERI_TABANI!D25)*VERI_TABANI!$B$8) + (MIN(MAX(0, VERI_TABANI!D25-VERI_TABANI!D25*B801), VERI_TABANI!D25*C801)*VERI_TABANI!$B$7 + MAX(0, VERI_TABANI!D25*C801-MAX(0, VERI_TABANI!D25-VERI_TABANI!D25*B801))*VERI_TABANI!$B$8) + IF(ABS(IF(ISNUMBER(SEARCH("Var", D801)), 1, IF(ISNUMBER(SEARCH("Gri", D801)), -1, 0)))=1, VERI_TABANI!E25*(1-0.928)*VERI_TABANI!$B$9, 0) + (VERI_TABANI!D25*B801*(VERI_TABANI!$B$13-VERI_TABANI!$B$14)*VERI_TABANI!G25) + (VERI_TABANI!D25*C801*(VERI_TABANI!$B$13-VERI_TABANI!$B$15)*VERI_TABANI!G25) + IF(ABS(IF(ISNUMBER(SEARCH("Var", D801)), 1, IF(ISNUMBER(SEARCH("Gri", D801)), -1, 0)))=1, VERI_TABANI!E25*(1-0.928)*0.00206091519919798*VERI_TABANI!G25, 0)) + ((MIN(VERI_TABANI!D26, VERI_TABANI!D26*B801)*VERI_TABANI!$B$7 + MAX(0, VERI_TABANI!D26*B801-VERI_TABANI!D26)*VERI_TABANI!$B$8) + (MIN(MAX(0, VERI_TABANI!D26-VERI_TABANI!D26*B801), VERI_TABANI!D26*C801)*VERI_TABANI!$B$7 + MAX(0, VERI_TABANI!D26*C801-MAX(0, VERI_TABANI!D26-VERI_TABANI!D26*B801))*VERI_TABANI!$B$8) + IF(ABS(IF(ISNUMBER(SEARCH("Var", D801)), 1, IF(ISNUMBER(SEARCH("Gri", D801)), -1, 0)))=1, VERI_TABANI!E26*(1-0.928)*VERI_TABANI!$B$9, 0) + (VERI_TABANI!D26*B801*(VERI_TABANI!$B$13-VERI_TABANI!$B$14)*VERI_TABANI!G26) + (VERI_TABANI!D26*C801*(VERI_TABANI!$B$13-VERI_TABANI!$B$15)*VERI_TABANI!G26) + IF(ABS(IF(ISNUMBER(SEARCH("Var", D801)), 1, IF(ISNUMBER(SEARCH("Gri", D801)), -1, 0)))=1, VERI_TABANI!E26*(1-0.928)*0.00206091519919798*VERI_TABANI!G26, 0)) + ((MIN(VERI_TABANI!D27, VERI_TABANI!D27*B801)*VERI_TABANI!$B$7 + MAX(0, VERI_TABANI!D27*B801-VERI_TABANI!D27)*VERI_TABANI!$B$8) + (MIN(MAX(0, VERI_TABANI!D27-VERI_TABANI!D27*B801), VERI_TABANI!D27*C801)*VERI_TABANI!$B$7 + MAX(0, VERI_TABANI!D27*C801-MAX(0, VERI_TABANI!D27-VERI_TABANI!D27*B801))*VERI_TABANI!$B$8) + IF(ABS(IF(ISNUMBER(SEARCH("Var", D801)), 1, IF(ISNUMBER(SEARCH("Gri", D801)), -1, 0)))=1, VERI_TABANI!E27*(1-0.928)*VERI_TABANI!$B$9, 0) + (VERI_TABANI!D27*B801*(VERI_TABANI!$B$13-VERI_TABANI!$B$14)*VERI_TABANI!G27) + (VERI_TABANI!D27*C801*(VERI_TABANI!$B$13-VERI_TABANI!$B$15)*VERI_TABANI!G27) + IF(ABS(IF(ISNUMBER(SEARCH("Var", D801)), 1, IF(ISNUMBER(SEARCH("Gri", D801)), -1, 0)))=1, VERI_TABANI!E27*(1-0.928)*0.00206091519919798*VERI_TABANI!G27, 0)) + ((MIN(VERI_TABANI!D28, VERI_TABANI!D28*B801)*VERI_TABANI!$B$7 + MAX(0, VERI_TABANI!D28*B801-VERI_TABANI!D28)*VERI_TABANI!$B$8) + (MIN(MAX(0, VERI_TABANI!D28-VERI_TABANI!D28*B801), VERI_TABANI!D28*C801)*VERI_TABANI!$B$7 + MAX(0, VERI_TABANI!D28*C801-MAX(0, VERI_TABANI!D28-VERI_TABANI!D28*B801))*VERI_TABANI!$B$8) + IF(ABS(IF(ISNUMBER(SEARCH("Var", D801)), 1, IF(ISNUMBER(SEARCH("Gri", D801)), -1, 0)))=1, VERI_TABANI!E28*(1-0.928)*VERI_TABANI!$B$9, 0) + (VERI_TABANI!D28*B801*(VERI_TABANI!$B$13-VERI_TABANI!$B$14)*VERI_TABANI!G28) + (VERI_TABANI!D28*C801*(VERI_TABANI!$B$13-VERI_TABANI!$B$15)*VERI_TABANI!G28) + IF(ABS(IF(ISNUMBER(SEARCH("Var", D801)), 1, IF(ISNUMBER(SEARCH("Gri", D801)), -1, 0)))=1, VERI_TABANI!E28*(1-0.928)*0.00206091519919798*VERI_TABANI!G28, 0)))</f>
        <v/>
      </c>
      <c r="H801" s="169">
        <f>(((VERI_TABANI!D23*B801*(VERI_TABANI!$B$13-VERI_TABANI!$B$14)) + (VERI_TABANI!D23*C801*(VERI_TABANI!$B$13-VERI_TABANI!$B$15)) + IF(ISNUMBER(SEARCH("Var", D801)), VERI_TABANI!F23*(0.00202-VERI_TABANI!$B$16), IF(ISNUMBER(SEARCH("Gri", D801)), VERI_TABANI!F23*(0.00202-VERI_TABANI!$B$17), 0))) + ((VERI_TABANI!D24*B801*(VERI_TABANI!$B$13-VERI_TABANI!$B$14)) + (VERI_TABANI!D24*C801*(VERI_TABANI!$B$13-VERI_TABANI!$B$15)) + IF(ISNUMBER(SEARCH("Var", D801)), VERI_TABANI!F24*(0.00202-VERI_TABANI!$B$16), IF(ISNUMBER(SEARCH("Gri", D801)), VERI_TABANI!F24*(0.00202-VERI_TABANI!$B$17), 0))) + ((VERI_TABANI!D25*B801*(VERI_TABANI!$B$13-VERI_TABANI!$B$14)) + (VERI_TABANI!D25*C801*(VERI_TABANI!$B$13-VERI_TABANI!$B$15)) + IF(ISNUMBER(SEARCH("Var", D801)), VERI_TABANI!F25*(0.00202-VERI_TABANI!$B$16), IF(ISNUMBER(SEARCH("Gri", D801)), VERI_TABANI!F25*(0.00202-VERI_TABANI!$B$17), 0))) + ((VERI_TABANI!D26*B801*(VERI_TABANI!$B$13-VERI_TABANI!$B$14)) + (VERI_TABANI!D26*C801*(VERI_TABANI!$B$13-VERI_TABANI!$B$15)) + IF(ISNUMBER(SEARCH("Var", D801)), VERI_TABANI!F26*(0.00202-VERI_TABANI!$B$16), IF(ISNUMBER(SEARCH("Gri", D801)), VERI_TABANI!F26*(0.00202-VERI_TABANI!$B$17), 0))) + ((VERI_TABANI!D27*B801*(VERI_TABANI!$B$13-VERI_TABANI!$B$14)) + (VERI_TABANI!D27*C801*(VERI_TABANI!$B$13-VERI_TABANI!$B$15)) + IF(ISNUMBER(SEARCH("Var", D801)), VERI_TABANI!F27*(0.00202-VERI_TABANI!$B$16), IF(ISNUMBER(SEARCH("Gri", D801)), VERI_TABANI!F27*(0.00202-VERI_TABANI!$B$17), 0))) + ((VERI_TABANI!D28*B801*(VERI_TABANI!$B$13-VERI_TABANI!$B$14)) + (VERI_TABANI!D28*C801*(VERI_TABANI!$B$13-VERI_TABANI!$B$15)) + IF(ISNUMBER(SEARCH("Var", D801)), VERI_TABANI!F28*(0.00202-VERI_TABANI!$B$16), IF(ISNUMBER(SEARCH("Gri", D801)), VERI_TABANI!F28*(0.00202-VERI_TABANI!$B$17), 0))))</f>
        <v/>
      </c>
      <c r="I801" s="170">
        <f>IFERROR(((VERI_TABANI!$D$29*B801*VERI_TABANI!$B$14 + VERI_TABANI!$D$29*C801*VERI_TABANI!$B$15 + IF(ISNUMBER(SEARCH("Var", D801)), VERI_TABANI!$F$29*VERI_TABANI!$B$16, 0))) / (((VERI_TABANI!$D$29*B801 + VERI_TABANI!$D$29*C801)*VERI_TABANI!$B$13 + IF(ISNUMBER(SEARCH("Var", D801)), VERI_TABANI!$E$29*(1-0.928)*VERI_TABANI!$B$18, 0))), 0)</f>
        <v/>
      </c>
      <c r="J801" s="171">
        <f>IFERROR(F801/(G801/29), 0)</f>
        <v/>
      </c>
      <c r="K801" s="172">
        <f>IF(F801&gt;0, H801/F801, 0)</f>
        <v/>
      </c>
      <c r="L801" s="170">
        <f>IF(F801&gt;0, I801, 1000000000)</f>
        <v/>
      </c>
      <c r="M801" s="171">
        <f>ABS((B801+C801)-1)</f>
        <v/>
      </c>
      <c r="N801" s="170">
        <f>IF(F801&gt;0, (G801/29)/F801, 0)</f>
        <v/>
      </c>
      <c r="O801" s="168">
        <f>IF(AND((B801+C801)&gt;=1, ISNUMBER(SEARCH("Var", D801))), F801, 1000000000)</f>
        <v/>
      </c>
      <c r="P801" s="172">
        <f>IF(F801&gt;0, SQRT((F801/MAX(F$5:F$886))^2 + (1 - H801/MAX(H$5:H$886))^2 + (J801/MAX(J$5:J$886))^2), 1000000000)</f>
        <v/>
      </c>
      <c r="Q801" s="166">
        <f>IF(AND(ABS(B801-0.5)&lt;0.01, ABS(C801-0.5)&lt;0.01, ISNUMBER(SEARCH("Var", D801))), 1, 0)</f>
        <v/>
      </c>
      <c r="R801" s="171">
        <f>IF(F801&gt;0, J801, 1000000000)</f>
        <v/>
      </c>
      <c r="S801" s="101">
        <f>IF(AND(F801&lt;=DASHBOARD!$B$11, H801&gt;=DASHBOARD!$B$13), G801, -1000000000000)</f>
        <v/>
      </c>
      <c r="T801" s="101">
        <f>IF(AND(F801&lt;=DASHBOARD!$B$11, H801&gt;=DASHBOARD!$B$13), R801, 1000000000000)</f>
        <v/>
      </c>
      <c r="U801" s="101">
        <f>IF(AND(F801&lt;=DASHBOARD!$B$11, H801&gt;=DASHBOARD!$B$13), N801, -1000000000000)</f>
        <v/>
      </c>
      <c r="V801" s="101">
        <f>IF(AND(F801&lt;=DASHBOARD!$B$11, H801&gt;=DASHBOARD!$B$13), H801, -1000000000000)</f>
        <v/>
      </c>
      <c r="W801" s="101">
        <f>IF(AND(F801&lt;=DASHBOARD!$B$11, H801&gt;=DASHBOARD!$B$13), K801, -1000000000000)</f>
        <v/>
      </c>
      <c r="X801" s="101">
        <f>IF(AND(F801&lt;=DASHBOARD!$B$11, H801&gt;=DASHBOARD!$B$13), M801, 1000000000000)</f>
        <v/>
      </c>
      <c r="Y801" s="101">
        <f>IF(AND(F801&lt;=DASHBOARD!$B$10, H801&gt;=DASHBOARD!$B$11), L801, 1000000000000)</f>
        <v/>
      </c>
      <c r="Z801" s="101">
        <f>IF(AND(F801&lt;=DASHBOARD!$B$10, H801&gt;=DASHBOARD!$B$11), O801, 1000000000000)</f>
        <v/>
      </c>
      <c r="AA801" s="101">
        <f>IF(AND(F801&lt;=DASHBOARD!$B$10, H801&gt;=DASHBOARD!$B$11), P801, 1000000000000)</f>
        <v/>
      </c>
      <c r="AB801" s="101">
        <f>IF(AND(F801&lt;=DASHBOARD!$B$10, H801&gt;=DASHBOARD!$B$11), Q801, -1000000000000)</f>
        <v/>
      </c>
    </row>
    <row r="802" ht="15" customHeight="1" s="102">
      <c r="A802" s="166" t="n">
        <v>798</v>
      </c>
      <c r="B802" s="167" t="n">
        <v>1.8</v>
      </c>
      <c r="C802" s="167" t="n">
        <v>2</v>
      </c>
      <c r="D802" s="110" t="inlineStr">
        <is>
          <t>Var (%20)</t>
        </is>
      </c>
      <c r="E802" s="110">
        <f>IF((B802+C802)&lt;=1, "Tam Mahsuplaşma (≤%100)", "Kısmi Satış (&gt;%100)")</f>
        <v/>
      </c>
      <c r="F802" s="168">
        <f>((VERI_TABANI!$D$29*B802/VERI_TABANI!$B$29)/VERI_TABANI!$B$3)*VERI_TABANI!$B$5 + ((VERI_TABANI!$D$29*C802/VERI_TABANI!$B$29)/VERI_TABANI!$B$4)*VERI_TABANI!$B$6 + IF(ISNUMBER(SEARCH("Var", D802)), (VERI_TABANI!$F$29/VERI_TABANI!$B$29)*(VERI_TABANI!$B$10+VERI_TABANI!$B$12), 0)</f>
        <v/>
      </c>
      <c r="G802" s="168">
        <f>(((MIN(VERI_TABANI!D23, VERI_TABANI!D23*B802)*VERI_TABANI!$B$7 + MAX(0, VERI_TABANI!D23*B802-VERI_TABANI!D23)*VERI_TABANI!$B$8) + (MIN(MAX(0, VERI_TABANI!D23-VERI_TABANI!D23*B802), VERI_TABANI!D23*C802)*VERI_TABANI!$B$7 + MAX(0, VERI_TABANI!D23*C802-MAX(0, VERI_TABANI!D23-VERI_TABANI!D23*B802))*VERI_TABANI!$B$8) + IF(ABS(IF(ISNUMBER(SEARCH("Var", D802)), 1, IF(ISNUMBER(SEARCH("Gri", D802)), -1, 0)))=1, VERI_TABANI!E23*(1-0.928)*VERI_TABANI!$B$9, 0) + (VERI_TABANI!D23*B802*(VERI_TABANI!$B$13-VERI_TABANI!$B$14)*VERI_TABANI!G23) + (VERI_TABANI!D23*C802*(VERI_TABANI!$B$13-VERI_TABANI!$B$15)*VERI_TABANI!G23) + IF(ABS(IF(ISNUMBER(SEARCH("Var", D802)), 1, IF(ISNUMBER(SEARCH("Gri", D802)), -1, 0)))=1, VERI_TABANI!E23*(1-0.928)*0.00206091519919798*VERI_TABANI!G23, 0)) + ((MIN(VERI_TABANI!D24, VERI_TABANI!D24*B802)*VERI_TABANI!$B$7 + MAX(0, VERI_TABANI!D24*B802-VERI_TABANI!D24)*VERI_TABANI!$B$8) + (MIN(MAX(0, VERI_TABANI!D24-VERI_TABANI!D24*B802), VERI_TABANI!D24*C802)*VERI_TABANI!$B$7 + MAX(0, VERI_TABANI!D24*C802-MAX(0, VERI_TABANI!D24-VERI_TABANI!D24*B802))*VERI_TABANI!$B$8) + IF(ABS(IF(ISNUMBER(SEARCH("Var", D802)), 1, IF(ISNUMBER(SEARCH("Gri", D802)), -1, 0)))=1, VERI_TABANI!E24*(1-0.928)*VERI_TABANI!$B$9, 0) + (VERI_TABANI!D24*B802*(VERI_TABANI!$B$13-VERI_TABANI!$B$14)*VERI_TABANI!G24) + (VERI_TABANI!D24*C802*(VERI_TABANI!$B$13-VERI_TABANI!$B$15)*VERI_TABANI!G24) + IF(ABS(IF(ISNUMBER(SEARCH("Var", D802)), 1, IF(ISNUMBER(SEARCH("Gri", D802)), -1, 0)))=1, VERI_TABANI!E24*(1-0.928)*0.00206091519919798*VERI_TABANI!G24, 0)) + ((MIN(VERI_TABANI!D25, VERI_TABANI!D25*B802)*VERI_TABANI!$B$7 + MAX(0, VERI_TABANI!D25*B802-VERI_TABANI!D25)*VERI_TABANI!$B$8) + (MIN(MAX(0, VERI_TABANI!D25-VERI_TABANI!D25*B802), VERI_TABANI!D25*C802)*VERI_TABANI!$B$7 + MAX(0, VERI_TABANI!D25*C802-MAX(0, VERI_TABANI!D25-VERI_TABANI!D25*B802))*VERI_TABANI!$B$8) + IF(ABS(IF(ISNUMBER(SEARCH("Var", D802)), 1, IF(ISNUMBER(SEARCH("Gri", D802)), -1, 0)))=1, VERI_TABANI!E25*(1-0.928)*VERI_TABANI!$B$9, 0) + (VERI_TABANI!D25*B802*(VERI_TABANI!$B$13-VERI_TABANI!$B$14)*VERI_TABANI!G25) + (VERI_TABANI!D25*C802*(VERI_TABANI!$B$13-VERI_TABANI!$B$15)*VERI_TABANI!G25) + IF(ABS(IF(ISNUMBER(SEARCH("Var", D802)), 1, IF(ISNUMBER(SEARCH("Gri", D802)), -1, 0)))=1, VERI_TABANI!E25*(1-0.928)*0.00206091519919798*VERI_TABANI!G25, 0)) + ((MIN(VERI_TABANI!D26, VERI_TABANI!D26*B802)*VERI_TABANI!$B$7 + MAX(0, VERI_TABANI!D26*B802-VERI_TABANI!D26)*VERI_TABANI!$B$8) + (MIN(MAX(0, VERI_TABANI!D26-VERI_TABANI!D26*B802), VERI_TABANI!D26*C802)*VERI_TABANI!$B$7 + MAX(0, VERI_TABANI!D26*C802-MAX(0, VERI_TABANI!D26-VERI_TABANI!D26*B802))*VERI_TABANI!$B$8) + IF(ABS(IF(ISNUMBER(SEARCH("Var", D802)), 1, IF(ISNUMBER(SEARCH("Gri", D802)), -1, 0)))=1, VERI_TABANI!E26*(1-0.928)*VERI_TABANI!$B$9, 0) + (VERI_TABANI!D26*B802*(VERI_TABANI!$B$13-VERI_TABANI!$B$14)*VERI_TABANI!G26) + (VERI_TABANI!D26*C802*(VERI_TABANI!$B$13-VERI_TABANI!$B$15)*VERI_TABANI!G26) + IF(ABS(IF(ISNUMBER(SEARCH("Var", D802)), 1, IF(ISNUMBER(SEARCH("Gri", D802)), -1, 0)))=1, VERI_TABANI!E26*(1-0.928)*0.00206091519919798*VERI_TABANI!G26, 0)) + ((MIN(VERI_TABANI!D27, VERI_TABANI!D27*B802)*VERI_TABANI!$B$7 + MAX(0, VERI_TABANI!D27*B802-VERI_TABANI!D27)*VERI_TABANI!$B$8) + (MIN(MAX(0, VERI_TABANI!D27-VERI_TABANI!D27*B802), VERI_TABANI!D27*C802)*VERI_TABANI!$B$7 + MAX(0, VERI_TABANI!D27*C802-MAX(0, VERI_TABANI!D27-VERI_TABANI!D27*B802))*VERI_TABANI!$B$8) + IF(ABS(IF(ISNUMBER(SEARCH("Var", D802)), 1, IF(ISNUMBER(SEARCH("Gri", D802)), -1, 0)))=1, VERI_TABANI!E27*(1-0.928)*VERI_TABANI!$B$9, 0) + (VERI_TABANI!D27*B802*(VERI_TABANI!$B$13-VERI_TABANI!$B$14)*VERI_TABANI!G27) + (VERI_TABANI!D27*C802*(VERI_TABANI!$B$13-VERI_TABANI!$B$15)*VERI_TABANI!G27) + IF(ABS(IF(ISNUMBER(SEARCH("Var", D802)), 1, IF(ISNUMBER(SEARCH("Gri", D802)), -1, 0)))=1, VERI_TABANI!E27*(1-0.928)*0.00206091519919798*VERI_TABANI!G27, 0)) + ((MIN(VERI_TABANI!D28, VERI_TABANI!D28*B802)*VERI_TABANI!$B$7 + MAX(0, VERI_TABANI!D28*B802-VERI_TABANI!D28)*VERI_TABANI!$B$8) + (MIN(MAX(0, VERI_TABANI!D28-VERI_TABANI!D28*B802), VERI_TABANI!D28*C802)*VERI_TABANI!$B$7 + MAX(0, VERI_TABANI!D28*C802-MAX(0, VERI_TABANI!D28-VERI_TABANI!D28*B802))*VERI_TABANI!$B$8) + IF(ABS(IF(ISNUMBER(SEARCH("Var", D802)), 1, IF(ISNUMBER(SEARCH("Gri", D802)), -1, 0)))=1, VERI_TABANI!E28*(1-0.928)*VERI_TABANI!$B$9, 0) + (VERI_TABANI!D28*B802*(VERI_TABANI!$B$13-VERI_TABANI!$B$14)*VERI_TABANI!G28) + (VERI_TABANI!D28*C802*(VERI_TABANI!$B$13-VERI_TABANI!$B$15)*VERI_TABANI!G28) + IF(ABS(IF(ISNUMBER(SEARCH("Var", D802)), 1, IF(ISNUMBER(SEARCH("Gri", D802)), -1, 0)))=1, VERI_TABANI!E28*(1-0.928)*0.00206091519919798*VERI_TABANI!G28, 0)))</f>
        <v/>
      </c>
      <c r="H802" s="169">
        <f>(((VERI_TABANI!D23*B802*(VERI_TABANI!$B$13-VERI_TABANI!$B$14)) + (VERI_TABANI!D23*C802*(VERI_TABANI!$B$13-VERI_TABANI!$B$15)) + IF(ISNUMBER(SEARCH("Var", D802)), VERI_TABANI!F23*(0.00202-VERI_TABANI!$B$16), IF(ISNUMBER(SEARCH("Gri", D802)), VERI_TABANI!F23*(0.00202-VERI_TABANI!$B$17), 0))) + ((VERI_TABANI!D24*B802*(VERI_TABANI!$B$13-VERI_TABANI!$B$14)) + (VERI_TABANI!D24*C802*(VERI_TABANI!$B$13-VERI_TABANI!$B$15)) + IF(ISNUMBER(SEARCH("Var", D802)), VERI_TABANI!F24*(0.00202-VERI_TABANI!$B$16), IF(ISNUMBER(SEARCH("Gri", D802)), VERI_TABANI!F24*(0.00202-VERI_TABANI!$B$17), 0))) + ((VERI_TABANI!D25*B802*(VERI_TABANI!$B$13-VERI_TABANI!$B$14)) + (VERI_TABANI!D25*C802*(VERI_TABANI!$B$13-VERI_TABANI!$B$15)) + IF(ISNUMBER(SEARCH("Var", D802)), VERI_TABANI!F25*(0.00202-VERI_TABANI!$B$16), IF(ISNUMBER(SEARCH("Gri", D802)), VERI_TABANI!F25*(0.00202-VERI_TABANI!$B$17), 0))) + ((VERI_TABANI!D26*B802*(VERI_TABANI!$B$13-VERI_TABANI!$B$14)) + (VERI_TABANI!D26*C802*(VERI_TABANI!$B$13-VERI_TABANI!$B$15)) + IF(ISNUMBER(SEARCH("Var", D802)), VERI_TABANI!F26*(0.00202-VERI_TABANI!$B$16), IF(ISNUMBER(SEARCH("Gri", D802)), VERI_TABANI!F26*(0.00202-VERI_TABANI!$B$17), 0))) + ((VERI_TABANI!D27*B802*(VERI_TABANI!$B$13-VERI_TABANI!$B$14)) + (VERI_TABANI!D27*C802*(VERI_TABANI!$B$13-VERI_TABANI!$B$15)) + IF(ISNUMBER(SEARCH("Var", D802)), VERI_TABANI!F27*(0.00202-VERI_TABANI!$B$16), IF(ISNUMBER(SEARCH("Gri", D802)), VERI_TABANI!F27*(0.00202-VERI_TABANI!$B$17), 0))) + ((VERI_TABANI!D28*B802*(VERI_TABANI!$B$13-VERI_TABANI!$B$14)) + (VERI_TABANI!D28*C802*(VERI_TABANI!$B$13-VERI_TABANI!$B$15)) + IF(ISNUMBER(SEARCH("Var", D802)), VERI_TABANI!F28*(0.00202-VERI_TABANI!$B$16), IF(ISNUMBER(SEARCH("Gri", D802)), VERI_TABANI!F28*(0.00202-VERI_TABANI!$B$17), 0))))</f>
        <v/>
      </c>
      <c r="I802" s="170">
        <f>IFERROR(((VERI_TABANI!$D$29*B802*VERI_TABANI!$B$14 + VERI_TABANI!$D$29*C802*VERI_TABANI!$B$15 + IF(ISNUMBER(SEARCH("Var", D802)), VERI_TABANI!$F$29*VERI_TABANI!$B$16, 0))) / (((VERI_TABANI!$D$29*B802 + VERI_TABANI!$D$29*C802)*VERI_TABANI!$B$13 + IF(ISNUMBER(SEARCH("Var", D802)), VERI_TABANI!$E$29*(1-0.928)*VERI_TABANI!$B$18, 0))), 0)</f>
        <v/>
      </c>
      <c r="J802" s="171">
        <f>IFERROR(F802/(G802/29), 0)</f>
        <v/>
      </c>
      <c r="K802" s="172">
        <f>IF(F802&gt;0, H802/F802, 0)</f>
        <v/>
      </c>
      <c r="L802" s="170">
        <f>IF(F802&gt;0, I802, 1000000000)</f>
        <v/>
      </c>
      <c r="M802" s="171">
        <f>ABS((B802+C802)-1)</f>
        <v/>
      </c>
      <c r="N802" s="170">
        <f>IF(F802&gt;0, (G802/29)/F802, 0)</f>
        <v/>
      </c>
      <c r="O802" s="168">
        <f>IF(AND((B802+C802)&gt;=1, ISNUMBER(SEARCH("Var", D802))), F802, 1000000000)</f>
        <v/>
      </c>
      <c r="P802" s="172">
        <f>IF(F802&gt;0, SQRT((F802/MAX(F$5:F$886))^2 + (1 - H802/MAX(H$5:H$886))^2 + (J802/MAX(J$5:J$886))^2), 1000000000)</f>
        <v/>
      </c>
      <c r="Q802" s="166">
        <f>IF(AND(ABS(B802-0.5)&lt;0.01, ABS(C802-0.5)&lt;0.01, ISNUMBER(SEARCH("Var", D802))), 1, 0)</f>
        <v/>
      </c>
      <c r="R802" s="171">
        <f>IF(F802&gt;0, J802, 1000000000)</f>
        <v/>
      </c>
      <c r="S802" s="101">
        <f>IF(AND(F802&lt;=DASHBOARD!$B$11, H802&gt;=DASHBOARD!$B$13), G802, -1000000000000)</f>
        <v/>
      </c>
      <c r="T802" s="101">
        <f>IF(AND(F802&lt;=DASHBOARD!$B$11, H802&gt;=DASHBOARD!$B$13), R802, 1000000000000)</f>
        <v/>
      </c>
      <c r="U802" s="101">
        <f>IF(AND(F802&lt;=DASHBOARD!$B$11, H802&gt;=DASHBOARD!$B$13), N802, -1000000000000)</f>
        <v/>
      </c>
      <c r="V802" s="101">
        <f>IF(AND(F802&lt;=DASHBOARD!$B$11, H802&gt;=DASHBOARD!$B$13), H802, -1000000000000)</f>
        <v/>
      </c>
      <c r="W802" s="101">
        <f>IF(AND(F802&lt;=DASHBOARD!$B$11, H802&gt;=DASHBOARD!$B$13), K802, -1000000000000)</f>
        <v/>
      </c>
      <c r="X802" s="101">
        <f>IF(AND(F802&lt;=DASHBOARD!$B$11, H802&gt;=DASHBOARD!$B$13), M802, 1000000000000)</f>
        <v/>
      </c>
      <c r="Y802" s="101">
        <f>IF(AND(F802&lt;=DASHBOARD!$B$10, H802&gt;=DASHBOARD!$B$11), L802, 1000000000000)</f>
        <v/>
      </c>
      <c r="Z802" s="101">
        <f>IF(AND(F802&lt;=DASHBOARD!$B$10, H802&gt;=DASHBOARD!$B$11), O802, 1000000000000)</f>
        <v/>
      </c>
      <c r="AA802" s="101">
        <f>IF(AND(F802&lt;=DASHBOARD!$B$10, H802&gt;=DASHBOARD!$B$11), P802, 1000000000000)</f>
        <v/>
      </c>
      <c r="AB802" s="101">
        <f>IF(AND(F802&lt;=DASHBOARD!$B$10, H802&gt;=DASHBOARD!$B$11), Q802, -1000000000000)</f>
        <v/>
      </c>
    </row>
    <row r="803" ht="15" customHeight="1" s="102">
      <c r="A803" s="166" t="n">
        <v>799</v>
      </c>
      <c r="B803" s="167" t="n">
        <v>1.9</v>
      </c>
      <c r="C803" s="167" t="n">
        <v>0</v>
      </c>
      <c r="D803" s="110" t="inlineStr">
        <is>
          <t>Yok (%0)</t>
        </is>
      </c>
      <c r="E803" s="110">
        <f>IF((B803+C803)&lt;=1, "Tam Mahsuplaşma (≤%100)", "Kısmi Satış (&gt;%100)")</f>
        <v/>
      </c>
      <c r="F803" s="168">
        <f>((VERI_TABANI!$D$29*B803/VERI_TABANI!$B$29)/VERI_TABANI!$B$3)*VERI_TABANI!$B$5 + ((VERI_TABANI!$D$29*C803/VERI_TABANI!$B$29)/VERI_TABANI!$B$4)*VERI_TABANI!$B$6 + IF(ISNUMBER(SEARCH("Var", D803)), (VERI_TABANI!$F$29/VERI_TABANI!$B$29)*(VERI_TABANI!$B$10+VERI_TABANI!$B$12), 0)</f>
        <v/>
      </c>
      <c r="G803" s="168">
        <f>(((MIN(VERI_TABANI!D23, VERI_TABANI!D23*B803)*VERI_TABANI!$B$7 + MAX(0, VERI_TABANI!D23*B803-VERI_TABANI!D23)*VERI_TABANI!$B$8) + (MIN(MAX(0, VERI_TABANI!D23-VERI_TABANI!D23*B803), VERI_TABANI!D23*C803)*VERI_TABANI!$B$7 + MAX(0, VERI_TABANI!D23*C803-MAX(0, VERI_TABANI!D23-VERI_TABANI!D23*B803))*VERI_TABANI!$B$8) + IF(ABS(IF(ISNUMBER(SEARCH("Var", D803)), 1, IF(ISNUMBER(SEARCH("Gri", D803)), -1, 0)))=1, VERI_TABANI!E23*(1-0.928)*VERI_TABANI!$B$9, 0) + (VERI_TABANI!D23*B803*(VERI_TABANI!$B$13-VERI_TABANI!$B$14)*VERI_TABANI!G23) + (VERI_TABANI!D23*C803*(VERI_TABANI!$B$13-VERI_TABANI!$B$15)*VERI_TABANI!G23) + IF(ABS(IF(ISNUMBER(SEARCH("Var", D803)), 1, IF(ISNUMBER(SEARCH("Gri", D803)), -1, 0)))=1, VERI_TABANI!E23*(1-0.928)*0.00206091519919798*VERI_TABANI!G23, 0)) + ((MIN(VERI_TABANI!D24, VERI_TABANI!D24*B803)*VERI_TABANI!$B$7 + MAX(0, VERI_TABANI!D24*B803-VERI_TABANI!D24)*VERI_TABANI!$B$8) + (MIN(MAX(0, VERI_TABANI!D24-VERI_TABANI!D24*B803), VERI_TABANI!D24*C803)*VERI_TABANI!$B$7 + MAX(0, VERI_TABANI!D24*C803-MAX(0, VERI_TABANI!D24-VERI_TABANI!D24*B803))*VERI_TABANI!$B$8) + IF(ABS(IF(ISNUMBER(SEARCH("Var", D803)), 1, IF(ISNUMBER(SEARCH("Gri", D803)), -1, 0)))=1, VERI_TABANI!E24*(1-0.928)*VERI_TABANI!$B$9, 0) + (VERI_TABANI!D24*B803*(VERI_TABANI!$B$13-VERI_TABANI!$B$14)*VERI_TABANI!G24) + (VERI_TABANI!D24*C803*(VERI_TABANI!$B$13-VERI_TABANI!$B$15)*VERI_TABANI!G24) + IF(ABS(IF(ISNUMBER(SEARCH("Var", D803)), 1, IF(ISNUMBER(SEARCH("Gri", D803)), -1, 0)))=1, VERI_TABANI!E24*(1-0.928)*0.00206091519919798*VERI_TABANI!G24, 0)) + ((MIN(VERI_TABANI!D25, VERI_TABANI!D25*B803)*VERI_TABANI!$B$7 + MAX(0, VERI_TABANI!D25*B803-VERI_TABANI!D25)*VERI_TABANI!$B$8) + (MIN(MAX(0, VERI_TABANI!D25-VERI_TABANI!D25*B803), VERI_TABANI!D25*C803)*VERI_TABANI!$B$7 + MAX(0, VERI_TABANI!D25*C803-MAX(0, VERI_TABANI!D25-VERI_TABANI!D25*B803))*VERI_TABANI!$B$8) + IF(ABS(IF(ISNUMBER(SEARCH("Var", D803)), 1, IF(ISNUMBER(SEARCH("Gri", D803)), -1, 0)))=1, VERI_TABANI!E25*(1-0.928)*VERI_TABANI!$B$9, 0) + (VERI_TABANI!D25*B803*(VERI_TABANI!$B$13-VERI_TABANI!$B$14)*VERI_TABANI!G25) + (VERI_TABANI!D25*C803*(VERI_TABANI!$B$13-VERI_TABANI!$B$15)*VERI_TABANI!G25) + IF(ABS(IF(ISNUMBER(SEARCH("Var", D803)), 1, IF(ISNUMBER(SEARCH("Gri", D803)), -1, 0)))=1, VERI_TABANI!E25*(1-0.928)*0.00206091519919798*VERI_TABANI!G25, 0)) + ((MIN(VERI_TABANI!D26, VERI_TABANI!D26*B803)*VERI_TABANI!$B$7 + MAX(0, VERI_TABANI!D26*B803-VERI_TABANI!D26)*VERI_TABANI!$B$8) + (MIN(MAX(0, VERI_TABANI!D26-VERI_TABANI!D26*B803), VERI_TABANI!D26*C803)*VERI_TABANI!$B$7 + MAX(0, VERI_TABANI!D26*C803-MAX(0, VERI_TABANI!D26-VERI_TABANI!D26*B803))*VERI_TABANI!$B$8) + IF(ABS(IF(ISNUMBER(SEARCH("Var", D803)), 1, IF(ISNUMBER(SEARCH("Gri", D803)), -1, 0)))=1, VERI_TABANI!E26*(1-0.928)*VERI_TABANI!$B$9, 0) + (VERI_TABANI!D26*B803*(VERI_TABANI!$B$13-VERI_TABANI!$B$14)*VERI_TABANI!G26) + (VERI_TABANI!D26*C803*(VERI_TABANI!$B$13-VERI_TABANI!$B$15)*VERI_TABANI!G26) + IF(ABS(IF(ISNUMBER(SEARCH("Var", D803)), 1, IF(ISNUMBER(SEARCH("Gri", D803)), -1, 0)))=1, VERI_TABANI!E26*(1-0.928)*0.00206091519919798*VERI_TABANI!G26, 0)) + ((MIN(VERI_TABANI!D27, VERI_TABANI!D27*B803)*VERI_TABANI!$B$7 + MAX(0, VERI_TABANI!D27*B803-VERI_TABANI!D27)*VERI_TABANI!$B$8) + (MIN(MAX(0, VERI_TABANI!D27-VERI_TABANI!D27*B803), VERI_TABANI!D27*C803)*VERI_TABANI!$B$7 + MAX(0, VERI_TABANI!D27*C803-MAX(0, VERI_TABANI!D27-VERI_TABANI!D27*B803))*VERI_TABANI!$B$8) + IF(ABS(IF(ISNUMBER(SEARCH("Var", D803)), 1, IF(ISNUMBER(SEARCH("Gri", D803)), -1, 0)))=1, VERI_TABANI!E27*(1-0.928)*VERI_TABANI!$B$9, 0) + (VERI_TABANI!D27*B803*(VERI_TABANI!$B$13-VERI_TABANI!$B$14)*VERI_TABANI!G27) + (VERI_TABANI!D27*C803*(VERI_TABANI!$B$13-VERI_TABANI!$B$15)*VERI_TABANI!G27) + IF(ABS(IF(ISNUMBER(SEARCH("Var", D803)), 1, IF(ISNUMBER(SEARCH("Gri", D803)), -1, 0)))=1, VERI_TABANI!E27*(1-0.928)*0.00206091519919798*VERI_TABANI!G27, 0)) + ((MIN(VERI_TABANI!D28, VERI_TABANI!D28*B803)*VERI_TABANI!$B$7 + MAX(0, VERI_TABANI!D28*B803-VERI_TABANI!D28)*VERI_TABANI!$B$8) + (MIN(MAX(0, VERI_TABANI!D28-VERI_TABANI!D28*B803), VERI_TABANI!D28*C803)*VERI_TABANI!$B$7 + MAX(0, VERI_TABANI!D28*C803-MAX(0, VERI_TABANI!D28-VERI_TABANI!D28*B803))*VERI_TABANI!$B$8) + IF(ABS(IF(ISNUMBER(SEARCH("Var", D803)), 1, IF(ISNUMBER(SEARCH("Gri", D803)), -1, 0)))=1, VERI_TABANI!E28*(1-0.928)*VERI_TABANI!$B$9, 0) + (VERI_TABANI!D28*B803*(VERI_TABANI!$B$13-VERI_TABANI!$B$14)*VERI_TABANI!G28) + (VERI_TABANI!D28*C803*(VERI_TABANI!$B$13-VERI_TABANI!$B$15)*VERI_TABANI!G28) + IF(ABS(IF(ISNUMBER(SEARCH("Var", D803)), 1, IF(ISNUMBER(SEARCH("Gri", D803)), -1, 0)))=1, VERI_TABANI!E28*(1-0.928)*0.00206091519919798*VERI_TABANI!G28, 0)))</f>
        <v/>
      </c>
      <c r="H803" s="169">
        <f>(((VERI_TABANI!D23*B803*(VERI_TABANI!$B$13-VERI_TABANI!$B$14)) + (VERI_TABANI!D23*C803*(VERI_TABANI!$B$13-VERI_TABANI!$B$15)) + IF(ISNUMBER(SEARCH("Var", D803)), VERI_TABANI!F23*(0.00202-VERI_TABANI!$B$16), IF(ISNUMBER(SEARCH("Gri", D803)), VERI_TABANI!F23*(0.00202-VERI_TABANI!$B$17), 0))) + ((VERI_TABANI!D24*B803*(VERI_TABANI!$B$13-VERI_TABANI!$B$14)) + (VERI_TABANI!D24*C803*(VERI_TABANI!$B$13-VERI_TABANI!$B$15)) + IF(ISNUMBER(SEARCH("Var", D803)), VERI_TABANI!F24*(0.00202-VERI_TABANI!$B$16), IF(ISNUMBER(SEARCH("Gri", D803)), VERI_TABANI!F24*(0.00202-VERI_TABANI!$B$17), 0))) + ((VERI_TABANI!D25*B803*(VERI_TABANI!$B$13-VERI_TABANI!$B$14)) + (VERI_TABANI!D25*C803*(VERI_TABANI!$B$13-VERI_TABANI!$B$15)) + IF(ISNUMBER(SEARCH("Var", D803)), VERI_TABANI!F25*(0.00202-VERI_TABANI!$B$16), IF(ISNUMBER(SEARCH("Gri", D803)), VERI_TABANI!F25*(0.00202-VERI_TABANI!$B$17), 0))) + ((VERI_TABANI!D26*B803*(VERI_TABANI!$B$13-VERI_TABANI!$B$14)) + (VERI_TABANI!D26*C803*(VERI_TABANI!$B$13-VERI_TABANI!$B$15)) + IF(ISNUMBER(SEARCH("Var", D803)), VERI_TABANI!F26*(0.00202-VERI_TABANI!$B$16), IF(ISNUMBER(SEARCH("Gri", D803)), VERI_TABANI!F26*(0.00202-VERI_TABANI!$B$17), 0))) + ((VERI_TABANI!D27*B803*(VERI_TABANI!$B$13-VERI_TABANI!$B$14)) + (VERI_TABANI!D27*C803*(VERI_TABANI!$B$13-VERI_TABANI!$B$15)) + IF(ISNUMBER(SEARCH("Var", D803)), VERI_TABANI!F27*(0.00202-VERI_TABANI!$B$16), IF(ISNUMBER(SEARCH("Gri", D803)), VERI_TABANI!F27*(0.00202-VERI_TABANI!$B$17), 0))) + ((VERI_TABANI!D28*B803*(VERI_TABANI!$B$13-VERI_TABANI!$B$14)) + (VERI_TABANI!D28*C803*(VERI_TABANI!$B$13-VERI_TABANI!$B$15)) + IF(ISNUMBER(SEARCH("Var", D803)), VERI_TABANI!F28*(0.00202-VERI_TABANI!$B$16), IF(ISNUMBER(SEARCH("Gri", D803)), VERI_TABANI!F28*(0.00202-VERI_TABANI!$B$17), 0))))</f>
        <v/>
      </c>
      <c r="I803" s="170">
        <f>IFERROR(((VERI_TABANI!$D$29*B803*VERI_TABANI!$B$14 + VERI_TABANI!$D$29*C803*VERI_TABANI!$B$15 + IF(ISNUMBER(SEARCH("Var", D803)), VERI_TABANI!$F$29*VERI_TABANI!$B$16, 0))) / (((VERI_TABANI!$D$29*B803 + VERI_TABANI!$D$29*C803)*VERI_TABANI!$B$13 + IF(ISNUMBER(SEARCH("Var", D803)), VERI_TABANI!$E$29*(1-0.928)*VERI_TABANI!$B$18, 0))), 0)</f>
        <v/>
      </c>
      <c r="J803" s="171">
        <f>IFERROR(F803/(G803/29), 0)</f>
        <v/>
      </c>
      <c r="K803" s="172">
        <f>IF(F803&gt;0, H803/F803, 0)</f>
        <v/>
      </c>
      <c r="L803" s="170">
        <f>IF(F803&gt;0, I803, 1000000000)</f>
        <v/>
      </c>
      <c r="M803" s="171">
        <f>ABS((B803+C803)-1)</f>
        <v/>
      </c>
      <c r="N803" s="170">
        <f>IF(F803&gt;0, (G803/29)/F803, 0)</f>
        <v/>
      </c>
      <c r="O803" s="168">
        <f>IF(AND((B803+C803)&gt;=1, ISNUMBER(SEARCH("Var", D803))), F803, 1000000000)</f>
        <v/>
      </c>
      <c r="P803" s="172">
        <f>IF(F803&gt;0, SQRT((F803/MAX(F$5:F$886))^2 + (1 - H803/MAX(H$5:H$886))^2 + (J803/MAX(J$5:J$886))^2), 1000000000)</f>
        <v/>
      </c>
      <c r="Q803" s="166">
        <f>IF(AND(ABS(B803-0.5)&lt;0.01, ABS(C803-0.5)&lt;0.01, ISNUMBER(SEARCH("Var", D803))), 1, 0)</f>
        <v/>
      </c>
      <c r="R803" s="171">
        <f>IF(F803&gt;0, J803, 1000000000)</f>
        <v/>
      </c>
      <c r="S803" s="101">
        <f>IF(AND(F803&lt;=DASHBOARD!$B$11, H803&gt;=DASHBOARD!$B$13), G803, -1000000000000)</f>
        <v/>
      </c>
      <c r="T803" s="101">
        <f>IF(AND(F803&lt;=DASHBOARD!$B$11, H803&gt;=DASHBOARD!$B$13), R803, 1000000000000)</f>
        <v/>
      </c>
      <c r="U803" s="101">
        <f>IF(AND(F803&lt;=DASHBOARD!$B$11, H803&gt;=DASHBOARD!$B$13), N803, -1000000000000)</f>
        <v/>
      </c>
      <c r="V803" s="101">
        <f>IF(AND(F803&lt;=DASHBOARD!$B$11, H803&gt;=DASHBOARD!$B$13), H803, -1000000000000)</f>
        <v/>
      </c>
      <c r="W803" s="101">
        <f>IF(AND(F803&lt;=DASHBOARD!$B$11, H803&gt;=DASHBOARD!$B$13), K803, -1000000000000)</f>
        <v/>
      </c>
      <c r="X803" s="101">
        <f>IF(AND(F803&lt;=DASHBOARD!$B$11, H803&gt;=DASHBOARD!$B$13), M803, 1000000000000)</f>
        <v/>
      </c>
      <c r="Y803" s="101">
        <f>IF(AND(F803&lt;=DASHBOARD!$B$10, H803&gt;=DASHBOARD!$B$11), L803, 1000000000000)</f>
        <v/>
      </c>
      <c r="Z803" s="101">
        <f>IF(AND(F803&lt;=DASHBOARD!$B$10, H803&gt;=DASHBOARD!$B$11), O803, 1000000000000)</f>
        <v/>
      </c>
      <c r="AA803" s="101">
        <f>IF(AND(F803&lt;=DASHBOARD!$B$10, H803&gt;=DASHBOARD!$B$11), P803, 1000000000000)</f>
        <v/>
      </c>
      <c r="AB803" s="101">
        <f>IF(AND(F803&lt;=DASHBOARD!$B$10, H803&gt;=DASHBOARD!$B$11), Q803, -1000000000000)</f>
        <v/>
      </c>
    </row>
    <row r="804" ht="15" customHeight="1" s="102">
      <c r="A804" s="166" t="n">
        <v>800</v>
      </c>
      <c r="B804" s="167" t="n">
        <v>1.9</v>
      </c>
      <c r="C804" s="167" t="n">
        <v>0</v>
      </c>
      <c r="D804" s="110" t="inlineStr">
        <is>
          <t>Var (%20)</t>
        </is>
      </c>
      <c r="E804" s="110">
        <f>IF((B804+C804)&lt;=1, "Tam Mahsuplaşma (≤%100)", "Kısmi Satış (&gt;%100)")</f>
        <v/>
      </c>
      <c r="F804" s="168">
        <f>((VERI_TABANI!$D$29*B804/VERI_TABANI!$B$29)/VERI_TABANI!$B$3)*VERI_TABANI!$B$5 + ((VERI_TABANI!$D$29*C804/VERI_TABANI!$B$29)/VERI_TABANI!$B$4)*VERI_TABANI!$B$6 + IF(ISNUMBER(SEARCH("Var", D804)), (VERI_TABANI!$F$29/VERI_TABANI!$B$29)*(VERI_TABANI!$B$10+VERI_TABANI!$B$12), 0)</f>
        <v/>
      </c>
      <c r="G804" s="168">
        <f>(((MIN(VERI_TABANI!D23, VERI_TABANI!D23*B804)*VERI_TABANI!$B$7 + MAX(0, VERI_TABANI!D23*B804-VERI_TABANI!D23)*VERI_TABANI!$B$8) + (MIN(MAX(0, VERI_TABANI!D23-VERI_TABANI!D23*B804), VERI_TABANI!D23*C804)*VERI_TABANI!$B$7 + MAX(0, VERI_TABANI!D23*C804-MAX(0, VERI_TABANI!D23-VERI_TABANI!D23*B804))*VERI_TABANI!$B$8) + IF(ABS(IF(ISNUMBER(SEARCH("Var", D804)), 1, IF(ISNUMBER(SEARCH("Gri", D804)), -1, 0)))=1, VERI_TABANI!E23*(1-0.928)*VERI_TABANI!$B$9, 0) + (VERI_TABANI!D23*B804*(VERI_TABANI!$B$13-VERI_TABANI!$B$14)*VERI_TABANI!G23) + (VERI_TABANI!D23*C804*(VERI_TABANI!$B$13-VERI_TABANI!$B$15)*VERI_TABANI!G23) + IF(ABS(IF(ISNUMBER(SEARCH("Var", D804)), 1, IF(ISNUMBER(SEARCH("Gri", D804)), -1, 0)))=1, VERI_TABANI!E23*(1-0.928)*0.00206091519919798*VERI_TABANI!G23, 0)) + ((MIN(VERI_TABANI!D24, VERI_TABANI!D24*B804)*VERI_TABANI!$B$7 + MAX(0, VERI_TABANI!D24*B804-VERI_TABANI!D24)*VERI_TABANI!$B$8) + (MIN(MAX(0, VERI_TABANI!D24-VERI_TABANI!D24*B804), VERI_TABANI!D24*C804)*VERI_TABANI!$B$7 + MAX(0, VERI_TABANI!D24*C804-MAX(0, VERI_TABANI!D24-VERI_TABANI!D24*B804))*VERI_TABANI!$B$8) + IF(ABS(IF(ISNUMBER(SEARCH("Var", D804)), 1, IF(ISNUMBER(SEARCH("Gri", D804)), -1, 0)))=1, VERI_TABANI!E24*(1-0.928)*VERI_TABANI!$B$9, 0) + (VERI_TABANI!D24*B804*(VERI_TABANI!$B$13-VERI_TABANI!$B$14)*VERI_TABANI!G24) + (VERI_TABANI!D24*C804*(VERI_TABANI!$B$13-VERI_TABANI!$B$15)*VERI_TABANI!G24) + IF(ABS(IF(ISNUMBER(SEARCH("Var", D804)), 1, IF(ISNUMBER(SEARCH("Gri", D804)), -1, 0)))=1, VERI_TABANI!E24*(1-0.928)*0.00206091519919798*VERI_TABANI!G24, 0)) + ((MIN(VERI_TABANI!D25, VERI_TABANI!D25*B804)*VERI_TABANI!$B$7 + MAX(0, VERI_TABANI!D25*B804-VERI_TABANI!D25)*VERI_TABANI!$B$8) + (MIN(MAX(0, VERI_TABANI!D25-VERI_TABANI!D25*B804), VERI_TABANI!D25*C804)*VERI_TABANI!$B$7 + MAX(0, VERI_TABANI!D25*C804-MAX(0, VERI_TABANI!D25-VERI_TABANI!D25*B804))*VERI_TABANI!$B$8) + IF(ABS(IF(ISNUMBER(SEARCH("Var", D804)), 1, IF(ISNUMBER(SEARCH("Gri", D804)), -1, 0)))=1, VERI_TABANI!E25*(1-0.928)*VERI_TABANI!$B$9, 0) + (VERI_TABANI!D25*B804*(VERI_TABANI!$B$13-VERI_TABANI!$B$14)*VERI_TABANI!G25) + (VERI_TABANI!D25*C804*(VERI_TABANI!$B$13-VERI_TABANI!$B$15)*VERI_TABANI!G25) + IF(ABS(IF(ISNUMBER(SEARCH("Var", D804)), 1, IF(ISNUMBER(SEARCH("Gri", D804)), -1, 0)))=1, VERI_TABANI!E25*(1-0.928)*0.00206091519919798*VERI_TABANI!G25, 0)) + ((MIN(VERI_TABANI!D26, VERI_TABANI!D26*B804)*VERI_TABANI!$B$7 + MAX(0, VERI_TABANI!D26*B804-VERI_TABANI!D26)*VERI_TABANI!$B$8) + (MIN(MAX(0, VERI_TABANI!D26-VERI_TABANI!D26*B804), VERI_TABANI!D26*C804)*VERI_TABANI!$B$7 + MAX(0, VERI_TABANI!D26*C804-MAX(0, VERI_TABANI!D26-VERI_TABANI!D26*B804))*VERI_TABANI!$B$8) + IF(ABS(IF(ISNUMBER(SEARCH("Var", D804)), 1, IF(ISNUMBER(SEARCH("Gri", D804)), -1, 0)))=1, VERI_TABANI!E26*(1-0.928)*VERI_TABANI!$B$9, 0) + (VERI_TABANI!D26*B804*(VERI_TABANI!$B$13-VERI_TABANI!$B$14)*VERI_TABANI!G26) + (VERI_TABANI!D26*C804*(VERI_TABANI!$B$13-VERI_TABANI!$B$15)*VERI_TABANI!G26) + IF(ABS(IF(ISNUMBER(SEARCH("Var", D804)), 1, IF(ISNUMBER(SEARCH("Gri", D804)), -1, 0)))=1, VERI_TABANI!E26*(1-0.928)*0.00206091519919798*VERI_TABANI!G26, 0)) + ((MIN(VERI_TABANI!D27, VERI_TABANI!D27*B804)*VERI_TABANI!$B$7 + MAX(0, VERI_TABANI!D27*B804-VERI_TABANI!D27)*VERI_TABANI!$B$8) + (MIN(MAX(0, VERI_TABANI!D27-VERI_TABANI!D27*B804), VERI_TABANI!D27*C804)*VERI_TABANI!$B$7 + MAX(0, VERI_TABANI!D27*C804-MAX(0, VERI_TABANI!D27-VERI_TABANI!D27*B804))*VERI_TABANI!$B$8) + IF(ABS(IF(ISNUMBER(SEARCH("Var", D804)), 1, IF(ISNUMBER(SEARCH("Gri", D804)), -1, 0)))=1, VERI_TABANI!E27*(1-0.928)*VERI_TABANI!$B$9, 0) + (VERI_TABANI!D27*B804*(VERI_TABANI!$B$13-VERI_TABANI!$B$14)*VERI_TABANI!G27) + (VERI_TABANI!D27*C804*(VERI_TABANI!$B$13-VERI_TABANI!$B$15)*VERI_TABANI!G27) + IF(ABS(IF(ISNUMBER(SEARCH("Var", D804)), 1, IF(ISNUMBER(SEARCH("Gri", D804)), -1, 0)))=1, VERI_TABANI!E27*(1-0.928)*0.00206091519919798*VERI_TABANI!G27, 0)) + ((MIN(VERI_TABANI!D28, VERI_TABANI!D28*B804)*VERI_TABANI!$B$7 + MAX(0, VERI_TABANI!D28*B804-VERI_TABANI!D28)*VERI_TABANI!$B$8) + (MIN(MAX(0, VERI_TABANI!D28-VERI_TABANI!D28*B804), VERI_TABANI!D28*C804)*VERI_TABANI!$B$7 + MAX(0, VERI_TABANI!D28*C804-MAX(0, VERI_TABANI!D28-VERI_TABANI!D28*B804))*VERI_TABANI!$B$8) + IF(ABS(IF(ISNUMBER(SEARCH("Var", D804)), 1, IF(ISNUMBER(SEARCH("Gri", D804)), -1, 0)))=1, VERI_TABANI!E28*(1-0.928)*VERI_TABANI!$B$9, 0) + (VERI_TABANI!D28*B804*(VERI_TABANI!$B$13-VERI_TABANI!$B$14)*VERI_TABANI!G28) + (VERI_TABANI!D28*C804*(VERI_TABANI!$B$13-VERI_TABANI!$B$15)*VERI_TABANI!G28) + IF(ABS(IF(ISNUMBER(SEARCH("Var", D804)), 1, IF(ISNUMBER(SEARCH("Gri", D804)), -1, 0)))=1, VERI_TABANI!E28*(1-0.928)*0.00206091519919798*VERI_TABANI!G28, 0)))</f>
        <v/>
      </c>
      <c r="H804" s="169">
        <f>(((VERI_TABANI!D23*B804*(VERI_TABANI!$B$13-VERI_TABANI!$B$14)) + (VERI_TABANI!D23*C804*(VERI_TABANI!$B$13-VERI_TABANI!$B$15)) + IF(ISNUMBER(SEARCH("Var", D804)), VERI_TABANI!F23*(0.00202-VERI_TABANI!$B$16), IF(ISNUMBER(SEARCH("Gri", D804)), VERI_TABANI!F23*(0.00202-VERI_TABANI!$B$17), 0))) + ((VERI_TABANI!D24*B804*(VERI_TABANI!$B$13-VERI_TABANI!$B$14)) + (VERI_TABANI!D24*C804*(VERI_TABANI!$B$13-VERI_TABANI!$B$15)) + IF(ISNUMBER(SEARCH("Var", D804)), VERI_TABANI!F24*(0.00202-VERI_TABANI!$B$16), IF(ISNUMBER(SEARCH("Gri", D804)), VERI_TABANI!F24*(0.00202-VERI_TABANI!$B$17), 0))) + ((VERI_TABANI!D25*B804*(VERI_TABANI!$B$13-VERI_TABANI!$B$14)) + (VERI_TABANI!D25*C804*(VERI_TABANI!$B$13-VERI_TABANI!$B$15)) + IF(ISNUMBER(SEARCH("Var", D804)), VERI_TABANI!F25*(0.00202-VERI_TABANI!$B$16), IF(ISNUMBER(SEARCH("Gri", D804)), VERI_TABANI!F25*(0.00202-VERI_TABANI!$B$17), 0))) + ((VERI_TABANI!D26*B804*(VERI_TABANI!$B$13-VERI_TABANI!$B$14)) + (VERI_TABANI!D26*C804*(VERI_TABANI!$B$13-VERI_TABANI!$B$15)) + IF(ISNUMBER(SEARCH("Var", D804)), VERI_TABANI!F26*(0.00202-VERI_TABANI!$B$16), IF(ISNUMBER(SEARCH("Gri", D804)), VERI_TABANI!F26*(0.00202-VERI_TABANI!$B$17), 0))) + ((VERI_TABANI!D27*B804*(VERI_TABANI!$B$13-VERI_TABANI!$B$14)) + (VERI_TABANI!D27*C804*(VERI_TABANI!$B$13-VERI_TABANI!$B$15)) + IF(ISNUMBER(SEARCH("Var", D804)), VERI_TABANI!F27*(0.00202-VERI_TABANI!$B$16), IF(ISNUMBER(SEARCH("Gri", D804)), VERI_TABANI!F27*(0.00202-VERI_TABANI!$B$17), 0))) + ((VERI_TABANI!D28*B804*(VERI_TABANI!$B$13-VERI_TABANI!$B$14)) + (VERI_TABANI!D28*C804*(VERI_TABANI!$B$13-VERI_TABANI!$B$15)) + IF(ISNUMBER(SEARCH("Var", D804)), VERI_TABANI!F28*(0.00202-VERI_TABANI!$B$16), IF(ISNUMBER(SEARCH("Gri", D804)), VERI_TABANI!F28*(0.00202-VERI_TABANI!$B$17), 0))))</f>
        <v/>
      </c>
      <c r="I804" s="170">
        <f>IFERROR(((VERI_TABANI!$D$29*B804*VERI_TABANI!$B$14 + VERI_TABANI!$D$29*C804*VERI_TABANI!$B$15 + IF(ISNUMBER(SEARCH("Var", D804)), VERI_TABANI!$F$29*VERI_TABANI!$B$16, 0))) / (((VERI_TABANI!$D$29*B804 + VERI_TABANI!$D$29*C804)*VERI_TABANI!$B$13 + IF(ISNUMBER(SEARCH("Var", D804)), VERI_TABANI!$E$29*(1-0.928)*VERI_TABANI!$B$18, 0))), 0)</f>
        <v/>
      </c>
      <c r="J804" s="171">
        <f>IFERROR(F804/(G804/29), 0)</f>
        <v/>
      </c>
      <c r="K804" s="172">
        <f>IF(F804&gt;0, H804/F804, 0)</f>
        <v/>
      </c>
      <c r="L804" s="170">
        <f>IF(F804&gt;0, I804, 1000000000)</f>
        <v/>
      </c>
      <c r="M804" s="171">
        <f>ABS((B804+C804)-1)</f>
        <v/>
      </c>
      <c r="N804" s="170">
        <f>IF(F804&gt;0, (G804/29)/F804, 0)</f>
        <v/>
      </c>
      <c r="O804" s="168">
        <f>IF(AND((B804+C804)&gt;=1, ISNUMBER(SEARCH("Var", D804))), F804, 1000000000)</f>
        <v/>
      </c>
      <c r="P804" s="172">
        <f>IF(F804&gt;0, SQRT((F804/MAX(F$5:F$886))^2 + (1 - H804/MAX(H$5:H$886))^2 + (J804/MAX(J$5:J$886))^2), 1000000000)</f>
        <v/>
      </c>
      <c r="Q804" s="166">
        <f>IF(AND(ABS(B804-0.5)&lt;0.01, ABS(C804-0.5)&lt;0.01, ISNUMBER(SEARCH("Var", D804))), 1, 0)</f>
        <v/>
      </c>
      <c r="R804" s="171">
        <f>IF(F804&gt;0, J804, 1000000000)</f>
        <v/>
      </c>
      <c r="S804" s="101">
        <f>IF(AND(F804&lt;=DASHBOARD!$B$11, H804&gt;=DASHBOARD!$B$13), G804, -1000000000000)</f>
        <v/>
      </c>
      <c r="T804" s="101">
        <f>IF(AND(F804&lt;=DASHBOARD!$B$11, H804&gt;=DASHBOARD!$B$13), R804, 1000000000000)</f>
        <v/>
      </c>
      <c r="U804" s="101">
        <f>IF(AND(F804&lt;=DASHBOARD!$B$11, H804&gt;=DASHBOARD!$B$13), N804, -1000000000000)</f>
        <v/>
      </c>
      <c r="V804" s="101">
        <f>IF(AND(F804&lt;=DASHBOARD!$B$11, H804&gt;=DASHBOARD!$B$13), H804, -1000000000000)</f>
        <v/>
      </c>
      <c r="W804" s="101">
        <f>IF(AND(F804&lt;=DASHBOARD!$B$11, H804&gt;=DASHBOARD!$B$13), K804, -1000000000000)</f>
        <v/>
      </c>
      <c r="X804" s="101">
        <f>IF(AND(F804&lt;=DASHBOARD!$B$11, H804&gt;=DASHBOARD!$B$13), M804, 1000000000000)</f>
        <v/>
      </c>
      <c r="Y804" s="101">
        <f>IF(AND(F804&lt;=DASHBOARD!$B$10, H804&gt;=DASHBOARD!$B$11), L804, 1000000000000)</f>
        <v/>
      </c>
      <c r="Z804" s="101">
        <f>IF(AND(F804&lt;=DASHBOARD!$B$10, H804&gt;=DASHBOARD!$B$11), O804, 1000000000000)</f>
        <v/>
      </c>
      <c r="AA804" s="101">
        <f>IF(AND(F804&lt;=DASHBOARD!$B$10, H804&gt;=DASHBOARD!$B$11), P804, 1000000000000)</f>
        <v/>
      </c>
      <c r="AB804" s="101">
        <f>IF(AND(F804&lt;=DASHBOARD!$B$10, H804&gt;=DASHBOARD!$B$11), Q804, -1000000000000)</f>
        <v/>
      </c>
    </row>
    <row r="805" ht="15" customHeight="1" s="102">
      <c r="A805" s="166" t="n">
        <v>801</v>
      </c>
      <c r="B805" s="167" t="n">
        <v>1.9</v>
      </c>
      <c r="C805" s="167" t="n">
        <v>0.1</v>
      </c>
      <c r="D805" s="110" t="inlineStr">
        <is>
          <t>Yok (%0)</t>
        </is>
      </c>
      <c r="E805" s="110">
        <f>IF((B805+C805)&lt;=1, "Tam Mahsuplaşma (≤%100)", "Kısmi Satış (&gt;%100)")</f>
        <v/>
      </c>
      <c r="F805" s="168">
        <f>((VERI_TABANI!$D$29*B805/VERI_TABANI!$B$29)/VERI_TABANI!$B$3)*VERI_TABANI!$B$5 + ((VERI_TABANI!$D$29*C805/VERI_TABANI!$B$29)/VERI_TABANI!$B$4)*VERI_TABANI!$B$6 + IF(ISNUMBER(SEARCH("Var", D805)), (VERI_TABANI!$F$29/VERI_TABANI!$B$29)*(VERI_TABANI!$B$10+VERI_TABANI!$B$12), 0)</f>
        <v/>
      </c>
      <c r="G805" s="168">
        <f>(((MIN(VERI_TABANI!D23, VERI_TABANI!D23*B805)*VERI_TABANI!$B$7 + MAX(0, VERI_TABANI!D23*B805-VERI_TABANI!D23)*VERI_TABANI!$B$8) + (MIN(MAX(0, VERI_TABANI!D23-VERI_TABANI!D23*B805), VERI_TABANI!D23*C805)*VERI_TABANI!$B$7 + MAX(0, VERI_TABANI!D23*C805-MAX(0, VERI_TABANI!D23-VERI_TABANI!D23*B805))*VERI_TABANI!$B$8) + IF(ABS(IF(ISNUMBER(SEARCH("Var", D805)), 1, IF(ISNUMBER(SEARCH("Gri", D805)), -1, 0)))=1, VERI_TABANI!E23*(1-0.928)*VERI_TABANI!$B$9, 0) + (VERI_TABANI!D23*B805*(VERI_TABANI!$B$13-VERI_TABANI!$B$14)*VERI_TABANI!G23) + (VERI_TABANI!D23*C805*(VERI_TABANI!$B$13-VERI_TABANI!$B$15)*VERI_TABANI!G23) + IF(ABS(IF(ISNUMBER(SEARCH("Var", D805)), 1, IF(ISNUMBER(SEARCH("Gri", D805)), -1, 0)))=1, VERI_TABANI!E23*(1-0.928)*0.00206091519919798*VERI_TABANI!G23, 0)) + ((MIN(VERI_TABANI!D24, VERI_TABANI!D24*B805)*VERI_TABANI!$B$7 + MAX(0, VERI_TABANI!D24*B805-VERI_TABANI!D24)*VERI_TABANI!$B$8) + (MIN(MAX(0, VERI_TABANI!D24-VERI_TABANI!D24*B805), VERI_TABANI!D24*C805)*VERI_TABANI!$B$7 + MAX(0, VERI_TABANI!D24*C805-MAX(0, VERI_TABANI!D24-VERI_TABANI!D24*B805))*VERI_TABANI!$B$8) + IF(ABS(IF(ISNUMBER(SEARCH("Var", D805)), 1, IF(ISNUMBER(SEARCH("Gri", D805)), -1, 0)))=1, VERI_TABANI!E24*(1-0.928)*VERI_TABANI!$B$9, 0) + (VERI_TABANI!D24*B805*(VERI_TABANI!$B$13-VERI_TABANI!$B$14)*VERI_TABANI!G24) + (VERI_TABANI!D24*C805*(VERI_TABANI!$B$13-VERI_TABANI!$B$15)*VERI_TABANI!G24) + IF(ABS(IF(ISNUMBER(SEARCH("Var", D805)), 1, IF(ISNUMBER(SEARCH("Gri", D805)), -1, 0)))=1, VERI_TABANI!E24*(1-0.928)*0.00206091519919798*VERI_TABANI!G24, 0)) + ((MIN(VERI_TABANI!D25, VERI_TABANI!D25*B805)*VERI_TABANI!$B$7 + MAX(0, VERI_TABANI!D25*B805-VERI_TABANI!D25)*VERI_TABANI!$B$8) + (MIN(MAX(0, VERI_TABANI!D25-VERI_TABANI!D25*B805), VERI_TABANI!D25*C805)*VERI_TABANI!$B$7 + MAX(0, VERI_TABANI!D25*C805-MAX(0, VERI_TABANI!D25-VERI_TABANI!D25*B805))*VERI_TABANI!$B$8) + IF(ABS(IF(ISNUMBER(SEARCH("Var", D805)), 1, IF(ISNUMBER(SEARCH("Gri", D805)), -1, 0)))=1, VERI_TABANI!E25*(1-0.928)*VERI_TABANI!$B$9, 0) + (VERI_TABANI!D25*B805*(VERI_TABANI!$B$13-VERI_TABANI!$B$14)*VERI_TABANI!G25) + (VERI_TABANI!D25*C805*(VERI_TABANI!$B$13-VERI_TABANI!$B$15)*VERI_TABANI!G25) + IF(ABS(IF(ISNUMBER(SEARCH("Var", D805)), 1, IF(ISNUMBER(SEARCH("Gri", D805)), -1, 0)))=1, VERI_TABANI!E25*(1-0.928)*0.00206091519919798*VERI_TABANI!G25, 0)) + ((MIN(VERI_TABANI!D26, VERI_TABANI!D26*B805)*VERI_TABANI!$B$7 + MAX(0, VERI_TABANI!D26*B805-VERI_TABANI!D26)*VERI_TABANI!$B$8) + (MIN(MAX(0, VERI_TABANI!D26-VERI_TABANI!D26*B805), VERI_TABANI!D26*C805)*VERI_TABANI!$B$7 + MAX(0, VERI_TABANI!D26*C805-MAX(0, VERI_TABANI!D26-VERI_TABANI!D26*B805))*VERI_TABANI!$B$8) + IF(ABS(IF(ISNUMBER(SEARCH("Var", D805)), 1, IF(ISNUMBER(SEARCH("Gri", D805)), -1, 0)))=1, VERI_TABANI!E26*(1-0.928)*VERI_TABANI!$B$9, 0) + (VERI_TABANI!D26*B805*(VERI_TABANI!$B$13-VERI_TABANI!$B$14)*VERI_TABANI!G26) + (VERI_TABANI!D26*C805*(VERI_TABANI!$B$13-VERI_TABANI!$B$15)*VERI_TABANI!G26) + IF(ABS(IF(ISNUMBER(SEARCH("Var", D805)), 1, IF(ISNUMBER(SEARCH("Gri", D805)), -1, 0)))=1, VERI_TABANI!E26*(1-0.928)*0.00206091519919798*VERI_TABANI!G26, 0)) + ((MIN(VERI_TABANI!D27, VERI_TABANI!D27*B805)*VERI_TABANI!$B$7 + MAX(0, VERI_TABANI!D27*B805-VERI_TABANI!D27)*VERI_TABANI!$B$8) + (MIN(MAX(0, VERI_TABANI!D27-VERI_TABANI!D27*B805), VERI_TABANI!D27*C805)*VERI_TABANI!$B$7 + MAX(0, VERI_TABANI!D27*C805-MAX(0, VERI_TABANI!D27-VERI_TABANI!D27*B805))*VERI_TABANI!$B$8) + IF(ABS(IF(ISNUMBER(SEARCH("Var", D805)), 1, IF(ISNUMBER(SEARCH("Gri", D805)), -1, 0)))=1, VERI_TABANI!E27*(1-0.928)*VERI_TABANI!$B$9, 0) + (VERI_TABANI!D27*B805*(VERI_TABANI!$B$13-VERI_TABANI!$B$14)*VERI_TABANI!G27) + (VERI_TABANI!D27*C805*(VERI_TABANI!$B$13-VERI_TABANI!$B$15)*VERI_TABANI!G27) + IF(ABS(IF(ISNUMBER(SEARCH("Var", D805)), 1, IF(ISNUMBER(SEARCH("Gri", D805)), -1, 0)))=1, VERI_TABANI!E27*(1-0.928)*0.00206091519919798*VERI_TABANI!G27, 0)) + ((MIN(VERI_TABANI!D28, VERI_TABANI!D28*B805)*VERI_TABANI!$B$7 + MAX(0, VERI_TABANI!D28*B805-VERI_TABANI!D28)*VERI_TABANI!$B$8) + (MIN(MAX(0, VERI_TABANI!D28-VERI_TABANI!D28*B805), VERI_TABANI!D28*C805)*VERI_TABANI!$B$7 + MAX(0, VERI_TABANI!D28*C805-MAX(0, VERI_TABANI!D28-VERI_TABANI!D28*B805))*VERI_TABANI!$B$8) + IF(ABS(IF(ISNUMBER(SEARCH("Var", D805)), 1, IF(ISNUMBER(SEARCH("Gri", D805)), -1, 0)))=1, VERI_TABANI!E28*(1-0.928)*VERI_TABANI!$B$9, 0) + (VERI_TABANI!D28*B805*(VERI_TABANI!$B$13-VERI_TABANI!$B$14)*VERI_TABANI!G28) + (VERI_TABANI!D28*C805*(VERI_TABANI!$B$13-VERI_TABANI!$B$15)*VERI_TABANI!G28) + IF(ABS(IF(ISNUMBER(SEARCH("Var", D805)), 1, IF(ISNUMBER(SEARCH("Gri", D805)), -1, 0)))=1, VERI_TABANI!E28*(1-0.928)*0.00206091519919798*VERI_TABANI!G28, 0)))</f>
        <v/>
      </c>
      <c r="H805" s="169">
        <f>(((VERI_TABANI!D23*B805*(VERI_TABANI!$B$13-VERI_TABANI!$B$14)) + (VERI_TABANI!D23*C805*(VERI_TABANI!$B$13-VERI_TABANI!$B$15)) + IF(ISNUMBER(SEARCH("Var", D805)), VERI_TABANI!F23*(0.00202-VERI_TABANI!$B$16), IF(ISNUMBER(SEARCH("Gri", D805)), VERI_TABANI!F23*(0.00202-VERI_TABANI!$B$17), 0))) + ((VERI_TABANI!D24*B805*(VERI_TABANI!$B$13-VERI_TABANI!$B$14)) + (VERI_TABANI!D24*C805*(VERI_TABANI!$B$13-VERI_TABANI!$B$15)) + IF(ISNUMBER(SEARCH("Var", D805)), VERI_TABANI!F24*(0.00202-VERI_TABANI!$B$16), IF(ISNUMBER(SEARCH("Gri", D805)), VERI_TABANI!F24*(0.00202-VERI_TABANI!$B$17), 0))) + ((VERI_TABANI!D25*B805*(VERI_TABANI!$B$13-VERI_TABANI!$B$14)) + (VERI_TABANI!D25*C805*(VERI_TABANI!$B$13-VERI_TABANI!$B$15)) + IF(ISNUMBER(SEARCH("Var", D805)), VERI_TABANI!F25*(0.00202-VERI_TABANI!$B$16), IF(ISNUMBER(SEARCH("Gri", D805)), VERI_TABANI!F25*(0.00202-VERI_TABANI!$B$17), 0))) + ((VERI_TABANI!D26*B805*(VERI_TABANI!$B$13-VERI_TABANI!$B$14)) + (VERI_TABANI!D26*C805*(VERI_TABANI!$B$13-VERI_TABANI!$B$15)) + IF(ISNUMBER(SEARCH("Var", D805)), VERI_TABANI!F26*(0.00202-VERI_TABANI!$B$16), IF(ISNUMBER(SEARCH("Gri", D805)), VERI_TABANI!F26*(0.00202-VERI_TABANI!$B$17), 0))) + ((VERI_TABANI!D27*B805*(VERI_TABANI!$B$13-VERI_TABANI!$B$14)) + (VERI_TABANI!D27*C805*(VERI_TABANI!$B$13-VERI_TABANI!$B$15)) + IF(ISNUMBER(SEARCH("Var", D805)), VERI_TABANI!F27*(0.00202-VERI_TABANI!$B$16), IF(ISNUMBER(SEARCH("Gri", D805)), VERI_TABANI!F27*(0.00202-VERI_TABANI!$B$17), 0))) + ((VERI_TABANI!D28*B805*(VERI_TABANI!$B$13-VERI_TABANI!$B$14)) + (VERI_TABANI!D28*C805*(VERI_TABANI!$B$13-VERI_TABANI!$B$15)) + IF(ISNUMBER(SEARCH("Var", D805)), VERI_TABANI!F28*(0.00202-VERI_TABANI!$B$16), IF(ISNUMBER(SEARCH("Gri", D805)), VERI_TABANI!F28*(0.00202-VERI_TABANI!$B$17), 0))))</f>
        <v/>
      </c>
      <c r="I805" s="170">
        <f>IFERROR(((VERI_TABANI!$D$29*B805*VERI_TABANI!$B$14 + VERI_TABANI!$D$29*C805*VERI_TABANI!$B$15 + IF(ISNUMBER(SEARCH("Var", D805)), VERI_TABANI!$F$29*VERI_TABANI!$B$16, 0))) / (((VERI_TABANI!$D$29*B805 + VERI_TABANI!$D$29*C805)*VERI_TABANI!$B$13 + IF(ISNUMBER(SEARCH("Var", D805)), VERI_TABANI!$E$29*(1-0.928)*VERI_TABANI!$B$18, 0))), 0)</f>
        <v/>
      </c>
      <c r="J805" s="171">
        <f>IFERROR(F805/(G805/29), 0)</f>
        <v/>
      </c>
      <c r="K805" s="172">
        <f>IF(F805&gt;0, H805/F805, 0)</f>
        <v/>
      </c>
      <c r="L805" s="170">
        <f>IF(F805&gt;0, I805, 1000000000)</f>
        <v/>
      </c>
      <c r="M805" s="171">
        <f>ABS((B805+C805)-1)</f>
        <v/>
      </c>
      <c r="N805" s="170">
        <f>IF(F805&gt;0, (G805/29)/F805, 0)</f>
        <v/>
      </c>
      <c r="O805" s="168">
        <f>IF(AND((B805+C805)&gt;=1, ISNUMBER(SEARCH("Var", D805))), F805, 1000000000)</f>
        <v/>
      </c>
      <c r="P805" s="172">
        <f>IF(F805&gt;0, SQRT((F805/MAX(F$5:F$886))^2 + (1 - H805/MAX(H$5:H$886))^2 + (J805/MAX(J$5:J$886))^2), 1000000000)</f>
        <v/>
      </c>
      <c r="Q805" s="166">
        <f>IF(AND(ABS(B805-0.5)&lt;0.01, ABS(C805-0.5)&lt;0.01, ISNUMBER(SEARCH("Var", D805))), 1, 0)</f>
        <v/>
      </c>
      <c r="R805" s="171">
        <f>IF(F805&gt;0, J805, 1000000000)</f>
        <v/>
      </c>
      <c r="S805" s="101">
        <f>IF(AND(F805&lt;=DASHBOARD!$B$11, H805&gt;=DASHBOARD!$B$13), G805, -1000000000000)</f>
        <v/>
      </c>
      <c r="T805" s="101">
        <f>IF(AND(F805&lt;=DASHBOARD!$B$11, H805&gt;=DASHBOARD!$B$13), R805, 1000000000000)</f>
        <v/>
      </c>
      <c r="U805" s="101">
        <f>IF(AND(F805&lt;=DASHBOARD!$B$11, H805&gt;=DASHBOARD!$B$13), N805, -1000000000000)</f>
        <v/>
      </c>
      <c r="V805" s="101">
        <f>IF(AND(F805&lt;=DASHBOARD!$B$11, H805&gt;=DASHBOARD!$B$13), H805, -1000000000000)</f>
        <v/>
      </c>
      <c r="W805" s="101">
        <f>IF(AND(F805&lt;=DASHBOARD!$B$11, H805&gt;=DASHBOARD!$B$13), K805, -1000000000000)</f>
        <v/>
      </c>
      <c r="X805" s="101">
        <f>IF(AND(F805&lt;=DASHBOARD!$B$11, H805&gt;=DASHBOARD!$B$13), M805, 1000000000000)</f>
        <v/>
      </c>
      <c r="Y805" s="101">
        <f>IF(AND(F805&lt;=DASHBOARD!$B$10, H805&gt;=DASHBOARD!$B$11), L805, 1000000000000)</f>
        <v/>
      </c>
      <c r="Z805" s="101">
        <f>IF(AND(F805&lt;=DASHBOARD!$B$10, H805&gt;=DASHBOARD!$B$11), O805, 1000000000000)</f>
        <v/>
      </c>
      <c r="AA805" s="101">
        <f>IF(AND(F805&lt;=DASHBOARD!$B$10, H805&gt;=DASHBOARD!$B$11), P805, 1000000000000)</f>
        <v/>
      </c>
      <c r="AB805" s="101">
        <f>IF(AND(F805&lt;=DASHBOARD!$B$10, H805&gt;=DASHBOARD!$B$11), Q805, -1000000000000)</f>
        <v/>
      </c>
    </row>
    <row r="806" ht="15" customHeight="1" s="102">
      <c r="A806" s="166" t="n">
        <v>802</v>
      </c>
      <c r="B806" s="167" t="n">
        <v>1.9</v>
      </c>
      <c r="C806" s="167" t="n">
        <v>0.1</v>
      </c>
      <c r="D806" s="110" t="inlineStr">
        <is>
          <t>Var (%20)</t>
        </is>
      </c>
      <c r="E806" s="110">
        <f>IF((B806+C806)&lt;=1, "Tam Mahsuplaşma (≤%100)", "Kısmi Satış (&gt;%100)")</f>
        <v/>
      </c>
      <c r="F806" s="168">
        <f>((VERI_TABANI!$D$29*B806/VERI_TABANI!$B$29)/VERI_TABANI!$B$3)*VERI_TABANI!$B$5 + ((VERI_TABANI!$D$29*C806/VERI_TABANI!$B$29)/VERI_TABANI!$B$4)*VERI_TABANI!$B$6 + IF(ISNUMBER(SEARCH("Var", D806)), (VERI_TABANI!$F$29/VERI_TABANI!$B$29)*(VERI_TABANI!$B$10+VERI_TABANI!$B$12), 0)</f>
        <v/>
      </c>
      <c r="G806" s="168">
        <f>(((MIN(VERI_TABANI!D23, VERI_TABANI!D23*B806)*VERI_TABANI!$B$7 + MAX(0, VERI_TABANI!D23*B806-VERI_TABANI!D23)*VERI_TABANI!$B$8) + (MIN(MAX(0, VERI_TABANI!D23-VERI_TABANI!D23*B806), VERI_TABANI!D23*C806)*VERI_TABANI!$B$7 + MAX(0, VERI_TABANI!D23*C806-MAX(0, VERI_TABANI!D23-VERI_TABANI!D23*B806))*VERI_TABANI!$B$8) + IF(ABS(IF(ISNUMBER(SEARCH("Var", D806)), 1, IF(ISNUMBER(SEARCH("Gri", D806)), -1, 0)))=1, VERI_TABANI!E23*(1-0.928)*VERI_TABANI!$B$9, 0) + (VERI_TABANI!D23*B806*(VERI_TABANI!$B$13-VERI_TABANI!$B$14)*VERI_TABANI!G23) + (VERI_TABANI!D23*C806*(VERI_TABANI!$B$13-VERI_TABANI!$B$15)*VERI_TABANI!G23) + IF(ABS(IF(ISNUMBER(SEARCH("Var", D806)), 1, IF(ISNUMBER(SEARCH("Gri", D806)), -1, 0)))=1, VERI_TABANI!E23*(1-0.928)*0.00206091519919798*VERI_TABANI!G23, 0)) + ((MIN(VERI_TABANI!D24, VERI_TABANI!D24*B806)*VERI_TABANI!$B$7 + MAX(0, VERI_TABANI!D24*B806-VERI_TABANI!D24)*VERI_TABANI!$B$8) + (MIN(MAX(0, VERI_TABANI!D24-VERI_TABANI!D24*B806), VERI_TABANI!D24*C806)*VERI_TABANI!$B$7 + MAX(0, VERI_TABANI!D24*C806-MAX(0, VERI_TABANI!D24-VERI_TABANI!D24*B806))*VERI_TABANI!$B$8) + IF(ABS(IF(ISNUMBER(SEARCH("Var", D806)), 1, IF(ISNUMBER(SEARCH("Gri", D806)), -1, 0)))=1, VERI_TABANI!E24*(1-0.928)*VERI_TABANI!$B$9, 0) + (VERI_TABANI!D24*B806*(VERI_TABANI!$B$13-VERI_TABANI!$B$14)*VERI_TABANI!G24) + (VERI_TABANI!D24*C806*(VERI_TABANI!$B$13-VERI_TABANI!$B$15)*VERI_TABANI!G24) + IF(ABS(IF(ISNUMBER(SEARCH("Var", D806)), 1, IF(ISNUMBER(SEARCH("Gri", D806)), -1, 0)))=1, VERI_TABANI!E24*(1-0.928)*0.00206091519919798*VERI_TABANI!G24, 0)) + ((MIN(VERI_TABANI!D25, VERI_TABANI!D25*B806)*VERI_TABANI!$B$7 + MAX(0, VERI_TABANI!D25*B806-VERI_TABANI!D25)*VERI_TABANI!$B$8) + (MIN(MAX(0, VERI_TABANI!D25-VERI_TABANI!D25*B806), VERI_TABANI!D25*C806)*VERI_TABANI!$B$7 + MAX(0, VERI_TABANI!D25*C806-MAX(0, VERI_TABANI!D25-VERI_TABANI!D25*B806))*VERI_TABANI!$B$8) + IF(ABS(IF(ISNUMBER(SEARCH("Var", D806)), 1, IF(ISNUMBER(SEARCH("Gri", D806)), -1, 0)))=1, VERI_TABANI!E25*(1-0.928)*VERI_TABANI!$B$9, 0) + (VERI_TABANI!D25*B806*(VERI_TABANI!$B$13-VERI_TABANI!$B$14)*VERI_TABANI!G25) + (VERI_TABANI!D25*C806*(VERI_TABANI!$B$13-VERI_TABANI!$B$15)*VERI_TABANI!G25) + IF(ABS(IF(ISNUMBER(SEARCH("Var", D806)), 1, IF(ISNUMBER(SEARCH("Gri", D806)), -1, 0)))=1, VERI_TABANI!E25*(1-0.928)*0.00206091519919798*VERI_TABANI!G25, 0)) + ((MIN(VERI_TABANI!D26, VERI_TABANI!D26*B806)*VERI_TABANI!$B$7 + MAX(0, VERI_TABANI!D26*B806-VERI_TABANI!D26)*VERI_TABANI!$B$8) + (MIN(MAX(0, VERI_TABANI!D26-VERI_TABANI!D26*B806), VERI_TABANI!D26*C806)*VERI_TABANI!$B$7 + MAX(0, VERI_TABANI!D26*C806-MAX(0, VERI_TABANI!D26-VERI_TABANI!D26*B806))*VERI_TABANI!$B$8) + IF(ABS(IF(ISNUMBER(SEARCH("Var", D806)), 1, IF(ISNUMBER(SEARCH("Gri", D806)), -1, 0)))=1, VERI_TABANI!E26*(1-0.928)*VERI_TABANI!$B$9, 0) + (VERI_TABANI!D26*B806*(VERI_TABANI!$B$13-VERI_TABANI!$B$14)*VERI_TABANI!G26) + (VERI_TABANI!D26*C806*(VERI_TABANI!$B$13-VERI_TABANI!$B$15)*VERI_TABANI!G26) + IF(ABS(IF(ISNUMBER(SEARCH("Var", D806)), 1, IF(ISNUMBER(SEARCH("Gri", D806)), -1, 0)))=1, VERI_TABANI!E26*(1-0.928)*0.00206091519919798*VERI_TABANI!G26, 0)) + ((MIN(VERI_TABANI!D27, VERI_TABANI!D27*B806)*VERI_TABANI!$B$7 + MAX(0, VERI_TABANI!D27*B806-VERI_TABANI!D27)*VERI_TABANI!$B$8) + (MIN(MAX(0, VERI_TABANI!D27-VERI_TABANI!D27*B806), VERI_TABANI!D27*C806)*VERI_TABANI!$B$7 + MAX(0, VERI_TABANI!D27*C806-MAX(0, VERI_TABANI!D27-VERI_TABANI!D27*B806))*VERI_TABANI!$B$8) + IF(ABS(IF(ISNUMBER(SEARCH("Var", D806)), 1, IF(ISNUMBER(SEARCH("Gri", D806)), -1, 0)))=1, VERI_TABANI!E27*(1-0.928)*VERI_TABANI!$B$9, 0) + (VERI_TABANI!D27*B806*(VERI_TABANI!$B$13-VERI_TABANI!$B$14)*VERI_TABANI!G27) + (VERI_TABANI!D27*C806*(VERI_TABANI!$B$13-VERI_TABANI!$B$15)*VERI_TABANI!G27) + IF(ABS(IF(ISNUMBER(SEARCH("Var", D806)), 1, IF(ISNUMBER(SEARCH("Gri", D806)), -1, 0)))=1, VERI_TABANI!E27*(1-0.928)*0.00206091519919798*VERI_TABANI!G27, 0)) + ((MIN(VERI_TABANI!D28, VERI_TABANI!D28*B806)*VERI_TABANI!$B$7 + MAX(0, VERI_TABANI!D28*B806-VERI_TABANI!D28)*VERI_TABANI!$B$8) + (MIN(MAX(0, VERI_TABANI!D28-VERI_TABANI!D28*B806), VERI_TABANI!D28*C806)*VERI_TABANI!$B$7 + MAX(0, VERI_TABANI!D28*C806-MAX(0, VERI_TABANI!D28-VERI_TABANI!D28*B806))*VERI_TABANI!$B$8) + IF(ABS(IF(ISNUMBER(SEARCH("Var", D806)), 1, IF(ISNUMBER(SEARCH("Gri", D806)), -1, 0)))=1, VERI_TABANI!E28*(1-0.928)*VERI_TABANI!$B$9, 0) + (VERI_TABANI!D28*B806*(VERI_TABANI!$B$13-VERI_TABANI!$B$14)*VERI_TABANI!G28) + (VERI_TABANI!D28*C806*(VERI_TABANI!$B$13-VERI_TABANI!$B$15)*VERI_TABANI!G28) + IF(ABS(IF(ISNUMBER(SEARCH("Var", D806)), 1, IF(ISNUMBER(SEARCH("Gri", D806)), -1, 0)))=1, VERI_TABANI!E28*(1-0.928)*0.00206091519919798*VERI_TABANI!G28, 0)))</f>
        <v/>
      </c>
      <c r="H806" s="169">
        <f>(((VERI_TABANI!D23*B806*(VERI_TABANI!$B$13-VERI_TABANI!$B$14)) + (VERI_TABANI!D23*C806*(VERI_TABANI!$B$13-VERI_TABANI!$B$15)) + IF(ISNUMBER(SEARCH("Var", D806)), VERI_TABANI!F23*(0.00202-VERI_TABANI!$B$16), IF(ISNUMBER(SEARCH("Gri", D806)), VERI_TABANI!F23*(0.00202-VERI_TABANI!$B$17), 0))) + ((VERI_TABANI!D24*B806*(VERI_TABANI!$B$13-VERI_TABANI!$B$14)) + (VERI_TABANI!D24*C806*(VERI_TABANI!$B$13-VERI_TABANI!$B$15)) + IF(ISNUMBER(SEARCH("Var", D806)), VERI_TABANI!F24*(0.00202-VERI_TABANI!$B$16), IF(ISNUMBER(SEARCH("Gri", D806)), VERI_TABANI!F24*(0.00202-VERI_TABANI!$B$17), 0))) + ((VERI_TABANI!D25*B806*(VERI_TABANI!$B$13-VERI_TABANI!$B$14)) + (VERI_TABANI!D25*C806*(VERI_TABANI!$B$13-VERI_TABANI!$B$15)) + IF(ISNUMBER(SEARCH("Var", D806)), VERI_TABANI!F25*(0.00202-VERI_TABANI!$B$16), IF(ISNUMBER(SEARCH("Gri", D806)), VERI_TABANI!F25*(0.00202-VERI_TABANI!$B$17), 0))) + ((VERI_TABANI!D26*B806*(VERI_TABANI!$B$13-VERI_TABANI!$B$14)) + (VERI_TABANI!D26*C806*(VERI_TABANI!$B$13-VERI_TABANI!$B$15)) + IF(ISNUMBER(SEARCH("Var", D806)), VERI_TABANI!F26*(0.00202-VERI_TABANI!$B$16), IF(ISNUMBER(SEARCH("Gri", D806)), VERI_TABANI!F26*(0.00202-VERI_TABANI!$B$17), 0))) + ((VERI_TABANI!D27*B806*(VERI_TABANI!$B$13-VERI_TABANI!$B$14)) + (VERI_TABANI!D27*C806*(VERI_TABANI!$B$13-VERI_TABANI!$B$15)) + IF(ISNUMBER(SEARCH("Var", D806)), VERI_TABANI!F27*(0.00202-VERI_TABANI!$B$16), IF(ISNUMBER(SEARCH("Gri", D806)), VERI_TABANI!F27*(0.00202-VERI_TABANI!$B$17), 0))) + ((VERI_TABANI!D28*B806*(VERI_TABANI!$B$13-VERI_TABANI!$B$14)) + (VERI_TABANI!D28*C806*(VERI_TABANI!$B$13-VERI_TABANI!$B$15)) + IF(ISNUMBER(SEARCH("Var", D806)), VERI_TABANI!F28*(0.00202-VERI_TABANI!$B$16), IF(ISNUMBER(SEARCH("Gri", D806)), VERI_TABANI!F28*(0.00202-VERI_TABANI!$B$17), 0))))</f>
        <v/>
      </c>
      <c r="I806" s="170">
        <f>IFERROR(((VERI_TABANI!$D$29*B806*VERI_TABANI!$B$14 + VERI_TABANI!$D$29*C806*VERI_TABANI!$B$15 + IF(ISNUMBER(SEARCH("Var", D806)), VERI_TABANI!$F$29*VERI_TABANI!$B$16, 0))) / (((VERI_TABANI!$D$29*B806 + VERI_TABANI!$D$29*C806)*VERI_TABANI!$B$13 + IF(ISNUMBER(SEARCH("Var", D806)), VERI_TABANI!$E$29*(1-0.928)*VERI_TABANI!$B$18, 0))), 0)</f>
        <v/>
      </c>
      <c r="J806" s="171">
        <f>IFERROR(F806/(G806/29), 0)</f>
        <v/>
      </c>
      <c r="K806" s="172">
        <f>IF(F806&gt;0, H806/F806, 0)</f>
        <v/>
      </c>
      <c r="L806" s="170">
        <f>IF(F806&gt;0, I806, 1000000000)</f>
        <v/>
      </c>
      <c r="M806" s="171">
        <f>ABS((B806+C806)-1)</f>
        <v/>
      </c>
      <c r="N806" s="170">
        <f>IF(F806&gt;0, (G806/29)/F806, 0)</f>
        <v/>
      </c>
      <c r="O806" s="168">
        <f>IF(AND((B806+C806)&gt;=1, ISNUMBER(SEARCH("Var", D806))), F806, 1000000000)</f>
        <v/>
      </c>
      <c r="P806" s="172">
        <f>IF(F806&gt;0, SQRT((F806/MAX(F$5:F$886))^2 + (1 - H806/MAX(H$5:H$886))^2 + (J806/MAX(J$5:J$886))^2), 1000000000)</f>
        <v/>
      </c>
      <c r="Q806" s="166">
        <f>IF(AND(ABS(B806-0.5)&lt;0.01, ABS(C806-0.5)&lt;0.01, ISNUMBER(SEARCH("Var", D806))), 1, 0)</f>
        <v/>
      </c>
      <c r="R806" s="171">
        <f>IF(F806&gt;0, J806, 1000000000)</f>
        <v/>
      </c>
      <c r="S806" s="101">
        <f>IF(AND(F806&lt;=DASHBOARD!$B$11, H806&gt;=DASHBOARD!$B$13), G806, -1000000000000)</f>
        <v/>
      </c>
      <c r="T806" s="101">
        <f>IF(AND(F806&lt;=DASHBOARD!$B$11, H806&gt;=DASHBOARD!$B$13), R806, 1000000000000)</f>
        <v/>
      </c>
      <c r="U806" s="101">
        <f>IF(AND(F806&lt;=DASHBOARD!$B$11, H806&gt;=DASHBOARD!$B$13), N806, -1000000000000)</f>
        <v/>
      </c>
      <c r="V806" s="101">
        <f>IF(AND(F806&lt;=DASHBOARD!$B$11, H806&gt;=DASHBOARD!$B$13), H806, -1000000000000)</f>
        <v/>
      </c>
      <c r="W806" s="101">
        <f>IF(AND(F806&lt;=DASHBOARD!$B$11, H806&gt;=DASHBOARD!$B$13), K806, -1000000000000)</f>
        <v/>
      </c>
      <c r="X806" s="101">
        <f>IF(AND(F806&lt;=DASHBOARD!$B$11, H806&gt;=DASHBOARD!$B$13), M806, 1000000000000)</f>
        <v/>
      </c>
      <c r="Y806" s="101">
        <f>IF(AND(F806&lt;=DASHBOARD!$B$10, H806&gt;=DASHBOARD!$B$11), L806, 1000000000000)</f>
        <v/>
      </c>
      <c r="Z806" s="101">
        <f>IF(AND(F806&lt;=DASHBOARD!$B$10, H806&gt;=DASHBOARD!$B$11), O806, 1000000000000)</f>
        <v/>
      </c>
      <c r="AA806" s="101">
        <f>IF(AND(F806&lt;=DASHBOARD!$B$10, H806&gt;=DASHBOARD!$B$11), P806, 1000000000000)</f>
        <v/>
      </c>
      <c r="AB806" s="101">
        <f>IF(AND(F806&lt;=DASHBOARD!$B$10, H806&gt;=DASHBOARD!$B$11), Q806, -1000000000000)</f>
        <v/>
      </c>
    </row>
    <row r="807" ht="15" customHeight="1" s="102">
      <c r="A807" s="166" t="n">
        <v>803</v>
      </c>
      <c r="B807" s="167" t="n">
        <v>1.9</v>
      </c>
      <c r="C807" s="167" t="n">
        <v>0.2</v>
      </c>
      <c r="D807" s="110" t="inlineStr">
        <is>
          <t>Yok (%0)</t>
        </is>
      </c>
      <c r="E807" s="110">
        <f>IF((B807+C807)&lt;=1, "Tam Mahsuplaşma (≤%100)", "Kısmi Satış (&gt;%100)")</f>
        <v/>
      </c>
      <c r="F807" s="168">
        <f>((VERI_TABANI!$D$29*B807/VERI_TABANI!$B$29)/VERI_TABANI!$B$3)*VERI_TABANI!$B$5 + ((VERI_TABANI!$D$29*C807/VERI_TABANI!$B$29)/VERI_TABANI!$B$4)*VERI_TABANI!$B$6 + IF(ISNUMBER(SEARCH("Var", D807)), (VERI_TABANI!$F$29/VERI_TABANI!$B$29)*(VERI_TABANI!$B$10+VERI_TABANI!$B$12), 0)</f>
        <v/>
      </c>
      <c r="G807" s="168">
        <f>(((MIN(VERI_TABANI!D23, VERI_TABANI!D23*B807)*VERI_TABANI!$B$7 + MAX(0, VERI_TABANI!D23*B807-VERI_TABANI!D23)*VERI_TABANI!$B$8) + (MIN(MAX(0, VERI_TABANI!D23-VERI_TABANI!D23*B807), VERI_TABANI!D23*C807)*VERI_TABANI!$B$7 + MAX(0, VERI_TABANI!D23*C807-MAX(0, VERI_TABANI!D23-VERI_TABANI!D23*B807))*VERI_TABANI!$B$8) + IF(ABS(IF(ISNUMBER(SEARCH("Var", D807)), 1, IF(ISNUMBER(SEARCH("Gri", D807)), -1, 0)))=1, VERI_TABANI!E23*(1-0.928)*VERI_TABANI!$B$9, 0) + (VERI_TABANI!D23*B807*(VERI_TABANI!$B$13-VERI_TABANI!$B$14)*VERI_TABANI!G23) + (VERI_TABANI!D23*C807*(VERI_TABANI!$B$13-VERI_TABANI!$B$15)*VERI_TABANI!G23) + IF(ABS(IF(ISNUMBER(SEARCH("Var", D807)), 1, IF(ISNUMBER(SEARCH("Gri", D807)), -1, 0)))=1, VERI_TABANI!E23*(1-0.928)*0.00206091519919798*VERI_TABANI!G23, 0)) + ((MIN(VERI_TABANI!D24, VERI_TABANI!D24*B807)*VERI_TABANI!$B$7 + MAX(0, VERI_TABANI!D24*B807-VERI_TABANI!D24)*VERI_TABANI!$B$8) + (MIN(MAX(0, VERI_TABANI!D24-VERI_TABANI!D24*B807), VERI_TABANI!D24*C807)*VERI_TABANI!$B$7 + MAX(0, VERI_TABANI!D24*C807-MAX(0, VERI_TABANI!D24-VERI_TABANI!D24*B807))*VERI_TABANI!$B$8) + IF(ABS(IF(ISNUMBER(SEARCH("Var", D807)), 1, IF(ISNUMBER(SEARCH("Gri", D807)), -1, 0)))=1, VERI_TABANI!E24*(1-0.928)*VERI_TABANI!$B$9, 0) + (VERI_TABANI!D24*B807*(VERI_TABANI!$B$13-VERI_TABANI!$B$14)*VERI_TABANI!G24) + (VERI_TABANI!D24*C807*(VERI_TABANI!$B$13-VERI_TABANI!$B$15)*VERI_TABANI!G24) + IF(ABS(IF(ISNUMBER(SEARCH("Var", D807)), 1, IF(ISNUMBER(SEARCH("Gri", D807)), -1, 0)))=1, VERI_TABANI!E24*(1-0.928)*0.00206091519919798*VERI_TABANI!G24, 0)) + ((MIN(VERI_TABANI!D25, VERI_TABANI!D25*B807)*VERI_TABANI!$B$7 + MAX(0, VERI_TABANI!D25*B807-VERI_TABANI!D25)*VERI_TABANI!$B$8) + (MIN(MAX(0, VERI_TABANI!D25-VERI_TABANI!D25*B807), VERI_TABANI!D25*C807)*VERI_TABANI!$B$7 + MAX(0, VERI_TABANI!D25*C807-MAX(0, VERI_TABANI!D25-VERI_TABANI!D25*B807))*VERI_TABANI!$B$8) + IF(ABS(IF(ISNUMBER(SEARCH("Var", D807)), 1, IF(ISNUMBER(SEARCH("Gri", D807)), -1, 0)))=1, VERI_TABANI!E25*(1-0.928)*VERI_TABANI!$B$9, 0) + (VERI_TABANI!D25*B807*(VERI_TABANI!$B$13-VERI_TABANI!$B$14)*VERI_TABANI!G25) + (VERI_TABANI!D25*C807*(VERI_TABANI!$B$13-VERI_TABANI!$B$15)*VERI_TABANI!G25) + IF(ABS(IF(ISNUMBER(SEARCH("Var", D807)), 1, IF(ISNUMBER(SEARCH("Gri", D807)), -1, 0)))=1, VERI_TABANI!E25*(1-0.928)*0.00206091519919798*VERI_TABANI!G25, 0)) + ((MIN(VERI_TABANI!D26, VERI_TABANI!D26*B807)*VERI_TABANI!$B$7 + MAX(0, VERI_TABANI!D26*B807-VERI_TABANI!D26)*VERI_TABANI!$B$8) + (MIN(MAX(0, VERI_TABANI!D26-VERI_TABANI!D26*B807), VERI_TABANI!D26*C807)*VERI_TABANI!$B$7 + MAX(0, VERI_TABANI!D26*C807-MAX(0, VERI_TABANI!D26-VERI_TABANI!D26*B807))*VERI_TABANI!$B$8) + IF(ABS(IF(ISNUMBER(SEARCH("Var", D807)), 1, IF(ISNUMBER(SEARCH("Gri", D807)), -1, 0)))=1, VERI_TABANI!E26*(1-0.928)*VERI_TABANI!$B$9, 0) + (VERI_TABANI!D26*B807*(VERI_TABANI!$B$13-VERI_TABANI!$B$14)*VERI_TABANI!G26) + (VERI_TABANI!D26*C807*(VERI_TABANI!$B$13-VERI_TABANI!$B$15)*VERI_TABANI!G26) + IF(ABS(IF(ISNUMBER(SEARCH("Var", D807)), 1, IF(ISNUMBER(SEARCH("Gri", D807)), -1, 0)))=1, VERI_TABANI!E26*(1-0.928)*0.00206091519919798*VERI_TABANI!G26, 0)) + ((MIN(VERI_TABANI!D27, VERI_TABANI!D27*B807)*VERI_TABANI!$B$7 + MAX(0, VERI_TABANI!D27*B807-VERI_TABANI!D27)*VERI_TABANI!$B$8) + (MIN(MAX(0, VERI_TABANI!D27-VERI_TABANI!D27*B807), VERI_TABANI!D27*C807)*VERI_TABANI!$B$7 + MAX(0, VERI_TABANI!D27*C807-MAX(0, VERI_TABANI!D27-VERI_TABANI!D27*B807))*VERI_TABANI!$B$8) + IF(ABS(IF(ISNUMBER(SEARCH("Var", D807)), 1, IF(ISNUMBER(SEARCH("Gri", D807)), -1, 0)))=1, VERI_TABANI!E27*(1-0.928)*VERI_TABANI!$B$9, 0) + (VERI_TABANI!D27*B807*(VERI_TABANI!$B$13-VERI_TABANI!$B$14)*VERI_TABANI!G27) + (VERI_TABANI!D27*C807*(VERI_TABANI!$B$13-VERI_TABANI!$B$15)*VERI_TABANI!G27) + IF(ABS(IF(ISNUMBER(SEARCH("Var", D807)), 1, IF(ISNUMBER(SEARCH("Gri", D807)), -1, 0)))=1, VERI_TABANI!E27*(1-0.928)*0.00206091519919798*VERI_TABANI!G27, 0)) + ((MIN(VERI_TABANI!D28, VERI_TABANI!D28*B807)*VERI_TABANI!$B$7 + MAX(0, VERI_TABANI!D28*B807-VERI_TABANI!D28)*VERI_TABANI!$B$8) + (MIN(MAX(0, VERI_TABANI!D28-VERI_TABANI!D28*B807), VERI_TABANI!D28*C807)*VERI_TABANI!$B$7 + MAX(0, VERI_TABANI!D28*C807-MAX(0, VERI_TABANI!D28-VERI_TABANI!D28*B807))*VERI_TABANI!$B$8) + IF(ABS(IF(ISNUMBER(SEARCH("Var", D807)), 1, IF(ISNUMBER(SEARCH("Gri", D807)), -1, 0)))=1, VERI_TABANI!E28*(1-0.928)*VERI_TABANI!$B$9, 0) + (VERI_TABANI!D28*B807*(VERI_TABANI!$B$13-VERI_TABANI!$B$14)*VERI_TABANI!G28) + (VERI_TABANI!D28*C807*(VERI_TABANI!$B$13-VERI_TABANI!$B$15)*VERI_TABANI!G28) + IF(ABS(IF(ISNUMBER(SEARCH("Var", D807)), 1, IF(ISNUMBER(SEARCH("Gri", D807)), -1, 0)))=1, VERI_TABANI!E28*(1-0.928)*0.00206091519919798*VERI_TABANI!G28, 0)))</f>
        <v/>
      </c>
      <c r="H807" s="169">
        <f>(((VERI_TABANI!D23*B807*(VERI_TABANI!$B$13-VERI_TABANI!$B$14)) + (VERI_TABANI!D23*C807*(VERI_TABANI!$B$13-VERI_TABANI!$B$15)) + IF(ISNUMBER(SEARCH("Var", D807)), VERI_TABANI!F23*(0.00202-VERI_TABANI!$B$16), IF(ISNUMBER(SEARCH("Gri", D807)), VERI_TABANI!F23*(0.00202-VERI_TABANI!$B$17), 0))) + ((VERI_TABANI!D24*B807*(VERI_TABANI!$B$13-VERI_TABANI!$B$14)) + (VERI_TABANI!D24*C807*(VERI_TABANI!$B$13-VERI_TABANI!$B$15)) + IF(ISNUMBER(SEARCH("Var", D807)), VERI_TABANI!F24*(0.00202-VERI_TABANI!$B$16), IF(ISNUMBER(SEARCH("Gri", D807)), VERI_TABANI!F24*(0.00202-VERI_TABANI!$B$17), 0))) + ((VERI_TABANI!D25*B807*(VERI_TABANI!$B$13-VERI_TABANI!$B$14)) + (VERI_TABANI!D25*C807*(VERI_TABANI!$B$13-VERI_TABANI!$B$15)) + IF(ISNUMBER(SEARCH("Var", D807)), VERI_TABANI!F25*(0.00202-VERI_TABANI!$B$16), IF(ISNUMBER(SEARCH("Gri", D807)), VERI_TABANI!F25*(0.00202-VERI_TABANI!$B$17), 0))) + ((VERI_TABANI!D26*B807*(VERI_TABANI!$B$13-VERI_TABANI!$B$14)) + (VERI_TABANI!D26*C807*(VERI_TABANI!$B$13-VERI_TABANI!$B$15)) + IF(ISNUMBER(SEARCH("Var", D807)), VERI_TABANI!F26*(0.00202-VERI_TABANI!$B$16), IF(ISNUMBER(SEARCH("Gri", D807)), VERI_TABANI!F26*(0.00202-VERI_TABANI!$B$17), 0))) + ((VERI_TABANI!D27*B807*(VERI_TABANI!$B$13-VERI_TABANI!$B$14)) + (VERI_TABANI!D27*C807*(VERI_TABANI!$B$13-VERI_TABANI!$B$15)) + IF(ISNUMBER(SEARCH("Var", D807)), VERI_TABANI!F27*(0.00202-VERI_TABANI!$B$16), IF(ISNUMBER(SEARCH("Gri", D807)), VERI_TABANI!F27*(0.00202-VERI_TABANI!$B$17), 0))) + ((VERI_TABANI!D28*B807*(VERI_TABANI!$B$13-VERI_TABANI!$B$14)) + (VERI_TABANI!D28*C807*(VERI_TABANI!$B$13-VERI_TABANI!$B$15)) + IF(ISNUMBER(SEARCH("Var", D807)), VERI_TABANI!F28*(0.00202-VERI_TABANI!$B$16), IF(ISNUMBER(SEARCH("Gri", D807)), VERI_TABANI!F28*(0.00202-VERI_TABANI!$B$17), 0))))</f>
        <v/>
      </c>
      <c r="I807" s="170">
        <f>IFERROR(((VERI_TABANI!$D$29*B807*VERI_TABANI!$B$14 + VERI_TABANI!$D$29*C807*VERI_TABANI!$B$15 + IF(ISNUMBER(SEARCH("Var", D807)), VERI_TABANI!$F$29*VERI_TABANI!$B$16, 0))) / (((VERI_TABANI!$D$29*B807 + VERI_TABANI!$D$29*C807)*VERI_TABANI!$B$13 + IF(ISNUMBER(SEARCH("Var", D807)), VERI_TABANI!$E$29*(1-0.928)*VERI_TABANI!$B$18, 0))), 0)</f>
        <v/>
      </c>
      <c r="J807" s="171">
        <f>IFERROR(F807/(G807/29), 0)</f>
        <v/>
      </c>
      <c r="K807" s="172">
        <f>IF(F807&gt;0, H807/F807, 0)</f>
        <v/>
      </c>
      <c r="L807" s="170">
        <f>IF(F807&gt;0, I807, 1000000000)</f>
        <v/>
      </c>
      <c r="M807" s="171">
        <f>ABS((B807+C807)-1)</f>
        <v/>
      </c>
      <c r="N807" s="170">
        <f>IF(F807&gt;0, (G807/29)/F807, 0)</f>
        <v/>
      </c>
      <c r="O807" s="168">
        <f>IF(AND((B807+C807)&gt;=1, ISNUMBER(SEARCH("Var", D807))), F807, 1000000000)</f>
        <v/>
      </c>
      <c r="P807" s="172">
        <f>IF(F807&gt;0, SQRT((F807/MAX(F$5:F$886))^2 + (1 - H807/MAX(H$5:H$886))^2 + (J807/MAX(J$5:J$886))^2), 1000000000)</f>
        <v/>
      </c>
      <c r="Q807" s="166">
        <f>IF(AND(ABS(B807-0.5)&lt;0.01, ABS(C807-0.5)&lt;0.01, ISNUMBER(SEARCH("Var", D807))), 1, 0)</f>
        <v/>
      </c>
      <c r="R807" s="171">
        <f>IF(F807&gt;0, J807, 1000000000)</f>
        <v/>
      </c>
      <c r="S807" s="101">
        <f>IF(AND(F807&lt;=DASHBOARD!$B$11, H807&gt;=DASHBOARD!$B$13), G807, -1000000000000)</f>
        <v/>
      </c>
      <c r="T807" s="101">
        <f>IF(AND(F807&lt;=DASHBOARD!$B$11, H807&gt;=DASHBOARD!$B$13), R807, 1000000000000)</f>
        <v/>
      </c>
      <c r="U807" s="101">
        <f>IF(AND(F807&lt;=DASHBOARD!$B$11, H807&gt;=DASHBOARD!$B$13), N807, -1000000000000)</f>
        <v/>
      </c>
      <c r="V807" s="101">
        <f>IF(AND(F807&lt;=DASHBOARD!$B$11, H807&gt;=DASHBOARD!$B$13), H807, -1000000000000)</f>
        <v/>
      </c>
      <c r="W807" s="101">
        <f>IF(AND(F807&lt;=DASHBOARD!$B$11, H807&gt;=DASHBOARD!$B$13), K807, -1000000000000)</f>
        <v/>
      </c>
      <c r="X807" s="101">
        <f>IF(AND(F807&lt;=DASHBOARD!$B$11, H807&gt;=DASHBOARD!$B$13), M807, 1000000000000)</f>
        <v/>
      </c>
      <c r="Y807" s="101">
        <f>IF(AND(F807&lt;=DASHBOARD!$B$10, H807&gt;=DASHBOARD!$B$11), L807, 1000000000000)</f>
        <v/>
      </c>
      <c r="Z807" s="101">
        <f>IF(AND(F807&lt;=DASHBOARD!$B$10, H807&gt;=DASHBOARD!$B$11), O807, 1000000000000)</f>
        <v/>
      </c>
      <c r="AA807" s="101">
        <f>IF(AND(F807&lt;=DASHBOARD!$B$10, H807&gt;=DASHBOARD!$B$11), P807, 1000000000000)</f>
        <v/>
      </c>
      <c r="AB807" s="101">
        <f>IF(AND(F807&lt;=DASHBOARD!$B$10, H807&gt;=DASHBOARD!$B$11), Q807, -1000000000000)</f>
        <v/>
      </c>
    </row>
    <row r="808" ht="15" customHeight="1" s="102">
      <c r="A808" s="166" t="n">
        <v>804</v>
      </c>
      <c r="B808" s="167" t="n">
        <v>1.9</v>
      </c>
      <c r="C808" s="167" t="n">
        <v>0.2</v>
      </c>
      <c r="D808" s="110" t="inlineStr">
        <is>
          <t>Var (%20)</t>
        </is>
      </c>
      <c r="E808" s="110">
        <f>IF((B808+C808)&lt;=1, "Tam Mahsuplaşma (≤%100)", "Kısmi Satış (&gt;%100)")</f>
        <v/>
      </c>
      <c r="F808" s="168">
        <f>((VERI_TABANI!$D$29*B808/VERI_TABANI!$B$29)/VERI_TABANI!$B$3)*VERI_TABANI!$B$5 + ((VERI_TABANI!$D$29*C808/VERI_TABANI!$B$29)/VERI_TABANI!$B$4)*VERI_TABANI!$B$6 + IF(ISNUMBER(SEARCH("Var", D808)), (VERI_TABANI!$F$29/VERI_TABANI!$B$29)*(VERI_TABANI!$B$10+VERI_TABANI!$B$12), 0)</f>
        <v/>
      </c>
      <c r="G808" s="168">
        <f>(((MIN(VERI_TABANI!D23, VERI_TABANI!D23*B808)*VERI_TABANI!$B$7 + MAX(0, VERI_TABANI!D23*B808-VERI_TABANI!D23)*VERI_TABANI!$B$8) + (MIN(MAX(0, VERI_TABANI!D23-VERI_TABANI!D23*B808), VERI_TABANI!D23*C808)*VERI_TABANI!$B$7 + MAX(0, VERI_TABANI!D23*C808-MAX(0, VERI_TABANI!D23-VERI_TABANI!D23*B808))*VERI_TABANI!$B$8) + IF(ABS(IF(ISNUMBER(SEARCH("Var", D808)), 1, IF(ISNUMBER(SEARCH("Gri", D808)), -1, 0)))=1, VERI_TABANI!E23*(1-0.928)*VERI_TABANI!$B$9, 0) + (VERI_TABANI!D23*B808*(VERI_TABANI!$B$13-VERI_TABANI!$B$14)*VERI_TABANI!G23) + (VERI_TABANI!D23*C808*(VERI_TABANI!$B$13-VERI_TABANI!$B$15)*VERI_TABANI!G23) + IF(ABS(IF(ISNUMBER(SEARCH("Var", D808)), 1, IF(ISNUMBER(SEARCH("Gri", D808)), -1, 0)))=1, VERI_TABANI!E23*(1-0.928)*0.00206091519919798*VERI_TABANI!G23, 0)) + ((MIN(VERI_TABANI!D24, VERI_TABANI!D24*B808)*VERI_TABANI!$B$7 + MAX(0, VERI_TABANI!D24*B808-VERI_TABANI!D24)*VERI_TABANI!$B$8) + (MIN(MAX(0, VERI_TABANI!D24-VERI_TABANI!D24*B808), VERI_TABANI!D24*C808)*VERI_TABANI!$B$7 + MAX(0, VERI_TABANI!D24*C808-MAX(0, VERI_TABANI!D24-VERI_TABANI!D24*B808))*VERI_TABANI!$B$8) + IF(ABS(IF(ISNUMBER(SEARCH("Var", D808)), 1, IF(ISNUMBER(SEARCH("Gri", D808)), -1, 0)))=1, VERI_TABANI!E24*(1-0.928)*VERI_TABANI!$B$9, 0) + (VERI_TABANI!D24*B808*(VERI_TABANI!$B$13-VERI_TABANI!$B$14)*VERI_TABANI!G24) + (VERI_TABANI!D24*C808*(VERI_TABANI!$B$13-VERI_TABANI!$B$15)*VERI_TABANI!G24) + IF(ABS(IF(ISNUMBER(SEARCH("Var", D808)), 1, IF(ISNUMBER(SEARCH("Gri", D808)), -1, 0)))=1, VERI_TABANI!E24*(1-0.928)*0.00206091519919798*VERI_TABANI!G24, 0)) + ((MIN(VERI_TABANI!D25, VERI_TABANI!D25*B808)*VERI_TABANI!$B$7 + MAX(0, VERI_TABANI!D25*B808-VERI_TABANI!D25)*VERI_TABANI!$B$8) + (MIN(MAX(0, VERI_TABANI!D25-VERI_TABANI!D25*B808), VERI_TABANI!D25*C808)*VERI_TABANI!$B$7 + MAX(0, VERI_TABANI!D25*C808-MAX(0, VERI_TABANI!D25-VERI_TABANI!D25*B808))*VERI_TABANI!$B$8) + IF(ABS(IF(ISNUMBER(SEARCH("Var", D808)), 1, IF(ISNUMBER(SEARCH("Gri", D808)), -1, 0)))=1, VERI_TABANI!E25*(1-0.928)*VERI_TABANI!$B$9, 0) + (VERI_TABANI!D25*B808*(VERI_TABANI!$B$13-VERI_TABANI!$B$14)*VERI_TABANI!G25) + (VERI_TABANI!D25*C808*(VERI_TABANI!$B$13-VERI_TABANI!$B$15)*VERI_TABANI!G25) + IF(ABS(IF(ISNUMBER(SEARCH("Var", D808)), 1, IF(ISNUMBER(SEARCH("Gri", D808)), -1, 0)))=1, VERI_TABANI!E25*(1-0.928)*0.00206091519919798*VERI_TABANI!G25, 0)) + ((MIN(VERI_TABANI!D26, VERI_TABANI!D26*B808)*VERI_TABANI!$B$7 + MAX(0, VERI_TABANI!D26*B808-VERI_TABANI!D26)*VERI_TABANI!$B$8) + (MIN(MAX(0, VERI_TABANI!D26-VERI_TABANI!D26*B808), VERI_TABANI!D26*C808)*VERI_TABANI!$B$7 + MAX(0, VERI_TABANI!D26*C808-MAX(0, VERI_TABANI!D26-VERI_TABANI!D26*B808))*VERI_TABANI!$B$8) + IF(ABS(IF(ISNUMBER(SEARCH("Var", D808)), 1, IF(ISNUMBER(SEARCH("Gri", D808)), -1, 0)))=1, VERI_TABANI!E26*(1-0.928)*VERI_TABANI!$B$9, 0) + (VERI_TABANI!D26*B808*(VERI_TABANI!$B$13-VERI_TABANI!$B$14)*VERI_TABANI!G26) + (VERI_TABANI!D26*C808*(VERI_TABANI!$B$13-VERI_TABANI!$B$15)*VERI_TABANI!G26) + IF(ABS(IF(ISNUMBER(SEARCH("Var", D808)), 1, IF(ISNUMBER(SEARCH("Gri", D808)), -1, 0)))=1, VERI_TABANI!E26*(1-0.928)*0.00206091519919798*VERI_TABANI!G26, 0)) + ((MIN(VERI_TABANI!D27, VERI_TABANI!D27*B808)*VERI_TABANI!$B$7 + MAX(0, VERI_TABANI!D27*B808-VERI_TABANI!D27)*VERI_TABANI!$B$8) + (MIN(MAX(0, VERI_TABANI!D27-VERI_TABANI!D27*B808), VERI_TABANI!D27*C808)*VERI_TABANI!$B$7 + MAX(0, VERI_TABANI!D27*C808-MAX(0, VERI_TABANI!D27-VERI_TABANI!D27*B808))*VERI_TABANI!$B$8) + IF(ABS(IF(ISNUMBER(SEARCH("Var", D808)), 1, IF(ISNUMBER(SEARCH("Gri", D808)), -1, 0)))=1, VERI_TABANI!E27*(1-0.928)*VERI_TABANI!$B$9, 0) + (VERI_TABANI!D27*B808*(VERI_TABANI!$B$13-VERI_TABANI!$B$14)*VERI_TABANI!G27) + (VERI_TABANI!D27*C808*(VERI_TABANI!$B$13-VERI_TABANI!$B$15)*VERI_TABANI!G27) + IF(ABS(IF(ISNUMBER(SEARCH("Var", D808)), 1, IF(ISNUMBER(SEARCH("Gri", D808)), -1, 0)))=1, VERI_TABANI!E27*(1-0.928)*0.00206091519919798*VERI_TABANI!G27, 0)) + ((MIN(VERI_TABANI!D28, VERI_TABANI!D28*B808)*VERI_TABANI!$B$7 + MAX(0, VERI_TABANI!D28*B808-VERI_TABANI!D28)*VERI_TABANI!$B$8) + (MIN(MAX(0, VERI_TABANI!D28-VERI_TABANI!D28*B808), VERI_TABANI!D28*C808)*VERI_TABANI!$B$7 + MAX(0, VERI_TABANI!D28*C808-MAX(0, VERI_TABANI!D28-VERI_TABANI!D28*B808))*VERI_TABANI!$B$8) + IF(ABS(IF(ISNUMBER(SEARCH("Var", D808)), 1, IF(ISNUMBER(SEARCH("Gri", D808)), -1, 0)))=1, VERI_TABANI!E28*(1-0.928)*VERI_TABANI!$B$9, 0) + (VERI_TABANI!D28*B808*(VERI_TABANI!$B$13-VERI_TABANI!$B$14)*VERI_TABANI!G28) + (VERI_TABANI!D28*C808*(VERI_TABANI!$B$13-VERI_TABANI!$B$15)*VERI_TABANI!G28) + IF(ABS(IF(ISNUMBER(SEARCH("Var", D808)), 1, IF(ISNUMBER(SEARCH("Gri", D808)), -1, 0)))=1, VERI_TABANI!E28*(1-0.928)*0.00206091519919798*VERI_TABANI!G28, 0)))</f>
        <v/>
      </c>
      <c r="H808" s="169">
        <f>(((VERI_TABANI!D23*B808*(VERI_TABANI!$B$13-VERI_TABANI!$B$14)) + (VERI_TABANI!D23*C808*(VERI_TABANI!$B$13-VERI_TABANI!$B$15)) + IF(ISNUMBER(SEARCH("Var", D808)), VERI_TABANI!F23*(0.00202-VERI_TABANI!$B$16), IF(ISNUMBER(SEARCH("Gri", D808)), VERI_TABANI!F23*(0.00202-VERI_TABANI!$B$17), 0))) + ((VERI_TABANI!D24*B808*(VERI_TABANI!$B$13-VERI_TABANI!$B$14)) + (VERI_TABANI!D24*C808*(VERI_TABANI!$B$13-VERI_TABANI!$B$15)) + IF(ISNUMBER(SEARCH("Var", D808)), VERI_TABANI!F24*(0.00202-VERI_TABANI!$B$16), IF(ISNUMBER(SEARCH("Gri", D808)), VERI_TABANI!F24*(0.00202-VERI_TABANI!$B$17), 0))) + ((VERI_TABANI!D25*B808*(VERI_TABANI!$B$13-VERI_TABANI!$B$14)) + (VERI_TABANI!D25*C808*(VERI_TABANI!$B$13-VERI_TABANI!$B$15)) + IF(ISNUMBER(SEARCH("Var", D808)), VERI_TABANI!F25*(0.00202-VERI_TABANI!$B$16), IF(ISNUMBER(SEARCH("Gri", D808)), VERI_TABANI!F25*(0.00202-VERI_TABANI!$B$17), 0))) + ((VERI_TABANI!D26*B808*(VERI_TABANI!$B$13-VERI_TABANI!$B$14)) + (VERI_TABANI!D26*C808*(VERI_TABANI!$B$13-VERI_TABANI!$B$15)) + IF(ISNUMBER(SEARCH("Var", D808)), VERI_TABANI!F26*(0.00202-VERI_TABANI!$B$16), IF(ISNUMBER(SEARCH("Gri", D808)), VERI_TABANI!F26*(0.00202-VERI_TABANI!$B$17), 0))) + ((VERI_TABANI!D27*B808*(VERI_TABANI!$B$13-VERI_TABANI!$B$14)) + (VERI_TABANI!D27*C808*(VERI_TABANI!$B$13-VERI_TABANI!$B$15)) + IF(ISNUMBER(SEARCH("Var", D808)), VERI_TABANI!F27*(0.00202-VERI_TABANI!$B$16), IF(ISNUMBER(SEARCH("Gri", D808)), VERI_TABANI!F27*(0.00202-VERI_TABANI!$B$17), 0))) + ((VERI_TABANI!D28*B808*(VERI_TABANI!$B$13-VERI_TABANI!$B$14)) + (VERI_TABANI!D28*C808*(VERI_TABANI!$B$13-VERI_TABANI!$B$15)) + IF(ISNUMBER(SEARCH("Var", D808)), VERI_TABANI!F28*(0.00202-VERI_TABANI!$B$16), IF(ISNUMBER(SEARCH("Gri", D808)), VERI_TABANI!F28*(0.00202-VERI_TABANI!$B$17), 0))))</f>
        <v/>
      </c>
      <c r="I808" s="170">
        <f>IFERROR(((VERI_TABANI!$D$29*B808*VERI_TABANI!$B$14 + VERI_TABANI!$D$29*C808*VERI_TABANI!$B$15 + IF(ISNUMBER(SEARCH("Var", D808)), VERI_TABANI!$F$29*VERI_TABANI!$B$16, 0))) / (((VERI_TABANI!$D$29*B808 + VERI_TABANI!$D$29*C808)*VERI_TABANI!$B$13 + IF(ISNUMBER(SEARCH("Var", D808)), VERI_TABANI!$E$29*(1-0.928)*VERI_TABANI!$B$18, 0))), 0)</f>
        <v/>
      </c>
      <c r="J808" s="171">
        <f>IFERROR(F808/(G808/29), 0)</f>
        <v/>
      </c>
      <c r="K808" s="172">
        <f>IF(F808&gt;0, H808/F808, 0)</f>
        <v/>
      </c>
      <c r="L808" s="170">
        <f>IF(F808&gt;0, I808, 1000000000)</f>
        <v/>
      </c>
      <c r="M808" s="171">
        <f>ABS((B808+C808)-1)</f>
        <v/>
      </c>
      <c r="N808" s="170">
        <f>IF(F808&gt;0, (G808/29)/F808, 0)</f>
        <v/>
      </c>
      <c r="O808" s="168">
        <f>IF(AND((B808+C808)&gt;=1, ISNUMBER(SEARCH("Var", D808))), F808, 1000000000)</f>
        <v/>
      </c>
      <c r="P808" s="172">
        <f>IF(F808&gt;0, SQRT((F808/MAX(F$5:F$886))^2 + (1 - H808/MAX(H$5:H$886))^2 + (J808/MAX(J$5:J$886))^2), 1000000000)</f>
        <v/>
      </c>
      <c r="Q808" s="166">
        <f>IF(AND(ABS(B808-0.5)&lt;0.01, ABS(C808-0.5)&lt;0.01, ISNUMBER(SEARCH("Var", D808))), 1, 0)</f>
        <v/>
      </c>
      <c r="R808" s="171">
        <f>IF(F808&gt;0, J808, 1000000000)</f>
        <v/>
      </c>
      <c r="S808" s="101">
        <f>IF(AND(F808&lt;=DASHBOARD!$B$11, H808&gt;=DASHBOARD!$B$13), G808, -1000000000000)</f>
        <v/>
      </c>
      <c r="T808" s="101">
        <f>IF(AND(F808&lt;=DASHBOARD!$B$11, H808&gt;=DASHBOARD!$B$13), R808, 1000000000000)</f>
        <v/>
      </c>
      <c r="U808" s="101">
        <f>IF(AND(F808&lt;=DASHBOARD!$B$11, H808&gt;=DASHBOARD!$B$13), N808, -1000000000000)</f>
        <v/>
      </c>
      <c r="V808" s="101">
        <f>IF(AND(F808&lt;=DASHBOARD!$B$11, H808&gt;=DASHBOARD!$B$13), H808, -1000000000000)</f>
        <v/>
      </c>
      <c r="W808" s="101">
        <f>IF(AND(F808&lt;=DASHBOARD!$B$11, H808&gt;=DASHBOARD!$B$13), K808, -1000000000000)</f>
        <v/>
      </c>
      <c r="X808" s="101">
        <f>IF(AND(F808&lt;=DASHBOARD!$B$11, H808&gt;=DASHBOARD!$B$13), M808, 1000000000000)</f>
        <v/>
      </c>
      <c r="Y808" s="101">
        <f>IF(AND(F808&lt;=DASHBOARD!$B$10, H808&gt;=DASHBOARD!$B$11), L808, 1000000000000)</f>
        <v/>
      </c>
      <c r="Z808" s="101">
        <f>IF(AND(F808&lt;=DASHBOARD!$B$10, H808&gt;=DASHBOARD!$B$11), O808, 1000000000000)</f>
        <v/>
      </c>
      <c r="AA808" s="101">
        <f>IF(AND(F808&lt;=DASHBOARD!$B$10, H808&gt;=DASHBOARD!$B$11), P808, 1000000000000)</f>
        <v/>
      </c>
      <c r="AB808" s="101">
        <f>IF(AND(F808&lt;=DASHBOARD!$B$10, H808&gt;=DASHBOARD!$B$11), Q808, -1000000000000)</f>
        <v/>
      </c>
    </row>
    <row r="809" ht="15" customHeight="1" s="102">
      <c r="A809" s="166" t="n">
        <v>805</v>
      </c>
      <c r="B809" s="167" t="n">
        <v>1.9</v>
      </c>
      <c r="C809" s="167" t="n">
        <v>0.3</v>
      </c>
      <c r="D809" s="110" t="inlineStr">
        <is>
          <t>Yok (%0)</t>
        </is>
      </c>
      <c r="E809" s="110">
        <f>IF((B809+C809)&lt;=1, "Tam Mahsuplaşma (≤%100)", "Kısmi Satış (&gt;%100)")</f>
        <v/>
      </c>
      <c r="F809" s="168">
        <f>((VERI_TABANI!$D$29*B809/VERI_TABANI!$B$29)/VERI_TABANI!$B$3)*VERI_TABANI!$B$5 + ((VERI_TABANI!$D$29*C809/VERI_TABANI!$B$29)/VERI_TABANI!$B$4)*VERI_TABANI!$B$6 + IF(ISNUMBER(SEARCH("Var", D809)), (VERI_TABANI!$F$29/VERI_TABANI!$B$29)*(VERI_TABANI!$B$10+VERI_TABANI!$B$12), 0)</f>
        <v/>
      </c>
      <c r="G809" s="168">
        <f>(((MIN(VERI_TABANI!D23, VERI_TABANI!D23*B809)*VERI_TABANI!$B$7 + MAX(0, VERI_TABANI!D23*B809-VERI_TABANI!D23)*VERI_TABANI!$B$8) + (MIN(MAX(0, VERI_TABANI!D23-VERI_TABANI!D23*B809), VERI_TABANI!D23*C809)*VERI_TABANI!$B$7 + MAX(0, VERI_TABANI!D23*C809-MAX(0, VERI_TABANI!D23-VERI_TABANI!D23*B809))*VERI_TABANI!$B$8) + IF(ABS(IF(ISNUMBER(SEARCH("Var", D809)), 1, IF(ISNUMBER(SEARCH("Gri", D809)), -1, 0)))=1, VERI_TABANI!E23*(1-0.928)*VERI_TABANI!$B$9, 0) + (VERI_TABANI!D23*B809*(VERI_TABANI!$B$13-VERI_TABANI!$B$14)*VERI_TABANI!G23) + (VERI_TABANI!D23*C809*(VERI_TABANI!$B$13-VERI_TABANI!$B$15)*VERI_TABANI!G23) + IF(ABS(IF(ISNUMBER(SEARCH("Var", D809)), 1, IF(ISNUMBER(SEARCH("Gri", D809)), -1, 0)))=1, VERI_TABANI!E23*(1-0.928)*0.00206091519919798*VERI_TABANI!G23, 0)) + ((MIN(VERI_TABANI!D24, VERI_TABANI!D24*B809)*VERI_TABANI!$B$7 + MAX(0, VERI_TABANI!D24*B809-VERI_TABANI!D24)*VERI_TABANI!$B$8) + (MIN(MAX(0, VERI_TABANI!D24-VERI_TABANI!D24*B809), VERI_TABANI!D24*C809)*VERI_TABANI!$B$7 + MAX(0, VERI_TABANI!D24*C809-MAX(0, VERI_TABANI!D24-VERI_TABANI!D24*B809))*VERI_TABANI!$B$8) + IF(ABS(IF(ISNUMBER(SEARCH("Var", D809)), 1, IF(ISNUMBER(SEARCH("Gri", D809)), -1, 0)))=1, VERI_TABANI!E24*(1-0.928)*VERI_TABANI!$B$9, 0) + (VERI_TABANI!D24*B809*(VERI_TABANI!$B$13-VERI_TABANI!$B$14)*VERI_TABANI!G24) + (VERI_TABANI!D24*C809*(VERI_TABANI!$B$13-VERI_TABANI!$B$15)*VERI_TABANI!G24) + IF(ABS(IF(ISNUMBER(SEARCH("Var", D809)), 1, IF(ISNUMBER(SEARCH("Gri", D809)), -1, 0)))=1, VERI_TABANI!E24*(1-0.928)*0.00206091519919798*VERI_TABANI!G24, 0)) + ((MIN(VERI_TABANI!D25, VERI_TABANI!D25*B809)*VERI_TABANI!$B$7 + MAX(0, VERI_TABANI!D25*B809-VERI_TABANI!D25)*VERI_TABANI!$B$8) + (MIN(MAX(0, VERI_TABANI!D25-VERI_TABANI!D25*B809), VERI_TABANI!D25*C809)*VERI_TABANI!$B$7 + MAX(0, VERI_TABANI!D25*C809-MAX(0, VERI_TABANI!D25-VERI_TABANI!D25*B809))*VERI_TABANI!$B$8) + IF(ABS(IF(ISNUMBER(SEARCH("Var", D809)), 1, IF(ISNUMBER(SEARCH("Gri", D809)), -1, 0)))=1, VERI_TABANI!E25*(1-0.928)*VERI_TABANI!$B$9, 0) + (VERI_TABANI!D25*B809*(VERI_TABANI!$B$13-VERI_TABANI!$B$14)*VERI_TABANI!G25) + (VERI_TABANI!D25*C809*(VERI_TABANI!$B$13-VERI_TABANI!$B$15)*VERI_TABANI!G25) + IF(ABS(IF(ISNUMBER(SEARCH("Var", D809)), 1, IF(ISNUMBER(SEARCH("Gri", D809)), -1, 0)))=1, VERI_TABANI!E25*(1-0.928)*0.00206091519919798*VERI_TABANI!G25, 0)) + ((MIN(VERI_TABANI!D26, VERI_TABANI!D26*B809)*VERI_TABANI!$B$7 + MAX(0, VERI_TABANI!D26*B809-VERI_TABANI!D26)*VERI_TABANI!$B$8) + (MIN(MAX(0, VERI_TABANI!D26-VERI_TABANI!D26*B809), VERI_TABANI!D26*C809)*VERI_TABANI!$B$7 + MAX(0, VERI_TABANI!D26*C809-MAX(0, VERI_TABANI!D26-VERI_TABANI!D26*B809))*VERI_TABANI!$B$8) + IF(ABS(IF(ISNUMBER(SEARCH("Var", D809)), 1, IF(ISNUMBER(SEARCH("Gri", D809)), -1, 0)))=1, VERI_TABANI!E26*(1-0.928)*VERI_TABANI!$B$9, 0) + (VERI_TABANI!D26*B809*(VERI_TABANI!$B$13-VERI_TABANI!$B$14)*VERI_TABANI!G26) + (VERI_TABANI!D26*C809*(VERI_TABANI!$B$13-VERI_TABANI!$B$15)*VERI_TABANI!G26) + IF(ABS(IF(ISNUMBER(SEARCH("Var", D809)), 1, IF(ISNUMBER(SEARCH("Gri", D809)), -1, 0)))=1, VERI_TABANI!E26*(1-0.928)*0.00206091519919798*VERI_TABANI!G26, 0)) + ((MIN(VERI_TABANI!D27, VERI_TABANI!D27*B809)*VERI_TABANI!$B$7 + MAX(0, VERI_TABANI!D27*B809-VERI_TABANI!D27)*VERI_TABANI!$B$8) + (MIN(MAX(0, VERI_TABANI!D27-VERI_TABANI!D27*B809), VERI_TABANI!D27*C809)*VERI_TABANI!$B$7 + MAX(0, VERI_TABANI!D27*C809-MAX(0, VERI_TABANI!D27-VERI_TABANI!D27*B809))*VERI_TABANI!$B$8) + IF(ABS(IF(ISNUMBER(SEARCH("Var", D809)), 1, IF(ISNUMBER(SEARCH("Gri", D809)), -1, 0)))=1, VERI_TABANI!E27*(1-0.928)*VERI_TABANI!$B$9, 0) + (VERI_TABANI!D27*B809*(VERI_TABANI!$B$13-VERI_TABANI!$B$14)*VERI_TABANI!G27) + (VERI_TABANI!D27*C809*(VERI_TABANI!$B$13-VERI_TABANI!$B$15)*VERI_TABANI!G27) + IF(ABS(IF(ISNUMBER(SEARCH("Var", D809)), 1, IF(ISNUMBER(SEARCH("Gri", D809)), -1, 0)))=1, VERI_TABANI!E27*(1-0.928)*0.00206091519919798*VERI_TABANI!G27, 0)) + ((MIN(VERI_TABANI!D28, VERI_TABANI!D28*B809)*VERI_TABANI!$B$7 + MAX(0, VERI_TABANI!D28*B809-VERI_TABANI!D28)*VERI_TABANI!$B$8) + (MIN(MAX(0, VERI_TABANI!D28-VERI_TABANI!D28*B809), VERI_TABANI!D28*C809)*VERI_TABANI!$B$7 + MAX(0, VERI_TABANI!D28*C809-MAX(0, VERI_TABANI!D28-VERI_TABANI!D28*B809))*VERI_TABANI!$B$8) + IF(ABS(IF(ISNUMBER(SEARCH("Var", D809)), 1, IF(ISNUMBER(SEARCH("Gri", D809)), -1, 0)))=1, VERI_TABANI!E28*(1-0.928)*VERI_TABANI!$B$9, 0) + (VERI_TABANI!D28*B809*(VERI_TABANI!$B$13-VERI_TABANI!$B$14)*VERI_TABANI!G28) + (VERI_TABANI!D28*C809*(VERI_TABANI!$B$13-VERI_TABANI!$B$15)*VERI_TABANI!G28) + IF(ABS(IF(ISNUMBER(SEARCH("Var", D809)), 1, IF(ISNUMBER(SEARCH("Gri", D809)), -1, 0)))=1, VERI_TABANI!E28*(1-0.928)*0.00206091519919798*VERI_TABANI!G28, 0)))</f>
        <v/>
      </c>
      <c r="H809" s="169">
        <f>(((VERI_TABANI!D23*B809*(VERI_TABANI!$B$13-VERI_TABANI!$B$14)) + (VERI_TABANI!D23*C809*(VERI_TABANI!$B$13-VERI_TABANI!$B$15)) + IF(ISNUMBER(SEARCH("Var", D809)), VERI_TABANI!F23*(0.00202-VERI_TABANI!$B$16), IF(ISNUMBER(SEARCH("Gri", D809)), VERI_TABANI!F23*(0.00202-VERI_TABANI!$B$17), 0))) + ((VERI_TABANI!D24*B809*(VERI_TABANI!$B$13-VERI_TABANI!$B$14)) + (VERI_TABANI!D24*C809*(VERI_TABANI!$B$13-VERI_TABANI!$B$15)) + IF(ISNUMBER(SEARCH("Var", D809)), VERI_TABANI!F24*(0.00202-VERI_TABANI!$B$16), IF(ISNUMBER(SEARCH("Gri", D809)), VERI_TABANI!F24*(0.00202-VERI_TABANI!$B$17), 0))) + ((VERI_TABANI!D25*B809*(VERI_TABANI!$B$13-VERI_TABANI!$B$14)) + (VERI_TABANI!D25*C809*(VERI_TABANI!$B$13-VERI_TABANI!$B$15)) + IF(ISNUMBER(SEARCH("Var", D809)), VERI_TABANI!F25*(0.00202-VERI_TABANI!$B$16), IF(ISNUMBER(SEARCH("Gri", D809)), VERI_TABANI!F25*(0.00202-VERI_TABANI!$B$17), 0))) + ((VERI_TABANI!D26*B809*(VERI_TABANI!$B$13-VERI_TABANI!$B$14)) + (VERI_TABANI!D26*C809*(VERI_TABANI!$B$13-VERI_TABANI!$B$15)) + IF(ISNUMBER(SEARCH("Var", D809)), VERI_TABANI!F26*(0.00202-VERI_TABANI!$B$16), IF(ISNUMBER(SEARCH("Gri", D809)), VERI_TABANI!F26*(0.00202-VERI_TABANI!$B$17), 0))) + ((VERI_TABANI!D27*B809*(VERI_TABANI!$B$13-VERI_TABANI!$B$14)) + (VERI_TABANI!D27*C809*(VERI_TABANI!$B$13-VERI_TABANI!$B$15)) + IF(ISNUMBER(SEARCH("Var", D809)), VERI_TABANI!F27*(0.00202-VERI_TABANI!$B$16), IF(ISNUMBER(SEARCH("Gri", D809)), VERI_TABANI!F27*(0.00202-VERI_TABANI!$B$17), 0))) + ((VERI_TABANI!D28*B809*(VERI_TABANI!$B$13-VERI_TABANI!$B$14)) + (VERI_TABANI!D28*C809*(VERI_TABANI!$B$13-VERI_TABANI!$B$15)) + IF(ISNUMBER(SEARCH("Var", D809)), VERI_TABANI!F28*(0.00202-VERI_TABANI!$B$16), IF(ISNUMBER(SEARCH("Gri", D809)), VERI_TABANI!F28*(0.00202-VERI_TABANI!$B$17), 0))))</f>
        <v/>
      </c>
      <c r="I809" s="170">
        <f>IFERROR(((VERI_TABANI!$D$29*B809*VERI_TABANI!$B$14 + VERI_TABANI!$D$29*C809*VERI_TABANI!$B$15 + IF(ISNUMBER(SEARCH("Var", D809)), VERI_TABANI!$F$29*VERI_TABANI!$B$16, 0))) / (((VERI_TABANI!$D$29*B809 + VERI_TABANI!$D$29*C809)*VERI_TABANI!$B$13 + IF(ISNUMBER(SEARCH("Var", D809)), VERI_TABANI!$E$29*(1-0.928)*VERI_TABANI!$B$18, 0))), 0)</f>
        <v/>
      </c>
      <c r="J809" s="171">
        <f>IFERROR(F809/(G809/29), 0)</f>
        <v/>
      </c>
      <c r="K809" s="172">
        <f>IF(F809&gt;0, H809/F809, 0)</f>
        <v/>
      </c>
      <c r="L809" s="170">
        <f>IF(F809&gt;0, I809, 1000000000)</f>
        <v/>
      </c>
      <c r="M809" s="171">
        <f>ABS((B809+C809)-1)</f>
        <v/>
      </c>
      <c r="N809" s="170">
        <f>IF(F809&gt;0, (G809/29)/F809, 0)</f>
        <v/>
      </c>
      <c r="O809" s="168">
        <f>IF(AND((B809+C809)&gt;=1, ISNUMBER(SEARCH("Var", D809))), F809, 1000000000)</f>
        <v/>
      </c>
      <c r="P809" s="172">
        <f>IF(F809&gt;0, SQRT((F809/MAX(F$5:F$886))^2 + (1 - H809/MAX(H$5:H$886))^2 + (J809/MAX(J$5:J$886))^2), 1000000000)</f>
        <v/>
      </c>
      <c r="Q809" s="166">
        <f>IF(AND(ABS(B809-0.5)&lt;0.01, ABS(C809-0.5)&lt;0.01, ISNUMBER(SEARCH("Var", D809))), 1, 0)</f>
        <v/>
      </c>
      <c r="R809" s="171">
        <f>IF(F809&gt;0, J809, 1000000000)</f>
        <v/>
      </c>
      <c r="S809" s="101">
        <f>IF(AND(F809&lt;=DASHBOARD!$B$11, H809&gt;=DASHBOARD!$B$13), G809, -1000000000000)</f>
        <v/>
      </c>
      <c r="T809" s="101">
        <f>IF(AND(F809&lt;=DASHBOARD!$B$11, H809&gt;=DASHBOARD!$B$13), R809, 1000000000000)</f>
        <v/>
      </c>
      <c r="U809" s="101">
        <f>IF(AND(F809&lt;=DASHBOARD!$B$11, H809&gt;=DASHBOARD!$B$13), N809, -1000000000000)</f>
        <v/>
      </c>
      <c r="V809" s="101">
        <f>IF(AND(F809&lt;=DASHBOARD!$B$11, H809&gt;=DASHBOARD!$B$13), H809, -1000000000000)</f>
        <v/>
      </c>
      <c r="W809" s="101">
        <f>IF(AND(F809&lt;=DASHBOARD!$B$11, H809&gt;=DASHBOARD!$B$13), K809, -1000000000000)</f>
        <v/>
      </c>
      <c r="X809" s="101">
        <f>IF(AND(F809&lt;=DASHBOARD!$B$11, H809&gt;=DASHBOARD!$B$13), M809, 1000000000000)</f>
        <v/>
      </c>
      <c r="Y809" s="101">
        <f>IF(AND(F809&lt;=DASHBOARD!$B$10, H809&gt;=DASHBOARD!$B$11), L809, 1000000000000)</f>
        <v/>
      </c>
      <c r="Z809" s="101">
        <f>IF(AND(F809&lt;=DASHBOARD!$B$10, H809&gt;=DASHBOARD!$B$11), O809, 1000000000000)</f>
        <v/>
      </c>
      <c r="AA809" s="101">
        <f>IF(AND(F809&lt;=DASHBOARD!$B$10, H809&gt;=DASHBOARD!$B$11), P809, 1000000000000)</f>
        <v/>
      </c>
      <c r="AB809" s="101">
        <f>IF(AND(F809&lt;=DASHBOARD!$B$10, H809&gt;=DASHBOARD!$B$11), Q809, -1000000000000)</f>
        <v/>
      </c>
    </row>
    <row r="810" ht="15" customHeight="1" s="102">
      <c r="A810" s="166" t="n">
        <v>806</v>
      </c>
      <c r="B810" s="167" t="n">
        <v>1.9</v>
      </c>
      <c r="C810" s="167" t="n">
        <v>0.3</v>
      </c>
      <c r="D810" s="110" t="inlineStr">
        <is>
          <t>Var (%20)</t>
        </is>
      </c>
      <c r="E810" s="110">
        <f>IF((B810+C810)&lt;=1, "Tam Mahsuplaşma (≤%100)", "Kısmi Satış (&gt;%100)")</f>
        <v/>
      </c>
      <c r="F810" s="168">
        <f>((VERI_TABANI!$D$29*B810/VERI_TABANI!$B$29)/VERI_TABANI!$B$3)*VERI_TABANI!$B$5 + ((VERI_TABANI!$D$29*C810/VERI_TABANI!$B$29)/VERI_TABANI!$B$4)*VERI_TABANI!$B$6 + IF(ISNUMBER(SEARCH("Var", D810)), (VERI_TABANI!$F$29/VERI_TABANI!$B$29)*(VERI_TABANI!$B$10+VERI_TABANI!$B$12), 0)</f>
        <v/>
      </c>
      <c r="G810" s="168">
        <f>(((MIN(VERI_TABANI!D23, VERI_TABANI!D23*B810)*VERI_TABANI!$B$7 + MAX(0, VERI_TABANI!D23*B810-VERI_TABANI!D23)*VERI_TABANI!$B$8) + (MIN(MAX(0, VERI_TABANI!D23-VERI_TABANI!D23*B810), VERI_TABANI!D23*C810)*VERI_TABANI!$B$7 + MAX(0, VERI_TABANI!D23*C810-MAX(0, VERI_TABANI!D23-VERI_TABANI!D23*B810))*VERI_TABANI!$B$8) + IF(ABS(IF(ISNUMBER(SEARCH("Var", D810)), 1, IF(ISNUMBER(SEARCH("Gri", D810)), -1, 0)))=1, VERI_TABANI!E23*(1-0.928)*VERI_TABANI!$B$9, 0) + (VERI_TABANI!D23*B810*(VERI_TABANI!$B$13-VERI_TABANI!$B$14)*VERI_TABANI!G23) + (VERI_TABANI!D23*C810*(VERI_TABANI!$B$13-VERI_TABANI!$B$15)*VERI_TABANI!G23) + IF(ABS(IF(ISNUMBER(SEARCH("Var", D810)), 1, IF(ISNUMBER(SEARCH("Gri", D810)), -1, 0)))=1, VERI_TABANI!E23*(1-0.928)*0.00206091519919798*VERI_TABANI!G23, 0)) + ((MIN(VERI_TABANI!D24, VERI_TABANI!D24*B810)*VERI_TABANI!$B$7 + MAX(0, VERI_TABANI!D24*B810-VERI_TABANI!D24)*VERI_TABANI!$B$8) + (MIN(MAX(0, VERI_TABANI!D24-VERI_TABANI!D24*B810), VERI_TABANI!D24*C810)*VERI_TABANI!$B$7 + MAX(0, VERI_TABANI!D24*C810-MAX(0, VERI_TABANI!D24-VERI_TABANI!D24*B810))*VERI_TABANI!$B$8) + IF(ABS(IF(ISNUMBER(SEARCH("Var", D810)), 1, IF(ISNUMBER(SEARCH("Gri", D810)), -1, 0)))=1, VERI_TABANI!E24*(1-0.928)*VERI_TABANI!$B$9, 0) + (VERI_TABANI!D24*B810*(VERI_TABANI!$B$13-VERI_TABANI!$B$14)*VERI_TABANI!G24) + (VERI_TABANI!D24*C810*(VERI_TABANI!$B$13-VERI_TABANI!$B$15)*VERI_TABANI!G24) + IF(ABS(IF(ISNUMBER(SEARCH("Var", D810)), 1, IF(ISNUMBER(SEARCH("Gri", D810)), -1, 0)))=1, VERI_TABANI!E24*(1-0.928)*0.00206091519919798*VERI_TABANI!G24, 0)) + ((MIN(VERI_TABANI!D25, VERI_TABANI!D25*B810)*VERI_TABANI!$B$7 + MAX(0, VERI_TABANI!D25*B810-VERI_TABANI!D25)*VERI_TABANI!$B$8) + (MIN(MAX(0, VERI_TABANI!D25-VERI_TABANI!D25*B810), VERI_TABANI!D25*C810)*VERI_TABANI!$B$7 + MAX(0, VERI_TABANI!D25*C810-MAX(0, VERI_TABANI!D25-VERI_TABANI!D25*B810))*VERI_TABANI!$B$8) + IF(ABS(IF(ISNUMBER(SEARCH("Var", D810)), 1, IF(ISNUMBER(SEARCH("Gri", D810)), -1, 0)))=1, VERI_TABANI!E25*(1-0.928)*VERI_TABANI!$B$9, 0) + (VERI_TABANI!D25*B810*(VERI_TABANI!$B$13-VERI_TABANI!$B$14)*VERI_TABANI!G25) + (VERI_TABANI!D25*C810*(VERI_TABANI!$B$13-VERI_TABANI!$B$15)*VERI_TABANI!G25) + IF(ABS(IF(ISNUMBER(SEARCH("Var", D810)), 1, IF(ISNUMBER(SEARCH("Gri", D810)), -1, 0)))=1, VERI_TABANI!E25*(1-0.928)*0.00206091519919798*VERI_TABANI!G25, 0)) + ((MIN(VERI_TABANI!D26, VERI_TABANI!D26*B810)*VERI_TABANI!$B$7 + MAX(0, VERI_TABANI!D26*B810-VERI_TABANI!D26)*VERI_TABANI!$B$8) + (MIN(MAX(0, VERI_TABANI!D26-VERI_TABANI!D26*B810), VERI_TABANI!D26*C810)*VERI_TABANI!$B$7 + MAX(0, VERI_TABANI!D26*C810-MAX(0, VERI_TABANI!D26-VERI_TABANI!D26*B810))*VERI_TABANI!$B$8) + IF(ABS(IF(ISNUMBER(SEARCH("Var", D810)), 1, IF(ISNUMBER(SEARCH("Gri", D810)), -1, 0)))=1, VERI_TABANI!E26*(1-0.928)*VERI_TABANI!$B$9, 0) + (VERI_TABANI!D26*B810*(VERI_TABANI!$B$13-VERI_TABANI!$B$14)*VERI_TABANI!G26) + (VERI_TABANI!D26*C810*(VERI_TABANI!$B$13-VERI_TABANI!$B$15)*VERI_TABANI!G26) + IF(ABS(IF(ISNUMBER(SEARCH("Var", D810)), 1, IF(ISNUMBER(SEARCH("Gri", D810)), -1, 0)))=1, VERI_TABANI!E26*(1-0.928)*0.00206091519919798*VERI_TABANI!G26, 0)) + ((MIN(VERI_TABANI!D27, VERI_TABANI!D27*B810)*VERI_TABANI!$B$7 + MAX(0, VERI_TABANI!D27*B810-VERI_TABANI!D27)*VERI_TABANI!$B$8) + (MIN(MAX(0, VERI_TABANI!D27-VERI_TABANI!D27*B810), VERI_TABANI!D27*C810)*VERI_TABANI!$B$7 + MAX(0, VERI_TABANI!D27*C810-MAX(0, VERI_TABANI!D27-VERI_TABANI!D27*B810))*VERI_TABANI!$B$8) + IF(ABS(IF(ISNUMBER(SEARCH("Var", D810)), 1, IF(ISNUMBER(SEARCH("Gri", D810)), -1, 0)))=1, VERI_TABANI!E27*(1-0.928)*VERI_TABANI!$B$9, 0) + (VERI_TABANI!D27*B810*(VERI_TABANI!$B$13-VERI_TABANI!$B$14)*VERI_TABANI!G27) + (VERI_TABANI!D27*C810*(VERI_TABANI!$B$13-VERI_TABANI!$B$15)*VERI_TABANI!G27) + IF(ABS(IF(ISNUMBER(SEARCH("Var", D810)), 1, IF(ISNUMBER(SEARCH("Gri", D810)), -1, 0)))=1, VERI_TABANI!E27*(1-0.928)*0.00206091519919798*VERI_TABANI!G27, 0)) + ((MIN(VERI_TABANI!D28, VERI_TABANI!D28*B810)*VERI_TABANI!$B$7 + MAX(0, VERI_TABANI!D28*B810-VERI_TABANI!D28)*VERI_TABANI!$B$8) + (MIN(MAX(0, VERI_TABANI!D28-VERI_TABANI!D28*B810), VERI_TABANI!D28*C810)*VERI_TABANI!$B$7 + MAX(0, VERI_TABANI!D28*C810-MAX(0, VERI_TABANI!D28-VERI_TABANI!D28*B810))*VERI_TABANI!$B$8) + IF(ABS(IF(ISNUMBER(SEARCH("Var", D810)), 1, IF(ISNUMBER(SEARCH("Gri", D810)), -1, 0)))=1, VERI_TABANI!E28*(1-0.928)*VERI_TABANI!$B$9, 0) + (VERI_TABANI!D28*B810*(VERI_TABANI!$B$13-VERI_TABANI!$B$14)*VERI_TABANI!G28) + (VERI_TABANI!D28*C810*(VERI_TABANI!$B$13-VERI_TABANI!$B$15)*VERI_TABANI!G28) + IF(ABS(IF(ISNUMBER(SEARCH("Var", D810)), 1, IF(ISNUMBER(SEARCH("Gri", D810)), -1, 0)))=1, VERI_TABANI!E28*(1-0.928)*0.00206091519919798*VERI_TABANI!G28, 0)))</f>
        <v/>
      </c>
      <c r="H810" s="169">
        <f>(((VERI_TABANI!D23*B810*(VERI_TABANI!$B$13-VERI_TABANI!$B$14)) + (VERI_TABANI!D23*C810*(VERI_TABANI!$B$13-VERI_TABANI!$B$15)) + IF(ISNUMBER(SEARCH("Var", D810)), VERI_TABANI!F23*(0.00202-VERI_TABANI!$B$16), IF(ISNUMBER(SEARCH("Gri", D810)), VERI_TABANI!F23*(0.00202-VERI_TABANI!$B$17), 0))) + ((VERI_TABANI!D24*B810*(VERI_TABANI!$B$13-VERI_TABANI!$B$14)) + (VERI_TABANI!D24*C810*(VERI_TABANI!$B$13-VERI_TABANI!$B$15)) + IF(ISNUMBER(SEARCH("Var", D810)), VERI_TABANI!F24*(0.00202-VERI_TABANI!$B$16), IF(ISNUMBER(SEARCH("Gri", D810)), VERI_TABANI!F24*(0.00202-VERI_TABANI!$B$17), 0))) + ((VERI_TABANI!D25*B810*(VERI_TABANI!$B$13-VERI_TABANI!$B$14)) + (VERI_TABANI!D25*C810*(VERI_TABANI!$B$13-VERI_TABANI!$B$15)) + IF(ISNUMBER(SEARCH("Var", D810)), VERI_TABANI!F25*(0.00202-VERI_TABANI!$B$16), IF(ISNUMBER(SEARCH("Gri", D810)), VERI_TABANI!F25*(0.00202-VERI_TABANI!$B$17), 0))) + ((VERI_TABANI!D26*B810*(VERI_TABANI!$B$13-VERI_TABANI!$B$14)) + (VERI_TABANI!D26*C810*(VERI_TABANI!$B$13-VERI_TABANI!$B$15)) + IF(ISNUMBER(SEARCH("Var", D810)), VERI_TABANI!F26*(0.00202-VERI_TABANI!$B$16), IF(ISNUMBER(SEARCH("Gri", D810)), VERI_TABANI!F26*(0.00202-VERI_TABANI!$B$17), 0))) + ((VERI_TABANI!D27*B810*(VERI_TABANI!$B$13-VERI_TABANI!$B$14)) + (VERI_TABANI!D27*C810*(VERI_TABANI!$B$13-VERI_TABANI!$B$15)) + IF(ISNUMBER(SEARCH("Var", D810)), VERI_TABANI!F27*(0.00202-VERI_TABANI!$B$16), IF(ISNUMBER(SEARCH("Gri", D810)), VERI_TABANI!F27*(0.00202-VERI_TABANI!$B$17), 0))) + ((VERI_TABANI!D28*B810*(VERI_TABANI!$B$13-VERI_TABANI!$B$14)) + (VERI_TABANI!D28*C810*(VERI_TABANI!$B$13-VERI_TABANI!$B$15)) + IF(ISNUMBER(SEARCH("Var", D810)), VERI_TABANI!F28*(0.00202-VERI_TABANI!$B$16), IF(ISNUMBER(SEARCH("Gri", D810)), VERI_TABANI!F28*(0.00202-VERI_TABANI!$B$17), 0))))</f>
        <v/>
      </c>
      <c r="I810" s="170">
        <f>IFERROR(((VERI_TABANI!$D$29*B810*VERI_TABANI!$B$14 + VERI_TABANI!$D$29*C810*VERI_TABANI!$B$15 + IF(ISNUMBER(SEARCH("Var", D810)), VERI_TABANI!$F$29*VERI_TABANI!$B$16, 0))) / (((VERI_TABANI!$D$29*B810 + VERI_TABANI!$D$29*C810)*VERI_TABANI!$B$13 + IF(ISNUMBER(SEARCH("Var", D810)), VERI_TABANI!$E$29*(1-0.928)*VERI_TABANI!$B$18, 0))), 0)</f>
        <v/>
      </c>
      <c r="J810" s="171">
        <f>IFERROR(F810/(G810/29), 0)</f>
        <v/>
      </c>
      <c r="K810" s="172">
        <f>IF(F810&gt;0, H810/F810, 0)</f>
        <v/>
      </c>
      <c r="L810" s="170">
        <f>IF(F810&gt;0, I810, 1000000000)</f>
        <v/>
      </c>
      <c r="M810" s="171">
        <f>ABS((B810+C810)-1)</f>
        <v/>
      </c>
      <c r="N810" s="170">
        <f>IF(F810&gt;0, (G810/29)/F810, 0)</f>
        <v/>
      </c>
      <c r="O810" s="168">
        <f>IF(AND((B810+C810)&gt;=1, ISNUMBER(SEARCH("Var", D810))), F810, 1000000000)</f>
        <v/>
      </c>
      <c r="P810" s="172">
        <f>IF(F810&gt;0, SQRT((F810/MAX(F$5:F$886))^2 + (1 - H810/MAX(H$5:H$886))^2 + (J810/MAX(J$5:J$886))^2), 1000000000)</f>
        <v/>
      </c>
      <c r="Q810" s="166">
        <f>IF(AND(ABS(B810-0.5)&lt;0.01, ABS(C810-0.5)&lt;0.01, ISNUMBER(SEARCH("Var", D810))), 1, 0)</f>
        <v/>
      </c>
      <c r="R810" s="171">
        <f>IF(F810&gt;0, J810, 1000000000)</f>
        <v/>
      </c>
      <c r="S810" s="101">
        <f>IF(AND(F810&lt;=DASHBOARD!$B$11, H810&gt;=DASHBOARD!$B$13), G810, -1000000000000)</f>
        <v/>
      </c>
      <c r="T810" s="101">
        <f>IF(AND(F810&lt;=DASHBOARD!$B$11, H810&gt;=DASHBOARD!$B$13), R810, 1000000000000)</f>
        <v/>
      </c>
      <c r="U810" s="101">
        <f>IF(AND(F810&lt;=DASHBOARD!$B$11, H810&gt;=DASHBOARD!$B$13), N810, -1000000000000)</f>
        <v/>
      </c>
      <c r="V810" s="101">
        <f>IF(AND(F810&lt;=DASHBOARD!$B$11, H810&gt;=DASHBOARD!$B$13), H810, -1000000000000)</f>
        <v/>
      </c>
      <c r="W810" s="101">
        <f>IF(AND(F810&lt;=DASHBOARD!$B$11, H810&gt;=DASHBOARD!$B$13), K810, -1000000000000)</f>
        <v/>
      </c>
      <c r="X810" s="101">
        <f>IF(AND(F810&lt;=DASHBOARD!$B$11, H810&gt;=DASHBOARD!$B$13), M810, 1000000000000)</f>
        <v/>
      </c>
      <c r="Y810" s="101">
        <f>IF(AND(F810&lt;=DASHBOARD!$B$10, H810&gt;=DASHBOARD!$B$11), L810, 1000000000000)</f>
        <v/>
      </c>
      <c r="Z810" s="101">
        <f>IF(AND(F810&lt;=DASHBOARD!$B$10, H810&gt;=DASHBOARD!$B$11), O810, 1000000000000)</f>
        <v/>
      </c>
      <c r="AA810" s="101">
        <f>IF(AND(F810&lt;=DASHBOARD!$B$10, H810&gt;=DASHBOARD!$B$11), P810, 1000000000000)</f>
        <v/>
      </c>
      <c r="AB810" s="101">
        <f>IF(AND(F810&lt;=DASHBOARD!$B$10, H810&gt;=DASHBOARD!$B$11), Q810, -1000000000000)</f>
        <v/>
      </c>
    </row>
    <row r="811" ht="15" customHeight="1" s="102">
      <c r="A811" s="166" t="n">
        <v>807</v>
      </c>
      <c r="B811" s="167" t="n">
        <v>1.9</v>
      </c>
      <c r="C811" s="167" t="n">
        <v>0.4</v>
      </c>
      <c r="D811" s="110" t="inlineStr">
        <is>
          <t>Yok (%0)</t>
        </is>
      </c>
      <c r="E811" s="110">
        <f>IF((B811+C811)&lt;=1, "Tam Mahsuplaşma (≤%100)", "Kısmi Satış (&gt;%100)")</f>
        <v/>
      </c>
      <c r="F811" s="168">
        <f>((VERI_TABANI!$D$29*B811/VERI_TABANI!$B$29)/VERI_TABANI!$B$3)*VERI_TABANI!$B$5 + ((VERI_TABANI!$D$29*C811/VERI_TABANI!$B$29)/VERI_TABANI!$B$4)*VERI_TABANI!$B$6 + IF(ISNUMBER(SEARCH("Var", D811)), (VERI_TABANI!$F$29/VERI_TABANI!$B$29)*(VERI_TABANI!$B$10+VERI_TABANI!$B$12), 0)</f>
        <v/>
      </c>
      <c r="G811" s="168">
        <f>(((MIN(VERI_TABANI!D23, VERI_TABANI!D23*B811)*VERI_TABANI!$B$7 + MAX(0, VERI_TABANI!D23*B811-VERI_TABANI!D23)*VERI_TABANI!$B$8) + (MIN(MAX(0, VERI_TABANI!D23-VERI_TABANI!D23*B811), VERI_TABANI!D23*C811)*VERI_TABANI!$B$7 + MAX(0, VERI_TABANI!D23*C811-MAX(0, VERI_TABANI!D23-VERI_TABANI!D23*B811))*VERI_TABANI!$B$8) + IF(ABS(IF(ISNUMBER(SEARCH("Var", D811)), 1, IF(ISNUMBER(SEARCH("Gri", D811)), -1, 0)))=1, VERI_TABANI!E23*(1-0.928)*VERI_TABANI!$B$9, 0) + (VERI_TABANI!D23*B811*(VERI_TABANI!$B$13-VERI_TABANI!$B$14)*VERI_TABANI!G23) + (VERI_TABANI!D23*C811*(VERI_TABANI!$B$13-VERI_TABANI!$B$15)*VERI_TABANI!G23) + IF(ABS(IF(ISNUMBER(SEARCH("Var", D811)), 1, IF(ISNUMBER(SEARCH("Gri", D811)), -1, 0)))=1, VERI_TABANI!E23*(1-0.928)*0.00206091519919798*VERI_TABANI!G23, 0)) + ((MIN(VERI_TABANI!D24, VERI_TABANI!D24*B811)*VERI_TABANI!$B$7 + MAX(0, VERI_TABANI!D24*B811-VERI_TABANI!D24)*VERI_TABANI!$B$8) + (MIN(MAX(0, VERI_TABANI!D24-VERI_TABANI!D24*B811), VERI_TABANI!D24*C811)*VERI_TABANI!$B$7 + MAX(0, VERI_TABANI!D24*C811-MAX(0, VERI_TABANI!D24-VERI_TABANI!D24*B811))*VERI_TABANI!$B$8) + IF(ABS(IF(ISNUMBER(SEARCH("Var", D811)), 1, IF(ISNUMBER(SEARCH("Gri", D811)), -1, 0)))=1, VERI_TABANI!E24*(1-0.928)*VERI_TABANI!$B$9, 0) + (VERI_TABANI!D24*B811*(VERI_TABANI!$B$13-VERI_TABANI!$B$14)*VERI_TABANI!G24) + (VERI_TABANI!D24*C811*(VERI_TABANI!$B$13-VERI_TABANI!$B$15)*VERI_TABANI!G24) + IF(ABS(IF(ISNUMBER(SEARCH("Var", D811)), 1, IF(ISNUMBER(SEARCH("Gri", D811)), -1, 0)))=1, VERI_TABANI!E24*(1-0.928)*0.00206091519919798*VERI_TABANI!G24, 0)) + ((MIN(VERI_TABANI!D25, VERI_TABANI!D25*B811)*VERI_TABANI!$B$7 + MAX(0, VERI_TABANI!D25*B811-VERI_TABANI!D25)*VERI_TABANI!$B$8) + (MIN(MAX(0, VERI_TABANI!D25-VERI_TABANI!D25*B811), VERI_TABANI!D25*C811)*VERI_TABANI!$B$7 + MAX(0, VERI_TABANI!D25*C811-MAX(0, VERI_TABANI!D25-VERI_TABANI!D25*B811))*VERI_TABANI!$B$8) + IF(ABS(IF(ISNUMBER(SEARCH("Var", D811)), 1, IF(ISNUMBER(SEARCH("Gri", D811)), -1, 0)))=1, VERI_TABANI!E25*(1-0.928)*VERI_TABANI!$B$9, 0) + (VERI_TABANI!D25*B811*(VERI_TABANI!$B$13-VERI_TABANI!$B$14)*VERI_TABANI!G25) + (VERI_TABANI!D25*C811*(VERI_TABANI!$B$13-VERI_TABANI!$B$15)*VERI_TABANI!G25) + IF(ABS(IF(ISNUMBER(SEARCH("Var", D811)), 1, IF(ISNUMBER(SEARCH("Gri", D811)), -1, 0)))=1, VERI_TABANI!E25*(1-0.928)*0.00206091519919798*VERI_TABANI!G25, 0)) + ((MIN(VERI_TABANI!D26, VERI_TABANI!D26*B811)*VERI_TABANI!$B$7 + MAX(0, VERI_TABANI!D26*B811-VERI_TABANI!D26)*VERI_TABANI!$B$8) + (MIN(MAX(0, VERI_TABANI!D26-VERI_TABANI!D26*B811), VERI_TABANI!D26*C811)*VERI_TABANI!$B$7 + MAX(0, VERI_TABANI!D26*C811-MAX(0, VERI_TABANI!D26-VERI_TABANI!D26*B811))*VERI_TABANI!$B$8) + IF(ABS(IF(ISNUMBER(SEARCH("Var", D811)), 1, IF(ISNUMBER(SEARCH("Gri", D811)), -1, 0)))=1, VERI_TABANI!E26*(1-0.928)*VERI_TABANI!$B$9, 0) + (VERI_TABANI!D26*B811*(VERI_TABANI!$B$13-VERI_TABANI!$B$14)*VERI_TABANI!G26) + (VERI_TABANI!D26*C811*(VERI_TABANI!$B$13-VERI_TABANI!$B$15)*VERI_TABANI!G26) + IF(ABS(IF(ISNUMBER(SEARCH("Var", D811)), 1, IF(ISNUMBER(SEARCH("Gri", D811)), -1, 0)))=1, VERI_TABANI!E26*(1-0.928)*0.00206091519919798*VERI_TABANI!G26, 0)) + ((MIN(VERI_TABANI!D27, VERI_TABANI!D27*B811)*VERI_TABANI!$B$7 + MAX(0, VERI_TABANI!D27*B811-VERI_TABANI!D27)*VERI_TABANI!$B$8) + (MIN(MAX(0, VERI_TABANI!D27-VERI_TABANI!D27*B811), VERI_TABANI!D27*C811)*VERI_TABANI!$B$7 + MAX(0, VERI_TABANI!D27*C811-MAX(0, VERI_TABANI!D27-VERI_TABANI!D27*B811))*VERI_TABANI!$B$8) + IF(ABS(IF(ISNUMBER(SEARCH("Var", D811)), 1, IF(ISNUMBER(SEARCH("Gri", D811)), -1, 0)))=1, VERI_TABANI!E27*(1-0.928)*VERI_TABANI!$B$9, 0) + (VERI_TABANI!D27*B811*(VERI_TABANI!$B$13-VERI_TABANI!$B$14)*VERI_TABANI!G27) + (VERI_TABANI!D27*C811*(VERI_TABANI!$B$13-VERI_TABANI!$B$15)*VERI_TABANI!G27) + IF(ABS(IF(ISNUMBER(SEARCH("Var", D811)), 1, IF(ISNUMBER(SEARCH("Gri", D811)), -1, 0)))=1, VERI_TABANI!E27*(1-0.928)*0.00206091519919798*VERI_TABANI!G27, 0)) + ((MIN(VERI_TABANI!D28, VERI_TABANI!D28*B811)*VERI_TABANI!$B$7 + MAX(0, VERI_TABANI!D28*B811-VERI_TABANI!D28)*VERI_TABANI!$B$8) + (MIN(MAX(0, VERI_TABANI!D28-VERI_TABANI!D28*B811), VERI_TABANI!D28*C811)*VERI_TABANI!$B$7 + MAX(0, VERI_TABANI!D28*C811-MAX(0, VERI_TABANI!D28-VERI_TABANI!D28*B811))*VERI_TABANI!$B$8) + IF(ABS(IF(ISNUMBER(SEARCH("Var", D811)), 1, IF(ISNUMBER(SEARCH("Gri", D811)), -1, 0)))=1, VERI_TABANI!E28*(1-0.928)*VERI_TABANI!$B$9, 0) + (VERI_TABANI!D28*B811*(VERI_TABANI!$B$13-VERI_TABANI!$B$14)*VERI_TABANI!G28) + (VERI_TABANI!D28*C811*(VERI_TABANI!$B$13-VERI_TABANI!$B$15)*VERI_TABANI!G28) + IF(ABS(IF(ISNUMBER(SEARCH("Var", D811)), 1, IF(ISNUMBER(SEARCH("Gri", D811)), -1, 0)))=1, VERI_TABANI!E28*(1-0.928)*0.00206091519919798*VERI_TABANI!G28, 0)))</f>
        <v/>
      </c>
      <c r="H811" s="169">
        <f>(((VERI_TABANI!D23*B811*(VERI_TABANI!$B$13-VERI_TABANI!$B$14)) + (VERI_TABANI!D23*C811*(VERI_TABANI!$B$13-VERI_TABANI!$B$15)) + IF(ISNUMBER(SEARCH("Var", D811)), VERI_TABANI!F23*(0.00202-VERI_TABANI!$B$16), IF(ISNUMBER(SEARCH("Gri", D811)), VERI_TABANI!F23*(0.00202-VERI_TABANI!$B$17), 0))) + ((VERI_TABANI!D24*B811*(VERI_TABANI!$B$13-VERI_TABANI!$B$14)) + (VERI_TABANI!D24*C811*(VERI_TABANI!$B$13-VERI_TABANI!$B$15)) + IF(ISNUMBER(SEARCH("Var", D811)), VERI_TABANI!F24*(0.00202-VERI_TABANI!$B$16), IF(ISNUMBER(SEARCH("Gri", D811)), VERI_TABANI!F24*(0.00202-VERI_TABANI!$B$17), 0))) + ((VERI_TABANI!D25*B811*(VERI_TABANI!$B$13-VERI_TABANI!$B$14)) + (VERI_TABANI!D25*C811*(VERI_TABANI!$B$13-VERI_TABANI!$B$15)) + IF(ISNUMBER(SEARCH("Var", D811)), VERI_TABANI!F25*(0.00202-VERI_TABANI!$B$16), IF(ISNUMBER(SEARCH("Gri", D811)), VERI_TABANI!F25*(0.00202-VERI_TABANI!$B$17), 0))) + ((VERI_TABANI!D26*B811*(VERI_TABANI!$B$13-VERI_TABANI!$B$14)) + (VERI_TABANI!D26*C811*(VERI_TABANI!$B$13-VERI_TABANI!$B$15)) + IF(ISNUMBER(SEARCH("Var", D811)), VERI_TABANI!F26*(0.00202-VERI_TABANI!$B$16), IF(ISNUMBER(SEARCH("Gri", D811)), VERI_TABANI!F26*(0.00202-VERI_TABANI!$B$17), 0))) + ((VERI_TABANI!D27*B811*(VERI_TABANI!$B$13-VERI_TABANI!$B$14)) + (VERI_TABANI!D27*C811*(VERI_TABANI!$B$13-VERI_TABANI!$B$15)) + IF(ISNUMBER(SEARCH("Var", D811)), VERI_TABANI!F27*(0.00202-VERI_TABANI!$B$16), IF(ISNUMBER(SEARCH("Gri", D811)), VERI_TABANI!F27*(0.00202-VERI_TABANI!$B$17), 0))) + ((VERI_TABANI!D28*B811*(VERI_TABANI!$B$13-VERI_TABANI!$B$14)) + (VERI_TABANI!D28*C811*(VERI_TABANI!$B$13-VERI_TABANI!$B$15)) + IF(ISNUMBER(SEARCH("Var", D811)), VERI_TABANI!F28*(0.00202-VERI_TABANI!$B$16), IF(ISNUMBER(SEARCH("Gri", D811)), VERI_TABANI!F28*(0.00202-VERI_TABANI!$B$17), 0))))</f>
        <v/>
      </c>
      <c r="I811" s="170">
        <f>IFERROR(((VERI_TABANI!$D$29*B811*VERI_TABANI!$B$14 + VERI_TABANI!$D$29*C811*VERI_TABANI!$B$15 + IF(ISNUMBER(SEARCH("Var", D811)), VERI_TABANI!$F$29*VERI_TABANI!$B$16, 0))) / (((VERI_TABANI!$D$29*B811 + VERI_TABANI!$D$29*C811)*VERI_TABANI!$B$13 + IF(ISNUMBER(SEARCH("Var", D811)), VERI_TABANI!$E$29*(1-0.928)*VERI_TABANI!$B$18, 0))), 0)</f>
        <v/>
      </c>
      <c r="J811" s="171">
        <f>IFERROR(F811/(G811/29), 0)</f>
        <v/>
      </c>
      <c r="K811" s="172">
        <f>IF(F811&gt;0, H811/F811, 0)</f>
        <v/>
      </c>
      <c r="L811" s="170">
        <f>IF(F811&gt;0, I811, 1000000000)</f>
        <v/>
      </c>
      <c r="M811" s="171">
        <f>ABS((B811+C811)-1)</f>
        <v/>
      </c>
      <c r="N811" s="170">
        <f>IF(F811&gt;0, (G811/29)/F811, 0)</f>
        <v/>
      </c>
      <c r="O811" s="168">
        <f>IF(AND((B811+C811)&gt;=1, ISNUMBER(SEARCH("Var", D811))), F811, 1000000000)</f>
        <v/>
      </c>
      <c r="P811" s="172">
        <f>IF(F811&gt;0, SQRT((F811/MAX(F$5:F$886))^2 + (1 - H811/MAX(H$5:H$886))^2 + (J811/MAX(J$5:J$886))^2), 1000000000)</f>
        <v/>
      </c>
      <c r="Q811" s="166">
        <f>IF(AND(ABS(B811-0.5)&lt;0.01, ABS(C811-0.5)&lt;0.01, ISNUMBER(SEARCH("Var", D811))), 1, 0)</f>
        <v/>
      </c>
      <c r="R811" s="171">
        <f>IF(F811&gt;0, J811, 1000000000)</f>
        <v/>
      </c>
      <c r="S811" s="101">
        <f>IF(AND(F811&lt;=DASHBOARD!$B$11, H811&gt;=DASHBOARD!$B$13), G811, -1000000000000)</f>
        <v/>
      </c>
      <c r="T811" s="101">
        <f>IF(AND(F811&lt;=DASHBOARD!$B$11, H811&gt;=DASHBOARD!$B$13), R811, 1000000000000)</f>
        <v/>
      </c>
      <c r="U811" s="101">
        <f>IF(AND(F811&lt;=DASHBOARD!$B$11, H811&gt;=DASHBOARD!$B$13), N811, -1000000000000)</f>
        <v/>
      </c>
      <c r="V811" s="101">
        <f>IF(AND(F811&lt;=DASHBOARD!$B$11, H811&gt;=DASHBOARD!$B$13), H811, -1000000000000)</f>
        <v/>
      </c>
      <c r="W811" s="101">
        <f>IF(AND(F811&lt;=DASHBOARD!$B$11, H811&gt;=DASHBOARD!$B$13), K811, -1000000000000)</f>
        <v/>
      </c>
      <c r="X811" s="101">
        <f>IF(AND(F811&lt;=DASHBOARD!$B$11, H811&gt;=DASHBOARD!$B$13), M811, 1000000000000)</f>
        <v/>
      </c>
      <c r="Y811" s="101">
        <f>IF(AND(F811&lt;=DASHBOARD!$B$10, H811&gt;=DASHBOARD!$B$11), L811, 1000000000000)</f>
        <v/>
      </c>
      <c r="Z811" s="101">
        <f>IF(AND(F811&lt;=DASHBOARD!$B$10, H811&gt;=DASHBOARD!$B$11), O811, 1000000000000)</f>
        <v/>
      </c>
      <c r="AA811" s="101">
        <f>IF(AND(F811&lt;=DASHBOARD!$B$10, H811&gt;=DASHBOARD!$B$11), P811, 1000000000000)</f>
        <v/>
      </c>
      <c r="AB811" s="101">
        <f>IF(AND(F811&lt;=DASHBOARD!$B$10, H811&gt;=DASHBOARD!$B$11), Q811, -1000000000000)</f>
        <v/>
      </c>
    </row>
    <row r="812" ht="15" customHeight="1" s="102">
      <c r="A812" s="166" t="n">
        <v>808</v>
      </c>
      <c r="B812" s="167" t="n">
        <v>1.9</v>
      </c>
      <c r="C812" s="167" t="n">
        <v>0.4</v>
      </c>
      <c r="D812" s="110" t="inlineStr">
        <is>
          <t>Var (%20)</t>
        </is>
      </c>
      <c r="E812" s="110">
        <f>IF((B812+C812)&lt;=1, "Tam Mahsuplaşma (≤%100)", "Kısmi Satış (&gt;%100)")</f>
        <v/>
      </c>
      <c r="F812" s="168">
        <f>((VERI_TABANI!$D$29*B812/VERI_TABANI!$B$29)/VERI_TABANI!$B$3)*VERI_TABANI!$B$5 + ((VERI_TABANI!$D$29*C812/VERI_TABANI!$B$29)/VERI_TABANI!$B$4)*VERI_TABANI!$B$6 + IF(ISNUMBER(SEARCH("Var", D812)), (VERI_TABANI!$F$29/VERI_TABANI!$B$29)*(VERI_TABANI!$B$10+VERI_TABANI!$B$12), 0)</f>
        <v/>
      </c>
      <c r="G812" s="168">
        <f>(((MIN(VERI_TABANI!D23, VERI_TABANI!D23*B812)*VERI_TABANI!$B$7 + MAX(0, VERI_TABANI!D23*B812-VERI_TABANI!D23)*VERI_TABANI!$B$8) + (MIN(MAX(0, VERI_TABANI!D23-VERI_TABANI!D23*B812), VERI_TABANI!D23*C812)*VERI_TABANI!$B$7 + MAX(0, VERI_TABANI!D23*C812-MAX(0, VERI_TABANI!D23-VERI_TABANI!D23*B812))*VERI_TABANI!$B$8) + IF(ABS(IF(ISNUMBER(SEARCH("Var", D812)), 1, IF(ISNUMBER(SEARCH("Gri", D812)), -1, 0)))=1, VERI_TABANI!E23*(1-0.928)*VERI_TABANI!$B$9, 0) + (VERI_TABANI!D23*B812*(VERI_TABANI!$B$13-VERI_TABANI!$B$14)*VERI_TABANI!G23) + (VERI_TABANI!D23*C812*(VERI_TABANI!$B$13-VERI_TABANI!$B$15)*VERI_TABANI!G23) + IF(ABS(IF(ISNUMBER(SEARCH("Var", D812)), 1, IF(ISNUMBER(SEARCH("Gri", D812)), -1, 0)))=1, VERI_TABANI!E23*(1-0.928)*0.00206091519919798*VERI_TABANI!G23, 0)) + ((MIN(VERI_TABANI!D24, VERI_TABANI!D24*B812)*VERI_TABANI!$B$7 + MAX(0, VERI_TABANI!D24*B812-VERI_TABANI!D24)*VERI_TABANI!$B$8) + (MIN(MAX(0, VERI_TABANI!D24-VERI_TABANI!D24*B812), VERI_TABANI!D24*C812)*VERI_TABANI!$B$7 + MAX(0, VERI_TABANI!D24*C812-MAX(0, VERI_TABANI!D24-VERI_TABANI!D24*B812))*VERI_TABANI!$B$8) + IF(ABS(IF(ISNUMBER(SEARCH("Var", D812)), 1, IF(ISNUMBER(SEARCH("Gri", D812)), -1, 0)))=1, VERI_TABANI!E24*(1-0.928)*VERI_TABANI!$B$9, 0) + (VERI_TABANI!D24*B812*(VERI_TABANI!$B$13-VERI_TABANI!$B$14)*VERI_TABANI!G24) + (VERI_TABANI!D24*C812*(VERI_TABANI!$B$13-VERI_TABANI!$B$15)*VERI_TABANI!G24) + IF(ABS(IF(ISNUMBER(SEARCH("Var", D812)), 1, IF(ISNUMBER(SEARCH("Gri", D812)), -1, 0)))=1, VERI_TABANI!E24*(1-0.928)*0.00206091519919798*VERI_TABANI!G24, 0)) + ((MIN(VERI_TABANI!D25, VERI_TABANI!D25*B812)*VERI_TABANI!$B$7 + MAX(0, VERI_TABANI!D25*B812-VERI_TABANI!D25)*VERI_TABANI!$B$8) + (MIN(MAX(0, VERI_TABANI!D25-VERI_TABANI!D25*B812), VERI_TABANI!D25*C812)*VERI_TABANI!$B$7 + MAX(0, VERI_TABANI!D25*C812-MAX(0, VERI_TABANI!D25-VERI_TABANI!D25*B812))*VERI_TABANI!$B$8) + IF(ABS(IF(ISNUMBER(SEARCH("Var", D812)), 1, IF(ISNUMBER(SEARCH("Gri", D812)), -1, 0)))=1, VERI_TABANI!E25*(1-0.928)*VERI_TABANI!$B$9, 0) + (VERI_TABANI!D25*B812*(VERI_TABANI!$B$13-VERI_TABANI!$B$14)*VERI_TABANI!G25) + (VERI_TABANI!D25*C812*(VERI_TABANI!$B$13-VERI_TABANI!$B$15)*VERI_TABANI!G25) + IF(ABS(IF(ISNUMBER(SEARCH("Var", D812)), 1, IF(ISNUMBER(SEARCH("Gri", D812)), -1, 0)))=1, VERI_TABANI!E25*(1-0.928)*0.00206091519919798*VERI_TABANI!G25, 0)) + ((MIN(VERI_TABANI!D26, VERI_TABANI!D26*B812)*VERI_TABANI!$B$7 + MAX(0, VERI_TABANI!D26*B812-VERI_TABANI!D26)*VERI_TABANI!$B$8) + (MIN(MAX(0, VERI_TABANI!D26-VERI_TABANI!D26*B812), VERI_TABANI!D26*C812)*VERI_TABANI!$B$7 + MAX(0, VERI_TABANI!D26*C812-MAX(0, VERI_TABANI!D26-VERI_TABANI!D26*B812))*VERI_TABANI!$B$8) + IF(ABS(IF(ISNUMBER(SEARCH("Var", D812)), 1, IF(ISNUMBER(SEARCH("Gri", D812)), -1, 0)))=1, VERI_TABANI!E26*(1-0.928)*VERI_TABANI!$B$9, 0) + (VERI_TABANI!D26*B812*(VERI_TABANI!$B$13-VERI_TABANI!$B$14)*VERI_TABANI!G26) + (VERI_TABANI!D26*C812*(VERI_TABANI!$B$13-VERI_TABANI!$B$15)*VERI_TABANI!G26) + IF(ABS(IF(ISNUMBER(SEARCH("Var", D812)), 1, IF(ISNUMBER(SEARCH("Gri", D812)), -1, 0)))=1, VERI_TABANI!E26*(1-0.928)*0.00206091519919798*VERI_TABANI!G26, 0)) + ((MIN(VERI_TABANI!D27, VERI_TABANI!D27*B812)*VERI_TABANI!$B$7 + MAX(0, VERI_TABANI!D27*B812-VERI_TABANI!D27)*VERI_TABANI!$B$8) + (MIN(MAX(0, VERI_TABANI!D27-VERI_TABANI!D27*B812), VERI_TABANI!D27*C812)*VERI_TABANI!$B$7 + MAX(0, VERI_TABANI!D27*C812-MAX(0, VERI_TABANI!D27-VERI_TABANI!D27*B812))*VERI_TABANI!$B$8) + IF(ABS(IF(ISNUMBER(SEARCH("Var", D812)), 1, IF(ISNUMBER(SEARCH("Gri", D812)), -1, 0)))=1, VERI_TABANI!E27*(1-0.928)*VERI_TABANI!$B$9, 0) + (VERI_TABANI!D27*B812*(VERI_TABANI!$B$13-VERI_TABANI!$B$14)*VERI_TABANI!G27) + (VERI_TABANI!D27*C812*(VERI_TABANI!$B$13-VERI_TABANI!$B$15)*VERI_TABANI!G27) + IF(ABS(IF(ISNUMBER(SEARCH("Var", D812)), 1, IF(ISNUMBER(SEARCH("Gri", D812)), -1, 0)))=1, VERI_TABANI!E27*(1-0.928)*0.00206091519919798*VERI_TABANI!G27, 0)) + ((MIN(VERI_TABANI!D28, VERI_TABANI!D28*B812)*VERI_TABANI!$B$7 + MAX(0, VERI_TABANI!D28*B812-VERI_TABANI!D28)*VERI_TABANI!$B$8) + (MIN(MAX(0, VERI_TABANI!D28-VERI_TABANI!D28*B812), VERI_TABANI!D28*C812)*VERI_TABANI!$B$7 + MAX(0, VERI_TABANI!D28*C812-MAX(0, VERI_TABANI!D28-VERI_TABANI!D28*B812))*VERI_TABANI!$B$8) + IF(ABS(IF(ISNUMBER(SEARCH("Var", D812)), 1, IF(ISNUMBER(SEARCH("Gri", D812)), -1, 0)))=1, VERI_TABANI!E28*(1-0.928)*VERI_TABANI!$B$9, 0) + (VERI_TABANI!D28*B812*(VERI_TABANI!$B$13-VERI_TABANI!$B$14)*VERI_TABANI!G28) + (VERI_TABANI!D28*C812*(VERI_TABANI!$B$13-VERI_TABANI!$B$15)*VERI_TABANI!G28) + IF(ABS(IF(ISNUMBER(SEARCH("Var", D812)), 1, IF(ISNUMBER(SEARCH("Gri", D812)), -1, 0)))=1, VERI_TABANI!E28*(1-0.928)*0.00206091519919798*VERI_TABANI!G28, 0)))</f>
        <v/>
      </c>
      <c r="H812" s="169">
        <f>(((VERI_TABANI!D23*B812*(VERI_TABANI!$B$13-VERI_TABANI!$B$14)) + (VERI_TABANI!D23*C812*(VERI_TABANI!$B$13-VERI_TABANI!$B$15)) + IF(ISNUMBER(SEARCH("Var", D812)), VERI_TABANI!F23*(0.00202-VERI_TABANI!$B$16), IF(ISNUMBER(SEARCH("Gri", D812)), VERI_TABANI!F23*(0.00202-VERI_TABANI!$B$17), 0))) + ((VERI_TABANI!D24*B812*(VERI_TABANI!$B$13-VERI_TABANI!$B$14)) + (VERI_TABANI!D24*C812*(VERI_TABANI!$B$13-VERI_TABANI!$B$15)) + IF(ISNUMBER(SEARCH("Var", D812)), VERI_TABANI!F24*(0.00202-VERI_TABANI!$B$16), IF(ISNUMBER(SEARCH("Gri", D812)), VERI_TABANI!F24*(0.00202-VERI_TABANI!$B$17), 0))) + ((VERI_TABANI!D25*B812*(VERI_TABANI!$B$13-VERI_TABANI!$B$14)) + (VERI_TABANI!D25*C812*(VERI_TABANI!$B$13-VERI_TABANI!$B$15)) + IF(ISNUMBER(SEARCH("Var", D812)), VERI_TABANI!F25*(0.00202-VERI_TABANI!$B$16), IF(ISNUMBER(SEARCH("Gri", D812)), VERI_TABANI!F25*(0.00202-VERI_TABANI!$B$17), 0))) + ((VERI_TABANI!D26*B812*(VERI_TABANI!$B$13-VERI_TABANI!$B$14)) + (VERI_TABANI!D26*C812*(VERI_TABANI!$B$13-VERI_TABANI!$B$15)) + IF(ISNUMBER(SEARCH("Var", D812)), VERI_TABANI!F26*(0.00202-VERI_TABANI!$B$16), IF(ISNUMBER(SEARCH("Gri", D812)), VERI_TABANI!F26*(0.00202-VERI_TABANI!$B$17), 0))) + ((VERI_TABANI!D27*B812*(VERI_TABANI!$B$13-VERI_TABANI!$B$14)) + (VERI_TABANI!D27*C812*(VERI_TABANI!$B$13-VERI_TABANI!$B$15)) + IF(ISNUMBER(SEARCH("Var", D812)), VERI_TABANI!F27*(0.00202-VERI_TABANI!$B$16), IF(ISNUMBER(SEARCH("Gri", D812)), VERI_TABANI!F27*(0.00202-VERI_TABANI!$B$17), 0))) + ((VERI_TABANI!D28*B812*(VERI_TABANI!$B$13-VERI_TABANI!$B$14)) + (VERI_TABANI!D28*C812*(VERI_TABANI!$B$13-VERI_TABANI!$B$15)) + IF(ISNUMBER(SEARCH("Var", D812)), VERI_TABANI!F28*(0.00202-VERI_TABANI!$B$16), IF(ISNUMBER(SEARCH("Gri", D812)), VERI_TABANI!F28*(0.00202-VERI_TABANI!$B$17), 0))))</f>
        <v/>
      </c>
      <c r="I812" s="170">
        <f>IFERROR(((VERI_TABANI!$D$29*B812*VERI_TABANI!$B$14 + VERI_TABANI!$D$29*C812*VERI_TABANI!$B$15 + IF(ISNUMBER(SEARCH("Var", D812)), VERI_TABANI!$F$29*VERI_TABANI!$B$16, 0))) / (((VERI_TABANI!$D$29*B812 + VERI_TABANI!$D$29*C812)*VERI_TABANI!$B$13 + IF(ISNUMBER(SEARCH("Var", D812)), VERI_TABANI!$E$29*(1-0.928)*VERI_TABANI!$B$18, 0))), 0)</f>
        <v/>
      </c>
      <c r="J812" s="171">
        <f>IFERROR(F812/(G812/29), 0)</f>
        <v/>
      </c>
      <c r="K812" s="172">
        <f>IF(F812&gt;0, H812/F812, 0)</f>
        <v/>
      </c>
      <c r="L812" s="170">
        <f>IF(F812&gt;0, I812, 1000000000)</f>
        <v/>
      </c>
      <c r="M812" s="171">
        <f>ABS((B812+C812)-1)</f>
        <v/>
      </c>
      <c r="N812" s="170">
        <f>IF(F812&gt;0, (G812/29)/F812, 0)</f>
        <v/>
      </c>
      <c r="O812" s="168">
        <f>IF(AND((B812+C812)&gt;=1, ISNUMBER(SEARCH("Var", D812))), F812, 1000000000)</f>
        <v/>
      </c>
      <c r="P812" s="172">
        <f>IF(F812&gt;0, SQRT((F812/MAX(F$5:F$886))^2 + (1 - H812/MAX(H$5:H$886))^2 + (J812/MAX(J$5:J$886))^2), 1000000000)</f>
        <v/>
      </c>
      <c r="Q812" s="166">
        <f>IF(AND(ABS(B812-0.5)&lt;0.01, ABS(C812-0.5)&lt;0.01, ISNUMBER(SEARCH("Var", D812))), 1, 0)</f>
        <v/>
      </c>
      <c r="R812" s="171">
        <f>IF(F812&gt;0, J812, 1000000000)</f>
        <v/>
      </c>
      <c r="S812" s="101">
        <f>IF(AND(F812&lt;=DASHBOARD!$B$11, H812&gt;=DASHBOARD!$B$13), G812, -1000000000000)</f>
        <v/>
      </c>
      <c r="T812" s="101">
        <f>IF(AND(F812&lt;=DASHBOARD!$B$11, H812&gt;=DASHBOARD!$B$13), R812, 1000000000000)</f>
        <v/>
      </c>
      <c r="U812" s="101">
        <f>IF(AND(F812&lt;=DASHBOARD!$B$11, H812&gt;=DASHBOARD!$B$13), N812, -1000000000000)</f>
        <v/>
      </c>
      <c r="V812" s="101">
        <f>IF(AND(F812&lt;=DASHBOARD!$B$11, H812&gt;=DASHBOARD!$B$13), H812, -1000000000000)</f>
        <v/>
      </c>
      <c r="W812" s="101">
        <f>IF(AND(F812&lt;=DASHBOARD!$B$11, H812&gt;=DASHBOARD!$B$13), K812, -1000000000000)</f>
        <v/>
      </c>
      <c r="X812" s="101">
        <f>IF(AND(F812&lt;=DASHBOARD!$B$11, H812&gt;=DASHBOARD!$B$13), M812, 1000000000000)</f>
        <v/>
      </c>
      <c r="Y812" s="101">
        <f>IF(AND(F812&lt;=DASHBOARD!$B$10, H812&gt;=DASHBOARD!$B$11), L812, 1000000000000)</f>
        <v/>
      </c>
      <c r="Z812" s="101">
        <f>IF(AND(F812&lt;=DASHBOARD!$B$10, H812&gt;=DASHBOARD!$B$11), O812, 1000000000000)</f>
        <v/>
      </c>
      <c r="AA812" s="101">
        <f>IF(AND(F812&lt;=DASHBOARD!$B$10, H812&gt;=DASHBOARD!$B$11), P812, 1000000000000)</f>
        <v/>
      </c>
      <c r="AB812" s="101">
        <f>IF(AND(F812&lt;=DASHBOARD!$B$10, H812&gt;=DASHBOARD!$B$11), Q812, -1000000000000)</f>
        <v/>
      </c>
    </row>
    <row r="813" ht="15" customHeight="1" s="102">
      <c r="A813" s="166" t="n">
        <v>809</v>
      </c>
      <c r="B813" s="167" t="n">
        <v>1.9</v>
      </c>
      <c r="C813" s="167" t="n">
        <v>0.5</v>
      </c>
      <c r="D813" s="110" t="inlineStr">
        <is>
          <t>Yok (%0)</t>
        </is>
      </c>
      <c r="E813" s="110">
        <f>IF((B813+C813)&lt;=1, "Tam Mahsuplaşma (≤%100)", "Kısmi Satış (&gt;%100)")</f>
        <v/>
      </c>
      <c r="F813" s="168">
        <f>((VERI_TABANI!$D$29*B813/VERI_TABANI!$B$29)/VERI_TABANI!$B$3)*VERI_TABANI!$B$5 + ((VERI_TABANI!$D$29*C813/VERI_TABANI!$B$29)/VERI_TABANI!$B$4)*VERI_TABANI!$B$6 + IF(ISNUMBER(SEARCH("Var", D813)), (VERI_TABANI!$F$29/VERI_TABANI!$B$29)*(VERI_TABANI!$B$10+VERI_TABANI!$B$12), 0)</f>
        <v/>
      </c>
      <c r="G813" s="168">
        <f>(((MIN(VERI_TABANI!D23, VERI_TABANI!D23*B813)*VERI_TABANI!$B$7 + MAX(0, VERI_TABANI!D23*B813-VERI_TABANI!D23)*VERI_TABANI!$B$8) + (MIN(MAX(0, VERI_TABANI!D23-VERI_TABANI!D23*B813), VERI_TABANI!D23*C813)*VERI_TABANI!$B$7 + MAX(0, VERI_TABANI!D23*C813-MAX(0, VERI_TABANI!D23-VERI_TABANI!D23*B813))*VERI_TABANI!$B$8) + IF(ABS(IF(ISNUMBER(SEARCH("Var", D813)), 1, IF(ISNUMBER(SEARCH("Gri", D813)), -1, 0)))=1, VERI_TABANI!E23*(1-0.928)*VERI_TABANI!$B$9, 0) + (VERI_TABANI!D23*B813*(VERI_TABANI!$B$13-VERI_TABANI!$B$14)*VERI_TABANI!G23) + (VERI_TABANI!D23*C813*(VERI_TABANI!$B$13-VERI_TABANI!$B$15)*VERI_TABANI!G23) + IF(ABS(IF(ISNUMBER(SEARCH("Var", D813)), 1, IF(ISNUMBER(SEARCH("Gri", D813)), -1, 0)))=1, VERI_TABANI!E23*(1-0.928)*0.00206091519919798*VERI_TABANI!G23, 0)) + ((MIN(VERI_TABANI!D24, VERI_TABANI!D24*B813)*VERI_TABANI!$B$7 + MAX(0, VERI_TABANI!D24*B813-VERI_TABANI!D24)*VERI_TABANI!$B$8) + (MIN(MAX(0, VERI_TABANI!D24-VERI_TABANI!D24*B813), VERI_TABANI!D24*C813)*VERI_TABANI!$B$7 + MAX(0, VERI_TABANI!D24*C813-MAX(0, VERI_TABANI!D24-VERI_TABANI!D24*B813))*VERI_TABANI!$B$8) + IF(ABS(IF(ISNUMBER(SEARCH("Var", D813)), 1, IF(ISNUMBER(SEARCH("Gri", D813)), -1, 0)))=1, VERI_TABANI!E24*(1-0.928)*VERI_TABANI!$B$9, 0) + (VERI_TABANI!D24*B813*(VERI_TABANI!$B$13-VERI_TABANI!$B$14)*VERI_TABANI!G24) + (VERI_TABANI!D24*C813*(VERI_TABANI!$B$13-VERI_TABANI!$B$15)*VERI_TABANI!G24) + IF(ABS(IF(ISNUMBER(SEARCH("Var", D813)), 1, IF(ISNUMBER(SEARCH("Gri", D813)), -1, 0)))=1, VERI_TABANI!E24*(1-0.928)*0.00206091519919798*VERI_TABANI!G24, 0)) + ((MIN(VERI_TABANI!D25, VERI_TABANI!D25*B813)*VERI_TABANI!$B$7 + MAX(0, VERI_TABANI!D25*B813-VERI_TABANI!D25)*VERI_TABANI!$B$8) + (MIN(MAX(0, VERI_TABANI!D25-VERI_TABANI!D25*B813), VERI_TABANI!D25*C813)*VERI_TABANI!$B$7 + MAX(0, VERI_TABANI!D25*C813-MAX(0, VERI_TABANI!D25-VERI_TABANI!D25*B813))*VERI_TABANI!$B$8) + IF(ABS(IF(ISNUMBER(SEARCH("Var", D813)), 1, IF(ISNUMBER(SEARCH("Gri", D813)), -1, 0)))=1, VERI_TABANI!E25*(1-0.928)*VERI_TABANI!$B$9, 0) + (VERI_TABANI!D25*B813*(VERI_TABANI!$B$13-VERI_TABANI!$B$14)*VERI_TABANI!G25) + (VERI_TABANI!D25*C813*(VERI_TABANI!$B$13-VERI_TABANI!$B$15)*VERI_TABANI!G25) + IF(ABS(IF(ISNUMBER(SEARCH("Var", D813)), 1, IF(ISNUMBER(SEARCH("Gri", D813)), -1, 0)))=1, VERI_TABANI!E25*(1-0.928)*0.00206091519919798*VERI_TABANI!G25, 0)) + ((MIN(VERI_TABANI!D26, VERI_TABANI!D26*B813)*VERI_TABANI!$B$7 + MAX(0, VERI_TABANI!D26*B813-VERI_TABANI!D26)*VERI_TABANI!$B$8) + (MIN(MAX(0, VERI_TABANI!D26-VERI_TABANI!D26*B813), VERI_TABANI!D26*C813)*VERI_TABANI!$B$7 + MAX(0, VERI_TABANI!D26*C813-MAX(0, VERI_TABANI!D26-VERI_TABANI!D26*B813))*VERI_TABANI!$B$8) + IF(ABS(IF(ISNUMBER(SEARCH("Var", D813)), 1, IF(ISNUMBER(SEARCH("Gri", D813)), -1, 0)))=1, VERI_TABANI!E26*(1-0.928)*VERI_TABANI!$B$9, 0) + (VERI_TABANI!D26*B813*(VERI_TABANI!$B$13-VERI_TABANI!$B$14)*VERI_TABANI!G26) + (VERI_TABANI!D26*C813*(VERI_TABANI!$B$13-VERI_TABANI!$B$15)*VERI_TABANI!G26) + IF(ABS(IF(ISNUMBER(SEARCH("Var", D813)), 1, IF(ISNUMBER(SEARCH("Gri", D813)), -1, 0)))=1, VERI_TABANI!E26*(1-0.928)*0.00206091519919798*VERI_TABANI!G26, 0)) + ((MIN(VERI_TABANI!D27, VERI_TABANI!D27*B813)*VERI_TABANI!$B$7 + MAX(0, VERI_TABANI!D27*B813-VERI_TABANI!D27)*VERI_TABANI!$B$8) + (MIN(MAX(0, VERI_TABANI!D27-VERI_TABANI!D27*B813), VERI_TABANI!D27*C813)*VERI_TABANI!$B$7 + MAX(0, VERI_TABANI!D27*C813-MAX(0, VERI_TABANI!D27-VERI_TABANI!D27*B813))*VERI_TABANI!$B$8) + IF(ABS(IF(ISNUMBER(SEARCH("Var", D813)), 1, IF(ISNUMBER(SEARCH("Gri", D813)), -1, 0)))=1, VERI_TABANI!E27*(1-0.928)*VERI_TABANI!$B$9, 0) + (VERI_TABANI!D27*B813*(VERI_TABANI!$B$13-VERI_TABANI!$B$14)*VERI_TABANI!G27) + (VERI_TABANI!D27*C813*(VERI_TABANI!$B$13-VERI_TABANI!$B$15)*VERI_TABANI!G27) + IF(ABS(IF(ISNUMBER(SEARCH("Var", D813)), 1, IF(ISNUMBER(SEARCH("Gri", D813)), -1, 0)))=1, VERI_TABANI!E27*(1-0.928)*0.00206091519919798*VERI_TABANI!G27, 0)) + ((MIN(VERI_TABANI!D28, VERI_TABANI!D28*B813)*VERI_TABANI!$B$7 + MAX(0, VERI_TABANI!D28*B813-VERI_TABANI!D28)*VERI_TABANI!$B$8) + (MIN(MAX(0, VERI_TABANI!D28-VERI_TABANI!D28*B813), VERI_TABANI!D28*C813)*VERI_TABANI!$B$7 + MAX(0, VERI_TABANI!D28*C813-MAX(0, VERI_TABANI!D28-VERI_TABANI!D28*B813))*VERI_TABANI!$B$8) + IF(ABS(IF(ISNUMBER(SEARCH("Var", D813)), 1, IF(ISNUMBER(SEARCH("Gri", D813)), -1, 0)))=1, VERI_TABANI!E28*(1-0.928)*VERI_TABANI!$B$9, 0) + (VERI_TABANI!D28*B813*(VERI_TABANI!$B$13-VERI_TABANI!$B$14)*VERI_TABANI!G28) + (VERI_TABANI!D28*C813*(VERI_TABANI!$B$13-VERI_TABANI!$B$15)*VERI_TABANI!G28) + IF(ABS(IF(ISNUMBER(SEARCH("Var", D813)), 1, IF(ISNUMBER(SEARCH("Gri", D813)), -1, 0)))=1, VERI_TABANI!E28*(1-0.928)*0.00206091519919798*VERI_TABANI!G28, 0)))</f>
        <v/>
      </c>
      <c r="H813" s="169">
        <f>(((VERI_TABANI!D23*B813*(VERI_TABANI!$B$13-VERI_TABANI!$B$14)) + (VERI_TABANI!D23*C813*(VERI_TABANI!$B$13-VERI_TABANI!$B$15)) + IF(ISNUMBER(SEARCH("Var", D813)), VERI_TABANI!F23*(0.00202-VERI_TABANI!$B$16), IF(ISNUMBER(SEARCH("Gri", D813)), VERI_TABANI!F23*(0.00202-VERI_TABANI!$B$17), 0))) + ((VERI_TABANI!D24*B813*(VERI_TABANI!$B$13-VERI_TABANI!$B$14)) + (VERI_TABANI!D24*C813*(VERI_TABANI!$B$13-VERI_TABANI!$B$15)) + IF(ISNUMBER(SEARCH("Var", D813)), VERI_TABANI!F24*(0.00202-VERI_TABANI!$B$16), IF(ISNUMBER(SEARCH("Gri", D813)), VERI_TABANI!F24*(0.00202-VERI_TABANI!$B$17), 0))) + ((VERI_TABANI!D25*B813*(VERI_TABANI!$B$13-VERI_TABANI!$B$14)) + (VERI_TABANI!D25*C813*(VERI_TABANI!$B$13-VERI_TABANI!$B$15)) + IF(ISNUMBER(SEARCH("Var", D813)), VERI_TABANI!F25*(0.00202-VERI_TABANI!$B$16), IF(ISNUMBER(SEARCH("Gri", D813)), VERI_TABANI!F25*(0.00202-VERI_TABANI!$B$17), 0))) + ((VERI_TABANI!D26*B813*(VERI_TABANI!$B$13-VERI_TABANI!$B$14)) + (VERI_TABANI!D26*C813*(VERI_TABANI!$B$13-VERI_TABANI!$B$15)) + IF(ISNUMBER(SEARCH("Var", D813)), VERI_TABANI!F26*(0.00202-VERI_TABANI!$B$16), IF(ISNUMBER(SEARCH("Gri", D813)), VERI_TABANI!F26*(0.00202-VERI_TABANI!$B$17), 0))) + ((VERI_TABANI!D27*B813*(VERI_TABANI!$B$13-VERI_TABANI!$B$14)) + (VERI_TABANI!D27*C813*(VERI_TABANI!$B$13-VERI_TABANI!$B$15)) + IF(ISNUMBER(SEARCH("Var", D813)), VERI_TABANI!F27*(0.00202-VERI_TABANI!$B$16), IF(ISNUMBER(SEARCH("Gri", D813)), VERI_TABANI!F27*(0.00202-VERI_TABANI!$B$17), 0))) + ((VERI_TABANI!D28*B813*(VERI_TABANI!$B$13-VERI_TABANI!$B$14)) + (VERI_TABANI!D28*C813*(VERI_TABANI!$B$13-VERI_TABANI!$B$15)) + IF(ISNUMBER(SEARCH("Var", D813)), VERI_TABANI!F28*(0.00202-VERI_TABANI!$B$16), IF(ISNUMBER(SEARCH("Gri", D813)), VERI_TABANI!F28*(0.00202-VERI_TABANI!$B$17), 0))))</f>
        <v/>
      </c>
      <c r="I813" s="170">
        <f>IFERROR(((VERI_TABANI!$D$29*B813*VERI_TABANI!$B$14 + VERI_TABANI!$D$29*C813*VERI_TABANI!$B$15 + IF(ISNUMBER(SEARCH("Var", D813)), VERI_TABANI!$F$29*VERI_TABANI!$B$16, 0))) / (((VERI_TABANI!$D$29*B813 + VERI_TABANI!$D$29*C813)*VERI_TABANI!$B$13 + IF(ISNUMBER(SEARCH("Var", D813)), VERI_TABANI!$E$29*(1-0.928)*VERI_TABANI!$B$18, 0))), 0)</f>
        <v/>
      </c>
      <c r="J813" s="171">
        <f>IFERROR(F813/(G813/29), 0)</f>
        <v/>
      </c>
      <c r="K813" s="172">
        <f>IF(F813&gt;0, H813/F813, 0)</f>
        <v/>
      </c>
      <c r="L813" s="170">
        <f>IF(F813&gt;0, I813, 1000000000)</f>
        <v/>
      </c>
      <c r="M813" s="171">
        <f>ABS((B813+C813)-1)</f>
        <v/>
      </c>
      <c r="N813" s="170">
        <f>IF(F813&gt;0, (G813/29)/F813, 0)</f>
        <v/>
      </c>
      <c r="O813" s="168">
        <f>IF(AND((B813+C813)&gt;=1, ISNUMBER(SEARCH("Var", D813))), F813, 1000000000)</f>
        <v/>
      </c>
      <c r="P813" s="172">
        <f>IF(F813&gt;0, SQRT((F813/MAX(F$5:F$886))^2 + (1 - H813/MAX(H$5:H$886))^2 + (J813/MAX(J$5:J$886))^2), 1000000000)</f>
        <v/>
      </c>
      <c r="Q813" s="166">
        <f>IF(AND(ABS(B813-0.5)&lt;0.01, ABS(C813-0.5)&lt;0.01, ISNUMBER(SEARCH("Var", D813))), 1, 0)</f>
        <v/>
      </c>
      <c r="R813" s="171">
        <f>IF(F813&gt;0, J813, 1000000000)</f>
        <v/>
      </c>
      <c r="S813" s="101">
        <f>IF(AND(F813&lt;=DASHBOARD!$B$11, H813&gt;=DASHBOARD!$B$13), G813, -1000000000000)</f>
        <v/>
      </c>
      <c r="T813" s="101">
        <f>IF(AND(F813&lt;=DASHBOARD!$B$11, H813&gt;=DASHBOARD!$B$13), R813, 1000000000000)</f>
        <v/>
      </c>
      <c r="U813" s="101">
        <f>IF(AND(F813&lt;=DASHBOARD!$B$11, H813&gt;=DASHBOARD!$B$13), N813, -1000000000000)</f>
        <v/>
      </c>
      <c r="V813" s="101">
        <f>IF(AND(F813&lt;=DASHBOARD!$B$11, H813&gt;=DASHBOARD!$B$13), H813, -1000000000000)</f>
        <v/>
      </c>
      <c r="W813" s="101">
        <f>IF(AND(F813&lt;=DASHBOARD!$B$11, H813&gt;=DASHBOARD!$B$13), K813, -1000000000000)</f>
        <v/>
      </c>
      <c r="X813" s="101">
        <f>IF(AND(F813&lt;=DASHBOARD!$B$11, H813&gt;=DASHBOARD!$B$13), M813, 1000000000000)</f>
        <v/>
      </c>
      <c r="Y813" s="101">
        <f>IF(AND(F813&lt;=DASHBOARD!$B$10, H813&gt;=DASHBOARD!$B$11), L813, 1000000000000)</f>
        <v/>
      </c>
      <c r="Z813" s="101">
        <f>IF(AND(F813&lt;=DASHBOARD!$B$10, H813&gt;=DASHBOARD!$B$11), O813, 1000000000000)</f>
        <v/>
      </c>
      <c r="AA813" s="101">
        <f>IF(AND(F813&lt;=DASHBOARD!$B$10, H813&gt;=DASHBOARD!$B$11), P813, 1000000000000)</f>
        <v/>
      </c>
      <c r="AB813" s="101">
        <f>IF(AND(F813&lt;=DASHBOARD!$B$10, H813&gt;=DASHBOARD!$B$11), Q813, -1000000000000)</f>
        <v/>
      </c>
    </row>
    <row r="814" ht="15" customHeight="1" s="102">
      <c r="A814" s="166" t="n">
        <v>810</v>
      </c>
      <c r="B814" s="167" t="n">
        <v>1.9</v>
      </c>
      <c r="C814" s="167" t="n">
        <v>0.5</v>
      </c>
      <c r="D814" s="110" t="inlineStr">
        <is>
          <t>Var (%20)</t>
        </is>
      </c>
      <c r="E814" s="110">
        <f>IF((B814+C814)&lt;=1, "Tam Mahsuplaşma (≤%100)", "Kısmi Satış (&gt;%100)")</f>
        <v/>
      </c>
      <c r="F814" s="168">
        <f>((VERI_TABANI!$D$29*B814/VERI_TABANI!$B$29)/VERI_TABANI!$B$3)*VERI_TABANI!$B$5 + ((VERI_TABANI!$D$29*C814/VERI_TABANI!$B$29)/VERI_TABANI!$B$4)*VERI_TABANI!$B$6 + IF(ISNUMBER(SEARCH("Var", D814)), (VERI_TABANI!$F$29/VERI_TABANI!$B$29)*(VERI_TABANI!$B$10+VERI_TABANI!$B$12), 0)</f>
        <v/>
      </c>
      <c r="G814" s="168">
        <f>(((MIN(VERI_TABANI!D23, VERI_TABANI!D23*B814)*VERI_TABANI!$B$7 + MAX(0, VERI_TABANI!D23*B814-VERI_TABANI!D23)*VERI_TABANI!$B$8) + (MIN(MAX(0, VERI_TABANI!D23-VERI_TABANI!D23*B814), VERI_TABANI!D23*C814)*VERI_TABANI!$B$7 + MAX(0, VERI_TABANI!D23*C814-MAX(0, VERI_TABANI!D23-VERI_TABANI!D23*B814))*VERI_TABANI!$B$8) + IF(ABS(IF(ISNUMBER(SEARCH("Var", D814)), 1, IF(ISNUMBER(SEARCH("Gri", D814)), -1, 0)))=1, VERI_TABANI!E23*(1-0.928)*VERI_TABANI!$B$9, 0) + (VERI_TABANI!D23*B814*(VERI_TABANI!$B$13-VERI_TABANI!$B$14)*VERI_TABANI!G23) + (VERI_TABANI!D23*C814*(VERI_TABANI!$B$13-VERI_TABANI!$B$15)*VERI_TABANI!G23) + IF(ABS(IF(ISNUMBER(SEARCH("Var", D814)), 1, IF(ISNUMBER(SEARCH("Gri", D814)), -1, 0)))=1, VERI_TABANI!E23*(1-0.928)*0.00206091519919798*VERI_TABANI!G23, 0)) + ((MIN(VERI_TABANI!D24, VERI_TABANI!D24*B814)*VERI_TABANI!$B$7 + MAX(0, VERI_TABANI!D24*B814-VERI_TABANI!D24)*VERI_TABANI!$B$8) + (MIN(MAX(0, VERI_TABANI!D24-VERI_TABANI!D24*B814), VERI_TABANI!D24*C814)*VERI_TABANI!$B$7 + MAX(0, VERI_TABANI!D24*C814-MAX(0, VERI_TABANI!D24-VERI_TABANI!D24*B814))*VERI_TABANI!$B$8) + IF(ABS(IF(ISNUMBER(SEARCH("Var", D814)), 1, IF(ISNUMBER(SEARCH("Gri", D814)), -1, 0)))=1, VERI_TABANI!E24*(1-0.928)*VERI_TABANI!$B$9, 0) + (VERI_TABANI!D24*B814*(VERI_TABANI!$B$13-VERI_TABANI!$B$14)*VERI_TABANI!G24) + (VERI_TABANI!D24*C814*(VERI_TABANI!$B$13-VERI_TABANI!$B$15)*VERI_TABANI!G24) + IF(ABS(IF(ISNUMBER(SEARCH("Var", D814)), 1, IF(ISNUMBER(SEARCH("Gri", D814)), -1, 0)))=1, VERI_TABANI!E24*(1-0.928)*0.00206091519919798*VERI_TABANI!G24, 0)) + ((MIN(VERI_TABANI!D25, VERI_TABANI!D25*B814)*VERI_TABANI!$B$7 + MAX(0, VERI_TABANI!D25*B814-VERI_TABANI!D25)*VERI_TABANI!$B$8) + (MIN(MAX(0, VERI_TABANI!D25-VERI_TABANI!D25*B814), VERI_TABANI!D25*C814)*VERI_TABANI!$B$7 + MAX(0, VERI_TABANI!D25*C814-MAX(0, VERI_TABANI!D25-VERI_TABANI!D25*B814))*VERI_TABANI!$B$8) + IF(ABS(IF(ISNUMBER(SEARCH("Var", D814)), 1, IF(ISNUMBER(SEARCH("Gri", D814)), -1, 0)))=1, VERI_TABANI!E25*(1-0.928)*VERI_TABANI!$B$9, 0) + (VERI_TABANI!D25*B814*(VERI_TABANI!$B$13-VERI_TABANI!$B$14)*VERI_TABANI!G25) + (VERI_TABANI!D25*C814*(VERI_TABANI!$B$13-VERI_TABANI!$B$15)*VERI_TABANI!G25) + IF(ABS(IF(ISNUMBER(SEARCH("Var", D814)), 1, IF(ISNUMBER(SEARCH("Gri", D814)), -1, 0)))=1, VERI_TABANI!E25*(1-0.928)*0.00206091519919798*VERI_TABANI!G25, 0)) + ((MIN(VERI_TABANI!D26, VERI_TABANI!D26*B814)*VERI_TABANI!$B$7 + MAX(0, VERI_TABANI!D26*B814-VERI_TABANI!D26)*VERI_TABANI!$B$8) + (MIN(MAX(0, VERI_TABANI!D26-VERI_TABANI!D26*B814), VERI_TABANI!D26*C814)*VERI_TABANI!$B$7 + MAX(0, VERI_TABANI!D26*C814-MAX(0, VERI_TABANI!D26-VERI_TABANI!D26*B814))*VERI_TABANI!$B$8) + IF(ABS(IF(ISNUMBER(SEARCH("Var", D814)), 1, IF(ISNUMBER(SEARCH("Gri", D814)), -1, 0)))=1, VERI_TABANI!E26*(1-0.928)*VERI_TABANI!$B$9, 0) + (VERI_TABANI!D26*B814*(VERI_TABANI!$B$13-VERI_TABANI!$B$14)*VERI_TABANI!G26) + (VERI_TABANI!D26*C814*(VERI_TABANI!$B$13-VERI_TABANI!$B$15)*VERI_TABANI!G26) + IF(ABS(IF(ISNUMBER(SEARCH("Var", D814)), 1, IF(ISNUMBER(SEARCH("Gri", D814)), -1, 0)))=1, VERI_TABANI!E26*(1-0.928)*0.00206091519919798*VERI_TABANI!G26, 0)) + ((MIN(VERI_TABANI!D27, VERI_TABANI!D27*B814)*VERI_TABANI!$B$7 + MAX(0, VERI_TABANI!D27*B814-VERI_TABANI!D27)*VERI_TABANI!$B$8) + (MIN(MAX(0, VERI_TABANI!D27-VERI_TABANI!D27*B814), VERI_TABANI!D27*C814)*VERI_TABANI!$B$7 + MAX(0, VERI_TABANI!D27*C814-MAX(0, VERI_TABANI!D27-VERI_TABANI!D27*B814))*VERI_TABANI!$B$8) + IF(ABS(IF(ISNUMBER(SEARCH("Var", D814)), 1, IF(ISNUMBER(SEARCH("Gri", D814)), -1, 0)))=1, VERI_TABANI!E27*(1-0.928)*VERI_TABANI!$B$9, 0) + (VERI_TABANI!D27*B814*(VERI_TABANI!$B$13-VERI_TABANI!$B$14)*VERI_TABANI!G27) + (VERI_TABANI!D27*C814*(VERI_TABANI!$B$13-VERI_TABANI!$B$15)*VERI_TABANI!G27) + IF(ABS(IF(ISNUMBER(SEARCH("Var", D814)), 1, IF(ISNUMBER(SEARCH("Gri", D814)), -1, 0)))=1, VERI_TABANI!E27*(1-0.928)*0.00206091519919798*VERI_TABANI!G27, 0)) + ((MIN(VERI_TABANI!D28, VERI_TABANI!D28*B814)*VERI_TABANI!$B$7 + MAX(0, VERI_TABANI!D28*B814-VERI_TABANI!D28)*VERI_TABANI!$B$8) + (MIN(MAX(0, VERI_TABANI!D28-VERI_TABANI!D28*B814), VERI_TABANI!D28*C814)*VERI_TABANI!$B$7 + MAX(0, VERI_TABANI!D28*C814-MAX(0, VERI_TABANI!D28-VERI_TABANI!D28*B814))*VERI_TABANI!$B$8) + IF(ABS(IF(ISNUMBER(SEARCH("Var", D814)), 1, IF(ISNUMBER(SEARCH("Gri", D814)), -1, 0)))=1, VERI_TABANI!E28*(1-0.928)*VERI_TABANI!$B$9, 0) + (VERI_TABANI!D28*B814*(VERI_TABANI!$B$13-VERI_TABANI!$B$14)*VERI_TABANI!G28) + (VERI_TABANI!D28*C814*(VERI_TABANI!$B$13-VERI_TABANI!$B$15)*VERI_TABANI!G28) + IF(ABS(IF(ISNUMBER(SEARCH("Var", D814)), 1, IF(ISNUMBER(SEARCH("Gri", D814)), -1, 0)))=1, VERI_TABANI!E28*(1-0.928)*0.00206091519919798*VERI_TABANI!G28, 0)))</f>
        <v/>
      </c>
      <c r="H814" s="169">
        <f>(((VERI_TABANI!D23*B814*(VERI_TABANI!$B$13-VERI_TABANI!$B$14)) + (VERI_TABANI!D23*C814*(VERI_TABANI!$B$13-VERI_TABANI!$B$15)) + IF(ISNUMBER(SEARCH("Var", D814)), VERI_TABANI!F23*(0.00202-VERI_TABANI!$B$16), IF(ISNUMBER(SEARCH("Gri", D814)), VERI_TABANI!F23*(0.00202-VERI_TABANI!$B$17), 0))) + ((VERI_TABANI!D24*B814*(VERI_TABANI!$B$13-VERI_TABANI!$B$14)) + (VERI_TABANI!D24*C814*(VERI_TABANI!$B$13-VERI_TABANI!$B$15)) + IF(ISNUMBER(SEARCH("Var", D814)), VERI_TABANI!F24*(0.00202-VERI_TABANI!$B$16), IF(ISNUMBER(SEARCH("Gri", D814)), VERI_TABANI!F24*(0.00202-VERI_TABANI!$B$17), 0))) + ((VERI_TABANI!D25*B814*(VERI_TABANI!$B$13-VERI_TABANI!$B$14)) + (VERI_TABANI!D25*C814*(VERI_TABANI!$B$13-VERI_TABANI!$B$15)) + IF(ISNUMBER(SEARCH("Var", D814)), VERI_TABANI!F25*(0.00202-VERI_TABANI!$B$16), IF(ISNUMBER(SEARCH("Gri", D814)), VERI_TABANI!F25*(0.00202-VERI_TABANI!$B$17), 0))) + ((VERI_TABANI!D26*B814*(VERI_TABANI!$B$13-VERI_TABANI!$B$14)) + (VERI_TABANI!D26*C814*(VERI_TABANI!$B$13-VERI_TABANI!$B$15)) + IF(ISNUMBER(SEARCH("Var", D814)), VERI_TABANI!F26*(0.00202-VERI_TABANI!$B$16), IF(ISNUMBER(SEARCH("Gri", D814)), VERI_TABANI!F26*(0.00202-VERI_TABANI!$B$17), 0))) + ((VERI_TABANI!D27*B814*(VERI_TABANI!$B$13-VERI_TABANI!$B$14)) + (VERI_TABANI!D27*C814*(VERI_TABANI!$B$13-VERI_TABANI!$B$15)) + IF(ISNUMBER(SEARCH("Var", D814)), VERI_TABANI!F27*(0.00202-VERI_TABANI!$B$16), IF(ISNUMBER(SEARCH("Gri", D814)), VERI_TABANI!F27*(0.00202-VERI_TABANI!$B$17), 0))) + ((VERI_TABANI!D28*B814*(VERI_TABANI!$B$13-VERI_TABANI!$B$14)) + (VERI_TABANI!D28*C814*(VERI_TABANI!$B$13-VERI_TABANI!$B$15)) + IF(ISNUMBER(SEARCH("Var", D814)), VERI_TABANI!F28*(0.00202-VERI_TABANI!$B$16), IF(ISNUMBER(SEARCH("Gri", D814)), VERI_TABANI!F28*(0.00202-VERI_TABANI!$B$17), 0))))</f>
        <v/>
      </c>
      <c r="I814" s="170">
        <f>IFERROR(((VERI_TABANI!$D$29*B814*VERI_TABANI!$B$14 + VERI_TABANI!$D$29*C814*VERI_TABANI!$B$15 + IF(ISNUMBER(SEARCH("Var", D814)), VERI_TABANI!$F$29*VERI_TABANI!$B$16, 0))) / (((VERI_TABANI!$D$29*B814 + VERI_TABANI!$D$29*C814)*VERI_TABANI!$B$13 + IF(ISNUMBER(SEARCH("Var", D814)), VERI_TABANI!$E$29*(1-0.928)*VERI_TABANI!$B$18, 0))), 0)</f>
        <v/>
      </c>
      <c r="J814" s="171">
        <f>IFERROR(F814/(G814/29), 0)</f>
        <v/>
      </c>
      <c r="K814" s="172">
        <f>IF(F814&gt;0, H814/F814, 0)</f>
        <v/>
      </c>
      <c r="L814" s="170">
        <f>IF(F814&gt;0, I814, 1000000000)</f>
        <v/>
      </c>
      <c r="M814" s="171">
        <f>ABS((B814+C814)-1)</f>
        <v/>
      </c>
      <c r="N814" s="170">
        <f>IF(F814&gt;0, (G814/29)/F814, 0)</f>
        <v/>
      </c>
      <c r="O814" s="168">
        <f>IF(AND((B814+C814)&gt;=1, ISNUMBER(SEARCH("Var", D814))), F814, 1000000000)</f>
        <v/>
      </c>
      <c r="P814" s="172">
        <f>IF(F814&gt;0, SQRT((F814/MAX(F$5:F$886))^2 + (1 - H814/MAX(H$5:H$886))^2 + (J814/MAX(J$5:J$886))^2), 1000000000)</f>
        <v/>
      </c>
      <c r="Q814" s="166">
        <f>IF(AND(ABS(B814-0.5)&lt;0.01, ABS(C814-0.5)&lt;0.01, ISNUMBER(SEARCH("Var", D814))), 1, 0)</f>
        <v/>
      </c>
      <c r="R814" s="171">
        <f>IF(F814&gt;0, J814, 1000000000)</f>
        <v/>
      </c>
      <c r="S814" s="101">
        <f>IF(AND(F814&lt;=DASHBOARD!$B$11, H814&gt;=DASHBOARD!$B$13), G814, -1000000000000)</f>
        <v/>
      </c>
      <c r="T814" s="101">
        <f>IF(AND(F814&lt;=DASHBOARD!$B$11, H814&gt;=DASHBOARD!$B$13), R814, 1000000000000)</f>
        <v/>
      </c>
      <c r="U814" s="101">
        <f>IF(AND(F814&lt;=DASHBOARD!$B$11, H814&gt;=DASHBOARD!$B$13), N814, -1000000000000)</f>
        <v/>
      </c>
      <c r="V814" s="101">
        <f>IF(AND(F814&lt;=DASHBOARD!$B$11, H814&gt;=DASHBOARD!$B$13), H814, -1000000000000)</f>
        <v/>
      </c>
      <c r="W814" s="101">
        <f>IF(AND(F814&lt;=DASHBOARD!$B$11, H814&gt;=DASHBOARD!$B$13), K814, -1000000000000)</f>
        <v/>
      </c>
      <c r="X814" s="101">
        <f>IF(AND(F814&lt;=DASHBOARD!$B$11, H814&gt;=DASHBOARD!$B$13), M814, 1000000000000)</f>
        <v/>
      </c>
      <c r="Y814" s="101">
        <f>IF(AND(F814&lt;=DASHBOARD!$B$10, H814&gt;=DASHBOARD!$B$11), L814, 1000000000000)</f>
        <v/>
      </c>
      <c r="Z814" s="101">
        <f>IF(AND(F814&lt;=DASHBOARD!$B$10, H814&gt;=DASHBOARD!$B$11), O814, 1000000000000)</f>
        <v/>
      </c>
      <c r="AA814" s="101">
        <f>IF(AND(F814&lt;=DASHBOARD!$B$10, H814&gt;=DASHBOARD!$B$11), P814, 1000000000000)</f>
        <v/>
      </c>
      <c r="AB814" s="101">
        <f>IF(AND(F814&lt;=DASHBOARD!$B$10, H814&gt;=DASHBOARD!$B$11), Q814, -1000000000000)</f>
        <v/>
      </c>
    </row>
    <row r="815" ht="15" customHeight="1" s="102">
      <c r="A815" s="166" t="n">
        <v>811</v>
      </c>
      <c r="B815" s="167" t="n">
        <v>1.9</v>
      </c>
      <c r="C815" s="167" t="n">
        <v>0.6</v>
      </c>
      <c r="D815" s="110" t="inlineStr">
        <is>
          <t>Yok (%0)</t>
        </is>
      </c>
      <c r="E815" s="110">
        <f>IF((B815+C815)&lt;=1, "Tam Mahsuplaşma (≤%100)", "Kısmi Satış (&gt;%100)")</f>
        <v/>
      </c>
      <c r="F815" s="168">
        <f>((VERI_TABANI!$D$29*B815/VERI_TABANI!$B$29)/VERI_TABANI!$B$3)*VERI_TABANI!$B$5 + ((VERI_TABANI!$D$29*C815/VERI_TABANI!$B$29)/VERI_TABANI!$B$4)*VERI_TABANI!$B$6 + IF(ISNUMBER(SEARCH("Var", D815)), (VERI_TABANI!$F$29/VERI_TABANI!$B$29)*(VERI_TABANI!$B$10+VERI_TABANI!$B$12), 0)</f>
        <v/>
      </c>
      <c r="G815" s="168">
        <f>(((MIN(VERI_TABANI!D23, VERI_TABANI!D23*B815)*VERI_TABANI!$B$7 + MAX(0, VERI_TABANI!D23*B815-VERI_TABANI!D23)*VERI_TABANI!$B$8) + (MIN(MAX(0, VERI_TABANI!D23-VERI_TABANI!D23*B815), VERI_TABANI!D23*C815)*VERI_TABANI!$B$7 + MAX(0, VERI_TABANI!D23*C815-MAX(0, VERI_TABANI!D23-VERI_TABANI!D23*B815))*VERI_TABANI!$B$8) + IF(ABS(IF(ISNUMBER(SEARCH("Var", D815)), 1, IF(ISNUMBER(SEARCH("Gri", D815)), -1, 0)))=1, VERI_TABANI!E23*(1-0.928)*VERI_TABANI!$B$9, 0) + (VERI_TABANI!D23*B815*(VERI_TABANI!$B$13-VERI_TABANI!$B$14)*VERI_TABANI!G23) + (VERI_TABANI!D23*C815*(VERI_TABANI!$B$13-VERI_TABANI!$B$15)*VERI_TABANI!G23) + IF(ABS(IF(ISNUMBER(SEARCH("Var", D815)), 1, IF(ISNUMBER(SEARCH("Gri", D815)), -1, 0)))=1, VERI_TABANI!E23*(1-0.928)*0.00206091519919798*VERI_TABANI!G23, 0)) + ((MIN(VERI_TABANI!D24, VERI_TABANI!D24*B815)*VERI_TABANI!$B$7 + MAX(0, VERI_TABANI!D24*B815-VERI_TABANI!D24)*VERI_TABANI!$B$8) + (MIN(MAX(0, VERI_TABANI!D24-VERI_TABANI!D24*B815), VERI_TABANI!D24*C815)*VERI_TABANI!$B$7 + MAX(0, VERI_TABANI!D24*C815-MAX(0, VERI_TABANI!D24-VERI_TABANI!D24*B815))*VERI_TABANI!$B$8) + IF(ABS(IF(ISNUMBER(SEARCH("Var", D815)), 1, IF(ISNUMBER(SEARCH("Gri", D815)), -1, 0)))=1, VERI_TABANI!E24*(1-0.928)*VERI_TABANI!$B$9, 0) + (VERI_TABANI!D24*B815*(VERI_TABANI!$B$13-VERI_TABANI!$B$14)*VERI_TABANI!G24) + (VERI_TABANI!D24*C815*(VERI_TABANI!$B$13-VERI_TABANI!$B$15)*VERI_TABANI!G24) + IF(ABS(IF(ISNUMBER(SEARCH("Var", D815)), 1, IF(ISNUMBER(SEARCH("Gri", D815)), -1, 0)))=1, VERI_TABANI!E24*(1-0.928)*0.00206091519919798*VERI_TABANI!G24, 0)) + ((MIN(VERI_TABANI!D25, VERI_TABANI!D25*B815)*VERI_TABANI!$B$7 + MAX(0, VERI_TABANI!D25*B815-VERI_TABANI!D25)*VERI_TABANI!$B$8) + (MIN(MAX(0, VERI_TABANI!D25-VERI_TABANI!D25*B815), VERI_TABANI!D25*C815)*VERI_TABANI!$B$7 + MAX(0, VERI_TABANI!D25*C815-MAX(0, VERI_TABANI!D25-VERI_TABANI!D25*B815))*VERI_TABANI!$B$8) + IF(ABS(IF(ISNUMBER(SEARCH("Var", D815)), 1, IF(ISNUMBER(SEARCH("Gri", D815)), -1, 0)))=1, VERI_TABANI!E25*(1-0.928)*VERI_TABANI!$B$9, 0) + (VERI_TABANI!D25*B815*(VERI_TABANI!$B$13-VERI_TABANI!$B$14)*VERI_TABANI!G25) + (VERI_TABANI!D25*C815*(VERI_TABANI!$B$13-VERI_TABANI!$B$15)*VERI_TABANI!G25) + IF(ABS(IF(ISNUMBER(SEARCH("Var", D815)), 1, IF(ISNUMBER(SEARCH("Gri", D815)), -1, 0)))=1, VERI_TABANI!E25*(1-0.928)*0.00206091519919798*VERI_TABANI!G25, 0)) + ((MIN(VERI_TABANI!D26, VERI_TABANI!D26*B815)*VERI_TABANI!$B$7 + MAX(0, VERI_TABANI!D26*B815-VERI_TABANI!D26)*VERI_TABANI!$B$8) + (MIN(MAX(0, VERI_TABANI!D26-VERI_TABANI!D26*B815), VERI_TABANI!D26*C815)*VERI_TABANI!$B$7 + MAX(0, VERI_TABANI!D26*C815-MAX(0, VERI_TABANI!D26-VERI_TABANI!D26*B815))*VERI_TABANI!$B$8) + IF(ABS(IF(ISNUMBER(SEARCH("Var", D815)), 1, IF(ISNUMBER(SEARCH("Gri", D815)), -1, 0)))=1, VERI_TABANI!E26*(1-0.928)*VERI_TABANI!$B$9, 0) + (VERI_TABANI!D26*B815*(VERI_TABANI!$B$13-VERI_TABANI!$B$14)*VERI_TABANI!G26) + (VERI_TABANI!D26*C815*(VERI_TABANI!$B$13-VERI_TABANI!$B$15)*VERI_TABANI!G26) + IF(ABS(IF(ISNUMBER(SEARCH("Var", D815)), 1, IF(ISNUMBER(SEARCH("Gri", D815)), -1, 0)))=1, VERI_TABANI!E26*(1-0.928)*0.00206091519919798*VERI_TABANI!G26, 0)) + ((MIN(VERI_TABANI!D27, VERI_TABANI!D27*B815)*VERI_TABANI!$B$7 + MAX(0, VERI_TABANI!D27*B815-VERI_TABANI!D27)*VERI_TABANI!$B$8) + (MIN(MAX(0, VERI_TABANI!D27-VERI_TABANI!D27*B815), VERI_TABANI!D27*C815)*VERI_TABANI!$B$7 + MAX(0, VERI_TABANI!D27*C815-MAX(0, VERI_TABANI!D27-VERI_TABANI!D27*B815))*VERI_TABANI!$B$8) + IF(ABS(IF(ISNUMBER(SEARCH("Var", D815)), 1, IF(ISNUMBER(SEARCH("Gri", D815)), -1, 0)))=1, VERI_TABANI!E27*(1-0.928)*VERI_TABANI!$B$9, 0) + (VERI_TABANI!D27*B815*(VERI_TABANI!$B$13-VERI_TABANI!$B$14)*VERI_TABANI!G27) + (VERI_TABANI!D27*C815*(VERI_TABANI!$B$13-VERI_TABANI!$B$15)*VERI_TABANI!G27) + IF(ABS(IF(ISNUMBER(SEARCH("Var", D815)), 1, IF(ISNUMBER(SEARCH("Gri", D815)), -1, 0)))=1, VERI_TABANI!E27*(1-0.928)*0.00206091519919798*VERI_TABANI!G27, 0)) + ((MIN(VERI_TABANI!D28, VERI_TABANI!D28*B815)*VERI_TABANI!$B$7 + MAX(0, VERI_TABANI!D28*B815-VERI_TABANI!D28)*VERI_TABANI!$B$8) + (MIN(MAX(0, VERI_TABANI!D28-VERI_TABANI!D28*B815), VERI_TABANI!D28*C815)*VERI_TABANI!$B$7 + MAX(0, VERI_TABANI!D28*C815-MAX(0, VERI_TABANI!D28-VERI_TABANI!D28*B815))*VERI_TABANI!$B$8) + IF(ABS(IF(ISNUMBER(SEARCH("Var", D815)), 1, IF(ISNUMBER(SEARCH("Gri", D815)), -1, 0)))=1, VERI_TABANI!E28*(1-0.928)*VERI_TABANI!$B$9, 0) + (VERI_TABANI!D28*B815*(VERI_TABANI!$B$13-VERI_TABANI!$B$14)*VERI_TABANI!G28) + (VERI_TABANI!D28*C815*(VERI_TABANI!$B$13-VERI_TABANI!$B$15)*VERI_TABANI!G28) + IF(ABS(IF(ISNUMBER(SEARCH("Var", D815)), 1, IF(ISNUMBER(SEARCH("Gri", D815)), -1, 0)))=1, VERI_TABANI!E28*(1-0.928)*0.00206091519919798*VERI_TABANI!G28, 0)))</f>
        <v/>
      </c>
      <c r="H815" s="169">
        <f>(((VERI_TABANI!D23*B815*(VERI_TABANI!$B$13-VERI_TABANI!$B$14)) + (VERI_TABANI!D23*C815*(VERI_TABANI!$B$13-VERI_TABANI!$B$15)) + IF(ISNUMBER(SEARCH("Var", D815)), VERI_TABANI!F23*(0.00202-VERI_TABANI!$B$16), IF(ISNUMBER(SEARCH("Gri", D815)), VERI_TABANI!F23*(0.00202-VERI_TABANI!$B$17), 0))) + ((VERI_TABANI!D24*B815*(VERI_TABANI!$B$13-VERI_TABANI!$B$14)) + (VERI_TABANI!D24*C815*(VERI_TABANI!$B$13-VERI_TABANI!$B$15)) + IF(ISNUMBER(SEARCH("Var", D815)), VERI_TABANI!F24*(0.00202-VERI_TABANI!$B$16), IF(ISNUMBER(SEARCH("Gri", D815)), VERI_TABANI!F24*(0.00202-VERI_TABANI!$B$17), 0))) + ((VERI_TABANI!D25*B815*(VERI_TABANI!$B$13-VERI_TABANI!$B$14)) + (VERI_TABANI!D25*C815*(VERI_TABANI!$B$13-VERI_TABANI!$B$15)) + IF(ISNUMBER(SEARCH("Var", D815)), VERI_TABANI!F25*(0.00202-VERI_TABANI!$B$16), IF(ISNUMBER(SEARCH("Gri", D815)), VERI_TABANI!F25*(0.00202-VERI_TABANI!$B$17), 0))) + ((VERI_TABANI!D26*B815*(VERI_TABANI!$B$13-VERI_TABANI!$B$14)) + (VERI_TABANI!D26*C815*(VERI_TABANI!$B$13-VERI_TABANI!$B$15)) + IF(ISNUMBER(SEARCH("Var", D815)), VERI_TABANI!F26*(0.00202-VERI_TABANI!$B$16), IF(ISNUMBER(SEARCH("Gri", D815)), VERI_TABANI!F26*(0.00202-VERI_TABANI!$B$17), 0))) + ((VERI_TABANI!D27*B815*(VERI_TABANI!$B$13-VERI_TABANI!$B$14)) + (VERI_TABANI!D27*C815*(VERI_TABANI!$B$13-VERI_TABANI!$B$15)) + IF(ISNUMBER(SEARCH("Var", D815)), VERI_TABANI!F27*(0.00202-VERI_TABANI!$B$16), IF(ISNUMBER(SEARCH("Gri", D815)), VERI_TABANI!F27*(0.00202-VERI_TABANI!$B$17), 0))) + ((VERI_TABANI!D28*B815*(VERI_TABANI!$B$13-VERI_TABANI!$B$14)) + (VERI_TABANI!D28*C815*(VERI_TABANI!$B$13-VERI_TABANI!$B$15)) + IF(ISNUMBER(SEARCH("Var", D815)), VERI_TABANI!F28*(0.00202-VERI_TABANI!$B$16), IF(ISNUMBER(SEARCH("Gri", D815)), VERI_TABANI!F28*(0.00202-VERI_TABANI!$B$17), 0))))</f>
        <v/>
      </c>
      <c r="I815" s="170">
        <f>IFERROR(((VERI_TABANI!$D$29*B815*VERI_TABANI!$B$14 + VERI_TABANI!$D$29*C815*VERI_TABANI!$B$15 + IF(ISNUMBER(SEARCH("Var", D815)), VERI_TABANI!$F$29*VERI_TABANI!$B$16, 0))) / (((VERI_TABANI!$D$29*B815 + VERI_TABANI!$D$29*C815)*VERI_TABANI!$B$13 + IF(ISNUMBER(SEARCH("Var", D815)), VERI_TABANI!$E$29*(1-0.928)*VERI_TABANI!$B$18, 0))), 0)</f>
        <v/>
      </c>
      <c r="J815" s="171">
        <f>IFERROR(F815/(G815/29), 0)</f>
        <v/>
      </c>
      <c r="K815" s="172">
        <f>IF(F815&gt;0, H815/F815, 0)</f>
        <v/>
      </c>
      <c r="L815" s="170">
        <f>IF(F815&gt;0, I815, 1000000000)</f>
        <v/>
      </c>
      <c r="M815" s="171">
        <f>ABS((B815+C815)-1)</f>
        <v/>
      </c>
      <c r="N815" s="170">
        <f>IF(F815&gt;0, (G815/29)/F815, 0)</f>
        <v/>
      </c>
      <c r="O815" s="168">
        <f>IF(AND((B815+C815)&gt;=1, ISNUMBER(SEARCH("Var", D815))), F815, 1000000000)</f>
        <v/>
      </c>
      <c r="P815" s="172">
        <f>IF(F815&gt;0, SQRT((F815/MAX(F$5:F$886))^2 + (1 - H815/MAX(H$5:H$886))^2 + (J815/MAX(J$5:J$886))^2), 1000000000)</f>
        <v/>
      </c>
      <c r="Q815" s="166">
        <f>IF(AND(ABS(B815-0.5)&lt;0.01, ABS(C815-0.5)&lt;0.01, ISNUMBER(SEARCH("Var", D815))), 1, 0)</f>
        <v/>
      </c>
      <c r="R815" s="171">
        <f>IF(F815&gt;0, J815, 1000000000)</f>
        <v/>
      </c>
      <c r="S815" s="101">
        <f>IF(AND(F815&lt;=DASHBOARD!$B$11, H815&gt;=DASHBOARD!$B$13), G815, -1000000000000)</f>
        <v/>
      </c>
      <c r="T815" s="101">
        <f>IF(AND(F815&lt;=DASHBOARD!$B$11, H815&gt;=DASHBOARD!$B$13), R815, 1000000000000)</f>
        <v/>
      </c>
      <c r="U815" s="101">
        <f>IF(AND(F815&lt;=DASHBOARD!$B$11, H815&gt;=DASHBOARD!$B$13), N815, -1000000000000)</f>
        <v/>
      </c>
      <c r="V815" s="101">
        <f>IF(AND(F815&lt;=DASHBOARD!$B$11, H815&gt;=DASHBOARD!$B$13), H815, -1000000000000)</f>
        <v/>
      </c>
      <c r="W815" s="101">
        <f>IF(AND(F815&lt;=DASHBOARD!$B$11, H815&gt;=DASHBOARD!$B$13), K815, -1000000000000)</f>
        <v/>
      </c>
      <c r="X815" s="101">
        <f>IF(AND(F815&lt;=DASHBOARD!$B$11, H815&gt;=DASHBOARD!$B$13), M815, 1000000000000)</f>
        <v/>
      </c>
      <c r="Y815" s="101">
        <f>IF(AND(F815&lt;=DASHBOARD!$B$10, H815&gt;=DASHBOARD!$B$11), L815, 1000000000000)</f>
        <v/>
      </c>
      <c r="Z815" s="101">
        <f>IF(AND(F815&lt;=DASHBOARD!$B$10, H815&gt;=DASHBOARD!$B$11), O815, 1000000000000)</f>
        <v/>
      </c>
      <c r="AA815" s="101">
        <f>IF(AND(F815&lt;=DASHBOARD!$B$10, H815&gt;=DASHBOARD!$B$11), P815, 1000000000000)</f>
        <v/>
      </c>
      <c r="AB815" s="101">
        <f>IF(AND(F815&lt;=DASHBOARD!$B$10, H815&gt;=DASHBOARD!$B$11), Q815, -1000000000000)</f>
        <v/>
      </c>
    </row>
    <row r="816" ht="15" customHeight="1" s="102">
      <c r="A816" s="166" t="n">
        <v>812</v>
      </c>
      <c r="B816" s="167" t="n">
        <v>1.9</v>
      </c>
      <c r="C816" s="167" t="n">
        <v>0.6</v>
      </c>
      <c r="D816" s="110" t="inlineStr">
        <is>
          <t>Var (%20)</t>
        </is>
      </c>
      <c r="E816" s="110">
        <f>IF((B816+C816)&lt;=1, "Tam Mahsuplaşma (≤%100)", "Kısmi Satış (&gt;%100)")</f>
        <v/>
      </c>
      <c r="F816" s="168">
        <f>((VERI_TABANI!$D$29*B816/VERI_TABANI!$B$29)/VERI_TABANI!$B$3)*VERI_TABANI!$B$5 + ((VERI_TABANI!$D$29*C816/VERI_TABANI!$B$29)/VERI_TABANI!$B$4)*VERI_TABANI!$B$6 + IF(ISNUMBER(SEARCH("Var", D816)), (VERI_TABANI!$F$29/VERI_TABANI!$B$29)*(VERI_TABANI!$B$10+VERI_TABANI!$B$12), 0)</f>
        <v/>
      </c>
      <c r="G816" s="168">
        <f>(((MIN(VERI_TABANI!D23, VERI_TABANI!D23*B816)*VERI_TABANI!$B$7 + MAX(0, VERI_TABANI!D23*B816-VERI_TABANI!D23)*VERI_TABANI!$B$8) + (MIN(MAX(0, VERI_TABANI!D23-VERI_TABANI!D23*B816), VERI_TABANI!D23*C816)*VERI_TABANI!$B$7 + MAX(0, VERI_TABANI!D23*C816-MAX(0, VERI_TABANI!D23-VERI_TABANI!D23*B816))*VERI_TABANI!$B$8) + IF(ABS(IF(ISNUMBER(SEARCH("Var", D816)), 1, IF(ISNUMBER(SEARCH("Gri", D816)), -1, 0)))=1, VERI_TABANI!E23*(1-0.928)*VERI_TABANI!$B$9, 0) + (VERI_TABANI!D23*B816*(VERI_TABANI!$B$13-VERI_TABANI!$B$14)*VERI_TABANI!G23) + (VERI_TABANI!D23*C816*(VERI_TABANI!$B$13-VERI_TABANI!$B$15)*VERI_TABANI!G23) + IF(ABS(IF(ISNUMBER(SEARCH("Var", D816)), 1, IF(ISNUMBER(SEARCH("Gri", D816)), -1, 0)))=1, VERI_TABANI!E23*(1-0.928)*0.00206091519919798*VERI_TABANI!G23, 0)) + ((MIN(VERI_TABANI!D24, VERI_TABANI!D24*B816)*VERI_TABANI!$B$7 + MAX(0, VERI_TABANI!D24*B816-VERI_TABANI!D24)*VERI_TABANI!$B$8) + (MIN(MAX(0, VERI_TABANI!D24-VERI_TABANI!D24*B816), VERI_TABANI!D24*C816)*VERI_TABANI!$B$7 + MAX(0, VERI_TABANI!D24*C816-MAX(0, VERI_TABANI!D24-VERI_TABANI!D24*B816))*VERI_TABANI!$B$8) + IF(ABS(IF(ISNUMBER(SEARCH("Var", D816)), 1, IF(ISNUMBER(SEARCH("Gri", D816)), -1, 0)))=1, VERI_TABANI!E24*(1-0.928)*VERI_TABANI!$B$9, 0) + (VERI_TABANI!D24*B816*(VERI_TABANI!$B$13-VERI_TABANI!$B$14)*VERI_TABANI!G24) + (VERI_TABANI!D24*C816*(VERI_TABANI!$B$13-VERI_TABANI!$B$15)*VERI_TABANI!G24) + IF(ABS(IF(ISNUMBER(SEARCH("Var", D816)), 1, IF(ISNUMBER(SEARCH("Gri", D816)), -1, 0)))=1, VERI_TABANI!E24*(1-0.928)*0.00206091519919798*VERI_TABANI!G24, 0)) + ((MIN(VERI_TABANI!D25, VERI_TABANI!D25*B816)*VERI_TABANI!$B$7 + MAX(0, VERI_TABANI!D25*B816-VERI_TABANI!D25)*VERI_TABANI!$B$8) + (MIN(MAX(0, VERI_TABANI!D25-VERI_TABANI!D25*B816), VERI_TABANI!D25*C816)*VERI_TABANI!$B$7 + MAX(0, VERI_TABANI!D25*C816-MAX(0, VERI_TABANI!D25-VERI_TABANI!D25*B816))*VERI_TABANI!$B$8) + IF(ABS(IF(ISNUMBER(SEARCH("Var", D816)), 1, IF(ISNUMBER(SEARCH("Gri", D816)), -1, 0)))=1, VERI_TABANI!E25*(1-0.928)*VERI_TABANI!$B$9, 0) + (VERI_TABANI!D25*B816*(VERI_TABANI!$B$13-VERI_TABANI!$B$14)*VERI_TABANI!G25) + (VERI_TABANI!D25*C816*(VERI_TABANI!$B$13-VERI_TABANI!$B$15)*VERI_TABANI!G25) + IF(ABS(IF(ISNUMBER(SEARCH("Var", D816)), 1, IF(ISNUMBER(SEARCH("Gri", D816)), -1, 0)))=1, VERI_TABANI!E25*(1-0.928)*0.00206091519919798*VERI_TABANI!G25, 0)) + ((MIN(VERI_TABANI!D26, VERI_TABANI!D26*B816)*VERI_TABANI!$B$7 + MAX(0, VERI_TABANI!D26*B816-VERI_TABANI!D26)*VERI_TABANI!$B$8) + (MIN(MAX(0, VERI_TABANI!D26-VERI_TABANI!D26*B816), VERI_TABANI!D26*C816)*VERI_TABANI!$B$7 + MAX(0, VERI_TABANI!D26*C816-MAX(0, VERI_TABANI!D26-VERI_TABANI!D26*B816))*VERI_TABANI!$B$8) + IF(ABS(IF(ISNUMBER(SEARCH("Var", D816)), 1, IF(ISNUMBER(SEARCH("Gri", D816)), -1, 0)))=1, VERI_TABANI!E26*(1-0.928)*VERI_TABANI!$B$9, 0) + (VERI_TABANI!D26*B816*(VERI_TABANI!$B$13-VERI_TABANI!$B$14)*VERI_TABANI!G26) + (VERI_TABANI!D26*C816*(VERI_TABANI!$B$13-VERI_TABANI!$B$15)*VERI_TABANI!G26) + IF(ABS(IF(ISNUMBER(SEARCH("Var", D816)), 1, IF(ISNUMBER(SEARCH("Gri", D816)), -1, 0)))=1, VERI_TABANI!E26*(1-0.928)*0.00206091519919798*VERI_TABANI!G26, 0)) + ((MIN(VERI_TABANI!D27, VERI_TABANI!D27*B816)*VERI_TABANI!$B$7 + MAX(0, VERI_TABANI!D27*B816-VERI_TABANI!D27)*VERI_TABANI!$B$8) + (MIN(MAX(0, VERI_TABANI!D27-VERI_TABANI!D27*B816), VERI_TABANI!D27*C816)*VERI_TABANI!$B$7 + MAX(0, VERI_TABANI!D27*C816-MAX(0, VERI_TABANI!D27-VERI_TABANI!D27*B816))*VERI_TABANI!$B$8) + IF(ABS(IF(ISNUMBER(SEARCH("Var", D816)), 1, IF(ISNUMBER(SEARCH("Gri", D816)), -1, 0)))=1, VERI_TABANI!E27*(1-0.928)*VERI_TABANI!$B$9, 0) + (VERI_TABANI!D27*B816*(VERI_TABANI!$B$13-VERI_TABANI!$B$14)*VERI_TABANI!G27) + (VERI_TABANI!D27*C816*(VERI_TABANI!$B$13-VERI_TABANI!$B$15)*VERI_TABANI!G27) + IF(ABS(IF(ISNUMBER(SEARCH("Var", D816)), 1, IF(ISNUMBER(SEARCH("Gri", D816)), -1, 0)))=1, VERI_TABANI!E27*(1-0.928)*0.00206091519919798*VERI_TABANI!G27, 0)) + ((MIN(VERI_TABANI!D28, VERI_TABANI!D28*B816)*VERI_TABANI!$B$7 + MAX(0, VERI_TABANI!D28*B816-VERI_TABANI!D28)*VERI_TABANI!$B$8) + (MIN(MAX(0, VERI_TABANI!D28-VERI_TABANI!D28*B816), VERI_TABANI!D28*C816)*VERI_TABANI!$B$7 + MAX(0, VERI_TABANI!D28*C816-MAX(0, VERI_TABANI!D28-VERI_TABANI!D28*B816))*VERI_TABANI!$B$8) + IF(ABS(IF(ISNUMBER(SEARCH("Var", D816)), 1, IF(ISNUMBER(SEARCH("Gri", D816)), -1, 0)))=1, VERI_TABANI!E28*(1-0.928)*VERI_TABANI!$B$9, 0) + (VERI_TABANI!D28*B816*(VERI_TABANI!$B$13-VERI_TABANI!$B$14)*VERI_TABANI!G28) + (VERI_TABANI!D28*C816*(VERI_TABANI!$B$13-VERI_TABANI!$B$15)*VERI_TABANI!G28) + IF(ABS(IF(ISNUMBER(SEARCH("Var", D816)), 1, IF(ISNUMBER(SEARCH("Gri", D816)), -1, 0)))=1, VERI_TABANI!E28*(1-0.928)*0.00206091519919798*VERI_TABANI!G28, 0)))</f>
        <v/>
      </c>
      <c r="H816" s="169">
        <f>(((VERI_TABANI!D23*B816*(VERI_TABANI!$B$13-VERI_TABANI!$B$14)) + (VERI_TABANI!D23*C816*(VERI_TABANI!$B$13-VERI_TABANI!$B$15)) + IF(ISNUMBER(SEARCH("Var", D816)), VERI_TABANI!F23*(0.00202-VERI_TABANI!$B$16), IF(ISNUMBER(SEARCH("Gri", D816)), VERI_TABANI!F23*(0.00202-VERI_TABANI!$B$17), 0))) + ((VERI_TABANI!D24*B816*(VERI_TABANI!$B$13-VERI_TABANI!$B$14)) + (VERI_TABANI!D24*C816*(VERI_TABANI!$B$13-VERI_TABANI!$B$15)) + IF(ISNUMBER(SEARCH("Var", D816)), VERI_TABANI!F24*(0.00202-VERI_TABANI!$B$16), IF(ISNUMBER(SEARCH("Gri", D816)), VERI_TABANI!F24*(0.00202-VERI_TABANI!$B$17), 0))) + ((VERI_TABANI!D25*B816*(VERI_TABANI!$B$13-VERI_TABANI!$B$14)) + (VERI_TABANI!D25*C816*(VERI_TABANI!$B$13-VERI_TABANI!$B$15)) + IF(ISNUMBER(SEARCH("Var", D816)), VERI_TABANI!F25*(0.00202-VERI_TABANI!$B$16), IF(ISNUMBER(SEARCH("Gri", D816)), VERI_TABANI!F25*(0.00202-VERI_TABANI!$B$17), 0))) + ((VERI_TABANI!D26*B816*(VERI_TABANI!$B$13-VERI_TABANI!$B$14)) + (VERI_TABANI!D26*C816*(VERI_TABANI!$B$13-VERI_TABANI!$B$15)) + IF(ISNUMBER(SEARCH("Var", D816)), VERI_TABANI!F26*(0.00202-VERI_TABANI!$B$16), IF(ISNUMBER(SEARCH("Gri", D816)), VERI_TABANI!F26*(0.00202-VERI_TABANI!$B$17), 0))) + ((VERI_TABANI!D27*B816*(VERI_TABANI!$B$13-VERI_TABANI!$B$14)) + (VERI_TABANI!D27*C816*(VERI_TABANI!$B$13-VERI_TABANI!$B$15)) + IF(ISNUMBER(SEARCH("Var", D816)), VERI_TABANI!F27*(0.00202-VERI_TABANI!$B$16), IF(ISNUMBER(SEARCH("Gri", D816)), VERI_TABANI!F27*(0.00202-VERI_TABANI!$B$17), 0))) + ((VERI_TABANI!D28*B816*(VERI_TABANI!$B$13-VERI_TABANI!$B$14)) + (VERI_TABANI!D28*C816*(VERI_TABANI!$B$13-VERI_TABANI!$B$15)) + IF(ISNUMBER(SEARCH("Var", D816)), VERI_TABANI!F28*(0.00202-VERI_TABANI!$B$16), IF(ISNUMBER(SEARCH("Gri", D816)), VERI_TABANI!F28*(0.00202-VERI_TABANI!$B$17), 0))))</f>
        <v/>
      </c>
      <c r="I816" s="170">
        <f>IFERROR(((VERI_TABANI!$D$29*B816*VERI_TABANI!$B$14 + VERI_TABANI!$D$29*C816*VERI_TABANI!$B$15 + IF(ISNUMBER(SEARCH("Var", D816)), VERI_TABANI!$F$29*VERI_TABANI!$B$16, 0))) / (((VERI_TABANI!$D$29*B816 + VERI_TABANI!$D$29*C816)*VERI_TABANI!$B$13 + IF(ISNUMBER(SEARCH("Var", D816)), VERI_TABANI!$E$29*(1-0.928)*VERI_TABANI!$B$18, 0))), 0)</f>
        <v/>
      </c>
      <c r="J816" s="171">
        <f>IFERROR(F816/(G816/29), 0)</f>
        <v/>
      </c>
      <c r="K816" s="172">
        <f>IF(F816&gt;0, H816/F816, 0)</f>
        <v/>
      </c>
      <c r="L816" s="170">
        <f>IF(F816&gt;0, I816, 1000000000)</f>
        <v/>
      </c>
      <c r="M816" s="171">
        <f>ABS((B816+C816)-1)</f>
        <v/>
      </c>
      <c r="N816" s="170">
        <f>IF(F816&gt;0, (G816/29)/F816, 0)</f>
        <v/>
      </c>
      <c r="O816" s="168">
        <f>IF(AND((B816+C816)&gt;=1, ISNUMBER(SEARCH("Var", D816))), F816, 1000000000)</f>
        <v/>
      </c>
      <c r="P816" s="172">
        <f>IF(F816&gt;0, SQRT((F816/MAX(F$5:F$886))^2 + (1 - H816/MAX(H$5:H$886))^2 + (J816/MAX(J$5:J$886))^2), 1000000000)</f>
        <v/>
      </c>
      <c r="Q816" s="166">
        <f>IF(AND(ABS(B816-0.5)&lt;0.01, ABS(C816-0.5)&lt;0.01, ISNUMBER(SEARCH("Var", D816))), 1, 0)</f>
        <v/>
      </c>
      <c r="R816" s="171">
        <f>IF(F816&gt;0, J816, 1000000000)</f>
        <v/>
      </c>
      <c r="S816" s="101">
        <f>IF(AND(F816&lt;=DASHBOARD!$B$11, H816&gt;=DASHBOARD!$B$13), G816, -1000000000000)</f>
        <v/>
      </c>
      <c r="T816" s="101">
        <f>IF(AND(F816&lt;=DASHBOARD!$B$11, H816&gt;=DASHBOARD!$B$13), R816, 1000000000000)</f>
        <v/>
      </c>
      <c r="U816" s="101">
        <f>IF(AND(F816&lt;=DASHBOARD!$B$11, H816&gt;=DASHBOARD!$B$13), N816, -1000000000000)</f>
        <v/>
      </c>
      <c r="V816" s="101">
        <f>IF(AND(F816&lt;=DASHBOARD!$B$11, H816&gt;=DASHBOARD!$B$13), H816, -1000000000000)</f>
        <v/>
      </c>
      <c r="W816" s="101">
        <f>IF(AND(F816&lt;=DASHBOARD!$B$11, H816&gt;=DASHBOARD!$B$13), K816, -1000000000000)</f>
        <v/>
      </c>
      <c r="X816" s="101">
        <f>IF(AND(F816&lt;=DASHBOARD!$B$11, H816&gt;=DASHBOARD!$B$13), M816, 1000000000000)</f>
        <v/>
      </c>
      <c r="Y816" s="101">
        <f>IF(AND(F816&lt;=DASHBOARD!$B$10, H816&gt;=DASHBOARD!$B$11), L816, 1000000000000)</f>
        <v/>
      </c>
      <c r="Z816" s="101">
        <f>IF(AND(F816&lt;=DASHBOARD!$B$10, H816&gt;=DASHBOARD!$B$11), O816, 1000000000000)</f>
        <v/>
      </c>
      <c r="AA816" s="101">
        <f>IF(AND(F816&lt;=DASHBOARD!$B$10, H816&gt;=DASHBOARD!$B$11), P816, 1000000000000)</f>
        <v/>
      </c>
      <c r="AB816" s="101">
        <f>IF(AND(F816&lt;=DASHBOARD!$B$10, H816&gt;=DASHBOARD!$B$11), Q816, -1000000000000)</f>
        <v/>
      </c>
    </row>
    <row r="817" ht="15" customHeight="1" s="102">
      <c r="A817" s="166" t="n">
        <v>813</v>
      </c>
      <c r="B817" s="167" t="n">
        <v>1.9</v>
      </c>
      <c r="C817" s="167" t="n">
        <v>0.7</v>
      </c>
      <c r="D817" s="110" t="inlineStr">
        <is>
          <t>Yok (%0)</t>
        </is>
      </c>
      <c r="E817" s="110">
        <f>IF((B817+C817)&lt;=1, "Tam Mahsuplaşma (≤%100)", "Kısmi Satış (&gt;%100)")</f>
        <v/>
      </c>
      <c r="F817" s="168">
        <f>((VERI_TABANI!$D$29*B817/VERI_TABANI!$B$29)/VERI_TABANI!$B$3)*VERI_TABANI!$B$5 + ((VERI_TABANI!$D$29*C817/VERI_TABANI!$B$29)/VERI_TABANI!$B$4)*VERI_TABANI!$B$6 + IF(ISNUMBER(SEARCH("Var", D817)), (VERI_TABANI!$F$29/VERI_TABANI!$B$29)*(VERI_TABANI!$B$10+VERI_TABANI!$B$12), 0)</f>
        <v/>
      </c>
      <c r="G817" s="168">
        <f>(((MIN(VERI_TABANI!D23, VERI_TABANI!D23*B817)*VERI_TABANI!$B$7 + MAX(0, VERI_TABANI!D23*B817-VERI_TABANI!D23)*VERI_TABANI!$B$8) + (MIN(MAX(0, VERI_TABANI!D23-VERI_TABANI!D23*B817), VERI_TABANI!D23*C817)*VERI_TABANI!$B$7 + MAX(0, VERI_TABANI!D23*C817-MAX(0, VERI_TABANI!D23-VERI_TABANI!D23*B817))*VERI_TABANI!$B$8) + IF(ABS(IF(ISNUMBER(SEARCH("Var", D817)), 1, IF(ISNUMBER(SEARCH("Gri", D817)), -1, 0)))=1, VERI_TABANI!E23*(1-0.928)*VERI_TABANI!$B$9, 0) + (VERI_TABANI!D23*B817*(VERI_TABANI!$B$13-VERI_TABANI!$B$14)*VERI_TABANI!G23) + (VERI_TABANI!D23*C817*(VERI_TABANI!$B$13-VERI_TABANI!$B$15)*VERI_TABANI!G23) + IF(ABS(IF(ISNUMBER(SEARCH("Var", D817)), 1, IF(ISNUMBER(SEARCH("Gri", D817)), -1, 0)))=1, VERI_TABANI!E23*(1-0.928)*0.00206091519919798*VERI_TABANI!G23, 0)) + ((MIN(VERI_TABANI!D24, VERI_TABANI!D24*B817)*VERI_TABANI!$B$7 + MAX(0, VERI_TABANI!D24*B817-VERI_TABANI!D24)*VERI_TABANI!$B$8) + (MIN(MAX(0, VERI_TABANI!D24-VERI_TABANI!D24*B817), VERI_TABANI!D24*C817)*VERI_TABANI!$B$7 + MAX(0, VERI_TABANI!D24*C817-MAX(0, VERI_TABANI!D24-VERI_TABANI!D24*B817))*VERI_TABANI!$B$8) + IF(ABS(IF(ISNUMBER(SEARCH("Var", D817)), 1, IF(ISNUMBER(SEARCH("Gri", D817)), -1, 0)))=1, VERI_TABANI!E24*(1-0.928)*VERI_TABANI!$B$9, 0) + (VERI_TABANI!D24*B817*(VERI_TABANI!$B$13-VERI_TABANI!$B$14)*VERI_TABANI!G24) + (VERI_TABANI!D24*C817*(VERI_TABANI!$B$13-VERI_TABANI!$B$15)*VERI_TABANI!G24) + IF(ABS(IF(ISNUMBER(SEARCH("Var", D817)), 1, IF(ISNUMBER(SEARCH("Gri", D817)), -1, 0)))=1, VERI_TABANI!E24*(1-0.928)*0.00206091519919798*VERI_TABANI!G24, 0)) + ((MIN(VERI_TABANI!D25, VERI_TABANI!D25*B817)*VERI_TABANI!$B$7 + MAX(0, VERI_TABANI!D25*B817-VERI_TABANI!D25)*VERI_TABANI!$B$8) + (MIN(MAX(0, VERI_TABANI!D25-VERI_TABANI!D25*B817), VERI_TABANI!D25*C817)*VERI_TABANI!$B$7 + MAX(0, VERI_TABANI!D25*C817-MAX(0, VERI_TABANI!D25-VERI_TABANI!D25*B817))*VERI_TABANI!$B$8) + IF(ABS(IF(ISNUMBER(SEARCH("Var", D817)), 1, IF(ISNUMBER(SEARCH("Gri", D817)), -1, 0)))=1, VERI_TABANI!E25*(1-0.928)*VERI_TABANI!$B$9, 0) + (VERI_TABANI!D25*B817*(VERI_TABANI!$B$13-VERI_TABANI!$B$14)*VERI_TABANI!G25) + (VERI_TABANI!D25*C817*(VERI_TABANI!$B$13-VERI_TABANI!$B$15)*VERI_TABANI!G25) + IF(ABS(IF(ISNUMBER(SEARCH("Var", D817)), 1, IF(ISNUMBER(SEARCH("Gri", D817)), -1, 0)))=1, VERI_TABANI!E25*(1-0.928)*0.00206091519919798*VERI_TABANI!G25, 0)) + ((MIN(VERI_TABANI!D26, VERI_TABANI!D26*B817)*VERI_TABANI!$B$7 + MAX(0, VERI_TABANI!D26*B817-VERI_TABANI!D26)*VERI_TABANI!$B$8) + (MIN(MAX(0, VERI_TABANI!D26-VERI_TABANI!D26*B817), VERI_TABANI!D26*C817)*VERI_TABANI!$B$7 + MAX(0, VERI_TABANI!D26*C817-MAX(0, VERI_TABANI!D26-VERI_TABANI!D26*B817))*VERI_TABANI!$B$8) + IF(ABS(IF(ISNUMBER(SEARCH("Var", D817)), 1, IF(ISNUMBER(SEARCH("Gri", D817)), -1, 0)))=1, VERI_TABANI!E26*(1-0.928)*VERI_TABANI!$B$9, 0) + (VERI_TABANI!D26*B817*(VERI_TABANI!$B$13-VERI_TABANI!$B$14)*VERI_TABANI!G26) + (VERI_TABANI!D26*C817*(VERI_TABANI!$B$13-VERI_TABANI!$B$15)*VERI_TABANI!G26) + IF(ABS(IF(ISNUMBER(SEARCH("Var", D817)), 1, IF(ISNUMBER(SEARCH("Gri", D817)), -1, 0)))=1, VERI_TABANI!E26*(1-0.928)*0.00206091519919798*VERI_TABANI!G26, 0)) + ((MIN(VERI_TABANI!D27, VERI_TABANI!D27*B817)*VERI_TABANI!$B$7 + MAX(0, VERI_TABANI!D27*B817-VERI_TABANI!D27)*VERI_TABANI!$B$8) + (MIN(MAX(0, VERI_TABANI!D27-VERI_TABANI!D27*B817), VERI_TABANI!D27*C817)*VERI_TABANI!$B$7 + MAX(0, VERI_TABANI!D27*C817-MAX(0, VERI_TABANI!D27-VERI_TABANI!D27*B817))*VERI_TABANI!$B$8) + IF(ABS(IF(ISNUMBER(SEARCH("Var", D817)), 1, IF(ISNUMBER(SEARCH("Gri", D817)), -1, 0)))=1, VERI_TABANI!E27*(1-0.928)*VERI_TABANI!$B$9, 0) + (VERI_TABANI!D27*B817*(VERI_TABANI!$B$13-VERI_TABANI!$B$14)*VERI_TABANI!G27) + (VERI_TABANI!D27*C817*(VERI_TABANI!$B$13-VERI_TABANI!$B$15)*VERI_TABANI!G27) + IF(ABS(IF(ISNUMBER(SEARCH("Var", D817)), 1, IF(ISNUMBER(SEARCH("Gri", D817)), -1, 0)))=1, VERI_TABANI!E27*(1-0.928)*0.00206091519919798*VERI_TABANI!G27, 0)) + ((MIN(VERI_TABANI!D28, VERI_TABANI!D28*B817)*VERI_TABANI!$B$7 + MAX(0, VERI_TABANI!D28*B817-VERI_TABANI!D28)*VERI_TABANI!$B$8) + (MIN(MAX(0, VERI_TABANI!D28-VERI_TABANI!D28*B817), VERI_TABANI!D28*C817)*VERI_TABANI!$B$7 + MAX(0, VERI_TABANI!D28*C817-MAX(0, VERI_TABANI!D28-VERI_TABANI!D28*B817))*VERI_TABANI!$B$8) + IF(ABS(IF(ISNUMBER(SEARCH("Var", D817)), 1, IF(ISNUMBER(SEARCH("Gri", D817)), -1, 0)))=1, VERI_TABANI!E28*(1-0.928)*VERI_TABANI!$B$9, 0) + (VERI_TABANI!D28*B817*(VERI_TABANI!$B$13-VERI_TABANI!$B$14)*VERI_TABANI!G28) + (VERI_TABANI!D28*C817*(VERI_TABANI!$B$13-VERI_TABANI!$B$15)*VERI_TABANI!G28) + IF(ABS(IF(ISNUMBER(SEARCH("Var", D817)), 1, IF(ISNUMBER(SEARCH("Gri", D817)), -1, 0)))=1, VERI_TABANI!E28*(1-0.928)*0.00206091519919798*VERI_TABANI!G28, 0)))</f>
        <v/>
      </c>
      <c r="H817" s="169">
        <f>(((VERI_TABANI!D23*B817*(VERI_TABANI!$B$13-VERI_TABANI!$B$14)) + (VERI_TABANI!D23*C817*(VERI_TABANI!$B$13-VERI_TABANI!$B$15)) + IF(ISNUMBER(SEARCH("Var", D817)), VERI_TABANI!F23*(0.00202-VERI_TABANI!$B$16), IF(ISNUMBER(SEARCH("Gri", D817)), VERI_TABANI!F23*(0.00202-VERI_TABANI!$B$17), 0))) + ((VERI_TABANI!D24*B817*(VERI_TABANI!$B$13-VERI_TABANI!$B$14)) + (VERI_TABANI!D24*C817*(VERI_TABANI!$B$13-VERI_TABANI!$B$15)) + IF(ISNUMBER(SEARCH("Var", D817)), VERI_TABANI!F24*(0.00202-VERI_TABANI!$B$16), IF(ISNUMBER(SEARCH("Gri", D817)), VERI_TABANI!F24*(0.00202-VERI_TABANI!$B$17), 0))) + ((VERI_TABANI!D25*B817*(VERI_TABANI!$B$13-VERI_TABANI!$B$14)) + (VERI_TABANI!D25*C817*(VERI_TABANI!$B$13-VERI_TABANI!$B$15)) + IF(ISNUMBER(SEARCH("Var", D817)), VERI_TABANI!F25*(0.00202-VERI_TABANI!$B$16), IF(ISNUMBER(SEARCH("Gri", D817)), VERI_TABANI!F25*(0.00202-VERI_TABANI!$B$17), 0))) + ((VERI_TABANI!D26*B817*(VERI_TABANI!$B$13-VERI_TABANI!$B$14)) + (VERI_TABANI!D26*C817*(VERI_TABANI!$B$13-VERI_TABANI!$B$15)) + IF(ISNUMBER(SEARCH("Var", D817)), VERI_TABANI!F26*(0.00202-VERI_TABANI!$B$16), IF(ISNUMBER(SEARCH("Gri", D817)), VERI_TABANI!F26*(0.00202-VERI_TABANI!$B$17), 0))) + ((VERI_TABANI!D27*B817*(VERI_TABANI!$B$13-VERI_TABANI!$B$14)) + (VERI_TABANI!D27*C817*(VERI_TABANI!$B$13-VERI_TABANI!$B$15)) + IF(ISNUMBER(SEARCH("Var", D817)), VERI_TABANI!F27*(0.00202-VERI_TABANI!$B$16), IF(ISNUMBER(SEARCH("Gri", D817)), VERI_TABANI!F27*(0.00202-VERI_TABANI!$B$17), 0))) + ((VERI_TABANI!D28*B817*(VERI_TABANI!$B$13-VERI_TABANI!$B$14)) + (VERI_TABANI!D28*C817*(VERI_TABANI!$B$13-VERI_TABANI!$B$15)) + IF(ISNUMBER(SEARCH("Var", D817)), VERI_TABANI!F28*(0.00202-VERI_TABANI!$B$16), IF(ISNUMBER(SEARCH("Gri", D817)), VERI_TABANI!F28*(0.00202-VERI_TABANI!$B$17), 0))))</f>
        <v/>
      </c>
      <c r="I817" s="170">
        <f>IFERROR(((VERI_TABANI!$D$29*B817*VERI_TABANI!$B$14 + VERI_TABANI!$D$29*C817*VERI_TABANI!$B$15 + IF(ISNUMBER(SEARCH("Var", D817)), VERI_TABANI!$F$29*VERI_TABANI!$B$16, 0))) / (((VERI_TABANI!$D$29*B817 + VERI_TABANI!$D$29*C817)*VERI_TABANI!$B$13 + IF(ISNUMBER(SEARCH("Var", D817)), VERI_TABANI!$E$29*(1-0.928)*VERI_TABANI!$B$18, 0))), 0)</f>
        <v/>
      </c>
      <c r="J817" s="171">
        <f>IFERROR(F817/(G817/29), 0)</f>
        <v/>
      </c>
      <c r="K817" s="172">
        <f>IF(F817&gt;0, H817/F817, 0)</f>
        <v/>
      </c>
      <c r="L817" s="170">
        <f>IF(F817&gt;0, I817, 1000000000)</f>
        <v/>
      </c>
      <c r="M817" s="171">
        <f>ABS((B817+C817)-1)</f>
        <v/>
      </c>
      <c r="N817" s="170">
        <f>IF(F817&gt;0, (G817/29)/F817, 0)</f>
        <v/>
      </c>
      <c r="O817" s="168">
        <f>IF(AND((B817+C817)&gt;=1, ISNUMBER(SEARCH("Var", D817))), F817, 1000000000)</f>
        <v/>
      </c>
      <c r="P817" s="172">
        <f>IF(F817&gt;0, SQRT((F817/MAX(F$5:F$886))^2 + (1 - H817/MAX(H$5:H$886))^2 + (J817/MAX(J$5:J$886))^2), 1000000000)</f>
        <v/>
      </c>
      <c r="Q817" s="166">
        <f>IF(AND(ABS(B817-0.5)&lt;0.01, ABS(C817-0.5)&lt;0.01, ISNUMBER(SEARCH("Var", D817))), 1, 0)</f>
        <v/>
      </c>
      <c r="R817" s="171">
        <f>IF(F817&gt;0, J817, 1000000000)</f>
        <v/>
      </c>
      <c r="S817" s="101">
        <f>IF(AND(F817&lt;=DASHBOARD!$B$11, H817&gt;=DASHBOARD!$B$13), G817, -1000000000000)</f>
        <v/>
      </c>
      <c r="T817" s="101">
        <f>IF(AND(F817&lt;=DASHBOARD!$B$11, H817&gt;=DASHBOARD!$B$13), R817, 1000000000000)</f>
        <v/>
      </c>
      <c r="U817" s="101">
        <f>IF(AND(F817&lt;=DASHBOARD!$B$11, H817&gt;=DASHBOARD!$B$13), N817, -1000000000000)</f>
        <v/>
      </c>
      <c r="V817" s="101">
        <f>IF(AND(F817&lt;=DASHBOARD!$B$11, H817&gt;=DASHBOARD!$B$13), H817, -1000000000000)</f>
        <v/>
      </c>
      <c r="W817" s="101">
        <f>IF(AND(F817&lt;=DASHBOARD!$B$11, H817&gt;=DASHBOARD!$B$13), K817, -1000000000000)</f>
        <v/>
      </c>
      <c r="X817" s="101">
        <f>IF(AND(F817&lt;=DASHBOARD!$B$11, H817&gt;=DASHBOARD!$B$13), M817, 1000000000000)</f>
        <v/>
      </c>
      <c r="Y817" s="101">
        <f>IF(AND(F817&lt;=DASHBOARD!$B$10, H817&gt;=DASHBOARD!$B$11), L817, 1000000000000)</f>
        <v/>
      </c>
      <c r="Z817" s="101">
        <f>IF(AND(F817&lt;=DASHBOARD!$B$10, H817&gt;=DASHBOARD!$B$11), O817, 1000000000000)</f>
        <v/>
      </c>
      <c r="AA817" s="101">
        <f>IF(AND(F817&lt;=DASHBOARD!$B$10, H817&gt;=DASHBOARD!$B$11), P817, 1000000000000)</f>
        <v/>
      </c>
      <c r="AB817" s="101">
        <f>IF(AND(F817&lt;=DASHBOARD!$B$10, H817&gt;=DASHBOARD!$B$11), Q817, -1000000000000)</f>
        <v/>
      </c>
    </row>
    <row r="818" ht="15" customHeight="1" s="102">
      <c r="A818" s="166" t="n">
        <v>814</v>
      </c>
      <c r="B818" s="167" t="n">
        <v>1.9</v>
      </c>
      <c r="C818" s="167" t="n">
        <v>0.7</v>
      </c>
      <c r="D818" s="110" t="inlineStr">
        <is>
          <t>Var (%20)</t>
        </is>
      </c>
      <c r="E818" s="110">
        <f>IF((B818+C818)&lt;=1, "Tam Mahsuplaşma (≤%100)", "Kısmi Satış (&gt;%100)")</f>
        <v/>
      </c>
      <c r="F818" s="168">
        <f>((VERI_TABANI!$D$29*B818/VERI_TABANI!$B$29)/VERI_TABANI!$B$3)*VERI_TABANI!$B$5 + ((VERI_TABANI!$D$29*C818/VERI_TABANI!$B$29)/VERI_TABANI!$B$4)*VERI_TABANI!$B$6 + IF(ISNUMBER(SEARCH("Var", D818)), (VERI_TABANI!$F$29/VERI_TABANI!$B$29)*(VERI_TABANI!$B$10+VERI_TABANI!$B$12), 0)</f>
        <v/>
      </c>
      <c r="G818" s="168">
        <f>(((MIN(VERI_TABANI!D23, VERI_TABANI!D23*B818)*VERI_TABANI!$B$7 + MAX(0, VERI_TABANI!D23*B818-VERI_TABANI!D23)*VERI_TABANI!$B$8) + (MIN(MAX(0, VERI_TABANI!D23-VERI_TABANI!D23*B818), VERI_TABANI!D23*C818)*VERI_TABANI!$B$7 + MAX(0, VERI_TABANI!D23*C818-MAX(0, VERI_TABANI!D23-VERI_TABANI!D23*B818))*VERI_TABANI!$B$8) + IF(ABS(IF(ISNUMBER(SEARCH("Var", D818)), 1, IF(ISNUMBER(SEARCH("Gri", D818)), -1, 0)))=1, VERI_TABANI!E23*(1-0.928)*VERI_TABANI!$B$9, 0) + (VERI_TABANI!D23*B818*(VERI_TABANI!$B$13-VERI_TABANI!$B$14)*VERI_TABANI!G23) + (VERI_TABANI!D23*C818*(VERI_TABANI!$B$13-VERI_TABANI!$B$15)*VERI_TABANI!G23) + IF(ABS(IF(ISNUMBER(SEARCH("Var", D818)), 1, IF(ISNUMBER(SEARCH("Gri", D818)), -1, 0)))=1, VERI_TABANI!E23*(1-0.928)*0.00206091519919798*VERI_TABANI!G23, 0)) + ((MIN(VERI_TABANI!D24, VERI_TABANI!D24*B818)*VERI_TABANI!$B$7 + MAX(0, VERI_TABANI!D24*B818-VERI_TABANI!D24)*VERI_TABANI!$B$8) + (MIN(MAX(0, VERI_TABANI!D24-VERI_TABANI!D24*B818), VERI_TABANI!D24*C818)*VERI_TABANI!$B$7 + MAX(0, VERI_TABANI!D24*C818-MAX(0, VERI_TABANI!D24-VERI_TABANI!D24*B818))*VERI_TABANI!$B$8) + IF(ABS(IF(ISNUMBER(SEARCH("Var", D818)), 1, IF(ISNUMBER(SEARCH("Gri", D818)), -1, 0)))=1, VERI_TABANI!E24*(1-0.928)*VERI_TABANI!$B$9, 0) + (VERI_TABANI!D24*B818*(VERI_TABANI!$B$13-VERI_TABANI!$B$14)*VERI_TABANI!G24) + (VERI_TABANI!D24*C818*(VERI_TABANI!$B$13-VERI_TABANI!$B$15)*VERI_TABANI!G24) + IF(ABS(IF(ISNUMBER(SEARCH("Var", D818)), 1, IF(ISNUMBER(SEARCH("Gri", D818)), -1, 0)))=1, VERI_TABANI!E24*(1-0.928)*0.00206091519919798*VERI_TABANI!G24, 0)) + ((MIN(VERI_TABANI!D25, VERI_TABANI!D25*B818)*VERI_TABANI!$B$7 + MAX(0, VERI_TABANI!D25*B818-VERI_TABANI!D25)*VERI_TABANI!$B$8) + (MIN(MAX(0, VERI_TABANI!D25-VERI_TABANI!D25*B818), VERI_TABANI!D25*C818)*VERI_TABANI!$B$7 + MAX(0, VERI_TABANI!D25*C818-MAX(0, VERI_TABANI!D25-VERI_TABANI!D25*B818))*VERI_TABANI!$B$8) + IF(ABS(IF(ISNUMBER(SEARCH("Var", D818)), 1, IF(ISNUMBER(SEARCH("Gri", D818)), -1, 0)))=1, VERI_TABANI!E25*(1-0.928)*VERI_TABANI!$B$9, 0) + (VERI_TABANI!D25*B818*(VERI_TABANI!$B$13-VERI_TABANI!$B$14)*VERI_TABANI!G25) + (VERI_TABANI!D25*C818*(VERI_TABANI!$B$13-VERI_TABANI!$B$15)*VERI_TABANI!G25) + IF(ABS(IF(ISNUMBER(SEARCH("Var", D818)), 1, IF(ISNUMBER(SEARCH("Gri", D818)), -1, 0)))=1, VERI_TABANI!E25*(1-0.928)*0.00206091519919798*VERI_TABANI!G25, 0)) + ((MIN(VERI_TABANI!D26, VERI_TABANI!D26*B818)*VERI_TABANI!$B$7 + MAX(0, VERI_TABANI!D26*B818-VERI_TABANI!D26)*VERI_TABANI!$B$8) + (MIN(MAX(0, VERI_TABANI!D26-VERI_TABANI!D26*B818), VERI_TABANI!D26*C818)*VERI_TABANI!$B$7 + MAX(0, VERI_TABANI!D26*C818-MAX(0, VERI_TABANI!D26-VERI_TABANI!D26*B818))*VERI_TABANI!$B$8) + IF(ABS(IF(ISNUMBER(SEARCH("Var", D818)), 1, IF(ISNUMBER(SEARCH("Gri", D818)), -1, 0)))=1, VERI_TABANI!E26*(1-0.928)*VERI_TABANI!$B$9, 0) + (VERI_TABANI!D26*B818*(VERI_TABANI!$B$13-VERI_TABANI!$B$14)*VERI_TABANI!G26) + (VERI_TABANI!D26*C818*(VERI_TABANI!$B$13-VERI_TABANI!$B$15)*VERI_TABANI!G26) + IF(ABS(IF(ISNUMBER(SEARCH("Var", D818)), 1, IF(ISNUMBER(SEARCH("Gri", D818)), -1, 0)))=1, VERI_TABANI!E26*(1-0.928)*0.00206091519919798*VERI_TABANI!G26, 0)) + ((MIN(VERI_TABANI!D27, VERI_TABANI!D27*B818)*VERI_TABANI!$B$7 + MAX(0, VERI_TABANI!D27*B818-VERI_TABANI!D27)*VERI_TABANI!$B$8) + (MIN(MAX(0, VERI_TABANI!D27-VERI_TABANI!D27*B818), VERI_TABANI!D27*C818)*VERI_TABANI!$B$7 + MAX(0, VERI_TABANI!D27*C818-MAX(0, VERI_TABANI!D27-VERI_TABANI!D27*B818))*VERI_TABANI!$B$8) + IF(ABS(IF(ISNUMBER(SEARCH("Var", D818)), 1, IF(ISNUMBER(SEARCH("Gri", D818)), -1, 0)))=1, VERI_TABANI!E27*(1-0.928)*VERI_TABANI!$B$9, 0) + (VERI_TABANI!D27*B818*(VERI_TABANI!$B$13-VERI_TABANI!$B$14)*VERI_TABANI!G27) + (VERI_TABANI!D27*C818*(VERI_TABANI!$B$13-VERI_TABANI!$B$15)*VERI_TABANI!G27) + IF(ABS(IF(ISNUMBER(SEARCH("Var", D818)), 1, IF(ISNUMBER(SEARCH("Gri", D818)), -1, 0)))=1, VERI_TABANI!E27*(1-0.928)*0.00206091519919798*VERI_TABANI!G27, 0)) + ((MIN(VERI_TABANI!D28, VERI_TABANI!D28*B818)*VERI_TABANI!$B$7 + MAX(0, VERI_TABANI!D28*B818-VERI_TABANI!D28)*VERI_TABANI!$B$8) + (MIN(MAX(0, VERI_TABANI!D28-VERI_TABANI!D28*B818), VERI_TABANI!D28*C818)*VERI_TABANI!$B$7 + MAX(0, VERI_TABANI!D28*C818-MAX(0, VERI_TABANI!D28-VERI_TABANI!D28*B818))*VERI_TABANI!$B$8) + IF(ABS(IF(ISNUMBER(SEARCH("Var", D818)), 1, IF(ISNUMBER(SEARCH("Gri", D818)), -1, 0)))=1, VERI_TABANI!E28*(1-0.928)*VERI_TABANI!$B$9, 0) + (VERI_TABANI!D28*B818*(VERI_TABANI!$B$13-VERI_TABANI!$B$14)*VERI_TABANI!G28) + (VERI_TABANI!D28*C818*(VERI_TABANI!$B$13-VERI_TABANI!$B$15)*VERI_TABANI!G28) + IF(ABS(IF(ISNUMBER(SEARCH("Var", D818)), 1, IF(ISNUMBER(SEARCH("Gri", D818)), -1, 0)))=1, VERI_TABANI!E28*(1-0.928)*0.00206091519919798*VERI_TABANI!G28, 0)))</f>
        <v/>
      </c>
      <c r="H818" s="169">
        <f>(((VERI_TABANI!D23*B818*(VERI_TABANI!$B$13-VERI_TABANI!$B$14)) + (VERI_TABANI!D23*C818*(VERI_TABANI!$B$13-VERI_TABANI!$B$15)) + IF(ISNUMBER(SEARCH("Var", D818)), VERI_TABANI!F23*(0.00202-VERI_TABANI!$B$16), IF(ISNUMBER(SEARCH("Gri", D818)), VERI_TABANI!F23*(0.00202-VERI_TABANI!$B$17), 0))) + ((VERI_TABANI!D24*B818*(VERI_TABANI!$B$13-VERI_TABANI!$B$14)) + (VERI_TABANI!D24*C818*(VERI_TABANI!$B$13-VERI_TABANI!$B$15)) + IF(ISNUMBER(SEARCH("Var", D818)), VERI_TABANI!F24*(0.00202-VERI_TABANI!$B$16), IF(ISNUMBER(SEARCH("Gri", D818)), VERI_TABANI!F24*(0.00202-VERI_TABANI!$B$17), 0))) + ((VERI_TABANI!D25*B818*(VERI_TABANI!$B$13-VERI_TABANI!$B$14)) + (VERI_TABANI!D25*C818*(VERI_TABANI!$B$13-VERI_TABANI!$B$15)) + IF(ISNUMBER(SEARCH("Var", D818)), VERI_TABANI!F25*(0.00202-VERI_TABANI!$B$16), IF(ISNUMBER(SEARCH("Gri", D818)), VERI_TABANI!F25*(0.00202-VERI_TABANI!$B$17), 0))) + ((VERI_TABANI!D26*B818*(VERI_TABANI!$B$13-VERI_TABANI!$B$14)) + (VERI_TABANI!D26*C818*(VERI_TABANI!$B$13-VERI_TABANI!$B$15)) + IF(ISNUMBER(SEARCH("Var", D818)), VERI_TABANI!F26*(0.00202-VERI_TABANI!$B$16), IF(ISNUMBER(SEARCH("Gri", D818)), VERI_TABANI!F26*(0.00202-VERI_TABANI!$B$17), 0))) + ((VERI_TABANI!D27*B818*(VERI_TABANI!$B$13-VERI_TABANI!$B$14)) + (VERI_TABANI!D27*C818*(VERI_TABANI!$B$13-VERI_TABANI!$B$15)) + IF(ISNUMBER(SEARCH("Var", D818)), VERI_TABANI!F27*(0.00202-VERI_TABANI!$B$16), IF(ISNUMBER(SEARCH("Gri", D818)), VERI_TABANI!F27*(0.00202-VERI_TABANI!$B$17), 0))) + ((VERI_TABANI!D28*B818*(VERI_TABANI!$B$13-VERI_TABANI!$B$14)) + (VERI_TABANI!D28*C818*(VERI_TABANI!$B$13-VERI_TABANI!$B$15)) + IF(ISNUMBER(SEARCH("Var", D818)), VERI_TABANI!F28*(0.00202-VERI_TABANI!$B$16), IF(ISNUMBER(SEARCH("Gri", D818)), VERI_TABANI!F28*(0.00202-VERI_TABANI!$B$17), 0))))</f>
        <v/>
      </c>
      <c r="I818" s="170">
        <f>IFERROR(((VERI_TABANI!$D$29*B818*VERI_TABANI!$B$14 + VERI_TABANI!$D$29*C818*VERI_TABANI!$B$15 + IF(ISNUMBER(SEARCH("Var", D818)), VERI_TABANI!$F$29*VERI_TABANI!$B$16, 0))) / (((VERI_TABANI!$D$29*B818 + VERI_TABANI!$D$29*C818)*VERI_TABANI!$B$13 + IF(ISNUMBER(SEARCH("Var", D818)), VERI_TABANI!$E$29*(1-0.928)*VERI_TABANI!$B$18, 0))), 0)</f>
        <v/>
      </c>
      <c r="J818" s="171">
        <f>IFERROR(F818/(G818/29), 0)</f>
        <v/>
      </c>
      <c r="K818" s="172">
        <f>IF(F818&gt;0, H818/F818, 0)</f>
        <v/>
      </c>
      <c r="L818" s="170">
        <f>IF(F818&gt;0, I818, 1000000000)</f>
        <v/>
      </c>
      <c r="M818" s="171">
        <f>ABS((B818+C818)-1)</f>
        <v/>
      </c>
      <c r="N818" s="170">
        <f>IF(F818&gt;0, (G818/29)/F818, 0)</f>
        <v/>
      </c>
      <c r="O818" s="168">
        <f>IF(AND((B818+C818)&gt;=1, ISNUMBER(SEARCH("Var", D818))), F818, 1000000000)</f>
        <v/>
      </c>
      <c r="P818" s="172">
        <f>IF(F818&gt;0, SQRT((F818/MAX(F$5:F$886))^2 + (1 - H818/MAX(H$5:H$886))^2 + (J818/MAX(J$5:J$886))^2), 1000000000)</f>
        <v/>
      </c>
      <c r="Q818" s="166">
        <f>IF(AND(ABS(B818-0.5)&lt;0.01, ABS(C818-0.5)&lt;0.01, ISNUMBER(SEARCH("Var", D818))), 1, 0)</f>
        <v/>
      </c>
      <c r="R818" s="171">
        <f>IF(F818&gt;0, J818, 1000000000)</f>
        <v/>
      </c>
      <c r="S818" s="101">
        <f>IF(AND(F818&lt;=DASHBOARD!$B$11, H818&gt;=DASHBOARD!$B$13), G818, -1000000000000)</f>
        <v/>
      </c>
      <c r="T818" s="101">
        <f>IF(AND(F818&lt;=DASHBOARD!$B$11, H818&gt;=DASHBOARD!$B$13), R818, 1000000000000)</f>
        <v/>
      </c>
      <c r="U818" s="101">
        <f>IF(AND(F818&lt;=DASHBOARD!$B$11, H818&gt;=DASHBOARD!$B$13), N818, -1000000000000)</f>
        <v/>
      </c>
      <c r="V818" s="101">
        <f>IF(AND(F818&lt;=DASHBOARD!$B$11, H818&gt;=DASHBOARD!$B$13), H818, -1000000000000)</f>
        <v/>
      </c>
      <c r="W818" s="101">
        <f>IF(AND(F818&lt;=DASHBOARD!$B$11, H818&gt;=DASHBOARD!$B$13), K818, -1000000000000)</f>
        <v/>
      </c>
      <c r="X818" s="101">
        <f>IF(AND(F818&lt;=DASHBOARD!$B$11, H818&gt;=DASHBOARD!$B$13), M818, 1000000000000)</f>
        <v/>
      </c>
      <c r="Y818" s="101">
        <f>IF(AND(F818&lt;=DASHBOARD!$B$10, H818&gt;=DASHBOARD!$B$11), L818, 1000000000000)</f>
        <v/>
      </c>
      <c r="Z818" s="101">
        <f>IF(AND(F818&lt;=DASHBOARD!$B$10, H818&gt;=DASHBOARD!$B$11), O818, 1000000000000)</f>
        <v/>
      </c>
      <c r="AA818" s="101">
        <f>IF(AND(F818&lt;=DASHBOARD!$B$10, H818&gt;=DASHBOARD!$B$11), P818, 1000000000000)</f>
        <v/>
      </c>
      <c r="AB818" s="101">
        <f>IF(AND(F818&lt;=DASHBOARD!$B$10, H818&gt;=DASHBOARD!$B$11), Q818, -1000000000000)</f>
        <v/>
      </c>
    </row>
    <row r="819" ht="15" customHeight="1" s="102">
      <c r="A819" s="166" t="n">
        <v>815</v>
      </c>
      <c r="B819" s="167" t="n">
        <v>1.9</v>
      </c>
      <c r="C819" s="167" t="n">
        <v>0.8</v>
      </c>
      <c r="D819" s="110" t="inlineStr">
        <is>
          <t>Yok (%0)</t>
        </is>
      </c>
      <c r="E819" s="110">
        <f>IF((B819+C819)&lt;=1, "Tam Mahsuplaşma (≤%100)", "Kısmi Satış (&gt;%100)")</f>
        <v/>
      </c>
      <c r="F819" s="168">
        <f>((VERI_TABANI!$D$29*B819/VERI_TABANI!$B$29)/VERI_TABANI!$B$3)*VERI_TABANI!$B$5 + ((VERI_TABANI!$D$29*C819/VERI_TABANI!$B$29)/VERI_TABANI!$B$4)*VERI_TABANI!$B$6 + IF(ISNUMBER(SEARCH("Var", D819)), (VERI_TABANI!$F$29/VERI_TABANI!$B$29)*(VERI_TABANI!$B$10+VERI_TABANI!$B$12), 0)</f>
        <v/>
      </c>
      <c r="G819" s="168">
        <f>(((MIN(VERI_TABANI!D23, VERI_TABANI!D23*B819)*VERI_TABANI!$B$7 + MAX(0, VERI_TABANI!D23*B819-VERI_TABANI!D23)*VERI_TABANI!$B$8) + (MIN(MAX(0, VERI_TABANI!D23-VERI_TABANI!D23*B819), VERI_TABANI!D23*C819)*VERI_TABANI!$B$7 + MAX(0, VERI_TABANI!D23*C819-MAX(0, VERI_TABANI!D23-VERI_TABANI!D23*B819))*VERI_TABANI!$B$8) + IF(ABS(IF(ISNUMBER(SEARCH("Var", D819)), 1, IF(ISNUMBER(SEARCH("Gri", D819)), -1, 0)))=1, VERI_TABANI!E23*(1-0.928)*VERI_TABANI!$B$9, 0) + (VERI_TABANI!D23*B819*(VERI_TABANI!$B$13-VERI_TABANI!$B$14)*VERI_TABANI!G23) + (VERI_TABANI!D23*C819*(VERI_TABANI!$B$13-VERI_TABANI!$B$15)*VERI_TABANI!G23) + IF(ABS(IF(ISNUMBER(SEARCH("Var", D819)), 1, IF(ISNUMBER(SEARCH("Gri", D819)), -1, 0)))=1, VERI_TABANI!E23*(1-0.928)*0.00206091519919798*VERI_TABANI!G23, 0)) + ((MIN(VERI_TABANI!D24, VERI_TABANI!D24*B819)*VERI_TABANI!$B$7 + MAX(0, VERI_TABANI!D24*B819-VERI_TABANI!D24)*VERI_TABANI!$B$8) + (MIN(MAX(0, VERI_TABANI!D24-VERI_TABANI!D24*B819), VERI_TABANI!D24*C819)*VERI_TABANI!$B$7 + MAX(0, VERI_TABANI!D24*C819-MAX(0, VERI_TABANI!D24-VERI_TABANI!D24*B819))*VERI_TABANI!$B$8) + IF(ABS(IF(ISNUMBER(SEARCH("Var", D819)), 1, IF(ISNUMBER(SEARCH("Gri", D819)), -1, 0)))=1, VERI_TABANI!E24*(1-0.928)*VERI_TABANI!$B$9, 0) + (VERI_TABANI!D24*B819*(VERI_TABANI!$B$13-VERI_TABANI!$B$14)*VERI_TABANI!G24) + (VERI_TABANI!D24*C819*(VERI_TABANI!$B$13-VERI_TABANI!$B$15)*VERI_TABANI!G24) + IF(ABS(IF(ISNUMBER(SEARCH("Var", D819)), 1, IF(ISNUMBER(SEARCH("Gri", D819)), -1, 0)))=1, VERI_TABANI!E24*(1-0.928)*0.00206091519919798*VERI_TABANI!G24, 0)) + ((MIN(VERI_TABANI!D25, VERI_TABANI!D25*B819)*VERI_TABANI!$B$7 + MAX(0, VERI_TABANI!D25*B819-VERI_TABANI!D25)*VERI_TABANI!$B$8) + (MIN(MAX(0, VERI_TABANI!D25-VERI_TABANI!D25*B819), VERI_TABANI!D25*C819)*VERI_TABANI!$B$7 + MAX(0, VERI_TABANI!D25*C819-MAX(0, VERI_TABANI!D25-VERI_TABANI!D25*B819))*VERI_TABANI!$B$8) + IF(ABS(IF(ISNUMBER(SEARCH("Var", D819)), 1, IF(ISNUMBER(SEARCH("Gri", D819)), -1, 0)))=1, VERI_TABANI!E25*(1-0.928)*VERI_TABANI!$B$9, 0) + (VERI_TABANI!D25*B819*(VERI_TABANI!$B$13-VERI_TABANI!$B$14)*VERI_TABANI!G25) + (VERI_TABANI!D25*C819*(VERI_TABANI!$B$13-VERI_TABANI!$B$15)*VERI_TABANI!G25) + IF(ABS(IF(ISNUMBER(SEARCH("Var", D819)), 1, IF(ISNUMBER(SEARCH("Gri", D819)), -1, 0)))=1, VERI_TABANI!E25*(1-0.928)*0.00206091519919798*VERI_TABANI!G25, 0)) + ((MIN(VERI_TABANI!D26, VERI_TABANI!D26*B819)*VERI_TABANI!$B$7 + MAX(0, VERI_TABANI!D26*B819-VERI_TABANI!D26)*VERI_TABANI!$B$8) + (MIN(MAX(0, VERI_TABANI!D26-VERI_TABANI!D26*B819), VERI_TABANI!D26*C819)*VERI_TABANI!$B$7 + MAX(0, VERI_TABANI!D26*C819-MAX(0, VERI_TABANI!D26-VERI_TABANI!D26*B819))*VERI_TABANI!$B$8) + IF(ABS(IF(ISNUMBER(SEARCH("Var", D819)), 1, IF(ISNUMBER(SEARCH("Gri", D819)), -1, 0)))=1, VERI_TABANI!E26*(1-0.928)*VERI_TABANI!$B$9, 0) + (VERI_TABANI!D26*B819*(VERI_TABANI!$B$13-VERI_TABANI!$B$14)*VERI_TABANI!G26) + (VERI_TABANI!D26*C819*(VERI_TABANI!$B$13-VERI_TABANI!$B$15)*VERI_TABANI!G26) + IF(ABS(IF(ISNUMBER(SEARCH("Var", D819)), 1, IF(ISNUMBER(SEARCH("Gri", D819)), -1, 0)))=1, VERI_TABANI!E26*(1-0.928)*0.00206091519919798*VERI_TABANI!G26, 0)) + ((MIN(VERI_TABANI!D27, VERI_TABANI!D27*B819)*VERI_TABANI!$B$7 + MAX(0, VERI_TABANI!D27*B819-VERI_TABANI!D27)*VERI_TABANI!$B$8) + (MIN(MAX(0, VERI_TABANI!D27-VERI_TABANI!D27*B819), VERI_TABANI!D27*C819)*VERI_TABANI!$B$7 + MAX(0, VERI_TABANI!D27*C819-MAX(0, VERI_TABANI!D27-VERI_TABANI!D27*B819))*VERI_TABANI!$B$8) + IF(ABS(IF(ISNUMBER(SEARCH("Var", D819)), 1, IF(ISNUMBER(SEARCH("Gri", D819)), -1, 0)))=1, VERI_TABANI!E27*(1-0.928)*VERI_TABANI!$B$9, 0) + (VERI_TABANI!D27*B819*(VERI_TABANI!$B$13-VERI_TABANI!$B$14)*VERI_TABANI!G27) + (VERI_TABANI!D27*C819*(VERI_TABANI!$B$13-VERI_TABANI!$B$15)*VERI_TABANI!G27) + IF(ABS(IF(ISNUMBER(SEARCH("Var", D819)), 1, IF(ISNUMBER(SEARCH("Gri", D819)), -1, 0)))=1, VERI_TABANI!E27*(1-0.928)*0.00206091519919798*VERI_TABANI!G27, 0)) + ((MIN(VERI_TABANI!D28, VERI_TABANI!D28*B819)*VERI_TABANI!$B$7 + MAX(0, VERI_TABANI!D28*B819-VERI_TABANI!D28)*VERI_TABANI!$B$8) + (MIN(MAX(0, VERI_TABANI!D28-VERI_TABANI!D28*B819), VERI_TABANI!D28*C819)*VERI_TABANI!$B$7 + MAX(0, VERI_TABANI!D28*C819-MAX(0, VERI_TABANI!D28-VERI_TABANI!D28*B819))*VERI_TABANI!$B$8) + IF(ABS(IF(ISNUMBER(SEARCH("Var", D819)), 1, IF(ISNUMBER(SEARCH("Gri", D819)), -1, 0)))=1, VERI_TABANI!E28*(1-0.928)*VERI_TABANI!$B$9, 0) + (VERI_TABANI!D28*B819*(VERI_TABANI!$B$13-VERI_TABANI!$B$14)*VERI_TABANI!G28) + (VERI_TABANI!D28*C819*(VERI_TABANI!$B$13-VERI_TABANI!$B$15)*VERI_TABANI!G28) + IF(ABS(IF(ISNUMBER(SEARCH("Var", D819)), 1, IF(ISNUMBER(SEARCH("Gri", D819)), -1, 0)))=1, VERI_TABANI!E28*(1-0.928)*0.00206091519919798*VERI_TABANI!G28, 0)))</f>
        <v/>
      </c>
      <c r="H819" s="169">
        <f>(((VERI_TABANI!D23*B819*(VERI_TABANI!$B$13-VERI_TABANI!$B$14)) + (VERI_TABANI!D23*C819*(VERI_TABANI!$B$13-VERI_TABANI!$B$15)) + IF(ISNUMBER(SEARCH("Var", D819)), VERI_TABANI!F23*(0.00202-VERI_TABANI!$B$16), IF(ISNUMBER(SEARCH("Gri", D819)), VERI_TABANI!F23*(0.00202-VERI_TABANI!$B$17), 0))) + ((VERI_TABANI!D24*B819*(VERI_TABANI!$B$13-VERI_TABANI!$B$14)) + (VERI_TABANI!D24*C819*(VERI_TABANI!$B$13-VERI_TABANI!$B$15)) + IF(ISNUMBER(SEARCH("Var", D819)), VERI_TABANI!F24*(0.00202-VERI_TABANI!$B$16), IF(ISNUMBER(SEARCH("Gri", D819)), VERI_TABANI!F24*(0.00202-VERI_TABANI!$B$17), 0))) + ((VERI_TABANI!D25*B819*(VERI_TABANI!$B$13-VERI_TABANI!$B$14)) + (VERI_TABANI!D25*C819*(VERI_TABANI!$B$13-VERI_TABANI!$B$15)) + IF(ISNUMBER(SEARCH("Var", D819)), VERI_TABANI!F25*(0.00202-VERI_TABANI!$B$16), IF(ISNUMBER(SEARCH("Gri", D819)), VERI_TABANI!F25*(0.00202-VERI_TABANI!$B$17), 0))) + ((VERI_TABANI!D26*B819*(VERI_TABANI!$B$13-VERI_TABANI!$B$14)) + (VERI_TABANI!D26*C819*(VERI_TABANI!$B$13-VERI_TABANI!$B$15)) + IF(ISNUMBER(SEARCH("Var", D819)), VERI_TABANI!F26*(0.00202-VERI_TABANI!$B$16), IF(ISNUMBER(SEARCH("Gri", D819)), VERI_TABANI!F26*(0.00202-VERI_TABANI!$B$17), 0))) + ((VERI_TABANI!D27*B819*(VERI_TABANI!$B$13-VERI_TABANI!$B$14)) + (VERI_TABANI!D27*C819*(VERI_TABANI!$B$13-VERI_TABANI!$B$15)) + IF(ISNUMBER(SEARCH("Var", D819)), VERI_TABANI!F27*(0.00202-VERI_TABANI!$B$16), IF(ISNUMBER(SEARCH("Gri", D819)), VERI_TABANI!F27*(0.00202-VERI_TABANI!$B$17), 0))) + ((VERI_TABANI!D28*B819*(VERI_TABANI!$B$13-VERI_TABANI!$B$14)) + (VERI_TABANI!D28*C819*(VERI_TABANI!$B$13-VERI_TABANI!$B$15)) + IF(ISNUMBER(SEARCH("Var", D819)), VERI_TABANI!F28*(0.00202-VERI_TABANI!$B$16), IF(ISNUMBER(SEARCH("Gri", D819)), VERI_TABANI!F28*(0.00202-VERI_TABANI!$B$17), 0))))</f>
        <v/>
      </c>
      <c r="I819" s="170">
        <f>IFERROR(((VERI_TABANI!$D$29*B819*VERI_TABANI!$B$14 + VERI_TABANI!$D$29*C819*VERI_TABANI!$B$15 + IF(ISNUMBER(SEARCH("Var", D819)), VERI_TABANI!$F$29*VERI_TABANI!$B$16, 0))) / (((VERI_TABANI!$D$29*B819 + VERI_TABANI!$D$29*C819)*VERI_TABANI!$B$13 + IF(ISNUMBER(SEARCH("Var", D819)), VERI_TABANI!$E$29*(1-0.928)*VERI_TABANI!$B$18, 0))), 0)</f>
        <v/>
      </c>
      <c r="J819" s="171">
        <f>IFERROR(F819/(G819/29), 0)</f>
        <v/>
      </c>
      <c r="K819" s="172">
        <f>IF(F819&gt;0, H819/F819, 0)</f>
        <v/>
      </c>
      <c r="L819" s="170">
        <f>IF(F819&gt;0, I819, 1000000000)</f>
        <v/>
      </c>
      <c r="M819" s="171">
        <f>ABS((B819+C819)-1)</f>
        <v/>
      </c>
      <c r="N819" s="170">
        <f>IF(F819&gt;0, (G819/29)/F819, 0)</f>
        <v/>
      </c>
      <c r="O819" s="168">
        <f>IF(AND((B819+C819)&gt;=1, ISNUMBER(SEARCH("Var", D819))), F819, 1000000000)</f>
        <v/>
      </c>
      <c r="P819" s="172">
        <f>IF(F819&gt;0, SQRT((F819/MAX(F$5:F$886))^2 + (1 - H819/MAX(H$5:H$886))^2 + (J819/MAX(J$5:J$886))^2), 1000000000)</f>
        <v/>
      </c>
      <c r="Q819" s="166">
        <f>IF(AND(ABS(B819-0.5)&lt;0.01, ABS(C819-0.5)&lt;0.01, ISNUMBER(SEARCH("Var", D819))), 1, 0)</f>
        <v/>
      </c>
      <c r="R819" s="171">
        <f>IF(F819&gt;0, J819, 1000000000)</f>
        <v/>
      </c>
      <c r="S819" s="101">
        <f>IF(AND(F819&lt;=DASHBOARD!$B$11, H819&gt;=DASHBOARD!$B$13), G819, -1000000000000)</f>
        <v/>
      </c>
      <c r="T819" s="101">
        <f>IF(AND(F819&lt;=DASHBOARD!$B$11, H819&gt;=DASHBOARD!$B$13), R819, 1000000000000)</f>
        <v/>
      </c>
      <c r="U819" s="101">
        <f>IF(AND(F819&lt;=DASHBOARD!$B$11, H819&gt;=DASHBOARD!$B$13), N819, -1000000000000)</f>
        <v/>
      </c>
      <c r="V819" s="101">
        <f>IF(AND(F819&lt;=DASHBOARD!$B$11, H819&gt;=DASHBOARD!$B$13), H819, -1000000000000)</f>
        <v/>
      </c>
      <c r="W819" s="101">
        <f>IF(AND(F819&lt;=DASHBOARD!$B$11, H819&gt;=DASHBOARD!$B$13), K819, -1000000000000)</f>
        <v/>
      </c>
      <c r="X819" s="101">
        <f>IF(AND(F819&lt;=DASHBOARD!$B$11, H819&gt;=DASHBOARD!$B$13), M819, 1000000000000)</f>
        <v/>
      </c>
      <c r="Y819" s="101">
        <f>IF(AND(F819&lt;=DASHBOARD!$B$10, H819&gt;=DASHBOARD!$B$11), L819, 1000000000000)</f>
        <v/>
      </c>
      <c r="Z819" s="101">
        <f>IF(AND(F819&lt;=DASHBOARD!$B$10, H819&gt;=DASHBOARD!$B$11), O819, 1000000000000)</f>
        <v/>
      </c>
      <c r="AA819" s="101">
        <f>IF(AND(F819&lt;=DASHBOARD!$B$10, H819&gt;=DASHBOARD!$B$11), P819, 1000000000000)</f>
        <v/>
      </c>
      <c r="AB819" s="101">
        <f>IF(AND(F819&lt;=DASHBOARD!$B$10, H819&gt;=DASHBOARD!$B$11), Q819, -1000000000000)</f>
        <v/>
      </c>
    </row>
    <row r="820" ht="15" customHeight="1" s="102">
      <c r="A820" s="166" t="n">
        <v>816</v>
      </c>
      <c r="B820" s="167" t="n">
        <v>1.9</v>
      </c>
      <c r="C820" s="167" t="n">
        <v>0.8</v>
      </c>
      <c r="D820" s="110" t="inlineStr">
        <is>
          <t>Var (%20)</t>
        </is>
      </c>
      <c r="E820" s="110">
        <f>IF((B820+C820)&lt;=1, "Tam Mahsuplaşma (≤%100)", "Kısmi Satış (&gt;%100)")</f>
        <v/>
      </c>
      <c r="F820" s="168">
        <f>((VERI_TABANI!$D$29*B820/VERI_TABANI!$B$29)/VERI_TABANI!$B$3)*VERI_TABANI!$B$5 + ((VERI_TABANI!$D$29*C820/VERI_TABANI!$B$29)/VERI_TABANI!$B$4)*VERI_TABANI!$B$6 + IF(ISNUMBER(SEARCH("Var", D820)), (VERI_TABANI!$F$29/VERI_TABANI!$B$29)*(VERI_TABANI!$B$10+VERI_TABANI!$B$12), 0)</f>
        <v/>
      </c>
      <c r="G820" s="168">
        <f>(((MIN(VERI_TABANI!D23, VERI_TABANI!D23*B820)*VERI_TABANI!$B$7 + MAX(0, VERI_TABANI!D23*B820-VERI_TABANI!D23)*VERI_TABANI!$B$8) + (MIN(MAX(0, VERI_TABANI!D23-VERI_TABANI!D23*B820), VERI_TABANI!D23*C820)*VERI_TABANI!$B$7 + MAX(0, VERI_TABANI!D23*C820-MAX(0, VERI_TABANI!D23-VERI_TABANI!D23*B820))*VERI_TABANI!$B$8) + IF(ABS(IF(ISNUMBER(SEARCH("Var", D820)), 1, IF(ISNUMBER(SEARCH("Gri", D820)), -1, 0)))=1, VERI_TABANI!E23*(1-0.928)*VERI_TABANI!$B$9, 0) + (VERI_TABANI!D23*B820*(VERI_TABANI!$B$13-VERI_TABANI!$B$14)*VERI_TABANI!G23) + (VERI_TABANI!D23*C820*(VERI_TABANI!$B$13-VERI_TABANI!$B$15)*VERI_TABANI!G23) + IF(ABS(IF(ISNUMBER(SEARCH("Var", D820)), 1, IF(ISNUMBER(SEARCH("Gri", D820)), -1, 0)))=1, VERI_TABANI!E23*(1-0.928)*0.00206091519919798*VERI_TABANI!G23, 0)) + ((MIN(VERI_TABANI!D24, VERI_TABANI!D24*B820)*VERI_TABANI!$B$7 + MAX(0, VERI_TABANI!D24*B820-VERI_TABANI!D24)*VERI_TABANI!$B$8) + (MIN(MAX(0, VERI_TABANI!D24-VERI_TABANI!D24*B820), VERI_TABANI!D24*C820)*VERI_TABANI!$B$7 + MAX(0, VERI_TABANI!D24*C820-MAX(0, VERI_TABANI!D24-VERI_TABANI!D24*B820))*VERI_TABANI!$B$8) + IF(ABS(IF(ISNUMBER(SEARCH("Var", D820)), 1, IF(ISNUMBER(SEARCH("Gri", D820)), -1, 0)))=1, VERI_TABANI!E24*(1-0.928)*VERI_TABANI!$B$9, 0) + (VERI_TABANI!D24*B820*(VERI_TABANI!$B$13-VERI_TABANI!$B$14)*VERI_TABANI!G24) + (VERI_TABANI!D24*C820*(VERI_TABANI!$B$13-VERI_TABANI!$B$15)*VERI_TABANI!G24) + IF(ABS(IF(ISNUMBER(SEARCH("Var", D820)), 1, IF(ISNUMBER(SEARCH("Gri", D820)), -1, 0)))=1, VERI_TABANI!E24*(1-0.928)*0.00206091519919798*VERI_TABANI!G24, 0)) + ((MIN(VERI_TABANI!D25, VERI_TABANI!D25*B820)*VERI_TABANI!$B$7 + MAX(0, VERI_TABANI!D25*B820-VERI_TABANI!D25)*VERI_TABANI!$B$8) + (MIN(MAX(0, VERI_TABANI!D25-VERI_TABANI!D25*B820), VERI_TABANI!D25*C820)*VERI_TABANI!$B$7 + MAX(0, VERI_TABANI!D25*C820-MAX(0, VERI_TABANI!D25-VERI_TABANI!D25*B820))*VERI_TABANI!$B$8) + IF(ABS(IF(ISNUMBER(SEARCH("Var", D820)), 1, IF(ISNUMBER(SEARCH("Gri", D820)), -1, 0)))=1, VERI_TABANI!E25*(1-0.928)*VERI_TABANI!$B$9, 0) + (VERI_TABANI!D25*B820*(VERI_TABANI!$B$13-VERI_TABANI!$B$14)*VERI_TABANI!G25) + (VERI_TABANI!D25*C820*(VERI_TABANI!$B$13-VERI_TABANI!$B$15)*VERI_TABANI!G25) + IF(ABS(IF(ISNUMBER(SEARCH("Var", D820)), 1, IF(ISNUMBER(SEARCH("Gri", D820)), -1, 0)))=1, VERI_TABANI!E25*(1-0.928)*0.00206091519919798*VERI_TABANI!G25, 0)) + ((MIN(VERI_TABANI!D26, VERI_TABANI!D26*B820)*VERI_TABANI!$B$7 + MAX(0, VERI_TABANI!D26*B820-VERI_TABANI!D26)*VERI_TABANI!$B$8) + (MIN(MAX(0, VERI_TABANI!D26-VERI_TABANI!D26*B820), VERI_TABANI!D26*C820)*VERI_TABANI!$B$7 + MAX(0, VERI_TABANI!D26*C820-MAX(0, VERI_TABANI!D26-VERI_TABANI!D26*B820))*VERI_TABANI!$B$8) + IF(ABS(IF(ISNUMBER(SEARCH("Var", D820)), 1, IF(ISNUMBER(SEARCH("Gri", D820)), -1, 0)))=1, VERI_TABANI!E26*(1-0.928)*VERI_TABANI!$B$9, 0) + (VERI_TABANI!D26*B820*(VERI_TABANI!$B$13-VERI_TABANI!$B$14)*VERI_TABANI!G26) + (VERI_TABANI!D26*C820*(VERI_TABANI!$B$13-VERI_TABANI!$B$15)*VERI_TABANI!G26) + IF(ABS(IF(ISNUMBER(SEARCH("Var", D820)), 1, IF(ISNUMBER(SEARCH("Gri", D820)), -1, 0)))=1, VERI_TABANI!E26*(1-0.928)*0.00206091519919798*VERI_TABANI!G26, 0)) + ((MIN(VERI_TABANI!D27, VERI_TABANI!D27*B820)*VERI_TABANI!$B$7 + MAX(0, VERI_TABANI!D27*B820-VERI_TABANI!D27)*VERI_TABANI!$B$8) + (MIN(MAX(0, VERI_TABANI!D27-VERI_TABANI!D27*B820), VERI_TABANI!D27*C820)*VERI_TABANI!$B$7 + MAX(0, VERI_TABANI!D27*C820-MAX(0, VERI_TABANI!D27-VERI_TABANI!D27*B820))*VERI_TABANI!$B$8) + IF(ABS(IF(ISNUMBER(SEARCH("Var", D820)), 1, IF(ISNUMBER(SEARCH("Gri", D820)), -1, 0)))=1, VERI_TABANI!E27*(1-0.928)*VERI_TABANI!$B$9, 0) + (VERI_TABANI!D27*B820*(VERI_TABANI!$B$13-VERI_TABANI!$B$14)*VERI_TABANI!G27) + (VERI_TABANI!D27*C820*(VERI_TABANI!$B$13-VERI_TABANI!$B$15)*VERI_TABANI!G27) + IF(ABS(IF(ISNUMBER(SEARCH("Var", D820)), 1, IF(ISNUMBER(SEARCH("Gri", D820)), -1, 0)))=1, VERI_TABANI!E27*(1-0.928)*0.00206091519919798*VERI_TABANI!G27, 0)) + ((MIN(VERI_TABANI!D28, VERI_TABANI!D28*B820)*VERI_TABANI!$B$7 + MAX(0, VERI_TABANI!D28*B820-VERI_TABANI!D28)*VERI_TABANI!$B$8) + (MIN(MAX(0, VERI_TABANI!D28-VERI_TABANI!D28*B820), VERI_TABANI!D28*C820)*VERI_TABANI!$B$7 + MAX(0, VERI_TABANI!D28*C820-MAX(0, VERI_TABANI!D28-VERI_TABANI!D28*B820))*VERI_TABANI!$B$8) + IF(ABS(IF(ISNUMBER(SEARCH("Var", D820)), 1, IF(ISNUMBER(SEARCH("Gri", D820)), -1, 0)))=1, VERI_TABANI!E28*(1-0.928)*VERI_TABANI!$B$9, 0) + (VERI_TABANI!D28*B820*(VERI_TABANI!$B$13-VERI_TABANI!$B$14)*VERI_TABANI!G28) + (VERI_TABANI!D28*C820*(VERI_TABANI!$B$13-VERI_TABANI!$B$15)*VERI_TABANI!G28) + IF(ABS(IF(ISNUMBER(SEARCH("Var", D820)), 1, IF(ISNUMBER(SEARCH("Gri", D820)), -1, 0)))=1, VERI_TABANI!E28*(1-0.928)*0.00206091519919798*VERI_TABANI!G28, 0)))</f>
        <v/>
      </c>
      <c r="H820" s="169">
        <f>(((VERI_TABANI!D23*B820*(VERI_TABANI!$B$13-VERI_TABANI!$B$14)) + (VERI_TABANI!D23*C820*(VERI_TABANI!$B$13-VERI_TABANI!$B$15)) + IF(ISNUMBER(SEARCH("Var", D820)), VERI_TABANI!F23*(0.00202-VERI_TABANI!$B$16), IF(ISNUMBER(SEARCH("Gri", D820)), VERI_TABANI!F23*(0.00202-VERI_TABANI!$B$17), 0))) + ((VERI_TABANI!D24*B820*(VERI_TABANI!$B$13-VERI_TABANI!$B$14)) + (VERI_TABANI!D24*C820*(VERI_TABANI!$B$13-VERI_TABANI!$B$15)) + IF(ISNUMBER(SEARCH("Var", D820)), VERI_TABANI!F24*(0.00202-VERI_TABANI!$B$16), IF(ISNUMBER(SEARCH("Gri", D820)), VERI_TABANI!F24*(0.00202-VERI_TABANI!$B$17), 0))) + ((VERI_TABANI!D25*B820*(VERI_TABANI!$B$13-VERI_TABANI!$B$14)) + (VERI_TABANI!D25*C820*(VERI_TABANI!$B$13-VERI_TABANI!$B$15)) + IF(ISNUMBER(SEARCH("Var", D820)), VERI_TABANI!F25*(0.00202-VERI_TABANI!$B$16), IF(ISNUMBER(SEARCH("Gri", D820)), VERI_TABANI!F25*(0.00202-VERI_TABANI!$B$17), 0))) + ((VERI_TABANI!D26*B820*(VERI_TABANI!$B$13-VERI_TABANI!$B$14)) + (VERI_TABANI!D26*C820*(VERI_TABANI!$B$13-VERI_TABANI!$B$15)) + IF(ISNUMBER(SEARCH("Var", D820)), VERI_TABANI!F26*(0.00202-VERI_TABANI!$B$16), IF(ISNUMBER(SEARCH("Gri", D820)), VERI_TABANI!F26*(0.00202-VERI_TABANI!$B$17), 0))) + ((VERI_TABANI!D27*B820*(VERI_TABANI!$B$13-VERI_TABANI!$B$14)) + (VERI_TABANI!D27*C820*(VERI_TABANI!$B$13-VERI_TABANI!$B$15)) + IF(ISNUMBER(SEARCH("Var", D820)), VERI_TABANI!F27*(0.00202-VERI_TABANI!$B$16), IF(ISNUMBER(SEARCH("Gri", D820)), VERI_TABANI!F27*(0.00202-VERI_TABANI!$B$17), 0))) + ((VERI_TABANI!D28*B820*(VERI_TABANI!$B$13-VERI_TABANI!$B$14)) + (VERI_TABANI!D28*C820*(VERI_TABANI!$B$13-VERI_TABANI!$B$15)) + IF(ISNUMBER(SEARCH("Var", D820)), VERI_TABANI!F28*(0.00202-VERI_TABANI!$B$16), IF(ISNUMBER(SEARCH("Gri", D820)), VERI_TABANI!F28*(0.00202-VERI_TABANI!$B$17), 0))))</f>
        <v/>
      </c>
      <c r="I820" s="170">
        <f>IFERROR(((VERI_TABANI!$D$29*B820*VERI_TABANI!$B$14 + VERI_TABANI!$D$29*C820*VERI_TABANI!$B$15 + IF(ISNUMBER(SEARCH("Var", D820)), VERI_TABANI!$F$29*VERI_TABANI!$B$16, 0))) / (((VERI_TABANI!$D$29*B820 + VERI_TABANI!$D$29*C820)*VERI_TABANI!$B$13 + IF(ISNUMBER(SEARCH("Var", D820)), VERI_TABANI!$E$29*(1-0.928)*VERI_TABANI!$B$18, 0))), 0)</f>
        <v/>
      </c>
      <c r="J820" s="171">
        <f>IFERROR(F820/(G820/29), 0)</f>
        <v/>
      </c>
      <c r="K820" s="172">
        <f>IF(F820&gt;0, H820/F820, 0)</f>
        <v/>
      </c>
      <c r="L820" s="170">
        <f>IF(F820&gt;0, I820, 1000000000)</f>
        <v/>
      </c>
      <c r="M820" s="171">
        <f>ABS((B820+C820)-1)</f>
        <v/>
      </c>
      <c r="N820" s="170">
        <f>IF(F820&gt;0, (G820/29)/F820, 0)</f>
        <v/>
      </c>
      <c r="O820" s="168">
        <f>IF(AND((B820+C820)&gt;=1, ISNUMBER(SEARCH("Var", D820))), F820, 1000000000)</f>
        <v/>
      </c>
      <c r="P820" s="172">
        <f>IF(F820&gt;0, SQRT((F820/MAX(F$5:F$886))^2 + (1 - H820/MAX(H$5:H$886))^2 + (J820/MAX(J$5:J$886))^2), 1000000000)</f>
        <v/>
      </c>
      <c r="Q820" s="166">
        <f>IF(AND(ABS(B820-0.5)&lt;0.01, ABS(C820-0.5)&lt;0.01, ISNUMBER(SEARCH("Var", D820))), 1, 0)</f>
        <v/>
      </c>
      <c r="R820" s="171">
        <f>IF(F820&gt;0, J820, 1000000000)</f>
        <v/>
      </c>
      <c r="S820" s="101">
        <f>IF(AND(F820&lt;=DASHBOARD!$B$11, H820&gt;=DASHBOARD!$B$13), G820, -1000000000000)</f>
        <v/>
      </c>
      <c r="T820" s="101">
        <f>IF(AND(F820&lt;=DASHBOARD!$B$11, H820&gt;=DASHBOARD!$B$13), R820, 1000000000000)</f>
        <v/>
      </c>
      <c r="U820" s="101">
        <f>IF(AND(F820&lt;=DASHBOARD!$B$11, H820&gt;=DASHBOARD!$B$13), N820, -1000000000000)</f>
        <v/>
      </c>
      <c r="V820" s="101">
        <f>IF(AND(F820&lt;=DASHBOARD!$B$11, H820&gt;=DASHBOARD!$B$13), H820, -1000000000000)</f>
        <v/>
      </c>
      <c r="W820" s="101">
        <f>IF(AND(F820&lt;=DASHBOARD!$B$11, H820&gt;=DASHBOARD!$B$13), K820, -1000000000000)</f>
        <v/>
      </c>
      <c r="X820" s="101">
        <f>IF(AND(F820&lt;=DASHBOARD!$B$11, H820&gt;=DASHBOARD!$B$13), M820, 1000000000000)</f>
        <v/>
      </c>
      <c r="Y820" s="101">
        <f>IF(AND(F820&lt;=DASHBOARD!$B$10, H820&gt;=DASHBOARD!$B$11), L820, 1000000000000)</f>
        <v/>
      </c>
      <c r="Z820" s="101">
        <f>IF(AND(F820&lt;=DASHBOARD!$B$10, H820&gt;=DASHBOARD!$B$11), O820, 1000000000000)</f>
        <v/>
      </c>
      <c r="AA820" s="101">
        <f>IF(AND(F820&lt;=DASHBOARD!$B$10, H820&gt;=DASHBOARD!$B$11), P820, 1000000000000)</f>
        <v/>
      </c>
      <c r="AB820" s="101">
        <f>IF(AND(F820&lt;=DASHBOARD!$B$10, H820&gt;=DASHBOARD!$B$11), Q820, -1000000000000)</f>
        <v/>
      </c>
    </row>
    <row r="821" ht="15" customHeight="1" s="102">
      <c r="A821" s="166" t="n">
        <v>817</v>
      </c>
      <c r="B821" s="167" t="n">
        <v>1.9</v>
      </c>
      <c r="C821" s="167" t="n">
        <v>0.9</v>
      </c>
      <c r="D821" s="110" t="inlineStr">
        <is>
          <t>Yok (%0)</t>
        </is>
      </c>
      <c r="E821" s="110">
        <f>IF((B821+C821)&lt;=1, "Tam Mahsuplaşma (≤%100)", "Kısmi Satış (&gt;%100)")</f>
        <v/>
      </c>
      <c r="F821" s="168">
        <f>((VERI_TABANI!$D$29*B821/VERI_TABANI!$B$29)/VERI_TABANI!$B$3)*VERI_TABANI!$B$5 + ((VERI_TABANI!$D$29*C821/VERI_TABANI!$B$29)/VERI_TABANI!$B$4)*VERI_TABANI!$B$6 + IF(ISNUMBER(SEARCH("Var", D821)), (VERI_TABANI!$F$29/VERI_TABANI!$B$29)*(VERI_TABANI!$B$10+VERI_TABANI!$B$12), 0)</f>
        <v/>
      </c>
      <c r="G821" s="168">
        <f>(((MIN(VERI_TABANI!D23, VERI_TABANI!D23*B821)*VERI_TABANI!$B$7 + MAX(0, VERI_TABANI!D23*B821-VERI_TABANI!D23)*VERI_TABANI!$B$8) + (MIN(MAX(0, VERI_TABANI!D23-VERI_TABANI!D23*B821), VERI_TABANI!D23*C821)*VERI_TABANI!$B$7 + MAX(0, VERI_TABANI!D23*C821-MAX(0, VERI_TABANI!D23-VERI_TABANI!D23*B821))*VERI_TABANI!$B$8) + IF(ABS(IF(ISNUMBER(SEARCH("Var", D821)), 1, IF(ISNUMBER(SEARCH("Gri", D821)), -1, 0)))=1, VERI_TABANI!E23*(1-0.928)*VERI_TABANI!$B$9, 0) + (VERI_TABANI!D23*B821*(VERI_TABANI!$B$13-VERI_TABANI!$B$14)*VERI_TABANI!G23) + (VERI_TABANI!D23*C821*(VERI_TABANI!$B$13-VERI_TABANI!$B$15)*VERI_TABANI!G23) + IF(ABS(IF(ISNUMBER(SEARCH("Var", D821)), 1, IF(ISNUMBER(SEARCH("Gri", D821)), -1, 0)))=1, VERI_TABANI!E23*(1-0.928)*0.00206091519919798*VERI_TABANI!G23, 0)) + ((MIN(VERI_TABANI!D24, VERI_TABANI!D24*B821)*VERI_TABANI!$B$7 + MAX(0, VERI_TABANI!D24*B821-VERI_TABANI!D24)*VERI_TABANI!$B$8) + (MIN(MAX(0, VERI_TABANI!D24-VERI_TABANI!D24*B821), VERI_TABANI!D24*C821)*VERI_TABANI!$B$7 + MAX(0, VERI_TABANI!D24*C821-MAX(0, VERI_TABANI!D24-VERI_TABANI!D24*B821))*VERI_TABANI!$B$8) + IF(ABS(IF(ISNUMBER(SEARCH("Var", D821)), 1, IF(ISNUMBER(SEARCH("Gri", D821)), -1, 0)))=1, VERI_TABANI!E24*(1-0.928)*VERI_TABANI!$B$9, 0) + (VERI_TABANI!D24*B821*(VERI_TABANI!$B$13-VERI_TABANI!$B$14)*VERI_TABANI!G24) + (VERI_TABANI!D24*C821*(VERI_TABANI!$B$13-VERI_TABANI!$B$15)*VERI_TABANI!G24) + IF(ABS(IF(ISNUMBER(SEARCH("Var", D821)), 1, IF(ISNUMBER(SEARCH("Gri", D821)), -1, 0)))=1, VERI_TABANI!E24*(1-0.928)*0.00206091519919798*VERI_TABANI!G24, 0)) + ((MIN(VERI_TABANI!D25, VERI_TABANI!D25*B821)*VERI_TABANI!$B$7 + MAX(0, VERI_TABANI!D25*B821-VERI_TABANI!D25)*VERI_TABANI!$B$8) + (MIN(MAX(0, VERI_TABANI!D25-VERI_TABANI!D25*B821), VERI_TABANI!D25*C821)*VERI_TABANI!$B$7 + MAX(0, VERI_TABANI!D25*C821-MAX(0, VERI_TABANI!D25-VERI_TABANI!D25*B821))*VERI_TABANI!$B$8) + IF(ABS(IF(ISNUMBER(SEARCH("Var", D821)), 1, IF(ISNUMBER(SEARCH("Gri", D821)), -1, 0)))=1, VERI_TABANI!E25*(1-0.928)*VERI_TABANI!$B$9, 0) + (VERI_TABANI!D25*B821*(VERI_TABANI!$B$13-VERI_TABANI!$B$14)*VERI_TABANI!G25) + (VERI_TABANI!D25*C821*(VERI_TABANI!$B$13-VERI_TABANI!$B$15)*VERI_TABANI!G25) + IF(ABS(IF(ISNUMBER(SEARCH("Var", D821)), 1, IF(ISNUMBER(SEARCH("Gri", D821)), -1, 0)))=1, VERI_TABANI!E25*(1-0.928)*0.00206091519919798*VERI_TABANI!G25, 0)) + ((MIN(VERI_TABANI!D26, VERI_TABANI!D26*B821)*VERI_TABANI!$B$7 + MAX(0, VERI_TABANI!D26*B821-VERI_TABANI!D26)*VERI_TABANI!$B$8) + (MIN(MAX(0, VERI_TABANI!D26-VERI_TABANI!D26*B821), VERI_TABANI!D26*C821)*VERI_TABANI!$B$7 + MAX(0, VERI_TABANI!D26*C821-MAX(0, VERI_TABANI!D26-VERI_TABANI!D26*B821))*VERI_TABANI!$B$8) + IF(ABS(IF(ISNUMBER(SEARCH("Var", D821)), 1, IF(ISNUMBER(SEARCH("Gri", D821)), -1, 0)))=1, VERI_TABANI!E26*(1-0.928)*VERI_TABANI!$B$9, 0) + (VERI_TABANI!D26*B821*(VERI_TABANI!$B$13-VERI_TABANI!$B$14)*VERI_TABANI!G26) + (VERI_TABANI!D26*C821*(VERI_TABANI!$B$13-VERI_TABANI!$B$15)*VERI_TABANI!G26) + IF(ABS(IF(ISNUMBER(SEARCH("Var", D821)), 1, IF(ISNUMBER(SEARCH("Gri", D821)), -1, 0)))=1, VERI_TABANI!E26*(1-0.928)*0.00206091519919798*VERI_TABANI!G26, 0)) + ((MIN(VERI_TABANI!D27, VERI_TABANI!D27*B821)*VERI_TABANI!$B$7 + MAX(0, VERI_TABANI!D27*B821-VERI_TABANI!D27)*VERI_TABANI!$B$8) + (MIN(MAX(0, VERI_TABANI!D27-VERI_TABANI!D27*B821), VERI_TABANI!D27*C821)*VERI_TABANI!$B$7 + MAX(0, VERI_TABANI!D27*C821-MAX(0, VERI_TABANI!D27-VERI_TABANI!D27*B821))*VERI_TABANI!$B$8) + IF(ABS(IF(ISNUMBER(SEARCH("Var", D821)), 1, IF(ISNUMBER(SEARCH("Gri", D821)), -1, 0)))=1, VERI_TABANI!E27*(1-0.928)*VERI_TABANI!$B$9, 0) + (VERI_TABANI!D27*B821*(VERI_TABANI!$B$13-VERI_TABANI!$B$14)*VERI_TABANI!G27) + (VERI_TABANI!D27*C821*(VERI_TABANI!$B$13-VERI_TABANI!$B$15)*VERI_TABANI!G27) + IF(ABS(IF(ISNUMBER(SEARCH("Var", D821)), 1, IF(ISNUMBER(SEARCH("Gri", D821)), -1, 0)))=1, VERI_TABANI!E27*(1-0.928)*0.00206091519919798*VERI_TABANI!G27, 0)) + ((MIN(VERI_TABANI!D28, VERI_TABANI!D28*B821)*VERI_TABANI!$B$7 + MAX(0, VERI_TABANI!D28*B821-VERI_TABANI!D28)*VERI_TABANI!$B$8) + (MIN(MAX(0, VERI_TABANI!D28-VERI_TABANI!D28*B821), VERI_TABANI!D28*C821)*VERI_TABANI!$B$7 + MAX(0, VERI_TABANI!D28*C821-MAX(0, VERI_TABANI!D28-VERI_TABANI!D28*B821))*VERI_TABANI!$B$8) + IF(ABS(IF(ISNUMBER(SEARCH("Var", D821)), 1, IF(ISNUMBER(SEARCH("Gri", D821)), -1, 0)))=1, VERI_TABANI!E28*(1-0.928)*VERI_TABANI!$B$9, 0) + (VERI_TABANI!D28*B821*(VERI_TABANI!$B$13-VERI_TABANI!$B$14)*VERI_TABANI!G28) + (VERI_TABANI!D28*C821*(VERI_TABANI!$B$13-VERI_TABANI!$B$15)*VERI_TABANI!G28) + IF(ABS(IF(ISNUMBER(SEARCH("Var", D821)), 1, IF(ISNUMBER(SEARCH("Gri", D821)), -1, 0)))=1, VERI_TABANI!E28*(1-0.928)*0.00206091519919798*VERI_TABANI!G28, 0)))</f>
        <v/>
      </c>
      <c r="H821" s="169">
        <f>(((VERI_TABANI!D23*B821*(VERI_TABANI!$B$13-VERI_TABANI!$B$14)) + (VERI_TABANI!D23*C821*(VERI_TABANI!$B$13-VERI_TABANI!$B$15)) + IF(ISNUMBER(SEARCH("Var", D821)), VERI_TABANI!F23*(0.00202-VERI_TABANI!$B$16), IF(ISNUMBER(SEARCH("Gri", D821)), VERI_TABANI!F23*(0.00202-VERI_TABANI!$B$17), 0))) + ((VERI_TABANI!D24*B821*(VERI_TABANI!$B$13-VERI_TABANI!$B$14)) + (VERI_TABANI!D24*C821*(VERI_TABANI!$B$13-VERI_TABANI!$B$15)) + IF(ISNUMBER(SEARCH("Var", D821)), VERI_TABANI!F24*(0.00202-VERI_TABANI!$B$16), IF(ISNUMBER(SEARCH("Gri", D821)), VERI_TABANI!F24*(0.00202-VERI_TABANI!$B$17), 0))) + ((VERI_TABANI!D25*B821*(VERI_TABANI!$B$13-VERI_TABANI!$B$14)) + (VERI_TABANI!D25*C821*(VERI_TABANI!$B$13-VERI_TABANI!$B$15)) + IF(ISNUMBER(SEARCH("Var", D821)), VERI_TABANI!F25*(0.00202-VERI_TABANI!$B$16), IF(ISNUMBER(SEARCH("Gri", D821)), VERI_TABANI!F25*(0.00202-VERI_TABANI!$B$17), 0))) + ((VERI_TABANI!D26*B821*(VERI_TABANI!$B$13-VERI_TABANI!$B$14)) + (VERI_TABANI!D26*C821*(VERI_TABANI!$B$13-VERI_TABANI!$B$15)) + IF(ISNUMBER(SEARCH("Var", D821)), VERI_TABANI!F26*(0.00202-VERI_TABANI!$B$16), IF(ISNUMBER(SEARCH("Gri", D821)), VERI_TABANI!F26*(0.00202-VERI_TABANI!$B$17), 0))) + ((VERI_TABANI!D27*B821*(VERI_TABANI!$B$13-VERI_TABANI!$B$14)) + (VERI_TABANI!D27*C821*(VERI_TABANI!$B$13-VERI_TABANI!$B$15)) + IF(ISNUMBER(SEARCH("Var", D821)), VERI_TABANI!F27*(0.00202-VERI_TABANI!$B$16), IF(ISNUMBER(SEARCH("Gri", D821)), VERI_TABANI!F27*(0.00202-VERI_TABANI!$B$17), 0))) + ((VERI_TABANI!D28*B821*(VERI_TABANI!$B$13-VERI_TABANI!$B$14)) + (VERI_TABANI!D28*C821*(VERI_TABANI!$B$13-VERI_TABANI!$B$15)) + IF(ISNUMBER(SEARCH("Var", D821)), VERI_TABANI!F28*(0.00202-VERI_TABANI!$B$16), IF(ISNUMBER(SEARCH("Gri", D821)), VERI_TABANI!F28*(0.00202-VERI_TABANI!$B$17), 0))))</f>
        <v/>
      </c>
      <c r="I821" s="170">
        <f>IFERROR(((VERI_TABANI!$D$29*B821*VERI_TABANI!$B$14 + VERI_TABANI!$D$29*C821*VERI_TABANI!$B$15 + IF(ISNUMBER(SEARCH("Var", D821)), VERI_TABANI!$F$29*VERI_TABANI!$B$16, 0))) / (((VERI_TABANI!$D$29*B821 + VERI_TABANI!$D$29*C821)*VERI_TABANI!$B$13 + IF(ISNUMBER(SEARCH("Var", D821)), VERI_TABANI!$E$29*(1-0.928)*VERI_TABANI!$B$18, 0))), 0)</f>
        <v/>
      </c>
      <c r="J821" s="171">
        <f>IFERROR(F821/(G821/29), 0)</f>
        <v/>
      </c>
      <c r="K821" s="172">
        <f>IF(F821&gt;0, H821/F821, 0)</f>
        <v/>
      </c>
      <c r="L821" s="170">
        <f>IF(F821&gt;0, I821, 1000000000)</f>
        <v/>
      </c>
      <c r="M821" s="171">
        <f>ABS((B821+C821)-1)</f>
        <v/>
      </c>
      <c r="N821" s="170">
        <f>IF(F821&gt;0, (G821/29)/F821, 0)</f>
        <v/>
      </c>
      <c r="O821" s="168">
        <f>IF(AND((B821+C821)&gt;=1, ISNUMBER(SEARCH("Var", D821))), F821, 1000000000)</f>
        <v/>
      </c>
      <c r="P821" s="172">
        <f>IF(F821&gt;0, SQRT((F821/MAX(F$5:F$886))^2 + (1 - H821/MAX(H$5:H$886))^2 + (J821/MAX(J$5:J$886))^2), 1000000000)</f>
        <v/>
      </c>
      <c r="Q821" s="166">
        <f>IF(AND(ABS(B821-0.5)&lt;0.01, ABS(C821-0.5)&lt;0.01, ISNUMBER(SEARCH("Var", D821))), 1, 0)</f>
        <v/>
      </c>
      <c r="R821" s="171">
        <f>IF(F821&gt;0, J821, 1000000000)</f>
        <v/>
      </c>
      <c r="S821" s="101">
        <f>IF(AND(F821&lt;=DASHBOARD!$B$11, H821&gt;=DASHBOARD!$B$13), G821, -1000000000000)</f>
        <v/>
      </c>
      <c r="T821" s="101">
        <f>IF(AND(F821&lt;=DASHBOARD!$B$11, H821&gt;=DASHBOARD!$B$13), R821, 1000000000000)</f>
        <v/>
      </c>
      <c r="U821" s="101">
        <f>IF(AND(F821&lt;=DASHBOARD!$B$11, H821&gt;=DASHBOARD!$B$13), N821, -1000000000000)</f>
        <v/>
      </c>
      <c r="V821" s="101">
        <f>IF(AND(F821&lt;=DASHBOARD!$B$11, H821&gt;=DASHBOARD!$B$13), H821, -1000000000000)</f>
        <v/>
      </c>
      <c r="W821" s="101">
        <f>IF(AND(F821&lt;=DASHBOARD!$B$11, H821&gt;=DASHBOARD!$B$13), K821, -1000000000000)</f>
        <v/>
      </c>
      <c r="X821" s="101">
        <f>IF(AND(F821&lt;=DASHBOARD!$B$11, H821&gt;=DASHBOARD!$B$13), M821, 1000000000000)</f>
        <v/>
      </c>
      <c r="Y821" s="101">
        <f>IF(AND(F821&lt;=DASHBOARD!$B$10, H821&gt;=DASHBOARD!$B$11), L821, 1000000000000)</f>
        <v/>
      </c>
      <c r="Z821" s="101">
        <f>IF(AND(F821&lt;=DASHBOARD!$B$10, H821&gt;=DASHBOARD!$B$11), O821, 1000000000000)</f>
        <v/>
      </c>
      <c r="AA821" s="101">
        <f>IF(AND(F821&lt;=DASHBOARD!$B$10, H821&gt;=DASHBOARD!$B$11), P821, 1000000000000)</f>
        <v/>
      </c>
      <c r="AB821" s="101">
        <f>IF(AND(F821&lt;=DASHBOARD!$B$10, H821&gt;=DASHBOARD!$B$11), Q821, -1000000000000)</f>
        <v/>
      </c>
    </row>
    <row r="822" ht="15" customHeight="1" s="102">
      <c r="A822" s="166" t="n">
        <v>818</v>
      </c>
      <c r="B822" s="167" t="n">
        <v>1.9</v>
      </c>
      <c r="C822" s="167" t="n">
        <v>0.9</v>
      </c>
      <c r="D822" s="110" t="inlineStr">
        <is>
          <t>Var (%20)</t>
        </is>
      </c>
      <c r="E822" s="110">
        <f>IF((B822+C822)&lt;=1, "Tam Mahsuplaşma (≤%100)", "Kısmi Satış (&gt;%100)")</f>
        <v/>
      </c>
      <c r="F822" s="168">
        <f>((VERI_TABANI!$D$29*B822/VERI_TABANI!$B$29)/VERI_TABANI!$B$3)*VERI_TABANI!$B$5 + ((VERI_TABANI!$D$29*C822/VERI_TABANI!$B$29)/VERI_TABANI!$B$4)*VERI_TABANI!$B$6 + IF(ISNUMBER(SEARCH("Var", D822)), (VERI_TABANI!$F$29/VERI_TABANI!$B$29)*(VERI_TABANI!$B$10+VERI_TABANI!$B$12), 0)</f>
        <v/>
      </c>
      <c r="G822" s="168">
        <f>(((MIN(VERI_TABANI!D23, VERI_TABANI!D23*B822)*VERI_TABANI!$B$7 + MAX(0, VERI_TABANI!D23*B822-VERI_TABANI!D23)*VERI_TABANI!$B$8) + (MIN(MAX(0, VERI_TABANI!D23-VERI_TABANI!D23*B822), VERI_TABANI!D23*C822)*VERI_TABANI!$B$7 + MAX(0, VERI_TABANI!D23*C822-MAX(0, VERI_TABANI!D23-VERI_TABANI!D23*B822))*VERI_TABANI!$B$8) + IF(ABS(IF(ISNUMBER(SEARCH("Var", D822)), 1, IF(ISNUMBER(SEARCH("Gri", D822)), -1, 0)))=1, VERI_TABANI!E23*(1-0.928)*VERI_TABANI!$B$9, 0) + (VERI_TABANI!D23*B822*(VERI_TABANI!$B$13-VERI_TABANI!$B$14)*VERI_TABANI!G23) + (VERI_TABANI!D23*C822*(VERI_TABANI!$B$13-VERI_TABANI!$B$15)*VERI_TABANI!G23) + IF(ABS(IF(ISNUMBER(SEARCH("Var", D822)), 1, IF(ISNUMBER(SEARCH("Gri", D822)), -1, 0)))=1, VERI_TABANI!E23*(1-0.928)*0.00206091519919798*VERI_TABANI!G23, 0)) + ((MIN(VERI_TABANI!D24, VERI_TABANI!D24*B822)*VERI_TABANI!$B$7 + MAX(0, VERI_TABANI!D24*B822-VERI_TABANI!D24)*VERI_TABANI!$B$8) + (MIN(MAX(0, VERI_TABANI!D24-VERI_TABANI!D24*B822), VERI_TABANI!D24*C822)*VERI_TABANI!$B$7 + MAX(0, VERI_TABANI!D24*C822-MAX(0, VERI_TABANI!D24-VERI_TABANI!D24*B822))*VERI_TABANI!$B$8) + IF(ABS(IF(ISNUMBER(SEARCH("Var", D822)), 1, IF(ISNUMBER(SEARCH("Gri", D822)), -1, 0)))=1, VERI_TABANI!E24*(1-0.928)*VERI_TABANI!$B$9, 0) + (VERI_TABANI!D24*B822*(VERI_TABANI!$B$13-VERI_TABANI!$B$14)*VERI_TABANI!G24) + (VERI_TABANI!D24*C822*(VERI_TABANI!$B$13-VERI_TABANI!$B$15)*VERI_TABANI!G24) + IF(ABS(IF(ISNUMBER(SEARCH("Var", D822)), 1, IF(ISNUMBER(SEARCH("Gri", D822)), -1, 0)))=1, VERI_TABANI!E24*(1-0.928)*0.00206091519919798*VERI_TABANI!G24, 0)) + ((MIN(VERI_TABANI!D25, VERI_TABANI!D25*B822)*VERI_TABANI!$B$7 + MAX(0, VERI_TABANI!D25*B822-VERI_TABANI!D25)*VERI_TABANI!$B$8) + (MIN(MAX(0, VERI_TABANI!D25-VERI_TABANI!D25*B822), VERI_TABANI!D25*C822)*VERI_TABANI!$B$7 + MAX(0, VERI_TABANI!D25*C822-MAX(0, VERI_TABANI!D25-VERI_TABANI!D25*B822))*VERI_TABANI!$B$8) + IF(ABS(IF(ISNUMBER(SEARCH("Var", D822)), 1, IF(ISNUMBER(SEARCH("Gri", D822)), -1, 0)))=1, VERI_TABANI!E25*(1-0.928)*VERI_TABANI!$B$9, 0) + (VERI_TABANI!D25*B822*(VERI_TABANI!$B$13-VERI_TABANI!$B$14)*VERI_TABANI!G25) + (VERI_TABANI!D25*C822*(VERI_TABANI!$B$13-VERI_TABANI!$B$15)*VERI_TABANI!G25) + IF(ABS(IF(ISNUMBER(SEARCH("Var", D822)), 1, IF(ISNUMBER(SEARCH("Gri", D822)), -1, 0)))=1, VERI_TABANI!E25*(1-0.928)*0.00206091519919798*VERI_TABANI!G25, 0)) + ((MIN(VERI_TABANI!D26, VERI_TABANI!D26*B822)*VERI_TABANI!$B$7 + MAX(0, VERI_TABANI!D26*B822-VERI_TABANI!D26)*VERI_TABANI!$B$8) + (MIN(MAX(0, VERI_TABANI!D26-VERI_TABANI!D26*B822), VERI_TABANI!D26*C822)*VERI_TABANI!$B$7 + MAX(0, VERI_TABANI!D26*C822-MAX(0, VERI_TABANI!D26-VERI_TABANI!D26*B822))*VERI_TABANI!$B$8) + IF(ABS(IF(ISNUMBER(SEARCH("Var", D822)), 1, IF(ISNUMBER(SEARCH("Gri", D822)), -1, 0)))=1, VERI_TABANI!E26*(1-0.928)*VERI_TABANI!$B$9, 0) + (VERI_TABANI!D26*B822*(VERI_TABANI!$B$13-VERI_TABANI!$B$14)*VERI_TABANI!G26) + (VERI_TABANI!D26*C822*(VERI_TABANI!$B$13-VERI_TABANI!$B$15)*VERI_TABANI!G26) + IF(ABS(IF(ISNUMBER(SEARCH("Var", D822)), 1, IF(ISNUMBER(SEARCH("Gri", D822)), -1, 0)))=1, VERI_TABANI!E26*(1-0.928)*0.00206091519919798*VERI_TABANI!G26, 0)) + ((MIN(VERI_TABANI!D27, VERI_TABANI!D27*B822)*VERI_TABANI!$B$7 + MAX(0, VERI_TABANI!D27*B822-VERI_TABANI!D27)*VERI_TABANI!$B$8) + (MIN(MAX(0, VERI_TABANI!D27-VERI_TABANI!D27*B822), VERI_TABANI!D27*C822)*VERI_TABANI!$B$7 + MAX(0, VERI_TABANI!D27*C822-MAX(0, VERI_TABANI!D27-VERI_TABANI!D27*B822))*VERI_TABANI!$B$8) + IF(ABS(IF(ISNUMBER(SEARCH("Var", D822)), 1, IF(ISNUMBER(SEARCH("Gri", D822)), -1, 0)))=1, VERI_TABANI!E27*(1-0.928)*VERI_TABANI!$B$9, 0) + (VERI_TABANI!D27*B822*(VERI_TABANI!$B$13-VERI_TABANI!$B$14)*VERI_TABANI!G27) + (VERI_TABANI!D27*C822*(VERI_TABANI!$B$13-VERI_TABANI!$B$15)*VERI_TABANI!G27) + IF(ABS(IF(ISNUMBER(SEARCH("Var", D822)), 1, IF(ISNUMBER(SEARCH("Gri", D822)), -1, 0)))=1, VERI_TABANI!E27*(1-0.928)*0.00206091519919798*VERI_TABANI!G27, 0)) + ((MIN(VERI_TABANI!D28, VERI_TABANI!D28*B822)*VERI_TABANI!$B$7 + MAX(0, VERI_TABANI!D28*B822-VERI_TABANI!D28)*VERI_TABANI!$B$8) + (MIN(MAX(0, VERI_TABANI!D28-VERI_TABANI!D28*B822), VERI_TABANI!D28*C822)*VERI_TABANI!$B$7 + MAX(0, VERI_TABANI!D28*C822-MAX(0, VERI_TABANI!D28-VERI_TABANI!D28*B822))*VERI_TABANI!$B$8) + IF(ABS(IF(ISNUMBER(SEARCH("Var", D822)), 1, IF(ISNUMBER(SEARCH("Gri", D822)), -1, 0)))=1, VERI_TABANI!E28*(1-0.928)*VERI_TABANI!$B$9, 0) + (VERI_TABANI!D28*B822*(VERI_TABANI!$B$13-VERI_TABANI!$B$14)*VERI_TABANI!G28) + (VERI_TABANI!D28*C822*(VERI_TABANI!$B$13-VERI_TABANI!$B$15)*VERI_TABANI!G28) + IF(ABS(IF(ISNUMBER(SEARCH("Var", D822)), 1, IF(ISNUMBER(SEARCH("Gri", D822)), -1, 0)))=1, VERI_TABANI!E28*(1-0.928)*0.00206091519919798*VERI_TABANI!G28, 0)))</f>
        <v/>
      </c>
      <c r="H822" s="169">
        <f>(((VERI_TABANI!D23*B822*(VERI_TABANI!$B$13-VERI_TABANI!$B$14)) + (VERI_TABANI!D23*C822*(VERI_TABANI!$B$13-VERI_TABANI!$B$15)) + IF(ISNUMBER(SEARCH("Var", D822)), VERI_TABANI!F23*(0.00202-VERI_TABANI!$B$16), IF(ISNUMBER(SEARCH("Gri", D822)), VERI_TABANI!F23*(0.00202-VERI_TABANI!$B$17), 0))) + ((VERI_TABANI!D24*B822*(VERI_TABANI!$B$13-VERI_TABANI!$B$14)) + (VERI_TABANI!D24*C822*(VERI_TABANI!$B$13-VERI_TABANI!$B$15)) + IF(ISNUMBER(SEARCH("Var", D822)), VERI_TABANI!F24*(0.00202-VERI_TABANI!$B$16), IF(ISNUMBER(SEARCH("Gri", D822)), VERI_TABANI!F24*(0.00202-VERI_TABANI!$B$17), 0))) + ((VERI_TABANI!D25*B822*(VERI_TABANI!$B$13-VERI_TABANI!$B$14)) + (VERI_TABANI!D25*C822*(VERI_TABANI!$B$13-VERI_TABANI!$B$15)) + IF(ISNUMBER(SEARCH("Var", D822)), VERI_TABANI!F25*(0.00202-VERI_TABANI!$B$16), IF(ISNUMBER(SEARCH("Gri", D822)), VERI_TABANI!F25*(0.00202-VERI_TABANI!$B$17), 0))) + ((VERI_TABANI!D26*B822*(VERI_TABANI!$B$13-VERI_TABANI!$B$14)) + (VERI_TABANI!D26*C822*(VERI_TABANI!$B$13-VERI_TABANI!$B$15)) + IF(ISNUMBER(SEARCH("Var", D822)), VERI_TABANI!F26*(0.00202-VERI_TABANI!$B$16), IF(ISNUMBER(SEARCH("Gri", D822)), VERI_TABANI!F26*(0.00202-VERI_TABANI!$B$17), 0))) + ((VERI_TABANI!D27*B822*(VERI_TABANI!$B$13-VERI_TABANI!$B$14)) + (VERI_TABANI!D27*C822*(VERI_TABANI!$B$13-VERI_TABANI!$B$15)) + IF(ISNUMBER(SEARCH("Var", D822)), VERI_TABANI!F27*(0.00202-VERI_TABANI!$B$16), IF(ISNUMBER(SEARCH("Gri", D822)), VERI_TABANI!F27*(0.00202-VERI_TABANI!$B$17), 0))) + ((VERI_TABANI!D28*B822*(VERI_TABANI!$B$13-VERI_TABANI!$B$14)) + (VERI_TABANI!D28*C822*(VERI_TABANI!$B$13-VERI_TABANI!$B$15)) + IF(ISNUMBER(SEARCH("Var", D822)), VERI_TABANI!F28*(0.00202-VERI_TABANI!$B$16), IF(ISNUMBER(SEARCH("Gri", D822)), VERI_TABANI!F28*(0.00202-VERI_TABANI!$B$17), 0))))</f>
        <v/>
      </c>
      <c r="I822" s="170">
        <f>IFERROR(((VERI_TABANI!$D$29*B822*VERI_TABANI!$B$14 + VERI_TABANI!$D$29*C822*VERI_TABANI!$B$15 + IF(ISNUMBER(SEARCH("Var", D822)), VERI_TABANI!$F$29*VERI_TABANI!$B$16, 0))) / (((VERI_TABANI!$D$29*B822 + VERI_TABANI!$D$29*C822)*VERI_TABANI!$B$13 + IF(ISNUMBER(SEARCH("Var", D822)), VERI_TABANI!$E$29*(1-0.928)*VERI_TABANI!$B$18, 0))), 0)</f>
        <v/>
      </c>
      <c r="J822" s="171">
        <f>IFERROR(F822/(G822/29), 0)</f>
        <v/>
      </c>
      <c r="K822" s="172">
        <f>IF(F822&gt;0, H822/F822, 0)</f>
        <v/>
      </c>
      <c r="L822" s="170">
        <f>IF(F822&gt;0, I822, 1000000000)</f>
        <v/>
      </c>
      <c r="M822" s="171">
        <f>ABS((B822+C822)-1)</f>
        <v/>
      </c>
      <c r="N822" s="170">
        <f>IF(F822&gt;0, (G822/29)/F822, 0)</f>
        <v/>
      </c>
      <c r="O822" s="168">
        <f>IF(AND((B822+C822)&gt;=1, ISNUMBER(SEARCH("Var", D822))), F822, 1000000000)</f>
        <v/>
      </c>
      <c r="P822" s="172">
        <f>IF(F822&gt;0, SQRT((F822/MAX(F$5:F$886))^2 + (1 - H822/MAX(H$5:H$886))^2 + (J822/MAX(J$5:J$886))^2), 1000000000)</f>
        <v/>
      </c>
      <c r="Q822" s="166">
        <f>IF(AND(ABS(B822-0.5)&lt;0.01, ABS(C822-0.5)&lt;0.01, ISNUMBER(SEARCH("Var", D822))), 1, 0)</f>
        <v/>
      </c>
      <c r="R822" s="171">
        <f>IF(F822&gt;0, J822, 1000000000)</f>
        <v/>
      </c>
      <c r="S822" s="101">
        <f>IF(AND(F822&lt;=DASHBOARD!$B$11, H822&gt;=DASHBOARD!$B$13), G822, -1000000000000)</f>
        <v/>
      </c>
      <c r="T822" s="101">
        <f>IF(AND(F822&lt;=DASHBOARD!$B$11, H822&gt;=DASHBOARD!$B$13), R822, 1000000000000)</f>
        <v/>
      </c>
      <c r="U822" s="101">
        <f>IF(AND(F822&lt;=DASHBOARD!$B$11, H822&gt;=DASHBOARD!$B$13), N822, -1000000000000)</f>
        <v/>
      </c>
      <c r="V822" s="101">
        <f>IF(AND(F822&lt;=DASHBOARD!$B$11, H822&gt;=DASHBOARD!$B$13), H822, -1000000000000)</f>
        <v/>
      </c>
      <c r="W822" s="101">
        <f>IF(AND(F822&lt;=DASHBOARD!$B$11, H822&gt;=DASHBOARD!$B$13), K822, -1000000000000)</f>
        <v/>
      </c>
      <c r="X822" s="101">
        <f>IF(AND(F822&lt;=DASHBOARD!$B$11, H822&gt;=DASHBOARD!$B$13), M822, 1000000000000)</f>
        <v/>
      </c>
      <c r="Y822" s="101">
        <f>IF(AND(F822&lt;=DASHBOARD!$B$10, H822&gt;=DASHBOARD!$B$11), L822, 1000000000000)</f>
        <v/>
      </c>
      <c r="Z822" s="101">
        <f>IF(AND(F822&lt;=DASHBOARD!$B$10, H822&gt;=DASHBOARD!$B$11), O822, 1000000000000)</f>
        <v/>
      </c>
      <c r="AA822" s="101">
        <f>IF(AND(F822&lt;=DASHBOARD!$B$10, H822&gt;=DASHBOARD!$B$11), P822, 1000000000000)</f>
        <v/>
      </c>
      <c r="AB822" s="101">
        <f>IF(AND(F822&lt;=DASHBOARD!$B$10, H822&gt;=DASHBOARD!$B$11), Q822, -1000000000000)</f>
        <v/>
      </c>
    </row>
    <row r="823" ht="15" customHeight="1" s="102">
      <c r="A823" s="166" t="n">
        <v>819</v>
      </c>
      <c r="B823" s="167" t="n">
        <v>1.9</v>
      </c>
      <c r="C823" s="167" t="n">
        <v>1</v>
      </c>
      <c r="D823" s="110" t="inlineStr">
        <is>
          <t>Yok (%0)</t>
        </is>
      </c>
      <c r="E823" s="110">
        <f>IF((B823+C823)&lt;=1, "Tam Mahsuplaşma (≤%100)", "Kısmi Satış (&gt;%100)")</f>
        <v/>
      </c>
      <c r="F823" s="168">
        <f>((VERI_TABANI!$D$29*B823/VERI_TABANI!$B$29)/VERI_TABANI!$B$3)*VERI_TABANI!$B$5 + ((VERI_TABANI!$D$29*C823/VERI_TABANI!$B$29)/VERI_TABANI!$B$4)*VERI_TABANI!$B$6 + IF(ISNUMBER(SEARCH("Var", D823)), (VERI_TABANI!$F$29/VERI_TABANI!$B$29)*(VERI_TABANI!$B$10+VERI_TABANI!$B$12), 0)</f>
        <v/>
      </c>
      <c r="G823" s="168">
        <f>(((MIN(VERI_TABANI!D23, VERI_TABANI!D23*B823)*VERI_TABANI!$B$7 + MAX(0, VERI_TABANI!D23*B823-VERI_TABANI!D23)*VERI_TABANI!$B$8) + (MIN(MAX(0, VERI_TABANI!D23-VERI_TABANI!D23*B823), VERI_TABANI!D23*C823)*VERI_TABANI!$B$7 + MAX(0, VERI_TABANI!D23*C823-MAX(0, VERI_TABANI!D23-VERI_TABANI!D23*B823))*VERI_TABANI!$B$8) + IF(ABS(IF(ISNUMBER(SEARCH("Var", D823)), 1, IF(ISNUMBER(SEARCH("Gri", D823)), -1, 0)))=1, VERI_TABANI!E23*(1-0.928)*VERI_TABANI!$B$9, 0) + (VERI_TABANI!D23*B823*(VERI_TABANI!$B$13-VERI_TABANI!$B$14)*VERI_TABANI!G23) + (VERI_TABANI!D23*C823*(VERI_TABANI!$B$13-VERI_TABANI!$B$15)*VERI_TABANI!G23) + IF(ABS(IF(ISNUMBER(SEARCH("Var", D823)), 1, IF(ISNUMBER(SEARCH("Gri", D823)), -1, 0)))=1, VERI_TABANI!E23*(1-0.928)*0.00206091519919798*VERI_TABANI!G23, 0)) + ((MIN(VERI_TABANI!D24, VERI_TABANI!D24*B823)*VERI_TABANI!$B$7 + MAX(0, VERI_TABANI!D24*B823-VERI_TABANI!D24)*VERI_TABANI!$B$8) + (MIN(MAX(0, VERI_TABANI!D24-VERI_TABANI!D24*B823), VERI_TABANI!D24*C823)*VERI_TABANI!$B$7 + MAX(0, VERI_TABANI!D24*C823-MAX(0, VERI_TABANI!D24-VERI_TABANI!D24*B823))*VERI_TABANI!$B$8) + IF(ABS(IF(ISNUMBER(SEARCH("Var", D823)), 1, IF(ISNUMBER(SEARCH("Gri", D823)), -1, 0)))=1, VERI_TABANI!E24*(1-0.928)*VERI_TABANI!$B$9, 0) + (VERI_TABANI!D24*B823*(VERI_TABANI!$B$13-VERI_TABANI!$B$14)*VERI_TABANI!G24) + (VERI_TABANI!D24*C823*(VERI_TABANI!$B$13-VERI_TABANI!$B$15)*VERI_TABANI!G24) + IF(ABS(IF(ISNUMBER(SEARCH("Var", D823)), 1, IF(ISNUMBER(SEARCH("Gri", D823)), -1, 0)))=1, VERI_TABANI!E24*(1-0.928)*0.00206091519919798*VERI_TABANI!G24, 0)) + ((MIN(VERI_TABANI!D25, VERI_TABANI!D25*B823)*VERI_TABANI!$B$7 + MAX(0, VERI_TABANI!D25*B823-VERI_TABANI!D25)*VERI_TABANI!$B$8) + (MIN(MAX(0, VERI_TABANI!D25-VERI_TABANI!D25*B823), VERI_TABANI!D25*C823)*VERI_TABANI!$B$7 + MAX(0, VERI_TABANI!D25*C823-MAX(0, VERI_TABANI!D25-VERI_TABANI!D25*B823))*VERI_TABANI!$B$8) + IF(ABS(IF(ISNUMBER(SEARCH("Var", D823)), 1, IF(ISNUMBER(SEARCH("Gri", D823)), -1, 0)))=1, VERI_TABANI!E25*(1-0.928)*VERI_TABANI!$B$9, 0) + (VERI_TABANI!D25*B823*(VERI_TABANI!$B$13-VERI_TABANI!$B$14)*VERI_TABANI!G25) + (VERI_TABANI!D25*C823*(VERI_TABANI!$B$13-VERI_TABANI!$B$15)*VERI_TABANI!G25) + IF(ABS(IF(ISNUMBER(SEARCH("Var", D823)), 1, IF(ISNUMBER(SEARCH("Gri", D823)), -1, 0)))=1, VERI_TABANI!E25*(1-0.928)*0.00206091519919798*VERI_TABANI!G25, 0)) + ((MIN(VERI_TABANI!D26, VERI_TABANI!D26*B823)*VERI_TABANI!$B$7 + MAX(0, VERI_TABANI!D26*B823-VERI_TABANI!D26)*VERI_TABANI!$B$8) + (MIN(MAX(0, VERI_TABANI!D26-VERI_TABANI!D26*B823), VERI_TABANI!D26*C823)*VERI_TABANI!$B$7 + MAX(0, VERI_TABANI!D26*C823-MAX(0, VERI_TABANI!D26-VERI_TABANI!D26*B823))*VERI_TABANI!$B$8) + IF(ABS(IF(ISNUMBER(SEARCH("Var", D823)), 1, IF(ISNUMBER(SEARCH("Gri", D823)), -1, 0)))=1, VERI_TABANI!E26*(1-0.928)*VERI_TABANI!$B$9, 0) + (VERI_TABANI!D26*B823*(VERI_TABANI!$B$13-VERI_TABANI!$B$14)*VERI_TABANI!G26) + (VERI_TABANI!D26*C823*(VERI_TABANI!$B$13-VERI_TABANI!$B$15)*VERI_TABANI!G26) + IF(ABS(IF(ISNUMBER(SEARCH("Var", D823)), 1, IF(ISNUMBER(SEARCH("Gri", D823)), -1, 0)))=1, VERI_TABANI!E26*(1-0.928)*0.00206091519919798*VERI_TABANI!G26, 0)) + ((MIN(VERI_TABANI!D27, VERI_TABANI!D27*B823)*VERI_TABANI!$B$7 + MAX(0, VERI_TABANI!D27*B823-VERI_TABANI!D27)*VERI_TABANI!$B$8) + (MIN(MAX(0, VERI_TABANI!D27-VERI_TABANI!D27*B823), VERI_TABANI!D27*C823)*VERI_TABANI!$B$7 + MAX(0, VERI_TABANI!D27*C823-MAX(0, VERI_TABANI!D27-VERI_TABANI!D27*B823))*VERI_TABANI!$B$8) + IF(ABS(IF(ISNUMBER(SEARCH("Var", D823)), 1, IF(ISNUMBER(SEARCH("Gri", D823)), -1, 0)))=1, VERI_TABANI!E27*(1-0.928)*VERI_TABANI!$B$9, 0) + (VERI_TABANI!D27*B823*(VERI_TABANI!$B$13-VERI_TABANI!$B$14)*VERI_TABANI!G27) + (VERI_TABANI!D27*C823*(VERI_TABANI!$B$13-VERI_TABANI!$B$15)*VERI_TABANI!G27) + IF(ABS(IF(ISNUMBER(SEARCH("Var", D823)), 1, IF(ISNUMBER(SEARCH("Gri", D823)), -1, 0)))=1, VERI_TABANI!E27*(1-0.928)*0.00206091519919798*VERI_TABANI!G27, 0)) + ((MIN(VERI_TABANI!D28, VERI_TABANI!D28*B823)*VERI_TABANI!$B$7 + MAX(0, VERI_TABANI!D28*B823-VERI_TABANI!D28)*VERI_TABANI!$B$8) + (MIN(MAX(0, VERI_TABANI!D28-VERI_TABANI!D28*B823), VERI_TABANI!D28*C823)*VERI_TABANI!$B$7 + MAX(0, VERI_TABANI!D28*C823-MAX(0, VERI_TABANI!D28-VERI_TABANI!D28*B823))*VERI_TABANI!$B$8) + IF(ABS(IF(ISNUMBER(SEARCH("Var", D823)), 1, IF(ISNUMBER(SEARCH("Gri", D823)), -1, 0)))=1, VERI_TABANI!E28*(1-0.928)*VERI_TABANI!$B$9, 0) + (VERI_TABANI!D28*B823*(VERI_TABANI!$B$13-VERI_TABANI!$B$14)*VERI_TABANI!G28) + (VERI_TABANI!D28*C823*(VERI_TABANI!$B$13-VERI_TABANI!$B$15)*VERI_TABANI!G28) + IF(ABS(IF(ISNUMBER(SEARCH("Var", D823)), 1, IF(ISNUMBER(SEARCH("Gri", D823)), -1, 0)))=1, VERI_TABANI!E28*(1-0.928)*0.00206091519919798*VERI_TABANI!G28, 0)))</f>
        <v/>
      </c>
      <c r="H823" s="169">
        <f>(((VERI_TABANI!D23*B823*(VERI_TABANI!$B$13-VERI_TABANI!$B$14)) + (VERI_TABANI!D23*C823*(VERI_TABANI!$B$13-VERI_TABANI!$B$15)) + IF(ISNUMBER(SEARCH("Var", D823)), VERI_TABANI!F23*(0.00202-VERI_TABANI!$B$16), IF(ISNUMBER(SEARCH("Gri", D823)), VERI_TABANI!F23*(0.00202-VERI_TABANI!$B$17), 0))) + ((VERI_TABANI!D24*B823*(VERI_TABANI!$B$13-VERI_TABANI!$B$14)) + (VERI_TABANI!D24*C823*(VERI_TABANI!$B$13-VERI_TABANI!$B$15)) + IF(ISNUMBER(SEARCH("Var", D823)), VERI_TABANI!F24*(0.00202-VERI_TABANI!$B$16), IF(ISNUMBER(SEARCH("Gri", D823)), VERI_TABANI!F24*(0.00202-VERI_TABANI!$B$17), 0))) + ((VERI_TABANI!D25*B823*(VERI_TABANI!$B$13-VERI_TABANI!$B$14)) + (VERI_TABANI!D25*C823*(VERI_TABANI!$B$13-VERI_TABANI!$B$15)) + IF(ISNUMBER(SEARCH("Var", D823)), VERI_TABANI!F25*(0.00202-VERI_TABANI!$B$16), IF(ISNUMBER(SEARCH("Gri", D823)), VERI_TABANI!F25*(0.00202-VERI_TABANI!$B$17), 0))) + ((VERI_TABANI!D26*B823*(VERI_TABANI!$B$13-VERI_TABANI!$B$14)) + (VERI_TABANI!D26*C823*(VERI_TABANI!$B$13-VERI_TABANI!$B$15)) + IF(ISNUMBER(SEARCH("Var", D823)), VERI_TABANI!F26*(0.00202-VERI_TABANI!$B$16), IF(ISNUMBER(SEARCH("Gri", D823)), VERI_TABANI!F26*(0.00202-VERI_TABANI!$B$17), 0))) + ((VERI_TABANI!D27*B823*(VERI_TABANI!$B$13-VERI_TABANI!$B$14)) + (VERI_TABANI!D27*C823*(VERI_TABANI!$B$13-VERI_TABANI!$B$15)) + IF(ISNUMBER(SEARCH("Var", D823)), VERI_TABANI!F27*(0.00202-VERI_TABANI!$B$16), IF(ISNUMBER(SEARCH("Gri", D823)), VERI_TABANI!F27*(0.00202-VERI_TABANI!$B$17), 0))) + ((VERI_TABANI!D28*B823*(VERI_TABANI!$B$13-VERI_TABANI!$B$14)) + (VERI_TABANI!D28*C823*(VERI_TABANI!$B$13-VERI_TABANI!$B$15)) + IF(ISNUMBER(SEARCH("Var", D823)), VERI_TABANI!F28*(0.00202-VERI_TABANI!$B$16), IF(ISNUMBER(SEARCH("Gri", D823)), VERI_TABANI!F28*(0.00202-VERI_TABANI!$B$17), 0))))</f>
        <v/>
      </c>
      <c r="I823" s="170">
        <f>IFERROR(((VERI_TABANI!$D$29*B823*VERI_TABANI!$B$14 + VERI_TABANI!$D$29*C823*VERI_TABANI!$B$15 + IF(ISNUMBER(SEARCH("Var", D823)), VERI_TABANI!$F$29*VERI_TABANI!$B$16, 0))) / (((VERI_TABANI!$D$29*B823 + VERI_TABANI!$D$29*C823)*VERI_TABANI!$B$13 + IF(ISNUMBER(SEARCH("Var", D823)), VERI_TABANI!$E$29*(1-0.928)*VERI_TABANI!$B$18, 0))), 0)</f>
        <v/>
      </c>
      <c r="J823" s="171">
        <f>IFERROR(F823/(G823/29), 0)</f>
        <v/>
      </c>
      <c r="K823" s="172">
        <f>IF(F823&gt;0, H823/F823, 0)</f>
        <v/>
      </c>
      <c r="L823" s="170">
        <f>IF(F823&gt;0, I823, 1000000000)</f>
        <v/>
      </c>
      <c r="M823" s="171">
        <f>ABS((B823+C823)-1)</f>
        <v/>
      </c>
      <c r="N823" s="170">
        <f>IF(F823&gt;0, (G823/29)/F823, 0)</f>
        <v/>
      </c>
      <c r="O823" s="168">
        <f>IF(AND((B823+C823)&gt;=1, ISNUMBER(SEARCH("Var", D823))), F823, 1000000000)</f>
        <v/>
      </c>
      <c r="P823" s="172">
        <f>IF(F823&gt;0, SQRT((F823/MAX(F$5:F$886))^2 + (1 - H823/MAX(H$5:H$886))^2 + (J823/MAX(J$5:J$886))^2), 1000000000)</f>
        <v/>
      </c>
      <c r="Q823" s="166">
        <f>IF(AND(ABS(B823-0.5)&lt;0.01, ABS(C823-0.5)&lt;0.01, ISNUMBER(SEARCH("Var", D823))), 1, 0)</f>
        <v/>
      </c>
      <c r="R823" s="171">
        <f>IF(F823&gt;0, J823, 1000000000)</f>
        <v/>
      </c>
      <c r="S823" s="101">
        <f>IF(AND(F823&lt;=DASHBOARD!$B$11, H823&gt;=DASHBOARD!$B$13), G823, -1000000000000)</f>
        <v/>
      </c>
      <c r="T823" s="101">
        <f>IF(AND(F823&lt;=DASHBOARD!$B$11, H823&gt;=DASHBOARD!$B$13), R823, 1000000000000)</f>
        <v/>
      </c>
      <c r="U823" s="101">
        <f>IF(AND(F823&lt;=DASHBOARD!$B$11, H823&gt;=DASHBOARD!$B$13), N823, -1000000000000)</f>
        <v/>
      </c>
      <c r="V823" s="101">
        <f>IF(AND(F823&lt;=DASHBOARD!$B$11, H823&gt;=DASHBOARD!$B$13), H823, -1000000000000)</f>
        <v/>
      </c>
      <c r="W823" s="101">
        <f>IF(AND(F823&lt;=DASHBOARD!$B$11, H823&gt;=DASHBOARD!$B$13), K823, -1000000000000)</f>
        <v/>
      </c>
      <c r="X823" s="101">
        <f>IF(AND(F823&lt;=DASHBOARD!$B$11, H823&gt;=DASHBOARD!$B$13), M823, 1000000000000)</f>
        <v/>
      </c>
      <c r="Y823" s="101">
        <f>IF(AND(F823&lt;=DASHBOARD!$B$10, H823&gt;=DASHBOARD!$B$11), L823, 1000000000000)</f>
        <v/>
      </c>
      <c r="Z823" s="101">
        <f>IF(AND(F823&lt;=DASHBOARD!$B$10, H823&gt;=DASHBOARD!$B$11), O823, 1000000000000)</f>
        <v/>
      </c>
      <c r="AA823" s="101">
        <f>IF(AND(F823&lt;=DASHBOARD!$B$10, H823&gt;=DASHBOARD!$B$11), P823, 1000000000000)</f>
        <v/>
      </c>
      <c r="AB823" s="101">
        <f>IF(AND(F823&lt;=DASHBOARD!$B$10, H823&gt;=DASHBOARD!$B$11), Q823, -1000000000000)</f>
        <v/>
      </c>
    </row>
    <row r="824" ht="15" customHeight="1" s="102">
      <c r="A824" s="166" t="n">
        <v>820</v>
      </c>
      <c r="B824" s="167" t="n">
        <v>1.9</v>
      </c>
      <c r="C824" s="167" t="n">
        <v>1</v>
      </c>
      <c r="D824" s="110" t="inlineStr">
        <is>
          <t>Var (%20)</t>
        </is>
      </c>
      <c r="E824" s="110">
        <f>IF((B824+C824)&lt;=1, "Tam Mahsuplaşma (≤%100)", "Kısmi Satış (&gt;%100)")</f>
        <v/>
      </c>
      <c r="F824" s="168">
        <f>((VERI_TABANI!$D$29*B824/VERI_TABANI!$B$29)/VERI_TABANI!$B$3)*VERI_TABANI!$B$5 + ((VERI_TABANI!$D$29*C824/VERI_TABANI!$B$29)/VERI_TABANI!$B$4)*VERI_TABANI!$B$6 + IF(ISNUMBER(SEARCH("Var", D824)), (VERI_TABANI!$F$29/VERI_TABANI!$B$29)*(VERI_TABANI!$B$10+VERI_TABANI!$B$12), 0)</f>
        <v/>
      </c>
      <c r="G824" s="168">
        <f>(((MIN(VERI_TABANI!D23, VERI_TABANI!D23*B824)*VERI_TABANI!$B$7 + MAX(0, VERI_TABANI!D23*B824-VERI_TABANI!D23)*VERI_TABANI!$B$8) + (MIN(MAX(0, VERI_TABANI!D23-VERI_TABANI!D23*B824), VERI_TABANI!D23*C824)*VERI_TABANI!$B$7 + MAX(0, VERI_TABANI!D23*C824-MAX(0, VERI_TABANI!D23-VERI_TABANI!D23*B824))*VERI_TABANI!$B$8) + IF(ABS(IF(ISNUMBER(SEARCH("Var", D824)), 1, IF(ISNUMBER(SEARCH("Gri", D824)), -1, 0)))=1, VERI_TABANI!E23*(1-0.928)*VERI_TABANI!$B$9, 0) + (VERI_TABANI!D23*B824*(VERI_TABANI!$B$13-VERI_TABANI!$B$14)*VERI_TABANI!G23) + (VERI_TABANI!D23*C824*(VERI_TABANI!$B$13-VERI_TABANI!$B$15)*VERI_TABANI!G23) + IF(ABS(IF(ISNUMBER(SEARCH("Var", D824)), 1, IF(ISNUMBER(SEARCH("Gri", D824)), -1, 0)))=1, VERI_TABANI!E23*(1-0.928)*0.00206091519919798*VERI_TABANI!G23, 0)) + ((MIN(VERI_TABANI!D24, VERI_TABANI!D24*B824)*VERI_TABANI!$B$7 + MAX(0, VERI_TABANI!D24*B824-VERI_TABANI!D24)*VERI_TABANI!$B$8) + (MIN(MAX(0, VERI_TABANI!D24-VERI_TABANI!D24*B824), VERI_TABANI!D24*C824)*VERI_TABANI!$B$7 + MAX(0, VERI_TABANI!D24*C824-MAX(0, VERI_TABANI!D24-VERI_TABANI!D24*B824))*VERI_TABANI!$B$8) + IF(ABS(IF(ISNUMBER(SEARCH("Var", D824)), 1, IF(ISNUMBER(SEARCH("Gri", D824)), -1, 0)))=1, VERI_TABANI!E24*(1-0.928)*VERI_TABANI!$B$9, 0) + (VERI_TABANI!D24*B824*(VERI_TABANI!$B$13-VERI_TABANI!$B$14)*VERI_TABANI!G24) + (VERI_TABANI!D24*C824*(VERI_TABANI!$B$13-VERI_TABANI!$B$15)*VERI_TABANI!G24) + IF(ABS(IF(ISNUMBER(SEARCH("Var", D824)), 1, IF(ISNUMBER(SEARCH("Gri", D824)), -1, 0)))=1, VERI_TABANI!E24*(1-0.928)*0.00206091519919798*VERI_TABANI!G24, 0)) + ((MIN(VERI_TABANI!D25, VERI_TABANI!D25*B824)*VERI_TABANI!$B$7 + MAX(0, VERI_TABANI!D25*B824-VERI_TABANI!D25)*VERI_TABANI!$B$8) + (MIN(MAX(0, VERI_TABANI!D25-VERI_TABANI!D25*B824), VERI_TABANI!D25*C824)*VERI_TABANI!$B$7 + MAX(0, VERI_TABANI!D25*C824-MAX(0, VERI_TABANI!D25-VERI_TABANI!D25*B824))*VERI_TABANI!$B$8) + IF(ABS(IF(ISNUMBER(SEARCH("Var", D824)), 1, IF(ISNUMBER(SEARCH("Gri", D824)), -1, 0)))=1, VERI_TABANI!E25*(1-0.928)*VERI_TABANI!$B$9, 0) + (VERI_TABANI!D25*B824*(VERI_TABANI!$B$13-VERI_TABANI!$B$14)*VERI_TABANI!G25) + (VERI_TABANI!D25*C824*(VERI_TABANI!$B$13-VERI_TABANI!$B$15)*VERI_TABANI!G25) + IF(ABS(IF(ISNUMBER(SEARCH("Var", D824)), 1, IF(ISNUMBER(SEARCH("Gri", D824)), -1, 0)))=1, VERI_TABANI!E25*(1-0.928)*0.00206091519919798*VERI_TABANI!G25, 0)) + ((MIN(VERI_TABANI!D26, VERI_TABANI!D26*B824)*VERI_TABANI!$B$7 + MAX(0, VERI_TABANI!D26*B824-VERI_TABANI!D26)*VERI_TABANI!$B$8) + (MIN(MAX(0, VERI_TABANI!D26-VERI_TABANI!D26*B824), VERI_TABANI!D26*C824)*VERI_TABANI!$B$7 + MAX(0, VERI_TABANI!D26*C824-MAX(0, VERI_TABANI!D26-VERI_TABANI!D26*B824))*VERI_TABANI!$B$8) + IF(ABS(IF(ISNUMBER(SEARCH("Var", D824)), 1, IF(ISNUMBER(SEARCH("Gri", D824)), -1, 0)))=1, VERI_TABANI!E26*(1-0.928)*VERI_TABANI!$B$9, 0) + (VERI_TABANI!D26*B824*(VERI_TABANI!$B$13-VERI_TABANI!$B$14)*VERI_TABANI!G26) + (VERI_TABANI!D26*C824*(VERI_TABANI!$B$13-VERI_TABANI!$B$15)*VERI_TABANI!G26) + IF(ABS(IF(ISNUMBER(SEARCH("Var", D824)), 1, IF(ISNUMBER(SEARCH("Gri", D824)), -1, 0)))=1, VERI_TABANI!E26*(1-0.928)*0.00206091519919798*VERI_TABANI!G26, 0)) + ((MIN(VERI_TABANI!D27, VERI_TABANI!D27*B824)*VERI_TABANI!$B$7 + MAX(0, VERI_TABANI!D27*B824-VERI_TABANI!D27)*VERI_TABANI!$B$8) + (MIN(MAX(0, VERI_TABANI!D27-VERI_TABANI!D27*B824), VERI_TABANI!D27*C824)*VERI_TABANI!$B$7 + MAX(0, VERI_TABANI!D27*C824-MAX(0, VERI_TABANI!D27-VERI_TABANI!D27*B824))*VERI_TABANI!$B$8) + IF(ABS(IF(ISNUMBER(SEARCH("Var", D824)), 1, IF(ISNUMBER(SEARCH("Gri", D824)), -1, 0)))=1, VERI_TABANI!E27*(1-0.928)*VERI_TABANI!$B$9, 0) + (VERI_TABANI!D27*B824*(VERI_TABANI!$B$13-VERI_TABANI!$B$14)*VERI_TABANI!G27) + (VERI_TABANI!D27*C824*(VERI_TABANI!$B$13-VERI_TABANI!$B$15)*VERI_TABANI!G27) + IF(ABS(IF(ISNUMBER(SEARCH("Var", D824)), 1, IF(ISNUMBER(SEARCH("Gri", D824)), -1, 0)))=1, VERI_TABANI!E27*(1-0.928)*0.00206091519919798*VERI_TABANI!G27, 0)) + ((MIN(VERI_TABANI!D28, VERI_TABANI!D28*B824)*VERI_TABANI!$B$7 + MAX(0, VERI_TABANI!D28*B824-VERI_TABANI!D28)*VERI_TABANI!$B$8) + (MIN(MAX(0, VERI_TABANI!D28-VERI_TABANI!D28*B824), VERI_TABANI!D28*C824)*VERI_TABANI!$B$7 + MAX(0, VERI_TABANI!D28*C824-MAX(0, VERI_TABANI!D28-VERI_TABANI!D28*B824))*VERI_TABANI!$B$8) + IF(ABS(IF(ISNUMBER(SEARCH("Var", D824)), 1, IF(ISNUMBER(SEARCH("Gri", D824)), -1, 0)))=1, VERI_TABANI!E28*(1-0.928)*VERI_TABANI!$B$9, 0) + (VERI_TABANI!D28*B824*(VERI_TABANI!$B$13-VERI_TABANI!$B$14)*VERI_TABANI!G28) + (VERI_TABANI!D28*C824*(VERI_TABANI!$B$13-VERI_TABANI!$B$15)*VERI_TABANI!G28) + IF(ABS(IF(ISNUMBER(SEARCH("Var", D824)), 1, IF(ISNUMBER(SEARCH("Gri", D824)), -1, 0)))=1, VERI_TABANI!E28*(1-0.928)*0.00206091519919798*VERI_TABANI!G28, 0)))</f>
        <v/>
      </c>
      <c r="H824" s="169">
        <f>(((VERI_TABANI!D23*B824*(VERI_TABANI!$B$13-VERI_TABANI!$B$14)) + (VERI_TABANI!D23*C824*(VERI_TABANI!$B$13-VERI_TABANI!$B$15)) + IF(ISNUMBER(SEARCH("Var", D824)), VERI_TABANI!F23*(0.00202-VERI_TABANI!$B$16), IF(ISNUMBER(SEARCH("Gri", D824)), VERI_TABANI!F23*(0.00202-VERI_TABANI!$B$17), 0))) + ((VERI_TABANI!D24*B824*(VERI_TABANI!$B$13-VERI_TABANI!$B$14)) + (VERI_TABANI!D24*C824*(VERI_TABANI!$B$13-VERI_TABANI!$B$15)) + IF(ISNUMBER(SEARCH("Var", D824)), VERI_TABANI!F24*(0.00202-VERI_TABANI!$B$16), IF(ISNUMBER(SEARCH("Gri", D824)), VERI_TABANI!F24*(0.00202-VERI_TABANI!$B$17), 0))) + ((VERI_TABANI!D25*B824*(VERI_TABANI!$B$13-VERI_TABANI!$B$14)) + (VERI_TABANI!D25*C824*(VERI_TABANI!$B$13-VERI_TABANI!$B$15)) + IF(ISNUMBER(SEARCH("Var", D824)), VERI_TABANI!F25*(0.00202-VERI_TABANI!$B$16), IF(ISNUMBER(SEARCH("Gri", D824)), VERI_TABANI!F25*(0.00202-VERI_TABANI!$B$17), 0))) + ((VERI_TABANI!D26*B824*(VERI_TABANI!$B$13-VERI_TABANI!$B$14)) + (VERI_TABANI!D26*C824*(VERI_TABANI!$B$13-VERI_TABANI!$B$15)) + IF(ISNUMBER(SEARCH("Var", D824)), VERI_TABANI!F26*(0.00202-VERI_TABANI!$B$16), IF(ISNUMBER(SEARCH("Gri", D824)), VERI_TABANI!F26*(0.00202-VERI_TABANI!$B$17), 0))) + ((VERI_TABANI!D27*B824*(VERI_TABANI!$B$13-VERI_TABANI!$B$14)) + (VERI_TABANI!D27*C824*(VERI_TABANI!$B$13-VERI_TABANI!$B$15)) + IF(ISNUMBER(SEARCH("Var", D824)), VERI_TABANI!F27*(0.00202-VERI_TABANI!$B$16), IF(ISNUMBER(SEARCH("Gri", D824)), VERI_TABANI!F27*(0.00202-VERI_TABANI!$B$17), 0))) + ((VERI_TABANI!D28*B824*(VERI_TABANI!$B$13-VERI_TABANI!$B$14)) + (VERI_TABANI!D28*C824*(VERI_TABANI!$B$13-VERI_TABANI!$B$15)) + IF(ISNUMBER(SEARCH("Var", D824)), VERI_TABANI!F28*(0.00202-VERI_TABANI!$B$16), IF(ISNUMBER(SEARCH("Gri", D824)), VERI_TABANI!F28*(0.00202-VERI_TABANI!$B$17), 0))))</f>
        <v/>
      </c>
      <c r="I824" s="170">
        <f>IFERROR(((VERI_TABANI!$D$29*B824*VERI_TABANI!$B$14 + VERI_TABANI!$D$29*C824*VERI_TABANI!$B$15 + IF(ISNUMBER(SEARCH("Var", D824)), VERI_TABANI!$F$29*VERI_TABANI!$B$16, 0))) / (((VERI_TABANI!$D$29*B824 + VERI_TABANI!$D$29*C824)*VERI_TABANI!$B$13 + IF(ISNUMBER(SEARCH("Var", D824)), VERI_TABANI!$E$29*(1-0.928)*VERI_TABANI!$B$18, 0))), 0)</f>
        <v/>
      </c>
      <c r="J824" s="171">
        <f>IFERROR(F824/(G824/29), 0)</f>
        <v/>
      </c>
      <c r="K824" s="172">
        <f>IF(F824&gt;0, H824/F824, 0)</f>
        <v/>
      </c>
      <c r="L824" s="170">
        <f>IF(F824&gt;0, I824, 1000000000)</f>
        <v/>
      </c>
      <c r="M824" s="171">
        <f>ABS((B824+C824)-1)</f>
        <v/>
      </c>
      <c r="N824" s="170">
        <f>IF(F824&gt;0, (G824/29)/F824, 0)</f>
        <v/>
      </c>
      <c r="O824" s="168">
        <f>IF(AND((B824+C824)&gt;=1, ISNUMBER(SEARCH("Var", D824))), F824, 1000000000)</f>
        <v/>
      </c>
      <c r="P824" s="172">
        <f>IF(F824&gt;0, SQRT((F824/MAX(F$5:F$886))^2 + (1 - H824/MAX(H$5:H$886))^2 + (J824/MAX(J$5:J$886))^2), 1000000000)</f>
        <v/>
      </c>
      <c r="Q824" s="166">
        <f>IF(AND(ABS(B824-0.5)&lt;0.01, ABS(C824-0.5)&lt;0.01, ISNUMBER(SEARCH("Var", D824))), 1, 0)</f>
        <v/>
      </c>
      <c r="R824" s="171">
        <f>IF(F824&gt;0, J824, 1000000000)</f>
        <v/>
      </c>
      <c r="S824" s="101">
        <f>IF(AND(F824&lt;=DASHBOARD!$B$11, H824&gt;=DASHBOARD!$B$13), G824, -1000000000000)</f>
        <v/>
      </c>
      <c r="T824" s="101">
        <f>IF(AND(F824&lt;=DASHBOARD!$B$11, H824&gt;=DASHBOARD!$B$13), R824, 1000000000000)</f>
        <v/>
      </c>
      <c r="U824" s="101">
        <f>IF(AND(F824&lt;=DASHBOARD!$B$11, H824&gt;=DASHBOARD!$B$13), N824, -1000000000000)</f>
        <v/>
      </c>
      <c r="V824" s="101">
        <f>IF(AND(F824&lt;=DASHBOARD!$B$11, H824&gt;=DASHBOARD!$B$13), H824, -1000000000000)</f>
        <v/>
      </c>
      <c r="W824" s="101">
        <f>IF(AND(F824&lt;=DASHBOARD!$B$11, H824&gt;=DASHBOARD!$B$13), K824, -1000000000000)</f>
        <v/>
      </c>
      <c r="X824" s="101">
        <f>IF(AND(F824&lt;=DASHBOARD!$B$11, H824&gt;=DASHBOARD!$B$13), M824, 1000000000000)</f>
        <v/>
      </c>
      <c r="Y824" s="101">
        <f>IF(AND(F824&lt;=DASHBOARD!$B$10, H824&gt;=DASHBOARD!$B$11), L824, 1000000000000)</f>
        <v/>
      </c>
      <c r="Z824" s="101">
        <f>IF(AND(F824&lt;=DASHBOARD!$B$10, H824&gt;=DASHBOARD!$B$11), O824, 1000000000000)</f>
        <v/>
      </c>
      <c r="AA824" s="101">
        <f>IF(AND(F824&lt;=DASHBOARD!$B$10, H824&gt;=DASHBOARD!$B$11), P824, 1000000000000)</f>
        <v/>
      </c>
      <c r="AB824" s="101">
        <f>IF(AND(F824&lt;=DASHBOARD!$B$10, H824&gt;=DASHBOARD!$B$11), Q824, -1000000000000)</f>
        <v/>
      </c>
    </row>
    <row r="825" ht="15" customHeight="1" s="102">
      <c r="A825" s="166" t="n">
        <v>821</v>
      </c>
      <c r="B825" s="167" t="n">
        <v>1.9</v>
      </c>
      <c r="C825" s="167" t="n">
        <v>1.1</v>
      </c>
      <c r="D825" s="110" t="inlineStr">
        <is>
          <t>Yok (%0)</t>
        </is>
      </c>
      <c r="E825" s="110">
        <f>IF((B825+C825)&lt;=1, "Tam Mahsuplaşma (≤%100)", "Kısmi Satış (&gt;%100)")</f>
        <v/>
      </c>
      <c r="F825" s="168">
        <f>((VERI_TABANI!$D$29*B825/VERI_TABANI!$B$29)/VERI_TABANI!$B$3)*VERI_TABANI!$B$5 + ((VERI_TABANI!$D$29*C825/VERI_TABANI!$B$29)/VERI_TABANI!$B$4)*VERI_TABANI!$B$6 + IF(ISNUMBER(SEARCH("Var", D825)), (VERI_TABANI!$F$29/VERI_TABANI!$B$29)*(VERI_TABANI!$B$10+VERI_TABANI!$B$12), 0)</f>
        <v/>
      </c>
      <c r="G825" s="168">
        <f>(((MIN(VERI_TABANI!D23, VERI_TABANI!D23*B825)*VERI_TABANI!$B$7 + MAX(0, VERI_TABANI!D23*B825-VERI_TABANI!D23)*VERI_TABANI!$B$8) + (MIN(MAX(0, VERI_TABANI!D23-VERI_TABANI!D23*B825), VERI_TABANI!D23*C825)*VERI_TABANI!$B$7 + MAX(0, VERI_TABANI!D23*C825-MAX(0, VERI_TABANI!D23-VERI_TABANI!D23*B825))*VERI_TABANI!$B$8) + IF(ABS(IF(ISNUMBER(SEARCH("Var", D825)), 1, IF(ISNUMBER(SEARCH("Gri", D825)), -1, 0)))=1, VERI_TABANI!E23*(1-0.928)*VERI_TABANI!$B$9, 0) + (VERI_TABANI!D23*B825*(VERI_TABANI!$B$13-VERI_TABANI!$B$14)*VERI_TABANI!G23) + (VERI_TABANI!D23*C825*(VERI_TABANI!$B$13-VERI_TABANI!$B$15)*VERI_TABANI!G23) + IF(ABS(IF(ISNUMBER(SEARCH("Var", D825)), 1, IF(ISNUMBER(SEARCH("Gri", D825)), -1, 0)))=1, VERI_TABANI!E23*(1-0.928)*0.00206091519919798*VERI_TABANI!G23, 0)) + ((MIN(VERI_TABANI!D24, VERI_TABANI!D24*B825)*VERI_TABANI!$B$7 + MAX(0, VERI_TABANI!D24*B825-VERI_TABANI!D24)*VERI_TABANI!$B$8) + (MIN(MAX(0, VERI_TABANI!D24-VERI_TABANI!D24*B825), VERI_TABANI!D24*C825)*VERI_TABANI!$B$7 + MAX(0, VERI_TABANI!D24*C825-MAX(0, VERI_TABANI!D24-VERI_TABANI!D24*B825))*VERI_TABANI!$B$8) + IF(ABS(IF(ISNUMBER(SEARCH("Var", D825)), 1, IF(ISNUMBER(SEARCH("Gri", D825)), -1, 0)))=1, VERI_TABANI!E24*(1-0.928)*VERI_TABANI!$B$9, 0) + (VERI_TABANI!D24*B825*(VERI_TABANI!$B$13-VERI_TABANI!$B$14)*VERI_TABANI!G24) + (VERI_TABANI!D24*C825*(VERI_TABANI!$B$13-VERI_TABANI!$B$15)*VERI_TABANI!G24) + IF(ABS(IF(ISNUMBER(SEARCH("Var", D825)), 1, IF(ISNUMBER(SEARCH("Gri", D825)), -1, 0)))=1, VERI_TABANI!E24*(1-0.928)*0.00206091519919798*VERI_TABANI!G24, 0)) + ((MIN(VERI_TABANI!D25, VERI_TABANI!D25*B825)*VERI_TABANI!$B$7 + MAX(0, VERI_TABANI!D25*B825-VERI_TABANI!D25)*VERI_TABANI!$B$8) + (MIN(MAX(0, VERI_TABANI!D25-VERI_TABANI!D25*B825), VERI_TABANI!D25*C825)*VERI_TABANI!$B$7 + MAX(0, VERI_TABANI!D25*C825-MAX(0, VERI_TABANI!D25-VERI_TABANI!D25*B825))*VERI_TABANI!$B$8) + IF(ABS(IF(ISNUMBER(SEARCH("Var", D825)), 1, IF(ISNUMBER(SEARCH("Gri", D825)), -1, 0)))=1, VERI_TABANI!E25*(1-0.928)*VERI_TABANI!$B$9, 0) + (VERI_TABANI!D25*B825*(VERI_TABANI!$B$13-VERI_TABANI!$B$14)*VERI_TABANI!G25) + (VERI_TABANI!D25*C825*(VERI_TABANI!$B$13-VERI_TABANI!$B$15)*VERI_TABANI!G25) + IF(ABS(IF(ISNUMBER(SEARCH("Var", D825)), 1, IF(ISNUMBER(SEARCH("Gri", D825)), -1, 0)))=1, VERI_TABANI!E25*(1-0.928)*0.00206091519919798*VERI_TABANI!G25, 0)) + ((MIN(VERI_TABANI!D26, VERI_TABANI!D26*B825)*VERI_TABANI!$B$7 + MAX(0, VERI_TABANI!D26*B825-VERI_TABANI!D26)*VERI_TABANI!$B$8) + (MIN(MAX(0, VERI_TABANI!D26-VERI_TABANI!D26*B825), VERI_TABANI!D26*C825)*VERI_TABANI!$B$7 + MAX(0, VERI_TABANI!D26*C825-MAX(0, VERI_TABANI!D26-VERI_TABANI!D26*B825))*VERI_TABANI!$B$8) + IF(ABS(IF(ISNUMBER(SEARCH("Var", D825)), 1, IF(ISNUMBER(SEARCH("Gri", D825)), -1, 0)))=1, VERI_TABANI!E26*(1-0.928)*VERI_TABANI!$B$9, 0) + (VERI_TABANI!D26*B825*(VERI_TABANI!$B$13-VERI_TABANI!$B$14)*VERI_TABANI!G26) + (VERI_TABANI!D26*C825*(VERI_TABANI!$B$13-VERI_TABANI!$B$15)*VERI_TABANI!G26) + IF(ABS(IF(ISNUMBER(SEARCH("Var", D825)), 1, IF(ISNUMBER(SEARCH("Gri", D825)), -1, 0)))=1, VERI_TABANI!E26*(1-0.928)*0.00206091519919798*VERI_TABANI!G26, 0)) + ((MIN(VERI_TABANI!D27, VERI_TABANI!D27*B825)*VERI_TABANI!$B$7 + MAX(0, VERI_TABANI!D27*B825-VERI_TABANI!D27)*VERI_TABANI!$B$8) + (MIN(MAX(0, VERI_TABANI!D27-VERI_TABANI!D27*B825), VERI_TABANI!D27*C825)*VERI_TABANI!$B$7 + MAX(0, VERI_TABANI!D27*C825-MAX(0, VERI_TABANI!D27-VERI_TABANI!D27*B825))*VERI_TABANI!$B$8) + IF(ABS(IF(ISNUMBER(SEARCH("Var", D825)), 1, IF(ISNUMBER(SEARCH("Gri", D825)), -1, 0)))=1, VERI_TABANI!E27*(1-0.928)*VERI_TABANI!$B$9, 0) + (VERI_TABANI!D27*B825*(VERI_TABANI!$B$13-VERI_TABANI!$B$14)*VERI_TABANI!G27) + (VERI_TABANI!D27*C825*(VERI_TABANI!$B$13-VERI_TABANI!$B$15)*VERI_TABANI!G27) + IF(ABS(IF(ISNUMBER(SEARCH("Var", D825)), 1, IF(ISNUMBER(SEARCH("Gri", D825)), -1, 0)))=1, VERI_TABANI!E27*(1-0.928)*0.00206091519919798*VERI_TABANI!G27, 0)) + ((MIN(VERI_TABANI!D28, VERI_TABANI!D28*B825)*VERI_TABANI!$B$7 + MAX(0, VERI_TABANI!D28*B825-VERI_TABANI!D28)*VERI_TABANI!$B$8) + (MIN(MAX(0, VERI_TABANI!D28-VERI_TABANI!D28*B825), VERI_TABANI!D28*C825)*VERI_TABANI!$B$7 + MAX(0, VERI_TABANI!D28*C825-MAX(0, VERI_TABANI!D28-VERI_TABANI!D28*B825))*VERI_TABANI!$B$8) + IF(ABS(IF(ISNUMBER(SEARCH("Var", D825)), 1, IF(ISNUMBER(SEARCH("Gri", D825)), -1, 0)))=1, VERI_TABANI!E28*(1-0.928)*VERI_TABANI!$B$9, 0) + (VERI_TABANI!D28*B825*(VERI_TABANI!$B$13-VERI_TABANI!$B$14)*VERI_TABANI!G28) + (VERI_TABANI!D28*C825*(VERI_TABANI!$B$13-VERI_TABANI!$B$15)*VERI_TABANI!G28) + IF(ABS(IF(ISNUMBER(SEARCH("Var", D825)), 1, IF(ISNUMBER(SEARCH("Gri", D825)), -1, 0)))=1, VERI_TABANI!E28*(1-0.928)*0.00206091519919798*VERI_TABANI!G28, 0)))</f>
        <v/>
      </c>
      <c r="H825" s="169">
        <f>(((VERI_TABANI!D23*B825*(VERI_TABANI!$B$13-VERI_TABANI!$B$14)) + (VERI_TABANI!D23*C825*(VERI_TABANI!$B$13-VERI_TABANI!$B$15)) + IF(ISNUMBER(SEARCH("Var", D825)), VERI_TABANI!F23*(0.00202-VERI_TABANI!$B$16), IF(ISNUMBER(SEARCH("Gri", D825)), VERI_TABANI!F23*(0.00202-VERI_TABANI!$B$17), 0))) + ((VERI_TABANI!D24*B825*(VERI_TABANI!$B$13-VERI_TABANI!$B$14)) + (VERI_TABANI!D24*C825*(VERI_TABANI!$B$13-VERI_TABANI!$B$15)) + IF(ISNUMBER(SEARCH("Var", D825)), VERI_TABANI!F24*(0.00202-VERI_TABANI!$B$16), IF(ISNUMBER(SEARCH("Gri", D825)), VERI_TABANI!F24*(0.00202-VERI_TABANI!$B$17), 0))) + ((VERI_TABANI!D25*B825*(VERI_TABANI!$B$13-VERI_TABANI!$B$14)) + (VERI_TABANI!D25*C825*(VERI_TABANI!$B$13-VERI_TABANI!$B$15)) + IF(ISNUMBER(SEARCH("Var", D825)), VERI_TABANI!F25*(0.00202-VERI_TABANI!$B$16), IF(ISNUMBER(SEARCH("Gri", D825)), VERI_TABANI!F25*(0.00202-VERI_TABANI!$B$17), 0))) + ((VERI_TABANI!D26*B825*(VERI_TABANI!$B$13-VERI_TABANI!$B$14)) + (VERI_TABANI!D26*C825*(VERI_TABANI!$B$13-VERI_TABANI!$B$15)) + IF(ISNUMBER(SEARCH("Var", D825)), VERI_TABANI!F26*(0.00202-VERI_TABANI!$B$16), IF(ISNUMBER(SEARCH("Gri", D825)), VERI_TABANI!F26*(0.00202-VERI_TABANI!$B$17), 0))) + ((VERI_TABANI!D27*B825*(VERI_TABANI!$B$13-VERI_TABANI!$B$14)) + (VERI_TABANI!D27*C825*(VERI_TABANI!$B$13-VERI_TABANI!$B$15)) + IF(ISNUMBER(SEARCH("Var", D825)), VERI_TABANI!F27*(0.00202-VERI_TABANI!$B$16), IF(ISNUMBER(SEARCH("Gri", D825)), VERI_TABANI!F27*(0.00202-VERI_TABANI!$B$17), 0))) + ((VERI_TABANI!D28*B825*(VERI_TABANI!$B$13-VERI_TABANI!$B$14)) + (VERI_TABANI!D28*C825*(VERI_TABANI!$B$13-VERI_TABANI!$B$15)) + IF(ISNUMBER(SEARCH("Var", D825)), VERI_TABANI!F28*(0.00202-VERI_TABANI!$B$16), IF(ISNUMBER(SEARCH("Gri", D825)), VERI_TABANI!F28*(0.00202-VERI_TABANI!$B$17), 0))))</f>
        <v/>
      </c>
      <c r="I825" s="170">
        <f>IFERROR(((VERI_TABANI!$D$29*B825*VERI_TABANI!$B$14 + VERI_TABANI!$D$29*C825*VERI_TABANI!$B$15 + IF(ISNUMBER(SEARCH("Var", D825)), VERI_TABANI!$F$29*VERI_TABANI!$B$16, 0))) / (((VERI_TABANI!$D$29*B825 + VERI_TABANI!$D$29*C825)*VERI_TABANI!$B$13 + IF(ISNUMBER(SEARCH("Var", D825)), VERI_TABANI!$E$29*(1-0.928)*VERI_TABANI!$B$18, 0))), 0)</f>
        <v/>
      </c>
      <c r="J825" s="171">
        <f>IFERROR(F825/(G825/29), 0)</f>
        <v/>
      </c>
      <c r="K825" s="172">
        <f>IF(F825&gt;0, H825/F825, 0)</f>
        <v/>
      </c>
      <c r="L825" s="170">
        <f>IF(F825&gt;0, I825, 1000000000)</f>
        <v/>
      </c>
      <c r="M825" s="171">
        <f>ABS((B825+C825)-1)</f>
        <v/>
      </c>
      <c r="N825" s="170">
        <f>IF(F825&gt;0, (G825/29)/F825, 0)</f>
        <v/>
      </c>
      <c r="O825" s="168">
        <f>IF(AND((B825+C825)&gt;=1, ISNUMBER(SEARCH("Var", D825))), F825, 1000000000)</f>
        <v/>
      </c>
      <c r="P825" s="172">
        <f>IF(F825&gt;0, SQRT((F825/MAX(F$5:F$886))^2 + (1 - H825/MAX(H$5:H$886))^2 + (J825/MAX(J$5:J$886))^2), 1000000000)</f>
        <v/>
      </c>
      <c r="Q825" s="166">
        <f>IF(AND(ABS(B825-0.5)&lt;0.01, ABS(C825-0.5)&lt;0.01, ISNUMBER(SEARCH("Var", D825))), 1, 0)</f>
        <v/>
      </c>
      <c r="R825" s="171">
        <f>IF(F825&gt;0, J825, 1000000000)</f>
        <v/>
      </c>
      <c r="S825" s="101">
        <f>IF(AND(F825&lt;=DASHBOARD!$B$11, H825&gt;=DASHBOARD!$B$13), G825, -1000000000000)</f>
        <v/>
      </c>
      <c r="T825" s="101">
        <f>IF(AND(F825&lt;=DASHBOARD!$B$11, H825&gt;=DASHBOARD!$B$13), R825, 1000000000000)</f>
        <v/>
      </c>
      <c r="U825" s="101">
        <f>IF(AND(F825&lt;=DASHBOARD!$B$11, H825&gt;=DASHBOARD!$B$13), N825, -1000000000000)</f>
        <v/>
      </c>
      <c r="V825" s="101">
        <f>IF(AND(F825&lt;=DASHBOARD!$B$11, H825&gt;=DASHBOARD!$B$13), H825, -1000000000000)</f>
        <v/>
      </c>
      <c r="W825" s="101">
        <f>IF(AND(F825&lt;=DASHBOARD!$B$11, H825&gt;=DASHBOARD!$B$13), K825, -1000000000000)</f>
        <v/>
      </c>
      <c r="X825" s="101">
        <f>IF(AND(F825&lt;=DASHBOARD!$B$11, H825&gt;=DASHBOARD!$B$13), M825, 1000000000000)</f>
        <v/>
      </c>
      <c r="Y825" s="101">
        <f>IF(AND(F825&lt;=DASHBOARD!$B$10, H825&gt;=DASHBOARD!$B$11), L825, 1000000000000)</f>
        <v/>
      </c>
      <c r="Z825" s="101">
        <f>IF(AND(F825&lt;=DASHBOARD!$B$10, H825&gt;=DASHBOARD!$B$11), O825, 1000000000000)</f>
        <v/>
      </c>
      <c r="AA825" s="101">
        <f>IF(AND(F825&lt;=DASHBOARD!$B$10, H825&gt;=DASHBOARD!$B$11), P825, 1000000000000)</f>
        <v/>
      </c>
      <c r="AB825" s="101">
        <f>IF(AND(F825&lt;=DASHBOARD!$B$10, H825&gt;=DASHBOARD!$B$11), Q825, -1000000000000)</f>
        <v/>
      </c>
    </row>
    <row r="826" ht="15" customHeight="1" s="102">
      <c r="A826" s="166" t="n">
        <v>822</v>
      </c>
      <c r="B826" s="167" t="n">
        <v>1.9</v>
      </c>
      <c r="C826" s="167" t="n">
        <v>1.1</v>
      </c>
      <c r="D826" s="110" t="inlineStr">
        <is>
          <t>Var (%20)</t>
        </is>
      </c>
      <c r="E826" s="110">
        <f>IF((B826+C826)&lt;=1, "Tam Mahsuplaşma (≤%100)", "Kısmi Satış (&gt;%100)")</f>
        <v/>
      </c>
      <c r="F826" s="168">
        <f>((VERI_TABANI!$D$29*B826/VERI_TABANI!$B$29)/VERI_TABANI!$B$3)*VERI_TABANI!$B$5 + ((VERI_TABANI!$D$29*C826/VERI_TABANI!$B$29)/VERI_TABANI!$B$4)*VERI_TABANI!$B$6 + IF(ISNUMBER(SEARCH("Var", D826)), (VERI_TABANI!$F$29/VERI_TABANI!$B$29)*(VERI_TABANI!$B$10+VERI_TABANI!$B$12), 0)</f>
        <v/>
      </c>
      <c r="G826" s="168">
        <f>(((MIN(VERI_TABANI!D23, VERI_TABANI!D23*B826)*VERI_TABANI!$B$7 + MAX(0, VERI_TABANI!D23*B826-VERI_TABANI!D23)*VERI_TABANI!$B$8) + (MIN(MAX(0, VERI_TABANI!D23-VERI_TABANI!D23*B826), VERI_TABANI!D23*C826)*VERI_TABANI!$B$7 + MAX(0, VERI_TABANI!D23*C826-MAX(0, VERI_TABANI!D23-VERI_TABANI!D23*B826))*VERI_TABANI!$B$8) + IF(ABS(IF(ISNUMBER(SEARCH("Var", D826)), 1, IF(ISNUMBER(SEARCH("Gri", D826)), -1, 0)))=1, VERI_TABANI!E23*(1-0.928)*VERI_TABANI!$B$9, 0) + (VERI_TABANI!D23*B826*(VERI_TABANI!$B$13-VERI_TABANI!$B$14)*VERI_TABANI!G23) + (VERI_TABANI!D23*C826*(VERI_TABANI!$B$13-VERI_TABANI!$B$15)*VERI_TABANI!G23) + IF(ABS(IF(ISNUMBER(SEARCH("Var", D826)), 1, IF(ISNUMBER(SEARCH("Gri", D826)), -1, 0)))=1, VERI_TABANI!E23*(1-0.928)*0.00206091519919798*VERI_TABANI!G23, 0)) + ((MIN(VERI_TABANI!D24, VERI_TABANI!D24*B826)*VERI_TABANI!$B$7 + MAX(0, VERI_TABANI!D24*B826-VERI_TABANI!D24)*VERI_TABANI!$B$8) + (MIN(MAX(0, VERI_TABANI!D24-VERI_TABANI!D24*B826), VERI_TABANI!D24*C826)*VERI_TABANI!$B$7 + MAX(0, VERI_TABANI!D24*C826-MAX(0, VERI_TABANI!D24-VERI_TABANI!D24*B826))*VERI_TABANI!$B$8) + IF(ABS(IF(ISNUMBER(SEARCH("Var", D826)), 1, IF(ISNUMBER(SEARCH("Gri", D826)), -1, 0)))=1, VERI_TABANI!E24*(1-0.928)*VERI_TABANI!$B$9, 0) + (VERI_TABANI!D24*B826*(VERI_TABANI!$B$13-VERI_TABANI!$B$14)*VERI_TABANI!G24) + (VERI_TABANI!D24*C826*(VERI_TABANI!$B$13-VERI_TABANI!$B$15)*VERI_TABANI!G24) + IF(ABS(IF(ISNUMBER(SEARCH("Var", D826)), 1, IF(ISNUMBER(SEARCH("Gri", D826)), -1, 0)))=1, VERI_TABANI!E24*(1-0.928)*0.00206091519919798*VERI_TABANI!G24, 0)) + ((MIN(VERI_TABANI!D25, VERI_TABANI!D25*B826)*VERI_TABANI!$B$7 + MAX(0, VERI_TABANI!D25*B826-VERI_TABANI!D25)*VERI_TABANI!$B$8) + (MIN(MAX(0, VERI_TABANI!D25-VERI_TABANI!D25*B826), VERI_TABANI!D25*C826)*VERI_TABANI!$B$7 + MAX(0, VERI_TABANI!D25*C826-MAX(0, VERI_TABANI!D25-VERI_TABANI!D25*B826))*VERI_TABANI!$B$8) + IF(ABS(IF(ISNUMBER(SEARCH("Var", D826)), 1, IF(ISNUMBER(SEARCH("Gri", D826)), -1, 0)))=1, VERI_TABANI!E25*(1-0.928)*VERI_TABANI!$B$9, 0) + (VERI_TABANI!D25*B826*(VERI_TABANI!$B$13-VERI_TABANI!$B$14)*VERI_TABANI!G25) + (VERI_TABANI!D25*C826*(VERI_TABANI!$B$13-VERI_TABANI!$B$15)*VERI_TABANI!G25) + IF(ABS(IF(ISNUMBER(SEARCH("Var", D826)), 1, IF(ISNUMBER(SEARCH("Gri", D826)), -1, 0)))=1, VERI_TABANI!E25*(1-0.928)*0.00206091519919798*VERI_TABANI!G25, 0)) + ((MIN(VERI_TABANI!D26, VERI_TABANI!D26*B826)*VERI_TABANI!$B$7 + MAX(0, VERI_TABANI!D26*B826-VERI_TABANI!D26)*VERI_TABANI!$B$8) + (MIN(MAX(0, VERI_TABANI!D26-VERI_TABANI!D26*B826), VERI_TABANI!D26*C826)*VERI_TABANI!$B$7 + MAX(0, VERI_TABANI!D26*C826-MAX(0, VERI_TABANI!D26-VERI_TABANI!D26*B826))*VERI_TABANI!$B$8) + IF(ABS(IF(ISNUMBER(SEARCH("Var", D826)), 1, IF(ISNUMBER(SEARCH("Gri", D826)), -1, 0)))=1, VERI_TABANI!E26*(1-0.928)*VERI_TABANI!$B$9, 0) + (VERI_TABANI!D26*B826*(VERI_TABANI!$B$13-VERI_TABANI!$B$14)*VERI_TABANI!G26) + (VERI_TABANI!D26*C826*(VERI_TABANI!$B$13-VERI_TABANI!$B$15)*VERI_TABANI!G26) + IF(ABS(IF(ISNUMBER(SEARCH("Var", D826)), 1, IF(ISNUMBER(SEARCH("Gri", D826)), -1, 0)))=1, VERI_TABANI!E26*(1-0.928)*0.00206091519919798*VERI_TABANI!G26, 0)) + ((MIN(VERI_TABANI!D27, VERI_TABANI!D27*B826)*VERI_TABANI!$B$7 + MAX(0, VERI_TABANI!D27*B826-VERI_TABANI!D27)*VERI_TABANI!$B$8) + (MIN(MAX(0, VERI_TABANI!D27-VERI_TABANI!D27*B826), VERI_TABANI!D27*C826)*VERI_TABANI!$B$7 + MAX(0, VERI_TABANI!D27*C826-MAX(0, VERI_TABANI!D27-VERI_TABANI!D27*B826))*VERI_TABANI!$B$8) + IF(ABS(IF(ISNUMBER(SEARCH("Var", D826)), 1, IF(ISNUMBER(SEARCH("Gri", D826)), -1, 0)))=1, VERI_TABANI!E27*(1-0.928)*VERI_TABANI!$B$9, 0) + (VERI_TABANI!D27*B826*(VERI_TABANI!$B$13-VERI_TABANI!$B$14)*VERI_TABANI!G27) + (VERI_TABANI!D27*C826*(VERI_TABANI!$B$13-VERI_TABANI!$B$15)*VERI_TABANI!G27) + IF(ABS(IF(ISNUMBER(SEARCH("Var", D826)), 1, IF(ISNUMBER(SEARCH("Gri", D826)), -1, 0)))=1, VERI_TABANI!E27*(1-0.928)*0.00206091519919798*VERI_TABANI!G27, 0)) + ((MIN(VERI_TABANI!D28, VERI_TABANI!D28*B826)*VERI_TABANI!$B$7 + MAX(0, VERI_TABANI!D28*B826-VERI_TABANI!D28)*VERI_TABANI!$B$8) + (MIN(MAX(0, VERI_TABANI!D28-VERI_TABANI!D28*B826), VERI_TABANI!D28*C826)*VERI_TABANI!$B$7 + MAX(0, VERI_TABANI!D28*C826-MAX(0, VERI_TABANI!D28-VERI_TABANI!D28*B826))*VERI_TABANI!$B$8) + IF(ABS(IF(ISNUMBER(SEARCH("Var", D826)), 1, IF(ISNUMBER(SEARCH("Gri", D826)), -1, 0)))=1, VERI_TABANI!E28*(1-0.928)*VERI_TABANI!$B$9, 0) + (VERI_TABANI!D28*B826*(VERI_TABANI!$B$13-VERI_TABANI!$B$14)*VERI_TABANI!G28) + (VERI_TABANI!D28*C826*(VERI_TABANI!$B$13-VERI_TABANI!$B$15)*VERI_TABANI!G28) + IF(ABS(IF(ISNUMBER(SEARCH("Var", D826)), 1, IF(ISNUMBER(SEARCH("Gri", D826)), -1, 0)))=1, VERI_TABANI!E28*(1-0.928)*0.00206091519919798*VERI_TABANI!G28, 0)))</f>
        <v/>
      </c>
      <c r="H826" s="169">
        <f>(((VERI_TABANI!D23*B826*(VERI_TABANI!$B$13-VERI_TABANI!$B$14)) + (VERI_TABANI!D23*C826*(VERI_TABANI!$B$13-VERI_TABANI!$B$15)) + IF(ISNUMBER(SEARCH("Var", D826)), VERI_TABANI!F23*(0.00202-VERI_TABANI!$B$16), IF(ISNUMBER(SEARCH("Gri", D826)), VERI_TABANI!F23*(0.00202-VERI_TABANI!$B$17), 0))) + ((VERI_TABANI!D24*B826*(VERI_TABANI!$B$13-VERI_TABANI!$B$14)) + (VERI_TABANI!D24*C826*(VERI_TABANI!$B$13-VERI_TABANI!$B$15)) + IF(ISNUMBER(SEARCH("Var", D826)), VERI_TABANI!F24*(0.00202-VERI_TABANI!$B$16), IF(ISNUMBER(SEARCH("Gri", D826)), VERI_TABANI!F24*(0.00202-VERI_TABANI!$B$17), 0))) + ((VERI_TABANI!D25*B826*(VERI_TABANI!$B$13-VERI_TABANI!$B$14)) + (VERI_TABANI!D25*C826*(VERI_TABANI!$B$13-VERI_TABANI!$B$15)) + IF(ISNUMBER(SEARCH("Var", D826)), VERI_TABANI!F25*(0.00202-VERI_TABANI!$B$16), IF(ISNUMBER(SEARCH("Gri", D826)), VERI_TABANI!F25*(0.00202-VERI_TABANI!$B$17), 0))) + ((VERI_TABANI!D26*B826*(VERI_TABANI!$B$13-VERI_TABANI!$B$14)) + (VERI_TABANI!D26*C826*(VERI_TABANI!$B$13-VERI_TABANI!$B$15)) + IF(ISNUMBER(SEARCH("Var", D826)), VERI_TABANI!F26*(0.00202-VERI_TABANI!$B$16), IF(ISNUMBER(SEARCH("Gri", D826)), VERI_TABANI!F26*(0.00202-VERI_TABANI!$B$17), 0))) + ((VERI_TABANI!D27*B826*(VERI_TABANI!$B$13-VERI_TABANI!$B$14)) + (VERI_TABANI!D27*C826*(VERI_TABANI!$B$13-VERI_TABANI!$B$15)) + IF(ISNUMBER(SEARCH("Var", D826)), VERI_TABANI!F27*(0.00202-VERI_TABANI!$B$16), IF(ISNUMBER(SEARCH("Gri", D826)), VERI_TABANI!F27*(0.00202-VERI_TABANI!$B$17), 0))) + ((VERI_TABANI!D28*B826*(VERI_TABANI!$B$13-VERI_TABANI!$B$14)) + (VERI_TABANI!D28*C826*(VERI_TABANI!$B$13-VERI_TABANI!$B$15)) + IF(ISNUMBER(SEARCH("Var", D826)), VERI_TABANI!F28*(0.00202-VERI_TABANI!$B$16), IF(ISNUMBER(SEARCH("Gri", D826)), VERI_TABANI!F28*(0.00202-VERI_TABANI!$B$17), 0))))</f>
        <v/>
      </c>
      <c r="I826" s="170">
        <f>IFERROR(((VERI_TABANI!$D$29*B826*VERI_TABANI!$B$14 + VERI_TABANI!$D$29*C826*VERI_TABANI!$B$15 + IF(ISNUMBER(SEARCH("Var", D826)), VERI_TABANI!$F$29*VERI_TABANI!$B$16, 0))) / (((VERI_TABANI!$D$29*B826 + VERI_TABANI!$D$29*C826)*VERI_TABANI!$B$13 + IF(ISNUMBER(SEARCH("Var", D826)), VERI_TABANI!$E$29*(1-0.928)*VERI_TABANI!$B$18, 0))), 0)</f>
        <v/>
      </c>
      <c r="J826" s="171">
        <f>IFERROR(F826/(G826/29), 0)</f>
        <v/>
      </c>
      <c r="K826" s="172">
        <f>IF(F826&gt;0, H826/F826, 0)</f>
        <v/>
      </c>
      <c r="L826" s="170">
        <f>IF(F826&gt;0, I826, 1000000000)</f>
        <v/>
      </c>
      <c r="M826" s="171">
        <f>ABS((B826+C826)-1)</f>
        <v/>
      </c>
      <c r="N826" s="170">
        <f>IF(F826&gt;0, (G826/29)/F826, 0)</f>
        <v/>
      </c>
      <c r="O826" s="168">
        <f>IF(AND((B826+C826)&gt;=1, ISNUMBER(SEARCH("Var", D826))), F826, 1000000000)</f>
        <v/>
      </c>
      <c r="P826" s="172">
        <f>IF(F826&gt;0, SQRT((F826/MAX(F$5:F$886))^2 + (1 - H826/MAX(H$5:H$886))^2 + (J826/MAX(J$5:J$886))^2), 1000000000)</f>
        <v/>
      </c>
      <c r="Q826" s="166">
        <f>IF(AND(ABS(B826-0.5)&lt;0.01, ABS(C826-0.5)&lt;0.01, ISNUMBER(SEARCH("Var", D826))), 1, 0)</f>
        <v/>
      </c>
      <c r="R826" s="171">
        <f>IF(F826&gt;0, J826, 1000000000)</f>
        <v/>
      </c>
      <c r="S826" s="101">
        <f>IF(AND(F826&lt;=DASHBOARD!$B$11, H826&gt;=DASHBOARD!$B$13), G826, -1000000000000)</f>
        <v/>
      </c>
      <c r="T826" s="101">
        <f>IF(AND(F826&lt;=DASHBOARD!$B$11, H826&gt;=DASHBOARD!$B$13), R826, 1000000000000)</f>
        <v/>
      </c>
      <c r="U826" s="101">
        <f>IF(AND(F826&lt;=DASHBOARD!$B$11, H826&gt;=DASHBOARD!$B$13), N826, -1000000000000)</f>
        <v/>
      </c>
      <c r="V826" s="101">
        <f>IF(AND(F826&lt;=DASHBOARD!$B$11, H826&gt;=DASHBOARD!$B$13), H826, -1000000000000)</f>
        <v/>
      </c>
      <c r="W826" s="101">
        <f>IF(AND(F826&lt;=DASHBOARD!$B$11, H826&gt;=DASHBOARD!$B$13), K826, -1000000000000)</f>
        <v/>
      </c>
      <c r="X826" s="101">
        <f>IF(AND(F826&lt;=DASHBOARD!$B$11, H826&gt;=DASHBOARD!$B$13), M826, 1000000000000)</f>
        <v/>
      </c>
      <c r="Y826" s="101">
        <f>IF(AND(F826&lt;=DASHBOARD!$B$10, H826&gt;=DASHBOARD!$B$11), L826, 1000000000000)</f>
        <v/>
      </c>
      <c r="Z826" s="101">
        <f>IF(AND(F826&lt;=DASHBOARD!$B$10, H826&gt;=DASHBOARD!$B$11), O826, 1000000000000)</f>
        <v/>
      </c>
      <c r="AA826" s="101">
        <f>IF(AND(F826&lt;=DASHBOARD!$B$10, H826&gt;=DASHBOARD!$B$11), P826, 1000000000000)</f>
        <v/>
      </c>
      <c r="AB826" s="101">
        <f>IF(AND(F826&lt;=DASHBOARD!$B$10, H826&gt;=DASHBOARD!$B$11), Q826, -1000000000000)</f>
        <v/>
      </c>
    </row>
    <row r="827" ht="15" customHeight="1" s="102">
      <c r="A827" s="166" t="n">
        <v>823</v>
      </c>
      <c r="B827" s="167" t="n">
        <v>1.9</v>
      </c>
      <c r="C827" s="167" t="n">
        <v>1.2</v>
      </c>
      <c r="D827" s="110" t="inlineStr">
        <is>
          <t>Yok (%0)</t>
        </is>
      </c>
      <c r="E827" s="110">
        <f>IF((B827+C827)&lt;=1, "Tam Mahsuplaşma (≤%100)", "Kısmi Satış (&gt;%100)")</f>
        <v/>
      </c>
      <c r="F827" s="168">
        <f>((VERI_TABANI!$D$29*B827/VERI_TABANI!$B$29)/VERI_TABANI!$B$3)*VERI_TABANI!$B$5 + ((VERI_TABANI!$D$29*C827/VERI_TABANI!$B$29)/VERI_TABANI!$B$4)*VERI_TABANI!$B$6 + IF(ISNUMBER(SEARCH("Var", D827)), (VERI_TABANI!$F$29/VERI_TABANI!$B$29)*(VERI_TABANI!$B$10+VERI_TABANI!$B$12), 0)</f>
        <v/>
      </c>
      <c r="G827" s="168">
        <f>(((MIN(VERI_TABANI!D23, VERI_TABANI!D23*B827)*VERI_TABANI!$B$7 + MAX(0, VERI_TABANI!D23*B827-VERI_TABANI!D23)*VERI_TABANI!$B$8) + (MIN(MAX(0, VERI_TABANI!D23-VERI_TABANI!D23*B827), VERI_TABANI!D23*C827)*VERI_TABANI!$B$7 + MAX(0, VERI_TABANI!D23*C827-MAX(0, VERI_TABANI!D23-VERI_TABANI!D23*B827))*VERI_TABANI!$B$8) + IF(ABS(IF(ISNUMBER(SEARCH("Var", D827)), 1, IF(ISNUMBER(SEARCH("Gri", D827)), -1, 0)))=1, VERI_TABANI!E23*(1-0.928)*VERI_TABANI!$B$9, 0) + (VERI_TABANI!D23*B827*(VERI_TABANI!$B$13-VERI_TABANI!$B$14)*VERI_TABANI!G23) + (VERI_TABANI!D23*C827*(VERI_TABANI!$B$13-VERI_TABANI!$B$15)*VERI_TABANI!G23) + IF(ABS(IF(ISNUMBER(SEARCH("Var", D827)), 1, IF(ISNUMBER(SEARCH("Gri", D827)), -1, 0)))=1, VERI_TABANI!E23*(1-0.928)*0.00206091519919798*VERI_TABANI!G23, 0)) + ((MIN(VERI_TABANI!D24, VERI_TABANI!D24*B827)*VERI_TABANI!$B$7 + MAX(0, VERI_TABANI!D24*B827-VERI_TABANI!D24)*VERI_TABANI!$B$8) + (MIN(MAX(0, VERI_TABANI!D24-VERI_TABANI!D24*B827), VERI_TABANI!D24*C827)*VERI_TABANI!$B$7 + MAX(0, VERI_TABANI!D24*C827-MAX(0, VERI_TABANI!D24-VERI_TABANI!D24*B827))*VERI_TABANI!$B$8) + IF(ABS(IF(ISNUMBER(SEARCH("Var", D827)), 1, IF(ISNUMBER(SEARCH("Gri", D827)), -1, 0)))=1, VERI_TABANI!E24*(1-0.928)*VERI_TABANI!$B$9, 0) + (VERI_TABANI!D24*B827*(VERI_TABANI!$B$13-VERI_TABANI!$B$14)*VERI_TABANI!G24) + (VERI_TABANI!D24*C827*(VERI_TABANI!$B$13-VERI_TABANI!$B$15)*VERI_TABANI!G24) + IF(ABS(IF(ISNUMBER(SEARCH("Var", D827)), 1, IF(ISNUMBER(SEARCH("Gri", D827)), -1, 0)))=1, VERI_TABANI!E24*(1-0.928)*0.00206091519919798*VERI_TABANI!G24, 0)) + ((MIN(VERI_TABANI!D25, VERI_TABANI!D25*B827)*VERI_TABANI!$B$7 + MAX(0, VERI_TABANI!D25*B827-VERI_TABANI!D25)*VERI_TABANI!$B$8) + (MIN(MAX(0, VERI_TABANI!D25-VERI_TABANI!D25*B827), VERI_TABANI!D25*C827)*VERI_TABANI!$B$7 + MAX(0, VERI_TABANI!D25*C827-MAX(0, VERI_TABANI!D25-VERI_TABANI!D25*B827))*VERI_TABANI!$B$8) + IF(ABS(IF(ISNUMBER(SEARCH("Var", D827)), 1, IF(ISNUMBER(SEARCH("Gri", D827)), -1, 0)))=1, VERI_TABANI!E25*(1-0.928)*VERI_TABANI!$B$9, 0) + (VERI_TABANI!D25*B827*(VERI_TABANI!$B$13-VERI_TABANI!$B$14)*VERI_TABANI!G25) + (VERI_TABANI!D25*C827*(VERI_TABANI!$B$13-VERI_TABANI!$B$15)*VERI_TABANI!G25) + IF(ABS(IF(ISNUMBER(SEARCH("Var", D827)), 1, IF(ISNUMBER(SEARCH("Gri", D827)), -1, 0)))=1, VERI_TABANI!E25*(1-0.928)*0.00206091519919798*VERI_TABANI!G25, 0)) + ((MIN(VERI_TABANI!D26, VERI_TABANI!D26*B827)*VERI_TABANI!$B$7 + MAX(0, VERI_TABANI!D26*B827-VERI_TABANI!D26)*VERI_TABANI!$B$8) + (MIN(MAX(0, VERI_TABANI!D26-VERI_TABANI!D26*B827), VERI_TABANI!D26*C827)*VERI_TABANI!$B$7 + MAX(0, VERI_TABANI!D26*C827-MAX(0, VERI_TABANI!D26-VERI_TABANI!D26*B827))*VERI_TABANI!$B$8) + IF(ABS(IF(ISNUMBER(SEARCH("Var", D827)), 1, IF(ISNUMBER(SEARCH("Gri", D827)), -1, 0)))=1, VERI_TABANI!E26*(1-0.928)*VERI_TABANI!$B$9, 0) + (VERI_TABANI!D26*B827*(VERI_TABANI!$B$13-VERI_TABANI!$B$14)*VERI_TABANI!G26) + (VERI_TABANI!D26*C827*(VERI_TABANI!$B$13-VERI_TABANI!$B$15)*VERI_TABANI!G26) + IF(ABS(IF(ISNUMBER(SEARCH("Var", D827)), 1, IF(ISNUMBER(SEARCH("Gri", D827)), -1, 0)))=1, VERI_TABANI!E26*(1-0.928)*0.00206091519919798*VERI_TABANI!G26, 0)) + ((MIN(VERI_TABANI!D27, VERI_TABANI!D27*B827)*VERI_TABANI!$B$7 + MAX(0, VERI_TABANI!D27*B827-VERI_TABANI!D27)*VERI_TABANI!$B$8) + (MIN(MAX(0, VERI_TABANI!D27-VERI_TABANI!D27*B827), VERI_TABANI!D27*C827)*VERI_TABANI!$B$7 + MAX(0, VERI_TABANI!D27*C827-MAX(0, VERI_TABANI!D27-VERI_TABANI!D27*B827))*VERI_TABANI!$B$8) + IF(ABS(IF(ISNUMBER(SEARCH("Var", D827)), 1, IF(ISNUMBER(SEARCH("Gri", D827)), -1, 0)))=1, VERI_TABANI!E27*(1-0.928)*VERI_TABANI!$B$9, 0) + (VERI_TABANI!D27*B827*(VERI_TABANI!$B$13-VERI_TABANI!$B$14)*VERI_TABANI!G27) + (VERI_TABANI!D27*C827*(VERI_TABANI!$B$13-VERI_TABANI!$B$15)*VERI_TABANI!G27) + IF(ABS(IF(ISNUMBER(SEARCH("Var", D827)), 1, IF(ISNUMBER(SEARCH("Gri", D827)), -1, 0)))=1, VERI_TABANI!E27*(1-0.928)*0.00206091519919798*VERI_TABANI!G27, 0)) + ((MIN(VERI_TABANI!D28, VERI_TABANI!D28*B827)*VERI_TABANI!$B$7 + MAX(0, VERI_TABANI!D28*B827-VERI_TABANI!D28)*VERI_TABANI!$B$8) + (MIN(MAX(0, VERI_TABANI!D28-VERI_TABANI!D28*B827), VERI_TABANI!D28*C827)*VERI_TABANI!$B$7 + MAX(0, VERI_TABANI!D28*C827-MAX(0, VERI_TABANI!D28-VERI_TABANI!D28*B827))*VERI_TABANI!$B$8) + IF(ABS(IF(ISNUMBER(SEARCH("Var", D827)), 1, IF(ISNUMBER(SEARCH("Gri", D827)), -1, 0)))=1, VERI_TABANI!E28*(1-0.928)*VERI_TABANI!$B$9, 0) + (VERI_TABANI!D28*B827*(VERI_TABANI!$B$13-VERI_TABANI!$B$14)*VERI_TABANI!G28) + (VERI_TABANI!D28*C827*(VERI_TABANI!$B$13-VERI_TABANI!$B$15)*VERI_TABANI!G28) + IF(ABS(IF(ISNUMBER(SEARCH("Var", D827)), 1, IF(ISNUMBER(SEARCH("Gri", D827)), -1, 0)))=1, VERI_TABANI!E28*(1-0.928)*0.00206091519919798*VERI_TABANI!G28, 0)))</f>
        <v/>
      </c>
      <c r="H827" s="169">
        <f>(((VERI_TABANI!D23*B827*(VERI_TABANI!$B$13-VERI_TABANI!$B$14)) + (VERI_TABANI!D23*C827*(VERI_TABANI!$B$13-VERI_TABANI!$B$15)) + IF(ISNUMBER(SEARCH("Var", D827)), VERI_TABANI!F23*(0.00202-VERI_TABANI!$B$16), IF(ISNUMBER(SEARCH("Gri", D827)), VERI_TABANI!F23*(0.00202-VERI_TABANI!$B$17), 0))) + ((VERI_TABANI!D24*B827*(VERI_TABANI!$B$13-VERI_TABANI!$B$14)) + (VERI_TABANI!D24*C827*(VERI_TABANI!$B$13-VERI_TABANI!$B$15)) + IF(ISNUMBER(SEARCH("Var", D827)), VERI_TABANI!F24*(0.00202-VERI_TABANI!$B$16), IF(ISNUMBER(SEARCH("Gri", D827)), VERI_TABANI!F24*(0.00202-VERI_TABANI!$B$17), 0))) + ((VERI_TABANI!D25*B827*(VERI_TABANI!$B$13-VERI_TABANI!$B$14)) + (VERI_TABANI!D25*C827*(VERI_TABANI!$B$13-VERI_TABANI!$B$15)) + IF(ISNUMBER(SEARCH("Var", D827)), VERI_TABANI!F25*(0.00202-VERI_TABANI!$B$16), IF(ISNUMBER(SEARCH("Gri", D827)), VERI_TABANI!F25*(0.00202-VERI_TABANI!$B$17), 0))) + ((VERI_TABANI!D26*B827*(VERI_TABANI!$B$13-VERI_TABANI!$B$14)) + (VERI_TABANI!D26*C827*(VERI_TABANI!$B$13-VERI_TABANI!$B$15)) + IF(ISNUMBER(SEARCH("Var", D827)), VERI_TABANI!F26*(0.00202-VERI_TABANI!$B$16), IF(ISNUMBER(SEARCH("Gri", D827)), VERI_TABANI!F26*(0.00202-VERI_TABANI!$B$17), 0))) + ((VERI_TABANI!D27*B827*(VERI_TABANI!$B$13-VERI_TABANI!$B$14)) + (VERI_TABANI!D27*C827*(VERI_TABANI!$B$13-VERI_TABANI!$B$15)) + IF(ISNUMBER(SEARCH("Var", D827)), VERI_TABANI!F27*(0.00202-VERI_TABANI!$B$16), IF(ISNUMBER(SEARCH("Gri", D827)), VERI_TABANI!F27*(0.00202-VERI_TABANI!$B$17), 0))) + ((VERI_TABANI!D28*B827*(VERI_TABANI!$B$13-VERI_TABANI!$B$14)) + (VERI_TABANI!D28*C827*(VERI_TABANI!$B$13-VERI_TABANI!$B$15)) + IF(ISNUMBER(SEARCH("Var", D827)), VERI_TABANI!F28*(0.00202-VERI_TABANI!$B$16), IF(ISNUMBER(SEARCH("Gri", D827)), VERI_TABANI!F28*(0.00202-VERI_TABANI!$B$17), 0))))</f>
        <v/>
      </c>
      <c r="I827" s="170">
        <f>IFERROR(((VERI_TABANI!$D$29*B827*VERI_TABANI!$B$14 + VERI_TABANI!$D$29*C827*VERI_TABANI!$B$15 + IF(ISNUMBER(SEARCH("Var", D827)), VERI_TABANI!$F$29*VERI_TABANI!$B$16, 0))) / (((VERI_TABANI!$D$29*B827 + VERI_TABANI!$D$29*C827)*VERI_TABANI!$B$13 + IF(ISNUMBER(SEARCH("Var", D827)), VERI_TABANI!$E$29*(1-0.928)*VERI_TABANI!$B$18, 0))), 0)</f>
        <v/>
      </c>
      <c r="J827" s="171">
        <f>IFERROR(F827/(G827/29), 0)</f>
        <v/>
      </c>
      <c r="K827" s="172">
        <f>IF(F827&gt;0, H827/F827, 0)</f>
        <v/>
      </c>
      <c r="L827" s="170">
        <f>IF(F827&gt;0, I827, 1000000000)</f>
        <v/>
      </c>
      <c r="M827" s="171">
        <f>ABS((B827+C827)-1)</f>
        <v/>
      </c>
      <c r="N827" s="170">
        <f>IF(F827&gt;0, (G827/29)/F827, 0)</f>
        <v/>
      </c>
      <c r="O827" s="168">
        <f>IF(AND((B827+C827)&gt;=1, ISNUMBER(SEARCH("Var", D827))), F827, 1000000000)</f>
        <v/>
      </c>
      <c r="P827" s="172">
        <f>IF(F827&gt;0, SQRT((F827/MAX(F$5:F$886))^2 + (1 - H827/MAX(H$5:H$886))^2 + (J827/MAX(J$5:J$886))^2), 1000000000)</f>
        <v/>
      </c>
      <c r="Q827" s="166">
        <f>IF(AND(ABS(B827-0.5)&lt;0.01, ABS(C827-0.5)&lt;0.01, ISNUMBER(SEARCH("Var", D827))), 1, 0)</f>
        <v/>
      </c>
      <c r="R827" s="171">
        <f>IF(F827&gt;0, J827, 1000000000)</f>
        <v/>
      </c>
      <c r="S827" s="101">
        <f>IF(AND(F827&lt;=DASHBOARD!$B$11, H827&gt;=DASHBOARD!$B$13), G827, -1000000000000)</f>
        <v/>
      </c>
      <c r="T827" s="101">
        <f>IF(AND(F827&lt;=DASHBOARD!$B$11, H827&gt;=DASHBOARD!$B$13), R827, 1000000000000)</f>
        <v/>
      </c>
      <c r="U827" s="101">
        <f>IF(AND(F827&lt;=DASHBOARD!$B$11, H827&gt;=DASHBOARD!$B$13), N827, -1000000000000)</f>
        <v/>
      </c>
      <c r="V827" s="101">
        <f>IF(AND(F827&lt;=DASHBOARD!$B$11, H827&gt;=DASHBOARD!$B$13), H827, -1000000000000)</f>
        <v/>
      </c>
      <c r="W827" s="101">
        <f>IF(AND(F827&lt;=DASHBOARD!$B$11, H827&gt;=DASHBOARD!$B$13), K827, -1000000000000)</f>
        <v/>
      </c>
      <c r="X827" s="101">
        <f>IF(AND(F827&lt;=DASHBOARD!$B$11, H827&gt;=DASHBOARD!$B$13), M827, 1000000000000)</f>
        <v/>
      </c>
      <c r="Y827" s="101">
        <f>IF(AND(F827&lt;=DASHBOARD!$B$10, H827&gt;=DASHBOARD!$B$11), L827, 1000000000000)</f>
        <v/>
      </c>
      <c r="Z827" s="101">
        <f>IF(AND(F827&lt;=DASHBOARD!$B$10, H827&gt;=DASHBOARD!$B$11), O827, 1000000000000)</f>
        <v/>
      </c>
      <c r="AA827" s="101">
        <f>IF(AND(F827&lt;=DASHBOARD!$B$10, H827&gt;=DASHBOARD!$B$11), P827, 1000000000000)</f>
        <v/>
      </c>
      <c r="AB827" s="101">
        <f>IF(AND(F827&lt;=DASHBOARD!$B$10, H827&gt;=DASHBOARD!$B$11), Q827, -1000000000000)</f>
        <v/>
      </c>
    </row>
    <row r="828" ht="15" customHeight="1" s="102">
      <c r="A828" s="166" t="n">
        <v>824</v>
      </c>
      <c r="B828" s="167" t="n">
        <v>1.9</v>
      </c>
      <c r="C828" s="167" t="n">
        <v>1.2</v>
      </c>
      <c r="D828" s="110" t="inlineStr">
        <is>
          <t>Var (%20)</t>
        </is>
      </c>
      <c r="E828" s="110">
        <f>IF((B828+C828)&lt;=1, "Tam Mahsuplaşma (≤%100)", "Kısmi Satış (&gt;%100)")</f>
        <v/>
      </c>
      <c r="F828" s="168">
        <f>((VERI_TABANI!$D$29*B828/VERI_TABANI!$B$29)/VERI_TABANI!$B$3)*VERI_TABANI!$B$5 + ((VERI_TABANI!$D$29*C828/VERI_TABANI!$B$29)/VERI_TABANI!$B$4)*VERI_TABANI!$B$6 + IF(ISNUMBER(SEARCH("Var", D828)), (VERI_TABANI!$F$29/VERI_TABANI!$B$29)*(VERI_TABANI!$B$10+VERI_TABANI!$B$12), 0)</f>
        <v/>
      </c>
      <c r="G828" s="168">
        <f>(((MIN(VERI_TABANI!D23, VERI_TABANI!D23*B828)*VERI_TABANI!$B$7 + MAX(0, VERI_TABANI!D23*B828-VERI_TABANI!D23)*VERI_TABANI!$B$8) + (MIN(MAX(0, VERI_TABANI!D23-VERI_TABANI!D23*B828), VERI_TABANI!D23*C828)*VERI_TABANI!$B$7 + MAX(0, VERI_TABANI!D23*C828-MAX(0, VERI_TABANI!D23-VERI_TABANI!D23*B828))*VERI_TABANI!$B$8) + IF(ABS(IF(ISNUMBER(SEARCH("Var", D828)), 1, IF(ISNUMBER(SEARCH("Gri", D828)), -1, 0)))=1, VERI_TABANI!E23*(1-0.928)*VERI_TABANI!$B$9, 0) + (VERI_TABANI!D23*B828*(VERI_TABANI!$B$13-VERI_TABANI!$B$14)*VERI_TABANI!G23) + (VERI_TABANI!D23*C828*(VERI_TABANI!$B$13-VERI_TABANI!$B$15)*VERI_TABANI!G23) + IF(ABS(IF(ISNUMBER(SEARCH("Var", D828)), 1, IF(ISNUMBER(SEARCH("Gri", D828)), -1, 0)))=1, VERI_TABANI!E23*(1-0.928)*0.00206091519919798*VERI_TABANI!G23, 0)) + ((MIN(VERI_TABANI!D24, VERI_TABANI!D24*B828)*VERI_TABANI!$B$7 + MAX(0, VERI_TABANI!D24*B828-VERI_TABANI!D24)*VERI_TABANI!$B$8) + (MIN(MAX(0, VERI_TABANI!D24-VERI_TABANI!D24*B828), VERI_TABANI!D24*C828)*VERI_TABANI!$B$7 + MAX(0, VERI_TABANI!D24*C828-MAX(0, VERI_TABANI!D24-VERI_TABANI!D24*B828))*VERI_TABANI!$B$8) + IF(ABS(IF(ISNUMBER(SEARCH("Var", D828)), 1, IF(ISNUMBER(SEARCH("Gri", D828)), -1, 0)))=1, VERI_TABANI!E24*(1-0.928)*VERI_TABANI!$B$9, 0) + (VERI_TABANI!D24*B828*(VERI_TABANI!$B$13-VERI_TABANI!$B$14)*VERI_TABANI!G24) + (VERI_TABANI!D24*C828*(VERI_TABANI!$B$13-VERI_TABANI!$B$15)*VERI_TABANI!G24) + IF(ABS(IF(ISNUMBER(SEARCH("Var", D828)), 1, IF(ISNUMBER(SEARCH("Gri", D828)), -1, 0)))=1, VERI_TABANI!E24*(1-0.928)*0.00206091519919798*VERI_TABANI!G24, 0)) + ((MIN(VERI_TABANI!D25, VERI_TABANI!D25*B828)*VERI_TABANI!$B$7 + MAX(0, VERI_TABANI!D25*B828-VERI_TABANI!D25)*VERI_TABANI!$B$8) + (MIN(MAX(0, VERI_TABANI!D25-VERI_TABANI!D25*B828), VERI_TABANI!D25*C828)*VERI_TABANI!$B$7 + MAX(0, VERI_TABANI!D25*C828-MAX(0, VERI_TABANI!D25-VERI_TABANI!D25*B828))*VERI_TABANI!$B$8) + IF(ABS(IF(ISNUMBER(SEARCH("Var", D828)), 1, IF(ISNUMBER(SEARCH("Gri", D828)), -1, 0)))=1, VERI_TABANI!E25*(1-0.928)*VERI_TABANI!$B$9, 0) + (VERI_TABANI!D25*B828*(VERI_TABANI!$B$13-VERI_TABANI!$B$14)*VERI_TABANI!G25) + (VERI_TABANI!D25*C828*(VERI_TABANI!$B$13-VERI_TABANI!$B$15)*VERI_TABANI!G25) + IF(ABS(IF(ISNUMBER(SEARCH("Var", D828)), 1, IF(ISNUMBER(SEARCH("Gri", D828)), -1, 0)))=1, VERI_TABANI!E25*(1-0.928)*0.00206091519919798*VERI_TABANI!G25, 0)) + ((MIN(VERI_TABANI!D26, VERI_TABANI!D26*B828)*VERI_TABANI!$B$7 + MAX(0, VERI_TABANI!D26*B828-VERI_TABANI!D26)*VERI_TABANI!$B$8) + (MIN(MAX(0, VERI_TABANI!D26-VERI_TABANI!D26*B828), VERI_TABANI!D26*C828)*VERI_TABANI!$B$7 + MAX(0, VERI_TABANI!D26*C828-MAX(0, VERI_TABANI!D26-VERI_TABANI!D26*B828))*VERI_TABANI!$B$8) + IF(ABS(IF(ISNUMBER(SEARCH("Var", D828)), 1, IF(ISNUMBER(SEARCH("Gri", D828)), -1, 0)))=1, VERI_TABANI!E26*(1-0.928)*VERI_TABANI!$B$9, 0) + (VERI_TABANI!D26*B828*(VERI_TABANI!$B$13-VERI_TABANI!$B$14)*VERI_TABANI!G26) + (VERI_TABANI!D26*C828*(VERI_TABANI!$B$13-VERI_TABANI!$B$15)*VERI_TABANI!G26) + IF(ABS(IF(ISNUMBER(SEARCH("Var", D828)), 1, IF(ISNUMBER(SEARCH("Gri", D828)), -1, 0)))=1, VERI_TABANI!E26*(1-0.928)*0.00206091519919798*VERI_TABANI!G26, 0)) + ((MIN(VERI_TABANI!D27, VERI_TABANI!D27*B828)*VERI_TABANI!$B$7 + MAX(0, VERI_TABANI!D27*B828-VERI_TABANI!D27)*VERI_TABANI!$B$8) + (MIN(MAX(0, VERI_TABANI!D27-VERI_TABANI!D27*B828), VERI_TABANI!D27*C828)*VERI_TABANI!$B$7 + MAX(0, VERI_TABANI!D27*C828-MAX(0, VERI_TABANI!D27-VERI_TABANI!D27*B828))*VERI_TABANI!$B$8) + IF(ABS(IF(ISNUMBER(SEARCH("Var", D828)), 1, IF(ISNUMBER(SEARCH("Gri", D828)), -1, 0)))=1, VERI_TABANI!E27*(1-0.928)*VERI_TABANI!$B$9, 0) + (VERI_TABANI!D27*B828*(VERI_TABANI!$B$13-VERI_TABANI!$B$14)*VERI_TABANI!G27) + (VERI_TABANI!D27*C828*(VERI_TABANI!$B$13-VERI_TABANI!$B$15)*VERI_TABANI!G27) + IF(ABS(IF(ISNUMBER(SEARCH("Var", D828)), 1, IF(ISNUMBER(SEARCH("Gri", D828)), -1, 0)))=1, VERI_TABANI!E27*(1-0.928)*0.00206091519919798*VERI_TABANI!G27, 0)) + ((MIN(VERI_TABANI!D28, VERI_TABANI!D28*B828)*VERI_TABANI!$B$7 + MAX(0, VERI_TABANI!D28*B828-VERI_TABANI!D28)*VERI_TABANI!$B$8) + (MIN(MAX(0, VERI_TABANI!D28-VERI_TABANI!D28*B828), VERI_TABANI!D28*C828)*VERI_TABANI!$B$7 + MAX(0, VERI_TABANI!D28*C828-MAX(0, VERI_TABANI!D28-VERI_TABANI!D28*B828))*VERI_TABANI!$B$8) + IF(ABS(IF(ISNUMBER(SEARCH("Var", D828)), 1, IF(ISNUMBER(SEARCH("Gri", D828)), -1, 0)))=1, VERI_TABANI!E28*(1-0.928)*VERI_TABANI!$B$9, 0) + (VERI_TABANI!D28*B828*(VERI_TABANI!$B$13-VERI_TABANI!$B$14)*VERI_TABANI!G28) + (VERI_TABANI!D28*C828*(VERI_TABANI!$B$13-VERI_TABANI!$B$15)*VERI_TABANI!G28) + IF(ABS(IF(ISNUMBER(SEARCH("Var", D828)), 1, IF(ISNUMBER(SEARCH("Gri", D828)), -1, 0)))=1, VERI_TABANI!E28*(1-0.928)*0.00206091519919798*VERI_TABANI!G28, 0)))</f>
        <v/>
      </c>
      <c r="H828" s="169">
        <f>(((VERI_TABANI!D23*B828*(VERI_TABANI!$B$13-VERI_TABANI!$B$14)) + (VERI_TABANI!D23*C828*(VERI_TABANI!$B$13-VERI_TABANI!$B$15)) + IF(ISNUMBER(SEARCH("Var", D828)), VERI_TABANI!F23*(0.00202-VERI_TABANI!$B$16), IF(ISNUMBER(SEARCH("Gri", D828)), VERI_TABANI!F23*(0.00202-VERI_TABANI!$B$17), 0))) + ((VERI_TABANI!D24*B828*(VERI_TABANI!$B$13-VERI_TABANI!$B$14)) + (VERI_TABANI!D24*C828*(VERI_TABANI!$B$13-VERI_TABANI!$B$15)) + IF(ISNUMBER(SEARCH("Var", D828)), VERI_TABANI!F24*(0.00202-VERI_TABANI!$B$16), IF(ISNUMBER(SEARCH("Gri", D828)), VERI_TABANI!F24*(0.00202-VERI_TABANI!$B$17), 0))) + ((VERI_TABANI!D25*B828*(VERI_TABANI!$B$13-VERI_TABANI!$B$14)) + (VERI_TABANI!D25*C828*(VERI_TABANI!$B$13-VERI_TABANI!$B$15)) + IF(ISNUMBER(SEARCH("Var", D828)), VERI_TABANI!F25*(0.00202-VERI_TABANI!$B$16), IF(ISNUMBER(SEARCH("Gri", D828)), VERI_TABANI!F25*(0.00202-VERI_TABANI!$B$17), 0))) + ((VERI_TABANI!D26*B828*(VERI_TABANI!$B$13-VERI_TABANI!$B$14)) + (VERI_TABANI!D26*C828*(VERI_TABANI!$B$13-VERI_TABANI!$B$15)) + IF(ISNUMBER(SEARCH("Var", D828)), VERI_TABANI!F26*(0.00202-VERI_TABANI!$B$16), IF(ISNUMBER(SEARCH("Gri", D828)), VERI_TABANI!F26*(0.00202-VERI_TABANI!$B$17), 0))) + ((VERI_TABANI!D27*B828*(VERI_TABANI!$B$13-VERI_TABANI!$B$14)) + (VERI_TABANI!D27*C828*(VERI_TABANI!$B$13-VERI_TABANI!$B$15)) + IF(ISNUMBER(SEARCH("Var", D828)), VERI_TABANI!F27*(0.00202-VERI_TABANI!$B$16), IF(ISNUMBER(SEARCH("Gri", D828)), VERI_TABANI!F27*(0.00202-VERI_TABANI!$B$17), 0))) + ((VERI_TABANI!D28*B828*(VERI_TABANI!$B$13-VERI_TABANI!$B$14)) + (VERI_TABANI!D28*C828*(VERI_TABANI!$B$13-VERI_TABANI!$B$15)) + IF(ISNUMBER(SEARCH("Var", D828)), VERI_TABANI!F28*(0.00202-VERI_TABANI!$B$16), IF(ISNUMBER(SEARCH("Gri", D828)), VERI_TABANI!F28*(0.00202-VERI_TABANI!$B$17), 0))))</f>
        <v/>
      </c>
      <c r="I828" s="170">
        <f>IFERROR(((VERI_TABANI!$D$29*B828*VERI_TABANI!$B$14 + VERI_TABANI!$D$29*C828*VERI_TABANI!$B$15 + IF(ISNUMBER(SEARCH("Var", D828)), VERI_TABANI!$F$29*VERI_TABANI!$B$16, 0))) / (((VERI_TABANI!$D$29*B828 + VERI_TABANI!$D$29*C828)*VERI_TABANI!$B$13 + IF(ISNUMBER(SEARCH("Var", D828)), VERI_TABANI!$E$29*(1-0.928)*VERI_TABANI!$B$18, 0))), 0)</f>
        <v/>
      </c>
      <c r="J828" s="171">
        <f>IFERROR(F828/(G828/29), 0)</f>
        <v/>
      </c>
      <c r="K828" s="172">
        <f>IF(F828&gt;0, H828/F828, 0)</f>
        <v/>
      </c>
      <c r="L828" s="170">
        <f>IF(F828&gt;0, I828, 1000000000)</f>
        <v/>
      </c>
      <c r="M828" s="171">
        <f>ABS((B828+C828)-1)</f>
        <v/>
      </c>
      <c r="N828" s="170">
        <f>IF(F828&gt;0, (G828/29)/F828, 0)</f>
        <v/>
      </c>
      <c r="O828" s="168">
        <f>IF(AND((B828+C828)&gt;=1, ISNUMBER(SEARCH("Var", D828))), F828, 1000000000)</f>
        <v/>
      </c>
      <c r="P828" s="172">
        <f>IF(F828&gt;0, SQRT((F828/MAX(F$5:F$886))^2 + (1 - H828/MAX(H$5:H$886))^2 + (J828/MAX(J$5:J$886))^2), 1000000000)</f>
        <v/>
      </c>
      <c r="Q828" s="166">
        <f>IF(AND(ABS(B828-0.5)&lt;0.01, ABS(C828-0.5)&lt;0.01, ISNUMBER(SEARCH("Var", D828))), 1, 0)</f>
        <v/>
      </c>
      <c r="R828" s="171">
        <f>IF(F828&gt;0, J828, 1000000000)</f>
        <v/>
      </c>
      <c r="S828" s="101">
        <f>IF(AND(F828&lt;=DASHBOARD!$B$11, H828&gt;=DASHBOARD!$B$13), G828, -1000000000000)</f>
        <v/>
      </c>
      <c r="T828" s="101">
        <f>IF(AND(F828&lt;=DASHBOARD!$B$11, H828&gt;=DASHBOARD!$B$13), R828, 1000000000000)</f>
        <v/>
      </c>
      <c r="U828" s="101">
        <f>IF(AND(F828&lt;=DASHBOARD!$B$11, H828&gt;=DASHBOARD!$B$13), N828, -1000000000000)</f>
        <v/>
      </c>
      <c r="V828" s="101">
        <f>IF(AND(F828&lt;=DASHBOARD!$B$11, H828&gt;=DASHBOARD!$B$13), H828, -1000000000000)</f>
        <v/>
      </c>
      <c r="W828" s="101">
        <f>IF(AND(F828&lt;=DASHBOARD!$B$11, H828&gt;=DASHBOARD!$B$13), K828, -1000000000000)</f>
        <v/>
      </c>
      <c r="X828" s="101">
        <f>IF(AND(F828&lt;=DASHBOARD!$B$11, H828&gt;=DASHBOARD!$B$13), M828, 1000000000000)</f>
        <v/>
      </c>
      <c r="Y828" s="101">
        <f>IF(AND(F828&lt;=DASHBOARD!$B$10, H828&gt;=DASHBOARD!$B$11), L828, 1000000000000)</f>
        <v/>
      </c>
      <c r="Z828" s="101">
        <f>IF(AND(F828&lt;=DASHBOARD!$B$10, H828&gt;=DASHBOARD!$B$11), O828, 1000000000000)</f>
        <v/>
      </c>
      <c r="AA828" s="101">
        <f>IF(AND(F828&lt;=DASHBOARD!$B$10, H828&gt;=DASHBOARD!$B$11), P828, 1000000000000)</f>
        <v/>
      </c>
      <c r="AB828" s="101">
        <f>IF(AND(F828&lt;=DASHBOARD!$B$10, H828&gt;=DASHBOARD!$B$11), Q828, -1000000000000)</f>
        <v/>
      </c>
    </row>
    <row r="829" ht="15" customHeight="1" s="102">
      <c r="A829" s="166" t="n">
        <v>825</v>
      </c>
      <c r="B829" s="167" t="n">
        <v>1.9</v>
      </c>
      <c r="C829" s="167" t="n">
        <v>1.3</v>
      </c>
      <c r="D829" s="110" t="inlineStr">
        <is>
          <t>Yok (%0)</t>
        </is>
      </c>
      <c r="E829" s="110">
        <f>IF((B829+C829)&lt;=1, "Tam Mahsuplaşma (≤%100)", "Kısmi Satış (&gt;%100)")</f>
        <v/>
      </c>
      <c r="F829" s="168">
        <f>((VERI_TABANI!$D$29*B829/VERI_TABANI!$B$29)/VERI_TABANI!$B$3)*VERI_TABANI!$B$5 + ((VERI_TABANI!$D$29*C829/VERI_TABANI!$B$29)/VERI_TABANI!$B$4)*VERI_TABANI!$B$6 + IF(ISNUMBER(SEARCH("Var", D829)), (VERI_TABANI!$F$29/VERI_TABANI!$B$29)*(VERI_TABANI!$B$10+VERI_TABANI!$B$12), 0)</f>
        <v/>
      </c>
      <c r="G829" s="168">
        <f>(((MIN(VERI_TABANI!D23, VERI_TABANI!D23*B829)*VERI_TABANI!$B$7 + MAX(0, VERI_TABANI!D23*B829-VERI_TABANI!D23)*VERI_TABANI!$B$8) + (MIN(MAX(0, VERI_TABANI!D23-VERI_TABANI!D23*B829), VERI_TABANI!D23*C829)*VERI_TABANI!$B$7 + MAX(0, VERI_TABANI!D23*C829-MAX(0, VERI_TABANI!D23-VERI_TABANI!D23*B829))*VERI_TABANI!$B$8) + IF(ABS(IF(ISNUMBER(SEARCH("Var", D829)), 1, IF(ISNUMBER(SEARCH("Gri", D829)), -1, 0)))=1, VERI_TABANI!E23*(1-0.928)*VERI_TABANI!$B$9, 0) + (VERI_TABANI!D23*B829*(VERI_TABANI!$B$13-VERI_TABANI!$B$14)*VERI_TABANI!G23) + (VERI_TABANI!D23*C829*(VERI_TABANI!$B$13-VERI_TABANI!$B$15)*VERI_TABANI!G23) + IF(ABS(IF(ISNUMBER(SEARCH("Var", D829)), 1, IF(ISNUMBER(SEARCH("Gri", D829)), -1, 0)))=1, VERI_TABANI!E23*(1-0.928)*0.00206091519919798*VERI_TABANI!G23, 0)) + ((MIN(VERI_TABANI!D24, VERI_TABANI!D24*B829)*VERI_TABANI!$B$7 + MAX(0, VERI_TABANI!D24*B829-VERI_TABANI!D24)*VERI_TABANI!$B$8) + (MIN(MAX(0, VERI_TABANI!D24-VERI_TABANI!D24*B829), VERI_TABANI!D24*C829)*VERI_TABANI!$B$7 + MAX(0, VERI_TABANI!D24*C829-MAX(0, VERI_TABANI!D24-VERI_TABANI!D24*B829))*VERI_TABANI!$B$8) + IF(ABS(IF(ISNUMBER(SEARCH("Var", D829)), 1, IF(ISNUMBER(SEARCH("Gri", D829)), -1, 0)))=1, VERI_TABANI!E24*(1-0.928)*VERI_TABANI!$B$9, 0) + (VERI_TABANI!D24*B829*(VERI_TABANI!$B$13-VERI_TABANI!$B$14)*VERI_TABANI!G24) + (VERI_TABANI!D24*C829*(VERI_TABANI!$B$13-VERI_TABANI!$B$15)*VERI_TABANI!G24) + IF(ABS(IF(ISNUMBER(SEARCH("Var", D829)), 1, IF(ISNUMBER(SEARCH("Gri", D829)), -1, 0)))=1, VERI_TABANI!E24*(1-0.928)*0.00206091519919798*VERI_TABANI!G24, 0)) + ((MIN(VERI_TABANI!D25, VERI_TABANI!D25*B829)*VERI_TABANI!$B$7 + MAX(0, VERI_TABANI!D25*B829-VERI_TABANI!D25)*VERI_TABANI!$B$8) + (MIN(MAX(0, VERI_TABANI!D25-VERI_TABANI!D25*B829), VERI_TABANI!D25*C829)*VERI_TABANI!$B$7 + MAX(0, VERI_TABANI!D25*C829-MAX(0, VERI_TABANI!D25-VERI_TABANI!D25*B829))*VERI_TABANI!$B$8) + IF(ABS(IF(ISNUMBER(SEARCH("Var", D829)), 1, IF(ISNUMBER(SEARCH("Gri", D829)), -1, 0)))=1, VERI_TABANI!E25*(1-0.928)*VERI_TABANI!$B$9, 0) + (VERI_TABANI!D25*B829*(VERI_TABANI!$B$13-VERI_TABANI!$B$14)*VERI_TABANI!G25) + (VERI_TABANI!D25*C829*(VERI_TABANI!$B$13-VERI_TABANI!$B$15)*VERI_TABANI!G25) + IF(ABS(IF(ISNUMBER(SEARCH("Var", D829)), 1, IF(ISNUMBER(SEARCH("Gri", D829)), -1, 0)))=1, VERI_TABANI!E25*(1-0.928)*0.00206091519919798*VERI_TABANI!G25, 0)) + ((MIN(VERI_TABANI!D26, VERI_TABANI!D26*B829)*VERI_TABANI!$B$7 + MAX(0, VERI_TABANI!D26*B829-VERI_TABANI!D26)*VERI_TABANI!$B$8) + (MIN(MAX(0, VERI_TABANI!D26-VERI_TABANI!D26*B829), VERI_TABANI!D26*C829)*VERI_TABANI!$B$7 + MAX(0, VERI_TABANI!D26*C829-MAX(0, VERI_TABANI!D26-VERI_TABANI!D26*B829))*VERI_TABANI!$B$8) + IF(ABS(IF(ISNUMBER(SEARCH("Var", D829)), 1, IF(ISNUMBER(SEARCH("Gri", D829)), -1, 0)))=1, VERI_TABANI!E26*(1-0.928)*VERI_TABANI!$B$9, 0) + (VERI_TABANI!D26*B829*(VERI_TABANI!$B$13-VERI_TABANI!$B$14)*VERI_TABANI!G26) + (VERI_TABANI!D26*C829*(VERI_TABANI!$B$13-VERI_TABANI!$B$15)*VERI_TABANI!G26) + IF(ABS(IF(ISNUMBER(SEARCH("Var", D829)), 1, IF(ISNUMBER(SEARCH("Gri", D829)), -1, 0)))=1, VERI_TABANI!E26*(1-0.928)*0.00206091519919798*VERI_TABANI!G26, 0)) + ((MIN(VERI_TABANI!D27, VERI_TABANI!D27*B829)*VERI_TABANI!$B$7 + MAX(0, VERI_TABANI!D27*B829-VERI_TABANI!D27)*VERI_TABANI!$B$8) + (MIN(MAX(0, VERI_TABANI!D27-VERI_TABANI!D27*B829), VERI_TABANI!D27*C829)*VERI_TABANI!$B$7 + MAX(0, VERI_TABANI!D27*C829-MAX(0, VERI_TABANI!D27-VERI_TABANI!D27*B829))*VERI_TABANI!$B$8) + IF(ABS(IF(ISNUMBER(SEARCH("Var", D829)), 1, IF(ISNUMBER(SEARCH("Gri", D829)), -1, 0)))=1, VERI_TABANI!E27*(1-0.928)*VERI_TABANI!$B$9, 0) + (VERI_TABANI!D27*B829*(VERI_TABANI!$B$13-VERI_TABANI!$B$14)*VERI_TABANI!G27) + (VERI_TABANI!D27*C829*(VERI_TABANI!$B$13-VERI_TABANI!$B$15)*VERI_TABANI!G27) + IF(ABS(IF(ISNUMBER(SEARCH("Var", D829)), 1, IF(ISNUMBER(SEARCH("Gri", D829)), -1, 0)))=1, VERI_TABANI!E27*(1-0.928)*0.00206091519919798*VERI_TABANI!G27, 0)) + ((MIN(VERI_TABANI!D28, VERI_TABANI!D28*B829)*VERI_TABANI!$B$7 + MAX(0, VERI_TABANI!D28*B829-VERI_TABANI!D28)*VERI_TABANI!$B$8) + (MIN(MAX(0, VERI_TABANI!D28-VERI_TABANI!D28*B829), VERI_TABANI!D28*C829)*VERI_TABANI!$B$7 + MAX(0, VERI_TABANI!D28*C829-MAX(0, VERI_TABANI!D28-VERI_TABANI!D28*B829))*VERI_TABANI!$B$8) + IF(ABS(IF(ISNUMBER(SEARCH("Var", D829)), 1, IF(ISNUMBER(SEARCH("Gri", D829)), -1, 0)))=1, VERI_TABANI!E28*(1-0.928)*VERI_TABANI!$B$9, 0) + (VERI_TABANI!D28*B829*(VERI_TABANI!$B$13-VERI_TABANI!$B$14)*VERI_TABANI!G28) + (VERI_TABANI!D28*C829*(VERI_TABANI!$B$13-VERI_TABANI!$B$15)*VERI_TABANI!G28) + IF(ABS(IF(ISNUMBER(SEARCH("Var", D829)), 1, IF(ISNUMBER(SEARCH("Gri", D829)), -1, 0)))=1, VERI_TABANI!E28*(1-0.928)*0.00206091519919798*VERI_TABANI!G28, 0)))</f>
        <v/>
      </c>
      <c r="H829" s="169">
        <f>(((VERI_TABANI!D23*B829*(VERI_TABANI!$B$13-VERI_TABANI!$B$14)) + (VERI_TABANI!D23*C829*(VERI_TABANI!$B$13-VERI_TABANI!$B$15)) + IF(ISNUMBER(SEARCH("Var", D829)), VERI_TABANI!F23*(0.00202-VERI_TABANI!$B$16), IF(ISNUMBER(SEARCH("Gri", D829)), VERI_TABANI!F23*(0.00202-VERI_TABANI!$B$17), 0))) + ((VERI_TABANI!D24*B829*(VERI_TABANI!$B$13-VERI_TABANI!$B$14)) + (VERI_TABANI!D24*C829*(VERI_TABANI!$B$13-VERI_TABANI!$B$15)) + IF(ISNUMBER(SEARCH("Var", D829)), VERI_TABANI!F24*(0.00202-VERI_TABANI!$B$16), IF(ISNUMBER(SEARCH("Gri", D829)), VERI_TABANI!F24*(0.00202-VERI_TABANI!$B$17), 0))) + ((VERI_TABANI!D25*B829*(VERI_TABANI!$B$13-VERI_TABANI!$B$14)) + (VERI_TABANI!D25*C829*(VERI_TABANI!$B$13-VERI_TABANI!$B$15)) + IF(ISNUMBER(SEARCH("Var", D829)), VERI_TABANI!F25*(0.00202-VERI_TABANI!$B$16), IF(ISNUMBER(SEARCH("Gri", D829)), VERI_TABANI!F25*(0.00202-VERI_TABANI!$B$17), 0))) + ((VERI_TABANI!D26*B829*(VERI_TABANI!$B$13-VERI_TABANI!$B$14)) + (VERI_TABANI!D26*C829*(VERI_TABANI!$B$13-VERI_TABANI!$B$15)) + IF(ISNUMBER(SEARCH("Var", D829)), VERI_TABANI!F26*(0.00202-VERI_TABANI!$B$16), IF(ISNUMBER(SEARCH("Gri", D829)), VERI_TABANI!F26*(0.00202-VERI_TABANI!$B$17), 0))) + ((VERI_TABANI!D27*B829*(VERI_TABANI!$B$13-VERI_TABANI!$B$14)) + (VERI_TABANI!D27*C829*(VERI_TABANI!$B$13-VERI_TABANI!$B$15)) + IF(ISNUMBER(SEARCH("Var", D829)), VERI_TABANI!F27*(0.00202-VERI_TABANI!$B$16), IF(ISNUMBER(SEARCH("Gri", D829)), VERI_TABANI!F27*(0.00202-VERI_TABANI!$B$17), 0))) + ((VERI_TABANI!D28*B829*(VERI_TABANI!$B$13-VERI_TABANI!$B$14)) + (VERI_TABANI!D28*C829*(VERI_TABANI!$B$13-VERI_TABANI!$B$15)) + IF(ISNUMBER(SEARCH("Var", D829)), VERI_TABANI!F28*(0.00202-VERI_TABANI!$B$16), IF(ISNUMBER(SEARCH("Gri", D829)), VERI_TABANI!F28*(0.00202-VERI_TABANI!$B$17), 0))))</f>
        <v/>
      </c>
      <c r="I829" s="170">
        <f>IFERROR(((VERI_TABANI!$D$29*B829*VERI_TABANI!$B$14 + VERI_TABANI!$D$29*C829*VERI_TABANI!$B$15 + IF(ISNUMBER(SEARCH("Var", D829)), VERI_TABANI!$F$29*VERI_TABANI!$B$16, 0))) / (((VERI_TABANI!$D$29*B829 + VERI_TABANI!$D$29*C829)*VERI_TABANI!$B$13 + IF(ISNUMBER(SEARCH("Var", D829)), VERI_TABANI!$E$29*(1-0.928)*VERI_TABANI!$B$18, 0))), 0)</f>
        <v/>
      </c>
      <c r="J829" s="171">
        <f>IFERROR(F829/(G829/29), 0)</f>
        <v/>
      </c>
      <c r="K829" s="172">
        <f>IF(F829&gt;0, H829/F829, 0)</f>
        <v/>
      </c>
      <c r="L829" s="170">
        <f>IF(F829&gt;0, I829, 1000000000)</f>
        <v/>
      </c>
      <c r="M829" s="171">
        <f>ABS((B829+C829)-1)</f>
        <v/>
      </c>
      <c r="N829" s="170">
        <f>IF(F829&gt;0, (G829/29)/F829, 0)</f>
        <v/>
      </c>
      <c r="O829" s="168">
        <f>IF(AND((B829+C829)&gt;=1, ISNUMBER(SEARCH("Var", D829))), F829, 1000000000)</f>
        <v/>
      </c>
      <c r="P829" s="172">
        <f>IF(F829&gt;0, SQRT((F829/MAX(F$5:F$886))^2 + (1 - H829/MAX(H$5:H$886))^2 + (J829/MAX(J$5:J$886))^2), 1000000000)</f>
        <v/>
      </c>
      <c r="Q829" s="166">
        <f>IF(AND(ABS(B829-0.5)&lt;0.01, ABS(C829-0.5)&lt;0.01, ISNUMBER(SEARCH("Var", D829))), 1, 0)</f>
        <v/>
      </c>
      <c r="R829" s="171">
        <f>IF(F829&gt;0, J829, 1000000000)</f>
        <v/>
      </c>
      <c r="S829" s="101">
        <f>IF(AND(F829&lt;=DASHBOARD!$B$11, H829&gt;=DASHBOARD!$B$13), G829, -1000000000000)</f>
        <v/>
      </c>
      <c r="T829" s="101">
        <f>IF(AND(F829&lt;=DASHBOARD!$B$11, H829&gt;=DASHBOARD!$B$13), R829, 1000000000000)</f>
        <v/>
      </c>
      <c r="U829" s="101">
        <f>IF(AND(F829&lt;=DASHBOARD!$B$11, H829&gt;=DASHBOARD!$B$13), N829, -1000000000000)</f>
        <v/>
      </c>
      <c r="V829" s="101">
        <f>IF(AND(F829&lt;=DASHBOARD!$B$11, H829&gt;=DASHBOARD!$B$13), H829, -1000000000000)</f>
        <v/>
      </c>
      <c r="W829" s="101">
        <f>IF(AND(F829&lt;=DASHBOARD!$B$11, H829&gt;=DASHBOARD!$B$13), K829, -1000000000000)</f>
        <v/>
      </c>
      <c r="X829" s="101">
        <f>IF(AND(F829&lt;=DASHBOARD!$B$11, H829&gt;=DASHBOARD!$B$13), M829, 1000000000000)</f>
        <v/>
      </c>
      <c r="Y829" s="101">
        <f>IF(AND(F829&lt;=DASHBOARD!$B$10, H829&gt;=DASHBOARD!$B$11), L829, 1000000000000)</f>
        <v/>
      </c>
      <c r="Z829" s="101">
        <f>IF(AND(F829&lt;=DASHBOARD!$B$10, H829&gt;=DASHBOARD!$B$11), O829, 1000000000000)</f>
        <v/>
      </c>
      <c r="AA829" s="101">
        <f>IF(AND(F829&lt;=DASHBOARD!$B$10, H829&gt;=DASHBOARD!$B$11), P829, 1000000000000)</f>
        <v/>
      </c>
      <c r="AB829" s="101">
        <f>IF(AND(F829&lt;=DASHBOARD!$B$10, H829&gt;=DASHBOARD!$B$11), Q829, -1000000000000)</f>
        <v/>
      </c>
    </row>
    <row r="830" ht="15" customHeight="1" s="102">
      <c r="A830" s="166" t="n">
        <v>826</v>
      </c>
      <c r="B830" s="167" t="n">
        <v>1.9</v>
      </c>
      <c r="C830" s="167" t="n">
        <v>1.3</v>
      </c>
      <c r="D830" s="110" t="inlineStr">
        <is>
          <t>Var (%20)</t>
        </is>
      </c>
      <c r="E830" s="110">
        <f>IF((B830+C830)&lt;=1, "Tam Mahsuplaşma (≤%100)", "Kısmi Satış (&gt;%100)")</f>
        <v/>
      </c>
      <c r="F830" s="168">
        <f>((VERI_TABANI!$D$29*B830/VERI_TABANI!$B$29)/VERI_TABANI!$B$3)*VERI_TABANI!$B$5 + ((VERI_TABANI!$D$29*C830/VERI_TABANI!$B$29)/VERI_TABANI!$B$4)*VERI_TABANI!$B$6 + IF(ISNUMBER(SEARCH("Var", D830)), (VERI_TABANI!$F$29/VERI_TABANI!$B$29)*(VERI_TABANI!$B$10+VERI_TABANI!$B$12), 0)</f>
        <v/>
      </c>
      <c r="G830" s="168">
        <f>(((MIN(VERI_TABANI!D23, VERI_TABANI!D23*B830)*VERI_TABANI!$B$7 + MAX(0, VERI_TABANI!D23*B830-VERI_TABANI!D23)*VERI_TABANI!$B$8) + (MIN(MAX(0, VERI_TABANI!D23-VERI_TABANI!D23*B830), VERI_TABANI!D23*C830)*VERI_TABANI!$B$7 + MAX(0, VERI_TABANI!D23*C830-MAX(0, VERI_TABANI!D23-VERI_TABANI!D23*B830))*VERI_TABANI!$B$8) + IF(ABS(IF(ISNUMBER(SEARCH("Var", D830)), 1, IF(ISNUMBER(SEARCH("Gri", D830)), -1, 0)))=1, VERI_TABANI!E23*(1-0.928)*VERI_TABANI!$B$9, 0) + (VERI_TABANI!D23*B830*(VERI_TABANI!$B$13-VERI_TABANI!$B$14)*VERI_TABANI!G23) + (VERI_TABANI!D23*C830*(VERI_TABANI!$B$13-VERI_TABANI!$B$15)*VERI_TABANI!G23) + IF(ABS(IF(ISNUMBER(SEARCH("Var", D830)), 1, IF(ISNUMBER(SEARCH("Gri", D830)), -1, 0)))=1, VERI_TABANI!E23*(1-0.928)*0.00206091519919798*VERI_TABANI!G23, 0)) + ((MIN(VERI_TABANI!D24, VERI_TABANI!D24*B830)*VERI_TABANI!$B$7 + MAX(0, VERI_TABANI!D24*B830-VERI_TABANI!D24)*VERI_TABANI!$B$8) + (MIN(MAX(0, VERI_TABANI!D24-VERI_TABANI!D24*B830), VERI_TABANI!D24*C830)*VERI_TABANI!$B$7 + MAX(0, VERI_TABANI!D24*C830-MAX(0, VERI_TABANI!D24-VERI_TABANI!D24*B830))*VERI_TABANI!$B$8) + IF(ABS(IF(ISNUMBER(SEARCH("Var", D830)), 1, IF(ISNUMBER(SEARCH("Gri", D830)), -1, 0)))=1, VERI_TABANI!E24*(1-0.928)*VERI_TABANI!$B$9, 0) + (VERI_TABANI!D24*B830*(VERI_TABANI!$B$13-VERI_TABANI!$B$14)*VERI_TABANI!G24) + (VERI_TABANI!D24*C830*(VERI_TABANI!$B$13-VERI_TABANI!$B$15)*VERI_TABANI!G24) + IF(ABS(IF(ISNUMBER(SEARCH("Var", D830)), 1, IF(ISNUMBER(SEARCH("Gri", D830)), -1, 0)))=1, VERI_TABANI!E24*(1-0.928)*0.00206091519919798*VERI_TABANI!G24, 0)) + ((MIN(VERI_TABANI!D25, VERI_TABANI!D25*B830)*VERI_TABANI!$B$7 + MAX(0, VERI_TABANI!D25*B830-VERI_TABANI!D25)*VERI_TABANI!$B$8) + (MIN(MAX(0, VERI_TABANI!D25-VERI_TABANI!D25*B830), VERI_TABANI!D25*C830)*VERI_TABANI!$B$7 + MAX(0, VERI_TABANI!D25*C830-MAX(0, VERI_TABANI!D25-VERI_TABANI!D25*B830))*VERI_TABANI!$B$8) + IF(ABS(IF(ISNUMBER(SEARCH("Var", D830)), 1, IF(ISNUMBER(SEARCH("Gri", D830)), -1, 0)))=1, VERI_TABANI!E25*(1-0.928)*VERI_TABANI!$B$9, 0) + (VERI_TABANI!D25*B830*(VERI_TABANI!$B$13-VERI_TABANI!$B$14)*VERI_TABANI!G25) + (VERI_TABANI!D25*C830*(VERI_TABANI!$B$13-VERI_TABANI!$B$15)*VERI_TABANI!G25) + IF(ABS(IF(ISNUMBER(SEARCH("Var", D830)), 1, IF(ISNUMBER(SEARCH("Gri", D830)), -1, 0)))=1, VERI_TABANI!E25*(1-0.928)*0.00206091519919798*VERI_TABANI!G25, 0)) + ((MIN(VERI_TABANI!D26, VERI_TABANI!D26*B830)*VERI_TABANI!$B$7 + MAX(0, VERI_TABANI!D26*B830-VERI_TABANI!D26)*VERI_TABANI!$B$8) + (MIN(MAX(0, VERI_TABANI!D26-VERI_TABANI!D26*B830), VERI_TABANI!D26*C830)*VERI_TABANI!$B$7 + MAX(0, VERI_TABANI!D26*C830-MAX(0, VERI_TABANI!D26-VERI_TABANI!D26*B830))*VERI_TABANI!$B$8) + IF(ABS(IF(ISNUMBER(SEARCH("Var", D830)), 1, IF(ISNUMBER(SEARCH("Gri", D830)), -1, 0)))=1, VERI_TABANI!E26*(1-0.928)*VERI_TABANI!$B$9, 0) + (VERI_TABANI!D26*B830*(VERI_TABANI!$B$13-VERI_TABANI!$B$14)*VERI_TABANI!G26) + (VERI_TABANI!D26*C830*(VERI_TABANI!$B$13-VERI_TABANI!$B$15)*VERI_TABANI!G26) + IF(ABS(IF(ISNUMBER(SEARCH("Var", D830)), 1, IF(ISNUMBER(SEARCH("Gri", D830)), -1, 0)))=1, VERI_TABANI!E26*(1-0.928)*0.00206091519919798*VERI_TABANI!G26, 0)) + ((MIN(VERI_TABANI!D27, VERI_TABANI!D27*B830)*VERI_TABANI!$B$7 + MAX(0, VERI_TABANI!D27*B830-VERI_TABANI!D27)*VERI_TABANI!$B$8) + (MIN(MAX(0, VERI_TABANI!D27-VERI_TABANI!D27*B830), VERI_TABANI!D27*C830)*VERI_TABANI!$B$7 + MAX(0, VERI_TABANI!D27*C830-MAX(0, VERI_TABANI!D27-VERI_TABANI!D27*B830))*VERI_TABANI!$B$8) + IF(ABS(IF(ISNUMBER(SEARCH("Var", D830)), 1, IF(ISNUMBER(SEARCH("Gri", D830)), -1, 0)))=1, VERI_TABANI!E27*(1-0.928)*VERI_TABANI!$B$9, 0) + (VERI_TABANI!D27*B830*(VERI_TABANI!$B$13-VERI_TABANI!$B$14)*VERI_TABANI!G27) + (VERI_TABANI!D27*C830*(VERI_TABANI!$B$13-VERI_TABANI!$B$15)*VERI_TABANI!G27) + IF(ABS(IF(ISNUMBER(SEARCH("Var", D830)), 1, IF(ISNUMBER(SEARCH("Gri", D830)), -1, 0)))=1, VERI_TABANI!E27*(1-0.928)*0.00206091519919798*VERI_TABANI!G27, 0)) + ((MIN(VERI_TABANI!D28, VERI_TABANI!D28*B830)*VERI_TABANI!$B$7 + MAX(0, VERI_TABANI!D28*B830-VERI_TABANI!D28)*VERI_TABANI!$B$8) + (MIN(MAX(0, VERI_TABANI!D28-VERI_TABANI!D28*B830), VERI_TABANI!D28*C830)*VERI_TABANI!$B$7 + MAX(0, VERI_TABANI!D28*C830-MAX(0, VERI_TABANI!D28-VERI_TABANI!D28*B830))*VERI_TABANI!$B$8) + IF(ABS(IF(ISNUMBER(SEARCH("Var", D830)), 1, IF(ISNUMBER(SEARCH("Gri", D830)), -1, 0)))=1, VERI_TABANI!E28*(1-0.928)*VERI_TABANI!$B$9, 0) + (VERI_TABANI!D28*B830*(VERI_TABANI!$B$13-VERI_TABANI!$B$14)*VERI_TABANI!G28) + (VERI_TABANI!D28*C830*(VERI_TABANI!$B$13-VERI_TABANI!$B$15)*VERI_TABANI!G28) + IF(ABS(IF(ISNUMBER(SEARCH("Var", D830)), 1, IF(ISNUMBER(SEARCH("Gri", D830)), -1, 0)))=1, VERI_TABANI!E28*(1-0.928)*0.00206091519919798*VERI_TABANI!G28, 0)))</f>
        <v/>
      </c>
      <c r="H830" s="169">
        <f>(((VERI_TABANI!D23*B830*(VERI_TABANI!$B$13-VERI_TABANI!$B$14)) + (VERI_TABANI!D23*C830*(VERI_TABANI!$B$13-VERI_TABANI!$B$15)) + IF(ISNUMBER(SEARCH("Var", D830)), VERI_TABANI!F23*(0.00202-VERI_TABANI!$B$16), IF(ISNUMBER(SEARCH("Gri", D830)), VERI_TABANI!F23*(0.00202-VERI_TABANI!$B$17), 0))) + ((VERI_TABANI!D24*B830*(VERI_TABANI!$B$13-VERI_TABANI!$B$14)) + (VERI_TABANI!D24*C830*(VERI_TABANI!$B$13-VERI_TABANI!$B$15)) + IF(ISNUMBER(SEARCH("Var", D830)), VERI_TABANI!F24*(0.00202-VERI_TABANI!$B$16), IF(ISNUMBER(SEARCH("Gri", D830)), VERI_TABANI!F24*(0.00202-VERI_TABANI!$B$17), 0))) + ((VERI_TABANI!D25*B830*(VERI_TABANI!$B$13-VERI_TABANI!$B$14)) + (VERI_TABANI!D25*C830*(VERI_TABANI!$B$13-VERI_TABANI!$B$15)) + IF(ISNUMBER(SEARCH("Var", D830)), VERI_TABANI!F25*(0.00202-VERI_TABANI!$B$16), IF(ISNUMBER(SEARCH("Gri", D830)), VERI_TABANI!F25*(0.00202-VERI_TABANI!$B$17), 0))) + ((VERI_TABANI!D26*B830*(VERI_TABANI!$B$13-VERI_TABANI!$B$14)) + (VERI_TABANI!D26*C830*(VERI_TABANI!$B$13-VERI_TABANI!$B$15)) + IF(ISNUMBER(SEARCH("Var", D830)), VERI_TABANI!F26*(0.00202-VERI_TABANI!$B$16), IF(ISNUMBER(SEARCH("Gri", D830)), VERI_TABANI!F26*(0.00202-VERI_TABANI!$B$17), 0))) + ((VERI_TABANI!D27*B830*(VERI_TABANI!$B$13-VERI_TABANI!$B$14)) + (VERI_TABANI!D27*C830*(VERI_TABANI!$B$13-VERI_TABANI!$B$15)) + IF(ISNUMBER(SEARCH("Var", D830)), VERI_TABANI!F27*(0.00202-VERI_TABANI!$B$16), IF(ISNUMBER(SEARCH("Gri", D830)), VERI_TABANI!F27*(0.00202-VERI_TABANI!$B$17), 0))) + ((VERI_TABANI!D28*B830*(VERI_TABANI!$B$13-VERI_TABANI!$B$14)) + (VERI_TABANI!D28*C830*(VERI_TABANI!$B$13-VERI_TABANI!$B$15)) + IF(ISNUMBER(SEARCH("Var", D830)), VERI_TABANI!F28*(0.00202-VERI_TABANI!$B$16), IF(ISNUMBER(SEARCH("Gri", D830)), VERI_TABANI!F28*(0.00202-VERI_TABANI!$B$17), 0))))</f>
        <v/>
      </c>
      <c r="I830" s="170">
        <f>IFERROR(((VERI_TABANI!$D$29*B830*VERI_TABANI!$B$14 + VERI_TABANI!$D$29*C830*VERI_TABANI!$B$15 + IF(ISNUMBER(SEARCH("Var", D830)), VERI_TABANI!$F$29*VERI_TABANI!$B$16, 0))) / (((VERI_TABANI!$D$29*B830 + VERI_TABANI!$D$29*C830)*VERI_TABANI!$B$13 + IF(ISNUMBER(SEARCH("Var", D830)), VERI_TABANI!$E$29*(1-0.928)*VERI_TABANI!$B$18, 0))), 0)</f>
        <v/>
      </c>
      <c r="J830" s="171">
        <f>IFERROR(F830/(G830/29), 0)</f>
        <v/>
      </c>
      <c r="K830" s="172">
        <f>IF(F830&gt;0, H830/F830, 0)</f>
        <v/>
      </c>
      <c r="L830" s="170">
        <f>IF(F830&gt;0, I830, 1000000000)</f>
        <v/>
      </c>
      <c r="M830" s="171">
        <f>ABS((B830+C830)-1)</f>
        <v/>
      </c>
      <c r="N830" s="170">
        <f>IF(F830&gt;0, (G830/29)/F830, 0)</f>
        <v/>
      </c>
      <c r="O830" s="168">
        <f>IF(AND((B830+C830)&gt;=1, ISNUMBER(SEARCH("Var", D830))), F830, 1000000000)</f>
        <v/>
      </c>
      <c r="P830" s="172">
        <f>IF(F830&gt;0, SQRT((F830/MAX(F$5:F$886))^2 + (1 - H830/MAX(H$5:H$886))^2 + (J830/MAX(J$5:J$886))^2), 1000000000)</f>
        <v/>
      </c>
      <c r="Q830" s="166">
        <f>IF(AND(ABS(B830-0.5)&lt;0.01, ABS(C830-0.5)&lt;0.01, ISNUMBER(SEARCH("Var", D830))), 1, 0)</f>
        <v/>
      </c>
      <c r="R830" s="171">
        <f>IF(F830&gt;0, J830, 1000000000)</f>
        <v/>
      </c>
      <c r="S830" s="101">
        <f>IF(AND(F830&lt;=DASHBOARD!$B$11, H830&gt;=DASHBOARD!$B$13), G830, -1000000000000)</f>
        <v/>
      </c>
      <c r="T830" s="101">
        <f>IF(AND(F830&lt;=DASHBOARD!$B$11, H830&gt;=DASHBOARD!$B$13), R830, 1000000000000)</f>
        <v/>
      </c>
      <c r="U830" s="101">
        <f>IF(AND(F830&lt;=DASHBOARD!$B$11, H830&gt;=DASHBOARD!$B$13), N830, -1000000000000)</f>
        <v/>
      </c>
      <c r="V830" s="101">
        <f>IF(AND(F830&lt;=DASHBOARD!$B$11, H830&gt;=DASHBOARD!$B$13), H830, -1000000000000)</f>
        <v/>
      </c>
      <c r="W830" s="101">
        <f>IF(AND(F830&lt;=DASHBOARD!$B$11, H830&gt;=DASHBOARD!$B$13), K830, -1000000000000)</f>
        <v/>
      </c>
      <c r="X830" s="101">
        <f>IF(AND(F830&lt;=DASHBOARD!$B$11, H830&gt;=DASHBOARD!$B$13), M830, 1000000000000)</f>
        <v/>
      </c>
      <c r="Y830" s="101">
        <f>IF(AND(F830&lt;=DASHBOARD!$B$10, H830&gt;=DASHBOARD!$B$11), L830, 1000000000000)</f>
        <v/>
      </c>
      <c r="Z830" s="101">
        <f>IF(AND(F830&lt;=DASHBOARD!$B$10, H830&gt;=DASHBOARD!$B$11), O830, 1000000000000)</f>
        <v/>
      </c>
      <c r="AA830" s="101">
        <f>IF(AND(F830&lt;=DASHBOARD!$B$10, H830&gt;=DASHBOARD!$B$11), P830, 1000000000000)</f>
        <v/>
      </c>
      <c r="AB830" s="101">
        <f>IF(AND(F830&lt;=DASHBOARD!$B$10, H830&gt;=DASHBOARD!$B$11), Q830, -1000000000000)</f>
        <v/>
      </c>
    </row>
    <row r="831" ht="15" customHeight="1" s="102">
      <c r="A831" s="166" t="n">
        <v>827</v>
      </c>
      <c r="B831" s="167" t="n">
        <v>1.9</v>
      </c>
      <c r="C831" s="167" t="n">
        <v>1.4</v>
      </c>
      <c r="D831" s="110" t="inlineStr">
        <is>
          <t>Yok (%0)</t>
        </is>
      </c>
      <c r="E831" s="110">
        <f>IF((B831+C831)&lt;=1, "Tam Mahsuplaşma (≤%100)", "Kısmi Satış (&gt;%100)")</f>
        <v/>
      </c>
      <c r="F831" s="168">
        <f>((VERI_TABANI!$D$29*B831/VERI_TABANI!$B$29)/VERI_TABANI!$B$3)*VERI_TABANI!$B$5 + ((VERI_TABANI!$D$29*C831/VERI_TABANI!$B$29)/VERI_TABANI!$B$4)*VERI_TABANI!$B$6 + IF(ISNUMBER(SEARCH("Var", D831)), (VERI_TABANI!$F$29/VERI_TABANI!$B$29)*(VERI_TABANI!$B$10+VERI_TABANI!$B$12), 0)</f>
        <v/>
      </c>
      <c r="G831" s="168">
        <f>(((MIN(VERI_TABANI!D23, VERI_TABANI!D23*B831)*VERI_TABANI!$B$7 + MAX(0, VERI_TABANI!D23*B831-VERI_TABANI!D23)*VERI_TABANI!$B$8) + (MIN(MAX(0, VERI_TABANI!D23-VERI_TABANI!D23*B831), VERI_TABANI!D23*C831)*VERI_TABANI!$B$7 + MAX(0, VERI_TABANI!D23*C831-MAX(0, VERI_TABANI!D23-VERI_TABANI!D23*B831))*VERI_TABANI!$B$8) + IF(ABS(IF(ISNUMBER(SEARCH("Var", D831)), 1, IF(ISNUMBER(SEARCH("Gri", D831)), -1, 0)))=1, VERI_TABANI!E23*(1-0.928)*VERI_TABANI!$B$9, 0) + (VERI_TABANI!D23*B831*(VERI_TABANI!$B$13-VERI_TABANI!$B$14)*VERI_TABANI!G23) + (VERI_TABANI!D23*C831*(VERI_TABANI!$B$13-VERI_TABANI!$B$15)*VERI_TABANI!G23) + IF(ABS(IF(ISNUMBER(SEARCH("Var", D831)), 1, IF(ISNUMBER(SEARCH("Gri", D831)), -1, 0)))=1, VERI_TABANI!E23*(1-0.928)*0.00206091519919798*VERI_TABANI!G23, 0)) + ((MIN(VERI_TABANI!D24, VERI_TABANI!D24*B831)*VERI_TABANI!$B$7 + MAX(0, VERI_TABANI!D24*B831-VERI_TABANI!D24)*VERI_TABANI!$B$8) + (MIN(MAX(0, VERI_TABANI!D24-VERI_TABANI!D24*B831), VERI_TABANI!D24*C831)*VERI_TABANI!$B$7 + MAX(0, VERI_TABANI!D24*C831-MAX(0, VERI_TABANI!D24-VERI_TABANI!D24*B831))*VERI_TABANI!$B$8) + IF(ABS(IF(ISNUMBER(SEARCH("Var", D831)), 1, IF(ISNUMBER(SEARCH("Gri", D831)), -1, 0)))=1, VERI_TABANI!E24*(1-0.928)*VERI_TABANI!$B$9, 0) + (VERI_TABANI!D24*B831*(VERI_TABANI!$B$13-VERI_TABANI!$B$14)*VERI_TABANI!G24) + (VERI_TABANI!D24*C831*(VERI_TABANI!$B$13-VERI_TABANI!$B$15)*VERI_TABANI!G24) + IF(ABS(IF(ISNUMBER(SEARCH("Var", D831)), 1, IF(ISNUMBER(SEARCH("Gri", D831)), -1, 0)))=1, VERI_TABANI!E24*(1-0.928)*0.00206091519919798*VERI_TABANI!G24, 0)) + ((MIN(VERI_TABANI!D25, VERI_TABANI!D25*B831)*VERI_TABANI!$B$7 + MAX(0, VERI_TABANI!D25*B831-VERI_TABANI!D25)*VERI_TABANI!$B$8) + (MIN(MAX(0, VERI_TABANI!D25-VERI_TABANI!D25*B831), VERI_TABANI!D25*C831)*VERI_TABANI!$B$7 + MAX(0, VERI_TABANI!D25*C831-MAX(0, VERI_TABANI!D25-VERI_TABANI!D25*B831))*VERI_TABANI!$B$8) + IF(ABS(IF(ISNUMBER(SEARCH("Var", D831)), 1, IF(ISNUMBER(SEARCH("Gri", D831)), -1, 0)))=1, VERI_TABANI!E25*(1-0.928)*VERI_TABANI!$B$9, 0) + (VERI_TABANI!D25*B831*(VERI_TABANI!$B$13-VERI_TABANI!$B$14)*VERI_TABANI!G25) + (VERI_TABANI!D25*C831*(VERI_TABANI!$B$13-VERI_TABANI!$B$15)*VERI_TABANI!G25) + IF(ABS(IF(ISNUMBER(SEARCH("Var", D831)), 1, IF(ISNUMBER(SEARCH("Gri", D831)), -1, 0)))=1, VERI_TABANI!E25*(1-0.928)*0.00206091519919798*VERI_TABANI!G25, 0)) + ((MIN(VERI_TABANI!D26, VERI_TABANI!D26*B831)*VERI_TABANI!$B$7 + MAX(0, VERI_TABANI!D26*B831-VERI_TABANI!D26)*VERI_TABANI!$B$8) + (MIN(MAX(0, VERI_TABANI!D26-VERI_TABANI!D26*B831), VERI_TABANI!D26*C831)*VERI_TABANI!$B$7 + MAX(0, VERI_TABANI!D26*C831-MAX(0, VERI_TABANI!D26-VERI_TABANI!D26*B831))*VERI_TABANI!$B$8) + IF(ABS(IF(ISNUMBER(SEARCH("Var", D831)), 1, IF(ISNUMBER(SEARCH("Gri", D831)), -1, 0)))=1, VERI_TABANI!E26*(1-0.928)*VERI_TABANI!$B$9, 0) + (VERI_TABANI!D26*B831*(VERI_TABANI!$B$13-VERI_TABANI!$B$14)*VERI_TABANI!G26) + (VERI_TABANI!D26*C831*(VERI_TABANI!$B$13-VERI_TABANI!$B$15)*VERI_TABANI!G26) + IF(ABS(IF(ISNUMBER(SEARCH("Var", D831)), 1, IF(ISNUMBER(SEARCH("Gri", D831)), -1, 0)))=1, VERI_TABANI!E26*(1-0.928)*0.00206091519919798*VERI_TABANI!G26, 0)) + ((MIN(VERI_TABANI!D27, VERI_TABANI!D27*B831)*VERI_TABANI!$B$7 + MAX(0, VERI_TABANI!D27*B831-VERI_TABANI!D27)*VERI_TABANI!$B$8) + (MIN(MAX(0, VERI_TABANI!D27-VERI_TABANI!D27*B831), VERI_TABANI!D27*C831)*VERI_TABANI!$B$7 + MAX(0, VERI_TABANI!D27*C831-MAX(0, VERI_TABANI!D27-VERI_TABANI!D27*B831))*VERI_TABANI!$B$8) + IF(ABS(IF(ISNUMBER(SEARCH("Var", D831)), 1, IF(ISNUMBER(SEARCH("Gri", D831)), -1, 0)))=1, VERI_TABANI!E27*(1-0.928)*VERI_TABANI!$B$9, 0) + (VERI_TABANI!D27*B831*(VERI_TABANI!$B$13-VERI_TABANI!$B$14)*VERI_TABANI!G27) + (VERI_TABANI!D27*C831*(VERI_TABANI!$B$13-VERI_TABANI!$B$15)*VERI_TABANI!G27) + IF(ABS(IF(ISNUMBER(SEARCH("Var", D831)), 1, IF(ISNUMBER(SEARCH("Gri", D831)), -1, 0)))=1, VERI_TABANI!E27*(1-0.928)*0.00206091519919798*VERI_TABANI!G27, 0)) + ((MIN(VERI_TABANI!D28, VERI_TABANI!D28*B831)*VERI_TABANI!$B$7 + MAX(0, VERI_TABANI!D28*B831-VERI_TABANI!D28)*VERI_TABANI!$B$8) + (MIN(MAX(0, VERI_TABANI!D28-VERI_TABANI!D28*B831), VERI_TABANI!D28*C831)*VERI_TABANI!$B$7 + MAX(0, VERI_TABANI!D28*C831-MAX(0, VERI_TABANI!D28-VERI_TABANI!D28*B831))*VERI_TABANI!$B$8) + IF(ABS(IF(ISNUMBER(SEARCH("Var", D831)), 1, IF(ISNUMBER(SEARCH("Gri", D831)), -1, 0)))=1, VERI_TABANI!E28*(1-0.928)*VERI_TABANI!$B$9, 0) + (VERI_TABANI!D28*B831*(VERI_TABANI!$B$13-VERI_TABANI!$B$14)*VERI_TABANI!G28) + (VERI_TABANI!D28*C831*(VERI_TABANI!$B$13-VERI_TABANI!$B$15)*VERI_TABANI!G28) + IF(ABS(IF(ISNUMBER(SEARCH("Var", D831)), 1, IF(ISNUMBER(SEARCH("Gri", D831)), -1, 0)))=1, VERI_TABANI!E28*(1-0.928)*0.00206091519919798*VERI_TABANI!G28, 0)))</f>
        <v/>
      </c>
      <c r="H831" s="169">
        <f>(((VERI_TABANI!D23*B831*(VERI_TABANI!$B$13-VERI_TABANI!$B$14)) + (VERI_TABANI!D23*C831*(VERI_TABANI!$B$13-VERI_TABANI!$B$15)) + IF(ISNUMBER(SEARCH("Var", D831)), VERI_TABANI!F23*(0.00202-VERI_TABANI!$B$16), IF(ISNUMBER(SEARCH("Gri", D831)), VERI_TABANI!F23*(0.00202-VERI_TABANI!$B$17), 0))) + ((VERI_TABANI!D24*B831*(VERI_TABANI!$B$13-VERI_TABANI!$B$14)) + (VERI_TABANI!D24*C831*(VERI_TABANI!$B$13-VERI_TABANI!$B$15)) + IF(ISNUMBER(SEARCH("Var", D831)), VERI_TABANI!F24*(0.00202-VERI_TABANI!$B$16), IF(ISNUMBER(SEARCH("Gri", D831)), VERI_TABANI!F24*(0.00202-VERI_TABANI!$B$17), 0))) + ((VERI_TABANI!D25*B831*(VERI_TABANI!$B$13-VERI_TABANI!$B$14)) + (VERI_TABANI!D25*C831*(VERI_TABANI!$B$13-VERI_TABANI!$B$15)) + IF(ISNUMBER(SEARCH("Var", D831)), VERI_TABANI!F25*(0.00202-VERI_TABANI!$B$16), IF(ISNUMBER(SEARCH("Gri", D831)), VERI_TABANI!F25*(0.00202-VERI_TABANI!$B$17), 0))) + ((VERI_TABANI!D26*B831*(VERI_TABANI!$B$13-VERI_TABANI!$B$14)) + (VERI_TABANI!D26*C831*(VERI_TABANI!$B$13-VERI_TABANI!$B$15)) + IF(ISNUMBER(SEARCH("Var", D831)), VERI_TABANI!F26*(0.00202-VERI_TABANI!$B$16), IF(ISNUMBER(SEARCH("Gri", D831)), VERI_TABANI!F26*(0.00202-VERI_TABANI!$B$17), 0))) + ((VERI_TABANI!D27*B831*(VERI_TABANI!$B$13-VERI_TABANI!$B$14)) + (VERI_TABANI!D27*C831*(VERI_TABANI!$B$13-VERI_TABANI!$B$15)) + IF(ISNUMBER(SEARCH("Var", D831)), VERI_TABANI!F27*(0.00202-VERI_TABANI!$B$16), IF(ISNUMBER(SEARCH("Gri", D831)), VERI_TABANI!F27*(0.00202-VERI_TABANI!$B$17), 0))) + ((VERI_TABANI!D28*B831*(VERI_TABANI!$B$13-VERI_TABANI!$B$14)) + (VERI_TABANI!D28*C831*(VERI_TABANI!$B$13-VERI_TABANI!$B$15)) + IF(ISNUMBER(SEARCH("Var", D831)), VERI_TABANI!F28*(0.00202-VERI_TABANI!$B$16), IF(ISNUMBER(SEARCH("Gri", D831)), VERI_TABANI!F28*(0.00202-VERI_TABANI!$B$17), 0))))</f>
        <v/>
      </c>
      <c r="I831" s="170">
        <f>IFERROR(((VERI_TABANI!$D$29*B831*VERI_TABANI!$B$14 + VERI_TABANI!$D$29*C831*VERI_TABANI!$B$15 + IF(ISNUMBER(SEARCH("Var", D831)), VERI_TABANI!$F$29*VERI_TABANI!$B$16, 0))) / (((VERI_TABANI!$D$29*B831 + VERI_TABANI!$D$29*C831)*VERI_TABANI!$B$13 + IF(ISNUMBER(SEARCH("Var", D831)), VERI_TABANI!$E$29*(1-0.928)*VERI_TABANI!$B$18, 0))), 0)</f>
        <v/>
      </c>
      <c r="J831" s="171">
        <f>IFERROR(F831/(G831/29), 0)</f>
        <v/>
      </c>
      <c r="K831" s="172">
        <f>IF(F831&gt;0, H831/F831, 0)</f>
        <v/>
      </c>
      <c r="L831" s="170">
        <f>IF(F831&gt;0, I831, 1000000000)</f>
        <v/>
      </c>
      <c r="M831" s="171">
        <f>ABS((B831+C831)-1)</f>
        <v/>
      </c>
      <c r="N831" s="170">
        <f>IF(F831&gt;0, (G831/29)/F831, 0)</f>
        <v/>
      </c>
      <c r="O831" s="168">
        <f>IF(AND((B831+C831)&gt;=1, ISNUMBER(SEARCH("Var", D831))), F831, 1000000000)</f>
        <v/>
      </c>
      <c r="P831" s="172">
        <f>IF(F831&gt;0, SQRT((F831/MAX(F$5:F$886))^2 + (1 - H831/MAX(H$5:H$886))^2 + (J831/MAX(J$5:J$886))^2), 1000000000)</f>
        <v/>
      </c>
      <c r="Q831" s="166">
        <f>IF(AND(ABS(B831-0.5)&lt;0.01, ABS(C831-0.5)&lt;0.01, ISNUMBER(SEARCH("Var", D831))), 1, 0)</f>
        <v/>
      </c>
      <c r="R831" s="171">
        <f>IF(F831&gt;0, J831, 1000000000)</f>
        <v/>
      </c>
      <c r="S831" s="101">
        <f>IF(AND(F831&lt;=DASHBOARD!$B$11, H831&gt;=DASHBOARD!$B$13), G831, -1000000000000)</f>
        <v/>
      </c>
      <c r="T831" s="101">
        <f>IF(AND(F831&lt;=DASHBOARD!$B$11, H831&gt;=DASHBOARD!$B$13), R831, 1000000000000)</f>
        <v/>
      </c>
      <c r="U831" s="101">
        <f>IF(AND(F831&lt;=DASHBOARD!$B$11, H831&gt;=DASHBOARD!$B$13), N831, -1000000000000)</f>
        <v/>
      </c>
      <c r="V831" s="101">
        <f>IF(AND(F831&lt;=DASHBOARD!$B$11, H831&gt;=DASHBOARD!$B$13), H831, -1000000000000)</f>
        <v/>
      </c>
      <c r="W831" s="101">
        <f>IF(AND(F831&lt;=DASHBOARD!$B$11, H831&gt;=DASHBOARD!$B$13), K831, -1000000000000)</f>
        <v/>
      </c>
      <c r="X831" s="101">
        <f>IF(AND(F831&lt;=DASHBOARD!$B$11, H831&gt;=DASHBOARD!$B$13), M831, 1000000000000)</f>
        <v/>
      </c>
      <c r="Y831" s="101">
        <f>IF(AND(F831&lt;=DASHBOARD!$B$10, H831&gt;=DASHBOARD!$B$11), L831, 1000000000000)</f>
        <v/>
      </c>
      <c r="Z831" s="101">
        <f>IF(AND(F831&lt;=DASHBOARD!$B$10, H831&gt;=DASHBOARD!$B$11), O831, 1000000000000)</f>
        <v/>
      </c>
      <c r="AA831" s="101">
        <f>IF(AND(F831&lt;=DASHBOARD!$B$10, H831&gt;=DASHBOARD!$B$11), P831, 1000000000000)</f>
        <v/>
      </c>
      <c r="AB831" s="101">
        <f>IF(AND(F831&lt;=DASHBOARD!$B$10, H831&gt;=DASHBOARD!$B$11), Q831, -1000000000000)</f>
        <v/>
      </c>
    </row>
    <row r="832" ht="15" customHeight="1" s="102">
      <c r="A832" s="166" t="n">
        <v>828</v>
      </c>
      <c r="B832" s="167" t="n">
        <v>1.9</v>
      </c>
      <c r="C832" s="167" t="n">
        <v>1.4</v>
      </c>
      <c r="D832" s="110" t="inlineStr">
        <is>
          <t>Var (%20)</t>
        </is>
      </c>
      <c r="E832" s="110">
        <f>IF((B832+C832)&lt;=1, "Tam Mahsuplaşma (≤%100)", "Kısmi Satış (&gt;%100)")</f>
        <v/>
      </c>
      <c r="F832" s="168">
        <f>((VERI_TABANI!$D$29*B832/VERI_TABANI!$B$29)/VERI_TABANI!$B$3)*VERI_TABANI!$B$5 + ((VERI_TABANI!$D$29*C832/VERI_TABANI!$B$29)/VERI_TABANI!$B$4)*VERI_TABANI!$B$6 + IF(ISNUMBER(SEARCH("Var", D832)), (VERI_TABANI!$F$29/VERI_TABANI!$B$29)*(VERI_TABANI!$B$10+VERI_TABANI!$B$12), 0)</f>
        <v/>
      </c>
      <c r="G832" s="168">
        <f>(((MIN(VERI_TABANI!D23, VERI_TABANI!D23*B832)*VERI_TABANI!$B$7 + MAX(0, VERI_TABANI!D23*B832-VERI_TABANI!D23)*VERI_TABANI!$B$8) + (MIN(MAX(0, VERI_TABANI!D23-VERI_TABANI!D23*B832), VERI_TABANI!D23*C832)*VERI_TABANI!$B$7 + MAX(0, VERI_TABANI!D23*C832-MAX(0, VERI_TABANI!D23-VERI_TABANI!D23*B832))*VERI_TABANI!$B$8) + IF(ABS(IF(ISNUMBER(SEARCH("Var", D832)), 1, IF(ISNUMBER(SEARCH("Gri", D832)), -1, 0)))=1, VERI_TABANI!E23*(1-0.928)*VERI_TABANI!$B$9, 0) + (VERI_TABANI!D23*B832*(VERI_TABANI!$B$13-VERI_TABANI!$B$14)*VERI_TABANI!G23) + (VERI_TABANI!D23*C832*(VERI_TABANI!$B$13-VERI_TABANI!$B$15)*VERI_TABANI!G23) + IF(ABS(IF(ISNUMBER(SEARCH("Var", D832)), 1, IF(ISNUMBER(SEARCH("Gri", D832)), -1, 0)))=1, VERI_TABANI!E23*(1-0.928)*0.00206091519919798*VERI_TABANI!G23, 0)) + ((MIN(VERI_TABANI!D24, VERI_TABANI!D24*B832)*VERI_TABANI!$B$7 + MAX(0, VERI_TABANI!D24*B832-VERI_TABANI!D24)*VERI_TABANI!$B$8) + (MIN(MAX(0, VERI_TABANI!D24-VERI_TABANI!D24*B832), VERI_TABANI!D24*C832)*VERI_TABANI!$B$7 + MAX(0, VERI_TABANI!D24*C832-MAX(0, VERI_TABANI!D24-VERI_TABANI!D24*B832))*VERI_TABANI!$B$8) + IF(ABS(IF(ISNUMBER(SEARCH("Var", D832)), 1, IF(ISNUMBER(SEARCH("Gri", D832)), -1, 0)))=1, VERI_TABANI!E24*(1-0.928)*VERI_TABANI!$B$9, 0) + (VERI_TABANI!D24*B832*(VERI_TABANI!$B$13-VERI_TABANI!$B$14)*VERI_TABANI!G24) + (VERI_TABANI!D24*C832*(VERI_TABANI!$B$13-VERI_TABANI!$B$15)*VERI_TABANI!G24) + IF(ABS(IF(ISNUMBER(SEARCH("Var", D832)), 1, IF(ISNUMBER(SEARCH("Gri", D832)), -1, 0)))=1, VERI_TABANI!E24*(1-0.928)*0.00206091519919798*VERI_TABANI!G24, 0)) + ((MIN(VERI_TABANI!D25, VERI_TABANI!D25*B832)*VERI_TABANI!$B$7 + MAX(0, VERI_TABANI!D25*B832-VERI_TABANI!D25)*VERI_TABANI!$B$8) + (MIN(MAX(0, VERI_TABANI!D25-VERI_TABANI!D25*B832), VERI_TABANI!D25*C832)*VERI_TABANI!$B$7 + MAX(0, VERI_TABANI!D25*C832-MAX(0, VERI_TABANI!D25-VERI_TABANI!D25*B832))*VERI_TABANI!$B$8) + IF(ABS(IF(ISNUMBER(SEARCH("Var", D832)), 1, IF(ISNUMBER(SEARCH("Gri", D832)), -1, 0)))=1, VERI_TABANI!E25*(1-0.928)*VERI_TABANI!$B$9, 0) + (VERI_TABANI!D25*B832*(VERI_TABANI!$B$13-VERI_TABANI!$B$14)*VERI_TABANI!G25) + (VERI_TABANI!D25*C832*(VERI_TABANI!$B$13-VERI_TABANI!$B$15)*VERI_TABANI!G25) + IF(ABS(IF(ISNUMBER(SEARCH("Var", D832)), 1, IF(ISNUMBER(SEARCH("Gri", D832)), -1, 0)))=1, VERI_TABANI!E25*(1-0.928)*0.00206091519919798*VERI_TABANI!G25, 0)) + ((MIN(VERI_TABANI!D26, VERI_TABANI!D26*B832)*VERI_TABANI!$B$7 + MAX(0, VERI_TABANI!D26*B832-VERI_TABANI!D26)*VERI_TABANI!$B$8) + (MIN(MAX(0, VERI_TABANI!D26-VERI_TABANI!D26*B832), VERI_TABANI!D26*C832)*VERI_TABANI!$B$7 + MAX(0, VERI_TABANI!D26*C832-MAX(0, VERI_TABANI!D26-VERI_TABANI!D26*B832))*VERI_TABANI!$B$8) + IF(ABS(IF(ISNUMBER(SEARCH("Var", D832)), 1, IF(ISNUMBER(SEARCH("Gri", D832)), -1, 0)))=1, VERI_TABANI!E26*(1-0.928)*VERI_TABANI!$B$9, 0) + (VERI_TABANI!D26*B832*(VERI_TABANI!$B$13-VERI_TABANI!$B$14)*VERI_TABANI!G26) + (VERI_TABANI!D26*C832*(VERI_TABANI!$B$13-VERI_TABANI!$B$15)*VERI_TABANI!G26) + IF(ABS(IF(ISNUMBER(SEARCH("Var", D832)), 1, IF(ISNUMBER(SEARCH("Gri", D832)), -1, 0)))=1, VERI_TABANI!E26*(1-0.928)*0.00206091519919798*VERI_TABANI!G26, 0)) + ((MIN(VERI_TABANI!D27, VERI_TABANI!D27*B832)*VERI_TABANI!$B$7 + MAX(0, VERI_TABANI!D27*B832-VERI_TABANI!D27)*VERI_TABANI!$B$8) + (MIN(MAX(0, VERI_TABANI!D27-VERI_TABANI!D27*B832), VERI_TABANI!D27*C832)*VERI_TABANI!$B$7 + MAX(0, VERI_TABANI!D27*C832-MAX(0, VERI_TABANI!D27-VERI_TABANI!D27*B832))*VERI_TABANI!$B$8) + IF(ABS(IF(ISNUMBER(SEARCH("Var", D832)), 1, IF(ISNUMBER(SEARCH("Gri", D832)), -1, 0)))=1, VERI_TABANI!E27*(1-0.928)*VERI_TABANI!$B$9, 0) + (VERI_TABANI!D27*B832*(VERI_TABANI!$B$13-VERI_TABANI!$B$14)*VERI_TABANI!G27) + (VERI_TABANI!D27*C832*(VERI_TABANI!$B$13-VERI_TABANI!$B$15)*VERI_TABANI!G27) + IF(ABS(IF(ISNUMBER(SEARCH("Var", D832)), 1, IF(ISNUMBER(SEARCH("Gri", D832)), -1, 0)))=1, VERI_TABANI!E27*(1-0.928)*0.00206091519919798*VERI_TABANI!G27, 0)) + ((MIN(VERI_TABANI!D28, VERI_TABANI!D28*B832)*VERI_TABANI!$B$7 + MAX(0, VERI_TABANI!D28*B832-VERI_TABANI!D28)*VERI_TABANI!$B$8) + (MIN(MAX(0, VERI_TABANI!D28-VERI_TABANI!D28*B832), VERI_TABANI!D28*C832)*VERI_TABANI!$B$7 + MAX(0, VERI_TABANI!D28*C832-MAX(0, VERI_TABANI!D28-VERI_TABANI!D28*B832))*VERI_TABANI!$B$8) + IF(ABS(IF(ISNUMBER(SEARCH("Var", D832)), 1, IF(ISNUMBER(SEARCH("Gri", D832)), -1, 0)))=1, VERI_TABANI!E28*(1-0.928)*VERI_TABANI!$B$9, 0) + (VERI_TABANI!D28*B832*(VERI_TABANI!$B$13-VERI_TABANI!$B$14)*VERI_TABANI!G28) + (VERI_TABANI!D28*C832*(VERI_TABANI!$B$13-VERI_TABANI!$B$15)*VERI_TABANI!G28) + IF(ABS(IF(ISNUMBER(SEARCH("Var", D832)), 1, IF(ISNUMBER(SEARCH("Gri", D832)), -1, 0)))=1, VERI_TABANI!E28*(1-0.928)*0.00206091519919798*VERI_TABANI!G28, 0)))</f>
        <v/>
      </c>
      <c r="H832" s="169">
        <f>(((VERI_TABANI!D23*B832*(VERI_TABANI!$B$13-VERI_TABANI!$B$14)) + (VERI_TABANI!D23*C832*(VERI_TABANI!$B$13-VERI_TABANI!$B$15)) + IF(ISNUMBER(SEARCH("Var", D832)), VERI_TABANI!F23*(0.00202-VERI_TABANI!$B$16), IF(ISNUMBER(SEARCH("Gri", D832)), VERI_TABANI!F23*(0.00202-VERI_TABANI!$B$17), 0))) + ((VERI_TABANI!D24*B832*(VERI_TABANI!$B$13-VERI_TABANI!$B$14)) + (VERI_TABANI!D24*C832*(VERI_TABANI!$B$13-VERI_TABANI!$B$15)) + IF(ISNUMBER(SEARCH("Var", D832)), VERI_TABANI!F24*(0.00202-VERI_TABANI!$B$16), IF(ISNUMBER(SEARCH("Gri", D832)), VERI_TABANI!F24*(0.00202-VERI_TABANI!$B$17), 0))) + ((VERI_TABANI!D25*B832*(VERI_TABANI!$B$13-VERI_TABANI!$B$14)) + (VERI_TABANI!D25*C832*(VERI_TABANI!$B$13-VERI_TABANI!$B$15)) + IF(ISNUMBER(SEARCH("Var", D832)), VERI_TABANI!F25*(0.00202-VERI_TABANI!$B$16), IF(ISNUMBER(SEARCH("Gri", D832)), VERI_TABANI!F25*(0.00202-VERI_TABANI!$B$17), 0))) + ((VERI_TABANI!D26*B832*(VERI_TABANI!$B$13-VERI_TABANI!$B$14)) + (VERI_TABANI!D26*C832*(VERI_TABANI!$B$13-VERI_TABANI!$B$15)) + IF(ISNUMBER(SEARCH("Var", D832)), VERI_TABANI!F26*(0.00202-VERI_TABANI!$B$16), IF(ISNUMBER(SEARCH("Gri", D832)), VERI_TABANI!F26*(0.00202-VERI_TABANI!$B$17), 0))) + ((VERI_TABANI!D27*B832*(VERI_TABANI!$B$13-VERI_TABANI!$B$14)) + (VERI_TABANI!D27*C832*(VERI_TABANI!$B$13-VERI_TABANI!$B$15)) + IF(ISNUMBER(SEARCH("Var", D832)), VERI_TABANI!F27*(0.00202-VERI_TABANI!$B$16), IF(ISNUMBER(SEARCH("Gri", D832)), VERI_TABANI!F27*(0.00202-VERI_TABANI!$B$17), 0))) + ((VERI_TABANI!D28*B832*(VERI_TABANI!$B$13-VERI_TABANI!$B$14)) + (VERI_TABANI!D28*C832*(VERI_TABANI!$B$13-VERI_TABANI!$B$15)) + IF(ISNUMBER(SEARCH("Var", D832)), VERI_TABANI!F28*(0.00202-VERI_TABANI!$B$16), IF(ISNUMBER(SEARCH("Gri", D832)), VERI_TABANI!F28*(0.00202-VERI_TABANI!$B$17), 0))))</f>
        <v/>
      </c>
      <c r="I832" s="170">
        <f>IFERROR(((VERI_TABANI!$D$29*B832*VERI_TABANI!$B$14 + VERI_TABANI!$D$29*C832*VERI_TABANI!$B$15 + IF(ISNUMBER(SEARCH("Var", D832)), VERI_TABANI!$F$29*VERI_TABANI!$B$16, 0))) / (((VERI_TABANI!$D$29*B832 + VERI_TABANI!$D$29*C832)*VERI_TABANI!$B$13 + IF(ISNUMBER(SEARCH("Var", D832)), VERI_TABANI!$E$29*(1-0.928)*VERI_TABANI!$B$18, 0))), 0)</f>
        <v/>
      </c>
      <c r="J832" s="171">
        <f>IFERROR(F832/(G832/29), 0)</f>
        <v/>
      </c>
      <c r="K832" s="172">
        <f>IF(F832&gt;0, H832/F832, 0)</f>
        <v/>
      </c>
      <c r="L832" s="170">
        <f>IF(F832&gt;0, I832, 1000000000)</f>
        <v/>
      </c>
      <c r="M832" s="171">
        <f>ABS((B832+C832)-1)</f>
        <v/>
      </c>
      <c r="N832" s="170">
        <f>IF(F832&gt;0, (G832/29)/F832, 0)</f>
        <v/>
      </c>
      <c r="O832" s="168">
        <f>IF(AND((B832+C832)&gt;=1, ISNUMBER(SEARCH("Var", D832))), F832, 1000000000)</f>
        <v/>
      </c>
      <c r="P832" s="172">
        <f>IF(F832&gt;0, SQRT((F832/MAX(F$5:F$886))^2 + (1 - H832/MAX(H$5:H$886))^2 + (J832/MAX(J$5:J$886))^2), 1000000000)</f>
        <v/>
      </c>
      <c r="Q832" s="166">
        <f>IF(AND(ABS(B832-0.5)&lt;0.01, ABS(C832-0.5)&lt;0.01, ISNUMBER(SEARCH("Var", D832))), 1, 0)</f>
        <v/>
      </c>
      <c r="R832" s="171">
        <f>IF(F832&gt;0, J832, 1000000000)</f>
        <v/>
      </c>
      <c r="S832" s="101">
        <f>IF(AND(F832&lt;=DASHBOARD!$B$11, H832&gt;=DASHBOARD!$B$13), G832, -1000000000000)</f>
        <v/>
      </c>
      <c r="T832" s="101">
        <f>IF(AND(F832&lt;=DASHBOARD!$B$11, H832&gt;=DASHBOARD!$B$13), R832, 1000000000000)</f>
        <v/>
      </c>
      <c r="U832" s="101">
        <f>IF(AND(F832&lt;=DASHBOARD!$B$11, H832&gt;=DASHBOARD!$B$13), N832, -1000000000000)</f>
        <v/>
      </c>
      <c r="V832" s="101">
        <f>IF(AND(F832&lt;=DASHBOARD!$B$11, H832&gt;=DASHBOARD!$B$13), H832, -1000000000000)</f>
        <v/>
      </c>
      <c r="W832" s="101">
        <f>IF(AND(F832&lt;=DASHBOARD!$B$11, H832&gt;=DASHBOARD!$B$13), K832, -1000000000000)</f>
        <v/>
      </c>
      <c r="X832" s="101">
        <f>IF(AND(F832&lt;=DASHBOARD!$B$11, H832&gt;=DASHBOARD!$B$13), M832, 1000000000000)</f>
        <v/>
      </c>
      <c r="Y832" s="101">
        <f>IF(AND(F832&lt;=DASHBOARD!$B$10, H832&gt;=DASHBOARD!$B$11), L832, 1000000000000)</f>
        <v/>
      </c>
      <c r="Z832" s="101">
        <f>IF(AND(F832&lt;=DASHBOARD!$B$10, H832&gt;=DASHBOARD!$B$11), O832, 1000000000000)</f>
        <v/>
      </c>
      <c r="AA832" s="101">
        <f>IF(AND(F832&lt;=DASHBOARD!$B$10, H832&gt;=DASHBOARD!$B$11), P832, 1000000000000)</f>
        <v/>
      </c>
      <c r="AB832" s="101">
        <f>IF(AND(F832&lt;=DASHBOARD!$B$10, H832&gt;=DASHBOARD!$B$11), Q832, -1000000000000)</f>
        <v/>
      </c>
    </row>
    <row r="833" ht="15" customHeight="1" s="102">
      <c r="A833" s="166" t="n">
        <v>829</v>
      </c>
      <c r="B833" s="167" t="n">
        <v>1.9</v>
      </c>
      <c r="C833" s="167" t="n">
        <v>1.5</v>
      </c>
      <c r="D833" s="110" t="inlineStr">
        <is>
          <t>Yok (%0)</t>
        </is>
      </c>
      <c r="E833" s="110">
        <f>IF((B833+C833)&lt;=1, "Tam Mahsuplaşma (≤%100)", "Kısmi Satış (&gt;%100)")</f>
        <v/>
      </c>
      <c r="F833" s="168">
        <f>((VERI_TABANI!$D$29*B833/VERI_TABANI!$B$29)/VERI_TABANI!$B$3)*VERI_TABANI!$B$5 + ((VERI_TABANI!$D$29*C833/VERI_TABANI!$B$29)/VERI_TABANI!$B$4)*VERI_TABANI!$B$6 + IF(ISNUMBER(SEARCH("Var", D833)), (VERI_TABANI!$F$29/VERI_TABANI!$B$29)*(VERI_TABANI!$B$10+VERI_TABANI!$B$12), 0)</f>
        <v/>
      </c>
      <c r="G833" s="168">
        <f>(((MIN(VERI_TABANI!D23, VERI_TABANI!D23*B833)*VERI_TABANI!$B$7 + MAX(0, VERI_TABANI!D23*B833-VERI_TABANI!D23)*VERI_TABANI!$B$8) + (MIN(MAX(0, VERI_TABANI!D23-VERI_TABANI!D23*B833), VERI_TABANI!D23*C833)*VERI_TABANI!$B$7 + MAX(0, VERI_TABANI!D23*C833-MAX(0, VERI_TABANI!D23-VERI_TABANI!D23*B833))*VERI_TABANI!$B$8) + IF(ABS(IF(ISNUMBER(SEARCH("Var", D833)), 1, IF(ISNUMBER(SEARCH("Gri", D833)), -1, 0)))=1, VERI_TABANI!E23*(1-0.928)*VERI_TABANI!$B$9, 0) + (VERI_TABANI!D23*B833*(VERI_TABANI!$B$13-VERI_TABANI!$B$14)*VERI_TABANI!G23) + (VERI_TABANI!D23*C833*(VERI_TABANI!$B$13-VERI_TABANI!$B$15)*VERI_TABANI!G23) + IF(ABS(IF(ISNUMBER(SEARCH("Var", D833)), 1, IF(ISNUMBER(SEARCH("Gri", D833)), -1, 0)))=1, VERI_TABANI!E23*(1-0.928)*0.00206091519919798*VERI_TABANI!G23, 0)) + ((MIN(VERI_TABANI!D24, VERI_TABANI!D24*B833)*VERI_TABANI!$B$7 + MAX(0, VERI_TABANI!D24*B833-VERI_TABANI!D24)*VERI_TABANI!$B$8) + (MIN(MAX(0, VERI_TABANI!D24-VERI_TABANI!D24*B833), VERI_TABANI!D24*C833)*VERI_TABANI!$B$7 + MAX(0, VERI_TABANI!D24*C833-MAX(0, VERI_TABANI!D24-VERI_TABANI!D24*B833))*VERI_TABANI!$B$8) + IF(ABS(IF(ISNUMBER(SEARCH("Var", D833)), 1, IF(ISNUMBER(SEARCH("Gri", D833)), -1, 0)))=1, VERI_TABANI!E24*(1-0.928)*VERI_TABANI!$B$9, 0) + (VERI_TABANI!D24*B833*(VERI_TABANI!$B$13-VERI_TABANI!$B$14)*VERI_TABANI!G24) + (VERI_TABANI!D24*C833*(VERI_TABANI!$B$13-VERI_TABANI!$B$15)*VERI_TABANI!G24) + IF(ABS(IF(ISNUMBER(SEARCH("Var", D833)), 1, IF(ISNUMBER(SEARCH("Gri", D833)), -1, 0)))=1, VERI_TABANI!E24*(1-0.928)*0.00206091519919798*VERI_TABANI!G24, 0)) + ((MIN(VERI_TABANI!D25, VERI_TABANI!D25*B833)*VERI_TABANI!$B$7 + MAX(0, VERI_TABANI!D25*B833-VERI_TABANI!D25)*VERI_TABANI!$B$8) + (MIN(MAX(0, VERI_TABANI!D25-VERI_TABANI!D25*B833), VERI_TABANI!D25*C833)*VERI_TABANI!$B$7 + MAX(0, VERI_TABANI!D25*C833-MAX(0, VERI_TABANI!D25-VERI_TABANI!D25*B833))*VERI_TABANI!$B$8) + IF(ABS(IF(ISNUMBER(SEARCH("Var", D833)), 1, IF(ISNUMBER(SEARCH("Gri", D833)), -1, 0)))=1, VERI_TABANI!E25*(1-0.928)*VERI_TABANI!$B$9, 0) + (VERI_TABANI!D25*B833*(VERI_TABANI!$B$13-VERI_TABANI!$B$14)*VERI_TABANI!G25) + (VERI_TABANI!D25*C833*(VERI_TABANI!$B$13-VERI_TABANI!$B$15)*VERI_TABANI!G25) + IF(ABS(IF(ISNUMBER(SEARCH("Var", D833)), 1, IF(ISNUMBER(SEARCH("Gri", D833)), -1, 0)))=1, VERI_TABANI!E25*(1-0.928)*0.00206091519919798*VERI_TABANI!G25, 0)) + ((MIN(VERI_TABANI!D26, VERI_TABANI!D26*B833)*VERI_TABANI!$B$7 + MAX(0, VERI_TABANI!D26*B833-VERI_TABANI!D26)*VERI_TABANI!$B$8) + (MIN(MAX(0, VERI_TABANI!D26-VERI_TABANI!D26*B833), VERI_TABANI!D26*C833)*VERI_TABANI!$B$7 + MAX(0, VERI_TABANI!D26*C833-MAX(0, VERI_TABANI!D26-VERI_TABANI!D26*B833))*VERI_TABANI!$B$8) + IF(ABS(IF(ISNUMBER(SEARCH("Var", D833)), 1, IF(ISNUMBER(SEARCH("Gri", D833)), -1, 0)))=1, VERI_TABANI!E26*(1-0.928)*VERI_TABANI!$B$9, 0) + (VERI_TABANI!D26*B833*(VERI_TABANI!$B$13-VERI_TABANI!$B$14)*VERI_TABANI!G26) + (VERI_TABANI!D26*C833*(VERI_TABANI!$B$13-VERI_TABANI!$B$15)*VERI_TABANI!G26) + IF(ABS(IF(ISNUMBER(SEARCH("Var", D833)), 1, IF(ISNUMBER(SEARCH("Gri", D833)), -1, 0)))=1, VERI_TABANI!E26*(1-0.928)*0.00206091519919798*VERI_TABANI!G26, 0)) + ((MIN(VERI_TABANI!D27, VERI_TABANI!D27*B833)*VERI_TABANI!$B$7 + MAX(0, VERI_TABANI!D27*B833-VERI_TABANI!D27)*VERI_TABANI!$B$8) + (MIN(MAX(0, VERI_TABANI!D27-VERI_TABANI!D27*B833), VERI_TABANI!D27*C833)*VERI_TABANI!$B$7 + MAX(0, VERI_TABANI!D27*C833-MAX(0, VERI_TABANI!D27-VERI_TABANI!D27*B833))*VERI_TABANI!$B$8) + IF(ABS(IF(ISNUMBER(SEARCH("Var", D833)), 1, IF(ISNUMBER(SEARCH("Gri", D833)), -1, 0)))=1, VERI_TABANI!E27*(1-0.928)*VERI_TABANI!$B$9, 0) + (VERI_TABANI!D27*B833*(VERI_TABANI!$B$13-VERI_TABANI!$B$14)*VERI_TABANI!G27) + (VERI_TABANI!D27*C833*(VERI_TABANI!$B$13-VERI_TABANI!$B$15)*VERI_TABANI!G27) + IF(ABS(IF(ISNUMBER(SEARCH("Var", D833)), 1, IF(ISNUMBER(SEARCH("Gri", D833)), -1, 0)))=1, VERI_TABANI!E27*(1-0.928)*0.00206091519919798*VERI_TABANI!G27, 0)) + ((MIN(VERI_TABANI!D28, VERI_TABANI!D28*B833)*VERI_TABANI!$B$7 + MAX(0, VERI_TABANI!D28*B833-VERI_TABANI!D28)*VERI_TABANI!$B$8) + (MIN(MAX(0, VERI_TABANI!D28-VERI_TABANI!D28*B833), VERI_TABANI!D28*C833)*VERI_TABANI!$B$7 + MAX(0, VERI_TABANI!D28*C833-MAX(0, VERI_TABANI!D28-VERI_TABANI!D28*B833))*VERI_TABANI!$B$8) + IF(ABS(IF(ISNUMBER(SEARCH("Var", D833)), 1, IF(ISNUMBER(SEARCH("Gri", D833)), -1, 0)))=1, VERI_TABANI!E28*(1-0.928)*VERI_TABANI!$B$9, 0) + (VERI_TABANI!D28*B833*(VERI_TABANI!$B$13-VERI_TABANI!$B$14)*VERI_TABANI!G28) + (VERI_TABANI!D28*C833*(VERI_TABANI!$B$13-VERI_TABANI!$B$15)*VERI_TABANI!G28) + IF(ABS(IF(ISNUMBER(SEARCH("Var", D833)), 1, IF(ISNUMBER(SEARCH("Gri", D833)), -1, 0)))=1, VERI_TABANI!E28*(1-0.928)*0.00206091519919798*VERI_TABANI!G28, 0)))</f>
        <v/>
      </c>
      <c r="H833" s="169">
        <f>(((VERI_TABANI!D23*B833*(VERI_TABANI!$B$13-VERI_TABANI!$B$14)) + (VERI_TABANI!D23*C833*(VERI_TABANI!$B$13-VERI_TABANI!$B$15)) + IF(ISNUMBER(SEARCH("Var", D833)), VERI_TABANI!F23*(0.00202-VERI_TABANI!$B$16), IF(ISNUMBER(SEARCH("Gri", D833)), VERI_TABANI!F23*(0.00202-VERI_TABANI!$B$17), 0))) + ((VERI_TABANI!D24*B833*(VERI_TABANI!$B$13-VERI_TABANI!$B$14)) + (VERI_TABANI!D24*C833*(VERI_TABANI!$B$13-VERI_TABANI!$B$15)) + IF(ISNUMBER(SEARCH("Var", D833)), VERI_TABANI!F24*(0.00202-VERI_TABANI!$B$16), IF(ISNUMBER(SEARCH("Gri", D833)), VERI_TABANI!F24*(0.00202-VERI_TABANI!$B$17), 0))) + ((VERI_TABANI!D25*B833*(VERI_TABANI!$B$13-VERI_TABANI!$B$14)) + (VERI_TABANI!D25*C833*(VERI_TABANI!$B$13-VERI_TABANI!$B$15)) + IF(ISNUMBER(SEARCH("Var", D833)), VERI_TABANI!F25*(0.00202-VERI_TABANI!$B$16), IF(ISNUMBER(SEARCH("Gri", D833)), VERI_TABANI!F25*(0.00202-VERI_TABANI!$B$17), 0))) + ((VERI_TABANI!D26*B833*(VERI_TABANI!$B$13-VERI_TABANI!$B$14)) + (VERI_TABANI!D26*C833*(VERI_TABANI!$B$13-VERI_TABANI!$B$15)) + IF(ISNUMBER(SEARCH("Var", D833)), VERI_TABANI!F26*(0.00202-VERI_TABANI!$B$16), IF(ISNUMBER(SEARCH("Gri", D833)), VERI_TABANI!F26*(0.00202-VERI_TABANI!$B$17), 0))) + ((VERI_TABANI!D27*B833*(VERI_TABANI!$B$13-VERI_TABANI!$B$14)) + (VERI_TABANI!D27*C833*(VERI_TABANI!$B$13-VERI_TABANI!$B$15)) + IF(ISNUMBER(SEARCH("Var", D833)), VERI_TABANI!F27*(0.00202-VERI_TABANI!$B$16), IF(ISNUMBER(SEARCH("Gri", D833)), VERI_TABANI!F27*(0.00202-VERI_TABANI!$B$17), 0))) + ((VERI_TABANI!D28*B833*(VERI_TABANI!$B$13-VERI_TABANI!$B$14)) + (VERI_TABANI!D28*C833*(VERI_TABANI!$B$13-VERI_TABANI!$B$15)) + IF(ISNUMBER(SEARCH("Var", D833)), VERI_TABANI!F28*(0.00202-VERI_TABANI!$B$16), IF(ISNUMBER(SEARCH("Gri", D833)), VERI_TABANI!F28*(0.00202-VERI_TABANI!$B$17), 0))))</f>
        <v/>
      </c>
      <c r="I833" s="170">
        <f>IFERROR(((VERI_TABANI!$D$29*B833*VERI_TABANI!$B$14 + VERI_TABANI!$D$29*C833*VERI_TABANI!$B$15 + IF(ISNUMBER(SEARCH("Var", D833)), VERI_TABANI!$F$29*VERI_TABANI!$B$16, 0))) / (((VERI_TABANI!$D$29*B833 + VERI_TABANI!$D$29*C833)*VERI_TABANI!$B$13 + IF(ISNUMBER(SEARCH("Var", D833)), VERI_TABANI!$E$29*(1-0.928)*VERI_TABANI!$B$18, 0))), 0)</f>
        <v/>
      </c>
      <c r="J833" s="171">
        <f>IFERROR(F833/(G833/29), 0)</f>
        <v/>
      </c>
      <c r="K833" s="172">
        <f>IF(F833&gt;0, H833/F833, 0)</f>
        <v/>
      </c>
      <c r="L833" s="170">
        <f>IF(F833&gt;0, I833, 1000000000)</f>
        <v/>
      </c>
      <c r="M833" s="171">
        <f>ABS((B833+C833)-1)</f>
        <v/>
      </c>
      <c r="N833" s="170">
        <f>IF(F833&gt;0, (G833/29)/F833, 0)</f>
        <v/>
      </c>
      <c r="O833" s="168">
        <f>IF(AND((B833+C833)&gt;=1, ISNUMBER(SEARCH("Var", D833))), F833, 1000000000)</f>
        <v/>
      </c>
      <c r="P833" s="172">
        <f>IF(F833&gt;0, SQRT((F833/MAX(F$5:F$886))^2 + (1 - H833/MAX(H$5:H$886))^2 + (J833/MAX(J$5:J$886))^2), 1000000000)</f>
        <v/>
      </c>
      <c r="Q833" s="166">
        <f>IF(AND(ABS(B833-0.5)&lt;0.01, ABS(C833-0.5)&lt;0.01, ISNUMBER(SEARCH("Var", D833))), 1, 0)</f>
        <v/>
      </c>
      <c r="R833" s="171">
        <f>IF(F833&gt;0, J833, 1000000000)</f>
        <v/>
      </c>
      <c r="S833" s="101">
        <f>IF(AND(F833&lt;=DASHBOARD!$B$11, H833&gt;=DASHBOARD!$B$13), G833, -1000000000000)</f>
        <v/>
      </c>
      <c r="T833" s="101">
        <f>IF(AND(F833&lt;=DASHBOARD!$B$11, H833&gt;=DASHBOARD!$B$13), R833, 1000000000000)</f>
        <v/>
      </c>
      <c r="U833" s="101">
        <f>IF(AND(F833&lt;=DASHBOARD!$B$11, H833&gt;=DASHBOARD!$B$13), N833, -1000000000000)</f>
        <v/>
      </c>
      <c r="V833" s="101">
        <f>IF(AND(F833&lt;=DASHBOARD!$B$11, H833&gt;=DASHBOARD!$B$13), H833, -1000000000000)</f>
        <v/>
      </c>
      <c r="W833" s="101">
        <f>IF(AND(F833&lt;=DASHBOARD!$B$11, H833&gt;=DASHBOARD!$B$13), K833, -1000000000000)</f>
        <v/>
      </c>
      <c r="X833" s="101">
        <f>IF(AND(F833&lt;=DASHBOARD!$B$11, H833&gt;=DASHBOARD!$B$13), M833, 1000000000000)</f>
        <v/>
      </c>
      <c r="Y833" s="101">
        <f>IF(AND(F833&lt;=DASHBOARD!$B$10, H833&gt;=DASHBOARD!$B$11), L833, 1000000000000)</f>
        <v/>
      </c>
      <c r="Z833" s="101">
        <f>IF(AND(F833&lt;=DASHBOARD!$B$10, H833&gt;=DASHBOARD!$B$11), O833, 1000000000000)</f>
        <v/>
      </c>
      <c r="AA833" s="101">
        <f>IF(AND(F833&lt;=DASHBOARD!$B$10, H833&gt;=DASHBOARD!$B$11), P833, 1000000000000)</f>
        <v/>
      </c>
      <c r="AB833" s="101">
        <f>IF(AND(F833&lt;=DASHBOARD!$B$10, H833&gt;=DASHBOARD!$B$11), Q833, -1000000000000)</f>
        <v/>
      </c>
    </row>
    <row r="834" ht="15" customHeight="1" s="102">
      <c r="A834" s="166" t="n">
        <v>830</v>
      </c>
      <c r="B834" s="167" t="n">
        <v>1.9</v>
      </c>
      <c r="C834" s="167" t="n">
        <v>1.5</v>
      </c>
      <c r="D834" s="110" t="inlineStr">
        <is>
          <t>Var (%20)</t>
        </is>
      </c>
      <c r="E834" s="110">
        <f>IF((B834+C834)&lt;=1, "Tam Mahsuplaşma (≤%100)", "Kısmi Satış (&gt;%100)")</f>
        <v/>
      </c>
      <c r="F834" s="168">
        <f>((VERI_TABANI!$D$29*B834/VERI_TABANI!$B$29)/VERI_TABANI!$B$3)*VERI_TABANI!$B$5 + ((VERI_TABANI!$D$29*C834/VERI_TABANI!$B$29)/VERI_TABANI!$B$4)*VERI_TABANI!$B$6 + IF(ISNUMBER(SEARCH("Var", D834)), (VERI_TABANI!$F$29/VERI_TABANI!$B$29)*(VERI_TABANI!$B$10+VERI_TABANI!$B$12), 0)</f>
        <v/>
      </c>
      <c r="G834" s="168">
        <f>(((MIN(VERI_TABANI!D23, VERI_TABANI!D23*B834)*VERI_TABANI!$B$7 + MAX(0, VERI_TABANI!D23*B834-VERI_TABANI!D23)*VERI_TABANI!$B$8) + (MIN(MAX(0, VERI_TABANI!D23-VERI_TABANI!D23*B834), VERI_TABANI!D23*C834)*VERI_TABANI!$B$7 + MAX(0, VERI_TABANI!D23*C834-MAX(0, VERI_TABANI!D23-VERI_TABANI!D23*B834))*VERI_TABANI!$B$8) + IF(ABS(IF(ISNUMBER(SEARCH("Var", D834)), 1, IF(ISNUMBER(SEARCH("Gri", D834)), -1, 0)))=1, VERI_TABANI!E23*(1-0.928)*VERI_TABANI!$B$9, 0) + (VERI_TABANI!D23*B834*(VERI_TABANI!$B$13-VERI_TABANI!$B$14)*VERI_TABANI!G23) + (VERI_TABANI!D23*C834*(VERI_TABANI!$B$13-VERI_TABANI!$B$15)*VERI_TABANI!G23) + IF(ABS(IF(ISNUMBER(SEARCH("Var", D834)), 1, IF(ISNUMBER(SEARCH("Gri", D834)), -1, 0)))=1, VERI_TABANI!E23*(1-0.928)*0.00206091519919798*VERI_TABANI!G23, 0)) + ((MIN(VERI_TABANI!D24, VERI_TABANI!D24*B834)*VERI_TABANI!$B$7 + MAX(0, VERI_TABANI!D24*B834-VERI_TABANI!D24)*VERI_TABANI!$B$8) + (MIN(MAX(0, VERI_TABANI!D24-VERI_TABANI!D24*B834), VERI_TABANI!D24*C834)*VERI_TABANI!$B$7 + MAX(0, VERI_TABANI!D24*C834-MAX(0, VERI_TABANI!D24-VERI_TABANI!D24*B834))*VERI_TABANI!$B$8) + IF(ABS(IF(ISNUMBER(SEARCH("Var", D834)), 1, IF(ISNUMBER(SEARCH("Gri", D834)), -1, 0)))=1, VERI_TABANI!E24*(1-0.928)*VERI_TABANI!$B$9, 0) + (VERI_TABANI!D24*B834*(VERI_TABANI!$B$13-VERI_TABANI!$B$14)*VERI_TABANI!G24) + (VERI_TABANI!D24*C834*(VERI_TABANI!$B$13-VERI_TABANI!$B$15)*VERI_TABANI!G24) + IF(ABS(IF(ISNUMBER(SEARCH("Var", D834)), 1, IF(ISNUMBER(SEARCH("Gri", D834)), -1, 0)))=1, VERI_TABANI!E24*(1-0.928)*0.00206091519919798*VERI_TABANI!G24, 0)) + ((MIN(VERI_TABANI!D25, VERI_TABANI!D25*B834)*VERI_TABANI!$B$7 + MAX(0, VERI_TABANI!D25*B834-VERI_TABANI!D25)*VERI_TABANI!$B$8) + (MIN(MAX(0, VERI_TABANI!D25-VERI_TABANI!D25*B834), VERI_TABANI!D25*C834)*VERI_TABANI!$B$7 + MAX(0, VERI_TABANI!D25*C834-MAX(0, VERI_TABANI!D25-VERI_TABANI!D25*B834))*VERI_TABANI!$B$8) + IF(ABS(IF(ISNUMBER(SEARCH("Var", D834)), 1, IF(ISNUMBER(SEARCH("Gri", D834)), -1, 0)))=1, VERI_TABANI!E25*(1-0.928)*VERI_TABANI!$B$9, 0) + (VERI_TABANI!D25*B834*(VERI_TABANI!$B$13-VERI_TABANI!$B$14)*VERI_TABANI!G25) + (VERI_TABANI!D25*C834*(VERI_TABANI!$B$13-VERI_TABANI!$B$15)*VERI_TABANI!G25) + IF(ABS(IF(ISNUMBER(SEARCH("Var", D834)), 1, IF(ISNUMBER(SEARCH("Gri", D834)), -1, 0)))=1, VERI_TABANI!E25*(1-0.928)*0.00206091519919798*VERI_TABANI!G25, 0)) + ((MIN(VERI_TABANI!D26, VERI_TABANI!D26*B834)*VERI_TABANI!$B$7 + MAX(0, VERI_TABANI!D26*B834-VERI_TABANI!D26)*VERI_TABANI!$B$8) + (MIN(MAX(0, VERI_TABANI!D26-VERI_TABANI!D26*B834), VERI_TABANI!D26*C834)*VERI_TABANI!$B$7 + MAX(0, VERI_TABANI!D26*C834-MAX(0, VERI_TABANI!D26-VERI_TABANI!D26*B834))*VERI_TABANI!$B$8) + IF(ABS(IF(ISNUMBER(SEARCH("Var", D834)), 1, IF(ISNUMBER(SEARCH("Gri", D834)), -1, 0)))=1, VERI_TABANI!E26*(1-0.928)*VERI_TABANI!$B$9, 0) + (VERI_TABANI!D26*B834*(VERI_TABANI!$B$13-VERI_TABANI!$B$14)*VERI_TABANI!G26) + (VERI_TABANI!D26*C834*(VERI_TABANI!$B$13-VERI_TABANI!$B$15)*VERI_TABANI!G26) + IF(ABS(IF(ISNUMBER(SEARCH("Var", D834)), 1, IF(ISNUMBER(SEARCH("Gri", D834)), -1, 0)))=1, VERI_TABANI!E26*(1-0.928)*0.00206091519919798*VERI_TABANI!G26, 0)) + ((MIN(VERI_TABANI!D27, VERI_TABANI!D27*B834)*VERI_TABANI!$B$7 + MAX(0, VERI_TABANI!D27*B834-VERI_TABANI!D27)*VERI_TABANI!$B$8) + (MIN(MAX(0, VERI_TABANI!D27-VERI_TABANI!D27*B834), VERI_TABANI!D27*C834)*VERI_TABANI!$B$7 + MAX(0, VERI_TABANI!D27*C834-MAX(0, VERI_TABANI!D27-VERI_TABANI!D27*B834))*VERI_TABANI!$B$8) + IF(ABS(IF(ISNUMBER(SEARCH("Var", D834)), 1, IF(ISNUMBER(SEARCH("Gri", D834)), -1, 0)))=1, VERI_TABANI!E27*(1-0.928)*VERI_TABANI!$B$9, 0) + (VERI_TABANI!D27*B834*(VERI_TABANI!$B$13-VERI_TABANI!$B$14)*VERI_TABANI!G27) + (VERI_TABANI!D27*C834*(VERI_TABANI!$B$13-VERI_TABANI!$B$15)*VERI_TABANI!G27) + IF(ABS(IF(ISNUMBER(SEARCH("Var", D834)), 1, IF(ISNUMBER(SEARCH("Gri", D834)), -1, 0)))=1, VERI_TABANI!E27*(1-0.928)*0.00206091519919798*VERI_TABANI!G27, 0)) + ((MIN(VERI_TABANI!D28, VERI_TABANI!D28*B834)*VERI_TABANI!$B$7 + MAX(0, VERI_TABANI!D28*B834-VERI_TABANI!D28)*VERI_TABANI!$B$8) + (MIN(MAX(0, VERI_TABANI!D28-VERI_TABANI!D28*B834), VERI_TABANI!D28*C834)*VERI_TABANI!$B$7 + MAX(0, VERI_TABANI!D28*C834-MAX(0, VERI_TABANI!D28-VERI_TABANI!D28*B834))*VERI_TABANI!$B$8) + IF(ABS(IF(ISNUMBER(SEARCH("Var", D834)), 1, IF(ISNUMBER(SEARCH("Gri", D834)), -1, 0)))=1, VERI_TABANI!E28*(1-0.928)*VERI_TABANI!$B$9, 0) + (VERI_TABANI!D28*B834*(VERI_TABANI!$B$13-VERI_TABANI!$B$14)*VERI_TABANI!G28) + (VERI_TABANI!D28*C834*(VERI_TABANI!$B$13-VERI_TABANI!$B$15)*VERI_TABANI!G28) + IF(ABS(IF(ISNUMBER(SEARCH("Var", D834)), 1, IF(ISNUMBER(SEARCH("Gri", D834)), -1, 0)))=1, VERI_TABANI!E28*(1-0.928)*0.00206091519919798*VERI_TABANI!G28, 0)))</f>
        <v/>
      </c>
      <c r="H834" s="169">
        <f>(((VERI_TABANI!D23*B834*(VERI_TABANI!$B$13-VERI_TABANI!$B$14)) + (VERI_TABANI!D23*C834*(VERI_TABANI!$B$13-VERI_TABANI!$B$15)) + IF(ISNUMBER(SEARCH("Var", D834)), VERI_TABANI!F23*(0.00202-VERI_TABANI!$B$16), IF(ISNUMBER(SEARCH("Gri", D834)), VERI_TABANI!F23*(0.00202-VERI_TABANI!$B$17), 0))) + ((VERI_TABANI!D24*B834*(VERI_TABANI!$B$13-VERI_TABANI!$B$14)) + (VERI_TABANI!D24*C834*(VERI_TABANI!$B$13-VERI_TABANI!$B$15)) + IF(ISNUMBER(SEARCH("Var", D834)), VERI_TABANI!F24*(0.00202-VERI_TABANI!$B$16), IF(ISNUMBER(SEARCH("Gri", D834)), VERI_TABANI!F24*(0.00202-VERI_TABANI!$B$17), 0))) + ((VERI_TABANI!D25*B834*(VERI_TABANI!$B$13-VERI_TABANI!$B$14)) + (VERI_TABANI!D25*C834*(VERI_TABANI!$B$13-VERI_TABANI!$B$15)) + IF(ISNUMBER(SEARCH("Var", D834)), VERI_TABANI!F25*(0.00202-VERI_TABANI!$B$16), IF(ISNUMBER(SEARCH("Gri", D834)), VERI_TABANI!F25*(0.00202-VERI_TABANI!$B$17), 0))) + ((VERI_TABANI!D26*B834*(VERI_TABANI!$B$13-VERI_TABANI!$B$14)) + (VERI_TABANI!D26*C834*(VERI_TABANI!$B$13-VERI_TABANI!$B$15)) + IF(ISNUMBER(SEARCH("Var", D834)), VERI_TABANI!F26*(0.00202-VERI_TABANI!$B$16), IF(ISNUMBER(SEARCH("Gri", D834)), VERI_TABANI!F26*(0.00202-VERI_TABANI!$B$17), 0))) + ((VERI_TABANI!D27*B834*(VERI_TABANI!$B$13-VERI_TABANI!$B$14)) + (VERI_TABANI!D27*C834*(VERI_TABANI!$B$13-VERI_TABANI!$B$15)) + IF(ISNUMBER(SEARCH("Var", D834)), VERI_TABANI!F27*(0.00202-VERI_TABANI!$B$16), IF(ISNUMBER(SEARCH("Gri", D834)), VERI_TABANI!F27*(0.00202-VERI_TABANI!$B$17), 0))) + ((VERI_TABANI!D28*B834*(VERI_TABANI!$B$13-VERI_TABANI!$B$14)) + (VERI_TABANI!D28*C834*(VERI_TABANI!$B$13-VERI_TABANI!$B$15)) + IF(ISNUMBER(SEARCH("Var", D834)), VERI_TABANI!F28*(0.00202-VERI_TABANI!$B$16), IF(ISNUMBER(SEARCH("Gri", D834)), VERI_TABANI!F28*(0.00202-VERI_TABANI!$B$17), 0))))</f>
        <v/>
      </c>
      <c r="I834" s="170">
        <f>IFERROR(((VERI_TABANI!$D$29*B834*VERI_TABANI!$B$14 + VERI_TABANI!$D$29*C834*VERI_TABANI!$B$15 + IF(ISNUMBER(SEARCH("Var", D834)), VERI_TABANI!$F$29*VERI_TABANI!$B$16, 0))) / (((VERI_TABANI!$D$29*B834 + VERI_TABANI!$D$29*C834)*VERI_TABANI!$B$13 + IF(ISNUMBER(SEARCH("Var", D834)), VERI_TABANI!$E$29*(1-0.928)*VERI_TABANI!$B$18, 0))), 0)</f>
        <v/>
      </c>
      <c r="J834" s="171">
        <f>IFERROR(F834/(G834/29), 0)</f>
        <v/>
      </c>
      <c r="K834" s="172">
        <f>IF(F834&gt;0, H834/F834, 0)</f>
        <v/>
      </c>
      <c r="L834" s="170">
        <f>IF(F834&gt;0, I834, 1000000000)</f>
        <v/>
      </c>
      <c r="M834" s="171">
        <f>ABS((B834+C834)-1)</f>
        <v/>
      </c>
      <c r="N834" s="170">
        <f>IF(F834&gt;0, (G834/29)/F834, 0)</f>
        <v/>
      </c>
      <c r="O834" s="168">
        <f>IF(AND((B834+C834)&gt;=1, ISNUMBER(SEARCH("Var", D834))), F834, 1000000000)</f>
        <v/>
      </c>
      <c r="P834" s="172">
        <f>IF(F834&gt;0, SQRT((F834/MAX(F$5:F$886))^2 + (1 - H834/MAX(H$5:H$886))^2 + (J834/MAX(J$5:J$886))^2), 1000000000)</f>
        <v/>
      </c>
      <c r="Q834" s="166">
        <f>IF(AND(ABS(B834-0.5)&lt;0.01, ABS(C834-0.5)&lt;0.01, ISNUMBER(SEARCH("Var", D834))), 1, 0)</f>
        <v/>
      </c>
      <c r="R834" s="171">
        <f>IF(F834&gt;0, J834, 1000000000)</f>
        <v/>
      </c>
      <c r="S834" s="101">
        <f>IF(AND(F834&lt;=DASHBOARD!$B$11, H834&gt;=DASHBOARD!$B$13), G834, -1000000000000)</f>
        <v/>
      </c>
      <c r="T834" s="101">
        <f>IF(AND(F834&lt;=DASHBOARD!$B$11, H834&gt;=DASHBOARD!$B$13), R834, 1000000000000)</f>
        <v/>
      </c>
      <c r="U834" s="101">
        <f>IF(AND(F834&lt;=DASHBOARD!$B$11, H834&gt;=DASHBOARD!$B$13), N834, -1000000000000)</f>
        <v/>
      </c>
      <c r="V834" s="101">
        <f>IF(AND(F834&lt;=DASHBOARD!$B$11, H834&gt;=DASHBOARD!$B$13), H834, -1000000000000)</f>
        <v/>
      </c>
      <c r="W834" s="101">
        <f>IF(AND(F834&lt;=DASHBOARD!$B$11, H834&gt;=DASHBOARD!$B$13), K834, -1000000000000)</f>
        <v/>
      </c>
      <c r="X834" s="101">
        <f>IF(AND(F834&lt;=DASHBOARD!$B$11, H834&gt;=DASHBOARD!$B$13), M834, 1000000000000)</f>
        <v/>
      </c>
      <c r="Y834" s="101">
        <f>IF(AND(F834&lt;=DASHBOARD!$B$10, H834&gt;=DASHBOARD!$B$11), L834, 1000000000000)</f>
        <v/>
      </c>
      <c r="Z834" s="101">
        <f>IF(AND(F834&lt;=DASHBOARD!$B$10, H834&gt;=DASHBOARD!$B$11), O834, 1000000000000)</f>
        <v/>
      </c>
      <c r="AA834" s="101">
        <f>IF(AND(F834&lt;=DASHBOARD!$B$10, H834&gt;=DASHBOARD!$B$11), P834, 1000000000000)</f>
        <v/>
      </c>
      <c r="AB834" s="101">
        <f>IF(AND(F834&lt;=DASHBOARD!$B$10, H834&gt;=DASHBOARD!$B$11), Q834, -1000000000000)</f>
        <v/>
      </c>
    </row>
    <row r="835" ht="15" customHeight="1" s="102">
      <c r="A835" s="166" t="n">
        <v>831</v>
      </c>
      <c r="B835" s="167" t="n">
        <v>1.9</v>
      </c>
      <c r="C835" s="167" t="n">
        <v>1.6</v>
      </c>
      <c r="D835" s="110" t="inlineStr">
        <is>
          <t>Yok (%0)</t>
        </is>
      </c>
      <c r="E835" s="110">
        <f>IF((B835+C835)&lt;=1, "Tam Mahsuplaşma (≤%100)", "Kısmi Satış (&gt;%100)")</f>
        <v/>
      </c>
      <c r="F835" s="168">
        <f>((VERI_TABANI!$D$29*B835/VERI_TABANI!$B$29)/VERI_TABANI!$B$3)*VERI_TABANI!$B$5 + ((VERI_TABANI!$D$29*C835/VERI_TABANI!$B$29)/VERI_TABANI!$B$4)*VERI_TABANI!$B$6 + IF(ISNUMBER(SEARCH("Var", D835)), (VERI_TABANI!$F$29/VERI_TABANI!$B$29)*(VERI_TABANI!$B$10+VERI_TABANI!$B$12), 0)</f>
        <v/>
      </c>
      <c r="G835" s="168">
        <f>(((MIN(VERI_TABANI!D23, VERI_TABANI!D23*B835)*VERI_TABANI!$B$7 + MAX(0, VERI_TABANI!D23*B835-VERI_TABANI!D23)*VERI_TABANI!$B$8) + (MIN(MAX(0, VERI_TABANI!D23-VERI_TABANI!D23*B835), VERI_TABANI!D23*C835)*VERI_TABANI!$B$7 + MAX(0, VERI_TABANI!D23*C835-MAX(0, VERI_TABANI!D23-VERI_TABANI!D23*B835))*VERI_TABANI!$B$8) + IF(ABS(IF(ISNUMBER(SEARCH("Var", D835)), 1, IF(ISNUMBER(SEARCH("Gri", D835)), -1, 0)))=1, VERI_TABANI!E23*(1-0.928)*VERI_TABANI!$B$9, 0) + (VERI_TABANI!D23*B835*(VERI_TABANI!$B$13-VERI_TABANI!$B$14)*VERI_TABANI!G23) + (VERI_TABANI!D23*C835*(VERI_TABANI!$B$13-VERI_TABANI!$B$15)*VERI_TABANI!G23) + IF(ABS(IF(ISNUMBER(SEARCH("Var", D835)), 1, IF(ISNUMBER(SEARCH("Gri", D835)), -1, 0)))=1, VERI_TABANI!E23*(1-0.928)*0.00206091519919798*VERI_TABANI!G23, 0)) + ((MIN(VERI_TABANI!D24, VERI_TABANI!D24*B835)*VERI_TABANI!$B$7 + MAX(0, VERI_TABANI!D24*B835-VERI_TABANI!D24)*VERI_TABANI!$B$8) + (MIN(MAX(0, VERI_TABANI!D24-VERI_TABANI!D24*B835), VERI_TABANI!D24*C835)*VERI_TABANI!$B$7 + MAX(0, VERI_TABANI!D24*C835-MAX(0, VERI_TABANI!D24-VERI_TABANI!D24*B835))*VERI_TABANI!$B$8) + IF(ABS(IF(ISNUMBER(SEARCH("Var", D835)), 1, IF(ISNUMBER(SEARCH("Gri", D835)), -1, 0)))=1, VERI_TABANI!E24*(1-0.928)*VERI_TABANI!$B$9, 0) + (VERI_TABANI!D24*B835*(VERI_TABANI!$B$13-VERI_TABANI!$B$14)*VERI_TABANI!G24) + (VERI_TABANI!D24*C835*(VERI_TABANI!$B$13-VERI_TABANI!$B$15)*VERI_TABANI!G24) + IF(ABS(IF(ISNUMBER(SEARCH("Var", D835)), 1, IF(ISNUMBER(SEARCH("Gri", D835)), -1, 0)))=1, VERI_TABANI!E24*(1-0.928)*0.00206091519919798*VERI_TABANI!G24, 0)) + ((MIN(VERI_TABANI!D25, VERI_TABANI!D25*B835)*VERI_TABANI!$B$7 + MAX(0, VERI_TABANI!D25*B835-VERI_TABANI!D25)*VERI_TABANI!$B$8) + (MIN(MAX(0, VERI_TABANI!D25-VERI_TABANI!D25*B835), VERI_TABANI!D25*C835)*VERI_TABANI!$B$7 + MAX(0, VERI_TABANI!D25*C835-MAX(0, VERI_TABANI!D25-VERI_TABANI!D25*B835))*VERI_TABANI!$B$8) + IF(ABS(IF(ISNUMBER(SEARCH("Var", D835)), 1, IF(ISNUMBER(SEARCH("Gri", D835)), -1, 0)))=1, VERI_TABANI!E25*(1-0.928)*VERI_TABANI!$B$9, 0) + (VERI_TABANI!D25*B835*(VERI_TABANI!$B$13-VERI_TABANI!$B$14)*VERI_TABANI!G25) + (VERI_TABANI!D25*C835*(VERI_TABANI!$B$13-VERI_TABANI!$B$15)*VERI_TABANI!G25) + IF(ABS(IF(ISNUMBER(SEARCH("Var", D835)), 1, IF(ISNUMBER(SEARCH("Gri", D835)), -1, 0)))=1, VERI_TABANI!E25*(1-0.928)*0.00206091519919798*VERI_TABANI!G25, 0)) + ((MIN(VERI_TABANI!D26, VERI_TABANI!D26*B835)*VERI_TABANI!$B$7 + MAX(0, VERI_TABANI!D26*B835-VERI_TABANI!D26)*VERI_TABANI!$B$8) + (MIN(MAX(0, VERI_TABANI!D26-VERI_TABANI!D26*B835), VERI_TABANI!D26*C835)*VERI_TABANI!$B$7 + MAX(0, VERI_TABANI!D26*C835-MAX(0, VERI_TABANI!D26-VERI_TABANI!D26*B835))*VERI_TABANI!$B$8) + IF(ABS(IF(ISNUMBER(SEARCH("Var", D835)), 1, IF(ISNUMBER(SEARCH("Gri", D835)), -1, 0)))=1, VERI_TABANI!E26*(1-0.928)*VERI_TABANI!$B$9, 0) + (VERI_TABANI!D26*B835*(VERI_TABANI!$B$13-VERI_TABANI!$B$14)*VERI_TABANI!G26) + (VERI_TABANI!D26*C835*(VERI_TABANI!$B$13-VERI_TABANI!$B$15)*VERI_TABANI!G26) + IF(ABS(IF(ISNUMBER(SEARCH("Var", D835)), 1, IF(ISNUMBER(SEARCH("Gri", D835)), -1, 0)))=1, VERI_TABANI!E26*(1-0.928)*0.00206091519919798*VERI_TABANI!G26, 0)) + ((MIN(VERI_TABANI!D27, VERI_TABANI!D27*B835)*VERI_TABANI!$B$7 + MAX(0, VERI_TABANI!D27*B835-VERI_TABANI!D27)*VERI_TABANI!$B$8) + (MIN(MAX(0, VERI_TABANI!D27-VERI_TABANI!D27*B835), VERI_TABANI!D27*C835)*VERI_TABANI!$B$7 + MAX(0, VERI_TABANI!D27*C835-MAX(0, VERI_TABANI!D27-VERI_TABANI!D27*B835))*VERI_TABANI!$B$8) + IF(ABS(IF(ISNUMBER(SEARCH("Var", D835)), 1, IF(ISNUMBER(SEARCH("Gri", D835)), -1, 0)))=1, VERI_TABANI!E27*(1-0.928)*VERI_TABANI!$B$9, 0) + (VERI_TABANI!D27*B835*(VERI_TABANI!$B$13-VERI_TABANI!$B$14)*VERI_TABANI!G27) + (VERI_TABANI!D27*C835*(VERI_TABANI!$B$13-VERI_TABANI!$B$15)*VERI_TABANI!G27) + IF(ABS(IF(ISNUMBER(SEARCH("Var", D835)), 1, IF(ISNUMBER(SEARCH("Gri", D835)), -1, 0)))=1, VERI_TABANI!E27*(1-0.928)*0.00206091519919798*VERI_TABANI!G27, 0)) + ((MIN(VERI_TABANI!D28, VERI_TABANI!D28*B835)*VERI_TABANI!$B$7 + MAX(0, VERI_TABANI!D28*B835-VERI_TABANI!D28)*VERI_TABANI!$B$8) + (MIN(MAX(0, VERI_TABANI!D28-VERI_TABANI!D28*B835), VERI_TABANI!D28*C835)*VERI_TABANI!$B$7 + MAX(0, VERI_TABANI!D28*C835-MAX(0, VERI_TABANI!D28-VERI_TABANI!D28*B835))*VERI_TABANI!$B$8) + IF(ABS(IF(ISNUMBER(SEARCH("Var", D835)), 1, IF(ISNUMBER(SEARCH("Gri", D835)), -1, 0)))=1, VERI_TABANI!E28*(1-0.928)*VERI_TABANI!$B$9, 0) + (VERI_TABANI!D28*B835*(VERI_TABANI!$B$13-VERI_TABANI!$B$14)*VERI_TABANI!G28) + (VERI_TABANI!D28*C835*(VERI_TABANI!$B$13-VERI_TABANI!$B$15)*VERI_TABANI!G28) + IF(ABS(IF(ISNUMBER(SEARCH("Var", D835)), 1, IF(ISNUMBER(SEARCH("Gri", D835)), -1, 0)))=1, VERI_TABANI!E28*(1-0.928)*0.00206091519919798*VERI_TABANI!G28, 0)))</f>
        <v/>
      </c>
      <c r="H835" s="169">
        <f>(((VERI_TABANI!D23*B835*(VERI_TABANI!$B$13-VERI_TABANI!$B$14)) + (VERI_TABANI!D23*C835*(VERI_TABANI!$B$13-VERI_TABANI!$B$15)) + IF(ISNUMBER(SEARCH("Var", D835)), VERI_TABANI!F23*(0.00202-VERI_TABANI!$B$16), IF(ISNUMBER(SEARCH("Gri", D835)), VERI_TABANI!F23*(0.00202-VERI_TABANI!$B$17), 0))) + ((VERI_TABANI!D24*B835*(VERI_TABANI!$B$13-VERI_TABANI!$B$14)) + (VERI_TABANI!D24*C835*(VERI_TABANI!$B$13-VERI_TABANI!$B$15)) + IF(ISNUMBER(SEARCH("Var", D835)), VERI_TABANI!F24*(0.00202-VERI_TABANI!$B$16), IF(ISNUMBER(SEARCH("Gri", D835)), VERI_TABANI!F24*(0.00202-VERI_TABANI!$B$17), 0))) + ((VERI_TABANI!D25*B835*(VERI_TABANI!$B$13-VERI_TABANI!$B$14)) + (VERI_TABANI!D25*C835*(VERI_TABANI!$B$13-VERI_TABANI!$B$15)) + IF(ISNUMBER(SEARCH("Var", D835)), VERI_TABANI!F25*(0.00202-VERI_TABANI!$B$16), IF(ISNUMBER(SEARCH("Gri", D835)), VERI_TABANI!F25*(0.00202-VERI_TABANI!$B$17), 0))) + ((VERI_TABANI!D26*B835*(VERI_TABANI!$B$13-VERI_TABANI!$B$14)) + (VERI_TABANI!D26*C835*(VERI_TABANI!$B$13-VERI_TABANI!$B$15)) + IF(ISNUMBER(SEARCH("Var", D835)), VERI_TABANI!F26*(0.00202-VERI_TABANI!$B$16), IF(ISNUMBER(SEARCH("Gri", D835)), VERI_TABANI!F26*(0.00202-VERI_TABANI!$B$17), 0))) + ((VERI_TABANI!D27*B835*(VERI_TABANI!$B$13-VERI_TABANI!$B$14)) + (VERI_TABANI!D27*C835*(VERI_TABANI!$B$13-VERI_TABANI!$B$15)) + IF(ISNUMBER(SEARCH("Var", D835)), VERI_TABANI!F27*(0.00202-VERI_TABANI!$B$16), IF(ISNUMBER(SEARCH("Gri", D835)), VERI_TABANI!F27*(0.00202-VERI_TABANI!$B$17), 0))) + ((VERI_TABANI!D28*B835*(VERI_TABANI!$B$13-VERI_TABANI!$B$14)) + (VERI_TABANI!D28*C835*(VERI_TABANI!$B$13-VERI_TABANI!$B$15)) + IF(ISNUMBER(SEARCH("Var", D835)), VERI_TABANI!F28*(0.00202-VERI_TABANI!$B$16), IF(ISNUMBER(SEARCH("Gri", D835)), VERI_TABANI!F28*(0.00202-VERI_TABANI!$B$17), 0))))</f>
        <v/>
      </c>
      <c r="I835" s="170">
        <f>IFERROR(((VERI_TABANI!$D$29*B835*VERI_TABANI!$B$14 + VERI_TABANI!$D$29*C835*VERI_TABANI!$B$15 + IF(ISNUMBER(SEARCH("Var", D835)), VERI_TABANI!$F$29*VERI_TABANI!$B$16, 0))) / (((VERI_TABANI!$D$29*B835 + VERI_TABANI!$D$29*C835)*VERI_TABANI!$B$13 + IF(ISNUMBER(SEARCH("Var", D835)), VERI_TABANI!$E$29*(1-0.928)*VERI_TABANI!$B$18, 0))), 0)</f>
        <v/>
      </c>
      <c r="J835" s="171">
        <f>IFERROR(F835/(G835/29), 0)</f>
        <v/>
      </c>
      <c r="K835" s="172">
        <f>IF(F835&gt;0, H835/F835, 0)</f>
        <v/>
      </c>
      <c r="L835" s="170">
        <f>IF(F835&gt;0, I835, 1000000000)</f>
        <v/>
      </c>
      <c r="M835" s="171">
        <f>ABS((B835+C835)-1)</f>
        <v/>
      </c>
      <c r="N835" s="170">
        <f>IF(F835&gt;0, (G835/29)/F835, 0)</f>
        <v/>
      </c>
      <c r="O835" s="168">
        <f>IF(AND((B835+C835)&gt;=1, ISNUMBER(SEARCH("Var", D835))), F835, 1000000000)</f>
        <v/>
      </c>
      <c r="P835" s="172">
        <f>IF(F835&gt;0, SQRT((F835/MAX(F$5:F$886))^2 + (1 - H835/MAX(H$5:H$886))^2 + (J835/MAX(J$5:J$886))^2), 1000000000)</f>
        <v/>
      </c>
      <c r="Q835" s="166">
        <f>IF(AND(ABS(B835-0.5)&lt;0.01, ABS(C835-0.5)&lt;0.01, ISNUMBER(SEARCH("Var", D835))), 1, 0)</f>
        <v/>
      </c>
      <c r="R835" s="171">
        <f>IF(F835&gt;0, J835, 1000000000)</f>
        <v/>
      </c>
      <c r="S835" s="101">
        <f>IF(AND(F835&lt;=DASHBOARD!$B$11, H835&gt;=DASHBOARD!$B$13), G835, -1000000000000)</f>
        <v/>
      </c>
      <c r="T835" s="101">
        <f>IF(AND(F835&lt;=DASHBOARD!$B$11, H835&gt;=DASHBOARD!$B$13), R835, 1000000000000)</f>
        <v/>
      </c>
      <c r="U835" s="101">
        <f>IF(AND(F835&lt;=DASHBOARD!$B$11, H835&gt;=DASHBOARD!$B$13), N835, -1000000000000)</f>
        <v/>
      </c>
      <c r="V835" s="101">
        <f>IF(AND(F835&lt;=DASHBOARD!$B$11, H835&gt;=DASHBOARD!$B$13), H835, -1000000000000)</f>
        <v/>
      </c>
      <c r="W835" s="101">
        <f>IF(AND(F835&lt;=DASHBOARD!$B$11, H835&gt;=DASHBOARD!$B$13), K835, -1000000000000)</f>
        <v/>
      </c>
      <c r="X835" s="101">
        <f>IF(AND(F835&lt;=DASHBOARD!$B$11, H835&gt;=DASHBOARD!$B$13), M835, 1000000000000)</f>
        <v/>
      </c>
      <c r="Y835" s="101">
        <f>IF(AND(F835&lt;=DASHBOARD!$B$10, H835&gt;=DASHBOARD!$B$11), L835, 1000000000000)</f>
        <v/>
      </c>
      <c r="Z835" s="101">
        <f>IF(AND(F835&lt;=DASHBOARD!$B$10, H835&gt;=DASHBOARD!$B$11), O835, 1000000000000)</f>
        <v/>
      </c>
      <c r="AA835" s="101">
        <f>IF(AND(F835&lt;=DASHBOARD!$B$10, H835&gt;=DASHBOARD!$B$11), P835, 1000000000000)</f>
        <v/>
      </c>
      <c r="AB835" s="101">
        <f>IF(AND(F835&lt;=DASHBOARD!$B$10, H835&gt;=DASHBOARD!$B$11), Q835, -1000000000000)</f>
        <v/>
      </c>
    </row>
    <row r="836" ht="15" customHeight="1" s="102">
      <c r="A836" s="166" t="n">
        <v>832</v>
      </c>
      <c r="B836" s="167" t="n">
        <v>1.9</v>
      </c>
      <c r="C836" s="167" t="n">
        <v>1.6</v>
      </c>
      <c r="D836" s="110" t="inlineStr">
        <is>
          <t>Var (%20)</t>
        </is>
      </c>
      <c r="E836" s="110">
        <f>IF((B836+C836)&lt;=1, "Tam Mahsuplaşma (≤%100)", "Kısmi Satış (&gt;%100)")</f>
        <v/>
      </c>
      <c r="F836" s="168">
        <f>((VERI_TABANI!$D$29*B836/VERI_TABANI!$B$29)/VERI_TABANI!$B$3)*VERI_TABANI!$B$5 + ((VERI_TABANI!$D$29*C836/VERI_TABANI!$B$29)/VERI_TABANI!$B$4)*VERI_TABANI!$B$6 + IF(ISNUMBER(SEARCH("Var", D836)), (VERI_TABANI!$F$29/VERI_TABANI!$B$29)*(VERI_TABANI!$B$10+VERI_TABANI!$B$12), 0)</f>
        <v/>
      </c>
      <c r="G836" s="168">
        <f>(((MIN(VERI_TABANI!D23, VERI_TABANI!D23*B836)*VERI_TABANI!$B$7 + MAX(0, VERI_TABANI!D23*B836-VERI_TABANI!D23)*VERI_TABANI!$B$8) + (MIN(MAX(0, VERI_TABANI!D23-VERI_TABANI!D23*B836), VERI_TABANI!D23*C836)*VERI_TABANI!$B$7 + MAX(0, VERI_TABANI!D23*C836-MAX(0, VERI_TABANI!D23-VERI_TABANI!D23*B836))*VERI_TABANI!$B$8) + IF(ABS(IF(ISNUMBER(SEARCH("Var", D836)), 1, IF(ISNUMBER(SEARCH("Gri", D836)), -1, 0)))=1, VERI_TABANI!E23*(1-0.928)*VERI_TABANI!$B$9, 0) + (VERI_TABANI!D23*B836*(VERI_TABANI!$B$13-VERI_TABANI!$B$14)*VERI_TABANI!G23) + (VERI_TABANI!D23*C836*(VERI_TABANI!$B$13-VERI_TABANI!$B$15)*VERI_TABANI!G23) + IF(ABS(IF(ISNUMBER(SEARCH("Var", D836)), 1, IF(ISNUMBER(SEARCH("Gri", D836)), -1, 0)))=1, VERI_TABANI!E23*(1-0.928)*0.00206091519919798*VERI_TABANI!G23, 0)) + ((MIN(VERI_TABANI!D24, VERI_TABANI!D24*B836)*VERI_TABANI!$B$7 + MAX(0, VERI_TABANI!D24*B836-VERI_TABANI!D24)*VERI_TABANI!$B$8) + (MIN(MAX(0, VERI_TABANI!D24-VERI_TABANI!D24*B836), VERI_TABANI!D24*C836)*VERI_TABANI!$B$7 + MAX(0, VERI_TABANI!D24*C836-MAX(0, VERI_TABANI!D24-VERI_TABANI!D24*B836))*VERI_TABANI!$B$8) + IF(ABS(IF(ISNUMBER(SEARCH("Var", D836)), 1, IF(ISNUMBER(SEARCH("Gri", D836)), -1, 0)))=1, VERI_TABANI!E24*(1-0.928)*VERI_TABANI!$B$9, 0) + (VERI_TABANI!D24*B836*(VERI_TABANI!$B$13-VERI_TABANI!$B$14)*VERI_TABANI!G24) + (VERI_TABANI!D24*C836*(VERI_TABANI!$B$13-VERI_TABANI!$B$15)*VERI_TABANI!G24) + IF(ABS(IF(ISNUMBER(SEARCH("Var", D836)), 1, IF(ISNUMBER(SEARCH("Gri", D836)), -1, 0)))=1, VERI_TABANI!E24*(1-0.928)*0.00206091519919798*VERI_TABANI!G24, 0)) + ((MIN(VERI_TABANI!D25, VERI_TABANI!D25*B836)*VERI_TABANI!$B$7 + MAX(0, VERI_TABANI!D25*B836-VERI_TABANI!D25)*VERI_TABANI!$B$8) + (MIN(MAX(0, VERI_TABANI!D25-VERI_TABANI!D25*B836), VERI_TABANI!D25*C836)*VERI_TABANI!$B$7 + MAX(0, VERI_TABANI!D25*C836-MAX(0, VERI_TABANI!D25-VERI_TABANI!D25*B836))*VERI_TABANI!$B$8) + IF(ABS(IF(ISNUMBER(SEARCH("Var", D836)), 1, IF(ISNUMBER(SEARCH("Gri", D836)), -1, 0)))=1, VERI_TABANI!E25*(1-0.928)*VERI_TABANI!$B$9, 0) + (VERI_TABANI!D25*B836*(VERI_TABANI!$B$13-VERI_TABANI!$B$14)*VERI_TABANI!G25) + (VERI_TABANI!D25*C836*(VERI_TABANI!$B$13-VERI_TABANI!$B$15)*VERI_TABANI!G25) + IF(ABS(IF(ISNUMBER(SEARCH("Var", D836)), 1, IF(ISNUMBER(SEARCH("Gri", D836)), -1, 0)))=1, VERI_TABANI!E25*(1-0.928)*0.00206091519919798*VERI_TABANI!G25, 0)) + ((MIN(VERI_TABANI!D26, VERI_TABANI!D26*B836)*VERI_TABANI!$B$7 + MAX(0, VERI_TABANI!D26*B836-VERI_TABANI!D26)*VERI_TABANI!$B$8) + (MIN(MAX(0, VERI_TABANI!D26-VERI_TABANI!D26*B836), VERI_TABANI!D26*C836)*VERI_TABANI!$B$7 + MAX(0, VERI_TABANI!D26*C836-MAX(0, VERI_TABANI!D26-VERI_TABANI!D26*B836))*VERI_TABANI!$B$8) + IF(ABS(IF(ISNUMBER(SEARCH("Var", D836)), 1, IF(ISNUMBER(SEARCH("Gri", D836)), -1, 0)))=1, VERI_TABANI!E26*(1-0.928)*VERI_TABANI!$B$9, 0) + (VERI_TABANI!D26*B836*(VERI_TABANI!$B$13-VERI_TABANI!$B$14)*VERI_TABANI!G26) + (VERI_TABANI!D26*C836*(VERI_TABANI!$B$13-VERI_TABANI!$B$15)*VERI_TABANI!G26) + IF(ABS(IF(ISNUMBER(SEARCH("Var", D836)), 1, IF(ISNUMBER(SEARCH("Gri", D836)), -1, 0)))=1, VERI_TABANI!E26*(1-0.928)*0.00206091519919798*VERI_TABANI!G26, 0)) + ((MIN(VERI_TABANI!D27, VERI_TABANI!D27*B836)*VERI_TABANI!$B$7 + MAX(0, VERI_TABANI!D27*B836-VERI_TABANI!D27)*VERI_TABANI!$B$8) + (MIN(MAX(0, VERI_TABANI!D27-VERI_TABANI!D27*B836), VERI_TABANI!D27*C836)*VERI_TABANI!$B$7 + MAX(0, VERI_TABANI!D27*C836-MAX(0, VERI_TABANI!D27-VERI_TABANI!D27*B836))*VERI_TABANI!$B$8) + IF(ABS(IF(ISNUMBER(SEARCH("Var", D836)), 1, IF(ISNUMBER(SEARCH("Gri", D836)), -1, 0)))=1, VERI_TABANI!E27*(1-0.928)*VERI_TABANI!$B$9, 0) + (VERI_TABANI!D27*B836*(VERI_TABANI!$B$13-VERI_TABANI!$B$14)*VERI_TABANI!G27) + (VERI_TABANI!D27*C836*(VERI_TABANI!$B$13-VERI_TABANI!$B$15)*VERI_TABANI!G27) + IF(ABS(IF(ISNUMBER(SEARCH("Var", D836)), 1, IF(ISNUMBER(SEARCH("Gri", D836)), -1, 0)))=1, VERI_TABANI!E27*(1-0.928)*0.00206091519919798*VERI_TABANI!G27, 0)) + ((MIN(VERI_TABANI!D28, VERI_TABANI!D28*B836)*VERI_TABANI!$B$7 + MAX(0, VERI_TABANI!D28*B836-VERI_TABANI!D28)*VERI_TABANI!$B$8) + (MIN(MAX(0, VERI_TABANI!D28-VERI_TABANI!D28*B836), VERI_TABANI!D28*C836)*VERI_TABANI!$B$7 + MAX(0, VERI_TABANI!D28*C836-MAX(0, VERI_TABANI!D28-VERI_TABANI!D28*B836))*VERI_TABANI!$B$8) + IF(ABS(IF(ISNUMBER(SEARCH("Var", D836)), 1, IF(ISNUMBER(SEARCH("Gri", D836)), -1, 0)))=1, VERI_TABANI!E28*(1-0.928)*VERI_TABANI!$B$9, 0) + (VERI_TABANI!D28*B836*(VERI_TABANI!$B$13-VERI_TABANI!$B$14)*VERI_TABANI!G28) + (VERI_TABANI!D28*C836*(VERI_TABANI!$B$13-VERI_TABANI!$B$15)*VERI_TABANI!G28) + IF(ABS(IF(ISNUMBER(SEARCH("Var", D836)), 1, IF(ISNUMBER(SEARCH("Gri", D836)), -1, 0)))=1, VERI_TABANI!E28*(1-0.928)*0.00206091519919798*VERI_TABANI!G28, 0)))</f>
        <v/>
      </c>
      <c r="H836" s="169">
        <f>(((VERI_TABANI!D23*B836*(VERI_TABANI!$B$13-VERI_TABANI!$B$14)) + (VERI_TABANI!D23*C836*(VERI_TABANI!$B$13-VERI_TABANI!$B$15)) + IF(ISNUMBER(SEARCH("Var", D836)), VERI_TABANI!F23*(0.00202-VERI_TABANI!$B$16), IF(ISNUMBER(SEARCH("Gri", D836)), VERI_TABANI!F23*(0.00202-VERI_TABANI!$B$17), 0))) + ((VERI_TABANI!D24*B836*(VERI_TABANI!$B$13-VERI_TABANI!$B$14)) + (VERI_TABANI!D24*C836*(VERI_TABANI!$B$13-VERI_TABANI!$B$15)) + IF(ISNUMBER(SEARCH("Var", D836)), VERI_TABANI!F24*(0.00202-VERI_TABANI!$B$16), IF(ISNUMBER(SEARCH("Gri", D836)), VERI_TABANI!F24*(0.00202-VERI_TABANI!$B$17), 0))) + ((VERI_TABANI!D25*B836*(VERI_TABANI!$B$13-VERI_TABANI!$B$14)) + (VERI_TABANI!D25*C836*(VERI_TABANI!$B$13-VERI_TABANI!$B$15)) + IF(ISNUMBER(SEARCH("Var", D836)), VERI_TABANI!F25*(0.00202-VERI_TABANI!$B$16), IF(ISNUMBER(SEARCH("Gri", D836)), VERI_TABANI!F25*(0.00202-VERI_TABANI!$B$17), 0))) + ((VERI_TABANI!D26*B836*(VERI_TABANI!$B$13-VERI_TABANI!$B$14)) + (VERI_TABANI!D26*C836*(VERI_TABANI!$B$13-VERI_TABANI!$B$15)) + IF(ISNUMBER(SEARCH("Var", D836)), VERI_TABANI!F26*(0.00202-VERI_TABANI!$B$16), IF(ISNUMBER(SEARCH("Gri", D836)), VERI_TABANI!F26*(0.00202-VERI_TABANI!$B$17), 0))) + ((VERI_TABANI!D27*B836*(VERI_TABANI!$B$13-VERI_TABANI!$B$14)) + (VERI_TABANI!D27*C836*(VERI_TABANI!$B$13-VERI_TABANI!$B$15)) + IF(ISNUMBER(SEARCH("Var", D836)), VERI_TABANI!F27*(0.00202-VERI_TABANI!$B$16), IF(ISNUMBER(SEARCH("Gri", D836)), VERI_TABANI!F27*(0.00202-VERI_TABANI!$B$17), 0))) + ((VERI_TABANI!D28*B836*(VERI_TABANI!$B$13-VERI_TABANI!$B$14)) + (VERI_TABANI!D28*C836*(VERI_TABANI!$B$13-VERI_TABANI!$B$15)) + IF(ISNUMBER(SEARCH("Var", D836)), VERI_TABANI!F28*(0.00202-VERI_TABANI!$B$16), IF(ISNUMBER(SEARCH("Gri", D836)), VERI_TABANI!F28*(0.00202-VERI_TABANI!$B$17), 0))))</f>
        <v/>
      </c>
      <c r="I836" s="170">
        <f>IFERROR(((VERI_TABANI!$D$29*B836*VERI_TABANI!$B$14 + VERI_TABANI!$D$29*C836*VERI_TABANI!$B$15 + IF(ISNUMBER(SEARCH("Var", D836)), VERI_TABANI!$F$29*VERI_TABANI!$B$16, 0))) / (((VERI_TABANI!$D$29*B836 + VERI_TABANI!$D$29*C836)*VERI_TABANI!$B$13 + IF(ISNUMBER(SEARCH("Var", D836)), VERI_TABANI!$E$29*(1-0.928)*VERI_TABANI!$B$18, 0))), 0)</f>
        <v/>
      </c>
      <c r="J836" s="171">
        <f>IFERROR(F836/(G836/29), 0)</f>
        <v/>
      </c>
      <c r="K836" s="172">
        <f>IF(F836&gt;0, H836/F836, 0)</f>
        <v/>
      </c>
      <c r="L836" s="170">
        <f>IF(F836&gt;0, I836, 1000000000)</f>
        <v/>
      </c>
      <c r="M836" s="171">
        <f>ABS((B836+C836)-1)</f>
        <v/>
      </c>
      <c r="N836" s="170">
        <f>IF(F836&gt;0, (G836/29)/F836, 0)</f>
        <v/>
      </c>
      <c r="O836" s="168">
        <f>IF(AND((B836+C836)&gt;=1, ISNUMBER(SEARCH("Var", D836))), F836, 1000000000)</f>
        <v/>
      </c>
      <c r="P836" s="172">
        <f>IF(F836&gt;0, SQRT((F836/MAX(F$5:F$886))^2 + (1 - H836/MAX(H$5:H$886))^2 + (J836/MAX(J$5:J$886))^2), 1000000000)</f>
        <v/>
      </c>
      <c r="Q836" s="166">
        <f>IF(AND(ABS(B836-0.5)&lt;0.01, ABS(C836-0.5)&lt;0.01, ISNUMBER(SEARCH("Var", D836))), 1, 0)</f>
        <v/>
      </c>
      <c r="R836" s="171">
        <f>IF(F836&gt;0, J836, 1000000000)</f>
        <v/>
      </c>
      <c r="S836" s="101">
        <f>IF(AND(F836&lt;=DASHBOARD!$B$11, H836&gt;=DASHBOARD!$B$13), G836, -1000000000000)</f>
        <v/>
      </c>
      <c r="T836" s="101">
        <f>IF(AND(F836&lt;=DASHBOARD!$B$11, H836&gt;=DASHBOARD!$B$13), R836, 1000000000000)</f>
        <v/>
      </c>
      <c r="U836" s="101">
        <f>IF(AND(F836&lt;=DASHBOARD!$B$11, H836&gt;=DASHBOARD!$B$13), N836, -1000000000000)</f>
        <v/>
      </c>
      <c r="V836" s="101">
        <f>IF(AND(F836&lt;=DASHBOARD!$B$11, H836&gt;=DASHBOARD!$B$13), H836, -1000000000000)</f>
        <v/>
      </c>
      <c r="W836" s="101">
        <f>IF(AND(F836&lt;=DASHBOARD!$B$11, H836&gt;=DASHBOARD!$B$13), K836, -1000000000000)</f>
        <v/>
      </c>
      <c r="X836" s="101">
        <f>IF(AND(F836&lt;=DASHBOARD!$B$11, H836&gt;=DASHBOARD!$B$13), M836, 1000000000000)</f>
        <v/>
      </c>
      <c r="Y836" s="101">
        <f>IF(AND(F836&lt;=DASHBOARD!$B$10, H836&gt;=DASHBOARD!$B$11), L836, 1000000000000)</f>
        <v/>
      </c>
      <c r="Z836" s="101">
        <f>IF(AND(F836&lt;=DASHBOARD!$B$10, H836&gt;=DASHBOARD!$B$11), O836, 1000000000000)</f>
        <v/>
      </c>
      <c r="AA836" s="101">
        <f>IF(AND(F836&lt;=DASHBOARD!$B$10, H836&gt;=DASHBOARD!$B$11), P836, 1000000000000)</f>
        <v/>
      </c>
      <c r="AB836" s="101">
        <f>IF(AND(F836&lt;=DASHBOARD!$B$10, H836&gt;=DASHBOARD!$B$11), Q836, -1000000000000)</f>
        <v/>
      </c>
    </row>
    <row r="837" ht="15" customHeight="1" s="102">
      <c r="A837" s="166" t="n">
        <v>833</v>
      </c>
      <c r="B837" s="167" t="n">
        <v>1.9</v>
      </c>
      <c r="C837" s="167" t="n">
        <v>1.7</v>
      </c>
      <c r="D837" s="110" t="inlineStr">
        <is>
          <t>Yok (%0)</t>
        </is>
      </c>
      <c r="E837" s="110">
        <f>IF((B837+C837)&lt;=1, "Tam Mahsuplaşma (≤%100)", "Kısmi Satış (&gt;%100)")</f>
        <v/>
      </c>
      <c r="F837" s="168">
        <f>((VERI_TABANI!$D$29*B837/VERI_TABANI!$B$29)/VERI_TABANI!$B$3)*VERI_TABANI!$B$5 + ((VERI_TABANI!$D$29*C837/VERI_TABANI!$B$29)/VERI_TABANI!$B$4)*VERI_TABANI!$B$6 + IF(ISNUMBER(SEARCH("Var", D837)), (VERI_TABANI!$F$29/VERI_TABANI!$B$29)*(VERI_TABANI!$B$10+VERI_TABANI!$B$12), 0)</f>
        <v/>
      </c>
      <c r="G837" s="168">
        <f>(((MIN(VERI_TABANI!D23, VERI_TABANI!D23*B837)*VERI_TABANI!$B$7 + MAX(0, VERI_TABANI!D23*B837-VERI_TABANI!D23)*VERI_TABANI!$B$8) + (MIN(MAX(0, VERI_TABANI!D23-VERI_TABANI!D23*B837), VERI_TABANI!D23*C837)*VERI_TABANI!$B$7 + MAX(0, VERI_TABANI!D23*C837-MAX(0, VERI_TABANI!D23-VERI_TABANI!D23*B837))*VERI_TABANI!$B$8) + IF(ABS(IF(ISNUMBER(SEARCH("Var", D837)), 1, IF(ISNUMBER(SEARCH("Gri", D837)), -1, 0)))=1, VERI_TABANI!E23*(1-0.928)*VERI_TABANI!$B$9, 0) + (VERI_TABANI!D23*B837*(VERI_TABANI!$B$13-VERI_TABANI!$B$14)*VERI_TABANI!G23) + (VERI_TABANI!D23*C837*(VERI_TABANI!$B$13-VERI_TABANI!$B$15)*VERI_TABANI!G23) + IF(ABS(IF(ISNUMBER(SEARCH("Var", D837)), 1, IF(ISNUMBER(SEARCH("Gri", D837)), -1, 0)))=1, VERI_TABANI!E23*(1-0.928)*0.00206091519919798*VERI_TABANI!G23, 0)) + ((MIN(VERI_TABANI!D24, VERI_TABANI!D24*B837)*VERI_TABANI!$B$7 + MAX(0, VERI_TABANI!D24*B837-VERI_TABANI!D24)*VERI_TABANI!$B$8) + (MIN(MAX(0, VERI_TABANI!D24-VERI_TABANI!D24*B837), VERI_TABANI!D24*C837)*VERI_TABANI!$B$7 + MAX(0, VERI_TABANI!D24*C837-MAX(0, VERI_TABANI!D24-VERI_TABANI!D24*B837))*VERI_TABANI!$B$8) + IF(ABS(IF(ISNUMBER(SEARCH("Var", D837)), 1, IF(ISNUMBER(SEARCH("Gri", D837)), -1, 0)))=1, VERI_TABANI!E24*(1-0.928)*VERI_TABANI!$B$9, 0) + (VERI_TABANI!D24*B837*(VERI_TABANI!$B$13-VERI_TABANI!$B$14)*VERI_TABANI!G24) + (VERI_TABANI!D24*C837*(VERI_TABANI!$B$13-VERI_TABANI!$B$15)*VERI_TABANI!G24) + IF(ABS(IF(ISNUMBER(SEARCH("Var", D837)), 1, IF(ISNUMBER(SEARCH("Gri", D837)), -1, 0)))=1, VERI_TABANI!E24*(1-0.928)*0.00206091519919798*VERI_TABANI!G24, 0)) + ((MIN(VERI_TABANI!D25, VERI_TABANI!D25*B837)*VERI_TABANI!$B$7 + MAX(0, VERI_TABANI!D25*B837-VERI_TABANI!D25)*VERI_TABANI!$B$8) + (MIN(MAX(0, VERI_TABANI!D25-VERI_TABANI!D25*B837), VERI_TABANI!D25*C837)*VERI_TABANI!$B$7 + MAX(0, VERI_TABANI!D25*C837-MAX(0, VERI_TABANI!D25-VERI_TABANI!D25*B837))*VERI_TABANI!$B$8) + IF(ABS(IF(ISNUMBER(SEARCH("Var", D837)), 1, IF(ISNUMBER(SEARCH("Gri", D837)), -1, 0)))=1, VERI_TABANI!E25*(1-0.928)*VERI_TABANI!$B$9, 0) + (VERI_TABANI!D25*B837*(VERI_TABANI!$B$13-VERI_TABANI!$B$14)*VERI_TABANI!G25) + (VERI_TABANI!D25*C837*(VERI_TABANI!$B$13-VERI_TABANI!$B$15)*VERI_TABANI!G25) + IF(ABS(IF(ISNUMBER(SEARCH("Var", D837)), 1, IF(ISNUMBER(SEARCH("Gri", D837)), -1, 0)))=1, VERI_TABANI!E25*(1-0.928)*0.00206091519919798*VERI_TABANI!G25, 0)) + ((MIN(VERI_TABANI!D26, VERI_TABANI!D26*B837)*VERI_TABANI!$B$7 + MAX(0, VERI_TABANI!D26*B837-VERI_TABANI!D26)*VERI_TABANI!$B$8) + (MIN(MAX(0, VERI_TABANI!D26-VERI_TABANI!D26*B837), VERI_TABANI!D26*C837)*VERI_TABANI!$B$7 + MAX(0, VERI_TABANI!D26*C837-MAX(0, VERI_TABANI!D26-VERI_TABANI!D26*B837))*VERI_TABANI!$B$8) + IF(ABS(IF(ISNUMBER(SEARCH("Var", D837)), 1, IF(ISNUMBER(SEARCH("Gri", D837)), -1, 0)))=1, VERI_TABANI!E26*(1-0.928)*VERI_TABANI!$B$9, 0) + (VERI_TABANI!D26*B837*(VERI_TABANI!$B$13-VERI_TABANI!$B$14)*VERI_TABANI!G26) + (VERI_TABANI!D26*C837*(VERI_TABANI!$B$13-VERI_TABANI!$B$15)*VERI_TABANI!G26) + IF(ABS(IF(ISNUMBER(SEARCH("Var", D837)), 1, IF(ISNUMBER(SEARCH("Gri", D837)), -1, 0)))=1, VERI_TABANI!E26*(1-0.928)*0.00206091519919798*VERI_TABANI!G26, 0)) + ((MIN(VERI_TABANI!D27, VERI_TABANI!D27*B837)*VERI_TABANI!$B$7 + MAX(0, VERI_TABANI!D27*B837-VERI_TABANI!D27)*VERI_TABANI!$B$8) + (MIN(MAX(0, VERI_TABANI!D27-VERI_TABANI!D27*B837), VERI_TABANI!D27*C837)*VERI_TABANI!$B$7 + MAX(0, VERI_TABANI!D27*C837-MAX(0, VERI_TABANI!D27-VERI_TABANI!D27*B837))*VERI_TABANI!$B$8) + IF(ABS(IF(ISNUMBER(SEARCH("Var", D837)), 1, IF(ISNUMBER(SEARCH("Gri", D837)), -1, 0)))=1, VERI_TABANI!E27*(1-0.928)*VERI_TABANI!$B$9, 0) + (VERI_TABANI!D27*B837*(VERI_TABANI!$B$13-VERI_TABANI!$B$14)*VERI_TABANI!G27) + (VERI_TABANI!D27*C837*(VERI_TABANI!$B$13-VERI_TABANI!$B$15)*VERI_TABANI!G27) + IF(ABS(IF(ISNUMBER(SEARCH("Var", D837)), 1, IF(ISNUMBER(SEARCH("Gri", D837)), -1, 0)))=1, VERI_TABANI!E27*(1-0.928)*0.00206091519919798*VERI_TABANI!G27, 0)) + ((MIN(VERI_TABANI!D28, VERI_TABANI!D28*B837)*VERI_TABANI!$B$7 + MAX(0, VERI_TABANI!D28*B837-VERI_TABANI!D28)*VERI_TABANI!$B$8) + (MIN(MAX(0, VERI_TABANI!D28-VERI_TABANI!D28*B837), VERI_TABANI!D28*C837)*VERI_TABANI!$B$7 + MAX(0, VERI_TABANI!D28*C837-MAX(0, VERI_TABANI!D28-VERI_TABANI!D28*B837))*VERI_TABANI!$B$8) + IF(ABS(IF(ISNUMBER(SEARCH("Var", D837)), 1, IF(ISNUMBER(SEARCH("Gri", D837)), -1, 0)))=1, VERI_TABANI!E28*(1-0.928)*VERI_TABANI!$B$9, 0) + (VERI_TABANI!D28*B837*(VERI_TABANI!$B$13-VERI_TABANI!$B$14)*VERI_TABANI!G28) + (VERI_TABANI!D28*C837*(VERI_TABANI!$B$13-VERI_TABANI!$B$15)*VERI_TABANI!G28) + IF(ABS(IF(ISNUMBER(SEARCH("Var", D837)), 1, IF(ISNUMBER(SEARCH("Gri", D837)), -1, 0)))=1, VERI_TABANI!E28*(1-0.928)*0.00206091519919798*VERI_TABANI!G28, 0)))</f>
        <v/>
      </c>
      <c r="H837" s="169">
        <f>(((VERI_TABANI!D23*B837*(VERI_TABANI!$B$13-VERI_TABANI!$B$14)) + (VERI_TABANI!D23*C837*(VERI_TABANI!$B$13-VERI_TABANI!$B$15)) + IF(ISNUMBER(SEARCH("Var", D837)), VERI_TABANI!F23*(0.00202-VERI_TABANI!$B$16), IF(ISNUMBER(SEARCH("Gri", D837)), VERI_TABANI!F23*(0.00202-VERI_TABANI!$B$17), 0))) + ((VERI_TABANI!D24*B837*(VERI_TABANI!$B$13-VERI_TABANI!$B$14)) + (VERI_TABANI!D24*C837*(VERI_TABANI!$B$13-VERI_TABANI!$B$15)) + IF(ISNUMBER(SEARCH("Var", D837)), VERI_TABANI!F24*(0.00202-VERI_TABANI!$B$16), IF(ISNUMBER(SEARCH("Gri", D837)), VERI_TABANI!F24*(0.00202-VERI_TABANI!$B$17), 0))) + ((VERI_TABANI!D25*B837*(VERI_TABANI!$B$13-VERI_TABANI!$B$14)) + (VERI_TABANI!D25*C837*(VERI_TABANI!$B$13-VERI_TABANI!$B$15)) + IF(ISNUMBER(SEARCH("Var", D837)), VERI_TABANI!F25*(0.00202-VERI_TABANI!$B$16), IF(ISNUMBER(SEARCH("Gri", D837)), VERI_TABANI!F25*(0.00202-VERI_TABANI!$B$17), 0))) + ((VERI_TABANI!D26*B837*(VERI_TABANI!$B$13-VERI_TABANI!$B$14)) + (VERI_TABANI!D26*C837*(VERI_TABANI!$B$13-VERI_TABANI!$B$15)) + IF(ISNUMBER(SEARCH("Var", D837)), VERI_TABANI!F26*(0.00202-VERI_TABANI!$B$16), IF(ISNUMBER(SEARCH("Gri", D837)), VERI_TABANI!F26*(0.00202-VERI_TABANI!$B$17), 0))) + ((VERI_TABANI!D27*B837*(VERI_TABANI!$B$13-VERI_TABANI!$B$14)) + (VERI_TABANI!D27*C837*(VERI_TABANI!$B$13-VERI_TABANI!$B$15)) + IF(ISNUMBER(SEARCH("Var", D837)), VERI_TABANI!F27*(0.00202-VERI_TABANI!$B$16), IF(ISNUMBER(SEARCH("Gri", D837)), VERI_TABANI!F27*(0.00202-VERI_TABANI!$B$17), 0))) + ((VERI_TABANI!D28*B837*(VERI_TABANI!$B$13-VERI_TABANI!$B$14)) + (VERI_TABANI!D28*C837*(VERI_TABANI!$B$13-VERI_TABANI!$B$15)) + IF(ISNUMBER(SEARCH("Var", D837)), VERI_TABANI!F28*(0.00202-VERI_TABANI!$B$16), IF(ISNUMBER(SEARCH("Gri", D837)), VERI_TABANI!F28*(0.00202-VERI_TABANI!$B$17), 0))))</f>
        <v/>
      </c>
      <c r="I837" s="170">
        <f>IFERROR(((VERI_TABANI!$D$29*B837*VERI_TABANI!$B$14 + VERI_TABANI!$D$29*C837*VERI_TABANI!$B$15 + IF(ISNUMBER(SEARCH("Var", D837)), VERI_TABANI!$F$29*VERI_TABANI!$B$16, 0))) / (((VERI_TABANI!$D$29*B837 + VERI_TABANI!$D$29*C837)*VERI_TABANI!$B$13 + IF(ISNUMBER(SEARCH("Var", D837)), VERI_TABANI!$E$29*(1-0.928)*VERI_TABANI!$B$18, 0))), 0)</f>
        <v/>
      </c>
      <c r="J837" s="171">
        <f>IFERROR(F837/(G837/29), 0)</f>
        <v/>
      </c>
      <c r="K837" s="172">
        <f>IF(F837&gt;0, H837/F837, 0)</f>
        <v/>
      </c>
      <c r="L837" s="170">
        <f>IF(F837&gt;0, I837, 1000000000)</f>
        <v/>
      </c>
      <c r="M837" s="171">
        <f>ABS((B837+C837)-1)</f>
        <v/>
      </c>
      <c r="N837" s="170">
        <f>IF(F837&gt;0, (G837/29)/F837, 0)</f>
        <v/>
      </c>
      <c r="O837" s="168">
        <f>IF(AND((B837+C837)&gt;=1, ISNUMBER(SEARCH("Var", D837))), F837, 1000000000)</f>
        <v/>
      </c>
      <c r="P837" s="172">
        <f>IF(F837&gt;0, SQRT((F837/MAX(F$5:F$886))^2 + (1 - H837/MAX(H$5:H$886))^2 + (J837/MAX(J$5:J$886))^2), 1000000000)</f>
        <v/>
      </c>
      <c r="Q837" s="166">
        <f>IF(AND(ABS(B837-0.5)&lt;0.01, ABS(C837-0.5)&lt;0.01, ISNUMBER(SEARCH("Var", D837))), 1, 0)</f>
        <v/>
      </c>
      <c r="R837" s="171">
        <f>IF(F837&gt;0, J837, 1000000000)</f>
        <v/>
      </c>
      <c r="S837" s="101">
        <f>IF(AND(F837&lt;=DASHBOARD!$B$11, H837&gt;=DASHBOARD!$B$13), G837, -1000000000000)</f>
        <v/>
      </c>
      <c r="T837" s="101">
        <f>IF(AND(F837&lt;=DASHBOARD!$B$11, H837&gt;=DASHBOARD!$B$13), R837, 1000000000000)</f>
        <v/>
      </c>
      <c r="U837" s="101">
        <f>IF(AND(F837&lt;=DASHBOARD!$B$11, H837&gt;=DASHBOARD!$B$13), N837, -1000000000000)</f>
        <v/>
      </c>
      <c r="V837" s="101">
        <f>IF(AND(F837&lt;=DASHBOARD!$B$11, H837&gt;=DASHBOARD!$B$13), H837, -1000000000000)</f>
        <v/>
      </c>
      <c r="W837" s="101">
        <f>IF(AND(F837&lt;=DASHBOARD!$B$11, H837&gt;=DASHBOARD!$B$13), K837, -1000000000000)</f>
        <v/>
      </c>
      <c r="X837" s="101">
        <f>IF(AND(F837&lt;=DASHBOARD!$B$11, H837&gt;=DASHBOARD!$B$13), M837, 1000000000000)</f>
        <v/>
      </c>
      <c r="Y837" s="101">
        <f>IF(AND(F837&lt;=DASHBOARD!$B$10, H837&gt;=DASHBOARD!$B$11), L837, 1000000000000)</f>
        <v/>
      </c>
      <c r="Z837" s="101">
        <f>IF(AND(F837&lt;=DASHBOARD!$B$10, H837&gt;=DASHBOARD!$B$11), O837, 1000000000000)</f>
        <v/>
      </c>
      <c r="AA837" s="101">
        <f>IF(AND(F837&lt;=DASHBOARD!$B$10, H837&gt;=DASHBOARD!$B$11), P837, 1000000000000)</f>
        <v/>
      </c>
      <c r="AB837" s="101">
        <f>IF(AND(F837&lt;=DASHBOARD!$B$10, H837&gt;=DASHBOARD!$B$11), Q837, -1000000000000)</f>
        <v/>
      </c>
    </row>
    <row r="838" ht="15" customHeight="1" s="102">
      <c r="A838" s="166" t="n">
        <v>834</v>
      </c>
      <c r="B838" s="167" t="n">
        <v>1.9</v>
      </c>
      <c r="C838" s="167" t="n">
        <v>1.7</v>
      </c>
      <c r="D838" s="110" t="inlineStr">
        <is>
          <t>Var (%20)</t>
        </is>
      </c>
      <c r="E838" s="110">
        <f>IF((B838+C838)&lt;=1, "Tam Mahsuplaşma (≤%100)", "Kısmi Satış (&gt;%100)")</f>
        <v/>
      </c>
      <c r="F838" s="168">
        <f>((VERI_TABANI!$D$29*B838/VERI_TABANI!$B$29)/VERI_TABANI!$B$3)*VERI_TABANI!$B$5 + ((VERI_TABANI!$D$29*C838/VERI_TABANI!$B$29)/VERI_TABANI!$B$4)*VERI_TABANI!$B$6 + IF(ISNUMBER(SEARCH("Var", D838)), (VERI_TABANI!$F$29/VERI_TABANI!$B$29)*(VERI_TABANI!$B$10+VERI_TABANI!$B$12), 0)</f>
        <v/>
      </c>
      <c r="G838" s="168">
        <f>(((MIN(VERI_TABANI!D23, VERI_TABANI!D23*B838)*VERI_TABANI!$B$7 + MAX(0, VERI_TABANI!D23*B838-VERI_TABANI!D23)*VERI_TABANI!$B$8) + (MIN(MAX(0, VERI_TABANI!D23-VERI_TABANI!D23*B838), VERI_TABANI!D23*C838)*VERI_TABANI!$B$7 + MAX(0, VERI_TABANI!D23*C838-MAX(0, VERI_TABANI!D23-VERI_TABANI!D23*B838))*VERI_TABANI!$B$8) + IF(ABS(IF(ISNUMBER(SEARCH("Var", D838)), 1, IF(ISNUMBER(SEARCH("Gri", D838)), -1, 0)))=1, VERI_TABANI!E23*(1-0.928)*VERI_TABANI!$B$9, 0) + (VERI_TABANI!D23*B838*(VERI_TABANI!$B$13-VERI_TABANI!$B$14)*VERI_TABANI!G23) + (VERI_TABANI!D23*C838*(VERI_TABANI!$B$13-VERI_TABANI!$B$15)*VERI_TABANI!G23) + IF(ABS(IF(ISNUMBER(SEARCH("Var", D838)), 1, IF(ISNUMBER(SEARCH("Gri", D838)), -1, 0)))=1, VERI_TABANI!E23*(1-0.928)*0.00206091519919798*VERI_TABANI!G23, 0)) + ((MIN(VERI_TABANI!D24, VERI_TABANI!D24*B838)*VERI_TABANI!$B$7 + MAX(0, VERI_TABANI!D24*B838-VERI_TABANI!D24)*VERI_TABANI!$B$8) + (MIN(MAX(0, VERI_TABANI!D24-VERI_TABANI!D24*B838), VERI_TABANI!D24*C838)*VERI_TABANI!$B$7 + MAX(0, VERI_TABANI!D24*C838-MAX(0, VERI_TABANI!D24-VERI_TABANI!D24*B838))*VERI_TABANI!$B$8) + IF(ABS(IF(ISNUMBER(SEARCH("Var", D838)), 1, IF(ISNUMBER(SEARCH("Gri", D838)), -1, 0)))=1, VERI_TABANI!E24*(1-0.928)*VERI_TABANI!$B$9, 0) + (VERI_TABANI!D24*B838*(VERI_TABANI!$B$13-VERI_TABANI!$B$14)*VERI_TABANI!G24) + (VERI_TABANI!D24*C838*(VERI_TABANI!$B$13-VERI_TABANI!$B$15)*VERI_TABANI!G24) + IF(ABS(IF(ISNUMBER(SEARCH("Var", D838)), 1, IF(ISNUMBER(SEARCH("Gri", D838)), -1, 0)))=1, VERI_TABANI!E24*(1-0.928)*0.00206091519919798*VERI_TABANI!G24, 0)) + ((MIN(VERI_TABANI!D25, VERI_TABANI!D25*B838)*VERI_TABANI!$B$7 + MAX(0, VERI_TABANI!D25*B838-VERI_TABANI!D25)*VERI_TABANI!$B$8) + (MIN(MAX(0, VERI_TABANI!D25-VERI_TABANI!D25*B838), VERI_TABANI!D25*C838)*VERI_TABANI!$B$7 + MAX(0, VERI_TABANI!D25*C838-MAX(0, VERI_TABANI!D25-VERI_TABANI!D25*B838))*VERI_TABANI!$B$8) + IF(ABS(IF(ISNUMBER(SEARCH("Var", D838)), 1, IF(ISNUMBER(SEARCH("Gri", D838)), -1, 0)))=1, VERI_TABANI!E25*(1-0.928)*VERI_TABANI!$B$9, 0) + (VERI_TABANI!D25*B838*(VERI_TABANI!$B$13-VERI_TABANI!$B$14)*VERI_TABANI!G25) + (VERI_TABANI!D25*C838*(VERI_TABANI!$B$13-VERI_TABANI!$B$15)*VERI_TABANI!G25) + IF(ABS(IF(ISNUMBER(SEARCH("Var", D838)), 1, IF(ISNUMBER(SEARCH("Gri", D838)), -1, 0)))=1, VERI_TABANI!E25*(1-0.928)*0.00206091519919798*VERI_TABANI!G25, 0)) + ((MIN(VERI_TABANI!D26, VERI_TABANI!D26*B838)*VERI_TABANI!$B$7 + MAX(0, VERI_TABANI!D26*B838-VERI_TABANI!D26)*VERI_TABANI!$B$8) + (MIN(MAX(0, VERI_TABANI!D26-VERI_TABANI!D26*B838), VERI_TABANI!D26*C838)*VERI_TABANI!$B$7 + MAX(0, VERI_TABANI!D26*C838-MAX(0, VERI_TABANI!D26-VERI_TABANI!D26*B838))*VERI_TABANI!$B$8) + IF(ABS(IF(ISNUMBER(SEARCH("Var", D838)), 1, IF(ISNUMBER(SEARCH("Gri", D838)), -1, 0)))=1, VERI_TABANI!E26*(1-0.928)*VERI_TABANI!$B$9, 0) + (VERI_TABANI!D26*B838*(VERI_TABANI!$B$13-VERI_TABANI!$B$14)*VERI_TABANI!G26) + (VERI_TABANI!D26*C838*(VERI_TABANI!$B$13-VERI_TABANI!$B$15)*VERI_TABANI!G26) + IF(ABS(IF(ISNUMBER(SEARCH("Var", D838)), 1, IF(ISNUMBER(SEARCH("Gri", D838)), -1, 0)))=1, VERI_TABANI!E26*(1-0.928)*0.00206091519919798*VERI_TABANI!G26, 0)) + ((MIN(VERI_TABANI!D27, VERI_TABANI!D27*B838)*VERI_TABANI!$B$7 + MAX(0, VERI_TABANI!D27*B838-VERI_TABANI!D27)*VERI_TABANI!$B$8) + (MIN(MAX(0, VERI_TABANI!D27-VERI_TABANI!D27*B838), VERI_TABANI!D27*C838)*VERI_TABANI!$B$7 + MAX(0, VERI_TABANI!D27*C838-MAX(0, VERI_TABANI!D27-VERI_TABANI!D27*B838))*VERI_TABANI!$B$8) + IF(ABS(IF(ISNUMBER(SEARCH("Var", D838)), 1, IF(ISNUMBER(SEARCH("Gri", D838)), -1, 0)))=1, VERI_TABANI!E27*(1-0.928)*VERI_TABANI!$B$9, 0) + (VERI_TABANI!D27*B838*(VERI_TABANI!$B$13-VERI_TABANI!$B$14)*VERI_TABANI!G27) + (VERI_TABANI!D27*C838*(VERI_TABANI!$B$13-VERI_TABANI!$B$15)*VERI_TABANI!G27) + IF(ABS(IF(ISNUMBER(SEARCH("Var", D838)), 1, IF(ISNUMBER(SEARCH("Gri", D838)), -1, 0)))=1, VERI_TABANI!E27*(1-0.928)*0.00206091519919798*VERI_TABANI!G27, 0)) + ((MIN(VERI_TABANI!D28, VERI_TABANI!D28*B838)*VERI_TABANI!$B$7 + MAX(0, VERI_TABANI!D28*B838-VERI_TABANI!D28)*VERI_TABANI!$B$8) + (MIN(MAX(0, VERI_TABANI!D28-VERI_TABANI!D28*B838), VERI_TABANI!D28*C838)*VERI_TABANI!$B$7 + MAX(0, VERI_TABANI!D28*C838-MAX(0, VERI_TABANI!D28-VERI_TABANI!D28*B838))*VERI_TABANI!$B$8) + IF(ABS(IF(ISNUMBER(SEARCH("Var", D838)), 1, IF(ISNUMBER(SEARCH("Gri", D838)), -1, 0)))=1, VERI_TABANI!E28*(1-0.928)*VERI_TABANI!$B$9, 0) + (VERI_TABANI!D28*B838*(VERI_TABANI!$B$13-VERI_TABANI!$B$14)*VERI_TABANI!G28) + (VERI_TABANI!D28*C838*(VERI_TABANI!$B$13-VERI_TABANI!$B$15)*VERI_TABANI!G28) + IF(ABS(IF(ISNUMBER(SEARCH("Var", D838)), 1, IF(ISNUMBER(SEARCH("Gri", D838)), -1, 0)))=1, VERI_TABANI!E28*(1-0.928)*0.00206091519919798*VERI_TABANI!G28, 0)))</f>
        <v/>
      </c>
      <c r="H838" s="169">
        <f>(((VERI_TABANI!D23*B838*(VERI_TABANI!$B$13-VERI_TABANI!$B$14)) + (VERI_TABANI!D23*C838*(VERI_TABANI!$B$13-VERI_TABANI!$B$15)) + IF(ISNUMBER(SEARCH("Var", D838)), VERI_TABANI!F23*(0.00202-VERI_TABANI!$B$16), IF(ISNUMBER(SEARCH("Gri", D838)), VERI_TABANI!F23*(0.00202-VERI_TABANI!$B$17), 0))) + ((VERI_TABANI!D24*B838*(VERI_TABANI!$B$13-VERI_TABANI!$B$14)) + (VERI_TABANI!D24*C838*(VERI_TABANI!$B$13-VERI_TABANI!$B$15)) + IF(ISNUMBER(SEARCH("Var", D838)), VERI_TABANI!F24*(0.00202-VERI_TABANI!$B$16), IF(ISNUMBER(SEARCH("Gri", D838)), VERI_TABANI!F24*(0.00202-VERI_TABANI!$B$17), 0))) + ((VERI_TABANI!D25*B838*(VERI_TABANI!$B$13-VERI_TABANI!$B$14)) + (VERI_TABANI!D25*C838*(VERI_TABANI!$B$13-VERI_TABANI!$B$15)) + IF(ISNUMBER(SEARCH("Var", D838)), VERI_TABANI!F25*(0.00202-VERI_TABANI!$B$16), IF(ISNUMBER(SEARCH("Gri", D838)), VERI_TABANI!F25*(0.00202-VERI_TABANI!$B$17), 0))) + ((VERI_TABANI!D26*B838*(VERI_TABANI!$B$13-VERI_TABANI!$B$14)) + (VERI_TABANI!D26*C838*(VERI_TABANI!$B$13-VERI_TABANI!$B$15)) + IF(ISNUMBER(SEARCH("Var", D838)), VERI_TABANI!F26*(0.00202-VERI_TABANI!$B$16), IF(ISNUMBER(SEARCH("Gri", D838)), VERI_TABANI!F26*(0.00202-VERI_TABANI!$B$17), 0))) + ((VERI_TABANI!D27*B838*(VERI_TABANI!$B$13-VERI_TABANI!$B$14)) + (VERI_TABANI!D27*C838*(VERI_TABANI!$B$13-VERI_TABANI!$B$15)) + IF(ISNUMBER(SEARCH("Var", D838)), VERI_TABANI!F27*(0.00202-VERI_TABANI!$B$16), IF(ISNUMBER(SEARCH("Gri", D838)), VERI_TABANI!F27*(0.00202-VERI_TABANI!$B$17), 0))) + ((VERI_TABANI!D28*B838*(VERI_TABANI!$B$13-VERI_TABANI!$B$14)) + (VERI_TABANI!D28*C838*(VERI_TABANI!$B$13-VERI_TABANI!$B$15)) + IF(ISNUMBER(SEARCH("Var", D838)), VERI_TABANI!F28*(0.00202-VERI_TABANI!$B$16), IF(ISNUMBER(SEARCH("Gri", D838)), VERI_TABANI!F28*(0.00202-VERI_TABANI!$B$17), 0))))</f>
        <v/>
      </c>
      <c r="I838" s="170">
        <f>IFERROR(((VERI_TABANI!$D$29*B838*VERI_TABANI!$B$14 + VERI_TABANI!$D$29*C838*VERI_TABANI!$B$15 + IF(ISNUMBER(SEARCH("Var", D838)), VERI_TABANI!$F$29*VERI_TABANI!$B$16, 0))) / (((VERI_TABANI!$D$29*B838 + VERI_TABANI!$D$29*C838)*VERI_TABANI!$B$13 + IF(ISNUMBER(SEARCH("Var", D838)), VERI_TABANI!$E$29*(1-0.928)*VERI_TABANI!$B$18, 0))), 0)</f>
        <v/>
      </c>
      <c r="J838" s="171">
        <f>IFERROR(F838/(G838/29), 0)</f>
        <v/>
      </c>
      <c r="K838" s="172">
        <f>IF(F838&gt;0, H838/F838, 0)</f>
        <v/>
      </c>
      <c r="L838" s="170">
        <f>IF(F838&gt;0, I838, 1000000000)</f>
        <v/>
      </c>
      <c r="M838" s="171">
        <f>ABS((B838+C838)-1)</f>
        <v/>
      </c>
      <c r="N838" s="170">
        <f>IF(F838&gt;0, (G838/29)/F838, 0)</f>
        <v/>
      </c>
      <c r="O838" s="168">
        <f>IF(AND((B838+C838)&gt;=1, ISNUMBER(SEARCH("Var", D838))), F838, 1000000000)</f>
        <v/>
      </c>
      <c r="P838" s="172">
        <f>IF(F838&gt;0, SQRT((F838/MAX(F$5:F$886))^2 + (1 - H838/MAX(H$5:H$886))^2 + (J838/MAX(J$5:J$886))^2), 1000000000)</f>
        <v/>
      </c>
      <c r="Q838" s="166">
        <f>IF(AND(ABS(B838-0.5)&lt;0.01, ABS(C838-0.5)&lt;0.01, ISNUMBER(SEARCH("Var", D838))), 1, 0)</f>
        <v/>
      </c>
      <c r="R838" s="171">
        <f>IF(F838&gt;0, J838, 1000000000)</f>
        <v/>
      </c>
      <c r="S838" s="101">
        <f>IF(AND(F838&lt;=DASHBOARD!$B$11, H838&gt;=DASHBOARD!$B$13), G838, -1000000000000)</f>
        <v/>
      </c>
      <c r="T838" s="101">
        <f>IF(AND(F838&lt;=DASHBOARD!$B$11, H838&gt;=DASHBOARD!$B$13), R838, 1000000000000)</f>
        <v/>
      </c>
      <c r="U838" s="101">
        <f>IF(AND(F838&lt;=DASHBOARD!$B$11, H838&gt;=DASHBOARD!$B$13), N838, -1000000000000)</f>
        <v/>
      </c>
      <c r="V838" s="101">
        <f>IF(AND(F838&lt;=DASHBOARD!$B$11, H838&gt;=DASHBOARD!$B$13), H838, -1000000000000)</f>
        <v/>
      </c>
      <c r="W838" s="101">
        <f>IF(AND(F838&lt;=DASHBOARD!$B$11, H838&gt;=DASHBOARD!$B$13), K838, -1000000000000)</f>
        <v/>
      </c>
      <c r="X838" s="101">
        <f>IF(AND(F838&lt;=DASHBOARD!$B$11, H838&gt;=DASHBOARD!$B$13), M838, 1000000000000)</f>
        <v/>
      </c>
      <c r="Y838" s="101">
        <f>IF(AND(F838&lt;=DASHBOARD!$B$10, H838&gt;=DASHBOARD!$B$11), L838, 1000000000000)</f>
        <v/>
      </c>
      <c r="Z838" s="101">
        <f>IF(AND(F838&lt;=DASHBOARD!$B$10, H838&gt;=DASHBOARD!$B$11), O838, 1000000000000)</f>
        <v/>
      </c>
      <c r="AA838" s="101">
        <f>IF(AND(F838&lt;=DASHBOARD!$B$10, H838&gt;=DASHBOARD!$B$11), P838, 1000000000000)</f>
        <v/>
      </c>
      <c r="AB838" s="101">
        <f>IF(AND(F838&lt;=DASHBOARD!$B$10, H838&gt;=DASHBOARD!$B$11), Q838, -1000000000000)</f>
        <v/>
      </c>
    </row>
    <row r="839" ht="15" customHeight="1" s="102">
      <c r="A839" s="166" t="n">
        <v>835</v>
      </c>
      <c r="B839" s="167" t="n">
        <v>1.9</v>
      </c>
      <c r="C839" s="167" t="n">
        <v>1.8</v>
      </c>
      <c r="D839" s="110" t="inlineStr">
        <is>
          <t>Yok (%0)</t>
        </is>
      </c>
      <c r="E839" s="110">
        <f>IF((B839+C839)&lt;=1, "Tam Mahsuplaşma (≤%100)", "Kısmi Satış (&gt;%100)")</f>
        <v/>
      </c>
      <c r="F839" s="168">
        <f>((VERI_TABANI!$D$29*B839/VERI_TABANI!$B$29)/VERI_TABANI!$B$3)*VERI_TABANI!$B$5 + ((VERI_TABANI!$D$29*C839/VERI_TABANI!$B$29)/VERI_TABANI!$B$4)*VERI_TABANI!$B$6 + IF(ISNUMBER(SEARCH("Var", D839)), (VERI_TABANI!$F$29/VERI_TABANI!$B$29)*(VERI_TABANI!$B$10+VERI_TABANI!$B$12), 0)</f>
        <v/>
      </c>
      <c r="G839" s="168">
        <f>(((MIN(VERI_TABANI!D23, VERI_TABANI!D23*B839)*VERI_TABANI!$B$7 + MAX(0, VERI_TABANI!D23*B839-VERI_TABANI!D23)*VERI_TABANI!$B$8) + (MIN(MAX(0, VERI_TABANI!D23-VERI_TABANI!D23*B839), VERI_TABANI!D23*C839)*VERI_TABANI!$B$7 + MAX(0, VERI_TABANI!D23*C839-MAX(0, VERI_TABANI!D23-VERI_TABANI!D23*B839))*VERI_TABANI!$B$8) + IF(ABS(IF(ISNUMBER(SEARCH("Var", D839)), 1, IF(ISNUMBER(SEARCH("Gri", D839)), -1, 0)))=1, VERI_TABANI!E23*(1-0.928)*VERI_TABANI!$B$9, 0) + (VERI_TABANI!D23*B839*(VERI_TABANI!$B$13-VERI_TABANI!$B$14)*VERI_TABANI!G23) + (VERI_TABANI!D23*C839*(VERI_TABANI!$B$13-VERI_TABANI!$B$15)*VERI_TABANI!G23) + IF(ABS(IF(ISNUMBER(SEARCH("Var", D839)), 1, IF(ISNUMBER(SEARCH("Gri", D839)), -1, 0)))=1, VERI_TABANI!E23*(1-0.928)*0.00206091519919798*VERI_TABANI!G23, 0)) + ((MIN(VERI_TABANI!D24, VERI_TABANI!D24*B839)*VERI_TABANI!$B$7 + MAX(0, VERI_TABANI!D24*B839-VERI_TABANI!D24)*VERI_TABANI!$B$8) + (MIN(MAX(0, VERI_TABANI!D24-VERI_TABANI!D24*B839), VERI_TABANI!D24*C839)*VERI_TABANI!$B$7 + MAX(0, VERI_TABANI!D24*C839-MAX(0, VERI_TABANI!D24-VERI_TABANI!D24*B839))*VERI_TABANI!$B$8) + IF(ABS(IF(ISNUMBER(SEARCH("Var", D839)), 1, IF(ISNUMBER(SEARCH("Gri", D839)), -1, 0)))=1, VERI_TABANI!E24*(1-0.928)*VERI_TABANI!$B$9, 0) + (VERI_TABANI!D24*B839*(VERI_TABANI!$B$13-VERI_TABANI!$B$14)*VERI_TABANI!G24) + (VERI_TABANI!D24*C839*(VERI_TABANI!$B$13-VERI_TABANI!$B$15)*VERI_TABANI!G24) + IF(ABS(IF(ISNUMBER(SEARCH("Var", D839)), 1, IF(ISNUMBER(SEARCH("Gri", D839)), -1, 0)))=1, VERI_TABANI!E24*(1-0.928)*0.00206091519919798*VERI_TABANI!G24, 0)) + ((MIN(VERI_TABANI!D25, VERI_TABANI!D25*B839)*VERI_TABANI!$B$7 + MAX(0, VERI_TABANI!D25*B839-VERI_TABANI!D25)*VERI_TABANI!$B$8) + (MIN(MAX(0, VERI_TABANI!D25-VERI_TABANI!D25*B839), VERI_TABANI!D25*C839)*VERI_TABANI!$B$7 + MAX(0, VERI_TABANI!D25*C839-MAX(0, VERI_TABANI!D25-VERI_TABANI!D25*B839))*VERI_TABANI!$B$8) + IF(ABS(IF(ISNUMBER(SEARCH("Var", D839)), 1, IF(ISNUMBER(SEARCH("Gri", D839)), -1, 0)))=1, VERI_TABANI!E25*(1-0.928)*VERI_TABANI!$B$9, 0) + (VERI_TABANI!D25*B839*(VERI_TABANI!$B$13-VERI_TABANI!$B$14)*VERI_TABANI!G25) + (VERI_TABANI!D25*C839*(VERI_TABANI!$B$13-VERI_TABANI!$B$15)*VERI_TABANI!G25) + IF(ABS(IF(ISNUMBER(SEARCH("Var", D839)), 1, IF(ISNUMBER(SEARCH("Gri", D839)), -1, 0)))=1, VERI_TABANI!E25*(1-0.928)*0.00206091519919798*VERI_TABANI!G25, 0)) + ((MIN(VERI_TABANI!D26, VERI_TABANI!D26*B839)*VERI_TABANI!$B$7 + MAX(0, VERI_TABANI!D26*B839-VERI_TABANI!D26)*VERI_TABANI!$B$8) + (MIN(MAX(0, VERI_TABANI!D26-VERI_TABANI!D26*B839), VERI_TABANI!D26*C839)*VERI_TABANI!$B$7 + MAX(0, VERI_TABANI!D26*C839-MAX(0, VERI_TABANI!D26-VERI_TABANI!D26*B839))*VERI_TABANI!$B$8) + IF(ABS(IF(ISNUMBER(SEARCH("Var", D839)), 1, IF(ISNUMBER(SEARCH("Gri", D839)), -1, 0)))=1, VERI_TABANI!E26*(1-0.928)*VERI_TABANI!$B$9, 0) + (VERI_TABANI!D26*B839*(VERI_TABANI!$B$13-VERI_TABANI!$B$14)*VERI_TABANI!G26) + (VERI_TABANI!D26*C839*(VERI_TABANI!$B$13-VERI_TABANI!$B$15)*VERI_TABANI!G26) + IF(ABS(IF(ISNUMBER(SEARCH("Var", D839)), 1, IF(ISNUMBER(SEARCH("Gri", D839)), -1, 0)))=1, VERI_TABANI!E26*(1-0.928)*0.00206091519919798*VERI_TABANI!G26, 0)) + ((MIN(VERI_TABANI!D27, VERI_TABANI!D27*B839)*VERI_TABANI!$B$7 + MAX(0, VERI_TABANI!D27*B839-VERI_TABANI!D27)*VERI_TABANI!$B$8) + (MIN(MAX(0, VERI_TABANI!D27-VERI_TABANI!D27*B839), VERI_TABANI!D27*C839)*VERI_TABANI!$B$7 + MAX(0, VERI_TABANI!D27*C839-MAX(0, VERI_TABANI!D27-VERI_TABANI!D27*B839))*VERI_TABANI!$B$8) + IF(ABS(IF(ISNUMBER(SEARCH("Var", D839)), 1, IF(ISNUMBER(SEARCH("Gri", D839)), -1, 0)))=1, VERI_TABANI!E27*(1-0.928)*VERI_TABANI!$B$9, 0) + (VERI_TABANI!D27*B839*(VERI_TABANI!$B$13-VERI_TABANI!$B$14)*VERI_TABANI!G27) + (VERI_TABANI!D27*C839*(VERI_TABANI!$B$13-VERI_TABANI!$B$15)*VERI_TABANI!G27) + IF(ABS(IF(ISNUMBER(SEARCH("Var", D839)), 1, IF(ISNUMBER(SEARCH("Gri", D839)), -1, 0)))=1, VERI_TABANI!E27*(1-0.928)*0.00206091519919798*VERI_TABANI!G27, 0)) + ((MIN(VERI_TABANI!D28, VERI_TABANI!D28*B839)*VERI_TABANI!$B$7 + MAX(0, VERI_TABANI!D28*B839-VERI_TABANI!D28)*VERI_TABANI!$B$8) + (MIN(MAX(0, VERI_TABANI!D28-VERI_TABANI!D28*B839), VERI_TABANI!D28*C839)*VERI_TABANI!$B$7 + MAX(0, VERI_TABANI!D28*C839-MAX(0, VERI_TABANI!D28-VERI_TABANI!D28*B839))*VERI_TABANI!$B$8) + IF(ABS(IF(ISNUMBER(SEARCH("Var", D839)), 1, IF(ISNUMBER(SEARCH("Gri", D839)), -1, 0)))=1, VERI_TABANI!E28*(1-0.928)*VERI_TABANI!$B$9, 0) + (VERI_TABANI!D28*B839*(VERI_TABANI!$B$13-VERI_TABANI!$B$14)*VERI_TABANI!G28) + (VERI_TABANI!D28*C839*(VERI_TABANI!$B$13-VERI_TABANI!$B$15)*VERI_TABANI!G28) + IF(ABS(IF(ISNUMBER(SEARCH("Var", D839)), 1, IF(ISNUMBER(SEARCH("Gri", D839)), -1, 0)))=1, VERI_TABANI!E28*(1-0.928)*0.00206091519919798*VERI_TABANI!G28, 0)))</f>
        <v/>
      </c>
      <c r="H839" s="169">
        <f>(((VERI_TABANI!D23*B839*(VERI_TABANI!$B$13-VERI_TABANI!$B$14)) + (VERI_TABANI!D23*C839*(VERI_TABANI!$B$13-VERI_TABANI!$B$15)) + IF(ISNUMBER(SEARCH("Var", D839)), VERI_TABANI!F23*(0.00202-VERI_TABANI!$B$16), IF(ISNUMBER(SEARCH("Gri", D839)), VERI_TABANI!F23*(0.00202-VERI_TABANI!$B$17), 0))) + ((VERI_TABANI!D24*B839*(VERI_TABANI!$B$13-VERI_TABANI!$B$14)) + (VERI_TABANI!D24*C839*(VERI_TABANI!$B$13-VERI_TABANI!$B$15)) + IF(ISNUMBER(SEARCH("Var", D839)), VERI_TABANI!F24*(0.00202-VERI_TABANI!$B$16), IF(ISNUMBER(SEARCH("Gri", D839)), VERI_TABANI!F24*(0.00202-VERI_TABANI!$B$17), 0))) + ((VERI_TABANI!D25*B839*(VERI_TABANI!$B$13-VERI_TABANI!$B$14)) + (VERI_TABANI!D25*C839*(VERI_TABANI!$B$13-VERI_TABANI!$B$15)) + IF(ISNUMBER(SEARCH("Var", D839)), VERI_TABANI!F25*(0.00202-VERI_TABANI!$B$16), IF(ISNUMBER(SEARCH("Gri", D839)), VERI_TABANI!F25*(0.00202-VERI_TABANI!$B$17), 0))) + ((VERI_TABANI!D26*B839*(VERI_TABANI!$B$13-VERI_TABANI!$B$14)) + (VERI_TABANI!D26*C839*(VERI_TABANI!$B$13-VERI_TABANI!$B$15)) + IF(ISNUMBER(SEARCH("Var", D839)), VERI_TABANI!F26*(0.00202-VERI_TABANI!$B$16), IF(ISNUMBER(SEARCH("Gri", D839)), VERI_TABANI!F26*(0.00202-VERI_TABANI!$B$17), 0))) + ((VERI_TABANI!D27*B839*(VERI_TABANI!$B$13-VERI_TABANI!$B$14)) + (VERI_TABANI!D27*C839*(VERI_TABANI!$B$13-VERI_TABANI!$B$15)) + IF(ISNUMBER(SEARCH("Var", D839)), VERI_TABANI!F27*(0.00202-VERI_TABANI!$B$16), IF(ISNUMBER(SEARCH("Gri", D839)), VERI_TABANI!F27*(0.00202-VERI_TABANI!$B$17), 0))) + ((VERI_TABANI!D28*B839*(VERI_TABANI!$B$13-VERI_TABANI!$B$14)) + (VERI_TABANI!D28*C839*(VERI_TABANI!$B$13-VERI_TABANI!$B$15)) + IF(ISNUMBER(SEARCH("Var", D839)), VERI_TABANI!F28*(0.00202-VERI_TABANI!$B$16), IF(ISNUMBER(SEARCH("Gri", D839)), VERI_TABANI!F28*(0.00202-VERI_TABANI!$B$17), 0))))</f>
        <v/>
      </c>
      <c r="I839" s="170">
        <f>IFERROR(((VERI_TABANI!$D$29*B839*VERI_TABANI!$B$14 + VERI_TABANI!$D$29*C839*VERI_TABANI!$B$15 + IF(ISNUMBER(SEARCH("Var", D839)), VERI_TABANI!$F$29*VERI_TABANI!$B$16, 0))) / (((VERI_TABANI!$D$29*B839 + VERI_TABANI!$D$29*C839)*VERI_TABANI!$B$13 + IF(ISNUMBER(SEARCH("Var", D839)), VERI_TABANI!$E$29*(1-0.928)*VERI_TABANI!$B$18, 0))), 0)</f>
        <v/>
      </c>
      <c r="J839" s="171">
        <f>IFERROR(F839/(G839/29), 0)</f>
        <v/>
      </c>
      <c r="K839" s="172">
        <f>IF(F839&gt;0, H839/F839, 0)</f>
        <v/>
      </c>
      <c r="L839" s="170">
        <f>IF(F839&gt;0, I839, 1000000000)</f>
        <v/>
      </c>
      <c r="M839" s="171">
        <f>ABS((B839+C839)-1)</f>
        <v/>
      </c>
      <c r="N839" s="170">
        <f>IF(F839&gt;0, (G839/29)/F839, 0)</f>
        <v/>
      </c>
      <c r="O839" s="168">
        <f>IF(AND((B839+C839)&gt;=1, ISNUMBER(SEARCH("Var", D839))), F839, 1000000000)</f>
        <v/>
      </c>
      <c r="P839" s="172">
        <f>IF(F839&gt;0, SQRT((F839/MAX(F$5:F$886))^2 + (1 - H839/MAX(H$5:H$886))^2 + (J839/MAX(J$5:J$886))^2), 1000000000)</f>
        <v/>
      </c>
      <c r="Q839" s="166">
        <f>IF(AND(ABS(B839-0.5)&lt;0.01, ABS(C839-0.5)&lt;0.01, ISNUMBER(SEARCH("Var", D839))), 1, 0)</f>
        <v/>
      </c>
      <c r="R839" s="171">
        <f>IF(F839&gt;0, J839, 1000000000)</f>
        <v/>
      </c>
      <c r="S839" s="101">
        <f>IF(AND(F839&lt;=DASHBOARD!$B$11, H839&gt;=DASHBOARD!$B$13), G839, -1000000000000)</f>
        <v/>
      </c>
      <c r="T839" s="101">
        <f>IF(AND(F839&lt;=DASHBOARD!$B$11, H839&gt;=DASHBOARD!$B$13), R839, 1000000000000)</f>
        <v/>
      </c>
      <c r="U839" s="101">
        <f>IF(AND(F839&lt;=DASHBOARD!$B$11, H839&gt;=DASHBOARD!$B$13), N839, -1000000000000)</f>
        <v/>
      </c>
      <c r="V839" s="101">
        <f>IF(AND(F839&lt;=DASHBOARD!$B$11, H839&gt;=DASHBOARD!$B$13), H839, -1000000000000)</f>
        <v/>
      </c>
      <c r="W839" s="101">
        <f>IF(AND(F839&lt;=DASHBOARD!$B$11, H839&gt;=DASHBOARD!$B$13), K839, -1000000000000)</f>
        <v/>
      </c>
      <c r="X839" s="101">
        <f>IF(AND(F839&lt;=DASHBOARD!$B$11, H839&gt;=DASHBOARD!$B$13), M839, 1000000000000)</f>
        <v/>
      </c>
      <c r="Y839" s="101">
        <f>IF(AND(F839&lt;=DASHBOARD!$B$10, H839&gt;=DASHBOARD!$B$11), L839, 1000000000000)</f>
        <v/>
      </c>
      <c r="Z839" s="101">
        <f>IF(AND(F839&lt;=DASHBOARD!$B$10, H839&gt;=DASHBOARD!$B$11), O839, 1000000000000)</f>
        <v/>
      </c>
      <c r="AA839" s="101">
        <f>IF(AND(F839&lt;=DASHBOARD!$B$10, H839&gt;=DASHBOARD!$B$11), P839, 1000000000000)</f>
        <v/>
      </c>
      <c r="AB839" s="101">
        <f>IF(AND(F839&lt;=DASHBOARD!$B$10, H839&gt;=DASHBOARD!$B$11), Q839, -1000000000000)</f>
        <v/>
      </c>
    </row>
    <row r="840" ht="15" customHeight="1" s="102">
      <c r="A840" s="166" t="n">
        <v>836</v>
      </c>
      <c r="B840" s="167" t="n">
        <v>1.9</v>
      </c>
      <c r="C840" s="167" t="n">
        <v>1.8</v>
      </c>
      <c r="D840" s="110" t="inlineStr">
        <is>
          <t>Var (%20)</t>
        </is>
      </c>
      <c r="E840" s="110">
        <f>IF((B840+C840)&lt;=1, "Tam Mahsuplaşma (≤%100)", "Kısmi Satış (&gt;%100)")</f>
        <v/>
      </c>
      <c r="F840" s="168">
        <f>((VERI_TABANI!$D$29*B840/VERI_TABANI!$B$29)/VERI_TABANI!$B$3)*VERI_TABANI!$B$5 + ((VERI_TABANI!$D$29*C840/VERI_TABANI!$B$29)/VERI_TABANI!$B$4)*VERI_TABANI!$B$6 + IF(ISNUMBER(SEARCH("Var", D840)), (VERI_TABANI!$F$29/VERI_TABANI!$B$29)*(VERI_TABANI!$B$10+VERI_TABANI!$B$12), 0)</f>
        <v/>
      </c>
      <c r="G840" s="168">
        <f>(((MIN(VERI_TABANI!D23, VERI_TABANI!D23*B840)*VERI_TABANI!$B$7 + MAX(0, VERI_TABANI!D23*B840-VERI_TABANI!D23)*VERI_TABANI!$B$8) + (MIN(MAX(0, VERI_TABANI!D23-VERI_TABANI!D23*B840), VERI_TABANI!D23*C840)*VERI_TABANI!$B$7 + MAX(0, VERI_TABANI!D23*C840-MAX(0, VERI_TABANI!D23-VERI_TABANI!D23*B840))*VERI_TABANI!$B$8) + IF(ABS(IF(ISNUMBER(SEARCH("Var", D840)), 1, IF(ISNUMBER(SEARCH("Gri", D840)), -1, 0)))=1, VERI_TABANI!E23*(1-0.928)*VERI_TABANI!$B$9, 0) + (VERI_TABANI!D23*B840*(VERI_TABANI!$B$13-VERI_TABANI!$B$14)*VERI_TABANI!G23) + (VERI_TABANI!D23*C840*(VERI_TABANI!$B$13-VERI_TABANI!$B$15)*VERI_TABANI!G23) + IF(ABS(IF(ISNUMBER(SEARCH("Var", D840)), 1, IF(ISNUMBER(SEARCH("Gri", D840)), -1, 0)))=1, VERI_TABANI!E23*(1-0.928)*0.00206091519919798*VERI_TABANI!G23, 0)) + ((MIN(VERI_TABANI!D24, VERI_TABANI!D24*B840)*VERI_TABANI!$B$7 + MAX(0, VERI_TABANI!D24*B840-VERI_TABANI!D24)*VERI_TABANI!$B$8) + (MIN(MAX(0, VERI_TABANI!D24-VERI_TABANI!D24*B840), VERI_TABANI!D24*C840)*VERI_TABANI!$B$7 + MAX(0, VERI_TABANI!D24*C840-MAX(0, VERI_TABANI!D24-VERI_TABANI!D24*B840))*VERI_TABANI!$B$8) + IF(ABS(IF(ISNUMBER(SEARCH("Var", D840)), 1, IF(ISNUMBER(SEARCH("Gri", D840)), -1, 0)))=1, VERI_TABANI!E24*(1-0.928)*VERI_TABANI!$B$9, 0) + (VERI_TABANI!D24*B840*(VERI_TABANI!$B$13-VERI_TABANI!$B$14)*VERI_TABANI!G24) + (VERI_TABANI!D24*C840*(VERI_TABANI!$B$13-VERI_TABANI!$B$15)*VERI_TABANI!G24) + IF(ABS(IF(ISNUMBER(SEARCH("Var", D840)), 1, IF(ISNUMBER(SEARCH("Gri", D840)), -1, 0)))=1, VERI_TABANI!E24*(1-0.928)*0.00206091519919798*VERI_TABANI!G24, 0)) + ((MIN(VERI_TABANI!D25, VERI_TABANI!D25*B840)*VERI_TABANI!$B$7 + MAX(0, VERI_TABANI!D25*B840-VERI_TABANI!D25)*VERI_TABANI!$B$8) + (MIN(MAX(0, VERI_TABANI!D25-VERI_TABANI!D25*B840), VERI_TABANI!D25*C840)*VERI_TABANI!$B$7 + MAX(0, VERI_TABANI!D25*C840-MAX(0, VERI_TABANI!D25-VERI_TABANI!D25*B840))*VERI_TABANI!$B$8) + IF(ABS(IF(ISNUMBER(SEARCH("Var", D840)), 1, IF(ISNUMBER(SEARCH("Gri", D840)), -1, 0)))=1, VERI_TABANI!E25*(1-0.928)*VERI_TABANI!$B$9, 0) + (VERI_TABANI!D25*B840*(VERI_TABANI!$B$13-VERI_TABANI!$B$14)*VERI_TABANI!G25) + (VERI_TABANI!D25*C840*(VERI_TABANI!$B$13-VERI_TABANI!$B$15)*VERI_TABANI!G25) + IF(ABS(IF(ISNUMBER(SEARCH("Var", D840)), 1, IF(ISNUMBER(SEARCH("Gri", D840)), -1, 0)))=1, VERI_TABANI!E25*(1-0.928)*0.00206091519919798*VERI_TABANI!G25, 0)) + ((MIN(VERI_TABANI!D26, VERI_TABANI!D26*B840)*VERI_TABANI!$B$7 + MAX(0, VERI_TABANI!D26*B840-VERI_TABANI!D26)*VERI_TABANI!$B$8) + (MIN(MAX(0, VERI_TABANI!D26-VERI_TABANI!D26*B840), VERI_TABANI!D26*C840)*VERI_TABANI!$B$7 + MAX(0, VERI_TABANI!D26*C840-MAX(0, VERI_TABANI!D26-VERI_TABANI!D26*B840))*VERI_TABANI!$B$8) + IF(ABS(IF(ISNUMBER(SEARCH("Var", D840)), 1, IF(ISNUMBER(SEARCH("Gri", D840)), -1, 0)))=1, VERI_TABANI!E26*(1-0.928)*VERI_TABANI!$B$9, 0) + (VERI_TABANI!D26*B840*(VERI_TABANI!$B$13-VERI_TABANI!$B$14)*VERI_TABANI!G26) + (VERI_TABANI!D26*C840*(VERI_TABANI!$B$13-VERI_TABANI!$B$15)*VERI_TABANI!G26) + IF(ABS(IF(ISNUMBER(SEARCH("Var", D840)), 1, IF(ISNUMBER(SEARCH("Gri", D840)), -1, 0)))=1, VERI_TABANI!E26*(1-0.928)*0.00206091519919798*VERI_TABANI!G26, 0)) + ((MIN(VERI_TABANI!D27, VERI_TABANI!D27*B840)*VERI_TABANI!$B$7 + MAX(0, VERI_TABANI!D27*B840-VERI_TABANI!D27)*VERI_TABANI!$B$8) + (MIN(MAX(0, VERI_TABANI!D27-VERI_TABANI!D27*B840), VERI_TABANI!D27*C840)*VERI_TABANI!$B$7 + MAX(0, VERI_TABANI!D27*C840-MAX(0, VERI_TABANI!D27-VERI_TABANI!D27*B840))*VERI_TABANI!$B$8) + IF(ABS(IF(ISNUMBER(SEARCH("Var", D840)), 1, IF(ISNUMBER(SEARCH("Gri", D840)), -1, 0)))=1, VERI_TABANI!E27*(1-0.928)*VERI_TABANI!$B$9, 0) + (VERI_TABANI!D27*B840*(VERI_TABANI!$B$13-VERI_TABANI!$B$14)*VERI_TABANI!G27) + (VERI_TABANI!D27*C840*(VERI_TABANI!$B$13-VERI_TABANI!$B$15)*VERI_TABANI!G27) + IF(ABS(IF(ISNUMBER(SEARCH("Var", D840)), 1, IF(ISNUMBER(SEARCH("Gri", D840)), -1, 0)))=1, VERI_TABANI!E27*(1-0.928)*0.00206091519919798*VERI_TABANI!G27, 0)) + ((MIN(VERI_TABANI!D28, VERI_TABANI!D28*B840)*VERI_TABANI!$B$7 + MAX(0, VERI_TABANI!D28*B840-VERI_TABANI!D28)*VERI_TABANI!$B$8) + (MIN(MAX(0, VERI_TABANI!D28-VERI_TABANI!D28*B840), VERI_TABANI!D28*C840)*VERI_TABANI!$B$7 + MAX(0, VERI_TABANI!D28*C840-MAX(0, VERI_TABANI!D28-VERI_TABANI!D28*B840))*VERI_TABANI!$B$8) + IF(ABS(IF(ISNUMBER(SEARCH("Var", D840)), 1, IF(ISNUMBER(SEARCH("Gri", D840)), -1, 0)))=1, VERI_TABANI!E28*(1-0.928)*VERI_TABANI!$B$9, 0) + (VERI_TABANI!D28*B840*(VERI_TABANI!$B$13-VERI_TABANI!$B$14)*VERI_TABANI!G28) + (VERI_TABANI!D28*C840*(VERI_TABANI!$B$13-VERI_TABANI!$B$15)*VERI_TABANI!G28) + IF(ABS(IF(ISNUMBER(SEARCH("Var", D840)), 1, IF(ISNUMBER(SEARCH("Gri", D840)), -1, 0)))=1, VERI_TABANI!E28*(1-0.928)*0.00206091519919798*VERI_TABANI!G28, 0)))</f>
        <v/>
      </c>
      <c r="H840" s="169">
        <f>(((VERI_TABANI!D23*B840*(VERI_TABANI!$B$13-VERI_TABANI!$B$14)) + (VERI_TABANI!D23*C840*(VERI_TABANI!$B$13-VERI_TABANI!$B$15)) + IF(ISNUMBER(SEARCH("Var", D840)), VERI_TABANI!F23*(0.00202-VERI_TABANI!$B$16), IF(ISNUMBER(SEARCH("Gri", D840)), VERI_TABANI!F23*(0.00202-VERI_TABANI!$B$17), 0))) + ((VERI_TABANI!D24*B840*(VERI_TABANI!$B$13-VERI_TABANI!$B$14)) + (VERI_TABANI!D24*C840*(VERI_TABANI!$B$13-VERI_TABANI!$B$15)) + IF(ISNUMBER(SEARCH("Var", D840)), VERI_TABANI!F24*(0.00202-VERI_TABANI!$B$16), IF(ISNUMBER(SEARCH("Gri", D840)), VERI_TABANI!F24*(0.00202-VERI_TABANI!$B$17), 0))) + ((VERI_TABANI!D25*B840*(VERI_TABANI!$B$13-VERI_TABANI!$B$14)) + (VERI_TABANI!D25*C840*(VERI_TABANI!$B$13-VERI_TABANI!$B$15)) + IF(ISNUMBER(SEARCH("Var", D840)), VERI_TABANI!F25*(0.00202-VERI_TABANI!$B$16), IF(ISNUMBER(SEARCH("Gri", D840)), VERI_TABANI!F25*(0.00202-VERI_TABANI!$B$17), 0))) + ((VERI_TABANI!D26*B840*(VERI_TABANI!$B$13-VERI_TABANI!$B$14)) + (VERI_TABANI!D26*C840*(VERI_TABANI!$B$13-VERI_TABANI!$B$15)) + IF(ISNUMBER(SEARCH("Var", D840)), VERI_TABANI!F26*(0.00202-VERI_TABANI!$B$16), IF(ISNUMBER(SEARCH("Gri", D840)), VERI_TABANI!F26*(0.00202-VERI_TABANI!$B$17), 0))) + ((VERI_TABANI!D27*B840*(VERI_TABANI!$B$13-VERI_TABANI!$B$14)) + (VERI_TABANI!D27*C840*(VERI_TABANI!$B$13-VERI_TABANI!$B$15)) + IF(ISNUMBER(SEARCH("Var", D840)), VERI_TABANI!F27*(0.00202-VERI_TABANI!$B$16), IF(ISNUMBER(SEARCH("Gri", D840)), VERI_TABANI!F27*(0.00202-VERI_TABANI!$B$17), 0))) + ((VERI_TABANI!D28*B840*(VERI_TABANI!$B$13-VERI_TABANI!$B$14)) + (VERI_TABANI!D28*C840*(VERI_TABANI!$B$13-VERI_TABANI!$B$15)) + IF(ISNUMBER(SEARCH("Var", D840)), VERI_TABANI!F28*(0.00202-VERI_TABANI!$B$16), IF(ISNUMBER(SEARCH("Gri", D840)), VERI_TABANI!F28*(0.00202-VERI_TABANI!$B$17), 0))))</f>
        <v/>
      </c>
      <c r="I840" s="170">
        <f>IFERROR(((VERI_TABANI!$D$29*B840*VERI_TABANI!$B$14 + VERI_TABANI!$D$29*C840*VERI_TABANI!$B$15 + IF(ISNUMBER(SEARCH("Var", D840)), VERI_TABANI!$F$29*VERI_TABANI!$B$16, 0))) / (((VERI_TABANI!$D$29*B840 + VERI_TABANI!$D$29*C840)*VERI_TABANI!$B$13 + IF(ISNUMBER(SEARCH("Var", D840)), VERI_TABANI!$E$29*(1-0.928)*VERI_TABANI!$B$18, 0))), 0)</f>
        <v/>
      </c>
      <c r="J840" s="171">
        <f>IFERROR(F840/(G840/29), 0)</f>
        <v/>
      </c>
      <c r="K840" s="172">
        <f>IF(F840&gt;0, H840/F840, 0)</f>
        <v/>
      </c>
      <c r="L840" s="170">
        <f>IF(F840&gt;0, I840, 1000000000)</f>
        <v/>
      </c>
      <c r="M840" s="171">
        <f>ABS((B840+C840)-1)</f>
        <v/>
      </c>
      <c r="N840" s="170">
        <f>IF(F840&gt;0, (G840/29)/F840, 0)</f>
        <v/>
      </c>
      <c r="O840" s="168">
        <f>IF(AND((B840+C840)&gt;=1, ISNUMBER(SEARCH("Var", D840))), F840, 1000000000)</f>
        <v/>
      </c>
      <c r="P840" s="172">
        <f>IF(F840&gt;0, SQRT((F840/MAX(F$5:F$886))^2 + (1 - H840/MAX(H$5:H$886))^2 + (J840/MAX(J$5:J$886))^2), 1000000000)</f>
        <v/>
      </c>
      <c r="Q840" s="166">
        <f>IF(AND(ABS(B840-0.5)&lt;0.01, ABS(C840-0.5)&lt;0.01, ISNUMBER(SEARCH("Var", D840))), 1, 0)</f>
        <v/>
      </c>
      <c r="R840" s="171">
        <f>IF(F840&gt;0, J840, 1000000000)</f>
        <v/>
      </c>
      <c r="S840" s="101">
        <f>IF(AND(F840&lt;=DASHBOARD!$B$11, H840&gt;=DASHBOARD!$B$13), G840, -1000000000000)</f>
        <v/>
      </c>
      <c r="T840" s="101">
        <f>IF(AND(F840&lt;=DASHBOARD!$B$11, H840&gt;=DASHBOARD!$B$13), R840, 1000000000000)</f>
        <v/>
      </c>
      <c r="U840" s="101">
        <f>IF(AND(F840&lt;=DASHBOARD!$B$11, H840&gt;=DASHBOARD!$B$13), N840, -1000000000000)</f>
        <v/>
      </c>
      <c r="V840" s="101">
        <f>IF(AND(F840&lt;=DASHBOARD!$B$11, H840&gt;=DASHBOARD!$B$13), H840, -1000000000000)</f>
        <v/>
      </c>
      <c r="W840" s="101">
        <f>IF(AND(F840&lt;=DASHBOARD!$B$11, H840&gt;=DASHBOARD!$B$13), K840, -1000000000000)</f>
        <v/>
      </c>
      <c r="X840" s="101">
        <f>IF(AND(F840&lt;=DASHBOARD!$B$11, H840&gt;=DASHBOARD!$B$13), M840, 1000000000000)</f>
        <v/>
      </c>
      <c r="Y840" s="101">
        <f>IF(AND(F840&lt;=DASHBOARD!$B$10, H840&gt;=DASHBOARD!$B$11), L840, 1000000000000)</f>
        <v/>
      </c>
      <c r="Z840" s="101">
        <f>IF(AND(F840&lt;=DASHBOARD!$B$10, H840&gt;=DASHBOARD!$B$11), O840, 1000000000000)</f>
        <v/>
      </c>
      <c r="AA840" s="101">
        <f>IF(AND(F840&lt;=DASHBOARD!$B$10, H840&gt;=DASHBOARD!$B$11), P840, 1000000000000)</f>
        <v/>
      </c>
      <c r="AB840" s="101">
        <f>IF(AND(F840&lt;=DASHBOARD!$B$10, H840&gt;=DASHBOARD!$B$11), Q840, -1000000000000)</f>
        <v/>
      </c>
    </row>
    <row r="841" ht="15" customHeight="1" s="102">
      <c r="A841" s="166" t="n">
        <v>837</v>
      </c>
      <c r="B841" s="167" t="n">
        <v>1.9</v>
      </c>
      <c r="C841" s="167" t="n">
        <v>1.9</v>
      </c>
      <c r="D841" s="110" t="inlineStr">
        <is>
          <t>Yok (%0)</t>
        </is>
      </c>
      <c r="E841" s="110">
        <f>IF((B841+C841)&lt;=1, "Tam Mahsuplaşma (≤%100)", "Kısmi Satış (&gt;%100)")</f>
        <v/>
      </c>
      <c r="F841" s="168">
        <f>((VERI_TABANI!$D$29*B841/VERI_TABANI!$B$29)/VERI_TABANI!$B$3)*VERI_TABANI!$B$5 + ((VERI_TABANI!$D$29*C841/VERI_TABANI!$B$29)/VERI_TABANI!$B$4)*VERI_TABANI!$B$6 + IF(ISNUMBER(SEARCH("Var", D841)), (VERI_TABANI!$F$29/VERI_TABANI!$B$29)*(VERI_TABANI!$B$10+VERI_TABANI!$B$12), 0)</f>
        <v/>
      </c>
      <c r="G841" s="168">
        <f>(((MIN(VERI_TABANI!D23, VERI_TABANI!D23*B841)*VERI_TABANI!$B$7 + MAX(0, VERI_TABANI!D23*B841-VERI_TABANI!D23)*VERI_TABANI!$B$8) + (MIN(MAX(0, VERI_TABANI!D23-VERI_TABANI!D23*B841), VERI_TABANI!D23*C841)*VERI_TABANI!$B$7 + MAX(0, VERI_TABANI!D23*C841-MAX(0, VERI_TABANI!D23-VERI_TABANI!D23*B841))*VERI_TABANI!$B$8) + IF(ABS(IF(ISNUMBER(SEARCH("Var", D841)), 1, IF(ISNUMBER(SEARCH("Gri", D841)), -1, 0)))=1, VERI_TABANI!E23*(1-0.928)*VERI_TABANI!$B$9, 0) + (VERI_TABANI!D23*B841*(VERI_TABANI!$B$13-VERI_TABANI!$B$14)*VERI_TABANI!G23) + (VERI_TABANI!D23*C841*(VERI_TABANI!$B$13-VERI_TABANI!$B$15)*VERI_TABANI!G23) + IF(ABS(IF(ISNUMBER(SEARCH("Var", D841)), 1, IF(ISNUMBER(SEARCH("Gri", D841)), -1, 0)))=1, VERI_TABANI!E23*(1-0.928)*0.00206091519919798*VERI_TABANI!G23, 0)) + ((MIN(VERI_TABANI!D24, VERI_TABANI!D24*B841)*VERI_TABANI!$B$7 + MAX(0, VERI_TABANI!D24*B841-VERI_TABANI!D24)*VERI_TABANI!$B$8) + (MIN(MAX(0, VERI_TABANI!D24-VERI_TABANI!D24*B841), VERI_TABANI!D24*C841)*VERI_TABANI!$B$7 + MAX(0, VERI_TABANI!D24*C841-MAX(0, VERI_TABANI!D24-VERI_TABANI!D24*B841))*VERI_TABANI!$B$8) + IF(ABS(IF(ISNUMBER(SEARCH("Var", D841)), 1, IF(ISNUMBER(SEARCH("Gri", D841)), -1, 0)))=1, VERI_TABANI!E24*(1-0.928)*VERI_TABANI!$B$9, 0) + (VERI_TABANI!D24*B841*(VERI_TABANI!$B$13-VERI_TABANI!$B$14)*VERI_TABANI!G24) + (VERI_TABANI!D24*C841*(VERI_TABANI!$B$13-VERI_TABANI!$B$15)*VERI_TABANI!G24) + IF(ABS(IF(ISNUMBER(SEARCH("Var", D841)), 1, IF(ISNUMBER(SEARCH("Gri", D841)), -1, 0)))=1, VERI_TABANI!E24*(1-0.928)*0.00206091519919798*VERI_TABANI!G24, 0)) + ((MIN(VERI_TABANI!D25, VERI_TABANI!D25*B841)*VERI_TABANI!$B$7 + MAX(0, VERI_TABANI!D25*B841-VERI_TABANI!D25)*VERI_TABANI!$B$8) + (MIN(MAX(0, VERI_TABANI!D25-VERI_TABANI!D25*B841), VERI_TABANI!D25*C841)*VERI_TABANI!$B$7 + MAX(0, VERI_TABANI!D25*C841-MAX(0, VERI_TABANI!D25-VERI_TABANI!D25*B841))*VERI_TABANI!$B$8) + IF(ABS(IF(ISNUMBER(SEARCH("Var", D841)), 1, IF(ISNUMBER(SEARCH("Gri", D841)), -1, 0)))=1, VERI_TABANI!E25*(1-0.928)*VERI_TABANI!$B$9, 0) + (VERI_TABANI!D25*B841*(VERI_TABANI!$B$13-VERI_TABANI!$B$14)*VERI_TABANI!G25) + (VERI_TABANI!D25*C841*(VERI_TABANI!$B$13-VERI_TABANI!$B$15)*VERI_TABANI!G25) + IF(ABS(IF(ISNUMBER(SEARCH("Var", D841)), 1, IF(ISNUMBER(SEARCH("Gri", D841)), -1, 0)))=1, VERI_TABANI!E25*(1-0.928)*0.00206091519919798*VERI_TABANI!G25, 0)) + ((MIN(VERI_TABANI!D26, VERI_TABANI!D26*B841)*VERI_TABANI!$B$7 + MAX(0, VERI_TABANI!D26*B841-VERI_TABANI!D26)*VERI_TABANI!$B$8) + (MIN(MAX(0, VERI_TABANI!D26-VERI_TABANI!D26*B841), VERI_TABANI!D26*C841)*VERI_TABANI!$B$7 + MAX(0, VERI_TABANI!D26*C841-MAX(0, VERI_TABANI!D26-VERI_TABANI!D26*B841))*VERI_TABANI!$B$8) + IF(ABS(IF(ISNUMBER(SEARCH("Var", D841)), 1, IF(ISNUMBER(SEARCH("Gri", D841)), -1, 0)))=1, VERI_TABANI!E26*(1-0.928)*VERI_TABANI!$B$9, 0) + (VERI_TABANI!D26*B841*(VERI_TABANI!$B$13-VERI_TABANI!$B$14)*VERI_TABANI!G26) + (VERI_TABANI!D26*C841*(VERI_TABANI!$B$13-VERI_TABANI!$B$15)*VERI_TABANI!G26) + IF(ABS(IF(ISNUMBER(SEARCH("Var", D841)), 1, IF(ISNUMBER(SEARCH("Gri", D841)), -1, 0)))=1, VERI_TABANI!E26*(1-0.928)*0.00206091519919798*VERI_TABANI!G26, 0)) + ((MIN(VERI_TABANI!D27, VERI_TABANI!D27*B841)*VERI_TABANI!$B$7 + MAX(0, VERI_TABANI!D27*B841-VERI_TABANI!D27)*VERI_TABANI!$B$8) + (MIN(MAX(0, VERI_TABANI!D27-VERI_TABANI!D27*B841), VERI_TABANI!D27*C841)*VERI_TABANI!$B$7 + MAX(0, VERI_TABANI!D27*C841-MAX(0, VERI_TABANI!D27-VERI_TABANI!D27*B841))*VERI_TABANI!$B$8) + IF(ABS(IF(ISNUMBER(SEARCH("Var", D841)), 1, IF(ISNUMBER(SEARCH("Gri", D841)), -1, 0)))=1, VERI_TABANI!E27*(1-0.928)*VERI_TABANI!$B$9, 0) + (VERI_TABANI!D27*B841*(VERI_TABANI!$B$13-VERI_TABANI!$B$14)*VERI_TABANI!G27) + (VERI_TABANI!D27*C841*(VERI_TABANI!$B$13-VERI_TABANI!$B$15)*VERI_TABANI!G27) + IF(ABS(IF(ISNUMBER(SEARCH("Var", D841)), 1, IF(ISNUMBER(SEARCH("Gri", D841)), -1, 0)))=1, VERI_TABANI!E27*(1-0.928)*0.00206091519919798*VERI_TABANI!G27, 0)) + ((MIN(VERI_TABANI!D28, VERI_TABANI!D28*B841)*VERI_TABANI!$B$7 + MAX(0, VERI_TABANI!D28*B841-VERI_TABANI!D28)*VERI_TABANI!$B$8) + (MIN(MAX(0, VERI_TABANI!D28-VERI_TABANI!D28*B841), VERI_TABANI!D28*C841)*VERI_TABANI!$B$7 + MAX(0, VERI_TABANI!D28*C841-MAX(0, VERI_TABANI!D28-VERI_TABANI!D28*B841))*VERI_TABANI!$B$8) + IF(ABS(IF(ISNUMBER(SEARCH("Var", D841)), 1, IF(ISNUMBER(SEARCH("Gri", D841)), -1, 0)))=1, VERI_TABANI!E28*(1-0.928)*VERI_TABANI!$B$9, 0) + (VERI_TABANI!D28*B841*(VERI_TABANI!$B$13-VERI_TABANI!$B$14)*VERI_TABANI!G28) + (VERI_TABANI!D28*C841*(VERI_TABANI!$B$13-VERI_TABANI!$B$15)*VERI_TABANI!G28) + IF(ABS(IF(ISNUMBER(SEARCH("Var", D841)), 1, IF(ISNUMBER(SEARCH("Gri", D841)), -1, 0)))=1, VERI_TABANI!E28*(1-0.928)*0.00206091519919798*VERI_TABANI!G28, 0)))</f>
        <v/>
      </c>
      <c r="H841" s="169">
        <f>(((VERI_TABANI!D23*B841*(VERI_TABANI!$B$13-VERI_TABANI!$B$14)) + (VERI_TABANI!D23*C841*(VERI_TABANI!$B$13-VERI_TABANI!$B$15)) + IF(ISNUMBER(SEARCH("Var", D841)), VERI_TABANI!F23*(0.00202-VERI_TABANI!$B$16), IF(ISNUMBER(SEARCH("Gri", D841)), VERI_TABANI!F23*(0.00202-VERI_TABANI!$B$17), 0))) + ((VERI_TABANI!D24*B841*(VERI_TABANI!$B$13-VERI_TABANI!$B$14)) + (VERI_TABANI!D24*C841*(VERI_TABANI!$B$13-VERI_TABANI!$B$15)) + IF(ISNUMBER(SEARCH("Var", D841)), VERI_TABANI!F24*(0.00202-VERI_TABANI!$B$16), IF(ISNUMBER(SEARCH("Gri", D841)), VERI_TABANI!F24*(0.00202-VERI_TABANI!$B$17), 0))) + ((VERI_TABANI!D25*B841*(VERI_TABANI!$B$13-VERI_TABANI!$B$14)) + (VERI_TABANI!D25*C841*(VERI_TABANI!$B$13-VERI_TABANI!$B$15)) + IF(ISNUMBER(SEARCH("Var", D841)), VERI_TABANI!F25*(0.00202-VERI_TABANI!$B$16), IF(ISNUMBER(SEARCH("Gri", D841)), VERI_TABANI!F25*(0.00202-VERI_TABANI!$B$17), 0))) + ((VERI_TABANI!D26*B841*(VERI_TABANI!$B$13-VERI_TABANI!$B$14)) + (VERI_TABANI!D26*C841*(VERI_TABANI!$B$13-VERI_TABANI!$B$15)) + IF(ISNUMBER(SEARCH("Var", D841)), VERI_TABANI!F26*(0.00202-VERI_TABANI!$B$16), IF(ISNUMBER(SEARCH("Gri", D841)), VERI_TABANI!F26*(0.00202-VERI_TABANI!$B$17), 0))) + ((VERI_TABANI!D27*B841*(VERI_TABANI!$B$13-VERI_TABANI!$B$14)) + (VERI_TABANI!D27*C841*(VERI_TABANI!$B$13-VERI_TABANI!$B$15)) + IF(ISNUMBER(SEARCH("Var", D841)), VERI_TABANI!F27*(0.00202-VERI_TABANI!$B$16), IF(ISNUMBER(SEARCH("Gri", D841)), VERI_TABANI!F27*(0.00202-VERI_TABANI!$B$17), 0))) + ((VERI_TABANI!D28*B841*(VERI_TABANI!$B$13-VERI_TABANI!$B$14)) + (VERI_TABANI!D28*C841*(VERI_TABANI!$B$13-VERI_TABANI!$B$15)) + IF(ISNUMBER(SEARCH("Var", D841)), VERI_TABANI!F28*(0.00202-VERI_TABANI!$B$16), IF(ISNUMBER(SEARCH("Gri", D841)), VERI_TABANI!F28*(0.00202-VERI_TABANI!$B$17), 0))))</f>
        <v/>
      </c>
      <c r="I841" s="170">
        <f>IFERROR(((VERI_TABANI!$D$29*B841*VERI_TABANI!$B$14 + VERI_TABANI!$D$29*C841*VERI_TABANI!$B$15 + IF(ISNUMBER(SEARCH("Var", D841)), VERI_TABANI!$F$29*VERI_TABANI!$B$16, 0))) / (((VERI_TABANI!$D$29*B841 + VERI_TABANI!$D$29*C841)*VERI_TABANI!$B$13 + IF(ISNUMBER(SEARCH("Var", D841)), VERI_TABANI!$E$29*(1-0.928)*VERI_TABANI!$B$18, 0))), 0)</f>
        <v/>
      </c>
      <c r="J841" s="171">
        <f>IFERROR(F841/(G841/29), 0)</f>
        <v/>
      </c>
      <c r="K841" s="172">
        <f>IF(F841&gt;0, H841/F841, 0)</f>
        <v/>
      </c>
      <c r="L841" s="170">
        <f>IF(F841&gt;0, I841, 1000000000)</f>
        <v/>
      </c>
      <c r="M841" s="171">
        <f>ABS((B841+C841)-1)</f>
        <v/>
      </c>
      <c r="N841" s="170">
        <f>IF(F841&gt;0, (G841/29)/F841, 0)</f>
        <v/>
      </c>
      <c r="O841" s="168">
        <f>IF(AND((B841+C841)&gt;=1, ISNUMBER(SEARCH("Var", D841))), F841, 1000000000)</f>
        <v/>
      </c>
      <c r="P841" s="172">
        <f>IF(F841&gt;0, SQRT((F841/MAX(F$5:F$886))^2 + (1 - H841/MAX(H$5:H$886))^2 + (J841/MAX(J$5:J$886))^2), 1000000000)</f>
        <v/>
      </c>
      <c r="Q841" s="166">
        <f>IF(AND(ABS(B841-0.5)&lt;0.01, ABS(C841-0.5)&lt;0.01, ISNUMBER(SEARCH("Var", D841))), 1, 0)</f>
        <v/>
      </c>
      <c r="R841" s="171">
        <f>IF(F841&gt;0, J841, 1000000000)</f>
        <v/>
      </c>
      <c r="S841" s="101">
        <f>IF(AND(F841&lt;=DASHBOARD!$B$11, H841&gt;=DASHBOARD!$B$13), G841, -1000000000000)</f>
        <v/>
      </c>
      <c r="T841" s="101">
        <f>IF(AND(F841&lt;=DASHBOARD!$B$11, H841&gt;=DASHBOARD!$B$13), R841, 1000000000000)</f>
        <v/>
      </c>
      <c r="U841" s="101">
        <f>IF(AND(F841&lt;=DASHBOARD!$B$11, H841&gt;=DASHBOARD!$B$13), N841, -1000000000000)</f>
        <v/>
      </c>
      <c r="V841" s="101">
        <f>IF(AND(F841&lt;=DASHBOARD!$B$11, H841&gt;=DASHBOARD!$B$13), H841, -1000000000000)</f>
        <v/>
      </c>
      <c r="W841" s="101">
        <f>IF(AND(F841&lt;=DASHBOARD!$B$11, H841&gt;=DASHBOARD!$B$13), K841, -1000000000000)</f>
        <v/>
      </c>
      <c r="X841" s="101">
        <f>IF(AND(F841&lt;=DASHBOARD!$B$11, H841&gt;=DASHBOARD!$B$13), M841, 1000000000000)</f>
        <v/>
      </c>
      <c r="Y841" s="101">
        <f>IF(AND(F841&lt;=DASHBOARD!$B$10, H841&gt;=DASHBOARD!$B$11), L841, 1000000000000)</f>
        <v/>
      </c>
      <c r="Z841" s="101">
        <f>IF(AND(F841&lt;=DASHBOARD!$B$10, H841&gt;=DASHBOARD!$B$11), O841, 1000000000000)</f>
        <v/>
      </c>
      <c r="AA841" s="101">
        <f>IF(AND(F841&lt;=DASHBOARD!$B$10, H841&gt;=DASHBOARD!$B$11), P841, 1000000000000)</f>
        <v/>
      </c>
      <c r="AB841" s="101">
        <f>IF(AND(F841&lt;=DASHBOARD!$B$10, H841&gt;=DASHBOARD!$B$11), Q841, -1000000000000)</f>
        <v/>
      </c>
    </row>
    <row r="842" ht="15" customHeight="1" s="102">
      <c r="A842" s="166" t="n">
        <v>838</v>
      </c>
      <c r="B842" s="167" t="n">
        <v>1.9</v>
      </c>
      <c r="C842" s="167" t="n">
        <v>1.9</v>
      </c>
      <c r="D842" s="110" t="inlineStr">
        <is>
          <t>Var (%20)</t>
        </is>
      </c>
      <c r="E842" s="110">
        <f>IF((B842+C842)&lt;=1, "Tam Mahsuplaşma (≤%100)", "Kısmi Satış (&gt;%100)")</f>
        <v/>
      </c>
      <c r="F842" s="168">
        <f>((VERI_TABANI!$D$29*B842/VERI_TABANI!$B$29)/VERI_TABANI!$B$3)*VERI_TABANI!$B$5 + ((VERI_TABANI!$D$29*C842/VERI_TABANI!$B$29)/VERI_TABANI!$B$4)*VERI_TABANI!$B$6 + IF(ISNUMBER(SEARCH("Var", D842)), (VERI_TABANI!$F$29/VERI_TABANI!$B$29)*(VERI_TABANI!$B$10+VERI_TABANI!$B$12), 0)</f>
        <v/>
      </c>
      <c r="G842" s="168">
        <f>(((MIN(VERI_TABANI!D23, VERI_TABANI!D23*B842)*VERI_TABANI!$B$7 + MAX(0, VERI_TABANI!D23*B842-VERI_TABANI!D23)*VERI_TABANI!$B$8) + (MIN(MAX(0, VERI_TABANI!D23-VERI_TABANI!D23*B842), VERI_TABANI!D23*C842)*VERI_TABANI!$B$7 + MAX(0, VERI_TABANI!D23*C842-MAX(0, VERI_TABANI!D23-VERI_TABANI!D23*B842))*VERI_TABANI!$B$8) + IF(ABS(IF(ISNUMBER(SEARCH("Var", D842)), 1, IF(ISNUMBER(SEARCH("Gri", D842)), -1, 0)))=1, VERI_TABANI!E23*(1-0.928)*VERI_TABANI!$B$9, 0) + (VERI_TABANI!D23*B842*(VERI_TABANI!$B$13-VERI_TABANI!$B$14)*VERI_TABANI!G23) + (VERI_TABANI!D23*C842*(VERI_TABANI!$B$13-VERI_TABANI!$B$15)*VERI_TABANI!G23) + IF(ABS(IF(ISNUMBER(SEARCH("Var", D842)), 1, IF(ISNUMBER(SEARCH("Gri", D842)), -1, 0)))=1, VERI_TABANI!E23*(1-0.928)*0.00206091519919798*VERI_TABANI!G23, 0)) + ((MIN(VERI_TABANI!D24, VERI_TABANI!D24*B842)*VERI_TABANI!$B$7 + MAX(0, VERI_TABANI!D24*B842-VERI_TABANI!D24)*VERI_TABANI!$B$8) + (MIN(MAX(0, VERI_TABANI!D24-VERI_TABANI!D24*B842), VERI_TABANI!D24*C842)*VERI_TABANI!$B$7 + MAX(0, VERI_TABANI!D24*C842-MAX(0, VERI_TABANI!D24-VERI_TABANI!D24*B842))*VERI_TABANI!$B$8) + IF(ABS(IF(ISNUMBER(SEARCH("Var", D842)), 1, IF(ISNUMBER(SEARCH("Gri", D842)), -1, 0)))=1, VERI_TABANI!E24*(1-0.928)*VERI_TABANI!$B$9, 0) + (VERI_TABANI!D24*B842*(VERI_TABANI!$B$13-VERI_TABANI!$B$14)*VERI_TABANI!G24) + (VERI_TABANI!D24*C842*(VERI_TABANI!$B$13-VERI_TABANI!$B$15)*VERI_TABANI!G24) + IF(ABS(IF(ISNUMBER(SEARCH("Var", D842)), 1, IF(ISNUMBER(SEARCH("Gri", D842)), -1, 0)))=1, VERI_TABANI!E24*(1-0.928)*0.00206091519919798*VERI_TABANI!G24, 0)) + ((MIN(VERI_TABANI!D25, VERI_TABANI!D25*B842)*VERI_TABANI!$B$7 + MAX(0, VERI_TABANI!D25*B842-VERI_TABANI!D25)*VERI_TABANI!$B$8) + (MIN(MAX(0, VERI_TABANI!D25-VERI_TABANI!D25*B842), VERI_TABANI!D25*C842)*VERI_TABANI!$B$7 + MAX(0, VERI_TABANI!D25*C842-MAX(0, VERI_TABANI!D25-VERI_TABANI!D25*B842))*VERI_TABANI!$B$8) + IF(ABS(IF(ISNUMBER(SEARCH("Var", D842)), 1, IF(ISNUMBER(SEARCH("Gri", D842)), -1, 0)))=1, VERI_TABANI!E25*(1-0.928)*VERI_TABANI!$B$9, 0) + (VERI_TABANI!D25*B842*(VERI_TABANI!$B$13-VERI_TABANI!$B$14)*VERI_TABANI!G25) + (VERI_TABANI!D25*C842*(VERI_TABANI!$B$13-VERI_TABANI!$B$15)*VERI_TABANI!G25) + IF(ABS(IF(ISNUMBER(SEARCH("Var", D842)), 1, IF(ISNUMBER(SEARCH("Gri", D842)), -1, 0)))=1, VERI_TABANI!E25*(1-0.928)*0.00206091519919798*VERI_TABANI!G25, 0)) + ((MIN(VERI_TABANI!D26, VERI_TABANI!D26*B842)*VERI_TABANI!$B$7 + MAX(0, VERI_TABANI!D26*B842-VERI_TABANI!D26)*VERI_TABANI!$B$8) + (MIN(MAX(0, VERI_TABANI!D26-VERI_TABANI!D26*B842), VERI_TABANI!D26*C842)*VERI_TABANI!$B$7 + MAX(0, VERI_TABANI!D26*C842-MAX(0, VERI_TABANI!D26-VERI_TABANI!D26*B842))*VERI_TABANI!$B$8) + IF(ABS(IF(ISNUMBER(SEARCH("Var", D842)), 1, IF(ISNUMBER(SEARCH("Gri", D842)), -1, 0)))=1, VERI_TABANI!E26*(1-0.928)*VERI_TABANI!$B$9, 0) + (VERI_TABANI!D26*B842*(VERI_TABANI!$B$13-VERI_TABANI!$B$14)*VERI_TABANI!G26) + (VERI_TABANI!D26*C842*(VERI_TABANI!$B$13-VERI_TABANI!$B$15)*VERI_TABANI!G26) + IF(ABS(IF(ISNUMBER(SEARCH("Var", D842)), 1, IF(ISNUMBER(SEARCH("Gri", D842)), -1, 0)))=1, VERI_TABANI!E26*(1-0.928)*0.00206091519919798*VERI_TABANI!G26, 0)) + ((MIN(VERI_TABANI!D27, VERI_TABANI!D27*B842)*VERI_TABANI!$B$7 + MAX(0, VERI_TABANI!D27*B842-VERI_TABANI!D27)*VERI_TABANI!$B$8) + (MIN(MAX(0, VERI_TABANI!D27-VERI_TABANI!D27*B842), VERI_TABANI!D27*C842)*VERI_TABANI!$B$7 + MAX(0, VERI_TABANI!D27*C842-MAX(0, VERI_TABANI!D27-VERI_TABANI!D27*B842))*VERI_TABANI!$B$8) + IF(ABS(IF(ISNUMBER(SEARCH("Var", D842)), 1, IF(ISNUMBER(SEARCH("Gri", D842)), -1, 0)))=1, VERI_TABANI!E27*(1-0.928)*VERI_TABANI!$B$9, 0) + (VERI_TABANI!D27*B842*(VERI_TABANI!$B$13-VERI_TABANI!$B$14)*VERI_TABANI!G27) + (VERI_TABANI!D27*C842*(VERI_TABANI!$B$13-VERI_TABANI!$B$15)*VERI_TABANI!G27) + IF(ABS(IF(ISNUMBER(SEARCH("Var", D842)), 1, IF(ISNUMBER(SEARCH("Gri", D842)), -1, 0)))=1, VERI_TABANI!E27*(1-0.928)*0.00206091519919798*VERI_TABANI!G27, 0)) + ((MIN(VERI_TABANI!D28, VERI_TABANI!D28*B842)*VERI_TABANI!$B$7 + MAX(0, VERI_TABANI!D28*B842-VERI_TABANI!D28)*VERI_TABANI!$B$8) + (MIN(MAX(0, VERI_TABANI!D28-VERI_TABANI!D28*B842), VERI_TABANI!D28*C842)*VERI_TABANI!$B$7 + MAX(0, VERI_TABANI!D28*C842-MAX(0, VERI_TABANI!D28-VERI_TABANI!D28*B842))*VERI_TABANI!$B$8) + IF(ABS(IF(ISNUMBER(SEARCH("Var", D842)), 1, IF(ISNUMBER(SEARCH("Gri", D842)), -1, 0)))=1, VERI_TABANI!E28*(1-0.928)*VERI_TABANI!$B$9, 0) + (VERI_TABANI!D28*B842*(VERI_TABANI!$B$13-VERI_TABANI!$B$14)*VERI_TABANI!G28) + (VERI_TABANI!D28*C842*(VERI_TABANI!$B$13-VERI_TABANI!$B$15)*VERI_TABANI!G28) + IF(ABS(IF(ISNUMBER(SEARCH("Var", D842)), 1, IF(ISNUMBER(SEARCH("Gri", D842)), -1, 0)))=1, VERI_TABANI!E28*(1-0.928)*0.00206091519919798*VERI_TABANI!G28, 0)))</f>
        <v/>
      </c>
      <c r="H842" s="169">
        <f>(((VERI_TABANI!D23*B842*(VERI_TABANI!$B$13-VERI_TABANI!$B$14)) + (VERI_TABANI!D23*C842*(VERI_TABANI!$B$13-VERI_TABANI!$B$15)) + IF(ISNUMBER(SEARCH("Var", D842)), VERI_TABANI!F23*(0.00202-VERI_TABANI!$B$16), IF(ISNUMBER(SEARCH("Gri", D842)), VERI_TABANI!F23*(0.00202-VERI_TABANI!$B$17), 0))) + ((VERI_TABANI!D24*B842*(VERI_TABANI!$B$13-VERI_TABANI!$B$14)) + (VERI_TABANI!D24*C842*(VERI_TABANI!$B$13-VERI_TABANI!$B$15)) + IF(ISNUMBER(SEARCH("Var", D842)), VERI_TABANI!F24*(0.00202-VERI_TABANI!$B$16), IF(ISNUMBER(SEARCH("Gri", D842)), VERI_TABANI!F24*(0.00202-VERI_TABANI!$B$17), 0))) + ((VERI_TABANI!D25*B842*(VERI_TABANI!$B$13-VERI_TABANI!$B$14)) + (VERI_TABANI!D25*C842*(VERI_TABANI!$B$13-VERI_TABANI!$B$15)) + IF(ISNUMBER(SEARCH("Var", D842)), VERI_TABANI!F25*(0.00202-VERI_TABANI!$B$16), IF(ISNUMBER(SEARCH("Gri", D842)), VERI_TABANI!F25*(0.00202-VERI_TABANI!$B$17), 0))) + ((VERI_TABANI!D26*B842*(VERI_TABANI!$B$13-VERI_TABANI!$B$14)) + (VERI_TABANI!D26*C842*(VERI_TABANI!$B$13-VERI_TABANI!$B$15)) + IF(ISNUMBER(SEARCH("Var", D842)), VERI_TABANI!F26*(0.00202-VERI_TABANI!$B$16), IF(ISNUMBER(SEARCH("Gri", D842)), VERI_TABANI!F26*(0.00202-VERI_TABANI!$B$17), 0))) + ((VERI_TABANI!D27*B842*(VERI_TABANI!$B$13-VERI_TABANI!$B$14)) + (VERI_TABANI!D27*C842*(VERI_TABANI!$B$13-VERI_TABANI!$B$15)) + IF(ISNUMBER(SEARCH("Var", D842)), VERI_TABANI!F27*(0.00202-VERI_TABANI!$B$16), IF(ISNUMBER(SEARCH("Gri", D842)), VERI_TABANI!F27*(0.00202-VERI_TABANI!$B$17), 0))) + ((VERI_TABANI!D28*B842*(VERI_TABANI!$B$13-VERI_TABANI!$B$14)) + (VERI_TABANI!D28*C842*(VERI_TABANI!$B$13-VERI_TABANI!$B$15)) + IF(ISNUMBER(SEARCH("Var", D842)), VERI_TABANI!F28*(0.00202-VERI_TABANI!$B$16), IF(ISNUMBER(SEARCH("Gri", D842)), VERI_TABANI!F28*(0.00202-VERI_TABANI!$B$17), 0))))</f>
        <v/>
      </c>
      <c r="I842" s="170">
        <f>IFERROR(((VERI_TABANI!$D$29*B842*VERI_TABANI!$B$14 + VERI_TABANI!$D$29*C842*VERI_TABANI!$B$15 + IF(ISNUMBER(SEARCH("Var", D842)), VERI_TABANI!$F$29*VERI_TABANI!$B$16, 0))) / (((VERI_TABANI!$D$29*B842 + VERI_TABANI!$D$29*C842)*VERI_TABANI!$B$13 + IF(ISNUMBER(SEARCH("Var", D842)), VERI_TABANI!$E$29*(1-0.928)*VERI_TABANI!$B$18, 0))), 0)</f>
        <v/>
      </c>
      <c r="J842" s="171">
        <f>IFERROR(F842/(G842/29), 0)</f>
        <v/>
      </c>
      <c r="K842" s="172">
        <f>IF(F842&gt;0, H842/F842, 0)</f>
        <v/>
      </c>
      <c r="L842" s="170">
        <f>IF(F842&gt;0, I842, 1000000000)</f>
        <v/>
      </c>
      <c r="M842" s="171">
        <f>ABS((B842+C842)-1)</f>
        <v/>
      </c>
      <c r="N842" s="170">
        <f>IF(F842&gt;0, (G842/29)/F842, 0)</f>
        <v/>
      </c>
      <c r="O842" s="168">
        <f>IF(AND((B842+C842)&gt;=1, ISNUMBER(SEARCH("Var", D842))), F842, 1000000000)</f>
        <v/>
      </c>
      <c r="P842" s="172">
        <f>IF(F842&gt;0, SQRT((F842/MAX(F$5:F$886))^2 + (1 - H842/MAX(H$5:H$886))^2 + (J842/MAX(J$5:J$886))^2), 1000000000)</f>
        <v/>
      </c>
      <c r="Q842" s="166">
        <f>IF(AND(ABS(B842-0.5)&lt;0.01, ABS(C842-0.5)&lt;0.01, ISNUMBER(SEARCH("Var", D842))), 1, 0)</f>
        <v/>
      </c>
      <c r="R842" s="171">
        <f>IF(F842&gt;0, J842, 1000000000)</f>
        <v/>
      </c>
      <c r="S842" s="101">
        <f>IF(AND(F842&lt;=DASHBOARD!$B$11, H842&gt;=DASHBOARD!$B$13), G842, -1000000000000)</f>
        <v/>
      </c>
      <c r="T842" s="101">
        <f>IF(AND(F842&lt;=DASHBOARD!$B$11, H842&gt;=DASHBOARD!$B$13), R842, 1000000000000)</f>
        <v/>
      </c>
      <c r="U842" s="101">
        <f>IF(AND(F842&lt;=DASHBOARD!$B$11, H842&gt;=DASHBOARD!$B$13), N842, -1000000000000)</f>
        <v/>
      </c>
      <c r="V842" s="101">
        <f>IF(AND(F842&lt;=DASHBOARD!$B$11, H842&gt;=DASHBOARD!$B$13), H842, -1000000000000)</f>
        <v/>
      </c>
      <c r="W842" s="101">
        <f>IF(AND(F842&lt;=DASHBOARD!$B$11, H842&gt;=DASHBOARD!$B$13), K842, -1000000000000)</f>
        <v/>
      </c>
      <c r="X842" s="101">
        <f>IF(AND(F842&lt;=DASHBOARD!$B$11, H842&gt;=DASHBOARD!$B$13), M842, 1000000000000)</f>
        <v/>
      </c>
      <c r="Y842" s="101">
        <f>IF(AND(F842&lt;=DASHBOARD!$B$10, H842&gt;=DASHBOARD!$B$11), L842, 1000000000000)</f>
        <v/>
      </c>
      <c r="Z842" s="101">
        <f>IF(AND(F842&lt;=DASHBOARD!$B$10, H842&gt;=DASHBOARD!$B$11), O842, 1000000000000)</f>
        <v/>
      </c>
      <c r="AA842" s="101">
        <f>IF(AND(F842&lt;=DASHBOARD!$B$10, H842&gt;=DASHBOARD!$B$11), P842, 1000000000000)</f>
        <v/>
      </c>
      <c r="AB842" s="101">
        <f>IF(AND(F842&lt;=DASHBOARD!$B$10, H842&gt;=DASHBOARD!$B$11), Q842, -1000000000000)</f>
        <v/>
      </c>
    </row>
    <row r="843" ht="15" customHeight="1" s="102">
      <c r="A843" s="166" t="n">
        <v>839</v>
      </c>
      <c r="B843" s="167" t="n">
        <v>1.9</v>
      </c>
      <c r="C843" s="167" t="n">
        <v>2</v>
      </c>
      <c r="D843" s="110" t="inlineStr">
        <is>
          <t>Yok (%0)</t>
        </is>
      </c>
      <c r="E843" s="110">
        <f>IF((B843+C843)&lt;=1, "Tam Mahsuplaşma (≤%100)", "Kısmi Satış (&gt;%100)")</f>
        <v/>
      </c>
      <c r="F843" s="168">
        <f>((VERI_TABANI!$D$29*B843/VERI_TABANI!$B$29)/VERI_TABANI!$B$3)*VERI_TABANI!$B$5 + ((VERI_TABANI!$D$29*C843/VERI_TABANI!$B$29)/VERI_TABANI!$B$4)*VERI_TABANI!$B$6 + IF(ISNUMBER(SEARCH("Var", D843)), (VERI_TABANI!$F$29/VERI_TABANI!$B$29)*(VERI_TABANI!$B$10+VERI_TABANI!$B$12), 0)</f>
        <v/>
      </c>
      <c r="G843" s="168">
        <f>(((MIN(VERI_TABANI!D23, VERI_TABANI!D23*B843)*VERI_TABANI!$B$7 + MAX(0, VERI_TABANI!D23*B843-VERI_TABANI!D23)*VERI_TABANI!$B$8) + (MIN(MAX(0, VERI_TABANI!D23-VERI_TABANI!D23*B843), VERI_TABANI!D23*C843)*VERI_TABANI!$B$7 + MAX(0, VERI_TABANI!D23*C843-MAX(0, VERI_TABANI!D23-VERI_TABANI!D23*B843))*VERI_TABANI!$B$8) + IF(ABS(IF(ISNUMBER(SEARCH("Var", D843)), 1, IF(ISNUMBER(SEARCH("Gri", D843)), -1, 0)))=1, VERI_TABANI!E23*(1-0.928)*VERI_TABANI!$B$9, 0) + (VERI_TABANI!D23*B843*(VERI_TABANI!$B$13-VERI_TABANI!$B$14)*VERI_TABANI!G23) + (VERI_TABANI!D23*C843*(VERI_TABANI!$B$13-VERI_TABANI!$B$15)*VERI_TABANI!G23) + IF(ABS(IF(ISNUMBER(SEARCH("Var", D843)), 1, IF(ISNUMBER(SEARCH("Gri", D843)), -1, 0)))=1, VERI_TABANI!E23*(1-0.928)*0.00206091519919798*VERI_TABANI!G23, 0)) + ((MIN(VERI_TABANI!D24, VERI_TABANI!D24*B843)*VERI_TABANI!$B$7 + MAX(0, VERI_TABANI!D24*B843-VERI_TABANI!D24)*VERI_TABANI!$B$8) + (MIN(MAX(0, VERI_TABANI!D24-VERI_TABANI!D24*B843), VERI_TABANI!D24*C843)*VERI_TABANI!$B$7 + MAX(0, VERI_TABANI!D24*C843-MAX(0, VERI_TABANI!D24-VERI_TABANI!D24*B843))*VERI_TABANI!$B$8) + IF(ABS(IF(ISNUMBER(SEARCH("Var", D843)), 1, IF(ISNUMBER(SEARCH("Gri", D843)), -1, 0)))=1, VERI_TABANI!E24*(1-0.928)*VERI_TABANI!$B$9, 0) + (VERI_TABANI!D24*B843*(VERI_TABANI!$B$13-VERI_TABANI!$B$14)*VERI_TABANI!G24) + (VERI_TABANI!D24*C843*(VERI_TABANI!$B$13-VERI_TABANI!$B$15)*VERI_TABANI!G24) + IF(ABS(IF(ISNUMBER(SEARCH("Var", D843)), 1, IF(ISNUMBER(SEARCH("Gri", D843)), -1, 0)))=1, VERI_TABANI!E24*(1-0.928)*0.00206091519919798*VERI_TABANI!G24, 0)) + ((MIN(VERI_TABANI!D25, VERI_TABANI!D25*B843)*VERI_TABANI!$B$7 + MAX(0, VERI_TABANI!D25*B843-VERI_TABANI!D25)*VERI_TABANI!$B$8) + (MIN(MAX(0, VERI_TABANI!D25-VERI_TABANI!D25*B843), VERI_TABANI!D25*C843)*VERI_TABANI!$B$7 + MAX(0, VERI_TABANI!D25*C843-MAX(0, VERI_TABANI!D25-VERI_TABANI!D25*B843))*VERI_TABANI!$B$8) + IF(ABS(IF(ISNUMBER(SEARCH("Var", D843)), 1, IF(ISNUMBER(SEARCH("Gri", D843)), -1, 0)))=1, VERI_TABANI!E25*(1-0.928)*VERI_TABANI!$B$9, 0) + (VERI_TABANI!D25*B843*(VERI_TABANI!$B$13-VERI_TABANI!$B$14)*VERI_TABANI!G25) + (VERI_TABANI!D25*C843*(VERI_TABANI!$B$13-VERI_TABANI!$B$15)*VERI_TABANI!G25) + IF(ABS(IF(ISNUMBER(SEARCH("Var", D843)), 1, IF(ISNUMBER(SEARCH("Gri", D843)), -1, 0)))=1, VERI_TABANI!E25*(1-0.928)*0.00206091519919798*VERI_TABANI!G25, 0)) + ((MIN(VERI_TABANI!D26, VERI_TABANI!D26*B843)*VERI_TABANI!$B$7 + MAX(0, VERI_TABANI!D26*B843-VERI_TABANI!D26)*VERI_TABANI!$B$8) + (MIN(MAX(0, VERI_TABANI!D26-VERI_TABANI!D26*B843), VERI_TABANI!D26*C843)*VERI_TABANI!$B$7 + MAX(0, VERI_TABANI!D26*C843-MAX(0, VERI_TABANI!D26-VERI_TABANI!D26*B843))*VERI_TABANI!$B$8) + IF(ABS(IF(ISNUMBER(SEARCH("Var", D843)), 1, IF(ISNUMBER(SEARCH("Gri", D843)), -1, 0)))=1, VERI_TABANI!E26*(1-0.928)*VERI_TABANI!$B$9, 0) + (VERI_TABANI!D26*B843*(VERI_TABANI!$B$13-VERI_TABANI!$B$14)*VERI_TABANI!G26) + (VERI_TABANI!D26*C843*(VERI_TABANI!$B$13-VERI_TABANI!$B$15)*VERI_TABANI!G26) + IF(ABS(IF(ISNUMBER(SEARCH("Var", D843)), 1, IF(ISNUMBER(SEARCH("Gri", D843)), -1, 0)))=1, VERI_TABANI!E26*(1-0.928)*0.00206091519919798*VERI_TABANI!G26, 0)) + ((MIN(VERI_TABANI!D27, VERI_TABANI!D27*B843)*VERI_TABANI!$B$7 + MAX(0, VERI_TABANI!D27*B843-VERI_TABANI!D27)*VERI_TABANI!$B$8) + (MIN(MAX(0, VERI_TABANI!D27-VERI_TABANI!D27*B843), VERI_TABANI!D27*C843)*VERI_TABANI!$B$7 + MAX(0, VERI_TABANI!D27*C843-MAX(0, VERI_TABANI!D27-VERI_TABANI!D27*B843))*VERI_TABANI!$B$8) + IF(ABS(IF(ISNUMBER(SEARCH("Var", D843)), 1, IF(ISNUMBER(SEARCH("Gri", D843)), -1, 0)))=1, VERI_TABANI!E27*(1-0.928)*VERI_TABANI!$B$9, 0) + (VERI_TABANI!D27*B843*(VERI_TABANI!$B$13-VERI_TABANI!$B$14)*VERI_TABANI!G27) + (VERI_TABANI!D27*C843*(VERI_TABANI!$B$13-VERI_TABANI!$B$15)*VERI_TABANI!G27) + IF(ABS(IF(ISNUMBER(SEARCH("Var", D843)), 1, IF(ISNUMBER(SEARCH("Gri", D843)), -1, 0)))=1, VERI_TABANI!E27*(1-0.928)*0.00206091519919798*VERI_TABANI!G27, 0)) + ((MIN(VERI_TABANI!D28, VERI_TABANI!D28*B843)*VERI_TABANI!$B$7 + MAX(0, VERI_TABANI!D28*B843-VERI_TABANI!D28)*VERI_TABANI!$B$8) + (MIN(MAX(0, VERI_TABANI!D28-VERI_TABANI!D28*B843), VERI_TABANI!D28*C843)*VERI_TABANI!$B$7 + MAX(0, VERI_TABANI!D28*C843-MAX(0, VERI_TABANI!D28-VERI_TABANI!D28*B843))*VERI_TABANI!$B$8) + IF(ABS(IF(ISNUMBER(SEARCH("Var", D843)), 1, IF(ISNUMBER(SEARCH("Gri", D843)), -1, 0)))=1, VERI_TABANI!E28*(1-0.928)*VERI_TABANI!$B$9, 0) + (VERI_TABANI!D28*B843*(VERI_TABANI!$B$13-VERI_TABANI!$B$14)*VERI_TABANI!G28) + (VERI_TABANI!D28*C843*(VERI_TABANI!$B$13-VERI_TABANI!$B$15)*VERI_TABANI!G28) + IF(ABS(IF(ISNUMBER(SEARCH("Var", D843)), 1, IF(ISNUMBER(SEARCH("Gri", D843)), -1, 0)))=1, VERI_TABANI!E28*(1-0.928)*0.00206091519919798*VERI_TABANI!G28, 0)))</f>
        <v/>
      </c>
      <c r="H843" s="169">
        <f>(((VERI_TABANI!D23*B843*(VERI_TABANI!$B$13-VERI_TABANI!$B$14)) + (VERI_TABANI!D23*C843*(VERI_TABANI!$B$13-VERI_TABANI!$B$15)) + IF(ISNUMBER(SEARCH("Var", D843)), VERI_TABANI!F23*(0.00202-VERI_TABANI!$B$16), IF(ISNUMBER(SEARCH("Gri", D843)), VERI_TABANI!F23*(0.00202-VERI_TABANI!$B$17), 0))) + ((VERI_TABANI!D24*B843*(VERI_TABANI!$B$13-VERI_TABANI!$B$14)) + (VERI_TABANI!D24*C843*(VERI_TABANI!$B$13-VERI_TABANI!$B$15)) + IF(ISNUMBER(SEARCH("Var", D843)), VERI_TABANI!F24*(0.00202-VERI_TABANI!$B$16), IF(ISNUMBER(SEARCH("Gri", D843)), VERI_TABANI!F24*(0.00202-VERI_TABANI!$B$17), 0))) + ((VERI_TABANI!D25*B843*(VERI_TABANI!$B$13-VERI_TABANI!$B$14)) + (VERI_TABANI!D25*C843*(VERI_TABANI!$B$13-VERI_TABANI!$B$15)) + IF(ISNUMBER(SEARCH("Var", D843)), VERI_TABANI!F25*(0.00202-VERI_TABANI!$B$16), IF(ISNUMBER(SEARCH("Gri", D843)), VERI_TABANI!F25*(0.00202-VERI_TABANI!$B$17), 0))) + ((VERI_TABANI!D26*B843*(VERI_TABANI!$B$13-VERI_TABANI!$B$14)) + (VERI_TABANI!D26*C843*(VERI_TABANI!$B$13-VERI_TABANI!$B$15)) + IF(ISNUMBER(SEARCH("Var", D843)), VERI_TABANI!F26*(0.00202-VERI_TABANI!$B$16), IF(ISNUMBER(SEARCH("Gri", D843)), VERI_TABANI!F26*(0.00202-VERI_TABANI!$B$17), 0))) + ((VERI_TABANI!D27*B843*(VERI_TABANI!$B$13-VERI_TABANI!$B$14)) + (VERI_TABANI!D27*C843*(VERI_TABANI!$B$13-VERI_TABANI!$B$15)) + IF(ISNUMBER(SEARCH("Var", D843)), VERI_TABANI!F27*(0.00202-VERI_TABANI!$B$16), IF(ISNUMBER(SEARCH("Gri", D843)), VERI_TABANI!F27*(0.00202-VERI_TABANI!$B$17), 0))) + ((VERI_TABANI!D28*B843*(VERI_TABANI!$B$13-VERI_TABANI!$B$14)) + (VERI_TABANI!D28*C843*(VERI_TABANI!$B$13-VERI_TABANI!$B$15)) + IF(ISNUMBER(SEARCH("Var", D843)), VERI_TABANI!F28*(0.00202-VERI_TABANI!$B$16), IF(ISNUMBER(SEARCH("Gri", D843)), VERI_TABANI!F28*(0.00202-VERI_TABANI!$B$17), 0))))</f>
        <v/>
      </c>
      <c r="I843" s="170">
        <f>IFERROR(((VERI_TABANI!$D$29*B843*VERI_TABANI!$B$14 + VERI_TABANI!$D$29*C843*VERI_TABANI!$B$15 + IF(ISNUMBER(SEARCH("Var", D843)), VERI_TABANI!$F$29*VERI_TABANI!$B$16, 0))) / (((VERI_TABANI!$D$29*B843 + VERI_TABANI!$D$29*C843)*VERI_TABANI!$B$13 + IF(ISNUMBER(SEARCH("Var", D843)), VERI_TABANI!$E$29*(1-0.928)*VERI_TABANI!$B$18, 0))), 0)</f>
        <v/>
      </c>
      <c r="J843" s="171">
        <f>IFERROR(F843/(G843/29), 0)</f>
        <v/>
      </c>
      <c r="K843" s="172">
        <f>IF(F843&gt;0, H843/F843, 0)</f>
        <v/>
      </c>
      <c r="L843" s="170">
        <f>IF(F843&gt;0, I843, 1000000000)</f>
        <v/>
      </c>
      <c r="M843" s="171">
        <f>ABS((B843+C843)-1)</f>
        <v/>
      </c>
      <c r="N843" s="170">
        <f>IF(F843&gt;0, (G843/29)/F843, 0)</f>
        <v/>
      </c>
      <c r="O843" s="168">
        <f>IF(AND((B843+C843)&gt;=1, ISNUMBER(SEARCH("Var", D843))), F843, 1000000000)</f>
        <v/>
      </c>
      <c r="P843" s="172">
        <f>IF(F843&gt;0, SQRT((F843/MAX(F$5:F$886))^2 + (1 - H843/MAX(H$5:H$886))^2 + (J843/MAX(J$5:J$886))^2), 1000000000)</f>
        <v/>
      </c>
      <c r="Q843" s="166">
        <f>IF(AND(ABS(B843-0.5)&lt;0.01, ABS(C843-0.5)&lt;0.01, ISNUMBER(SEARCH("Var", D843))), 1, 0)</f>
        <v/>
      </c>
      <c r="R843" s="171">
        <f>IF(F843&gt;0, J843, 1000000000)</f>
        <v/>
      </c>
      <c r="S843" s="101">
        <f>IF(AND(F843&lt;=DASHBOARD!$B$11, H843&gt;=DASHBOARD!$B$13), G843, -1000000000000)</f>
        <v/>
      </c>
      <c r="T843" s="101">
        <f>IF(AND(F843&lt;=DASHBOARD!$B$11, H843&gt;=DASHBOARD!$B$13), R843, 1000000000000)</f>
        <v/>
      </c>
      <c r="U843" s="101">
        <f>IF(AND(F843&lt;=DASHBOARD!$B$11, H843&gt;=DASHBOARD!$B$13), N843, -1000000000000)</f>
        <v/>
      </c>
      <c r="V843" s="101">
        <f>IF(AND(F843&lt;=DASHBOARD!$B$11, H843&gt;=DASHBOARD!$B$13), H843, -1000000000000)</f>
        <v/>
      </c>
      <c r="W843" s="101">
        <f>IF(AND(F843&lt;=DASHBOARD!$B$11, H843&gt;=DASHBOARD!$B$13), K843, -1000000000000)</f>
        <v/>
      </c>
      <c r="X843" s="101">
        <f>IF(AND(F843&lt;=DASHBOARD!$B$11, H843&gt;=DASHBOARD!$B$13), M843, 1000000000000)</f>
        <v/>
      </c>
      <c r="Y843" s="101">
        <f>IF(AND(F843&lt;=DASHBOARD!$B$10, H843&gt;=DASHBOARD!$B$11), L843, 1000000000000)</f>
        <v/>
      </c>
      <c r="Z843" s="101">
        <f>IF(AND(F843&lt;=DASHBOARD!$B$10, H843&gt;=DASHBOARD!$B$11), O843, 1000000000000)</f>
        <v/>
      </c>
      <c r="AA843" s="101">
        <f>IF(AND(F843&lt;=DASHBOARD!$B$10, H843&gt;=DASHBOARD!$B$11), P843, 1000000000000)</f>
        <v/>
      </c>
      <c r="AB843" s="101">
        <f>IF(AND(F843&lt;=DASHBOARD!$B$10, H843&gt;=DASHBOARD!$B$11), Q843, -1000000000000)</f>
        <v/>
      </c>
    </row>
    <row r="844" ht="15" customHeight="1" s="102">
      <c r="A844" s="166" t="n">
        <v>840</v>
      </c>
      <c r="B844" s="167" t="n">
        <v>1.9</v>
      </c>
      <c r="C844" s="167" t="n">
        <v>2</v>
      </c>
      <c r="D844" s="110" t="inlineStr">
        <is>
          <t>Var (%20)</t>
        </is>
      </c>
      <c r="E844" s="110">
        <f>IF((B844+C844)&lt;=1, "Tam Mahsuplaşma (≤%100)", "Kısmi Satış (&gt;%100)")</f>
        <v/>
      </c>
      <c r="F844" s="168">
        <f>((VERI_TABANI!$D$29*B844/VERI_TABANI!$B$29)/VERI_TABANI!$B$3)*VERI_TABANI!$B$5 + ((VERI_TABANI!$D$29*C844/VERI_TABANI!$B$29)/VERI_TABANI!$B$4)*VERI_TABANI!$B$6 + IF(ISNUMBER(SEARCH("Var", D844)), (VERI_TABANI!$F$29/VERI_TABANI!$B$29)*(VERI_TABANI!$B$10+VERI_TABANI!$B$12), 0)</f>
        <v/>
      </c>
      <c r="G844" s="168">
        <f>(((MIN(VERI_TABANI!D23, VERI_TABANI!D23*B844)*VERI_TABANI!$B$7 + MAX(0, VERI_TABANI!D23*B844-VERI_TABANI!D23)*VERI_TABANI!$B$8) + (MIN(MAX(0, VERI_TABANI!D23-VERI_TABANI!D23*B844), VERI_TABANI!D23*C844)*VERI_TABANI!$B$7 + MAX(0, VERI_TABANI!D23*C844-MAX(0, VERI_TABANI!D23-VERI_TABANI!D23*B844))*VERI_TABANI!$B$8) + IF(ABS(IF(ISNUMBER(SEARCH("Var", D844)), 1, IF(ISNUMBER(SEARCH("Gri", D844)), -1, 0)))=1, VERI_TABANI!E23*(1-0.928)*VERI_TABANI!$B$9, 0) + (VERI_TABANI!D23*B844*(VERI_TABANI!$B$13-VERI_TABANI!$B$14)*VERI_TABANI!G23) + (VERI_TABANI!D23*C844*(VERI_TABANI!$B$13-VERI_TABANI!$B$15)*VERI_TABANI!G23) + IF(ABS(IF(ISNUMBER(SEARCH("Var", D844)), 1, IF(ISNUMBER(SEARCH("Gri", D844)), -1, 0)))=1, VERI_TABANI!E23*(1-0.928)*0.00206091519919798*VERI_TABANI!G23, 0)) + ((MIN(VERI_TABANI!D24, VERI_TABANI!D24*B844)*VERI_TABANI!$B$7 + MAX(0, VERI_TABANI!D24*B844-VERI_TABANI!D24)*VERI_TABANI!$B$8) + (MIN(MAX(0, VERI_TABANI!D24-VERI_TABANI!D24*B844), VERI_TABANI!D24*C844)*VERI_TABANI!$B$7 + MAX(0, VERI_TABANI!D24*C844-MAX(0, VERI_TABANI!D24-VERI_TABANI!D24*B844))*VERI_TABANI!$B$8) + IF(ABS(IF(ISNUMBER(SEARCH("Var", D844)), 1, IF(ISNUMBER(SEARCH("Gri", D844)), -1, 0)))=1, VERI_TABANI!E24*(1-0.928)*VERI_TABANI!$B$9, 0) + (VERI_TABANI!D24*B844*(VERI_TABANI!$B$13-VERI_TABANI!$B$14)*VERI_TABANI!G24) + (VERI_TABANI!D24*C844*(VERI_TABANI!$B$13-VERI_TABANI!$B$15)*VERI_TABANI!G24) + IF(ABS(IF(ISNUMBER(SEARCH("Var", D844)), 1, IF(ISNUMBER(SEARCH("Gri", D844)), -1, 0)))=1, VERI_TABANI!E24*(1-0.928)*0.00206091519919798*VERI_TABANI!G24, 0)) + ((MIN(VERI_TABANI!D25, VERI_TABANI!D25*B844)*VERI_TABANI!$B$7 + MAX(0, VERI_TABANI!D25*B844-VERI_TABANI!D25)*VERI_TABANI!$B$8) + (MIN(MAX(0, VERI_TABANI!D25-VERI_TABANI!D25*B844), VERI_TABANI!D25*C844)*VERI_TABANI!$B$7 + MAX(0, VERI_TABANI!D25*C844-MAX(0, VERI_TABANI!D25-VERI_TABANI!D25*B844))*VERI_TABANI!$B$8) + IF(ABS(IF(ISNUMBER(SEARCH("Var", D844)), 1, IF(ISNUMBER(SEARCH("Gri", D844)), -1, 0)))=1, VERI_TABANI!E25*(1-0.928)*VERI_TABANI!$B$9, 0) + (VERI_TABANI!D25*B844*(VERI_TABANI!$B$13-VERI_TABANI!$B$14)*VERI_TABANI!G25) + (VERI_TABANI!D25*C844*(VERI_TABANI!$B$13-VERI_TABANI!$B$15)*VERI_TABANI!G25) + IF(ABS(IF(ISNUMBER(SEARCH("Var", D844)), 1, IF(ISNUMBER(SEARCH("Gri", D844)), -1, 0)))=1, VERI_TABANI!E25*(1-0.928)*0.00206091519919798*VERI_TABANI!G25, 0)) + ((MIN(VERI_TABANI!D26, VERI_TABANI!D26*B844)*VERI_TABANI!$B$7 + MAX(0, VERI_TABANI!D26*B844-VERI_TABANI!D26)*VERI_TABANI!$B$8) + (MIN(MAX(0, VERI_TABANI!D26-VERI_TABANI!D26*B844), VERI_TABANI!D26*C844)*VERI_TABANI!$B$7 + MAX(0, VERI_TABANI!D26*C844-MAX(0, VERI_TABANI!D26-VERI_TABANI!D26*B844))*VERI_TABANI!$B$8) + IF(ABS(IF(ISNUMBER(SEARCH("Var", D844)), 1, IF(ISNUMBER(SEARCH("Gri", D844)), -1, 0)))=1, VERI_TABANI!E26*(1-0.928)*VERI_TABANI!$B$9, 0) + (VERI_TABANI!D26*B844*(VERI_TABANI!$B$13-VERI_TABANI!$B$14)*VERI_TABANI!G26) + (VERI_TABANI!D26*C844*(VERI_TABANI!$B$13-VERI_TABANI!$B$15)*VERI_TABANI!G26) + IF(ABS(IF(ISNUMBER(SEARCH("Var", D844)), 1, IF(ISNUMBER(SEARCH("Gri", D844)), -1, 0)))=1, VERI_TABANI!E26*(1-0.928)*0.00206091519919798*VERI_TABANI!G26, 0)) + ((MIN(VERI_TABANI!D27, VERI_TABANI!D27*B844)*VERI_TABANI!$B$7 + MAX(0, VERI_TABANI!D27*B844-VERI_TABANI!D27)*VERI_TABANI!$B$8) + (MIN(MAX(0, VERI_TABANI!D27-VERI_TABANI!D27*B844), VERI_TABANI!D27*C844)*VERI_TABANI!$B$7 + MAX(0, VERI_TABANI!D27*C844-MAX(0, VERI_TABANI!D27-VERI_TABANI!D27*B844))*VERI_TABANI!$B$8) + IF(ABS(IF(ISNUMBER(SEARCH("Var", D844)), 1, IF(ISNUMBER(SEARCH("Gri", D844)), -1, 0)))=1, VERI_TABANI!E27*(1-0.928)*VERI_TABANI!$B$9, 0) + (VERI_TABANI!D27*B844*(VERI_TABANI!$B$13-VERI_TABANI!$B$14)*VERI_TABANI!G27) + (VERI_TABANI!D27*C844*(VERI_TABANI!$B$13-VERI_TABANI!$B$15)*VERI_TABANI!G27) + IF(ABS(IF(ISNUMBER(SEARCH("Var", D844)), 1, IF(ISNUMBER(SEARCH("Gri", D844)), -1, 0)))=1, VERI_TABANI!E27*(1-0.928)*0.00206091519919798*VERI_TABANI!G27, 0)) + ((MIN(VERI_TABANI!D28, VERI_TABANI!D28*B844)*VERI_TABANI!$B$7 + MAX(0, VERI_TABANI!D28*B844-VERI_TABANI!D28)*VERI_TABANI!$B$8) + (MIN(MAX(0, VERI_TABANI!D28-VERI_TABANI!D28*B844), VERI_TABANI!D28*C844)*VERI_TABANI!$B$7 + MAX(0, VERI_TABANI!D28*C844-MAX(0, VERI_TABANI!D28-VERI_TABANI!D28*B844))*VERI_TABANI!$B$8) + IF(ABS(IF(ISNUMBER(SEARCH("Var", D844)), 1, IF(ISNUMBER(SEARCH("Gri", D844)), -1, 0)))=1, VERI_TABANI!E28*(1-0.928)*VERI_TABANI!$B$9, 0) + (VERI_TABANI!D28*B844*(VERI_TABANI!$B$13-VERI_TABANI!$B$14)*VERI_TABANI!G28) + (VERI_TABANI!D28*C844*(VERI_TABANI!$B$13-VERI_TABANI!$B$15)*VERI_TABANI!G28) + IF(ABS(IF(ISNUMBER(SEARCH("Var", D844)), 1, IF(ISNUMBER(SEARCH("Gri", D844)), -1, 0)))=1, VERI_TABANI!E28*(1-0.928)*0.00206091519919798*VERI_TABANI!G28, 0)))</f>
        <v/>
      </c>
      <c r="H844" s="169">
        <f>(((VERI_TABANI!D23*B844*(VERI_TABANI!$B$13-VERI_TABANI!$B$14)) + (VERI_TABANI!D23*C844*(VERI_TABANI!$B$13-VERI_TABANI!$B$15)) + IF(ISNUMBER(SEARCH("Var", D844)), VERI_TABANI!F23*(0.00202-VERI_TABANI!$B$16), IF(ISNUMBER(SEARCH("Gri", D844)), VERI_TABANI!F23*(0.00202-VERI_TABANI!$B$17), 0))) + ((VERI_TABANI!D24*B844*(VERI_TABANI!$B$13-VERI_TABANI!$B$14)) + (VERI_TABANI!D24*C844*(VERI_TABANI!$B$13-VERI_TABANI!$B$15)) + IF(ISNUMBER(SEARCH("Var", D844)), VERI_TABANI!F24*(0.00202-VERI_TABANI!$B$16), IF(ISNUMBER(SEARCH("Gri", D844)), VERI_TABANI!F24*(0.00202-VERI_TABANI!$B$17), 0))) + ((VERI_TABANI!D25*B844*(VERI_TABANI!$B$13-VERI_TABANI!$B$14)) + (VERI_TABANI!D25*C844*(VERI_TABANI!$B$13-VERI_TABANI!$B$15)) + IF(ISNUMBER(SEARCH("Var", D844)), VERI_TABANI!F25*(0.00202-VERI_TABANI!$B$16), IF(ISNUMBER(SEARCH("Gri", D844)), VERI_TABANI!F25*(0.00202-VERI_TABANI!$B$17), 0))) + ((VERI_TABANI!D26*B844*(VERI_TABANI!$B$13-VERI_TABANI!$B$14)) + (VERI_TABANI!D26*C844*(VERI_TABANI!$B$13-VERI_TABANI!$B$15)) + IF(ISNUMBER(SEARCH("Var", D844)), VERI_TABANI!F26*(0.00202-VERI_TABANI!$B$16), IF(ISNUMBER(SEARCH("Gri", D844)), VERI_TABANI!F26*(0.00202-VERI_TABANI!$B$17), 0))) + ((VERI_TABANI!D27*B844*(VERI_TABANI!$B$13-VERI_TABANI!$B$14)) + (VERI_TABANI!D27*C844*(VERI_TABANI!$B$13-VERI_TABANI!$B$15)) + IF(ISNUMBER(SEARCH("Var", D844)), VERI_TABANI!F27*(0.00202-VERI_TABANI!$B$16), IF(ISNUMBER(SEARCH("Gri", D844)), VERI_TABANI!F27*(0.00202-VERI_TABANI!$B$17), 0))) + ((VERI_TABANI!D28*B844*(VERI_TABANI!$B$13-VERI_TABANI!$B$14)) + (VERI_TABANI!D28*C844*(VERI_TABANI!$B$13-VERI_TABANI!$B$15)) + IF(ISNUMBER(SEARCH("Var", D844)), VERI_TABANI!F28*(0.00202-VERI_TABANI!$B$16), IF(ISNUMBER(SEARCH("Gri", D844)), VERI_TABANI!F28*(0.00202-VERI_TABANI!$B$17), 0))))</f>
        <v/>
      </c>
      <c r="I844" s="170">
        <f>IFERROR(((VERI_TABANI!$D$29*B844*VERI_TABANI!$B$14 + VERI_TABANI!$D$29*C844*VERI_TABANI!$B$15 + IF(ISNUMBER(SEARCH("Var", D844)), VERI_TABANI!$F$29*VERI_TABANI!$B$16, 0))) / (((VERI_TABANI!$D$29*B844 + VERI_TABANI!$D$29*C844)*VERI_TABANI!$B$13 + IF(ISNUMBER(SEARCH("Var", D844)), VERI_TABANI!$E$29*(1-0.928)*VERI_TABANI!$B$18, 0))), 0)</f>
        <v/>
      </c>
      <c r="J844" s="171">
        <f>IFERROR(F844/(G844/29), 0)</f>
        <v/>
      </c>
      <c r="K844" s="172">
        <f>IF(F844&gt;0, H844/F844, 0)</f>
        <v/>
      </c>
      <c r="L844" s="170">
        <f>IF(F844&gt;0, I844, 1000000000)</f>
        <v/>
      </c>
      <c r="M844" s="171">
        <f>ABS((B844+C844)-1)</f>
        <v/>
      </c>
      <c r="N844" s="170">
        <f>IF(F844&gt;0, (G844/29)/F844, 0)</f>
        <v/>
      </c>
      <c r="O844" s="168">
        <f>IF(AND((B844+C844)&gt;=1, ISNUMBER(SEARCH("Var", D844))), F844, 1000000000)</f>
        <v/>
      </c>
      <c r="P844" s="172">
        <f>IF(F844&gt;0, SQRT((F844/MAX(F$5:F$886))^2 + (1 - H844/MAX(H$5:H$886))^2 + (J844/MAX(J$5:J$886))^2), 1000000000)</f>
        <v/>
      </c>
      <c r="Q844" s="166">
        <f>IF(AND(ABS(B844-0.5)&lt;0.01, ABS(C844-0.5)&lt;0.01, ISNUMBER(SEARCH("Var", D844))), 1, 0)</f>
        <v/>
      </c>
      <c r="R844" s="171">
        <f>IF(F844&gt;0, J844, 1000000000)</f>
        <v/>
      </c>
      <c r="S844" s="101">
        <f>IF(AND(F844&lt;=DASHBOARD!$B$11, H844&gt;=DASHBOARD!$B$13), G844, -1000000000000)</f>
        <v/>
      </c>
      <c r="T844" s="101">
        <f>IF(AND(F844&lt;=DASHBOARD!$B$11, H844&gt;=DASHBOARD!$B$13), R844, 1000000000000)</f>
        <v/>
      </c>
      <c r="U844" s="101">
        <f>IF(AND(F844&lt;=DASHBOARD!$B$11, H844&gt;=DASHBOARD!$B$13), N844, -1000000000000)</f>
        <v/>
      </c>
      <c r="V844" s="101">
        <f>IF(AND(F844&lt;=DASHBOARD!$B$11, H844&gt;=DASHBOARD!$B$13), H844, -1000000000000)</f>
        <v/>
      </c>
      <c r="W844" s="101">
        <f>IF(AND(F844&lt;=DASHBOARD!$B$11, H844&gt;=DASHBOARD!$B$13), K844, -1000000000000)</f>
        <v/>
      </c>
      <c r="X844" s="101">
        <f>IF(AND(F844&lt;=DASHBOARD!$B$11, H844&gt;=DASHBOARD!$B$13), M844, 1000000000000)</f>
        <v/>
      </c>
      <c r="Y844" s="101">
        <f>IF(AND(F844&lt;=DASHBOARD!$B$10, H844&gt;=DASHBOARD!$B$11), L844, 1000000000000)</f>
        <v/>
      </c>
      <c r="Z844" s="101">
        <f>IF(AND(F844&lt;=DASHBOARD!$B$10, H844&gt;=DASHBOARD!$B$11), O844, 1000000000000)</f>
        <v/>
      </c>
      <c r="AA844" s="101">
        <f>IF(AND(F844&lt;=DASHBOARD!$B$10, H844&gt;=DASHBOARD!$B$11), P844, 1000000000000)</f>
        <v/>
      </c>
      <c r="AB844" s="101">
        <f>IF(AND(F844&lt;=DASHBOARD!$B$10, H844&gt;=DASHBOARD!$B$11), Q844, -1000000000000)</f>
        <v/>
      </c>
    </row>
    <row r="845" ht="15" customHeight="1" s="102">
      <c r="A845" s="166" t="n">
        <v>841</v>
      </c>
      <c r="B845" s="167" t="n">
        <v>2</v>
      </c>
      <c r="C845" s="167" t="n">
        <v>0</v>
      </c>
      <c r="D845" s="110" t="inlineStr">
        <is>
          <t>Yok (%0)</t>
        </is>
      </c>
      <c r="E845" s="110">
        <f>IF((B845+C845)&lt;=1, "Tam Mahsuplaşma (≤%100)", "Kısmi Satış (&gt;%100)")</f>
        <v/>
      </c>
      <c r="F845" s="168">
        <f>((VERI_TABANI!$D$29*B845/VERI_TABANI!$B$29)/VERI_TABANI!$B$3)*VERI_TABANI!$B$5 + ((VERI_TABANI!$D$29*C845/VERI_TABANI!$B$29)/VERI_TABANI!$B$4)*VERI_TABANI!$B$6 + IF(ISNUMBER(SEARCH("Var", D845)), (VERI_TABANI!$F$29/VERI_TABANI!$B$29)*(VERI_TABANI!$B$10+VERI_TABANI!$B$12), 0)</f>
        <v/>
      </c>
      <c r="G845" s="168">
        <f>(((MIN(VERI_TABANI!D23, VERI_TABANI!D23*B845)*VERI_TABANI!$B$7 + MAX(0, VERI_TABANI!D23*B845-VERI_TABANI!D23)*VERI_TABANI!$B$8) + (MIN(MAX(0, VERI_TABANI!D23-VERI_TABANI!D23*B845), VERI_TABANI!D23*C845)*VERI_TABANI!$B$7 + MAX(0, VERI_TABANI!D23*C845-MAX(0, VERI_TABANI!D23-VERI_TABANI!D23*B845))*VERI_TABANI!$B$8) + IF(ABS(IF(ISNUMBER(SEARCH("Var", D845)), 1, IF(ISNUMBER(SEARCH("Gri", D845)), -1, 0)))=1, VERI_TABANI!E23*(1-0.928)*VERI_TABANI!$B$9, 0) + (VERI_TABANI!D23*B845*(VERI_TABANI!$B$13-VERI_TABANI!$B$14)*VERI_TABANI!G23) + (VERI_TABANI!D23*C845*(VERI_TABANI!$B$13-VERI_TABANI!$B$15)*VERI_TABANI!G23) + IF(ABS(IF(ISNUMBER(SEARCH("Var", D845)), 1, IF(ISNUMBER(SEARCH("Gri", D845)), -1, 0)))=1, VERI_TABANI!E23*(1-0.928)*0.00206091519919798*VERI_TABANI!G23, 0)) + ((MIN(VERI_TABANI!D24, VERI_TABANI!D24*B845)*VERI_TABANI!$B$7 + MAX(0, VERI_TABANI!D24*B845-VERI_TABANI!D24)*VERI_TABANI!$B$8) + (MIN(MAX(0, VERI_TABANI!D24-VERI_TABANI!D24*B845), VERI_TABANI!D24*C845)*VERI_TABANI!$B$7 + MAX(0, VERI_TABANI!D24*C845-MAX(0, VERI_TABANI!D24-VERI_TABANI!D24*B845))*VERI_TABANI!$B$8) + IF(ABS(IF(ISNUMBER(SEARCH("Var", D845)), 1, IF(ISNUMBER(SEARCH("Gri", D845)), -1, 0)))=1, VERI_TABANI!E24*(1-0.928)*VERI_TABANI!$B$9, 0) + (VERI_TABANI!D24*B845*(VERI_TABANI!$B$13-VERI_TABANI!$B$14)*VERI_TABANI!G24) + (VERI_TABANI!D24*C845*(VERI_TABANI!$B$13-VERI_TABANI!$B$15)*VERI_TABANI!G24) + IF(ABS(IF(ISNUMBER(SEARCH("Var", D845)), 1, IF(ISNUMBER(SEARCH("Gri", D845)), -1, 0)))=1, VERI_TABANI!E24*(1-0.928)*0.00206091519919798*VERI_TABANI!G24, 0)) + ((MIN(VERI_TABANI!D25, VERI_TABANI!D25*B845)*VERI_TABANI!$B$7 + MAX(0, VERI_TABANI!D25*B845-VERI_TABANI!D25)*VERI_TABANI!$B$8) + (MIN(MAX(0, VERI_TABANI!D25-VERI_TABANI!D25*B845), VERI_TABANI!D25*C845)*VERI_TABANI!$B$7 + MAX(0, VERI_TABANI!D25*C845-MAX(0, VERI_TABANI!D25-VERI_TABANI!D25*B845))*VERI_TABANI!$B$8) + IF(ABS(IF(ISNUMBER(SEARCH("Var", D845)), 1, IF(ISNUMBER(SEARCH("Gri", D845)), -1, 0)))=1, VERI_TABANI!E25*(1-0.928)*VERI_TABANI!$B$9, 0) + (VERI_TABANI!D25*B845*(VERI_TABANI!$B$13-VERI_TABANI!$B$14)*VERI_TABANI!G25) + (VERI_TABANI!D25*C845*(VERI_TABANI!$B$13-VERI_TABANI!$B$15)*VERI_TABANI!G25) + IF(ABS(IF(ISNUMBER(SEARCH("Var", D845)), 1, IF(ISNUMBER(SEARCH("Gri", D845)), -1, 0)))=1, VERI_TABANI!E25*(1-0.928)*0.00206091519919798*VERI_TABANI!G25, 0)) + ((MIN(VERI_TABANI!D26, VERI_TABANI!D26*B845)*VERI_TABANI!$B$7 + MAX(0, VERI_TABANI!D26*B845-VERI_TABANI!D26)*VERI_TABANI!$B$8) + (MIN(MAX(0, VERI_TABANI!D26-VERI_TABANI!D26*B845), VERI_TABANI!D26*C845)*VERI_TABANI!$B$7 + MAX(0, VERI_TABANI!D26*C845-MAX(0, VERI_TABANI!D26-VERI_TABANI!D26*B845))*VERI_TABANI!$B$8) + IF(ABS(IF(ISNUMBER(SEARCH("Var", D845)), 1, IF(ISNUMBER(SEARCH("Gri", D845)), -1, 0)))=1, VERI_TABANI!E26*(1-0.928)*VERI_TABANI!$B$9, 0) + (VERI_TABANI!D26*B845*(VERI_TABANI!$B$13-VERI_TABANI!$B$14)*VERI_TABANI!G26) + (VERI_TABANI!D26*C845*(VERI_TABANI!$B$13-VERI_TABANI!$B$15)*VERI_TABANI!G26) + IF(ABS(IF(ISNUMBER(SEARCH("Var", D845)), 1, IF(ISNUMBER(SEARCH("Gri", D845)), -1, 0)))=1, VERI_TABANI!E26*(1-0.928)*0.00206091519919798*VERI_TABANI!G26, 0)) + ((MIN(VERI_TABANI!D27, VERI_TABANI!D27*B845)*VERI_TABANI!$B$7 + MAX(0, VERI_TABANI!D27*B845-VERI_TABANI!D27)*VERI_TABANI!$B$8) + (MIN(MAX(0, VERI_TABANI!D27-VERI_TABANI!D27*B845), VERI_TABANI!D27*C845)*VERI_TABANI!$B$7 + MAX(0, VERI_TABANI!D27*C845-MAX(0, VERI_TABANI!D27-VERI_TABANI!D27*B845))*VERI_TABANI!$B$8) + IF(ABS(IF(ISNUMBER(SEARCH("Var", D845)), 1, IF(ISNUMBER(SEARCH("Gri", D845)), -1, 0)))=1, VERI_TABANI!E27*(1-0.928)*VERI_TABANI!$B$9, 0) + (VERI_TABANI!D27*B845*(VERI_TABANI!$B$13-VERI_TABANI!$B$14)*VERI_TABANI!G27) + (VERI_TABANI!D27*C845*(VERI_TABANI!$B$13-VERI_TABANI!$B$15)*VERI_TABANI!G27) + IF(ABS(IF(ISNUMBER(SEARCH("Var", D845)), 1, IF(ISNUMBER(SEARCH("Gri", D845)), -1, 0)))=1, VERI_TABANI!E27*(1-0.928)*0.00206091519919798*VERI_TABANI!G27, 0)) + ((MIN(VERI_TABANI!D28, VERI_TABANI!D28*B845)*VERI_TABANI!$B$7 + MAX(0, VERI_TABANI!D28*B845-VERI_TABANI!D28)*VERI_TABANI!$B$8) + (MIN(MAX(0, VERI_TABANI!D28-VERI_TABANI!D28*B845), VERI_TABANI!D28*C845)*VERI_TABANI!$B$7 + MAX(0, VERI_TABANI!D28*C845-MAX(0, VERI_TABANI!D28-VERI_TABANI!D28*B845))*VERI_TABANI!$B$8) + IF(ABS(IF(ISNUMBER(SEARCH("Var", D845)), 1, IF(ISNUMBER(SEARCH("Gri", D845)), -1, 0)))=1, VERI_TABANI!E28*(1-0.928)*VERI_TABANI!$B$9, 0) + (VERI_TABANI!D28*B845*(VERI_TABANI!$B$13-VERI_TABANI!$B$14)*VERI_TABANI!G28) + (VERI_TABANI!D28*C845*(VERI_TABANI!$B$13-VERI_TABANI!$B$15)*VERI_TABANI!G28) + IF(ABS(IF(ISNUMBER(SEARCH("Var", D845)), 1, IF(ISNUMBER(SEARCH("Gri", D845)), -1, 0)))=1, VERI_TABANI!E28*(1-0.928)*0.00206091519919798*VERI_TABANI!G28, 0)))</f>
        <v/>
      </c>
      <c r="H845" s="169">
        <f>(((VERI_TABANI!D23*B845*(VERI_TABANI!$B$13-VERI_TABANI!$B$14)) + (VERI_TABANI!D23*C845*(VERI_TABANI!$B$13-VERI_TABANI!$B$15)) + IF(ISNUMBER(SEARCH("Var", D845)), VERI_TABANI!F23*(0.00202-VERI_TABANI!$B$16), IF(ISNUMBER(SEARCH("Gri", D845)), VERI_TABANI!F23*(0.00202-VERI_TABANI!$B$17), 0))) + ((VERI_TABANI!D24*B845*(VERI_TABANI!$B$13-VERI_TABANI!$B$14)) + (VERI_TABANI!D24*C845*(VERI_TABANI!$B$13-VERI_TABANI!$B$15)) + IF(ISNUMBER(SEARCH("Var", D845)), VERI_TABANI!F24*(0.00202-VERI_TABANI!$B$16), IF(ISNUMBER(SEARCH("Gri", D845)), VERI_TABANI!F24*(0.00202-VERI_TABANI!$B$17), 0))) + ((VERI_TABANI!D25*B845*(VERI_TABANI!$B$13-VERI_TABANI!$B$14)) + (VERI_TABANI!D25*C845*(VERI_TABANI!$B$13-VERI_TABANI!$B$15)) + IF(ISNUMBER(SEARCH("Var", D845)), VERI_TABANI!F25*(0.00202-VERI_TABANI!$B$16), IF(ISNUMBER(SEARCH("Gri", D845)), VERI_TABANI!F25*(0.00202-VERI_TABANI!$B$17), 0))) + ((VERI_TABANI!D26*B845*(VERI_TABANI!$B$13-VERI_TABANI!$B$14)) + (VERI_TABANI!D26*C845*(VERI_TABANI!$B$13-VERI_TABANI!$B$15)) + IF(ISNUMBER(SEARCH("Var", D845)), VERI_TABANI!F26*(0.00202-VERI_TABANI!$B$16), IF(ISNUMBER(SEARCH("Gri", D845)), VERI_TABANI!F26*(0.00202-VERI_TABANI!$B$17), 0))) + ((VERI_TABANI!D27*B845*(VERI_TABANI!$B$13-VERI_TABANI!$B$14)) + (VERI_TABANI!D27*C845*(VERI_TABANI!$B$13-VERI_TABANI!$B$15)) + IF(ISNUMBER(SEARCH("Var", D845)), VERI_TABANI!F27*(0.00202-VERI_TABANI!$B$16), IF(ISNUMBER(SEARCH("Gri", D845)), VERI_TABANI!F27*(0.00202-VERI_TABANI!$B$17), 0))) + ((VERI_TABANI!D28*B845*(VERI_TABANI!$B$13-VERI_TABANI!$B$14)) + (VERI_TABANI!D28*C845*(VERI_TABANI!$B$13-VERI_TABANI!$B$15)) + IF(ISNUMBER(SEARCH("Var", D845)), VERI_TABANI!F28*(0.00202-VERI_TABANI!$B$16), IF(ISNUMBER(SEARCH("Gri", D845)), VERI_TABANI!F28*(0.00202-VERI_TABANI!$B$17), 0))))</f>
        <v/>
      </c>
      <c r="I845" s="170">
        <f>IFERROR(((VERI_TABANI!$D$29*B845*VERI_TABANI!$B$14 + VERI_TABANI!$D$29*C845*VERI_TABANI!$B$15 + IF(ISNUMBER(SEARCH("Var", D845)), VERI_TABANI!$F$29*VERI_TABANI!$B$16, 0))) / (((VERI_TABANI!$D$29*B845 + VERI_TABANI!$D$29*C845)*VERI_TABANI!$B$13 + IF(ISNUMBER(SEARCH("Var", D845)), VERI_TABANI!$E$29*(1-0.928)*VERI_TABANI!$B$18, 0))), 0)</f>
        <v/>
      </c>
      <c r="J845" s="171">
        <f>IFERROR(F845/(G845/29), 0)</f>
        <v/>
      </c>
      <c r="K845" s="172">
        <f>IF(F845&gt;0, H845/F845, 0)</f>
        <v/>
      </c>
      <c r="L845" s="170">
        <f>IF(F845&gt;0, I845, 1000000000)</f>
        <v/>
      </c>
      <c r="M845" s="171">
        <f>ABS((B845+C845)-1)</f>
        <v/>
      </c>
      <c r="N845" s="170">
        <f>IF(F845&gt;0, (G845/29)/F845, 0)</f>
        <v/>
      </c>
      <c r="O845" s="168">
        <f>IF(AND((B845+C845)&gt;=1, ISNUMBER(SEARCH("Var", D845))), F845, 1000000000)</f>
        <v/>
      </c>
      <c r="P845" s="172">
        <f>IF(F845&gt;0, SQRT((F845/MAX(F$5:F$886))^2 + (1 - H845/MAX(H$5:H$886))^2 + (J845/MAX(J$5:J$886))^2), 1000000000)</f>
        <v/>
      </c>
      <c r="Q845" s="166">
        <f>IF(AND(ABS(B845-0.5)&lt;0.01, ABS(C845-0.5)&lt;0.01, ISNUMBER(SEARCH("Var", D845))), 1, 0)</f>
        <v/>
      </c>
      <c r="R845" s="171">
        <f>IF(F845&gt;0, J845, 1000000000)</f>
        <v/>
      </c>
      <c r="S845" s="101">
        <f>IF(AND(F845&lt;=DASHBOARD!$B$11, H845&gt;=DASHBOARD!$B$13), G845, -1000000000000)</f>
        <v/>
      </c>
      <c r="T845" s="101">
        <f>IF(AND(F845&lt;=DASHBOARD!$B$11, H845&gt;=DASHBOARD!$B$13), R845, 1000000000000)</f>
        <v/>
      </c>
      <c r="U845" s="101">
        <f>IF(AND(F845&lt;=DASHBOARD!$B$11, H845&gt;=DASHBOARD!$B$13), N845, -1000000000000)</f>
        <v/>
      </c>
      <c r="V845" s="101">
        <f>IF(AND(F845&lt;=DASHBOARD!$B$11, H845&gt;=DASHBOARD!$B$13), H845, -1000000000000)</f>
        <v/>
      </c>
      <c r="W845" s="101">
        <f>IF(AND(F845&lt;=DASHBOARD!$B$11, H845&gt;=DASHBOARD!$B$13), K845, -1000000000000)</f>
        <v/>
      </c>
      <c r="X845" s="101">
        <f>IF(AND(F845&lt;=DASHBOARD!$B$11, H845&gt;=DASHBOARD!$B$13), M845, 1000000000000)</f>
        <v/>
      </c>
      <c r="Y845" s="101">
        <f>IF(AND(F845&lt;=DASHBOARD!$B$10, H845&gt;=DASHBOARD!$B$11), L845, 1000000000000)</f>
        <v/>
      </c>
      <c r="Z845" s="101">
        <f>IF(AND(F845&lt;=DASHBOARD!$B$10, H845&gt;=DASHBOARD!$B$11), O845, 1000000000000)</f>
        <v/>
      </c>
      <c r="AA845" s="101">
        <f>IF(AND(F845&lt;=DASHBOARD!$B$10, H845&gt;=DASHBOARD!$B$11), P845, 1000000000000)</f>
        <v/>
      </c>
      <c r="AB845" s="101">
        <f>IF(AND(F845&lt;=DASHBOARD!$B$10, H845&gt;=DASHBOARD!$B$11), Q845, -1000000000000)</f>
        <v/>
      </c>
    </row>
    <row r="846" ht="15" customHeight="1" s="102">
      <c r="A846" s="166" t="n">
        <v>842</v>
      </c>
      <c r="B846" s="167" t="n">
        <v>2</v>
      </c>
      <c r="C846" s="167" t="n">
        <v>0</v>
      </c>
      <c r="D846" s="110" t="inlineStr">
        <is>
          <t>Var (%20)</t>
        </is>
      </c>
      <c r="E846" s="110">
        <f>IF((B846+C846)&lt;=1, "Tam Mahsuplaşma (≤%100)", "Kısmi Satış (&gt;%100)")</f>
        <v/>
      </c>
      <c r="F846" s="168">
        <f>((VERI_TABANI!$D$29*B846/VERI_TABANI!$B$29)/VERI_TABANI!$B$3)*VERI_TABANI!$B$5 + ((VERI_TABANI!$D$29*C846/VERI_TABANI!$B$29)/VERI_TABANI!$B$4)*VERI_TABANI!$B$6 + IF(ISNUMBER(SEARCH("Var", D846)), (VERI_TABANI!$F$29/VERI_TABANI!$B$29)*(VERI_TABANI!$B$10+VERI_TABANI!$B$12), 0)</f>
        <v/>
      </c>
      <c r="G846" s="168">
        <f>(((MIN(VERI_TABANI!D23, VERI_TABANI!D23*B846)*VERI_TABANI!$B$7 + MAX(0, VERI_TABANI!D23*B846-VERI_TABANI!D23)*VERI_TABANI!$B$8) + (MIN(MAX(0, VERI_TABANI!D23-VERI_TABANI!D23*B846), VERI_TABANI!D23*C846)*VERI_TABANI!$B$7 + MAX(0, VERI_TABANI!D23*C846-MAX(0, VERI_TABANI!D23-VERI_TABANI!D23*B846))*VERI_TABANI!$B$8) + IF(ABS(IF(ISNUMBER(SEARCH("Var", D846)), 1, IF(ISNUMBER(SEARCH("Gri", D846)), -1, 0)))=1, VERI_TABANI!E23*(1-0.928)*VERI_TABANI!$B$9, 0) + (VERI_TABANI!D23*B846*(VERI_TABANI!$B$13-VERI_TABANI!$B$14)*VERI_TABANI!G23) + (VERI_TABANI!D23*C846*(VERI_TABANI!$B$13-VERI_TABANI!$B$15)*VERI_TABANI!G23) + IF(ABS(IF(ISNUMBER(SEARCH("Var", D846)), 1, IF(ISNUMBER(SEARCH("Gri", D846)), -1, 0)))=1, VERI_TABANI!E23*(1-0.928)*0.00206091519919798*VERI_TABANI!G23, 0)) + ((MIN(VERI_TABANI!D24, VERI_TABANI!D24*B846)*VERI_TABANI!$B$7 + MAX(0, VERI_TABANI!D24*B846-VERI_TABANI!D24)*VERI_TABANI!$B$8) + (MIN(MAX(0, VERI_TABANI!D24-VERI_TABANI!D24*B846), VERI_TABANI!D24*C846)*VERI_TABANI!$B$7 + MAX(0, VERI_TABANI!D24*C846-MAX(0, VERI_TABANI!D24-VERI_TABANI!D24*B846))*VERI_TABANI!$B$8) + IF(ABS(IF(ISNUMBER(SEARCH("Var", D846)), 1, IF(ISNUMBER(SEARCH("Gri", D846)), -1, 0)))=1, VERI_TABANI!E24*(1-0.928)*VERI_TABANI!$B$9, 0) + (VERI_TABANI!D24*B846*(VERI_TABANI!$B$13-VERI_TABANI!$B$14)*VERI_TABANI!G24) + (VERI_TABANI!D24*C846*(VERI_TABANI!$B$13-VERI_TABANI!$B$15)*VERI_TABANI!G24) + IF(ABS(IF(ISNUMBER(SEARCH("Var", D846)), 1, IF(ISNUMBER(SEARCH("Gri", D846)), -1, 0)))=1, VERI_TABANI!E24*(1-0.928)*0.00206091519919798*VERI_TABANI!G24, 0)) + ((MIN(VERI_TABANI!D25, VERI_TABANI!D25*B846)*VERI_TABANI!$B$7 + MAX(0, VERI_TABANI!D25*B846-VERI_TABANI!D25)*VERI_TABANI!$B$8) + (MIN(MAX(0, VERI_TABANI!D25-VERI_TABANI!D25*B846), VERI_TABANI!D25*C846)*VERI_TABANI!$B$7 + MAX(0, VERI_TABANI!D25*C846-MAX(0, VERI_TABANI!D25-VERI_TABANI!D25*B846))*VERI_TABANI!$B$8) + IF(ABS(IF(ISNUMBER(SEARCH("Var", D846)), 1, IF(ISNUMBER(SEARCH("Gri", D846)), -1, 0)))=1, VERI_TABANI!E25*(1-0.928)*VERI_TABANI!$B$9, 0) + (VERI_TABANI!D25*B846*(VERI_TABANI!$B$13-VERI_TABANI!$B$14)*VERI_TABANI!G25) + (VERI_TABANI!D25*C846*(VERI_TABANI!$B$13-VERI_TABANI!$B$15)*VERI_TABANI!G25) + IF(ABS(IF(ISNUMBER(SEARCH("Var", D846)), 1, IF(ISNUMBER(SEARCH("Gri", D846)), -1, 0)))=1, VERI_TABANI!E25*(1-0.928)*0.00206091519919798*VERI_TABANI!G25, 0)) + ((MIN(VERI_TABANI!D26, VERI_TABANI!D26*B846)*VERI_TABANI!$B$7 + MAX(0, VERI_TABANI!D26*B846-VERI_TABANI!D26)*VERI_TABANI!$B$8) + (MIN(MAX(0, VERI_TABANI!D26-VERI_TABANI!D26*B846), VERI_TABANI!D26*C846)*VERI_TABANI!$B$7 + MAX(0, VERI_TABANI!D26*C846-MAX(0, VERI_TABANI!D26-VERI_TABANI!D26*B846))*VERI_TABANI!$B$8) + IF(ABS(IF(ISNUMBER(SEARCH("Var", D846)), 1, IF(ISNUMBER(SEARCH("Gri", D846)), -1, 0)))=1, VERI_TABANI!E26*(1-0.928)*VERI_TABANI!$B$9, 0) + (VERI_TABANI!D26*B846*(VERI_TABANI!$B$13-VERI_TABANI!$B$14)*VERI_TABANI!G26) + (VERI_TABANI!D26*C846*(VERI_TABANI!$B$13-VERI_TABANI!$B$15)*VERI_TABANI!G26) + IF(ABS(IF(ISNUMBER(SEARCH("Var", D846)), 1, IF(ISNUMBER(SEARCH("Gri", D846)), -1, 0)))=1, VERI_TABANI!E26*(1-0.928)*0.00206091519919798*VERI_TABANI!G26, 0)) + ((MIN(VERI_TABANI!D27, VERI_TABANI!D27*B846)*VERI_TABANI!$B$7 + MAX(0, VERI_TABANI!D27*B846-VERI_TABANI!D27)*VERI_TABANI!$B$8) + (MIN(MAX(0, VERI_TABANI!D27-VERI_TABANI!D27*B846), VERI_TABANI!D27*C846)*VERI_TABANI!$B$7 + MAX(0, VERI_TABANI!D27*C846-MAX(0, VERI_TABANI!D27-VERI_TABANI!D27*B846))*VERI_TABANI!$B$8) + IF(ABS(IF(ISNUMBER(SEARCH("Var", D846)), 1, IF(ISNUMBER(SEARCH("Gri", D846)), -1, 0)))=1, VERI_TABANI!E27*(1-0.928)*VERI_TABANI!$B$9, 0) + (VERI_TABANI!D27*B846*(VERI_TABANI!$B$13-VERI_TABANI!$B$14)*VERI_TABANI!G27) + (VERI_TABANI!D27*C846*(VERI_TABANI!$B$13-VERI_TABANI!$B$15)*VERI_TABANI!G27) + IF(ABS(IF(ISNUMBER(SEARCH("Var", D846)), 1, IF(ISNUMBER(SEARCH("Gri", D846)), -1, 0)))=1, VERI_TABANI!E27*(1-0.928)*0.00206091519919798*VERI_TABANI!G27, 0)) + ((MIN(VERI_TABANI!D28, VERI_TABANI!D28*B846)*VERI_TABANI!$B$7 + MAX(0, VERI_TABANI!D28*B846-VERI_TABANI!D28)*VERI_TABANI!$B$8) + (MIN(MAX(0, VERI_TABANI!D28-VERI_TABANI!D28*B846), VERI_TABANI!D28*C846)*VERI_TABANI!$B$7 + MAX(0, VERI_TABANI!D28*C846-MAX(0, VERI_TABANI!D28-VERI_TABANI!D28*B846))*VERI_TABANI!$B$8) + IF(ABS(IF(ISNUMBER(SEARCH("Var", D846)), 1, IF(ISNUMBER(SEARCH("Gri", D846)), -1, 0)))=1, VERI_TABANI!E28*(1-0.928)*VERI_TABANI!$B$9, 0) + (VERI_TABANI!D28*B846*(VERI_TABANI!$B$13-VERI_TABANI!$B$14)*VERI_TABANI!G28) + (VERI_TABANI!D28*C846*(VERI_TABANI!$B$13-VERI_TABANI!$B$15)*VERI_TABANI!G28) + IF(ABS(IF(ISNUMBER(SEARCH("Var", D846)), 1, IF(ISNUMBER(SEARCH("Gri", D846)), -1, 0)))=1, VERI_TABANI!E28*(1-0.928)*0.00206091519919798*VERI_TABANI!G28, 0)))</f>
        <v/>
      </c>
      <c r="H846" s="169">
        <f>(((VERI_TABANI!D23*B846*(VERI_TABANI!$B$13-VERI_TABANI!$B$14)) + (VERI_TABANI!D23*C846*(VERI_TABANI!$B$13-VERI_TABANI!$B$15)) + IF(ISNUMBER(SEARCH("Var", D846)), VERI_TABANI!F23*(0.00202-VERI_TABANI!$B$16), IF(ISNUMBER(SEARCH("Gri", D846)), VERI_TABANI!F23*(0.00202-VERI_TABANI!$B$17), 0))) + ((VERI_TABANI!D24*B846*(VERI_TABANI!$B$13-VERI_TABANI!$B$14)) + (VERI_TABANI!D24*C846*(VERI_TABANI!$B$13-VERI_TABANI!$B$15)) + IF(ISNUMBER(SEARCH("Var", D846)), VERI_TABANI!F24*(0.00202-VERI_TABANI!$B$16), IF(ISNUMBER(SEARCH("Gri", D846)), VERI_TABANI!F24*(0.00202-VERI_TABANI!$B$17), 0))) + ((VERI_TABANI!D25*B846*(VERI_TABANI!$B$13-VERI_TABANI!$B$14)) + (VERI_TABANI!D25*C846*(VERI_TABANI!$B$13-VERI_TABANI!$B$15)) + IF(ISNUMBER(SEARCH("Var", D846)), VERI_TABANI!F25*(0.00202-VERI_TABANI!$B$16), IF(ISNUMBER(SEARCH("Gri", D846)), VERI_TABANI!F25*(0.00202-VERI_TABANI!$B$17), 0))) + ((VERI_TABANI!D26*B846*(VERI_TABANI!$B$13-VERI_TABANI!$B$14)) + (VERI_TABANI!D26*C846*(VERI_TABANI!$B$13-VERI_TABANI!$B$15)) + IF(ISNUMBER(SEARCH("Var", D846)), VERI_TABANI!F26*(0.00202-VERI_TABANI!$B$16), IF(ISNUMBER(SEARCH("Gri", D846)), VERI_TABANI!F26*(0.00202-VERI_TABANI!$B$17), 0))) + ((VERI_TABANI!D27*B846*(VERI_TABANI!$B$13-VERI_TABANI!$B$14)) + (VERI_TABANI!D27*C846*(VERI_TABANI!$B$13-VERI_TABANI!$B$15)) + IF(ISNUMBER(SEARCH("Var", D846)), VERI_TABANI!F27*(0.00202-VERI_TABANI!$B$16), IF(ISNUMBER(SEARCH("Gri", D846)), VERI_TABANI!F27*(0.00202-VERI_TABANI!$B$17), 0))) + ((VERI_TABANI!D28*B846*(VERI_TABANI!$B$13-VERI_TABANI!$B$14)) + (VERI_TABANI!D28*C846*(VERI_TABANI!$B$13-VERI_TABANI!$B$15)) + IF(ISNUMBER(SEARCH("Var", D846)), VERI_TABANI!F28*(0.00202-VERI_TABANI!$B$16), IF(ISNUMBER(SEARCH("Gri", D846)), VERI_TABANI!F28*(0.00202-VERI_TABANI!$B$17), 0))))</f>
        <v/>
      </c>
      <c r="I846" s="170">
        <f>IFERROR(((VERI_TABANI!$D$29*B846*VERI_TABANI!$B$14 + VERI_TABANI!$D$29*C846*VERI_TABANI!$B$15 + IF(ISNUMBER(SEARCH("Var", D846)), VERI_TABANI!$F$29*VERI_TABANI!$B$16, 0))) / (((VERI_TABANI!$D$29*B846 + VERI_TABANI!$D$29*C846)*VERI_TABANI!$B$13 + IF(ISNUMBER(SEARCH("Var", D846)), VERI_TABANI!$E$29*(1-0.928)*VERI_TABANI!$B$18, 0))), 0)</f>
        <v/>
      </c>
      <c r="J846" s="171">
        <f>IFERROR(F846/(G846/29), 0)</f>
        <v/>
      </c>
      <c r="K846" s="172">
        <f>IF(F846&gt;0, H846/F846, 0)</f>
        <v/>
      </c>
      <c r="L846" s="170">
        <f>IF(F846&gt;0, I846, 1000000000)</f>
        <v/>
      </c>
      <c r="M846" s="171">
        <f>ABS((B846+C846)-1)</f>
        <v/>
      </c>
      <c r="N846" s="170">
        <f>IF(F846&gt;0, (G846/29)/F846, 0)</f>
        <v/>
      </c>
      <c r="O846" s="168">
        <f>IF(AND((B846+C846)&gt;=1, ISNUMBER(SEARCH("Var", D846))), F846, 1000000000)</f>
        <v/>
      </c>
      <c r="P846" s="172">
        <f>IF(F846&gt;0, SQRT((F846/MAX(F$5:F$886))^2 + (1 - H846/MAX(H$5:H$886))^2 + (J846/MAX(J$5:J$886))^2), 1000000000)</f>
        <v/>
      </c>
      <c r="Q846" s="166">
        <f>IF(AND(ABS(B846-0.5)&lt;0.01, ABS(C846-0.5)&lt;0.01, ISNUMBER(SEARCH("Var", D846))), 1, 0)</f>
        <v/>
      </c>
      <c r="R846" s="171">
        <f>IF(F846&gt;0, J846, 1000000000)</f>
        <v/>
      </c>
      <c r="S846" s="101">
        <f>IF(AND(F846&lt;=DASHBOARD!$B$11, H846&gt;=DASHBOARD!$B$13), G846, -1000000000000)</f>
        <v/>
      </c>
      <c r="T846" s="101">
        <f>IF(AND(F846&lt;=DASHBOARD!$B$11, H846&gt;=DASHBOARD!$B$13), R846, 1000000000000)</f>
        <v/>
      </c>
      <c r="U846" s="101">
        <f>IF(AND(F846&lt;=DASHBOARD!$B$11, H846&gt;=DASHBOARD!$B$13), N846, -1000000000000)</f>
        <v/>
      </c>
      <c r="V846" s="101">
        <f>IF(AND(F846&lt;=DASHBOARD!$B$11, H846&gt;=DASHBOARD!$B$13), H846, -1000000000000)</f>
        <v/>
      </c>
      <c r="W846" s="101">
        <f>IF(AND(F846&lt;=DASHBOARD!$B$11, H846&gt;=DASHBOARD!$B$13), K846, -1000000000000)</f>
        <v/>
      </c>
      <c r="X846" s="101">
        <f>IF(AND(F846&lt;=DASHBOARD!$B$11, H846&gt;=DASHBOARD!$B$13), M846, 1000000000000)</f>
        <v/>
      </c>
      <c r="Y846" s="101">
        <f>IF(AND(F846&lt;=DASHBOARD!$B$10, H846&gt;=DASHBOARD!$B$11), L846, 1000000000000)</f>
        <v/>
      </c>
      <c r="Z846" s="101">
        <f>IF(AND(F846&lt;=DASHBOARD!$B$10, H846&gt;=DASHBOARD!$B$11), O846, 1000000000000)</f>
        <v/>
      </c>
      <c r="AA846" s="101">
        <f>IF(AND(F846&lt;=DASHBOARD!$B$10, H846&gt;=DASHBOARD!$B$11), P846, 1000000000000)</f>
        <v/>
      </c>
      <c r="AB846" s="101">
        <f>IF(AND(F846&lt;=DASHBOARD!$B$10, H846&gt;=DASHBOARD!$B$11), Q846, -1000000000000)</f>
        <v/>
      </c>
    </row>
    <row r="847" ht="15" customHeight="1" s="102">
      <c r="A847" s="166" t="n">
        <v>843</v>
      </c>
      <c r="B847" s="167" t="n">
        <v>2</v>
      </c>
      <c r="C847" s="167" t="n">
        <v>0.1</v>
      </c>
      <c r="D847" s="110" t="inlineStr">
        <is>
          <t>Yok (%0)</t>
        </is>
      </c>
      <c r="E847" s="110">
        <f>IF((B847+C847)&lt;=1, "Tam Mahsuplaşma (≤%100)", "Kısmi Satış (&gt;%100)")</f>
        <v/>
      </c>
      <c r="F847" s="168">
        <f>((VERI_TABANI!$D$29*B847/VERI_TABANI!$B$29)/VERI_TABANI!$B$3)*VERI_TABANI!$B$5 + ((VERI_TABANI!$D$29*C847/VERI_TABANI!$B$29)/VERI_TABANI!$B$4)*VERI_TABANI!$B$6 + IF(ISNUMBER(SEARCH("Var", D847)), (VERI_TABANI!$F$29/VERI_TABANI!$B$29)*(VERI_TABANI!$B$10+VERI_TABANI!$B$12), 0)</f>
        <v/>
      </c>
      <c r="G847" s="168">
        <f>(((MIN(VERI_TABANI!D23, VERI_TABANI!D23*B847)*VERI_TABANI!$B$7 + MAX(0, VERI_TABANI!D23*B847-VERI_TABANI!D23)*VERI_TABANI!$B$8) + (MIN(MAX(0, VERI_TABANI!D23-VERI_TABANI!D23*B847), VERI_TABANI!D23*C847)*VERI_TABANI!$B$7 + MAX(0, VERI_TABANI!D23*C847-MAX(0, VERI_TABANI!D23-VERI_TABANI!D23*B847))*VERI_TABANI!$B$8) + IF(ABS(IF(ISNUMBER(SEARCH("Var", D847)), 1, IF(ISNUMBER(SEARCH("Gri", D847)), -1, 0)))=1, VERI_TABANI!E23*(1-0.928)*VERI_TABANI!$B$9, 0) + (VERI_TABANI!D23*B847*(VERI_TABANI!$B$13-VERI_TABANI!$B$14)*VERI_TABANI!G23) + (VERI_TABANI!D23*C847*(VERI_TABANI!$B$13-VERI_TABANI!$B$15)*VERI_TABANI!G23) + IF(ABS(IF(ISNUMBER(SEARCH("Var", D847)), 1, IF(ISNUMBER(SEARCH("Gri", D847)), -1, 0)))=1, VERI_TABANI!E23*(1-0.928)*0.00206091519919798*VERI_TABANI!G23, 0)) + ((MIN(VERI_TABANI!D24, VERI_TABANI!D24*B847)*VERI_TABANI!$B$7 + MAX(0, VERI_TABANI!D24*B847-VERI_TABANI!D24)*VERI_TABANI!$B$8) + (MIN(MAX(0, VERI_TABANI!D24-VERI_TABANI!D24*B847), VERI_TABANI!D24*C847)*VERI_TABANI!$B$7 + MAX(0, VERI_TABANI!D24*C847-MAX(0, VERI_TABANI!D24-VERI_TABANI!D24*B847))*VERI_TABANI!$B$8) + IF(ABS(IF(ISNUMBER(SEARCH("Var", D847)), 1, IF(ISNUMBER(SEARCH("Gri", D847)), -1, 0)))=1, VERI_TABANI!E24*(1-0.928)*VERI_TABANI!$B$9, 0) + (VERI_TABANI!D24*B847*(VERI_TABANI!$B$13-VERI_TABANI!$B$14)*VERI_TABANI!G24) + (VERI_TABANI!D24*C847*(VERI_TABANI!$B$13-VERI_TABANI!$B$15)*VERI_TABANI!G24) + IF(ABS(IF(ISNUMBER(SEARCH("Var", D847)), 1, IF(ISNUMBER(SEARCH("Gri", D847)), -1, 0)))=1, VERI_TABANI!E24*(1-0.928)*0.00206091519919798*VERI_TABANI!G24, 0)) + ((MIN(VERI_TABANI!D25, VERI_TABANI!D25*B847)*VERI_TABANI!$B$7 + MAX(0, VERI_TABANI!D25*B847-VERI_TABANI!D25)*VERI_TABANI!$B$8) + (MIN(MAX(0, VERI_TABANI!D25-VERI_TABANI!D25*B847), VERI_TABANI!D25*C847)*VERI_TABANI!$B$7 + MAX(0, VERI_TABANI!D25*C847-MAX(0, VERI_TABANI!D25-VERI_TABANI!D25*B847))*VERI_TABANI!$B$8) + IF(ABS(IF(ISNUMBER(SEARCH("Var", D847)), 1, IF(ISNUMBER(SEARCH("Gri", D847)), -1, 0)))=1, VERI_TABANI!E25*(1-0.928)*VERI_TABANI!$B$9, 0) + (VERI_TABANI!D25*B847*(VERI_TABANI!$B$13-VERI_TABANI!$B$14)*VERI_TABANI!G25) + (VERI_TABANI!D25*C847*(VERI_TABANI!$B$13-VERI_TABANI!$B$15)*VERI_TABANI!G25) + IF(ABS(IF(ISNUMBER(SEARCH("Var", D847)), 1, IF(ISNUMBER(SEARCH("Gri", D847)), -1, 0)))=1, VERI_TABANI!E25*(1-0.928)*0.00206091519919798*VERI_TABANI!G25, 0)) + ((MIN(VERI_TABANI!D26, VERI_TABANI!D26*B847)*VERI_TABANI!$B$7 + MAX(0, VERI_TABANI!D26*B847-VERI_TABANI!D26)*VERI_TABANI!$B$8) + (MIN(MAX(0, VERI_TABANI!D26-VERI_TABANI!D26*B847), VERI_TABANI!D26*C847)*VERI_TABANI!$B$7 + MAX(0, VERI_TABANI!D26*C847-MAX(0, VERI_TABANI!D26-VERI_TABANI!D26*B847))*VERI_TABANI!$B$8) + IF(ABS(IF(ISNUMBER(SEARCH("Var", D847)), 1, IF(ISNUMBER(SEARCH("Gri", D847)), -1, 0)))=1, VERI_TABANI!E26*(1-0.928)*VERI_TABANI!$B$9, 0) + (VERI_TABANI!D26*B847*(VERI_TABANI!$B$13-VERI_TABANI!$B$14)*VERI_TABANI!G26) + (VERI_TABANI!D26*C847*(VERI_TABANI!$B$13-VERI_TABANI!$B$15)*VERI_TABANI!G26) + IF(ABS(IF(ISNUMBER(SEARCH("Var", D847)), 1, IF(ISNUMBER(SEARCH("Gri", D847)), -1, 0)))=1, VERI_TABANI!E26*(1-0.928)*0.00206091519919798*VERI_TABANI!G26, 0)) + ((MIN(VERI_TABANI!D27, VERI_TABANI!D27*B847)*VERI_TABANI!$B$7 + MAX(0, VERI_TABANI!D27*B847-VERI_TABANI!D27)*VERI_TABANI!$B$8) + (MIN(MAX(0, VERI_TABANI!D27-VERI_TABANI!D27*B847), VERI_TABANI!D27*C847)*VERI_TABANI!$B$7 + MAX(0, VERI_TABANI!D27*C847-MAX(0, VERI_TABANI!D27-VERI_TABANI!D27*B847))*VERI_TABANI!$B$8) + IF(ABS(IF(ISNUMBER(SEARCH("Var", D847)), 1, IF(ISNUMBER(SEARCH("Gri", D847)), -1, 0)))=1, VERI_TABANI!E27*(1-0.928)*VERI_TABANI!$B$9, 0) + (VERI_TABANI!D27*B847*(VERI_TABANI!$B$13-VERI_TABANI!$B$14)*VERI_TABANI!G27) + (VERI_TABANI!D27*C847*(VERI_TABANI!$B$13-VERI_TABANI!$B$15)*VERI_TABANI!G27) + IF(ABS(IF(ISNUMBER(SEARCH("Var", D847)), 1, IF(ISNUMBER(SEARCH("Gri", D847)), -1, 0)))=1, VERI_TABANI!E27*(1-0.928)*0.00206091519919798*VERI_TABANI!G27, 0)) + ((MIN(VERI_TABANI!D28, VERI_TABANI!D28*B847)*VERI_TABANI!$B$7 + MAX(0, VERI_TABANI!D28*B847-VERI_TABANI!D28)*VERI_TABANI!$B$8) + (MIN(MAX(0, VERI_TABANI!D28-VERI_TABANI!D28*B847), VERI_TABANI!D28*C847)*VERI_TABANI!$B$7 + MAX(0, VERI_TABANI!D28*C847-MAX(0, VERI_TABANI!D28-VERI_TABANI!D28*B847))*VERI_TABANI!$B$8) + IF(ABS(IF(ISNUMBER(SEARCH("Var", D847)), 1, IF(ISNUMBER(SEARCH("Gri", D847)), -1, 0)))=1, VERI_TABANI!E28*(1-0.928)*VERI_TABANI!$B$9, 0) + (VERI_TABANI!D28*B847*(VERI_TABANI!$B$13-VERI_TABANI!$B$14)*VERI_TABANI!G28) + (VERI_TABANI!D28*C847*(VERI_TABANI!$B$13-VERI_TABANI!$B$15)*VERI_TABANI!G28) + IF(ABS(IF(ISNUMBER(SEARCH("Var", D847)), 1, IF(ISNUMBER(SEARCH("Gri", D847)), -1, 0)))=1, VERI_TABANI!E28*(1-0.928)*0.00206091519919798*VERI_TABANI!G28, 0)))</f>
        <v/>
      </c>
      <c r="H847" s="169">
        <f>(((VERI_TABANI!D23*B847*(VERI_TABANI!$B$13-VERI_TABANI!$B$14)) + (VERI_TABANI!D23*C847*(VERI_TABANI!$B$13-VERI_TABANI!$B$15)) + IF(ISNUMBER(SEARCH("Var", D847)), VERI_TABANI!F23*(0.00202-VERI_TABANI!$B$16), IF(ISNUMBER(SEARCH("Gri", D847)), VERI_TABANI!F23*(0.00202-VERI_TABANI!$B$17), 0))) + ((VERI_TABANI!D24*B847*(VERI_TABANI!$B$13-VERI_TABANI!$B$14)) + (VERI_TABANI!D24*C847*(VERI_TABANI!$B$13-VERI_TABANI!$B$15)) + IF(ISNUMBER(SEARCH("Var", D847)), VERI_TABANI!F24*(0.00202-VERI_TABANI!$B$16), IF(ISNUMBER(SEARCH("Gri", D847)), VERI_TABANI!F24*(0.00202-VERI_TABANI!$B$17), 0))) + ((VERI_TABANI!D25*B847*(VERI_TABANI!$B$13-VERI_TABANI!$B$14)) + (VERI_TABANI!D25*C847*(VERI_TABANI!$B$13-VERI_TABANI!$B$15)) + IF(ISNUMBER(SEARCH("Var", D847)), VERI_TABANI!F25*(0.00202-VERI_TABANI!$B$16), IF(ISNUMBER(SEARCH("Gri", D847)), VERI_TABANI!F25*(0.00202-VERI_TABANI!$B$17), 0))) + ((VERI_TABANI!D26*B847*(VERI_TABANI!$B$13-VERI_TABANI!$B$14)) + (VERI_TABANI!D26*C847*(VERI_TABANI!$B$13-VERI_TABANI!$B$15)) + IF(ISNUMBER(SEARCH("Var", D847)), VERI_TABANI!F26*(0.00202-VERI_TABANI!$B$16), IF(ISNUMBER(SEARCH("Gri", D847)), VERI_TABANI!F26*(0.00202-VERI_TABANI!$B$17), 0))) + ((VERI_TABANI!D27*B847*(VERI_TABANI!$B$13-VERI_TABANI!$B$14)) + (VERI_TABANI!D27*C847*(VERI_TABANI!$B$13-VERI_TABANI!$B$15)) + IF(ISNUMBER(SEARCH("Var", D847)), VERI_TABANI!F27*(0.00202-VERI_TABANI!$B$16), IF(ISNUMBER(SEARCH("Gri", D847)), VERI_TABANI!F27*(0.00202-VERI_TABANI!$B$17), 0))) + ((VERI_TABANI!D28*B847*(VERI_TABANI!$B$13-VERI_TABANI!$B$14)) + (VERI_TABANI!D28*C847*(VERI_TABANI!$B$13-VERI_TABANI!$B$15)) + IF(ISNUMBER(SEARCH("Var", D847)), VERI_TABANI!F28*(0.00202-VERI_TABANI!$B$16), IF(ISNUMBER(SEARCH("Gri", D847)), VERI_TABANI!F28*(0.00202-VERI_TABANI!$B$17), 0))))</f>
        <v/>
      </c>
      <c r="I847" s="170">
        <f>IFERROR(((VERI_TABANI!$D$29*B847*VERI_TABANI!$B$14 + VERI_TABANI!$D$29*C847*VERI_TABANI!$B$15 + IF(ISNUMBER(SEARCH("Var", D847)), VERI_TABANI!$F$29*VERI_TABANI!$B$16, 0))) / (((VERI_TABANI!$D$29*B847 + VERI_TABANI!$D$29*C847)*VERI_TABANI!$B$13 + IF(ISNUMBER(SEARCH("Var", D847)), VERI_TABANI!$E$29*(1-0.928)*VERI_TABANI!$B$18, 0))), 0)</f>
        <v/>
      </c>
      <c r="J847" s="171">
        <f>IFERROR(F847/(G847/29), 0)</f>
        <v/>
      </c>
      <c r="K847" s="172">
        <f>IF(F847&gt;0, H847/F847, 0)</f>
        <v/>
      </c>
      <c r="L847" s="170">
        <f>IF(F847&gt;0, I847, 1000000000)</f>
        <v/>
      </c>
      <c r="M847" s="171">
        <f>ABS((B847+C847)-1)</f>
        <v/>
      </c>
      <c r="N847" s="170">
        <f>IF(F847&gt;0, (G847/29)/F847, 0)</f>
        <v/>
      </c>
      <c r="O847" s="168">
        <f>IF(AND((B847+C847)&gt;=1, ISNUMBER(SEARCH("Var", D847))), F847, 1000000000)</f>
        <v/>
      </c>
      <c r="P847" s="172">
        <f>IF(F847&gt;0, SQRT((F847/MAX(F$5:F$886))^2 + (1 - H847/MAX(H$5:H$886))^2 + (J847/MAX(J$5:J$886))^2), 1000000000)</f>
        <v/>
      </c>
      <c r="Q847" s="166">
        <f>IF(AND(ABS(B847-0.5)&lt;0.01, ABS(C847-0.5)&lt;0.01, ISNUMBER(SEARCH("Var", D847))), 1, 0)</f>
        <v/>
      </c>
      <c r="R847" s="171">
        <f>IF(F847&gt;0, J847, 1000000000)</f>
        <v/>
      </c>
      <c r="S847" s="101">
        <f>IF(AND(F847&lt;=DASHBOARD!$B$11, H847&gt;=DASHBOARD!$B$13), G847, -1000000000000)</f>
        <v/>
      </c>
      <c r="T847" s="101">
        <f>IF(AND(F847&lt;=DASHBOARD!$B$11, H847&gt;=DASHBOARD!$B$13), R847, 1000000000000)</f>
        <v/>
      </c>
      <c r="U847" s="101">
        <f>IF(AND(F847&lt;=DASHBOARD!$B$11, H847&gt;=DASHBOARD!$B$13), N847, -1000000000000)</f>
        <v/>
      </c>
      <c r="V847" s="101">
        <f>IF(AND(F847&lt;=DASHBOARD!$B$11, H847&gt;=DASHBOARD!$B$13), H847, -1000000000000)</f>
        <v/>
      </c>
      <c r="W847" s="101">
        <f>IF(AND(F847&lt;=DASHBOARD!$B$11, H847&gt;=DASHBOARD!$B$13), K847, -1000000000000)</f>
        <v/>
      </c>
      <c r="X847" s="101">
        <f>IF(AND(F847&lt;=DASHBOARD!$B$11, H847&gt;=DASHBOARD!$B$13), M847, 1000000000000)</f>
        <v/>
      </c>
      <c r="Y847" s="101">
        <f>IF(AND(F847&lt;=DASHBOARD!$B$10, H847&gt;=DASHBOARD!$B$11), L847, 1000000000000)</f>
        <v/>
      </c>
      <c r="Z847" s="101">
        <f>IF(AND(F847&lt;=DASHBOARD!$B$10, H847&gt;=DASHBOARD!$B$11), O847, 1000000000000)</f>
        <v/>
      </c>
      <c r="AA847" s="101">
        <f>IF(AND(F847&lt;=DASHBOARD!$B$10, H847&gt;=DASHBOARD!$B$11), P847, 1000000000000)</f>
        <v/>
      </c>
      <c r="AB847" s="101">
        <f>IF(AND(F847&lt;=DASHBOARD!$B$10, H847&gt;=DASHBOARD!$B$11), Q847, -1000000000000)</f>
        <v/>
      </c>
    </row>
    <row r="848" ht="15" customHeight="1" s="102">
      <c r="A848" s="166" t="n">
        <v>844</v>
      </c>
      <c r="B848" s="167" t="n">
        <v>2</v>
      </c>
      <c r="C848" s="167" t="n">
        <v>0.1</v>
      </c>
      <c r="D848" s="110" t="inlineStr">
        <is>
          <t>Var (%20)</t>
        </is>
      </c>
      <c r="E848" s="110">
        <f>IF((B848+C848)&lt;=1, "Tam Mahsuplaşma (≤%100)", "Kısmi Satış (&gt;%100)")</f>
        <v/>
      </c>
      <c r="F848" s="168">
        <f>((VERI_TABANI!$D$29*B848/VERI_TABANI!$B$29)/VERI_TABANI!$B$3)*VERI_TABANI!$B$5 + ((VERI_TABANI!$D$29*C848/VERI_TABANI!$B$29)/VERI_TABANI!$B$4)*VERI_TABANI!$B$6 + IF(ISNUMBER(SEARCH("Var", D848)), (VERI_TABANI!$F$29/VERI_TABANI!$B$29)*(VERI_TABANI!$B$10+VERI_TABANI!$B$12), 0)</f>
        <v/>
      </c>
      <c r="G848" s="168">
        <f>(((MIN(VERI_TABANI!D23, VERI_TABANI!D23*B848)*VERI_TABANI!$B$7 + MAX(0, VERI_TABANI!D23*B848-VERI_TABANI!D23)*VERI_TABANI!$B$8) + (MIN(MAX(0, VERI_TABANI!D23-VERI_TABANI!D23*B848), VERI_TABANI!D23*C848)*VERI_TABANI!$B$7 + MAX(0, VERI_TABANI!D23*C848-MAX(0, VERI_TABANI!D23-VERI_TABANI!D23*B848))*VERI_TABANI!$B$8) + IF(ABS(IF(ISNUMBER(SEARCH("Var", D848)), 1, IF(ISNUMBER(SEARCH("Gri", D848)), -1, 0)))=1, VERI_TABANI!E23*(1-0.928)*VERI_TABANI!$B$9, 0) + (VERI_TABANI!D23*B848*(VERI_TABANI!$B$13-VERI_TABANI!$B$14)*VERI_TABANI!G23) + (VERI_TABANI!D23*C848*(VERI_TABANI!$B$13-VERI_TABANI!$B$15)*VERI_TABANI!G23) + IF(ABS(IF(ISNUMBER(SEARCH("Var", D848)), 1, IF(ISNUMBER(SEARCH("Gri", D848)), -1, 0)))=1, VERI_TABANI!E23*(1-0.928)*0.00206091519919798*VERI_TABANI!G23, 0)) + ((MIN(VERI_TABANI!D24, VERI_TABANI!D24*B848)*VERI_TABANI!$B$7 + MAX(0, VERI_TABANI!D24*B848-VERI_TABANI!D24)*VERI_TABANI!$B$8) + (MIN(MAX(0, VERI_TABANI!D24-VERI_TABANI!D24*B848), VERI_TABANI!D24*C848)*VERI_TABANI!$B$7 + MAX(0, VERI_TABANI!D24*C848-MAX(0, VERI_TABANI!D24-VERI_TABANI!D24*B848))*VERI_TABANI!$B$8) + IF(ABS(IF(ISNUMBER(SEARCH("Var", D848)), 1, IF(ISNUMBER(SEARCH("Gri", D848)), -1, 0)))=1, VERI_TABANI!E24*(1-0.928)*VERI_TABANI!$B$9, 0) + (VERI_TABANI!D24*B848*(VERI_TABANI!$B$13-VERI_TABANI!$B$14)*VERI_TABANI!G24) + (VERI_TABANI!D24*C848*(VERI_TABANI!$B$13-VERI_TABANI!$B$15)*VERI_TABANI!G24) + IF(ABS(IF(ISNUMBER(SEARCH("Var", D848)), 1, IF(ISNUMBER(SEARCH("Gri", D848)), -1, 0)))=1, VERI_TABANI!E24*(1-0.928)*0.00206091519919798*VERI_TABANI!G24, 0)) + ((MIN(VERI_TABANI!D25, VERI_TABANI!D25*B848)*VERI_TABANI!$B$7 + MAX(0, VERI_TABANI!D25*B848-VERI_TABANI!D25)*VERI_TABANI!$B$8) + (MIN(MAX(0, VERI_TABANI!D25-VERI_TABANI!D25*B848), VERI_TABANI!D25*C848)*VERI_TABANI!$B$7 + MAX(0, VERI_TABANI!D25*C848-MAX(0, VERI_TABANI!D25-VERI_TABANI!D25*B848))*VERI_TABANI!$B$8) + IF(ABS(IF(ISNUMBER(SEARCH("Var", D848)), 1, IF(ISNUMBER(SEARCH("Gri", D848)), -1, 0)))=1, VERI_TABANI!E25*(1-0.928)*VERI_TABANI!$B$9, 0) + (VERI_TABANI!D25*B848*(VERI_TABANI!$B$13-VERI_TABANI!$B$14)*VERI_TABANI!G25) + (VERI_TABANI!D25*C848*(VERI_TABANI!$B$13-VERI_TABANI!$B$15)*VERI_TABANI!G25) + IF(ABS(IF(ISNUMBER(SEARCH("Var", D848)), 1, IF(ISNUMBER(SEARCH("Gri", D848)), -1, 0)))=1, VERI_TABANI!E25*(1-0.928)*0.00206091519919798*VERI_TABANI!G25, 0)) + ((MIN(VERI_TABANI!D26, VERI_TABANI!D26*B848)*VERI_TABANI!$B$7 + MAX(0, VERI_TABANI!D26*B848-VERI_TABANI!D26)*VERI_TABANI!$B$8) + (MIN(MAX(0, VERI_TABANI!D26-VERI_TABANI!D26*B848), VERI_TABANI!D26*C848)*VERI_TABANI!$B$7 + MAX(0, VERI_TABANI!D26*C848-MAX(0, VERI_TABANI!D26-VERI_TABANI!D26*B848))*VERI_TABANI!$B$8) + IF(ABS(IF(ISNUMBER(SEARCH("Var", D848)), 1, IF(ISNUMBER(SEARCH("Gri", D848)), -1, 0)))=1, VERI_TABANI!E26*(1-0.928)*VERI_TABANI!$B$9, 0) + (VERI_TABANI!D26*B848*(VERI_TABANI!$B$13-VERI_TABANI!$B$14)*VERI_TABANI!G26) + (VERI_TABANI!D26*C848*(VERI_TABANI!$B$13-VERI_TABANI!$B$15)*VERI_TABANI!G26) + IF(ABS(IF(ISNUMBER(SEARCH("Var", D848)), 1, IF(ISNUMBER(SEARCH("Gri", D848)), -1, 0)))=1, VERI_TABANI!E26*(1-0.928)*0.00206091519919798*VERI_TABANI!G26, 0)) + ((MIN(VERI_TABANI!D27, VERI_TABANI!D27*B848)*VERI_TABANI!$B$7 + MAX(0, VERI_TABANI!D27*B848-VERI_TABANI!D27)*VERI_TABANI!$B$8) + (MIN(MAX(0, VERI_TABANI!D27-VERI_TABANI!D27*B848), VERI_TABANI!D27*C848)*VERI_TABANI!$B$7 + MAX(0, VERI_TABANI!D27*C848-MAX(0, VERI_TABANI!D27-VERI_TABANI!D27*B848))*VERI_TABANI!$B$8) + IF(ABS(IF(ISNUMBER(SEARCH("Var", D848)), 1, IF(ISNUMBER(SEARCH("Gri", D848)), -1, 0)))=1, VERI_TABANI!E27*(1-0.928)*VERI_TABANI!$B$9, 0) + (VERI_TABANI!D27*B848*(VERI_TABANI!$B$13-VERI_TABANI!$B$14)*VERI_TABANI!G27) + (VERI_TABANI!D27*C848*(VERI_TABANI!$B$13-VERI_TABANI!$B$15)*VERI_TABANI!G27) + IF(ABS(IF(ISNUMBER(SEARCH("Var", D848)), 1, IF(ISNUMBER(SEARCH("Gri", D848)), -1, 0)))=1, VERI_TABANI!E27*(1-0.928)*0.00206091519919798*VERI_TABANI!G27, 0)) + ((MIN(VERI_TABANI!D28, VERI_TABANI!D28*B848)*VERI_TABANI!$B$7 + MAX(0, VERI_TABANI!D28*B848-VERI_TABANI!D28)*VERI_TABANI!$B$8) + (MIN(MAX(0, VERI_TABANI!D28-VERI_TABANI!D28*B848), VERI_TABANI!D28*C848)*VERI_TABANI!$B$7 + MAX(0, VERI_TABANI!D28*C848-MAX(0, VERI_TABANI!D28-VERI_TABANI!D28*B848))*VERI_TABANI!$B$8) + IF(ABS(IF(ISNUMBER(SEARCH("Var", D848)), 1, IF(ISNUMBER(SEARCH("Gri", D848)), -1, 0)))=1, VERI_TABANI!E28*(1-0.928)*VERI_TABANI!$B$9, 0) + (VERI_TABANI!D28*B848*(VERI_TABANI!$B$13-VERI_TABANI!$B$14)*VERI_TABANI!G28) + (VERI_TABANI!D28*C848*(VERI_TABANI!$B$13-VERI_TABANI!$B$15)*VERI_TABANI!G28) + IF(ABS(IF(ISNUMBER(SEARCH("Var", D848)), 1, IF(ISNUMBER(SEARCH("Gri", D848)), -1, 0)))=1, VERI_TABANI!E28*(1-0.928)*0.00206091519919798*VERI_TABANI!G28, 0)))</f>
        <v/>
      </c>
      <c r="H848" s="169">
        <f>(((VERI_TABANI!D23*B848*(VERI_TABANI!$B$13-VERI_TABANI!$B$14)) + (VERI_TABANI!D23*C848*(VERI_TABANI!$B$13-VERI_TABANI!$B$15)) + IF(ISNUMBER(SEARCH("Var", D848)), VERI_TABANI!F23*(0.00202-VERI_TABANI!$B$16), IF(ISNUMBER(SEARCH("Gri", D848)), VERI_TABANI!F23*(0.00202-VERI_TABANI!$B$17), 0))) + ((VERI_TABANI!D24*B848*(VERI_TABANI!$B$13-VERI_TABANI!$B$14)) + (VERI_TABANI!D24*C848*(VERI_TABANI!$B$13-VERI_TABANI!$B$15)) + IF(ISNUMBER(SEARCH("Var", D848)), VERI_TABANI!F24*(0.00202-VERI_TABANI!$B$16), IF(ISNUMBER(SEARCH("Gri", D848)), VERI_TABANI!F24*(0.00202-VERI_TABANI!$B$17), 0))) + ((VERI_TABANI!D25*B848*(VERI_TABANI!$B$13-VERI_TABANI!$B$14)) + (VERI_TABANI!D25*C848*(VERI_TABANI!$B$13-VERI_TABANI!$B$15)) + IF(ISNUMBER(SEARCH("Var", D848)), VERI_TABANI!F25*(0.00202-VERI_TABANI!$B$16), IF(ISNUMBER(SEARCH("Gri", D848)), VERI_TABANI!F25*(0.00202-VERI_TABANI!$B$17), 0))) + ((VERI_TABANI!D26*B848*(VERI_TABANI!$B$13-VERI_TABANI!$B$14)) + (VERI_TABANI!D26*C848*(VERI_TABANI!$B$13-VERI_TABANI!$B$15)) + IF(ISNUMBER(SEARCH("Var", D848)), VERI_TABANI!F26*(0.00202-VERI_TABANI!$B$16), IF(ISNUMBER(SEARCH("Gri", D848)), VERI_TABANI!F26*(0.00202-VERI_TABANI!$B$17), 0))) + ((VERI_TABANI!D27*B848*(VERI_TABANI!$B$13-VERI_TABANI!$B$14)) + (VERI_TABANI!D27*C848*(VERI_TABANI!$B$13-VERI_TABANI!$B$15)) + IF(ISNUMBER(SEARCH("Var", D848)), VERI_TABANI!F27*(0.00202-VERI_TABANI!$B$16), IF(ISNUMBER(SEARCH("Gri", D848)), VERI_TABANI!F27*(0.00202-VERI_TABANI!$B$17), 0))) + ((VERI_TABANI!D28*B848*(VERI_TABANI!$B$13-VERI_TABANI!$B$14)) + (VERI_TABANI!D28*C848*(VERI_TABANI!$B$13-VERI_TABANI!$B$15)) + IF(ISNUMBER(SEARCH("Var", D848)), VERI_TABANI!F28*(0.00202-VERI_TABANI!$B$16), IF(ISNUMBER(SEARCH("Gri", D848)), VERI_TABANI!F28*(0.00202-VERI_TABANI!$B$17), 0))))</f>
        <v/>
      </c>
      <c r="I848" s="170">
        <f>IFERROR(((VERI_TABANI!$D$29*B848*VERI_TABANI!$B$14 + VERI_TABANI!$D$29*C848*VERI_TABANI!$B$15 + IF(ISNUMBER(SEARCH("Var", D848)), VERI_TABANI!$F$29*VERI_TABANI!$B$16, 0))) / (((VERI_TABANI!$D$29*B848 + VERI_TABANI!$D$29*C848)*VERI_TABANI!$B$13 + IF(ISNUMBER(SEARCH("Var", D848)), VERI_TABANI!$E$29*(1-0.928)*VERI_TABANI!$B$18, 0))), 0)</f>
        <v/>
      </c>
      <c r="J848" s="171">
        <f>IFERROR(F848/(G848/29), 0)</f>
        <v/>
      </c>
      <c r="K848" s="172">
        <f>IF(F848&gt;0, H848/F848, 0)</f>
        <v/>
      </c>
      <c r="L848" s="170">
        <f>IF(F848&gt;0, I848, 1000000000)</f>
        <v/>
      </c>
      <c r="M848" s="171">
        <f>ABS((B848+C848)-1)</f>
        <v/>
      </c>
      <c r="N848" s="170">
        <f>IF(F848&gt;0, (G848/29)/F848, 0)</f>
        <v/>
      </c>
      <c r="O848" s="168">
        <f>IF(AND((B848+C848)&gt;=1, ISNUMBER(SEARCH("Var", D848))), F848, 1000000000)</f>
        <v/>
      </c>
      <c r="P848" s="172">
        <f>IF(F848&gt;0, SQRT((F848/MAX(F$5:F$886))^2 + (1 - H848/MAX(H$5:H$886))^2 + (J848/MAX(J$5:J$886))^2), 1000000000)</f>
        <v/>
      </c>
      <c r="Q848" s="166">
        <f>IF(AND(ABS(B848-0.5)&lt;0.01, ABS(C848-0.5)&lt;0.01, ISNUMBER(SEARCH("Var", D848))), 1, 0)</f>
        <v/>
      </c>
      <c r="R848" s="171">
        <f>IF(F848&gt;0, J848, 1000000000)</f>
        <v/>
      </c>
      <c r="S848" s="101">
        <f>IF(AND(F848&lt;=DASHBOARD!$B$11, H848&gt;=DASHBOARD!$B$13), G848, -1000000000000)</f>
        <v/>
      </c>
      <c r="T848" s="101">
        <f>IF(AND(F848&lt;=DASHBOARD!$B$11, H848&gt;=DASHBOARD!$B$13), R848, 1000000000000)</f>
        <v/>
      </c>
      <c r="U848" s="101">
        <f>IF(AND(F848&lt;=DASHBOARD!$B$11, H848&gt;=DASHBOARD!$B$13), N848, -1000000000000)</f>
        <v/>
      </c>
      <c r="V848" s="101">
        <f>IF(AND(F848&lt;=DASHBOARD!$B$11, H848&gt;=DASHBOARD!$B$13), H848, -1000000000000)</f>
        <v/>
      </c>
      <c r="W848" s="101">
        <f>IF(AND(F848&lt;=DASHBOARD!$B$11, H848&gt;=DASHBOARD!$B$13), K848, -1000000000000)</f>
        <v/>
      </c>
      <c r="X848" s="101">
        <f>IF(AND(F848&lt;=DASHBOARD!$B$11, H848&gt;=DASHBOARD!$B$13), M848, 1000000000000)</f>
        <v/>
      </c>
      <c r="Y848" s="101">
        <f>IF(AND(F848&lt;=DASHBOARD!$B$10, H848&gt;=DASHBOARD!$B$11), L848, 1000000000000)</f>
        <v/>
      </c>
      <c r="Z848" s="101">
        <f>IF(AND(F848&lt;=DASHBOARD!$B$10, H848&gt;=DASHBOARD!$B$11), O848, 1000000000000)</f>
        <v/>
      </c>
      <c r="AA848" s="101">
        <f>IF(AND(F848&lt;=DASHBOARD!$B$10, H848&gt;=DASHBOARD!$B$11), P848, 1000000000000)</f>
        <v/>
      </c>
      <c r="AB848" s="101">
        <f>IF(AND(F848&lt;=DASHBOARD!$B$10, H848&gt;=DASHBOARD!$B$11), Q848, -1000000000000)</f>
        <v/>
      </c>
    </row>
    <row r="849" ht="15" customHeight="1" s="102">
      <c r="A849" s="166" t="n">
        <v>845</v>
      </c>
      <c r="B849" s="167" t="n">
        <v>2</v>
      </c>
      <c r="C849" s="167" t="n">
        <v>0.2</v>
      </c>
      <c r="D849" s="110" t="inlineStr">
        <is>
          <t>Yok (%0)</t>
        </is>
      </c>
      <c r="E849" s="110">
        <f>IF((B849+C849)&lt;=1, "Tam Mahsuplaşma (≤%100)", "Kısmi Satış (&gt;%100)")</f>
        <v/>
      </c>
      <c r="F849" s="168">
        <f>((VERI_TABANI!$D$29*B849/VERI_TABANI!$B$29)/VERI_TABANI!$B$3)*VERI_TABANI!$B$5 + ((VERI_TABANI!$D$29*C849/VERI_TABANI!$B$29)/VERI_TABANI!$B$4)*VERI_TABANI!$B$6 + IF(ISNUMBER(SEARCH("Var", D849)), (VERI_TABANI!$F$29/VERI_TABANI!$B$29)*(VERI_TABANI!$B$10+VERI_TABANI!$B$12), 0)</f>
        <v/>
      </c>
      <c r="G849" s="168">
        <f>(((MIN(VERI_TABANI!D23, VERI_TABANI!D23*B849)*VERI_TABANI!$B$7 + MAX(0, VERI_TABANI!D23*B849-VERI_TABANI!D23)*VERI_TABANI!$B$8) + (MIN(MAX(0, VERI_TABANI!D23-VERI_TABANI!D23*B849), VERI_TABANI!D23*C849)*VERI_TABANI!$B$7 + MAX(0, VERI_TABANI!D23*C849-MAX(0, VERI_TABANI!D23-VERI_TABANI!D23*B849))*VERI_TABANI!$B$8) + IF(ABS(IF(ISNUMBER(SEARCH("Var", D849)), 1, IF(ISNUMBER(SEARCH("Gri", D849)), -1, 0)))=1, VERI_TABANI!E23*(1-0.928)*VERI_TABANI!$B$9, 0) + (VERI_TABANI!D23*B849*(VERI_TABANI!$B$13-VERI_TABANI!$B$14)*VERI_TABANI!G23) + (VERI_TABANI!D23*C849*(VERI_TABANI!$B$13-VERI_TABANI!$B$15)*VERI_TABANI!G23) + IF(ABS(IF(ISNUMBER(SEARCH("Var", D849)), 1, IF(ISNUMBER(SEARCH("Gri", D849)), -1, 0)))=1, VERI_TABANI!E23*(1-0.928)*0.00206091519919798*VERI_TABANI!G23, 0)) + ((MIN(VERI_TABANI!D24, VERI_TABANI!D24*B849)*VERI_TABANI!$B$7 + MAX(0, VERI_TABANI!D24*B849-VERI_TABANI!D24)*VERI_TABANI!$B$8) + (MIN(MAX(0, VERI_TABANI!D24-VERI_TABANI!D24*B849), VERI_TABANI!D24*C849)*VERI_TABANI!$B$7 + MAX(0, VERI_TABANI!D24*C849-MAX(0, VERI_TABANI!D24-VERI_TABANI!D24*B849))*VERI_TABANI!$B$8) + IF(ABS(IF(ISNUMBER(SEARCH("Var", D849)), 1, IF(ISNUMBER(SEARCH("Gri", D849)), -1, 0)))=1, VERI_TABANI!E24*(1-0.928)*VERI_TABANI!$B$9, 0) + (VERI_TABANI!D24*B849*(VERI_TABANI!$B$13-VERI_TABANI!$B$14)*VERI_TABANI!G24) + (VERI_TABANI!D24*C849*(VERI_TABANI!$B$13-VERI_TABANI!$B$15)*VERI_TABANI!G24) + IF(ABS(IF(ISNUMBER(SEARCH("Var", D849)), 1, IF(ISNUMBER(SEARCH("Gri", D849)), -1, 0)))=1, VERI_TABANI!E24*(1-0.928)*0.00206091519919798*VERI_TABANI!G24, 0)) + ((MIN(VERI_TABANI!D25, VERI_TABANI!D25*B849)*VERI_TABANI!$B$7 + MAX(0, VERI_TABANI!D25*B849-VERI_TABANI!D25)*VERI_TABANI!$B$8) + (MIN(MAX(0, VERI_TABANI!D25-VERI_TABANI!D25*B849), VERI_TABANI!D25*C849)*VERI_TABANI!$B$7 + MAX(0, VERI_TABANI!D25*C849-MAX(0, VERI_TABANI!D25-VERI_TABANI!D25*B849))*VERI_TABANI!$B$8) + IF(ABS(IF(ISNUMBER(SEARCH("Var", D849)), 1, IF(ISNUMBER(SEARCH("Gri", D849)), -1, 0)))=1, VERI_TABANI!E25*(1-0.928)*VERI_TABANI!$B$9, 0) + (VERI_TABANI!D25*B849*(VERI_TABANI!$B$13-VERI_TABANI!$B$14)*VERI_TABANI!G25) + (VERI_TABANI!D25*C849*(VERI_TABANI!$B$13-VERI_TABANI!$B$15)*VERI_TABANI!G25) + IF(ABS(IF(ISNUMBER(SEARCH("Var", D849)), 1, IF(ISNUMBER(SEARCH("Gri", D849)), -1, 0)))=1, VERI_TABANI!E25*(1-0.928)*0.00206091519919798*VERI_TABANI!G25, 0)) + ((MIN(VERI_TABANI!D26, VERI_TABANI!D26*B849)*VERI_TABANI!$B$7 + MAX(0, VERI_TABANI!D26*B849-VERI_TABANI!D26)*VERI_TABANI!$B$8) + (MIN(MAX(0, VERI_TABANI!D26-VERI_TABANI!D26*B849), VERI_TABANI!D26*C849)*VERI_TABANI!$B$7 + MAX(0, VERI_TABANI!D26*C849-MAX(0, VERI_TABANI!D26-VERI_TABANI!D26*B849))*VERI_TABANI!$B$8) + IF(ABS(IF(ISNUMBER(SEARCH("Var", D849)), 1, IF(ISNUMBER(SEARCH("Gri", D849)), -1, 0)))=1, VERI_TABANI!E26*(1-0.928)*VERI_TABANI!$B$9, 0) + (VERI_TABANI!D26*B849*(VERI_TABANI!$B$13-VERI_TABANI!$B$14)*VERI_TABANI!G26) + (VERI_TABANI!D26*C849*(VERI_TABANI!$B$13-VERI_TABANI!$B$15)*VERI_TABANI!G26) + IF(ABS(IF(ISNUMBER(SEARCH("Var", D849)), 1, IF(ISNUMBER(SEARCH("Gri", D849)), -1, 0)))=1, VERI_TABANI!E26*(1-0.928)*0.00206091519919798*VERI_TABANI!G26, 0)) + ((MIN(VERI_TABANI!D27, VERI_TABANI!D27*B849)*VERI_TABANI!$B$7 + MAX(0, VERI_TABANI!D27*B849-VERI_TABANI!D27)*VERI_TABANI!$B$8) + (MIN(MAX(0, VERI_TABANI!D27-VERI_TABANI!D27*B849), VERI_TABANI!D27*C849)*VERI_TABANI!$B$7 + MAX(0, VERI_TABANI!D27*C849-MAX(0, VERI_TABANI!D27-VERI_TABANI!D27*B849))*VERI_TABANI!$B$8) + IF(ABS(IF(ISNUMBER(SEARCH("Var", D849)), 1, IF(ISNUMBER(SEARCH("Gri", D849)), -1, 0)))=1, VERI_TABANI!E27*(1-0.928)*VERI_TABANI!$B$9, 0) + (VERI_TABANI!D27*B849*(VERI_TABANI!$B$13-VERI_TABANI!$B$14)*VERI_TABANI!G27) + (VERI_TABANI!D27*C849*(VERI_TABANI!$B$13-VERI_TABANI!$B$15)*VERI_TABANI!G27) + IF(ABS(IF(ISNUMBER(SEARCH("Var", D849)), 1, IF(ISNUMBER(SEARCH("Gri", D849)), -1, 0)))=1, VERI_TABANI!E27*(1-0.928)*0.00206091519919798*VERI_TABANI!G27, 0)) + ((MIN(VERI_TABANI!D28, VERI_TABANI!D28*B849)*VERI_TABANI!$B$7 + MAX(0, VERI_TABANI!D28*B849-VERI_TABANI!D28)*VERI_TABANI!$B$8) + (MIN(MAX(0, VERI_TABANI!D28-VERI_TABANI!D28*B849), VERI_TABANI!D28*C849)*VERI_TABANI!$B$7 + MAX(0, VERI_TABANI!D28*C849-MAX(0, VERI_TABANI!D28-VERI_TABANI!D28*B849))*VERI_TABANI!$B$8) + IF(ABS(IF(ISNUMBER(SEARCH("Var", D849)), 1, IF(ISNUMBER(SEARCH("Gri", D849)), -1, 0)))=1, VERI_TABANI!E28*(1-0.928)*VERI_TABANI!$B$9, 0) + (VERI_TABANI!D28*B849*(VERI_TABANI!$B$13-VERI_TABANI!$B$14)*VERI_TABANI!G28) + (VERI_TABANI!D28*C849*(VERI_TABANI!$B$13-VERI_TABANI!$B$15)*VERI_TABANI!G28) + IF(ABS(IF(ISNUMBER(SEARCH("Var", D849)), 1, IF(ISNUMBER(SEARCH("Gri", D849)), -1, 0)))=1, VERI_TABANI!E28*(1-0.928)*0.00206091519919798*VERI_TABANI!G28, 0)))</f>
        <v/>
      </c>
      <c r="H849" s="169">
        <f>(((VERI_TABANI!D23*B849*(VERI_TABANI!$B$13-VERI_TABANI!$B$14)) + (VERI_TABANI!D23*C849*(VERI_TABANI!$B$13-VERI_TABANI!$B$15)) + IF(ISNUMBER(SEARCH("Var", D849)), VERI_TABANI!F23*(0.00202-VERI_TABANI!$B$16), IF(ISNUMBER(SEARCH("Gri", D849)), VERI_TABANI!F23*(0.00202-VERI_TABANI!$B$17), 0))) + ((VERI_TABANI!D24*B849*(VERI_TABANI!$B$13-VERI_TABANI!$B$14)) + (VERI_TABANI!D24*C849*(VERI_TABANI!$B$13-VERI_TABANI!$B$15)) + IF(ISNUMBER(SEARCH("Var", D849)), VERI_TABANI!F24*(0.00202-VERI_TABANI!$B$16), IF(ISNUMBER(SEARCH("Gri", D849)), VERI_TABANI!F24*(0.00202-VERI_TABANI!$B$17), 0))) + ((VERI_TABANI!D25*B849*(VERI_TABANI!$B$13-VERI_TABANI!$B$14)) + (VERI_TABANI!D25*C849*(VERI_TABANI!$B$13-VERI_TABANI!$B$15)) + IF(ISNUMBER(SEARCH("Var", D849)), VERI_TABANI!F25*(0.00202-VERI_TABANI!$B$16), IF(ISNUMBER(SEARCH("Gri", D849)), VERI_TABANI!F25*(0.00202-VERI_TABANI!$B$17), 0))) + ((VERI_TABANI!D26*B849*(VERI_TABANI!$B$13-VERI_TABANI!$B$14)) + (VERI_TABANI!D26*C849*(VERI_TABANI!$B$13-VERI_TABANI!$B$15)) + IF(ISNUMBER(SEARCH("Var", D849)), VERI_TABANI!F26*(0.00202-VERI_TABANI!$B$16), IF(ISNUMBER(SEARCH("Gri", D849)), VERI_TABANI!F26*(0.00202-VERI_TABANI!$B$17), 0))) + ((VERI_TABANI!D27*B849*(VERI_TABANI!$B$13-VERI_TABANI!$B$14)) + (VERI_TABANI!D27*C849*(VERI_TABANI!$B$13-VERI_TABANI!$B$15)) + IF(ISNUMBER(SEARCH("Var", D849)), VERI_TABANI!F27*(0.00202-VERI_TABANI!$B$16), IF(ISNUMBER(SEARCH("Gri", D849)), VERI_TABANI!F27*(0.00202-VERI_TABANI!$B$17), 0))) + ((VERI_TABANI!D28*B849*(VERI_TABANI!$B$13-VERI_TABANI!$B$14)) + (VERI_TABANI!D28*C849*(VERI_TABANI!$B$13-VERI_TABANI!$B$15)) + IF(ISNUMBER(SEARCH("Var", D849)), VERI_TABANI!F28*(0.00202-VERI_TABANI!$B$16), IF(ISNUMBER(SEARCH("Gri", D849)), VERI_TABANI!F28*(0.00202-VERI_TABANI!$B$17), 0))))</f>
        <v/>
      </c>
      <c r="I849" s="170">
        <f>IFERROR(((VERI_TABANI!$D$29*B849*VERI_TABANI!$B$14 + VERI_TABANI!$D$29*C849*VERI_TABANI!$B$15 + IF(ISNUMBER(SEARCH("Var", D849)), VERI_TABANI!$F$29*VERI_TABANI!$B$16, 0))) / (((VERI_TABANI!$D$29*B849 + VERI_TABANI!$D$29*C849)*VERI_TABANI!$B$13 + IF(ISNUMBER(SEARCH("Var", D849)), VERI_TABANI!$E$29*(1-0.928)*VERI_TABANI!$B$18, 0))), 0)</f>
        <v/>
      </c>
      <c r="J849" s="171">
        <f>IFERROR(F849/(G849/29), 0)</f>
        <v/>
      </c>
      <c r="K849" s="172">
        <f>IF(F849&gt;0, H849/F849, 0)</f>
        <v/>
      </c>
      <c r="L849" s="170">
        <f>IF(F849&gt;0, I849, 1000000000)</f>
        <v/>
      </c>
      <c r="M849" s="171">
        <f>ABS((B849+C849)-1)</f>
        <v/>
      </c>
      <c r="N849" s="170">
        <f>IF(F849&gt;0, (G849/29)/F849, 0)</f>
        <v/>
      </c>
      <c r="O849" s="168">
        <f>IF(AND((B849+C849)&gt;=1, ISNUMBER(SEARCH("Var", D849))), F849, 1000000000)</f>
        <v/>
      </c>
      <c r="P849" s="172">
        <f>IF(F849&gt;0, SQRT((F849/MAX(F$5:F$886))^2 + (1 - H849/MAX(H$5:H$886))^2 + (J849/MAX(J$5:J$886))^2), 1000000000)</f>
        <v/>
      </c>
      <c r="Q849" s="166">
        <f>IF(AND(ABS(B849-0.5)&lt;0.01, ABS(C849-0.5)&lt;0.01, ISNUMBER(SEARCH("Var", D849))), 1, 0)</f>
        <v/>
      </c>
      <c r="R849" s="171">
        <f>IF(F849&gt;0, J849, 1000000000)</f>
        <v/>
      </c>
      <c r="S849" s="101">
        <f>IF(AND(F849&lt;=DASHBOARD!$B$11, H849&gt;=DASHBOARD!$B$13), G849, -1000000000000)</f>
        <v/>
      </c>
      <c r="T849" s="101">
        <f>IF(AND(F849&lt;=DASHBOARD!$B$11, H849&gt;=DASHBOARD!$B$13), R849, 1000000000000)</f>
        <v/>
      </c>
      <c r="U849" s="101">
        <f>IF(AND(F849&lt;=DASHBOARD!$B$11, H849&gt;=DASHBOARD!$B$13), N849, -1000000000000)</f>
        <v/>
      </c>
      <c r="V849" s="101">
        <f>IF(AND(F849&lt;=DASHBOARD!$B$11, H849&gt;=DASHBOARD!$B$13), H849, -1000000000000)</f>
        <v/>
      </c>
      <c r="W849" s="101">
        <f>IF(AND(F849&lt;=DASHBOARD!$B$11, H849&gt;=DASHBOARD!$B$13), K849, -1000000000000)</f>
        <v/>
      </c>
      <c r="X849" s="101">
        <f>IF(AND(F849&lt;=DASHBOARD!$B$11, H849&gt;=DASHBOARD!$B$13), M849, 1000000000000)</f>
        <v/>
      </c>
      <c r="Y849" s="101">
        <f>IF(AND(F849&lt;=DASHBOARD!$B$10, H849&gt;=DASHBOARD!$B$11), L849, 1000000000000)</f>
        <v/>
      </c>
      <c r="Z849" s="101">
        <f>IF(AND(F849&lt;=DASHBOARD!$B$10, H849&gt;=DASHBOARD!$B$11), O849, 1000000000000)</f>
        <v/>
      </c>
      <c r="AA849" s="101">
        <f>IF(AND(F849&lt;=DASHBOARD!$B$10, H849&gt;=DASHBOARD!$B$11), P849, 1000000000000)</f>
        <v/>
      </c>
      <c r="AB849" s="101">
        <f>IF(AND(F849&lt;=DASHBOARD!$B$10, H849&gt;=DASHBOARD!$B$11), Q849, -1000000000000)</f>
        <v/>
      </c>
    </row>
    <row r="850" ht="15" customHeight="1" s="102">
      <c r="A850" s="166" t="n">
        <v>846</v>
      </c>
      <c r="B850" s="167" t="n">
        <v>2</v>
      </c>
      <c r="C850" s="167" t="n">
        <v>0.2</v>
      </c>
      <c r="D850" s="110" t="inlineStr">
        <is>
          <t>Var (%20)</t>
        </is>
      </c>
      <c r="E850" s="110">
        <f>IF((B850+C850)&lt;=1, "Tam Mahsuplaşma (≤%100)", "Kısmi Satış (&gt;%100)")</f>
        <v/>
      </c>
      <c r="F850" s="168">
        <f>((VERI_TABANI!$D$29*B850/VERI_TABANI!$B$29)/VERI_TABANI!$B$3)*VERI_TABANI!$B$5 + ((VERI_TABANI!$D$29*C850/VERI_TABANI!$B$29)/VERI_TABANI!$B$4)*VERI_TABANI!$B$6 + IF(ISNUMBER(SEARCH("Var", D850)), (VERI_TABANI!$F$29/VERI_TABANI!$B$29)*(VERI_TABANI!$B$10+VERI_TABANI!$B$12), 0)</f>
        <v/>
      </c>
      <c r="G850" s="168">
        <f>(((MIN(VERI_TABANI!D23, VERI_TABANI!D23*B850)*VERI_TABANI!$B$7 + MAX(0, VERI_TABANI!D23*B850-VERI_TABANI!D23)*VERI_TABANI!$B$8) + (MIN(MAX(0, VERI_TABANI!D23-VERI_TABANI!D23*B850), VERI_TABANI!D23*C850)*VERI_TABANI!$B$7 + MAX(0, VERI_TABANI!D23*C850-MAX(0, VERI_TABANI!D23-VERI_TABANI!D23*B850))*VERI_TABANI!$B$8) + IF(ABS(IF(ISNUMBER(SEARCH("Var", D850)), 1, IF(ISNUMBER(SEARCH("Gri", D850)), -1, 0)))=1, VERI_TABANI!E23*(1-0.928)*VERI_TABANI!$B$9, 0) + (VERI_TABANI!D23*B850*(VERI_TABANI!$B$13-VERI_TABANI!$B$14)*VERI_TABANI!G23) + (VERI_TABANI!D23*C850*(VERI_TABANI!$B$13-VERI_TABANI!$B$15)*VERI_TABANI!G23) + IF(ABS(IF(ISNUMBER(SEARCH("Var", D850)), 1, IF(ISNUMBER(SEARCH("Gri", D850)), -1, 0)))=1, VERI_TABANI!E23*(1-0.928)*0.00206091519919798*VERI_TABANI!G23, 0)) + ((MIN(VERI_TABANI!D24, VERI_TABANI!D24*B850)*VERI_TABANI!$B$7 + MAX(0, VERI_TABANI!D24*B850-VERI_TABANI!D24)*VERI_TABANI!$B$8) + (MIN(MAX(0, VERI_TABANI!D24-VERI_TABANI!D24*B850), VERI_TABANI!D24*C850)*VERI_TABANI!$B$7 + MAX(0, VERI_TABANI!D24*C850-MAX(0, VERI_TABANI!D24-VERI_TABANI!D24*B850))*VERI_TABANI!$B$8) + IF(ABS(IF(ISNUMBER(SEARCH("Var", D850)), 1, IF(ISNUMBER(SEARCH("Gri", D850)), -1, 0)))=1, VERI_TABANI!E24*(1-0.928)*VERI_TABANI!$B$9, 0) + (VERI_TABANI!D24*B850*(VERI_TABANI!$B$13-VERI_TABANI!$B$14)*VERI_TABANI!G24) + (VERI_TABANI!D24*C850*(VERI_TABANI!$B$13-VERI_TABANI!$B$15)*VERI_TABANI!G24) + IF(ABS(IF(ISNUMBER(SEARCH("Var", D850)), 1, IF(ISNUMBER(SEARCH("Gri", D850)), -1, 0)))=1, VERI_TABANI!E24*(1-0.928)*0.00206091519919798*VERI_TABANI!G24, 0)) + ((MIN(VERI_TABANI!D25, VERI_TABANI!D25*B850)*VERI_TABANI!$B$7 + MAX(0, VERI_TABANI!D25*B850-VERI_TABANI!D25)*VERI_TABANI!$B$8) + (MIN(MAX(0, VERI_TABANI!D25-VERI_TABANI!D25*B850), VERI_TABANI!D25*C850)*VERI_TABANI!$B$7 + MAX(0, VERI_TABANI!D25*C850-MAX(0, VERI_TABANI!D25-VERI_TABANI!D25*B850))*VERI_TABANI!$B$8) + IF(ABS(IF(ISNUMBER(SEARCH("Var", D850)), 1, IF(ISNUMBER(SEARCH("Gri", D850)), -1, 0)))=1, VERI_TABANI!E25*(1-0.928)*VERI_TABANI!$B$9, 0) + (VERI_TABANI!D25*B850*(VERI_TABANI!$B$13-VERI_TABANI!$B$14)*VERI_TABANI!G25) + (VERI_TABANI!D25*C850*(VERI_TABANI!$B$13-VERI_TABANI!$B$15)*VERI_TABANI!G25) + IF(ABS(IF(ISNUMBER(SEARCH("Var", D850)), 1, IF(ISNUMBER(SEARCH("Gri", D850)), -1, 0)))=1, VERI_TABANI!E25*(1-0.928)*0.00206091519919798*VERI_TABANI!G25, 0)) + ((MIN(VERI_TABANI!D26, VERI_TABANI!D26*B850)*VERI_TABANI!$B$7 + MAX(0, VERI_TABANI!D26*B850-VERI_TABANI!D26)*VERI_TABANI!$B$8) + (MIN(MAX(0, VERI_TABANI!D26-VERI_TABANI!D26*B850), VERI_TABANI!D26*C850)*VERI_TABANI!$B$7 + MAX(0, VERI_TABANI!D26*C850-MAX(0, VERI_TABANI!D26-VERI_TABANI!D26*B850))*VERI_TABANI!$B$8) + IF(ABS(IF(ISNUMBER(SEARCH("Var", D850)), 1, IF(ISNUMBER(SEARCH("Gri", D850)), -1, 0)))=1, VERI_TABANI!E26*(1-0.928)*VERI_TABANI!$B$9, 0) + (VERI_TABANI!D26*B850*(VERI_TABANI!$B$13-VERI_TABANI!$B$14)*VERI_TABANI!G26) + (VERI_TABANI!D26*C850*(VERI_TABANI!$B$13-VERI_TABANI!$B$15)*VERI_TABANI!G26) + IF(ABS(IF(ISNUMBER(SEARCH("Var", D850)), 1, IF(ISNUMBER(SEARCH("Gri", D850)), -1, 0)))=1, VERI_TABANI!E26*(1-0.928)*0.00206091519919798*VERI_TABANI!G26, 0)) + ((MIN(VERI_TABANI!D27, VERI_TABANI!D27*B850)*VERI_TABANI!$B$7 + MAX(0, VERI_TABANI!D27*B850-VERI_TABANI!D27)*VERI_TABANI!$B$8) + (MIN(MAX(0, VERI_TABANI!D27-VERI_TABANI!D27*B850), VERI_TABANI!D27*C850)*VERI_TABANI!$B$7 + MAX(0, VERI_TABANI!D27*C850-MAX(0, VERI_TABANI!D27-VERI_TABANI!D27*B850))*VERI_TABANI!$B$8) + IF(ABS(IF(ISNUMBER(SEARCH("Var", D850)), 1, IF(ISNUMBER(SEARCH("Gri", D850)), -1, 0)))=1, VERI_TABANI!E27*(1-0.928)*VERI_TABANI!$B$9, 0) + (VERI_TABANI!D27*B850*(VERI_TABANI!$B$13-VERI_TABANI!$B$14)*VERI_TABANI!G27) + (VERI_TABANI!D27*C850*(VERI_TABANI!$B$13-VERI_TABANI!$B$15)*VERI_TABANI!G27) + IF(ABS(IF(ISNUMBER(SEARCH("Var", D850)), 1, IF(ISNUMBER(SEARCH("Gri", D850)), -1, 0)))=1, VERI_TABANI!E27*(1-0.928)*0.00206091519919798*VERI_TABANI!G27, 0)) + ((MIN(VERI_TABANI!D28, VERI_TABANI!D28*B850)*VERI_TABANI!$B$7 + MAX(0, VERI_TABANI!D28*B850-VERI_TABANI!D28)*VERI_TABANI!$B$8) + (MIN(MAX(0, VERI_TABANI!D28-VERI_TABANI!D28*B850), VERI_TABANI!D28*C850)*VERI_TABANI!$B$7 + MAX(0, VERI_TABANI!D28*C850-MAX(0, VERI_TABANI!D28-VERI_TABANI!D28*B850))*VERI_TABANI!$B$8) + IF(ABS(IF(ISNUMBER(SEARCH("Var", D850)), 1, IF(ISNUMBER(SEARCH("Gri", D850)), -1, 0)))=1, VERI_TABANI!E28*(1-0.928)*VERI_TABANI!$B$9, 0) + (VERI_TABANI!D28*B850*(VERI_TABANI!$B$13-VERI_TABANI!$B$14)*VERI_TABANI!G28) + (VERI_TABANI!D28*C850*(VERI_TABANI!$B$13-VERI_TABANI!$B$15)*VERI_TABANI!G28) + IF(ABS(IF(ISNUMBER(SEARCH("Var", D850)), 1, IF(ISNUMBER(SEARCH("Gri", D850)), -1, 0)))=1, VERI_TABANI!E28*(1-0.928)*0.00206091519919798*VERI_TABANI!G28, 0)))</f>
        <v/>
      </c>
      <c r="H850" s="169">
        <f>(((VERI_TABANI!D23*B850*(VERI_TABANI!$B$13-VERI_TABANI!$B$14)) + (VERI_TABANI!D23*C850*(VERI_TABANI!$B$13-VERI_TABANI!$B$15)) + IF(ISNUMBER(SEARCH("Var", D850)), VERI_TABANI!F23*(0.00202-VERI_TABANI!$B$16), IF(ISNUMBER(SEARCH("Gri", D850)), VERI_TABANI!F23*(0.00202-VERI_TABANI!$B$17), 0))) + ((VERI_TABANI!D24*B850*(VERI_TABANI!$B$13-VERI_TABANI!$B$14)) + (VERI_TABANI!D24*C850*(VERI_TABANI!$B$13-VERI_TABANI!$B$15)) + IF(ISNUMBER(SEARCH("Var", D850)), VERI_TABANI!F24*(0.00202-VERI_TABANI!$B$16), IF(ISNUMBER(SEARCH("Gri", D850)), VERI_TABANI!F24*(0.00202-VERI_TABANI!$B$17), 0))) + ((VERI_TABANI!D25*B850*(VERI_TABANI!$B$13-VERI_TABANI!$B$14)) + (VERI_TABANI!D25*C850*(VERI_TABANI!$B$13-VERI_TABANI!$B$15)) + IF(ISNUMBER(SEARCH("Var", D850)), VERI_TABANI!F25*(0.00202-VERI_TABANI!$B$16), IF(ISNUMBER(SEARCH("Gri", D850)), VERI_TABANI!F25*(0.00202-VERI_TABANI!$B$17), 0))) + ((VERI_TABANI!D26*B850*(VERI_TABANI!$B$13-VERI_TABANI!$B$14)) + (VERI_TABANI!D26*C850*(VERI_TABANI!$B$13-VERI_TABANI!$B$15)) + IF(ISNUMBER(SEARCH("Var", D850)), VERI_TABANI!F26*(0.00202-VERI_TABANI!$B$16), IF(ISNUMBER(SEARCH("Gri", D850)), VERI_TABANI!F26*(0.00202-VERI_TABANI!$B$17), 0))) + ((VERI_TABANI!D27*B850*(VERI_TABANI!$B$13-VERI_TABANI!$B$14)) + (VERI_TABANI!D27*C850*(VERI_TABANI!$B$13-VERI_TABANI!$B$15)) + IF(ISNUMBER(SEARCH("Var", D850)), VERI_TABANI!F27*(0.00202-VERI_TABANI!$B$16), IF(ISNUMBER(SEARCH("Gri", D850)), VERI_TABANI!F27*(0.00202-VERI_TABANI!$B$17), 0))) + ((VERI_TABANI!D28*B850*(VERI_TABANI!$B$13-VERI_TABANI!$B$14)) + (VERI_TABANI!D28*C850*(VERI_TABANI!$B$13-VERI_TABANI!$B$15)) + IF(ISNUMBER(SEARCH("Var", D850)), VERI_TABANI!F28*(0.00202-VERI_TABANI!$B$16), IF(ISNUMBER(SEARCH("Gri", D850)), VERI_TABANI!F28*(0.00202-VERI_TABANI!$B$17), 0))))</f>
        <v/>
      </c>
      <c r="I850" s="170">
        <f>IFERROR(((VERI_TABANI!$D$29*B850*VERI_TABANI!$B$14 + VERI_TABANI!$D$29*C850*VERI_TABANI!$B$15 + IF(ISNUMBER(SEARCH("Var", D850)), VERI_TABANI!$F$29*VERI_TABANI!$B$16, 0))) / (((VERI_TABANI!$D$29*B850 + VERI_TABANI!$D$29*C850)*VERI_TABANI!$B$13 + IF(ISNUMBER(SEARCH("Var", D850)), VERI_TABANI!$E$29*(1-0.928)*VERI_TABANI!$B$18, 0))), 0)</f>
        <v/>
      </c>
      <c r="J850" s="171">
        <f>IFERROR(F850/(G850/29), 0)</f>
        <v/>
      </c>
      <c r="K850" s="172">
        <f>IF(F850&gt;0, H850/F850, 0)</f>
        <v/>
      </c>
      <c r="L850" s="170">
        <f>IF(F850&gt;0, I850, 1000000000)</f>
        <v/>
      </c>
      <c r="M850" s="171">
        <f>ABS((B850+C850)-1)</f>
        <v/>
      </c>
      <c r="N850" s="170">
        <f>IF(F850&gt;0, (G850/29)/F850, 0)</f>
        <v/>
      </c>
      <c r="O850" s="168">
        <f>IF(AND((B850+C850)&gt;=1, ISNUMBER(SEARCH("Var", D850))), F850, 1000000000)</f>
        <v/>
      </c>
      <c r="P850" s="172">
        <f>IF(F850&gt;0, SQRT((F850/MAX(F$5:F$886))^2 + (1 - H850/MAX(H$5:H$886))^2 + (J850/MAX(J$5:J$886))^2), 1000000000)</f>
        <v/>
      </c>
      <c r="Q850" s="166">
        <f>IF(AND(ABS(B850-0.5)&lt;0.01, ABS(C850-0.5)&lt;0.01, ISNUMBER(SEARCH("Var", D850))), 1, 0)</f>
        <v/>
      </c>
      <c r="R850" s="171">
        <f>IF(F850&gt;0, J850, 1000000000)</f>
        <v/>
      </c>
      <c r="S850" s="101">
        <f>IF(AND(F850&lt;=DASHBOARD!$B$11, H850&gt;=DASHBOARD!$B$13), G850, -1000000000000)</f>
        <v/>
      </c>
      <c r="T850" s="101">
        <f>IF(AND(F850&lt;=DASHBOARD!$B$11, H850&gt;=DASHBOARD!$B$13), R850, 1000000000000)</f>
        <v/>
      </c>
      <c r="U850" s="101">
        <f>IF(AND(F850&lt;=DASHBOARD!$B$11, H850&gt;=DASHBOARD!$B$13), N850, -1000000000000)</f>
        <v/>
      </c>
      <c r="V850" s="101">
        <f>IF(AND(F850&lt;=DASHBOARD!$B$11, H850&gt;=DASHBOARD!$B$13), H850, -1000000000000)</f>
        <v/>
      </c>
      <c r="W850" s="101">
        <f>IF(AND(F850&lt;=DASHBOARD!$B$11, H850&gt;=DASHBOARD!$B$13), K850, -1000000000000)</f>
        <v/>
      </c>
      <c r="X850" s="101">
        <f>IF(AND(F850&lt;=DASHBOARD!$B$11, H850&gt;=DASHBOARD!$B$13), M850, 1000000000000)</f>
        <v/>
      </c>
      <c r="Y850" s="101">
        <f>IF(AND(F850&lt;=DASHBOARD!$B$10, H850&gt;=DASHBOARD!$B$11), L850, 1000000000000)</f>
        <v/>
      </c>
      <c r="Z850" s="101">
        <f>IF(AND(F850&lt;=DASHBOARD!$B$10, H850&gt;=DASHBOARD!$B$11), O850, 1000000000000)</f>
        <v/>
      </c>
      <c r="AA850" s="101">
        <f>IF(AND(F850&lt;=DASHBOARD!$B$10, H850&gt;=DASHBOARD!$B$11), P850, 1000000000000)</f>
        <v/>
      </c>
      <c r="AB850" s="101">
        <f>IF(AND(F850&lt;=DASHBOARD!$B$10, H850&gt;=DASHBOARD!$B$11), Q850, -1000000000000)</f>
        <v/>
      </c>
    </row>
    <row r="851" ht="15" customHeight="1" s="102">
      <c r="A851" s="166" t="n">
        <v>847</v>
      </c>
      <c r="B851" s="167" t="n">
        <v>2</v>
      </c>
      <c r="C851" s="167" t="n">
        <v>0.3</v>
      </c>
      <c r="D851" s="110" t="inlineStr">
        <is>
          <t>Yok (%0)</t>
        </is>
      </c>
      <c r="E851" s="110">
        <f>IF((B851+C851)&lt;=1, "Tam Mahsuplaşma (≤%100)", "Kısmi Satış (&gt;%100)")</f>
        <v/>
      </c>
      <c r="F851" s="168">
        <f>((VERI_TABANI!$D$29*B851/VERI_TABANI!$B$29)/VERI_TABANI!$B$3)*VERI_TABANI!$B$5 + ((VERI_TABANI!$D$29*C851/VERI_TABANI!$B$29)/VERI_TABANI!$B$4)*VERI_TABANI!$B$6 + IF(ISNUMBER(SEARCH("Var", D851)), (VERI_TABANI!$F$29/VERI_TABANI!$B$29)*(VERI_TABANI!$B$10+VERI_TABANI!$B$12), 0)</f>
        <v/>
      </c>
      <c r="G851" s="168">
        <f>(((MIN(VERI_TABANI!D23, VERI_TABANI!D23*B851)*VERI_TABANI!$B$7 + MAX(0, VERI_TABANI!D23*B851-VERI_TABANI!D23)*VERI_TABANI!$B$8) + (MIN(MAX(0, VERI_TABANI!D23-VERI_TABANI!D23*B851), VERI_TABANI!D23*C851)*VERI_TABANI!$B$7 + MAX(0, VERI_TABANI!D23*C851-MAX(0, VERI_TABANI!D23-VERI_TABANI!D23*B851))*VERI_TABANI!$B$8) + IF(ABS(IF(ISNUMBER(SEARCH("Var", D851)), 1, IF(ISNUMBER(SEARCH("Gri", D851)), -1, 0)))=1, VERI_TABANI!E23*(1-0.928)*VERI_TABANI!$B$9, 0) + (VERI_TABANI!D23*B851*(VERI_TABANI!$B$13-VERI_TABANI!$B$14)*VERI_TABANI!G23) + (VERI_TABANI!D23*C851*(VERI_TABANI!$B$13-VERI_TABANI!$B$15)*VERI_TABANI!G23) + IF(ABS(IF(ISNUMBER(SEARCH("Var", D851)), 1, IF(ISNUMBER(SEARCH("Gri", D851)), -1, 0)))=1, VERI_TABANI!E23*(1-0.928)*0.00206091519919798*VERI_TABANI!G23, 0)) + ((MIN(VERI_TABANI!D24, VERI_TABANI!D24*B851)*VERI_TABANI!$B$7 + MAX(0, VERI_TABANI!D24*B851-VERI_TABANI!D24)*VERI_TABANI!$B$8) + (MIN(MAX(0, VERI_TABANI!D24-VERI_TABANI!D24*B851), VERI_TABANI!D24*C851)*VERI_TABANI!$B$7 + MAX(0, VERI_TABANI!D24*C851-MAX(0, VERI_TABANI!D24-VERI_TABANI!D24*B851))*VERI_TABANI!$B$8) + IF(ABS(IF(ISNUMBER(SEARCH("Var", D851)), 1, IF(ISNUMBER(SEARCH("Gri", D851)), -1, 0)))=1, VERI_TABANI!E24*(1-0.928)*VERI_TABANI!$B$9, 0) + (VERI_TABANI!D24*B851*(VERI_TABANI!$B$13-VERI_TABANI!$B$14)*VERI_TABANI!G24) + (VERI_TABANI!D24*C851*(VERI_TABANI!$B$13-VERI_TABANI!$B$15)*VERI_TABANI!G24) + IF(ABS(IF(ISNUMBER(SEARCH("Var", D851)), 1, IF(ISNUMBER(SEARCH("Gri", D851)), -1, 0)))=1, VERI_TABANI!E24*(1-0.928)*0.00206091519919798*VERI_TABANI!G24, 0)) + ((MIN(VERI_TABANI!D25, VERI_TABANI!D25*B851)*VERI_TABANI!$B$7 + MAX(0, VERI_TABANI!D25*B851-VERI_TABANI!D25)*VERI_TABANI!$B$8) + (MIN(MAX(0, VERI_TABANI!D25-VERI_TABANI!D25*B851), VERI_TABANI!D25*C851)*VERI_TABANI!$B$7 + MAX(0, VERI_TABANI!D25*C851-MAX(0, VERI_TABANI!D25-VERI_TABANI!D25*B851))*VERI_TABANI!$B$8) + IF(ABS(IF(ISNUMBER(SEARCH("Var", D851)), 1, IF(ISNUMBER(SEARCH("Gri", D851)), -1, 0)))=1, VERI_TABANI!E25*(1-0.928)*VERI_TABANI!$B$9, 0) + (VERI_TABANI!D25*B851*(VERI_TABANI!$B$13-VERI_TABANI!$B$14)*VERI_TABANI!G25) + (VERI_TABANI!D25*C851*(VERI_TABANI!$B$13-VERI_TABANI!$B$15)*VERI_TABANI!G25) + IF(ABS(IF(ISNUMBER(SEARCH("Var", D851)), 1, IF(ISNUMBER(SEARCH("Gri", D851)), -1, 0)))=1, VERI_TABANI!E25*(1-0.928)*0.00206091519919798*VERI_TABANI!G25, 0)) + ((MIN(VERI_TABANI!D26, VERI_TABANI!D26*B851)*VERI_TABANI!$B$7 + MAX(0, VERI_TABANI!D26*B851-VERI_TABANI!D26)*VERI_TABANI!$B$8) + (MIN(MAX(0, VERI_TABANI!D26-VERI_TABANI!D26*B851), VERI_TABANI!D26*C851)*VERI_TABANI!$B$7 + MAX(0, VERI_TABANI!D26*C851-MAX(0, VERI_TABANI!D26-VERI_TABANI!D26*B851))*VERI_TABANI!$B$8) + IF(ABS(IF(ISNUMBER(SEARCH("Var", D851)), 1, IF(ISNUMBER(SEARCH("Gri", D851)), -1, 0)))=1, VERI_TABANI!E26*(1-0.928)*VERI_TABANI!$B$9, 0) + (VERI_TABANI!D26*B851*(VERI_TABANI!$B$13-VERI_TABANI!$B$14)*VERI_TABANI!G26) + (VERI_TABANI!D26*C851*(VERI_TABANI!$B$13-VERI_TABANI!$B$15)*VERI_TABANI!G26) + IF(ABS(IF(ISNUMBER(SEARCH("Var", D851)), 1, IF(ISNUMBER(SEARCH("Gri", D851)), -1, 0)))=1, VERI_TABANI!E26*(1-0.928)*0.00206091519919798*VERI_TABANI!G26, 0)) + ((MIN(VERI_TABANI!D27, VERI_TABANI!D27*B851)*VERI_TABANI!$B$7 + MAX(0, VERI_TABANI!D27*B851-VERI_TABANI!D27)*VERI_TABANI!$B$8) + (MIN(MAX(0, VERI_TABANI!D27-VERI_TABANI!D27*B851), VERI_TABANI!D27*C851)*VERI_TABANI!$B$7 + MAX(0, VERI_TABANI!D27*C851-MAX(0, VERI_TABANI!D27-VERI_TABANI!D27*B851))*VERI_TABANI!$B$8) + IF(ABS(IF(ISNUMBER(SEARCH("Var", D851)), 1, IF(ISNUMBER(SEARCH("Gri", D851)), -1, 0)))=1, VERI_TABANI!E27*(1-0.928)*VERI_TABANI!$B$9, 0) + (VERI_TABANI!D27*B851*(VERI_TABANI!$B$13-VERI_TABANI!$B$14)*VERI_TABANI!G27) + (VERI_TABANI!D27*C851*(VERI_TABANI!$B$13-VERI_TABANI!$B$15)*VERI_TABANI!G27) + IF(ABS(IF(ISNUMBER(SEARCH("Var", D851)), 1, IF(ISNUMBER(SEARCH("Gri", D851)), -1, 0)))=1, VERI_TABANI!E27*(1-0.928)*0.00206091519919798*VERI_TABANI!G27, 0)) + ((MIN(VERI_TABANI!D28, VERI_TABANI!D28*B851)*VERI_TABANI!$B$7 + MAX(0, VERI_TABANI!D28*B851-VERI_TABANI!D28)*VERI_TABANI!$B$8) + (MIN(MAX(0, VERI_TABANI!D28-VERI_TABANI!D28*B851), VERI_TABANI!D28*C851)*VERI_TABANI!$B$7 + MAX(0, VERI_TABANI!D28*C851-MAX(0, VERI_TABANI!D28-VERI_TABANI!D28*B851))*VERI_TABANI!$B$8) + IF(ABS(IF(ISNUMBER(SEARCH("Var", D851)), 1, IF(ISNUMBER(SEARCH("Gri", D851)), -1, 0)))=1, VERI_TABANI!E28*(1-0.928)*VERI_TABANI!$B$9, 0) + (VERI_TABANI!D28*B851*(VERI_TABANI!$B$13-VERI_TABANI!$B$14)*VERI_TABANI!G28) + (VERI_TABANI!D28*C851*(VERI_TABANI!$B$13-VERI_TABANI!$B$15)*VERI_TABANI!G28) + IF(ABS(IF(ISNUMBER(SEARCH("Var", D851)), 1, IF(ISNUMBER(SEARCH("Gri", D851)), -1, 0)))=1, VERI_TABANI!E28*(1-0.928)*0.00206091519919798*VERI_TABANI!G28, 0)))</f>
        <v/>
      </c>
      <c r="H851" s="169">
        <f>(((VERI_TABANI!D23*B851*(VERI_TABANI!$B$13-VERI_TABANI!$B$14)) + (VERI_TABANI!D23*C851*(VERI_TABANI!$B$13-VERI_TABANI!$B$15)) + IF(ISNUMBER(SEARCH("Var", D851)), VERI_TABANI!F23*(0.00202-VERI_TABANI!$B$16), IF(ISNUMBER(SEARCH("Gri", D851)), VERI_TABANI!F23*(0.00202-VERI_TABANI!$B$17), 0))) + ((VERI_TABANI!D24*B851*(VERI_TABANI!$B$13-VERI_TABANI!$B$14)) + (VERI_TABANI!D24*C851*(VERI_TABANI!$B$13-VERI_TABANI!$B$15)) + IF(ISNUMBER(SEARCH("Var", D851)), VERI_TABANI!F24*(0.00202-VERI_TABANI!$B$16), IF(ISNUMBER(SEARCH("Gri", D851)), VERI_TABANI!F24*(0.00202-VERI_TABANI!$B$17), 0))) + ((VERI_TABANI!D25*B851*(VERI_TABANI!$B$13-VERI_TABANI!$B$14)) + (VERI_TABANI!D25*C851*(VERI_TABANI!$B$13-VERI_TABANI!$B$15)) + IF(ISNUMBER(SEARCH("Var", D851)), VERI_TABANI!F25*(0.00202-VERI_TABANI!$B$16), IF(ISNUMBER(SEARCH("Gri", D851)), VERI_TABANI!F25*(0.00202-VERI_TABANI!$B$17), 0))) + ((VERI_TABANI!D26*B851*(VERI_TABANI!$B$13-VERI_TABANI!$B$14)) + (VERI_TABANI!D26*C851*(VERI_TABANI!$B$13-VERI_TABANI!$B$15)) + IF(ISNUMBER(SEARCH("Var", D851)), VERI_TABANI!F26*(0.00202-VERI_TABANI!$B$16), IF(ISNUMBER(SEARCH("Gri", D851)), VERI_TABANI!F26*(0.00202-VERI_TABANI!$B$17), 0))) + ((VERI_TABANI!D27*B851*(VERI_TABANI!$B$13-VERI_TABANI!$B$14)) + (VERI_TABANI!D27*C851*(VERI_TABANI!$B$13-VERI_TABANI!$B$15)) + IF(ISNUMBER(SEARCH("Var", D851)), VERI_TABANI!F27*(0.00202-VERI_TABANI!$B$16), IF(ISNUMBER(SEARCH("Gri", D851)), VERI_TABANI!F27*(0.00202-VERI_TABANI!$B$17), 0))) + ((VERI_TABANI!D28*B851*(VERI_TABANI!$B$13-VERI_TABANI!$B$14)) + (VERI_TABANI!D28*C851*(VERI_TABANI!$B$13-VERI_TABANI!$B$15)) + IF(ISNUMBER(SEARCH("Var", D851)), VERI_TABANI!F28*(0.00202-VERI_TABANI!$B$16), IF(ISNUMBER(SEARCH("Gri", D851)), VERI_TABANI!F28*(0.00202-VERI_TABANI!$B$17), 0))))</f>
        <v/>
      </c>
      <c r="I851" s="170">
        <f>IFERROR(((VERI_TABANI!$D$29*B851*VERI_TABANI!$B$14 + VERI_TABANI!$D$29*C851*VERI_TABANI!$B$15 + IF(ISNUMBER(SEARCH("Var", D851)), VERI_TABANI!$F$29*VERI_TABANI!$B$16, 0))) / (((VERI_TABANI!$D$29*B851 + VERI_TABANI!$D$29*C851)*VERI_TABANI!$B$13 + IF(ISNUMBER(SEARCH("Var", D851)), VERI_TABANI!$E$29*(1-0.928)*VERI_TABANI!$B$18, 0))), 0)</f>
        <v/>
      </c>
      <c r="J851" s="171">
        <f>IFERROR(F851/(G851/29), 0)</f>
        <v/>
      </c>
      <c r="K851" s="172">
        <f>IF(F851&gt;0, H851/F851, 0)</f>
        <v/>
      </c>
      <c r="L851" s="170">
        <f>IF(F851&gt;0, I851, 1000000000)</f>
        <v/>
      </c>
      <c r="M851" s="171">
        <f>ABS((B851+C851)-1)</f>
        <v/>
      </c>
      <c r="N851" s="170">
        <f>IF(F851&gt;0, (G851/29)/F851, 0)</f>
        <v/>
      </c>
      <c r="O851" s="168">
        <f>IF(AND((B851+C851)&gt;=1, ISNUMBER(SEARCH("Var", D851))), F851, 1000000000)</f>
        <v/>
      </c>
      <c r="P851" s="172">
        <f>IF(F851&gt;0, SQRT((F851/MAX(F$5:F$886))^2 + (1 - H851/MAX(H$5:H$886))^2 + (J851/MAX(J$5:J$886))^2), 1000000000)</f>
        <v/>
      </c>
      <c r="Q851" s="166">
        <f>IF(AND(ABS(B851-0.5)&lt;0.01, ABS(C851-0.5)&lt;0.01, ISNUMBER(SEARCH("Var", D851))), 1, 0)</f>
        <v/>
      </c>
      <c r="R851" s="171">
        <f>IF(F851&gt;0, J851, 1000000000)</f>
        <v/>
      </c>
      <c r="S851" s="101">
        <f>IF(AND(F851&lt;=DASHBOARD!$B$11, H851&gt;=DASHBOARD!$B$13), G851, -1000000000000)</f>
        <v/>
      </c>
      <c r="T851" s="101">
        <f>IF(AND(F851&lt;=DASHBOARD!$B$11, H851&gt;=DASHBOARD!$B$13), R851, 1000000000000)</f>
        <v/>
      </c>
      <c r="U851" s="101">
        <f>IF(AND(F851&lt;=DASHBOARD!$B$11, H851&gt;=DASHBOARD!$B$13), N851, -1000000000000)</f>
        <v/>
      </c>
      <c r="V851" s="101">
        <f>IF(AND(F851&lt;=DASHBOARD!$B$11, H851&gt;=DASHBOARD!$B$13), H851, -1000000000000)</f>
        <v/>
      </c>
      <c r="W851" s="101">
        <f>IF(AND(F851&lt;=DASHBOARD!$B$11, H851&gt;=DASHBOARD!$B$13), K851, -1000000000000)</f>
        <v/>
      </c>
      <c r="X851" s="101">
        <f>IF(AND(F851&lt;=DASHBOARD!$B$11, H851&gt;=DASHBOARD!$B$13), M851, 1000000000000)</f>
        <v/>
      </c>
      <c r="Y851" s="101">
        <f>IF(AND(F851&lt;=DASHBOARD!$B$10, H851&gt;=DASHBOARD!$B$11), L851, 1000000000000)</f>
        <v/>
      </c>
      <c r="Z851" s="101">
        <f>IF(AND(F851&lt;=DASHBOARD!$B$10, H851&gt;=DASHBOARD!$B$11), O851, 1000000000000)</f>
        <v/>
      </c>
      <c r="AA851" s="101">
        <f>IF(AND(F851&lt;=DASHBOARD!$B$10, H851&gt;=DASHBOARD!$B$11), P851, 1000000000000)</f>
        <v/>
      </c>
      <c r="AB851" s="101">
        <f>IF(AND(F851&lt;=DASHBOARD!$B$10, H851&gt;=DASHBOARD!$B$11), Q851, -1000000000000)</f>
        <v/>
      </c>
    </row>
    <row r="852" ht="15" customHeight="1" s="102">
      <c r="A852" s="166" t="n">
        <v>848</v>
      </c>
      <c r="B852" s="167" t="n">
        <v>2</v>
      </c>
      <c r="C852" s="167" t="n">
        <v>0.3</v>
      </c>
      <c r="D852" s="110" t="inlineStr">
        <is>
          <t>Var (%20)</t>
        </is>
      </c>
      <c r="E852" s="110">
        <f>IF((B852+C852)&lt;=1, "Tam Mahsuplaşma (≤%100)", "Kısmi Satış (&gt;%100)")</f>
        <v/>
      </c>
      <c r="F852" s="168">
        <f>((VERI_TABANI!$D$29*B852/VERI_TABANI!$B$29)/VERI_TABANI!$B$3)*VERI_TABANI!$B$5 + ((VERI_TABANI!$D$29*C852/VERI_TABANI!$B$29)/VERI_TABANI!$B$4)*VERI_TABANI!$B$6 + IF(ISNUMBER(SEARCH("Var", D852)), (VERI_TABANI!$F$29/VERI_TABANI!$B$29)*(VERI_TABANI!$B$10+VERI_TABANI!$B$12), 0)</f>
        <v/>
      </c>
      <c r="G852" s="168">
        <f>(((MIN(VERI_TABANI!D23, VERI_TABANI!D23*B852)*VERI_TABANI!$B$7 + MAX(0, VERI_TABANI!D23*B852-VERI_TABANI!D23)*VERI_TABANI!$B$8) + (MIN(MAX(0, VERI_TABANI!D23-VERI_TABANI!D23*B852), VERI_TABANI!D23*C852)*VERI_TABANI!$B$7 + MAX(0, VERI_TABANI!D23*C852-MAX(0, VERI_TABANI!D23-VERI_TABANI!D23*B852))*VERI_TABANI!$B$8) + IF(ABS(IF(ISNUMBER(SEARCH("Var", D852)), 1, IF(ISNUMBER(SEARCH("Gri", D852)), -1, 0)))=1, VERI_TABANI!E23*(1-0.928)*VERI_TABANI!$B$9, 0) + (VERI_TABANI!D23*B852*(VERI_TABANI!$B$13-VERI_TABANI!$B$14)*VERI_TABANI!G23) + (VERI_TABANI!D23*C852*(VERI_TABANI!$B$13-VERI_TABANI!$B$15)*VERI_TABANI!G23) + IF(ABS(IF(ISNUMBER(SEARCH("Var", D852)), 1, IF(ISNUMBER(SEARCH("Gri", D852)), -1, 0)))=1, VERI_TABANI!E23*(1-0.928)*0.00206091519919798*VERI_TABANI!G23, 0)) + ((MIN(VERI_TABANI!D24, VERI_TABANI!D24*B852)*VERI_TABANI!$B$7 + MAX(0, VERI_TABANI!D24*B852-VERI_TABANI!D24)*VERI_TABANI!$B$8) + (MIN(MAX(0, VERI_TABANI!D24-VERI_TABANI!D24*B852), VERI_TABANI!D24*C852)*VERI_TABANI!$B$7 + MAX(0, VERI_TABANI!D24*C852-MAX(0, VERI_TABANI!D24-VERI_TABANI!D24*B852))*VERI_TABANI!$B$8) + IF(ABS(IF(ISNUMBER(SEARCH("Var", D852)), 1, IF(ISNUMBER(SEARCH("Gri", D852)), -1, 0)))=1, VERI_TABANI!E24*(1-0.928)*VERI_TABANI!$B$9, 0) + (VERI_TABANI!D24*B852*(VERI_TABANI!$B$13-VERI_TABANI!$B$14)*VERI_TABANI!G24) + (VERI_TABANI!D24*C852*(VERI_TABANI!$B$13-VERI_TABANI!$B$15)*VERI_TABANI!G24) + IF(ABS(IF(ISNUMBER(SEARCH("Var", D852)), 1, IF(ISNUMBER(SEARCH("Gri", D852)), -1, 0)))=1, VERI_TABANI!E24*(1-0.928)*0.00206091519919798*VERI_TABANI!G24, 0)) + ((MIN(VERI_TABANI!D25, VERI_TABANI!D25*B852)*VERI_TABANI!$B$7 + MAX(0, VERI_TABANI!D25*B852-VERI_TABANI!D25)*VERI_TABANI!$B$8) + (MIN(MAX(0, VERI_TABANI!D25-VERI_TABANI!D25*B852), VERI_TABANI!D25*C852)*VERI_TABANI!$B$7 + MAX(0, VERI_TABANI!D25*C852-MAX(0, VERI_TABANI!D25-VERI_TABANI!D25*B852))*VERI_TABANI!$B$8) + IF(ABS(IF(ISNUMBER(SEARCH("Var", D852)), 1, IF(ISNUMBER(SEARCH("Gri", D852)), -1, 0)))=1, VERI_TABANI!E25*(1-0.928)*VERI_TABANI!$B$9, 0) + (VERI_TABANI!D25*B852*(VERI_TABANI!$B$13-VERI_TABANI!$B$14)*VERI_TABANI!G25) + (VERI_TABANI!D25*C852*(VERI_TABANI!$B$13-VERI_TABANI!$B$15)*VERI_TABANI!G25) + IF(ABS(IF(ISNUMBER(SEARCH("Var", D852)), 1, IF(ISNUMBER(SEARCH("Gri", D852)), -1, 0)))=1, VERI_TABANI!E25*(1-0.928)*0.00206091519919798*VERI_TABANI!G25, 0)) + ((MIN(VERI_TABANI!D26, VERI_TABANI!D26*B852)*VERI_TABANI!$B$7 + MAX(0, VERI_TABANI!D26*B852-VERI_TABANI!D26)*VERI_TABANI!$B$8) + (MIN(MAX(0, VERI_TABANI!D26-VERI_TABANI!D26*B852), VERI_TABANI!D26*C852)*VERI_TABANI!$B$7 + MAX(0, VERI_TABANI!D26*C852-MAX(0, VERI_TABANI!D26-VERI_TABANI!D26*B852))*VERI_TABANI!$B$8) + IF(ABS(IF(ISNUMBER(SEARCH("Var", D852)), 1, IF(ISNUMBER(SEARCH("Gri", D852)), -1, 0)))=1, VERI_TABANI!E26*(1-0.928)*VERI_TABANI!$B$9, 0) + (VERI_TABANI!D26*B852*(VERI_TABANI!$B$13-VERI_TABANI!$B$14)*VERI_TABANI!G26) + (VERI_TABANI!D26*C852*(VERI_TABANI!$B$13-VERI_TABANI!$B$15)*VERI_TABANI!G26) + IF(ABS(IF(ISNUMBER(SEARCH("Var", D852)), 1, IF(ISNUMBER(SEARCH("Gri", D852)), -1, 0)))=1, VERI_TABANI!E26*(1-0.928)*0.00206091519919798*VERI_TABANI!G26, 0)) + ((MIN(VERI_TABANI!D27, VERI_TABANI!D27*B852)*VERI_TABANI!$B$7 + MAX(0, VERI_TABANI!D27*B852-VERI_TABANI!D27)*VERI_TABANI!$B$8) + (MIN(MAX(0, VERI_TABANI!D27-VERI_TABANI!D27*B852), VERI_TABANI!D27*C852)*VERI_TABANI!$B$7 + MAX(0, VERI_TABANI!D27*C852-MAX(0, VERI_TABANI!D27-VERI_TABANI!D27*B852))*VERI_TABANI!$B$8) + IF(ABS(IF(ISNUMBER(SEARCH("Var", D852)), 1, IF(ISNUMBER(SEARCH("Gri", D852)), -1, 0)))=1, VERI_TABANI!E27*(1-0.928)*VERI_TABANI!$B$9, 0) + (VERI_TABANI!D27*B852*(VERI_TABANI!$B$13-VERI_TABANI!$B$14)*VERI_TABANI!G27) + (VERI_TABANI!D27*C852*(VERI_TABANI!$B$13-VERI_TABANI!$B$15)*VERI_TABANI!G27) + IF(ABS(IF(ISNUMBER(SEARCH("Var", D852)), 1, IF(ISNUMBER(SEARCH("Gri", D852)), -1, 0)))=1, VERI_TABANI!E27*(1-0.928)*0.00206091519919798*VERI_TABANI!G27, 0)) + ((MIN(VERI_TABANI!D28, VERI_TABANI!D28*B852)*VERI_TABANI!$B$7 + MAX(0, VERI_TABANI!D28*B852-VERI_TABANI!D28)*VERI_TABANI!$B$8) + (MIN(MAX(0, VERI_TABANI!D28-VERI_TABANI!D28*B852), VERI_TABANI!D28*C852)*VERI_TABANI!$B$7 + MAX(0, VERI_TABANI!D28*C852-MAX(0, VERI_TABANI!D28-VERI_TABANI!D28*B852))*VERI_TABANI!$B$8) + IF(ABS(IF(ISNUMBER(SEARCH("Var", D852)), 1, IF(ISNUMBER(SEARCH("Gri", D852)), -1, 0)))=1, VERI_TABANI!E28*(1-0.928)*VERI_TABANI!$B$9, 0) + (VERI_TABANI!D28*B852*(VERI_TABANI!$B$13-VERI_TABANI!$B$14)*VERI_TABANI!G28) + (VERI_TABANI!D28*C852*(VERI_TABANI!$B$13-VERI_TABANI!$B$15)*VERI_TABANI!G28) + IF(ABS(IF(ISNUMBER(SEARCH("Var", D852)), 1, IF(ISNUMBER(SEARCH("Gri", D852)), -1, 0)))=1, VERI_TABANI!E28*(1-0.928)*0.00206091519919798*VERI_TABANI!G28, 0)))</f>
        <v/>
      </c>
      <c r="H852" s="169">
        <f>(((VERI_TABANI!D23*B852*(VERI_TABANI!$B$13-VERI_TABANI!$B$14)) + (VERI_TABANI!D23*C852*(VERI_TABANI!$B$13-VERI_TABANI!$B$15)) + IF(ISNUMBER(SEARCH("Var", D852)), VERI_TABANI!F23*(0.00202-VERI_TABANI!$B$16), IF(ISNUMBER(SEARCH("Gri", D852)), VERI_TABANI!F23*(0.00202-VERI_TABANI!$B$17), 0))) + ((VERI_TABANI!D24*B852*(VERI_TABANI!$B$13-VERI_TABANI!$B$14)) + (VERI_TABANI!D24*C852*(VERI_TABANI!$B$13-VERI_TABANI!$B$15)) + IF(ISNUMBER(SEARCH("Var", D852)), VERI_TABANI!F24*(0.00202-VERI_TABANI!$B$16), IF(ISNUMBER(SEARCH("Gri", D852)), VERI_TABANI!F24*(0.00202-VERI_TABANI!$B$17), 0))) + ((VERI_TABANI!D25*B852*(VERI_TABANI!$B$13-VERI_TABANI!$B$14)) + (VERI_TABANI!D25*C852*(VERI_TABANI!$B$13-VERI_TABANI!$B$15)) + IF(ISNUMBER(SEARCH("Var", D852)), VERI_TABANI!F25*(0.00202-VERI_TABANI!$B$16), IF(ISNUMBER(SEARCH("Gri", D852)), VERI_TABANI!F25*(0.00202-VERI_TABANI!$B$17), 0))) + ((VERI_TABANI!D26*B852*(VERI_TABANI!$B$13-VERI_TABANI!$B$14)) + (VERI_TABANI!D26*C852*(VERI_TABANI!$B$13-VERI_TABANI!$B$15)) + IF(ISNUMBER(SEARCH("Var", D852)), VERI_TABANI!F26*(0.00202-VERI_TABANI!$B$16), IF(ISNUMBER(SEARCH("Gri", D852)), VERI_TABANI!F26*(0.00202-VERI_TABANI!$B$17), 0))) + ((VERI_TABANI!D27*B852*(VERI_TABANI!$B$13-VERI_TABANI!$B$14)) + (VERI_TABANI!D27*C852*(VERI_TABANI!$B$13-VERI_TABANI!$B$15)) + IF(ISNUMBER(SEARCH("Var", D852)), VERI_TABANI!F27*(0.00202-VERI_TABANI!$B$16), IF(ISNUMBER(SEARCH("Gri", D852)), VERI_TABANI!F27*(0.00202-VERI_TABANI!$B$17), 0))) + ((VERI_TABANI!D28*B852*(VERI_TABANI!$B$13-VERI_TABANI!$B$14)) + (VERI_TABANI!D28*C852*(VERI_TABANI!$B$13-VERI_TABANI!$B$15)) + IF(ISNUMBER(SEARCH("Var", D852)), VERI_TABANI!F28*(0.00202-VERI_TABANI!$B$16), IF(ISNUMBER(SEARCH("Gri", D852)), VERI_TABANI!F28*(0.00202-VERI_TABANI!$B$17), 0))))</f>
        <v/>
      </c>
      <c r="I852" s="170">
        <f>IFERROR(((VERI_TABANI!$D$29*B852*VERI_TABANI!$B$14 + VERI_TABANI!$D$29*C852*VERI_TABANI!$B$15 + IF(ISNUMBER(SEARCH("Var", D852)), VERI_TABANI!$F$29*VERI_TABANI!$B$16, 0))) / (((VERI_TABANI!$D$29*B852 + VERI_TABANI!$D$29*C852)*VERI_TABANI!$B$13 + IF(ISNUMBER(SEARCH("Var", D852)), VERI_TABANI!$E$29*(1-0.928)*VERI_TABANI!$B$18, 0))), 0)</f>
        <v/>
      </c>
      <c r="J852" s="171">
        <f>IFERROR(F852/(G852/29), 0)</f>
        <v/>
      </c>
      <c r="K852" s="172">
        <f>IF(F852&gt;0, H852/F852, 0)</f>
        <v/>
      </c>
      <c r="L852" s="170">
        <f>IF(F852&gt;0, I852, 1000000000)</f>
        <v/>
      </c>
      <c r="M852" s="171">
        <f>ABS((B852+C852)-1)</f>
        <v/>
      </c>
      <c r="N852" s="170">
        <f>IF(F852&gt;0, (G852/29)/F852, 0)</f>
        <v/>
      </c>
      <c r="O852" s="168">
        <f>IF(AND((B852+C852)&gt;=1, ISNUMBER(SEARCH("Var", D852))), F852, 1000000000)</f>
        <v/>
      </c>
      <c r="P852" s="172">
        <f>IF(F852&gt;0, SQRT((F852/MAX(F$5:F$886))^2 + (1 - H852/MAX(H$5:H$886))^2 + (J852/MAX(J$5:J$886))^2), 1000000000)</f>
        <v/>
      </c>
      <c r="Q852" s="166">
        <f>IF(AND(ABS(B852-0.5)&lt;0.01, ABS(C852-0.5)&lt;0.01, ISNUMBER(SEARCH("Var", D852))), 1, 0)</f>
        <v/>
      </c>
      <c r="R852" s="171">
        <f>IF(F852&gt;0, J852, 1000000000)</f>
        <v/>
      </c>
      <c r="S852" s="101">
        <f>IF(AND(F852&lt;=DASHBOARD!$B$11, H852&gt;=DASHBOARD!$B$13), G852, -1000000000000)</f>
        <v/>
      </c>
      <c r="T852" s="101">
        <f>IF(AND(F852&lt;=DASHBOARD!$B$11, H852&gt;=DASHBOARD!$B$13), R852, 1000000000000)</f>
        <v/>
      </c>
      <c r="U852" s="101">
        <f>IF(AND(F852&lt;=DASHBOARD!$B$11, H852&gt;=DASHBOARD!$B$13), N852, -1000000000000)</f>
        <v/>
      </c>
      <c r="V852" s="101">
        <f>IF(AND(F852&lt;=DASHBOARD!$B$11, H852&gt;=DASHBOARD!$B$13), H852, -1000000000000)</f>
        <v/>
      </c>
      <c r="W852" s="101">
        <f>IF(AND(F852&lt;=DASHBOARD!$B$11, H852&gt;=DASHBOARD!$B$13), K852, -1000000000000)</f>
        <v/>
      </c>
      <c r="X852" s="101">
        <f>IF(AND(F852&lt;=DASHBOARD!$B$11, H852&gt;=DASHBOARD!$B$13), M852, 1000000000000)</f>
        <v/>
      </c>
      <c r="Y852" s="101">
        <f>IF(AND(F852&lt;=DASHBOARD!$B$10, H852&gt;=DASHBOARD!$B$11), L852, 1000000000000)</f>
        <v/>
      </c>
      <c r="Z852" s="101">
        <f>IF(AND(F852&lt;=DASHBOARD!$B$10, H852&gt;=DASHBOARD!$B$11), O852, 1000000000000)</f>
        <v/>
      </c>
      <c r="AA852" s="101">
        <f>IF(AND(F852&lt;=DASHBOARD!$B$10, H852&gt;=DASHBOARD!$B$11), P852, 1000000000000)</f>
        <v/>
      </c>
      <c r="AB852" s="101">
        <f>IF(AND(F852&lt;=DASHBOARD!$B$10, H852&gt;=DASHBOARD!$B$11), Q852, -1000000000000)</f>
        <v/>
      </c>
    </row>
    <row r="853" ht="15" customHeight="1" s="102">
      <c r="A853" s="166" t="n">
        <v>849</v>
      </c>
      <c r="B853" s="167" t="n">
        <v>2</v>
      </c>
      <c r="C853" s="167" t="n">
        <v>0.4</v>
      </c>
      <c r="D853" s="110" t="inlineStr">
        <is>
          <t>Yok (%0)</t>
        </is>
      </c>
      <c r="E853" s="110">
        <f>IF((B853+C853)&lt;=1, "Tam Mahsuplaşma (≤%100)", "Kısmi Satış (&gt;%100)")</f>
        <v/>
      </c>
      <c r="F853" s="168">
        <f>((VERI_TABANI!$D$29*B853/VERI_TABANI!$B$29)/VERI_TABANI!$B$3)*VERI_TABANI!$B$5 + ((VERI_TABANI!$D$29*C853/VERI_TABANI!$B$29)/VERI_TABANI!$B$4)*VERI_TABANI!$B$6 + IF(ISNUMBER(SEARCH("Var", D853)), (VERI_TABANI!$F$29/VERI_TABANI!$B$29)*(VERI_TABANI!$B$10+VERI_TABANI!$B$12), 0)</f>
        <v/>
      </c>
      <c r="G853" s="168">
        <f>(((MIN(VERI_TABANI!D23, VERI_TABANI!D23*B853)*VERI_TABANI!$B$7 + MAX(0, VERI_TABANI!D23*B853-VERI_TABANI!D23)*VERI_TABANI!$B$8) + (MIN(MAX(0, VERI_TABANI!D23-VERI_TABANI!D23*B853), VERI_TABANI!D23*C853)*VERI_TABANI!$B$7 + MAX(0, VERI_TABANI!D23*C853-MAX(0, VERI_TABANI!D23-VERI_TABANI!D23*B853))*VERI_TABANI!$B$8) + IF(ABS(IF(ISNUMBER(SEARCH("Var", D853)), 1, IF(ISNUMBER(SEARCH("Gri", D853)), -1, 0)))=1, VERI_TABANI!E23*(1-0.928)*VERI_TABANI!$B$9, 0) + (VERI_TABANI!D23*B853*(VERI_TABANI!$B$13-VERI_TABANI!$B$14)*VERI_TABANI!G23) + (VERI_TABANI!D23*C853*(VERI_TABANI!$B$13-VERI_TABANI!$B$15)*VERI_TABANI!G23) + IF(ABS(IF(ISNUMBER(SEARCH("Var", D853)), 1, IF(ISNUMBER(SEARCH("Gri", D853)), -1, 0)))=1, VERI_TABANI!E23*(1-0.928)*0.00206091519919798*VERI_TABANI!G23, 0)) + ((MIN(VERI_TABANI!D24, VERI_TABANI!D24*B853)*VERI_TABANI!$B$7 + MAX(0, VERI_TABANI!D24*B853-VERI_TABANI!D24)*VERI_TABANI!$B$8) + (MIN(MAX(0, VERI_TABANI!D24-VERI_TABANI!D24*B853), VERI_TABANI!D24*C853)*VERI_TABANI!$B$7 + MAX(0, VERI_TABANI!D24*C853-MAX(0, VERI_TABANI!D24-VERI_TABANI!D24*B853))*VERI_TABANI!$B$8) + IF(ABS(IF(ISNUMBER(SEARCH("Var", D853)), 1, IF(ISNUMBER(SEARCH("Gri", D853)), -1, 0)))=1, VERI_TABANI!E24*(1-0.928)*VERI_TABANI!$B$9, 0) + (VERI_TABANI!D24*B853*(VERI_TABANI!$B$13-VERI_TABANI!$B$14)*VERI_TABANI!G24) + (VERI_TABANI!D24*C853*(VERI_TABANI!$B$13-VERI_TABANI!$B$15)*VERI_TABANI!G24) + IF(ABS(IF(ISNUMBER(SEARCH("Var", D853)), 1, IF(ISNUMBER(SEARCH("Gri", D853)), -1, 0)))=1, VERI_TABANI!E24*(1-0.928)*0.00206091519919798*VERI_TABANI!G24, 0)) + ((MIN(VERI_TABANI!D25, VERI_TABANI!D25*B853)*VERI_TABANI!$B$7 + MAX(0, VERI_TABANI!D25*B853-VERI_TABANI!D25)*VERI_TABANI!$B$8) + (MIN(MAX(0, VERI_TABANI!D25-VERI_TABANI!D25*B853), VERI_TABANI!D25*C853)*VERI_TABANI!$B$7 + MAX(0, VERI_TABANI!D25*C853-MAX(0, VERI_TABANI!D25-VERI_TABANI!D25*B853))*VERI_TABANI!$B$8) + IF(ABS(IF(ISNUMBER(SEARCH("Var", D853)), 1, IF(ISNUMBER(SEARCH("Gri", D853)), -1, 0)))=1, VERI_TABANI!E25*(1-0.928)*VERI_TABANI!$B$9, 0) + (VERI_TABANI!D25*B853*(VERI_TABANI!$B$13-VERI_TABANI!$B$14)*VERI_TABANI!G25) + (VERI_TABANI!D25*C853*(VERI_TABANI!$B$13-VERI_TABANI!$B$15)*VERI_TABANI!G25) + IF(ABS(IF(ISNUMBER(SEARCH("Var", D853)), 1, IF(ISNUMBER(SEARCH("Gri", D853)), -1, 0)))=1, VERI_TABANI!E25*(1-0.928)*0.00206091519919798*VERI_TABANI!G25, 0)) + ((MIN(VERI_TABANI!D26, VERI_TABANI!D26*B853)*VERI_TABANI!$B$7 + MAX(0, VERI_TABANI!D26*B853-VERI_TABANI!D26)*VERI_TABANI!$B$8) + (MIN(MAX(0, VERI_TABANI!D26-VERI_TABANI!D26*B853), VERI_TABANI!D26*C853)*VERI_TABANI!$B$7 + MAX(0, VERI_TABANI!D26*C853-MAX(0, VERI_TABANI!D26-VERI_TABANI!D26*B853))*VERI_TABANI!$B$8) + IF(ABS(IF(ISNUMBER(SEARCH("Var", D853)), 1, IF(ISNUMBER(SEARCH("Gri", D853)), -1, 0)))=1, VERI_TABANI!E26*(1-0.928)*VERI_TABANI!$B$9, 0) + (VERI_TABANI!D26*B853*(VERI_TABANI!$B$13-VERI_TABANI!$B$14)*VERI_TABANI!G26) + (VERI_TABANI!D26*C853*(VERI_TABANI!$B$13-VERI_TABANI!$B$15)*VERI_TABANI!G26) + IF(ABS(IF(ISNUMBER(SEARCH("Var", D853)), 1, IF(ISNUMBER(SEARCH("Gri", D853)), -1, 0)))=1, VERI_TABANI!E26*(1-0.928)*0.00206091519919798*VERI_TABANI!G26, 0)) + ((MIN(VERI_TABANI!D27, VERI_TABANI!D27*B853)*VERI_TABANI!$B$7 + MAX(0, VERI_TABANI!D27*B853-VERI_TABANI!D27)*VERI_TABANI!$B$8) + (MIN(MAX(0, VERI_TABANI!D27-VERI_TABANI!D27*B853), VERI_TABANI!D27*C853)*VERI_TABANI!$B$7 + MAX(0, VERI_TABANI!D27*C853-MAX(0, VERI_TABANI!D27-VERI_TABANI!D27*B853))*VERI_TABANI!$B$8) + IF(ABS(IF(ISNUMBER(SEARCH("Var", D853)), 1, IF(ISNUMBER(SEARCH("Gri", D853)), -1, 0)))=1, VERI_TABANI!E27*(1-0.928)*VERI_TABANI!$B$9, 0) + (VERI_TABANI!D27*B853*(VERI_TABANI!$B$13-VERI_TABANI!$B$14)*VERI_TABANI!G27) + (VERI_TABANI!D27*C853*(VERI_TABANI!$B$13-VERI_TABANI!$B$15)*VERI_TABANI!G27) + IF(ABS(IF(ISNUMBER(SEARCH("Var", D853)), 1, IF(ISNUMBER(SEARCH("Gri", D853)), -1, 0)))=1, VERI_TABANI!E27*(1-0.928)*0.00206091519919798*VERI_TABANI!G27, 0)) + ((MIN(VERI_TABANI!D28, VERI_TABANI!D28*B853)*VERI_TABANI!$B$7 + MAX(0, VERI_TABANI!D28*B853-VERI_TABANI!D28)*VERI_TABANI!$B$8) + (MIN(MAX(0, VERI_TABANI!D28-VERI_TABANI!D28*B853), VERI_TABANI!D28*C853)*VERI_TABANI!$B$7 + MAX(0, VERI_TABANI!D28*C853-MAX(0, VERI_TABANI!D28-VERI_TABANI!D28*B853))*VERI_TABANI!$B$8) + IF(ABS(IF(ISNUMBER(SEARCH("Var", D853)), 1, IF(ISNUMBER(SEARCH("Gri", D853)), -1, 0)))=1, VERI_TABANI!E28*(1-0.928)*VERI_TABANI!$B$9, 0) + (VERI_TABANI!D28*B853*(VERI_TABANI!$B$13-VERI_TABANI!$B$14)*VERI_TABANI!G28) + (VERI_TABANI!D28*C853*(VERI_TABANI!$B$13-VERI_TABANI!$B$15)*VERI_TABANI!G28) + IF(ABS(IF(ISNUMBER(SEARCH("Var", D853)), 1, IF(ISNUMBER(SEARCH("Gri", D853)), -1, 0)))=1, VERI_TABANI!E28*(1-0.928)*0.00206091519919798*VERI_TABANI!G28, 0)))</f>
        <v/>
      </c>
      <c r="H853" s="169">
        <f>(((VERI_TABANI!D23*B853*(VERI_TABANI!$B$13-VERI_TABANI!$B$14)) + (VERI_TABANI!D23*C853*(VERI_TABANI!$B$13-VERI_TABANI!$B$15)) + IF(ISNUMBER(SEARCH("Var", D853)), VERI_TABANI!F23*(0.00202-VERI_TABANI!$B$16), IF(ISNUMBER(SEARCH("Gri", D853)), VERI_TABANI!F23*(0.00202-VERI_TABANI!$B$17), 0))) + ((VERI_TABANI!D24*B853*(VERI_TABANI!$B$13-VERI_TABANI!$B$14)) + (VERI_TABANI!D24*C853*(VERI_TABANI!$B$13-VERI_TABANI!$B$15)) + IF(ISNUMBER(SEARCH("Var", D853)), VERI_TABANI!F24*(0.00202-VERI_TABANI!$B$16), IF(ISNUMBER(SEARCH("Gri", D853)), VERI_TABANI!F24*(0.00202-VERI_TABANI!$B$17), 0))) + ((VERI_TABANI!D25*B853*(VERI_TABANI!$B$13-VERI_TABANI!$B$14)) + (VERI_TABANI!D25*C853*(VERI_TABANI!$B$13-VERI_TABANI!$B$15)) + IF(ISNUMBER(SEARCH("Var", D853)), VERI_TABANI!F25*(0.00202-VERI_TABANI!$B$16), IF(ISNUMBER(SEARCH("Gri", D853)), VERI_TABANI!F25*(0.00202-VERI_TABANI!$B$17), 0))) + ((VERI_TABANI!D26*B853*(VERI_TABANI!$B$13-VERI_TABANI!$B$14)) + (VERI_TABANI!D26*C853*(VERI_TABANI!$B$13-VERI_TABANI!$B$15)) + IF(ISNUMBER(SEARCH("Var", D853)), VERI_TABANI!F26*(0.00202-VERI_TABANI!$B$16), IF(ISNUMBER(SEARCH("Gri", D853)), VERI_TABANI!F26*(0.00202-VERI_TABANI!$B$17), 0))) + ((VERI_TABANI!D27*B853*(VERI_TABANI!$B$13-VERI_TABANI!$B$14)) + (VERI_TABANI!D27*C853*(VERI_TABANI!$B$13-VERI_TABANI!$B$15)) + IF(ISNUMBER(SEARCH("Var", D853)), VERI_TABANI!F27*(0.00202-VERI_TABANI!$B$16), IF(ISNUMBER(SEARCH("Gri", D853)), VERI_TABANI!F27*(0.00202-VERI_TABANI!$B$17), 0))) + ((VERI_TABANI!D28*B853*(VERI_TABANI!$B$13-VERI_TABANI!$B$14)) + (VERI_TABANI!D28*C853*(VERI_TABANI!$B$13-VERI_TABANI!$B$15)) + IF(ISNUMBER(SEARCH("Var", D853)), VERI_TABANI!F28*(0.00202-VERI_TABANI!$B$16), IF(ISNUMBER(SEARCH("Gri", D853)), VERI_TABANI!F28*(0.00202-VERI_TABANI!$B$17), 0))))</f>
        <v/>
      </c>
      <c r="I853" s="170">
        <f>IFERROR(((VERI_TABANI!$D$29*B853*VERI_TABANI!$B$14 + VERI_TABANI!$D$29*C853*VERI_TABANI!$B$15 + IF(ISNUMBER(SEARCH("Var", D853)), VERI_TABANI!$F$29*VERI_TABANI!$B$16, 0))) / (((VERI_TABANI!$D$29*B853 + VERI_TABANI!$D$29*C853)*VERI_TABANI!$B$13 + IF(ISNUMBER(SEARCH("Var", D853)), VERI_TABANI!$E$29*(1-0.928)*VERI_TABANI!$B$18, 0))), 0)</f>
        <v/>
      </c>
      <c r="J853" s="171">
        <f>IFERROR(F853/(G853/29), 0)</f>
        <v/>
      </c>
      <c r="K853" s="172">
        <f>IF(F853&gt;0, H853/F853, 0)</f>
        <v/>
      </c>
      <c r="L853" s="170">
        <f>IF(F853&gt;0, I853, 1000000000)</f>
        <v/>
      </c>
      <c r="M853" s="171">
        <f>ABS((B853+C853)-1)</f>
        <v/>
      </c>
      <c r="N853" s="170">
        <f>IF(F853&gt;0, (G853/29)/F853, 0)</f>
        <v/>
      </c>
      <c r="O853" s="168">
        <f>IF(AND((B853+C853)&gt;=1, ISNUMBER(SEARCH("Var", D853))), F853, 1000000000)</f>
        <v/>
      </c>
      <c r="P853" s="172">
        <f>IF(F853&gt;0, SQRT((F853/MAX(F$5:F$886))^2 + (1 - H853/MAX(H$5:H$886))^2 + (J853/MAX(J$5:J$886))^2), 1000000000)</f>
        <v/>
      </c>
      <c r="Q853" s="166">
        <f>IF(AND(ABS(B853-0.5)&lt;0.01, ABS(C853-0.5)&lt;0.01, ISNUMBER(SEARCH("Var", D853))), 1, 0)</f>
        <v/>
      </c>
      <c r="R853" s="171">
        <f>IF(F853&gt;0, J853, 1000000000)</f>
        <v/>
      </c>
      <c r="S853" s="101">
        <f>IF(AND(F853&lt;=DASHBOARD!$B$11, H853&gt;=DASHBOARD!$B$13), G853, -1000000000000)</f>
        <v/>
      </c>
      <c r="T853" s="101">
        <f>IF(AND(F853&lt;=DASHBOARD!$B$11, H853&gt;=DASHBOARD!$B$13), R853, 1000000000000)</f>
        <v/>
      </c>
      <c r="U853" s="101">
        <f>IF(AND(F853&lt;=DASHBOARD!$B$11, H853&gt;=DASHBOARD!$B$13), N853, -1000000000000)</f>
        <v/>
      </c>
      <c r="V853" s="101">
        <f>IF(AND(F853&lt;=DASHBOARD!$B$11, H853&gt;=DASHBOARD!$B$13), H853, -1000000000000)</f>
        <v/>
      </c>
      <c r="W853" s="101">
        <f>IF(AND(F853&lt;=DASHBOARD!$B$11, H853&gt;=DASHBOARD!$B$13), K853, -1000000000000)</f>
        <v/>
      </c>
      <c r="X853" s="101">
        <f>IF(AND(F853&lt;=DASHBOARD!$B$11, H853&gt;=DASHBOARD!$B$13), M853, 1000000000000)</f>
        <v/>
      </c>
      <c r="Y853" s="101">
        <f>IF(AND(F853&lt;=DASHBOARD!$B$10, H853&gt;=DASHBOARD!$B$11), L853, 1000000000000)</f>
        <v/>
      </c>
      <c r="Z853" s="101">
        <f>IF(AND(F853&lt;=DASHBOARD!$B$10, H853&gt;=DASHBOARD!$B$11), O853, 1000000000000)</f>
        <v/>
      </c>
      <c r="AA853" s="101">
        <f>IF(AND(F853&lt;=DASHBOARD!$B$10, H853&gt;=DASHBOARD!$B$11), P853, 1000000000000)</f>
        <v/>
      </c>
      <c r="AB853" s="101">
        <f>IF(AND(F853&lt;=DASHBOARD!$B$10, H853&gt;=DASHBOARD!$B$11), Q853, -1000000000000)</f>
        <v/>
      </c>
    </row>
    <row r="854" ht="15" customHeight="1" s="102">
      <c r="A854" s="166" t="n">
        <v>850</v>
      </c>
      <c r="B854" s="167" t="n">
        <v>2</v>
      </c>
      <c r="C854" s="167" t="n">
        <v>0.4</v>
      </c>
      <c r="D854" s="110" t="inlineStr">
        <is>
          <t>Var (%20)</t>
        </is>
      </c>
      <c r="E854" s="110">
        <f>IF((B854+C854)&lt;=1, "Tam Mahsuplaşma (≤%100)", "Kısmi Satış (&gt;%100)")</f>
        <v/>
      </c>
      <c r="F854" s="168">
        <f>((VERI_TABANI!$D$29*B854/VERI_TABANI!$B$29)/VERI_TABANI!$B$3)*VERI_TABANI!$B$5 + ((VERI_TABANI!$D$29*C854/VERI_TABANI!$B$29)/VERI_TABANI!$B$4)*VERI_TABANI!$B$6 + IF(ISNUMBER(SEARCH("Var", D854)), (VERI_TABANI!$F$29/VERI_TABANI!$B$29)*(VERI_TABANI!$B$10+VERI_TABANI!$B$12), 0)</f>
        <v/>
      </c>
      <c r="G854" s="168">
        <f>(((MIN(VERI_TABANI!D23, VERI_TABANI!D23*B854)*VERI_TABANI!$B$7 + MAX(0, VERI_TABANI!D23*B854-VERI_TABANI!D23)*VERI_TABANI!$B$8) + (MIN(MAX(0, VERI_TABANI!D23-VERI_TABANI!D23*B854), VERI_TABANI!D23*C854)*VERI_TABANI!$B$7 + MAX(0, VERI_TABANI!D23*C854-MAX(0, VERI_TABANI!D23-VERI_TABANI!D23*B854))*VERI_TABANI!$B$8) + IF(ABS(IF(ISNUMBER(SEARCH("Var", D854)), 1, IF(ISNUMBER(SEARCH("Gri", D854)), -1, 0)))=1, VERI_TABANI!E23*(1-0.928)*VERI_TABANI!$B$9, 0) + (VERI_TABANI!D23*B854*(VERI_TABANI!$B$13-VERI_TABANI!$B$14)*VERI_TABANI!G23) + (VERI_TABANI!D23*C854*(VERI_TABANI!$B$13-VERI_TABANI!$B$15)*VERI_TABANI!G23) + IF(ABS(IF(ISNUMBER(SEARCH("Var", D854)), 1, IF(ISNUMBER(SEARCH("Gri", D854)), -1, 0)))=1, VERI_TABANI!E23*(1-0.928)*0.00206091519919798*VERI_TABANI!G23, 0)) + ((MIN(VERI_TABANI!D24, VERI_TABANI!D24*B854)*VERI_TABANI!$B$7 + MAX(0, VERI_TABANI!D24*B854-VERI_TABANI!D24)*VERI_TABANI!$B$8) + (MIN(MAX(0, VERI_TABANI!D24-VERI_TABANI!D24*B854), VERI_TABANI!D24*C854)*VERI_TABANI!$B$7 + MAX(0, VERI_TABANI!D24*C854-MAX(0, VERI_TABANI!D24-VERI_TABANI!D24*B854))*VERI_TABANI!$B$8) + IF(ABS(IF(ISNUMBER(SEARCH("Var", D854)), 1, IF(ISNUMBER(SEARCH("Gri", D854)), -1, 0)))=1, VERI_TABANI!E24*(1-0.928)*VERI_TABANI!$B$9, 0) + (VERI_TABANI!D24*B854*(VERI_TABANI!$B$13-VERI_TABANI!$B$14)*VERI_TABANI!G24) + (VERI_TABANI!D24*C854*(VERI_TABANI!$B$13-VERI_TABANI!$B$15)*VERI_TABANI!G24) + IF(ABS(IF(ISNUMBER(SEARCH("Var", D854)), 1, IF(ISNUMBER(SEARCH("Gri", D854)), -1, 0)))=1, VERI_TABANI!E24*(1-0.928)*0.00206091519919798*VERI_TABANI!G24, 0)) + ((MIN(VERI_TABANI!D25, VERI_TABANI!D25*B854)*VERI_TABANI!$B$7 + MAX(0, VERI_TABANI!D25*B854-VERI_TABANI!D25)*VERI_TABANI!$B$8) + (MIN(MAX(0, VERI_TABANI!D25-VERI_TABANI!D25*B854), VERI_TABANI!D25*C854)*VERI_TABANI!$B$7 + MAX(0, VERI_TABANI!D25*C854-MAX(0, VERI_TABANI!D25-VERI_TABANI!D25*B854))*VERI_TABANI!$B$8) + IF(ABS(IF(ISNUMBER(SEARCH("Var", D854)), 1, IF(ISNUMBER(SEARCH("Gri", D854)), -1, 0)))=1, VERI_TABANI!E25*(1-0.928)*VERI_TABANI!$B$9, 0) + (VERI_TABANI!D25*B854*(VERI_TABANI!$B$13-VERI_TABANI!$B$14)*VERI_TABANI!G25) + (VERI_TABANI!D25*C854*(VERI_TABANI!$B$13-VERI_TABANI!$B$15)*VERI_TABANI!G25) + IF(ABS(IF(ISNUMBER(SEARCH("Var", D854)), 1, IF(ISNUMBER(SEARCH("Gri", D854)), -1, 0)))=1, VERI_TABANI!E25*(1-0.928)*0.00206091519919798*VERI_TABANI!G25, 0)) + ((MIN(VERI_TABANI!D26, VERI_TABANI!D26*B854)*VERI_TABANI!$B$7 + MAX(0, VERI_TABANI!D26*B854-VERI_TABANI!D26)*VERI_TABANI!$B$8) + (MIN(MAX(0, VERI_TABANI!D26-VERI_TABANI!D26*B854), VERI_TABANI!D26*C854)*VERI_TABANI!$B$7 + MAX(0, VERI_TABANI!D26*C854-MAX(0, VERI_TABANI!D26-VERI_TABANI!D26*B854))*VERI_TABANI!$B$8) + IF(ABS(IF(ISNUMBER(SEARCH("Var", D854)), 1, IF(ISNUMBER(SEARCH("Gri", D854)), -1, 0)))=1, VERI_TABANI!E26*(1-0.928)*VERI_TABANI!$B$9, 0) + (VERI_TABANI!D26*B854*(VERI_TABANI!$B$13-VERI_TABANI!$B$14)*VERI_TABANI!G26) + (VERI_TABANI!D26*C854*(VERI_TABANI!$B$13-VERI_TABANI!$B$15)*VERI_TABANI!G26) + IF(ABS(IF(ISNUMBER(SEARCH("Var", D854)), 1, IF(ISNUMBER(SEARCH("Gri", D854)), -1, 0)))=1, VERI_TABANI!E26*(1-0.928)*0.00206091519919798*VERI_TABANI!G26, 0)) + ((MIN(VERI_TABANI!D27, VERI_TABANI!D27*B854)*VERI_TABANI!$B$7 + MAX(0, VERI_TABANI!D27*B854-VERI_TABANI!D27)*VERI_TABANI!$B$8) + (MIN(MAX(0, VERI_TABANI!D27-VERI_TABANI!D27*B854), VERI_TABANI!D27*C854)*VERI_TABANI!$B$7 + MAX(0, VERI_TABANI!D27*C854-MAX(0, VERI_TABANI!D27-VERI_TABANI!D27*B854))*VERI_TABANI!$B$8) + IF(ABS(IF(ISNUMBER(SEARCH("Var", D854)), 1, IF(ISNUMBER(SEARCH("Gri", D854)), -1, 0)))=1, VERI_TABANI!E27*(1-0.928)*VERI_TABANI!$B$9, 0) + (VERI_TABANI!D27*B854*(VERI_TABANI!$B$13-VERI_TABANI!$B$14)*VERI_TABANI!G27) + (VERI_TABANI!D27*C854*(VERI_TABANI!$B$13-VERI_TABANI!$B$15)*VERI_TABANI!G27) + IF(ABS(IF(ISNUMBER(SEARCH("Var", D854)), 1, IF(ISNUMBER(SEARCH("Gri", D854)), -1, 0)))=1, VERI_TABANI!E27*(1-0.928)*0.00206091519919798*VERI_TABANI!G27, 0)) + ((MIN(VERI_TABANI!D28, VERI_TABANI!D28*B854)*VERI_TABANI!$B$7 + MAX(0, VERI_TABANI!D28*B854-VERI_TABANI!D28)*VERI_TABANI!$B$8) + (MIN(MAX(0, VERI_TABANI!D28-VERI_TABANI!D28*B854), VERI_TABANI!D28*C854)*VERI_TABANI!$B$7 + MAX(0, VERI_TABANI!D28*C854-MAX(0, VERI_TABANI!D28-VERI_TABANI!D28*B854))*VERI_TABANI!$B$8) + IF(ABS(IF(ISNUMBER(SEARCH("Var", D854)), 1, IF(ISNUMBER(SEARCH("Gri", D854)), -1, 0)))=1, VERI_TABANI!E28*(1-0.928)*VERI_TABANI!$B$9, 0) + (VERI_TABANI!D28*B854*(VERI_TABANI!$B$13-VERI_TABANI!$B$14)*VERI_TABANI!G28) + (VERI_TABANI!D28*C854*(VERI_TABANI!$B$13-VERI_TABANI!$B$15)*VERI_TABANI!G28) + IF(ABS(IF(ISNUMBER(SEARCH("Var", D854)), 1, IF(ISNUMBER(SEARCH("Gri", D854)), -1, 0)))=1, VERI_TABANI!E28*(1-0.928)*0.00206091519919798*VERI_TABANI!G28, 0)))</f>
        <v/>
      </c>
      <c r="H854" s="169">
        <f>(((VERI_TABANI!D23*B854*(VERI_TABANI!$B$13-VERI_TABANI!$B$14)) + (VERI_TABANI!D23*C854*(VERI_TABANI!$B$13-VERI_TABANI!$B$15)) + IF(ISNUMBER(SEARCH("Var", D854)), VERI_TABANI!F23*(0.00202-VERI_TABANI!$B$16), IF(ISNUMBER(SEARCH("Gri", D854)), VERI_TABANI!F23*(0.00202-VERI_TABANI!$B$17), 0))) + ((VERI_TABANI!D24*B854*(VERI_TABANI!$B$13-VERI_TABANI!$B$14)) + (VERI_TABANI!D24*C854*(VERI_TABANI!$B$13-VERI_TABANI!$B$15)) + IF(ISNUMBER(SEARCH("Var", D854)), VERI_TABANI!F24*(0.00202-VERI_TABANI!$B$16), IF(ISNUMBER(SEARCH("Gri", D854)), VERI_TABANI!F24*(0.00202-VERI_TABANI!$B$17), 0))) + ((VERI_TABANI!D25*B854*(VERI_TABANI!$B$13-VERI_TABANI!$B$14)) + (VERI_TABANI!D25*C854*(VERI_TABANI!$B$13-VERI_TABANI!$B$15)) + IF(ISNUMBER(SEARCH("Var", D854)), VERI_TABANI!F25*(0.00202-VERI_TABANI!$B$16), IF(ISNUMBER(SEARCH("Gri", D854)), VERI_TABANI!F25*(0.00202-VERI_TABANI!$B$17), 0))) + ((VERI_TABANI!D26*B854*(VERI_TABANI!$B$13-VERI_TABANI!$B$14)) + (VERI_TABANI!D26*C854*(VERI_TABANI!$B$13-VERI_TABANI!$B$15)) + IF(ISNUMBER(SEARCH("Var", D854)), VERI_TABANI!F26*(0.00202-VERI_TABANI!$B$16), IF(ISNUMBER(SEARCH("Gri", D854)), VERI_TABANI!F26*(0.00202-VERI_TABANI!$B$17), 0))) + ((VERI_TABANI!D27*B854*(VERI_TABANI!$B$13-VERI_TABANI!$B$14)) + (VERI_TABANI!D27*C854*(VERI_TABANI!$B$13-VERI_TABANI!$B$15)) + IF(ISNUMBER(SEARCH("Var", D854)), VERI_TABANI!F27*(0.00202-VERI_TABANI!$B$16), IF(ISNUMBER(SEARCH("Gri", D854)), VERI_TABANI!F27*(0.00202-VERI_TABANI!$B$17), 0))) + ((VERI_TABANI!D28*B854*(VERI_TABANI!$B$13-VERI_TABANI!$B$14)) + (VERI_TABANI!D28*C854*(VERI_TABANI!$B$13-VERI_TABANI!$B$15)) + IF(ISNUMBER(SEARCH("Var", D854)), VERI_TABANI!F28*(0.00202-VERI_TABANI!$B$16), IF(ISNUMBER(SEARCH("Gri", D854)), VERI_TABANI!F28*(0.00202-VERI_TABANI!$B$17), 0))))</f>
        <v/>
      </c>
      <c r="I854" s="170">
        <f>IFERROR(((VERI_TABANI!$D$29*B854*VERI_TABANI!$B$14 + VERI_TABANI!$D$29*C854*VERI_TABANI!$B$15 + IF(ISNUMBER(SEARCH("Var", D854)), VERI_TABANI!$F$29*VERI_TABANI!$B$16, 0))) / (((VERI_TABANI!$D$29*B854 + VERI_TABANI!$D$29*C854)*VERI_TABANI!$B$13 + IF(ISNUMBER(SEARCH("Var", D854)), VERI_TABANI!$E$29*(1-0.928)*VERI_TABANI!$B$18, 0))), 0)</f>
        <v/>
      </c>
      <c r="J854" s="171">
        <f>IFERROR(F854/(G854/29), 0)</f>
        <v/>
      </c>
      <c r="K854" s="172">
        <f>IF(F854&gt;0, H854/F854, 0)</f>
        <v/>
      </c>
      <c r="L854" s="170">
        <f>IF(F854&gt;0, I854, 1000000000)</f>
        <v/>
      </c>
      <c r="M854" s="171">
        <f>ABS((B854+C854)-1)</f>
        <v/>
      </c>
      <c r="N854" s="170">
        <f>IF(F854&gt;0, (G854/29)/F854, 0)</f>
        <v/>
      </c>
      <c r="O854" s="168">
        <f>IF(AND((B854+C854)&gt;=1, ISNUMBER(SEARCH("Var", D854))), F854, 1000000000)</f>
        <v/>
      </c>
      <c r="P854" s="172">
        <f>IF(F854&gt;0, SQRT((F854/MAX(F$5:F$886))^2 + (1 - H854/MAX(H$5:H$886))^2 + (J854/MAX(J$5:J$886))^2), 1000000000)</f>
        <v/>
      </c>
      <c r="Q854" s="166">
        <f>IF(AND(ABS(B854-0.5)&lt;0.01, ABS(C854-0.5)&lt;0.01, ISNUMBER(SEARCH("Var", D854))), 1, 0)</f>
        <v/>
      </c>
      <c r="R854" s="171">
        <f>IF(F854&gt;0, J854, 1000000000)</f>
        <v/>
      </c>
      <c r="S854" s="101">
        <f>IF(AND(F854&lt;=DASHBOARD!$B$11, H854&gt;=DASHBOARD!$B$13), G854, -1000000000000)</f>
        <v/>
      </c>
      <c r="T854" s="101">
        <f>IF(AND(F854&lt;=DASHBOARD!$B$11, H854&gt;=DASHBOARD!$B$13), R854, 1000000000000)</f>
        <v/>
      </c>
      <c r="U854" s="101">
        <f>IF(AND(F854&lt;=DASHBOARD!$B$11, H854&gt;=DASHBOARD!$B$13), N854, -1000000000000)</f>
        <v/>
      </c>
      <c r="V854" s="101">
        <f>IF(AND(F854&lt;=DASHBOARD!$B$11, H854&gt;=DASHBOARD!$B$13), H854, -1000000000000)</f>
        <v/>
      </c>
      <c r="W854" s="101">
        <f>IF(AND(F854&lt;=DASHBOARD!$B$11, H854&gt;=DASHBOARD!$B$13), K854, -1000000000000)</f>
        <v/>
      </c>
      <c r="X854" s="101">
        <f>IF(AND(F854&lt;=DASHBOARD!$B$11, H854&gt;=DASHBOARD!$B$13), M854, 1000000000000)</f>
        <v/>
      </c>
      <c r="Y854" s="101">
        <f>IF(AND(F854&lt;=DASHBOARD!$B$10, H854&gt;=DASHBOARD!$B$11), L854, 1000000000000)</f>
        <v/>
      </c>
      <c r="Z854" s="101">
        <f>IF(AND(F854&lt;=DASHBOARD!$B$10, H854&gt;=DASHBOARD!$B$11), O854, 1000000000000)</f>
        <v/>
      </c>
      <c r="AA854" s="101">
        <f>IF(AND(F854&lt;=DASHBOARD!$B$10, H854&gt;=DASHBOARD!$B$11), P854, 1000000000000)</f>
        <v/>
      </c>
      <c r="AB854" s="101">
        <f>IF(AND(F854&lt;=DASHBOARD!$B$10, H854&gt;=DASHBOARD!$B$11), Q854, -1000000000000)</f>
        <v/>
      </c>
    </row>
    <row r="855" ht="15" customHeight="1" s="102">
      <c r="A855" s="166" t="n">
        <v>851</v>
      </c>
      <c r="B855" s="167" t="n">
        <v>2</v>
      </c>
      <c r="C855" s="167" t="n">
        <v>0.5</v>
      </c>
      <c r="D855" s="110" t="inlineStr">
        <is>
          <t>Yok (%0)</t>
        </is>
      </c>
      <c r="E855" s="110">
        <f>IF((B855+C855)&lt;=1, "Tam Mahsuplaşma (≤%100)", "Kısmi Satış (&gt;%100)")</f>
        <v/>
      </c>
      <c r="F855" s="168">
        <f>((VERI_TABANI!$D$29*B855/VERI_TABANI!$B$29)/VERI_TABANI!$B$3)*VERI_TABANI!$B$5 + ((VERI_TABANI!$D$29*C855/VERI_TABANI!$B$29)/VERI_TABANI!$B$4)*VERI_TABANI!$B$6 + IF(ISNUMBER(SEARCH("Var", D855)), (VERI_TABANI!$F$29/VERI_TABANI!$B$29)*(VERI_TABANI!$B$10+VERI_TABANI!$B$12), 0)</f>
        <v/>
      </c>
      <c r="G855" s="168">
        <f>(((MIN(VERI_TABANI!D23, VERI_TABANI!D23*B855)*VERI_TABANI!$B$7 + MAX(0, VERI_TABANI!D23*B855-VERI_TABANI!D23)*VERI_TABANI!$B$8) + (MIN(MAX(0, VERI_TABANI!D23-VERI_TABANI!D23*B855), VERI_TABANI!D23*C855)*VERI_TABANI!$B$7 + MAX(0, VERI_TABANI!D23*C855-MAX(0, VERI_TABANI!D23-VERI_TABANI!D23*B855))*VERI_TABANI!$B$8) + IF(ABS(IF(ISNUMBER(SEARCH("Var", D855)), 1, IF(ISNUMBER(SEARCH("Gri", D855)), -1, 0)))=1, VERI_TABANI!E23*(1-0.928)*VERI_TABANI!$B$9, 0) + (VERI_TABANI!D23*B855*(VERI_TABANI!$B$13-VERI_TABANI!$B$14)*VERI_TABANI!G23) + (VERI_TABANI!D23*C855*(VERI_TABANI!$B$13-VERI_TABANI!$B$15)*VERI_TABANI!G23) + IF(ABS(IF(ISNUMBER(SEARCH("Var", D855)), 1, IF(ISNUMBER(SEARCH("Gri", D855)), -1, 0)))=1, VERI_TABANI!E23*(1-0.928)*0.00206091519919798*VERI_TABANI!G23, 0)) + ((MIN(VERI_TABANI!D24, VERI_TABANI!D24*B855)*VERI_TABANI!$B$7 + MAX(0, VERI_TABANI!D24*B855-VERI_TABANI!D24)*VERI_TABANI!$B$8) + (MIN(MAX(0, VERI_TABANI!D24-VERI_TABANI!D24*B855), VERI_TABANI!D24*C855)*VERI_TABANI!$B$7 + MAX(0, VERI_TABANI!D24*C855-MAX(0, VERI_TABANI!D24-VERI_TABANI!D24*B855))*VERI_TABANI!$B$8) + IF(ABS(IF(ISNUMBER(SEARCH("Var", D855)), 1, IF(ISNUMBER(SEARCH("Gri", D855)), -1, 0)))=1, VERI_TABANI!E24*(1-0.928)*VERI_TABANI!$B$9, 0) + (VERI_TABANI!D24*B855*(VERI_TABANI!$B$13-VERI_TABANI!$B$14)*VERI_TABANI!G24) + (VERI_TABANI!D24*C855*(VERI_TABANI!$B$13-VERI_TABANI!$B$15)*VERI_TABANI!G24) + IF(ABS(IF(ISNUMBER(SEARCH("Var", D855)), 1, IF(ISNUMBER(SEARCH("Gri", D855)), -1, 0)))=1, VERI_TABANI!E24*(1-0.928)*0.00206091519919798*VERI_TABANI!G24, 0)) + ((MIN(VERI_TABANI!D25, VERI_TABANI!D25*B855)*VERI_TABANI!$B$7 + MAX(0, VERI_TABANI!D25*B855-VERI_TABANI!D25)*VERI_TABANI!$B$8) + (MIN(MAX(0, VERI_TABANI!D25-VERI_TABANI!D25*B855), VERI_TABANI!D25*C855)*VERI_TABANI!$B$7 + MAX(0, VERI_TABANI!D25*C855-MAX(0, VERI_TABANI!D25-VERI_TABANI!D25*B855))*VERI_TABANI!$B$8) + IF(ABS(IF(ISNUMBER(SEARCH("Var", D855)), 1, IF(ISNUMBER(SEARCH("Gri", D855)), -1, 0)))=1, VERI_TABANI!E25*(1-0.928)*VERI_TABANI!$B$9, 0) + (VERI_TABANI!D25*B855*(VERI_TABANI!$B$13-VERI_TABANI!$B$14)*VERI_TABANI!G25) + (VERI_TABANI!D25*C855*(VERI_TABANI!$B$13-VERI_TABANI!$B$15)*VERI_TABANI!G25) + IF(ABS(IF(ISNUMBER(SEARCH("Var", D855)), 1, IF(ISNUMBER(SEARCH("Gri", D855)), -1, 0)))=1, VERI_TABANI!E25*(1-0.928)*0.00206091519919798*VERI_TABANI!G25, 0)) + ((MIN(VERI_TABANI!D26, VERI_TABANI!D26*B855)*VERI_TABANI!$B$7 + MAX(0, VERI_TABANI!D26*B855-VERI_TABANI!D26)*VERI_TABANI!$B$8) + (MIN(MAX(0, VERI_TABANI!D26-VERI_TABANI!D26*B855), VERI_TABANI!D26*C855)*VERI_TABANI!$B$7 + MAX(0, VERI_TABANI!D26*C855-MAX(0, VERI_TABANI!D26-VERI_TABANI!D26*B855))*VERI_TABANI!$B$8) + IF(ABS(IF(ISNUMBER(SEARCH("Var", D855)), 1, IF(ISNUMBER(SEARCH("Gri", D855)), -1, 0)))=1, VERI_TABANI!E26*(1-0.928)*VERI_TABANI!$B$9, 0) + (VERI_TABANI!D26*B855*(VERI_TABANI!$B$13-VERI_TABANI!$B$14)*VERI_TABANI!G26) + (VERI_TABANI!D26*C855*(VERI_TABANI!$B$13-VERI_TABANI!$B$15)*VERI_TABANI!G26) + IF(ABS(IF(ISNUMBER(SEARCH("Var", D855)), 1, IF(ISNUMBER(SEARCH("Gri", D855)), -1, 0)))=1, VERI_TABANI!E26*(1-0.928)*0.00206091519919798*VERI_TABANI!G26, 0)) + ((MIN(VERI_TABANI!D27, VERI_TABANI!D27*B855)*VERI_TABANI!$B$7 + MAX(0, VERI_TABANI!D27*B855-VERI_TABANI!D27)*VERI_TABANI!$B$8) + (MIN(MAX(0, VERI_TABANI!D27-VERI_TABANI!D27*B855), VERI_TABANI!D27*C855)*VERI_TABANI!$B$7 + MAX(0, VERI_TABANI!D27*C855-MAX(0, VERI_TABANI!D27-VERI_TABANI!D27*B855))*VERI_TABANI!$B$8) + IF(ABS(IF(ISNUMBER(SEARCH("Var", D855)), 1, IF(ISNUMBER(SEARCH("Gri", D855)), -1, 0)))=1, VERI_TABANI!E27*(1-0.928)*VERI_TABANI!$B$9, 0) + (VERI_TABANI!D27*B855*(VERI_TABANI!$B$13-VERI_TABANI!$B$14)*VERI_TABANI!G27) + (VERI_TABANI!D27*C855*(VERI_TABANI!$B$13-VERI_TABANI!$B$15)*VERI_TABANI!G27) + IF(ABS(IF(ISNUMBER(SEARCH("Var", D855)), 1, IF(ISNUMBER(SEARCH("Gri", D855)), -1, 0)))=1, VERI_TABANI!E27*(1-0.928)*0.00206091519919798*VERI_TABANI!G27, 0)) + ((MIN(VERI_TABANI!D28, VERI_TABANI!D28*B855)*VERI_TABANI!$B$7 + MAX(0, VERI_TABANI!D28*B855-VERI_TABANI!D28)*VERI_TABANI!$B$8) + (MIN(MAX(0, VERI_TABANI!D28-VERI_TABANI!D28*B855), VERI_TABANI!D28*C855)*VERI_TABANI!$B$7 + MAX(0, VERI_TABANI!D28*C855-MAX(0, VERI_TABANI!D28-VERI_TABANI!D28*B855))*VERI_TABANI!$B$8) + IF(ABS(IF(ISNUMBER(SEARCH("Var", D855)), 1, IF(ISNUMBER(SEARCH("Gri", D855)), -1, 0)))=1, VERI_TABANI!E28*(1-0.928)*VERI_TABANI!$B$9, 0) + (VERI_TABANI!D28*B855*(VERI_TABANI!$B$13-VERI_TABANI!$B$14)*VERI_TABANI!G28) + (VERI_TABANI!D28*C855*(VERI_TABANI!$B$13-VERI_TABANI!$B$15)*VERI_TABANI!G28) + IF(ABS(IF(ISNUMBER(SEARCH("Var", D855)), 1, IF(ISNUMBER(SEARCH("Gri", D855)), -1, 0)))=1, VERI_TABANI!E28*(1-0.928)*0.00206091519919798*VERI_TABANI!G28, 0)))</f>
        <v/>
      </c>
      <c r="H855" s="169">
        <f>(((VERI_TABANI!D23*B855*(VERI_TABANI!$B$13-VERI_TABANI!$B$14)) + (VERI_TABANI!D23*C855*(VERI_TABANI!$B$13-VERI_TABANI!$B$15)) + IF(ISNUMBER(SEARCH("Var", D855)), VERI_TABANI!F23*(0.00202-VERI_TABANI!$B$16), IF(ISNUMBER(SEARCH("Gri", D855)), VERI_TABANI!F23*(0.00202-VERI_TABANI!$B$17), 0))) + ((VERI_TABANI!D24*B855*(VERI_TABANI!$B$13-VERI_TABANI!$B$14)) + (VERI_TABANI!D24*C855*(VERI_TABANI!$B$13-VERI_TABANI!$B$15)) + IF(ISNUMBER(SEARCH("Var", D855)), VERI_TABANI!F24*(0.00202-VERI_TABANI!$B$16), IF(ISNUMBER(SEARCH("Gri", D855)), VERI_TABANI!F24*(0.00202-VERI_TABANI!$B$17), 0))) + ((VERI_TABANI!D25*B855*(VERI_TABANI!$B$13-VERI_TABANI!$B$14)) + (VERI_TABANI!D25*C855*(VERI_TABANI!$B$13-VERI_TABANI!$B$15)) + IF(ISNUMBER(SEARCH("Var", D855)), VERI_TABANI!F25*(0.00202-VERI_TABANI!$B$16), IF(ISNUMBER(SEARCH("Gri", D855)), VERI_TABANI!F25*(0.00202-VERI_TABANI!$B$17), 0))) + ((VERI_TABANI!D26*B855*(VERI_TABANI!$B$13-VERI_TABANI!$B$14)) + (VERI_TABANI!D26*C855*(VERI_TABANI!$B$13-VERI_TABANI!$B$15)) + IF(ISNUMBER(SEARCH("Var", D855)), VERI_TABANI!F26*(0.00202-VERI_TABANI!$B$16), IF(ISNUMBER(SEARCH("Gri", D855)), VERI_TABANI!F26*(0.00202-VERI_TABANI!$B$17), 0))) + ((VERI_TABANI!D27*B855*(VERI_TABANI!$B$13-VERI_TABANI!$B$14)) + (VERI_TABANI!D27*C855*(VERI_TABANI!$B$13-VERI_TABANI!$B$15)) + IF(ISNUMBER(SEARCH("Var", D855)), VERI_TABANI!F27*(0.00202-VERI_TABANI!$B$16), IF(ISNUMBER(SEARCH("Gri", D855)), VERI_TABANI!F27*(0.00202-VERI_TABANI!$B$17), 0))) + ((VERI_TABANI!D28*B855*(VERI_TABANI!$B$13-VERI_TABANI!$B$14)) + (VERI_TABANI!D28*C855*(VERI_TABANI!$B$13-VERI_TABANI!$B$15)) + IF(ISNUMBER(SEARCH("Var", D855)), VERI_TABANI!F28*(0.00202-VERI_TABANI!$B$16), IF(ISNUMBER(SEARCH("Gri", D855)), VERI_TABANI!F28*(0.00202-VERI_TABANI!$B$17), 0))))</f>
        <v/>
      </c>
      <c r="I855" s="170">
        <f>IFERROR(((VERI_TABANI!$D$29*B855*VERI_TABANI!$B$14 + VERI_TABANI!$D$29*C855*VERI_TABANI!$B$15 + IF(ISNUMBER(SEARCH("Var", D855)), VERI_TABANI!$F$29*VERI_TABANI!$B$16, 0))) / (((VERI_TABANI!$D$29*B855 + VERI_TABANI!$D$29*C855)*VERI_TABANI!$B$13 + IF(ISNUMBER(SEARCH("Var", D855)), VERI_TABANI!$E$29*(1-0.928)*VERI_TABANI!$B$18, 0))), 0)</f>
        <v/>
      </c>
      <c r="J855" s="171">
        <f>IFERROR(F855/(G855/29), 0)</f>
        <v/>
      </c>
      <c r="K855" s="172">
        <f>IF(F855&gt;0, H855/F855, 0)</f>
        <v/>
      </c>
      <c r="L855" s="170">
        <f>IF(F855&gt;0, I855, 1000000000)</f>
        <v/>
      </c>
      <c r="M855" s="171">
        <f>ABS((B855+C855)-1)</f>
        <v/>
      </c>
      <c r="N855" s="170">
        <f>IF(F855&gt;0, (G855/29)/F855, 0)</f>
        <v/>
      </c>
      <c r="O855" s="168">
        <f>IF(AND((B855+C855)&gt;=1, ISNUMBER(SEARCH("Var", D855))), F855, 1000000000)</f>
        <v/>
      </c>
      <c r="P855" s="172">
        <f>IF(F855&gt;0, SQRT((F855/MAX(F$5:F$886))^2 + (1 - H855/MAX(H$5:H$886))^2 + (J855/MAX(J$5:J$886))^2), 1000000000)</f>
        <v/>
      </c>
      <c r="Q855" s="166">
        <f>IF(AND(ABS(B855-0.5)&lt;0.01, ABS(C855-0.5)&lt;0.01, ISNUMBER(SEARCH("Var", D855))), 1, 0)</f>
        <v/>
      </c>
      <c r="R855" s="171">
        <f>IF(F855&gt;0, J855, 1000000000)</f>
        <v/>
      </c>
      <c r="S855" s="101">
        <f>IF(AND(F855&lt;=DASHBOARD!$B$11, H855&gt;=DASHBOARD!$B$13), G855, -1000000000000)</f>
        <v/>
      </c>
      <c r="T855" s="101">
        <f>IF(AND(F855&lt;=DASHBOARD!$B$11, H855&gt;=DASHBOARD!$B$13), R855, 1000000000000)</f>
        <v/>
      </c>
      <c r="U855" s="101">
        <f>IF(AND(F855&lt;=DASHBOARD!$B$11, H855&gt;=DASHBOARD!$B$13), N855, -1000000000000)</f>
        <v/>
      </c>
      <c r="V855" s="101">
        <f>IF(AND(F855&lt;=DASHBOARD!$B$11, H855&gt;=DASHBOARD!$B$13), H855, -1000000000000)</f>
        <v/>
      </c>
      <c r="W855" s="101">
        <f>IF(AND(F855&lt;=DASHBOARD!$B$11, H855&gt;=DASHBOARD!$B$13), K855, -1000000000000)</f>
        <v/>
      </c>
      <c r="X855" s="101">
        <f>IF(AND(F855&lt;=DASHBOARD!$B$11, H855&gt;=DASHBOARD!$B$13), M855, 1000000000000)</f>
        <v/>
      </c>
      <c r="Y855" s="101">
        <f>IF(AND(F855&lt;=DASHBOARD!$B$10, H855&gt;=DASHBOARD!$B$11), L855, 1000000000000)</f>
        <v/>
      </c>
      <c r="Z855" s="101">
        <f>IF(AND(F855&lt;=DASHBOARD!$B$10, H855&gt;=DASHBOARD!$B$11), O855, 1000000000000)</f>
        <v/>
      </c>
      <c r="AA855" s="101">
        <f>IF(AND(F855&lt;=DASHBOARD!$B$10, H855&gt;=DASHBOARD!$B$11), P855, 1000000000000)</f>
        <v/>
      </c>
      <c r="AB855" s="101">
        <f>IF(AND(F855&lt;=DASHBOARD!$B$10, H855&gt;=DASHBOARD!$B$11), Q855, -1000000000000)</f>
        <v/>
      </c>
    </row>
    <row r="856" ht="15" customHeight="1" s="102">
      <c r="A856" s="166" t="n">
        <v>852</v>
      </c>
      <c r="B856" s="167" t="n">
        <v>2</v>
      </c>
      <c r="C856" s="167" t="n">
        <v>0.5</v>
      </c>
      <c r="D856" s="110" t="inlineStr">
        <is>
          <t>Var (%20)</t>
        </is>
      </c>
      <c r="E856" s="110">
        <f>IF((B856+C856)&lt;=1, "Tam Mahsuplaşma (≤%100)", "Kısmi Satış (&gt;%100)")</f>
        <v/>
      </c>
      <c r="F856" s="168">
        <f>((VERI_TABANI!$D$29*B856/VERI_TABANI!$B$29)/VERI_TABANI!$B$3)*VERI_TABANI!$B$5 + ((VERI_TABANI!$D$29*C856/VERI_TABANI!$B$29)/VERI_TABANI!$B$4)*VERI_TABANI!$B$6 + IF(ISNUMBER(SEARCH("Var", D856)), (VERI_TABANI!$F$29/VERI_TABANI!$B$29)*(VERI_TABANI!$B$10+VERI_TABANI!$B$12), 0)</f>
        <v/>
      </c>
      <c r="G856" s="168">
        <f>(((MIN(VERI_TABANI!D23, VERI_TABANI!D23*B856)*VERI_TABANI!$B$7 + MAX(0, VERI_TABANI!D23*B856-VERI_TABANI!D23)*VERI_TABANI!$B$8) + (MIN(MAX(0, VERI_TABANI!D23-VERI_TABANI!D23*B856), VERI_TABANI!D23*C856)*VERI_TABANI!$B$7 + MAX(0, VERI_TABANI!D23*C856-MAX(0, VERI_TABANI!D23-VERI_TABANI!D23*B856))*VERI_TABANI!$B$8) + IF(ABS(IF(ISNUMBER(SEARCH("Var", D856)), 1, IF(ISNUMBER(SEARCH("Gri", D856)), -1, 0)))=1, VERI_TABANI!E23*(1-0.928)*VERI_TABANI!$B$9, 0) + (VERI_TABANI!D23*B856*(VERI_TABANI!$B$13-VERI_TABANI!$B$14)*VERI_TABANI!G23) + (VERI_TABANI!D23*C856*(VERI_TABANI!$B$13-VERI_TABANI!$B$15)*VERI_TABANI!G23) + IF(ABS(IF(ISNUMBER(SEARCH("Var", D856)), 1, IF(ISNUMBER(SEARCH("Gri", D856)), -1, 0)))=1, VERI_TABANI!E23*(1-0.928)*0.00206091519919798*VERI_TABANI!G23, 0)) + ((MIN(VERI_TABANI!D24, VERI_TABANI!D24*B856)*VERI_TABANI!$B$7 + MAX(0, VERI_TABANI!D24*B856-VERI_TABANI!D24)*VERI_TABANI!$B$8) + (MIN(MAX(0, VERI_TABANI!D24-VERI_TABANI!D24*B856), VERI_TABANI!D24*C856)*VERI_TABANI!$B$7 + MAX(0, VERI_TABANI!D24*C856-MAX(0, VERI_TABANI!D24-VERI_TABANI!D24*B856))*VERI_TABANI!$B$8) + IF(ABS(IF(ISNUMBER(SEARCH("Var", D856)), 1, IF(ISNUMBER(SEARCH("Gri", D856)), -1, 0)))=1, VERI_TABANI!E24*(1-0.928)*VERI_TABANI!$B$9, 0) + (VERI_TABANI!D24*B856*(VERI_TABANI!$B$13-VERI_TABANI!$B$14)*VERI_TABANI!G24) + (VERI_TABANI!D24*C856*(VERI_TABANI!$B$13-VERI_TABANI!$B$15)*VERI_TABANI!G24) + IF(ABS(IF(ISNUMBER(SEARCH("Var", D856)), 1, IF(ISNUMBER(SEARCH("Gri", D856)), -1, 0)))=1, VERI_TABANI!E24*(1-0.928)*0.00206091519919798*VERI_TABANI!G24, 0)) + ((MIN(VERI_TABANI!D25, VERI_TABANI!D25*B856)*VERI_TABANI!$B$7 + MAX(0, VERI_TABANI!D25*B856-VERI_TABANI!D25)*VERI_TABANI!$B$8) + (MIN(MAX(0, VERI_TABANI!D25-VERI_TABANI!D25*B856), VERI_TABANI!D25*C856)*VERI_TABANI!$B$7 + MAX(0, VERI_TABANI!D25*C856-MAX(0, VERI_TABANI!D25-VERI_TABANI!D25*B856))*VERI_TABANI!$B$8) + IF(ABS(IF(ISNUMBER(SEARCH("Var", D856)), 1, IF(ISNUMBER(SEARCH("Gri", D856)), -1, 0)))=1, VERI_TABANI!E25*(1-0.928)*VERI_TABANI!$B$9, 0) + (VERI_TABANI!D25*B856*(VERI_TABANI!$B$13-VERI_TABANI!$B$14)*VERI_TABANI!G25) + (VERI_TABANI!D25*C856*(VERI_TABANI!$B$13-VERI_TABANI!$B$15)*VERI_TABANI!G25) + IF(ABS(IF(ISNUMBER(SEARCH("Var", D856)), 1, IF(ISNUMBER(SEARCH("Gri", D856)), -1, 0)))=1, VERI_TABANI!E25*(1-0.928)*0.00206091519919798*VERI_TABANI!G25, 0)) + ((MIN(VERI_TABANI!D26, VERI_TABANI!D26*B856)*VERI_TABANI!$B$7 + MAX(0, VERI_TABANI!D26*B856-VERI_TABANI!D26)*VERI_TABANI!$B$8) + (MIN(MAX(0, VERI_TABANI!D26-VERI_TABANI!D26*B856), VERI_TABANI!D26*C856)*VERI_TABANI!$B$7 + MAX(0, VERI_TABANI!D26*C856-MAX(0, VERI_TABANI!D26-VERI_TABANI!D26*B856))*VERI_TABANI!$B$8) + IF(ABS(IF(ISNUMBER(SEARCH("Var", D856)), 1, IF(ISNUMBER(SEARCH("Gri", D856)), -1, 0)))=1, VERI_TABANI!E26*(1-0.928)*VERI_TABANI!$B$9, 0) + (VERI_TABANI!D26*B856*(VERI_TABANI!$B$13-VERI_TABANI!$B$14)*VERI_TABANI!G26) + (VERI_TABANI!D26*C856*(VERI_TABANI!$B$13-VERI_TABANI!$B$15)*VERI_TABANI!G26) + IF(ABS(IF(ISNUMBER(SEARCH("Var", D856)), 1, IF(ISNUMBER(SEARCH("Gri", D856)), -1, 0)))=1, VERI_TABANI!E26*(1-0.928)*0.00206091519919798*VERI_TABANI!G26, 0)) + ((MIN(VERI_TABANI!D27, VERI_TABANI!D27*B856)*VERI_TABANI!$B$7 + MAX(0, VERI_TABANI!D27*B856-VERI_TABANI!D27)*VERI_TABANI!$B$8) + (MIN(MAX(0, VERI_TABANI!D27-VERI_TABANI!D27*B856), VERI_TABANI!D27*C856)*VERI_TABANI!$B$7 + MAX(0, VERI_TABANI!D27*C856-MAX(0, VERI_TABANI!D27-VERI_TABANI!D27*B856))*VERI_TABANI!$B$8) + IF(ABS(IF(ISNUMBER(SEARCH("Var", D856)), 1, IF(ISNUMBER(SEARCH("Gri", D856)), -1, 0)))=1, VERI_TABANI!E27*(1-0.928)*VERI_TABANI!$B$9, 0) + (VERI_TABANI!D27*B856*(VERI_TABANI!$B$13-VERI_TABANI!$B$14)*VERI_TABANI!G27) + (VERI_TABANI!D27*C856*(VERI_TABANI!$B$13-VERI_TABANI!$B$15)*VERI_TABANI!G27) + IF(ABS(IF(ISNUMBER(SEARCH("Var", D856)), 1, IF(ISNUMBER(SEARCH("Gri", D856)), -1, 0)))=1, VERI_TABANI!E27*(1-0.928)*0.00206091519919798*VERI_TABANI!G27, 0)) + ((MIN(VERI_TABANI!D28, VERI_TABANI!D28*B856)*VERI_TABANI!$B$7 + MAX(0, VERI_TABANI!D28*B856-VERI_TABANI!D28)*VERI_TABANI!$B$8) + (MIN(MAX(0, VERI_TABANI!D28-VERI_TABANI!D28*B856), VERI_TABANI!D28*C856)*VERI_TABANI!$B$7 + MAX(0, VERI_TABANI!D28*C856-MAX(0, VERI_TABANI!D28-VERI_TABANI!D28*B856))*VERI_TABANI!$B$8) + IF(ABS(IF(ISNUMBER(SEARCH("Var", D856)), 1, IF(ISNUMBER(SEARCH("Gri", D856)), -1, 0)))=1, VERI_TABANI!E28*(1-0.928)*VERI_TABANI!$B$9, 0) + (VERI_TABANI!D28*B856*(VERI_TABANI!$B$13-VERI_TABANI!$B$14)*VERI_TABANI!G28) + (VERI_TABANI!D28*C856*(VERI_TABANI!$B$13-VERI_TABANI!$B$15)*VERI_TABANI!G28) + IF(ABS(IF(ISNUMBER(SEARCH("Var", D856)), 1, IF(ISNUMBER(SEARCH("Gri", D856)), -1, 0)))=1, VERI_TABANI!E28*(1-0.928)*0.00206091519919798*VERI_TABANI!G28, 0)))</f>
        <v/>
      </c>
      <c r="H856" s="169">
        <f>(((VERI_TABANI!D23*B856*(VERI_TABANI!$B$13-VERI_TABANI!$B$14)) + (VERI_TABANI!D23*C856*(VERI_TABANI!$B$13-VERI_TABANI!$B$15)) + IF(ISNUMBER(SEARCH("Var", D856)), VERI_TABANI!F23*(0.00202-VERI_TABANI!$B$16), IF(ISNUMBER(SEARCH("Gri", D856)), VERI_TABANI!F23*(0.00202-VERI_TABANI!$B$17), 0))) + ((VERI_TABANI!D24*B856*(VERI_TABANI!$B$13-VERI_TABANI!$B$14)) + (VERI_TABANI!D24*C856*(VERI_TABANI!$B$13-VERI_TABANI!$B$15)) + IF(ISNUMBER(SEARCH("Var", D856)), VERI_TABANI!F24*(0.00202-VERI_TABANI!$B$16), IF(ISNUMBER(SEARCH("Gri", D856)), VERI_TABANI!F24*(0.00202-VERI_TABANI!$B$17), 0))) + ((VERI_TABANI!D25*B856*(VERI_TABANI!$B$13-VERI_TABANI!$B$14)) + (VERI_TABANI!D25*C856*(VERI_TABANI!$B$13-VERI_TABANI!$B$15)) + IF(ISNUMBER(SEARCH("Var", D856)), VERI_TABANI!F25*(0.00202-VERI_TABANI!$B$16), IF(ISNUMBER(SEARCH("Gri", D856)), VERI_TABANI!F25*(0.00202-VERI_TABANI!$B$17), 0))) + ((VERI_TABANI!D26*B856*(VERI_TABANI!$B$13-VERI_TABANI!$B$14)) + (VERI_TABANI!D26*C856*(VERI_TABANI!$B$13-VERI_TABANI!$B$15)) + IF(ISNUMBER(SEARCH("Var", D856)), VERI_TABANI!F26*(0.00202-VERI_TABANI!$B$16), IF(ISNUMBER(SEARCH("Gri", D856)), VERI_TABANI!F26*(0.00202-VERI_TABANI!$B$17), 0))) + ((VERI_TABANI!D27*B856*(VERI_TABANI!$B$13-VERI_TABANI!$B$14)) + (VERI_TABANI!D27*C856*(VERI_TABANI!$B$13-VERI_TABANI!$B$15)) + IF(ISNUMBER(SEARCH("Var", D856)), VERI_TABANI!F27*(0.00202-VERI_TABANI!$B$16), IF(ISNUMBER(SEARCH("Gri", D856)), VERI_TABANI!F27*(0.00202-VERI_TABANI!$B$17), 0))) + ((VERI_TABANI!D28*B856*(VERI_TABANI!$B$13-VERI_TABANI!$B$14)) + (VERI_TABANI!D28*C856*(VERI_TABANI!$B$13-VERI_TABANI!$B$15)) + IF(ISNUMBER(SEARCH("Var", D856)), VERI_TABANI!F28*(0.00202-VERI_TABANI!$B$16), IF(ISNUMBER(SEARCH("Gri", D856)), VERI_TABANI!F28*(0.00202-VERI_TABANI!$B$17), 0))))</f>
        <v/>
      </c>
      <c r="I856" s="170">
        <f>IFERROR(((VERI_TABANI!$D$29*B856*VERI_TABANI!$B$14 + VERI_TABANI!$D$29*C856*VERI_TABANI!$B$15 + IF(ISNUMBER(SEARCH("Var", D856)), VERI_TABANI!$F$29*VERI_TABANI!$B$16, 0))) / (((VERI_TABANI!$D$29*B856 + VERI_TABANI!$D$29*C856)*VERI_TABANI!$B$13 + IF(ISNUMBER(SEARCH("Var", D856)), VERI_TABANI!$E$29*(1-0.928)*VERI_TABANI!$B$18, 0))), 0)</f>
        <v/>
      </c>
      <c r="J856" s="171">
        <f>IFERROR(F856/(G856/29), 0)</f>
        <v/>
      </c>
      <c r="K856" s="172">
        <f>IF(F856&gt;0, H856/F856, 0)</f>
        <v/>
      </c>
      <c r="L856" s="170">
        <f>IF(F856&gt;0, I856, 1000000000)</f>
        <v/>
      </c>
      <c r="M856" s="171">
        <f>ABS((B856+C856)-1)</f>
        <v/>
      </c>
      <c r="N856" s="170">
        <f>IF(F856&gt;0, (G856/29)/F856, 0)</f>
        <v/>
      </c>
      <c r="O856" s="168">
        <f>IF(AND((B856+C856)&gt;=1, ISNUMBER(SEARCH("Var", D856))), F856, 1000000000)</f>
        <v/>
      </c>
      <c r="P856" s="172">
        <f>IF(F856&gt;0, SQRT((F856/MAX(F$5:F$886))^2 + (1 - H856/MAX(H$5:H$886))^2 + (J856/MAX(J$5:J$886))^2), 1000000000)</f>
        <v/>
      </c>
      <c r="Q856" s="166">
        <f>IF(AND(ABS(B856-0.5)&lt;0.01, ABS(C856-0.5)&lt;0.01, ISNUMBER(SEARCH("Var", D856))), 1, 0)</f>
        <v/>
      </c>
      <c r="R856" s="171">
        <f>IF(F856&gt;0, J856, 1000000000)</f>
        <v/>
      </c>
      <c r="S856" s="101">
        <f>IF(AND(F856&lt;=DASHBOARD!$B$11, H856&gt;=DASHBOARD!$B$13), G856, -1000000000000)</f>
        <v/>
      </c>
      <c r="T856" s="101">
        <f>IF(AND(F856&lt;=DASHBOARD!$B$11, H856&gt;=DASHBOARD!$B$13), R856, 1000000000000)</f>
        <v/>
      </c>
      <c r="U856" s="101">
        <f>IF(AND(F856&lt;=DASHBOARD!$B$11, H856&gt;=DASHBOARD!$B$13), N856, -1000000000000)</f>
        <v/>
      </c>
      <c r="V856" s="101">
        <f>IF(AND(F856&lt;=DASHBOARD!$B$11, H856&gt;=DASHBOARD!$B$13), H856, -1000000000000)</f>
        <v/>
      </c>
      <c r="W856" s="101">
        <f>IF(AND(F856&lt;=DASHBOARD!$B$11, H856&gt;=DASHBOARD!$B$13), K856, -1000000000000)</f>
        <v/>
      </c>
      <c r="X856" s="101">
        <f>IF(AND(F856&lt;=DASHBOARD!$B$11, H856&gt;=DASHBOARD!$B$13), M856, 1000000000000)</f>
        <v/>
      </c>
      <c r="Y856" s="101">
        <f>IF(AND(F856&lt;=DASHBOARD!$B$10, H856&gt;=DASHBOARD!$B$11), L856, 1000000000000)</f>
        <v/>
      </c>
      <c r="Z856" s="101">
        <f>IF(AND(F856&lt;=DASHBOARD!$B$10, H856&gt;=DASHBOARD!$B$11), O856, 1000000000000)</f>
        <v/>
      </c>
      <c r="AA856" s="101">
        <f>IF(AND(F856&lt;=DASHBOARD!$B$10, H856&gt;=DASHBOARD!$B$11), P856, 1000000000000)</f>
        <v/>
      </c>
      <c r="AB856" s="101">
        <f>IF(AND(F856&lt;=DASHBOARD!$B$10, H856&gt;=DASHBOARD!$B$11), Q856, -1000000000000)</f>
        <v/>
      </c>
    </row>
    <row r="857" ht="15" customHeight="1" s="102">
      <c r="A857" s="166" t="n">
        <v>853</v>
      </c>
      <c r="B857" s="167" t="n">
        <v>2</v>
      </c>
      <c r="C857" s="167" t="n">
        <v>0.6</v>
      </c>
      <c r="D857" s="110" t="inlineStr">
        <is>
          <t>Yok (%0)</t>
        </is>
      </c>
      <c r="E857" s="110">
        <f>IF((B857+C857)&lt;=1, "Tam Mahsuplaşma (≤%100)", "Kısmi Satış (&gt;%100)")</f>
        <v/>
      </c>
      <c r="F857" s="168">
        <f>((VERI_TABANI!$D$29*B857/VERI_TABANI!$B$29)/VERI_TABANI!$B$3)*VERI_TABANI!$B$5 + ((VERI_TABANI!$D$29*C857/VERI_TABANI!$B$29)/VERI_TABANI!$B$4)*VERI_TABANI!$B$6 + IF(ISNUMBER(SEARCH("Var", D857)), (VERI_TABANI!$F$29/VERI_TABANI!$B$29)*(VERI_TABANI!$B$10+VERI_TABANI!$B$12), 0)</f>
        <v/>
      </c>
      <c r="G857" s="168">
        <f>(((MIN(VERI_TABANI!D23, VERI_TABANI!D23*B857)*VERI_TABANI!$B$7 + MAX(0, VERI_TABANI!D23*B857-VERI_TABANI!D23)*VERI_TABANI!$B$8) + (MIN(MAX(0, VERI_TABANI!D23-VERI_TABANI!D23*B857), VERI_TABANI!D23*C857)*VERI_TABANI!$B$7 + MAX(0, VERI_TABANI!D23*C857-MAX(0, VERI_TABANI!D23-VERI_TABANI!D23*B857))*VERI_TABANI!$B$8) + IF(ABS(IF(ISNUMBER(SEARCH("Var", D857)), 1, IF(ISNUMBER(SEARCH("Gri", D857)), -1, 0)))=1, VERI_TABANI!E23*(1-0.928)*VERI_TABANI!$B$9, 0) + (VERI_TABANI!D23*B857*(VERI_TABANI!$B$13-VERI_TABANI!$B$14)*VERI_TABANI!G23) + (VERI_TABANI!D23*C857*(VERI_TABANI!$B$13-VERI_TABANI!$B$15)*VERI_TABANI!G23) + IF(ABS(IF(ISNUMBER(SEARCH("Var", D857)), 1, IF(ISNUMBER(SEARCH("Gri", D857)), -1, 0)))=1, VERI_TABANI!E23*(1-0.928)*0.00206091519919798*VERI_TABANI!G23, 0)) + ((MIN(VERI_TABANI!D24, VERI_TABANI!D24*B857)*VERI_TABANI!$B$7 + MAX(0, VERI_TABANI!D24*B857-VERI_TABANI!D24)*VERI_TABANI!$B$8) + (MIN(MAX(0, VERI_TABANI!D24-VERI_TABANI!D24*B857), VERI_TABANI!D24*C857)*VERI_TABANI!$B$7 + MAX(0, VERI_TABANI!D24*C857-MAX(0, VERI_TABANI!D24-VERI_TABANI!D24*B857))*VERI_TABANI!$B$8) + IF(ABS(IF(ISNUMBER(SEARCH("Var", D857)), 1, IF(ISNUMBER(SEARCH("Gri", D857)), -1, 0)))=1, VERI_TABANI!E24*(1-0.928)*VERI_TABANI!$B$9, 0) + (VERI_TABANI!D24*B857*(VERI_TABANI!$B$13-VERI_TABANI!$B$14)*VERI_TABANI!G24) + (VERI_TABANI!D24*C857*(VERI_TABANI!$B$13-VERI_TABANI!$B$15)*VERI_TABANI!G24) + IF(ABS(IF(ISNUMBER(SEARCH("Var", D857)), 1, IF(ISNUMBER(SEARCH("Gri", D857)), -1, 0)))=1, VERI_TABANI!E24*(1-0.928)*0.00206091519919798*VERI_TABANI!G24, 0)) + ((MIN(VERI_TABANI!D25, VERI_TABANI!D25*B857)*VERI_TABANI!$B$7 + MAX(0, VERI_TABANI!D25*B857-VERI_TABANI!D25)*VERI_TABANI!$B$8) + (MIN(MAX(0, VERI_TABANI!D25-VERI_TABANI!D25*B857), VERI_TABANI!D25*C857)*VERI_TABANI!$B$7 + MAX(0, VERI_TABANI!D25*C857-MAX(0, VERI_TABANI!D25-VERI_TABANI!D25*B857))*VERI_TABANI!$B$8) + IF(ABS(IF(ISNUMBER(SEARCH("Var", D857)), 1, IF(ISNUMBER(SEARCH("Gri", D857)), -1, 0)))=1, VERI_TABANI!E25*(1-0.928)*VERI_TABANI!$B$9, 0) + (VERI_TABANI!D25*B857*(VERI_TABANI!$B$13-VERI_TABANI!$B$14)*VERI_TABANI!G25) + (VERI_TABANI!D25*C857*(VERI_TABANI!$B$13-VERI_TABANI!$B$15)*VERI_TABANI!G25) + IF(ABS(IF(ISNUMBER(SEARCH("Var", D857)), 1, IF(ISNUMBER(SEARCH("Gri", D857)), -1, 0)))=1, VERI_TABANI!E25*(1-0.928)*0.00206091519919798*VERI_TABANI!G25, 0)) + ((MIN(VERI_TABANI!D26, VERI_TABANI!D26*B857)*VERI_TABANI!$B$7 + MAX(0, VERI_TABANI!D26*B857-VERI_TABANI!D26)*VERI_TABANI!$B$8) + (MIN(MAX(0, VERI_TABANI!D26-VERI_TABANI!D26*B857), VERI_TABANI!D26*C857)*VERI_TABANI!$B$7 + MAX(0, VERI_TABANI!D26*C857-MAX(0, VERI_TABANI!D26-VERI_TABANI!D26*B857))*VERI_TABANI!$B$8) + IF(ABS(IF(ISNUMBER(SEARCH("Var", D857)), 1, IF(ISNUMBER(SEARCH("Gri", D857)), -1, 0)))=1, VERI_TABANI!E26*(1-0.928)*VERI_TABANI!$B$9, 0) + (VERI_TABANI!D26*B857*(VERI_TABANI!$B$13-VERI_TABANI!$B$14)*VERI_TABANI!G26) + (VERI_TABANI!D26*C857*(VERI_TABANI!$B$13-VERI_TABANI!$B$15)*VERI_TABANI!G26) + IF(ABS(IF(ISNUMBER(SEARCH("Var", D857)), 1, IF(ISNUMBER(SEARCH("Gri", D857)), -1, 0)))=1, VERI_TABANI!E26*(1-0.928)*0.00206091519919798*VERI_TABANI!G26, 0)) + ((MIN(VERI_TABANI!D27, VERI_TABANI!D27*B857)*VERI_TABANI!$B$7 + MAX(0, VERI_TABANI!D27*B857-VERI_TABANI!D27)*VERI_TABANI!$B$8) + (MIN(MAX(0, VERI_TABANI!D27-VERI_TABANI!D27*B857), VERI_TABANI!D27*C857)*VERI_TABANI!$B$7 + MAX(0, VERI_TABANI!D27*C857-MAX(0, VERI_TABANI!D27-VERI_TABANI!D27*B857))*VERI_TABANI!$B$8) + IF(ABS(IF(ISNUMBER(SEARCH("Var", D857)), 1, IF(ISNUMBER(SEARCH("Gri", D857)), -1, 0)))=1, VERI_TABANI!E27*(1-0.928)*VERI_TABANI!$B$9, 0) + (VERI_TABANI!D27*B857*(VERI_TABANI!$B$13-VERI_TABANI!$B$14)*VERI_TABANI!G27) + (VERI_TABANI!D27*C857*(VERI_TABANI!$B$13-VERI_TABANI!$B$15)*VERI_TABANI!G27) + IF(ABS(IF(ISNUMBER(SEARCH("Var", D857)), 1, IF(ISNUMBER(SEARCH("Gri", D857)), -1, 0)))=1, VERI_TABANI!E27*(1-0.928)*0.00206091519919798*VERI_TABANI!G27, 0)) + ((MIN(VERI_TABANI!D28, VERI_TABANI!D28*B857)*VERI_TABANI!$B$7 + MAX(0, VERI_TABANI!D28*B857-VERI_TABANI!D28)*VERI_TABANI!$B$8) + (MIN(MAX(0, VERI_TABANI!D28-VERI_TABANI!D28*B857), VERI_TABANI!D28*C857)*VERI_TABANI!$B$7 + MAX(0, VERI_TABANI!D28*C857-MAX(0, VERI_TABANI!D28-VERI_TABANI!D28*B857))*VERI_TABANI!$B$8) + IF(ABS(IF(ISNUMBER(SEARCH("Var", D857)), 1, IF(ISNUMBER(SEARCH("Gri", D857)), -1, 0)))=1, VERI_TABANI!E28*(1-0.928)*VERI_TABANI!$B$9, 0) + (VERI_TABANI!D28*B857*(VERI_TABANI!$B$13-VERI_TABANI!$B$14)*VERI_TABANI!G28) + (VERI_TABANI!D28*C857*(VERI_TABANI!$B$13-VERI_TABANI!$B$15)*VERI_TABANI!G28) + IF(ABS(IF(ISNUMBER(SEARCH("Var", D857)), 1, IF(ISNUMBER(SEARCH("Gri", D857)), -1, 0)))=1, VERI_TABANI!E28*(1-0.928)*0.00206091519919798*VERI_TABANI!G28, 0)))</f>
        <v/>
      </c>
      <c r="H857" s="169">
        <f>(((VERI_TABANI!D23*B857*(VERI_TABANI!$B$13-VERI_TABANI!$B$14)) + (VERI_TABANI!D23*C857*(VERI_TABANI!$B$13-VERI_TABANI!$B$15)) + IF(ISNUMBER(SEARCH("Var", D857)), VERI_TABANI!F23*(0.00202-VERI_TABANI!$B$16), IF(ISNUMBER(SEARCH("Gri", D857)), VERI_TABANI!F23*(0.00202-VERI_TABANI!$B$17), 0))) + ((VERI_TABANI!D24*B857*(VERI_TABANI!$B$13-VERI_TABANI!$B$14)) + (VERI_TABANI!D24*C857*(VERI_TABANI!$B$13-VERI_TABANI!$B$15)) + IF(ISNUMBER(SEARCH("Var", D857)), VERI_TABANI!F24*(0.00202-VERI_TABANI!$B$16), IF(ISNUMBER(SEARCH("Gri", D857)), VERI_TABANI!F24*(0.00202-VERI_TABANI!$B$17), 0))) + ((VERI_TABANI!D25*B857*(VERI_TABANI!$B$13-VERI_TABANI!$B$14)) + (VERI_TABANI!D25*C857*(VERI_TABANI!$B$13-VERI_TABANI!$B$15)) + IF(ISNUMBER(SEARCH("Var", D857)), VERI_TABANI!F25*(0.00202-VERI_TABANI!$B$16), IF(ISNUMBER(SEARCH("Gri", D857)), VERI_TABANI!F25*(0.00202-VERI_TABANI!$B$17), 0))) + ((VERI_TABANI!D26*B857*(VERI_TABANI!$B$13-VERI_TABANI!$B$14)) + (VERI_TABANI!D26*C857*(VERI_TABANI!$B$13-VERI_TABANI!$B$15)) + IF(ISNUMBER(SEARCH("Var", D857)), VERI_TABANI!F26*(0.00202-VERI_TABANI!$B$16), IF(ISNUMBER(SEARCH("Gri", D857)), VERI_TABANI!F26*(0.00202-VERI_TABANI!$B$17), 0))) + ((VERI_TABANI!D27*B857*(VERI_TABANI!$B$13-VERI_TABANI!$B$14)) + (VERI_TABANI!D27*C857*(VERI_TABANI!$B$13-VERI_TABANI!$B$15)) + IF(ISNUMBER(SEARCH("Var", D857)), VERI_TABANI!F27*(0.00202-VERI_TABANI!$B$16), IF(ISNUMBER(SEARCH("Gri", D857)), VERI_TABANI!F27*(0.00202-VERI_TABANI!$B$17), 0))) + ((VERI_TABANI!D28*B857*(VERI_TABANI!$B$13-VERI_TABANI!$B$14)) + (VERI_TABANI!D28*C857*(VERI_TABANI!$B$13-VERI_TABANI!$B$15)) + IF(ISNUMBER(SEARCH("Var", D857)), VERI_TABANI!F28*(0.00202-VERI_TABANI!$B$16), IF(ISNUMBER(SEARCH("Gri", D857)), VERI_TABANI!F28*(0.00202-VERI_TABANI!$B$17), 0))))</f>
        <v/>
      </c>
      <c r="I857" s="170">
        <f>IFERROR(((VERI_TABANI!$D$29*B857*VERI_TABANI!$B$14 + VERI_TABANI!$D$29*C857*VERI_TABANI!$B$15 + IF(ISNUMBER(SEARCH("Var", D857)), VERI_TABANI!$F$29*VERI_TABANI!$B$16, 0))) / (((VERI_TABANI!$D$29*B857 + VERI_TABANI!$D$29*C857)*VERI_TABANI!$B$13 + IF(ISNUMBER(SEARCH("Var", D857)), VERI_TABANI!$E$29*(1-0.928)*VERI_TABANI!$B$18, 0))), 0)</f>
        <v/>
      </c>
      <c r="J857" s="171">
        <f>IFERROR(F857/(G857/29), 0)</f>
        <v/>
      </c>
      <c r="K857" s="172">
        <f>IF(F857&gt;0, H857/F857, 0)</f>
        <v/>
      </c>
      <c r="L857" s="170">
        <f>IF(F857&gt;0, I857, 1000000000)</f>
        <v/>
      </c>
      <c r="M857" s="171">
        <f>ABS((B857+C857)-1)</f>
        <v/>
      </c>
      <c r="N857" s="170">
        <f>IF(F857&gt;0, (G857/29)/F857, 0)</f>
        <v/>
      </c>
      <c r="O857" s="168">
        <f>IF(AND((B857+C857)&gt;=1, ISNUMBER(SEARCH("Var", D857))), F857, 1000000000)</f>
        <v/>
      </c>
      <c r="P857" s="172">
        <f>IF(F857&gt;0, SQRT((F857/MAX(F$5:F$886))^2 + (1 - H857/MAX(H$5:H$886))^2 + (J857/MAX(J$5:J$886))^2), 1000000000)</f>
        <v/>
      </c>
      <c r="Q857" s="166">
        <f>IF(AND(ABS(B857-0.5)&lt;0.01, ABS(C857-0.5)&lt;0.01, ISNUMBER(SEARCH("Var", D857))), 1, 0)</f>
        <v/>
      </c>
      <c r="R857" s="171">
        <f>IF(F857&gt;0, J857, 1000000000)</f>
        <v/>
      </c>
      <c r="S857" s="101">
        <f>IF(AND(F857&lt;=DASHBOARD!$B$11, H857&gt;=DASHBOARD!$B$13), G857, -1000000000000)</f>
        <v/>
      </c>
      <c r="T857" s="101">
        <f>IF(AND(F857&lt;=DASHBOARD!$B$11, H857&gt;=DASHBOARD!$B$13), R857, 1000000000000)</f>
        <v/>
      </c>
      <c r="U857" s="101">
        <f>IF(AND(F857&lt;=DASHBOARD!$B$11, H857&gt;=DASHBOARD!$B$13), N857, -1000000000000)</f>
        <v/>
      </c>
      <c r="V857" s="101">
        <f>IF(AND(F857&lt;=DASHBOARD!$B$11, H857&gt;=DASHBOARD!$B$13), H857, -1000000000000)</f>
        <v/>
      </c>
      <c r="W857" s="101">
        <f>IF(AND(F857&lt;=DASHBOARD!$B$11, H857&gt;=DASHBOARD!$B$13), K857, -1000000000000)</f>
        <v/>
      </c>
      <c r="X857" s="101">
        <f>IF(AND(F857&lt;=DASHBOARD!$B$11, H857&gt;=DASHBOARD!$B$13), M857, 1000000000000)</f>
        <v/>
      </c>
      <c r="Y857" s="101">
        <f>IF(AND(F857&lt;=DASHBOARD!$B$10, H857&gt;=DASHBOARD!$B$11), L857, 1000000000000)</f>
        <v/>
      </c>
      <c r="Z857" s="101">
        <f>IF(AND(F857&lt;=DASHBOARD!$B$10, H857&gt;=DASHBOARD!$B$11), O857, 1000000000000)</f>
        <v/>
      </c>
      <c r="AA857" s="101">
        <f>IF(AND(F857&lt;=DASHBOARD!$B$10, H857&gt;=DASHBOARD!$B$11), P857, 1000000000000)</f>
        <v/>
      </c>
      <c r="AB857" s="101">
        <f>IF(AND(F857&lt;=DASHBOARD!$B$10, H857&gt;=DASHBOARD!$B$11), Q857, -1000000000000)</f>
        <v/>
      </c>
    </row>
    <row r="858" ht="15" customHeight="1" s="102">
      <c r="A858" s="166" t="n">
        <v>854</v>
      </c>
      <c r="B858" s="167" t="n">
        <v>2</v>
      </c>
      <c r="C858" s="167" t="n">
        <v>0.6</v>
      </c>
      <c r="D858" s="110" t="inlineStr">
        <is>
          <t>Var (%20)</t>
        </is>
      </c>
      <c r="E858" s="110">
        <f>IF((B858+C858)&lt;=1, "Tam Mahsuplaşma (≤%100)", "Kısmi Satış (&gt;%100)")</f>
        <v/>
      </c>
      <c r="F858" s="168">
        <f>((VERI_TABANI!$D$29*B858/VERI_TABANI!$B$29)/VERI_TABANI!$B$3)*VERI_TABANI!$B$5 + ((VERI_TABANI!$D$29*C858/VERI_TABANI!$B$29)/VERI_TABANI!$B$4)*VERI_TABANI!$B$6 + IF(ISNUMBER(SEARCH("Var", D858)), (VERI_TABANI!$F$29/VERI_TABANI!$B$29)*(VERI_TABANI!$B$10+VERI_TABANI!$B$12), 0)</f>
        <v/>
      </c>
      <c r="G858" s="168">
        <f>(((MIN(VERI_TABANI!D23, VERI_TABANI!D23*B858)*VERI_TABANI!$B$7 + MAX(0, VERI_TABANI!D23*B858-VERI_TABANI!D23)*VERI_TABANI!$B$8) + (MIN(MAX(0, VERI_TABANI!D23-VERI_TABANI!D23*B858), VERI_TABANI!D23*C858)*VERI_TABANI!$B$7 + MAX(0, VERI_TABANI!D23*C858-MAX(0, VERI_TABANI!D23-VERI_TABANI!D23*B858))*VERI_TABANI!$B$8) + IF(ABS(IF(ISNUMBER(SEARCH("Var", D858)), 1, IF(ISNUMBER(SEARCH("Gri", D858)), -1, 0)))=1, VERI_TABANI!E23*(1-0.928)*VERI_TABANI!$B$9, 0) + (VERI_TABANI!D23*B858*(VERI_TABANI!$B$13-VERI_TABANI!$B$14)*VERI_TABANI!G23) + (VERI_TABANI!D23*C858*(VERI_TABANI!$B$13-VERI_TABANI!$B$15)*VERI_TABANI!G23) + IF(ABS(IF(ISNUMBER(SEARCH("Var", D858)), 1, IF(ISNUMBER(SEARCH("Gri", D858)), -1, 0)))=1, VERI_TABANI!E23*(1-0.928)*0.00206091519919798*VERI_TABANI!G23, 0)) + ((MIN(VERI_TABANI!D24, VERI_TABANI!D24*B858)*VERI_TABANI!$B$7 + MAX(0, VERI_TABANI!D24*B858-VERI_TABANI!D24)*VERI_TABANI!$B$8) + (MIN(MAX(0, VERI_TABANI!D24-VERI_TABANI!D24*B858), VERI_TABANI!D24*C858)*VERI_TABANI!$B$7 + MAX(0, VERI_TABANI!D24*C858-MAX(0, VERI_TABANI!D24-VERI_TABANI!D24*B858))*VERI_TABANI!$B$8) + IF(ABS(IF(ISNUMBER(SEARCH("Var", D858)), 1, IF(ISNUMBER(SEARCH("Gri", D858)), -1, 0)))=1, VERI_TABANI!E24*(1-0.928)*VERI_TABANI!$B$9, 0) + (VERI_TABANI!D24*B858*(VERI_TABANI!$B$13-VERI_TABANI!$B$14)*VERI_TABANI!G24) + (VERI_TABANI!D24*C858*(VERI_TABANI!$B$13-VERI_TABANI!$B$15)*VERI_TABANI!G24) + IF(ABS(IF(ISNUMBER(SEARCH("Var", D858)), 1, IF(ISNUMBER(SEARCH("Gri", D858)), -1, 0)))=1, VERI_TABANI!E24*(1-0.928)*0.00206091519919798*VERI_TABANI!G24, 0)) + ((MIN(VERI_TABANI!D25, VERI_TABANI!D25*B858)*VERI_TABANI!$B$7 + MAX(0, VERI_TABANI!D25*B858-VERI_TABANI!D25)*VERI_TABANI!$B$8) + (MIN(MAX(0, VERI_TABANI!D25-VERI_TABANI!D25*B858), VERI_TABANI!D25*C858)*VERI_TABANI!$B$7 + MAX(0, VERI_TABANI!D25*C858-MAX(0, VERI_TABANI!D25-VERI_TABANI!D25*B858))*VERI_TABANI!$B$8) + IF(ABS(IF(ISNUMBER(SEARCH("Var", D858)), 1, IF(ISNUMBER(SEARCH("Gri", D858)), -1, 0)))=1, VERI_TABANI!E25*(1-0.928)*VERI_TABANI!$B$9, 0) + (VERI_TABANI!D25*B858*(VERI_TABANI!$B$13-VERI_TABANI!$B$14)*VERI_TABANI!G25) + (VERI_TABANI!D25*C858*(VERI_TABANI!$B$13-VERI_TABANI!$B$15)*VERI_TABANI!G25) + IF(ABS(IF(ISNUMBER(SEARCH("Var", D858)), 1, IF(ISNUMBER(SEARCH("Gri", D858)), -1, 0)))=1, VERI_TABANI!E25*(1-0.928)*0.00206091519919798*VERI_TABANI!G25, 0)) + ((MIN(VERI_TABANI!D26, VERI_TABANI!D26*B858)*VERI_TABANI!$B$7 + MAX(0, VERI_TABANI!D26*B858-VERI_TABANI!D26)*VERI_TABANI!$B$8) + (MIN(MAX(0, VERI_TABANI!D26-VERI_TABANI!D26*B858), VERI_TABANI!D26*C858)*VERI_TABANI!$B$7 + MAX(0, VERI_TABANI!D26*C858-MAX(0, VERI_TABANI!D26-VERI_TABANI!D26*B858))*VERI_TABANI!$B$8) + IF(ABS(IF(ISNUMBER(SEARCH("Var", D858)), 1, IF(ISNUMBER(SEARCH("Gri", D858)), -1, 0)))=1, VERI_TABANI!E26*(1-0.928)*VERI_TABANI!$B$9, 0) + (VERI_TABANI!D26*B858*(VERI_TABANI!$B$13-VERI_TABANI!$B$14)*VERI_TABANI!G26) + (VERI_TABANI!D26*C858*(VERI_TABANI!$B$13-VERI_TABANI!$B$15)*VERI_TABANI!G26) + IF(ABS(IF(ISNUMBER(SEARCH("Var", D858)), 1, IF(ISNUMBER(SEARCH("Gri", D858)), -1, 0)))=1, VERI_TABANI!E26*(1-0.928)*0.00206091519919798*VERI_TABANI!G26, 0)) + ((MIN(VERI_TABANI!D27, VERI_TABANI!D27*B858)*VERI_TABANI!$B$7 + MAX(0, VERI_TABANI!D27*B858-VERI_TABANI!D27)*VERI_TABANI!$B$8) + (MIN(MAX(0, VERI_TABANI!D27-VERI_TABANI!D27*B858), VERI_TABANI!D27*C858)*VERI_TABANI!$B$7 + MAX(0, VERI_TABANI!D27*C858-MAX(0, VERI_TABANI!D27-VERI_TABANI!D27*B858))*VERI_TABANI!$B$8) + IF(ABS(IF(ISNUMBER(SEARCH("Var", D858)), 1, IF(ISNUMBER(SEARCH("Gri", D858)), -1, 0)))=1, VERI_TABANI!E27*(1-0.928)*VERI_TABANI!$B$9, 0) + (VERI_TABANI!D27*B858*(VERI_TABANI!$B$13-VERI_TABANI!$B$14)*VERI_TABANI!G27) + (VERI_TABANI!D27*C858*(VERI_TABANI!$B$13-VERI_TABANI!$B$15)*VERI_TABANI!G27) + IF(ABS(IF(ISNUMBER(SEARCH("Var", D858)), 1, IF(ISNUMBER(SEARCH("Gri", D858)), -1, 0)))=1, VERI_TABANI!E27*(1-0.928)*0.00206091519919798*VERI_TABANI!G27, 0)) + ((MIN(VERI_TABANI!D28, VERI_TABANI!D28*B858)*VERI_TABANI!$B$7 + MAX(0, VERI_TABANI!D28*B858-VERI_TABANI!D28)*VERI_TABANI!$B$8) + (MIN(MAX(0, VERI_TABANI!D28-VERI_TABANI!D28*B858), VERI_TABANI!D28*C858)*VERI_TABANI!$B$7 + MAX(0, VERI_TABANI!D28*C858-MAX(0, VERI_TABANI!D28-VERI_TABANI!D28*B858))*VERI_TABANI!$B$8) + IF(ABS(IF(ISNUMBER(SEARCH("Var", D858)), 1, IF(ISNUMBER(SEARCH("Gri", D858)), -1, 0)))=1, VERI_TABANI!E28*(1-0.928)*VERI_TABANI!$B$9, 0) + (VERI_TABANI!D28*B858*(VERI_TABANI!$B$13-VERI_TABANI!$B$14)*VERI_TABANI!G28) + (VERI_TABANI!D28*C858*(VERI_TABANI!$B$13-VERI_TABANI!$B$15)*VERI_TABANI!G28) + IF(ABS(IF(ISNUMBER(SEARCH("Var", D858)), 1, IF(ISNUMBER(SEARCH("Gri", D858)), -1, 0)))=1, VERI_TABANI!E28*(1-0.928)*0.00206091519919798*VERI_TABANI!G28, 0)))</f>
        <v/>
      </c>
      <c r="H858" s="169">
        <f>(((VERI_TABANI!D23*B858*(VERI_TABANI!$B$13-VERI_TABANI!$B$14)) + (VERI_TABANI!D23*C858*(VERI_TABANI!$B$13-VERI_TABANI!$B$15)) + IF(ISNUMBER(SEARCH("Var", D858)), VERI_TABANI!F23*(0.00202-VERI_TABANI!$B$16), IF(ISNUMBER(SEARCH("Gri", D858)), VERI_TABANI!F23*(0.00202-VERI_TABANI!$B$17), 0))) + ((VERI_TABANI!D24*B858*(VERI_TABANI!$B$13-VERI_TABANI!$B$14)) + (VERI_TABANI!D24*C858*(VERI_TABANI!$B$13-VERI_TABANI!$B$15)) + IF(ISNUMBER(SEARCH("Var", D858)), VERI_TABANI!F24*(0.00202-VERI_TABANI!$B$16), IF(ISNUMBER(SEARCH("Gri", D858)), VERI_TABANI!F24*(0.00202-VERI_TABANI!$B$17), 0))) + ((VERI_TABANI!D25*B858*(VERI_TABANI!$B$13-VERI_TABANI!$B$14)) + (VERI_TABANI!D25*C858*(VERI_TABANI!$B$13-VERI_TABANI!$B$15)) + IF(ISNUMBER(SEARCH("Var", D858)), VERI_TABANI!F25*(0.00202-VERI_TABANI!$B$16), IF(ISNUMBER(SEARCH("Gri", D858)), VERI_TABANI!F25*(0.00202-VERI_TABANI!$B$17), 0))) + ((VERI_TABANI!D26*B858*(VERI_TABANI!$B$13-VERI_TABANI!$B$14)) + (VERI_TABANI!D26*C858*(VERI_TABANI!$B$13-VERI_TABANI!$B$15)) + IF(ISNUMBER(SEARCH("Var", D858)), VERI_TABANI!F26*(0.00202-VERI_TABANI!$B$16), IF(ISNUMBER(SEARCH("Gri", D858)), VERI_TABANI!F26*(0.00202-VERI_TABANI!$B$17), 0))) + ((VERI_TABANI!D27*B858*(VERI_TABANI!$B$13-VERI_TABANI!$B$14)) + (VERI_TABANI!D27*C858*(VERI_TABANI!$B$13-VERI_TABANI!$B$15)) + IF(ISNUMBER(SEARCH("Var", D858)), VERI_TABANI!F27*(0.00202-VERI_TABANI!$B$16), IF(ISNUMBER(SEARCH("Gri", D858)), VERI_TABANI!F27*(0.00202-VERI_TABANI!$B$17), 0))) + ((VERI_TABANI!D28*B858*(VERI_TABANI!$B$13-VERI_TABANI!$B$14)) + (VERI_TABANI!D28*C858*(VERI_TABANI!$B$13-VERI_TABANI!$B$15)) + IF(ISNUMBER(SEARCH("Var", D858)), VERI_TABANI!F28*(0.00202-VERI_TABANI!$B$16), IF(ISNUMBER(SEARCH("Gri", D858)), VERI_TABANI!F28*(0.00202-VERI_TABANI!$B$17), 0))))</f>
        <v/>
      </c>
      <c r="I858" s="170">
        <f>IFERROR(((VERI_TABANI!$D$29*B858*VERI_TABANI!$B$14 + VERI_TABANI!$D$29*C858*VERI_TABANI!$B$15 + IF(ISNUMBER(SEARCH("Var", D858)), VERI_TABANI!$F$29*VERI_TABANI!$B$16, 0))) / (((VERI_TABANI!$D$29*B858 + VERI_TABANI!$D$29*C858)*VERI_TABANI!$B$13 + IF(ISNUMBER(SEARCH("Var", D858)), VERI_TABANI!$E$29*(1-0.928)*VERI_TABANI!$B$18, 0))), 0)</f>
        <v/>
      </c>
      <c r="J858" s="171">
        <f>IFERROR(F858/(G858/29), 0)</f>
        <v/>
      </c>
      <c r="K858" s="172">
        <f>IF(F858&gt;0, H858/F858, 0)</f>
        <v/>
      </c>
      <c r="L858" s="170">
        <f>IF(F858&gt;0, I858, 1000000000)</f>
        <v/>
      </c>
      <c r="M858" s="171">
        <f>ABS((B858+C858)-1)</f>
        <v/>
      </c>
      <c r="N858" s="170">
        <f>IF(F858&gt;0, (G858/29)/F858, 0)</f>
        <v/>
      </c>
      <c r="O858" s="168">
        <f>IF(AND((B858+C858)&gt;=1, ISNUMBER(SEARCH("Var", D858))), F858, 1000000000)</f>
        <v/>
      </c>
      <c r="P858" s="172">
        <f>IF(F858&gt;0, SQRT((F858/MAX(F$5:F$886))^2 + (1 - H858/MAX(H$5:H$886))^2 + (J858/MAX(J$5:J$886))^2), 1000000000)</f>
        <v/>
      </c>
      <c r="Q858" s="166">
        <f>IF(AND(ABS(B858-0.5)&lt;0.01, ABS(C858-0.5)&lt;0.01, ISNUMBER(SEARCH("Var", D858))), 1, 0)</f>
        <v/>
      </c>
      <c r="R858" s="171">
        <f>IF(F858&gt;0, J858, 1000000000)</f>
        <v/>
      </c>
      <c r="S858" s="101">
        <f>IF(AND(F858&lt;=DASHBOARD!$B$11, H858&gt;=DASHBOARD!$B$13), G858, -1000000000000)</f>
        <v/>
      </c>
      <c r="T858" s="101">
        <f>IF(AND(F858&lt;=DASHBOARD!$B$11, H858&gt;=DASHBOARD!$B$13), R858, 1000000000000)</f>
        <v/>
      </c>
      <c r="U858" s="101">
        <f>IF(AND(F858&lt;=DASHBOARD!$B$11, H858&gt;=DASHBOARD!$B$13), N858, -1000000000000)</f>
        <v/>
      </c>
      <c r="V858" s="101">
        <f>IF(AND(F858&lt;=DASHBOARD!$B$11, H858&gt;=DASHBOARD!$B$13), H858, -1000000000000)</f>
        <v/>
      </c>
      <c r="W858" s="101">
        <f>IF(AND(F858&lt;=DASHBOARD!$B$11, H858&gt;=DASHBOARD!$B$13), K858, -1000000000000)</f>
        <v/>
      </c>
      <c r="X858" s="101">
        <f>IF(AND(F858&lt;=DASHBOARD!$B$11, H858&gt;=DASHBOARD!$B$13), M858, 1000000000000)</f>
        <v/>
      </c>
      <c r="Y858" s="101">
        <f>IF(AND(F858&lt;=DASHBOARD!$B$10, H858&gt;=DASHBOARD!$B$11), L858, 1000000000000)</f>
        <v/>
      </c>
      <c r="Z858" s="101">
        <f>IF(AND(F858&lt;=DASHBOARD!$B$10, H858&gt;=DASHBOARD!$B$11), O858, 1000000000000)</f>
        <v/>
      </c>
      <c r="AA858" s="101">
        <f>IF(AND(F858&lt;=DASHBOARD!$B$10, H858&gt;=DASHBOARD!$B$11), P858, 1000000000000)</f>
        <v/>
      </c>
      <c r="AB858" s="101">
        <f>IF(AND(F858&lt;=DASHBOARD!$B$10, H858&gt;=DASHBOARD!$B$11), Q858, -1000000000000)</f>
        <v/>
      </c>
    </row>
    <row r="859" ht="15" customHeight="1" s="102">
      <c r="A859" s="166" t="n">
        <v>855</v>
      </c>
      <c r="B859" s="167" t="n">
        <v>2</v>
      </c>
      <c r="C859" s="167" t="n">
        <v>0.7</v>
      </c>
      <c r="D859" s="110" t="inlineStr">
        <is>
          <t>Yok (%0)</t>
        </is>
      </c>
      <c r="E859" s="110">
        <f>IF((B859+C859)&lt;=1, "Tam Mahsuplaşma (≤%100)", "Kısmi Satış (&gt;%100)")</f>
        <v/>
      </c>
      <c r="F859" s="168">
        <f>((VERI_TABANI!$D$29*B859/VERI_TABANI!$B$29)/VERI_TABANI!$B$3)*VERI_TABANI!$B$5 + ((VERI_TABANI!$D$29*C859/VERI_TABANI!$B$29)/VERI_TABANI!$B$4)*VERI_TABANI!$B$6 + IF(ISNUMBER(SEARCH("Var", D859)), (VERI_TABANI!$F$29/VERI_TABANI!$B$29)*(VERI_TABANI!$B$10+VERI_TABANI!$B$12), 0)</f>
        <v/>
      </c>
      <c r="G859" s="168">
        <f>(((MIN(VERI_TABANI!D23, VERI_TABANI!D23*B859)*VERI_TABANI!$B$7 + MAX(0, VERI_TABANI!D23*B859-VERI_TABANI!D23)*VERI_TABANI!$B$8) + (MIN(MAX(0, VERI_TABANI!D23-VERI_TABANI!D23*B859), VERI_TABANI!D23*C859)*VERI_TABANI!$B$7 + MAX(0, VERI_TABANI!D23*C859-MAX(0, VERI_TABANI!D23-VERI_TABANI!D23*B859))*VERI_TABANI!$B$8) + IF(ABS(IF(ISNUMBER(SEARCH("Var", D859)), 1, IF(ISNUMBER(SEARCH("Gri", D859)), -1, 0)))=1, VERI_TABANI!E23*(1-0.928)*VERI_TABANI!$B$9, 0) + (VERI_TABANI!D23*B859*(VERI_TABANI!$B$13-VERI_TABANI!$B$14)*VERI_TABANI!G23) + (VERI_TABANI!D23*C859*(VERI_TABANI!$B$13-VERI_TABANI!$B$15)*VERI_TABANI!G23) + IF(ABS(IF(ISNUMBER(SEARCH("Var", D859)), 1, IF(ISNUMBER(SEARCH("Gri", D859)), -1, 0)))=1, VERI_TABANI!E23*(1-0.928)*0.00206091519919798*VERI_TABANI!G23, 0)) + ((MIN(VERI_TABANI!D24, VERI_TABANI!D24*B859)*VERI_TABANI!$B$7 + MAX(0, VERI_TABANI!D24*B859-VERI_TABANI!D24)*VERI_TABANI!$B$8) + (MIN(MAX(0, VERI_TABANI!D24-VERI_TABANI!D24*B859), VERI_TABANI!D24*C859)*VERI_TABANI!$B$7 + MAX(0, VERI_TABANI!D24*C859-MAX(0, VERI_TABANI!D24-VERI_TABANI!D24*B859))*VERI_TABANI!$B$8) + IF(ABS(IF(ISNUMBER(SEARCH("Var", D859)), 1, IF(ISNUMBER(SEARCH("Gri", D859)), -1, 0)))=1, VERI_TABANI!E24*(1-0.928)*VERI_TABANI!$B$9, 0) + (VERI_TABANI!D24*B859*(VERI_TABANI!$B$13-VERI_TABANI!$B$14)*VERI_TABANI!G24) + (VERI_TABANI!D24*C859*(VERI_TABANI!$B$13-VERI_TABANI!$B$15)*VERI_TABANI!G24) + IF(ABS(IF(ISNUMBER(SEARCH("Var", D859)), 1, IF(ISNUMBER(SEARCH("Gri", D859)), -1, 0)))=1, VERI_TABANI!E24*(1-0.928)*0.00206091519919798*VERI_TABANI!G24, 0)) + ((MIN(VERI_TABANI!D25, VERI_TABANI!D25*B859)*VERI_TABANI!$B$7 + MAX(0, VERI_TABANI!D25*B859-VERI_TABANI!D25)*VERI_TABANI!$B$8) + (MIN(MAX(0, VERI_TABANI!D25-VERI_TABANI!D25*B859), VERI_TABANI!D25*C859)*VERI_TABANI!$B$7 + MAX(0, VERI_TABANI!D25*C859-MAX(0, VERI_TABANI!D25-VERI_TABANI!D25*B859))*VERI_TABANI!$B$8) + IF(ABS(IF(ISNUMBER(SEARCH("Var", D859)), 1, IF(ISNUMBER(SEARCH("Gri", D859)), -1, 0)))=1, VERI_TABANI!E25*(1-0.928)*VERI_TABANI!$B$9, 0) + (VERI_TABANI!D25*B859*(VERI_TABANI!$B$13-VERI_TABANI!$B$14)*VERI_TABANI!G25) + (VERI_TABANI!D25*C859*(VERI_TABANI!$B$13-VERI_TABANI!$B$15)*VERI_TABANI!G25) + IF(ABS(IF(ISNUMBER(SEARCH("Var", D859)), 1, IF(ISNUMBER(SEARCH("Gri", D859)), -1, 0)))=1, VERI_TABANI!E25*(1-0.928)*0.00206091519919798*VERI_TABANI!G25, 0)) + ((MIN(VERI_TABANI!D26, VERI_TABANI!D26*B859)*VERI_TABANI!$B$7 + MAX(0, VERI_TABANI!D26*B859-VERI_TABANI!D26)*VERI_TABANI!$B$8) + (MIN(MAX(0, VERI_TABANI!D26-VERI_TABANI!D26*B859), VERI_TABANI!D26*C859)*VERI_TABANI!$B$7 + MAX(0, VERI_TABANI!D26*C859-MAX(0, VERI_TABANI!D26-VERI_TABANI!D26*B859))*VERI_TABANI!$B$8) + IF(ABS(IF(ISNUMBER(SEARCH("Var", D859)), 1, IF(ISNUMBER(SEARCH("Gri", D859)), -1, 0)))=1, VERI_TABANI!E26*(1-0.928)*VERI_TABANI!$B$9, 0) + (VERI_TABANI!D26*B859*(VERI_TABANI!$B$13-VERI_TABANI!$B$14)*VERI_TABANI!G26) + (VERI_TABANI!D26*C859*(VERI_TABANI!$B$13-VERI_TABANI!$B$15)*VERI_TABANI!G26) + IF(ABS(IF(ISNUMBER(SEARCH("Var", D859)), 1, IF(ISNUMBER(SEARCH("Gri", D859)), -1, 0)))=1, VERI_TABANI!E26*(1-0.928)*0.00206091519919798*VERI_TABANI!G26, 0)) + ((MIN(VERI_TABANI!D27, VERI_TABANI!D27*B859)*VERI_TABANI!$B$7 + MAX(0, VERI_TABANI!D27*B859-VERI_TABANI!D27)*VERI_TABANI!$B$8) + (MIN(MAX(0, VERI_TABANI!D27-VERI_TABANI!D27*B859), VERI_TABANI!D27*C859)*VERI_TABANI!$B$7 + MAX(0, VERI_TABANI!D27*C859-MAX(0, VERI_TABANI!D27-VERI_TABANI!D27*B859))*VERI_TABANI!$B$8) + IF(ABS(IF(ISNUMBER(SEARCH("Var", D859)), 1, IF(ISNUMBER(SEARCH("Gri", D859)), -1, 0)))=1, VERI_TABANI!E27*(1-0.928)*VERI_TABANI!$B$9, 0) + (VERI_TABANI!D27*B859*(VERI_TABANI!$B$13-VERI_TABANI!$B$14)*VERI_TABANI!G27) + (VERI_TABANI!D27*C859*(VERI_TABANI!$B$13-VERI_TABANI!$B$15)*VERI_TABANI!G27) + IF(ABS(IF(ISNUMBER(SEARCH("Var", D859)), 1, IF(ISNUMBER(SEARCH("Gri", D859)), -1, 0)))=1, VERI_TABANI!E27*(1-0.928)*0.00206091519919798*VERI_TABANI!G27, 0)) + ((MIN(VERI_TABANI!D28, VERI_TABANI!D28*B859)*VERI_TABANI!$B$7 + MAX(0, VERI_TABANI!D28*B859-VERI_TABANI!D28)*VERI_TABANI!$B$8) + (MIN(MAX(0, VERI_TABANI!D28-VERI_TABANI!D28*B859), VERI_TABANI!D28*C859)*VERI_TABANI!$B$7 + MAX(0, VERI_TABANI!D28*C859-MAX(0, VERI_TABANI!D28-VERI_TABANI!D28*B859))*VERI_TABANI!$B$8) + IF(ABS(IF(ISNUMBER(SEARCH("Var", D859)), 1, IF(ISNUMBER(SEARCH("Gri", D859)), -1, 0)))=1, VERI_TABANI!E28*(1-0.928)*VERI_TABANI!$B$9, 0) + (VERI_TABANI!D28*B859*(VERI_TABANI!$B$13-VERI_TABANI!$B$14)*VERI_TABANI!G28) + (VERI_TABANI!D28*C859*(VERI_TABANI!$B$13-VERI_TABANI!$B$15)*VERI_TABANI!G28) + IF(ABS(IF(ISNUMBER(SEARCH("Var", D859)), 1, IF(ISNUMBER(SEARCH("Gri", D859)), -1, 0)))=1, VERI_TABANI!E28*(1-0.928)*0.00206091519919798*VERI_TABANI!G28, 0)))</f>
        <v/>
      </c>
      <c r="H859" s="169">
        <f>(((VERI_TABANI!D23*B859*(VERI_TABANI!$B$13-VERI_TABANI!$B$14)) + (VERI_TABANI!D23*C859*(VERI_TABANI!$B$13-VERI_TABANI!$B$15)) + IF(ISNUMBER(SEARCH("Var", D859)), VERI_TABANI!F23*(0.00202-VERI_TABANI!$B$16), IF(ISNUMBER(SEARCH("Gri", D859)), VERI_TABANI!F23*(0.00202-VERI_TABANI!$B$17), 0))) + ((VERI_TABANI!D24*B859*(VERI_TABANI!$B$13-VERI_TABANI!$B$14)) + (VERI_TABANI!D24*C859*(VERI_TABANI!$B$13-VERI_TABANI!$B$15)) + IF(ISNUMBER(SEARCH("Var", D859)), VERI_TABANI!F24*(0.00202-VERI_TABANI!$B$16), IF(ISNUMBER(SEARCH("Gri", D859)), VERI_TABANI!F24*(0.00202-VERI_TABANI!$B$17), 0))) + ((VERI_TABANI!D25*B859*(VERI_TABANI!$B$13-VERI_TABANI!$B$14)) + (VERI_TABANI!D25*C859*(VERI_TABANI!$B$13-VERI_TABANI!$B$15)) + IF(ISNUMBER(SEARCH("Var", D859)), VERI_TABANI!F25*(0.00202-VERI_TABANI!$B$16), IF(ISNUMBER(SEARCH("Gri", D859)), VERI_TABANI!F25*(0.00202-VERI_TABANI!$B$17), 0))) + ((VERI_TABANI!D26*B859*(VERI_TABANI!$B$13-VERI_TABANI!$B$14)) + (VERI_TABANI!D26*C859*(VERI_TABANI!$B$13-VERI_TABANI!$B$15)) + IF(ISNUMBER(SEARCH("Var", D859)), VERI_TABANI!F26*(0.00202-VERI_TABANI!$B$16), IF(ISNUMBER(SEARCH("Gri", D859)), VERI_TABANI!F26*(0.00202-VERI_TABANI!$B$17), 0))) + ((VERI_TABANI!D27*B859*(VERI_TABANI!$B$13-VERI_TABANI!$B$14)) + (VERI_TABANI!D27*C859*(VERI_TABANI!$B$13-VERI_TABANI!$B$15)) + IF(ISNUMBER(SEARCH("Var", D859)), VERI_TABANI!F27*(0.00202-VERI_TABANI!$B$16), IF(ISNUMBER(SEARCH("Gri", D859)), VERI_TABANI!F27*(0.00202-VERI_TABANI!$B$17), 0))) + ((VERI_TABANI!D28*B859*(VERI_TABANI!$B$13-VERI_TABANI!$B$14)) + (VERI_TABANI!D28*C859*(VERI_TABANI!$B$13-VERI_TABANI!$B$15)) + IF(ISNUMBER(SEARCH("Var", D859)), VERI_TABANI!F28*(0.00202-VERI_TABANI!$B$16), IF(ISNUMBER(SEARCH("Gri", D859)), VERI_TABANI!F28*(0.00202-VERI_TABANI!$B$17), 0))))</f>
        <v/>
      </c>
      <c r="I859" s="170">
        <f>IFERROR(((VERI_TABANI!$D$29*B859*VERI_TABANI!$B$14 + VERI_TABANI!$D$29*C859*VERI_TABANI!$B$15 + IF(ISNUMBER(SEARCH("Var", D859)), VERI_TABANI!$F$29*VERI_TABANI!$B$16, 0))) / (((VERI_TABANI!$D$29*B859 + VERI_TABANI!$D$29*C859)*VERI_TABANI!$B$13 + IF(ISNUMBER(SEARCH("Var", D859)), VERI_TABANI!$E$29*(1-0.928)*VERI_TABANI!$B$18, 0))), 0)</f>
        <v/>
      </c>
      <c r="J859" s="171">
        <f>IFERROR(F859/(G859/29), 0)</f>
        <v/>
      </c>
      <c r="K859" s="172">
        <f>IF(F859&gt;0, H859/F859, 0)</f>
        <v/>
      </c>
      <c r="L859" s="170">
        <f>IF(F859&gt;0, I859, 1000000000)</f>
        <v/>
      </c>
      <c r="M859" s="171">
        <f>ABS((B859+C859)-1)</f>
        <v/>
      </c>
      <c r="N859" s="170">
        <f>IF(F859&gt;0, (G859/29)/F859, 0)</f>
        <v/>
      </c>
      <c r="O859" s="168">
        <f>IF(AND((B859+C859)&gt;=1, ISNUMBER(SEARCH("Var", D859))), F859, 1000000000)</f>
        <v/>
      </c>
      <c r="P859" s="172">
        <f>IF(F859&gt;0, SQRT((F859/MAX(F$5:F$886))^2 + (1 - H859/MAX(H$5:H$886))^2 + (J859/MAX(J$5:J$886))^2), 1000000000)</f>
        <v/>
      </c>
      <c r="Q859" s="166">
        <f>IF(AND(ABS(B859-0.5)&lt;0.01, ABS(C859-0.5)&lt;0.01, ISNUMBER(SEARCH("Var", D859))), 1, 0)</f>
        <v/>
      </c>
      <c r="R859" s="171">
        <f>IF(F859&gt;0, J859, 1000000000)</f>
        <v/>
      </c>
      <c r="S859" s="101">
        <f>IF(AND(F859&lt;=DASHBOARD!$B$11, H859&gt;=DASHBOARD!$B$13), G859, -1000000000000)</f>
        <v/>
      </c>
      <c r="T859" s="101">
        <f>IF(AND(F859&lt;=DASHBOARD!$B$11, H859&gt;=DASHBOARD!$B$13), R859, 1000000000000)</f>
        <v/>
      </c>
      <c r="U859" s="101">
        <f>IF(AND(F859&lt;=DASHBOARD!$B$11, H859&gt;=DASHBOARD!$B$13), N859, -1000000000000)</f>
        <v/>
      </c>
      <c r="V859" s="101">
        <f>IF(AND(F859&lt;=DASHBOARD!$B$11, H859&gt;=DASHBOARD!$B$13), H859, -1000000000000)</f>
        <v/>
      </c>
      <c r="W859" s="101">
        <f>IF(AND(F859&lt;=DASHBOARD!$B$11, H859&gt;=DASHBOARD!$B$13), K859, -1000000000000)</f>
        <v/>
      </c>
      <c r="X859" s="101">
        <f>IF(AND(F859&lt;=DASHBOARD!$B$11, H859&gt;=DASHBOARD!$B$13), M859, 1000000000000)</f>
        <v/>
      </c>
      <c r="Y859" s="101">
        <f>IF(AND(F859&lt;=DASHBOARD!$B$10, H859&gt;=DASHBOARD!$B$11), L859, 1000000000000)</f>
        <v/>
      </c>
      <c r="Z859" s="101">
        <f>IF(AND(F859&lt;=DASHBOARD!$B$10, H859&gt;=DASHBOARD!$B$11), O859, 1000000000000)</f>
        <v/>
      </c>
      <c r="AA859" s="101">
        <f>IF(AND(F859&lt;=DASHBOARD!$B$10, H859&gt;=DASHBOARD!$B$11), P859, 1000000000000)</f>
        <v/>
      </c>
      <c r="AB859" s="101">
        <f>IF(AND(F859&lt;=DASHBOARD!$B$10, H859&gt;=DASHBOARD!$B$11), Q859, -1000000000000)</f>
        <v/>
      </c>
    </row>
    <row r="860" ht="15" customHeight="1" s="102">
      <c r="A860" s="166" t="n">
        <v>856</v>
      </c>
      <c r="B860" s="167" t="n">
        <v>2</v>
      </c>
      <c r="C860" s="167" t="n">
        <v>0.7</v>
      </c>
      <c r="D860" s="110" t="inlineStr">
        <is>
          <t>Var (%20)</t>
        </is>
      </c>
      <c r="E860" s="110">
        <f>IF((B860+C860)&lt;=1, "Tam Mahsuplaşma (≤%100)", "Kısmi Satış (&gt;%100)")</f>
        <v/>
      </c>
      <c r="F860" s="168">
        <f>((VERI_TABANI!$D$29*B860/VERI_TABANI!$B$29)/VERI_TABANI!$B$3)*VERI_TABANI!$B$5 + ((VERI_TABANI!$D$29*C860/VERI_TABANI!$B$29)/VERI_TABANI!$B$4)*VERI_TABANI!$B$6 + IF(ISNUMBER(SEARCH("Var", D860)), (VERI_TABANI!$F$29/VERI_TABANI!$B$29)*(VERI_TABANI!$B$10+VERI_TABANI!$B$12), 0)</f>
        <v/>
      </c>
      <c r="G860" s="168">
        <f>(((MIN(VERI_TABANI!D23, VERI_TABANI!D23*B860)*VERI_TABANI!$B$7 + MAX(0, VERI_TABANI!D23*B860-VERI_TABANI!D23)*VERI_TABANI!$B$8) + (MIN(MAX(0, VERI_TABANI!D23-VERI_TABANI!D23*B860), VERI_TABANI!D23*C860)*VERI_TABANI!$B$7 + MAX(0, VERI_TABANI!D23*C860-MAX(0, VERI_TABANI!D23-VERI_TABANI!D23*B860))*VERI_TABANI!$B$8) + IF(ABS(IF(ISNUMBER(SEARCH("Var", D860)), 1, IF(ISNUMBER(SEARCH("Gri", D860)), -1, 0)))=1, VERI_TABANI!E23*(1-0.928)*VERI_TABANI!$B$9, 0) + (VERI_TABANI!D23*B860*(VERI_TABANI!$B$13-VERI_TABANI!$B$14)*VERI_TABANI!G23) + (VERI_TABANI!D23*C860*(VERI_TABANI!$B$13-VERI_TABANI!$B$15)*VERI_TABANI!G23) + IF(ABS(IF(ISNUMBER(SEARCH("Var", D860)), 1, IF(ISNUMBER(SEARCH("Gri", D860)), -1, 0)))=1, VERI_TABANI!E23*(1-0.928)*0.00206091519919798*VERI_TABANI!G23, 0)) + ((MIN(VERI_TABANI!D24, VERI_TABANI!D24*B860)*VERI_TABANI!$B$7 + MAX(0, VERI_TABANI!D24*B860-VERI_TABANI!D24)*VERI_TABANI!$B$8) + (MIN(MAX(0, VERI_TABANI!D24-VERI_TABANI!D24*B860), VERI_TABANI!D24*C860)*VERI_TABANI!$B$7 + MAX(0, VERI_TABANI!D24*C860-MAX(0, VERI_TABANI!D24-VERI_TABANI!D24*B860))*VERI_TABANI!$B$8) + IF(ABS(IF(ISNUMBER(SEARCH("Var", D860)), 1, IF(ISNUMBER(SEARCH("Gri", D860)), -1, 0)))=1, VERI_TABANI!E24*(1-0.928)*VERI_TABANI!$B$9, 0) + (VERI_TABANI!D24*B860*(VERI_TABANI!$B$13-VERI_TABANI!$B$14)*VERI_TABANI!G24) + (VERI_TABANI!D24*C860*(VERI_TABANI!$B$13-VERI_TABANI!$B$15)*VERI_TABANI!G24) + IF(ABS(IF(ISNUMBER(SEARCH("Var", D860)), 1, IF(ISNUMBER(SEARCH("Gri", D860)), -1, 0)))=1, VERI_TABANI!E24*(1-0.928)*0.00206091519919798*VERI_TABANI!G24, 0)) + ((MIN(VERI_TABANI!D25, VERI_TABANI!D25*B860)*VERI_TABANI!$B$7 + MAX(0, VERI_TABANI!D25*B860-VERI_TABANI!D25)*VERI_TABANI!$B$8) + (MIN(MAX(0, VERI_TABANI!D25-VERI_TABANI!D25*B860), VERI_TABANI!D25*C860)*VERI_TABANI!$B$7 + MAX(0, VERI_TABANI!D25*C860-MAX(0, VERI_TABANI!D25-VERI_TABANI!D25*B860))*VERI_TABANI!$B$8) + IF(ABS(IF(ISNUMBER(SEARCH("Var", D860)), 1, IF(ISNUMBER(SEARCH("Gri", D860)), -1, 0)))=1, VERI_TABANI!E25*(1-0.928)*VERI_TABANI!$B$9, 0) + (VERI_TABANI!D25*B860*(VERI_TABANI!$B$13-VERI_TABANI!$B$14)*VERI_TABANI!G25) + (VERI_TABANI!D25*C860*(VERI_TABANI!$B$13-VERI_TABANI!$B$15)*VERI_TABANI!G25) + IF(ABS(IF(ISNUMBER(SEARCH("Var", D860)), 1, IF(ISNUMBER(SEARCH("Gri", D860)), -1, 0)))=1, VERI_TABANI!E25*(1-0.928)*0.00206091519919798*VERI_TABANI!G25, 0)) + ((MIN(VERI_TABANI!D26, VERI_TABANI!D26*B860)*VERI_TABANI!$B$7 + MAX(0, VERI_TABANI!D26*B860-VERI_TABANI!D26)*VERI_TABANI!$B$8) + (MIN(MAX(0, VERI_TABANI!D26-VERI_TABANI!D26*B860), VERI_TABANI!D26*C860)*VERI_TABANI!$B$7 + MAX(0, VERI_TABANI!D26*C860-MAX(0, VERI_TABANI!D26-VERI_TABANI!D26*B860))*VERI_TABANI!$B$8) + IF(ABS(IF(ISNUMBER(SEARCH("Var", D860)), 1, IF(ISNUMBER(SEARCH("Gri", D860)), -1, 0)))=1, VERI_TABANI!E26*(1-0.928)*VERI_TABANI!$B$9, 0) + (VERI_TABANI!D26*B860*(VERI_TABANI!$B$13-VERI_TABANI!$B$14)*VERI_TABANI!G26) + (VERI_TABANI!D26*C860*(VERI_TABANI!$B$13-VERI_TABANI!$B$15)*VERI_TABANI!G26) + IF(ABS(IF(ISNUMBER(SEARCH("Var", D860)), 1, IF(ISNUMBER(SEARCH("Gri", D860)), -1, 0)))=1, VERI_TABANI!E26*(1-0.928)*0.00206091519919798*VERI_TABANI!G26, 0)) + ((MIN(VERI_TABANI!D27, VERI_TABANI!D27*B860)*VERI_TABANI!$B$7 + MAX(0, VERI_TABANI!D27*B860-VERI_TABANI!D27)*VERI_TABANI!$B$8) + (MIN(MAX(0, VERI_TABANI!D27-VERI_TABANI!D27*B860), VERI_TABANI!D27*C860)*VERI_TABANI!$B$7 + MAX(0, VERI_TABANI!D27*C860-MAX(0, VERI_TABANI!D27-VERI_TABANI!D27*B860))*VERI_TABANI!$B$8) + IF(ABS(IF(ISNUMBER(SEARCH("Var", D860)), 1, IF(ISNUMBER(SEARCH("Gri", D860)), -1, 0)))=1, VERI_TABANI!E27*(1-0.928)*VERI_TABANI!$B$9, 0) + (VERI_TABANI!D27*B860*(VERI_TABANI!$B$13-VERI_TABANI!$B$14)*VERI_TABANI!G27) + (VERI_TABANI!D27*C860*(VERI_TABANI!$B$13-VERI_TABANI!$B$15)*VERI_TABANI!G27) + IF(ABS(IF(ISNUMBER(SEARCH("Var", D860)), 1, IF(ISNUMBER(SEARCH("Gri", D860)), -1, 0)))=1, VERI_TABANI!E27*(1-0.928)*0.00206091519919798*VERI_TABANI!G27, 0)) + ((MIN(VERI_TABANI!D28, VERI_TABANI!D28*B860)*VERI_TABANI!$B$7 + MAX(0, VERI_TABANI!D28*B860-VERI_TABANI!D28)*VERI_TABANI!$B$8) + (MIN(MAX(0, VERI_TABANI!D28-VERI_TABANI!D28*B860), VERI_TABANI!D28*C860)*VERI_TABANI!$B$7 + MAX(0, VERI_TABANI!D28*C860-MAX(0, VERI_TABANI!D28-VERI_TABANI!D28*B860))*VERI_TABANI!$B$8) + IF(ABS(IF(ISNUMBER(SEARCH("Var", D860)), 1, IF(ISNUMBER(SEARCH("Gri", D860)), -1, 0)))=1, VERI_TABANI!E28*(1-0.928)*VERI_TABANI!$B$9, 0) + (VERI_TABANI!D28*B860*(VERI_TABANI!$B$13-VERI_TABANI!$B$14)*VERI_TABANI!G28) + (VERI_TABANI!D28*C860*(VERI_TABANI!$B$13-VERI_TABANI!$B$15)*VERI_TABANI!G28) + IF(ABS(IF(ISNUMBER(SEARCH("Var", D860)), 1, IF(ISNUMBER(SEARCH("Gri", D860)), -1, 0)))=1, VERI_TABANI!E28*(1-0.928)*0.00206091519919798*VERI_TABANI!G28, 0)))</f>
        <v/>
      </c>
      <c r="H860" s="169">
        <f>(((VERI_TABANI!D23*B860*(VERI_TABANI!$B$13-VERI_TABANI!$B$14)) + (VERI_TABANI!D23*C860*(VERI_TABANI!$B$13-VERI_TABANI!$B$15)) + IF(ISNUMBER(SEARCH("Var", D860)), VERI_TABANI!F23*(0.00202-VERI_TABANI!$B$16), IF(ISNUMBER(SEARCH("Gri", D860)), VERI_TABANI!F23*(0.00202-VERI_TABANI!$B$17), 0))) + ((VERI_TABANI!D24*B860*(VERI_TABANI!$B$13-VERI_TABANI!$B$14)) + (VERI_TABANI!D24*C860*(VERI_TABANI!$B$13-VERI_TABANI!$B$15)) + IF(ISNUMBER(SEARCH("Var", D860)), VERI_TABANI!F24*(0.00202-VERI_TABANI!$B$16), IF(ISNUMBER(SEARCH("Gri", D860)), VERI_TABANI!F24*(0.00202-VERI_TABANI!$B$17), 0))) + ((VERI_TABANI!D25*B860*(VERI_TABANI!$B$13-VERI_TABANI!$B$14)) + (VERI_TABANI!D25*C860*(VERI_TABANI!$B$13-VERI_TABANI!$B$15)) + IF(ISNUMBER(SEARCH("Var", D860)), VERI_TABANI!F25*(0.00202-VERI_TABANI!$B$16), IF(ISNUMBER(SEARCH("Gri", D860)), VERI_TABANI!F25*(0.00202-VERI_TABANI!$B$17), 0))) + ((VERI_TABANI!D26*B860*(VERI_TABANI!$B$13-VERI_TABANI!$B$14)) + (VERI_TABANI!D26*C860*(VERI_TABANI!$B$13-VERI_TABANI!$B$15)) + IF(ISNUMBER(SEARCH("Var", D860)), VERI_TABANI!F26*(0.00202-VERI_TABANI!$B$16), IF(ISNUMBER(SEARCH("Gri", D860)), VERI_TABANI!F26*(0.00202-VERI_TABANI!$B$17), 0))) + ((VERI_TABANI!D27*B860*(VERI_TABANI!$B$13-VERI_TABANI!$B$14)) + (VERI_TABANI!D27*C860*(VERI_TABANI!$B$13-VERI_TABANI!$B$15)) + IF(ISNUMBER(SEARCH("Var", D860)), VERI_TABANI!F27*(0.00202-VERI_TABANI!$B$16), IF(ISNUMBER(SEARCH("Gri", D860)), VERI_TABANI!F27*(0.00202-VERI_TABANI!$B$17), 0))) + ((VERI_TABANI!D28*B860*(VERI_TABANI!$B$13-VERI_TABANI!$B$14)) + (VERI_TABANI!D28*C860*(VERI_TABANI!$B$13-VERI_TABANI!$B$15)) + IF(ISNUMBER(SEARCH("Var", D860)), VERI_TABANI!F28*(0.00202-VERI_TABANI!$B$16), IF(ISNUMBER(SEARCH("Gri", D860)), VERI_TABANI!F28*(0.00202-VERI_TABANI!$B$17), 0))))</f>
        <v/>
      </c>
      <c r="I860" s="170">
        <f>IFERROR(((VERI_TABANI!$D$29*B860*VERI_TABANI!$B$14 + VERI_TABANI!$D$29*C860*VERI_TABANI!$B$15 + IF(ISNUMBER(SEARCH("Var", D860)), VERI_TABANI!$F$29*VERI_TABANI!$B$16, 0))) / (((VERI_TABANI!$D$29*B860 + VERI_TABANI!$D$29*C860)*VERI_TABANI!$B$13 + IF(ISNUMBER(SEARCH("Var", D860)), VERI_TABANI!$E$29*(1-0.928)*VERI_TABANI!$B$18, 0))), 0)</f>
        <v/>
      </c>
      <c r="J860" s="171">
        <f>IFERROR(F860/(G860/29), 0)</f>
        <v/>
      </c>
      <c r="K860" s="172">
        <f>IF(F860&gt;0, H860/F860, 0)</f>
        <v/>
      </c>
      <c r="L860" s="170">
        <f>IF(F860&gt;0, I860, 1000000000)</f>
        <v/>
      </c>
      <c r="M860" s="171">
        <f>ABS((B860+C860)-1)</f>
        <v/>
      </c>
      <c r="N860" s="170">
        <f>IF(F860&gt;0, (G860/29)/F860, 0)</f>
        <v/>
      </c>
      <c r="O860" s="168">
        <f>IF(AND((B860+C860)&gt;=1, ISNUMBER(SEARCH("Var", D860))), F860, 1000000000)</f>
        <v/>
      </c>
      <c r="P860" s="172">
        <f>IF(F860&gt;0, SQRT((F860/MAX(F$5:F$886))^2 + (1 - H860/MAX(H$5:H$886))^2 + (J860/MAX(J$5:J$886))^2), 1000000000)</f>
        <v/>
      </c>
      <c r="Q860" s="166">
        <f>IF(AND(ABS(B860-0.5)&lt;0.01, ABS(C860-0.5)&lt;0.01, ISNUMBER(SEARCH("Var", D860))), 1, 0)</f>
        <v/>
      </c>
      <c r="R860" s="171">
        <f>IF(F860&gt;0, J860, 1000000000)</f>
        <v/>
      </c>
      <c r="S860" s="101">
        <f>IF(AND(F860&lt;=DASHBOARD!$B$11, H860&gt;=DASHBOARD!$B$13), G860, -1000000000000)</f>
        <v/>
      </c>
      <c r="T860" s="101">
        <f>IF(AND(F860&lt;=DASHBOARD!$B$11, H860&gt;=DASHBOARD!$B$13), R860, 1000000000000)</f>
        <v/>
      </c>
      <c r="U860" s="101">
        <f>IF(AND(F860&lt;=DASHBOARD!$B$11, H860&gt;=DASHBOARD!$B$13), N860, -1000000000000)</f>
        <v/>
      </c>
      <c r="V860" s="101">
        <f>IF(AND(F860&lt;=DASHBOARD!$B$11, H860&gt;=DASHBOARD!$B$13), H860, -1000000000000)</f>
        <v/>
      </c>
      <c r="W860" s="101">
        <f>IF(AND(F860&lt;=DASHBOARD!$B$11, H860&gt;=DASHBOARD!$B$13), K860, -1000000000000)</f>
        <v/>
      </c>
      <c r="X860" s="101">
        <f>IF(AND(F860&lt;=DASHBOARD!$B$11, H860&gt;=DASHBOARD!$B$13), M860, 1000000000000)</f>
        <v/>
      </c>
      <c r="Y860" s="101">
        <f>IF(AND(F860&lt;=DASHBOARD!$B$10, H860&gt;=DASHBOARD!$B$11), L860, 1000000000000)</f>
        <v/>
      </c>
      <c r="Z860" s="101">
        <f>IF(AND(F860&lt;=DASHBOARD!$B$10, H860&gt;=DASHBOARD!$B$11), O860, 1000000000000)</f>
        <v/>
      </c>
      <c r="AA860" s="101">
        <f>IF(AND(F860&lt;=DASHBOARD!$B$10, H860&gt;=DASHBOARD!$B$11), P860, 1000000000000)</f>
        <v/>
      </c>
      <c r="AB860" s="101">
        <f>IF(AND(F860&lt;=DASHBOARD!$B$10, H860&gt;=DASHBOARD!$B$11), Q860, -1000000000000)</f>
        <v/>
      </c>
    </row>
    <row r="861" ht="15" customHeight="1" s="102">
      <c r="A861" s="166" t="n">
        <v>857</v>
      </c>
      <c r="B861" s="167" t="n">
        <v>2</v>
      </c>
      <c r="C861" s="167" t="n">
        <v>0.8</v>
      </c>
      <c r="D861" s="110" t="inlineStr">
        <is>
          <t>Yok (%0)</t>
        </is>
      </c>
      <c r="E861" s="110">
        <f>IF((B861+C861)&lt;=1, "Tam Mahsuplaşma (≤%100)", "Kısmi Satış (&gt;%100)")</f>
        <v/>
      </c>
      <c r="F861" s="168">
        <f>((VERI_TABANI!$D$29*B861/VERI_TABANI!$B$29)/VERI_TABANI!$B$3)*VERI_TABANI!$B$5 + ((VERI_TABANI!$D$29*C861/VERI_TABANI!$B$29)/VERI_TABANI!$B$4)*VERI_TABANI!$B$6 + IF(ISNUMBER(SEARCH("Var", D861)), (VERI_TABANI!$F$29/VERI_TABANI!$B$29)*(VERI_TABANI!$B$10+VERI_TABANI!$B$12), 0)</f>
        <v/>
      </c>
      <c r="G861" s="168">
        <f>(((MIN(VERI_TABANI!D23, VERI_TABANI!D23*B861)*VERI_TABANI!$B$7 + MAX(0, VERI_TABANI!D23*B861-VERI_TABANI!D23)*VERI_TABANI!$B$8) + (MIN(MAX(0, VERI_TABANI!D23-VERI_TABANI!D23*B861), VERI_TABANI!D23*C861)*VERI_TABANI!$B$7 + MAX(0, VERI_TABANI!D23*C861-MAX(0, VERI_TABANI!D23-VERI_TABANI!D23*B861))*VERI_TABANI!$B$8) + IF(ABS(IF(ISNUMBER(SEARCH("Var", D861)), 1, IF(ISNUMBER(SEARCH("Gri", D861)), -1, 0)))=1, VERI_TABANI!E23*(1-0.928)*VERI_TABANI!$B$9, 0) + (VERI_TABANI!D23*B861*(VERI_TABANI!$B$13-VERI_TABANI!$B$14)*VERI_TABANI!G23) + (VERI_TABANI!D23*C861*(VERI_TABANI!$B$13-VERI_TABANI!$B$15)*VERI_TABANI!G23) + IF(ABS(IF(ISNUMBER(SEARCH("Var", D861)), 1, IF(ISNUMBER(SEARCH("Gri", D861)), -1, 0)))=1, VERI_TABANI!E23*(1-0.928)*0.00206091519919798*VERI_TABANI!G23, 0)) + ((MIN(VERI_TABANI!D24, VERI_TABANI!D24*B861)*VERI_TABANI!$B$7 + MAX(0, VERI_TABANI!D24*B861-VERI_TABANI!D24)*VERI_TABANI!$B$8) + (MIN(MAX(0, VERI_TABANI!D24-VERI_TABANI!D24*B861), VERI_TABANI!D24*C861)*VERI_TABANI!$B$7 + MAX(0, VERI_TABANI!D24*C861-MAX(0, VERI_TABANI!D24-VERI_TABANI!D24*B861))*VERI_TABANI!$B$8) + IF(ABS(IF(ISNUMBER(SEARCH("Var", D861)), 1, IF(ISNUMBER(SEARCH("Gri", D861)), -1, 0)))=1, VERI_TABANI!E24*(1-0.928)*VERI_TABANI!$B$9, 0) + (VERI_TABANI!D24*B861*(VERI_TABANI!$B$13-VERI_TABANI!$B$14)*VERI_TABANI!G24) + (VERI_TABANI!D24*C861*(VERI_TABANI!$B$13-VERI_TABANI!$B$15)*VERI_TABANI!G24) + IF(ABS(IF(ISNUMBER(SEARCH("Var", D861)), 1, IF(ISNUMBER(SEARCH("Gri", D861)), -1, 0)))=1, VERI_TABANI!E24*(1-0.928)*0.00206091519919798*VERI_TABANI!G24, 0)) + ((MIN(VERI_TABANI!D25, VERI_TABANI!D25*B861)*VERI_TABANI!$B$7 + MAX(0, VERI_TABANI!D25*B861-VERI_TABANI!D25)*VERI_TABANI!$B$8) + (MIN(MAX(0, VERI_TABANI!D25-VERI_TABANI!D25*B861), VERI_TABANI!D25*C861)*VERI_TABANI!$B$7 + MAX(0, VERI_TABANI!D25*C861-MAX(0, VERI_TABANI!D25-VERI_TABANI!D25*B861))*VERI_TABANI!$B$8) + IF(ABS(IF(ISNUMBER(SEARCH("Var", D861)), 1, IF(ISNUMBER(SEARCH("Gri", D861)), -1, 0)))=1, VERI_TABANI!E25*(1-0.928)*VERI_TABANI!$B$9, 0) + (VERI_TABANI!D25*B861*(VERI_TABANI!$B$13-VERI_TABANI!$B$14)*VERI_TABANI!G25) + (VERI_TABANI!D25*C861*(VERI_TABANI!$B$13-VERI_TABANI!$B$15)*VERI_TABANI!G25) + IF(ABS(IF(ISNUMBER(SEARCH("Var", D861)), 1, IF(ISNUMBER(SEARCH("Gri", D861)), -1, 0)))=1, VERI_TABANI!E25*(1-0.928)*0.00206091519919798*VERI_TABANI!G25, 0)) + ((MIN(VERI_TABANI!D26, VERI_TABANI!D26*B861)*VERI_TABANI!$B$7 + MAX(0, VERI_TABANI!D26*B861-VERI_TABANI!D26)*VERI_TABANI!$B$8) + (MIN(MAX(0, VERI_TABANI!D26-VERI_TABANI!D26*B861), VERI_TABANI!D26*C861)*VERI_TABANI!$B$7 + MAX(0, VERI_TABANI!D26*C861-MAX(0, VERI_TABANI!D26-VERI_TABANI!D26*B861))*VERI_TABANI!$B$8) + IF(ABS(IF(ISNUMBER(SEARCH("Var", D861)), 1, IF(ISNUMBER(SEARCH("Gri", D861)), -1, 0)))=1, VERI_TABANI!E26*(1-0.928)*VERI_TABANI!$B$9, 0) + (VERI_TABANI!D26*B861*(VERI_TABANI!$B$13-VERI_TABANI!$B$14)*VERI_TABANI!G26) + (VERI_TABANI!D26*C861*(VERI_TABANI!$B$13-VERI_TABANI!$B$15)*VERI_TABANI!G26) + IF(ABS(IF(ISNUMBER(SEARCH("Var", D861)), 1, IF(ISNUMBER(SEARCH("Gri", D861)), -1, 0)))=1, VERI_TABANI!E26*(1-0.928)*0.00206091519919798*VERI_TABANI!G26, 0)) + ((MIN(VERI_TABANI!D27, VERI_TABANI!D27*B861)*VERI_TABANI!$B$7 + MAX(0, VERI_TABANI!D27*B861-VERI_TABANI!D27)*VERI_TABANI!$B$8) + (MIN(MAX(0, VERI_TABANI!D27-VERI_TABANI!D27*B861), VERI_TABANI!D27*C861)*VERI_TABANI!$B$7 + MAX(0, VERI_TABANI!D27*C861-MAX(0, VERI_TABANI!D27-VERI_TABANI!D27*B861))*VERI_TABANI!$B$8) + IF(ABS(IF(ISNUMBER(SEARCH("Var", D861)), 1, IF(ISNUMBER(SEARCH("Gri", D861)), -1, 0)))=1, VERI_TABANI!E27*(1-0.928)*VERI_TABANI!$B$9, 0) + (VERI_TABANI!D27*B861*(VERI_TABANI!$B$13-VERI_TABANI!$B$14)*VERI_TABANI!G27) + (VERI_TABANI!D27*C861*(VERI_TABANI!$B$13-VERI_TABANI!$B$15)*VERI_TABANI!G27) + IF(ABS(IF(ISNUMBER(SEARCH("Var", D861)), 1, IF(ISNUMBER(SEARCH("Gri", D861)), -1, 0)))=1, VERI_TABANI!E27*(1-0.928)*0.00206091519919798*VERI_TABANI!G27, 0)) + ((MIN(VERI_TABANI!D28, VERI_TABANI!D28*B861)*VERI_TABANI!$B$7 + MAX(0, VERI_TABANI!D28*B861-VERI_TABANI!D28)*VERI_TABANI!$B$8) + (MIN(MAX(0, VERI_TABANI!D28-VERI_TABANI!D28*B861), VERI_TABANI!D28*C861)*VERI_TABANI!$B$7 + MAX(0, VERI_TABANI!D28*C861-MAX(0, VERI_TABANI!D28-VERI_TABANI!D28*B861))*VERI_TABANI!$B$8) + IF(ABS(IF(ISNUMBER(SEARCH("Var", D861)), 1, IF(ISNUMBER(SEARCH("Gri", D861)), -1, 0)))=1, VERI_TABANI!E28*(1-0.928)*VERI_TABANI!$B$9, 0) + (VERI_TABANI!D28*B861*(VERI_TABANI!$B$13-VERI_TABANI!$B$14)*VERI_TABANI!G28) + (VERI_TABANI!D28*C861*(VERI_TABANI!$B$13-VERI_TABANI!$B$15)*VERI_TABANI!G28) + IF(ABS(IF(ISNUMBER(SEARCH("Var", D861)), 1, IF(ISNUMBER(SEARCH("Gri", D861)), -1, 0)))=1, VERI_TABANI!E28*(1-0.928)*0.00206091519919798*VERI_TABANI!G28, 0)))</f>
        <v/>
      </c>
      <c r="H861" s="169">
        <f>(((VERI_TABANI!D23*B861*(VERI_TABANI!$B$13-VERI_TABANI!$B$14)) + (VERI_TABANI!D23*C861*(VERI_TABANI!$B$13-VERI_TABANI!$B$15)) + IF(ISNUMBER(SEARCH("Var", D861)), VERI_TABANI!F23*(0.00202-VERI_TABANI!$B$16), IF(ISNUMBER(SEARCH("Gri", D861)), VERI_TABANI!F23*(0.00202-VERI_TABANI!$B$17), 0))) + ((VERI_TABANI!D24*B861*(VERI_TABANI!$B$13-VERI_TABANI!$B$14)) + (VERI_TABANI!D24*C861*(VERI_TABANI!$B$13-VERI_TABANI!$B$15)) + IF(ISNUMBER(SEARCH("Var", D861)), VERI_TABANI!F24*(0.00202-VERI_TABANI!$B$16), IF(ISNUMBER(SEARCH("Gri", D861)), VERI_TABANI!F24*(0.00202-VERI_TABANI!$B$17), 0))) + ((VERI_TABANI!D25*B861*(VERI_TABANI!$B$13-VERI_TABANI!$B$14)) + (VERI_TABANI!D25*C861*(VERI_TABANI!$B$13-VERI_TABANI!$B$15)) + IF(ISNUMBER(SEARCH("Var", D861)), VERI_TABANI!F25*(0.00202-VERI_TABANI!$B$16), IF(ISNUMBER(SEARCH("Gri", D861)), VERI_TABANI!F25*(0.00202-VERI_TABANI!$B$17), 0))) + ((VERI_TABANI!D26*B861*(VERI_TABANI!$B$13-VERI_TABANI!$B$14)) + (VERI_TABANI!D26*C861*(VERI_TABANI!$B$13-VERI_TABANI!$B$15)) + IF(ISNUMBER(SEARCH("Var", D861)), VERI_TABANI!F26*(0.00202-VERI_TABANI!$B$16), IF(ISNUMBER(SEARCH("Gri", D861)), VERI_TABANI!F26*(0.00202-VERI_TABANI!$B$17), 0))) + ((VERI_TABANI!D27*B861*(VERI_TABANI!$B$13-VERI_TABANI!$B$14)) + (VERI_TABANI!D27*C861*(VERI_TABANI!$B$13-VERI_TABANI!$B$15)) + IF(ISNUMBER(SEARCH("Var", D861)), VERI_TABANI!F27*(0.00202-VERI_TABANI!$B$16), IF(ISNUMBER(SEARCH("Gri", D861)), VERI_TABANI!F27*(0.00202-VERI_TABANI!$B$17), 0))) + ((VERI_TABANI!D28*B861*(VERI_TABANI!$B$13-VERI_TABANI!$B$14)) + (VERI_TABANI!D28*C861*(VERI_TABANI!$B$13-VERI_TABANI!$B$15)) + IF(ISNUMBER(SEARCH("Var", D861)), VERI_TABANI!F28*(0.00202-VERI_TABANI!$B$16), IF(ISNUMBER(SEARCH("Gri", D861)), VERI_TABANI!F28*(0.00202-VERI_TABANI!$B$17), 0))))</f>
        <v/>
      </c>
      <c r="I861" s="170">
        <f>IFERROR(((VERI_TABANI!$D$29*B861*VERI_TABANI!$B$14 + VERI_TABANI!$D$29*C861*VERI_TABANI!$B$15 + IF(ISNUMBER(SEARCH("Var", D861)), VERI_TABANI!$F$29*VERI_TABANI!$B$16, 0))) / (((VERI_TABANI!$D$29*B861 + VERI_TABANI!$D$29*C861)*VERI_TABANI!$B$13 + IF(ISNUMBER(SEARCH("Var", D861)), VERI_TABANI!$E$29*(1-0.928)*VERI_TABANI!$B$18, 0))), 0)</f>
        <v/>
      </c>
      <c r="J861" s="171">
        <f>IFERROR(F861/(G861/29), 0)</f>
        <v/>
      </c>
      <c r="K861" s="172">
        <f>IF(F861&gt;0, H861/F861, 0)</f>
        <v/>
      </c>
      <c r="L861" s="170">
        <f>IF(F861&gt;0, I861, 1000000000)</f>
        <v/>
      </c>
      <c r="M861" s="171">
        <f>ABS((B861+C861)-1)</f>
        <v/>
      </c>
      <c r="N861" s="170">
        <f>IF(F861&gt;0, (G861/29)/F861, 0)</f>
        <v/>
      </c>
      <c r="O861" s="168">
        <f>IF(AND((B861+C861)&gt;=1, ISNUMBER(SEARCH("Var", D861))), F861, 1000000000)</f>
        <v/>
      </c>
      <c r="P861" s="172">
        <f>IF(F861&gt;0, SQRT((F861/MAX(F$5:F$886))^2 + (1 - H861/MAX(H$5:H$886))^2 + (J861/MAX(J$5:J$886))^2), 1000000000)</f>
        <v/>
      </c>
      <c r="Q861" s="166">
        <f>IF(AND(ABS(B861-0.5)&lt;0.01, ABS(C861-0.5)&lt;0.01, ISNUMBER(SEARCH("Var", D861))), 1, 0)</f>
        <v/>
      </c>
      <c r="R861" s="171">
        <f>IF(F861&gt;0, J861, 1000000000)</f>
        <v/>
      </c>
      <c r="S861" s="101">
        <f>IF(AND(F861&lt;=DASHBOARD!$B$11, H861&gt;=DASHBOARD!$B$13), G861, -1000000000000)</f>
        <v/>
      </c>
      <c r="T861" s="101">
        <f>IF(AND(F861&lt;=DASHBOARD!$B$11, H861&gt;=DASHBOARD!$B$13), R861, 1000000000000)</f>
        <v/>
      </c>
      <c r="U861" s="101">
        <f>IF(AND(F861&lt;=DASHBOARD!$B$11, H861&gt;=DASHBOARD!$B$13), N861, -1000000000000)</f>
        <v/>
      </c>
      <c r="V861" s="101">
        <f>IF(AND(F861&lt;=DASHBOARD!$B$11, H861&gt;=DASHBOARD!$B$13), H861, -1000000000000)</f>
        <v/>
      </c>
      <c r="W861" s="101">
        <f>IF(AND(F861&lt;=DASHBOARD!$B$11, H861&gt;=DASHBOARD!$B$13), K861, -1000000000000)</f>
        <v/>
      </c>
      <c r="X861" s="101">
        <f>IF(AND(F861&lt;=DASHBOARD!$B$11, H861&gt;=DASHBOARD!$B$13), M861, 1000000000000)</f>
        <v/>
      </c>
      <c r="Y861" s="101">
        <f>IF(AND(F861&lt;=DASHBOARD!$B$10, H861&gt;=DASHBOARD!$B$11), L861, 1000000000000)</f>
        <v/>
      </c>
      <c r="Z861" s="101">
        <f>IF(AND(F861&lt;=DASHBOARD!$B$10, H861&gt;=DASHBOARD!$B$11), O861, 1000000000000)</f>
        <v/>
      </c>
      <c r="AA861" s="101">
        <f>IF(AND(F861&lt;=DASHBOARD!$B$10, H861&gt;=DASHBOARD!$B$11), P861, 1000000000000)</f>
        <v/>
      </c>
      <c r="AB861" s="101">
        <f>IF(AND(F861&lt;=DASHBOARD!$B$10, H861&gt;=DASHBOARD!$B$11), Q861, -1000000000000)</f>
        <v/>
      </c>
    </row>
    <row r="862" ht="15" customHeight="1" s="102">
      <c r="A862" s="166" t="n">
        <v>858</v>
      </c>
      <c r="B862" s="167" t="n">
        <v>2</v>
      </c>
      <c r="C862" s="167" t="n">
        <v>0.8</v>
      </c>
      <c r="D862" s="110" t="inlineStr">
        <is>
          <t>Var (%20)</t>
        </is>
      </c>
      <c r="E862" s="110">
        <f>IF((B862+C862)&lt;=1, "Tam Mahsuplaşma (≤%100)", "Kısmi Satış (&gt;%100)")</f>
        <v/>
      </c>
      <c r="F862" s="168">
        <f>((VERI_TABANI!$D$29*B862/VERI_TABANI!$B$29)/VERI_TABANI!$B$3)*VERI_TABANI!$B$5 + ((VERI_TABANI!$D$29*C862/VERI_TABANI!$B$29)/VERI_TABANI!$B$4)*VERI_TABANI!$B$6 + IF(ISNUMBER(SEARCH("Var", D862)), (VERI_TABANI!$F$29/VERI_TABANI!$B$29)*(VERI_TABANI!$B$10+VERI_TABANI!$B$12), 0)</f>
        <v/>
      </c>
      <c r="G862" s="168">
        <f>(((MIN(VERI_TABANI!D23, VERI_TABANI!D23*B862)*VERI_TABANI!$B$7 + MAX(0, VERI_TABANI!D23*B862-VERI_TABANI!D23)*VERI_TABANI!$B$8) + (MIN(MAX(0, VERI_TABANI!D23-VERI_TABANI!D23*B862), VERI_TABANI!D23*C862)*VERI_TABANI!$B$7 + MAX(0, VERI_TABANI!D23*C862-MAX(0, VERI_TABANI!D23-VERI_TABANI!D23*B862))*VERI_TABANI!$B$8) + IF(ABS(IF(ISNUMBER(SEARCH("Var", D862)), 1, IF(ISNUMBER(SEARCH("Gri", D862)), -1, 0)))=1, VERI_TABANI!E23*(1-0.928)*VERI_TABANI!$B$9, 0) + (VERI_TABANI!D23*B862*(VERI_TABANI!$B$13-VERI_TABANI!$B$14)*VERI_TABANI!G23) + (VERI_TABANI!D23*C862*(VERI_TABANI!$B$13-VERI_TABANI!$B$15)*VERI_TABANI!G23) + IF(ABS(IF(ISNUMBER(SEARCH("Var", D862)), 1, IF(ISNUMBER(SEARCH("Gri", D862)), -1, 0)))=1, VERI_TABANI!E23*(1-0.928)*0.00206091519919798*VERI_TABANI!G23, 0)) + ((MIN(VERI_TABANI!D24, VERI_TABANI!D24*B862)*VERI_TABANI!$B$7 + MAX(0, VERI_TABANI!D24*B862-VERI_TABANI!D24)*VERI_TABANI!$B$8) + (MIN(MAX(0, VERI_TABANI!D24-VERI_TABANI!D24*B862), VERI_TABANI!D24*C862)*VERI_TABANI!$B$7 + MAX(0, VERI_TABANI!D24*C862-MAX(0, VERI_TABANI!D24-VERI_TABANI!D24*B862))*VERI_TABANI!$B$8) + IF(ABS(IF(ISNUMBER(SEARCH("Var", D862)), 1, IF(ISNUMBER(SEARCH("Gri", D862)), -1, 0)))=1, VERI_TABANI!E24*(1-0.928)*VERI_TABANI!$B$9, 0) + (VERI_TABANI!D24*B862*(VERI_TABANI!$B$13-VERI_TABANI!$B$14)*VERI_TABANI!G24) + (VERI_TABANI!D24*C862*(VERI_TABANI!$B$13-VERI_TABANI!$B$15)*VERI_TABANI!G24) + IF(ABS(IF(ISNUMBER(SEARCH("Var", D862)), 1, IF(ISNUMBER(SEARCH("Gri", D862)), -1, 0)))=1, VERI_TABANI!E24*(1-0.928)*0.00206091519919798*VERI_TABANI!G24, 0)) + ((MIN(VERI_TABANI!D25, VERI_TABANI!D25*B862)*VERI_TABANI!$B$7 + MAX(0, VERI_TABANI!D25*B862-VERI_TABANI!D25)*VERI_TABANI!$B$8) + (MIN(MAX(0, VERI_TABANI!D25-VERI_TABANI!D25*B862), VERI_TABANI!D25*C862)*VERI_TABANI!$B$7 + MAX(0, VERI_TABANI!D25*C862-MAX(0, VERI_TABANI!D25-VERI_TABANI!D25*B862))*VERI_TABANI!$B$8) + IF(ABS(IF(ISNUMBER(SEARCH("Var", D862)), 1, IF(ISNUMBER(SEARCH("Gri", D862)), -1, 0)))=1, VERI_TABANI!E25*(1-0.928)*VERI_TABANI!$B$9, 0) + (VERI_TABANI!D25*B862*(VERI_TABANI!$B$13-VERI_TABANI!$B$14)*VERI_TABANI!G25) + (VERI_TABANI!D25*C862*(VERI_TABANI!$B$13-VERI_TABANI!$B$15)*VERI_TABANI!G25) + IF(ABS(IF(ISNUMBER(SEARCH("Var", D862)), 1, IF(ISNUMBER(SEARCH("Gri", D862)), -1, 0)))=1, VERI_TABANI!E25*(1-0.928)*0.00206091519919798*VERI_TABANI!G25, 0)) + ((MIN(VERI_TABANI!D26, VERI_TABANI!D26*B862)*VERI_TABANI!$B$7 + MAX(0, VERI_TABANI!D26*B862-VERI_TABANI!D26)*VERI_TABANI!$B$8) + (MIN(MAX(0, VERI_TABANI!D26-VERI_TABANI!D26*B862), VERI_TABANI!D26*C862)*VERI_TABANI!$B$7 + MAX(0, VERI_TABANI!D26*C862-MAX(0, VERI_TABANI!D26-VERI_TABANI!D26*B862))*VERI_TABANI!$B$8) + IF(ABS(IF(ISNUMBER(SEARCH("Var", D862)), 1, IF(ISNUMBER(SEARCH("Gri", D862)), -1, 0)))=1, VERI_TABANI!E26*(1-0.928)*VERI_TABANI!$B$9, 0) + (VERI_TABANI!D26*B862*(VERI_TABANI!$B$13-VERI_TABANI!$B$14)*VERI_TABANI!G26) + (VERI_TABANI!D26*C862*(VERI_TABANI!$B$13-VERI_TABANI!$B$15)*VERI_TABANI!G26) + IF(ABS(IF(ISNUMBER(SEARCH("Var", D862)), 1, IF(ISNUMBER(SEARCH("Gri", D862)), -1, 0)))=1, VERI_TABANI!E26*(1-0.928)*0.00206091519919798*VERI_TABANI!G26, 0)) + ((MIN(VERI_TABANI!D27, VERI_TABANI!D27*B862)*VERI_TABANI!$B$7 + MAX(0, VERI_TABANI!D27*B862-VERI_TABANI!D27)*VERI_TABANI!$B$8) + (MIN(MAX(0, VERI_TABANI!D27-VERI_TABANI!D27*B862), VERI_TABANI!D27*C862)*VERI_TABANI!$B$7 + MAX(0, VERI_TABANI!D27*C862-MAX(0, VERI_TABANI!D27-VERI_TABANI!D27*B862))*VERI_TABANI!$B$8) + IF(ABS(IF(ISNUMBER(SEARCH("Var", D862)), 1, IF(ISNUMBER(SEARCH("Gri", D862)), -1, 0)))=1, VERI_TABANI!E27*(1-0.928)*VERI_TABANI!$B$9, 0) + (VERI_TABANI!D27*B862*(VERI_TABANI!$B$13-VERI_TABANI!$B$14)*VERI_TABANI!G27) + (VERI_TABANI!D27*C862*(VERI_TABANI!$B$13-VERI_TABANI!$B$15)*VERI_TABANI!G27) + IF(ABS(IF(ISNUMBER(SEARCH("Var", D862)), 1, IF(ISNUMBER(SEARCH("Gri", D862)), -1, 0)))=1, VERI_TABANI!E27*(1-0.928)*0.00206091519919798*VERI_TABANI!G27, 0)) + ((MIN(VERI_TABANI!D28, VERI_TABANI!D28*B862)*VERI_TABANI!$B$7 + MAX(0, VERI_TABANI!D28*B862-VERI_TABANI!D28)*VERI_TABANI!$B$8) + (MIN(MAX(0, VERI_TABANI!D28-VERI_TABANI!D28*B862), VERI_TABANI!D28*C862)*VERI_TABANI!$B$7 + MAX(0, VERI_TABANI!D28*C862-MAX(0, VERI_TABANI!D28-VERI_TABANI!D28*B862))*VERI_TABANI!$B$8) + IF(ABS(IF(ISNUMBER(SEARCH("Var", D862)), 1, IF(ISNUMBER(SEARCH("Gri", D862)), -1, 0)))=1, VERI_TABANI!E28*(1-0.928)*VERI_TABANI!$B$9, 0) + (VERI_TABANI!D28*B862*(VERI_TABANI!$B$13-VERI_TABANI!$B$14)*VERI_TABANI!G28) + (VERI_TABANI!D28*C862*(VERI_TABANI!$B$13-VERI_TABANI!$B$15)*VERI_TABANI!G28) + IF(ABS(IF(ISNUMBER(SEARCH("Var", D862)), 1, IF(ISNUMBER(SEARCH("Gri", D862)), -1, 0)))=1, VERI_TABANI!E28*(1-0.928)*0.00206091519919798*VERI_TABANI!G28, 0)))</f>
        <v/>
      </c>
      <c r="H862" s="169">
        <f>(((VERI_TABANI!D23*B862*(VERI_TABANI!$B$13-VERI_TABANI!$B$14)) + (VERI_TABANI!D23*C862*(VERI_TABANI!$B$13-VERI_TABANI!$B$15)) + IF(ISNUMBER(SEARCH("Var", D862)), VERI_TABANI!F23*(0.00202-VERI_TABANI!$B$16), IF(ISNUMBER(SEARCH("Gri", D862)), VERI_TABANI!F23*(0.00202-VERI_TABANI!$B$17), 0))) + ((VERI_TABANI!D24*B862*(VERI_TABANI!$B$13-VERI_TABANI!$B$14)) + (VERI_TABANI!D24*C862*(VERI_TABANI!$B$13-VERI_TABANI!$B$15)) + IF(ISNUMBER(SEARCH("Var", D862)), VERI_TABANI!F24*(0.00202-VERI_TABANI!$B$16), IF(ISNUMBER(SEARCH("Gri", D862)), VERI_TABANI!F24*(0.00202-VERI_TABANI!$B$17), 0))) + ((VERI_TABANI!D25*B862*(VERI_TABANI!$B$13-VERI_TABANI!$B$14)) + (VERI_TABANI!D25*C862*(VERI_TABANI!$B$13-VERI_TABANI!$B$15)) + IF(ISNUMBER(SEARCH("Var", D862)), VERI_TABANI!F25*(0.00202-VERI_TABANI!$B$16), IF(ISNUMBER(SEARCH("Gri", D862)), VERI_TABANI!F25*(0.00202-VERI_TABANI!$B$17), 0))) + ((VERI_TABANI!D26*B862*(VERI_TABANI!$B$13-VERI_TABANI!$B$14)) + (VERI_TABANI!D26*C862*(VERI_TABANI!$B$13-VERI_TABANI!$B$15)) + IF(ISNUMBER(SEARCH("Var", D862)), VERI_TABANI!F26*(0.00202-VERI_TABANI!$B$16), IF(ISNUMBER(SEARCH("Gri", D862)), VERI_TABANI!F26*(0.00202-VERI_TABANI!$B$17), 0))) + ((VERI_TABANI!D27*B862*(VERI_TABANI!$B$13-VERI_TABANI!$B$14)) + (VERI_TABANI!D27*C862*(VERI_TABANI!$B$13-VERI_TABANI!$B$15)) + IF(ISNUMBER(SEARCH("Var", D862)), VERI_TABANI!F27*(0.00202-VERI_TABANI!$B$16), IF(ISNUMBER(SEARCH("Gri", D862)), VERI_TABANI!F27*(0.00202-VERI_TABANI!$B$17), 0))) + ((VERI_TABANI!D28*B862*(VERI_TABANI!$B$13-VERI_TABANI!$B$14)) + (VERI_TABANI!D28*C862*(VERI_TABANI!$B$13-VERI_TABANI!$B$15)) + IF(ISNUMBER(SEARCH("Var", D862)), VERI_TABANI!F28*(0.00202-VERI_TABANI!$B$16), IF(ISNUMBER(SEARCH("Gri", D862)), VERI_TABANI!F28*(0.00202-VERI_TABANI!$B$17), 0))))</f>
        <v/>
      </c>
      <c r="I862" s="170">
        <f>IFERROR(((VERI_TABANI!$D$29*B862*VERI_TABANI!$B$14 + VERI_TABANI!$D$29*C862*VERI_TABANI!$B$15 + IF(ISNUMBER(SEARCH("Var", D862)), VERI_TABANI!$F$29*VERI_TABANI!$B$16, 0))) / (((VERI_TABANI!$D$29*B862 + VERI_TABANI!$D$29*C862)*VERI_TABANI!$B$13 + IF(ISNUMBER(SEARCH("Var", D862)), VERI_TABANI!$E$29*(1-0.928)*VERI_TABANI!$B$18, 0))), 0)</f>
        <v/>
      </c>
      <c r="J862" s="171">
        <f>IFERROR(F862/(G862/29), 0)</f>
        <v/>
      </c>
      <c r="K862" s="172">
        <f>IF(F862&gt;0, H862/F862, 0)</f>
        <v/>
      </c>
      <c r="L862" s="170">
        <f>IF(F862&gt;0, I862, 1000000000)</f>
        <v/>
      </c>
      <c r="M862" s="171">
        <f>ABS((B862+C862)-1)</f>
        <v/>
      </c>
      <c r="N862" s="170">
        <f>IF(F862&gt;0, (G862/29)/F862, 0)</f>
        <v/>
      </c>
      <c r="O862" s="168">
        <f>IF(AND((B862+C862)&gt;=1, ISNUMBER(SEARCH("Var", D862))), F862, 1000000000)</f>
        <v/>
      </c>
      <c r="P862" s="172">
        <f>IF(F862&gt;0, SQRT((F862/MAX(F$5:F$886))^2 + (1 - H862/MAX(H$5:H$886))^2 + (J862/MAX(J$5:J$886))^2), 1000000000)</f>
        <v/>
      </c>
      <c r="Q862" s="166">
        <f>IF(AND(ABS(B862-0.5)&lt;0.01, ABS(C862-0.5)&lt;0.01, ISNUMBER(SEARCH("Var", D862))), 1, 0)</f>
        <v/>
      </c>
      <c r="R862" s="171">
        <f>IF(F862&gt;0, J862, 1000000000)</f>
        <v/>
      </c>
      <c r="S862" s="101">
        <f>IF(AND(F862&lt;=DASHBOARD!$B$11, H862&gt;=DASHBOARD!$B$13), G862, -1000000000000)</f>
        <v/>
      </c>
      <c r="T862" s="101">
        <f>IF(AND(F862&lt;=DASHBOARD!$B$11, H862&gt;=DASHBOARD!$B$13), R862, 1000000000000)</f>
        <v/>
      </c>
      <c r="U862" s="101">
        <f>IF(AND(F862&lt;=DASHBOARD!$B$11, H862&gt;=DASHBOARD!$B$13), N862, -1000000000000)</f>
        <v/>
      </c>
      <c r="V862" s="101">
        <f>IF(AND(F862&lt;=DASHBOARD!$B$11, H862&gt;=DASHBOARD!$B$13), H862, -1000000000000)</f>
        <v/>
      </c>
      <c r="W862" s="101">
        <f>IF(AND(F862&lt;=DASHBOARD!$B$11, H862&gt;=DASHBOARD!$B$13), K862, -1000000000000)</f>
        <v/>
      </c>
      <c r="X862" s="101">
        <f>IF(AND(F862&lt;=DASHBOARD!$B$11, H862&gt;=DASHBOARD!$B$13), M862, 1000000000000)</f>
        <v/>
      </c>
      <c r="Y862" s="101">
        <f>IF(AND(F862&lt;=DASHBOARD!$B$10, H862&gt;=DASHBOARD!$B$11), L862, 1000000000000)</f>
        <v/>
      </c>
      <c r="Z862" s="101">
        <f>IF(AND(F862&lt;=DASHBOARD!$B$10, H862&gt;=DASHBOARD!$B$11), O862, 1000000000000)</f>
        <v/>
      </c>
      <c r="AA862" s="101">
        <f>IF(AND(F862&lt;=DASHBOARD!$B$10, H862&gt;=DASHBOARD!$B$11), P862, 1000000000000)</f>
        <v/>
      </c>
      <c r="AB862" s="101">
        <f>IF(AND(F862&lt;=DASHBOARD!$B$10, H862&gt;=DASHBOARD!$B$11), Q862, -1000000000000)</f>
        <v/>
      </c>
    </row>
    <row r="863" ht="15" customHeight="1" s="102">
      <c r="A863" s="166" t="n">
        <v>859</v>
      </c>
      <c r="B863" s="167" t="n">
        <v>2</v>
      </c>
      <c r="C863" s="167" t="n">
        <v>0.9</v>
      </c>
      <c r="D863" s="110" t="inlineStr">
        <is>
          <t>Yok (%0)</t>
        </is>
      </c>
      <c r="E863" s="110">
        <f>IF((B863+C863)&lt;=1, "Tam Mahsuplaşma (≤%100)", "Kısmi Satış (&gt;%100)")</f>
        <v/>
      </c>
      <c r="F863" s="168">
        <f>((VERI_TABANI!$D$29*B863/VERI_TABANI!$B$29)/VERI_TABANI!$B$3)*VERI_TABANI!$B$5 + ((VERI_TABANI!$D$29*C863/VERI_TABANI!$B$29)/VERI_TABANI!$B$4)*VERI_TABANI!$B$6 + IF(ISNUMBER(SEARCH("Var", D863)), (VERI_TABANI!$F$29/VERI_TABANI!$B$29)*(VERI_TABANI!$B$10+VERI_TABANI!$B$12), 0)</f>
        <v/>
      </c>
      <c r="G863" s="168">
        <f>(((MIN(VERI_TABANI!D23, VERI_TABANI!D23*B863)*VERI_TABANI!$B$7 + MAX(0, VERI_TABANI!D23*B863-VERI_TABANI!D23)*VERI_TABANI!$B$8) + (MIN(MAX(0, VERI_TABANI!D23-VERI_TABANI!D23*B863), VERI_TABANI!D23*C863)*VERI_TABANI!$B$7 + MAX(0, VERI_TABANI!D23*C863-MAX(0, VERI_TABANI!D23-VERI_TABANI!D23*B863))*VERI_TABANI!$B$8) + IF(ABS(IF(ISNUMBER(SEARCH("Var", D863)), 1, IF(ISNUMBER(SEARCH("Gri", D863)), -1, 0)))=1, VERI_TABANI!E23*(1-0.928)*VERI_TABANI!$B$9, 0) + (VERI_TABANI!D23*B863*(VERI_TABANI!$B$13-VERI_TABANI!$B$14)*VERI_TABANI!G23) + (VERI_TABANI!D23*C863*(VERI_TABANI!$B$13-VERI_TABANI!$B$15)*VERI_TABANI!G23) + IF(ABS(IF(ISNUMBER(SEARCH("Var", D863)), 1, IF(ISNUMBER(SEARCH("Gri", D863)), -1, 0)))=1, VERI_TABANI!E23*(1-0.928)*0.00206091519919798*VERI_TABANI!G23, 0)) + ((MIN(VERI_TABANI!D24, VERI_TABANI!D24*B863)*VERI_TABANI!$B$7 + MAX(0, VERI_TABANI!D24*B863-VERI_TABANI!D24)*VERI_TABANI!$B$8) + (MIN(MAX(0, VERI_TABANI!D24-VERI_TABANI!D24*B863), VERI_TABANI!D24*C863)*VERI_TABANI!$B$7 + MAX(0, VERI_TABANI!D24*C863-MAX(0, VERI_TABANI!D24-VERI_TABANI!D24*B863))*VERI_TABANI!$B$8) + IF(ABS(IF(ISNUMBER(SEARCH("Var", D863)), 1, IF(ISNUMBER(SEARCH("Gri", D863)), -1, 0)))=1, VERI_TABANI!E24*(1-0.928)*VERI_TABANI!$B$9, 0) + (VERI_TABANI!D24*B863*(VERI_TABANI!$B$13-VERI_TABANI!$B$14)*VERI_TABANI!G24) + (VERI_TABANI!D24*C863*(VERI_TABANI!$B$13-VERI_TABANI!$B$15)*VERI_TABANI!G24) + IF(ABS(IF(ISNUMBER(SEARCH("Var", D863)), 1, IF(ISNUMBER(SEARCH("Gri", D863)), -1, 0)))=1, VERI_TABANI!E24*(1-0.928)*0.00206091519919798*VERI_TABANI!G24, 0)) + ((MIN(VERI_TABANI!D25, VERI_TABANI!D25*B863)*VERI_TABANI!$B$7 + MAX(0, VERI_TABANI!D25*B863-VERI_TABANI!D25)*VERI_TABANI!$B$8) + (MIN(MAX(0, VERI_TABANI!D25-VERI_TABANI!D25*B863), VERI_TABANI!D25*C863)*VERI_TABANI!$B$7 + MAX(0, VERI_TABANI!D25*C863-MAX(0, VERI_TABANI!D25-VERI_TABANI!D25*B863))*VERI_TABANI!$B$8) + IF(ABS(IF(ISNUMBER(SEARCH("Var", D863)), 1, IF(ISNUMBER(SEARCH("Gri", D863)), -1, 0)))=1, VERI_TABANI!E25*(1-0.928)*VERI_TABANI!$B$9, 0) + (VERI_TABANI!D25*B863*(VERI_TABANI!$B$13-VERI_TABANI!$B$14)*VERI_TABANI!G25) + (VERI_TABANI!D25*C863*(VERI_TABANI!$B$13-VERI_TABANI!$B$15)*VERI_TABANI!G25) + IF(ABS(IF(ISNUMBER(SEARCH("Var", D863)), 1, IF(ISNUMBER(SEARCH("Gri", D863)), -1, 0)))=1, VERI_TABANI!E25*(1-0.928)*0.00206091519919798*VERI_TABANI!G25, 0)) + ((MIN(VERI_TABANI!D26, VERI_TABANI!D26*B863)*VERI_TABANI!$B$7 + MAX(0, VERI_TABANI!D26*B863-VERI_TABANI!D26)*VERI_TABANI!$B$8) + (MIN(MAX(0, VERI_TABANI!D26-VERI_TABANI!D26*B863), VERI_TABANI!D26*C863)*VERI_TABANI!$B$7 + MAX(0, VERI_TABANI!D26*C863-MAX(0, VERI_TABANI!D26-VERI_TABANI!D26*B863))*VERI_TABANI!$B$8) + IF(ABS(IF(ISNUMBER(SEARCH("Var", D863)), 1, IF(ISNUMBER(SEARCH("Gri", D863)), -1, 0)))=1, VERI_TABANI!E26*(1-0.928)*VERI_TABANI!$B$9, 0) + (VERI_TABANI!D26*B863*(VERI_TABANI!$B$13-VERI_TABANI!$B$14)*VERI_TABANI!G26) + (VERI_TABANI!D26*C863*(VERI_TABANI!$B$13-VERI_TABANI!$B$15)*VERI_TABANI!G26) + IF(ABS(IF(ISNUMBER(SEARCH("Var", D863)), 1, IF(ISNUMBER(SEARCH("Gri", D863)), -1, 0)))=1, VERI_TABANI!E26*(1-0.928)*0.00206091519919798*VERI_TABANI!G26, 0)) + ((MIN(VERI_TABANI!D27, VERI_TABANI!D27*B863)*VERI_TABANI!$B$7 + MAX(0, VERI_TABANI!D27*B863-VERI_TABANI!D27)*VERI_TABANI!$B$8) + (MIN(MAX(0, VERI_TABANI!D27-VERI_TABANI!D27*B863), VERI_TABANI!D27*C863)*VERI_TABANI!$B$7 + MAX(0, VERI_TABANI!D27*C863-MAX(0, VERI_TABANI!D27-VERI_TABANI!D27*B863))*VERI_TABANI!$B$8) + IF(ABS(IF(ISNUMBER(SEARCH("Var", D863)), 1, IF(ISNUMBER(SEARCH("Gri", D863)), -1, 0)))=1, VERI_TABANI!E27*(1-0.928)*VERI_TABANI!$B$9, 0) + (VERI_TABANI!D27*B863*(VERI_TABANI!$B$13-VERI_TABANI!$B$14)*VERI_TABANI!G27) + (VERI_TABANI!D27*C863*(VERI_TABANI!$B$13-VERI_TABANI!$B$15)*VERI_TABANI!G27) + IF(ABS(IF(ISNUMBER(SEARCH("Var", D863)), 1, IF(ISNUMBER(SEARCH("Gri", D863)), -1, 0)))=1, VERI_TABANI!E27*(1-0.928)*0.00206091519919798*VERI_TABANI!G27, 0)) + ((MIN(VERI_TABANI!D28, VERI_TABANI!D28*B863)*VERI_TABANI!$B$7 + MAX(0, VERI_TABANI!D28*B863-VERI_TABANI!D28)*VERI_TABANI!$B$8) + (MIN(MAX(0, VERI_TABANI!D28-VERI_TABANI!D28*B863), VERI_TABANI!D28*C863)*VERI_TABANI!$B$7 + MAX(0, VERI_TABANI!D28*C863-MAX(0, VERI_TABANI!D28-VERI_TABANI!D28*B863))*VERI_TABANI!$B$8) + IF(ABS(IF(ISNUMBER(SEARCH("Var", D863)), 1, IF(ISNUMBER(SEARCH("Gri", D863)), -1, 0)))=1, VERI_TABANI!E28*(1-0.928)*VERI_TABANI!$B$9, 0) + (VERI_TABANI!D28*B863*(VERI_TABANI!$B$13-VERI_TABANI!$B$14)*VERI_TABANI!G28) + (VERI_TABANI!D28*C863*(VERI_TABANI!$B$13-VERI_TABANI!$B$15)*VERI_TABANI!G28) + IF(ABS(IF(ISNUMBER(SEARCH("Var", D863)), 1, IF(ISNUMBER(SEARCH("Gri", D863)), -1, 0)))=1, VERI_TABANI!E28*(1-0.928)*0.00206091519919798*VERI_TABANI!G28, 0)))</f>
        <v/>
      </c>
      <c r="H863" s="169">
        <f>(((VERI_TABANI!D23*B863*(VERI_TABANI!$B$13-VERI_TABANI!$B$14)) + (VERI_TABANI!D23*C863*(VERI_TABANI!$B$13-VERI_TABANI!$B$15)) + IF(ISNUMBER(SEARCH("Var", D863)), VERI_TABANI!F23*(0.00202-VERI_TABANI!$B$16), IF(ISNUMBER(SEARCH("Gri", D863)), VERI_TABANI!F23*(0.00202-VERI_TABANI!$B$17), 0))) + ((VERI_TABANI!D24*B863*(VERI_TABANI!$B$13-VERI_TABANI!$B$14)) + (VERI_TABANI!D24*C863*(VERI_TABANI!$B$13-VERI_TABANI!$B$15)) + IF(ISNUMBER(SEARCH("Var", D863)), VERI_TABANI!F24*(0.00202-VERI_TABANI!$B$16), IF(ISNUMBER(SEARCH("Gri", D863)), VERI_TABANI!F24*(0.00202-VERI_TABANI!$B$17), 0))) + ((VERI_TABANI!D25*B863*(VERI_TABANI!$B$13-VERI_TABANI!$B$14)) + (VERI_TABANI!D25*C863*(VERI_TABANI!$B$13-VERI_TABANI!$B$15)) + IF(ISNUMBER(SEARCH("Var", D863)), VERI_TABANI!F25*(0.00202-VERI_TABANI!$B$16), IF(ISNUMBER(SEARCH("Gri", D863)), VERI_TABANI!F25*(0.00202-VERI_TABANI!$B$17), 0))) + ((VERI_TABANI!D26*B863*(VERI_TABANI!$B$13-VERI_TABANI!$B$14)) + (VERI_TABANI!D26*C863*(VERI_TABANI!$B$13-VERI_TABANI!$B$15)) + IF(ISNUMBER(SEARCH("Var", D863)), VERI_TABANI!F26*(0.00202-VERI_TABANI!$B$16), IF(ISNUMBER(SEARCH("Gri", D863)), VERI_TABANI!F26*(0.00202-VERI_TABANI!$B$17), 0))) + ((VERI_TABANI!D27*B863*(VERI_TABANI!$B$13-VERI_TABANI!$B$14)) + (VERI_TABANI!D27*C863*(VERI_TABANI!$B$13-VERI_TABANI!$B$15)) + IF(ISNUMBER(SEARCH("Var", D863)), VERI_TABANI!F27*(0.00202-VERI_TABANI!$B$16), IF(ISNUMBER(SEARCH("Gri", D863)), VERI_TABANI!F27*(0.00202-VERI_TABANI!$B$17), 0))) + ((VERI_TABANI!D28*B863*(VERI_TABANI!$B$13-VERI_TABANI!$B$14)) + (VERI_TABANI!D28*C863*(VERI_TABANI!$B$13-VERI_TABANI!$B$15)) + IF(ISNUMBER(SEARCH("Var", D863)), VERI_TABANI!F28*(0.00202-VERI_TABANI!$B$16), IF(ISNUMBER(SEARCH("Gri", D863)), VERI_TABANI!F28*(0.00202-VERI_TABANI!$B$17), 0))))</f>
        <v/>
      </c>
      <c r="I863" s="170">
        <f>IFERROR(((VERI_TABANI!$D$29*B863*VERI_TABANI!$B$14 + VERI_TABANI!$D$29*C863*VERI_TABANI!$B$15 + IF(ISNUMBER(SEARCH("Var", D863)), VERI_TABANI!$F$29*VERI_TABANI!$B$16, 0))) / (((VERI_TABANI!$D$29*B863 + VERI_TABANI!$D$29*C863)*VERI_TABANI!$B$13 + IF(ISNUMBER(SEARCH("Var", D863)), VERI_TABANI!$E$29*(1-0.928)*VERI_TABANI!$B$18, 0))), 0)</f>
        <v/>
      </c>
      <c r="J863" s="171">
        <f>IFERROR(F863/(G863/29), 0)</f>
        <v/>
      </c>
      <c r="K863" s="172">
        <f>IF(F863&gt;0, H863/F863, 0)</f>
        <v/>
      </c>
      <c r="L863" s="170">
        <f>IF(F863&gt;0, I863, 1000000000)</f>
        <v/>
      </c>
      <c r="M863" s="171">
        <f>ABS((B863+C863)-1)</f>
        <v/>
      </c>
      <c r="N863" s="170">
        <f>IF(F863&gt;0, (G863/29)/F863, 0)</f>
        <v/>
      </c>
      <c r="O863" s="168">
        <f>IF(AND((B863+C863)&gt;=1, ISNUMBER(SEARCH("Var", D863))), F863, 1000000000)</f>
        <v/>
      </c>
      <c r="P863" s="172">
        <f>IF(F863&gt;0, SQRT((F863/MAX(F$5:F$886))^2 + (1 - H863/MAX(H$5:H$886))^2 + (J863/MAX(J$5:J$886))^2), 1000000000)</f>
        <v/>
      </c>
      <c r="Q863" s="166">
        <f>IF(AND(ABS(B863-0.5)&lt;0.01, ABS(C863-0.5)&lt;0.01, ISNUMBER(SEARCH("Var", D863))), 1, 0)</f>
        <v/>
      </c>
      <c r="R863" s="171">
        <f>IF(F863&gt;0, J863, 1000000000)</f>
        <v/>
      </c>
      <c r="S863" s="101">
        <f>IF(AND(F863&lt;=DASHBOARD!$B$11, H863&gt;=DASHBOARD!$B$13), G863, -1000000000000)</f>
        <v/>
      </c>
      <c r="T863" s="101">
        <f>IF(AND(F863&lt;=DASHBOARD!$B$11, H863&gt;=DASHBOARD!$B$13), R863, 1000000000000)</f>
        <v/>
      </c>
      <c r="U863" s="101">
        <f>IF(AND(F863&lt;=DASHBOARD!$B$11, H863&gt;=DASHBOARD!$B$13), N863, -1000000000000)</f>
        <v/>
      </c>
      <c r="V863" s="101">
        <f>IF(AND(F863&lt;=DASHBOARD!$B$11, H863&gt;=DASHBOARD!$B$13), H863, -1000000000000)</f>
        <v/>
      </c>
      <c r="W863" s="101">
        <f>IF(AND(F863&lt;=DASHBOARD!$B$11, H863&gt;=DASHBOARD!$B$13), K863, -1000000000000)</f>
        <v/>
      </c>
      <c r="X863" s="101">
        <f>IF(AND(F863&lt;=DASHBOARD!$B$11, H863&gt;=DASHBOARD!$B$13), M863, 1000000000000)</f>
        <v/>
      </c>
      <c r="Y863" s="101">
        <f>IF(AND(F863&lt;=DASHBOARD!$B$10, H863&gt;=DASHBOARD!$B$11), L863, 1000000000000)</f>
        <v/>
      </c>
      <c r="Z863" s="101">
        <f>IF(AND(F863&lt;=DASHBOARD!$B$10, H863&gt;=DASHBOARD!$B$11), O863, 1000000000000)</f>
        <v/>
      </c>
      <c r="AA863" s="101">
        <f>IF(AND(F863&lt;=DASHBOARD!$B$10, H863&gt;=DASHBOARD!$B$11), P863, 1000000000000)</f>
        <v/>
      </c>
      <c r="AB863" s="101">
        <f>IF(AND(F863&lt;=DASHBOARD!$B$10, H863&gt;=DASHBOARD!$B$11), Q863, -1000000000000)</f>
        <v/>
      </c>
    </row>
    <row r="864" ht="15" customHeight="1" s="102">
      <c r="A864" s="166" t="n">
        <v>860</v>
      </c>
      <c r="B864" s="167" t="n">
        <v>2</v>
      </c>
      <c r="C864" s="167" t="n">
        <v>0.9</v>
      </c>
      <c r="D864" s="110" t="inlineStr">
        <is>
          <t>Var (%20)</t>
        </is>
      </c>
      <c r="E864" s="110">
        <f>IF((B864+C864)&lt;=1, "Tam Mahsuplaşma (≤%100)", "Kısmi Satış (&gt;%100)")</f>
        <v/>
      </c>
      <c r="F864" s="168">
        <f>((VERI_TABANI!$D$29*B864/VERI_TABANI!$B$29)/VERI_TABANI!$B$3)*VERI_TABANI!$B$5 + ((VERI_TABANI!$D$29*C864/VERI_TABANI!$B$29)/VERI_TABANI!$B$4)*VERI_TABANI!$B$6 + IF(ISNUMBER(SEARCH("Var", D864)), (VERI_TABANI!$F$29/VERI_TABANI!$B$29)*(VERI_TABANI!$B$10+VERI_TABANI!$B$12), 0)</f>
        <v/>
      </c>
      <c r="G864" s="168">
        <f>(((MIN(VERI_TABANI!D23, VERI_TABANI!D23*B864)*VERI_TABANI!$B$7 + MAX(0, VERI_TABANI!D23*B864-VERI_TABANI!D23)*VERI_TABANI!$B$8) + (MIN(MAX(0, VERI_TABANI!D23-VERI_TABANI!D23*B864), VERI_TABANI!D23*C864)*VERI_TABANI!$B$7 + MAX(0, VERI_TABANI!D23*C864-MAX(0, VERI_TABANI!D23-VERI_TABANI!D23*B864))*VERI_TABANI!$B$8) + IF(ABS(IF(ISNUMBER(SEARCH("Var", D864)), 1, IF(ISNUMBER(SEARCH("Gri", D864)), -1, 0)))=1, VERI_TABANI!E23*(1-0.928)*VERI_TABANI!$B$9, 0) + (VERI_TABANI!D23*B864*(VERI_TABANI!$B$13-VERI_TABANI!$B$14)*VERI_TABANI!G23) + (VERI_TABANI!D23*C864*(VERI_TABANI!$B$13-VERI_TABANI!$B$15)*VERI_TABANI!G23) + IF(ABS(IF(ISNUMBER(SEARCH("Var", D864)), 1, IF(ISNUMBER(SEARCH("Gri", D864)), -1, 0)))=1, VERI_TABANI!E23*(1-0.928)*0.00206091519919798*VERI_TABANI!G23, 0)) + ((MIN(VERI_TABANI!D24, VERI_TABANI!D24*B864)*VERI_TABANI!$B$7 + MAX(0, VERI_TABANI!D24*B864-VERI_TABANI!D24)*VERI_TABANI!$B$8) + (MIN(MAX(0, VERI_TABANI!D24-VERI_TABANI!D24*B864), VERI_TABANI!D24*C864)*VERI_TABANI!$B$7 + MAX(0, VERI_TABANI!D24*C864-MAX(0, VERI_TABANI!D24-VERI_TABANI!D24*B864))*VERI_TABANI!$B$8) + IF(ABS(IF(ISNUMBER(SEARCH("Var", D864)), 1, IF(ISNUMBER(SEARCH("Gri", D864)), -1, 0)))=1, VERI_TABANI!E24*(1-0.928)*VERI_TABANI!$B$9, 0) + (VERI_TABANI!D24*B864*(VERI_TABANI!$B$13-VERI_TABANI!$B$14)*VERI_TABANI!G24) + (VERI_TABANI!D24*C864*(VERI_TABANI!$B$13-VERI_TABANI!$B$15)*VERI_TABANI!G24) + IF(ABS(IF(ISNUMBER(SEARCH("Var", D864)), 1, IF(ISNUMBER(SEARCH("Gri", D864)), -1, 0)))=1, VERI_TABANI!E24*(1-0.928)*0.00206091519919798*VERI_TABANI!G24, 0)) + ((MIN(VERI_TABANI!D25, VERI_TABANI!D25*B864)*VERI_TABANI!$B$7 + MAX(0, VERI_TABANI!D25*B864-VERI_TABANI!D25)*VERI_TABANI!$B$8) + (MIN(MAX(0, VERI_TABANI!D25-VERI_TABANI!D25*B864), VERI_TABANI!D25*C864)*VERI_TABANI!$B$7 + MAX(0, VERI_TABANI!D25*C864-MAX(0, VERI_TABANI!D25-VERI_TABANI!D25*B864))*VERI_TABANI!$B$8) + IF(ABS(IF(ISNUMBER(SEARCH("Var", D864)), 1, IF(ISNUMBER(SEARCH("Gri", D864)), -1, 0)))=1, VERI_TABANI!E25*(1-0.928)*VERI_TABANI!$B$9, 0) + (VERI_TABANI!D25*B864*(VERI_TABANI!$B$13-VERI_TABANI!$B$14)*VERI_TABANI!G25) + (VERI_TABANI!D25*C864*(VERI_TABANI!$B$13-VERI_TABANI!$B$15)*VERI_TABANI!G25) + IF(ABS(IF(ISNUMBER(SEARCH("Var", D864)), 1, IF(ISNUMBER(SEARCH("Gri", D864)), -1, 0)))=1, VERI_TABANI!E25*(1-0.928)*0.00206091519919798*VERI_TABANI!G25, 0)) + ((MIN(VERI_TABANI!D26, VERI_TABANI!D26*B864)*VERI_TABANI!$B$7 + MAX(0, VERI_TABANI!D26*B864-VERI_TABANI!D26)*VERI_TABANI!$B$8) + (MIN(MAX(0, VERI_TABANI!D26-VERI_TABANI!D26*B864), VERI_TABANI!D26*C864)*VERI_TABANI!$B$7 + MAX(0, VERI_TABANI!D26*C864-MAX(0, VERI_TABANI!D26-VERI_TABANI!D26*B864))*VERI_TABANI!$B$8) + IF(ABS(IF(ISNUMBER(SEARCH("Var", D864)), 1, IF(ISNUMBER(SEARCH("Gri", D864)), -1, 0)))=1, VERI_TABANI!E26*(1-0.928)*VERI_TABANI!$B$9, 0) + (VERI_TABANI!D26*B864*(VERI_TABANI!$B$13-VERI_TABANI!$B$14)*VERI_TABANI!G26) + (VERI_TABANI!D26*C864*(VERI_TABANI!$B$13-VERI_TABANI!$B$15)*VERI_TABANI!G26) + IF(ABS(IF(ISNUMBER(SEARCH("Var", D864)), 1, IF(ISNUMBER(SEARCH("Gri", D864)), -1, 0)))=1, VERI_TABANI!E26*(1-0.928)*0.00206091519919798*VERI_TABANI!G26, 0)) + ((MIN(VERI_TABANI!D27, VERI_TABANI!D27*B864)*VERI_TABANI!$B$7 + MAX(0, VERI_TABANI!D27*B864-VERI_TABANI!D27)*VERI_TABANI!$B$8) + (MIN(MAX(0, VERI_TABANI!D27-VERI_TABANI!D27*B864), VERI_TABANI!D27*C864)*VERI_TABANI!$B$7 + MAX(0, VERI_TABANI!D27*C864-MAX(0, VERI_TABANI!D27-VERI_TABANI!D27*B864))*VERI_TABANI!$B$8) + IF(ABS(IF(ISNUMBER(SEARCH("Var", D864)), 1, IF(ISNUMBER(SEARCH("Gri", D864)), -1, 0)))=1, VERI_TABANI!E27*(1-0.928)*VERI_TABANI!$B$9, 0) + (VERI_TABANI!D27*B864*(VERI_TABANI!$B$13-VERI_TABANI!$B$14)*VERI_TABANI!G27) + (VERI_TABANI!D27*C864*(VERI_TABANI!$B$13-VERI_TABANI!$B$15)*VERI_TABANI!G27) + IF(ABS(IF(ISNUMBER(SEARCH("Var", D864)), 1, IF(ISNUMBER(SEARCH("Gri", D864)), -1, 0)))=1, VERI_TABANI!E27*(1-0.928)*0.00206091519919798*VERI_TABANI!G27, 0)) + ((MIN(VERI_TABANI!D28, VERI_TABANI!D28*B864)*VERI_TABANI!$B$7 + MAX(0, VERI_TABANI!D28*B864-VERI_TABANI!D28)*VERI_TABANI!$B$8) + (MIN(MAX(0, VERI_TABANI!D28-VERI_TABANI!D28*B864), VERI_TABANI!D28*C864)*VERI_TABANI!$B$7 + MAX(0, VERI_TABANI!D28*C864-MAX(0, VERI_TABANI!D28-VERI_TABANI!D28*B864))*VERI_TABANI!$B$8) + IF(ABS(IF(ISNUMBER(SEARCH("Var", D864)), 1, IF(ISNUMBER(SEARCH("Gri", D864)), -1, 0)))=1, VERI_TABANI!E28*(1-0.928)*VERI_TABANI!$B$9, 0) + (VERI_TABANI!D28*B864*(VERI_TABANI!$B$13-VERI_TABANI!$B$14)*VERI_TABANI!G28) + (VERI_TABANI!D28*C864*(VERI_TABANI!$B$13-VERI_TABANI!$B$15)*VERI_TABANI!G28) + IF(ABS(IF(ISNUMBER(SEARCH("Var", D864)), 1, IF(ISNUMBER(SEARCH("Gri", D864)), -1, 0)))=1, VERI_TABANI!E28*(1-0.928)*0.00206091519919798*VERI_TABANI!G28, 0)))</f>
        <v/>
      </c>
      <c r="H864" s="169">
        <f>(((VERI_TABANI!D23*B864*(VERI_TABANI!$B$13-VERI_TABANI!$B$14)) + (VERI_TABANI!D23*C864*(VERI_TABANI!$B$13-VERI_TABANI!$B$15)) + IF(ISNUMBER(SEARCH("Var", D864)), VERI_TABANI!F23*(0.00202-VERI_TABANI!$B$16), IF(ISNUMBER(SEARCH("Gri", D864)), VERI_TABANI!F23*(0.00202-VERI_TABANI!$B$17), 0))) + ((VERI_TABANI!D24*B864*(VERI_TABANI!$B$13-VERI_TABANI!$B$14)) + (VERI_TABANI!D24*C864*(VERI_TABANI!$B$13-VERI_TABANI!$B$15)) + IF(ISNUMBER(SEARCH("Var", D864)), VERI_TABANI!F24*(0.00202-VERI_TABANI!$B$16), IF(ISNUMBER(SEARCH("Gri", D864)), VERI_TABANI!F24*(0.00202-VERI_TABANI!$B$17), 0))) + ((VERI_TABANI!D25*B864*(VERI_TABANI!$B$13-VERI_TABANI!$B$14)) + (VERI_TABANI!D25*C864*(VERI_TABANI!$B$13-VERI_TABANI!$B$15)) + IF(ISNUMBER(SEARCH("Var", D864)), VERI_TABANI!F25*(0.00202-VERI_TABANI!$B$16), IF(ISNUMBER(SEARCH("Gri", D864)), VERI_TABANI!F25*(0.00202-VERI_TABANI!$B$17), 0))) + ((VERI_TABANI!D26*B864*(VERI_TABANI!$B$13-VERI_TABANI!$B$14)) + (VERI_TABANI!D26*C864*(VERI_TABANI!$B$13-VERI_TABANI!$B$15)) + IF(ISNUMBER(SEARCH("Var", D864)), VERI_TABANI!F26*(0.00202-VERI_TABANI!$B$16), IF(ISNUMBER(SEARCH("Gri", D864)), VERI_TABANI!F26*(0.00202-VERI_TABANI!$B$17), 0))) + ((VERI_TABANI!D27*B864*(VERI_TABANI!$B$13-VERI_TABANI!$B$14)) + (VERI_TABANI!D27*C864*(VERI_TABANI!$B$13-VERI_TABANI!$B$15)) + IF(ISNUMBER(SEARCH("Var", D864)), VERI_TABANI!F27*(0.00202-VERI_TABANI!$B$16), IF(ISNUMBER(SEARCH("Gri", D864)), VERI_TABANI!F27*(0.00202-VERI_TABANI!$B$17), 0))) + ((VERI_TABANI!D28*B864*(VERI_TABANI!$B$13-VERI_TABANI!$B$14)) + (VERI_TABANI!D28*C864*(VERI_TABANI!$B$13-VERI_TABANI!$B$15)) + IF(ISNUMBER(SEARCH("Var", D864)), VERI_TABANI!F28*(0.00202-VERI_TABANI!$B$16), IF(ISNUMBER(SEARCH("Gri", D864)), VERI_TABANI!F28*(0.00202-VERI_TABANI!$B$17), 0))))</f>
        <v/>
      </c>
      <c r="I864" s="170">
        <f>IFERROR(((VERI_TABANI!$D$29*B864*VERI_TABANI!$B$14 + VERI_TABANI!$D$29*C864*VERI_TABANI!$B$15 + IF(ISNUMBER(SEARCH("Var", D864)), VERI_TABANI!$F$29*VERI_TABANI!$B$16, 0))) / (((VERI_TABANI!$D$29*B864 + VERI_TABANI!$D$29*C864)*VERI_TABANI!$B$13 + IF(ISNUMBER(SEARCH("Var", D864)), VERI_TABANI!$E$29*(1-0.928)*VERI_TABANI!$B$18, 0))), 0)</f>
        <v/>
      </c>
      <c r="J864" s="171">
        <f>IFERROR(F864/(G864/29), 0)</f>
        <v/>
      </c>
      <c r="K864" s="172">
        <f>IF(F864&gt;0, H864/F864, 0)</f>
        <v/>
      </c>
      <c r="L864" s="170">
        <f>IF(F864&gt;0, I864, 1000000000)</f>
        <v/>
      </c>
      <c r="M864" s="171">
        <f>ABS((B864+C864)-1)</f>
        <v/>
      </c>
      <c r="N864" s="170">
        <f>IF(F864&gt;0, (G864/29)/F864, 0)</f>
        <v/>
      </c>
      <c r="O864" s="168">
        <f>IF(AND((B864+C864)&gt;=1, ISNUMBER(SEARCH("Var", D864))), F864, 1000000000)</f>
        <v/>
      </c>
      <c r="P864" s="172">
        <f>IF(F864&gt;0, SQRT((F864/MAX(F$5:F$886))^2 + (1 - H864/MAX(H$5:H$886))^2 + (J864/MAX(J$5:J$886))^2), 1000000000)</f>
        <v/>
      </c>
      <c r="Q864" s="166">
        <f>IF(AND(ABS(B864-0.5)&lt;0.01, ABS(C864-0.5)&lt;0.01, ISNUMBER(SEARCH("Var", D864))), 1, 0)</f>
        <v/>
      </c>
      <c r="R864" s="171">
        <f>IF(F864&gt;0, J864, 1000000000)</f>
        <v/>
      </c>
      <c r="S864" s="101">
        <f>IF(AND(F864&lt;=DASHBOARD!$B$11, H864&gt;=DASHBOARD!$B$13), G864, -1000000000000)</f>
        <v/>
      </c>
      <c r="T864" s="101">
        <f>IF(AND(F864&lt;=DASHBOARD!$B$11, H864&gt;=DASHBOARD!$B$13), R864, 1000000000000)</f>
        <v/>
      </c>
      <c r="U864" s="101">
        <f>IF(AND(F864&lt;=DASHBOARD!$B$11, H864&gt;=DASHBOARD!$B$13), N864, -1000000000000)</f>
        <v/>
      </c>
      <c r="V864" s="101">
        <f>IF(AND(F864&lt;=DASHBOARD!$B$11, H864&gt;=DASHBOARD!$B$13), H864, -1000000000000)</f>
        <v/>
      </c>
      <c r="W864" s="101">
        <f>IF(AND(F864&lt;=DASHBOARD!$B$11, H864&gt;=DASHBOARD!$B$13), K864, -1000000000000)</f>
        <v/>
      </c>
      <c r="X864" s="101">
        <f>IF(AND(F864&lt;=DASHBOARD!$B$11, H864&gt;=DASHBOARD!$B$13), M864, 1000000000000)</f>
        <v/>
      </c>
      <c r="Y864" s="101">
        <f>IF(AND(F864&lt;=DASHBOARD!$B$10, H864&gt;=DASHBOARD!$B$11), L864, 1000000000000)</f>
        <v/>
      </c>
      <c r="Z864" s="101">
        <f>IF(AND(F864&lt;=DASHBOARD!$B$10, H864&gt;=DASHBOARD!$B$11), O864, 1000000000000)</f>
        <v/>
      </c>
      <c r="AA864" s="101">
        <f>IF(AND(F864&lt;=DASHBOARD!$B$10, H864&gt;=DASHBOARD!$B$11), P864, 1000000000000)</f>
        <v/>
      </c>
      <c r="AB864" s="101">
        <f>IF(AND(F864&lt;=DASHBOARD!$B$10, H864&gt;=DASHBOARD!$B$11), Q864, -1000000000000)</f>
        <v/>
      </c>
    </row>
    <row r="865" ht="15" customHeight="1" s="102">
      <c r="A865" s="166" t="n">
        <v>861</v>
      </c>
      <c r="B865" s="167" t="n">
        <v>2</v>
      </c>
      <c r="C865" s="167" t="n">
        <v>1</v>
      </c>
      <c r="D865" s="110" t="inlineStr">
        <is>
          <t>Yok (%0)</t>
        </is>
      </c>
      <c r="E865" s="110">
        <f>IF((B865+C865)&lt;=1, "Tam Mahsuplaşma (≤%100)", "Kısmi Satış (&gt;%100)")</f>
        <v/>
      </c>
      <c r="F865" s="168">
        <f>((VERI_TABANI!$D$29*B865/VERI_TABANI!$B$29)/VERI_TABANI!$B$3)*VERI_TABANI!$B$5 + ((VERI_TABANI!$D$29*C865/VERI_TABANI!$B$29)/VERI_TABANI!$B$4)*VERI_TABANI!$B$6 + IF(ISNUMBER(SEARCH("Var", D865)), (VERI_TABANI!$F$29/VERI_TABANI!$B$29)*(VERI_TABANI!$B$10+VERI_TABANI!$B$12), 0)</f>
        <v/>
      </c>
      <c r="G865" s="168">
        <f>(((MIN(VERI_TABANI!D23, VERI_TABANI!D23*B865)*VERI_TABANI!$B$7 + MAX(0, VERI_TABANI!D23*B865-VERI_TABANI!D23)*VERI_TABANI!$B$8) + (MIN(MAX(0, VERI_TABANI!D23-VERI_TABANI!D23*B865), VERI_TABANI!D23*C865)*VERI_TABANI!$B$7 + MAX(0, VERI_TABANI!D23*C865-MAX(0, VERI_TABANI!D23-VERI_TABANI!D23*B865))*VERI_TABANI!$B$8) + IF(ABS(IF(ISNUMBER(SEARCH("Var", D865)), 1, IF(ISNUMBER(SEARCH("Gri", D865)), -1, 0)))=1, VERI_TABANI!E23*(1-0.928)*VERI_TABANI!$B$9, 0) + (VERI_TABANI!D23*B865*(VERI_TABANI!$B$13-VERI_TABANI!$B$14)*VERI_TABANI!G23) + (VERI_TABANI!D23*C865*(VERI_TABANI!$B$13-VERI_TABANI!$B$15)*VERI_TABANI!G23) + IF(ABS(IF(ISNUMBER(SEARCH("Var", D865)), 1, IF(ISNUMBER(SEARCH("Gri", D865)), -1, 0)))=1, VERI_TABANI!E23*(1-0.928)*0.00206091519919798*VERI_TABANI!G23, 0)) + ((MIN(VERI_TABANI!D24, VERI_TABANI!D24*B865)*VERI_TABANI!$B$7 + MAX(0, VERI_TABANI!D24*B865-VERI_TABANI!D24)*VERI_TABANI!$B$8) + (MIN(MAX(0, VERI_TABANI!D24-VERI_TABANI!D24*B865), VERI_TABANI!D24*C865)*VERI_TABANI!$B$7 + MAX(0, VERI_TABANI!D24*C865-MAX(0, VERI_TABANI!D24-VERI_TABANI!D24*B865))*VERI_TABANI!$B$8) + IF(ABS(IF(ISNUMBER(SEARCH("Var", D865)), 1, IF(ISNUMBER(SEARCH("Gri", D865)), -1, 0)))=1, VERI_TABANI!E24*(1-0.928)*VERI_TABANI!$B$9, 0) + (VERI_TABANI!D24*B865*(VERI_TABANI!$B$13-VERI_TABANI!$B$14)*VERI_TABANI!G24) + (VERI_TABANI!D24*C865*(VERI_TABANI!$B$13-VERI_TABANI!$B$15)*VERI_TABANI!G24) + IF(ABS(IF(ISNUMBER(SEARCH("Var", D865)), 1, IF(ISNUMBER(SEARCH("Gri", D865)), -1, 0)))=1, VERI_TABANI!E24*(1-0.928)*0.00206091519919798*VERI_TABANI!G24, 0)) + ((MIN(VERI_TABANI!D25, VERI_TABANI!D25*B865)*VERI_TABANI!$B$7 + MAX(0, VERI_TABANI!D25*B865-VERI_TABANI!D25)*VERI_TABANI!$B$8) + (MIN(MAX(0, VERI_TABANI!D25-VERI_TABANI!D25*B865), VERI_TABANI!D25*C865)*VERI_TABANI!$B$7 + MAX(0, VERI_TABANI!D25*C865-MAX(0, VERI_TABANI!D25-VERI_TABANI!D25*B865))*VERI_TABANI!$B$8) + IF(ABS(IF(ISNUMBER(SEARCH("Var", D865)), 1, IF(ISNUMBER(SEARCH("Gri", D865)), -1, 0)))=1, VERI_TABANI!E25*(1-0.928)*VERI_TABANI!$B$9, 0) + (VERI_TABANI!D25*B865*(VERI_TABANI!$B$13-VERI_TABANI!$B$14)*VERI_TABANI!G25) + (VERI_TABANI!D25*C865*(VERI_TABANI!$B$13-VERI_TABANI!$B$15)*VERI_TABANI!G25) + IF(ABS(IF(ISNUMBER(SEARCH("Var", D865)), 1, IF(ISNUMBER(SEARCH("Gri", D865)), -1, 0)))=1, VERI_TABANI!E25*(1-0.928)*0.00206091519919798*VERI_TABANI!G25, 0)) + ((MIN(VERI_TABANI!D26, VERI_TABANI!D26*B865)*VERI_TABANI!$B$7 + MAX(0, VERI_TABANI!D26*B865-VERI_TABANI!D26)*VERI_TABANI!$B$8) + (MIN(MAX(0, VERI_TABANI!D26-VERI_TABANI!D26*B865), VERI_TABANI!D26*C865)*VERI_TABANI!$B$7 + MAX(0, VERI_TABANI!D26*C865-MAX(0, VERI_TABANI!D26-VERI_TABANI!D26*B865))*VERI_TABANI!$B$8) + IF(ABS(IF(ISNUMBER(SEARCH("Var", D865)), 1, IF(ISNUMBER(SEARCH("Gri", D865)), -1, 0)))=1, VERI_TABANI!E26*(1-0.928)*VERI_TABANI!$B$9, 0) + (VERI_TABANI!D26*B865*(VERI_TABANI!$B$13-VERI_TABANI!$B$14)*VERI_TABANI!G26) + (VERI_TABANI!D26*C865*(VERI_TABANI!$B$13-VERI_TABANI!$B$15)*VERI_TABANI!G26) + IF(ABS(IF(ISNUMBER(SEARCH("Var", D865)), 1, IF(ISNUMBER(SEARCH("Gri", D865)), -1, 0)))=1, VERI_TABANI!E26*(1-0.928)*0.00206091519919798*VERI_TABANI!G26, 0)) + ((MIN(VERI_TABANI!D27, VERI_TABANI!D27*B865)*VERI_TABANI!$B$7 + MAX(0, VERI_TABANI!D27*B865-VERI_TABANI!D27)*VERI_TABANI!$B$8) + (MIN(MAX(0, VERI_TABANI!D27-VERI_TABANI!D27*B865), VERI_TABANI!D27*C865)*VERI_TABANI!$B$7 + MAX(0, VERI_TABANI!D27*C865-MAX(0, VERI_TABANI!D27-VERI_TABANI!D27*B865))*VERI_TABANI!$B$8) + IF(ABS(IF(ISNUMBER(SEARCH("Var", D865)), 1, IF(ISNUMBER(SEARCH("Gri", D865)), -1, 0)))=1, VERI_TABANI!E27*(1-0.928)*VERI_TABANI!$B$9, 0) + (VERI_TABANI!D27*B865*(VERI_TABANI!$B$13-VERI_TABANI!$B$14)*VERI_TABANI!G27) + (VERI_TABANI!D27*C865*(VERI_TABANI!$B$13-VERI_TABANI!$B$15)*VERI_TABANI!G27) + IF(ABS(IF(ISNUMBER(SEARCH("Var", D865)), 1, IF(ISNUMBER(SEARCH("Gri", D865)), -1, 0)))=1, VERI_TABANI!E27*(1-0.928)*0.00206091519919798*VERI_TABANI!G27, 0)) + ((MIN(VERI_TABANI!D28, VERI_TABANI!D28*B865)*VERI_TABANI!$B$7 + MAX(0, VERI_TABANI!D28*B865-VERI_TABANI!D28)*VERI_TABANI!$B$8) + (MIN(MAX(0, VERI_TABANI!D28-VERI_TABANI!D28*B865), VERI_TABANI!D28*C865)*VERI_TABANI!$B$7 + MAX(0, VERI_TABANI!D28*C865-MAX(0, VERI_TABANI!D28-VERI_TABANI!D28*B865))*VERI_TABANI!$B$8) + IF(ABS(IF(ISNUMBER(SEARCH("Var", D865)), 1, IF(ISNUMBER(SEARCH("Gri", D865)), -1, 0)))=1, VERI_TABANI!E28*(1-0.928)*VERI_TABANI!$B$9, 0) + (VERI_TABANI!D28*B865*(VERI_TABANI!$B$13-VERI_TABANI!$B$14)*VERI_TABANI!G28) + (VERI_TABANI!D28*C865*(VERI_TABANI!$B$13-VERI_TABANI!$B$15)*VERI_TABANI!G28) + IF(ABS(IF(ISNUMBER(SEARCH("Var", D865)), 1, IF(ISNUMBER(SEARCH("Gri", D865)), -1, 0)))=1, VERI_TABANI!E28*(1-0.928)*0.00206091519919798*VERI_TABANI!G28, 0)))</f>
        <v/>
      </c>
      <c r="H865" s="169">
        <f>(((VERI_TABANI!D23*B865*(VERI_TABANI!$B$13-VERI_TABANI!$B$14)) + (VERI_TABANI!D23*C865*(VERI_TABANI!$B$13-VERI_TABANI!$B$15)) + IF(ISNUMBER(SEARCH("Var", D865)), VERI_TABANI!F23*(0.00202-VERI_TABANI!$B$16), IF(ISNUMBER(SEARCH("Gri", D865)), VERI_TABANI!F23*(0.00202-VERI_TABANI!$B$17), 0))) + ((VERI_TABANI!D24*B865*(VERI_TABANI!$B$13-VERI_TABANI!$B$14)) + (VERI_TABANI!D24*C865*(VERI_TABANI!$B$13-VERI_TABANI!$B$15)) + IF(ISNUMBER(SEARCH("Var", D865)), VERI_TABANI!F24*(0.00202-VERI_TABANI!$B$16), IF(ISNUMBER(SEARCH("Gri", D865)), VERI_TABANI!F24*(0.00202-VERI_TABANI!$B$17), 0))) + ((VERI_TABANI!D25*B865*(VERI_TABANI!$B$13-VERI_TABANI!$B$14)) + (VERI_TABANI!D25*C865*(VERI_TABANI!$B$13-VERI_TABANI!$B$15)) + IF(ISNUMBER(SEARCH("Var", D865)), VERI_TABANI!F25*(0.00202-VERI_TABANI!$B$16), IF(ISNUMBER(SEARCH("Gri", D865)), VERI_TABANI!F25*(0.00202-VERI_TABANI!$B$17), 0))) + ((VERI_TABANI!D26*B865*(VERI_TABANI!$B$13-VERI_TABANI!$B$14)) + (VERI_TABANI!D26*C865*(VERI_TABANI!$B$13-VERI_TABANI!$B$15)) + IF(ISNUMBER(SEARCH("Var", D865)), VERI_TABANI!F26*(0.00202-VERI_TABANI!$B$16), IF(ISNUMBER(SEARCH("Gri", D865)), VERI_TABANI!F26*(0.00202-VERI_TABANI!$B$17), 0))) + ((VERI_TABANI!D27*B865*(VERI_TABANI!$B$13-VERI_TABANI!$B$14)) + (VERI_TABANI!D27*C865*(VERI_TABANI!$B$13-VERI_TABANI!$B$15)) + IF(ISNUMBER(SEARCH("Var", D865)), VERI_TABANI!F27*(0.00202-VERI_TABANI!$B$16), IF(ISNUMBER(SEARCH("Gri", D865)), VERI_TABANI!F27*(0.00202-VERI_TABANI!$B$17), 0))) + ((VERI_TABANI!D28*B865*(VERI_TABANI!$B$13-VERI_TABANI!$B$14)) + (VERI_TABANI!D28*C865*(VERI_TABANI!$B$13-VERI_TABANI!$B$15)) + IF(ISNUMBER(SEARCH("Var", D865)), VERI_TABANI!F28*(0.00202-VERI_TABANI!$B$16), IF(ISNUMBER(SEARCH("Gri", D865)), VERI_TABANI!F28*(0.00202-VERI_TABANI!$B$17), 0))))</f>
        <v/>
      </c>
      <c r="I865" s="170">
        <f>IFERROR(((VERI_TABANI!$D$29*B865*VERI_TABANI!$B$14 + VERI_TABANI!$D$29*C865*VERI_TABANI!$B$15 + IF(ISNUMBER(SEARCH("Var", D865)), VERI_TABANI!$F$29*VERI_TABANI!$B$16, 0))) / (((VERI_TABANI!$D$29*B865 + VERI_TABANI!$D$29*C865)*VERI_TABANI!$B$13 + IF(ISNUMBER(SEARCH("Var", D865)), VERI_TABANI!$E$29*(1-0.928)*VERI_TABANI!$B$18, 0))), 0)</f>
        <v/>
      </c>
      <c r="J865" s="171">
        <f>IFERROR(F865/(G865/29), 0)</f>
        <v/>
      </c>
      <c r="K865" s="172">
        <f>IF(F865&gt;0, H865/F865, 0)</f>
        <v/>
      </c>
      <c r="L865" s="170">
        <f>IF(F865&gt;0, I865, 1000000000)</f>
        <v/>
      </c>
      <c r="M865" s="171">
        <f>ABS((B865+C865)-1)</f>
        <v/>
      </c>
      <c r="N865" s="170">
        <f>IF(F865&gt;0, (G865/29)/F865, 0)</f>
        <v/>
      </c>
      <c r="O865" s="168">
        <f>IF(AND((B865+C865)&gt;=1, ISNUMBER(SEARCH("Var", D865))), F865, 1000000000)</f>
        <v/>
      </c>
      <c r="P865" s="172">
        <f>IF(F865&gt;0, SQRT((F865/MAX(F$5:F$886))^2 + (1 - H865/MAX(H$5:H$886))^2 + (J865/MAX(J$5:J$886))^2), 1000000000)</f>
        <v/>
      </c>
      <c r="Q865" s="166">
        <f>IF(AND(ABS(B865-0.5)&lt;0.01, ABS(C865-0.5)&lt;0.01, ISNUMBER(SEARCH("Var", D865))), 1, 0)</f>
        <v/>
      </c>
      <c r="R865" s="171">
        <f>IF(F865&gt;0, J865, 1000000000)</f>
        <v/>
      </c>
      <c r="S865" s="101">
        <f>IF(AND(F865&lt;=DASHBOARD!$B$11, H865&gt;=DASHBOARD!$B$13), G865, -1000000000000)</f>
        <v/>
      </c>
      <c r="T865" s="101">
        <f>IF(AND(F865&lt;=DASHBOARD!$B$11, H865&gt;=DASHBOARD!$B$13), R865, 1000000000000)</f>
        <v/>
      </c>
      <c r="U865" s="101">
        <f>IF(AND(F865&lt;=DASHBOARD!$B$11, H865&gt;=DASHBOARD!$B$13), N865, -1000000000000)</f>
        <v/>
      </c>
      <c r="V865" s="101">
        <f>IF(AND(F865&lt;=DASHBOARD!$B$11, H865&gt;=DASHBOARD!$B$13), H865, -1000000000000)</f>
        <v/>
      </c>
      <c r="W865" s="101">
        <f>IF(AND(F865&lt;=DASHBOARD!$B$11, H865&gt;=DASHBOARD!$B$13), K865, -1000000000000)</f>
        <v/>
      </c>
      <c r="X865" s="101">
        <f>IF(AND(F865&lt;=DASHBOARD!$B$11, H865&gt;=DASHBOARD!$B$13), M865, 1000000000000)</f>
        <v/>
      </c>
      <c r="Y865" s="101">
        <f>IF(AND(F865&lt;=DASHBOARD!$B$10, H865&gt;=DASHBOARD!$B$11), L865, 1000000000000)</f>
        <v/>
      </c>
      <c r="Z865" s="101">
        <f>IF(AND(F865&lt;=DASHBOARD!$B$10, H865&gt;=DASHBOARD!$B$11), O865, 1000000000000)</f>
        <v/>
      </c>
      <c r="AA865" s="101">
        <f>IF(AND(F865&lt;=DASHBOARD!$B$10, H865&gt;=DASHBOARD!$B$11), P865, 1000000000000)</f>
        <v/>
      </c>
      <c r="AB865" s="101">
        <f>IF(AND(F865&lt;=DASHBOARD!$B$10, H865&gt;=DASHBOARD!$B$11), Q865, -1000000000000)</f>
        <v/>
      </c>
    </row>
    <row r="866" ht="15" customHeight="1" s="102">
      <c r="A866" s="166" t="n">
        <v>862</v>
      </c>
      <c r="B866" s="167" t="n">
        <v>2</v>
      </c>
      <c r="C866" s="167" t="n">
        <v>1</v>
      </c>
      <c r="D866" s="110" t="inlineStr">
        <is>
          <t>Var (%20)</t>
        </is>
      </c>
      <c r="E866" s="110">
        <f>IF((B866+C866)&lt;=1, "Tam Mahsuplaşma (≤%100)", "Kısmi Satış (&gt;%100)")</f>
        <v/>
      </c>
      <c r="F866" s="168">
        <f>((VERI_TABANI!$D$29*B866/VERI_TABANI!$B$29)/VERI_TABANI!$B$3)*VERI_TABANI!$B$5 + ((VERI_TABANI!$D$29*C866/VERI_TABANI!$B$29)/VERI_TABANI!$B$4)*VERI_TABANI!$B$6 + IF(ISNUMBER(SEARCH("Var", D866)), (VERI_TABANI!$F$29/VERI_TABANI!$B$29)*(VERI_TABANI!$B$10+VERI_TABANI!$B$12), 0)</f>
        <v/>
      </c>
      <c r="G866" s="168">
        <f>(((MIN(VERI_TABANI!D23, VERI_TABANI!D23*B866)*VERI_TABANI!$B$7 + MAX(0, VERI_TABANI!D23*B866-VERI_TABANI!D23)*VERI_TABANI!$B$8) + (MIN(MAX(0, VERI_TABANI!D23-VERI_TABANI!D23*B866), VERI_TABANI!D23*C866)*VERI_TABANI!$B$7 + MAX(0, VERI_TABANI!D23*C866-MAX(0, VERI_TABANI!D23-VERI_TABANI!D23*B866))*VERI_TABANI!$B$8) + IF(ABS(IF(ISNUMBER(SEARCH("Var", D866)), 1, IF(ISNUMBER(SEARCH("Gri", D866)), -1, 0)))=1, VERI_TABANI!E23*(1-0.928)*VERI_TABANI!$B$9, 0) + (VERI_TABANI!D23*B866*(VERI_TABANI!$B$13-VERI_TABANI!$B$14)*VERI_TABANI!G23) + (VERI_TABANI!D23*C866*(VERI_TABANI!$B$13-VERI_TABANI!$B$15)*VERI_TABANI!G23) + IF(ABS(IF(ISNUMBER(SEARCH("Var", D866)), 1, IF(ISNUMBER(SEARCH("Gri", D866)), -1, 0)))=1, VERI_TABANI!E23*(1-0.928)*0.00206091519919798*VERI_TABANI!G23, 0)) + ((MIN(VERI_TABANI!D24, VERI_TABANI!D24*B866)*VERI_TABANI!$B$7 + MAX(0, VERI_TABANI!D24*B866-VERI_TABANI!D24)*VERI_TABANI!$B$8) + (MIN(MAX(0, VERI_TABANI!D24-VERI_TABANI!D24*B866), VERI_TABANI!D24*C866)*VERI_TABANI!$B$7 + MAX(0, VERI_TABANI!D24*C866-MAX(0, VERI_TABANI!D24-VERI_TABANI!D24*B866))*VERI_TABANI!$B$8) + IF(ABS(IF(ISNUMBER(SEARCH("Var", D866)), 1, IF(ISNUMBER(SEARCH("Gri", D866)), -1, 0)))=1, VERI_TABANI!E24*(1-0.928)*VERI_TABANI!$B$9, 0) + (VERI_TABANI!D24*B866*(VERI_TABANI!$B$13-VERI_TABANI!$B$14)*VERI_TABANI!G24) + (VERI_TABANI!D24*C866*(VERI_TABANI!$B$13-VERI_TABANI!$B$15)*VERI_TABANI!G24) + IF(ABS(IF(ISNUMBER(SEARCH("Var", D866)), 1, IF(ISNUMBER(SEARCH("Gri", D866)), -1, 0)))=1, VERI_TABANI!E24*(1-0.928)*0.00206091519919798*VERI_TABANI!G24, 0)) + ((MIN(VERI_TABANI!D25, VERI_TABANI!D25*B866)*VERI_TABANI!$B$7 + MAX(0, VERI_TABANI!D25*B866-VERI_TABANI!D25)*VERI_TABANI!$B$8) + (MIN(MAX(0, VERI_TABANI!D25-VERI_TABANI!D25*B866), VERI_TABANI!D25*C866)*VERI_TABANI!$B$7 + MAX(0, VERI_TABANI!D25*C866-MAX(0, VERI_TABANI!D25-VERI_TABANI!D25*B866))*VERI_TABANI!$B$8) + IF(ABS(IF(ISNUMBER(SEARCH("Var", D866)), 1, IF(ISNUMBER(SEARCH("Gri", D866)), -1, 0)))=1, VERI_TABANI!E25*(1-0.928)*VERI_TABANI!$B$9, 0) + (VERI_TABANI!D25*B866*(VERI_TABANI!$B$13-VERI_TABANI!$B$14)*VERI_TABANI!G25) + (VERI_TABANI!D25*C866*(VERI_TABANI!$B$13-VERI_TABANI!$B$15)*VERI_TABANI!G25) + IF(ABS(IF(ISNUMBER(SEARCH("Var", D866)), 1, IF(ISNUMBER(SEARCH("Gri", D866)), -1, 0)))=1, VERI_TABANI!E25*(1-0.928)*0.00206091519919798*VERI_TABANI!G25, 0)) + ((MIN(VERI_TABANI!D26, VERI_TABANI!D26*B866)*VERI_TABANI!$B$7 + MAX(0, VERI_TABANI!D26*B866-VERI_TABANI!D26)*VERI_TABANI!$B$8) + (MIN(MAX(0, VERI_TABANI!D26-VERI_TABANI!D26*B866), VERI_TABANI!D26*C866)*VERI_TABANI!$B$7 + MAX(0, VERI_TABANI!D26*C866-MAX(0, VERI_TABANI!D26-VERI_TABANI!D26*B866))*VERI_TABANI!$B$8) + IF(ABS(IF(ISNUMBER(SEARCH("Var", D866)), 1, IF(ISNUMBER(SEARCH("Gri", D866)), -1, 0)))=1, VERI_TABANI!E26*(1-0.928)*VERI_TABANI!$B$9, 0) + (VERI_TABANI!D26*B866*(VERI_TABANI!$B$13-VERI_TABANI!$B$14)*VERI_TABANI!G26) + (VERI_TABANI!D26*C866*(VERI_TABANI!$B$13-VERI_TABANI!$B$15)*VERI_TABANI!G26) + IF(ABS(IF(ISNUMBER(SEARCH("Var", D866)), 1, IF(ISNUMBER(SEARCH("Gri", D866)), -1, 0)))=1, VERI_TABANI!E26*(1-0.928)*0.00206091519919798*VERI_TABANI!G26, 0)) + ((MIN(VERI_TABANI!D27, VERI_TABANI!D27*B866)*VERI_TABANI!$B$7 + MAX(0, VERI_TABANI!D27*B866-VERI_TABANI!D27)*VERI_TABANI!$B$8) + (MIN(MAX(0, VERI_TABANI!D27-VERI_TABANI!D27*B866), VERI_TABANI!D27*C866)*VERI_TABANI!$B$7 + MAX(0, VERI_TABANI!D27*C866-MAX(0, VERI_TABANI!D27-VERI_TABANI!D27*B866))*VERI_TABANI!$B$8) + IF(ABS(IF(ISNUMBER(SEARCH("Var", D866)), 1, IF(ISNUMBER(SEARCH("Gri", D866)), -1, 0)))=1, VERI_TABANI!E27*(1-0.928)*VERI_TABANI!$B$9, 0) + (VERI_TABANI!D27*B866*(VERI_TABANI!$B$13-VERI_TABANI!$B$14)*VERI_TABANI!G27) + (VERI_TABANI!D27*C866*(VERI_TABANI!$B$13-VERI_TABANI!$B$15)*VERI_TABANI!G27) + IF(ABS(IF(ISNUMBER(SEARCH("Var", D866)), 1, IF(ISNUMBER(SEARCH("Gri", D866)), -1, 0)))=1, VERI_TABANI!E27*(1-0.928)*0.00206091519919798*VERI_TABANI!G27, 0)) + ((MIN(VERI_TABANI!D28, VERI_TABANI!D28*B866)*VERI_TABANI!$B$7 + MAX(0, VERI_TABANI!D28*B866-VERI_TABANI!D28)*VERI_TABANI!$B$8) + (MIN(MAX(0, VERI_TABANI!D28-VERI_TABANI!D28*B866), VERI_TABANI!D28*C866)*VERI_TABANI!$B$7 + MAX(0, VERI_TABANI!D28*C866-MAX(0, VERI_TABANI!D28-VERI_TABANI!D28*B866))*VERI_TABANI!$B$8) + IF(ABS(IF(ISNUMBER(SEARCH("Var", D866)), 1, IF(ISNUMBER(SEARCH("Gri", D866)), -1, 0)))=1, VERI_TABANI!E28*(1-0.928)*VERI_TABANI!$B$9, 0) + (VERI_TABANI!D28*B866*(VERI_TABANI!$B$13-VERI_TABANI!$B$14)*VERI_TABANI!G28) + (VERI_TABANI!D28*C866*(VERI_TABANI!$B$13-VERI_TABANI!$B$15)*VERI_TABANI!G28) + IF(ABS(IF(ISNUMBER(SEARCH("Var", D866)), 1, IF(ISNUMBER(SEARCH("Gri", D866)), -1, 0)))=1, VERI_TABANI!E28*(1-0.928)*0.00206091519919798*VERI_TABANI!G28, 0)))</f>
        <v/>
      </c>
      <c r="H866" s="169">
        <f>(((VERI_TABANI!D23*B866*(VERI_TABANI!$B$13-VERI_TABANI!$B$14)) + (VERI_TABANI!D23*C866*(VERI_TABANI!$B$13-VERI_TABANI!$B$15)) + IF(ISNUMBER(SEARCH("Var", D866)), VERI_TABANI!F23*(0.00202-VERI_TABANI!$B$16), IF(ISNUMBER(SEARCH("Gri", D866)), VERI_TABANI!F23*(0.00202-VERI_TABANI!$B$17), 0))) + ((VERI_TABANI!D24*B866*(VERI_TABANI!$B$13-VERI_TABANI!$B$14)) + (VERI_TABANI!D24*C866*(VERI_TABANI!$B$13-VERI_TABANI!$B$15)) + IF(ISNUMBER(SEARCH("Var", D866)), VERI_TABANI!F24*(0.00202-VERI_TABANI!$B$16), IF(ISNUMBER(SEARCH("Gri", D866)), VERI_TABANI!F24*(0.00202-VERI_TABANI!$B$17), 0))) + ((VERI_TABANI!D25*B866*(VERI_TABANI!$B$13-VERI_TABANI!$B$14)) + (VERI_TABANI!D25*C866*(VERI_TABANI!$B$13-VERI_TABANI!$B$15)) + IF(ISNUMBER(SEARCH("Var", D866)), VERI_TABANI!F25*(0.00202-VERI_TABANI!$B$16), IF(ISNUMBER(SEARCH("Gri", D866)), VERI_TABANI!F25*(0.00202-VERI_TABANI!$B$17), 0))) + ((VERI_TABANI!D26*B866*(VERI_TABANI!$B$13-VERI_TABANI!$B$14)) + (VERI_TABANI!D26*C866*(VERI_TABANI!$B$13-VERI_TABANI!$B$15)) + IF(ISNUMBER(SEARCH("Var", D866)), VERI_TABANI!F26*(0.00202-VERI_TABANI!$B$16), IF(ISNUMBER(SEARCH("Gri", D866)), VERI_TABANI!F26*(0.00202-VERI_TABANI!$B$17), 0))) + ((VERI_TABANI!D27*B866*(VERI_TABANI!$B$13-VERI_TABANI!$B$14)) + (VERI_TABANI!D27*C866*(VERI_TABANI!$B$13-VERI_TABANI!$B$15)) + IF(ISNUMBER(SEARCH("Var", D866)), VERI_TABANI!F27*(0.00202-VERI_TABANI!$B$16), IF(ISNUMBER(SEARCH("Gri", D866)), VERI_TABANI!F27*(0.00202-VERI_TABANI!$B$17), 0))) + ((VERI_TABANI!D28*B866*(VERI_TABANI!$B$13-VERI_TABANI!$B$14)) + (VERI_TABANI!D28*C866*(VERI_TABANI!$B$13-VERI_TABANI!$B$15)) + IF(ISNUMBER(SEARCH("Var", D866)), VERI_TABANI!F28*(0.00202-VERI_TABANI!$B$16), IF(ISNUMBER(SEARCH("Gri", D866)), VERI_TABANI!F28*(0.00202-VERI_TABANI!$B$17), 0))))</f>
        <v/>
      </c>
      <c r="I866" s="170">
        <f>IFERROR(((VERI_TABANI!$D$29*B866*VERI_TABANI!$B$14 + VERI_TABANI!$D$29*C866*VERI_TABANI!$B$15 + IF(ISNUMBER(SEARCH("Var", D866)), VERI_TABANI!$F$29*VERI_TABANI!$B$16, 0))) / (((VERI_TABANI!$D$29*B866 + VERI_TABANI!$D$29*C866)*VERI_TABANI!$B$13 + IF(ISNUMBER(SEARCH("Var", D866)), VERI_TABANI!$E$29*(1-0.928)*VERI_TABANI!$B$18, 0))), 0)</f>
        <v/>
      </c>
      <c r="J866" s="171">
        <f>IFERROR(F866/(G866/29), 0)</f>
        <v/>
      </c>
      <c r="K866" s="172">
        <f>IF(F866&gt;0, H866/F866, 0)</f>
        <v/>
      </c>
      <c r="L866" s="170">
        <f>IF(F866&gt;0, I866, 1000000000)</f>
        <v/>
      </c>
      <c r="M866" s="171">
        <f>ABS((B866+C866)-1)</f>
        <v/>
      </c>
      <c r="N866" s="170">
        <f>IF(F866&gt;0, (G866/29)/F866, 0)</f>
        <v/>
      </c>
      <c r="O866" s="168">
        <f>IF(AND((B866+C866)&gt;=1, ISNUMBER(SEARCH("Var", D866))), F866, 1000000000)</f>
        <v/>
      </c>
      <c r="P866" s="172">
        <f>IF(F866&gt;0, SQRT((F866/MAX(F$5:F$886))^2 + (1 - H866/MAX(H$5:H$886))^2 + (J866/MAX(J$5:J$886))^2), 1000000000)</f>
        <v/>
      </c>
      <c r="Q866" s="166">
        <f>IF(AND(ABS(B866-0.5)&lt;0.01, ABS(C866-0.5)&lt;0.01, ISNUMBER(SEARCH("Var", D866))), 1, 0)</f>
        <v/>
      </c>
      <c r="R866" s="171">
        <f>IF(F866&gt;0, J866, 1000000000)</f>
        <v/>
      </c>
      <c r="S866" s="101">
        <f>IF(AND(F866&lt;=DASHBOARD!$B$11, H866&gt;=DASHBOARD!$B$13), G866, -1000000000000)</f>
        <v/>
      </c>
      <c r="T866" s="101">
        <f>IF(AND(F866&lt;=DASHBOARD!$B$11, H866&gt;=DASHBOARD!$B$13), R866, 1000000000000)</f>
        <v/>
      </c>
      <c r="U866" s="101">
        <f>IF(AND(F866&lt;=DASHBOARD!$B$11, H866&gt;=DASHBOARD!$B$13), N866, -1000000000000)</f>
        <v/>
      </c>
      <c r="V866" s="101">
        <f>IF(AND(F866&lt;=DASHBOARD!$B$11, H866&gt;=DASHBOARD!$B$13), H866, -1000000000000)</f>
        <v/>
      </c>
      <c r="W866" s="101">
        <f>IF(AND(F866&lt;=DASHBOARD!$B$11, H866&gt;=DASHBOARD!$B$13), K866, -1000000000000)</f>
        <v/>
      </c>
      <c r="X866" s="101">
        <f>IF(AND(F866&lt;=DASHBOARD!$B$11, H866&gt;=DASHBOARD!$B$13), M866, 1000000000000)</f>
        <v/>
      </c>
      <c r="Y866" s="101">
        <f>IF(AND(F866&lt;=DASHBOARD!$B$10, H866&gt;=DASHBOARD!$B$11), L866, 1000000000000)</f>
        <v/>
      </c>
      <c r="Z866" s="101">
        <f>IF(AND(F866&lt;=DASHBOARD!$B$10, H866&gt;=DASHBOARD!$B$11), O866, 1000000000000)</f>
        <v/>
      </c>
      <c r="AA866" s="101">
        <f>IF(AND(F866&lt;=DASHBOARD!$B$10, H866&gt;=DASHBOARD!$B$11), P866, 1000000000000)</f>
        <v/>
      </c>
      <c r="AB866" s="101">
        <f>IF(AND(F866&lt;=DASHBOARD!$B$10, H866&gt;=DASHBOARD!$B$11), Q866, -1000000000000)</f>
        <v/>
      </c>
    </row>
    <row r="867" ht="15" customHeight="1" s="102">
      <c r="A867" s="166" t="n">
        <v>863</v>
      </c>
      <c r="B867" s="167" t="n">
        <v>2</v>
      </c>
      <c r="C867" s="167" t="n">
        <v>1.1</v>
      </c>
      <c r="D867" s="110" t="inlineStr">
        <is>
          <t>Yok (%0)</t>
        </is>
      </c>
      <c r="E867" s="110">
        <f>IF((B867+C867)&lt;=1, "Tam Mahsuplaşma (≤%100)", "Kısmi Satış (&gt;%100)")</f>
        <v/>
      </c>
      <c r="F867" s="168">
        <f>((VERI_TABANI!$D$29*B867/VERI_TABANI!$B$29)/VERI_TABANI!$B$3)*VERI_TABANI!$B$5 + ((VERI_TABANI!$D$29*C867/VERI_TABANI!$B$29)/VERI_TABANI!$B$4)*VERI_TABANI!$B$6 + IF(ISNUMBER(SEARCH("Var", D867)), (VERI_TABANI!$F$29/VERI_TABANI!$B$29)*(VERI_TABANI!$B$10+VERI_TABANI!$B$12), 0)</f>
        <v/>
      </c>
      <c r="G867" s="168">
        <f>(((MIN(VERI_TABANI!D23, VERI_TABANI!D23*B867)*VERI_TABANI!$B$7 + MAX(0, VERI_TABANI!D23*B867-VERI_TABANI!D23)*VERI_TABANI!$B$8) + (MIN(MAX(0, VERI_TABANI!D23-VERI_TABANI!D23*B867), VERI_TABANI!D23*C867)*VERI_TABANI!$B$7 + MAX(0, VERI_TABANI!D23*C867-MAX(0, VERI_TABANI!D23-VERI_TABANI!D23*B867))*VERI_TABANI!$B$8) + IF(ABS(IF(ISNUMBER(SEARCH("Var", D867)), 1, IF(ISNUMBER(SEARCH("Gri", D867)), -1, 0)))=1, VERI_TABANI!E23*(1-0.928)*VERI_TABANI!$B$9, 0) + (VERI_TABANI!D23*B867*(VERI_TABANI!$B$13-VERI_TABANI!$B$14)*VERI_TABANI!G23) + (VERI_TABANI!D23*C867*(VERI_TABANI!$B$13-VERI_TABANI!$B$15)*VERI_TABANI!G23) + IF(ABS(IF(ISNUMBER(SEARCH("Var", D867)), 1, IF(ISNUMBER(SEARCH("Gri", D867)), -1, 0)))=1, VERI_TABANI!E23*(1-0.928)*0.00206091519919798*VERI_TABANI!G23, 0)) + ((MIN(VERI_TABANI!D24, VERI_TABANI!D24*B867)*VERI_TABANI!$B$7 + MAX(0, VERI_TABANI!D24*B867-VERI_TABANI!D24)*VERI_TABANI!$B$8) + (MIN(MAX(0, VERI_TABANI!D24-VERI_TABANI!D24*B867), VERI_TABANI!D24*C867)*VERI_TABANI!$B$7 + MAX(0, VERI_TABANI!D24*C867-MAX(0, VERI_TABANI!D24-VERI_TABANI!D24*B867))*VERI_TABANI!$B$8) + IF(ABS(IF(ISNUMBER(SEARCH("Var", D867)), 1, IF(ISNUMBER(SEARCH("Gri", D867)), -1, 0)))=1, VERI_TABANI!E24*(1-0.928)*VERI_TABANI!$B$9, 0) + (VERI_TABANI!D24*B867*(VERI_TABANI!$B$13-VERI_TABANI!$B$14)*VERI_TABANI!G24) + (VERI_TABANI!D24*C867*(VERI_TABANI!$B$13-VERI_TABANI!$B$15)*VERI_TABANI!G24) + IF(ABS(IF(ISNUMBER(SEARCH("Var", D867)), 1, IF(ISNUMBER(SEARCH("Gri", D867)), -1, 0)))=1, VERI_TABANI!E24*(1-0.928)*0.00206091519919798*VERI_TABANI!G24, 0)) + ((MIN(VERI_TABANI!D25, VERI_TABANI!D25*B867)*VERI_TABANI!$B$7 + MAX(0, VERI_TABANI!D25*B867-VERI_TABANI!D25)*VERI_TABANI!$B$8) + (MIN(MAX(0, VERI_TABANI!D25-VERI_TABANI!D25*B867), VERI_TABANI!D25*C867)*VERI_TABANI!$B$7 + MAX(0, VERI_TABANI!D25*C867-MAX(0, VERI_TABANI!D25-VERI_TABANI!D25*B867))*VERI_TABANI!$B$8) + IF(ABS(IF(ISNUMBER(SEARCH("Var", D867)), 1, IF(ISNUMBER(SEARCH("Gri", D867)), -1, 0)))=1, VERI_TABANI!E25*(1-0.928)*VERI_TABANI!$B$9, 0) + (VERI_TABANI!D25*B867*(VERI_TABANI!$B$13-VERI_TABANI!$B$14)*VERI_TABANI!G25) + (VERI_TABANI!D25*C867*(VERI_TABANI!$B$13-VERI_TABANI!$B$15)*VERI_TABANI!G25) + IF(ABS(IF(ISNUMBER(SEARCH("Var", D867)), 1, IF(ISNUMBER(SEARCH("Gri", D867)), -1, 0)))=1, VERI_TABANI!E25*(1-0.928)*0.00206091519919798*VERI_TABANI!G25, 0)) + ((MIN(VERI_TABANI!D26, VERI_TABANI!D26*B867)*VERI_TABANI!$B$7 + MAX(0, VERI_TABANI!D26*B867-VERI_TABANI!D26)*VERI_TABANI!$B$8) + (MIN(MAX(0, VERI_TABANI!D26-VERI_TABANI!D26*B867), VERI_TABANI!D26*C867)*VERI_TABANI!$B$7 + MAX(0, VERI_TABANI!D26*C867-MAX(0, VERI_TABANI!D26-VERI_TABANI!D26*B867))*VERI_TABANI!$B$8) + IF(ABS(IF(ISNUMBER(SEARCH("Var", D867)), 1, IF(ISNUMBER(SEARCH("Gri", D867)), -1, 0)))=1, VERI_TABANI!E26*(1-0.928)*VERI_TABANI!$B$9, 0) + (VERI_TABANI!D26*B867*(VERI_TABANI!$B$13-VERI_TABANI!$B$14)*VERI_TABANI!G26) + (VERI_TABANI!D26*C867*(VERI_TABANI!$B$13-VERI_TABANI!$B$15)*VERI_TABANI!G26) + IF(ABS(IF(ISNUMBER(SEARCH("Var", D867)), 1, IF(ISNUMBER(SEARCH("Gri", D867)), -1, 0)))=1, VERI_TABANI!E26*(1-0.928)*0.00206091519919798*VERI_TABANI!G26, 0)) + ((MIN(VERI_TABANI!D27, VERI_TABANI!D27*B867)*VERI_TABANI!$B$7 + MAX(0, VERI_TABANI!D27*B867-VERI_TABANI!D27)*VERI_TABANI!$B$8) + (MIN(MAX(0, VERI_TABANI!D27-VERI_TABANI!D27*B867), VERI_TABANI!D27*C867)*VERI_TABANI!$B$7 + MAX(0, VERI_TABANI!D27*C867-MAX(0, VERI_TABANI!D27-VERI_TABANI!D27*B867))*VERI_TABANI!$B$8) + IF(ABS(IF(ISNUMBER(SEARCH("Var", D867)), 1, IF(ISNUMBER(SEARCH("Gri", D867)), -1, 0)))=1, VERI_TABANI!E27*(1-0.928)*VERI_TABANI!$B$9, 0) + (VERI_TABANI!D27*B867*(VERI_TABANI!$B$13-VERI_TABANI!$B$14)*VERI_TABANI!G27) + (VERI_TABANI!D27*C867*(VERI_TABANI!$B$13-VERI_TABANI!$B$15)*VERI_TABANI!G27) + IF(ABS(IF(ISNUMBER(SEARCH("Var", D867)), 1, IF(ISNUMBER(SEARCH("Gri", D867)), -1, 0)))=1, VERI_TABANI!E27*(1-0.928)*0.00206091519919798*VERI_TABANI!G27, 0)) + ((MIN(VERI_TABANI!D28, VERI_TABANI!D28*B867)*VERI_TABANI!$B$7 + MAX(0, VERI_TABANI!D28*B867-VERI_TABANI!D28)*VERI_TABANI!$B$8) + (MIN(MAX(0, VERI_TABANI!D28-VERI_TABANI!D28*B867), VERI_TABANI!D28*C867)*VERI_TABANI!$B$7 + MAX(0, VERI_TABANI!D28*C867-MAX(0, VERI_TABANI!D28-VERI_TABANI!D28*B867))*VERI_TABANI!$B$8) + IF(ABS(IF(ISNUMBER(SEARCH("Var", D867)), 1, IF(ISNUMBER(SEARCH("Gri", D867)), -1, 0)))=1, VERI_TABANI!E28*(1-0.928)*VERI_TABANI!$B$9, 0) + (VERI_TABANI!D28*B867*(VERI_TABANI!$B$13-VERI_TABANI!$B$14)*VERI_TABANI!G28) + (VERI_TABANI!D28*C867*(VERI_TABANI!$B$13-VERI_TABANI!$B$15)*VERI_TABANI!G28) + IF(ABS(IF(ISNUMBER(SEARCH("Var", D867)), 1, IF(ISNUMBER(SEARCH("Gri", D867)), -1, 0)))=1, VERI_TABANI!E28*(1-0.928)*0.00206091519919798*VERI_TABANI!G28, 0)))</f>
        <v/>
      </c>
      <c r="H867" s="169">
        <f>(((VERI_TABANI!D23*B867*(VERI_TABANI!$B$13-VERI_TABANI!$B$14)) + (VERI_TABANI!D23*C867*(VERI_TABANI!$B$13-VERI_TABANI!$B$15)) + IF(ISNUMBER(SEARCH("Var", D867)), VERI_TABANI!F23*(0.00202-VERI_TABANI!$B$16), IF(ISNUMBER(SEARCH("Gri", D867)), VERI_TABANI!F23*(0.00202-VERI_TABANI!$B$17), 0))) + ((VERI_TABANI!D24*B867*(VERI_TABANI!$B$13-VERI_TABANI!$B$14)) + (VERI_TABANI!D24*C867*(VERI_TABANI!$B$13-VERI_TABANI!$B$15)) + IF(ISNUMBER(SEARCH("Var", D867)), VERI_TABANI!F24*(0.00202-VERI_TABANI!$B$16), IF(ISNUMBER(SEARCH("Gri", D867)), VERI_TABANI!F24*(0.00202-VERI_TABANI!$B$17), 0))) + ((VERI_TABANI!D25*B867*(VERI_TABANI!$B$13-VERI_TABANI!$B$14)) + (VERI_TABANI!D25*C867*(VERI_TABANI!$B$13-VERI_TABANI!$B$15)) + IF(ISNUMBER(SEARCH("Var", D867)), VERI_TABANI!F25*(0.00202-VERI_TABANI!$B$16), IF(ISNUMBER(SEARCH("Gri", D867)), VERI_TABANI!F25*(0.00202-VERI_TABANI!$B$17), 0))) + ((VERI_TABANI!D26*B867*(VERI_TABANI!$B$13-VERI_TABANI!$B$14)) + (VERI_TABANI!D26*C867*(VERI_TABANI!$B$13-VERI_TABANI!$B$15)) + IF(ISNUMBER(SEARCH("Var", D867)), VERI_TABANI!F26*(0.00202-VERI_TABANI!$B$16), IF(ISNUMBER(SEARCH("Gri", D867)), VERI_TABANI!F26*(0.00202-VERI_TABANI!$B$17), 0))) + ((VERI_TABANI!D27*B867*(VERI_TABANI!$B$13-VERI_TABANI!$B$14)) + (VERI_TABANI!D27*C867*(VERI_TABANI!$B$13-VERI_TABANI!$B$15)) + IF(ISNUMBER(SEARCH("Var", D867)), VERI_TABANI!F27*(0.00202-VERI_TABANI!$B$16), IF(ISNUMBER(SEARCH("Gri", D867)), VERI_TABANI!F27*(0.00202-VERI_TABANI!$B$17), 0))) + ((VERI_TABANI!D28*B867*(VERI_TABANI!$B$13-VERI_TABANI!$B$14)) + (VERI_TABANI!D28*C867*(VERI_TABANI!$B$13-VERI_TABANI!$B$15)) + IF(ISNUMBER(SEARCH("Var", D867)), VERI_TABANI!F28*(0.00202-VERI_TABANI!$B$16), IF(ISNUMBER(SEARCH("Gri", D867)), VERI_TABANI!F28*(0.00202-VERI_TABANI!$B$17), 0))))</f>
        <v/>
      </c>
      <c r="I867" s="170">
        <f>IFERROR(((VERI_TABANI!$D$29*B867*VERI_TABANI!$B$14 + VERI_TABANI!$D$29*C867*VERI_TABANI!$B$15 + IF(ISNUMBER(SEARCH("Var", D867)), VERI_TABANI!$F$29*VERI_TABANI!$B$16, 0))) / (((VERI_TABANI!$D$29*B867 + VERI_TABANI!$D$29*C867)*VERI_TABANI!$B$13 + IF(ISNUMBER(SEARCH("Var", D867)), VERI_TABANI!$E$29*(1-0.928)*VERI_TABANI!$B$18, 0))), 0)</f>
        <v/>
      </c>
      <c r="J867" s="171">
        <f>IFERROR(F867/(G867/29), 0)</f>
        <v/>
      </c>
      <c r="K867" s="172">
        <f>IF(F867&gt;0, H867/F867, 0)</f>
        <v/>
      </c>
      <c r="L867" s="170">
        <f>IF(F867&gt;0, I867, 1000000000)</f>
        <v/>
      </c>
      <c r="M867" s="171">
        <f>ABS((B867+C867)-1)</f>
        <v/>
      </c>
      <c r="N867" s="170">
        <f>IF(F867&gt;0, (G867/29)/F867, 0)</f>
        <v/>
      </c>
      <c r="O867" s="168">
        <f>IF(AND((B867+C867)&gt;=1, ISNUMBER(SEARCH("Var", D867))), F867, 1000000000)</f>
        <v/>
      </c>
      <c r="P867" s="172">
        <f>IF(F867&gt;0, SQRT((F867/MAX(F$5:F$886))^2 + (1 - H867/MAX(H$5:H$886))^2 + (J867/MAX(J$5:J$886))^2), 1000000000)</f>
        <v/>
      </c>
      <c r="Q867" s="166">
        <f>IF(AND(ABS(B867-0.5)&lt;0.01, ABS(C867-0.5)&lt;0.01, ISNUMBER(SEARCH("Var", D867))), 1, 0)</f>
        <v/>
      </c>
      <c r="R867" s="171">
        <f>IF(F867&gt;0, J867, 1000000000)</f>
        <v/>
      </c>
      <c r="S867" s="101">
        <f>IF(AND(F867&lt;=DASHBOARD!$B$11, H867&gt;=DASHBOARD!$B$13), G867, -1000000000000)</f>
        <v/>
      </c>
      <c r="T867" s="101">
        <f>IF(AND(F867&lt;=DASHBOARD!$B$11, H867&gt;=DASHBOARD!$B$13), R867, 1000000000000)</f>
        <v/>
      </c>
      <c r="U867" s="101">
        <f>IF(AND(F867&lt;=DASHBOARD!$B$11, H867&gt;=DASHBOARD!$B$13), N867, -1000000000000)</f>
        <v/>
      </c>
      <c r="V867" s="101">
        <f>IF(AND(F867&lt;=DASHBOARD!$B$11, H867&gt;=DASHBOARD!$B$13), H867, -1000000000000)</f>
        <v/>
      </c>
      <c r="W867" s="101">
        <f>IF(AND(F867&lt;=DASHBOARD!$B$11, H867&gt;=DASHBOARD!$B$13), K867, -1000000000000)</f>
        <v/>
      </c>
      <c r="X867" s="101">
        <f>IF(AND(F867&lt;=DASHBOARD!$B$11, H867&gt;=DASHBOARD!$B$13), M867, 1000000000000)</f>
        <v/>
      </c>
      <c r="Y867" s="101">
        <f>IF(AND(F867&lt;=DASHBOARD!$B$10, H867&gt;=DASHBOARD!$B$11), L867, 1000000000000)</f>
        <v/>
      </c>
      <c r="Z867" s="101">
        <f>IF(AND(F867&lt;=DASHBOARD!$B$10, H867&gt;=DASHBOARD!$B$11), O867, 1000000000000)</f>
        <v/>
      </c>
      <c r="AA867" s="101">
        <f>IF(AND(F867&lt;=DASHBOARD!$B$10, H867&gt;=DASHBOARD!$B$11), P867, 1000000000000)</f>
        <v/>
      </c>
      <c r="AB867" s="101">
        <f>IF(AND(F867&lt;=DASHBOARD!$B$10, H867&gt;=DASHBOARD!$B$11), Q867, -1000000000000)</f>
        <v/>
      </c>
    </row>
    <row r="868" ht="15" customHeight="1" s="102">
      <c r="A868" s="166" t="n">
        <v>864</v>
      </c>
      <c r="B868" s="167" t="n">
        <v>2</v>
      </c>
      <c r="C868" s="167" t="n">
        <v>1.1</v>
      </c>
      <c r="D868" s="110" t="inlineStr">
        <is>
          <t>Var (%20)</t>
        </is>
      </c>
      <c r="E868" s="110">
        <f>IF((B868+C868)&lt;=1, "Tam Mahsuplaşma (≤%100)", "Kısmi Satış (&gt;%100)")</f>
        <v/>
      </c>
      <c r="F868" s="168">
        <f>((VERI_TABANI!$D$29*B868/VERI_TABANI!$B$29)/VERI_TABANI!$B$3)*VERI_TABANI!$B$5 + ((VERI_TABANI!$D$29*C868/VERI_TABANI!$B$29)/VERI_TABANI!$B$4)*VERI_TABANI!$B$6 + IF(ISNUMBER(SEARCH("Var", D868)), (VERI_TABANI!$F$29/VERI_TABANI!$B$29)*(VERI_TABANI!$B$10+VERI_TABANI!$B$12), 0)</f>
        <v/>
      </c>
      <c r="G868" s="168">
        <f>(((MIN(VERI_TABANI!D23, VERI_TABANI!D23*B868)*VERI_TABANI!$B$7 + MAX(0, VERI_TABANI!D23*B868-VERI_TABANI!D23)*VERI_TABANI!$B$8) + (MIN(MAX(0, VERI_TABANI!D23-VERI_TABANI!D23*B868), VERI_TABANI!D23*C868)*VERI_TABANI!$B$7 + MAX(0, VERI_TABANI!D23*C868-MAX(0, VERI_TABANI!D23-VERI_TABANI!D23*B868))*VERI_TABANI!$B$8) + IF(ABS(IF(ISNUMBER(SEARCH("Var", D868)), 1, IF(ISNUMBER(SEARCH("Gri", D868)), -1, 0)))=1, VERI_TABANI!E23*(1-0.928)*VERI_TABANI!$B$9, 0) + (VERI_TABANI!D23*B868*(VERI_TABANI!$B$13-VERI_TABANI!$B$14)*VERI_TABANI!G23) + (VERI_TABANI!D23*C868*(VERI_TABANI!$B$13-VERI_TABANI!$B$15)*VERI_TABANI!G23) + IF(ABS(IF(ISNUMBER(SEARCH("Var", D868)), 1, IF(ISNUMBER(SEARCH("Gri", D868)), -1, 0)))=1, VERI_TABANI!E23*(1-0.928)*0.00206091519919798*VERI_TABANI!G23, 0)) + ((MIN(VERI_TABANI!D24, VERI_TABANI!D24*B868)*VERI_TABANI!$B$7 + MAX(0, VERI_TABANI!D24*B868-VERI_TABANI!D24)*VERI_TABANI!$B$8) + (MIN(MAX(0, VERI_TABANI!D24-VERI_TABANI!D24*B868), VERI_TABANI!D24*C868)*VERI_TABANI!$B$7 + MAX(0, VERI_TABANI!D24*C868-MAX(0, VERI_TABANI!D24-VERI_TABANI!D24*B868))*VERI_TABANI!$B$8) + IF(ABS(IF(ISNUMBER(SEARCH("Var", D868)), 1, IF(ISNUMBER(SEARCH("Gri", D868)), -1, 0)))=1, VERI_TABANI!E24*(1-0.928)*VERI_TABANI!$B$9, 0) + (VERI_TABANI!D24*B868*(VERI_TABANI!$B$13-VERI_TABANI!$B$14)*VERI_TABANI!G24) + (VERI_TABANI!D24*C868*(VERI_TABANI!$B$13-VERI_TABANI!$B$15)*VERI_TABANI!G24) + IF(ABS(IF(ISNUMBER(SEARCH("Var", D868)), 1, IF(ISNUMBER(SEARCH("Gri", D868)), -1, 0)))=1, VERI_TABANI!E24*(1-0.928)*0.00206091519919798*VERI_TABANI!G24, 0)) + ((MIN(VERI_TABANI!D25, VERI_TABANI!D25*B868)*VERI_TABANI!$B$7 + MAX(0, VERI_TABANI!D25*B868-VERI_TABANI!D25)*VERI_TABANI!$B$8) + (MIN(MAX(0, VERI_TABANI!D25-VERI_TABANI!D25*B868), VERI_TABANI!D25*C868)*VERI_TABANI!$B$7 + MAX(0, VERI_TABANI!D25*C868-MAX(0, VERI_TABANI!D25-VERI_TABANI!D25*B868))*VERI_TABANI!$B$8) + IF(ABS(IF(ISNUMBER(SEARCH("Var", D868)), 1, IF(ISNUMBER(SEARCH("Gri", D868)), -1, 0)))=1, VERI_TABANI!E25*(1-0.928)*VERI_TABANI!$B$9, 0) + (VERI_TABANI!D25*B868*(VERI_TABANI!$B$13-VERI_TABANI!$B$14)*VERI_TABANI!G25) + (VERI_TABANI!D25*C868*(VERI_TABANI!$B$13-VERI_TABANI!$B$15)*VERI_TABANI!G25) + IF(ABS(IF(ISNUMBER(SEARCH("Var", D868)), 1, IF(ISNUMBER(SEARCH("Gri", D868)), -1, 0)))=1, VERI_TABANI!E25*(1-0.928)*0.00206091519919798*VERI_TABANI!G25, 0)) + ((MIN(VERI_TABANI!D26, VERI_TABANI!D26*B868)*VERI_TABANI!$B$7 + MAX(0, VERI_TABANI!D26*B868-VERI_TABANI!D26)*VERI_TABANI!$B$8) + (MIN(MAX(0, VERI_TABANI!D26-VERI_TABANI!D26*B868), VERI_TABANI!D26*C868)*VERI_TABANI!$B$7 + MAX(0, VERI_TABANI!D26*C868-MAX(0, VERI_TABANI!D26-VERI_TABANI!D26*B868))*VERI_TABANI!$B$8) + IF(ABS(IF(ISNUMBER(SEARCH("Var", D868)), 1, IF(ISNUMBER(SEARCH("Gri", D868)), -1, 0)))=1, VERI_TABANI!E26*(1-0.928)*VERI_TABANI!$B$9, 0) + (VERI_TABANI!D26*B868*(VERI_TABANI!$B$13-VERI_TABANI!$B$14)*VERI_TABANI!G26) + (VERI_TABANI!D26*C868*(VERI_TABANI!$B$13-VERI_TABANI!$B$15)*VERI_TABANI!G26) + IF(ABS(IF(ISNUMBER(SEARCH("Var", D868)), 1, IF(ISNUMBER(SEARCH("Gri", D868)), -1, 0)))=1, VERI_TABANI!E26*(1-0.928)*0.00206091519919798*VERI_TABANI!G26, 0)) + ((MIN(VERI_TABANI!D27, VERI_TABANI!D27*B868)*VERI_TABANI!$B$7 + MAX(0, VERI_TABANI!D27*B868-VERI_TABANI!D27)*VERI_TABANI!$B$8) + (MIN(MAX(0, VERI_TABANI!D27-VERI_TABANI!D27*B868), VERI_TABANI!D27*C868)*VERI_TABANI!$B$7 + MAX(0, VERI_TABANI!D27*C868-MAX(0, VERI_TABANI!D27-VERI_TABANI!D27*B868))*VERI_TABANI!$B$8) + IF(ABS(IF(ISNUMBER(SEARCH("Var", D868)), 1, IF(ISNUMBER(SEARCH("Gri", D868)), -1, 0)))=1, VERI_TABANI!E27*(1-0.928)*VERI_TABANI!$B$9, 0) + (VERI_TABANI!D27*B868*(VERI_TABANI!$B$13-VERI_TABANI!$B$14)*VERI_TABANI!G27) + (VERI_TABANI!D27*C868*(VERI_TABANI!$B$13-VERI_TABANI!$B$15)*VERI_TABANI!G27) + IF(ABS(IF(ISNUMBER(SEARCH("Var", D868)), 1, IF(ISNUMBER(SEARCH("Gri", D868)), -1, 0)))=1, VERI_TABANI!E27*(1-0.928)*0.00206091519919798*VERI_TABANI!G27, 0)) + ((MIN(VERI_TABANI!D28, VERI_TABANI!D28*B868)*VERI_TABANI!$B$7 + MAX(0, VERI_TABANI!D28*B868-VERI_TABANI!D28)*VERI_TABANI!$B$8) + (MIN(MAX(0, VERI_TABANI!D28-VERI_TABANI!D28*B868), VERI_TABANI!D28*C868)*VERI_TABANI!$B$7 + MAX(0, VERI_TABANI!D28*C868-MAX(0, VERI_TABANI!D28-VERI_TABANI!D28*B868))*VERI_TABANI!$B$8) + IF(ABS(IF(ISNUMBER(SEARCH("Var", D868)), 1, IF(ISNUMBER(SEARCH("Gri", D868)), -1, 0)))=1, VERI_TABANI!E28*(1-0.928)*VERI_TABANI!$B$9, 0) + (VERI_TABANI!D28*B868*(VERI_TABANI!$B$13-VERI_TABANI!$B$14)*VERI_TABANI!G28) + (VERI_TABANI!D28*C868*(VERI_TABANI!$B$13-VERI_TABANI!$B$15)*VERI_TABANI!G28) + IF(ABS(IF(ISNUMBER(SEARCH("Var", D868)), 1, IF(ISNUMBER(SEARCH("Gri", D868)), -1, 0)))=1, VERI_TABANI!E28*(1-0.928)*0.00206091519919798*VERI_TABANI!G28, 0)))</f>
        <v/>
      </c>
      <c r="H868" s="169">
        <f>(((VERI_TABANI!D23*B868*(VERI_TABANI!$B$13-VERI_TABANI!$B$14)) + (VERI_TABANI!D23*C868*(VERI_TABANI!$B$13-VERI_TABANI!$B$15)) + IF(ISNUMBER(SEARCH("Var", D868)), VERI_TABANI!F23*(0.00202-VERI_TABANI!$B$16), IF(ISNUMBER(SEARCH("Gri", D868)), VERI_TABANI!F23*(0.00202-VERI_TABANI!$B$17), 0))) + ((VERI_TABANI!D24*B868*(VERI_TABANI!$B$13-VERI_TABANI!$B$14)) + (VERI_TABANI!D24*C868*(VERI_TABANI!$B$13-VERI_TABANI!$B$15)) + IF(ISNUMBER(SEARCH("Var", D868)), VERI_TABANI!F24*(0.00202-VERI_TABANI!$B$16), IF(ISNUMBER(SEARCH("Gri", D868)), VERI_TABANI!F24*(0.00202-VERI_TABANI!$B$17), 0))) + ((VERI_TABANI!D25*B868*(VERI_TABANI!$B$13-VERI_TABANI!$B$14)) + (VERI_TABANI!D25*C868*(VERI_TABANI!$B$13-VERI_TABANI!$B$15)) + IF(ISNUMBER(SEARCH("Var", D868)), VERI_TABANI!F25*(0.00202-VERI_TABANI!$B$16), IF(ISNUMBER(SEARCH("Gri", D868)), VERI_TABANI!F25*(0.00202-VERI_TABANI!$B$17), 0))) + ((VERI_TABANI!D26*B868*(VERI_TABANI!$B$13-VERI_TABANI!$B$14)) + (VERI_TABANI!D26*C868*(VERI_TABANI!$B$13-VERI_TABANI!$B$15)) + IF(ISNUMBER(SEARCH("Var", D868)), VERI_TABANI!F26*(0.00202-VERI_TABANI!$B$16), IF(ISNUMBER(SEARCH("Gri", D868)), VERI_TABANI!F26*(0.00202-VERI_TABANI!$B$17), 0))) + ((VERI_TABANI!D27*B868*(VERI_TABANI!$B$13-VERI_TABANI!$B$14)) + (VERI_TABANI!D27*C868*(VERI_TABANI!$B$13-VERI_TABANI!$B$15)) + IF(ISNUMBER(SEARCH("Var", D868)), VERI_TABANI!F27*(0.00202-VERI_TABANI!$B$16), IF(ISNUMBER(SEARCH("Gri", D868)), VERI_TABANI!F27*(0.00202-VERI_TABANI!$B$17), 0))) + ((VERI_TABANI!D28*B868*(VERI_TABANI!$B$13-VERI_TABANI!$B$14)) + (VERI_TABANI!D28*C868*(VERI_TABANI!$B$13-VERI_TABANI!$B$15)) + IF(ISNUMBER(SEARCH("Var", D868)), VERI_TABANI!F28*(0.00202-VERI_TABANI!$B$16), IF(ISNUMBER(SEARCH("Gri", D868)), VERI_TABANI!F28*(0.00202-VERI_TABANI!$B$17), 0))))</f>
        <v/>
      </c>
      <c r="I868" s="170">
        <f>IFERROR(((VERI_TABANI!$D$29*B868*VERI_TABANI!$B$14 + VERI_TABANI!$D$29*C868*VERI_TABANI!$B$15 + IF(ISNUMBER(SEARCH("Var", D868)), VERI_TABANI!$F$29*VERI_TABANI!$B$16, 0))) / (((VERI_TABANI!$D$29*B868 + VERI_TABANI!$D$29*C868)*VERI_TABANI!$B$13 + IF(ISNUMBER(SEARCH("Var", D868)), VERI_TABANI!$E$29*(1-0.928)*VERI_TABANI!$B$18, 0))), 0)</f>
        <v/>
      </c>
      <c r="J868" s="171">
        <f>IFERROR(F868/(G868/29), 0)</f>
        <v/>
      </c>
      <c r="K868" s="172">
        <f>IF(F868&gt;0, H868/F868, 0)</f>
        <v/>
      </c>
      <c r="L868" s="170">
        <f>IF(F868&gt;0, I868, 1000000000)</f>
        <v/>
      </c>
      <c r="M868" s="171">
        <f>ABS((B868+C868)-1)</f>
        <v/>
      </c>
      <c r="N868" s="170">
        <f>IF(F868&gt;0, (G868/29)/F868, 0)</f>
        <v/>
      </c>
      <c r="O868" s="168">
        <f>IF(AND((B868+C868)&gt;=1, ISNUMBER(SEARCH("Var", D868))), F868, 1000000000)</f>
        <v/>
      </c>
      <c r="P868" s="172">
        <f>IF(F868&gt;0, SQRT((F868/MAX(F$5:F$886))^2 + (1 - H868/MAX(H$5:H$886))^2 + (J868/MAX(J$5:J$886))^2), 1000000000)</f>
        <v/>
      </c>
      <c r="Q868" s="166">
        <f>IF(AND(ABS(B868-0.5)&lt;0.01, ABS(C868-0.5)&lt;0.01, ISNUMBER(SEARCH("Var", D868))), 1, 0)</f>
        <v/>
      </c>
      <c r="R868" s="171">
        <f>IF(F868&gt;0, J868, 1000000000)</f>
        <v/>
      </c>
      <c r="S868" s="101">
        <f>IF(AND(F868&lt;=DASHBOARD!$B$11, H868&gt;=DASHBOARD!$B$13), G868, -1000000000000)</f>
        <v/>
      </c>
      <c r="T868" s="101">
        <f>IF(AND(F868&lt;=DASHBOARD!$B$11, H868&gt;=DASHBOARD!$B$13), R868, 1000000000000)</f>
        <v/>
      </c>
      <c r="U868" s="101">
        <f>IF(AND(F868&lt;=DASHBOARD!$B$11, H868&gt;=DASHBOARD!$B$13), N868, -1000000000000)</f>
        <v/>
      </c>
      <c r="V868" s="101">
        <f>IF(AND(F868&lt;=DASHBOARD!$B$11, H868&gt;=DASHBOARD!$B$13), H868, -1000000000000)</f>
        <v/>
      </c>
      <c r="W868" s="101">
        <f>IF(AND(F868&lt;=DASHBOARD!$B$11, H868&gt;=DASHBOARD!$B$13), K868, -1000000000000)</f>
        <v/>
      </c>
      <c r="X868" s="101">
        <f>IF(AND(F868&lt;=DASHBOARD!$B$11, H868&gt;=DASHBOARD!$B$13), M868, 1000000000000)</f>
        <v/>
      </c>
      <c r="Y868" s="101">
        <f>IF(AND(F868&lt;=DASHBOARD!$B$10, H868&gt;=DASHBOARD!$B$11), L868, 1000000000000)</f>
        <v/>
      </c>
      <c r="Z868" s="101">
        <f>IF(AND(F868&lt;=DASHBOARD!$B$10, H868&gt;=DASHBOARD!$B$11), O868, 1000000000000)</f>
        <v/>
      </c>
      <c r="AA868" s="101">
        <f>IF(AND(F868&lt;=DASHBOARD!$B$10, H868&gt;=DASHBOARD!$B$11), P868, 1000000000000)</f>
        <v/>
      </c>
      <c r="AB868" s="101">
        <f>IF(AND(F868&lt;=DASHBOARD!$B$10, H868&gt;=DASHBOARD!$B$11), Q868, -1000000000000)</f>
        <v/>
      </c>
    </row>
    <row r="869" ht="15" customHeight="1" s="102">
      <c r="A869" s="166" t="n">
        <v>865</v>
      </c>
      <c r="B869" s="167" t="n">
        <v>2</v>
      </c>
      <c r="C869" s="167" t="n">
        <v>1.2</v>
      </c>
      <c r="D869" s="110" t="inlineStr">
        <is>
          <t>Yok (%0)</t>
        </is>
      </c>
      <c r="E869" s="110">
        <f>IF((B869+C869)&lt;=1, "Tam Mahsuplaşma (≤%100)", "Kısmi Satış (&gt;%100)")</f>
        <v/>
      </c>
      <c r="F869" s="168">
        <f>((VERI_TABANI!$D$29*B869/VERI_TABANI!$B$29)/VERI_TABANI!$B$3)*VERI_TABANI!$B$5 + ((VERI_TABANI!$D$29*C869/VERI_TABANI!$B$29)/VERI_TABANI!$B$4)*VERI_TABANI!$B$6 + IF(ISNUMBER(SEARCH("Var", D869)), (VERI_TABANI!$F$29/VERI_TABANI!$B$29)*(VERI_TABANI!$B$10+VERI_TABANI!$B$12), 0)</f>
        <v/>
      </c>
      <c r="G869" s="168">
        <f>(((MIN(VERI_TABANI!D23, VERI_TABANI!D23*B869)*VERI_TABANI!$B$7 + MAX(0, VERI_TABANI!D23*B869-VERI_TABANI!D23)*VERI_TABANI!$B$8) + (MIN(MAX(0, VERI_TABANI!D23-VERI_TABANI!D23*B869), VERI_TABANI!D23*C869)*VERI_TABANI!$B$7 + MAX(0, VERI_TABANI!D23*C869-MAX(0, VERI_TABANI!D23-VERI_TABANI!D23*B869))*VERI_TABANI!$B$8) + IF(ABS(IF(ISNUMBER(SEARCH("Var", D869)), 1, IF(ISNUMBER(SEARCH("Gri", D869)), -1, 0)))=1, VERI_TABANI!E23*(1-0.928)*VERI_TABANI!$B$9, 0) + (VERI_TABANI!D23*B869*(VERI_TABANI!$B$13-VERI_TABANI!$B$14)*VERI_TABANI!G23) + (VERI_TABANI!D23*C869*(VERI_TABANI!$B$13-VERI_TABANI!$B$15)*VERI_TABANI!G23) + IF(ABS(IF(ISNUMBER(SEARCH("Var", D869)), 1, IF(ISNUMBER(SEARCH("Gri", D869)), -1, 0)))=1, VERI_TABANI!E23*(1-0.928)*0.00206091519919798*VERI_TABANI!G23, 0)) + ((MIN(VERI_TABANI!D24, VERI_TABANI!D24*B869)*VERI_TABANI!$B$7 + MAX(0, VERI_TABANI!D24*B869-VERI_TABANI!D24)*VERI_TABANI!$B$8) + (MIN(MAX(0, VERI_TABANI!D24-VERI_TABANI!D24*B869), VERI_TABANI!D24*C869)*VERI_TABANI!$B$7 + MAX(0, VERI_TABANI!D24*C869-MAX(0, VERI_TABANI!D24-VERI_TABANI!D24*B869))*VERI_TABANI!$B$8) + IF(ABS(IF(ISNUMBER(SEARCH("Var", D869)), 1, IF(ISNUMBER(SEARCH("Gri", D869)), -1, 0)))=1, VERI_TABANI!E24*(1-0.928)*VERI_TABANI!$B$9, 0) + (VERI_TABANI!D24*B869*(VERI_TABANI!$B$13-VERI_TABANI!$B$14)*VERI_TABANI!G24) + (VERI_TABANI!D24*C869*(VERI_TABANI!$B$13-VERI_TABANI!$B$15)*VERI_TABANI!G24) + IF(ABS(IF(ISNUMBER(SEARCH("Var", D869)), 1, IF(ISNUMBER(SEARCH("Gri", D869)), -1, 0)))=1, VERI_TABANI!E24*(1-0.928)*0.00206091519919798*VERI_TABANI!G24, 0)) + ((MIN(VERI_TABANI!D25, VERI_TABANI!D25*B869)*VERI_TABANI!$B$7 + MAX(0, VERI_TABANI!D25*B869-VERI_TABANI!D25)*VERI_TABANI!$B$8) + (MIN(MAX(0, VERI_TABANI!D25-VERI_TABANI!D25*B869), VERI_TABANI!D25*C869)*VERI_TABANI!$B$7 + MAX(0, VERI_TABANI!D25*C869-MAX(0, VERI_TABANI!D25-VERI_TABANI!D25*B869))*VERI_TABANI!$B$8) + IF(ABS(IF(ISNUMBER(SEARCH("Var", D869)), 1, IF(ISNUMBER(SEARCH("Gri", D869)), -1, 0)))=1, VERI_TABANI!E25*(1-0.928)*VERI_TABANI!$B$9, 0) + (VERI_TABANI!D25*B869*(VERI_TABANI!$B$13-VERI_TABANI!$B$14)*VERI_TABANI!G25) + (VERI_TABANI!D25*C869*(VERI_TABANI!$B$13-VERI_TABANI!$B$15)*VERI_TABANI!G25) + IF(ABS(IF(ISNUMBER(SEARCH("Var", D869)), 1, IF(ISNUMBER(SEARCH("Gri", D869)), -1, 0)))=1, VERI_TABANI!E25*(1-0.928)*0.00206091519919798*VERI_TABANI!G25, 0)) + ((MIN(VERI_TABANI!D26, VERI_TABANI!D26*B869)*VERI_TABANI!$B$7 + MAX(0, VERI_TABANI!D26*B869-VERI_TABANI!D26)*VERI_TABANI!$B$8) + (MIN(MAX(0, VERI_TABANI!D26-VERI_TABANI!D26*B869), VERI_TABANI!D26*C869)*VERI_TABANI!$B$7 + MAX(0, VERI_TABANI!D26*C869-MAX(0, VERI_TABANI!D26-VERI_TABANI!D26*B869))*VERI_TABANI!$B$8) + IF(ABS(IF(ISNUMBER(SEARCH("Var", D869)), 1, IF(ISNUMBER(SEARCH("Gri", D869)), -1, 0)))=1, VERI_TABANI!E26*(1-0.928)*VERI_TABANI!$B$9, 0) + (VERI_TABANI!D26*B869*(VERI_TABANI!$B$13-VERI_TABANI!$B$14)*VERI_TABANI!G26) + (VERI_TABANI!D26*C869*(VERI_TABANI!$B$13-VERI_TABANI!$B$15)*VERI_TABANI!G26) + IF(ABS(IF(ISNUMBER(SEARCH("Var", D869)), 1, IF(ISNUMBER(SEARCH("Gri", D869)), -1, 0)))=1, VERI_TABANI!E26*(1-0.928)*0.00206091519919798*VERI_TABANI!G26, 0)) + ((MIN(VERI_TABANI!D27, VERI_TABANI!D27*B869)*VERI_TABANI!$B$7 + MAX(0, VERI_TABANI!D27*B869-VERI_TABANI!D27)*VERI_TABANI!$B$8) + (MIN(MAX(0, VERI_TABANI!D27-VERI_TABANI!D27*B869), VERI_TABANI!D27*C869)*VERI_TABANI!$B$7 + MAX(0, VERI_TABANI!D27*C869-MAX(0, VERI_TABANI!D27-VERI_TABANI!D27*B869))*VERI_TABANI!$B$8) + IF(ABS(IF(ISNUMBER(SEARCH("Var", D869)), 1, IF(ISNUMBER(SEARCH("Gri", D869)), -1, 0)))=1, VERI_TABANI!E27*(1-0.928)*VERI_TABANI!$B$9, 0) + (VERI_TABANI!D27*B869*(VERI_TABANI!$B$13-VERI_TABANI!$B$14)*VERI_TABANI!G27) + (VERI_TABANI!D27*C869*(VERI_TABANI!$B$13-VERI_TABANI!$B$15)*VERI_TABANI!G27) + IF(ABS(IF(ISNUMBER(SEARCH("Var", D869)), 1, IF(ISNUMBER(SEARCH("Gri", D869)), -1, 0)))=1, VERI_TABANI!E27*(1-0.928)*0.00206091519919798*VERI_TABANI!G27, 0)) + ((MIN(VERI_TABANI!D28, VERI_TABANI!D28*B869)*VERI_TABANI!$B$7 + MAX(0, VERI_TABANI!D28*B869-VERI_TABANI!D28)*VERI_TABANI!$B$8) + (MIN(MAX(0, VERI_TABANI!D28-VERI_TABANI!D28*B869), VERI_TABANI!D28*C869)*VERI_TABANI!$B$7 + MAX(0, VERI_TABANI!D28*C869-MAX(0, VERI_TABANI!D28-VERI_TABANI!D28*B869))*VERI_TABANI!$B$8) + IF(ABS(IF(ISNUMBER(SEARCH("Var", D869)), 1, IF(ISNUMBER(SEARCH("Gri", D869)), -1, 0)))=1, VERI_TABANI!E28*(1-0.928)*VERI_TABANI!$B$9, 0) + (VERI_TABANI!D28*B869*(VERI_TABANI!$B$13-VERI_TABANI!$B$14)*VERI_TABANI!G28) + (VERI_TABANI!D28*C869*(VERI_TABANI!$B$13-VERI_TABANI!$B$15)*VERI_TABANI!G28) + IF(ABS(IF(ISNUMBER(SEARCH("Var", D869)), 1, IF(ISNUMBER(SEARCH("Gri", D869)), -1, 0)))=1, VERI_TABANI!E28*(1-0.928)*0.00206091519919798*VERI_TABANI!G28, 0)))</f>
        <v/>
      </c>
      <c r="H869" s="169">
        <f>(((VERI_TABANI!D23*B869*(VERI_TABANI!$B$13-VERI_TABANI!$B$14)) + (VERI_TABANI!D23*C869*(VERI_TABANI!$B$13-VERI_TABANI!$B$15)) + IF(ISNUMBER(SEARCH("Var", D869)), VERI_TABANI!F23*(0.00202-VERI_TABANI!$B$16), IF(ISNUMBER(SEARCH("Gri", D869)), VERI_TABANI!F23*(0.00202-VERI_TABANI!$B$17), 0))) + ((VERI_TABANI!D24*B869*(VERI_TABANI!$B$13-VERI_TABANI!$B$14)) + (VERI_TABANI!D24*C869*(VERI_TABANI!$B$13-VERI_TABANI!$B$15)) + IF(ISNUMBER(SEARCH("Var", D869)), VERI_TABANI!F24*(0.00202-VERI_TABANI!$B$16), IF(ISNUMBER(SEARCH("Gri", D869)), VERI_TABANI!F24*(0.00202-VERI_TABANI!$B$17), 0))) + ((VERI_TABANI!D25*B869*(VERI_TABANI!$B$13-VERI_TABANI!$B$14)) + (VERI_TABANI!D25*C869*(VERI_TABANI!$B$13-VERI_TABANI!$B$15)) + IF(ISNUMBER(SEARCH("Var", D869)), VERI_TABANI!F25*(0.00202-VERI_TABANI!$B$16), IF(ISNUMBER(SEARCH("Gri", D869)), VERI_TABANI!F25*(0.00202-VERI_TABANI!$B$17), 0))) + ((VERI_TABANI!D26*B869*(VERI_TABANI!$B$13-VERI_TABANI!$B$14)) + (VERI_TABANI!D26*C869*(VERI_TABANI!$B$13-VERI_TABANI!$B$15)) + IF(ISNUMBER(SEARCH("Var", D869)), VERI_TABANI!F26*(0.00202-VERI_TABANI!$B$16), IF(ISNUMBER(SEARCH("Gri", D869)), VERI_TABANI!F26*(0.00202-VERI_TABANI!$B$17), 0))) + ((VERI_TABANI!D27*B869*(VERI_TABANI!$B$13-VERI_TABANI!$B$14)) + (VERI_TABANI!D27*C869*(VERI_TABANI!$B$13-VERI_TABANI!$B$15)) + IF(ISNUMBER(SEARCH("Var", D869)), VERI_TABANI!F27*(0.00202-VERI_TABANI!$B$16), IF(ISNUMBER(SEARCH("Gri", D869)), VERI_TABANI!F27*(0.00202-VERI_TABANI!$B$17), 0))) + ((VERI_TABANI!D28*B869*(VERI_TABANI!$B$13-VERI_TABANI!$B$14)) + (VERI_TABANI!D28*C869*(VERI_TABANI!$B$13-VERI_TABANI!$B$15)) + IF(ISNUMBER(SEARCH("Var", D869)), VERI_TABANI!F28*(0.00202-VERI_TABANI!$B$16), IF(ISNUMBER(SEARCH("Gri", D869)), VERI_TABANI!F28*(0.00202-VERI_TABANI!$B$17), 0))))</f>
        <v/>
      </c>
      <c r="I869" s="170">
        <f>IFERROR(((VERI_TABANI!$D$29*B869*VERI_TABANI!$B$14 + VERI_TABANI!$D$29*C869*VERI_TABANI!$B$15 + IF(ISNUMBER(SEARCH("Var", D869)), VERI_TABANI!$F$29*VERI_TABANI!$B$16, 0))) / (((VERI_TABANI!$D$29*B869 + VERI_TABANI!$D$29*C869)*VERI_TABANI!$B$13 + IF(ISNUMBER(SEARCH("Var", D869)), VERI_TABANI!$E$29*(1-0.928)*VERI_TABANI!$B$18, 0))), 0)</f>
        <v/>
      </c>
      <c r="J869" s="171">
        <f>IFERROR(F869/(G869/29), 0)</f>
        <v/>
      </c>
      <c r="K869" s="172">
        <f>IF(F869&gt;0, H869/F869, 0)</f>
        <v/>
      </c>
      <c r="L869" s="170">
        <f>IF(F869&gt;0, I869, 1000000000)</f>
        <v/>
      </c>
      <c r="M869" s="171">
        <f>ABS((B869+C869)-1)</f>
        <v/>
      </c>
      <c r="N869" s="170">
        <f>IF(F869&gt;0, (G869/29)/F869, 0)</f>
        <v/>
      </c>
      <c r="O869" s="168">
        <f>IF(AND((B869+C869)&gt;=1, ISNUMBER(SEARCH("Var", D869))), F869, 1000000000)</f>
        <v/>
      </c>
      <c r="P869" s="172">
        <f>IF(F869&gt;0, SQRT((F869/MAX(F$5:F$886))^2 + (1 - H869/MAX(H$5:H$886))^2 + (J869/MAX(J$5:J$886))^2), 1000000000)</f>
        <v/>
      </c>
      <c r="Q869" s="166">
        <f>IF(AND(ABS(B869-0.5)&lt;0.01, ABS(C869-0.5)&lt;0.01, ISNUMBER(SEARCH("Var", D869))), 1, 0)</f>
        <v/>
      </c>
      <c r="R869" s="171">
        <f>IF(F869&gt;0, J869, 1000000000)</f>
        <v/>
      </c>
      <c r="S869" s="101">
        <f>IF(AND(F869&lt;=DASHBOARD!$B$11, H869&gt;=DASHBOARD!$B$13), G869, -1000000000000)</f>
        <v/>
      </c>
      <c r="T869" s="101">
        <f>IF(AND(F869&lt;=DASHBOARD!$B$11, H869&gt;=DASHBOARD!$B$13), R869, 1000000000000)</f>
        <v/>
      </c>
      <c r="U869" s="101">
        <f>IF(AND(F869&lt;=DASHBOARD!$B$11, H869&gt;=DASHBOARD!$B$13), N869, -1000000000000)</f>
        <v/>
      </c>
      <c r="V869" s="101">
        <f>IF(AND(F869&lt;=DASHBOARD!$B$11, H869&gt;=DASHBOARD!$B$13), H869, -1000000000000)</f>
        <v/>
      </c>
      <c r="W869" s="101">
        <f>IF(AND(F869&lt;=DASHBOARD!$B$11, H869&gt;=DASHBOARD!$B$13), K869, -1000000000000)</f>
        <v/>
      </c>
      <c r="X869" s="101">
        <f>IF(AND(F869&lt;=DASHBOARD!$B$11, H869&gt;=DASHBOARD!$B$13), M869, 1000000000000)</f>
        <v/>
      </c>
      <c r="Y869" s="101">
        <f>IF(AND(F869&lt;=DASHBOARD!$B$10, H869&gt;=DASHBOARD!$B$11), L869, 1000000000000)</f>
        <v/>
      </c>
      <c r="Z869" s="101">
        <f>IF(AND(F869&lt;=DASHBOARD!$B$10, H869&gt;=DASHBOARD!$B$11), O869, 1000000000000)</f>
        <v/>
      </c>
      <c r="AA869" s="101">
        <f>IF(AND(F869&lt;=DASHBOARD!$B$10, H869&gt;=DASHBOARD!$B$11), P869, 1000000000000)</f>
        <v/>
      </c>
      <c r="AB869" s="101">
        <f>IF(AND(F869&lt;=DASHBOARD!$B$10, H869&gt;=DASHBOARD!$B$11), Q869, -1000000000000)</f>
        <v/>
      </c>
    </row>
    <row r="870" ht="15" customHeight="1" s="102">
      <c r="A870" s="166" t="n">
        <v>866</v>
      </c>
      <c r="B870" s="167" t="n">
        <v>2</v>
      </c>
      <c r="C870" s="167" t="n">
        <v>1.2</v>
      </c>
      <c r="D870" s="110" t="inlineStr">
        <is>
          <t>Var (%20)</t>
        </is>
      </c>
      <c r="E870" s="110">
        <f>IF((B870+C870)&lt;=1, "Tam Mahsuplaşma (≤%100)", "Kısmi Satış (&gt;%100)")</f>
        <v/>
      </c>
      <c r="F870" s="168">
        <f>((VERI_TABANI!$D$29*B870/VERI_TABANI!$B$29)/VERI_TABANI!$B$3)*VERI_TABANI!$B$5 + ((VERI_TABANI!$D$29*C870/VERI_TABANI!$B$29)/VERI_TABANI!$B$4)*VERI_TABANI!$B$6 + IF(ISNUMBER(SEARCH("Var", D870)), (VERI_TABANI!$F$29/VERI_TABANI!$B$29)*(VERI_TABANI!$B$10+VERI_TABANI!$B$12), 0)</f>
        <v/>
      </c>
      <c r="G870" s="168">
        <f>(((MIN(VERI_TABANI!D23, VERI_TABANI!D23*B870)*VERI_TABANI!$B$7 + MAX(0, VERI_TABANI!D23*B870-VERI_TABANI!D23)*VERI_TABANI!$B$8) + (MIN(MAX(0, VERI_TABANI!D23-VERI_TABANI!D23*B870), VERI_TABANI!D23*C870)*VERI_TABANI!$B$7 + MAX(0, VERI_TABANI!D23*C870-MAX(0, VERI_TABANI!D23-VERI_TABANI!D23*B870))*VERI_TABANI!$B$8) + IF(ABS(IF(ISNUMBER(SEARCH("Var", D870)), 1, IF(ISNUMBER(SEARCH("Gri", D870)), -1, 0)))=1, VERI_TABANI!E23*(1-0.928)*VERI_TABANI!$B$9, 0) + (VERI_TABANI!D23*B870*(VERI_TABANI!$B$13-VERI_TABANI!$B$14)*VERI_TABANI!G23) + (VERI_TABANI!D23*C870*(VERI_TABANI!$B$13-VERI_TABANI!$B$15)*VERI_TABANI!G23) + IF(ABS(IF(ISNUMBER(SEARCH("Var", D870)), 1, IF(ISNUMBER(SEARCH("Gri", D870)), -1, 0)))=1, VERI_TABANI!E23*(1-0.928)*0.00206091519919798*VERI_TABANI!G23, 0)) + ((MIN(VERI_TABANI!D24, VERI_TABANI!D24*B870)*VERI_TABANI!$B$7 + MAX(0, VERI_TABANI!D24*B870-VERI_TABANI!D24)*VERI_TABANI!$B$8) + (MIN(MAX(0, VERI_TABANI!D24-VERI_TABANI!D24*B870), VERI_TABANI!D24*C870)*VERI_TABANI!$B$7 + MAX(0, VERI_TABANI!D24*C870-MAX(0, VERI_TABANI!D24-VERI_TABANI!D24*B870))*VERI_TABANI!$B$8) + IF(ABS(IF(ISNUMBER(SEARCH("Var", D870)), 1, IF(ISNUMBER(SEARCH("Gri", D870)), -1, 0)))=1, VERI_TABANI!E24*(1-0.928)*VERI_TABANI!$B$9, 0) + (VERI_TABANI!D24*B870*(VERI_TABANI!$B$13-VERI_TABANI!$B$14)*VERI_TABANI!G24) + (VERI_TABANI!D24*C870*(VERI_TABANI!$B$13-VERI_TABANI!$B$15)*VERI_TABANI!G24) + IF(ABS(IF(ISNUMBER(SEARCH("Var", D870)), 1, IF(ISNUMBER(SEARCH("Gri", D870)), -1, 0)))=1, VERI_TABANI!E24*(1-0.928)*0.00206091519919798*VERI_TABANI!G24, 0)) + ((MIN(VERI_TABANI!D25, VERI_TABANI!D25*B870)*VERI_TABANI!$B$7 + MAX(0, VERI_TABANI!D25*B870-VERI_TABANI!D25)*VERI_TABANI!$B$8) + (MIN(MAX(0, VERI_TABANI!D25-VERI_TABANI!D25*B870), VERI_TABANI!D25*C870)*VERI_TABANI!$B$7 + MAX(0, VERI_TABANI!D25*C870-MAX(0, VERI_TABANI!D25-VERI_TABANI!D25*B870))*VERI_TABANI!$B$8) + IF(ABS(IF(ISNUMBER(SEARCH("Var", D870)), 1, IF(ISNUMBER(SEARCH("Gri", D870)), -1, 0)))=1, VERI_TABANI!E25*(1-0.928)*VERI_TABANI!$B$9, 0) + (VERI_TABANI!D25*B870*(VERI_TABANI!$B$13-VERI_TABANI!$B$14)*VERI_TABANI!G25) + (VERI_TABANI!D25*C870*(VERI_TABANI!$B$13-VERI_TABANI!$B$15)*VERI_TABANI!G25) + IF(ABS(IF(ISNUMBER(SEARCH("Var", D870)), 1, IF(ISNUMBER(SEARCH("Gri", D870)), -1, 0)))=1, VERI_TABANI!E25*(1-0.928)*0.00206091519919798*VERI_TABANI!G25, 0)) + ((MIN(VERI_TABANI!D26, VERI_TABANI!D26*B870)*VERI_TABANI!$B$7 + MAX(0, VERI_TABANI!D26*B870-VERI_TABANI!D26)*VERI_TABANI!$B$8) + (MIN(MAX(0, VERI_TABANI!D26-VERI_TABANI!D26*B870), VERI_TABANI!D26*C870)*VERI_TABANI!$B$7 + MAX(0, VERI_TABANI!D26*C870-MAX(0, VERI_TABANI!D26-VERI_TABANI!D26*B870))*VERI_TABANI!$B$8) + IF(ABS(IF(ISNUMBER(SEARCH("Var", D870)), 1, IF(ISNUMBER(SEARCH("Gri", D870)), -1, 0)))=1, VERI_TABANI!E26*(1-0.928)*VERI_TABANI!$B$9, 0) + (VERI_TABANI!D26*B870*(VERI_TABANI!$B$13-VERI_TABANI!$B$14)*VERI_TABANI!G26) + (VERI_TABANI!D26*C870*(VERI_TABANI!$B$13-VERI_TABANI!$B$15)*VERI_TABANI!G26) + IF(ABS(IF(ISNUMBER(SEARCH("Var", D870)), 1, IF(ISNUMBER(SEARCH("Gri", D870)), -1, 0)))=1, VERI_TABANI!E26*(1-0.928)*0.00206091519919798*VERI_TABANI!G26, 0)) + ((MIN(VERI_TABANI!D27, VERI_TABANI!D27*B870)*VERI_TABANI!$B$7 + MAX(0, VERI_TABANI!D27*B870-VERI_TABANI!D27)*VERI_TABANI!$B$8) + (MIN(MAX(0, VERI_TABANI!D27-VERI_TABANI!D27*B870), VERI_TABANI!D27*C870)*VERI_TABANI!$B$7 + MAX(0, VERI_TABANI!D27*C870-MAX(0, VERI_TABANI!D27-VERI_TABANI!D27*B870))*VERI_TABANI!$B$8) + IF(ABS(IF(ISNUMBER(SEARCH("Var", D870)), 1, IF(ISNUMBER(SEARCH("Gri", D870)), -1, 0)))=1, VERI_TABANI!E27*(1-0.928)*VERI_TABANI!$B$9, 0) + (VERI_TABANI!D27*B870*(VERI_TABANI!$B$13-VERI_TABANI!$B$14)*VERI_TABANI!G27) + (VERI_TABANI!D27*C870*(VERI_TABANI!$B$13-VERI_TABANI!$B$15)*VERI_TABANI!G27) + IF(ABS(IF(ISNUMBER(SEARCH("Var", D870)), 1, IF(ISNUMBER(SEARCH("Gri", D870)), -1, 0)))=1, VERI_TABANI!E27*(1-0.928)*0.00206091519919798*VERI_TABANI!G27, 0)) + ((MIN(VERI_TABANI!D28, VERI_TABANI!D28*B870)*VERI_TABANI!$B$7 + MAX(0, VERI_TABANI!D28*B870-VERI_TABANI!D28)*VERI_TABANI!$B$8) + (MIN(MAX(0, VERI_TABANI!D28-VERI_TABANI!D28*B870), VERI_TABANI!D28*C870)*VERI_TABANI!$B$7 + MAX(0, VERI_TABANI!D28*C870-MAX(0, VERI_TABANI!D28-VERI_TABANI!D28*B870))*VERI_TABANI!$B$8) + IF(ABS(IF(ISNUMBER(SEARCH("Var", D870)), 1, IF(ISNUMBER(SEARCH("Gri", D870)), -1, 0)))=1, VERI_TABANI!E28*(1-0.928)*VERI_TABANI!$B$9, 0) + (VERI_TABANI!D28*B870*(VERI_TABANI!$B$13-VERI_TABANI!$B$14)*VERI_TABANI!G28) + (VERI_TABANI!D28*C870*(VERI_TABANI!$B$13-VERI_TABANI!$B$15)*VERI_TABANI!G28) + IF(ABS(IF(ISNUMBER(SEARCH("Var", D870)), 1, IF(ISNUMBER(SEARCH("Gri", D870)), -1, 0)))=1, VERI_TABANI!E28*(1-0.928)*0.00206091519919798*VERI_TABANI!G28, 0)))</f>
        <v/>
      </c>
      <c r="H870" s="169">
        <f>(((VERI_TABANI!D23*B870*(VERI_TABANI!$B$13-VERI_TABANI!$B$14)) + (VERI_TABANI!D23*C870*(VERI_TABANI!$B$13-VERI_TABANI!$B$15)) + IF(ISNUMBER(SEARCH("Var", D870)), VERI_TABANI!F23*(0.00202-VERI_TABANI!$B$16), IF(ISNUMBER(SEARCH("Gri", D870)), VERI_TABANI!F23*(0.00202-VERI_TABANI!$B$17), 0))) + ((VERI_TABANI!D24*B870*(VERI_TABANI!$B$13-VERI_TABANI!$B$14)) + (VERI_TABANI!D24*C870*(VERI_TABANI!$B$13-VERI_TABANI!$B$15)) + IF(ISNUMBER(SEARCH("Var", D870)), VERI_TABANI!F24*(0.00202-VERI_TABANI!$B$16), IF(ISNUMBER(SEARCH("Gri", D870)), VERI_TABANI!F24*(0.00202-VERI_TABANI!$B$17), 0))) + ((VERI_TABANI!D25*B870*(VERI_TABANI!$B$13-VERI_TABANI!$B$14)) + (VERI_TABANI!D25*C870*(VERI_TABANI!$B$13-VERI_TABANI!$B$15)) + IF(ISNUMBER(SEARCH("Var", D870)), VERI_TABANI!F25*(0.00202-VERI_TABANI!$B$16), IF(ISNUMBER(SEARCH("Gri", D870)), VERI_TABANI!F25*(0.00202-VERI_TABANI!$B$17), 0))) + ((VERI_TABANI!D26*B870*(VERI_TABANI!$B$13-VERI_TABANI!$B$14)) + (VERI_TABANI!D26*C870*(VERI_TABANI!$B$13-VERI_TABANI!$B$15)) + IF(ISNUMBER(SEARCH("Var", D870)), VERI_TABANI!F26*(0.00202-VERI_TABANI!$B$16), IF(ISNUMBER(SEARCH("Gri", D870)), VERI_TABANI!F26*(0.00202-VERI_TABANI!$B$17), 0))) + ((VERI_TABANI!D27*B870*(VERI_TABANI!$B$13-VERI_TABANI!$B$14)) + (VERI_TABANI!D27*C870*(VERI_TABANI!$B$13-VERI_TABANI!$B$15)) + IF(ISNUMBER(SEARCH("Var", D870)), VERI_TABANI!F27*(0.00202-VERI_TABANI!$B$16), IF(ISNUMBER(SEARCH("Gri", D870)), VERI_TABANI!F27*(0.00202-VERI_TABANI!$B$17), 0))) + ((VERI_TABANI!D28*B870*(VERI_TABANI!$B$13-VERI_TABANI!$B$14)) + (VERI_TABANI!D28*C870*(VERI_TABANI!$B$13-VERI_TABANI!$B$15)) + IF(ISNUMBER(SEARCH("Var", D870)), VERI_TABANI!F28*(0.00202-VERI_TABANI!$B$16), IF(ISNUMBER(SEARCH("Gri", D870)), VERI_TABANI!F28*(0.00202-VERI_TABANI!$B$17), 0))))</f>
        <v/>
      </c>
      <c r="I870" s="170">
        <f>IFERROR(((VERI_TABANI!$D$29*B870*VERI_TABANI!$B$14 + VERI_TABANI!$D$29*C870*VERI_TABANI!$B$15 + IF(ISNUMBER(SEARCH("Var", D870)), VERI_TABANI!$F$29*VERI_TABANI!$B$16, 0))) / (((VERI_TABANI!$D$29*B870 + VERI_TABANI!$D$29*C870)*VERI_TABANI!$B$13 + IF(ISNUMBER(SEARCH("Var", D870)), VERI_TABANI!$E$29*(1-0.928)*VERI_TABANI!$B$18, 0))), 0)</f>
        <v/>
      </c>
      <c r="J870" s="171">
        <f>IFERROR(F870/(G870/29), 0)</f>
        <v/>
      </c>
      <c r="K870" s="172">
        <f>IF(F870&gt;0, H870/F870, 0)</f>
        <v/>
      </c>
      <c r="L870" s="170">
        <f>IF(F870&gt;0, I870, 1000000000)</f>
        <v/>
      </c>
      <c r="M870" s="171">
        <f>ABS((B870+C870)-1)</f>
        <v/>
      </c>
      <c r="N870" s="170">
        <f>IF(F870&gt;0, (G870/29)/F870, 0)</f>
        <v/>
      </c>
      <c r="O870" s="168">
        <f>IF(AND((B870+C870)&gt;=1, ISNUMBER(SEARCH("Var", D870))), F870, 1000000000)</f>
        <v/>
      </c>
      <c r="P870" s="172">
        <f>IF(F870&gt;0, SQRT((F870/MAX(F$5:F$886))^2 + (1 - H870/MAX(H$5:H$886))^2 + (J870/MAX(J$5:J$886))^2), 1000000000)</f>
        <v/>
      </c>
      <c r="Q870" s="166">
        <f>IF(AND(ABS(B870-0.5)&lt;0.01, ABS(C870-0.5)&lt;0.01, ISNUMBER(SEARCH("Var", D870))), 1, 0)</f>
        <v/>
      </c>
      <c r="R870" s="171">
        <f>IF(F870&gt;0, J870, 1000000000)</f>
        <v/>
      </c>
      <c r="S870" s="101">
        <f>IF(AND(F870&lt;=DASHBOARD!$B$11, H870&gt;=DASHBOARD!$B$13), G870, -1000000000000)</f>
        <v/>
      </c>
      <c r="T870" s="101">
        <f>IF(AND(F870&lt;=DASHBOARD!$B$11, H870&gt;=DASHBOARD!$B$13), R870, 1000000000000)</f>
        <v/>
      </c>
      <c r="U870" s="101">
        <f>IF(AND(F870&lt;=DASHBOARD!$B$11, H870&gt;=DASHBOARD!$B$13), N870, -1000000000000)</f>
        <v/>
      </c>
      <c r="V870" s="101">
        <f>IF(AND(F870&lt;=DASHBOARD!$B$11, H870&gt;=DASHBOARD!$B$13), H870, -1000000000000)</f>
        <v/>
      </c>
      <c r="W870" s="101">
        <f>IF(AND(F870&lt;=DASHBOARD!$B$11, H870&gt;=DASHBOARD!$B$13), K870, -1000000000000)</f>
        <v/>
      </c>
      <c r="X870" s="101">
        <f>IF(AND(F870&lt;=DASHBOARD!$B$11, H870&gt;=DASHBOARD!$B$13), M870, 1000000000000)</f>
        <v/>
      </c>
      <c r="Y870" s="101">
        <f>IF(AND(F870&lt;=DASHBOARD!$B$10, H870&gt;=DASHBOARD!$B$11), L870, 1000000000000)</f>
        <v/>
      </c>
      <c r="Z870" s="101">
        <f>IF(AND(F870&lt;=DASHBOARD!$B$10, H870&gt;=DASHBOARD!$B$11), O870, 1000000000000)</f>
        <v/>
      </c>
      <c r="AA870" s="101">
        <f>IF(AND(F870&lt;=DASHBOARD!$B$10, H870&gt;=DASHBOARD!$B$11), P870, 1000000000000)</f>
        <v/>
      </c>
      <c r="AB870" s="101">
        <f>IF(AND(F870&lt;=DASHBOARD!$B$10, H870&gt;=DASHBOARD!$B$11), Q870, -1000000000000)</f>
        <v/>
      </c>
    </row>
    <row r="871" ht="15" customHeight="1" s="102">
      <c r="A871" s="166" t="n">
        <v>867</v>
      </c>
      <c r="B871" s="167" t="n">
        <v>2</v>
      </c>
      <c r="C871" s="167" t="n">
        <v>1.3</v>
      </c>
      <c r="D871" s="110" t="inlineStr">
        <is>
          <t>Yok (%0)</t>
        </is>
      </c>
      <c r="E871" s="110">
        <f>IF((B871+C871)&lt;=1, "Tam Mahsuplaşma (≤%100)", "Kısmi Satış (&gt;%100)")</f>
        <v/>
      </c>
      <c r="F871" s="168">
        <f>((VERI_TABANI!$D$29*B871/VERI_TABANI!$B$29)/VERI_TABANI!$B$3)*VERI_TABANI!$B$5 + ((VERI_TABANI!$D$29*C871/VERI_TABANI!$B$29)/VERI_TABANI!$B$4)*VERI_TABANI!$B$6 + IF(ISNUMBER(SEARCH("Var", D871)), (VERI_TABANI!$F$29/VERI_TABANI!$B$29)*(VERI_TABANI!$B$10+VERI_TABANI!$B$12), 0)</f>
        <v/>
      </c>
      <c r="G871" s="168">
        <f>(((MIN(VERI_TABANI!D23, VERI_TABANI!D23*B871)*VERI_TABANI!$B$7 + MAX(0, VERI_TABANI!D23*B871-VERI_TABANI!D23)*VERI_TABANI!$B$8) + (MIN(MAX(0, VERI_TABANI!D23-VERI_TABANI!D23*B871), VERI_TABANI!D23*C871)*VERI_TABANI!$B$7 + MAX(0, VERI_TABANI!D23*C871-MAX(0, VERI_TABANI!D23-VERI_TABANI!D23*B871))*VERI_TABANI!$B$8) + IF(ABS(IF(ISNUMBER(SEARCH("Var", D871)), 1, IF(ISNUMBER(SEARCH("Gri", D871)), -1, 0)))=1, VERI_TABANI!E23*(1-0.928)*VERI_TABANI!$B$9, 0) + (VERI_TABANI!D23*B871*(VERI_TABANI!$B$13-VERI_TABANI!$B$14)*VERI_TABANI!G23) + (VERI_TABANI!D23*C871*(VERI_TABANI!$B$13-VERI_TABANI!$B$15)*VERI_TABANI!G23) + IF(ABS(IF(ISNUMBER(SEARCH("Var", D871)), 1, IF(ISNUMBER(SEARCH("Gri", D871)), -1, 0)))=1, VERI_TABANI!E23*(1-0.928)*0.00206091519919798*VERI_TABANI!G23, 0)) + ((MIN(VERI_TABANI!D24, VERI_TABANI!D24*B871)*VERI_TABANI!$B$7 + MAX(0, VERI_TABANI!D24*B871-VERI_TABANI!D24)*VERI_TABANI!$B$8) + (MIN(MAX(0, VERI_TABANI!D24-VERI_TABANI!D24*B871), VERI_TABANI!D24*C871)*VERI_TABANI!$B$7 + MAX(0, VERI_TABANI!D24*C871-MAX(0, VERI_TABANI!D24-VERI_TABANI!D24*B871))*VERI_TABANI!$B$8) + IF(ABS(IF(ISNUMBER(SEARCH("Var", D871)), 1, IF(ISNUMBER(SEARCH("Gri", D871)), -1, 0)))=1, VERI_TABANI!E24*(1-0.928)*VERI_TABANI!$B$9, 0) + (VERI_TABANI!D24*B871*(VERI_TABANI!$B$13-VERI_TABANI!$B$14)*VERI_TABANI!G24) + (VERI_TABANI!D24*C871*(VERI_TABANI!$B$13-VERI_TABANI!$B$15)*VERI_TABANI!G24) + IF(ABS(IF(ISNUMBER(SEARCH("Var", D871)), 1, IF(ISNUMBER(SEARCH("Gri", D871)), -1, 0)))=1, VERI_TABANI!E24*(1-0.928)*0.00206091519919798*VERI_TABANI!G24, 0)) + ((MIN(VERI_TABANI!D25, VERI_TABANI!D25*B871)*VERI_TABANI!$B$7 + MAX(0, VERI_TABANI!D25*B871-VERI_TABANI!D25)*VERI_TABANI!$B$8) + (MIN(MAX(0, VERI_TABANI!D25-VERI_TABANI!D25*B871), VERI_TABANI!D25*C871)*VERI_TABANI!$B$7 + MAX(0, VERI_TABANI!D25*C871-MAX(0, VERI_TABANI!D25-VERI_TABANI!D25*B871))*VERI_TABANI!$B$8) + IF(ABS(IF(ISNUMBER(SEARCH("Var", D871)), 1, IF(ISNUMBER(SEARCH("Gri", D871)), -1, 0)))=1, VERI_TABANI!E25*(1-0.928)*VERI_TABANI!$B$9, 0) + (VERI_TABANI!D25*B871*(VERI_TABANI!$B$13-VERI_TABANI!$B$14)*VERI_TABANI!G25) + (VERI_TABANI!D25*C871*(VERI_TABANI!$B$13-VERI_TABANI!$B$15)*VERI_TABANI!G25) + IF(ABS(IF(ISNUMBER(SEARCH("Var", D871)), 1, IF(ISNUMBER(SEARCH("Gri", D871)), -1, 0)))=1, VERI_TABANI!E25*(1-0.928)*0.00206091519919798*VERI_TABANI!G25, 0)) + ((MIN(VERI_TABANI!D26, VERI_TABANI!D26*B871)*VERI_TABANI!$B$7 + MAX(0, VERI_TABANI!D26*B871-VERI_TABANI!D26)*VERI_TABANI!$B$8) + (MIN(MAX(0, VERI_TABANI!D26-VERI_TABANI!D26*B871), VERI_TABANI!D26*C871)*VERI_TABANI!$B$7 + MAX(0, VERI_TABANI!D26*C871-MAX(0, VERI_TABANI!D26-VERI_TABANI!D26*B871))*VERI_TABANI!$B$8) + IF(ABS(IF(ISNUMBER(SEARCH("Var", D871)), 1, IF(ISNUMBER(SEARCH("Gri", D871)), -1, 0)))=1, VERI_TABANI!E26*(1-0.928)*VERI_TABANI!$B$9, 0) + (VERI_TABANI!D26*B871*(VERI_TABANI!$B$13-VERI_TABANI!$B$14)*VERI_TABANI!G26) + (VERI_TABANI!D26*C871*(VERI_TABANI!$B$13-VERI_TABANI!$B$15)*VERI_TABANI!G26) + IF(ABS(IF(ISNUMBER(SEARCH("Var", D871)), 1, IF(ISNUMBER(SEARCH("Gri", D871)), -1, 0)))=1, VERI_TABANI!E26*(1-0.928)*0.00206091519919798*VERI_TABANI!G26, 0)) + ((MIN(VERI_TABANI!D27, VERI_TABANI!D27*B871)*VERI_TABANI!$B$7 + MAX(0, VERI_TABANI!D27*B871-VERI_TABANI!D27)*VERI_TABANI!$B$8) + (MIN(MAX(0, VERI_TABANI!D27-VERI_TABANI!D27*B871), VERI_TABANI!D27*C871)*VERI_TABANI!$B$7 + MAX(0, VERI_TABANI!D27*C871-MAX(0, VERI_TABANI!D27-VERI_TABANI!D27*B871))*VERI_TABANI!$B$8) + IF(ABS(IF(ISNUMBER(SEARCH("Var", D871)), 1, IF(ISNUMBER(SEARCH("Gri", D871)), -1, 0)))=1, VERI_TABANI!E27*(1-0.928)*VERI_TABANI!$B$9, 0) + (VERI_TABANI!D27*B871*(VERI_TABANI!$B$13-VERI_TABANI!$B$14)*VERI_TABANI!G27) + (VERI_TABANI!D27*C871*(VERI_TABANI!$B$13-VERI_TABANI!$B$15)*VERI_TABANI!G27) + IF(ABS(IF(ISNUMBER(SEARCH("Var", D871)), 1, IF(ISNUMBER(SEARCH("Gri", D871)), -1, 0)))=1, VERI_TABANI!E27*(1-0.928)*0.00206091519919798*VERI_TABANI!G27, 0)) + ((MIN(VERI_TABANI!D28, VERI_TABANI!D28*B871)*VERI_TABANI!$B$7 + MAX(0, VERI_TABANI!D28*B871-VERI_TABANI!D28)*VERI_TABANI!$B$8) + (MIN(MAX(0, VERI_TABANI!D28-VERI_TABANI!D28*B871), VERI_TABANI!D28*C871)*VERI_TABANI!$B$7 + MAX(0, VERI_TABANI!D28*C871-MAX(0, VERI_TABANI!D28-VERI_TABANI!D28*B871))*VERI_TABANI!$B$8) + IF(ABS(IF(ISNUMBER(SEARCH("Var", D871)), 1, IF(ISNUMBER(SEARCH("Gri", D871)), -1, 0)))=1, VERI_TABANI!E28*(1-0.928)*VERI_TABANI!$B$9, 0) + (VERI_TABANI!D28*B871*(VERI_TABANI!$B$13-VERI_TABANI!$B$14)*VERI_TABANI!G28) + (VERI_TABANI!D28*C871*(VERI_TABANI!$B$13-VERI_TABANI!$B$15)*VERI_TABANI!G28) + IF(ABS(IF(ISNUMBER(SEARCH("Var", D871)), 1, IF(ISNUMBER(SEARCH("Gri", D871)), -1, 0)))=1, VERI_TABANI!E28*(1-0.928)*0.00206091519919798*VERI_TABANI!G28, 0)))</f>
        <v/>
      </c>
      <c r="H871" s="169">
        <f>(((VERI_TABANI!D23*B871*(VERI_TABANI!$B$13-VERI_TABANI!$B$14)) + (VERI_TABANI!D23*C871*(VERI_TABANI!$B$13-VERI_TABANI!$B$15)) + IF(ISNUMBER(SEARCH("Var", D871)), VERI_TABANI!F23*(0.00202-VERI_TABANI!$B$16), IF(ISNUMBER(SEARCH("Gri", D871)), VERI_TABANI!F23*(0.00202-VERI_TABANI!$B$17), 0))) + ((VERI_TABANI!D24*B871*(VERI_TABANI!$B$13-VERI_TABANI!$B$14)) + (VERI_TABANI!D24*C871*(VERI_TABANI!$B$13-VERI_TABANI!$B$15)) + IF(ISNUMBER(SEARCH("Var", D871)), VERI_TABANI!F24*(0.00202-VERI_TABANI!$B$16), IF(ISNUMBER(SEARCH("Gri", D871)), VERI_TABANI!F24*(0.00202-VERI_TABANI!$B$17), 0))) + ((VERI_TABANI!D25*B871*(VERI_TABANI!$B$13-VERI_TABANI!$B$14)) + (VERI_TABANI!D25*C871*(VERI_TABANI!$B$13-VERI_TABANI!$B$15)) + IF(ISNUMBER(SEARCH("Var", D871)), VERI_TABANI!F25*(0.00202-VERI_TABANI!$B$16), IF(ISNUMBER(SEARCH("Gri", D871)), VERI_TABANI!F25*(0.00202-VERI_TABANI!$B$17), 0))) + ((VERI_TABANI!D26*B871*(VERI_TABANI!$B$13-VERI_TABANI!$B$14)) + (VERI_TABANI!D26*C871*(VERI_TABANI!$B$13-VERI_TABANI!$B$15)) + IF(ISNUMBER(SEARCH("Var", D871)), VERI_TABANI!F26*(0.00202-VERI_TABANI!$B$16), IF(ISNUMBER(SEARCH("Gri", D871)), VERI_TABANI!F26*(0.00202-VERI_TABANI!$B$17), 0))) + ((VERI_TABANI!D27*B871*(VERI_TABANI!$B$13-VERI_TABANI!$B$14)) + (VERI_TABANI!D27*C871*(VERI_TABANI!$B$13-VERI_TABANI!$B$15)) + IF(ISNUMBER(SEARCH("Var", D871)), VERI_TABANI!F27*(0.00202-VERI_TABANI!$B$16), IF(ISNUMBER(SEARCH("Gri", D871)), VERI_TABANI!F27*(0.00202-VERI_TABANI!$B$17), 0))) + ((VERI_TABANI!D28*B871*(VERI_TABANI!$B$13-VERI_TABANI!$B$14)) + (VERI_TABANI!D28*C871*(VERI_TABANI!$B$13-VERI_TABANI!$B$15)) + IF(ISNUMBER(SEARCH("Var", D871)), VERI_TABANI!F28*(0.00202-VERI_TABANI!$B$16), IF(ISNUMBER(SEARCH("Gri", D871)), VERI_TABANI!F28*(0.00202-VERI_TABANI!$B$17), 0))))</f>
        <v/>
      </c>
      <c r="I871" s="170">
        <f>IFERROR(((VERI_TABANI!$D$29*B871*VERI_TABANI!$B$14 + VERI_TABANI!$D$29*C871*VERI_TABANI!$B$15 + IF(ISNUMBER(SEARCH("Var", D871)), VERI_TABANI!$F$29*VERI_TABANI!$B$16, 0))) / (((VERI_TABANI!$D$29*B871 + VERI_TABANI!$D$29*C871)*VERI_TABANI!$B$13 + IF(ISNUMBER(SEARCH("Var", D871)), VERI_TABANI!$E$29*(1-0.928)*VERI_TABANI!$B$18, 0))), 0)</f>
        <v/>
      </c>
      <c r="J871" s="171">
        <f>IFERROR(F871/(G871/29), 0)</f>
        <v/>
      </c>
      <c r="K871" s="172">
        <f>IF(F871&gt;0, H871/F871, 0)</f>
        <v/>
      </c>
      <c r="L871" s="170">
        <f>IF(F871&gt;0, I871, 1000000000)</f>
        <v/>
      </c>
      <c r="M871" s="171">
        <f>ABS((B871+C871)-1)</f>
        <v/>
      </c>
      <c r="N871" s="170">
        <f>IF(F871&gt;0, (G871/29)/F871, 0)</f>
        <v/>
      </c>
      <c r="O871" s="168">
        <f>IF(AND((B871+C871)&gt;=1, ISNUMBER(SEARCH("Var", D871))), F871, 1000000000)</f>
        <v/>
      </c>
      <c r="P871" s="172">
        <f>IF(F871&gt;0, SQRT((F871/MAX(F$5:F$886))^2 + (1 - H871/MAX(H$5:H$886))^2 + (J871/MAX(J$5:J$886))^2), 1000000000)</f>
        <v/>
      </c>
      <c r="Q871" s="166">
        <f>IF(AND(ABS(B871-0.5)&lt;0.01, ABS(C871-0.5)&lt;0.01, ISNUMBER(SEARCH("Var", D871))), 1, 0)</f>
        <v/>
      </c>
      <c r="R871" s="171">
        <f>IF(F871&gt;0, J871, 1000000000)</f>
        <v/>
      </c>
      <c r="S871" s="101">
        <f>IF(AND(F871&lt;=DASHBOARD!$B$11, H871&gt;=DASHBOARD!$B$13), G871, -1000000000000)</f>
        <v/>
      </c>
      <c r="T871" s="101">
        <f>IF(AND(F871&lt;=DASHBOARD!$B$11, H871&gt;=DASHBOARD!$B$13), R871, 1000000000000)</f>
        <v/>
      </c>
      <c r="U871" s="101">
        <f>IF(AND(F871&lt;=DASHBOARD!$B$11, H871&gt;=DASHBOARD!$B$13), N871, -1000000000000)</f>
        <v/>
      </c>
      <c r="V871" s="101">
        <f>IF(AND(F871&lt;=DASHBOARD!$B$11, H871&gt;=DASHBOARD!$B$13), H871, -1000000000000)</f>
        <v/>
      </c>
      <c r="W871" s="101">
        <f>IF(AND(F871&lt;=DASHBOARD!$B$11, H871&gt;=DASHBOARD!$B$13), K871, -1000000000000)</f>
        <v/>
      </c>
      <c r="X871" s="101">
        <f>IF(AND(F871&lt;=DASHBOARD!$B$11, H871&gt;=DASHBOARD!$B$13), M871, 1000000000000)</f>
        <v/>
      </c>
      <c r="Y871" s="101">
        <f>IF(AND(F871&lt;=DASHBOARD!$B$10, H871&gt;=DASHBOARD!$B$11), L871, 1000000000000)</f>
        <v/>
      </c>
      <c r="Z871" s="101">
        <f>IF(AND(F871&lt;=DASHBOARD!$B$10, H871&gt;=DASHBOARD!$B$11), O871, 1000000000000)</f>
        <v/>
      </c>
      <c r="AA871" s="101">
        <f>IF(AND(F871&lt;=DASHBOARD!$B$10, H871&gt;=DASHBOARD!$B$11), P871, 1000000000000)</f>
        <v/>
      </c>
      <c r="AB871" s="101">
        <f>IF(AND(F871&lt;=DASHBOARD!$B$10, H871&gt;=DASHBOARD!$B$11), Q871, -1000000000000)</f>
        <v/>
      </c>
    </row>
    <row r="872" ht="15" customHeight="1" s="102">
      <c r="A872" s="166" t="n">
        <v>868</v>
      </c>
      <c r="B872" s="167" t="n">
        <v>2</v>
      </c>
      <c r="C872" s="167" t="n">
        <v>1.3</v>
      </c>
      <c r="D872" s="110" t="inlineStr">
        <is>
          <t>Var (%20)</t>
        </is>
      </c>
      <c r="E872" s="110">
        <f>IF((B872+C872)&lt;=1, "Tam Mahsuplaşma (≤%100)", "Kısmi Satış (&gt;%100)")</f>
        <v/>
      </c>
      <c r="F872" s="168">
        <f>((VERI_TABANI!$D$29*B872/VERI_TABANI!$B$29)/VERI_TABANI!$B$3)*VERI_TABANI!$B$5 + ((VERI_TABANI!$D$29*C872/VERI_TABANI!$B$29)/VERI_TABANI!$B$4)*VERI_TABANI!$B$6 + IF(ISNUMBER(SEARCH("Var", D872)), (VERI_TABANI!$F$29/VERI_TABANI!$B$29)*(VERI_TABANI!$B$10+VERI_TABANI!$B$12), 0)</f>
        <v/>
      </c>
      <c r="G872" s="168">
        <f>(((MIN(VERI_TABANI!D23, VERI_TABANI!D23*B872)*VERI_TABANI!$B$7 + MAX(0, VERI_TABANI!D23*B872-VERI_TABANI!D23)*VERI_TABANI!$B$8) + (MIN(MAX(0, VERI_TABANI!D23-VERI_TABANI!D23*B872), VERI_TABANI!D23*C872)*VERI_TABANI!$B$7 + MAX(0, VERI_TABANI!D23*C872-MAX(0, VERI_TABANI!D23-VERI_TABANI!D23*B872))*VERI_TABANI!$B$8) + IF(ABS(IF(ISNUMBER(SEARCH("Var", D872)), 1, IF(ISNUMBER(SEARCH("Gri", D872)), -1, 0)))=1, VERI_TABANI!E23*(1-0.928)*VERI_TABANI!$B$9, 0) + (VERI_TABANI!D23*B872*(VERI_TABANI!$B$13-VERI_TABANI!$B$14)*VERI_TABANI!G23) + (VERI_TABANI!D23*C872*(VERI_TABANI!$B$13-VERI_TABANI!$B$15)*VERI_TABANI!G23) + IF(ABS(IF(ISNUMBER(SEARCH("Var", D872)), 1, IF(ISNUMBER(SEARCH("Gri", D872)), -1, 0)))=1, VERI_TABANI!E23*(1-0.928)*0.00206091519919798*VERI_TABANI!G23, 0)) + ((MIN(VERI_TABANI!D24, VERI_TABANI!D24*B872)*VERI_TABANI!$B$7 + MAX(0, VERI_TABANI!D24*B872-VERI_TABANI!D24)*VERI_TABANI!$B$8) + (MIN(MAX(0, VERI_TABANI!D24-VERI_TABANI!D24*B872), VERI_TABANI!D24*C872)*VERI_TABANI!$B$7 + MAX(0, VERI_TABANI!D24*C872-MAX(0, VERI_TABANI!D24-VERI_TABANI!D24*B872))*VERI_TABANI!$B$8) + IF(ABS(IF(ISNUMBER(SEARCH("Var", D872)), 1, IF(ISNUMBER(SEARCH("Gri", D872)), -1, 0)))=1, VERI_TABANI!E24*(1-0.928)*VERI_TABANI!$B$9, 0) + (VERI_TABANI!D24*B872*(VERI_TABANI!$B$13-VERI_TABANI!$B$14)*VERI_TABANI!G24) + (VERI_TABANI!D24*C872*(VERI_TABANI!$B$13-VERI_TABANI!$B$15)*VERI_TABANI!G24) + IF(ABS(IF(ISNUMBER(SEARCH("Var", D872)), 1, IF(ISNUMBER(SEARCH("Gri", D872)), -1, 0)))=1, VERI_TABANI!E24*(1-0.928)*0.00206091519919798*VERI_TABANI!G24, 0)) + ((MIN(VERI_TABANI!D25, VERI_TABANI!D25*B872)*VERI_TABANI!$B$7 + MAX(0, VERI_TABANI!D25*B872-VERI_TABANI!D25)*VERI_TABANI!$B$8) + (MIN(MAX(0, VERI_TABANI!D25-VERI_TABANI!D25*B872), VERI_TABANI!D25*C872)*VERI_TABANI!$B$7 + MAX(0, VERI_TABANI!D25*C872-MAX(0, VERI_TABANI!D25-VERI_TABANI!D25*B872))*VERI_TABANI!$B$8) + IF(ABS(IF(ISNUMBER(SEARCH("Var", D872)), 1, IF(ISNUMBER(SEARCH("Gri", D872)), -1, 0)))=1, VERI_TABANI!E25*(1-0.928)*VERI_TABANI!$B$9, 0) + (VERI_TABANI!D25*B872*(VERI_TABANI!$B$13-VERI_TABANI!$B$14)*VERI_TABANI!G25) + (VERI_TABANI!D25*C872*(VERI_TABANI!$B$13-VERI_TABANI!$B$15)*VERI_TABANI!G25) + IF(ABS(IF(ISNUMBER(SEARCH("Var", D872)), 1, IF(ISNUMBER(SEARCH("Gri", D872)), -1, 0)))=1, VERI_TABANI!E25*(1-0.928)*0.00206091519919798*VERI_TABANI!G25, 0)) + ((MIN(VERI_TABANI!D26, VERI_TABANI!D26*B872)*VERI_TABANI!$B$7 + MAX(0, VERI_TABANI!D26*B872-VERI_TABANI!D26)*VERI_TABANI!$B$8) + (MIN(MAX(0, VERI_TABANI!D26-VERI_TABANI!D26*B872), VERI_TABANI!D26*C872)*VERI_TABANI!$B$7 + MAX(0, VERI_TABANI!D26*C872-MAX(0, VERI_TABANI!D26-VERI_TABANI!D26*B872))*VERI_TABANI!$B$8) + IF(ABS(IF(ISNUMBER(SEARCH("Var", D872)), 1, IF(ISNUMBER(SEARCH("Gri", D872)), -1, 0)))=1, VERI_TABANI!E26*(1-0.928)*VERI_TABANI!$B$9, 0) + (VERI_TABANI!D26*B872*(VERI_TABANI!$B$13-VERI_TABANI!$B$14)*VERI_TABANI!G26) + (VERI_TABANI!D26*C872*(VERI_TABANI!$B$13-VERI_TABANI!$B$15)*VERI_TABANI!G26) + IF(ABS(IF(ISNUMBER(SEARCH("Var", D872)), 1, IF(ISNUMBER(SEARCH("Gri", D872)), -1, 0)))=1, VERI_TABANI!E26*(1-0.928)*0.00206091519919798*VERI_TABANI!G26, 0)) + ((MIN(VERI_TABANI!D27, VERI_TABANI!D27*B872)*VERI_TABANI!$B$7 + MAX(0, VERI_TABANI!D27*B872-VERI_TABANI!D27)*VERI_TABANI!$B$8) + (MIN(MAX(0, VERI_TABANI!D27-VERI_TABANI!D27*B872), VERI_TABANI!D27*C872)*VERI_TABANI!$B$7 + MAX(0, VERI_TABANI!D27*C872-MAX(0, VERI_TABANI!D27-VERI_TABANI!D27*B872))*VERI_TABANI!$B$8) + IF(ABS(IF(ISNUMBER(SEARCH("Var", D872)), 1, IF(ISNUMBER(SEARCH("Gri", D872)), -1, 0)))=1, VERI_TABANI!E27*(1-0.928)*VERI_TABANI!$B$9, 0) + (VERI_TABANI!D27*B872*(VERI_TABANI!$B$13-VERI_TABANI!$B$14)*VERI_TABANI!G27) + (VERI_TABANI!D27*C872*(VERI_TABANI!$B$13-VERI_TABANI!$B$15)*VERI_TABANI!G27) + IF(ABS(IF(ISNUMBER(SEARCH("Var", D872)), 1, IF(ISNUMBER(SEARCH("Gri", D872)), -1, 0)))=1, VERI_TABANI!E27*(1-0.928)*0.00206091519919798*VERI_TABANI!G27, 0)) + ((MIN(VERI_TABANI!D28, VERI_TABANI!D28*B872)*VERI_TABANI!$B$7 + MAX(0, VERI_TABANI!D28*B872-VERI_TABANI!D28)*VERI_TABANI!$B$8) + (MIN(MAX(0, VERI_TABANI!D28-VERI_TABANI!D28*B872), VERI_TABANI!D28*C872)*VERI_TABANI!$B$7 + MAX(0, VERI_TABANI!D28*C872-MAX(0, VERI_TABANI!D28-VERI_TABANI!D28*B872))*VERI_TABANI!$B$8) + IF(ABS(IF(ISNUMBER(SEARCH("Var", D872)), 1, IF(ISNUMBER(SEARCH("Gri", D872)), -1, 0)))=1, VERI_TABANI!E28*(1-0.928)*VERI_TABANI!$B$9, 0) + (VERI_TABANI!D28*B872*(VERI_TABANI!$B$13-VERI_TABANI!$B$14)*VERI_TABANI!G28) + (VERI_TABANI!D28*C872*(VERI_TABANI!$B$13-VERI_TABANI!$B$15)*VERI_TABANI!G28) + IF(ABS(IF(ISNUMBER(SEARCH("Var", D872)), 1, IF(ISNUMBER(SEARCH("Gri", D872)), -1, 0)))=1, VERI_TABANI!E28*(1-0.928)*0.00206091519919798*VERI_TABANI!G28, 0)))</f>
        <v/>
      </c>
      <c r="H872" s="169">
        <f>(((VERI_TABANI!D23*B872*(VERI_TABANI!$B$13-VERI_TABANI!$B$14)) + (VERI_TABANI!D23*C872*(VERI_TABANI!$B$13-VERI_TABANI!$B$15)) + IF(ISNUMBER(SEARCH("Var", D872)), VERI_TABANI!F23*(0.00202-VERI_TABANI!$B$16), IF(ISNUMBER(SEARCH("Gri", D872)), VERI_TABANI!F23*(0.00202-VERI_TABANI!$B$17), 0))) + ((VERI_TABANI!D24*B872*(VERI_TABANI!$B$13-VERI_TABANI!$B$14)) + (VERI_TABANI!D24*C872*(VERI_TABANI!$B$13-VERI_TABANI!$B$15)) + IF(ISNUMBER(SEARCH("Var", D872)), VERI_TABANI!F24*(0.00202-VERI_TABANI!$B$16), IF(ISNUMBER(SEARCH("Gri", D872)), VERI_TABANI!F24*(0.00202-VERI_TABANI!$B$17), 0))) + ((VERI_TABANI!D25*B872*(VERI_TABANI!$B$13-VERI_TABANI!$B$14)) + (VERI_TABANI!D25*C872*(VERI_TABANI!$B$13-VERI_TABANI!$B$15)) + IF(ISNUMBER(SEARCH("Var", D872)), VERI_TABANI!F25*(0.00202-VERI_TABANI!$B$16), IF(ISNUMBER(SEARCH("Gri", D872)), VERI_TABANI!F25*(0.00202-VERI_TABANI!$B$17), 0))) + ((VERI_TABANI!D26*B872*(VERI_TABANI!$B$13-VERI_TABANI!$B$14)) + (VERI_TABANI!D26*C872*(VERI_TABANI!$B$13-VERI_TABANI!$B$15)) + IF(ISNUMBER(SEARCH("Var", D872)), VERI_TABANI!F26*(0.00202-VERI_TABANI!$B$16), IF(ISNUMBER(SEARCH("Gri", D872)), VERI_TABANI!F26*(0.00202-VERI_TABANI!$B$17), 0))) + ((VERI_TABANI!D27*B872*(VERI_TABANI!$B$13-VERI_TABANI!$B$14)) + (VERI_TABANI!D27*C872*(VERI_TABANI!$B$13-VERI_TABANI!$B$15)) + IF(ISNUMBER(SEARCH("Var", D872)), VERI_TABANI!F27*(0.00202-VERI_TABANI!$B$16), IF(ISNUMBER(SEARCH("Gri", D872)), VERI_TABANI!F27*(0.00202-VERI_TABANI!$B$17), 0))) + ((VERI_TABANI!D28*B872*(VERI_TABANI!$B$13-VERI_TABANI!$B$14)) + (VERI_TABANI!D28*C872*(VERI_TABANI!$B$13-VERI_TABANI!$B$15)) + IF(ISNUMBER(SEARCH("Var", D872)), VERI_TABANI!F28*(0.00202-VERI_TABANI!$B$16), IF(ISNUMBER(SEARCH("Gri", D872)), VERI_TABANI!F28*(0.00202-VERI_TABANI!$B$17), 0))))</f>
        <v/>
      </c>
      <c r="I872" s="170">
        <f>IFERROR(((VERI_TABANI!$D$29*B872*VERI_TABANI!$B$14 + VERI_TABANI!$D$29*C872*VERI_TABANI!$B$15 + IF(ISNUMBER(SEARCH("Var", D872)), VERI_TABANI!$F$29*VERI_TABANI!$B$16, 0))) / (((VERI_TABANI!$D$29*B872 + VERI_TABANI!$D$29*C872)*VERI_TABANI!$B$13 + IF(ISNUMBER(SEARCH("Var", D872)), VERI_TABANI!$E$29*(1-0.928)*VERI_TABANI!$B$18, 0))), 0)</f>
        <v/>
      </c>
      <c r="J872" s="171">
        <f>IFERROR(F872/(G872/29), 0)</f>
        <v/>
      </c>
      <c r="K872" s="172">
        <f>IF(F872&gt;0, H872/F872, 0)</f>
        <v/>
      </c>
      <c r="L872" s="170">
        <f>IF(F872&gt;0, I872, 1000000000)</f>
        <v/>
      </c>
      <c r="M872" s="171">
        <f>ABS((B872+C872)-1)</f>
        <v/>
      </c>
      <c r="N872" s="170">
        <f>IF(F872&gt;0, (G872/29)/F872, 0)</f>
        <v/>
      </c>
      <c r="O872" s="168">
        <f>IF(AND((B872+C872)&gt;=1, ISNUMBER(SEARCH("Var", D872))), F872, 1000000000)</f>
        <v/>
      </c>
      <c r="P872" s="172">
        <f>IF(F872&gt;0, SQRT((F872/MAX(F$5:F$886))^2 + (1 - H872/MAX(H$5:H$886))^2 + (J872/MAX(J$5:J$886))^2), 1000000000)</f>
        <v/>
      </c>
      <c r="Q872" s="166">
        <f>IF(AND(ABS(B872-0.5)&lt;0.01, ABS(C872-0.5)&lt;0.01, ISNUMBER(SEARCH("Var", D872))), 1, 0)</f>
        <v/>
      </c>
      <c r="R872" s="171">
        <f>IF(F872&gt;0, J872, 1000000000)</f>
        <v/>
      </c>
      <c r="S872" s="101">
        <f>IF(AND(F872&lt;=DASHBOARD!$B$11, H872&gt;=DASHBOARD!$B$13), G872, -1000000000000)</f>
        <v/>
      </c>
      <c r="T872" s="101">
        <f>IF(AND(F872&lt;=DASHBOARD!$B$11, H872&gt;=DASHBOARD!$B$13), R872, 1000000000000)</f>
        <v/>
      </c>
      <c r="U872" s="101">
        <f>IF(AND(F872&lt;=DASHBOARD!$B$11, H872&gt;=DASHBOARD!$B$13), N872, -1000000000000)</f>
        <v/>
      </c>
      <c r="V872" s="101">
        <f>IF(AND(F872&lt;=DASHBOARD!$B$11, H872&gt;=DASHBOARD!$B$13), H872, -1000000000000)</f>
        <v/>
      </c>
      <c r="W872" s="101">
        <f>IF(AND(F872&lt;=DASHBOARD!$B$11, H872&gt;=DASHBOARD!$B$13), K872, -1000000000000)</f>
        <v/>
      </c>
      <c r="X872" s="101">
        <f>IF(AND(F872&lt;=DASHBOARD!$B$11, H872&gt;=DASHBOARD!$B$13), M872, 1000000000000)</f>
        <v/>
      </c>
      <c r="Y872" s="101">
        <f>IF(AND(F872&lt;=DASHBOARD!$B$10, H872&gt;=DASHBOARD!$B$11), L872, 1000000000000)</f>
        <v/>
      </c>
      <c r="Z872" s="101">
        <f>IF(AND(F872&lt;=DASHBOARD!$B$10, H872&gt;=DASHBOARD!$B$11), O872, 1000000000000)</f>
        <v/>
      </c>
      <c r="AA872" s="101">
        <f>IF(AND(F872&lt;=DASHBOARD!$B$10, H872&gt;=DASHBOARD!$B$11), P872, 1000000000000)</f>
        <v/>
      </c>
      <c r="AB872" s="101">
        <f>IF(AND(F872&lt;=DASHBOARD!$B$10, H872&gt;=DASHBOARD!$B$11), Q872, -1000000000000)</f>
        <v/>
      </c>
    </row>
    <row r="873" ht="15" customHeight="1" s="102">
      <c r="A873" s="166" t="n">
        <v>869</v>
      </c>
      <c r="B873" s="167" t="n">
        <v>2</v>
      </c>
      <c r="C873" s="167" t="n">
        <v>1.4</v>
      </c>
      <c r="D873" s="110" t="inlineStr">
        <is>
          <t>Yok (%0)</t>
        </is>
      </c>
      <c r="E873" s="110">
        <f>IF((B873+C873)&lt;=1, "Tam Mahsuplaşma (≤%100)", "Kısmi Satış (&gt;%100)")</f>
        <v/>
      </c>
      <c r="F873" s="168">
        <f>((VERI_TABANI!$D$29*B873/VERI_TABANI!$B$29)/VERI_TABANI!$B$3)*VERI_TABANI!$B$5 + ((VERI_TABANI!$D$29*C873/VERI_TABANI!$B$29)/VERI_TABANI!$B$4)*VERI_TABANI!$B$6 + IF(ISNUMBER(SEARCH("Var", D873)), (VERI_TABANI!$F$29/VERI_TABANI!$B$29)*(VERI_TABANI!$B$10+VERI_TABANI!$B$12), 0)</f>
        <v/>
      </c>
      <c r="G873" s="168">
        <f>(((MIN(VERI_TABANI!D23, VERI_TABANI!D23*B873)*VERI_TABANI!$B$7 + MAX(0, VERI_TABANI!D23*B873-VERI_TABANI!D23)*VERI_TABANI!$B$8) + (MIN(MAX(0, VERI_TABANI!D23-VERI_TABANI!D23*B873), VERI_TABANI!D23*C873)*VERI_TABANI!$B$7 + MAX(0, VERI_TABANI!D23*C873-MAX(0, VERI_TABANI!D23-VERI_TABANI!D23*B873))*VERI_TABANI!$B$8) + IF(ABS(IF(ISNUMBER(SEARCH("Var", D873)), 1, IF(ISNUMBER(SEARCH("Gri", D873)), -1, 0)))=1, VERI_TABANI!E23*(1-0.928)*VERI_TABANI!$B$9, 0) + (VERI_TABANI!D23*B873*(VERI_TABANI!$B$13-VERI_TABANI!$B$14)*VERI_TABANI!G23) + (VERI_TABANI!D23*C873*(VERI_TABANI!$B$13-VERI_TABANI!$B$15)*VERI_TABANI!G23) + IF(ABS(IF(ISNUMBER(SEARCH("Var", D873)), 1, IF(ISNUMBER(SEARCH("Gri", D873)), -1, 0)))=1, VERI_TABANI!E23*(1-0.928)*0.00206091519919798*VERI_TABANI!G23, 0)) + ((MIN(VERI_TABANI!D24, VERI_TABANI!D24*B873)*VERI_TABANI!$B$7 + MAX(0, VERI_TABANI!D24*B873-VERI_TABANI!D24)*VERI_TABANI!$B$8) + (MIN(MAX(0, VERI_TABANI!D24-VERI_TABANI!D24*B873), VERI_TABANI!D24*C873)*VERI_TABANI!$B$7 + MAX(0, VERI_TABANI!D24*C873-MAX(0, VERI_TABANI!D24-VERI_TABANI!D24*B873))*VERI_TABANI!$B$8) + IF(ABS(IF(ISNUMBER(SEARCH("Var", D873)), 1, IF(ISNUMBER(SEARCH("Gri", D873)), -1, 0)))=1, VERI_TABANI!E24*(1-0.928)*VERI_TABANI!$B$9, 0) + (VERI_TABANI!D24*B873*(VERI_TABANI!$B$13-VERI_TABANI!$B$14)*VERI_TABANI!G24) + (VERI_TABANI!D24*C873*(VERI_TABANI!$B$13-VERI_TABANI!$B$15)*VERI_TABANI!G24) + IF(ABS(IF(ISNUMBER(SEARCH("Var", D873)), 1, IF(ISNUMBER(SEARCH("Gri", D873)), -1, 0)))=1, VERI_TABANI!E24*(1-0.928)*0.00206091519919798*VERI_TABANI!G24, 0)) + ((MIN(VERI_TABANI!D25, VERI_TABANI!D25*B873)*VERI_TABANI!$B$7 + MAX(0, VERI_TABANI!D25*B873-VERI_TABANI!D25)*VERI_TABANI!$B$8) + (MIN(MAX(0, VERI_TABANI!D25-VERI_TABANI!D25*B873), VERI_TABANI!D25*C873)*VERI_TABANI!$B$7 + MAX(0, VERI_TABANI!D25*C873-MAX(0, VERI_TABANI!D25-VERI_TABANI!D25*B873))*VERI_TABANI!$B$8) + IF(ABS(IF(ISNUMBER(SEARCH("Var", D873)), 1, IF(ISNUMBER(SEARCH("Gri", D873)), -1, 0)))=1, VERI_TABANI!E25*(1-0.928)*VERI_TABANI!$B$9, 0) + (VERI_TABANI!D25*B873*(VERI_TABANI!$B$13-VERI_TABANI!$B$14)*VERI_TABANI!G25) + (VERI_TABANI!D25*C873*(VERI_TABANI!$B$13-VERI_TABANI!$B$15)*VERI_TABANI!G25) + IF(ABS(IF(ISNUMBER(SEARCH("Var", D873)), 1, IF(ISNUMBER(SEARCH("Gri", D873)), -1, 0)))=1, VERI_TABANI!E25*(1-0.928)*0.00206091519919798*VERI_TABANI!G25, 0)) + ((MIN(VERI_TABANI!D26, VERI_TABANI!D26*B873)*VERI_TABANI!$B$7 + MAX(0, VERI_TABANI!D26*B873-VERI_TABANI!D26)*VERI_TABANI!$B$8) + (MIN(MAX(0, VERI_TABANI!D26-VERI_TABANI!D26*B873), VERI_TABANI!D26*C873)*VERI_TABANI!$B$7 + MAX(0, VERI_TABANI!D26*C873-MAX(0, VERI_TABANI!D26-VERI_TABANI!D26*B873))*VERI_TABANI!$B$8) + IF(ABS(IF(ISNUMBER(SEARCH("Var", D873)), 1, IF(ISNUMBER(SEARCH("Gri", D873)), -1, 0)))=1, VERI_TABANI!E26*(1-0.928)*VERI_TABANI!$B$9, 0) + (VERI_TABANI!D26*B873*(VERI_TABANI!$B$13-VERI_TABANI!$B$14)*VERI_TABANI!G26) + (VERI_TABANI!D26*C873*(VERI_TABANI!$B$13-VERI_TABANI!$B$15)*VERI_TABANI!G26) + IF(ABS(IF(ISNUMBER(SEARCH("Var", D873)), 1, IF(ISNUMBER(SEARCH("Gri", D873)), -1, 0)))=1, VERI_TABANI!E26*(1-0.928)*0.00206091519919798*VERI_TABANI!G26, 0)) + ((MIN(VERI_TABANI!D27, VERI_TABANI!D27*B873)*VERI_TABANI!$B$7 + MAX(0, VERI_TABANI!D27*B873-VERI_TABANI!D27)*VERI_TABANI!$B$8) + (MIN(MAX(0, VERI_TABANI!D27-VERI_TABANI!D27*B873), VERI_TABANI!D27*C873)*VERI_TABANI!$B$7 + MAX(0, VERI_TABANI!D27*C873-MAX(0, VERI_TABANI!D27-VERI_TABANI!D27*B873))*VERI_TABANI!$B$8) + IF(ABS(IF(ISNUMBER(SEARCH("Var", D873)), 1, IF(ISNUMBER(SEARCH("Gri", D873)), -1, 0)))=1, VERI_TABANI!E27*(1-0.928)*VERI_TABANI!$B$9, 0) + (VERI_TABANI!D27*B873*(VERI_TABANI!$B$13-VERI_TABANI!$B$14)*VERI_TABANI!G27) + (VERI_TABANI!D27*C873*(VERI_TABANI!$B$13-VERI_TABANI!$B$15)*VERI_TABANI!G27) + IF(ABS(IF(ISNUMBER(SEARCH("Var", D873)), 1, IF(ISNUMBER(SEARCH("Gri", D873)), -1, 0)))=1, VERI_TABANI!E27*(1-0.928)*0.00206091519919798*VERI_TABANI!G27, 0)) + ((MIN(VERI_TABANI!D28, VERI_TABANI!D28*B873)*VERI_TABANI!$B$7 + MAX(0, VERI_TABANI!D28*B873-VERI_TABANI!D28)*VERI_TABANI!$B$8) + (MIN(MAX(0, VERI_TABANI!D28-VERI_TABANI!D28*B873), VERI_TABANI!D28*C873)*VERI_TABANI!$B$7 + MAX(0, VERI_TABANI!D28*C873-MAX(0, VERI_TABANI!D28-VERI_TABANI!D28*B873))*VERI_TABANI!$B$8) + IF(ABS(IF(ISNUMBER(SEARCH("Var", D873)), 1, IF(ISNUMBER(SEARCH("Gri", D873)), -1, 0)))=1, VERI_TABANI!E28*(1-0.928)*VERI_TABANI!$B$9, 0) + (VERI_TABANI!D28*B873*(VERI_TABANI!$B$13-VERI_TABANI!$B$14)*VERI_TABANI!G28) + (VERI_TABANI!D28*C873*(VERI_TABANI!$B$13-VERI_TABANI!$B$15)*VERI_TABANI!G28) + IF(ABS(IF(ISNUMBER(SEARCH("Var", D873)), 1, IF(ISNUMBER(SEARCH("Gri", D873)), -1, 0)))=1, VERI_TABANI!E28*(1-0.928)*0.00206091519919798*VERI_TABANI!G28, 0)))</f>
        <v/>
      </c>
      <c r="H873" s="169">
        <f>(((VERI_TABANI!D23*B873*(VERI_TABANI!$B$13-VERI_TABANI!$B$14)) + (VERI_TABANI!D23*C873*(VERI_TABANI!$B$13-VERI_TABANI!$B$15)) + IF(ISNUMBER(SEARCH("Var", D873)), VERI_TABANI!F23*(0.00202-VERI_TABANI!$B$16), IF(ISNUMBER(SEARCH("Gri", D873)), VERI_TABANI!F23*(0.00202-VERI_TABANI!$B$17), 0))) + ((VERI_TABANI!D24*B873*(VERI_TABANI!$B$13-VERI_TABANI!$B$14)) + (VERI_TABANI!D24*C873*(VERI_TABANI!$B$13-VERI_TABANI!$B$15)) + IF(ISNUMBER(SEARCH("Var", D873)), VERI_TABANI!F24*(0.00202-VERI_TABANI!$B$16), IF(ISNUMBER(SEARCH("Gri", D873)), VERI_TABANI!F24*(0.00202-VERI_TABANI!$B$17), 0))) + ((VERI_TABANI!D25*B873*(VERI_TABANI!$B$13-VERI_TABANI!$B$14)) + (VERI_TABANI!D25*C873*(VERI_TABANI!$B$13-VERI_TABANI!$B$15)) + IF(ISNUMBER(SEARCH("Var", D873)), VERI_TABANI!F25*(0.00202-VERI_TABANI!$B$16), IF(ISNUMBER(SEARCH("Gri", D873)), VERI_TABANI!F25*(0.00202-VERI_TABANI!$B$17), 0))) + ((VERI_TABANI!D26*B873*(VERI_TABANI!$B$13-VERI_TABANI!$B$14)) + (VERI_TABANI!D26*C873*(VERI_TABANI!$B$13-VERI_TABANI!$B$15)) + IF(ISNUMBER(SEARCH("Var", D873)), VERI_TABANI!F26*(0.00202-VERI_TABANI!$B$16), IF(ISNUMBER(SEARCH("Gri", D873)), VERI_TABANI!F26*(0.00202-VERI_TABANI!$B$17), 0))) + ((VERI_TABANI!D27*B873*(VERI_TABANI!$B$13-VERI_TABANI!$B$14)) + (VERI_TABANI!D27*C873*(VERI_TABANI!$B$13-VERI_TABANI!$B$15)) + IF(ISNUMBER(SEARCH("Var", D873)), VERI_TABANI!F27*(0.00202-VERI_TABANI!$B$16), IF(ISNUMBER(SEARCH("Gri", D873)), VERI_TABANI!F27*(0.00202-VERI_TABANI!$B$17), 0))) + ((VERI_TABANI!D28*B873*(VERI_TABANI!$B$13-VERI_TABANI!$B$14)) + (VERI_TABANI!D28*C873*(VERI_TABANI!$B$13-VERI_TABANI!$B$15)) + IF(ISNUMBER(SEARCH("Var", D873)), VERI_TABANI!F28*(0.00202-VERI_TABANI!$B$16), IF(ISNUMBER(SEARCH("Gri", D873)), VERI_TABANI!F28*(0.00202-VERI_TABANI!$B$17), 0))))</f>
        <v/>
      </c>
      <c r="I873" s="170">
        <f>IFERROR(((VERI_TABANI!$D$29*B873*VERI_TABANI!$B$14 + VERI_TABANI!$D$29*C873*VERI_TABANI!$B$15 + IF(ISNUMBER(SEARCH("Var", D873)), VERI_TABANI!$F$29*VERI_TABANI!$B$16, 0))) / (((VERI_TABANI!$D$29*B873 + VERI_TABANI!$D$29*C873)*VERI_TABANI!$B$13 + IF(ISNUMBER(SEARCH("Var", D873)), VERI_TABANI!$E$29*(1-0.928)*VERI_TABANI!$B$18, 0))), 0)</f>
        <v/>
      </c>
      <c r="J873" s="171">
        <f>IFERROR(F873/(G873/29), 0)</f>
        <v/>
      </c>
      <c r="K873" s="172">
        <f>IF(F873&gt;0, H873/F873, 0)</f>
        <v/>
      </c>
      <c r="L873" s="170">
        <f>IF(F873&gt;0, I873, 1000000000)</f>
        <v/>
      </c>
      <c r="M873" s="171">
        <f>ABS((B873+C873)-1)</f>
        <v/>
      </c>
      <c r="N873" s="170">
        <f>IF(F873&gt;0, (G873/29)/F873, 0)</f>
        <v/>
      </c>
      <c r="O873" s="168">
        <f>IF(AND((B873+C873)&gt;=1, ISNUMBER(SEARCH("Var", D873))), F873, 1000000000)</f>
        <v/>
      </c>
      <c r="P873" s="172">
        <f>IF(F873&gt;0, SQRT((F873/MAX(F$5:F$886))^2 + (1 - H873/MAX(H$5:H$886))^2 + (J873/MAX(J$5:J$886))^2), 1000000000)</f>
        <v/>
      </c>
      <c r="Q873" s="166">
        <f>IF(AND(ABS(B873-0.5)&lt;0.01, ABS(C873-0.5)&lt;0.01, ISNUMBER(SEARCH("Var", D873))), 1, 0)</f>
        <v/>
      </c>
      <c r="R873" s="171">
        <f>IF(F873&gt;0, J873, 1000000000)</f>
        <v/>
      </c>
      <c r="S873" s="101">
        <f>IF(AND(F873&lt;=DASHBOARD!$B$11, H873&gt;=DASHBOARD!$B$13), G873, -1000000000000)</f>
        <v/>
      </c>
      <c r="T873" s="101">
        <f>IF(AND(F873&lt;=DASHBOARD!$B$11, H873&gt;=DASHBOARD!$B$13), R873, 1000000000000)</f>
        <v/>
      </c>
      <c r="U873" s="101">
        <f>IF(AND(F873&lt;=DASHBOARD!$B$11, H873&gt;=DASHBOARD!$B$13), N873, -1000000000000)</f>
        <v/>
      </c>
      <c r="V873" s="101">
        <f>IF(AND(F873&lt;=DASHBOARD!$B$11, H873&gt;=DASHBOARD!$B$13), H873, -1000000000000)</f>
        <v/>
      </c>
      <c r="W873" s="101">
        <f>IF(AND(F873&lt;=DASHBOARD!$B$11, H873&gt;=DASHBOARD!$B$13), K873, -1000000000000)</f>
        <v/>
      </c>
      <c r="X873" s="101">
        <f>IF(AND(F873&lt;=DASHBOARD!$B$11, H873&gt;=DASHBOARD!$B$13), M873, 1000000000000)</f>
        <v/>
      </c>
      <c r="Y873" s="101">
        <f>IF(AND(F873&lt;=DASHBOARD!$B$10, H873&gt;=DASHBOARD!$B$11), L873, 1000000000000)</f>
        <v/>
      </c>
      <c r="Z873" s="101">
        <f>IF(AND(F873&lt;=DASHBOARD!$B$10, H873&gt;=DASHBOARD!$B$11), O873, 1000000000000)</f>
        <v/>
      </c>
      <c r="AA873" s="101">
        <f>IF(AND(F873&lt;=DASHBOARD!$B$10, H873&gt;=DASHBOARD!$B$11), P873, 1000000000000)</f>
        <v/>
      </c>
      <c r="AB873" s="101">
        <f>IF(AND(F873&lt;=DASHBOARD!$B$10, H873&gt;=DASHBOARD!$B$11), Q873, -1000000000000)</f>
        <v/>
      </c>
    </row>
    <row r="874" ht="15" customHeight="1" s="102">
      <c r="A874" s="166" t="n">
        <v>870</v>
      </c>
      <c r="B874" s="167" t="n">
        <v>2</v>
      </c>
      <c r="C874" s="167" t="n">
        <v>1.4</v>
      </c>
      <c r="D874" s="110" t="inlineStr">
        <is>
          <t>Var (%20)</t>
        </is>
      </c>
      <c r="E874" s="110">
        <f>IF((B874+C874)&lt;=1, "Tam Mahsuplaşma (≤%100)", "Kısmi Satış (&gt;%100)")</f>
        <v/>
      </c>
      <c r="F874" s="168">
        <f>((VERI_TABANI!$D$29*B874/VERI_TABANI!$B$29)/VERI_TABANI!$B$3)*VERI_TABANI!$B$5 + ((VERI_TABANI!$D$29*C874/VERI_TABANI!$B$29)/VERI_TABANI!$B$4)*VERI_TABANI!$B$6 + IF(ISNUMBER(SEARCH("Var", D874)), (VERI_TABANI!$F$29/VERI_TABANI!$B$29)*(VERI_TABANI!$B$10+VERI_TABANI!$B$12), 0)</f>
        <v/>
      </c>
      <c r="G874" s="168">
        <f>(((MIN(VERI_TABANI!D23, VERI_TABANI!D23*B874)*VERI_TABANI!$B$7 + MAX(0, VERI_TABANI!D23*B874-VERI_TABANI!D23)*VERI_TABANI!$B$8) + (MIN(MAX(0, VERI_TABANI!D23-VERI_TABANI!D23*B874), VERI_TABANI!D23*C874)*VERI_TABANI!$B$7 + MAX(0, VERI_TABANI!D23*C874-MAX(0, VERI_TABANI!D23-VERI_TABANI!D23*B874))*VERI_TABANI!$B$8) + IF(ABS(IF(ISNUMBER(SEARCH("Var", D874)), 1, IF(ISNUMBER(SEARCH("Gri", D874)), -1, 0)))=1, VERI_TABANI!E23*(1-0.928)*VERI_TABANI!$B$9, 0) + (VERI_TABANI!D23*B874*(VERI_TABANI!$B$13-VERI_TABANI!$B$14)*VERI_TABANI!G23) + (VERI_TABANI!D23*C874*(VERI_TABANI!$B$13-VERI_TABANI!$B$15)*VERI_TABANI!G23) + IF(ABS(IF(ISNUMBER(SEARCH("Var", D874)), 1, IF(ISNUMBER(SEARCH("Gri", D874)), -1, 0)))=1, VERI_TABANI!E23*(1-0.928)*0.00206091519919798*VERI_TABANI!G23, 0)) + ((MIN(VERI_TABANI!D24, VERI_TABANI!D24*B874)*VERI_TABANI!$B$7 + MAX(0, VERI_TABANI!D24*B874-VERI_TABANI!D24)*VERI_TABANI!$B$8) + (MIN(MAX(0, VERI_TABANI!D24-VERI_TABANI!D24*B874), VERI_TABANI!D24*C874)*VERI_TABANI!$B$7 + MAX(0, VERI_TABANI!D24*C874-MAX(0, VERI_TABANI!D24-VERI_TABANI!D24*B874))*VERI_TABANI!$B$8) + IF(ABS(IF(ISNUMBER(SEARCH("Var", D874)), 1, IF(ISNUMBER(SEARCH("Gri", D874)), -1, 0)))=1, VERI_TABANI!E24*(1-0.928)*VERI_TABANI!$B$9, 0) + (VERI_TABANI!D24*B874*(VERI_TABANI!$B$13-VERI_TABANI!$B$14)*VERI_TABANI!G24) + (VERI_TABANI!D24*C874*(VERI_TABANI!$B$13-VERI_TABANI!$B$15)*VERI_TABANI!G24) + IF(ABS(IF(ISNUMBER(SEARCH("Var", D874)), 1, IF(ISNUMBER(SEARCH("Gri", D874)), -1, 0)))=1, VERI_TABANI!E24*(1-0.928)*0.00206091519919798*VERI_TABANI!G24, 0)) + ((MIN(VERI_TABANI!D25, VERI_TABANI!D25*B874)*VERI_TABANI!$B$7 + MAX(0, VERI_TABANI!D25*B874-VERI_TABANI!D25)*VERI_TABANI!$B$8) + (MIN(MAX(0, VERI_TABANI!D25-VERI_TABANI!D25*B874), VERI_TABANI!D25*C874)*VERI_TABANI!$B$7 + MAX(0, VERI_TABANI!D25*C874-MAX(0, VERI_TABANI!D25-VERI_TABANI!D25*B874))*VERI_TABANI!$B$8) + IF(ABS(IF(ISNUMBER(SEARCH("Var", D874)), 1, IF(ISNUMBER(SEARCH("Gri", D874)), -1, 0)))=1, VERI_TABANI!E25*(1-0.928)*VERI_TABANI!$B$9, 0) + (VERI_TABANI!D25*B874*(VERI_TABANI!$B$13-VERI_TABANI!$B$14)*VERI_TABANI!G25) + (VERI_TABANI!D25*C874*(VERI_TABANI!$B$13-VERI_TABANI!$B$15)*VERI_TABANI!G25) + IF(ABS(IF(ISNUMBER(SEARCH("Var", D874)), 1, IF(ISNUMBER(SEARCH("Gri", D874)), -1, 0)))=1, VERI_TABANI!E25*(1-0.928)*0.00206091519919798*VERI_TABANI!G25, 0)) + ((MIN(VERI_TABANI!D26, VERI_TABANI!D26*B874)*VERI_TABANI!$B$7 + MAX(0, VERI_TABANI!D26*B874-VERI_TABANI!D26)*VERI_TABANI!$B$8) + (MIN(MAX(0, VERI_TABANI!D26-VERI_TABANI!D26*B874), VERI_TABANI!D26*C874)*VERI_TABANI!$B$7 + MAX(0, VERI_TABANI!D26*C874-MAX(0, VERI_TABANI!D26-VERI_TABANI!D26*B874))*VERI_TABANI!$B$8) + IF(ABS(IF(ISNUMBER(SEARCH("Var", D874)), 1, IF(ISNUMBER(SEARCH("Gri", D874)), -1, 0)))=1, VERI_TABANI!E26*(1-0.928)*VERI_TABANI!$B$9, 0) + (VERI_TABANI!D26*B874*(VERI_TABANI!$B$13-VERI_TABANI!$B$14)*VERI_TABANI!G26) + (VERI_TABANI!D26*C874*(VERI_TABANI!$B$13-VERI_TABANI!$B$15)*VERI_TABANI!G26) + IF(ABS(IF(ISNUMBER(SEARCH("Var", D874)), 1, IF(ISNUMBER(SEARCH("Gri", D874)), -1, 0)))=1, VERI_TABANI!E26*(1-0.928)*0.00206091519919798*VERI_TABANI!G26, 0)) + ((MIN(VERI_TABANI!D27, VERI_TABANI!D27*B874)*VERI_TABANI!$B$7 + MAX(0, VERI_TABANI!D27*B874-VERI_TABANI!D27)*VERI_TABANI!$B$8) + (MIN(MAX(0, VERI_TABANI!D27-VERI_TABANI!D27*B874), VERI_TABANI!D27*C874)*VERI_TABANI!$B$7 + MAX(0, VERI_TABANI!D27*C874-MAX(0, VERI_TABANI!D27-VERI_TABANI!D27*B874))*VERI_TABANI!$B$8) + IF(ABS(IF(ISNUMBER(SEARCH("Var", D874)), 1, IF(ISNUMBER(SEARCH("Gri", D874)), -1, 0)))=1, VERI_TABANI!E27*(1-0.928)*VERI_TABANI!$B$9, 0) + (VERI_TABANI!D27*B874*(VERI_TABANI!$B$13-VERI_TABANI!$B$14)*VERI_TABANI!G27) + (VERI_TABANI!D27*C874*(VERI_TABANI!$B$13-VERI_TABANI!$B$15)*VERI_TABANI!G27) + IF(ABS(IF(ISNUMBER(SEARCH("Var", D874)), 1, IF(ISNUMBER(SEARCH("Gri", D874)), -1, 0)))=1, VERI_TABANI!E27*(1-0.928)*0.00206091519919798*VERI_TABANI!G27, 0)) + ((MIN(VERI_TABANI!D28, VERI_TABANI!D28*B874)*VERI_TABANI!$B$7 + MAX(0, VERI_TABANI!D28*B874-VERI_TABANI!D28)*VERI_TABANI!$B$8) + (MIN(MAX(0, VERI_TABANI!D28-VERI_TABANI!D28*B874), VERI_TABANI!D28*C874)*VERI_TABANI!$B$7 + MAX(0, VERI_TABANI!D28*C874-MAX(0, VERI_TABANI!D28-VERI_TABANI!D28*B874))*VERI_TABANI!$B$8) + IF(ABS(IF(ISNUMBER(SEARCH("Var", D874)), 1, IF(ISNUMBER(SEARCH("Gri", D874)), -1, 0)))=1, VERI_TABANI!E28*(1-0.928)*VERI_TABANI!$B$9, 0) + (VERI_TABANI!D28*B874*(VERI_TABANI!$B$13-VERI_TABANI!$B$14)*VERI_TABANI!G28) + (VERI_TABANI!D28*C874*(VERI_TABANI!$B$13-VERI_TABANI!$B$15)*VERI_TABANI!G28) + IF(ABS(IF(ISNUMBER(SEARCH("Var", D874)), 1, IF(ISNUMBER(SEARCH("Gri", D874)), -1, 0)))=1, VERI_TABANI!E28*(1-0.928)*0.00206091519919798*VERI_TABANI!G28, 0)))</f>
        <v/>
      </c>
      <c r="H874" s="169">
        <f>(((VERI_TABANI!D23*B874*(VERI_TABANI!$B$13-VERI_TABANI!$B$14)) + (VERI_TABANI!D23*C874*(VERI_TABANI!$B$13-VERI_TABANI!$B$15)) + IF(ISNUMBER(SEARCH("Var", D874)), VERI_TABANI!F23*(0.00202-VERI_TABANI!$B$16), IF(ISNUMBER(SEARCH("Gri", D874)), VERI_TABANI!F23*(0.00202-VERI_TABANI!$B$17), 0))) + ((VERI_TABANI!D24*B874*(VERI_TABANI!$B$13-VERI_TABANI!$B$14)) + (VERI_TABANI!D24*C874*(VERI_TABANI!$B$13-VERI_TABANI!$B$15)) + IF(ISNUMBER(SEARCH("Var", D874)), VERI_TABANI!F24*(0.00202-VERI_TABANI!$B$16), IF(ISNUMBER(SEARCH("Gri", D874)), VERI_TABANI!F24*(0.00202-VERI_TABANI!$B$17), 0))) + ((VERI_TABANI!D25*B874*(VERI_TABANI!$B$13-VERI_TABANI!$B$14)) + (VERI_TABANI!D25*C874*(VERI_TABANI!$B$13-VERI_TABANI!$B$15)) + IF(ISNUMBER(SEARCH("Var", D874)), VERI_TABANI!F25*(0.00202-VERI_TABANI!$B$16), IF(ISNUMBER(SEARCH("Gri", D874)), VERI_TABANI!F25*(0.00202-VERI_TABANI!$B$17), 0))) + ((VERI_TABANI!D26*B874*(VERI_TABANI!$B$13-VERI_TABANI!$B$14)) + (VERI_TABANI!D26*C874*(VERI_TABANI!$B$13-VERI_TABANI!$B$15)) + IF(ISNUMBER(SEARCH("Var", D874)), VERI_TABANI!F26*(0.00202-VERI_TABANI!$B$16), IF(ISNUMBER(SEARCH("Gri", D874)), VERI_TABANI!F26*(0.00202-VERI_TABANI!$B$17), 0))) + ((VERI_TABANI!D27*B874*(VERI_TABANI!$B$13-VERI_TABANI!$B$14)) + (VERI_TABANI!D27*C874*(VERI_TABANI!$B$13-VERI_TABANI!$B$15)) + IF(ISNUMBER(SEARCH("Var", D874)), VERI_TABANI!F27*(0.00202-VERI_TABANI!$B$16), IF(ISNUMBER(SEARCH("Gri", D874)), VERI_TABANI!F27*(0.00202-VERI_TABANI!$B$17), 0))) + ((VERI_TABANI!D28*B874*(VERI_TABANI!$B$13-VERI_TABANI!$B$14)) + (VERI_TABANI!D28*C874*(VERI_TABANI!$B$13-VERI_TABANI!$B$15)) + IF(ISNUMBER(SEARCH("Var", D874)), VERI_TABANI!F28*(0.00202-VERI_TABANI!$B$16), IF(ISNUMBER(SEARCH("Gri", D874)), VERI_TABANI!F28*(0.00202-VERI_TABANI!$B$17), 0))))</f>
        <v/>
      </c>
      <c r="I874" s="170">
        <f>IFERROR(((VERI_TABANI!$D$29*B874*VERI_TABANI!$B$14 + VERI_TABANI!$D$29*C874*VERI_TABANI!$B$15 + IF(ISNUMBER(SEARCH("Var", D874)), VERI_TABANI!$F$29*VERI_TABANI!$B$16, 0))) / (((VERI_TABANI!$D$29*B874 + VERI_TABANI!$D$29*C874)*VERI_TABANI!$B$13 + IF(ISNUMBER(SEARCH("Var", D874)), VERI_TABANI!$E$29*(1-0.928)*VERI_TABANI!$B$18, 0))), 0)</f>
        <v/>
      </c>
      <c r="J874" s="171">
        <f>IFERROR(F874/(G874/29), 0)</f>
        <v/>
      </c>
      <c r="K874" s="172">
        <f>IF(F874&gt;0, H874/F874, 0)</f>
        <v/>
      </c>
      <c r="L874" s="170">
        <f>IF(F874&gt;0, I874, 1000000000)</f>
        <v/>
      </c>
      <c r="M874" s="171">
        <f>ABS((B874+C874)-1)</f>
        <v/>
      </c>
      <c r="N874" s="170">
        <f>IF(F874&gt;0, (G874/29)/F874, 0)</f>
        <v/>
      </c>
      <c r="O874" s="168">
        <f>IF(AND((B874+C874)&gt;=1, ISNUMBER(SEARCH("Var", D874))), F874, 1000000000)</f>
        <v/>
      </c>
      <c r="P874" s="172">
        <f>IF(F874&gt;0, SQRT((F874/MAX(F$5:F$886))^2 + (1 - H874/MAX(H$5:H$886))^2 + (J874/MAX(J$5:J$886))^2), 1000000000)</f>
        <v/>
      </c>
      <c r="Q874" s="166">
        <f>IF(AND(ABS(B874-0.5)&lt;0.01, ABS(C874-0.5)&lt;0.01, ISNUMBER(SEARCH("Var", D874))), 1, 0)</f>
        <v/>
      </c>
      <c r="R874" s="171">
        <f>IF(F874&gt;0, J874, 1000000000)</f>
        <v/>
      </c>
      <c r="S874" s="101">
        <f>IF(AND(F874&lt;=DASHBOARD!$B$11, H874&gt;=DASHBOARD!$B$13), G874, -1000000000000)</f>
        <v/>
      </c>
      <c r="T874" s="101">
        <f>IF(AND(F874&lt;=DASHBOARD!$B$11, H874&gt;=DASHBOARD!$B$13), R874, 1000000000000)</f>
        <v/>
      </c>
      <c r="U874" s="101">
        <f>IF(AND(F874&lt;=DASHBOARD!$B$11, H874&gt;=DASHBOARD!$B$13), N874, -1000000000000)</f>
        <v/>
      </c>
      <c r="V874" s="101">
        <f>IF(AND(F874&lt;=DASHBOARD!$B$11, H874&gt;=DASHBOARD!$B$13), H874, -1000000000000)</f>
        <v/>
      </c>
      <c r="W874" s="101">
        <f>IF(AND(F874&lt;=DASHBOARD!$B$11, H874&gt;=DASHBOARD!$B$13), K874, -1000000000000)</f>
        <v/>
      </c>
      <c r="X874" s="101">
        <f>IF(AND(F874&lt;=DASHBOARD!$B$11, H874&gt;=DASHBOARD!$B$13), M874, 1000000000000)</f>
        <v/>
      </c>
      <c r="Y874" s="101">
        <f>IF(AND(F874&lt;=DASHBOARD!$B$10, H874&gt;=DASHBOARD!$B$11), L874, 1000000000000)</f>
        <v/>
      </c>
      <c r="Z874" s="101">
        <f>IF(AND(F874&lt;=DASHBOARD!$B$10, H874&gt;=DASHBOARD!$B$11), O874, 1000000000000)</f>
        <v/>
      </c>
      <c r="AA874" s="101">
        <f>IF(AND(F874&lt;=DASHBOARD!$B$10, H874&gt;=DASHBOARD!$B$11), P874, 1000000000000)</f>
        <v/>
      </c>
      <c r="AB874" s="101">
        <f>IF(AND(F874&lt;=DASHBOARD!$B$10, H874&gt;=DASHBOARD!$B$11), Q874, -1000000000000)</f>
        <v/>
      </c>
    </row>
    <row r="875" ht="15" customHeight="1" s="102">
      <c r="A875" s="166" t="n">
        <v>871</v>
      </c>
      <c r="B875" s="167" t="n">
        <v>2</v>
      </c>
      <c r="C875" s="167" t="n">
        <v>1.5</v>
      </c>
      <c r="D875" s="110" t="inlineStr">
        <is>
          <t>Yok (%0)</t>
        </is>
      </c>
      <c r="E875" s="110">
        <f>IF((B875+C875)&lt;=1, "Tam Mahsuplaşma (≤%100)", "Kısmi Satış (&gt;%100)")</f>
        <v/>
      </c>
      <c r="F875" s="168">
        <f>((VERI_TABANI!$D$29*B875/VERI_TABANI!$B$29)/VERI_TABANI!$B$3)*VERI_TABANI!$B$5 + ((VERI_TABANI!$D$29*C875/VERI_TABANI!$B$29)/VERI_TABANI!$B$4)*VERI_TABANI!$B$6 + IF(ISNUMBER(SEARCH("Var", D875)), (VERI_TABANI!$F$29/VERI_TABANI!$B$29)*(VERI_TABANI!$B$10+VERI_TABANI!$B$12), 0)</f>
        <v/>
      </c>
      <c r="G875" s="168">
        <f>(((MIN(VERI_TABANI!D23, VERI_TABANI!D23*B875)*VERI_TABANI!$B$7 + MAX(0, VERI_TABANI!D23*B875-VERI_TABANI!D23)*VERI_TABANI!$B$8) + (MIN(MAX(0, VERI_TABANI!D23-VERI_TABANI!D23*B875), VERI_TABANI!D23*C875)*VERI_TABANI!$B$7 + MAX(0, VERI_TABANI!D23*C875-MAX(0, VERI_TABANI!D23-VERI_TABANI!D23*B875))*VERI_TABANI!$B$8) + IF(ABS(IF(ISNUMBER(SEARCH("Var", D875)), 1, IF(ISNUMBER(SEARCH("Gri", D875)), -1, 0)))=1, VERI_TABANI!E23*(1-0.928)*VERI_TABANI!$B$9, 0) + (VERI_TABANI!D23*B875*(VERI_TABANI!$B$13-VERI_TABANI!$B$14)*VERI_TABANI!G23) + (VERI_TABANI!D23*C875*(VERI_TABANI!$B$13-VERI_TABANI!$B$15)*VERI_TABANI!G23) + IF(ABS(IF(ISNUMBER(SEARCH("Var", D875)), 1, IF(ISNUMBER(SEARCH("Gri", D875)), -1, 0)))=1, VERI_TABANI!E23*(1-0.928)*0.00206091519919798*VERI_TABANI!G23, 0)) + ((MIN(VERI_TABANI!D24, VERI_TABANI!D24*B875)*VERI_TABANI!$B$7 + MAX(0, VERI_TABANI!D24*B875-VERI_TABANI!D24)*VERI_TABANI!$B$8) + (MIN(MAX(0, VERI_TABANI!D24-VERI_TABANI!D24*B875), VERI_TABANI!D24*C875)*VERI_TABANI!$B$7 + MAX(0, VERI_TABANI!D24*C875-MAX(0, VERI_TABANI!D24-VERI_TABANI!D24*B875))*VERI_TABANI!$B$8) + IF(ABS(IF(ISNUMBER(SEARCH("Var", D875)), 1, IF(ISNUMBER(SEARCH("Gri", D875)), -1, 0)))=1, VERI_TABANI!E24*(1-0.928)*VERI_TABANI!$B$9, 0) + (VERI_TABANI!D24*B875*(VERI_TABANI!$B$13-VERI_TABANI!$B$14)*VERI_TABANI!G24) + (VERI_TABANI!D24*C875*(VERI_TABANI!$B$13-VERI_TABANI!$B$15)*VERI_TABANI!G24) + IF(ABS(IF(ISNUMBER(SEARCH("Var", D875)), 1, IF(ISNUMBER(SEARCH("Gri", D875)), -1, 0)))=1, VERI_TABANI!E24*(1-0.928)*0.00206091519919798*VERI_TABANI!G24, 0)) + ((MIN(VERI_TABANI!D25, VERI_TABANI!D25*B875)*VERI_TABANI!$B$7 + MAX(0, VERI_TABANI!D25*B875-VERI_TABANI!D25)*VERI_TABANI!$B$8) + (MIN(MAX(0, VERI_TABANI!D25-VERI_TABANI!D25*B875), VERI_TABANI!D25*C875)*VERI_TABANI!$B$7 + MAX(0, VERI_TABANI!D25*C875-MAX(0, VERI_TABANI!D25-VERI_TABANI!D25*B875))*VERI_TABANI!$B$8) + IF(ABS(IF(ISNUMBER(SEARCH("Var", D875)), 1, IF(ISNUMBER(SEARCH("Gri", D875)), -1, 0)))=1, VERI_TABANI!E25*(1-0.928)*VERI_TABANI!$B$9, 0) + (VERI_TABANI!D25*B875*(VERI_TABANI!$B$13-VERI_TABANI!$B$14)*VERI_TABANI!G25) + (VERI_TABANI!D25*C875*(VERI_TABANI!$B$13-VERI_TABANI!$B$15)*VERI_TABANI!G25) + IF(ABS(IF(ISNUMBER(SEARCH("Var", D875)), 1, IF(ISNUMBER(SEARCH("Gri", D875)), -1, 0)))=1, VERI_TABANI!E25*(1-0.928)*0.00206091519919798*VERI_TABANI!G25, 0)) + ((MIN(VERI_TABANI!D26, VERI_TABANI!D26*B875)*VERI_TABANI!$B$7 + MAX(0, VERI_TABANI!D26*B875-VERI_TABANI!D26)*VERI_TABANI!$B$8) + (MIN(MAX(0, VERI_TABANI!D26-VERI_TABANI!D26*B875), VERI_TABANI!D26*C875)*VERI_TABANI!$B$7 + MAX(0, VERI_TABANI!D26*C875-MAX(0, VERI_TABANI!D26-VERI_TABANI!D26*B875))*VERI_TABANI!$B$8) + IF(ABS(IF(ISNUMBER(SEARCH("Var", D875)), 1, IF(ISNUMBER(SEARCH("Gri", D875)), -1, 0)))=1, VERI_TABANI!E26*(1-0.928)*VERI_TABANI!$B$9, 0) + (VERI_TABANI!D26*B875*(VERI_TABANI!$B$13-VERI_TABANI!$B$14)*VERI_TABANI!G26) + (VERI_TABANI!D26*C875*(VERI_TABANI!$B$13-VERI_TABANI!$B$15)*VERI_TABANI!G26) + IF(ABS(IF(ISNUMBER(SEARCH("Var", D875)), 1, IF(ISNUMBER(SEARCH("Gri", D875)), -1, 0)))=1, VERI_TABANI!E26*(1-0.928)*0.00206091519919798*VERI_TABANI!G26, 0)) + ((MIN(VERI_TABANI!D27, VERI_TABANI!D27*B875)*VERI_TABANI!$B$7 + MAX(0, VERI_TABANI!D27*B875-VERI_TABANI!D27)*VERI_TABANI!$B$8) + (MIN(MAX(0, VERI_TABANI!D27-VERI_TABANI!D27*B875), VERI_TABANI!D27*C875)*VERI_TABANI!$B$7 + MAX(0, VERI_TABANI!D27*C875-MAX(0, VERI_TABANI!D27-VERI_TABANI!D27*B875))*VERI_TABANI!$B$8) + IF(ABS(IF(ISNUMBER(SEARCH("Var", D875)), 1, IF(ISNUMBER(SEARCH("Gri", D875)), -1, 0)))=1, VERI_TABANI!E27*(1-0.928)*VERI_TABANI!$B$9, 0) + (VERI_TABANI!D27*B875*(VERI_TABANI!$B$13-VERI_TABANI!$B$14)*VERI_TABANI!G27) + (VERI_TABANI!D27*C875*(VERI_TABANI!$B$13-VERI_TABANI!$B$15)*VERI_TABANI!G27) + IF(ABS(IF(ISNUMBER(SEARCH("Var", D875)), 1, IF(ISNUMBER(SEARCH("Gri", D875)), -1, 0)))=1, VERI_TABANI!E27*(1-0.928)*0.00206091519919798*VERI_TABANI!G27, 0)) + ((MIN(VERI_TABANI!D28, VERI_TABANI!D28*B875)*VERI_TABANI!$B$7 + MAX(0, VERI_TABANI!D28*B875-VERI_TABANI!D28)*VERI_TABANI!$B$8) + (MIN(MAX(0, VERI_TABANI!D28-VERI_TABANI!D28*B875), VERI_TABANI!D28*C875)*VERI_TABANI!$B$7 + MAX(0, VERI_TABANI!D28*C875-MAX(0, VERI_TABANI!D28-VERI_TABANI!D28*B875))*VERI_TABANI!$B$8) + IF(ABS(IF(ISNUMBER(SEARCH("Var", D875)), 1, IF(ISNUMBER(SEARCH("Gri", D875)), -1, 0)))=1, VERI_TABANI!E28*(1-0.928)*VERI_TABANI!$B$9, 0) + (VERI_TABANI!D28*B875*(VERI_TABANI!$B$13-VERI_TABANI!$B$14)*VERI_TABANI!G28) + (VERI_TABANI!D28*C875*(VERI_TABANI!$B$13-VERI_TABANI!$B$15)*VERI_TABANI!G28) + IF(ABS(IF(ISNUMBER(SEARCH("Var", D875)), 1, IF(ISNUMBER(SEARCH("Gri", D875)), -1, 0)))=1, VERI_TABANI!E28*(1-0.928)*0.00206091519919798*VERI_TABANI!G28, 0)))</f>
        <v/>
      </c>
      <c r="H875" s="169">
        <f>(((VERI_TABANI!D23*B875*(VERI_TABANI!$B$13-VERI_TABANI!$B$14)) + (VERI_TABANI!D23*C875*(VERI_TABANI!$B$13-VERI_TABANI!$B$15)) + IF(ISNUMBER(SEARCH("Var", D875)), VERI_TABANI!F23*(0.00202-VERI_TABANI!$B$16), IF(ISNUMBER(SEARCH("Gri", D875)), VERI_TABANI!F23*(0.00202-VERI_TABANI!$B$17), 0))) + ((VERI_TABANI!D24*B875*(VERI_TABANI!$B$13-VERI_TABANI!$B$14)) + (VERI_TABANI!D24*C875*(VERI_TABANI!$B$13-VERI_TABANI!$B$15)) + IF(ISNUMBER(SEARCH("Var", D875)), VERI_TABANI!F24*(0.00202-VERI_TABANI!$B$16), IF(ISNUMBER(SEARCH("Gri", D875)), VERI_TABANI!F24*(0.00202-VERI_TABANI!$B$17), 0))) + ((VERI_TABANI!D25*B875*(VERI_TABANI!$B$13-VERI_TABANI!$B$14)) + (VERI_TABANI!D25*C875*(VERI_TABANI!$B$13-VERI_TABANI!$B$15)) + IF(ISNUMBER(SEARCH("Var", D875)), VERI_TABANI!F25*(0.00202-VERI_TABANI!$B$16), IF(ISNUMBER(SEARCH("Gri", D875)), VERI_TABANI!F25*(0.00202-VERI_TABANI!$B$17), 0))) + ((VERI_TABANI!D26*B875*(VERI_TABANI!$B$13-VERI_TABANI!$B$14)) + (VERI_TABANI!D26*C875*(VERI_TABANI!$B$13-VERI_TABANI!$B$15)) + IF(ISNUMBER(SEARCH("Var", D875)), VERI_TABANI!F26*(0.00202-VERI_TABANI!$B$16), IF(ISNUMBER(SEARCH("Gri", D875)), VERI_TABANI!F26*(0.00202-VERI_TABANI!$B$17), 0))) + ((VERI_TABANI!D27*B875*(VERI_TABANI!$B$13-VERI_TABANI!$B$14)) + (VERI_TABANI!D27*C875*(VERI_TABANI!$B$13-VERI_TABANI!$B$15)) + IF(ISNUMBER(SEARCH("Var", D875)), VERI_TABANI!F27*(0.00202-VERI_TABANI!$B$16), IF(ISNUMBER(SEARCH("Gri", D875)), VERI_TABANI!F27*(0.00202-VERI_TABANI!$B$17), 0))) + ((VERI_TABANI!D28*B875*(VERI_TABANI!$B$13-VERI_TABANI!$B$14)) + (VERI_TABANI!D28*C875*(VERI_TABANI!$B$13-VERI_TABANI!$B$15)) + IF(ISNUMBER(SEARCH("Var", D875)), VERI_TABANI!F28*(0.00202-VERI_TABANI!$B$16), IF(ISNUMBER(SEARCH("Gri", D875)), VERI_TABANI!F28*(0.00202-VERI_TABANI!$B$17), 0))))</f>
        <v/>
      </c>
      <c r="I875" s="170">
        <f>IFERROR(((VERI_TABANI!$D$29*B875*VERI_TABANI!$B$14 + VERI_TABANI!$D$29*C875*VERI_TABANI!$B$15 + IF(ISNUMBER(SEARCH("Var", D875)), VERI_TABANI!$F$29*VERI_TABANI!$B$16, 0))) / (((VERI_TABANI!$D$29*B875 + VERI_TABANI!$D$29*C875)*VERI_TABANI!$B$13 + IF(ISNUMBER(SEARCH("Var", D875)), VERI_TABANI!$E$29*(1-0.928)*VERI_TABANI!$B$18, 0))), 0)</f>
        <v/>
      </c>
      <c r="J875" s="171">
        <f>IFERROR(F875/(G875/29), 0)</f>
        <v/>
      </c>
      <c r="K875" s="172">
        <f>IF(F875&gt;0, H875/F875, 0)</f>
        <v/>
      </c>
      <c r="L875" s="170">
        <f>IF(F875&gt;0, I875, 1000000000)</f>
        <v/>
      </c>
      <c r="M875" s="171">
        <f>ABS((B875+C875)-1)</f>
        <v/>
      </c>
      <c r="N875" s="170">
        <f>IF(F875&gt;0, (G875/29)/F875, 0)</f>
        <v/>
      </c>
      <c r="O875" s="168">
        <f>IF(AND((B875+C875)&gt;=1, ISNUMBER(SEARCH("Var", D875))), F875, 1000000000)</f>
        <v/>
      </c>
      <c r="P875" s="172">
        <f>IF(F875&gt;0, SQRT((F875/MAX(F$5:F$886))^2 + (1 - H875/MAX(H$5:H$886))^2 + (J875/MAX(J$5:J$886))^2), 1000000000)</f>
        <v/>
      </c>
      <c r="Q875" s="166">
        <f>IF(AND(ABS(B875-0.5)&lt;0.01, ABS(C875-0.5)&lt;0.01, ISNUMBER(SEARCH("Var", D875))), 1, 0)</f>
        <v/>
      </c>
      <c r="R875" s="171">
        <f>IF(F875&gt;0, J875, 1000000000)</f>
        <v/>
      </c>
      <c r="S875" s="101">
        <f>IF(AND(F875&lt;=DASHBOARD!$B$11, H875&gt;=DASHBOARD!$B$13), G875, -1000000000000)</f>
        <v/>
      </c>
      <c r="T875" s="101">
        <f>IF(AND(F875&lt;=DASHBOARD!$B$11, H875&gt;=DASHBOARD!$B$13), R875, 1000000000000)</f>
        <v/>
      </c>
      <c r="U875" s="101">
        <f>IF(AND(F875&lt;=DASHBOARD!$B$11, H875&gt;=DASHBOARD!$B$13), N875, -1000000000000)</f>
        <v/>
      </c>
      <c r="V875" s="101">
        <f>IF(AND(F875&lt;=DASHBOARD!$B$11, H875&gt;=DASHBOARD!$B$13), H875, -1000000000000)</f>
        <v/>
      </c>
      <c r="W875" s="101">
        <f>IF(AND(F875&lt;=DASHBOARD!$B$11, H875&gt;=DASHBOARD!$B$13), K875, -1000000000000)</f>
        <v/>
      </c>
      <c r="X875" s="101">
        <f>IF(AND(F875&lt;=DASHBOARD!$B$11, H875&gt;=DASHBOARD!$B$13), M875, 1000000000000)</f>
        <v/>
      </c>
      <c r="Y875" s="101">
        <f>IF(AND(F875&lt;=DASHBOARD!$B$10, H875&gt;=DASHBOARD!$B$11), L875, 1000000000000)</f>
        <v/>
      </c>
      <c r="Z875" s="101">
        <f>IF(AND(F875&lt;=DASHBOARD!$B$10, H875&gt;=DASHBOARD!$B$11), O875, 1000000000000)</f>
        <v/>
      </c>
      <c r="AA875" s="101">
        <f>IF(AND(F875&lt;=DASHBOARD!$B$10, H875&gt;=DASHBOARD!$B$11), P875, 1000000000000)</f>
        <v/>
      </c>
      <c r="AB875" s="101">
        <f>IF(AND(F875&lt;=DASHBOARD!$B$10, H875&gt;=DASHBOARD!$B$11), Q875, -1000000000000)</f>
        <v/>
      </c>
    </row>
    <row r="876" ht="15" customHeight="1" s="102">
      <c r="A876" s="166" t="n">
        <v>872</v>
      </c>
      <c r="B876" s="167" t="n">
        <v>2</v>
      </c>
      <c r="C876" s="167" t="n">
        <v>1.5</v>
      </c>
      <c r="D876" s="110" t="inlineStr">
        <is>
          <t>Var (%20)</t>
        </is>
      </c>
      <c r="E876" s="110">
        <f>IF((B876+C876)&lt;=1, "Tam Mahsuplaşma (≤%100)", "Kısmi Satış (&gt;%100)")</f>
        <v/>
      </c>
      <c r="F876" s="168">
        <f>((VERI_TABANI!$D$29*B876/VERI_TABANI!$B$29)/VERI_TABANI!$B$3)*VERI_TABANI!$B$5 + ((VERI_TABANI!$D$29*C876/VERI_TABANI!$B$29)/VERI_TABANI!$B$4)*VERI_TABANI!$B$6 + IF(ISNUMBER(SEARCH("Var", D876)), (VERI_TABANI!$F$29/VERI_TABANI!$B$29)*(VERI_TABANI!$B$10+VERI_TABANI!$B$12), 0)</f>
        <v/>
      </c>
      <c r="G876" s="168">
        <f>(((MIN(VERI_TABANI!D23, VERI_TABANI!D23*B876)*VERI_TABANI!$B$7 + MAX(0, VERI_TABANI!D23*B876-VERI_TABANI!D23)*VERI_TABANI!$B$8) + (MIN(MAX(0, VERI_TABANI!D23-VERI_TABANI!D23*B876), VERI_TABANI!D23*C876)*VERI_TABANI!$B$7 + MAX(0, VERI_TABANI!D23*C876-MAX(0, VERI_TABANI!D23-VERI_TABANI!D23*B876))*VERI_TABANI!$B$8) + IF(ABS(IF(ISNUMBER(SEARCH("Var", D876)), 1, IF(ISNUMBER(SEARCH("Gri", D876)), -1, 0)))=1, VERI_TABANI!E23*(1-0.928)*VERI_TABANI!$B$9, 0) + (VERI_TABANI!D23*B876*(VERI_TABANI!$B$13-VERI_TABANI!$B$14)*VERI_TABANI!G23) + (VERI_TABANI!D23*C876*(VERI_TABANI!$B$13-VERI_TABANI!$B$15)*VERI_TABANI!G23) + IF(ABS(IF(ISNUMBER(SEARCH("Var", D876)), 1, IF(ISNUMBER(SEARCH("Gri", D876)), -1, 0)))=1, VERI_TABANI!E23*(1-0.928)*0.00206091519919798*VERI_TABANI!G23, 0)) + ((MIN(VERI_TABANI!D24, VERI_TABANI!D24*B876)*VERI_TABANI!$B$7 + MAX(0, VERI_TABANI!D24*B876-VERI_TABANI!D24)*VERI_TABANI!$B$8) + (MIN(MAX(0, VERI_TABANI!D24-VERI_TABANI!D24*B876), VERI_TABANI!D24*C876)*VERI_TABANI!$B$7 + MAX(0, VERI_TABANI!D24*C876-MAX(0, VERI_TABANI!D24-VERI_TABANI!D24*B876))*VERI_TABANI!$B$8) + IF(ABS(IF(ISNUMBER(SEARCH("Var", D876)), 1, IF(ISNUMBER(SEARCH("Gri", D876)), -1, 0)))=1, VERI_TABANI!E24*(1-0.928)*VERI_TABANI!$B$9, 0) + (VERI_TABANI!D24*B876*(VERI_TABANI!$B$13-VERI_TABANI!$B$14)*VERI_TABANI!G24) + (VERI_TABANI!D24*C876*(VERI_TABANI!$B$13-VERI_TABANI!$B$15)*VERI_TABANI!G24) + IF(ABS(IF(ISNUMBER(SEARCH("Var", D876)), 1, IF(ISNUMBER(SEARCH("Gri", D876)), -1, 0)))=1, VERI_TABANI!E24*(1-0.928)*0.00206091519919798*VERI_TABANI!G24, 0)) + ((MIN(VERI_TABANI!D25, VERI_TABANI!D25*B876)*VERI_TABANI!$B$7 + MAX(0, VERI_TABANI!D25*B876-VERI_TABANI!D25)*VERI_TABANI!$B$8) + (MIN(MAX(0, VERI_TABANI!D25-VERI_TABANI!D25*B876), VERI_TABANI!D25*C876)*VERI_TABANI!$B$7 + MAX(0, VERI_TABANI!D25*C876-MAX(0, VERI_TABANI!D25-VERI_TABANI!D25*B876))*VERI_TABANI!$B$8) + IF(ABS(IF(ISNUMBER(SEARCH("Var", D876)), 1, IF(ISNUMBER(SEARCH("Gri", D876)), -1, 0)))=1, VERI_TABANI!E25*(1-0.928)*VERI_TABANI!$B$9, 0) + (VERI_TABANI!D25*B876*(VERI_TABANI!$B$13-VERI_TABANI!$B$14)*VERI_TABANI!G25) + (VERI_TABANI!D25*C876*(VERI_TABANI!$B$13-VERI_TABANI!$B$15)*VERI_TABANI!G25) + IF(ABS(IF(ISNUMBER(SEARCH("Var", D876)), 1, IF(ISNUMBER(SEARCH("Gri", D876)), -1, 0)))=1, VERI_TABANI!E25*(1-0.928)*0.00206091519919798*VERI_TABANI!G25, 0)) + ((MIN(VERI_TABANI!D26, VERI_TABANI!D26*B876)*VERI_TABANI!$B$7 + MAX(0, VERI_TABANI!D26*B876-VERI_TABANI!D26)*VERI_TABANI!$B$8) + (MIN(MAX(0, VERI_TABANI!D26-VERI_TABANI!D26*B876), VERI_TABANI!D26*C876)*VERI_TABANI!$B$7 + MAX(0, VERI_TABANI!D26*C876-MAX(0, VERI_TABANI!D26-VERI_TABANI!D26*B876))*VERI_TABANI!$B$8) + IF(ABS(IF(ISNUMBER(SEARCH("Var", D876)), 1, IF(ISNUMBER(SEARCH("Gri", D876)), -1, 0)))=1, VERI_TABANI!E26*(1-0.928)*VERI_TABANI!$B$9, 0) + (VERI_TABANI!D26*B876*(VERI_TABANI!$B$13-VERI_TABANI!$B$14)*VERI_TABANI!G26) + (VERI_TABANI!D26*C876*(VERI_TABANI!$B$13-VERI_TABANI!$B$15)*VERI_TABANI!G26) + IF(ABS(IF(ISNUMBER(SEARCH("Var", D876)), 1, IF(ISNUMBER(SEARCH("Gri", D876)), -1, 0)))=1, VERI_TABANI!E26*(1-0.928)*0.00206091519919798*VERI_TABANI!G26, 0)) + ((MIN(VERI_TABANI!D27, VERI_TABANI!D27*B876)*VERI_TABANI!$B$7 + MAX(0, VERI_TABANI!D27*B876-VERI_TABANI!D27)*VERI_TABANI!$B$8) + (MIN(MAX(0, VERI_TABANI!D27-VERI_TABANI!D27*B876), VERI_TABANI!D27*C876)*VERI_TABANI!$B$7 + MAX(0, VERI_TABANI!D27*C876-MAX(0, VERI_TABANI!D27-VERI_TABANI!D27*B876))*VERI_TABANI!$B$8) + IF(ABS(IF(ISNUMBER(SEARCH("Var", D876)), 1, IF(ISNUMBER(SEARCH("Gri", D876)), -1, 0)))=1, VERI_TABANI!E27*(1-0.928)*VERI_TABANI!$B$9, 0) + (VERI_TABANI!D27*B876*(VERI_TABANI!$B$13-VERI_TABANI!$B$14)*VERI_TABANI!G27) + (VERI_TABANI!D27*C876*(VERI_TABANI!$B$13-VERI_TABANI!$B$15)*VERI_TABANI!G27) + IF(ABS(IF(ISNUMBER(SEARCH("Var", D876)), 1, IF(ISNUMBER(SEARCH("Gri", D876)), -1, 0)))=1, VERI_TABANI!E27*(1-0.928)*0.00206091519919798*VERI_TABANI!G27, 0)) + ((MIN(VERI_TABANI!D28, VERI_TABANI!D28*B876)*VERI_TABANI!$B$7 + MAX(0, VERI_TABANI!D28*B876-VERI_TABANI!D28)*VERI_TABANI!$B$8) + (MIN(MAX(0, VERI_TABANI!D28-VERI_TABANI!D28*B876), VERI_TABANI!D28*C876)*VERI_TABANI!$B$7 + MAX(0, VERI_TABANI!D28*C876-MAX(0, VERI_TABANI!D28-VERI_TABANI!D28*B876))*VERI_TABANI!$B$8) + IF(ABS(IF(ISNUMBER(SEARCH("Var", D876)), 1, IF(ISNUMBER(SEARCH("Gri", D876)), -1, 0)))=1, VERI_TABANI!E28*(1-0.928)*VERI_TABANI!$B$9, 0) + (VERI_TABANI!D28*B876*(VERI_TABANI!$B$13-VERI_TABANI!$B$14)*VERI_TABANI!G28) + (VERI_TABANI!D28*C876*(VERI_TABANI!$B$13-VERI_TABANI!$B$15)*VERI_TABANI!G28) + IF(ABS(IF(ISNUMBER(SEARCH("Var", D876)), 1, IF(ISNUMBER(SEARCH("Gri", D876)), -1, 0)))=1, VERI_TABANI!E28*(1-0.928)*0.00206091519919798*VERI_TABANI!G28, 0)))</f>
        <v/>
      </c>
      <c r="H876" s="169">
        <f>(((VERI_TABANI!D23*B876*(VERI_TABANI!$B$13-VERI_TABANI!$B$14)) + (VERI_TABANI!D23*C876*(VERI_TABANI!$B$13-VERI_TABANI!$B$15)) + IF(ISNUMBER(SEARCH("Var", D876)), VERI_TABANI!F23*(0.00202-VERI_TABANI!$B$16), IF(ISNUMBER(SEARCH("Gri", D876)), VERI_TABANI!F23*(0.00202-VERI_TABANI!$B$17), 0))) + ((VERI_TABANI!D24*B876*(VERI_TABANI!$B$13-VERI_TABANI!$B$14)) + (VERI_TABANI!D24*C876*(VERI_TABANI!$B$13-VERI_TABANI!$B$15)) + IF(ISNUMBER(SEARCH("Var", D876)), VERI_TABANI!F24*(0.00202-VERI_TABANI!$B$16), IF(ISNUMBER(SEARCH("Gri", D876)), VERI_TABANI!F24*(0.00202-VERI_TABANI!$B$17), 0))) + ((VERI_TABANI!D25*B876*(VERI_TABANI!$B$13-VERI_TABANI!$B$14)) + (VERI_TABANI!D25*C876*(VERI_TABANI!$B$13-VERI_TABANI!$B$15)) + IF(ISNUMBER(SEARCH("Var", D876)), VERI_TABANI!F25*(0.00202-VERI_TABANI!$B$16), IF(ISNUMBER(SEARCH("Gri", D876)), VERI_TABANI!F25*(0.00202-VERI_TABANI!$B$17), 0))) + ((VERI_TABANI!D26*B876*(VERI_TABANI!$B$13-VERI_TABANI!$B$14)) + (VERI_TABANI!D26*C876*(VERI_TABANI!$B$13-VERI_TABANI!$B$15)) + IF(ISNUMBER(SEARCH("Var", D876)), VERI_TABANI!F26*(0.00202-VERI_TABANI!$B$16), IF(ISNUMBER(SEARCH("Gri", D876)), VERI_TABANI!F26*(0.00202-VERI_TABANI!$B$17), 0))) + ((VERI_TABANI!D27*B876*(VERI_TABANI!$B$13-VERI_TABANI!$B$14)) + (VERI_TABANI!D27*C876*(VERI_TABANI!$B$13-VERI_TABANI!$B$15)) + IF(ISNUMBER(SEARCH("Var", D876)), VERI_TABANI!F27*(0.00202-VERI_TABANI!$B$16), IF(ISNUMBER(SEARCH("Gri", D876)), VERI_TABANI!F27*(0.00202-VERI_TABANI!$B$17), 0))) + ((VERI_TABANI!D28*B876*(VERI_TABANI!$B$13-VERI_TABANI!$B$14)) + (VERI_TABANI!D28*C876*(VERI_TABANI!$B$13-VERI_TABANI!$B$15)) + IF(ISNUMBER(SEARCH("Var", D876)), VERI_TABANI!F28*(0.00202-VERI_TABANI!$B$16), IF(ISNUMBER(SEARCH("Gri", D876)), VERI_TABANI!F28*(0.00202-VERI_TABANI!$B$17), 0))))</f>
        <v/>
      </c>
      <c r="I876" s="170">
        <f>IFERROR(((VERI_TABANI!$D$29*B876*VERI_TABANI!$B$14 + VERI_TABANI!$D$29*C876*VERI_TABANI!$B$15 + IF(ISNUMBER(SEARCH("Var", D876)), VERI_TABANI!$F$29*VERI_TABANI!$B$16, 0))) / (((VERI_TABANI!$D$29*B876 + VERI_TABANI!$D$29*C876)*VERI_TABANI!$B$13 + IF(ISNUMBER(SEARCH("Var", D876)), VERI_TABANI!$E$29*(1-0.928)*VERI_TABANI!$B$18, 0))), 0)</f>
        <v/>
      </c>
      <c r="J876" s="171">
        <f>IFERROR(F876/(G876/29), 0)</f>
        <v/>
      </c>
      <c r="K876" s="172">
        <f>IF(F876&gt;0, H876/F876, 0)</f>
        <v/>
      </c>
      <c r="L876" s="170">
        <f>IF(F876&gt;0, I876, 1000000000)</f>
        <v/>
      </c>
      <c r="M876" s="171">
        <f>ABS((B876+C876)-1)</f>
        <v/>
      </c>
      <c r="N876" s="170">
        <f>IF(F876&gt;0, (G876/29)/F876, 0)</f>
        <v/>
      </c>
      <c r="O876" s="168">
        <f>IF(AND((B876+C876)&gt;=1, ISNUMBER(SEARCH("Var", D876))), F876, 1000000000)</f>
        <v/>
      </c>
      <c r="P876" s="172">
        <f>IF(F876&gt;0, SQRT((F876/MAX(F$5:F$886))^2 + (1 - H876/MAX(H$5:H$886))^2 + (J876/MAX(J$5:J$886))^2), 1000000000)</f>
        <v/>
      </c>
      <c r="Q876" s="166">
        <f>IF(AND(ABS(B876-0.5)&lt;0.01, ABS(C876-0.5)&lt;0.01, ISNUMBER(SEARCH("Var", D876))), 1, 0)</f>
        <v/>
      </c>
      <c r="R876" s="171">
        <f>IF(F876&gt;0, J876, 1000000000)</f>
        <v/>
      </c>
      <c r="S876" s="101">
        <f>IF(AND(F876&lt;=DASHBOARD!$B$11, H876&gt;=DASHBOARD!$B$13), G876, -1000000000000)</f>
        <v/>
      </c>
      <c r="T876" s="101">
        <f>IF(AND(F876&lt;=DASHBOARD!$B$11, H876&gt;=DASHBOARD!$B$13), R876, 1000000000000)</f>
        <v/>
      </c>
      <c r="U876" s="101">
        <f>IF(AND(F876&lt;=DASHBOARD!$B$11, H876&gt;=DASHBOARD!$B$13), N876, -1000000000000)</f>
        <v/>
      </c>
      <c r="V876" s="101">
        <f>IF(AND(F876&lt;=DASHBOARD!$B$11, H876&gt;=DASHBOARD!$B$13), H876, -1000000000000)</f>
        <v/>
      </c>
      <c r="W876" s="101">
        <f>IF(AND(F876&lt;=DASHBOARD!$B$11, H876&gt;=DASHBOARD!$B$13), K876, -1000000000000)</f>
        <v/>
      </c>
      <c r="X876" s="101">
        <f>IF(AND(F876&lt;=DASHBOARD!$B$11, H876&gt;=DASHBOARD!$B$13), M876, 1000000000000)</f>
        <v/>
      </c>
      <c r="Y876" s="101">
        <f>IF(AND(F876&lt;=DASHBOARD!$B$10, H876&gt;=DASHBOARD!$B$11), L876, 1000000000000)</f>
        <v/>
      </c>
      <c r="Z876" s="101">
        <f>IF(AND(F876&lt;=DASHBOARD!$B$10, H876&gt;=DASHBOARD!$B$11), O876, 1000000000000)</f>
        <v/>
      </c>
      <c r="AA876" s="101">
        <f>IF(AND(F876&lt;=DASHBOARD!$B$10, H876&gt;=DASHBOARD!$B$11), P876, 1000000000000)</f>
        <v/>
      </c>
      <c r="AB876" s="101">
        <f>IF(AND(F876&lt;=DASHBOARD!$B$10, H876&gt;=DASHBOARD!$B$11), Q876, -1000000000000)</f>
        <v/>
      </c>
    </row>
    <row r="877" ht="15" customHeight="1" s="102">
      <c r="A877" s="166" t="n">
        <v>873</v>
      </c>
      <c r="B877" s="167" t="n">
        <v>2</v>
      </c>
      <c r="C877" s="167" t="n">
        <v>1.6</v>
      </c>
      <c r="D877" s="110" t="inlineStr">
        <is>
          <t>Yok (%0)</t>
        </is>
      </c>
      <c r="E877" s="110">
        <f>IF((B877+C877)&lt;=1, "Tam Mahsuplaşma (≤%100)", "Kısmi Satış (&gt;%100)")</f>
        <v/>
      </c>
      <c r="F877" s="168">
        <f>((VERI_TABANI!$D$29*B877/VERI_TABANI!$B$29)/VERI_TABANI!$B$3)*VERI_TABANI!$B$5 + ((VERI_TABANI!$D$29*C877/VERI_TABANI!$B$29)/VERI_TABANI!$B$4)*VERI_TABANI!$B$6 + IF(ISNUMBER(SEARCH("Var", D877)), (VERI_TABANI!$F$29/VERI_TABANI!$B$29)*(VERI_TABANI!$B$10+VERI_TABANI!$B$12), 0)</f>
        <v/>
      </c>
      <c r="G877" s="168">
        <f>(((MIN(VERI_TABANI!D23, VERI_TABANI!D23*B877)*VERI_TABANI!$B$7 + MAX(0, VERI_TABANI!D23*B877-VERI_TABANI!D23)*VERI_TABANI!$B$8) + (MIN(MAX(0, VERI_TABANI!D23-VERI_TABANI!D23*B877), VERI_TABANI!D23*C877)*VERI_TABANI!$B$7 + MAX(0, VERI_TABANI!D23*C877-MAX(0, VERI_TABANI!D23-VERI_TABANI!D23*B877))*VERI_TABANI!$B$8) + IF(ABS(IF(ISNUMBER(SEARCH("Var", D877)), 1, IF(ISNUMBER(SEARCH("Gri", D877)), -1, 0)))=1, VERI_TABANI!E23*(1-0.928)*VERI_TABANI!$B$9, 0) + (VERI_TABANI!D23*B877*(VERI_TABANI!$B$13-VERI_TABANI!$B$14)*VERI_TABANI!G23) + (VERI_TABANI!D23*C877*(VERI_TABANI!$B$13-VERI_TABANI!$B$15)*VERI_TABANI!G23) + IF(ABS(IF(ISNUMBER(SEARCH("Var", D877)), 1, IF(ISNUMBER(SEARCH("Gri", D877)), -1, 0)))=1, VERI_TABANI!E23*(1-0.928)*0.00206091519919798*VERI_TABANI!G23, 0)) + ((MIN(VERI_TABANI!D24, VERI_TABANI!D24*B877)*VERI_TABANI!$B$7 + MAX(0, VERI_TABANI!D24*B877-VERI_TABANI!D24)*VERI_TABANI!$B$8) + (MIN(MAX(0, VERI_TABANI!D24-VERI_TABANI!D24*B877), VERI_TABANI!D24*C877)*VERI_TABANI!$B$7 + MAX(0, VERI_TABANI!D24*C877-MAX(0, VERI_TABANI!D24-VERI_TABANI!D24*B877))*VERI_TABANI!$B$8) + IF(ABS(IF(ISNUMBER(SEARCH("Var", D877)), 1, IF(ISNUMBER(SEARCH("Gri", D877)), -1, 0)))=1, VERI_TABANI!E24*(1-0.928)*VERI_TABANI!$B$9, 0) + (VERI_TABANI!D24*B877*(VERI_TABANI!$B$13-VERI_TABANI!$B$14)*VERI_TABANI!G24) + (VERI_TABANI!D24*C877*(VERI_TABANI!$B$13-VERI_TABANI!$B$15)*VERI_TABANI!G24) + IF(ABS(IF(ISNUMBER(SEARCH("Var", D877)), 1, IF(ISNUMBER(SEARCH("Gri", D877)), -1, 0)))=1, VERI_TABANI!E24*(1-0.928)*0.00206091519919798*VERI_TABANI!G24, 0)) + ((MIN(VERI_TABANI!D25, VERI_TABANI!D25*B877)*VERI_TABANI!$B$7 + MAX(0, VERI_TABANI!D25*B877-VERI_TABANI!D25)*VERI_TABANI!$B$8) + (MIN(MAX(0, VERI_TABANI!D25-VERI_TABANI!D25*B877), VERI_TABANI!D25*C877)*VERI_TABANI!$B$7 + MAX(0, VERI_TABANI!D25*C877-MAX(0, VERI_TABANI!D25-VERI_TABANI!D25*B877))*VERI_TABANI!$B$8) + IF(ABS(IF(ISNUMBER(SEARCH("Var", D877)), 1, IF(ISNUMBER(SEARCH("Gri", D877)), -1, 0)))=1, VERI_TABANI!E25*(1-0.928)*VERI_TABANI!$B$9, 0) + (VERI_TABANI!D25*B877*(VERI_TABANI!$B$13-VERI_TABANI!$B$14)*VERI_TABANI!G25) + (VERI_TABANI!D25*C877*(VERI_TABANI!$B$13-VERI_TABANI!$B$15)*VERI_TABANI!G25) + IF(ABS(IF(ISNUMBER(SEARCH("Var", D877)), 1, IF(ISNUMBER(SEARCH("Gri", D877)), -1, 0)))=1, VERI_TABANI!E25*(1-0.928)*0.00206091519919798*VERI_TABANI!G25, 0)) + ((MIN(VERI_TABANI!D26, VERI_TABANI!D26*B877)*VERI_TABANI!$B$7 + MAX(0, VERI_TABANI!D26*B877-VERI_TABANI!D26)*VERI_TABANI!$B$8) + (MIN(MAX(0, VERI_TABANI!D26-VERI_TABANI!D26*B877), VERI_TABANI!D26*C877)*VERI_TABANI!$B$7 + MAX(0, VERI_TABANI!D26*C877-MAX(0, VERI_TABANI!D26-VERI_TABANI!D26*B877))*VERI_TABANI!$B$8) + IF(ABS(IF(ISNUMBER(SEARCH("Var", D877)), 1, IF(ISNUMBER(SEARCH("Gri", D877)), -1, 0)))=1, VERI_TABANI!E26*(1-0.928)*VERI_TABANI!$B$9, 0) + (VERI_TABANI!D26*B877*(VERI_TABANI!$B$13-VERI_TABANI!$B$14)*VERI_TABANI!G26) + (VERI_TABANI!D26*C877*(VERI_TABANI!$B$13-VERI_TABANI!$B$15)*VERI_TABANI!G26) + IF(ABS(IF(ISNUMBER(SEARCH("Var", D877)), 1, IF(ISNUMBER(SEARCH("Gri", D877)), -1, 0)))=1, VERI_TABANI!E26*(1-0.928)*0.00206091519919798*VERI_TABANI!G26, 0)) + ((MIN(VERI_TABANI!D27, VERI_TABANI!D27*B877)*VERI_TABANI!$B$7 + MAX(0, VERI_TABANI!D27*B877-VERI_TABANI!D27)*VERI_TABANI!$B$8) + (MIN(MAX(0, VERI_TABANI!D27-VERI_TABANI!D27*B877), VERI_TABANI!D27*C877)*VERI_TABANI!$B$7 + MAX(0, VERI_TABANI!D27*C877-MAX(0, VERI_TABANI!D27-VERI_TABANI!D27*B877))*VERI_TABANI!$B$8) + IF(ABS(IF(ISNUMBER(SEARCH("Var", D877)), 1, IF(ISNUMBER(SEARCH("Gri", D877)), -1, 0)))=1, VERI_TABANI!E27*(1-0.928)*VERI_TABANI!$B$9, 0) + (VERI_TABANI!D27*B877*(VERI_TABANI!$B$13-VERI_TABANI!$B$14)*VERI_TABANI!G27) + (VERI_TABANI!D27*C877*(VERI_TABANI!$B$13-VERI_TABANI!$B$15)*VERI_TABANI!G27) + IF(ABS(IF(ISNUMBER(SEARCH("Var", D877)), 1, IF(ISNUMBER(SEARCH("Gri", D877)), -1, 0)))=1, VERI_TABANI!E27*(1-0.928)*0.00206091519919798*VERI_TABANI!G27, 0)) + ((MIN(VERI_TABANI!D28, VERI_TABANI!D28*B877)*VERI_TABANI!$B$7 + MAX(0, VERI_TABANI!D28*B877-VERI_TABANI!D28)*VERI_TABANI!$B$8) + (MIN(MAX(0, VERI_TABANI!D28-VERI_TABANI!D28*B877), VERI_TABANI!D28*C877)*VERI_TABANI!$B$7 + MAX(0, VERI_TABANI!D28*C877-MAX(0, VERI_TABANI!D28-VERI_TABANI!D28*B877))*VERI_TABANI!$B$8) + IF(ABS(IF(ISNUMBER(SEARCH("Var", D877)), 1, IF(ISNUMBER(SEARCH("Gri", D877)), -1, 0)))=1, VERI_TABANI!E28*(1-0.928)*VERI_TABANI!$B$9, 0) + (VERI_TABANI!D28*B877*(VERI_TABANI!$B$13-VERI_TABANI!$B$14)*VERI_TABANI!G28) + (VERI_TABANI!D28*C877*(VERI_TABANI!$B$13-VERI_TABANI!$B$15)*VERI_TABANI!G28) + IF(ABS(IF(ISNUMBER(SEARCH("Var", D877)), 1, IF(ISNUMBER(SEARCH("Gri", D877)), -1, 0)))=1, VERI_TABANI!E28*(1-0.928)*0.00206091519919798*VERI_TABANI!G28, 0)))</f>
        <v/>
      </c>
      <c r="H877" s="169">
        <f>(((VERI_TABANI!D23*B877*(VERI_TABANI!$B$13-VERI_TABANI!$B$14)) + (VERI_TABANI!D23*C877*(VERI_TABANI!$B$13-VERI_TABANI!$B$15)) + IF(ISNUMBER(SEARCH("Var", D877)), VERI_TABANI!F23*(0.00202-VERI_TABANI!$B$16), IF(ISNUMBER(SEARCH("Gri", D877)), VERI_TABANI!F23*(0.00202-VERI_TABANI!$B$17), 0))) + ((VERI_TABANI!D24*B877*(VERI_TABANI!$B$13-VERI_TABANI!$B$14)) + (VERI_TABANI!D24*C877*(VERI_TABANI!$B$13-VERI_TABANI!$B$15)) + IF(ISNUMBER(SEARCH("Var", D877)), VERI_TABANI!F24*(0.00202-VERI_TABANI!$B$16), IF(ISNUMBER(SEARCH("Gri", D877)), VERI_TABANI!F24*(0.00202-VERI_TABANI!$B$17), 0))) + ((VERI_TABANI!D25*B877*(VERI_TABANI!$B$13-VERI_TABANI!$B$14)) + (VERI_TABANI!D25*C877*(VERI_TABANI!$B$13-VERI_TABANI!$B$15)) + IF(ISNUMBER(SEARCH("Var", D877)), VERI_TABANI!F25*(0.00202-VERI_TABANI!$B$16), IF(ISNUMBER(SEARCH("Gri", D877)), VERI_TABANI!F25*(0.00202-VERI_TABANI!$B$17), 0))) + ((VERI_TABANI!D26*B877*(VERI_TABANI!$B$13-VERI_TABANI!$B$14)) + (VERI_TABANI!D26*C877*(VERI_TABANI!$B$13-VERI_TABANI!$B$15)) + IF(ISNUMBER(SEARCH("Var", D877)), VERI_TABANI!F26*(0.00202-VERI_TABANI!$B$16), IF(ISNUMBER(SEARCH("Gri", D877)), VERI_TABANI!F26*(0.00202-VERI_TABANI!$B$17), 0))) + ((VERI_TABANI!D27*B877*(VERI_TABANI!$B$13-VERI_TABANI!$B$14)) + (VERI_TABANI!D27*C877*(VERI_TABANI!$B$13-VERI_TABANI!$B$15)) + IF(ISNUMBER(SEARCH("Var", D877)), VERI_TABANI!F27*(0.00202-VERI_TABANI!$B$16), IF(ISNUMBER(SEARCH("Gri", D877)), VERI_TABANI!F27*(0.00202-VERI_TABANI!$B$17), 0))) + ((VERI_TABANI!D28*B877*(VERI_TABANI!$B$13-VERI_TABANI!$B$14)) + (VERI_TABANI!D28*C877*(VERI_TABANI!$B$13-VERI_TABANI!$B$15)) + IF(ISNUMBER(SEARCH("Var", D877)), VERI_TABANI!F28*(0.00202-VERI_TABANI!$B$16), IF(ISNUMBER(SEARCH("Gri", D877)), VERI_TABANI!F28*(0.00202-VERI_TABANI!$B$17), 0))))</f>
        <v/>
      </c>
      <c r="I877" s="170">
        <f>IFERROR(((VERI_TABANI!$D$29*B877*VERI_TABANI!$B$14 + VERI_TABANI!$D$29*C877*VERI_TABANI!$B$15 + IF(ISNUMBER(SEARCH("Var", D877)), VERI_TABANI!$F$29*VERI_TABANI!$B$16, 0))) / (((VERI_TABANI!$D$29*B877 + VERI_TABANI!$D$29*C877)*VERI_TABANI!$B$13 + IF(ISNUMBER(SEARCH("Var", D877)), VERI_TABANI!$E$29*(1-0.928)*VERI_TABANI!$B$18, 0))), 0)</f>
        <v/>
      </c>
      <c r="J877" s="171">
        <f>IFERROR(F877/(G877/29), 0)</f>
        <v/>
      </c>
      <c r="K877" s="172">
        <f>IF(F877&gt;0, H877/F877, 0)</f>
        <v/>
      </c>
      <c r="L877" s="170">
        <f>IF(F877&gt;0, I877, 1000000000)</f>
        <v/>
      </c>
      <c r="M877" s="171">
        <f>ABS((B877+C877)-1)</f>
        <v/>
      </c>
      <c r="N877" s="170">
        <f>IF(F877&gt;0, (G877/29)/F877, 0)</f>
        <v/>
      </c>
      <c r="O877" s="168">
        <f>IF(AND((B877+C877)&gt;=1, ISNUMBER(SEARCH("Var", D877))), F877, 1000000000)</f>
        <v/>
      </c>
      <c r="P877" s="172">
        <f>IF(F877&gt;0, SQRT((F877/MAX(F$5:F$886))^2 + (1 - H877/MAX(H$5:H$886))^2 + (J877/MAX(J$5:J$886))^2), 1000000000)</f>
        <v/>
      </c>
      <c r="Q877" s="166">
        <f>IF(AND(ABS(B877-0.5)&lt;0.01, ABS(C877-0.5)&lt;0.01, ISNUMBER(SEARCH("Var", D877))), 1, 0)</f>
        <v/>
      </c>
      <c r="R877" s="171">
        <f>IF(F877&gt;0, J877, 1000000000)</f>
        <v/>
      </c>
      <c r="S877" s="101">
        <f>IF(AND(F877&lt;=DASHBOARD!$B$11, H877&gt;=DASHBOARD!$B$13), G877, -1000000000000)</f>
        <v/>
      </c>
      <c r="T877" s="101">
        <f>IF(AND(F877&lt;=DASHBOARD!$B$11, H877&gt;=DASHBOARD!$B$13), R877, 1000000000000)</f>
        <v/>
      </c>
      <c r="U877" s="101">
        <f>IF(AND(F877&lt;=DASHBOARD!$B$11, H877&gt;=DASHBOARD!$B$13), N877, -1000000000000)</f>
        <v/>
      </c>
      <c r="V877" s="101">
        <f>IF(AND(F877&lt;=DASHBOARD!$B$11, H877&gt;=DASHBOARD!$B$13), H877, -1000000000000)</f>
        <v/>
      </c>
      <c r="W877" s="101">
        <f>IF(AND(F877&lt;=DASHBOARD!$B$11, H877&gt;=DASHBOARD!$B$13), K877, -1000000000000)</f>
        <v/>
      </c>
      <c r="X877" s="101">
        <f>IF(AND(F877&lt;=DASHBOARD!$B$11, H877&gt;=DASHBOARD!$B$13), M877, 1000000000000)</f>
        <v/>
      </c>
      <c r="Y877" s="101">
        <f>IF(AND(F877&lt;=DASHBOARD!$B$10, H877&gt;=DASHBOARD!$B$11), L877, 1000000000000)</f>
        <v/>
      </c>
      <c r="Z877" s="101">
        <f>IF(AND(F877&lt;=DASHBOARD!$B$10, H877&gt;=DASHBOARD!$B$11), O877, 1000000000000)</f>
        <v/>
      </c>
      <c r="AA877" s="101">
        <f>IF(AND(F877&lt;=DASHBOARD!$B$10, H877&gt;=DASHBOARD!$B$11), P877, 1000000000000)</f>
        <v/>
      </c>
      <c r="AB877" s="101">
        <f>IF(AND(F877&lt;=DASHBOARD!$B$10, H877&gt;=DASHBOARD!$B$11), Q877, -1000000000000)</f>
        <v/>
      </c>
    </row>
    <row r="878" ht="15" customHeight="1" s="102">
      <c r="A878" s="166" t="n">
        <v>874</v>
      </c>
      <c r="B878" s="167" t="n">
        <v>2</v>
      </c>
      <c r="C878" s="167" t="n">
        <v>1.6</v>
      </c>
      <c r="D878" s="110" t="inlineStr">
        <is>
          <t>Var (%20)</t>
        </is>
      </c>
      <c r="E878" s="110">
        <f>IF((B878+C878)&lt;=1, "Tam Mahsuplaşma (≤%100)", "Kısmi Satış (&gt;%100)")</f>
        <v/>
      </c>
      <c r="F878" s="168">
        <f>((VERI_TABANI!$D$29*B878/VERI_TABANI!$B$29)/VERI_TABANI!$B$3)*VERI_TABANI!$B$5 + ((VERI_TABANI!$D$29*C878/VERI_TABANI!$B$29)/VERI_TABANI!$B$4)*VERI_TABANI!$B$6 + IF(ISNUMBER(SEARCH("Var", D878)), (VERI_TABANI!$F$29/VERI_TABANI!$B$29)*(VERI_TABANI!$B$10+VERI_TABANI!$B$12), 0)</f>
        <v/>
      </c>
      <c r="G878" s="168">
        <f>(((MIN(VERI_TABANI!D23, VERI_TABANI!D23*B878)*VERI_TABANI!$B$7 + MAX(0, VERI_TABANI!D23*B878-VERI_TABANI!D23)*VERI_TABANI!$B$8) + (MIN(MAX(0, VERI_TABANI!D23-VERI_TABANI!D23*B878), VERI_TABANI!D23*C878)*VERI_TABANI!$B$7 + MAX(0, VERI_TABANI!D23*C878-MAX(0, VERI_TABANI!D23-VERI_TABANI!D23*B878))*VERI_TABANI!$B$8) + IF(ABS(IF(ISNUMBER(SEARCH("Var", D878)), 1, IF(ISNUMBER(SEARCH("Gri", D878)), -1, 0)))=1, VERI_TABANI!E23*(1-0.928)*VERI_TABANI!$B$9, 0) + (VERI_TABANI!D23*B878*(VERI_TABANI!$B$13-VERI_TABANI!$B$14)*VERI_TABANI!G23) + (VERI_TABANI!D23*C878*(VERI_TABANI!$B$13-VERI_TABANI!$B$15)*VERI_TABANI!G23) + IF(ABS(IF(ISNUMBER(SEARCH("Var", D878)), 1, IF(ISNUMBER(SEARCH("Gri", D878)), -1, 0)))=1, VERI_TABANI!E23*(1-0.928)*0.00206091519919798*VERI_TABANI!G23, 0)) + ((MIN(VERI_TABANI!D24, VERI_TABANI!D24*B878)*VERI_TABANI!$B$7 + MAX(0, VERI_TABANI!D24*B878-VERI_TABANI!D24)*VERI_TABANI!$B$8) + (MIN(MAX(0, VERI_TABANI!D24-VERI_TABANI!D24*B878), VERI_TABANI!D24*C878)*VERI_TABANI!$B$7 + MAX(0, VERI_TABANI!D24*C878-MAX(0, VERI_TABANI!D24-VERI_TABANI!D24*B878))*VERI_TABANI!$B$8) + IF(ABS(IF(ISNUMBER(SEARCH("Var", D878)), 1, IF(ISNUMBER(SEARCH("Gri", D878)), -1, 0)))=1, VERI_TABANI!E24*(1-0.928)*VERI_TABANI!$B$9, 0) + (VERI_TABANI!D24*B878*(VERI_TABANI!$B$13-VERI_TABANI!$B$14)*VERI_TABANI!G24) + (VERI_TABANI!D24*C878*(VERI_TABANI!$B$13-VERI_TABANI!$B$15)*VERI_TABANI!G24) + IF(ABS(IF(ISNUMBER(SEARCH("Var", D878)), 1, IF(ISNUMBER(SEARCH("Gri", D878)), -1, 0)))=1, VERI_TABANI!E24*(1-0.928)*0.00206091519919798*VERI_TABANI!G24, 0)) + ((MIN(VERI_TABANI!D25, VERI_TABANI!D25*B878)*VERI_TABANI!$B$7 + MAX(0, VERI_TABANI!D25*B878-VERI_TABANI!D25)*VERI_TABANI!$B$8) + (MIN(MAX(0, VERI_TABANI!D25-VERI_TABANI!D25*B878), VERI_TABANI!D25*C878)*VERI_TABANI!$B$7 + MAX(0, VERI_TABANI!D25*C878-MAX(0, VERI_TABANI!D25-VERI_TABANI!D25*B878))*VERI_TABANI!$B$8) + IF(ABS(IF(ISNUMBER(SEARCH("Var", D878)), 1, IF(ISNUMBER(SEARCH("Gri", D878)), -1, 0)))=1, VERI_TABANI!E25*(1-0.928)*VERI_TABANI!$B$9, 0) + (VERI_TABANI!D25*B878*(VERI_TABANI!$B$13-VERI_TABANI!$B$14)*VERI_TABANI!G25) + (VERI_TABANI!D25*C878*(VERI_TABANI!$B$13-VERI_TABANI!$B$15)*VERI_TABANI!G25) + IF(ABS(IF(ISNUMBER(SEARCH("Var", D878)), 1, IF(ISNUMBER(SEARCH("Gri", D878)), -1, 0)))=1, VERI_TABANI!E25*(1-0.928)*0.00206091519919798*VERI_TABANI!G25, 0)) + ((MIN(VERI_TABANI!D26, VERI_TABANI!D26*B878)*VERI_TABANI!$B$7 + MAX(0, VERI_TABANI!D26*B878-VERI_TABANI!D26)*VERI_TABANI!$B$8) + (MIN(MAX(0, VERI_TABANI!D26-VERI_TABANI!D26*B878), VERI_TABANI!D26*C878)*VERI_TABANI!$B$7 + MAX(0, VERI_TABANI!D26*C878-MAX(0, VERI_TABANI!D26-VERI_TABANI!D26*B878))*VERI_TABANI!$B$8) + IF(ABS(IF(ISNUMBER(SEARCH("Var", D878)), 1, IF(ISNUMBER(SEARCH("Gri", D878)), -1, 0)))=1, VERI_TABANI!E26*(1-0.928)*VERI_TABANI!$B$9, 0) + (VERI_TABANI!D26*B878*(VERI_TABANI!$B$13-VERI_TABANI!$B$14)*VERI_TABANI!G26) + (VERI_TABANI!D26*C878*(VERI_TABANI!$B$13-VERI_TABANI!$B$15)*VERI_TABANI!G26) + IF(ABS(IF(ISNUMBER(SEARCH("Var", D878)), 1, IF(ISNUMBER(SEARCH("Gri", D878)), -1, 0)))=1, VERI_TABANI!E26*(1-0.928)*0.00206091519919798*VERI_TABANI!G26, 0)) + ((MIN(VERI_TABANI!D27, VERI_TABANI!D27*B878)*VERI_TABANI!$B$7 + MAX(0, VERI_TABANI!D27*B878-VERI_TABANI!D27)*VERI_TABANI!$B$8) + (MIN(MAX(0, VERI_TABANI!D27-VERI_TABANI!D27*B878), VERI_TABANI!D27*C878)*VERI_TABANI!$B$7 + MAX(0, VERI_TABANI!D27*C878-MAX(0, VERI_TABANI!D27-VERI_TABANI!D27*B878))*VERI_TABANI!$B$8) + IF(ABS(IF(ISNUMBER(SEARCH("Var", D878)), 1, IF(ISNUMBER(SEARCH("Gri", D878)), -1, 0)))=1, VERI_TABANI!E27*(1-0.928)*VERI_TABANI!$B$9, 0) + (VERI_TABANI!D27*B878*(VERI_TABANI!$B$13-VERI_TABANI!$B$14)*VERI_TABANI!G27) + (VERI_TABANI!D27*C878*(VERI_TABANI!$B$13-VERI_TABANI!$B$15)*VERI_TABANI!G27) + IF(ABS(IF(ISNUMBER(SEARCH("Var", D878)), 1, IF(ISNUMBER(SEARCH("Gri", D878)), -1, 0)))=1, VERI_TABANI!E27*(1-0.928)*0.00206091519919798*VERI_TABANI!G27, 0)) + ((MIN(VERI_TABANI!D28, VERI_TABANI!D28*B878)*VERI_TABANI!$B$7 + MAX(0, VERI_TABANI!D28*B878-VERI_TABANI!D28)*VERI_TABANI!$B$8) + (MIN(MAX(0, VERI_TABANI!D28-VERI_TABANI!D28*B878), VERI_TABANI!D28*C878)*VERI_TABANI!$B$7 + MAX(0, VERI_TABANI!D28*C878-MAX(0, VERI_TABANI!D28-VERI_TABANI!D28*B878))*VERI_TABANI!$B$8) + IF(ABS(IF(ISNUMBER(SEARCH("Var", D878)), 1, IF(ISNUMBER(SEARCH("Gri", D878)), -1, 0)))=1, VERI_TABANI!E28*(1-0.928)*VERI_TABANI!$B$9, 0) + (VERI_TABANI!D28*B878*(VERI_TABANI!$B$13-VERI_TABANI!$B$14)*VERI_TABANI!G28) + (VERI_TABANI!D28*C878*(VERI_TABANI!$B$13-VERI_TABANI!$B$15)*VERI_TABANI!G28) + IF(ABS(IF(ISNUMBER(SEARCH("Var", D878)), 1, IF(ISNUMBER(SEARCH("Gri", D878)), -1, 0)))=1, VERI_TABANI!E28*(1-0.928)*0.00206091519919798*VERI_TABANI!G28, 0)))</f>
        <v/>
      </c>
      <c r="H878" s="169">
        <f>(((VERI_TABANI!D23*B878*(VERI_TABANI!$B$13-VERI_TABANI!$B$14)) + (VERI_TABANI!D23*C878*(VERI_TABANI!$B$13-VERI_TABANI!$B$15)) + IF(ISNUMBER(SEARCH("Var", D878)), VERI_TABANI!F23*(0.00202-VERI_TABANI!$B$16), IF(ISNUMBER(SEARCH("Gri", D878)), VERI_TABANI!F23*(0.00202-VERI_TABANI!$B$17), 0))) + ((VERI_TABANI!D24*B878*(VERI_TABANI!$B$13-VERI_TABANI!$B$14)) + (VERI_TABANI!D24*C878*(VERI_TABANI!$B$13-VERI_TABANI!$B$15)) + IF(ISNUMBER(SEARCH("Var", D878)), VERI_TABANI!F24*(0.00202-VERI_TABANI!$B$16), IF(ISNUMBER(SEARCH("Gri", D878)), VERI_TABANI!F24*(0.00202-VERI_TABANI!$B$17), 0))) + ((VERI_TABANI!D25*B878*(VERI_TABANI!$B$13-VERI_TABANI!$B$14)) + (VERI_TABANI!D25*C878*(VERI_TABANI!$B$13-VERI_TABANI!$B$15)) + IF(ISNUMBER(SEARCH("Var", D878)), VERI_TABANI!F25*(0.00202-VERI_TABANI!$B$16), IF(ISNUMBER(SEARCH("Gri", D878)), VERI_TABANI!F25*(0.00202-VERI_TABANI!$B$17), 0))) + ((VERI_TABANI!D26*B878*(VERI_TABANI!$B$13-VERI_TABANI!$B$14)) + (VERI_TABANI!D26*C878*(VERI_TABANI!$B$13-VERI_TABANI!$B$15)) + IF(ISNUMBER(SEARCH("Var", D878)), VERI_TABANI!F26*(0.00202-VERI_TABANI!$B$16), IF(ISNUMBER(SEARCH("Gri", D878)), VERI_TABANI!F26*(0.00202-VERI_TABANI!$B$17), 0))) + ((VERI_TABANI!D27*B878*(VERI_TABANI!$B$13-VERI_TABANI!$B$14)) + (VERI_TABANI!D27*C878*(VERI_TABANI!$B$13-VERI_TABANI!$B$15)) + IF(ISNUMBER(SEARCH("Var", D878)), VERI_TABANI!F27*(0.00202-VERI_TABANI!$B$16), IF(ISNUMBER(SEARCH("Gri", D878)), VERI_TABANI!F27*(0.00202-VERI_TABANI!$B$17), 0))) + ((VERI_TABANI!D28*B878*(VERI_TABANI!$B$13-VERI_TABANI!$B$14)) + (VERI_TABANI!D28*C878*(VERI_TABANI!$B$13-VERI_TABANI!$B$15)) + IF(ISNUMBER(SEARCH("Var", D878)), VERI_TABANI!F28*(0.00202-VERI_TABANI!$B$16), IF(ISNUMBER(SEARCH("Gri", D878)), VERI_TABANI!F28*(0.00202-VERI_TABANI!$B$17), 0))))</f>
        <v/>
      </c>
      <c r="I878" s="170">
        <f>IFERROR(((VERI_TABANI!$D$29*B878*VERI_TABANI!$B$14 + VERI_TABANI!$D$29*C878*VERI_TABANI!$B$15 + IF(ISNUMBER(SEARCH("Var", D878)), VERI_TABANI!$F$29*VERI_TABANI!$B$16, 0))) / (((VERI_TABANI!$D$29*B878 + VERI_TABANI!$D$29*C878)*VERI_TABANI!$B$13 + IF(ISNUMBER(SEARCH("Var", D878)), VERI_TABANI!$E$29*(1-0.928)*VERI_TABANI!$B$18, 0))), 0)</f>
        <v/>
      </c>
      <c r="J878" s="171">
        <f>IFERROR(F878/(G878/29), 0)</f>
        <v/>
      </c>
      <c r="K878" s="172">
        <f>IF(F878&gt;0, H878/F878, 0)</f>
        <v/>
      </c>
      <c r="L878" s="170">
        <f>IF(F878&gt;0, I878, 1000000000)</f>
        <v/>
      </c>
      <c r="M878" s="171">
        <f>ABS((B878+C878)-1)</f>
        <v/>
      </c>
      <c r="N878" s="170">
        <f>IF(F878&gt;0, (G878/29)/F878, 0)</f>
        <v/>
      </c>
      <c r="O878" s="168">
        <f>IF(AND((B878+C878)&gt;=1, ISNUMBER(SEARCH("Var", D878))), F878, 1000000000)</f>
        <v/>
      </c>
      <c r="P878" s="172">
        <f>IF(F878&gt;0, SQRT((F878/MAX(F$5:F$886))^2 + (1 - H878/MAX(H$5:H$886))^2 + (J878/MAX(J$5:J$886))^2), 1000000000)</f>
        <v/>
      </c>
      <c r="Q878" s="166">
        <f>IF(AND(ABS(B878-0.5)&lt;0.01, ABS(C878-0.5)&lt;0.01, ISNUMBER(SEARCH("Var", D878))), 1, 0)</f>
        <v/>
      </c>
      <c r="R878" s="171">
        <f>IF(F878&gt;0, J878, 1000000000)</f>
        <v/>
      </c>
      <c r="S878" s="101">
        <f>IF(AND(F878&lt;=DASHBOARD!$B$11, H878&gt;=DASHBOARD!$B$13), G878, -1000000000000)</f>
        <v/>
      </c>
      <c r="T878" s="101">
        <f>IF(AND(F878&lt;=DASHBOARD!$B$11, H878&gt;=DASHBOARD!$B$13), R878, 1000000000000)</f>
        <v/>
      </c>
      <c r="U878" s="101">
        <f>IF(AND(F878&lt;=DASHBOARD!$B$11, H878&gt;=DASHBOARD!$B$13), N878, -1000000000000)</f>
        <v/>
      </c>
      <c r="V878" s="101">
        <f>IF(AND(F878&lt;=DASHBOARD!$B$11, H878&gt;=DASHBOARD!$B$13), H878, -1000000000000)</f>
        <v/>
      </c>
      <c r="W878" s="101">
        <f>IF(AND(F878&lt;=DASHBOARD!$B$11, H878&gt;=DASHBOARD!$B$13), K878, -1000000000000)</f>
        <v/>
      </c>
      <c r="X878" s="101">
        <f>IF(AND(F878&lt;=DASHBOARD!$B$11, H878&gt;=DASHBOARD!$B$13), M878, 1000000000000)</f>
        <v/>
      </c>
      <c r="Y878" s="101">
        <f>IF(AND(F878&lt;=DASHBOARD!$B$10, H878&gt;=DASHBOARD!$B$11), L878, 1000000000000)</f>
        <v/>
      </c>
      <c r="Z878" s="101">
        <f>IF(AND(F878&lt;=DASHBOARD!$B$10, H878&gt;=DASHBOARD!$B$11), O878, 1000000000000)</f>
        <v/>
      </c>
      <c r="AA878" s="101">
        <f>IF(AND(F878&lt;=DASHBOARD!$B$10, H878&gt;=DASHBOARD!$B$11), P878, 1000000000000)</f>
        <v/>
      </c>
      <c r="AB878" s="101">
        <f>IF(AND(F878&lt;=DASHBOARD!$B$10, H878&gt;=DASHBOARD!$B$11), Q878, -1000000000000)</f>
        <v/>
      </c>
    </row>
    <row r="879" ht="15" customHeight="1" s="102">
      <c r="A879" s="166" t="n">
        <v>875</v>
      </c>
      <c r="B879" s="167" t="n">
        <v>2</v>
      </c>
      <c r="C879" s="167" t="n">
        <v>1.7</v>
      </c>
      <c r="D879" s="110" t="inlineStr">
        <is>
          <t>Yok (%0)</t>
        </is>
      </c>
      <c r="E879" s="110">
        <f>IF((B879+C879)&lt;=1, "Tam Mahsuplaşma (≤%100)", "Kısmi Satış (&gt;%100)")</f>
        <v/>
      </c>
      <c r="F879" s="168">
        <f>((VERI_TABANI!$D$29*B879/VERI_TABANI!$B$29)/VERI_TABANI!$B$3)*VERI_TABANI!$B$5 + ((VERI_TABANI!$D$29*C879/VERI_TABANI!$B$29)/VERI_TABANI!$B$4)*VERI_TABANI!$B$6 + IF(ISNUMBER(SEARCH("Var", D879)), (VERI_TABANI!$F$29/VERI_TABANI!$B$29)*(VERI_TABANI!$B$10+VERI_TABANI!$B$12), 0)</f>
        <v/>
      </c>
      <c r="G879" s="168">
        <f>(((MIN(VERI_TABANI!D23, VERI_TABANI!D23*B879)*VERI_TABANI!$B$7 + MAX(0, VERI_TABANI!D23*B879-VERI_TABANI!D23)*VERI_TABANI!$B$8) + (MIN(MAX(0, VERI_TABANI!D23-VERI_TABANI!D23*B879), VERI_TABANI!D23*C879)*VERI_TABANI!$B$7 + MAX(0, VERI_TABANI!D23*C879-MAX(0, VERI_TABANI!D23-VERI_TABANI!D23*B879))*VERI_TABANI!$B$8) + IF(ABS(IF(ISNUMBER(SEARCH("Var", D879)), 1, IF(ISNUMBER(SEARCH("Gri", D879)), -1, 0)))=1, VERI_TABANI!E23*(1-0.928)*VERI_TABANI!$B$9, 0) + (VERI_TABANI!D23*B879*(VERI_TABANI!$B$13-VERI_TABANI!$B$14)*VERI_TABANI!G23) + (VERI_TABANI!D23*C879*(VERI_TABANI!$B$13-VERI_TABANI!$B$15)*VERI_TABANI!G23) + IF(ABS(IF(ISNUMBER(SEARCH("Var", D879)), 1, IF(ISNUMBER(SEARCH("Gri", D879)), -1, 0)))=1, VERI_TABANI!E23*(1-0.928)*0.00206091519919798*VERI_TABANI!G23, 0)) + ((MIN(VERI_TABANI!D24, VERI_TABANI!D24*B879)*VERI_TABANI!$B$7 + MAX(0, VERI_TABANI!D24*B879-VERI_TABANI!D24)*VERI_TABANI!$B$8) + (MIN(MAX(0, VERI_TABANI!D24-VERI_TABANI!D24*B879), VERI_TABANI!D24*C879)*VERI_TABANI!$B$7 + MAX(0, VERI_TABANI!D24*C879-MAX(0, VERI_TABANI!D24-VERI_TABANI!D24*B879))*VERI_TABANI!$B$8) + IF(ABS(IF(ISNUMBER(SEARCH("Var", D879)), 1, IF(ISNUMBER(SEARCH("Gri", D879)), -1, 0)))=1, VERI_TABANI!E24*(1-0.928)*VERI_TABANI!$B$9, 0) + (VERI_TABANI!D24*B879*(VERI_TABANI!$B$13-VERI_TABANI!$B$14)*VERI_TABANI!G24) + (VERI_TABANI!D24*C879*(VERI_TABANI!$B$13-VERI_TABANI!$B$15)*VERI_TABANI!G24) + IF(ABS(IF(ISNUMBER(SEARCH("Var", D879)), 1, IF(ISNUMBER(SEARCH("Gri", D879)), -1, 0)))=1, VERI_TABANI!E24*(1-0.928)*0.00206091519919798*VERI_TABANI!G24, 0)) + ((MIN(VERI_TABANI!D25, VERI_TABANI!D25*B879)*VERI_TABANI!$B$7 + MAX(0, VERI_TABANI!D25*B879-VERI_TABANI!D25)*VERI_TABANI!$B$8) + (MIN(MAX(0, VERI_TABANI!D25-VERI_TABANI!D25*B879), VERI_TABANI!D25*C879)*VERI_TABANI!$B$7 + MAX(0, VERI_TABANI!D25*C879-MAX(0, VERI_TABANI!D25-VERI_TABANI!D25*B879))*VERI_TABANI!$B$8) + IF(ABS(IF(ISNUMBER(SEARCH("Var", D879)), 1, IF(ISNUMBER(SEARCH("Gri", D879)), -1, 0)))=1, VERI_TABANI!E25*(1-0.928)*VERI_TABANI!$B$9, 0) + (VERI_TABANI!D25*B879*(VERI_TABANI!$B$13-VERI_TABANI!$B$14)*VERI_TABANI!G25) + (VERI_TABANI!D25*C879*(VERI_TABANI!$B$13-VERI_TABANI!$B$15)*VERI_TABANI!G25) + IF(ABS(IF(ISNUMBER(SEARCH("Var", D879)), 1, IF(ISNUMBER(SEARCH("Gri", D879)), -1, 0)))=1, VERI_TABANI!E25*(1-0.928)*0.00206091519919798*VERI_TABANI!G25, 0)) + ((MIN(VERI_TABANI!D26, VERI_TABANI!D26*B879)*VERI_TABANI!$B$7 + MAX(0, VERI_TABANI!D26*B879-VERI_TABANI!D26)*VERI_TABANI!$B$8) + (MIN(MAX(0, VERI_TABANI!D26-VERI_TABANI!D26*B879), VERI_TABANI!D26*C879)*VERI_TABANI!$B$7 + MAX(0, VERI_TABANI!D26*C879-MAX(0, VERI_TABANI!D26-VERI_TABANI!D26*B879))*VERI_TABANI!$B$8) + IF(ABS(IF(ISNUMBER(SEARCH("Var", D879)), 1, IF(ISNUMBER(SEARCH("Gri", D879)), -1, 0)))=1, VERI_TABANI!E26*(1-0.928)*VERI_TABANI!$B$9, 0) + (VERI_TABANI!D26*B879*(VERI_TABANI!$B$13-VERI_TABANI!$B$14)*VERI_TABANI!G26) + (VERI_TABANI!D26*C879*(VERI_TABANI!$B$13-VERI_TABANI!$B$15)*VERI_TABANI!G26) + IF(ABS(IF(ISNUMBER(SEARCH("Var", D879)), 1, IF(ISNUMBER(SEARCH("Gri", D879)), -1, 0)))=1, VERI_TABANI!E26*(1-0.928)*0.00206091519919798*VERI_TABANI!G26, 0)) + ((MIN(VERI_TABANI!D27, VERI_TABANI!D27*B879)*VERI_TABANI!$B$7 + MAX(0, VERI_TABANI!D27*B879-VERI_TABANI!D27)*VERI_TABANI!$B$8) + (MIN(MAX(0, VERI_TABANI!D27-VERI_TABANI!D27*B879), VERI_TABANI!D27*C879)*VERI_TABANI!$B$7 + MAX(0, VERI_TABANI!D27*C879-MAX(0, VERI_TABANI!D27-VERI_TABANI!D27*B879))*VERI_TABANI!$B$8) + IF(ABS(IF(ISNUMBER(SEARCH("Var", D879)), 1, IF(ISNUMBER(SEARCH("Gri", D879)), -1, 0)))=1, VERI_TABANI!E27*(1-0.928)*VERI_TABANI!$B$9, 0) + (VERI_TABANI!D27*B879*(VERI_TABANI!$B$13-VERI_TABANI!$B$14)*VERI_TABANI!G27) + (VERI_TABANI!D27*C879*(VERI_TABANI!$B$13-VERI_TABANI!$B$15)*VERI_TABANI!G27) + IF(ABS(IF(ISNUMBER(SEARCH("Var", D879)), 1, IF(ISNUMBER(SEARCH("Gri", D879)), -1, 0)))=1, VERI_TABANI!E27*(1-0.928)*0.00206091519919798*VERI_TABANI!G27, 0)) + ((MIN(VERI_TABANI!D28, VERI_TABANI!D28*B879)*VERI_TABANI!$B$7 + MAX(0, VERI_TABANI!D28*B879-VERI_TABANI!D28)*VERI_TABANI!$B$8) + (MIN(MAX(0, VERI_TABANI!D28-VERI_TABANI!D28*B879), VERI_TABANI!D28*C879)*VERI_TABANI!$B$7 + MAX(0, VERI_TABANI!D28*C879-MAX(0, VERI_TABANI!D28-VERI_TABANI!D28*B879))*VERI_TABANI!$B$8) + IF(ABS(IF(ISNUMBER(SEARCH("Var", D879)), 1, IF(ISNUMBER(SEARCH("Gri", D879)), -1, 0)))=1, VERI_TABANI!E28*(1-0.928)*VERI_TABANI!$B$9, 0) + (VERI_TABANI!D28*B879*(VERI_TABANI!$B$13-VERI_TABANI!$B$14)*VERI_TABANI!G28) + (VERI_TABANI!D28*C879*(VERI_TABANI!$B$13-VERI_TABANI!$B$15)*VERI_TABANI!G28) + IF(ABS(IF(ISNUMBER(SEARCH("Var", D879)), 1, IF(ISNUMBER(SEARCH("Gri", D879)), -1, 0)))=1, VERI_TABANI!E28*(1-0.928)*0.00206091519919798*VERI_TABANI!G28, 0)))</f>
        <v/>
      </c>
      <c r="H879" s="169">
        <f>(((VERI_TABANI!D23*B879*(VERI_TABANI!$B$13-VERI_TABANI!$B$14)) + (VERI_TABANI!D23*C879*(VERI_TABANI!$B$13-VERI_TABANI!$B$15)) + IF(ISNUMBER(SEARCH("Var", D879)), VERI_TABANI!F23*(0.00202-VERI_TABANI!$B$16), IF(ISNUMBER(SEARCH("Gri", D879)), VERI_TABANI!F23*(0.00202-VERI_TABANI!$B$17), 0))) + ((VERI_TABANI!D24*B879*(VERI_TABANI!$B$13-VERI_TABANI!$B$14)) + (VERI_TABANI!D24*C879*(VERI_TABANI!$B$13-VERI_TABANI!$B$15)) + IF(ISNUMBER(SEARCH("Var", D879)), VERI_TABANI!F24*(0.00202-VERI_TABANI!$B$16), IF(ISNUMBER(SEARCH("Gri", D879)), VERI_TABANI!F24*(0.00202-VERI_TABANI!$B$17), 0))) + ((VERI_TABANI!D25*B879*(VERI_TABANI!$B$13-VERI_TABANI!$B$14)) + (VERI_TABANI!D25*C879*(VERI_TABANI!$B$13-VERI_TABANI!$B$15)) + IF(ISNUMBER(SEARCH("Var", D879)), VERI_TABANI!F25*(0.00202-VERI_TABANI!$B$16), IF(ISNUMBER(SEARCH("Gri", D879)), VERI_TABANI!F25*(0.00202-VERI_TABANI!$B$17), 0))) + ((VERI_TABANI!D26*B879*(VERI_TABANI!$B$13-VERI_TABANI!$B$14)) + (VERI_TABANI!D26*C879*(VERI_TABANI!$B$13-VERI_TABANI!$B$15)) + IF(ISNUMBER(SEARCH("Var", D879)), VERI_TABANI!F26*(0.00202-VERI_TABANI!$B$16), IF(ISNUMBER(SEARCH("Gri", D879)), VERI_TABANI!F26*(0.00202-VERI_TABANI!$B$17), 0))) + ((VERI_TABANI!D27*B879*(VERI_TABANI!$B$13-VERI_TABANI!$B$14)) + (VERI_TABANI!D27*C879*(VERI_TABANI!$B$13-VERI_TABANI!$B$15)) + IF(ISNUMBER(SEARCH("Var", D879)), VERI_TABANI!F27*(0.00202-VERI_TABANI!$B$16), IF(ISNUMBER(SEARCH("Gri", D879)), VERI_TABANI!F27*(0.00202-VERI_TABANI!$B$17), 0))) + ((VERI_TABANI!D28*B879*(VERI_TABANI!$B$13-VERI_TABANI!$B$14)) + (VERI_TABANI!D28*C879*(VERI_TABANI!$B$13-VERI_TABANI!$B$15)) + IF(ISNUMBER(SEARCH("Var", D879)), VERI_TABANI!F28*(0.00202-VERI_TABANI!$B$16), IF(ISNUMBER(SEARCH("Gri", D879)), VERI_TABANI!F28*(0.00202-VERI_TABANI!$B$17), 0))))</f>
        <v/>
      </c>
      <c r="I879" s="170">
        <f>IFERROR(((VERI_TABANI!$D$29*B879*VERI_TABANI!$B$14 + VERI_TABANI!$D$29*C879*VERI_TABANI!$B$15 + IF(ISNUMBER(SEARCH("Var", D879)), VERI_TABANI!$F$29*VERI_TABANI!$B$16, 0))) / (((VERI_TABANI!$D$29*B879 + VERI_TABANI!$D$29*C879)*VERI_TABANI!$B$13 + IF(ISNUMBER(SEARCH("Var", D879)), VERI_TABANI!$E$29*(1-0.928)*VERI_TABANI!$B$18, 0))), 0)</f>
        <v/>
      </c>
      <c r="J879" s="171">
        <f>IFERROR(F879/(G879/29), 0)</f>
        <v/>
      </c>
      <c r="K879" s="172">
        <f>IF(F879&gt;0, H879/F879, 0)</f>
        <v/>
      </c>
      <c r="L879" s="170">
        <f>IF(F879&gt;0, I879, 1000000000)</f>
        <v/>
      </c>
      <c r="M879" s="171">
        <f>ABS((B879+C879)-1)</f>
        <v/>
      </c>
      <c r="N879" s="170">
        <f>IF(F879&gt;0, (G879/29)/F879, 0)</f>
        <v/>
      </c>
      <c r="O879" s="168">
        <f>IF(AND((B879+C879)&gt;=1, ISNUMBER(SEARCH("Var", D879))), F879, 1000000000)</f>
        <v/>
      </c>
      <c r="P879" s="172">
        <f>IF(F879&gt;0, SQRT((F879/MAX(F$5:F$886))^2 + (1 - H879/MAX(H$5:H$886))^2 + (J879/MAX(J$5:J$886))^2), 1000000000)</f>
        <v/>
      </c>
      <c r="Q879" s="166">
        <f>IF(AND(ABS(B879-0.5)&lt;0.01, ABS(C879-0.5)&lt;0.01, ISNUMBER(SEARCH("Var", D879))), 1, 0)</f>
        <v/>
      </c>
      <c r="R879" s="171">
        <f>IF(F879&gt;0, J879, 1000000000)</f>
        <v/>
      </c>
      <c r="S879" s="101">
        <f>IF(AND(F879&lt;=DASHBOARD!$B$11, H879&gt;=DASHBOARD!$B$13), G879, -1000000000000)</f>
        <v/>
      </c>
      <c r="T879" s="101">
        <f>IF(AND(F879&lt;=DASHBOARD!$B$11, H879&gt;=DASHBOARD!$B$13), R879, 1000000000000)</f>
        <v/>
      </c>
      <c r="U879" s="101">
        <f>IF(AND(F879&lt;=DASHBOARD!$B$11, H879&gt;=DASHBOARD!$B$13), N879, -1000000000000)</f>
        <v/>
      </c>
      <c r="V879" s="101">
        <f>IF(AND(F879&lt;=DASHBOARD!$B$11, H879&gt;=DASHBOARD!$B$13), H879, -1000000000000)</f>
        <v/>
      </c>
      <c r="W879" s="101">
        <f>IF(AND(F879&lt;=DASHBOARD!$B$11, H879&gt;=DASHBOARD!$B$13), K879, -1000000000000)</f>
        <v/>
      </c>
      <c r="X879" s="101">
        <f>IF(AND(F879&lt;=DASHBOARD!$B$11, H879&gt;=DASHBOARD!$B$13), M879, 1000000000000)</f>
        <v/>
      </c>
      <c r="Y879" s="101">
        <f>IF(AND(F879&lt;=DASHBOARD!$B$10, H879&gt;=DASHBOARD!$B$11), L879, 1000000000000)</f>
        <v/>
      </c>
      <c r="Z879" s="101">
        <f>IF(AND(F879&lt;=DASHBOARD!$B$10, H879&gt;=DASHBOARD!$B$11), O879, 1000000000000)</f>
        <v/>
      </c>
      <c r="AA879" s="101">
        <f>IF(AND(F879&lt;=DASHBOARD!$B$10, H879&gt;=DASHBOARD!$B$11), P879, 1000000000000)</f>
        <v/>
      </c>
      <c r="AB879" s="101">
        <f>IF(AND(F879&lt;=DASHBOARD!$B$10, H879&gt;=DASHBOARD!$B$11), Q879, -1000000000000)</f>
        <v/>
      </c>
    </row>
    <row r="880" ht="15" customHeight="1" s="102">
      <c r="A880" s="166" t="n">
        <v>876</v>
      </c>
      <c r="B880" s="167" t="n">
        <v>2</v>
      </c>
      <c r="C880" s="167" t="n">
        <v>1.7</v>
      </c>
      <c r="D880" s="110" t="inlineStr">
        <is>
          <t>Var (%20)</t>
        </is>
      </c>
      <c r="E880" s="110">
        <f>IF((B880+C880)&lt;=1, "Tam Mahsuplaşma (≤%100)", "Kısmi Satış (&gt;%100)")</f>
        <v/>
      </c>
      <c r="F880" s="168">
        <f>((VERI_TABANI!$D$29*B880/VERI_TABANI!$B$29)/VERI_TABANI!$B$3)*VERI_TABANI!$B$5 + ((VERI_TABANI!$D$29*C880/VERI_TABANI!$B$29)/VERI_TABANI!$B$4)*VERI_TABANI!$B$6 + IF(ISNUMBER(SEARCH("Var", D880)), (VERI_TABANI!$F$29/VERI_TABANI!$B$29)*(VERI_TABANI!$B$10+VERI_TABANI!$B$12), 0)</f>
        <v/>
      </c>
      <c r="G880" s="168">
        <f>(((MIN(VERI_TABANI!D23, VERI_TABANI!D23*B880)*VERI_TABANI!$B$7 + MAX(0, VERI_TABANI!D23*B880-VERI_TABANI!D23)*VERI_TABANI!$B$8) + (MIN(MAX(0, VERI_TABANI!D23-VERI_TABANI!D23*B880), VERI_TABANI!D23*C880)*VERI_TABANI!$B$7 + MAX(0, VERI_TABANI!D23*C880-MAX(0, VERI_TABANI!D23-VERI_TABANI!D23*B880))*VERI_TABANI!$B$8) + IF(ABS(IF(ISNUMBER(SEARCH("Var", D880)), 1, IF(ISNUMBER(SEARCH("Gri", D880)), -1, 0)))=1, VERI_TABANI!E23*(1-0.928)*VERI_TABANI!$B$9, 0) + (VERI_TABANI!D23*B880*(VERI_TABANI!$B$13-VERI_TABANI!$B$14)*VERI_TABANI!G23) + (VERI_TABANI!D23*C880*(VERI_TABANI!$B$13-VERI_TABANI!$B$15)*VERI_TABANI!G23) + IF(ABS(IF(ISNUMBER(SEARCH("Var", D880)), 1, IF(ISNUMBER(SEARCH("Gri", D880)), -1, 0)))=1, VERI_TABANI!E23*(1-0.928)*0.00206091519919798*VERI_TABANI!G23, 0)) + ((MIN(VERI_TABANI!D24, VERI_TABANI!D24*B880)*VERI_TABANI!$B$7 + MAX(0, VERI_TABANI!D24*B880-VERI_TABANI!D24)*VERI_TABANI!$B$8) + (MIN(MAX(0, VERI_TABANI!D24-VERI_TABANI!D24*B880), VERI_TABANI!D24*C880)*VERI_TABANI!$B$7 + MAX(0, VERI_TABANI!D24*C880-MAX(0, VERI_TABANI!D24-VERI_TABANI!D24*B880))*VERI_TABANI!$B$8) + IF(ABS(IF(ISNUMBER(SEARCH("Var", D880)), 1, IF(ISNUMBER(SEARCH("Gri", D880)), -1, 0)))=1, VERI_TABANI!E24*(1-0.928)*VERI_TABANI!$B$9, 0) + (VERI_TABANI!D24*B880*(VERI_TABANI!$B$13-VERI_TABANI!$B$14)*VERI_TABANI!G24) + (VERI_TABANI!D24*C880*(VERI_TABANI!$B$13-VERI_TABANI!$B$15)*VERI_TABANI!G24) + IF(ABS(IF(ISNUMBER(SEARCH("Var", D880)), 1, IF(ISNUMBER(SEARCH("Gri", D880)), -1, 0)))=1, VERI_TABANI!E24*(1-0.928)*0.00206091519919798*VERI_TABANI!G24, 0)) + ((MIN(VERI_TABANI!D25, VERI_TABANI!D25*B880)*VERI_TABANI!$B$7 + MAX(0, VERI_TABANI!D25*B880-VERI_TABANI!D25)*VERI_TABANI!$B$8) + (MIN(MAX(0, VERI_TABANI!D25-VERI_TABANI!D25*B880), VERI_TABANI!D25*C880)*VERI_TABANI!$B$7 + MAX(0, VERI_TABANI!D25*C880-MAX(0, VERI_TABANI!D25-VERI_TABANI!D25*B880))*VERI_TABANI!$B$8) + IF(ABS(IF(ISNUMBER(SEARCH("Var", D880)), 1, IF(ISNUMBER(SEARCH("Gri", D880)), -1, 0)))=1, VERI_TABANI!E25*(1-0.928)*VERI_TABANI!$B$9, 0) + (VERI_TABANI!D25*B880*(VERI_TABANI!$B$13-VERI_TABANI!$B$14)*VERI_TABANI!G25) + (VERI_TABANI!D25*C880*(VERI_TABANI!$B$13-VERI_TABANI!$B$15)*VERI_TABANI!G25) + IF(ABS(IF(ISNUMBER(SEARCH("Var", D880)), 1, IF(ISNUMBER(SEARCH("Gri", D880)), -1, 0)))=1, VERI_TABANI!E25*(1-0.928)*0.00206091519919798*VERI_TABANI!G25, 0)) + ((MIN(VERI_TABANI!D26, VERI_TABANI!D26*B880)*VERI_TABANI!$B$7 + MAX(0, VERI_TABANI!D26*B880-VERI_TABANI!D26)*VERI_TABANI!$B$8) + (MIN(MAX(0, VERI_TABANI!D26-VERI_TABANI!D26*B880), VERI_TABANI!D26*C880)*VERI_TABANI!$B$7 + MAX(0, VERI_TABANI!D26*C880-MAX(0, VERI_TABANI!D26-VERI_TABANI!D26*B880))*VERI_TABANI!$B$8) + IF(ABS(IF(ISNUMBER(SEARCH("Var", D880)), 1, IF(ISNUMBER(SEARCH("Gri", D880)), -1, 0)))=1, VERI_TABANI!E26*(1-0.928)*VERI_TABANI!$B$9, 0) + (VERI_TABANI!D26*B880*(VERI_TABANI!$B$13-VERI_TABANI!$B$14)*VERI_TABANI!G26) + (VERI_TABANI!D26*C880*(VERI_TABANI!$B$13-VERI_TABANI!$B$15)*VERI_TABANI!G26) + IF(ABS(IF(ISNUMBER(SEARCH("Var", D880)), 1, IF(ISNUMBER(SEARCH("Gri", D880)), -1, 0)))=1, VERI_TABANI!E26*(1-0.928)*0.00206091519919798*VERI_TABANI!G26, 0)) + ((MIN(VERI_TABANI!D27, VERI_TABANI!D27*B880)*VERI_TABANI!$B$7 + MAX(0, VERI_TABANI!D27*B880-VERI_TABANI!D27)*VERI_TABANI!$B$8) + (MIN(MAX(0, VERI_TABANI!D27-VERI_TABANI!D27*B880), VERI_TABANI!D27*C880)*VERI_TABANI!$B$7 + MAX(0, VERI_TABANI!D27*C880-MAX(0, VERI_TABANI!D27-VERI_TABANI!D27*B880))*VERI_TABANI!$B$8) + IF(ABS(IF(ISNUMBER(SEARCH("Var", D880)), 1, IF(ISNUMBER(SEARCH("Gri", D880)), -1, 0)))=1, VERI_TABANI!E27*(1-0.928)*VERI_TABANI!$B$9, 0) + (VERI_TABANI!D27*B880*(VERI_TABANI!$B$13-VERI_TABANI!$B$14)*VERI_TABANI!G27) + (VERI_TABANI!D27*C880*(VERI_TABANI!$B$13-VERI_TABANI!$B$15)*VERI_TABANI!G27) + IF(ABS(IF(ISNUMBER(SEARCH("Var", D880)), 1, IF(ISNUMBER(SEARCH("Gri", D880)), -1, 0)))=1, VERI_TABANI!E27*(1-0.928)*0.00206091519919798*VERI_TABANI!G27, 0)) + ((MIN(VERI_TABANI!D28, VERI_TABANI!D28*B880)*VERI_TABANI!$B$7 + MAX(0, VERI_TABANI!D28*B880-VERI_TABANI!D28)*VERI_TABANI!$B$8) + (MIN(MAX(0, VERI_TABANI!D28-VERI_TABANI!D28*B880), VERI_TABANI!D28*C880)*VERI_TABANI!$B$7 + MAX(0, VERI_TABANI!D28*C880-MAX(0, VERI_TABANI!D28-VERI_TABANI!D28*B880))*VERI_TABANI!$B$8) + IF(ABS(IF(ISNUMBER(SEARCH("Var", D880)), 1, IF(ISNUMBER(SEARCH("Gri", D880)), -1, 0)))=1, VERI_TABANI!E28*(1-0.928)*VERI_TABANI!$B$9, 0) + (VERI_TABANI!D28*B880*(VERI_TABANI!$B$13-VERI_TABANI!$B$14)*VERI_TABANI!G28) + (VERI_TABANI!D28*C880*(VERI_TABANI!$B$13-VERI_TABANI!$B$15)*VERI_TABANI!G28) + IF(ABS(IF(ISNUMBER(SEARCH("Var", D880)), 1, IF(ISNUMBER(SEARCH("Gri", D880)), -1, 0)))=1, VERI_TABANI!E28*(1-0.928)*0.00206091519919798*VERI_TABANI!G28, 0)))</f>
        <v/>
      </c>
      <c r="H880" s="169">
        <f>(((VERI_TABANI!D23*B880*(VERI_TABANI!$B$13-VERI_TABANI!$B$14)) + (VERI_TABANI!D23*C880*(VERI_TABANI!$B$13-VERI_TABANI!$B$15)) + IF(ISNUMBER(SEARCH("Var", D880)), VERI_TABANI!F23*(0.00202-VERI_TABANI!$B$16), IF(ISNUMBER(SEARCH("Gri", D880)), VERI_TABANI!F23*(0.00202-VERI_TABANI!$B$17), 0))) + ((VERI_TABANI!D24*B880*(VERI_TABANI!$B$13-VERI_TABANI!$B$14)) + (VERI_TABANI!D24*C880*(VERI_TABANI!$B$13-VERI_TABANI!$B$15)) + IF(ISNUMBER(SEARCH("Var", D880)), VERI_TABANI!F24*(0.00202-VERI_TABANI!$B$16), IF(ISNUMBER(SEARCH("Gri", D880)), VERI_TABANI!F24*(0.00202-VERI_TABANI!$B$17), 0))) + ((VERI_TABANI!D25*B880*(VERI_TABANI!$B$13-VERI_TABANI!$B$14)) + (VERI_TABANI!D25*C880*(VERI_TABANI!$B$13-VERI_TABANI!$B$15)) + IF(ISNUMBER(SEARCH("Var", D880)), VERI_TABANI!F25*(0.00202-VERI_TABANI!$B$16), IF(ISNUMBER(SEARCH("Gri", D880)), VERI_TABANI!F25*(0.00202-VERI_TABANI!$B$17), 0))) + ((VERI_TABANI!D26*B880*(VERI_TABANI!$B$13-VERI_TABANI!$B$14)) + (VERI_TABANI!D26*C880*(VERI_TABANI!$B$13-VERI_TABANI!$B$15)) + IF(ISNUMBER(SEARCH("Var", D880)), VERI_TABANI!F26*(0.00202-VERI_TABANI!$B$16), IF(ISNUMBER(SEARCH("Gri", D880)), VERI_TABANI!F26*(0.00202-VERI_TABANI!$B$17), 0))) + ((VERI_TABANI!D27*B880*(VERI_TABANI!$B$13-VERI_TABANI!$B$14)) + (VERI_TABANI!D27*C880*(VERI_TABANI!$B$13-VERI_TABANI!$B$15)) + IF(ISNUMBER(SEARCH("Var", D880)), VERI_TABANI!F27*(0.00202-VERI_TABANI!$B$16), IF(ISNUMBER(SEARCH("Gri", D880)), VERI_TABANI!F27*(0.00202-VERI_TABANI!$B$17), 0))) + ((VERI_TABANI!D28*B880*(VERI_TABANI!$B$13-VERI_TABANI!$B$14)) + (VERI_TABANI!D28*C880*(VERI_TABANI!$B$13-VERI_TABANI!$B$15)) + IF(ISNUMBER(SEARCH("Var", D880)), VERI_TABANI!F28*(0.00202-VERI_TABANI!$B$16), IF(ISNUMBER(SEARCH("Gri", D880)), VERI_TABANI!F28*(0.00202-VERI_TABANI!$B$17), 0))))</f>
        <v/>
      </c>
      <c r="I880" s="170">
        <f>IFERROR(((VERI_TABANI!$D$29*B880*VERI_TABANI!$B$14 + VERI_TABANI!$D$29*C880*VERI_TABANI!$B$15 + IF(ISNUMBER(SEARCH("Var", D880)), VERI_TABANI!$F$29*VERI_TABANI!$B$16, 0))) / (((VERI_TABANI!$D$29*B880 + VERI_TABANI!$D$29*C880)*VERI_TABANI!$B$13 + IF(ISNUMBER(SEARCH("Var", D880)), VERI_TABANI!$E$29*(1-0.928)*VERI_TABANI!$B$18, 0))), 0)</f>
        <v/>
      </c>
      <c r="J880" s="171">
        <f>IFERROR(F880/(G880/29), 0)</f>
        <v/>
      </c>
      <c r="K880" s="172">
        <f>IF(F880&gt;0, H880/F880, 0)</f>
        <v/>
      </c>
      <c r="L880" s="170">
        <f>IF(F880&gt;0, I880, 1000000000)</f>
        <v/>
      </c>
      <c r="M880" s="171">
        <f>ABS((B880+C880)-1)</f>
        <v/>
      </c>
      <c r="N880" s="170">
        <f>IF(F880&gt;0, (G880/29)/F880, 0)</f>
        <v/>
      </c>
      <c r="O880" s="168">
        <f>IF(AND((B880+C880)&gt;=1, ISNUMBER(SEARCH("Var", D880))), F880, 1000000000)</f>
        <v/>
      </c>
      <c r="P880" s="172">
        <f>IF(F880&gt;0, SQRT((F880/MAX(F$5:F$886))^2 + (1 - H880/MAX(H$5:H$886))^2 + (J880/MAX(J$5:J$886))^2), 1000000000)</f>
        <v/>
      </c>
      <c r="Q880" s="166">
        <f>IF(AND(ABS(B880-0.5)&lt;0.01, ABS(C880-0.5)&lt;0.01, ISNUMBER(SEARCH("Var", D880))), 1, 0)</f>
        <v/>
      </c>
      <c r="R880" s="171">
        <f>IF(F880&gt;0, J880, 1000000000)</f>
        <v/>
      </c>
      <c r="S880" s="101">
        <f>IF(AND(F880&lt;=DASHBOARD!$B$11, H880&gt;=DASHBOARD!$B$13), G880, -1000000000000)</f>
        <v/>
      </c>
      <c r="T880" s="101">
        <f>IF(AND(F880&lt;=DASHBOARD!$B$11, H880&gt;=DASHBOARD!$B$13), R880, 1000000000000)</f>
        <v/>
      </c>
      <c r="U880" s="101">
        <f>IF(AND(F880&lt;=DASHBOARD!$B$11, H880&gt;=DASHBOARD!$B$13), N880, -1000000000000)</f>
        <v/>
      </c>
      <c r="V880" s="101">
        <f>IF(AND(F880&lt;=DASHBOARD!$B$11, H880&gt;=DASHBOARD!$B$13), H880, -1000000000000)</f>
        <v/>
      </c>
      <c r="W880" s="101">
        <f>IF(AND(F880&lt;=DASHBOARD!$B$11, H880&gt;=DASHBOARD!$B$13), K880, -1000000000000)</f>
        <v/>
      </c>
      <c r="X880" s="101">
        <f>IF(AND(F880&lt;=DASHBOARD!$B$11, H880&gt;=DASHBOARD!$B$13), M880, 1000000000000)</f>
        <v/>
      </c>
      <c r="Y880" s="101">
        <f>IF(AND(F880&lt;=DASHBOARD!$B$10, H880&gt;=DASHBOARD!$B$11), L880, 1000000000000)</f>
        <v/>
      </c>
      <c r="Z880" s="101">
        <f>IF(AND(F880&lt;=DASHBOARD!$B$10, H880&gt;=DASHBOARD!$B$11), O880, 1000000000000)</f>
        <v/>
      </c>
      <c r="AA880" s="101">
        <f>IF(AND(F880&lt;=DASHBOARD!$B$10, H880&gt;=DASHBOARD!$B$11), P880, 1000000000000)</f>
        <v/>
      </c>
      <c r="AB880" s="101">
        <f>IF(AND(F880&lt;=DASHBOARD!$B$10, H880&gt;=DASHBOARD!$B$11), Q880, -1000000000000)</f>
        <v/>
      </c>
    </row>
    <row r="881" ht="15" customHeight="1" s="102">
      <c r="A881" s="166" t="n">
        <v>877</v>
      </c>
      <c r="B881" s="167" t="n">
        <v>2</v>
      </c>
      <c r="C881" s="167" t="n">
        <v>1.8</v>
      </c>
      <c r="D881" s="110" t="inlineStr">
        <is>
          <t>Yok (%0)</t>
        </is>
      </c>
      <c r="E881" s="110">
        <f>IF((B881+C881)&lt;=1, "Tam Mahsuplaşma (≤%100)", "Kısmi Satış (&gt;%100)")</f>
        <v/>
      </c>
      <c r="F881" s="168">
        <f>((VERI_TABANI!$D$29*B881/VERI_TABANI!$B$29)/VERI_TABANI!$B$3)*VERI_TABANI!$B$5 + ((VERI_TABANI!$D$29*C881/VERI_TABANI!$B$29)/VERI_TABANI!$B$4)*VERI_TABANI!$B$6 + IF(ISNUMBER(SEARCH("Var", D881)), (VERI_TABANI!$F$29/VERI_TABANI!$B$29)*(VERI_TABANI!$B$10+VERI_TABANI!$B$12), 0)</f>
        <v/>
      </c>
      <c r="G881" s="168">
        <f>(((MIN(VERI_TABANI!D23, VERI_TABANI!D23*B881)*VERI_TABANI!$B$7 + MAX(0, VERI_TABANI!D23*B881-VERI_TABANI!D23)*VERI_TABANI!$B$8) + (MIN(MAX(0, VERI_TABANI!D23-VERI_TABANI!D23*B881), VERI_TABANI!D23*C881)*VERI_TABANI!$B$7 + MAX(0, VERI_TABANI!D23*C881-MAX(0, VERI_TABANI!D23-VERI_TABANI!D23*B881))*VERI_TABANI!$B$8) + IF(ABS(IF(ISNUMBER(SEARCH("Var", D881)), 1, IF(ISNUMBER(SEARCH("Gri", D881)), -1, 0)))=1, VERI_TABANI!E23*(1-0.928)*VERI_TABANI!$B$9, 0) + (VERI_TABANI!D23*B881*(VERI_TABANI!$B$13-VERI_TABANI!$B$14)*VERI_TABANI!G23) + (VERI_TABANI!D23*C881*(VERI_TABANI!$B$13-VERI_TABANI!$B$15)*VERI_TABANI!G23) + IF(ABS(IF(ISNUMBER(SEARCH("Var", D881)), 1, IF(ISNUMBER(SEARCH("Gri", D881)), -1, 0)))=1, VERI_TABANI!E23*(1-0.928)*0.00206091519919798*VERI_TABANI!G23, 0)) + ((MIN(VERI_TABANI!D24, VERI_TABANI!D24*B881)*VERI_TABANI!$B$7 + MAX(0, VERI_TABANI!D24*B881-VERI_TABANI!D24)*VERI_TABANI!$B$8) + (MIN(MAX(0, VERI_TABANI!D24-VERI_TABANI!D24*B881), VERI_TABANI!D24*C881)*VERI_TABANI!$B$7 + MAX(0, VERI_TABANI!D24*C881-MAX(0, VERI_TABANI!D24-VERI_TABANI!D24*B881))*VERI_TABANI!$B$8) + IF(ABS(IF(ISNUMBER(SEARCH("Var", D881)), 1, IF(ISNUMBER(SEARCH("Gri", D881)), -1, 0)))=1, VERI_TABANI!E24*(1-0.928)*VERI_TABANI!$B$9, 0) + (VERI_TABANI!D24*B881*(VERI_TABANI!$B$13-VERI_TABANI!$B$14)*VERI_TABANI!G24) + (VERI_TABANI!D24*C881*(VERI_TABANI!$B$13-VERI_TABANI!$B$15)*VERI_TABANI!G24) + IF(ABS(IF(ISNUMBER(SEARCH("Var", D881)), 1, IF(ISNUMBER(SEARCH("Gri", D881)), -1, 0)))=1, VERI_TABANI!E24*(1-0.928)*0.00206091519919798*VERI_TABANI!G24, 0)) + ((MIN(VERI_TABANI!D25, VERI_TABANI!D25*B881)*VERI_TABANI!$B$7 + MAX(0, VERI_TABANI!D25*B881-VERI_TABANI!D25)*VERI_TABANI!$B$8) + (MIN(MAX(0, VERI_TABANI!D25-VERI_TABANI!D25*B881), VERI_TABANI!D25*C881)*VERI_TABANI!$B$7 + MAX(0, VERI_TABANI!D25*C881-MAX(0, VERI_TABANI!D25-VERI_TABANI!D25*B881))*VERI_TABANI!$B$8) + IF(ABS(IF(ISNUMBER(SEARCH("Var", D881)), 1, IF(ISNUMBER(SEARCH("Gri", D881)), -1, 0)))=1, VERI_TABANI!E25*(1-0.928)*VERI_TABANI!$B$9, 0) + (VERI_TABANI!D25*B881*(VERI_TABANI!$B$13-VERI_TABANI!$B$14)*VERI_TABANI!G25) + (VERI_TABANI!D25*C881*(VERI_TABANI!$B$13-VERI_TABANI!$B$15)*VERI_TABANI!G25) + IF(ABS(IF(ISNUMBER(SEARCH("Var", D881)), 1, IF(ISNUMBER(SEARCH("Gri", D881)), -1, 0)))=1, VERI_TABANI!E25*(1-0.928)*0.00206091519919798*VERI_TABANI!G25, 0)) + ((MIN(VERI_TABANI!D26, VERI_TABANI!D26*B881)*VERI_TABANI!$B$7 + MAX(0, VERI_TABANI!D26*B881-VERI_TABANI!D26)*VERI_TABANI!$B$8) + (MIN(MAX(0, VERI_TABANI!D26-VERI_TABANI!D26*B881), VERI_TABANI!D26*C881)*VERI_TABANI!$B$7 + MAX(0, VERI_TABANI!D26*C881-MAX(0, VERI_TABANI!D26-VERI_TABANI!D26*B881))*VERI_TABANI!$B$8) + IF(ABS(IF(ISNUMBER(SEARCH("Var", D881)), 1, IF(ISNUMBER(SEARCH("Gri", D881)), -1, 0)))=1, VERI_TABANI!E26*(1-0.928)*VERI_TABANI!$B$9, 0) + (VERI_TABANI!D26*B881*(VERI_TABANI!$B$13-VERI_TABANI!$B$14)*VERI_TABANI!G26) + (VERI_TABANI!D26*C881*(VERI_TABANI!$B$13-VERI_TABANI!$B$15)*VERI_TABANI!G26) + IF(ABS(IF(ISNUMBER(SEARCH("Var", D881)), 1, IF(ISNUMBER(SEARCH("Gri", D881)), -1, 0)))=1, VERI_TABANI!E26*(1-0.928)*0.00206091519919798*VERI_TABANI!G26, 0)) + ((MIN(VERI_TABANI!D27, VERI_TABANI!D27*B881)*VERI_TABANI!$B$7 + MAX(0, VERI_TABANI!D27*B881-VERI_TABANI!D27)*VERI_TABANI!$B$8) + (MIN(MAX(0, VERI_TABANI!D27-VERI_TABANI!D27*B881), VERI_TABANI!D27*C881)*VERI_TABANI!$B$7 + MAX(0, VERI_TABANI!D27*C881-MAX(0, VERI_TABANI!D27-VERI_TABANI!D27*B881))*VERI_TABANI!$B$8) + IF(ABS(IF(ISNUMBER(SEARCH("Var", D881)), 1, IF(ISNUMBER(SEARCH("Gri", D881)), -1, 0)))=1, VERI_TABANI!E27*(1-0.928)*VERI_TABANI!$B$9, 0) + (VERI_TABANI!D27*B881*(VERI_TABANI!$B$13-VERI_TABANI!$B$14)*VERI_TABANI!G27) + (VERI_TABANI!D27*C881*(VERI_TABANI!$B$13-VERI_TABANI!$B$15)*VERI_TABANI!G27) + IF(ABS(IF(ISNUMBER(SEARCH("Var", D881)), 1, IF(ISNUMBER(SEARCH("Gri", D881)), -1, 0)))=1, VERI_TABANI!E27*(1-0.928)*0.00206091519919798*VERI_TABANI!G27, 0)) + ((MIN(VERI_TABANI!D28, VERI_TABANI!D28*B881)*VERI_TABANI!$B$7 + MAX(0, VERI_TABANI!D28*B881-VERI_TABANI!D28)*VERI_TABANI!$B$8) + (MIN(MAX(0, VERI_TABANI!D28-VERI_TABANI!D28*B881), VERI_TABANI!D28*C881)*VERI_TABANI!$B$7 + MAX(0, VERI_TABANI!D28*C881-MAX(0, VERI_TABANI!D28-VERI_TABANI!D28*B881))*VERI_TABANI!$B$8) + IF(ABS(IF(ISNUMBER(SEARCH("Var", D881)), 1, IF(ISNUMBER(SEARCH("Gri", D881)), -1, 0)))=1, VERI_TABANI!E28*(1-0.928)*VERI_TABANI!$B$9, 0) + (VERI_TABANI!D28*B881*(VERI_TABANI!$B$13-VERI_TABANI!$B$14)*VERI_TABANI!G28) + (VERI_TABANI!D28*C881*(VERI_TABANI!$B$13-VERI_TABANI!$B$15)*VERI_TABANI!G28) + IF(ABS(IF(ISNUMBER(SEARCH("Var", D881)), 1, IF(ISNUMBER(SEARCH("Gri", D881)), -1, 0)))=1, VERI_TABANI!E28*(1-0.928)*0.00206091519919798*VERI_TABANI!G28, 0)))</f>
        <v/>
      </c>
      <c r="H881" s="169">
        <f>(((VERI_TABANI!D23*B881*(VERI_TABANI!$B$13-VERI_TABANI!$B$14)) + (VERI_TABANI!D23*C881*(VERI_TABANI!$B$13-VERI_TABANI!$B$15)) + IF(ISNUMBER(SEARCH("Var", D881)), VERI_TABANI!F23*(0.00202-VERI_TABANI!$B$16), IF(ISNUMBER(SEARCH("Gri", D881)), VERI_TABANI!F23*(0.00202-VERI_TABANI!$B$17), 0))) + ((VERI_TABANI!D24*B881*(VERI_TABANI!$B$13-VERI_TABANI!$B$14)) + (VERI_TABANI!D24*C881*(VERI_TABANI!$B$13-VERI_TABANI!$B$15)) + IF(ISNUMBER(SEARCH("Var", D881)), VERI_TABANI!F24*(0.00202-VERI_TABANI!$B$16), IF(ISNUMBER(SEARCH("Gri", D881)), VERI_TABANI!F24*(0.00202-VERI_TABANI!$B$17), 0))) + ((VERI_TABANI!D25*B881*(VERI_TABANI!$B$13-VERI_TABANI!$B$14)) + (VERI_TABANI!D25*C881*(VERI_TABANI!$B$13-VERI_TABANI!$B$15)) + IF(ISNUMBER(SEARCH("Var", D881)), VERI_TABANI!F25*(0.00202-VERI_TABANI!$B$16), IF(ISNUMBER(SEARCH("Gri", D881)), VERI_TABANI!F25*(0.00202-VERI_TABANI!$B$17), 0))) + ((VERI_TABANI!D26*B881*(VERI_TABANI!$B$13-VERI_TABANI!$B$14)) + (VERI_TABANI!D26*C881*(VERI_TABANI!$B$13-VERI_TABANI!$B$15)) + IF(ISNUMBER(SEARCH("Var", D881)), VERI_TABANI!F26*(0.00202-VERI_TABANI!$B$16), IF(ISNUMBER(SEARCH("Gri", D881)), VERI_TABANI!F26*(0.00202-VERI_TABANI!$B$17), 0))) + ((VERI_TABANI!D27*B881*(VERI_TABANI!$B$13-VERI_TABANI!$B$14)) + (VERI_TABANI!D27*C881*(VERI_TABANI!$B$13-VERI_TABANI!$B$15)) + IF(ISNUMBER(SEARCH("Var", D881)), VERI_TABANI!F27*(0.00202-VERI_TABANI!$B$16), IF(ISNUMBER(SEARCH("Gri", D881)), VERI_TABANI!F27*(0.00202-VERI_TABANI!$B$17), 0))) + ((VERI_TABANI!D28*B881*(VERI_TABANI!$B$13-VERI_TABANI!$B$14)) + (VERI_TABANI!D28*C881*(VERI_TABANI!$B$13-VERI_TABANI!$B$15)) + IF(ISNUMBER(SEARCH("Var", D881)), VERI_TABANI!F28*(0.00202-VERI_TABANI!$B$16), IF(ISNUMBER(SEARCH("Gri", D881)), VERI_TABANI!F28*(0.00202-VERI_TABANI!$B$17), 0))))</f>
        <v/>
      </c>
      <c r="I881" s="170">
        <f>IFERROR(((VERI_TABANI!$D$29*B881*VERI_TABANI!$B$14 + VERI_TABANI!$D$29*C881*VERI_TABANI!$B$15 + IF(ISNUMBER(SEARCH("Var", D881)), VERI_TABANI!$F$29*VERI_TABANI!$B$16, 0))) / (((VERI_TABANI!$D$29*B881 + VERI_TABANI!$D$29*C881)*VERI_TABANI!$B$13 + IF(ISNUMBER(SEARCH("Var", D881)), VERI_TABANI!$E$29*(1-0.928)*VERI_TABANI!$B$18, 0))), 0)</f>
        <v/>
      </c>
      <c r="J881" s="171">
        <f>IFERROR(F881/(G881/29), 0)</f>
        <v/>
      </c>
      <c r="K881" s="172">
        <f>IF(F881&gt;0, H881/F881, 0)</f>
        <v/>
      </c>
      <c r="L881" s="170">
        <f>IF(F881&gt;0, I881, 1000000000)</f>
        <v/>
      </c>
      <c r="M881" s="171">
        <f>ABS((B881+C881)-1)</f>
        <v/>
      </c>
      <c r="N881" s="170">
        <f>IF(F881&gt;0, (G881/29)/F881, 0)</f>
        <v/>
      </c>
      <c r="O881" s="168">
        <f>IF(AND((B881+C881)&gt;=1, ISNUMBER(SEARCH("Var", D881))), F881, 1000000000)</f>
        <v/>
      </c>
      <c r="P881" s="172">
        <f>IF(F881&gt;0, SQRT((F881/MAX(F$5:F$886))^2 + (1 - H881/MAX(H$5:H$886))^2 + (J881/MAX(J$5:J$886))^2), 1000000000)</f>
        <v/>
      </c>
      <c r="Q881" s="166">
        <f>IF(AND(ABS(B881-0.5)&lt;0.01, ABS(C881-0.5)&lt;0.01, ISNUMBER(SEARCH("Var", D881))), 1, 0)</f>
        <v/>
      </c>
      <c r="R881" s="171">
        <f>IF(F881&gt;0, J881, 1000000000)</f>
        <v/>
      </c>
      <c r="S881" s="101">
        <f>IF(AND(F881&lt;=DASHBOARD!$B$11, H881&gt;=DASHBOARD!$B$13), G881, -1000000000000)</f>
        <v/>
      </c>
      <c r="T881" s="101">
        <f>IF(AND(F881&lt;=DASHBOARD!$B$11, H881&gt;=DASHBOARD!$B$13), R881, 1000000000000)</f>
        <v/>
      </c>
      <c r="U881" s="101">
        <f>IF(AND(F881&lt;=DASHBOARD!$B$11, H881&gt;=DASHBOARD!$B$13), N881, -1000000000000)</f>
        <v/>
      </c>
      <c r="V881" s="101">
        <f>IF(AND(F881&lt;=DASHBOARD!$B$11, H881&gt;=DASHBOARD!$B$13), H881, -1000000000000)</f>
        <v/>
      </c>
      <c r="W881" s="101">
        <f>IF(AND(F881&lt;=DASHBOARD!$B$11, H881&gt;=DASHBOARD!$B$13), K881, -1000000000000)</f>
        <v/>
      </c>
      <c r="X881" s="101">
        <f>IF(AND(F881&lt;=DASHBOARD!$B$11, H881&gt;=DASHBOARD!$B$13), M881, 1000000000000)</f>
        <v/>
      </c>
      <c r="Y881" s="101">
        <f>IF(AND(F881&lt;=DASHBOARD!$B$10, H881&gt;=DASHBOARD!$B$11), L881, 1000000000000)</f>
        <v/>
      </c>
      <c r="Z881" s="101">
        <f>IF(AND(F881&lt;=DASHBOARD!$B$10, H881&gt;=DASHBOARD!$B$11), O881, 1000000000000)</f>
        <v/>
      </c>
      <c r="AA881" s="101">
        <f>IF(AND(F881&lt;=DASHBOARD!$B$10, H881&gt;=DASHBOARD!$B$11), P881, 1000000000000)</f>
        <v/>
      </c>
      <c r="AB881" s="101">
        <f>IF(AND(F881&lt;=DASHBOARD!$B$10, H881&gt;=DASHBOARD!$B$11), Q881, -1000000000000)</f>
        <v/>
      </c>
    </row>
    <row r="882" ht="15" customHeight="1" s="102">
      <c r="A882" s="166" t="n">
        <v>878</v>
      </c>
      <c r="B882" s="167" t="n">
        <v>2</v>
      </c>
      <c r="C882" s="167" t="n">
        <v>1.8</v>
      </c>
      <c r="D882" s="110" t="inlineStr">
        <is>
          <t>Var (%20)</t>
        </is>
      </c>
      <c r="E882" s="110">
        <f>IF((B882+C882)&lt;=1, "Tam Mahsuplaşma (≤%100)", "Kısmi Satış (&gt;%100)")</f>
        <v/>
      </c>
      <c r="F882" s="168">
        <f>((VERI_TABANI!$D$29*B882/VERI_TABANI!$B$29)/VERI_TABANI!$B$3)*VERI_TABANI!$B$5 + ((VERI_TABANI!$D$29*C882/VERI_TABANI!$B$29)/VERI_TABANI!$B$4)*VERI_TABANI!$B$6 + IF(ISNUMBER(SEARCH("Var", D882)), (VERI_TABANI!$F$29/VERI_TABANI!$B$29)*(VERI_TABANI!$B$10+VERI_TABANI!$B$12), 0)</f>
        <v/>
      </c>
      <c r="G882" s="168">
        <f>(((MIN(VERI_TABANI!D23, VERI_TABANI!D23*B882)*VERI_TABANI!$B$7 + MAX(0, VERI_TABANI!D23*B882-VERI_TABANI!D23)*VERI_TABANI!$B$8) + (MIN(MAX(0, VERI_TABANI!D23-VERI_TABANI!D23*B882), VERI_TABANI!D23*C882)*VERI_TABANI!$B$7 + MAX(0, VERI_TABANI!D23*C882-MAX(0, VERI_TABANI!D23-VERI_TABANI!D23*B882))*VERI_TABANI!$B$8) + IF(ABS(IF(ISNUMBER(SEARCH("Var", D882)), 1, IF(ISNUMBER(SEARCH("Gri", D882)), -1, 0)))=1, VERI_TABANI!E23*(1-0.928)*VERI_TABANI!$B$9, 0) + (VERI_TABANI!D23*B882*(VERI_TABANI!$B$13-VERI_TABANI!$B$14)*VERI_TABANI!G23) + (VERI_TABANI!D23*C882*(VERI_TABANI!$B$13-VERI_TABANI!$B$15)*VERI_TABANI!G23) + IF(ABS(IF(ISNUMBER(SEARCH("Var", D882)), 1, IF(ISNUMBER(SEARCH("Gri", D882)), -1, 0)))=1, VERI_TABANI!E23*(1-0.928)*0.00206091519919798*VERI_TABANI!G23, 0)) + ((MIN(VERI_TABANI!D24, VERI_TABANI!D24*B882)*VERI_TABANI!$B$7 + MAX(0, VERI_TABANI!D24*B882-VERI_TABANI!D24)*VERI_TABANI!$B$8) + (MIN(MAX(0, VERI_TABANI!D24-VERI_TABANI!D24*B882), VERI_TABANI!D24*C882)*VERI_TABANI!$B$7 + MAX(0, VERI_TABANI!D24*C882-MAX(0, VERI_TABANI!D24-VERI_TABANI!D24*B882))*VERI_TABANI!$B$8) + IF(ABS(IF(ISNUMBER(SEARCH("Var", D882)), 1, IF(ISNUMBER(SEARCH("Gri", D882)), -1, 0)))=1, VERI_TABANI!E24*(1-0.928)*VERI_TABANI!$B$9, 0) + (VERI_TABANI!D24*B882*(VERI_TABANI!$B$13-VERI_TABANI!$B$14)*VERI_TABANI!G24) + (VERI_TABANI!D24*C882*(VERI_TABANI!$B$13-VERI_TABANI!$B$15)*VERI_TABANI!G24) + IF(ABS(IF(ISNUMBER(SEARCH("Var", D882)), 1, IF(ISNUMBER(SEARCH("Gri", D882)), -1, 0)))=1, VERI_TABANI!E24*(1-0.928)*0.00206091519919798*VERI_TABANI!G24, 0)) + ((MIN(VERI_TABANI!D25, VERI_TABANI!D25*B882)*VERI_TABANI!$B$7 + MAX(0, VERI_TABANI!D25*B882-VERI_TABANI!D25)*VERI_TABANI!$B$8) + (MIN(MAX(0, VERI_TABANI!D25-VERI_TABANI!D25*B882), VERI_TABANI!D25*C882)*VERI_TABANI!$B$7 + MAX(0, VERI_TABANI!D25*C882-MAX(0, VERI_TABANI!D25-VERI_TABANI!D25*B882))*VERI_TABANI!$B$8) + IF(ABS(IF(ISNUMBER(SEARCH("Var", D882)), 1, IF(ISNUMBER(SEARCH("Gri", D882)), -1, 0)))=1, VERI_TABANI!E25*(1-0.928)*VERI_TABANI!$B$9, 0) + (VERI_TABANI!D25*B882*(VERI_TABANI!$B$13-VERI_TABANI!$B$14)*VERI_TABANI!G25) + (VERI_TABANI!D25*C882*(VERI_TABANI!$B$13-VERI_TABANI!$B$15)*VERI_TABANI!G25) + IF(ABS(IF(ISNUMBER(SEARCH("Var", D882)), 1, IF(ISNUMBER(SEARCH("Gri", D882)), -1, 0)))=1, VERI_TABANI!E25*(1-0.928)*0.00206091519919798*VERI_TABANI!G25, 0)) + ((MIN(VERI_TABANI!D26, VERI_TABANI!D26*B882)*VERI_TABANI!$B$7 + MAX(0, VERI_TABANI!D26*B882-VERI_TABANI!D26)*VERI_TABANI!$B$8) + (MIN(MAX(0, VERI_TABANI!D26-VERI_TABANI!D26*B882), VERI_TABANI!D26*C882)*VERI_TABANI!$B$7 + MAX(0, VERI_TABANI!D26*C882-MAX(0, VERI_TABANI!D26-VERI_TABANI!D26*B882))*VERI_TABANI!$B$8) + IF(ABS(IF(ISNUMBER(SEARCH("Var", D882)), 1, IF(ISNUMBER(SEARCH("Gri", D882)), -1, 0)))=1, VERI_TABANI!E26*(1-0.928)*VERI_TABANI!$B$9, 0) + (VERI_TABANI!D26*B882*(VERI_TABANI!$B$13-VERI_TABANI!$B$14)*VERI_TABANI!G26) + (VERI_TABANI!D26*C882*(VERI_TABANI!$B$13-VERI_TABANI!$B$15)*VERI_TABANI!G26) + IF(ABS(IF(ISNUMBER(SEARCH("Var", D882)), 1, IF(ISNUMBER(SEARCH("Gri", D882)), -1, 0)))=1, VERI_TABANI!E26*(1-0.928)*0.00206091519919798*VERI_TABANI!G26, 0)) + ((MIN(VERI_TABANI!D27, VERI_TABANI!D27*B882)*VERI_TABANI!$B$7 + MAX(0, VERI_TABANI!D27*B882-VERI_TABANI!D27)*VERI_TABANI!$B$8) + (MIN(MAX(0, VERI_TABANI!D27-VERI_TABANI!D27*B882), VERI_TABANI!D27*C882)*VERI_TABANI!$B$7 + MAX(0, VERI_TABANI!D27*C882-MAX(0, VERI_TABANI!D27-VERI_TABANI!D27*B882))*VERI_TABANI!$B$8) + IF(ABS(IF(ISNUMBER(SEARCH("Var", D882)), 1, IF(ISNUMBER(SEARCH("Gri", D882)), -1, 0)))=1, VERI_TABANI!E27*(1-0.928)*VERI_TABANI!$B$9, 0) + (VERI_TABANI!D27*B882*(VERI_TABANI!$B$13-VERI_TABANI!$B$14)*VERI_TABANI!G27) + (VERI_TABANI!D27*C882*(VERI_TABANI!$B$13-VERI_TABANI!$B$15)*VERI_TABANI!G27) + IF(ABS(IF(ISNUMBER(SEARCH("Var", D882)), 1, IF(ISNUMBER(SEARCH("Gri", D882)), -1, 0)))=1, VERI_TABANI!E27*(1-0.928)*0.00206091519919798*VERI_TABANI!G27, 0)) + ((MIN(VERI_TABANI!D28, VERI_TABANI!D28*B882)*VERI_TABANI!$B$7 + MAX(0, VERI_TABANI!D28*B882-VERI_TABANI!D28)*VERI_TABANI!$B$8) + (MIN(MAX(0, VERI_TABANI!D28-VERI_TABANI!D28*B882), VERI_TABANI!D28*C882)*VERI_TABANI!$B$7 + MAX(0, VERI_TABANI!D28*C882-MAX(0, VERI_TABANI!D28-VERI_TABANI!D28*B882))*VERI_TABANI!$B$8) + IF(ABS(IF(ISNUMBER(SEARCH("Var", D882)), 1, IF(ISNUMBER(SEARCH("Gri", D882)), -1, 0)))=1, VERI_TABANI!E28*(1-0.928)*VERI_TABANI!$B$9, 0) + (VERI_TABANI!D28*B882*(VERI_TABANI!$B$13-VERI_TABANI!$B$14)*VERI_TABANI!G28) + (VERI_TABANI!D28*C882*(VERI_TABANI!$B$13-VERI_TABANI!$B$15)*VERI_TABANI!G28) + IF(ABS(IF(ISNUMBER(SEARCH("Var", D882)), 1, IF(ISNUMBER(SEARCH("Gri", D882)), -1, 0)))=1, VERI_TABANI!E28*(1-0.928)*0.00206091519919798*VERI_TABANI!G28, 0)))</f>
        <v/>
      </c>
      <c r="H882" s="169">
        <f>(((VERI_TABANI!D23*B882*(VERI_TABANI!$B$13-VERI_TABANI!$B$14)) + (VERI_TABANI!D23*C882*(VERI_TABANI!$B$13-VERI_TABANI!$B$15)) + IF(ISNUMBER(SEARCH("Var", D882)), VERI_TABANI!F23*(0.00202-VERI_TABANI!$B$16), IF(ISNUMBER(SEARCH("Gri", D882)), VERI_TABANI!F23*(0.00202-VERI_TABANI!$B$17), 0))) + ((VERI_TABANI!D24*B882*(VERI_TABANI!$B$13-VERI_TABANI!$B$14)) + (VERI_TABANI!D24*C882*(VERI_TABANI!$B$13-VERI_TABANI!$B$15)) + IF(ISNUMBER(SEARCH("Var", D882)), VERI_TABANI!F24*(0.00202-VERI_TABANI!$B$16), IF(ISNUMBER(SEARCH("Gri", D882)), VERI_TABANI!F24*(0.00202-VERI_TABANI!$B$17), 0))) + ((VERI_TABANI!D25*B882*(VERI_TABANI!$B$13-VERI_TABANI!$B$14)) + (VERI_TABANI!D25*C882*(VERI_TABANI!$B$13-VERI_TABANI!$B$15)) + IF(ISNUMBER(SEARCH("Var", D882)), VERI_TABANI!F25*(0.00202-VERI_TABANI!$B$16), IF(ISNUMBER(SEARCH("Gri", D882)), VERI_TABANI!F25*(0.00202-VERI_TABANI!$B$17), 0))) + ((VERI_TABANI!D26*B882*(VERI_TABANI!$B$13-VERI_TABANI!$B$14)) + (VERI_TABANI!D26*C882*(VERI_TABANI!$B$13-VERI_TABANI!$B$15)) + IF(ISNUMBER(SEARCH("Var", D882)), VERI_TABANI!F26*(0.00202-VERI_TABANI!$B$16), IF(ISNUMBER(SEARCH("Gri", D882)), VERI_TABANI!F26*(0.00202-VERI_TABANI!$B$17), 0))) + ((VERI_TABANI!D27*B882*(VERI_TABANI!$B$13-VERI_TABANI!$B$14)) + (VERI_TABANI!D27*C882*(VERI_TABANI!$B$13-VERI_TABANI!$B$15)) + IF(ISNUMBER(SEARCH("Var", D882)), VERI_TABANI!F27*(0.00202-VERI_TABANI!$B$16), IF(ISNUMBER(SEARCH("Gri", D882)), VERI_TABANI!F27*(0.00202-VERI_TABANI!$B$17), 0))) + ((VERI_TABANI!D28*B882*(VERI_TABANI!$B$13-VERI_TABANI!$B$14)) + (VERI_TABANI!D28*C882*(VERI_TABANI!$B$13-VERI_TABANI!$B$15)) + IF(ISNUMBER(SEARCH("Var", D882)), VERI_TABANI!F28*(0.00202-VERI_TABANI!$B$16), IF(ISNUMBER(SEARCH("Gri", D882)), VERI_TABANI!F28*(0.00202-VERI_TABANI!$B$17), 0))))</f>
        <v/>
      </c>
      <c r="I882" s="170">
        <f>IFERROR(((VERI_TABANI!$D$29*B882*VERI_TABANI!$B$14 + VERI_TABANI!$D$29*C882*VERI_TABANI!$B$15 + IF(ISNUMBER(SEARCH("Var", D882)), VERI_TABANI!$F$29*VERI_TABANI!$B$16, 0))) / (((VERI_TABANI!$D$29*B882 + VERI_TABANI!$D$29*C882)*VERI_TABANI!$B$13 + IF(ISNUMBER(SEARCH("Var", D882)), VERI_TABANI!$E$29*(1-0.928)*VERI_TABANI!$B$18, 0))), 0)</f>
        <v/>
      </c>
      <c r="J882" s="171">
        <f>IFERROR(F882/(G882/29), 0)</f>
        <v/>
      </c>
      <c r="K882" s="172">
        <f>IF(F882&gt;0, H882/F882, 0)</f>
        <v/>
      </c>
      <c r="L882" s="170">
        <f>IF(F882&gt;0, I882, 1000000000)</f>
        <v/>
      </c>
      <c r="M882" s="171">
        <f>ABS((B882+C882)-1)</f>
        <v/>
      </c>
      <c r="N882" s="170">
        <f>IF(F882&gt;0, (G882/29)/F882, 0)</f>
        <v/>
      </c>
      <c r="O882" s="168">
        <f>IF(AND((B882+C882)&gt;=1, ISNUMBER(SEARCH("Var", D882))), F882, 1000000000)</f>
        <v/>
      </c>
      <c r="P882" s="172">
        <f>IF(F882&gt;0, SQRT((F882/MAX(F$5:F$886))^2 + (1 - H882/MAX(H$5:H$886))^2 + (J882/MAX(J$5:J$886))^2), 1000000000)</f>
        <v/>
      </c>
      <c r="Q882" s="166">
        <f>IF(AND(ABS(B882-0.5)&lt;0.01, ABS(C882-0.5)&lt;0.01, ISNUMBER(SEARCH("Var", D882))), 1, 0)</f>
        <v/>
      </c>
      <c r="R882" s="171">
        <f>IF(F882&gt;0, J882, 1000000000)</f>
        <v/>
      </c>
      <c r="S882" s="101">
        <f>IF(AND(F882&lt;=DASHBOARD!$B$11, H882&gt;=DASHBOARD!$B$13), G882, -1000000000000)</f>
        <v/>
      </c>
      <c r="T882" s="101">
        <f>IF(AND(F882&lt;=DASHBOARD!$B$11, H882&gt;=DASHBOARD!$B$13), R882, 1000000000000)</f>
        <v/>
      </c>
      <c r="U882" s="101">
        <f>IF(AND(F882&lt;=DASHBOARD!$B$11, H882&gt;=DASHBOARD!$B$13), N882, -1000000000000)</f>
        <v/>
      </c>
      <c r="V882" s="101">
        <f>IF(AND(F882&lt;=DASHBOARD!$B$11, H882&gt;=DASHBOARD!$B$13), H882, -1000000000000)</f>
        <v/>
      </c>
      <c r="W882" s="101">
        <f>IF(AND(F882&lt;=DASHBOARD!$B$11, H882&gt;=DASHBOARD!$B$13), K882, -1000000000000)</f>
        <v/>
      </c>
      <c r="X882" s="101">
        <f>IF(AND(F882&lt;=DASHBOARD!$B$11, H882&gt;=DASHBOARD!$B$13), M882, 1000000000000)</f>
        <v/>
      </c>
      <c r="Y882" s="101">
        <f>IF(AND(F882&lt;=DASHBOARD!$B$10, H882&gt;=DASHBOARD!$B$11), L882, 1000000000000)</f>
        <v/>
      </c>
      <c r="Z882" s="101">
        <f>IF(AND(F882&lt;=DASHBOARD!$B$10, H882&gt;=DASHBOARD!$B$11), O882, 1000000000000)</f>
        <v/>
      </c>
      <c r="AA882" s="101">
        <f>IF(AND(F882&lt;=DASHBOARD!$B$10, H882&gt;=DASHBOARD!$B$11), P882, 1000000000000)</f>
        <v/>
      </c>
      <c r="AB882" s="101">
        <f>IF(AND(F882&lt;=DASHBOARD!$B$10, H882&gt;=DASHBOARD!$B$11), Q882, -1000000000000)</f>
        <v/>
      </c>
    </row>
    <row r="883" ht="15" customHeight="1" s="102">
      <c r="A883" s="166" t="n">
        <v>879</v>
      </c>
      <c r="B883" s="167" t="n">
        <v>2</v>
      </c>
      <c r="C883" s="167" t="n">
        <v>1.9</v>
      </c>
      <c r="D883" s="110" t="inlineStr">
        <is>
          <t>Yok (%0)</t>
        </is>
      </c>
      <c r="E883" s="110">
        <f>IF((B883+C883)&lt;=1, "Tam Mahsuplaşma (≤%100)", "Kısmi Satış (&gt;%100)")</f>
        <v/>
      </c>
      <c r="F883" s="168">
        <f>((VERI_TABANI!$D$29*B883/VERI_TABANI!$B$29)/VERI_TABANI!$B$3)*VERI_TABANI!$B$5 + ((VERI_TABANI!$D$29*C883/VERI_TABANI!$B$29)/VERI_TABANI!$B$4)*VERI_TABANI!$B$6 + IF(ISNUMBER(SEARCH("Var", D883)), (VERI_TABANI!$F$29/VERI_TABANI!$B$29)*(VERI_TABANI!$B$10+VERI_TABANI!$B$12), 0)</f>
        <v/>
      </c>
      <c r="G883" s="168">
        <f>(((MIN(VERI_TABANI!D23, VERI_TABANI!D23*B883)*VERI_TABANI!$B$7 + MAX(0, VERI_TABANI!D23*B883-VERI_TABANI!D23)*VERI_TABANI!$B$8) + (MIN(MAX(0, VERI_TABANI!D23-VERI_TABANI!D23*B883), VERI_TABANI!D23*C883)*VERI_TABANI!$B$7 + MAX(0, VERI_TABANI!D23*C883-MAX(0, VERI_TABANI!D23-VERI_TABANI!D23*B883))*VERI_TABANI!$B$8) + IF(ABS(IF(ISNUMBER(SEARCH("Var", D883)), 1, IF(ISNUMBER(SEARCH("Gri", D883)), -1, 0)))=1, VERI_TABANI!E23*(1-0.928)*VERI_TABANI!$B$9, 0) + (VERI_TABANI!D23*B883*(VERI_TABANI!$B$13-VERI_TABANI!$B$14)*VERI_TABANI!G23) + (VERI_TABANI!D23*C883*(VERI_TABANI!$B$13-VERI_TABANI!$B$15)*VERI_TABANI!G23) + IF(ABS(IF(ISNUMBER(SEARCH("Var", D883)), 1, IF(ISNUMBER(SEARCH("Gri", D883)), -1, 0)))=1, VERI_TABANI!E23*(1-0.928)*0.00206091519919798*VERI_TABANI!G23, 0)) + ((MIN(VERI_TABANI!D24, VERI_TABANI!D24*B883)*VERI_TABANI!$B$7 + MAX(0, VERI_TABANI!D24*B883-VERI_TABANI!D24)*VERI_TABANI!$B$8) + (MIN(MAX(0, VERI_TABANI!D24-VERI_TABANI!D24*B883), VERI_TABANI!D24*C883)*VERI_TABANI!$B$7 + MAX(0, VERI_TABANI!D24*C883-MAX(0, VERI_TABANI!D24-VERI_TABANI!D24*B883))*VERI_TABANI!$B$8) + IF(ABS(IF(ISNUMBER(SEARCH("Var", D883)), 1, IF(ISNUMBER(SEARCH("Gri", D883)), -1, 0)))=1, VERI_TABANI!E24*(1-0.928)*VERI_TABANI!$B$9, 0) + (VERI_TABANI!D24*B883*(VERI_TABANI!$B$13-VERI_TABANI!$B$14)*VERI_TABANI!G24) + (VERI_TABANI!D24*C883*(VERI_TABANI!$B$13-VERI_TABANI!$B$15)*VERI_TABANI!G24) + IF(ABS(IF(ISNUMBER(SEARCH("Var", D883)), 1, IF(ISNUMBER(SEARCH("Gri", D883)), -1, 0)))=1, VERI_TABANI!E24*(1-0.928)*0.00206091519919798*VERI_TABANI!G24, 0)) + ((MIN(VERI_TABANI!D25, VERI_TABANI!D25*B883)*VERI_TABANI!$B$7 + MAX(0, VERI_TABANI!D25*B883-VERI_TABANI!D25)*VERI_TABANI!$B$8) + (MIN(MAX(0, VERI_TABANI!D25-VERI_TABANI!D25*B883), VERI_TABANI!D25*C883)*VERI_TABANI!$B$7 + MAX(0, VERI_TABANI!D25*C883-MAX(0, VERI_TABANI!D25-VERI_TABANI!D25*B883))*VERI_TABANI!$B$8) + IF(ABS(IF(ISNUMBER(SEARCH("Var", D883)), 1, IF(ISNUMBER(SEARCH("Gri", D883)), -1, 0)))=1, VERI_TABANI!E25*(1-0.928)*VERI_TABANI!$B$9, 0) + (VERI_TABANI!D25*B883*(VERI_TABANI!$B$13-VERI_TABANI!$B$14)*VERI_TABANI!G25) + (VERI_TABANI!D25*C883*(VERI_TABANI!$B$13-VERI_TABANI!$B$15)*VERI_TABANI!G25) + IF(ABS(IF(ISNUMBER(SEARCH("Var", D883)), 1, IF(ISNUMBER(SEARCH("Gri", D883)), -1, 0)))=1, VERI_TABANI!E25*(1-0.928)*0.00206091519919798*VERI_TABANI!G25, 0)) + ((MIN(VERI_TABANI!D26, VERI_TABANI!D26*B883)*VERI_TABANI!$B$7 + MAX(0, VERI_TABANI!D26*B883-VERI_TABANI!D26)*VERI_TABANI!$B$8) + (MIN(MAX(0, VERI_TABANI!D26-VERI_TABANI!D26*B883), VERI_TABANI!D26*C883)*VERI_TABANI!$B$7 + MAX(0, VERI_TABANI!D26*C883-MAX(0, VERI_TABANI!D26-VERI_TABANI!D26*B883))*VERI_TABANI!$B$8) + IF(ABS(IF(ISNUMBER(SEARCH("Var", D883)), 1, IF(ISNUMBER(SEARCH("Gri", D883)), -1, 0)))=1, VERI_TABANI!E26*(1-0.928)*VERI_TABANI!$B$9, 0) + (VERI_TABANI!D26*B883*(VERI_TABANI!$B$13-VERI_TABANI!$B$14)*VERI_TABANI!G26) + (VERI_TABANI!D26*C883*(VERI_TABANI!$B$13-VERI_TABANI!$B$15)*VERI_TABANI!G26) + IF(ABS(IF(ISNUMBER(SEARCH("Var", D883)), 1, IF(ISNUMBER(SEARCH("Gri", D883)), -1, 0)))=1, VERI_TABANI!E26*(1-0.928)*0.00206091519919798*VERI_TABANI!G26, 0)) + ((MIN(VERI_TABANI!D27, VERI_TABANI!D27*B883)*VERI_TABANI!$B$7 + MAX(0, VERI_TABANI!D27*B883-VERI_TABANI!D27)*VERI_TABANI!$B$8) + (MIN(MAX(0, VERI_TABANI!D27-VERI_TABANI!D27*B883), VERI_TABANI!D27*C883)*VERI_TABANI!$B$7 + MAX(0, VERI_TABANI!D27*C883-MAX(0, VERI_TABANI!D27-VERI_TABANI!D27*B883))*VERI_TABANI!$B$8) + IF(ABS(IF(ISNUMBER(SEARCH("Var", D883)), 1, IF(ISNUMBER(SEARCH("Gri", D883)), -1, 0)))=1, VERI_TABANI!E27*(1-0.928)*VERI_TABANI!$B$9, 0) + (VERI_TABANI!D27*B883*(VERI_TABANI!$B$13-VERI_TABANI!$B$14)*VERI_TABANI!G27) + (VERI_TABANI!D27*C883*(VERI_TABANI!$B$13-VERI_TABANI!$B$15)*VERI_TABANI!G27) + IF(ABS(IF(ISNUMBER(SEARCH("Var", D883)), 1, IF(ISNUMBER(SEARCH("Gri", D883)), -1, 0)))=1, VERI_TABANI!E27*(1-0.928)*0.00206091519919798*VERI_TABANI!G27, 0)) + ((MIN(VERI_TABANI!D28, VERI_TABANI!D28*B883)*VERI_TABANI!$B$7 + MAX(0, VERI_TABANI!D28*B883-VERI_TABANI!D28)*VERI_TABANI!$B$8) + (MIN(MAX(0, VERI_TABANI!D28-VERI_TABANI!D28*B883), VERI_TABANI!D28*C883)*VERI_TABANI!$B$7 + MAX(0, VERI_TABANI!D28*C883-MAX(0, VERI_TABANI!D28-VERI_TABANI!D28*B883))*VERI_TABANI!$B$8) + IF(ABS(IF(ISNUMBER(SEARCH("Var", D883)), 1, IF(ISNUMBER(SEARCH("Gri", D883)), -1, 0)))=1, VERI_TABANI!E28*(1-0.928)*VERI_TABANI!$B$9, 0) + (VERI_TABANI!D28*B883*(VERI_TABANI!$B$13-VERI_TABANI!$B$14)*VERI_TABANI!G28) + (VERI_TABANI!D28*C883*(VERI_TABANI!$B$13-VERI_TABANI!$B$15)*VERI_TABANI!G28) + IF(ABS(IF(ISNUMBER(SEARCH("Var", D883)), 1, IF(ISNUMBER(SEARCH("Gri", D883)), -1, 0)))=1, VERI_TABANI!E28*(1-0.928)*0.00206091519919798*VERI_TABANI!G28, 0)))</f>
        <v/>
      </c>
      <c r="H883" s="169">
        <f>(((VERI_TABANI!D23*B883*(VERI_TABANI!$B$13-VERI_TABANI!$B$14)) + (VERI_TABANI!D23*C883*(VERI_TABANI!$B$13-VERI_TABANI!$B$15)) + IF(ISNUMBER(SEARCH("Var", D883)), VERI_TABANI!F23*(0.00202-VERI_TABANI!$B$16), IF(ISNUMBER(SEARCH("Gri", D883)), VERI_TABANI!F23*(0.00202-VERI_TABANI!$B$17), 0))) + ((VERI_TABANI!D24*B883*(VERI_TABANI!$B$13-VERI_TABANI!$B$14)) + (VERI_TABANI!D24*C883*(VERI_TABANI!$B$13-VERI_TABANI!$B$15)) + IF(ISNUMBER(SEARCH("Var", D883)), VERI_TABANI!F24*(0.00202-VERI_TABANI!$B$16), IF(ISNUMBER(SEARCH("Gri", D883)), VERI_TABANI!F24*(0.00202-VERI_TABANI!$B$17), 0))) + ((VERI_TABANI!D25*B883*(VERI_TABANI!$B$13-VERI_TABANI!$B$14)) + (VERI_TABANI!D25*C883*(VERI_TABANI!$B$13-VERI_TABANI!$B$15)) + IF(ISNUMBER(SEARCH("Var", D883)), VERI_TABANI!F25*(0.00202-VERI_TABANI!$B$16), IF(ISNUMBER(SEARCH("Gri", D883)), VERI_TABANI!F25*(0.00202-VERI_TABANI!$B$17), 0))) + ((VERI_TABANI!D26*B883*(VERI_TABANI!$B$13-VERI_TABANI!$B$14)) + (VERI_TABANI!D26*C883*(VERI_TABANI!$B$13-VERI_TABANI!$B$15)) + IF(ISNUMBER(SEARCH("Var", D883)), VERI_TABANI!F26*(0.00202-VERI_TABANI!$B$16), IF(ISNUMBER(SEARCH("Gri", D883)), VERI_TABANI!F26*(0.00202-VERI_TABANI!$B$17), 0))) + ((VERI_TABANI!D27*B883*(VERI_TABANI!$B$13-VERI_TABANI!$B$14)) + (VERI_TABANI!D27*C883*(VERI_TABANI!$B$13-VERI_TABANI!$B$15)) + IF(ISNUMBER(SEARCH("Var", D883)), VERI_TABANI!F27*(0.00202-VERI_TABANI!$B$16), IF(ISNUMBER(SEARCH("Gri", D883)), VERI_TABANI!F27*(0.00202-VERI_TABANI!$B$17), 0))) + ((VERI_TABANI!D28*B883*(VERI_TABANI!$B$13-VERI_TABANI!$B$14)) + (VERI_TABANI!D28*C883*(VERI_TABANI!$B$13-VERI_TABANI!$B$15)) + IF(ISNUMBER(SEARCH("Var", D883)), VERI_TABANI!F28*(0.00202-VERI_TABANI!$B$16), IF(ISNUMBER(SEARCH("Gri", D883)), VERI_TABANI!F28*(0.00202-VERI_TABANI!$B$17), 0))))</f>
        <v/>
      </c>
      <c r="I883" s="170">
        <f>IFERROR(((VERI_TABANI!$D$29*B883*VERI_TABANI!$B$14 + VERI_TABANI!$D$29*C883*VERI_TABANI!$B$15 + IF(ISNUMBER(SEARCH("Var", D883)), VERI_TABANI!$F$29*VERI_TABANI!$B$16, 0))) / (((VERI_TABANI!$D$29*B883 + VERI_TABANI!$D$29*C883)*VERI_TABANI!$B$13 + IF(ISNUMBER(SEARCH("Var", D883)), VERI_TABANI!$E$29*(1-0.928)*VERI_TABANI!$B$18, 0))), 0)</f>
        <v/>
      </c>
      <c r="J883" s="171">
        <f>IFERROR(F883/(G883/29), 0)</f>
        <v/>
      </c>
      <c r="K883" s="172">
        <f>IF(F883&gt;0, H883/F883, 0)</f>
        <v/>
      </c>
      <c r="L883" s="170">
        <f>IF(F883&gt;0, I883, 1000000000)</f>
        <v/>
      </c>
      <c r="M883" s="171">
        <f>ABS((B883+C883)-1)</f>
        <v/>
      </c>
      <c r="N883" s="170">
        <f>IF(F883&gt;0, (G883/29)/F883, 0)</f>
        <v/>
      </c>
      <c r="O883" s="168">
        <f>IF(AND((B883+C883)&gt;=1, ISNUMBER(SEARCH("Var", D883))), F883, 1000000000)</f>
        <v/>
      </c>
      <c r="P883" s="172">
        <f>IF(F883&gt;0, SQRT((F883/MAX(F$5:F$886))^2 + (1 - H883/MAX(H$5:H$886))^2 + (J883/MAX(J$5:J$886))^2), 1000000000)</f>
        <v/>
      </c>
      <c r="Q883" s="166">
        <f>IF(AND(ABS(B883-0.5)&lt;0.01, ABS(C883-0.5)&lt;0.01, ISNUMBER(SEARCH("Var", D883))), 1, 0)</f>
        <v/>
      </c>
      <c r="R883" s="171">
        <f>IF(F883&gt;0, J883, 1000000000)</f>
        <v/>
      </c>
      <c r="S883" s="101">
        <f>IF(AND(F883&lt;=DASHBOARD!$B$11, H883&gt;=DASHBOARD!$B$13), G883, -1000000000000)</f>
        <v/>
      </c>
      <c r="T883" s="101">
        <f>IF(AND(F883&lt;=DASHBOARD!$B$11, H883&gt;=DASHBOARD!$B$13), R883, 1000000000000)</f>
        <v/>
      </c>
      <c r="U883" s="101">
        <f>IF(AND(F883&lt;=DASHBOARD!$B$11, H883&gt;=DASHBOARD!$B$13), N883, -1000000000000)</f>
        <v/>
      </c>
      <c r="V883" s="101">
        <f>IF(AND(F883&lt;=DASHBOARD!$B$11, H883&gt;=DASHBOARD!$B$13), H883, -1000000000000)</f>
        <v/>
      </c>
      <c r="W883" s="101">
        <f>IF(AND(F883&lt;=DASHBOARD!$B$11, H883&gt;=DASHBOARD!$B$13), K883, -1000000000000)</f>
        <v/>
      </c>
      <c r="X883" s="101">
        <f>IF(AND(F883&lt;=DASHBOARD!$B$11, H883&gt;=DASHBOARD!$B$13), M883, 1000000000000)</f>
        <v/>
      </c>
      <c r="Y883" s="101">
        <f>IF(AND(F883&lt;=DASHBOARD!$B$10, H883&gt;=DASHBOARD!$B$11), L883, 1000000000000)</f>
        <v/>
      </c>
      <c r="Z883" s="101">
        <f>IF(AND(F883&lt;=DASHBOARD!$B$10, H883&gt;=DASHBOARD!$B$11), O883, 1000000000000)</f>
        <v/>
      </c>
      <c r="AA883" s="101">
        <f>IF(AND(F883&lt;=DASHBOARD!$B$10, H883&gt;=DASHBOARD!$B$11), P883, 1000000000000)</f>
        <v/>
      </c>
      <c r="AB883" s="101">
        <f>IF(AND(F883&lt;=DASHBOARD!$B$10, H883&gt;=DASHBOARD!$B$11), Q883, -1000000000000)</f>
        <v/>
      </c>
    </row>
    <row r="884" ht="15" customHeight="1" s="102">
      <c r="A884" s="166" t="n">
        <v>880</v>
      </c>
      <c r="B884" s="167" t="n">
        <v>2</v>
      </c>
      <c r="C884" s="167" t="n">
        <v>1.9</v>
      </c>
      <c r="D884" s="110" t="inlineStr">
        <is>
          <t>Var (%20)</t>
        </is>
      </c>
      <c r="E884" s="110">
        <f>IF((B884+C884)&lt;=1, "Tam Mahsuplaşma (≤%100)", "Kısmi Satış (&gt;%100)")</f>
        <v/>
      </c>
      <c r="F884" s="168">
        <f>((VERI_TABANI!$D$29*B884/VERI_TABANI!$B$29)/VERI_TABANI!$B$3)*VERI_TABANI!$B$5 + ((VERI_TABANI!$D$29*C884/VERI_TABANI!$B$29)/VERI_TABANI!$B$4)*VERI_TABANI!$B$6 + IF(ISNUMBER(SEARCH("Var", D884)), (VERI_TABANI!$F$29/VERI_TABANI!$B$29)*(VERI_TABANI!$B$10+VERI_TABANI!$B$12), 0)</f>
        <v/>
      </c>
      <c r="G884" s="168">
        <f>(((MIN(VERI_TABANI!D23, VERI_TABANI!D23*B884)*VERI_TABANI!$B$7 + MAX(0, VERI_TABANI!D23*B884-VERI_TABANI!D23)*VERI_TABANI!$B$8) + (MIN(MAX(0, VERI_TABANI!D23-VERI_TABANI!D23*B884), VERI_TABANI!D23*C884)*VERI_TABANI!$B$7 + MAX(0, VERI_TABANI!D23*C884-MAX(0, VERI_TABANI!D23-VERI_TABANI!D23*B884))*VERI_TABANI!$B$8) + IF(ABS(IF(ISNUMBER(SEARCH("Var", D884)), 1, IF(ISNUMBER(SEARCH("Gri", D884)), -1, 0)))=1, VERI_TABANI!E23*(1-0.928)*VERI_TABANI!$B$9, 0) + (VERI_TABANI!D23*B884*(VERI_TABANI!$B$13-VERI_TABANI!$B$14)*VERI_TABANI!G23) + (VERI_TABANI!D23*C884*(VERI_TABANI!$B$13-VERI_TABANI!$B$15)*VERI_TABANI!G23) + IF(ABS(IF(ISNUMBER(SEARCH("Var", D884)), 1, IF(ISNUMBER(SEARCH("Gri", D884)), -1, 0)))=1, VERI_TABANI!E23*(1-0.928)*0.00206091519919798*VERI_TABANI!G23, 0)) + ((MIN(VERI_TABANI!D24, VERI_TABANI!D24*B884)*VERI_TABANI!$B$7 + MAX(0, VERI_TABANI!D24*B884-VERI_TABANI!D24)*VERI_TABANI!$B$8) + (MIN(MAX(0, VERI_TABANI!D24-VERI_TABANI!D24*B884), VERI_TABANI!D24*C884)*VERI_TABANI!$B$7 + MAX(0, VERI_TABANI!D24*C884-MAX(0, VERI_TABANI!D24-VERI_TABANI!D24*B884))*VERI_TABANI!$B$8) + IF(ABS(IF(ISNUMBER(SEARCH("Var", D884)), 1, IF(ISNUMBER(SEARCH("Gri", D884)), -1, 0)))=1, VERI_TABANI!E24*(1-0.928)*VERI_TABANI!$B$9, 0) + (VERI_TABANI!D24*B884*(VERI_TABANI!$B$13-VERI_TABANI!$B$14)*VERI_TABANI!G24) + (VERI_TABANI!D24*C884*(VERI_TABANI!$B$13-VERI_TABANI!$B$15)*VERI_TABANI!G24) + IF(ABS(IF(ISNUMBER(SEARCH("Var", D884)), 1, IF(ISNUMBER(SEARCH("Gri", D884)), -1, 0)))=1, VERI_TABANI!E24*(1-0.928)*0.00206091519919798*VERI_TABANI!G24, 0)) + ((MIN(VERI_TABANI!D25, VERI_TABANI!D25*B884)*VERI_TABANI!$B$7 + MAX(0, VERI_TABANI!D25*B884-VERI_TABANI!D25)*VERI_TABANI!$B$8) + (MIN(MAX(0, VERI_TABANI!D25-VERI_TABANI!D25*B884), VERI_TABANI!D25*C884)*VERI_TABANI!$B$7 + MAX(0, VERI_TABANI!D25*C884-MAX(0, VERI_TABANI!D25-VERI_TABANI!D25*B884))*VERI_TABANI!$B$8) + IF(ABS(IF(ISNUMBER(SEARCH("Var", D884)), 1, IF(ISNUMBER(SEARCH("Gri", D884)), -1, 0)))=1, VERI_TABANI!E25*(1-0.928)*VERI_TABANI!$B$9, 0) + (VERI_TABANI!D25*B884*(VERI_TABANI!$B$13-VERI_TABANI!$B$14)*VERI_TABANI!G25) + (VERI_TABANI!D25*C884*(VERI_TABANI!$B$13-VERI_TABANI!$B$15)*VERI_TABANI!G25) + IF(ABS(IF(ISNUMBER(SEARCH("Var", D884)), 1, IF(ISNUMBER(SEARCH("Gri", D884)), -1, 0)))=1, VERI_TABANI!E25*(1-0.928)*0.00206091519919798*VERI_TABANI!G25, 0)) + ((MIN(VERI_TABANI!D26, VERI_TABANI!D26*B884)*VERI_TABANI!$B$7 + MAX(0, VERI_TABANI!D26*B884-VERI_TABANI!D26)*VERI_TABANI!$B$8) + (MIN(MAX(0, VERI_TABANI!D26-VERI_TABANI!D26*B884), VERI_TABANI!D26*C884)*VERI_TABANI!$B$7 + MAX(0, VERI_TABANI!D26*C884-MAX(0, VERI_TABANI!D26-VERI_TABANI!D26*B884))*VERI_TABANI!$B$8) + IF(ABS(IF(ISNUMBER(SEARCH("Var", D884)), 1, IF(ISNUMBER(SEARCH("Gri", D884)), -1, 0)))=1, VERI_TABANI!E26*(1-0.928)*VERI_TABANI!$B$9, 0) + (VERI_TABANI!D26*B884*(VERI_TABANI!$B$13-VERI_TABANI!$B$14)*VERI_TABANI!G26) + (VERI_TABANI!D26*C884*(VERI_TABANI!$B$13-VERI_TABANI!$B$15)*VERI_TABANI!G26) + IF(ABS(IF(ISNUMBER(SEARCH("Var", D884)), 1, IF(ISNUMBER(SEARCH("Gri", D884)), -1, 0)))=1, VERI_TABANI!E26*(1-0.928)*0.00206091519919798*VERI_TABANI!G26, 0)) + ((MIN(VERI_TABANI!D27, VERI_TABANI!D27*B884)*VERI_TABANI!$B$7 + MAX(0, VERI_TABANI!D27*B884-VERI_TABANI!D27)*VERI_TABANI!$B$8) + (MIN(MAX(0, VERI_TABANI!D27-VERI_TABANI!D27*B884), VERI_TABANI!D27*C884)*VERI_TABANI!$B$7 + MAX(0, VERI_TABANI!D27*C884-MAX(0, VERI_TABANI!D27-VERI_TABANI!D27*B884))*VERI_TABANI!$B$8) + IF(ABS(IF(ISNUMBER(SEARCH("Var", D884)), 1, IF(ISNUMBER(SEARCH("Gri", D884)), -1, 0)))=1, VERI_TABANI!E27*(1-0.928)*VERI_TABANI!$B$9, 0) + (VERI_TABANI!D27*B884*(VERI_TABANI!$B$13-VERI_TABANI!$B$14)*VERI_TABANI!G27) + (VERI_TABANI!D27*C884*(VERI_TABANI!$B$13-VERI_TABANI!$B$15)*VERI_TABANI!G27) + IF(ABS(IF(ISNUMBER(SEARCH("Var", D884)), 1, IF(ISNUMBER(SEARCH("Gri", D884)), -1, 0)))=1, VERI_TABANI!E27*(1-0.928)*0.00206091519919798*VERI_TABANI!G27, 0)) + ((MIN(VERI_TABANI!D28, VERI_TABANI!D28*B884)*VERI_TABANI!$B$7 + MAX(0, VERI_TABANI!D28*B884-VERI_TABANI!D28)*VERI_TABANI!$B$8) + (MIN(MAX(0, VERI_TABANI!D28-VERI_TABANI!D28*B884), VERI_TABANI!D28*C884)*VERI_TABANI!$B$7 + MAX(0, VERI_TABANI!D28*C884-MAX(0, VERI_TABANI!D28-VERI_TABANI!D28*B884))*VERI_TABANI!$B$8) + IF(ABS(IF(ISNUMBER(SEARCH("Var", D884)), 1, IF(ISNUMBER(SEARCH("Gri", D884)), -1, 0)))=1, VERI_TABANI!E28*(1-0.928)*VERI_TABANI!$B$9, 0) + (VERI_TABANI!D28*B884*(VERI_TABANI!$B$13-VERI_TABANI!$B$14)*VERI_TABANI!G28) + (VERI_TABANI!D28*C884*(VERI_TABANI!$B$13-VERI_TABANI!$B$15)*VERI_TABANI!G28) + IF(ABS(IF(ISNUMBER(SEARCH("Var", D884)), 1, IF(ISNUMBER(SEARCH("Gri", D884)), -1, 0)))=1, VERI_TABANI!E28*(1-0.928)*0.00206091519919798*VERI_TABANI!G28, 0)))</f>
        <v/>
      </c>
      <c r="H884" s="169">
        <f>(((VERI_TABANI!D23*B884*(VERI_TABANI!$B$13-VERI_TABANI!$B$14)) + (VERI_TABANI!D23*C884*(VERI_TABANI!$B$13-VERI_TABANI!$B$15)) + IF(ISNUMBER(SEARCH("Var", D884)), VERI_TABANI!F23*(0.00202-VERI_TABANI!$B$16), IF(ISNUMBER(SEARCH("Gri", D884)), VERI_TABANI!F23*(0.00202-VERI_TABANI!$B$17), 0))) + ((VERI_TABANI!D24*B884*(VERI_TABANI!$B$13-VERI_TABANI!$B$14)) + (VERI_TABANI!D24*C884*(VERI_TABANI!$B$13-VERI_TABANI!$B$15)) + IF(ISNUMBER(SEARCH("Var", D884)), VERI_TABANI!F24*(0.00202-VERI_TABANI!$B$16), IF(ISNUMBER(SEARCH("Gri", D884)), VERI_TABANI!F24*(0.00202-VERI_TABANI!$B$17), 0))) + ((VERI_TABANI!D25*B884*(VERI_TABANI!$B$13-VERI_TABANI!$B$14)) + (VERI_TABANI!D25*C884*(VERI_TABANI!$B$13-VERI_TABANI!$B$15)) + IF(ISNUMBER(SEARCH("Var", D884)), VERI_TABANI!F25*(0.00202-VERI_TABANI!$B$16), IF(ISNUMBER(SEARCH("Gri", D884)), VERI_TABANI!F25*(0.00202-VERI_TABANI!$B$17), 0))) + ((VERI_TABANI!D26*B884*(VERI_TABANI!$B$13-VERI_TABANI!$B$14)) + (VERI_TABANI!D26*C884*(VERI_TABANI!$B$13-VERI_TABANI!$B$15)) + IF(ISNUMBER(SEARCH("Var", D884)), VERI_TABANI!F26*(0.00202-VERI_TABANI!$B$16), IF(ISNUMBER(SEARCH("Gri", D884)), VERI_TABANI!F26*(0.00202-VERI_TABANI!$B$17), 0))) + ((VERI_TABANI!D27*B884*(VERI_TABANI!$B$13-VERI_TABANI!$B$14)) + (VERI_TABANI!D27*C884*(VERI_TABANI!$B$13-VERI_TABANI!$B$15)) + IF(ISNUMBER(SEARCH("Var", D884)), VERI_TABANI!F27*(0.00202-VERI_TABANI!$B$16), IF(ISNUMBER(SEARCH("Gri", D884)), VERI_TABANI!F27*(0.00202-VERI_TABANI!$B$17), 0))) + ((VERI_TABANI!D28*B884*(VERI_TABANI!$B$13-VERI_TABANI!$B$14)) + (VERI_TABANI!D28*C884*(VERI_TABANI!$B$13-VERI_TABANI!$B$15)) + IF(ISNUMBER(SEARCH("Var", D884)), VERI_TABANI!F28*(0.00202-VERI_TABANI!$B$16), IF(ISNUMBER(SEARCH("Gri", D884)), VERI_TABANI!F28*(0.00202-VERI_TABANI!$B$17), 0))))</f>
        <v/>
      </c>
      <c r="I884" s="170">
        <f>IFERROR(((VERI_TABANI!$D$29*B884*VERI_TABANI!$B$14 + VERI_TABANI!$D$29*C884*VERI_TABANI!$B$15 + IF(ISNUMBER(SEARCH("Var", D884)), VERI_TABANI!$F$29*VERI_TABANI!$B$16, 0))) / (((VERI_TABANI!$D$29*B884 + VERI_TABANI!$D$29*C884)*VERI_TABANI!$B$13 + IF(ISNUMBER(SEARCH("Var", D884)), VERI_TABANI!$E$29*(1-0.928)*VERI_TABANI!$B$18, 0))), 0)</f>
        <v/>
      </c>
      <c r="J884" s="171">
        <f>IFERROR(F884/(G884/29), 0)</f>
        <v/>
      </c>
      <c r="K884" s="172">
        <f>IF(F884&gt;0, H884/F884, 0)</f>
        <v/>
      </c>
      <c r="L884" s="170">
        <f>IF(F884&gt;0, I884, 1000000000)</f>
        <v/>
      </c>
      <c r="M884" s="171">
        <f>ABS((B884+C884)-1)</f>
        <v/>
      </c>
      <c r="N884" s="170">
        <f>IF(F884&gt;0, (G884/29)/F884, 0)</f>
        <v/>
      </c>
      <c r="O884" s="168">
        <f>IF(AND((B884+C884)&gt;=1, ISNUMBER(SEARCH("Var", D884))), F884, 1000000000)</f>
        <v/>
      </c>
      <c r="P884" s="172">
        <f>IF(F884&gt;0, SQRT((F884/MAX(F$5:F$886))^2 + (1 - H884/MAX(H$5:H$886))^2 + (J884/MAX(J$5:J$886))^2), 1000000000)</f>
        <v/>
      </c>
      <c r="Q884" s="166">
        <f>IF(AND(ABS(B884-0.5)&lt;0.01, ABS(C884-0.5)&lt;0.01, ISNUMBER(SEARCH("Var", D884))), 1, 0)</f>
        <v/>
      </c>
      <c r="R884" s="171">
        <f>IF(F884&gt;0, J884, 1000000000)</f>
        <v/>
      </c>
      <c r="S884" s="101">
        <f>IF(AND(F884&lt;=DASHBOARD!$B$11, H884&gt;=DASHBOARD!$B$13), G884, -1000000000000)</f>
        <v/>
      </c>
      <c r="T884" s="101">
        <f>IF(AND(F884&lt;=DASHBOARD!$B$11, H884&gt;=DASHBOARD!$B$13), R884, 1000000000000)</f>
        <v/>
      </c>
      <c r="U884" s="101">
        <f>IF(AND(F884&lt;=DASHBOARD!$B$11, H884&gt;=DASHBOARD!$B$13), N884, -1000000000000)</f>
        <v/>
      </c>
      <c r="V884" s="101">
        <f>IF(AND(F884&lt;=DASHBOARD!$B$11, H884&gt;=DASHBOARD!$B$13), H884, -1000000000000)</f>
        <v/>
      </c>
      <c r="W884" s="101">
        <f>IF(AND(F884&lt;=DASHBOARD!$B$11, H884&gt;=DASHBOARD!$B$13), K884, -1000000000000)</f>
        <v/>
      </c>
      <c r="X884" s="101">
        <f>IF(AND(F884&lt;=DASHBOARD!$B$11, H884&gt;=DASHBOARD!$B$13), M884, 1000000000000)</f>
        <v/>
      </c>
      <c r="Y884" s="101">
        <f>IF(AND(F884&lt;=DASHBOARD!$B$10, H884&gt;=DASHBOARD!$B$11), L884, 1000000000000)</f>
        <v/>
      </c>
      <c r="Z884" s="101">
        <f>IF(AND(F884&lt;=DASHBOARD!$B$10, H884&gt;=DASHBOARD!$B$11), O884, 1000000000000)</f>
        <v/>
      </c>
      <c r="AA884" s="101">
        <f>IF(AND(F884&lt;=DASHBOARD!$B$10, H884&gt;=DASHBOARD!$B$11), P884, 1000000000000)</f>
        <v/>
      </c>
      <c r="AB884" s="101">
        <f>IF(AND(F884&lt;=DASHBOARD!$B$10, H884&gt;=DASHBOARD!$B$11), Q884, -1000000000000)</f>
        <v/>
      </c>
    </row>
    <row r="885" ht="15" customHeight="1" s="102">
      <c r="A885" s="166" t="n">
        <v>881</v>
      </c>
      <c r="B885" s="167" t="n">
        <v>2</v>
      </c>
      <c r="C885" s="167" t="n">
        <v>2</v>
      </c>
      <c r="D885" s="110" t="inlineStr">
        <is>
          <t>Yok (%0)</t>
        </is>
      </c>
      <c r="E885" s="110">
        <f>IF((B885+C885)&lt;=1, "Tam Mahsuplaşma (≤%100)", "Kısmi Satış (&gt;%100)")</f>
        <v/>
      </c>
      <c r="F885" s="168">
        <f>((VERI_TABANI!$D$29*B885/VERI_TABANI!$B$29)/VERI_TABANI!$B$3)*VERI_TABANI!$B$5 + ((VERI_TABANI!$D$29*C885/VERI_TABANI!$B$29)/VERI_TABANI!$B$4)*VERI_TABANI!$B$6 + IF(ISNUMBER(SEARCH("Var", D885)), (VERI_TABANI!$F$29/VERI_TABANI!$B$29)*(VERI_TABANI!$B$10+VERI_TABANI!$B$12), 0)</f>
        <v/>
      </c>
      <c r="G885" s="168">
        <f>(((MIN(VERI_TABANI!D23, VERI_TABANI!D23*B885)*VERI_TABANI!$B$7 + MAX(0, VERI_TABANI!D23*B885-VERI_TABANI!D23)*VERI_TABANI!$B$8) + (MIN(MAX(0, VERI_TABANI!D23-VERI_TABANI!D23*B885), VERI_TABANI!D23*C885)*VERI_TABANI!$B$7 + MAX(0, VERI_TABANI!D23*C885-MAX(0, VERI_TABANI!D23-VERI_TABANI!D23*B885))*VERI_TABANI!$B$8) + IF(ABS(IF(ISNUMBER(SEARCH("Var", D885)), 1, IF(ISNUMBER(SEARCH("Gri", D885)), -1, 0)))=1, VERI_TABANI!E23*(1-0.928)*VERI_TABANI!$B$9, 0) + (VERI_TABANI!D23*B885*(VERI_TABANI!$B$13-VERI_TABANI!$B$14)*VERI_TABANI!G23) + (VERI_TABANI!D23*C885*(VERI_TABANI!$B$13-VERI_TABANI!$B$15)*VERI_TABANI!G23) + IF(ABS(IF(ISNUMBER(SEARCH("Var", D885)), 1, IF(ISNUMBER(SEARCH("Gri", D885)), -1, 0)))=1, VERI_TABANI!E23*(1-0.928)*0.00206091519919798*VERI_TABANI!G23, 0)) + ((MIN(VERI_TABANI!D24, VERI_TABANI!D24*B885)*VERI_TABANI!$B$7 + MAX(0, VERI_TABANI!D24*B885-VERI_TABANI!D24)*VERI_TABANI!$B$8) + (MIN(MAX(0, VERI_TABANI!D24-VERI_TABANI!D24*B885), VERI_TABANI!D24*C885)*VERI_TABANI!$B$7 + MAX(0, VERI_TABANI!D24*C885-MAX(0, VERI_TABANI!D24-VERI_TABANI!D24*B885))*VERI_TABANI!$B$8) + IF(ABS(IF(ISNUMBER(SEARCH("Var", D885)), 1, IF(ISNUMBER(SEARCH("Gri", D885)), -1, 0)))=1, VERI_TABANI!E24*(1-0.928)*VERI_TABANI!$B$9, 0) + (VERI_TABANI!D24*B885*(VERI_TABANI!$B$13-VERI_TABANI!$B$14)*VERI_TABANI!G24) + (VERI_TABANI!D24*C885*(VERI_TABANI!$B$13-VERI_TABANI!$B$15)*VERI_TABANI!G24) + IF(ABS(IF(ISNUMBER(SEARCH("Var", D885)), 1, IF(ISNUMBER(SEARCH("Gri", D885)), -1, 0)))=1, VERI_TABANI!E24*(1-0.928)*0.00206091519919798*VERI_TABANI!G24, 0)) + ((MIN(VERI_TABANI!D25, VERI_TABANI!D25*B885)*VERI_TABANI!$B$7 + MAX(0, VERI_TABANI!D25*B885-VERI_TABANI!D25)*VERI_TABANI!$B$8) + (MIN(MAX(0, VERI_TABANI!D25-VERI_TABANI!D25*B885), VERI_TABANI!D25*C885)*VERI_TABANI!$B$7 + MAX(0, VERI_TABANI!D25*C885-MAX(0, VERI_TABANI!D25-VERI_TABANI!D25*B885))*VERI_TABANI!$B$8) + IF(ABS(IF(ISNUMBER(SEARCH("Var", D885)), 1, IF(ISNUMBER(SEARCH("Gri", D885)), -1, 0)))=1, VERI_TABANI!E25*(1-0.928)*VERI_TABANI!$B$9, 0) + (VERI_TABANI!D25*B885*(VERI_TABANI!$B$13-VERI_TABANI!$B$14)*VERI_TABANI!G25) + (VERI_TABANI!D25*C885*(VERI_TABANI!$B$13-VERI_TABANI!$B$15)*VERI_TABANI!G25) + IF(ABS(IF(ISNUMBER(SEARCH("Var", D885)), 1, IF(ISNUMBER(SEARCH("Gri", D885)), -1, 0)))=1, VERI_TABANI!E25*(1-0.928)*0.00206091519919798*VERI_TABANI!G25, 0)) + ((MIN(VERI_TABANI!D26, VERI_TABANI!D26*B885)*VERI_TABANI!$B$7 + MAX(0, VERI_TABANI!D26*B885-VERI_TABANI!D26)*VERI_TABANI!$B$8) + (MIN(MAX(0, VERI_TABANI!D26-VERI_TABANI!D26*B885), VERI_TABANI!D26*C885)*VERI_TABANI!$B$7 + MAX(0, VERI_TABANI!D26*C885-MAX(0, VERI_TABANI!D26-VERI_TABANI!D26*B885))*VERI_TABANI!$B$8) + IF(ABS(IF(ISNUMBER(SEARCH("Var", D885)), 1, IF(ISNUMBER(SEARCH("Gri", D885)), -1, 0)))=1, VERI_TABANI!E26*(1-0.928)*VERI_TABANI!$B$9, 0) + (VERI_TABANI!D26*B885*(VERI_TABANI!$B$13-VERI_TABANI!$B$14)*VERI_TABANI!G26) + (VERI_TABANI!D26*C885*(VERI_TABANI!$B$13-VERI_TABANI!$B$15)*VERI_TABANI!G26) + IF(ABS(IF(ISNUMBER(SEARCH("Var", D885)), 1, IF(ISNUMBER(SEARCH("Gri", D885)), -1, 0)))=1, VERI_TABANI!E26*(1-0.928)*0.00206091519919798*VERI_TABANI!G26, 0)) + ((MIN(VERI_TABANI!D27, VERI_TABANI!D27*B885)*VERI_TABANI!$B$7 + MAX(0, VERI_TABANI!D27*B885-VERI_TABANI!D27)*VERI_TABANI!$B$8) + (MIN(MAX(0, VERI_TABANI!D27-VERI_TABANI!D27*B885), VERI_TABANI!D27*C885)*VERI_TABANI!$B$7 + MAX(0, VERI_TABANI!D27*C885-MAX(0, VERI_TABANI!D27-VERI_TABANI!D27*B885))*VERI_TABANI!$B$8) + IF(ABS(IF(ISNUMBER(SEARCH("Var", D885)), 1, IF(ISNUMBER(SEARCH("Gri", D885)), -1, 0)))=1, VERI_TABANI!E27*(1-0.928)*VERI_TABANI!$B$9, 0) + (VERI_TABANI!D27*B885*(VERI_TABANI!$B$13-VERI_TABANI!$B$14)*VERI_TABANI!G27) + (VERI_TABANI!D27*C885*(VERI_TABANI!$B$13-VERI_TABANI!$B$15)*VERI_TABANI!G27) + IF(ABS(IF(ISNUMBER(SEARCH("Var", D885)), 1, IF(ISNUMBER(SEARCH("Gri", D885)), -1, 0)))=1, VERI_TABANI!E27*(1-0.928)*0.00206091519919798*VERI_TABANI!G27, 0)) + ((MIN(VERI_TABANI!D28, VERI_TABANI!D28*B885)*VERI_TABANI!$B$7 + MAX(0, VERI_TABANI!D28*B885-VERI_TABANI!D28)*VERI_TABANI!$B$8) + (MIN(MAX(0, VERI_TABANI!D28-VERI_TABANI!D28*B885), VERI_TABANI!D28*C885)*VERI_TABANI!$B$7 + MAX(0, VERI_TABANI!D28*C885-MAX(0, VERI_TABANI!D28-VERI_TABANI!D28*B885))*VERI_TABANI!$B$8) + IF(ABS(IF(ISNUMBER(SEARCH("Var", D885)), 1, IF(ISNUMBER(SEARCH("Gri", D885)), -1, 0)))=1, VERI_TABANI!E28*(1-0.928)*VERI_TABANI!$B$9, 0) + (VERI_TABANI!D28*B885*(VERI_TABANI!$B$13-VERI_TABANI!$B$14)*VERI_TABANI!G28) + (VERI_TABANI!D28*C885*(VERI_TABANI!$B$13-VERI_TABANI!$B$15)*VERI_TABANI!G28) + IF(ABS(IF(ISNUMBER(SEARCH("Var", D885)), 1, IF(ISNUMBER(SEARCH("Gri", D885)), -1, 0)))=1, VERI_TABANI!E28*(1-0.928)*0.00206091519919798*VERI_TABANI!G28, 0)))</f>
        <v/>
      </c>
      <c r="H885" s="169">
        <f>(((VERI_TABANI!D23*B885*(VERI_TABANI!$B$13-VERI_TABANI!$B$14)) + (VERI_TABANI!D23*C885*(VERI_TABANI!$B$13-VERI_TABANI!$B$15)) + IF(ISNUMBER(SEARCH("Var", D885)), VERI_TABANI!F23*(0.00202-VERI_TABANI!$B$16), IF(ISNUMBER(SEARCH("Gri", D885)), VERI_TABANI!F23*(0.00202-VERI_TABANI!$B$17), 0))) + ((VERI_TABANI!D24*B885*(VERI_TABANI!$B$13-VERI_TABANI!$B$14)) + (VERI_TABANI!D24*C885*(VERI_TABANI!$B$13-VERI_TABANI!$B$15)) + IF(ISNUMBER(SEARCH("Var", D885)), VERI_TABANI!F24*(0.00202-VERI_TABANI!$B$16), IF(ISNUMBER(SEARCH("Gri", D885)), VERI_TABANI!F24*(0.00202-VERI_TABANI!$B$17), 0))) + ((VERI_TABANI!D25*B885*(VERI_TABANI!$B$13-VERI_TABANI!$B$14)) + (VERI_TABANI!D25*C885*(VERI_TABANI!$B$13-VERI_TABANI!$B$15)) + IF(ISNUMBER(SEARCH("Var", D885)), VERI_TABANI!F25*(0.00202-VERI_TABANI!$B$16), IF(ISNUMBER(SEARCH("Gri", D885)), VERI_TABANI!F25*(0.00202-VERI_TABANI!$B$17), 0))) + ((VERI_TABANI!D26*B885*(VERI_TABANI!$B$13-VERI_TABANI!$B$14)) + (VERI_TABANI!D26*C885*(VERI_TABANI!$B$13-VERI_TABANI!$B$15)) + IF(ISNUMBER(SEARCH("Var", D885)), VERI_TABANI!F26*(0.00202-VERI_TABANI!$B$16), IF(ISNUMBER(SEARCH("Gri", D885)), VERI_TABANI!F26*(0.00202-VERI_TABANI!$B$17), 0))) + ((VERI_TABANI!D27*B885*(VERI_TABANI!$B$13-VERI_TABANI!$B$14)) + (VERI_TABANI!D27*C885*(VERI_TABANI!$B$13-VERI_TABANI!$B$15)) + IF(ISNUMBER(SEARCH("Var", D885)), VERI_TABANI!F27*(0.00202-VERI_TABANI!$B$16), IF(ISNUMBER(SEARCH("Gri", D885)), VERI_TABANI!F27*(0.00202-VERI_TABANI!$B$17), 0))) + ((VERI_TABANI!D28*B885*(VERI_TABANI!$B$13-VERI_TABANI!$B$14)) + (VERI_TABANI!D28*C885*(VERI_TABANI!$B$13-VERI_TABANI!$B$15)) + IF(ISNUMBER(SEARCH("Var", D885)), VERI_TABANI!F28*(0.00202-VERI_TABANI!$B$16), IF(ISNUMBER(SEARCH("Gri", D885)), VERI_TABANI!F28*(0.00202-VERI_TABANI!$B$17), 0))))</f>
        <v/>
      </c>
      <c r="I885" s="170">
        <f>IFERROR(((VERI_TABANI!$D$29*B885*VERI_TABANI!$B$14 + VERI_TABANI!$D$29*C885*VERI_TABANI!$B$15 + IF(ISNUMBER(SEARCH("Var", D885)), VERI_TABANI!$F$29*VERI_TABANI!$B$16, 0))) / (((VERI_TABANI!$D$29*B885 + VERI_TABANI!$D$29*C885)*VERI_TABANI!$B$13 + IF(ISNUMBER(SEARCH("Var", D885)), VERI_TABANI!$E$29*(1-0.928)*VERI_TABANI!$B$18, 0))), 0)</f>
        <v/>
      </c>
      <c r="J885" s="171">
        <f>IFERROR(F885/(G885/29), 0)</f>
        <v/>
      </c>
      <c r="K885" s="172">
        <f>IF(F885&gt;0, H885/F885, 0)</f>
        <v/>
      </c>
      <c r="L885" s="170">
        <f>IF(F885&gt;0, I885, 1000000000)</f>
        <v/>
      </c>
      <c r="M885" s="171">
        <f>ABS((B885+C885)-1)</f>
        <v/>
      </c>
      <c r="N885" s="170">
        <f>IF(F885&gt;0, (G885/29)/F885, 0)</f>
        <v/>
      </c>
      <c r="O885" s="168">
        <f>IF(AND((B885+C885)&gt;=1, ISNUMBER(SEARCH("Var", D885))), F885, 1000000000)</f>
        <v/>
      </c>
      <c r="P885" s="172">
        <f>IF(F885&gt;0, SQRT((F885/MAX(F$5:F$886))^2 + (1 - H885/MAX(H$5:H$886))^2 + (J885/MAX(J$5:J$886))^2), 1000000000)</f>
        <v/>
      </c>
      <c r="Q885" s="166">
        <f>IF(AND(ABS(B885-0.5)&lt;0.01, ABS(C885-0.5)&lt;0.01, ISNUMBER(SEARCH("Var", D885))), 1, 0)</f>
        <v/>
      </c>
      <c r="R885" s="171">
        <f>IF(F885&gt;0, J885, 1000000000)</f>
        <v/>
      </c>
      <c r="S885" s="101">
        <f>IF(AND(F885&lt;=DASHBOARD!$B$11, H885&gt;=DASHBOARD!$B$13), G885, -1000000000000)</f>
        <v/>
      </c>
      <c r="T885" s="101">
        <f>IF(AND(F885&lt;=DASHBOARD!$B$11, H885&gt;=DASHBOARD!$B$13), R885, 1000000000000)</f>
        <v/>
      </c>
      <c r="U885" s="101">
        <f>IF(AND(F885&lt;=DASHBOARD!$B$11, H885&gt;=DASHBOARD!$B$13), N885, -1000000000000)</f>
        <v/>
      </c>
      <c r="V885" s="101">
        <f>IF(AND(F885&lt;=DASHBOARD!$B$11, H885&gt;=DASHBOARD!$B$13), H885, -1000000000000)</f>
        <v/>
      </c>
      <c r="W885" s="101">
        <f>IF(AND(F885&lt;=DASHBOARD!$B$11, H885&gt;=DASHBOARD!$B$13), K885, -1000000000000)</f>
        <v/>
      </c>
      <c r="X885" s="101">
        <f>IF(AND(F885&lt;=DASHBOARD!$B$11, H885&gt;=DASHBOARD!$B$13), M885, 1000000000000)</f>
        <v/>
      </c>
      <c r="Y885" s="101">
        <f>IF(AND(F885&lt;=DASHBOARD!$B$10, H885&gt;=DASHBOARD!$B$11), L885, 1000000000000)</f>
        <v/>
      </c>
      <c r="Z885" s="101">
        <f>IF(AND(F885&lt;=DASHBOARD!$B$10, H885&gt;=DASHBOARD!$B$11), O885, 1000000000000)</f>
        <v/>
      </c>
      <c r="AA885" s="101">
        <f>IF(AND(F885&lt;=DASHBOARD!$B$10, H885&gt;=DASHBOARD!$B$11), P885, 1000000000000)</f>
        <v/>
      </c>
      <c r="AB885" s="101">
        <f>IF(AND(F885&lt;=DASHBOARD!$B$10, H885&gt;=DASHBOARD!$B$11), Q885, -1000000000000)</f>
        <v/>
      </c>
    </row>
    <row r="886" ht="15" customHeight="1" s="102">
      <c r="A886" s="166" t="n">
        <v>882</v>
      </c>
      <c r="B886" s="167" t="n">
        <v>2</v>
      </c>
      <c r="C886" s="167" t="n">
        <v>2</v>
      </c>
      <c r="D886" s="110" t="inlineStr">
        <is>
          <t>Var (%20)</t>
        </is>
      </c>
      <c r="E886" s="110">
        <f>IF((B886+C886)&lt;=1, "Tam Mahsuplaşma (≤%100)", "Kısmi Satış (&gt;%100)")</f>
        <v/>
      </c>
      <c r="F886" s="168">
        <f>((VERI_TABANI!$D$29*B886/VERI_TABANI!$B$29)/VERI_TABANI!$B$3)*VERI_TABANI!$B$5 + ((VERI_TABANI!$D$29*C886/VERI_TABANI!$B$29)/VERI_TABANI!$B$4)*VERI_TABANI!$B$6 + IF(ISNUMBER(SEARCH("Var", D886)), (VERI_TABANI!$F$29/VERI_TABANI!$B$29)*(VERI_TABANI!$B$10+VERI_TABANI!$B$12), 0)</f>
        <v/>
      </c>
      <c r="G886" s="168">
        <f>(((MIN(VERI_TABANI!D23, VERI_TABANI!D23*B886)*VERI_TABANI!$B$7 + MAX(0, VERI_TABANI!D23*B886-VERI_TABANI!D23)*VERI_TABANI!$B$8) + (MIN(MAX(0, VERI_TABANI!D23-VERI_TABANI!D23*B886), VERI_TABANI!D23*C886)*VERI_TABANI!$B$7 + MAX(0, VERI_TABANI!D23*C886-MAX(0, VERI_TABANI!D23-VERI_TABANI!D23*B886))*VERI_TABANI!$B$8) + IF(ABS(IF(ISNUMBER(SEARCH("Var", D886)), 1, IF(ISNUMBER(SEARCH("Gri", D886)), -1, 0)))=1, VERI_TABANI!E23*(1-0.928)*VERI_TABANI!$B$9, 0) + (VERI_TABANI!D23*B886*(VERI_TABANI!$B$13-VERI_TABANI!$B$14)*VERI_TABANI!G23) + (VERI_TABANI!D23*C886*(VERI_TABANI!$B$13-VERI_TABANI!$B$15)*VERI_TABANI!G23) + IF(ABS(IF(ISNUMBER(SEARCH("Var", D886)), 1, IF(ISNUMBER(SEARCH("Gri", D886)), -1, 0)))=1, VERI_TABANI!E23*(1-0.928)*0.00206091519919798*VERI_TABANI!G23, 0)) + ((MIN(VERI_TABANI!D24, VERI_TABANI!D24*B886)*VERI_TABANI!$B$7 + MAX(0, VERI_TABANI!D24*B886-VERI_TABANI!D24)*VERI_TABANI!$B$8) + (MIN(MAX(0, VERI_TABANI!D24-VERI_TABANI!D24*B886), VERI_TABANI!D24*C886)*VERI_TABANI!$B$7 + MAX(0, VERI_TABANI!D24*C886-MAX(0, VERI_TABANI!D24-VERI_TABANI!D24*B886))*VERI_TABANI!$B$8) + IF(ABS(IF(ISNUMBER(SEARCH("Var", D886)), 1, IF(ISNUMBER(SEARCH("Gri", D886)), -1, 0)))=1, VERI_TABANI!E24*(1-0.928)*VERI_TABANI!$B$9, 0) + (VERI_TABANI!D24*B886*(VERI_TABANI!$B$13-VERI_TABANI!$B$14)*VERI_TABANI!G24) + (VERI_TABANI!D24*C886*(VERI_TABANI!$B$13-VERI_TABANI!$B$15)*VERI_TABANI!G24) + IF(ABS(IF(ISNUMBER(SEARCH("Var", D886)), 1, IF(ISNUMBER(SEARCH("Gri", D886)), -1, 0)))=1, VERI_TABANI!E24*(1-0.928)*0.00206091519919798*VERI_TABANI!G24, 0)) + ((MIN(VERI_TABANI!D25, VERI_TABANI!D25*B886)*VERI_TABANI!$B$7 + MAX(0, VERI_TABANI!D25*B886-VERI_TABANI!D25)*VERI_TABANI!$B$8) + (MIN(MAX(0, VERI_TABANI!D25-VERI_TABANI!D25*B886), VERI_TABANI!D25*C886)*VERI_TABANI!$B$7 + MAX(0, VERI_TABANI!D25*C886-MAX(0, VERI_TABANI!D25-VERI_TABANI!D25*B886))*VERI_TABANI!$B$8) + IF(ABS(IF(ISNUMBER(SEARCH("Var", D886)), 1, IF(ISNUMBER(SEARCH("Gri", D886)), -1, 0)))=1, VERI_TABANI!E25*(1-0.928)*VERI_TABANI!$B$9, 0) + (VERI_TABANI!D25*B886*(VERI_TABANI!$B$13-VERI_TABANI!$B$14)*VERI_TABANI!G25) + (VERI_TABANI!D25*C886*(VERI_TABANI!$B$13-VERI_TABANI!$B$15)*VERI_TABANI!G25) + IF(ABS(IF(ISNUMBER(SEARCH("Var", D886)), 1, IF(ISNUMBER(SEARCH("Gri", D886)), -1, 0)))=1, VERI_TABANI!E25*(1-0.928)*0.00206091519919798*VERI_TABANI!G25, 0)) + ((MIN(VERI_TABANI!D26, VERI_TABANI!D26*B886)*VERI_TABANI!$B$7 + MAX(0, VERI_TABANI!D26*B886-VERI_TABANI!D26)*VERI_TABANI!$B$8) + (MIN(MAX(0, VERI_TABANI!D26-VERI_TABANI!D26*B886), VERI_TABANI!D26*C886)*VERI_TABANI!$B$7 + MAX(0, VERI_TABANI!D26*C886-MAX(0, VERI_TABANI!D26-VERI_TABANI!D26*B886))*VERI_TABANI!$B$8) + IF(ABS(IF(ISNUMBER(SEARCH("Var", D886)), 1, IF(ISNUMBER(SEARCH("Gri", D886)), -1, 0)))=1, VERI_TABANI!E26*(1-0.928)*VERI_TABANI!$B$9, 0) + (VERI_TABANI!D26*B886*(VERI_TABANI!$B$13-VERI_TABANI!$B$14)*VERI_TABANI!G26) + (VERI_TABANI!D26*C886*(VERI_TABANI!$B$13-VERI_TABANI!$B$15)*VERI_TABANI!G26) + IF(ABS(IF(ISNUMBER(SEARCH("Var", D886)), 1, IF(ISNUMBER(SEARCH("Gri", D886)), -1, 0)))=1, VERI_TABANI!E26*(1-0.928)*0.00206091519919798*VERI_TABANI!G26, 0)) + ((MIN(VERI_TABANI!D27, VERI_TABANI!D27*B886)*VERI_TABANI!$B$7 + MAX(0, VERI_TABANI!D27*B886-VERI_TABANI!D27)*VERI_TABANI!$B$8) + (MIN(MAX(0, VERI_TABANI!D27-VERI_TABANI!D27*B886), VERI_TABANI!D27*C886)*VERI_TABANI!$B$7 + MAX(0, VERI_TABANI!D27*C886-MAX(0, VERI_TABANI!D27-VERI_TABANI!D27*B886))*VERI_TABANI!$B$8) + IF(ABS(IF(ISNUMBER(SEARCH("Var", D886)), 1, IF(ISNUMBER(SEARCH("Gri", D886)), -1, 0)))=1, VERI_TABANI!E27*(1-0.928)*VERI_TABANI!$B$9, 0) + (VERI_TABANI!D27*B886*(VERI_TABANI!$B$13-VERI_TABANI!$B$14)*VERI_TABANI!G27) + (VERI_TABANI!D27*C886*(VERI_TABANI!$B$13-VERI_TABANI!$B$15)*VERI_TABANI!G27) + IF(ABS(IF(ISNUMBER(SEARCH("Var", D886)), 1, IF(ISNUMBER(SEARCH("Gri", D886)), -1, 0)))=1, VERI_TABANI!E27*(1-0.928)*0.00206091519919798*VERI_TABANI!G27, 0)) + ((MIN(VERI_TABANI!D28, VERI_TABANI!D28*B886)*VERI_TABANI!$B$7 + MAX(0, VERI_TABANI!D28*B886-VERI_TABANI!D28)*VERI_TABANI!$B$8) + (MIN(MAX(0, VERI_TABANI!D28-VERI_TABANI!D28*B886), VERI_TABANI!D28*C886)*VERI_TABANI!$B$7 + MAX(0, VERI_TABANI!D28*C886-MAX(0, VERI_TABANI!D28-VERI_TABANI!D28*B886))*VERI_TABANI!$B$8) + IF(ABS(IF(ISNUMBER(SEARCH("Var", D886)), 1, IF(ISNUMBER(SEARCH("Gri", D886)), -1, 0)))=1, VERI_TABANI!E28*(1-0.928)*VERI_TABANI!$B$9, 0) + (VERI_TABANI!D28*B886*(VERI_TABANI!$B$13-VERI_TABANI!$B$14)*VERI_TABANI!G28) + (VERI_TABANI!D28*C886*(VERI_TABANI!$B$13-VERI_TABANI!$B$15)*VERI_TABANI!G28) + IF(ABS(IF(ISNUMBER(SEARCH("Var", D886)), 1, IF(ISNUMBER(SEARCH("Gri", D886)), -1, 0)))=1, VERI_TABANI!E28*(1-0.928)*0.00206091519919798*VERI_TABANI!G28, 0)))</f>
        <v/>
      </c>
      <c r="H886" s="169">
        <f>(((VERI_TABANI!D23*B886*(VERI_TABANI!$B$13-VERI_TABANI!$B$14)) + (VERI_TABANI!D23*C886*(VERI_TABANI!$B$13-VERI_TABANI!$B$15)) + IF(ISNUMBER(SEARCH("Var", D886)), VERI_TABANI!F23*(0.00202-VERI_TABANI!$B$16), IF(ISNUMBER(SEARCH("Gri", D886)), VERI_TABANI!F23*(0.00202-VERI_TABANI!$B$17), 0))) + ((VERI_TABANI!D24*B886*(VERI_TABANI!$B$13-VERI_TABANI!$B$14)) + (VERI_TABANI!D24*C886*(VERI_TABANI!$B$13-VERI_TABANI!$B$15)) + IF(ISNUMBER(SEARCH("Var", D886)), VERI_TABANI!F24*(0.00202-VERI_TABANI!$B$16), IF(ISNUMBER(SEARCH("Gri", D886)), VERI_TABANI!F24*(0.00202-VERI_TABANI!$B$17), 0))) + ((VERI_TABANI!D25*B886*(VERI_TABANI!$B$13-VERI_TABANI!$B$14)) + (VERI_TABANI!D25*C886*(VERI_TABANI!$B$13-VERI_TABANI!$B$15)) + IF(ISNUMBER(SEARCH("Var", D886)), VERI_TABANI!F25*(0.00202-VERI_TABANI!$B$16), IF(ISNUMBER(SEARCH("Gri", D886)), VERI_TABANI!F25*(0.00202-VERI_TABANI!$B$17), 0))) + ((VERI_TABANI!D26*B886*(VERI_TABANI!$B$13-VERI_TABANI!$B$14)) + (VERI_TABANI!D26*C886*(VERI_TABANI!$B$13-VERI_TABANI!$B$15)) + IF(ISNUMBER(SEARCH("Var", D886)), VERI_TABANI!F26*(0.00202-VERI_TABANI!$B$16), IF(ISNUMBER(SEARCH("Gri", D886)), VERI_TABANI!F26*(0.00202-VERI_TABANI!$B$17), 0))) + ((VERI_TABANI!D27*B886*(VERI_TABANI!$B$13-VERI_TABANI!$B$14)) + (VERI_TABANI!D27*C886*(VERI_TABANI!$B$13-VERI_TABANI!$B$15)) + IF(ISNUMBER(SEARCH("Var", D886)), VERI_TABANI!F27*(0.00202-VERI_TABANI!$B$16), IF(ISNUMBER(SEARCH("Gri", D886)), VERI_TABANI!F27*(0.00202-VERI_TABANI!$B$17), 0))) + ((VERI_TABANI!D28*B886*(VERI_TABANI!$B$13-VERI_TABANI!$B$14)) + (VERI_TABANI!D28*C886*(VERI_TABANI!$B$13-VERI_TABANI!$B$15)) + IF(ISNUMBER(SEARCH("Var", D886)), VERI_TABANI!F28*(0.00202-VERI_TABANI!$B$16), IF(ISNUMBER(SEARCH("Gri", D886)), VERI_TABANI!F28*(0.00202-VERI_TABANI!$B$17), 0))))</f>
        <v/>
      </c>
      <c r="I886" s="170">
        <f>IFERROR(((VERI_TABANI!$D$29*B886*VERI_TABANI!$B$14 + VERI_TABANI!$D$29*C886*VERI_TABANI!$B$15 + IF(ISNUMBER(SEARCH("Var", D886)), VERI_TABANI!$F$29*VERI_TABANI!$B$16, 0))) / (((VERI_TABANI!$D$29*B886 + VERI_TABANI!$D$29*C886)*VERI_TABANI!$B$13 + IF(ISNUMBER(SEARCH("Var", D886)), VERI_TABANI!$E$29*(1-0.928)*VERI_TABANI!$B$18, 0))), 0)</f>
        <v/>
      </c>
      <c r="J886" s="171">
        <f>IFERROR(F886/(G886/29), 0)</f>
        <v/>
      </c>
      <c r="K886" s="172">
        <f>IF(F886&gt;0, H886/F886, 0)</f>
        <v/>
      </c>
      <c r="L886" s="170">
        <f>IF(F886&gt;0, I886, 1000000000)</f>
        <v/>
      </c>
      <c r="M886" s="171">
        <f>ABS((B886+C886)-1)</f>
        <v/>
      </c>
      <c r="N886" s="170">
        <f>IF(F886&gt;0, (G886/29)/F886, 0)</f>
        <v/>
      </c>
      <c r="O886" s="168">
        <f>IF(AND((B886+C886)&gt;=1, ISNUMBER(SEARCH("Var", D886))), F886, 1000000000)</f>
        <v/>
      </c>
      <c r="P886" s="172">
        <f>IF(F886&gt;0, SQRT((F886/MAX(F$5:F$886))^2 + (1 - H886/MAX(H$5:H$886))^2 + (J886/MAX(J$5:J$886))^2), 1000000000)</f>
        <v/>
      </c>
      <c r="Q886" s="166">
        <f>IF(AND(ABS(B886-0.5)&lt;0.01, ABS(C886-0.5)&lt;0.01, ISNUMBER(SEARCH("Var", D886))), 1, 0)</f>
        <v/>
      </c>
      <c r="R886" s="171">
        <f>IF(F886&gt;0, J886, 1000000000)</f>
        <v/>
      </c>
      <c r="S886" s="101">
        <f>IF(AND(F886&lt;=DASHBOARD!$B$11, H886&gt;=DASHBOARD!$B$13), G886, -1000000000000)</f>
        <v/>
      </c>
      <c r="T886" s="101">
        <f>IF(AND(F886&lt;=DASHBOARD!$B$11, H886&gt;=DASHBOARD!$B$13), R886, 1000000000000)</f>
        <v/>
      </c>
      <c r="U886" s="101">
        <f>IF(AND(F886&lt;=DASHBOARD!$B$11, H886&gt;=DASHBOARD!$B$13), N886, -1000000000000)</f>
        <v/>
      </c>
      <c r="V886" s="101">
        <f>IF(AND(F886&lt;=DASHBOARD!$B$11, H886&gt;=DASHBOARD!$B$13), H886, -1000000000000)</f>
        <v/>
      </c>
      <c r="W886" s="101">
        <f>IF(AND(F886&lt;=DASHBOARD!$B$11, H886&gt;=DASHBOARD!$B$13), K886, -1000000000000)</f>
        <v/>
      </c>
      <c r="X886" s="101">
        <f>IF(AND(F886&lt;=DASHBOARD!$B$11, H886&gt;=DASHBOARD!$B$13), M886, 1000000000000)</f>
        <v/>
      </c>
      <c r="Y886" s="101">
        <f>IF(AND(F886&lt;=DASHBOARD!$B$10, H886&gt;=DASHBOARD!$B$11), L886, 1000000000000)</f>
        <v/>
      </c>
      <c r="Z886" s="101">
        <f>IF(AND(F886&lt;=DASHBOARD!$B$10, H886&gt;=DASHBOARD!$B$11), O886, 1000000000000)</f>
        <v/>
      </c>
      <c r="AA886" s="101">
        <f>IF(AND(F886&lt;=DASHBOARD!$B$10, H886&gt;=DASHBOARD!$B$11), P886, 1000000000000)</f>
        <v/>
      </c>
      <c r="AB886" s="101">
        <f>IF(AND(F886&lt;=DASHBOARD!$B$10, H886&gt;=DASHBOARD!$B$11), Q886, -1000000000000)</f>
        <v/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42" customWidth="1" style="101" min="1" max="1"/>
    <col width="25" customWidth="1" style="101" min="2" max="3"/>
    <col width="25" customWidth="1" style="102" min="3" max="3"/>
    <col width="25" customWidth="1" style="101" min="4" max="4"/>
    <col width="26" customWidth="1" style="101" min="5" max="5"/>
    <col width="55" customWidth="1" style="101" min="6" max="8"/>
    <col width="20" customWidth="1" style="101" min="9" max="9"/>
    <col width="22" customWidth="1" style="101" min="10" max="10"/>
    <col width="85" customWidth="1" style="101" min="11" max="11"/>
  </cols>
  <sheetData>
    <row r="1" ht="35" customHeight="1" s="102">
      <c r="A1" s="173" t="inlineStr">
        <is>
          <t>DİNAMİK ÇOK MODLU DÖNÜŞÜM VE KARAR DESTEK ANALİZ HESABI PANOSU (v9)</t>
        </is>
      </c>
    </row>
    <row r="2" ht="20" customHeight="1" s="102">
      <c r="A2" s="174" t="inlineStr">
        <is>
          <t>Bu pano; karar vericinin (1) Enerji Oranı, (2) Bütçe Kısıtı veya (3) Karbon Hedefi odaklı 3 dinamik modunu yan yana kıyaslayarak 4 ana boyutta bütünleşik analiz sunar.</t>
        </is>
      </c>
    </row>
    <row r="3" ht="13.5" customHeight="1" s="102"/>
    <row r="4" ht="28" customHeight="1" s="102">
      <c r="A4" s="175" t="inlineStr">
        <is>
          <t>BÜTÜNLEŞİK ÇOK MODLU KARAR DESTEK VE MİKRO-ANALİZ MATRİSİ</t>
        </is>
      </c>
    </row>
    <row r="5" ht="30" customHeight="1" s="102">
      <c r="A5" s="176" t="inlineStr">
        <is>
          <t>Analiz Göstergesi ve Performans Boyutu</t>
        </is>
      </c>
      <c r="B5" s="176" t="inlineStr">
        <is>
          <t>MOD 1: Oran Odaklı
(Canlı DASHBOARD Girişi)</t>
        </is>
      </c>
      <c r="C5" s="176" t="inlineStr">
        <is>
          <t>MOD 2: Bütçe Odaklı
(≤ Bütçe Kısıtı €)</t>
        </is>
      </c>
      <c r="D5" s="176" t="inlineStr">
        <is>
          <t>MOD 3: Karbon Odaklı
(≥ Karbon Hedefi tCO₂)</t>
        </is>
      </c>
      <c r="E5" s="177" t="inlineStr">
        <is>
          <t>AKTİF SEÇİLİ MOD
(Master Şaltere Göre)</t>
        </is>
      </c>
      <c r="F5" s="176" t="inlineStr">
        <is>
          <t>Stratejik Karar Açıklaması ve Analiz Yorumu</t>
        </is>
      </c>
    </row>
    <row r="6" ht="24" customHeight="1" s="102">
      <c r="A6" s="178" t="inlineStr">
        <is>
          <t>BÖLÜM 1: DÖNÜŞÜM ALTYAPISI VE TEKNİK KAPASİTE BİLEŞENLERİ</t>
        </is>
      </c>
    </row>
    <row r="7" ht="22" customHeight="1" s="102">
      <c r="A7" s="179" t="inlineStr">
        <is>
          <t>GES Kurulu Güç Oranı (%)</t>
        </is>
      </c>
      <c r="B7" s="180">
        <f>DASHBOARD!B6</f>
        <v/>
      </c>
      <c r="C7" s="180">
        <f>INDEX(SUREKLI_SENARYO_MATRISI!B$5:B$886, MATCH(MAX(SUREKLI_SENARYO_MATRISI!S$5:S$886), SUREKLI_SENARYO_MATRISI!S$5:S$886, 0))</f>
        <v/>
      </c>
      <c r="D7" s="180">
        <f>INDEX(SUREKLI_SENARYO_MATRISI!B$5:B$886, MATCH(MAX(SUREKLI_SENARYO_MATRISI!V$5:V$886), SUREKLI_SENARYO_MATRISI!V$5:V$886, 0))</f>
        <v/>
      </c>
      <c r="E7" s="181">
        <f>IF(DASHBOARD!$B$10=1, B7, IF(DASHBOARD!$B$10=2, C7, D7))</f>
        <v/>
      </c>
      <c r="F7" s="182" t="inlineStr">
        <is>
          <t>Fabrikanın elektrik ihtiyacına oranla kurulan Güneş Santrali kapasite yüzdesi.</t>
        </is>
      </c>
    </row>
    <row r="8" ht="22" customHeight="1" s="102">
      <c r="A8" s="179" t="inlineStr">
        <is>
          <t>RES Kurulu Güç Oranı (%)</t>
        </is>
      </c>
      <c r="B8" s="180">
        <f>DASHBOARD!B7</f>
        <v/>
      </c>
      <c r="C8" s="180">
        <f>INDEX(SUREKLI_SENARYO_MATRISI!C$5:C$886, MATCH(MAX(SUREKLI_SENARYO_MATRISI!S$5:S$886), SUREKLI_SENARYO_MATRISI!S$5:S$886, 0))</f>
        <v/>
      </c>
      <c r="D8" s="180">
        <f>INDEX(SUREKLI_SENARYO_MATRISI!C$5:C$886, MATCH(MAX(SUREKLI_SENARYO_MATRISI!V$5:V$886), SUREKLI_SENARYO_MATRISI!V$5:V$886, 0))</f>
        <v/>
      </c>
      <c r="E8" s="181">
        <f>IF(DASHBOARD!$B$10=1, B8, IF(DASHBOARD!$B$10=2, C8, D8))</f>
        <v/>
      </c>
      <c r="F8" s="182" t="inlineStr">
        <is>
          <t>Fabrikanın elektrik ihtiyacına oranla kurulan Rüzgar Santrali kapasite yüzdesi.</t>
        </is>
      </c>
    </row>
    <row r="9" ht="22" customHeight="1" s="102">
      <c r="A9" s="179" t="inlineStr">
        <is>
          <t>Yeşil Hidrojen Kullanım Durumu</t>
        </is>
      </c>
      <c r="B9" s="183">
        <f>IF(DASHBOARD!B8=1, "Var (%20)", IF(DASHBOARD!B8=-1, "Gri (%20)", "Yok (%0)"))</f>
        <v/>
      </c>
      <c r="C9" s="183">
        <f>INDEX(SUREKLI_SENARYO_MATRISI!D$5:D$886, MATCH(MAX(SUREKLI_SENARYO_MATRISI!S$5:S$886), SUREKLI_SENARYO_MATRISI!S$5:S$886, 0))</f>
        <v/>
      </c>
      <c r="D9" s="183">
        <f>INDEX(SUREKLI_SENARYO_MATRISI!D$5:D$886, MATCH(MAX(SUREKLI_SENARYO_MATRISI!V$5:V$886), SUREKLI_SENARYO_MATRISI!V$5:V$886, 0))</f>
        <v/>
      </c>
      <c r="E9" s="184">
        <f>IF(DASHBOARD!$B$10=1, B9, IF(DASHBOARD!$B$10=2, C9, D9))</f>
        <v/>
      </c>
      <c r="F9" s="182" t="inlineStr">
        <is>
          <t>Cam eritim fırınında doğalgaz ikamesi olarak %20 hidrojen kullanımı.</t>
        </is>
      </c>
    </row>
    <row r="10" ht="22" customHeight="1" s="102">
      <c r="A10" s="179" t="inlineStr">
        <is>
          <t>EPDK Mahsuplaşma ve Şebeke Rejimi</t>
        </is>
      </c>
      <c r="B10" s="183">
        <f>IF((DASHBOARD!B6+DASHBOARD!B7)&lt;=1, "Tam Mahsuplaşma (≤%100)", "Kısmi Satış (&gt;%100)")</f>
        <v/>
      </c>
      <c r="C10" s="183">
        <f>INDEX(SUREKLI_SENARYO_MATRISI!E$5:E$886, MATCH(MAX(SUREKLI_SENARYO_MATRISI!S$5:S$886), SUREKLI_SENARYO_MATRISI!S$5:S$886, 0))</f>
        <v/>
      </c>
      <c r="D10" s="183">
        <f>INDEX(SUREKLI_SENARYO_MATRISI!E$5:E$886, MATCH(MAX(SUREKLI_SENARYO_MATRISI!V$5:V$886), SUREKLI_SENARYO_MATRISI!V$5:V$886, 0))</f>
        <v/>
      </c>
      <c r="E10" s="184">
        <f>IF(DASHBOARD!$B$10=1, B10, IF(DASHBOARD!$B$10=2, C10, D10))</f>
        <v/>
      </c>
      <c r="F10" s="182" t="inlineStr">
        <is>
          <t>Üretimin tüketimi aşma durumuna göre şebekeye satış veya tam mahsuplaşma rejimi.</t>
        </is>
      </c>
    </row>
    <row r="11" ht="24" customHeight="1" s="102">
      <c r="A11" s="178" t="inlineStr">
        <is>
          <t>BÖLÜM 2: 1. KARBON EMİSYONU PERFORMANSI VE AB SKDM KALKANI</t>
        </is>
      </c>
    </row>
    <row r="12" ht="22" customHeight="1" s="102">
      <c r="A12" s="179" t="inlineStr">
        <is>
          <t>Engellenen Toplam Net Karbon (tCO₂)</t>
        </is>
      </c>
      <c r="B12" s="185">
        <f>DASHBOARD!AR23</f>
        <v/>
      </c>
      <c r="C12" s="185">
        <f>INDEX(SUREKLI_SENARYO_MATRISI!H$5:H$886, MATCH(MAX(SUREKLI_SENARYO_MATRISI!S$5:S$886), SUREKLI_SENARYO_MATRISI!S$5:S$886, 0))</f>
        <v/>
      </c>
      <c r="D12" s="185">
        <f>INDEX(SUREKLI_SENARYO_MATRISI!H$5:H$886, MATCH(MAX(SUREKLI_SENARYO_MATRISI!V$5:V$886), SUREKLI_SENARYO_MATRISI!V$5:V$886, 0))</f>
        <v/>
      </c>
      <c r="E12" s="186">
        <f>IF(DASHBOARD!$B$10=1, B12, IF(DASHBOARD!$B$10=2, C12, D12))</f>
        <v/>
      </c>
      <c r="F12" s="182" t="inlineStr">
        <is>
          <t>29 yıllık işletme ömründe engellenen toplam sera gazı emisyonu.</t>
        </is>
      </c>
    </row>
    <row r="13" ht="22" customHeight="1" s="102">
      <c r="A13" s="179" t="inlineStr">
        <is>
          <t>SKDM Karbon Vergisi Kalkanı Kazancı (€)</t>
        </is>
      </c>
      <c r="B13" s="187">
        <f>DASHBOARD!AS23</f>
        <v/>
      </c>
      <c r="C13" s="187">
        <f>(VERI_TABANI!D23*C7*(VERI_TABANI!$B$13-VERI_TABANI!$B$14)*VERI_TABANI!G23 + VERI_TABANI!D23*C8*(VERI_TABANI!$B$13-VERI_TABANI!$B$15)*VERI_TABANI!G23 + IF(C9="Var (%20)", VERI_TABANI!E23*(1-0.928)*0.00206091519919798*VERI_TABANI!G23, 0))+ (VERI_TABANI!D24*C7*(VERI_TABANI!$B$13-VERI_TABANI!$B$14)*VERI_TABANI!G24 + VERI_TABANI!D24*C8*(VERI_TABANI!$B$13-VERI_TABANI!$B$15)*VERI_TABANI!G24 + IF(C9="Var (%20)", VERI_TABANI!E24*(1-0.928)*0.00206091519919798*VERI_TABANI!G24, 0))+ (VERI_TABANI!D25*C7*(VERI_TABANI!$B$13-VERI_TABANI!$B$14)*VERI_TABANI!G25 + VERI_TABANI!D25*C8*(VERI_TABANI!$B$13-VERI_TABANI!$B$15)*VERI_TABANI!G25 + IF(C9="Var (%20)", VERI_TABANI!E25*(1-0.928)*0.00206091519919798*VERI_TABANI!G25, 0))+ (VERI_TABANI!D26*C7*(VERI_TABANI!$B$13-VERI_TABANI!$B$14)*VERI_TABANI!G26 + VERI_TABANI!D26*C8*(VERI_TABANI!$B$13-VERI_TABANI!$B$15)*VERI_TABANI!G26 + IF(C9="Var (%20)", VERI_TABANI!E26*(1-0.928)*0.00206091519919798*VERI_TABANI!G26, 0))+ (VERI_TABANI!D27*C7*(VERI_TABANI!$B$13-VERI_TABANI!$B$14)*VERI_TABANI!G27 + VERI_TABANI!D27*C8*(VERI_TABANI!$B$13-VERI_TABANI!$B$15)*VERI_TABANI!G27 + IF(C9="Var (%20)", VERI_TABANI!E27*(1-0.928)*0.00206091519919798*VERI_TABANI!G27, 0))+ (VERI_TABANI!D28*C7*(VERI_TABANI!$B$13-VERI_TABANI!$B$14)*VERI_TABANI!G28 + VERI_TABANI!D28*C8*(VERI_TABANI!$B$13-VERI_TABANI!$B$15)*VERI_TABANI!G28 + IF(C9="Var (%20)", VERI_TABANI!E28*(1-0.928)*0.00206091519919798*VERI_TABANI!G28, 0))</f>
        <v/>
      </c>
      <c r="D13" s="187">
        <f>(VERI_TABANI!D23*D7*(VERI_TABANI!$B$13-VERI_TABANI!$B$14)*VERI_TABANI!G23 + VERI_TABANI!D23*D8*(VERI_TABANI!$B$13-VERI_TABANI!$B$15)*VERI_TABANI!G23 + IF(D9="Var (%20)", VERI_TABANI!E23*(1-0.928)*0.00206091519919798*VERI_TABANI!G23, 0))+ (VERI_TABANI!D24*D7*(VERI_TABANI!$B$13-VERI_TABANI!$B$14)*VERI_TABANI!G24 + VERI_TABANI!D24*D8*(VERI_TABANI!$B$13-VERI_TABANI!$B$15)*VERI_TABANI!G24 + IF(D9="Var (%20)", VERI_TABANI!E24*(1-0.928)*0.00206091519919798*VERI_TABANI!G24, 0))+ (VERI_TABANI!D25*D7*(VERI_TABANI!$B$13-VERI_TABANI!$B$14)*VERI_TABANI!G25 + VERI_TABANI!D25*D8*(VERI_TABANI!$B$13-VERI_TABANI!$B$15)*VERI_TABANI!G25 + IF(D9="Var (%20)", VERI_TABANI!E25*(1-0.928)*0.00206091519919798*VERI_TABANI!G25, 0))+ (VERI_TABANI!D26*D7*(VERI_TABANI!$B$13-VERI_TABANI!$B$14)*VERI_TABANI!G26 + VERI_TABANI!D26*D8*(VERI_TABANI!$B$13-VERI_TABANI!$B$15)*VERI_TABANI!G26 + IF(D9="Var (%20)", VERI_TABANI!E26*(1-0.928)*0.00206091519919798*VERI_TABANI!G26, 0))+ (VERI_TABANI!D27*D7*(VERI_TABANI!$B$13-VERI_TABANI!$B$14)*VERI_TABANI!G27 + VERI_TABANI!D27*D8*(VERI_TABANI!$B$13-VERI_TABANI!$B$15)*VERI_TABANI!G27 + IF(D9="Var (%20)", VERI_TABANI!E27*(1-0.928)*0.00206091519919798*VERI_TABANI!G27, 0))+ (VERI_TABANI!D28*D7*(VERI_TABANI!$B$13-VERI_TABANI!$B$14)*VERI_TABANI!G28 + VERI_TABANI!D28*D8*(VERI_TABANI!$B$13-VERI_TABANI!$B$15)*VERI_TABANI!G28 + IF(D9="Var (%20)", VERI_TABANI!E28*(1-0.928)*0.00206091519919798*VERI_TABANI!G28, 0))</f>
        <v/>
      </c>
      <c r="E13" s="188">
        <f>IF(DASHBOARD!$B$10=1, B13, IF(DASHBOARD!$B$10=2, C13, D13))</f>
        <v/>
      </c>
      <c r="F13" s="182" t="inlineStr">
        <is>
          <t>AB Sınırda Karbon Düzenleme Mekanizması (SKDM) kapsamında ödenmekten kurtulunan vergi.</t>
        </is>
      </c>
    </row>
    <row r="14" ht="22" customHeight="1" s="102">
      <c r="A14" s="179" t="inlineStr">
        <is>
          <t>Yaşam Döngüsü Emisyon Yükü (Scope 3 LCA %)</t>
        </is>
      </c>
      <c r="B14" s="189">
        <f>DASHBOARD!AT23</f>
        <v/>
      </c>
      <c r="C14" s="189">
        <f>INDEX(SUREKLI_SENARYO_MATRISI!I$5:I$886, MATCH(MAX(SUREKLI_SENARYO_MATRISI!S$5:S$886), SUREKLI_SENARYO_MATRISI!S$5:S$886, 0))</f>
        <v/>
      </c>
      <c r="D14" s="189">
        <f>INDEX(SUREKLI_SENARYO_MATRISI!I$5:I$886, MATCH(MAX(SUREKLI_SENARYO_MATRISI!V$5:V$886), SUREKLI_SENARYO_MATRISI!V$5:V$886, 0))</f>
        <v/>
      </c>
      <c r="E14" s="190">
        <f>IF(DASHBOARD!$B$10=1, B14, IF(DASHBOARD!$B$10=2, C14, D14))</f>
        <v/>
      </c>
      <c r="F14" s="182" t="inlineStr">
        <is>
          <t>Ekipman imalatı ve kurulumundaki karbon ayak izi dahil birleşik LCA yük oranı.</t>
        </is>
      </c>
    </row>
    <row r="15" ht="24" customHeight="1" s="102">
      <c r="A15" s="178" t="inlineStr">
        <is>
          <t>BÖLÜM 3: 2. ENERJİ TASARRUFU VE ÜRETİM KAPSAMASI</t>
        </is>
      </c>
    </row>
    <row r="16" ht="22" customHeight="1" s="102">
      <c r="A16" s="179" t="inlineStr">
        <is>
          <t>Yıllık Yenilenebilir Elektrik Üretimi (kWh/yıl)</t>
        </is>
      </c>
      <c r="B16" s="191">
        <f>(DASHBOARD!D23+DASHBOARD!O23)/29</f>
        <v/>
      </c>
      <c r="C16" s="191">
        <f>((INDEX(SUREKLI_SENARYO_MATRISI!B$5:B$886, MATCH(MAX(SUREKLI_SENARYO_MATRISI!S$5:S$886), SUREKLI_SENARYO_MATRISI!S$5:S$886, 0))+INDEX(SUREKLI_SENARYO_MATRISI!C$5:C$886, MATCH(MAX(SUREKLI_SENARYO_MATRISI!S$5:S$886), SUREKLI_SENARYO_MATRISI!S$5:S$886, 0)))*VERI_TABANI!$D$29)/29</f>
        <v/>
      </c>
      <c r="D16" s="191">
        <f>((INDEX(SUREKLI_SENARYO_MATRISI!B$5:B$886, MATCH(MAX(SUREKLI_SENARYO_MATRISI!V$5:V$886), SUREKLI_SENARYO_MATRISI!V$5:V$886, 0))+INDEX(SUREKLI_SENARYO_MATRISI!C$5:C$886, MATCH(MAX(SUREKLI_SENARYO_MATRISI!V$5:V$886), SUREKLI_SENARYO_MATRISI!V$5:V$886, 0)))*VERI_TABANI!$D$29)/29</f>
        <v/>
      </c>
      <c r="E16" s="192">
        <f>IF(DASHBOARD!$B$10=1, B16, IF(DASHBOARD!$B$10=2, C16, D16))</f>
        <v/>
      </c>
      <c r="F16" s="182" t="inlineStr">
        <is>
          <t>Güneş ve Rüzgar santrallerinden elde edilen ortalama yıllık temiz elektrik üretimi.</t>
        </is>
      </c>
    </row>
    <row r="17" ht="22" customHeight="1" s="102">
      <c r="A17" s="179" t="inlineStr">
        <is>
          <t>Yıllık Elektrik Faturası Mahsuplaşma Tasarrufu (€/yıl)</t>
        </is>
      </c>
      <c r="B17" s="187">
        <f>(DASHBOARD!H23+DASHBOARD!S23)/29</f>
        <v/>
      </c>
      <c r="C17" s="187">
        <f>((MIN(VERI_TABANI!D23, VERI_TABANI!D23*C7)*VERI_TABANI!$B$7 + MAX(0, VERI_TABANI!D23*C7-VERI_TABANI!D23)*VERI_TABANI!$B$8 + MIN(MAX(0, VERI_TABANI!D23-VERI_TABANI!D23*C7), VERI_TABANI!D23*C8)*VERI_TABANI!$B$7 + MAX(0, VERI_TABANI!D23*C8-MAX(0, VERI_TABANI!D23-VERI_TABANI!D23*C7))*VERI_TABANI!$B$8)+ (MIN(VERI_TABANI!D24, VERI_TABANI!D24*C7)*VERI_TABANI!$B$7 + MAX(0, VERI_TABANI!D24*C7-VERI_TABANI!D24)*VERI_TABANI!$B$8 + MIN(MAX(0, VERI_TABANI!D24-VERI_TABANI!D24*C7), VERI_TABANI!D24*C8)*VERI_TABANI!$B$7 + MAX(0, VERI_TABANI!D24*C8-MAX(0, VERI_TABANI!D24-VERI_TABANI!D24*C7))*VERI_TABANI!$B$8)+ (MIN(VERI_TABANI!D25, VERI_TABANI!D25*C7)*VERI_TABANI!$B$7 + MAX(0, VERI_TABANI!D25*C7-VERI_TABANI!D25)*VERI_TABANI!$B$8 + MIN(MAX(0, VERI_TABANI!D25-VERI_TABANI!D25*C7), VERI_TABANI!D25*C8)*VERI_TABANI!$B$7 + MAX(0, VERI_TABANI!D25*C8-MAX(0, VERI_TABANI!D25-VERI_TABANI!D25*C7))*VERI_TABANI!$B$8)+ (MIN(VERI_TABANI!D26, VERI_TABANI!D26*C7)*VERI_TABANI!$B$7 + MAX(0, VERI_TABANI!D26*C7-VERI_TABANI!D26)*VERI_TABANI!$B$8 + MIN(MAX(0, VERI_TABANI!D26-VERI_TABANI!D26*C7), VERI_TABANI!D26*C8)*VERI_TABANI!$B$7 + MAX(0, VERI_TABANI!D26*C8-MAX(0, VERI_TABANI!D26-VERI_TABANI!D26*C7))*VERI_TABANI!$B$8)+ (MIN(VERI_TABANI!D27, VERI_TABANI!D27*C7)*VERI_TABANI!$B$7 + MAX(0, VERI_TABANI!D27*C7-VERI_TABANI!D27)*VERI_TABANI!$B$8 + MIN(MAX(0, VERI_TABANI!D27-VERI_TABANI!D27*C7), VERI_TABANI!D27*C8)*VERI_TABANI!$B$7 + MAX(0, VERI_TABANI!D27*C8-MAX(0, VERI_TABANI!D27-VERI_TABANI!D27*C7))*VERI_TABANI!$B$8)+ (MIN(VERI_TABANI!D28, VERI_TABANI!D28*C7)*VERI_TABANI!$B$7 + MAX(0, VERI_TABANI!D28*C7-VERI_TABANI!D28)*VERI_TABANI!$B$8 + MIN(MAX(0, VERI_TABANI!D28-VERI_TABANI!D28*C7), VERI_TABANI!D28*C8)*VERI_TABANI!$B$7 + MAX(0, VERI_TABANI!D28*C8-MAX(0, VERI_TABANI!D28-VERI_TABANI!D28*C7))*VERI_TABANI!$B$8))/29</f>
        <v/>
      </c>
      <c r="D17" s="187">
        <f>((MIN(VERI_TABANI!D23, VERI_TABANI!D23*D7)*VERI_TABANI!$B$7 + MAX(0, VERI_TABANI!D23*D7-VERI_TABANI!D23)*VERI_TABANI!$B$8 + MIN(MAX(0, VERI_TABANI!D23-VERI_TABANI!D23*D7), VERI_TABANI!D23*D8)*VERI_TABANI!$B$7 + MAX(0, VERI_TABANI!D23*D8-MAX(0, VERI_TABANI!D23-VERI_TABANI!D23*D7))*VERI_TABANI!$B$8)+ (MIN(VERI_TABANI!D24, VERI_TABANI!D24*D7)*VERI_TABANI!$B$7 + MAX(0, VERI_TABANI!D24*D7-VERI_TABANI!D24)*VERI_TABANI!$B$8 + MIN(MAX(0, VERI_TABANI!D24-VERI_TABANI!D24*D7), VERI_TABANI!D24*D8)*VERI_TABANI!$B$7 + MAX(0, VERI_TABANI!D24*D8-MAX(0, VERI_TABANI!D24-VERI_TABANI!D24*D7))*VERI_TABANI!$B$8)+ (MIN(VERI_TABANI!D25, VERI_TABANI!D25*D7)*VERI_TABANI!$B$7 + MAX(0, VERI_TABANI!D25*D7-VERI_TABANI!D25)*VERI_TABANI!$B$8 + MIN(MAX(0, VERI_TABANI!D25-VERI_TABANI!D25*D7), VERI_TABANI!D25*D8)*VERI_TABANI!$B$7 + MAX(0, VERI_TABANI!D25*D8-MAX(0, VERI_TABANI!D25-VERI_TABANI!D25*D7))*VERI_TABANI!$B$8)+ (MIN(VERI_TABANI!D26, VERI_TABANI!D26*D7)*VERI_TABANI!$B$7 + MAX(0, VERI_TABANI!D26*D7-VERI_TABANI!D26)*VERI_TABANI!$B$8 + MIN(MAX(0, VERI_TABANI!D26-VERI_TABANI!D26*D7), VERI_TABANI!D26*D8)*VERI_TABANI!$B$7 + MAX(0, VERI_TABANI!D26*D8-MAX(0, VERI_TABANI!D26-VERI_TABANI!D26*D7))*VERI_TABANI!$B$8)+ (MIN(VERI_TABANI!D27, VERI_TABANI!D27*D7)*VERI_TABANI!$B$7 + MAX(0, VERI_TABANI!D27*D7-VERI_TABANI!D27)*VERI_TABANI!$B$8 + MIN(MAX(0, VERI_TABANI!D27-VERI_TABANI!D27*D7), VERI_TABANI!D27*D8)*VERI_TABANI!$B$7 + MAX(0, VERI_TABANI!D27*D8-MAX(0, VERI_TABANI!D27-VERI_TABANI!D27*D7))*VERI_TABANI!$B$8)+ (MIN(VERI_TABANI!D28, VERI_TABANI!D28*D7)*VERI_TABANI!$B$7 + MAX(0, VERI_TABANI!D28*D7-VERI_TABANI!D28)*VERI_TABANI!$B$8 + MIN(MAX(0, VERI_TABANI!D28-VERI_TABANI!D28*D7), VERI_TABANI!D28*D8)*VERI_TABANI!$B$7 + MAX(0, VERI_TABANI!D28*D8-MAX(0, VERI_TABANI!D28-VERI_TABANI!D28*D7))*VERI_TABANI!$B$8))/29</f>
        <v/>
      </c>
      <c r="E17" s="188">
        <f>IF(DASHBOARD!$B$10=1, B17, IF(DASHBOARD!$B$10=2, C17, D17))</f>
        <v/>
      </c>
      <c r="F17" s="182" t="inlineStr">
        <is>
          <t>Şebekeden elektrik satın almayarak sağlanan net fatura tasarrufu.</t>
        </is>
      </c>
    </row>
    <row r="18" ht="22" customHeight="1" s="102">
      <c r="A18" s="179" t="inlineStr">
        <is>
          <t>Yıllık Doğalgaz İkame Maliyet Kazancı (€/yıl)</t>
        </is>
      </c>
      <c r="B18" s="187">
        <f>DASHBOARD!AD23/29</f>
        <v/>
      </c>
      <c r="C18" s="187">
        <f>IF(ISNUMBER(SEARCH("Var", INDEX(SUREKLI_SENARYO_MATRISI!D$5:D$886, MATCH(MAX(SUREKLI_SENARYO_MATRISI!S$5:S$886), SUREKLI_SENARYO_MATRISI!S$5:S$886, 0)))), VERI_TABANI!$E$29*(1-0.928)*VERI_TABANI!$B$9/29, 0)</f>
        <v/>
      </c>
      <c r="D18" s="187">
        <f>IF(ISNUMBER(SEARCH("Var", INDEX(SUREKLI_SENARYO_MATRISI!D$5:D$886, MATCH(MAX(SUREKLI_SENARYO_MATRISI!V$5:V$886), SUREKLI_SENARYO_MATRISI!V$5:V$886, 0)))), VERI_TABANI!$E$29*(1-0.928)*VERI_TABANI!$B$9/29, 0)</f>
        <v/>
      </c>
      <c r="E18" s="188">
        <f>IF(DASHBOARD!$B$10=1, B18, IF(DASHBOARD!$B$10=2, C18, D18))</f>
        <v/>
      </c>
      <c r="F18" s="182" t="inlineStr">
        <is>
          <t>Cam eritim fırınında yeşil hidrojen ikamesi ile sağlanan yıllık doğalgaz tasarrufu.</t>
        </is>
      </c>
    </row>
    <row r="19" ht="24" customHeight="1" s="102">
      <c r="A19" s="178" t="inlineStr">
        <is>
          <t>BÖLÜM 4: 3. YATIRIM BÜTÇESİ VE SERMAYE TAHSİSİ (CAPEX)</t>
        </is>
      </c>
    </row>
    <row r="20" ht="22" customHeight="1" s="102">
      <c r="A20" s="179" t="inlineStr">
        <is>
          <t>İlave GES Kurulum Yatırımı (€)</t>
        </is>
      </c>
      <c r="B20" s="187">
        <f>DASHBOARD!G23</f>
        <v/>
      </c>
      <c r="C20" s="187">
        <f>((VERI_TABANI!$D$29*INDEX(SUREKLI_SENARYO_MATRISI!B$5:B$886, MATCH(MAX(SUREKLI_SENARYO_MATRISI!S$5:S$886), SUREKLI_SENARYO_MATRISI!S$5:S$886, 0))/VERI_TABANI!$B$29)/VERI_TABANI!$B$3)*VERI_TABANI!$B$5</f>
        <v/>
      </c>
      <c r="D20" s="187">
        <f>((VERI_TABANI!$D$29*INDEX(SUREKLI_SENARYO_MATRISI!B$5:B$886, MATCH(MAX(SUREKLI_SENARYO_MATRISI!V$5:V$886), SUREKLI_SENARYO_MATRISI!V$5:V$886, 0))/VERI_TABANI!$B$29)/VERI_TABANI!$B$3)*VERI_TABANI!$B$5</f>
        <v/>
      </c>
      <c r="E20" s="188">
        <f>IF(DASHBOARD!$B$10=1, B20, IF(DASHBOARD!$B$10=2, C20, D20))</f>
        <v/>
      </c>
      <c r="F20" s="182" t="inlineStr">
        <is>
          <t>Güneş enerjisi santrali kurulumu için gerekli sermaye yatırımı.</t>
        </is>
      </c>
    </row>
    <row r="21" ht="22" customHeight="1" s="102">
      <c r="A21" s="179" t="inlineStr">
        <is>
          <t>İlave RES Kurulum Yatırımı (€)</t>
        </is>
      </c>
      <c r="B21" s="187">
        <f>DASHBOARD!R23</f>
        <v/>
      </c>
      <c r="C21" s="187">
        <f>((VERI_TABANI!$D$29*INDEX(SUREKLI_SENARYO_MATRISI!C$5:C$886, MATCH(MAX(SUREKLI_SENARYO_MATRISI!S$5:S$886), SUREKLI_SENARYO_MATRISI!S$5:S$886, 0))/VERI_TABANI!$B$29)/VERI_TABANI!$B$4)*VERI_TABANI!$B$6</f>
        <v/>
      </c>
      <c r="D21" s="187">
        <f>((VERI_TABANI!$D$29*INDEX(SUREKLI_SENARYO_MATRISI!C$5:C$886, MATCH(MAX(SUREKLI_SENARYO_MATRISI!V$5:V$886), SUREKLI_SENARYO_MATRISI!V$5:V$886, 0))/VERI_TABANI!$B$29)/VERI_TABANI!$B$4)*VERI_TABANI!$B$6</f>
        <v/>
      </c>
      <c r="E21" s="188">
        <f>IF(DASHBOARD!$B$10=1, B21, IF(DASHBOARD!$B$10=2, C21, D21))</f>
        <v/>
      </c>
      <c r="F21" s="182" t="inlineStr">
        <is>
          <t>Rüzgar enerjisi santrali kurulumu için gerekli sermaye yatırımı.</t>
        </is>
      </c>
    </row>
    <row r="22" ht="22" customHeight="1" s="102">
      <c r="A22" s="179" t="inlineStr">
        <is>
          <t>İlave H₂ Tesis/Retrofit Yatırımı (€)</t>
        </is>
      </c>
      <c r="B22" s="187">
        <f>DASHBOARD!AC23</f>
        <v/>
      </c>
      <c r="C22" s="187">
        <f>IF(ISNUMBER(SEARCH("Var", INDEX(SUREKLI_SENARYO_MATRISI!D$5:D$886, MATCH(MAX(SUREKLI_SENARYO_MATRISI!S$5:S$886), SUREKLI_SENARYO_MATRISI!S$5:S$886, 0)))), (VERI_TABANI!$F$29/VERI_TABANI!$B$29)*(VERI_TABANI!$B$10+VERI_TABANI!$B$12), 0)</f>
        <v/>
      </c>
      <c r="D22" s="187">
        <f>IF(ISNUMBER(SEARCH("Var", INDEX(SUREKLI_SENARYO_MATRISI!D$5:D$886, MATCH(MAX(SUREKLI_SENARYO_MATRISI!V$5:V$886), SUREKLI_SENARYO_MATRISI!V$5:V$886, 0)))), (VERI_TABANI!$F$29/VERI_TABANI!$B$29)*(VERI_TABANI!$B$10+VERI_TABANI!$B$12), 0)</f>
        <v/>
      </c>
      <c r="E22" s="188">
        <f>IF(DASHBOARD!$B$10=1, B22, IF(DASHBOARD!$B$10=2, C22, D22))</f>
        <v/>
      </c>
      <c r="F22" s="182" t="inlineStr">
        <is>
          <t>Hidrojen elektrolizörü ve fırın brülör retrofit yatırım maliyeti.</t>
        </is>
      </c>
    </row>
    <row r="23" ht="22" customHeight="1" s="102">
      <c r="A23" s="179" t="inlineStr">
        <is>
          <t>Kümülatif Toplam Yatırım Bütçesi (CAPEX €)</t>
        </is>
      </c>
      <c r="B23" s="187">
        <f>DASHBOARD!AN23</f>
        <v/>
      </c>
      <c r="C23" s="187">
        <f>INDEX(SUREKLI_SENARYO_MATRISI!F$5:F$886, MATCH(MAX(SUREKLI_SENARYO_MATRISI!S$5:S$886), SUREKLI_SENARYO_MATRISI!S$5:S$886, 0))</f>
        <v/>
      </c>
      <c r="D23" s="187">
        <f>INDEX(SUREKLI_SENARYO_MATRISI!F$5:F$886, MATCH(MAX(SUREKLI_SENARYO_MATRISI!V$5:V$886), SUREKLI_SENARYO_MATRISI!V$5:V$886, 0))</f>
        <v/>
      </c>
      <c r="E23" s="188">
        <f>IF(DASHBOARD!$B$10=1, B23, IF(DASHBOARD!$B$10=2, C23, D23))</f>
        <v/>
      </c>
      <c r="F23" s="182" t="inlineStr">
        <is>
          <t>Dönüşüm projesinin gerektirdiği kümülatif toplam ilk yatırım sermayesi.</t>
        </is>
      </c>
    </row>
    <row r="24" ht="24" customHeight="1" s="102">
      <c r="A24" s="178" t="inlineStr">
        <is>
          <t>BÖLÜM 5: 4. ELDE EDİLECEK KÂRLAR VE FİNANSAL GETİRİ (NET FAYDA)</t>
        </is>
      </c>
    </row>
    <row r="25" ht="22" customHeight="1" s="102">
      <c r="A25" s="179" t="inlineStr">
        <is>
          <t>29 Yıllık Net Bugünkü Fayda (NPV / Net Kâr) (€)</t>
        </is>
      </c>
      <c r="B25" s="187">
        <f>DASHBOARD!AX23</f>
        <v/>
      </c>
      <c r="C25" s="187">
        <f>INDEX(SUREKLI_SENARYO_MATRISI!G$5:G$886, MATCH(MAX(SUREKLI_SENARYO_MATRISI!S$5:S$886), SUREKLI_SENARYO_MATRISI!S$5:S$886, 0))</f>
        <v/>
      </c>
      <c r="D25" s="187">
        <f>INDEX(SUREKLI_SENARYO_MATRISI!G$5:G$886, MATCH(MAX(SUREKLI_SENARYO_MATRISI!V$5:V$886), SUREKLI_SENARYO_MATRISI!V$5:V$886, 0))</f>
        <v/>
      </c>
      <c r="E25" s="188">
        <f>IF(DASHBOARD!$B$10=1, B25, IF(DASHBOARD!$B$10=2, C25, D25))</f>
        <v/>
      </c>
      <c r="F25" s="182" t="inlineStr">
        <is>
          <t>Proje ömrü boyunca sağlanan tüm tasarruf ve vergi kazançlarının net bugünkü tutarı.</t>
        </is>
      </c>
    </row>
    <row r="26" ht="22" customHeight="1" s="102">
      <c r="A26" s="179" t="inlineStr">
        <is>
          <t>Basit Geri Ödeme Süresi (Payback Yıl)</t>
        </is>
      </c>
      <c r="B26" s="193">
        <f>DASHBOARD!BA23</f>
        <v/>
      </c>
      <c r="C26" s="193">
        <f>INDEX(SUREKLI_SENARYO_MATRISI!J$5:J$886, MATCH(MAX(SUREKLI_SENARYO_MATRISI!S$5:S$886), SUREKLI_SENARYO_MATRISI!S$5:S$886, 0))</f>
        <v/>
      </c>
      <c r="D26" s="193">
        <f>INDEX(SUREKLI_SENARYO_MATRISI!J$5:J$886, MATCH(MAX(SUREKLI_SENARYO_MATRISI!V$5:V$886), SUREKLI_SENARYO_MATRISI!V$5:V$886, 0))</f>
        <v/>
      </c>
      <c r="E26" s="194">
        <f>IF(DASHBOARD!$B$10=1, B26, IF(DASHBOARD!$B$10=2, C26, D26))</f>
        <v/>
      </c>
      <c r="F26" s="182" t="inlineStr">
        <is>
          <t>Yatırılan toplam sermayenin kendini amorti ettiği ortalama süre.</t>
        </is>
      </c>
    </row>
    <row r="27" ht="22" customHeight="1" s="102">
      <c r="A27" s="179" t="inlineStr">
        <is>
          <t>Yıllık Sermaye Kârlılık Oranı (ROI %)</t>
        </is>
      </c>
      <c r="B27" s="180">
        <f>(DASHBOARD!AX23/29)/DASHBOARD!AN23</f>
        <v/>
      </c>
      <c r="C27" s="180">
        <f>(INDEX(SUREKLI_SENARYO_MATRISI!G$5:G$886, MATCH(MAX(SUREKLI_SENARYO_MATRISI!S$5:S$886), SUREKLI_SENARYO_MATRISI!S$5:S$886, 0))/29)/INDEX(SUREKLI_SENARYO_MATRISI!F$5:F$886, MATCH(MAX(SUREKLI_SENARYO_MATRISI!S$5:S$886), SUREKLI_SENARYO_MATRISI!S$5:S$886, 0))</f>
        <v/>
      </c>
      <c r="D27" s="180">
        <f>(INDEX(SUREKLI_SENARYO_MATRISI!G$5:G$886, MATCH(MAX(SUREKLI_SENARYO_MATRISI!V$5:V$886), SUREKLI_SENARYO_MATRISI!V$5:V$886, 0))/29)/INDEX(SUREKLI_SENARYO_MATRISI!F$5:F$886, MATCH(MAX(SUREKLI_SENARYO_MATRISI!V$5:V$886), SUREKLI_SENARYO_MATRISI!V$5:V$886, 0))</f>
        <v/>
      </c>
      <c r="E27" s="181">
        <f>IF(DASHBOARD!$B$10=1, B27, IF(DASHBOARD!$B$10=2, C27, D27))</f>
        <v/>
      </c>
      <c r="F27" s="182" t="inlineStr">
        <is>
          <t>Harcanan her 1 Euro yatırım karşılığında yıllık ortalama net finansal getiri oranı.</t>
        </is>
      </c>
    </row>
    <row r="28" ht="22" customHeight="1" s="102">
      <c r="A28" s="179" t="inlineStr">
        <is>
          <t>Euro Başına Karbon Kaldıraç Oranı (tCO₂ / 1.000 €)</t>
        </is>
      </c>
      <c r="B28" s="195">
        <f>DASHBOARD!AR23/(DASHBOARD!AN23/1000)</f>
        <v/>
      </c>
      <c r="C28" s="195">
        <f>INDEX(SUREKLI_SENARYO_MATRISI!H$5:H$886, MATCH(MAX(SUREKLI_SENARYO_MATRISI!S$5:S$886), SUREKLI_SENARYO_MATRISI!S$5:S$886, 0))/(INDEX(SUREKLI_SENARYO_MATRISI!F$5:F$886, MATCH(MAX(SUREKLI_SENARYO_MATRISI!S$5:S$886), SUREKLI_SENARYO_MATRISI!S$5:S$886, 0))/1000)</f>
        <v/>
      </c>
      <c r="D28" s="195">
        <f>INDEX(SUREKLI_SENARYO_MATRISI!H$5:H$886, MATCH(MAX(SUREKLI_SENARYO_MATRISI!V$5:V$886), SUREKLI_SENARYO_MATRISI!V$5:V$886, 0))/(INDEX(SUREKLI_SENARYO_MATRISI!F$5:F$886, MATCH(MAX(SUREKLI_SENARYO_MATRISI!V$5:V$886), SUREKLI_SENARYO_MATRISI!V$5:V$886, 0))/1000)</f>
        <v/>
      </c>
      <c r="E28" s="196">
        <f>IF(DASHBOARD!$B$10=1, B28, IF(DASHBOARD!$B$10=2, C28, D28))</f>
        <v/>
      </c>
      <c r="F28" s="182" t="inlineStr">
        <is>
          <t>Harcanan her 1.000 Euro sermaye yatırımı karşılığında engellenen sera gazı katsayısı.</t>
        </is>
      </c>
    </row>
  </sheetData>
  <mergeCells count="8">
    <mergeCell ref="A24:F24"/>
    <mergeCell ref="A2:F2"/>
    <mergeCell ref="A11:F11"/>
    <mergeCell ref="A19:F19"/>
    <mergeCell ref="A1:F1"/>
    <mergeCell ref="A6:F6"/>
    <mergeCell ref="A4:F4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50" customWidth="1" style="101" min="1" max="1"/>
    <col width="24" customWidth="1" style="101" min="2" max="2"/>
    <col width="27" customWidth="1" style="101" min="3" max="4"/>
    <col width="26" customWidth="1" style="101" min="5" max="5"/>
    <col width="75" customWidth="1" style="101" min="6" max="6"/>
    <col width="22" customWidth="1" style="101" min="7" max="7"/>
  </cols>
  <sheetData>
    <row r="1" ht="15.75" customHeight="1" s="102">
      <c r="A1" s="103" t="inlineStr">
        <is>
          <t>ÇOK KRİTERLİ KARAR VERME (AHP VE TOPSIS) SİSTEMATİK MODELİ (v24)</t>
        </is>
      </c>
    </row>
    <row r="2" ht="13.5" customHeight="1" s="102"/>
    <row r="3" ht="13.5" customHeight="1" s="102">
      <c r="A3" s="119" t="inlineStr">
        <is>
          <t>PART A: AHP (ANALİTİK HİYERARŞİ PROSESİ) KRİTER AĞIRLIKLANDIRMA MATRİSİ (CR = 0,024 &lt; 0,10)</t>
        </is>
      </c>
    </row>
    <row r="4" ht="13.5" customHeight="1" s="102">
      <c r="A4" s="109" t="inlineStr">
        <is>
          <t>Kriter Adı ve Tanımı</t>
        </is>
      </c>
      <c r="B4" s="109" t="inlineStr">
        <is>
          <t>C1: Karbon Tasarrufu</t>
        </is>
      </c>
      <c r="C4" s="109" t="inlineStr">
        <is>
          <t>C2: Amortisman Süresi</t>
        </is>
      </c>
      <c r="D4" s="109" t="inlineStr">
        <is>
          <t>C3: CAPEX Yatırım</t>
        </is>
      </c>
      <c r="E4" s="109" t="inlineStr">
        <is>
          <t>C4: Fatura Tasarrufu</t>
        </is>
      </c>
      <c r="F4" s="109" t="inlineStr">
        <is>
          <t>Geometrik Ortalama</t>
        </is>
      </c>
      <c r="G4" s="109" t="inlineStr">
        <is>
          <t>AHP Ağırlığı (wj)</t>
        </is>
      </c>
    </row>
    <row r="5" ht="13.5" customHeight="1" s="102">
      <c r="A5" s="197" t="inlineStr">
        <is>
          <t>C1: Net Karbon Tasarrufu (tCO2)</t>
        </is>
      </c>
      <c r="B5" s="198" t="n">
        <v>1</v>
      </c>
      <c r="C5" s="198" t="n">
        <v>1.5</v>
      </c>
      <c r="D5" s="198" t="n">
        <v>1.5</v>
      </c>
      <c r="E5" s="198" t="n">
        <v>1.5</v>
      </c>
      <c r="F5" s="199">
        <f>POWER(B5*C5*D5*E5, 1/4)</f>
        <v/>
      </c>
      <c r="G5" s="200">
        <f>F5/SUM($F$5:$F$8)</f>
        <v/>
      </c>
    </row>
    <row r="6" ht="13.5" customHeight="1" s="102">
      <c r="A6" s="197" t="inlineStr">
        <is>
          <t>C2: Basit Amortisman Süresi (Yıl)</t>
        </is>
      </c>
      <c r="B6" s="198" t="n">
        <v>0.67</v>
      </c>
      <c r="C6" s="198" t="n">
        <v>1</v>
      </c>
      <c r="D6" s="198" t="n">
        <v>1.25</v>
      </c>
      <c r="E6" s="198" t="n">
        <v>1.25</v>
      </c>
      <c r="F6" s="199">
        <f>POWER(B6*C6*D6*E6, 1/4)</f>
        <v/>
      </c>
      <c r="G6" s="200">
        <f>F6/SUM($F$5:$F$8)</f>
        <v/>
      </c>
    </row>
    <row r="7" ht="13.5" customHeight="1" s="102">
      <c r="A7" s="197" t="inlineStr">
        <is>
          <t>C3: Kümülatif CAPEX Yatırımı (€)</t>
        </is>
      </c>
      <c r="B7" s="198" t="n">
        <v>0.67</v>
      </c>
      <c r="C7" s="198" t="n">
        <v>0.8</v>
      </c>
      <c r="D7" s="198" t="n">
        <v>1</v>
      </c>
      <c r="E7" s="198" t="n">
        <v>1.25</v>
      </c>
      <c r="F7" s="199">
        <f>POWER(B7*C7*D7*E7, 1/4)</f>
        <v/>
      </c>
      <c r="G7" s="200">
        <f>F7/SUM($F$5:$F$8)</f>
        <v/>
      </c>
    </row>
    <row r="8" ht="13.5" customHeight="1" s="102">
      <c r="A8" s="197" t="inlineStr">
        <is>
          <t>C4: 29 Yıllık Fatura Tasarrufu (€)</t>
        </is>
      </c>
      <c r="B8" s="198" t="n">
        <v>0.67</v>
      </c>
      <c r="C8" s="198" t="n">
        <v>0.8</v>
      </c>
      <c r="D8" s="198" t="n">
        <v>0.8</v>
      </c>
      <c r="E8" s="198" t="n">
        <v>1</v>
      </c>
      <c r="F8" s="199">
        <f>POWER(B8*C8*D8*E8, 1/4)</f>
        <v/>
      </c>
      <c r="G8" s="200">
        <f>F8/SUM($F$5:$F$8)</f>
        <v/>
      </c>
    </row>
    <row r="9" ht="13.5" customHeight="1" s="102"/>
    <row r="10" ht="13.5" customHeight="1" s="102">
      <c r="A10" s="119" t="inlineStr">
        <is>
          <t>PART B: TOPSIS İDEAL ÇÖZÜME YAKINLIK VE SIRALAMA MODELİ (7 SENARYO HESABI)</t>
        </is>
      </c>
    </row>
    <row r="11" ht="13.5" customHeight="1" s="102">
      <c r="A11" s="109" t="inlineStr">
        <is>
          <t>Stratejik Senaryo Adı</t>
        </is>
      </c>
      <c r="B11" s="109" t="inlineStr">
        <is>
          <t>İdeal Uzaklık (S+)</t>
        </is>
      </c>
      <c r="C11" s="109" t="inlineStr">
        <is>
          <t>Anti-İdeal Uzaklık (S-)</t>
        </is>
      </c>
      <c r="D11" s="109" t="inlineStr">
        <is>
          <t>TOPSIS Skor Puanı (Ci*)</t>
        </is>
      </c>
      <c r="E11" s="109" t="inlineStr">
        <is>
          <t>TOPSIS Sıralama (Rank)</t>
        </is>
      </c>
      <c r="F11" s="109" t="inlineStr">
        <is>
          <t>Akademik Değerlendirme</t>
        </is>
      </c>
    </row>
    <row r="12" ht="13.5" customHeight="1" s="102">
      <c r="A12" s="197" t="inlineStr">
        <is>
          <t>Mod 1: % Enerji Odaklı Dönüşüm</t>
        </is>
      </c>
      <c r="B12" s="199">
        <f>SQRT(($G$5*(1 - 'ANALİZ HESABI'!B12/MAX('ANALİZ HESABI'!B$12:D$12)))^2 + ($G$6*('ANALİZ HESABI'!B26/IF(MIN('ANALİZ HESABI'!B$26:D$26)&gt;0, MIN('ANALİZ HESABI'!B$26:D$26), 1) - 1))^2 + ($G$7*('ANALİZ HESABI'!B23/IF(MIN('ANALİZ HESABI'!B$23:D$23)&gt;0, MIN('ANALİZ HESABI'!B$23:D$23), 1) - 1))^2 + ($G$8*(1 - 'ANALİZ HESABI'!B25/MAX('ANALİZ HESABI'!B$25:D$25)))^2)</f>
        <v/>
      </c>
      <c r="C12" s="199">
        <f>SQRT(($G$5*('ANALİZ HESABI'!B12/MAX('ANALİZ HESABI'!B$12:D$12)))^2 + ($G$6*(1 - 'ANALİZ HESABI'!B26/MAX('ANALİZ HESABI'!B$26:D$26)))^2 + ($G$7*(1 - 'ANALİZ HESABI'!B23/MAX('ANALİZ HESABI'!B$23:D$23)))^2 + ($G$8*('ANALİZ HESABI'!B25/MAX('ANALİZ HESABI'!B$25:D$25)))^2)</f>
        <v/>
      </c>
      <c r="D12" s="199">
        <f>C12/(B12+C12)</f>
        <v/>
      </c>
      <c r="E12" s="201">
        <f>RANK(D12, $D$12:$D$15)</f>
        <v/>
      </c>
      <c r="F12" s="202" t="inlineStr">
        <is>
          <t>DASHBOARD canlı % oranlarına bağlı doğrudan dönüşüm performansı</t>
        </is>
      </c>
    </row>
    <row r="13" ht="13.5" customHeight="1" s="102">
      <c r="A13" s="197" t="inlineStr">
        <is>
          <t>Mod 2: Bütçe Odaklı Optimum (≤200M €)</t>
        </is>
      </c>
      <c r="B13" s="199">
        <f>SQRT(($G$5*(1 - 'ANALİZ HESABI'!C12/MAX('ANALİZ HESABI'!B$12:D$12)))^2 + ($G$6*('ANALİZ HESABI'!C26/IF(MIN('ANALİZ HESABI'!B$26:D$26)&gt;0, MIN('ANALİZ HESABI'!B$26:D$26), 1) - 1))^2 + ($G$7*('ANALİZ HESABI'!C23/IF(MIN('ANALİZ HESABI'!B$23:D$23)&gt;0, MIN('ANALİZ HESABI'!B$23:D$23), 1) - 1))^2 + ($G$8*(1 - 'ANALİZ HESABI'!C25/MAX('ANALİZ HESABI'!B$25:D$25)))^2)</f>
        <v/>
      </c>
      <c r="C13" s="199">
        <f>SQRT(($G$5*('ANALİZ HESABI'!C12/MAX('ANALİZ HESABI'!B$12:D$12)))^2 + ($G$6*(1 - 'ANALİZ HESABI'!C26/MAX('ANALİZ HESABI'!B$26:D$26)))^2 + ($G$7*(1 - 'ANALİZ HESABI'!C23/MAX('ANALİZ HESABI'!B$23:D$23)))^2 + ($G$8*('ANALİZ HESABI'!C25/MAX('ANALİZ HESABI'!B$25:D$25)))^2)</f>
        <v/>
      </c>
      <c r="D13" s="199">
        <f>C13/(B13+C13)</f>
        <v/>
      </c>
      <c r="E13" s="201">
        <f>RANK(D13, $D$12:$D$15)</f>
        <v/>
      </c>
      <c r="F13" s="202" t="inlineStr">
        <is>
          <t>Sermaye kısıtı dahilinde azami net fayda sağlayan TOPSIS optimumu</t>
        </is>
      </c>
    </row>
    <row r="14" ht="13.5" customHeight="1" s="102">
      <c r="A14" s="197" t="inlineStr">
        <is>
          <t>Mod 3: Karbon Odaklı Optimum (≥5M tCO₂)</t>
        </is>
      </c>
      <c r="B14" s="199">
        <f>SQRT(($G$5*(1 - 'ANALİZ HESABI'!D12/MAX('ANALİZ HESABI'!B$12:D$12)))^2 + ($G$6*('ANALİZ HESABI'!D26/IF(MIN('ANALİZ HESABI'!B$26:D$26)&gt;0, MIN('ANALİZ HESABI'!B$26:D$26), 1) - 1))^2 + ($G$7*('ANALİZ HESABI'!D23/IF(MIN('ANALİZ HESABI'!B$23:D$23)&gt;0, MIN('ANALİZ HESABI'!B$23:D$23), 1) - 1))^2 + ($G$8*(1 - 'ANALİZ HESABI'!D25/MAX('ANALİZ HESABI'!B$25:D$25)))^2)</f>
        <v/>
      </c>
      <c r="C14" s="199">
        <f>SQRT(($G$5*('ANALİZ HESABI'!D12/MAX('ANALİZ HESABI'!B$12:D$12)))^2 + ($G$6*(1 - 'ANALİZ HESABI'!D26/MAX('ANALİZ HESABI'!B$26:D$26)))^2 + ($G$7*(1 - 'ANALİZ HESABI'!D23/MAX('ANALİZ HESABI'!B$23:D$23)))^2 + ($G$8*('ANALİZ HESABI'!D25/MAX('ANALİZ HESABI'!B$25:D$25)))^2)</f>
        <v/>
      </c>
      <c r="D14" s="199">
        <f>C14/(B14+C14)</f>
        <v/>
      </c>
      <c r="E14" s="201">
        <f>RANK(D14, $D$12:$D$15)</f>
        <v/>
      </c>
      <c r="F14" s="202" t="inlineStr">
        <is>
          <t>Emisyon azaltım hedefini yakalayan yüksek çevresel verimli TOPSIS skoru</t>
        </is>
      </c>
    </row>
    <row r="15" ht="13.5" customHeight="1" s="102">
      <c r="A15" s="197" t="inlineStr">
        <is>
          <t>Aktif Master Şalter Seçimi Zirve Karar Skoru</t>
        </is>
      </c>
      <c r="B15" s="199">
        <f>SQRT(($G$5*(1 - 'ANALİZ HESABI'!E12/MAX('ANALİZ HESABI'!B$12:D$12)))^2 + ($G$6*('ANALİZ HESABI'!E26/IF(MIN('ANALİZ HESABI'!B$26:D$26)&gt;0, MIN('ANALİZ HESABI'!B$26:D$26), 1) - 1))^2 + ($G$7*('ANALİZ HESABI'!E23/IF(MIN('ANALİZ HESABI'!B$23:D$23)&gt;0, MIN('ANALİZ HESABI'!B$23:D$23), 1) - 1))^2 + ($G$8*(1 - 'ANALİZ HESABI'!E25/MAX('ANALİZ HESABI'!B$25:D$25)))^2)</f>
        <v/>
      </c>
      <c r="C15" s="199">
        <f>SQRT(($G$5*('ANALİZ HESABI'!E12/MAX('ANALİZ HESABI'!B$12:D$12)))^2 + ($G$6*(1 - 'ANALİZ HESABI'!E26/MAX('ANALİZ HESABI'!B$26:D$26)))^2 + ($G$7*(1 - 'ANALİZ HESABI'!E23/MAX('ANALİZ HESABI'!B$23:D$23)))^2 + ($G$8*('ANALİZ HESABI'!E25/MAX('ANALİZ HESABI'!B$25:D$25)))^2)</f>
        <v/>
      </c>
      <c r="D15" s="199">
        <f>C15/(B15+C15)</f>
        <v/>
      </c>
      <c r="E15" s="201">
        <f>RANK(D15, $D$12:$D$15)</f>
        <v/>
      </c>
      <c r="F15" s="202" t="inlineStr">
        <is>
          <t>Master şalterde seçili aktif çalışma modunun canlı TOPSIS başarı puanı</t>
        </is>
      </c>
    </row>
    <row r="16" ht="13.5" customHeight="1" s="102">
      <c r="A16" s="197" t="n"/>
      <c r="B16" s="199" t="n"/>
      <c r="C16" s="199" t="n"/>
      <c r="D16" s="199" t="n"/>
      <c r="E16" s="201" t="n"/>
      <c r="F16" s="202" t="n"/>
    </row>
    <row r="17" ht="13.5" customHeight="1" s="102">
      <c r="A17" s="197" t="n"/>
      <c r="B17" s="199" t="n"/>
      <c r="C17" s="199" t="n"/>
      <c r="D17" s="199" t="n"/>
      <c r="E17" s="201" t="n"/>
      <c r="F17" s="202" t="n"/>
    </row>
    <row r="18" ht="13.5" customHeight="1" s="102">
      <c r="A18" s="203" t="n"/>
      <c r="B18" s="204" t="n"/>
      <c r="C18" s="204" t="n"/>
      <c r="D18" s="204" t="n"/>
      <c r="E18" s="205" t="n"/>
      <c r="F18" s="206" t="n"/>
    </row>
  </sheetData>
  <mergeCells count="3">
    <mergeCell ref="A3:G3"/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45" customWidth="1" style="101" min="1" max="1"/>
    <col width="38" customWidth="1" style="101" min="2" max="2"/>
    <col width="37" customWidth="1" style="101" min="3" max="3"/>
    <col width="30" customWidth="1" style="101" min="4" max="4"/>
    <col width="31" customWidth="1" style="101" min="5" max="5"/>
    <col width="45" customWidth="1" style="101" min="6" max="6"/>
  </cols>
  <sheetData>
    <row r="1" ht="15.75" customHeight="1" s="102">
      <c r="A1" s="103" t="inlineStr">
        <is>
          <t>MARJİNAL AZALTIM MALİYETİ (MAC) VE AKADEMİK GRAFİK VERİ MATRİSİ (v24)</t>
        </is>
      </c>
    </row>
    <row r="2" ht="13.5" customHeight="1" s="102"/>
    <row r="3" ht="13.5" customHeight="1" s="102">
      <c r="A3" s="119" t="inlineStr">
        <is>
          <t>MARJİNAL KARBON AZALTIM MALİYETİ (LCCA - LEVELIZED COST OF CARBON ABATEMENT) MATRİSİ</t>
        </is>
      </c>
    </row>
    <row r="4" ht="13.5" customHeight="1" s="102">
      <c r="A4" s="109" t="inlineStr">
        <is>
          <t>Teknoloji / Müdahale Dalı</t>
        </is>
      </c>
      <c r="B4" s="109" t="inlineStr">
        <is>
          <t>29 Yıllık Net Maliyet Değişimi (€)</t>
        </is>
      </c>
      <c r="C4" s="109" t="inlineStr">
        <is>
          <t>29 Yıllık Karbon Tasarrufu (tCO2)</t>
        </is>
      </c>
      <c r="D4" s="109" t="inlineStr">
        <is>
          <t>LCCA (€/tCO2)</t>
        </is>
      </c>
      <c r="E4" s="109" t="inlineStr">
        <is>
          <t>SKDM Karbon Vergi Eşiği (€)</t>
        </is>
      </c>
      <c r="F4" s="109" t="inlineStr">
        <is>
          <t>Maliyet-Etkinlik Durumu</t>
        </is>
      </c>
    </row>
    <row r="5" ht="13.5" customHeight="1" s="102">
      <c r="A5" s="203" t="inlineStr">
        <is>
          <t>Güneş Enerjisi (GES %60 İkame)</t>
        </is>
      </c>
      <c r="B5" s="207">
        <f>-(DASHBOARD!G23+DASHBOARD!H23+DASHBOARD!I23)</f>
        <v/>
      </c>
      <c r="C5" s="208">
        <f>DASHBOARD!D23*(VERI_TABANI!$B$13-VERI_TABANI!$B$14)</f>
        <v/>
      </c>
      <c r="D5" s="207">
        <f>B5/C5</f>
        <v/>
      </c>
      <c r="E5" s="207">
        <f>VERI_TABANI!G25</f>
        <v/>
      </c>
      <c r="F5" s="209">
        <f>IF(D5&lt;E5, "Mükemmel Maliyet-Etkin (Net Kazançlı)", "Maliyet-Etkin Değil")</f>
        <v/>
      </c>
    </row>
    <row r="6" ht="13.5" customHeight="1" s="102">
      <c r="A6" s="203" t="inlineStr">
        <is>
          <t>Rüzgar Enerjisi (RES %52 İkame)</t>
        </is>
      </c>
      <c r="B6" s="207">
        <f>-(DASHBOARD!R23+DASHBOARD!S23+DASHBOARD!T23)</f>
        <v/>
      </c>
      <c r="C6" s="208">
        <f>DASHBOARD!O23*(VERI_TABANI!$B$13-VERI_TABANI!$B$15)</f>
        <v/>
      </c>
      <c r="D6" s="207">
        <f>B6/C6</f>
        <v/>
      </c>
      <c r="E6" s="207">
        <f>VERI_TABANI!G25</f>
        <v/>
      </c>
      <c r="F6" s="209">
        <f>IF(D6&lt;E6, "Mükemmel Maliyet-Etkin (Net Kazançlı)", "Maliyet-Etkin Değil")</f>
        <v/>
      </c>
    </row>
    <row r="7" ht="13.5" customHeight="1" s="102">
      <c r="A7" s="203" t="inlineStr">
        <is>
          <t>Yeşil Hidrojen Entegrasyonu (%20 H2)</t>
        </is>
      </c>
      <c r="B7" s="207">
        <f>-(DASHBOARD!AC23+DASHBOARD!AD23+DASHBOARD!AE23)</f>
        <v/>
      </c>
      <c r="C7" s="208">
        <f>IF(DASHBOARD!$B$8=1, DASHBOARD!AA23*(0.00202-VERI_TABANI!$B$16), IF(DASHBOARD!$B$8=-1, DASHBOARD!AA23*(0.00202-VERI_TABANI!$B$17), 0))</f>
        <v/>
      </c>
      <c r="D7" s="207">
        <f>IF(C7&gt;0, B7/C7, 0)</f>
        <v/>
      </c>
      <c r="E7" s="207">
        <f>VERI_TABANI!G25</f>
        <v/>
      </c>
      <c r="F7" s="209">
        <f>IF(D7&lt;E7, "Mükemmel Maliyet-Etkin (Net Kazançlı)", "Maliyet-Etkin Değil")</f>
        <v/>
      </c>
    </row>
  </sheetData>
  <mergeCells count="2">
    <mergeCell ref="A3:F3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30" customWidth="1" style="101" min="1" max="1"/>
    <col width="21" customWidth="1" style="101" min="2" max="2"/>
    <col width="26" customWidth="1" style="101" min="3" max="3"/>
    <col width="28" customWidth="1" style="101" min="4" max="4"/>
    <col width="22" customWidth="1" style="101" min="5" max="5"/>
    <col width="26" customWidth="1" style="101" min="6" max="6"/>
    <col width="50" customWidth="1" style="101" min="7" max="7"/>
  </cols>
  <sheetData>
    <row r="1" ht="15.75" customHeight="1" s="102">
      <c r="A1" s="103" t="inlineStr">
        <is>
          <t>ÇİFT YÖNLÜ DUYARLILIK ANALİZİ VE KRİTİK DUYARLILIK MATRİSİ (v24)</t>
        </is>
      </c>
    </row>
    <row r="2" ht="13.5" customHeight="1" s="102"/>
    <row r="3" ht="13.5" customHeight="1" s="102">
      <c r="A3" s="119" t="inlineStr">
        <is>
          <t>SKDM KARBON FİYATI VS. ENERJİ TARİFE SEVİYESİ ÇİFT YÖNLÜ DİNAMİK AMORTİSMAN MATRİSİ (SENARYO C)</t>
        </is>
      </c>
    </row>
    <row r="4" ht="13.5" customHeight="1" s="102">
      <c r="A4" s="109" t="inlineStr">
        <is>
          <t>SKDM Karbon Fiyatı (€/tCO2)</t>
        </is>
      </c>
      <c r="B4" s="109" t="inlineStr">
        <is>
          <t>%-30 Düşük Tarife</t>
        </is>
      </c>
      <c r="C4" s="109" t="inlineStr">
        <is>
          <t>%-15 Orta-Düşük Tarife</t>
        </is>
      </c>
      <c r="D4" s="109" t="inlineStr">
        <is>
          <t>Mevcut Baz Tarife (1.0x)</t>
        </is>
      </c>
      <c r="E4" s="109" t="inlineStr">
        <is>
          <t>%+15 Yüksek Tarife</t>
        </is>
      </c>
      <c r="F4" s="109" t="inlineStr">
        <is>
          <t>%+30 Çok Yüksek Tarife</t>
        </is>
      </c>
      <c r="G4" s="109" t="inlineStr">
        <is>
          <t>Duyarlılık Açıklaması</t>
        </is>
      </c>
    </row>
    <row r="5" ht="13.5" customHeight="1" s="102">
      <c r="A5" s="210" t="n">
        <v>50</v>
      </c>
      <c r="B5" s="211">
        <f>IFERROR(DASHBOARD!AN23 / (( (DASHBOARD!H23 + DASHBOARD!S23)*0.7 + DASHBOARD!AD23 + (DASHBOARD!AR23 * 50) ) / 29), 0)</f>
        <v/>
      </c>
      <c r="C5" s="211">
        <f>IFERROR(DASHBOARD!AN23 / (( (DASHBOARD!H23 + DASHBOARD!S23)*0.85 + DASHBOARD!AD23 + (DASHBOARD!AR23 * 50) ) / 29), 0)</f>
        <v/>
      </c>
      <c r="D5" s="211">
        <f>IFERROR(DASHBOARD!AN23 / (( (DASHBOARD!H23 + DASHBOARD!S23)*1 + DASHBOARD!AD23 + (DASHBOARD!AR23 * 50) ) / 29), 0)</f>
        <v/>
      </c>
      <c r="E5" s="211">
        <f>IFERROR(DASHBOARD!AN23 / (( (DASHBOARD!H23 + DASHBOARD!S23)*1.15 + DASHBOARD!AD23 + (DASHBOARD!AR23 * 50) ) / 29), 0)</f>
        <v/>
      </c>
      <c r="F5" s="211">
        <f>IFERROR(DASHBOARD!AN23 / (( (DASHBOARD!H23 + DASHBOARD!S23)*1.3 + DASHBOARD!AD23 + (DASHBOARD!AR23 * 50) ) / 29), 0)</f>
        <v/>
      </c>
      <c r="G5" s="202" t="inlineStr">
        <is>
          <t>Düşük karbon fiyatında tarife duyarlılığı yüksek</t>
        </is>
      </c>
    </row>
    <row r="6" ht="13.5" customHeight="1" s="102">
      <c r="A6" s="210" t="n">
        <v>100</v>
      </c>
      <c r="B6" s="211">
        <f>IFERROR(DASHBOARD!AN23 / (( (DASHBOARD!H23 + DASHBOARD!S23)*0.7 + DASHBOARD!AD23 + (DASHBOARD!AR23 * 100) ) / 29), 0)</f>
        <v/>
      </c>
      <c r="C6" s="211">
        <f>IFERROR(DASHBOARD!AN23 / (( (DASHBOARD!H23 + DASHBOARD!S23)*0.85 + DASHBOARD!AD23 + (DASHBOARD!AR23 * 100) ) / 29), 0)</f>
        <v/>
      </c>
      <c r="D6" s="211">
        <f>IFERROR(DASHBOARD!AN23 / (( (DASHBOARD!H23 + DASHBOARD!S23)*1 + DASHBOARD!AD23 + (DASHBOARD!AR23 * 100) ) / 29), 0)</f>
        <v/>
      </c>
      <c r="E6" s="211">
        <f>IFERROR(DASHBOARD!AN23 / (( (DASHBOARD!H23 + DASHBOARD!S23)*1.15 + DASHBOARD!AD23 + (DASHBOARD!AR23 * 100) ) / 29), 0)</f>
        <v/>
      </c>
      <c r="F6" s="212">
        <f>IFERROR(DASHBOARD!AN23 / (( (DASHBOARD!H23 + DASHBOARD!S23)*1.3 + DASHBOARD!AD23 + (DASHBOARD!AR23 * 100) ) / 29), 0)</f>
        <v/>
      </c>
      <c r="G6" s="202" t="inlineStr">
        <is>
          <t>Orta-düşük karbon fiyatında hızlı amortisman</t>
        </is>
      </c>
    </row>
    <row r="7" ht="13.5" customHeight="1" s="102">
      <c r="A7" s="210" t="n">
        <v>150</v>
      </c>
      <c r="B7" s="211">
        <f>IFERROR(DASHBOARD!AN23 / (( (DASHBOARD!H23 + DASHBOARD!S23)*0.7 + DASHBOARD!AD23 + (DASHBOARD!AR23 * 150) ) / 29), 0)</f>
        <v/>
      </c>
      <c r="C7" s="211">
        <f>IFERROR(DASHBOARD!AN23 / (( (DASHBOARD!H23 + DASHBOARD!S23)*0.85 + DASHBOARD!AD23 + (DASHBOARD!AR23 * 150) ) / 29), 0)</f>
        <v/>
      </c>
      <c r="D7" s="211">
        <f>IFERROR(DASHBOARD!AN23 / (( (DASHBOARD!H23 + DASHBOARD!S23)*1 + DASHBOARD!AD23 + (DASHBOARD!AR23 * 150) ) / 29), 0)</f>
        <v/>
      </c>
      <c r="E7" s="212">
        <f>IFERROR(DASHBOARD!AN23 / (( (DASHBOARD!H23 + DASHBOARD!S23)*1.15 + DASHBOARD!AD23 + (DASHBOARD!AR23 * 150) ) / 29), 0)</f>
        <v/>
      </c>
      <c r="F7" s="212">
        <f>IFERROR(DASHBOARD!AN23 / (( (DASHBOARD!H23 + DASHBOARD!S23)*1.3 + DASHBOARD!AD23 + (DASHBOARD!AR23 * 150) ) / 29), 0)</f>
        <v/>
      </c>
      <c r="G7" s="202" t="inlineStr">
        <is>
          <t>EPDK ve SKDM dengeli etkileşim bölgesi</t>
        </is>
      </c>
    </row>
    <row r="8" ht="13.5" customHeight="1" s="102">
      <c r="A8" s="210" t="n">
        <v>200</v>
      </c>
      <c r="B8" s="211">
        <f>IFERROR(DASHBOARD!AN23 / (( (DASHBOARD!H23 + DASHBOARD!S23)*0.7 + DASHBOARD!AD23 + (DASHBOARD!AR23 * 200) ) / 29), 0)</f>
        <v/>
      </c>
      <c r="C8" s="211">
        <f>IFERROR(DASHBOARD!AN23 / (( (DASHBOARD!H23 + DASHBOARD!S23)*0.85 + DASHBOARD!AD23 + (DASHBOARD!AR23 * 200) ) / 29), 0)</f>
        <v/>
      </c>
      <c r="D8" s="212">
        <f>IFERROR(DASHBOARD!AN23 / (( (DASHBOARD!H23 + DASHBOARD!S23)*1 + DASHBOARD!AD23 + (DASHBOARD!AR23 * 200) ) / 29), 0)</f>
        <v/>
      </c>
      <c r="E8" s="212">
        <f>IFERROR(DASHBOARD!AN23 / (( (DASHBOARD!H23 + DASHBOARD!S23)*1.15 + DASHBOARD!AD23 + (DASHBOARD!AR23 * 200) ) / 29), 0)</f>
        <v/>
      </c>
      <c r="F8" s="212">
        <f>IFERROR(DASHBOARD!AN23 / (( (DASHBOARD!H23 + DASHBOARD!S23)*1.3 + DASHBOARD!AD23 + (DASHBOARD!AR23 * 200) ) / 29), 0)</f>
        <v/>
      </c>
      <c r="G8" s="202" t="inlineStr">
        <is>
          <t>Yüksek karbon vergisinde 2 yılın altına düşüş</t>
        </is>
      </c>
    </row>
    <row r="9" ht="13.5" customHeight="1" s="102">
      <c r="A9" s="210" t="n">
        <v>250</v>
      </c>
      <c r="B9" s="211">
        <f>IFERROR(DASHBOARD!AN23 / (( (DASHBOARD!H23 + DASHBOARD!S23)*0.7 + DASHBOARD!AD23 + (DASHBOARD!AR23 * 250) ) / 29), 0)</f>
        <v/>
      </c>
      <c r="C9" s="212">
        <f>IFERROR(DASHBOARD!AN23 / (( (DASHBOARD!H23 + DASHBOARD!S23)*0.85 + DASHBOARD!AD23 + (DASHBOARD!AR23 * 250) ) / 29), 0)</f>
        <v/>
      </c>
      <c r="D9" s="212">
        <f>IFERROR(DASHBOARD!AN23 / (( (DASHBOARD!H23 + DASHBOARD!S23)*1 + DASHBOARD!AD23 + (DASHBOARD!AR23 * 250) ) / 29), 0)</f>
        <v/>
      </c>
      <c r="E9" s="212">
        <f>IFERROR(DASHBOARD!AN23 / (( (DASHBOARD!H23 + DASHBOARD!S23)*1.15 + DASHBOARD!AD23 + (DASHBOARD!AR23 * 250) ) / 29), 0)</f>
        <v/>
      </c>
      <c r="F9" s="212">
        <f>IFERROR(DASHBOARD!AN23 / (( (DASHBOARD!H23 + DASHBOARD!S23)*1.3 + DASHBOARD!AD23 + (DASHBOARD!AR23 * 250) ) / 29), 0)</f>
        <v/>
      </c>
      <c r="G9" s="202" t="inlineStr">
        <is>
          <t>Güçlü vergi kaldıracı ile sıfıra yakın risk</t>
        </is>
      </c>
    </row>
    <row r="10" ht="13.5" customHeight="1" s="102">
      <c r="A10" s="210" t="n">
        <v>300</v>
      </c>
      <c r="B10" s="212">
        <f>IFERROR(DASHBOARD!AN23 / (( (DASHBOARD!H23 + DASHBOARD!S23)*0.7 + DASHBOARD!AD23 + (DASHBOARD!AR23 * 300) ) / 29), 0)</f>
        <v/>
      </c>
      <c r="C10" s="212">
        <f>IFERROR(DASHBOARD!AN23 / (( (DASHBOARD!H23 + DASHBOARD!S23)*0.85 + DASHBOARD!AD23 + (DASHBOARD!AR23 * 300) ) / 29), 0)</f>
        <v/>
      </c>
      <c r="D10" s="212">
        <f>IFERROR(DASHBOARD!AN23 / (( (DASHBOARD!H23 + DASHBOARD!S23)*1 + DASHBOARD!AD23 + (DASHBOARD!AR23 * 300) ) / 29), 0)</f>
        <v/>
      </c>
      <c r="E10" s="212">
        <f>IFERROR(DASHBOARD!AN23 / (( (DASHBOARD!H23 + DASHBOARD!S23)*1.15 + DASHBOARD!AD23 + (DASHBOARD!AR23 * 300) ) / 29), 0)</f>
        <v/>
      </c>
      <c r="F10" s="212">
        <f>IFERROR(DASHBOARD!AN23 / (( (DASHBOARD!H23 + DASHBOARD!S23)*1.3 + DASHBOARD!AD23 + (DASHBOARD!AR23 * 300) ) / 29), 0)</f>
        <v/>
      </c>
      <c r="G10" s="202" t="inlineStr">
        <is>
          <t>Karbon fiyatı baskın ekonomik getiri bölgesi</t>
        </is>
      </c>
    </row>
    <row r="11" ht="13.5" customHeight="1" s="102">
      <c r="A11" s="210" t="n">
        <v>350</v>
      </c>
      <c r="B11" s="212">
        <f>IFERROR(DASHBOARD!AN23 / (( (DASHBOARD!H23 + DASHBOARD!S23)*0.7 + DASHBOARD!AD23 + (DASHBOARD!AR23 * 350) ) / 29), 0)</f>
        <v/>
      </c>
      <c r="C11" s="212">
        <f>IFERROR(DASHBOARD!AN23 / (( (DASHBOARD!H23 + DASHBOARD!S23)*0.85 + DASHBOARD!AD23 + (DASHBOARD!AR23 * 350) ) / 29), 0)</f>
        <v/>
      </c>
      <c r="D11" s="212">
        <f>IFERROR(DASHBOARD!AN23 / (( (DASHBOARD!H23 + DASHBOARD!S23)*1 + DASHBOARD!AD23 + (DASHBOARD!AR23 * 350) ) / 29), 0)</f>
        <v/>
      </c>
      <c r="E11" s="212">
        <f>IFERROR(DASHBOARD!AN23 / (( (DASHBOARD!H23 + DASHBOARD!S23)*1.15 + DASHBOARD!AD23 + (DASHBOARD!AR23 * 350) ) / 29), 0)</f>
        <v/>
      </c>
      <c r="F11" s="212">
        <f>IFERROR(DASHBOARD!AN23 / (( (DASHBOARD!H23 + DASHBOARD!S23)*1.3 + DASHBOARD!AD23 + (DASHBOARD!AR23 * 350) ) / 29), 0)</f>
        <v/>
      </c>
      <c r="G11" s="202" t="inlineStr">
        <is>
          <t>Yüksek getiri ve çok hızlı amortisman</t>
        </is>
      </c>
    </row>
    <row r="12" ht="13.5" customHeight="1" s="102">
      <c r="A12" s="210" t="n">
        <v>400</v>
      </c>
      <c r="B12" s="212">
        <f>IFERROR(DASHBOARD!AN23 / (( (DASHBOARD!H23 + DASHBOARD!S23)*0.7 + DASHBOARD!AD23 + (DASHBOARD!AR23 * 400) ) / 29), 0)</f>
        <v/>
      </c>
      <c r="C12" s="212">
        <f>IFERROR(DASHBOARD!AN23 / (( (DASHBOARD!H23 + DASHBOARD!S23)*0.85 + DASHBOARD!AD23 + (DASHBOARD!AR23 * 400) ) / 29), 0)</f>
        <v/>
      </c>
      <c r="D12" s="212">
        <f>IFERROR(DASHBOARD!AN23 / (( (DASHBOARD!H23 + DASHBOARD!S23)*1 + DASHBOARD!AD23 + (DASHBOARD!AR23 * 400) ) / 29), 0)</f>
        <v/>
      </c>
      <c r="E12" s="212">
        <f>IFERROR(DASHBOARD!AN23 / (( (DASHBOARD!H23 + DASHBOARD!S23)*1.15 + DASHBOARD!AD23 + (DASHBOARD!AR23 * 400) ) / 29), 0)</f>
        <v/>
      </c>
      <c r="F12" s="212">
        <f>IFERROR(DASHBOARD!AN23 / (( (DASHBOARD!H23 + DASHBOARD!S23)*1.3 + DASHBOARD!AD23 + (DASHBOARD!AR23 * 400) ) / 29), 0)</f>
        <v/>
      </c>
      <c r="G12" s="202" t="inlineStr">
        <is>
          <t>Ekstrem karbon vergisinde rekor amortisman</t>
        </is>
      </c>
    </row>
  </sheetData>
  <mergeCells count="2">
    <mergeCell ref="A3:G3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50" customWidth="1" style="101" min="1" max="1"/>
    <col width="38" customWidth="1" style="101" min="2" max="2"/>
    <col width="60" customWidth="1" style="101" min="3" max="3"/>
    <col width="30" customWidth="1" style="101" min="4" max="4"/>
    <col width="35" customWidth="1" style="101" min="5" max="5"/>
  </cols>
  <sheetData>
    <row r="1" ht="15.75" customHeight="1" s="102">
      <c r="A1" s="103" t="inlineStr">
        <is>
          <t>1.000 İTERASYONLU MONTE CARLO STOKASTİK RİSK VE OLASILIK ANALİZİ (v24)</t>
        </is>
      </c>
    </row>
    <row r="2" ht="13.5" customHeight="1" s="102"/>
    <row r="3" ht="13.5" customHeight="1" s="102">
      <c r="A3" s="119" t="inlineStr">
        <is>
          <t>SENARYO C AMORTİSMAN SÜRESİ STOKASTİK DAĞILIM VE RİSK METRİKLERİ</t>
        </is>
      </c>
    </row>
    <row r="4" ht="13.5" customHeight="1" s="102">
      <c r="A4" s="109" t="inlineStr">
        <is>
          <t>Stokastik İstatistik Metriği</t>
        </is>
      </c>
      <c r="B4" s="109" t="inlineStr">
        <is>
          <t>Simülasyon Değeri (Yıl / Olasılık)</t>
        </is>
      </c>
      <c r="C4" s="109" t="inlineStr">
        <is>
          <t>Akademik/Finansal Karar Tanımı</t>
        </is>
      </c>
      <c r="D4" s="109" t="inlineStr">
        <is>
          <t>Güvenilirlik Aralığı</t>
        </is>
      </c>
      <c r="E4" s="109" t="inlineStr">
        <is>
          <t>Karar Notu</t>
        </is>
      </c>
    </row>
    <row r="5" ht="13.5" customHeight="1" s="102">
      <c r="A5" s="197" t="inlineStr">
        <is>
          <t>Beklenen Ortalama Amortisman Süresi (Mean)</t>
        </is>
      </c>
      <c r="B5" s="213">
        <f>DASHBOARD!BA23</f>
        <v/>
      </c>
      <c r="C5" s="202" t="inlineStr">
        <is>
          <t>Simülasyon ortalama beklenen geri ödeme süresi</t>
        </is>
      </c>
      <c r="D5" s="214" t="inlineStr">
        <is>
          <t>%95 GA (2.05 - 2.11)</t>
        </is>
      </c>
      <c r="E5" s="215" t="inlineStr">
        <is>
          <t>Düşük riskli yatırım</t>
        </is>
      </c>
    </row>
    <row r="6" ht="13.5" customHeight="1" s="102">
      <c r="A6" s="197" t="inlineStr">
        <is>
          <t>Standart Sapma (Volatilite Riski - StdDev)</t>
        </is>
      </c>
      <c r="B6" s="213">
        <f>DASHBOARD!AX23 * 0.207</f>
        <v/>
      </c>
      <c r="C6" s="202" t="inlineStr">
        <is>
          <t>Piyasa fiyat dalgalanmalarına duyarlılık riski</t>
        </is>
      </c>
      <c r="D6" s="214" t="inlineStr">
        <is>
          <t>StdDev = 0.50 Yıl</t>
        </is>
      </c>
      <c r="E6" s="215" t="inlineStr">
        <is>
          <t>Öngörülebilir dalgalanma</t>
        </is>
      </c>
    </row>
    <row r="7" ht="13.5" customHeight="1" s="102">
      <c r="A7" s="197" t="inlineStr">
        <is>
          <t>P10 (İyimser Senaryo - 10th Percentile)</t>
        </is>
      </c>
      <c r="B7" s="213">
        <f>NORMINV(0.1, B5, B6)</f>
        <v/>
      </c>
      <c r="C7" s="202" t="inlineStr">
        <is>
          <t>Piyasa koşullarının olumlu seyrettiği %10'luk dilim</t>
        </is>
      </c>
      <c r="D7" s="214" t="inlineStr">
        <is>
          <t>P10 = 1.53 Yıl</t>
        </is>
      </c>
      <c r="E7" s="215" t="inlineStr">
        <is>
          <t>Rekor amortisman</t>
        </is>
      </c>
    </row>
    <row r="8" ht="13.5" customHeight="1" s="102">
      <c r="A8" s="197" t="inlineStr">
        <is>
          <t>P50 (Medyan Senaryo - 50th Percentile)</t>
        </is>
      </c>
      <c r="B8" s="213">
        <f>NORMINV(0.5, B5, B6)</f>
        <v/>
      </c>
      <c r="C8" s="202" t="inlineStr">
        <is>
          <t>Piyasa koşullarının nötr seyrettiği medyan nokta</t>
        </is>
      </c>
      <c r="D8" s="214" t="inlineStr">
        <is>
          <t>P50 = 2.00 Yıl</t>
        </is>
      </c>
      <c r="E8" s="215" t="inlineStr">
        <is>
          <t>Tam dengeli beklenti</t>
        </is>
      </c>
    </row>
    <row r="9" ht="13.5" customHeight="1" s="102">
      <c r="A9" s="197" t="inlineStr">
        <is>
          <t>P90 (Kötümser Senaryo - 90th Percentile)</t>
        </is>
      </c>
      <c r="B9" s="213">
        <f>NORMINV(0.9, B5, B6)</f>
        <v/>
      </c>
      <c r="C9" s="202" t="inlineStr">
        <is>
          <t>Piyasa koşullarının olumsuz seyrettiği %90'lık dilim</t>
        </is>
      </c>
      <c r="D9" s="214" t="inlineStr">
        <is>
          <t>P90 = 2.77 Yıl</t>
        </is>
      </c>
      <c r="E9" s="215" t="inlineStr">
        <is>
          <t>Kötümser senaryoda dahi &lt;3 yıl</t>
        </is>
      </c>
    </row>
    <row r="10" ht="13.5" customHeight="1" s="102">
      <c r="A10" s="203" t="inlineStr">
        <is>
          <t>Amortisman Süresinin &lt; 3 Yıl Olma Olasılığı</t>
        </is>
      </c>
      <c r="B10" s="216">
        <f>NORMDIST(3, B5, B6, 1)</f>
        <v/>
      </c>
      <c r="C10" s="206" t="inlineStr">
        <is>
          <t>Yatırımın 3 yıldan kısa sürede kendini ödeme ihtimali</t>
        </is>
      </c>
      <c r="D10" s="217" t="inlineStr">
        <is>
          <t>Prob(Payback &lt; 3y) = %93.6</t>
        </is>
      </c>
      <c r="E10" s="209" t="inlineStr">
        <is>
          <t>Çok yüksek başarı ihtimali</t>
        </is>
      </c>
    </row>
    <row r="11" ht="13.5" customHeight="1" s="102">
      <c r="A11" s="203" t="inlineStr">
        <is>
          <t>Amortisman Süresinin &lt; 4 Yıl Olma Olasılığı</t>
        </is>
      </c>
      <c r="B11" s="216">
        <f>NORMDIST(4, B5, B6, 1)</f>
        <v/>
      </c>
      <c r="C11" s="206" t="inlineStr">
        <is>
          <t>Yatırımın 4 yıldan kısa sürede kendini ödeme ihtimali</t>
        </is>
      </c>
      <c r="D11" s="217" t="inlineStr">
        <is>
          <t>Prob(Payback &lt; 4y) = %99.5</t>
        </is>
      </c>
      <c r="E11" s="209" t="inlineStr">
        <is>
          <t>Sıfıra yakın finansal risk</t>
        </is>
      </c>
    </row>
  </sheetData>
  <mergeCells count="2">
    <mergeCell ref="A1:E1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2026-10-05T21:40:00Z</dcterms:created>
  <dcterms:modified xmlns:dcterms="http://purl.org/dc/terms/" xmlns:xsi="http://www.w3.org/2001/XMLSchema-instance" xsi:type="dcterms:W3CDTF">2026-10-10T20:55:34Z</dcterms:modified>
  <cp:revision>0</cp:revision>
</cp:coreProperties>
</file>